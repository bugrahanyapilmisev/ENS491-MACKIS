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6"/>
  <workbookPr showInkAnnotation="0"/>
  <mc:AlternateContent xmlns:mc="http://schemas.openxmlformats.org/markup-compatibility/2006">
    <mc:Choice Requires="x15">
      <x15ac:absPath xmlns:x15ac="http://schemas.microsoft.com/office/spreadsheetml/2010/11/ac" url="Y:\13- ISO14001 ÇYS\Cevre_2025\Formlar_25\"/>
    </mc:Choice>
  </mc:AlternateContent>
  <xr:revisionPtr revIDLastSave="0" documentId="13_ncr:1_{D5D1DB35-8515-4464-9012-9FDA527F9282}" xr6:coauthVersionLast="36" xr6:coauthVersionMax="36" xr10:uidLastSave="{00000000-0000-0000-0000-000000000000}"/>
  <bookViews>
    <workbookView xWindow="0" yWindow="0" windowWidth="23040" windowHeight="8940" tabRatio="500" xr2:uid="{00000000-000D-0000-FFFF-FFFF00000000}"/>
  </bookViews>
  <sheets>
    <sheet name="RİSK DEĞERLENDİRME TABLOSU" sheetId="7" r:id="rId1"/>
    <sheet name="RİSK DEĞERLENDİRME METODOLOJİSİ" sheetId="5" r:id="rId2"/>
  </sheets>
  <definedNames>
    <definedName name="_xlnm._FilterDatabase" localSheetId="0" hidden="1">'RİSK DEĞERLENDİRME TABLOSU'!$A$6:$Y$28</definedName>
    <definedName name="_xlnm.Print_Titles" localSheetId="0">'RİSK DEĞERLENDİRME TABLOSU'!$6:$6</definedName>
  </definedNames>
  <calcPr calcId="191029"/>
</workbook>
</file>

<file path=xl/calcChain.xml><?xml version="1.0" encoding="utf-8"?>
<calcChain xmlns="http://schemas.openxmlformats.org/spreadsheetml/2006/main">
  <c r="Y27" i="7" l="1"/>
  <c r="Y28" i="7"/>
  <c r="Y29" i="7"/>
  <c r="Y30" i="7"/>
  <c r="Y31" i="7"/>
  <c r="Y32" i="7"/>
  <c r="Y26" i="7"/>
  <c r="Y19" i="7"/>
  <c r="Y8" i="7"/>
  <c r="T32" i="7"/>
  <c r="T31" i="7"/>
  <c r="J31" i="7"/>
  <c r="T30" i="7"/>
  <c r="J30" i="7"/>
  <c r="J29" i="7" l="1"/>
  <c r="T29" i="7"/>
  <c r="T23" i="7" l="1"/>
  <c r="J23" i="7"/>
  <c r="T16" i="7"/>
  <c r="J16" i="7"/>
  <c r="T15" i="7"/>
  <c r="J15" i="7"/>
  <c r="T14" i="7" l="1"/>
  <c r="J14" i="7"/>
  <c r="T13" i="7"/>
  <c r="J13" i="7"/>
  <c r="T12" i="7"/>
  <c r="J12" i="7"/>
  <c r="T28" i="7"/>
  <c r="J28" i="7"/>
  <c r="T27" i="7"/>
  <c r="J27" i="7"/>
  <c r="T26" i="7"/>
  <c r="J26" i="7"/>
  <c r="T25" i="7"/>
  <c r="J25" i="7"/>
  <c r="T8" i="7"/>
  <c r="J8" i="7"/>
  <c r="T7" i="7"/>
  <c r="J7" i="7"/>
  <c r="T24" i="7"/>
  <c r="J24" i="7"/>
  <c r="T22" i="7"/>
  <c r="J22" i="7"/>
  <c r="T21" i="7"/>
  <c r="J21" i="7"/>
  <c r="T20" i="7"/>
  <c r="J20" i="7"/>
  <c r="T19" i="7"/>
  <c r="J19" i="7"/>
  <c r="T18" i="7"/>
  <c r="J18" i="7"/>
  <c r="T17" i="7"/>
  <c r="J17" i="7"/>
  <c r="T11" i="7"/>
  <c r="J11" i="7"/>
  <c r="T10" i="7"/>
  <c r="J10" i="7"/>
  <c r="T9" i="7"/>
  <c r="J9" i="7"/>
</calcChain>
</file>

<file path=xl/sharedStrings.xml><?xml version="1.0" encoding="utf-8"?>
<sst xmlns="http://schemas.openxmlformats.org/spreadsheetml/2006/main" count="553" uniqueCount="298">
  <si>
    <t>Kontrol Sıklığı</t>
  </si>
  <si>
    <t>Fırsatlar / Tehditler</t>
  </si>
  <si>
    <t>Kuruluş Bağlamı</t>
  </si>
  <si>
    <t>Mevcut Durum</t>
  </si>
  <si>
    <t>Risk Skoru</t>
  </si>
  <si>
    <t>Sorumlu</t>
  </si>
  <si>
    <t>Fırsat Etki Değeri</t>
  </si>
  <si>
    <t>OLASILIK TABLOSU</t>
  </si>
  <si>
    <t>Çok Düşük</t>
  </si>
  <si>
    <t>Hemen hemen hiç</t>
  </si>
  <si>
    <t xml:space="preserve">Çok düşük </t>
  </si>
  <si>
    <t>Hemen hemen hiç etkilemez.</t>
  </si>
  <si>
    <t xml:space="preserve">Düşük </t>
  </si>
  <si>
    <t>5 Yılda bir.</t>
  </si>
  <si>
    <t>Orta</t>
  </si>
  <si>
    <t xml:space="preserve">Yüksek </t>
  </si>
  <si>
    <t>Yılda bir.</t>
  </si>
  <si>
    <t xml:space="preserve">Çok Yüksek </t>
  </si>
  <si>
    <t>20-25</t>
  </si>
  <si>
    <t>12-19</t>
  </si>
  <si>
    <t>5-11</t>
  </si>
  <si>
    <t>1-4</t>
  </si>
  <si>
    <t>POZİTİF ETKİ TABLOSU</t>
  </si>
  <si>
    <t>6 ayda bir.</t>
  </si>
  <si>
    <t>Ayda bir.</t>
  </si>
  <si>
    <t>Olması Muhtemel</t>
  </si>
  <si>
    <t>Çok Muhtemel</t>
  </si>
  <si>
    <t>Etkisi düşüktür.</t>
  </si>
  <si>
    <t>Etkisi vardır ancak zamanla yitirilir.</t>
  </si>
  <si>
    <t>Etkilidir.</t>
  </si>
  <si>
    <t>Çok etkilidir.</t>
  </si>
  <si>
    <t>Yoksayılabilir. Her fırsat firmamızın menfaatlerine uygun olmayabilir.</t>
  </si>
  <si>
    <t>Geliştirilmelidir. Fırsattan maksimum fayda sağlayabilmek için olasılık ve etkisinin artırılmasına çalışılır.</t>
  </si>
  <si>
    <t>Takip edilmelidir. Fırsatın yaratması muhtemel faydalar takip edilerek geliştirilme olasılıkları değerlendirilmelidir.</t>
  </si>
  <si>
    <t>İç</t>
  </si>
  <si>
    <t>Firmamızın geleceği ve marka sürdürülebilirliği açısından çok etkin bir değerdir. Fırsatı kaybetmemek ve iyi değerlendirmek için olağan üstü bir gayret gösterilir.</t>
  </si>
  <si>
    <t>Alınacak Önlemler / Kontroller</t>
  </si>
  <si>
    <t>Kontrol Tarihi / Termin</t>
  </si>
  <si>
    <t>Olasılık</t>
  </si>
  <si>
    <t>Pozitif Etki</t>
  </si>
  <si>
    <t>Etki</t>
  </si>
  <si>
    <t>RİSK BELİRLEME FIRSAT TANIMLAMA FORMU</t>
  </si>
  <si>
    <t>Revizyon No</t>
  </si>
  <si>
    <t>Revizyon Tarihi</t>
  </si>
  <si>
    <t>EYS.PR11.FR01</t>
  </si>
  <si>
    <t>01</t>
  </si>
  <si>
    <t>Finansal</t>
  </si>
  <si>
    <t>Stratejik</t>
  </si>
  <si>
    <t>Risk Kaynağı</t>
  </si>
  <si>
    <t>21-25</t>
  </si>
  <si>
    <t>13-20</t>
  </si>
  <si>
    <t>6-12</t>
  </si>
  <si>
    <t>Tamamlanma Tarihi</t>
  </si>
  <si>
    <t xml:space="preserve">Risk Değerlendirme Metodolojisi </t>
  </si>
  <si>
    <t>ETKİ DEĞERLENDİRME ÖLÇEĞİ</t>
  </si>
  <si>
    <t>Etki, bir risk olayından nasıl etkileyebileceğini belirtir.</t>
  </si>
  <si>
    <t xml:space="preserve">İki veya daha fazla kriterin olması gerekiyorsa verilen derecelendirme her zaman en fazla etkilenen derecedir (örneğin, bir ölçüt düşük olarak değerlendirilirse, bir tanesi orta düzeyde ise, o zaman risk için etki orta olur). </t>
  </si>
  <si>
    <t xml:space="preserve">1. Çok Düşük </t>
  </si>
  <si>
    <t>2. Düşük</t>
  </si>
  <si>
    <t>3. Orta</t>
  </si>
  <si>
    <t>4. Yüksek</t>
  </si>
  <si>
    <t>5. Çok Yüksek</t>
  </si>
  <si>
    <t>Stratejik planın amaçlarına ulaşmada gecikme</t>
  </si>
  <si>
    <t>Stratejik plan hedeflerinin başarısız olması</t>
  </si>
  <si>
    <t>Stratejik planın kısmen sorgulanması</t>
  </si>
  <si>
    <t>Stratejik planın tamamen sorgulanması</t>
  </si>
  <si>
    <t>Stratejik planın uygulanamaz olması</t>
  </si>
  <si>
    <t xml:space="preserve">Operasyon </t>
  </si>
  <si>
    <t xml:space="preserve">Hizmet seviyelerindeki küçük düşüş, mali ceza olmaması
Süreç performans hedeflerinin  geç gerçekleşmesi, personel ve iş performansında düşüş
</t>
  </si>
  <si>
    <t>Kısa süreli iş kesintisi; çok önemli mali cezalar
Süreç performans hedeflerinin gerçekleşmemesi /  bazı hizmetlerin verilememesi</t>
  </si>
  <si>
    <t>İş kesintisi, maksimum mali cezalar</t>
  </si>
  <si>
    <t xml:space="preserve">Anlaşmazlık / mevzuatlara, sözleşmelere, standartlara yasal süreç gerektirmeyen küçük uyumsuzluk </t>
  </si>
  <si>
    <t>Anlaşmazlık / mevzuatlara, sözleşmelere, standartlara yasal süreç gerektirmeyen birden fazla küçük uyumsuzluklar</t>
  </si>
  <si>
    <t>Anlaşmazlığın hukuksal sürece girmesi, mevzuatlara, sözleşmelere, standartlara büyük uyumsuzluk</t>
  </si>
  <si>
    <t>Mevzuatlara, sözleşmelere, standartlara büyük oranda uyulmaması, yasal işlemler, cezalar, tazminat</t>
  </si>
  <si>
    <t xml:space="preserve">Mevzuatlara, sözleşmelere, standartlara hiç uyulmaması, yasal işlemler, cezalar, tazminat, hapis, yasaklama </t>
  </si>
  <si>
    <t>OLASILIK DEĞERLENDİRME ÖLÇEĞİ</t>
  </si>
  <si>
    <t>Olasılık, belirli bir olayın meydana gelme ihtimalini temsil eder.</t>
  </si>
  <si>
    <t xml:space="preserve">2. Düşük </t>
  </si>
  <si>
    <t xml:space="preserve">4. Yüksek </t>
  </si>
  <si>
    <t xml:space="preserve">5. Çok Yüksek </t>
  </si>
  <si>
    <t>5 yılda bir kere</t>
  </si>
  <si>
    <t>3 yılda bir kere</t>
  </si>
  <si>
    <t>Her 3 yılda birkaç kere</t>
  </si>
  <si>
    <t>Her yıl</t>
  </si>
  <si>
    <t>Her yıl birkaç kere</t>
  </si>
  <si>
    <t>&lt; %10 olma şansı</t>
  </si>
  <si>
    <t>%10 ila %30 arasında olma şansı</t>
  </si>
  <si>
    <t>%30 ila %60 arasında olma şansı</t>
  </si>
  <si>
    <t>%60 ila %80 arasında olma şansı</t>
  </si>
  <si>
    <t>%80 den büyük olma şansı</t>
  </si>
  <si>
    <t>RİSK DEĞERİ</t>
  </si>
  <si>
    <t>RİSK SEVİYESİ</t>
  </si>
  <si>
    <t xml:space="preserve">AKSİYON </t>
  </si>
  <si>
    <t>1-2</t>
  </si>
  <si>
    <t>Önemsiz Risk</t>
  </si>
  <si>
    <t xml:space="preserve">Faaliyetleri  önemli  derecede  engelleyecek  veya etkileyebilecek herhangi bir olayın beklenmediği durumdur. 
Belirlenen riskleri ortadan kaldırmak için kontrol prosesleri planlamaya ve gerçekleştirilecek faaliyetlerin kayıtlarını saklamaya gerek olmayabilir. </t>
  </si>
  <si>
    <t>3-5</t>
  </si>
  <si>
    <t>Katlanılabilir Risk</t>
  </si>
  <si>
    <t xml:space="preserve">Belirlenen riskleri ortadan kaldırmak için ilave kontrol proseslerine ihtiyaç olmayabilir. 
Ancak mevcut kontroller sürdürülmeli ve bu kontrollerin sürdürüldüğü denetlenmelidir. </t>
  </si>
  <si>
    <t>Orta Düzeyde Risk</t>
  </si>
  <si>
    <t xml:space="preserve">Olağan faaliyetleri önemli derecede engelleyecek veya  etkileyebilecek olayların  mevcut olması, oluşması ihtimali vardır. 
Belirlenen riskleri düşürmek için planlı faaliyetler başlatılmalıdır. </t>
  </si>
  <si>
    <t>Önemli Risk</t>
  </si>
  <si>
    <t>Katlanılmaz Risk</t>
  </si>
  <si>
    <t>Onaylı finansman açığının belirlenenden yüksek olması, 10.000 TL az olması</t>
  </si>
  <si>
    <t>Onaylı finansman açığının belirlenenden yüksek olması, 10.000 TL - 20.000 TL arası olması</t>
  </si>
  <si>
    <t>Onaylı finansman açığının belirlenenden yüksek olması, 20.000 TL - 100.000 TL arası olması</t>
  </si>
  <si>
    <t>Onaylı finansman açığının belirlenenden yüksek olması, 100.000 TL - 500.000 TL arası olması</t>
  </si>
  <si>
    <t>Onaylı finansman açığının belirlenenden yüksek olması, 500.000 TL - fazla  olması</t>
  </si>
  <si>
    <t>Hizmet seviyelerindeki önemli düşüş; önemli mali cezalar
Süreç performans hedeflerinin  geç gerçekleşmesi /  hizmetlerden memnuniyetsizlik, personel kaynaklı büyük hatalar</t>
  </si>
  <si>
    <t xml:space="preserve">Yaralanmama ya da hafif yaralanma
Telafi edilebilecek algı ve itibar hasarı </t>
  </si>
  <si>
    <t xml:space="preserve">Ayakta tıbbi tedavi gerekmesi
Paydaş ilişiklerinin zarar görmesi, risk altındaki ilişki, algı ve  itibar </t>
  </si>
  <si>
    <t xml:space="preserve">Ölüm/Ölümler
Algı ve  itibarın tamamen kaybı </t>
  </si>
  <si>
    <t xml:space="preserve">Yatarak tıbbi tedavi gerekmesi 
Paydaş ilişiklerinin zarar görmesi, önemli ölçüde risk altındaki ilişki, algı ve  itibar </t>
  </si>
  <si>
    <t>Sıklık / Olasılık</t>
  </si>
  <si>
    <t>Hizmet seviyelerindeki orta düzey düşüş, küçük mali cezalar
Süreç performans hedeflerinin  geç gerçekleşmesi / bazı hizmetlerden memnuniyetsizlik, personel kaynaklı küçük hatalar</t>
  </si>
  <si>
    <t xml:space="preserve">Uzuv kaybı, daimi maluliyet
Paydaş ilişiklerinin zarar görmesi, ilişki, algı ve  itibar kaybı </t>
  </si>
  <si>
    <t>Yasal uyum /uygunluk</t>
  </si>
  <si>
    <t>Paydaş İlişikleri &amp; algı ve itibar</t>
  </si>
  <si>
    <t xml:space="preserve">Belirlenen risk kabul edilebilir bir seviyeye düşürülünceye kadar iş başlatılmamalı eğer devam eden bir faaliyet varsa derhal durdurulmalıdır. Gerçekleştirilen faaliyetlere rağmen riski düşürmek mümkün olmuyorsa, faaliyet engellenmelidir. </t>
  </si>
  <si>
    <t xml:space="preserve">Olağan faaliyetleri  belirgin  bir   biçimde engelleyen, buna  sebep  olacak bir olayın tespit edilme durumlarıdır. 
Risk işin devam etmesi ile ilgiliyse acil önlem alınmalıdır. </t>
  </si>
  <si>
    <t>RİSK SKORU DEĞERLENDİRME FAKTÖRÜ</t>
  </si>
  <si>
    <t>FIRSAT DEĞERLENDİRME FAKTÖRÜ</t>
  </si>
  <si>
    <t>FIRSAT ETKİ DEĞERİ DEĞERLENDİRME FAKTÖRÜ</t>
  </si>
  <si>
    <t>Öğrenciler</t>
  </si>
  <si>
    <t>Mütevelli Heyeti</t>
  </si>
  <si>
    <t>Çalışanlar (Akademik ve İdari)</t>
  </si>
  <si>
    <t>Teknolojik Gelişmeler</t>
  </si>
  <si>
    <t>Sosyal ve Kültürel Çevre</t>
  </si>
  <si>
    <t>Coğrafi Şartlar</t>
  </si>
  <si>
    <t>Bölgedeki Kurum ve Kuruluş Faaliyetleri</t>
  </si>
  <si>
    <t>Dış</t>
  </si>
  <si>
    <t>Yasal Şartlar</t>
  </si>
  <si>
    <t>Çevre yatırımlarının yetersiz olması</t>
  </si>
  <si>
    <t>Atık alanının yetersiz olması</t>
  </si>
  <si>
    <t>Atık alanının amacına uygun kullanılmaması</t>
  </si>
  <si>
    <t>Atık toplama alanlarının uygun kullanılmaması</t>
  </si>
  <si>
    <t>Çevreye yönelik politika ve prosedürlere uyulmaması</t>
  </si>
  <si>
    <t>Yasal şartlara uyumsuzluk</t>
  </si>
  <si>
    <t>Yasal şartlardaki değişikliklerin takip edilmemesi</t>
  </si>
  <si>
    <t>Teknolojik gelişmelerin takip edilmemesi</t>
  </si>
  <si>
    <t>Yerel halktan gelen şikayetlerin dikkate alınmaması</t>
  </si>
  <si>
    <t>Tuzla bölgesinde hava kirliliği endeksinin yüksek olması</t>
  </si>
  <si>
    <t>Çevre Kulubü faaliyetlerinin artırılması planlanacaktır. Mevcut durumda yapılan çalışmalar devam ettirilecektir.</t>
  </si>
  <si>
    <t>Yılda bir</t>
  </si>
  <si>
    <t>-</t>
  </si>
  <si>
    <t>Mevcut durumda yapılan çalışmalar devam ettirilecektir.</t>
  </si>
  <si>
    <t>Sürekliliğinin sağlanması durumunda itibar elde edilir.</t>
  </si>
  <si>
    <t>Yasal şartlar doğrultusunda çevre yatırımları planlanmaktadır.</t>
  </si>
  <si>
    <t>Atık alanı her gün düzenli olarak kontrol edilmektedir.</t>
  </si>
  <si>
    <t>Atık toplama alanlarının uygun kullanılması için farkındalık çalışmaları yürütülmektedir. Ayrıca atık türüne göre ayrı renklendirme yapılmıştır.</t>
  </si>
  <si>
    <t xml:space="preserve">Atık suların arıtılmadan alıcı ortama verilmesi </t>
  </si>
  <si>
    <t>Laboratuvarlardan kaynaklanan karışık kimyasal içerikli atık sular geçici olarak depolanıp tesis dışı arıtma tesisine gönderilmektedir. Evsel nitelikli atık sular ise yerel kanalizasyon hattına deşarj edilmektedir.</t>
  </si>
  <si>
    <t xml:space="preserve">Mevcut kontroller devam ettirilecektir. </t>
  </si>
  <si>
    <t>Mevcut durumda portör sayısı yeterlidir.</t>
  </si>
  <si>
    <t>Mevcut uygulamalar devem ettirilecektir. Ayrıca teknolojik gelişmeler takip edilerek iyileştirmeler yapılacaktır.</t>
  </si>
  <si>
    <t>SAO, ÖK, Çevre Danışmanı</t>
  </si>
  <si>
    <t>SAO, Çevre Danışmanı</t>
  </si>
  <si>
    <t>SAO, İK, Çevre Danışmanı</t>
  </si>
  <si>
    <t>SAO</t>
  </si>
  <si>
    <t>Kontrol Kaydı</t>
  </si>
  <si>
    <t>Kontrol sonrası Olasılık</t>
  </si>
  <si>
    <t>Artık Risk Skoru</t>
  </si>
  <si>
    <t>Kontrol Şekli</t>
  </si>
  <si>
    <t xml:space="preserve">Manuel </t>
  </si>
  <si>
    <t>Kontrol Türü</t>
  </si>
  <si>
    <t>Yönlendirici</t>
  </si>
  <si>
    <t>Saha uygulamaları, eğitim kayıtları</t>
  </si>
  <si>
    <t>Tespit edici</t>
  </si>
  <si>
    <t>Saha denetimleri, dış denetimler</t>
  </si>
  <si>
    <t>Tespit edici/ Yönlendirici</t>
  </si>
  <si>
    <t>Saha denetimleri, eğitim kayıtları</t>
  </si>
  <si>
    <t>Saha denetimleri, dış denetimler, kaza kayıtları</t>
  </si>
  <si>
    <t>Saha denetimleri, iç ve dış denetimler</t>
  </si>
  <si>
    <t>Günlük</t>
  </si>
  <si>
    <t>Tespit edici, önleyici</t>
  </si>
  <si>
    <t>Saha denetimleri, iç ve dış denetimler, EAYP Onayı</t>
  </si>
  <si>
    <t>Sevkiyat gerçekleştikçe</t>
  </si>
  <si>
    <t>Atık su kabul kayıtları</t>
  </si>
  <si>
    <t>İç ve dış denetim raporları</t>
  </si>
  <si>
    <t>Oldukça</t>
  </si>
  <si>
    <t>Saha denetimleri, geri bildirim</t>
  </si>
  <si>
    <t>Saha denetimleri,Yasal izin ve belgeler, Yasal Uygunluk Kontrol Formu</t>
  </si>
  <si>
    <t>Mevcut uygulamalar devam ettirilecektir. Ayrıca teknolojik gelişmeler takip edilerek iyileştirmeler yapılacaktır.</t>
  </si>
  <si>
    <t xml:space="preserve">Üniversite içerisinde kullanılan fluoresan lambaların değişimleri devam etmektedir. Planlı olarak bu husus sürdürülmektedir. Ayrıca kampüs içerisinde bakım onarım ekibi elektrikli bisiklet kullanmaktadır. </t>
  </si>
  <si>
    <t>Önleyici</t>
  </si>
  <si>
    <t>Yıllık bakım planı</t>
  </si>
  <si>
    <t>Dış bildirim</t>
  </si>
  <si>
    <t>Kampüs genelinde bölgesel hava kirliliğini arttıracak bir faaliyet bulunmamaktadır.</t>
  </si>
  <si>
    <t>Proje toplantı tutanağı</t>
  </si>
  <si>
    <t>Komşu kurum ve kuruluşların faaliyetleri sonucu hava ve gürültü kirliliğinden etkilenilmesi.</t>
  </si>
  <si>
    <t>Geri bildirimler, Şikayet başvuruları, Güvenlik tutanakları</t>
  </si>
  <si>
    <t>FPOP-220-0108V02</t>
  </si>
  <si>
    <t>Atık Geçici Depolama</t>
  </si>
  <si>
    <t>Yasal Şartlara Uyum</t>
  </si>
  <si>
    <t>Alt Yapı</t>
  </si>
  <si>
    <t xml:space="preserve">Eğitim ve Bilinçlendirme </t>
  </si>
  <si>
    <t>Şikayet Yönetimi</t>
  </si>
  <si>
    <t>Doküman Yönetimi</t>
  </si>
  <si>
    <t>Teknik Hizmetler</t>
  </si>
  <si>
    <t xml:space="preserve">Yatırım </t>
  </si>
  <si>
    <t>Belirlenen sorumluların çevreye dair sorumluluklarını yerine getirememesi</t>
  </si>
  <si>
    <t>Dış Çevre Etkilerinin Değerlendirilmesi</t>
  </si>
  <si>
    <t xml:space="preserve">Eğitim ve Bilinçlendirme 
</t>
  </si>
  <si>
    <t>Mütevlli Heyeti</t>
  </si>
  <si>
    <t>Atık Yönetimi Sorumluları</t>
  </si>
  <si>
    <t>Tehlikeli ve tehlikesiz atıklar için ayrı ve yeterli boyutta geçici depolama alanları oluşturulmuştur.</t>
  </si>
  <si>
    <t>İçinde bulunulan ortamın sanayi ağırlıklı olması nedeniyle komşu tesislerin faaliyetlerinden kaynaklı çevresel etkilere maruz kalınmaktadır. Bu durumu yönetmek için ilgili kişi ve kurumlara gerekli başvurular ve görüşmeler yapılmaktadır.</t>
  </si>
  <si>
    <t>Fazla doğal kaynak kullanımı</t>
  </si>
  <si>
    <t>SAO, Hizmetler, Çevre Danışmanı</t>
  </si>
  <si>
    <t>Hizmetler, SAO</t>
  </si>
  <si>
    <t>Çevre eğitimleri online olarak yapılmaktadır, düzenli olarak eğitimlere devam edilmektedir.</t>
  </si>
  <si>
    <t>Personel yetersizliği nedeniyle atıkların zamanında toplanamaması</t>
  </si>
  <si>
    <t>Resmi Gazete, ÇŞİDB duyuruları</t>
  </si>
  <si>
    <t xml:space="preserve">Üniversite içerisinde bulunan lavabolardaki musluklarıın yerine fotoselli bataryalar takılmıştır. Su tüketim miktarında belirli oranda tasarruf sağlanmıştır. </t>
  </si>
  <si>
    <t>İyileştirme çalışmaları devam ettirilecektir.</t>
  </si>
  <si>
    <t>Enerji sarfiyatı ile ilgili çalışmalar yapılması maddi kazanımın yanı sıra SU Çevre bilinci algısının güçlendirilmesi.</t>
  </si>
  <si>
    <t>Su tüketiminin azaltıması, maddi kazanımın yanı sıra SU çalışan ve öğrencilerinin doğal kaynak kullanımında tasarruf algısını güçlendirilmesi.</t>
  </si>
  <si>
    <t>Teknolojik gelişmelere ayak uydurulması çevreye verilen önemin artmasının yanında  SU Çevre bilinci algısının güçlendirilmesi.</t>
  </si>
  <si>
    <t>Hava kirliliğine etkisi olacak yeni bir faaliyet eklenmesi durumunda izlenerek takip edilecektir.</t>
  </si>
  <si>
    <t xml:space="preserve">FPOP-S220-01-08-V03 </t>
  </si>
  <si>
    <t>Birim</t>
  </si>
  <si>
    <t xml:space="preserve">Risk Grubu </t>
  </si>
  <si>
    <t>Risk Tanımı</t>
  </si>
  <si>
    <t>İlgili Süreç</t>
  </si>
  <si>
    <t>GENEL</t>
  </si>
  <si>
    <t>S310 Bütçe Yönetimi</t>
  </si>
  <si>
    <t>SÜ Çevre Yönergesi'nde belirtilen Yasal ve Diğer Şartlar Uygunluk Değerlendirme kapsamında risk yönetilecektir.</t>
  </si>
  <si>
    <t xml:space="preserve">Çevre danışmanı ile çalışılmakta, resmi gazete, mevbank ve Çevre Şehircilik ve İlklim Değşikliği Bakanlığı tarafından yayımlanan duyurular günlük takip edilmektedir. </t>
  </si>
  <si>
    <t>Çevre bilincinin yetersiz olması</t>
  </si>
  <si>
    <t>Öğrencilerin farkındalığı artırmak için poster, web site bilgilendirmeleri, çevre kulübü çalışmaları yapılmaktadır</t>
  </si>
  <si>
    <t>S430 Eğitim ve Geliştirme</t>
  </si>
  <si>
    <t>Operasyon</t>
  </si>
  <si>
    <t>Atık Yönetimi</t>
  </si>
  <si>
    <t>S220 Çevre Yönergesi</t>
  </si>
  <si>
    <t>Atık Yönetimi süreci hizmetler birimler ile birlikte yürütülmektedir. Takip ve koordinasyon denetimleri Çevre Alan denetimleri, Çevre Eğitimleri ile sağlanmaktadır.</t>
  </si>
  <si>
    <t>Çalışanlara plan dahilinde Çevre eğitimleri verilmektedir. Farkındalık ve bilinçlendirme çalışmaları duyurular, bültenler vasıta</t>
  </si>
  <si>
    <t>HİZ</t>
  </si>
  <si>
    <t>Atık Yönetimi Ekibi ve Portörler için Çevre eğitimleri düzenlenmektedir.</t>
  </si>
  <si>
    <t>Kişilerin değişmesi halinde gerekli eğitimler yapılarak sorumluluklar hakkında bilgi verilecektir.</t>
  </si>
  <si>
    <t>Alan denetimleri ve Çevre Eğitimleri ile kontrol sağlanmaktadır.</t>
  </si>
  <si>
    <t>Atıksu Yönetimi</t>
  </si>
  <si>
    <t>S620 Entegre Yönetim Sistemi Süreçleri</t>
  </si>
  <si>
    <t>GS</t>
  </si>
  <si>
    <t>Kurumsal yapı gereği Çevre Yönetim Sistemine dair tüm dokümantasyon oluşturulmuş ve sorumluları düzenli olarak kontrol edilmeye devam edecektir.</t>
  </si>
  <si>
    <t>S230 Tesisleri ve Altyapıyı Yönetme</t>
  </si>
  <si>
    <t>Enerji verimli sistemlerin kullanılmaması</t>
  </si>
  <si>
    <t>SÜ İlkeler ve Yönergeler</t>
  </si>
  <si>
    <t xml:space="preserve">SÜ İlkeler ve Yönergeler'de belirtilen süreçler kapsamında risk yönetilecektir.Çevre uygulamalarıyla ilgili bir şikayet gelmemiştir. </t>
  </si>
  <si>
    <t>Teknolojik gelişmeler üniversite stratejik plan dahilinde takip edilmektedir. Fizibıl olan ve çevreye fayda sağlayan uygulamalar planlanarak devreye alınmaktadır.</t>
  </si>
  <si>
    <t>Mücbir sebeplere ilişkin kriz yönetimi planının etkin yönetilememesi ve iş sürekliliğinin sağlanamaması</t>
  </si>
  <si>
    <t>Tüm Birimler</t>
  </si>
  <si>
    <t>Acil Durum</t>
  </si>
  <si>
    <t>Acil durum planı ve kriz yönetimi kapsamında mücbir sebeplerin tanımlanması ve iç-dış iletişim yönteminin belirlenmesi ve ilgili süreçlerin oluşturulması için AKUT'tan danışmanlık alınmakta.</t>
  </si>
  <si>
    <t>6 Aylık</t>
  </si>
  <si>
    <t>Manuel</t>
  </si>
  <si>
    <t>Kriz Yönetim Planı
/Acil Durum Planı</t>
  </si>
  <si>
    <t xml:space="preserve">Çevresel Etki </t>
  </si>
  <si>
    <t>Güvenli ve sağlıklı çalışma ve çevre koşullarının  sağlanamaması</t>
  </si>
  <si>
    <t xml:space="preserve">Üniversitenin Çevre riskleri, saha denetimleri ve risk değerlendirmeleri ile yönetilmektedir. </t>
  </si>
  <si>
    <t>Aylık</t>
  </si>
  <si>
    <t>Önleyici
Yönlendirici
Tespit</t>
  </si>
  <si>
    <t>Çevre Etki Değerlendirmesi</t>
  </si>
  <si>
    <t xml:space="preserve">Önemli Çevresel Etkisi olan süreçlerde yatırım yapılması  </t>
  </si>
  <si>
    <t>Emisyonların Yönetimi</t>
  </si>
  <si>
    <t>Emisyonların yönetilmemesi ve artışı</t>
  </si>
  <si>
    <t>Sera Gazı Emisyonlarının Belirlenmesi ve Değerlendirilmesi Prosedürü oluşturulmuş olup Kampüs 2030 Net Sıfır hedefi doğrultusunda çalışmalar başlatılmıştır.</t>
  </si>
  <si>
    <t xml:space="preserve">Yenilenebilir Enerji yatırımları, enerji verimliliği projeleri </t>
  </si>
  <si>
    <t>Herhangi bir doğal afet ve beklenmedik diğer durumlar (Patlama, yangın, deprem, kimyasal dökülme veya sızıntı, sistemlerin çökmesi, iletişim hatlarındaki arızalar vs.) karşısında, acil durum halinin yönetilmesi, çalışan, öğrenci ve ziyaretçi kaybının ve felaketin üniversitemize olan olumsuz etkilerinin en aza indirilmesi için Acil Durum Planı mevcuttur.</t>
  </si>
  <si>
    <t>Atık ayrıştırmanın olmaması</t>
  </si>
  <si>
    <t>Atık Yönetimi prosedüründe tanımlanan uygulamalar gerçekleştirilmektedir.</t>
  </si>
  <si>
    <t>S620 Değişiklik Yönetimi Prosedürü</t>
  </si>
  <si>
    <t>Teknolojik Altyapı ve Bilgi Sistemleri Değişiklikleri,Organizasyonel Yapı Değişiklikleri, Süreç Değişiklikleri, Yasal ve Diğer Şartlardaki Değişiklikler, Strateji Değişikleri gibi süreçlerin yönetilememesi</t>
  </si>
  <si>
    <t>Değişiklik halinde gerekli eğitimler yapılarak sorumluluklar hakkında bilgi verilecektir.</t>
  </si>
  <si>
    <t>Oluşabilecek çevre kazalarının önlenmesi</t>
  </si>
  <si>
    <t>Değişiklik yönetimi sürecinin tüm aşamalarında etkili iletişim ve işbirliği ile tüm ilgili paydaşların bu süreçlere katılımıyla sağlanmaktadır. (Altişveren firma değişiklikleri, yeni makine alımı vb.)</t>
  </si>
  <si>
    <t xml:space="preserve">Sıfır Atık Belgesinin alınması, sistem devamlılığının sağlanması, yakma/depolamaya giden atık miktarlarının azaltılması </t>
  </si>
  <si>
    <t>İklim krizi ve çevresel hedeflerin olumsuz etkileri</t>
  </si>
  <si>
    <t>MH, SAO</t>
  </si>
  <si>
    <t xml:space="preserve">Net Zero Kampüs süreçlerinin geliştirilmesi, Yenilenebilir Enerji yatırımları, enerji verimliliği projeleri </t>
  </si>
  <si>
    <t>Saha uygulamaları, benchmark analizleri</t>
  </si>
  <si>
    <t>Sürdürülebilirlik Vizyonu, Sürdürülebilirlik Partnerlerinin oluşturulması, süreçlerin devamlılığı sağlanmaktadır.</t>
  </si>
  <si>
    <t>SU Net Zero hedefi, karbonsuzlaşma enerji verimliliği projeleri gerçekleştirilmektedir.</t>
  </si>
  <si>
    <r>
      <t xml:space="preserve">Karbon Ayakizi hesaplamalarının raporlanması, I-REC sertifikalandırma, GES projesi, </t>
    </r>
    <r>
      <rPr>
        <sz val="12"/>
        <color rgb="FFC00000"/>
        <rFont val="Calibri"/>
        <family val="2"/>
        <scheme val="minor"/>
      </rPr>
      <t>Climate Action Plan hazırlanması</t>
    </r>
  </si>
  <si>
    <t>1.08.2025 / 31.12.2025</t>
  </si>
  <si>
    <t>S1500 Sürdürülebilirlik Yönergesi</t>
  </si>
  <si>
    <t>Sürdürülebilirlik konularına liderlik edilmemesi, etkin yönetilmemesi</t>
  </si>
  <si>
    <t>Sürdürülebilirlik stratejisi üniversitenin stratejisi ile uyumlu şekilde yönetilmektedir.</t>
  </si>
  <si>
    <t xml:space="preserve">Üniversite stratejik planı içinde sürdürülebilirlik gündemi değerlendirilmektedir. </t>
  </si>
  <si>
    <t>Çalıştaylar, toplantılar</t>
  </si>
  <si>
    <t>Döngüsel ekonomi stratejisi kapsamında harici kullanımların incelenerek merkezi depo sistemine geçirilmesi</t>
  </si>
  <si>
    <t>S230 Tesisleri ve Altyapıyı Yönetme Sürecinde tanımlı sistemler üzerinden yönetilmektedir.</t>
  </si>
  <si>
    <t>Manuel
Sistemsel</t>
  </si>
  <si>
    <t>Tespit edici 
Önleyici</t>
  </si>
  <si>
    <t>Malzeme Talep Formu</t>
  </si>
  <si>
    <t>Maddi kaybın önlenerek kaynakların verimli kullanılması. Atık oluşumunun azaltılması</t>
  </si>
  <si>
    <t>Kaynakların Verimli Kullanılmaması</t>
  </si>
  <si>
    <t>Gözden Geçirme Tarih: 12.03.2025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</si>
</sst>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2"/>
      <color theme="1"/>
      <name val="Calibri"/>
      <family val="2"/>
      <scheme val="minor"/>
    </font>
    <font>
      <sz val="11"/>
      <color theme="1"/>
      <name val="Calibri"/>
      <family val="2"/>
      <charset val="162"/>
      <scheme val="minor"/>
    </font>
    <font>
      <sz val="11"/>
      <color theme="1"/>
      <name val="Calibri"/>
      <family val="2"/>
      <charset val="162"/>
      <scheme val="minor"/>
    </font>
    <font>
      <sz val="9"/>
      <color theme="1"/>
      <name val="Verdana"/>
      <family val="2"/>
      <charset val="162"/>
    </font>
    <font>
      <b/>
      <sz val="9"/>
      <color theme="1"/>
      <name val="Verdana"/>
      <family val="2"/>
      <charset val="162"/>
    </font>
    <font>
      <sz val="9"/>
      <name val="Verdana"/>
      <family val="2"/>
      <charset val="162"/>
    </font>
    <font>
      <b/>
      <sz val="9"/>
      <color theme="0"/>
      <name val="Verdana"/>
      <family val="2"/>
      <charset val="162"/>
    </font>
    <font>
      <b/>
      <sz val="12"/>
      <color theme="1"/>
      <name val="Verdana"/>
      <family val="2"/>
      <charset val="162"/>
    </font>
    <font>
      <sz val="10"/>
      <name val="Verdana"/>
      <family val="2"/>
      <charset val="162"/>
    </font>
    <font>
      <b/>
      <sz val="18"/>
      <name val="Verdana"/>
      <family val="2"/>
      <charset val="162"/>
    </font>
    <font>
      <b/>
      <sz val="20"/>
      <color theme="1"/>
      <name val="Verdana"/>
      <family val="2"/>
      <charset val="162"/>
    </font>
    <font>
      <sz val="10"/>
      <color theme="1"/>
      <name val="Verdana"/>
      <family val="2"/>
      <charset val="162"/>
    </font>
    <font>
      <b/>
      <sz val="9"/>
      <color rgb="FF002060"/>
      <name val="Verdana"/>
      <family val="2"/>
      <charset val="162"/>
    </font>
    <font>
      <i/>
      <sz val="9"/>
      <color theme="1" tint="0.14999847407452621"/>
      <name val="Verdana"/>
      <family val="2"/>
      <charset val="162"/>
    </font>
    <font>
      <i/>
      <sz val="9"/>
      <color theme="1"/>
      <name val="Verdana"/>
      <family val="2"/>
      <charset val="162"/>
    </font>
    <font>
      <b/>
      <i/>
      <sz val="9"/>
      <color rgb="FFFF0000"/>
      <name val="Verdana"/>
      <family val="2"/>
      <charset val="162"/>
    </font>
    <font>
      <b/>
      <sz val="9"/>
      <color rgb="FFFFFFFF"/>
      <name val="Verdana"/>
      <family val="2"/>
      <charset val="162"/>
    </font>
    <font>
      <b/>
      <sz val="9"/>
      <color theme="1" tint="0.14999847407452621"/>
      <name val="Verdana"/>
      <family val="2"/>
      <charset val="162"/>
    </font>
    <font>
      <sz val="9"/>
      <color rgb="FF262626"/>
      <name val="Verdana"/>
      <family val="2"/>
      <charset val="162"/>
    </font>
    <font>
      <sz val="9"/>
      <color theme="1" tint="0.14999847407452621"/>
      <name val="Verdana"/>
      <family val="2"/>
      <charset val="162"/>
    </font>
    <font>
      <sz val="11"/>
      <color theme="1"/>
      <name val="Arial"/>
      <family val="2"/>
      <charset val="162"/>
    </font>
    <font>
      <sz val="11"/>
      <name val="Arial"/>
      <family val="2"/>
      <charset val="162"/>
    </font>
    <font>
      <sz val="10"/>
      <color theme="0" tint="-0.34998626667073579"/>
      <name val="Verdana"/>
      <family val="2"/>
      <charset val="162"/>
    </font>
    <font>
      <b/>
      <sz val="14"/>
      <color rgb="FF002060"/>
      <name val="Verdana"/>
      <family val="2"/>
      <charset val="162"/>
    </font>
    <font>
      <b/>
      <sz val="12"/>
      <color theme="1"/>
      <name val="Calibri"/>
      <family val="2"/>
      <scheme val="minor"/>
    </font>
    <font>
      <sz val="12"/>
      <name val="Calibri"/>
      <family val="2"/>
      <scheme val="minor"/>
    </font>
    <font>
      <sz val="12"/>
      <color rgb="FFFF0000"/>
      <name val="Calibri"/>
      <family val="2"/>
      <scheme val="minor"/>
    </font>
    <font>
      <b/>
      <sz val="12"/>
      <name val="Calibri"/>
      <family val="2"/>
      <scheme val="minor"/>
    </font>
    <font>
      <b/>
      <sz val="12"/>
      <color rgb="FFFF0000"/>
      <name val="Calibri"/>
      <family val="2"/>
      <scheme val="minor"/>
    </font>
    <font>
      <sz val="12"/>
      <color rgb="FFC00000"/>
      <name val="Calibri"/>
      <family val="2"/>
      <scheme val="minor"/>
    </font>
    <font>
      <sz val="11"/>
      <color rgb="FFFF0000"/>
      <name val="Calibri"/>
      <family val="2"/>
      <charset val="162"/>
      <scheme val="minor"/>
    </font>
  </fonts>
  <fills count="18">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4"/>
        <bgColor indexed="64"/>
      </patternFill>
    </fill>
    <fill>
      <patternFill patternType="solid">
        <fgColor rgb="FF002060"/>
        <bgColor indexed="64"/>
      </patternFill>
    </fill>
    <fill>
      <patternFill patternType="solid">
        <fgColor rgb="FFFFFFFF"/>
        <bgColor indexed="64"/>
      </patternFill>
    </fill>
    <fill>
      <patternFill patternType="solid">
        <fgColor rgb="FFD9E2F3"/>
        <bgColor indexed="64"/>
      </patternFill>
    </fill>
    <fill>
      <patternFill patternType="solid">
        <fgColor rgb="FF800000"/>
        <bgColor indexed="64"/>
      </patternFill>
    </fill>
    <fill>
      <patternFill patternType="solid">
        <fgColor theme="5"/>
        <bgColor indexed="64"/>
      </patternFill>
    </fill>
    <fill>
      <patternFill patternType="solid">
        <fgColor theme="0"/>
        <bgColor indexed="64"/>
      </patternFill>
    </fill>
    <fill>
      <patternFill patternType="solid">
        <fgColor theme="9" tint="0.39997558519241921"/>
        <bgColor indexed="64"/>
      </patternFill>
    </fill>
    <fill>
      <patternFill patternType="solid">
        <fgColor theme="6"/>
        <bgColor indexed="64"/>
      </patternFill>
    </fill>
    <fill>
      <patternFill patternType="solid">
        <fgColor theme="0" tint="-0.34998626667073579"/>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right/>
      <top style="double">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diagonal/>
    </border>
    <border>
      <left/>
      <right/>
      <top/>
      <bottom style="thin">
        <color indexed="64"/>
      </bottom>
      <diagonal/>
    </border>
  </borders>
  <cellStyleXfs count="3">
    <xf numFmtId="0" fontId="0" fillId="0" borderId="0"/>
    <xf numFmtId="0" fontId="2" fillId="0" borderId="0"/>
    <xf numFmtId="0" fontId="1" fillId="0" borderId="0"/>
  </cellStyleXfs>
  <cellXfs count="175">
    <xf numFmtId="0" fontId="0" fillId="0" borderId="0" xfId="0"/>
    <xf numFmtId="0" fontId="3" fillId="0" borderId="0" xfId="0" applyFont="1" applyAlignment="1">
      <alignment horizontal="center" vertical="center" wrapText="1"/>
    </xf>
    <xf numFmtId="0" fontId="3" fillId="0" borderId="0" xfId="0" applyFont="1" applyFill="1" applyAlignment="1">
      <alignment horizontal="center" vertical="center" wrapText="1"/>
    </xf>
    <xf numFmtId="0" fontId="7" fillId="0" borderId="0" xfId="0" applyFont="1" applyBorder="1" applyAlignment="1">
      <alignment horizontal="center" vertical="center" wrapText="1"/>
    </xf>
    <xf numFmtId="0" fontId="7" fillId="0" borderId="3" xfId="0" applyFont="1" applyBorder="1" applyAlignment="1">
      <alignment horizontal="center" vertical="center" wrapText="1"/>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2" xfId="0" applyFont="1" applyBorder="1" applyAlignment="1">
      <alignment horizontal="left" vertical="center" wrapText="1"/>
    </xf>
    <xf numFmtId="0" fontId="3" fillId="0" borderId="2" xfId="0" applyFont="1" applyBorder="1" applyAlignment="1">
      <alignment horizontal="center" vertical="center" wrapText="1"/>
    </xf>
    <xf numFmtId="0" fontId="3" fillId="0" borderId="0" xfId="0" applyFont="1" applyBorder="1" applyAlignment="1">
      <alignment horizontal="center" vertical="center" wrapText="1"/>
    </xf>
    <xf numFmtId="0" fontId="11" fillId="0" borderId="0" xfId="0" applyFont="1" applyBorder="1" applyAlignment="1">
      <alignment horizontal="center" vertical="center" wrapText="1"/>
    </xf>
    <xf numFmtId="0" fontId="3" fillId="0" borderId="0" xfId="0" applyFont="1"/>
    <xf numFmtId="0" fontId="14" fillId="0" borderId="0" xfId="0" applyFont="1" applyAlignment="1"/>
    <xf numFmtId="0" fontId="3" fillId="0" borderId="0" xfId="0" applyFont="1" applyAlignment="1">
      <alignment horizontal="left" vertical="center" wrapText="1"/>
    </xf>
    <xf numFmtId="0" fontId="19" fillId="0" borderId="0" xfId="0" applyFont="1" applyFill="1" applyBorder="1" applyAlignment="1">
      <alignment vertical="center" wrapText="1"/>
    </xf>
    <xf numFmtId="0" fontId="3" fillId="0" borderId="13" xfId="0" applyFont="1" applyBorder="1" applyAlignment="1">
      <alignment horizontal="center" vertical="center" wrapText="1"/>
    </xf>
    <xf numFmtId="0" fontId="16" fillId="5" borderId="1" xfId="0" applyFont="1" applyFill="1" applyBorder="1" applyAlignment="1">
      <alignment horizontal="center" vertical="center" wrapText="1" readingOrder="1"/>
    </xf>
    <xf numFmtId="0" fontId="12" fillId="3" borderId="1" xfId="0" applyFont="1" applyFill="1" applyBorder="1" applyAlignment="1">
      <alignment horizontal="center" vertical="center" wrapText="1" readingOrder="1"/>
    </xf>
    <xf numFmtId="0" fontId="16" fillId="13" borderId="1" xfId="0" applyFont="1" applyFill="1" applyBorder="1" applyAlignment="1">
      <alignment horizontal="center" vertical="center" wrapText="1" readingOrder="1"/>
    </xf>
    <xf numFmtId="0" fontId="16" fillId="2" borderId="1" xfId="0" applyFont="1" applyFill="1" applyBorder="1" applyAlignment="1">
      <alignment horizontal="center" vertical="center" wrapText="1" readingOrder="1"/>
    </xf>
    <xf numFmtId="0" fontId="18" fillId="10" borderId="1" xfId="0" applyFont="1" applyFill="1" applyBorder="1" applyAlignment="1">
      <alignment vertical="center" wrapText="1"/>
    </xf>
    <xf numFmtId="0" fontId="5" fillId="0" borderId="1" xfId="0" applyFont="1" applyFill="1" applyBorder="1" applyAlignment="1">
      <alignment vertical="center" wrapText="1"/>
    </xf>
    <xf numFmtId="0" fontId="19" fillId="0" borderId="1" xfId="0" quotePrefix="1" applyFont="1" applyFill="1" applyBorder="1" applyAlignment="1">
      <alignment vertical="center" wrapText="1"/>
    </xf>
    <xf numFmtId="0" fontId="5" fillId="0" borderId="1" xfId="0" quotePrefix="1" applyFont="1" applyFill="1" applyBorder="1" applyAlignment="1">
      <alignment vertical="center" wrapText="1"/>
    </xf>
    <xf numFmtId="0" fontId="5" fillId="0" borderId="17" xfId="0" applyFont="1" applyBorder="1" applyAlignment="1">
      <alignment vertical="center"/>
    </xf>
    <xf numFmtId="0" fontId="16" fillId="12" borderId="18" xfId="0" applyFont="1" applyFill="1" applyBorder="1" applyAlignment="1">
      <alignment horizontal="center" vertical="center" wrapText="1" readingOrder="1"/>
    </xf>
    <xf numFmtId="0" fontId="17" fillId="0" borderId="17" xfId="0" applyFont="1" applyFill="1" applyBorder="1" applyAlignment="1">
      <alignment horizontal="left" vertical="center" wrapText="1"/>
    </xf>
    <xf numFmtId="0" fontId="18" fillId="10" borderId="18" xfId="0" applyFont="1" applyFill="1" applyBorder="1" applyAlignment="1">
      <alignment vertical="center" wrapText="1"/>
    </xf>
    <xf numFmtId="0" fontId="5" fillId="0" borderId="18" xfId="0" applyFont="1" applyFill="1" applyBorder="1" applyAlignment="1">
      <alignment vertical="center" wrapText="1"/>
    </xf>
    <xf numFmtId="0" fontId="5" fillId="0" borderId="18" xfId="0" quotePrefix="1" applyFont="1" applyFill="1" applyBorder="1" applyAlignment="1">
      <alignment vertical="center" wrapText="1"/>
    </xf>
    <xf numFmtId="0" fontId="3" fillId="0" borderId="0" xfId="0" applyFont="1" applyBorder="1"/>
    <xf numFmtId="0" fontId="17" fillId="0" borderId="22" xfId="0" applyFont="1" applyFill="1" applyBorder="1" applyAlignment="1">
      <alignment horizontal="left" vertical="center" wrapText="1"/>
    </xf>
    <xf numFmtId="0" fontId="18" fillId="10" borderId="2" xfId="0" applyFont="1" applyFill="1" applyBorder="1" applyAlignment="1">
      <alignment vertical="center" wrapText="1"/>
    </xf>
    <xf numFmtId="0" fontId="18" fillId="10" borderId="23" xfId="0" applyFont="1" applyFill="1" applyBorder="1" applyAlignment="1">
      <alignment vertical="center" wrapText="1"/>
    </xf>
    <xf numFmtId="0" fontId="3" fillId="0" borderId="1" xfId="0" applyFont="1" applyBorder="1" applyAlignment="1">
      <alignment horizontal="left" vertical="center"/>
    </xf>
    <xf numFmtId="0" fontId="3" fillId="0" borderId="17" xfId="0" applyFont="1" applyBorder="1"/>
    <xf numFmtId="0" fontId="3" fillId="0" borderId="18" xfId="0" applyFont="1" applyBorder="1" applyAlignment="1">
      <alignment horizontal="left" vertical="center"/>
    </xf>
    <xf numFmtId="0" fontId="3" fillId="0" borderId="2" xfId="0" applyFont="1" applyBorder="1" applyAlignment="1">
      <alignment horizontal="left" vertical="center"/>
    </xf>
    <xf numFmtId="0" fontId="3" fillId="0" borderId="23" xfId="0" applyFont="1" applyBorder="1" applyAlignment="1">
      <alignment horizontal="left" vertical="center" wrapText="1"/>
    </xf>
    <xf numFmtId="0" fontId="4" fillId="11" borderId="17" xfId="0" applyFont="1" applyFill="1" applyBorder="1" applyAlignment="1">
      <alignment horizontal="center" vertical="center" wrapText="1"/>
    </xf>
    <xf numFmtId="0" fontId="3" fillId="0" borderId="17" xfId="0" applyFont="1" applyBorder="1" applyAlignment="1">
      <alignment horizontal="center" vertical="center"/>
    </xf>
    <xf numFmtId="0" fontId="3" fillId="0" borderId="18" xfId="0" applyFont="1" applyBorder="1" applyAlignment="1">
      <alignment horizontal="center" vertical="center"/>
    </xf>
    <xf numFmtId="0" fontId="3" fillId="0" borderId="22" xfId="0" applyFont="1" applyBorder="1" applyAlignment="1">
      <alignment horizontal="center" vertical="center"/>
    </xf>
    <xf numFmtId="0" fontId="3" fillId="0" borderId="2" xfId="0" applyFont="1" applyBorder="1" applyAlignment="1">
      <alignment horizontal="center" vertical="center"/>
    </xf>
    <xf numFmtId="0" fontId="3" fillId="0" borderId="23" xfId="0" applyFont="1" applyBorder="1" applyAlignment="1">
      <alignment horizontal="center" vertical="center"/>
    </xf>
    <xf numFmtId="49" fontId="4" fillId="0" borderId="17" xfId="0" applyNumberFormat="1" applyFont="1" applyBorder="1" applyAlignment="1">
      <alignment horizontal="center" vertical="center" wrapText="1"/>
    </xf>
    <xf numFmtId="49" fontId="7" fillId="0" borderId="3" xfId="0" applyNumberFormat="1" applyFont="1" applyBorder="1" applyAlignment="1">
      <alignment horizontal="center" vertical="center" wrapText="1"/>
    </xf>
    <xf numFmtId="49" fontId="3" fillId="0" borderId="0" xfId="0" applyNumberFormat="1" applyFont="1" applyAlignment="1">
      <alignment horizontal="center" vertical="center" wrapText="1"/>
    </xf>
    <xf numFmtId="49" fontId="3" fillId="0" borderId="0" xfId="0" applyNumberFormat="1" applyFont="1" applyBorder="1" applyAlignment="1">
      <alignment horizontal="center" vertical="center" wrapText="1"/>
    </xf>
    <xf numFmtId="0" fontId="20" fillId="0" borderId="0" xfId="0" applyFont="1" applyBorder="1" applyAlignment="1">
      <alignment horizontal="center" vertical="center" wrapText="1"/>
    </xf>
    <xf numFmtId="0" fontId="21" fillId="0" borderId="0" xfId="0" applyFont="1" applyFill="1" applyBorder="1" applyAlignment="1">
      <alignment horizontal="center" vertical="center" wrapText="1"/>
    </xf>
    <xf numFmtId="0" fontId="0" fillId="0" borderId="10" xfId="0" applyBorder="1" applyAlignment="1">
      <alignment horizontal="center" vertical="center" wrapText="1"/>
    </xf>
    <xf numFmtId="0" fontId="0" fillId="0" borderId="29" xfId="0" applyBorder="1" applyAlignment="1">
      <alignment horizontal="left" vertical="center" wrapText="1"/>
    </xf>
    <xf numFmtId="0" fontId="0" fillId="0" borderId="6" xfId="0" applyFill="1" applyBorder="1" applyAlignment="1">
      <alignment horizontal="center" vertical="center" wrapText="1"/>
    </xf>
    <xf numFmtId="0" fontId="0" fillId="0" borderId="5" xfId="0" applyFill="1" applyBorder="1" applyAlignment="1">
      <alignment horizontal="left" vertical="center" wrapText="1"/>
    </xf>
    <xf numFmtId="0" fontId="3" fillId="0" borderId="0" xfId="0" applyFont="1" applyBorder="1" applyAlignment="1">
      <alignment horizontal="left" vertical="center" wrapText="1"/>
    </xf>
    <xf numFmtId="0" fontId="22" fillId="0" borderId="0" xfId="0" applyFont="1" applyFill="1" applyBorder="1" applyAlignment="1">
      <alignment horizontal="left" vertical="center" wrapText="1"/>
    </xf>
    <xf numFmtId="0" fontId="22" fillId="0" borderId="0" xfId="0" applyFont="1" applyBorder="1" applyAlignment="1">
      <alignment horizontal="left" vertical="center" wrapText="1"/>
    </xf>
    <xf numFmtId="0" fontId="0" fillId="0" borderId="10" xfId="0" applyFill="1" applyBorder="1" applyAlignment="1">
      <alignment horizontal="center" vertical="center" wrapText="1"/>
    </xf>
    <xf numFmtId="0" fontId="0" fillId="0" borderId="29" xfId="0" applyFill="1" applyBorder="1" applyAlignment="1">
      <alignment horizontal="left" vertical="center" wrapText="1"/>
    </xf>
    <xf numFmtId="0" fontId="24" fillId="17" borderId="4" xfId="0" applyFont="1" applyFill="1" applyBorder="1" applyAlignment="1">
      <alignment horizontal="center" vertical="center" wrapText="1"/>
    </xf>
    <xf numFmtId="0" fontId="24" fillId="0" borderId="4" xfId="0" applyFont="1" applyBorder="1" applyAlignment="1">
      <alignment horizontal="center" vertical="center" wrapText="1"/>
    </xf>
    <xf numFmtId="0" fontId="24" fillId="0" borderId="1" xfId="0" applyFont="1" applyBorder="1" applyAlignment="1">
      <alignment horizontal="center" vertical="center" wrapText="1"/>
    </xf>
    <xf numFmtId="0" fontId="24" fillId="0" borderId="2" xfId="0" applyFont="1" applyBorder="1" applyAlignment="1">
      <alignment horizontal="center" vertical="center" wrapText="1"/>
    </xf>
    <xf numFmtId="0" fontId="24" fillId="2" borderId="2" xfId="0" applyFont="1" applyFill="1" applyBorder="1" applyAlignment="1">
      <alignment horizontal="center" vertical="center" wrapText="1"/>
    </xf>
    <xf numFmtId="49" fontId="24" fillId="0" borderId="2" xfId="0" applyNumberFormat="1" applyFont="1" applyBorder="1" applyAlignment="1">
      <alignment horizontal="center" vertical="center" wrapText="1"/>
    </xf>
    <xf numFmtId="49" fontId="24" fillId="15" borderId="2" xfId="0" applyNumberFormat="1" applyFont="1" applyFill="1" applyBorder="1" applyAlignment="1">
      <alignment horizontal="center" vertical="center" wrapText="1"/>
    </xf>
    <xf numFmtId="49" fontId="24" fillId="15" borderId="0" xfId="0" applyNumberFormat="1" applyFont="1" applyFill="1" applyAlignment="1">
      <alignment horizontal="center" vertical="center" wrapText="1"/>
    </xf>
    <xf numFmtId="0" fontId="0" fillId="0" borderId="0" xfId="0" applyFont="1" applyAlignment="1">
      <alignment horizontal="center" vertical="center" wrapText="1"/>
    </xf>
    <xf numFmtId="0" fontId="24" fillId="0" borderId="4" xfId="0" applyFont="1" applyFill="1" applyBorder="1" applyAlignment="1">
      <alignment horizontal="center" vertical="center" wrapText="1"/>
    </xf>
    <xf numFmtId="0" fontId="24" fillId="0" borderId="4" xfId="0" applyFont="1" applyBorder="1" applyAlignment="1">
      <alignment horizontal="left" vertical="center" wrapText="1"/>
    </xf>
    <xf numFmtId="0" fontId="0" fillId="0" borderId="1" xfId="0" applyFont="1" applyBorder="1" applyAlignment="1">
      <alignment horizontal="left" vertical="center" wrapText="1"/>
    </xf>
    <xf numFmtId="0" fontId="0" fillId="0" borderId="1" xfId="0" applyFont="1" applyBorder="1" applyAlignment="1">
      <alignment horizontal="center" vertical="center" wrapText="1"/>
    </xf>
    <xf numFmtId="0" fontId="25" fillId="0" borderId="1" xfId="0" applyFont="1" applyBorder="1" applyAlignment="1">
      <alignment horizontal="center" vertical="center" wrapText="1"/>
    </xf>
    <xf numFmtId="0" fontId="25" fillId="0" borderId="1" xfId="0" applyFont="1" applyFill="1" applyBorder="1" applyAlignment="1">
      <alignment horizontal="center" vertical="center" wrapText="1"/>
    </xf>
    <xf numFmtId="17" fontId="0" fillId="0" borderId="1" xfId="0" applyNumberFormat="1" applyFont="1" applyBorder="1" applyAlignment="1">
      <alignment horizontal="center" vertical="center" wrapText="1"/>
    </xf>
    <xf numFmtId="0" fontId="26" fillId="0" borderId="1" xfId="0" applyFont="1" applyBorder="1" applyAlignment="1">
      <alignment horizontal="center" vertical="center" wrapText="1"/>
    </xf>
    <xf numFmtId="0" fontId="0" fillId="14" borderId="1" xfId="0" applyFont="1" applyFill="1" applyBorder="1" applyAlignment="1">
      <alignment horizontal="center" vertical="center" wrapText="1"/>
    </xf>
    <xf numFmtId="0" fontId="27" fillId="0" borderId="4" xfId="0" applyFont="1" applyBorder="1" applyAlignment="1">
      <alignment horizontal="left" vertical="center" wrapText="1"/>
    </xf>
    <xf numFmtId="0" fontId="0" fillId="0" borderId="1" xfId="0" quotePrefix="1" applyFont="1" applyBorder="1" applyAlignment="1">
      <alignment horizontal="left" vertical="center" wrapText="1"/>
    </xf>
    <xf numFmtId="0" fontId="0" fillId="0" borderId="4" xfId="0" applyFont="1" applyBorder="1" applyAlignment="1">
      <alignment horizontal="left" vertical="center" wrapText="1"/>
    </xf>
    <xf numFmtId="0" fontId="0" fillId="14" borderId="1" xfId="0" applyFont="1" applyFill="1" applyBorder="1" applyAlignment="1">
      <alignment horizontal="left" vertical="center" wrapText="1"/>
    </xf>
    <xf numFmtId="0" fontId="25" fillId="14" borderId="1" xfId="0" applyFont="1" applyFill="1" applyBorder="1" applyAlignment="1">
      <alignment horizontal="center" vertical="center" wrapText="1"/>
    </xf>
    <xf numFmtId="0" fontId="0" fillId="0" borderId="1" xfId="0" quotePrefix="1" applyFont="1" applyBorder="1" applyAlignment="1">
      <alignment horizontal="center" vertical="center" wrapText="1"/>
    </xf>
    <xf numFmtId="0" fontId="0" fillId="0" borderId="1" xfId="0" applyFont="1" applyFill="1" applyBorder="1" applyAlignment="1">
      <alignment horizontal="left" vertical="center" wrapText="1"/>
    </xf>
    <xf numFmtId="0" fontId="0" fillId="0" borderId="1" xfId="0" applyFont="1" applyFill="1" applyBorder="1" applyAlignment="1">
      <alignment horizontal="center" vertical="center" wrapText="1"/>
    </xf>
    <xf numFmtId="0" fontId="25" fillId="16" borderId="1" xfId="0" applyFont="1" applyFill="1" applyBorder="1" applyAlignment="1">
      <alignment horizontal="center" vertical="center" wrapText="1"/>
    </xf>
    <xf numFmtId="0" fontId="27" fillId="0" borderId="4" xfId="0" applyFont="1" applyFill="1" applyBorder="1" applyAlignment="1">
      <alignment horizontal="left" vertical="center" wrapText="1"/>
    </xf>
    <xf numFmtId="0" fontId="24" fillId="0" borderId="1" xfId="0" applyFont="1" applyFill="1" applyBorder="1" applyAlignment="1">
      <alignment horizontal="center" vertical="center" wrapText="1"/>
    </xf>
    <xf numFmtId="0" fontId="24" fillId="0" borderId="2" xfId="0" applyFont="1" applyBorder="1" applyAlignment="1">
      <alignment horizontal="left" vertical="center" wrapText="1"/>
    </xf>
    <xf numFmtId="0" fontId="28" fillId="0" borderId="4" xfId="0" applyFont="1" applyFill="1" applyBorder="1" applyAlignment="1">
      <alignment horizontal="center" vertical="center" wrapText="1"/>
    </xf>
    <xf numFmtId="0" fontId="27" fillId="0" borderId="4" xfId="0" applyFont="1" applyFill="1" applyBorder="1" applyAlignment="1">
      <alignment horizontal="center" vertical="center" wrapText="1"/>
    </xf>
    <xf numFmtId="0" fontId="25" fillId="14" borderId="1" xfId="0" applyFont="1" applyFill="1" applyBorder="1" applyAlignment="1">
      <alignment horizontal="left" vertical="center" wrapText="1"/>
    </xf>
    <xf numFmtId="0" fontId="27" fillId="0" borderId="1" xfId="0" applyFont="1" applyBorder="1" applyAlignment="1">
      <alignment horizontal="center" vertical="center" wrapText="1"/>
    </xf>
    <xf numFmtId="0" fontId="25" fillId="0" borderId="1" xfId="0" applyFont="1" applyBorder="1" applyAlignment="1">
      <alignment horizontal="left" vertical="center" wrapText="1"/>
    </xf>
    <xf numFmtId="0" fontId="25" fillId="0" borderId="1" xfId="0" applyFont="1" applyFill="1" applyBorder="1" applyAlignment="1">
      <alignment horizontal="left" vertical="center" wrapText="1"/>
    </xf>
    <xf numFmtId="0" fontId="5" fillId="0" borderId="0" xfId="0" applyFont="1" applyFill="1" applyBorder="1" applyAlignment="1">
      <alignment horizontal="left" vertical="center" wrapText="1"/>
    </xf>
    <xf numFmtId="0" fontId="9" fillId="0" borderId="10"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12"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12" xfId="0" applyFont="1" applyBorder="1" applyAlignment="1">
      <alignment horizontal="center" vertical="center" wrapText="1"/>
    </xf>
    <xf numFmtId="0" fontId="5" fillId="0" borderId="11" xfId="0" applyFont="1" applyBorder="1" applyAlignment="1">
      <alignment horizontal="center" vertical="center"/>
    </xf>
    <xf numFmtId="0" fontId="8" fillId="0" borderId="11" xfId="0" applyFont="1" applyBorder="1" applyAlignment="1">
      <alignment horizontal="center" vertical="center" wrapText="1"/>
    </xf>
    <xf numFmtId="0" fontId="8" fillId="0" borderId="10" xfId="0" applyFont="1" applyBorder="1" applyAlignment="1">
      <alignment horizontal="center" vertical="center" wrapText="1"/>
    </xf>
    <xf numFmtId="0" fontId="11" fillId="0" borderId="11" xfId="0" applyFont="1" applyBorder="1" applyAlignment="1">
      <alignment horizontal="center" vertical="center" wrapText="1"/>
    </xf>
    <xf numFmtId="0" fontId="11" fillId="0" borderId="12" xfId="0" applyFont="1" applyBorder="1" applyAlignment="1">
      <alignment horizontal="center" vertical="center" wrapText="1"/>
    </xf>
    <xf numFmtId="14" fontId="8" fillId="0" borderId="11" xfId="0" applyNumberFormat="1" applyFont="1" applyBorder="1" applyAlignment="1">
      <alignment horizontal="center" vertical="center" wrapText="1"/>
    </xf>
    <xf numFmtId="14" fontId="8" fillId="0" borderId="10" xfId="0" quotePrefix="1" applyNumberFormat="1" applyFont="1" applyBorder="1" applyAlignment="1">
      <alignment horizontal="center" vertical="center" wrapText="1"/>
    </xf>
    <xf numFmtId="14" fontId="11" fillId="0" borderId="7" xfId="0" applyNumberFormat="1" applyFont="1" applyBorder="1" applyAlignment="1">
      <alignment horizontal="center" vertical="center" wrapText="1"/>
    </xf>
    <xf numFmtId="14" fontId="11" fillId="0" borderId="8" xfId="0" applyNumberFormat="1" applyFont="1" applyBorder="1" applyAlignment="1">
      <alignment horizontal="center" vertical="center" wrapText="1"/>
    </xf>
    <xf numFmtId="0" fontId="11" fillId="0" borderId="8" xfId="0" applyFont="1" applyBorder="1" applyAlignment="1">
      <alignment horizontal="center" vertical="center" wrapText="1"/>
    </xf>
    <xf numFmtId="0" fontId="11" fillId="0" borderId="9" xfId="0" applyFont="1" applyBorder="1" applyAlignment="1">
      <alignment horizontal="center" vertical="center" wrapText="1"/>
    </xf>
    <xf numFmtId="0" fontId="3" fillId="0" borderId="28" xfId="0" applyFont="1" applyBorder="1" applyAlignment="1">
      <alignment horizontal="center" vertical="center" wrapText="1"/>
    </xf>
    <xf numFmtId="0" fontId="13" fillId="0" borderId="17" xfId="0" applyFont="1" applyBorder="1" applyAlignment="1">
      <alignment horizontal="left" vertical="center"/>
    </xf>
    <xf numFmtId="0" fontId="13" fillId="0" borderId="1" xfId="0" applyFont="1" applyBorder="1" applyAlignment="1">
      <alignment horizontal="left" vertical="center"/>
    </xf>
    <xf numFmtId="0" fontId="13" fillId="0" borderId="18" xfId="0" applyFont="1" applyBorder="1" applyAlignment="1">
      <alignment horizontal="left" vertical="center"/>
    </xf>
    <xf numFmtId="0" fontId="23" fillId="0" borderId="14" xfId="0" applyFont="1" applyBorder="1" applyAlignment="1">
      <alignment horizontal="center" vertical="center"/>
    </xf>
    <xf numFmtId="0" fontId="23" fillId="0" borderId="15" xfId="0" applyFont="1" applyBorder="1" applyAlignment="1">
      <alignment horizontal="center" vertical="center"/>
    </xf>
    <xf numFmtId="0" fontId="23" fillId="0" borderId="16" xfId="0" applyFont="1" applyBorder="1" applyAlignment="1">
      <alignment horizontal="center" vertical="center"/>
    </xf>
    <xf numFmtId="0" fontId="6" fillId="9" borderId="17" xfId="0" applyFont="1" applyFill="1" applyBorder="1" applyAlignment="1">
      <alignment horizontal="center" vertical="center"/>
    </xf>
    <xf numFmtId="0" fontId="6" fillId="9" borderId="1" xfId="0" applyFont="1" applyFill="1" applyBorder="1" applyAlignment="1">
      <alignment horizontal="center" vertical="center"/>
    </xf>
    <xf numFmtId="0" fontId="6" fillId="9" borderId="18" xfId="0" applyFont="1" applyFill="1" applyBorder="1" applyAlignment="1">
      <alignment horizontal="center" vertical="center"/>
    </xf>
    <xf numFmtId="0" fontId="15" fillId="0" borderId="17" xfId="0" applyFont="1" applyBorder="1" applyAlignment="1">
      <alignment horizontal="left" vertical="center" wrapText="1"/>
    </xf>
    <xf numFmtId="0" fontId="3" fillId="0" borderId="1" xfId="0" applyFont="1" applyBorder="1" applyAlignment="1">
      <alignment horizontal="left" vertical="center" wrapText="1"/>
    </xf>
    <xf numFmtId="0" fontId="3" fillId="0" borderId="18" xfId="0" applyFont="1" applyBorder="1" applyAlignment="1">
      <alignment horizontal="left" vertical="center" wrapText="1"/>
    </xf>
    <xf numFmtId="0" fontId="3" fillId="0" borderId="17" xfId="0" applyFont="1" applyBorder="1" applyAlignment="1">
      <alignment horizontal="left" vertical="center" wrapText="1"/>
    </xf>
    <xf numFmtId="0" fontId="6" fillId="9" borderId="14" xfId="0" applyFont="1" applyFill="1" applyBorder="1" applyAlignment="1">
      <alignment horizontal="center" vertical="center"/>
    </xf>
    <xf numFmtId="0" fontId="6" fillId="9" borderId="15" xfId="0" applyFont="1" applyFill="1" applyBorder="1" applyAlignment="1">
      <alignment horizontal="center" vertical="center"/>
    </xf>
    <xf numFmtId="0" fontId="6" fillId="9" borderId="16" xfId="0" applyFont="1" applyFill="1" applyBorder="1" applyAlignment="1">
      <alignment horizontal="center" vertical="center"/>
    </xf>
    <xf numFmtId="0" fontId="17" fillId="0" borderId="17" xfId="0" applyFont="1" applyFill="1" applyBorder="1" applyAlignment="1">
      <alignment horizontal="center" vertical="center" wrapText="1"/>
    </xf>
    <xf numFmtId="0" fontId="17" fillId="0" borderId="22"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13"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1" borderId="4" xfId="0" applyFont="1" applyFill="1" applyBorder="1" applyAlignment="1">
      <alignment horizontal="center" vertical="center" wrapText="1"/>
    </xf>
    <xf numFmtId="0" fontId="4" fillId="11" borderId="5" xfId="0" applyFont="1" applyFill="1" applyBorder="1" applyAlignment="1">
      <alignment horizontal="center" vertical="center" wrapText="1"/>
    </xf>
    <xf numFmtId="0" fontId="4" fillId="11" borderId="24" xfId="0" applyFont="1" applyFill="1" applyBorder="1" applyAlignment="1">
      <alignment horizontal="center"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24" xfId="0" applyFont="1" applyBorder="1" applyAlignment="1">
      <alignment horizontal="left" vertical="center" wrapText="1"/>
    </xf>
    <xf numFmtId="49" fontId="3" fillId="8" borderId="17" xfId="0" applyNumberFormat="1" applyFont="1" applyFill="1" applyBorder="1" applyAlignment="1">
      <alignment horizontal="center" vertical="center"/>
    </xf>
    <xf numFmtId="49" fontId="3" fillId="8" borderId="1" xfId="0" applyNumberFormat="1" applyFont="1" applyFill="1" applyBorder="1" applyAlignment="1">
      <alignment horizontal="center" vertical="center"/>
    </xf>
    <xf numFmtId="0" fontId="3" fillId="8" borderId="1" xfId="0" applyFont="1" applyFill="1" applyBorder="1" applyAlignment="1">
      <alignment horizontal="left" vertical="center" wrapText="1"/>
    </xf>
    <xf numFmtId="0" fontId="3" fillId="8" borderId="18" xfId="0" applyFont="1" applyFill="1" applyBorder="1" applyAlignment="1">
      <alignment horizontal="left" vertical="center" wrapText="1"/>
    </xf>
    <xf numFmtId="49" fontId="3" fillId="2" borderId="19" xfId="0" applyNumberFormat="1" applyFont="1" applyFill="1" applyBorder="1" applyAlignment="1">
      <alignment horizontal="center" vertical="center"/>
    </xf>
    <xf numFmtId="49" fontId="3" fillId="2" borderId="20" xfId="0" applyNumberFormat="1" applyFont="1" applyFill="1" applyBorder="1" applyAlignment="1">
      <alignment horizontal="center" vertical="center"/>
    </xf>
    <xf numFmtId="0" fontId="3" fillId="2" borderId="20" xfId="0" applyFont="1" applyFill="1" applyBorder="1" applyAlignment="1">
      <alignment horizontal="left" vertical="center" wrapText="1"/>
    </xf>
    <xf numFmtId="0" fontId="3" fillId="2" borderId="21" xfId="0" applyFont="1" applyFill="1" applyBorder="1" applyAlignment="1">
      <alignment horizontal="left" vertical="center" wrapText="1"/>
    </xf>
    <xf numFmtId="0" fontId="4" fillId="6" borderId="17" xfId="0" applyFont="1" applyFill="1" applyBorder="1" applyAlignment="1">
      <alignment horizontal="center" vertical="center"/>
    </xf>
    <xf numFmtId="0" fontId="4" fillId="6" borderId="1" xfId="0" applyFont="1" applyFill="1" applyBorder="1" applyAlignment="1">
      <alignment horizontal="center" vertical="center"/>
    </xf>
    <xf numFmtId="0" fontId="4" fillId="7" borderId="1" xfId="0" applyFont="1" applyFill="1" applyBorder="1" applyAlignment="1">
      <alignment horizontal="center" vertical="center"/>
    </xf>
    <xf numFmtId="0" fontId="4" fillId="7" borderId="18" xfId="0" applyFont="1" applyFill="1" applyBorder="1" applyAlignment="1">
      <alignment horizontal="center" vertical="center"/>
    </xf>
    <xf numFmtId="49" fontId="3" fillId="4" borderId="17" xfId="0" applyNumberFormat="1" applyFont="1" applyFill="1" applyBorder="1" applyAlignment="1">
      <alignment horizontal="center" vertical="center"/>
    </xf>
    <xf numFmtId="49" fontId="3" fillId="4" borderId="1" xfId="0" applyNumberFormat="1" applyFont="1" applyFill="1" applyBorder="1" applyAlignment="1">
      <alignment horizontal="center" vertical="center"/>
    </xf>
    <xf numFmtId="0" fontId="3" fillId="4" borderId="1" xfId="0" applyFont="1" applyFill="1" applyBorder="1" applyAlignment="1">
      <alignment horizontal="left" vertical="center" wrapText="1"/>
    </xf>
    <xf numFmtId="0" fontId="3" fillId="4" borderId="18" xfId="0" applyFont="1" applyFill="1" applyBorder="1" applyAlignment="1">
      <alignment horizontal="left" vertical="center" wrapText="1"/>
    </xf>
    <xf numFmtId="0" fontId="6" fillId="12" borderId="1" xfId="0" applyFont="1" applyFill="1" applyBorder="1" applyAlignment="1">
      <alignment horizontal="center" vertical="center" wrapText="1"/>
    </xf>
    <xf numFmtId="0" fontId="3" fillId="0" borderId="25" xfId="0" applyFont="1" applyBorder="1" applyAlignment="1">
      <alignment horizontal="left" vertical="center" wrapText="1"/>
    </xf>
    <xf numFmtId="0" fontId="3" fillId="0" borderId="26" xfId="0" applyFont="1" applyBorder="1" applyAlignment="1">
      <alignment horizontal="left" vertical="center" wrapText="1"/>
    </xf>
    <xf numFmtId="0" fontId="3" fillId="0" borderId="27" xfId="0" applyFont="1" applyBorder="1" applyAlignment="1">
      <alignment horizontal="left" vertical="center" wrapText="1"/>
    </xf>
    <xf numFmtId="49" fontId="3" fillId="3" borderId="17" xfId="0" applyNumberFormat="1" applyFont="1" applyFill="1" applyBorder="1" applyAlignment="1">
      <alignment horizontal="center" vertical="center"/>
    </xf>
    <xf numFmtId="49" fontId="3" fillId="3" borderId="1" xfId="0" applyNumberFormat="1" applyFont="1" applyFill="1" applyBorder="1" applyAlignment="1">
      <alignment horizontal="center" vertical="center"/>
    </xf>
    <xf numFmtId="0" fontId="3" fillId="3" borderId="1" xfId="0" applyFont="1" applyFill="1" applyBorder="1" applyAlignment="1">
      <alignment horizontal="left" vertical="center" wrapText="1"/>
    </xf>
    <xf numFmtId="0" fontId="3" fillId="3" borderId="18" xfId="0" applyFont="1" applyFill="1" applyBorder="1" applyAlignment="1">
      <alignment horizontal="left" vertical="center" wrapText="1"/>
    </xf>
    <xf numFmtId="0" fontId="28" fillId="0" borderId="4" xfId="0" applyFont="1" applyBorder="1" applyAlignment="1">
      <alignment horizontal="left" vertical="center" wrapText="1"/>
    </xf>
    <xf numFmtId="0" fontId="26" fillId="0" borderId="1" xfId="0" applyFont="1" applyBorder="1" applyAlignment="1">
      <alignment horizontal="left" vertical="center" wrapText="1"/>
    </xf>
    <xf numFmtId="0" fontId="28" fillId="0" borderId="1" xfId="0" applyFont="1" applyBorder="1" applyAlignment="1">
      <alignment horizontal="center" vertical="center" wrapText="1"/>
    </xf>
    <xf numFmtId="0" fontId="26" fillId="0" borderId="1" xfId="0" quotePrefix="1" applyFont="1" applyBorder="1" applyAlignment="1">
      <alignment horizontal="center" vertical="center" wrapText="1"/>
    </xf>
    <xf numFmtId="0" fontId="30" fillId="0" borderId="1" xfId="0" applyFont="1" applyFill="1" applyBorder="1" applyAlignment="1">
      <alignment horizontal="left" vertical="center" wrapText="1"/>
    </xf>
    <xf numFmtId="0" fontId="30" fillId="14" borderId="1" xfId="0" applyFont="1" applyFill="1" applyBorder="1" applyAlignment="1">
      <alignment horizontal="left" vertical="center" wrapText="1"/>
    </xf>
    <xf numFmtId="0" fontId="30" fillId="0" borderId="1" xfId="0" applyFont="1" applyBorder="1" applyAlignment="1">
      <alignment horizontal="center" vertical="center" wrapText="1"/>
    </xf>
  </cellXfs>
  <cellStyles count="3">
    <cellStyle name="Normal" xfId="0" builtinId="0"/>
    <cellStyle name="Normal 2" xfId="1" xr:uid="{00000000-0005-0000-0000-000001000000}"/>
    <cellStyle name="Normal 2 2" xfId="2" xr:uid="{00000000-0005-0000-0000-000001000000}"/>
  </cellStyles>
  <dxfs count="255">
    <dxf>
      <font>
        <color rgb="FF9C0006"/>
      </font>
      <fill>
        <patternFill>
          <bgColor rgb="FFFFC7CE"/>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7" tint="0.39994506668294322"/>
      </font>
      <fill>
        <patternFill>
          <bgColor rgb="FFFF0000"/>
        </patternFill>
      </fill>
    </dxf>
    <dxf>
      <font>
        <color theme="1"/>
      </font>
      <fill>
        <patternFill>
          <bgColor rgb="FFFFC000"/>
        </patternFill>
      </fill>
    </dxf>
    <dxf>
      <font>
        <color theme="7"/>
      </font>
      <fill>
        <patternFill>
          <bgColor rgb="FFFFFF00"/>
        </patternFill>
      </fill>
    </dxf>
    <dxf>
      <font>
        <color theme="1"/>
      </font>
      <fill>
        <patternFill>
          <bgColor theme="5"/>
        </patternFill>
      </fill>
    </dxf>
    <dxf>
      <font>
        <color rgb="FF9C6500"/>
      </font>
      <fill>
        <patternFill>
          <bgColor rgb="FFFFEB9C"/>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rgb="FF9C0006"/>
      </font>
      <fill>
        <patternFill>
          <bgColor rgb="FFFFC7CE"/>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7" tint="0.39994506668294322"/>
      </font>
      <fill>
        <patternFill>
          <bgColor rgb="FFFF0000"/>
        </patternFill>
      </fill>
    </dxf>
    <dxf>
      <font>
        <color theme="1"/>
      </font>
      <fill>
        <patternFill>
          <bgColor rgb="FFFFC000"/>
        </patternFill>
      </fill>
    </dxf>
    <dxf>
      <font>
        <color theme="7"/>
      </font>
      <fill>
        <patternFill>
          <bgColor rgb="FFFFFF00"/>
        </patternFill>
      </fill>
    </dxf>
    <dxf>
      <font>
        <color theme="1"/>
      </font>
      <fill>
        <patternFill>
          <bgColor theme="5"/>
        </patternFill>
      </fill>
    </dxf>
    <dxf>
      <font>
        <color rgb="FF9C6500"/>
      </font>
      <fill>
        <patternFill>
          <bgColor rgb="FFFFEB9C"/>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7" tint="0.39994506668294322"/>
      </font>
      <fill>
        <patternFill>
          <bgColor rgb="FFFF0000"/>
        </patternFill>
      </fill>
    </dxf>
    <dxf>
      <font>
        <color theme="1"/>
      </font>
      <fill>
        <patternFill>
          <bgColor rgb="FFFFC000"/>
        </patternFill>
      </fill>
    </dxf>
    <dxf>
      <font>
        <color theme="7"/>
      </font>
      <fill>
        <patternFill>
          <bgColor rgb="FFFFFF00"/>
        </patternFill>
      </fill>
    </dxf>
    <dxf>
      <font>
        <color theme="1"/>
      </font>
      <fill>
        <patternFill>
          <bgColor theme="5"/>
        </patternFill>
      </fill>
    </dxf>
    <dxf>
      <font>
        <color rgb="FF9C6500"/>
      </font>
      <fill>
        <patternFill>
          <bgColor rgb="FFFFEB9C"/>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7" tint="0.39994506668294322"/>
      </font>
      <fill>
        <patternFill>
          <bgColor rgb="FFFF0000"/>
        </patternFill>
      </fill>
    </dxf>
    <dxf>
      <font>
        <color theme="1"/>
      </font>
      <fill>
        <patternFill>
          <bgColor rgb="FFFFC000"/>
        </patternFill>
      </fill>
    </dxf>
    <dxf>
      <font>
        <color theme="7"/>
      </font>
      <fill>
        <patternFill>
          <bgColor rgb="FFFFFF00"/>
        </patternFill>
      </fill>
    </dxf>
    <dxf>
      <font>
        <color theme="1"/>
      </font>
      <fill>
        <patternFill>
          <bgColor theme="5"/>
        </patternFill>
      </fill>
    </dxf>
    <dxf>
      <font>
        <color rgb="FF9C6500"/>
      </font>
      <fill>
        <patternFill>
          <bgColor rgb="FFFFEB9C"/>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7" tint="0.39994506668294322"/>
      </font>
      <fill>
        <patternFill>
          <bgColor rgb="FFFF0000"/>
        </patternFill>
      </fill>
    </dxf>
    <dxf>
      <font>
        <color theme="1"/>
      </font>
      <fill>
        <patternFill>
          <bgColor rgb="FFFFC000"/>
        </patternFill>
      </fill>
    </dxf>
    <dxf>
      <font>
        <color theme="7"/>
      </font>
      <fill>
        <patternFill>
          <bgColor rgb="FFFFFF00"/>
        </patternFill>
      </fill>
    </dxf>
    <dxf>
      <font>
        <color theme="1"/>
      </font>
      <fill>
        <patternFill>
          <bgColor theme="5"/>
        </patternFill>
      </fill>
    </dxf>
    <dxf>
      <font>
        <color rgb="FF9C6500"/>
      </font>
      <fill>
        <patternFill>
          <bgColor rgb="FFFFEB9C"/>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7" tint="0.39994506668294322"/>
      </font>
      <fill>
        <patternFill>
          <bgColor rgb="FFFF0000"/>
        </patternFill>
      </fill>
    </dxf>
    <dxf>
      <font>
        <color theme="1"/>
      </font>
      <fill>
        <patternFill>
          <bgColor rgb="FFFFC000"/>
        </patternFill>
      </fill>
    </dxf>
    <dxf>
      <font>
        <color theme="7"/>
      </font>
      <fill>
        <patternFill>
          <bgColor rgb="FFFFFF00"/>
        </patternFill>
      </fill>
    </dxf>
    <dxf>
      <font>
        <color theme="1"/>
      </font>
      <fill>
        <patternFill>
          <bgColor theme="5"/>
        </patternFill>
      </fill>
    </dxf>
    <dxf>
      <font>
        <color rgb="FF9C6500"/>
      </font>
      <fill>
        <patternFill>
          <bgColor rgb="FFFFEB9C"/>
        </patternFill>
      </fill>
    </dxf>
  </dxfs>
  <tableStyles count="0" defaultTableStyle="TableStyleMedium9" defaultPivotStyle="PivotStyleMedium7"/>
  <colors>
    <mruColors>
      <color rgb="FF8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320145</xdr:colOff>
      <xdr:row>0</xdr:row>
      <xdr:rowOff>8466</xdr:rowOff>
    </xdr:from>
    <xdr:to>
      <xdr:col>0</xdr:col>
      <xdr:colOff>946414</xdr:colOff>
      <xdr:row>0</xdr:row>
      <xdr:rowOff>745067</xdr:rowOff>
    </xdr:to>
    <xdr:pic>
      <xdr:nvPicPr>
        <xdr:cNvPr id="2" name="Resim 1">
          <a:extLst>
            <a:ext uri="{FF2B5EF4-FFF2-40B4-BE49-F238E27FC236}">
              <a16:creationId xmlns:a16="http://schemas.microsoft.com/office/drawing/2014/main" id="{40A8D2C3-6847-4A2D-ABDD-7BE0842820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18346" t="65883" r="72415" b="15588"/>
        <a:stretch>
          <a:fillRect/>
        </a:stretch>
      </xdr:blipFill>
      <xdr:spPr bwMode="auto">
        <a:xfrm>
          <a:off x="0"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eması">
  <a:themeElements>
    <a:clrScheme name="Ofis">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i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is">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8D1E9-DCF2-45C3-BA77-EF2718DED036}">
  <sheetPr>
    <tabColor rgb="FF00B050"/>
  </sheetPr>
  <dimension ref="A1:Y38"/>
  <sheetViews>
    <sheetView showGridLines="0" tabSelected="1" topLeftCell="B1" zoomScale="70" zoomScaleNormal="70" zoomScaleSheetLayoutView="90" zoomScalePageLayoutView="138" workbookViewId="0">
      <pane ySplit="6" topLeftCell="A27" activePane="bottomLeft" state="frozen"/>
      <selection pane="bottomLeft" activeCell="F29" sqref="F29"/>
    </sheetView>
  </sheetViews>
  <sheetFormatPr defaultColWidth="10.69921875" defaultRowHeight="11.4" x14ac:dyDescent="0.3"/>
  <cols>
    <col min="1" max="1" width="28.19921875" style="2" hidden="1" customWidth="1"/>
    <col min="2" max="2" width="9.19921875" style="2" customWidth="1"/>
    <col min="3" max="4" width="28.19921875" style="1" customWidth="1"/>
    <col min="5" max="5" width="8.19921875" style="13" customWidth="1"/>
    <col min="6" max="6" width="41" style="13" customWidth="1"/>
    <col min="7" max="7" width="38.19921875" style="13" customWidth="1"/>
    <col min="8" max="10" width="10.19921875" style="1" customWidth="1"/>
    <col min="11" max="11" width="22.5" style="1" customWidth="1"/>
    <col min="12" max="12" width="28.796875" style="1" customWidth="1"/>
    <col min="13" max="16" width="17.19921875" style="1" customWidth="1"/>
    <col min="17" max="17" width="15.59765625" style="47" customWidth="1"/>
    <col min="18" max="18" width="10.69921875" style="47" customWidth="1"/>
    <col min="19" max="19" width="9.69921875" style="47" customWidth="1"/>
    <col min="20" max="20" width="10.59765625" style="47" customWidth="1"/>
    <col min="21" max="21" width="15.59765625" style="1" customWidth="1"/>
    <col min="22" max="22" width="25" style="1" customWidth="1"/>
    <col min="23" max="25" width="10" style="1" customWidth="1"/>
    <col min="26" max="16384" width="10.69921875" style="1"/>
  </cols>
  <sheetData>
    <row r="1" spans="1:25" s="9" customFormat="1" ht="62.7" hidden="1" customHeight="1" x14ac:dyDescent="0.3">
      <c r="A1" s="53"/>
      <c r="B1" s="58"/>
      <c r="C1" s="51"/>
      <c r="D1" s="51"/>
      <c r="E1" s="97" t="s">
        <v>41</v>
      </c>
      <c r="F1" s="98"/>
      <c r="G1" s="98"/>
      <c r="H1" s="98"/>
      <c r="I1" s="98"/>
      <c r="J1" s="98"/>
      <c r="K1" s="98"/>
      <c r="L1" s="98"/>
      <c r="M1" s="98"/>
      <c r="N1" s="98"/>
      <c r="O1" s="98"/>
      <c r="P1" s="98"/>
      <c r="Q1" s="98"/>
      <c r="R1" s="98"/>
      <c r="S1" s="98"/>
      <c r="T1" s="98"/>
      <c r="U1" s="99"/>
      <c r="V1" s="100" t="s">
        <v>44</v>
      </c>
      <c r="W1" s="101"/>
      <c r="X1" s="101"/>
      <c r="Y1" s="102"/>
    </row>
    <row r="2" spans="1:25" s="9" customFormat="1" ht="12.6" hidden="1" thickTop="1" thickBot="1" x14ac:dyDescent="0.35">
      <c r="A2" s="103"/>
      <c r="B2" s="103"/>
      <c r="C2" s="103"/>
      <c r="D2" s="103"/>
      <c r="E2" s="103"/>
      <c r="F2" s="103"/>
      <c r="G2" s="103"/>
      <c r="H2" s="103"/>
      <c r="I2" s="103"/>
      <c r="J2" s="103"/>
      <c r="K2" s="103"/>
      <c r="L2" s="103"/>
      <c r="M2" s="103"/>
      <c r="N2" s="103"/>
      <c r="O2" s="103"/>
      <c r="P2" s="103"/>
      <c r="Q2" s="103"/>
      <c r="R2" s="103"/>
      <c r="S2" s="103"/>
      <c r="T2" s="103"/>
      <c r="U2" s="103"/>
      <c r="V2" s="103"/>
      <c r="W2" s="103"/>
      <c r="X2" s="103"/>
      <c r="Y2" s="103"/>
    </row>
    <row r="3" spans="1:25" s="10" customFormat="1" ht="13.95" hidden="1" customHeight="1" x14ac:dyDescent="0.3">
      <c r="A3" s="104"/>
      <c r="B3" s="104"/>
      <c r="C3" s="104"/>
      <c r="D3" s="104"/>
      <c r="E3" s="104"/>
      <c r="F3" s="105" t="s">
        <v>42</v>
      </c>
      <c r="G3" s="106"/>
      <c r="H3" s="106"/>
      <c r="I3" s="106"/>
      <c r="J3" s="106"/>
      <c r="K3" s="106"/>
      <c r="L3" s="107"/>
      <c r="M3" s="105" t="s">
        <v>43</v>
      </c>
      <c r="N3" s="104"/>
      <c r="O3" s="104"/>
      <c r="P3" s="104"/>
      <c r="Q3" s="106"/>
      <c r="R3" s="106"/>
      <c r="S3" s="106"/>
      <c r="T3" s="106"/>
      <c r="U3" s="106"/>
      <c r="V3" s="106"/>
      <c r="W3" s="106"/>
      <c r="X3" s="106"/>
      <c r="Y3" s="107"/>
    </row>
    <row r="4" spans="1:25" s="10" customFormat="1" ht="16.95" hidden="1" customHeight="1" x14ac:dyDescent="0.3">
      <c r="A4" s="108"/>
      <c r="B4" s="108"/>
      <c r="C4" s="108"/>
      <c r="D4" s="108"/>
      <c r="E4" s="108"/>
      <c r="F4" s="109" t="s">
        <v>45</v>
      </c>
      <c r="G4" s="106"/>
      <c r="H4" s="106"/>
      <c r="I4" s="106"/>
      <c r="J4" s="106"/>
      <c r="K4" s="106"/>
      <c r="L4" s="107"/>
      <c r="M4" s="110">
        <v>43315</v>
      </c>
      <c r="N4" s="111"/>
      <c r="O4" s="111"/>
      <c r="P4" s="111"/>
      <c r="Q4" s="112"/>
      <c r="R4" s="112"/>
      <c r="S4" s="112"/>
      <c r="T4" s="112"/>
      <c r="U4" s="112"/>
      <c r="V4" s="112"/>
      <c r="W4" s="112"/>
      <c r="X4" s="112"/>
      <c r="Y4" s="113"/>
    </row>
    <row r="5" spans="1:25" s="9" customFormat="1" ht="16.8" hidden="1" thickTop="1" x14ac:dyDescent="0.3">
      <c r="A5" s="54"/>
      <c r="B5" s="59"/>
      <c r="C5" s="52"/>
      <c r="D5" s="52"/>
      <c r="E5" s="15"/>
      <c r="F5" s="3"/>
      <c r="G5" s="3"/>
      <c r="H5" s="3"/>
      <c r="I5" s="3"/>
      <c r="J5" s="3"/>
      <c r="K5" s="3"/>
      <c r="L5" s="3"/>
      <c r="M5" s="3"/>
      <c r="N5" s="3"/>
      <c r="O5" s="3"/>
      <c r="P5" s="3"/>
      <c r="Q5" s="46"/>
      <c r="R5" s="46"/>
      <c r="S5" s="46"/>
      <c r="T5" s="46"/>
      <c r="U5" s="4"/>
      <c r="V5" s="7"/>
      <c r="W5" s="7"/>
      <c r="X5" s="8"/>
      <c r="Y5" s="8"/>
    </row>
    <row r="6" spans="1:25" s="68" customFormat="1" ht="41.7" customHeight="1" x14ac:dyDescent="0.3">
      <c r="A6" s="60" t="s">
        <v>2</v>
      </c>
      <c r="B6" s="61" t="s">
        <v>221</v>
      </c>
      <c r="C6" s="61" t="s">
        <v>222</v>
      </c>
      <c r="D6" s="61" t="s">
        <v>224</v>
      </c>
      <c r="E6" s="62" t="s">
        <v>48</v>
      </c>
      <c r="F6" s="62" t="s">
        <v>223</v>
      </c>
      <c r="G6" s="63" t="s">
        <v>3</v>
      </c>
      <c r="H6" s="63" t="s">
        <v>38</v>
      </c>
      <c r="I6" s="63" t="s">
        <v>40</v>
      </c>
      <c r="J6" s="63" t="s">
        <v>4</v>
      </c>
      <c r="K6" s="63" t="s">
        <v>5</v>
      </c>
      <c r="L6" s="63" t="s">
        <v>36</v>
      </c>
      <c r="M6" s="64" t="s">
        <v>0</v>
      </c>
      <c r="N6" s="64" t="s">
        <v>163</v>
      </c>
      <c r="O6" s="64" t="s">
        <v>165</v>
      </c>
      <c r="P6" s="64" t="s">
        <v>160</v>
      </c>
      <c r="Q6" s="65" t="s">
        <v>37</v>
      </c>
      <c r="R6" s="66" t="s">
        <v>161</v>
      </c>
      <c r="S6" s="66" t="s">
        <v>40</v>
      </c>
      <c r="T6" s="67" t="s">
        <v>162</v>
      </c>
      <c r="U6" s="63" t="s">
        <v>52</v>
      </c>
      <c r="V6" s="63" t="s">
        <v>1</v>
      </c>
      <c r="W6" s="63" t="s">
        <v>38</v>
      </c>
      <c r="X6" s="63" t="s">
        <v>39</v>
      </c>
      <c r="Y6" s="63" t="s">
        <v>6</v>
      </c>
    </row>
    <row r="7" spans="1:25" ht="58.05" customHeight="1" x14ac:dyDescent="0.3">
      <c r="A7" s="69" t="s">
        <v>132</v>
      </c>
      <c r="B7" s="69" t="s">
        <v>225</v>
      </c>
      <c r="C7" s="70" t="s">
        <v>194</v>
      </c>
      <c r="D7" s="71" t="s">
        <v>234</v>
      </c>
      <c r="E7" s="62" t="s">
        <v>34</v>
      </c>
      <c r="F7" s="71" t="s">
        <v>138</v>
      </c>
      <c r="G7" s="71" t="s">
        <v>227</v>
      </c>
      <c r="H7" s="72">
        <v>1</v>
      </c>
      <c r="I7" s="73">
        <v>3</v>
      </c>
      <c r="J7" s="74">
        <f>+H7*I7</f>
        <v>3</v>
      </c>
      <c r="K7" s="71" t="s">
        <v>157</v>
      </c>
      <c r="L7" s="71" t="s">
        <v>153</v>
      </c>
      <c r="M7" s="72" t="s">
        <v>144</v>
      </c>
      <c r="N7" s="72" t="s">
        <v>164</v>
      </c>
      <c r="O7" s="72" t="s">
        <v>168</v>
      </c>
      <c r="P7" s="72" t="s">
        <v>182</v>
      </c>
      <c r="Q7" s="75">
        <v>46022</v>
      </c>
      <c r="R7" s="72">
        <v>1</v>
      </c>
      <c r="S7" s="76">
        <v>3</v>
      </c>
      <c r="T7" s="74">
        <f>+R7*S7</f>
        <v>3</v>
      </c>
      <c r="U7" s="72"/>
      <c r="V7" s="71" t="s">
        <v>145</v>
      </c>
      <c r="W7" s="77" t="s">
        <v>145</v>
      </c>
      <c r="X7" s="77" t="s">
        <v>145</v>
      </c>
      <c r="Y7" s="77" t="s">
        <v>145</v>
      </c>
    </row>
    <row r="8" spans="1:25" ht="58.05" customHeight="1" x14ac:dyDescent="0.3">
      <c r="A8" s="69" t="s">
        <v>132</v>
      </c>
      <c r="B8" s="69" t="s">
        <v>225</v>
      </c>
      <c r="C8" s="70" t="s">
        <v>194</v>
      </c>
      <c r="D8" s="71" t="s">
        <v>234</v>
      </c>
      <c r="E8" s="62" t="s">
        <v>34</v>
      </c>
      <c r="F8" s="71" t="s">
        <v>139</v>
      </c>
      <c r="G8" s="71" t="s">
        <v>228</v>
      </c>
      <c r="H8" s="72">
        <v>1</v>
      </c>
      <c r="I8" s="73">
        <v>3</v>
      </c>
      <c r="J8" s="74">
        <f>+H8*I8</f>
        <v>3</v>
      </c>
      <c r="K8" s="71" t="s">
        <v>157</v>
      </c>
      <c r="L8" s="71" t="s">
        <v>153</v>
      </c>
      <c r="M8" s="72" t="s">
        <v>174</v>
      </c>
      <c r="N8" s="72" t="s">
        <v>164</v>
      </c>
      <c r="O8" s="72" t="s">
        <v>168</v>
      </c>
      <c r="P8" s="72" t="s">
        <v>213</v>
      </c>
      <c r="Q8" s="72" t="s">
        <v>174</v>
      </c>
      <c r="R8" s="72">
        <v>1</v>
      </c>
      <c r="S8" s="76">
        <v>3</v>
      </c>
      <c r="T8" s="74">
        <f>+R8*S8</f>
        <v>3</v>
      </c>
      <c r="U8" s="72"/>
      <c r="V8" s="71" t="s">
        <v>147</v>
      </c>
      <c r="W8" s="77">
        <v>3</v>
      </c>
      <c r="X8" s="77">
        <v>4</v>
      </c>
      <c r="Y8" s="77">
        <f>+W8*X8</f>
        <v>12</v>
      </c>
    </row>
    <row r="9" spans="1:25" ht="58.05" customHeight="1" x14ac:dyDescent="0.3">
      <c r="A9" s="69" t="s">
        <v>125</v>
      </c>
      <c r="B9" s="69" t="s">
        <v>225</v>
      </c>
      <c r="C9" s="78" t="s">
        <v>200</v>
      </c>
      <c r="D9" s="79" t="s">
        <v>226</v>
      </c>
      <c r="E9" s="62" t="s">
        <v>34</v>
      </c>
      <c r="F9" s="71" t="s">
        <v>133</v>
      </c>
      <c r="G9" s="71" t="s">
        <v>148</v>
      </c>
      <c r="H9" s="72">
        <v>1</v>
      </c>
      <c r="I9" s="72">
        <v>3</v>
      </c>
      <c r="J9" s="74">
        <f t="shared" ref="J9" si="0">+H9*I9</f>
        <v>3</v>
      </c>
      <c r="K9" s="71" t="s">
        <v>204</v>
      </c>
      <c r="L9" s="71" t="s">
        <v>146</v>
      </c>
      <c r="M9" s="72" t="s">
        <v>144</v>
      </c>
      <c r="N9" s="72" t="s">
        <v>164</v>
      </c>
      <c r="O9" s="72" t="s">
        <v>168</v>
      </c>
      <c r="P9" s="72" t="s">
        <v>169</v>
      </c>
      <c r="Q9" s="75">
        <v>46022</v>
      </c>
      <c r="R9" s="72">
        <v>1</v>
      </c>
      <c r="S9" s="72">
        <v>3</v>
      </c>
      <c r="T9" s="74">
        <f t="shared" ref="T9" si="1">+R9*S9</f>
        <v>3</v>
      </c>
      <c r="U9" s="75"/>
      <c r="V9" s="71" t="s">
        <v>145</v>
      </c>
      <c r="W9" s="77" t="s">
        <v>145</v>
      </c>
      <c r="X9" s="77" t="s">
        <v>145</v>
      </c>
      <c r="Y9" s="77" t="s">
        <v>145</v>
      </c>
    </row>
    <row r="10" spans="1:25" ht="58.05" customHeight="1" x14ac:dyDescent="0.3">
      <c r="A10" s="69" t="s">
        <v>124</v>
      </c>
      <c r="B10" s="69" t="s">
        <v>225</v>
      </c>
      <c r="C10" s="70" t="s">
        <v>203</v>
      </c>
      <c r="D10" s="80" t="s">
        <v>231</v>
      </c>
      <c r="E10" s="62" t="s">
        <v>34</v>
      </c>
      <c r="F10" s="71" t="s">
        <v>229</v>
      </c>
      <c r="G10" s="71" t="s">
        <v>230</v>
      </c>
      <c r="H10" s="72">
        <v>3</v>
      </c>
      <c r="I10" s="72">
        <v>3</v>
      </c>
      <c r="J10" s="74">
        <f t="shared" ref="J10:J15" si="2">+H10*I10</f>
        <v>9</v>
      </c>
      <c r="K10" s="71" t="s">
        <v>156</v>
      </c>
      <c r="L10" s="71" t="s">
        <v>143</v>
      </c>
      <c r="M10" s="72" t="s">
        <v>144</v>
      </c>
      <c r="N10" s="72" t="s">
        <v>164</v>
      </c>
      <c r="O10" s="72" t="s">
        <v>166</v>
      </c>
      <c r="P10" s="72" t="s">
        <v>167</v>
      </c>
      <c r="Q10" s="75">
        <v>46022</v>
      </c>
      <c r="R10" s="72">
        <v>2</v>
      </c>
      <c r="S10" s="72">
        <v>3</v>
      </c>
      <c r="T10" s="74">
        <f>+R10*S10</f>
        <v>6</v>
      </c>
      <c r="U10" s="75"/>
      <c r="V10" s="71" t="s">
        <v>145</v>
      </c>
      <c r="W10" s="77" t="s">
        <v>145</v>
      </c>
      <c r="X10" s="77" t="s">
        <v>145</v>
      </c>
      <c r="Y10" s="77" t="s">
        <v>145</v>
      </c>
    </row>
    <row r="11" spans="1:25" ht="58.05" customHeight="1" x14ac:dyDescent="0.3">
      <c r="A11" s="69" t="s">
        <v>126</v>
      </c>
      <c r="B11" s="69" t="s">
        <v>225</v>
      </c>
      <c r="C11" s="70" t="s">
        <v>196</v>
      </c>
      <c r="D11" s="80" t="s">
        <v>231</v>
      </c>
      <c r="E11" s="62" t="s">
        <v>34</v>
      </c>
      <c r="F11" s="71" t="s">
        <v>229</v>
      </c>
      <c r="G11" s="71" t="s">
        <v>236</v>
      </c>
      <c r="H11" s="72">
        <v>2</v>
      </c>
      <c r="I11" s="72">
        <v>3</v>
      </c>
      <c r="J11" s="74">
        <f t="shared" si="2"/>
        <v>6</v>
      </c>
      <c r="K11" s="71" t="s">
        <v>158</v>
      </c>
      <c r="L11" s="81" t="s">
        <v>211</v>
      </c>
      <c r="M11" s="72" t="s">
        <v>144</v>
      </c>
      <c r="N11" s="72" t="s">
        <v>164</v>
      </c>
      <c r="O11" s="72" t="s">
        <v>170</v>
      </c>
      <c r="P11" s="72" t="s">
        <v>171</v>
      </c>
      <c r="Q11" s="75">
        <v>46022</v>
      </c>
      <c r="R11" s="72">
        <v>1</v>
      </c>
      <c r="S11" s="72">
        <v>3</v>
      </c>
      <c r="T11" s="74">
        <f>+R11*S11</f>
        <v>3</v>
      </c>
      <c r="U11" s="72"/>
      <c r="V11" s="71" t="s">
        <v>145</v>
      </c>
      <c r="W11" s="77" t="s">
        <v>145</v>
      </c>
      <c r="X11" s="77" t="s">
        <v>145</v>
      </c>
      <c r="Y11" s="77" t="s">
        <v>145</v>
      </c>
    </row>
    <row r="12" spans="1:25" ht="58.05" customHeight="1" x14ac:dyDescent="0.3">
      <c r="A12" s="69" t="s">
        <v>128</v>
      </c>
      <c r="B12" s="69" t="s">
        <v>225</v>
      </c>
      <c r="C12" s="70" t="s">
        <v>197</v>
      </c>
      <c r="D12" s="71" t="s">
        <v>247</v>
      </c>
      <c r="E12" s="62" t="s">
        <v>131</v>
      </c>
      <c r="F12" s="71" t="s">
        <v>141</v>
      </c>
      <c r="G12" s="71" t="s">
        <v>248</v>
      </c>
      <c r="H12" s="72">
        <v>1</v>
      </c>
      <c r="I12" s="72">
        <v>2</v>
      </c>
      <c r="J12" s="74">
        <f t="shared" si="2"/>
        <v>2</v>
      </c>
      <c r="K12" s="71" t="s">
        <v>157</v>
      </c>
      <c r="L12" s="71" t="s">
        <v>153</v>
      </c>
      <c r="M12" s="72" t="s">
        <v>180</v>
      </c>
      <c r="N12" s="72" t="s">
        <v>164</v>
      </c>
      <c r="O12" s="72" t="s">
        <v>168</v>
      </c>
      <c r="P12" s="72" t="s">
        <v>187</v>
      </c>
      <c r="Q12" s="75">
        <v>46022</v>
      </c>
      <c r="R12" s="72">
        <v>1</v>
      </c>
      <c r="S12" s="72">
        <v>2</v>
      </c>
      <c r="T12" s="74">
        <f>+R12*S12</f>
        <v>2</v>
      </c>
      <c r="U12" s="72"/>
      <c r="V12" s="71" t="s">
        <v>145</v>
      </c>
      <c r="W12" s="77" t="s">
        <v>145</v>
      </c>
      <c r="X12" s="77" t="s">
        <v>145</v>
      </c>
      <c r="Y12" s="77" t="s">
        <v>145</v>
      </c>
    </row>
    <row r="13" spans="1:25" ht="58.05" customHeight="1" x14ac:dyDescent="0.3">
      <c r="A13" s="69" t="s">
        <v>129</v>
      </c>
      <c r="B13" s="69" t="s">
        <v>225</v>
      </c>
      <c r="C13" s="70" t="s">
        <v>202</v>
      </c>
      <c r="D13" s="71" t="s">
        <v>247</v>
      </c>
      <c r="E13" s="62" t="s">
        <v>131</v>
      </c>
      <c r="F13" s="71" t="s">
        <v>142</v>
      </c>
      <c r="G13" s="71" t="s">
        <v>188</v>
      </c>
      <c r="H13" s="72">
        <v>1</v>
      </c>
      <c r="I13" s="72">
        <v>3</v>
      </c>
      <c r="J13" s="74">
        <f t="shared" si="2"/>
        <v>3</v>
      </c>
      <c r="K13" s="71" t="s">
        <v>157</v>
      </c>
      <c r="L13" s="71" t="s">
        <v>219</v>
      </c>
      <c r="M13" s="72" t="s">
        <v>180</v>
      </c>
      <c r="N13" s="72" t="s">
        <v>164</v>
      </c>
      <c r="O13" s="72" t="s">
        <v>185</v>
      </c>
      <c r="P13" s="72" t="s">
        <v>189</v>
      </c>
      <c r="Q13" s="75">
        <v>46022</v>
      </c>
      <c r="R13" s="72">
        <v>1</v>
      </c>
      <c r="S13" s="72">
        <v>3</v>
      </c>
      <c r="T13" s="74">
        <f>+R13*S13</f>
        <v>3</v>
      </c>
      <c r="U13" s="72"/>
      <c r="V13" s="71" t="s">
        <v>145</v>
      </c>
      <c r="W13" s="77" t="s">
        <v>145</v>
      </c>
      <c r="X13" s="77" t="s">
        <v>145</v>
      </c>
      <c r="Y13" s="77" t="s">
        <v>145</v>
      </c>
    </row>
    <row r="14" spans="1:25" ht="58.05" customHeight="1" x14ac:dyDescent="0.3">
      <c r="A14" s="69" t="s">
        <v>130</v>
      </c>
      <c r="B14" s="69" t="s">
        <v>225</v>
      </c>
      <c r="C14" s="70" t="s">
        <v>202</v>
      </c>
      <c r="D14" s="71" t="s">
        <v>247</v>
      </c>
      <c r="E14" s="62" t="s">
        <v>131</v>
      </c>
      <c r="F14" s="71" t="s">
        <v>190</v>
      </c>
      <c r="G14" s="71" t="s">
        <v>207</v>
      </c>
      <c r="H14" s="72">
        <v>3</v>
      </c>
      <c r="I14" s="72">
        <v>3</v>
      </c>
      <c r="J14" s="74">
        <f t="shared" si="2"/>
        <v>9</v>
      </c>
      <c r="K14" s="71" t="s">
        <v>157</v>
      </c>
      <c r="L14" s="71" t="s">
        <v>153</v>
      </c>
      <c r="M14" s="72" t="s">
        <v>180</v>
      </c>
      <c r="N14" s="72" t="s">
        <v>164</v>
      </c>
      <c r="O14" s="72" t="s">
        <v>168</v>
      </c>
      <c r="P14" s="72" t="s">
        <v>191</v>
      </c>
      <c r="Q14" s="75">
        <v>46022</v>
      </c>
      <c r="R14" s="72">
        <v>3</v>
      </c>
      <c r="S14" s="72">
        <v>3</v>
      </c>
      <c r="T14" s="74">
        <f>+R14*S14</f>
        <v>9</v>
      </c>
      <c r="U14" s="72"/>
      <c r="V14" s="71" t="s">
        <v>145</v>
      </c>
      <c r="W14" s="77" t="s">
        <v>145</v>
      </c>
      <c r="X14" s="77" t="s">
        <v>145</v>
      </c>
      <c r="Y14" s="77" t="s">
        <v>145</v>
      </c>
    </row>
    <row r="15" spans="1:25" ht="58.05" customHeight="1" x14ac:dyDescent="0.3">
      <c r="A15" s="69" t="s">
        <v>132</v>
      </c>
      <c r="B15" s="91" t="s">
        <v>225</v>
      </c>
      <c r="C15" s="78" t="s">
        <v>252</v>
      </c>
      <c r="D15" s="92" t="s">
        <v>247</v>
      </c>
      <c r="E15" s="93" t="s">
        <v>131</v>
      </c>
      <c r="F15" s="92" t="s">
        <v>250</v>
      </c>
      <c r="G15" s="92" t="s">
        <v>268</v>
      </c>
      <c r="H15" s="77">
        <v>2</v>
      </c>
      <c r="I15" s="82">
        <v>4</v>
      </c>
      <c r="J15" s="73">
        <f t="shared" si="2"/>
        <v>8</v>
      </c>
      <c r="K15" s="71" t="s">
        <v>251</v>
      </c>
      <c r="L15" s="79" t="s">
        <v>253</v>
      </c>
      <c r="M15" s="83" t="s">
        <v>254</v>
      </c>
      <c r="N15" s="83" t="s">
        <v>255</v>
      </c>
      <c r="O15" s="83" t="s">
        <v>185</v>
      </c>
      <c r="P15" s="83" t="s">
        <v>256</v>
      </c>
      <c r="Q15" s="75" t="s">
        <v>284</v>
      </c>
      <c r="R15" s="72">
        <v>2</v>
      </c>
      <c r="S15" s="72">
        <v>4</v>
      </c>
      <c r="T15" s="73">
        <f t="shared" ref="T15:T16" si="3">R15*S15</f>
        <v>8</v>
      </c>
      <c r="U15" s="72"/>
      <c r="V15" s="71" t="s">
        <v>145</v>
      </c>
      <c r="W15" s="77" t="s">
        <v>145</v>
      </c>
      <c r="X15" s="77" t="s">
        <v>145</v>
      </c>
      <c r="Y15" s="77" t="s">
        <v>145</v>
      </c>
    </row>
    <row r="16" spans="1:25" ht="58.05" customHeight="1" x14ac:dyDescent="0.3">
      <c r="A16" s="69"/>
      <c r="B16" s="91" t="s">
        <v>159</v>
      </c>
      <c r="C16" s="78" t="s">
        <v>257</v>
      </c>
      <c r="D16" s="94" t="s">
        <v>234</v>
      </c>
      <c r="E16" s="93" t="s">
        <v>34</v>
      </c>
      <c r="F16" s="92" t="s">
        <v>258</v>
      </c>
      <c r="G16" s="94" t="s">
        <v>259</v>
      </c>
      <c r="H16" s="72">
        <v>2</v>
      </c>
      <c r="I16" s="72">
        <v>4</v>
      </c>
      <c r="J16" s="73">
        <f t="shared" ref="J16" si="4">+H16*I16</f>
        <v>8</v>
      </c>
      <c r="K16" s="71" t="s">
        <v>157</v>
      </c>
      <c r="L16" s="71" t="s">
        <v>153</v>
      </c>
      <c r="M16" s="72" t="s">
        <v>260</v>
      </c>
      <c r="N16" s="72" t="s">
        <v>255</v>
      </c>
      <c r="O16" s="72" t="s">
        <v>261</v>
      </c>
      <c r="P16" s="72" t="s">
        <v>262</v>
      </c>
      <c r="Q16" s="75" t="s">
        <v>260</v>
      </c>
      <c r="R16" s="72">
        <v>2</v>
      </c>
      <c r="S16" s="72">
        <v>4</v>
      </c>
      <c r="T16" s="73">
        <f t="shared" si="3"/>
        <v>8</v>
      </c>
      <c r="U16" s="72"/>
      <c r="V16" s="71" t="s">
        <v>263</v>
      </c>
      <c r="W16" s="77"/>
      <c r="X16" s="77"/>
      <c r="Y16" s="77"/>
    </row>
    <row r="17" spans="1:25" ht="78" x14ac:dyDescent="0.3">
      <c r="A17" s="69" t="s">
        <v>126</v>
      </c>
      <c r="B17" s="91" t="s">
        <v>159</v>
      </c>
      <c r="C17" s="78" t="s">
        <v>232</v>
      </c>
      <c r="D17" s="94" t="s">
        <v>234</v>
      </c>
      <c r="E17" s="93" t="s">
        <v>34</v>
      </c>
      <c r="F17" s="94" t="s">
        <v>201</v>
      </c>
      <c r="G17" s="94" t="s">
        <v>235</v>
      </c>
      <c r="H17" s="72">
        <v>1</v>
      </c>
      <c r="I17" s="72">
        <v>3</v>
      </c>
      <c r="J17" s="74">
        <f>+H17*I17</f>
        <v>3</v>
      </c>
      <c r="K17" s="71" t="s">
        <v>157</v>
      </c>
      <c r="L17" s="71" t="s">
        <v>239</v>
      </c>
      <c r="M17" s="72" t="s">
        <v>144</v>
      </c>
      <c r="N17" s="72" t="s">
        <v>164</v>
      </c>
      <c r="O17" s="72" t="s">
        <v>168</v>
      </c>
      <c r="P17" s="72" t="s">
        <v>172</v>
      </c>
      <c r="Q17" s="75">
        <v>46022</v>
      </c>
      <c r="R17" s="72">
        <v>1</v>
      </c>
      <c r="S17" s="72">
        <v>3</v>
      </c>
      <c r="T17" s="74">
        <f>+R17*S17</f>
        <v>3</v>
      </c>
      <c r="U17" s="72"/>
      <c r="V17" s="71" t="s">
        <v>145</v>
      </c>
      <c r="W17" s="77" t="s">
        <v>145</v>
      </c>
      <c r="X17" s="77" t="s">
        <v>145</v>
      </c>
      <c r="Y17" s="77" t="s">
        <v>145</v>
      </c>
    </row>
    <row r="18" spans="1:25" ht="58.05" customHeight="1" x14ac:dyDescent="0.3">
      <c r="A18" s="69"/>
      <c r="B18" s="91" t="s">
        <v>237</v>
      </c>
      <c r="C18" s="78" t="s">
        <v>232</v>
      </c>
      <c r="D18" s="94" t="s">
        <v>234</v>
      </c>
      <c r="E18" s="93" t="s">
        <v>34</v>
      </c>
      <c r="F18" s="94" t="s">
        <v>212</v>
      </c>
      <c r="G18" s="94" t="s">
        <v>154</v>
      </c>
      <c r="H18" s="72">
        <v>1</v>
      </c>
      <c r="I18" s="72">
        <v>2</v>
      </c>
      <c r="J18" s="74">
        <f>+H18*I18</f>
        <v>2</v>
      </c>
      <c r="K18" s="71" t="s">
        <v>209</v>
      </c>
      <c r="L18" s="71" t="s">
        <v>153</v>
      </c>
      <c r="M18" s="72" t="s">
        <v>180</v>
      </c>
      <c r="N18" s="72" t="s">
        <v>164</v>
      </c>
      <c r="O18" s="72" t="s">
        <v>168</v>
      </c>
      <c r="P18" s="72" t="s">
        <v>181</v>
      </c>
      <c r="Q18" s="75">
        <v>46022</v>
      </c>
      <c r="R18" s="72">
        <v>1</v>
      </c>
      <c r="S18" s="72">
        <v>2</v>
      </c>
      <c r="T18" s="74">
        <f>+R18*S18</f>
        <v>2</v>
      </c>
      <c r="U18" s="72"/>
      <c r="V18" s="71" t="s">
        <v>145</v>
      </c>
      <c r="W18" s="77" t="s">
        <v>145</v>
      </c>
      <c r="X18" s="77" t="s">
        <v>145</v>
      </c>
      <c r="Y18" s="77" t="s">
        <v>145</v>
      </c>
    </row>
    <row r="19" spans="1:25" ht="78" x14ac:dyDescent="0.3">
      <c r="A19" s="69" t="s">
        <v>195</v>
      </c>
      <c r="B19" s="91" t="s">
        <v>159</v>
      </c>
      <c r="C19" s="78" t="s">
        <v>233</v>
      </c>
      <c r="D19" s="94" t="s">
        <v>234</v>
      </c>
      <c r="E19" s="93" t="s">
        <v>34</v>
      </c>
      <c r="F19" s="94" t="s">
        <v>269</v>
      </c>
      <c r="G19" s="94" t="s">
        <v>270</v>
      </c>
      <c r="H19" s="72">
        <v>1</v>
      </c>
      <c r="I19" s="72">
        <v>3</v>
      </c>
      <c r="J19" s="74">
        <f>+H19*I19</f>
        <v>3</v>
      </c>
      <c r="K19" s="71" t="s">
        <v>210</v>
      </c>
      <c r="L19" s="71" t="s">
        <v>240</v>
      </c>
      <c r="M19" s="72" t="s">
        <v>174</v>
      </c>
      <c r="N19" s="72" t="s">
        <v>164</v>
      </c>
      <c r="O19" s="72" t="s">
        <v>175</v>
      </c>
      <c r="P19" s="72" t="s">
        <v>176</v>
      </c>
      <c r="Q19" s="72" t="s">
        <v>174</v>
      </c>
      <c r="R19" s="72">
        <v>1</v>
      </c>
      <c r="S19" s="72">
        <v>3</v>
      </c>
      <c r="T19" s="74">
        <f>+R19*S19</f>
        <v>3</v>
      </c>
      <c r="U19" s="72"/>
      <c r="V19" s="71" t="s">
        <v>276</v>
      </c>
      <c r="W19" s="77">
        <v>3</v>
      </c>
      <c r="X19" s="77">
        <v>4</v>
      </c>
      <c r="Y19" s="77">
        <f>+W19*X19</f>
        <v>12</v>
      </c>
    </row>
    <row r="20" spans="1:25" ht="58.05" customHeight="1" x14ac:dyDescent="0.3">
      <c r="A20" s="69" t="s">
        <v>195</v>
      </c>
      <c r="B20" s="69" t="s">
        <v>159</v>
      </c>
      <c r="C20" s="70" t="s">
        <v>233</v>
      </c>
      <c r="D20" s="71" t="s">
        <v>234</v>
      </c>
      <c r="E20" s="62" t="s">
        <v>34</v>
      </c>
      <c r="F20" s="71" t="s">
        <v>136</v>
      </c>
      <c r="G20" s="71" t="s">
        <v>150</v>
      </c>
      <c r="H20" s="72">
        <v>1</v>
      </c>
      <c r="I20" s="72">
        <v>3</v>
      </c>
      <c r="J20" s="74">
        <f t="shared" ref="J20:J28" si="5">+H20*I20</f>
        <v>3</v>
      </c>
      <c r="K20" s="71" t="s">
        <v>210</v>
      </c>
      <c r="L20" s="71" t="s">
        <v>238</v>
      </c>
      <c r="M20" s="72" t="s">
        <v>174</v>
      </c>
      <c r="N20" s="72" t="s">
        <v>164</v>
      </c>
      <c r="O20" s="72" t="s">
        <v>175</v>
      </c>
      <c r="P20" s="72" t="s">
        <v>176</v>
      </c>
      <c r="Q20" s="72" t="s">
        <v>174</v>
      </c>
      <c r="R20" s="72">
        <v>1</v>
      </c>
      <c r="S20" s="72">
        <v>3</v>
      </c>
      <c r="T20" s="74">
        <f t="shared" ref="T20:T28" si="6">+R20*S20</f>
        <v>3</v>
      </c>
      <c r="U20" s="72"/>
      <c r="V20" s="71" t="s">
        <v>145</v>
      </c>
      <c r="W20" s="77" t="s">
        <v>145</v>
      </c>
      <c r="X20" s="77" t="s">
        <v>145</v>
      </c>
      <c r="Y20" s="77" t="s">
        <v>145</v>
      </c>
    </row>
    <row r="21" spans="1:25" ht="58.05" customHeight="1" x14ac:dyDescent="0.3">
      <c r="A21" s="69" t="s">
        <v>195</v>
      </c>
      <c r="B21" s="69" t="s">
        <v>159</v>
      </c>
      <c r="C21" s="70" t="s">
        <v>193</v>
      </c>
      <c r="D21" s="71" t="s">
        <v>234</v>
      </c>
      <c r="E21" s="62" t="s">
        <v>34</v>
      </c>
      <c r="F21" s="71" t="s">
        <v>134</v>
      </c>
      <c r="G21" s="84" t="s">
        <v>206</v>
      </c>
      <c r="H21" s="72">
        <v>1</v>
      </c>
      <c r="I21" s="72">
        <v>3</v>
      </c>
      <c r="J21" s="74">
        <f t="shared" si="5"/>
        <v>3</v>
      </c>
      <c r="K21" s="71" t="s">
        <v>157</v>
      </c>
      <c r="L21" s="71" t="s">
        <v>146</v>
      </c>
      <c r="M21" s="72" t="s">
        <v>174</v>
      </c>
      <c r="N21" s="72" t="s">
        <v>164</v>
      </c>
      <c r="O21" s="72" t="s">
        <v>168</v>
      </c>
      <c r="P21" s="72" t="s">
        <v>176</v>
      </c>
      <c r="Q21" s="72" t="s">
        <v>174</v>
      </c>
      <c r="R21" s="72">
        <v>1</v>
      </c>
      <c r="S21" s="72">
        <v>3</v>
      </c>
      <c r="T21" s="74">
        <f t="shared" si="6"/>
        <v>3</v>
      </c>
      <c r="U21" s="72"/>
      <c r="V21" s="71" t="s">
        <v>145</v>
      </c>
      <c r="W21" s="77" t="s">
        <v>145</v>
      </c>
      <c r="X21" s="77" t="s">
        <v>145</v>
      </c>
      <c r="Y21" s="77" t="s">
        <v>145</v>
      </c>
    </row>
    <row r="22" spans="1:25" ht="58.05" customHeight="1" x14ac:dyDescent="0.3">
      <c r="A22" s="69" t="s">
        <v>195</v>
      </c>
      <c r="B22" s="69" t="s">
        <v>159</v>
      </c>
      <c r="C22" s="70" t="s">
        <v>193</v>
      </c>
      <c r="D22" s="71" t="s">
        <v>234</v>
      </c>
      <c r="E22" s="62" t="s">
        <v>34</v>
      </c>
      <c r="F22" s="84" t="s">
        <v>135</v>
      </c>
      <c r="G22" s="84" t="s">
        <v>149</v>
      </c>
      <c r="H22" s="85">
        <v>1</v>
      </c>
      <c r="I22" s="85">
        <v>3</v>
      </c>
      <c r="J22" s="86">
        <f t="shared" si="5"/>
        <v>3</v>
      </c>
      <c r="K22" s="84" t="s">
        <v>205</v>
      </c>
      <c r="L22" s="71" t="s">
        <v>240</v>
      </c>
      <c r="M22" s="72" t="s">
        <v>174</v>
      </c>
      <c r="N22" s="72" t="s">
        <v>164</v>
      </c>
      <c r="O22" s="72" t="s">
        <v>175</v>
      </c>
      <c r="P22" s="72" t="s">
        <v>173</v>
      </c>
      <c r="Q22" s="72" t="s">
        <v>174</v>
      </c>
      <c r="R22" s="72">
        <v>1</v>
      </c>
      <c r="S22" s="72">
        <v>3</v>
      </c>
      <c r="T22" s="74">
        <f t="shared" si="6"/>
        <v>3</v>
      </c>
      <c r="U22" s="72"/>
      <c r="V22" s="71" t="s">
        <v>145</v>
      </c>
      <c r="W22" s="77" t="s">
        <v>145</v>
      </c>
      <c r="X22" s="77" t="s">
        <v>145</v>
      </c>
      <c r="Y22" s="77" t="s">
        <v>145</v>
      </c>
    </row>
    <row r="23" spans="1:25" ht="93.6" x14ac:dyDescent="0.3">
      <c r="A23" s="90"/>
      <c r="B23" s="91" t="s">
        <v>159</v>
      </c>
      <c r="C23" s="78" t="s">
        <v>264</v>
      </c>
      <c r="D23" s="94" t="s">
        <v>234</v>
      </c>
      <c r="E23" s="93" t="s">
        <v>34</v>
      </c>
      <c r="F23" s="95" t="s">
        <v>265</v>
      </c>
      <c r="G23" s="95" t="s">
        <v>266</v>
      </c>
      <c r="H23" s="72">
        <v>2</v>
      </c>
      <c r="I23" s="72">
        <v>4</v>
      </c>
      <c r="J23" s="73">
        <f t="shared" si="5"/>
        <v>8</v>
      </c>
      <c r="K23" s="71" t="s">
        <v>157</v>
      </c>
      <c r="L23" s="71" t="s">
        <v>267</v>
      </c>
      <c r="M23" s="72" t="s">
        <v>174</v>
      </c>
      <c r="N23" s="72" t="s">
        <v>164</v>
      </c>
      <c r="O23" s="72" t="s">
        <v>175</v>
      </c>
      <c r="P23" s="72" t="s">
        <v>173</v>
      </c>
      <c r="Q23" s="72" t="s">
        <v>174</v>
      </c>
      <c r="R23" s="72">
        <v>1</v>
      </c>
      <c r="S23" s="72">
        <v>3</v>
      </c>
      <c r="T23" s="74">
        <f t="shared" ref="T23" si="7">+R23*S23</f>
        <v>3</v>
      </c>
      <c r="U23" s="72"/>
      <c r="V23" s="71" t="s">
        <v>283</v>
      </c>
      <c r="W23" s="77" t="s">
        <v>145</v>
      </c>
      <c r="X23" s="77" t="s">
        <v>145</v>
      </c>
      <c r="Y23" s="77" t="s">
        <v>145</v>
      </c>
    </row>
    <row r="24" spans="1:25" ht="93.6" x14ac:dyDescent="0.3">
      <c r="A24" s="69" t="s">
        <v>195</v>
      </c>
      <c r="B24" s="69" t="s">
        <v>159</v>
      </c>
      <c r="C24" s="70" t="s">
        <v>241</v>
      </c>
      <c r="D24" s="71" t="s">
        <v>234</v>
      </c>
      <c r="E24" s="62" t="s">
        <v>34</v>
      </c>
      <c r="F24" s="71" t="s">
        <v>151</v>
      </c>
      <c r="G24" s="71" t="s">
        <v>152</v>
      </c>
      <c r="H24" s="72">
        <v>1</v>
      </c>
      <c r="I24" s="72">
        <v>2</v>
      </c>
      <c r="J24" s="74">
        <f t="shared" si="5"/>
        <v>2</v>
      </c>
      <c r="K24" s="71" t="s">
        <v>157</v>
      </c>
      <c r="L24" s="71" t="s">
        <v>153</v>
      </c>
      <c r="M24" s="72" t="s">
        <v>177</v>
      </c>
      <c r="N24" s="72" t="s">
        <v>164</v>
      </c>
      <c r="O24" s="72" t="s">
        <v>168</v>
      </c>
      <c r="P24" s="72" t="s">
        <v>178</v>
      </c>
      <c r="Q24" s="75">
        <v>46022</v>
      </c>
      <c r="R24" s="72">
        <v>1</v>
      </c>
      <c r="S24" s="72">
        <v>2</v>
      </c>
      <c r="T24" s="74">
        <f t="shared" si="6"/>
        <v>2</v>
      </c>
      <c r="U24" s="72"/>
      <c r="V24" s="71" t="s">
        <v>145</v>
      </c>
      <c r="W24" s="77" t="s">
        <v>145</v>
      </c>
      <c r="X24" s="77" t="s">
        <v>145</v>
      </c>
      <c r="Y24" s="77" t="s">
        <v>145</v>
      </c>
    </row>
    <row r="25" spans="1:25" ht="62.4" x14ac:dyDescent="0.3">
      <c r="A25" s="69"/>
      <c r="B25" s="69" t="s">
        <v>243</v>
      </c>
      <c r="C25" s="70" t="s">
        <v>198</v>
      </c>
      <c r="D25" s="71" t="s">
        <v>242</v>
      </c>
      <c r="E25" s="62" t="s">
        <v>34</v>
      </c>
      <c r="F25" s="71" t="s">
        <v>137</v>
      </c>
      <c r="G25" s="71" t="s">
        <v>244</v>
      </c>
      <c r="H25" s="72">
        <v>1</v>
      </c>
      <c r="I25" s="72">
        <v>2</v>
      </c>
      <c r="J25" s="74">
        <f t="shared" si="5"/>
        <v>2</v>
      </c>
      <c r="K25" s="71" t="s">
        <v>157</v>
      </c>
      <c r="L25" s="71" t="s">
        <v>153</v>
      </c>
      <c r="M25" s="72" t="s">
        <v>144</v>
      </c>
      <c r="N25" s="72" t="s">
        <v>164</v>
      </c>
      <c r="O25" s="72" t="s">
        <v>175</v>
      </c>
      <c r="P25" s="72" t="s">
        <v>179</v>
      </c>
      <c r="Q25" s="75">
        <v>46022</v>
      </c>
      <c r="R25" s="72">
        <v>1</v>
      </c>
      <c r="S25" s="72">
        <v>2</v>
      </c>
      <c r="T25" s="74">
        <f t="shared" si="6"/>
        <v>2</v>
      </c>
      <c r="U25" s="63"/>
      <c r="V25" s="89"/>
      <c r="W25" s="63"/>
      <c r="X25" s="63"/>
      <c r="Y25" s="63"/>
    </row>
    <row r="26" spans="1:25" ht="78" x14ac:dyDescent="0.3">
      <c r="A26" s="69" t="s">
        <v>127</v>
      </c>
      <c r="B26" s="69" t="s">
        <v>159</v>
      </c>
      <c r="C26" s="78" t="s">
        <v>199</v>
      </c>
      <c r="D26" s="71" t="s">
        <v>245</v>
      </c>
      <c r="E26" s="62" t="s">
        <v>131</v>
      </c>
      <c r="F26" s="71" t="s">
        <v>246</v>
      </c>
      <c r="G26" s="71" t="s">
        <v>184</v>
      </c>
      <c r="H26" s="72">
        <v>2</v>
      </c>
      <c r="I26" s="72">
        <v>2</v>
      </c>
      <c r="J26" s="74">
        <f t="shared" si="5"/>
        <v>4</v>
      </c>
      <c r="K26" s="71" t="s">
        <v>159</v>
      </c>
      <c r="L26" s="71" t="s">
        <v>183</v>
      </c>
      <c r="M26" s="72" t="s">
        <v>144</v>
      </c>
      <c r="N26" s="72" t="s">
        <v>164</v>
      </c>
      <c r="O26" s="72" t="s">
        <v>185</v>
      </c>
      <c r="P26" s="72" t="s">
        <v>186</v>
      </c>
      <c r="Q26" s="75">
        <v>46022</v>
      </c>
      <c r="R26" s="72">
        <v>2</v>
      </c>
      <c r="S26" s="72">
        <v>2</v>
      </c>
      <c r="T26" s="74">
        <f t="shared" si="6"/>
        <v>4</v>
      </c>
      <c r="U26" s="72"/>
      <c r="V26" s="71" t="s">
        <v>216</v>
      </c>
      <c r="W26" s="77">
        <v>3</v>
      </c>
      <c r="X26" s="77">
        <v>4</v>
      </c>
      <c r="Y26" s="77">
        <f t="shared" ref="Y26:Y32" si="8">+W26*X26</f>
        <v>12</v>
      </c>
    </row>
    <row r="27" spans="1:25" s="2" customFormat="1" ht="93.6" x14ac:dyDescent="0.3">
      <c r="A27" s="69" t="s">
        <v>127</v>
      </c>
      <c r="B27" s="69" t="s">
        <v>159</v>
      </c>
      <c r="C27" s="87" t="s">
        <v>199</v>
      </c>
      <c r="D27" s="71" t="s">
        <v>245</v>
      </c>
      <c r="E27" s="88" t="s">
        <v>131</v>
      </c>
      <c r="F27" s="84" t="s">
        <v>208</v>
      </c>
      <c r="G27" s="84" t="s">
        <v>214</v>
      </c>
      <c r="H27" s="85">
        <v>1</v>
      </c>
      <c r="I27" s="85">
        <v>2</v>
      </c>
      <c r="J27" s="74">
        <f t="shared" si="5"/>
        <v>2</v>
      </c>
      <c r="K27" s="84" t="s">
        <v>159</v>
      </c>
      <c r="L27" s="84" t="s">
        <v>215</v>
      </c>
      <c r="M27" s="85" t="s">
        <v>144</v>
      </c>
      <c r="N27" s="85" t="s">
        <v>164</v>
      </c>
      <c r="O27" s="85" t="s">
        <v>185</v>
      </c>
      <c r="P27" s="85" t="s">
        <v>186</v>
      </c>
      <c r="Q27" s="75">
        <v>46022</v>
      </c>
      <c r="R27" s="85">
        <v>1</v>
      </c>
      <c r="S27" s="85">
        <v>2</v>
      </c>
      <c r="T27" s="74">
        <f t="shared" si="6"/>
        <v>2</v>
      </c>
      <c r="U27" s="85"/>
      <c r="V27" s="84" t="s">
        <v>217</v>
      </c>
      <c r="W27" s="85">
        <v>3</v>
      </c>
      <c r="X27" s="85">
        <v>4</v>
      </c>
      <c r="Y27" s="77">
        <f t="shared" si="8"/>
        <v>12</v>
      </c>
    </row>
    <row r="28" spans="1:25" ht="78" x14ac:dyDescent="0.3">
      <c r="A28" s="69" t="s">
        <v>127</v>
      </c>
      <c r="B28" s="69" t="s">
        <v>159</v>
      </c>
      <c r="C28" s="78" t="s">
        <v>199</v>
      </c>
      <c r="D28" s="71" t="s">
        <v>245</v>
      </c>
      <c r="E28" s="62" t="s">
        <v>131</v>
      </c>
      <c r="F28" s="71" t="s">
        <v>140</v>
      </c>
      <c r="G28" s="71" t="s">
        <v>249</v>
      </c>
      <c r="H28" s="72">
        <v>2</v>
      </c>
      <c r="I28" s="72">
        <v>2</v>
      </c>
      <c r="J28" s="74">
        <f t="shared" si="5"/>
        <v>4</v>
      </c>
      <c r="K28" s="71" t="s">
        <v>159</v>
      </c>
      <c r="L28" s="71" t="s">
        <v>155</v>
      </c>
      <c r="M28" s="72" t="s">
        <v>144</v>
      </c>
      <c r="N28" s="72" t="s">
        <v>164</v>
      </c>
      <c r="O28" s="72" t="s">
        <v>185</v>
      </c>
      <c r="P28" s="72" t="s">
        <v>186</v>
      </c>
      <c r="Q28" s="75">
        <v>46022</v>
      </c>
      <c r="R28" s="72">
        <v>2</v>
      </c>
      <c r="S28" s="72">
        <v>2</v>
      </c>
      <c r="T28" s="74">
        <f t="shared" si="6"/>
        <v>4</v>
      </c>
      <c r="U28" s="72"/>
      <c r="V28" s="71" t="s">
        <v>218</v>
      </c>
      <c r="W28" s="77">
        <v>2</v>
      </c>
      <c r="X28" s="77">
        <v>4</v>
      </c>
      <c r="Y28" s="77">
        <f t="shared" si="8"/>
        <v>8</v>
      </c>
    </row>
    <row r="29" spans="1:25" ht="88.2" customHeight="1" x14ac:dyDescent="0.3">
      <c r="A29" s="69" t="s">
        <v>127</v>
      </c>
      <c r="B29" s="91" t="s">
        <v>159</v>
      </c>
      <c r="C29" s="78" t="s">
        <v>232</v>
      </c>
      <c r="D29" s="94" t="s">
        <v>271</v>
      </c>
      <c r="E29" s="93" t="s">
        <v>34</v>
      </c>
      <c r="F29" s="94" t="s">
        <v>272</v>
      </c>
      <c r="G29" s="71" t="s">
        <v>275</v>
      </c>
      <c r="H29" s="85">
        <v>1</v>
      </c>
      <c r="I29" s="85">
        <v>3</v>
      </c>
      <c r="J29" s="74">
        <f t="shared" ref="J29" si="9">+H29*I29</f>
        <v>3</v>
      </c>
      <c r="K29" s="71" t="s">
        <v>157</v>
      </c>
      <c r="L29" s="71" t="s">
        <v>273</v>
      </c>
      <c r="M29" s="72" t="s">
        <v>180</v>
      </c>
      <c r="N29" s="72" t="s">
        <v>164</v>
      </c>
      <c r="O29" s="72" t="s">
        <v>185</v>
      </c>
      <c r="P29" s="72" t="s">
        <v>172</v>
      </c>
      <c r="Q29" s="75">
        <v>46022</v>
      </c>
      <c r="R29" s="72">
        <v>1</v>
      </c>
      <c r="S29" s="72">
        <v>3</v>
      </c>
      <c r="T29" s="74">
        <f>+R29*S29</f>
        <v>3</v>
      </c>
      <c r="U29" s="72"/>
      <c r="V29" s="71" t="s">
        <v>274</v>
      </c>
      <c r="W29" s="77">
        <v>2</v>
      </c>
      <c r="X29" s="77">
        <v>4</v>
      </c>
      <c r="Y29" s="77">
        <f t="shared" si="8"/>
        <v>8</v>
      </c>
    </row>
    <row r="30" spans="1:25" ht="78" x14ac:dyDescent="0.3">
      <c r="A30" s="69" t="s">
        <v>127</v>
      </c>
      <c r="B30" s="91" t="s">
        <v>159</v>
      </c>
      <c r="C30" s="78" t="s">
        <v>232</v>
      </c>
      <c r="D30" s="94" t="s">
        <v>234</v>
      </c>
      <c r="E30" s="93" t="s">
        <v>34</v>
      </c>
      <c r="F30" s="94" t="s">
        <v>277</v>
      </c>
      <c r="G30" s="71" t="s">
        <v>282</v>
      </c>
      <c r="H30" s="72">
        <v>1</v>
      </c>
      <c r="I30" s="72">
        <v>3</v>
      </c>
      <c r="J30" s="74">
        <f>+H30*I30</f>
        <v>3</v>
      </c>
      <c r="K30" s="71" t="s">
        <v>278</v>
      </c>
      <c r="L30" s="71" t="s">
        <v>279</v>
      </c>
      <c r="M30" s="72" t="s">
        <v>174</v>
      </c>
      <c r="N30" s="72" t="s">
        <v>164</v>
      </c>
      <c r="O30" s="72" t="s">
        <v>166</v>
      </c>
      <c r="P30" s="72" t="s">
        <v>280</v>
      </c>
      <c r="Q30" s="75">
        <v>46022</v>
      </c>
      <c r="R30" s="72">
        <v>1</v>
      </c>
      <c r="S30" s="72">
        <v>3</v>
      </c>
      <c r="T30" s="74">
        <f>+R30*S30</f>
        <v>3</v>
      </c>
      <c r="U30" s="75"/>
      <c r="V30" s="71" t="s">
        <v>281</v>
      </c>
      <c r="W30" s="77">
        <v>3</v>
      </c>
      <c r="X30" s="77">
        <v>4</v>
      </c>
      <c r="Y30" s="77">
        <f t="shared" si="8"/>
        <v>12</v>
      </c>
    </row>
    <row r="31" spans="1:25" ht="78" x14ac:dyDescent="0.3">
      <c r="A31" s="69" t="s">
        <v>127</v>
      </c>
      <c r="B31" s="90" t="s">
        <v>159</v>
      </c>
      <c r="C31" s="168" t="s">
        <v>47</v>
      </c>
      <c r="D31" s="169" t="s">
        <v>285</v>
      </c>
      <c r="E31" s="170" t="s">
        <v>34</v>
      </c>
      <c r="F31" s="169" t="s">
        <v>286</v>
      </c>
      <c r="G31" s="169" t="s">
        <v>287</v>
      </c>
      <c r="H31" s="72">
        <v>1</v>
      </c>
      <c r="I31" s="72">
        <v>2</v>
      </c>
      <c r="J31" s="74">
        <f>+H31*I31</f>
        <v>2</v>
      </c>
      <c r="K31" s="169" t="s">
        <v>278</v>
      </c>
      <c r="L31" s="169" t="s">
        <v>288</v>
      </c>
      <c r="M31" s="171" t="s">
        <v>254</v>
      </c>
      <c r="N31" s="76" t="s">
        <v>164</v>
      </c>
      <c r="O31" s="76" t="s">
        <v>166</v>
      </c>
      <c r="P31" s="76" t="s">
        <v>289</v>
      </c>
      <c r="Q31" s="75">
        <v>46022</v>
      </c>
      <c r="R31" s="72">
        <v>1</v>
      </c>
      <c r="S31" s="72">
        <v>3</v>
      </c>
      <c r="T31" s="74">
        <f>+R31*S31</f>
        <v>3</v>
      </c>
      <c r="U31" s="75"/>
      <c r="V31" s="71" t="s">
        <v>281</v>
      </c>
      <c r="W31" s="77">
        <v>3</v>
      </c>
      <c r="X31" s="77">
        <v>4</v>
      </c>
      <c r="Y31" s="77">
        <f t="shared" si="8"/>
        <v>12</v>
      </c>
    </row>
    <row r="32" spans="1:25" ht="62.4" x14ac:dyDescent="0.3">
      <c r="A32" s="69" t="s">
        <v>127</v>
      </c>
      <c r="B32" s="172" t="s">
        <v>159</v>
      </c>
      <c r="C32" s="173" t="s">
        <v>232</v>
      </c>
      <c r="D32" s="169" t="s">
        <v>245</v>
      </c>
      <c r="E32" s="170" t="s">
        <v>34</v>
      </c>
      <c r="F32" s="169" t="s">
        <v>296</v>
      </c>
      <c r="G32" s="169" t="s">
        <v>290</v>
      </c>
      <c r="H32" s="174">
        <v>4</v>
      </c>
      <c r="I32" s="174">
        <v>4</v>
      </c>
      <c r="J32" s="174">
        <v>16</v>
      </c>
      <c r="K32" s="169" t="s">
        <v>251</v>
      </c>
      <c r="L32" s="169" t="s">
        <v>291</v>
      </c>
      <c r="M32" s="171" t="s">
        <v>180</v>
      </c>
      <c r="N32" s="76" t="s">
        <v>292</v>
      </c>
      <c r="O32" s="76" t="s">
        <v>293</v>
      </c>
      <c r="P32" s="76" t="s">
        <v>294</v>
      </c>
      <c r="Q32" s="75">
        <v>46022</v>
      </c>
      <c r="R32" s="72">
        <v>2</v>
      </c>
      <c r="S32" s="72">
        <v>2</v>
      </c>
      <c r="T32" s="74">
        <f>+R32*S32</f>
        <v>4</v>
      </c>
      <c r="U32" s="75"/>
      <c r="V32" s="71" t="s">
        <v>295</v>
      </c>
      <c r="W32" s="77">
        <v>4</v>
      </c>
      <c r="X32" s="77">
        <v>4</v>
      </c>
      <c r="Y32" s="77">
        <f t="shared" si="8"/>
        <v>16</v>
      </c>
    </row>
    <row r="33" spans="1:20" ht="22.95" customHeight="1" x14ac:dyDescent="0.3">
      <c r="M33" s="114"/>
      <c r="N33" s="114"/>
      <c r="R33" s="49"/>
      <c r="S33" s="49"/>
      <c r="T33" s="50"/>
    </row>
    <row r="34" spans="1:20" ht="18.600000000000001" customHeight="1" x14ac:dyDescent="0.3">
      <c r="A34" s="96" t="s">
        <v>220</v>
      </c>
      <c r="B34" s="96"/>
      <c r="C34" s="96"/>
      <c r="F34" s="55"/>
      <c r="G34" s="55"/>
      <c r="R34" s="48"/>
      <c r="S34" s="49"/>
      <c r="T34" s="49"/>
    </row>
    <row r="35" spans="1:20" ht="16.8" customHeight="1" x14ac:dyDescent="0.3">
      <c r="A35" s="96" t="s">
        <v>297</v>
      </c>
      <c r="B35" s="96"/>
      <c r="C35" s="96"/>
      <c r="F35" s="55"/>
      <c r="G35" s="55"/>
      <c r="R35" s="49"/>
      <c r="S35" s="49"/>
      <c r="T35" s="50"/>
    </row>
    <row r="36" spans="1:20" ht="31.8" customHeight="1" x14ac:dyDescent="0.3">
      <c r="A36" s="56" t="s">
        <v>192</v>
      </c>
      <c r="B36" s="56"/>
      <c r="C36" s="57"/>
      <c r="F36" s="55"/>
      <c r="G36" s="55"/>
      <c r="R36" s="49"/>
      <c r="S36" s="49"/>
      <c r="T36" s="50"/>
    </row>
    <row r="37" spans="1:20" ht="13.8" x14ac:dyDescent="0.3">
      <c r="R37" s="49"/>
      <c r="S37" s="49"/>
      <c r="T37" s="50"/>
    </row>
    <row r="38" spans="1:20" ht="13.8" x14ac:dyDescent="0.3">
      <c r="R38" s="49"/>
      <c r="S38" s="49"/>
      <c r="T38" s="50"/>
    </row>
  </sheetData>
  <autoFilter ref="A6:Y28" xr:uid="{9B298B91-DAD4-4EF4-B0F8-BBBBB7723782}"/>
  <mergeCells count="12">
    <mergeCell ref="A35:C35"/>
    <mergeCell ref="E1:U1"/>
    <mergeCell ref="V1:Y1"/>
    <mergeCell ref="A2:Y2"/>
    <mergeCell ref="A3:E3"/>
    <mergeCell ref="F3:L3"/>
    <mergeCell ref="M3:Y3"/>
    <mergeCell ref="A4:E4"/>
    <mergeCell ref="F4:L4"/>
    <mergeCell ref="M4:Y4"/>
    <mergeCell ref="M33:N33"/>
    <mergeCell ref="A34:C34"/>
  </mergeCells>
  <conditionalFormatting sqref="Y10:Y19 Y6:Y8 Y24:Y32">
    <cfRule type="cellIs" dxfId="254" priority="374" operator="between">
      <formula>1</formula>
      <formula>8</formula>
    </cfRule>
    <cfRule type="cellIs" dxfId="253" priority="375" operator="between">
      <formula>9</formula>
      <formula>15</formula>
    </cfRule>
  </conditionalFormatting>
  <conditionalFormatting sqref="Y10:Y19 Y6:Y8 Y24:Y32">
    <cfRule type="cellIs" dxfId="252" priority="372" operator="between">
      <formula>1</formula>
      <formula>8</formula>
    </cfRule>
    <cfRule type="cellIs" dxfId="251" priority="373" operator="between">
      <formula>9</formula>
      <formula>15</formula>
    </cfRule>
  </conditionalFormatting>
  <conditionalFormatting sqref="Y10:Y19 Y6:Y8 Y24:Y32">
    <cfRule type="cellIs" dxfId="250" priority="371" operator="between">
      <formula>16</formula>
      <formula>25</formula>
    </cfRule>
  </conditionalFormatting>
  <conditionalFormatting sqref="Y2 Y10:Y19 Y5:Y8 Y24:Y1048576">
    <cfRule type="cellIs" dxfId="249" priority="366" operator="between">
      <formula>1</formula>
      <formula>4</formula>
    </cfRule>
    <cfRule type="cellIs" dxfId="248" priority="367" operator="between">
      <formula>5</formula>
      <formula>11</formula>
    </cfRule>
    <cfRule type="cellIs" dxfId="247" priority="368" operator="between">
      <formula>12</formula>
      <formula>19</formula>
    </cfRule>
    <cfRule type="cellIs" dxfId="246" priority="369" operator="between">
      <formula>20</formula>
      <formula>25</formula>
    </cfRule>
  </conditionalFormatting>
  <conditionalFormatting sqref="J24:J26 T24:T26 T28 T7:T15 J28 J7:J15 J17:J19 T17:T19">
    <cfRule type="cellIs" dxfId="245" priority="361" stopIfTrue="1" operator="between">
      <formula>1</formula>
      <formula>2</formula>
    </cfRule>
    <cfRule type="cellIs" dxfId="244" priority="362" stopIfTrue="1" operator="between">
      <formula>3</formula>
      <formula>5</formula>
    </cfRule>
    <cfRule type="cellIs" dxfId="243" priority="363" stopIfTrue="1" operator="between">
      <formula>6</formula>
      <formula>12</formula>
    </cfRule>
    <cfRule type="cellIs" dxfId="242" priority="364" stopIfTrue="1" operator="between">
      <formula>13</formula>
      <formula>20</formula>
    </cfRule>
    <cfRule type="cellIs" dxfId="241" priority="365" stopIfTrue="1" operator="between">
      <formula>21</formula>
      <formula>25</formula>
    </cfRule>
  </conditionalFormatting>
  <conditionalFormatting sqref="Y11:Y18">
    <cfRule type="cellIs" dxfId="240" priority="356" operator="between">
      <formula>1</formula>
      <formula>4</formula>
    </cfRule>
    <cfRule type="cellIs" dxfId="239" priority="357" operator="between">
      <formula>5</formula>
      <formula>11</formula>
    </cfRule>
    <cfRule type="cellIs" dxfId="238" priority="358" operator="between">
      <formula>12</formula>
      <formula>19</formula>
    </cfRule>
    <cfRule type="cellIs" dxfId="237" priority="359" operator="between">
      <formula>20</formula>
      <formula>25</formula>
    </cfRule>
  </conditionalFormatting>
  <conditionalFormatting sqref="Y17">
    <cfRule type="cellIs" dxfId="236" priority="351" operator="between">
      <formula>1</formula>
      <formula>4</formula>
    </cfRule>
    <cfRule type="cellIs" dxfId="235" priority="352" operator="between">
      <formula>5</formula>
      <formula>11</formula>
    </cfRule>
    <cfRule type="cellIs" dxfId="234" priority="353" operator="between">
      <formula>12</formula>
      <formula>19</formula>
    </cfRule>
    <cfRule type="cellIs" dxfId="233" priority="354" operator="between">
      <formula>20</formula>
      <formula>25</formula>
    </cfRule>
  </conditionalFormatting>
  <conditionalFormatting sqref="Y24">
    <cfRule type="cellIs" dxfId="232" priority="346" operator="between">
      <formula>1</formula>
      <formula>4</formula>
    </cfRule>
    <cfRule type="cellIs" dxfId="231" priority="347" operator="between">
      <formula>5</formula>
      <formula>11</formula>
    </cfRule>
    <cfRule type="cellIs" dxfId="230" priority="348" operator="between">
      <formula>12</formula>
      <formula>19</formula>
    </cfRule>
    <cfRule type="cellIs" dxfId="229" priority="349" operator="between">
      <formula>20</formula>
      <formula>25</formula>
    </cfRule>
  </conditionalFormatting>
  <conditionalFormatting sqref="Y18">
    <cfRule type="cellIs" dxfId="228" priority="341" operator="between">
      <formula>1</formula>
      <formula>4</formula>
    </cfRule>
    <cfRule type="cellIs" dxfId="227" priority="342" operator="between">
      <formula>5</formula>
      <formula>11</formula>
    </cfRule>
    <cfRule type="cellIs" dxfId="226" priority="343" operator="between">
      <formula>12</formula>
      <formula>19</formula>
    </cfRule>
    <cfRule type="cellIs" dxfId="225" priority="344" operator="between">
      <formula>20</formula>
      <formula>25</formula>
    </cfRule>
  </conditionalFormatting>
  <conditionalFormatting sqref="Y7:Y8">
    <cfRule type="cellIs" dxfId="224" priority="336" operator="between">
      <formula>1</formula>
      <formula>4</formula>
    </cfRule>
    <cfRule type="cellIs" dxfId="223" priority="337" operator="between">
      <formula>5</formula>
      <formula>11</formula>
    </cfRule>
    <cfRule type="cellIs" dxfId="222" priority="338" operator="between">
      <formula>12</formula>
      <formula>19</formula>
    </cfRule>
    <cfRule type="cellIs" dxfId="221" priority="339" operator="between">
      <formula>20</formula>
      <formula>25</formula>
    </cfRule>
  </conditionalFormatting>
  <conditionalFormatting sqref="Y8">
    <cfRule type="cellIs" dxfId="220" priority="331" operator="between">
      <formula>1</formula>
      <formula>4</formula>
    </cfRule>
    <cfRule type="cellIs" dxfId="219" priority="332" operator="between">
      <formula>5</formula>
      <formula>11</formula>
    </cfRule>
    <cfRule type="cellIs" dxfId="218" priority="333" operator="between">
      <formula>12</formula>
      <formula>19</formula>
    </cfRule>
    <cfRule type="cellIs" dxfId="217" priority="334" operator="between">
      <formula>20</formula>
      <formula>25</formula>
    </cfRule>
  </conditionalFormatting>
  <conditionalFormatting sqref="Y26:Y32">
    <cfRule type="cellIs" dxfId="216" priority="326" operator="between">
      <formula>1</formula>
      <formula>4</formula>
    </cfRule>
    <cfRule type="cellIs" dxfId="215" priority="327" operator="between">
      <formula>5</formula>
      <formula>11</formula>
    </cfRule>
    <cfRule type="cellIs" dxfId="214" priority="328" operator="between">
      <formula>12</formula>
      <formula>19</formula>
    </cfRule>
    <cfRule type="cellIs" dxfId="213" priority="329" operator="between">
      <formula>20</formula>
      <formula>25</formula>
    </cfRule>
  </conditionalFormatting>
  <conditionalFormatting sqref="Y12">
    <cfRule type="cellIs" dxfId="212" priority="321" operator="between">
      <formula>1</formula>
      <formula>4</formula>
    </cfRule>
    <cfRule type="cellIs" dxfId="211" priority="322" operator="between">
      <formula>5</formula>
      <formula>11</formula>
    </cfRule>
    <cfRule type="cellIs" dxfId="210" priority="323" operator="between">
      <formula>12</formula>
      <formula>19</formula>
    </cfRule>
    <cfRule type="cellIs" dxfId="209" priority="324" operator="between">
      <formula>20</formula>
      <formula>25</formula>
    </cfRule>
  </conditionalFormatting>
  <conditionalFormatting sqref="Y13">
    <cfRule type="cellIs" dxfId="204" priority="311" operator="between">
      <formula>1</formula>
      <formula>4</formula>
    </cfRule>
    <cfRule type="cellIs" dxfId="203" priority="312" operator="between">
      <formula>5</formula>
      <formula>11</formula>
    </cfRule>
    <cfRule type="cellIs" dxfId="202" priority="313" operator="between">
      <formula>12</formula>
      <formula>19</formula>
    </cfRule>
    <cfRule type="cellIs" dxfId="201" priority="314" operator="between">
      <formula>20</formula>
      <formula>25</formula>
    </cfRule>
  </conditionalFormatting>
  <conditionalFormatting sqref="Y14">
    <cfRule type="cellIs" dxfId="200" priority="306" operator="between">
      <formula>1</formula>
      <formula>4</formula>
    </cfRule>
    <cfRule type="cellIs" dxfId="199" priority="307" operator="between">
      <formula>5</formula>
      <formula>11</formula>
    </cfRule>
    <cfRule type="cellIs" dxfId="198" priority="308" operator="between">
      <formula>12</formula>
      <formula>19</formula>
    </cfRule>
    <cfRule type="cellIs" dxfId="197" priority="309" operator="between">
      <formula>20</formula>
      <formula>25</formula>
    </cfRule>
  </conditionalFormatting>
  <conditionalFormatting sqref="T33 T35:T38">
    <cfRule type="cellIs" dxfId="196" priority="301" stopIfTrue="1" operator="between">
      <formula>1</formula>
      <formula>2</formula>
    </cfRule>
    <cfRule type="cellIs" dxfId="195" priority="302" stopIfTrue="1" operator="between">
      <formula>3</formula>
      <formula>5</formula>
    </cfRule>
    <cfRule type="cellIs" dxfId="194" priority="303" stopIfTrue="1" operator="between">
      <formula>6</formula>
      <formula>12</formula>
    </cfRule>
    <cfRule type="cellIs" dxfId="193" priority="304" stopIfTrue="1" operator="between">
      <formula>13</formula>
      <formula>20</formula>
    </cfRule>
    <cfRule type="cellIs" dxfId="192" priority="305" stopIfTrue="1" operator="between">
      <formula>21</formula>
      <formula>25</formula>
    </cfRule>
  </conditionalFormatting>
  <conditionalFormatting sqref="J21 T21">
    <cfRule type="cellIs" dxfId="191" priority="296" stopIfTrue="1" operator="between">
      <formula>1</formula>
      <formula>2</formula>
    </cfRule>
    <cfRule type="cellIs" dxfId="190" priority="297" stopIfTrue="1" operator="between">
      <formula>3</formula>
      <formula>5</formula>
    </cfRule>
    <cfRule type="cellIs" dxfId="189" priority="298" stopIfTrue="1" operator="between">
      <formula>6</formula>
      <formula>12</formula>
    </cfRule>
    <cfRule type="cellIs" dxfId="188" priority="299" stopIfTrue="1" operator="between">
      <formula>13</formula>
      <formula>20</formula>
    </cfRule>
    <cfRule type="cellIs" dxfId="187" priority="300" stopIfTrue="1" operator="between">
      <formula>21</formula>
      <formula>25</formula>
    </cfRule>
  </conditionalFormatting>
  <conditionalFormatting sqref="Y21">
    <cfRule type="cellIs" dxfId="186" priority="291" operator="between">
      <formula>1</formula>
      <formula>4</formula>
    </cfRule>
    <cfRule type="cellIs" dxfId="185" priority="292" operator="between">
      <formula>5</formula>
      <formula>11</formula>
    </cfRule>
    <cfRule type="cellIs" dxfId="184" priority="293" operator="between">
      <formula>12</formula>
      <formula>19</formula>
    </cfRule>
    <cfRule type="cellIs" dxfId="183" priority="294" operator="between">
      <formula>20</formula>
      <formula>25</formula>
    </cfRule>
  </conditionalFormatting>
  <conditionalFormatting sqref="Y9">
    <cfRule type="cellIs" dxfId="182" priority="286" operator="between">
      <formula>1</formula>
      <formula>4</formula>
    </cfRule>
    <cfRule type="cellIs" dxfId="181" priority="287" operator="between">
      <formula>5</formula>
      <formula>11</formula>
    </cfRule>
    <cfRule type="cellIs" dxfId="180" priority="288" operator="between">
      <formula>12</formula>
      <formula>19</formula>
    </cfRule>
    <cfRule type="cellIs" dxfId="179" priority="289" operator="between">
      <formula>20</formula>
      <formula>25</formula>
    </cfRule>
  </conditionalFormatting>
  <conditionalFormatting sqref="J22 T22">
    <cfRule type="cellIs" dxfId="178" priority="281" stopIfTrue="1" operator="between">
      <formula>1</formula>
      <formula>2</formula>
    </cfRule>
    <cfRule type="cellIs" dxfId="177" priority="282" stopIfTrue="1" operator="between">
      <formula>3</formula>
      <formula>5</formula>
    </cfRule>
    <cfRule type="cellIs" dxfId="176" priority="283" stopIfTrue="1" operator="between">
      <formula>6</formula>
      <formula>12</formula>
    </cfRule>
    <cfRule type="cellIs" dxfId="175" priority="284" stopIfTrue="1" operator="between">
      <formula>13</formula>
      <formula>20</formula>
    </cfRule>
    <cfRule type="cellIs" dxfId="174" priority="285" stopIfTrue="1" operator="between">
      <formula>21</formula>
      <formula>25</formula>
    </cfRule>
  </conditionalFormatting>
  <conditionalFormatting sqref="Y22">
    <cfRule type="cellIs" dxfId="173" priority="276" operator="between">
      <formula>1</formula>
      <formula>4</formula>
    </cfRule>
    <cfRule type="cellIs" dxfId="172" priority="277" operator="between">
      <formula>5</formula>
      <formula>11</formula>
    </cfRule>
    <cfRule type="cellIs" dxfId="171" priority="278" operator="between">
      <formula>12</formula>
      <formula>19</formula>
    </cfRule>
    <cfRule type="cellIs" dxfId="170" priority="279" operator="between">
      <formula>20</formula>
      <formula>25</formula>
    </cfRule>
  </conditionalFormatting>
  <conditionalFormatting sqref="J20 T20">
    <cfRule type="cellIs" dxfId="169" priority="271" stopIfTrue="1" operator="between">
      <formula>1</formula>
      <formula>2</formula>
    </cfRule>
    <cfRule type="cellIs" dxfId="168" priority="272" stopIfTrue="1" operator="between">
      <formula>3</formula>
      <formula>5</formula>
    </cfRule>
    <cfRule type="cellIs" dxfId="167" priority="273" stopIfTrue="1" operator="between">
      <formula>6</formula>
      <formula>12</formula>
    </cfRule>
    <cfRule type="cellIs" dxfId="166" priority="274" stopIfTrue="1" operator="between">
      <formula>13</formula>
      <formula>20</formula>
    </cfRule>
    <cfRule type="cellIs" dxfId="165" priority="275" stopIfTrue="1" operator="between">
      <formula>21</formula>
      <formula>25</formula>
    </cfRule>
  </conditionalFormatting>
  <conditionalFormatting sqref="Y20">
    <cfRule type="cellIs" dxfId="164" priority="266" operator="between">
      <formula>1</formula>
      <formula>4</formula>
    </cfRule>
    <cfRule type="cellIs" dxfId="163" priority="267" operator="between">
      <formula>5</formula>
      <formula>11</formula>
    </cfRule>
    <cfRule type="cellIs" dxfId="162" priority="268" operator="between">
      <formula>12</formula>
      <formula>19</formula>
    </cfRule>
    <cfRule type="cellIs" dxfId="161" priority="269" operator="between">
      <formula>20</formula>
      <formula>25</formula>
    </cfRule>
  </conditionalFormatting>
  <conditionalFormatting sqref="J27 T27">
    <cfRule type="cellIs" dxfId="151" priority="251" stopIfTrue="1" operator="between">
      <formula>1</formula>
      <formula>2</formula>
    </cfRule>
    <cfRule type="cellIs" dxfId="150" priority="252" stopIfTrue="1" operator="between">
      <formula>3</formula>
      <formula>5</formula>
    </cfRule>
    <cfRule type="cellIs" dxfId="149" priority="253" stopIfTrue="1" operator="between">
      <formula>6</formula>
      <formula>12</formula>
    </cfRule>
    <cfRule type="cellIs" dxfId="148" priority="254" stopIfTrue="1" operator="between">
      <formula>13</formula>
      <formula>20</formula>
    </cfRule>
    <cfRule type="cellIs" dxfId="147" priority="255" stopIfTrue="1" operator="between">
      <formula>21</formula>
      <formula>25</formula>
    </cfRule>
  </conditionalFormatting>
  <conditionalFormatting sqref="J15">
    <cfRule type="cellIs" dxfId="142" priority="221" stopIfTrue="1" operator="between">
      <formula>1</formula>
      <formula>2</formula>
    </cfRule>
    <cfRule type="cellIs" dxfId="141" priority="222" stopIfTrue="1" operator="between">
      <formula>3</formula>
      <formula>5</formula>
    </cfRule>
    <cfRule type="cellIs" dxfId="140" priority="223" stopIfTrue="1" operator="between">
      <formula>6</formula>
      <formula>12</formula>
    </cfRule>
    <cfRule type="cellIs" dxfId="139" priority="224" stopIfTrue="1" operator="between">
      <formula>13</formula>
      <formula>20</formula>
    </cfRule>
    <cfRule type="cellIs" dxfId="138" priority="225" stopIfTrue="1" operator="between">
      <formula>21</formula>
      <formula>25</formula>
    </cfRule>
  </conditionalFormatting>
  <conditionalFormatting sqref="T15">
    <cfRule type="cellIs" dxfId="137" priority="216" stopIfTrue="1" operator="between">
      <formula>1</formula>
      <formula>2</formula>
    </cfRule>
    <cfRule type="cellIs" dxfId="136" priority="217" stopIfTrue="1" operator="between">
      <formula>3</formula>
      <formula>5</formula>
    </cfRule>
    <cfRule type="cellIs" dxfId="135" priority="218" stopIfTrue="1" operator="between">
      <formula>6</formula>
      <formula>12</formula>
    </cfRule>
    <cfRule type="cellIs" dxfId="134" priority="219" stopIfTrue="1" operator="between">
      <formula>13</formula>
      <formula>20</formula>
    </cfRule>
    <cfRule type="cellIs" dxfId="133" priority="220" stopIfTrue="1" operator="between">
      <formula>21</formula>
      <formula>25</formula>
    </cfRule>
  </conditionalFormatting>
  <conditionalFormatting sqref="Y15:Y16">
    <cfRule type="cellIs" dxfId="132" priority="201" operator="between">
      <formula>1</formula>
      <formula>4</formula>
    </cfRule>
    <cfRule type="cellIs" dxfId="131" priority="202" operator="between">
      <formula>5</formula>
      <formula>11</formula>
    </cfRule>
    <cfRule type="cellIs" dxfId="130" priority="203" operator="between">
      <formula>12</formula>
      <formula>19</formula>
    </cfRule>
    <cfRule type="cellIs" dxfId="129" priority="204" operator="between">
      <formula>20</formula>
      <formula>25</formula>
    </cfRule>
  </conditionalFormatting>
  <conditionalFormatting sqref="J16">
    <cfRule type="cellIs" dxfId="128" priority="196" stopIfTrue="1" operator="between">
      <formula>1</formula>
      <formula>2</formula>
    </cfRule>
    <cfRule type="cellIs" dxfId="127" priority="197" stopIfTrue="1" operator="between">
      <formula>3</formula>
      <formula>5</formula>
    </cfRule>
    <cfRule type="cellIs" dxfId="126" priority="198" stopIfTrue="1" operator="between">
      <formula>6</formula>
      <formula>12</formula>
    </cfRule>
    <cfRule type="cellIs" dxfId="125" priority="199" stopIfTrue="1" operator="between">
      <formula>13</formula>
      <formula>20</formula>
    </cfRule>
    <cfRule type="cellIs" dxfId="124" priority="200" stopIfTrue="1" operator="between">
      <formula>21</formula>
      <formula>25</formula>
    </cfRule>
  </conditionalFormatting>
  <conditionalFormatting sqref="T16">
    <cfRule type="cellIs" dxfId="123" priority="191" stopIfTrue="1" operator="between">
      <formula>1</formula>
      <formula>2</formula>
    </cfRule>
    <cfRule type="cellIs" dxfId="122" priority="192" stopIfTrue="1" operator="between">
      <formula>3</formula>
      <formula>5</formula>
    </cfRule>
    <cfRule type="cellIs" dxfId="121" priority="193" stopIfTrue="1" operator="between">
      <formula>6</formula>
      <formula>12</formula>
    </cfRule>
    <cfRule type="cellIs" dxfId="120" priority="194" stopIfTrue="1" operator="between">
      <formula>13</formula>
      <formula>20</formula>
    </cfRule>
    <cfRule type="cellIs" dxfId="119" priority="195" stopIfTrue="1" operator="between">
      <formula>21</formula>
      <formula>25</formula>
    </cfRule>
  </conditionalFormatting>
  <conditionalFormatting sqref="J23">
    <cfRule type="cellIs" dxfId="118" priority="186" stopIfTrue="1" operator="between">
      <formula>1</formula>
      <formula>2</formula>
    </cfRule>
    <cfRule type="cellIs" dxfId="117" priority="187" stopIfTrue="1" operator="between">
      <formula>3</formula>
      <formula>5</formula>
    </cfRule>
    <cfRule type="cellIs" dxfId="116" priority="188" stopIfTrue="1" operator="between">
      <formula>6</formula>
      <formula>12</formula>
    </cfRule>
    <cfRule type="cellIs" dxfId="115" priority="189" stopIfTrue="1" operator="between">
      <formula>13</formula>
      <formula>20</formula>
    </cfRule>
    <cfRule type="cellIs" dxfId="114" priority="190" stopIfTrue="1" operator="between">
      <formula>21</formula>
      <formula>25</formula>
    </cfRule>
  </conditionalFormatting>
  <conditionalFormatting sqref="T23">
    <cfRule type="cellIs" dxfId="113" priority="181" stopIfTrue="1" operator="between">
      <formula>1</formula>
      <formula>2</formula>
    </cfRule>
    <cfRule type="cellIs" dxfId="112" priority="182" stopIfTrue="1" operator="between">
      <formula>3</formula>
      <formula>5</formula>
    </cfRule>
    <cfRule type="cellIs" dxfId="111" priority="183" stopIfTrue="1" operator="between">
      <formula>6</formula>
      <formula>12</formula>
    </cfRule>
    <cfRule type="cellIs" dxfId="110" priority="184" stopIfTrue="1" operator="between">
      <formula>13</formula>
      <formula>20</formula>
    </cfRule>
    <cfRule type="cellIs" dxfId="109" priority="185" stopIfTrue="1" operator="between">
      <formula>21</formula>
      <formula>25</formula>
    </cfRule>
  </conditionalFormatting>
  <conditionalFormatting sqref="Y23">
    <cfRule type="cellIs" dxfId="108" priority="176" operator="between">
      <formula>1</formula>
      <formula>4</formula>
    </cfRule>
    <cfRule type="cellIs" dxfId="107" priority="177" operator="between">
      <formula>5</formula>
      <formula>11</formula>
    </cfRule>
    <cfRule type="cellIs" dxfId="106" priority="178" operator="between">
      <formula>12</formula>
      <formula>19</formula>
    </cfRule>
    <cfRule type="cellIs" dxfId="105" priority="179" operator="between">
      <formula>20</formula>
      <formula>25</formula>
    </cfRule>
  </conditionalFormatting>
  <conditionalFormatting sqref="T29">
    <cfRule type="cellIs" dxfId="104" priority="141" stopIfTrue="1" operator="between">
      <formula>1</formula>
      <formula>2</formula>
    </cfRule>
    <cfRule type="cellIs" dxfId="103" priority="142" stopIfTrue="1" operator="between">
      <formula>3</formula>
      <formula>5</formula>
    </cfRule>
    <cfRule type="cellIs" dxfId="102" priority="143" stopIfTrue="1" operator="between">
      <formula>6</formula>
      <formula>12</formula>
    </cfRule>
    <cfRule type="cellIs" dxfId="101" priority="144" stopIfTrue="1" operator="between">
      <formula>13</formula>
      <formula>20</formula>
    </cfRule>
    <cfRule type="cellIs" dxfId="100" priority="145" stopIfTrue="1" operator="between">
      <formula>21</formula>
      <formula>25</formula>
    </cfRule>
  </conditionalFormatting>
  <conditionalFormatting sqref="J32">
    <cfRule type="cellIs" dxfId="99" priority="116" stopIfTrue="1" operator="between">
      <formula>1</formula>
      <formula>2</formula>
    </cfRule>
    <cfRule type="cellIs" dxfId="98" priority="117" stopIfTrue="1" operator="between">
      <formula>3</formula>
      <formula>5</formula>
    </cfRule>
    <cfRule type="cellIs" dxfId="97" priority="118" stopIfTrue="1" operator="between">
      <formula>6</formula>
      <formula>12</formula>
    </cfRule>
    <cfRule type="cellIs" dxfId="96" priority="119" stopIfTrue="1" operator="between">
      <formula>13</formula>
      <formula>20</formula>
    </cfRule>
    <cfRule type="cellIs" dxfId="95" priority="120" stopIfTrue="1" operator="between">
      <formula>21</formula>
      <formula>25</formula>
    </cfRule>
  </conditionalFormatting>
  <conditionalFormatting sqref="J29">
    <cfRule type="cellIs" dxfId="81" priority="81" stopIfTrue="1" operator="between">
      <formula>1</formula>
      <formula>2</formula>
    </cfRule>
    <cfRule type="cellIs" dxfId="80" priority="82" stopIfTrue="1" operator="between">
      <formula>3</formula>
      <formula>5</formula>
    </cfRule>
    <cfRule type="cellIs" dxfId="79" priority="83" stopIfTrue="1" operator="between">
      <formula>6</formula>
      <formula>12</formula>
    </cfRule>
    <cfRule type="cellIs" dxfId="78" priority="84" stopIfTrue="1" operator="between">
      <formula>13</formula>
      <formula>20</formula>
    </cfRule>
    <cfRule type="cellIs" dxfId="77" priority="85" stopIfTrue="1" operator="between">
      <formula>21</formula>
      <formula>25</formula>
    </cfRule>
  </conditionalFormatting>
  <conditionalFormatting sqref="T32">
    <cfRule type="cellIs" dxfId="76" priority="51" stopIfTrue="1" operator="between">
      <formula>1</formula>
      <formula>2</formula>
    </cfRule>
    <cfRule type="cellIs" dxfId="75" priority="52" stopIfTrue="1" operator="between">
      <formula>3</formula>
      <formula>5</formula>
    </cfRule>
    <cfRule type="cellIs" dxfId="74" priority="53" stopIfTrue="1" operator="between">
      <formula>6</formula>
      <formula>12</formula>
    </cfRule>
    <cfRule type="cellIs" dxfId="73" priority="54" stopIfTrue="1" operator="between">
      <formula>13</formula>
      <formula>20</formula>
    </cfRule>
    <cfRule type="cellIs" dxfId="72" priority="55" stopIfTrue="1" operator="between">
      <formula>21</formula>
      <formula>25</formula>
    </cfRule>
  </conditionalFormatting>
  <conditionalFormatting sqref="J30">
    <cfRule type="cellIs" dxfId="39" priority="36" stopIfTrue="1" operator="between">
      <formula>1</formula>
      <formula>2</formula>
    </cfRule>
    <cfRule type="cellIs" dxfId="38" priority="37" stopIfTrue="1" operator="between">
      <formula>3</formula>
      <formula>5</formula>
    </cfRule>
    <cfRule type="cellIs" dxfId="37" priority="38" stopIfTrue="1" operator="between">
      <formula>6</formula>
      <formula>12</formula>
    </cfRule>
    <cfRule type="cellIs" dxfId="36" priority="39" stopIfTrue="1" operator="between">
      <formula>13</formula>
      <formula>20</formula>
    </cfRule>
    <cfRule type="cellIs" dxfId="35" priority="40" stopIfTrue="1" operator="between">
      <formula>21</formula>
      <formula>25</formula>
    </cfRule>
  </conditionalFormatting>
  <conditionalFormatting sqref="T30">
    <cfRule type="cellIs" dxfId="34" priority="31" stopIfTrue="1" operator="between">
      <formula>1</formula>
      <formula>2</formula>
    </cfRule>
    <cfRule type="cellIs" dxfId="33" priority="32" stopIfTrue="1" operator="between">
      <formula>3</formula>
      <formula>5</formula>
    </cfRule>
    <cfRule type="cellIs" dxfId="32" priority="33" stopIfTrue="1" operator="between">
      <formula>6</formula>
      <formula>12</formula>
    </cfRule>
    <cfRule type="cellIs" dxfId="31" priority="34" stopIfTrue="1" operator="between">
      <formula>13</formula>
      <formula>20</formula>
    </cfRule>
    <cfRule type="cellIs" dxfId="30" priority="35" stopIfTrue="1" operator="between">
      <formula>21</formula>
      <formula>25</formula>
    </cfRule>
  </conditionalFormatting>
  <conditionalFormatting sqref="J31">
    <cfRule type="cellIs" dxfId="19" priority="16" stopIfTrue="1" operator="between">
      <formula>1</formula>
      <formula>2</formula>
    </cfRule>
    <cfRule type="cellIs" dxfId="18" priority="17" stopIfTrue="1" operator="between">
      <formula>3</formula>
      <formula>5</formula>
    </cfRule>
    <cfRule type="cellIs" dxfId="17" priority="18" stopIfTrue="1" operator="between">
      <formula>6</formula>
      <formula>12</formula>
    </cfRule>
    <cfRule type="cellIs" dxfId="16" priority="19" stopIfTrue="1" operator="between">
      <formula>13</formula>
      <formula>20</formula>
    </cfRule>
    <cfRule type="cellIs" dxfId="15" priority="20" stopIfTrue="1" operator="between">
      <formula>21</formula>
      <formula>25</formula>
    </cfRule>
  </conditionalFormatting>
  <conditionalFormatting sqref="T31">
    <cfRule type="cellIs" dxfId="14" priority="11" stopIfTrue="1" operator="between">
      <formula>1</formula>
      <formula>2</formula>
    </cfRule>
    <cfRule type="cellIs" dxfId="13" priority="12" stopIfTrue="1" operator="between">
      <formula>3</formula>
      <formula>5</formula>
    </cfRule>
    <cfRule type="cellIs" dxfId="12" priority="13" stopIfTrue="1" operator="between">
      <formula>6</formula>
      <formula>12</formula>
    </cfRule>
    <cfRule type="cellIs" dxfId="11" priority="14" stopIfTrue="1" operator="between">
      <formula>13</formula>
      <formula>20</formula>
    </cfRule>
    <cfRule type="cellIs" dxfId="10" priority="15" stopIfTrue="1" operator="between">
      <formula>21</formula>
      <formula>25</formula>
    </cfRule>
  </conditionalFormatting>
  <printOptions horizontalCentered="1"/>
  <pageMargins left="0.23622047244094491" right="0.23622047244094491" top="0.74803149606299213" bottom="0.74803149606299213" header="0.31496062992125984" footer="0.31496062992125984"/>
  <pageSetup paperSize="9" scale="40" orientation="landscape" r:id="rId1"/>
  <headerFooter>
    <oddFooter>&amp;L&amp;10PR10.FR01 Yayın Tarihi:02.01.2018 Rev.No:00 Rev.Tar:00</oddFooter>
  </headerFooter>
  <drawing r:id="rId2"/>
  <extLst>
    <ext xmlns:x14="http://schemas.microsoft.com/office/spreadsheetml/2009/9/main" uri="{78C0D931-6437-407d-A8EE-F0AAD7539E65}">
      <x14:conditionalFormattings>
        <x14:conditionalFormatting xmlns:xm="http://schemas.microsoft.com/office/excel/2006/main">
          <x14:cfRule type="containsText" priority="370" operator="containsText" id="{665950A7-B730-496D-962D-01680BFD259A}">
            <xm:f>NOT(ISERROR(SEARCH("-",Y2)))</xm:f>
            <xm:f>"-"</xm:f>
            <x14:dxf>
              <font>
                <color rgb="FF9C0006"/>
              </font>
              <fill>
                <patternFill>
                  <bgColor rgb="FFFFC7CE"/>
                </patternFill>
              </fill>
            </x14:dxf>
          </x14:cfRule>
          <xm:sqref>Y2 Y10:Y19 Y5:Y8 Y24:Y1048576</xm:sqref>
        </x14:conditionalFormatting>
        <x14:conditionalFormatting xmlns:xm="http://schemas.microsoft.com/office/excel/2006/main">
          <x14:cfRule type="containsText" priority="360" operator="containsText" id="{3BD2DFBE-9596-4D74-99BE-DBE80A9958E6}">
            <xm:f>NOT(ISERROR(SEARCH("-",Y11)))</xm:f>
            <xm:f>"-"</xm:f>
            <x14:dxf>
              <font>
                <color rgb="FF9C0006"/>
              </font>
              <fill>
                <patternFill>
                  <bgColor rgb="FFFFC7CE"/>
                </patternFill>
              </fill>
            </x14:dxf>
          </x14:cfRule>
          <xm:sqref>Y11:Y18</xm:sqref>
        </x14:conditionalFormatting>
        <x14:conditionalFormatting xmlns:xm="http://schemas.microsoft.com/office/excel/2006/main">
          <x14:cfRule type="containsText" priority="355" operator="containsText" id="{884F6851-FA88-4658-A233-99C7BC222A41}">
            <xm:f>NOT(ISERROR(SEARCH("-",Y17)))</xm:f>
            <xm:f>"-"</xm:f>
            <x14:dxf>
              <font>
                <color rgb="FF9C0006"/>
              </font>
              <fill>
                <patternFill>
                  <bgColor rgb="FFFFC7CE"/>
                </patternFill>
              </fill>
            </x14:dxf>
          </x14:cfRule>
          <xm:sqref>Y17</xm:sqref>
        </x14:conditionalFormatting>
        <x14:conditionalFormatting xmlns:xm="http://schemas.microsoft.com/office/excel/2006/main">
          <x14:cfRule type="containsText" priority="350" operator="containsText" id="{B52C3739-1762-4012-9C82-167455ACB372}">
            <xm:f>NOT(ISERROR(SEARCH("-",Y24)))</xm:f>
            <xm:f>"-"</xm:f>
            <x14:dxf>
              <font>
                <color rgb="FF9C0006"/>
              </font>
              <fill>
                <patternFill>
                  <bgColor rgb="FFFFC7CE"/>
                </patternFill>
              </fill>
            </x14:dxf>
          </x14:cfRule>
          <xm:sqref>Y24</xm:sqref>
        </x14:conditionalFormatting>
        <x14:conditionalFormatting xmlns:xm="http://schemas.microsoft.com/office/excel/2006/main">
          <x14:cfRule type="containsText" priority="345" operator="containsText" id="{B2F4F888-E8E9-4519-85F0-231D30D94B3F}">
            <xm:f>NOT(ISERROR(SEARCH("-",Y18)))</xm:f>
            <xm:f>"-"</xm:f>
            <x14:dxf>
              <font>
                <color rgb="FF9C0006"/>
              </font>
              <fill>
                <patternFill>
                  <bgColor rgb="FFFFC7CE"/>
                </patternFill>
              </fill>
            </x14:dxf>
          </x14:cfRule>
          <xm:sqref>Y18</xm:sqref>
        </x14:conditionalFormatting>
        <x14:conditionalFormatting xmlns:xm="http://schemas.microsoft.com/office/excel/2006/main">
          <x14:cfRule type="containsText" priority="340" operator="containsText" id="{744654FF-363E-42FC-8E87-A2281727BFFC}">
            <xm:f>NOT(ISERROR(SEARCH("-",Y7)))</xm:f>
            <xm:f>"-"</xm:f>
            <x14:dxf>
              <font>
                <color rgb="FF9C0006"/>
              </font>
              <fill>
                <patternFill>
                  <bgColor rgb="FFFFC7CE"/>
                </patternFill>
              </fill>
            </x14:dxf>
          </x14:cfRule>
          <xm:sqref>Y7:Y8</xm:sqref>
        </x14:conditionalFormatting>
        <x14:conditionalFormatting xmlns:xm="http://schemas.microsoft.com/office/excel/2006/main">
          <x14:cfRule type="containsText" priority="335" operator="containsText" id="{3B63E355-C945-4F84-814F-A77911B43858}">
            <xm:f>NOT(ISERROR(SEARCH("-",Y8)))</xm:f>
            <xm:f>"-"</xm:f>
            <x14:dxf>
              <font>
                <color rgb="FF9C0006"/>
              </font>
              <fill>
                <patternFill>
                  <bgColor rgb="FFFFC7CE"/>
                </patternFill>
              </fill>
            </x14:dxf>
          </x14:cfRule>
          <xm:sqref>Y8</xm:sqref>
        </x14:conditionalFormatting>
        <x14:conditionalFormatting xmlns:xm="http://schemas.microsoft.com/office/excel/2006/main">
          <x14:cfRule type="containsText" priority="330" operator="containsText" id="{0CF8C3A5-C383-421B-B8C6-4C5157FE8795}">
            <xm:f>NOT(ISERROR(SEARCH("-",Y26)))</xm:f>
            <xm:f>"-"</xm:f>
            <x14:dxf>
              <font>
                <color rgb="FF9C0006"/>
              </font>
              <fill>
                <patternFill>
                  <bgColor rgb="FFFFC7CE"/>
                </patternFill>
              </fill>
            </x14:dxf>
          </x14:cfRule>
          <xm:sqref>Y26:Y32</xm:sqref>
        </x14:conditionalFormatting>
        <x14:conditionalFormatting xmlns:xm="http://schemas.microsoft.com/office/excel/2006/main">
          <x14:cfRule type="containsText" priority="325" operator="containsText" id="{CEE90314-68AC-4C6C-9D23-94B1EEA957FA}">
            <xm:f>NOT(ISERROR(SEARCH("-",Y12)))</xm:f>
            <xm:f>"-"</xm:f>
            <x14:dxf>
              <font>
                <color rgb="FF9C0006"/>
              </font>
              <fill>
                <patternFill>
                  <bgColor rgb="FFFFC7CE"/>
                </patternFill>
              </fill>
            </x14:dxf>
          </x14:cfRule>
          <xm:sqref>Y12</xm:sqref>
        </x14:conditionalFormatting>
        <x14:conditionalFormatting xmlns:xm="http://schemas.microsoft.com/office/excel/2006/main">
          <x14:cfRule type="containsText" priority="315" operator="containsText" id="{0DA10843-E63C-4F01-AE3C-40092D9A2187}">
            <xm:f>NOT(ISERROR(SEARCH("-",Y13)))</xm:f>
            <xm:f>"-"</xm:f>
            <x14:dxf>
              <font>
                <color rgb="FF9C0006"/>
              </font>
              <fill>
                <patternFill>
                  <bgColor rgb="FFFFC7CE"/>
                </patternFill>
              </fill>
            </x14:dxf>
          </x14:cfRule>
          <xm:sqref>Y13</xm:sqref>
        </x14:conditionalFormatting>
        <x14:conditionalFormatting xmlns:xm="http://schemas.microsoft.com/office/excel/2006/main">
          <x14:cfRule type="containsText" priority="310" operator="containsText" id="{980FA2B9-887F-4142-8F33-2CA43D4F355E}">
            <xm:f>NOT(ISERROR(SEARCH("-",Y14)))</xm:f>
            <xm:f>"-"</xm:f>
            <x14:dxf>
              <font>
                <color rgb="FF9C0006"/>
              </font>
              <fill>
                <patternFill>
                  <bgColor rgb="FFFFC7CE"/>
                </patternFill>
              </fill>
            </x14:dxf>
          </x14:cfRule>
          <xm:sqref>Y14</xm:sqref>
        </x14:conditionalFormatting>
        <x14:conditionalFormatting xmlns:xm="http://schemas.microsoft.com/office/excel/2006/main">
          <x14:cfRule type="containsText" priority="295" operator="containsText" id="{B2426F15-B577-4979-9791-66953EBC8C37}">
            <xm:f>NOT(ISERROR(SEARCH("-",Y21)))</xm:f>
            <xm:f>"-"</xm:f>
            <x14:dxf>
              <font>
                <color rgb="FF9C0006"/>
              </font>
              <fill>
                <patternFill>
                  <bgColor rgb="FFFFC7CE"/>
                </patternFill>
              </fill>
            </x14:dxf>
          </x14:cfRule>
          <xm:sqref>Y21</xm:sqref>
        </x14:conditionalFormatting>
        <x14:conditionalFormatting xmlns:xm="http://schemas.microsoft.com/office/excel/2006/main">
          <x14:cfRule type="containsText" priority="290" operator="containsText" id="{15E7CBEA-9B20-4BE7-9265-122795C8521D}">
            <xm:f>NOT(ISERROR(SEARCH("-",Y9)))</xm:f>
            <xm:f>"-"</xm:f>
            <x14:dxf>
              <font>
                <color rgb="FF9C0006"/>
              </font>
              <fill>
                <patternFill>
                  <bgColor rgb="FFFFC7CE"/>
                </patternFill>
              </fill>
            </x14:dxf>
          </x14:cfRule>
          <xm:sqref>Y9</xm:sqref>
        </x14:conditionalFormatting>
        <x14:conditionalFormatting xmlns:xm="http://schemas.microsoft.com/office/excel/2006/main">
          <x14:cfRule type="containsText" priority="280" operator="containsText" id="{BFF7BADC-F6F6-4B45-AFBD-8F08368D0706}">
            <xm:f>NOT(ISERROR(SEARCH("-",Y22)))</xm:f>
            <xm:f>"-"</xm:f>
            <x14:dxf>
              <font>
                <color rgb="FF9C0006"/>
              </font>
              <fill>
                <patternFill>
                  <bgColor rgb="FFFFC7CE"/>
                </patternFill>
              </fill>
            </x14:dxf>
          </x14:cfRule>
          <xm:sqref>Y22</xm:sqref>
        </x14:conditionalFormatting>
        <x14:conditionalFormatting xmlns:xm="http://schemas.microsoft.com/office/excel/2006/main">
          <x14:cfRule type="containsText" priority="270" operator="containsText" id="{94DEE3EA-6439-4FD3-B63F-350AF13360B5}">
            <xm:f>NOT(ISERROR(SEARCH("-",Y20)))</xm:f>
            <xm:f>"-"</xm:f>
            <x14:dxf>
              <font>
                <color rgb="FF9C0006"/>
              </font>
              <fill>
                <patternFill>
                  <bgColor rgb="FFFFC7CE"/>
                </patternFill>
              </fill>
            </x14:dxf>
          </x14:cfRule>
          <xm:sqref>Y20</xm:sqref>
        </x14:conditionalFormatting>
        <x14:conditionalFormatting xmlns:xm="http://schemas.microsoft.com/office/excel/2006/main">
          <x14:cfRule type="containsText" priority="205" operator="containsText" id="{CE8F960E-24A4-40DF-A711-BD3950D4F77A}">
            <xm:f>NOT(ISERROR(SEARCH("-",Y15)))</xm:f>
            <xm:f>"-"</xm:f>
            <x14:dxf>
              <font>
                <color rgb="FF9C0006"/>
              </font>
              <fill>
                <patternFill>
                  <bgColor rgb="FFFFC7CE"/>
                </patternFill>
              </fill>
            </x14:dxf>
          </x14:cfRule>
          <xm:sqref>Y15:Y16</xm:sqref>
        </x14:conditionalFormatting>
        <x14:conditionalFormatting xmlns:xm="http://schemas.microsoft.com/office/excel/2006/main">
          <x14:cfRule type="containsText" priority="180" operator="containsText" id="{2AA94193-386C-4062-8B57-5123EE6BC830}">
            <xm:f>NOT(ISERROR(SEARCH("-",Y23)))</xm:f>
            <xm:f>"-"</xm:f>
            <x14:dxf>
              <font>
                <color rgb="FF9C0006"/>
              </font>
              <fill>
                <patternFill>
                  <bgColor rgb="FFFFC7CE"/>
                </patternFill>
              </fill>
            </x14:dxf>
          </x14:cfRule>
          <xm:sqref>Y23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5"/>
  <sheetViews>
    <sheetView topLeftCell="A7" zoomScale="90" zoomScaleNormal="90" workbookViewId="0">
      <selection activeCell="E45" sqref="E45"/>
    </sheetView>
  </sheetViews>
  <sheetFormatPr defaultColWidth="8.69921875" defaultRowHeight="11.4" x14ac:dyDescent="0.2"/>
  <cols>
    <col min="1" max="1" width="11.19921875" style="11" customWidth="1"/>
    <col min="2" max="6" width="30.69921875" style="11" customWidth="1"/>
    <col min="7" max="16384" width="8.69921875" style="11"/>
  </cols>
  <sheetData>
    <row r="1" spans="1:8" ht="39" customHeight="1" x14ac:dyDescent="0.2">
      <c r="A1" s="118" t="s">
        <v>53</v>
      </c>
      <c r="B1" s="119"/>
      <c r="C1" s="119"/>
      <c r="D1" s="119"/>
      <c r="E1" s="119"/>
      <c r="F1" s="120"/>
    </row>
    <row r="2" spans="1:8" x14ac:dyDescent="0.2">
      <c r="A2" s="121" t="s">
        <v>54</v>
      </c>
      <c r="B2" s="122"/>
      <c r="C2" s="122"/>
      <c r="D2" s="122"/>
      <c r="E2" s="122"/>
      <c r="F2" s="123"/>
    </row>
    <row r="3" spans="1:8" s="12" customFormat="1" x14ac:dyDescent="0.2">
      <c r="A3" s="115" t="s">
        <v>55</v>
      </c>
      <c r="B3" s="116"/>
      <c r="C3" s="116"/>
      <c r="D3" s="116"/>
      <c r="E3" s="116"/>
      <c r="F3" s="117"/>
    </row>
    <row r="4" spans="1:8" x14ac:dyDescent="0.2">
      <c r="A4" s="124" t="s">
        <v>56</v>
      </c>
      <c r="B4" s="125"/>
      <c r="C4" s="125"/>
      <c r="D4" s="125"/>
      <c r="E4" s="125"/>
      <c r="F4" s="126"/>
    </row>
    <row r="5" spans="1:8" x14ac:dyDescent="0.2">
      <c r="A5" s="127"/>
      <c r="B5" s="125"/>
      <c r="C5" s="125"/>
      <c r="D5" s="125"/>
      <c r="E5" s="125"/>
      <c r="F5" s="126"/>
    </row>
    <row r="6" spans="1:8" x14ac:dyDescent="0.2">
      <c r="A6" s="24"/>
      <c r="B6" s="16" t="s">
        <v>57</v>
      </c>
      <c r="C6" s="17" t="s">
        <v>58</v>
      </c>
      <c r="D6" s="18" t="s">
        <v>59</v>
      </c>
      <c r="E6" s="19" t="s">
        <v>60</v>
      </c>
      <c r="F6" s="25" t="s">
        <v>61</v>
      </c>
    </row>
    <row r="7" spans="1:8" ht="31.95" customHeight="1" x14ac:dyDescent="0.2">
      <c r="A7" s="26" t="s">
        <v>47</v>
      </c>
      <c r="B7" s="20" t="s">
        <v>62</v>
      </c>
      <c r="C7" s="20" t="s">
        <v>63</v>
      </c>
      <c r="D7" s="20" t="s">
        <v>64</v>
      </c>
      <c r="E7" s="20" t="s">
        <v>65</v>
      </c>
      <c r="F7" s="27" t="s">
        <v>66</v>
      </c>
    </row>
    <row r="8" spans="1:8" ht="34.200000000000003" x14ac:dyDescent="0.2">
      <c r="A8" s="26" t="s">
        <v>46</v>
      </c>
      <c r="B8" s="21" t="s">
        <v>104</v>
      </c>
      <c r="C8" s="21" t="s">
        <v>105</v>
      </c>
      <c r="D8" s="21" t="s">
        <v>106</v>
      </c>
      <c r="E8" s="21" t="s">
        <v>107</v>
      </c>
      <c r="F8" s="28" t="s">
        <v>108</v>
      </c>
    </row>
    <row r="9" spans="1:8" ht="79.8" x14ac:dyDescent="0.2">
      <c r="A9" s="26" t="s">
        <v>67</v>
      </c>
      <c r="B9" s="22" t="s">
        <v>68</v>
      </c>
      <c r="C9" s="23" t="s">
        <v>115</v>
      </c>
      <c r="D9" s="23" t="s">
        <v>109</v>
      </c>
      <c r="E9" s="23" t="s">
        <v>69</v>
      </c>
      <c r="F9" s="29" t="s">
        <v>70</v>
      </c>
    </row>
    <row r="10" spans="1:8" ht="57" x14ac:dyDescent="0.2">
      <c r="A10" s="26" t="s">
        <v>118</v>
      </c>
      <c r="B10" s="23" t="s">
        <v>110</v>
      </c>
      <c r="C10" s="23" t="s">
        <v>111</v>
      </c>
      <c r="D10" s="23" t="s">
        <v>113</v>
      </c>
      <c r="E10" s="23" t="s">
        <v>116</v>
      </c>
      <c r="F10" s="29" t="s">
        <v>112</v>
      </c>
    </row>
    <row r="11" spans="1:8" ht="46.2" thickBot="1" x14ac:dyDescent="0.25">
      <c r="A11" s="31" t="s">
        <v>117</v>
      </c>
      <c r="B11" s="32" t="s">
        <v>71</v>
      </c>
      <c r="C11" s="32" t="s">
        <v>72</v>
      </c>
      <c r="D11" s="32" t="s">
        <v>73</v>
      </c>
      <c r="E11" s="32" t="s">
        <v>74</v>
      </c>
      <c r="F11" s="33" t="s">
        <v>75</v>
      </c>
      <c r="H11" s="14"/>
    </row>
    <row r="12" spans="1:8" x14ac:dyDescent="0.2">
      <c r="A12" s="128" t="s">
        <v>76</v>
      </c>
      <c r="B12" s="129"/>
      <c r="C12" s="129"/>
      <c r="D12" s="129"/>
      <c r="E12" s="129"/>
      <c r="F12" s="130"/>
    </row>
    <row r="13" spans="1:8" s="12" customFormat="1" x14ac:dyDescent="0.2">
      <c r="A13" s="115" t="s">
        <v>77</v>
      </c>
      <c r="B13" s="116"/>
      <c r="C13" s="116"/>
      <c r="D13" s="116"/>
      <c r="E13" s="116"/>
      <c r="F13" s="117"/>
    </row>
    <row r="14" spans="1:8" x14ac:dyDescent="0.2">
      <c r="A14" s="35"/>
      <c r="B14" s="16" t="s">
        <v>57</v>
      </c>
      <c r="C14" s="17" t="s">
        <v>78</v>
      </c>
      <c r="D14" s="18" t="s">
        <v>59</v>
      </c>
      <c r="E14" s="19" t="s">
        <v>79</v>
      </c>
      <c r="F14" s="25" t="s">
        <v>80</v>
      </c>
      <c r="G14" s="30"/>
    </row>
    <row r="15" spans="1:8" x14ac:dyDescent="0.2">
      <c r="A15" s="131" t="s">
        <v>114</v>
      </c>
      <c r="B15" s="34" t="s">
        <v>81</v>
      </c>
      <c r="C15" s="34" t="s">
        <v>82</v>
      </c>
      <c r="D15" s="34" t="s">
        <v>83</v>
      </c>
      <c r="E15" s="34" t="s">
        <v>84</v>
      </c>
      <c r="F15" s="36" t="s">
        <v>85</v>
      </c>
      <c r="G15" s="30"/>
    </row>
    <row r="16" spans="1:8" ht="12" thickBot="1" x14ac:dyDescent="0.25">
      <c r="A16" s="132"/>
      <c r="B16" s="37" t="s">
        <v>86</v>
      </c>
      <c r="C16" s="7" t="s">
        <v>87</v>
      </c>
      <c r="D16" s="7" t="s">
        <v>88</v>
      </c>
      <c r="E16" s="7" t="s">
        <v>89</v>
      </c>
      <c r="F16" s="38" t="s">
        <v>90</v>
      </c>
      <c r="G16" s="30"/>
    </row>
    <row r="17" spans="1:6" x14ac:dyDescent="0.2">
      <c r="A17" s="128" t="s">
        <v>121</v>
      </c>
      <c r="B17" s="129"/>
      <c r="C17" s="129"/>
      <c r="D17" s="129"/>
      <c r="E17" s="129"/>
      <c r="F17" s="130"/>
    </row>
    <row r="18" spans="1:6" ht="22.8" x14ac:dyDescent="0.2">
      <c r="A18" s="39" t="s">
        <v>91</v>
      </c>
      <c r="B18" s="137" t="s">
        <v>92</v>
      </c>
      <c r="C18" s="137"/>
      <c r="D18" s="138" t="s">
        <v>93</v>
      </c>
      <c r="E18" s="139"/>
      <c r="F18" s="140"/>
    </row>
    <row r="19" spans="1:6" ht="58.95" customHeight="1" x14ac:dyDescent="0.2">
      <c r="A19" s="45" t="s">
        <v>94</v>
      </c>
      <c r="B19" s="133" t="s">
        <v>95</v>
      </c>
      <c r="C19" s="133"/>
      <c r="D19" s="141" t="s">
        <v>96</v>
      </c>
      <c r="E19" s="142"/>
      <c r="F19" s="143"/>
    </row>
    <row r="20" spans="1:6" ht="58.95" customHeight="1" x14ac:dyDescent="0.2">
      <c r="A20" s="45" t="s">
        <v>97</v>
      </c>
      <c r="B20" s="134" t="s">
        <v>98</v>
      </c>
      <c r="C20" s="134"/>
      <c r="D20" s="141" t="s">
        <v>99</v>
      </c>
      <c r="E20" s="142"/>
      <c r="F20" s="143"/>
    </row>
    <row r="21" spans="1:6" ht="58.95" customHeight="1" x14ac:dyDescent="0.2">
      <c r="A21" s="45" t="s">
        <v>51</v>
      </c>
      <c r="B21" s="136" t="s">
        <v>100</v>
      </c>
      <c r="C21" s="136"/>
      <c r="D21" s="141" t="s">
        <v>101</v>
      </c>
      <c r="E21" s="142"/>
      <c r="F21" s="143"/>
    </row>
    <row r="22" spans="1:6" ht="58.95" customHeight="1" x14ac:dyDescent="0.2">
      <c r="A22" s="45" t="s">
        <v>50</v>
      </c>
      <c r="B22" s="135" t="s">
        <v>102</v>
      </c>
      <c r="C22" s="135"/>
      <c r="D22" s="141" t="s">
        <v>120</v>
      </c>
      <c r="E22" s="142"/>
      <c r="F22" s="143"/>
    </row>
    <row r="23" spans="1:6" ht="58.95" customHeight="1" thickBot="1" x14ac:dyDescent="0.25">
      <c r="A23" s="45" t="s">
        <v>49</v>
      </c>
      <c r="B23" s="160" t="s">
        <v>103</v>
      </c>
      <c r="C23" s="160"/>
      <c r="D23" s="161" t="s">
        <v>119</v>
      </c>
      <c r="E23" s="162"/>
      <c r="F23" s="163"/>
    </row>
    <row r="24" spans="1:6" x14ac:dyDescent="0.2">
      <c r="A24" s="128" t="s">
        <v>122</v>
      </c>
      <c r="B24" s="129"/>
      <c r="C24" s="129"/>
      <c r="D24" s="129"/>
      <c r="E24" s="129"/>
      <c r="F24" s="130"/>
    </row>
    <row r="25" spans="1:6" s="6" customFormat="1" x14ac:dyDescent="0.3">
      <c r="A25" s="152" t="s">
        <v>7</v>
      </c>
      <c r="B25" s="153"/>
      <c r="C25" s="153"/>
      <c r="D25" s="154" t="s">
        <v>22</v>
      </c>
      <c r="E25" s="154"/>
      <c r="F25" s="155"/>
    </row>
    <row r="26" spans="1:6" s="6" customFormat="1" x14ac:dyDescent="0.3">
      <c r="A26" s="40">
        <v>1</v>
      </c>
      <c r="B26" s="5" t="s">
        <v>8</v>
      </c>
      <c r="C26" s="5" t="s">
        <v>9</v>
      </c>
      <c r="D26" s="5">
        <v>1</v>
      </c>
      <c r="E26" s="5" t="s">
        <v>10</v>
      </c>
      <c r="F26" s="41" t="s">
        <v>11</v>
      </c>
    </row>
    <row r="27" spans="1:6" s="6" customFormat="1" x14ac:dyDescent="0.3">
      <c r="A27" s="40">
        <v>2</v>
      </c>
      <c r="B27" s="5" t="s">
        <v>12</v>
      </c>
      <c r="C27" s="5" t="s">
        <v>13</v>
      </c>
      <c r="D27" s="5">
        <v>2</v>
      </c>
      <c r="E27" s="5" t="s">
        <v>12</v>
      </c>
      <c r="F27" s="41" t="s">
        <v>27</v>
      </c>
    </row>
    <row r="28" spans="1:6" s="6" customFormat="1" x14ac:dyDescent="0.3">
      <c r="A28" s="40">
        <v>3</v>
      </c>
      <c r="B28" s="5" t="s">
        <v>14</v>
      </c>
      <c r="C28" s="5" t="s">
        <v>16</v>
      </c>
      <c r="D28" s="5">
        <v>3</v>
      </c>
      <c r="E28" s="5" t="s">
        <v>14</v>
      </c>
      <c r="F28" s="41" t="s">
        <v>28</v>
      </c>
    </row>
    <row r="29" spans="1:6" s="6" customFormat="1" x14ac:dyDescent="0.3">
      <c r="A29" s="40">
        <v>4</v>
      </c>
      <c r="B29" s="5" t="s">
        <v>25</v>
      </c>
      <c r="C29" s="5" t="s">
        <v>23</v>
      </c>
      <c r="D29" s="5">
        <v>4</v>
      </c>
      <c r="E29" s="5" t="s">
        <v>15</v>
      </c>
      <c r="F29" s="41" t="s">
        <v>29</v>
      </c>
    </row>
    <row r="30" spans="1:6" s="6" customFormat="1" ht="12" thickBot="1" x14ac:dyDescent="0.35">
      <c r="A30" s="42">
        <v>5</v>
      </c>
      <c r="B30" s="43" t="s">
        <v>26</v>
      </c>
      <c r="C30" s="43" t="s">
        <v>24</v>
      </c>
      <c r="D30" s="43">
        <v>5</v>
      </c>
      <c r="E30" s="43" t="s">
        <v>17</v>
      </c>
      <c r="F30" s="44" t="s">
        <v>30</v>
      </c>
    </row>
    <row r="31" spans="1:6" s="6" customFormat="1" x14ac:dyDescent="0.3">
      <c r="A31" s="128" t="s">
        <v>123</v>
      </c>
      <c r="B31" s="129"/>
      <c r="C31" s="129"/>
      <c r="D31" s="129"/>
      <c r="E31" s="129"/>
      <c r="F31" s="130"/>
    </row>
    <row r="32" spans="1:6" s="6" customFormat="1" ht="30" customHeight="1" x14ac:dyDescent="0.3">
      <c r="A32" s="156" t="s">
        <v>18</v>
      </c>
      <c r="B32" s="157"/>
      <c r="C32" s="158" t="s">
        <v>35</v>
      </c>
      <c r="D32" s="158"/>
      <c r="E32" s="158"/>
      <c r="F32" s="159"/>
    </row>
    <row r="33" spans="1:6" s="6" customFormat="1" ht="30" customHeight="1" x14ac:dyDescent="0.3">
      <c r="A33" s="164" t="s">
        <v>19</v>
      </c>
      <c r="B33" s="165"/>
      <c r="C33" s="166" t="s">
        <v>32</v>
      </c>
      <c r="D33" s="166"/>
      <c r="E33" s="166"/>
      <c r="F33" s="167"/>
    </row>
    <row r="34" spans="1:6" s="6" customFormat="1" ht="30" customHeight="1" x14ac:dyDescent="0.3">
      <c r="A34" s="144" t="s">
        <v>20</v>
      </c>
      <c r="B34" s="145"/>
      <c r="C34" s="146" t="s">
        <v>33</v>
      </c>
      <c r="D34" s="146"/>
      <c r="E34" s="146"/>
      <c r="F34" s="147"/>
    </row>
    <row r="35" spans="1:6" s="6" customFormat="1" ht="30" customHeight="1" thickBot="1" x14ac:dyDescent="0.35">
      <c r="A35" s="148" t="s">
        <v>21</v>
      </c>
      <c r="B35" s="149"/>
      <c r="C35" s="150" t="s">
        <v>31</v>
      </c>
      <c r="D35" s="150"/>
      <c r="E35" s="150"/>
      <c r="F35" s="151"/>
    </row>
  </sheetData>
  <mergeCells count="32">
    <mergeCell ref="A24:F24"/>
    <mergeCell ref="B23:C23"/>
    <mergeCell ref="D23:F23"/>
    <mergeCell ref="A33:B33"/>
    <mergeCell ref="C33:F33"/>
    <mergeCell ref="A34:B34"/>
    <mergeCell ref="C34:F34"/>
    <mergeCell ref="A35:B35"/>
    <mergeCell ref="C35:F35"/>
    <mergeCell ref="A25:C25"/>
    <mergeCell ref="D25:F25"/>
    <mergeCell ref="A31:F31"/>
    <mergeCell ref="A32:B32"/>
    <mergeCell ref="C32:F32"/>
    <mergeCell ref="A15:A16"/>
    <mergeCell ref="B19:C19"/>
    <mergeCell ref="B20:C20"/>
    <mergeCell ref="B22:C22"/>
    <mergeCell ref="B21:C21"/>
    <mergeCell ref="A17:F17"/>
    <mergeCell ref="B18:C18"/>
    <mergeCell ref="D18:F18"/>
    <mergeCell ref="D19:F19"/>
    <mergeCell ref="D20:F20"/>
    <mergeCell ref="D21:F21"/>
    <mergeCell ref="D22:F22"/>
    <mergeCell ref="A13:F13"/>
    <mergeCell ref="A1:F1"/>
    <mergeCell ref="A2:F2"/>
    <mergeCell ref="A3:F3"/>
    <mergeCell ref="A4:F5"/>
    <mergeCell ref="A12:F1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RİSK DEĞERLENDİRME TABLOSU</vt:lpstr>
      <vt:lpstr>RİSK DEĞERLENDİRME METODOLOJİSİ</vt:lpstr>
      <vt:lpstr>'RİSK DEĞERLENDİRME TABLOSU'!Print_Titles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Kullanıcısı</dc:creator>
  <cp:keywords/>
  <dc:description/>
  <cp:lastModifiedBy>Karacal,Pelin Nur</cp:lastModifiedBy>
  <cp:lastPrinted>2018-08-28T13:38:38Z</cp:lastPrinted>
  <dcterms:created xsi:type="dcterms:W3CDTF">2016-03-24T10:25:22Z</dcterms:created>
  <dcterms:modified xsi:type="dcterms:W3CDTF">2025-03-13T07:44:37Z</dcterms:modified>
  <cp:category/>
</cp:coreProperties>
</file>