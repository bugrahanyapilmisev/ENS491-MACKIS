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3-İSG Olay Araştırma\"/>
    </mc:Choice>
  </mc:AlternateContent>
  <bookViews>
    <workbookView xWindow="0" yWindow="0" windowWidth="20490" windowHeight="7770"/>
  </bookViews>
  <sheets>
    <sheet name="İş Kazaları" sheetId="1" r:id="rId1"/>
    <sheet name="Lists" sheetId="2" r:id="rId2"/>
  </sheets>
  <externalReferences>
    <externalReference r:id="rId3"/>
    <externalReference r:id="rId4"/>
    <externalReference r:id="rId5"/>
    <externalReference r:id="rId6"/>
  </externalReferences>
  <definedNames>
    <definedName name="BodyPart" localSheetId="1">Lists!#REF!</definedName>
    <definedName name="BodyPart">[1]Lists!#REF!</definedName>
    <definedName name="Classification">Lists!$D$5:$D$14</definedName>
    <definedName name="Division">Lists!$E$2:$E$6</definedName>
    <definedName name="Incident">'[2]Data Lists'!$C$2:$C$6</definedName>
    <definedName name="InjuredPart">'[3]Data Lists'!$D$2:$D$18</definedName>
    <definedName name="Injury">'[3]Data Lists'!$E$2:$E$18</definedName>
    <definedName name="Location" localSheetId="1">Lists!#REF!</definedName>
    <definedName name="Location">[1]Lists!#REF!</definedName>
    <definedName name="Month" localSheetId="1">Lists!#REF!</definedName>
    <definedName name="Month">[1]Lists!#REF!</definedName>
    <definedName name="Nature">Lists!$B$2:$B$12</definedName>
    <definedName name="Person">'[3]Data Lists'!$I$2:$I$5</definedName>
    <definedName name="Sites">'[2]Data Lists'!$A$2:$A$4</definedName>
    <definedName name="t">'[4].xls'!$E$2:$E$17</definedName>
    <definedName name="Type">Lists!#REF!</definedName>
    <definedName name="UnsafeAct">'[3]Data Lists'!$F$2:$F$4</definedName>
    <definedName name="_xlnm.Print_Area" localSheetId="0">'İş Kazaları'!$A$21:$Q$65</definedName>
    <definedName name="_xlnm.Print_Area" localSheetId="1">Lists!$B$1:$E$22</definedName>
    <definedName name="_xlnm.Print_Titles" localSheetId="0">'İş Kazaları'!$21:$22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F12" i="1"/>
  <c r="K8" i="1"/>
  <c r="J8" i="1"/>
  <c r="I8" i="1"/>
  <c r="H8" i="1"/>
  <c r="K7" i="1"/>
  <c r="J7" i="1"/>
  <c r="I7" i="1"/>
  <c r="H7" i="1"/>
  <c r="F7" i="1"/>
  <c r="K6" i="1"/>
  <c r="J6" i="1"/>
  <c r="I6" i="1"/>
  <c r="H6" i="1"/>
  <c r="F6" i="1"/>
  <c r="K5" i="1"/>
  <c r="J5" i="1"/>
  <c r="I5" i="1"/>
  <c r="H5" i="1"/>
  <c r="F5" i="1"/>
  <c r="K4" i="1"/>
  <c r="J4" i="1"/>
  <c r="J9" i="1" s="1"/>
  <c r="I4" i="1"/>
  <c r="H4" i="1"/>
  <c r="F4" i="1"/>
  <c r="F2" i="1"/>
  <c r="F1" i="1"/>
  <c r="F15" i="1" l="1"/>
  <c r="G15" i="1" s="1"/>
  <c r="F9" i="1"/>
  <c r="G5" i="1" s="1"/>
  <c r="K9" i="1"/>
  <c r="H9" i="1"/>
  <c r="I9" i="1"/>
  <c r="G13" i="1"/>
  <c r="G14" i="1"/>
  <c r="G12" i="1"/>
  <c r="G7" i="1" l="1"/>
  <c r="G9" i="1"/>
  <c r="G6" i="1"/>
  <c r="G8" i="1"/>
  <c r="G4" i="1"/>
  <c r="L9" i="1"/>
</calcChain>
</file>

<file path=xl/sharedStrings.xml><?xml version="1.0" encoding="utf-8"?>
<sst xmlns="http://schemas.openxmlformats.org/spreadsheetml/2006/main" count="115" uniqueCount="111">
  <si>
    <t>Print Tarihi:</t>
  </si>
  <si>
    <t>Sayfa boyutu:A3</t>
  </si>
  <si>
    <t>Saat:</t>
  </si>
  <si>
    <t>Kazazede Türü</t>
  </si>
  <si>
    <t>#</t>
  </si>
  <si>
    <t>%</t>
  </si>
  <si>
    <t>SU</t>
  </si>
  <si>
    <t>Altişveren</t>
  </si>
  <si>
    <t>Stajyer</t>
  </si>
  <si>
    <t>Öğrenci</t>
  </si>
  <si>
    <t>Ziyaretçi</t>
  </si>
  <si>
    <t>Toplam</t>
  </si>
  <si>
    <t>Toplam Kaza Sayısı</t>
  </si>
  <si>
    <t>Ramak Kala Sayısı=</t>
  </si>
  <si>
    <t>Sorumluların dağılımı</t>
  </si>
  <si>
    <t>İGU</t>
  </si>
  <si>
    <t>İYH</t>
  </si>
  <si>
    <t>İşveren, işveren vekili, bölüm yöneticileri</t>
  </si>
  <si>
    <t>Her aksiyon için ayrı satır açılır</t>
  </si>
  <si>
    <t>Sayı</t>
  </si>
  <si>
    <t>Tarih</t>
  </si>
  <si>
    <t>Olayın Kısa Açıklaması</t>
  </si>
  <si>
    <t>Yaranın Vücuttaki Yeri</t>
  </si>
  <si>
    <t>Yara Türü</t>
  </si>
  <si>
    <t>Kaza Sonucu</t>
  </si>
  <si>
    <t>Kayıp Gün sayısı</t>
  </si>
  <si>
    <t>Hedef Tarih</t>
  </si>
  <si>
    <t>Kapatma Tarihi</t>
  </si>
  <si>
    <t>Son Durum</t>
  </si>
  <si>
    <t>Sorumlu</t>
  </si>
  <si>
    <t>Kayıt</t>
  </si>
  <si>
    <t>Omuz</t>
  </si>
  <si>
    <t>Şişlik, çürük</t>
  </si>
  <si>
    <t>El</t>
  </si>
  <si>
    <t>Sırt</t>
  </si>
  <si>
    <t>Kafa</t>
  </si>
  <si>
    <t>Parmak</t>
  </si>
  <si>
    <t>Göz</t>
  </si>
  <si>
    <t>Ayak bileği</t>
  </si>
  <si>
    <t>Kesik</t>
  </si>
  <si>
    <t>Bacak</t>
  </si>
  <si>
    <t>Burkulma</t>
  </si>
  <si>
    <t>Başparmak</t>
  </si>
  <si>
    <t>Yanıklar</t>
  </si>
  <si>
    <t>Bilek</t>
  </si>
  <si>
    <t>Kırık</t>
  </si>
  <si>
    <t>Diz</t>
  </si>
  <si>
    <t>Ayak topuğu</t>
  </si>
  <si>
    <t>Kalça</t>
  </si>
  <si>
    <t>Alt işverenler</t>
  </si>
  <si>
    <t>Öğrenciler</t>
  </si>
  <si>
    <t>Trafik kazaları</t>
  </si>
  <si>
    <t>Ayakta yapılan tedavi</t>
  </si>
  <si>
    <t>Su çalışanlar</t>
  </si>
  <si>
    <t>Kesici el aleti ile yaralanma</t>
  </si>
  <si>
    <t>Bel</t>
  </si>
  <si>
    <t>Sabit bir cisme çarpma</t>
  </si>
  <si>
    <t>Hem zemin ortamda kayma, takılma , düşme</t>
  </si>
  <si>
    <t>Elleçleme, kaldırma ve taşıma işleri</t>
  </si>
  <si>
    <t>Sıkışma</t>
  </si>
  <si>
    <t>Sıcak su, buhar ve yüzeylere temas etme</t>
  </si>
  <si>
    <t>Yırtılma</t>
  </si>
  <si>
    <t>Ayak</t>
  </si>
  <si>
    <t>Diğer sebepler</t>
  </si>
  <si>
    <t>Psikolojik</t>
  </si>
  <si>
    <t>Hayvanların yaralaması, biyolojik etkenler</t>
  </si>
  <si>
    <t>Müdahele yok</t>
  </si>
  <si>
    <t>Yüksekten düşme</t>
  </si>
  <si>
    <t>Kol</t>
  </si>
  <si>
    <t>Sabit merdivenden düşme</t>
  </si>
  <si>
    <t>Maruziyet yok</t>
  </si>
  <si>
    <t>Ziyaretçiler</t>
  </si>
  <si>
    <t>Yaranın Vücattaki Yeri</t>
  </si>
  <si>
    <t>Kaza sebebi</t>
  </si>
  <si>
    <t>Etkilenenler</t>
  </si>
  <si>
    <t>Uzuv kopması</t>
  </si>
  <si>
    <t>Ramak kala Olay</t>
  </si>
  <si>
    <t>Kulak</t>
  </si>
  <si>
    <t>Bildirim</t>
  </si>
  <si>
    <t>Afetler</t>
  </si>
  <si>
    <t>Gün kayıplı iş kaazası</t>
  </si>
  <si>
    <t>Boyun</t>
  </si>
  <si>
    <t>Yangına maruziyeti</t>
  </si>
  <si>
    <t>Çıkık</t>
  </si>
  <si>
    <t>Patlama marizyeti</t>
  </si>
  <si>
    <t>Ölüm</t>
  </si>
  <si>
    <t>Alanda bulunan tüm kişiler</t>
  </si>
  <si>
    <t>Boğulma</t>
  </si>
  <si>
    <t>Dirsek</t>
  </si>
  <si>
    <t>Görüş kaybı</t>
  </si>
  <si>
    <t>Devrilen bir cismin altına kalma</t>
  </si>
  <si>
    <t>Kas-iskelet sistemi</t>
  </si>
  <si>
    <t>Elektrik veya elektriksel deşarjalara temas</t>
  </si>
  <si>
    <t>Bilinç kaybı</t>
  </si>
  <si>
    <t>Hareket eden, uçan veya düşen bir cismin çarpması</t>
  </si>
  <si>
    <t>Bayılma</t>
  </si>
  <si>
    <t>Göğüs</t>
  </si>
  <si>
    <t>Leğen kemiği</t>
  </si>
  <si>
    <t>Tehlikeli bir madde ile temas etme veya maruz kalma</t>
  </si>
  <si>
    <t>Makine veya makinede işlenenen materyalle temas</t>
  </si>
  <si>
    <t>Hareketli cisme çarpma</t>
  </si>
  <si>
    <t>Fiziksel Şiddet uygulanması</t>
  </si>
  <si>
    <t>Ayak parmağı</t>
  </si>
  <si>
    <t>Hareket eden bir taşıtın / aracın çarpması (forfklift, manlift vb)</t>
  </si>
  <si>
    <t>Olay İstatistikleri</t>
  </si>
  <si>
    <t>Olaydan etkilenen kişi</t>
  </si>
  <si>
    <t>Olay Türü</t>
  </si>
  <si>
    <t>Olay Sonucu</t>
  </si>
  <si>
    <t>Etkilenen Kişi Türü</t>
  </si>
  <si>
    <t>Düzeltici Faaliyetler</t>
  </si>
  <si>
    <t>İSG Kapatma Onayı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</si>
</sst>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6">
    <font>
      <sz val="10"/>
      <name val="Arial"/>
      <family val="2"/>
      <charset val="162"/>
    </font>
    <font>
      <sz val="10"/>
      <name val="Arial"/>
      <family val="2"/>
      <charset val="162"/>
    </font>
    <font>
      <sz val="12"/>
      <name val="Verdana"/>
      <family val="2"/>
      <charset val="162"/>
    </font>
    <font>
      <b/>
      <sz val="12"/>
      <name val="Verdana"/>
      <family val="2"/>
      <charset val="162"/>
    </font>
    <font>
      <sz val="12"/>
      <color theme="1"/>
      <name val="Verdana"/>
      <family val="2"/>
      <charset val="162"/>
    </font>
    <font>
      <b/>
      <sz val="12"/>
      <color theme="1"/>
      <name val="Verdana"/>
      <family val="2"/>
      <charset val="162"/>
    </font>
    <font>
      <sz val="1"/>
      <name val="Verdana"/>
      <family val="2"/>
      <charset val="162"/>
    </font>
    <font>
      <b/>
      <sz val="1"/>
      <name val="Verdana"/>
      <family val="2"/>
      <charset val="162"/>
    </font>
    <font>
      <b/>
      <sz val="1"/>
      <color indexed="10"/>
      <name val="Verdana"/>
      <family val="2"/>
      <charset val="162"/>
    </font>
    <font>
      <sz val="1"/>
      <color theme="1"/>
      <name val="Verdana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sz val="10"/>
      <color theme="1"/>
      <name val="Verdana"/>
      <family val="2"/>
      <charset val="162"/>
    </font>
    <font>
      <b/>
      <sz val="10"/>
      <color indexed="8"/>
      <name val="Verdana"/>
      <family val="2"/>
      <charset val="162"/>
    </font>
    <font>
      <b/>
      <sz val="10"/>
      <name val="Franklin Gothic Book"/>
      <family val="2"/>
      <charset val="162"/>
    </font>
    <font>
      <b/>
      <sz val="10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5" fontId="3" fillId="0" borderId="1" xfId="0" applyNumberFormat="1" applyFont="1" applyFill="1" applyBorder="1" applyAlignment="1" applyProtection="1">
      <alignment horizontal="center" vertical="center" wrapText="1"/>
    </xf>
    <xf numFmtId="164" fontId="3" fillId="0" borderId="1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5" fontId="7" fillId="0" borderId="1" xfId="0" applyNumberFormat="1" applyFont="1" applyFill="1" applyBorder="1" applyAlignment="1" applyProtection="1">
      <alignment horizontal="left" vertical="center" wrapText="1"/>
    </xf>
    <xf numFmtId="20" fontId="7" fillId="0" borderId="1" xfId="0" applyNumberFormat="1" applyFont="1" applyFill="1" applyBorder="1" applyAlignment="1" applyProtection="1">
      <alignment horizontal="left" vertical="center"/>
    </xf>
    <xf numFmtId="15" fontId="8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center" vertical="center" wrapText="1"/>
    </xf>
    <xf numFmtId="15" fontId="11" fillId="3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164" fontId="10" fillId="0" borderId="1" xfId="0" applyNumberFormat="1" applyFont="1" applyFill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4" borderId="1" xfId="0" quotePrefix="1" applyFont="1" applyFill="1" applyBorder="1" applyAlignment="1">
      <alignment horizontal="left" vertical="center" wrapText="1"/>
    </xf>
    <xf numFmtId="1" fontId="11" fillId="4" borderId="1" xfId="0" applyNumberFormat="1" applyFont="1" applyFill="1" applyBorder="1" applyAlignment="1">
      <alignment horizontal="left" vertical="center" wrapText="1"/>
    </xf>
    <xf numFmtId="1" fontId="13" fillId="4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5" borderId="1" xfId="0" quotePrefix="1" applyFont="1" applyFill="1" applyBorder="1" applyAlignment="1">
      <alignment horizontal="left" vertical="center" wrapText="1"/>
    </xf>
    <xf numFmtId="1" fontId="11" fillId="5" borderId="1" xfId="0" applyNumberFormat="1" applyFont="1" applyFill="1" applyBorder="1" applyAlignment="1">
      <alignment horizontal="left" vertical="center" wrapText="1"/>
    </xf>
    <xf numFmtId="1" fontId="13" fillId="5" borderId="1" xfId="0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15" fontId="11" fillId="0" borderId="1" xfId="1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1" fontId="11" fillId="6" borderId="1" xfId="0" applyNumberFormat="1" applyFont="1" applyFill="1" applyBorder="1" applyAlignment="1">
      <alignment horizontal="left" vertical="center" wrapText="1"/>
    </xf>
    <xf numFmtId="1" fontId="13" fillId="6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left" vertical="center" wrapText="1"/>
    </xf>
    <xf numFmtId="1" fontId="13" fillId="0" borderId="1" xfId="0" applyNumberFormat="1" applyFont="1" applyFill="1" applyBorder="1" applyAlignment="1">
      <alignment horizontal="center"/>
    </xf>
    <xf numFmtId="0" fontId="11" fillId="7" borderId="1" xfId="0" quotePrefix="1" applyFont="1" applyFill="1" applyBorder="1" applyAlignment="1">
      <alignment horizontal="left" vertical="center" wrapText="1"/>
    </xf>
    <xf numFmtId="1" fontId="11" fillId="7" borderId="1" xfId="0" applyNumberFormat="1" applyFont="1" applyFill="1" applyBorder="1" applyAlignment="1">
      <alignment horizontal="left" vertical="center" wrapText="1"/>
    </xf>
    <xf numFmtId="1" fontId="13" fillId="7" borderId="1" xfId="0" applyNumberFormat="1" applyFont="1" applyFill="1" applyBorder="1" applyAlignment="1">
      <alignment horizontal="center" vertical="center"/>
    </xf>
    <xf numFmtId="0" fontId="11" fillId="8" borderId="1" xfId="0" quotePrefix="1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3" fillId="8" borderId="1" xfId="0" applyNumberFormat="1" applyFont="1" applyFill="1" applyBorder="1" applyAlignment="1">
      <alignment horizontal="center" vertical="center"/>
    </xf>
    <xf numFmtId="9" fontId="11" fillId="0" borderId="1" xfId="2" applyFont="1" applyBorder="1" applyAlignment="1" applyProtection="1">
      <alignment horizontal="left" vertical="center" wrapText="1"/>
    </xf>
    <xf numFmtId="1" fontId="11" fillId="0" borderId="1" xfId="2" applyNumberFormat="1" applyFont="1" applyBorder="1" applyAlignment="1" applyProtection="1">
      <alignment horizontal="left" vertical="center" wrapText="1"/>
    </xf>
    <xf numFmtId="1" fontId="11" fillId="0" borderId="1" xfId="2" applyNumberFormat="1" applyFont="1" applyBorder="1" applyAlignment="1" applyProtection="1">
      <alignment horizontal="center" vertical="center" wrapText="1"/>
    </xf>
    <xf numFmtId="1" fontId="11" fillId="0" borderId="1" xfId="2" applyNumberFormat="1" applyFont="1" applyBorder="1" applyAlignment="1" applyProtection="1">
      <alignment horizontal="left" vertical="center"/>
    </xf>
    <xf numFmtId="1" fontId="11" fillId="0" borderId="1" xfId="2" applyNumberFormat="1" applyFont="1" applyBorder="1" applyAlignment="1" applyProtection="1">
      <alignment horizontal="left" vertical="top"/>
    </xf>
    <xf numFmtId="1" fontId="10" fillId="0" borderId="1" xfId="0" applyNumberFormat="1" applyFont="1" applyBorder="1" applyAlignment="1">
      <alignment vertical="center" wrapText="1"/>
    </xf>
    <xf numFmtId="0" fontId="11" fillId="0" borderId="1" xfId="1" applyFont="1" applyFill="1" applyBorder="1" applyAlignment="1">
      <alignment horizontal="left" vertical="center"/>
    </xf>
    <xf numFmtId="1" fontId="11" fillId="0" borderId="1" xfId="2" applyNumberFormat="1" applyFont="1" applyFill="1" applyBorder="1" applyAlignment="1" applyProtection="1">
      <alignment horizontal="left" vertical="top" wrapText="1"/>
    </xf>
    <xf numFmtId="1" fontId="11" fillId="0" borderId="1" xfId="2" applyNumberFormat="1" applyFont="1" applyFill="1" applyBorder="1" applyAlignment="1" applyProtection="1">
      <alignment horizontal="center" vertical="top" wrapText="1"/>
    </xf>
    <xf numFmtId="0" fontId="11" fillId="0" borderId="1" xfId="0" quotePrefix="1" applyFont="1" applyFill="1" applyBorder="1" applyAlignment="1">
      <alignment horizontal="left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vertical="center" wrapText="1"/>
    </xf>
    <xf numFmtId="9" fontId="11" fillId="0" borderId="1" xfId="2" applyFont="1" applyFill="1" applyBorder="1" applyAlignment="1" applyProtection="1">
      <alignment horizontal="left" vertical="top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vertical="center" wrapText="1"/>
    </xf>
    <xf numFmtId="0" fontId="11" fillId="0" borderId="1" xfId="0" applyFont="1" applyBorder="1"/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vertical="center"/>
    </xf>
    <xf numFmtId="0" fontId="10" fillId="0" borderId="1" xfId="0" applyFont="1" applyBorder="1" applyAlignment="1"/>
    <xf numFmtId="0" fontId="10" fillId="0" borderId="2" xfId="0" applyFont="1" applyBorder="1"/>
    <xf numFmtId="0" fontId="10" fillId="0" borderId="2" xfId="0" applyFont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3" fontId="3" fillId="11" borderId="3" xfId="0" applyNumberFormat="1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/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4" fillId="0" borderId="0" xfId="0" applyFont="1"/>
    <xf numFmtId="0" fontId="14" fillId="0" borderId="4" xfId="0" applyFont="1" applyBorder="1"/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14" fillId="0" borderId="6" xfId="0" applyFont="1" applyBorder="1"/>
    <xf numFmtId="0" fontId="15" fillId="0" borderId="3" xfId="0" applyFont="1" applyBorder="1"/>
    <xf numFmtId="0" fontId="14" fillId="0" borderId="7" xfId="0" applyFont="1" applyBorder="1"/>
    <xf numFmtId="0" fontId="14" fillId="0" borderId="8" xfId="0" applyFont="1" applyFill="1" applyBorder="1" applyAlignment="1">
      <alignment wrapText="1"/>
    </xf>
    <xf numFmtId="0" fontId="14" fillId="0" borderId="8" xfId="0" applyFont="1" applyBorder="1"/>
    <xf numFmtId="0" fontId="14" fillId="0" borderId="9" xfId="0" applyFont="1" applyBorder="1"/>
    <xf numFmtId="0" fontId="14" fillId="0" borderId="3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3" xfId="0" applyFont="1" applyFill="1" applyBorder="1" applyAlignment="1">
      <alignment wrapText="1"/>
    </xf>
    <xf numFmtId="0" fontId="14" fillId="0" borderId="11" xfId="0" applyFont="1" applyFill="1" applyBorder="1"/>
    <xf numFmtId="0" fontId="14" fillId="0" borderId="3" xfId="0" applyFont="1" applyFill="1" applyBorder="1"/>
    <xf numFmtId="0" fontId="14" fillId="0" borderId="12" xfId="0" applyFont="1" applyBorder="1"/>
    <xf numFmtId="0" fontId="14" fillId="0" borderId="3" xfId="0" applyFont="1" applyBorder="1" applyAlignment="1">
      <alignment horizontal="left"/>
    </xf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5" xfId="0" applyFont="1" applyBorder="1" applyAlignment="1">
      <alignment horizontal="left"/>
    </xf>
    <xf numFmtId="0" fontId="14" fillId="0" borderId="16" xfId="0" applyFont="1" applyBorder="1"/>
    <xf numFmtId="0" fontId="14" fillId="0" borderId="0" xfId="0" applyFont="1" applyAlignment="1">
      <alignment horizontal="center"/>
    </xf>
    <xf numFmtId="3" fontId="3" fillId="11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RD_Su Dairesi_2_2007" xfId="1"/>
    <cellStyle name="Yüzd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9B9-42EB-93AA-837B8D6200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9B9-42EB-93AA-837B8D62007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9B9-42EB-93AA-837B8D620076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9B9-42EB-93AA-837B8D6200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9B9-42EB-93AA-837B8D620076}"/>
              </c:ext>
            </c:extLst>
          </c:dPt>
          <c:dLbls>
            <c:dLbl>
              <c:idx val="3"/>
              <c:layout>
                <c:manualLayout>
                  <c:x val="-0.10458985611866277"/>
                  <c:y val="-1.7758785355014899E-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F9B9-42EB-93AA-837B8D62007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'İş Kazaları'!$E$4:$E$8</c:f>
              <c:strCache>
                <c:ptCount val="5"/>
                <c:pt idx="0">
                  <c:v>SU</c:v>
                </c:pt>
                <c:pt idx="1">
                  <c:v>Altişveren</c:v>
                </c:pt>
                <c:pt idx="2">
                  <c:v>Stajyer</c:v>
                </c:pt>
                <c:pt idx="3">
                  <c:v>Öğrenci</c:v>
                </c:pt>
                <c:pt idx="4">
                  <c:v>Ziyaretçi</c:v>
                </c:pt>
              </c:strCache>
            </c:strRef>
          </c:cat>
          <c:val>
            <c:numRef>
              <c:f>'İş Kazaları'!$F$4:$F$8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9B9-42EB-93AA-837B8D620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1791764</xdr:colOff>
      <xdr:row>12</xdr:row>
      <xdr:rowOff>204108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xmlns="" id="{55C0FCED-F01A-42CA-B5FB-22C3E3E95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273041</xdr:colOff>
      <xdr:row>0</xdr:row>
      <xdr:rowOff>0</xdr:rowOff>
    </xdr:from>
    <xdr:to>
      <xdr:col>11</xdr:col>
      <xdr:colOff>1463695</xdr:colOff>
      <xdr:row>9</xdr:row>
      <xdr:rowOff>39201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xmlns="" id="{EBD89889-0715-40F8-A1C9-4768380B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51791" y="0"/>
          <a:ext cx="1190654" cy="1429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3-&#304;&#351;%20Kazalar&#305;\0-&#304;statistik\SU_&#304;&#351;%20kazalar&#305;%20ve%20ramak%20kala%20bildirimleri%20kayd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actavis.com/exchange/vmallon/Inbox/EHS%20Scorecard%20-%20Baltimore.EML/Actavis%20EHS%20Template%202006%20-%20Baltimore.xls/C58EA28C-18C0-4a97-9AF2-036E93DDAFB3/Incidents/2006%20Incident%20List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actavis.com/exchange/vmallon/Inbox/EHS%20Scorecard%20-%20Baltimore.EML/Actavis%20EHS%20Template%202006%20-%20Baltimore.xls/C58EA28C-18C0-4a97-9AF2-036E93DDAFB3/Incidents/2006%20Incident%20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onis.delta.is/Documents%20and%20Settings/vmallon/Local%20Settings/Temporary%20Internet%20Files/Content.IE5/MVI7QBO1/Actavis%20Global%20Incident%20Summary%20Repor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İş Kazaları"/>
      <sheetName val="Lists"/>
      <sheetName val="Sayfa1"/>
      <sheetName val="Ramak kala-Bildirim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idents"/>
      <sheetName val="Summary"/>
      <sheetName val="Graph - data"/>
      <sheetName val="Graph - pivot tables"/>
      <sheetName val="Windsor- OC status"/>
      <sheetName val="CDC - OC status"/>
      <sheetName val="OWM - OC status"/>
      <sheetName val="Data Lists"/>
      <sheetName val="Dept 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Windsor</v>
          </cell>
          <cell r="C2" t="str">
            <v>Lost Time</v>
          </cell>
        </row>
        <row r="3">
          <cell r="A3" t="str">
            <v>CDC</v>
          </cell>
          <cell r="C3" t="str">
            <v>Near-Miss</v>
          </cell>
        </row>
        <row r="4">
          <cell r="A4" t="str">
            <v>OMills</v>
          </cell>
          <cell r="C4" t="str">
            <v>Recordable</v>
          </cell>
        </row>
        <row r="5">
          <cell r="C5" t="str">
            <v>Regulatory</v>
          </cell>
        </row>
        <row r="6">
          <cell r="C6" t="str">
            <v>Spill</v>
          </cell>
        </row>
      </sheetData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idents"/>
      <sheetName val="Summary"/>
      <sheetName val="Graph - data"/>
      <sheetName val="Graph - pivot tables"/>
      <sheetName val="Windsor- OC status"/>
      <sheetName val="CDC - OC status"/>
      <sheetName val="OWM - OC status"/>
      <sheetName val="Data Lists"/>
      <sheetName val="Dept #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>
        <row r="2">
          <cell r="D2" t="str">
            <v>None</v>
          </cell>
          <cell r="E2" t="str">
            <v>None</v>
          </cell>
        </row>
        <row r="3">
          <cell r="D3" t="str">
            <v>Ankle</v>
          </cell>
          <cell r="E3" t="str">
            <v>Broken</v>
          </cell>
          <cell r="F3" t="str">
            <v>Yes</v>
          </cell>
          <cell r="I3" t="str">
            <v>Employee</v>
          </cell>
        </row>
        <row r="4">
          <cell r="D4" t="str">
            <v>Eye</v>
          </cell>
          <cell r="E4" t="str">
            <v>Bruise</v>
          </cell>
        </row>
        <row r="5">
          <cell r="D5" t="str">
            <v>Back</v>
          </cell>
          <cell r="E5" t="str">
            <v>Burn</v>
          </cell>
          <cell r="I5" t="str">
            <v xml:space="preserve">Visitor </v>
          </cell>
        </row>
        <row r="6">
          <cell r="D6" t="str">
            <v>Elbow</v>
          </cell>
          <cell r="E6" t="str">
            <v>Contusion</v>
          </cell>
        </row>
        <row r="7">
          <cell r="D7" t="str">
            <v>Arm</v>
          </cell>
          <cell r="E7" t="str">
            <v>Dislocation</v>
          </cell>
        </row>
        <row r="8">
          <cell r="D8" t="str">
            <v>Chest</v>
          </cell>
          <cell r="E8" t="str">
            <v>Laceration/Cut</v>
          </cell>
        </row>
        <row r="9">
          <cell r="D9" t="str">
            <v>Face</v>
          </cell>
          <cell r="E9" t="str">
            <v>Sprain</v>
          </cell>
        </row>
        <row r="10">
          <cell r="D10" t="str">
            <v>Toes</v>
          </cell>
        </row>
        <row r="11">
          <cell r="D11" t="str">
            <v>Torso</v>
          </cell>
        </row>
        <row r="12">
          <cell r="D12" t="str">
            <v>Finger</v>
          </cell>
        </row>
        <row r="13">
          <cell r="D13" t="str">
            <v>Foot</v>
          </cell>
        </row>
        <row r="14">
          <cell r="D14" t="str">
            <v>Shoulder</v>
          </cell>
        </row>
        <row r="15">
          <cell r="D15" t="str">
            <v>Hand</v>
          </cell>
        </row>
        <row r="16">
          <cell r="D16" t="str">
            <v>Head</v>
          </cell>
        </row>
        <row r="17">
          <cell r="D17" t="str">
            <v>Knee</v>
          </cell>
        </row>
        <row r="18">
          <cell r="D18" t="str">
            <v>Leg</v>
          </cell>
        </row>
      </sheetData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xls"/>
    </sheetNames>
    <sheetDataSet>
      <sheetData sheetId="0" refreshError="1">
        <row r="2">
          <cell r="E2" t="str">
            <v>a</v>
          </cell>
        </row>
        <row r="3">
          <cell r="E3" t="str">
            <v>b</v>
          </cell>
        </row>
        <row r="4">
          <cell r="E4" t="str">
            <v>c</v>
          </cell>
        </row>
        <row r="5">
          <cell r="E5" t="str">
            <v>d</v>
          </cell>
        </row>
        <row r="6">
          <cell r="E6" t="str">
            <v>e</v>
          </cell>
        </row>
        <row r="7">
          <cell r="E7" t="str">
            <v>f</v>
          </cell>
        </row>
        <row r="8">
          <cell r="E8" t="str">
            <v>g</v>
          </cell>
        </row>
        <row r="9">
          <cell r="E9" t="str">
            <v>h</v>
          </cell>
        </row>
        <row r="10">
          <cell r="E10" t="str">
            <v>i</v>
          </cell>
        </row>
        <row r="11">
          <cell r="E11" t="str">
            <v>j</v>
          </cell>
        </row>
        <row r="12">
          <cell r="E12" t="str">
            <v>k</v>
          </cell>
        </row>
        <row r="13">
          <cell r="E13" t="str">
            <v>l</v>
          </cell>
        </row>
        <row r="14">
          <cell r="E14" t="str">
            <v>m</v>
          </cell>
        </row>
        <row r="15">
          <cell r="E15" t="str">
            <v>n</v>
          </cell>
        </row>
        <row r="16">
          <cell r="E16" t="str">
            <v>o</v>
          </cell>
        </row>
        <row r="17">
          <cell r="E17" t="str">
            <v>p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3"/>
  <sheetViews>
    <sheetView tabSelected="1" view="pageBreakPreview" topLeftCell="A4" zoomScale="60" zoomScaleNormal="60" workbookViewId="0">
      <pane ySplit="19" topLeftCell="A23" activePane="bottomLeft" state="frozen"/>
      <selection activeCell="A4" sqref="A4"/>
      <selection pane="bottomLeft" activeCell="C22" sqref="C22"/>
    </sheetView>
  </sheetViews>
  <sheetFormatPr defaultRowHeight="15"/>
  <cols>
    <col min="1" max="1" width="11.5703125" style="87" bestFit="1" customWidth="1"/>
    <col min="2" max="2" width="17.28515625" style="87" bestFit="1" customWidth="1"/>
    <col min="3" max="3" width="24.28515625" style="87" bestFit="1" customWidth="1"/>
    <col min="4" max="4" width="66.42578125" style="1" customWidth="1"/>
    <col min="5" max="5" width="34.42578125" style="89" bestFit="1" customWidth="1"/>
    <col min="6" max="6" width="16.28515625" style="90" bestFit="1" customWidth="1"/>
    <col min="7" max="7" width="24.85546875" style="91" customWidth="1"/>
    <col min="8" max="8" width="25.42578125" style="91" bestFit="1" customWidth="1"/>
    <col min="9" max="9" width="9.7109375" style="90" bestFit="1" customWidth="1"/>
    <col min="10" max="10" width="20.7109375" style="91" bestFit="1" customWidth="1"/>
    <col min="11" max="11" width="56.7109375" style="87" bestFit="1" customWidth="1"/>
    <col min="12" max="12" width="27.5703125" style="87" customWidth="1"/>
    <col min="13" max="13" width="14.140625" style="87" bestFit="1" customWidth="1"/>
    <col min="14" max="14" width="38.28515625" style="87" bestFit="1" customWidth="1"/>
    <col min="15" max="15" width="27" style="88" bestFit="1" customWidth="1"/>
    <col min="16" max="16" width="16" style="88" customWidth="1"/>
    <col min="17" max="17" width="15.140625" style="88" customWidth="1"/>
    <col min="18" max="18" width="21" style="88" customWidth="1"/>
    <col min="19" max="19" width="12.7109375" style="88" customWidth="1"/>
    <col min="20" max="20" width="9.140625" style="88"/>
    <col min="21" max="16384" width="9.140625" style="87"/>
  </cols>
  <sheetData>
    <row r="1" spans="4:26" s="9" customFormat="1">
      <c r="D1" s="1"/>
      <c r="E1" s="2" t="s">
        <v>0</v>
      </c>
      <c r="F1" s="3">
        <f ca="1">TODAY()</f>
        <v>44368</v>
      </c>
      <c r="G1" s="4"/>
      <c r="H1" s="5" t="s">
        <v>1</v>
      </c>
      <c r="I1" s="6"/>
      <c r="J1" s="7"/>
      <c r="K1" s="8"/>
      <c r="L1" s="8"/>
      <c r="T1" s="8"/>
      <c r="U1" s="8"/>
      <c r="V1" s="8"/>
      <c r="W1" s="10"/>
    </row>
    <row r="2" spans="4:26" s="15" customFormat="1" ht="5.25">
      <c r="D2" s="11"/>
      <c r="E2" s="12" t="s">
        <v>2</v>
      </c>
      <c r="F2" s="13">
        <f ca="1">NOW()</f>
        <v>44368.484380555557</v>
      </c>
      <c r="G2" s="14"/>
      <c r="M2" s="16"/>
      <c r="N2" s="16"/>
      <c r="T2" s="17"/>
      <c r="U2" s="17"/>
      <c r="V2" s="17"/>
      <c r="W2" s="18"/>
    </row>
    <row r="3" spans="4:26" s="24" customFormat="1" ht="12.75">
      <c r="D3" s="19"/>
      <c r="E3" s="20" t="s">
        <v>3</v>
      </c>
      <c r="F3" s="21" t="s">
        <v>4</v>
      </c>
      <c r="G3" s="22" t="s">
        <v>5</v>
      </c>
      <c r="H3" s="23">
        <v>2014</v>
      </c>
      <c r="I3" s="23">
        <v>2015</v>
      </c>
      <c r="J3" s="23">
        <v>2016</v>
      </c>
      <c r="K3" s="23">
        <v>2017</v>
      </c>
      <c r="M3" s="25"/>
      <c r="N3" s="25"/>
      <c r="V3" s="26"/>
      <c r="W3" s="27"/>
    </row>
    <row r="4" spans="4:26" s="24" customFormat="1" ht="12.75">
      <c r="D4" s="19"/>
      <c r="E4" s="28" t="s">
        <v>6</v>
      </c>
      <c r="F4" s="29">
        <f>COUNTIF(J22:J1524,"SU")</f>
        <v>0</v>
      </c>
      <c r="G4" s="30" t="e">
        <f t="shared" ref="G4:G9" si="0">F4*100/$F$9</f>
        <v>#DIV/0!</v>
      </c>
      <c r="H4" s="29">
        <f>COUNTIF(J22:J23,"SU")</f>
        <v>0</v>
      </c>
      <c r="I4" s="29" t="e">
        <f>COUNTIF(#REF!,"SU")</f>
        <v>#REF!</v>
      </c>
      <c r="J4" s="29" t="e">
        <f>COUNTIF(#REF!,"SU")</f>
        <v>#REF!</v>
      </c>
      <c r="K4" s="29">
        <f>COUNTIF(J24:J1524,"SU")</f>
        <v>0</v>
      </c>
      <c r="M4" s="25"/>
      <c r="N4" s="25"/>
      <c r="V4" s="25"/>
      <c r="W4" s="31"/>
      <c r="X4" s="32"/>
      <c r="Y4" s="32"/>
      <c r="Z4" s="32"/>
    </row>
    <row r="5" spans="4:26" s="24" customFormat="1" ht="12.75">
      <c r="D5" s="19"/>
      <c r="E5" s="33" t="s">
        <v>7</v>
      </c>
      <c r="F5" s="34">
        <f>COUNTIF(J22:J1543,"Altişveren")</f>
        <v>0</v>
      </c>
      <c r="G5" s="35" t="e">
        <f t="shared" si="0"/>
        <v>#DIV/0!</v>
      </c>
      <c r="H5" s="34">
        <f>COUNTIF(J22:J23,"Altişveren")</f>
        <v>0</v>
      </c>
      <c r="I5" s="34" t="e">
        <f>COUNTIF(#REF!,"Altişveren")</f>
        <v>#REF!</v>
      </c>
      <c r="J5" s="34" t="e">
        <f>COUNTIF(#REF!,"Altişveren")</f>
        <v>#REF!</v>
      </c>
      <c r="K5" s="34">
        <f>COUNTIF(J24:J1543,"Altişveren")</f>
        <v>0</v>
      </c>
      <c r="M5" s="25"/>
      <c r="N5" s="25"/>
      <c r="V5" s="25"/>
      <c r="W5" s="36"/>
      <c r="X5" s="37"/>
      <c r="Y5" s="32"/>
      <c r="Z5" s="32"/>
    </row>
    <row r="6" spans="4:26" s="24" customFormat="1" ht="12.75">
      <c r="D6" s="19"/>
      <c r="E6" s="38" t="s">
        <v>8</v>
      </c>
      <c r="F6" s="39">
        <f>COUNTIF(J22:J1543,"Stajyer")</f>
        <v>0</v>
      </c>
      <c r="G6" s="40" t="e">
        <f t="shared" si="0"/>
        <v>#DIV/0!</v>
      </c>
      <c r="H6" s="39">
        <f>COUNTIF(J22:J23,"Stajyer")</f>
        <v>0</v>
      </c>
      <c r="I6" s="39" t="e">
        <f>COUNTIF(#REF!,"Stajyer")</f>
        <v>#REF!</v>
      </c>
      <c r="J6" s="39" t="e">
        <f>COUNTIF(#REF!,"Stajyer")</f>
        <v>#REF!</v>
      </c>
      <c r="K6" s="39">
        <f>COUNTIF(J24:J1543,"Stajyer")</f>
        <v>0</v>
      </c>
      <c r="M6" s="25"/>
      <c r="N6" s="25"/>
      <c r="V6" s="25"/>
      <c r="W6" s="41"/>
      <c r="X6" s="42"/>
      <c r="Y6" s="32"/>
      <c r="Z6" s="32"/>
    </row>
    <row r="7" spans="4:26" s="24" customFormat="1" ht="12.75">
      <c r="D7" s="19"/>
      <c r="E7" s="43" t="s">
        <v>9</v>
      </c>
      <c r="F7" s="44">
        <f>COUNTIF(J22:J1544,"Öğrenci")</f>
        <v>0</v>
      </c>
      <c r="G7" s="45" t="e">
        <f t="shared" si="0"/>
        <v>#DIV/0!</v>
      </c>
      <c r="H7" s="44">
        <f>COUNTIF(J23:J23,"Öğrenci")</f>
        <v>0</v>
      </c>
      <c r="I7" s="44" t="e">
        <f>COUNTIF(#REF!,"Öğrenci")</f>
        <v>#REF!</v>
      </c>
      <c r="J7" s="44" t="e">
        <f>COUNTIF(#REF!,"Öğrenci")</f>
        <v>#REF!</v>
      </c>
      <c r="K7" s="44">
        <f>COUNTIF(J24:J1544,"Öğrenci")</f>
        <v>0</v>
      </c>
      <c r="M7" s="25"/>
      <c r="N7" s="25"/>
      <c r="V7" s="25"/>
      <c r="W7" s="41"/>
      <c r="X7" s="42"/>
      <c r="Y7" s="32"/>
      <c r="Z7" s="32"/>
    </row>
    <row r="8" spans="4:26" s="24" customFormat="1" ht="12.75">
      <c r="D8" s="19"/>
      <c r="E8" s="46" t="s">
        <v>10</v>
      </c>
      <c r="F8" s="47">
        <v>0</v>
      </c>
      <c r="G8" s="48" t="e">
        <f t="shared" si="0"/>
        <v>#DIV/0!</v>
      </c>
      <c r="H8" s="47">
        <f>COUNTIF(J22:J1543,"Ziyaretçi")</f>
        <v>0</v>
      </c>
      <c r="I8" s="47" t="e">
        <f>COUNTIF(#REF!,"Ziyaretçi")</f>
        <v>#REF!</v>
      </c>
      <c r="J8" s="47" t="e">
        <f>COUNTIF(#REF!,"Ziyaretçi")</f>
        <v>#REF!</v>
      </c>
      <c r="K8" s="47">
        <f>COUNTIF(J24:J1543,"Ziyaretçi")</f>
        <v>0</v>
      </c>
      <c r="L8" s="24" t="s">
        <v>11</v>
      </c>
      <c r="M8" s="25"/>
      <c r="N8" s="25"/>
      <c r="V8" s="25"/>
      <c r="W8" s="41"/>
      <c r="X8" s="42"/>
      <c r="Y8" s="32"/>
      <c r="Z8" s="32"/>
    </row>
    <row r="9" spans="4:26" s="24" customFormat="1" ht="12.75">
      <c r="D9" s="19"/>
      <c r="E9" s="49" t="s">
        <v>12</v>
      </c>
      <c r="F9" s="50">
        <f>F4+F5+F6+F7+F8</f>
        <v>0</v>
      </c>
      <c r="G9" s="51" t="e">
        <f t="shared" si="0"/>
        <v>#DIV/0!</v>
      </c>
      <c r="H9" s="52">
        <f>H4+H5+H6+H7+H8</f>
        <v>0</v>
      </c>
      <c r="I9" s="52" t="e">
        <f>SUM(I4:I8)</f>
        <v>#REF!</v>
      </c>
      <c r="J9" s="52" t="e">
        <f>SUM(J4:J8)</f>
        <v>#REF!</v>
      </c>
      <c r="K9" s="53">
        <f>SUM(K4:K8)</f>
        <v>0</v>
      </c>
      <c r="L9" s="54" t="e">
        <f>H9+I9+J9+K9</f>
        <v>#REF!</v>
      </c>
      <c r="M9" s="25"/>
      <c r="N9" s="25"/>
      <c r="V9" s="25"/>
      <c r="W9" s="41"/>
      <c r="X9" s="42"/>
      <c r="Y9" s="32"/>
      <c r="Z9" s="32"/>
    </row>
    <row r="10" spans="4:26" s="24" customFormat="1" ht="12.75">
      <c r="D10" s="19"/>
      <c r="E10" s="19" t="s">
        <v>13</v>
      </c>
      <c r="F10" s="24">
        <v>3</v>
      </c>
      <c r="I10" s="54"/>
      <c r="M10" s="25"/>
      <c r="N10" s="25"/>
      <c r="V10" s="25"/>
      <c r="W10" s="41"/>
      <c r="X10" s="42"/>
      <c r="Y10" s="32"/>
      <c r="Z10" s="32"/>
    </row>
    <row r="11" spans="4:26" s="24" customFormat="1" ht="12.75">
      <c r="D11" s="19"/>
      <c r="E11" s="20" t="s">
        <v>14</v>
      </c>
      <c r="F11" s="21" t="s">
        <v>4</v>
      </c>
      <c r="G11" s="22" t="s">
        <v>5</v>
      </c>
      <c r="M11" s="55"/>
      <c r="N11" s="25"/>
      <c r="V11" s="25"/>
      <c r="W11" s="56"/>
      <c r="X11" s="57"/>
      <c r="Y11" s="32"/>
      <c r="Z11" s="32"/>
    </row>
    <row r="12" spans="4:26" s="24" customFormat="1" ht="12.75">
      <c r="D12" s="19"/>
      <c r="E12" s="58" t="s">
        <v>15</v>
      </c>
      <c r="F12" s="41">
        <f>COUNTIF(M22:M1531,"İGU")</f>
        <v>0</v>
      </c>
      <c r="G12" s="59" t="e">
        <f>F12*100/$F$15</f>
        <v>#DIV/0!</v>
      </c>
      <c r="M12" s="60"/>
      <c r="N12" s="25"/>
      <c r="V12" s="25"/>
      <c r="W12" s="31"/>
      <c r="X12" s="32"/>
      <c r="Y12" s="32"/>
      <c r="Z12" s="32"/>
    </row>
    <row r="13" spans="4:26" s="24" customFormat="1" ht="12.75">
      <c r="D13" s="19"/>
      <c r="E13" s="58" t="s">
        <v>16</v>
      </c>
      <c r="F13" s="41">
        <f>COUNTIF(M22:M1550,"İYH")</f>
        <v>0</v>
      </c>
      <c r="G13" s="59" t="e">
        <f>F13*100/$F$15</f>
        <v>#DIV/0!</v>
      </c>
      <c r="M13" s="60"/>
      <c r="N13" s="25"/>
      <c r="V13" s="25"/>
      <c r="W13" s="36"/>
      <c r="X13" s="37"/>
      <c r="Y13" s="32"/>
      <c r="Z13" s="32"/>
    </row>
    <row r="14" spans="4:26" s="24" customFormat="1" ht="25.5">
      <c r="D14" s="19"/>
      <c r="E14" s="58" t="s">
        <v>17</v>
      </c>
      <c r="F14" s="41">
        <f>COUNTIF(M22:M1550,"İşveren")</f>
        <v>0</v>
      </c>
      <c r="G14" s="59" t="e">
        <f>F14*100/$F$15</f>
        <v>#DIV/0!</v>
      </c>
      <c r="M14" s="60"/>
      <c r="N14" s="25"/>
      <c r="V14" s="25"/>
      <c r="W14" s="41"/>
      <c r="X14" s="42"/>
      <c r="Y14" s="32"/>
      <c r="Z14" s="32"/>
    </row>
    <row r="15" spans="4:26" s="24" customFormat="1" ht="12.75">
      <c r="D15" s="19"/>
      <c r="E15" s="49" t="s">
        <v>11</v>
      </c>
      <c r="F15" s="50">
        <f>F12+F13+F14</f>
        <v>0</v>
      </c>
      <c r="G15" s="59" t="e">
        <f>F15*100/$F$15</f>
        <v>#DIV/0!</v>
      </c>
      <c r="M15" s="60"/>
      <c r="N15" s="25"/>
      <c r="V15" s="25"/>
      <c r="W15" s="41"/>
      <c r="X15" s="42"/>
      <c r="Y15" s="32"/>
      <c r="Z15" s="32"/>
    </row>
    <row r="16" spans="4:26" s="24" customFormat="1" ht="12.75">
      <c r="D16" s="19"/>
      <c r="E16" s="19"/>
      <c r="F16" s="61"/>
      <c r="M16" s="62"/>
      <c r="N16" s="25"/>
      <c r="V16" s="25"/>
      <c r="W16" s="41"/>
      <c r="X16" s="42"/>
      <c r="Y16" s="32"/>
      <c r="Z16" s="32"/>
    </row>
    <row r="17" spans="1:26" s="24" customFormat="1" ht="12.75">
      <c r="D17" s="19"/>
      <c r="E17" s="19"/>
      <c r="F17" s="32"/>
      <c r="M17" s="26"/>
      <c r="N17" s="26"/>
      <c r="V17" s="25"/>
      <c r="W17" s="41"/>
      <c r="X17" s="42"/>
      <c r="Y17" s="32"/>
      <c r="Z17" s="32"/>
    </row>
    <row r="18" spans="1:26" s="24" customFormat="1" ht="12.75">
      <c r="D18" s="19"/>
      <c r="E18" s="63" t="s">
        <v>18</v>
      </c>
      <c r="F18" s="64"/>
      <c r="G18" s="64"/>
      <c r="H18" s="65"/>
      <c r="I18" s="65"/>
      <c r="J18" s="65"/>
      <c r="K18" s="66"/>
      <c r="L18" s="66"/>
      <c r="M18" s="66"/>
      <c r="N18" s="66"/>
      <c r="V18" s="25"/>
      <c r="W18" s="56"/>
      <c r="X18" s="57"/>
      <c r="Y18" s="32"/>
      <c r="Z18" s="32"/>
    </row>
    <row r="19" spans="1:26" s="24" customFormat="1" ht="12.75">
      <c r="D19" s="19"/>
      <c r="E19" s="67"/>
      <c r="F19" s="68"/>
      <c r="I19" s="68"/>
      <c r="V19" s="26"/>
      <c r="W19" s="27"/>
    </row>
    <row r="20" spans="1:26" s="66" customFormat="1" ht="12.75">
      <c r="D20" s="19"/>
      <c r="E20" s="70"/>
      <c r="F20" s="71"/>
      <c r="G20" s="65"/>
      <c r="H20" s="65"/>
      <c r="I20" s="71"/>
      <c r="J20" s="65"/>
      <c r="O20" s="72"/>
      <c r="P20" s="72"/>
      <c r="Q20" s="72"/>
      <c r="R20" s="72"/>
      <c r="S20" s="72"/>
      <c r="T20" s="72"/>
    </row>
    <row r="21" spans="1:26" s="66" customFormat="1" ht="12.75">
      <c r="A21" s="69" t="s">
        <v>104</v>
      </c>
      <c r="B21" s="73"/>
      <c r="C21" s="73"/>
      <c r="D21" s="74"/>
      <c r="E21" s="75"/>
      <c r="F21" s="76"/>
      <c r="G21" s="77"/>
      <c r="H21" s="77"/>
      <c r="I21" s="76"/>
      <c r="J21" s="77"/>
      <c r="K21" s="73"/>
      <c r="L21" s="73"/>
      <c r="M21" s="73"/>
      <c r="N21" s="73"/>
    </row>
    <row r="22" spans="1:26" s="79" customFormat="1" ht="65.25" customHeight="1">
      <c r="A22" s="78" t="s">
        <v>19</v>
      </c>
      <c r="B22" s="78" t="s">
        <v>20</v>
      </c>
      <c r="C22" s="78" t="s">
        <v>105</v>
      </c>
      <c r="D22" s="78" t="s">
        <v>21</v>
      </c>
      <c r="E22" s="78" t="s">
        <v>22</v>
      </c>
      <c r="F22" s="78" t="s">
        <v>23</v>
      </c>
      <c r="G22" s="78" t="s">
        <v>106</v>
      </c>
      <c r="H22" s="78" t="s">
        <v>107</v>
      </c>
      <c r="I22" s="78" t="s">
        <v>25</v>
      </c>
      <c r="J22" s="78" t="s">
        <v>108</v>
      </c>
      <c r="K22" s="78" t="s">
        <v>109</v>
      </c>
      <c r="L22" s="78" t="s">
        <v>26</v>
      </c>
      <c r="M22" s="78" t="s">
        <v>27</v>
      </c>
      <c r="N22" s="78" t="s">
        <v>28</v>
      </c>
      <c r="O22" s="78" t="s">
        <v>29</v>
      </c>
      <c r="P22" s="78" t="s">
        <v>30</v>
      </c>
      <c r="Q22" s="116" t="s">
        <v>110</v>
      </c>
    </row>
    <row r="23" spans="1:26">
      <c r="A23" s="80">
        <v>1</v>
      </c>
      <c r="B23" s="81"/>
      <c r="C23" s="81"/>
      <c r="D23" s="82"/>
      <c r="E23" s="83"/>
      <c r="F23" s="84"/>
      <c r="G23" s="85"/>
      <c r="H23" s="85"/>
      <c r="I23" s="84"/>
      <c r="J23" s="85"/>
      <c r="K23" s="86"/>
      <c r="L23" s="86"/>
      <c r="M23" s="86"/>
      <c r="N23" s="86"/>
      <c r="O23" s="86"/>
      <c r="P23" s="86"/>
      <c r="Q23" s="87"/>
      <c r="R23" s="87"/>
      <c r="S23" s="87"/>
      <c r="T23" s="87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6" orientation="landscape" horizontalDpi="200" verticalDpi="200" r:id="rId1"/>
  <headerFooter alignWithMargins="0">
    <oddHeader xml:space="preserve">&amp;L&amp;G&amp;COLAY İSTATİSTİKLERİ&amp;R&amp;"Verdana,Normal"&amp;8[Sayfa]/&amp;N
</oddHeader>
    <oddFooter>&amp;LFPOP-S210-01-15-V02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Lists!$E$2:$E$7</xm:f>
          </x14:formula1>
          <xm:sqref>J23</xm:sqref>
        </x14:dataValidation>
        <x14:dataValidation type="list" allowBlank="1" showInputMessage="1" showErrorMessage="1">
          <x14:formula1>
            <xm:f>Lists!$D$2:$D$8</xm:f>
          </x14:formula1>
          <xm:sqref>H23</xm:sqref>
        </x14:dataValidation>
        <x14:dataValidation type="list" allowBlank="1" showInputMessage="1" showErrorMessage="1">
          <x14:formula1>
            <xm:f>Lists!$A$2:$A$24</xm:f>
          </x14:formula1>
          <xm:sqref>E23</xm:sqref>
        </x14:dataValidation>
        <x14:dataValidation type="list" allowBlank="1" showInputMessage="1" showErrorMessage="1">
          <x14:formula1>
            <xm:f>Lists!$B$2:$B$16</xm:f>
          </x14:formula1>
          <xm:sqref>F23</xm:sqref>
        </x14:dataValidation>
        <x14:dataValidation type="list" allowBlank="1" showInputMessage="1" showErrorMessage="1">
          <x14:formula1>
            <xm:f>Lists!$C$2:$C$24</xm:f>
          </x14:formula1>
          <xm:sqref>G23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C12" sqref="C12"/>
    </sheetView>
  </sheetViews>
  <sheetFormatPr defaultRowHeight="12.75"/>
  <cols>
    <col min="1" max="1" width="22.140625" style="92" bestFit="1" customWidth="1"/>
    <col min="2" max="2" width="19.28515625" style="92" customWidth="1"/>
    <col min="3" max="3" width="39.85546875" style="115" bestFit="1" customWidth="1"/>
    <col min="4" max="4" width="21.7109375" style="92" bestFit="1" customWidth="1"/>
    <col min="5" max="5" width="26.5703125" style="92" bestFit="1" customWidth="1"/>
    <col min="6" max="6" width="22.28515625" style="92" customWidth="1"/>
    <col min="7" max="7" width="32.5703125" style="92" customWidth="1"/>
    <col min="8" max="9" width="9.140625" style="92"/>
    <col min="10" max="10" width="10.85546875" style="92" customWidth="1"/>
    <col min="11" max="16384" width="9.140625" style="92"/>
  </cols>
  <sheetData>
    <row r="1" spans="1:5" ht="13.5" thickBot="1">
      <c r="A1" s="92" t="s">
        <v>72</v>
      </c>
      <c r="B1" s="93" t="s">
        <v>23</v>
      </c>
      <c r="C1" s="94" t="s">
        <v>73</v>
      </c>
      <c r="D1" s="95" t="s">
        <v>24</v>
      </c>
      <c r="E1" s="96" t="s">
        <v>74</v>
      </c>
    </row>
    <row r="2" spans="1:5">
      <c r="A2" s="97" t="s">
        <v>35</v>
      </c>
      <c r="B2" s="98" t="s">
        <v>75</v>
      </c>
      <c r="C2" s="99" t="s">
        <v>51</v>
      </c>
      <c r="D2" s="100" t="s">
        <v>76</v>
      </c>
      <c r="E2" s="101" t="s">
        <v>53</v>
      </c>
    </row>
    <row r="3" spans="1:5">
      <c r="A3" s="102" t="s">
        <v>77</v>
      </c>
      <c r="B3" s="103" t="s">
        <v>43</v>
      </c>
      <c r="C3" s="102" t="s">
        <v>63</v>
      </c>
      <c r="D3" s="102" t="s">
        <v>78</v>
      </c>
      <c r="E3" s="104" t="s">
        <v>50</v>
      </c>
    </row>
    <row r="4" spans="1:5">
      <c r="A4" s="102" t="s">
        <v>37</v>
      </c>
      <c r="B4" s="103" t="s">
        <v>32</v>
      </c>
      <c r="C4" s="105" t="s">
        <v>79</v>
      </c>
      <c r="D4" s="102" t="s">
        <v>80</v>
      </c>
      <c r="E4" s="106" t="s">
        <v>49</v>
      </c>
    </row>
    <row r="5" spans="1:5">
      <c r="A5" s="102" t="s">
        <v>81</v>
      </c>
      <c r="B5" s="103" t="s">
        <v>39</v>
      </c>
      <c r="C5" s="105" t="s">
        <v>82</v>
      </c>
      <c r="D5" s="102" t="s">
        <v>52</v>
      </c>
      <c r="E5" s="104" t="s">
        <v>71</v>
      </c>
    </row>
    <row r="6" spans="1:5">
      <c r="A6" s="102" t="s">
        <v>31</v>
      </c>
      <c r="B6" s="103" t="s">
        <v>83</v>
      </c>
      <c r="C6" s="102" t="s">
        <v>84</v>
      </c>
      <c r="D6" s="102" t="s">
        <v>85</v>
      </c>
      <c r="E6" s="104" t="s">
        <v>86</v>
      </c>
    </row>
    <row r="7" spans="1:5">
      <c r="A7" s="102" t="s">
        <v>68</v>
      </c>
      <c r="B7" s="103" t="s">
        <v>45</v>
      </c>
      <c r="C7" s="105" t="s">
        <v>87</v>
      </c>
      <c r="D7" s="102" t="s">
        <v>66</v>
      </c>
      <c r="E7" s="104"/>
    </row>
    <row r="8" spans="1:5" ht="25.5">
      <c r="A8" s="102" t="s">
        <v>88</v>
      </c>
      <c r="B8" s="103" t="s">
        <v>61</v>
      </c>
      <c r="C8" s="105" t="s">
        <v>65</v>
      </c>
      <c r="D8" s="102"/>
      <c r="E8" s="104"/>
    </row>
    <row r="9" spans="1:5">
      <c r="A9" s="102" t="s">
        <v>33</v>
      </c>
      <c r="B9" s="103" t="s">
        <v>89</v>
      </c>
      <c r="C9" s="105" t="s">
        <v>90</v>
      </c>
      <c r="D9" s="102"/>
      <c r="E9" s="104"/>
    </row>
    <row r="10" spans="1:5" ht="25.5">
      <c r="A10" s="102" t="s">
        <v>44</v>
      </c>
      <c r="B10" s="103" t="s">
        <v>91</v>
      </c>
      <c r="C10" s="105" t="s">
        <v>92</v>
      </c>
      <c r="D10" s="102"/>
      <c r="E10" s="104"/>
    </row>
    <row r="11" spans="1:5">
      <c r="A11" s="102" t="s">
        <v>36</v>
      </c>
      <c r="B11" s="103" t="s">
        <v>93</v>
      </c>
      <c r="C11" s="105" t="s">
        <v>58</v>
      </c>
      <c r="D11" s="102"/>
      <c r="E11" s="104"/>
    </row>
    <row r="12" spans="1:5" ht="25.5">
      <c r="A12" s="102" t="s">
        <v>42</v>
      </c>
      <c r="B12" s="103" t="s">
        <v>41</v>
      </c>
      <c r="C12" s="105" t="s">
        <v>94</v>
      </c>
      <c r="D12" s="102"/>
      <c r="E12" s="104"/>
    </row>
    <row r="13" spans="1:5" ht="25.5">
      <c r="A13" s="102" t="s">
        <v>34</v>
      </c>
      <c r="B13" s="103" t="s">
        <v>95</v>
      </c>
      <c r="C13" s="105" t="s">
        <v>57</v>
      </c>
      <c r="D13" s="102"/>
      <c r="E13" s="104"/>
    </row>
    <row r="14" spans="1:5">
      <c r="A14" s="102" t="s">
        <v>96</v>
      </c>
      <c r="B14" s="103" t="s">
        <v>64</v>
      </c>
      <c r="C14" s="105" t="s">
        <v>67</v>
      </c>
      <c r="D14" s="107"/>
      <c r="E14" s="104"/>
    </row>
    <row r="15" spans="1:5" ht="25.5">
      <c r="A15" s="102" t="s">
        <v>97</v>
      </c>
      <c r="B15" s="103" t="s">
        <v>70</v>
      </c>
      <c r="C15" s="105" t="s">
        <v>98</v>
      </c>
      <c r="D15" s="102"/>
      <c r="E15" s="104"/>
    </row>
    <row r="16" spans="1:5" ht="25.5">
      <c r="A16" s="102" t="s">
        <v>48</v>
      </c>
      <c r="B16" s="103"/>
      <c r="C16" s="105" t="s">
        <v>99</v>
      </c>
      <c r="D16" s="102"/>
      <c r="E16" s="104"/>
    </row>
    <row r="17" spans="1:5">
      <c r="A17" s="102" t="s">
        <v>46</v>
      </c>
      <c r="B17" s="103"/>
      <c r="C17" s="105" t="s">
        <v>56</v>
      </c>
      <c r="D17" s="102"/>
      <c r="E17" s="104"/>
    </row>
    <row r="18" spans="1:5">
      <c r="A18" s="102" t="s">
        <v>40</v>
      </c>
      <c r="B18" s="103"/>
      <c r="C18" s="102" t="s">
        <v>100</v>
      </c>
      <c r="D18" s="102"/>
      <c r="E18" s="104"/>
    </row>
    <row r="19" spans="1:5">
      <c r="A19" s="102" t="s">
        <v>62</v>
      </c>
      <c r="B19" s="103"/>
      <c r="C19" s="102" t="s">
        <v>60</v>
      </c>
      <c r="D19" s="102"/>
      <c r="E19" s="104"/>
    </row>
    <row r="20" spans="1:5">
      <c r="A20" s="102" t="s">
        <v>38</v>
      </c>
      <c r="B20" s="103"/>
      <c r="C20" s="105" t="s">
        <v>101</v>
      </c>
      <c r="D20" s="102"/>
      <c r="E20" s="104"/>
    </row>
    <row r="21" spans="1:5" ht="25.5">
      <c r="A21" s="108" t="s">
        <v>102</v>
      </c>
      <c r="B21" s="102"/>
      <c r="C21" s="105" t="s">
        <v>103</v>
      </c>
      <c r="D21" s="102"/>
      <c r="E21" s="104"/>
    </row>
    <row r="22" spans="1:5">
      <c r="A22" s="108" t="s">
        <v>47</v>
      </c>
      <c r="B22" s="102"/>
      <c r="C22" s="109" t="s">
        <v>54</v>
      </c>
      <c r="D22" s="102"/>
      <c r="E22" s="104"/>
    </row>
    <row r="23" spans="1:5">
      <c r="A23" s="110" t="s">
        <v>55</v>
      </c>
      <c r="B23" s="102"/>
      <c r="C23" s="109" t="s">
        <v>69</v>
      </c>
      <c r="D23" s="102"/>
      <c r="E23" s="104"/>
    </row>
    <row r="24" spans="1:5" ht="13.5" thickBot="1">
      <c r="A24" s="111"/>
      <c r="B24" s="112"/>
      <c r="C24" s="113" t="s">
        <v>59</v>
      </c>
      <c r="D24" s="112"/>
      <c r="E24" s="114"/>
    </row>
  </sheetData>
  <pageMargins left="0.75" right="0.75" top="1" bottom="1" header="0.5" footer="0.5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6</vt:i4>
      </vt:variant>
    </vt:vector>
  </HeadingPairs>
  <TitlesOfParts>
    <vt:vector size="8" baseType="lpstr">
      <vt:lpstr>İş Kazaları</vt:lpstr>
      <vt:lpstr>Lists</vt:lpstr>
      <vt:lpstr>Classification</vt:lpstr>
      <vt:lpstr>Division</vt:lpstr>
      <vt:lpstr>Nature</vt:lpstr>
      <vt:lpstr>'İş Kazaları'!Yazdırma_Alanı</vt:lpstr>
      <vt:lpstr>Lists!Yazdırma_Alanı</vt:lpstr>
      <vt:lpstr>'İş Kazaları'!Yazdırma_Başlıkları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2021-06-21T08:37:36Z</cp:lastPrinted>
  <dcterms:created xsi:type="dcterms:W3CDTF">2017-12-11T08:21:01Z</dcterms:created>
  <dcterms:modified xsi:type="dcterms:W3CDTF">2021-06-21T08:37:46Z</dcterms:modified>
</cp:coreProperties>
</file>