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drawings/drawing2.xml" ContentType="application/vnd.openxmlformats-officedocument.drawing+xml"/>
  <Override PartName="/xl/ctrlProps/ctrlProp112.xml" ContentType="application/vnd.ms-excel.controlproperties+xml"/>
  <Override PartName="/xl/ctrlProps/ctrlProp113.xml" ContentType="application/vnd.ms-excel.controlproperties+xml"/>
  <Override PartName="/xl/ctrlProps/ctrlProp114.xml" ContentType="application/vnd.ms-excel.controlproperties+xml"/>
  <Override PartName="/xl/ctrlProps/ctrlProp115.xml" ContentType="application/vnd.ms-excel.controlproperties+xml"/>
  <Override PartName="/xl/ctrlProps/ctrlProp116.xml" ContentType="application/vnd.ms-excel.controlproperties+xml"/>
  <Override PartName="/xl/ctrlProps/ctrlProp117.xml" ContentType="application/vnd.ms-excel.controlproperties+xml"/>
  <Override PartName="/xl/ctrlProps/ctrlProp118.xml" ContentType="application/vnd.ms-excel.controlproperties+xml"/>
  <Override PartName="/xl/ctrlProps/ctrlProp119.xml" ContentType="application/vnd.ms-excel.controlproperties+xml"/>
  <Override PartName="/xl/ctrlProps/ctrlProp120.xml" ContentType="application/vnd.ms-excel.controlproperties+xml"/>
  <Override PartName="/xl/ctrlProps/ctrlProp121.xml" ContentType="application/vnd.ms-excel.controlproperties+xml"/>
  <Override PartName="/xl/ctrlProps/ctrlProp122.xml" ContentType="application/vnd.ms-excel.controlproperties+xml"/>
  <Override PartName="/xl/ctrlProps/ctrlProp123.xml" ContentType="application/vnd.ms-excel.controlproperties+xml"/>
  <Override PartName="/xl/ctrlProps/ctrlProp124.xml" ContentType="application/vnd.ms-excel.controlproperties+xml"/>
  <Override PartName="/xl/ctrlProps/ctrlProp125.xml" ContentType="application/vnd.ms-excel.controlproperties+xml"/>
  <Override PartName="/xl/ctrlProps/ctrlProp126.xml" ContentType="application/vnd.ms-excel.controlproperties+xml"/>
  <Override PartName="/xl/ctrlProps/ctrlProp127.xml" ContentType="application/vnd.ms-excel.controlproperties+xml"/>
  <Override PartName="/xl/ctrlProps/ctrlProp128.xml" ContentType="application/vnd.ms-excel.controlproperties+xml"/>
  <Override PartName="/xl/ctrlProps/ctrlProp129.xml" ContentType="application/vnd.ms-excel.controlproperties+xml"/>
  <Override PartName="/xl/ctrlProps/ctrlProp130.xml" ContentType="application/vnd.ms-excel.controlproperties+xml"/>
  <Override PartName="/xl/ctrlProps/ctrlProp131.xml" ContentType="application/vnd.ms-excel.controlproperties+xml"/>
  <Override PartName="/xl/ctrlProps/ctrlProp132.xml" ContentType="application/vnd.ms-excel.controlproperties+xml"/>
  <Override PartName="/xl/ctrlProps/ctrlProp133.xml" ContentType="application/vnd.ms-excel.controlproperties+xml"/>
  <Override PartName="/xl/ctrlProps/ctrlProp134.xml" ContentType="application/vnd.ms-excel.controlproperties+xml"/>
  <Override PartName="/xl/ctrlProps/ctrlProp135.xml" ContentType="application/vnd.ms-excel.controlproperties+xml"/>
  <Override PartName="/xl/ctrlProps/ctrlProp136.xml" ContentType="application/vnd.ms-excel.controlproperties+xml"/>
  <Override PartName="/xl/ctrlProps/ctrlProp137.xml" ContentType="application/vnd.ms-excel.controlproperties+xml"/>
  <Override PartName="/xl/ctrlProps/ctrlProp138.xml" ContentType="application/vnd.ms-excel.controlproperties+xml"/>
  <Override PartName="/xl/ctrlProps/ctrlProp139.xml" ContentType="application/vnd.ms-excel.controlproperties+xml"/>
  <Override PartName="/xl/ctrlProps/ctrlProp140.xml" ContentType="application/vnd.ms-excel.controlproperties+xml"/>
  <Override PartName="/xl/ctrlProps/ctrlProp141.xml" ContentType="application/vnd.ms-excel.controlproperties+xml"/>
  <Override PartName="/xl/ctrlProps/ctrlProp142.xml" ContentType="application/vnd.ms-excel.controlproperties+xml"/>
  <Override PartName="/xl/ctrlProps/ctrlProp143.xml" ContentType="application/vnd.ms-excel.controlproperties+xml"/>
  <Override PartName="/xl/ctrlProps/ctrlProp144.xml" ContentType="application/vnd.ms-excel.controlproperties+xml"/>
  <Override PartName="/xl/ctrlProps/ctrlProp145.xml" ContentType="application/vnd.ms-excel.controlproperties+xml"/>
  <Override PartName="/xl/ctrlProps/ctrlProp146.xml" ContentType="application/vnd.ms-excel.controlproperties+xml"/>
  <Override PartName="/xl/ctrlProps/ctrlProp147.xml" ContentType="application/vnd.ms-excel.controlproperties+xml"/>
  <Override PartName="/xl/ctrlProps/ctrlProp148.xml" ContentType="application/vnd.ms-excel.controlproperties+xml"/>
  <Override PartName="/xl/ctrlProps/ctrlProp149.xml" ContentType="application/vnd.ms-excel.controlproperties+xml"/>
  <Override PartName="/xl/ctrlProps/ctrlProp150.xml" ContentType="application/vnd.ms-excel.controlproperties+xml"/>
  <Override PartName="/xl/ctrlProps/ctrlProp151.xml" ContentType="application/vnd.ms-excel.controlproperties+xml"/>
  <Override PartName="/xl/ctrlProps/ctrlProp152.xml" ContentType="application/vnd.ms-excel.controlproperties+xml"/>
  <Override PartName="/xl/ctrlProps/ctrlProp153.xml" ContentType="application/vnd.ms-excel.controlproperties+xml"/>
  <Override PartName="/xl/ctrlProps/ctrlProp154.xml" ContentType="application/vnd.ms-excel.controlproperties+xml"/>
  <Override PartName="/xl/ctrlProps/ctrlProp155.xml" ContentType="application/vnd.ms-excel.controlproperties+xml"/>
  <Override PartName="/xl/ctrlProps/ctrlProp156.xml" ContentType="application/vnd.ms-excel.controlproperties+xml"/>
  <Override PartName="/xl/ctrlProps/ctrlProp157.xml" ContentType="application/vnd.ms-excel.controlproperties+xml"/>
  <Override PartName="/xl/ctrlProps/ctrlProp158.xml" ContentType="application/vnd.ms-excel.controlproperties+xml"/>
  <Override PartName="/xl/ctrlProps/ctrlProp159.xml" ContentType="application/vnd.ms-excel.controlproperties+xml"/>
  <Override PartName="/xl/ctrlProps/ctrlProp160.xml" ContentType="application/vnd.ms-excel.controlproperties+xml"/>
  <Override PartName="/xl/ctrlProps/ctrlProp161.xml" ContentType="application/vnd.ms-excel.controlproperties+xml"/>
  <Override PartName="/xl/ctrlProps/ctrlProp162.xml" ContentType="application/vnd.ms-excel.controlproperties+xml"/>
  <Override PartName="/xl/ctrlProps/ctrlProp163.xml" ContentType="application/vnd.ms-excel.controlproperties+xml"/>
  <Override PartName="/xl/ctrlProps/ctrlProp164.xml" ContentType="application/vnd.ms-excel.controlproperties+xml"/>
  <Override PartName="/xl/ctrlProps/ctrlProp165.xml" ContentType="application/vnd.ms-excel.controlproperties+xml"/>
  <Override PartName="/xl/ctrlProps/ctrlProp166.xml" ContentType="application/vnd.ms-excel.controlproperties+xml"/>
  <Override PartName="/xl/ctrlProps/ctrlProp167.xml" ContentType="application/vnd.ms-excel.controlproperties+xml"/>
  <Override PartName="/xl/ctrlProps/ctrlProp168.xml" ContentType="application/vnd.ms-excel.controlproperties+xml"/>
  <Override PartName="/xl/ctrlProps/ctrlProp169.xml" ContentType="application/vnd.ms-excel.controlproperties+xml"/>
  <Override PartName="/xl/ctrlProps/ctrlProp170.xml" ContentType="application/vnd.ms-excel.controlproperties+xml"/>
  <Override PartName="/xl/ctrlProps/ctrlProp171.xml" ContentType="application/vnd.ms-excel.controlproperties+xml"/>
  <Override PartName="/xl/ctrlProps/ctrlProp172.xml" ContentType="application/vnd.ms-excel.controlproperties+xml"/>
  <Override PartName="/xl/ctrlProps/ctrlProp173.xml" ContentType="application/vnd.ms-excel.controlproperties+xml"/>
  <Override PartName="/xl/ctrlProps/ctrlProp174.xml" ContentType="application/vnd.ms-excel.controlproperties+xml"/>
  <Override PartName="/xl/ctrlProps/ctrlProp175.xml" ContentType="application/vnd.ms-excel.controlproperties+xml"/>
  <Override PartName="/xl/ctrlProps/ctrlProp176.xml" ContentType="application/vnd.ms-excel.controlproperties+xml"/>
  <Override PartName="/xl/ctrlProps/ctrlProp177.xml" ContentType="application/vnd.ms-excel.controlproperties+xml"/>
  <Override PartName="/xl/ctrlProps/ctrlProp178.xml" ContentType="application/vnd.ms-excel.controlproperties+xml"/>
  <Override PartName="/xl/ctrlProps/ctrlProp179.xml" ContentType="application/vnd.ms-excel.controlproperties+xml"/>
  <Override PartName="/xl/ctrlProps/ctrlProp180.xml" ContentType="application/vnd.ms-excel.controlproperties+xml"/>
  <Override PartName="/xl/ctrlProps/ctrlProp181.xml" ContentType="application/vnd.ms-excel.controlproperties+xml"/>
  <Override PartName="/xl/ctrlProps/ctrlProp182.xml" ContentType="application/vnd.ms-excel.controlproperties+xml"/>
  <Override PartName="/xl/ctrlProps/ctrlProp183.xml" ContentType="application/vnd.ms-excel.controlproperties+xml"/>
  <Override PartName="/xl/ctrlProps/ctrlProp184.xml" ContentType="application/vnd.ms-excel.controlproperties+xml"/>
  <Override PartName="/xl/ctrlProps/ctrlProp185.xml" ContentType="application/vnd.ms-excel.controlproperties+xml"/>
  <Override PartName="/xl/ctrlProps/ctrlProp186.xml" ContentType="application/vnd.ms-excel.controlproperties+xml"/>
  <Override PartName="/xl/ctrlProps/ctrlProp187.xml" ContentType="application/vnd.ms-excel.controlproperties+xml"/>
  <Override PartName="/xl/ctrlProps/ctrlProp188.xml" ContentType="application/vnd.ms-excel.controlproperties+xml"/>
  <Override PartName="/xl/ctrlProps/ctrlProp189.xml" ContentType="application/vnd.ms-excel.controlproperties+xml"/>
  <Override PartName="/xl/ctrlProps/ctrlProp190.xml" ContentType="application/vnd.ms-excel.controlproperties+xml"/>
  <Override PartName="/xl/ctrlProps/ctrlProp191.xml" ContentType="application/vnd.ms-excel.controlproperties+xml"/>
  <Override PartName="/xl/ctrlProps/ctrlProp192.xml" ContentType="application/vnd.ms-excel.controlproperties+xml"/>
  <Override PartName="/xl/ctrlProps/ctrlProp193.xml" ContentType="application/vnd.ms-excel.controlproperties+xml"/>
  <Override PartName="/xl/ctrlProps/ctrlProp194.xml" ContentType="application/vnd.ms-excel.controlproperties+xml"/>
  <Override PartName="/xl/ctrlProps/ctrlProp195.xml" ContentType="application/vnd.ms-excel.controlproperties+xml"/>
  <Override PartName="/xl/ctrlProps/ctrlProp196.xml" ContentType="application/vnd.ms-excel.controlproperties+xml"/>
  <Override PartName="/xl/ctrlProps/ctrlProp197.xml" ContentType="application/vnd.ms-excel.controlproperties+xml"/>
  <Override PartName="/xl/ctrlProps/ctrlProp198.xml" ContentType="application/vnd.ms-excel.controlproperties+xml"/>
  <Override PartName="/xl/ctrlProps/ctrlProp199.xml" ContentType="application/vnd.ms-excel.controlproperties+xml"/>
  <Override PartName="/xl/ctrlProps/ctrlProp200.xml" ContentType="application/vnd.ms-excel.controlproperties+xml"/>
  <Override PartName="/xl/ctrlProps/ctrlProp201.xml" ContentType="application/vnd.ms-excel.controlproperties+xml"/>
  <Override PartName="/xl/ctrlProps/ctrlProp202.xml" ContentType="application/vnd.ms-excel.controlproperties+xml"/>
  <Override PartName="/xl/ctrlProps/ctrlProp203.xml" ContentType="application/vnd.ms-excel.controlproperties+xml"/>
  <Override PartName="/xl/ctrlProps/ctrlProp204.xml" ContentType="application/vnd.ms-excel.controlproperties+xml"/>
  <Override PartName="/xl/ctrlProps/ctrlProp205.xml" ContentType="application/vnd.ms-excel.controlproperties+xml"/>
  <Override PartName="/xl/ctrlProps/ctrlProp206.xml" ContentType="application/vnd.ms-excel.controlproperties+xml"/>
  <Override PartName="/xl/ctrlProps/ctrlProp207.xml" ContentType="application/vnd.ms-excel.controlproperties+xml"/>
  <Override PartName="/xl/ctrlProps/ctrlProp208.xml" ContentType="application/vnd.ms-excel.controlproperties+xml"/>
  <Override PartName="/xl/ctrlProps/ctrlProp209.xml" ContentType="application/vnd.ms-excel.controlproperties+xml"/>
  <Override PartName="/xl/ctrlProps/ctrlProp210.xml" ContentType="application/vnd.ms-excel.controlproperties+xml"/>
  <Override PartName="/xl/ctrlProps/ctrlProp211.xml" ContentType="application/vnd.ms-excel.controlproperties+xml"/>
  <Override PartName="/xl/ctrlProps/ctrlProp212.xml" ContentType="application/vnd.ms-excel.controlproperties+xml"/>
  <Override PartName="/xl/ctrlProps/ctrlProp213.xml" ContentType="application/vnd.ms-excel.controlproperties+xml"/>
  <Override PartName="/xl/ctrlProps/ctrlProp214.xml" ContentType="application/vnd.ms-excel.controlproperties+xml"/>
  <Override PartName="/xl/ctrlProps/ctrlProp215.xml" ContentType="application/vnd.ms-excel.controlproperties+xml"/>
  <Override PartName="/xl/ctrlProps/ctrlProp216.xml" ContentType="application/vnd.ms-excel.controlproperties+xml"/>
  <Override PartName="/xl/ctrlProps/ctrlProp217.xml" ContentType="application/vnd.ms-excel.controlproperties+xml"/>
  <Override PartName="/xl/ctrlProps/ctrlProp218.xml" ContentType="application/vnd.ms-excel.controlproperties+xml"/>
  <Override PartName="/xl/ctrlProps/ctrlProp219.xml" ContentType="application/vnd.ms-excel.controlproperties+xml"/>
  <Override PartName="/xl/ctrlProps/ctrlProp220.xml" ContentType="application/vnd.ms-excel.controlproperties+xml"/>
  <Override PartName="/xl/ctrlProps/ctrlProp221.xml" ContentType="application/vnd.ms-excel.controlproperties+xml"/>
  <Override PartName="/xl/ctrlProps/ctrlProp22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docserver.sabanciuniv.edu\isg-arsiv\00_mySU İSG Portalı Güncellemeleri_2021\4-İSG Yönetim Sistemi\1-İSG Yönerge ve Prosedürler\2- Prosedür\8-Altişveren Yönetimi Prosedürü\"/>
    </mc:Choice>
  </mc:AlternateContent>
  <bookViews>
    <workbookView xWindow="0" yWindow="0" windowWidth="20490" windowHeight="7770" activeTab="1"/>
  </bookViews>
  <sheets>
    <sheet name="BOŞ" sheetId="2" r:id="rId1"/>
    <sheet name="DOLU" sheetId="1" r:id="rId2"/>
  </sheets>
  <definedNames>
    <definedName name="_xlnm.Print_Area" localSheetId="0">BOŞ!$A$9:$F$64</definedName>
    <definedName name="_xlnm.Print_Area" localSheetId="1">DOLU!$A$9:$F$211</definedName>
    <definedName name="_xlnm.Print_Titles" localSheetId="0">BOŞ!$38:$38</definedName>
    <definedName name="_xlnm.Print_Titles" localSheetId="1">DOLU!$38:$38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0" i="2" l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G4" i="2"/>
  <c r="D4" i="2"/>
  <c r="G3" i="2"/>
  <c r="D3" i="2"/>
  <c r="G2" i="2"/>
  <c r="G1" i="2"/>
  <c r="G5" i="2" l="1"/>
  <c r="H5" i="2" s="1"/>
  <c r="A40" i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H1" i="2" l="1"/>
  <c r="H3" i="2"/>
  <c r="H4" i="2"/>
  <c r="H2" i="2"/>
  <c r="G4" i="1"/>
  <c r="G3" i="1"/>
  <c r="G2" i="1"/>
  <c r="G1" i="1"/>
  <c r="D4" i="1"/>
  <c r="D3" i="1"/>
  <c r="G5" i="1" l="1"/>
  <c r="H5" i="1" s="1"/>
  <c r="H4" i="1" l="1"/>
  <c r="H3" i="1"/>
  <c r="H2" i="1"/>
  <c r="H1" i="1"/>
</calcChain>
</file>

<file path=xl/sharedStrings.xml><?xml version="1.0" encoding="utf-8"?>
<sst xmlns="http://schemas.openxmlformats.org/spreadsheetml/2006/main" count="271" uniqueCount="220">
  <si>
    <t>Hedef Tarihi Geçen</t>
  </si>
  <si>
    <t>Zaman Var</t>
  </si>
  <si>
    <t>Hedef Tarih Verilmemiş</t>
  </si>
  <si>
    <t>Tamamlanan</t>
  </si>
  <si>
    <t>TOTAL</t>
  </si>
  <si>
    <t>Firma Adı:</t>
  </si>
  <si>
    <t xml:space="preserve">Tarih: </t>
  </si>
  <si>
    <t>Değerlendirme Toplam Puan:</t>
  </si>
  <si>
    <t>Performans (%):</t>
  </si>
  <si>
    <t>Değerlendirme Sonucu:</t>
  </si>
  <si>
    <t xml:space="preserve">            UYGUNDUR                          UYGUN DEĞİLDİR</t>
  </si>
  <si>
    <t xml:space="preserve">Görüşler: </t>
  </si>
  <si>
    <t>Puan Skalası:</t>
  </si>
  <si>
    <t>Tarih:</t>
  </si>
  <si>
    <t xml:space="preserve">4 - Sözleşme ve eklerine tamamen uygun. </t>
  </si>
  <si>
    <t>2 - Minör uygunsuzluk var.</t>
  </si>
  <si>
    <t>Gözlem ve Açıklamalar</t>
  </si>
  <si>
    <t>Puan</t>
  </si>
  <si>
    <t>İyileştirme Önerileri</t>
  </si>
  <si>
    <t xml:space="preserve">3 - İyileştirme Yapılabilir. </t>
  </si>
  <si>
    <t>1 - Major uygunsuzluk var.</t>
  </si>
  <si>
    <t>No</t>
  </si>
  <si>
    <t>Sorumlu</t>
  </si>
  <si>
    <t>Hedef Tarih</t>
  </si>
  <si>
    <t>Son Durum - Notlar</t>
  </si>
  <si>
    <t>Aksiyon Durumu</t>
  </si>
  <si>
    <t>Yıllık Çalışma Planı</t>
  </si>
  <si>
    <t>İş Güvenliği Uzmanı İmza</t>
  </si>
  <si>
    <t>İşyeri Hekimi İmza</t>
  </si>
  <si>
    <t>İşveren /İşveren Vekili İmza</t>
  </si>
  <si>
    <t>Yıllık Değerlendirme Raporu</t>
  </si>
  <si>
    <t>İGU Yönetmelik Ek-2 formatına uygun</t>
  </si>
  <si>
    <t>Bilgiler eksiksiz doldurulmuş</t>
  </si>
  <si>
    <t>İSG Katip</t>
  </si>
  <si>
    <t>Çalışan Sayısına göre güncel sürede</t>
  </si>
  <si>
    <t>İş Güvenliği belgesi güncel</t>
  </si>
  <si>
    <t>İSG Katip sözleşmesi isg klasöründe bulunuyor</t>
  </si>
  <si>
    <t>Noter Onaylı Defter Kayıtları</t>
  </si>
  <si>
    <t>Seri no'lu</t>
  </si>
  <si>
    <t>Onaylı</t>
  </si>
  <si>
    <t>Periyodik olarak bilgi yazılmış (Güncel)</t>
  </si>
  <si>
    <t>Tespit öneri defteri kayıtlarının bir kopyaları OSGB'de bulunuyor</t>
  </si>
  <si>
    <t>Yıllık Eğitim Planı</t>
  </si>
  <si>
    <t>Verilecek eğitimlerin konusu</t>
  </si>
  <si>
    <t>Verilecek eğitimlerin tarihi</t>
  </si>
  <si>
    <t>Verilecek eğitimlerin süresi</t>
  </si>
  <si>
    <t>Eğitimlere kimlerin katılacağı</t>
  </si>
  <si>
    <t>Eğitimin hedefi ve amacı</t>
  </si>
  <si>
    <t>Temel İSG Eğitim Katılım Formları</t>
  </si>
  <si>
    <t>Eğitim tarihi</t>
  </si>
  <si>
    <t>Eğitime katılan kişinin adı, soyadı, unvanı</t>
  </si>
  <si>
    <t>Eğitimin konusu</t>
  </si>
  <si>
    <t>Eğitimin süresi</t>
  </si>
  <si>
    <t>Eğitmenin adı, soyadı, unvanı, imzası</t>
  </si>
  <si>
    <t>Eğitim yönetmeliğine uygun sürelerde verilmiş (4 ve 4 ün katları)</t>
  </si>
  <si>
    <t>Temel İSG Eğitim</t>
  </si>
  <si>
    <t>Tüm çalışanların Eğitimi verilmiş</t>
  </si>
  <si>
    <t>Temel İSG Eğitim Sunumu</t>
  </si>
  <si>
    <t>Çalışanların İSG Eğitimlerinin Usul Ve Esasları Hakkında Yönetmelik EK-1 konuları içeriyor</t>
  </si>
  <si>
    <t>Sunumu yapan kişinin adı, soyadı, unvanı</t>
  </si>
  <si>
    <t>Risk Değerlendirme Prosedürü</t>
  </si>
  <si>
    <t>Kimler tarafından yapılacağı</t>
  </si>
  <si>
    <t>Güncelleme periyodu</t>
  </si>
  <si>
    <t>Skor aralıkları</t>
  </si>
  <si>
    <t>İş durdurma sınırı</t>
  </si>
  <si>
    <t>Metot</t>
  </si>
  <si>
    <t>Kontrol Tedbirleri</t>
  </si>
  <si>
    <t>Risk Değerlendirme ekibi</t>
  </si>
  <si>
    <t>Ekip kurulmuş</t>
  </si>
  <si>
    <t>Ekibe risk değerlendirme eğitimi verilmiş</t>
  </si>
  <si>
    <t>Atama yazıları</t>
  </si>
  <si>
    <t>Ekip aktif olarak tüm çalışmalara katılmış</t>
  </si>
  <si>
    <t xml:space="preserve">Risk Değerlendirme </t>
  </si>
  <si>
    <t>Firmanın tüm lokasyonların ve çalışma alanları için risk değerlendirme yapılmış</t>
  </si>
  <si>
    <t>İşyerinin unvanı, adresi ve işverenin adı</t>
  </si>
  <si>
    <t>Risk değerlendirmesine katılan kişilerin isim ve unvanları ile bunlardan iş güvenliği uzmanı ve işyeri hekimi olanların Bakanlıkça verilmiş belge bilgileri</t>
  </si>
  <si>
    <t>Risk değerlendirmesinin gerçekleştirildiği tarih</t>
  </si>
  <si>
    <t>Geçerlilik tarihi ( tehlike sınıfına göre: çok tehlikeli-2 yıl; tehlikeli-4 yıl ve az tehlikeli işyerleri - altı yıl )</t>
  </si>
  <si>
    <t>Belirlenen tehlike kaynakları ile tehlikeler</t>
  </si>
  <si>
    <t>Tespit edilen riskler</t>
  </si>
  <si>
    <t>Tespit edilen risklerin önem ve öncelik sırasını da içeren analiz sonuçları</t>
  </si>
  <si>
    <t>Düzeltici ve önleyici kontrol tedbirleri, gerçekleştirilme tarihleri ve sonrasında tespit edilen risk seviyesi</t>
  </si>
  <si>
    <t>Risk değerlendirmesi işyerindeki farklı bölümler için ayrı ayrı yapılmışsa her bir bölümün adının yazılması</t>
  </si>
  <si>
    <t>Her sayfanın numaralandırılması</t>
  </si>
  <si>
    <t>Risk değerlendirmesine katılan kişiler (çalışan temsilcileri) tarafından her sayfası paraflanmış olması</t>
  </si>
  <si>
    <t>Son sayfasının risk değerlendirmesine katılan kişiler tarafından imzalanması</t>
  </si>
  <si>
    <t>Acil Durum Planı</t>
  </si>
  <si>
    <t>Hazırlayanların adı, soyadı ve unvanı</t>
  </si>
  <si>
    <t>Hazırlandığı tarih ve geçerlilik tarihi</t>
  </si>
  <si>
    <t>Belirlenen acil durumlar</t>
  </si>
  <si>
    <t>Alınan önleyici ve sınırlandırıcı tedbirler</t>
  </si>
  <si>
    <t>Acil durum müdahale ve tahliye yöntemleri</t>
  </si>
  <si>
    <t>İlk yardım, acil tıbbi müdahale, kurtarma ve yangınla mücadele konularında işyeri dışındaki kuruluşların irtibat numaraları</t>
  </si>
  <si>
    <t>Her sayfasının paraflanmış olması (Hazırlayan kişiler tarafından)</t>
  </si>
  <si>
    <t>Son sayfasının imzalanmış olması (Hazırlayan kişiler tarafından)</t>
  </si>
  <si>
    <t>Tahliye Planları</t>
  </si>
  <si>
    <t>Tahliye planı katlarda asılı</t>
  </si>
  <si>
    <t>Kaçış yolları-tabelaları-yönleri</t>
  </si>
  <si>
    <t>Acil toplanma alanı</t>
  </si>
  <si>
    <t>YSC ve YD yerleri</t>
  </si>
  <si>
    <t>Acil durum aydınlatmaları</t>
  </si>
  <si>
    <t>İlkyardım-Ecza Dolapları</t>
  </si>
  <si>
    <t>Acil Durum Ekibi Organizasyon Şeması</t>
  </si>
  <si>
    <t>Güncel (İşten ayrılanlar revize edilmiş)</t>
  </si>
  <si>
    <t>Acil Durum Yönetmeliğindeki değerlere uygun sayıda</t>
  </si>
  <si>
    <t>Kişilerin unvanı, sorumluluk alanı ve iletişim bilgileri</t>
  </si>
  <si>
    <t>Yangın Ekibi Eğitim Kaydı</t>
  </si>
  <si>
    <t>Ekiptekilerin tamamı eğitime katılmış</t>
  </si>
  <si>
    <t>Yetkili kişilerden alınmış</t>
  </si>
  <si>
    <t>Arama Kurtarma Ekibi Eğitim Kaydı</t>
  </si>
  <si>
    <t>İlkyardım Ekibi Eğitim Kaydı</t>
  </si>
  <si>
    <t>İlkyardım yönetmeliğine uygun sayıda</t>
  </si>
  <si>
    <t>Sağlık Bakanlığına uygun</t>
  </si>
  <si>
    <t>Yenileme süreleri geçmemiş</t>
  </si>
  <si>
    <t>ADP Ekipleri Atama Yazıları</t>
  </si>
  <si>
    <t>İşveren imzası</t>
  </si>
  <si>
    <t>Atama tarihi</t>
  </si>
  <si>
    <t>Acil Durum Ekibinde atandıkları görev</t>
  </si>
  <si>
    <t>Üyenin ad, soyad ve imzası</t>
  </si>
  <si>
    <t>Mesleki Eğitim Kayıtları</t>
  </si>
  <si>
    <t>Mesleki Eğitim ihtiyaçları analiz edilmiş</t>
  </si>
  <si>
    <t>Meslekî Yeterlilik Kurumu Meslekî Yeterlilik Belgesi Zorunluluğu Getirilen Mesleklere İlişkin Tebliğ'e uygun</t>
  </si>
  <si>
    <t>Gerekli olan tüm çalışanların mesleki eğitim kaydı görülmekte</t>
  </si>
  <si>
    <t>ISG Kurul Prosedürü</t>
  </si>
  <si>
    <t>İSG kurul toplantısı bilgilendirme (48 saat önce)</t>
  </si>
  <si>
    <t>İSG Kurul toplantısına katılan başkanın ve diğer üyelerin ıslak imzaları</t>
  </si>
  <si>
    <t>İSG Kurul toplantısında görüşülen konularla ilgili alınan kararlar</t>
  </si>
  <si>
    <t xml:space="preserve">İSG Kurul Atama Yazıları </t>
  </si>
  <si>
    <t>İSG Kurul Atama Yazıları Güncel (Organizasyon değişikliğini yansıtıyor mu)</t>
  </si>
  <si>
    <t>İSG Kurul Atama Yazılarında işveren imzası</t>
  </si>
  <si>
    <t>İSG Kurul Atama Yazılarında atama tarihi</t>
  </si>
  <si>
    <t>İSG Kurul Atama Yazılarında atandıkları görev bildirilmiş</t>
  </si>
  <si>
    <t>İSG Kurul Atama Yazılarında Üyenin ad, soyad ve imzası</t>
  </si>
  <si>
    <t>İSG Kuruluna yönetmeliğe uygun eğitim verilmiş</t>
  </si>
  <si>
    <t>Formen/Usta ve Çalışan Temsilcisi yedekleri atalı</t>
  </si>
  <si>
    <t>Tüm üyeler eğitim almış</t>
  </si>
  <si>
    <t>Kurul düzenli aralıklarla toplanıyor</t>
  </si>
  <si>
    <t>Çalışan temsilcilerinin kurula katılım oranı</t>
  </si>
  <si>
    <t>Kurulda alınan kararlar çalışanlarla paylaşılıyor (e-posta, duyuru panosu vb.)</t>
  </si>
  <si>
    <t>İç Yönerge</t>
  </si>
  <si>
    <t>Çalışan Temsilcisi</t>
  </si>
  <si>
    <t>Çalışan Temsilcisi yeterli sayıda atanmış</t>
  </si>
  <si>
    <t>Çalışan Temsilcisi atama yazısı</t>
  </si>
  <si>
    <t>Çalışan temsilcisi seçimi ile ilgili seçim duyurusu atılmış</t>
  </si>
  <si>
    <t>Çalışan temsilcisi seçimi ile ilgili seçim kapalı oy ile yapıldı</t>
  </si>
  <si>
    <t>Çalışan Temsilcisine özel konularda eğitim verilmiş</t>
  </si>
  <si>
    <t>İzleme Ölçme Planı</t>
  </si>
  <si>
    <t>Yangın Sistemleri</t>
  </si>
  <si>
    <t>Yangın söndürücü tüpler ve yangın dolaplarının periyodik fiziksel kontrolü</t>
  </si>
  <si>
    <t>Yangın söndürücü tüpler ve yangın dolaplarının yetkili firmalarca yaptırılan 6 aylık veya yıllık periyotlarda</t>
  </si>
  <si>
    <t>Sprinkler Sistemi, Yangın Algılama Sistemi vb. yetkili kuruluşlarca en az yılda bir defa</t>
  </si>
  <si>
    <t>Yangın pompaları en az yılda bir kere yetkili servislerce bakımı</t>
  </si>
  <si>
    <t>Acil durum aydınlatmalarının periyodik kontrolü</t>
  </si>
  <si>
    <t>Kimyasal</t>
  </si>
  <si>
    <t>Kimyasalların Türkçe MGBF'leri ve güncel</t>
  </si>
  <si>
    <t>Kimyasal Listesi</t>
  </si>
  <si>
    <t>Kimyasal Risk Analizi</t>
  </si>
  <si>
    <t>Kimyasal kullananlara kimyasala özel eğitim</t>
  </si>
  <si>
    <t>Patlamadan Korunma Dokümanı</t>
  </si>
  <si>
    <t>Periyodik Kontrol</t>
  </si>
  <si>
    <t>Kaldırma Ekipmanlarının en az yılda bir kere yetkili kurumlarca muayenesi</t>
  </si>
  <si>
    <t>Basınçlı Kapların en az yılda bir kere yetkili kurumlarca muayenesi</t>
  </si>
  <si>
    <t>Muayene sonucu uygunsuzlukların takibi</t>
  </si>
  <si>
    <t>Topraklama ve Elektrik Tesisatı Ölçümleri</t>
  </si>
  <si>
    <t>İç Tesisat uygunluk raporu</t>
  </si>
  <si>
    <t>En az yılda bir kere yetkili kurumlarca</t>
  </si>
  <si>
    <t>Ortam Ölçümleri Kayıtları</t>
  </si>
  <si>
    <t>Firmaya özgü maruziyetleri tespit edecek tüm ölçümler</t>
  </si>
  <si>
    <t>Uygunsuzluklar giderildikten sonra ölçüm tekrarı</t>
  </si>
  <si>
    <t>İş Kazası</t>
  </si>
  <si>
    <t>Kaza olay prosedürü</t>
  </si>
  <si>
    <t>SGK ya 3 iş günü içerisinde bildirim, SGK ya bildirme şartı</t>
  </si>
  <si>
    <t>İş Kazası Araştırma Raporlarına İsim, imza, tarih bilgilerinin eksiksiz girilmesi</t>
  </si>
  <si>
    <t>İş Kazası Araştırma Raporları aksiyon bölümlerinde hedef tarih, sorumlular ve kapanma tarihlerinin tanımlanmış olması</t>
  </si>
  <si>
    <t>Kazazedeye işe dönüşte eğitim</t>
  </si>
  <si>
    <t>Kazadan çıkarılan dersler çalışanlarla paylaşılıyor (yazılı-görsel)</t>
  </si>
  <si>
    <t>Ramak Kala, Tehlikeli Durum Bildirim</t>
  </si>
  <si>
    <t>Ramak kala ve tehlikeli durumlar aktif olarak bildiriliyor</t>
  </si>
  <si>
    <t>İsim, imza, tarih bilgilerinin eksiksiz girilmesi</t>
  </si>
  <si>
    <t>Aksiyon bölümlerinde hedef tarih, sorumlular ve kapanma tarihlerinin tanımlanmış olması</t>
  </si>
  <si>
    <t>Kişisel Koruyucu Donanım</t>
  </si>
  <si>
    <t>KKDlerin işyerlerinde kullanılması hakkında yönetmelik Ek-1 e uygun Risk Belirleme Tablosu (Matris)</t>
  </si>
  <si>
    <t>KKD Zimmet Tutanakları</t>
  </si>
  <si>
    <t>KKD kullanım ve uygulama eğitim kayıtları</t>
  </si>
  <si>
    <t>Aktif olarak kullanılması</t>
  </si>
  <si>
    <t>Taşeron Yönetimi-İş İzin Sistemi</t>
  </si>
  <si>
    <t>Prosedür</t>
  </si>
  <si>
    <t>İş İzinleri (Ateşli Çalışma, Yüksekte Çalışma, Kapalı alan vb.)</t>
  </si>
  <si>
    <t xml:space="preserve">Firmaya özgü tehlikeler ve acil durumlarla ilgili eğitim </t>
  </si>
  <si>
    <t>Riskli İşler</t>
  </si>
  <si>
    <t>Talimatlar hazırlanmış</t>
  </si>
  <si>
    <t>Personele tebliğ edilmiş</t>
  </si>
  <si>
    <t>İSG Klasörü</t>
  </si>
  <si>
    <t>Klasör düzenli</t>
  </si>
  <si>
    <t xml:space="preserve">İSG Kurulu
(50'den fazla çalışanı olan ve 6 aydan fazla hizmet verecek firmalar için) </t>
  </si>
  <si>
    <t xml:space="preserve">Sözleşme ekinde bulunan “Çevre, İş Sağlığı ve Güvenliği  Şartnamesi” maddelerine uyum </t>
  </si>
  <si>
    <t xml:space="preserve">Alt işveren personeline ait görev tanımlarında çevre, iş sağlığı ve güvenliği kuralları ve hedeflerine uyum ile ilgili maddelerin varlığı  </t>
  </si>
  <si>
    <t>Risk Değerlendirme ve Çevresel Etki Değerlendirmesine katılım ve belirlenen aksiyonların zamanında kapatılması</t>
  </si>
  <si>
    <t>Alt işveren firma tarafından gerçekleştirilecek faaliyetlere ilişkin (örnek: cam silme, temizlik, yemek hazırlama, güvenlik kayıtlarının tutulması, acil durum ihbar vb.) hazırlanan yazılı prosedürlerde/talimatlarda faaliyete özgü çevre, iş sağlığı ve güvenliği riskleri ve alınacak güvenlik önlemlerinin, kullanılacak KKD’lerin tanımlanma düzeyi.</t>
  </si>
  <si>
    <t xml:space="preserve">Personelin eğitim seviyesi: </t>
  </si>
  <si>
    <t xml:space="preserve">Acil durumlara hazırlıklı olma düzeyi, prosedürler ve tatbikatlar </t>
  </si>
  <si>
    <t>Geçmişte yaşanan kazalar, kaza oranındaki azalma, kaza bildirim ve kaza araştırmalarına katılım</t>
  </si>
  <si>
    <t xml:space="preserve">Kullanılan KKD'lerin uygunluğu (CE onayı) </t>
  </si>
  <si>
    <t>Kullanılan merdiven, kaldırma araçlarının ve tezgahların uygunluğu</t>
  </si>
  <si>
    <t>Kullandıkları makine ve ekipmanların işe uygunluğu, CE onayları, Türkçe kullanma kılavuzlarının varlığı, makine risk değerlendirmeleri</t>
  </si>
  <si>
    <t>ISO 9001/ISO 14001/OHSAS 18001 belgelerinin varlığı.</t>
  </si>
  <si>
    <t xml:space="preserve">Personelin kazalar, kıl payı olayları ve acil durumları bildirme konusundaki bilinç düzeyi,  </t>
  </si>
  <si>
    <t>KKD ve makine kullanım eğitimleri,</t>
  </si>
  <si>
    <t>Kullanılan kimyasallarla ilgili Malzeme Güvenlik Bilgi Formları hakkında eğitim,</t>
  </si>
  <si>
    <t>Yazılı talimatlarla ilgili eğitimleri, işe yeni girenlerin eğitimleri (eğitim planlaması)</t>
  </si>
  <si>
    <t>Sabancı Üniversitesi tarafından düzenlenen eğitimlere katılım ve eğitimlerde başarı durumları</t>
  </si>
  <si>
    <t>Güvenlik görevlileri için özel güvenlik sertifikalarının, ilkyardım ve yangın eğitim sertifikalarının varlığı</t>
  </si>
  <si>
    <t>İç ve dış denetimlere katılım ve uygunsuzlukların zamanında kapatılması</t>
  </si>
  <si>
    <t>Sözleşmede yer alan İSG maddelerine uyum</t>
  </si>
  <si>
    <t>Güncel mevzuat hükümlerine ve Sabancı Üniversitesi Çevre, İş Sağlığı ve Güvenliği politikası, prosedürlerine, dokümanlarına uyum</t>
  </si>
  <si>
    <t>Diğer</t>
  </si>
  <si>
    <t>İSG PERFORMANS DEĞERLENDİRME FORMU</t>
  </si>
  <si>
    <t>Kriterler</t>
  </si>
  <si>
    <t>Konu</t>
  </si>
  <si>
    <t>İSG PERFORMANS DEĞERLENDİRME FORMU (Alt işverenler için)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</si>
</sst>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/mm/yy;@"/>
  </numFmts>
  <fonts count="30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b/>
      <sz val="16"/>
      <name val="Arial"/>
      <family val="2"/>
      <charset val="162"/>
    </font>
    <font>
      <b/>
      <sz val="11"/>
      <name val="Arial"/>
      <family val="2"/>
    </font>
    <font>
      <b/>
      <sz val="10"/>
      <name val="Arial"/>
      <family val="2"/>
      <charset val="162"/>
    </font>
    <font>
      <b/>
      <sz val="12"/>
      <name val="Arial"/>
      <family val="2"/>
    </font>
    <font>
      <b/>
      <u/>
      <sz val="11"/>
      <name val="Arial"/>
      <family val="2"/>
      <charset val="162"/>
    </font>
    <font>
      <b/>
      <sz val="11"/>
      <name val="Arial"/>
      <family val="2"/>
      <charset val="162"/>
    </font>
    <font>
      <sz val="8"/>
      <name val="Arial Tur"/>
      <charset val="162"/>
    </font>
    <font>
      <sz val="11"/>
      <name val="Arial Tur"/>
      <charset val="162"/>
    </font>
    <font>
      <sz val="11"/>
      <name val="Arial"/>
      <family val="2"/>
      <charset val="162"/>
    </font>
    <font>
      <b/>
      <sz val="11"/>
      <name val="Arial Tur"/>
      <charset val="162"/>
    </font>
    <font>
      <sz val="10"/>
      <name val="HGÛºÞ¼¯¸M-PRO"/>
      <family val="3"/>
      <charset val="128"/>
    </font>
    <font>
      <b/>
      <sz val="11"/>
      <color indexed="8"/>
      <name val="Arial"/>
      <family val="2"/>
      <charset val="162"/>
    </font>
    <font>
      <b/>
      <sz val="9"/>
      <name val="Arial"/>
      <family val="2"/>
      <charset val="162"/>
    </font>
    <font>
      <b/>
      <sz val="8"/>
      <color indexed="10"/>
      <name val="Arial"/>
      <family val="2"/>
      <charset val="162"/>
    </font>
    <font>
      <b/>
      <sz val="11"/>
      <color indexed="10"/>
      <name val="Arial"/>
      <family val="2"/>
      <charset val="162"/>
    </font>
    <font>
      <sz val="12"/>
      <name val="Arial Tur"/>
      <charset val="162"/>
    </font>
    <font>
      <b/>
      <sz val="20"/>
      <color theme="5"/>
      <name val="Arial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b/>
      <sz val="12"/>
      <name val="Calibri"/>
      <family val="2"/>
      <charset val="162"/>
      <scheme val="minor"/>
    </font>
    <font>
      <b/>
      <sz val="8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b/>
      <u/>
      <sz val="11"/>
      <name val="Calibri"/>
      <family val="2"/>
      <charset val="162"/>
      <scheme val="minor"/>
    </font>
    <font>
      <sz val="11"/>
      <name val="Calibri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8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1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50">
    <xf numFmtId="0" fontId="0" fillId="0" borderId="0" xfId="0"/>
    <xf numFmtId="0" fontId="2" fillId="0" borderId="0" xfId="2" applyAlignment="1">
      <alignment vertical="center" wrapText="1"/>
    </xf>
    <xf numFmtId="0" fontId="3" fillId="0" borderId="0" xfId="2" applyFont="1" applyAlignment="1">
      <alignment vertical="center" wrapText="1"/>
    </xf>
    <xf numFmtId="0" fontId="4" fillId="2" borderId="1" xfId="2" quotePrefix="1" applyFont="1" applyFill="1" applyBorder="1" applyAlignment="1">
      <alignment horizontal="left" vertical="center" wrapText="1"/>
    </xf>
    <xf numFmtId="0" fontId="5" fillId="0" borderId="0" xfId="2" quotePrefix="1" applyFont="1" applyAlignment="1">
      <alignment horizontal="left" vertical="center" wrapText="1"/>
    </xf>
    <xf numFmtId="0" fontId="4" fillId="3" borderId="1" xfId="2" quotePrefix="1" applyFont="1" applyFill="1" applyBorder="1" applyAlignment="1">
      <alignment horizontal="left" vertical="center" wrapText="1"/>
    </xf>
    <xf numFmtId="0" fontId="5" fillId="0" borderId="0" xfId="2" applyFont="1" applyAlignment="1">
      <alignment vertical="center" wrapText="1"/>
    </xf>
    <xf numFmtId="15" fontId="6" fillId="0" borderId="0" xfId="2" applyNumberFormat="1" applyFont="1" applyFill="1" applyBorder="1" applyAlignment="1" applyProtection="1">
      <alignment horizontal="left" vertical="center" wrapText="1"/>
    </xf>
    <xf numFmtId="0" fontId="4" fillId="4" borderId="1" xfId="2" quotePrefix="1" applyFont="1" applyFill="1" applyBorder="1" applyAlignment="1">
      <alignment horizontal="left" vertical="center" wrapText="1"/>
    </xf>
    <xf numFmtId="20" fontId="6" fillId="0" borderId="0" xfId="2" applyNumberFormat="1" applyFont="1" applyFill="1" applyBorder="1" applyAlignment="1" applyProtection="1">
      <alignment horizontal="left" vertical="center" wrapText="1"/>
    </xf>
    <xf numFmtId="0" fontId="4" fillId="5" borderId="1" xfId="2" quotePrefix="1" applyFont="1" applyFill="1" applyBorder="1" applyAlignment="1">
      <alignment horizontal="left" vertical="center" wrapText="1"/>
    </xf>
    <xf numFmtId="2" fontId="7" fillId="0" borderId="0" xfId="0" quotePrefix="1" applyNumberFormat="1" applyFont="1" applyBorder="1" applyAlignment="1">
      <alignment horizontal="center" vertical="top" wrapText="1"/>
    </xf>
    <xf numFmtId="2" fontId="8" fillId="0" borderId="0" xfId="0" quotePrefix="1" applyNumberFormat="1" applyFont="1" applyBorder="1" applyAlignment="1">
      <alignment horizontal="center" vertical="top" wrapText="1"/>
    </xf>
    <xf numFmtId="0" fontId="5" fillId="0" borderId="0" xfId="3" quotePrefix="1" applyNumberFormat="1" applyFont="1" applyFill="1" applyBorder="1" applyAlignment="1">
      <alignment horizontal="center" vertical="center" wrapText="1"/>
    </xf>
    <xf numFmtId="0" fontId="5" fillId="0" borderId="0" xfId="3" applyNumberFormat="1" applyFont="1" applyFill="1" applyBorder="1" applyAlignment="1">
      <alignment horizontal="center" vertical="center" wrapText="1"/>
    </xf>
    <xf numFmtId="49" fontId="5" fillId="0" borderId="0" xfId="3" applyNumberFormat="1" applyFont="1" applyFill="1" applyBorder="1" applyAlignment="1">
      <alignment horizontal="left" vertical="center" wrapText="1"/>
    </xf>
    <xf numFmtId="0" fontId="9" fillId="0" borderId="0" xfId="0" applyFont="1" applyFill="1" applyBorder="1" applyAlignment="1">
      <alignment vertical="center"/>
    </xf>
    <xf numFmtId="49" fontId="8" fillId="0" borderId="0" xfId="3" applyNumberFormat="1" applyFont="1" applyFill="1" applyBorder="1" applyAlignment="1">
      <alignment horizontal="left" vertical="center" wrapText="1"/>
    </xf>
    <xf numFmtId="0" fontId="10" fillId="0" borderId="0" xfId="0" applyFont="1" applyFill="1" applyBorder="1" applyAlignment="1">
      <alignment vertical="center"/>
    </xf>
    <xf numFmtId="0" fontId="11" fillId="0" borderId="0" xfId="2" applyFont="1" applyAlignment="1">
      <alignment vertical="center" wrapText="1"/>
    </xf>
    <xf numFmtId="15" fontId="8" fillId="0" borderId="0" xfId="2" applyNumberFormat="1" applyFont="1" applyFill="1" applyBorder="1" applyAlignment="1" applyProtection="1">
      <alignment horizontal="left" vertical="center" wrapText="1"/>
    </xf>
    <xf numFmtId="0" fontId="4" fillId="0" borderId="0" xfId="2" quotePrefix="1" applyFont="1" applyFill="1" applyBorder="1" applyAlignment="1">
      <alignment horizontal="left" vertical="center" wrapText="1"/>
    </xf>
    <xf numFmtId="0" fontId="8" fillId="0" borderId="0" xfId="2" applyFont="1" applyAlignment="1">
      <alignment vertical="center" wrapText="1"/>
    </xf>
    <xf numFmtId="20" fontId="8" fillId="0" borderId="0" xfId="2" applyNumberFormat="1" applyFont="1" applyFill="1" applyBorder="1" applyAlignment="1" applyProtection="1">
      <alignment horizontal="left" vertical="center" wrapText="1"/>
    </xf>
    <xf numFmtId="0" fontId="12" fillId="0" borderId="0" xfId="0" quotePrefix="1" applyFont="1" applyBorder="1" applyAlignment="1">
      <alignment horizontal="left" vertical="center" wrapText="1"/>
    </xf>
    <xf numFmtId="49" fontId="8" fillId="0" borderId="0" xfId="4" applyNumberFormat="1" applyFont="1" applyFill="1" applyBorder="1" applyAlignment="1">
      <alignment horizontal="left" vertical="center" wrapText="1"/>
    </xf>
    <xf numFmtId="0" fontId="10" fillId="0" borderId="0" xfId="0" applyFont="1" applyBorder="1" applyAlignment="1">
      <alignment vertical="center" wrapText="1"/>
    </xf>
    <xf numFmtId="0" fontId="9" fillId="0" borderId="0" xfId="0" applyFont="1" applyBorder="1" applyAlignment="1">
      <alignment vertical="center" wrapText="1"/>
    </xf>
    <xf numFmtId="0" fontId="12" fillId="0" borderId="0" xfId="0" quotePrefix="1" applyFont="1" applyBorder="1" applyAlignment="1">
      <alignment horizontal="left" vertical="center"/>
    </xf>
    <xf numFmtId="14" fontId="11" fillId="0" borderId="0" xfId="4" applyNumberFormat="1" applyFont="1" applyFill="1" applyBorder="1" applyAlignment="1">
      <alignment horizontal="center" vertical="center" wrapText="1"/>
    </xf>
    <xf numFmtId="0" fontId="12" fillId="0" borderId="0" xfId="0" applyFont="1" applyFill="1" applyBorder="1" applyAlignment="1">
      <alignment vertical="center" wrapText="1"/>
    </xf>
    <xf numFmtId="0" fontId="12" fillId="0" borderId="2" xfId="0" applyFont="1" applyFill="1" applyBorder="1" applyAlignment="1">
      <alignment vertical="center" wrapText="1"/>
    </xf>
    <xf numFmtId="0" fontId="12" fillId="0" borderId="2" xfId="0" quotePrefix="1" applyFont="1" applyBorder="1" applyAlignment="1">
      <alignment horizontal="left" vertical="center"/>
    </xf>
    <xf numFmtId="0" fontId="10" fillId="0" borderId="2" xfId="0" applyFont="1" applyBorder="1" applyAlignment="1">
      <alignment vertical="center" wrapText="1"/>
    </xf>
    <xf numFmtId="14" fontId="11" fillId="0" borderId="2" xfId="4" applyNumberFormat="1" applyFont="1" applyFill="1" applyBorder="1" applyAlignment="1">
      <alignment horizontal="center" vertical="center" wrapText="1"/>
    </xf>
    <xf numFmtId="0" fontId="12" fillId="0" borderId="0" xfId="0" applyFont="1" applyBorder="1" applyAlignment="1">
      <alignment vertical="center" wrapText="1"/>
    </xf>
    <xf numFmtId="0" fontId="10" fillId="0" borderId="0" xfId="0" applyFont="1" applyBorder="1" applyAlignment="1">
      <alignment vertical="center"/>
    </xf>
    <xf numFmtId="0" fontId="10" fillId="0" borderId="0" xfId="0" applyFont="1" applyAlignment="1">
      <alignment vertical="center"/>
    </xf>
    <xf numFmtId="0" fontId="8" fillId="0" borderId="0" xfId="2" quotePrefix="1" applyFont="1" applyAlignment="1">
      <alignment horizontal="left" vertical="center"/>
    </xf>
    <xf numFmtId="0" fontId="11" fillId="0" borderId="0" xfId="2" applyFont="1" applyAlignment="1">
      <alignment wrapText="1"/>
    </xf>
    <xf numFmtId="0" fontId="11" fillId="0" borderId="0" xfId="2" applyFont="1"/>
    <xf numFmtId="49" fontId="8" fillId="0" borderId="0" xfId="6" applyNumberFormat="1" applyFont="1" applyFill="1" applyBorder="1" applyAlignment="1">
      <alignment horizontal="left" vertical="center" wrapText="1"/>
    </xf>
    <xf numFmtId="1" fontId="8" fillId="0" borderId="0" xfId="2" applyNumberFormat="1" applyFont="1" applyFill="1" applyBorder="1" applyAlignment="1">
      <alignment horizontal="center" vertical="center" wrapText="1"/>
    </xf>
    <xf numFmtId="1" fontId="14" fillId="0" borderId="0" xfId="2" applyNumberFormat="1" applyFont="1" applyFill="1" applyBorder="1" applyAlignment="1">
      <alignment horizontal="left" vertical="center" wrapText="1"/>
    </xf>
    <xf numFmtId="15" fontId="8" fillId="0" borderId="0" xfId="2" quotePrefix="1" applyNumberFormat="1" applyFont="1" applyFill="1" applyBorder="1" applyAlignment="1" applyProtection="1">
      <alignment horizontal="left" vertical="top"/>
    </xf>
    <xf numFmtId="49" fontId="5" fillId="0" borderId="0" xfId="6" applyNumberFormat="1" applyFont="1" applyFill="1" applyBorder="1" applyAlignment="1">
      <alignment horizontal="left" vertical="center" wrapText="1"/>
    </xf>
    <xf numFmtId="1" fontId="15" fillId="2" borderId="1" xfId="2" applyNumberFormat="1" applyFont="1" applyFill="1" applyBorder="1" applyAlignment="1">
      <alignment horizontal="center" vertical="center" wrapText="1"/>
    </xf>
    <xf numFmtId="15" fontId="16" fillId="0" borderId="0" xfId="6" applyNumberFormat="1" applyFont="1" applyFill="1" applyBorder="1" applyAlignment="1">
      <alignment horizontal="left" vertical="center" wrapText="1"/>
    </xf>
    <xf numFmtId="1" fontId="15" fillId="3" borderId="1" xfId="2" applyNumberFormat="1" applyFont="1" applyFill="1" applyBorder="1" applyAlignment="1">
      <alignment horizontal="center" vertical="center" wrapText="1"/>
    </xf>
    <xf numFmtId="1" fontId="15" fillId="4" borderId="1" xfId="2" applyNumberFormat="1" applyFont="1" applyFill="1" applyBorder="1" applyAlignment="1">
      <alignment horizontal="center" vertical="center" wrapText="1"/>
    </xf>
    <xf numFmtId="1" fontId="14" fillId="0" borderId="0" xfId="2" applyNumberFormat="1" applyFont="1" applyFill="1" applyBorder="1" applyAlignment="1">
      <alignment horizontal="left"/>
    </xf>
    <xf numFmtId="1" fontId="15" fillId="5" borderId="1" xfId="2" applyNumberFormat="1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5" fontId="17" fillId="0" borderId="0" xfId="6" applyNumberFormat="1" applyFont="1" applyFill="1" applyBorder="1" applyAlignment="1">
      <alignment horizontal="left" vertical="center" wrapText="1"/>
    </xf>
    <xf numFmtId="2" fontId="8" fillId="0" borderId="0" xfId="4" quotePrefix="1" applyNumberFormat="1" applyFont="1" applyFill="1" applyBorder="1" applyAlignment="1">
      <alignment horizontal="left" vertical="center" wrapText="1"/>
    </xf>
    <xf numFmtId="0" fontId="8" fillId="0" borderId="0" xfId="0" applyFont="1" applyBorder="1" applyAlignment="1">
      <alignment horizontal="center" vertical="center" wrapText="1"/>
    </xf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5" fillId="0" borderId="0" xfId="2" applyFont="1" applyFill="1" applyAlignment="1">
      <alignment horizontal="center" vertical="center" wrapText="1"/>
    </xf>
    <xf numFmtId="49" fontId="5" fillId="0" borderId="0" xfId="13" applyNumberFormat="1" applyFont="1" applyFill="1" applyBorder="1" applyAlignment="1">
      <alignment horizontal="left" vertical="center" wrapText="1"/>
    </xf>
    <xf numFmtId="0" fontId="5" fillId="0" borderId="0" xfId="13" applyNumberFormat="1" applyFont="1" applyFill="1" applyBorder="1" applyAlignment="1">
      <alignment horizontal="left" vertical="center" wrapText="1"/>
    </xf>
    <xf numFmtId="2" fontId="7" fillId="0" borderId="0" xfId="0" quotePrefix="1" applyNumberFormat="1" applyFont="1" applyBorder="1" applyAlignment="1">
      <alignment vertical="top" wrapText="1"/>
    </xf>
    <xf numFmtId="2" fontId="8" fillId="0" borderId="0" xfId="0" quotePrefix="1" applyNumberFormat="1" applyFont="1" applyBorder="1" applyAlignment="1">
      <alignment vertical="top" wrapText="1"/>
    </xf>
    <xf numFmtId="0" fontId="8" fillId="0" borderId="0" xfId="2" quotePrefix="1" applyFont="1" applyAlignment="1">
      <alignment vertical="center"/>
    </xf>
    <xf numFmtId="0" fontId="19" fillId="0" borderId="0" xfId="3" quotePrefix="1" applyNumberFormat="1" applyFont="1" applyFill="1" applyBorder="1" applyAlignment="1">
      <alignment horizontal="center" vertical="center"/>
    </xf>
    <xf numFmtId="9" fontId="4" fillId="0" borderId="1" xfId="1" applyFont="1" applyBorder="1" applyAlignment="1" applyProtection="1">
      <alignment horizontal="left" vertical="center" wrapText="1"/>
    </xf>
    <xf numFmtId="1" fontId="15" fillId="0" borderId="1" xfId="1" applyNumberFormat="1" applyFont="1" applyBorder="1" applyAlignment="1" applyProtection="1">
      <alignment horizontal="center" vertical="center" wrapText="1"/>
    </xf>
    <xf numFmtId="0" fontId="20" fillId="0" borderId="0" xfId="0" applyFont="1" applyFill="1" applyBorder="1"/>
    <xf numFmtId="0" fontId="20" fillId="0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49" fontId="22" fillId="6" borderId="1" xfId="3" applyNumberFormat="1" applyFont="1" applyFill="1" applyBorder="1" applyAlignment="1">
      <alignment horizontal="left" vertical="center" wrapText="1"/>
    </xf>
    <xf numFmtId="0" fontId="22" fillId="6" borderId="1" xfId="2" applyNumberFormat="1" applyFont="1" applyFill="1" applyBorder="1" applyAlignment="1">
      <alignment horizontal="left" vertical="center" wrapText="1"/>
    </xf>
    <xf numFmtId="0" fontId="22" fillId="6" borderId="1" xfId="2" applyFont="1" applyFill="1" applyBorder="1" applyAlignment="1">
      <alignment vertical="center" wrapText="1"/>
    </xf>
    <xf numFmtId="0" fontId="22" fillId="6" borderId="1" xfId="2" applyFont="1" applyFill="1" applyBorder="1" applyAlignment="1">
      <alignment horizontal="center" vertical="center" wrapText="1"/>
    </xf>
    <xf numFmtId="0" fontId="22" fillId="6" borderId="1" xfId="6" applyFont="1" applyFill="1" applyBorder="1" applyAlignment="1">
      <alignment horizontal="left" vertical="center" wrapText="1"/>
    </xf>
    <xf numFmtId="0" fontId="1" fillId="0" borderId="1" xfId="0" applyFont="1" applyBorder="1" applyAlignment="1">
      <alignment vertical="center" wrapText="1"/>
    </xf>
    <xf numFmtId="0" fontId="23" fillId="0" borderId="1" xfId="2" applyFont="1" applyFill="1" applyBorder="1" applyAlignment="1">
      <alignment vertical="center" wrapText="1"/>
    </xf>
    <xf numFmtId="0" fontId="24" fillId="0" borderId="1" xfId="2" applyFont="1" applyFill="1" applyBorder="1" applyAlignment="1">
      <alignment vertical="center" wrapText="1"/>
    </xf>
    <xf numFmtId="1" fontId="25" fillId="0" borderId="1" xfId="1" applyNumberFormat="1" applyFont="1" applyFill="1" applyBorder="1" applyAlignment="1" applyProtection="1">
      <alignment horizontal="left" vertical="center" wrapText="1"/>
    </xf>
    <xf numFmtId="0" fontId="26" fillId="0" borderId="1" xfId="2" quotePrefix="1" applyFont="1" applyFill="1" applyBorder="1" applyAlignment="1">
      <alignment horizontal="left" vertical="center" wrapText="1"/>
    </xf>
    <xf numFmtId="0" fontId="27" fillId="0" borderId="1" xfId="2" applyFont="1" applyFill="1" applyBorder="1" applyAlignment="1">
      <alignment vertical="center" wrapText="1"/>
    </xf>
    <xf numFmtId="15" fontId="25" fillId="0" borderId="1" xfId="2" applyNumberFormat="1" applyFont="1" applyFill="1" applyBorder="1" applyAlignment="1" applyProtection="1">
      <alignment horizontal="left" vertical="center" wrapText="1"/>
    </xf>
    <xf numFmtId="49" fontId="23" fillId="0" borderId="1" xfId="3" applyNumberFormat="1" applyFont="1" applyFill="1" applyBorder="1" applyAlignment="1">
      <alignment horizontal="left" vertical="center" wrapText="1"/>
    </xf>
    <xf numFmtId="0" fontId="23" fillId="0" borderId="1" xfId="2" applyFont="1" applyFill="1" applyBorder="1" applyAlignment="1">
      <alignment horizontal="center" vertical="center" wrapText="1"/>
    </xf>
    <xf numFmtId="164" fontId="25" fillId="0" borderId="1" xfId="7" applyNumberFormat="1" applyFont="1" applyFill="1" applyBorder="1" applyAlignment="1">
      <alignment horizontal="left" vertical="center" wrapText="1"/>
    </xf>
    <xf numFmtId="164" fontId="25" fillId="0" borderId="1" xfId="3" applyNumberFormat="1" applyFont="1" applyFill="1" applyBorder="1" applyAlignment="1">
      <alignment horizontal="left" vertical="center" wrapText="1"/>
    </xf>
    <xf numFmtId="164" fontId="25" fillId="0" borderId="1" xfId="8" applyNumberFormat="1" applyFont="1" applyFill="1" applyBorder="1" applyAlignment="1">
      <alignment horizontal="left" vertical="center" wrapText="1"/>
    </xf>
    <xf numFmtId="164" fontId="25" fillId="0" borderId="1" xfId="9" applyNumberFormat="1" applyFont="1" applyFill="1" applyBorder="1" applyAlignment="1">
      <alignment horizontal="left" vertical="center" wrapText="1"/>
    </xf>
    <xf numFmtId="164" fontId="25" fillId="0" borderId="1" xfId="10" applyNumberFormat="1" applyFont="1" applyFill="1" applyBorder="1" applyAlignment="1">
      <alignment horizontal="left" vertical="center" wrapText="1"/>
    </xf>
    <xf numFmtId="164" fontId="25" fillId="0" borderId="1" xfId="2" applyNumberFormat="1" applyFont="1" applyFill="1" applyBorder="1" applyAlignment="1">
      <alignment horizontal="left" vertical="center" wrapText="1"/>
    </xf>
    <xf numFmtId="0" fontId="27" fillId="0" borderId="1" xfId="11" applyNumberFormat="1" applyFont="1" applyFill="1" applyBorder="1" applyAlignment="1">
      <alignment vertical="center" wrapText="1"/>
    </xf>
    <xf numFmtId="0" fontId="27" fillId="0" borderId="0" xfId="2" applyFont="1" applyFill="1"/>
    <xf numFmtId="164" fontId="25" fillId="0" borderId="3" xfId="13" applyNumberFormat="1" applyFont="1" applyFill="1" applyBorder="1" applyAlignment="1">
      <alignment horizontal="left" vertical="center" wrapText="1"/>
    </xf>
    <xf numFmtId="164" fontId="25" fillId="0" borderId="5" xfId="13" applyNumberFormat="1" applyFont="1" applyFill="1" applyBorder="1" applyAlignment="1">
      <alignment horizontal="left" vertical="center" wrapText="1"/>
    </xf>
    <xf numFmtId="164" fontId="25" fillId="0" borderId="1" xfId="12" applyNumberFormat="1" applyFont="1" applyFill="1" applyBorder="1" applyAlignment="1">
      <alignment horizontal="left" vertical="center" wrapText="1"/>
    </xf>
    <xf numFmtId="164" fontId="25" fillId="0" borderId="4" xfId="12" applyNumberFormat="1" applyFont="1" applyFill="1" applyBorder="1" applyAlignment="1">
      <alignment horizontal="left" vertical="center" wrapText="1"/>
    </xf>
    <xf numFmtId="164" fontId="25" fillId="0" borderId="1" xfId="14" applyNumberFormat="1" applyFont="1" applyFill="1" applyBorder="1" applyAlignment="1">
      <alignment horizontal="left" vertical="center" wrapText="1"/>
    </xf>
    <xf numFmtId="164" fontId="25" fillId="0" borderId="4" xfId="14" applyNumberFormat="1" applyFont="1" applyFill="1" applyBorder="1" applyAlignment="1">
      <alignment horizontal="left" vertical="center" wrapText="1"/>
    </xf>
    <xf numFmtId="164" fontId="25" fillId="0" borderId="4" xfId="2" applyNumberFormat="1" applyFont="1" applyFill="1" applyBorder="1" applyAlignment="1">
      <alignment horizontal="left" vertical="center" wrapText="1"/>
    </xf>
    <xf numFmtId="164" fontId="25" fillId="0" borderId="4" xfId="13" applyNumberFormat="1" applyFont="1" applyFill="1" applyBorder="1" applyAlignment="1">
      <alignment horizontal="left" vertical="center" wrapText="1"/>
    </xf>
    <xf numFmtId="164" fontId="25" fillId="0" borderId="1" xfId="13" applyNumberFormat="1" applyFont="1" applyFill="1" applyBorder="1" applyAlignment="1">
      <alignment horizontal="left" vertical="center" wrapText="1"/>
    </xf>
    <xf numFmtId="164" fontId="25" fillId="0" borderId="1" xfId="15" applyNumberFormat="1" applyFont="1" applyFill="1" applyBorder="1" applyAlignment="1">
      <alignment horizontal="left" vertical="center" wrapText="1"/>
    </xf>
    <xf numFmtId="49" fontId="23" fillId="0" borderId="4" xfId="15" applyNumberFormat="1" applyFont="1" applyFill="1" applyBorder="1" applyAlignment="1">
      <alignment horizontal="left" vertical="center" wrapText="1"/>
    </xf>
    <xf numFmtId="164" fontId="25" fillId="0" borderId="1" xfId="15" applyNumberFormat="1" applyFont="1" applyFill="1" applyBorder="1" applyAlignment="1">
      <alignment horizontal="left" vertical="center"/>
    </xf>
    <xf numFmtId="49" fontId="23" fillId="0" borderId="4" xfId="15" applyNumberFormat="1" applyFont="1" applyFill="1" applyBorder="1" applyAlignment="1">
      <alignment horizontal="left" vertical="center"/>
    </xf>
    <xf numFmtId="164" fontId="25" fillId="0" borderId="1" xfId="16" applyNumberFormat="1" applyFont="1" applyFill="1" applyBorder="1" applyAlignment="1">
      <alignment horizontal="left" vertical="center" wrapText="1"/>
    </xf>
    <xf numFmtId="164" fontId="23" fillId="0" borderId="4" xfId="16" applyNumberFormat="1" applyFont="1" applyFill="1" applyBorder="1" applyAlignment="1">
      <alignment horizontal="left" vertical="center" wrapText="1"/>
    </xf>
    <xf numFmtId="164" fontId="25" fillId="0" borderId="1" xfId="17" applyNumberFormat="1" applyFont="1" applyFill="1" applyBorder="1" applyAlignment="1">
      <alignment horizontal="left" vertical="center" wrapText="1"/>
    </xf>
    <xf numFmtId="164" fontId="25" fillId="0" borderId="4" xfId="17" quotePrefix="1" applyNumberFormat="1" applyFont="1" applyFill="1" applyBorder="1" applyAlignment="1">
      <alignment horizontal="left" vertical="center" wrapText="1"/>
    </xf>
    <xf numFmtId="164" fontId="25" fillId="0" borderId="4" xfId="17" applyNumberFormat="1" applyFont="1" applyFill="1" applyBorder="1" applyAlignment="1">
      <alignment horizontal="left" vertical="center" wrapText="1"/>
    </xf>
    <xf numFmtId="164" fontId="25" fillId="0" borderId="1" xfId="17" applyNumberFormat="1" applyFont="1" applyFill="1" applyBorder="1" applyAlignment="1">
      <alignment horizontal="left" vertical="center"/>
    </xf>
    <xf numFmtId="164" fontId="25" fillId="0" borderId="4" xfId="17" applyNumberFormat="1" applyFont="1" applyFill="1" applyBorder="1" applyAlignment="1">
      <alignment horizontal="left" vertical="center"/>
    </xf>
    <xf numFmtId="0" fontId="27" fillId="0" borderId="4" xfId="17" applyFont="1" applyFill="1" applyBorder="1" applyAlignment="1">
      <alignment vertical="center"/>
    </xf>
    <xf numFmtId="0" fontId="23" fillId="0" borderId="0" xfId="14" applyNumberFormat="1" applyFont="1" applyFill="1" applyBorder="1" applyAlignment="1">
      <alignment horizontal="left" vertical="center" wrapText="1"/>
    </xf>
    <xf numFmtId="0" fontId="23" fillId="0" borderId="0" xfId="2" applyFont="1" applyFill="1" applyAlignment="1">
      <alignment horizontal="center" vertical="center" wrapText="1"/>
    </xf>
    <xf numFmtId="0" fontId="23" fillId="0" borderId="0" xfId="13" applyNumberFormat="1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1" fillId="7" borderId="1" xfId="0" applyFont="1" applyFill="1" applyBorder="1" applyAlignment="1">
      <alignment vertical="center" wrapText="1"/>
    </xf>
    <xf numFmtId="49" fontId="5" fillId="7" borderId="0" xfId="13" applyNumberFormat="1" applyFont="1" applyFill="1" applyBorder="1" applyAlignment="1">
      <alignment horizontal="left" vertical="center" wrapText="1"/>
    </xf>
    <xf numFmtId="0" fontId="2" fillId="7" borderId="0" xfId="2" applyFill="1" applyAlignment="1">
      <alignment vertical="center" wrapText="1"/>
    </xf>
    <xf numFmtId="49" fontId="23" fillId="7" borderId="1" xfId="14" applyNumberFormat="1" applyFont="1" applyFill="1" applyBorder="1" applyAlignment="1">
      <alignment horizontal="left" vertical="center" wrapText="1"/>
    </xf>
    <xf numFmtId="0" fontId="27" fillId="0" borderId="1" xfId="2" applyFont="1" applyBorder="1" applyAlignment="1">
      <alignment vertical="center" wrapText="1"/>
    </xf>
    <xf numFmtId="49" fontId="23" fillId="7" borderId="1" xfId="13" applyNumberFormat="1" applyFont="1" applyFill="1" applyBorder="1" applyAlignment="1">
      <alignment horizontal="left" vertical="center" wrapText="1"/>
    </xf>
    <xf numFmtId="49" fontId="23" fillId="7" borderId="6" xfId="13" applyNumberFormat="1" applyFont="1" applyFill="1" applyBorder="1" applyAlignment="1">
      <alignment horizontal="left" vertical="center" wrapText="1"/>
    </xf>
    <xf numFmtId="0" fontId="27" fillId="0" borderId="6" xfId="2" applyFont="1" applyBorder="1" applyAlignment="1">
      <alignment vertical="center" wrapText="1"/>
    </xf>
    <xf numFmtId="0" fontId="1" fillId="0" borderId="0" xfId="0" applyFont="1"/>
    <xf numFmtId="49" fontId="22" fillId="0" borderId="0" xfId="6" applyNumberFormat="1" applyFont="1" applyFill="1" applyBorder="1" applyAlignment="1">
      <alignment horizontal="left" vertical="center" wrapText="1"/>
    </xf>
    <xf numFmtId="0" fontId="22" fillId="0" borderId="0" xfId="2" quotePrefix="1" applyFont="1" applyBorder="1" applyAlignment="1">
      <alignment horizontal="left" vertical="center" wrapText="1"/>
    </xf>
    <xf numFmtId="0" fontId="27" fillId="0" borderId="0" xfId="2" applyFont="1" applyAlignment="1">
      <alignment vertical="center" wrapText="1"/>
    </xf>
    <xf numFmtId="0" fontId="28" fillId="0" borderId="0" xfId="2" quotePrefix="1" applyFont="1" applyAlignment="1">
      <alignment horizontal="left" vertical="center"/>
    </xf>
    <xf numFmtId="49" fontId="23" fillId="0" borderId="0" xfId="3" applyNumberFormat="1" applyFont="1" applyFill="1" applyBorder="1" applyAlignment="1">
      <alignment horizontal="left" vertical="center" wrapText="1"/>
    </xf>
    <xf numFmtId="15" fontId="22" fillId="0" borderId="0" xfId="2" quotePrefix="1" applyNumberFormat="1" applyFont="1" applyFill="1" applyBorder="1" applyAlignment="1" applyProtection="1">
      <alignment horizontal="left" vertical="center" wrapText="1"/>
    </xf>
    <xf numFmtId="0" fontId="22" fillId="0" borderId="0" xfId="5" quotePrefix="1" applyFont="1" applyBorder="1" applyAlignment="1">
      <alignment horizontal="left" vertical="center" wrapText="1"/>
    </xf>
    <xf numFmtId="0" fontId="22" fillId="0" borderId="0" xfId="5" quotePrefix="1" applyFont="1" applyBorder="1" applyAlignment="1">
      <alignment horizontal="left" vertical="center"/>
    </xf>
    <xf numFmtId="0" fontId="29" fillId="0" borderId="0" xfId="2" applyFont="1" applyBorder="1" applyAlignment="1">
      <alignment wrapText="1"/>
    </xf>
    <xf numFmtId="0" fontId="22" fillId="0" borderId="0" xfId="2" quotePrefix="1" applyFont="1" applyFill="1" applyBorder="1" applyAlignment="1">
      <alignment horizontal="left" vertical="center" wrapText="1"/>
    </xf>
    <xf numFmtId="0" fontId="22" fillId="0" borderId="0" xfId="2" applyFont="1" applyBorder="1" applyAlignment="1">
      <alignment vertical="center"/>
    </xf>
    <xf numFmtId="2" fontId="7" fillId="0" borderId="0" xfId="0" quotePrefix="1" applyNumberFormat="1" applyFont="1" applyBorder="1" applyAlignment="1">
      <alignment horizontal="center" vertical="top" wrapText="1"/>
    </xf>
    <xf numFmtId="0" fontId="21" fillId="7" borderId="1" xfId="0" applyFont="1" applyFill="1" applyBorder="1" applyAlignment="1">
      <alignment vertical="center" wrapText="1"/>
    </xf>
    <xf numFmtId="2" fontId="7" fillId="0" borderId="0" xfId="0" quotePrefix="1" applyNumberFormat="1" applyFont="1" applyBorder="1" applyAlignment="1">
      <alignment horizontal="center" vertical="top" wrapText="1"/>
    </xf>
    <xf numFmtId="0" fontId="21" fillId="7" borderId="6" xfId="0" applyFont="1" applyFill="1" applyBorder="1" applyAlignment="1">
      <alignment vertical="center" wrapText="1"/>
    </xf>
    <xf numFmtId="0" fontId="21" fillId="7" borderId="7" xfId="0" applyFont="1" applyFill="1" applyBorder="1" applyAlignment="1">
      <alignment vertical="center" wrapText="1"/>
    </xf>
    <xf numFmtId="0" fontId="21" fillId="7" borderId="3" xfId="0" applyFont="1" applyFill="1" applyBorder="1" applyAlignment="1">
      <alignment vertical="center" wrapText="1"/>
    </xf>
    <xf numFmtId="0" fontId="21" fillId="7" borderId="6" xfId="0" applyFont="1" applyFill="1" applyBorder="1" applyAlignment="1">
      <alignment horizontal="left" vertical="center" wrapText="1"/>
    </xf>
    <xf numFmtId="0" fontId="21" fillId="7" borderId="7" xfId="0" applyFont="1" applyFill="1" applyBorder="1" applyAlignment="1">
      <alignment horizontal="left" vertical="center" wrapText="1"/>
    </xf>
    <xf numFmtId="0" fontId="21" fillId="7" borderId="3" xfId="0" applyFont="1" applyFill="1" applyBorder="1" applyAlignment="1">
      <alignment horizontal="left" vertical="center" wrapText="1"/>
    </xf>
    <xf numFmtId="0" fontId="21" fillId="7" borderId="6" xfId="0" applyFont="1" applyFill="1" applyBorder="1" applyAlignment="1">
      <alignment horizontal="center" vertical="center" wrapText="1"/>
    </xf>
    <xf numFmtId="0" fontId="21" fillId="7" borderId="7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</cellXfs>
  <cellStyles count="18">
    <cellStyle name="Normal" xfId="0" builtinId="0"/>
    <cellStyle name="Normal_F 1201-F-001-02 Ic Denetim Raporu" xfId="5"/>
    <cellStyle name="Normal_RD_Ambalaj_Eymen_2007" xfId="4"/>
    <cellStyle name="Normal_RD_ARGE" xfId="14"/>
    <cellStyle name="Normal_RD_Çay Ocağı" xfId="3"/>
    <cellStyle name="Normal_RD_Çiçek serası" xfId="8"/>
    <cellStyle name="Normal_RD_İşyeri Hekimliği" xfId="9"/>
    <cellStyle name="Normal_RD_Kırtasiye Deposu" xfId="10"/>
    <cellStyle name="Normal_RD_Mis güvenlik" xfId="7"/>
    <cellStyle name="Normal_RD_Misbak" xfId="11"/>
    <cellStyle name="Normal_RD_müteahhit firma mekanik atölyesi" xfId="16"/>
    <cellStyle name="Normal_RD_QO" xfId="13"/>
    <cellStyle name="Normal_RD_Su Dairesi_2_2007" xfId="6"/>
    <cellStyle name="Normal_RD_Teknik Alanlar" xfId="15"/>
    <cellStyle name="Normal_RD_Teknik Odalar_3_2007" xfId="17"/>
    <cellStyle name="Normal_RD_Yemekhane" xfId="12"/>
    <cellStyle name="Normal_Risk Değerlendirmesi Rehberi (Makine ve Alan)_2008xls" xfId="2"/>
    <cellStyle name="Yüzd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lockText="1" noThreeD="1"/>
</file>

<file path=xl/ctrlProps/ctrlProp25.xml><?xml version="1.0" encoding="utf-8"?>
<formControlPr xmlns="http://schemas.microsoft.com/office/spreadsheetml/2009/9/main" objectType="CheckBox" lockText="1" noThreeD="1"/>
</file>

<file path=xl/ctrlProps/ctrlProp26.xml><?xml version="1.0" encoding="utf-8"?>
<formControlPr xmlns="http://schemas.microsoft.com/office/spreadsheetml/2009/9/main" objectType="CheckBox" lockText="1" noThreeD="1"/>
</file>

<file path=xl/ctrlProps/ctrlProp27.xml><?xml version="1.0" encoding="utf-8"?>
<formControlPr xmlns="http://schemas.microsoft.com/office/spreadsheetml/2009/9/main" objectType="CheckBox" lockText="1" noThreeD="1"/>
</file>

<file path=xl/ctrlProps/ctrlProp28.xml><?xml version="1.0" encoding="utf-8"?>
<formControlPr xmlns="http://schemas.microsoft.com/office/spreadsheetml/2009/9/main" objectType="CheckBox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lockText="1" noThreeD="1"/>
</file>

<file path=xl/ctrlProps/ctrlProp31.xml><?xml version="1.0" encoding="utf-8"?>
<formControlPr xmlns="http://schemas.microsoft.com/office/spreadsheetml/2009/9/main" objectType="CheckBox" lockText="1" noThreeD="1"/>
</file>

<file path=xl/ctrlProps/ctrlProp32.xml><?xml version="1.0" encoding="utf-8"?>
<formControlPr xmlns="http://schemas.microsoft.com/office/spreadsheetml/2009/9/main" objectType="CheckBox" lockText="1" noThreeD="1"/>
</file>

<file path=xl/ctrlProps/ctrlProp33.xml><?xml version="1.0" encoding="utf-8"?>
<formControlPr xmlns="http://schemas.microsoft.com/office/spreadsheetml/2009/9/main" objectType="CheckBox" lockText="1" noThreeD="1"/>
</file>

<file path=xl/ctrlProps/ctrlProp34.xml><?xml version="1.0" encoding="utf-8"?>
<formControlPr xmlns="http://schemas.microsoft.com/office/spreadsheetml/2009/9/main" objectType="CheckBox" lockText="1" noThreeD="1"/>
</file>

<file path=xl/ctrlProps/ctrlProp35.xml><?xml version="1.0" encoding="utf-8"?>
<formControlPr xmlns="http://schemas.microsoft.com/office/spreadsheetml/2009/9/main" objectType="CheckBox" lockText="1" noThreeD="1"/>
</file>

<file path=xl/ctrlProps/ctrlProp36.xml><?xml version="1.0" encoding="utf-8"?>
<formControlPr xmlns="http://schemas.microsoft.com/office/spreadsheetml/2009/9/main" objectType="CheckBox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lockText="1" noThreeD="1"/>
</file>

<file path=xl/ctrlProps/ctrlProp42.xml><?xml version="1.0" encoding="utf-8"?>
<formControlPr xmlns="http://schemas.microsoft.com/office/spreadsheetml/2009/9/main" objectType="CheckBox" lockText="1" noThreeD="1"/>
</file>

<file path=xl/ctrlProps/ctrlProp43.xml><?xml version="1.0" encoding="utf-8"?>
<formControlPr xmlns="http://schemas.microsoft.com/office/spreadsheetml/2009/9/main" objectType="CheckBox" lockText="1" noThreeD="1"/>
</file>

<file path=xl/ctrlProps/ctrlProp44.xml><?xml version="1.0" encoding="utf-8"?>
<formControlPr xmlns="http://schemas.microsoft.com/office/spreadsheetml/2009/9/main" objectType="CheckBox" lockText="1" noThreeD="1"/>
</file>

<file path=xl/ctrlProps/ctrlProp45.xml><?xml version="1.0" encoding="utf-8"?>
<formControlPr xmlns="http://schemas.microsoft.com/office/spreadsheetml/2009/9/main" objectType="CheckBox" lockText="1" noThreeD="1"/>
</file>

<file path=xl/ctrlProps/ctrlProp46.xml><?xml version="1.0" encoding="utf-8"?>
<formControlPr xmlns="http://schemas.microsoft.com/office/spreadsheetml/2009/9/main" objectType="CheckBox" lockText="1" noThreeD="1"/>
</file>

<file path=xl/ctrlProps/ctrlProp47.xml><?xml version="1.0" encoding="utf-8"?>
<formControlPr xmlns="http://schemas.microsoft.com/office/spreadsheetml/2009/9/main" objectType="CheckBox" lockText="1" noThreeD="1"/>
</file>

<file path=xl/ctrlProps/ctrlProp48.xml><?xml version="1.0" encoding="utf-8"?>
<formControlPr xmlns="http://schemas.microsoft.com/office/spreadsheetml/2009/9/main" objectType="CheckBox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lockText="1" noThreeD="1"/>
</file>

<file path=xl/ctrlProps/ctrlProp51.xml><?xml version="1.0" encoding="utf-8"?>
<formControlPr xmlns="http://schemas.microsoft.com/office/spreadsheetml/2009/9/main" objectType="CheckBox" lockText="1" noThreeD="1"/>
</file>

<file path=xl/ctrlProps/ctrlProp52.xml><?xml version="1.0" encoding="utf-8"?>
<formControlPr xmlns="http://schemas.microsoft.com/office/spreadsheetml/2009/9/main" objectType="CheckBox" lockText="1" noThreeD="1"/>
</file>

<file path=xl/ctrlProps/ctrlProp53.xml><?xml version="1.0" encoding="utf-8"?>
<formControlPr xmlns="http://schemas.microsoft.com/office/spreadsheetml/2009/9/main" objectType="CheckBox" lockText="1" noThreeD="1"/>
</file>

<file path=xl/ctrlProps/ctrlProp54.xml><?xml version="1.0" encoding="utf-8"?>
<formControlPr xmlns="http://schemas.microsoft.com/office/spreadsheetml/2009/9/main" objectType="CheckBox" lockText="1" noThreeD="1"/>
</file>

<file path=xl/ctrlProps/ctrlProp55.xml><?xml version="1.0" encoding="utf-8"?>
<formControlPr xmlns="http://schemas.microsoft.com/office/spreadsheetml/2009/9/main" objectType="CheckBox" lockText="1" noThreeD="1"/>
</file>

<file path=xl/ctrlProps/ctrlProp56.xml><?xml version="1.0" encoding="utf-8"?>
<formControlPr xmlns="http://schemas.microsoft.com/office/spreadsheetml/2009/9/main" objectType="CheckBox" lockText="1" noThreeD="1"/>
</file>

<file path=xl/ctrlProps/ctrlProp57.xml><?xml version="1.0" encoding="utf-8"?>
<formControlPr xmlns="http://schemas.microsoft.com/office/spreadsheetml/2009/9/main" objectType="CheckBox" lockText="1" noThreeD="1"/>
</file>

<file path=xl/ctrlProps/ctrlProp58.xml><?xml version="1.0" encoding="utf-8"?>
<formControlPr xmlns="http://schemas.microsoft.com/office/spreadsheetml/2009/9/main" objectType="CheckBox" lockText="1" noThreeD="1"/>
</file>

<file path=xl/ctrlProps/ctrlProp59.xml><?xml version="1.0" encoding="utf-8"?>
<formControlPr xmlns="http://schemas.microsoft.com/office/spreadsheetml/2009/9/main" objectType="CheckBox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lockText="1" noThreeD="1"/>
</file>

<file path=xl/ctrlProps/ctrlProp66.xml><?xml version="1.0" encoding="utf-8"?>
<formControlPr xmlns="http://schemas.microsoft.com/office/spreadsheetml/2009/9/main" objectType="CheckBox" lockText="1" noThreeD="1"/>
</file>

<file path=xl/ctrlProps/ctrlProp67.xml><?xml version="1.0" encoding="utf-8"?>
<formControlPr xmlns="http://schemas.microsoft.com/office/spreadsheetml/2009/9/main" objectType="CheckBox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lockText="1" noThreeD="1"/>
</file>

<file path=xl/ctrlProps/ctrlProp72.xml><?xml version="1.0" encoding="utf-8"?>
<formControlPr xmlns="http://schemas.microsoft.com/office/spreadsheetml/2009/9/main" objectType="CheckBox" lockText="1" noThreeD="1"/>
</file>

<file path=xl/ctrlProps/ctrlProp73.xml><?xml version="1.0" encoding="utf-8"?>
<formControlPr xmlns="http://schemas.microsoft.com/office/spreadsheetml/2009/9/main" objectType="CheckBox" lockText="1" noThreeD="1"/>
</file>

<file path=xl/ctrlProps/ctrlProp74.xml><?xml version="1.0" encoding="utf-8"?>
<formControlPr xmlns="http://schemas.microsoft.com/office/spreadsheetml/2009/9/main" objectType="CheckBox" lockText="1" noThreeD="1"/>
</file>

<file path=xl/ctrlProps/ctrlProp75.xml><?xml version="1.0" encoding="utf-8"?>
<formControlPr xmlns="http://schemas.microsoft.com/office/spreadsheetml/2009/9/main" objectType="CheckBox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lockText="1" noThreeD="1"/>
</file>

<file path=xl/ctrlProps/ctrlProp78.xml><?xml version="1.0" encoding="utf-8"?>
<formControlPr xmlns="http://schemas.microsoft.com/office/spreadsheetml/2009/9/main" objectType="CheckBox" lockText="1" noThreeD="1"/>
</file>

<file path=xl/ctrlProps/ctrlProp79.xml><?xml version="1.0" encoding="utf-8"?>
<formControlPr xmlns="http://schemas.microsoft.com/office/spreadsheetml/2009/9/main" objectType="CheckBox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lockText="1" noThreeD="1"/>
</file>

<file path=xl/ctrlProps/ctrlProp83.xml><?xml version="1.0" encoding="utf-8"?>
<formControlPr xmlns="http://schemas.microsoft.com/office/spreadsheetml/2009/9/main" objectType="CheckBox" lockText="1" noThreeD="1"/>
</file>

<file path=xl/ctrlProps/ctrlProp84.xml><?xml version="1.0" encoding="utf-8"?>
<formControlPr xmlns="http://schemas.microsoft.com/office/spreadsheetml/2009/9/main" objectType="CheckBox" lockText="1" noThreeD="1"/>
</file>

<file path=xl/ctrlProps/ctrlProp85.xml><?xml version="1.0" encoding="utf-8"?>
<formControlPr xmlns="http://schemas.microsoft.com/office/spreadsheetml/2009/9/main" objectType="CheckBox" lockText="1" noThreeD="1"/>
</file>

<file path=xl/ctrlProps/ctrlProp86.xml><?xml version="1.0" encoding="utf-8"?>
<formControlPr xmlns="http://schemas.microsoft.com/office/spreadsheetml/2009/9/main" objectType="CheckBox" lockText="1" noThreeD="1"/>
</file>

<file path=xl/ctrlProps/ctrlProp87.xml><?xml version="1.0" encoding="utf-8"?>
<formControlPr xmlns="http://schemas.microsoft.com/office/spreadsheetml/2009/9/main" objectType="CheckBox" lockText="1" noThreeD="1"/>
</file>

<file path=xl/ctrlProps/ctrlProp88.xml><?xml version="1.0" encoding="utf-8"?>
<formControlPr xmlns="http://schemas.microsoft.com/office/spreadsheetml/2009/9/main" objectType="CheckBox" lockText="1" noThreeD="1"/>
</file>

<file path=xl/ctrlProps/ctrlProp89.xml><?xml version="1.0" encoding="utf-8"?>
<formControlPr xmlns="http://schemas.microsoft.com/office/spreadsheetml/2009/9/main" objectType="CheckBox" lockText="1" noThreeD="1"/>
</file>

<file path=xl/ctrlProps/ctrlProp90.xml><?xml version="1.0" encoding="utf-8"?>
<formControlPr xmlns="http://schemas.microsoft.com/office/spreadsheetml/2009/9/main" objectType="CheckBox" lockText="1" noThreeD="1"/>
</file>

<file path=xl/ctrlProps/ctrlProp91.xml><?xml version="1.0" encoding="utf-8"?>
<formControlPr xmlns="http://schemas.microsoft.com/office/spreadsheetml/2009/9/main" objectType="CheckBox" lockText="1" noThreeD="1"/>
</file>

<file path=xl/ctrlProps/ctrlProp92.xml><?xml version="1.0" encoding="utf-8"?>
<formControlPr xmlns="http://schemas.microsoft.com/office/spreadsheetml/2009/9/main" objectType="CheckBox" lockText="1" noThreeD="1"/>
</file>

<file path=xl/ctrlProps/ctrlProp93.xml><?xml version="1.0" encoding="utf-8"?>
<formControlPr xmlns="http://schemas.microsoft.com/office/spreadsheetml/2009/9/main" objectType="CheckBox" lockText="1" noThreeD="1"/>
</file>

<file path=xl/ctrlProps/ctrlProp94.xml><?xml version="1.0" encoding="utf-8"?>
<formControlPr xmlns="http://schemas.microsoft.com/office/spreadsheetml/2009/9/main" objectType="CheckBox" lockText="1" noThreeD="1"/>
</file>

<file path=xl/ctrlProps/ctrlProp95.xml><?xml version="1.0" encoding="utf-8"?>
<formControlPr xmlns="http://schemas.microsoft.com/office/spreadsheetml/2009/9/main" objectType="CheckBox" lockText="1" noThreeD="1"/>
</file>

<file path=xl/ctrlProps/ctrlProp96.xml><?xml version="1.0" encoding="utf-8"?>
<formControlPr xmlns="http://schemas.microsoft.com/office/spreadsheetml/2009/9/main" objectType="CheckBox" lockText="1" noThreeD="1"/>
</file>

<file path=xl/ctrlProps/ctrlProp97.xml><?xml version="1.0" encoding="utf-8"?>
<formControlPr xmlns="http://schemas.microsoft.com/office/spreadsheetml/2009/9/main" objectType="CheckBox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ctrlProps/ctrlProp112.xml><?xml version="1.0" encoding="utf-8"?>
<formControlPr xmlns="http://schemas.microsoft.com/office/spreadsheetml/2009/9/main" objectType="CheckBox" lockText="1" noThreeD="1"/>
</file>

<file path=xl/ctrlProps/ctrlProp113.xml><?xml version="1.0" encoding="utf-8"?>
<formControlPr xmlns="http://schemas.microsoft.com/office/spreadsheetml/2009/9/main" objectType="CheckBox" lockText="1" noThreeD="1"/>
</file>

<file path=xl/ctrlProps/ctrlProp114.xml><?xml version="1.0" encoding="utf-8"?>
<formControlPr xmlns="http://schemas.microsoft.com/office/spreadsheetml/2009/9/main" objectType="CheckBox" lockText="1" noThreeD="1"/>
</file>

<file path=xl/ctrlProps/ctrlProp115.xml><?xml version="1.0" encoding="utf-8"?>
<formControlPr xmlns="http://schemas.microsoft.com/office/spreadsheetml/2009/9/main" objectType="CheckBox" lockText="1" noThreeD="1"/>
</file>

<file path=xl/ctrlProps/ctrlProp116.xml><?xml version="1.0" encoding="utf-8"?>
<formControlPr xmlns="http://schemas.microsoft.com/office/spreadsheetml/2009/9/main" objectType="CheckBox" lockText="1" noThreeD="1"/>
</file>

<file path=xl/ctrlProps/ctrlProp117.xml><?xml version="1.0" encoding="utf-8"?>
<formControlPr xmlns="http://schemas.microsoft.com/office/spreadsheetml/2009/9/main" objectType="CheckBox" lockText="1" noThreeD="1"/>
</file>

<file path=xl/ctrlProps/ctrlProp118.xml><?xml version="1.0" encoding="utf-8"?>
<formControlPr xmlns="http://schemas.microsoft.com/office/spreadsheetml/2009/9/main" objectType="CheckBox" lockText="1" noThreeD="1"/>
</file>

<file path=xl/ctrlProps/ctrlProp119.xml><?xml version="1.0" encoding="utf-8"?>
<formControlPr xmlns="http://schemas.microsoft.com/office/spreadsheetml/2009/9/main" objectType="CheckBox" lockText="1" noThreeD="1"/>
</file>

<file path=xl/ctrlProps/ctrlProp120.xml><?xml version="1.0" encoding="utf-8"?>
<formControlPr xmlns="http://schemas.microsoft.com/office/spreadsheetml/2009/9/main" objectType="CheckBox" lockText="1" noThreeD="1"/>
</file>

<file path=xl/ctrlProps/ctrlProp121.xml><?xml version="1.0" encoding="utf-8"?>
<formControlPr xmlns="http://schemas.microsoft.com/office/spreadsheetml/2009/9/main" objectType="CheckBox" lockText="1" noThreeD="1"/>
</file>

<file path=xl/ctrlProps/ctrlProp122.xml><?xml version="1.0" encoding="utf-8"?>
<formControlPr xmlns="http://schemas.microsoft.com/office/spreadsheetml/2009/9/main" objectType="CheckBox" lockText="1" noThreeD="1"/>
</file>

<file path=xl/ctrlProps/ctrlProp123.xml><?xml version="1.0" encoding="utf-8"?>
<formControlPr xmlns="http://schemas.microsoft.com/office/spreadsheetml/2009/9/main" objectType="CheckBox" lockText="1" noThreeD="1"/>
</file>

<file path=xl/ctrlProps/ctrlProp124.xml><?xml version="1.0" encoding="utf-8"?>
<formControlPr xmlns="http://schemas.microsoft.com/office/spreadsheetml/2009/9/main" objectType="CheckBox" lockText="1" noThreeD="1"/>
</file>

<file path=xl/ctrlProps/ctrlProp125.xml><?xml version="1.0" encoding="utf-8"?>
<formControlPr xmlns="http://schemas.microsoft.com/office/spreadsheetml/2009/9/main" objectType="CheckBox" lockText="1" noThreeD="1"/>
</file>

<file path=xl/ctrlProps/ctrlProp126.xml><?xml version="1.0" encoding="utf-8"?>
<formControlPr xmlns="http://schemas.microsoft.com/office/spreadsheetml/2009/9/main" objectType="CheckBox" lockText="1" noThreeD="1"/>
</file>

<file path=xl/ctrlProps/ctrlProp127.xml><?xml version="1.0" encoding="utf-8"?>
<formControlPr xmlns="http://schemas.microsoft.com/office/spreadsheetml/2009/9/main" objectType="CheckBox" lockText="1" noThreeD="1"/>
</file>

<file path=xl/ctrlProps/ctrlProp128.xml><?xml version="1.0" encoding="utf-8"?>
<formControlPr xmlns="http://schemas.microsoft.com/office/spreadsheetml/2009/9/main" objectType="CheckBox" lockText="1" noThreeD="1"/>
</file>

<file path=xl/ctrlProps/ctrlProp129.xml><?xml version="1.0" encoding="utf-8"?>
<formControlPr xmlns="http://schemas.microsoft.com/office/spreadsheetml/2009/9/main" objectType="CheckBox" lockText="1" noThreeD="1"/>
</file>

<file path=xl/ctrlProps/ctrlProp130.xml><?xml version="1.0" encoding="utf-8"?>
<formControlPr xmlns="http://schemas.microsoft.com/office/spreadsheetml/2009/9/main" objectType="CheckBox" lockText="1" noThreeD="1"/>
</file>

<file path=xl/ctrlProps/ctrlProp131.xml><?xml version="1.0" encoding="utf-8"?>
<formControlPr xmlns="http://schemas.microsoft.com/office/spreadsheetml/2009/9/main" objectType="CheckBox" lockText="1" noThreeD="1"/>
</file>

<file path=xl/ctrlProps/ctrlProp132.xml><?xml version="1.0" encoding="utf-8"?>
<formControlPr xmlns="http://schemas.microsoft.com/office/spreadsheetml/2009/9/main" objectType="CheckBox" lockText="1" noThreeD="1"/>
</file>

<file path=xl/ctrlProps/ctrlProp133.xml><?xml version="1.0" encoding="utf-8"?>
<formControlPr xmlns="http://schemas.microsoft.com/office/spreadsheetml/2009/9/main" objectType="CheckBox" lockText="1" noThreeD="1"/>
</file>

<file path=xl/ctrlProps/ctrlProp134.xml><?xml version="1.0" encoding="utf-8"?>
<formControlPr xmlns="http://schemas.microsoft.com/office/spreadsheetml/2009/9/main" objectType="CheckBox" lockText="1" noThreeD="1"/>
</file>

<file path=xl/ctrlProps/ctrlProp135.xml><?xml version="1.0" encoding="utf-8"?>
<formControlPr xmlns="http://schemas.microsoft.com/office/spreadsheetml/2009/9/main" objectType="CheckBox" lockText="1" noThreeD="1"/>
</file>

<file path=xl/ctrlProps/ctrlProp136.xml><?xml version="1.0" encoding="utf-8"?>
<formControlPr xmlns="http://schemas.microsoft.com/office/spreadsheetml/2009/9/main" objectType="CheckBox" lockText="1" noThreeD="1"/>
</file>

<file path=xl/ctrlProps/ctrlProp137.xml><?xml version="1.0" encoding="utf-8"?>
<formControlPr xmlns="http://schemas.microsoft.com/office/spreadsheetml/2009/9/main" objectType="CheckBox" lockText="1" noThreeD="1"/>
</file>

<file path=xl/ctrlProps/ctrlProp138.xml><?xml version="1.0" encoding="utf-8"?>
<formControlPr xmlns="http://schemas.microsoft.com/office/spreadsheetml/2009/9/main" objectType="CheckBox" lockText="1" noThreeD="1"/>
</file>

<file path=xl/ctrlProps/ctrlProp139.xml><?xml version="1.0" encoding="utf-8"?>
<formControlPr xmlns="http://schemas.microsoft.com/office/spreadsheetml/2009/9/main" objectType="CheckBox" lockText="1" noThreeD="1"/>
</file>

<file path=xl/ctrlProps/ctrlProp140.xml><?xml version="1.0" encoding="utf-8"?>
<formControlPr xmlns="http://schemas.microsoft.com/office/spreadsheetml/2009/9/main" objectType="CheckBox" lockText="1" noThreeD="1"/>
</file>

<file path=xl/ctrlProps/ctrlProp141.xml><?xml version="1.0" encoding="utf-8"?>
<formControlPr xmlns="http://schemas.microsoft.com/office/spreadsheetml/2009/9/main" objectType="CheckBox" lockText="1" noThreeD="1"/>
</file>

<file path=xl/ctrlProps/ctrlProp142.xml><?xml version="1.0" encoding="utf-8"?>
<formControlPr xmlns="http://schemas.microsoft.com/office/spreadsheetml/2009/9/main" objectType="CheckBox" lockText="1" noThreeD="1"/>
</file>

<file path=xl/ctrlProps/ctrlProp143.xml><?xml version="1.0" encoding="utf-8"?>
<formControlPr xmlns="http://schemas.microsoft.com/office/spreadsheetml/2009/9/main" objectType="CheckBox" lockText="1" noThreeD="1"/>
</file>

<file path=xl/ctrlProps/ctrlProp144.xml><?xml version="1.0" encoding="utf-8"?>
<formControlPr xmlns="http://schemas.microsoft.com/office/spreadsheetml/2009/9/main" objectType="CheckBox" lockText="1" noThreeD="1"/>
</file>

<file path=xl/ctrlProps/ctrlProp145.xml><?xml version="1.0" encoding="utf-8"?>
<formControlPr xmlns="http://schemas.microsoft.com/office/spreadsheetml/2009/9/main" objectType="CheckBox" lockText="1" noThreeD="1"/>
</file>

<file path=xl/ctrlProps/ctrlProp146.xml><?xml version="1.0" encoding="utf-8"?>
<formControlPr xmlns="http://schemas.microsoft.com/office/spreadsheetml/2009/9/main" objectType="CheckBox" lockText="1" noThreeD="1"/>
</file>

<file path=xl/ctrlProps/ctrlProp147.xml><?xml version="1.0" encoding="utf-8"?>
<formControlPr xmlns="http://schemas.microsoft.com/office/spreadsheetml/2009/9/main" objectType="CheckBox" lockText="1" noThreeD="1"/>
</file>

<file path=xl/ctrlProps/ctrlProp148.xml><?xml version="1.0" encoding="utf-8"?>
<formControlPr xmlns="http://schemas.microsoft.com/office/spreadsheetml/2009/9/main" objectType="CheckBox" lockText="1" noThreeD="1"/>
</file>

<file path=xl/ctrlProps/ctrlProp149.xml><?xml version="1.0" encoding="utf-8"?>
<formControlPr xmlns="http://schemas.microsoft.com/office/spreadsheetml/2009/9/main" objectType="CheckBox" lockText="1" noThreeD="1"/>
</file>

<file path=xl/ctrlProps/ctrlProp150.xml><?xml version="1.0" encoding="utf-8"?>
<formControlPr xmlns="http://schemas.microsoft.com/office/spreadsheetml/2009/9/main" objectType="CheckBox" lockText="1" noThreeD="1"/>
</file>

<file path=xl/ctrlProps/ctrlProp151.xml><?xml version="1.0" encoding="utf-8"?>
<formControlPr xmlns="http://schemas.microsoft.com/office/spreadsheetml/2009/9/main" objectType="CheckBox" lockText="1" noThreeD="1"/>
</file>

<file path=xl/ctrlProps/ctrlProp152.xml><?xml version="1.0" encoding="utf-8"?>
<formControlPr xmlns="http://schemas.microsoft.com/office/spreadsheetml/2009/9/main" objectType="CheckBox" lockText="1" noThreeD="1"/>
</file>

<file path=xl/ctrlProps/ctrlProp153.xml><?xml version="1.0" encoding="utf-8"?>
<formControlPr xmlns="http://schemas.microsoft.com/office/spreadsheetml/2009/9/main" objectType="CheckBox" lockText="1" noThreeD="1"/>
</file>

<file path=xl/ctrlProps/ctrlProp154.xml><?xml version="1.0" encoding="utf-8"?>
<formControlPr xmlns="http://schemas.microsoft.com/office/spreadsheetml/2009/9/main" objectType="CheckBox" lockText="1" noThreeD="1"/>
</file>

<file path=xl/ctrlProps/ctrlProp155.xml><?xml version="1.0" encoding="utf-8"?>
<formControlPr xmlns="http://schemas.microsoft.com/office/spreadsheetml/2009/9/main" objectType="CheckBox" lockText="1" noThreeD="1"/>
</file>

<file path=xl/ctrlProps/ctrlProp156.xml><?xml version="1.0" encoding="utf-8"?>
<formControlPr xmlns="http://schemas.microsoft.com/office/spreadsheetml/2009/9/main" objectType="CheckBox" lockText="1" noThreeD="1"/>
</file>

<file path=xl/ctrlProps/ctrlProp157.xml><?xml version="1.0" encoding="utf-8"?>
<formControlPr xmlns="http://schemas.microsoft.com/office/spreadsheetml/2009/9/main" objectType="CheckBox" lockText="1" noThreeD="1"/>
</file>

<file path=xl/ctrlProps/ctrlProp158.xml><?xml version="1.0" encoding="utf-8"?>
<formControlPr xmlns="http://schemas.microsoft.com/office/spreadsheetml/2009/9/main" objectType="CheckBox" lockText="1" noThreeD="1"/>
</file>

<file path=xl/ctrlProps/ctrlProp159.xml><?xml version="1.0" encoding="utf-8"?>
<formControlPr xmlns="http://schemas.microsoft.com/office/spreadsheetml/2009/9/main" objectType="CheckBox" lockText="1" noThreeD="1"/>
</file>

<file path=xl/ctrlProps/ctrlProp160.xml><?xml version="1.0" encoding="utf-8"?>
<formControlPr xmlns="http://schemas.microsoft.com/office/spreadsheetml/2009/9/main" objectType="CheckBox" lockText="1" noThreeD="1"/>
</file>

<file path=xl/ctrlProps/ctrlProp161.xml><?xml version="1.0" encoding="utf-8"?>
<formControlPr xmlns="http://schemas.microsoft.com/office/spreadsheetml/2009/9/main" objectType="CheckBox" lockText="1" noThreeD="1"/>
</file>

<file path=xl/ctrlProps/ctrlProp162.xml><?xml version="1.0" encoding="utf-8"?>
<formControlPr xmlns="http://schemas.microsoft.com/office/spreadsheetml/2009/9/main" objectType="CheckBox" lockText="1" noThreeD="1"/>
</file>

<file path=xl/ctrlProps/ctrlProp163.xml><?xml version="1.0" encoding="utf-8"?>
<formControlPr xmlns="http://schemas.microsoft.com/office/spreadsheetml/2009/9/main" objectType="CheckBox" lockText="1" noThreeD="1"/>
</file>

<file path=xl/ctrlProps/ctrlProp164.xml><?xml version="1.0" encoding="utf-8"?>
<formControlPr xmlns="http://schemas.microsoft.com/office/spreadsheetml/2009/9/main" objectType="CheckBox" lockText="1" noThreeD="1"/>
</file>

<file path=xl/ctrlProps/ctrlProp165.xml><?xml version="1.0" encoding="utf-8"?>
<formControlPr xmlns="http://schemas.microsoft.com/office/spreadsheetml/2009/9/main" objectType="CheckBox" lockText="1" noThreeD="1"/>
</file>

<file path=xl/ctrlProps/ctrlProp166.xml><?xml version="1.0" encoding="utf-8"?>
<formControlPr xmlns="http://schemas.microsoft.com/office/spreadsheetml/2009/9/main" objectType="CheckBox" lockText="1" noThreeD="1"/>
</file>

<file path=xl/ctrlProps/ctrlProp167.xml><?xml version="1.0" encoding="utf-8"?>
<formControlPr xmlns="http://schemas.microsoft.com/office/spreadsheetml/2009/9/main" objectType="CheckBox" lockText="1" noThreeD="1"/>
</file>

<file path=xl/ctrlProps/ctrlProp168.xml><?xml version="1.0" encoding="utf-8"?>
<formControlPr xmlns="http://schemas.microsoft.com/office/spreadsheetml/2009/9/main" objectType="CheckBox" lockText="1" noThreeD="1"/>
</file>

<file path=xl/ctrlProps/ctrlProp169.xml><?xml version="1.0" encoding="utf-8"?>
<formControlPr xmlns="http://schemas.microsoft.com/office/spreadsheetml/2009/9/main" objectType="CheckBox" lockText="1" noThreeD="1"/>
</file>

<file path=xl/ctrlProps/ctrlProp170.xml><?xml version="1.0" encoding="utf-8"?>
<formControlPr xmlns="http://schemas.microsoft.com/office/spreadsheetml/2009/9/main" objectType="CheckBox" lockText="1" noThreeD="1"/>
</file>

<file path=xl/ctrlProps/ctrlProp171.xml><?xml version="1.0" encoding="utf-8"?>
<formControlPr xmlns="http://schemas.microsoft.com/office/spreadsheetml/2009/9/main" objectType="CheckBox" lockText="1" noThreeD="1"/>
</file>

<file path=xl/ctrlProps/ctrlProp172.xml><?xml version="1.0" encoding="utf-8"?>
<formControlPr xmlns="http://schemas.microsoft.com/office/spreadsheetml/2009/9/main" objectType="CheckBox" lockText="1" noThreeD="1"/>
</file>

<file path=xl/ctrlProps/ctrlProp173.xml><?xml version="1.0" encoding="utf-8"?>
<formControlPr xmlns="http://schemas.microsoft.com/office/spreadsheetml/2009/9/main" objectType="CheckBox" lockText="1" noThreeD="1"/>
</file>

<file path=xl/ctrlProps/ctrlProp174.xml><?xml version="1.0" encoding="utf-8"?>
<formControlPr xmlns="http://schemas.microsoft.com/office/spreadsheetml/2009/9/main" objectType="CheckBox" lockText="1" noThreeD="1"/>
</file>

<file path=xl/ctrlProps/ctrlProp175.xml><?xml version="1.0" encoding="utf-8"?>
<formControlPr xmlns="http://schemas.microsoft.com/office/spreadsheetml/2009/9/main" objectType="CheckBox" lockText="1" noThreeD="1"/>
</file>

<file path=xl/ctrlProps/ctrlProp176.xml><?xml version="1.0" encoding="utf-8"?>
<formControlPr xmlns="http://schemas.microsoft.com/office/spreadsheetml/2009/9/main" objectType="CheckBox" lockText="1" noThreeD="1"/>
</file>

<file path=xl/ctrlProps/ctrlProp177.xml><?xml version="1.0" encoding="utf-8"?>
<formControlPr xmlns="http://schemas.microsoft.com/office/spreadsheetml/2009/9/main" objectType="CheckBox" lockText="1" noThreeD="1"/>
</file>

<file path=xl/ctrlProps/ctrlProp178.xml><?xml version="1.0" encoding="utf-8"?>
<formControlPr xmlns="http://schemas.microsoft.com/office/spreadsheetml/2009/9/main" objectType="CheckBox" lockText="1" noThreeD="1"/>
</file>

<file path=xl/ctrlProps/ctrlProp179.xml><?xml version="1.0" encoding="utf-8"?>
<formControlPr xmlns="http://schemas.microsoft.com/office/spreadsheetml/2009/9/main" objectType="CheckBox" lockText="1" noThreeD="1"/>
</file>

<file path=xl/ctrlProps/ctrlProp180.xml><?xml version="1.0" encoding="utf-8"?>
<formControlPr xmlns="http://schemas.microsoft.com/office/spreadsheetml/2009/9/main" objectType="CheckBox" lockText="1" noThreeD="1"/>
</file>

<file path=xl/ctrlProps/ctrlProp181.xml><?xml version="1.0" encoding="utf-8"?>
<formControlPr xmlns="http://schemas.microsoft.com/office/spreadsheetml/2009/9/main" objectType="CheckBox" lockText="1" noThreeD="1"/>
</file>

<file path=xl/ctrlProps/ctrlProp182.xml><?xml version="1.0" encoding="utf-8"?>
<formControlPr xmlns="http://schemas.microsoft.com/office/spreadsheetml/2009/9/main" objectType="CheckBox" lockText="1" noThreeD="1"/>
</file>

<file path=xl/ctrlProps/ctrlProp183.xml><?xml version="1.0" encoding="utf-8"?>
<formControlPr xmlns="http://schemas.microsoft.com/office/spreadsheetml/2009/9/main" objectType="CheckBox" lockText="1" noThreeD="1"/>
</file>

<file path=xl/ctrlProps/ctrlProp184.xml><?xml version="1.0" encoding="utf-8"?>
<formControlPr xmlns="http://schemas.microsoft.com/office/spreadsheetml/2009/9/main" objectType="CheckBox" lockText="1" noThreeD="1"/>
</file>

<file path=xl/ctrlProps/ctrlProp185.xml><?xml version="1.0" encoding="utf-8"?>
<formControlPr xmlns="http://schemas.microsoft.com/office/spreadsheetml/2009/9/main" objectType="CheckBox" lockText="1" noThreeD="1"/>
</file>

<file path=xl/ctrlProps/ctrlProp186.xml><?xml version="1.0" encoding="utf-8"?>
<formControlPr xmlns="http://schemas.microsoft.com/office/spreadsheetml/2009/9/main" objectType="CheckBox" lockText="1" noThreeD="1"/>
</file>

<file path=xl/ctrlProps/ctrlProp187.xml><?xml version="1.0" encoding="utf-8"?>
<formControlPr xmlns="http://schemas.microsoft.com/office/spreadsheetml/2009/9/main" objectType="CheckBox" lockText="1" noThreeD="1"/>
</file>

<file path=xl/ctrlProps/ctrlProp188.xml><?xml version="1.0" encoding="utf-8"?>
<formControlPr xmlns="http://schemas.microsoft.com/office/spreadsheetml/2009/9/main" objectType="CheckBox" lockText="1" noThreeD="1"/>
</file>

<file path=xl/ctrlProps/ctrlProp189.xml><?xml version="1.0" encoding="utf-8"?>
<formControlPr xmlns="http://schemas.microsoft.com/office/spreadsheetml/2009/9/main" objectType="CheckBox" lockText="1" noThreeD="1"/>
</file>

<file path=xl/ctrlProps/ctrlProp190.xml><?xml version="1.0" encoding="utf-8"?>
<formControlPr xmlns="http://schemas.microsoft.com/office/spreadsheetml/2009/9/main" objectType="CheckBox" lockText="1" noThreeD="1"/>
</file>

<file path=xl/ctrlProps/ctrlProp191.xml><?xml version="1.0" encoding="utf-8"?>
<formControlPr xmlns="http://schemas.microsoft.com/office/spreadsheetml/2009/9/main" objectType="CheckBox" lockText="1" noThreeD="1"/>
</file>

<file path=xl/ctrlProps/ctrlProp192.xml><?xml version="1.0" encoding="utf-8"?>
<formControlPr xmlns="http://schemas.microsoft.com/office/spreadsheetml/2009/9/main" objectType="CheckBox" lockText="1" noThreeD="1"/>
</file>

<file path=xl/ctrlProps/ctrlProp193.xml><?xml version="1.0" encoding="utf-8"?>
<formControlPr xmlns="http://schemas.microsoft.com/office/spreadsheetml/2009/9/main" objectType="CheckBox" lockText="1" noThreeD="1"/>
</file>

<file path=xl/ctrlProps/ctrlProp194.xml><?xml version="1.0" encoding="utf-8"?>
<formControlPr xmlns="http://schemas.microsoft.com/office/spreadsheetml/2009/9/main" objectType="CheckBox" lockText="1" noThreeD="1"/>
</file>

<file path=xl/ctrlProps/ctrlProp195.xml><?xml version="1.0" encoding="utf-8"?>
<formControlPr xmlns="http://schemas.microsoft.com/office/spreadsheetml/2009/9/main" objectType="CheckBox" lockText="1" noThreeD="1"/>
</file>

<file path=xl/ctrlProps/ctrlProp196.xml><?xml version="1.0" encoding="utf-8"?>
<formControlPr xmlns="http://schemas.microsoft.com/office/spreadsheetml/2009/9/main" objectType="CheckBox" lockText="1" noThreeD="1"/>
</file>

<file path=xl/ctrlProps/ctrlProp197.xml><?xml version="1.0" encoding="utf-8"?>
<formControlPr xmlns="http://schemas.microsoft.com/office/spreadsheetml/2009/9/main" objectType="CheckBox" lockText="1" noThreeD="1"/>
</file>

<file path=xl/ctrlProps/ctrlProp198.xml><?xml version="1.0" encoding="utf-8"?>
<formControlPr xmlns="http://schemas.microsoft.com/office/spreadsheetml/2009/9/main" objectType="CheckBox" lockText="1" noThreeD="1"/>
</file>

<file path=xl/ctrlProps/ctrlProp199.xml><?xml version="1.0" encoding="utf-8"?>
<formControlPr xmlns="http://schemas.microsoft.com/office/spreadsheetml/2009/9/main" objectType="CheckBox" lockText="1" noThreeD="1"/>
</file>

<file path=xl/ctrlProps/ctrlProp200.xml><?xml version="1.0" encoding="utf-8"?>
<formControlPr xmlns="http://schemas.microsoft.com/office/spreadsheetml/2009/9/main" objectType="CheckBox" lockText="1" noThreeD="1"/>
</file>

<file path=xl/ctrlProps/ctrlProp201.xml><?xml version="1.0" encoding="utf-8"?>
<formControlPr xmlns="http://schemas.microsoft.com/office/spreadsheetml/2009/9/main" objectType="CheckBox" lockText="1" noThreeD="1"/>
</file>

<file path=xl/ctrlProps/ctrlProp202.xml><?xml version="1.0" encoding="utf-8"?>
<formControlPr xmlns="http://schemas.microsoft.com/office/spreadsheetml/2009/9/main" objectType="CheckBox" lockText="1" noThreeD="1"/>
</file>

<file path=xl/ctrlProps/ctrlProp203.xml><?xml version="1.0" encoding="utf-8"?>
<formControlPr xmlns="http://schemas.microsoft.com/office/spreadsheetml/2009/9/main" objectType="CheckBox" lockText="1" noThreeD="1"/>
</file>

<file path=xl/ctrlProps/ctrlProp204.xml><?xml version="1.0" encoding="utf-8"?>
<formControlPr xmlns="http://schemas.microsoft.com/office/spreadsheetml/2009/9/main" objectType="CheckBox" lockText="1" noThreeD="1"/>
</file>

<file path=xl/ctrlProps/ctrlProp205.xml><?xml version="1.0" encoding="utf-8"?>
<formControlPr xmlns="http://schemas.microsoft.com/office/spreadsheetml/2009/9/main" objectType="CheckBox" lockText="1" noThreeD="1"/>
</file>

<file path=xl/ctrlProps/ctrlProp206.xml><?xml version="1.0" encoding="utf-8"?>
<formControlPr xmlns="http://schemas.microsoft.com/office/spreadsheetml/2009/9/main" objectType="CheckBox" lockText="1" noThreeD="1"/>
</file>

<file path=xl/ctrlProps/ctrlProp207.xml><?xml version="1.0" encoding="utf-8"?>
<formControlPr xmlns="http://schemas.microsoft.com/office/spreadsheetml/2009/9/main" objectType="CheckBox" lockText="1" noThreeD="1"/>
</file>

<file path=xl/ctrlProps/ctrlProp208.xml><?xml version="1.0" encoding="utf-8"?>
<formControlPr xmlns="http://schemas.microsoft.com/office/spreadsheetml/2009/9/main" objectType="CheckBox" lockText="1" noThreeD="1"/>
</file>

<file path=xl/ctrlProps/ctrlProp209.xml><?xml version="1.0" encoding="utf-8"?>
<formControlPr xmlns="http://schemas.microsoft.com/office/spreadsheetml/2009/9/main" objectType="CheckBox" lockText="1" noThreeD="1"/>
</file>

<file path=xl/ctrlProps/ctrlProp210.xml><?xml version="1.0" encoding="utf-8"?>
<formControlPr xmlns="http://schemas.microsoft.com/office/spreadsheetml/2009/9/main" objectType="CheckBox" lockText="1" noThreeD="1"/>
</file>

<file path=xl/ctrlProps/ctrlProp211.xml><?xml version="1.0" encoding="utf-8"?>
<formControlPr xmlns="http://schemas.microsoft.com/office/spreadsheetml/2009/9/main" objectType="CheckBox" lockText="1" noThreeD="1"/>
</file>

<file path=xl/ctrlProps/ctrlProp212.xml><?xml version="1.0" encoding="utf-8"?>
<formControlPr xmlns="http://schemas.microsoft.com/office/spreadsheetml/2009/9/main" objectType="CheckBox" lockText="1" noThreeD="1"/>
</file>

<file path=xl/ctrlProps/ctrlProp213.xml><?xml version="1.0" encoding="utf-8"?>
<formControlPr xmlns="http://schemas.microsoft.com/office/spreadsheetml/2009/9/main" objectType="CheckBox" lockText="1" noThreeD="1"/>
</file>

<file path=xl/ctrlProps/ctrlProp214.xml><?xml version="1.0" encoding="utf-8"?>
<formControlPr xmlns="http://schemas.microsoft.com/office/spreadsheetml/2009/9/main" objectType="CheckBox" lockText="1" noThreeD="1"/>
</file>

<file path=xl/ctrlProps/ctrlProp215.xml><?xml version="1.0" encoding="utf-8"?>
<formControlPr xmlns="http://schemas.microsoft.com/office/spreadsheetml/2009/9/main" objectType="CheckBox" lockText="1" noThreeD="1"/>
</file>

<file path=xl/ctrlProps/ctrlProp216.xml><?xml version="1.0" encoding="utf-8"?>
<formControlPr xmlns="http://schemas.microsoft.com/office/spreadsheetml/2009/9/main" objectType="CheckBox" lockText="1" noThreeD="1"/>
</file>

<file path=xl/ctrlProps/ctrlProp217.xml><?xml version="1.0" encoding="utf-8"?>
<formControlPr xmlns="http://schemas.microsoft.com/office/spreadsheetml/2009/9/main" objectType="CheckBox" lockText="1" noThreeD="1"/>
</file>

<file path=xl/ctrlProps/ctrlProp218.xml><?xml version="1.0" encoding="utf-8"?>
<formControlPr xmlns="http://schemas.microsoft.com/office/spreadsheetml/2009/9/main" objectType="CheckBox" lockText="1" noThreeD="1"/>
</file>

<file path=xl/ctrlProps/ctrlProp219.xml><?xml version="1.0" encoding="utf-8"?>
<formControlPr xmlns="http://schemas.microsoft.com/office/spreadsheetml/2009/9/main" objectType="CheckBox" lockText="1" noThreeD="1"/>
</file>

<file path=xl/ctrlProps/ctrlProp220.xml><?xml version="1.0" encoding="utf-8"?>
<formControlPr xmlns="http://schemas.microsoft.com/office/spreadsheetml/2009/9/main" objectType="CheckBox" lockText="1" noThreeD="1"/>
</file>

<file path=xl/ctrlProps/ctrlProp221.xml><?xml version="1.0" encoding="utf-8"?>
<formControlPr xmlns="http://schemas.microsoft.com/office/spreadsheetml/2009/9/main" objectType="CheckBox" lockText="1" noThreeD="1"/>
</file>

<file path=xl/ctrlProps/ctrlProp222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6" name="Check Box 108" hidden="1">
              <a:extLst>
                <a:ext uri="{63B3BB69-23CF-44E3-9099-C40C66FF867C}">
                  <a14:compatExt spid="_x0000_s21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64</xdr:row>
          <xdr:rowOff>0</xdr:rowOff>
        </xdr:from>
        <xdr:to>
          <xdr:col>2</xdr:col>
          <xdr:colOff>314325</xdr:colOff>
          <xdr:row>66</xdr:row>
          <xdr:rowOff>47625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5</xdr:col>
      <xdr:colOff>0</xdr:colOff>
      <xdr:row>7</xdr:row>
      <xdr:rowOff>0</xdr:rowOff>
    </xdr:from>
    <xdr:ext cx="76200" cy="219075"/>
    <xdr:sp macro="" textlink="">
      <xdr:nvSpPr>
        <xdr:cNvPr id="113" name="Text Box 239"/>
        <xdr:cNvSpPr txBox="1">
          <a:spLocks noChangeArrowheads="1"/>
        </xdr:cNvSpPr>
      </xdr:nvSpPr>
      <xdr:spPr bwMode="auto">
        <a:xfrm>
          <a:off x="7496175" y="1457325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133350</xdr:colOff>
      <xdr:row>15</xdr:row>
      <xdr:rowOff>0</xdr:rowOff>
    </xdr:from>
    <xdr:to>
      <xdr:col>3</xdr:col>
      <xdr:colOff>419100</xdr:colOff>
      <xdr:row>15</xdr:row>
      <xdr:rowOff>0</xdr:rowOff>
    </xdr:to>
    <xdr:sp macro="" textlink="">
      <xdr:nvSpPr>
        <xdr:cNvPr id="114" name="Rectangle 258"/>
        <xdr:cNvSpPr>
          <a:spLocks noChangeArrowheads="1"/>
        </xdr:cNvSpPr>
      </xdr:nvSpPr>
      <xdr:spPr bwMode="auto">
        <a:xfrm>
          <a:off x="4229100" y="3209925"/>
          <a:ext cx="2857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1847850</xdr:colOff>
      <xdr:row>15</xdr:row>
      <xdr:rowOff>0</xdr:rowOff>
    </xdr:from>
    <xdr:to>
      <xdr:col>3</xdr:col>
      <xdr:colOff>2133600</xdr:colOff>
      <xdr:row>15</xdr:row>
      <xdr:rowOff>0</xdr:rowOff>
    </xdr:to>
    <xdr:sp macro="" textlink="">
      <xdr:nvSpPr>
        <xdr:cNvPr id="115" name="Rectangle 259"/>
        <xdr:cNvSpPr>
          <a:spLocks noChangeArrowheads="1"/>
        </xdr:cNvSpPr>
      </xdr:nvSpPr>
      <xdr:spPr bwMode="auto">
        <a:xfrm>
          <a:off x="5943600" y="3209925"/>
          <a:ext cx="285750" cy="1809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2</xdr:col>
      <xdr:colOff>36082</xdr:colOff>
      <xdr:row>24</xdr:row>
      <xdr:rowOff>14434</xdr:rowOff>
    </xdr:from>
    <xdr:to>
      <xdr:col>5</xdr:col>
      <xdr:colOff>2747619</xdr:colOff>
      <xdr:row>31</xdr:row>
      <xdr:rowOff>168854</xdr:rowOff>
    </xdr:to>
    <xdr:pic>
      <xdr:nvPicPr>
        <xdr:cNvPr id="116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79082" y="5205559"/>
          <a:ext cx="9064712" cy="155459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0" name="Check Box 346" hidden="1">
              <a:extLst>
                <a:ext uri="{63B3BB69-23CF-44E3-9099-C40C66FF867C}">
                  <a14:compatExt spid="_x0000_s13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1" name="Check Box 347" hidden="1">
              <a:extLst>
                <a:ext uri="{63B3BB69-23CF-44E3-9099-C40C66FF867C}">
                  <a14:compatExt spid="_x0000_s13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2" name="Check Box 348" hidden="1">
              <a:extLst>
                <a:ext uri="{63B3BB69-23CF-44E3-9099-C40C66FF867C}">
                  <a14:compatExt spid="_x0000_s13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3" name="Check Box 349" hidden="1">
              <a:extLst>
                <a:ext uri="{63B3BB69-23CF-44E3-9099-C40C66FF867C}">
                  <a14:compatExt spid="_x0000_s13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4" name="Check Box 350" hidden="1">
              <a:extLst>
                <a:ext uri="{63B3BB69-23CF-44E3-9099-C40C66FF867C}">
                  <a14:compatExt spid="_x0000_s13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5" name="Check Box 351" hidden="1">
              <a:extLst>
                <a:ext uri="{63B3BB69-23CF-44E3-9099-C40C66FF867C}">
                  <a14:compatExt spid="_x0000_s13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6" name="Check Box 352" hidden="1">
              <a:extLst>
                <a:ext uri="{63B3BB69-23CF-44E3-9099-C40C66FF867C}">
                  <a14:compatExt spid="_x0000_s13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7" name="Check Box 353" hidden="1">
              <a:extLst>
                <a:ext uri="{63B3BB69-23CF-44E3-9099-C40C66FF867C}">
                  <a14:compatExt spid="_x0000_s13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8" name="Check Box 354" hidden="1">
              <a:extLst>
                <a:ext uri="{63B3BB69-23CF-44E3-9099-C40C66FF867C}">
                  <a14:compatExt spid="_x0000_s13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79" name="Check Box 355" hidden="1">
              <a:extLst>
                <a:ext uri="{63B3BB69-23CF-44E3-9099-C40C66FF867C}">
                  <a14:compatExt spid="_x0000_s13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0" name="Check Box 356" hidden="1">
              <a:extLst>
                <a:ext uri="{63B3BB69-23CF-44E3-9099-C40C66FF867C}">
                  <a14:compatExt spid="_x0000_s13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1" name="Check Box 357" hidden="1">
              <a:extLst>
                <a:ext uri="{63B3BB69-23CF-44E3-9099-C40C66FF867C}">
                  <a14:compatExt spid="_x0000_s138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2" name="Check Box 358" hidden="1">
              <a:extLst>
                <a:ext uri="{63B3BB69-23CF-44E3-9099-C40C66FF867C}">
                  <a14:compatExt spid="_x0000_s138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3" name="Check Box 359" hidden="1">
              <a:extLst>
                <a:ext uri="{63B3BB69-23CF-44E3-9099-C40C66FF867C}">
                  <a14:compatExt spid="_x0000_s138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4" name="Check Box 360" hidden="1">
              <a:extLst>
                <a:ext uri="{63B3BB69-23CF-44E3-9099-C40C66FF867C}">
                  <a14:compatExt spid="_x0000_s138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5" name="Check Box 361" hidden="1">
              <a:extLst>
                <a:ext uri="{63B3BB69-23CF-44E3-9099-C40C66FF867C}">
                  <a14:compatExt spid="_x0000_s138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6" name="Check Box 362" hidden="1">
              <a:extLst>
                <a:ext uri="{63B3BB69-23CF-44E3-9099-C40C66FF867C}">
                  <a14:compatExt spid="_x0000_s138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7" name="Check Box 363" hidden="1">
              <a:extLst>
                <a:ext uri="{63B3BB69-23CF-44E3-9099-C40C66FF867C}">
                  <a14:compatExt spid="_x0000_s138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8" name="Check Box 364" hidden="1">
              <a:extLst>
                <a:ext uri="{63B3BB69-23CF-44E3-9099-C40C66FF867C}">
                  <a14:compatExt spid="_x0000_s138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89" name="Check Box 365" hidden="1">
              <a:extLst>
                <a:ext uri="{63B3BB69-23CF-44E3-9099-C40C66FF867C}">
                  <a14:compatExt spid="_x0000_s138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0" name="Check Box 366" hidden="1">
              <a:extLst>
                <a:ext uri="{63B3BB69-23CF-44E3-9099-C40C66FF867C}">
                  <a14:compatExt spid="_x0000_s139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1" name="Check Box 367" hidden="1">
              <a:extLst>
                <a:ext uri="{63B3BB69-23CF-44E3-9099-C40C66FF867C}">
                  <a14:compatExt spid="_x0000_s139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2" name="Check Box 368" hidden="1">
              <a:extLst>
                <a:ext uri="{63B3BB69-23CF-44E3-9099-C40C66FF867C}">
                  <a14:compatExt spid="_x0000_s139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3" name="Check Box 369" hidden="1">
              <a:extLst>
                <a:ext uri="{63B3BB69-23CF-44E3-9099-C40C66FF867C}">
                  <a14:compatExt spid="_x0000_s139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4" name="Check Box 370" hidden="1">
              <a:extLst>
                <a:ext uri="{63B3BB69-23CF-44E3-9099-C40C66FF867C}">
                  <a14:compatExt spid="_x0000_s139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5" name="Check Box 371" hidden="1">
              <a:extLst>
                <a:ext uri="{63B3BB69-23CF-44E3-9099-C40C66FF867C}">
                  <a14:compatExt spid="_x0000_s139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6" name="Check Box 372" hidden="1">
              <a:extLst>
                <a:ext uri="{63B3BB69-23CF-44E3-9099-C40C66FF867C}">
                  <a14:compatExt spid="_x0000_s139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7" name="Check Box 373" hidden="1">
              <a:extLst>
                <a:ext uri="{63B3BB69-23CF-44E3-9099-C40C66FF867C}">
                  <a14:compatExt spid="_x0000_s13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8" name="Check Box 374" hidden="1">
              <a:extLst>
                <a:ext uri="{63B3BB69-23CF-44E3-9099-C40C66FF867C}">
                  <a14:compatExt spid="_x0000_s13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399" name="Check Box 375" hidden="1">
              <a:extLst>
                <a:ext uri="{63B3BB69-23CF-44E3-9099-C40C66FF867C}">
                  <a14:compatExt spid="_x0000_s139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0" name="Check Box 376" hidden="1">
              <a:extLst>
                <a:ext uri="{63B3BB69-23CF-44E3-9099-C40C66FF867C}">
                  <a14:compatExt spid="_x0000_s140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1" name="Check Box 377" hidden="1">
              <a:extLst>
                <a:ext uri="{63B3BB69-23CF-44E3-9099-C40C66FF867C}">
                  <a14:compatExt spid="_x0000_s140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2" name="Check Box 378" hidden="1">
              <a:extLst>
                <a:ext uri="{63B3BB69-23CF-44E3-9099-C40C66FF867C}">
                  <a14:compatExt spid="_x0000_s140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3" name="Check Box 379" hidden="1">
              <a:extLst>
                <a:ext uri="{63B3BB69-23CF-44E3-9099-C40C66FF867C}">
                  <a14:compatExt spid="_x0000_s140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4" name="Check Box 380" hidden="1">
              <a:extLst>
                <a:ext uri="{63B3BB69-23CF-44E3-9099-C40C66FF867C}">
                  <a14:compatExt spid="_x0000_s140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5" name="Check Box 381" hidden="1">
              <a:extLst>
                <a:ext uri="{63B3BB69-23CF-44E3-9099-C40C66FF867C}">
                  <a14:compatExt spid="_x0000_s140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6" name="Check Box 382" hidden="1">
              <a:extLst>
                <a:ext uri="{63B3BB69-23CF-44E3-9099-C40C66FF867C}">
                  <a14:compatExt spid="_x0000_s140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7" name="Check Box 383" hidden="1">
              <a:extLst>
                <a:ext uri="{63B3BB69-23CF-44E3-9099-C40C66FF867C}">
                  <a14:compatExt spid="_x0000_s140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8" name="Check Box 384" hidden="1">
              <a:extLst>
                <a:ext uri="{63B3BB69-23CF-44E3-9099-C40C66FF867C}">
                  <a14:compatExt spid="_x0000_s140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09" name="Check Box 385" hidden="1">
              <a:extLst>
                <a:ext uri="{63B3BB69-23CF-44E3-9099-C40C66FF867C}">
                  <a14:compatExt spid="_x0000_s140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0" name="Check Box 386" hidden="1">
              <a:extLst>
                <a:ext uri="{63B3BB69-23CF-44E3-9099-C40C66FF867C}">
                  <a14:compatExt spid="_x0000_s141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1" name="Check Box 387" hidden="1">
              <a:extLst>
                <a:ext uri="{63B3BB69-23CF-44E3-9099-C40C66FF867C}">
                  <a14:compatExt spid="_x0000_s141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2" name="Check Box 388" hidden="1">
              <a:extLst>
                <a:ext uri="{63B3BB69-23CF-44E3-9099-C40C66FF867C}">
                  <a14:compatExt spid="_x0000_s141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3" name="Check Box 389" hidden="1">
              <a:extLst>
                <a:ext uri="{63B3BB69-23CF-44E3-9099-C40C66FF867C}">
                  <a14:compatExt spid="_x0000_s141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4" name="Check Box 390" hidden="1">
              <a:extLst>
                <a:ext uri="{63B3BB69-23CF-44E3-9099-C40C66FF867C}">
                  <a14:compatExt spid="_x0000_s141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5" name="Check Box 391" hidden="1">
              <a:extLst>
                <a:ext uri="{63B3BB69-23CF-44E3-9099-C40C66FF867C}">
                  <a14:compatExt spid="_x0000_s141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6" name="Check Box 392" hidden="1">
              <a:extLst>
                <a:ext uri="{63B3BB69-23CF-44E3-9099-C40C66FF867C}">
                  <a14:compatExt spid="_x0000_s141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7" name="Check Box 393" hidden="1">
              <a:extLst>
                <a:ext uri="{63B3BB69-23CF-44E3-9099-C40C66FF867C}">
                  <a14:compatExt spid="_x0000_s14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8" name="Check Box 394" hidden="1">
              <a:extLst>
                <a:ext uri="{63B3BB69-23CF-44E3-9099-C40C66FF867C}">
                  <a14:compatExt spid="_x0000_s14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19" name="Check Box 395" hidden="1">
              <a:extLst>
                <a:ext uri="{63B3BB69-23CF-44E3-9099-C40C66FF867C}">
                  <a14:compatExt spid="_x0000_s14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0" name="Check Box 396" hidden="1">
              <a:extLst>
                <a:ext uri="{63B3BB69-23CF-44E3-9099-C40C66FF867C}">
                  <a14:compatExt spid="_x0000_s14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1" name="Check Box 397" hidden="1">
              <a:extLst>
                <a:ext uri="{63B3BB69-23CF-44E3-9099-C40C66FF867C}">
                  <a14:compatExt spid="_x0000_s142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2" name="Check Box 398" hidden="1">
              <a:extLst>
                <a:ext uri="{63B3BB69-23CF-44E3-9099-C40C66FF867C}">
                  <a14:compatExt spid="_x0000_s14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3" name="Check Box 399" hidden="1">
              <a:extLst>
                <a:ext uri="{63B3BB69-23CF-44E3-9099-C40C66FF867C}">
                  <a14:compatExt spid="_x0000_s14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4" name="Check Box 400" hidden="1">
              <a:extLst>
                <a:ext uri="{63B3BB69-23CF-44E3-9099-C40C66FF867C}">
                  <a14:compatExt spid="_x0000_s14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5" name="Check Box 401" hidden="1">
              <a:extLst>
                <a:ext uri="{63B3BB69-23CF-44E3-9099-C40C66FF867C}">
                  <a14:compatExt spid="_x0000_s14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6" name="Check Box 402" hidden="1">
              <a:extLst>
                <a:ext uri="{63B3BB69-23CF-44E3-9099-C40C66FF867C}">
                  <a14:compatExt spid="_x0000_s14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7" name="Check Box 403" hidden="1">
              <a:extLst>
                <a:ext uri="{63B3BB69-23CF-44E3-9099-C40C66FF867C}">
                  <a14:compatExt spid="_x0000_s14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8" name="Check Box 404" hidden="1">
              <a:extLst>
                <a:ext uri="{63B3BB69-23CF-44E3-9099-C40C66FF867C}">
                  <a14:compatExt spid="_x0000_s142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29" name="Check Box 405" hidden="1">
              <a:extLst>
                <a:ext uri="{63B3BB69-23CF-44E3-9099-C40C66FF867C}">
                  <a14:compatExt spid="_x0000_s142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0" name="Check Box 406" hidden="1">
              <a:extLst>
                <a:ext uri="{63B3BB69-23CF-44E3-9099-C40C66FF867C}">
                  <a14:compatExt spid="_x0000_s143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1" name="Check Box 407" hidden="1">
              <a:extLst>
                <a:ext uri="{63B3BB69-23CF-44E3-9099-C40C66FF867C}">
                  <a14:compatExt spid="_x0000_s143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2" name="Check Box 408" hidden="1">
              <a:extLst>
                <a:ext uri="{63B3BB69-23CF-44E3-9099-C40C66FF867C}">
                  <a14:compatExt spid="_x0000_s143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3" name="Check Box 409" hidden="1">
              <a:extLst>
                <a:ext uri="{63B3BB69-23CF-44E3-9099-C40C66FF867C}">
                  <a14:compatExt spid="_x0000_s143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4" name="Check Box 410" hidden="1">
              <a:extLst>
                <a:ext uri="{63B3BB69-23CF-44E3-9099-C40C66FF867C}">
                  <a14:compatExt spid="_x0000_s143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5" name="Check Box 411" hidden="1">
              <a:extLst>
                <a:ext uri="{63B3BB69-23CF-44E3-9099-C40C66FF867C}">
                  <a14:compatExt spid="_x0000_s143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6" name="Check Box 412" hidden="1">
              <a:extLst>
                <a:ext uri="{63B3BB69-23CF-44E3-9099-C40C66FF867C}">
                  <a14:compatExt spid="_x0000_s143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7" name="Check Box 413" hidden="1">
              <a:extLst>
                <a:ext uri="{63B3BB69-23CF-44E3-9099-C40C66FF867C}">
                  <a14:compatExt spid="_x0000_s143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8" name="Check Box 414" hidden="1">
              <a:extLst>
                <a:ext uri="{63B3BB69-23CF-44E3-9099-C40C66FF867C}">
                  <a14:compatExt spid="_x0000_s143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39" name="Check Box 415" hidden="1">
              <a:extLst>
                <a:ext uri="{63B3BB69-23CF-44E3-9099-C40C66FF867C}">
                  <a14:compatExt spid="_x0000_s143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0" name="Check Box 416" hidden="1">
              <a:extLst>
                <a:ext uri="{63B3BB69-23CF-44E3-9099-C40C66FF867C}">
                  <a14:compatExt spid="_x0000_s144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1" name="Check Box 417" hidden="1">
              <a:extLst>
                <a:ext uri="{63B3BB69-23CF-44E3-9099-C40C66FF867C}">
                  <a14:compatExt spid="_x0000_s144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2" name="Check Box 418" hidden="1">
              <a:extLst>
                <a:ext uri="{63B3BB69-23CF-44E3-9099-C40C66FF867C}">
                  <a14:compatExt spid="_x0000_s144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3" name="Check Box 419" hidden="1">
              <a:extLst>
                <a:ext uri="{63B3BB69-23CF-44E3-9099-C40C66FF867C}">
                  <a14:compatExt spid="_x0000_s144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4" name="Check Box 420" hidden="1">
              <a:extLst>
                <a:ext uri="{63B3BB69-23CF-44E3-9099-C40C66FF867C}">
                  <a14:compatExt spid="_x0000_s144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5" name="Check Box 421" hidden="1">
              <a:extLst>
                <a:ext uri="{63B3BB69-23CF-44E3-9099-C40C66FF867C}">
                  <a14:compatExt spid="_x0000_s144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6" name="Check Box 422" hidden="1">
              <a:extLst>
                <a:ext uri="{63B3BB69-23CF-44E3-9099-C40C66FF867C}">
                  <a14:compatExt spid="_x0000_s144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7" name="Check Box 423" hidden="1">
              <a:extLst>
                <a:ext uri="{63B3BB69-23CF-44E3-9099-C40C66FF867C}">
                  <a14:compatExt spid="_x0000_s144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8" name="Check Box 424" hidden="1">
              <a:extLst>
                <a:ext uri="{63B3BB69-23CF-44E3-9099-C40C66FF867C}">
                  <a14:compatExt spid="_x0000_s144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49" name="Check Box 425" hidden="1">
              <a:extLst>
                <a:ext uri="{63B3BB69-23CF-44E3-9099-C40C66FF867C}">
                  <a14:compatExt spid="_x0000_s14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0" name="Check Box 426" hidden="1">
              <a:extLst>
                <a:ext uri="{63B3BB69-23CF-44E3-9099-C40C66FF867C}">
                  <a14:compatExt spid="_x0000_s145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1" name="Check Box 427" hidden="1">
              <a:extLst>
                <a:ext uri="{63B3BB69-23CF-44E3-9099-C40C66FF867C}">
                  <a14:compatExt spid="_x0000_s145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2" name="Check Box 428" hidden="1">
              <a:extLst>
                <a:ext uri="{63B3BB69-23CF-44E3-9099-C40C66FF867C}">
                  <a14:compatExt spid="_x0000_s145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3" name="Check Box 429" hidden="1">
              <a:extLst>
                <a:ext uri="{63B3BB69-23CF-44E3-9099-C40C66FF867C}">
                  <a14:compatExt spid="_x0000_s145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4" name="Check Box 430" hidden="1">
              <a:extLst>
                <a:ext uri="{63B3BB69-23CF-44E3-9099-C40C66FF867C}">
                  <a14:compatExt spid="_x0000_s145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5" name="Check Box 431" hidden="1">
              <a:extLst>
                <a:ext uri="{63B3BB69-23CF-44E3-9099-C40C66FF867C}">
                  <a14:compatExt spid="_x0000_s145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6" name="Check Box 432" hidden="1">
              <a:extLst>
                <a:ext uri="{63B3BB69-23CF-44E3-9099-C40C66FF867C}">
                  <a14:compatExt spid="_x0000_s145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7" name="Check Box 433" hidden="1">
              <a:extLst>
                <a:ext uri="{63B3BB69-23CF-44E3-9099-C40C66FF867C}">
                  <a14:compatExt spid="_x0000_s145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8" name="Check Box 434" hidden="1">
              <a:extLst>
                <a:ext uri="{63B3BB69-23CF-44E3-9099-C40C66FF867C}">
                  <a14:compatExt spid="_x0000_s145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59" name="Check Box 435" hidden="1">
              <a:extLst>
                <a:ext uri="{63B3BB69-23CF-44E3-9099-C40C66FF867C}">
                  <a14:compatExt spid="_x0000_s145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0" name="Check Box 436" hidden="1">
              <a:extLst>
                <a:ext uri="{63B3BB69-23CF-44E3-9099-C40C66FF867C}">
                  <a14:compatExt spid="_x0000_s146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1" name="Check Box 437" hidden="1">
              <a:extLst>
                <a:ext uri="{63B3BB69-23CF-44E3-9099-C40C66FF867C}">
                  <a14:compatExt spid="_x0000_s146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2" name="Check Box 438" hidden="1">
              <a:extLst>
                <a:ext uri="{63B3BB69-23CF-44E3-9099-C40C66FF867C}">
                  <a14:compatExt spid="_x0000_s146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3" name="Check Box 439" hidden="1">
              <a:extLst>
                <a:ext uri="{63B3BB69-23CF-44E3-9099-C40C66FF867C}">
                  <a14:compatExt spid="_x0000_s146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4" name="Check Box 440" hidden="1">
              <a:extLst>
                <a:ext uri="{63B3BB69-23CF-44E3-9099-C40C66FF867C}">
                  <a14:compatExt spid="_x0000_s146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5" name="Check Box 441" hidden="1">
              <a:extLst>
                <a:ext uri="{63B3BB69-23CF-44E3-9099-C40C66FF867C}">
                  <a14:compatExt spid="_x0000_s146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6" name="Check Box 442" hidden="1">
              <a:extLst>
                <a:ext uri="{63B3BB69-23CF-44E3-9099-C40C66FF867C}">
                  <a14:compatExt spid="_x0000_s146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7" name="Check Box 443" hidden="1">
              <a:extLst>
                <a:ext uri="{63B3BB69-23CF-44E3-9099-C40C66FF867C}">
                  <a14:compatExt spid="_x0000_s146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8" name="Check Box 444" hidden="1">
              <a:extLst>
                <a:ext uri="{63B3BB69-23CF-44E3-9099-C40C66FF867C}">
                  <a14:compatExt spid="_x0000_s146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69" name="Check Box 445" hidden="1">
              <a:extLst>
                <a:ext uri="{63B3BB69-23CF-44E3-9099-C40C66FF867C}">
                  <a14:compatExt spid="_x0000_s146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0" name="Check Box 446" hidden="1">
              <a:extLst>
                <a:ext uri="{63B3BB69-23CF-44E3-9099-C40C66FF867C}">
                  <a14:compatExt spid="_x0000_s147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1" name="Check Box 447" hidden="1">
              <a:extLst>
                <a:ext uri="{63B3BB69-23CF-44E3-9099-C40C66FF867C}">
                  <a14:compatExt spid="_x0000_s1471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2" name="Check Box 448" hidden="1">
              <a:extLst>
                <a:ext uri="{63B3BB69-23CF-44E3-9099-C40C66FF867C}">
                  <a14:compatExt spid="_x0000_s147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3" name="Check Box 449" hidden="1">
              <a:extLst>
                <a:ext uri="{63B3BB69-23CF-44E3-9099-C40C66FF867C}">
                  <a14:compatExt spid="_x0000_s147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4" name="Check Box 450" hidden="1">
              <a:extLst>
                <a:ext uri="{63B3BB69-23CF-44E3-9099-C40C66FF867C}">
                  <a14:compatExt spid="_x0000_s147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5" name="Check Box 451" hidden="1">
              <a:extLst>
                <a:ext uri="{63B3BB69-23CF-44E3-9099-C40C66FF867C}">
                  <a14:compatExt spid="_x0000_s147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6" name="Check Box 452" hidden="1">
              <a:extLst>
                <a:ext uri="{63B3BB69-23CF-44E3-9099-C40C66FF867C}">
                  <a14:compatExt spid="_x0000_s147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7" name="Check Box 453" hidden="1">
              <a:extLst>
                <a:ext uri="{63B3BB69-23CF-44E3-9099-C40C66FF867C}">
                  <a14:compatExt spid="_x0000_s147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8" name="Check Box 454" hidden="1">
              <a:extLst>
                <a:ext uri="{63B3BB69-23CF-44E3-9099-C40C66FF867C}">
                  <a14:compatExt spid="_x0000_s147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79" name="Check Box 455" hidden="1">
              <a:extLst>
                <a:ext uri="{63B3BB69-23CF-44E3-9099-C40C66FF867C}">
                  <a14:compatExt spid="_x0000_s147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66</xdr:row>
          <xdr:rowOff>0</xdr:rowOff>
        </xdr:from>
        <xdr:to>
          <xdr:col>2</xdr:col>
          <xdr:colOff>314325</xdr:colOff>
          <xdr:row>68</xdr:row>
          <xdr:rowOff>47625</xdr:rowOff>
        </xdr:to>
        <xdr:sp macro="" textlink="">
          <xdr:nvSpPr>
            <xdr:cNvPr id="1480" name="Check Box 456" hidden="1">
              <a:extLst>
                <a:ext uri="{63B3BB69-23CF-44E3-9099-C40C66FF867C}">
                  <a14:compatExt spid="_x0000_s148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oneCellAnchor>
    <xdr:from>
      <xdr:col>5</xdr:col>
      <xdr:colOff>0</xdr:colOff>
      <xdr:row>7</xdr:row>
      <xdr:rowOff>0</xdr:rowOff>
    </xdr:from>
    <xdr:ext cx="76200" cy="219075"/>
    <xdr:sp macro="" textlink="">
      <xdr:nvSpPr>
        <xdr:cNvPr id="474" name="Text Box 239"/>
        <xdr:cNvSpPr txBox="1">
          <a:spLocks noChangeArrowheads="1"/>
        </xdr:cNvSpPr>
      </xdr:nvSpPr>
      <xdr:spPr bwMode="auto">
        <a:xfrm>
          <a:off x="6677025" y="381000"/>
          <a:ext cx="76200" cy="219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</xdr:col>
      <xdr:colOff>133350</xdr:colOff>
      <xdr:row>14</xdr:row>
      <xdr:rowOff>19050</xdr:rowOff>
    </xdr:from>
    <xdr:to>
      <xdr:col>3</xdr:col>
      <xdr:colOff>419100</xdr:colOff>
      <xdr:row>14</xdr:row>
      <xdr:rowOff>285750</xdr:rowOff>
    </xdr:to>
    <xdr:sp macro="" textlink="">
      <xdr:nvSpPr>
        <xdr:cNvPr id="476" name="Rectangle 258"/>
        <xdr:cNvSpPr>
          <a:spLocks noChangeArrowheads="1"/>
        </xdr:cNvSpPr>
      </xdr:nvSpPr>
      <xdr:spPr bwMode="auto">
        <a:xfrm>
          <a:off x="3409950" y="2143125"/>
          <a:ext cx="285750" cy="2667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3</xdr:col>
      <xdr:colOff>1847850</xdr:colOff>
      <xdr:row>14</xdr:row>
      <xdr:rowOff>19050</xdr:rowOff>
    </xdr:from>
    <xdr:to>
      <xdr:col>3</xdr:col>
      <xdr:colOff>2133600</xdr:colOff>
      <xdr:row>14</xdr:row>
      <xdr:rowOff>295275</xdr:rowOff>
    </xdr:to>
    <xdr:sp macro="" textlink="">
      <xdr:nvSpPr>
        <xdr:cNvPr id="477" name="Rectangle 259"/>
        <xdr:cNvSpPr>
          <a:spLocks noChangeArrowheads="1"/>
        </xdr:cNvSpPr>
      </xdr:nvSpPr>
      <xdr:spPr bwMode="auto">
        <a:xfrm>
          <a:off x="5124450" y="2143125"/>
          <a:ext cx="285750" cy="2762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 editAs="oneCell">
    <xdr:from>
      <xdr:col>2</xdr:col>
      <xdr:colOff>36082</xdr:colOff>
      <xdr:row>24</xdr:row>
      <xdr:rowOff>14434</xdr:rowOff>
    </xdr:from>
    <xdr:to>
      <xdr:col>5</xdr:col>
      <xdr:colOff>2747619</xdr:colOff>
      <xdr:row>31</xdr:row>
      <xdr:rowOff>168854</xdr:rowOff>
    </xdr:to>
    <xdr:pic>
      <xdr:nvPicPr>
        <xdr:cNvPr id="479" name="Picture 26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3582" y="4935684"/>
          <a:ext cx="9077412" cy="1599044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2.xml"/><Relationship Id="rId21" Type="http://schemas.openxmlformats.org/officeDocument/2006/relationships/ctrlProp" Target="../ctrlProps/ctrlProp17.xml"/><Relationship Id="rId42" Type="http://schemas.openxmlformats.org/officeDocument/2006/relationships/ctrlProp" Target="../ctrlProps/ctrlProp38.xml"/><Relationship Id="rId47" Type="http://schemas.openxmlformats.org/officeDocument/2006/relationships/ctrlProp" Target="../ctrlProps/ctrlProp43.xml"/><Relationship Id="rId63" Type="http://schemas.openxmlformats.org/officeDocument/2006/relationships/ctrlProp" Target="../ctrlProps/ctrlProp59.xml"/><Relationship Id="rId68" Type="http://schemas.openxmlformats.org/officeDocument/2006/relationships/ctrlProp" Target="../ctrlProps/ctrlProp64.xml"/><Relationship Id="rId84" Type="http://schemas.openxmlformats.org/officeDocument/2006/relationships/ctrlProp" Target="../ctrlProps/ctrlProp80.xml"/><Relationship Id="rId89" Type="http://schemas.openxmlformats.org/officeDocument/2006/relationships/ctrlProp" Target="../ctrlProps/ctrlProp85.xml"/><Relationship Id="rId112" Type="http://schemas.openxmlformats.org/officeDocument/2006/relationships/ctrlProp" Target="../ctrlProps/ctrlProp108.xml"/><Relationship Id="rId16" Type="http://schemas.openxmlformats.org/officeDocument/2006/relationships/ctrlProp" Target="../ctrlProps/ctrlProp12.xml"/><Relationship Id="rId107" Type="http://schemas.openxmlformats.org/officeDocument/2006/relationships/ctrlProp" Target="../ctrlProps/ctrlProp103.xml"/><Relationship Id="rId11" Type="http://schemas.openxmlformats.org/officeDocument/2006/relationships/ctrlProp" Target="../ctrlProps/ctrlProp7.xml"/><Relationship Id="rId24" Type="http://schemas.openxmlformats.org/officeDocument/2006/relationships/ctrlProp" Target="../ctrlProps/ctrlProp20.xml"/><Relationship Id="rId32" Type="http://schemas.openxmlformats.org/officeDocument/2006/relationships/ctrlProp" Target="../ctrlProps/ctrlProp28.xml"/><Relationship Id="rId37" Type="http://schemas.openxmlformats.org/officeDocument/2006/relationships/ctrlProp" Target="../ctrlProps/ctrlProp33.xml"/><Relationship Id="rId40" Type="http://schemas.openxmlformats.org/officeDocument/2006/relationships/ctrlProp" Target="../ctrlProps/ctrlProp36.xml"/><Relationship Id="rId45" Type="http://schemas.openxmlformats.org/officeDocument/2006/relationships/ctrlProp" Target="../ctrlProps/ctrlProp41.xml"/><Relationship Id="rId53" Type="http://schemas.openxmlformats.org/officeDocument/2006/relationships/ctrlProp" Target="../ctrlProps/ctrlProp49.xml"/><Relationship Id="rId58" Type="http://schemas.openxmlformats.org/officeDocument/2006/relationships/ctrlProp" Target="../ctrlProps/ctrlProp54.xml"/><Relationship Id="rId66" Type="http://schemas.openxmlformats.org/officeDocument/2006/relationships/ctrlProp" Target="../ctrlProps/ctrlProp62.xml"/><Relationship Id="rId74" Type="http://schemas.openxmlformats.org/officeDocument/2006/relationships/ctrlProp" Target="../ctrlProps/ctrlProp70.xml"/><Relationship Id="rId79" Type="http://schemas.openxmlformats.org/officeDocument/2006/relationships/ctrlProp" Target="../ctrlProps/ctrlProp75.xml"/><Relationship Id="rId87" Type="http://schemas.openxmlformats.org/officeDocument/2006/relationships/ctrlProp" Target="../ctrlProps/ctrlProp83.xml"/><Relationship Id="rId102" Type="http://schemas.openxmlformats.org/officeDocument/2006/relationships/ctrlProp" Target="../ctrlProps/ctrlProp98.xml"/><Relationship Id="rId110" Type="http://schemas.openxmlformats.org/officeDocument/2006/relationships/ctrlProp" Target="../ctrlProps/ctrlProp106.xml"/><Relationship Id="rId115" Type="http://schemas.openxmlformats.org/officeDocument/2006/relationships/ctrlProp" Target="../ctrlProps/ctrlProp111.xml"/><Relationship Id="rId5" Type="http://schemas.openxmlformats.org/officeDocument/2006/relationships/ctrlProp" Target="../ctrlProps/ctrlProp1.xml"/><Relationship Id="rId61" Type="http://schemas.openxmlformats.org/officeDocument/2006/relationships/ctrlProp" Target="../ctrlProps/ctrlProp57.xml"/><Relationship Id="rId82" Type="http://schemas.openxmlformats.org/officeDocument/2006/relationships/ctrlProp" Target="../ctrlProps/ctrlProp78.xml"/><Relationship Id="rId90" Type="http://schemas.openxmlformats.org/officeDocument/2006/relationships/ctrlProp" Target="../ctrlProps/ctrlProp86.xml"/><Relationship Id="rId95" Type="http://schemas.openxmlformats.org/officeDocument/2006/relationships/ctrlProp" Target="../ctrlProps/ctrlProp91.xml"/><Relationship Id="rId19" Type="http://schemas.openxmlformats.org/officeDocument/2006/relationships/ctrlProp" Target="../ctrlProps/ctrlProp15.xml"/><Relationship Id="rId14" Type="http://schemas.openxmlformats.org/officeDocument/2006/relationships/ctrlProp" Target="../ctrlProps/ctrlProp10.xml"/><Relationship Id="rId22" Type="http://schemas.openxmlformats.org/officeDocument/2006/relationships/ctrlProp" Target="../ctrlProps/ctrlProp18.xml"/><Relationship Id="rId27" Type="http://schemas.openxmlformats.org/officeDocument/2006/relationships/ctrlProp" Target="../ctrlProps/ctrlProp23.xml"/><Relationship Id="rId30" Type="http://schemas.openxmlformats.org/officeDocument/2006/relationships/ctrlProp" Target="../ctrlProps/ctrlProp26.xml"/><Relationship Id="rId35" Type="http://schemas.openxmlformats.org/officeDocument/2006/relationships/ctrlProp" Target="../ctrlProps/ctrlProp31.xml"/><Relationship Id="rId43" Type="http://schemas.openxmlformats.org/officeDocument/2006/relationships/ctrlProp" Target="../ctrlProps/ctrlProp39.xml"/><Relationship Id="rId48" Type="http://schemas.openxmlformats.org/officeDocument/2006/relationships/ctrlProp" Target="../ctrlProps/ctrlProp44.xml"/><Relationship Id="rId56" Type="http://schemas.openxmlformats.org/officeDocument/2006/relationships/ctrlProp" Target="../ctrlProps/ctrlProp52.xml"/><Relationship Id="rId64" Type="http://schemas.openxmlformats.org/officeDocument/2006/relationships/ctrlProp" Target="../ctrlProps/ctrlProp60.xml"/><Relationship Id="rId69" Type="http://schemas.openxmlformats.org/officeDocument/2006/relationships/ctrlProp" Target="../ctrlProps/ctrlProp65.xml"/><Relationship Id="rId77" Type="http://schemas.openxmlformats.org/officeDocument/2006/relationships/ctrlProp" Target="../ctrlProps/ctrlProp73.xml"/><Relationship Id="rId100" Type="http://schemas.openxmlformats.org/officeDocument/2006/relationships/ctrlProp" Target="../ctrlProps/ctrlProp96.xml"/><Relationship Id="rId105" Type="http://schemas.openxmlformats.org/officeDocument/2006/relationships/ctrlProp" Target="../ctrlProps/ctrlProp101.xml"/><Relationship Id="rId113" Type="http://schemas.openxmlformats.org/officeDocument/2006/relationships/ctrlProp" Target="../ctrlProps/ctrlProp109.xml"/><Relationship Id="rId8" Type="http://schemas.openxmlformats.org/officeDocument/2006/relationships/ctrlProp" Target="../ctrlProps/ctrlProp4.xml"/><Relationship Id="rId51" Type="http://schemas.openxmlformats.org/officeDocument/2006/relationships/ctrlProp" Target="../ctrlProps/ctrlProp47.xml"/><Relationship Id="rId72" Type="http://schemas.openxmlformats.org/officeDocument/2006/relationships/ctrlProp" Target="../ctrlProps/ctrlProp68.xml"/><Relationship Id="rId80" Type="http://schemas.openxmlformats.org/officeDocument/2006/relationships/ctrlProp" Target="../ctrlProps/ctrlProp76.xml"/><Relationship Id="rId85" Type="http://schemas.openxmlformats.org/officeDocument/2006/relationships/ctrlProp" Target="../ctrlProps/ctrlProp81.xml"/><Relationship Id="rId93" Type="http://schemas.openxmlformats.org/officeDocument/2006/relationships/ctrlProp" Target="../ctrlProps/ctrlProp89.xml"/><Relationship Id="rId98" Type="http://schemas.openxmlformats.org/officeDocument/2006/relationships/ctrlProp" Target="../ctrlProps/ctrlProp94.xml"/><Relationship Id="rId3" Type="http://schemas.openxmlformats.org/officeDocument/2006/relationships/vmlDrawing" Target="../drawings/vmlDrawing1.vml"/><Relationship Id="rId12" Type="http://schemas.openxmlformats.org/officeDocument/2006/relationships/ctrlProp" Target="../ctrlProps/ctrlProp8.xml"/><Relationship Id="rId17" Type="http://schemas.openxmlformats.org/officeDocument/2006/relationships/ctrlProp" Target="../ctrlProps/ctrlProp13.xml"/><Relationship Id="rId25" Type="http://schemas.openxmlformats.org/officeDocument/2006/relationships/ctrlProp" Target="../ctrlProps/ctrlProp21.xml"/><Relationship Id="rId33" Type="http://schemas.openxmlformats.org/officeDocument/2006/relationships/ctrlProp" Target="../ctrlProps/ctrlProp29.xml"/><Relationship Id="rId38" Type="http://schemas.openxmlformats.org/officeDocument/2006/relationships/ctrlProp" Target="../ctrlProps/ctrlProp34.xml"/><Relationship Id="rId46" Type="http://schemas.openxmlformats.org/officeDocument/2006/relationships/ctrlProp" Target="../ctrlProps/ctrlProp42.xml"/><Relationship Id="rId59" Type="http://schemas.openxmlformats.org/officeDocument/2006/relationships/ctrlProp" Target="../ctrlProps/ctrlProp55.xml"/><Relationship Id="rId67" Type="http://schemas.openxmlformats.org/officeDocument/2006/relationships/ctrlProp" Target="../ctrlProps/ctrlProp63.xml"/><Relationship Id="rId103" Type="http://schemas.openxmlformats.org/officeDocument/2006/relationships/ctrlProp" Target="../ctrlProps/ctrlProp99.xml"/><Relationship Id="rId108" Type="http://schemas.openxmlformats.org/officeDocument/2006/relationships/ctrlProp" Target="../ctrlProps/ctrlProp104.xml"/><Relationship Id="rId20" Type="http://schemas.openxmlformats.org/officeDocument/2006/relationships/ctrlProp" Target="../ctrlProps/ctrlProp16.xml"/><Relationship Id="rId41" Type="http://schemas.openxmlformats.org/officeDocument/2006/relationships/ctrlProp" Target="../ctrlProps/ctrlProp37.xml"/><Relationship Id="rId54" Type="http://schemas.openxmlformats.org/officeDocument/2006/relationships/ctrlProp" Target="../ctrlProps/ctrlProp50.xml"/><Relationship Id="rId62" Type="http://schemas.openxmlformats.org/officeDocument/2006/relationships/ctrlProp" Target="../ctrlProps/ctrlProp58.xml"/><Relationship Id="rId70" Type="http://schemas.openxmlformats.org/officeDocument/2006/relationships/ctrlProp" Target="../ctrlProps/ctrlProp66.xml"/><Relationship Id="rId75" Type="http://schemas.openxmlformats.org/officeDocument/2006/relationships/ctrlProp" Target="../ctrlProps/ctrlProp71.xml"/><Relationship Id="rId83" Type="http://schemas.openxmlformats.org/officeDocument/2006/relationships/ctrlProp" Target="../ctrlProps/ctrlProp79.xml"/><Relationship Id="rId88" Type="http://schemas.openxmlformats.org/officeDocument/2006/relationships/ctrlProp" Target="../ctrlProps/ctrlProp84.xml"/><Relationship Id="rId91" Type="http://schemas.openxmlformats.org/officeDocument/2006/relationships/ctrlProp" Target="../ctrlProps/ctrlProp87.xml"/><Relationship Id="rId96" Type="http://schemas.openxmlformats.org/officeDocument/2006/relationships/ctrlProp" Target="../ctrlProps/ctrlProp92.xml"/><Relationship Id="rId111" Type="http://schemas.openxmlformats.org/officeDocument/2006/relationships/ctrlProp" Target="../ctrlProps/ctrlProp10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2.xml"/><Relationship Id="rId15" Type="http://schemas.openxmlformats.org/officeDocument/2006/relationships/ctrlProp" Target="../ctrlProps/ctrlProp11.xml"/><Relationship Id="rId23" Type="http://schemas.openxmlformats.org/officeDocument/2006/relationships/ctrlProp" Target="../ctrlProps/ctrlProp19.xml"/><Relationship Id="rId28" Type="http://schemas.openxmlformats.org/officeDocument/2006/relationships/ctrlProp" Target="../ctrlProps/ctrlProp24.xml"/><Relationship Id="rId36" Type="http://schemas.openxmlformats.org/officeDocument/2006/relationships/ctrlProp" Target="../ctrlProps/ctrlProp32.xml"/><Relationship Id="rId49" Type="http://schemas.openxmlformats.org/officeDocument/2006/relationships/ctrlProp" Target="../ctrlProps/ctrlProp45.xml"/><Relationship Id="rId57" Type="http://schemas.openxmlformats.org/officeDocument/2006/relationships/ctrlProp" Target="../ctrlProps/ctrlProp53.xml"/><Relationship Id="rId106" Type="http://schemas.openxmlformats.org/officeDocument/2006/relationships/ctrlProp" Target="../ctrlProps/ctrlProp102.xml"/><Relationship Id="rId114" Type="http://schemas.openxmlformats.org/officeDocument/2006/relationships/ctrlProp" Target="../ctrlProps/ctrlProp110.xml"/><Relationship Id="rId10" Type="http://schemas.openxmlformats.org/officeDocument/2006/relationships/ctrlProp" Target="../ctrlProps/ctrlProp6.xml"/><Relationship Id="rId31" Type="http://schemas.openxmlformats.org/officeDocument/2006/relationships/ctrlProp" Target="../ctrlProps/ctrlProp27.xml"/><Relationship Id="rId44" Type="http://schemas.openxmlformats.org/officeDocument/2006/relationships/ctrlProp" Target="../ctrlProps/ctrlProp40.xml"/><Relationship Id="rId52" Type="http://schemas.openxmlformats.org/officeDocument/2006/relationships/ctrlProp" Target="../ctrlProps/ctrlProp48.xml"/><Relationship Id="rId60" Type="http://schemas.openxmlformats.org/officeDocument/2006/relationships/ctrlProp" Target="../ctrlProps/ctrlProp56.xml"/><Relationship Id="rId65" Type="http://schemas.openxmlformats.org/officeDocument/2006/relationships/ctrlProp" Target="../ctrlProps/ctrlProp61.xml"/><Relationship Id="rId73" Type="http://schemas.openxmlformats.org/officeDocument/2006/relationships/ctrlProp" Target="../ctrlProps/ctrlProp69.xml"/><Relationship Id="rId78" Type="http://schemas.openxmlformats.org/officeDocument/2006/relationships/ctrlProp" Target="../ctrlProps/ctrlProp74.xml"/><Relationship Id="rId81" Type="http://schemas.openxmlformats.org/officeDocument/2006/relationships/ctrlProp" Target="../ctrlProps/ctrlProp77.xml"/><Relationship Id="rId86" Type="http://schemas.openxmlformats.org/officeDocument/2006/relationships/ctrlProp" Target="../ctrlProps/ctrlProp82.xml"/><Relationship Id="rId94" Type="http://schemas.openxmlformats.org/officeDocument/2006/relationships/ctrlProp" Target="../ctrlProps/ctrlProp90.xml"/><Relationship Id="rId99" Type="http://schemas.openxmlformats.org/officeDocument/2006/relationships/ctrlProp" Target="../ctrlProps/ctrlProp95.xml"/><Relationship Id="rId101" Type="http://schemas.openxmlformats.org/officeDocument/2006/relationships/ctrlProp" Target="../ctrlProps/ctrlProp97.xml"/><Relationship Id="rId4" Type="http://schemas.openxmlformats.org/officeDocument/2006/relationships/vmlDrawing" Target="../drawings/vmlDrawing2.vml"/><Relationship Id="rId9" Type="http://schemas.openxmlformats.org/officeDocument/2006/relationships/ctrlProp" Target="../ctrlProps/ctrlProp5.xml"/><Relationship Id="rId13" Type="http://schemas.openxmlformats.org/officeDocument/2006/relationships/ctrlProp" Target="../ctrlProps/ctrlProp9.xml"/><Relationship Id="rId18" Type="http://schemas.openxmlformats.org/officeDocument/2006/relationships/ctrlProp" Target="../ctrlProps/ctrlProp14.xml"/><Relationship Id="rId39" Type="http://schemas.openxmlformats.org/officeDocument/2006/relationships/ctrlProp" Target="../ctrlProps/ctrlProp35.xml"/><Relationship Id="rId109" Type="http://schemas.openxmlformats.org/officeDocument/2006/relationships/ctrlProp" Target="../ctrlProps/ctrlProp105.xml"/><Relationship Id="rId34" Type="http://schemas.openxmlformats.org/officeDocument/2006/relationships/ctrlProp" Target="../ctrlProps/ctrlProp30.xml"/><Relationship Id="rId50" Type="http://schemas.openxmlformats.org/officeDocument/2006/relationships/ctrlProp" Target="../ctrlProps/ctrlProp46.xml"/><Relationship Id="rId55" Type="http://schemas.openxmlformats.org/officeDocument/2006/relationships/ctrlProp" Target="../ctrlProps/ctrlProp51.xml"/><Relationship Id="rId76" Type="http://schemas.openxmlformats.org/officeDocument/2006/relationships/ctrlProp" Target="../ctrlProps/ctrlProp72.xml"/><Relationship Id="rId97" Type="http://schemas.openxmlformats.org/officeDocument/2006/relationships/ctrlProp" Target="../ctrlProps/ctrlProp93.xml"/><Relationship Id="rId104" Type="http://schemas.openxmlformats.org/officeDocument/2006/relationships/ctrlProp" Target="../ctrlProps/ctrlProp100.xml"/><Relationship Id="rId7" Type="http://schemas.openxmlformats.org/officeDocument/2006/relationships/ctrlProp" Target="../ctrlProps/ctrlProp3.xml"/><Relationship Id="rId71" Type="http://schemas.openxmlformats.org/officeDocument/2006/relationships/ctrlProp" Target="../ctrlProps/ctrlProp67.xml"/><Relationship Id="rId92" Type="http://schemas.openxmlformats.org/officeDocument/2006/relationships/ctrlProp" Target="../ctrlProps/ctrlProp88.xml"/><Relationship Id="rId2" Type="http://schemas.openxmlformats.org/officeDocument/2006/relationships/drawing" Target="../drawings/drawing1.xml"/><Relationship Id="rId29" Type="http://schemas.openxmlformats.org/officeDocument/2006/relationships/ctrlProp" Target="../ctrlProps/ctrlProp25.xm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133.xml"/><Relationship Id="rId21" Type="http://schemas.openxmlformats.org/officeDocument/2006/relationships/ctrlProp" Target="../ctrlProps/ctrlProp128.xml"/><Relationship Id="rId42" Type="http://schemas.openxmlformats.org/officeDocument/2006/relationships/ctrlProp" Target="../ctrlProps/ctrlProp149.xml"/><Relationship Id="rId47" Type="http://schemas.openxmlformats.org/officeDocument/2006/relationships/ctrlProp" Target="../ctrlProps/ctrlProp154.xml"/><Relationship Id="rId63" Type="http://schemas.openxmlformats.org/officeDocument/2006/relationships/ctrlProp" Target="../ctrlProps/ctrlProp170.xml"/><Relationship Id="rId68" Type="http://schemas.openxmlformats.org/officeDocument/2006/relationships/ctrlProp" Target="../ctrlProps/ctrlProp175.xml"/><Relationship Id="rId84" Type="http://schemas.openxmlformats.org/officeDocument/2006/relationships/ctrlProp" Target="../ctrlProps/ctrlProp191.xml"/><Relationship Id="rId89" Type="http://schemas.openxmlformats.org/officeDocument/2006/relationships/ctrlProp" Target="../ctrlProps/ctrlProp196.xml"/><Relationship Id="rId112" Type="http://schemas.openxmlformats.org/officeDocument/2006/relationships/ctrlProp" Target="../ctrlProps/ctrlProp219.xml"/><Relationship Id="rId16" Type="http://schemas.openxmlformats.org/officeDocument/2006/relationships/ctrlProp" Target="../ctrlProps/ctrlProp123.xml"/><Relationship Id="rId107" Type="http://schemas.openxmlformats.org/officeDocument/2006/relationships/ctrlProp" Target="../ctrlProps/ctrlProp214.xml"/><Relationship Id="rId11" Type="http://schemas.openxmlformats.org/officeDocument/2006/relationships/ctrlProp" Target="../ctrlProps/ctrlProp118.xml"/><Relationship Id="rId24" Type="http://schemas.openxmlformats.org/officeDocument/2006/relationships/ctrlProp" Target="../ctrlProps/ctrlProp131.xml"/><Relationship Id="rId32" Type="http://schemas.openxmlformats.org/officeDocument/2006/relationships/ctrlProp" Target="../ctrlProps/ctrlProp139.xml"/><Relationship Id="rId37" Type="http://schemas.openxmlformats.org/officeDocument/2006/relationships/ctrlProp" Target="../ctrlProps/ctrlProp144.xml"/><Relationship Id="rId40" Type="http://schemas.openxmlformats.org/officeDocument/2006/relationships/ctrlProp" Target="../ctrlProps/ctrlProp147.xml"/><Relationship Id="rId45" Type="http://schemas.openxmlformats.org/officeDocument/2006/relationships/ctrlProp" Target="../ctrlProps/ctrlProp152.xml"/><Relationship Id="rId53" Type="http://schemas.openxmlformats.org/officeDocument/2006/relationships/ctrlProp" Target="../ctrlProps/ctrlProp160.xml"/><Relationship Id="rId58" Type="http://schemas.openxmlformats.org/officeDocument/2006/relationships/ctrlProp" Target="../ctrlProps/ctrlProp165.xml"/><Relationship Id="rId66" Type="http://schemas.openxmlformats.org/officeDocument/2006/relationships/ctrlProp" Target="../ctrlProps/ctrlProp173.xml"/><Relationship Id="rId74" Type="http://schemas.openxmlformats.org/officeDocument/2006/relationships/ctrlProp" Target="../ctrlProps/ctrlProp181.xml"/><Relationship Id="rId79" Type="http://schemas.openxmlformats.org/officeDocument/2006/relationships/ctrlProp" Target="../ctrlProps/ctrlProp186.xml"/><Relationship Id="rId87" Type="http://schemas.openxmlformats.org/officeDocument/2006/relationships/ctrlProp" Target="../ctrlProps/ctrlProp194.xml"/><Relationship Id="rId102" Type="http://schemas.openxmlformats.org/officeDocument/2006/relationships/ctrlProp" Target="../ctrlProps/ctrlProp209.xml"/><Relationship Id="rId110" Type="http://schemas.openxmlformats.org/officeDocument/2006/relationships/ctrlProp" Target="../ctrlProps/ctrlProp217.xml"/><Relationship Id="rId115" Type="http://schemas.openxmlformats.org/officeDocument/2006/relationships/ctrlProp" Target="../ctrlProps/ctrlProp222.xml"/><Relationship Id="rId5" Type="http://schemas.openxmlformats.org/officeDocument/2006/relationships/ctrlProp" Target="../ctrlProps/ctrlProp112.xml"/><Relationship Id="rId61" Type="http://schemas.openxmlformats.org/officeDocument/2006/relationships/ctrlProp" Target="../ctrlProps/ctrlProp168.xml"/><Relationship Id="rId82" Type="http://schemas.openxmlformats.org/officeDocument/2006/relationships/ctrlProp" Target="../ctrlProps/ctrlProp189.xml"/><Relationship Id="rId90" Type="http://schemas.openxmlformats.org/officeDocument/2006/relationships/ctrlProp" Target="../ctrlProps/ctrlProp197.xml"/><Relationship Id="rId95" Type="http://schemas.openxmlformats.org/officeDocument/2006/relationships/ctrlProp" Target="../ctrlProps/ctrlProp202.xml"/><Relationship Id="rId19" Type="http://schemas.openxmlformats.org/officeDocument/2006/relationships/ctrlProp" Target="../ctrlProps/ctrlProp126.xml"/><Relationship Id="rId14" Type="http://schemas.openxmlformats.org/officeDocument/2006/relationships/ctrlProp" Target="../ctrlProps/ctrlProp121.xml"/><Relationship Id="rId22" Type="http://schemas.openxmlformats.org/officeDocument/2006/relationships/ctrlProp" Target="../ctrlProps/ctrlProp129.xml"/><Relationship Id="rId27" Type="http://schemas.openxmlformats.org/officeDocument/2006/relationships/ctrlProp" Target="../ctrlProps/ctrlProp134.xml"/><Relationship Id="rId30" Type="http://schemas.openxmlformats.org/officeDocument/2006/relationships/ctrlProp" Target="../ctrlProps/ctrlProp137.xml"/><Relationship Id="rId35" Type="http://schemas.openxmlformats.org/officeDocument/2006/relationships/ctrlProp" Target="../ctrlProps/ctrlProp142.xml"/><Relationship Id="rId43" Type="http://schemas.openxmlformats.org/officeDocument/2006/relationships/ctrlProp" Target="../ctrlProps/ctrlProp150.xml"/><Relationship Id="rId48" Type="http://schemas.openxmlformats.org/officeDocument/2006/relationships/ctrlProp" Target="../ctrlProps/ctrlProp155.xml"/><Relationship Id="rId56" Type="http://schemas.openxmlformats.org/officeDocument/2006/relationships/ctrlProp" Target="../ctrlProps/ctrlProp163.xml"/><Relationship Id="rId64" Type="http://schemas.openxmlformats.org/officeDocument/2006/relationships/ctrlProp" Target="../ctrlProps/ctrlProp171.xml"/><Relationship Id="rId69" Type="http://schemas.openxmlformats.org/officeDocument/2006/relationships/ctrlProp" Target="../ctrlProps/ctrlProp176.xml"/><Relationship Id="rId77" Type="http://schemas.openxmlformats.org/officeDocument/2006/relationships/ctrlProp" Target="../ctrlProps/ctrlProp184.xml"/><Relationship Id="rId100" Type="http://schemas.openxmlformats.org/officeDocument/2006/relationships/ctrlProp" Target="../ctrlProps/ctrlProp207.xml"/><Relationship Id="rId105" Type="http://schemas.openxmlformats.org/officeDocument/2006/relationships/ctrlProp" Target="../ctrlProps/ctrlProp212.xml"/><Relationship Id="rId113" Type="http://schemas.openxmlformats.org/officeDocument/2006/relationships/ctrlProp" Target="../ctrlProps/ctrlProp220.xml"/><Relationship Id="rId8" Type="http://schemas.openxmlformats.org/officeDocument/2006/relationships/ctrlProp" Target="../ctrlProps/ctrlProp115.xml"/><Relationship Id="rId51" Type="http://schemas.openxmlformats.org/officeDocument/2006/relationships/ctrlProp" Target="../ctrlProps/ctrlProp158.xml"/><Relationship Id="rId72" Type="http://schemas.openxmlformats.org/officeDocument/2006/relationships/ctrlProp" Target="../ctrlProps/ctrlProp179.xml"/><Relationship Id="rId80" Type="http://schemas.openxmlformats.org/officeDocument/2006/relationships/ctrlProp" Target="../ctrlProps/ctrlProp187.xml"/><Relationship Id="rId85" Type="http://schemas.openxmlformats.org/officeDocument/2006/relationships/ctrlProp" Target="../ctrlProps/ctrlProp192.xml"/><Relationship Id="rId93" Type="http://schemas.openxmlformats.org/officeDocument/2006/relationships/ctrlProp" Target="../ctrlProps/ctrlProp200.xml"/><Relationship Id="rId98" Type="http://schemas.openxmlformats.org/officeDocument/2006/relationships/ctrlProp" Target="../ctrlProps/ctrlProp205.xml"/><Relationship Id="rId3" Type="http://schemas.openxmlformats.org/officeDocument/2006/relationships/vmlDrawing" Target="../drawings/vmlDrawing3.vml"/><Relationship Id="rId12" Type="http://schemas.openxmlformats.org/officeDocument/2006/relationships/ctrlProp" Target="../ctrlProps/ctrlProp119.xml"/><Relationship Id="rId17" Type="http://schemas.openxmlformats.org/officeDocument/2006/relationships/ctrlProp" Target="../ctrlProps/ctrlProp124.xml"/><Relationship Id="rId25" Type="http://schemas.openxmlformats.org/officeDocument/2006/relationships/ctrlProp" Target="../ctrlProps/ctrlProp132.xml"/><Relationship Id="rId33" Type="http://schemas.openxmlformats.org/officeDocument/2006/relationships/ctrlProp" Target="../ctrlProps/ctrlProp140.xml"/><Relationship Id="rId38" Type="http://schemas.openxmlformats.org/officeDocument/2006/relationships/ctrlProp" Target="../ctrlProps/ctrlProp145.xml"/><Relationship Id="rId46" Type="http://schemas.openxmlformats.org/officeDocument/2006/relationships/ctrlProp" Target="../ctrlProps/ctrlProp153.xml"/><Relationship Id="rId59" Type="http://schemas.openxmlformats.org/officeDocument/2006/relationships/ctrlProp" Target="../ctrlProps/ctrlProp166.xml"/><Relationship Id="rId67" Type="http://schemas.openxmlformats.org/officeDocument/2006/relationships/ctrlProp" Target="../ctrlProps/ctrlProp174.xml"/><Relationship Id="rId103" Type="http://schemas.openxmlformats.org/officeDocument/2006/relationships/ctrlProp" Target="../ctrlProps/ctrlProp210.xml"/><Relationship Id="rId108" Type="http://schemas.openxmlformats.org/officeDocument/2006/relationships/ctrlProp" Target="../ctrlProps/ctrlProp215.xml"/><Relationship Id="rId20" Type="http://schemas.openxmlformats.org/officeDocument/2006/relationships/ctrlProp" Target="../ctrlProps/ctrlProp127.xml"/><Relationship Id="rId41" Type="http://schemas.openxmlformats.org/officeDocument/2006/relationships/ctrlProp" Target="../ctrlProps/ctrlProp148.xml"/><Relationship Id="rId54" Type="http://schemas.openxmlformats.org/officeDocument/2006/relationships/ctrlProp" Target="../ctrlProps/ctrlProp161.xml"/><Relationship Id="rId62" Type="http://schemas.openxmlformats.org/officeDocument/2006/relationships/ctrlProp" Target="../ctrlProps/ctrlProp169.xml"/><Relationship Id="rId70" Type="http://schemas.openxmlformats.org/officeDocument/2006/relationships/ctrlProp" Target="../ctrlProps/ctrlProp177.xml"/><Relationship Id="rId75" Type="http://schemas.openxmlformats.org/officeDocument/2006/relationships/ctrlProp" Target="../ctrlProps/ctrlProp182.xml"/><Relationship Id="rId83" Type="http://schemas.openxmlformats.org/officeDocument/2006/relationships/ctrlProp" Target="../ctrlProps/ctrlProp190.xml"/><Relationship Id="rId88" Type="http://schemas.openxmlformats.org/officeDocument/2006/relationships/ctrlProp" Target="../ctrlProps/ctrlProp195.xml"/><Relationship Id="rId91" Type="http://schemas.openxmlformats.org/officeDocument/2006/relationships/ctrlProp" Target="../ctrlProps/ctrlProp198.xml"/><Relationship Id="rId96" Type="http://schemas.openxmlformats.org/officeDocument/2006/relationships/ctrlProp" Target="../ctrlProps/ctrlProp203.xml"/><Relationship Id="rId111" Type="http://schemas.openxmlformats.org/officeDocument/2006/relationships/ctrlProp" Target="../ctrlProps/ctrlProp218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113.xml"/><Relationship Id="rId15" Type="http://schemas.openxmlformats.org/officeDocument/2006/relationships/ctrlProp" Target="../ctrlProps/ctrlProp122.xml"/><Relationship Id="rId23" Type="http://schemas.openxmlformats.org/officeDocument/2006/relationships/ctrlProp" Target="../ctrlProps/ctrlProp130.xml"/><Relationship Id="rId28" Type="http://schemas.openxmlformats.org/officeDocument/2006/relationships/ctrlProp" Target="../ctrlProps/ctrlProp135.xml"/><Relationship Id="rId36" Type="http://schemas.openxmlformats.org/officeDocument/2006/relationships/ctrlProp" Target="../ctrlProps/ctrlProp143.xml"/><Relationship Id="rId49" Type="http://schemas.openxmlformats.org/officeDocument/2006/relationships/ctrlProp" Target="../ctrlProps/ctrlProp156.xml"/><Relationship Id="rId57" Type="http://schemas.openxmlformats.org/officeDocument/2006/relationships/ctrlProp" Target="../ctrlProps/ctrlProp164.xml"/><Relationship Id="rId106" Type="http://schemas.openxmlformats.org/officeDocument/2006/relationships/ctrlProp" Target="../ctrlProps/ctrlProp213.xml"/><Relationship Id="rId114" Type="http://schemas.openxmlformats.org/officeDocument/2006/relationships/ctrlProp" Target="../ctrlProps/ctrlProp221.xml"/><Relationship Id="rId10" Type="http://schemas.openxmlformats.org/officeDocument/2006/relationships/ctrlProp" Target="../ctrlProps/ctrlProp117.xml"/><Relationship Id="rId31" Type="http://schemas.openxmlformats.org/officeDocument/2006/relationships/ctrlProp" Target="../ctrlProps/ctrlProp138.xml"/><Relationship Id="rId44" Type="http://schemas.openxmlformats.org/officeDocument/2006/relationships/ctrlProp" Target="../ctrlProps/ctrlProp151.xml"/><Relationship Id="rId52" Type="http://schemas.openxmlformats.org/officeDocument/2006/relationships/ctrlProp" Target="../ctrlProps/ctrlProp159.xml"/><Relationship Id="rId60" Type="http://schemas.openxmlformats.org/officeDocument/2006/relationships/ctrlProp" Target="../ctrlProps/ctrlProp167.xml"/><Relationship Id="rId65" Type="http://schemas.openxmlformats.org/officeDocument/2006/relationships/ctrlProp" Target="../ctrlProps/ctrlProp172.xml"/><Relationship Id="rId73" Type="http://schemas.openxmlformats.org/officeDocument/2006/relationships/ctrlProp" Target="../ctrlProps/ctrlProp180.xml"/><Relationship Id="rId78" Type="http://schemas.openxmlformats.org/officeDocument/2006/relationships/ctrlProp" Target="../ctrlProps/ctrlProp185.xml"/><Relationship Id="rId81" Type="http://schemas.openxmlformats.org/officeDocument/2006/relationships/ctrlProp" Target="../ctrlProps/ctrlProp188.xml"/><Relationship Id="rId86" Type="http://schemas.openxmlformats.org/officeDocument/2006/relationships/ctrlProp" Target="../ctrlProps/ctrlProp193.xml"/><Relationship Id="rId94" Type="http://schemas.openxmlformats.org/officeDocument/2006/relationships/ctrlProp" Target="../ctrlProps/ctrlProp201.xml"/><Relationship Id="rId99" Type="http://schemas.openxmlformats.org/officeDocument/2006/relationships/ctrlProp" Target="../ctrlProps/ctrlProp206.xml"/><Relationship Id="rId101" Type="http://schemas.openxmlformats.org/officeDocument/2006/relationships/ctrlProp" Target="../ctrlProps/ctrlProp208.xml"/><Relationship Id="rId4" Type="http://schemas.openxmlformats.org/officeDocument/2006/relationships/vmlDrawing" Target="../drawings/vmlDrawing4.vml"/><Relationship Id="rId9" Type="http://schemas.openxmlformats.org/officeDocument/2006/relationships/ctrlProp" Target="../ctrlProps/ctrlProp116.xml"/><Relationship Id="rId13" Type="http://schemas.openxmlformats.org/officeDocument/2006/relationships/ctrlProp" Target="../ctrlProps/ctrlProp120.xml"/><Relationship Id="rId18" Type="http://schemas.openxmlformats.org/officeDocument/2006/relationships/ctrlProp" Target="../ctrlProps/ctrlProp125.xml"/><Relationship Id="rId39" Type="http://schemas.openxmlformats.org/officeDocument/2006/relationships/ctrlProp" Target="../ctrlProps/ctrlProp146.xml"/><Relationship Id="rId109" Type="http://schemas.openxmlformats.org/officeDocument/2006/relationships/ctrlProp" Target="../ctrlProps/ctrlProp216.xml"/><Relationship Id="rId34" Type="http://schemas.openxmlformats.org/officeDocument/2006/relationships/ctrlProp" Target="../ctrlProps/ctrlProp141.xml"/><Relationship Id="rId50" Type="http://schemas.openxmlformats.org/officeDocument/2006/relationships/ctrlProp" Target="../ctrlProps/ctrlProp157.xml"/><Relationship Id="rId55" Type="http://schemas.openxmlformats.org/officeDocument/2006/relationships/ctrlProp" Target="../ctrlProps/ctrlProp162.xml"/><Relationship Id="rId76" Type="http://schemas.openxmlformats.org/officeDocument/2006/relationships/ctrlProp" Target="../ctrlProps/ctrlProp183.xml"/><Relationship Id="rId97" Type="http://schemas.openxmlformats.org/officeDocument/2006/relationships/ctrlProp" Target="../ctrlProps/ctrlProp204.xml"/><Relationship Id="rId104" Type="http://schemas.openxmlformats.org/officeDocument/2006/relationships/ctrlProp" Target="../ctrlProps/ctrlProp211.xml"/><Relationship Id="rId7" Type="http://schemas.openxmlformats.org/officeDocument/2006/relationships/ctrlProp" Target="../ctrlProps/ctrlProp114.xml"/><Relationship Id="rId71" Type="http://schemas.openxmlformats.org/officeDocument/2006/relationships/ctrlProp" Target="../ctrlProps/ctrlProp178.xml"/><Relationship Id="rId92" Type="http://schemas.openxmlformats.org/officeDocument/2006/relationships/ctrlProp" Target="../ctrlProps/ctrlProp19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13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125"/>
  <sheetViews>
    <sheetView topLeftCell="A10" zoomScale="55" zoomScaleNormal="55" zoomScaleSheetLayoutView="55" zoomScalePageLayoutView="44" workbookViewId="0">
      <selection activeCell="I15" sqref="I15"/>
    </sheetView>
  </sheetViews>
  <sheetFormatPr defaultRowHeight="15.75"/>
  <cols>
    <col min="1" max="1" width="4.85546875" style="15" customWidth="1"/>
    <col min="2" max="2" width="12.28515625" style="15" customWidth="1"/>
    <col min="3" max="3" width="44.28515625" style="1" customWidth="1"/>
    <col min="4" max="4" width="44.42578125" style="1" customWidth="1"/>
    <col min="5" max="5" width="6.5703125" style="1" customWidth="1"/>
    <col min="6" max="6" width="44" style="1" customWidth="1"/>
    <col min="7" max="7" width="11.5703125" style="59" customWidth="1"/>
    <col min="8" max="8" width="11.140625" style="15" customWidth="1"/>
    <col min="9" max="9" width="24" style="15" customWidth="1"/>
    <col min="10" max="10" width="41.5703125" style="68" customWidth="1"/>
  </cols>
  <sheetData>
    <row r="1" spans="1:9" ht="20.25">
      <c r="A1" s="45"/>
      <c r="B1" s="45"/>
      <c r="D1" s="2"/>
      <c r="F1" s="3" t="s">
        <v>0</v>
      </c>
      <c r="G1" s="46">
        <f>COUNTIF(J39:J64,"Hedef Tarihi Geçen")</f>
        <v>1</v>
      </c>
      <c r="H1" s="46">
        <f>G1*100/G5</f>
        <v>25</v>
      </c>
      <c r="I1" s="47"/>
    </row>
    <row r="2" spans="1:9">
      <c r="A2" s="45"/>
      <c r="B2" s="45"/>
      <c r="C2" s="4"/>
      <c r="F2" s="5" t="s">
        <v>1</v>
      </c>
      <c r="G2" s="48">
        <f>COUNTIF(J39:J64,"Hedef Tarihi Geçen")</f>
        <v>1</v>
      </c>
      <c r="H2" s="48">
        <f>G2*100/G5</f>
        <v>25</v>
      </c>
      <c r="I2" s="47"/>
    </row>
    <row r="3" spans="1:9">
      <c r="A3" s="45"/>
      <c r="B3" s="45"/>
      <c r="C3" s="6"/>
      <c r="D3" s="7">
        <f ca="1">TODAY()</f>
        <v>44368</v>
      </c>
      <c r="F3" s="8" t="s">
        <v>2</v>
      </c>
      <c r="G3" s="49">
        <f>COUNTIF(J39:J64,"Hedef Tarihi Geçen")</f>
        <v>1</v>
      </c>
      <c r="H3" s="49">
        <f>G3*100/G5</f>
        <v>25</v>
      </c>
      <c r="I3" s="50"/>
    </row>
    <row r="4" spans="1:9">
      <c r="A4" s="45"/>
      <c r="B4" s="45"/>
      <c r="C4" s="6"/>
      <c r="D4" s="9">
        <f ca="1">NOW()</f>
        <v>44368.598561226849</v>
      </c>
      <c r="F4" s="10" t="s">
        <v>3</v>
      </c>
      <c r="G4" s="51">
        <f>COUNTIF(J39:J64,"Hedef Tarihi Geçen")</f>
        <v>1</v>
      </c>
      <c r="H4" s="51">
        <f>G4*100/G5</f>
        <v>25</v>
      </c>
      <c r="I4" s="50"/>
    </row>
    <row r="5" spans="1:9">
      <c r="A5" s="45"/>
      <c r="B5" s="45"/>
      <c r="C5" s="6"/>
      <c r="D5" s="9"/>
      <c r="F5" s="66" t="s">
        <v>4</v>
      </c>
      <c r="G5" s="67">
        <f>SUM(G1:G4)</f>
        <v>4</v>
      </c>
      <c r="H5" s="67">
        <f>G5*100/G5</f>
        <v>100</v>
      </c>
      <c r="I5" s="50"/>
    </row>
    <row r="6" spans="1:9">
      <c r="A6" s="62"/>
      <c r="B6" s="62"/>
      <c r="C6" s="62"/>
      <c r="D6" s="62"/>
      <c r="E6" s="62"/>
      <c r="F6" s="62"/>
      <c r="G6" s="62"/>
      <c r="H6" s="62"/>
      <c r="I6" s="62"/>
    </row>
    <row r="7" spans="1:9">
      <c r="A7" s="63"/>
      <c r="B7" s="63"/>
      <c r="C7" s="63"/>
      <c r="D7" s="63"/>
      <c r="E7" s="63"/>
      <c r="F7" s="63"/>
      <c r="G7" s="63"/>
      <c r="H7" s="63"/>
      <c r="I7" s="63"/>
    </row>
    <row r="8" spans="1:9">
      <c r="A8" s="52"/>
      <c r="B8" s="52"/>
      <c r="C8" s="13"/>
      <c r="D8" s="14"/>
      <c r="E8" s="15"/>
      <c r="F8" s="16"/>
      <c r="G8" s="16"/>
      <c r="H8" s="16"/>
      <c r="I8" s="16"/>
    </row>
    <row r="9" spans="1:9" ht="26.25">
      <c r="A9" s="53"/>
      <c r="B9" s="53"/>
      <c r="D9" s="65" t="s">
        <v>219</v>
      </c>
      <c r="E9" s="17"/>
      <c r="F9" s="18"/>
      <c r="G9" s="18"/>
      <c r="H9" s="18"/>
      <c r="I9" s="18"/>
    </row>
    <row r="10" spans="1:9">
      <c r="A10" s="38"/>
      <c r="B10" s="38"/>
      <c r="C10" s="19"/>
      <c r="D10" s="20"/>
      <c r="E10" s="19"/>
      <c r="F10" s="21"/>
      <c r="G10" s="42"/>
      <c r="H10" s="43"/>
      <c r="I10" s="54"/>
    </row>
    <row r="11" spans="1:9">
      <c r="A11" s="38"/>
      <c r="B11" s="38"/>
      <c r="C11" s="22" t="s">
        <v>5</v>
      </c>
      <c r="D11" s="23"/>
      <c r="E11" s="19"/>
      <c r="F11" s="21"/>
      <c r="G11" s="42"/>
      <c r="H11" s="43"/>
      <c r="I11" s="50"/>
    </row>
    <row r="12" spans="1:9">
      <c r="A12" s="38"/>
      <c r="B12" s="38"/>
      <c r="C12" s="22" t="s">
        <v>6</v>
      </c>
      <c r="D12" s="19"/>
      <c r="E12" s="19"/>
      <c r="F12" s="21"/>
      <c r="G12" s="42"/>
      <c r="H12" s="43"/>
      <c r="I12" s="50"/>
    </row>
    <row r="13" spans="1:9">
      <c r="A13" s="38"/>
      <c r="B13" s="38"/>
      <c r="C13" s="22"/>
      <c r="D13" s="19"/>
      <c r="E13" s="19"/>
      <c r="F13" s="21"/>
      <c r="G13" s="42"/>
      <c r="H13" s="43"/>
      <c r="I13" s="50"/>
    </row>
    <row r="14" spans="1:9">
      <c r="A14" s="55"/>
      <c r="B14" s="55"/>
      <c r="C14" s="24" t="s">
        <v>7</v>
      </c>
      <c r="D14" s="25" t="s">
        <v>8</v>
      </c>
      <c r="E14" s="26"/>
      <c r="F14" s="27"/>
      <c r="G14" s="26"/>
      <c r="H14" s="26"/>
      <c r="I14" s="26"/>
    </row>
    <row r="15" spans="1:9">
      <c r="A15" s="55"/>
      <c r="B15" s="55"/>
      <c r="C15" s="24"/>
      <c r="D15" s="25"/>
      <c r="E15" s="26"/>
      <c r="F15" s="27"/>
      <c r="G15" s="26"/>
      <c r="H15" s="26"/>
      <c r="I15" s="26"/>
    </row>
    <row r="16" spans="1:9" s="68" customFormat="1">
      <c r="A16" s="56"/>
      <c r="B16" s="56"/>
      <c r="C16" s="24"/>
      <c r="D16" s="28"/>
      <c r="E16" s="26"/>
      <c r="F16" s="29"/>
      <c r="G16" s="26"/>
      <c r="H16" s="26"/>
      <c r="I16" s="26"/>
    </row>
    <row r="17" spans="1:9" s="68" customFormat="1">
      <c r="A17" s="56"/>
      <c r="B17" s="56"/>
      <c r="C17" s="30" t="s">
        <v>11</v>
      </c>
      <c r="D17" s="28"/>
      <c r="E17" s="26"/>
      <c r="F17" s="29"/>
      <c r="G17" s="26"/>
      <c r="H17" s="26"/>
      <c r="I17" s="26"/>
    </row>
    <row r="18" spans="1:9" s="68" customFormat="1">
      <c r="A18" s="56"/>
      <c r="B18" s="56"/>
      <c r="C18" s="31"/>
      <c r="D18" s="32"/>
      <c r="E18" s="33"/>
      <c r="F18" s="34"/>
      <c r="G18" s="26"/>
      <c r="H18" s="26"/>
      <c r="I18" s="26"/>
    </row>
    <row r="19" spans="1:9" s="68" customFormat="1">
      <c r="A19" s="56"/>
      <c r="B19" s="56"/>
      <c r="C19" s="31"/>
      <c r="D19" s="32"/>
      <c r="E19" s="33"/>
      <c r="F19" s="34"/>
      <c r="G19" s="26"/>
      <c r="H19" s="26"/>
      <c r="I19" s="26"/>
    </row>
    <row r="20" spans="1:9" s="68" customFormat="1">
      <c r="A20" s="56"/>
      <c r="B20" s="56"/>
      <c r="C20" s="31"/>
      <c r="D20" s="32"/>
      <c r="E20" s="33"/>
      <c r="F20" s="34"/>
      <c r="G20" s="26"/>
      <c r="H20" s="26"/>
      <c r="I20" s="26"/>
    </row>
    <row r="21" spans="1:9" s="68" customFormat="1">
      <c r="A21" s="55"/>
      <c r="B21" s="55"/>
      <c r="C21" s="30"/>
      <c r="D21" s="28"/>
      <c r="E21" s="26"/>
      <c r="F21" s="29"/>
      <c r="G21" s="26"/>
      <c r="H21" s="26"/>
      <c r="I21" s="26"/>
    </row>
    <row r="22" spans="1:9" s="68" customFormat="1">
      <c r="A22" s="56"/>
      <c r="B22" s="56"/>
      <c r="C22" s="35"/>
      <c r="D22" s="28"/>
      <c r="E22" s="26"/>
      <c r="F22" s="29"/>
      <c r="G22" s="26"/>
      <c r="H22" s="26"/>
      <c r="I22" s="26"/>
    </row>
    <row r="23" spans="1:9" s="68" customFormat="1">
      <c r="A23" s="57"/>
      <c r="B23" s="57"/>
      <c r="C23" s="35"/>
      <c r="D23" s="36"/>
      <c r="E23" s="36"/>
      <c r="F23" s="37"/>
      <c r="G23" s="58"/>
      <c r="H23" s="58"/>
      <c r="I23" s="58"/>
    </row>
    <row r="24" spans="1:9" s="68" customFormat="1">
      <c r="A24" s="140"/>
      <c r="B24" s="140"/>
      <c r="C24" s="140"/>
      <c r="D24" s="140"/>
      <c r="E24" s="140"/>
      <c r="F24" s="140"/>
      <c r="G24" s="138"/>
      <c r="H24" s="138"/>
      <c r="I24" s="138"/>
    </row>
    <row r="25" spans="1:9" s="68" customFormat="1">
      <c r="A25" s="63"/>
      <c r="B25" s="63"/>
      <c r="C25" s="63"/>
      <c r="D25" s="63"/>
      <c r="E25" s="63"/>
      <c r="F25" s="63"/>
      <c r="G25" s="63"/>
      <c r="H25" s="63"/>
      <c r="I25" s="63"/>
    </row>
    <row r="26" spans="1:9" s="68" customFormat="1">
      <c r="A26" s="12"/>
      <c r="B26" s="12"/>
      <c r="C26" s="12"/>
      <c r="D26" s="12"/>
      <c r="E26" s="12"/>
      <c r="F26" s="12"/>
      <c r="G26" s="12"/>
      <c r="H26" s="12"/>
      <c r="I26" s="12"/>
    </row>
    <row r="27" spans="1:9" s="68" customFormat="1">
      <c r="A27" s="56"/>
      <c r="B27" s="56"/>
      <c r="C27" s="35"/>
      <c r="D27" s="28"/>
      <c r="E27" s="26"/>
      <c r="F27" s="29"/>
      <c r="G27" s="64"/>
      <c r="H27" s="64"/>
      <c r="I27" s="64"/>
    </row>
    <row r="28" spans="1:9" s="68" customFormat="1">
      <c r="A28" s="57"/>
      <c r="B28" s="57"/>
      <c r="C28" s="35"/>
      <c r="D28" s="36"/>
      <c r="E28" s="36"/>
      <c r="F28" s="37"/>
      <c r="G28" s="42"/>
      <c r="H28" s="43"/>
      <c r="I28" s="17"/>
    </row>
    <row r="29" spans="1:9" s="68" customFormat="1">
      <c r="A29" s="140"/>
      <c r="B29" s="140"/>
      <c r="C29" s="140"/>
      <c r="D29" s="140"/>
      <c r="E29" s="140"/>
      <c r="F29" s="140"/>
      <c r="G29" s="59"/>
      <c r="H29" s="15"/>
      <c r="I29" s="15"/>
    </row>
    <row r="30" spans="1:9" s="68" customFormat="1">
      <c r="A30" s="63"/>
      <c r="B30" s="63"/>
      <c r="C30" s="63"/>
      <c r="D30" s="63"/>
      <c r="E30" s="63"/>
      <c r="F30" s="63"/>
      <c r="G30" s="59"/>
      <c r="H30" s="15"/>
      <c r="I30" s="15"/>
    </row>
    <row r="31" spans="1:9" s="68" customFormat="1">
      <c r="A31" s="12"/>
      <c r="B31" s="12"/>
      <c r="C31" s="12"/>
      <c r="D31" s="12"/>
      <c r="E31" s="12"/>
      <c r="F31" s="12"/>
      <c r="G31" s="59"/>
      <c r="H31" s="15"/>
      <c r="I31" s="15"/>
    </row>
    <row r="32" spans="1:9">
      <c r="A32" s="56"/>
      <c r="B32" s="56"/>
      <c r="C32" s="35"/>
      <c r="D32" s="28"/>
      <c r="E32" s="26"/>
      <c r="F32" s="29"/>
    </row>
    <row r="33" spans="1:10">
      <c r="A33" s="57"/>
      <c r="B33" s="57"/>
      <c r="C33" s="35"/>
      <c r="D33" s="36"/>
      <c r="E33" s="36"/>
      <c r="F33" s="37"/>
    </row>
    <row r="34" spans="1:10" s="126" customFormat="1">
      <c r="A34" s="127"/>
      <c r="B34" s="128" t="s">
        <v>5</v>
      </c>
      <c r="C34" s="129"/>
      <c r="D34" s="130" t="s">
        <v>12</v>
      </c>
      <c r="E34" s="115"/>
      <c r="F34" s="131"/>
      <c r="G34" s="131"/>
      <c r="H34" s="131"/>
      <c r="I34" s="131"/>
      <c r="J34" s="68"/>
    </row>
    <row r="35" spans="1:10" s="126" customFormat="1" ht="30" customHeight="1">
      <c r="A35" s="127"/>
      <c r="B35" s="132" t="s">
        <v>13</v>
      </c>
      <c r="C35" s="129"/>
      <c r="D35" s="133" t="s">
        <v>14</v>
      </c>
      <c r="E35" s="134" t="s">
        <v>19</v>
      </c>
      <c r="F35" s="134"/>
      <c r="G35" s="134"/>
      <c r="H35" s="131"/>
      <c r="I35" s="131"/>
      <c r="J35" s="68"/>
    </row>
    <row r="36" spans="1:10" s="126" customFormat="1" ht="15.75" customHeight="1">
      <c r="A36" s="127"/>
      <c r="B36" s="127"/>
      <c r="C36" s="135"/>
      <c r="D36" s="136" t="s">
        <v>15</v>
      </c>
      <c r="E36" s="137" t="s">
        <v>20</v>
      </c>
      <c r="F36" s="137"/>
      <c r="G36" s="137"/>
      <c r="H36" s="131"/>
      <c r="I36" s="131"/>
      <c r="J36" s="68"/>
    </row>
    <row r="37" spans="1:10">
      <c r="A37" s="41"/>
      <c r="B37" s="41"/>
      <c r="C37" s="39"/>
      <c r="D37" s="40"/>
      <c r="E37" s="19"/>
      <c r="F37" s="21"/>
      <c r="G37" s="42"/>
      <c r="H37" s="43"/>
      <c r="I37" s="44"/>
    </row>
    <row r="38" spans="1:10" s="70" customFormat="1" ht="30">
      <c r="A38" s="71" t="s">
        <v>21</v>
      </c>
      <c r="B38" s="71" t="s">
        <v>218</v>
      </c>
      <c r="C38" s="72" t="s">
        <v>217</v>
      </c>
      <c r="D38" s="73" t="s">
        <v>16</v>
      </c>
      <c r="E38" s="74" t="s">
        <v>17</v>
      </c>
      <c r="F38" s="73" t="s">
        <v>18</v>
      </c>
      <c r="G38" s="74" t="s">
        <v>22</v>
      </c>
      <c r="H38" s="75" t="s">
        <v>23</v>
      </c>
      <c r="I38" s="75" t="s">
        <v>24</v>
      </c>
      <c r="J38" s="69" t="s">
        <v>25</v>
      </c>
    </row>
    <row r="39" spans="1:10" s="70" customFormat="1">
      <c r="A39" s="76">
        <v>1</v>
      </c>
      <c r="B39" s="139"/>
      <c r="C39" s="117"/>
      <c r="D39" s="77"/>
      <c r="E39" s="77"/>
      <c r="F39" s="77"/>
      <c r="G39" s="78"/>
      <c r="H39" s="79"/>
      <c r="I39" s="79"/>
      <c r="J39" s="80" t="s">
        <v>0</v>
      </c>
    </row>
    <row r="40" spans="1:10" s="70" customFormat="1">
      <c r="A40" s="76">
        <f>A39+1</f>
        <v>2</v>
      </c>
      <c r="B40" s="139"/>
      <c r="C40" s="117"/>
      <c r="D40" s="81"/>
      <c r="E40" s="81"/>
      <c r="F40" s="81"/>
      <c r="G40" s="81"/>
      <c r="H40" s="82"/>
      <c r="I40" s="82"/>
      <c r="J40" s="80" t="s">
        <v>1</v>
      </c>
    </row>
    <row r="41" spans="1:10" s="70" customFormat="1">
      <c r="A41" s="76">
        <f t="shared" ref="A41:A64" si="0">A40+1</f>
        <v>3</v>
      </c>
      <c r="B41" s="139"/>
      <c r="C41" s="117"/>
      <c r="D41" s="77"/>
      <c r="E41" s="77"/>
      <c r="F41" s="77"/>
      <c r="G41" s="81"/>
      <c r="H41" s="83"/>
      <c r="I41" s="83"/>
      <c r="J41" s="80" t="s">
        <v>2</v>
      </c>
    </row>
    <row r="42" spans="1:10" s="70" customFormat="1">
      <c r="A42" s="76">
        <f t="shared" si="0"/>
        <v>4</v>
      </c>
      <c r="B42" s="139"/>
      <c r="C42" s="117"/>
      <c r="D42" s="81"/>
      <c r="E42" s="81"/>
      <c r="F42" s="81"/>
      <c r="G42" s="84"/>
      <c r="H42" s="85"/>
      <c r="I42" s="85"/>
      <c r="J42" s="80" t="s">
        <v>3</v>
      </c>
    </row>
    <row r="43" spans="1:10" s="70" customFormat="1">
      <c r="A43" s="76">
        <f t="shared" si="0"/>
        <v>5</v>
      </c>
      <c r="B43" s="139"/>
      <c r="C43" s="117"/>
      <c r="D43" s="77"/>
      <c r="E43" s="77"/>
      <c r="F43" s="77"/>
      <c r="G43" s="81"/>
      <c r="H43" s="85"/>
      <c r="I43" s="85"/>
      <c r="J43" s="69"/>
    </row>
    <row r="44" spans="1:10" s="70" customFormat="1">
      <c r="A44" s="76">
        <f t="shared" si="0"/>
        <v>6</v>
      </c>
      <c r="B44" s="139"/>
      <c r="C44" s="117"/>
      <c r="D44" s="81"/>
      <c r="E44" s="81"/>
      <c r="F44" s="81"/>
      <c r="G44" s="81"/>
      <c r="H44" s="86"/>
      <c r="I44" s="86"/>
      <c r="J44" s="69"/>
    </row>
    <row r="45" spans="1:10" s="70" customFormat="1">
      <c r="A45" s="76">
        <f t="shared" si="0"/>
        <v>7</v>
      </c>
      <c r="B45" s="139"/>
      <c r="C45" s="117"/>
      <c r="D45" s="77"/>
      <c r="E45" s="77"/>
      <c r="F45" s="77"/>
      <c r="G45" s="81"/>
      <c r="H45" s="86"/>
      <c r="I45" s="86"/>
      <c r="J45" s="69"/>
    </row>
    <row r="46" spans="1:10" s="70" customFormat="1">
      <c r="A46" s="76">
        <f t="shared" si="0"/>
        <v>8</v>
      </c>
      <c r="B46" s="139"/>
      <c r="C46" s="117"/>
      <c r="D46" s="81"/>
      <c r="E46" s="81"/>
      <c r="F46" s="81"/>
      <c r="G46" s="81"/>
      <c r="H46" s="86"/>
      <c r="I46" s="86"/>
      <c r="J46" s="69"/>
    </row>
    <row r="47" spans="1:10" s="70" customFormat="1">
      <c r="A47" s="76">
        <f t="shared" si="0"/>
        <v>9</v>
      </c>
      <c r="B47" s="141"/>
      <c r="C47" s="117"/>
      <c r="D47" s="77"/>
      <c r="E47" s="77"/>
      <c r="F47" s="77"/>
      <c r="G47" s="84"/>
      <c r="H47" s="86"/>
      <c r="I47" s="86"/>
      <c r="J47" s="69"/>
    </row>
    <row r="48" spans="1:10" s="70" customFormat="1">
      <c r="A48" s="76">
        <f t="shared" si="0"/>
        <v>10</v>
      </c>
      <c r="B48" s="142"/>
      <c r="C48" s="117"/>
      <c r="D48" s="81"/>
      <c r="E48" s="81"/>
      <c r="F48" s="81"/>
      <c r="G48" s="84"/>
      <c r="H48" s="86"/>
      <c r="I48" s="86"/>
      <c r="J48" s="69"/>
    </row>
    <row r="49" spans="1:10" s="70" customFormat="1">
      <c r="A49" s="76">
        <f t="shared" si="0"/>
        <v>11</v>
      </c>
      <c r="B49" s="143"/>
      <c r="C49" s="117"/>
      <c r="D49" s="77"/>
      <c r="E49" s="77"/>
      <c r="F49" s="77"/>
      <c r="G49" s="81"/>
      <c r="H49" s="86"/>
      <c r="I49" s="86"/>
      <c r="J49" s="69"/>
    </row>
    <row r="50" spans="1:10" s="70" customFormat="1">
      <c r="A50" s="76">
        <f t="shared" si="0"/>
        <v>12</v>
      </c>
      <c r="B50" s="139"/>
      <c r="C50" s="117"/>
      <c r="D50" s="81"/>
      <c r="E50" s="81"/>
      <c r="F50" s="81"/>
      <c r="G50" s="84"/>
      <c r="H50" s="86"/>
      <c r="I50" s="86"/>
      <c r="J50" s="69"/>
    </row>
    <row r="51" spans="1:10" s="70" customFormat="1">
      <c r="A51" s="76">
        <f t="shared" si="0"/>
        <v>13</v>
      </c>
      <c r="B51" s="139"/>
      <c r="C51" s="117"/>
      <c r="D51" s="77"/>
      <c r="E51" s="77"/>
      <c r="F51" s="77"/>
      <c r="G51" s="84"/>
      <c r="H51" s="86"/>
      <c r="I51" s="86"/>
      <c r="J51" s="69"/>
    </row>
    <row r="52" spans="1:10" s="70" customFormat="1">
      <c r="A52" s="76">
        <f t="shared" si="0"/>
        <v>14</v>
      </c>
      <c r="B52" s="139"/>
      <c r="C52" s="117"/>
      <c r="D52" s="81"/>
      <c r="E52" s="81"/>
      <c r="F52" s="81"/>
      <c r="G52" s="81"/>
      <c r="H52" s="87"/>
      <c r="I52" s="87"/>
      <c r="J52" s="69"/>
    </row>
    <row r="53" spans="1:10" s="70" customFormat="1">
      <c r="A53" s="76">
        <f t="shared" si="0"/>
        <v>15</v>
      </c>
      <c r="B53" s="139"/>
      <c r="C53" s="117"/>
      <c r="D53" s="77"/>
      <c r="E53" s="77"/>
      <c r="F53" s="77"/>
      <c r="G53" s="81"/>
      <c r="H53" s="87"/>
      <c r="I53" s="87"/>
      <c r="J53" s="69"/>
    </row>
    <row r="54" spans="1:10" s="70" customFormat="1">
      <c r="A54" s="76">
        <f t="shared" si="0"/>
        <v>16</v>
      </c>
      <c r="B54" s="139"/>
      <c r="C54" s="117"/>
      <c r="D54" s="81"/>
      <c r="E54" s="81"/>
      <c r="F54" s="81"/>
      <c r="G54" s="81"/>
      <c r="H54" s="87"/>
      <c r="I54" s="87"/>
      <c r="J54" s="69"/>
    </row>
    <row r="55" spans="1:10" s="70" customFormat="1">
      <c r="A55" s="76">
        <f t="shared" si="0"/>
        <v>17</v>
      </c>
      <c r="B55" s="139"/>
      <c r="C55" s="117"/>
      <c r="D55" s="77"/>
      <c r="E55" s="77"/>
      <c r="F55" s="77"/>
      <c r="G55" s="84"/>
      <c r="H55" s="88"/>
      <c r="I55" s="88"/>
      <c r="J55" s="69"/>
    </row>
    <row r="56" spans="1:10" s="70" customFormat="1">
      <c r="A56" s="76">
        <f t="shared" si="0"/>
        <v>18</v>
      </c>
      <c r="B56" s="139"/>
      <c r="C56" s="117"/>
      <c r="D56" s="81"/>
      <c r="E56" s="81"/>
      <c r="F56" s="81"/>
      <c r="G56" s="81"/>
      <c r="H56" s="88"/>
      <c r="I56" s="89"/>
      <c r="J56" s="69"/>
    </row>
    <row r="57" spans="1:10" s="70" customFormat="1">
      <c r="A57" s="76">
        <f t="shared" si="0"/>
        <v>19</v>
      </c>
      <c r="B57" s="139"/>
      <c r="C57" s="117"/>
      <c r="D57" s="77"/>
      <c r="E57" s="77"/>
      <c r="F57" s="77"/>
      <c r="G57" s="81"/>
      <c r="H57" s="89"/>
      <c r="I57" s="89"/>
      <c r="J57" s="69"/>
    </row>
    <row r="58" spans="1:10" s="70" customFormat="1">
      <c r="A58" s="76">
        <f t="shared" si="0"/>
        <v>20</v>
      </c>
      <c r="B58" s="139"/>
      <c r="C58" s="117"/>
      <c r="D58" s="81"/>
      <c r="E58" s="81"/>
      <c r="F58" s="81"/>
      <c r="G58" s="81"/>
      <c r="H58" s="90"/>
      <c r="I58" s="91"/>
      <c r="J58" s="69"/>
    </row>
    <row r="59" spans="1:10" s="70" customFormat="1">
      <c r="A59" s="76">
        <f t="shared" si="0"/>
        <v>21</v>
      </c>
      <c r="B59" s="139"/>
      <c r="C59" s="117"/>
      <c r="D59" s="77"/>
      <c r="E59" s="77"/>
      <c r="F59" s="77"/>
      <c r="G59" s="78"/>
      <c r="H59" s="90"/>
      <c r="I59" s="90"/>
      <c r="J59" s="69"/>
    </row>
    <row r="60" spans="1:10" s="70" customFormat="1">
      <c r="A60" s="76">
        <f t="shared" si="0"/>
        <v>22</v>
      </c>
      <c r="B60" s="139"/>
      <c r="C60" s="117"/>
      <c r="D60" s="81"/>
      <c r="E60" s="81"/>
      <c r="F60" s="81"/>
      <c r="G60" s="78"/>
      <c r="H60" s="90"/>
      <c r="I60" s="90"/>
      <c r="J60" s="69"/>
    </row>
    <row r="61" spans="1:10" s="70" customFormat="1">
      <c r="A61" s="76">
        <f t="shared" si="0"/>
        <v>23</v>
      </c>
      <c r="B61" s="139"/>
      <c r="C61" s="117"/>
      <c r="D61" s="77"/>
      <c r="E61" s="77"/>
      <c r="F61" s="77"/>
      <c r="G61" s="81"/>
      <c r="H61" s="90"/>
      <c r="I61" s="90"/>
      <c r="J61" s="69"/>
    </row>
    <row r="62" spans="1:10" s="70" customFormat="1">
      <c r="A62" s="76">
        <f t="shared" si="0"/>
        <v>24</v>
      </c>
      <c r="B62" s="139"/>
      <c r="C62" s="117"/>
      <c r="D62" s="81"/>
      <c r="E62" s="81"/>
      <c r="F62" s="81"/>
      <c r="G62" s="81"/>
      <c r="H62" s="90"/>
      <c r="I62" s="90"/>
      <c r="J62" s="69"/>
    </row>
    <row r="63" spans="1:10" s="70" customFormat="1">
      <c r="A63" s="76">
        <f t="shared" si="0"/>
        <v>25</v>
      </c>
      <c r="B63" s="139"/>
      <c r="C63" s="117"/>
      <c r="D63" s="77"/>
      <c r="E63" s="77"/>
      <c r="F63" s="77"/>
      <c r="G63" s="81"/>
      <c r="H63" s="90"/>
      <c r="I63" s="90"/>
      <c r="J63" s="69"/>
    </row>
    <row r="64" spans="1:10" s="70" customFormat="1">
      <c r="A64" s="76">
        <f t="shared" si="0"/>
        <v>26</v>
      </c>
      <c r="B64" s="139"/>
      <c r="C64" s="117"/>
      <c r="D64" s="81"/>
      <c r="E64" s="81"/>
      <c r="F64" s="81"/>
      <c r="G64" s="81"/>
      <c r="H64" s="90"/>
      <c r="I64" s="90"/>
      <c r="J64" s="69"/>
    </row>
    <row r="65" spans="1:9" s="68" customFormat="1">
      <c r="A65" s="60"/>
      <c r="B65" s="119"/>
      <c r="C65" s="120"/>
      <c r="D65" s="1"/>
      <c r="E65" s="1"/>
      <c r="F65" s="1"/>
      <c r="G65" s="59"/>
      <c r="H65" s="61"/>
      <c r="I65" s="61"/>
    </row>
    <row r="66" spans="1:9" s="68" customFormat="1">
      <c r="A66" s="60"/>
      <c r="B66" s="60"/>
      <c r="C66" s="1"/>
      <c r="D66" s="1"/>
      <c r="E66" s="1"/>
      <c r="F66" s="1"/>
      <c r="G66" s="59"/>
      <c r="H66" s="61"/>
      <c r="I66" s="61"/>
    </row>
    <row r="67" spans="1:9" s="68" customFormat="1">
      <c r="A67" s="60"/>
      <c r="B67" s="60"/>
      <c r="C67" s="1"/>
      <c r="D67" s="1"/>
      <c r="E67" s="1"/>
      <c r="F67" s="1"/>
      <c r="G67" s="59"/>
      <c r="H67" s="61"/>
      <c r="I67" s="61"/>
    </row>
    <row r="68" spans="1:9" s="68" customFormat="1">
      <c r="A68" s="60"/>
      <c r="B68" s="60"/>
      <c r="C68" s="1"/>
      <c r="D68" s="1"/>
      <c r="E68" s="1"/>
      <c r="F68" s="1"/>
      <c r="G68" s="59"/>
      <c r="H68" s="61"/>
      <c r="I68" s="61"/>
    </row>
    <row r="69" spans="1:9" s="68" customFormat="1">
      <c r="A69" s="60"/>
      <c r="B69" s="60"/>
      <c r="C69" s="1"/>
      <c r="D69" s="1"/>
      <c r="E69" s="1"/>
      <c r="F69" s="1"/>
      <c r="G69" s="59"/>
      <c r="H69" s="61"/>
      <c r="I69" s="61"/>
    </row>
    <row r="70" spans="1:9" s="68" customFormat="1">
      <c r="A70" s="60"/>
      <c r="B70" s="60"/>
      <c r="C70" s="1"/>
      <c r="D70" s="1"/>
      <c r="E70" s="1"/>
      <c r="F70" s="1"/>
      <c r="G70" s="59"/>
      <c r="H70" s="61"/>
      <c r="I70" s="61"/>
    </row>
    <row r="71" spans="1:9" s="68" customFormat="1">
      <c r="A71" s="60"/>
      <c r="B71" s="60"/>
      <c r="C71" s="1"/>
      <c r="D71" s="1"/>
      <c r="E71" s="1"/>
      <c r="F71" s="1"/>
      <c r="G71" s="59"/>
      <c r="H71" s="61"/>
      <c r="I71" s="61"/>
    </row>
    <row r="72" spans="1:9" s="68" customFormat="1">
      <c r="A72" s="60"/>
      <c r="B72" s="60"/>
      <c r="C72" s="1"/>
      <c r="D72" s="1"/>
      <c r="E72" s="1"/>
      <c r="F72" s="1"/>
      <c r="G72" s="59"/>
      <c r="H72" s="61"/>
      <c r="I72" s="61"/>
    </row>
    <row r="73" spans="1:9" s="68" customFormat="1">
      <c r="A73" s="60"/>
      <c r="B73" s="60"/>
      <c r="C73" s="1"/>
      <c r="D73" s="1"/>
      <c r="E73" s="1"/>
      <c r="F73" s="1"/>
      <c r="G73" s="59"/>
      <c r="H73" s="61"/>
      <c r="I73" s="61"/>
    </row>
    <row r="74" spans="1:9" s="68" customFormat="1">
      <c r="A74" s="60"/>
      <c r="B74" s="60"/>
      <c r="C74" s="1"/>
      <c r="D74" s="1"/>
      <c r="E74" s="1"/>
      <c r="F74" s="1"/>
      <c r="G74" s="59"/>
      <c r="H74" s="61"/>
      <c r="I74" s="61"/>
    </row>
    <row r="75" spans="1:9" s="68" customFormat="1">
      <c r="A75" s="60"/>
      <c r="B75" s="60"/>
      <c r="C75" s="1"/>
      <c r="D75" s="1"/>
      <c r="E75" s="1"/>
      <c r="F75" s="1"/>
      <c r="G75" s="59"/>
      <c r="H75" s="61"/>
      <c r="I75" s="61"/>
    </row>
    <row r="76" spans="1:9" s="68" customFormat="1">
      <c r="A76" s="60"/>
      <c r="B76" s="60"/>
      <c r="C76" s="1"/>
      <c r="D76" s="1"/>
      <c r="E76" s="1"/>
      <c r="F76" s="1"/>
      <c r="G76" s="59"/>
      <c r="H76" s="61"/>
      <c r="I76" s="61"/>
    </row>
    <row r="77" spans="1:9" s="68" customFormat="1">
      <c r="A77" s="60"/>
      <c r="B77" s="60"/>
      <c r="C77" s="1"/>
      <c r="D77" s="1"/>
      <c r="E77" s="1"/>
      <c r="F77" s="1"/>
      <c r="G77" s="59"/>
      <c r="H77" s="61"/>
      <c r="I77" s="61"/>
    </row>
    <row r="78" spans="1:9" s="68" customFormat="1">
      <c r="A78" s="60"/>
      <c r="B78" s="60"/>
      <c r="C78" s="1"/>
      <c r="D78" s="1"/>
      <c r="E78" s="1"/>
      <c r="F78" s="1"/>
      <c r="G78" s="59"/>
      <c r="H78" s="61"/>
      <c r="I78" s="61"/>
    </row>
    <row r="79" spans="1:9" s="68" customFormat="1">
      <c r="A79" s="60"/>
      <c r="B79" s="60"/>
      <c r="C79" s="1"/>
      <c r="D79" s="1"/>
      <c r="E79" s="1"/>
      <c r="F79" s="1"/>
      <c r="G79" s="59"/>
      <c r="H79" s="61"/>
      <c r="I79" s="61"/>
    </row>
    <row r="80" spans="1:9" s="68" customFormat="1">
      <c r="A80" s="60"/>
      <c r="B80" s="60"/>
      <c r="C80" s="1"/>
      <c r="D80" s="1"/>
      <c r="E80" s="1"/>
      <c r="F80" s="1"/>
      <c r="G80" s="59"/>
      <c r="H80" s="61"/>
      <c r="I80" s="61"/>
    </row>
    <row r="81" spans="1:9" s="68" customFormat="1">
      <c r="A81" s="60"/>
      <c r="B81" s="60"/>
      <c r="C81" s="1"/>
      <c r="D81" s="1"/>
      <c r="E81" s="1"/>
      <c r="F81" s="1"/>
      <c r="G81" s="59"/>
      <c r="H81" s="61"/>
      <c r="I81" s="61"/>
    </row>
    <row r="82" spans="1:9" s="68" customFormat="1">
      <c r="A82" s="60"/>
      <c r="B82" s="60"/>
      <c r="C82" s="1"/>
      <c r="D82" s="1"/>
      <c r="E82" s="1"/>
      <c r="F82" s="1"/>
      <c r="G82" s="59"/>
      <c r="H82" s="61"/>
      <c r="I82" s="61"/>
    </row>
    <row r="83" spans="1:9" s="68" customFormat="1">
      <c r="A83" s="60"/>
      <c r="B83" s="60"/>
      <c r="C83" s="1"/>
      <c r="D83" s="1"/>
      <c r="E83" s="1"/>
      <c r="F83" s="1"/>
      <c r="G83" s="59"/>
      <c r="H83" s="61"/>
      <c r="I83" s="61"/>
    </row>
    <row r="84" spans="1:9" s="68" customFormat="1">
      <c r="A84" s="60"/>
      <c r="B84" s="60"/>
      <c r="C84" s="1"/>
      <c r="D84" s="1"/>
      <c r="E84" s="1"/>
      <c r="F84" s="1"/>
      <c r="G84" s="59"/>
      <c r="H84" s="61"/>
      <c r="I84" s="61"/>
    </row>
    <row r="85" spans="1:9" s="68" customFormat="1">
      <c r="A85" s="60"/>
      <c r="B85" s="60"/>
      <c r="C85" s="1"/>
      <c r="D85" s="1"/>
      <c r="E85" s="1"/>
      <c r="F85" s="1"/>
      <c r="G85" s="59"/>
      <c r="H85" s="61"/>
      <c r="I85" s="61"/>
    </row>
    <row r="86" spans="1:9" s="68" customFormat="1">
      <c r="A86" s="60"/>
      <c r="B86" s="60"/>
      <c r="C86" s="1"/>
      <c r="D86" s="1"/>
      <c r="E86" s="1"/>
      <c r="F86" s="1"/>
      <c r="G86" s="59"/>
      <c r="H86" s="61"/>
      <c r="I86" s="61"/>
    </row>
    <row r="87" spans="1:9" s="68" customFormat="1">
      <c r="A87" s="60"/>
      <c r="B87" s="60"/>
      <c r="C87" s="1"/>
      <c r="D87" s="1"/>
      <c r="E87" s="1"/>
      <c r="F87" s="1"/>
      <c r="G87" s="59"/>
      <c r="H87" s="61"/>
      <c r="I87" s="61"/>
    </row>
    <row r="88" spans="1:9" s="68" customFormat="1">
      <c r="A88" s="60"/>
      <c r="B88" s="60"/>
      <c r="C88" s="1"/>
      <c r="D88" s="1"/>
      <c r="E88" s="1"/>
      <c r="F88" s="1"/>
      <c r="G88" s="59"/>
      <c r="H88" s="61"/>
      <c r="I88" s="61"/>
    </row>
    <row r="89" spans="1:9" s="68" customFormat="1">
      <c r="A89" s="60"/>
      <c r="B89" s="60"/>
      <c r="C89" s="1"/>
      <c r="D89" s="1"/>
      <c r="E89" s="1"/>
      <c r="F89" s="1"/>
      <c r="G89" s="59"/>
      <c r="H89" s="61"/>
      <c r="I89" s="61"/>
    </row>
    <row r="90" spans="1:9" s="68" customFormat="1">
      <c r="A90" s="60"/>
      <c r="B90" s="60"/>
      <c r="C90" s="1"/>
      <c r="D90" s="1"/>
      <c r="E90" s="1"/>
      <c r="F90" s="1"/>
      <c r="G90" s="59"/>
      <c r="H90" s="61"/>
      <c r="I90" s="61"/>
    </row>
    <row r="91" spans="1:9" s="68" customFormat="1">
      <c r="A91" s="60"/>
      <c r="B91" s="60"/>
      <c r="C91" s="1"/>
      <c r="D91" s="1"/>
      <c r="E91" s="1"/>
      <c r="F91" s="1"/>
      <c r="G91" s="59"/>
      <c r="H91" s="61"/>
      <c r="I91" s="61"/>
    </row>
    <row r="92" spans="1:9" s="68" customFormat="1">
      <c r="A92" s="60"/>
      <c r="B92" s="60"/>
      <c r="C92" s="1"/>
      <c r="D92" s="1"/>
      <c r="E92" s="1"/>
      <c r="F92" s="1"/>
      <c r="G92" s="59"/>
      <c r="H92" s="61"/>
      <c r="I92" s="61"/>
    </row>
    <row r="93" spans="1:9" s="68" customFormat="1">
      <c r="A93" s="60"/>
      <c r="B93" s="60"/>
      <c r="C93" s="1"/>
      <c r="D93" s="1"/>
      <c r="E93" s="1"/>
      <c r="F93" s="1"/>
      <c r="G93" s="59"/>
      <c r="H93" s="61"/>
      <c r="I93" s="61"/>
    </row>
    <row r="94" spans="1:9" s="68" customFormat="1">
      <c r="A94" s="60"/>
      <c r="B94" s="60"/>
      <c r="C94" s="1"/>
      <c r="D94" s="1"/>
      <c r="E94" s="1"/>
      <c r="F94" s="1"/>
      <c r="G94" s="59"/>
      <c r="H94" s="61"/>
      <c r="I94" s="61"/>
    </row>
    <row r="95" spans="1:9" s="68" customFormat="1">
      <c r="A95" s="60"/>
      <c r="B95" s="60"/>
      <c r="C95" s="1"/>
      <c r="D95" s="1"/>
      <c r="E95" s="1"/>
      <c r="F95" s="1"/>
      <c r="G95" s="59"/>
      <c r="H95" s="61"/>
      <c r="I95" s="61"/>
    </row>
    <row r="96" spans="1:9" s="68" customFormat="1">
      <c r="A96" s="60"/>
      <c r="B96" s="60"/>
      <c r="C96" s="1"/>
      <c r="D96" s="1"/>
      <c r="E96" s="1"/>
      <c r="F96" s="1"/>
      <c r="G96" s="59"/>
      <c r="H96" s="61"/>
      <c r="I96" s="61"/>
    </row>
    <row r="97" spans="1:9" s="68" customFormat="1">
      <c r="A97" s="60"/>
      <c r="B97" s="60"/>
      <c r="C97" s="1"/>
      <c r="D97" s="1"/>
      <c r="E97" s="1"/>
      <c r="F97" s="1"/>
      <c r="G97" s="59"/>
      <c r="H97" s="61"/>
      <c r="I97" s="61"/>
    </row>
    <row r="98" spans="1:9" s="68" customFormat="1">
      <c r="A98" s="60"/>
      <c r="B98" s="60"/>
      <c r="C98" s="1"/>
      <c r="D98" s="1"/>
      <c r="E98" s="1"/>
      <c r="F98" s="1"/>
      <c r="G98" s="59"/>
      <c r="H98" s="61"/>
      <c r="I98" s="61"/>
    </row>
    <row r="99" spans="1:9" s="68" customFormat="1">
      <c r="A99" s="60"/>
      <c r="B99" s="60"/>
      <c r="C99" s="1"/>
      <c r="D99" s="1"/>
      <c r="E99" s="1"/>
      <c r="F99" s="1"/>
      <c r="G99" s="59"/>
      <c r="H99" s="61"/>
      <c r="I99" s="61"/>
    </row>
    <row r="100" spans="1:9" s="68" customFormat="1">
      <c r="A100" s="60"/>
      <c r="B100" s="60"/>
      <c r="C100" s="1"/>
      <c r="D100" s="1"/>
      <c r="E100" s="1"/>
      <c r="F100" s="1"/>
      <c r="G100" s="59"/>
      <c r="H100" s="61"/>
      <c r="I100" s="61"/>
    </row>
    <row r="101" spans="1:9" s="68" customFormat="1">
      <c r="A101" s="60"/>
      <c r="B101" s="60"/>
      <c r="C101" s="1"/>
      <c r="D101" s="1"/>
      <c r="E101" s="1"/>
      <c r="F101" s="1"/>
      <c r="G101" s="59"/>
      <c r="H101" s="61"/>
      <c r="I101" s="61"/>
    </row>
    <row r="102" spans="1:9" s="68" customFormat="1">
      <c r="A102" s="60"/>
      <c r="B102" s="60"/>
      <c r="C102" s="1"/>
      <c r="D102" s="1"/>
      <c r="E102" s="1"/>
      <c r="F102" s="1"/>
      <c r="G102" s="59"/>
      <c r="H102" s="61"/>
      <c r="I102" s="61"/>
    </row>
    <row r="103" spans="1:9" s="68" customFormat="1">
      <c r="A103" s="60"/>
      <c r="B103" s="60"/>
      <c r="C103" s="1"/>
      <c r="D103" s="1"/>
      <c r="E103" s="1"/>
      <c r="F103" s="1"/>
      <c r="G103" s="59"/>
      <c r="H103" s="61"/>
      <c r="I103" s="61"/>
    </row>
    <row r="104" spans="1:9" s="68" customFormat="1">
      <c r="A104" s="60"/>
      <c r="B104" s="60"/>
      <c r="C104" s="1"/>
      <c r="D104" s="1"/>
      <c r="E104" s="1"/>
      <c r="F104" s="1"/>
      <c r="G104" s="59"/>
      <c r="H104" s="61"/>
      <c r="I104" s="61"/>
    </row>
    <row r="105" spans="1:9" s="68" customFormat="1">
      <c r="A105" s="60"/>
      <c r="B105" s="60"/>
      <c r="C105" s="1"/>
      <c r="D105" s="1"/>
      <c r="E105" s="1"/>
      <c r="F105" s="1"/>
      <c r="G105" s="59"/>
      <c r="H105" s="61"/>
      <c r="I105" s="61"/>
    </row>
    <row r="106" spans="1:9" s="68" customFormat="1">
      <c r="A106" s="60"/>
      <c r="B106" s="60"/>
      <c r="C106" s="1"/>
      <c r="D106" s="1"/>
      <c r="E106" s="1"/>
      <c r="F106" s="1"/>
      <c r="G106" s="59"/>
      <c r="H106" s="61"/>
      <c r="I106" s="61"/>
    </row>
    <row r="107" spans="1:9" s="68" customFormat="1">
      <c r="A107" s="60"/>
      <c r="B107" s="60"/>
      <c r="C107" s="1"/>
      <c r="D107" s="1"/>
      <c r="E107" s="1"/>
      <c r="F107" s="1"/>
      <c r="G107" s="59"/>
      <c r="H107" s="61"/>
      <c r="I107" s="61"/>
    </row>
    <row r="108" spans="1:9" s="68" customFormat="1">
      <c r="A108" s="60"/>
      <c r="B108" s="60"/>
      <c r="C108" s="1"/>
      <c r="D108" s="1"/>
      <c r="E108" s="1"/>
      <c r="F108" s="1"/>
      <c r="G108" s="59"/>
      <c r="H108" s="61"/>
      <c r="I108" s="61"/>
    </row>
    <row r="109" spans="1:9" s="68" customFormat="1">
      <c r="A109" s="60"/>
      <c r="B109" s="60"/>
      <c r="C109" s="1"/>
      <c r="D109" s="1"/>
      <c r="E109" s="1"/>
      <c r="F109" s="1"/>
      <c r="G109" s="59"/>
      <c r="H109" s="61"/>
      <c r="I109" s="61"/>
    </row>
    <row r="110" spans="1:9" s="68" customFormat="1">
      <c r="A110" s="60"/>
      <c r="B110" s="60"/>
      <c r="C110" s="1"/>
      <c r="D110" s="1"/>
      <c r="E110" s="1"/>
      <c r="F110" s="1"/>
      <c r="G110" s="59"/>
      <c r="H110" s="61"/>
      <c r="I110" s="61"/>
    </row>
    <row r="111" spans="1:9" s="68" customFormat="1">
      <c r="A111" s="60"/>
      <c r="B111" s="60"/>
      <c r="C111" s="1"/>
      <c r="D111" s="1"/>
      <c r="E111" s="1"/>
      <c r="F111" s="1"/>
      <c r="G111" s="59"/>
      <c r="H111" s="61"/>
      <c r="I111" s="61"/>
    </row>
    <row r="112" spans="1:9" s="68" customFormat="1">
      <c r="A112" s="60"/>
      <c r="B112" s="60"/>
      <c r="C112" s="1"/>
      <c r="D112" s="1"/>
      <c r="E112" s="1"/>
      <c r="F112" s="1"/>
      <c r="G112" s="59"/>
      <c r="H112" s="61"/>
      <c r="I112" s="61"/>
    </row>
    <row r="113" spans="1:10" s="68" customFormat="1">
      <c r="A113" s="60"/>
      <c r="B113" s="60"/>
      <c r="C113" s="1"/>
      <c r="D113" s="1"/>
      <c r="E113" s="1"/>
      <c r="F113" s="1"/>
      <c r="G113" s="59"/>
      <c r="H113" s="61"/>
      <c r="I113" s="61"/>
    </row>
    <row r="114" spans="1:10" s="68" customFormat="1">
      <c r="A114" s="60"/>
      <c r="B114" s="60"/>
      <c r="C114" s="1"/>
      <c r="D114" s="1"/>
      <c r="E114" s="1"/>
      <c r="F114" s="1"/>
      <c r="G114" s="59"/>
      <c r="H114" s="61"/>
      <c r="I114" s="61"/>
    </row>
    <row r="115" spans="1:10" s="68" customFormat="1">
      <c r="A115" s="60"/>
      <c r="B115" s="60"/>
      <c r="C115" s="1"/>
      <c r="D115" s="1"/>
      <c r="E115" s="1"/>
      <c r="F115" s="1"/>
      <c r="G115" s="59"/>
      <c r="H115" s="61"/>
      <c r="I115" s="61"/>
    </row>
    <row r="116" spans="1:10" s="68" customFormat="1">
      <c r="A116" s="60"/>
      <c r="B116" s="60"/>
      <c r="C116" s="1"/>
      <c r="D116" s="1"/>
      <c r="E116" s="1"/>
      <c r="F116" s="1"/>
      <c r="G116" s="59"/>
      <c r="H116" s="15"/>
      <c r="I116" s="15"/>
    </row>
    <row r="117" spans="1:10" s="68" customFormat="1">
      <c r="A117" s="60"/>
      <c r="B117" s="60"/>
      <c r="C117" s="1"/>
      <c r="D117" s="1"/>
      <c r="E117" s="1"/>
      <c r="F117" s="1"/>
      <c r="G117" s="59"/>
      <c r="H117" s="15"/>
      <c r="I117" s="15"/>
    </row>
    <row r="118" spans="1:10" s="68" customFormat="1">
      <c r="A118" s="60"/>
      <c r="B118" s="60"/>
      <c r="C118" s="1"/>
      <c r="D118" s="1"/>
      <c r="E118" s="1"/>
      <c r="F118" s="1"/>
      <c r="G118" s="59"/>
      <c r="H118" s="15"/>
      <c r="I118" s="15"/>
    </row>
    <row r="119" spans="1:10" s="68" customFormat="1">
      <c r="A119" s="60"/>
      <c r="B119" s="60"/>
      <c r="C119" s="1"/>
      <c r="D119" s="1"/>
      <c r="E119" s="1"/>
      <c r="F119" s="1"/>
      <c r="G119" s="59"/>
      <c r="H119" s="15"/>
      <c r="I119" s="15"/>
    </row>
    <row r="120" spans="1:10" s="68" customFormat="1">
      <c r="A120" s="60"/>
      <c r="B120" s="60"/>
      <c r="C120" s="1"/>
      <c r="D120" s="1"/>
      <c r="E120" s="1"/>
      <c r="F120" s="1"/>
      <c r="G120" s="59"/>
      <c r="H120" s="15"/>
      <c r="I120" s="15"/>
    </row>
    <row r="121" spans="1:10" s="68" customFormat="1">
      <c r="A121" s="60"/>
      <c r="B121" s="60"/>
      <c r="C121" s="1"/>
      <c r="D121" s="1"/>
      <c r="E121" s="1"/>
      <c r="F121" s="1"/>
      <c r="G121" s="59"/>
      <c r="H121" s="15"/>
      <c r="I121" s="15"/>
    </row>
    <row r="122" spans="1:10" s="68" customFormat="1">
      <c r="A122" s="60"/>
      <c r="B122" s="60"/>
      <c r="C122" s="1"/>
      <c r="D122" s="1"/>
      <c r="E122" s="1"/>
      <c r="F122" s="1"/>
      <c r="G122" s="59"/>
      <c r="H122" s="15"/>
      <c r="I122" s="15"/>
    </row>
    <row r="123" spans="1:10" s="68" customFormat="1">
      <c r="A123" s="60"/>
      <c r="B123" s="60"/>
      <c r="C123" s="1"/>
      <c r="D123" s="1"/>
      <c r="E123" s="1"/>
      <c r="F123" s="1"/>
      <c r="G123" s="59"/>
      <c r="H123" s="15"/>
      <c r="I123" s="15"/>
    </row>
    <row r="124" spans="1:10" s="68" customFormat="1">
      <c r="A124" s="60"/>
      <c r="B124" s="60"/>
      <c r="C124" s="1"/>
      <c r="D124" s="1"/>
      <c r="E124" s="1"/>
      <c r="F124" s="1"/>
      <c r="G124" s="59"/>
      <c r="H124" s="15"/>
      <c r="I124" s="15"/>
    </row>
    <row r="125" spans="1:10" s="1" customFormat="1">
      <c r="A125" s="60"/>
      <c r="B125" s="60"/>
      <c r="G125" s="59"/>
      <c r="H125" s="15"/>
      <c r="I125" s="15"/>
      <c r="J125" s="68"/>
    </row>
  </sheetData>
  <mergeCells count="7">
    <mergeCell ref="B57:B64"/>
    <mergeCell ref="A24:F24"/>
    <mergeCell ref="A29:F29"/>
    <mergeCell ref="B39:B41"/>
    <mergeCell ref="B42:B46"/>
    <mergeCell ref="B47:B49"/>
    <mergeCell ref="B50:B56"/>
  </mergeCells>
  <dataValidations count="1">
    <dataValidation type="date" allowBlank="1" showInputMessage="1" showErrorMessage="1" errorTitle="Incorrect Format - DATE required" error="Ensure commited completion date is in date format!" promptTitle="Target Due Date" prompt="Enter Date originally commited for completion" sqref="H40:I40 H65166:I65166 H130702:I130702 H196238:I196238 H261774:I261774 H327310:I327310 H392846:I392846 H458382:I458382 H523918:I523918 H589454:I589454 H654990:I654990 H720526:I720526 H786062:I786062 H851598:I851598 H917134:I917134 H982670:I982670">
      <formula1>37773</formula1>
      <formula2>38717</formula2>
    </dataValidation>
  </dataValidations>
  <pageMargins left="0.23622047244094491" right="0.23622047244094491" top="0.94488188976377963" bottom="0.74803149606299213" header="0.31496062992125984" footer="0.31496062992125984"/>
  <pageSetup paperSize="9" scale="85" orientation="landscape" r:id="rId1"/>
  <headerFooter>
    <oddHeader xml:space="preserve">&amp;L&amp;G&amp;C&amp;"-,Kalın"&amp;14İSG Performans Değerlendirme Formu&amp;RSayfa 1 / 1
</oddHeader>
    <oddFooter>&amp;LFPOP-S210-01-48-V02</oddFooter>
  </headerFooter>
  <rowBreaks count="1" manualBreakCount="1">
    <brk id="32" max="5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5" name="Check Box 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6" name="Check Box 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7" name="Check Box 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8" name="Check Box 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9" name="Check Box 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10" name="Check Box 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1" name="Check Box 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2" name="Check Box 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3" name="Check Box 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4" name="Check Box 1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5" name="Check Box 1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6" name="Check Box 1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7" name="Check Box 1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8" name="Check Box 1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9" name="Check Box 1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20" name="Check Box 1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1" name="Check Box 1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2" name="Check Box 1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3" name="Check Box 1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4" name="Check Box 2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5" name="Check Box 2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6" name="Check Box 2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7" name="Check Box 2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8" name="Check Box 2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9" name="Check Box 2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30" name="Check Box 2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1" name="Check Box 2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2" name="Check Box 2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3" name="Check Box 2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4" name="Check Box 3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5" name="Check Box 3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6" name="Check Box 3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7" name="Check Box 3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8" name="Check Box 3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9" name="Check Box 3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40" name="Check Box 3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1" name="Check Box 3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2" name="Check Box 3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3" name="Check Box 3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4" name="Check Box 4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5" name="Check Box 4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6" name="Check Box 4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7" name="Check Box 4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8" name="Check Box 4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9" name="Check Box 4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50" name="Check Box 4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1" name="Check Box 4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2" name="Check Box 4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3" name="Check Box 4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4" name="Check Box 5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5" name="Check Box 5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6" name="Check Box 5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7" name="Check Box 5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8" name="Check Box 5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9" name="Check Box 5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60" name="Check Box 5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1" name="Check Box 5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2" name="Check Box 5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3" name="Check Box 5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4" name="Check Box 6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5" name="Check Box 6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6" name="Check Box 6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7" name="Check Box 6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8" name="Check Box 6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9" name="Check Box 6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70" name="Check Box 6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1" name="Check Box 6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2" name="Check Box 6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3" name="Check Box 6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4" name="Check Box 7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5" name="Check Box 7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6" name="Check Box 7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7" name="Check Box 7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8" name="Check Box 7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9" name="Check Box 7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80" name="Check Box 7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1" name="Check Box 7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2" name="Check Box 7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3" name="Check Box 7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4" name="Check Box 8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5" name="Check Box 8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6" name="Check Box 8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7" name="Check Box 8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8" name="Check Box 8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9" name="Check Box 8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90" name="Check Box 8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1" name="Check Box 8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2" name="Check Box 8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3" name="Check Box 8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4" name="Check Box 9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5" name="Check Box 9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6" name="Check Box 9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7" name="Check Box 9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8" name="Check Box 9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9" name="Check Box 9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100" name="Check Box 9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1" name="Check Box 9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2" name="Check Box 9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3" name="Check Box 9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4" name="Check Box 10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5" name="Check Box 10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6" name="Check Box 102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7" name="Check Box 103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8" name="Check Box 104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9" name="Check Box 105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10" name="Check Box 106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1" name="Check Box 107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6" r:id="rId112" name="Check Box 108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3" name="Check Box 109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4" name="Check Box 110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5" name="Check Box 111">
              <controlPr defaultSize="0" autoFill="0" autoLine="0" autoPict="0">
                <anchor moveWithCells="1">
                  <from>
                    <xdr:col>2</xdr:col>
                    <xdr:colOff>0</xdr:colOff>
                    <xdr:row>64</xdr:row>
                    <xdr:rowOff>0</xdr:rowOff>
                  </from>
                  <to>
                    <xdr:col>2</xdr:col>
                    <xdr:colOff>314325</xdr:colOff>
                    <xdr:row>66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J272"/>
  <sheetViews>
    <sheetView tabSelected="1" zoomScale="55" zoomScaleNormal="55" zoomScaleSheetLayoutView="91" zoomScalePageLayoutView="44" workbookViewId="0">
      <selection activeCell="C10" sqref="C10"/>
    </sheetView>
  </sheetViews>
  <sheetFormatPr defaultRowHeight="15.75"/>
  <cols>
    <col min="1" max="1" width="4.85546875" style="15" customWidth="1"/>
    <col min="2" max="2" width="12.28515625" style="15" customWidth="1"/>
    <col min="3" max="3" width="44.28515625" style="1" customWidth="1"/>
    <col min="4" max="4" width="44.42578125" style="1" customWidth="1"/>
    <col min="5" max="5" width="6.5703125" style="1" customWidth="1"/>
    <col min="6" max="6" width="44" style="1" customWidth="1"/>
    <col min="7" max="7" width="11.5703125" style="59" customWidth="1"/>
    <col min="8" max="8" width="11.140625" style="15" customWidth="1"/>
    <col min="9" max="9" width="24" style="15" customWidth="1"/>
    <col min="10" max="10" width="41.5703125" style="68" customWidth="1"/>
  </cols>
  <sheetData>
    <row r="1" spans="1:9" ht="20.25">
      <c r="A1" s="45"/>
      <c r="B1" s="45"/>
      <c r="D1" s="2"/>
      <c r="F1" s="3" t="s">
        <v>0</v>
      </c>
      <c r="G1" s="46">
        <f>COUNTIF(J39:J200,"Hedef Tarihi Geçen")</f>
        <v>1</v>
      </c>
      <c r="H1" s="46">
        <f>G1*100/G5</f>
        <v>25</v>
      </c>
      <c r="I1" s="47"/>
    </row>
    <row r="2" spans="1:9">
      <c r="A2" s="45"/>
      <c r="B2" s="45"/>
      <c r="C2" s="4"/>
      <c r="F2" s="5" t="s">
        <v>1</v>
      </c>
      <c r="G2" s="48">
        <f>COUNTIF(J39:J201,"Hedef Tarihi Geçen")</f>
        <v>1</v>
      </c>
      <c r="H2" s="48">
        <f>G2*100/G5</f>
        <v>25</v>
      </c>
      <c r="I2" s="47"/>
    </row>
    <row r="3" spans="1:9">
      <c r="A3" s="45"/>
      <c r="B3" s="45"/>
      <c r="C3" s="6"/>
      <c r="D3" s="7">
        <f ca="1">TODAY()</f>
        <v>44368</v>
      </c>
      <c r="F3" s="8" t="s">
        <v>2</v>
      </c>
      <c r="G3" s="49">
        <f>COUNTIF(J39:J202,"Hedef Tarihi Geçen")</f>
        <v>1</v>
      </c>
      <c r="H3" s="49">
        <f>G3*100/G5</f>
        <v>25</v>
      </c>
      <c r="I3" s="50"/>
    </row>
    <row r="4" spans="1:9">
      <c r="A4" s="45"/>
      <c r="B4" s="45"/>
      <c r="C4" s="6"/>
      <c r="D4" s="9">
        <f ca="1">NOW()</f>
        <v>44368.598561226849</v>
      </c>
      <c r="F4" s="10" t="s">
        <v>3</v>
      </c>
      <c r="G4" s="51">
        <f>COUNTIF(J39:J203,"Hedef Tarihi Geçen")</f>
        <v>1</v>
      </c>
      <c r="H4" s="51">
        <f>G4*100/G5</f>
        <v>25</v>
      </c>
      <c r="I4" s="50"/>
    </row>
    <row r="5" spans="1:9">
      <c r="A5" s="45"/>
      <c r="B5" s="45"/>
      <c r="C5" s="6"/>
      <c r="D5" s="9"/>
      <c r="F5" s="66" t="s">
        <v>4</v>
      </c>
      <c r="G5" s="67">
        <f>SUM(G1:G4)</f>
        <v>4</v>
      </c>
      <c r="H5" s="67">
        <f>G5*100/G5</f>
        <v>100</v>
      </c>
      <c r="I5" s="50"/>
    </row>
    <row r="6" spans="1:9">
      <c r="A6" s="62"/>
      <c r="B6" s="62"/>
      <c r="C6" s="62"/>
      <c r="D6" s="62"/>
      <c r="E6" s="62"/>
      <c r="F6" s="62"/>
      <c r="G6" s="62"/>
      <c r="H6" s="62"/>
      <c r="I6" s="62"/>
    </row>
    <row r="7" spans="1:9">
      <c r="A7" s="63"/>
      <c r="B7" s="63"/>
      <c r="C7" s="63"/>
      <c r="D7" s="63"/>
      <c r="E7" s="63"/>
      <c r="F7" s="63"/>
      <c r="G7" s="63"/>
      <c r="H7" s="63"/>
      <c r="I7" s="63"/>
    </row>
    <row r="8" spans="1:9">
      <c r="A8" s="52"/>
      <c r="B8" s="52"/>
      <c r="C8" s="13"/>
      <c r="D8" s="14"/>
      <c r="E8" s="15"/>
      <c r="F8" s="16"/>
      <c r="G8" s="16"/>
      <c r="H8" s="16"/>
      <c r="I8" s="16"/>
    </row>
    <row r="9" spans="1:9" ht="26.25">
      <c r="A9" s="53"/>
      <c r="B9" s="53"/>
      <c r="D9" s="65" t="s">
        <v>216</v>
      </c>
      <c r="E9" s="17"/>
      <c r="F9" s="18"/>
      <c r="G9" s="18"/>
      <c r="H9" s="18"/>
      <c r="I9" s="18"/>
    </row>
    <row r="10" spans="1:9">
      <c r="A10" s="38"/>
      <c r="B10" s="38"/>
      <c r="C10" s="19"/>
      <c r="D10" s="20"/>
      <c r="E10" s="19"/>
      <c r="F10" s="21"/>
      <c r="G10" s="42"/>
      <c r="H10" s="43"/>
      <c r="I10" s="54"/>
    </row>
    <row r="11" spans="1:9">
      <c r="A11" s="38"/>
      <c r="B11" s="38"/>
      <c r="C11" s="22" t="s">
        <v>5</v>
      </c>
      <c r="D11" s="23"/>
      <c r="E11" s="19"/>
      <c r="F11" s="21"/>
      <c r="G11" s="42"/>
      <c r="H11" s="43"/>
      <c r="I11" s="50"/>
    </row>
    <row r="12" spans="1:9">
      <c r="A12" s="38"/>
      <c r="B12" s="38"/>
      <c r="C12" s="22" t="s">
        <v>6</v>
      </c>
      <c r="D12" s="19"/>
      <c r="E12" s="19"/>
      <c r="F12" s="21"/>
      <c r="G12" s="42"/>
      <c r="H12" s="43"/>
      <c r="I12" s="50"/>
    </row>
    <row r="13" spans="1:9">
      <c r="A13" s="38"/>
      <c r="B13" s="38"/>
      <c r="C13" s="22"/>
      <c r="D13" s="19"/>
      <c r="E13" s="19"/>
      <c r="F13" s="21"/>
      <c r="G13" s="42"/>
      <c r="H13" s="43"/>
      <c r="I13" s="50"/>
    </row>
    <row r="14" spans="1:9">
      <c r="A14" s="55"/>
      <c r="B14" s="55"/>
      <c r="C14" s="24"/>
      <c r="D14" s="25"/>
      <c r="E14" s="26"/>
      <c r="F14" s="27"/>
      <c r="G14" s="26"/>
      <c r="H14" s="26"/>
      <c r="I14" s="26"/>
    </row>
    <row r="15" spans="1:9">
      <c r="A15" s="56"/>
      <c r="B15" s="56"/>
      <c r="C15" s="24" t="s">
        <v>9</v>
      </c>
      <c r="D15" s="28" t="s">
        <v>10</v>
      </c>
      <c r="E15" s="26"/>
      <c r="F15" s="29"/>
      <c r="G15" s="26"/>
      <c r="H15" s="26"/>
      <c r="I15" s="26"/>
    </row>
    <row r="16" spans="1:9">
      <c r="A16" s="56"/>
      <c r="B16" s="56"/>
      <c r="C16" s="24"/>
      <c r="D16" s="28"/>
      <c r="E16" s="26"/>
      <c r="F16" s="29"/>
      <c r="G16" s="26"/>
      <c r="H16" s="26"/>
      <c r="I16" s="26"/>
    </row>
    <row r="17" spans="1:9">
      <c r="A17" s="56"/>
      <c r="B17" s="56"/>
      <c r="C17" s="30" t="s">
        <v>11</v>
      </c>
      <c r="D17" s="28"/>
      <c r="E17" s="26"/>
      <c r="F17" s="29"/>
      <c r="G17" s="26"/>
      <c r="H17" s="26"/>
      <c r="I17" s="26"/>
    </row>
    <row r="18" spans="1:9">
      <c r="A18" s="56"/>
      <c r="B18" s="56"/>
      <c r="C18" s="31"/>
      <c r="D18" s="32"/>
      <c r="E18" s="33"/>
      <c r="F18" s="34"/>
      <c r="G18" s="26"/>
      <c r="H18" s="26"/>
      <c r="I18" s="26"/>
    </row>
    <row r="19" spans="1:9">
      <c r="A19" s="56"/>
      <c r="B19" s="56"/>
      <c r="C19" s="31"/>
      <c r="D19" s="32"/>
      <c r="E19" s="33"/>
      <c r="F19" s="34"/>
      <c r="G19" s="26"/>
      <c r="H19" s="26"/>
      <c r="I19" s="26"/>
    </row>
    <row r="20" spans="1:9">
      <c r="A20" s="56"/>
      <c r="B20" s="56"/>
      <c r="C20" s="31"/>
      <c r="D20" s="32"/>
      <c r="E20" s="33"/>
      <c r="F20" s="34"/>
      <c r="G20" s="26"/>
      <c r="H20" s="26"/>
      <c r="I20" s="26"/>
    </row>
    <row r="21" spans="1:9">
      <c r="A21" s="55"/>
      <c r="B21" s="55"/>
      <c r="C21" s="30"/>
      <c r="D21" s="28"/>
      <c r="E21" s="26"/>
      <c r="F21" s="29"/>
      <c r="G21" s="26"/>
      <c r="H21" s="26"/>
      <c r="I21" s="26"/>
    </row>
    <row r="22" spans="1:9">
      <c r="A22" s="56"/>
      <c r="B22" s="56"/>
      <c r="C22" s="35"/>
      <c r="D22" s="28"/>
      <c r="E22" s="26"/>
      <c r="F22" s="29"/>
      <c r="G22" s="26"/>
      <c r="H22" s="26"/>
      <c r="I22" s="26"/>
    </row>
    <row r="23" spans="1:9">
      <c r="A23" s="57"/>
      <c r="B23" s="57"/>
      <c r="C23" s="35"/>
      <c r="D23" s="36"/>
      <c r="E23" s="36"/>
      <c r="F23" s="37"/>
      <c r="G23" s="58"/>
      <c r="H23" s="58"/>
      <c r="I23" s="58"/>
    </row>
    <row r="24" spans="1:9">
      <c r="A24" s="140"/>
      <c r="B24" s="140"/>
      <c r="C24" s="140"/>
      <c r="D24" s="140"/>
      <c r="E24" s="140"/>
      <c r="F24" s="140"/>
      <c r="G24" s="11"/>
      <c r="H24" s="11"/>
      <c r="I24" s="11"/>
    </row>
    <row r="25" spans="1:9">
      <c r="A25" s="63"/>
      <c r="B25" s="63"/>
      <c r="C25" s="63"/>
      <c r="D25" s="63"/>
      <c r="E25" s="63"/>
      <c r="F25" s="63"/>
      <c r="G25" s="63"/>
      <c r="H25" s="63"/>
      <c r="I25" s="63"/>
    </row>
    <row r="26" spans="1:9">
      <c r="A26" s="12"/>
      <c r="B26" s="12"/>
      <c r="C26" s="12"/>
      <c r="D26" s="12"/>
      <c r="E26" s="12"/>
      <c r="F26" s="12"/>
      <c r="G26" s="12"/>
      <c r="H26" s="12"/>
      <c r="I26" s="12"/>
    </row>
    <row r="27" spans="1:9">
      <c r="A27" s="56"/>
      <c r="B27" s="56"/>
      <c r="C27" s="35"/>
      <c r="D27" s="28"/>
      <c r="E27" s="26"/>
      <c r="F27" s="29"/>
      <c r="G27" s="64"/>
      <c r="H27" s="64"/>
      <c r="I27" s="64"/>
    </row>
    <row r="28" spans="1:9">
      <c r="A28" s="57"/>
      <c r="B28" s="57"/>
      <c r="C28" s="35"/>
      <c r="D28" s="36"/>
      <c r="E28" s="36"/>
      <c r="F28" s="37"/>
      <c r="G28" s="42"/>
      <c r="H28" s="43"/>
      <c r="I28" s="17"/>
    </row>
    <row r="29" spans="1:9">
      <c r="A29" s="140"/>
      <c r="B29" s="140"/>
      <c r="C29" s="140"/>
      <c r="D29" s="140"/>
      <c r="E29" s="140"/>
      <c r="F29" s="140"/>
    </row>
    <row r="30" spans="1:9">
      <c r="A30" s="63"/>
      <c r="B30" s="63"/>
      <c r="C30" s="63"/>
      <c r="D30" s="63"/>
      <c r="E30" s="63"/>
      <c r="F30" s="63"/>
    </row>
    <row r="31" spans="1:9">
      <c r="A31" s="12"/>
      <c r="B31" s="12"/>
      <c r="C31" s="12"/>
      <c r="D31" s="12"/>
      <c r="E31" s="12"/>
      <c r="F31" s="12"/>
    </row>
    <row r="32" spans="1:9">
      <c r="A32" s="56"/>
      <c r="B32" s="56"/>
      <c r="C32" s="35"/>
      <c r="D32" s="28"/>
      <c r="E32" s="26"/>
      <c r="F32" s="29"/>
    </row>
    <row r="33" spans="1:10">
      <c r="A33" s="57"/>
      <c r="B33" s="57"/>
      <c r="C33" s="35"/>
      <c r="D33" s="36"/>
      <c r="E33" s="36"/>
      <c r="F33" s="37"/>
    </row>
    <row r="34" spans="1:10" s="126" customFormat="1">
      <c r="A34" s="127"/>
      <c r="B34" s="128" t="s">
        <v>5</v>
      </c>
      <c r="C34" s="129"/>
      <c r="D34" s="130" t="s">
        <v>12</v>
      </c>
      <c r="E34" s="115"/>
      <c r="F34" s="131"/>
      <c r="G34" s="131"/>
      <c r="H34" s="131"/>
      <c r="I34" s="131"/>
      <c r="J34" s="68"/>
    </row>
    <row r="35" spans="1:10" s="126" customFormat="1" ht="30" customHeight="1">
      <c r="A35" s="127"/>
      <c r="B35" s="132" t="s">
        <v>13</v>
      </c>
      <c r="C35" s="129"/>
      <c r="D35" s="133" t="s">
        <v>14</v>
      </c>
      <c r="E35" s="134" t="s">
        <v>19</v>
      </c>
      <c r="F35" s="134"/>
      <c r="G35" s="134"/>
      <c r="H35" s="131"/>
      <c r="I35" s="131"/>
      <c r="J35" s="68"/>
    </row>
    <row r="36" spans="1:10" s="126" customFormat="1" ht="15.75" customHeight="1">
      <c r="A36" s="127"/>
      <c r="B36" s="127"/>
      <c r="C36" s="135"/>
      <c r="D36" s="136" t="s">
        <v>15</v>
      </c>
      <c r="E36" s="137" t="s">
        <v>20</v>
      </c>
      <c r="F36" s="137"/>
      <c r="G36" s="137"/>
      <c r="H36" s="131"/>
      <c r="I36" s="131"/>
      <c r="J36" s="68"/>
    </row>
    <row r="37" spans="1:10">
      <c r="A37" s="41"/>
      <c r="B37" s="41"/>
      <c r="C37" s="39"/>
      <c r="D37" s="40"/>
      <c r="E37" s="19"/>
      <c r="F37" s="21"/>
      <c r="G37" s="42"/>
      <c r="H37" s="43"/>
      <c r="I37" s="44"/>
    </row>
    <row r="38" spans="1:10" s="70" customFormat="1" ht="30">
      <c r="A38" s="71" t="s">
        <v>21</v>
      </c>
      <c r="B38" s="71" t="s">
        <v>218</v>
      </c>
      <c r="C38" s="72" t="s">
        <v>217</v>
      </c>
      <c r="D38" s="73" t="s">
        <v>16</v>
      </c>
      <c r="E38" s="74" t="s">
        <v>17</v>
      </c>
      <c r="F38" s="73" t="s">
        <v>18</v>
      </c>
      <c r="G38" s="74" t="s">
        <v>22</v>
      </c>
      <c r="H38" s="75" t="s">
        <v>23</v>
      </c>
      <c r="I38" s="75" t="s">
        <v>24</v>
      </c>
      <c r="J38" s="69" t="s">
        <v>25</v>
      </c>
    </row>
    <row r="39" spans="1:10" s="70" customFormat="1">
      <c r="A39" s="76">
        <v>1</v>
      </c>
      <c r="B39" s="139" t="s">
        <v>26</v>
      </c>
      <c r="C39" s="117" t="s">
        <v>27</v>
      </c>
      <c r="D39" s="77"/>
      <c r="E39" s="77"/>
      <c r="F39" s="77"/>
      <c r="G39" s="78"/>
      <c r="H39" s="79"/>
      <c r="I39" s="79"/>
      <c r="J39" s="80" t="s">
        <v>0</v>
      </c>
    </row>
    <row r="40" spans="1:10" s="70" customFormat="1">
      <c r="A40" s="76">
        <f>A39+1</f>
        <v>2</v>
      </c>
      <c r="B40" s="139"/>
      <c r="C40" s="117" t="s">
        <v>28</v>
      </c>
      <c r="D40" s="81"/>
      <c r="E40" s="81"/>
      <c r="F40" s="81"/>
      <c r="G40" s="81"/>
      <c r="H40" s="82"/>
      <c r="I40" s="82"/>
      <c r="J40" s="80" t="s">
        <v>1</v>
      </c>
    </row>
    <row r="41" spans="1:10" s="70" customFormat="1">
      <c r="A41" s="76">
        <f t="shared" ref="A41:A104" si="0">A40+1</f>
        <v>3</v>
      </c>
      <c r="B41" s="139"/>
      <c r="C41" s="117" t="s">
        <v>29</v>
      </c>
      <c r="D41" s="77"/>
      <c r="E41" s="77"/>
      <c r="F41" s="77"/>
      <c r="G41" s="81"/>
      <c r="H41" s="83"/>
      <c r="I41" s="83"/>
      <c r="J41" s="80" t="s">
        <v>2</v>
      </c>
    </row>
    <row r="42" spans="1:10" s="70" customFormat="1">
      <c r="A42" s="76">
        <f t="shared" si="0"/>
        <v>4</v>
      </c>
      <c r="B42" s="139" t="s">
        <v>30</v>
      </c>
      <c r="C42" s="117" t="s">
        <v>31</v>
      </c>
      <c r="D42" s="81"/>
      <c r="E42" s="81"/>
      <c r="F42" s="81"/>
      <c r="G42" s="84"/>
      <c r="H42" s="85"/>
      <c r="I42" s="85"/>
      <c r="J42" s="80" t="s">
        <v>3</v>
      </c>
    </row>
    <row r="43" spans="1:10" s="70" customFormat="1">
      <c r="A43" s="76">
        <f t="shared" si="0"/>
        <v>5</v>
      </c>
      <c r="B43" s="139"/>
      <c r="C43" s="117" t="s">
        <v>32</v>
      </c>
      <c r="D43" s="77"/>
      <c r="E43" s="77"/>
      <c r="F43" s="77"/>
      <c r="G43" s="81"/>
      <c r="H43" s="85"/>
      <c r="I43" s="85"/>
      <c r="J43" s="69"/>
    </row>
    <row r="44" spans="1:10" s="70" customFormat="1">
      <c r="A44" s="76">
        <f t="shared" si="0"/>
        <v>6</v>
      </c>
      <c r="B44" s="139"/>
      <c r="C44" s="117" t="s">
        <v>27</v>
      </c>
      <c r="D44" s="81"/>
      <c r="E44" s="81"/>
      <c r="F44" s="81"/>
      <c r="G44" s="81"/>
      <c r="H44" s="86"/>
      <c r="I44" s="86"/>
      <c r="J44" s="69"/>
    </row>
    <row r="45" spans="1:10" s="70" customFormat="1">
      <c r="A45" s="76">
        <f t="shared" si="0"/>
        <v>7</v>
      </c>
      <c r="B45" s="139"/>
      <c r="C45" s="117" t="s">
        <v>28</v>
      </c>
      <c r="D45" s="77"/>
      <c r="E45" s="77"/>
      <c r="F45" s="77"/>
      <c r="G45" s="81"/>
      <c r="H45" s="86"/>
      <c r="I45" s="86"/>
      <c r="J45" s="69"/>
    </row>
    <row r="46" spans="1:10" s="70" customFormat="1">
      <c r="A46" s="76">
        <f t="shared" si="0"/>
        <v>8</v>
      </c>
      <c r="B46" s="139"/>
      <c r="C46" s="117" t="s">
        <v>29</v>
      </c>
      <c r="D46" s="81"/>
      <c r="E46" s="81"/>
      <c r="F46" s="81"/>
      <c r="G46" s="81"/>
      <c r="H46" s="86"/>
      <c r="I46" s="86"/>
      <c r="J46" s="69"/>
    </row>
    <row r="47" spans="1:10" s="70" customFormat="1">
      <c r="A47" s="76">
        <f t="shared" si="0"/>
        <v>9</v>
      </c>
      <c r="B47" s="141" t="s">
        <v>33</v>
      </c>
      <c r="C47" s="117" t="s">
        <v>34</v>
      </c>
      <c r="D47" s="77"/>
      <c r="E47" s="77"/>
      <c r="F47" s="77"/>
      <c r="G47" s="84"/>
      <c r="H47" s="86"/>
      <c r="I47" s="86"/>
      <c r="J47" s="69"/>
    </row>
    <row r="48" spans="1:10" s="70" customFormat="1">
      <c r="A48" s="76">
        <f t="shared" si="0"/>
        <v>10</v>
      </c>
      <c r="B48" s="142"/>
      <c r="C48" s="117" t="s">
        <v>35</v>
      </c>
      <c r="D48" s="81"/>
      <c r="E48" s="81"/>
      <c r="F48" s="81"/>
      <c r="G48" s="84"/>
      <c r="H48" s="86"/>
      <c r="I48" s="86"/>
      <c r="J48" s="69"/>
    </row>
    <row r="49" spans="1:10" s="70" customFormat="1">
      <c r="A49" s="76">
        <f t="shared" si="0"/>
        <v>11</v>
      </c>
      <c r="B49" s="143"/>
      <c r="C49" s="117" t="s">
        <v>36</v>
      </c>
      <c r="D49" s="77"/>
      <c r="E49" s="77"/>
      <c r="F49" s="77"/>
      <c r="G49" s="81"/>
      <c r="H49" s="86"/>
      <c r="I49" s="86"/>
      <c r="J49" s="69"/>
    </row>
    <row r="50" spans="1:10" s="70" customFormat="1">
      <c r="A50" s="76">
        <f t="shared" si="0"/>
        <v>12</v>
      </c>
      <c r="B50" s="139" t="s">
        <v>37</v>
      </c>
      <c r="C50" s="117" t="s">
        <v>38</v>
      </c>
      <c r="D50" s="81"/>
      <c r="E50" s="81"/>
      <c r="F50" s="81"/>
      <c r="G50" s="84"/>
      <c r="H50" s="86"/>
      <c r="I50" s="86"/>
      <c r="J50" s="69"/>
    </row>
    <row r="51" spans="1:10" s="70" customFormat="1">
      <c r="A51" s="76">
        <f t="shared" si="0"/>
        <v>13</v>
      </c>
      <c r="B51" s="139"/>
      <c r="C51" s="117" t="s">
        <v>39</v>
      </c>
      <c r="D51" s="77"/>
      <c r="E51" s="77"/>
      <c r="F51" s="77"/>
      <c r="G51" s="84"/>
      <c r="H51" s="86"/>
      <c r="I51" s="86"/>
      <c r="J51" s="69"/>
    </row>
    <row r="52" spans="1:10" s="70" customFormat="1">
      <c r="A52" s="76">
        <f t="shared" si="0"/>
        <v>14</v>
      </c>
      <c r="B52" s="139"/>
      <c r="C52" s="117" t="s">
        <v>40</v>
      </c>
      <c r="D52" s="81"/>
      <c r="E52" s="81"/>
      <c r="F52" s="81"/>
      <c r="G52" s="81"/>
      <c r="H52" s="87"/>
      <c r="I52" s="87"/>
      <c r="J52" s="69"/>
    </row>
    <row r="53" spans="1:10" s="70" customFormat="1">
      <c r="A53" s="76">
        <f t="shared" si="0"/>
        <v>15</v>
      </c>
      <c r="B53" s="139"/>
      <c r="C53" s="117" t="s">
        <v>27</v>
      </c>
      <c r="D53" s="77"/>
      <c r="E53" s="77"/>
      <c r="F53" s="77"/>
      <c r="G53" s="81"/>
      <c r="H53" s="87"/>
      <c r="I53" s="87"/>
      <c r="J53" s="69"/>
    </row>
    <row r="54" spans="1:10" s="70" customFormat="1">
      <c r="A54" s="76">
        <f t="shared" si="0"/>
        <v>16</v>
      </c>
      <c r="B54" s="139"/>
      <c r="C54" s="117" t="s">
        <v>28</v>
      </c>
      <c r="D54" s="81"/>
      <c r="E54" s="81"/>
      <c r="F54" s="81"/>
      <c r="G54" s="81"/>
      <c r="H54" s="87"/>
      <c r="I54" s="87"/>
      <c r="J54" s="69"/>
    </row>
    <row r="55" spans="1:10" s="70" customFormat="1">
      <c r="A55" s="76">
        <f t="shared" si="0"/>
        <v>17</v>
      </c>
      <c r="B55" s="139"/>
      <c r="C55" s="117" t="s">
        <v>29</v>
      </c>
      <c r="D55" s="77"/>
      <c r="E55" s="77"/>
      <c r="F55" s="77"/>
      <c r="G55" s="84"/>
      <c r="H55" s="88"/>
      <c r="I55" s="88"/>
      <c r="J55" s="69"/>
    </row>
    <row r="56" spans="1:10" s="70" customFormat="1" ht="30">
      <c r="A56" s="76">
        <f t="shared" si="0"/>
        <v>18</v>
      </c>
      <c r="B56" s="139"/>
      <c r="C56" s="117" t="s">
        <v>41</v>
      </c>
      <c r="D56" s="81"/>
      <c r="E56" s="81"/>
      <c r="F56" s="81"/>
      <c r="G56" s="81"/>
      <c r="H56" s="88"/>
      <c r="I56" s="89"/>
      <c r="J56" s="69"/>
    </row>
    <row r="57" spans="1:10" s="70" customFormat="1">
      <c r="A57" s="76">
        <f t="shared" si="0"/>
        <v>19</v>
      </c>
      <c r="B57" s="139" t="s">
        <v>42</v>
      </c>
      <c r="C57" s="117" t="s">
        <v>43</v>
      </c>
      <c r="D57" s="77"/>
      <c r="E57" s="77"/>
      <c r="F57" s="77"/>
      <c r="G57" s="81"/>
      <c r="H57" s="89"/>
      <c r="I57" s="89"/>
      <c r="J57" s="69"/>
    </row>
    <row r="58" spans="1:10" s="70" customFormat="1">
      <c r="A58" s="76">
        <f t="shared" si="0"/>
        <v>20</v>
      </c>
      <c r="B58" s="139"/>
      <c r="C58" s="117" t="s">
        <v>44</v>
      </c>
      <c r="D58" s="81"/>
      <c r="E58" s="81"/>
      <c r="F58" s="81"/>
      <c r="G58" s="81"/>
      <c r="H58" s="90"/>
      <c r="I58" s="91"/>
      <c r="J58" s="69"/>
    </row>
    <row r="59" spans="1:10" s="70" customFormat="1">
      <c r="A59" s="76">
        <f t="shared" si="0"/>
        <v>21</v>
      </c>
      <c r="B59" s="139"/>
      <c r="C59" s="117" t="s">
        <v>45</v>
      </c>
      <c r="D59" s="77"/>
      <c r="E59" s="77"/>
      <c r="F59" s="77"/>
      <c r="G59" s="78"/>
      <c r="H59" s="90"/>
      <c r="I59" s="90"/>
      <c r="J59" s="69"/>
    </row>
    <row r="60" spans="1:10" s="70" customFormat="1">
      <c r="A60" s="76">
        <f t="shared" si="0"/>
        <v>22</v>
      </c>
      <c r="B60" s="139"/>
      <c r="C60" s="117" t="s">
        <v>46</v>
      </c>
      <c r="D60" s="81"/>
      <c r="E60" s="81"/>
      <c r="F60" s="81"/>
      <c r="G60" s="78"/>
      <c r="H60" s="90"/>
      <c r="I60" s="90"/>
      <c r="J60" s="69"/>
    </row>
    <row r="61" spans="1:10" s="70" customFormat="1">
      <c r="A61" s="76">
        <f t="shared" si="0"/>
        <v>23</v>
      </c>
      <c r="B61" s="139"/>
      <c r="C61" s="117" t="s">
        <v>47</v>
      </c>
      <c r="D61" s="77"/>
      <c r="E61" s="77"/>
      <c r="F61" s="77"/>
      <c r="G61" s="81"/>
      <c r="H61" s="90"/>
      <c r="I61" s="90"/>
      <c r="J61" s="69"/>
    </row>
    <row r="62" spans="1:10" s="70" customFormat="1">
      <c r="A62" s="76">
        <f t="shared" si="0"/>
        <v>24</v>
      </c>
      <c r="B62" s="139"/>
      <c r="C62" s="117" t="s">
        <v>27</v>
      </c>
      <c r="D62" s="81"/>
      <c r="E62" s="81"/>
      <c r="F62" s="81"/>
      <c r="G62" s="81"/>
      <c r="H62" s="90"/>
      <c r="I62" s="90"/>
      <c r="J62" s="69"/>
    </row>
    <row r="63" spans="1:10" s="70" customFormat="1">
      <c r="A63" s="76">
        <f t="shared" si="0"/>
        <v>25</v>
      </c>
      <c r="B63" s="139"/>
      <c r="C63" s="117" t="s">
        <v>28</v>
      </c>
      <c r="D63" s="77"/>
      <c r="E63" s="77"/>
      <c r="F63" s="77"/>
      <c r="G63" s="81"/>
      <c r="H63" s="90"/>
      <c r="I63" s="90"/>
      <c r="J63" s="69"/>
    </row>
    <row r="64" spans="1:10" s="70" customFormat="1">
      <c r="A64" s="76">
        <f t="shared" si="0"/>
        <v>26</v>
      </c>
      <c r="B64" s="139"/>
      <c r="C64" s="117" t="s">
        <v>29</v>
      </c>
      <c r="D64" s="81"/>
      <c r="E64" s="81"/>
      <c r="F64" s="81"/>
      <c r="G64" s="81"/>
      <c r="H64" s="90"/>
      <c r="I64" s="90"/>
      <c r="J64" s="69"/>
    </row>
    <row r="65" spans="1:10" s="70" customFormat="1">
      <c r="A65" s="76">
        <f t="shared" si="0"/>
        <v>27</v>
      </c>
      <c r="B65" s="139" t="s">
        <v>48</v>
      </c>
      <c r="C65" s="117" t="s">
        <v>49</v>
      </c>
      <c r="D65" s="77"/>
      <c r="E65" s="77"/>
      <c r="F65" s="77"/>
      <c r="G65" s="81"/>
      <c r="H65" s="90"/>
      <c r="I65" s="90"/>
      <c r="J65" s="69"/>
    </row>
    <row r="66" spans="1:10" s="70" customFormat="1">
      <c r="A66" s="76">
        <f t="shared" si="0"/>
        <v>28</v>
      </c>
      <c r="B66" s="139"/>
      <c r="C66" s="117" t="s">
        <v>50</v>
      </c>
      <c r="D66" s="81"/>
      <c r="E66" s="81"/>
      <c r="F66" s="81"/>
      <c r="G66" s="78"/>
      <c r="H66" s="90"/>
      <c r="I66" s="90"/>
      <c r="J66" s="69"/>
    </row>
    <row r="67" spans="1:10">
      <c r="A67" s="76">
        <f t="shared" si="0"/>
        <v>29</v>
      </c>
      <c r="B67" s="139"/>
      <c r="C67" s="117" t="s">
        <v>51</v>
      </c>
      <c r="D67" s="77"/>
      <c r="E67" s="77"/>
      <c r="F67" s="77"/>
      <c r="G67" s="92"/>
      <c r="H67" s="93"/>
      <c r="I67" s="94"/>
    </row>
    <row r="68" spans="1:10">
      <c r="A68" s="76">
        <f t="shared" si="0"/>
        <v>30</v>
      </c>
      <c r="B68" s="139"/>
      <c r="C68" s="117" t="s">
        <v>52</v>
      </c>
      <c r="D68" s="81"/>
      <c r="E68" s="81"/>
      <c r="F68" s="81"/>
      <c r="G68" s="92"/>
      <c r="H68" s="95"/>
      <c r="I68" s="96"/>
    </row>
    <row r="69" spans="1:10">
      <c r="A69" s="76">
        <f t="shared" si="0"/>
        <v>31</v>
      </c>
      <c r="B69" s="139"/>
      <c r="C69" s="117" t="s">
        <v>53</v>
      </c>
      <c r="D69" s="77"/>
      <c r="E69" s="77"/>
      <c r="F69" s="77"/>
      <c r="G69" s="92"/>
      <c r="H69" s="97"/>
      <c r="I69" s="98"/>
    </row>
    <row r="70" spans="1:10" ht="30">
      <c r="A70" s="76">
        <f t="shared" si="0"/>
        <v>32</v>
      </c>
      <c r="B70" s="139"/>
      <c r="C70" s="117" t="s">
        <v>54</v>
      </c>
      <c r="D70" s="81"/>
      <c r="E70" s="81"/>
      <c r="F70" s="81"/>
      <c r="G70" s="92"/>
      <c r="H70" s="90"/>
      <c r="I70" s="99"/>
    </row>
    <row r="71" spans="1:10" ht="30">
      <c r="A71" s="76">
        <f t="shared" si="0"/>
        <v>33</v>
      </c>
      <c r="B71" s="118" t="s">
        <v>55</v>
      </c>
      <c r="C71" s="117" t="s">
        <v>56</v>
      </c>
      <c r="D71" s="77"/>
      <c r="E71" s="77"/>
      <c r="F71" s="77"/>
      <c r="G71" s="92"/>
      <c r="H71" s="90"/>
      <c r="I71" s="99"/>
    </row>
    <row r="72" spans="1:10" ht="30">
      <c r="A72" s="76">
        <f t="shared" si="0"/>
        <v>34</v>
      </c>
      <c r="B72" s="141" t="s">
        <v>57</v>
      </c>
      <c r="C72" s="117" t="s">
        <v>58</v>
      </c>
      <c r="D72" s="81"/>
      <c r="E72" s="81"/>
      <c r="F72" s="81"/>
      <c r="G72" s="92"/>
      <c r="H72" s="90"/>
      <c r="I72" s="99"/>
    </row>
    <row r="73" spans="1:10">
      <c r="A73" s="76">
        <f t="shared" si="0"/>
        <v>35</v>
      </c>
      <c r="B73" s="143"/>
      <c r="C73" s="117" t="s">
        <v>59</v>
      </c>
      <c r="D73" s="77"/>
      <c r="E73" s="77"/>
      <c r="F73" s="77"/>
      <c r="G73" s="92"/>
      <c r="H73" s="90"/>
      <c r="I73" s="99"/>
    </row>
    <row r="74" spans="1:10">
      <c r="A74" s="76">
        <f t="shared" si="0"/>
        <v>36</v>
      </c>
      <c r="B74" s="139" t="s">
        <v>60</v>
      </c>
      <c r="C74" s="117" t="s">
        <v>61</v>
      </c>
      <c r="D74" s="81"/>
      <c r="E74" s="81"/>
      <c r="F74" s="81"/>
      <c r="G74" s="92"/>
      <c r="H74" s="90"/>
      <c r="I74" s="99"/>
    </row>
    <row r="75" spans="1:10">
      <c r="A75" s="76">
        <f t="shared" si="0"/>
        <v>37</v>
      </c>
      <c r="B75" s="139"/>
      <c r="C75" s="117" t="s">
        <v>62</v>
      </c>
      <c r="D75" s="77"/>
      <c r="E75" s="77"/>
      <c r="F75" s="77"/>
      <c r="G75" s="92"/>
      <c r="H75" s="90"/>
      <c r="I75" s="99"/>
    </row>
    <row r="76" spans="1:10">
      <c r="A76" s="76">
        <f t="shared" si="0"/>
        <v>38</v>
      </c>
      <c r="B76" s="139"/>
      <c r="C76" s="117" t="s">
        <v>63</v>
      </c>
      <c r="D76" s="81"/>
      <c r="E76" s="81"/>
      <c r="F76" s="81"/>
      <c r="G76" s="92"/>
      <c r="H76" s="90"/>
      <c r="I76" s="99"/>
    </row>
    <row r="77" spans="1:10">
      <c r="A77" s="76">
        <f t="shared" si="0"/>
        <v>39</v>
      </c>
      <c r="B77" s="139"/>
      <c r="C77" s="117" t="s">
        <v>64</v>
      </c>
      <c r="D77" s="77"/>
      <c r="E77" s="77"/>
      <c r="F77" s="77"/>
      <c r="G77" s="92"/>
      <c r="H77" s="90"/>
      <c r="I77" s="99"/>
    </row>
    <row r="78" spans="1:10">
      <c r="A78" s="76">
        <f t="shared" si="0"/>
        <v>40</v>
      </c>
      <c r="B78" s="139"/>
      <c r="C78" s="117" t="s">
        <v>65</v>
      </c>
      <c r="D78" s="81"/>
      <c r="E78" s="81"/>
      <c r="F78" s="81"/>
      <c r="G78" s="92"/>
      <c r="H78" s="90"/>
      <c r="I78" s="99"/>
    </row>
    <row r="79" spans="1:10">
      <c r="A79" s="76">
        <f t="shared" si="0"/>
        <v>41</v>
      </c>
      <c r="B79" s="139"/>
      <c r="C79" s="117" t="s">
        <v>66</v>
      </c>
      <c r="D79" s="77"/>
      <c r="E79" s="77"/>
      <c r="F79" s="77"/>
      <c r="G79" s="92"/>
      <c r="H79" s="90"/>
      <c r="I79" s="99"/>
    </row>
    <row r="80" spans="1:10">
      <c r="A80" s="76">
        <f t="shared" si="0"/>
        <v>42</v>
      </c>
      <c r="B80" s="139" t="s">
        <v>67</v>
      </c>
      <c r="C80" s="117" t="s">
        <v>68</v>
      </c>
      <c r="D80" s="81"/>
      <c r="E80" s="81"/>
      <c r="F80" s="81"/>
      <c r="G80" s="92"/>
      <c r="H80" s="90"/>
      <c r="I80" s="99"/>
    </row>
    <row r="81" spans="1:9">
      <c r="A81" s="76">
        <f t="shared" si="0"/>
        <v>43</v>
      </c>
      <c r="B81" s="139"/>
      <c r="C81" s="117" t="s">
        <v>69</v>
      </c>
      <c r="D81" s="77"/>
      <c r="E81" s="77"/>
      <c r="F81" s="77"/>
      <c r="G81" s="92"/>
      <c r="H81" s="90"/>
      <c r="I81" s="99"/>
    </row>
    <row r="82" spans="1:9">
      <c r="A82" s="76">
        <f t="shared" si="0"/>
        <v>44</v>
      </c>
      <c r="B82" s="139"/>
      <c r="C82" s="117" t="s">
        <v>70</v>
      </c>
      <c r="D82" s="81"/>
      <c r="E82" s="81"/>
      <c r="F82" s="81"/>
      <c r="G82" s="92"/>
      <c r="H82" s="90"/>
      <c r="I82" s="99"/>
    </row>
    <row r="83" spans="1:9">
      <c r="A83" s="76">
        <f t="shared" si="0"/>
        <v>45</v>
      </c>
      <c r="B83" s="139"/>
      <c r="C83" s="117" t="s">
        <v>71</v>
      </c>
      <c r="D83" s="77"/>
      <c r="E83" s="77"/>
      <c r="F83" s="77"/>
      <c r="G83" s="92"/>
      <c r="H83" s="90"/>
      <c r="I83" s="99"/>
    </row>
    <row r="84" spans="1:9" ht="30">
      <c r="A84" s="76">
        <f t="shared" si="0"/>
        <v>46</v>
      </c>
      <c r="B84" s="139" t="s">
        <v>72</v>
      </c>
      <c r="C84" s="117" t="s">
        <v>73</v>
      </c>
      <c r="D84" s="81"/>
      <c r="E84" s="81"/>
      <c r="F84" s="81"/>
      <c r="G84" s="92"/>
      <c r="H84" s="90"/>
      <c r="I84" s="99"/>
    </row>
    <row r="85" spans="1:9">
      <c r="A85" s="76">
        <f t="shared" si="0"/>
        <v>47</v>
      </c>
      <c r="B85" s="139"/>
      <c r="C85" s="117" t="s">
        <v>74</v>
      </c>
      <c r="D85" s="77"/>
      <c r="E85" s="77"/>
      <c r="F85" s="77"/>
      <c r="G85" s="92"/>
      <c r="H85" s="90"/>
      <c r="I85" s="99"/>
    </row>
    <row r="86" spans="1:9" ht="60">
      <c r="A86" s="76">
        <f t="shared" si="0"/>
        <v>48</v>
      </c>
      <c r="B86" s="139"/>
      <c r="C86" s="117" t="s">
        <v>75</v>
      </c>
      <c r="D86" s="81"/>
      <c r="E86" s="81"/>
      <c r="F86" s="81"/>
      <c r="G86" s="92"/>
      <c r="H86" s="90"/>
      <c r="I86" s="100"/>
    </row>
    <row r="87" spans="1:9">
      <c r="A87" s="76">
        <f t="shared" si="0"/>
        <v>49</v>
      </c>
      <c r="B87" s="139"/>
      <c r="C87" s="117" t="s">
        <v>76</v>
      </c>
      <c r="D87" s="77"/>
      <c r="E87" s="77"/>
      <c r="F87" s="77"/>
      <c r="G87" s="92"/>
      <c r="H87" s="101"/>
      <c r="I87" s="99"/>
    </row>
    <row r="88" spans="1:9" ht="45">
      <c r="A88" s="76">
        <f t="shared" si="0"/>
        <v>50</v>
      </c>
      <c r="B88" s="139"/>
      <c r="C88" s="117" t="s">
        <v>77</v>
      </c>
      <c r="D88" s="81"/>
      <c r="E88" s="81"/>
      <c r="F88" s="81"/>
      <c r="G88" s="92"/>
      <c r="H88" s="90"/>
      <c r="I88" s="99"/>
    </row>
    <row r="89" spans="1:9">
      <c r="A89" s="76">
        <f t="shared" si="0"/>
        <v>51</v>
      </c>
      <c r="B89" s="139"/>
      <c r="C89" s="117" t="s">
        <v>78</v>
      </c>
      <c r="D89" s="77"/>
      <c r="E89" s="77"/>
      <c r="F89" s="77"/>
      <c r="G89" s="92"/>
      <c r="H89" s="90"/>
      <c r="I89" s="99"/>
    </row>
    <row r="90" spans="1:9">
      <c r="A90" s="76">
        <f t="shared" si="0"/>
        <v>52</v>
      </c>
      <c r="B90" s="139"/>
      <c r="C90" s="117" t="s">
        <v>79</v>
      </c>
      <c r="D90" s="81"/>
      <c r="E90" s="81"/>
      <c r="F90" s="81"/>
      <c r="G90" s="92"/>
      <c r="H90" s="90"/>
      <c r="I90" s="99"/>
    </row>
    <row r="91" spans="1:9" ht="30">
      <c r="A91" s="76">
        <f t="shared" si="0"/>
        <v>53</v>
      </c>
      <c r="B91" s="139"/>
      <c r="C91" s="117" t="s">
        <v>80</v>
      </c>
      <c r="D91" s="77"/>
      <c r="E91" s="77"/>
      <c r="F91" s="77"/>
      <c r="G91" s="92"/>
      <c r="H91" s="97"/>
      <c r="I91" s="98"/>
    </row>
    <row r="92" spans="1:9" ht="45">
      <c r="A92" s="76">
        <f t="shared" si="0"/>
        <v>54</v>
      </c>
      <c r="B92" s="139"/>
      <c r="C92" s="117" t="s">
        <v>81</v>
      </c>
      <c r="D92" s="81"/>
      <c r="E92" s="81"/>
      <c r="F92" s="81"/>
      <c r="G92" s="92"/>
      <c r="H92" s="102"/>
      <c r="I92" s="103"/>
    </row>
    <row r="93" spans="1:9" ht="45">
      <c r="A93" s="76">
        <f t="shared" si="0"/>
        <v>55</v>
      </c>
      <c r="B93" s="139"/>
      <c r="C93" s="117" t="s">
        <v>82</v>
      </c>
      <c r="D93" s="77"/>
      <c r="E93" s="77"/>
      <c r="F93" s="77"/>
      <c r="G93" s="92"/>
      <c r="H93" s="102"/>
      <c r="I93" s="103"/>
    </row>
    <row r="94" spans="1:9">
      <c r="A94" s="76">
        <f t="shared" si="0"/>
        <v>56</v>
      </c>
      <c r="B94" s="139"/>
      <c r="C94" s="117" t="s">
        <v>83</v>
      </c>
      <c r="D94" s="81"/>
      <c r="E94" s="81"/>
      <c r="F94" s="81"/>
      <c r="G94" s="92"/>
      <c r="H94" s="102"/>
      <c r="I94" s="103"/>
    </row>
    <row r="95" spans="1:9" ht="45">
      <c r="A95" s="76">
        <f t="shared" si="0"/>
        <v>57</v>
      </c>
      <c r="B95" s="139"/>
      <c r="C95" s="117" t="s">
        <v>84</v>
      </c>
      <c r="D95" s="77"/>
      <c r="E95" s="77"/>
      <c r="F95" s="77"/>
      <c r="G95" s="92"/>
      <c r="H95" s="104"/>
      <c r="I95" s="105"/>
    </row>
    <row r="96" spans="1:9" ht="30">
      <c r="A96" s="76">
        <f t="shared" si="0"/>
        <v>58</v>
      </c>
      <c r="B96" s="139"/>
      <c r="C96" s="117" t="s">
        <v>85</v>
      </c>
      <c r="D96" s="81"/>
      <c r="E96" s="81"/>
      <c r="F96" s="81"/>
      <c r="G96" s="92"/>
      <c r="H96" s="102"/>
      <c r="I96" s="103"/>
    </row>
    <row r="97" spans="1:9">
      <c r="A97" s="76">
        <f t="shared" si="0"/>
        <v>59</v>
      </c>
      <c r="B97" s="139" t="s">
        <v>86</v>
      </c>
      <c r="C97" s="117" t="s">
        <v>74</v>
      </c>
      <c r="D97" s="77"/>
      <c r="E97" s="77"/>
      <c r="F97" s="77"/>
      <c r="G97" s="92"/>
      <c r="H97" s="102"/>
      <c r="I97" s="103"/>
    </row>
    <row r="98" spans="1:9">
      <c r="A98" s="76">
        <f t="shared" si="0"/>
        <v>60</v>
      </c>
      <c r="B98" s="139"/>
      <c r="C98" s="117" t="s">
        <v>87</v>
      </c>
      <c r="D98" s="81"/>
      <c r="E98" s="81"/>
      <c r="F98" s="81"/>
      <c r="G98" s="92"/>
      <c r="H98" s="104"/>
      <c r="I98" s="105"/>
    </row>
    <row r="99" spans="1:9">
      <c r="A99" s="76">
        <f t="shared" si="0"/>
        <v>61</v>
      </c>
      <c r="B99" s="139"/>
      <c r="C99" s="117" t="s">
        <v>88</v>
      </c>
      <c r="D99" s="77"/>
      <c r="E99" s="77"/>
      <c r="F99" s="77"/>
      <c r="G99" s="92"/>
      <c r="H99" s="102"/>
      <c r="I99" s="103"/>
    </row>
    <row r="100" spans="1:9">
      <c r="A100" s="76">
        <f t="shared" si="0"/>
        <v>62</v>
      </c>
      <c r="B100" s="139"/>
      <c r="C100" s="117" t="s">
        <v>89</v>
      </c>
      <c r="D100" s="81"/>
      <c r="E100" s="81"/>
      <c r="F100" s="81"/>
      <c r="G100" s="92"/>
      <c r="H100" s="102"/>
      <c r="I100" s="103"/>
    </row>
    <row r="101" spans="1:9">
      <c r="A101" s="76">
        <f t="shared" si="0"/>
        <v>63</v>
      </c>
      <c r="B101" s="139"/>
      <c r="C101" s="117" t="s">
        <v>90</v>
      </c>
      <c r="D101" s="77"/>
      <c r="E101" s="77"/>
      <c r="F101" s="77"/>
      <c r="G101" s="92"/>
      <c r="H101" s="102"/>
      <c r="I101" s="103"/>
    </row>
    <row r="102" spans="1:9">
      <c r="A102" s="76">
        <f t="shared" si="0"/>
        <v>64</v>
      </c>
      <c r="B102" s="139"/>
      <c r="C102" s="117" t="s">
        <v>91</v>
      </c>
      <c r="D102" s="81"/>
      <c r="E102" s="81"/>
      <c r="F102" s="81"/>
      <c r="G102" s="92"/>
      <c r="H102" s="102"/>
      <c r="I102" s="103"/>
    </row>
    <row r="103" spans="1:9" ht="45">
      <c r="A103" s="76">
        <f t="shared" si="0"/>
        <v>65</v>
      </c>
      <c r="B103" s="139"/>
      <c r="C103" s="117" t="s">
        <v>92</v>
      </c>
      <c r="D103" s="77"/>
      <c r="E103" s="77"/>
      <c r="F103" s="77"/>
      <c r="G103" s="92"/>
      <c r="H103" s="102"/>
      <c r="I103" s="103"/>
    </row>
    <row r="104" spans="1:9" ht="30">
      <c r="A104" s="76">
        <f t="shared" si="0"/>
        <v>66</v>
      </c>
      <c r="B104" s="139"/>
      <c r="C104" s="117" t="s">
        <v>93</v>
      </c>
      <c r="D104" s="81"/>
      <c r="E104" s="81"/>
      <c r="F104" s="81"/>
      <c r="G104" s="92"/>
      <c r="H104" s="102"/>
      <c r="I104" s="103"/>
    </row>
    <row r="105" spans="1:9" ht="30">
      <c r="A105" s="76">
        <f t="shared" ref="A105:A168" si="1">A104+1</f>
        <v>67</v>
      </c>
      <c r="B105" s="139"/>
      <c r="C105" s="117" t="s">
        <v>94</v>
      </c>
      <c r="D105" s="77"/>
      <c r="E105" s="77"/>
      <c r="F105" s="77"/>
      <c r="G105" s="92"/>
      <c r="H105" s="90"/>
      <c r="I105" s="103"/>
    </row>
    <row r="106" spans="1:9">
      <c r="A106" s="76">
        <f t="shared" si="1"/>
        <v>68</v>
      </c>
      <c r="B106" s="144" t="s">
        <v>95</v>
      </c>
      <c r="C106" s="117" t="s">
        <v>96</v>
      </c>
      <c r="D106" s="81"/>
      <c r="E106" s="81"/>
      <c r="F106" s="81"/>
      <c r="G106" s="92"/>
      <c r="H106" s="102"/>
      <c r="I106" s="96"/>
    </row>
    <row r="107" spans="1:9">
      <c r="A107" s="76">
        <f t="shared" si="1"/>
        <v>69</v>
      </c>
      <c r="B107" s="145"/>
      <c r="C107" s="117" t="s">
        <v>97</v>
      </c>
      <c r="D107" s="77"/>
      <c r="E107" s="77"/>
      <c r="F107" s="77"/>
      <c r="G107" s="92"/>
      <c r="H107" s="95"/>
      <c r="I107" s="96"/>
    </row>
    <row r="108" spans="1:9">
      <c r="A108" s="76">
        <f t="shared" si="1"/>
        <v>70</v>
      </c>
      <c r="B108" s="145"/>
      <c r="C108" s="117" t="s">
        <v>98</v>
      </c>
      <c r="D108" s="81"/>
      <c r="E108" s="81"/>
      <c r="F108" s="81"/>
      <c r="G108" s="92"/>
      <c r="H108" s="106"/>
      <c r="I108" s="107"/>
    </row>
    <row r="109" spans="1:9">
      <c r="A109" s="76">
        <f t="shared" si="1"/>
        <v>71</v>
      </c>
      <c r="B109" s="145"/>
      <c r="C109" s="117" t="s">
        <v>99</v>
      </c>
      <c r="D109" s="77"/>
      <c r="E109" s="77"/>
      <c r="F109" s="77"/>
      <c r="G109" s="92"/>
      <c r="H109" s="106"/>
      <c r="I109" s="107"/>
    </row>
    <row r="110" spans="1:9">
      <c r="A110" s="76">
        <f t="shared" si="1"/>
        <v>72</v>
      </c>
      <c r="B110" s="145"/>
      <c r="C110" s="117" t="s">
        <v>100</v>
      </c>
      <c r="D110" s="81"/>
      <c r="E110" s="81"/>
      <c r="F110" s="81"/>
      <c r="G110" s="92"/>
      <c r="H110" s="106"/>
      <c r="I110" s="107"/>
    </row>
    <row r="111" spans="1:9">
      <c r="A111" s="76">
        <f t="shared" si="1"/>
        <v>73</v>
      </c>
      <c r="B111" s="146"/>
      <c r="C111" s="117" t="s">
        <v>101</v>
      </c>
      <c r="D111" s="77"/>
      <c r="E111" s="77"/>
      <c r="F111" s="77"/>
      <c r="G111" s="92"/>
      <c r="H111" s="106"/>
      <c r="I111" s="107"/>
    </row>
    <row r="112" spans="1:9">
      <c r="A112" s="76">
        <f t="shared" si="1"/>
        <v>74</v>
      </c>
      <c r="B112" s="139" t="s">
        <v>102</v>
      </c>
      <c r="C112" s="117" t="s">
        <v>103</v>
      </c>
      <c r="D112" s="81"/>
      <c r="E112" s="81"/>
      <c r="F112" s="81"/>
      <c r="G112" s="92"/>
      <c r="H112" s="106"/>
      <c r="I112" s="107"/>
    </row>
    <row r="113" spans="1:9" ht="30">
      <c r="A113" s="76">
        <f t="shared" si="1"/>
        <v>75</v>
      </c>
      <c r="B113" s="139"/>
      <c r="C113" s="117" t="s">
        <v>104</v>
      </c>
      <c r="D113" s="77"/>
      <c r="E113" s="77"/>
      <c r="F113" s="77"/>
      <c r="G113" s="92"/>
      <c r="H113" s="106"/>
      <c r="I113" s="107"/>
    </row>
    <row r="114" spans="1:9" ht="30">
      <c r="A114" s="76">
        <f t="shared" si="1"/>
        <v>76</v>
      </c>
      <c r="B114" s="139"/>
      <c r="C114" s="117" t="s">
        <v>105</v>
      </c>
      <c r="D114" s="81"/>
      <c r="E114" s="81"/>
      <c r="F114" s="81"/>
      <c r="G114" s="92"/>
      <c r="H114" s="106"/>
      <c r="I114" s="100"/>
    </row>
    <row r="115" spans="1:9">
      <c r="A115" s="76">
        <f t="shared" si="1"/>
        <v>77</v>
      </c>
      <c r="B115" s="139" t="s">
        <v>106</v>
      </c>
      <c r="C115" s="117" t="s">
        <v>107</v>
      </c>
      <c r="D115" s="77"/>
      <c r="E115" s="77"/>
      <c r="F115" s="77"/>
      <c r="G115" s="92"/>
      <c r="H115" s="108"/>
      <c r="I115" s="109"/>
    </row>
    <row r="116" spans="1:9">
      <c r="A116" s="76">
        <f t="shared" si="1"/>
        <v>78</v>
      </c>
      <c r="B116" s="139"/>
      <c r="C116" s="117" t="s">
        <v>108</v>
      </c>
      <c r="D116" s="81"/>
      <c r="E116" s="81"/>
      <c r="F116" s="81"/>
      <c r="G116" s="92"/>
      <c r="H116" s="108"/>
      <c r="I116" s="109"/>
    </row>
    <row r="117" spans="1:9">
      <c r="A117" s="76">
        <f t="shared" si="1"/>
        <v>79</v>
      </c>
      <c r="B117" s="139" t="s">
        <v>109</v>
      </c>
      <c r="C117" s="117" t="s">
        <v>107</v>
      </c>
      <c r="D117" s="77"/>
      <c r="E117" s="77"/>
      <c r="F117" s="77"/>
      <c r="G117" s="92"/>
      <c r="H117" s="108"/>
      <c r="I117" s="110"/>
    </row>
    <row r="118" spans="1:9">
      <c r="A118" s="76">
        <f t="shared" si="1"/>
        <v>80</v>
      </c>
      <c r="B118" s="139"/>
      <c r="C118" s="117" t="s">
        <v>108</v>
      </c>
      <c r="D118" s="81"/>
      <c r="E118" s="81"/>
      <c r="F118" s="81"/>
      <c r="G118" s="92"/>
      <c r="H118" s="111"/>
      <c r="I118" s="112"/>
    </row>
    <row r="119" spans="1:9">
      <c r="A119" s="76">
        <f t="shared" si="1"/>
        <v>81</v>
      </c>
      <c r="B119" s="139" t="s">
        <v>110</v>
      </c>
      <c r="C119" s="117" t="s">
        <v>111</v>
      </c>
      <c r="D119" s="77"/>
      <c r="E119" s="77"/>
      <c r="F119" s="77"/>
      <c r="G119" s="92"/>
      <c r="H119" s="108"/>
      <c r="I119" s="110"/>
    </row>
    <row r="120" spans="1:9">
      <c r="A120" s="76">
        <f t="shared" si="1"/>
        <v>82</v>
      </c>
      <c r="B120" s="139"/>
      <c r="C120" s="117" t="s">
        <v>112</v>
      </c>
      <c r="D120" s="81"/>
      <c r="E120" s="81"/>
      <c r="F120" s="81"/>
      <c r="G120" s="92"/>
      <c r="H120" s="111"/>
      <c r="I120" s="112"/>
    </row>
    <row r="121" spans="1:9">
      <c r="A121" s="76">
        <f t="shared" si="1"/>
        <v>83</v>
      </c>
      <c r="B121" s="139"/>
      <c r="C121" s="117" t="s">
        <v>113</v>
      </c>
      <c r="D121" s="77"/>
      <c r="E121" s="77"/>
      <c r="F121" s="77"/>
      <c r="G121" s="92"/>
      <c r="H121" s="111"/>
      <c r="I121" s="110"/>
    </row>
    <row r="122" spans="1:9">
      <c r="A122" s="76">
        <f t="shared" si="1"/>
        <v>84</v>
      </c>
      <c r="B122" s="139" t="s">
        <v>114</v>
      </c>
      <c r="C122" s="117" t="s">
        <v>115</v>
      </c>
      <c r="D122" s="81"/>
      <c r="E122" s="81"/>
      <c r="F122" s="81"/>
      <c r="G122" s="92"/>
      <c r="H122" s="111"/>
      <c r="I122" s="112"/>
    </row>
    <row r="123" spans="1:9">
      <c r="A123" s="76">
        <f t="shared" si="1"/>
        <v>85</v>
      </c>
      <c r="B123" s="139"/>
      <c r="C123" s="117" t="s">
        <v>116</v>
      </c>
      <c r="D123" s="77"/>
      <c r="E123" s="77"/>
      <c r="F123" s="77"/>
      <c r="G123" s="92"/>
      <c r="H123" s="111"/>
      <c r="I123" s="112"/>
    </row>
    <row r="124" spans="1:9">
      <c r="A124" s="76">
        <f t="shared" si="1"/>
        <v>86</v>
      </c>
      <c r="B124" s="139"/>
      <c r="C124" s="117" t="s">
        <v>117</v>
      </c>
      <c r="D124" s="81"/>
      <c r="E124" s="81"/>
      <c r="F124" s="81"/>
      <c r="G124" s="92"/>
      <c r="H124" s="111"/>
      <c r="I124" s="110"/>
    </row>
    <row r="125" spans="1:9">
      <c r="A125" s="76">
        <f t="shared" si="1"/>
        <v>87</v>
      </c>
      <c r="B125" s="139"/>
      <c r="C125" s="117" t="s">
        <v>118</v>
      </c>
      <c r="D125" s="77"/>
      <c r="E125" s="77"/>
      <c r="F125" s="77"/>
      <c r="G125" s="92"/>
      <c r="H125" s="111"/>
      <c r="I125" s="110"/>
    </row>
    <row r="126" spans="1:9">
      <c r="A126" s="76">
        <f t="shared" si="1"/>
        <v>88</v>
      </c>
      <c r="B126" s="139" t="s">
        <v>119</v>
      </c>
      <c r="C126" s="117" t="s">
        <v>120</v>
      </c>
      <c r="D126" s="81"/>
      <c r="E126" s="81"/>
      <c r="F126" s="81"/>
      <c r="G126" s="92"/>
      <c r="H126" s="95"/>
      <c r="I126" s="96"/>
    </row>
    <row r="127" spans="1:9" ht="45">
      <c r="A127" s="76">
        <f t="shared" si="1"/>
        <v>89</v>
      </c>
      <c r="B127" s="139"/>
      <c r="C127" s="117" t="s">
        <v>121</v>
      </c>
      <c r="D127" s="77"/>
      <c r="E127" s="77"/>
      <c r="F127" s="77"/>
      <c r="G127" s="92"/>
      <c r="H127" s="95"/>
      <c r="I127" s="96"/>
    </row>
    <row r="128" spans="1:9" ht="30">
      <c r="A128" s="76">
        <f t="shared" si="1"/>
        <v>90</v>
      </c>
      <c r="B128" s="139"/>
      <c r="C128" s="117" t="s">
        <v>122</v>
      </c>
      <c r="D128" s="81"/>
      <c r="E128" s="81"/>
      <c r="F128" s="81"/>
      <c r="G128" s="92"/>
      <c r="H128" s="111"/>
      <c r="I128" s="112"/>
    </row>
    <row r="129" spans="1:9">
      <c r="A129" s="76">
        <f t="shared" si="1"/>
        <v>91</v>
      </c>
      <c r="B129" s="147" t="s">
        <v>194</v>
      </c>
      <c r="C129" s="117" t="s">
        <v>123</v>
      </c>
      <c r="D129" s="77"/>
      <c r="E129" s="77"/>
      <c r="F129" s="77"/>
      <c r="G129" s="92"/>
      <c r="H129" s="111"/>
      <c r="I129" s="112"/>
    </row>
    <row r="130" spans="1:9">
      <c r="A130" s="76">
        <f t="shared" si="1"/>
        <v>92</v>
      </c>
      <c r="B130" s="148"/>
      <c r="C130" s="117" t="s">
        <v>124</v>
      </c>
      <c r="D130" s="81"/>
      <c r="E130" s="81"/>
      <c r="F130" s="81"/>
      <c r="G130" s="92"/>
      <c r="H130" s="108"/>
      <c r="I130" s="110"/>
    </row>
    <row r="131" spans="1:9" ht="30">
      <c r="A131" s="76">
        <f t="shared" si="1"/>
        <v>93</v>
      </c>
      <c r="B131" s="148"/>
      <c r="C131" s="117" t="s">
        <v>125</v>
      </c>
      <c r="D131" s="77"/>
      <c r="E131" s="77"/>
      <c r="F131" s="77"/>
      <c r="G131" s="92"/>
      <c r="H131" s="108"/>
      <c r="I131" s="109"/>
    </row>
    <row r="132" spans="1:9" ht="30">
      <c r="A132" s="76">
        <f t="shared" si="1"/>
        <v>94</v>
      </c>
      <c r="B132" s="148"/>
      <c r="C132" s="117" t="s">
        <v>126</v>
      </c>
      <c r="D132" s="81"/>
      <c r="E132" s="81"/>
      <c r="F132" s="81"/>
      <c r="G132" s="92"/>
      <c r="H132" s="108"/>
      <c r="I132" s="110"/>
    </row>
    <row r="133" spans="1:9">
      <c r="A133" s="76">
        <f t="shared" si="1"/>
        <v>95</v>
      </c>
      <c r="B133" s="148"/>
      <c r="C133" s="117" t="s">
        <v>127</v>
      </c>
      <c r="D133" s="77"/>
      <c r="E133" s="77"/>
      <c r="F133" s="77"/>
      <c r="G133" s="92"/>
      <c r="H133" s="108"/>
      <c r="I133" s="110"/>
    </row>
    <row r="134" spans="1:9" ht="30">
      <c r="A134" s="76">
        <f t="shared" si="1"/>
        <v>96</v>
      </c>
      <c r="B134" s="148"/>
      <c r="C134" s="117" t="s">
        <v>128</v>
      </c>
      <c r="D134" s="81"/>
      <c r="E134" s="81"/>
      <c r="F134" s="81"/>
      <c r="G134" s="92"/>
      <c r="H134" s="111"/>
      <c r="I134" s="112"/>
    </row>
    <row r="135" spans="1:9">
      <c r="A135" s="76">
        <f t="shared" si="1"/>
        <v>97</v>
      </c>
      <c r="B135" s="148"/>
      <c r="C135" s="117" t="s">
        <v>129</v>
      </c>
      <c r="D135" s="77"/>
      <c r="E135" s="77"/>
      <c r="F135" s="77"/>
      <c r="G135" s="92"/>
      <c r="H135" s="111"/>
      <c r="I135" s="112"/>
    </row>
    <row r="136" spans="1:9">
      <c r="A136" s="76">
        <f t="shared" si="1"/>
        <v>98</v>
      </c>
      <c r="B136" s="148"/>
      <c r="C136" s="117" t="s">
        <v>130</v>
      </c>
      <c r="D136" s="81"/>
      <c r="E136" s="81"/>
      <c r="F136" s="81"/>
      <c r="G136" s="92"/>
      <c r="H136" s="111"/>
      <c r="I136" s="112"/>
    </row>
    <row r="137" spans="1:9" ht="30">
      <c r="A137" s="76">
        <f t="shared" si="1"/>
        <v>99</v>
      </c>
      <c r="B137" s="148"/>
      <c r="C137" s="117" t="s">
        <v>131</v>
      </c>
      <c r="D137" s="77"/>
      <c r="E137" s="77"/>
      <c r="F137" s="77"/>
      <c r="G137" s="92"/>
      <c r="H137" s="111"/>
      <c r="I137" s="112"/>
    </row>
    <row r="138" spans="1:9" ht="30">
      <c r="A138" s="76">
        <f t="shared" si="1"/>
        <v>100</v>
      </c>
      <c r="B138" s="148"/>
      <c r="C138" s="117" t="s">
        <v>132</v>
      </c>
      <c r="D138" s="81"/>
      <c r="E138" s="81"/>
      <c r="F138" s="81"/>
      <c r="G138" s="92"/>
      <c r="H138" s="111"/>
      <c r="I138" s="110"/>
    </row>
    <row r="139" spans="1:9" ht="30">
      <c r="A139" s="76">
        <f t="shared" si="1"/>
        <v>101</v>
      </c>
      <c r="B139" s="148"/>
      <c r="C139" s="117" t="s">
        <v>133</v>
      </c>
      <c r="D139" s="77"/>
      <c r="E139" s="77"/>
      <c r="F139" s="77"/>
      <c r="G139" s="92"/>
      <c r="H139" s="111"/>
      <c r="I139" s="110"/>
    </row>
    <row r="140" spans="1:9" ht="30">
      <c r="A140" s="76">
        <f t="shared" si="1"/>
        <v>102</v>
      </c>
      <c r="B140" s="148"/>
      <c r="C140" s="117" t="s">
        <v>134</v>
      </c>
      <c r="D140" s="81"/>
      <c r="E140" s="81"/>
      <c r="F140" s="81"/>
      <c r="G140" s="92"/>
      <c r="H140" s="111"/>
      <c r="I140" s="110"/>
    </row>
    <row r="141" spans="1:9">
      <c r="A141" s="76">
        <f t="shared" si="1"/>
        <v>103</v>
      </c>
      <c r="B141" s="148"/>
      <c r="C141" s="117" t="s">
        <v>135</v>
      </c>
      <c r="D141" s="77"/>
      <c r="E141" s="77"/>
      <c r="F141" s="77"/>
      <c r="G141" s="92"/>
      <c r="H141" s="111"/>
      <c r="I141" s="112"/>
    </row>
    <row r="142" spans="1:9">
      <c r="A142" s="76">
        <f t="shared" si="1"/>
        <v>104</v>
      </c>
      <c r="B142" s="148"/>
      <c r="C142" s="117" t="s">
        <v>136</v>
      </c>
      <c r="D142" s="81"/>
      <c r="E142" s="81"/>
      <c r="F142" s="81"/>
      <c r="G142" s="92"/>
      <c r="H142" s="108"/>
      <c r="I142" s="110"/>
    </row>
    <row r="143" spans="1:9">
      <c r="A143" s="76">
        <f t="shared" si="1"/>
        <v>105</v>
      </c>
      <c r="B143" s="148"/>
      <c r="C143" s="117" t="s">
        <v>137</v>
      </c>
      <c r="D143" s="77"/>
      <c r="E143" s="77"/>
      <c r="F143" s="77"/>
      <c r="G143" s="92"/>
      <c r="H143" s="108"/>
      <c r="I143" s="110"/>
    </row>
    <row r="144" spans="1:9" ht="30">
      <c r="A144" s="76">
        <f t="shared" si="1"/>
        <v>106</v>
      </c>
      <c r="B144" s="148"/>
      <c r="C144" s="117" t="s">
        <v>138</v>
      </c>
      <c r="D144" s="81"/>
      <c r="E144" s="81"/>
      <c r="F144" s="81"/>
      <c r="G144" s="92"/>
      <c r="H144" s="108"/>
      <c r="I144" s="109"/>
    </row>
    <row r="145" spans="1:9">
      <c r="A145" s="76">
        <f t="shared" si="1"/>
        <v>107</v>
      </c>
      <c r="B145" s="149"/>
      <c r="C145" s="117" t="s">
        <v>139</v>
      </c>
      <c r="D145" s="77"/>
      <c r="E145" s="77"/>
      <c r="F145" s="77"/>
      <c r="G145" s="92"/>
      <c r="H145" s="108"/>
      <c r="I145" s="113"/>
    </row>
    <row r="146" spans="1:9">
      <c r="A146" s="76">
        <f t="shared" si="1"/>
        <v>108</v>
      </c>
      <c r="B146" s="139" t="s">
        <v>140</v>
      </c>
      <c r="C146" s="117" t="s">
        <v>141</v>
      </c>
      <c r="D146" s="81"/>
      <c r="E146" s="81"/>
      <c r="F146" s="81"/>
      <c r="G146" s="92"/>
      <c r="H146" s="108"/>
      <c r="I146" s="110"/>
    </row>
    <row r="147" spans="1:9">
      <c r="A147" s="76">
        <f t="shared" si="1"/>
        <v>109</v>
      </c>
      <c r="B147" s="139"/>
      <c r="C147" s="117" t="s">
        <v>142</v>
      </c>
      <c r="D147" s="77"/>
      <c r="E147" s="77"/>
      <c r="F147" s="77"/>
      <c r="G147" s="92"/>
      <c r="H147" s="111"/>
      <c r="I147" s="112"/>
    </row>
    <row r="148" spans="1:9" ht="30">
      <c r="A148" s="76">
        <f t="shared" si="1"/>
        <v>110</v>
      </c>
      <c r="B148" s="139"/>
      <c r="C148" s="117" t="s">
        <v>143</v>
      </c>
      <c r="D148" s="81"/>
      <c r="E148" s="81"/>
      <c r="F148" s="81"/>
      <c r="G148" s="92"/>
      <c r="H148" s="108"/>
      <c r="I148" s="110"/>
    </row>
    <row r="149" spans="1:9" ht="30">
      <c r="A149" s="76">
        <f t="shared" si="1"/>
        <v>111</v>
      </c>
      <c r="B149" s="139"/>
      <c r="C149" s="117" t="s">
        <v>144</v>
      </c>
      <c r="D149" s="77"/>
      <c r="E149" s="77"/>
      <c r="F149" s="77"/>
      <c r="G149" s="92"/>
      <c r="H149" s="108"/>
      <c r="I149" s="110"/>
    </row>
    <row r="150" spans="1:9" ht="30">
      <c r="A150" s="76">
        <f t="shared" si="1"/>
        <v>112</v>
      </c>
      <c r="B150" s="139"/>
      <c r="C150" s="117" t="s">
        <v>145</v>
      </c>
      <c r="D150" s="81"/>
      <c r="E150" s="81"/>
      <c r="F150" s="81"/>
      <c r="G150" s="92"/>
      <c r="H150" s="108"/>
      <c r="I150" s="110"/>
    </row>
    <row r="151" spans="1:9">
      <c r="A151" s="76">
        <f t="shared" si="1"/>
        <v>113</v>
      </c>
      <c r="B151" s="139" t="s">
        <v>146</v>
      </c>
      <c r="C151" s="117" t="s">
        <v>27</v>
      </c>
      <c r="D151" s="77"/>
      <c r="E151" s="77"/>
      <c r="F151" s="77"/>
      <c r="G151" s="92"/>
      <c r="H151" s="108"/>
      <c r="I151" s="109"/>
    </row>
    <row r="152" spans="1:9">
      <c r="A152" s="76">
        <f t="shared" si="1"/>
        <v>114</v>
      </c>
      <c r="B152" s="139"/>
      <c r="C152" s="117" t="s">
        <v>28</v>
      </c>
      <c r="D152" s="81"/>
      <c r="E152" s="81"/>
      <c r="F152" s="81"/>
      <c r="G152" s="92"/>
      <c r="H152" s="114"/>
      <c r="I152" s="114"/>
    </row>
    <row r="153" spans="1:9">
      <c r="A153" s="76">
        <f t="shared" si="1"/>
        <v>115</v>
      </c>
      <c r="B153" s="139"/>
      <c r="C153" s="117" t="s">
        <v>29</v>
      </c>
      <c r="D153" s="77"/>
      <c r="E153" s="77"/>
      <c r="F153" s="77"/>
      <c r="G153" s="115"/>
      <c r="H153" s="114"/>
      <c r="I153" s="114"/>
    </row>
    <row r="154" spans="1:9" ht="30">
      <c r="A154" s="76">
        <f t="shared" si="1"/>
        <v>116</v>
      </c>
      <c r="B154" s="139" t="s">
        <v>147</v>
      </c>
      <c r="C154" s="117" t="s">
        <v>148</v>
      </c>
      <c r="D154" s="81"/>
      <c r="E154" s="81"/>
      <c r="F154" s="81"/>
      <c r="G154" s="115"/>
      <c r="H154" s="114"/>
      <c r="I154" s="114"/>
    </row>
    <row r="155" spans="1:9" ht="45">
      <c r="A155" s="76">
        <f t="shared" si="1"/>
        <v>117</v>
      </c>
      <c r="B155" s="139"/>
      <c r="C155" s="117" t="s">
        <v>149</v>
      </c>
      <c r="D155" s="77"/>
      <c r="E155" s="77"/>
      <c r="F155" s="77"/>
      <c r="G155" s="115"/>
      <c r="H155" s="114"/>
      <c r="I155" s="114"/>
    </row>
    <row r="156" spans="1:9" ht="30">
      <c r="A156" s="76">
        <f t="shared" si="1"/>
        <v>118</v>
      </c>
      <c r="B156" s="139"/>
      <c r="C156" s="117" t="s">
        <v>150</v>
      </c>
      <c r="D156" s="81"/>
      <c r="E156" s="81"/>
      <c r="F156" s="81"/>
      <c r="G156" s="115"/>
      <c r="H156" s="114"/>
      <c r="I156" s="114"/>
    </row>
    <row r="157" spans="1:9" ht="30">
      <c r="A157" s="76">
        <f t="shared" si="1"/>
        <v>119</v>
      </c>
      <c r="B157" s="139"/>
      <c r="C157" s="117" t="s">
        <v>151</v>
      </c>
      <c r="D157" s="77"/>
      <c r="E157" s="77"/>
      <c r="F157" s="77"/>
      <c r="G157" s="115"/>
      <c r="H157" s="114"/>
      <c r="I157" s="114"/>
    </row>
    <row r="158" spans="1:9">
      <c r="A158" s="76">
        <f t="shared" si="1"/>
        <v>120</v>
      </c>
      <c r="B158" s="139"/>
      <c r="C158" s="117" t="s">
        <v>152</v>
      </c>
      <c r="D158" s="81"/>
      <c r="E158" s="81"/>
      <c r="F158" s="81"/>
      <c r="G158" s="115"/>
      <c r="H158" s="114"/>
      <c r="I158" s="114"/>
    </row>
    <row r="159" spans="1:9">
      <c r="A159" s="76">
        <f t="shared" si="1"/>
        <v>121</v>
      </c>
      <c r="B159" s="139" t="s">
        <v>153</v>
      </c>
      <c r="C159" s="117" t="s">
        <v>154</v>
      </c>
      <c r="D159" s="77"/>
      <c r="E159" s="77"/>
      <c r="F159" s="77"/>
      <c r="G159" s="115"/>
      <c r="H159" s="114"/>
      <c r="I159" s="114"/>
    </row>
    <row r="160" spans="1:9">
      <c r="A160" s="76">
        <f t="shared" si="1"/>
        <v>122</v>
      </c>
      <c r="B160" s="139"/>
      <c r="C160" s="117" t="s">
        <v>155</v>
      </c>
      <c r="D160" s="81"/>
      <c r="E160" s="81"/>
      <c r="F160" s="81"/>
      <c r="G160" s="115"/>
      <c r="H160" s="114"/>
      <c r="I160" s="114"/>
    </row>
    <row r="161" spans="1:9">
      <c r="A161" s="76">
        <f t="shared" si="1"/>
        <v>123</v>
      </c>
      <c r="B161" s="139"/>
      <c r="C161" s="117" t="s">
        <v>156</v>
      </c>
      <c r="D161" s="77"/>
      <c r="E161" s="77"/>
      <c r="F161" s="77"/>
      <c r="G161" s="115"/>
      <c r="H161" s="114"/>
      <c r="I161" s="114"/>
    </row>
    <row r="162" spans="1:9">
      <c r="A162" s="76">
        <f t="shared" si="1"/>
        <v>124</v>
      </c>
      <c r="B162" s="139"/>
      <c r="C162" s="117" t="s">
        <v>157</v>
      </c>
      <c r="D162" s="81"/>
      <c r="E162" s="81"/>
      <c r="F162" s="81"/>
      <c r="G162" s="115"/>
      <c r="H162" s="114"/>
      <c r="I162" s="114"/>
    </row>
    <row r="163" spans="1:9">
      <c r="A163" s="76">
        <f t="shared" si="1"/>
        <v>125</v>
      </c>
      <c r="B163" s="139"/>
      <c r="C163" s="117" t="s">
        <v>158</v>
      </c>
      <c r="D163" s="77"/>
      <c r="E163" s="77"/>
      <c r="F163" s="77"/>
      <c r="G163" s="115"/>
      <c r="H163" s="114"/>
      <c r="I163" s="114"/>
    </row>
    <row r="164" spans="1:9" ht="30">
      <c r="A164" s="76">
        <f t="shared" si="1"/>
        <v>126</v>
      </c>
      <c r="B164" s="139" t="s">
        <v>159</v>
      </c>
      <c r="C164" s="117" t="s">
        <v>160</v>
      </c>
      <c r="D164" s="81"/>
      <c r="E164" s="81"/>
      <c r="F164" s="81"/>
      <c r="G164" s="115"/>
      <c r="H164" s="114"/>
      <c r="I164" s="114"/>
    </row>
    <row r="165" spans="1:9" ht="30">
      <c r="A165" s="76">
        <f t="shared" si="1"/>
        <v>127</v>
      </c>
      <c r="B165" s="139"/>
      <c r="C165" s="117" t="s">
        <v>161</v>
      </c>
      <c r="D165" s="77"/>
      <c r="E165" s="77"/>
      <c r="F165" s="77"/>
      <c r="G165" s="115"/>
      <c r="H165" s="114"/>
      <c r="I165" s="114"/>
    </row>
    <row r="166" spans="1:9">
      <c r="A166" s="76">
        <f t="shared" si="1"/>
        <v>128</v>
      </c>
      <c r="B166" s="139"/>
      <c r="C166" s="117" t="s">
        <v>162</v>
      </c>
      <c r="D166" s="81"/>
      <c r="E166" s="81"/>
      <c r="F166" s="81"/>
      <c r="G166" s="115"/>
      <c r="H166" s="114"/>
      <c r="I166" s="114"/>
    </row>
    <row r="167" spans="1:9">
      <c r="A167" s="76">
        <f t="shared" si="1"/>
        <v>129</v>
      </c>
      <c r="B167" s="139" t="s">
        <v>163</v>
      </c>
      <c r="C167" s="117" t="s">
        <v>164</v>
      </c>
      <c r="D167" s="77"/>
      <c r="E167" s="77"/>
      <c r="F167" s="77"/>
      <c r="G167" s="115"/>
      <c r="H167" s="114"/>
      <c r="I167" s="114"/>
    </row>
    <row r="168" spans="1:9" ht="21.75" customHeight="1">
      <c r="A168" s="76">
        <f t="shared" si="1"/>
        <v>130</v>
      </c>
      <c r="B168" s="139"/>
      <c r="C168" s="117" t="s">
        <v>165</v>
      </c>
      <c r="D168" s="81"/>
      <c r="E168" s="81"/>
      <c r="F168" s="81"/>
      <c r="G168" s="115"/>
      <c r="H168" s="114"/>
      <c r="I168" s="114"/>
    </row>
    <row r="169" spans="1:9" ht="32.25" customHeight="1">
      <c r="A169" s="76">
        <f t="shared" ref="A169:A211" si="2">A168+1</f>
        <v>131</v>
      </c>
      <c r="B169" s="139"/>
      <c r="C169" s="117" t="s">
        <v>162</v>
      </c>
      <c r="D169" s="77"/>
      <c r="E169" s="77"/>
      <c r="F169" s="77"/>
      <c r="G169" s="115"/>
      <c r="H169" s="114"/>
      <c r="I169" s="114"/>
    </row>
    <row r="170" spans="1:9" ht="30">
      <c r="A170" s="76">
        <f t="shared" si="2"/>
        <v>132</v>
      </c>
      <c r="B170" s="139" t="s">
        <v>166</v>
      </c>
      <c r="C170" s="117" t="s">
        <v>167</v>
      </c>
      <c r="D170" s="81"/>
      <c r="E170" s="81"/>
      <c r="F170" s="81"/>
      <c r="G170" s="115"/>
      <c r="H170" s="114"/>
      <c r="I170" s="114"/>
    </row>
    <row r="171" spans="1:9">
      <c r="A171" s="76">
        <f t="shared" si="2"/>
        <v>133</v>
      </c>
      <c r="B171" s="139"/>
      <c r="C171" s="117" t="s">
        <v>162</v>
      </c>
      <c r="D171" s="77"/>
      <c r="E171" s="77"/>
      <c r="F171" s="77"/>
      <c r="G171" s="115"/>
      <c r="H171" s="114"/>
      <c r="I171" s="114"/>
    </row>
    <row r="172" spans="1:9" ht="30">
      <c r="A172" s="76">
        <f t="shared" si="2"/>
        <v>134</v>
      </c>
      <c r="B172" s="139"/>
      <c r="C172" s="117" t="s">
        <v>168</v>
      </c>
      <c r="D172" s="81"/>
      <c r="E172" s="81"/>
      <c r="F172" s="81"/>
      <c r="G172" s="115"/>
      <c r="H172" s="114"/>
      <c r="I172" s="114"/>
    </row>
    <row r="173" spans="1:9">
      <c r="A173" s="76">
        <f t="shared" si="2"/>
        <v>135</v>
      </c>
      <c r="B173" s="141" t="s">
        <v>169</v>
      </c>
      <c r="C173" s="117" t="s">
        <v>170</v>
      </c>
      <c r="D173" s="77"/>
      <c r="E173" s="77"/>
      <c r="F173" s="77"/>
      <c r="G173" s="115"/>
      <c r="H173" s="114"/>
      <c r="I173" s="114"/>
    </row>
    <row r="174" spans="1:9" ht="30">
      <c r="A174" s="76">
        <f t="shared" si="2"/>
        <v>136</v>
      </c>
      <c r="B174" s="142"/>
      <c r="C174" s="117" t="s">
        <v>171</v>
      </c>
      <c r="D174" s="81"/>
      <c r="E174" s="81"/>
      <c r="F174" s="81"/>
      <c r="G174" s="115"/>
      <c r="H174" s="114"/>
      <c r="I174" s="114"/>
    </row>
    <row r="175" spans="1:9" ht="30">
      <c r="A175" s="76">
        <f t="shared" si="2"/>
        <v>137</v>
      </c>
      <c r="B175" s="142"/>
      <c r="C175" s="117" t="s">
        <v>172</v>
      </c>
      <c r="D175" s="77"/>
      <c r="E175" s="77"/>
      <c r="F175" s="77"/>
      <c r="G175" s="115"/>
      <c r="H175" s="114"/>
      <c r="I175" s="114"/>
    </row>
    <row r="176" spans="1:9" ht="45">
      <c r="A176" s="76">
        <f t="shared" si="2"/>
        <v>138</v>
      </c>
      <c r="B176" s="142"/>
      <c r="C176" s="117" t="s">
        <v>173</v>
      </c>
      <c r="D176" s="81"/>
      <c r="E176" s="81"/>
      <c r="F176" s="81"/>
      <c r="G176" s="115"/>
      <c r="H176" s="114"/>
      <c r="I176" s="114"/>
    </row>
    <row r="177" spans="1:9">
      <c r="A177" s="76">
        <f t="shared" si="2"/>
        <v>139</v>
      </c>
      <c r="B177" s="142"/>
      <c r="C177" s="117" t="s">
        <v>174</v>
      </c>
      <c r="D177" s="77"/>
      <c r="E177" s="77"/>
      <c r="F177" s="77"/>
      <c r="G177" s="115"/>
      <c r="H177" s="114"/>
      <c r="I177" s="114"/>
    </row>
    <row r="178" spans="1:9" ht="30">
      <c r="A178" s="76">
        <f t="shared" si="2"/>
        <v>140</v>
      </c>
      <c r="B178" s="143"/>
      <c r="C178" s="117" t="s">
        <v>175</v>
      </c>
      <c r="D178" s="81"/>
      <c r="E178" s="81"/>
      <c r="F178" s="81"/>
      <c r="G178" s="115"/>
      <c r="H178" s="114"/>
      <c r="I178" s="114"/>
    </row>
    <row r="179" spans="1:9" ht="30">
      <c r="A179" s="76">
        <f t="shared" si="2"/>
        <v>141</v>
      </c>
      <c r="B179" s="139" t="s">
        <v>176</v>
      </c>
      <c r="C179" s="117" t="s">
        <v>177</v>
      </c>
      <c r="D179" s="77"/>
      <c r="E179" s="77"/>
      <c r="F179" s="77"/>
      <c r="G179" s="115"/>
      <c r="H179" s="114"/>
      <c r="I179" s="114"/>
    </row>
    <row r="180" spans="1:9">
      <c r="A180" s="76">
        <f t="shared" si="2"/>
        <v>142</v>
      </c>
      <c r="B180" s="139"/>
      <c r="C180" s="117" t="s">
        <v>178</v>
      </c>
      <c r="D180" s="81"/>
      <c r="E180" s="81"/>
      <c r="F180" s="81"/>
      <c r="G180" s="115"/>
      <c r="H180" s="114"/>
      <c r="I180" s="114"/>
    </row>
    <row r="181" spans="1:9" ht="30">
      <c r="A181" s="76">
        <f t="shared" si="2"/>
        <v>143</v>
      </c>
      <c r="B181" s="139"/>
      <c r="C181" s="117" t="s">
        <v>179</v>
      </c>
      <c r="D181" s="77"/>
      <c r="E181" s="77"/>
      <c r="F181" s="77"/>
      <c r="G181" s="115"/>
      <c r="H181" s="114"/>
      <c r="I181" s="114"/>
    </row>
    <row r="182" spans="1:9" ht="45">
      <c r="A182" s="76">
        <f t="shared" si="2"/>
        <v>144</v>
      </c>
      <c r="B182" s="139" t="s">
        <v>180</v>
      </c>
      <c r="C182" s="117" t="s">
        <v>181</v>
      </c>
      <c r="D182" s="81"/>
      <c r="E182" s="81"/>
      <c r="F182" s="81"/>
      <c r="G182" s="115"/>
      <c r="H182" s="114"/>
      <c r="I182" s="114"/>
    </row>
    <row r="183" spans="1:9">
      <c r="A183" s="76">
        <f t="shared" si="2"/>
        <v>145</v>
      </c>
      <c r="B183" s="139"/>
      <c r="C183" s="117" t="s">
        <v>182</v>
      </c>
      <c r="D183" s="77"/>
      <c r="E183" s="77"/>
      <c r="F183" s="77"/>
      <c r="G183" s="115"/>
      <c r="H183" s="114"/>
      <c r="I183" s="114"/>
    </row>
    <row r="184" spans="1:9">
      <c r="A184" s="76">
        <f t="shared" si="2"/>
        <v>146</v>
      </c>
      <c r="B184" s="139"/>
      <c r="C184" s="117" t="s">
        <v>183</v>
      </c>
      <c r="D184" s="81"/>
      <c r="E184" s="81"/>
      <c r="F184" s="81"/>
      <c r="G184" s="115"/>
      <c r="H184" s="114"/>
      <c r="I184" s="114"/>
    </row>
    <row r="185" spans="1:9">
      <c r="A185" s="76">
        <f t="shared" si="2"/>
        <v>147</v>
      </c>
      <c r="B185" s="139" t="s">
        <v>185</v>
      </c>
      <c r="C185" s="117" t="s">
        <v>186</v>
      </c>
      <c r="D185" s="77"/>
      <c r="E185" s="77"/>
      <c r="F185" s="77"/>
      <c r="G185" s="115"/>
      <c r="H185" s="114"/>
      <c r="I185" s="114"/>
    </row>
    <row r="186" spans="1:9" ht="30">
      <c r="A186" s="76">
        <f t="shared" si="2"/>
        <v>148</v>
      </c>
      <c r="B186" s="139"/>
      <c r="C186" s="117" t="s">
        <v>187</v>
      </c>
      <c r="D186" s="81"/>
      <c r="E186" s="81"/>
      <c r="F186" s="81"/>
      <c r="G186" s="115"/>
      <c r="H186" s="114"/>
      <c r="I186" s="114"/>
    </row>
    <row r="187" spans="1:9">
      <c r="A187" s="76">
        <f t="shared" si="2"/>
        <v>149</v>
      </c>
      <c r="B187" s="139"/>
      <c r="C187" s="117" t="s">
        <v>184</v>
      </c>
      <c r="D187" s="77"/>
      <c r="E187" s="77"/>
      <c r="F187" s="77"/>
      <c r="G187" s="115"/>
      <c r="H187" s="114"/>
      <c r="I187" s="114"/>
    </row>
    <row r="188" spans="1:9" ht="30">
      <c r="A188" s="76">
        <f t="shared" si="2"/>
        <v>150</v>
      </c>
      <c r="B188" s="139"/>
      <c r="C188" s="117" t="s">
        <v>188</v>
      </c>
      <c r="D188" s="81"/>
      <c r="E188" s="81"/>
      <c r="F188" s="81"/>
      <c r="G188" s="115"/>
      <c r="H188" s="114"/>
      <c r="I188" s="114"/>
    </row>
    <row r="189" spans="1:9">
      <c r="A189" s="76">
        <f t="shared" si="2"/>
        <v>151</v>
      </c>
      <c r="B189" s="144" t="s">
        <v>189</v>
      </c>
      <c r="C189" s="117" t="s">
        <v>190</v>
      </c>
      <c r="D189" s="77"/>
      <c r="E189" s="77"/>
      <c r="F189" s="77"/>
      <c r="G189" s="115"/>
      <c r="H189" s="116"/>
      <c r="I189" s="116"/>
    </row>
    <row r="190" spans="1:9">
      <c r="A190" s="76">
        <f t="shared" si="2"/>
        <v>152</v>
      </c>
      <c r="B190" s="146"/>
      <c r="C190" s="117" t="s">
        <v>191</v>
      </c>
      <c r="D190" s="81"/>
      <c r="E190" s="81"/>
      <c r="F190" s="81"/>
      <c r="G190" s="115"/>
      <c r="H190" s="116"/>
      <c r="I190" s="116"/>
    </row>
    <row r="191" spans="1:9">
      <c r="A191" s="76">
        <f t="shared" si="2"/>
        <v>153</v>
      </c>
      <c r="B191" s="118" t="s">
        <v>192</v>
      </c>
      <c r="C191" s="117" t="s">
        <v>193</v>
      </c>
      <c r="D191" s="77"/>
      <c r="E191" s="77"/>
      <c r="F191" s="77"/>
      <c r="G191" s="115"/>
      <c r="H191" s="116"/>
      <c r="I191" s="116"/>
    </row>
    <row r="192" spans="1:9">
      <c r="A192" s="76">
        <f t="shared" si="2"/>
        <v>154</v>
      </c>
      <c r="B192" s="121" t="s">
        <v>215</v>
      </c>
      <c r="C192" s="117" t="s">
        <v>213</v>
      </c>
      <c r="D192" s="122"/>
      <c r="E192" s="122"/>
      <c r="F192" s="122"/>
      <c r="G192" s="115"/>
      <c r="H192" s="116"/>
      <c r="I192" s="116"/>
    </row>
    <row r="193" spans="1:9" ht="30">
      <c r="A193" s="76">
        <f t="shared" si="2"/>
        <v>155</v>
      </c>
      <c r="B193" s="121"/>
      <c r="C193" s="117" t="s">
        <v>195</v>
      </c>
      <c r="D193" s="122"/>
      <c r="E193" s="122"/>
      <c r="F193" s="122"/>
      <c r="G193" s="115"/>
      <c r="H193" s="116"/>
      <c r="I193" s="116"/>
    </row>
    <row r="194" spans="1:9" ht="45">
      <c r="A194" s="76">
        <f t="shared" si="2"/>
        <v>156</v>
      </c>
      <c r="B194" s="121"/>
      <c r="C194" s="117" t="s">
        <v>214</v>
      </c>
      <c r="D194" s="122"/>
      <c r="E194" s="122"/>
      <c r="F194" s="122"/>
      <c r="G194" s="115"/>
      <c r="H194" s="116"/>
      <c r="I194" s="116"/>
    </row>
    <row r="195" spans="1:9" ht="45">
      <c r="A195" s="76">
        <f t="shared" si="2"/>
        <v>157</v>
      </c>
      <c r="B195" s="123"/>
      <c r="C195" s="117" t="s">
        <v>196</v>
      </c>
      <c r="D195" s="122"/>
      <c r="E195" s="122"/>
      <c r="F195" s="122"/>
      <c r="G195" s="115"/>
      <c r="H195" s="116"/>
      <c r="I195" s="116"/>
    </row>
    <row r="196" spans="1:9" ht="45">
      <c r="A196" s="76">
        <f t="shared" si="2"/>
        <v>158</v>
      </c>
      <c r="B196" s="123"/>
      <c r="C196" s="117" t="s">
        <v>197</v>
      </c>
      <c r="D196" s="122"/>
      <c r="E196" s="122"/>
      <c r="F196" s="122"/>
      <c r="G196" s="115"/>
      <c r="H196" s="116"/>
      <c r="I196" s="116"/>
    </row>
    <row r="197" spans="1:9" ht="120">
      <c r="A197" s="76">
        <f t="shared" si="2"/>
        <v>159</v>
      </c>
      <c r="B197" s="123"/>
      <c r="C197" s="117" t="s">
        <v>198</v>
      </c>
      <c r="D197" s="122"/>
      <c r="E197" s="122"/>
      <c r="F197" s="122"/>
      <c r="G197" s="115"/>
      <c r="H197" s="116"/>
      <c r="I197" s="116"/>
    </row>
    <row r="198" spans="1:9">
      <c r="A198" s="76">
        <f t="shared" si="2"/>
        <v>160</v>
      </c>
      <c r="B198" s="123"/>
      <c r="C198" s="117" t="s">
        <v>199</v>
      </c>
      <c r="D198" s="122"/>
      <c r="E198" s="122"/>
      <c r="F198" s="122"/>
      <c r="G198" s="115"/>
      <c r="H198" s="116"/>
      <c r="I198" s="116"/>
    </row>
    <row r="199" spans="1:9" ht="30">
      <c r="A199" s="76">
        <f t="shared" si="2"/>
        <v>161</v>
      </c>
      <c r="B199" s="123"/>
      <c r="C199" s="117" t="s">
        <v>206</v>
      </c>
      <c r="D199" s="122"/>
      <c r="E199" s="122"/>
      <c r="F199" s="122"/>
      <c r="G199" s="115"/>
      <c r="H199" s="116"/>
      <c r="I199" s="116"/>
    </row>
    <row r="200" spans="1:9">
      <c r="A200" s="76">
        <f t="shared" si="2"/>
        <v>162</v>
      </c>
      <c r="B200" s="123"/>
      <c r="C200" s="117" t="s">
        <v>207</v>
      </c>
      <c r="D200" s="122"/>
      <c r="E200" s="122"/>
      <c r="F200" s="122"/>
      <c r="G200" s="115"/>
      <c r="H200" s="116"/>
      <c r="I200" s="116"/>
    </row>
    <row r="201" spans="1:9" ht="30">
      <c r="A201" s="76">
        <f t="shared" si="2"/>
        <v>163</v>
      </c>
      <c r="B201" s="123"/>
      <c r="C201" s="117" t="s">
        <v>208</v>
      </c>
      <c r="D201" s="122"/>
      <c r="E201" s="122"/>
      <c r="F201" s="122"/>
      <c r="G201" s="115"/>
      <c r="H201" s="116"/>
      <c r="I201" s="116"/>
    </row>
    <row r="202" spans="1:9" ht="30">
      <c r="A202" s="76">
        <f t="shared" si="2"/>
        <v>164</v>
      </c>
      <c r="B202" s="123"/>
      <c r="C202" s="117" t="s">
        <v>209</v>
      </c>
      <c r="D202" s="122"/>
      <c r="E202" s="122"/>
      <c r="F202" s="122"/>
      <c r="G202" s="115"/>
      <c r="H202" s="116"/>
      <c r="I202" s="116"/>
    </row>
    <row r="203" spans="1:9" ht="45">
      <c r="A203" s="76">
        <f t="shared" si="2"/>
        <v>165</v>
      </c>
      <c r="B203" s="123"/>
      <c r="C203" s="117" t="s">
        <v>210</v>
      </c>
      <c r="D203" s="122"/>
      <c r="E203" s="122"/>
      <c r="F203" s="122"/>
      <c r="G203" s="115"/>
      <c r="H203" s="116"/>
      <c r="I203" s="116"/>
    </row>
    <row r="204" spans="1:9" ht="45">
      <c r="A204" s="76">
        <f t="shared" si="2"/>
        <v>166</v>
      </c>
      <c r="B204" s="124"/>
      <c r="C204" s="117" t="s">
        <v>211</v>
      </c>
      <c r="D204" s="125"/>
      <c r="E204" s="125"/>
      <c r="F204" s="125"/>
      <c r="G204" s="115"/>
      <c r="H204" s="116"/>
      <c r="I204" s="116"/>
    </row>
    <row r="205" spans="1:9" ht="30">
      <c r="A205" s="76">
        <f t="shared" si="2"/>
        <v>167</v>
      </c>
      <c r="B205" s="123"/>
      <c r="C205" s="117" t="s">
        <v>200</v>
      </c>
      <c r="D205" s="122"/>
      <c r="E205" s="122"/>
      <c r="F205" s="122"/>
      <c r="G205" s="115"/>
      <c r="H205" s="116"/>
      <c r="I205" s="116"/>
    </row>
    <row r="206" spans="1:9" ht="45">
      <c r="A206" s="76">
        <f t="shared" si="2"/>
        <v>168</v>
      </c>
      <c r="B206" s="123"/>
      <c r="C206" s="117" t="s">
        <v>201</v>
      </c>
      <c r="D206" s="122"/>
      <c r="E206" s="122"/>
      <c r="F206" s="122"/>
      <c r="G206" s="115"/>
      <c r="H206" s="116"/>
      <c r="I206" s="116"/>
    </row>
    <row r="207" spans="1:9">
      <c r="A207" s="76">
        <f t="shared" si="2"/>
        <v>169</v>
      </c>
      <c r="B207" s="123"/>
      <c r="C207" s="117" t="s">
        <v>202</v>
      </c>
      <c r="D207" s="122"/>
      <c r="E207" s="122"/>
      <c r="F207" s="122"/>
      <c r="G207" s="115"/>
      <c r="H207" s="116"/>
      <c r="I207" s="116"/>
    </row>
    <row r="208" spans="1:9" ht="30">
      <c r="A208" s="76">
        <f t="shared" si="2"/>
        <v>170</v>
      </c>
      <c r="B208" s="123"/>
      <c r="C208" s="117" t="s">
        <v>203</v>
      </c>
      <c r="D208" s="122"/>
      <c r="E208" s="122"/>
      <c r="F208" s="122"/>
      <c r="G208" s="115"/>
      <c r="H208" s="116"/>
      <c r="I208" s="116"/>
    </row>
    <row r="209" spans="1:9" ht="60">
      <c r="A209" s="76">
        <f t="shared" si="2"/>
        <v>171</v>
      </c>
      <c r="B209" s="123"/>
      <c r="C209" s="117" t="s">
        <v>204</v>
      </c>
      <c r="D209" s="122"/>
      <c r="E209" s="122"/>
      <c r="F209" s="122"/>
      <c r="G209" s="115"/>
      <c r="H209" s="116"/>
      <c r="I209" s="116"/>
    </row>
    <row r="210" spans="1:9" ht="30">
      <c r="A210" s="76">
        <f t="shared" si="2"/>
        <v>172</v>
      </c>
      <c r="B210" s="123"/>
      <c r="C210" s="117" t="s">
        <v>212</v>
      </c>
      <c r="D210" s="122"/>
      <c r="E210" s="122"/>
      <c r="F210" s="122"/>
      <c r="G210" s="115"/>
      <c r="H210" s="116"/>
      <c r="I210" s="116"/>
    </row>
    <row r="211" spans="1:9" ht="30">
      <c r="A211" s="76">
        <f t="shared" si="2"/>
        <v>173</v>
      </c>
      <c r="B211" s="123"/>
      <c r="C211" s="117" t="s">
        <v>205</v>
      </c>
      <c r="D211" s="122"/>
      <c r="E211" s="122"/>
      <c r="F211" s="122"/>
      <c r="G211" s="115"/>
      <c r="H211" s="116"/>
      <c r="I211" s="116"/>
    </row>
    <row r="212" spans="1:9">
      <c r="A212" s="60"/>
      <c r="B212" s="119"/>
      <c r="C212" s="120"/>
      <c r="H212" s="61"/>
      <c r="I212" s="61"/>
    </row>
    <row r="213" spans="1:9">
      <c r="A213" s="60"/>
      <c r="B213" s="60"/>
      <c r="H213" s="61"/>
      <c r="I213" s="61"/>
    </row>
    <row r="214" spans="1:9">
      <c r="A214" s="60"/>
      <c r="B214" s="60"/>
      <c r="H214" s="61"/>
      <c r="I214" s="61"/>
    </row>
    <row r="215" spans="1:9">
      <c r="A215" s="60"/>
      <c r="B215" s="60"/>
      <c r="H215" s="61"/>
      <c r="I215" s="61"/>
    </row>
    <row r="216" spans="1:9">
      <c r="A216" s="60"/>
      <c r="B216" s="60"/>
      <c r="H216" s="61"/>
      <c r="I216" s="61"/>
    </row>
    <row r="217" spans="1:9">
      <c r="A217" s="60"/>
      <c r="B217" s="60"/>
      <c r="H217" s="61"/>
      <c r="I217" s="61"/>
    </row>
    <row r="218" spans="1:9">
      <c r="A218" s="60"/>
      <c r="B218" s="60"/>
      <c r="H218" s="61"/>
      <c r="I218" s="61"/>
    </row>
    <row r="219" spans="1:9">
      <c r="A219" s="60"/>
      <c r="B219" s="60"/>
      <c r="H219" s="61"/>
      <c r="I219" s="61"/>
    </row>
    <row r="220" spans="1:9">
      <c r="A220" s="60"/>
      <c r="B220" s="60"/>
      <c r="H220" s="61"/>
      <c r="I220" s="61"/>
    </row>
    <row r="221" spans="1:9">
      <c r="A221" s="60"/>
      <c r="B221" s="60"/>
      <c r="H221" s="61"/>
      <c r="I221" s="61"/>
    </row>
    <row r="222" spans="1:9">
      <c r="A222" s="60"/>
      <c r="B222" s="60"/>
      <c r="H222" s="61"/>
      <c r="I222" s="61"/>
    </row>
    <row r="223" spans="1:9">
      <c r="A223" s="60"/>
      <c r="B223" s="60"/>
      <c r="H223" s="61"/>
      <c r="I223" s="61"/>
    </row>
    <row r="224" spans="1:9">
      <c r="A224" s="60"/>
      <c r="B224" s="60"/>
      <c r="H224" s="61"/>
      <c r="I224" s="61"/>
    </row>
    <row r="225" spans="1:9">
      <c r="A225" s="60"/>
      <c r="B225" s="60"/>
      <c r="H225" s="61"/>
      <c r="I225" s="61"/>
    </row>
    <row r="226" spans="1:9">
      <c r="A226" s="60"/>
      <c r="B226" s="60"/>
      <c r="H226" s="61"/>
      <c r="I226" s="61"/>
    </row>
    <row r="227" spans="1:9">
      <c r="A227" s="60"/>
      <c r="B227" s="60"/>
      <c r="H227" s="61"/>
      <c r="I227" s="61"/>
    </row>
    <row r="228" spans="1:9">
      <c r="A228" s="60"/>
      <c r="B228" s="60"/>
      <c r="H228" s="61"/>
      <c r="I228" s="61"/>
    </row>
    <row r="229" spans="1:9">
      <c r="A229" s="60"/>
      <c r="B229" s="60"/>
      <c r="H229" s="61"/>
      <c r="I229" s="61"/>
    </row>
    <row r="230" spans="1:9">
      <c r="A230" s="60"/>
      <c r="B230" s="60"/>
      <c r="H230" s="61"/>
      <c r="I230" s="61"/>
    </row>
    <row r="231" spans="1:9">
      <c r="A231" s="60"/>
      <c r="B231" s="60"/>
      <c r="H231" s="61"/>
      <c r="I231" s="61"/>
    </row>
    <row r="232" spans="1:9">
      <c r="A232" s="60"/>
      <c r="B232" s="60"/>
      <c r="H232" s="61"/>
      <c r="I232" s="61"/>
    </row>
    <row r="233" spans="1:9">
      <c r="A233" s="60"/>
      <c r="B233" s="60"/>
      <c r="H233" s="61"/>
      <c r="I233" s="61"/>
    </row>
    <row r="234" spans="1:9">
      <c r="A234" s="60"/>
      <c r="B234" s="60"/>
      <c r="H234" s="61"/>
      <c r="I234" s="61"/>
    </row>
    <row r="235" spans="1:9">
      <c r="A235" s="60"/>
      <c r="B235" s="60"/>
      <c r="H235" s="61"/>
      <c r="I235" s="61"/>
    </row>
    <row r="236" spans="1:9">
      <c r="A236" s="60"/>
      <c r="B236" s="60"/>
      <c r="H236" s="61"/>
      <c r="I236" s="61"/>
    </row>
    <row r="237" spans="1:9">
      <c r="A237" s="60"/>
      <c r="B237" s="60"/>
      <c r="H237" s="61"/>
      <c r="I237" s="61"/>
    </row>
    <row r="238" spans="1:9">
      <c r="A238" s="60"/>
      <c r="B238" s="60"/>
      <c r="H238" s="61"/>
      <c r="I238" s="61"/>
    </row>
    <row r="239" spans="1:9">
      <c r="A239" s="60"/>
      <c r="B239" s="60"/>
      <c r="H239" s="61"/>
      <c r="I239" s="61"/>
    </row>
    <row r="240" spans="1:9">
      <c r="A240" s="60"/>
      <c r="B240" s="60"/>
      <c r="H240" s="61"/>
      <c r="I240" s="61"/>
    </row>
    <row r="241" spans="1:9">
      <c r="A241" s="60"/>
      <c r="B241" s="60"/>
      <c r="H241" s="61"/>
      <c r="I241" s="61"/>
    </row>
    <row r="242" spans="1:9">
      <c r="A242" s="60"/>
      <c r="B242" s="60"/>
      <c r="H242" s="61"/>
      <c r="I242" s="61"/>
    </row>
    <row r="243" spans="1:9">
      <c r="A243" s="60"/>
      <c r="B243" s="60"/>
      <c r="H243" s="61"/>
      <c r="I243" s="61"/>
    </row>
    <row r="244" spans="1:9">
      <c r="A244" s="60"/>
      <c r="B244" s="60"/>
      <c r="H244" s="61"/>
      <c r="I244" s="61"/>
    </row>
    <row r="245" spans="1:9">
      <c r="A245" s="60"/>
      <c r="B245" s="60"/>
      <c r="H245" s="61"/>
      <c r="I245" s="61"/>
    </row>
    <row r="246" spans="1:9">
      <c r="A246" s="60"/>
      <c r="B246" s="60"/>
      <c r="H246" s="61"/>
      <c r="I246" s="61"/>
    </row>
    <row r="247" spans="1:9">
      <c r="A247" s="60"/>
      <c r="B247" s="60"/>
      <c r="H247" s="61"/>
      <c r="I247" s="61"/>
    </row>
    <row r="248" spans="1:9">
      <c r="A248" s="60"/>
      <c r="B248" s="60"/>
      <c r="H248" s="61"/>
      <c r="I248" s="61"/>
    </row>
    <row r="249" spans="1:9">
      <c r="A249" s="60"/>
      <c r="B249" s="60"/>
      <c r="H249" s="61"/>
      <c r="I249" s="61"/>
    </row>
    <row r="250" spans="1:9">
      <c r="A250" s="60"/>
      <c r="B250" s="60"/>
      <c r="H250" s="61"/>
      <c r="I250" s="61"/>
    </row>
    <row r="251" spans="1:9">
      <c r="A251" s="60"/>
      <c r="B251" s="60"/>
      <c r="H251" s="61"/>
      <c r="I251" s="61"/>
    </row>
    <row r="252" spans="1:9">
      <c r="A252" s="60"/>
      <c r="B252" s="60"/>
      <c r="H252" s="61"/>
      <c r="I252" s="61"/>
    </row>
    <row r="253" spans="1:9">
      <c r="A253" s="60"/>
      <c r="B253" s="60"/>
      <c r="H253" s="61"/>
      <c r="I253" s="61"/>
    </row>
    <row r="254" spans="1:9">
      <c r="A254" s="60"/>
      <c r="B254" s="60"/>
      <c r="H254" s="61"/>
      <c r="I254" s="61"/>
    </row>
    <row r="255" spans="1:9">
      <c r="A255" s="60"/>
      <c r="B255" s="60"/>
      <c r="H255" s="61"/>
      <c r="I255" s="61"/>
    </row>
    <row r="256" spans="1:9">
      <c r="A256" s="60"/>
      <c r="B256" s="60"/>
      <c r="H256" s="61"/>
      <c r="I256" s="61"/>
    </row>
    <row r="257" spans="1:9">
      <c r="A257" s="60"/>
      <c r="B257" s="60"/>
      <c r="H257" s="61"/>
      <c r="I257" s="61"/>
    </row>
    <row r="258" spans="1:9">
      <c r="A258" s="60"/>
      <c r="B258" s="60"/>
      <c r="H258" s="61"/>
      <c r="I258" s="61"/>
    </row>
    <row r="259" spans="1:9">
      <c r="A259" s="60"/>
      <c r="B259" s="60"/>
      <c r="H259" s="61"/>
      <c r="I259" s="61"/>
    </row>
    <row r="260" spans="1:9">
      <c r="A260" s="60"/>
      <c r="B260" s="60"/>
      <c r="H260" s="61"/>
      <c r="I260" s="61"/>
    </row>
    <row r="261" spans="1:9">
      <c r="A261" s="60"/>
      <c r="B261" s="60"/>
      <c r="H261" s="61"/>
      <c r="I261" s="61"/>
    </row>
    <row r="262" spans="1:9">
      <c r="A262" s="60"/>
      <c r="B262" s="60"/>
      <c r="H262" s="61"/>
      <c r="I262" s="61"/>
    </row>
    <row r="263" spans="1:9">
      <c r="A263" s="60"/>
      <c r="B263" s="60"/>
    </row>
    <row r="264" spans="1:9">
      <c r="A264" s="60"/>
      <c r="B264" s="60"/>
    </row>
    <row r="265" spans="1:9">
      <c r="A265" s="60"/>
      <c r="B265" s="60"/>
    </row>
    <row r="266" spans="1:9">
      <c r="A266" s="60"/>
      <c r="B266" s="60"/>
    </row>
    <row r="267" spans="1:9">
      <c r="A267" s="60"/>
      <c r="B267" s="60"/>
    </row>
    <row r="268" spans="1:9">
      <c r="A268" s="60"/>
      <c r="B268" s="60"/>
    </row>
    <row r="269" spans="1:9">
      <c r="A269" s="60"/>
      <c r="B269" s="60"/>
    </row>
    <row r="270" spans="1:9">
      <c r="A270" s="60"/>
      <c r="B270" s="60"/>
    </row>
    <row r="271" spans="1:9">
      <c r="A271" s="60"/>
      <c r="B271" s="60"/>
    </row>
    <row r="272" spans="1:9">
      <c r="A272" s="60"/>
      <c r="B272" s="60"/>
    </row>
  </sheetData>
  <mergeCells count="33">
    <mergeCell ref="B189:B190"/>
    <mergeCell ref="B179:B181"/>
    <mergeCell ref="B182:B184"/>
    <mergeCell ref="B185:B188"/>
    <mergeCell ref="B159:B163"/>
    <mergeCell ref="B164:B166"/>
    <mergeCell ref="B167:B169"/>
    <mergeCell ref="B170:B172"/>
    <mergeCell ref="B173:B178"/>
    <mergeCell ref="B126:B128"/>
    <mergeCell ref="B129:B145"/>
    <mergeCell ref="B146:B150"/>
    <mergeCell ref="B151:B153"/>
    <mergeCell ref="B154:B158"/>
    <mergeCell ref="B115:B116"/>
    <mergeCell ref="B117:B118"/>
    <mergeCell ref="B119:B121"/>
    <mergeCell ref="B122:B125"/>
    <mergeCell ref="B80:B83"/>
    <mergeCell ref="B84:B96"/>
    <mergeCell ref="B97:B105"/>
    <mergeCell ref="B106:B111"/>
    <mergeCell ref="B112:B114"/>
    <mergeCell ref="B50:B56"/>
    <mergeCell ref="B57:B64"/>
    <mergeCell ref="B65:B70"/>
    <mergeCell ref="B72:B73"/>
    <mergeCell ref="B74:B79"/>
    <mergeCell ref="A29:F29"/>
    <mergeCell ref="A24:F24"/>
    <mergeCell ref="B39:B41"/>
    <mergeCell ref="B42:B46"/>
    <mergeCell ref="B47:B49"/>
  </mergeCells>
  <dataValidations count="1">
    <dataValidation type="date" allowBlank="1" showInputMessage="1" showErrorMessage="1" errorTitle="Incorrect Format - DATE required" error="Ensure commited completion date is in date format!" promptTitle="Target Due Date" prompt="Enter Date originally commited for completion" sqref="H40:I40 H65313:I65313 H130849:I130849 H196385:I196385 H261921:I261921 H327457:I327457 H392993:I392993 H458529:I458529 H524065:I524065 H589601:I589601 H655137:I655137 H720673:I720673 H786209:I786209 H851745:I851745 H917281:I917281 H982817:I982817">
      <formula1>37773</formula1>
      <formula2>38717</formula2>
    </dataValidation>
  </dataValidations>
  <pageMargins left="0.23622047244094491" right="0.23622047244094491" top="0.94488188976377963" bottom="0.74803149606299213" header="0.31496062992125984" footer="0.31496062992125984"/>
  <pageSetup paperSize="9" scale="85" orientation="landscape" r:id="rId1"/>
  <headerFooter>
    <oddHeader xml:space="preserve">&amp;L&amp;G&amp;C&amp;"-,Kalın"&amp;14İSG Performans Değerlendirme Formu&amp;RSayfa 1 / 1
</oddHeader>
    <oddFooter>&amp;LFPOP-S210-01-48-V02</oddFooter>
  </headerFooter>
  <rowBreaks count="1" manualBreakCount="1">
    <brk id="32" max="5" man="1"/>
  </rowBreaks>
  <colBreaks count="1" manualBreakCount="1">
    <brk id="6" max="1048575" man="1"/>
  </colBreaks>
  <drawing r:id="rId2"/>
  <legacyDrawing r:id="rId3"/>
  <legacyDrawingHF r:id="rId4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370" r:id="rId5" name="Check Box 34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1" r:id="rId6" name="Check Box 34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2" r:id="rId7" name="Check Box 34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3" r:id="rId8" name="Check Box 34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4" r:id="rId9" name="Check Box 35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5" r:id="rId10" name="Check Box 35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6" r:id="rId11" name="Check Box 35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7" r:id="rId12" name="Check Box 35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8" r:id="rId13" name="Check Box 35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79" r:id="rId14" name="Check Box 35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0" r:id="rId15" name="Check Box 35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1" r:id="rId16" name="Check Box 35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2" r:id="rId17" name="Check Box 35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3" r:id="rId18" name="Check Box 35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4" r:id="rId19" name="Check Box 36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5" r:id="rId20" name="Check Box 36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6" r:id="rId21" name="Check Box 36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7" r:id="rId22" name="Check Box 36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8" r:id="rId23" name="Check Box 36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89" r:id="rId24" name="Check Box 36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0" r:id="rId25" name="Check Box 36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1" r:id="rId26" name="Check Box 36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2" r:id="rId27" name="Check Box 36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3" r:id="rId28" name="Check Box 36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4" r:id="rId29" name="Check Box 37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5" r:id="rId30" name="Check Box 37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6" r:id="rId31" name="Check Box 37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7" r:id="rId32" name="Check Box 37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8" r:id="rId33" name="Check Box 37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399" r:id="rId34" name="Check Box 37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0" r:id="rId35" name="Check Box 37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1" r:id="rId36" name="Check Box 37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2" r:id="rId37" name="Check Box 37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3" r:id="rId38" name="Check Box 37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4" r:id="rId39" name="Check Box 38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5" r:id="rId40" name="Check Box 38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6" r:id="rId41" name="Check Box 38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7" r:id="rId42" name="Check Box 38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8" r:id="rId43" name="Check Box 38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09" r:id="rId44" name="Check Box 38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0" r:id="rId45" name="Check Box 38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1" r:id="rId46" name="Check Box 38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2" r:id="rId47" name="Check Box 38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3" r:id="rId48" name="Check Box 38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4" r:id="rId49" name="Check Box 39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5" r:id="rId50" name="Check Box 39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6" r:id="rId51" name="Check Box 39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7" r:id="rId52" name="Check Box 39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8" r:id="rId53" name="Check Box 39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19" r:id="rId54" name="Check Box 39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0" r:id="rId55" name="Check Box 39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1" r:id="rId56" name="Check Box 39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2" r:id="rId57" name="Check Box 39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3" r:id="rId58" name="Check Box 39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4" r:id="rId59" name="Check Box 40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5" r:id="rId60" name="Check Box 40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6" r:id="rId61" name="Check Box 40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7" r:id="rId62" name="Check Box 40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8" r:id="rId63" name="Check Box 40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29" r:id="rId64" name="Check Box 40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0" r:id="rId65" name="Check Box 40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1" r:id="rId66" name="Check Box 40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2" r:id="rId67" name="Check Box 40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3" r:id="rId68" name="Check Box 40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4" r:id="rId69" name="Check Box 41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5" r:id="rId70" name="Check Box 41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6" r:id="rId71" name="Check Box 41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7" r:id="rId72" name="Check Box 41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8" r:id="rId73" name="Check Box 41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39" r:id="rId74" name="Check Box 41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0" r:id="rId75" name="Check Box 41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1" r:id="rId76" name="Check Box 41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2" r:id="rId77" name="Check Box 41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3" r:id="rId78" name="Check Box 41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4" r:id="rId79" name="Check Box 42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5" r:id="rId80" name="Check Box 42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6" r:id="rId81" name="Check Box 42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7" r:id="rId82" name="Check Box 42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8" r:id="rId83" name="Check Box 42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49" r:id="rId84" name="Check Box 42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0" r:id="rId85" name="Check Box 42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1" r:id="rId86" name="Check Box 42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2" r:id="rId87" name="Check Box 42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3" r:id="rId88" name="Check Box 42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4" r:id="rId89" name="Check Box 43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5" r:id="rId90" name="Check Box 43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6" r:id="rId91" name="Check Box 43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7" r:id="rId92" name="Check Box 43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8" r:id="rId93" name="Check Box 43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59" r:id="rId94" name="Check Box 43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0" r:id="rId95" name="Check Box 43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1" r:id="rId96" name="Check Box 43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2" r:id="rId97" name="Check Box 43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3" r:id="rId98" name="Check Box 43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4" r:id="rId99" name="Check Box 44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5" r:id="rId100" name="Check Box 44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6" r:id="rId101" name="Check Box 44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7" r:id="rId102" name="Check Box 44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8" r:id="rId103" name="Check Box 44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69" r:id="rId104" name="Check Box 44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0" r:id="rId105" name="Check Box 44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1" r:id="rId106" name="Check Box 447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2" r:id="rId107" name="Check Box 448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3" r:id="rId108" name="Check Box 449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4" r:id="rId109" name="Check Box 450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5" r:id="rId110" name="Check Box 451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6" r:id="rId111" name="Check Box 452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7" r:id="rId112" name="Check Box 453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8" r:id="rId113" name="Check Box 454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79" r:id="rId114" name="Check Box 455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480" r:id="rId115" name="Check Box 456">
              <controlPr defaultSize="0" autoFill="0" autoLine="0" autoPict="0">
                <anchor moveWithCells="1">
                  <from>
                    <xdr:col>2</xdr:col>
                    <xdr:colOff>0</xdr:colOff>
                    <xdr:row>66</xdr:row>
                    <xdr:rowOff>0</xdr:rowOff>
                  </from>
                  <to>
                    <xdr:col>2</xdr:col>
                    <xdr:colOff>314325</xdr:colOff>
                    <xdr:row>68</xdr:row>
                    <xdr:rowOff>47625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4</vt:i4>
      </vt:variant>
    </vt:vector>
  </HeadingPairs>
  <TitlesOfParts>
    <vt:vector size="6" baseType="lpstr">
      <vt:lpstr>BOŞ</vt:lpstr>
      <vt:lpstr>DOLU</vt:lpstr>
      <vt:lpstr>BOŞ!Yazdırma_Alanı</vt:lpstr>
      <vt:lpstr>DOLU!Yazdırma_Alanı</vt:lpstr>
      <vt:lpstr>BOŞ!Yazdırma_Başlıkları</vt:lpstr>
      <vt:lpstr>DOLU!Yazdırma_Başlıkları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UZ KAYMAKCI</dc:creator>
  <cp:lastModifiedBy>USER</cp:lastModifiedBy>
  <cp:lastPrinted>2021-06-21T11:21:56Z</cp:lastPrinted>
  <dcterms:created xsi:type="dcterms:W3CDTF">2016-08-04T06:02:12Z</dcterms:created>
  <dcterms:modified xsi:type="dcterms:W3CDTF">2021-06-21T11:22:08Z</dcterms:modified>
</cp:coreProperties>
</file>