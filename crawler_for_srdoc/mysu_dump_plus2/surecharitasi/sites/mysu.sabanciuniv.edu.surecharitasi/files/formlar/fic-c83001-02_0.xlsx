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Default Extension="gif" ContentType="image/gif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3420" yWindow="-60" windowWidth="8445" windowHeight="7920" tabRatio="737" firstSheet="1" activeTab="1"/>
  </bookViews>
  <sheets>
    <sheet name="AD" sheetId="3" state="hidden" r:id="rId1"/>
    <sheet name="Açılış Denetimi" sheetId="18" r:id="rId2"/>
    <sheet name="Kapanış Denetimi" sheetId="20" r:id="rId3"/>
    <sheet name="Çağrı İzleme" sheetId="5" r:id="rId4"/>
    <sheet name="Kafa Sayımı" sheetId="15" r:id="rId5"/>
    <sheet name="Kafa Sayımı Veri Girişi" sheetId="2" r:id="rId6"/>
    <sheet name="Güvenlik Kapıları İstatistiği" sheetId="16" r:id="rId7"/>
    <sheet name="Sabah-Akşam İade Rafı Durumu" sheetId="12" state="hidden" r:id="rId8"/>
    <sheet name="BOŞ " sheetId="13" state="hidden" r:id="rId9"/>
  </sheets>
  <definedNames>
    <definedName name="_xlnm._FilterDatabase" localSheetId="3" hidden="1">'Çağrı İzleme'!$B$12:$V$721</definedName>
    <definedName name="_xlnm._FilterDatabase" localSheetId="4" hidden="1">'Kafa Sayımı'!#REF!</definedName>
    <definedName name="_xlnm._FilterDatabase" localSheetId="5" hidden="1">'Kafa Sayımı Veri Girişi'!$A$1:$A$1</definedName>
    <definedName name="_xlnm.Print_Area" localSheetId="8">'BOŞ '!$A$1:$G$54</definedName>
    <definedName name="Z_03091628_F6D4_4F96_BE8D_F71180D05B85_.wvu.FilterData" localSheetId="3" hidden="1">'Çağrı İzleme'!$A$4:$G$227</definedName>
    <definedName name="Z_03091628_F6D4_4F96_BE8D_F71180D05B85_.wvu.FilterData" localSheetId="4" hidden="1">'Kafa Sayımı'!#REF!</definedName>
    <definedName name="Z_03091628_F6D4_4F96_BE8D_F71180D05B85_.wvu.FilterData" localSheetId="5" hidden="1">'Kafa Sayımı Veri Girişi'!$A$1:$A$1</definedName>
    <definedName name="Z_03091628_F6D4_4F96_BE8D_F71180D05B85_.wvu.PrintArea" localSheetId="8" hidden="1">'BOŞ '!$A$1:$G$54</definedName>
    <definedName name="Z_14901331_E232_4D80_AB2F_46B07F54F7E7_.wvu.FilterData" localSheetId="3" hidden="1">'Çağrı İzleme'!$B$4:$G$4</definedName>
    <definedName name="Z_14901331_E232_4D80_AB2F_46B07F54F7E7_.wvu.FilterData" localSheetId="4" hidden="1">'Kafa Sayımı'!#REF!</definedName>
    <definedName name="Z_14901331_E232_4D80_AB2F_46B07F54F7E7_.wvu.FilterData" localSheetId="5" hidden="1">'Kafa Sayımı Veri Girişi'!$A$1:$A$1</definedName>
    <definedName name="Z_14901331_E232_4D80_AB2F_46B07F54F7E7_.wvu.PrintArea" localSheetId="8" hidden="1">'BOŞ '!$A$1:$G$54</definedName>
    <definedName name="Z_159185FC_03F3_4BBB_BE8F_60715E94F7BC_.wvu.FilterData" localSheetId="4" hidden="1">'Kafa Sayımı'!#REF!</definedName>
    <definedName name="Z_159185FC_03F3_4BBB_BE8F_60715E94F7BC_.wvu.FilterData" localSheetId="5" hidden="1">'Kafa Sayımı Veri Girişi'!$A$1:$A$1</definedName>
    <definedName name="Z_1B8A84A3_3ABB_4F6A_9729_15A06ABCCAD7_.wvu.FilterData" localSheetId="3" hidden="1">'Çağrı İzleme'!$A$4:$G$227</definedName>
    <definedName name="Z_1B8A84A3_3ABB_4F6A_9729_15A06ABCCAD7_.wvu.FilterData" localSheetId="4" hidden="1">'Kafa Sayımı'!#REF!</definedName>
    <definedName name="Z_1B8A84A3_3ABB_4F6A_9729_15A06ABCCAD7_.wvu.FilterData" localSheetId="5" hidden="1">'Kafa Sayımı Veri Girişi'!$A$1:$A$1</definedName>
    <definedName name="Z_1B8A84A3_3ABB_4F6A_9729_15A06ABCCAD7_.wvu.PrintArea" localSheetId="8" hidden="1">'BOŞ '!$A$1:$G$54</definedName>
    <definedName name="Z_210179F7_35C5_42C9_AA52_9750CD551A1F_.wvu.FilterData" localSheetId="4" hidden="1">'Kafa Sayımı'!#REF!</definedName>
    <definedName name="Z_210179F7_35C5_42C9_AA52_9750CD551A1F_.wvu.FilterData" localSheetId="5" hidden="1">'Kafa Sayımı Veri Girişi'!$A$1:$A$1</definedName>
    <definedName name="Z_22190E55_8EFA_4F5E_896A_CDB9B2019A88_.wvu.FilterData" localSheetId="4" hidden="1">'Kafa Sayımı'!#REF!</definedName>
    <definedName name="Z_22190E55_8EFA_4F5E_896A_CDB9B2019A88_.wvu.FilterData" localSheetId="5" hidden="1">'Kafa Sayımı Veri Girişi'!$A$1:$A$1</definedName>
    <definedName name="Z_2546FDD8_CC94_4656_AF66_B554131C1258_.wvu.FilterData" localSheetId="4" hidden="1">'Kafa Sayımı'!#REF!</definedName>
    <definedName name="Z_2546FDD8_CC94_4656_AF66_B554131C1258_.wvu.FilterData" localSheetId="5" hidden="1">'Kafa Sayımı Veri Girişi'!$A$1:$A$1</definedName>
    <definedName name="Z_26C82D83_FE0C_432C_8C35_3225EA304B85_.wvu.FilterData" localSheetId="4" hidden="1">'Kafa Sayımı'!#REF!</definedName>
    <definedName name="Z_26C82D83_FE0C_432C_8C35_3225EA304B85_.wvu.FilterData" localSheetId="5" hidden="1">'Kafa Sayımı Veri Girişi'!$A$1:$A$1</definedName>
    <definedName name="Z_271AA8F8_60C3_4229_917D_1AD0132C3662_.wvu.FilterData" localSheetId="3" hidden="1">'Çağrı İzleme'!$A$4:$G$227</definedName>
    <definedName name="Z_271AA8F8_60C3_4229_917D_1AD0132C3662_.wvu.FilterData" localSheetId="4" hidden="1">'Kafa Sayımı'!#REF!</definedName>
    <definedName name="Z_271AA8F8_60C3_4229_917D_1AD0132C3662_.wvu.FilterData" localSheetId="5" hidden="1">'Kafa Sayımı Veri Girişi'!$A$1:$A$1</definedName>
    <definedName name="Z_271AA8F8_60C3_4229_917D_1AD0132C3662_.wvu.PrintArea" localSheetId="8" hidden="1">'BOŞ '!$A$1:$G$54</definedName>
    <definedName name="Z_2F6CC16A_0ECF_4CDA_A0ED_393648E899F1_.wvu.FilterData" localSheetId="3" hidden="1">'Çağrı İzleme'!$B$4:$G$4</definedName>
    <definedName name="Z_2F6CC16A_0ECF_4CDA_A0ED_393648E899F1_.wvu.FilterData" localSheetId="4" hidden="1">'Kafa Sayımı'!#REF!</definedName>
    <definedName name="Z_2F6CC16A_0ECF_4CDA_A0ED_393648E899F1_.wvu.FilterData" localSheetId="5" hidden="1">'Kafa Sayımı Veri Girişi'!$A$1:$A$1</definedName>
    <definedName name="Z_313194A2_DCA7_4504_8173_4E3DF50FBED8_.wvu.FilterData" localSheetId="4" hidden="1">'Kafa Sayımı'!#REF!</definedName>
    <definedName name="Z_313194A2_DCA7_4504_8173_4E3DF50FBED8_.wvu.FilterData" localSheetId="5" hidden="1">'Kafa Sayımı Veri Girişi'!$A$1:$A$1</definedName>
    <definedName name="Z_5131592F_742F_4C88_AD7B_F1209CE3D550_.wvu.FilterData" localSheetId="4" hidden="1">'Kafa Sayımı'!#REF!</definedName>
    <definedName name="Z_5131592F_742F_4C88_AD7B_F1209CE3D550_.wvu.FilterData" localSheetId="5" hidden="1">'Kafa Sayımı Veri Girişi'!$A$1:$A$1</definedName>
    <definedName name="Z_528AB2D6_6AB1_4EDF_82FA_E8DF1DDBF2B7_.wvu.FilterData" localSheetId="4" hidden="1">'Kafa Sayımı'!#REF!</definedName>
    <definedName name="Z_528AB2D6_6AB1_4EDF_82FA_E8DF1DDBF2B7_.wvu.FilterData" localSheetId="5" hidden="1">'Kafa Sayımı Veri Girişi'!$A$1:$A$1</definedName>
    <definedName name="Z_691A33BE_BAF8_44C0_8E2E_14F8C6959667_.wvu.FilterData" localSheetId="4" hidden="1">'Kafa Sayımı'!#REF!</definedName>
    <definedName name="Z_691A33BE_BAF8_44C0_8E2E_14F8C6959667_.wvu.FilterData" localSheetId="5" hidden="1">'Kafa Sayımı Veri Girişi'!$A$1:$A$1</definedName>
    <definedName name="Z_767AD870_799A_4090_9D28_3FC31AB1E081_.wvu.FilterData" localSheetId="4" hidden="1">'Kafa Sayımı'!#REF!</definedName>
    <definedName name="Z_767AD870_799A_4090_9D28_3FC31AB1E081_.wvu.FilterData" localSheetId="5" hidden="1">'Kafa Sayımı Veri Girişi'!$A$1:$A$1</definedName>
    <definedName name="Z_79F43DBB_AE69_42AB_BD3A_13F82E2F9257_.wvu.FilterData" localSheetId="4" hidden="1">'Kafa Sayımı'!#REF!</definedName>
    <definedName name="Z_79F43DBB_AE69_42AB_BD3A_13F82E2F9257_.wvu.FilterData" localSheetId="5" hidden="1">'Kafa Sayımı Veri Girişi'!$A$1:$A$1</definedName>
    <definedName name="Z_7B628B3C_52F9_4A25_BBE2_E9704E2B4E64_.wvu.FilterData" localSheetId="4" hidden="1">'Kafa Sayımı'!#REF!</definedName>
    <definedName name="Z_7B628B3C_52F9_4A25_BBE2_E9704E2B4E64_.wvu.FilterData" localSheetId="5" hidden="1">'Kafa Sayımı Veri Girişi'!$A$1:$A$1</definedName>
    <definedName name="Z_85306249_4F58_42AB_A38B_836488FD1B29_.wvu.FilterData" localSheetId="4" hidden="1">'Kafa Sayımı'!#REF!</definedName>
    <definedName name="Z_85306249_4F58_42AB_A38B_836488FD1B29_.wvu.FilterData" localSheetId="5" hidden="1">'Kafa Sayımı Veri Girişi'!$A$1:$A$1</definedName>
    <definedName name="Z_87DBEFA9_72F7_4CF9_ABA5_C173DDBDCA31_.wvu.FilterData" localSheetId="4" hidden="1">'Kafa Sayımı'!#REF!</definedName>
    <definedName name="Z_87DBEFA9_72F7_4CF9_ABA5_C173DDBDCA31_.wvu.FilterData" localSheetId="5" hidden="1">'Kafa Sayımı Veri Girişi'!$A$1:$A$1</definedName>
    <definedName name="Z_8E7FDF9B_616D_4EF2_A03E_503FFD7375F4_.wvu.FilterData" localSheetId="3" hidden="1">'Çağrı İzleme'!$B$4:$G$4</definedName>
    <definedName name="Z_8E7FDF9B_616D_4EF2_A03E_503FFD7375F4_.wvu.FilterData" localSheetId="4" hidden="1">'Kafa Sayımı'!#REF!</definedName>
    <definedName name="Z_8E7FDF9B_616D_4EF2_A03E_503FFD7375F4_.wvu.FilterData" localSheetId="5" hidden="1">'Kafa Sayımı Veri Girişi'!$A$1:$A$1</definedName>
    <definedName name="Z_AF39C330_4733_43D3_AEE3_F64D4D94C5A8_.wvu.FilterData" localSheetId="3" hidden="1">'Çağrı İzleme'!$B$4:$G$4</definedName>
    <definedName name="Z_AF4FF29D_EBAB_4D87_B3E1_DAF9617F8A94_.wvu.FilterData" localSheetId="3" hidden="1">'Çağrı İzleme'!$B$4:$G$4</definedName>
    <definedName name="Z_AF4FF29D_EBAB_4D87_B3E1_DAF9617F8A94_.wvu.FilterData" localSheetId="4" hidden="1">'Kafa Sayımı'!#REF!</definedName>
    <definedName name="Z_AF4FF29D_EBAB_4D87_B3E1_DAF9617F8A94_.wvu.FilterData" localSheetId="5" hidden="1">'Kafa Sayımı Veri Girişi'!$A$1:$A$1</definedName>
    <definedName name="Z_AFE086D1_B05B_4013_95EB_11BC11BF59B5_.wvu.FilterData" localSheetId="3" hidden="1">'Çağrı İzleme'!$B$4:$G$4</definedName>
    <definedName name="Z_AFE086D1_B05B_4013_95EB_11BC11BF59B5_.wvu.FilterData" localSheetId="4" hidden="1">'Kafa Sayımı'!#REF!</definedName>
    <definedName name="Z_AFE086D1_B05B_4013_95EB_11BC11BF59B5_.wvu.FilterData" localSheetId="5" hidden="1">'Kafa Sayımı Veri Girişi'!$A$1:$A$1</definedName>
    <definedName name="Z_D1D7C31E_08C8_4C3D_BC40_065D3BE7A240_.wvu.FilterData" localSheetId="4" hidden="1">'Kafa Sayımı'!#REF!</definedName>
    <definedName name="Z_D1D7C31E_08C8_4C3D_BC40_065D3BE7A240_.wvu.FilterData" localSheetId="5" hidden="1">'Kafa Sayımı Veri Girişi'!$A$1:$A$1</definedName>
    <definedName name="Z_D3E7F150_BFD7_4ACC_AC70_F612179EDBA6_.wvu.FilterData" localSheetId="4" hidden="1">'Kafa Sayımı'!#REF!</definedName>
    <definedName name="Z_D3E7F150_BFD7_4ACC_AC70_F612179EDBA6_.wvu.FilterData" localSheetId="5" hidden="1">'Kafa Sayımı Veri Girişi'!$A$1:$A$1</definedName>
    <definedName name="Z_DFA7744F_53E1_4B96_A845_FED7A8C019B1_.wvu.FilterData" localSheetId="4" hidden="1">'Kafa Sayımı'!#REF!</definedName>
    <definedName name="Z_DFA7744F_53E1_4B96_A845_FED7A8C019B1_.wvu.FilterData" localSheetId="5" hidden="1">'Kafa Sayımı Veri Girişi'!$A$1:$A$1</definedName>
    <definedName name="Z_E9375B3A_21B8_469C_80B5_17386846221B_.wvu.FilterData" localSheetId="4" hidden="1">'Kafa Sayımı'!#REF!</definedName>
    <definedName name="Z_E9375B3A_21B8_469C_80B5_17386846221B_.wvu.FilterData" localSheetId="5" hidden="1">'Kafa Sayımı Veri Girişi'!$A$1:$A$1</definedName>
    <definedName name="Z_F1C5ABF4_42E4_44BC_9688_F813E67E9DF6_.wvu.FilterData" localSheetId="3" hidden="1">'Çağrı İzleme'!$A$4:$G$169</definedName>
    <definedName name="Z_F1C5ABF4_42E4_44BC_9688_F813E67E9DF6_.wvu.FilterData" localSheetId="4" hidden="1">'Kafa Sayımı'!#REF!</definedName>
    <definedName name="Z_F1C5ABF4_42E4_44BC_9688_F813E67E9DF6_.wvu.FilterData" localSheetId="5" hidden="1">'Kafa Sayımı Veri Girişi'!$A$1:$A$1</definedName>
    <definedName name="Z_FDB7F506_0465_472E_913C_039598E1E14F_.wvu.FilterData" localSheetId="4" hidden="1">'Kafa Sayımı'!#REF!</definedName>
    <definedName name="Z_FDB7F506_0465_472E_913C_039598E1E14F_.wvu.FilterData" localSheetId="5" hidden="1">'Kafa Sayımı Veri Girişi'!$A$1:$A$1</definedName>
  </definedNames>
  <calcPr calcId="125725"/>
  <customWorkbookViews>
    <customWorkbookView name="suuser - Personal View" guid="{03091628-F6D4-4F96-BE8D-F71180D05B85}" mergeInterval="0" personalView="1" maximized="1" windowWidth="1020" windowHeight="581" tabRatio="965" activeSheetId="14"/>
    <customWorkbookView name="mmanyas - Personal View" guid="{271AA8F8-60C3-4229-917D-1AD0132C3662}" mergeInterval="0" personalView="1" maximized="1" windowWidth="1020" windowHeight="591" tabRatio="965" activeSheetId="2"/>
    <customWorkbookView name="Mehmet Manyas - Personal View" guid="{528AB2D6-6AB1-4EDF-82FA-E8DF1DDBF2B7}" mergeInterval="0" personalView="1" maximized="1" windowWidth="1020" windowHeight="606" tabRatio="617" activeSheetId="1"/>
    <customWorkbookView name="fatih - Personal View" guid="{F1C5ABF4-42E4-44BC-9688-F813E67E9DF6}" mergeInterval="0" personalView="1" maximized="1" windowWidth="1020" windowHeight="592" activeSheetId="7"/>
    <customWorkbookView name="IC-Reference Desk - Personal View" guid="{2F6CC16A-0ECF-4CDA-A0ED-393648E899F1}" mergeInterval="0" personalView="1" maximized="1" windowWidth="1020" windowHeight="622" activeSheetId="4"/>
    <customWorkbookView name="circulation - Personal View" guid="{7B628B3C-52F9-4A25-BBE2-E9704E2B4E64}" mergeInterval="0" personalView="1" maximized="1" windowWidth="1020" windowHeight="606" activeSheetId="1"/>
    <customWorkbookView name="ummuhan - Personal View" guid="{14901331-E232-4D80-AB2F-46B07F54F7E7}" mergeInterval="0" personalView="1" maximized="1" windowWidth="1020" windowHeight="602" activeSheetId="11"/>
    <customWorkbookView name="SU User - Personal View" guid="{1B8A84A3-3ABB-4F6A-9729-15A06ABCCAD7}" mergeInterval="0" personalView="1" maximized="1" windowWidth="1276" windowHeight="859" tabRatio="965" activeSheetId="2"/>
  </customWorkbookViews>
</workbook>
</file>

<file path=xl/calcChain.xml><?xml version="1.0" encoding="utf-8"?>
<calcChain xmlns="http://schemas.openxmlformats.org/spreadsheetml/2006/main">
  <c r="D10" i="15"/>
  <c r="E10"/>
  <c r="F10"/>
  <c r="G10"/>
  <c r="H10"/>
  <c r="K10"/>
  <c r="L10"/>
  <c r="M10"/>
  <c r="N10"/>
  <c r="O10"/>
  <c r="R10"/>
  <c r="S10"/>
  <c r="T10"/>
  <c r="U10"/>
  <c r="V10"/>
  <c r="Y10"/>
  <c r="Z10"/>
  <c r="AA10"/>
  <c r="AB10"/>
  <c r="AC10"/>
  <c r="AF10"/>
  <c r="AG10"/>
  <c r="AH10"/>
  <c r="AI10"/>
  <c r="AJ10"/>
  <c r="AM10"/>
  <c r="AN10"/>
  <c r="AO10"/>
  <c r="AP10"/>
  <c r="AQ10"/>
  <c r="AT10"/>
  <c r="AU10"/>
  <c r="AV10"/>
  <c r="AW10"/>
  <c r="AX10"/>
  <c r="BA10"/>
  <c r="BB10"/>
  <c r="BC10"/>
  <c r="BD10"/>
  <c r="BE10"/>
  <c r="BH10"/>
  <c r="BI10"/>
  <c r="BJ10"/>
  <c r="BK10"/>
  <c r="BL10"/>
  <c r="BO10"/>
  <c r="BP10"/>
  <c r="BQ10"/>
  <c r="BR10"/>
  <c r="BS10"/>
  <c r="BV10"/>
  <c r="BW10"/>
  <c r="BX10"/>
  <c r="BY10"/>
  <c r="BZ10"/>
  <c r="CC10"/>
  <c r="CD10"/>
  <c r="CE10"/>
  <c r="CF10"/>
  <c r="CG10"/>
  <c r="CJ10"/>
  <c r="CK10"/>
  <c r="CL10"/>
  <c r="CM10"/>
  <c r="CN10"/>
  <c r="CQ10"/>
  <c r="CR10"/>
  <c r="CS10"/>
  <c r="CT10"/>
  <c r="CU10"/>
  <c r="CX10"/>
  <c r="CY10"/>
  <c r="CZ10"/>
  <c r="DA10"/>
  <c r="DB10"/>
  <c r="DE10"/>
  <c r="DF10"/>
  <c r="DG10"/>
  <c r="DH10"/>
  <c r="DI10"/>
  <c r="DL10"/>
  <c r="DM10"/>
  <c r="DN10"/>
  <c r="DO10"/>
  <c r="DP10"/>
  <c r="D11"/>
  <c r="E11"/>
  <c r="F11"/>
  <c r="G11"/>
  <c r="H11"/>
  <c r="K11"/>
  <c r="L11"/>
  <c r="M11"/>
  <c r="N11"/>
  <c r="O11"/>
  <c r="R11"/>
  <c r="S11"/>
  <c r="T11"/>
  <c r="U11"/>
  <c r="V11"/>
  <c r="Y11"/>
  <c r="Z11"/>
  <c r="AA11"/>
  <c r="AB11"/>
  <c r="AC11"/>
  <c r="AF11"/>
  <c r="AG11"/>
  <c r="AH11"/>
  <c r="AI11"/>
  <c r="AJ11"/>
  <c r="AM11"/>
  <c r="AN11"/>
  <c r="AO11"/>
  <c r="AP11"/>
  <c r="AQ11"/>
  <c r="AT11"/>
  <c r="AU11"/>
  <c r="AV11"/>
  <c r="AW11"/>
  <c r="AX11"/>
  <c r="BA11"/>
  <c r="BB11"/>
  <c r="BC11"/>
  <c r="BD11"/>
  <c r="BE11"/>
  <c r="BH11"/>
  <c r="BI11"/>
  <c r="BJ11"/>
  <c r="BK11"/>
  <c r="BL11"/>
  <c r="BO11"/>
  <c r="BP11"/>
  <c r="BQ11"/>
  <c r="BR11"/>
  <c r="BS11"/>
  <c r="BV11"/>
  <c r="BW11"/>
  <c r="BX11"/>
  <c r="BY11"/>
  <c r="BZ11"/>
  <c r="CC11"/>
  <c r="CD11"/>
  <c r="CE11"/>
  <c r="CF11"/>
  <c r="CG11"/>
  <c r="CJ11"/>
  <c r="CK11"/>
  <c r="CL11"/>
  <c r="CM11"/>
  <c r="CN11"/>
  <c r="CQ11"/>
  <c r="CR11"/>
  <c r="CS11"/>
  <c r="CT11"/>
  <c r="CU11"/>
  <c r="CX11"/>
  <c r="CY11"/>
  <c r="CZ11"/>
  <c r="DA11"/>
  <c r="DB11"/>
  <c r="DE11"/>
  <c r="DF11"/>
  <c r="DG11"/>
  <c r="DH11"/>
  <c r="DI11"/>
  <c r="DL11"/>
  <c r="DM11"/>
  <c r="DN11"/>
  <c r="DO11"/>
  <c r="DP11"/>
  <c r="D12"/>
  <c r="E12"/>
  <c r="F12"/>
  <c r="G12"/>
  <c r="H12"/>
  <c r="K12"/>
  <c r="L12"/>
  <c r="M12"/>
  <c r="N12"/>
  <c r="O12"/>
  <c r="R12"/>
  <c r="S12"/>
  <c r="T12"/>
  <c r="U12"/>
  <c r="V12"/>
  <c r="Y12"/>
  <c r="Z12"/>
  <c r="AA12"/>
  <c r="AB12"/>
  <c r="AC12"/>
  <c r="AF12"/>
  <c r="AG12"/>
  <c r="AH12"/>
  <c r="AI12"/>
  <c r="AJ12"/>
  <c r="AM12"/>
  <c r="AN12"/>
  <c r="AO12"/>
  <c r="AP12"/>
  <c r="AQ12"/>
  <c r="AT12"/>
  <c r="AU12"/>
  <c r="AV12"/>
  <c r="AW12"/>
  <c r="AX12"/>
  <c r="BA12"/>
  <c r="BB12"/>
  <c r="BC12"/>
  <c r="BD12"/>
  <c r="BE12"/>
  <c r="BH12"/>
  <c r="BI12"/>
  <c r="BJ12"/>
  <c r="BK12"/>
  <c r="BL12"/>
  <c r="BO12"/>
  <c r="BP12"/>
  <c r="BQ12"/>
  <c r="BR12"/>
  <c r="BS12"/>
  <c r="BV12"/>
  <c r="BW12"/>
  <c r="BX12"/>
  <c r="BY12"/>
  <c r="BZ12"/>
  <c r="CC12"/>
  <c r="CD12"/>
  <c r="CE12"/>
  <c r="CF12"/>
  <c r="CG12"/>
  <c r="CJ12"/>
  <c r="CK12"/>
  <c r="CL12"/>
  <c r="CM12"/>
  <c r="CN12"/>
  <c r="CQ12"/>
  <c r="CR12"/>
  <c r="CS12"/>
  <c r="CT12"/>
  <c r="CU12"/>
  <c r="CX12"/>
  <c r="CY12"/>
  <c r="CZ12"/>
  <c r="DA12"/>
  <c r="DB12"/>
  <c r="DE12"/>
  <c r="DF12"/>
  <c r="DG12"/>
  <c r="DH12"/>
  <c r="DI12"/>
  <c r="DL12"/>
  <c r="DM12"/>
  <c r="DN12"/>
  <c r="DO12"/>
  <c r="DP12"/>
  <c r="D13"/>
  <c r="E13"/>
  <c r="F13"/>
  <c r="G13"/>
  <c r="H13"/>
  <c r="K13"/>
  <c r="L13"/>
  <c r="M13"/>
  <c r="N13"/>
  <c r="O13"/>
  <c r="R13"/>
  <c r="S13"/>
  <c r="T13"/>
  <c r="U13"/>
  <c r="V13"/>
  <c r="Y13"/>
  <c r="Z13"/>
  <c r="AA13"/>
  <c r="AB13"/>
  <c r="AC13"/>
  <c r="AF13"/>
  <c r="AG13"/>
  <c r="AH13"/>
  <c r="AI13"/>
  <c r="AJ13"/>
  <c r="AM13"/>
  <c r="AN13"/>
  <c r="AO13"/>
  <c r="AP13"/>
  <c r="AQ13"/>
  <c r="AT13"/>
  <c r="AU13"/>
  <c r="AV13"/>
  <c r="AW13"/>
  <c r="AX13"/>
  <c r="BA13"/>
  <c r="BB13"/>
  <c r="BC13"/>
  <c r="BD13"/>
  <c r="BE13"/>
  <c r="BH13"/>
  <c r="BI13"/>
  <c r="BJ13"/>
  <c r="BK13"/>
  <c r="BL13"/>
  <c r="BO13"/>
  <c r="BP13"/>
  <c r="BQ13"/>
  <c r="BR13"/>
  <c r="BS13"/>
  <c r="BV13"/>
  <c r="BW13"/>
  <c r="BX13"/>
  <c r="BY13"/>
  <c r="BZ13"/>
  <c r="CC13"/>
  <c r="CD13"/>
  <c r="CE13"/>
  <c r="CF13"/>
  <c r="CG13"/>
  <c r="CJ13"/>
  <c r="CK13"/>
  <c r="CL13"/>
  <c r="CM13"/>
  <c r="CN13"/>
  <c r="CQ13"/>
  <c r="CR13"/>
  <c r="CS13"/>
  <c r="CT13"/>
  <c r="CU13"/>
  <c r="CX13"/>
  <c r="CY13"/>
  <c r="CZ13"/>
  <c r="DA13"/>
  <c r="DB13"/>
  <c r="DE13"/>
  <c r="DF13"/>
  <c r="DG13"/>
  <c r="DH13"/>
  <c r="DI13"/>
  <c r="DL13"/>
  <c r="DM13"/>
  <c r="DN13"/>
  <c r="DO13"/>
  <c r="DP13"/>
  <c r="D14"/>
  <c r="E14"/>
  <c r="F14"/>
  <c r="G14"/>
  <c r="H14"/>
  <c r="K14"/>
  <c r="L14"/>
  <c r="M14"/>
  <c r="N14"/>
  <c r="O14"/>
  <c r="R14"/>
  <c r="S14"/>
  <c r="T14"/>
  <c r="U14"/>
  <c r="V14"/>
  <c r="Y14"/>
  <c r="Z14"/>
  <c r="AA14"/>
  <c r="AB14"/>
  <c r="AC14"/>
  <c r="AF14"/>
  <c r="AG14"/>
  <c r="AH14"/>
  <c r="AI14"/>
  <c r="AJ14"/>
  <c r="AM14"/>
  <c r="AN14"/>
  <c r="AO14"/>
  <c r="AP14"/>
  <c r="AQ14"/>
  <c r="AT14"/>
  <c r="AU14"/>
  <c r="AV14"/>
  <c r="AW14"/>
  <c r="AX14"/>
  <c r="BA14"/>
  <c r="BB14"/>
  <c r="BC14"/>
  <c r="BD14"/>
  <c r="BE14"/>
  <c r="BH14"/>
  <c r="BI14"/>
  <c r="BJ14"/>
  <c r="BK14"/>
  <c r="BL14"/>
  <c r="BO14"/>
  <c r="BP14"/>
  <c r="BQ14"/>
  <c r="BR14"/>
  <c r="BS14"/>
  <c r="BV14"/>
  <c r="BW14"/>
  <c r="BX14"/>
  <c r="BY14"/>
  <c r="BZ14"/>
  <c r="CC14"/>
  <c r="CD14"/>
  <c r="CE14"/>
  <c r="CF14"/>
  <c r="CG14"/>
  <c r="CJ14"/>
  <c r="CK14"/>
  <c r="CL14"/>
  <c r="CM14"/>
  <c r="CN14"/>
  <c r="CQ14"/>
  <c r="CR14"/>
  <c r="CS14"/>
  <c r="CT14"/>
  <c r="CU14"/>
  <c r="CX14"/>
  <c r="CY14"/>
  <c r="CZ14"/>
  <c r="DA14"/>
  <c r="DB14"/>
  <c r="DE14"/>
  <c r="DF14"/>
  <c r="DG14"/>
  <c r="DH14"/>
  <c r="DI14"/>
  <c r="DL14"/>
  <c r="DM14"/>
  <c r="DN14"/>
  <c r="DO14"/>
  <c r="DP14"/>
  <c r="D15"/>
  <c r="E15"/>
  <c r="F15"/>
  <c r="G15"/>
  <c r="H15"/>
  <c r="K15"/>
  <c r="L15"/>
  <c r="M15"/>
  <c r="N15"/>
  <c r="O15"/>
  <c r="R15"/>
  <c r="S15"/>
  <c r="T15"/>
  <c r="U15"/>
  <c r="V15"/>
  <c r="Y15"/>
  <c r="Z15"/>
  <c r="AA15"/>
  <c r="AB15"/>
  <c r="AC15"/>
  <c r="AF15"/>
  <c r="AG15"/>
  <c r="AH15"/>
  <c r="AI15"/>
  <c r="AJ15"/>
  <c r="AM15"/>
  <c r="AN15"/>
  <c r="AO15"/>
  <c r="AP15"/>
  <c r="AQ15"/>
  <c r="AT15"/>
  <c r="AU15"/>
  <c r="AV15"/>
  <c r="AW15"/>
  <c r="AX15"/>
  <c r="BA15"/>
  <c r="BB15"/>
  <c r="BC15"/>
  <c r="BD15"/>
  <c r="BE15"/>
  <c r="BH15"/>
  <c r="BI15"/>
  <c r="BJ15"/>
  <c r="BK15"/>
  <c r="BL15"/>
  <c r="BO15"/>
  <c r="BP15"/>
  <c r="BQ15"/>
  <c r="BR15"/>
  <c r="BS15"/>
  <c r="BV15"/>
  <c r="BW15"/>
  <c r="BX15"/>
  <c r="BY15"/>
  <c r="BZ15"/>
  <c r="CC15"/>
  <c r="CD15"/>
  <c r="CE15"/>
  <c r="CF15"/>
  <c r="CG15"/>
  <c r="CJ15"/>
  <c r="CK15"/>
  <c r="CL15"/>
  <c r="CM15"/>
  <c r="CN15"/>
  <c r="CQ15"/>
  <c r="CR15"/>
  <c r="CS15"/>
  <c r="CT15"/>
  <c r="CU15"/>
  <c r="CX15"/>
  <c r="CY15"/>
  <c r="CZ15"/>
  <c r="DA15"/>
  <c r="DB15"/>
  <c r="DE15"/>
  <c r="DF15"/>
  <c r="DG15"/>
  <c r="DH15"/>
  <c r="DI15"/>
  <c r="DL15"/>
  <c r="DM15"/>
  <c r="DN15"/>
  <c r="DO15"/>
  <c r="DP15"/>
  <c r="D16"/>
  <c r="E16"/>
  <c r="F16"/>
  <c r="G16"/>
  <c r="H16"/>
  <c r="K16"/>
  <c r="L16"/>
  <c r="M16"/>
  <c r="N16"/>
  <c r="O16"/>
  <c r="R16"/>
  <c r="S16"/>
  <c r="T16"/>
  <c r="U16"/>
  <c r="V16"/>
  <c r="Y16"/>
  <c r="Z16"/>
  <c r="AA16"/>
  <c r="AB16"/>
  <c r="AC16"/>
  <c r="AF16"/>
  <c r="AG16"/>
  <c r="AH16"/>
  <c r="AI16"/>
  <c r="AJ16"/>
  <c r="AM16"/>
  <c r="AN16"/>
  <c r="AO16"/>
  <c r="AP16"/>
  <c r="AQ16"/>
  <c r="AT16"/>
  <c r="AU16"/>
  <c r="AV16"/>
  <c r="AW16"/>
  <c r="AX16"/>
  <c r="BA16"/>
  <c r="BB16"/>
  <c r="BC16"/>
  <c r="BD16"/>
  <c r="BE16"/>
  <c r="BH16"/>
  <c r="BI16"/>
  <c r="BJ16"/>
  <c r="BK16"/>
  <c r="BL16"/>
  <c r="BO16"/>
  <c r="BP16"/>
  <c r="BQ16"/>
  <c r="BR16"/>
  <c r="BS16"/>
  <c r="BV16"/>
  <c r="BW16"/>
  <c r="BX16"/>
  <c r="BY16"/>
  <c r="BZ16"/>
  <c r="CC16"/>
  <c r="CD16"/>
  <c r="CE16"/>
  <c r="CF16"/>
  <c r="CG16"/>
  <c r="CJ16"/>
  <c r="CK16"/>
  <c r="CL16"/>
  <c r="CM16"/>
  <c r="CN16"/>
  <c r="CQ16"/>
  <c r="CR16"/>
  <c r="CS16"/>
  <c r="CT16"/>
  <c r="CU16"/>
  <c r="CX16"/>
  <c r="CY16"/>
  <c r="CZ16"/>
  <c r="DA16"/>
  <c r="DB16"/>
  <c r="DE16"/>
  <c r="DF16"/>
  <c r="DG16"/>
  <c r="DH16"/>
  <c r="DI16"/>
  <c r="DL16"/>
  <c r="DM16"/>
  <c r="DN16"/>
  <c r="DO16"/>
  <c r="DP16"/>
  <c r="D17"/>
  <c r="E17"/>
  <c r="F17"/>
  <c r="G17"/>
  <c r="H17"/>
  <c r="K17"/>
  <c r="L17"/>
  <c r="M17"/>
  <c r="N17"/>
  <c r="O17"/>
  <c r="R17"/>
  <c r="S17"/>
  <c r="T17"/>
  <c r="U17"/>
  <c r="V17"/>
  <c r="Y17"/>
  <c r="Z17"/>
  <c r="AA17"/>
  <c r="AB17"/>
  <c r="AC17"/>
  <c r="AF17"/>
  <c r="AG17"/>
  <c r="AH17"/>
  <c r="AI17"/>
  <c r="AJ17"/>
  <c r="AM17"/>
  <c r="AN17"/>
  <c r="AO17"/>
  <c r="AP17"/>
  <c r="AQ17"/>
  <c r="AT17"/>
  <c r="AU17"/>
  <c r="AV17"/>
  <c r="AW17"/>
  <c r="AX17"/>
  <c r="BA17"/>
  <c r="BB17"/>
  <c r="BC17"/>
  <c r="BD17"/>
  <c r="BE17"/>
  <c r="BH17"/>
  <c r="BI17"/>
  <c r="BJ17"/>
  <c r="BK17"/>
  <c r="BL17"/>
  <c r="BO17"/>
  <c r="BP17"/>
  <c r="BQ17"/>
  <c r="BR17"/>
  <c r="BS17"/>
  <c r="BV17"/>
  <c r="BW17"/>
  <c r="BX17"/>
  <c r="BY17"/>
  <c r="BZ17"/>
  <c r="CC17"/>
  <c r="CD17"/>
  <c r="CE17"/>
  <c r="CF17"/>
  <c r="CG17"/>
  <c r="CJ17"/>
  <c r="CK17"/>
  <c r="CL17"/>
  <c r="CM17"/>
  <c r="CN17"/>
  <c r="CQ17"/>
  <c r="CR17"/>
  <c r="CS17"/>
  <c r="CT17"/>
  <c r="CU17"/>
  <c r="CX17"/>
  <c r="CY17"/>
  <c r="CZ17"/>
  <c r="DA17"/>
  <c r="DB17"/>
  <c r="DE17"/>
  <c r="DF17"/>
  <c r="DG17"/>
  <c r="DH17"/>
  <c r="DI17"/>
  <c r="DL17"/>
  <c r="DM17"/>
  <c r="DN17"/>
  <c r="DO17"/>
  <c r="DP17"/>
  <c r="D20" i="2"/>
  <c r="E20"/>
  <c r="F20"/>
  <c r="G20"/>
  <c r="H20"/>
  <c r="K20"/>
  <c r="L20"/>
  <c r="M20"/>
  <c r="N20"/>
  <c r="O20"/>
  <c r="R20"/>
  <c r="S20"/>
  <c r="T20"/>
  <c r="U20"/>
  <c r="V20"/>
  <c r="Y20"/>
  <c r="Z20"/>
  <c r="AA20"/>
  <c r="AB20"/>
  <c r="AC20"/>
  <c r="AF20"/>
  <c r="AG20"/>
  <c r="AH20"/>
  <c r="AI20"/>
  <c r="AJ20"/>
  <c r="AM20"/>
  <c r="AN20"/>
  <c r="AO20"/>
  <c r="AP20"/>
  <c r="AQ20"/>
  <c r="AT20"/>
  <c r="AU20"/>
  <c r="AV20"/>
  <c r="AW20"/>
  <c r="AX20"/>
  <c r="BA20"/>
  <c r="BB20"/>
  <c r="BC20"/>
  <c r="BD20"/>
  <c r="BE20"/>
  <c r="BH20"/>
  <c r="BI20"/>
  <c r="BJ20"/>
  <c r="BK20"/>
  <c r="BL20"/>
  <c r="BO20"/>
  <c r="BP20"/>
  <c r="BQ20"/>
  <c r="BR20"/>
  <c r="BS20"/>
  <c r="BV20"/>
  <c r="BW20"/>
  <c r="BX20"/>
  <c r="BY20"/>
  <c r="BZ20"/>
  <c r="CC20"/>
  <c r="CD20"/>
  <c r="CE20"/>
  <c r="CF20"/>
  <c r="CG20"/>
  <c r="CJ20"/>
  <c r="CK20"/>
  <c r="CL20"/>
  <c r="CM20"/>
  <c r="CN20"/>
  <c r="CQ20"/>
  <c r="CR20"/>
  <c r="CS20"/>
  <c r="CT20"/>
  <c r="CU20"/>
  <c r="CX20"/>
  <c r="CY20"/>
  <c r="CZ20"/>
  <c r="DA20"/>
  <c r="DB20"/>
  <c r="D37"/>
  <c r="E37"/>
  <c r="F37"/>
  <c r="G37"/>
  <c r="H37"/>
  <c r="K37"/>
  <c r="L37"/>
  <c r="M37"/>
  <c r="N37"/>
  <c r="O37"/>
  <c r="R37"/>
  <c r="S37"/>
  <c r="T37"/>
  <c r="U37"/>
  <c r="V37"/>
  <c r="Y37"/>
  <c r="Z37"/>
  <c r="AA37"/>
  <c r="AB37"/>
  <c r="AC37"/>
  <c r="AF37"/>
  <c r="AG37"/>
  <c r="AH37"/>
  <c r="AI37"/>
  <c r="AJ37"/>
  <c r="AM37"/>
  <c r="AN37"/>
  <c r="AO37"/>
  <c r="AP37"/>
  <c r="AQ37"/>
  <c r="AT37"/>
  <c r="AU37"/>
  <c r="AV37"/>
  <c r="AW37"/>
  <c r="AX37"/>
  <c r="BA37"/>
  <c r="BB37"/>
  <c r="BC37"/>
  <c r="BD37"/>
  <c r="BE37"/>
  <c r="BH37"/>
  <c r="BI37"/>
  <c r="BJ37"/>
  <c r="BK37"/>
  <c r="BL37"/>
  <c r="BO37"/>
  <c r="BP37"/>
  <c r="BQ37"/>
  <c r="BR37"/>
  <c r="BS37"/>
  <c r="BV37"/>
  <c r="BW37"/>
  <c r="BX37"/>
  <c r="BY37"/>
  <c r="BZ37"/>
  <c r="CC37"/>
  <c r="CD37"/>
  <c r="CE37"/>
  <c r="CF37"/>
  <c r="CG37"/>
  <c r="CJ37"/>
  <c r="CK37"/>
  <c r="CL37"/>
  <c r="CM37"/>
  <c r="CN37"/>
  <c r="CQ37"/>
  <c r="CR37"/>
  <c r="CS37"/>
  <c r="CT37"/>
  <c r="CU37"/>
  <c r="CX37"/>
  <c r="CY37"/>
  <c r="CZ37"/>
  <c r="DA37"/>
  <c r="DB37"/>
  <c r="D54"/>
  <c r="E54"/>
  <c r="F54"/>
  <c r="G54"/>
  <c r="H54"/>
  <c r="K54"/>
  <c r="L54"/>
  <c r="M54"/>
  <c r="N54"/>
  <c r="O54"/>
  <c r="R54"/>
  <c r="S54"/>
  <c r="T54"/>
  <c r="U54"/>
  <c r="V54"/>
  <c r="Y54"/>
  <c r="Z54"/>
  <c r="AA54"/>
  <c r="AB54"/>
  <c r="AC54"/>
  <c r="AF54"/>
  <c r="AG54"/>
  <c r="AH54"/>
  <c r="AI54"/>
  <c r="AJ54"/>
  <c r="AM54"/>
  <c r="AN54"/>
  <c r="AO54"/>
  <c r="AP54"/>
  <c r="AQ54"/>
  <c r="AT54"/>
  <c r="AU54"/>
  <c r="AV54"/>
  <c r="AW54"/>
  <c r="AX54"/>
  <c r="BA54"/>
  <c r="BB54"/>
  <c r="BC54"/>
  <c r="BD54"/>
  <c r="BE54"/>
  <c r="BH54"/>
  <c r="BI54"/>
  <c r="BJ54"/>
  <c r="BK54"/>
  <c r="BL54"/>
  <c r="BO54"/>
  <c r="BP54"/>
  <c r="BQ54"/>
  <c r="BR54"/>
  <c r="BS54"/>
  <c r="BV54"/>
  <c r="BW54"/>
  <c r="BX54"/>
  <c r="BY54"/>
  <c r="BZ54"/>
  <c r="CC54"/>
  <c r="CD54"/>
  <c r="CE54"/>
  <c r="CF54"/>
  <c r="CG54"/>
  <c r="CJ54"/>
  <c r="CK54"/>
  <c r="CL54"/>
  <c r="CM54"/>
  <c r="CN54"/>
  <c r="CQ54"/>
  <c r="CR54"/>
  <c r="CS54"/>
  <c r="CT54"/>
  <c r="CU54"/>
  <c r="CX54"/>
  <c r="CY54"/>
  <c r="CZ54"/>
  <c r="DA54"/>
  <c r="DB54"/>
  <c r="D71"/>
  <c r="E71"/>
  <c r="F71"/>
  <c r="G71"/>
  <c r="H71"/>
  <c r="K71"/>
  <c r="L71"/>
  <c r="M71"/>
  <c r="N71"/>
  <c r="O71"/>
  <c r="R71"/>
  <c r="S71"/>
  <c r="T71"/>
  <c r="U71"/>
  <c r="V71"/>
  <c r="Y71"/>
  <c r="Z71"/>
  <c r="AA71"/>
  <c r="AB71"/>
  <c r="AC71"/>
  <c r="AF71"/>
  <c r="AG71"/>
  <c r="AH71"/>
  <c r="AI71"/>
  <c r="AJ71"/>
  <c r="AM71"/>
  <c r="AN71"/>
  <c r="AO71"/>
  <c r="AP71"/>
  <c r="AQ71"/>
  <c r="AT71"/>
  <c r="AU71"/>
  <c r="AV71"/>
  <c r="AW71"/>
  <c r="AX71"/>
  <c r="BA71"/>
  <c r="BB71"/>
  <c r="BC71"/>
  <c r="BD71"/>
  <c r="BE71"/>
  <c r="BH71"/>
  <c r="BI71"/>
  <c r="BJ71"/>
  <c r="BK71"/>
  <c r="BL71"/>
  <c r="BO71"/>
  <c r="BP71"/>
  <c r="BQ71"/>
  <c r="BR71"/>
  <c r="BS71"/>
  <c r="BV71"/>
  <c r="BW71"/>
  <c r="BX71"/>
  <c r="BY71"/>
  <c r="BZ71"/>
  <c r="CC71"/>
  <c r="CD71"/>
  <c r="CE71"/>
  <c r="CF71"/>
  <c r="CG71"/>
  <c r="CJ71"/>
  <c r="CK71"/>
  <c r="CL71"/>
  <c r="CM71"/>
  <c r="CN71"/>
  <c r="CQ71"/>
  <c r="CR71"/>
  <c r="CS71"/>
  <c r="CT71"/>
  <c r="CU71"/>
  <c r="CX71"/>
  <c r="CY71"/>
  <c r="CZ71"/>
  <c r="DA71"/>
  <c r="DB71"/>
  <c r="D88"/>
  <c r="E88"/>
  <c r="F88"/>
  <c r="G88"/>
  <c r="H88"/>
  <c r="K88"/>
  <c r="L88"/>
  <c r="M88"/>
  <c r="N88"/>
  <c r="O88"/>
  <c r="R88"/>
  <c r="S88"/>
  <c r="T88"/>
  <c r="U88"/>
  <c r="V88"/>
  <c r="Y88"/>
  <c r="Z88"/>
  <c r="AA88"/>
  <c r="AB88"/>
  <c r="AC88"/>
  <c r="AF88"/>
  <c r="AG88"/>
  <c r="AH88"/>
  <c r="AI88"/>
  <c r="AJ88"/>
  <c r="AM88"/>
  <c r="AN88"/>
  <c r="AO88"/>
  <c r="AP88"/>
  <c r="AQ88"/>
  <c r="AT88"/>
  <c r="AU88"/>
  <c r="AV88"/>
  <c r="AW88"/>
  <c r="AX88"/>
  <c r="BA88"/>
  <c r="BB88"/>
  <c r="BC88"/>
  <c r="BD88"/>
  <c r="BE88"/>
  <c r="BH88"/>
  <c r="BI88"/>
  <c r="BJ88"/>
  <c r="BK88"/>
  <c r="BL88"/>
  <c r="BO88"/>
  <c r="BP88"/>
  <c r="BQ88"/>
  <c r="BR88"/>
  <c r="BS88"/>
  <c r="BV88"/>
  <c r="BW88"/>
  <c r="BX88"/>
  <c r="BY88"/>
  <c r="BZ88"/>
  <c r="CC88"/>
  <c r="CD88"/>
  <c r="CE88"/>
  <c r="CF88"/>
  <c r="CG88"/>
  <c r="CJ88"/>
  <c r="CK88"/>
  <c r="CL88"/>
  <c r="CM88"/>
  <c r="CN88"/>
  <c r="CQ88"/>
  <c r="CR88"/>
  <c r="CS88"/>
  <c r="CT88"/>
  <c r="CU88"/>
  <c r="CX88"/>
  <c r="CY88"/>
  <c r="CZ88"/>
  <c r="DA88"/>
  <c r="DB88"/>
  <c r="D105"/>
  <c r="E105"/>
  <c r="F105"/>
  <c r="G105"/>
  <c r="H105"/>
  <c r="K105"/>
  <c r="L105"/>
  <c r="M105"/>
  <c r="N105"/>
  <c r="O105"/>
  <c r="R105"/>
  <c r="S105"/>
  <c r="T105"/>
  <c r="U105"/>
  <c r="V105"/>
  <c r="Y105"/>
  <c r="Z105"/>
  <c r="AA105"/>
  <c r="AB105"/>
  <c r="AC105"/>
  <c r="AF105"/>
  <c r="AG105"/>
  <c r="AH105"/>
  <c r="AI105"/>
  <c r="AJ105"/>
  <c r="AM105"/>
  <c r="AN105"/>
  <c r="AO105"/>
  <c r="AP105"/>
  <c r="AQ105"/>
  <c r="AT105"/>
  <c r="AU105"/>
  <c r="AV105"/>
  <c r="AW105"/>
  <c r="AX105"/>
  <c r="BA105"/>
  <c r="BB105"/>
  <c r="BC105"/>
  <c r="BD105"/>
  <c r="BE105"/>
  <c r="BH105"/>
  <c r="BI105"/>
  <c r="BJ105"/>
  <c r="BK105"/>
  <c r="BL105"/>
  <c r="BO105"/>
  <c r="BP105"/>
  <c r="BQ105"/>
  <c r="BR105"/>
  <c r="BS105"/>
  <c r="BV105"/>
  <c r="BW105"/>
  <c r="BX105"/>
  <c r="BY105"/>
  <c r="BZ105"/>
  <c r="CC105"/>
  <c r="CD105"/>
  <c r="CE105"/>
  <c r="CF105"/>
  <c r="CG105"/>
  <c r="CJ105"/>
  <c r="CK105"/>
  <c r="CL105"/>
  <c r="CM105"/>
  <c r="CN105"/>
  <c r="CQ105"/>
  <c r="CR105"/>
  <c r="CS105"/>
  <c r="CT105"/>
  <c r="CU105"/>
  <c r="CX105"/>
  <c r="CY105"/>
  <c r="CZ105"/>
  <c r="DA105"/>
  <c r="DB105"/>
  <c r="D122"/>
  <c r="E122"/>
  <c r="F122"/>
  <c r="G122"/>
  <c r="H122"/>
  <c r="K122"/>
  <c r="L122"/>
  <c r="M122"/>
  <c r="N122"/>
  <c r="O122"/>
  <c r="R122"/>
  <c r="S122"/>
  <c r="T122"/>
  <c r="U122"/>
  <c r="V122"/>
  <c r="Y122"/>
  <c r="Z122"/>
  <c r="AA122"/>
  <c r="AB122"/>
  <c r="AC122"/>
  <c r="AF122"/>
  <c r="AG122"/>
  <c r="AH122"/>
  <c r="AI122"/>
  <c r="AJ122"/>
  <c r="AM122"/>
  <c r="AN122"/>
  <c r="AO122"/>
  <c r="AP122"/>
  <c r="AQ122"/>
  <c r="AT122"/>
  <c r="AU122"/>
  <c r="AV122"/>
  <c r="AW122"/>
  <c r="AX122"/>
  <c r="BA122"/>
  <c r="BB122"/>
  <c r="BC122"/>
  <c r="BD122"/>
  <c r="BE122"/>
  <c r="BH122"/>
  <c r="BI122"/>
  <c r="BJ122"/>
  <c r="BK122"/>
  <c r="BL122"/>
  <c r="BO122"/>
  <c r="BP122"/>
  <c r="BQ122"/>
  <c r="BR122"/>
  <c r="BS122"/>
  <c r="BV122"/>
  <c r="BW122"/>
  <c r="BX122"/>
  <c r="BY122"/>
  <c r="BZ122"/>
  <c r="CC122"/>
  <c r="CD122"/>
  <c r="CE122"/>
  <c r="CF122"/>
  <c r="CG122"/>
  <c r="CJ122"/>
  <c r="CK122"/>
  <c r="CL122"/>
  <c r="CM122"/>
  <c r="CN122"/>
  <c r="CQ122"/>
  <c r="CR122"/>
  <c r="CS122"/>
  <c r="CT122"/>
  <c r="CU122"/>
  <c r="CX122"/>
  <c r="CY122"/>
  <c r="CZ122"/>
  <c r="DA122"/>
  <c r="DB122"/>
  <c r="D139"/>
  <c r="E139"/>
  <c r="F139"/>
  <c r="G139"/>
  <c r="H139"/>
  <c r="K139"/>
  <c r="L139"/>
  <c r="M139"/>
  <c r="N139"/>
  <c r="O139"/>
  <c r="R139"/>
  <c r="S139"/>
  <c r="T139"/>
  <c r="U139"/>
  <c r="V139"/>
  <c r="Y139"/>
  <c r="Z139"/>
  <c r="AA139"/>
  <c r="AB139"/>
  <c r="AC139"/>
  <c r="AF139"/>
  <c r="AG139"/>
  <c r="AH139"/>
  <c r="AI139"/>
  <c r="AJ139"/>
  <c r="AM139"/>
  <c r="AN139"/>
  <c r="AO139"/>
  <c r="AP139"/>
  <c r="AQ139"/>
  <c r="AT139"/>
  <c r="AU139"/>
  <c r="AV139"/>
  <c r="AW139"/>
  <c r="AX139"/>
  <c r="BA139"/>
  <c r="BB139"/>
  <c r="BC139"/>
  <c r="BD139"/>
  <c r="BE139"/>
  <c r="BH139"/>
  <c r="BI139"/>
  <c r="BJ139"/>
  <c r="BK139"/>
  <c r="BL139"/>
  <c r="BO139"/>
  <c r="BP139"/>
  <c r="BQ139"/>
  <c r="BR139"/>
  <c r="BS139"/>
  <c r="BV139"/>
  <c r="BW139"/>
  <c r="BX139"/>
  <c r="BY139"/>
  <c r="BZ139"/>
  <c r="CC139"/>
  <c r="CD139"/>
  <c r="CE139"/>
  <c r="CF139"/>
  <c r="CG139"/>
  <c r="CJ139"/>
  <c r="CK139"/>
  <c r="CL139"/>
  <c r="CM139"/>
  <c r="CN139"/>
  <c r="CQ139"/>
  <c r="CR139"/>
  <c r="CS139"/>
  <c r="CT139"/>
  <c r="CU139"/>
  <c r="CX139"/>
  <c r="CY139"/>
  <c r="CZ139"/>
  <c r="DA139"/>
  <c r="DB139"/>
  <c r="ND34" i="20"/>
  <c r="ND33"/>
  <c r="ND32"/>
  <c r="ND31"/>
  <c r="ND30"/>
  <c r="ND29"/>
  <c r="ND28"/>
  <c r="ND27"/>
  <c r="ND26"/>
  <c r="ND25"/>
  <c r="ND24"/>
  <c r="ND23"/>
  <c r="ND22"/>
  <c r="ND21"/>
  <c r="ND20"/>
  <c r="ND19"/>
  <c r="ND18"/>
  <c r="ND17"/>
  <c r="ND16"/>
  <c r="ND15"/>
  <c r="ND14"/>
  <c r="ND13"/>
  <c r="ND12"/>
  <c r="ND11"/>
  <c r="ND10"/>
  <c r="ND9"/>
  <c r="ND8"/>
  <c r="ND7"/>
  <c r="ND6"/>
  <c r="ND5"/>
  <c r="ND4"/>
  <c r="ND3"/>
  <c r="ND2"/>
  <c r="GO11" i="16"/>
  <c r="GO12"/>
  <c r="GO13"/>
  <c r="GO14"/>
  <c r="GO15"/>
  <c r="GO26"/>
  <c r="EO5"/>
  <c r="EO6"/>
  <c r="EO7"/>
  <c r="EO8"/>
  <c r="EO9"/>
  <c r="EO10"/>
  <c r="EO11"/>
  <c r="EO12"/>
  <c r="EO13"/>
  <c r="EO14"/>
  <c r="EO15"/>
  <c r="EO16"/>
  <c r="EM5"/>
  <c r="EM6"/>
  <c r="EM7"/>
  <c r="EM8"/>
  <c r="EM9"/>
  <c r="EM10"/>
  <c r="EM11"/>
  <c r="EM12"/>
  <c r="W16"/>
  <c r="W17"/>
  <c r="W18"/>
  <c r="W19"/>
  <c r="W20"/>
  <c r="ND3" i="18"/>
  <c r="ND4"/>
  <c r="ND5"/>
  <c r="ND6"/>
  <c r="ND7"/>
  <c r="ND8"/>
  <c r="ND9"/>
  <c r="ND10"/>
  <c r="ND11"/>
  <c r="ND12"/>
  <c r="ND13"/>
  <c r="ND14"/>
  <c r="ND15"/>
  <c r="ND16"/>
  <c r="ND17"/>
  <c r="ND18"/>
  <c r="ND19"/>
  <c r="ND20"/>
  <c r="ND21"/>
  <c r="ND22"/>
  <c r="ND23"/>
  <c r="ND24"/>
  <c r="ND25"/>
  <c r="ND26"/>
  <c r="ND27"/>
  <c r="ND28"/>
  <c r="ND29"/>
  <c r="ND30"/>
  <c r="ND31"/>
  <c r="ND32"/>
  <c r="ND33"/>
  <c r="ND34"/>
  <c r="ND2"/>
  <c r="DC16" i="16"/>
  <c r="DC17"/>
  <c r="DA8"/>
  <c r="DA9"/>
  <c r="DA10"/>
  <c r="DA11"/>
  <c r="DA12"/>
  <c r="DA13"/>
  <c r="DA14"/>
  <c r="DA15"/>
  <c r="CU13"/>
  <c r="CU14"/>
  <c r="CU15"/>
  <c r="CU16"/>
  <c r="CU17"/>
  <c r="CC10"/>
  <c r="CC11"/>
  <c r="CC12"/>
  <c r="BU11"/>
  <c r="BU12"/>
  <c r="BU13"/>
  <c r="AG17"/>
  <c r="AG18"/>
  <c r="AG19"/>
  <c r="I11"/>
  <c r="I10"/>
  <c r="I12"/>
  <c r="LY10" i="15"/>
  <c r="G26" i="16"/>
  <c r="H26"/>
  <c r="I26"/>
  <c r="J26"/>
  <c r="K26"/>
  <c r="L26"/>
  <c r="M26"/>
  <c r="N26"/>
  <c r="O26"/>
  <c r="P26"/>
  <c r="Q26"/>
  <c r="R26"/>
  <c r="S26"/>
  <c r="T26"/>
  <c r="U26"/>
  <c r="V26"/>
  <c r="W26"/>
  <c r="X26"/>
  <c r="Y26"/>
  <c r="Z26"/>
  <c r="AA26"/>
  <c r="AB26"/>
  <c r="AC26"/>
  <c r="AD26"/>
  <c r="AE26"/>
  <c r="AF26"/>
  <c r="AG26"/>
  <c r="AH26"/>
  <c r="AI26"/>
  <c r="AJ26"/>
  <c r="AK26"/>
  <c r="AL26"/>
  <c r="AM26"/>
  <c r="AN26"/>
  <c r="AO26"/>
  <c r="AP26"/>
  <c r="AQ26"/>
  <c r="AR26"/>
  <c r="AS26"/>
  <c r="AT26"/>
  <c r="AU26"/>
  <c r="AV26"/>
  <c r="AW26"/>
  <c r="AX26"/>
  <c r="AY26"/>
  <c r="AZ26"/>
  <c r="BA26"/>
  <c r="BB26"/>
  <c r="BC26"/>
  <c r="BD26"/>
  <c r="BE26"/>
  <c r="BF26"/>
  <c r="BG26"/>
  <c r="BH26"/>
  <c r="BI26"/>
  <c r="BJ26"/>
  <c r="BK26"/>
  <c r="BL26"/>
  <c r="BM26"/>
  <c r="BN26"/>
  <c r="BO26"/>
  <c r="BP26"/>
  <c r="BQ26"/>
  <c r="BR26"/>
  <c r="BS26"/>
  <c r="BT26"/>
  <c r="BU26"/>
  <c r="BV26"/>
  <c r="BW26"/>
  <c r="BX26"/>
  <c r="BY26"/>
  <c r="BZ26"/>
  <c r="CA26"/>
  <c r="CB26"/>
  <c r="CC26"/>
  <c r="CD26"/>
  <c r="CE26"/>
  <c r="CF26"/>
  <c r="CG26"/>
  <c r="CH26"/>
  <c r="CI26"/>
  <c r="CJ26"/>
  <c r="CK26"/>
  <c r="CL26"/>
  <c r="CM26"/>
  <c r="CN26"/>
  <c r="CO26"/>
  <c r="CP26"/>
  <c r="CQ26"/>
  <c r="CR26"/>
  <c r="CS26"/>
  <c r="CT26"/>
  <c r="CU26"/>
  <c r="CV26"/>
  <c r="CW26"/>
  <c r="CX26"/>
  <c r="CY26"/>
  <c r="CZ26"/>
  <c r="DA26"/>
  <c r="DB26"/>
  <c r="DC26"/>
  <c r="DD26"/>
  <c r="DE26"/>
  <c r="DF26"/>
  <c r="DG26"/>
  <c r="DH26"/>
  <c r="DI26"/>
  <c r="DJ26"/>
  <c r="DK26"/>
  <c r="DL26"/>
  <c r="DM26"/>
  <c r="DN26"/>
  <c r="DO26"/>
  <c r="DP26"/>
  <c r="DQ26"/>
  <c r="DR26"/>
  <c r="DS26"/>
  <c r="DT26"/>
  <c r="DU26"/>
  <c r="DV26"/>
  <c r="DY26"/>
  <c r="DZ26"/>
  <c r="EA26"/>
  <c r="EB26"/>
  <c r="EC26"/>
  <c r="ED26"/>
  <c r="EE26"/>
  <c r="EF26"/>
  <c r="EF47" s="1"/>
  <c r="EG26"/>
  <c r="EH26"/>
  <c r="EH47" s="1"/>
  <c r="EI26"/>
  <c r="EJ26"/>
  <c r="EJ47" s="1"/>
  <c r="EL47"/>
  <c r="EM26"/>
  <c r="EN26"/>
  <c r="EN47" s="1"/>
  <c r="EO26"/>
  <c r="EP26"/>
  <c r="EQ26"/>
  <c r="ER26"/>
  <c r="ES26"/>
  <c r="ET26"/>
  <c r="EU26"/>
  <c r="EV26"/>
  <c r="EW26"/>
  <c r="EX26"/>
  <c r="FA26"/>
  <c r="FB26"/>
  <c r="FB47" s="1"/>
  <c r="FC26"/>
  <c r="FD26"/>
  <c r="FE26"/>
  <c r="FF26"/>
  <c r="FG26"/>
  <c r="FH26"/>
  <c r="FI26"/>
  <c r="FJ26"/>
  <c r="FK26"/>
  <c r="FL26"/>
  <c r="FL47" s="1"/>
  <c r="FO26"/>
  <c r="FP26"/>
  <c r="FP47" s="1"/>
  <c r="FQ26"/>
  <c r="FR26"/>
  <c r="FR47" s="1"/>
  <c r="FS26"/>
  <c r="FT26"/>
  <c r="FU26"/>
  <c r="FV26"/>
  <c r="FV47" s="1"/>
  <c r="FW26"/>
  <c r="FX26"/>
  <c r="FY26"/>
  <c r="FZ26"/>
  <c r="GA26"/>
  <c r="GB26"/>
  <c r="GC26"/>
  <c r="GD26"/>
  <c r="GE26"/>
  <c r="GF26"/>
  <c r="GG26"/>
  <c r="GH26"/>
  <c r="GH47" s="1"/>
  <c r="GI26"/>
  <c r="GJ26"/>
  <c r="GK26"/>
  <c r="GL26"/>
  <c r="GM26"/>
  <c r="GN26"/>
  <c r="GP26"/>
  <c r="GQ26"/>
  <c r="GR26"/>
  <c r="GS26"/>
  <c r="GT26"/>
  <c r="GU26"/>
  <c r="GV26"/>
  <c r="GW26"/>
  <c r="GX26"/>
  <c r="GX47" s="1"/>
  <c r="GY26"/>
  <c r="GZ26"/>
  <c r="GZ47" s="1"/>
  <c r="HA26"/>
  <c r="HB26"/>
  <c r="HC26"/>
  <c r="HD26"/>
  <c r="HE26"/>
  <c r="HF26"/>
  <c r="HG26"/>
  <c r="HH26"/>
  <c r="HI26"/>
  <c r="HJ26"/>
  <c r="HK26"/>
  <c r="HL26"/>
  <c r="HM26"/>
  <c r="HN26"/>
  <c r="HO26"/>
  <c r="HP26"/>
  <c r="HQ26"/>
  <c r="HR26"/>
  <c r="HS26"/>
  <c r="HT26"/>
  <c r="HU26"/>
  <c r="HV26"/>
  <c r="HW26"/>
  <c r="HX26"/>
  <c r="HY26"/>
  <c r="HZ26"/>
  <c r="IA26"/>
  <c r="IB26"/>
  <c r="IC26"/>
  <c r="ID26"/>
  <c r="IE26"/>
  <c r="IF26"/>
  <c r="IG26"/>
  <c r="IH26"/>
  <c r="II26"/>
  <c r="IJ26"/>
  <c r="IK26"/>
  <c r="IL26"/>
  <c r="IM26"/>
  <c r="IN26"/>
  <c r="IO26"/>
  <c r="IP26"/>
  <c r="IQ26"/>
  <c r="IR26"/>
  <c r="IS26"/>
  <c r="IT26"/>
  <c r="IU26"/>
  <c r="IV26"/>
  <c r="IW26"/>
  <c r="IX26"/>
  <c r="IY26"/>
  <c r="IZ26"/>
  <c r="JA26"/>
  <c r="JB26"/>
  <c r="JC26"/>
  <c r="JD26"/>
  <c r="JE26"/>
  <c r="JF26"/>
  <c r="JG26"/>
  <c r="JH26"/>
  <c r="JI26"/>
  <c r="JJ26"/>
  <c r="JK26"/>
  <c r="JL26"/>
  <c r="JM26"/>
  <c r="JN26"/>
  <c r="JO26"/>
  <c r="JP26"/>
  <c r="JQ26"/>
  <c r="JR26"/>
  <c r="JS26"/>
  <c r="JT26"/>
  <c r="JU26"/>
  <c r="JV26"/>
  <c r="JW26"/>
  <c r="JX26"/>
  <c r="JY26"/>
  <c r="JZ26"/>
  <c r="KA26"/>
  <c r="KB26"/>
  <c r="KC26"/>
  <c r="KD26"/>
  <c r="KE26"/>
  <c r="KF26"/>
  <c r="KG26"/>
  <c r="KH26"/>
  <c r="KI26"/>
  <c r="KJ26"/>
  <c r="KK26"/>
  <c r="KL26"/>
  <c r="KM26"/>
  <c r="KN26"/>
  <c r="KO26"/>
  <c r="KP26"/>
  <c r="KQ26"/>
  <c r="KR26"/>
  <c r="KS26"/>
  <c r="KT26"/>
  <c r="KU26"/>
  <c r="KV26"/>
  <c r="KW26"/>
  <c r="KX26"/>
  <c r="KY26"/>
  <c r="KZ26"/>
  <c r="LA26"/>
  <c r="LB26"/>
  <c r="LC26"/>
  <c r="LD26"/>
  <c r="LE26"/>
  <c r="LF26"/>
  <c r="LG26"/>
  <c r="LH26"/>
  <c r="LI26"/>
  <c r="LJ26"/>
  <c r="LK26"/>
  <c r="LL26"/>
  <c r="LM26"/>
  <c r="LN26"/>
  <c r="LO26"/>
  <c r="LP26"/>
  <c r="LQ26"/>
  <c r="LR26"/>
  <c r="LS26"/>
  <c r="LT26"/>
  <c r="LU26"/>
  <c r="LV26"/>
  <c r="LW26"/>
  <c r="LX26"/>
  <c r="LY26"/>
  <c r="LZ26"/>
  <c r="MA26"/>
  <c r="MB26"/>
  <c r="MC26"/>
  <c r="MD26"/>
  <c r="ME26"/>
  <c r="MF26"/>
  <c r="MG26"/>
  <c r="MH26"/>
  <c r="MI26"/>
  <c r="MJ26"/>
  <c r="MK26"/>
  <c r="ML26"/>
  <c r="MM26"/>
  <c r="MN26"/>
  <c r="MO26"/>
  <c r="MP26"/>
  <c r="MQ26"/>
  <c r="MR26"/>
  <c r="MS26"/>
  <c r="MT26"/>
  <c r="MU26"/>
  <c r="MV26"/>
  <c r="MW26"/>
  <c r="MX26"/>
  <c r="MY26"/>
  <c r="MZ26"/>
  <c r="NA26"/>
  <c r="NB26"/>
  <c r="NC26"/>
  <c r="ND26"/>
  <c r="NE26"/>
  <c r="NF26"/>
  <c r="NG26"/>
  <c r="NH26"/>
  <c r="NI26"/>
  <c r="NJ26"/>
  <c r="NK26"/>
  <c r="NL26"/>
  <c r="NM26"/>
  <c r="NN26"/>
  <c r="NO26"/>
  <c r="NP26"/>
  <c r="NQ26"/>
  <c r="NR26"/>
  <c r="NS26"/>
  <c r="NT26"/>
  <c r="NU26"/>
  <c r="NV26"/>
  <c r="NW26"/>
  <c r="NX26"/>
  <c r="NY26"/>
  <c r="NZ26"/>
  <c r="OA26"/>
  <c r="OB26"/>
  <c r="OC26"/>
  <c r="OD26"/>
  <c r="OE26"/>
  <c r="OF26"/>
  <c r="OG26"/>
  <c r="OH26"/>
  <c r="OI26"/>
  <c r="OJ26"/>
  <c r="OK26"/>
  <c r="OL26"/>
  <c r="OM26"/>
  <c r="ON26"/>
  <c r="OO26"/>
  <c r="OP26"/>
  <c r="OQ26"/>
  <c r="OR26"/>
  <c r="OS26"/>
  <c r="OT26"/>
  <c r="OU26"/>
  <c r="OV26"/>
  <c r="OW26"/>
  <c r="OX26"/>
  <c r="OY26"/>
  <c r="OZ26"/>
  <c r="PA26"/>
  <c r="PB26"/>
  <c r="PC26"/>
  <c r="PD26"/>
  <c r="PE26"/>
  <c r="PF26"/>
  <c r="PG26"/>
  <c r="PH26"/>
  <c r="PI26"/>
  <c r="PJ26"/>
  <c r="PK26"/>
  <c r="PL26"/>
  <c r="PM26"/>
  <c r="PN26"/>
  <c r="PO26"/>
  <c r="PP26"/>
  <c r="PQ26"/>
  <c r="PR26"/>
  <c r="PS26"/>
  <c r="PT26"/>
  <c r="PU26"/>
  <c r="PV26"/>
  <c r="PW26"/>
  <c r="PX26"/>
  <c r="PY26"/>
  <c r="PZ26"/>
  <c r="QA26"/>
  <c r="QB26"/>
  <c r="QC26"/>
  <c r="QD26"/>
  <c r="QE26"/>
  <c r="QF26"/>
  <c r="QG26"/>
  <c r="QH26"/>
  <c r="QI26"/>
  <c r="QJ26"/>
  <c r="QK26"/>
  <c r="QL26"/>
  <c r="QM26"/>
  <c r="QN26"/>
  <c r="QO26"/>
  <c r="QP26"/>
  <c r="QQ26"/>
  <c r="QR26"/>
  <c r="QS26"/>
  <c r="QT26"/>
  <c r="QU26"/>
  <c r="QV26"/>
  <c r="QW26"/>
  <c r="QX26"/>
  <c r="QY26"/>
  <c r="QZ26"/>
  <c r="RA26"/>
  <c r="RB26"/>
  <c r="RC26"/>
  <c r="RD26"/>
  <c r="RE26"/>
  <c r="RF26"/>
  <c r="RG26"/>
  <c r="RH26"/>
  <c r="RI26"/>
  <c r="RJ26"/>
  <c r="RK26"/>
  <c r="RL26"/>
  <c r="RM26"/>
  <c r="RN26"/>
  <c r="RO26"/>
  <c r="RP26"/>
  <c r="RQ26"/>
  <c r="RR26"/>
  <c r="RS26"/>
  <c r="RT26"/>
  <c r="RU26"/>
  <c r="RV26"/>
  <c r="RW26"/>
  <c r="RX26"/>
  <c r="RY26"/>
  <c r="RZ26"/>
  <c r="SA26"/>
  <c r="SB26"/>
  <c r="SC26"/>
  <c r="SD26"/>
  <c r="SE26"/>
  <c r="SF26"/>
  <c r="SG26"/>
  <c r="SH26"/>
  <c r="SI26"/>
  <c r="SJ26"/>
  <c r="SK26"/>
  <c r="SL26"/>
  <c r="SM26"/>
  <c r="SN26"/>
  <c r="SO26"/>
  <c r="SP26"/>
  <c r="SQ26"/>
  <c r="SR26"/>
  <c r="SS26"/>
  <c r="ST26"/>
  <c r="SU26"/>
  <c r="SV26"/>
  <c r="SW26"/>
  <c r="SX26"/>
  <c r="SY26"/>
  <c r="SZ26"/>
  <c r="TA26"/>
  <c r="TB26"/>
  <c r="TC26"/>
  <c r="TD26"/>
  <c r="TE26"/>
  <c r="TF26"/>
  <c r="TG26"/>
  <c r="TH26"/>
  <c r="TI26"/>
  <c r="TJ26"/>
  <c r="TK26"/>
  <c r="TL26"/>
  <c r="TM26"/>
  <c r="TN26"/>
  <c r="TO26"/>
  <c r="TP26"/>
  <c r="TQ26"/>
  <c r="TR26"/>
  <c r="TS26"/>
  <c r="TT26"/>
  <c r="TU26"/>
  <c r="TV26"/>
  <c r="TW26"/>
  <c r="TX26"/>
  <c r="TY26"/>
  <c r="TZ26"/>
  <c r="UA26"/>
  <c r="UB26"/>
  <c r="UC26"/>
  <c r="UD26"/>
  <c r="UE26"/>
  <c r="UF26"/>
  <c r="UG26"/>
  <c r="UH26"/>
  <c r="UI26"/>
  <c r="UJ26"/>
  <c r="UK26"/>
  <c r="UL26"/>
  <c r="UM26"/>
  <c r="UN26"/>
  <c r="UO26"/>
  <c r="UP26"/>
  <c r="UQ26"/>
  <c r="UR26"/>
  <c r="US26"/>
  <c r="UT26"/>
  <c r="UU26"/>
  <c r="UV26"/>
  <c r="UW26"/>
  <c r="UX26"/>
  <c r="UY26"/>
  <c r="UZ26"/>
  <c r="VA26"/>
  <c r="VB26"/>
  <c r="VC26"/>
  <c r="VD26"/>
  <c r="VE26"/>
  <c r="VF26"/>
  <c r="VG26"/>
  <c r="VH26"/>
  <c r="VI26"/>
  <c r="VJ26"/>
  <c r="VK26"/>
  <c r="VL26"/>
  <c r="VM26"/>
  <c r="VN26"/>
  <c r="VO26"/>
  <c r="VP26"/>
  <c r="VQ26"/>
  <c r="VR26"/>
  <c r="VS26"/>
  <c r="VT26"/>
  <c r="VU26"/>
  <c r="VV26"/>
  <c r="VW26"/>
  <c r="VX26"/>
  <c r="VY26"/>
  <c r="VZ26"/>
  <c r="WA26"/>
  <c r="WB26"/>
  <c r="WC26"/>
  <c r="WD26"/>
  <c r="WE26"/>
  <c r="WF26"/>
  <c r="WG26"/>
  <c r="WH26"/>
  <c r="WI26"/>
  <c r="WJ26"/>
  <c r="WK26"/>
  <c r="WL26"/>
  <c r="WM26"/>
  <c r="WN26"/>
  <c r="WO26"/>
  <c r="WP26"/>
  <c r="WQ26"/>
  <c r="WR26"/>
  <c r="WR47" s="1"/>
  <c r="WS26"/>
  <c r="WT26"/>
  <c r="WU26"/>
  <c r="WV26"/>
  <c r="WW26"/>
  <c r="WX26"/>
  <c r="WY26"/>
  <c r="WZ26"/>
  <c r="XA26"/>
  <c r="XB26"/>
  <c r="XC26"/>
  <c r="XD26"/>
  <c r="XE26"/>
  <c r="XF26"/>
  <c r="XG26"/>
  <c r="XH26"/>
  <c r="XI26"/>
  <c r="XJ26"/>
  <c r="XK26"/>
  <c r="XL26"/>
  <c r="XM26"/>
  <c r="XN26"/>
  <c r="XO26"/>
  <c r="XP26"/>
  <c r="XQ26"/>
  <c r="XR26"/>
  <c r="XS26"/>
  <c r="XT26"/>
  <c r="XU26"/>
  <c r="XV26"/>
  <c r="XW26"/>
  <c r="XX26"/>
  <c r="XY26"/>
  <c r="XZ26"/>
  <c r="YA26"/>
  <c r="YB26"/>
  <c r="YC26"/>
  <c r="YD26"/>
  <c r="YE26"/>
  <c r="YF26"/>
  <c r="YG26"/>
  <c r="YH26"/>
  <c r="YI26"/>
  <c r="YJ26"/>
  <c r="YK26"/>
  <c r="YL26"/>
  <c r="YM26"/>
  <c r="YN26"/>
  <c r="YO26"/>
  <c r="YP26"/>
  <c r="YQ26"/>
  <c r="YR26"/>
  <c r="YS26"/>
  <c r="YT26"/>
  <c r="YU26"/>
  <c r="YV26"/>
  <c r="YW26"/>
  <c r="YX26"/>
  <c r="YY26"/>
  <c r="YZ26"/>
  <c r="ZA26"/>
  <c r="ZB26"/>
  <c r="ZC26"/>
  <c r="ZD26"/>
  <c r="ZE26"/>
  <c r="ZF26"/>
  <c r="ZG26"/>
  <c r="ZH26"/>
  <c r="ZI26"/>
  <c r="ZJ26"/>
  <c r="ZK26"/>
  <c r="ZL26"/>
  <c r="ZM26"/>
  <c r="ZN26"/>
  <c r="ZO26"/>
  <c r="ZP26"/>
  <c r="ZQ26"/>
  <c r="ZR26"/>
  <c r="ZS26"/>
  <c r="ZT26"/>
  <c r="ZU26"/>
  <c r="ZV26"/>
  <c r="ZW26"/>
  <c r="ZX26"/>
  <c r="ZY26"/>
  <c r="ZZ26"/>
  <c r="AAA26"/>
  <c r="AAB26"/>
  <c r="AAC26"/>
  <c r="AAD26"/>
  <c r="AAE26"/>
  <c r="AAF26"/>
  <c r="AAG26"/>
  <c r="AAH26"/>
  <c r="AAI26"/>
  <c r="AAJ26"/>
  <c r="AAK26"/>
  <c r="AAL26"/>
  <c r="AAM26"/>
  <c r="AAN26"/>
  <c r="AAO26"/>
  <c r="AAP26"/>
  <c r="AAQ26"/>
  <c r="AAR26"/>
  <c r="AAS26"/>
  <c r="AAT26"/>
  <c r="AAU26"/>
  <c r="AAV26"/>
  <c r="AAW26"/>
  <c r="AAX26"/>
  <c r="AAY26"/>
  <c r="AAZ26"/>
  <c r="ABA26"/>
  <c r="ABB26"/>
  <c r="ABC26"/>
  <c r="ABD26"/>
  <c r="F26"/>
  <c r="E26"/>
  <c r="WQ47"/>
  <c r="KT47"/>
  <c r="KS47"/>
  <c r="KL47"/>
  <c r="KK47"/>
  <c r="KJ47"/>
  <c r="KI47"/>
  <c r="JD47"/>
  <c r="JC47"/>
  <c r="HF47"/>
  <c r="HE47"/>
  <c r="HD47"/>
  <c r="HC47"/>
  <c r="HB47"/>
  <c r="ES47"/>
  <c r="EN122" i="2"/>
  <c r="NE18" i="15"/>
  <c r="NE19"/>
  <c r="NE20"/>
  <c r="NE21"/>
  <c r="NE22"/>
  <c r="NE23"/>
  <c r="NE24"/>
  <c r="NE25"/>
  <c r="NE26"/>
  <c r="NE27"/>
  <c r="I28"/>
  <c r="J28"/>
  <c r="P28"/>
  <c r="Q28"/>
  <c r="W28"/>
  <c r="X28"/>
  <c r="AD28"/>
  <c r="AE28"/>
  <c r="AK28"/>
  <c r="AL28"/>
  <c r="AR28"/>
  <c r="AS28"/>
  <c r="AY28"/>
  <c r="AZ28"/>
  <c r="BF28"/>
  <c r="BG28"/>
  <c r="BM28"/>
  <c r="BN28"/>
  <c r="BT28"/>
  <c r="BU28"/>
  <c r="CA28"/>
  <c r="CB28"/>
  <c r="CH28"/>
  <c r="CI28"/>
  <c r="CO28"/>
  <c r="CP28"/>
  <c r="CV28"/>
  <c r="CW28"/>
  <c r="DC28"/>
  <c r="DD28"/>
  <c r="DJ28"/>
  <c r="DK28"/>
  <c r="DQ28"/>
  <c r="DR28"/>
  <c r="DX28"/>
  <c r="DY28"/>
  <c r="EE28"/>
  <c r="EF28"/>
  <c r="EL28"/>
  <c r="EM28"/>
  <c r="ES28"/>
  <c r="ET28"/>
  <c r="EZ28"/>
  <c r="FA28"/>
  <c r="FG28"/>
  <c r="FH28"/>
  <c r="FN28"/>
  <c r="FO28"/>
  <c r="FU28"/>
  <c r="FV28"/>
  <c r="GB28"/>
  <c r="GC28"/>
  <c r="GI28"/>
  <c r="GJ28"/>
  <c r="GP28"/>
  <c r="GQ28"/>
  <c r="GW28"/>
  <c r="GX28"/>
  <c r="HD28"/>
  <c r="HE28"/>
  <c r="HK28"/>
  <c r="HL28"/>
  <c r="HR28"/>
  <c r="HS28"/>
  <c r="HY28"/>
  <c r="HZ28"/>
  <c r="IF28"/>
  <c r="IG28"/>
  <c r="IM28"/>
  <c r="IN28"/>
  <c r="IT28"/>
  <c r="IU28"/>
  <c r="JA28"/>
  <c r="JB28"/>
  <c r="JH28"/>
  <c r="JI28"/>
  <c r="JO28"/>
  <c r="JP28"/>
  <c r="JV28"/>
  <c r="JW28"/>
  <c r="KC28"/>
  <c r="KD28"/>
  <c r="KJ28"/>
  <c r="KK28"/>
  <c r="KQ28"/>
  <c r="KR28"/>
  <c r="KX28"/>
  <c r="KY28"/>
  <c r="LE28"/>
  <c r="LF28"/>
  <c r="LL28"/>
  <c r="LM28"/>
  <c r="LS28"/>
  <c r="LT28"/>
  <c r="LZ28"/>
  <c r="MA28"/>
  <c r="MG28"/>
  <c r="MH28"/>
  <c r="MN28"/>
  <c r="MO28"/>
  <c r="MU28"/>
  <c r="MV28"/>
  <c r="NB28"/>
  <c r="NC28"/>
  <c r="NA139" i="2"/>
  <c r="MZ139"/>
  <c r="MY139"/>
  <c r="MX139"/>
  <c r="MW139"/>
  <c r="MV139"/>
  <c r="MU139"/>
  <c r="MT139"/>
  <c r="MS139"/>
  <c r="MR139"/>
  <c r="MQ139"/>
  <c r="MP139"/>
  <c r="MO139"/>
  <c r="MN139"/>
  <c r="MM139"/>
  <c r="ML139"/>
  <c r="MK139"/>
  <c r="MJ139"/>
  <c r="MI139"/>
  <c r="MH139"/>
  <c r="MG139"/>
  <c r="MF139"/>
  <c r="ME139"/>
  <c r="MD139"/>
  <c r="MC139"/>
  <c r="MB139"/>
  <c r="MA139"/>
  <c r="LZ139"/>
  <c r="LY139"/>
  <c r="LX139"/>
  <c r="LW139"/>
  <c r="LV139"/>
  <c r="LU139"/>
  <c r="LT139"/>
  <c r="LS139"/>
  <c r="LR139"/>
  <c r="LQ139"/>
  <c r="LP139"/>
  <c r="LO139"/>
  <c r="LN139"/>
  <c r="LM139"/>
  <c r="LL139"/>
  <c r="LK139"/>
  <c r="LJ139"/>
  <c r="LI139"/>
  <c r="LH139"/>
  <c r="LG139"/>
  <c r="LF139"/>
  <c r="LE139"/>
  <c r="LD139"/>
  <c r="LC139"/>
  <c r="LB139"/>
  <c r="LA139"/>
  <c r="KZ139"/>
  <c r="KY139"/>
  <c r="KX139"/>
  <c r="KW139"/>
  <c r="KV139"/>
  <c r="KU139"/>
  <c r="KT139"/>
  <c r="KS139"/>
  <c r="KR139"/>
  <c r="KQ139"/>
  <c r="KP139"/>
  <c r="KO139"/>
  <c r="KN139"/>
  <c r="KM139"/>
  <c r="KL139"/>
  <c r="KK139"/>
  <c r="KJ139"/>
  <c r="KI139"/>
  <c r="KH139"/>
  <c r="KG139"/>
  <c r="KF139"/>
  <c r="KE139"/>
  <c r="KD139"/>
  <c r="KC139"/>
  <c r="KB139"/>
  <c r="KA139"/>
  <c r="JZ139"/>
  <c r="JY139"/>
  <c r="JX139"/>
  <c r="JW139"/>
  <c r="JV139"/>
  <c r="JU139"/>
  <c r="JT139"/>
  <c r="JS139"/>
  <c r="JR139"/>
  <c r="JQ139"/>
  <c r="JP139"/>
  <c r="JO139"/>
  <c r="JN139"/>
  <c r="JM139"/>
  <c r="JL139"/>
  <c r="JK139"/>
  <c r="JJ139"/>
  <c r="JI139"/>
  <c r="JH139"/>
  <c r="JG139"/>
  <c r="JF139"/>
  <c r="JE139"/>
  <c r="JD139"/>
  <c r="JC139"/>
  <c r="JB139"/>
  <c r="JA139"/>
  <c r="IZ139"/>
  <c r="IY139"/>
  <c r="IX139"/>
  <c r="IW139"/>
  <c r="IV139"/>
  <c r="IU139"/>
  <c r="IT139"/>
  <c r="IS139"/>
  <c r="IR139"/>
  <c r="IQ139"/>
  <c r="IP139"/>
  <c r="IO139"/>
  <c r="ND17" i="15" s="1"/>
  <c r="IN139" i="2"/>
  <c r="IM139"/>
  <c r="IL139"/>
  <c r="NA17" i="15" s="1"/>
  <c r="IK139" i="2"/>
  <c r="MZ17" i="15" s="1"/>
  <c r="IJ139" i="2"/>
  <c r="MY17" i="15" s="1"/>
  <c r="II139" i="2"/>
  <c r="MX17" i="15" s="1"/>
  <c r="IH139" i="2"/>
  <c r="MW17" i="15" s="1"/>
  <c r="IG139" i="2"/>
  <c r="IF139"/>
  <c r="IE139"/>
  <c r="MT17" i="15" s="1"/>
  <c r="ID139" i="2"/>
  <c r="MS17" i="15" s="1"/>
  <c r="IC139" i="2"/>
  <c r="MR17" i="15" s="1"/>
  <c r="IB139" i="2"/>
  <c r="MQ17" i="15" s="1"/>
  <c r="IA139" i="2"/>
  <c r="MP17" i="15" s="1"/>
  <c r="HZ139" i="2"/>
  <c r="HY139"/>
  <c r="HX139"/>
  <c r="MM17" i="15" s="1"/>
  <c r="HW139" i="2"/>
  <c r="ML17" i="15" s="1"/>
  <c r="HV139" i="2"/>
  <c r="MK17" i="15" s="1"/>
  <c r="HU139" i="2"/>
  <c r="MJ17" i="15" s="1"/>
  <c r="HT139" i="2"/>
  <c r="MI17" i="15" s="1"/>
  <c r="HS139" i="2"/>
  <c r="HR139"/>
  <c r="HQ139"/>
  <c r="MF17" i="15" s="1"/>
  <c r="HP139" i="2"/>
  <c r="ME17" i="15" s="1"/>
  <c r="HO139" i="2"/>
  <c r="MD17" i="15" s="1"/>
  <c r="HN139" i="2"/>
  <c r="MC17" i="15" s="1"/>
  <c r="HM139" i="2"/>
  <c r="MB17" i="15" s="1"/>
  <c r="HJ139" i="2"/>
  <c r="LY17" i="15" s="1"/>
  <c r="HI139" i="2"/>
  <c r="LX17" i="15" s="1"/>
  <c r="HH139" i="2"/>
  <c r="LW17" i="15" s="1"/>
  <c r="HG139" i="2"/>
  <c r="LV17" i="15" s="1"/>
  <c r="HF139" i="2"/>
  <c r="LU17" i="15" s="1"/>
  <c r="HE139" i="2"/>
  <c r="HD139"/>
  <c r="HC139"/>
  <c r="LR17" i="15" s="1"/>
  <c r="HB139" i="2"/>
  <c r="LQ17" i="15" s="1"/>
  <c r="HA139" i="2"/>
  <c r="LP17" i="15" s="1"/>
  <c r="GZ139" i="2"/>
  <c r="LO17" i="15" s="1"/>
  <c r="GY139" i="2"/>
  <c r="LN17" i="15" s="1"/>
  <c r="GX139" i="2"/>
  <c r="GW139"/>
  <c r="GV139"/>
  <c r="GU139"/>
  <c r="GT139"/>
  <c r="GS139"/>
  <c r="GR139"/>
  <c r="GQ139"/>
  <c r="GP139"/>
  <c r="GO139"/>
  <c r="GN139"/>
  <c r="GM139"/>
  <c r="GL139"/>
  <c r="GK139"/>
  <c r="GJ139"/>
  <c r="GI139"/>
  <c r="GH139"/>
  <c r="GG139"/>
  <c r="GF139"/>
  <c r="GE139"/>
  <c r="GD139"/>
  <c r="GC139"/>
  <c r="GB139"/>
  <c r="GA139"/>
  <c r="FZ139"/>
  <c r="FY139"/>
  <c r="FX139"/>
  <c r="FW139"/>
  <c r="FT139"/>
  <c r="FS139"/>
  <c r="FR139"/>
  <c r="FQ139"/>
  <c r="FP139"/>
  <c r="FM139"/>
  <c r="FL139"/>
  <c r="FK139"/>
  <c r="FJ139"/>
  <c r="FI139"/>
  <c r="FF139"/>
  <c r="FE139"/>
  <c r="FD139"/>
  <c r="FC139"/>
  <c r="FB139"/>
  <c r="EY139"/>
  <c r="EX139"/>
  <c r="EW139"/>
  <c r="EV139"/>
  <c r="EU139"/>
  <c r="ER139"/>
  <c r="EQ139"/>
  <c r="EP139"/>
  <c r="EO139"/>
  <c r="EN139"/>
  <c r="EK139"/>
  <c r="EJ139"/>
  <c r="EI139"/>
  <c r="EH139"/>
  <c r="EG139"/>
  <c r="ED139"/>
  <c r="EC139"/>
  <c r="EC17" i="15" s="1"/>
  <c r="EB139" i="2"/>
  <c r="EA139"/>
  <c r="EA17" i="15" s="1"/>
  <c r="DZ139" i="2"/>
  <c r="DW139"/>
  <c r="DW17" i="15" s="1"/>
  <c r="DV139" i="2"/>
  <c r="DU139"/>
  <c r="DU17" i="15" s="1"/>
  <c r="DT139" i="2"/>
  <c r="DS139"/>
  <c r="DS17" i="15" s="1"/>
  <c r="DP139" i="2"/>
  <c r="DO139"/>
  <c r="DN139"/>
  <c r="DM139"/>
  <c r="DL139"/>
  <c r="DI139"/>
  <c r="DH139"/>
  <c r="DG139"/>
  <c r="DF139"/>
  <c r="DE139"/>
  <c r="NA122"/>
  <c r="MZ122"/>
  <c r="MY122"/>
  <c r="MX122"/>
  <c r="MW122"/>
  <c r="MV122"/>
  <c r="MU122"/>
  <c r="MT122"/>
  <c r="MS122"/>
  <c r="MR122"/>
  <c r="MQ122"/>
  <c r="MP122"/>
  <c r="MO122"/>
  <c r="MN122"/>
  <c r="MM122"/>
  <c r="ML122"/>
  <c r="MK122"/>
  <c r="MJ122"/>
  <c r="MI122"/>
  <c r="MH122"/>
  <c r="MG122"/>
  <c r="MF122"/>
  <c r="ME122"/>
  <c r="MD122"/>
  <c r="MC122"/>
  <c r="MB122"/>
  <c r="MA122"/>
  <c r="LZ122"/>
  <c r="LY122"/>
  <c r="LX122"/>
  <c r="LW122"/>
  <c r="LV122"/>
  <c r="LU122"/>
  <c r="LT122"/>
  <c r="LS122"/>
  <c r="LR122"/>
  <c r="LQ122"/>
  <c r="LP122"/>
  <c r="LO122"/>
  <c r="LN122"/>
  <c r="LM122"/>
  <c r="LL122"/>
  <c r="LK122"/>
  <c r="LJ122"/>
  <c r="LI122"/>
  <c r="LH122"/>
  <c r="LG122"/>
  <c r="LF122"/>
  <c r="LE122"/>
  <c r="LD122"/>
  <c r="LC122"/>
  <c r="LB122"/>
  <c r="LA122"/>
  <c r="KZ122"/>
  <c r="KY122"/>
  <c r="KX122"/>
  <c r="KW122"/>
  <c r="KV122"/>
  <c r="KU122"/>
  <c r="KT122"/>
  <c r="KS122"/>
  <c r="KR122"/>
  <c r="KQ122"/>
  <c r="KP122"/>
  <c r="KO122"/>
  <c r="KN122"/>
  <c r="KM122"/>
  <c r="KL122"/>
  <c r="KK122"/>
  <c r="KJ122"/>
  <c r="KI122"/>
  <c r="KH122"/>
  <c r="KG122"/>
  <c r="KF122"/>
  <c r="KE122"/>
  <c r="KD122"/>
  <c r="KC122"/>
  <c r="KB122"/>
  <c r="KA122"/>
  <c r="JZ122"/>
  <c r="JY122"/>
  <c r="JX122"/>
  <c r="JW122"/>
  <c r="JV122"/>
  <c r="JU122"/>
  <c r="JT122"/>
  <c r="JS122"/>
  <c r="JR122"/>
  <c r="JQ122"/>
  <c r="JP122"/>
  <c r="JO122"/>
  <c r="JN122"/>
  <c r="JM122"/>
  <c r="JL122"/>
  <c r="JK122"/>
  <c r="JJ122"/>
  <c r="JI122"/>
  <c r="JH122"/>
  <c r="JG122"/>
  <c r="JF122"/>
  <c r="JE122"/>
  <c r="JD122"/>
  <c r="JC122"/>
  <c r="JB122"/>
  <c r="JA122"/>
  <c r="IZ122"/>
  <c r="IY122"/>
  <c r="IX122"/>
  <c r="IW122"/>
  <c r="IV122"/>
  <c r="IU122"/>
  <c r="IT122"/>
  <c r="IS122"/>
  <c r="IR122"/>
  <c r="IQ122"/>
  <c r="IP122"/>
  <c r="IO122"/>
  <c r="ND16" i="15" s="1"/>
  <c r="IN122" i="2"/>
  <c r="IM122"/>
  <c r="IL122"/>
  <c r="NA16" i="15" s="1"/>
  <c r="IK122" i="2"/>
  <c r="MZ16" i="15" s="1"/>
  <c r="IJ122" i="2"/>
  <c r="MY16" i="15" s="1"/>
  <c r="II122" i="2"/>
  <c r="MX16" i="15" s="1"/>
  <c r="IH122" i="2"/>
  <c r="MW16" i="15" s="1"/>
  <c r="IG122" i="2"/>
  <c r="IF122"/>
  <c r="IE122"/>
  <c r="MT16" i="15" s="1"/>
  <c r="ID122" i="2"/>
  <c r="MS16" i="15" s="1"/>
  <c r="IC122" i="2"/>
  <c r="MR16" i="15" s="1"/>
  <c r="IB122" i="2"/>
  <c r="MQ16" i="15" s="1"/>
  <c r="IA122" i="2"/>
  <c r="MP16" i="15" s="1"/>
  <c r="HZ122" i="2"/>
  <c r="HY122"/>
  <c r="HX122"/>
  <c r="MM16" i="15" s="1"/>
  <c r="HW122" i="2"/>
  <c r="ML16" i="15" s="1"/>
  <c r="HV122" i="2"/>
  <c r="MK16" i="15" s="1"/>
  <c r="HU122" i="2"/>
  <c r="MJ16" i="15" s="1"/>
  <c r="HT122" i="2"/>
  <c r="MI16" i="15" s="1"/>
  <c r="HS122" i="2"/>
  <c r="HR122"/>
  <c r="HQ122"/>
  <c r="MF16" i="15" s="1"/>
  <c r="HP122" i="2"/>
  <c r="ME16" i="15" s="1"/>
  <c r="HO122" i="2"/>
  <c r="MD16" i="15" s="1"/>
  <c r="HN122" i="2"/>
  <c r="MC16" i="15" s="1"/>
  <c r="HM122" i="2"/>
  <c r="MB16" i="15" s="1"/>
  <c r="HJ122" i="2"/>
  <c r="LY16" i="15" s="1"/>
  <c r="HI122" i="2"/>
  <c r="LX16" i="15" s="1"/>
  <c r="HH122" i="2"/>
  <c r="LW16" i="15" s="1"/>
  <c r="HG122" i="2"/>
  <c r="LV16" i="15" s="1"/>
  <c r="HF122" i="2"/>
  <c r="LU16" i="15" s="1"/>
  <c r="HE122" i="2"/>
  <c r="HD122"/>
  <c r="HC122"/>
  <c r="LR16" i="15" s="1"/>
  <c r="HB122" i="2"/>
  <c r="LQ16" i="15" s="1"/>
  <c r="HA122" i="2"/>
  <c r="LP16" i="15" s="1"/>
  <c r="GZ122" i="2"/>
  <c r="LO16" i="15" s="1"/>
  <c r="GY122" i="2"/>
  <c r="LN16" i="15" s="1"/>
  <c r="GX122" i="2"/>
  <c r="GW122"/>
  <c r="GV122"/>
  <c r="GU122"/>
  <c r="GT122"/>
  <c r="GS122"/>
  <c r="GR122"/>
  <c r="GQ122"/>
  <c r="GP122"/>
  <c r="GO122"/>
  <c r="GN122"/>
  <c r="GM122"/>
  <c r="GL122"/>
  <c r="GK122"/>
  <c r="GJ122"/>
  <c r="GI122"/>
  <c r="GH122"/>
  <c r="GG122"/>
  <c r="GF122"/>
  <c r="GE122"/>
  <c r="GD122"/>
  <c r="GC122"/>
  <c r="GB122"/>
  <c r="GA122"/>
  <c r="FZ122"/>
  <c r="FY122"/>
  <c r="FX122"/>
  <c r="FW122"/>
  <c r="FT122"/>
  <c r="FS122"/>
  <c r="FR122"/>
  <c r="FQ122"/>
  <c r="FP122"/>
  <c r="FM122"/>
  <c r="FL122"/>
  <c r="FK122"/>
  <c r="FJ122"/>
  <c r="FI122"/>
  <c r="FF122"/>
  <c r="FE122"/>
  <c r="FD122"/>
  <c r="FC122"/>
  <c r="FB122"/>
  <c r="EY122"/>
  <c r="EX122"/>
  <c r="EW122"/>
  <c r="EV122"/>
  <c r="EU122"/>
  <c r="ER122"/>
  <c r="EQ122"/>
  <c r="EP122"/>
  <c r="EO122"/>
  <c r="EK122"/>
  <c r="EJ122"/>
  <c r="EI122"/>
  <c r="EH122"/>
  <c r="EG122"/>
  <c r="ED122"/>
  <c r="ED16" i="15" s="1"/>
  <c r="EC122" i="2"/>
  <c r="EB122"/>
  <c r="EB16" i="15" s="1"/>
  <c r="EA122" i="2"/>
  <c r="DZ122"/>
  <c r="DZ16" i="15" s="1"/>
  <c r="DW122" i="2"/>
  <c r="DV122"/>
  <c r="DV16" i="15" s="1"/>
  <c r="DU122" i="2"/>
  <c r="DT122"/>
  <c r="DT16" i="15" s="1"/>
  <c r="DS122" i="2"/>
  <c r="DP122"/>
  <c r="DO122"/>
  <c r="DN122"/>
  <c r="DM122"/>
  <c r="DL122"/>
  <c r="DI122"/>
  <c r="DH122"/>
  <c r="DG122"/>
  <c r="DF122"/>
  <c r="DE122"/>
  <c r="NA105"/>
  <c r="MZ105"/>
  <c r="MY105"/>
  <c r="MX105"/>
  <c r="MW105"/>
  <c r="MV105"/>
  <c r="MU105"/>
  <c r="MT105"/>
  <c r="MS105"/>
  <c r="MR105"/>
  <c r="MQ105"/>
  <c r="MP105"/>
  <c r="MO105"/>
  <c r="MN105"/>
  <c r="MM105"/>
  <c r="ML105"/>
  <c r="MK105"/>
  <c r="MJ105"/>
  <c r="MI105"/>
  <c r="MH105"/>
  <c r="MG105"/>
  <c r="MF105"/>
  <c r="ME105"/>
  <c r="MD105"/>
  <c r="MC105"/>
  <c r="MB105"/>
  <c r="MA105"/>
  <c r="LZ105"/>
  <c r="LY105"/>
  <c r="LX105"/>
  <c r="LW105"/>
  <c r="LV105"/>
  <c r="LU105"/>
  <c r="LT105"/>
  <c r="LS105"/>
  <c r="LR105"/>
  <c r="LQ105"/>
  <c r="LP105"/>
  <c r="LO105"/>
  <c r="LN105"/>
  <c r="LM105"/>
  <c r="LL105"/>
  <c r="LK105"/>
  <c r="LJ105"/>
  <c r="LI105"/>
  <c r="LH105"/>
  <c r="LG105"/>
  <c r="LF105"/>
  <c r="LE105"/>
  <c r="LD105"/>
  <c r="LC105"/>
  <c r="LB105"/>
  <c r="LA105"/>
  <c r="KZ105"/>
  <c r="KY105"/>
  <c r="KX105"/>
  <c r="KW105"/>
  <c r="KV105"/>
  <c r="KU105"/>
  <c r="KT105"/>
  <c r="KS105"/>
  <c r="KR105"/>
  <c r="KQ105"/>
  <c r="KP105"/>
  <c r="KO105"/>
  <c r="KN105"/>
  <c r="KM105"/>
  <c r="KL105"/>
  <c r="KK105"/>
  <c r="KJ105"/>
  <c r="KI105"/>
  <c r="KH105"/>
  <c r="KG105"/>
  <c r="KF105"/>
  <c r="KE105"/>
  <c r="KD105"/>
  <c r="KC105"/>
  <c r="KB105"/>
  <c r="KA105"/>
  <c r="JZ105"/>
  <c r="JY105"/>
  <c r="JX105"/>
  <c r="JW105"/>
  <c r="JV105"/>
  <c r="JU105"/>
  <c r="JT105"/>
  <c r="JS105"/>
  <c r="JR105"/>
  <c r="JQ105"/>
  <c r="JP105"/>
  <c r="JO105"/>
  <c r="JN105"/>
  <c r="JM105"/>
  <c r="JL105"/>
  <c r="JK105"/>
  <c r="JJ105"/>
  <c r="JI105"/>
  <c r="JH105"/>
  <c r="JG105"/>
  <c r="JF105"/>
  <c r="JE105"/>
  <c r="JD105"/>
  <c r="JC105"/>
  <c r="JB105"/>
  <c r="JA105"/>
  <c r="IZ105"/>
  <c r="IY105"/>
  <c r="IX105"/>
  <c r="IW105"/>
  <c r="IV105"/>
  <c r="IU105"/>
  <c r="IT105"/>
  <c r="IS105"/>
  <c r="IR105"/>
  <c r="IQ105"/>
  <c r="IP105"/>
  <c r="IO105"/>
  <c r="ND15" i="15" s="1"/>
  <c r="IN105" i="2"/>
  <c r="IM105"/>
  <c r="IL105"/>
  <c r="NA15" i="15" s="1"/>
  <c r="IK105" i="2"/>
  <c r="MZ15" i="15" s="1"/>
  <c r="IJ105" i="2"/>
  <c r="MY15" i="15" s="1"/>
  <c r="II105" i="2"/>
  <c r="MX15" i="15" s="1"/>
  <c r="IH105" i="2"/>
  <c r="MW15" i="15" s="1"/>
  <c r="IG105" i="2"/>
  <c r="IF105"/>
  <c r="IE105"/>
  <c r="MT15" i="15" s="1"/>
  <c r="ID105" i="2"/>
  <c r="MS15" i="15" s="1"/>
  <c r="IC105" i="2"/>
  <c r="MR15" i="15" s="1"/>
  <c r="IB105" i="2"/>
  <c r="MQ15" i="15" s="1"/>
  <c r="IA105" i="2"/>
  <c r="MP15" i="15" s="1"/>
  <c r="HZ105" i="2"/>
  <c r="HY105"/>
  <c r="HX105"/>
  <c r="MM15" i="15" s="1"/>
  <c r="HW105" i="2"/>
  <c r="ML15" i="15" s="1"/>
  <c r="HV105" i="2"/>
  <c r="MK15" i="15" s="1"/>
  <c r="HU105" i="2"/>
  <c r="MJ15" i="15" s="1"/>
  <c r="HT105" i="2"/>
  <c r="MI15" i="15" s="1"/>
  <c r="HS105" i="2"/>
  <c r="HR105"/>
  <c r="HQ105"/>
  <c r="MF15" i="15" s="1"/>
  <c r="HP105" i="2"/>
  <c r="ME15" i="15" s="1"/>
  <c r="HO105" i="2"/>
  <c r="MD15" i="15" s="1"/>
  <c r="HN105" i="2"/>
  <c r="MC15" i="15" s="1"/>
  <c r="HM105" i="2"/>
  <c r="MB15" i="15" s="1"/>
  <c r="HJ105" i="2"/>
  <c r="LY15" i="15" s="1"/>
  <c r="HI105" i="2"/>
  <c r="LX15" i="15" s="1"/>
  <c r="HH105" i="2"/>
  <c r="LW15" i="15" s="1"/>
  <c r="HG105" i="2"/>
  <c r="LV15" i="15" s="1"/>
  <c r="HF105" i="2"/>
  <c r="LU15" i="15" s="1"/>
  <c r="HE105" i="2"/>
  <c r="HD105"/>
  <c r="HC105"/>
  <c r="LR15" i="15" s="1"/>
  <c r="HB105" i="2"/>
  <c r="LQ15" i="15" s="1"/>
  <c r="HA105" i="2"/>
  <c r="LP15" i="15" s="1"/>
  <c r="GZ105" i="2"/>
  <c r="LO15" i="15" s="1"/>
  <c r="GY105" i="2"/>
  <c r="LN15" i="15" s="1"/>
  <c r="GX105" i="2"/>
  <c r="GW105"/>
  <c r="GV105"/>
  <c r="GU105"/>
  <c r="GT105"/>
  <c r="GS105"/>
  <c r="GR105"/>
  <c r="GQ105"/>
  <c r="GP105"/>
  <c r="GO105"/>
  <c r="GN105"/>
  <c r="GM105"/>
  <c r="GL105"/>
  <c r="GK105"/>
  <c r="GJ105"/>
  <c r="GI105"/>
  <c r="GH105"/>
  <c r="GG105"/>
  <c r="GF105"/>
  <c r="GE105"/>
  <c r="GD105"/>
  <c r="GC105"/>
  <c r="GB105"/>
  <c r="GA105"/>
  <c r="FZ105"/>
  <c r="FY105"/>
  <c r="FX105"/>
  <c r="FW105"/>
  <c r="FT105"/>
  <c r="FS105"/>
  <c r="FR105"/>
  <c r="FQ105"/>
  <c r="FP105"/>
  <c r="FM105"/>
  <c r="FL105"/>
  <c r="FK105"/>
  <c r="FJ105"/>
  <c r="FI105"/>
  <c r="FF105"/>
  <c r="FE105"/>
  <c r="FD105"/>
  <c r="FC105"/>
  <c r="FB105"/>
  <c r="EY105"/>
  <c r="EX105"/>
  <c r="EW105"/>
  <c r="EV105"/>
  <c r="EU105"/>
  <c r="ER105"/>
  <c r="EQ105"/>
  <c r="EP105"/>
  <c r="EO105"/>
  <c r="EN105"/>
  <c r="EK105"/>
  <c r="EJ105"/>
  <c r="EI105"/>
  <c r="EH105"/>
  <c r="EG105"/>
  <c r="ED105"/>
  <c r="EC105"/>
  <c r="EB105"/>
  <c r="EA105"/>
  <c r="DZ105"/>
  <c r="DW105"/>
  <c r="DV105"/>
  <c r="DU105"/>
  <c r="DT105"/>
  <c r="DS105"/>
  <c r="DP105"/>
  <c r="DO105"/>
  <c r="DN105"/>
  <c r="DM105"/>
  <c r="DL105"/>
  <c r="DI105"/>
  <c r="DH105"/>
  <c r="DG105"/>
  <c r="DF105"/>
  <c r="DE105"/>
  <c r="NA88"/>
  <c r="MZ88"/>
  <c r="MY88"/>
  <c r="MX88"/>
  <c r="MW88"/>
  <c r="MV88"/>
  <c r="MU88"/>
  <c r="MT88"/>
  <c r="MS88"/>
  <c r="MR88"/>
  <c r="MQ88"/>
  <c r="MP88"/>
  <c r="MO88"/>
  <c r="MN88"/>
  <c r="MM88"/>
  <c r="ML88"/>
  <c r="MK88"/>
  <c r="MJ88"/>
  <c r="MI88"/>
  <c r="MH88"/>
  <c r="MG88"/>
  <c r="MF88"/>
  <c r="ME88"/>
  <c r="MD88"/>
  <c r="MC88"/>
  <c r="MB88"/>
  <c r="MA88"/>
  <c r="LZ88"/>
  <c r="LY88"/>
  <c r="LX88"/>
  <c r="LW88"/>
  <c r="LV88"/>
  <c r="LU88"/>
  <c r="LT88"/>
  <c r="LS88"/>
  <c r="LR88"/>
  <c r="LQ88"/>
  <c r="LP88"/>
  <c r="LO88"/>
  <c r="LN88"/>
  <c r="LM88"/>
  <c r="LL88"/>
  <c r="LK88"/>
  <c r="LJ88"/>
  <c r="LI88"/>
  <c r="LH88"/>
  <c r="LG88"/>
  <c r="LF88"/>
  <c r="LE88"/>
  <c r="LD88"/>
  <c r="LC88"/>
  <c r="LB88"/>
  <c r="LA88"/>
  <c r="KZ88"/>
  <c r="KY88"/>
  <c r="KX88"/>
  <c r="KW88"/>
  <c r="KV88"/>
  <c r="KU88"/>
  <c r="KT88"/>
  <c r="KS88"/>
  <c r="KR88"/>
  <c r="KQ88"/>
  <c r="KP88"/>
  <c r="KO88"/>
  <c r="KN88"/>
  <c r="KM88"/>
  <c r="KL88"/>
  <c r="KK88"/>
  <c r="KJ88"/>
  <c r="KI88"/>
  <c r="KH88"/>
  <c r="KG88"/>
  <c r="KF88"/>
  <c r="KE88"/>
  <c r="KD88"/>
  <c r="KC88"/>
  <c r="KB88"/>
  <c r="KA88"/>
  <c r="JZ88"/>
  <c r="JY88"/>
  <c r="JX88"/>
  <c r="JW88"/>
  <c r="JV88"/>
  <c r="JU88"/>
  <c r="JT88"/>
  <c r="JS88"/>
  <c r="JR88"/>
  <c r="JQ88"/>
  <c r="JP88"/>
  <c r="JO88"/>
  <c r="JN88"/>
  <c r="JM88"/>
  <c r="JL88"/>
  <c r="JK88"/>
  <c r="JJ88"/>
  <c r="JI88"/>
  <c r="JH88"/>
  <c r="JG88"/>
  <c r="JF88"/>
  <c r="JE88"/>
  <c r="JD88"/>
  <c r="JC88"/>
  <c r="JB88"/>
  <c r="JA88"/>
  <c r="IZ88"/>
  <c r="IY88"/>
  <c r="IX88"/>
  <c r="IW88"/>
  <c r="IV88"/>
  <c r="IU88"/>
  <c r="IT88"/>
  <c r="IS88"/>
  <c r="IR88"/>
  <c r="IQ88"/>
  <c r="IP88"/>
  <c r="IO88"/>
  <c r="ND14" i="15" s="1"/>
  <c r="IN88" i="2"/>
  <c r="IM88"/>
  <c r="IL88"/>
  <c r="NA14" i="15" s="1"/>
  <c r="IK88" i="2"/>
  <c r="MZ14" i="15" s="1"/>
  <c r="IJ88" i="2"/>
  <c r="MY14" i="15" s="1"/>
  <c r="II88" i="2"/>
  <c r="MX14" i="15" s="1"/>
  <c r="IH88" i="2"/>
  <c r="MW14" i="15" s="1"/>
  <c r="IG88" i="2"/>
  <c r="IF88"/>
  <c r="IE88"/>
  <c r="MT14" i="15" s="1"/>
  <c r="ID88" i="2"/>
  <c r="MS14" i="15" s="1"/>
  <c r="IC88" i="2"/>
  <c r="MR14" i="15" s="1"/>
  <c r="IB88" i="2"/>
  <c r="MQ14" i="15" s="1"/>
  <c r="IA88" i="2"/>
  <c r="MP14" i="15" s="1"/>
  <c r="HZ88" i="2"/>
  <c r="HY88"/>
  <c r="HX88"/>
  <c r="MM14" i="15" s="1"/>
  <c r="HW88" i="2"/>
  <c r="ML14" i="15" s="1"/>
  <c r="HV88" i="2"/>
  <c r="MK14" i="15" s="1"/>
  <c r="HU88" i="2"/>
  <c r="MJ14" i="15" s="1"/>
  <c r="HT88" i="2"/>
  <c r="MI14" i="15" s="1"/>
  <c r="HS88" i="2"/>
  <c r="HR88"/>
  <c r="HQ88"/>
  <c r="MF14" i="15" s="1"/>
  <c r="HP88" i="2"/>
  <c r="ME14" i="15" s="1"/>
  <c r="HO88" i="2"/>
  <c r="MD14" i="15" s="1"/>
  <c r="HN88" i="2"/>
  <c r="MC14" i="15" s="1"/>
  <c r="HM88" i="2"/>
  <c r="MB14" i="15" s="1"/>
  <c r="HJ88" i="2"/>
  <c r="LY14" i="15" s="1"/>
  <c r="HI88" i="2"/>
  <c r="LX14" i="15" s="1"/>
  <c r="HH88" i="2"/>
  <c r="LW14" i="15" s="1"/>
  <c r="HG88" i="2"/>
  <c r="LV14" i="15" s="1"/>
  <c r="HF88" i="2"/>
  <c r="LU14" i="15" s="1"/>
  <c r="HE88" i="2"/>
  <c r="HD88"/>
  <c r="HC88"/>
  <c r="LR14" i="15" s="1"/>
  <c r="HB88" i="2"/>
  <c r="LQ14" i="15" s="1"/>
  <c r="HA88" i="2"/>
  <c r="LP14" i="15" s="1"/>
  <c r="GZ88" i="2"/>
  <c r="LO14" i="15" s="1"/>
  <c r="GY88" i="2"/>
  <c r="LN14" i="15" s="1"/>
  <c r="GX88" i="2"/>
  <c r="GW88"/>
  <c r="GV88"/>
  <c r="GU88"/>
  <c r="GT88"/>
  <c r="GS88"/>
  <c r="GR88"/>
  <c r="GQ88"/>
  <c r="GP88"/>
  <c r="GO88"/>
  <c r="GN88"/>
  <c r="GM88"/>
  <c r="GL88"/>
  <c r="GK88"/>
  <c r="GJ88"/>
  <c r="GI88"/>
  <c r="GH88"/>
  <c r="GG88"/>
  <c r="GF88"/>
  <c r="GE88"/>
  <c r="GD88"/>
  <c r="GC88"/>
  <c r="GB88"/>
  <c r="GA88"/>
  <c r="FZ88"/>
  <c r="FY88"/>
  <c r="FX88"/>
  <c r="FW88"/>
  <c r="FT88"/>
  <c r="FS88"/>
  <c r="FR88"/>
  <c r="FQ88"/>
  <c r="FP88"/>
  <c r="FM88"/>
  <c r="FL88"/>
  <c r="FK88"/>
  <c r="FJ88"/>
  <c r="FI88"/>
  <c r="FF88"/>
  <c r="FE88"/>
  <c r="FD88"/>
  <c r="FC88"/>
  <c r="FB88"/>
  <c r="EY88"/>
  <c r="EX88"/>
  <c r="EW88"/>
  <c r="EV88"/>
  <c r="EU88"/>
  <c r="ER88"/>
  <c r="EQ88"/>
  <c r="EP88"/>
  <c r="EO88"/>
  <c r="EN88"/>
  <c r="EK88"/>
  <c r="EJ88"/>
  <c r="EI88"/>
  <c r="EH88"/>
  <c r="EG88"/>
  <c r="ED88"/>
  <c r="EC88"/>
  <c r="EB88"/>
  <c r="EA88"/>
  <c r="DZ88"/>
  <c r="DW88"/>
  <c r="DV88"/>
  <c r="DU88"/>
  <c r="DT88"/>
  <c r="DS88"/>
  <c r="DP88"/>
  <c r="DO88"/>
  <c r="DN88"/>
  <c r="DM88"/>
  <c r="DL88"/>
  <c r="DI88"/>
  <c r="DH88"/>
  <c r="DG88"/>
  <c r="DF88"/>
  <c r="DE88"/>
  <c r="NA71"/>
  <c r="MZ71"/>
  <c r="MY71"/>
  <c r="MX71"/>
  <c r="MW71"/>
  <c r="MV71"/>
  <c r="MU71"/>
  <c r="MT71"/>
  <c r="MS71"/>
  <c r="MR71"/>
  <c r="MQ71"/>
  <c r="MP71"/>
  <c r="MO71"/>
  <c r="MN71"/>
  <c r="MM71"/>
  <c r="ML71"/>
  <c r="MK71"/>
  <c r="MJ71"/>
  <c r="MI71"/>
  <c r="MH71"/>
  <c r="MG71"/>
  <c r="MF71"/>
  <c r="ME71"/>
  <c r="MD71"/>
  <c r="MC71"/>
  <c r="MB71"/>
  <c r="MA71"/>
  <c r="LZ71"/>
  <c r="LY71"/>
  <c r="LX71"/>
  <c r="LW71"/>
  <c r="LV71"/>
  <c r="LU71"/>
  <c r="LT71"/>
  <c r="LS71"/>
  <c r="LR71"/>
  <c r="LQ71"/>
  <c r="LP71"/>
  <c r="LO71"/>
  <c r="LN71"/>
  <c r="LM71"/>
  <c r="LL71"/>
  <c r="LK71"/>
  <c r="LJ71"/>
  <c r="LI71"/>
  <c r="LH71"/>
  <c r="LG71"/>
  <c r="LF71"/>
  <c r="LE71"/>
  <c r="LD71"/>
  <c r="LC71"/>
  <c r="LB71"/>
  <c r="LA71"/>
  <c r="KZ71"/>
  <c r="KY71"/>
  <c r="KX71"/>
  <c r="KW71"/>
  <c r="KV71"/>
  <c r="KU71"/>
  <c r="KT71"/>
  <c r="KS71"/>
  <c r="KR71"/>
  <c r="KQ71"/>
  <c r="KP71"/>
  <c r="KO71"/>
  <c r="KN71"/>
  <c r="KM71"/>
  <c r="KL71"/>
  <c r="KK71"/>
  <c r="KJ71"/>
  <c r="KI71"/>
  <c r="KH71"/>
  <c r="KG71"/>
  <c r="KF71"/>
  <c r="KE71"/>
  <c r="KD71"/>
  <c r="KC71"/>
  <c r="KB71"/>
  <c r="KA71"/>
  <c r="JZ71"/>
  <c r="JY71"/>
  <c r="JX71"/>
  <c r="JW71"/>
  <c r="JV71"/>
  <c r="JU71"/>
  <c r="JT71"/>
  <c r="JS71"/>
  <c r="JR71"/>
  <c r="JQ71"/>
  <c r="JP71"/>
  <c r="JO71"/>
  <c r="JN71"/>
  <c r="JM71"/>
  <c r="JL71"/>
  <c r="JK71"/>
  <c r="JJ71"/>
  <c r="JI71"/>
  <c r="JH71"/>
  <c r="JG71"/>
  <c r="JF71"/>
  <c r="JE71"/>
  <c r="JD71"/>
  <c r="JC71"/>
  <c r="JB71"/>
  <c r="JA71"/>
  <c r="IZ71"/>
  <c r="IY71"/>
  <c r="IX71"/>
  <c r="IW71"/>
  <c r="IV71"/>
  <c r="IU71"/>
  <c r="IT71"/>
  <c r="IS71"/>
  <c r="IR71"/>
  <c r="IQ71"/>
  <c r="IP71"/>
  <c r="IO71"/>
  <c r="ND13" i="15" s="1"/>
  <c r="IN71" i="2"/>
  <c r="IM71"/>
  <c r="IL71"/>
  <c r="NA13" i="15" s="1"/>
  <c r="IK71" i="2"/>
  <c r="MZ13" i="15" s="1"/>
  <c r="IJ71" i="2"/>
  <c r="MY13" i="15" s="1"/>
  <c r="II71" i="2"/>
  <c r="MX13" i="15" s="1"/>
  <c r="IH71" i="2"/>
  <c r="MW13" i="15" s="1"/>
  <c r="IG71" i="2"/>
  <c r="IF71"/>
  <c r="IE71"/>
  <c r="MT13" i="15" s="1"/>
  <c r="ID71" i="2"/>
  <c r="MS13" i="15" s="1"/>
  <c r="IC71" i="2"/>
  <c r="MR13" i="15" s="1"/>
  <c r="IB71" i="2"/>
  <c r="MQ13" i="15" s="1"/>
  <c r="IA71" i="2"/>
  <c r="MP13" i="15" s="1"/>
  <c r="HZ71" i="2"/>
  <c r="HY71"/>
  <c r="HX71"/>
  <c r="MM13" i="15" s="1"/>
  <c r="HW71" i="2"/>
  <c r="ML13" i="15" s="1"/>
  <c r="HV71" i="2"/>
  <c r="MK13" i="15" s="1"/>
  <c r="HU71" i="2"/>
  <c r="MJ13" i="15" s="1"/>
  <c r="HT71" i="2"/>
  <c r="MI13" i="15" s="1"/>
  <c r="HS71" i="2"/>
  <c r="HR71"/>
  <c r="HQ71"/>
  <c r="MF13" i="15" s="1"/>
  <c r="HP71" i="2"/>
  <c r="ME13" i="15" s="1"/>
  <c r="HO71" i="2"/>
  <c r="MD13" i="15" s="1"/>
  <c r="HN71" i="2"/>
  <c r="MC13" i="15" s="1"/>
  <c r="HM71" i="2"/>
  <c r="MB13" i="15" s="1"/>
  <c r="HJ71" i="2"/>
  <c r="LY13" i="15" s="1"/>
  <c r="HI71" i="2"/>
  <c r="LX13" i="15" s="1"/>
  <c r="HH71" i="2"/>
  <c r="LW13" i="15" s="1"/>
  <c r="HG71" i="2"/>
  <c r="LV13" i="15" s="1"/>
  <c r="HF71" i="2"/>
  <c r="LU13" i="15" s="1"/>
  <c r="HE71" i="2"/>
  <c r="HD71"/>
  <c r="HC71"/>
  <c r="LR13" i="15" s="1"/>
  <c r="HB71" i="2"/>
  <c r="LQ13" i="15" s="1"/>
  <c r="HA71" i="2"/>
  <c r="LP13" i="15" s="1"/>
  <c r="GZ71" i="2"/>
  <c r="LO13" i="15" s="1"/>
  <c r="GY71" i="2"/>
  <c r="LN13" i="15" s="1"/>
  <c r="GX71" i="2"/>
  <c r="GW71"/>
  <c r="GV71"/>
  <c r="GU71"/>
  <c r="GT71"/>
  <c r="GS71"/>
  <c r="GR71"/>
  <c r="GQ71"/>
  <c r="GP71"/>
  <c r="GO71"/>
  <c r="GN71"/>
  <c r="GM71"/>
  <c r="GL71"/>
  <c r="GK71"/>
  <c r="GJ71"/>
  <c r="GI71"/>
  <c r="GH71"/>
  <c r="GG71"/>
  <c r="GF71"/>
  <c r="GE71"/>
  <c r="GD71"/>
  <c r="GC71"/>
  <c r="GB71"/>
  <c r="GA71"/>
  <c r="FZ71"/>
  <c r="FY71"/>
  <c r="FX71"/>
  <c r="FW71"/>
  <c r="FT71"/>
  <c r="FS71"/>
  <c r="FR71"/>
  <c r="FQ71"/>
  <c r="FP71"/>
  <c r="FM71"/>
  <c r="FL71"/>
  <c r="FK71"/>
  <c r="FJ71"/>
  <c r="FI71"/>
  <c r="FF71"/>
  <c r="FE71"/>
  <c r="FD71"/>
  <c r="FC71"/>
  <c r="FB71"/>
  <c r="EY71"/>
  <c r="EX71"/>
  <c r="EW71"/>
  <c r="EV71"/>
  <c r="EU71"/>
  <c r="ER71"/>
  <c r="EQ71"/>
  <c r="EP71"/>
  <c r="EO71"/>
  <c r="EN71"/>
  <c r="EK71"/>
  <c r="EJ71"/>
  <c r="EI71"/>
  <c r="EH71"/>
  <c r="EG71"/>
  <c r="ED71"/>
  <c r="EC71"/>
  <c r="EB71"/>
  <c r="EA71"/>
  <c r="DZ71"/>
  <c r="DW71"/>
  <c r="DV71"/>
  <c r="DU71"/>
  <c r="DT71"/>
  <c r="DS71"/>
  <c r="DP71"/>
  <c r="DO71"/>
  <c r="DN71"/>
  <c r="DM71"/>
  <c r="DL71"/>
  <c r="DI71"/>
  <c r="DH71"/>
  <c r="DG71"/>
  <c r="DF71"/>
  <c r="DE71"/>
  <c r="NA54"/>
  <c r="MZ54"/>
  <c r="MY54"/>
  <c r="MX54"/>
  <c r="MW54"/>
  <c r="MV54"/>
  <c r="MU54"/>
  <c r="MT54"/>
  <c r="MS54"/>
  <c r="MR54"/>
  <c r="MQ54"/>
  <c r="MP54"/>
  <c r="MO54"/>
  <c r="MN54"/>
  <c r="MM54"/>
  <c r="ML54"/>
  <c r="MK54"/>
  <c r="MJ54"/>
  <c r="MI54"/>
  <c r="MH54"/>
  <c r="MG54"/>
  <c r="MF54"/>
  <c r="ME54"/>
  <c r="MD54"/>
  <c r="MC54"/>
  <c r="MB54"/>
  <c r="MA54"/>
  <c r="LZ54"/>
  <c r="LY54"/>
  <c r="LX54"/>
  <c r="LW54"/>
  <c r="LV54"/>
  <c r="LU54"/>
  <c r="LT54"/>
  <c r="LS54"/>
  <c r="LR54"/>
  <c r="LQ54"/>
  <c r="LP54"/>
  <c r="LO54"/>
  <c r="LN54"/>
  <c r="LM54"/>
  <c r="LL54"/>
  <c r="LK54"/>
  <c r="LJ54"/>
  <c r="LI54"/>
  <c r="LH54"/>
  <c r="LG54"/>
  <c r="LF54"/>
  <c r="LE54"/>
  <c r="LD54"/>
  <c r="LC54"/>
  <c r="LB54"/>
  <c r="LA54"/>
  <c r="KZ54"/>
  <c r="KY54"/>
  <c r="KX54"/>
  <c r="KW54"/>
  <c r="KV54"/>
  <c r="KU54"/>
  <c r="KT54"/>
  <c r="KS54"/>
  <c r="KR54"/>
  <c r="KQ54"/>
  <c r="KP54"/>
  <c r="KO54"/>
  <c r="KN54"/>
  <c r="KM54"/>
  <c r="KL54"/>
  <c r="KK54"/>
  <c r="KJ54"/>
  <c r="KI54"/>
  <c r="KH54"/>
  <c r="KG54"/>
  <c r="KF54"/>
  <c r="KE54"/>
  <c r="KD54"/>
  <c r="KC54"/>
  <c r="KB54"/>
  <c r="KA54"/>
  <c r="JZ54"/>
  <c r="JY54"/>
  <c r="JX54"/>
  <c r="JW54"/>
  <c r="JV54"/>
  <c r="JU54"/>
  <c r="JT54"/>
  <c r="JS54"/>
  <c r="JR54"/>
  <c r="JQ54"/>
  <c r="JP54"/>
  <c r="JO54"/>
  <c r="JN54"/>
  <c r="JM54"/>
  <c r="JL54"/>
  <c r="JK54"/>
  <c r="JJ54"/>
  <c r="JI54"/>
  <c r="JH54"/>
  <c r="JG54"/>
  <c r="JF54"/>
  <c r="JE54"/>
  <c r="JD54"/>
  <c r="JC54"/>
  <c r="JB54"/>
  <c r="JA54"/>
  <c r="IZ54"/>
  <c r="IY54"/>
  <c r="IX54"/>
  <c r="IW54"/>
  <c r="IV54"/>
  <c r="IU54"/>
  <c r="IT54"/>
  <c r="IS54"/>
  <c r="IR54"/>
  <c r="IQ54"/>
  <c r="IP54"/>
  <c r="IO54"/>
  <c r="ND12" i="15" s="1"/>
  <c r="IN54" i="2"/>
  <c r="IM54"/>
  <c r="IL54"/>
  <c r="NA12" i="15" s="1"/>
  <c r="IK54" i="2"/>
  <c r="MZ12" i="15" s="1"/>
  <c r="IJ54" i="2"/>
  <c r="MY12" i="15" s="1"/>
  <c r="II54" i="2"/>
  <c r="MX12" i="15" s="1"/>
  <c r="IH54" i="2"/>
  <c r="MW12" i="15" s="1"/>
  <c r="IG54" i="2"/>
  <c r="IF54"/>
  <c r="IE54"/>
  <c r="MT12" i="15" s="1"/>
  <c r="ID54" i="2"/>
  <c r="MS12" i="15" s="1"/>
  <c r="IC54" i="2"/>
  <c r="MR12" i="15" s="1"/>
  <c r="IB54" i="2"/>
  <c r="MQ12" i="15" s="1"/>
  <c r="IA54" i="2"/>
  <c r="MP12" i="15" s="1"/>
  <c r="HZ54" i="2"/>
  <c r="HY54"/>
  <c r="HX54"/>
  <c r="MM12" i="15" s="1"/>
  <c r="HW54" i="2"/>
  <c r="ML12" i="15" s="1"/>
  <c r="HV54" i="2"/>
  <c r="MK12" i="15" s="1"/>
  <c r="HU54" i="2"/>
  <c r="MJ12" i="15" s="1"/>
  <c r="HT54" i="2"/>
  <c r="MI12" i="15" s="1"/>
  <c r="HS54" i="2"/>
  <c r="HR54"/>
  <c r="HQ54"/>
  <c r="MF12" i="15" s="1"/>
  <c r="HP54" i="2"/>
  <c r="ME12" i="15" s="1"/>
  <c r="HO54" i="2"/>
  <c r="MD12" i="15" s="1"/>
  <c r="HN54" i="2"/>
  <c r="MC12" i="15" s="1"/>
  <c r="HM54" i="2"/>
  <c r="MB12" i="15" s="1"/>
  <c r="HJ54" i="2"/>
  <c r="LY12" i="15" s="1"/>
  <c r="HI54" i="2"/>
  <c r="LX12" i="15" s="1"/>
  <c r="HH54" i="2"/>
  <c r="LW12" i="15" s="1"/>
  <c r="HG54" i="2"/>
  <c r="LV12" i="15" s="1"/>
  <c r="HF54" i="2"/>
  <c r="LU12" i="15" s="1"/>
  <c r="HE54" i="2"/>
  <c r="HD54"/>
  <c r="HC54"/>
  <c r="LR12" i="15" s="1"/>
  <c r="HB54" i="2"/>
  <c r="LQ12" i="15" s="1"/>
  <c r="HA54" i="2"/>
  <c r="LP12" i="15" s="1"/>
  <c r="GZ54" i="2"/>
  <c r="LO12" i="15" s="1"/>
  <c r="GY54" i="2"/>
  <c r="LN12" i="15" s="1"/>
  <c r="GX54" i="2"/>
  <c r="GW54"/>
  <c r="GV54"/>
  <c r="GU54"/>
  <c r="GT54"/>
  <c r="GS54"/>
  <c r="GR54"/>
  <c r="GQ54"/>
  <c r="GP54"/>
  <c r="GO54"/>
  <c r="GN54"/>
  <c r="GM54"/>
  <c r="GL54"/>
  <c r="GK54"/>
  <c r="GJ54"/>
  <c r="GI54"/>
  <c r="GH54"/>
  <c r="GG54"/>
  <c r="GF54"/>
  <c r="GE54"/>
  <c r="GD54"/>
  <c r="GC54"/>
  <c r="GB54"/>
  <c r="GA54"/>
  <c r="FZ54"/>
  <c r="FY54"/>
  <c r="FX54"/>
  <c r="FW54"/>
  <c r="FT54"/>
  <c r="FS54"/>
  <c r="FR54"/>
  <c r="FQ54"/>
  <c r="FP54"/>
  <c r="FM54"/>
  <c r="FL54"/>
  <c r="FK54"/>
  <c r="FJ54"/>
  <c r="FI54"/>
  <c r="FF54"/>
  <c r="FE54"/>
  <c r="FD54"/>
  <c r="FC54"/>
  <c r="FB54"/>
  <c r="EY54"/>
  <c r="EX54"/>
  <c r="EW54"/>
  <c r="EV54"/>
  <c r="EU54"/>
  <c r="ER54"/>
  <c r="EQ54"/>
  <c r="EP54"/>
  <c r="EO54"/>
  <c r="EN54"/>
  <c r="EK54"/>
  <c r="EJ54"/>
  <c r="EI54"/>
  <c r="EH54"/>
  <c r="EG54"/>
  <c r="ED54"/>
  <c r="EC54"/>
  <c r="EB54"/>
  <c r="EA54"/>
  <c r="DZ54"/>
  <c r="DW54"/>
  <c r="DV54"/>
  <c r="DU54"/>
  <c r="DT54"/>
  <c r="DS54"/>
  <c r="DP54"/>
  <c r="DO54"/>
  <c r="DN54"/>
  <c r="DM54"/>
  <c r="DL54"/>
  <c r="DI54"/>
  <c r="DH54"/>
  <c r="DG54"/>
  <c r="DF54"/>
  <c r="DE54"/>
  <c r="NA37"/>
  <c r="MZ37"/>
  <c r="MY37"/>
  <c r="MX37"/>
  <c r="MW37"/>
  <c r="MV37"/>
  <c r="MU37"/>
  <c r="MT37"/>
  <c r="MS37"/>
  <c r="MR37"/>
  <c r="MQ37"/>
  <c r="MP37"/>
  <c r="MO37"/>
  <c r="MN37"/>
  <c r="MM37"/>
  <c r="ML37"/>
  <c r="MK37"/>
  <c r="MJ37"/>
  <c r="MI37"/>
  <c r="MH37"/>
  <c r="MG37"/>
  <c r="MF37"/>
  <c r="ME37"/>
  <c r="MD37"/>
  <c r="MC37"/>
  <c r="MB37"/>
  <c r="MA37"/>
  <c r="LZ37"/>
  <c r="LY37"/>
  <c r="LX37"/>
  <c r="LW37"/>
  <c r="LV37"/>
  <c r="LU37"/>
  <c r="LT37"/>
  <c r="LS37"/>
  <c r="LR37"/>
  <c r="LQ37"/>
  <c r="LP37"/>
  <c r="LO37"/>
  <c r="LN37"/>
  <c r="LM37"/>
  <c r="LL37"/>
  <c r="LK37"/>
  <c r="LJ37"/>
  <c r="LI37"/>
  <c r="LH37"/>
  <c r="LG37"/>
  <c r="LF37"/>
  <c r="LE37"/>
  <c r="LD37"/>
  <c r="LC37"/>
  <c r="LB37"/>
  <c r="LA37"/>
  <c r="KZ37"/>
  <c r="KY37"/>
  <c r="KX37"/>
  <c r="KW37"/>
  <c r="KV37"/>
  <c r="KU37"/>
  <c r="KT37"/>
  <c r="KS37"/>
  <c r="KR37"/>
  <c r="KQ37"/>
  <c r="KP37"/>
  <c r="KO37"/>
  <c r="KN37"/>
  <c r="KM37"/>
  <c r="KL37"/>
  <c r="KK37"/>
  <c r="KJ37"/>
  <c r="KI37"/>
  <c r="KH37"/>
  <c r="KG37"/>
  <c r="KF37"/>
  <c r="KE37"/>
  <c r="KD37"/>
  <c r="KC37"/>
  <c r="KB37"/>
  <c r="KA37"/>
  <c r="JZ37"/>
  <c r="JY37"/>
  <c r="JX37"/>
  <c r="JW37"/>
  <c r="JV37"/>
  <c r="JU37"/>
  <c r="JT37"/>
  <c r="JS37"/>
  <c r="JR37"/>
  <c r="JQ37"/>
  <c r="JP37"/>
  <c r="JO37"/>
  <c r="JN37"/>
  <c r="JM37"/>
  <c r="JL37"/>
  <c r="JK37"/>
  <c r="JJ37"/>
  <c r="JI37"/>
  <c r="JH37"/>
  <c r="JG37"/>
  <c r="JF37"/>
  <c r="JE37"/>
  <c r="JD37"/>
  <c r="JC37"/>
  <c r="JB37"/>
  <c r="JA37"/>
  <c r="IZ37"/>
  <c r="IY37"/>
  <c r="IX37"/>
  <c r="IW37"/>
  <c r="IV37"/>
  <c r="IU37"/>
  <c r="IT37"/>
  <c r="IS37"/>
  <c r="IR37"/>
  <c r="IQ37"/>
  <c r="IP37"/>
  <c r="IO37"/>
  <c r="ND11" i="15" s="1"/>
  <c r="IN37" i="2"/>
  <c r="IM37"/>
  <c r="IL37"/>
  <c r="NA11" i="15" s="1"/>
  <c r="IK37" i="2"/>
  <c r="MZ11" i="15" s="1"/>
  <c r="IJ37" i="2"/>
  <c r="MY11" i="15" s="1"/>
  <c r="II37" i="2"/>
  <c r="MX11" i="15" s="1"/>
  <c r="IH37" i="2"/>
  <c r="MW11" i="15" s="1"/>
  <c r="IG37" i="2"/>
  <c r="IF37"/>
  <c r="IE37"/>
  <c r="MT11" i="15" s="1"/>
  <c r="ID37" i="2"/>
  <c r="MS11" i="15" s="1"/>
  <c r="IC37" i="2"/>
  <c r="MR11" i="15" s="1"/>
  <c r="IB37" i="2"/>
  <c r="MQ11" i="15" s="1"/>
  <c r="IA37" i="2"/>
  <c r="MP11" i="15" s="1"/>
  <c r="HZ37" i="2"/>
  <c r="HY37"/>
  <c r="HX37"/>
  <c r="MM11" i="15" s="1"/>
  <c r="HW37" i="2"/>
  <c r="ML11" i="15" s="1"/>
  <c r="HV37" i="2"/>
  <c r="MK11" i="15" s="1"/>
  <c r="HU37" i="2"/>
  <c r="MJ11" i="15" s="1"/>
  <c r="HT37" i="2"/>
  <c r="MI11" i="15" s="1"/>
  <c r="HS37" i="2"/>
  <c r="HR37"/>
  <c r="HQ37"/>
  <c r="MF11" i="15" s="1"/>
  <c r="HP37" i="2"/>
  <c r="ME11" i="15" s="1"/>
  <c r="HO37" i="2"/>
  <c r="MD11" i="15" s="1"/>
  <c r="HN37" i="2"/>
  <c r="MC11" i="15" s="1"/>
  <c r="HM37" i="2"/>
  <c r="MB11" i="15" s="1"/>
  <c r="HJ37" i="2"/>
  <c r="LY11" i="15" s="1"/>
  <c r="HI37" i="2"/>
  <c r="LX11" i="15" s="1"/>
  <c r="HH37" i="2"/>
  <c r="LW11" i="15" s="1"/>
  <c r="HG37" i="2"/>
  <c r="LV11" i="15" s="1"/>
  <c r="HF37" i="2"/>
  <c r="LU11" i="15" s="1"/>
  <c r="HE37" i="2"/>
  <c r="HD37"/>
  <c r="HC37"/>
  <c r="LR11" i="15" s="1"/>
  <c r="HB37" i="2"/>
  <c r="LQ11" i="15" s="1"/>
  <c r="HA37" i="2"/>
  <c r="LP11" i="15" s="1"/>
  <c r="GZ37" i="2"/>
  <c r="LO11" i="15" s="1"/>
  <c r="GY37" i="2"/>
  <c r="LN11" i="15" s="1"/>
  <c r="GX37" i="2"/>
  <c r="GW37"/>
  <c r="GV37"/>
  <c r="GU37"/>
  <c r="GT37"/>
  <c r="GS37"/>
  <c r="GR37"/>
  <c r="GQ37"/>
  <c r="GP37"/>
  <c r="GO37"/>
  <c r="GN37"/>
  <c r="GM37"/>
  <c r="GL37"/>
  <c r="GK37"/>
  <c r="GJ37"/>
  <c r="GI37"/>
  <c r="GH37"/>
  <c r="GG37"/>
  <c r="GF37"/>
  <c r="GE37"/>
  <c r="GD37"/>
  <c r="GC37"/>
  <c r="GB37"/>
  <c r="GA37"/>
  <c r="FZ37"/>
  <c r="FY37"/>
  <c r="FX37"/>
  <c r="FW37"/>
  <c r="FT37"/>
  <c r="FS37"/>
  <c r="FR37"/>
  <c r="FQ37"/>
  <c r="FP37"/>
  <c r="FM37"/>
  <c r="FL37"/>
  <c r="FK37"/>
  <c r="FJ37"/>
  <c r="FI37"/>
  <c r="FF37"/>
  <c r="FE37"/>
  <c r="FD37"/>
  <c r="FC37"/>
  <c r="FB37"/>
  <c r="EY37"/>
  <c r="EX37"/>
  <c r="EW37"/>
  <c r="EV37"/>
  <c r="EU37"/>
  <c r="ER37"/>
  <c r="EQ37"/>
  <c r="EP37"/>
  <c r="EO37"/>
  <c r="EN37"/>
  <c r="EK37"/>
  <c r="EJ37"/>
  <c r="EI37"/>
  <c r="EH37"/>
  <c r="EG37"/>
  <c r="ED37"/>
  <c r="EC37"/>
  <c r="EB37"/>
  <c r="EA37"/>
  <c r="DZ37"/>
  <c r="DW37"/>
  <c r="DV37"/>
  <c r="DU37"/>
  <c r="DT37"/>
  <c r="DS37"/>
  <c r="DP37"/>
  <c r="DO37"/>
  <c r="DN37"/>
  <c r="DM37"/>
  <c r="DL37"/>
  <c r="DI37"/>
  <c r="DH37"/>
  <c r="DG37"/>
  <c r="DF37"/>
  <c r="DE37"/>
  <c r="NA20"/>
  <c r="MZ20"/>
  <c r="MY20"/>
  <c r="MX20"/>
  <c r="MW20"/>
  <c r="MV20"/>
  <c r="MU20"/>
  <c r="MT20"/>
  <c r="MS20"/>
  <c r="MR20"/>
  <c r="MQ20"/>
  <c r="MP20"/>
  <c r="MO20"/>
  <c r="MN20"/>
  <c r="MM20"/>
  <c r="ML20"/>
  <c r="MK20"/>
  <c r="MJ20"/>
  <c r="MI20"/>
  <c r="MH20"/>
  <c r="MG20"/>
  <c r="MF20"/>
  <c r="ME20"/>
  <c r="MD20"/>
  <c r="MC20"/>
  <c r="MB20"/>
  <c r="MA20"/>
  <c r="LZ20"/>
  <c r="LY20"/>
  <c r="LX20"/>
  <c r="LW20"/>
  <c r="LV20"/>
  <c r="LU20"/>
  <c r="LT20"/>
  <c r="LS20"/>
  <c r="LR20"/>
  <c r="LQ20"/>
  <c r="LP20"/>
  <c r="LO20"/>
  <c r="LN20"/>
  <c r="LM20"/>
  <c r="LL20"/>
  <c r="LK20"/>
  <c r="LJ20"/>
  <c r="LI20"/>
  <c r="LH20"/>
  <c r="LG20"/>
  <c r="LF20"/>
  <c r="LE20"/>
  <c r="LD20"/>
  <c r="LC20"/>
  <c r="LB20"/>
  <c r="LA20"/>
  <c r="KZ20"/>
  <c r="KY20"/>
  <c r="KX20"/>
  <c r="KW20"/>
  <c r="KV20"/>
  <c r="KU20"/>
  <c r="KT20"/>
  <c r="KS20"/>
  <c r="KR20"/>
  <c r="KQ20"/>
  <c r="KP20"/>
  <c r="KO20"/>
  <c r="KN20"/>
  <c r="KM20"/>
  <c r="KL20"/>
  <c r="KK20"/>
  <c r="KJ20"/>
  <c r="KI20"/>
  <c r="KH20"/>
  <c r="KG20"/>
  <c r="KF20"/>
  <c r="KE20"/>
  <c r="KD20"/>
  <c r="KC20"/>
  <c r="KB20"/>
  <c r="KA20"/>
  <c r="JZ20"/>
  <c r="JY20"/>
  <c r="JX20"/>
  <c r="JW20"/>
  <c r="JV20"/>
  <c r="JU20"/>
  <c r="JT20"/>
  <c r="JS20"/>
  <c r="JR20"/>
  <c r="JQ20"/>
  <c r="JP20"/>
  <c r="JO20"/>
  <c r="JN20"/>
  <c r="JM20"/>
  <c r="JL20"/>
  <c r="JK20"/>
  <c r="JJ20"/>
  <c r="JI20"/>
  <c r="JH20"/>
  <c r="JG20"/>
  <c r="JF20"/>
  <c r="JE20"/>
  <c r="JD20"/>
  <c r="JC20"/>
  <c r="JB20"/>
  <c r="JA20"/>
  <c r="IZ20"/>
  <c r="IY20"/>
  <c r="IX20"/>
  <c r="IW20"/>
  <c r="IV20"/>
  <c r="IU20"/>
  <c r="IT20"/>
  <c r="IS20"/>
  <c r="IR20"/>
  <c r="IQ20"/>
  <c r="IP20"/>
  <c r="IO20"/>
  <c r="ND10" i="15" s="1"/>
  <c r="IN20" i="2"/>
  <c r="IM20"/>
  <c r="IL20"/>
  <c r="NA10" i="15" s="1"/>
  <c r="IK20" i="2"/>
  <c r="MZ10" i="15" s="1"/>
  <c r="IJ20" i="2"/>
  <c r="MY10" i="15" s="1"/>
  <c r="II20" i="2"/>
  <c r="MX10" i="15" s="1"/>
  <c r="IH20" i="2"/>
  <c r="MW10" i="15" s="1"/>
  <c r="IG20" i="2"/>
  <c r="IF20"/>
  <c r="IE20"/>
  <c r="MT10" i="15" s="1"/>
  <c r="ID20" i="2"/>
  <c r="MS10" i="15" s="1"/>
  <c r="IC20" i="2"/>
  <c r="MR10" i="15" s="1"/>
  <c r="IB20" i="2"/>
  <c r="MQ10" i="15" s="1"/>
  <c r="IA20" i="2"/>
  <c r="MP10" i="15" s="1"/>
  <c r="HZ20" i="2"/>
  <c r="HY20"/>
  <c r="HX20"/>
  <c r="MM10" i="15" s="1"/>
  <c r="HW20" i="2"/>
  <c r="ML10" i="15" s="1"/>
  <c r="HV20" i="2"/>
  <c r="MK10" i="15" s="1"/>
  <c r="HU20" i="2"/>
  <c r="MJ10" i="15" s="1"/>
  <c r="HT20" i="2"/>
  <c r="MI10" i="15" s="1"/>
  <c r="HS20" i="2"/>
  <c r="HR20"/>
  <c r="HQ20"/>
  <c r="MF10" i="15" s="1"/>
  <c r="HP20" i="2"/>
  <c r="ME10" i="15" s="1"/>
  <c r="HO20" i="2"/>
  <c r="MD10" i="15" s="1"/>
  <c r="HN20" i="2"/>
  <c r="MC10" i="15" s="1"/>
  <c r="HM20" i="2"/>
  <c r="MB10" i="15" s="1"/>
  <c r="HI20" i="2"/>
  <c r="LX10" i="15" s="1"/>
  <c r="HH20" i="2"/>
  <c r="LW10" i="15" s="1"/>
  <c r="HG20" i="2"/>
  <c r="LV10" i="15" s="1"/>
  <c r="HF20" i="2"/>
  <c r="LU10" i="15" s="1"/>
  <c r="HE20" i="2"/>
  <c r="HD20"/>
  <c r="HC20"/>
  <c r="LR10" i="15" s="1"/>
  <c r="HB20" i="2"/>
  <c r="LQ10" i="15" s="1"/>
  <c r="HA20" i="2"/>
  <c r="LP10" i="15" s="1"/>
  <c r="GZ20" i="2"/>
  <c r="LO10" i="15" s="1"/>
  <c r="GY20" i="2"/>
  <c r="LN10" i="15" s="1"/>
  <c r="GX20" i="2"/>
  <c r="GW20"/>
  <c r="GV20"/>
  <c r="GU20"/>
  <c r="GT20"/>
  <c r="GS20"/>
  <c r="GR20"/>
  <c r="GQ20"/>
  <c r="GP20"/>
  <c r="GO20"/>
  <c r="GN20"/>
  <c r="GM20"/>
  <c r="GL20"/>
  <c r="GK20"/>
  <c r="GJ20"/>
  <c r="GI20"/>
  <c r="GH20"/>
  <c r="GG20"/>
  <c r="GF20"/>
  <c r="GE20"/>
  <c r="GD20"/>
  <c r="GC20"/>
  <c r="GB20"/>
  <c r="GA20"/>
  <c r="FZ20"/>
  <c r="FY20"/>
  <c r="FX20"/>
  <c r="FW20"/>
  <c r="FT20"/>
  <c r="FS20"/>
  <c r="FR20"/>
  <c r="FQ20"/>
  <c r="FP20"/>
  <c r="FM20"/>
  <c r="FL20"/>
  <c r="FK20"/>
  <c r="FJ20"/>
  <c r="FI20"/>
  <c r="FF20"/>
  <c r="FE20"/>
  <c r="FD20"/>
  <c r="FC20"/>
  <c r="FB20"/>
  <c r="EY20"/>
  <c r="EX20"/>
  <c r="EW20"/>
  <c r="EV20"/>
  <c r="EU20"/>
  <c r="ER20"/>
  <c r="EQ20"/>
  <c r="EP20"/>
  <c r="EO20"/>
  <c r="EN20"/>
  <c r="EK20"/>
  <c r="EJ20"/>
  <c r="EI20"/>
  <c r="EH20"/>
  <c r="EG20"/>
  <c r="ED20"/>
  <c r="EC20"/>
  <c r="EB20"/>
  <c r="EA20"/>
  <c r="DZ20"/>
  <c r="DW20"/>
  <c r="DV20"/>
  <c r="DU20"/>
  <c r="DT20"/>
  <c r="DS20"/>
  <c r="DP20"/>
  <c r="DO20"/>
  <c r="DN20"/>
  <c r="DM20"/>
  <c r="DL20"/>
  <c r="DI20"/>
  <c r="DH20"/>
  <c r="DG20"/>
  <c r="DF20"/>
  <c r="DE20"/>
  <c r="AAY12" i="16"/>
  <c r="AAY13"/>
  <c r="AAO10"/>
  <c r="AAO11"/>
  <c r="AAO12"/>
  <c r="AAO13"/>
  <c r="AAO14"/>
  <c r="AAO15"/>
  <c r="AAO16"/>
  <c r="AAQ9"/>
  <c r="AAQ10"/>
  <c r="AAQ11"/>
  <c r="AAQ12"/>
  <c r="AAQ13"/>
  <c r="AAQ14"/>
  <c r="AAQ15"/>
  <c r="AAQ16"/>
  <c r="AAC13"/>
  <c r="AAC14"/>
  <c r="AAC15"/>
  <c r="ZO13"/>
  <c r="ZO14"/>
  <c r="ZO15"/>
  <c r="ZO16"/>
  <c r="ZO17"/>
  <c r="ZQ14"/>
  <c r="ZQ15"/>
  <c r="ZI16"/>
  <c r="ZI17"/>
  <c r="YO17"/>
  <c r="YO18"/>
  <c r="YO19"/>
  <c r="YA8"/>
  <c r="YA9"/>
  <c r="YA10"/>
  <c r="YA11"/>
  <c r="YA12"/>
  <c r="YA13"/>
  <c r="XO21"/>
  <c r="XO20"/>
  <c r="VK6"/>
  <c r="VK7"/>
  <c r="VK8"/>
  <c r="VK9"/>
  <c r="VK10"/>
  <c r="VK11"/>
  <c r="VK12"/>
  <c r="VK13"/>
  <c r="VK14"/>
  <c r="VK15"/>
  <c r="VK16"/>
  <c r="VK17"/>
  <c r="VK18"/>
  <c r="VK19"/>
  <c r="VK20"/>
  <c r="VK21"/>
  <c r="YY5"/>
  <c r="YY6"/>
  <c r="YY7"/>
  <c r="YY8"/>
  <c r="YY9"/>
  <c r="YY10"/>
  <c r="YY11"/>
  <c r="YY12"/>
  <c r="YY13"/>
  <c r="YY14"/>
  <c r="YY15"/>
  <c r="YY16"/>
  <c r="YY17"/>
  <c r="YY18"/>
  <c r="YY19"/>
  <c r="YY20"/>
  <c r="YY21"/>
  <c r="WQ5"/>
  <c r="WQ6"/>
  <c r="WQ7"/>
  <c r="WQ8"/>
  <c r="WQ9"/>
  <c r="WQ10"/>
  <c r="WQ11"/>
  <c r="WQ12"/>
  <c r="WQ13"/>
  <c r="WQ14"/>
  <c r="WQ15"/>
  <c r="WQ16"/>
  <c r="WQ17"/>
  <c r="WQ18"/>
  <c r="WQ19"/>
  <c r="WQ20"/>
  <c r="WQ21"/>
  <c r="VU5"/>
  <c r="VU6"/>
  <c r="VU7"/>
  <c r="VU8"/>
  <c r="VU9"/>
  <c r="VU10"/>
  <c r="VU11"/>
  <c r="VU12"/>
  <c r="VU13"/>
  <c r="VU14"/>
  <c r="VU15"/>
  <c r="VU16"/>
  <c r="VU17"/>
  <c r="VU18"/>
  <c r="VU19"/>
  <c r="VU20"/>
  <c r="VU21"/>
  <c r="WA9"/>
  <c r="WA10"/>
  <c r="WA11"/>
  <c r="WA12"/>
  <c r="WA13"/>
  <c r="WA14"/>
  <c r="WA15"/>
  <c r="WA16"/>
  <c r="WA17"/>
  <c r="WA18"/>
  <c r="VS7"/>
  <c r="VS8"/>
  <c r="VS9"/>
  <c r="VO18"/>
  <c r="HB10" i="15" l="1"/>
  <c r="HJ10"/>
  <c r="HT10"/>
  <c r="IB10"/>
  <c r="DS10"/>
  <c r="IH10"/>
  <c r="DW10"/>
  <c r="IL10"/>
  <c r="IV10"/>
  <c r="EG10"/>
  <c r="IZ10"/>
  <c r="EK10"/>
  <c r="JJ10"/>
  <c r="EU10"/>
  <c r="JR10"/>
  <c r="FC10"/>
  <c r="JZ10"/>
  <c r="FK10"/>
  <c r="KH10"/>
  <c r="FS10"/>
  <c r="KN10"/>
  <c r="FY10"/>
  <c r="KT10"/>
  <c r="GE10"/>
  <c r="KZ10"/>
  <c r="GK10"/>
  <c r="LD10"/>
  <c r="GO10"/>
  <c r="LJ10"/>
  <c r="GU10"/>
  <c r="GZ11"/>
  <c r="HH11"/>
  <c r="HN11"/>
  <c r="HT11"/>
  <c r="HX11"/>
  <c r="DS11"/>
  <c r="IH11"/>
  <c r="DW11"/>
  <c r="IL11"/>
  <c r="EC11"/>
  <c r="IR11"/>
  <c r="IX11"/>
  <c r="EI11"/>
  <c r="JF11"/>
  <c r="EQ11"/>
  <c r="JL11"/>
  <c r="EW11"/>
  <c r="JT11"/>
  <c r="FE11"/>
  <c r="JZ11"/>
  <c r="FK11"/>
  <c r="KH11"/>
  <c r="FS11"/>
  <c r="KN11"/>
  <c r="FY11"/>
  <c r="KV11"/>
  <c r="GG11"/>
  <c r="LB11"/>
  <c r="GM11"/>
  <c r="HB12"/>
  <c r="HH12"/>
  <c r="HN12"/>
  <c r="HV12"/>
  <c r="IB12"/>
  <c r="DU12"/>
  <c r="IJ12"/>
  <c r="EA12"/>
  <c r="IP12"/>
  <c r="IV12"/>
  <c r="EG12"/>
  <c r="IZ12"/>
  <c r="EK12"/>
  <c r="JJ12"/>
  <c r="EU12"/>
  <c r="JN12"/>
  <c r="EY12"/>
  <c r="JT12"/>
  <c r="FE12"/>
  <c r="JZ12"/>
  <c r="FK12"/>
  <c r="KH12"/>
  <c r="FS12"/>
  <c r="KN12"/>
  <c r="FY12"/>
  <c r="KV12"/>
  <c r="GG12"/>
  <c r="KZ12"/>
  <c r="GK12"/>
  <c r="LD12"/>
  <c r="GO12"/>
  <c r="LH12"/>
  <c r="GS12"/>
  <c r="GZ13"/>
  <c r="HH13"/>
  <c r="HN13"/>
  <c r="HT13"/>
  <c r="IB13"/>
  <c r="DS13"/>
  <c r="IH13"/>
  <c r="DW13"/>
  <c r="IL13"/>
  <c r="EC13"/>
  <c r="IR13"/>
  <c r="IX13"/>
  <c r="EI13"/>
  <c r="JD13"/>
  <c r="EO13"/>
  <c r="JL13"/>
  <c r="EW13"/>
  <c r="JR13"/>
  <c r="FC13"/>
  <c r="JZ13"/>
  <c r="FK13"/>
  <c r="KF13"/>
  <c r="FQ13"/>
  <c r="KL13"/>
  <c r="FW13"/>
  <c r="KP13"/>
  <c r="GA13"/>
  <c r="KV13"/>
  <c r="GG13"/>
  <c r="KZ13"/>
  <c r="GK13"/>
  <c r="LD13"/>
  <c r="GO13"/>
  <c r="LJ13"/>
  <c r="GU13"/>
  <c r="GZ14"/>
  <c r="HF14"/>
  <c r="HJ14"/>
  <c r="HT14"/>
  <c r="HX14"/>
  <c r="ID14"/>
  <c r="DU14"/>
  <c r="IJ14"/>
  <c r="EA14"/>
  <c r="IP14"/>
  <c r="IX14"/>
  <c r="EI14"/>
  <c r="JD14"/>
  <c r="EO14"/>
  <c r="JJ14"/>
  <c r="EU14"/>
  <c r="JN14"/>
  <c r="EY14"/>
  <c r="JT14"/>
  <c r="FE14"/>
  <c r="JZ14"/>
  <c r="FK14"/>
  <c r="KH14"/>
  <c r="FS14"/>
  <c r="KN14"/>
  <c r="FY14"/>
  <c r="KT14"/>
  <c r="GE14"/>
  <c r="LB14"/>
  <c r="GM14"/>
  <c r="HB15"/>
  <c r="HJ15"/>
  <c r="HP15"/>
  <c r="HX15"/>
  <c r="ID15"/>
  <c r="DU15"/>
  <c r="IJ15"/>
  <c r="EA15"/>
  <c r="IP15"/>
  <c r="IV15"/>
  <c r="EG15"/>
  <c r="JD15"/>
  <c r="EO15"/>
  <c r="JJ15"/>
  <c r="EU15"/>
  <c r="JN15"/>
  <c r="EY15"/>
  <c r="JT15"/>
  <c r="FE15"/>
  <c r="JZ15"/>
  <c r="FK15"/>
  <c r="KF15"/>
  <c r="FQ15"/>
  <c r="KL15"/>
  <c r="FW15"/>
  <c r="KP15"/>
  <c r="GA15"/>
  <c r="KT15"/>
  <c r="GE15"/>
  <c r="LB15"/>
  <c r="GM15"/>
  <c r="LH15"/>
  <c r="GS15"/>
  <c r="HB16"/>
  <c r="HH16"/>
  <c r="HN16"/>
  <c r="HV16"/>
  <c r="IB16"/>
  <c r="DS16"/>
  <c r="IH16"/>
  <c r="DW16"/>
  <c r="IL16"/>
  <c r="EC16"/>
  <c r="IR16"/>
  <c r="IX16"/>
  <c r="EI16"/>
  <c r="JE16"/>
  <c r="EP16"/>
  <c r="JK16"/>
  <c r="EV16"/>
  <c r="JQ16"/>
  <c r="FB16"/>
  <c r="JU16"/>
  <c r="FF16"/>
  <c r="KA16"/>
  <c r="FL16"/>
  <c r="KG16"/>
  <c r="FR16"/>
  <c r="KM16"/>
  <c r="FX16"/>
  <c r="KU16"/>
  <c r="GF16"/>
  <c r="LC16"/>
  <c r="GN16"/>
  <c r="LG16"/>
  <c r="GR16"/>
  <c r="LK16"/>
  <c r="GV16"/>
  <c r="GY17"/>
  <c r="HA17"/>
  <c r="HC17"/>
  <c r="HG17"/>
  <c r="HI17"/>
  <c r="HM17"/>
  <c r="HO17"/>
  <c r="HQ17"/>
  <c r="HU17"/>
  <c r="HW17"/>
  <c r="IC17"/>
  <c r="IE17"/>
  <c r="DT17"/>
  <c r="II17"/>
  <c r="DV17"/>
  <c r="IK17"/>
  <c r="DZ17"/>
  <c r="IO17"/>
  <c r="EB17"/>
  <c r="IQ17"/>
  <c r="ED17"/>
  <c r="IS17"/>
  <c r="IW17"/>
  <c r="EH17"/>
  <c r="IY17"/>
  <c r="EJ17"/>
  <c r="JC17"/>
  <c r="EN17"/>
  <c r="JE17"/>
  <c r="EP17"/>
  <c r="JG17"/>
  <c r="ER17"/>
  <c r="JK17"/>
  <c r="EV17"/>
  <c r="JM17"/>
  <c r="EX17"/>
  <c r="JQ17"/>
  <c r="FB17"/>
  <c r="JS17"/>
  <c r="FD17"/>
  <c r="JU17"/>
  <c r="FF17"/>
  <c r="JY17"/>
  <c r="FJ17"/>
  <c r="KA17"/>
  <c r="FL17"/>
  <c r="KE17"/>
  <c r="FP17"/>
  <c r="KG17"/>
  <c r="FR17"/>
  <c r="KI17"/>
  <c r="FT17"/>
  <c r="KM17"/>
  <c r="FX17"/>
  <c r="KO17"/>
  <c r="FZ17"/>
  <c r="KS17"/>
  <c r="GD17"/>
  <c r="KU17"/>
  <c r="GF17"/>
  <c r="KW17"/>
  <c r="GH17"/>
  <c r="LA17"/>
  <c r="GL17"/>
  <c r="LC17"/>
  <c r="GN17"/>
  <c r="LG17"/>
  <c r="GR17"/>
  <c r="LI17"/>
  <c r="GT17"/>
  <c r="LK17"/>
  <c r="GV17"/>
  <c r="JC16"/>
  <c r="EN16"/>
  <c r="GZ10"/>
  <c r="HF10"/>
  <c r="HH10"/>
  <c r="HN10"/>
  <c r="HP10"/>
  <c r="HV10"/>
  <c r="HX10"/>
  <c r="ID10"/>
  <c r="DU10"/>
  <c r="IJ10"/>
  <c r="EA10"/>
  <c r="IP10"/>
  <c r="EC10"/>
  <c r="IR10"/>
  <c r="IX10"/>
  <c r="EI10"/>
  <c r="JD10"/>
  <c r="EO10"/>
  <c r="JF10"/>
  <c r="EQ10"/>
  <c r="JL10"/>
  <c r="EW10"/>
  <c r="JN10"/>
  <c r="EY10"/>
  <c r="JT10"/>
  <c r="FE10"/>
  <c r="JX10"/>
  <c r="FI10"/>
  <c r="KB10"/>
  <c r="FM10"/>
  <c r="KF10"/>
  <c r="FQ10"/>
  <c r="KL10"/>
  <c r="FW10"/>
  <c r="KP10"/>
  <c r="GA10"/>
  <c r="KV10"/>
  <c r="GG10"/>
  <c r="LB10"/>
  <c r="GM10"/>
  <c r="LH10"/>
  <c r="GS10"/>
  <c r="HB11"/>
  <c r="HF11"/>
  <c r="HJ11"/>
  <c r="HP11"/>
  <c r="HV11"/>
  <c r="IB11"/>
  <c r="ID11"/>
  <c r="DU11"/>
  <c r="IJ11"/>
  <c r="EA11"/>
  <c r="IP11"/>
  <c r="IV11"/>
  <c r="EG11"/>
  <c r="IZ11"/>
  <c r="EK11"/>
  <c r="JD11"/>
  <c r="EO11"/>
  <c r="JJ11"/>
  <c r="EU11"/>
  <c r="JN11"/>
  <c r="EY11"/>
  <c r="JR11"/>
  <c r="FC11"/>
  <c r="JX11"/>
  <c r="FI11"/>
  <c r="KB11"/>
  <c r="FM11"/>
  <c r="KF11"/>
  <c r="FQ11"/>
  <c r="KL11"/>
  <c r="FW11"/>
  <c r="KP11"/>
  <c r="GA11"/>
  <c r="KT11"/>
  <c r="GE11"/>
  <c r="KZ11"/>
  <c r="GK11"/>
  <c r="LD11"/>
  <c r="GO11"/>
  <c r="LH11"/>
  <c r="GS11"/>
  <c r="LJ11"/>
  <c r="GU11"/>
  <c r="GZ12"/>
  <c r="HF12"/>
  <c r="HJ12"/>
  <c r="HP12"/>
  <c r="HT12"/>
  <c r="HX12"/>
  <c r="ID12"/>
  <c r="DS12"/>
  <c r="IH12"/>
  <c r="DW12"/>
  <c r="IL12"/>
  <c r="EC12"/>
  <c r="IR12"/>
  <c r="IX12"/>
  <c r="EI12"/>
  <c r="JD12"/>
  <c r="EO12"/>
  <c r="JF12"/>
  <c r="EQ12"/>
  <c r="JL12"/>
  <c r="EW12"/>
  <c r="JR12"/>
  <c r="FC12"/>
  <c r="JX12"/>
  <c r="FI12"/>
  <c r="KB12"/>
  <c r="FM12"/>
  <c r="KF12"/>
  <c r="FQ12"/>
  <c r="KL12"/>
  <c r="FW12"/>
  <c r="KP12"/>
  <c r="GA12"/>
  <c r="KT12"/>
  <c r="GE12"/>
  <c r="LB12"/>
  <c r="GM12"/>
  <c r="LJ12"/>
  <c r="GU12"/>
  <c r="HB13"/>
  <c r="HF13"/>
  <c r="HJ13"/>
  <c r="HP13"/>
  <c r="HV13"/>
  <c r="HX13"/>
  <c r="ID13"/>
  <c r="DU13"/>
  <c r="IJ13"/>
  <c r="EA13"/>
  <c r="IP13"/>
  <c r="IV13"/>
  <c r="EG13"/>
  <c r="IZ13"/>
  <c r="EK13"/>
  <c r="JF13"/>
  <c r="EQ13"/>
  <c r="JJ13"/>
  <c r="EU13"/>
  <c r="JN13"/>
  <c r="EY13"/>
  <c r="JT13"/>
  <c r="FE13"/>
  <c r="JX13"/>
  <c r="FI13"/>
  <c r="KB13"/>
  <c r="FM13"/>
  <c r="KH13"/>
  <c r="FS13"/>
  <c r="KN13"/>
  <c r="FY13"/>
  <c r="KT13"/>
  <c r="GE13"/>
  <c r="LB13"/>
  <c r="GM13"/>
  <c r="LH13"/>
  <c r="GS13"/>
  <c r="HB14"/>
  <c r="HH14"/>
  <c r="HN14"/>
  <c r="HP14"/>
  <c r="HV14"/>
  <c r="IB14"/>
  <c r="DS14"/>
  <c r="IH14"/>
  <c r="DW14"/>
  <c r="IL14"/>
  <c r="EC14"/>
  <c r="IR14"/>
  <c r="IV14"/>
  <c r="EG14"/>
  <c r="IZ14"/>
  <c r="EK14"/>
  <c r="JF14"/>
  <c r="EQ14"/>
  <c r="JL14"/>
  <c r="EW14"/>
  <c r="JR14"/>
  <c r="FC14"/>
  <c r="JX14"/>
  <c r="FI14"/>
  <c r="KB14"/>
  <c r="FM14"/>
  <c r="KF14"/>
  <c r="FQ14"/>
  <c r="KL14"/>
  <c r="FW14"/>
  <c r="KP14"/>
  <c r="GA14"/>
  <c r="KV14"/>
  <c r="GG14"/>
  <c r="KZ14"/>
  <c r="GK14"/>
  <c r="LD14"/>
  <c r="GO14"/>
  <c r="LH14"/>
  <c r="GS14"/>
  <c r="LJ14"/>
  <c r="GU14"/>
  <c r="GZ15"/>
  <c r="HF15"/>
  <c r="HH15"/>
  <c r="HN15"/>
  <c r="HT15"/>
  <c r="HV15"/>
  <c r="IB15"/>
  <c r="DS15"/>
  <c r="IH15"/>
  <c r="DW15"/>
  <c r="IL15"/>
  <c r="EC15"/>
  <c r="IR15"/>
  <c r="IX15"/>
  <c r="EI15"/>
  <c r="IZ15"/>
  <c r="EK15"/>
  <c r="JF15"/>
  <c r="EQ15"/>
  <c r="JL15"/>
  <c r="EW15"/>
  <c r="JR15"/>
  <c r="FC15"/>
  <c r="JX15"/>
  <c r="FI15"/>
  <c r="KB15"/>
  <c r="FM15"/>
  <c r="KH15"/>
  <c r="FS15"/>
  <c r="KN15"/>
  <c r="FY15"/>
  <c r="KV15"/>
  <c r="GG15"/>
  <c r="KZ15"/>
  <c r="GK15"/>
  <c r="LD15"/>
  <c r="GO15"/>
  <c r="LJ15"/>
  <c r="GU15"/>
  <c r="GZ16"/>
  <c r="HF16"/>
  <c r="HJ16"/>
  <c r="HP16"/>
  <c r="HT16"/>
  <c r="HX16"/>
  <c r="ID16"/>
  <c r="DU16"/>
  <c r="IJ16"/>
  <c r="EA16"/>
  <c r="IP16"/>
  <c r="IV16"/>
  <c r="EG16"/>
  <c r="IZ16"/>
  <c r="EK16"/>
  <c r="JG16"/>
  <c r="ER16"/>
  <c r="JM16"/>
  <c r="EX16"/>
  <c r="JS16"/>
  <c r="FD16"/>
  <c r="JY16"/>
  <c r="FJ16"/>
  <c r="KE16"/>
  <c r="FP16"/>
  <c r="KI16"/>
  <c r="FT16"/>
  <c r="KO16"/>
  <c r="FZ16"/>
  <c r="KS16"/>
  <c r="GD16"/>
  <c r="KW16"/>
  <c r="GH16"/>
  <c r="LA16"/>
  <c r="GL16"/>
  <c r="LI16"/>
  <c r="GT16"/>
  <c r="IA17"/>
  <c r="GY10"/>
  <c r="HA10"/>
  <c r="HC10"/>
  <c r="HG10"/>
  <c r="HI10"/>
  <c r="HM10"/>
  <c r="HO10"/>
  <c r="HQ10"/>
  <c r="HU10"/>
  <c r="HW10"/>
  <c r="IA10"/>
  <c r="IC10"/>
  <c r="IE10"/>
  <c r="DT10"/>
  <c r="II10"/>
  <c r="DV10"/>
  <c r="IK10"/>
  <c r="DZ10"/>
  <c r="IO10"/>
  <c r="EB10"/>
  <c r="IQ10"/>
  <c r="ED10"/>
  <c r="IS10"/>
  <c r="IW10"/>
  <c r="EH10"/>
  <c r="IY10"/>
  <c r="EJ10"/>
  <c r="JC10"/>
  <c r="EN10"/>
  <c r="JE10"/>
  <c r="EP10"/>
  <c r="JG10"/>
  <c r="ER10"/>
  <c r="JK10"/>
  <c r="EV10"/>
  <c r="JM10"/>
  <c r="EX10"/>
  <c r="JQ10"/>
  <c r="FB10"/>
  <c r="JS10"/>
  <c r="FD10"/>
  <c r="JU10"/>
  <c r="FF10"/>
  <c r="JY10"/>
  <c r="FJ10"/>
  <c r="KA10"/>
  <c r="FL10"/>
  <c r="KE10"/>
  <c r="FP10"/>
  <c r="KG10"/>
  <c r="FR10"/>
  <c r="KI10"/>
  <c r="FT10"/>
  <c r="KM10"/>
  <c r="FX10"/>
  <c r="KO10"/>
  <c r="FZ10"/>
  <c r="KS10"/>
  <c r="GD10"/>
  <c r="KU10"/>
  <c r="GF10"/>
  <c r="KW10"/>
  <c r="GH10"/>
  <c r="LA10"/>
  <c r="GL10"/>
  <c r="LC10"/>
  <c r="GN10"/>
  <c r="LG10"/>
  <c r="GR10"/>
  <c r="LI10"/>
  <c r="GT10"/>
  <c r="LK10"/>
  <c r="GV10"/>
  <c r="GY11"/>
  <c r="HA11"/>
  <c r="HC11"/>
  <c r="HG11"/>
  <c r="HI11"/>
  <c r="HM11"/>
  <c r="HO11"/>
  <c r="HQ11"/>
  <c r="IP17"/>
  <c r="IJ17"/>
  <c r="ID17"/>
  <c r="HX17"/>
  <c r="HT17"/>
  <c r="HN17"/>
  <c r="HH17"/>
  <c r="HB17"/>
  <c r="IS16"/>
  <c r="IO16"/>
  <c r="II16"/>
  <c r="IC16"/>
  <c r="HW16"/>
  <c r="HQ16"/>
  <c r="HM16"/>
  <c r="HG16"/>
  <c r="HA16"/>
  <c r="HU11"/>
  <c r="HW11"/>
  <c r="IA11"/>
  <c r="IC11"/>
  <c r="IE11"/>
  <c r="DT11"/>
  <c r="II11"/>
  <c r="DV11"/>
  <c r="IK11"/>
  <c r="DZ11"/>
  <c r="IO11"/>
  <c r="EB11"/>
  <c r="IQ11"/>
  <c r="ED11"/>
  <c r="IS11"/>
  <c r="IW11"/>
  <c r="EH11"/>
  <c r="IY11"/>
  <c r="EJ11"/>
  <c r="JC11"/>
  <c r="EN11"/>
  <c r="JE11"/>
  <c r="EP11"/>
  <c r="JG11"/>
  <c r="ER11"/>
  <c r="JK11"/>
  <c r="EV11"/>
  <c r="JM11"/>
  <c r="EX11"/>
  <c r="JQ11"/>
  <c r="FB11"/>
  <c r="JS11"/>
  <c r="FD11"/>
  <c r="JU11"/>
  <c r="FF11"/>
  <c r="JY11"/>
  <c r="FJ11"/>
  <c r="KA11"/>
  <c r="FL11"/>
  <c r="KE11"/>
  <c r="FP11"/>
  <c r="KG11"/>
  <c r="FR11"/>
  <c r="KI11"/>
  <c r="FT11"/>
  <c r="KM11"/>
  <c r="FX11"/>
  <c r="KO11"/>
  <c r="FZ11"/>
  <c r="KS11"/>
  <c r="GD11"/>
  <c r="KU11"/>
  <c r="GF11"/>
  <c r="KW11"/>
  <c r="GH11"/>
  <c r="LA11"/>
  <c r="GL11"/>
  <c r="LC11"/>
  <c r="GN11"/>
  <c r="LG11"/>
  <c r="GR11"/>
  <c r="LI11"/>
  <c r="GT11"/>
  <c r="LK11"/>
  <c r="GV11"/>
  <c r="GY12"/>
  <c r="HA12"/>
  <c r="HC12"/>
  <c r="HG12"/>
  <c r="HI12"/>
  <c r="HM12"/>
  <c r="HO12"/>
  <c r="HQ12"/>
  <c r="HU12"/>
  <c r="HW12"/>
  <c r="IA12"/>
  <c r="IC12"/>
  <c r="IE12"/>
  <c r="DT12"/>
  <c r="II12"/>
  <c r="DV12"/>
  <c r="IK12"/>
  <c r="DZ12"/>
  <c r="IO12"/>
  <c r="EB12"/>
  <c r="IQ12"/>
  <c r="ED12"/>
  <c r="IS12"/>
  <c r="IW12"/>
  <c r="EH12"/>
  <c r="IY12"/>
  <c r="EJ12"/>
  <c r="JC12"/>
  <c r="EN12"/>
  <c r="JE12"/>
  <c r="EP12"/>
  <c r="JG12"/>
  <c r="ER12"/>
  <c r="JK12"/>
  <c r="EV12"/>
  <c r="JM12"/>
  <c r="EX12"/>
  <c r="JQ12"/>
  <c r="FB12"/>
  <c r="JS12"/>
  <c r="FD12"/>
  <c r="JU12"/>
  <c r="FF12"/>
  <c r="JY12"/>
  <c r="FJ12"/>
  <c r="KA12"/>
  <c r="FL12"/>
  <c r="KE12"/>
  <c r="FP12"/>
  <c r="KG12"/>
  <c r="FR12"/>
  <c r="KI12"/>
  <c r="FT12"/>
  <c r="KM12"/>
  <c r="FX12"/>
  <c r="KO12"/>
  <c r="FZ12"/>
  <c r="KS12"/>
  <c r="GD12"/>
  <c r="KU12"/>
  <c r="GF12"/>
  <c r="KW12"/>
  <c r="GH12"/>
  <c r="LA12"/>
  <c r="GL12"/>
  <c r="LC12"/>
  <c r="GN12"/>
  <c r="LG12"/>
  <c r="GR12"/>
  <c r="LI12"/>
  <c r="GT12"/>
  <c r="LK12"/>
  <c r="GV12"/>
  <c r="GY13"/>
  <c r="HA13"/>
  <c r="HC13"/>
  <c r="HG13"/>
  <c r="HI13"/>
  <c r="HM13"/>
  <c r="HO13"/>
  <c r="HQ13"/>
  <c r="HU13"/>
  <c r="HW13"/>
  <c r="IA13"/>
  <c r="IC13"/>
  <c r="IE13"/>
  <c r="DT13"/>
  <c r="II13"/>
  <c r="DV13"/>
  <c r="IK13"/>
  <c r="DZ13"/>
  <c r="IO13"/>
  <c r="EB13"/>
  <c r="IQ13"/>
  <c r="ED13"/>
  <c r="IS13"/>
  <c r="IW13"/>
  <c r="EH13"/>
  <c r="IY13"/>
  <c r="EJ13"/>
  <c r="JC13"/>
  <c r="EN13"/>
  <c r="JE13"/>
  <c r="EP13"/>
  <c r="JG13"/>
  <c r="ER13"/>
  <c r="JK13"/>
  <c r="EV13"/>
  <c r="JM13"/>
  <c r="EX13"/>
  <c r="JQ13"/>
  <c r="FB13"/>
  <c r="JS13"/>
  <c r="FD13"/>
  <c r="JU13"/>
  <c r="FF13"/>
  <c r="JY13"/>
  <c r="FJ13"/>
  <c r="KA13"/>
  <c r="FL13"/>
  <c r="KE13"/>
  <c r="FP13"/>
  <c r="KG13"/>
  <c r="FR13"/>
  <c r="KI13"/>
  <c r="FT13"/>
  <c r="KM13"/>
  <c r="FX13"/>
  <c r="KO13"/>
  <c r="FZ13"/>
  <c r="KS13"/>
  <c r="GD13"/>
  <c r="KU13"/>
  <c r="GF13"/>
  <c r="KW13"/>
  <c r="GH13"/>
  <c r="LA13"/>
  <c r="GL13"/>
  <c r="LC13"/>
  <c r="GN13"/>
  <c r="LG13"/>
  <c r="GR13"/>
  <c r="LI13"/>
  <c r="GT13"/>
  <c r="LK13"/>
  <c r="GV13"/>
  <c r="GY14"/>
  <c r="HA14"/>
  <c r="HC14"/>
  <c r="HG14"/>
  <c r="HI14"/>
  <c r="HM14"/>
  <c r="HO14"/>
  <c r="HQ14"/>
  <c r="HU14"/>
  <c r="HW14"/>
  <c r="IA14"/>
  <c r="IC14"/>
  <c r="IE14"/>
  <c r="DT14"/>
  <c r="II14"/>
  <c r="DV14"/>
  <c r="IK14"/>
  <c r="DZ14"/>
  <c r="IO14"/>
  <c r="EB14"/>
  <c r="IQ14"/>
  <c r="ED14"/>
  <c r="IS14"/>
  <c r="IW14"/>
  <c r="EH14"/>
  <c r="IY14"/>
  <c r="EJ14"/>
  <c r="JC14"/>
  <c r="EN14"/>
  <c r="JE14"/>
  <c r="EP14"/>
  <c r="JG14"/>
  <c r="ER14"/>
  <c r="JK14"/>
  <c r="EV14"/>
  <c r="JM14"/>
  <c r="EX14"/>
  <c r="JQ14"/>
  <c r="FB14"/>
  <c r="JS14"/>
  <c r="FD14"/>
  <c r="JU14"/>
  <c r="FF14"/>
  <c r="JY14"/>
  <c r="FJ14"/>
  <c r="KA14"/>
  <c r="FL14"/>
  <c r="KE14"/>
  <c r="FP14"/>
  <c r="KG14"/>
  <c r="FR14"/>
  <c r="KI14"/>
  <c r="FT14"/>
  <c r="KM14"/>
  <c r="FX14"/>
  <c r="KO14"/>
  <c r="FZ14"/>
  <c r="KS14"/>
  <c r="GD14"/>
  <c r="KU14"/>
  <c r="GF14"/>
  <c r="KW14"/>
  <c r="GH14"/>
  <c r="LA14"/>
  <c r="GL14"/>
  <c r="LC14"/>
  <c r="GN14"/>
  <c r="LG14"/>
  <c r="GR14"/>
  <c r="LI14"/>
  <c r="GT14"/>
  <c r="LK14"/>
  <c r="GV14"/>
  <c r="GY15"/>
  <c r="HA15"/>
  <c r="HC15"/>
  <c r="HG15"/>
  <c r="HI15"/>
  <c r="HM15"/>
  <c r="HO15"/>
  <c r="HQ15"/>
  <c r="HU15"/>
  <c r="HW15"/>
  <c r="IA15"/>
  <c r="IC15"/>
  <c r="IE15"/>
  <c r="DT15"/>
  <c r="II15"/>
  <c r="DV15"/>
  <c r="IK15"/>
  <c r="DZ15"/>
  <c r="IO15"/>
  <c r="EB15"/>
  <c r="IQ15"/>
  <c r="ED15"/>
  <c r="IS15"/>
  <c r="IW15"/>
  <c r="EH15"/>
  <c r="IY15"/>
  <c r="EJ15"/>
  <c r="JC15"/>
  <c r="EN15"/>
  <c r="JE15"/>
  <c r="EP15"/>
  <c r="JG15"/>
  <c r="ER15"/>
  <c r="JK15"/>
  <c r="EV15"/>
  <c r="JM15"/>
  <c r="EX15"/>
  <c r="JQ15"/>
  <c r="FB15"/>
  <c r="JS15"/>
  <c r="FD15"/>
  <c r="JU15"/>
  <c r="FF15"/>
  <c r="JY15"/>
  <c r="FJ15"/>
  <c r="KA15"/>
  <c r="FL15"/>
  <c r="KE15"/>
  <c r="FP15"/>
  <c r="KG15"/>
  <c r="FR15"/>
  <c r="KI15"/>
  <c r="FT15"/>
  <c r="KM15"/>
  <c r="FX15"/>
  <c r="KO15"/>
  <c r="FZ15"/>
  <c r="KS15"/>
  <c r="GD15"/>
  <c r="KU15"/>
  <c r="GF15"/>
  <c r="KW15"/>
  <c r="GH15"/>
  <c r="LA15"/>
  <c r="GL15"/>
  <c r="LC15"/>
  <c r="GN15"/>
  <c r="LG15"/>
  <c r="GR15"/>
  <c r="LI15"/>
  <c r="GT15"/>
  <c r="LK15"/>
  <c r="GV15"/>
  <c r="IW16"/>
  <c r="EH16"/>
  <c r="IY16"/>
  <c r="EJ16"/>
  <c r="JD16"/>
  <c r="EO16"/>
  <c r="JF16"/>
  <c r="EQ16"/>
  <c r="JJ16"/>
  <c r="EU16"/>
  <c r="JL16"/>
  <c r="EW16"/>
  <c r="JN16"/>
  <c r="EY16"/>
  <c r="JR16"/>
  <c r="FC16"/>
  <c r="JT16"/>
  <c r="FE16"/>
  <c r="JX16"/>
  <c r="FI16"/>
  <c r="JZ16"/>
  <c r="FK16"/>
  <c r="KB16"/>
  <c r="FM16"/>
  <c r="KF16"/>
  <c r="FQ16"/>
  <c r="KH16"/>
  <c r="FS16"/>
  <c r="KL16"/>
  <c r="FW16"/>
  <c r="KN16"/>
  <c r="FY16"/>
  <c r="KP16"/>
  <c r="GA16"/>
  <c r="KT16"/>
  <c r="GE16"/>
  <c r="KV16"/>
  <c r="GG16"/>
  <c r="KZ16"/>
  <c r="GK16"/>
  <c r="LB16"/>
  <c r="GM16"/>
  <c r="LD16"/>
  <c r="GO16"/>
  <c r="LH16"/>
  <c r="GS16"/>
  <c r="LJ16"/>
  <c r="GU16"/>
  <c r="IV17"/>
  <c r="EG17"/>
  <c r="IX17"/>
  <c r="EI17"/>
  <c r="IZ17"/>
  <c r="EK17"/>
  <c r="JD17"/>
  <c r="EO17"/>
  <c r="JF17"/>
  <c r="EQ17"/>
  <c r="JJ17"/>
  <c r="EU17"/>
  <c r="JL17"/>
  <c r="EW17"/>
  <c r="JN17"/>
  <c r="EY17"/>
  <c r="JR17"/>
  <c r="FC17"/>
  <c r="JT17"/>
  <c r="FE17"/>
  <c r="JX17"/>
  <c r="FI17"/>
  <c r="JZ17"/>
  <c r="FK17"/>
  <c r="KB17"/>
  <c r="FM17"/>
  <c r="KF17"/>
  <c r="FQ17"/>
  <c r="KH17"/>
  <c r="FS17"/>
  <c r="KL17"/>
  <c r="FW17"/>
  <c r="KN17"/>
  <c r="FY17"/>
  <c r="KP17"/>
  <c r="GA17"/>
  <c r="KT17"/>
  <c r="GE17"/>
  <c r="KV17"/>
  <c r="GG17"/>
  <c r="KZ17"/>
  <c r="GK17"/>
  <c r="LB17"/>
  <c r="GM17"/>
  <c r="LD17"/>
  <c r="GO17"/>
  <c r="LH17"/>
  <c r="GS17"/>
  <c r="LJ17"/>
  <c r="GU17"/>
  <c r="EO4" i="16"/>
  <c r="EM4"/>
  <c r="IR17" i="15"/>
  <c r="IL17"/>
  <c r="IH17"/>
  <c r="IB17"/>
  <c r="HV17"/>
  <c r="HP17"/>
  <c r="HJ17"/>
  <c r="HF17"/>
  <c r="GZ17"/>
  <c r="IQ16"/>
  <c r="IK16"/>
  <c r="IE16"/>
  <c r="IA16"/>
  <c r="HU16"/>
  <c r="HO16"/>
  <c r="HI16"/>
  <c r="HC16"/>
  <c r="GY16"/>
  <c r="HC48" i="16"/>
  <c r="JC48"/>
  <c r="MQ28" i="15"/>
  <c r="MS28"/>
  <c r="MW28"/>
  <c r="MY28"/>
  <c r="NA28"/>
  <c r="CY4" i="16"/>
  <c r="KK48"/>
  <c r="HE48"/>
  <c r="KI48"/>
  <c r="KS48"/>
  <c r="MR28" i="15"/>
  <c r="MT28"/>
  <c r="MX28"/>
  <c r="MZ28"/>
  <c r="ND28"/>
  <c r="EK28"/>
  <c r="AG28"/>
  <c r="AM28"/>
  <c r="AW28"/>
  <c r="BS28"/>
  <c r="BY28"/>
  <c r="CE28"/>
  <c r="CK28"/>
  <c r="CQ28"/>
  <c r="CU28"/>
  <c r="DA28"/>
  <c r="DG28"/>
  <c r="DI28"/>
  <c r="DM28"/>
  <c r="MP28"/>
  <c r="MM28"/>
  <c r="ML28"/>
  <c r="MK28"/>
  <c r="MJ28"/>
  <c r="MI28"/>
  <c r="MF28"/>
  <c r="ME28"/>
  <c r="MD28"/>
  <c r="MC28"/>
  <c r="MB28"/>
  <c r="LY28"/>
  <c r="LX28"/>
  <c r="LW28"/>
  <c r="LV28"/>
  <c r="LU28"/>
  <c r="LR28"/>
  <c r="LQ28"/>
  <c r="LP28"/>
  <c r="LO28"/>
  <c r="LN28"/>
  <c r="LK28"/>
  <c r="LJ28"/>
  <c r="LI28"/>
  <c r="LH28"/>
  <c r="LG28"/>
  <c r="LD28"/>
  <c r="LC28"/>
  <c r="LB28"/>
  <c r="LA28"/>
  <c r="KZ28"/>
  <c r="KW28"/>
  <c r="KV28"/>
  <c r="KU28"/>
  <c r="KT28"/>
  <c r="KS28"/>
  <c r="KP28"/>
  <c r="KO28"/>
  <c r="KN28"/>
  <c r="KM28"/>
  <c r="KL28"/>
  <c r="KI28"/>
  <c r="KH28"/>
  <c r="KG28"/>
  <c r="KF28"/>
  <c r="KE28"/>
  <c r="KB28"/>
  <c r="KA28"/>
  <c r="JZ28"/>
  <c r="JY28"/>
  <c r="JX28"/>
  <c r="JU28"/>
  <c r="JT28"/>
  <c r="JS28"/>
  <c r="JR28"/>
  <c r="JQ28"/>
  <c r="JN28"/>
  <c r="JM28"/>
  <c r="JL28"/>
  <c r="JK28"/>
  <c r="JJ28"/>
  <c r="JG28"/>
  <c r="JF28"/>
  <c r="JE28"/>
  <c r="JD28"/>
  <c r="JC28"/>
  <c r="IZ28"/>
  <c r="IY28"/>
  <c r="IX28"/>
  <c r="IW28"/>
  <c r="IV28"/>
  <c r="IS28"/>
  <c r="IR28"/>
  <c r="IQ28"/>
  <c r="IP28"/>
  <c r="IO28"/>
  <c r="IL28"/>
  <c r="IK28"/>
  <c r="IJ28"/>
  <c r="II28"/>
  <c r="IH28"/>
  <c r="HV28"/>
  <c r="HJ28"/>
  <c r="GZ28"/>
  <c r="GN28"/>
  <c r="FT28"/>
  <c r="FJ28"/>
  <c r="FD28"/>
  <c r="EV28"/>
  <c r="ER28"/>
  <c r="EP28"/>
  <c r="EI28"/>
  <c r="ED28"/>
  <c r="EB28"/>
  <c r="DZ28"/>
  <c r="DO28"/>
  <c r="DE28"/>
  <c r="CY28"/>
  <c r="CS28"/>
  <c r="CM28"/>
  <c r="CG28"/>
  <c r="CC28"/>
  <c r="BK28"/>
  <c r="BE28"/>
  <c r="AQ28"/>
  <c r="D28"/>
  <c r="WS4" i="16"/>
  <c r="VI13"/>
  <c r="VI14"/>
  <c r="VI15"/>
  <c r="VK5"/>
  <c r="TY16"/>
  <c r="TY17"/>
  <c r="TY18"/>
  <c r="UC9"/>
  <c r="UC10"/>
  <c r="UC11"/>
  <c r="UC12"/>
  <c r="TS13"/>
  <c r="TS14"/>
  <c r="TS15"/>
  <c r="TS16"/>
  <c r="SW10"/>
  <c r="SW11"/>
  <c r="SU12"/>
  <c r="SU13"/>
  <c r="SU14"/>
  <c r="SU15"/>
  <c r="SQ12"/>
  <c r="RC9"/>
  <c r="RC10"/>
  <c r="RC11"/>
  <c r="RC12"/>
  <c r="RC13"/>
  <c r="RI10"/>
  <c r="RI11"/>
  <c r="RI12"/>
  <c r="RI13"/>
  <c r="PO13"/>
  <c r="PO14"/>
  <c r="PO15"/>
  <c r="BW28" i="15" l="1"/>
  <c r="BQ28"/>
  <c r="GD28"/>
  <c r="BO28"/>
  <c r="BI28"/>
  <c r="BC28"/>
  <c r="DS28"/>
  <c r="FB28"/>
  <c r="IB28"/>
  <c r="HP28"/>
  <c r="HF28"/>
  <c r="GT28"/>
  <c r="GH28"/>
  <c r="FX28"/>
  <c r="FR28"/>
  <c r="FL28"/>
  <c r="FF28"/>
  <c r="BA28"/>
  <c r="FP28"/>
  <c r="O28"/>
  <c r="ID28"/>
  <c r="HX28"/>
  <c r="HT28"/>
  <c r="HN28"/>
  <c r="HH28"/>
  <c r="HB28"/>
  <c r="GV28"/>
  <c r="GR28"/>
  <c r="GL28"/>
  <c r="GF28"/>
  <c r="FZ28"/>
  <c r="AU28"/>
  <c r="AO28"/>
  <c r="AI28"/>
  <c r="EX28"/>
  <c r="EH28"/>
  <c r="EQ28"/>
  <c r="DP28"/>
  <c r="DN28"/>
  <c r="DL28"/>
  <c r="DH28"/>
  <c r="DF28"/>
  <c r="DB28"/>
  <c r="CZ28"/>
  <c r="CX28"/>
  <c r="CT28"/>
  <c r="CR28"/>
  <c r="CN28"/>
  <c r="CL28"/>
  <c r="CJ28"/>
  <c r="CF28"/>
  <c r="CD28"/>
  <c r="BZ28"/>
  <c r="BX28"/>
  <c r="BV28"/>
  <c r="BR28"/>
  <c r="BP28"/>
  <c r="BL28"/>
  <c r="BJ28"/>
  <c r="BH28"/>
  <c r="BD28"/>
  <c r="BB28"/>
  <c r="AX28"/>
  <c r="AV28"/>
  <c r="AT28"/>
  <c r="AP28"/>
  <c r="AN28"/>
  <c r="AJ28"/>
  <c r="AH28"/>
  <c r="AF28"/>
  <c r="Z28"/>
  <c r="EN28"/>
  <c r="IE28"/>
  <c r="IC28"/>
  <c r="IA28"/>
  <c r="HW28"/>
  <c r="HU28"/>
  <c r="HQ28"/>
  <c r="HO28"/>
  <c r="HM28"/>
  <c r="HI28"/>
  <c r="HG28"/>
  <c r="HC28"/>
  <c r="HA28"/>
  <c r="GY28"/>
  <c r="GU28"/>
  <c r="GS28"/>
  <c r="GO28"/>
  <c r="GM28"/>
  <c r="GK28"/>
  <c r="GG28"/>
  <c r="GE28"/>
  <c r="GA28"/>
  <c r="FY28"/>
  <c r="FW28"/>
  <c r="FS28"/>
  <c r="FQ28"/>
  <c r="FM28"/>
  <c r="FK28"/>
  <c r="FI28"/>
  <c r="FE28"/>
  <c r="FC28"/>
  <c r="EY28"/>
  <c r="EW28"/>
  <c r="EU28"/>
  <c r="EO28"/>
  <c r="EC28"/>
  <c r="EA28"/>
  <c r="DU28"/>
  <c r="U28"/>
  <c r="EJ28"/>
  <c r="AA28"/>
  <c r="Y28"/>
  <c r="EG28"/>
  <c r="M28"/>
  <c r="E28"/>
  <c r="K28"/>
  <c r="DW28"/>
  <c r="NE12"/>
  <c r="S28"/>
  <c r="N28"/>
  <c r="T28"/>
  <c r="L28"/>
  <c r="R28"/>
  <c r="V28"/>
  <c r="H28"/>
  <c r="F28"/>
  <c r="NE16"/>
  <c r="NE14"/>
  <c r="NE11"/>
  <c r="DV28"/>
  <c r="G28"/>
  <c r="NE17"/>
  <c r="NE10"/>
  <c r="DT28"/>
  <c r="AC28"/>
  <c r="AB28"/>
  <c r="NE13"/>
  <c r="NE15"/>
  <c r="VU4" i="16"/>
  <c r="VA4"/>
  <c r="LC5" l="1"/>
  <c r="LE5"/>
  <c r="LG5"/>
  <c r="LC6"/>
  <c r="LE6"/>
  <c r="LG6"/>
  <c r="LC7"/>
  <c r="LE7"/>
  <c r="LG7"/>
  <c r="LC8"/>
  <c r="LE8"/>
  <c r="LG8"/>
  <c r="LC9"/>
  <c r="LE9"/>
  <c r="LG9"/>
  <c r="LC10"/>
  <c r="LE10"/>
  <c r="LG10"/>
  <c r="LC11"/>
  <c r="LE11"/>
  <c r="LG11"/>
  <c r="LC12"/>
  <c r="LE12"/>
  <c r="LG12"/>
  <c r="LC13"/>
  <c r="LE13"/>
  <c r="LG13"/>
  <c r="LC14"/>
  <c r="LE14"/>
  <c r="LG14"/>
  <c r="LC15"/>
  <c r="LE15"/>
  <c r="LG15"/>
  <c r="LC16"/>
  <c r="LE16"/>
  <c r="LG16"/>
  <c r="LC17"/>
  <c r="LE17"/>
  <c r="LG17"/>
  <c r="LC18"/>
  <c r="LE18"/>
  <c r="LG18"/>
  <c r="LC19"/>
  <c r="LE19"/>
  <c r="LG19"/>
  <c r="LC20"/>
  <c r="LE20"/>
  <c r="LG20"/>
  <c r="LC21"/>
  <c r="LE21"/>
  <c r="LG21"/>
  <c r="KY11"/>
  <c r="LA19"/>
  <c r="LA20"/>
  <c r="KE5"/>
  <c r="KE6"/>
  <c r="KE7"/>
  <c r="KE8"/>
  <c r="KE9"/>
  <c r="KE10"/>
  <c r="KE11"/>
  <c r="KE12"/>
  <c r="KE13"/>
  <c r="KE14"/>
  <c r="KE15"/>
  <c r="KE16"/>
  <c r="KE17"/>
  <c r="JQ13"/>
  <c r="JQ14"/>
  <c r="JQ15"/>
  <c r="JQ16"/>
  <c r="JQ47"/>
  <c r="JR47"/>
  <c r="JS47"/>
  <c r="JT47"/>
  <c r="JU47"/>
  <c r="JV47"/>
  <c r="JW47"/>
  <c r="JX47"/>
  <c r="JY47"/>
  <c r="JZ47"/>
  <c r="IC5"/>
  <c r="IC6"/>
  <c r="IC7"/>
  <c r="IC8"/>
  <c r="IC9"/>
  <c r="IC10"/>
  <c r="IC11"/>
  <c r="IC12"/>
  <c r="IC13"/>
  <c r="IC14"/>
  <c r="IC15"/>
  <c r="IC16"/>
  <c r="IC17"/>
  <c r="IC18"/>
  <c r="IC19"/>
  <c r="IC20"/>
  <c r="IC21"/>
  <c r="HE11"/>
  <c r="HE12"/>
  <c r="GU5"/>
  <c r="GW5"/>
  <c r="GY5"/>
  <c r="GU6"/>
  <c r="GW6"/>
  <c r="GY6"/>
  <c r="GU7"/>
  <c r="GW7"/>
  <c r="GY7"/>
  <c r="GU8"/>
  <c r="GW8"/>
  <c r="GY8"/>
  <c r="GU9"/>
  <c r="GW9"/>
  <c r="GY9"/>
  <c r="GG9"/>
  <c r="GG8"/>
  <c r="GG10"/>
  <c r="FW10"/>
  <c r="FS7"/>
  <c r="FS8"/>
  <c r="EE5"/>
  <c r="EG5"/>
  <c r="EI5"/>
  <c r="EK5"/>
  <c r="EE6"/>
  <c r="EG6"/>
  <c r="EI6"/>
  <c r="EK6"/>
  <c r="EE7"/>
  <c r="EG7"/>
  <c r="EI7"/>
  <c r="EK7"/>
  <c r="EE8"/>
  <c r="EG8"/>
  <c r="EI8"/>
  <c r="EK8"/>
  <c r="EE9"/>
  <c r="EG9"/>
  <c r="EI9"/>
  <c r="EK9"/>
  <c r="EE10"/>
  <c r="EG10"/>
  <c r="EI10"/>
  <c r="EK10"/>
  <c r="EE11"/>
  <c r="EG11"/>
  <c r="EI11"/>
  <c r="EK11"/>
  <c r="EE12"/>
  <c r="EG12"/>
  <c r="EI12"/>
  <c r="EK12"/>
  <c r="JY48" l="1"/>
  <c r="JW48"/>
  <c r="JU48"/>
  <c r="JS48"/>
  <c r="JQ48"/>
  <c r="KE4"/>
  <c r="KW4"/>
  <c r="GY4"/>
  <c r="GW4"/>
  <c r="GU4"/>
  <c r="IA4"/>
  <c r="CU10"/>
  <c r="CU11"/>
  <c r="CU12"/>
  <c r="CQ17"/>
  <c r="CQ18"/>
  <c r="BW5"/>
  <c r="BW6"/>
  <c r="CC13"/>
  <c r="BA10"/>
  <c r="BA11"/>
  <c r="BA12"/>
  <c r="AW10"/>
  <c r="AW11"/>
  <c r="I13"/>
  <c r="ABD47"/>
  <c r="ABC47"/>
  <c r="ABB47"/>
  <c r="ABA47"/>
  <c r="AAZ47"/>
  <c r="AAY47"/>
  <c r="AAX47"/>
  <c r="AAW47"/>
  <c r="AAV47"/>
  <c r="AAU47"/>
  <c r="AAT47"/>
  <c r="AAS47"/>
  <c r="AAR47"/>
  <c r="AAQ47"/>
  <c r="AAP47"/>
  <c r="AAO47"/>
  <c r="AAN47"/>
  <c r="AAM47"/>
  <c r="AAL47"/>
  <c r="AAK47"/>
  <c r="ZI5"/>
  <c r="ZI6"/>
  <c r="ZI13"/>
  <c r="ZI14"/>
  <c r="ZI15"/>
  <c r="ZC5"/>
  <c r="ZC6"/>
  <c r="ZC7"/>
  <c r="ZC8"/>
  <c r="ZC9"/>
  <c r="ABA48" l="1"/>
  <c r="ABC48"/>
  <c r="AAK48"/>
  <c r="AAM48"/>
  <c r="AAO48"/>
  <c r="AAQ48"/>
  <c r="AAS48"/>
  <c r="AAU48"/>
  <c r="AAW48"/>
  <c r="AAY48"/>
  <c r="EK4"/>
  <c r="EG4"/>
  <c r="EE4"/>
  <c r="M4"/>
  <c r="BW4"/>
  <c r="ACJ26" l="1"/>
  <c r="ACK26"/>
  <c r="ACL26"/>
  <c r="ACM26"/>
  <c r="ACN26"/>
  <c r="ACO26"/>
  <c r="ACP26"/>
  <c r="ACQ26"/>
  <c r="ACR26"/>
  <c r="ACS26"/>
  <c r="ACT26"/>
  <c r="ACU26"/>
  <c r="ACV26"/>
  <c r="ACW26"/>
  <c r="ACX26"/>
  <c r="ACY26"/>
  <c r="ACZ26"/>
  <c r="ADA26"/>
  <c r="ADB26"/>
  <c r="ADC26"/>
  <c r="ADD26"/>
  <c r="ADE26"/>
  <c r="ADF26"/>
  <c r="ADG26"/>
  <c r="ADH26"/>
  <c r="ADI26"/>
  <c r="ADJ26"/>
  <c r="ADK26"/>
  <c r="ADL26"/>
  <c r="ADM26"/>
  <c r="ADN26"/>
  <c r="ADO26"/>
  <c r="ADP26"/>
  <c r="ADQ26"/>
  <c r="ADR26"/>
  <c r="ADS26"/>
  <c r="ADT26"/>
  <c r="ADU26"/>
  <c r="ADV26"/>
  <c r="ADW26"/>
  <c r="ADX26"/>
  <c r="ADY26"/>
  <c r="ADZ26"/>
  <c r="AEA26"/>
  <c r="AEB26"/>
  <c r="AEC26"/>
  <c r="AED26"/>
  <c r="AEE26"/>
  <c r="AEF26"/>
  <c r="AEG26"/>
  <c r="AEH26"/>
  <c r="AEI26"/>
  <c r="AEJ26"/>
  <c r="AEK26"/>
  <c r="AEL26"/>
  <c r="AEM26"/>
  <c r="AEN26"/>
  <c r="AEO26"/>
  <c r="AEP26"/>
  <c r="AEQ26"/>
  <c r="AER26"/>
  <c r="AES26"/>
  <c r="AET26"/>
  <c r="AEU26"/>
  <c r="AEV26"/>
  <c r="ZI4" l="1"/>
  <c r="ZC4"/>
  <c r="JJ47"/>
  <c r="IH47"/>
  <c r="IG47"/>
  <c r="II47"/>
  <c r="IK47"/>
  <c r="ID47"/>
  <c r="IC47"/>
  <c r="IB47"/>
  <c r="IA47"/>
  <c r="HZ47"/>
  <c r="HY47"/>
  <c r="DQ5"/>
  <c r="DQ6"/>
  <c r="D8" i="5"/>
  <c r="E8"/>
  <c r="F8"/>
  <c r="G8"/>
  <c r="H8"/>
  <c r="I8"/>
  <c r="J8"/>
  <c r="K8"/>
  <c r="L8"/>
  <c r="M8"/>
  <c r="N8"/>
  <c r="C8"/>
  <c r="ZQ47" i="16"/>
  <c r="ZR47"/>
  <c r="ZS47"/>
  <c r="ZT47"/>
  <c r="ZU47"/>
  <c r="ZV47"/>
  <c r="ZW47"/>
  <c r="ZX47"/>
  <c r="ZY47"/>
  <c r="ZZ47"/>
  <c r="AAA47"/>
  <c r="AAB47"/>
  <c r="AAC47"/>
  <c r="AAD47"/>
  <c r="AAE47"/>
  <c r="AAF47"/>
  <c r="AAG47"/>
  <c r="AAH47"/>
  <c r="AAI47"/>
  <c r="AAJ47"/>
  <c r="ZE47"/>
  <c r="ZF47"/>
  <c r="ZG47"/>
  <c r="ZH47"/>
  <c r="ZI47"/>
  <c r="ZJ47"/>
  <c r="ZK47"/>
  <c r="ZL47"/>
  <c r="ZM47"/>
  <c r="ZN47"/>
  <c r="ZO47"/>
  <c r="ZP47"/>
  <c r="YE47"/>
  <c r="YF47"/>
  <c r="YG47"/>
  <c r="YH47"/>
  <c r="YI47"/>
  <c r="YJ47"/>
  <c r="YK47"/>
  <c r="YL47"/>
  <c r="YM47"/>
  <c r="YN47"/>
  <c r="YO47"/>
  <c r="YP47"/>
  <c r="YQ47"/>
  <c r="YR47"/>
  <c r="YS47"/>
  <c r="YT47"/>
  <c r="YU47"/>
  <c r="YV47"/>
  <c r="YW47"/>
  <c r="YX47"/>
  <c r="YY47"/>
  <c r="YZ47"/>
  <c r="ZA47"/>
  <c r="ZB47"/>
  <c r="ZC47"/>
  <c r="ZD47"/>
  <c r="VK47"/>
  <c r="VL47"/>
  <c r="VM47"/>
  <c r="VN47"/>
  <c r="VO47"/>
  <c r="VP47"/>
  <c r="VQ47"/>
  <c r="VR47"/>
  <c r="VS47"/>
  <c r="VT47"/>
  <c r="VU47"/>
  <c r="VV47"/>
  <c r="VW47"/>
  <c r="VX47"/>
  <c r="VY47"/>
  <c r="VZ47"/>
  <c r="WA47"/>
  <c r="WB47"/>
  <c r="WC47"/>
  <c r="WD47"/>
  <c r="WE47"/>
  <c r="WF47"/>
  <c r="WG47"/>
  <c r="WH47"/>
  <c r="WI47"/>
  <c r="WJ47"/>
  <c r="WK47"/>
  <c r="WL47"/>
  <c r="WM47"/>
  <c r="WN47"/>
  <c r="WO47"/>
  <c r="WP47"/>
  <c r="WQ48"/>
  <c r="WS47"/>
  <c r="WT47"/>
  <c r="WU47"/>
  <c r="WV47"/>
  <c r="WW47"/>
  <c r="WX47"/>
  <c r="WY47"/>
  <c r="WZ47"/>
  <c r="XA47"/>
  <c r="XB47"/>
  <c r="XC47"/>
  <c r="XD47"/>
  <c r="XE47"/>
  <c r="XF47"/>
  <c r="XG47"/>
  <c r="XH47"/>
  <c r="XI47"/>
  <c r="XJ47"/>
  <c r="XK47"/>
  <c r="XL47"/>
  <c r="XM47"/>
  <c r="XN47"/>
  <c r="XO47"/>
  <c r="XP47"/>
  <c r="XQ47"/>
  <c r="XR47"/>
  <c r="XS47"/>
  <c r="XT47"/>
  <c r="XU47"/>
  <c r="XV47"/>
  <c r="XW47"/>
  <c r="XX47"/>
  <c r="XY47"/>
  <c r="XZ47"/>
  <c r="YA47"/>
  <c r="YB47"/>
  <c r="YC47"/>
  <c r="YD47"/>
  <c r="LQ47"/>
  <c r="LR47"/>
  <c r="LS47"/>
  <c r="LT47"/>
  <c r="LU47"/>
  <c r="LV47"/>
  <c r="LW47"/>
  <c r="LX47"/>
  <c r="LY47"/>
  <c r="LZ47"/>
  <c r="MA47"/>
  <c r="MB47"/>
  <c r="MC47"/>
  <c r="MD47"/>
  <c r="ME47"/>
  <c r="MF47"/>
  <c r="MG47"/>
  <c r="MH47"/>
  <c r="MI47"/>
  <c r="MJ47"/>
  <c r="MK47"/>
  <c r="ML47"/>
  <c r="MM47"/>
  <c r="MN47"/>
  <c r="MO47"/>
  <c r="MP47"/>
  <c r="MQ47"/>
  <c r="MR47"/>
  <c r="MS47"/>
  <c r="MT47"/>
  <c r="MU47"/>
  <c r="MV47"/>
  <c r="MW47"/>
  <c r="MX47"/>
  <c r="MY47"/>
  <c r="MZ47"/>
  <c r="NA47"/>
  <c r="NB47"/>
  <c r="NC47"/>
  <c r="ND47"/>
  <c r="NE47"/>
  <c r="NF47"/>
  <c r="NG47"/>
  <c r="NH47"/>
  <c r="NI47"/>
  <c r="NJ47"/>
  <c r="NK47"/>
  <c r="NL47"/>
  <c r="NM47"/>
  <c r="NN47"/>
  <c r="NO47"/>
  <c r="NP47"/>
  <c r="NQ47"/>
  <c r="NR47"/>
  <c r="NS47"/>
  <c r="NT47"/>
  <c r="NU47"/>
  <c r="NV47"/>
  <c r="NW47"/>
  <c r="NX47"/>
  <c r="NY47"/>
  <c r="NZ47"/>
  <c r="OA47"/>
  <c r="OB47"/>
  <c r="OC47"/>
  <c r="OD47"/>
  <c r="OE47"/>
  <c r="OF47"/>
  <c r="OG47"/>
  <c r="OH47"/>
  <c r="OI47"/>
  <c r="OJ47"/>
  <c r="OK47"/>
  <c r="OL47"/>
  <c r="OM47"/>
  <c r="ON47"/>
  <c r="OO47"/>
  <c r="OP47"/>
  <c r="OQ47"/>
  <c r="OR47"/>
  <c r="OS47"/>
  <c r="OT47"/>
  <c r="OU47"/>
  <c r="OV47"/>
  <c r="OW47"/>
  <c r="OX47"/>
  <c r="OY47"/>
  <c r="OZ47"/>
  <c r="PA47"/>
  <c r="PB47"/>
  <c r="PC47"/>
  <c r="PD47"/>
  <c r="PE47"/>
  <c r="PF47"/>
  <c r="PG47"/>
  <c r="PH47"/>
  <c r="PI47"/>
  <c r="PJ47"/>
  <c r="PK47"/>
  <c r="PL47"/>
  <c r="PM47"/>
  <c r="PN47"/>
  <c r="PO47"/>
  <c r="PP47"/>
  <c r="PQ47"/>
  <c r="PR47"/>
  <c r="PS47"/>
  <c r="PT47"/>
  <c r="PU47"/>
  <c r="PV47"/>
  <c r="PW47"/>
  <c r="PX47"/>
  <c r="PY47"/>
  <c r="PZ47"/>
  <c r="QA47"/>
  <c r="QB47"/>
  <c r="QC47"/>
  <c r="QD47"/>
  <c r="QE47"/>
  <c r="QF47"/>
  <c r="QG47"/>
  <c r="QH47"/>
  <c r="QI47"/>
  <c r="QJ47"/>
  <c r="QK47"/>
  <c r="QL47"/>
  <c r="QM47"/>
  <c r="QN47"/>
  <c r="QO47"/>
  <c r="QP47"/>
  <c r="QQ47"/>
  <c r="QR47"/>
  <c r="QS47"/>
  <c r="QT47"/>
  <c r="QU47"/>
  <c r="QV47"/>
  <c r="QW47"/>
  <c r="QX47"/>
  <c r="QY47"/>
  <c r="QZ47"/>
  <c r="RA47"/>
  <c r="RB47"/>
  <c r="RC47"/>
  <c r="RD47"/>
  <c r="RE47"/>
  <c r="RF47"/>
  <c r="RG47"/>
  <c r="RH47"/>
  <c r="RI47"/>
  <c r="RJ47"/>
  <c r="RK47"/>
  <c r="RL47"/>
  <c r="RM47"/>
  <c r="RN47"/>
  <c r="RO47"/>
  <c r="RP47"/>
  <c r="RQ47"/>
  <c r="RR47"/>
  <c r="RS47"/>
  <c r="RT47"/>
  <c r="RU47"/>
  <c r="RV47"/>
  <c r="RW47"/>
  <c r="RX47"/>
  <c r="RY47"/>
  <c r="RZ47"/>
  <c r="SA47"/>
  <c r="SB47"/>
  <c r="SC47"/>
  <c r="SD47"/>
  <c r="SE47"/>
  <c r="SF47"/>
  <c r="SG47"/>
  <c r="SH47"/>
  <c r="SI47"/>
  <c r="SJ47"/>
  <c r="SK47"/>
  <c r="SL47"/>
  <c r="SM47"/>
  <c r="SN47"/>
  <c r="SO47"/>
  <c r="SP47"/>
  <c r="SQ47"/>
  <c r="SR47"/>
  <c r="SS47"/>
  <c r="ST47"/>
  <c r="SU47"/>
  <c r="SV47"/>
  <c r="SW47"/>
  <c r="SX47"/>
  <c r="SY47"/>
  <c r="SZ47"/>
  <c r="TA47"/>
  <c r="TB47"/>
  <c r="TC47"/>
  <c r="TD47"/>
  <c r="TE47"/>
  <c r="TF47"/>
  <c r="TG47"/>
  <c r="TH47"/>
  <c r="TI47"/>
  <c r="TJ47"/>
  <c r="TK47"/>
  <c r="TL47"/>
  <c r="TM47"/>
  <c r="TN47"/>
  <c r="TO47"/>
  <c r="TP47"/>
  <c r="TQ47"/>
  <c r="TR47"/>
  <c r="TS47"/>
  <c r="TT47"/>
  <c r="TU47"/>
  <c r="TV47"/>
  <c r="TW47"/>
  <c r="TX47"/>
  <c r="TY47"/>
  <c r="TZ47"/>
  <c r="UA47"/>
  <c r="UB47"/>
  <c r="UC47"/>
  <c r="UD47"/>
  <c r="UE47"/>
  <c r="UF47"/>
  <c r="UG47"/>
  <c r="UH47"/>
  <c r="UI47"/>
  <c r="UJ47"/>
  <c r="UK47"/>
  <c r="UL47"/>
  <c r="UM47"/>
  <c r="UN47"/>
  <c r="UO47"/>
  <c r="UP47"/>
  <c r="UQ47"/>
  <c r="UR47"/>
  <c r="US47"/>
  <c r="UT47"/>
  <c r="UU47"/>
  <c r="UV47"/>
  <c r="UW47"/>
  <c r="UX47"/>
  <c r="UY47"/>
  <c r="UZ47"/>
  <c r="VA47"/>
  <c r="VB47"/>
  <c r="VC47"/>
  <c r="VD47"/>
  <c r="VE47"/>
  <c r="VF47"/>
  <c r="VG47"/>
  <c r="VH47"/>
  <c r="VI47"/>
  <c r="VJ47"/>
  <c r="LK47"/>
  <c r="LL47"/>
  <c r="LM47"/>
  <c r="LN47"/>
  <c r="LO47"/>
  <c r="LP47"/>
  <c r="JA47"/>
  <c r="JB47"/>
  <c r="JE47"/>
  <c r="JF47"/>
  <c r="JG47"/>
  <c r="JH47"/>
  <c r="JI47"/>
  <c r="JI48" s="1"/>
  <c r="JK47"/>
  <c r="JK48" s="1"/>
  <c r="JM47"/>
  <c r="JN47"/>
  <c r="JO47"/>
  <c r="JP47"/>
  <c r="KA47"/>
  <c r="KB47"/>
  <c r="KC47"/>
  <c r="KD47"/>
  <c r="KE47"/>
  <c r="KF47"/>
  <c r="KG47"/>
  <c r="KH47"/>
  <c r="KM47"/>
  <c r="KN47"/>
  <c r="KO47"/>
  <c r="KP47"/>
  <c r="KQ47"/>
  <c r="KR47"/>
  <c r="KU47"/>
  <c r="KV47"/>
  <c r="KW47"/>
  <c r="KX47"/>
  <c r="KY47"/>
  <c r="KZ47"/>
  <c r="LA47"/>
  <c r="LB47"/>
  <c r="LC47"/>
  <c r="LD47"/>
  <c r="LE47"/>
  <c r="LF47"/>
  <c r="LG47"/>
  <c r="LH47"/>
  <c r="LI47"/>
  <c r="LJ47"/>
  <c r="IY47"/>
  <c r="IZ47"/>
  <c r="IW47"/>
  <c r="IX47"/>
  <c r="IY4"/>
  <c r="JA4"/>
  <c r="JC4"/>
  <c r="JE4"/>
  <c r="JG4"/>
  <c r="JI4"/>
  <c r="JK4"/>
  <c r="JM4"/>
  <c r="JO4"/>
  <c r="JQ4"/>
  <c r="JS4"/>
  <c r="JU4"/>
  <c r="JW4"/>
  <c r="JY4"/>
  <c r="KA4"/>
  <c r="KC4"/>
  <c r="KG4"/>
  <c r="KI4"/>
  <c r="KK4"/>
  <c r="KM4"/>
  <c r="KO4"/>
  <c r="KQ4"/>
  <c r="KS4"/>
  <c r="KU4"/>
  <c r="KY4"/>
  <c r="LA4"/>
  <c r="LC4"/>
  <c r="LE4"/>
  <c r="LG4"/>
  <c r="LI4"/>
  <c r="LK4"/>
  <c r="LM4"/>
  <c r="LO4"/>
  <c r="LQ4"/>
  <c r="LS4"/>
  <c r="LU4"/>
  <c r="LW4"/>
  <c r="LY4"/>
  <c r="MA4"/>
  <c r="MC4"/>
  <c r="ME4"/>
  <c r="MG4"/>
  <c r="MI4"/>
  <c r="MK4"/>
  <c r="MM4"/>
  <c r="MO4"/>
  <c r="MQ4"/>
  <c r="MS4"/>
  <c r="MU4"/>
  <c r="MW4"/>
  <c r="MY4"/>
  <c r="NA4"/>
  <c r="NC4"/>
  <c r="NE4"/>
  <c r="NG4"/>
  <c r="NI4"/>
  <c r="NK4"/>
  <c r="NM4"/>
  <c r="NO4"/>
  <c r="NQ4"/>
  <c r="NS4"/>
  <c r="NU4"/>
  <c r="NW4"/>
  <c r="NY4"/>
  <c r="OA4"/>
  <c r="OC4"/>
  <c r="OE4"/>
  <c r="OG4"/>
  <c r="OI4"/>
  <c r="OK4"/>
  <c r="OM4"/>
  <c r="OO4"/>
  <c r="OQ4"/>
  <c r="OS4"/>
  <c r="OU4"/>
  <c r="OW4"/>
  <c r="OY4"/>
  <c r="PA4"/>
  <c r="PC4"/>
  <c r="PE4"/>
  <c r="PG4"/>
  <c r="PI4"/>
  <c r="PK4"/>
  <c r="PM4"/>
  <c r="PO4"/>
  <c r="PQ4"/>
  <c r="PS4"/>
  <c r="PU4"/>
  <c r="PW4"/>
  <c r="PY4"/>
  <c r="QA4"/>
  <c r="QC4"/>
  <c r="QE4"/>
  <c r="QG4"/>
  <c r="QI4"/>
  <c r="QK4"/>
  <c r="QM4"/>
  <c r="QO4"/>
  <c r="QQ4"/>
  <c r="QS4"/>
  <c r="QU4"/>
  <c r="QW4"/>
  <c r="QY4"/>
  <c r="RA4"/>
  <c r="RC4"/>
  <c r="RE4"/>
  <c r="RG4"/>
  <c r="RI4"/>
  <c r="RK4"/>
  <c r="RM4"/>
  <c r="RO4"/>
  <c r="RQ4"/>
  <c r="RS4"/>
  <c r="RU4"/>
  <c r="RW4"/>
  <c r="RY4"/>
  <c r="SA4"/>
  <c r="SC4"/>
  <c r="SE4"/>
  <c r="SG4"/>
  <c r="SI4"/>
  <c r="SK4"/>
  <c r="SM4"/>
  <c r="SO4"/>
  <c r="SQ4"/>
  <c r="SS4"/>
  <c r="SU4"/>
  <c r="SW4"/>
  <c r="SY4"/>
  <c r="TA4"/>
  <c r="TC4"/>
  <c r="TE4"/>
  <c r="TG4"/>
  <c r="TI4"/>
  <c r="TK4"/>
  <c r="TM4"/>
  <c r="TO4"/>
  <c r="TQ4"/>
  <c r="TS4"/>
  <c r="TU4"/>
  <c r="TW4"/>
  <c r="TY4"/>
  <c r="UA4"/>
  <c r="UC4"/>
  <c r="UE4"/>
  <c r="UG4"/>
  <c r="UI4"/>
  <c r="UK4"/>
  <c r="UM4"/>
  <c r="UO4"/>
  <c r="UQ4"/>
  <c r="US4"/>
  <c r="UU4"/>
  <c r="UW4"/>
  <c r="UY4"/>
  <c r="VC4"/>
  <c r="VG4"/>
  <c r="VI4"/>
  <c r="VM4"/>
  <c r="VO4"/>
  <c r="VQ4"/>
  <c r="VS4"/>
  <c r="VW4"/>
  <c r="VY4"/>
  <c r="WA4"/>
  <c r="WC4"/>
  <c r="WE4"/>
  <c r="WG4"/>
  <c r="WI4"/>
  <c r="WK4"/>
  <c r="WM4"/>
  <c r="WO4"/>
  <c r="WQ4"/>
  <c r="WU4"/>
  <c r="WW4"/>
  <c r="WY4"/>
  <c r="XA4"/>
  <c r="XC4"/>
  <c r="XE4"/>
  <c r="XG4"/>
  <c r="XI4"/>
  <c r="XK4"/>
  <c r="XM4"/>
  <c r="XO4"/>
  <c r="XQ4"/>
  <c r="XS4"/>
  <c r="XU4"/>
  <c r="XW4"/>
  <c r="XY4"/>
  <c r="YA4"/>
  <c r="YC4"/>
  <c r="YE4"/>
  <c r="YG4"/>
  <c r="YI4"/>
  <c r="YK4"/>
  <c r="YM4"/>
  <c r="YO4"/>
  <c r="YQ4"/>
  <c r="YS4"/>
  <c r="YU4"/>
  <c r="YW4"/>
  <c r="YY4"/>
  <c r="ZA4"/>
  <c r="ZE4"/>
  <c r="ZG4"/>
  <c r="ZK4"/>
  <c r="ZM4"/>
  <c r="ZO4"/>
  <c r="ZQ4"/>
  <c r="ZS4"/>
  <c r="ZU4"/>
  <c r="ZW4"/>
  <c r="ZY4"/>
  <c r="AAA4"/>
  <c r="AAC4"/>
  <c r="AAE4"/>
  <c r="AAG4"/>
  <c r="AAI4"/>
  <c r="AAK4"/>
  <c r="AAM4"/>
  <c r="AAO4"/>
  <c r="AAQ4"/>
  <c r="AAS4"/>
  <c r="AAU4"/>
  <c r="AAW4"/>
  <c r="AAY4"/>
  <c r="ABA4"/>
  <c r="ABC4"/>
  <c r="IY5"/>
  <c r="JA5"/>
  <c r="JC5"/>
  <c r="JE5"/>
  <c r="JG5"/>
  <c r="JI5"/>
  <c r="JK5"/>
  <c r="JM5"/>
  <c r="JO5"/>
  <c r="JQ5"/>
  <c r="JS5"/>
  <c r="JU5"/>
  <c r="JW5"/>
  <c r="JY5"/>
  <c r="KA5"/>
  <c r="KC5"/>
  <c r="KG5"/>
  <c r="KI5"/>
  <c r="KK5"/>
  <c r="KM5"/>
  <c r="KO5"/>
  <c r="KQ5"/>
  <c r="KS5"/>
  <c r="KU5"/>
  <c r="KW5"/>
  <c r="KY5"/>
  <c r="LA5"/>
  <c r="LI5"/>
  <c r="LK5"/>
  <c r="LM5"/>
  <c r="LO5"/>
  <c r="LQ5"/>
  <c r="LS5"/>
  <c r="LU5"/>
  <c r="LW5"/>
  <c r="LY5"/>
  <c r="MA5"/>
  <c r="MC5"/>
  <c r="ME5"/>
  <c r="MG5"/>
  <c r="MI5"/>
  <c r="MK5"/>
  <c r="MM5"/>
  <c r="MO5"/>
  <c r="MQ5"/>
  <c r="MS5"/>
  <c r="MU5"/>
  <c r="MW5"/>
  <c r="MY5"/>
  <c r="NA5"/>
  <c r="NC5"/>
  <c r="NE5"/>
  <c r="NG5"/>
  <c r="NI5"/>
  <c r="NK5"/>
  <c r="NM5"/>
  <c r="NO5"/>
  <c r="NQ5"/>
  <c r="NS5"/>
  <c r="NU5"/>
  <c r="NW5"/>
  <c r="NY5"/>
  <c r="OA5"/>
  <c r="OC5"/>
  <c r="OE5"/>
  <c r="OG5"/>
  <c r="OI5"/>
  <c r="OK5"/>
  <c r="OM5"/>
  <c r="OO5"/>
  <c r="OQ5"/>
  <c r="OS5"/>
  <c r="OU5"/>
  <c r="OW5"/>
  <c r="OY5"/>
  <c r="PA5"/>
  <c r="PC5"/>
  <c r="PE5"/>
  <c r="PG5"/>
  <c r="PI5"/>
  <c r="PK5"/>
  <c r="PM5"/>
  <c r="PO5"/>
  <c r="PQ5"/>
  <c r="PS5"/>
  <c r="PU5"/>
  <c r="PW5"/>
  <c r="PY5"/>
  <c r="QA5"/>
  <c r="QC5"/>
  <c r="QE5"/>
  <c r="QG5"/>
  <c r="QI5"/>
  <c r="QK5"/>
  <c r="QM5"/>
  <c r="QO5"/>
  <c r="QQ5"/>
  <c r="QS5"/>
  <c r="QU5"/>
  <c r="QW5"/>
  <c r="QY5"/>
  <c r="RA5"/>
  <c r="RC5"/>
  <c r="RE5"/>
  <c r="RG5"/>
  <c r="RI5"/>
  <c r="RK5"/>
  <c r="RM5"/>
  <c r="RO5"/>
  <c r="RQ5"/>
  <c r="RS5"/>
  <c r="RU5"/>
  <c r="RW5"/>
  <c r="RY5"/>
  <c r="SA5"/>
  <c r="SC5"/>
  <c r="SE5"/>
  <c r="SG5"/>
  <c r="SI5"/>
  <c r="SK5"/>
  <c r="SM5"/>
  <c r="SO5"/>
  <c r="SQ5"/>
  <c r="SS5"/>
  <c r="SU5"/>
  <c r="SW5"/>
  <c r="SY5"/>
  <c r="TA5"/>
  <c r="TC5"/>
  <c r="TE5"/>
  <c r="TG5"/>
  <c r="TI5"/>
  <c r="TK5"/>
  <c r="TM5"/>
  <c r="TO5"/>
  <c r="TQ5"/>
  <c r="TS5"/>
  <c r="TU5"/>
  <c r="TW5"/>
  <c r="TY5"/>
  <c r="UA5"/>
  <c r="UC5"/>
  <c r="UE5"/>
  <c r="UG5"/>
  <c r="UI5"/>
  <c r="UK5"/>
  <c r="UM5"/>
  <c r="UO5"/>
  <c r="UQ5"/>
  <c r="US5"/>
  <c r="UU5"/>
  <c r="UW5"/>
  <c r="UY5"/>
  <c r="VA5"/>
  <c r="VC5"/>
  <c r="VE5"/>
  <c r="VG5"/>
  <c r="VI5"/>
  <c r="VM5"/>
  <c r="VO5"/>
  <c r="VQ5"/>
  <c r="VS5"/>
  <c r="VW5"/>
  <c r="VY5"/>
  <c r="WA5"/>
  <c r="WC5"/>
  <c r="WE5"/>
  <c r="WG5"/>
  <c r="WI5"/>
  <c r="WK5"/>
  <c r="WM5"/>
  <c r="WO5"/>
  <c r="WS5"/>
  <c r="WU5"/>
  <c r="WW5"/>
  <c r="WY5"/>
  <c r="XA5"/>
  <c r="XC5"/>
  <c r="XE5"/>
  <c r="XG5"/>
  <c r="XI5"/>
  <c r="XK5"/>
  <c r="XM5"/>
  <c r="XO5"/>
  <c r="XQ5"/>
  <c r="XS5"/>
  <c r="XU5"/>
  <c r="XW5"/>
  <c r="XY5"/>
  <c r="YA5"/>
  <c r="YC5"/>
  <c r="YE5"/>
  <c r="YG5"/>
  <c r="YI5"/>
  <c r="YK5"/>
  <c r="YM5"/>
  <c r="YO5"/>
  <c r="YQ5"/>
  <c r="YS5"/>
  <c r="YU5"/>
  <c r="YW5"/>
  <c r="ZA5"/>
  <c r="ZE5"/>
  <c r="ZG5"/>
  <c r="ZK5"/>
  <c r="ZM5"/>
  <c r="ZO5"/>
  <c r="ZQ5"/>
  <c r="ZS5"/>
  <c r="ZU5"/>
  <c r="ZW5"/>
  <c r="ZY5"/>
  <c r="AAA5"/>
  <c r="AAC5"/>
  <c r="AAE5"/>
  <c r="AAG5"/>
  <c r="AAI5"/>
  <c r="AAK5"/>
  <c r="AAM5"/>
  <c r="AAO5"/>
  <c r="AAQ5"/>
  <c r="AAS5"/>
  <c r="AAU5"/>
  <c r="AAW5"/>
  <c r="AAY5"/>
  <c r="ABA5"/>
  <c r="ABC5"/>
  <c r="IY6"/>
  <c r="JA6"/>
  <c r="JC6"/>
  <c r="JE6"/>
  <c r="JG6"/>
  <c r="JI6"/>
  <c r="JK6"/>
  <c r="JM6"/>
  <c r="JO6"/>
  <c r="JQ6"/>
  <c r="JS6"/>
  <c r="JU6"/>
  <c r="JW6"/>
  <c r="JY6"/>
  <c r="KA6"/>
  <c r="KC6"/>
  <c r="KG6"/>
  <c r="KI6"/>
  <c r="KK6"/>
  <c r="KM6"/>
  <c r="KO6"/>
  <c r="KQ6"/>
  <c r="KS6"/>
  <c r="KU6"/>
  <c r="KW6"/>
  <c r="KY6"/>
  <c r="LA6"/>
  <c r="LI6"/>
  <c r="LK6"/>
  <c r="LM6"/>
  <c r="LO6"/>
  <c r="LQ6"/>
  <c r="LS6"/>
  <c r="LU6"/>
  <c r="LW6"/>
  <c r="LY6"/>
  <c r="MA6"/>
  <c r="MC6"/>
  <c r="ME6"/>
  <c r="MG6"/>
  <c r="MI6"/>
  <c r="MK6"/>
  <c r="MM6"/>
  <c r="MO6"/>
  <c r="MQ6"/>
  <c r="MS6"/>
  <c r="MU6"/>
  <c r="MW6"/>
  <c r="MY6"/>
  <c r="NA6"/>
  <c r="NC6"/>
  <c r="NE6"/>
  <c r="NG6"/>
  <c r="NI6"/>
  <c r="NM6"/>
  <c r="NO6"/>
  <c r="NQ6"/>
  <c r="NS6"/>
  <c r="NU6"/>
  <c r="NW6"/>
  <c r="NY6"/>
  <c r="OA6"/>
  <c r="OC6"/>
  <c r="OE6"/>
  <c r="OG6"/>
  <c r="OI6"/>
  <c r="OK6"/>
  <c r="OM6"/>
  <c r="OO6"/>
  <c r="OQ6"/>
  <c r="OS6"/>
  <c r="OU6"/>
  <c r="OW6"/>
  <c r="OY6"/>
  <c r="PA6"/>
  <c r="PC6"/>
  <c r="PE6"/>
  <c r="PG6"/>
  <c r="PI6"/>
  <c r="PK6"/>
  <c r="PM6"/>
  <c r="PO6"/>
  <c r="PQ6"/>
  <c r="PS6"/>
  <c r="PU6"/>
  <c r="PW6"/>
  <c r="PY6"/>
  <c r="QA6"/>
  <c r="QC6"/>
  <c r="QE6"/>
  <c r="QG6"/>
  <c r="QI6"/>
  <c r="QK6"/>
  <c r="QM6"/>
  <c r="QO6"/>
  <c r="QQ6"/>
  <c r="QS6"/>
  <c r="QU6"/>
  <c r="QW6"/>
  <c r="QY6"/>
  <c r="RA6"/>
  <c r="RC6"/>
  <c r="RE6"/>
  <c r="RG6"/>
  <c r="RI6"/>
  <c r="RK6"/>
  <c r="RM6"/>
  <c r="RO6"/>
  <c r="RQ6"/>
  <c r="RS6"/>
  <c r="RU6"/>
  <c r="RW6"/>
  <c r="RY6"/>
  <c r="SA6"/>
  <c r="SC6"/>
  <c r="SE6"/>
  <c r="SG6"/>
  <c r="SI6"/>
  <c r="SK6"/>
  <c r="SM6"/>
  <c r="SO6"/>
  <c r="SQ6"/>
  <c r="SS6"/>
  <c r="SU6"/>
  <c r="SW6"/>
  <c r="SY6"/>
  <c r="TA6"/>
  <c r="TC6"/>
  <c r="TE6"/>
  <c r="TG6"/>
  <c r="TI6"/>
  <c r="TK6"/>
  <c r="TM6"/>
  <c r="TO6"/>
  <c r="TQ6"/>
  <c r="TS6"/>
  <c r="TU6"/>
  <c r="TW6"/>
  <c r="TY6"/>
  <c r="UA6"/>
  <c r="UC6"/>
  <c r="UE6"/>
  <c r="UG6"/>
  <c r="UI6"/>
  <c r="UK6"/>
  <c r="UM6"/>
  <c r="UO6"/>
  <c r="UQ6"/>
  <c r="US6"/>
  <c r="UU6"/>
  <c r="UW6"/>
  <c r="UY6"/>
  <c r="VA6"/>
  <c r="VC6"/>
  <c r="VE6"/>
  <c r="VG6"/>
  <c r="VI6"/>
  <c r="VM6"/>
  <c r="VO6"/>
  <c r="VQ6"/>
  <c r="VS6"/>
  <c r="VW6"/>
  <c r="VY6"/>
  <c r="WA6"/>
  <c r="WC6"/>
  <c r="WE6"/>
  <c r="WG6"/>
  <c r="WI6"/>
  <c r="WK6"/>
  <c r="WM6"/>
  <c r="WO6"/>
  <c r="WS6"/>
  <c r="WU6"/>
  <c r="WW6"/>
  <c r="WY6"/>
  <c r="XA6"/>
  <c r="XC6"/>
  <c r="XE6"/>
  <c r="XG6"/>
  <c r="XI6"/>
  <c r="XK6"/>
  <c r="XM6"/>
  <c r="XO6"/>
  <c r="XQ6"/>
  <c r="XS6"/>
  <c r="XU6"/>
  <c r="XW6"/>
  <c r="XY6"/>
  <c r="YA6"/>
  <c r="YC6"/>
  <c r="YE6"/>
  <c r="YG6"/>
  <c r="YI6"/>
  <c r="YK6"/>
  <c r="YM6"/>
  <c r="YO6"/>
  <c r="YQ6"/>
  <c r="YS6"/>
  <c r="YU6"/>
  <c r="YW6"/>
  <c r="ZA6"/>
  <c r="ZE6"/>
  <c r="ZG6"/>
  <c r="ZK6"/>
  <c r="ZM6"/>
  <c r="ZO6"/>
  <c r="ZQ6"/>
  <c r="ZS6"/>
  <c r="ZU6"/>
  <c r="ZW6"/>
  <c r="ZY6"/>
  <c r="AAA6"/>
  <c r="AAC6"/>
  <c r="AAE6"/>
  <c r="AAG6"/>
  <c r="AAI6"/>
  <c r="AAK6"/>
  <c r="AAM6"/>
  <c r="AAO6"/>
  <c r="AAQ6"/>
  <c r="AAS6"/>
  <c r="AAU6"/>
  <c r="AAW6"/>
  <c r="AAY6"/>
  <c r="ABA6"/>
  <c r="ABC6"/>
  <c r="IY7"/>
  <c r="JA7"/>
  <c r="JC7"/>
  <c r="JE7"/>
  <c r="JG7"/>
  <c r="JI7"/>
  <c r="JK7"/>
  <c r="JM7"/>
  <c r="JO7"/>
  <c r="JQ7"/>
  <c r="JS7"/>
  <c r="JU7"/>
  <c r="JW7"/>
  <c r="JY7"/>
  <c r="KA7"/>
  <c r="KC7"/>
  <c r="KG7"/>
  <c r="KI7"/>
  <c r="KK7"/>
  <c r="KM7"/>
  <c r="KO7"/>
  <c r="KQ7"/>
  <c r="KS7"/>
  <c r="KU7"/>
  <c r="KW7"/>
  <c r="KY7"/>
  <c r="LA7"/>
  <c r="LI7"/>
  <c r="LK7"/>
  <c r="LM7"/>
  <c r="LO7"/>
  <c r="LQ7"/>
  <c r="LS7"/>
  <c r="LU7"/>
  <c r="LW7"/>
  <c r="LY7"/>
  <c r="MA7"/>
  <c r="MC7"/>
  <c r="ME7"/>
  <c r="MG7"/>
  <c r="MI7"/>
  <c r="MK7"/>
  <c r="MM7"/>
  <c r="MO7"/>
  <c r="MQ7"/>
  <c r="MS7"/>
  <c r="MU7"/>
  <c r="MW7"/>
  <c r="MY7"/>
  <c r="NA7"/>
  <c r="NC7"/>
  <c r="NE7"/>
  <c r="NG7"/>
  <c r="NI7"/>
  <c r="NK7"/>
  <c r="NM7"/>
  <c r="NO7"/>
  <c r="NQ7"/>
  <c r="NS7"/>
  <c r="NU7"/>
  <c r="NW7"/>
  <c r="NY7"/>
  <c r="OA7"/>
  <c r="OC7"/>
  <c r="OE7"/>
  <c r="OG7"/>
  <c r="OI7"/>
  <c r="OK7"/>
  <c r="OM7"/>
  <c r="OQ7"/>
  <c r="OS7"/>
  <c r="OU7"/>
  <c r="OW7"/>
  <c r="OY7"/>
  <c r="PA7"/>
  <c r="PC7"/>
  <c r="PE7"/>
  <c r="PG7"/>
  <c r="PI7"/>
  <c r="PK7"/>
  <c r="PM7"/>
  <c r="PO7"/>
  <c r="PQ7"/>
  <c r="PS7"/>
  <c r="PU7"/>
  <c r="PW7"/>
  <c r="PY7"/>
  <c r="QA7"/>
  <c r="QC7"/>
  <c r="QE7"/>
  <c r="QG7"/>
  <c r="QI7"/>
  <c r="QK7"/>
  <c r="QM7"/>
  <c r="QO7"/>
  <c r="QQ7"/>
  <c r="QS7"/>
  <c r="QU7"/>
  <c r="QW7"/>
  <c r="QY7"/>
  <c r="RA7"/>
  <c r="RC7"/>
  <c r="RE7"/>
  <c r="RG7"/>
  <c r="RI7"/>
  <c r="RK7"/>
  <c r="RM7"/>
  <c r="RO7"/>
  <c r="RQ7"/>
  <c r="RS7"/>
  <c r="RU7"/>
  <c r="RW7"/>
  <c r="RY7"/>
  <c r="SA7"/>
  <c r="SC7"/>
  <c r="SE7"/>
  <c r="SG7"/>
  <c r="SI7"/>
  <c r="SK7"/>
  <c r="SM7"/>
  <c r="SO7"/>
  <c r="SQ7"/>
  <c r="SS7"/>
  <c r="SU7"/>
  <c r="SY7"/>
  <c r="TA7"/>
  <c r="TC7"/>
  <c r="TE7"/>
  <c r="TG7"/>
  <c r="TI7"/>
  <c r="TK7"/>
  <c r="TM7"/>
  <c r="TO7"/>
  <c r="TQ7"/>
  <c r="TS7"/>
  <c r="TU7"/>
  <c r="TW7"/>
  <c r="TY7"/>
  <c r="UA7"/>
  <c r="UC7"/>
  <c r="UE7"/>
  <c r="UG7"/>
  <c r="UI7"/>
  <c r="UK7"/>
  <c r="UM7"/>
  <c r="UO7"/>
  <c r="UQ7"/>
  <c r="US7"/>
  <c r="UU7"/>
  <c r="UW7"/>
  <c r="UY7"/>
  <c r="VA7"/>
  <c r="VC7"/>
  <c r="VE7"/>
  <c r="VG7"/>
  <c r="VI7"/>
  <c r="VM7"/>
  <c r="VO7"/>
  <c r="VQ7"/>
  <c r="VW7"/>
  <c r="VY7"/>
  <c r="WA7"/>
  <c r="WC7"/>
  <c r="WE7"/>
  <c r="WI7"/>
  <c r="WK7"/>
  <c r="WM7"/>
  <c r="WO7"/>
  <c r="WS7"/>
  <c r="WU7"/>
  <c r="WW7"/>
  <c r="WY7"/>
  <c r="XA7"/>
  <c r="XC7"/>
  <c r="XE7"/>
  <c r="XG7"/>
  <c r="XI7"/>
  <c r="XK7"/>
  <c r="XM7"/>
  <c r="XO7"/>
  <c r="XQ7"/>
  <c r="XS7"/>
  <c r="XU7"/>
  <c r="XW7"/>
  <c r="XY7"/>
  <c r="YA7"/>
  <c r="YC7"/>
  <c r="YE7"/>
  <c r="YG7"/>
  <c r="YI7"/>
  <c r="YK7"/>
  <c r="YM7"/>
  <c r="YO7"/>
  <c r="YQ7"/>
  <c r="YS7"/>
  <c r="YU7"/>
  <c r="YW7"/>
  <c r="ZA7"/>
  <c r="ZE7"/>
  <c r="ZG7"/>
  <c r="ZI7"/>
  <c r="ZK7"/>
  <c r="ZM7"/>
  <c r="ZO7"/>
  <c r="ZQ7"/>
  <c r="ZS7"/>
  <c r="ZU7"/>
  <c r="ZW7"/>
  <c r="ZY7"/>
  <c r="AAA7"/>
  <c r="AAC7"/>
  <c r="AAE7"/>
  <c r="AAG7"/>
  <c r="AAI7"/>
  <c r="AAK7"/>
  <c r="AAM7"/>
  <c r="AAO7"/>
  <c r="AAQ7"/>
  <c r="AAS7"/>
  <c r="AAU7"/>
  <c r="AAW7"/>
  <c r="AAY7"/>
  <c r="ABA7"/>
  <c r="ABC7"/>
  <c r="IY8"/>
  <c r="JA8"/>
  <c r="JC8"/>
  <c r="JE8"/>
  <c r="JG8"/>
  <c r="JI8"/>
  <c r="JK8"/>
  <c r="JM8"/>
  <c r="JO8"/>
  <c r="JQ8"/>
  <c r="JS8"/>
  <c r="JU8"/>
  <c r="JW8"/>
  <c r="JY8"/>
  <c r="KA8"/>
  <c r="KC8"/>
  <c r="KG8"/>
  <c r="KI8"/>
  <c r="KK8"/>
  <c r="KM8"/>
  <c r="KO8"/>
  <c r="KQ8"/>
  <c r="KS8"/>
  <c r="KU8"/>
  <c r="KW8"/>
  <c r="KY8"/>
  <c r="LA8"/>
  <c r="LI8"/>
  <c r="LK8"/>
  <c r="LM8"/>
  <c r="LO8"/>
  <c r="LQ8"/>
  <c r="LS8"/>
  <c r="LU8"/>
  <c r="LW8"/>
  <c r="LY8"/>
  <c r="MA8"/>
  <c r="MC8"/>
  <c r="ME8"/>
  <c r="MG8"/>
  <c r="MI8"/>
  <c r="MK8"/>
  <c r="MM8"/>
  <c r="MO8"/>
  <c r="MQ8"/>
  <c r="MS8"/>
  <c r="MU8"/>
  <c r="MW8"/>
  <c r="MY8"/>
  <c r="NA8"/>
  <c r="NC8"/>
  <c r="NE8"/>
  <c r="NG8"/>
  <c r="NI8"/>
  <c r="NK8"/>
  <c r="NM8"/>
  <c r="NO8"/>
  <c r="NQ8"/>
  <c r="NS8"/>
  <c r="NU8"/>
  <c r="NW8"/>
  <c r="NY8"/>
  <c r="OA8"/>
  <c r="OC8"/>
  <c r="OE8"/>
  <c r="OG8"/>
  <c r="OI8"/>
  <c r="OK8"/>
  <c r="OM8"/>
  <c r="OO8"/>
  <c r="OQ8"/>
  <c r="OS8"/>
  <c r="OU8"/>
  <c r="OW8"/>
  <c r="OY8"/>
  <c r="PA8"/>
  <c r="PC8"/>
  <c r="PE8"/>
  <c r="PG8"/>
  <c r="PI8"/>
  <c r="PK8"/>
  <c r="PM8"/>
  <c r="PO8"/>
  <c r="PQ8"/>
  <c r="PS8"/>
  <c r="PU8"/>
  <c r="PW8"/>
  <c r="PY8"/>
  <c r="QA8"/>
  <c r="QC8"/>
  <c r="QE8"/>
  <c r="QG8"/>
  <c r="QI8"/>
  <c r="QK8"/>
  <c r="QM8"/>
  <c r="QO8"/>
  <c r="QQ8"/>
  <c r="QS8"/>
  <c r="QU8"/>
  <c r="QW8"/>
  <c r="QY8"/>
  <c r="RA8"/>
  <c r="RC8"/>
  <c r="RE8"/>
  <c r="RG8"/>
  <c r="RI8"/>
  <c r="RK8"/>
  <c r="RM8"/>
  <c r="RO8"/>
  <c r="RQ8"/>
  <c r="RS8"/>
  <c r="RU8"/>
  <c r="RW8"/>
  <c r="RY8"/>
  <c r="SA8"/>
  <c r="SC8"/>
  <c r="SE8"/>
  <c r="SG8"/>
  <c r="SI8"/>
  <c r="SK8"/>
  <c r="SM8"/>
  <c r="SO8"/>
  <c r="SQ8"/>
  <c r="SS8"/>
  <c r="SU8"/>
  <c r="SW8"/>
  <c r="SY8"/>
  <c r="TA8"/>
  <c r="TC8"/>
  <c r="TE8"/>
  <c r="TG8"/>
  <c r="TI8"/>
  <c r="TK8"/>
  <c r="TM8"/>
  <c r="TO8"/>
  <c r="TQ8"/>
  <c r="TS8"/>
  <c r="TU8"/>
  <c r="TW8"/>
  <c r="TY8"/>
  <c r="UA8"/>
  <c r="UC8"/>
  <c r="UE8"/>
  <c r="UG8"/>
  <c r="UI8"/>
  <c r="UK8"/>
  <c r="UM8"/>
  <c r="UO8"/>
  <c r="UQ8"/>
  <c r="US8"/>
  <c r="UU8"/>
  <c r="UW8"/>
  <c r="UY8"/>
  <c r="VA8"/>
  <c r="VC8"/>
  <c r="VE8"/>
  <c r="VG8"/>
  <c r="VI8"/>
  <c r="VM8"/>
  <c r="VO8"/>
  <c r="VQ8"/>
  <c r="VW8"/>
  <c r="VY8"/>
  <c r="WA8"/>
  <c r="WC8"/>
  <c r="WE8"/>
  <c r="WI8"/>
  <c r="WK8"/>
  <c r="WM8"/>
  <c r="WO8"/>
  <c r="WS8"/>
  <c r="WU8"/>
  <c r="WW8"/>
  <c r="WY8"/>
  <c r="XA8"/>
  <c r="XC8"/>
  <c r="XE8"/>
  <c r="XG8"/>
  <c r="XI8"/>
  <c r="XK8"/>
  <c r="XM8"/>
  <c r="XO8"/>
  <c r="XQ8"/>
  <c r="XS8"/>
  <c r="XU8"/>
  <c r="XW8"/>
  <c r="XY8"/>
  <c r="YC8"/>
  <c r="YE8"/>
  <c r="YG8"/>
  <c r="YI8"/>
  <c r="YK8"/>
  <c r="YM8"/>
  <c r="YO8"/>
  <c r="YQ8"/>
  <c r="YS8"/>
  <c r="YU8"/>
  <c r="YW8"/>
  <c r="ZA8"/>
  <c r="ZE8"/>
  <c r="ZG8"/>
  <c r="ZI8"/>
  <c r="ZK8"/>
  <c r="ZM8"/>
  <c r="ZO8"/>
  <c r="ZQ8"/>
  <c r="ZS8"/>
  <c r="ZU8"/>
  <c r="ZW8"/>
  <c r="ZY8"/>
  <c r="AAA8"/>
  <c r="AAC8"/>
  <c r="AAE8"/>
  <c r="AAG8"/>
  <c r="AAI8"/>
  <c r="AAK8"/>
  <c r="AAM8"/>
  <c r="AAO8"/>
  <c r="AAQ8"/>
  <c r="AAS8"/>
  <c r="AAU8"/>
  <c r="AAW8"/>
  <c r="AAY8"/>
  <c r="ABA8"/>
  <c r="ABC8"/>
  <c r="IY9"/>
  <c r="JA9"/>
  <c r="JC9"/>
  <c r="JE9"/>
  <c r="JG9"/>
  <c r="JI9"/>
  <c r="JK9"/>
  <c r="JM9"/>
  <c r="JO9"/>
  <c r="JQ9"/>
  <c r="JS9"/>
  <c r="JU9"/>
  <c r="JW9"/>
  <c r="JY9"/>
  <c r="KA9"/>
  <c r="KC9"/>
  <c r="KG9"/>
  <c r="KI9"/>
  <c r="KK9"/>
  <c r="KM9"/>
  <c r="KO9"/>
  <c r="KQ9"/>
  <c r="KS9"/>
  <c r="KU9"/>
  <c r="KW9"/>
  <c r="KY9"/>
  <c r="LA9"/>
  <c r="LI9"/>
  <c r="LK9"/>
  <c r="LM9"/>
  <c r="LO9"/>
  <c r="LQ9"/>
  <c r="LS9"/>
  <c r="LU9"/>
  <c r="LW9"/>
  <c r="LY9"/>
  <c r="MA9"/>
  <c r="MC9"/>
  <c r="ME9"/>
  <c r="MG9"/>
  <c r="MI9"/>
  <c r="MK9"/>
  <c r="MM9"/>
  <c r="MO9"/>
  <c r="MQ9"/>
  <c r="MS9"/>
  <c r="MU9"/>
  <c r="MW9"/>
  <c r="MY9"/>
  <c r="NA9"/>
  <c r="NC9"/>
  <c r="NE9"/>
  <c r="NG9"/>
  <c r="NI9"/>
  <c r="NK9"/>
  <c r="NM9"/>
  <c r="NO9"/>
  <c r="NQ9"/>
  <c r="NS9"/>
  <c r="NU9"/>
  <c r="NW9"/>
  <c r="NY9"/>
  <c r="OA9"/>
  <c r="OC9"/>
  <c r="OE9"/>
  <c r="OG9"/>
  <c r="OI9"/>
  <c r="OK9"/>
  <c r="OM9"/>
  <c r="OO9"/>
  <c r="OQ9"/>
  <c r="OS9"/>
  <c r="OU9"/>
  <c r="OW9"/>
  <c r="OY9"/>
  <c r="PA9"/>
  <c r="PC9"/>
  <c r="PE9"/>
  <c r="PG9"/>
  <c r="PI9"/>
  <c r="PK9"/>
  <c r="PM9"/>
  <c r="PO9"/>
  <c r="PQ9"/>
  <c r="PS9"/>
  <c r="PU9"/>
  <c r="PW9"/>
  <c r="PY9"/>
  <c r="QA9"/>
  <c r="QC9"/>
  <c r="QE9"/>
  <c r="QG9"/>
  <c r="QI9"/>
  <c r="QK9"/>
  <c r="QM9"/>
  <c r="QO9"/>
  <c r="QQ9"/>
  <c r="QS9"/>
  <c r="QU9"/>
  <c r="QW9"/>
  <c r="QY9"/>
  <c r="RA9"/>
  <c r="RE9"/>
  <c r="RG9"/>
  <c r="RI9"/>
  <c r="RK9"/>
  <c r="RM9"/>
  <c r="RO9"/>
  <c r="RQ9"/>
  <c r="RS9"/>
  <c r="RU9"/>
  <c r="RW9"/>
  <c r="RY9"/>
  <c r="SA9"/>
  <c r="SC9"/>
  <c r="SE9"/>
  <c r="SG9"/>
  <c r="SI9"/>
  <c r="SK9"/>
  <c r="SM9"/>
  <c r="SO9"/>
  <c r="SQ9"/>
  <c r="SS9"/>
  <c r="SU9"/>
  <c r="SW9"/>
  <c r="SY9"/>
  <c r="TA9"/>
  <c r="TC9"/>
  <c r="TE9"/>
  <c r="TG9"/>
  <c r="TI9"/>
  <c r="TK9"/>
  <c r="TM9"/>
  <c r="TO9"/>
  <c r="TQ9"/>
  <c r="TS9"/>
  <c r="TU9"/>
  <c r="TW9"/>
  <c r="TY9"/>
  <c r="UA9"/>
  <c r="UE9"/>
  <c r="UG9"/>
  <c r="UI9"/>
  <c r="UK9"/>
  <c r="UM9"/>
  <c r="UO9"/>
  <c r="UQ9"/>
  <c r="US9"/>
  <c r="UU9"/>
  <c r="UW9"/>
  <c r="UY9"/>
  <c r="VA9"/>
  <c r="VC9"/>
  <c r="VE9"/>
  <c r="VG9"/>
  <c r="VI9"/>
  <c r="VM9"/>
  <c r="VO9"/>
  <c r="VQ9"/>
  <c r="VW9"/>
  <c r="VY9"/>
  <c r="WC9"/>
  <c r="WE9"/>
  <c r="WG9"/>
  <c r="WI9"/>
  <c r="WK9"/>
  <c r="WM9"/>
  <c r="WO9"/>
  <c r="WS9"/>
  <c r="WU9"/>
  <c r="WW9"/>
  <c r="WY9"/>
  <c r="XA9"/>
  <c r="XC9"/>
  <c r="XE9"/>
  <c r="XG9"/>
  <c r="XI9"/>
  <c r="XK9"/>
  <c r="XM9"/>
  <c r="XO9"/>
  <c r="XQ9"/>
  <c r="XS9"/>
  <c r="XU9"/>
  <c r="XW9"/>
  <c r="XY9"/>
  <c r="YC9"/>
  <c r="YE9"/>
  <c r="YG9"/>
  <c r="YI9"/>
  <c r="YK9"/>
  <c r="YM9"/>
  <c r="YO9"/>
  <c r="YQ9"/>
  <c r="YS9"/>
  <c r="YU9"/>
  <c r="YW9"/>
  <c r="ZA9"/>
  <c r="ZE9"/>
  <c r="ZG9"/>
  <c r="ZI9"/>
  <c r="ZK9"/>
  <c r="ZM9"/>
  <c r="ZO9"/>
  <c r="ZQ9"/>
  <c r="ZS9"/>
  <c r="ZU9"/>
  <c r="ZW9"/>
  <c r="ZY9"/>
  <c r="AAA9"/>
  <c r="AAC9"/>
  <c r="AAE9"/>
  <c r="AAG9"/>
  <c r="AAI9"/>
  <c r="AAK9"/>
  <c r="AAM9"/>
  <c r="AAO9"/>
  <c r="AAS9"/>
  <c r="AAU9"/>
  <c r="AAW9"/>
  <c r="AAY9"/>
  <c r="ABA9"/>
  <c r="ABC9"/>
  <c r="IY10"/>
  <c r="JA10"/>
  <c r="JC10"/>
  <c r="JE10"/>
  <c r="JG10"/>
  <c r="JI10"/>
  <c r="JK10"/>
  <c r="JM10"/>
  <c r="JO10"/>
  <c r="JQ10"/>
  <c r="JS10"/>
  <c r="JU10"/>
  <c r="JW10"/>
  <c r="JY10"/>
  <c r="KA10"/>
  <c r="KC10"/>
  <c r="KG10"/>
  <c r="KI10"/>
  <c r="KK10"/>
  <c r="KM10"/>
  <c r="KO10"/>
  <c r="KQ10"/>
  <c r="KS10"/>
  <c r="KU10"/>
  <c r="KW10"/>
  <c r="KY10"/>
  <c r="LA10"/>
  <c r="LI10"/>
  <c r="LK10"/>
  <c r="LM10"/>
  <c r="LO10"/>
  <c r="LQ10"/>
  <c r="LS10"/>
  <c r="LU10"/>
  <c r="LW10"/>
  <c r="LY10"/>
  <c r="MA10"/>
  <c r="MC10"/>
  <c r="ME10"/>
  <c r="MG10"/>
  <c r="MI10"/>
  <c r="MK10"/>
  <c r="MM10"/>
  <c r="MO10"/>
  <c r="MQ10"/>
  <c r="MS10"/>
  <c r="MU10"/>
  <c r="MW10"/>
  <c r="MY10"/>
  <c r="NA10"/>
  <c r="NC10"/>
  <c r="NE10"/>
  <c r="NG10"/>
  <c r="NI10"/>
  <c r="NK10"/>
  <c r="NM10"/>
  <c r="NO10"/>
  <c r="NQ10"/>
  <c r="NS10"/>
  <c r="NU10"/>
  <c r="NW10"/>
  <c r="NY10"/>
  <c r="OA10"/>
  <c r="OC10"/>
  <c r="OE10"/>
  <c r="OG10"/>
  <c r="OI10"/>
  <c r="OK10"/>
  <c r="OM10"/>
  <c r="OO10"/>
  <c r="OQ10"/>
  <c r="OS10"/>
  <c r="OU10"/>
  <c r="OW10"/>
  <c r="OY10"/>
  <c r="PA10"/>
  <c r="PC10"/>
  <c r="PE10"/>
  <c r="PG10"/>
  <c r="PI10"/>
  <c r="PK10"/>
  <c r="PM10"/>
  <c r="PO10"/>
  <c r="PQ10"/>
  <c r="PS10"/>
  <c r="PU10"/>
  <c r="PW10"/>
  <c r="PY10"/>
  <c r="QA10"/>
  <c r="QC10"/>
  <c r="QE10"/>
  <c r="QG10"/>
  <c r="QI10"/>
  <c r="QK10"/>
  <c r="QM10"/>
  <c r="QO10"/>
  <c r="QQ10"/>
  <c r="QS10"/>
  <c r="QU10"/>
  <c r="QW10"/>
  <c r="QY10"/>
  <c r="RA10"/>
  <c r="RE10"/>
  <c r="RG10"/>
  <c r="RK10"/>
  <c r="RM10"/>
  <c r="RO10"/>
  <c r="RQ10"/>
  <c r="RS10"/>
  <c r="RU10"/>
  <c r="RW10"/>
  <c r="RY10"/>
  <c r="SA10"/>
  <c r="SC10"/>
  <c r="SE10"/>
  <c r="SG10"/>
  <c r="SI10"/>
  <c r="SK10"/>
  <c r="SM10"/>
  <c r="SO10"/>
  <c r="SQ10"/>
  <c r="SS10"/>
  <c r="SU10"/>
  <c r="SY10"/>
  <c r="TA10"/>
  <c r="TC10"/>
  <c r="TE10"/>
  <c r="TG10"/>
  <c r="TI10"/>
  <c r="TK10"/>
  <c r="TM10"/>
  <c r="TO10"/>
  <c r="TQ10"/>
  <c r="TS10"/>
  <c r="TU10"/>
  <c r="TW10"/>
  <c r="TY10"/>
  <c r="UA10"/>
  <c r="UE10"/>
  <c r="UG10"/>
  <c r="UI10"/>
  <c r="UK10"/>
  <c r="UM10"/>
  <c r="UO10"/>
  <c r="UQ10"/>
  <c r="US10"/>
  <c r="UU10"/>
  <c r="UW10"/>
  <c r="UY10"/>
  <c r="VA10"/>
  <c r="VC10"/>
  <c r="VE10"/>
  <c r="VG10"/>
  <c r="VI10"/>
  <c r="VM10"/>
  <c r="VO10"/>
  <c r="VQ10"/>
  <c r="VS10"/>
  <c r="VW10"/>
  <c r="VY10"/>
  <c r="WC10"/>
  <c r="WE10"/>
  <c r="WG10"/>
  <c r="WI10"/>
  <c r="WK10"/>
  <c r="WM10"/>
  <c r="WO10"/>
  <c r="WS10"/>
  <c r="WU10"/>
  <c r="WW10"/>
  <c r="WY10"/>
  <c r="XA10"/>
  <c r="XC10"/>
  <c r="XE10"/>
  <c r="XG10"/>
  <c r="XI10"/>
  <c r="XK10"/>
  <c r="XM10"/>
  <c r="XO10"/>
  <c r="XQ10"/>
  <c r="XS10"/>
  <c r="XU10"/>
  <c r="XW10"/>
  <c r="XY10"/>
  <c r="YC10"/>
  <c r="YE10"/>
  <c r="YG10"/>
  <c r="YI10"/>
  <c r="YK10"/>
  <c r="YM10"/>
  <c r="YO10"/>
  <c r="YQ10"/>
  <c r="YS10"/>
  <c r="YU10"/>
  <c r="YW10"/>
  <c r="ZA10"/>
  <c r="ZC10"/>
  <c r="ZE10"/>
  <c r="ZG10"/>
  <c r="ZI10"/>
  <c r="ZK10"/>
  <c r="ZM10"/>
  <c r="ZO10"/>
  <c r="ZQ10"/>
  <c r="ZS10"/>
  <c r="ZU10"/>
  <c r="ZW10"/>
  <c r="ZY10"/>
  <c r="AAA10"/>
  <c r="AAC10"/>
  <c r="AAE10"/>
  <c r="AAG10"/>
  <c r="AAI10"/>
  <c r="AAK10"/>
  <c r="AAM10"/>
  <c r="AAS10"/>
  <c r="AAU10"/>
  <c r="AAW10"/>
  <c r="AAY10"/>
  <c r="ABA10"/>
  <c r="ABC10"/>
  <c r="IY11"/>
  <c r="JA11"/>
  <c r="JC11"/>
  <c r="JE11"/>
  <c r="JG11"/>
  <c r="JI11"/>
  <c r="JK11"/>
  <c r="JM11"/>
  <c r="JO11"/>
  <c r="JQ11"/>
  <c r="JS11"/>
  <c r="JU11"/>
  <c r="JW11"/>
  <c r="JY11"/>
  <c r="KA11"/>
  <c r="KC11"/>
  <c r="KG11"/>
  <c r="KI11"/>
  <c r="KK11"/>
  <c r="KM11"/>
  <c r="KO11"/>
  <c r="KQ11"/>
  <c r="KS11"/>
  <c r="KU11"/>
  <c r="KW11"/>
  <c r="LA11"/>
  <c r="LI11"/>
  <c r="LK11"/>
  <c r="LM11"/>
  <c r="LO11"/>
  <c r="LQ11"/>
  <c r="LS11"/>
  <c r="LU11"/>
  <c r="LW11"/>
  <c r="LY11"/>
  <c r="MA11"/>
  <c r="MC11"/>
  <c r="ME11"/>
  <c r="MG11"/>
  <c r="MI11"/>
  <c r="MK11"/>
  <c r="MM11"/>
  <c r="MO11"/>
  <c r="MQ11"/>
  <c r="MS11"/>
  <c r="MU11"/>
  <c r="MW11"/>
  <c r="MY11"/>
  <c r="NA11"/>
  <c r="NC11"/>
  <c r="NE11"/>
  <c r="NG11"/>
  <c r="NI11"/>
  <c r="NK11"/>
  <c r="NM11"/>
  <c r="NO11"/>
  <c r="NQ11"/>
  <c r="NS11"/>
  <c r="NU11"/>
  <c r="NW11"/>
  <c r="NY11"/>
  <c r="OA11"/>
  <c r="OC11"/>
  <c r="OE11"/>
  <c r="OG11"/>
  <c r="OI11"/>
  <c r="OK11"/>
  <c r="OM11"/>
  <c r="OO11"/>
  <c r="OQ11"/>
  <c r="OS11"/>
  <c r="OU11"/>
  <c r="OW11"/>
  <c r="OY11"/>
  <c r="PA11"/>
  <c r="PC11"/>
  <c r="PE11"/>
  <c r="PG11"/>
  <c r="PI11"/>
  <c r="PK11"/>
  <c r="PM11"/>
  <c r="PO11"/>
  <c r="PQ11"/>
  <c r="PS11"/>
  <c r="PU11"/>
  <c r="PW11"/>
  <c r="PY11"/>
  <c r="QA11"/>
  <c r="QC11"/>
  <c r="QE11"/>
  <c r="QG11"/>
  <c r="QI11"/>
  <c r="QK11"/>
  <c r="QM11"/>
  <c r="QO11"/>
  <c r="QQ11"/>
  <c r="QS11"/>
  <c r="QU11"/>
  <c r="QW11"/>
  <c r="QY11"/>
  <c r="RA11"/>
  <c r="RE11"/>
  <c r="RG11"/>
  <c r="RK11"/>
  <c r="RM11"/>
  <c r="RO11"/>
  <c r="RQ11"/>
  <c r="RS11"/>
  <c r="RU11"/>
  <c r="RW11"/>
  <c r="RY11"/>
  <c r="SA11"/>
  <c r="SC11"/>
  <c r="SE11"/>
  <c r="SG11"/>
  <c r="SI11"/>
  <c r="SK11"/>
  <c r="SM11"/>
  <c r="SO11"/>
  <c r="SQ11"/>
  <c r="SS11"/>
  <c r="SU11"/>
  <c r="SY11"/>
  <c r="TA11"/>
  <c r="TC11"/>
  <c r="TE11"/>
  <c r="TG11"/>
  <c r="TI11"/>
  <c r="TK11"/>
  <c r="TM11"/>
  <c r="TO11"/>
  <c r="TQ11"/>
  <c r="TS11"/>
  <c r="TU11"/>
  <c r="TW11"/>
  <c r="TY11"/>
  <c r="UA11"/>
  <c r="UE11"/>
  <c r="UG11"/>
  <c r="UI11"/>
  <c r="UK11"/>
  <c r="UM11"/>
  <c r="UO11"/>
  <c r="UQ11"/>
  <c r="US11"/>
  <c r="UU11"/>
  <c r="UW11"/>
  <c r="UY11"/>
  <c r="VA11"/>
  <c r="VC11"/>
  <c r="VE11"/>
  <c r="VG11"/>
  <c r="VI11"/>
  <c r="VM11"/>
  <c r="VO11"/>
  <c r="VQ11"/>
  <c r="VS11"/>
  <c r="VW11"/>
  <c r="VY11"/>
  <c r="WC11"/>
  <c r="WE11"/>
  <c r="WG11"/>
  <c r="WI11"/>
  <c r="WK11"/>
  <c r="WM11"/>
  <c r="WO11"/>
  <c r="WS11"/>
  <c r="WU11"/>
  <c r="WW11"/>
  <c r="WY11"/>
  <c r="XA11"/>
  <c r="XC11"/>
  <c r="XE11"/>
  <c r="XG11"/>
  <c r="XI11"/>
  <c r="XK11"/>
  <c r="XM11"/>
  <c r="XO11"/>
  <c r="XQ11"/>
  <c r="XS11"/>
  <c r="XU11"/>
  <c r="XW11"/>
  <c r="XY11"/>
  <c r="YC11"/>
  <c r="YE11"/>
  <c r="YG11"/>
  <c r="YI11"/>
  <c r="YK11"/>
  <c r="YM11"/>
  <c r="YO11"/>
  <c r="YQ11"/>
  <c r="YS11"/>
  <c r="YU11"/>
  <c r="YW11"/>
  <c r="ZA11"/>
  <c r="ZC11"/>
  <c r="ZE11"/>
  <c r="ZG11"/>
  <c r="ZI11"/>
  <c r="ZK11"/>
  <c r="ZM11"/>
  <c r="ZO11"/>
  <c r="ZQ11"/>
  <c r="ZS11"/>
  <c r="ZU11"/>
  <c r="ZW11"/>
  <c r="ZY11"/>
  <c r="AAA11"/>
  <c r="AAC11"/>
  <c r="AAE11"/>
  <c r="AAG11"/>
  <c r="AAI11"/>
  <c r="AAK11"/>
  <c r="AAM11"/>
  <c r="AAS11"/>
  <c r="AAU11"/>
  <c r="AAW11"/>
  <c r="AAY11"/>
  <c r="ABA11"/>
  <c r="ABC11"/>
  <c r="IY12"/>
  <c r="JA12"/>
  <c r="JC12"/>
  <c r="JE12"/>
  <c r="JG12"/>
  <c r="JI12"/>
  <c r="JK12"/>
  <c r="JM12"/>
  <c r="JO12"/>
  <c r="JQ12"/>
  <c r="JS12"/>
  <c r="JU12"/>
  <c r="JW12"/>
  <c r="JY12"/>
  <c r="KA12"/>
  <c r="KC12"/>
  <c r="KG12"/>
  <c r="KI12"/>
  <c r="KK12"/>
  <c r="KM12"/>
  <c r="KO12"/>
  <c r="KQ12"/>
  <c r="KS12"/>
  <c r="KU12"/>
  <c r="KW12"/>
  <c r="KY12"/>
  <c r="LA12"/>
  <c r="LI12"/>
  <c r="LK12"/>
  <c r="LM12"/>
  <c r="LO12"/>
  <c r="LQ12"/>
  <c r="LS12"/>
  <c r="LU12"/>
  <c r="LW12"/>
  <c r="LY12"/>
  <c r="MA12"/>
  <c r="MC12"/>
  <c r="ME12"/>
  <c r="MG12"/>
  <c r="MI12"/>
  <c r="MK12"/>
  <c r="MM12"/>
  <c r="MO12"/>
  <c r="MQ12"/>
  <c r="MS12"/>
  <c r="MU12"/>
  <c r="MW12"/>
  <c r="MY12"/>
  <c r="NA12"/>
  <c r="NC12"/>
  <c r="NE12"/>
  <c r="NG12"/>
  <c r="NI12"/>
  <c r="NK12"/>
  <c r="NM12"/>
  <c r="NO12"/>
  <c r="NQ12"/>
  <c r="NS12"/>
  <c r="NU12"/>
  <c r="NW12"/>
  <c r="NY12"/>
  <c r="OA12"/>
  <c r="OC12"/>
  <c r="OE12"/>
  <c r="OG12"/>
  <c r="OI12"/>
  <c r="OK12"/>
  <c r="OM12"/>
  <c r="OO12"/>
  <c r="OQ12"/>
  <c r="OS12"/>
  <c r="OU12"/>
  <c r="OW12"/>
  <c r="OY12"/>
  <c r="PA12"/>
  <c r="PC12"/>
  <c r="PE12"/>
  <c r="PG12"/>
  <c r="PI12"/>
  <c r="PK12"/>
  <c r="PM12"/>
  <c r="PO12"/>
  <c r="PQ12"/>
  <c r="PS12"/>
  <c r="PU12"/>
  <c r="PW12"/>
  <c r="PY12"/>
  <c r="QA12"/>
  <c r="QC12"/>
  <c r="QE12"/>
  <c r="QG12"/>
  <c r="QI12"/>
  <c r="QK12"/>
  <c r="QM12"/>
  <c r="QO12"/>
  <c r="QQ12"/>
  <c r="QS12"/>
  <c r="QU12"/>
  <c r="QW12"/>
  <c r="QY12"/>
  <c r="RA12"/>
  <c r="RE12"/>
  <c r="RG12"/>
  <c r="RK12"/>
  <c r="RM12"/>
  <c r="RO12"/>
  <c r="RQ12"/>
  <c r="RS12"/>
  <c r="RU12"/>
  <c r="RW12"/>
  <c r="RY12"/>
  <c r="SA12"/>
  <c r="SC12"/>
  <c r="SE12"/>
  <c r="SG12"/>
  <c r="SI12"/>
  <c r="SK12"/>
  <c r="SM12"/>
  <c r="SO12"/>
  <c r="SS12"/>
  <c r="SW12"/>
  <c r="SY12"/>
  <c r="TA12"/>
  <c r="TC12"/>
  <c r="TE12"/>
  <c r="TG12"/>
  <c r="TI12"/>
  <c r="TK12"/>
  <c r="TM12"/>
  <c r="TO12"/>
  <c r="TQ12"/>
  <c r="TS12"/>
  <c r="TU12"/>
  <c r="TW12"/>
  <c r="TY12"/>
  <c r="UA12"/>
  <c r="UE12"/>
  <c r="UG12"/>
  <c r="UI12"/>
  <c r="UK12"/>
  <c r="UM12"/>
  <c r="UO12"/>
  <c r="UQ12"/>
  <c r="US12"/>
  <c r="UU12"/>
  <c r="UW12"/>
  <c r="UY12"/>
  <c r="VA12"/>
  <c r="VC12"/>
  <c r="VE12"/>
  <c r="VG12"/>
  <c r="VI12"/>
  <c r="VM12"/>
  <c r="VO12"/>
  <c r="VQ12"/>
  <c r="VS12"/>
  <c r="VW12"/>
  <c r="VY12"/>
  <c r="WC12"/>
  <c r="WE12"/>
  <c r="WG12"/>
  <c r="WI12"/>
  <c r="WK12"/>
  <c r="WM12"/>
  <c r="WO12"/>
  <c r="WS12"/>
  <c r="WU12"/>
  <c r="WW12"/>
  <c r="WY12"/>
  <c r="XA12"/>
  <c r="XC12"/>
  <c r="XE12"/>
  <c r="XG12"/>
  <c r="XI12"/>
  <c r="XK12"/>
  <c r="XM12"/>
  <c r="XO12"/>
  <c r="XQ12"/>
  <c r="XS12"/>
  <c r="XU12"/>
  <c r="XW12"/>
  <c r="XY12"/>
  <c r="YC12"/>
  <c r="YE12"/>
  <c r="YG12"/>
  <c r="YI12"/>
  <c r="YK12"/>
  <c r="YM12"/>
  <c r="YO12"/>
  <c r="YQ12"/>
  <c r="YS12"/>
  <c r="YU12"/>
  <c r="YW12"/>
  <c r="ZA12"/>
  <c r="ZC12"/>
  <c r="ZE12"/>
  <c r="ZG12"/>
  <c r="ZI12"/>
  <c r="ZK12"/>
  <c r="ZM12"/>
  <c r="ZO12"/>
  <c r="ZQ12"/>
  <c r="ZS12"/>
  <c r="ZU12"/>
  <c r="ZW12"/>
  <c r="ZY12"/>
  <c r="AAA12"/>
  <c r="AAC12"/>
  <c r="AAE12"/>
  <c r="AAG12"/>
  <c r="AAI12"/>
  <c r="AAK12"/>
  <c r="AAM12"/>
  <c r="AAS12"/>
  <c r="AAU12"/>
  <c r="AAW12"/>
  <c r="ABA12"/>
  <c r="ABC12"/>
  <c r="IY13"/>
  <c r="JA13"/>
  <c r="JC13"/>
  <c r="JE13"/>
  <c r="JG13"/>
  <c r="JI13"/>
  <c r="JK13"/>
  <c r="JM13"/>
  <c r="JO13"/>
  <c r="JS13"/>
  <c r="JU13"/>
  <c r="JW13"/>
  <c r="JY13"/>
  <c r="KA13"/>
  <c r="KC13"/>
  <c r="KG13"/>
  <c r="KI13"/>
  <c r="KK13"/>
  <c r="KM13"/>
  <c r="KO13"/>
  <c r="KQ13"/>
  <c r="KS13"/>
  <c r="KU13"/>
  <c r="KW13"/>
  <c r="KY13"/>
  <c r="LA13"/>
  <c r="LI13"/>
  <c r="LK13"/>
  <c r="LM13"/>
  <c r="LO13"/>
  <c r="LQ13"/>
  <c r="LS13"/>
  <c r="LU13"/>
  <c r="LW13"/>
  <c r="LY13"/>
  <c r="MA13"/>
  <c r="MC13"/>
  <c r="ME13"/>
  <c r="MG13"/>
  <c r="MI13"/>
  <c r="MK13"/>
  <c r="MM13"/>
  <c r="MO13"/>
  <c r="MQ13"/>
  <c r="MS13"/>
  <c r="MU13"/>
  <c r="MW13"/>
  <c r="MY13"/>
  <c r="NA13"/>
  <c r="NC13"/>
  <c r="NE13"/>
  <c r="NG13"/>
  <c r="NI13"/>
  <c r="NK13"/>
  <c r="NM13"/>
  <c r="NO13"/>
  <c r="NQ13"/>
  <c r="NS13"/>
  <c r="NU13"/>
  <c r="NW13"/>
  <c r="NY13"/>
  <c r="OA13"/>
  <c r="OC13"/>
  <c r="OE13"/>
  <c r="OG13"/>
  <c r="OI13"/>
  <c r="OK13"/>
  <c r="OM13"/>
  <c r="OO13"/>
  <c r="OQ13"/>
  <c r="OS13"/>
  <c r="OU13"/>
  <c r="OW13"/>
  <c r="OY13"/>
  <c r="PA13"/>
  <c r="PC13"/>
  <c r="PE13"/>
  <c r="PG13"/>
  <c r="PI13"/>
  <c r="PK13"/>
  <c r="PM13"/>
  <c r="PQ13"/>
  <c r="PS13"/>
  <c r="PU13"/>
  <c r="PW13"/>
  <c r="PY13"/>
  <c r="QA13"/>
  <c r="QC13"/>
  <c r="QE13"/>
  <c r="QG13"/>
  <c r="QI13"/>
  <c r="QK13"/>
  <c r="QM13"/>
  <c r="QO13"/>
  <c r="QQ13"/>
  <c r="QS13"/>
  <c r="QU13"/>
  <c r="QW13"/>
  <c r="QY13"/>
  <c r="RA13"/>
  <c r="RE13"/>
  <c r="RG13"/>
  <c r="RK13"/>
  <c r="RM13"/>
  <c r="RO13"/>
  <c r="RQ13"/>
  <c r="RS13"/>
  <c r="RU13"/>
  <c r="RW13"/>
  <c r="RY13"/>
  <c r="SA13"/>
  <c r="SC13"/>
  <c r="SE13"/>
  <c r="SG13"/>
  <c r="SI13"/>
  <c r="SK13"/>
  <c r="SM13"/>
  <c r="SO13"/>
  <c r="SQ13"/>
  <c r="SS13"/>
  <c r="SW13"/>
  <c r="SY13"/>
  <c r="TA13"/>
  <c r="TC13"/>
  <c r="TE13"/>
  <c r="TG13"/>
  <c r="TI13"/>
  <c r="TK13"/>
  <c r="TM13"/>
  <c r="TO13"/>
  <c r="TQ13"/>
  <c r="TU13"/>
  <c r="TW13"/>
  <c r="TY13"/>
  <c r="UA13"/>
  <c r="UC13"/>
  <c r="UE13"/>
  <c r="UG13"/>
  <c r="UI13"/>
  <c r="UK13"/>
  <c r="UM13"/>
  <c r="UO13"/>
  <c r="UQ13"/>
  <c r="US13"/>
  <c r="UU13"/>
  <c r="UW13"/>
  <c r="UY13"/>
  <c r="VA13"/>
  <c r="VC13"/>
  <c r="VE13"/>
  <c r="VG13"/>
  <c r="VM13"/>
  <c r="VO13"/>
  <c r="VQ13"/>
  <c r="VS13"/>
  <c r="VW13"/>
  <c r="VY13"/>
  <c r="WC13"/>
  <c r="WE13"/>
  <c r="WG13"/>
  <c r="WI13"/>
  <c r="WK13"/>
  <c r="WM13"/>
  <c r="WO13"/>
  <c r="WS13"/>
  <c r="WU13"/>
  <c r="WW13"/>
  <c r="WY13"/>
  <c r="XA13"/>
  <c r="XC13"/>
  <c r="XE13"/>
  <c r="XG13"/>
  <c r="XI13"/>
  <c r="XK13"/>
  <c r="XM13"/>
  <c r="XO13"/>
  <c r="XQ13"/>
  <c r="XS13"/>
  <c r="XU13"/>
  <c r="XW13"/>
  <c r="XY13"/>
  <c r="YC13"/>
  <c r="YE13"/>
  <c r="YG13"/>
  <c r="YI13"/>
  <c r="YK13"/>
  <c r="YM13"/>
  <c r="YO13"/>
  <c r="YQ13"/>
  <c r="YS13"/>
  <c r="YU13"/>
  <c r="YW13"/>
  <c r="ZA13"/>
  <c r="ZC13"/>
  <c r="ZE13"/>
  <c r="ZG13"/>
  <c r="ZK13"/>
  <c r="ZM13"/>
  <c r="ZQ13"/>
  <c r="ZS13"/>
  <c r="ZU13"/>
  <c r="ZW13"/>
  <c r="ZY13"/>
  <c r="AAA13"/>
  <c r="AAE13"/>
  <c r="AAG13"/>
  <c r="AAI13"/>
  <c r="AAK13"/>
  <c r="AAM13"/>
  <c r="AAS13"/>
  <c r="AAU13"/>
  <c r="AAW13"/>
  <c r="ABA13"/>
  <c r="ABC13"/>
  <c r="IY14"/>
  <c r="JA14"/>
  <c r="JC14"/>
  <c r="JE14"/>
  <c r="JG14"/>
  <c r="JI14"/>
  <c r="JK14"/>
  <c r="JM14"/>
  <c r="JO14"/>
  <c r="JS14"/>
  <c r="JU14"/>
  <c r="JW14"/>
  <c r="JY14"/>
  <c r="KA14"/>
  <c r="KC14"/>
  <c r="KG14"/>
  <c r="KI14"/>
  <c r="KK14"/>
  <c r="KM14"/>
  <c r="KO14"/>
  <c r="KQ14"/>
  <c r="KS14"/>
  <c r="KU14"/>
  <c r="KW14"/>
  <c r="KY14"/>
  <c r="LA14"/>
  <c r="LI14"/>
  <c r="LK14"/>
  <c r="LM14"/>
  <c r="LO14"/>
  <c r="LQ14"/>
  <c r="LS14"/>
  <c r="LU14"/>
  <c r="LW14"/>
  <c r="LY14"/>
  <c r="MA14"/>
  <c r="MC14"/>
  <c r="ME14"/>
  <c r="MG14"/>
  <c r="MI14"/>
  <c r="MK14"/>
  <c r="MM14"/>
  <c r="MO14"/>
  <c r="MQ14"/>
  <c r="MS14"/>
  <c r="MU14"/>
  <c r="MW14"/>
  <c r="MY14"/>
  <c r="NA14"/>
  <c r="NC14"/>
  <c r="NE14"/>
  <c r="NG14"/>
  <c r="NI14"/>
  <c r="NK14"/>
  <c r="NM14"/>
  <c r="NO14"/>
  <c r="NQ14"/>
  <c r="NS14"/>
  <c r="NU14"/>
  <c r="NW14"/>
  <c r="NY14"/>
  <c r="OA14"/>
  <c r="OC14"/>
  <c r="OE14"/>
  <c r="OG14"/>
  <c r="OI14"/>
  <c r="OK14"/>
  <c r="OM14"/>
  <c r="OO14"/>
  <c r="OQ14"/>
  <c r="OS14"/>
  <c r="OU14"/>
  <c r="OW14"/>
  <c r="OY14"/>
  <c r="PA14"/>
  <c r="PC14"/>
  <c r="PE14"/>
  <c r="PG14"/>
  <c r="PI14"/>
  <c r="PK14"/>
  <c r="PM14"/>
  <c r="PQ14"/>
  <c r="PS14"/>
  <c r="PU14"/>
  <c r="PW14"/>
  <c r="PY14"/>
  <c r="QA14"/>
  <c r="QC14"/>
  <c r="QE14"/>
  <c r="QG14"/>
  <c r="QI14"/>
  <c r="QK14"/>
  <c r="QM14"/>
  <c r="QO14"/>
  <c r="QQ14"/>
  <c r="QS14"/>
  <c r="QU14"/>
  <c r="QW14"/>
  <c r="QY14"/>
  <c r="RA14"/>
  <c r="RC14"/>
  <c r="RE14"/>
  <c r="RG14"/>
  <c r="RI14"/>
  <c r="RK14"/>
  <c r="RM14"/>
  <c r="RO14"/>
  <c r="RQ14"/>
  <c r="RS14"/>
  <c r="RU14"/>
  <c r="RW14"/>
  <c r="RY14"/>
  <c r="SA14"/>
  <c r="SC14"/>
  <c r="SE14"/>
  <c r="SG14"/>
  <c r="SI14"/>
  <c r="SK14"/>
  <c r="SM14"/>
  <c r="SO14"/>
  <c r="SQ14"/>
  <c r="SS14"/>
  <c r="SW14"/>
  <c r="SY14"/>
  <c r="TA14"/>
  <c r="TC14"/>
  <c r="TE14"/>
  <c r="TG14"/>
  <c r="TI14"/>
  <c r="TK14"/>
  <c r="TM14"/>
  <c r="TO14"/>
  <c r="TQ14"/>
  <c r="TU14"/>
  <c r="TW14"/>
  <c r="TY14"/>
  <c r="UA14"/>
  <c r="UC14"/>
  <c r="UE14"/>
  <c r="UG14"/>
  <c r="UI14"/>
  <c r="UK14"/>
  <c r="UM14"/>
  <c r="UO14"/>
  <c r="UQ14"/>
  <c r="US14"/>
  <c r="UU14"/>
  <c r="UW14"/>
  <c r="UY14"/>
  <c r="VA14"/>
  <c r="VC14"/>
  <c r="VE14"/>
  <c r="VG14"/>
  <c r="VM14"/>
  <c r="VO14"/>
  <c r="VQ14"/>
  <c r="VS14"/>
  <c r="VW14"/>
  <c r="VY14"/>
  <c r="WC14"/>
  <c r="WE14"/>
  <c r="WG14"/>
  <c r="WI14"/>
  <c r="WK14"/>
  <c r="WM14"/>
  <c r="WO14"/>
  <c r="WS14"/>
  <c r="WU14"/>
  <c r="WW14"/>
  <c r="WY14"/>
  <c r="XA14"/>
  <c r="XC14"/>
  <c r="XE14"/>
  <c r="XG14"/>
  <c r="XI14"/>
  <c r="XK14"/>
  <c r="XM14"/>
  <c r="XO14"/>
  <c r="XQ14"/>
  <c r="XS14"/>
  <c r="XU14"/>
  <c r="XW14"/>
  <c r="XY14"/>
  <c r="YA14"/>
  <c r="YC14"/>
  <c r="YE14"/>
  <c r="YG14"/>
  <c r="YI14"/>
  <c r="YK14"/>
  <c r="YM14"/>
  <c r="YO14"/>
  <c r="YQ14"/>
  <c r="YS14"/>
  <c r="YU14"/>
  <c r="YW14"/>
  <c r="ZA14"/>
  <c r="ZC14"/>
  <c r="ZE14"/>
  <c r="ZG14"/>
  <c r="ZK14"/>
  <c r="ZM14"/>
  <c r="ZS14"/>
  <c r="ZU14"/>
  <c r="ZW14"/>
  <c r="ZY14"/>
  <c r="AAA14"/>
  <c r="AAE14"/>
  <c r="AAG14"/>
  <c r="AAI14"/>
  <c r="AAK14"/>
  <c r="AAM14"/>
  <c r="AAS14"/>
  <c r="AAU14"/>
  <c r="AAW14"/>
  <c r="AAY14"/>
  <c r="ABA14"/>
  <c r="ABC14"/>
  <c r="IY15"/>
  <c r="JA15"/>
  <c r="JC15"/>
  <c r="JE15"/>
  <c r="JG15"/>
  <c r="JI15"/>
  <c r="JK15"/>
  <c r="JM15"/>
  <c r="JO15"/>
  <c r="JS15"/>
  <c r="JU15"/>
  <c r="JW15"/>
  <c r="JY15"/>
  <c r="KA15"/>
  <c r="KC15"/>
  <c r="KG15"/>
  <c r="KI15"/>
  <c r="KK15"/>
  <c r="KM15"/>
  <c r="KO15"/>
  <c r="KQ15"/>
  <c r="KS15"/>
  <c r="KU15"/>
  <c r="KW15"/>
  <c r="KY15"/>
  <c r="LA15"/>
  <c r="LI15"/>
  <c r="LK15"/>
  <c r="LM15"/>
  <c r="LO15"/>
  <c r="LQ15"/>
  <c r="LS15"/>
  <c r="LU15"/>
  <c r="LW15"/>
  <c r="LY15"/>
  <c r="MA15"/>
  <c r="MC15"/>
  <c r="ME15"/>
  <c r="MG15"/>
  <c r="MI15"/>
  <c r="MK15"/>
  <c r="MM15"/>
  <c r="MO15"/>
  <c r="MQ15"/>
  <c r="MS15"/>
  <c r="MU15"/>
  <c r="MW15"/>
  <c r="MY15"/>
  <c r="NA15"/>
  <c r="NC15"/>
  <c r="NE15"/>
  <c r="NG15"/>
  <c r="NI15"/>
  <c r="NK15"/>
  <c r="NM15"/>
  <c r="NO15"/>
  <c r="NQ15"/>
  <c r="NS15"/>
  <c r="NU15"/>
  <c r="NW15"/>
  <c r="NY15"/>
  <c r="OA15"/>
  <c r="OC15"/>
  <c r="OE15"/>
  <c r="OG15"/>
  <c r="OI15"/>
  <c r="OK15"/>
  <c r="OM15"/>
  <c r="OO15"/>
  <c r="OQ15"/>
  <c r="OS15"/>
  <c r="OU15"/>
  <c r="OW15"/>
  <c r="OY15"/>
  <c r="PA15"/>
  <c r="PC15"/>
  <c r="PE15"/>
  <c r="PG15"/>
  <c r="PI15"/>
  <c r="PK15"/>
  <c r="PM15"/>
  <c r="PQ15"/>
  <c r="PS15"/>
  <c r="PU15"/>
  <c r="PW15"/>
  <c r="PY15"/>
  <c r="QA15"/>
  <c r="QC15"/>
  <c r="QE15"/>
  <c r="QG15"/>
  <c r="QI15"/>
  <c r="QK15"/>
  <c r="QM15"/>
  <c r="QO15"/>
  <c r="QQ15"/>
  <c r="QS15"/>
  <c r="QU15"/>
  <c r="QW15"/>
  <c r="QY15"/>
  <c r="RA15"/>
  <c r="RC15"/>
  <c r="RE15"/>
  <c r="RG15"/>
  <c r="RI15"/>
  <c r="RK15"/>
  <c r="RM15"/>
  <c r="RO15"/>
  <c r="RQ15"/>
  <c r="RS15"/>
  <c r="RU15"/>
  <c r="RW15"/>
  <c r="RY15"/>
  <c r="SA15"/>
  <c r="SC15"/>
  <c r="SE15"/>
  <c r="SG15"/>
  <c r="SI15"/>
  <c r="SK15"/>
  <c r="SM15"/>
  <c r="SO15"/>
  <c r="SQ15"/>
  <c r="SS15"/>
  <c r="SW15"/>
  <c r="SY15"/>
  <c r="TA15"/>
  <c r="TC15"/>
  <c r="TE15"/>
  <c r="TG15"/>
  <c r="TI15"/>
  <c r="TK15"/>
  <c r="TM15"/>
  <c r="TO15"/>
  <c r="TQ15"/>
  <c r="TU15"/>
  <c r="TW15"/>
  <c r="TY15"/>
  <c r="UA15"/>
  <c r="UC15"/>
  <c r="UE15"/>
  <c r="UG15"/>
  <c r="UI15"/>
  <c r="UK15"/>
  <c r="UM15"/>
  <c r="UO15"/>
  <c r="UQ15"/>
  <c r="US15"/>
  <c r="UU15"/>
  <c r="UW15"/>
  <c r="UY15"/>
  <c r="VA15"/>
  <c r="VC15"/>
  <c r="VE15"/>
  <c r="VG15"/>
  <c r="VM15"/>
  <c r="VO15"/>
  <c r="VQ15"/>
  <c r="VS15"/>
  <c r="VW15"/>
  <c r="VY15"/>
  <c r="WC15"/>
  <c r="WE15"/>
  <c r="WG15"/>
  <c r="WI15"/>
  <c r="WK15"/>
  <c r="WM15"/>
  <c r="WO15"/>
  <c r="WS15"/>
  <c r="WU15"/>
  <c r="WW15"/>
  <c r="WY15"/>
  <c r="XA15"/>
  <c r="XC15"/>
  <c r="XE15"/>
  <c r="XG15"/>
  <c r="XI15"/>
  <c r="XK15"/>
  <c r="XM15"/>
  <c r="XO15"/>
  <c r="XQ15"/>
  <c r="XS15"/>
  <c r="XU15"/>
  <c r="XW15"/>
  <c r="XY15"/>
  <c r="YA15"/>
  <c r="YC15"/>
  <c r="YE15"/>
  <c r="YG15"/>
  <c r="YI15"/>
  <c r="YK15"/>
  <c r="YM15"/>
  <c r="YO15"/>
  <c r="YQ15"/>
  <c r="YS15"/>
  <c r="YU15"/>
  <c r="YW15"/>
  <c r="ZA15"/>
  <c r="ZC15"/>
  <c r="ZE15"/>
  <c r="ZG15"/>
  <c r="ZK15"/>
  <c r="ZM15"/>
  <c r="ZS15"/>
  <c r="ZU15"/>
  <c r="ZW15"/>
  <c r="ZY15"/>
  <c r="AAA15"/>
  <c r="AAE15"/>
  <c r="AAG15"/>
  <c r="AAI15"/>
  <c r="AAK15"/>
  <c r="AAM15"/>
  <c r="AAS15"/>
  <c r="AAU15"/>
  <c r="AAW15"/>
  <c r="AAY15"/>
  <c r="ABA15"/>
  <c r="ABC15"/>
  <c r="IY16"/>
  <c r="JA16"/>
  <c r="JC16"/>
  <c r="JE16"/>
  <c r="JG16"/>
  <c r="JI16"/>
  <c r="JK16"/>
  <c r="JM16"/>
  <c r="JO16"/>
  <c r="JS16"/>
  <c r="JU16"/>
  <c r="JW16"/>
  <c r="JY16"/>
  <c r="KA16"/>
  <c r="KC16"/>
  <c r="KG16"/>
  <c r="KI16"/>
  <c r="KK16"/>
  <c r="KM16"/>
  <c r="KO16"/>
  <c r="KQ16"/>
  <c r="KS16"/>
  <c r="KU16"/>
  <c r="KW16"/>
  <c r="KY16"/>
  <c r="LA16"/>
  <c r="LI16"/>
  <c r="LK16"/>
  <c r="LM16"/>
  <c r="LO16"/>
  <c r="LQ16"/>
  <c r="LS16"/>
  <c r="LU16"/>
  <c r="LW16"/>
  <c r="LY16"/>
  <c r="MA16"/>
  <c r="MC16"/>
  <c r="ME16"/>
  <c r="MG16"/>
  <c r="MI16"/>
  <c r="MK16"/>
  <c r="MM16"/>
  <c r="MO16"/>
  <c r="MQ16"/>
  <c r="MS16"/>
  <c r="MU16"/>
  <c r="MW16"/>
  <c r="MY16"/>
  <c r="NA16"/>
  <c r="NC16"/>
  <c r="NE16"/>
  <c r="NG16"/>
  <c r="NI16"/>
  <c r="NK16"/>
  <c r="NM16"/>
  <c r="NO16"/>
  <c r="NQ16"/>
  <c r="NS16"/>
  <c r="NU16"/>
  <c r="NW16"/>
  <c r="NY16"/>
  <c r="OA16"/>
  <c r="OC16"/>
  <c r="OE16"/>
  <c r="OG16"/>
  <c r="OI16"/>
  <c r="OK16"/>
  <c r="OM16"/>
  <c r="OO16"/>
  <c r="OQ16"/>
  <c r="OS16"/>
  <c r="OU16"/>
  <c r="OW16"/>
  <c r="OY16"/>
  <c r="PA16"/>
  <c r="PC16"/>
  <c r="PE16"/>
  <c r="PG16"/>
  <c r="PI16"/>
  <c r="PK16"/>
  <c r="PM16"/>
  <c r="PO16"/>
  <c r="PQ16"/>
  <c r="PS16"/>
  <c r="PU16"/>
  <c r="PW16"/>
  <c r="PY16"/>
  <c r="QA16"/>
  <c r="QC16"/>
  <c r="QE16"/>
  <c r="QG16"/>
  <c r="QI16"/>
  <c r="QK16"/>
  <c r="QM16"/>
  <c r="QO16"/>
  <c r="QQ16"/>
  <c r="QS16"/>
  <c r="QU16"/>
  <c r="QW16"/>
  <c r="QY16"/>
  <c r="RA16"/>
  <c r="RC16"/>
  <c r="RE16"/>
  <c r="RG16"/>
  <c r="RI16"/>
  <c r="RK16"/>
  <c r="RM16"/>
  <c r="RO16"/>
  <c r="RQ16"/>
  <c r="RS16"/>
  <c r="RU16"/>
  <c r="RW16"/>
  <c r="RY16"/>
  <c r="SA16"/>
  <c r="SC16"/>
  <c r="SE16"/>
  <c r="SG16"/>
  <c r="SI16"/>
  <c r="SK16"/>
  <c r="SM16"/>
  <c r="SO16"/>
  <c r="SQ16"/>
  <c r="SS16"/>
  <c r="SU16"/>
  <c r="SW16"/>
  <c r="SY16"/>
  <c r="TA16"/>
  <c r="TC16"/>
  <c r="TE16"/>
  <c r="TG16"/>
  <c r="TI16"/>
  <c r="TK16"/>
  <c r="TM16"/>
  <c r="TO16"/>
  <c r="TQ16"/>
  <c r="TU16"/>
  <c r="TW16"/>
  <c r="UA16"/>
  <c r="UC16"/>
  <c r="UE16"/>
  <c r="UG16"/>
  <c r="UI16"/>
  <c r="UK16"/>
  <c r="UM16"/>
  <c r="UO16"/>
  <c r="UQ16"/>
  <c r="US16"/>
  <c r="UU16"/>
  <c r="UW16"/>
  <c r="UY16"/>
  <c r="VA16"/>
  <c r="VC16"/>
  <c r="VE16"/>
  <c r="VG16"/>
  <c r="VI16"/>
  <c r="VM16"/>
  <c r="VO16"/>
  <c r="VQ16"/>
  <c r="VS16"/>
  <c r="VW16"/>
  <c r="VY16"/>
  <c r="WC16"/>
  <c r="WE16"/>
  <c r="WG16"/>
  <c r="WI16"/>
  <c r="WK16"/>
  <c r="WM16"/>
  <c r="WO16"/>
  <c r="WS16"/>
  <c r="WU16"/>
  <c r="WW16"/>
  <c r="WY16"/>
  <c r="XA16"/>
  <c r="XC16"/>
  <c r="XE16"/>
  <c r="XG16"/>
  <c r="XI16"/>
  <c r="XK16"/>
  <c r="XM16"/>
  <c r="XO16"/>
  <c r="XQ16"/>
  <c r="XS16"/>
  <c r="XU16"/>
  <c r="XW16"/>
  <c r="XY16"/>
  <c r="YA16"/>
  <c r="YC16"/>
  <c r="YE16"/>
  <c r="YG16"/>
  <c r="YI16"/>
  <c r="YK16"/>
  <c r="YM16"/>
  <c r="YO16"/>
  <c r="YQ16"/>
  <c r="YS16"/>
  <c r="YU16"/>
  <c r="YW16"/>
  <c r="ZA16"/>
  <c r="ZC16"/>
  <c r="ZE16"/>
  <c r="ZG16"/>
  <c r="ZK16"/>
  <c r="ZM16"/>
  <c r="ZQ16"/>
  <c r="ZS16"/>
  <c r="ZU16"/>
  <c r="ZW16"/>
  <c r="ZY16"/>
  <c r="AAA16"/>
  <c r="AAC16"/>
  <c r="AAE16"/>
  <c r="AAG16"/>
  <c r="AAI16"/>
  <c r="AAK16"/>
  <c r="AAM16"/>
  <c r="AAS16"/>
  <c r="AAU16"/>
  <c r="AAW16"/>
  <c r="AAY16"/>
  <c r="ABA16"/>
  <c r="ABC16"/>
  <c r="IY17"/>
  <c r="JA17"/>
  <c r="JC17"/>
  <c r="JE17"/>
  <c r="JG17"/>
  <c r="JI17"/>
  <c r="JK17"/>
  <c r="JM17"/>
  <c r="JO17"/>
  <c r="JQ17"/>
  <c r="JS17"/>
  <c r="JU17"/>
  <c r="JW17"/>
  <c r="JY17"/>
  <c r="KA17"/>
  <c r="KC17"/>
  <c r="KG17"/>
  <c r="KI17"/>
  <c r="KK17"/>
  <c r="KM17"/>
  <c r="KO17"/>
  <c r="KQ17"/>
  <c r="KS17"/>
  <c r="KU17"/>
  <c r="KW17"/>
  <c r="KY17"/>
  <c r="LA17"/>
  <c r="LI17"/>
  <c r="LK17"/>
  <c r="LM17"/>
  <c r="LO17"/>
  <c r="LQ17"/>
  <c r="LS17"/>
  <c r="LU17"/>
  <c r="LW17"/>
  <c r="LY17"/>
  <c r="MA17"/>
  <c r="MC17"/>
  <c r="ME17"/>
  <c r="MG17"/>
  <c r="MI17"/>
  <c r="MK17"/>
  <c r="MM17"/>
  <c r="MO17"/>
  <c r="MQ17"/>
  <c r="MS17"/>
  <c r="MU17"/>
  <c r="MW17"/>
  <c r="MY17"/>
  <c r="NA17"/>
  <c r="NC17"/>
  <c r="NE17"/>
  <c r="NG17"/>
  <c r="NI17"/>
  <c r="NK17"/>
  <c r="NM17"/>
  <c r="NO17"/>
  <c r="NQ17"/>
  <c r="NS17"/>
  <c r="NU17"/>
  <c r="NW17"/>
  <c r="NY17"/>
  <c r="OA17"/>
  <c r="OC17"/>
  <c r="OE17"/>
  <c r="OG17"/>
  <c r="OI17"/>
  <c r="OK17"/>
  <c r="OM17"/>
  <c r="OO17"/>
  <c r="OQ17"/>
  <c r="OS17"/>
  <c r="OU17"/>
  <c r="OW17"/>
  <c r="OY17"/>
  <c r="PA17"/>
  <c r="PC17"/>
  <c r="PE17"/>
  <c r="PG17"/>
  <c r="PI17"/>
  <c r="PK17"/>
  <c r="PM17"/>
  <c r="PO17"/>
  <c r="PQ17"/>
  <c r="PS17"/>
  <c r="PU17"/>
  <c r="PW17"/>
  <c r="PY17"/>
  <c r="QA17"/>
  <c r="QC17"/>
  <c r="QE17"/>
  <c r="QG17"/>
  <c r="QI17"/>
  <c r="QK17"/>
  <c r="QM17"/>
  <c r="QO17"/>
  <c r="QQ17"/>
  <c r="QS17"/>
  <c r="QU17"/>
  <c r="QW17"/>
  <c r="QY17"/>
  <c r="RA17"/>
  <c r="RC17"/>
  <c r="RE17"/>
  <c r="RG17"/>
  <c r="RI17"/>
  <c r="RK17"/>
  <c r="RM17"/>
  <c r="RO17"/>
  <c r="RQ17"/>
  <c r="RS17"/>
  <c r="RU17"/>
  <c r="RW17"/>
  <c r="RY17"/>
  <c r="SA17"/>
  <c r="SC17"/>
  <c r="SE17"/>
  <c r="SG17"/>
  <c r="SI17"/>
  <c r="SK17"/>
  <c r="SM17"/>
  <c r="SO17"/>
  <c r="SQ17"/>
  <c r="SS17"/>
  <c r="SU17"/>
  <c r="SW17"/>
  <c r="SY17"/>
  <c r="TA17"/>
  <c r="TC17"/>
  <c r="TE17"/>
  <c r="TG17"/>
  <c r="TI17"/>
  <c r="TK17"/>
  <c r="TM17"/>
  <c r="TO17"/>
  <c r="TQ17"/>
  <c r="TS17"/>
  <c r="TU17"/>
  <c r="TW17"/>
  <c r="UA17"/>
  <c r="UC17"/>
  <c r="UE17"/>
  <c r="UG17"/>
  <c r="UI17"/>
  <c r="UK17"/>
  <c r="UM17"/>
  <c r="UO17"/>
  <c r="UQ17"/>
  <c r="US17"/>
  <c r="UU17"/>
  <c r="UW17"/>
  <c r="UY17"/>
  <c r="VA17"/>
  <c r="VC17"/>
  <c r="VE17"/>
  <c r="VG17"/>
  <c r="VI17"/>
  <c r="VM17"/>
  <c r="VO17"/>
  <c r="VQ17"/>
  <c r="VS17"/>
  <c r="VW17"/>
  <c r="VY17"/>
  <c r="WC17"/>
  <c r="WE17"/>
  <c r="WG17"/>
  <c r="WI17"/>
  <c r="WK17"/>
  <c r="WM17"/>
  <c r="WO17"/>
  <c r="WS17"/>
  <c r="WU17"/>
  <c r="WW17"/>
  <c r="WY17"/>
  <c r="XA17"/>
  <c r="XC17"/>
  <c r="XE17"/>
  <c r="XG17"/>
  <c r="XI17"/>
  <c r="XK17"/>
  <c r="XM17"/>
  <c r="XO17"/>
  <c r="XQ17"/>
  <c r="XS17"/>
  <c r="XU17"/>
  <c r="XW17"/>
  <c r="XY17"/>
  <c r="YA17"/>
  <c r="YC17"/>
  <c r="YE17"/>
  <c r="YG17"/>
  <c r="YI17"/>
  <c r="YK17"/>
  <c r="YM17"/>
  <c r="YQ17"/>
  <c r="YS17"/>
  <c r="YU17"/>
  <c r="YW17"/>
  <c r="ZA17"/>
  <c r="ZC17"/>
  <c r="ZE17"/>
  <c r="ZG17"/>
  <c r="ZK17"/>
  <c r="ZM17"/>
  <c r="ZQ17"/>
  <c r="ZS17"/>
  <c r="ZU17"/>
  <c r="ZW17"/>
  <c r="ZY17"/>
  <c r="AAA17"/>
  <c r="AAC17"/>
  <c r="AAE17"/>
  <c r="AAG17"/>
  <c r="AAI17"/>
  <c r="AAK17"/>
  <c r="AAM17"/>
  <c r="AAO17"/>
  <c r="AAQ17"/>
  <c r="AAS17"/>
  <c r="AAU17"/>
  <c r="AAW17"/>
  <c r="AAY17"/>
  <c r="ABA17"/>
  <c r="ABC17"/>
  <c r="IY18"/>
  <c r="JA18"/>
  <c r="JC18"/>
  <c r="JE18"/>
  <c r="JG18"/>
  <c r="JI18"/>
  <c r="JK18"/>
  <c r="JM18"/>
  <c r="JO18"/>
  <c r="JQ18"/>
  <c r="JS18"/>
  <c r="JU18"/>
  <c r="JW18"/>
  <c r="JY18"/>
  <c r="KA18"/>
  <c r="KC18"/>
  <c r="KE18"/>
  <c r="KG18"/>
  <c r="KI18"/>
  <c r="KK18"/>
  <c r="KM18"/>
  <c r="KO18"/>
  <c r="KQ18"/>
  <c r="KS18"/>
  <c r="KU18"/>
  <c r="KW18"/>
  <c r="KY18"/>
  <c r="LA18"/>
  <c r="LI18"/>
  <c r="LK18"/>
  <c r="LM18"/>
  <c r="LO18"/>
  <c r="LQ18"/>
  <c r="LS18"/>
  <c r="LU18"/>
  <c r="LW18"/>
  <c r="LY18"/>
  <c r="MA18"/>
  <c r="MC18"/>
  <c r="ME18"/>
  <c r="MG18"/>
  <c r="MI18"/>
  <c r="MK18"/>
  <c r="MM18"/>
  <c r="MO18"/>
  <c r="MQ18"/>
  <c r="MS18"/>
  <c r="MU18"/>
  <c r="MW18"/>
  <c r="MY18"/>
  <c r="NA18"/>
  <c r="NC18"/>
  <c r="NE18"/>
  <c r="NG18"/>
  <c r="NI18"/>
  <c r="NK18"/>
  <c r="NM18"/>
  <c r="NO18"/>
  <c r="NQ18"/>
  <c r="NS18"/>
  <c r="NU18"/>
  <c r="NW18"/>
  <c r="NY18"/>
  <c r="OA18"/>
  <c r="OC18"/>
  <c r="OE18"/>
  <c r="OG18"/>
  <c r="OI18"/>
  <c r="OK18"/>
  <c r="OM18"/>
  <c r="OO18"/>
  <c r="OQ18"/>
  <c r="OS18"/>
  <c r="OU18"/>
  <c r="OW18"/>
  <c r="OY18"/>
  <c r="PA18"/>
  <c r="PC18"/>
  <c r="PE18"/>
  <c r="PG18"/>
  <c r="PI18"/>
  <c r="PK18"/>
  <c r="PM18"/>
  <c r="PO18"/>
  <c r="PQ18"/>
  <c r="PS18"/>
  <c r="PU18"/>
  <c r="PW18"/>
  <c r="PY18"/>
  <c r="QA18"/>
  <c r="QC18"/>
  <c r="QE18"/>
  <c r="QG18"/>
  <c r="QI18"/>
  <c r="QK18"/>
  <c r="QM18"/>
  <c r="QO18"/>
  <c r="QQ18"/>
  <c r="QS18"/>
  <c r="QU18"/>
  <c r="QW18"/>
  <c r="QY18"/>
  <c r="RA18"/>
  <c r="RC18"/>
  <c r="RE18"/>
  <c r="RG18"/>
  <c r="RI18"/>
  <c r="RK18"/>
  <c r="RM18"/>
  <c r="RO18"/>
  <c r="RQ18"/>
  <c r="RS18"/>
  <c r="RU18"/>
  <c r="RW18"/>
  <c r="RY18"/>
  <c r="SA18"/>
  <c r="SC18"/>
  <c r="SE18"/>
  <c r="SG18"/>
  <c r="SI18"/>
  <c r="SK18"/>
  <c r="SM18"/>
  <c r="SO18"/>
  <c r="SQ18"/>
  <c r="SS18"/>
  <c r="SU18"/>
  <c r="SW18"/>
  <c r="SY18"/>
  <c r="TA18"/>
  <c r="TC18"/>
  <c r="TE18"/>
  <c r="TG18"/>
  <c r="TI18"/>
  <c r="TK18"/>
  <c r="TM18"/>
  <c r="TO18"/>
  <c r="TQ18"/>
  <c r="TS18"/>
  <c r="TU18"/>
  <c r="TW18"/>
  <c r="UA18"/>
  <c r="UC18"/>
  <c r="UE18"/>
  <c r="UG18"/>
  <c r="UI18"/>
  <c r="UK18"/>
  <c r="UM18"/>
  <c r="UO18"/>
  <c r="UQ18"/>
  <c r="US18"/>
  <c r="UU18"/>
  <c r="UW18"/>
  <c r="UY18"/>
  <c r="VA18"/>
  <c r="VC18"/>
  <c r="VE18"/>
  <c r="VG18"/>
  <c r="VI18"/>
  <c r="VM18"/>
  <c r="VQ18"/>
  <c r="VS18"/>
  <c r="VW18"/>
  <c r="VY18"/>
  <c r="WC18"/>
  <c r="WE18"/>
  <c r="WG18"/>
  <c r="WI18"/>
  <c r="WK18"/>
  <c r="WM18"/>
  <c r="WO18"/>
  <c r="WS18"/>
  <c r="WU18"/>
  <c r="WW18"/>
  <c r="WY18"/>
  <c r="XA18"/>
  <c r="XC18"/>
  <c r="XE18"/>
  <c r="XG18"/>
  <c r="XI18"/>
  <c r="XK18"/>
  <c r="XM18"/>
  <c r="XO18"/>
  <c r="XQ18"/>
  <c r="XS18"/>
  <c r="XU18"/>
  <c r="XW18"/>
  <c r="XY18"/>
  <c r="YA18"/>
  <c r="YC18"/>
  <c r="YE18"/>
  <c r="YG18"/>
  <c r="YI18"/>
  <c r="YK18"/>
  <c r="YM18"/>
  <c r="YQ18"/>
  <c r="YS18"/>
  <c r="YU18"/>
  <c r="YW18"/>
  <c r="ZA18"/>
  <c r="ZC18"/>
  <c r="ZE18"/>
  <c r="ZG18"/>
  <c r="ZI18"/>
  <c r="ZK18"/>
  <c r="ZM18"/>
  <c r="ZO18"/>
  <c r="ZQ18"/>
  <c r="ZS18"/>
  <c r="ZU18"/>
  <c r="ZW18"/>
  <c r="ZY18"/>
  <c r="AAA18"/>
  <c r="AAC18"/>
  <c r="AAE18"/>
  <c r="AAG18"/>
  <c r="AAI18"/>
  <c r="AAK18"/>
  <c r="AAM18"/>
  <c r="AAO18"/>
  <c r="AAQ18"/>
  <c r="AAS18"/>
  <c r="AAU18"/>
  <c r="AAW18"/>
  <c r="AAY18"/>
  <c r="ABA18"/>
  <c r="ABC18"/>
  <c r="IY19"/>
  <c r="JA19"/>
  <c r="JC19"/>
  <c r="JE19"/>
  <c r="JG19"/>
  <c r="JI19"/>
  <c r="JK19"/>
  <c r="JM19"/>
  <c r="JO19"/>
  <c r="JQ19"/>
  <c r="JS19"/>
  <c r="JU19"/>
  <c r="JW19"/>
  <c r="JY19"/>
  <c r="KA19"/>
  <c r="KC19"/>
  <c r="KE19"/>
  <c r="KG19"/>
  <c r="KI19"/>
  <c r="KK19"/>
  <c r="KM19"/>
  <c r="KO19"/>
  <c r="KQ19"/>
  <c r="KS19"/>
  <c r="KU19"/>
  <c r="KW19"/>
  <c r="KY19"/>
  <c r="LI19"/>
  <c r="LK19"/>
  <c r="LM19"/>
  <c r="LO19"/>
  <c r="LQ19"/>
  <c r="LS19"/>
  <c r="LU19"/>
  <c r="LW19"/>
  <c r="LY19"/>
  <c r="MA19"/>
  <c r="MC19"/>
  <c r="ME19"/>
  <c r="MG19"/>
  <c r="MI19"/>
  <c r="MK19"/>
  <c r="MM19"/>
  <c r="MO19"/>
  <c r="MQ19"/>
  <c r="MS19"/>
  <c r="MU19"/>
  <c r="MW19"/>
  <c r="MY19"/>
  <c r="NA19"/>
  <c r="NC19"/>
  <c r="NE19"/>
  <c r="NG19"/>
  <c r="NI19"/>
  <c r="NK19"/>
  <c r="NM19"/>
  <c r="NO19"/>
  <c r="NQ19"/>
  <c r="NS19"/>
  <c r="NU19"/>
  <c r="NW19"/>
  <c r="NY19"/>
  <c r="OA19"/>
  <c r="OC19"/>
  <c r="OE19"/>
  <c r="OG19"/>
  <c r="OI19"/>
  <c r="OK19"/>
  <c r="OM19"/>
  <c r="OO19"/>
  <c r="OQ19"/>
  <c r="OS19"/>
  <c r="OU19"/>
  <c r="OW19"/>
  <c r="OY19"/>
  <c r="PA19"/>
  <c r="PC19"/>
  <c r="PE19"/>
  <c r="PG19"/>
  <c r="PI19"/>
  <c r="PK19"/>
  <c r="PM19"/>
  <c r="PO19"/>
  <c r="PQ19"/>
  <c r="PS19"/>
  <c r="PU19"/>
  <c r="PW19"/>
  <c r="PY19"/>
  <c r="QA19"/>
  <c r="QC19"/>
  <c r="QE19"/>
  <c r="QG19"/>
  <c r="QI19"/>
  <c r="QK19"/>
  <c r="QM19"/>
  <c r="QO19"/>
  <c r="QQ19"/>
  <c r="QS19"/>
  <c r="QU19"/>
  <c r="QW19"/>
  <c r="QY19"/>
  <c r="RA19"/>
  <c r="RC19"/>
  <c r="RE19"/>
  <c r="RG19"/>
  <c r="RI19"/>
  <c r="RK19"/>
  <c r="RM19"/>
  <c r="RO19"/>
  <c r="RQ19"/>
  <c r="RS19"/>
  <c r="RU19"/>
  <c r="RW19"/>
  <c r="RY19"/>
  <c r="SA19"/>
  <c r="SC19"/>
  <c r="SE19"/>
  <c r="SG19"/>
  <c r="SI19"/>
  <c r="SK19"/>
  <c r="SM19"/>
  <c r="SO19"/>
  <c r="SQ19"/>
  <c r="SS19"/>
  <c r="SU19"/>
  <c r="SW19"/>
  <c r="SY19"/>
  <c r="TA19"/>
  <c r="TC19"/>
  <c r="TE19"/>
  <c r="TG19"/>
  <c r="TI19"/>
  <c r="TK19"/>
  <c r="TM19"/>
  <c r="TO19"/>
  <c r="TQ19"/>
  <c r="TS19"/>
  <c r="TU19"/>
  <c r="TW19"/>
  <c r="TY19"/>
  <c r="UA19"/>
  <c r="UC19"/>
  <c r="UE19"/>
  <c r="UG19"/>
  <c r="UI19"/>
  <c r="UK19"/>
  <c r="UM19"/>
  <c r="UO19"/>
  <c r="UQ19"/>
  <c r="US19"/>
  <c r="UU19"/>
  <c r="UW19"/>
  <c r="UY19"/>
  <c r="VA19"/>
  <c r="VC19"/>
  <c r="VE19"/>
  <c r="VG19"/>
  <c r="VI19"/>
  <c r="VM19"/>
  <c r="VO19"/>
  <c r="VQ19"/>
  <c r="VS19"/>
  <c r="VW19"/>
  <c r="VY19"/>
  <c r="WA19"/>
  <c r="WC19"/>
  <c r="WE19"/>
  <c r="WG19"/>
  <c r="WI19"/>
  <c r="WK19"/>
  <c r="WM19"/>
  <c r="WO19"/>
  <c r="WS19"/>
  <c r="WU19"/>
  <c r="WW19"/>
  <c r="WY19"/>
  <c r="XA19"/>
  <c r="XC19"/>
  <c r="XE19"/>
  <c r="XG19"/>
  <c r="XI19"/>
  <c r="XK19"/>
  <c r="XM19"/>
  <c r="XO19"/>
  <c r="XQ19"/>
  <c r="XS19"/>
  <c r="XU19"/>
  <c r="XW19"/>
  <c r="XY19"/>
  <c r="YA19"/>
  <c r="YC19"/>
  <c r="YE19"/>
  <c r="YG19"/>
  <c r="YI19"/>
  <c r="YK19"/>
  <c r="YM19"/>
  <c r="YQ19"/>
  <c r="YS19"/>
  <c r="YU19"/>
  <c r="YW19"/>
  <c r="ZA19"/>
  <c r="ZC19"/>
  <c r="ZE19"/>
  <c r="ZG19"/>
  <c r="ZI19"/>
  <c r="ZK19"/>
  <c r="ZM19"/>
  <c r="ZO19"/>
  <c r="ZQ19"/>
  <c r="ZS19"/>
  <c r="ZU19"/>
  <c r="ZW19"/>
  <c r="ZY19"/>
  <c r="AAA19"/>
  <c r="AAC19"/>
  <c r="AAE19"/>
  <c r="AAG19"/>
  <c r="AAI19"/>
  <c r="AAK19"/>
  <c r="AAM19"/>
  <c r="AAO19"/>
  <c r="AAQ19"/>
  <c r="AAS19"/>
  <c r="AAU19"/>
  <c r="AAW19"/>
  <c r="AAY19"/>
  <c r="ABA19"/>
  <c r="ABC19"/>
  <c r="IY20"/>
  <c r="JA20"/>
  <c r="JC20"/>
  <c r="JE20"/>
  <c r="JG20"/>
  <c r="JI20"/>
  <c r="JK20"/>
  <c r="JM20"/>
  <c r="JO20"/>
  <c r="JQ20"/>
  <c r="JS20"/>
  <c r="JU20"/>
  <c r="JW20"/>
  <c r="JY20"/>
  <c r="KA20"/>
  <c r="KC20"/>
  <c r="KE20"/>
  <c r="KG20"/>
  <c r="KI20"/>
  <c r="KK20"/>
  <c r="KM20"/>
  <c r="KO20"/>
  <c r="KQ20"/>
  <c r="KS20"/>
  <c r="KU20"/>
  <c r="KW20"/>
  <c r="KY20"/>
  <c r="LI20"/>
  <c r="LK20"/>
  <c r="LM20"/>
  <c r="LO20"/>
  <c r="LQ20"/>
  <c r="LS20"/>
  <c r="LU20"/>
  <c r="LW20"/>
  <c r="LY20"/>
  <c r="MA20"/>
  <c r="MC20"/>
  <c r="ME20"/>
  <c r="MG20"/>
  <c r="MI20"/>
  <c r="MK20"/>
  <c r="MM20"/>
  <c r="MO20"/>
  <c r="MQ20"/>
  <c r="MS20"/>
  <c r="MU20"/>
  <c r="MW20"/>
  <c r="MY20"/>
  <c r="NA20"/>
  <c r="NC20"/>
  <c r="NE20"/>
  <c r="NG20"/>
  <c r="NI20"/>
  <c r="NK20"/>
  <c r="NM20"/>
  <c r="NO20"/>
  <c r="NQ20"/>
  <c r="NS20"/>
  <c r="NU20"/>
  <c r="NW20"/>
  <c r="NY20"/>
  <c r="OA20"/>
  <c r="OC20"/>
  <c r="OE20"/>
  <c r="OG20"/>
  <c r="OI20"/>
  <c r="OK20"/>
  <c r="OM20"/>
  <c r="OO20"/>
  <c r="OQ20"/>
  <c r="OS20"/>
  <c r="OU20"/>
  <c r="OW20"/>
  <c r="OY20"/>
  <c r="PA20"/>
  <c r="PC20"/>
  <c r="PE20"/>
  <c r="PG20"/>
  <c r="PI20"/>
  <c r="PK20"/>
  <c r="PM20"/>
  <c r="PO20"/>
  <c r="PQ20"/>
  <c r="PS20"/>
  <c r="PU20"/>
  <c r="PW20"/>
  <c r="PY20"/>
  <c r="QA20"/>
  <c r="QC20"/>
  <c r="QE20"/>
  <c r="QG20"/>
  <c r="QI20"/>
  <c r="QK20"/>
  <c r="QM20"/>
  <c r="QO20"/>
  <c r="QQ20"/>
  <c r="QS20"/>
  <c r="QU20"/>
  <c r="QW20"/>
  <c r="QY20"/>
  <c r="RA20"/>
  <c r="RC20"/>
  <c r="RE20"/>
  <c r="RG20"/>
  <c r="RI20"/>
  <c r="RK20"/>
  <c r="RM20"/>
  <c r="RO20"/>
  <c r="RQ20"/>
  <c r="RS20"/>
  <c r="RU20"/>
  <c r="RW20"/>
  <c r="RY20"/>
  <c r="SA20"/>
  <c r="SC20"/>
  <c r="SE20"/>
  <c r="SG20"/>
  <c r="SI20"/>
  <c r="SK20"/>
  <c r="SM20"/>
  <c r="SO20"/>
  <c r="SQ20"/>
  <c r="SS20"/>
  <c r="SU20"/>
  <c r="SW20"/>
  <c r="SY20"/>
  <c r="TA20"/>
  <c r="TC20"/>
  <c r="TE20"/>
  <c r="TG20"/>
  <c r="TI20"/>
  <c r="TK20"/>
  <c r="TM20"/>
  <c r="TO20"/>
  <c r="TQ20"/>
  <c r="TS20"/>
  <c r="TU20"/>
  <c r="TW20"/>
  <c r="TY20"/>
  <c r="UA20"/>
  <c r="UC20"/>
  <c r="UE20"/>
  <c r="UG20"/>
  <c r="UI20"/>
  <c r="UK20"/>
  <c r="UM20"/>
  <c r="UO20"/>
  <c r="UQ20"/>
  <c r="US20"/>
  <c r="UU20"/>
  <c r="UW20"/>
  <c r="UY20"/>
  <c r="VA20"/>
  <c r="VC20"/>
  <c r="VE20"/>
  <c r="VG20"/>
  <c r="VI20"/>
  <c r="VM20"/>
  <c r="VO20"/>
  <c r="VQ20"/>
  <c r="VS20"/>
  <c r="VW20"/>
  <c r="VY20"/>
  <c r="WA20"/>
  <c r="WC20"/>
  <c r="WE20"/>
  <c r="WG20"/>
  <c r="WI20"/>
  <c r="WK20"/>
  <c r="WM20"/>
  <c r="WO20"/>
  <c r="WS20"/>
  <c r="WU20"/>
  <c r="WW20"/>
  <c r="WY20"/>
  <c r="XA20"/>
  <c r="XC20"/>
  <c r="XE20"/>
  <c r="XG20"/>
  <c r="XI20"/>
  <c r="XK20"/>
  <c r="XM20"/>
  <c r="XQ20"/>
  <c r="XS20"/>
  <c r="XU20"/>
  <c r="XW20"/>
  <c r="XY20"/>
  <c r="YA20"/>
  <c r="YC20"/>
  <c r="YE20"/>
  <c r="YG20"/>
  <c r="YI20"/>
  <c r="YK20"/>
  <c r="YM20"/>
  <c r="YO20"/>
  <c r="YQ20"/>
  <c r="YS20"/>
  <c r="YU20"/>
  <c r="YW20"/>
  <c r="ZA20"/>
  <c r="ZC20"/>
  <c r="ZE20"/>
  <c r="ZG20"/>
  <c r="ZI20"/>
  <c r="ZK20"/>
  <c r="ZM20"/>
  <c r="ZO20"/>
  <c r="ZQ20"/>
  <c r="ZS20"/>
  <c r="ZU20"/>
  <c r="ZW20"/>
  <c r="ZY20"/>
  <c r="AAA20"/>
  <c r="AAC20"/>
  <c r="AAE20"/>
  <c r="AAG20"/>
  <c r="AAI20"/>
  <c r="AAK20"/>
  <c r="AAM20"/>
  <c r="AAO20"/>
  <c r="AAQ20"/>
  <c r="AAS20"/>
  <c r="AAU20"/>
  <c r="AAW20"/>
  <c r="AAY20"/>
  <c r="ABA20"/>
  <c r="ABC20"/>
  <c r="IY21"/>
  <c r="JA21"/>
  <c r="JC21"/>
  <c r="JE21"/>
  <c r="JG21"/>
  <c r="JI21"/>
  <c r="JK21"/>
  <c r="JM21"/>
  <c r="JO21"/>
  <c r="JQ21"/>
  <c r="JS21"/>
  <c r="JU21"/>
  <c r="JW21"/>
  <c r="JY21"/>
  <c r="KA21"/>
  <c r="KC21"/>
  <c r="KE21"/>
  <c r="KG21"/>
  <c r="KI21"/>
  <c r="KK21"/>
  <c r="KM21"/>
  <c r="KO21"/>
  <c r="KQ21"/>
  <c r="KS21"/>
  <c r="KU21"/>
  <c r="KW21"/>
  <c r="KY21"/>
  <c r="LA21"/>
  <c r="LI21"/>
  <c r="LK21"/>
  <c r="LM21"/>
  <c r="LO21"/>
  <c r="LQ21"/>
  <c r="LS21"/>
  <c r="LU21"/>
  <c r="LW21"/>
  <c r="LY21"/>
  <c r="MA21"/>
  <c r="MC21"/>
  <c r="ME21"/>
  <c r="MG21"/>
  <c r="MI21"/>
  <c r="MK21"/>
  <c r="MM21"/>
  <c r="MO21"/>
  <c r="MQ21"/>
  <c r="MS21"/>
  <c r="MU21"/>
  <c r="MW21"/>
  <c r="MY21"/>
  <c r="NA21"/>
  <c r="NC21"/>
  <c r="NE21"/>
  <c r="NG21"/>
  <c r="NI21"/>
  <c r="NK21"/>
  <c r="NM21"/>
  <c r="NO21"/>
  <c r="NQ21"/>
  <c r="NS21"/>
  <c r="NU21"/>
  <c r="NW21"/>
  <c r="NY21"/>
  <c r="OA21"/>
  <c r="OC21"/>
  <c r="OE21"/>
  <c r="OG21"/>
  <c r="OI21"/>
  <c r="OK21"/>
  <c r="OM21"/>
  <c r="OO21"/>
  <c r="OQ21"/>
  <c r="OS21"/>
  <c r="OU21"/>
  <c r="OW21"/>
  <c r="OY21"/>
  <c r="PA21"/>
  <c r="PC21"/>
  <c r="PE21"/>
  <c r="PG21"/>
  <c r="PI21"/>
  <c r="PK21"/>
  <c r="PM21"/>
  <c r="PO21"/>
  <c r="PQ21"/>
  <c r="PS21"/>
  <c r="PU21"/>
  <c r="PW21"/>
  <c r="PY21"/>
  <c r="QA21"/>
  <c r="QC21"/>
  <c r="QE21"/>
  <c r="QG21"/>
  <c r="QI21"/>
  <c r="QK21"/>
  <c r="QM21"/>
  <c r="QO21"/>
  <c r="QQ21"/>
  <c r="QS21"/>
  <c r="QU21"/>
  <c r="QW21"/>
  <c r="QY21"/>
  <c r="RA21"/>
  <c r="RC21"/>
  <c r="RE21"/>
  <c r="RG21"/>
  <c r="RI21"/>
  <c r="RK21"/>
  <c r="RM21"/>
  <c r="RO21"/>
  <c r="RQ21"/>
  <c r="RS21"/>
  <c r="RU21"/>
  <c r="RW21"/>
  <c r="RY21"/>
  <c r="SA21"/>
  <c r="SC21"/>
  <c r="SE21"/>
  <c r="SG21"/>
  <c r="SI21"/>
  <c r="SK21"/>
  <c r="SM21"/>
  <c r="SO21"/>
  <c r="SQ21"/>
  <c r="SS21"/>
  <c r="SU21"/>
  <c r="SW21"/>
  <c r="SY21"/>
  <c r="TA21"/>
  <c r="TC21"/>
  <c r="TE21"/>
  <c r="TG21"/>
  <c r="TI21"/>
  <c r="TK21"/>
  <c r="TM21"/>
  <c r="TO21"/>
  <c r="TQ21"/>
  <c r="TS21"/>
  <c r="TU21"/>
  <c r="TW21"/>
  <c r="TY21"/>
  <c r="UA21"/>
  <c r="UC21"/>
  <c r="UE21"/>
  <c r="UG21"/>
  <c r="UI21"/>
  <c r="UK21"/>
  <c r="UM21"/>
  <c r="UO21"/>
  <c r="UQ21"/>
  <c r="US21"/>
  <c r="UU21"/>
  <c r="UW21"/>
  <c r="UY21"/>
  <c r="VA21"/>
  <c r="VC21"/>
  <c r="VE21"/>
  <c r="VG21"/>
  <c r="VI21"/>
  <c r="VM21"/>
  <c r="VO21"/>
  <c r="VQ21"/>
  <c r="VS21"/>
  <c r="VW21"/>
  <c r="VY21"/>
  <c r="WA21"/>
  <c r="WC21"/>
  <c r="WE21"/>
  <c r="WG21"/>
  <c r="WI21"/>
  <c r="WK21"/>
  <c r="WM21"/>
  <c r="WO21"/>
  <c r="WS21"/>
  <c r="WU21"/>
  <c r="WW21"/>
  <c r="WY21"/>
  <c r="XA21"/>
  <c r="XC21"/>
  <c r="XE21"/>
  <c r="XG21"/>
  <c r="XI21"/>
  <c r="XK21"/>
  <c r="XM21"/>
  <c r="XQ21"/>
  <c r="XS21"/>
  <c r="XU21"/>
  <c r="XW21"/>
  <c r="XY21"/>
  <c r="YA21"/>
  <c r="YC21"/>
  <c r="YE21"/>
  <c r="YG21"/>
  <c r="YI21"/>
  <c r="YK21"/>
  <c r="YM21"/>
  <c r="YO21"/>
  <c r="YQ21"/>
  <c r="YS21"/>
  <c r="YU21"/>
  <c r="YW21"/>
  <c r="ZA21"/>
  <c r="ZC21"/>
  <c r="ZE21"/>
  <c r="ZG21"/>
  <c r="ZI21"/>
  <c r="ZK21"/>
  <c r="ZM21"/>
  <c r="ZO21"/>
  <c r="ZQ21"/>
  <c r="ZS21"/>
  <c r="ZU21"/>
  <c r="ZW21"/>
  <c r="ZY21"/>
  <c r="AAA21"/>
  <c r="AAC21"/>
  <c r="AAE21"/>
  <c r="AAG21"/>
  <c r="AAI21"/>
  <c r="AAK21"/>
  <c r="AAM21"/>
  <c r="AAO21"/>
  <c r="AAQ21"/>
  <c r="AAS21"/>
  <c r="AAU21"/>
  <c r="AAW21"/>
  <c r="AAY21"/>
  <c r="ABA21"/>
  <c r="ABC21"/>
  <c r="IU4"/>
  <c r="IW4"/>
  <c r="IU5"/>
  <c r="IW5"/>
  <c r="IU6"/>
  <c r="IW6"/>
  <c r="IU7"/>
  <c r="IW7"/>
  <c r="IU8"/>
  <c r="IW8"/>
  <c r="IU9"/>
  <c r="IW9"/>
  <c r="IU10"/>
  <c r="IW10"/>
  <c r="IU11"/>
  <c r="IW11"/>
  <c r="IU12"/>
  <c r="IW12"/>
  <c r="IU13"/>
  <c r="IW13"/>
  <c r="IU14"/>
  <c r="IW14"/>
  <c r="IU15"/>
  <c r="IW15"/>
  <c r="IU16"/>
  <c r="IW16"/>
  <c r="IU17"/>
  <c r="IW17"/>
  <c r="IU18"/>
  <c r="IW18"/>
  <c r="IU19"/>
  <c r="IW19"/>
  <c r="IU20"/>
  <c r="IW20"/>
  <c r="IU21"/>
  <c r="IW21"/>
  <c r="C5" i="5"/>
  <c r="D5"/>
  <c r="E5"/>
  <c r="F5"/>
  <c r="G5"/>
  <c r="H5"/>
  <c r="I5"/>
  <c r="J5"/>
  <c r="K5"/>
  <c r="L5"/>
  <c r="M5"/>
  <c r="N5"/>
  <c r="C6"/>
  <c r="D6"/>
  <c r="E6"/>
  <c r="F6"/>
  <c r="G6"/>
  <c r="H6"/>
  <c r="I6"/>
  <c r="J6"/>
  <c r="K6"/>
  <c r="L6"/>
  <c r="M6"/>
  <c r="N6"/>
  <c r="C7"/>
  <c r="D7"/>
  <c r="E7"/>
  <c r="F7"/>
  <c r="G7"/>
  <c r="H7"/>
  <c r="I7"/>
  <c r="J7"/>
  <c r="K7"/>
  <c r="L7"/>
  <c r="M7"/>
  <c r="N7"/>
  <c r="C9"/>
  <c r="D9"/>
  <c r="E9"/>
  <c r="F9"/>
  <c r="G9"/>
  <c r="H9"/>
  <c r="I9"/>
  <c r="J9"/>
  <c r="K9"/>
  <c r="K10" s="1"/>
  <c r="L9"/>
  <c r="L10" s="1"/>
  <c r="M9"/>
  <c r="M10" s="1"/>
  <c r="N9"/>
  <c r="E10"/>
  <c r="F10"/>
  <c r="G10"/>
  <c r="H10"/>
  <c r="I10"/>
  <c r="J10"/>
  <c r="C4" i="16"/>
  <c r="E4"/>
  <c r="G4"/>
  <c r="I4"/>
  <c r="K4"/>
  <c r="Q4"/>
  <c r="S4"/>
  <c r="U4"/>
  <c r="W4"/>
  <c r="Y4"/>
  <c r="AA4"/>
  <c r="AC4"/>
  <c r="AE4"/>
  <c r="AG4"/>
  <c r="AI4"/>
  <c r="AK4"/>
  <c r="AQ4"/>
  <c r="AS4"/>
  <c r="AU4"/>
  <c r="AW4"/>
  <c r="AY4"/>
  <c r="BA4"/>
  <c r="BC4"/>
  <c r="BE4"/>
  <c r="BI4"/>
  <c r="BK4"/>
  <c r="BM4"/>
  <c r="BO4"/>
  <c r="BQ4"/>
  <c r="BS4"/>
  <c r="BU4"/>
  <c r="BY4"/>
  <c r="CA4"/>
  <c r="CC4"/>
  <c r="CE4"/>
  <c r="CG4"/>
  <c r="CI4"/>
  <c r="CK4"/>
  <c r="CM4"/>
  <c r="CO4"/>
  <c r="CQ4"/>
  <c r="CS4"/>
  <c r="CU4"/>
  <c r="CW4"/>
  <c r="DA4"/>
  <c r="DC4"/>
  <c r="DE4"/>
  <c r="DG4"/>
  <c r="DI4"/>
  <c r="DK4"/>
  <c r="DM4"/>
  <c r="DO4"/>
  <c r="DQ4"/>
  <c r="DS4"/>
  <c r="DW4"/>
  <c r="DY4"/>
  <c r="EA4"/>
  <c r="EC4"/>
  <c r="EQ4"/>
  <c r="ES4"/>
  <c r="EU4"/>
  <c r="EW4"/>
  <c r="EY4"/>
  <c r="FA4"/>
  <c r="FC4"/>
  <c r="FE4"/>
  <c r="FG4"/>
  <c r="FI4"/>
  <c r="FK4"/>
  <c r="FM4"/>
  <c r="FO4"/>
  <c r="FQ4"/>
  <c r="FS4"/>
  <c r="FU4"/>
  <c r="FW4"/>
  <c r="FY4"/>
  <c r="GA4"/>
  <c r="GC4"/>
  <c r="GE4"/>
  <c r="GG4"/>
  <c r="GI4"/>
  <c r="GK4"/>
  <c r="GM4"/>
  <c r="GO4"/>
  <c r="GQ4"/>
  <c r="GS4"/>
  <c r="HA4"/>
  <c r="HC4"/>
  <c r="HE4"/>
  <c r="HG4"/>
  <c r="HI4"/>
  <c r="HK4"/>
  <c r="HM4"/>
  <c r="HO4"/>
  <c r="HQ4"/>
  <c r="HS4"/>
  <c r="HU4"/>
  <c r="HW4"/>
  <c r="HY4"/>
  <c r="IC4"/>
  <c r="IE4"/>
  <c r="IG4"/>
  <c r="II4"/>
  <c r="IK4"/>
  <c r="IM4"/>
  <c r="IQ4"/>
  <c r="IS4"/>
  <c r="C5"/>
  <c r="E5"/>
  <c r="G5"/>
  <c r="I5"/>
  <c r="K5"/>
  <c r="M5"/>
  <c r="Q5"/>
  <c r="S5"/>
  <c r="U5"/>
  <c r="W5"/>
  <c r="Y5"/>
  <c r="AA5"/>
  <c r="AC5"/>
  <c r="AE5"/>
  <c r="AG5"/>
  <c r="AI5"/>
  <c r="AK5"/>
  <c r="AM5"/>
  <c r="AO5"/>
  <c r="AQ5"/>
  <c r="AS5"/>
  <c r="AU5"/>
  <c r="AW5"/>
  <c r="AY5"/>
  <c r="BA5"/>
  <c r="BC5"/>
  <c r="BE5"/>
  <c r="BG5"/>
  <c r="BI5"/>
  <c r="BK5"/>
  <c r="BM5"/>
  <c r="BO5"/>
  <c r="BQ5"/>
  <c r="BS5"/>
  <c r="BU5"/>
  <c r="BY5"/>
  <c r="CA5"/>
  <c r="CC5"/>
  <c r="CE5"/>
  <c r="CG5"/>
  <c r="CI5"/>
  <c r="CK5"/>
  <c r="CM5"/>
  <c r="CO5"/>
  <c r="CQ5"/>
  <c r="CS5"/>
  <c r="CU5"/>
  <c r="CW5"/>
  <c r="CY5"/>
  <c r="DA5"/>
  <c r="DC5"/>
  <c r="DE5"/>
  <c r="DG5"/>
  <c r="DI5"/>
  <c r="DK5"/>
  <c r="DM5"/>
  <c r="DO5"/>
  <c r="DS5"/>
  <c r="DU5"/>
  <c r="DW5"/>
  <c r="DY5"/>
  <c r="EA5"/>
  <c r="EC5"/>
  <c r="EQ5"/>
  <c r="ES5"/>
  <c r="EU5"/>
  <c r="EW5"/>
  <c r="EY5"/>
  <c r="FA5"/>
  <c r="FC5"/>
  <c r="FE5"/>
  <c r="FG5"/>
  <c r="FI5"/>
  <c r="FK5"/>
  <c r="FM5"/>
  <c r="FO5"/>
  <c r="FQ5"/>
  <c r="FS5"/>
  <c r="FU5"/>
  <c r="FW5"/>
  <c r="FY5"/>
  <c r="GA5"/>
  <c r="GC5"/>
  <c r="GE5"/>
  <c r="GG5"/>
  <c r="GI5"/>
  <c r="GK5"/>
  <c r="GM5"/>
  <c r="GO5"/>
  <c r="GQ5"/>
  <c r="GS5"/>
  <c r="HA5"/>
  <c r="HC5"/>
  <c r="HE5"/>
  <c r="HG5"/>
  <c r="HI5"/>
  <c r="HK5"/>
  <c r="HM5"/>
  <c r="HO5"/>
  <c r="HQ5"/>
  <c r="HS5"/>
  <c r="HU5"/>
  <c r="HW5"/>
  <c r="HY5"/>
  <c r="IA5"/>
  <c r="IE5"/>
  <c r="IG5"/>
  <c r="II5"/>
  <c r="IK5"/>
  <c r="IM5"/>
  <c r="IO5"/>
  <c r="IQ5"/>
  <c r="IS5"/>
  <c r="C6"/>
  <c r="E6"/>
  <c r="G6"/>
  <c r="I6"/>
  <c r="K6"/>
  <c r="M6"/>
  <c r="O6"/>
  <c r="Q6"/>
  <c r="S6"/>
  <c r="U6"/>
  <c r="W6"/>
  <c r="Y6"/>
  <c r="AA6"/>
  <c r="AC6"/>
  <c r="AE6"/>
  <c r="AG6"/>
  <c r="AI6"/>
  <c r="AK6"/>
  <c r="AM6"/>
  <c r="AO6"/>
  <c r="AQ6"/>
  <c r="AS6"/>
  <c r="AU6"/>
  <c r="AW6"/>
  <c r="AY6"/>
  <c r="BA6"/>
  <c r="BC6"/>
  <c r="BE6"/>
  <c r="BG6"/>
  <c r="BI6"/>
  <c r="BK6"/>
  <c r="BM6"/>
  <c r="BO6"/>
  <c r="BQ6"/>
  <c r="BS6"/>
  <c r="BU6"/>
  <c r="BY6"/>
  <c r="CA6"/>
  <c r="CC6"/>
  <c r="CE6"/>
  <c r="CG6"/>
  <c r="CI6"/>
  <c r="CK6"/>
  <c r="CM6"/>
  <c r="CO6"/>
  <c r="CQ6"/>
  <c r="CS6"/>
  <c r="CU6"/>
  <c r="CW6"/>
  <c r="CY6"/>
  <c r="DA6"/>
  <c r="DC6"/>
  <c r="DE6"/>
  <c r="DG6"/>
  <c r="DI6"/>
  <c r="DK6"/>
  <c r="DM6"/>
  <c r="DO6"/>
  <c r="DS6"/>
  <c r="DU6"/>
  <c r="DW6"/>
  <c r="DY6"/>
  <c r="EA6"/>
  <c r="EC6"/>
  <c r="EQ6"/>
  <c r="ES6"/>
  <c r="EU6"/>
  <c r="EW6"/>
  <c r="EY6"/>
  <c r="FA6"/>
  <c r="FC6"/>
  <c r="FE6"/>
  <c r="FG6"/>
  <c r="FI6"/>
  <c r="FK6"/>
  <c r="FM6"/>
  <c r="FO6"/>
  <c r="FQ6"/>
  <c r="FS6"/>
  <c r="FU6"/>
  <c r="FW6"/>
  <c r="FY6"/>
  <c r="GA6"/>
  <c r="GC6"/>
  <c r="GE6"/>
  <c r="GG6"/>
  <c r="GI6"/>
  <c r="GK6"/>
  <c r="GM6"/>
  <c r="GO6"/>
  <c r="GQ6"/>
  <c r="GS6"/>
  <c r="HA6"/>
  <c r="HC6"/>
  <c r="HE6"/>
  <c r="HG6"/>
  <c r="HI6"/>
  <c r="HK6"/>
  <c r="HM6"/>
  <c r="HO6"/>
  <c r="HQ6"/>
  <c r="HS6"/>
  <c r="HU6"/>
  <c r="HW6"/>
  <c r="HY6"/>
  <c r="IA6"/>
  <c r="IE6"/>
  <c r="IG6"/>
  <c r="II6"/>
  <c r="IK6"/>
  <c r="IM6"/>
  <c r="IO6"/>
  <c r="IQ6"/>
  <c r="IS6"/>
  <c r="C7"/>
  <c r="E7"/>
  <c r="G7"/>
  <c r="I7"/>
  <c r="K7"/>
  <c r="M7"/>
  <c r="O7"/>
  <c r="Q7"/>
  <c r="S7"/>
  <c r="U7"/>
  <c r="W7"/>
  <c r="Y7"/>
  <c r="AA7"/>
  <c r="AC7"/>
  <c r="AE7"/>
  <c r="AG7"/>
  <c r="AI7"/>
  <c r="AK7"/>
  <c r="AM7"/>
  <c r="AQ7"/>
  <c r="AS7"/>
  <c r="AU7"/>
  <c r="AW7"/>
  <c r="AY7"/>
  <c r="BA7"/>
  <c r="BC7"/>
  <c r="BE7"/>
  <c r="BG7"/>
  <c r="BI7"/>
  <c r="BK7"/>
  <c r="BM7"/>
  <c r="BO7"/>
  <c r="BQ7"/>
  <c r="BS7"/>
  <c r="BU7"/>
  <c r="BW7"/>
  <c r="BY7"/>
  <c r="CA7"/>
  <c r="CC7"/>
  <c r="CE7"/>
  <c r="CG7"/>
  <c r="CI7"/>
  <c r="CK7"/>
  <c r="CM7"/>
  <c r="CO7"/>
  <c r="CQ7"/>
  <c r="CS7"/>
  <c r="CU7"/>
  <c r="CW7"/>
  <c r="CY7"/>
  <c r="DA7"/>
  <c r="DC7"/>
  <c r="DE7"/>
  <c r="DG7"/>
  <c r="DI7"/>
  <c r="DK7"/>
  <c r="DM7"/>
  <c r="DO7"/>
  <c r="DQ7"/>
  <c r="DS7"/>
  <c r="DU7"/>
  <c r="DW7"/>
  <c r="DY7"/>
  <c r="EA7"/>
  <c r="EC7"/>
  <c r="EQ7"/>
  <c r="ES7"/>
  <c r="EU7"/>
  <c r="EW7"/>
  <c r="EY7"/>
  <c r="FA7"/>
  <c r="FC7"/>
  <c r="FE7"/>
  <c r="FG7"/>
  <c r="FI7"/>
  <c r="FK7"/>
  <c r="FM7"/>
  <c r="FO7"/>
  <c r="FQ7"/>
  <c r="FU7"/>
  <c r="FW7"/>
  <c r="FY7"/>
  <c r="GA7"/>
  <c r="GC7"/>
  <c r="GE7"/>
  <c r="GG7"/>
  <c r="GI7"/>
  <c r="GK7"/>
  <c r="GM7"/>
  <c r="GO7"/>
  <c r="GQ7"/>
  <c r="GS7"/>
  <c r="HA7"/>
  <c r="HC7"/>
  <c r="HE7"/>
  <c r="HG7"/>
  <c r="HI7"/>
  <c r="HK7"/>
  <c r="HM7"/>
  <c r="HO7"/>
  <c r="HQ7"/>
  <c r="HS7"/>
  <c r="HU7"/>
  <c r="HW7"/>
  <c r="HY7"/>
  <c r="IA7"/>
  <c r="IE7"/>
  <c r="IG7"/>
  <c r="II7"/>
  <c r="IK7"/>
  <c r="IM7"/>
  <c r="IO7"/>
  <c r="IQ7"/>
  <c r="IS7"/>
  <c r="C8"/>
  <c r="E8"/>
  <c r="G8"/>
  <c r="I8"/>
  <c r="K8"/>
  <c r="M8"/>
  <c r="O8"/>
  <c r="Q8"/>
  <c r="S8"/>
  <c r="U8"/>
  <c r="W8"/>
  <c r="Y8"/>
  <c r="AA8"/>
  <c r="AC8"/>
  <c r="AE8"/>
  <c r="AG8"/>
  <c r="AI8"/>
  <c r="AK8"/>
  <c r="AM8"/>
  <c r="AQ8"/>
  <c r="AS8"/>
  <c r="AU8"/>
  <c r="AW8"/>
  <c r="AY8"/>
  <c r="BA8"/>
  <c r="BC8"/>
  <c r="BE8"/>
  <c r="BG8"/>
  <c r="BI8"/>
  <c r="BK8"/>
  <c r="BM8"/>
  <c r="BO8"/>
  <c r="BQ8"/>
  <c r="BS8"/>
  <c r="BU8"/>
  <c r="BW8"/>
  <c r="BY8"/>
  <c r="CA8"/>
  <c r="CC8"/>
  <c r="CE8"/>
  <c r="CG8"/>
  <c r="CI8"/>
  <c r="CK8"/>
  <c r="CM8"/>
  <c r="CO8"/>
  <c r="CQ8"/>
  <c r="CS8"/>
  <c r="CU8"/>
  <c r="CW8"/>
  <c r="CY8"/>
  <c r="DC8"/>
  <c r="DE8"/>
  <c r="DG8"/>
  <c r="DI8"/>
  <c r="DK8"/>
  <c r="DM8"/>
  <c r="DO8"/>
  <c r="DQ8"/>
  <c r="DS8"/>
  <c r="DU8"/>
  <c r="DW8"/>
  <c r="DY8"/>
  <c r="EA8"/>
  <c r="EC8"/>
  <c r="EQ8"/>
  <c r="ES8"/>
  <c r="EU8"/>
  <c r="EW8"/>
  <c r="EY8"/>
  <c r="FA8"/>
  <c r="FC8"/>
  <c r="FE8"/>
  <c r="FG8"/>
  <c r="FI8"/>
  <c r="FK8"/>
  <c r="FM8"/>
  <c r="FO8"/>
  <c r="FQ8"/>
  <c r="FU8"/>
  <c r="FW8"/>
  <c r="FY8"/>
  <c r="GA8"/>
  <c r="GC8"/>
  <c r="GE8"/>
  <c r="GI8"/>
  <c r="GK8"/>
  <c r="GM8"/>
  <c r="GO8"/>
  <c r="GQ8"/>
  <c r="GS8"/>
  <c r="HA8"/>
  <c r="HC8"/>
  <c r="HE8"/>
  <c r="HG8"/>
  <c r="HI8"/>
  <c r="HK8"/>
  <c r="HM8"/>
  <c r="HO8"/>
  <c r="HQ8"/>
  <c r="HS8"/>
  <c r="HU8"/>
  <c r="HW8"/>
  <c r="HY8"/>
  <c r="IA8"/>
  <c r="IE8"/>
  <c r="IG8"/>
  <c r="II8"/>
  <c r="IK8"/>
  <c r="IM8"/>
  <c r="IO8"/>
  <c r="IQ8"/>
  <c r="IS8"/>
  <c r="C9"/>
  <c r="E9"/>
  <c r="G9"/>
  <c r="I9"/>
  <c r="K9"/>
  <c r="M9"/>
  <c r="O9"/>
  <c r="Q9"/>
  <c r="S9"/>
  <c r="U9"/>
  <c r="W9"/>
  <c r="Y9"/>
  <c r="AA9"/>
  <c r="AC9"/>
  <c r="AE9"/>
  <c r="AG9"/>
  <c r="AI9"/>
  <c r="AK9"/>
  <c r="AM9"/>
  <c r="AO9"/>
  <c r="AQ9"/>
  <c r="AS9"/>
  <c r="AU9"/>
  <c r="AW9"/>
  <c r="AY9"/>
  <c r="BC9"/>
  <c r="BE9"/>
  <c r="BG9"/>
  <c r="BI9"/>
  <c r="BK9"/>
  <c r="BM9"/>
  <c r="BO9"/>
  <c r="BQ9"/>
  <c r="BS9"/>
  <c r="BU9"/>
  <c r="BW9"/>
  <c r="BY9"/>
  <c r="CA9"/>
  <c r="CC9"/>
  <c r="CE9"/>
  <c r="CG9"/>
  <c r="CI9"/>
  <c r="CK9"/>
  <c r="CM9"/>
  <c r="CO9"/>
  <c r="CQ9"/>
  <c r="CS9"/>
  <c r="CU9"/>
  <c r="CW9"/>
  <c r="CY9"/>
  <c r="DC9"/>
  <c r="DE9"/>
  <c r="DG9"/>
  <c r="DI9"/>
  <c r="DK9"/>
  <c r="DM9"/>
  <c r="DO9"/>
  <c r="DQ9"/>
  <c r="DS9"/>
  <c r="DU9"/>
  <c r="DW9"/>
  <c r="DY9"/>
  <c r="EA9"/>
  <c r="EC9"/>
  <c r="EQ9"/>
  <c r="ES9"/>
  <c r="EU9"/>
  <c r="EW9"/>
  <c r="EY9"/>
  <c r="FA9"/>
  <c r="FC9"/>
  <c r="FE9"/>
  <c r="FG9"/>
  <c r="FI9"/>
  <c r="FK9"/>
  <c r="FM9"/>
  <c r="FO9"/>
  <c r="FQ9"/>
  <c r="FS9"/>
  <c r="FU9"/>
  <c r="FW9"/>
  <c r="FY9"/>
  <c r="GA9"/>
  <c r="GC9"/>
  <c r="GE9"/>
  <c r="GI9"/>
  <c r="GK9"/>
  <c r="GM9"/>
  <c r="GO9"/>
  <c r="GQ9"/>
  <c r="GS9"/>
  <c r="HA9"/>
  <c r="HC9"/>
  <c r="HE9"/>
  <c r="HG9"/>
  <c r="HI9"/>
  <c r="HK9"/>
  <c r="HM9"/>
  <c r="HO9"/>
  <c r="HQ9"/>
  <c r="HS9"/>
  <c r="HU9"/>
  <c r="HW9"/>
  <c r="HY9"/>
  <c r="IA9"/>
  <c r="IE9"/>
  <c r="IG9"/>
  <c r="II9"/>
  <c r="IK9"/>
  <c r="IM9"/>
  <c r="IO9"/>
  <c r="IQ9"/>
  <c r="IS9"/>
  <c r="C10"/>
  <c r="E10"/>
  <c r="G10"/>
  <c r="K10"/>
  <c r="M10"/>
  <c r="O10"/>
  <c r="Q10"/>
  <c r="S10"/>
  <c r="U10"/>
  <c r="W10"/>
  <c r="Y10"/>
  <c r="AA10"/>
  <c r="AC10"/>
  <c r="AE10"/>
  <c r="AG10"/>
  <c r="AI10"/>
  <c r="AK10"/>
  <c r="AM10"/>
  <c r="AO10"/>
  <c r="AQ10"/>
  <c r="AS10"/>
  <c r="AU10"/>
  <c r="AY10"/>
  <c r="BC10"/>
  <c r="BE10"/>
  <c r="BG10"/>
  <c r="BI10"/>
  <c r="BK10"/>
  <c r="BM10"/>
  <c r="BO10"/>
  <c r="BQ10"/>
  <c r="BS10"/>
  <c r="BU10"/>
  <c r="BW10"/>
  <c r="BY10"/>
  <c r="CA10"/>
  <c r="CE10"/>
  <c r="CG10"/>
  <c r="CI10"/>
  <c r="CK10"/>
  <c r="CM10"/>
  <c r="CO10"/>
  <c r="CQ10"/>
  <c r="CS10"/>
  <c r="CW10"/>
  <c r="CY10"/>
  <c r="DC10"/>
  <c r="DE10"/>
  <c r="DG10"/>
  <c r="DI10"/>
  <c r="DK10"/>
  <c r="DM10"/>
  <c r="DO10"/>
  <c r="DQ10"/>
  <c r="DS10"/>
  <c r="DU10"/>
  <c r="DW10"/>
  <c r="DY10"/>
  <c r="EA10"/>
  <c r="EC10"/>
  <c r="EQ10"/>
  <c r="ES10"/>
  <c r="EU10"/>
  <c r="EW10"/>
  <c r="EY10"/>
  <c r="FA10"/>
  <c r="FC10"/>
  <c r="FE10"/>
  <c r="FG10"/>
  <c r="FI10"/>
  <c r="FK10"/>
  <c r="FM10"/>
  <c r="FO10"/>
  <c r="FQ10"/>
  <c r="FS10"/>
  <c r="FU10"/>
  <c r="FY10"/>
  <c r="GA10"/>
  <c r="GC10"/>
  <c r="GE10"/>
  <c r="GI10"/>
  <c r="GK10"/>
  <c r="GM10"/>
  <c r="GO10"/>
  <c r="GQ10"/>
  <c r="GS10"/>
  <c r="GU10"/>
  <c r="GW10"/>
  <c r="GY10"/>
  <c r="HA10"/>
  <c r="HC10"/>
  <c r="HE10"/>
  <c r="HG10"/>
  <c r="HI10"/>
  <c r="HK10"/>
  <c r="HM10"/>
  <c r="HO10"/>
  <c r="HQ10"/>
  <c r="HS10"/>
  <c r="HU10"/>
  <c r="HW10"/>
  <c r="HY10"/>
  <c r="IA10"/>
  <c r="IE10"/>
  <c r="IG10"/>
  <c r="II10"/>
  <c r="IK10"/>
  <c r="IM10"/>
  <c r="IO10"/>
  <c r="IQ10"/>
  <c r="IS10"/>
  <c r="C11"/>
  <c r="E11"/>
  <c r="G11"/>
  <c r="K11"/>
  <c r="M11"/>
  <c r="O11"/>
  <c r="Q11"/>
  <c r="S11"/>
  <c r="U11"/>
  <c r="W11"/>
  <c r="Y11"/>
  <c r="AA11"/>
  <c r="AC11"/>
  <c r="AE11"/>
  <c r="AG11"/>
  <c r="AI11"/>
  <c r="AK11"/>
  <c r="AM11"/>
  <c r="AO11"/>
  <c r="AQ11"/>
  <c r="AS11"/>
  <c r="AU11"/>
  <c r="AY11"/>
  <c r="BC11"/>
  <c r="BE11"/>
  <c r="BG11"/>
  <c r="BI11"/>
  <c r="BK11"/>
  <c r="BM11"/>
  <c r="BO11"/>
  <c r="BQ11"/>
  <c r="BS11"/>
  <c r="BW11"/>
  <c r="BY11"/>
  <c r="CA11"/>
  <c r="CE11"/>
  <c r="CG11"/>
  <c r="CI11"/>
  <c r="CK11"/>
  <c r="CM11"/>
  <c r="CO11"/>
  <c r="CQ11"/>
  <c r="CS11"/>
  <c r="CW11"/>
  <c r="CY11"/>
  <c r="DC11"/>
  <c r="DE11"/>
  <c r="DG11"/>
  <c r="DI11"/>
  <c r="DK11"/>
  <c r="DM11"/>
  <c r="DO11"/>
  <c r="DQ11"/>
  <c r="DS11"/>
  <c r="DU11"/>
  <c r="DW11"/>
  <c r="DY11"/>
  <c r="EA11"/>
  <c r="EC11"/>
  <c r="EQ11"/>
  <c r="ES11"/>
  <c r="EU11"/>
  <c r="EW11"/>
  <c r="EY11"/>
  <c r="FA11"/>
  <c r="FC11"/>
  <c r="FE11"/>
  <c r="FG11"/>
  <c r="FI11"/>
  <c r="FK11"/>
  <c r="FM11"/>
  <c r="FO11"/>
  <c r="FQ11"/>
  <c r="FS11"/>
  <c r="FU11"/>
  <c r="FW11"/>
  <c r="FY11"/>
  <c r="GA11"/>
  <c r="GC11"/>
  <c r="GE11"/>
  <c r="GG11"/>
  <c r="GI11"/>
  <c r="GK11"/>
  <c r="GM11"/>
  <c r="GQ11"/>
  <c r="GS11"/>
  <c r="GU11"/>
  <c r="GW11"/>
  <c r="GY11"/>
  <c r="HA11"/>
  <c r="HC11"/>
  <c r="HG11"/>
  <c r="HI11"/>
  <c r="HK11"/>
  <c r="HM11"/>
  <c r="HO11"/>
  <c r="HQ11"/>
  <c r="HS11"/>
  <c r="HU11"/>
  <c r="HW11"/>
  <c r="HY11"/>
  <c r="IA11"/>
  <c r="IE11"/>
  <c r="IG11"/>
  <c r="II11"/>
  <c r="IK11"/>
  <c r="IM11"/>
  <c r="IO11"/>
  <c r="IQ11"/>
  <c r="IS11"/>
  <c r="C12"/>
  <c r="E12"/>
  <c r="G12"/>
  <c r="K12"/>
  <c r="M12"/>
  <c r="O12"/>
  <c r="Q12"/>
  <c r="S12"/>
  <c r="U12"/>
  <c r="W12"/>
  <c r="Y12"/>
  <c r="AA12"/>
  <c r="AC12"/>
  <c r="AE12"/>
  <c r="AG12"/>
  <c r="AI12"/>
  <c r="AK12"/>
  <c r="AM12"/>
  <c r="AO12"/>
  <c r="AQ12"/>
  <c r="AS12"/>
  <c r="AU12"/>
  <c r="AW12"/>
  <c r="AY12"/>
  <c r="BC12"/>
  <c r="BE12"/>
  <c r="BG12"/>
  <c r="BI12"/>
  <c r="BK12"/>
  <c r="BM12"/>
  <c r="BO12"/>
  <c r="BQ12"/>
  <c r="BS12"/>
  <c r="BW12"/>
  <c r="BY12"/>
  <c r="CA12"/>
  <c r="CE12"/>
  <c r="CG12"/>
  <c r="CI12"/>
  <c r="CK12"/>
  <c r="CM12"/>
  <c r="CO12"/>
  <c r="CQ12"/>
  <c r="CS12"/>
  <c r="CW12"/>
  <c r="CY12"/>
  <c r="DC12"/>
  <c r="DE12"/>
  <c r="DG12"/>
  <c r="DI12"/>
  <c r="DK12"/>
  <c r="DM12"/>
  <c r="DO12"/>
  <c r="DQ12"/>
  <c r="DS12"/>
  <c r="DU12"/>
  <c r="DW12"/>
  <c r="DY12"/>
  <c r="EA12"/>
  <c r="EC12"/>
  <c r="EQ12"/>
  <c r="ES12"/>
  <c r="EU12"/>
  <c r="EW12"/>
  <c r="EY12"/>
  <c r="FA12"/>
  <c r="FC12"/>
  <c r="FE12"/>
  <c r="FG12"/>
  <c r="FI12"/>
  <c r="FK12"/>
  <c r="FM12"/>
  <c r="FO12"/>
  <c r="FQ12"/>
  <c r="FS12"/>
  <c r="FU12"/>
  <c r="FW12"/>
  <c r="FY12"/>
  <c r="GA12"/>
  <c r="GC12"/>
  <c r="GE12"/>
  <c r="GG12"/>
  <c r="GI12"/>
  <c r="GK12"/>
  <c r="GM12"/>
  <c r="GQ12"/>
  <c r="GS12"/>
  <c r="GU12"/>
  <c r="GW12"/>
  <c r="GY12"/>
  <c r="HA12"/>
  <c r="HC12"/>
  <c r="HG12"/>
  <c r="HI12"/>
  <c r="HK12"/>
  <c r="HM12"/>
  <c r="HO12"/>
  <c r="HQ12"/>
  <c r="HS12"/>
  <c r="HU12"/>
  <c r="HW12"/>
  <c r="HY12"/>
  <c r="IA12"/>
  <c r="IE12"/>
  <c r="IG12"/>
  <c r="II12"/>
  <c r="IK12"/>
  <c r="IM12"/>
  <c r="IO12"/>
  <c r="IQ12"/>
  <c r="IS12"/>
  <c r="C13"/>
  <c r="E13"/>
  <c r="G13"/>
  <c r="K13"/>
  <c r="M13"/>
  <c r="O13"/>
  <c r="Q13"/>
  <c r="S13"/>
  <c r="U13"/>
  <c r="W13"/>
  <c r="Y13"/>
  <c r="AA13"/>
  <c r="AC13"/>
  <c r="AE13"/>
  <c r="AG13"/>
  <c r="AI13"/>
  <c r="AK13"/>
  <c r="AM13"/>
  <c r="AO13"/>
  <c r="AQ13"/>
  <c r="AS13"/>
  <c r="AU13"/>
  <c r="AW13"/>
  <c r="AY13"/>
  <c r="BA13"/>
  <c r="BC13"/>
  <c r="BE13"/>
  <c r="BG13"/>
  <c r="BI13"/>
  <c r="BK13"/>
  <c r="BM13"/>
  <c r="BO13"/>
  <c r="BQ13"/>
  <c r="BS13"/>
  <c r="BW13"/>
  <c r="BY13"/>
  <c r="CA13"/>
  <c r="CE13"/>
  <c r="CG13"/>
  <c r="CI13"/>
  <c r="CK13"/>
  <c r="CM13"/>
  <c r="CO13"/>
  <c r="CQ13"/>
  <c r="CS13"/>
  <c r="CW13"/>
  <c r="CY13"/>
  <c r="DC13"/>
  <c r="DE13"/>
  <c r="DG13"/>
  <c r="DI13"/>
  <c r="DK13"/>
  <c r="DM13"/>
  <c r="DO13"/>
  <c r="DQ13"/>
  <c r="DS13"/>
  <c r="DU13"/>
  <c r="DW13"/>
  <c r="DY13"/>
  <c r="EA13"/>
  <c r="EC13"/>
  <c r="EE13"/>
  <c r="EG13"/>
  <c r="EI13"/>
  <c r="EK13"/>
  <c r="EM13"/>
  <c r="EQ13"/>
  <c r="ES13"/>
  <c r="EU13"/>
  <c r="EW13"/>
  <c r="EY13"/>
  <c r="FA13"/>
  <c r="FC13"/>
  <c r="FE13"/>
  <c r="FG13"/>
  <c r="FI13"/>
  <c r="FK13"/>
  <c r="FM13"/>
  <c r="FO13"/>
  <c r="FQ13"/>
  <c r="FS13"/>
  <c r="FU13"/>
  <c r="FW13"/>
  <c r="FY13"/>
  <c r="GA13"/>
  <c r="GC13"/>
  <c r="GE13"/>
  <c r="GG13"/>
  <c r="GI13"/>
  <c r="GK13"/>
  <c r="GM13"/>
  <c r="GQ13"/>
  <c r="GS13"/>
  <c r="GU13"/>
  <c r="GW13"/>
  <c r="GY13"/>
  <c r="HA13"/>
  <c r="HC13"/>
  <c r="HE13"/>
  <c r="HG13"/>
  <c r="HI13"/>
  <c r="HK13"/>
  <c r="HM13"/>
  <c r="HO13"/>
  <c r="HQ13"/>
  <c r="HS13"/>
  <c r="HU13"/>
  <c r="HW13"/>
  <c r="HY13"/>
  <c r="IA13"/>
  <c r="IE13"/>
  <c r="IG13"/>
  <c r="II13"/>
  <c r="IK13"/>
  <c r="IM13"/>
  <c r="IO13"/>
  <c r="IQ13"/>
  <c r="IS13"/>
  <c r="C14"/>
  <c r="E14"/>
  <c r="G14"/>
  <c r="I14"/>
  <c r="K14"/>
  <c r="M14"/>
  <c r="O14"/>
  <c r="Q14"/>
  <c r="S14"/>
  <c r="U14"/>
  <c r="W14"/>
  <c r="Y14"/>
  <c r="AA14"/>
  <c r="AC14"/>
  <c r="AE14"/>
  <c r="AG14"/>
  <c r="AI14"/>
  <c r="AK14"/>
  <c r="AM14"/>
  <c r="AO14"/>
  <c r="AQ14"/>
  <c r="AS14"/>
  <c r="AU14"/>
  <c r="AW14"/>
  <c r="AY14"/>
  <c r="BA14"/>
  <c r="BC14"/>
  <c r="BE14"/>
  <c r="BG14"/>
  <c r="BI14"/>
  <c r="BK14"/>
  <c r="BM14"/>
  <c r="BO14"/>
  <c r="BQ14"/>
  <c r="BS14"/>
  <c r="BU14"/>
  <c r="BW14"/>
  <c r="BY14"/>
  <c r="CA14"/>
  <c r="CC14"/>
  <c r="CE14"/>
  <c r="CG14"/>
  <c r="CI14"/>
  <c r="CK14"/>
  <c r="CM14"/>
  <c r="CO14"/>
  <c r="CQ14"/>
  <c r="CS14"/>
  <c r="CW14"/>
  <c r="CY14"/>
  <c r="DC14"/>
  <c r="DE14"/>
  <c r="DG14"/>
  <c r="DI14"/>
  <c r="DK14"/>
  <c r="DM14"/>
  <c r="DO14"/>
  <c r="DQ14"/>
  <c r="DS14"/>
  <c r="DU14"/>
  <c r="DW14"/>
  <c r="DY14"/>
  <c r="EA14"/>
  <c r="EC14"/>
  <c r="EE14"/>
  <c r="EG14"/>
  <c r="EI14"/>
  <c r="EK14"/>
  <c r="EM14"/>
  <c r="EQ14"/>
  <c r="ES14"/>
  <c r="EU14"/>
  <c r="EW14"/>
  <c r="EY14"/>
  <c r="FA14"/>
  <c r="FC14"/>
  <c r="FE14"/>
  <c r="FG14"/>
  <c r="FI14"/>
  <c r="FK14"/>
  <c r="FM14"/>
  <c r="FO14"/>
  <c r="FQ14"/>
  <c r="FS14"/>
  <c r="FU14"/>
  <c r="FW14"/>
  <c r="FY14"/>
  <c r="GA14"/>
  <c r="GC14"/>
  <c r="GE14"/>
  <c r="GG14"/>
  <c r="GI14"/>
  <c r="GK14"/>
  <c r="GM14"/>
  <c r="GQ14"/>
  <c r="GS14"/>
  <c r="GU14"/>
  <c r="GW14"/>
  <c r="GY14"/>
  <c r="HA14"/>
  <c r="HC14"/>
  <c r="HE14"/>
  <c r="HG14"/>
  <c r="HI14"/>
  <c r="HK14"/>
  <c r="HM14"/>
  <c r="HO14"/>
  <c r="HQ14"/>
  <c r="HS14"/>
  <c r="HU14"/>
  <c r="HW14"/>
  <c r="HY14"/>
  <c r="IA14"/>
  <c r="IE14"/>
  <c r="IG14"/>
  <c r="II14"/>
  <c r="IK14"/>
  <c r="IM14"/>
  <c r="IO14"/>
  <c r="IQ14"/>
  <c r="IS14"/>
  <c r="C15"/>
  <c r="E15"/>
  <c r="G15"/>
  <c r="I15"/>
  <c r="K15"/>
  <c r="M15"/>
  <c r="O15"/>
  <c r="Q15"/>
  <c r="S15"/>
  <c r="U15"/>
  <c r="W15"/>
  <c r="Y15"/>
  <c r="AA15"/>
  <c r="AC15"/>
  <c r="AE15"/>
  <c r="AG15"/>
  <c r="AI15"/>
  <c r="AK15"/>
  <c r="AM15"/>
  <c r="AO15"/>
  <c r="AQ15"/>
  <c r="AS15"/>
  <c r="AU15"/>
  <c r="AW15"/>
  <c r="AY15"/>
  <c r="BA15"/>
  <c r="BC15"/>
  <c r="BE15"/>
  <c r="BG15"/>
  <c r="BI15"/>
  <c r="BK15"/>
  <c r="BM15"/>
  <c r="BO15"/>
  <c r="BQ15"/>
  <c r="BS15"/>
  <c r="BU15"/>
  <c r="BW15"/>
  <c r="BY15"/>
  <c r="CA15"/>
  <c r="CC15"/>
  <c r="CE15"/>
  <c r="CG15"/>
  <c r="CI15"/>
  <c r="CK15"/>
  <c r="CM15"/>
  <c r="CO15"/>
  <c r="CQ15"/>
  <c r="CS15"/>
  <c r="CW15"/>
  <c r="CY15"/>
  <c r="DC15"/>
  <c r="DE15"/>
  <c r="DG15"/>
  <c r="DI15"/>
  <c r="DK15"/>
  <c r="DM15"/>
  <c r="DO15"/>
  <c r="DQ15"/>
  <c r="DS15"/>
  <c r="DU15"/>
  <c r="DW15"/>
  <c r="DY15"/>
  <c r="EA15"/>
  <c r="EC15"/>
  <c r="EE15"/>
  <c r="EG15"/>
  <c r="EI15"/>
  <c r="EK15"/>
  <c r="EM15"/>
  <c r="EQ15"/>
  <c r="ES15"/>
  <c r="EU15"/>
  <c r="EW15"/>
  <c r="EY15"/>
  <c r="FA15"/>
  <c r="FC15"/>
  <c r="FE15"/>
  <c r="FG15"/>
  <c r="FI15"/>
  <c r="FK15"/>
  <c r="FM15"/>
  <c r="FO15"/>
  <c r="FQ15"/>
  <c r="FS15"/>
  <c r="FU15"/>
  <c r="FW15"/>
  <c r="FY15"/>
  <c r="GA15"/>
  <c r="GC15"/>
  <c r="GE15"/>
  <c r="GG15"/>
  <c r="GI15"/>
  <c r="GK15"/>
  <c r="GM15"/>
  <c r="GQ15"/>
  <c r="GS15"/>
  <c r="GU15"/>
  <c r="GW15"/>
  <c r="GY15"/>
  <c r="HA15"/>
  <c r="HC15"/>
  <c r="HE15"/>
  <c r="HG15"/>
  <c r="HI15"/>
  <c r="HK15"/>
  <c r="HM15"/>
  <c r="HO15"/>
  <c r="HQ15"/>
  <c r="HS15"/>
  <c r="HU15"/>
  <c r="HW15"/>
  <c r="HY15"/>
  <c r="IA15"/>
  <c r="IE15"/>
  <c r="IG15"/>
  <c r="II15"/>
  <c r="IK15"/>
  <c r="IM15"/>
  <c r="IO15"/>
  <c r="IQ15"/>
  <c r="IS15"/>
  <c r="C16"/>
  <c r="E16"/>
  <c r="G16"/>
  <c r="I16"/>
  <c r="K16"/>
  <c r="M16"/>
  <c r="O16"/>
  <c r="Q16"/>
  <c r="S16"/>
  <c r="Y16"/>
  <c r="AA16"/>
  <c r="AC16"/>
  <c r="AE16"/>
  <c r="AG16"/>
  <c r="AI16"/>
  <c r="AK16"/>
  <c r="AM16"/>
  <c r="AO16"/>
  <c r="AQ16"/>
  <c r="AS16"/>
  <c r="AU16"/>
  <c r="AW16"/>
  <c r="AY16"/>
  <c r="BA16"/>
  <c r="BC16"/>
  <c r="BE16"/>
  <c r="BG16"/>
  <c r="BI16"/>
  <c r="BK16"/>
  <c r="BM16"/>
  <c r="BO16"/>
  <c r="BQ16"/>
  <c r="BS16"/>
  <c r="BU16"/>
  <c r="BW16"/>
  <c r="BY16"/>
  <c r="CA16"/>
  <c r="CC16"/>
  <c r="CE16"/>
  <c r="CG16"/>
  <c r="CI16"/>
  <c r="CK16"/>
  <c r="CM16"/>
  <c r="CO16"/>
  <c r="CQ16"/>
  <c r="CS16"/>
  <c r="CW16"/>
  <c r="CY16"/>
  <c r="DE16"/>
  <c r="DG16"/>
  <c r="DI16"/>
  <c r="DK16"/>
  <c r="DM16"/>
  <c r="DO16"/>
  <c r="DQ16"/>
  <c r="DS16"/>
  <c r="DU16"/>
  <c r="DW16"/>
  <c r="DY16"/>
  <c r="EA16"/>
  <c r="EC16"/>
  <c r="EE16"/>
  <c r="EG16"/>
  <c r="EI16"/>
  <c r="EK16"/>
  <c r="EM16"/>
  <c r="EQ16"/>
  <c r="ES16"/>
  <c r="EU16"/>
  <c r="EW16"/>
  <c r="EY16"/>
  <c r="FA16"/>
  <c r="FC16"/>
  <c r="FE16"/>
  <c r="FG16"/>
  <c r="FI16"/>
  <c r="FK16"/>
  <c r="FM16"/>
  <c r="FO16"/>
  <c r="FQ16"/>
  <c r="FS16"/>
  <c r="FU16"/>
  <c r="FW16"/>
  <c r="FY16"/>
  <c r="GA16"/>
  <c r="GC16"/>
  <c r="GE16"/>
  <c r="GG16"/>
  <c r="GI16"/>
  <c r="GK16"/>
  <c r="GM16"/>
  <c r="GO16"/>
  <c r="GQ16"/>
  <c r="GS16"/>
  <c r="GU16"/>
  <c r="GW16"/>
  <c r="GY16"/>
  <c r="HA16"/>
  <c r="HC16"/>
  <c r="HE16"/>
  <c r="HG16"/>
  <c r="HI16"/>
  <c r="HK16"/>
  <c r="HM16"/>
  <c r="HO16"/>
  <c r="HQ16"/>
  <c r="HS16"/>
  <c r="HU16"/>
  <c r="HW16"/>
  <c r="HY16"/>
  <c r="IA16"/>
  <c r="IE16"/>
  <c r="IG16"/>
  <c r="II16"/>
  <c r="IK16"/>
  <c r="IM16"/>
  <c r="IO16"/>
  <c r="IQ16"/>
  <c r="IS16"/>
  <c r="C17"/>
  <c r="E17"/>
  <c r="G17"/>
  <c r="I17"/>
  <c r="K17"/>
  <c r="M17"/>
  <c r="O17"/>
  <c r="Q17"/>
  <c r="S17"/>
  <c r="U17"/>
  <c r="Y17"/>
  <c r="AA17"/>
  <c r="AC17"/>
  <c r="AE17"/>
  <c r="AI17"/>
  <c r="AK17"/>
  <c r="AM17"/>
  <c r="AO17"/>
  <c r="AQ17"/>
  <c r="AS17"/>
  <c r="AU17"/>
  <c r="AW17"/>
  <c r="AY17"/>
  <c r="BA17"/>
  <c r="BC17"/>
  <c r="BE17"/>
  <c r="BG17"/>
  <c r="BI17"/>
  <c r="BK17"/>
  <c r="BM17"/>
  <c r="BO17"/>
  <c r="BQ17"/>
  <c r="BS17"/>
  <c r="BU17"/>
  <c r="BW17"/>
  <c r="BY17"/>
  <c r="CA17"/>
  <c r="CC17"/>
  <c r="CE17"/>
  <c r="CG17"/>
  <c r="CI17"/>
  <c r="CK17"/>
  <c r="CM17"/>
  <c r="CO17"/>
  <c r="CS17"/>
  <c r="CW17"/>
  <c r="CY17"/>
  <c r="DA17"/>
  <c r="DE17"/>
  <c r="DG17"/>
  <c r="DI17"/>
  <c r="DK17"/>
  <c r="DM17"/>
  <c r="DO17"/>
  <c r="DQ17"/>
  <c r="DS17"/>
  <c r="DU17"/>
  <c r="DW17"/>
  <c r="DY17"/>
  <c r="EA17"/>
  <c r="EC17"/>
  <c r="EE17"/>
  <c r="EG17"/>
  <c r="EI17"/>
  <c r="EK17"/>
  <c r="EM17"/>
  <c r="EO17"/>
  <c r="EQ17"/>
  <c r="ES17"/>
  <c r="EU17"/>
  <c r="EW17"/>
  <c r="EY17"/>
  <c r="FA17"/>
  <c r="FC17"/>
  <c r="FE17"/>
  <c r="FG17"/>
  <c r="FI17"/>
  <c r="FK17"/>
  <c r="FM17"/>
  <c r="FO17"/>
  <c r="FQ17"/>
  <c r="FS17"/>
  <c r="FU17"/>
  <c r="FW17"/>
  <c r="FY17"/>
  <c r="GA17"/>
  <c r="GC17"/>
  <c r="GE17"/>
  <c r="GG17"/>
  <c r="GI17"/>
  <c r="GK17"/>
  <c r="GM17"/>
  <c r="GO17"/>
  <c r="GQ17"/>
  <c r="GS17"/>
  <c r="GU17"/>
  <c r="GW17"/>
  <c r="GY17"/>
  <c r="HA17"/>
  <c r="HC17"/>
  <c r="HE17"/>
  <c r="HG17"/>
  <c r="HI17"/>
  <c r="HK17"/>
  <c r="HM17"/>
  <c r="HO17"/>
  <c r="HQ17"/>
  <c r="HS17"/>
  <c r="HU17"/>
  <c r="HW17"/>
  <c r="HY17"/>
  <c r="IA17"/>
  <c r="IE17"/>
  <c r="IG17"/>
  <c r="II17"/>
  <c r="IK17"/>
  <c r="IM17"/>
  <c r="IO17"/>
  <c r="IQ17"/>
  <c r="IS17"/>
  <c r="C18"/>
  <c r="E18"/>
  <c r="G18"/>
  <c r="I18"/>
  <c r="K18"/>
  <c r="M18"/>
  <c r="O18"/>
  <c r="Q18"/>
  <c r="S18"/>
  <c r="U18"/>
  <c r="Y18"/>
  <c r="AA18"/>
  <c r="AC18"/>
  <c r="AE18"/>
  <c r="AI18"/>
  <c r="AK18"/>
  <c r="AM18"/>
  <c r="AO18"/>
  <c r="AQ18"/>
  <c r="AS18"/>
  <c r="AU18"/>
  <c r="AW18"/>
  <c r="AY18"/>
  <c r="BA18"/>
  <c r="BC18"/>
  <c r="BE18"/>
  <c r="BG18"/>
  <c r="BI18"/>
  <c r="BK18"/>
  <c r="BM18"/>
  <c r="BO18"/>
  <c r="BQ18"/>
  <c r="BS18"/>
  <c r="BU18"/>
  <c r="BW18"/>
  <c r="BY18"/>
  <c r="CA18"/>
  <c r="CC18"/>
  <c r="CE18"/>
  <c r="CG18"/>
  <c r="CI18"/>
  <c r="CK18"/>
  <c r="CM18"/>
  <c r="CO18"/>
  <c r="CS18"/>
  <c r="CU18"/>
  <c r="CW18"/>
  <c r="CY18"/>
  <c r="DA18"/>
  <c r="DC18"/>
  <c r="DE18"/>
  <c r="DG18"/>
  <c r="DI18"/>
  <c r="DK18"/>
  <c r="DM18"/>
  <c r="DO18"/>
  <c r="DQ18"/>
  <c r="DS18"/>
  <c r="DU18"/>
  <c r="DW18"/>
  <c r="DY18"/>
  <c r="EA18"/>
  <c r="EC18"/>
  <c r="EE18"/>
  <c r="EG18"/>
  <c r="EI18"/>
  <c r="EK18"/>
  <c r="EM18"/>
  <c r="EO18"/>
  <c r="EQ18"/>
  <c r="ES18"/>
  <c r="EU18"/>
  <c r="EW18"/>
  <c r="EY18"/>
  <c r="FA18"/>
  <c r="FC18"/>
  <c r="FE18"/>
  <c r="FG18"/>
  <c r="FI18"/>
  <c r="FK18"/>
  <c r="FM18"/>
  <c r="FO18"/>
  <c r="FQ18"/>
  <c r="FS18"/>
  <c r="FU18"/>
  <c r="FW18"/>
  <c r="FY18"/>
  <c r="GA18"/>
  <c r="GC18"/>
  <c r="GE18"/>
  <c r="GG18"/>
  <c r="GI18"/>
  <c r="GK18"/>
  <c r="GM18"/>
  <c r="GO18"/>
  <c r="GQ18"/>
  <c r="GS18"/>
  <c r="GU18"/>
  <c r="GW18"/>
  <c r="GY18"/>
  <c r="HA18"/>
  <c r="HC18"/>
  <c r="HE18"/>
  <c r="HG18"/>
  <c r="HI18"/>
  <c r="HK18"/>
  <c r="HM18"/>
  <c r="HO18"/>
  <c r="HQ18"/>
  <c r="HS18"/>
  <c r="HU18"/>
  <c r="HW18"/>
  <c r="HY18"/>
  <c r="IA18"/>
  <c r="IE18"/>
  <c r="IG18"/>
  <c r="II18"/>
  <c r="IK18"/>
  <c r="IM18"/>
  <c r="IO18"/>
  <c r="IQ18"/>
  <c r="IS18"/>
  <c r="C19"/>
  <c r="E19"/>
  <c r="G19"/>
  <c r="I19"/>
  <c r="K19"/>
  <c r="M19"/>
  <c r="O19"/>
  <c r="Q19"/>
  <c r="S19"/>
  <c r="U19"/>
  <c r="Y19"/>
  <c r="AA19"/>
  <c r="AC19"/>
  <c r="AE19"/>
  <c r="AI19"/>
  <c r="AK19"/>
  <c r="AM19"/>
  <c r="AO19"/>
  <c r="AQ19"/>
  <c r="AS19"/>
  <c r="AU19"/>
  <c r="AW19"/>
  <c r="AY19"/>
  <c r="BA19"/>
  <c r="BC19"/>
  <c r="BE19"/>
  <c r="BG19"/>
  <c r="BI19"/>
  <c r="BK19"/>
  <c r="BM19"/>
  <c r="BO19"/>
  <c r="BQ19"/>
  <c r="BS19"/>
  <c r="BU19"/>
  <c r="BW19"/>
  <c r="BY19"/>
  <c r="CA19"/>
  <c r="CC19"/>
  <c r="CE19"/>
  <c r="CG19"/>
  <c r="CI19"/>
  <c r="CK19"/>
  <c r="CM19"/>
  <c r="CO19"/>
  <c r="CQ19"/>
  <c r="CS19"/>
  <c r="CU19"/>
  <c r="CW19"/>
  <c r="CY19"/>
  <c r="DA19"/>
  <c r="DC19"/>
  <c r="DE19"/>
  <c r="DG19"/>
  <c r="DI19"/>
  <c r="DK19"/>
  <c r="DM19"/>
  <c r="DO19"/>
  <c r="DQ19"/>
  <c r="DS19"/>
  <c r="DU19"/>
  <c r="DW19"/>
  <c r="DY19"/>
  <c r="EA19"/>
  <c r="EC19"/>
  <c r="EE19"/>
  <c r="EG19"/>
  <c r="EI19"/>
  <c r="EK19"/>
  <c r="EM19"/>
  <c r="EO19"/>
  <c r="EQ19"/>
  <c r="ES19"/>
  <c r="EU19"/>
  <c r="EW19"/>
  <c r="EY19"/>
  <c r="FA19"/>
  <c r="FC19"/>
  <c r="FE19"/>
  <c r="FG19"/>
  <c r="FI19"/>
  <c r="FK19"/>
  <c r="FM19"/>
  <c r="FO19"/>
  <c r="FQ19"/>
  <c r="FS19"/>
  <c r="FU19"/>
  <c r="FW19"/>
  <c r="FY19"/>
  <c r="GA19"/>
  <c r="GC19"/>
  <c r="GE19"/>
  <c r="GG19"/>
  <c r="GI19"/>
  <c r="GK19"/>
  <c r="GM19"/>
  <c r="GO19"/>
  <c r="GQ19"/>
  <c r="GS19"/>
  <c r="GU19"/>
  <c r="GW19"/>
  <c r="GY19"/>
  <c r="HA19"/>
  <c r="HC19"/>
  <c r="HE19"/>
  <c r="HG19"/>
  <c r="HI19"/>
  <c r="HK19"/>
  <c r="HM19"/>
  <c r="HO19"/>
  <c r="HQ19"/>
  <c r="HS19"/>
  <c r="HU19"/>
  <c r="HW19"/>
  <c r="HY19"/>
  <c r="IA19"/>
  <c r="IE19"/>
  <c r="IG19"/>
  <c r="II19"/>
  <c r="IK19"/>
  <c r="IM19"/>
  <c r="IO19"/>
  <c r="IQ19"/>
  <c r="IS19"/>
  <c r="C20"/>
  <c r="E20"/>
  <c r="G20"/>
  <c r="I20"/>
  <c r="K20"/>
  <c r="M20"/>
  <c r="O20"/>
  <c r="Q20"/>
  <c r="S20"/>
  <c r="U20"/>
  <c r="Y20"/>
  <c r="AA20"/>
  <c r="AC20"/>
  <c r="AE20"/>
  <c r="AG20"/>
  <c r="AI20"/>
  <c r="AK20"/>
  <c r="AM20"/>
  <c r="AO20"/>
  <c r="AQ20"/>
  <c r="AS20"/>
  <c r="AU20"/>
  <c r="AW20"/>
  <c r="AY20"/>
  <c r="BA20"/>
  <c r="BC20"/>
  <c r="BE20"/>
  <c r="BG20"/>
  <c r="BI20"/>
  <c r="BK20"/>
  <c r="BM20"/>
  <c r="BO20"/>
  <c r="BQ20"/>
  <c r="BS20"/>
  <c r="BU20"/>
  <c r="BW20"/>
  <c r="BY20"/>
  <c r="CA20"/>
  <c r="CC20"/>
  <c r="CE20"/>
  <c r="CG20"/>
  <c r="CI20"/>
  <c r="CK20"/>
  <c r="CM20"/>
  <c r="CO20"/>
  <c r="CQ20"/>
  <c r="CS20"/>
  <c r="CU20"/>
  <c r="CW20"/>
  <c r="CY20"/>
  <c r="DA20"/>
  <c r="DC20"/>
  <c r="DE20"/>
  <c r="DG20"/>
  <c r="DI20"/>
  <c r="DK20"/>
  <c r="DM20"/>
  <c r="DO20"/>
  <c r="DQ20"/>
  <c r="DS20"/>
  <c r="DU20"/>
  <c r="DW20"/>
  <c r="DY20"/>
  <c r="EA20"/>
  <c r="EC20"/>
  <c r="EE20"/>
  <c r="EG20"/>
  <c r="EI20"/>
  <c r="EK20"/>
  <c r="EM20"/>
  <c r="EO20"/>
  <c r="EQ20"/>
  <c r="ES20"/>
  <c r="EU20"/>
  <c r="EW20"/>
  <c r="EY20"/>
  <c r="FA20"/>
  <c r="FC20"/>
  <c r="FE20"/>
  <c r="FG20"/>
  <c r="FI20"/>
  <c r="FK20"/>
  <c r="FM20"/>
  <c r="FO20"/>
  <c r="FQ20"/>
  <c r="FS20"/>
  <c r="FU20"/>
  <c r="FW20"/>
  <c r="FY20"/>
  <c r="GA20"/>
  <c r="GC20"/>
  <c r="GE20"/>
  <c r="GG20"/>
  <c r="GI20"/>
  <c r="GK20"/>
  <c r="GM20"/>
  <c r="GO20"/>
  <c r="GQ20"/>
  <c r="GS20"/>
  <c r="GU20"/>
  <c r="GW20"/>
  <c r="GY20"/>
  <c r="HA20"/>
  <c r="HC20"/>
  <c r="HE20"/>
  <c r="HG20"/>
  <c r="HI20"/>
  <c r="HK20"/>
  <c r="HM20"/>
  <c r="HO20"/>
  <c r="HQ20"/>
  <c r="HS20"/>
  <c r="HU20"/>
  <c r="HW20"/>
  <c r="HY20"/>
  <c r="IA20"/>
  <c r="IE20"/>
  <c r="IG20"/>
  <c r="II20"/>
  <c r="IK20"/>
  <c r="IM20"/>
  <c r="IO20"/>
  <c r="IQ20"/>
  <c r="IS20"/>
  <c r="C21"/>
  <c r="E21"/>
  <c r="G21"/>
  <c r="I21"/>
  <c r="K21"/>
  <c r="M21"/>
  <c r="O21"/>
  <c r="Q21"/>
  <c r="S21"/>
  <c r="U21"/>
  <c r="W21"/>
  <c r="Y21"/>
  <c r="AA21"/>
  <c r="AC21"/>
  <c r="AE21"/>
  <c r="AG21"/>
  <c r="AI21"/>
  <c r="AK21"/>
  <c r="AM21"/>
  <c r="AO21"/>
  <c r="AQ21"/>
  <c r="AS21"/>
  <c r="AU21"/>
  <c r="AW21"/>
  <c r="AY21"/>
  <c r="BA21"/>
  <c r="BC21"/>
  <c r="BE21"/>
  <c r="BG21"/>
  <c r="BI21"/>
  <c r="BK21"/>
  <c r="BM21"/>
  <c r="BO21"/>
  <c r="BQ21"/>
  <c r="BS21"/>
  <c r="BU21"/>
  <c r="BW21"/>
  <c r="BY21"/>
  <c r="CA21"/>
  <c r="CC21"/>
  <c r="CE21"/>
  <c r="CG21"/>
  <c r="CI21"/>
  <c r="CK21"/>
  <c r="CM21"/>
  <c r="CO21"/>
  <c r="CQ21"/>
  <c r="CS21"/>
  <c r="CU21"/>
  <c r="CW21"/>
  <c r="CY21"/>
  <c r="DA21"/>
  <c r="DC21"/>
  <c r="DE21"/>
  <c r="DG21"/>
  <c r="DI21"/>
  <c r="DK21"/>
  <c r="DM21"/>
  <c r="DO21"/>
  <c r="DQ21"/>
  <c r="DS21"/>
  <c r="DU21"/>
  <c r="DW21"/>
  <c r="DY21"/>
  <c r="EA21"/>
  <c r="EC21"/>
  <c r="EE21"/>
  <c r="EG21"/>
  <c r="EI21"/>
  <c r="EK21"/>
  <c r="EM21"/>
  <c r="EO21"/>
  <c r="EQ21"/>
  <c r="ES21"/>
  <c r="EU21"/>
  <c r="EW21"/>
  <c r="EY21"/>
  <c r="FA21"/>
  <c r="FC21"/>
  <c r="FE21"/>
  <c r="FG21"/>
  <c r="FI21"/>
  <c r="FK21"/>
  <c r="FM21"/>
  <c r="FO21"/>
  <c r="FQ21"/>
  <c r="FS21"/>
  <c r="FU21"/>
  <c r="FW21"/>
  <c r="FY21"/>
  <c r="GA21"/>
  <c r="GC21"/>
  <c r="GE21"/>
  <c r="GG21"/>
  <c r="GI21"/>
  <c r="GK21"/>
  <c r="GM21"/>
  <c r="GO21"/>
  <c r="GQ21"/>
  <c r="GS21"/>
  <c r="GU21"/>
  <c r="GW21"/>
  <c r="GY21"/>
  <c r="HA21"/>
  <c r="HC21"/>
  <c r="HE21"/>
  <c r="HG21"/>
  <c r="HI21"/>
  <c r="HK21"/>
  <c r="HM21"/>
  <c r="HO21"/>
  <c r="HQ21"/>
  <c r="HS21"/>
  <c r="HU21"/>
  <c r="HW21"/>
  <c r="HY21"/>
  <c r="IA21"/>
  <c r="IE21"/>
  <c r="IG21"/>
  <c r="II21"/>
  <c r="IK21"/>
  <c r="IM21"/>
  <c r="IO21"/>
  <c r="IQ21"/>
  <c r="IS21"/>
  <c r="C47"/>
  <c r="D47"/>
  <c r="E47"/>
  <c r="F47"/>
  <c r="G47"/>
  <c r="H47"/>
  <c r="I47"/>
  <c r="J47"/>
  <c r="K47"/>
  <c r="L47"/>
  <c r="M47"/>
  <c r="N47"/>
  <c r="O47"/>
  <c r="P47"/>
  <c r="Q47"/>
  <c r="R47"/>
  <c r="S47"/>
  <c r="T47"/>
  <c r="U47"/>
  <c r="V47"/>
  <c r="W47"/>
  <c r="X47"/>
  <c r="Y47"/>
  <c r="Z47"/>
  <c r="AA47"/>
  <c r="AB47"/>
  <c r="AC47"/>
  <c r="AD47"/>
  <c r="AE47"/>
  <c r="AF47"/>
  <c r="AG47"/>
  <c r="AH47"/>
  <c r="AI47"/>
  <c r="AJ47"/>
  <c r="AK47"/>
  <c r="AL47"/>
  <c r="AM47"/>
  <c r="AN47"/>
  <c r="AO47"/>
  <c r="AP47"/>
  <c r="AQ47"/>
  <c r="AR47"/>
  <c r="AS47"/>
  <c r="AT47"/>
  <c r="AU47"/>
  <c r="AV47"/>
  <c r="AW47"/>
  <c r="AX47"/>
  <c r="AY47"/>
  <c r="AZ47"/>
  <c r="BA47"/>
  <c r="BB47"/>
  <c r="BC47"/>
  <c r="BD47"/>
  <c r="BE47"/>
  <c r="BF47"/>
  <c r="BG47"/>
  <c r="BH47"/>
  <c r="BI47"/>
  <c r="BJ47"/>
  <c r="BK47"/>
  <c r="BL47"/>
  <c r="BM47"/>
  <c r="BN47"/>
  <c r="BO47"/>
  <c r="BP47"/>
  <c r="BQ47"/>
  <c r="BR47"/>
  <c r="BS47"/>
  <c r="BT47"/>
  <c r="BU47"/>
  <c r="BV47"/>
  <c r="BW47"/>
  <c r="BX47"/>
  <c r="BY47"/>
  <c r="BZ47"/>
  <c r="CA47"/>
  <c r="CB47"/>
  <c r="CC47"/>
  <c r="CD47"/>
  <c r="CE47"/>
  <c r="CF47"/>
  <c r="CG47"/>
  <c r="CH47"/>
  <c r="CI47"/>
  <c r="CJ47"/>
  <c r="CK47"/>
  <c r="CL47"/>
  <c r="CM47"/>
  <c r="CN47"/>
  <c r="CO47"/>
  <c r="CP47"/>
  <c r="CQ47"/>
  <c r="CR47"/>
  <c r="CS47"/>
  <c r="CT47"/>
  <c r="CU47"/>
  <c r="CV47"/>
  <c r="CW47"/>
  <c r="CX47"/>
  <c r="CY47"/>
  <c r="CZ47"/>
  <c r="DA47"/>
  <c r="DB47"/>
  <c r="DC47"/>
  <c r="DD47"/>
  <c r="DE47"/>
  <c r="DF47"/>
  <c r="DG47"/>
  <c r="DH47"/>
  <c r="DI47"/>
  <c r="DJ47"/>
  <c r="DK47"/>
  <c r="DL47"/>
  <c r="DM47"/>
  <c r="DN47"/>
  <c r="DO47"/>
  <c r="DP47"/>
  <c r="DQ47"/>
  <c r="DR47"/>
  <c r="DS47"/>
  <c r="DT47"/>
  <c r="DU47"/>
  <c r="DV47"/>
  <c r="DW47"/>
  <c r="DX47"/>
  <c r="DY47"/>
  <c r="DZ47"/>
  <c r="EA47"/>
  <c r="EB47"/>
  <c r="EC47"/>
  <c r="ED47"/>
  <c r="EE47"/>
  <c r="EE48" s="1"/>
  <c r="EG47"/>
  <c r="EG48" s="1"/>
  <c r="EI47"/>
  <c r="EI48" s="1"/>
  <c r="EK47"/>
  <c r="EK48" s="1"/>
  <c r="EM47"/>
  <c r="EM48" s="1"/>
  <c r="EO47"/>
  <c r="EP47"/>
  <c r="EQ47"/>
  <c r="ER47"/>
  <c r="ET47"/>
  <c r="ES48" s="1"/>
  <c r="EU47"/>
  <c r="EV47"/>
  <c r="EW47"/>
  <c r="EX47"/>
  <c r="EY47"/>
  <c r="EZ47"/>
  <c r="FA47"/>
  <c r="FA48" s="1"/>
  <c r="FC47"/>
  <c r="FD47"/>
  <c r="FE47"/>
  <c r="FF47"/>
  <c r="FG47"/>
  <c r="FH47"/>
  <c r="FI47"/>
  <c r="FJ47"/>
  <c r="FK47"/>
  <c r="FK48" s="1"/>
  <c r="FM47"/>
  <c r="FN47"/>
  <c r="FO47"/>
  <c r="FO48" s="1"/>
  <c r="FQ47"/>
  <c r="FQ48" s="1"/>
  <c r="FS47"/>
  <c r="FT47"/>
  <c r="FU47"/>
  <c r="FU48" s="1"/>
  <c r="FW47"/>
  <c r="FX47"/>
  <c r="FY47"/>
  <c r="FZ47"/>
  <c r="GA47"/>
  <c r="GB47"/>
  <c r="GC47"/>
  <c r="GD47"/>
  <c r="GE47"/>
  <c r="GF47"/>
  <c r="GG47"/>
  <c r="GG48" s="1"/>
  <c r="GI47"/>
  <c r="GJ47"/>
  <c r="GK47"/>
  <c r="GL47"/>
  <c r="GM47"/>
  <c r="GN47"/>
  <c r="GO47"/>
  <c r="GP47"/>
  <c r="GQ47"/>
  <c r="GR47"/>
  <c r="GS47"/>
  <c r="GT47"/>
  <c r="GU47"/>
  <c r="GV47"/>
  <c r="GW47"/>
  <c r="GW48" s="1"/>
  <c r="GY47"/>
  <c r="GY48" s="1"/>
  <c r="HA47"/>
  <c r="HA48" s="1"/>
  <c r="HG47"/>
  <c r="HH47"/>
  <c r="HI47"/>
  <c r="HJ47"/>
  <c r="HK47"/>
  <c r="HL47"/>
  <c r="HM47"/>
  <c r="HN47"/>
  <c r="HO47"/>
  <c r="HP47"/>
  <c r="HQ47"/>
  <c r="HR47"/>
  <c r="HS47"/>
  <c r="HT47"/>
  <c r="HU47"/>
  <c r="HV47"/>
  <c r="HW47"/>
  <c r="HX47"/>
  <c r="IE47"/>
  <c r="IF47"/>
  <c r="IJ47"/>
  <c r="IL47"/>
  <c r="IM47"/>
  <c r="IN47"/>
  <c r="IO47"/>
  <c r="IP47"/>
  <c r="IQ47"/>
  <c r="IR47"/>
  <c r="IS47"/>
  <c r="IT47"/>
  <c r="IU47"/>
  <c r="IV47"/>
  <c r="AG7" i="12"/>
  <c r="AL7"/>
  <c r="AG8"/>
  <c r="AL8"/>
  <c r="AG9"/>
  <c r="AL9"/>
  <c r="AG10"/>
  <c r="Y13"/>
  <c r="AG13"/>
  <c r="AL13"/>
  <c r="Y14"/>
  <c r="AG14"/>
  <c r="AL14"/>
  <c r="Y15"/>
  <c r="AG15"/>
  <c r="AL15"/>
  <c r="AG16"/>
  <c r="AL16"/>
  <c r="AG17"/>
  <c r="AL17"/>
  <c r="T18"/>
  <c r="Y18"/>
  <c r="T19"/>
  <c r="Y19"/>
  <c r="T20"/>
  <c r="Y20"/>
  <c r="AG20"/>
  <c r="AL20"/>
  <c r="H21"/>
  <c r="M21"/>
  <c r="T21"/>
  <c r="Y21"/>
  <c r="AG21"/>
  <c r="AL21"/>
  <c r="H22"/>
  <c r="M22"/>
  <c r="T22"/>
  <c r="Y22"/>
  <c r="AG22"/>
  <c r="AL22"/>
  <c r="H23"/>
  <c r="M23"/>
  <c r="AG23"/>
  <c r="AL23"/>
  <c r="H24"/>
  <c r="M24"/>
  <c r="AG24"/>
  <c r="T25"/>
  <c r="Y25"/>
  <c r="T26"/>
  <c r="Y26"/>
  <c r="H27"/>
  <c r="M27"/>
  <c r="T27"/>
  <c r="Y27"/>
  <c r="AG27"/>
  <c r="AL27"/>
  <c r="H28"/>
  <c r="T28"/>
  <c r="Y28"/>
  <c r="AG28"/>
  <c r="AL28"/>
  <c r="T29"/>
  <c r="AG29"/>
  <c r="AL29"/>
  <c r="AG30"/>
  <c r="AL30"/>
  <c r="AG31"/>
  <c r="AL31"/>
  <c r="T32"/>
  <c r="Y32"/>
  <c r="T33"/>
  <c r="Y33"/>
  <c r="T34"/>
  <c r="Y34"/>
  <c r="AG34"/>
  <c r="AL34"/>
  <c r="T35"/>
  <c r="Y35"/>
  <c r="AG35"/>
  <c r="AL35"/>
  <c r="T36"/>
  <c r="Y36"/>
  <c r="AG36"/>
  <c r="AL36"/>
  <c r="AG37"/>
  <c r="AL37"/>
  <c r="T38"/>
  <c r="AG38"/>
  <c r="AL38"/>
  <c r="T39"/>
  <c r="U39"/>
  <c r="V39"/>
  <c r="W39"/>
  <c r="X39"/>
  <c r="T40"/>
  <c r="T41"/>
  <c r="Y41"/>
  <c r="AG41"/>
  <c r="AL41"/>
  <c r="T42"/>
  <c r="Y42"/>
  <c r="AL42"/>
  <c r="T43"/>
  <c r="AG43"/>
  <c r="AL43"/>
  <c r="AG44"/>
  <c r="AL44"/>
  <c r="T46"/>
  <c r="T47"/>
  <c r="T48"/>
  <c r="Y48"/>
  <c r="AL48"/>
  <c r="T49"/>
  <c r="Y49"/>
  <c r="AG49"/>
  <c r="AL49"/>
  <c r="Y50"/>
  <c r="AG50"/>
  <c r="AL50"/>
  <c r="AG51"/>
  <c r="AG55"/>
  <c r="T61"/>
  <c r="Y61"/>
  <c r="T62"/>
  <c r="Y62"/>
  <c r="Y63"/>
  <c r="Y64"/>
  <c r="Y65"/>
  <c r="Y66"/>
  <c r="Y67"/>
  <c r="ABE18" i="16" l="1"/>
  <c r="ABE16"/>
  <c r="ABE14"/>
  <c r="ABE13"/>
  <c r="ABE8"/>
  <c r="ABE6"/>
  <c r="ABE5"/>
  <c r="ABE4"/>
  <c r="ABE19"/>
  <c r="ABE17"/>
  <c r="ABE21"/>
  <c r="ABE20"/>
  <c r="ABE15"/>
  <c r="ABE12"/>
  <c r="ABE11"/>
  <c r="ABE10"/>
  <c r="ABE9"/>
  <c r="ABE7"/>
  <c r="HY48"/>
  <c r="IA48"/>
  <c r="IC48"/>
  <c r="IG48"/>
  <c r="IU48"/>
  <c r="IS48"/>
  <c r="IQ48"/>
  <c r="IO48"/>
  <c r="IM48"/>
  <c r="IE48"/>
  <c r="HW48"/>
  <c r="HU48"/>
  <c r="HS48"/>
  <c r="HQ48"/>
  <c r="HO48"/>
  <c r="HM48"/>
  <c r="HK48"/>
  <c r="HI48"/>
  <c r="HG48"/>
  <c r="GU48"/>
  <c r="GS48"/>
  <c r="GQ48"/>
  <c r="GO48"/>
  <c r="GM48"/>
  <c r="GK48"/>
  <c r="GI48"/>
  <c r="GE48"/>
  <c r="GC48"/>
  <c r="GA48"/>
  <c r="FY48"/>
  <c r="FW48"/>
  <c r="FS48"/>
  <c r="FM48"/>
  <c r="FI48"/>
  <c r="FG48"/>
  <c r="FE48"/>
  <c r="FC48"/>
  <c r="EY48"/>
  <c r="EW48"/>
  <c r="EU48"/>
  <c r="EQ48"/>
  <c r="EO48"/>
  <c r="EC48"/>
  <c r="EA48"/>
  <c r="DY48"/>
  <c r="DW48"/>
  <c r="DU48"/>
  <c r="DS48"/>
  <c r="DQ48"/>
  <c r="DO48"/>
  <c r="DM48"/>
  <c r="DK48"/>
  <c r="DI48"/>
  <c r="DG48"/>
  <c r="DE48"/>
  <c r="DC48"/>
  <c r="DA48"/>
  <c r="CY48"/>
  <c r="CW48"/>
  <c r="CU48"/>
  <c r="CS48"/>
  <c r="CQ48"/>
  <c r="CO48"/>
  <c r="CM48"/>
  <c r="CK48"/>
  <c r="CI48"/>
  <c r="CG48"/>
  <c r="CE48"/>
  <c r="CC48"/>
  <c r="CA48"/>
  <c r="BY48"/>
  <c r="BW48"/>
  <c r="BU48"/>
  <c r="BS48"/>
  <c r="BQ48"/>
  <c r="BO48"/>
  <c r="BM48"/>
  <c r="BK48"/>
  <c r="BI48"/>
  <c r="BG48"/>
  <c r="BE48"/>
  <c r="BC48"/>
  <c r="BA48"/>
  <c r="AY48"/>
  <c r="AW48"/>
  <c r="AU48"/>
  <c r="AS48"/>
  <c r="AQ48"/>
  <c r="AO48"/>
  <c r="AM48"/>
  <c r="AK48"/>
  <c r="AI48"/>
  <c r="AG48"/>
  <c r="AE48"/>
  <c r="AC48"/>
  <c r="AA48"/>
  <c r="Y48"/>
  <c r="W48"/>
  <c r="U48"/>
  <c r="S48"/>
  <c r="Q48"/>
  <c r="O48"/>
  <c r="M48"/>
  <c r="K48"/>
  <c r="I48"/>
  <c r="G48"/>
  <c r="E48"/>
  <c r="IW48"/>
  <c r="IY48"/>
  <c r="LI48"/>
  <c r="LG48"/>
  <c r="LE48"/>
  <c r="LC48"/>
  <c r="LA48"/>
  <c r="KY48"/>
  <c r="KW48"/>
  <c r="KU48"/>
  <c r="KQ48"/>
  <c r="KO48"/>
  <c r="KM48"/>
  <c r="KG48"/>
  <c r="KE48"/>
  <c r="KC48"/>
  <c r="KA48"/>
  <c r="JO48"/>
  <c r="JM48"/>
  <c r="JG48"/>
  <c r="JE48"/>
  <c r="JA48"/>
  <c r="LO48"/>
  <c r="LM48"/>
  <c r="LK48"/>
  <c r="MG48"/>
  <c r="ME48"/>
  <c r="MC48"/>
  <c r="MA48"/>
  <c r="LY48"/>
  <c r="LW48"/>
  <c r="LU48"/>
  <c r="LS48"/>
  <c r="LQ48"/>
  <c r="IK48"/>
  <c r="II48"/>
  <c r="VI48"/>
  <c r="VG48"/>
  <c r="VE48"/>
  <c r="VC48"/>
  <c r="VA48"/>
  <c r="UY48"/>
  <c r="UW48"/>
  <c r="UU48"/>
  <c r="US48"/>
  <c r="UQ48"/>
  <c r="UO48"/>
  <c r="UM48"/>
  <c r="UK48"/>
  <c r="UI48"/>
  <c r="UG48"/>
  <c r="UE48"/>
  <c r="UC48"/>
  <c r="UA48"/>
  <c r="TY48"/>
  <c r="TW48"/>
  <c r="TU48"/>
  <c r="TS48"/>
  <c r="TQ48"/>
  <c r="TO48"/>
  <c r="TM48"/>
  <c r="TK48"/>
  <c r="TI48"/>
  <c r="TG48"/>
  <c r="TE48"/>
  <c r="TC48"/>
  <c r="TA48"/>
  <c r="SY48"/>
  <c r="SW48"/>
  <c r="SU48"/>
  <c r="SS48"/>
  <c r="SQ48"/>
  <c r="SO48"/>
  <c r="SM48"/>
  <c r="SK48"/>
  <c r="SI48"/>
  <c r="SG48"/>
  <c r="SE48"/>
  <c r="SC48"/>
  <c r="SA48"/>
  <c r="RY48"/>
  <c r="RW48"/>
  <c r="RU48"/>
  <c r="RS48"/>
  <c r="RQ48"/>
  <c r="RO48"/>
  <c r="RM48"/>
  <c r="RK48"/>
  <c r="RI48"/>
  <c r="RG48"/>
  <c r="RE48"/>
  <c r="RC48"/>
  <c r="RA48"/>
  <c r="QY48"/>
  <c r="QW48"/>
  <c r="QU48"/>
  <c r="QS48"/>
  <c r="QQ48"/>
  <c r="QO48"/>
  <c r="QM48"/>
  <c r="QK48"/>
  <c r="QI48"/>
  <c r="QG48"/>
  <c r="QE48"/>
  <c r="QC48"/>
  <c r="QA48"/>
  <c r="PY48"/>
  <c r="PW48"/>
  <c r="PU48"/>
  <c r="PS48"/>
  <c r="PQ48"/>
  <c r="PO48"/>
  <c r="PM48"/>
  <c r="PK48"/>
  <c r="PI48"/>
  <c r="PG48"/>
  <c r="PE48"/>
  <c r="PC48"/>
  <c r="PA48"/>
  <c r="OY48"/>
  <c r="OW48"/>
  <c r="OU48"/>
  <c r="OS48"/>
  <c r="OQ48"/>
  <c r="OO48"/>
  <c r="OM48"/>
  <c r="OK48"/>
  <c r="OI48"/>
  <c r="OG48"/>
  <c r="OE48"/>
  <c r="OC48"/>
  <c r="OA48"/>
  <c r="NY48"/>
  <c r="NW48"/>
  <c r="NU48"/>
  <c r="NS48"/>
  <c r="NQ48"/>
  <c r="NO48"/>
  <c r="NM48"/>
  <c r="NK48"/>
  <c r="NI48"/>
  <c r="NG48"/>
  <c r="NE48"/>
  <c r="NC48"/>
  <c r="NA48"/>
  <c r="MY48"/>
  <c r="MW48"/>
  <c r="MU48"/>
  <c r="MS48"/>
  <c r="MQ48"/>
  <c r="MO48"/>
  <c r="MM48"/>
  <c r="MK48"/>
  <c r="MI48"/>
  <c r="YC48"/>
  <c r="YA48"/>
  <c r="XY48"/>
  <c r="XW48"/>
  <c r="XU48"/>
  <c r="XS48"/>
  <c r="XQ48"/>
  <c r="XO48"/>
  <c r="XM48"/>
  <c r="XK48"/>
  <c r="XI48"/>
  <c r="XG48"/>
  <c r="XE48"/>
  <c r="XC48"/>
  <c r="XA48"/>
  <c r="WY48"/>
  <c r="WW48"/>
  <c r="WU48"/>
  <c r="WS48"/>
  <c r="WO48"/>
  <c r="WM48"/>
  <c r="WK48"/>
  <c r="WI48"/>
  <c r="WG48"/>
  <c r="WE48"/>
  <c r="WC48"/>
  <c r="WA48"/>
  <c r="VY48"/>
  <c r="VW48"/>
  <c r="VU48"/>
  <c r="VS48"/>
  <c r="VQ48"/>
  <c r="VO48"/>
  <c r="VM48"/>
  <c r="VK48"/>
  <c r="ZC48"/>
  <c r="ZA48"/>
  <c r="YY48"/>
  <c r="YW48"/>
  <c r="YU48"/>
  <c r="YS48"/>
  <c r="YQ48"/>
  <c r="YO48"/>
  <c r="YM48"/>
  <c r="YK48"/>
  <c r="YI48"/>
  <c r="YG48"/>
  <c r="YE48"/>
  <c r="ZO48"/>
  <c r="ZM48"/>
  <c r="ZK48"/>
  <c r="ZI48"/>
  <c r="ZG48"/>
  <c r="ZE48"/>
  <c r="AAI48"/>
  <c r="AAG48"/>
  <c r="AAE48"/>
  <c r="AAC48"/>
  <c r="AAA48"/>
  <c r="ZY48"/>
  <c r="ZW48"/>
  <c r="ZU48"/>
  <c r="ZS48"/>
  <c r="ZQ48"/>
  <c r="C48"/>
  <c r="O8" i="5"/>
  <c r="D10"/>
  <c r="C10"/>
  <c r="AL68" i="12"/>
  <c r="Y39"/>
  <c r="O9" i="5"/>
  <c r="O7"/>
  <c r="O6"/>
  <c r="O5"/>
  <c r="N10"/>
  <c r="C54" i="16" l="1"/>
  <c r="E54"/>
  <c r="G54"/>
  <c r="WG7"/>
  <c r="WG8"/>
  <c r="O10" i="5"/>
</calcChain>
</file>

<file path=xl/comments1.xml><?xml version="1.0" encoding="utf-8"?>
<comments xmlns="http://schemas.openxmlformats.org/spreadsheetml/2006/main">
  <authors>
    <author>SU User</author>
  </authors>
  <commentList>
    <comment ref="U8" authorId="0">
      <text>
        <r>
          <rPr>
            <b/>
            <sz val="8"/>
            <color indexed="81"/>
            <rFont val="Tahoma"/>
            <family val="2"/>
            <charset val="162"/>
          </rPr>
          <t>SU User:</t>
        </r>
        <r>
          <rPr>
            <sz val="8"/>
            <color indexed="81"/>
            <rFont val="Tahoma"/>
            <family val="2"/>
            <charset val="162"/>
          </rPr>
          <t xml:space="preserve">
2006-2007-2008 numaralı multimedya odalarının kapısı açık unutulmuş.</t>
        </r>
      </text>
    </comment>
    <comment ref="G25" authorId="0">
      <text>
        <r>
          <rPr>
            <b/>
            <sz val="8"/>
            <color indexed="81"/>
            <rFont val="Tahoma"/>
            <family val="2"/>
            <charset val="162"/>
          </rPr>
          <t>SU User:</t>
        </r>
        <r>
          <rPr>
            <sz val="8"/>
            <color indexed="81"/>
            <rFont val="Tahoma"/>
            <family val="2"/>
            <charset val="162"/>
          </rPr>
          <t xml:space="preserve">
2033 numaralı odanın kapısı açık unutulmuş</t>
        </r>
      </text>
    </comment>
    <comment ref="N25" authorId="0">
      <text>
        <r>
          <rPr>
            <b/>
            <sz val="8"/>
            <color indexed="81"/>
            <rFont val="Tahoma"/>
            <family val="2"/>
            <charset val="162"/>
          </rPr>
          <t>SU User:</t>
        </r>
        <r>
          <rPr>
            <sz val="8"/>
            <color indexed="81"/>
            <rFont val="Tahoma"/>
            <family val="2"/>
            <charset val="162"/>
          </rPr>
          <t xml:space="preserve">
2033 numaralı odanın kapısı açık unutulmuş</t>
        </r>
      </text>
    </comment>
    <comment ref="Q25" authorId="0">
      <text>
        <r>
          <rPr>
            <b/>
            <sz val="8"/>
            <color indexed="81"/>
            <rFont val="Tahoma"/>
            <family val="2"/>
            <charset val="162"/>
          </rPr>
          <t>SU User:</t>
        </r>
        <r>
          <rPr>
            <sz val="8"/>
            <color indexed="81"/>
            <rFont val="Tahoma"/>
            <family val="2"/>
            <charset val="162"/>
          </rPr>
          <t xml:space="preserve">
G012 nolu odadaki masanın ayağını kırmışlar çağrısı açıldı</t>
        </r>
      </text>
    </comment>
  </commentList>
</comments>
</file>

<file path=xl/sharedStrings.xml><?xml version="1.0" encoding="utf-8"?>
<sst xmlns="http://schemas.openxmlformats.org/spreadsheetml/2006/main" count="6682" uniqueCount="161">
  <si>
    <t>MULTİMEDYA RAFLARI</t>
  </si>
  <si>
    <t>PERŞEMBE</t>
  </si>
  <si>
    <t>CUMA</t>
  </si>
  <si>
    <t>PAZAR</t>
  </si>
  <si>
    <t>PAZARTESİ</t>
  </si>
  <si>
    <t>SALI</t>
  </si>
  <si>
    <t>ÇARŞAMBA</t>
  </si>
  <si>
    <t>Zemin Kat</t>
  </si>
  <si>
    <t>Birinci Kat</t>
  </si>
  <si>
    <t>İkinci Kat</t>
  </si>
  <si>
    <t>Masada</t>
  </si>
  <si>
    <t>Ayakta</t>
  </si>
  <si>
    <t>Rafta</t>
  </si>
  <si>
    <t>Termi.</t>
  </si>
  <si>
    <t>SABAH</t>
  </si>
  <si>
    <t>2. Kat</t>
  </si>
  <si>
    <t>AÇILIŞ DENETİMİ</t>
  </si>
  <si>
    <t>İADE RAFI DURUMU</t>
  </si>
  <si>
    <t>ANA MENÜYE DÖNÜŞ</t>
  </si>
  <si>
    <t xml:space="preserve">    </t>
  </si>
  <si>
    <t>OCAK</t>
  </si>
  <si>
    <t>Diğer</t>
  </si>
  <si>
    <t>ZEMİN</t>
  </si>
  <si>
    <t>M.MEDİA</t>
  </si>
  <si>
    <t>KİTAP</t>
  </si>
  <si>
    <t>2.KAT</t>
  </si>
  <si>
    <t xml:space="preserve">             1.KAT</t>
  </si>
  <si>
    <t>KAT</t>
  </si>
  <si>
    <t>AKŞAM</t>
  </si>
  <si>
    <t>AD-SOYAD</t>
  </si>
  <si>
    <t>TARİH</t>
  </si>
  <si>
    <t>1. KAT</t>
  </si>
  <si>
    <t>MULTİMEDYA</t>
  </si>
  <si>
    <t>AY</t>
  </si>
  <si>
    <t>TOPLAM</t>
  </si>
  <si>
    <t>Çarşamba</t>
  </si>
  <si>
    <t>Perşembe</t>
  </si>
  <si>
    <t>Cuma</t>
  </si>
  <si>
    <t>Cumartesi</t>
  </si>
  <si>
    <t>Pazar</t>
  </si>
  <si>
    <t>Pazartesi</t>
  </si>
  <si>
    <t>Salı</t>
  </si>
  <si>
    <t>MULTIMEDYA</t>
  </si>
  <si>
    <t>Koleksiyon Yerleştirme</t>
  </si>
  <si>
    <t>Koleksiyon Düzen</t>
  </si>
  <si>
    <t>Koleksiyon Okunma</t>
  </si>
  <si>
    <t>Odalar ve Kareller</t>
  </si>
  <si>
    <t>Ekipmanlar tam ve çalışır durumda mı?</t>
  </si>
  <si>
    <t>Koltuk ve sandalyeler olması gereken yerlerde mi?</t>
  </si>
  <si>
    <t>Oda temizlenmiş mi?</t>
  </si>
  <si>
    <t>Aydınlatma</t>
  </si>
  <si>
    <t>BİNA</t>
  </si>
  <si>
    <t>GENEL KULLANIM ALANLARI</t>
  </si>
  <si>
    <t xml:space="preserve">Acil Çıkış Kapıları Güvenlik Plastik </t>
  </si>
  <si>
    <t>Genel Isıtma</t>
  </si>
  <si>
    <t>Genel Aydınlatma</t>
  </si>
  <si>
    <t>Tuvaletler: Temizlik, sabun</t>
  </si>
  <si>
    <t>Masa ve rafların toz durumu</t>
  </si>
  <si>
    <t>Tarama terminalleri: Kağıt, kalem</t>
  </si>
  <si>
    <t>Güvenlik Kapıları</t>
  </si>
  <si>
    <t>Pencereler</t>
  </si>
  <si>
    <t>Genel temizlik: halı, mermer mekanlar, merdivenler</t>
  </si>
  <si>
    <t>Su sebillerinde su ve bardak var mı?</t>
  </si>
  <si>
    <t>Plastik ve kağıt geri dönüşümlerin durumu</t>
  </si>
  <si>
    <t>Toplanlari Odaları (2025, ...)</t>
  </si>
  <si>
    <t>Fotokopi çalışıyor mu?</t>
  </si>
  <si>
    <t>KOLEKSİYON</t>
  </si>
  <si>
    <t>Koleksiyon Aydınlatma</t>
  </si>
  <si>
    <t>Temizlik</t>
  </si>
  <si>
    <t>NO</t>
  </si>
  <si>
    <t>KONU</t>
  </si>
  <si>
    <t>DURUM</t>
  </si>
  <si>
    <t>AÇTIRAN</t>
  </si>
  <si>
    <t>ŞUBAT</t>
  </si>
  <si>
    <t>MART</t>
  </si>
  <si>
    <t>MAYIS</t>
  </si>
  <si>
    <t xml:space="preserve">RAFA YERLEŞEN KAYNAKLAR                Haziran  </t>
  </si>
  <si>
    <t>AYDINLATMA</t>
  </si>
  <si>
    <t>TEMİZLİK</t>
  </si>
  <si>
    <t>DİĞER</t>
  </si>
  <si>
    <t>KASIM</t>
  </si>
  <si>
    <t>ARALIK</t>
  </si>
  <si>
    <t>BİLDİRİLEN ÇAĞRILAR</t>
  </si>
  <si>
    <t>ÇAĞRI TÜRÜ</t>
  </si>
  <si>
    <t>NISAN</t>
  </si>
  <si>
    <t>EYLÜL</t>
  </si>
  <si>
    <t>AÇILIŞ</t>
  </si>
  <si>
    <t>KAPANIŞ</t>
  </si>
  <si>
    <t>AÇIKLAMA</t>
  </si>
  <si>
    <t>HAZIRAN</t>
  </si>
  <si>
    <t>TEMMUZ</t>
  </si>
  <si>
    <t>AĞUSTOS</t>
  </si>
  <si>
    <t>Genel Toplam</t>
  </si>
  <si>
    <t>Ara Toplam</t>
  </si>
  <si>
    <r>
      <t xml:space="preserve">SORUN ifadesi yazan bölümlerin mevcut sorunlarını görmek için lütfen </t>
    </r>
    <r>
      <rPr>
        <b/>
        <sz val="10"/>
        <color indexed="10"/>
        <rFont val="Arial"/>
        <family val="2"/>
        <charset val="162"/>
      </rPr>
      <t>ÇAĞRI İZLEME</t>
    </r>
    <r>
      <rPr>
        <b/>
        <sz val="10"/>
        <rFont val="Arial"/>
        <family val="2"/>
      </rPr>
      <t xml:space="preserve"> tabına bakınız</t>
    </r>
  </si>
  <si>
    <t>Açılış denetiminin 08:45'den önce tamamlanması gerekmektedir.</t>
  </si>
  <si>
    <t>OK</t>
  </si>
  <si>
    <t>SORUN</t>
  </si>
  <si>
    <t>Okuma Salonu</t>
  </si>
  <si>
    <t>1.Kapı</t>
  </si>
  <si>
    <t>2.Kapı</t>
  </si>
  <si>
    <t>Devir</t>
  </si>
  <si>
    <t>KAPI SAYIMI</t>
  </si>
  <si>
    <t>Nisan</t>
  </si>
  <si>
    <t>Toplam Giriş-Çıkış</t>
  </si>
  <si>
    <t>23 Nısan - Tatil</t>
  </si>
  <si>
    <t>1 Mayıs - Tatil</t>
  </si>
  <si>
    <t>Mayıs</t>
  </si>
  <si>
    <t>Haziran</t>
  </si>
  <si>
    <t>Temmuz</t>
  </si>
  <si>
    <t>Ağustos</t>
  </si>
  <si>
    <t>Ocak</t>
  </si>
  <si>
    <t>Şubat</t>
  </si>
  <si>
    <t>Mart</t>
  </si>
  <si>
    <t>Eylül</t>
  </si>
  <si>
    <t>Ekim</t>
  </si>
  <si>
    <t>Kasım</t>
  </si>
  <si>
    <t>Aralık</t>
  </si>
  <si>
    <t>Aylık</t>
  </si>
  <si>
    <t>EKIM</t>
  </si>
  <si>
    <t>ÇAĞRI AÇIKLAMASI</t>
  </si>
  <si>
    <t>PORTER</t>
  </si>
  <si>
    <t>PAZARTESI</t>
  </si>
  <si>
    <t>CUMARTESI</t>
  </si>
  <si>
    <t xml:space="preserve">    KAFA SAYIMLARI VERİ GİRİŞİ</t>
  </si>
  <si>
    <t>Gündüz Vardiyası</t>
  </si>
  <si>
    <t>Gece Vardiyası</t>
  </si>
  <si>
    <t>Nöbet Ekibi</t>
  </si>
  <si>
    <t>Kapalı - Tatil</t>
  </si>
  <si>
    <t>Genel Toplam:</t>
  </si>
  <si>
    <t>Açılış Denetimi</t>
  </si>
  <si>
    <t>Genel Kontrol</t>
  </si>
  <si>
    <t>3M Güvenlik Kapıları</t>
  </si>
  <si>
    <t>Fotokopi Cihazları</t>
  </si>
  <si>
    <t>Tarama Terminalleri</t>
  </si>
  <si>
    <t>Su Sebilleri Bardak-Su Durumu</t>
  </si>
  <si>
    <t>Düzen</t>
  </si>
  <si>
    <t>Havuza Bakan Koltuklar</t>
  </si>
  <si>
    <t>Çalışma Masaları Sandalyeleri</t>
  </si>
  <si>
    <t>Grup Çalışma Odaları</t>
  </si>
  <si>
    <t>Grup Projeksiyon Odaları</t>
  </si>
  <si>
    <t>Bireysel Çalışma Karelleri</t>
  </si>
  <si>
    <t>7-24 Okuma Salonu</t>
  </si>
  <si>
    <t>Kitap ve Multimedya Koleksiyonu</t>
  </si>
  <si>
    <t>Grup Odaları Kapı Camları</t>
  </si>
  <si>
    <t>Çalışma Masaları</t>
  </si>
  <si>
    <t>Halı ve Mermer Zeminler</t>
  </si>
  <si>
    <t>Olmuksa ve Geri Dönüşüm Kutuları</t>
  </si>
  <si>
    <t>Toplantı Odaları</t>
  </si>
  <si>
    <t>Asansör</t>
  </si>
  <si>
    <t>Elektrik-Isıtma-Boyama</t>
  </si>
  <si>
    <t>Aplik, Floresan, Spot vb.</t>
  </si>
  <si>
    <t>Prizler ve Elektrik Anahtarları</t>
  </si>
  <si>
    <t>Havalandırma</t>
  </si>
  <si>
    <t>Petekler</t>
  </si>
  <si>
    <t>Boya-Badana İhtiyacı</t>
  </si>
  <si>
    <t>Kapanış Denetimi</t>
  </si>
  <si>
    <t>Gazete Koltukları ve Sehpaları</t>
  </si>
  <si>
    <t>Acil Çıkış Kapıları ve Plastikleri</t>
  </si>
  <si>
    <t>Tuvaletler Sabun ve Kağıt Havlu Durumu</t>
  </si>
  <si>
    <t>Sorun Sayısı</t>
  </si>
</sst>
</file>

<file path=xl/styles.xml><?xml version="1.0" encoding="utf-8"?>
<styleSheet xmlns="http://schemas.openxmlformats.org/spreadsheetml/2006/main">
  <numFmts count="6">
    <numFmt numFmtId="164" formatCode="[$-41F]d\ mmmm;@"/>
    <numFmt numFmtId="165" formatCode="[$-F800]dddd\,\ mmmm\ dd\,\ yyyy"/>
    <numFmt numFmtId="166" formatCode="d\-mmm"/>
    <numFmt numFmtId="167" formatCode="hh:mm;@"/>
    <numFmt numFmtId="168" formatCode="[$-41F]d\ mmm\ yyyy;@"/>
    <numFmt numFmtId="169" formatCode="d/m;@"/>
  </numFmts>
  <fonts count="45">
    <font>
      <sz val="10"/>
      <name val="Arial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  <charset val="162"/>
    </font>
    <font>
      <b/>
      <sz val="12"/>
      <name val="Arial"/>
      <family val="2"/>
    </font>
    <font>
      <sz val="10"/>
      <color indexed="10"/>
      <name val="Arial"/>
      <family val="2"/>
    </font>
    <font>
      <b/>
      <sz val="10"/>
      <color indexed="8"/>
      <name val="Arial"/>
      <family val="2"/>
      <charset val="162"/>
    </font>
    <font>
      <b/>
      <sz val="10"/>
      <color indexed="10"/>
      <name val="Arial"/>
      <family val="2"/>
      <charset val="162"/>
    </font>
    <font>
      <b/>
      <sz val="8"/>
      <color indexed="8"/>
      <name val="Arial"/>
      <family val="2"/>
      <charset val="162"/>
    </font>
    <font>
      <b/>
      <sz val="8"/>
      <name val="Arial"/>
      <family val="2"/>
      <charset val="162"/>
    </font>
    <font>
      <b/>
      <sz val="10"/>
      <name val="Arial"/>
      <family val="2"/>
      <charset val="16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22"/>
      <color indexed="14"/>
      <name val="Arial"/>
      <family val="2"/>
    </font>
    <font>
      <b/>
      <sz val="20"/>
      <name val="Arial"/>
      <family val="2"/>
    </font>
    <font>
      <sz val="10"/>
      <color indexed="8"/>
      <name val="Arial"/>
      <family val="2"/>
    </font>
    <font>
      <sz val="10"/>
      <color indexed="43"/>
      <name val="Arial"/>
      <family val="2"/>
    </font>
    <font>
      <b/>
      <sz val="26"/>
      <name val="Arial"/>
      <family val="2"/>
    </font>
    <font>
      <b/>
      <sz val="16"/>
      <name val="Arial"/>
      <family val="2"/>
      <charset val="162"/>
    </font>
    <font>
      <b/>
      <sz val="16"/>
      <color indexed="43"/>
      <name val="Arial"/>
      <family val="2"/>
    </font>
    <font>
      <b/>
      <sz val="26"/>
      <color indexed="8"/>
      <name val="Arial"/>
      <family val="2"/>
      <charset val="162"/>
    </font>
    <font>
      <b/>
      <sz val="24"/>
      <name val="Arial"/>
      <family val="2"/>
    </font>
    <font>
      <sz val="8"/>
      <color indexed="81"/>
      <name val="Tahoma"/>
      <family val="2"/>
      <charset val="162"/>
    </font>
    <font>
      <b/>
      <sz val="8"/>
      <color indexed="81"/>
      <name val="Tahoma"/>
      <family val="2"/>
      <charset val="162"/>
    </font>
    <font>
      <sz val="10"/>
      <name val="Arial"/>
      <family val="2"/>
      <charset val="162"/>
    </font>
    <font>
      <b/>
      <sz val="10"/>
      <color indexed="10"/>
      <name val="Arial"/>
      <family val="2"/>
    </font>
    <font>
      <b/>
      <sz val="10"/>
      <color indexed="10"/>
      <name val="Arial"/>
      <family val="2"/>
      <charset val="162"/>
    </font>
    <font>
      <sz val="10"/>
      <color indexed="10"/>
      <name val="Arial"/>
      <family val="2"/>
      <charset val="162"/>
    </font>
    <font>
      <sz val="10"/>
      <name val="Arial"/>
      <family val="2"/>
      <charset val="162"/>
    </font>
    <font>
      <b/>
      <sz val="25"/>
      <name val="Arial"/>
      <family val="2"/>
      <charset val="162"/>
    </font>
    <font>
      <sz val="8"/>
      <name val="Arial"/>
      <family val="2"/>
    </font>
    <font>
      <sz val="14"/>
      <name val="Arial"/>
      <family val="2"/>
      <charset val="162"/>
    </font>
    <font>
      <b/>
      <sz val="12"/>
      <name val="Arial"/>
      <family val="2"/>
      <charset val="162"/>
    </font>
    <font>
      <b/>
      <sz val="30"/>
      <color indexed="8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12"/>
      <color theme="1"/>
      <name val="Arial"/>
      <family val="2"/>
      <charset val="162"/>
    </font>
    <font>
      <b/>
      <sz val="11"/>
      <name val="Arial"/>
      <family val="2"/>
    </font>
    <font>
      <b/>
      <sz val="18"/>
      <name val="Arial"/>
      <family val="2"/>
    </font>
    <font>
      <sz val="24"/>
      <name val="Arial"/>
      <family val="2"/>
    </font>
    <font>
      <b/>
      <sz val="11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8"/>
      <color theme="1"/>
      <name val="Arial"/>
      <family val="2"/>
      <charset val="162"/>
    </font>
  </fonts>
  <fills count="3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521">
    <xf numFmtId="0" fontId="0" fillId="0" borderId="0" xfId="0"/>
    <xf numFmtId="0" fontId="0" fillId="2" borderId="0" xfId="0" applyFill="1"/>
    <xf numFmtId="0" fontId="0" fillId="3" borderId="0" xfId="0" applyFill="1" applyBorder="1"/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6" fontId="8" fillId="3" borderId="0" xfId="0" applyNumberFormat="1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3" borderId="4" xfId="0" applyFill="1" applyBorder="1"/>
    <xf numFmtId="0" fontId="5" fillId="3" borderId="4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0" fillId="3" borderId="5" xfId="0" applyFill="1" applyBorder="1"/>
    <xf numFmtId="0" fontId="5" fillId="3" borderId="5" xfId="0" applyFont="1" applyFill="1" applyBorder="1" applyAlignment="1">
      <alignment horizontal="center"/>
    </xf>
    <xf numFmtId="0" fontId="18" fillId="4" borderId="5" xfId="0" applyFont="1" applyFill="1" applyBorder="1" applyAlignment="1">
      <alignment horizontal="center"/>
    </xf>
    <xf numFmtId="0" fontId="18" fillId="4" borderId="4" xfId="0" applyFont="1" applyFill="1" applyBorder="1" applyAlignment="1">
      <alignment horizontal="center"/>
    </xf>
    <xf numFmtId="0" fontId="20" fillId="5" borderId="0" xfId="0" applyFont="1" applyFill="1" applyAlignment="1" applyProtection="1">
      <alignment vertical="center"/>
      <protection locked="0"/>
    </xf>
    <xf numFmtId="14" fontId="5" fillId="5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1" fillId="5" borderId="0" xfId="0" applyFont="1" applyFill="1" applyProtection="1">
      <protection locked="0"/>
    </xf>
    <xf numFmtId="0" fontId="21" fillId="5" borderId="0" xfId="0" applyFont="1" applyFill="1" applyAlignment="1">
      <alignment horizontal="right" vertical="center"/>
    </xf>
    <xf numFmtId="0" fontId="22" fillId="5" borderId="0" xfId="0" applyFont="1" applyFill="1"/>
    <xf numFmtId="14" fontId="0" fillId="5" borderId="0" xfId="0" applyNumberFormat="1" applyFill="1" applyProtection="1">
      <protection locked="0"/>
    </xf>
    <xf numFmtId="0" fontId="0" fillId="5" borderId="0" xfId="0" applyFill="1"/>
    <xf numFmtId="0" fontId="23" fillId="5" borderId="0" xfId="0" applyFont="1" applyFill="1" applyAlignment="1" applyProtection="1">
      <alignment vertical="center"/>
      <protection locked="0"/>
    </xf>
    <xf numFmtId="0" fontId="18" fillId="4" borderId="6" xfId="0" applyFont="1" applyFill="1" applyBorder="1" applyAlignment="1">
      <alignment horizontal="center"/>
    </xf>
    <xf numFmtId="0" fontId="18" fillId="4" borderId="7" xfId="0" applyFont="1" applyFill="1" applyBorder="1" applyAlignment="1">
      <alignment horizontal="center"/>
    </xf>
    <xf numFmtId="165" fontId="13" fillId="5" borderId="0" xfId="0" applyNumberFormat="1" applyFont="1" applyFill="1" applyBorder="1" applyAlignment="1">
      <alignment horizontal="left"/>
    </xf>
    <xf numFmtId="0" fontId="13" fillId="2" borderId="8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3" fillId="2" borderId="11" xfId="0" applyFont="1" applyFill="1" applyBorder="1" applyAlignment="1">
      <alignment horizontal="center"/>
    </xf>
    <xf numFmtId="165" fontId="13" fillId="6" borderId="12" xfId="0" applyNumberFormat="1" applyFont="1" applyFill="1" applyBorder="1" applyAlignment="1">
      <alignment horizontal="center"/>
    </xf>
    <xf numFmtId="166" fontId="3" fillId="7" borderId="12" xfId="0" applyNumberFormat="1" applyFont="1" applyFill="1" applyBorder="1" applyAlignment="1">
      <alignment horizontal="center"/>
    </xf>
    <xf numFmtId="0" fontId="16" fillId="2" borderId="13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16" fillId="2" borderId="20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5" fillId="4" borderId="23" xfId="0" applyFont="1" applyFill="1" applyBorder="1" applyAlignment="1">
      <alignment horizontal="center"/>
    </xf>
    <xf numFmtId="0" fontId="18" fillId="8" borderId="7" xfId="0" applyFont="1" applyFill="1" applyBorder="1" applyAlignment="1">
      <alignment horizontal="center"/>
    </xf>
    <xf numFmtId="0" fontId="18" fillId="8" borderId="4" xfId="0" applyFont="1" applyFill="1" applyBorder="1" applyAlignment="1">
      <alignment horizontal="center"/>
    </xf>
    <xf numFmtId="0" fontId="15" fillId="8" borderId="23" xfId="0" applyFont="1" applyFill="1" applyBorder="1" applyAlignment="1">
      <alignment horizontal="center"/>
    </xf>
    <xf numFmtId="0" fontId="15" fillId="4" borderId="24" xfId="0" applyFont="1" applyFill="1" applyBorder="1" applyAlignment="1">
      <alignment horizontal="center"/>
    </xf>
    <xf numFmtId="0" fontId="13" fillId="2" borderId="25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/>
    </xf>
    <xf numFmtId="0" fontId="18" fillId="9" borderId="4" xfId="0" applyFont="1" applyFill="1" applyBorder="1" applyAlignment="1">
      <alignment horizontal="center"/>
    </xf>
    <xf numFmtId="0" fontId="15" fillId="9" borderId="23" xfId="0" applyFont="1" applyFill="1" applyBorder="1" applyAlignment="1">
      <alignment horizontal="center"/>
    </xf>
    <xf numFmtId="0" fontId="18" fillId="9" borderId="6" xfId="0" applyFont="1" applyFill="1" applyBorder="1" applyAlignment="1">
      <alignment horizontal="center"/>
    </xf>
    <xf numFmtId="0" fontId="18" fillId="9" borderId="5" xfId="0" applyFont="1" applyFill="1" applyBorder="1" applyAlignment="1">
      <alignment horizontal="center"/>
    </xf>
    <xf numFmtId="16" fontId="8" fillId="3" borderId="6" xfId="0" applyNumberFormat="1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16" fontId="8" fillId="3" borderId="7" xfId="0" applyNumberFormat="1" applyFont="1" applyFill="1" applyBorder="1" applyAlignment="1">
      <alignment horizontal="center"/>
    </xf>
    <xf numFmtId="0" fontId="3" fillId="3" borderId="24" xfId="0" applyFont="1" applyFill="1" applyBorder="1" applyAlignment="1">
      <alignment horizontal="center"/>
    </xf>
    <xf numFmtId="16" fontId="8" fillId="3" borderId="26" xfId="0" applyNumberFormat="1" applyFont="1" applyFill="1" applyBorder="1" applyAlignment="1">
      <alignment horizontal="center"/>
    </xf>
    <xf numFmtId="0" fontId="0" fillId="3" borderId="11" xfId="0" applyFill="1" applyBorder="1"/>
    <xf numFmtId="0" fontId="5" fillId="3" borderId="11" xfId="0" applyFont="1" applyFill="1" applyBorder="1" applyAlignment="1">
      <alignment horizontal="center"/>
    </xf>
    <xf numFmtId="0" fontId="3" fillId="3" borderId="27" xfId="0" applyFont="1" applyFill="1" applyBorder="1" applyAlignment="1">
      <alignment horizontal="center"/>
    </xf>
    <xf numFmtId="0" fontId="15" fillId="9" borderId="4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0" fillId="10" borderId="0" xfId="0" applyFill="1"/>
    <xf numFmtId="0" fontId="5" fillId="10" borderId="0" xfId="0" applyFont="1" applyFill="1" applyAlignment="1">
      <alignment horizontal="center"/>
    </xf>
    <xf numFmtId="0" fontId="2" fillId="10" borderId="0" xfId="0" applyFont="1" applyFill="1" applyBorder="1"/>
    <xf numFmtId="0" fontId="2" fillId="10" borderId="0" xfId="1" applyFill="1"/>
    <xf numFmtId="0" fontId="3" fillId="10" borderId="0" xfId="0" applyFont="1" applyFill="1"/>
    <xf numFmtId="0" fontId="0" fillId="10" borderId="0" xfId="0" applyFill="1" applyBorder="1"/>
    <xf numFmtId="0" fontId="2" fillId="11" borderId="0" xfId="1" applyFill="1"/>
    <xf numFmtId="0" fontId="0" fillId="11" borderId="0" xfId="0" applyFill="1"/>
    <xf numFmtId="0" fontId="13" fillId="11" borderId="0" xfId="0" applyFont="1" applyFill="1"/>
    <xf numFmtId="0" fontId="13" fillId="11" borderId="0" xfId="0" applyFont="1" applyFill="1" applyBorder="1" applyAlignment="1">
      <alignment horizontal="center" vertical="center"/>
    </xf>
    <xf numFmtId="164" fontId="13" fillId="11" borderId="0" xfId="0" applyNumberFormat="1" applyFont="1" applyFill="1" applyBorder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0" fillId="11" borderId="0" xfId="0" applyFill="1" applyBorder="1" applyAlignment="1">
      <alignment horizontal="center" vertical="center"/>
    </xf>
    <xf numFmtId="164" fontId="0" fillId="11" borderId="0" xfId="0" applyNumberFormat="1" applyFill="1" applyBorder="1" applyAlignment="1">
      <alignment horizontal="center" vertical="center"/>
    </xf>
    <xf numFmtId="0" fontId="0" fillId="11" borderId="0" xfId="0" applyFill="1" applyAlignment="1">
      <alignment vertical="center"/>
    </xf>
    <xf numFmtId="0" fontId="0" fillId="13" borderId="4" xfId="0" applyFill="1" applyBorder="1" applyAlignment="1">
      <alignment horizontal="center" vertical="center"/>
    </xf>
    <xf numFmtId="0" fontId="0" fillId="11" borderId="0" xfId="0" applyFill="1" applyAlignment="1">
      <alignment horizontal="center"/>
    </xf>
    <xf numFmtId="0" fontId="30" fillId="11" borderId="0" xfId="0" applyFont="1" applyFill="1" applyAlignment="1">
      <alignment vertical="center"/>
    </xf>
    <xf numFmtId="0" fontId="29" fillId="13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13" fillId="11" borderId="0" xfId="0" applyFont="1" applyFill="1" applyAlignment="1">
      <alignment vertical="center"/>
    </xf>
    <xf numFmtId="0" fontId="12" fillId="11" borderId="0" xfId="0" applyFont="1" applyFill="1"/>
    <xf numFmtId="0" fontId="2" fillId="11" borderId="0" xfId="1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14" fontId="3" fillId="10" borderId="0" xfId="0" applyNumberFormat="1" applyFont="1" applyFill="1" applyAlignment="1">
      <alignment horizontal="center"/>
    </xf>
    <xf numFmtId="0" fontId="0" fillId="14" borderId="4" xfId="0" applyFill="1" applyBorder="1"/>
    <xf numFmtId="0" fontId="3" fillId="14" borderId="35" xfId="0" applyFont="1" applyFill="1" applyBorder="1" applyAlignment="1">
      <alignment horizontal="center"/>
    </xf>
    <xf numFmtId="0" fontId="13" fillId="14" borderId="35" xfId="0" applyFont="1" applyFill="1" applyBorder="1" applyAlignment="1">
      <alignment horizontal="center"/>
    </xf>
    <xf numFmtId="0" fontId="0" fillId="4" borderId="36" xfId="0" applyFill="1" applyBorder="1" applyAlignment="1">
      <alignment horizontal="left"/>
    </xf>
    <xf numFmtId="0" fontId="2" fillId="4" borderId="36" xfId="0" applyFont="1" applyFill="1" applyBorder="1"/>
    <xf numFmtId="0" fontId="0" fillId="4" borderId="36" xfId="0" applyFill="1" applyBorder="1"/>
    <xf numFmtId="0" fontId="0" fillId="4" borderId="37" xfId="0" applyFill="1" applyBorder="1" applyAlignment="1">
      <alignment wrapText="1"/>
    </xf>
    <xf numFmtId="0" fontId="0" fillId="4" borderId="35" xfId="0" applyFill="1" applyBorder="1" applyAlignment="1">
      <alignment horizontal="left"/>
    </xf>
    <xf numFmtId="0" fontId="0" fillId="4" borderId="38" xfId="0" applyFill="1" applyBorder="1"/>
    <xf numFmtId="0" fontId="9" fillId="14" borderId="4" xfId="0" applyFont="1" applyFill="1" applyBorder="1" applyAlignment="1">
      <alignment horizontal="center"/>
    </xf>
    <xf numFmtId="0" fontId="8" fillId="14" borderId="39" xfId="0" applyFont="1" applyFill="1" applyBorder="1"/>
    <xf numFmtId="0" fontId="8" fillId="14" borderId="15" xfId="0" applyFont="1" applyFill="1" applyBorder="1"/>
    <xf numFmtId="0" fontId="8" fillId="14" borderId="14" xfId="0" applyFont="1" applyFill="1" applyBorder="1"/>
    <xf numFmtId="0" fontId="8" fillId="14" borderId="40" xfId="0" applyFont="1" applyFill="1" applyBorder="1"/>
    <xf numFmtId="0" fontId="8" fillId="14" borderId="41" xfId="0" applyFont="1" applyFill="1" applyBorder="1"/>
    <xf numFmtId="0" fontId="8" fillId="14" borderId="42" xfId="0" applyFont="1" applyFill="1" applyBorder="1"/>
    <xf numFmtId="0" fontId="8" fillId="14" borderId="43" xfId="0" applyFont="1" applyFill="1" applyBorder="1"/>
    <xf numFmtId="0" fontId="8" fillId="14" borderId="44" xfId="0" applyFont="1" applyFill="1" applyBorder="1"/>
    <xf numFmtId="0" fontId="0" fillId="14" borderId="39" xfId="0" applyFill="1" applyBorder="1"/>
    <xf numFmtId="0" fontId="0" fillId="14" borderId="0" xfId="0" applyFill="1"/>
    <xf numFmtId="0" fontId="3" fillId="14" borderId="14" xfId="0" applyFont="1" applyFill="1" applyBorder="1" applyAlignment="1">
      <alignment horizontal="center"/>
    </xf>
    <xf numFmtId="0" fontId="0" fillId="4" borderId="31" xfId="0" applyFill="1" applyBorder="1" applyAlignment="1">
      <alignment horizontal="left"/>
    </xf>
    <xf numFmtId="0" fontId="0" fillId="4" borderId="31" xfId="0" applyFill="1" applyBorder="1"/>
    <xf numFmtId="0" fontId="0" fillId="4" borderId="33" xfId="0" applyFill="1" applyBorder="1" applyAlignment="1">
      <alignment horizontal="left"/>
    </xf>
    <xf numFmtId="0" fontId="0" fillId="4" borderId="0" xfId="0" applyFill="1" applyBorder="1" applyAlignment="1">
      <alignment horizontal="left"/>
    </xf>
    <xf numFmtId="0" fontId="20" fillId="10" borderId="0" xfId="0" applyFont="1" applyFill="1" applyAlignment="1" applyProtection="1">
      <alignment horizontal="center" vertical="center"/>
      <protection locked="0"/>
    </xf>
    <xf numFmtId="0" fontId="19" fillId="10" borderId="0" xfId="0" applyFont="1" applyFill="1" applyAlignment="1" applyProtection="1">
      <alignment horizontal="center" vertical="center"/>
      <protection locked="0"/>
    </xf>
    <xf numFmtId="0" fontId="2" fillId="10" borderId="0" xfId="1" applyFill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14" fontId="0" fillId="10" borderId="0" xfId="0" applyNumberFormat="1" applyFill="1" applyAlignment="1" applyProtection="1">
      <alignment horizontal="center" vertical="center"/>
      <protection locked="0"/>
    </xf>
    <xf numFmtId="0" fontId="22" fillId="10" borderId="0" xfId="0" applyFont="1" applyFill="1" applyAlignment="1">
      <alignment horizontal="center" vertical="center"/>
    </xf>
    <xf numFmtId="0" fontId="1" fillId="10" borderId="0" xfId="0" applyFont="1" applyFill="1" applyAlignment="1" applyProtection="1">
      <alignment horizontal="center" vertical="center"/>
      <protection locked="0"/>
    </xf>
    <xf numFmtId="0" fontId="0" fillId="10" borderId="0" xfId="0" applyFill="1" applyAlignment="1">
      <alignment horizontal="center" vertical="center"/>
    </xf>
    <xf numFmtId="0" fontId="2" fillId="10" borderId="0" xfId="1" applyFill="1" applyAlignment="1"/>
    <xf numFmtId="167" fontId="34" fillId="7" borderId="12" xfId="1" applyNumberFormat="1" applyFont="1" applyFill="1" applyBorder="1" applyAlignment="1">
      <alignment horizontal="center" vertical="center"/>
    </xf>
    <xf numFmtId="0" fontId="31" fillId="11" borderId="0" xfId="1" applyFont="1" applyFill="1" applyBorder="1"/>
    <xf numFmtId="0" fontId="27" fillId="11" borderId="0" xfId="1" applyFont="1" applyFill="1" applyBorder="1"/>
    <xf numFmtId="0" fontId="2" fillId="11" borderId="19" xfId="1" applyFont="1" applyFill="1" applyBorder="1" applyAlignment="1">
      <alignment horizontal="center"/>
    </xf>
    <xf numFmtId="0" fontId="2" fillId="10" borderId="19" xfId="1" applyFont="1" applyFill="1" applyBorder="1"/>
    <xf numFmtId="0" fontId="2" fillId="10" borderId="0" xfId="1" applyFont="1" applyFill="1"/>
    <xf numFmtId="0" fontId="13" fillId="3" borderId="48" xfId="1" applyFont="1" applyFill="1" applyBorder="1" applyAlignment="1">
      <alignment horizontal="center" vertical="center"/>
    </xf>
    <xf numFmtId="0" fontId="2" fillId="11" borderId="14" xfId="1" applyFill="1" applyBorder="1" applyAlignment="1">
      <alignment horizontal="center" vertical="center"/>
    </xf>
    <xf numFmtId="0" fontId="13" fillId="3" borderId="9" xfId="1" applyFont="1" applyFill="1" applyBorder="1" applyAlignment="1">
      <alignment horizontal="center" vertical="center"/>
    </xf>
    <xf numFmtId="0" fontId="2" fillId="11" borderId="0" xfId="1" applyFill="1" applyBorder="1" applyAlignment="1">
      <alignment horizontal="center" vertical="center"/>
    </xf>
    <xf numFmtId="0" fontId="13" fillId="7" borderId="50" xfId="1" applyFont="1" applyFill="1" applyBorder="1" applyAlignment="1">
      <alignment horizontal="center" vertical="center"/>
    </xf>
    <xf numFmtId="0" fontId="2" fillId="7" borderId="19" xfId="1" applyFill="1" applyBorder="1" applyAlignment="1">
      <alignment horizontal="center" vertical="center"/>
    </xf>
    <xf numFmtId="0" fontId="9" fillId="3" borderId="9" xfId="1" applyFont="1" applyFill="1" applyBorder="1" applyAlignment="1">
      <alignment horizontal="center" vertical="center"/>
    </xf>
    <xf numFmtId="0" fontId="9" fillId="3" borderId="32" xfId="1" applyFont="1" applyFill="1" applyBorder="1" applyAlignment="1">
      <alignment horizontal="center" vertical="center"/>
    </xf>
    <xf numFmtId="0" fontId="9" fillId="7" borderId="32" xfId="1" applyFont="1" applyFill="1" applyBorder="1" applyAlignment="1">
      <alignment horizontal="center" vertical="center"/>
    </xf>
    <xf numFmtId="0" fontId="2" fillId="7" borderId="0" xfId="1" applyFill="1" applyBorder="1" applyAlignment="1">
      <alignment horizontal="center" vertical="center"/>
    </xf>
    <xf numFmtId="0" fontId="2" fillId="10" borderId="0" xfId="1" applyFill="1" applyBorder="1" applyAlignment="1">
      <alignment horizontal="center" vertical="center"/>
    </xf>
    <xf numFmtId="0" fontId="2" fillId="10" borderId="14" xfId="1" applyFill="1" applyBorder="1" applyAlignment="1">
      <alignment horizontal="center" vertical="center"/>
    </xf>
    <xf numFmtId="0" fontId="2" fillId="7" borderId="0" xfId="1" applyFill="1" applyAlignment="1">
      <alignment horizontal="center" vertical="center"/>
    </xf>
    <xf numFmtId="0" fontId="13" fillId="13" borderId="9" xfId="1" applyFont="1" applyFill="1" applyBorder="1" applyAlignment="1">
      <alignment horizontal="center" vertical="center"/>
    </xf>
    <xf numFmtId="0" fontId="2" fillId="13" borderId="0" xfId="1" applyFill="1" applyBorder="1" applyAlignment="1">
      <alignment horizontal="center" vertical="center"/>
    </xf>
    <xf numFmtId="0" fontId="9" fillId="13" borderId="9" xfId="1" applyFont="1" applyFill="1" applyBorder="1" applyAlignment="1">
      <alignment horizontal="center" vertical="center"/>
    </xf>
    <xf numFmtId="0" fontId="9" fillId="13" borderId="32" xfId="1" applyFont="1" applyFill="1" applyBorder="1" applyAlignment="1">
      <alignment horizontal="center" vertical="center"/>
    </xf>
    <xf numFmtId="0" fontId="2" fillId="13" borderId="0" xfId="1" applyFill="1" applyAlignment="1">
      <alignment horizontal="center" vertical="center"/>
    </xf>
    <xf numFmtId="0" fontId="9" fillId="7" borderId="34" xfId="1" applyFont="1" applyFill="1" applyBorder="1" applyAlignment="1">
      <alignment horizontal="center" vertical="center"/>
    </xf>
    <xf numFmtId="0" fontId="0" fillId="4" borderId="32" xfId="0" applyFill="1" applyBorder="1" applyAlignment="1">
      <alignment horizontal="left"/>
    </xf>
    <xf numFmtId="0" fontId="9" fillId="2" borderId="4" xfId="0" applyFont="1" applyFill="1" applyBorder="1" applyAlignment="1">
      <alignment horizontal="center"/>
    </xf>
    <xf numFmtId="164" fontId="13" fillId="11" borderId="0" xfId="0" applyNumberFormat="1" applyFont="1" applyFill="1" applyAlignment="1">
      <alignment horizontal="center" vertical="center"/>
    </xf>
    <xf numFmtId="164" fontId="0" fillId="11" borderId="0" xfId="0" applyNumberFormat="1" applyFill="1" applyAlignment="1">
      <alignment vertical="center"/>
    </xf>
    <xf numFmtId="0" fontId="9" fillId="15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17" fontId="28" fillId="7" borderId="51" xfId="1" applyNumberFormat="1" applyFont="1" applyFill="1" applyBorder="1" applyAlignment="1">
      <alignment horizontal="center" vertical="center"/>
    </xf>
    <xf numFmtId="0" fontId="28" fillId="7" borderId="52" xfId="1" applyNumberFormat="1" applyFont="1" applyFill="1" applyBorder="1" applyAlignment="1">
      <alignment horizontal="center" vertical="center"/>
    </xf>
    <xf numFmtId="0" fontId="28" fillId="7" borderId="51" xfId="1" applyNumberFormat="1" applyFont="1" applyFill="1" applyBorder="1" applyAlignment="1">
      <alignment horizontal="center" vertical="center"/>
    </xf>
    <xf numFmtId="0" fontId="28" fillId="13" borderId="51" xfId="1" applyNumberFormat="1" applyFont="1" applyFill="1" applyBorder="1" applyAlignment="1">
      <alignment horizontal="center" vertical="center"/>
    </xf>
    <xf numFmtId="0" fontId="28" fillId="13" borderId="3" xfId="1" applyNumberFormat="1" applyFont="1" applyFill="1" applyBorder="1" applyAlignment="1">
      <alignment horizontal="center" vertical="center"/>
    </xf>
    <xf numFmtId="0" fontId="28" fillId="13" borderId="28" xfId="1" applyNumberFormat="1" applyFont="1" applyFill="1" applyBorder="1" applyAlignment="1">
      <alignment horizontal="center" vertical="center"/>
    </xf>
    <xf numFmtId="0" fontId="2" fillId="10" borderId="0" xfId="1" applyNumberFormat="1" applyFill="1"/>
    <xf numFmtId="0" fontId="2" fillId="11" borderId="0" xfId="1" applyNumberFormat="1" applyFill="1"/>
    <xf numFmtId="0" fontId="0" fillId="15" borderId="4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0" xfId="0" applyFill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0" fontId="13" fillId="4" borderId="0" xfId="0" applyFont="1" applyFill="1" applyAlignment="1">
      <alignment horizontal="center"/>
    </xf>
    <xf numFmtId="20" fontId="13" fillId="4" borderId="0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20" fontId="13" fillId="2" borderId="4" xfId="0" applyNumberFormat="1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3" fillId="4" borderId="0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35" fillId="4" borderId="0" xfId="0" applyFont="1" applyFill="1" applyAlignment="1">
      <alignment horizontal="left"/>
    </xf>
    <xf numFmtId="20" fontId="13" fillId="11" borderId="4" xfId="0" applyNumberFormat="1" applyFont="1" applyFill="1" applyBorder="1" applyAlignment="1">
      <alignment horizontal="center"/>
    </xf>
    <xf numFmtId="0" fontId="13" fillId="4" borderId="5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13" fillId="4" borderId="0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5" fillId="4" borderId="0" xfId="0" applyFont="1" applyFill="1" applyAlignment="1">
      <alignment horizontal="left" vertical="center"/>
    </xf>
    <xf numFmtId="168" fontId="0" fillId="4" borderId="0" xfId="0" applyNumberFormat="1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13" fillId="18" borderId="48" xfId="1" applyFont="1" applyFill="1" applyBorder="1" applyAlignment="1">
      <alignment horizontal="center" vertical="center"/>
    </xf>
    <xf numFmtId="0" fontId="13" fillId="18" borderId="9" xfId="1" applyFont="1" applyFill="1" applyBorder="1" applyAlignment="1">
      <alignment horizontal="center" vertical="center"/>
    </xf>
    <xf numFmtId="0" fontId="13" fillId="18" borderId="50" xfId="1" applyFont="1" applyFill="1" applyBorder="1" applyAlignment="1">
      <alignment horizontal="center" vertical="center"/>
    </xf>
    <xf numFmtId="0" fontId="9" fillId="18" borderId="9" xfId="1" applyFont="1" applyFill="1" applyBorder="1" applyAlignment="1">
      <alignment horizontal="center" vertical="center"/>
    </xf>
    <xf numFmtId="0" fontId="9" fillId="18" borderId="32" xfId="1" applyFont="1" applyFill="1" applyBorder="1" applyAlignment="1">
      <alignment horizontal="center" vertical="center"/>
    </xf>
    <xf numFmtId="0" fontId="9" fillId="18" borderId="34" xfId="1" applyFont="1" applyFill="1" applyBorder="1" applyAlignment="1">
      <alignment horizontal="center" vertical="center"/>
    </xf>
    <xf numFmtId="0" fontId="0" fillId="16" borderId="39" xfId="0" applyFill="1" applyBorder="1"/>
    <xf numFmtId="0" fontId="0" fillId="16" borderId="4" xfId="0" applyFill="1" applyBorder="1"/>
    <xf numFmtId="0" fontId="9" fillId="16" borderId="4" xfId="0" applyFont="1" applyFill="1" applyBorder="1" applyAlignment="1">
      <alignment horizontal="center"/>
    </xf>
    <xf numFmtId="0" fontId="0" fillId="14" borderId="0" xfId="0" applyFill="1" applyBorder="1"/>
    <xf numFmtId="0" fontId="13" fillId="16" borderId="48" xfId="1" applyFont="1" applyFill="1" applyBorder="1" applyAlignment="1">
      <alignment horizontal="center" vertical="center"/>
    </xf>
    <xf numFmtId="0" fontId="13" fillId="16" borderId="9" xfId="1" applyFont="1" applyFill="1" applyBorder="1" applyAlignment="1">
      <alignment horizontal="center" vertical="center"/>
    </xf>
    <xf numFmtId="0" fontId="9" fillId="16" borderId="9" xfId="1" applyFont="1" applyFill="1" applyBorder="1" applyAlignment="1">
      <alignment horizontal="center" vertical="center"/>
    </xf>
    <xf numFmtId="0" fontId="9" fillId="16" borderId="32" xfId="1" applyFont="1" applyFill="1" applyBorder="1" applyAlignment="1">
      <alignment horizontal="center" vertical="center"/>
    </xf>
    <xf numFmtId="20" fontId="13" fillId="11" borderId="0" xfId="0" applyNumberFormat="1" applyFont="1" applyFill="1" applyBorder="1" applyAlignment="1">
      <alignment horizontal="center" vertical="center"/>
    </xf>
    <xf numFmtId="0" fontId="13" fillId="3" borderId="4" xfId="1" applyFont="1" applyFill="1" applyBorder="1" applyAlignment="1">
      <alignment horizontal="center" vertical="center"/>
    </xf>
    <xf numFmtId="0" fontId="13" fillId="19" borderId="48" xfId="1" applyFont="1" applyFill="1" applyBorder="1" applyAlignment="1">
      <alignment horizontal="center" vertical="center"/>
    </xf>
    <xf numFmtId="0" fontId="13" fillId="19" borderId="9" xfId="1" applyFont="1" applyFill="1" applyBorder="1" applyAlignment="1">
      <alignment horizontal="center" vertical="center"/>
    </xf>
    <xf numFmtId="0" fontId="13" fillId="19" borderId="50" xfId="1" applyFont="1" applyFill="1" applyBorder="1" applyAlignment="1">
      <alignment horizontal="center" vertical="center"/>
    </xf>
    <xf numFmtId="0" fontId="9" fillId="19" borderId="9" xfId="1" applyFont="1" applyFill="1" applyBorder="1" applyAlignment="1">
      <alignment horizontal="center" vertical="center"/>
    </xf>
    <xf numFmtId="0" fontId="9" fillId="19" borderId="32" xfId="1" applyFont="1" applyFill="1" applyBorder="1" applyAlignment="1">
      <alignment horizontal="center" vertical="center"/>
    </xf>
    <xf numFmtId="0" fontId="9" fillId="19" borderId="34" xfId="1" applyFont="1" applyFill="1" applyBorder="1" applyAlignment="1">
      <alignment horizontal="center" vertical="center"/>
    </xf>
    <xf numFmtId="0" fontId="2" fillId="10" borderId="0" xfId="1" applyFill="1" applyAlignment="1">
      <alignment horizontal="center"/>
    </xf>
    <xf numFmtId="0" fontId="2" fillId="11" borderId="0" xfId="1" applyFill="1" applyAlignment="1">
      <alignment horizontal="center"/>
    </xf>
    <xf numFmtId="0" fontId="0" fillId="4" borderId="0" xfId="0" applyFill="1" applyBorder="1" applyAlignment="1">
      <alignment horizontal="center"/>
    </xf>
    <xf numFmtId="0" fontId="1" fillId="17" borderId="4" xfId="2" applyFill="1" applyBorder="1" applyAlignment="1">
      <alignment horizontal="center"/>
    </xf>
    <xf numFmtId="1" fontId="1" fillId="17" borderId="4" xfId="2" applyNumberFormat="1" applyFill="1" applyBorder="1" applyAlignment="1">
      <alignment horizontal="center"/>
    </xf>
    <xf numFmtId="1" fontId="18" fillId="17" borderId="4" xfId="2" applyNumberFormat="1" applyFont="1" applyFill="1" applyBorder="1" applyAlignment="1">
      <alignment horizontal="center"/>
    </xf>
    <xf numFmtId="0" fontId="5" fillId="17" borderId="4" xfId="2" applyFont="1" applyFill="1" applyBorder="1" applyAlignment="1">
      <alignment horizontal="center"/>
    </xf>
    <xf numFmtId="0" fontId="4" fillId="7" borderId="51" xfId="1" applyNumberFormat="1" applyFont="1" applyFill="1" applyBorder="1" applyAlignment="1">
      <alignment horizontal="center" vertical="center"/>
    </xf>
    <xf numFmtId="0" fontId="37" fillId="17" borderId="4" xfId="1" applyFont="1" applyFill="1" applyBorder="1" applyAlignment="1">
      <alignment horizontal="center"/>
    </xf>
    <xf numFmtId="0" fontId="0" fillId="22" borderId="4" xfId="0" applyFill="1" applyBorder="1" applyAlignment="1">
      <alignment horizontal="center" vertical="center"/>
    </xf>
    <xf numFmtId="0" fontId="0" fillId="13" borderId="32" xfId="0" applyFill="1" applyBorder="1" applyAlignment="1">
      <alignment horizontal="center" vertical="center"/>
    </xf>
    <xf numFmtId="0" fontId="1" fillId="22" borderId="4" xfId="0" applyFont="1" applyFill="1" applyBorder="1" applyAlignment="1">
      <alignment horizontal="center" vertical="center"/>
    </xf>
    <xf numFmtId="0" fontId="2" fillId="10" borderId="0" xfId="1" applyFill="1" applyAlignment="1">
      <alignment horizontal="center"/>
    </xf>
    <xf numFmtId="0" fontId="2" fillId="10" borderId="0" xfId="1" applyFill="1" applyAlignment="1">
      <alignment horizontal="center"/>
    </xf>
    <xf numFmtId="0" fontId="9" fillId="17" borderId="9" xfId="1" applyFont="1" applyFill="1" applyBorder="1" applyAlignment="1">
      <alignment horizontal="center" vertical="center"/>
    </xf>
    <xf numFmtId="0" fontId="13" fillId="17" borderId="9" xfId="1" applyFont="1" applyFill="1" applyBorder="1" applyAlignment="1">
      <alignment horizontal="center" vertical="center"/>
    </xf>
    <xf numFmtId="0" fontId="13" fillId="17" borderId="48" xfId="1" applyFont="1" applyFill="1" applyBorder="1" applyAlignment="1">
      <alignment horizontal="center" vertical="center"/>
    </xf>
    <xf numFmtId="0" fontId="9" fillId="17" borderId="32" xfId="1" applyFont="1" applyFill="1" applyBorder="1" applyAlignment="1">
      <alignment horizontal="center" vertical="center"/>
    </xf>
    <xf numFmtId="0" fontId="13" fillId="23" borderId="9" xfId="1" applyFont="1" applyFill="1" applyBorder="1" applyAlignment="1">
      <alignment horizontal="center" vertical="center"/>
    </xf>
    <xf numFmtId="0" fontId="9" fillId="23" borderId="9" xfId="1" applyFont="1" applyFill="1" applyBorder="1" applyAlignment="1">
      <alignment horizontal="center" vertical="center"/>
    </xf>
    <xf numFmtId="0" fontId="9" fillId="23" borderId="32" xfId="1" applyFont="1" applyFill="1" applyBorder="1" applyAlignment="1">
      <alignment horizontal="center" vertical="center"/>
    </xf>
    <xf numFmtId="20" fontId="13" fillId="24" borderId="4" xfId="0" applyNumberFormat="1" applyFont="1" applyFill="1" applyBorder="1" applyAlignment="1">
      <alignment horizontal="center"/>
    </xf>
    <xf numFmtId="20" fontId="13" fillId="25" borderId="4" xfId="0" applyNumberFormat="1" applyFont="1" applyFill="1" applyBorder="1" applyAlignment="1">
      <alignment horizontal="center"/>
    </xf>
    <xf numFmtId="0" fontId="20" fillId="10" borderId="19" xfId="0" applyFont="1" applyFill="1" applyBorder="1" applyAlignment="1" applyProtection="1">
      <alignment vertical="center"/>
      <protection locked="0"/>
    </xf>
    <xf numFmtId="0" fontId="2" fillId="10" borderId="19" xfId="1" applyFill="1" applyBorder="1" applyAlignment="1"/>
    <xf numFmtId="0" fontId="29" fillId="13" borderId="4" xfId="0" applyFont="1" applyFill="1" applyBorder="1" applyAlignment="1">
      <alignment horizontal="center" vertical="center"/>
    </xf>
    <xf numFmtId="0" fontId="13" fillId="11" borderId="0" xfId="0" applyFont="1" applyFill="1" applyBorder="1" applyAlignment="1">
      <alignment vertical="center"/>
    </xf>
    <xf numFmtId="164" fontId="13" fillId="11" borderId="0" xfId="0" applyNumberFormat="1" applyFont="1" applyFill="1" applyBorder="1" applyAlignment="1">
      <alignment vertical="center"/>
    </xf>
    <xf numFmtId="164" fontId="13" fillId="11" borderId="0" xfId="0" applyNumberFormat="1" applyFont="1" applyFill="1" applyAlignment="1">
      <alignment vertical="center"/>
    </xf>
    <xf numFmtId="0" fontId="2" fillId="11" borderId="0" xfId="0" applyFont="1" applyFill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2" borderId="39" xfId="0" applyFont="1" applyFill="1" applyBorder="1" applyAlignment="1">
      <alignment horizontal="center"/>
    </xf>
    <xf numFmtId="0" fontId="0" fillId="17" borderId="7" xfId="0" applyFill="1" applyBorder="1" applyAlignment="1">
      <alignment horizontal="center"/>
    </xf>
    <xf numFmtId="0" fontId="0" fillId="17" borderId="24" xfId="0" applyFill="1" applyBorder="1" applyAlignment="1">
      <alignment horizontal="center"/>
    </xf>
    <xf numFmtId="0" fontId="13" fillId="13" borderId="4" xfId="1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57" xfId="1" applyFont="1" applyFill="1" applyBorder="1" applyAlignment="1">
      <alignment horizontal="center" vertical="center"/>
    </xf>
    <xf numFmtId="0" fontId="13" fillId="3" borderId="58" xfId="1" applyFont="1" applyFill="1" applyBorder="1" applyAlignment="1">
      <alignment horizontal="center" vertical="center"/>
    </xf>
    <xf numFmtId="0" fontId="13" fillId="3" borderId="6" xfId="1" applyFont="1" applyFill="1" applyBorder="1" applyAlignment="1">
      <alignment horizontal="center" vertical="center"/>
    </xf>
    <xf numFmtId="0" fontId="13" fillId="3" borderId="60" xfId="1" applyFont="1" applyFill="1" applyBorder="1" applyAlignment="1">
      <alignment horizontal="center" vertical="center"/>
    </xf>
    <xf numFmtId="0" fontId="13" fillId="3" borderId="1" xfId="1" applyFont="1" applyFill="1" applyBorder="1" applyAlignment="1">
      <alignment horizontal="center" vertical="center"/>
    </xf>
    <xf numFmtId="0" fontId="13" fillId="3" borderId="62" xfId="1" applyFont="1" applyFill="1" applyBorder="1" applyAlignment="1">
      <alignment horizontal="center" vertical="center"/>
    </xf>
    <xf numFmtId="0" fontId="13" fillId="3" borderId="20" xfId="1" applyFont="1" applyFill="1" applyBorder="1" applyAlignment="1">
      <alignment horizontal="center" vertical="center"/>
    </xf>
    <xf numFmtId="0" fontId="13" fillId="13" borderId="61" xfId="1" applyFont="1" applyFill="1" applyBorder="1" applyAlignment="1">
      <alignment horizontal="center" vertical="center"/>
    </xf>
    <xf numFmtId="0" fontId="9" fillId="13" borderId="61" xfId="1" applyFont="1" applyFill="1" applyBorder="1" applyAlignment="1">
      <alignment horizontal="center" vertical="center"/>
    </xf>
    <xf numFmtId="0" fontId="9" fillId="3" borderId="57" xfId="1" applyFont="1" applyFill="1" applyBorder="1" applyAlignment="1">
      <alignment horizontal="center" vertical="center"/>
    </xf>
    <xf numFmtId="0" fontId="9" fillId="3" borderId="48" xfId="1" applyFont="1" applyFill="1" applyBorder="1" applyAlignment="1">
      <alignment horizontal="center" vertical="center"/>
    </xf>
    <xf numFmtId="0" fontId="9" fillId="3" borderId="58" xfId="1" applyFont="1" applyFill="1" applyBorder="1" applyAlignment="1">
      <alignment horizontal="center" vertical="center"/>
    </xf>
    <xf numFmtId="0" fontId="9" fillId="3" borderId="6" xfId="1" applyFont="1" applyFill="1" applyBorder="1" applyAlignment="1">
      <alignment horizontal="center" vertical="center"/>
    </xf>
    <xf numFmtId="0" fontId="9" fillId="3" borderId="60" xfId="1" applyFont="1" applyFill="1" applyBorder="1" applyAlignment="1">
      <alignment horizontal="center" vertical="center"/>
    </xf>
    <xf numFmtId="0" fontId="9" fillId="13" borderId="10" xfId="1" applyFont="1" applyFill="1" applyBorder="1" applyAlignment="1">
      <alignment horizontal="center" vertical="center"/>
    </xf>
    <xf numFmtId="0" fontId="9" fillId="13" borderId="17" xfId="1" applyFont="1" applyFill="1" applyBorder="1" applyAlignment="1">
      <alignment horizontal="center" vertical="center"/>
    </xf>
    <xf numFmtId="0" fontId="9" fillId="13" borderId="6" xfId="1" applyFont="1" applyFill="1" applyBorder="1" applyAlignment="1">
      <alignment horizontal="center" vertical="center"/>
    </xf>
    <xf numFmtId="0" fontId="9" fillId="13" borderId="60" xfId="1" applyFont="1" applyFill="1" applyBorder="1" applyAlignment="1">
      <alignment horizontal="center" vertical="center"/>
    </xf>
    <xf numFmtId="0" fontId="9" fillId="3" borderId="26" xfId="1" applyFont="1" applyFill="1" applyBorder="1" applyAlignment="1">
      <alignment horizontal="center" vertical="center"/>
    </xf>
    <xf numFmtId="0" fontId="9" fillId="3" borderId="50" xfId="1" applyFont="1" applyFill="1" applyBorder="1" applyAlignment="1">
      <alignment horizontal="center" vertical="center"/>
    </xf>
    <xf numFmtId="0" fontId="9" fillId="3" borderId="59" xfId="1" applyFont="1" applyFill="1" applyBorder="1" applyAlignment="1">
      <alignment horizontal="center" vertical="center"/>
    </xf>
    <xf numFmtId="0" fontId="9" fillId="18" borderId="63" xfId="1" applyFont="1" applyFill="1" applyBorder="1" applyAlignment="1">
      <alignment horizontal="center" vertical="center"/>
    </xf>
    <xf numFmtId="0" fontId="13" fillId="18" borderId="63" xfId="1" applyFont="1" applyFill="1" applyBorder="1" applyAlignment="1">
      <alignment horizontal="center" vertical="center"/>
    </xf>
    <xf numFmtId="0" fontId="9" fillId="18" borderId="61" xfId="1" applyFont="1" applyFill="1" applyBorder="1" applyAlignment="1">
      <alignment horizontal="center" vertical="center"/>
    </xf>
    <xf numFmtId="0" fontId="9" fillId="18" borderId="48" xfId="1" applyFont="1" applyFill="1" applyBorder="1" applyAlignment="1">
      <alignment horizontal="center" vertical="center"/>
    </xf>
    <xf numFmtId="0" fontId="9" fillId="18" borderId="58" xfId="1" applyFont="1" applyFill="1" applyBorder="1" applyAlignment="1">
      <alignment horizontal="center" vertical="center"/>
    </xf>
    <xf numFmtId="0" fontId="9" fillId="18" borderId="60" xfId="1" applyFont="1" applyFill="1" applyBorder="1" applyAlignment="1">
      <alignment horizontal="center" vertical="center"/>
    </xf>
    <xf numFmtId="0" fontId="13" fillId="18" borderId="62" xfId="1" applyFont="1" applyFill="1" applyBorder="1" applyAlignment="1">
      <alignment horizontal="center" vertical="center"/>
    </xf>
    <xf numFmtId="0" fontId="13" fillId="18" borderId="20" xfId="1" applyFont="1" applyFill="1" applyBorder="1" applyAlignment="1">
      <alignment horizontal="center" vertical="center"/>
    </xf>
    <xf numFmtId="0" fontId="2" fillId="17" borderId="4" xfId="1" applyFill="1" applyBorder="1" applyAlignment="1">
      <alignment horizontal="center" vertical="center"/>
    </xf>
    <xf numFmtId="0" fontId="2" fillId="10" borderId="0" xfId="1" applyFill="1" applyAlignment="1">
      <alignment horizontal="center"/>
    </xf>
    <xf numFmtId="0" fontId="2" fillId="10" borderId="0" xfId="1" applyFill="1" applyAlignment="1">
      <alignment horizontal="center"/>
    </xf>
    <xf numFmtId="0" fontId="2" fillId="11" borderId="0" xfId="1" applyFill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2" fillId="10" borderId="0" xfId="1" applyFill="1" applyAlignment="1">
      <alignment horizontal="center"/>
    </xf>
    <xf numFmtId="0" fontId="0" fillId="17" borderId="12" xfId="0" applyFill="1" applyBorder="1" applyAlignment="1">
      <alignment horizontal="center"/>
    </xf>
    <xf numFmtId="0" fontId="0" fillId="17" borderId="32" xfId="0" applyFill="1" applyBorder="1" applyAlignment="1">
      <alignment horizontal="center"/>
    </xf>
    <xf numFmtId="0" fontId="0" fillId="4" borderId="32" xfId="0" applyFill="1" applyBorder="1" applyAlignment="1">
      <alignment horizontal="center" vertical="center"/>
    </xf>
    <xf numFmtId="0" fontId="20" fillId="10" borderId="0" xfId="0" applyFont="1" applyFill="1" applyAlignment="1" applyProtection="1">
      <alignment horizontal="left" vertical="center"/>
      <protection locked="0"/>
    </xf>
    <xf numFmtId="0" fontId="33" fillId="11" borderId="0" xfId="1" applyFont="1" applyFill="1" applyBorder="1" applyAlignment="1">
      <alignment textRotation="90"/>
    </xf>
    <xf numFmtId="0" fontId="41" fillId="10" borderId="0" xfId="1" applyFont="1" applyFill="1" applyAlignment="1"/>
    <xf numFmtId="169" fontId="38" fillId="7" borderId="28" xfId="1" applyNumberFormat="1" applyFont="1" applyFill="1" applyBorder="1" applyAlignment="1">
      <alignment horizontal="center" vertical="center" textRotation="90" wrapText="1"/>
    </xf>
    <xf numFmtId="169" fontId="38" fillId="7" borderId="0" xfId="1" applyNumberFormat="1" applyFont="1" applyFill="1" applyBorder="1" applyAlignment="1">
      <alignment textRotation="90"/>
    </xf>
    <xf numFmtId="0" fontId="38" fillId="7" borderId="0" xfId="1" applyFont="1" applyFill="1" applyBorder="1" applyAlignment="1">
      <alignment horizontal="center" textRotation="90"/>
    </xf>
    <xf numFmtId="14" fontId="38" fillId="7" borderId="45" xfId="1" applyNumberFormat="1" applyFont="1" applyFill="1" applyBorder="1" applyAlignment="1">
      <alignment horizontal="center" textRotation="90" wrapText="1"/>
    </xf>
    <xf numFmtId="164" fontId="2" fillId="11" borderId="0" xfId="1" applyNumberFormat="1" applyFill="1" applyBorder="1" applyAlignment="1">
      <alignment textRotation="90"/>
    </xf>
    <xf numFmtId="0" fontId="37" fillId="20" borderId="4" xfId="1" applyFont="1" applyFill="1" applyBorder="1" applyAlignment="1">
      <alignment horizontal="center"/>
    </xf>
    <xf numFmtId="0" fontId="2" fillId="10" borderId="0" xfId="1" applyFont="1" applyFill="1" applyBorder="1"/>
    <xf numFmtId="0" fontId="37" fillId="27" borderId="4" xfId="1" applyFont="1" applyFill="1" applyBorder="1" applyAlignment="1">
      <alignment horizontal="center"/>
    </xf>
    <xf numFmtId="0" fontId="37" fillId="16" borderId="39" xfId="1" applyFont="1" applyFill="1" applyBorder="1" applyAlignment="1"/>
    <xf numFmtId="0" fontId="37" fillId="16" borderId="21" xfId="1" applyFont="1" applyFill="1" applyBorder="1" applyAlignment="1"/>
    <xf numFmtId="0" fontId="37" fillId="16" borderId="5" xfId="1" applyFont="1" applyFill="1" applyBorder="1" applyAlignment="1"/>
    <xf numFmtId="0" fontId="2" fillId="17" borderId="47" xfId="1" applyFill="1" applyBorder="1"/>
    <xf numFmtId="0" fontId="2" fillId="27" borderId="47" xfId="1" applyFill="1" applyBorder="1"/>
    <xf numFmtId="0" fontId="2" fillId="20" borderId="47" xfId="1" applyFill="1" applyBorder="1"/>
    <xf numFmtId="0" fontId="2" fillId="16" borderId="47" xfId="1" applyFill="1" applyBorder="1"/>
    <xf numFmtId="0" fontId="37" fillId="16" borderId="64" xfId="1" applyFont="1" applyFill="1" applyBorder="1" applyAlignment="1"/>
    <xf numFmtId="0" fontId="37" fillId="16" borderId="34" xfId="1" applyFont="1" applyFill="1" applyBorder="1" applyAlignment="1"/>
    <xf numFmtId="0" fontId="37" fillId="16" borderId="65" xfId="1" applyFont="1" applyFill="1" applyBorder="1" applyAlignment="1"/>
    <xf numFmtId="0" fontId="37" fillId="16" borderId="61" xfId="1" applyFont="1" applyFill="1" applyBorder="1" applyAlignment="1"/>
    <xf numFmtId="0" fontId="37" fillId="16" borderId="9" xfId="1" applyFont="1" applyFill="1" applyBorder="1" applyAlignment="1"/>
    <xf numFmtId="0" fontId="37" fillId="16" borderId="33" xfId="1" applyFont="1" applyFill="1" applyBorder="1" applyAlignment="1"/>
    <xf numFmtId="0" fontId="37" fillId="16" borderId="0" xfId="1" applyFont="1" applyFill="1" applyBorder="1" applyAlignment="1"/>
    <xf numFmtId="0" fontId="37" fillId="16" borderId="63" xfId="1" applyFont="1" applyFill="1" applyBorder="1" applyAlignment="1"/>
    <xf numFmtId="0" fontId="40" fillId="26" borderId="0" xfId="1" applyFont="1" applyFill="1" applyBorder="1" applyAlignment="1">
      <alignment vertical="center" textRotation="90"/>
    </xf>
    <xf numFmtId="0" fontId="2" fillId="10" borderId="0" xfId="1" applyFill="1" applyBorder="1" applyAlignment="1"/>
    <xf numFmtId="0" fontId="37" fillId="17" borderId="5" xfId="1" applyFont="1" applyFill="1" applyBorder="1" applyAlignment="1">
      <alignment horizontal="center"/>
    </xf>
    <xf numFmtId="0" fontId="37" fillId="20" borderId="5" xfId="1" applyFont="1" applyFill="1" applyBorder="1" applyAlignment="1">
      <alignment horizontal="center"/>
    </xf>
    <xf numFmtId="0" fontId="13" fillId="10" borderId="0" xfId="1" applyFont="1" applyFill="1" applyBorder="1" applyAlignment="1"/>
    <xf numFmtId="0" fontId="2" fillId="10" borderId="0" xfId="1" applyFill="1" applyBorder="1"/>
    <xf numFmtId="164" fontId="3" fillId="12" borderId="5" xfId="1" applyNumberFormat="1" applyFont="1" applyFill="1" applyBorder="1" applyAlignment="1">
      <alignment horizontal="center" vertical="center" textRotation="90" wrapText="1"/>
    </xf>
    <xf numFmtId="0" fontId="2" fillId="11" borderId="0" xfId="1" applyFill="1" applyBorder="1"/>
    <xf numFmtId="167" fontId="34" fillId="7" borderId="4" xfId="1" applyNumberFormat="1" applyFont="1" applyFill="1" applyBorder="1" applyAlignment="1">
      <alignment horizontal="center" vertical="center"/>
    </xf>
    <xf numFmtId="0" fontId="13" fillId="10" borderId="0" xfId="1" applyFont="1" applyFill="1" applyAlignment="1">
      <alignment horizontal="right"/>
    </xf>
    <xf numFmtId="0" fontId="2" fillId="10" borderId="0" xfId="1" applyFill="1" applyBorder="1" applyAlignment="1">
      <alignment horizontal="center"/>
    </xf>
    <xf numFmtId="0" fontId="33" fillId="11" borderId="0" xfId="1" applyFont="1" applyFill="1" applyBorder="1" applyAlignment="1">
      <alignment horizontal="center" textRotation="90"/>
    </xf>
    <xf numFmtId="164" fontId="2" fillId="11" borderId="0" xfId="1" applyNumberFormat="1" applyFill="1" applyBorder="1" applyAlignment="1">
      <alignment horizontal="center" textRotation="90"/>
    </xf>
    <xf numFmtId="0" fontId="27" fillId="11" borderId="0" xfId="1" applyFont="1" applyFill="1" applyBorder="1" applyAlignment="1">
      <alignment horizontal="center"/>
    </xf>
    <xf numFmtId="0" fontId="2" fillId="11" borderId="0" xfId="1" applyFill="1" applyBorder="1" applyAlignment="1">
      <alignment horizontal="center"/>
    </xf>
    <xf numFmtId="0" fontId="0" fillId="16" borderId="0" xfId="0" applyFill="1" applyBorder="1" applyAlignment="1">
      <alignment horizontal="center"/>
    </xf>
    <xf numFmtId="0" fontId="13" fillId="16" borderId="0" xfId="0" applyFont="1" applyFill="1" applyBorder="1" applyAlignment="1">
      <alignment horizontal="center"/>
    </xf>
    <xf numFmtId="164" fontId="0" fillId="2" borderId="32" xfId="0" applyNumberFormat="1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13" fillId="2" borderId="32" xfId="0" applyFont="1" applyFill="1" applyBorder="1" applyAlignment="1">
      <alignment horizontal="center"/>
    </xf>
    <xf numFmtId="0" fontId="0" fillId="15" borderId="32" xfId="0" applyFill="1" applyBorder="1" applyAlignment="1">
      <alignment horizontal="center"/>
    </xf>
    <xf numFmtId="164" fontId="0" fillId="16" borderId="0" xfId="0" applyNumberFormat="1" applyFill="1" applyBorder="1" applyAlignment="1">
      <alignment horizontal="center"/>
    </xf>
    <xf numFmtId="0" fontId="0" fillId="16" borderId="0" xfId="0" applyFill="1" applyBorder="1" applyAlignment="1">
      <alignment horizontal="center" vertical="center"/>
    </xf>
    <xf numFmtId="0" fontId="1" fillId="17" borderId="4" xfId="0" applyFont="1" applyFill="1" applyBorder="1" applyAlignment="1">
      <alignment horizontal="center"/>
    </xf>
    <xf numFmtId="0" fontId="0" fillId="16" borderId="4" xfId="0" applyFill="1" applyBorder="1" applyAlignment="1">
      <alignment horizontal="center"/>
    </xf>
    <xf numFmtId="0" fontId="42" fillId="19" borderId="70" xfId="0" applyFont="1" applyFill="1" applyBorder="1" applyAlignment="1">
      <alignment horizontal="left"/>
    </xf>
    <xf numFmtId="0" fontId="42" fillId="19" borderId="72" xfId="0" applyFont="1" applyFill="1" applyBorder="1" applyAlignment="1">
      <alignment horizontal="left"/>
    </xf>
    <xf numFmtId="0" fontId="42" fillId="21" borderId="70" xfId="0" applyFont="1" applyFill="1" applyBorder="1" applyAlignment="1">
      <alignment horizontal="left"/>
    </xf>
    <xf numFmtId="0" fontId="42" fillId="21" borderId="72" xfId="0" applyFont="1" applyFill="1" applyBorder="1" applyAlignment="1">
      <alignment horizontal="left"/>
    </xf>
    <xf numFmtId="0" fontId="42" fillId="21" borderId="79" xfId="0" applyFont="1" applyFill="1" applyBorder="1" applyAlignment="1">
      <alignment horizontal="left"/>
    </xf>
    <xf numFmtId="0" fontId="42" fillId="22" borderId="76" xfId="0" applyFont="1" applyFill="1" applyBorder="1" applyAlignment="1">
      <alignment horizontal="left"/>
    </xf>
    <xf numFmtId="0" fontId="42" fillId="22" borderId="72" xfId="0" applyFont="1" applyFill="1" applyBorder="1" applyAlignment="1">
      <alignment horizontal="left"/>
    </xf>
    <xf numFmtId="0" fontId="42" fillId="22" borderId="77" xfId="0" applyFont="1" applyFill="1" applyBorder="1" applyAlignment="1">
      <alignment horizontal="left"/>
    </xf>
    <xf numFmtId="0" fontId="42" fillId="29" borderId="76" xfId="0" applyFont="1" applyFill="1" applyBorder="1" applyAlignment="1">
      <alignment horizontal="left"/>
    </xf>
    <xf numFmtId="0" fontId="42" fillId="29" borderId="72" xfId="0" applyFont="1" applyFill="1" applyBorder="1" applyAlignment="1">
      <alignment horizontal="left"/>
    </xf>
    <xf numFmtId="0" fontId="42" fillId="29" borderId="79" xfId="0" applyFont="1" applyFill="1" applyBorder="1" applyAlignment="1">
      <alignment horizontal="left"/>
    </xf>
    <xf numFmtId="0" fontId="43" fillId="0" borderId="0" xfId="0" applyFont="1" applyAlignment="1">
      <alignment vertical="center" textRotation="90"/>
    </xf>
    <xf numFmtId="0" fontId="42" fillId="0" borderId="0" xfId="0" applyFont="1" applyAlignment="1">
      <alignment horizontal="left"/>
    </xf>
    <xf numFmtId="0" fontId="43" fillId="0" borderId="0" xfId="0" applyFont="1"/>
    <xf numFmtId="164" fontId="13" fillId="0" borderId="68" xfId="0" applyNumberFormat="1" applyFont="1" applyBorder="1" applyAlignment="1">
      <alignment horizontal="center" vertical="center"/>
    </xf>
    <xf numFmtId="0" fontId="13" fillId="0" borderId="0" xfId="0" applyFont="1"/>
    <xf numFmtId="0" fontId="13" fillId="19" borderId="71" xfId="0" applyFont="1" applyFill="1" applyBorder="1" applyAlignment="1">
      <alignment horizontal="center"/>
    </xf>
    <xf numFmtId="0" fontId="13" fillId="19" borderId="73" xfId="0" applyFont="1" applyFill="1" applyBorder="1" applyAlignment="1">
      <alignment horizontal="center"/>
    </xf>
    <xf numFmtId="0" fontId="13" fillId="19" borderId="75" xfId="0" applyFont="1" applyFill="1" applyBorder="1" applyAlignment="1">
      <alignment horizontal="center"/>
    </xf>
    <xf numFmtId="0" fontId="13" fillId="21" borderId="71" xfId="0" applyFont="1" applyFill="1" applyBorder="1" applyAlignment="1">
      <alignment horizontal="center"/>
    </xf>
    <xf numFmtId="0" fontId="13" fillId="21" borderId="73" xfId="0" applyFont="1" applyFill="1" applyBorder="1" applyAlignment="1">
      <alignment horizontal="center"/>
    </xf>
    <xf numFmtId="0" fontId="13" fillId="21" borderId="78" xfId="0" applyFont="1" applyFill="1" applyBorder="1" applyAlignment="1">
      <alignment horizontal="center"/>
    </xf>
    <xf numFmtId="0" fontId="13" fillId="21" borderId="80" xfId="0" applyFont="1" applyFill="1" applyBorder="1" applyAlignment="1">
      <alignment horizontal="center"/>
    </xf>
    <xf numFmtId="0" fontId="13" fillId="28" borderId="81" xfId="0" applyFont="1" applyFill="1" applyBorder="1" applyAlignment="1">
      <alignment horizontal="center"/>
    </xf>
    <xf numFmtId="0" fontId="13" fillId="28" borderId="73" xfId="0" applyFont="1" applyFill="1" applyBorder="1" applyAlignment="1">
      <alignment horizontal="center"/>
    </xf>
    <xf numFmtId="0" fontId="13" fillId="28" borderId="80" xfId="0" applyFont="1" applyFill="1" applyBorder="1" applyAlignment="1">
      <alignment horizontal="center"/>
    </xf>
    <xf numFmtId="0" fontId="13" fillId="29" borderId="71" xfId="0" applyFont="1" applyFill="1" applyBorder="1" applyAlignment="1">
      <alignment horizontal="center"/>
    </xf>
    <xf numFmtId="0" fontId="13" fillId="29" borderId="73" xfId="0" applyFont="1" applyFill="1" applyBorder="1" applyAlignment="1">
      <alignment horizontal="center"/>
    </xf>
    <xf numFmtId="0" fontId="13" fillId="29" borderId="80" xfId="0" applyFont="1" applyFill="1" applyBorder="1" applyAlignment="1">
      <alignment horizontal="center"/>
    </xf>
    <xf numFmtId="0" fontId="0" fillId="16" borderId="0" xfId="0" applyFill="1" applyBorder="1" applyAlignment="1">
      <alignment horizontal="center"/>
    </xf>
    <xf numFmtId="0" fontId="13" fillId="0" borderId="0" xfId="0" applyFont="1" applyAlignment="1">
      <alignment horizontal="center" wrapText="1"/>
    </xf>
    <xf numFmtId="0" fontId="0" fillId="16" borderId="0" xfId="0" applyFill="1" applyBorder="1" applyAlignment="1"/>
    <xf numFmtId="164" fontId="13" fillId="16" borderId="0" xfId="0" applyNumberFormat="1" applyFont="1" applyFill="1" applyBorder="1" applyAlignment="1">
      <alignment horizontal="center"/>
    </xf>
    <xf numFmtId="0" fontId="13" fillId="16" borderId="65" xfId="0" applyFont="1" applyFill="1" applyBorder="1" applyAlignment="1">
      <alignment horizontal="center"/>
    </xf>
    <xf numFmtId="0" fontId="13" fillId="16" borderId="0" xfId="0" applyFont="1" applyFill="1" applyBorder="1" applyAlignment="1">
      <alignment horizontal="center" vertical="center"/>
    </xf>
    <xf numFmtId="0" fontId="36" fillId="15" borderId="39" xfId="0" applyFont="1" applyFill="1" applyBorder="1" applyAlignment="1">
      <alignment horizontal="center" vertical="center" textRotation="90"/>
    </xf>
    <xf numFmtId="0" fontId="36" fillId="15" borderId="21" xfId="0" applyFont="1" applyFill="1" applyBorder="1" applyAlignment="1">
      <alignment horizontal="center" vertical="center" textRotation="90"/>
    </xf>
    <xf numFmtId="0" fontId="36" fillId="15" borderId="5" xfId="0" applyFont="1" applyFill="1" applyBorder="1" applyAlignment="1">
      <alignment horizontal="center" vertical="center" textRotation="90"/>
    </xf>
    <xf numFmtId="0" fontId="3" fillId="1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3" fillId="7" borderId="0" xfId="0" applyFont="1" applyFill="1" applyAlignment="1">
      <alignment horizontal="center" vertical="center"/>
    </xf>
    <xf numFmtId="0" fontId="3" fillId="7" borderId="19" xfId="0" applyFont="1" applyFill="1" applyBorder="1" applyAlignment="1">
      <alignment horizontal="center" vertical="center"/>
    </xf>
    <xf numFmtId="14" fontId="32" fillId="10" borderId="0" xfId="0" applyNumberFormat="1" applyFont="1" applyFill="1" applyAlignment="1" applyProtection="1">
      <alignment horizontal="center" vertical="center"/>
      <protection locked="0"/>
    </xf>
    <xf numFmtId="1" fontId="6" fillId="10" borderId="45" xfId="0" applyNumberFormat="1" applyFont="1" applyFill="1" applyBorder="1" applyAlignment="1">
      <alignment horizontal="center" vertical="center" textRotation="90"/>
    </xf>
    <xf numFmtId="1" fontId="6" fillId="10" borderId="28" xfId="0" applyNumberFormat="1" applyFont="1" applyFill="1" applyBorder="1" applyAlignment="1">
      <alignment horizontal="center" vertical="center" textRotation="90"/>
    </xf>
    <xf numFmtId="0" fontId="7" fillId="7" borderId="45" xfId="0" applyFont="1" applyFill="1" applyBorder="1" applyAlignment="1">
      <alignment horizontal="center" vertical="center" textRotation="90"/>
    </xf>
    <xf numFmtId="0" fontId="7" fillId="7" borderId="28" xfId="0" applyFont="1" applyFill="1" applyBorder="1" applyAlignment="1">
      <alignment horizontal="center" vertical="center" textRotation="90"/>
    </xf>
    <xf numFmtId="0" fontId="7" fillId="7" borderId="3" xfId="0" applyFont="1" applyFill="1" applyBorder="1" applyAlignment="1">
      <alignment horizontal="center" vertical="center" textRotation="90"/>
    </xf>
    <xf numFmtId="0" fontId="7" fillId="7" borderId="45" xfId="0" applyFont="1" applyFill="1" applyBorder="1" applyAlignment="1">
      <alignment horizontal="center" vertical="center" textRotation="90" shrinkToFit="1"/>
    </xf>
    <xf numFmtId="0" fontId="7" fillId="7" borderId="28" xfId="0" applyFont="1" applyFill="1" applyBorder="1" applyAlignment="1">
      <alignment horizontal="center" vertical="center" textRotation="90" shrinkToFit="1"/>
    </xf>
    <xf numFmtId="0" fontId="7" fillId="7" borderId="3" xfId="0" applyFont="1" applyFill="1" applyBorder="1" applyAlignment="1">
      <alignment horizontal="center" vertical="center" textRotation="90" shrinkToFit="1"/>
    </xf>
    <xf numFmtId="16" fontId="36" fillId="15" borderId="39" xfId="0" applyNumberFormat="1" applyFont="1" applyFill="1" applyBorder="1" applyAlignment="1">
      <alignment horizontal="center" vertical="center" textRotation="90"/>
    </xf>
    <xf numFmtId="0" fontId="43" fillId="0" borderId="66" xfId="0" applyFont="1" applyBorder="1" applyAlignment="1">
      <alignment horizontal="center" vertical="center"/>
    </xf>
    <xf numFmtId="0" fontId="43" fillId="0" borderId="67" xfId="0" applyFont="1" applyBorder="1" applyAlignment="1">
      <alignment horizontal="center" vertical="center"/>
    </xf>
    <xf numFmtId="0" fontId="43" fillId="19" borderId="69" xfId="0" applyFont="1" applyFill="1" applyBorder="1" applyAlignment="1">
      <alignment horizontal="center" vertical="center" textRotation="90" wrapText="1"/>
    </xf>
    <xf numFmtId="0" fontId="43" fillId="19" borderId="74" xfId="0" applyFont="1" applyFill="1" applyBorder="1" applyAlignment="1">
      <alignment horizontal="center" vertical="center" textRotation="90" wrapText="1"/>
    </xf>
    <xf numFmtId="0" fontId="43" fillId="21" borderId="76" xfId="0" applyFont="1" applyFill="1" applyBorder="1" applyAlignment="1">
      <alignment horizontal="center" vertical="center" textRotation="90"/>
    </xf>
    <xf numFmtId="0" fontId="43" fillId="21" borderId="72" xfId="0" applyFont="1" applyFill="1" applyBorder="1" applyAlignment="1">
      <alignment horizontal="center" vertical="center" textRotation="90"/>
    </xf>
    <xf numFmtId="0" fontId="43" fillId="21" borderId="77" xfId="0" applyFont="1" applyFill="1" applyBorder="1" applyAlignment="1">
      <alignment horizontal="center" vertical="center" textRotation="90"/>
    </xf>
    <xf numFmtId="0" fontId="43" fillId="21" borderId="79" xfId="0" applyFont="1" applyFill="1" applyBorder="1" applyAlignment="1">
      <alignment horizontal="center" vertical="center" textRotation="90"/>
    </xf>
    <xf numFmtId="0" fontId="43" fillId="22" borderId="76" xfId="0" applyFont="1" applyFill="1" applyBorder="1" applyAlignment="1">
      <alignment horizontal="center" vertical="center" textRotation="90"/>
    </xf>
    <xf numFmtId="0" fontId="43" fillId="22" borderId="72" xfId="0" applyFont="1" applyFill="1" applyBorder="1" applyAlignment="1">
      <alignment horizontal="center" vertical="center" textRotation="90"/>
    </xf>
    <xf numFmtId="0" fontId="43" fillId="22" borderId="77" xfId="0" applyFont="1" applyFill="1" applyBorder="1" applyAlignment="1">
      <alignment horizontal="center" vertical="center" textRotation="90"/>
    </xf>
    <xf numFmtId="0" fontId="43" fillId="29" borderId="82" xfId="0" applyFont="1" applyFill="1" applyBorder="1" applyAlignment="1">
      <alignment horizontal="center" vertical="center" textRotation="90" wrapText="1"/>
    </xf>
    <xf numFmtId="0" fontId="43" fillId="29" borderId="69" xfId="0" applyFont="1" applyFill="1" applyBorder="1" applyAlignment="1">
      <alignment horizontal="center" vertical="center" textRotation="90" wrapText="1"/>
    </xf>
    <xf numFmtId="0" fontId="43" fillId="29" borderId="74" xfId="0" applyFont="1" applyFill="1" applyBorder="1" applyAlignment="1">
      <alignment horizontal="center" vertical="center" textRotation="90" wrapText="1"/>
    </xf>
    <xf numFmtId="0" fontId="20" fillId="11" borderId="0" xfId="0" applyFont="1" applyFill="1" applyAlignment="1" applyProtection="1">
      <alignment horizontal="left" vertical="center"/>
      <protection locked="0"/>
    </xf>
    <xf numFmtId="164" fontId="12" fillId="3" borderId="12" xfId="0" applyNumberFormat="1" applyFont="1" applyFill="1" applyBorder="1" applyAlignment="1">
      <alignment horizontal="center" vertical="center"/>
    </xf>
    <xf numFmtId="164" fontId="12" fillId="3" borderId="32" xfId="0" applyNumberFormat="1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left" vertical="center"/>
    </xf>
    <xf numFmtId="0" fontId="12" fillId="3" borderId="12" xfId="0" applyFont="1" applyFill="1" applyBorder="1" applyAlignment="1">
      <alignment horizontal="left" vertical="center" wrapText="1"/>
    </xf>
    <xf numFmtId="0" fontId="12" fillId="3" borderId="31" xfId="0" applyFont="1" applyFill="1" applyBorder="1" applyAlignment="1">
      <alignment horizontal="left" vertical="center" wrapText="1"/>
    </xf>
    <xf numFmtId="0" fontId="12" fillId="3" borderId="32" xfId="0" applyFont="1" applyFill="1" applyBorder="1" applyAlignment="1">
      <alignment horizontal="left" vertical="center" wrapText="1"/>
    </xf>
    <xf numFmtId="0" fontId="12" fillId="3" borderId="4" xfId="0" applyFont="1" applyFill="1" applyBorder="1" applyAlignment="1">
      <alignment horizontal="left" vertical="center" wrapText="1"/>
    </xf>
    <xf numFmtId="0" fontId="13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44" fillId="3" borderId="12" xfId="0" applyFont="1" applyFill="1" applyBorder="1" applyAlignment="1">
      <alignment horizontal="left" vertical="center"/>
    </xf>
    <xf numFmtId="0" fontId="44" fillId="3" borderId="31" xfId="0" applyFont="1" applyFill="1" applyBorder="1" applyAlignment="1">
      <alignment horizontal="left" vertical="center"/>
    </xf>
    <xf numFmtId="0" fontId="44" fillId="3" borderId="32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left" vertical="center"/>
    </xf>
    <xf numFmtId="0" fontId="11" fillId="3" borderId="12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4" fillId="3" borderId="4" xfId="0" applyFont="1" applyFill="1" applyBorder="1" applyAlignment="1">
      <alignment horizontal="left" vertical="center"/>
    </xf>
    <xf numFmtId="0" fontId="14" fillId="3" borderId="12" xfId="0" applyFont="1" applyFill="1" applyBorder="1" applyAlignment="1">
      <alignment horizontal="left" vertical="center"/>
    </xf>
    <xf numFmtId="0" fontId="14" fillId="3" borderId="31" xfId="0" applyFont="1" applyFill="1" applyBorder="1" applyAlignment="1">
      <alignment horizontal="left" vertical="center"/>
    </xf>
    <xf numFmtId="0" fontId="14" fillId="3" borderId="32" xfId="0" applyFont="1" applyFill="1" applyBorder="1" applyAlignment="1">
      <alignment horizontal="left" vertical="center"/>
    </xf>
    <xf numFmtId="0" fontId="11" fillId="3" borderId="12" xfId="0" applyFont="1" applyFill="1" applyBorder="1" applyAlignment="1">
      <alignment horizontal="center" vertical="center"/>
    </xf>
    <xf numFmtId="0" fontId="11" fillId="3" borderId="32" xfId="0" applyFont="1" applyFill="1" applyBorder="1" applyAlignment="1">
      <alignment horizontal="center" vertical="center"/>
    </xf>
    <xf numFmtId="164" fontId="11" fillId="3" borderId="4" xfId="0" applyNumberFormat="1" applyFont="1" applyFill="1" applyBorder="1" applyAlignment="1">
      <alignment horizontal="center" vertical="center"/>
    </xf>
    <xf numFmtId="164" fontId="11" fillId="3" borderId="12" xfId="0" applyNumberFormat="1" applyFont="1" applyFill="1" applyBorder="1" applyAlignment="1">
      <alignment horizontal="center" vertical="center"/>
    </xf>
    <xf numFmtId="164" fontId="11" fillId="3" borderId="32" xfId="0" applyNumberFormat="1" applyFont="1" applyFill="1" applyBorder="1" applyAlignment="1">
      <alignment horizontal="center" vertical="center"/>
    </xf>
    <xf numFmtId="0" fontId="29" fillId="13" borderId="4" xfId="0" applyFont="1" applyFill="1" applyBorder="1" applyAlignment="1">
      <alignment horizontal="center" vertical="center"/>
    </xf>
    <xf numFmtId="164" fontId="29" fillId="13" borderId="4" xfId="0" applyNumberFormat="1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left" vertical="center"/>
    </xf>
    <xf numFmtId="0" fontId="13" fillId="13" borderId="4" xfId="0" applyFont="1" applyFill="1" applyBorder="1" applyAlignment="1">
      <alignment horizontal="center" vertical="center"/>
    </xf>
    <xf numFmtId="14" fontId="12" fillId="3" borderId="4" xfId="0" applyNumberFormat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32" xfId="0" applyFont="1" applyFill="1" applyBorder="1" applyAlignment="1">
      <alignment horizontal="center" vertical="center"/>
    </xf>
    <xf numFmtId="0" fontId="13" fillId="13" borderId="12" xfId="0" applyFont="1" applyFill="1" applyBorder="1" applyAlignment="1">
      <alignment horizontal="left" vertical="center"/>
    </xf>
    <xf numFmtId="0" fontId="13" fillId="13" borderId="32" xfId="0" applyFont="1" applyFill="1" applyBorder="1" applyAlignment="1">
      <alignment horizontal="left" vertical="center"/>
    </xf>
    <xf numFmtId="14" fontId="39" fillId="12" borderId="4" xfId="1" applyNumberFormat="1" applyFont="1" applyFill="1" applyBorder="1" applyAlignment="1">
      <alignment horizontal="center" textRotation="90" wrapText="1"/>
    </xf>
    <xf numFmtId="14" fontId="39" fillId="12" borderId="39" xfId="1" applyNumberFormat="1" applyFont="1" applyFill="1" applyBorder="1" applyAlignment="1">
      <alignment horizontal="center" textRotation="90" wrapText="1"/>
    </xf>
    <xf numFmtId="0" fontId="2" fillId="10" borderId="0" xfId="1" applyFill="1" applyAlignment="1">
      <alignment horizontal="center"/>
    </xf>
    <xf numFmtId="1" fontId="28" fillId="7" borderId="18" xfId="1" applyNumberFormat="1" applyFont="1" applyFill="1" applyBorder="1" applyAlignment="1">
      <alignment horizontal="center" vertical="center" wrapText="1"/>
    </xf>
    <xf numFmtId="1" fontId="28" fillId="7" borderId="19" xfId="1" applyNumberFormat="1" applyFont="1" applyFill="1" applyBorder="1" applyAlignment="1">
      <alignment horizontal="center" vertical="center" wrapText="1"/>
    </xf>
    <xf numFmtId="1" fontId="28" fillId="7" borderId="29" xfId="1" applyNumberFormat="1" applyFont="1" applyFill="1" applyBorder="1" applyAlignment="1">
      <alignment horizontal="center" vertical="center" wrapText="1"/>
    </xf>
    <xf numFmtId="1" fontId="28" fillId="7" borderId="30" xfId="1" applyNumberFormat="1" applyFont="1" applyFill="1" applyBorder="1" applyAlignment="1">
      <alignment horizontal="center" vertical="center" wrapText="1"/>
    </xf>
    <xf numFmtId="1" fontId="28" fillId="7" borderId="45" xfId="1" applyNumberFormat="1" applyFont="1" applyFill="1" applyBorder="1" applyAlignment="1">
      <alignment horizontal="center" vertical="center" wrapText="1"/>
    </xf>
    <xf numFmtId="1" fontId="28" fillId="7" borderId="28" xfId="1" applyNumberFormat="1" applyFont="1" applyFill="1" applyBorder="1" applyAlignment="1">
      <alignment horizontal="center" vertical="center" wrapText="1"/>
    </xf>
    <xf numFmtId="1" fontId="28" fillId="7" borderId="3" xfId="1" applyNumberFormat="1" applyFont="1" applyFill="1" applyBorder="1" applyAlignment="1">
      <alignment horizontal="center" vertical="center" wrapText="1"/>
    </xf>
    <xf numFmtId="0" fontId="38" fillId="26" borderId="13" xfId="1" applyNumberFormat="1" applyFont="1" applyFill="1" applyBorder="1" applyAlignment="1">
      <alignment horizontal="center" vertical="center" textRotation="90"/>
    </xf>
    <xf numFmtId="0" fontId="38" fillId="26" borderId="14" xfId="1" applyNumberFormat="1" applyFont="1" applyFill="1" applyBorder="1" applyAlignment="1">
      <alignment horizontal="center" vertical="center" textRotation="90"/>
    </xf>
    <xf numFmtId="0" fontId="38" fillId="26" borderId="15" xfId="1" applyNumberFormat="1" applyFont="1" applyFill="1" applyBorder="1" applyAlignment="1">
      <alignment horizontal="center" vertical="center" textRotation="90"/>
    </xf>
    <xf numFmtId="0" fontId="38" fillId="26" borderId="18" xfId="1" applyNumberFormat="1" applyFont="1" applyFill="1" applyBorder="1" applyAlignment="1">
      <alignment horizontal="center" vertical="center" textRotation="90"/>
    </xf>
    <xf numFmtId="0" fontId="38" fillId="26" borderId="19" xfId="1" applyNumberFormat="1" applyFont="1" applyFill="1" applyBorder="1" applyAlignment="1">
      <alignment horizontal="center" vertical="center" textRotation="90"/>
    </xf>
    <xf numFmtId="0" fontId="38" fillId="26" borderId="20" xfId="1" applyNumberFormat="1" applyFont="1" applyFill="1" applyBorder="1" applyAlignment="1">
      <alignment horizontal="center" vertical="center" textRotation="90"/>
    </xf>
    <xf numFmtId="167" fontId="24" fillId="7" borderId="52" xfId="1" applyNumberFormat="1" applyFont="1" applyFill="1" applyBorder="1" applyAlignment="1">
      <alignment horizontal="center" vertical="center"/>
    </xf>
    <xf numFmtId="167" fontId="24" fillId="7" borderId="49" xfId="1" applyNumberFormat="1" applyFont="1" applyFill="1" applyBorder="1" applyAlignment="1">
      <alignment horizontal="center" vertical="center"/>
    </xf>
    <xf numFmtId="167" fontId="24" fillId="7" borderId="54" xfId="1" applyNumberFormat="1" applyFont="1" applyFill="1" applyBorder="1" applyAlignment="1">
      <alignment horizontal="center" vertical="center"/>
    </xf>
    <xf numFmtId="167" fontId="24" fillId="7" borderId="51" xfId="1" applyNumberFormat="1" applyFont="1" applyFill="1" applyBorder="1" applyAlignment="1">
      <alignment horizontal="center" vertical="center"/>
    </xf>
    <xf numFmtId="1" fontId="28" fillId="7" borderId="53" xfId="1" applyNumberFormat="1" applyFont="1" applyFill="1" applyBorder="1" applyAlignment="1">
      <alignment horizontal="center" vertical="center" wrapText="1"/>
    </xf>
    <xf numFmtId="1" fontId="28" fillId="7" borderId="51" xfId="1" applyNumberFormat="1" applyFont="1" applyFill="1" applyBorder="1" applyAlignment="1">
      <alignment horizontal="center" vertical="center" wrapText="1"/>
    </xf>
    <xf numFmtId="167" fontId="24" fillId="7" borderId="53" xfId="1" applyNumberFormat="1" applyFont="1" applyFill="1" applyBorder="1" applyAlignment="1">
      <alignment horizontal="center" vertical="center"/>
    </xf>
    <xf numFmtId="1" fontId="28" fillId="7" borderId="46" xfId="1" applyNumberFormat="1" applyFont="1" applyFill="1" applyBorder="1" applyAlignment="1">
      <alignment horizontal="center" vertical="center" wrapText="1"/>
    </xf>
    <xf numFmtId="1" fontId="28" fillId="7" borderId="55" xfId="1" applyNumberFormat="1" applyFont="1" applyFill="1" applyBorder="1" applyAlignment="1">
      <alignment horizontal="center" vertical="center" wrapText="1"/>
    </xf>
    <xf numFmtId="167" fontId="24" fillId="13" borderId="49" xfId="1" applyNumberFormat="1" applyFont="1" applyFill="1" applyBorder="1" applyAlignment="1">
      <alignment horizontal="center" vertical="center"/>
    </xf>
    <xf numFmtId="1" fontId="28" fillId="13" borderId="28" xfId="1" applyNumberFormat="1" applyFont="1" applyFill="1" applyBorder="1" applyAlignment="1">
      <alignment horizontal="center" vertical="center" wrapText="1"/>
    </xf>
    <xf numFmtId="1" fontId="28" fillId="13" borderId="51" xfId="1" applyNumberFormat="1" applyFont="1" applyFill="1" applyBorder="1" applyAlignment="1">
      <alignment horizontal="center" vertical="center" wrapText="1"/>
    </xf>
    <xf numFmtId="0" fontId="0" fillId="16" borderId="0" xfId="0" applyFill="1" applyBorder="1" applyAlignment="1">
      <alignment horizontal="center"/>
    </xf>
    <xf numFmtId="0" fontId="13" fillId="4" borderId="12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 vertical="center"/>
    </xf>
    <xf numFmtId="0" fontId="0" fillId="16" borderId="31" xfId="0" applyFill="1" applyBorder="1" applyAlignment="1">
      <alignment horizontal="center" vertical="center"/>
    </xf>
    <xf numFmtId="0" fontId="0" fillId="16" borderId="32" xfId="0" applyFill="1" applyBorder="1" applyAlignment="1">
      <alignment horizontal="center" vertical="center"/>
    </xf>
    <xf numFmtId="0" fontId="0" fillId="16" borderId="12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168" fontId="0" fillId="4" borderId="32" xfId="0" applyNumberFormat="1" applyFill="1" applyBorder="1" applyAlignment="1">
      <alignment horizontal="center" vertical="center"/>
    </xf>
    <xf numFmtId="168" fontId="0" fillId="4" borderId="4" xfId="0" applyNumberFormat="1" applyFill="1" applyBorder="1" applyAlignment="1">
      <alignment horizontal="center" vertical="center"/>
    </xf>
    <xf numFmtId="164" fontId="6" fillId="4" borderId="0" xfId="0" applyNumberFormat="1" applyFont="1" applyFill="1" applyBorder="1" applyAlignment="1">
      <alignment horizontal="center" vertical="center"/>
    </xf>
    <xf numFmtId="0" fontId="0" fillId="17" borderId="12" xfId="0" applyFill="1" applyBorder="1" applyAlignment="1">
      <alignment horizontal="center"/>
    </xf>
    <xf numFmtId="0" fontId="0" fillId="17" borderId="32" xfId="0" applyFill="1" applyBorder="1" applyAlignment="1">
      <alignment horizontal="center"/>
    </xf>
    <xf numFmtId="168" fontId="0" fillId="4" borderId="0" xfId="0" applyNumberForma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0" fontId="0" fillId="0" borderId="32" xfId="0" applyBorder="1"/>
    <xf numFmtId="0" fontId="1" fillId="5" borderId="4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17" fillId="0" borderId="13" xfId="0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52" xfId="0" applyFont="1" applyFill="1" applyBorder="1" applyAlignment="1">
      <alignment horizontal="center" vertical="center"/>
    </xf>
    <xf numFmtId="0" fontId="4" fillId="3" borderId="54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46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4" fillId="3" borderId="55" xfId="0" applyFont="1" applyFill="1" applyBorder="1" applyAlignment="1">
      <alignment horizontal="center" vertical="center"/>
    </xf>
  </cellXfs>
  <cellStyles count="5">
    <cellStyle name="Normal" xfId="0" builtinId="0"/>
    <cellStyle name="Normal 2" xfId="3"/>
    <cellStyle name="Normal 3" xfId="4"/>
    <cellStyle name="Normal_20 Aralık salı" xfId="1"/>
    <cellStyle name="Normal_doorsreport" xfId="2"/>
  </cellStyles>
  <dxfs count="0"/>
  <tableStyles count="0" defaultTableStyle="TableStyleMedium9" defaultPivotStyle="PivotStyleLight16"/>
  <colors>
    <mruColors>
      <color rgb="FF00CCFF"/>
      <color rgb="FFCCFFCC"/>
      <color rgb="FFFFFF99"/>
      <color rgb="FF33CCCC"/>
      <color rgb="FFCCECFF"/>
      <color rgb="FFFF660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ANASAYFA!A1"/><Relationship Id="rId13" Type="http://schemas.openxmlformats.org/officeDocument/2006/relationships/hyperlink" Target="#ANASAYFA!A1"/><Relationship Id="rId3" Type="http://schemas.openxmlformats.org/officeDocument/2006/relationships/hyperlink" Target="#ANASAYFA!A1"/><Relationship Id="rId7" Type="http://schemas.openxmlformats.org/officeDocument/2006/relationships/hyperlink" Target="#ANASAYFA!A1"/><Relationship Id="rId12" Type="http://schemas.openxmlformats.org/officeDocument/2006/relationships/hyperlink" Target="#ANASAYFA!A1"/><Relationship Id="rId2" Type="http://schemas.openxmlformats.org/officeDocument/2006/relationships/image" Target="../media/image1.gif"/><Relationship Id="rId1" Type="http://schemas.openxmlformats.org/officeDocument/2006/relationships/hyperlink" Target="#ANASAYFA!A1"/><Relationship Id="rId6" Type="http://schemas.openxmlformats.org/officeDocument/2006/relationships/hyperlink" Target="#ANASAYFA!A1"/><Relationship Id="rId11" Type="http://schemas.openxmlformats.org/officeDocument/2006/relationships/hyperlink" Target="#ANASAYFA!A1"/><Relationship Id="rId5" Type="http://schemas.openxmlformats.org/officeDocument/2006/relationships/hyperlink" Target="#ANASAYFA!A1"/><Relationship Id="rId10" Type="http://schemas.openxmlformats.org/officeDocument/2006/relationships/hyperlink" Target="#ANASAYFA!A1"/><Relationship Id="rId4" Type="http://schemas.openxmlformats.org/officeDocument/2006/relationships/hyperlink" Target="#ANASAYFA!A1"/><Relationship Id="rId9" Type="http://schemas.openxmlformats.org/officeDocument/2006/relationships/hyperlink" Target="#ANASAYFA!A1"/><Relationship Id="rId14" Type="http://schemas.openxmlformats.org/officeDocument/2006/relationships/hyperlink" Target="#ANASAYFA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ANASAYFA!A1"/><Relationship Id="rId2" Type="http://schemas.openxmlformats.org/officeDocument/2006/relationships/image" Target="../media/image1.gif"/><Relationship Id="rId1" Type="http://schemas.openxmlformats.org/officeDocument/2006/relationships/hyperlink" Target="#ANASAYFA!A1"/><Relationship Id="rId4" Type="http://schemas.openxmlformats.org/officeDocument/2006/relationships/hyperlink" Target="#ANASAYFA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9525</xdr:rowOff>
    </xdr:from>
    <xdr:to>
      <xdr:col>10</xdr:col>
      <xdr:colOff>228600</xdr:colOff>
      <xdr:row>0</xdr:row>
      <xdr:rowOff>371475</xdr:rowOff>
    </xdr:to>
    <xdr:pic>
      <xdr:nvPicPr>
        <xdr:cNvPr id="142681" name="Picture 213" descr="j0213539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05875" y="9525"/>
          <a:ext cx="542925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20</xdr:col>
      <xdr:colOff>38100</xdr:colOff>
      <xdr:row>0</xdr:row>
      <xdr:rowOff>38100</xdr:rowOff>
    </xdr:from>
    <xdr:to>
      <xdr:col>20</xdr:col>
      <xdr:colOff>571500</xdr:colOff>
      <xdr:row>0</xdr:row>
      <xdr:rowOff>400050</xdr:rowOff>
    </xdr:to>
    <xdr:pic>
      <xdr:nvPicPr>
        <xdr:cNvPr id="142682" name="Picture 215" descr="j0213539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06800" y="38100"/>
          <a:ext cx="5334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38100</xdr:colOff>
      <xdr:row>0</xdr:row>
      <xdr:rowOff>38100</xdr:rowOff>
    </xdr:from>
    <xdr:to>
      <xdr:col>28</xdr:col>
      <xdr:colOff>571500</xdr:colOff>
      <xdr:row>0</xdr:row>
      <xdr:rowOff>400050</xdr:rowOff>
    </xdr:to>
    <xdr:pic>
      <xdr:nvPicPr>
        <xdr:cNvPr id="142683" name="Picture 217" descr="j0213539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45600" y="38100"/>
          <a:ext cx="5334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36</xdr:col>
      <xdr:colOff>38100</xdr:colOff>
      <xdr:row>0</xdr:row>
      <xdr:rowOff>38100</xdr:rowOff>
    </xdr:from>
    <xdr:to>
      <xdr:col>36</xdr:col>
      <xdr:colOff>571500</xdr:colOff>
      <xdr:row>0</xdr:row>
      <xdr:rowOff>400050</xdr:rowOff>
    </xdr:to>
    <xdr:pic>
      <xdr:nvPicPr>
        <xdr:cNvPr id="142684" name="Picture 219" descr="j0213539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584400" y="38100"/>
          <a:ext cx="5334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35</xdr:col>
      <xdr:colOff>133350</xdr:colOff>
      <xdr:row>0</xdr:row>
      <xdr:rowOff>104775</xdr:rowOff>
    </xdr:from>
    <xdr:to>
      <xdr:col>35</xdr:col>
      <xdr:colOff>628650</xdr:colOff>
      <xdr:row>0</xdr:row>
      <xdr:rowOff>314325</xdr:rowOff>
    </xdr:to>
    <xdr:sp macro="" textlink="">
      <xdr:nvSpPr>
        <xdr:cNvPr id="142685" name="AutoShape 220"/>
        <xdr:cNvSpPr>
          <a:spLocks noChangeArrowheads="1"/>
        </xdr:cNvSpPr>
      </xdr:nvSpPr>
      <xdr:spPr bwMode="auto">
        <a:xfrm>
          <a:off x="26974800" y="104775"/>
          <a:ext cx="495300" cy="209550"/>
        </a:xfrm>
        <a:prstGeom prst="rightArrow">
          <a:avLst>
            <a:gd name="adj1" fmla="val 50000"/>
            <a:gd name="adj2" fmla="val 59091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43</xdr:col>
      <xdr:colOff>38100</xdr:colOff>
      <xdr:row>0</xdr:row>
      <xdr:rowOff>38100</xdr:rowOff>
    </xdr:from>
    <xdr:to>
      <xdr:col>43</xdr:col>
      <xdr:colOff>571500</xdr:colOff>
      <xdr:row>0</xdr:row>
      <xdr:rowOff>400050</xdr:rowOff>
    </xdr:to>
    <xdr:pic>
      <xdr:nvPicPr>
        <xdr:cNvPr id="142686" name="Picture 222" descr="j0213539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2518350" y="38100"/>
          <a:ext cx="5334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42</xdr:col>
      <xdr:colOff>133350</xdr:colOff>
      <xdr:row>0</xdr:row>
      <xdr:rowOff>104775</xdr:rowOff>
    </xdr:from>
    <xdr:to>
      <xdr:col>42</xdr:col>
      <xdr:colOff>628650</xdr:colOff>
      <xdr:row>0</xdr:row>
      <xdr:rowOff>314325</xdr:rowOff>
    </xdr:to>
    <xdr:sp macro="" textlink="">
      <xdr:nvSpPr>
        <xdr:cNvPr id="142687" name="AutoShape 223"/>
        <xdr:cNvSpPr>
          <a:spLocks noChangeArrowheads="1"/>
        </xdr:cNvSpPr>
      </xdr:nvSpPr>
      <xdr:spPr bwMode="auto">
        <a:xfrm>
          <a:off x="31908750" y="104775"/>
          <a:ext cx="495300" cy="209550"/>
        </a:xfrm>
        <a:prstGeom prst="rightArrow">
          <a:avLst>
            <a:gd name="adj1" fmla="val 50000"/>
            <a:gd name="adj2" fmla="val 59091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50</xdr:col>
      <xdr:colOff>38100</xdr:colOff>
      <xdr:row>0</xdr:row>
      <xdr:rowOff>38100</xdr:rowOff>
    </xdr:from>
    <xdr:to>
      <xdr:col>50</xdr:col>
      <xdr:colOff>571500</xdr:colOff>
      <xdr:row>0</xdr:row>
      <xdr:rowOff>400050</xdr:rowOff>
    </xdr:to>
    <xdr:pic>
      <xdr:nvPicPr>
        <xdr:cNvPr id="142688" name="Picture 224" descr="j0213539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7452300" y="38100"/>
          <a:ext cx="5334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49</xdr:col>
      <xdr:colOff>133350</xdr:colOff>
      <xdr:row>0</xdr:row>
      <xdr:rowOff>104775</xdr:rowOff>
    </xdr:from>
    <xdr:to>
      <xdr:col>49</xdr:col>
      <xdr:colOff>628650</xdr:colOff>
      <xdr:row>0</xdr:row>
      <xdr:rowOff>314325</xdr:rowOff>
    </xdr:to>
    <xdr:sp macro="" textlink="">
      <xdr:nvSpPr>
        <xdr:cNvPr id="142689" name="AutoShape 225"/>
        <xdr:cNvSpPr>
          <a:spLocks noChangeArrowheads="1"/>
        </xdr:cNvSpPr>
      </xdr:nvSpPr>
      <xdr:spPr bwMode="auto">
        <a:xfrm>
          <a:off x="36842700" y="104775"/>
          <a:ext cx="495300" cy="209550"/>
        </a:xfrm>
        <a:prstGeom prst="rightArrow">
          <a:avLst>
            <a:gd name="adj1" fmla="val 50000"/>
            <a:gd name="adj2" fmla="val 59091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57</xdr:col>
      <xdr:colOff>38100</xdr:colOff>
      <xdr:row>0</xdr:row>
      <xdr:rowOff>38100</xdr:rowOff>
    </xdr:from>
    <xdr:to>
      <xdr:col>57</xdr:col>
      <xdr:colOff>571500</xdr:colOff>
      <xdr:row>0</xdr:row>
      <xdr:rowOff>400050</xdr:rowOff>
    </xdr:to>
    <xdr:pic>
      <xdr:nvPicPr>
        <xdr:cNvPr id="142690" name="Picture 226" descr="j0213539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386250" y="38100"/>
          <a:ext cx="5334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56</xdr:col>
      <xdr:colOff>133350</xdr:colOff>
      <xdr:row>0</xdr:row>
      <xdr:rowOff>104775</xdr:rowOff>
    </xdr:from>
    <xdr:to>
      <xdr:col>56</xdr:col>
      <xdr:colOff>628650</xdr:colOff>
      <xdr:row>0</xdr:row>
      <xdr:rowOff>314325</xdr:rowOff>
    </xdr:to>
    <xdr:sp macro="" textlink="">
      <xdr:nvSpPr>
        <xdr:cNvPr id="142691" name="AutoShape 227"/>
        <xdr:cNvSpPr>
          <a:spLocks noChangeArrowheads="1"/>
        </xdr:cNvSpPr>
      </xdr:nvSpPr>
      <xdr:spPr bwMode="auto">
        <a:xfrm>
          <a:off x="41776650" y="104775"/>
          <a:ext cx="495300" cy="209550"/>
        </a:xfrm>
        <a:prstGeom prst="rightArrow">
          <a:avLst>
            <a:gd name="adj1" fmla="val 50000"/>
            <a:gd name="adj2" fmla="val 59091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64</xdr:col>
      <xdr:colOff>38100</xdr:colOff>
      <xdr:row>0</xdr:row>
      <xdr:rowOff>38100</xdr:rowOff>
    </xdr:from>
    <xdr:to>
      <xdr:col>64</xdr:col>
      <xdr:colOff>571500</xdr:colOff>
      <xdr:row>0</xdr:row>
      <xdr:rowOff>400050</xdr:rowOff>
    </xdr:to>
    <xdr:pic>
      <xdr:nvPicPr>
        <xdr:cNvPr id="142692" name="Picture 228" descr="j0213539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7320200" y="38100"/>
          <a:ext cx="5334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63</xdr:col>
      <xdr:colOff>133350</xdr:colOff>
      <xdr:row>0</xdr:row>
      <xdr:rowOff>104775</xdr:rowOff>
    </xdr:from>
    <xdr:to>
      <xdr:col>63</xdr:col>
      <xdr:colOff>628650</xdr:colOff>
      <xdr:row>0</xdr:row>
      <xdr:rowOff>314325</xdr:rowOff>
    </xdr:to>
    <xdr:sp macro="" textlink="">
      <xdr:nvSpPr>
        <xdr:cNvPr id="142693" name="AutoShape 229"/>
        <xdr:cNvSpPr>
          <a:spLocks noChangeArrowheads="1"/>
        </xdr:cNvSpPr>
      </xdr:nvSpPr>
      <xdr:spPr bwMode="auto">
        <a:xfrm>
          <a:off x="46710600" y="104775"/>
          <a:ext cx="495300" cy="209550"/>
        </a:xfrm>
        <a:prstGeom prst="rightArrow">
          <a:avLst>
            <a:gd name="adj1" fmla="val 50000"/>
            <a:gd name="adj2" fmla="val 59091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71</xdr:col>
      <xdr:colOff>38100</xdr:colOff>
      <xdr:row>0</xdr:row>
      <xdr:rowOff>38100</xdr:rowOff>
    </xdr:from>
    <xdr:to>
      <xdr:col>71</xdr:col>
      <xdr:colOff>571500</xdr:colOff>
      <xdr:row>0</xdr:row>
      <xdr:rowOff>400050</xdr:rowOff>
    </xdr:to>
    <xdr:pic>
      <xdr:nvPicPr>
        <xdr:cNvPr id="142694" name="Picture 230" descr="j0213539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2254150" y="38100"/>
          <a:ext cx="5334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70</xdr:col>
      <xdr:colOff>133350</xdr:colOff>
      <xdr:row>0</xdr:row>
      <xdr:rowOff>104775</xdr:rowOff>
    </xdr:from>
    <xdr:to>
      <xdr:col>70</xdr:col>
      <xdr:colOff>628650</xdr:colOff>
      <xdr:row>0</xdr:row>
      <xdr:rowOff>314325</xdr:rowOff>
    </xdr:to>
    <xdr:sp macro="" textlink="">
      <xdr:nvSpPr>
        <xdr:cNvPr id="142695" name="AutoShape 231"/>
        <xdr:cNvSpPr>
          <a:spLocks noChangeArrowheads="1"/>
        </xdr:cNvSpPr>
      </xdr:nvSpPr>
      <xdr:spPr bwMode="auto">
        <a:xfrm>
          <a:off x="51644550" y="104775"/>
          <a:ext cx="495300" cy="209550"/>
        </a:xfrm>
        <a:prstGeom prst="rightArrow">
          <a:avLst>
            <a:gd name="adj1" fmla="val 50000"/>
            <a:gd name="adj2" fmla="val 59091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78</xdr:col>
      <xdr:colOff>38100</xdr:colOff>
      <xdr:row>0</xdr:row>
      <xdr:rowOff>38100</xdr:rowOff>
    </xdr:from>
    <xdr:to>
      <xdr:col>78</xdr:col>
      <xdr:colOff>571500</xdr:colOff>
      <xdr:row>0</xdr:row>
      <xdr:rowOff>400050</xdr:rowOff>
    </xdr:to>
    <xdr:pic>
      <xdr:nvPicPr>
        <xdr:cNvPr id="142696" name="Picture 232" descr="j0213539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7188100" y="38100"/>
          <a:ext cx="5334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77</xdr:col>
      <xdr:colOff>133350</xdr:colOff>
      <xdr:row>0</xdr:row>
      <xdr:rowOff>104775</xdr:rowOff>
    </xdr:from>
    <xdr:to>
      <xdr:col>77</xdr:col>
      <xdr:colOff>628650</xdr:colOff>
      <xdr:row>0</xdr:row>
      <xdr:rowOff>314325</xdr:rowOff>
    </xdr:to>
    <xdr:sp macro="" textlink="">
      <xdr:nvSpPr>
        <xdr:cNvPr id="142697" name="AutoShape 233"/>
        <xdr:cNvSpPr>
          <a:spLocks noChangeArrowheads="1"/>
        </xdr:cNvSpPr>
      </xdr:nvSpPr>
      <xdr:spPr bwMode="auto">
        <a:xfrm>
          <a:off x="56578500" y="104775"/>
          <a:ext cx="495300" cy="209550"/>
        </a:xfrm>
        <a:prstGeom prst="rightArrow">
          <a:avLst>
            <a:gd name="adj1" fmla="val 50000"/>
            <a:gd name="adj2" fmla="val 59091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85</xdr:col>
      <xdr:colOff>38100</xdr:colOff>
      <xdr:row>0</xdr:row>
      <xdr:rowOff>38100</xdr:rowOff>
    </xdr:from>
    <xdr:to>
      <xdr:col>85</xdr:col>
      <xdr:colOff>571500</xdr:colOff>
      <xdr:row>0</xdr:row>
      <xdr:rowOff>400050</xdr:rowOff>
    </xdr:to>
    <xdr:pic>
      <xdr:nvPicPr>
        <xdr:cNvPr id="142698" name="Picture 234" descr="j0213539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2122050" y="38100"/>
          <a:ext cx="5334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84</xdr:col>
      <xdr:colOff>133350</xdr:colOff>
      <xdr:row>0</xdr:row>
      <xdr:rowOff>104775</xdr:rowOff>
    </xdr:from>
    <xdr:to>
      <xdr:col>84</xdr:col>
      <xdr:colOff>628650</xdr:colOff>
      <xdr:row>0</xdr:row>
      <xdr:rowOff>314325</xdr:rowOff>
    </xdr:to>
    <xdr:sp macro="" textlink="">
      <xdr:nvSpPr>
        <xdr:cNvPr id="142699" name="AutoShape 235"/>
        <xdr:cNvSpPr>
          <a:spLocks noChangeArrowheads="1"/>
        </xdr:cNvSpPr>
      </xdr:nvSpPr>
      <xdr:spPr bwMode="auto">
        <a:xfrm>
          <a:off x="61512450" y="104775"/>
          <a:ext cx="495300" cy="209550"/>
        </a:xfrm>
        <a:prstGeom prst="rightArrow">
          <a:avLst>
            <a:gd name="adj1" fmla="val 50000"/>
            <a:gd name="adj2" fmla="val 59091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90</xdr:col>
      <xdr:colOff>0</xdr:colOff>
      <xdr:row>0</xdr:row>
      <xdr:rowOff>38100</xdr:rowOff>
    </xdr:from>
    <xdr:to>
      <xdr:col>90</xdr:col>
      <xdr:colOff>533400</xdr:colOff>
      <xdr:row>0</xdr:row>
      <xdr:rowOff>400050</xdr:rowOff>
    </xdr:to>
    <xdr:pic>
      <xdr:nvPicPr>
        <xdr:cNvPr id="142700" name="Picture 236" descr="j0213539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5608200" y="38100"/>
          <a:ext cx="5334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90</xdr:col>
      <xdr:colOff>0</xdr:colOff>
      <xdr:row>0</xdr:row>
      <xdr:rowOff>104775</xdr:rowOff>
    </xdr:from>
    <xdr:to>
      <xdr:col>90</xdr:col>
      <xdr:colOff>0</xdr:colOff>
      <xdr:row>0</xdr:row>
      <xdr:rowOff>314325</xdr:rowOff>
    </xdr:to>
    <xdr:sp macro="" textlink="">
      <xdr:nvSpPr>
        <xdr:cNvPr id="142701" name="AutoShape 237"/>
        <xdr:cNvSpPr>
          <a:spLocks noChangeArrowheads="1"/>
        </xdr:cNvSpPr>
      </xdr:nvSpPr>
      <xdr:spPr bwMode="auto">
        <a:xfrm>
          <a:off x="65608200" y="104775"/>
          <a:ext cx="0" cy="209550"/>
        </a:xfrm>
        <a:prstGeom prst="rightArrow">
          <a:avLst>
            <a:gd name="adj1" fmla="val 50000"/>
            <a:gd name="adj2" fmla="val -2147483648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92</xdr:col>
      <xdr:colOff>38100</xdr:colOff>
      <xdr:row>0</xdr:row>
      <xdr:rowOff>38100</xdr:rowOff>
    </xdr:from>
    <xdr:to>
      <xdr:col>92</xdr:col>
      <xdr:colOff>571500</xdr:colOff>
      <xdr:row>0</xdr:row>
      <xdr:rowOff>400050</xdr:rowOff>
    </xdr:to>
    <xdr:pic>
      <xdr:nvPicPr>
        <xdr:cNvPr id="142702" name="Picture 238" descr="j0213539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0" y="38100"/>
          <a:ext cx="5334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91</xdr:col>
      <xdr:colOff>133350</xdr:colOff>
      <xdr:row>0</xdr:row>
      <xdr:rowOff>104775</xdr:rowOff>
    </xdr:from>
    <xdr:to>
      <xdr:col>91</xdr:col>
      <xdr:colOff>628650</xdr:colOff>
      <xdr:row>0</xdr:row>
      <xdr:rowOff>314325</xdr:rowOff>
    </xdr:to>
    <xdr:sp macro="" textlink="">
      <xdr:nvSpPr>
        <xdr:cNvPr id="142703" name="AutoShape 239"/>
        <xdr:cNvSpPr>
          <a:spLocks noChangeArrowheads="1"/>
        </xdr:cNvSpPr>
      </xdr:nvSpPr>
      <xdr:spPr bwMode="auto">
        <a:xfrm>
          <a:off x="66446400" y="104775"/>
          <a:ext cx="495300" cy="209550"/>
        </a:xfrm>
        <a:prstGeom prst="rightArrow">
          <a:avLst>
            <a:gd name="adj1" fmla="val 50000"/>
            <a:gd name="adj2" fmla="val 59091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409575</xdr:colOff>
      <xdr:row>0</xdr:row>
      <xdr:rowOff>0</xdr:rowOff>
    </xdr:from>
    <xdr:to>
      <xdr:col>14</xdr:col>
      <xdr:colOff>333375</xdr:colOff>
      <xdr:row>0</xdr:row>
      <xdr:rowOff>409575</xdr:rowOff>
    </xdr:to>
    <xdr:pic>
      <xdr:nvPicPr>
        <xdr:cNvPr id="149609" name="Picture 1" descr="j0213539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34375" y="0"/>
          <a:ext cx="533400" cy="409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12</xdr:col>
      <xdr:colOff>390525</xdr:colOff>
      <xdr:row>0</xdr:row>
      <xdr:rowOff>57150</xdr:rowOff>
    </xdr:from>
    <xdr:to>
      <xdr:col>13</xdr:col>
      <xdr:colOff>266700</xdr:colOff>
      <xdr:row>0</xdr:row>
      <xdr:rowOff>304800</xdr:rowOff>
    </xdr:to>
    <xdr:sp macro="" textlink="">
      <xdr:nvSpPr>
        <xdr:cNvPr id="149610" name="AutoShape 2"/>
        <xdr:cNvSpPr>
          <a:spLocks noChangeArrowheads="1"/>
        </xdr:cNvSpPr>
      </xdr:nvSpPr>
      <xdr:spPr bwMode="auto">
        <a:xfrm>
          <a:off x="7705725" y="57150"/>
          <a:ext cx="485775" cy="247650"/>
        </a:xfrm>
        <a:prstGeom prst="rightArrow">
          <a:avLst>
            <a:gd name="adj1" fmla="val 50000"/>
            <a:gd name="adj2" fmla="val 49038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190500</xdr:colOff>
      <xdr:row>6</xdr:row>
      <xdr:rowOff>0</xdr:rowOff>
    </xdr:from>
    <xdr:to>
      <xdr:col>11</xdr:col>
      <xdr:colOff>85725</xdr:colOff>
      <xdr:row>6</xdr:row>
      <xdr:rowOff>0</xdr:rowOff>
    </xdr:to>
    <xdr:sp macro="" textlink="">
      <xdr:nvSpPr>
        <xdr:cNvPr id="15363" name="WordArt 3"/>
        <xdr:cNvSpPr>
          <a:spLocks noChangeArrowheads="1" noChangeShapeType="1" noTextEdit="1"/>
        </xdr:cNvSpPr>
      </xdr:nvSpPr>
      <xdr:spPr bwMode="auto">
        <a:xfrm>
          <a:off x="3238500" y="1314450"/>
          <a:ext cx="35528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tr-TR" sz="3600" kern="10" spc="0">
              <a:ln w="9525">
                <a:noFill/>
                <a:round/>
                <a:headEnd/>
                <a:tailEnd/>
              </a:ln>
              <a:solidFill>
                <a:srgbClr val="336699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Times New Roman"/>
              <a:cs typeface="Times New Roman"/>
            </a:rPr>
            <a:t>BAYRAM   TATİLİ</a:t>
          </a:r>
        </a:p>
      </xdr:txBody>
    </xdr:sp>
    <xdr:clientData/>
  </xdr:twoCellAnchor>
  <xdr:twoCellAnchor editAs="oneCell">
    <xdr:from>
      <xdr:col>20</xdr:col>
      <xdr:colOff>409575</xdr:colOff>
      <xdr:row>0</xdr:row>
      <xdr:rowOff>0</xdr:rowOff>
    </xdr:from>
    <xdr:to>
      <xdr:col>21</xdr:col>
      <xdr:colOff>333375</xdr:colOff>
      <xdr:row>0</xdr:row>
      <xdr:rowOff>409575</xdr:rowOff>
    </xdr:to>
    <xdr:pic>
      <xdr:nvPicPr>
        <xdr:cNvPr id="149612" name="Picture 4" descr="j0213539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601575" y="0"/>
          <a:ext cx="533400" cy="409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19</xdr:col>
      <xdr:colOff>390525</xdr:colOff>
      <xdr:row>0</xdr:row>
      <xdr:rowOff>57150</xdr:rowOff>
    </xdr:from>
    <xdr:to>
      <xdr:col>20</xdr:col>
      <xdr:colOff>266700</xdr:colOff>
      <xdr:row>0</xdr:row>
      <xdr:rowOff>304800</xdr:rowOff>
    </xdr:to>
    <xdr:sp macro="" textlink="">
      <xdr:nvSpPr>
        <xdr:cNvPr id="149613" name="AutoShape 5"/>
        <xdr:cNvSpPr>
          <a:spLocks noChangeArrowheads="1"/>
        </xdr:cNvSpPr>
      </xdr:nvSpPr>
      <xdr:spPr bwMode="auto">
        <a:xfrm>
          <a:off x="11972925" y="57150"/>
          <a:ext cx="485775" cy="247650"/>
        </a:xfrm>
        <a:prstGeom prst="rightArrow">
          <a:avLst>
            <a:gd name="adj1" fmla="val 50000"/>
            <a:gd name="adj2" fmla="val 49038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27</xdr:col>
      <xdr:colOff>409575</xdr:colOff>
      <xdr:row>0</xdr:row>
      <xdr:rowOff>0</xdr:rowOff>
    </xdr:from>
    <xdr:to>
      <xdr:col>28</xdr:col>
      <xdr:colOff>333375</xdr:colOff>
      <xdr:row>0</xdr:row>
      <xdr:rowOff>409575</xdr:rowOff>
    </xdr:to>
    <xdr:pic>
      <xdr:nvPicPr>
        <xdr:cNvPr id="149614" name="Picture 6" descr="j0213539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868775" y="0"/>
          <a:ext cx="533400" cy="409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26</xdr:col>
      <xdr:colOff>390525</xdr:colOff>
      <xdr:row>0</xdr:row>
      <xdr:rowOff>57150</xdr:rowOff>
    </xdr:from>
    <xdr:to>
      <xdr:col>27</xdr:col>
      <xdr:colOff>266700</xdr:colOff>
      <xdr:row>0</xdr:row>
      <xdr:rowOff>304800</xdr:rowOff>
    </xdr:to>
    <xdr:sp macro="" textlink="">
      <xdr:nvSpPr>
        <xdr:cNvPr id="149615" name="AutoShape 7"/>
        <xdr:cNvSpPr>
          <a:spLocks noChangeArrowheads="1"/>
        </xdr:cNvSpPr>
      </xdr:nvSpPr>
      <xdr:spPr bwMode="auto">
        <a:xfrm>
          <a:off x="16240125" y="57150"/>
          <a:ext cx="485775" cy="247650"/>
        </a:xfrm>
        <a:prstGeom prst="rightArrow">
          <a:avLst>
            <a:gd name="adj1" fmla="val 50000"/>
            <a:gd name="adj2" fmla="val 49038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12" Type="http://schemas.openxmlformats.org/officeDocument/2006/relationships/comments" Target="../comments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5.bin"/><Relationship Id="rId10" Type="http://schemas.openxmlformats.org/officeDocument/2006/relationships/drawing" Target="../drawings/drawing1.xml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9.bin"/><Relationship Id="rId3" Type="http://schemas.openxmlformats.org/officeDocument/2006/relationships/printerSettings" Target="../printerSettings/printerSettings14.bin"/><Relationship Id="rId7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Relationship Id="rId6" Type="http://schemas.openxmlformats.org/officeDocument/2006/relationships/printerSettings" Target="../printerSettings/printerSettings17.bin"/><Relationship Id="rId5" Type="http://schemas.openxmlformats.org/officeDocument/2006/relationships/printerSettings" Target="../printerSettings/printerSettings16.bin"/><Relationship Id="rId4" Type="http://schemas.openxmlformats.org/officeDocument/2006/relationships/printerSettings" Target="../printerSettings/printerSettings15.bin"/><Relationship Id="rId9" Type="http://schemas.openxmlformats.org/officeDocument/2006/relationships/printerSettings" Target="../printerSettings/printerSettings20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9.bin"/><Relationship Id="rId3" Type="http://schemas.openxmlformats.org/officeDocument/2006/relationships/printerSettings" Target="../printerSettings/printerSettings24.bin"/><Relationship Id="rId7" Type="http://schemas.openxmlformats.org/officeDocument/2006/relationships/printerSettings" Target="../printerSettings/printerSettings28.bin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Relationship Id="rId6" Type="http://schemas.openxmlformats.org/officeDocument/2006/relationships/printerSettings" Target="../printerSettings/printerSettings27.bin"/><Relationship Id="rId5" Type="http://schemas.openxmlformats.org/officeDocument/2006/relationships/printerSettings" Target="../printerSettings/printerSettings26.bin"/><Relationship Id="rId4" Type="http://schemas.openxmlformats.org/officeDocument/2006/relationships/printerSettings" Target="../printerSettings/printerSettings25.bin"/><Relationship Id="rId9" Type="http://schemas.openxmlformats.org/officeDocument/2006/relationships/printerSettings" Target="../printerSettings/printerSettings30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9.bin"/><Relationship Id="rId3" Type="http://schemas.openxmlformats.org/officeDocument/2006/relationships/printerSettings" Target="../printerSettings/printerSettings34.bin"/><Relationship Id="rId7" Type="http://schemas.openxmlformats.org/officeDocument/2006/relationships/printerSettings" Target="../printerSettings/printerSettings38.bin"/><Relationship Id="rId2" Type="http://schemas.openxmlformats.org/officeDocument/2006/relationships/printerSettings" Target="../printerSettings/printerSettings33.bin"/><Relationship Id="rId1" Type="http://schemas.openxmlformats.org/officeDocument/2006/relationships/printerSettings" Target="../printerSettings/printerSettings32.bin"/><Relationship Id="rId6" Type="http://schemas.openxmlformats.org/officeDocument/2006/relationships/printerSettings" Target="../printerSettings/printerSettings37.bin"/><Relationship Id="rId5" Type="http://schemas.openxmlformats.org/officeDocument/2006/relationships/printerSettings" Target="../printerSettings/printerSettings36.bin"/><Relationship Id="rId4" Type="http://schemas.openxmlformats.org/officeDocument/2006/relationships/printerSettings" Target="../printerSettings/printerSettings35.bin"/><Relationship Id="rId9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.bin"/><Relationship Id="rId2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40.bin"/><Relationship Id="rId5" Type="http://schemas.openxmlformats.org/officeDocument/2006/relationships/printerSettings" Target="../printerSettings/printerSettings44.bin"/><Relationship Id="rId4" Type="http://schemas.openxmlformats.org/officeDocument/2006/relationships/printerSettings" Target="../printerSettings/printerSettings4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 enableFormatConditionsCalculation="0">
    <tabColor indexed="28"/>
    <pageSetUpPr fitToPage="1"/>
  </sheetPr>
  <dimension ref="A1:GM62"/>
  <sheetViews>
    <sheetView zoomScaleNormal="90" workbookViewId="0">
      <pane xSplit="3" topLeftCell="D1" activePane="topRight" state="frozen"/>
      <selection pane="topRight" activeCell="GJ1" sqref="A1:GJ1048576"/>
    </sheetView>
  </sheetViews>
  <sheetFormatPr defaultColWidth="0" defaultRowHeight="12.75"/>
  <cols>
    <col min="1" max="1" width="5.5703125" style="72" customWidth="1"/>
    <col min="2" max="2" width="9.140625" customWidth="1"/>
    <col min="3" max="3" width="49.5703125" customWidth="1"/>
    <col min="4" max="71" width="10.5703125" customWidth="1"/>
    <col min="72" max="72" width="10.5703125" style="2" customWidth="1"/>
    <col min="73" max="195" width="10.5703125" customWidth="1"/>
  </cols>
  <sheetData>
    <row r="1" spans="1:195" s="129" customFormat="1" ht="33.75">
      <c r="A1" s="122"/>
      <c r="B1" s="388" t="s">
        <v>16</v>
      </c>
      <c r="C1" s="388"/>
      <c r="D1" s="123"/>
      <c r="E1" s="123"/>
      <c r="F1" s="124"/>
      <c r="G1" s="124"/>
      <c r="H1" s="124"/>
      <c r="I1" s="125" t="s">
        <v>18</v>
      </c>
      <c r="J1" s="125"/>
      <c r="K1" s="123"/>
      <c r="L1" s="123"/>
      <c r="M1" s="124"/>
      <c r="N1" s="124"/>
      <c r="O1" s="123"/>
      <c r="P1" s="123"/>
      <c r="Q1" s="125" t="s">
        <v>18</v>
      </c>
      <c r="R1" s="123"/>
      <c r="S1" s="123"/>
      <c r="T1" s="124"/>
      <c r="U1" s="124"/>
      <c r="V1" s="125"/>
      <c r="W1" s="123"/>
      <c r="X1" s="125" t="s">
        <v>18</v>
      </c>
      <c r="Y1" s="123"/>
      <c r="Z1" s="123"/>
      <c r="AA1" s="124"/>
      <c r="AB1" s="124"/>
      <c r="AC1" s="126"/>
      <c r="AD1" s="125"/>
      <c r="AE1" s="125" t="s">
        <v>18</v>
      </c>
      <c r="AF1" s="123"/>
      <c r="AG1" s="123"/>
      <c r="AH1" s="124"/>
      <c r="AI1" s="124"/>
      <c r="AJ1" s="127"/>
      <c r="AK1" s="126"/>
      <c r="AL1" s="125" t="s">
        <v>18</v>
      </c>
      <c r="AM1" s="123"/>
      <c r="AN1" s="123"/>
      <c r="AO1" s="124"/>
      <c r="AP1" s="124"/>
      <c r="AQ1" s="124"/>
      <c r="AR1" s="128"/>
      <c r="AS1" s="125" t="s">
        <v>18</v>
      </c>
      <c r="AT1" s="123"/>
      <c r="AU1" s="123"/>
      <c r="AV1" s="124"/>
      <c r="AW1" s="124"/>
      <c r="AX1" s="123"/>
      <c r="AY1" s="123"/>
      <c r="AZ1" s="125" t="s">
        <v>18</v>
      </c>
      <c r="BA1" s="123"/>
      <c r="BB1" s="123"/>
      <c r="BC1" s="124"/>
      <c r="BD1" s="124"/>
      <c r="BE1" s="125"/>
      <c r="BF1" s="123"/>
      <c r="BG1" s="125" t="s">
        <v>18</v>
      </c>
      <c r="BH1" s="123"/>
      <c r="BI1" s="123"/>
      <c r="BJ1" s="124"/>
      <c r="BK1" s="124"/>
      <c r="BL1" s="126"/>
      <c r="BM1" s="125"/>
      <c r="BN1" s="125" t="s">
        <v>18</v>
      </c>
      <c r="BO1" s="123"/>
      <c r="BP1" s="123"/>
      <c r="BQ1" s="124"/>
      <c r="BR1" s="124"/>
      <c r="BS1" s="127"/>
      <c r="BT1" s="126"/>
      <c r="BU1" s="125"/>
      <c r="BV1" s="123"/>
      <c r="BW1" s="123"/>
      <c r="BX1" s="124"/>
      <c r="BY1" s="124"/>
      <c r="BZ1" s="124"/>
    </row>
    <row r="2" spans="1:195" s="95" customFormat="1">
      <c r="B2" s="386" t="s">
        <v>88</v>
      </c>
      <c r="C2" s="386"/>
      <c r="D2" s="73" t="s">
        <v>36</v>
      </c>
      <c r="E2" s="73" t="s">
        <v>37</v>
      </c>
      <c r="F2" s="73" t="s">
        <v>38</v>
      </c>
      <c r="G2" s="73" t="s">
        <v>39</v>
      </c>
      <c r="H2" s="73" t="s">
        <v>40</v>
      </c>
      <c r="I2" s="73" t="s">
        <v>41</v>
      </c>
      <c r="J2" s="73" t="s">
        <v>35</v>
      </c>
      <c r="K2" s="73" t="s">
        <v>36</v>
      </c>
      <c r="L2" s="73" t="s">
        <v>37</v>
      </c>
      <c r="M2" s="73" t="s">
        <v>38</v>
      </c>
      <c r="N2" s="73" t="s">
        <v>39</v>
      </c>
      <c r="O2" s="73" t="s">
        <v>40</v>
      </c>
      <c r="P2" s="73" t="s">
        <v>41</v>
      </c>
      <c r="Q2" s="73" t="s">
        <v>35</v>
      </c>
      <c r="R2" s="73" t="s">
        <v>36</v>
      </c>
      <c r="S2" s="73" t="s">
        <v>37</v>
      </c>
      <c r="T2" s="73" t="s">
        <v>38</v>
      </c>
      <c r="U2" s="73" t="s">
        <v>39</v>
      </c>
      <c r="V2" s="73" t="s">
        <v>40</v>
      </c>
      <c r="W2" s="73" t="s">
        <v>41</v>
      </c>
      <c r="X2" s="73" t="s">
        <v>35</v>
      </c>
      <c r="Y2" s="73" t="s">
        <v>36</v>
      </c>
      <c r="Z2" s="73" t="s">
        <v>37</v>
      </c>
      <c r="AA2" s="73" t="s">
        <v>38</v>
      </c>
      <c r="AB2" s="73" t="s">
        <v>39</v>
      </c>
      <c r="AC2" s="73" t="s">
        <v>40</v>
      </c>
      <c r="AD2" s="73" t="s">
        <v>41</v>
      </c>
      <c r="AE2" s="73" t="s">
        <v>35</v>
      </c>
      <c r="AF2" s="73" t="s">
        <v>36</v>
      </c>
      <c r="AG2" s="73" t="s">
        <v>37</v>
      </c>
      <c r="AH2" s="73" t="s">
        <v>38</v>
      </c>
      <c r="AI2" s="73" t="s">
        <v>39</v>
      </c>
      <c r="AJ2" s="73" t="s">
        <v>40</v>
      </c>
      <c r="AK2" s="73" t="s">
        <v>41</v>
      </c>
      <c r="AL2" s="73" t="s">
        <v>35</v>
      </c>
      <c r="AM2" s="73" t="s">
        <v>36</v>
      </c>
      <c r="AN2" s="73" t="s">
        <v>37</v>
      </c>
      <c r="AO2" s="73" t="s">
        <v>38</v>
      </c>
      <c r="AP2" s="73" t="s">
        <v>39</v>
      </c>
      <c r="AQ2" s="73" t="s">
        <v>40</v>
      </c>
      <c r="AR2" s="73" t="s">
        <v>41</v>
      </c>
      <c r="AS2" s="73" t="s">
        <v>35</v>
      </c>
      <c r="AT2" s="73" t="s">
        <v>36</v>
      </c>
      <c r="AU2" s="73" t="s">
        <v>37</v>
      </c>
      <c r="AV2" s="73" t="s">
        <v>38</v>
      </c>
      <c r="AW2" s="73" t="s">
        <v>39</v>
      </c>
      <c r="AX2" s="73" t="s">
        <v>40</v>
      </c>
      <c r="AY2" s="73" t="s">
        <v>41</v>
      </c>
      <c r="AZ2" s="73" t="s">
        <v>35</v>
      </c>
      <c r="BA2" s="73" t="s">
        <v>36</v>
      </c>
      <c r="BB2" s="73" t="s">
        <v>37</v>
      </c>
      <c r="BC2" s="73" t="s">
        <v>38</v>
      </c>
      <c r="BD2" s="73" t="s">
        <v>39</v>
      </c>
      <c r="BE2" s="73" t="s">
        <v>40</v>
      </c>
      <c r="BF2" s="73" t="s">
        <v>41</v>
      </c>
      <c r="BG2" s="73" t="s">
        <v>35</v>
      </c>
      <c r="BH2" s="73" t="s">
        <v>36</v>
      </c>
      <c r="BI2" s="73" t="s">
        <v>37</v>
      </c>
      <c r="BJ2" s="73" t="s">
        <v>38</v>
      </c>
      <c r="BK2" s="73" t="s">
        <v>39</v>
      </c>
      <c r="BL2" s="73" t="s">
        <v>40</v>
      </c>
      <c r="BM2" s="73" t="s">
        <v>41</v>
      </c>
      <c r="BN2" s="73" t="s">
        <v>35</v>
      </c>
      <c r="BO2" s="73" t="s">
        <v>36</v>
      </c>
      <c r="BP2" s="73" t="s">
        <v>37</v>
      </c>
      <c r="BQ2" s="73" t="s">
        <v>38</v>
      </c>
      <c r="BR2" s="73" t="s">
        <v>39</v>
      </c>
      <c r="BS2" s="73" t="s">
        <v>40</v>
      </c>
      <c r="BT2" s="73" t="s">
        <v>41</v>
      </c>
      <c r="BU2" s="73" t="s">
        <v>35</v>
      </c>
      <c r="BV2" s="73" t="s">
        <v>36</v>
      </c>
      <c r="BW2" s="73" t="s">
        <v>37</v>
      </c>
      <c r="BX2" s="73" t="s">
        <v>38</v>
      </c>
      <c r="BY2" s="73" t="s">
        <v>39</v>
      </c>
      <c r="BZ2" s="73" t="s">
        <v>40</v>
      </c>
      <c r="CA2" s="73" t="s">
        <v>41</v>
      </c>
      <c r="CB2" s="73" t="s">
        <v>35</v>
      </c>
      <c r="CC2" s="73" t="s">
        <v>36</v>
      </c>
      <c r="CD2" s="73" t="s">
        <v>37</v>
      </c>
      <c r="CE2" s="73" t="s">
        <v>38</v>
      </c>
      <c r="CF2" s="73" t="s">
        <v>39</v>
      </c>
      <c r="CG2" s="73" t="s">
        <v>40</v>
      </c>
      <c r="CH2" s="73" t="s">
        <v>41</v>
      </c>
      <c r="CI2" s="73" t="s">
        <v>35</v>
      </c>
      <c r="CJ2" s="73" t="s">
        <v>36</v>
      </c>
      <c r="CK2" s="73" t="s">
        <v>37</v>
      </c>
      <c r="CL2" s="73" t="s">
        <v>38</v>
      </c>
      <c r="CM2" s="73" t="s">
        <v>39</v>
      </c>
      <c r="CN2" s="73" t="s">
        <v>40</v>
      </c>
      <c r="CO2" s="73" t="s">
        <v>41</v>
      </c>
      <c r="CP2" s="73" t="s">
        <v>35</v>
      </c>
      <c r="CQ2" s="73" t="s">
        <v>36</v>
      </c>
      <c r="CR2" s="73" t="s">
        <v>37</v>
      </c>
      <c r="CS2" s="73" t="s">
        <v>38</v>
      </c>
      <c r="CT2" s="73" t="s">
        <v>39</v>
      </c>
      <c r="CU2" s="73" t="s">
        <v>40</v>
      </c>
      <c r="CV2" s="73" t="s">
        <v>41</v>
      </c>
      <c r="CW2" s="73" t="s">
        <v>35</v>
      </c>
      <c r="CX2" s="73" t="s">
        <v>36</v>
      </c>
      <c r="CY2" s="73" t="s">
        <v>37</v>
      </c>
      <c r="CZ2" s="73" t="s">
        <v>38</v>
      </c>
      <c r="DA2" s="73" t="s">
        <v>39</v>
      </c>
      <c r="DB2" s="73" t="s">
        <v>40</v>
      </c>
      <c r="DC2" s="73" t="s">
        <v>41</v>
      </c>
      <c r="DD2" s="73" t="s">
        <v>35</v>
      </c>
      <c r="DE2" s="73" t="s">
        <v>36</v>
      </c>
      <c r="DF2" s="73" t="s">
        <v>37</v>
      </c>
      <c r="DG2" s="73" t="s">
        <v>38</v>
      </c>
      <c r="DH2" s="73" t="s">
        <v>39</v>
      </c>
      <c r="DI2" s="73" t="s">
        <v>40</v>
      </c>
      <c r="DJ2" s="73" t="s">
        <v>41</v>
      </c>
      <c r="DK2" s="73" t="s">
        <v>35</v>
      </c>
      <c r="DL2" s="73" t="s">
        <v>36</v>
      </c>
      <c r="DM2" s="73" t="s">
        <v>37</v>
      </c>
      <c r="DN2" s="73" t="s">
        <v>38</v>
      </c>
      <c r="DO2" s="73" t="s">
        <v>39</v>
      </c>
      <c r="DP2" s="73" t="s">
        <v>40</v>
      </c>
      <c r="DQ2" s="73" t="s">
        <v>41</v>
      </c>
      <c r="DR2" s="73" t="s">
        <v>35</v>
      </c>
      <c r="DS2" s="73" t="s">
        <v>36</v>
      </c>
      <c r="DT2" s="73" t="s">
        <v>37</v>
      </c>
      <c r="DU2" s="73" t="s">
        <v>38</v>
      </c>
      <c r="DV2" s="73" t="s">
        <v>39</v>
      </c>
      <c r="DW2" s="73" t="s">
        <v>40</v>
      </c>
      <c r="DX2" s="73" t="s">
        <v>41</v>
      </c>
      <c r="DY2" s="73" t="s">
        <v>35</v>
      </c>
      <c r="DZ2" s="73" t="s">
        <v>36</v>
      </c>
      <c r="EA2" s="73" t="s">
        <v>37</v>
      </c>
      <c r="EB2" s="73" t="s">
        <v>38</v>
      </c>
      <c r="EC2" s="73" t="s">
        <v>39</v>
      </c>
      <c r="ED2" s="73" t="s">
        <v>40</v>
      </c>
      <c r="EE2" s="73" t="s">
        <v>41</v>
      </c>
      <c r="EF2" s="73" t="s">
        <v>35</v>
      </c>
      <c r="EG2" s="73" t="s">
        <v>36</v>
      </c>
      <c r="EH2" s="73" t="s">
        <v>37</v>
      </c>
      <c r="EI2" s="73" t="s">
        <v>38</v>
      </c>
      <c r="EJ2" s="73" t="s">
        <v>39</v>
      </c>
      <c r="EK2" s="73" t="s">
        <v>40</v>
      </c>
      <c r="EL2" s="73" t="s">
        <v>41</v>
      </c>
      <c r="EM2" s="73" t="s">
        <v>35</v>
      </c>
      <c r="EN2" s="73" t="s">
        <v>36</v>
      </c>
      <c r="EO2" s="73" t="s">
        <v>37</v>
      </c>
      <c r="EP2" s="73" t="s">
        <v>38</v>
      </c>
      <c r="EQ2" s="73" t="s">
        <v>39</v>
      </c>
      <c r="ER2" s="73" t="s">
        <v>40</v>
      </c>
      <c r="ES2" s="73" t="s">
        <v>41</v>
      </c>
      <c r="ET2" s="73" t="s">
        <v>35</v>
      </c>
      <c r="EU2" s="73" t="s">
        <v>36</v>
      </c>
      <c r="EV2" s="73" t="s">
        <v>37</v>
      </c>
      <c r="EW2" s="73" t="s">
        <v>38</v>
      </c>
      <c r="EX2" s="73" t="s">
        <v>39</v>
      </c>
      <c r="EY2" s="73" t="s">
        <v>40</v>
      </c>
      <c r="EZ2" s="73" t="s">
        <v>41</v>
      </c>
      <c r="FA2" s="73" t="s">
        <v>35</v>
      </c>
      <c r="FB2" s="73" t="s">
        <v>36</v>
      </c>
      <c r="FC2" s="73" t="s">
        <v>37</v>
      </c>
      <c r="FD2" s="73" t="s">
        <v>38</v>
      </c>
      <c r="FE2" s="73" t="s">
        <v>39</v>
      </c>
      <c r="FF2" s="73" t="s">
        <v>40</v>
      </c>
      <c r="FG2" s="73" t="s">
        <v>41</v>
      </c>
      <c r="FH2" s="73" t="s">
        <v>35</v>
      </c>
      <c r="FI2" s="73" t="s">
        <v>36</v>
      </c>
      <c r="FJ2" s="73" t="s">
        <v>37</v>
      </c>
      <c r="FK2" s="73" t="s">
        <v>38</v>
      </c>
      <c r="FL2" s="73" t="s">
        <v>39</v>
      </c>
      <c r="FM2" s="73" t="s">
        <v>40</v>
      </c>
      <c r="FN2" s="73" t="s">
        <v>41</v>
      </c>
      <c r="FO2" s="73" t="s">
        <v>35</v>
      </c>
      <c r="FP2" s="73" t="s">
        <v>36</v>
      </c>
      <c r="FQ2" s="73" t="s">
        <v>37</v>
      </c>
      <c r="FR2" s="73" t="s">
        <v>38</v>
      </c>
      <c r="FS2" s="73" t="s">
        <v>39</v>
      </c>
      <c r="FT2" s="73" t="s">
        <v>40</v>
      </c>
      <c r="FU2" s="73" t="s">
        <v>41</v>
      </c>
      <c r="FV2" s="73" t="s">
        <v>35</v>
      </c>
      <c r="FW2" s="73" t="s">
        <v>36</v>
      </c>
      <c r="FX2" s="73" t="s">
        <v>37</v>
      </c>
      <c r="FY2" s="73" t="s">
        <v>38</v>
      </c>
      <c r="FZ2" s="73" t="s">
        <v>39</v>
      </c>
      <c r="GA2" s="73" t="s">
        <v>40</v>
      </c>
      <c r="GB2" s="73" t="s">
        <v>41</v>
      </c>
      <c r="GC2" s="73" t="s">
        <v>35</v>
      </c>
      <c r="GD2" s="73" t="s">
        <v>36</v>
      </c>
      <c r="GE2" s="73" t="s">
        <v>37</v>
      </c>
      <c r="GF2" s="73" t="s">
        <v>38</v>
      </c>
      <c r="GG2" s="73" t="s">
        <v>39</v>
      </c>
      <c r="GH2" s="73" t="s">
        <v>40</v>
      </c>
      <c r="GI2" s="73" t="s">
        <v>41</v>
      </c>
      <c r="GJ2" s="73"/>
      <c r="GK2" s="73"/>
      <c r="GM2" s="73"/>
    </row>
    <row r="3" spans="1:195" s="95" customFormat="1" ht="13.5" thickBot="1">
      <c r="B3" s="387"/>
      <c r="C3" s="387"/>
      <c r="D3" s="96">
        <v>39814</v>
      </c>
      <c r="E3" s="96">
        <v>39815</v>
      </c>
      <c r="F3" s="96">
        <v>39816</v>
      </c>
      <c r="G3" s="96">
        <v>39817</v>
      </c>
      <c r="H3" s="96">
        <v>39818</v>
      </c>
      <c r="I3" s="96">
        <v>39819</v>
      </c>
      <c r="J3" s="96">
        <v>39820</v>
      </c>
      <c r="K3" s="96">
        <v>39821</v>
      </c>
      <c r="L3" s="96">
        <v>39822</v>
      </c>
      <c r="M3" s="96">
        <v>39823</v>
      </c>
      <c r="N3" s="96">
        <v>39824</v>
      </c>
      <c r="O3" s="96">
        <v>39825</v>
      </c>
      <c r="P3" s="96">
        <v>39826</v>
      </c>
      <c r="Q3" s="96">
        <v>39827</v>
      </c>
      <c r="R3" s="96">
        <v>39828</v>
      </c>
      <c r="S3" s="96">
        <v>39829</v>
      </c>
      <c r="T3" s="96">
        <v>39830</v>
      </c>
      <c r="U3" s="96">
        <v>39831</v>
      </c>
      <c r="V3" s="96">
        <v>39832</v>
      </c>
      <c r="W3" s="96">
        <v>39833</v>
      </c>
      <c r="X3" s="96">
        <v>39834</v>
      </c>
      <c r="Y3" s="96">
        <v>39835</v>
      </c>
      <c r="Z3" s="96">
        <v>39836</v>
      </c>
      <c r="AA3" s="96">
        <v>39837</v>
      </c>
      <c r="AB3" s="96">
        <v>39838</v>
      </c>
      <c r="AC3" s="96">
        <v>39839</v>
      </c>
      <c r="AD3" s="96">
        <v>39840</v>
      </c>
      <c r="AE3" s="96">
        <v>39841</v>
      </c>
      <c r="AF3" s="96">
        <v>39842</v>
      </c>
      <c r="AG3" s="96">
        <v>39843</v>
      </c>
      <c r="AH3" s="96">
        <v>39844</v>
      </c>
      <c r="AI3" s="96">
        <v>39845</v>
      </c>
      <c r="AJ3" s="96">
        <v>39846</v>
      </c>
      <c r="AK3" s="96">
        <v>39847</v>
      </c>
      <c r="AL3" s="96">
        <v>39848</v>
      </c>
      <c r="AM3" s="96">
        <v>39849</v>
      </c>
      <c r="AN3" s="96">
        <v>39850</v>
      </c>
      <c r="AO3" s="96">
        <v>39851</v>
      </c>
      <c r="AP3" s="96">
        <v>39852</v>
      </c>
      <c r="AQ3" s="96">
        <v>39853</v>
      </c>
      <c r="AR3" s="96">
        <v>39854</v>
      </c>
      <c r="AS3" s="96">
        <v>39855</v>
      </c>
      <c r="AT3" s="96">
        <v>39856</v>
      </c>
      <c r="AU3" s="96">
        <v>39857</v>
      </c>
      <c r="AV3" s="96">
        <v>39858</v>
      </c>
      <c r="AW3" s="96">
        <v>39859</v>
      </c>
      <c r="AX3" s="96">
        <v>39860</v>
      </c>
      <c r="AY3" s="96">
        <v>39861</v>
      </c>
      <c r="AZ3" s="96">
        <v>39862</v>
      </c>
      <c r="BA3" s="96">
        <v>39863</v>
      </c>
      <c r="BB3" s="96">
        <v>39864</v>
      </c>
      <c r="BC3" s="96">
        <v>39865</v>
      </c>
      <c r="BD3" s="96">
        <v>39866</v>
      </c>
      <c r="BE3" s="96">
        <v>39867</v>
      </c>
      <c r="BF3" s="96">
        <v>39868</v>
      </c>
      <c r="BG3" s="96">
        <v>39869</v>
      </c>
      <c r="BH3" s="96">
        <v>39870</v>
      </c>
      <c r="BI3" s="96">
        <v>39871</v>
      </c>
      <c r="BJ3" s="96">
        <v>39872</v>
      </c>
      <c r="BK3" s="96">
        <v>39873</v>
      </c>
      <c r="BL3" s="96">
        <v>39874</v>
      </c>
      <c r="BM3" s="96">
        <v>39875</v>
      </c>
      <c r="BN3" s="96">
        <v>39876</v>
      </c>
      <c r="BO3" s="96">
        <v>39877</v>
      </c>
      <c r="BP3" s="96">
        <v>39878</v>
      </c>
      <c r="BQ3" s="96">
        <v>39879</v>
      </c>
      <c r="BR3" s="96">
        <v>39880</v>
      </c>
      <c r="BS3" s="96">
        <v>39881</v>
      </c>
      <c r="BT3" s="96">
        <v>39882</v>
      </c>
      <c r="BU3" s="96">
        <v>39883</v>
      </c>
      <c r="BV3" s="96">
        <v>39884</v>
      </c>
      <c r="BW3" s="96">
        <v>39885</v>
      </c>
      <c r="BX3" s="96">
        <v>39886</v>
      </c>
      <c r="BY3" s="96">
        <v>39887</v>
      </c>
      <c r="BZ3" s="96">
        <v>39888</v>
      </c>
      <c r="CA3" s="96">
        <v>39889</v>
      </c>
      <c r="CB3" s="96">
        <v>39890</v>
      </c>
      <c r="CC3" s="96">
        <v>39891</v>
      </c>
      <c r="CD3" s="96">
        <v>39892</v>
      </c>
      <c r="CE3" s="96">
        <v>39893</v>
      </c>
      <c r="CF3" s="96">
        <v>39894</v>
      </c>
      <c r="CG3" s="96">
        <v>39895</v>
      </c>
      <c r="CH3" s="96">
        <v>39896</v>
      </c>
      <c r="CI3" s="96">
        <v>39897</v>
      </c>
      <c r="CJ3" s="96">
        <v>39898</v>
      </c>
      <c r="CK3" s="96">
        <v>39899</v>
      </c>
      <c r="CL3" s="96">
        <v>39900</v>
      </c>
      <c r="CM3" s="96">
        <v>39901</v>
      </c>
      <c r="CN3" s="96">
        <v>39902</v>
      </c>
      <c r="CO3" s="96">
        <v>39903</v>
      </c>
      <c r="CP3" s="96">
        <v>39904</v>
      </c>
      <c r="CQ3" s="96">
        <v>39905</v>
      </c>
      <c r="CR3" s="96">
        <v>39906</v>
      </c>
      <c r="CS3" s="96">
        <v>39907</v>
      </c>
      <c r="CT3" s="96">
        <v>39908</v>
      </c>
      <c r="CU3" s="96">
        <v>39909</v>
      </c>
      <c r="CV3" s="96">
        <v>39910</v>
      </c>
      <c r="CW3" s="96">
        <v>39911</v>
      </c>
      <c r="CX3" s="96">
        <v>39912</v>
      </c>
      <c r="CY3" s="96">
        <v>39913</v>
      </c>
      <c r="CZ3" s="96">
        <v>39914</v>
      </c>
      <c r="DA3" s="96">
        <v>39915</v>
      </c>
      <c r="DB3" s="96">
        <v>39916</v>
      </c>
      <c r="DC3" s="96">
        <v>39917</v>
      </c>
      <c r="DD3" s="96">
        <v>39918</v>
      </c>
      <c r="DE3" s="96">
        <v>39919</v>
      </c>
      <c r="DF3" s="96">
        <v>39920</v>
      </c>
      <c r="DG3" s="96">
        <v>39921</v>
      </c>
      <c r="DH3" s="96">
        <v>39922</v>
      </c>
      <c r="DI3" s="96">
        <v>39923</v>
      </c>
      <c r="DJ3" s="96">
        <v>39924</v>
      </c>
      <c r="DK3" s="96">
        <v>39925</v>
      </c>
      <c r="DL3" s="96">
        <v>39926</v>
      </c>
      <c r="DM3" s="96">
        <v>39927</v>
      </c>
      <c r="DN3" s="96">
        <v>39928</v>
      </c>
      <c r="DO3" s="96">
        <v>39929</v>
      </c>
      <c r="DP3" s="96">
        <v>39930</v>
      </c>
      <c r="DQ3" s="96">
        <v>39931</v>
      </c>
      <c r="DR3" s="96">
        <v>39932</v>
      </c>
      <c r="DS3" s="96">
        <v>39933</v>
      </c>
      <c r="DT3" s="96">
        <v>39934</v>
      </c>
      <c r="DU3" s="96">
        <v>39935</v>
      </c>
      <c r="DV3" s="96">
        <v>39936</v>
      </c>
      <c r="DW3" s="96">
        <v>39937</v>
      </c>
      <c r="DX3" s="96">
        <v>39938</v>
      </c>
      <c r="DY3" s="96">
        <v>39939</v>
      </c>
      <c r="DZ3" s="96">
        <v>39940</v>
      </c>
      <c r="EA3" s="96">
        <v>39941</v>
      </c>
      <c r="EB3" s="96">
        <v>39942</v>
      </c>
      <c r="EC3" s="96">
        <v>39943</v>
      </c>
      <c r="ED3" s="96">
        <v>39944</v>
      </c>
      <c r="EE3" s="96">
        <v>39945</v>
      </c>
      <c r="EF3" s="96">
        <v>39946</v>
      </c>
      <c r="EG3" s="96">
        <v>39947</v>
      </c>
      <c r="EH3" s="96">
        <v>39948</v>
      </c>
      <c r="EI3" s="96">
        <v>39949</v>
      </c>
      <c r="EJ3" s="96">
        <v>39950</v>
      </c>
      <c r="EK3" s="96">
        <v>39951</v>
      </c>
      <c r="EL3" s="96">
        <v>39952</v>
      </c>
      <c r="EM3" s="96">
        <v>39953</v>
      </c>
      <c r="EN3" s="96">
        <v>39954</v>
      </c>
      <c r="EO3" s="96">
        <v>39955</v>
      </c>
      <c r="EP3" s="96">
        <v>39956</v>
      </c>
      <c r="EQ3" s="96">
        <v>39957</v>
      </c>
      <c r="ER3" s="96">
        <v>39958</v>
      </c>
      <c r="ES3" s="96">
        <v>39959</v>
      </c>
      <c r="ET3" s="96">
        <v>39960</v>
      </c>
      <c r="EU3" s="96">
        <v>39961</v>
      </c>
      <c r="EV3" s="96">
        <v>39962</v>
      </c>
      <c r="EW3" s="96">
        <v>39963</v>
      </c>
      <c r="EX3" s="96">
        <v>39964</v>
      </c>
      <c r="EY3" s="96">
        <v>39965</v>
      </c>
      <c r="EZ3" s="96">
        <v>39966</v>
      </c>
      <c r="FA3" s="96">
        <v>39967</v>
      </c>
      <c r="FB3" s="96">
        <v>39968</v>
      </c>
      <c r="FC3" s="96">
        <v>39969</v>
      </c>
      <c r="FD3" s="96">
        <v>39970</v>
      </c>
      <c r="FE3" s="96">
        <v>39971</v>
      </c>
      <c r="FF3" s="96">
        <v>39972</v>
      </c>
      <c r="FG3" s="96">
        <v>39973</v>
      </c>
      <c r="FH3" s="96">
        <v>39974</v>
      </c>
      <c r="FI3" s="96">
        <v>39975</v>
      </c>
      <c r="FJ3" s="96">
        <v>39976</v>
      </c>
      <c r="FK3" s="96">
        <v>39977</v>
      </c>
      <c r="FL3" s="96">
        <v>39978</v>
      </c>
      <c r="FM3" s="96">
        <v>39979</v>
      </c>
      <c r="FN3" s="96">
        <v>39980</v>
      </c>
      <c r="FO3" s="96">
        <v>39981</v>
      </c>
      <c r="FP3" s="96">
        <v>39982</v>
      </c>
      <c r="FQ3" s="96">
        <v>39983</v>
      </c>
      <c r="FR3" s="96">
        <v>39984</v>
      </c>
      <c r="FS3" s="96">
        <v>39985</v>
      </c>
      <c r="FT3" s="96">
        <v>39986</v>
      </c>
      <c r="FU3" s="96">
        <v>39987</v>
      </c>
      <c r="FV3" s="96">
        <v>39988</v>
      </c>
      <c r="FW3" s="96">
        <v>39989</v>
      </c>
      <c r="FX3" s="96">
        <v>39990</v>
      </c>
      <c r="FY3" s="96">
        <v>39991</v>
      </c>
      <c r="FZ3" s="96">
        <v>39992</v>
      </c>
      <c r="GA3" s="96">
        <v>39993</v>
      </c>
      <c r="GB3" s="96">
        <v>39994</v>
      </c>
      <c r="GC3" s="96">
        <v>39995</v>
      </c>
      <c r="GD3" s="96">
        <v>39996</v>
      </c>
      <c r="GE3" s="96">
        <v>39997</v>
      </c>
      <c r="GF3" s="96">
        <v>39998</v>
      </c>
      <c r="GG3" s="96">
        <v>39999</v>
      </c>
      <c r="GH3" s="96">
        <v>40000</v>
      </c>
      <c r="GI3" s="96">
        <v>40001</v>
      </c>
      <c r="GJ3" s="96"/>
      <c r="GK3" s="96"/>
      <c r="GM3" s="96"/>
    </row>
    <row r="4" spans="1:195" s="116" customFormat="1">
      <c r="A4" s="389">
        <v>2009</v>
      </c>
      <c r="B4" s="391" t="s">
        <v>42</v>
      </c>
      <c r="C4" s="98" t="s">
        <v>0</v>
      </c>
      <c r="D4" s="107"/>
      <c r="E4" s="108"/>
      <c r="F4" s="108"/>
      <c r="G4" s="108"/>
      <c r="H4" s="108"/>
      <c r="I4" s="108"/>
      <c r="J4" s="109"/>
      <c r="K4" s="110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2"/>
      <c r="AC4" s="112"/>
      <c r="AD4" s="113"/>
      <c r="AE4" s="113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2"/>
      <c r="BT4" s="113"/>
      <c r="BU4" s="113"/>
      <c r="BV4" s="111"/>
      <c r="BW4" s="111"/>
      <c r="BX4" s="111"/>
      <c r="BY4" s="111"/>
      <c r="BZ4" s="111"/>
      <c r="CA4" s="111"/>
      <c r="CB4" s="111"/>
      <c r="CC4" s="111"/>
      <c r="CD4" s="111"/>
      <c r="CE4" s="111"/>
      <c r="CF4" s="111"/>
      <c r="CG4" s="111"/>
      <c r="CH4" s="111"/>
      <c r="CI4" s="111"/>
      <c r="CJ4" s="111"/>
      <c r="CK4" s="111"/>
      <c r="CL4" s="111"/>
      <c r="CM4" s="114"/>
      <c r="CN4" s="111"/>
      <c r="CO4" s="114"/>
      <c r="CP4" s="111"/>
      <c r="CQ4" s="114"/>
      <c r="CR4" s="111"/>
      <c r="CS4" s="114"/>
      <c r="CT4" s="111"/>
      <c r="CU4" s="114"/>
      <c r="CV4" s="111"/>
      <c r="CW4" s="114"/>
      <c r="CX4" s="111"/>
      <c r="CY4" s="114"/>
      <c r="CZ4" s="111"/>
      <c r="DA4" s="114"/>
      <c r="DB4" s="111"/>
      <c r="DC4" s="114"/>
      <c r="DD4" s="111"/>
      <c r="DE4" s="114"/>
      <c r="DF4" s="111"/>
      <c r="DG4" s="114"/>
      <c r="DH4" s="114"/>
      <c r="DI4" s="111"/>
      <c r="DJ4" s="114"/>
      <c r="DK4" s="114"/>
      <c r="DL4" s="111"/>
      <c r="DM4" s="114"/>
      <c r="DN4" s="114"/>
      <c r="DO4" s="114"/>
      <c r="DP4" s="114"/>
      <c r="DQ4" s="114"/>
      <c r="DR4" s="114"/>
      <c r="DS4" s="114"/>
      <c r="DT4" s="114"/>
      <c r="DU4" s="114"/>
      <c r="DV4" s="114"/>
      <c r="DW4" s="114"/>
      <c r="DX4" s="114"/>
      <c r="DY4" s="114"/>
      <c r="DZ4" s="114"/>
      <c r="EA4" s="114"/>
      <c r="EB4" s="114"/>
      <c r="EC4" s="114"/>
      <c r="ED4" s="114"/>
      <c r="EE4" s="114"/>
      <c r="EF4" s="114"/>
      <c r="EG4" s="114"/>
      <c r="EH4" s="114"/>
      <c r="EI4" s="114"/>
      <c r="EJ4" s="114"/>
      <c r="EK4" s="114"/>
      <c r="EL4" s="114"/>
      <c r="EM4" s="114"/>
      <c r="EN4" s="114"/>
      <c r="EO4" s="114"/>
      <c r="EP4" s="114"/>
      <c r="EQ4" s="114"/>
      <c r="ER4" s="114"/>
      <c r="ES4" s="114"/>
      <c r="ET4" s="114"/>
      <c r="EU4" s="114"/>
      <c r="EV4" s="114"/>
      <c r="EW4" s="114"/>
      <c r="EX4" s="114"/>
      <c r="EY4" s="114"/>
      <c r="EZ4" s="112"/>
      <c r="FA4" s="115"/>
      <c r="FB4" s="115"/>
      <c r="FC4" s="115"/>
      <c r="FD4" s="115"/>
      <c r="FE4" s="115"/>
      <c r="FF4" s="115"/>
      <c r="FG4" s="115"/>
      <c r="FH4" s="115"/>
      <c r="FI4" s="115"/>
      <c r="FJ4" s="115"/>
      <c r="FK4" s="115"/>
      <c r="FL4" s="197"/>
      <c r="FM4" s="115"/>
      <c r="FN4" s="115"/>
      <c r="FO4" s="115"/>
      <c r="FP4" s="115"/>
      <c r="FQ4" s="115"/>
      <c r="FR4" s="115"/>
      <c r="FS4" s="115"/>
      <c r="FT4" s="115"/>
      <c r="FU4" s="115"/>
      <c r="FV4" s="115"/>
      <c r="FW4" s="115"/>
      <c r="FX4" s="115"/>
      <c r="FY4" s="115"/>
      <c r="FZ4" s="115"/>
      <c r="GA4" s="115"/>
      <c r="GB4" s="115"/>
      <c r="GC4" s="115"/>
      <c r="GD4" s="115"/>
      <c r="GE4" s="115"/>
      <c r="GF4" s="115"/>
      <c r="GG4" s="115"/>
      <c r="GH4" s="115"/>
      <c r="GI4" s="115"/>
      <c r="GJ4" s="200"/>
      <c r="GK4" s="200"/>
      <c r="GM4" s="115"/>
    </row>
    <row r="5" spans="1:195" s="13" customFormat="1">
      <c r="A5" s="390"/>
      <c r="B5" s="392"/>
      <c r="C5" s="100" t="s">
        <v>43</v>
      </c>
      <c r="D5" s="157"/>
      <c r="E5" s="71" t="s">
        <v>96</v>
      </c>
      <c r="F5" s="71" t="s">
        <v>96</v>
      </c>
      <c r="G5" s="71" t="s">
        <v>96</v>
      </c>
      <c r="H5" s="71" t="s">
        <v>96</v>
      </c>
      <c r="I5" s="71" t="s">
        <v>96</v>
      </c>
      <c r="J5" s="71" t="s">
        <v>96</v>
      </c>
      <c r="K5" s="71" t="s">
        <v>96</v>
      </c>
      <c r="L5" s="71" t="s">
        <v>96</v>
      </c>
      <c r="M5" s="71"/>
      <c r="N5" s="71" t="s">
        <v>96</v>
      </c>
      <c r="O5" s="71" t="s">
        <v>96</v>
      </c>
      <c r="P5" s="71" t="s">
        <v>96</v>
      </c>
      <c r="Q5" s="71" t="s">
        <v>96</v>
      </c>
      <c r="R5" s="71" t="s">
        <v>96</v>
      </c>
      <c r="S5" s="71" t="s">
        <v>96</v>
      </c>
      <c r="T5" s="71" t="s">
        <v>96</v>
      </c>
      <c r="U5" s="71" t="s">
        <v>96</v>
      </c>
      <c r="V5" s="71" t="s">
        <v>96</v>
      </c>
      <c r="W5" s="71" t="s">
        <v>96</v>
      </c>
      <c r="X5" s="71" t="s">
        <v>96</v>
      </c>
      <c r="Y5" s="71" t="s">
        <v>96</v>
      </c>
      <c r="Z5" s="71" t="s">
        <v>96</v>
      </c>
      <c r="AA5" s="71"/>
      <c r="AB5" s="160"/>
      <c r="AC5" s="71" t="s">
        <v>97</v>
      </c>
      <c r="AD5" s="71" t="s">
        <v>96</v>
      </c>
      <c r="AE5" s="71" t="s">
        <v>96</v>
      </c>
      <c r="AF5" s="71" t="s">
        <v>96</v>
      </c>
      <c r="AG5" s="71" t="s">
        <v>96</v>
      </c>
      <c r="AH5" s="160"/>
      <c r="AI5" s="160"/>
      <c r="AJ5" s="71" t="s">
        <v>96</v>
      </c>
      <c r="AK5" s="71" t="s">
        <v>96</v>
      </c>
      <c r="AL5" s="71" t="s">
        <v>96</v>
      </c>
      <c r="AM5" s="71" t="s">
        <v>96</v>
      </c>
      <c r="AN5" s="71" t="s">
        <v>96</v>
      </c>
      <c r="AO5" s="160"/>
      <c r="AP5" s="160"/>
      <c r="AQ5" s="71" t="s">
        <v>96</v>
      </c>
      <c r="AR5" s="71" t="s">
        <v>96</v>
      </c>
      <c r="AS5" s="71" t="s">
        <v>96</v>
      </c>
      <c r="AT5" s="71" t="s">
        <v>96</v>
      </c>
      <c r="AU5" s="71" t="s">
        <v>96</v>
      </c>
      <c r="AV5" s="160"/>
      <c r="AW5" s="160"/>
      <c r="AX5" s="71" t="s">
        <v>96</v>
      </c>
      <c r="AY5" s="71" t="s">
        <v>96</v>
      </c>
      <c r="AZ5" s="71" t="s">
        <v>96</v>
      </c>
      <c r="BA5" s="71" t="s">
        <v>96</v>
      </c>
      <c r="BB5" s="71" t="s">
        <v>96</v>
      </c>
      <c r="BC5" s="71" t="s">
        <v>96</v>
      </c>
      <c r="BD5" s="71" t="s">
        <v>96</v>
      </c>
      <c r="BE5" s="71" t="s">
        <v>96</v>
      </c>
      <c r="BF5" s="71" t="s">
        <v>96</v>
      </c>
      <c r="BG5" s="71" t="s">
        <v>96</v>
      </c>
      <c r="BH5" s="71" t="s">
        <v>96</v>
      </c>
      <c r="BI5" s="71" t="s">
        <v>96</v>
      </c>
      <c r="BJ5" s="71"/>
      <c r="BK5" s="71" t="s">
        <v>96</v>
      </c>
      <c r="BL5" s="71" t="s">
        <v>96</v>
      </c>
      <c r="BM5" s="71" t="s">
        <v>96</v>
      </c>
      <c r="BN5" s="71" t="s">
        <v>96</v>
      </c>
      <c r="BO5" s="71" t="s">
        <v>96</v>
      </c>
      <c r="BP5" s="71" t="s">
        <v>96</v>
      </c>
      <c r="BQ5" s="71"/>
      <c r="BR5" s="71" t="s">
        <v>96</v>
      </c>
      <c r="BS5" s="71" t="s">
        <v>96</v>
      </c>
      <c r="BT5" s="71" t="s">
        <v>96</v>
      </c>
      <c r="BU5" s="71" t="s">
        <v>96</v>
      </c>
      <c r="BV5" s="71" t="s">
        <v>96</v>
      </c>
      <c r="BW5" s="71" t="s">
        <v>96</v>
      </c>
      <c r="BX5" s="71"/>
      <c r="BY5" s="71" t="s">
        <v>96</v>
      </c>
      <c r="BZ5" s="71" t="s">
        <v>96</v>
      </c>
      <c r="CA5" s="71" t="s">
        <v>96</v>
      </c>
      <c r="CB5" s="71" t="s">
        <v>96</v>
      </c>
      <c r="CC5" s="71" t="s">
        <v>96</v>
      </c>
      <c r="CD5" s="71" t="s">
        <v>96</v>
      </c>
      <c r="CE5" s="71"/>
      <c r="CF5" s="71" t="s">
        <v>96</v>
      </c>
      <c r="CG5" s="71" t="s">
        <v>96</v>
      </c>
      <c r="CH5" s="71" t="s">
        <v>96</v>
      </c>
      <c r="CI5" s="71" t="s">
        <v>96</v>
      </c>
      <c r="CJ5" s="71" t="s">
        <v>96</v>
      </c>
      <c r="CK5" s="71" t="s">
        <v>96</v>
      </c>
      <c r="CL5" s="71" t="s">
        <v>96</v>
      </c>
      <c r="CM5" s="71" t="s">
        <v>96</v>
      </c>
      <c r="CN5" s="71" t="s">
        <v>96</v>
      </c>
      <c r="CO5" s="71" t="s">
        <v>96</v>
      </c>
      <c r="CP5" s="71" t="s">
        <v>96</v>
      </c>
      <c r="CQ5" s="71" t="s">
        <v>96</v>
      </c>
      <c r="CR5" s="71" t="s">
        <v>96</v>
      </c>
      <c r="CS5" s="71"/>
      <c r="CT5" s="71" t="s">
        <v>96</v>
      </c>
      <c r="CU5" s="71" t="s">
        <v>96</v>
      </c>
      <c r="CV5" s="71" t="s">
        <v>96</v>
      </c>
      <c r="CW5" s="71" t="s">
        <v>96</v>
      </c>
      <c r="CX5" s="71" t="s">
        <v>96</v>
      </c>
      <c r="CY5" s="71" t="s">
        <v>96</v>
      </c>
      <c r="CZ5" s="71"/>
      <c r="DA5" s="71" t="s">
        <v>96</v>
      </c>
      <c r="DB5" s="71" t="s">
        <v>96</v>
      </c>
      <c r="DC5" s="71" t="s">
        <v>96</v>
      </c>
      <c r="DD5" s="71" t="s">
        <v>96</v>
      </c>
      <c r="DE5" s="71" t="s">
        <v>96</v>
      </c>
      <c r="DF5" s="71" t="s">
        <v>96</v>
      </c>
      <c r="DG5" s="71" t="s">
        <v>96</v>
      </c>
      <c r="DH5" s="160"/>
      <c r="DI5" s="71" t="s">
        <v>96</v>
      </c>
      <c r="DJ5" s="71" t="s">
        <v>96</v>
      </c>
      <c r="DK5" s="71" t="s">
        <v>96</v>
      </c>
      <c r="DL5" s="397" t="s">
        <v>105</v>
      </c>
      <c r="DM5" s="71" t="s">
        <v>96</v>
      </c>
      <c r="DN5" s="71" t="s">
        <v>96</v>
      </c>
      <c r="DO5" s="160"/>
      <c r="DP5" s="71" t="s">
        <v>96</v>
      </c>
      <c r="DQ5" s="71" t="s">
        <v>96</v>
      </c>
      <c r="DR5" s="71" t="s">
        <v>96</v>
      </c>
      <c r="DS5" s="71" t="s">
        <v>96</v>
      </c>
      <c r="DT5" s="381" t="s">
        <v>106</v>
      </c>
      <c r="DU5" s="71"/>
      <c r="DV5" s="71" t="s">
        <v>96</v>
      </c>
      <c r="DW5" s="71" t="s">
        <v>96</v>
      </c>
      <c r="DX5" s="71" t="s">
        <v>96</v>
      </c>
      <c r="DY5" s="71" t="s">
        <v>96</v>
      </c>
      <c r="DZ5" s="71" t="s">
        <v>96</v>
      </c>
      <c r="EA5" s="71" t="s">
        <v>96</v>
      </c>
      <c r="EB5" s="71" t="s">
        <v>96</v>
      </c>
      <c r="EC5" s="71" t="s">
        <v>96</v>
      </c>
      <c r="ED5" s="71" t="s">
        <v>96</v>
      </c>
      <c r="EE5" s="71" t="s">
        <v>96</v>
      </c>
      <c r="EF5" s="71" t="s">
        <v>96</v>
      </c>
      <c r="EG5" s="71" t="s">
        <v>96</v>
      </c>
      <c r="EH5" s="71" t="s">
        <v>96</v>
      </c>
      <c r="EI5" s="71"/>
      <c r="EJ5" s="71" t="s">
        <v>96</v>
      </c>
      <c r="EK5" s="71" t="s">
        <v>96</v>
      </c>
      <c r="EL5" s="160"/>
      <c r="EM5" s="71" t="s">
        <v>96</v>
      </c>
      <c r="EN5" s="71" t="s">
        <v>96</v>
      </c>
      <c r="EO5" s="71" t="s">
        <v>96</v>
      </c>
      <c r="EP5" s="71" t="s">
        <v>96</v>
      </c>
      <c r="EQ5" s="71" t="s">
        <v>96</v>
      </c>
      <c r="ER5" s="71" t="s">
        <v>96</v>
      </c>
      <c r="ES5" s="71" t="s">
        <v>96</v>
      </c>
      <c r="ET5" s="71" t="s">
        <v>96</v>
      </c>
      <c r="EU5" s="71" t="s">
        <v>96</v>
      </c>
      <c r="EV5" s="71" t="s">
        <v>96</v>
      </c>
      <c r="EW5" s="71" t="s">
        <v>96</v>
      </c>
      <c r="EX5" s="71" t="s">
        <v>96</v>
      </c>
      <c r="EY5" s="71" t="s">
        <v>96</v>
      </c>
      <c r="EZ5" s="71" t="s">
        <v>96</v>
      </c>
      <c r="FA5" s="71" t="s">
        <v>96</v>
      </c>
      <c r="FB5" s="71" t="s">
        <v>96</v>
      </c>
      <c r="FC5" s="71" t="s">
        <v>96</v>
      </c>
      <c r="FD5" s="71" t="s">
        <v>96</v>
      </c>
      <c r="FE5" s="71" t="s">
        <v>96</v>
      </c>
      <c r="FF5" s="71" t="s">
        <v>96</v>
      </c>
      <c r="FG5" s="71" t="s">
        <v>96</v>
      </c>
      <c r="FH5" s="71" t="s">
        <v>96</v>
      </c>
      <c r="FI5" s="71" t="s">
        <v>96</v>
      </c>
      <c r="FJ5" s="71" t="s">
        <v>96</v>
      </c>
      <c r="FK5" s="71" t="s">
        <v>96</v>
      </c>
      <c r="FL5" s="198"/>
      <c r="FM5" s="71" t="s">
        <v>96</v>
      </c>
      <c r="FN5" s="71" t="s">
        <v>96</v>
      </c>
      <c r="FO5" s="71" t="s">
        <v>96</v>
      </c>
      <c r="FP5" s="71" t="s">
        <v>96</v>
      </c>
      <c r="FQ5" s="71" t="s">
        <v>96</v>
      </c>
      <c r="FR5" s="199"/>
      <c r="FS5" s="198"/>
      <c r="FT5" s="71" t="s">
        <v>96</v>
      </c>
      <c r="FU5" s="71" t="s">
        <v>96</v>
      </c>
      <c r="FV5" s="71" t="s">
        <v>96</v>
      </c>
      <c r="FW5" s="71" t="s">
        <v>96</v>
      </c>
      <c r="FX5" s="71" t="s">
        <v>96</v>
      </c>
      <c r="FY5" s="199"/>
      <c r="FZ5" s="198"/>
      <c r="GA5" s="71" t="s">
        <v>96</v>
      </c>
      <c r="GB5" s="71" t="s">
        <v>96</v>
      </c>
      <c r="GC5" s="71" t="s">
        <v>96</v>
      </c>
      <c r="GD5" s="71" t="s">
        <v>96</v>
      </c>
      <c r="GE5" s="71" t="s">
        <v>96</v>
      </c>
      <c r="GF5" s="199"/>
      <c r="GG5" s="198"/>
      <c r="GH5" s="71" t="s">
        <v>96</v>
      </c>
      <c r="GI5" s="71" t="s">
        <v>96</v>
      </c>
      <c r="GJ5" s="71"/>
      <c r="GK5" s="71"/>
      <c r="GM5" s="71"/>
    </row>
    <row r="6" spans="1:195" s="13" customFormat="1">
      <c r="A6" s="390"/>
      <c r="B6" s="392"/>
      <c r="C6" s="100" t="s">
        <v>44</v>
      </c>
      <c r="D6" s="157"/>
      <c r="E6" s="71" t="s">
        <v>96</v>
      </c>
      <c r="F6" s="71" t="s">
        <v>96</v>
      </c>
      <c r="G6" s="71" t="s">
        <v>96</v>
      </c>
      <c r="H6" s="71" t="s">
        <v>96</v>
      </c>
      <c r="I6" s="71" t="s">
        <v>96</v>
      </c>
      <c r="J6" s="71" t="s">
        <v>96</v>
      </c>
      <c r="K6" s="71" t="s">
        <v>96</v>
      </c>
      <c r="L6" s="71" t="s">
        <v>96</v>
      </c>
      <c r="M6" s="71"/>
      <c r="N6" s="71" t="s">
        <v>96</v>
      </c>
      <c r="O6" s="71" t="s">
        <v>96</v>
      </c>
      <c r="P6" s="71" t="s">
        <v>96</v>
      </c>
      <c r="Q6" s="71" t="s">
        <v>96</v>
      </c>
      <c r="R6" s="71" t="s">
        <v>96</v>
      </c>
      <c r="S6" s="71" t="s">
        <v>96</v>
      </c>
      <c r="T6" s="71" t="s">
        <v>96</v>
      </c>
      <c r="U6" s="71" t="s">
        <v>96</v>
      </c>
      <c r="V6" s="71" t="s">
        <v>96</v>
      </c>
      <c r="W6" s="71" t="s">
        <v>96</v>
      </c>
      <c r="X6" s="71" t="s">
        <v>96</v>
      </c>
      <c r="Y6" s="71" t="s">
        <v>96</v>
      </c>
      <c r="Z6" s="71" t="s">
        <v>96</v>
      </c>
      <c r="AA6" s="71"/>
      <c r="AB6" s="160"/>
      <c r="AC6" s="71" t="s">
        <v>96</v>
      </c>
      <c r="AD6" s="71" t="s">
        <v>96</v>
      </c>
      <c r="AE6" s="71" t="s">
        <v>96</v>
      </c>
      <c r="AF6" s="71" t="s">
        <v>96</v>
      </c>
      <c r="AG6" s="71" t="s">
        <v>96</v>
      </c>
      <c r="AH6" s="160"/>
      <c r="AI6" s="160"/>
      <c r="AJ6" s="71" t="s">
        <v>96</v>
      </c>
      <c r="AK6" s="71" t="s">
        <v>96</v>
      </c>
      <c r="AL6" s="71" t="s">
        <v>96</v>
      </c>
      <c r="AM6" s="71" t="s">
        <v>96</v>
      </c>
      <c r="AN6" s="71" t="s">
        <v>96</v>
      </c>
      <c r="AO6" s="160"/>
      <c r="AP6" s="160"/>
      <c r="AQ6" s="71" t="s">
        <v>96</v>
      </c>
      <c r="AR6" s="71" t="s">
        <v>96</v>
      </c>
      <c r="AS6" s="71" t="s">
        <v>96</v>
      </c>
      <c r="AT6" s="71" t="s">
        <v>96</v>
      </c>
      <c r="AU6" s="71" t="s">
        <v>96</v>
      </c>
      <c r="AV6" s="160"/>
      <c r="AW6" s="160"/>
      <c r="AX6" s="71" t="s">
        <v>96</v>
      </c>
      <c r="AY6" s="71" t="s">
        <v>96</v>
      </c>
      <c r="AZ6" s="71" t="s">
        <v>96</v>
      </c>
      <c r="BA6" s="71" t="s">
        <v>96</v>
      </c>
      <c r="BB6" s="71" t="s">
        <v>96</v>
      </c>
      <c r="BC6" s="71" t="s">
        <v>96</v>
      </c>
      <c r="BD6" s="71" t="s">
        <v>96</v>
      </c>
      <c r="BE6" s="71" t="s">
        <v>96</v>
      </c>
      <c r="BF6" s="71" t="s">
        <v>96</v>
      </c>
      <c r="BG6" s="71" t="s">
        <v>96</v>
      </c>
      <c r="BH6" s="71" t="s">
        <v>96</v>
      </c>
      <c r="BI6" s="71" t="s">
        <v>96</v>
      </c>
      <c r="BJ6" s="71"/>
      <c r="BK6" s="71" t="s">
        <v>96</v>
      </c>
      <c r="BL6" s="71" t="s">
        <v>96</v>
      </c>
      <c r="BM6" s="71" t="s">
        <v>96</v>
      </c>
      <c r="BN6" s="71" t="s">
        <v>96</v>
      </c>
      <c r="BO6" s="71" t="s">
        <v>96</v>
      </c>
      <c r="BP6" s="71" t="s">
        <v>96</v>
      </c>
      <c r="BQ6" s="71"/>
      <c r="BR6" s="71" t="s">
        <v>96</v>
      </c>
      <c r="BS6" s="71" t="s">
        <v>96</v>
      </c>
      <c r="BT6" s="71" t="s">
        <v>96</v>
      </c>
      <c r="BU6" s="71" t="s">
        <v>96</v>
      </c>
      <c r="BV6" s="71" t="s">
        <v>96</v>
      </c>
      <c r="BW6" s="71" t="s">
        <v>96</v>
      </c>
      <c r="BX6" s="71"/>
      <c r="BY6" s="71" t="s">
        <v>96</v>
      </c>
      <c r="BZ6" s="71" t="s">
        <v>96</v>
      </c>
      <c r="CA6" s="71" t="s">
        <v>96</v>
      </c>
      <c r="CB6" s="71" t="s">
        <v>96</v>
      </c>
      <c r="CC6" s="71" t="s">
        <v>96</v>
      </c>
      <c r="CD6" s="71" t="s">
        <v>96</v>
      </c>
      <c r="CE6" s="71"/>
      <c r="CF6" s="71" t="s">
        <v>96</v>
      </c>
      <c r="CG6" s="71" t="s">
        <v>96</v>
      </c>
      <c r="CH6" s="71" t="s">
        <v>96</v>
      </c>
      <c r="CI6" s="71" t="s">
        <v>96</v>
      </c>
      <c r="CJ6" s="71" t="s">
        <v>96</v>
      </c>
      <c r="CK6" s="71" t="s">
        <v>96</v>
      </c>
      <c r="CL6" s="71" t="s">
        <v>96</v>
      </c>
      <c r="CM6" s="71" t="s">
        <v>96</v>
      </c>
      <c r="CN6" s="71" t="s">
        <v>96</v>
      </c>
      <c r="CO6" s="71" t="s">
        <v>96</v>
      </c>
      <c r="CP6" s="71" t="s">
        <v>96</v>
      </c>
      <c r="CQ6" s="71" t="s">
        <v>96</v>
      </c>
      <c r="CR6" s="71" t="s">
        <v>96</v>
      </c>
      <c r="CS6" s="71"/>
      <c r="CT6" s="71" t="s">
        <v>96</v>
      </c>
      <c r="CU6" s="71" t="s">
        <v>96</v>
      </c>
      <c r="CV6" s="71" t="s">
        <v>96</v>
      </c>
      <c r="CW6" s="71" t="s">
        <v>96</v>
      </c>
      <c r="CX6" s="71" t="s">
        <v>96</v>
      </c>
      <c r="CY6" s="71" t="s">
        <v>96</v>
      </c>
      <c r="CZ6" s="71"/>
      <c r="DA6" s="71" t="s">
        <v>96</v>
      </c>
      <c r="DB6" s="71" t="s">
        <v>96</v>
      </c>
      <c r="DC6" s="71" t="s">
        <v>96</v>
      </c>
      <c r="DD6" s="71" t="s">
        <v>96</v>
      </c>
      <c r="DE6" s="71" t="s">
        <v>96</v>
      </c>
      <c r="DF6" s="71" t="s">
        <v>96</v>
      </c>
      <c r="DG6" s="71" t="s">
        <v>96</v>
      </c>
      <c r="DH6" s="160"/>
      <c r="DI6" s="71" t="s">
        <v>96</v>
      </c>
      <c r="DJ6" s="71" t="s">
        <v>96</v>
      </c>
      <c r="DK6" s="71" t="s">
        <v>96</v>
      </c>
      <c r="DL6" s="382"/>
      <c r="DM6" s="71" t="s">
        <v>96</v>
      </c>
      <c r="DN6" s="71" t="s">
        <v>96</v>
      </c>
      <c r="DO6" s="160"/>
      <c r="DP6" s="71" t="s">
        <v>96</v>
      </c>
      <c r="DQ6" s="71" t="s">
        <v>96</v>
      </c>
      <c r="DR6" s="71" t="s">
        <v>96</v>
      </c>
      <c r="DS6" s="71" t="s">
        <v>96</v>
      </c>
      <c r="DT6" s="382"/>
      <c r="DU6" s="71"/>
      <c r="DV6" s="71" t="s">
        <v>96</v>
      </c>
      <c r="DW6" s="71" t="s">
        <v>96</v>
      </c>
      <c r="DX6" s="71" t="s">
        <v>96</v>
      </c>
      <c r="DY6" s="71" t="s">
        <v>96</v>
      </c>
      <c r="DZ6" s="71" t="s">
        <v>96</v>
      </c>
      <c r="EA6" s="71" t="s">
        <v>96</v>
      </c>
      <c r="EB6" s="71" t="s">
        <v>96</v>
      </c>
      <c r="EC6" s="71" t="s">
        <v>96</v>
      </c>
      <c r="ED6" s="71" t="s">
        <v>96</v>
      </c>
      <c r="EE6" s="71" t="s">
        <v>96</v>
      </c>
      <c r="EF6" s="71" t="s">
        <v>96</v>
      </c>
      <c r="EG6" s="71" t="s">
        <v>96</v>
      </c>
      <c r="EH6" s="71" t="s">
        <v>96</v>
      </c>
      <c r="EI6" s="71"/>
      <c r="EJ6" s="71" t="s">
        <v>96</v>
      </c>
      <c r="EK6" s="71" t="s">
        <v>96</v>
      </c>
      <c r="EL6" s="160"/>
      <c r="EM6" s="71" t="s">
        <v>96</v>
      </c>
      <c r="EN6" s="71" t="s">
        <v>96</v>
      </c>
      <c r="EO6" s="71" t="s">
        <v>96</v>
      </c>
      <c r="EP6" s="71" t="s">
        <v>96</v>
      </c>
      <c r="EQ6" s="71" t="s">
        <v>96</v>
      </c>
      <c r="ER6" s="71" t="s">
        <v>96</v>
      </c>
      <c r="ES6" s="71" t="s">
        <v>96</v>
      </c>
      <c r="ET6" s="71" t="s">
        <v>96</v>
      </c>
      <c r="EU6" s="71" t="s">
        <v>96</v>
      </c>
      <c r="EV6" s="71" t="s">
        <v>96</v>
      </c>
      <c r="EW6" s="71" t="s">
        <v>96</v>
      </c>
      <c r="EX6" s="71" t="s">
        <v>96</v>
      </c>
      <c r="EY6" s="71" t="s">
        <v>96</v>
      </c>
      <c r="EZ6" s="71" t="s">
        <v>96</v>
      </c>
      <c r="FA6" s="71" t="s">
        <v>96</v>
      </c>
      <c r="FB6" s="71" t="s">
        <v>96</v>
      </c>
      <c r="FC6" s="71" t="s">
        <v>96</v>
      </c>
      <c r="FD6" s="71" t="s">
        <v>96</v>
      </c>
      <c r="FE6" s="71" t="s">
        <v>96</v>
      </c>
      <c r="FF6" s="71" t="s">
        <v>96</v>
      </c>
      <c r="FG6" s="71" t="s">
        <v>96</v>
      </c>
      <c r="FH6" s="71" t="s">
        <v>96</v>
      </c>
      <c r="FI6" s="71" t="s">
        <v>96</v>
      </c>
      <c r="FJ6" s="71" t="s">
        <v>96</v>
      </c>
      <c r="FK6" s="71" t="s">
        <v>96</v>
      </c>
      <c r="FL6" s="198"/>
      <c r="FM6" s="71" t="s">
        <v>96</v>
      </c>
      <c r="FN6" s="71" t="s">
        <v>96</v>
      </c>
      <c r="FO6" s="71" t="s">
        <v>96</v>
      </c>
      <c r="FP6" s="71" t="s">
        <v>96</v>
      </c>
      <c r="FQ6" s="71" t="s">
        <v>96</v>
      </c>
      <c r="FR6" s="199"/>
      <c r="FS6" s="198"/>
      <c r="FT6" s="71" t="s">
        <v>96</v>
      </c>
      <c r="FU6" s="71" t="s">
        <v>96</v>
      </c>
      <c r="FV6" s="71" t="s">
        <v>96</v>
      </c>
      <c r="FW6" s="71" t="s">
        <v>96</v>
      </c>
      <c r="FX6" s="71" t="s">
        <v>96</v>
      </c>
      <c r="FY6" s="199"/>
      <c r="FZ6" s="198"/>
      <c r="GA6" s="71" t="s">
        <v>96</v>
      </c>
      <c r="GB6" s="71" t="s">
        <v>96</v>
      </c>
      <c r="GC6" s="71" t="s">
        <v>96</v>
      </c>
      <c r="GD6" s="71" t="s">
        <v>96</v>
      </c>
      <c r="GE6" s="71" t="s">
        <v>96</v>
      </c>
      <c r="GF6" s="199"/>
      <c r="GG6" s="198"/>
      <c r="GH6" s="71" t="s">
        <v>96</v>
      </c>
      <c r="GI6" s="71" t="s">
        <v>96</v>
      </c>
      <c r="GJ6" s="71"/>
      <c r="GK6" s="71"/>
      <c r="GM6" s="71"/>
    </row>
    <row r="7" spans="1:195" s="13" customFormat="1">
      <c r="A7" s="390"/>
      <c r="B7" s="392"/>
      <c r="C7" s="100" t="s">
        <v>45</v>
      </c>
      <c r="D7" s="157"/>
      <c r="E7" s="71" t="s">
        <v>96</v>
      </c>
      <c r="F7" s="71" t="s">
        <v>96</v>
      </c>
      <c r="G7" s="71" t="s">
        <v>96</v>
      </c>
      <c r="H7" s="71" t="s">
        <v>96</v>
      </c>
      <c r="I7" s="71" t="s">
        <v>96</v>
      </c>
      <c r="J7" s="71" t="s">
        <v>96</v>
      </c>
      <c r="K7" s="71" t="s">
        <v>96</v>
      </c>
      <c r="L7" s="71" t="s">
        <v>96</v>
      </c>
      <c r="M7" s="71"/>
      <c r="N7" s="71" t="s">
        <v>96</v>
      </c>
      <c r="O7" s="71" t="s">
        <v>96</v>
      </c>
      <c r="P7" s="71" t="s">
        <v>96</v>
      </c>
      <c r="Q7" s="71" t="s">
        <v>96</v>
      </c>
      <c r="R7" s="71" t="s">
        <v>96</v>
      </c>
      <c r="S7" s="71" t="s">
        <v>96</v>
      </c>
      <c r="T7" s="71" t="s">
        <v>96</v>
      </c>
      <c r="U7" s="71" t="s">
        <v>96</v>
      </c>
      <c r="V7" s="71" t="s">
        <v>96</v>
      </c>
      <c r="W7" s="71" t="s">
        <v>96</v>
      </c>
      <c r="X7" s="71" t="s">
        <v>96</v>
      </c>
      <c r="Y7" s="71" t="s">
        <v>96</v>
      </c>
      <c r="Z7" s="71" t="s">
        <v>96</v>
      </c>
      <c r="AA7" s="71"/>
      <c r="AB7" s="160"/>
      <c r="AC7" s="71" t="s">
        <v>96</v>
      </c>
      <c r="AD7" s="71" t="s">
        <v>96</v>
      </c>
      <c r="AE7" s="71" t="s">
        <v>96</v>
      </c>
      <c r="AF7" s="71" t="s">
        <v>96</v>
      </c>
      <c r="AG7" s="71" t="s">
        <v>96</v>
      </c>
      <c r="AH7" s="160"/>
      <c r="AI7" s="160"/>
      <c r="AJ7" s="71" t="s">
        <v>96</v>
      </c>
      <c r="AK7" s="71" t="s">
        <v>96</v>
      </c>
      <c r="AL7" s="71" t="s">
        <v>96</v>
      </c>
      <c r="AM7" s="71" t="s">
        <v>96</v>
      </c>
      <c r="AN7" s="71" t="s">
        <v>96</v>
      </c>
      <c r="AO7" s="160"/>
      <c r="AP7" s="160"/>
      <c r="AQ7" s="71" t="s">
        <v>96</v>
      </c>
      <c r="AR7" s="71" t="s">
        <v>96</v>
      </c>
      <c r="AS7" s="71" t="s">
        <v>96</v>
      </c>
      <c r="AT7" s="71" t="s">
        <v>96</v>
      </c>
      <c r="AU7" s="71" t="s">
        <v>96</v>
      </c>
      <c r="AV7" s="160"/>
      <c r="AW7" s="160"/>
      <c r="AX7" s="71" t="s">
        <v>96</v>
      </c>
      <c r="AY7" s="71" t="s">
        <v>96</v>
      </c>
      <c r="AZ7" s="71" t="s">
        <v>96</v>
      </c>
      <c r="BA7" s="71" t="s">
        <v>96</v>
      </c>
      <c r="BB7" s="71" t="s">
        <v>96</v>
      </c>
      <c r="BC7" s="71" t="s">
        <v>96</v>
      </c>
      <c r="BD7" s="71" t="s">
        <v>96</v>
      </c>
      <c r="BE7" s="71" t="s">
        <v>96</v>
      </c>
      <c r="BF7" s="71" t="s">
        <v>96</v>
      </c>
      <c r="BG7" s="71" t="s">
        <v>96</v>
      </c>
      <c r="BH7" s="71" t="s">
        <v>96</v>
      </c>
      <c r="BI7" s="71" t="s">
        <v>96</v>
      </c>
      <c r="BJ7" s="71"/>
      <c r="BK7" s="71" t="s">
        <v>96</v>
      </c>
      <c r="BL7" s="71" t="s">
        <v>96</v>
      </c>
      <c r="BM7" s="71" t="s">
        <v>96</v>
      </c>
      <c r="BN7" s="71" t="s">
        <v>96</v>
      </c>
      <c r="BO7" s="71" t="s">
        <v>96</v>
      </c>
      <c r="BP7" s="71" t="s">
        <v>96</v>
      </c>
      <c r="BQ7" s="71"/>
      <c r="BR7" s="71" t="s">
        <v>96</v>
      </c>
      <c r="BS7" s="71" t="s">
        <v>96</v>
      </c>
      <c r="BT7" s="71" t="s">
        <v>96</v>
      </c>
      <c r="BU7" s="71" t="s">
        <v>96</v>
      </c>
      <c r="BV7" s="71" t="s">
        <v>96</v>
      </c>
      <c r="BW7" s="71" t="s">
        <v>96</v>
      </c>
      <c r="BX7" s="71"/>
      <c r="BY7" s="71" t="s">
        <v>96</v>
      </c>
      <c r="BZ7" s="71" t="s">
        <v>96</v>
      </c>
      <c r="CA7" s="71" t="s">
        <v>96</v>
      </c>
      <c r="CB7" s="71" t="s">
        <v>96</v>
      </c>
      <c r="CC7" s="71" t="s">
        <v>96</v>
      </c>
      <c r="CD7" s="71" t="s">
        <v>96</v>
      </c>
      <c r="CE7" s="71"/>
      <c r="CF7" s="71" t="s">
        <v>96</v>
      </c>
      <c r="CG7" s="71" t="s">
        <v>96</v>
      </c>
      <c r="CH7" s="71" t="s">
        <v>96</v>
      </c>
      <c r="CI7" s="71" t="s">
        <v>96</v>
      </c>
      <c r="CJ7" s="71" t="s">
        <v>96</v>
      </c>
      <c r="CK7" s="71" t="s">
        <v>96</v>
      </c>
      <c r="CL7" s="71" t="s">
        <v>96</v>
      </c>
      <c r="CM7" s="71" t="s">
        <v>96</v>
      </c>
      <c r="CN7" s="71" t="s">
        <v>96</v>
      </c>
      <c r="CO7" s="71" t="s">
        <v>96</v>
      </c>
      <c r="CP7" s="71" t="s">
        <v>96</v>
      </c>
      <c r="CQ7" s="71" t="s">
        <v>96</v>
      </c>
      <c r="CR7" s="71" t="s">
        <v>96</v>
      </c>
      <c r="CS7" s="71"/>
      <c r="CT7" s="71" t="s">
        <v>96</v>
      </c>
      <c r="CU7" s="71" t="s">
        <v>96</v>
      </c>
      <c r="CV7" s="71" t="s">
        <v>96</v>
      </c>
      <c r="CW7" s="71" t="s">
        <v>96</v>
      </c>
      <c r="CX7" s="71" t="s">
        <v>96</v>
      </c>
      <c r="CY7" s="71" t="s">
        <v>96</v>
      </c>
      <c r="CZ7" s="71"/>
      <c r="DA7" s="71" t="s">
        <v>96</v>
      </c>
      <c r="DB7" s="71" t="s">
        <v>96</v>
      </c>
      <c r="DC7" s="71" t="s">
        <v>96</v>
      </c>
      <c r="DD7" s="71" t="s">
        <v>96</v>
      </c>
      <c r="DE7" s="71" t="s">
        <v>96</v>
      </c>
      <c r="DF7" s="71" t="s">
        <v>96</v>
      </c>
      <c r="DG7" s="71" t="s">
        <v>96</v>
      </c>
      <c r="DH7" s="160"/>
      <c r="DI7" s="71" t="s">
        <v>96</v>
      </c>
      <c r="DJ7" s="71" t="s">
        <v>96</v>
      </c>
      <c r="DK7" s="71" t="s">
        <v>96</v>
      </c>
      <c r="DL7" s="382"/>
      <c r="DM7" s="71" t="s">
        <v>96</v>
      </c>
      <c r="DN7" s="71" t="s">
        <v>96</v>
      </c>
      <c r="DO7" s="160"/>
      <c r="DP7" s="71" t="s">
        <v>96</v>
      </c>
      <c r="DQ7" s="71" t="s">
        <v>96</v>
      </c>
      <c r="DR7" s="71" t="s">
        <v>96</v>
      </c>
      <c r="DS7" s="71" t="s">
        <v>96</v>
      </c>
      <c r="DT7" s="382"/>
      <c r="DU7" s="71"/>
      <c r="DV7" s="71" t="s">
        <v>96</v>
      </c>
      <c r="DW7" s="71" t="s">
        <v>96</v>
      </c>
      <c r="DX7" s="71" t="s">
        <v>96</v>
      </c>
      <c r="DY7" s="71" t="s">
        <v>96</v>
      </c>
      <c r="DZ7" s="71" t="s">
        <v>96</v>
      </c>
      <c r="EA7" s="71" t="s">
        <v>96</v>
      </c>
      <c r="EB7" s="71" t="s">
        <v>96</v>
      </c>
      <c r="EC7" s="71" t="s">
        <v>96</v>
      </c>
      <c r="ED7" s="71" t="s">
        <v>96</v>
      </c>
      <c r="EE7" s="71" t="s">
        <v>96</v>
      </c>
      <c r="EF7" s="71" t="s">
        <v>96</v>
      </c>
      <c r="EG7" s="71" t="s">
        <v>96</v>
      </c>
      <c r="EH7" s="71" t="s">
        <v>96</v>
      </c>
      <c r="EI7" s="71"/>
      <c r="EJ7" s="71" t="s">
        <v>96</v>
      </c>
      <c r="EK7" s="71" t="s">
        <v>96</v>
      </c>
      <c r="EL7" s="160"/>
      <c r="EM7" s="71" t="s">
        <v>96</v>
      </c>
      <c r="EN7" s="71" t="s">
        <v>96</v>
      </c>
      <c r="EO7" s="71" t="s">
        <v>96</v>
      </c>
      <c r="EP7" s="71" t="s">
        <v>96</v>
      </c>
      <c r="EQ7" s="71" t="s">
        <v>96</v>
      </c>
      <c r="ER7" s="71" t="s">
        <v>96</v>
      </c>
      <c r="ES7" s="71" t="s">
        <v>96</v>
      </c>
      <c r="ET7" s="71" t="s">
        <v>96</v>
      </c>
      <c r="EU7" s="71" t="s">
        <v>96</v>
      </c>
      <c r="EV7" s="71" t="s">
        <v>96</v>
      </c>
      <c r="EW7" s="71" t="s">
        <v>96</v>
      </c>
      <c r="EX7" s="71" t="s">
        <v>96</v>
      </c>
      <c r="EY7" s="71" t="s">
        <v>96</v>
      </c>
      <c r="EZ7" s="71" t="s">
        <v>96</v>
      </c>
      <c r="FA7" s="71" t="s">
        <v>96</v>
      </c>
      <c r="FB7" s="71" t="s">
        <v>96</v>
      </c>
      <c r="FC7" s="71" t="s">
        <v>96</v>
      </c>
      <c r="FD7" s="71" t="s">
        <v>96</v>
      </c>
      <c r="FE7" s="71" t="s">
        <v>96</v>
      </c>
      <c r="FF7" s="71" t="s">
        <v>96</v>
      </c>
      <c r="FG7" s="71" t="s">
        <v>96</v>
      </c>
      <c r="FH7" s="71" t="s">
        <v>96</v>
      </c>
      <c r="FI7" s="71" t="s">
        <v>96</v>
      </c>
      <c r="FJ7" s="71" t="s">
        <v>96</v>
      </c>
      <c r="FK7" s="71" t="s">
        <v>96</v>
      </c>
      <c r="FL7" s="198"/>
      <c r="FM7" s="71" t="s">
        <v>96</v>
      </c>
      <c r="FN7" s="71" t="s">
        <v>96</v>
      </c>
      <c r="FO7" s="71" t="s">
        <v>96</v>
      </c>
      <c r="FP7" s="71" t="s">
        <v>96</v>
      </c>
      <c r="FQ7" s="71" t="s">
        <v>96</v>
      </c>
      <c r="FR7" s="199"/>
      <c r="FS7" s="198"/>
      <c r="FT7" s="71" t="s">
        <v>96</v>
      </c>
      <c r="FU7" s="71" t="s">
        <v>96</v>
      </c>
      <c r="FV7" s="71" t="s">
        <v>96</v>
      </c>
      <c r="FW7" s="71" t="s">
        <v>96</v>
      </c>
      <c r="FX7" s="71" t="s">
        <v>96</v>
      </c>
      <c r="FY7" s="199"/>
      <c r="FZ7" s="198"/>
      <c r="GA7" s="71" t="s">
        <v>96</v>
      </c>
      <c r="GB7" s="71" t="s">
        <v>96</v>
      </c>
      <c r="GC7" s="71" t="s">
        <v>96</v>
      </c>
      <c r="GD7" s="71" t="s">
        <v>96</v>
      </c>
      <c r="GE7" s="71" t="s">
        <v>96</v>
      </c>
      <c r="GF7" s="199"/>
      <c r="GG7" s="198"/>
      <c r="GH7" s="71" t="s">
        <v>96</v>
      </c>
      <c r="GI7" s="71" t="s">
        <v>96</v>
      </c>
      <c r="GJ7" s="71"/>
      <c r="GK7" s="71"/>
      <c r="GM7" s="71"/>
    </row>
    <row r="8" spans="1:195" s="13" customFormat="1">
      <c r="A8" s="390"/>
      <c r="B8" s="392"/>
      <c r="C8" s="101" t="s">
        <v>46</v>
      </c>
      <c r="D8" s="157"/>
      <c r="E8" s="71" t="s">
        <v>96</v>
      </c>
      <c r="F8" s="71" t="s">
        <v>96</v>
      </c>
      <c r="G8" s="71" t="s">
        <v>96</v>
      </c>
      <c r="H8" s="71" t="s">
        <v>96</v>
      </c>
      <c r="I8" s="71" t="s">
        <v>96</v>
      </c>
      <c r="J8" s="71" t="s">
        <v>96</v>
      </c>
      <c r="K8" s="71" t="s">
        <v>97</v>
      </c>
      <c r="L8" s="71" t="s">
        <v>96</v>
      </c>
      <c r="M8" s="71"/>
      <c r="N8" s="71" t="s">
        <v>96</v>
      </c>
      <c r="O8" s="71" t="s">
        <v>96</v>
      </c>
      <c r="P8" s="71" t="s">
        <v>96</v>
      </c>
      <c r="Q8" s="71" t="s">
        <v>96</v>
      </c>
      <c r="R8" s="71" t="s">
        <v>96</v>
      </c>
      <c r="S8" s="71" t="s">
        <v>96</v>
      </c>
      <c r="T8" s="71" t="s">
        <v>96</v>
      </c>
      <c r="U8" s="71" t="s">
        <v>97</v>
      </c>
      <c r="V8" s="71" t="s">
        <v>96</v>
      </c>
      <c r="W8" s="71" t="s">
        <v>96</v>
      </c>
      <c r="X8" s="71" t="s">
        <v>97</v>
      </c>
      <c r="Y8" s="71" t="s">
        <v>96</v>
      </c>
      <c r="Z8" s="71" t="s">
        <v>96</v>
      </c>
      <c r="AA8" s="71"/>
      <c r="AB8" s="160"/>
      <c r="AC8" s="71" t="s">
        <v>96</v>
      </c>
      <c r="AD8" s="71" t="s">
        <v>96</v>
      </c>
      <c r="AE8" s="71" t="s">
        <v>96</v>
      </c>
      <c r="AF8" s="71" t="s">
        <v>96</v>
      </c>
      <c r="AG8" s="71" t="s">
        <v>96</v>
      </c>
      <c r="AH8" s="160"/>
      <c r="AI8" s="160"/>
      <c r="AJ8" s="71" t="s">
        <v>96</v>
      </c>
      <c r="AK8" s="71" t="s">
        <v>96</v>
      </c>
      <c r="AL8" s="71" t="s">
        <v>96</v>
      </c>
      <c r="AM8" s="71" t="s">
        <v>96</v>
      </c>
      <c r="AN8" s="71" t="s">
        <v>96</v>
      </c>
      <c r="AO8" s="160"/>
      <c r="AP8" s="160"/>
      <c r="AQ8" s="71" t="s">
        <v>96</v>
      </c>
      <c r="AR8" s="71" t="s">
        <v>96</v>
      </c>
      <c r="AS8" s="71" t="s">
        <v>96</v>
      </c>
      <c r="AT8" s="71" t="s">
        <v>96</v>
      </c>
      <c r="AU8" s="71" t="s">
        <v>96</v>
      </c>
      <c r="AV8" s="160"/>
      <c r="AW8" s="160"/>
      <c r="AX8" s="71" t="s">
        <v>96</v>
      </c>
      <c r="AY8" s="71" t="s">
        <v>96</v>
      </c>
      <c r="AZ8" s="71" t="s">
        <v>96</v>
      </c>
      <c r="BA8" s="71" t="s">
        <v>96</v>
      </c>
      <c r="BB8" s="71" t="s">
        <v>96</v>
      </c>
      <c r="BC8" s="71" t="s">
        <v>96</v>
      </c>
      <c r="BD8" s="71" t="s">
        <v>96</v>
      </c>
      <c r="BE8" s="71" t="s">
        <v>96</v>
      </c>
      <c r="BF8" s="71" t="s">
        <v>96</v>
      </c>
      <c r="BG8" s="71" t="s">
        <v>96</v>
      </c>
      <c r="BH8" s="71" t="s">
        <v>96</v>
      </c>
      <c r="BI8" s="71" t="s">
        <v>96</v>
      </c>
      <c r="BJ8" s="71"/>
      <c r="BK8" s="71" t="s">
        <v>96</v>
      </c>
      <c r="BL8" s="71" t="s">
        <v>96</v>
      </c>
      <c r="BM8" s="71" t="s">
        <v>96</v>
      </c>
      <c r="BN8" s="71" t="s">
        <v>96</v>
      </c>
      <c r="BO8" s="71" t="s">
        <v>96</v>
      </c>
      <c r="BP8" s="71" t="s">
        <v>96</v>
      </c>
      <c r="BQ8" s="71"/>
      <c r="BR8" s="71" t="s">
        <v>96</v>
      </c>
      <c r="BS8" s="71" t="s">
        <v>96</v>
      </c>
      <c r="BT8" s="71" t="s">
        <v>96</v>
      </c>
      <c r="BU8" s="71" t="s">
        <v>96</v>
      </c>
      <c r="BV8" s="71" t="s">
        <v>96</v>
      </c>
      <c r="BW8" s="71" t="s">
        <v>96</v>
      </c>
      <c r="BX8" s="71"/>
      <c r="BY8" s="71" t="s">
        <v>96</v>
      </c>
      <c r="BZ8" s="71" t="s">
        <v>96</v>
      </c>
      <c r="CA8" s="71" t="s">
        <v>96</v>
      </c>
      <c r="CB8" s="71" t="s">
        <v>96</v>
      </c>
      <c r="CC8" s="71" t="s">
        <v>96</v>
      </c>
      <c r="CD8" s="71" t="s">
        <v>96</v>
      </c>
      <c r="CE8" s="71"/>
      <c r="CF8" s="71" t="s">
        <v>96</v>
      </c>
      <c r="CG8" s="71" t="s">
        <v>96</v>
      </c>
      <c r="CH8" s="71" t="s">
        <v>96</v>
      </c>
      <c r="CI8" s="71" t="s">
        <v>96</v>
      </c>
      <c r="CJ8" s="71" t="s">
        <v>96</v>
      </c>
      <c r="CK8" s="71" t="s">
        <v>96</v>
      </c>
      <c r="CL8" s="71" t="s">
        <v>96</v>
      </c>
      <c r="CM8" s="71" t="s">
        <v>96</v>
      </c>
      <c r="CN8" s="71" t="s">
        <v>96</v>
      </c>
      <c r="CO8" s="71" t="s">
        <v>96</v>
      </c>
      <c r="CP8" s="71" t="s">
        <v>96</v>
      </c>
      <c r="CQ8" s="71" t="s">
        <v>96</v>
      </c>
      <c r="CR8" s="71" t="s">
        <v>96</v>
      </c>
      <c r="CS8" s="71"/>
      <c r="CT8" s="71" t="s">
        <v>96</v>
      </c>
      <c r="CU8" s="71" t="s">
        <v>96</v>
      </c>
      <c r="CV8" s="71" t="s">
        <v>96</v>
      </c>
      <c r="CW8" s="71" t="s">
        <v>96</v>
      </c>
      <c r="CX8" s="71" t="s">
        <v>96</v>
      </c>
      <c r="CY8" s="71" t="s">
        <v>96</v>
      </c>
      <c r="CZ8" s="71"/>
      <c r="DA8" s="71" t="s">
        <v>96</v>
      </c>
      <c r="DB8" s="71" t="s">
        <v>96</v>
      </c>
      <c r="DC8" s="71" t="s">
        <v>96</v>
      </c>
      <c r="DD8" s="71" t="s">
        <v>96</v>
      </c>
      <c r="DE8" s="71" t="s">
        <v>96</v>
      </c>
      <c r="DF8" s="71" t="s">
        <v>96</v>
      </c>
      <c r="DG8" s="71" t="s">
        <v>96</v>
      </c>
      <c r="DH8" s="160"/>
      <c r="DI8" s="71" t="s">
        <v>96</v>
      </c>
      <c r="DJ8" s="71" t="s">
        <v>96</v>
      </c>
      <c r="DK8" s="71" t="s">
        <v>96</v>
      </c>
      <c r="DL8" s="382"/>
      <c r="DM8" s="71" t="s">
        <v>96</v>
      </c>
      <c r="DN8" s="71" t="s">
        <v>96</v>
      </c>
      <c r="DO8" s="160"/>
      <c r="DP8" s="71" t="s">
        <v>96</v>
      </c>
      <c r="DQ8" s="71" t="s">
        <v>96</v>
      </c>
      <c r="DR8" s="71" t="s">
        <v>96</v>
      </c>
      <c r="DS8" s="71" t="s">
        <v>96</v>
      </c>
      <c r="DT8" s="382"/>
      <c r="DU8" s="71"/>
      <c r="DV8" s="71" t="s">
        <v>96</v>
      </c>
      <c r="DW8" s="71" t="s">
        <v>96</v>
      </c>
      <c r="DX8" s="71" t="s">
        <v>96</v>
      </c>
      <c r="DY8" s="71" t="s">
        <v>96</v>
      </c>
      <c r="DZ8" s="71" t="s">
        <v>96</v>
      </c>
      <c r="EA8" s="71" t="s">
        <v>96</v>
      </c>
      <c r="EB8" s="71" t="s">
        <v>96</v>
      </c>
      <c r="EC8" s="71" t="s">
        <v>96</v>
      </c>
      <c r="ED8" s="71" t="s">
        <v>96</v>
      </c>
      <c r="EE8" s="71" t="s">
        <v>96</v>
      </c>
      <c r="EF8" s="71" t="s">
        <v>96</v>
      </c>
      <c r="EG8" s="71" t="s">
        <v>96</v>
      </c>
      <c r="EH8" s="71" t="s">
        <v>96</v>
      </c>
      <c r="EI8" s="71"/>
      <c r="EJ8" s="71" t="s">
        <v>96</v>
      </c>
      <c r="EK8" s="71" t="s">
        <v>96</v>
      </c>
      <c r="EL8" s="160"/>
      <c r="EM8" s="71" t="s">
        <v>96</v>
      </c>
      <c r="EN8" s="71" t="s">
        <v>96</v>
      </c>
      <c r="EO8" s="71" t="s">
        <v>96</v>
      </c>
      <c r="EP8" s="71" t="s">
        <v>96</v>
      </c>
      <c r="EQ8" s="71" t="s">
        <v>96</v>
      </c>
      <c r="ER8" s="71" t="s">
        <v>96</v>
      </c>
      <c r="ES8" s="71" t="s">
        <v>96</v>
      </c>
      <c r="ET8" s="71" t="s">
        <v>96</v>
      </c>
      <c r="EU8" s="71" t="s">
        <v>96</v>
      </c>
      <c r="EV8" s="71" t="s">
        <v>96</v>
      </c>
      <c r="EW8" s="71" t="s">
        <v>96</v>
      </c>
      <c r="EX8" s="71" t="s">
        <v>96</v>
      </c>
      <c r="EY8" s="71" t="s">
        <v>96</v>
      </c>
      <c r="EZ8" s="71" t="s">
        <v>96</v>
      </c>
      <c r="FA8" s="71" t="s">
        <v>96</v>
      </c>
      <c r="FB8" s="71" t="s">
        <v>96</v>
      </c>
      <c r="FC8" s="71" t="s">
        <v>96</v>
      </c>
      <c r="FD8" s="71" t="s">
        <v>96</v>
      </c>
      <c r="FE8" s="71" t="s">
        <v>96</v>
      </c>
      <c r="FF8" s="71" t="s">
        <v>96</v>
      </c>
      <c r="FG8" s="71" t="s">
        <v>96</v>
      </c>
      <c r="FH8" s="71" t="s">
        <v>96</v>
      </c>
      <c r="FI8" s="71" t="s">
        <v>96</v>
      </c>
      <c r="FJ8" s="71" t="s">
        <v>96</v>
      </c>
      <c r="FK8" s="71" t="s">
        <v>96</v>
      </c>
      <c r="FL8" s="198"/>
      <c r="FM8" s="71" t="s">
        <v>96</v>
      </c>
      <c r="FN8" s="71" t="s">
        <v>96</v>
      </c>
      <c r="FO8" s="71" t="s">
        <v>96</v>
      </c>
      <c r="FP8" s="71" t="s">
        <v>96</v>
      </c>
      <c r="FQ8" s="71" t="s">
        <v>96</v>
      </c>
      <c r="FR8" s="199"/>
      <c r="FS8" s="198"/>
      <c r="FT8" s="71" t="s">
        <v>96</v>
      </c>
      <c r="FU8" s="71" t="s">
        <v>96</v>
      </c>
      <c r="FV8" s="71" t="s">
        <v>96</v>
      </c>
      <c r="FW8" s="71" t="s">
        <v>96</v>
      </c>
      <c r="FX8" s="71" t="s">
        <v>96</v>
      </c>
      <c r="FY8" s="199"/>
      <c r="FZ8" s="198"/>
      <c r="GA8" s="71" t="s">
        <v>96</v>
      </c>
      <c r="GB8" s="71" t="s">
        <v>96</v>
      </c>
      <c r="GC8" s="71" t="s">
        <v>96</v>
      </c>
      <c r="GD8" s="71" t="s">
        <v>96</v>
      </c>
      <c r="GE8" s="71" t="s">
        <v>96</v>
      </c>
      <c r="GF8" s="199"/>
      <c r="GG8" s="198"/>
      <c r="GH8" s="71" t="s">
        <v>96</v>
      </c>
      <c r="GI8" s="71" t="s">
        <v>96</v>
      </c>
      <c r="GJ8" s="71"/>
      <c r="GK8" s="71"/>
      <c r="GM8" s="71"/>
    </row>
    <row r="9" spans="1:195" s="13" customFormat="1">
      <c r="A9" s="390"/>
      <c r="B9" s="392"/>
      <c r="C9" s="102" t="s">
        <v>47</v>
      </c>
      <c r="D9" s="157"/>
      <c r="E9" s="71" t="s">
        <v>96</v>
      </c>
      <c r="F9" s="71" t="s">
        <v>96</v>
      </c>
      <c r="G9" s="71" t="s">
        <v>96</v>
      </c>
      <c r="H9" s="71" t="s">
        <v>96</v>
      </c>
      <c r="I9" s="71" t="s">
        <v>96</v>
      </c>
      <c r="J9" s="71" t="s">
        <v>96</v>
      </c>
      <c r="K9" s="71" t="s">
        <v>96</v>
      </c>
      <c r="L9" s="71" t="s">
        <v>96</v>
      </c>
      <c r="M9" s="71"/>
      <c r="N9" s="71" t="s">
        <v>96</v>
      </c>
      <c r="O9" s="71" t="s">
        <v>96</v>
      </c>
      <c r="P9" s="71" t="s">
        <v>96</v>
      </c>
      <c r="Q9" s="71" t="s">
        <v>96</v>
      </c>
      <c r="R9" s="71" t="s">
        <v>96</v>
      </c>
      <c r="S9" s="71" t="s">
        <v>96</v>
      </c>
      <c r="T9" s="71" t="s">
        <v>96</v>
      </c>
      <c r="U9" s="71" t="s">
        <v>96</v>
      </c>
      <c r="V9" s="71" t="s">
        <v>96</v>
      </c>
      <c r="W9" s="71" t="s">
        <v>96</v>
      </c>
      <c r="X9" s="71" t="s">
        <v>96</v>
      </c>
      <c r="Y9" s="71" t="s">
        <v>96</v>
      </c>
      <c r="Z9" s="71" t="s">
        <v>96</v>
      </c>
      <c r="AA9" s="71"/>
      <c r="AB9" s="160"/>
      <c r="AC9" s="71" t="s">
        <v>96</v>
      </c>
      <c r="AD9" s="71" t="s">
        <v>96</v>
      </c>
      <c r="AE9" s="71" t="s">
        <v>96</v>
      </c>
      <c r="AF9" s="71" t="s">
        <v>96</v>
      </c>
      <c r="AG9" s="71" t="s">
        <v>96</v>
      </c>
      <c r="AH9" s="160"/>
      <c r="AI9" s="160"/>
      <c r="AJ9" s="71" t="s">
        <v>96</v>
      </c>
      <c r="AK9" s="71" t="s">
        <v>96</v>
      </c>
      <c r="AL9" s="71" t="s">
        <v>96</v>
      </c>
      <c r="AM9" s="71" t="s">
        <v>96</v>
      </c>
      <c r="AN9" s="71" t="s">
        <v>96</v>
      </c>
      <c r="AO9" s="160"/>
      <c r="AP9" s="160"/>
      <c r="AQ9" s="71" t="s">
        <v>96</v>
      </c>
      <c r="AR9" s="71" t="s">
        <v>96</v>
      </c>
      <c r="AS9" s="71" t="s">
        <v>96</v>
      </c>
      <c r="AT9" s="71" t="s">
        <v>96</v>
      </c>
      <c r="AU9" s="71" t="s">
        <v>96</v>
      </c>
      <c r="AV9" s="160"/>
      <c r="AW9" s="160"/>
      <c r="AX9" s="71" t="s">
        <v>96</v>
      </c>
      <c r="AY9" s="71" t="s">
        <v>96</v>
      </c>
      <c r="AZ9" s="71" t="s">
        <v>96</v>
      </c>
      <c r="BA9" s="71" t="s">
        <v>96</v>
      </c>
      <c r="BB9" s="71" t="s">
        <v>96</v>
      </c>
      <c r="BC9" s="71" t="s">
        <v>96</v>
      </c>
      <c r="BD9" s="71" t="s">
        <v>96</v>
      </c>
      <c r="BE9" s="71" t="s">
        <v>96</v>
      </c>
      <c r="BF9" s="71" t="s">
        <v>96</v>
      </c>
      <c r="BG9" s="71" t="s">
        <v>96</v>
      </c>
      <c r="BH9" s="71" t="s">
        <v>96</v>
      </c>
      <c r="BI9" s="71" t="s">
        <v>96</v>
      </c>
      <c r="BJ9" s="71"/>
      <c r="BK9" s="71" t="s">
        <v>96</v>
      </c>
      <c r="BL9" s="71" t="s">
        <v>96</v>
      </c>
      <c r="BM9" s="71" t="s">
        <v>96</v>
      </c>
      <c r="BN9" s="71" t="s">
        <v>96</v>
      </c>
      <c r="BO9" s="71" t="s">
        <v>96</v>
      </c>
      <c r="BP9" s="71" t="s">
        <v>96</v>
      </c>
      <c r="BQ9" s="71"/>
      <c r="BR9" s="71" t="s">
        <v>96</v>
      </c>
      <c r="BS9" s="71" t="s">
        <v>96</v>
      </c>
      <c r="BT9" s="71" t="s">
        <v>96</v>
      </c>
      <c r="BU9" s="71" t="s">
        <v>96</v>
      </c>
      <c r="BV9" s="71" t="s">
        <v>96</v>
      </c>
      <c r="BW9" s="71" t="s">
        <v>96</v>
      </c>
      <c r="BX9" s="71"/>
      <c r="BY9" s="71" t="s">
        <v>96</v>
      </c>
      <c r="BZ9" s="71" t="s">
        <v>96</v>
      </c>
      <c r="CA9" s="71" t="s">
        <v>96</v>
      </c>
      <c r="CB9" s="71" t="s">
        <v>96</v>
      </c>
      <c r="CC9" s="71" t="s">
        <v>96</v>
      </c>
      <c r="CD9" s="71" t="s">
        <v>96</v>
      </c>
      <c r="CE9" s="71"/>
      <c r="CF9" s="71" t="s">
        <v>96</v>
      </c>
      <c r="CG9" s="71" t="s">
        <v>96</v>
      </c>
      <c r="CH9" s="71" t="s">
        <v>96</v>
      </c>
      <c r="CI9" s="71" t="s">
        <v>96</v>
      </c>
      <c r="CJ9" s="71" t="s">
        <v>96</v>
      </c>
      <c r="CK9" s="71" t="s">
        <v>96</v>
      </c>
      <c r="CL9" s="71" t="s">
        <v>96</v>
      </c>
      <c r="CM9" s="71" t="s">
        <v>96</v>
      </c>
      <c r="CN9" s="71" t="s">
        <v>96</v>
      </c>
      <c r="CO9" s="71" t="s">
        <v>96</v>
      </c>
      <c r="CP9" s="71" t="s">
        <v>96</v>
      </c>
      <c r="CQ9" s="71" t="s">
        <v>96</v>
      </c>
      <c r="CR9" s="71" t="s">
        <v>96</v>
      </c>
      <c r="CS9" s="71"/>
      <c r="CT9" s="71" t="s">
        <v>96</v>
      </c>
      <c r="CU9" s="71" t="s">
        <v>96</v>
      </c>
      <c r="CV9" s="71" t="s">
        <v>96</v>
      </c>
      <c r="CW9" s="71" t="s">
        <v>96</v>
      </c>
      <c r="CX9" s="71" t="s">
        <v>96</v>
      </c>
      <c r="CY9" s="71" t="s">
        <v>96</v>
      </c>
      <c r="CZ9" s="71"/>
      <c r="DA9" s="71" t="s">
        <v>96</v>
      </c>
      <c r="DB9" s="71" t="s">
        <v>96</v>
      </c>
      <c r="DC9" s="71" t="s">
        <v>96</v>
      </c>
      <c r="DD9" s="71" t="s">
        <v>96</v>
      </c>
      <c r="DE9" s="71" t="s">
        <v>96</v>
      </c>
      <c r="DF9" s="71" t="s">
        <v>96</v>
      </c>
      <c r="DG9" s="71" t="s">
        <v>96</v>
      </c>
      <c r="DH9" s="160"/>
      <c r="DI9" s="71" t="s">
        <v>96</v>
      </c>
      <c r="DJ9" s="71" t="s">
        <v>96</v>
      </c>
      <c r="DK9" s="71" t="s">
        <v>96</v>
      </c>
      <c r="DL9" s="382"/>
      <c r="DM9" s="71" t="s">
        <v>96</v>
      </c>
      <c r="DN9" s="71" t="s">
        <v>96</v>
      </c>
      <c r="DO9" s="160"/>
      <c r="DP9" s="71" t="s">
        <v>96</v>
      </c>
      <c r="DQ9" s="71" t="s">
        <v>96</v>
      </c>
      <c r="DR9" s="71" t="s">
        <v>96</v>
      </c>
      <c r="DS9" s="71" t="s">
        <v>96</v>
      </c>
      <c r="DT9" s="382"/>
      <c r="DU9" s="71"/>
      <c r="DV9" s="71" t="s">
        <v>96</v>
      </c>
      <c r="DW9" s="71" t="s">
        <v>96</v>
      </c>
      <c r="DX9" s="71" t="s">
        <v>96</v>
      </c>
      <c r="DY9" s="71" t="s">
        <v>96</v>
      </c>
      <c r="DZ9" s="71" t="s">
        <v>96</v>
      </c>
      <c r="EA9" s="71" t="s">
        <v>96</v>
      </c>
      <c r="EB9" s="71" t="s">
        <v>96</v>
      </c>
      <c r="EC9" s="71" t="s">
        <v>96</v>
      </c>
      <c r="ED9" s="71" t="s">
        <v>96</v>
      </c>
      <c r="EE9" s="71" t="s">
        <v>96</v>
      </c>
      <c r="EF9" s="71" t="s">
        <v>96</v>
      </c>
      <c r="EG9" s="71" t="s">
        <v>96</v>
      </c>
      <c r="EH9" s="71" t="s">
        <v>96</v>
      </c>
      <c r="EI9" s="71"/>
      <c r="EJ9" s="71" t="s">
        <v>96</v>
      </c>
      <c r="EK9" s="71" t="s">
        <v>96</v>
      </c>
      <c r="EL9" s="160"/>
      <c r="EM9" s="71" t="s">
        <v>96</v>
      </c>
      <c r="EN9" s="71" t="s">
        <v>96</v>
      </c>
      <c r="EO9" s="71" t="s">
        <v>96</v>
      </c>
      <c r="EP9" s="71" t="s">
        <v>96</v>
      </c>
      <c r="EQ9" s="71" t="s">
        <v>96</v>
      </c>
      <c r="ER9" s="71" t="s">
        <v>96</v>
      </c>
      <c r="ES9" s="71" t="s">
        <v>96</v>
      </c>
      <c r="ET9" s="71" t="s">
        <v>96</v>
      </c>
      <c r="EU9" s="71" t="s">
        <v>96</v>
      </c>
      <c r="EV9" s="71" t="s">
        <v>96</v>
      </c>
      <c r="EW9" s="71" t="s">
        <v>96</v>
      </c>
      <c r="EX9" s="71" t="s">
        <v>96</v>
      </c>
      <c r="EY9" s="71" t="s">
        <v>96</v>
      </c>
      <c r="EZ9" s="71" t="s">
        <v>96</v>
      </c>
      <c r="FA9" s="71" t="s">
        <v>96</v>
      </c>
      <c r="FB9" s="71" t="s">
        <v>96</v>
      </c>
      <c r="FC9" s="71" t="s">
        <v>96</v>
      </c>
      <c r="FD9" s="71" t="s">
        <v>96</v>
      </c>
      <c r="FE9" s="71" t="s">
        <v>96</v>
      </c>
      <c r="FF9" s="71" t="s">
        <v>96</v>
      </c>
      <c r="FG9" s="71" t="s">
        <v>96</v>
      </c>
      <c r="FH9" s="71" t="s">
        <v>96</v>
      </c>
      <c r="FI9" s="71" t="s">
        <v>96</v>
      </c>
      <c r="FJ9" s="71" t="s">
        <v>96</v>
      </c>
      <c r="FK9" s="71" t="s">
        <v>96</v>
      </c>
      <c r="FL9" s="198"/>
      <c r="FM9" s="71" t="s">
        <v>96</v>
      </c>
      <c r="FN9" s="71" t="s">
        <v>96</v>
      </c>
      <c r="FO9" s="71" t="s">
        <v>96</v>
      </c>
      <c r="FP9" s="71" t="s">
        <v>96</v>
      </c>
      <c r="FQ9" s="71" t="s">
        <v>96</v>
      </c>
      <c r="FR9" s="199"/>
      <c r="FS9" s="198"/>
      <c r="FT9" s="71" t="s">
        <v>96</v>
      </c>
      <c r="FU9" s="71" t="s">
        <v>96</v>
      </c>
      <c r="FV9" s="71" t="s">
        <v>96</v>
      </c>
      <c r="FW9" s="71" t="s">
        <v>96</v>
      </c>
      <c r="FX9" s="71" t="s">
        <v>96</v>
      </c>
      <c r="FY9" s="199"/>
      <c r="FZ9" s="198"/>
      <c r="GA9" s="71" t="s">
        <v>96</v>
      </c>
      <c r="GB9" s="71" t="s">
        <v>96</v>
      </c>
      <c r="GC9" s="71" t="s">
        <v>96</v>
      </c>
      <c r="GD9" s="71" t="s">
        <v>96</v>
      </c>
      <c r="GE9" s="71" t="s">
        <v>96</v>
      </c>
      <c r="GF9" s="199"/>
      <c r="GG9" s="198"/>
      <c r="GH9" s="71" t="s">
        <v>96</v>
      </c>
      <c r="GI9" s="71" t="s">
        <v>96</v>
      </c>
      <c r="GJ9" s="71"/>
      <c r="GK9" s="71"/>
      <c r="GM9" s="71"/>
    </row>
    <row r="10" spans="1:195" s="13" customFormat="1">
      <c r="A10" s="390"/>
      <c r="B10" s="392"/>
      <c r="C10" s="103" t="s">
        <v>48</v>
      </c>
      <c r="D10" s="157"/>
      <c r="E10" s="71" t="s">
        <v>96</v>
      </c>
      <c r="F10" s="71" t="s">
        <v>96</v>
      </c>
      <c r="G10" s="71" t="s">
        <v>96</v>
      </c>
      <c r="H10" s="71" t="s">
        <v>96</v>
      </c>
      <c r="I10" s="71" t="s">
        <v>96</v>
      </c>
      <c r="J10" s="71" t="s">
        <v>96</v>
      </c>
      <c r="K10" s="71" t="s">
        <v>96</v>
      </c>
      <c r="L10" s="71" t="s">
        <v>96</v>
      </c>
      <c r="M10" s="71"/>
      <c r="N10" s="71" t="s">
        <v>96</v>
      </c>
      <c r="O10" s="71" t="s">
        <v>96</v>
      </c>
      <c r="P10" s="71" t="s">
        <v>96</v>
      </c>
      <c r="Q10" s="71" t="s">
        <v>96</v>
      </c>
      <c r="R10" s="71" t="s">
        <v>96</v>
      </c>
      <c r="S10" s="71" t="s">
        <v>96</v>
      </c>
      <c r="T10" s="71" t="s">
        <v>96</v>
      </c>
      <c r="U10" s="71" t="s">
        <v>96</v>
      </c>
      <c r="V10" s="71" t="s">
        <v>96</v>
      </c>
      <c r="W10" s="71" t="s">
        <v>96</v>
      </c>
      <c r="X10" s="71" t="s">
        <v>96</v>
      </c>
      <c r="Y10" s="71" t="s">
        <v>96</v>
      </c>
      <c r="Z10" s="71" t="s">
        <v>96</v>
      </c>
      <c r="AA10" s="71"/>
      <c r="AB10" s="160"/>
      <c r="AC10" s="71" t="s">
        <v>96</v>
      </c>
      <c r="AD10" s="71" t="s">
        <v>96</v>
      </c>
      <c r="AE10" s="71" t="s">
        <v>96</v>
      </c>
      <c r="AF10" s="71" t="s">
        <v>96</v>
      </c>
      <c r="AG10" s="71" t="s">
        <v>96</v>
      </c>
      <c r="AH10" s="160"/>
      <c r="AI10" s="160"/>
      <c r="AJ10" s="71" t="s">
        <v>96</v>
      </c>
      <c r="AK10" s="71" t="s">
        <v>96</v>
      </c>
      <c r="AL10" s="71" t="s">
        <v>96</v>
      </c>
      <c r="AM10" s="71" t="s">
        <v>96</v>
      </c>
      <c r="AN10" s="71" t="s">
        <v>96</v>
      </c>
      <c r="AO10" s="160"/>
      <c r="AP10" s="160"/>
      <c r="AQ10" s="71" t="s">
        <v>96</v>
      </c>
      <c r="AR10" s="71" t="s">
        <v>96</v>
      </c>
      <c r="AS10" s="71" t="s">
        <v>96</v>
      </c>
      <c r="AT10" s="71" t="s">
        <v>96</v>
      </c>
      <c r="AU10" s="71" t="s">
        <v>96</v>
      </c>
      <c r="AV10" s="160"/>
      <c r="AW10" s="160"/>
      <c r="AX10" s="71" t="s">
        <v>96</v>
      </c>
      <c r="AY10" s="71" t="s">
        <v>96</v>
      </c>
      <c r="AZ10" s="71" t="s">
        <v>96</v>
      </c>
      <c r="BA10" s="71" t="s">
        <v>96</v>
      </c>
      <c r="BB10" s="71" t="s">
        <v>96</v>
      </c>
      <c r="BC10" s="71" t="s">
        <v>96</v>
      </c>
      <c r="BD10" s="71" t="s">
        <v>96</v>
      </c>
      <c r="BE10" s="71" t="s">
        <v>96</v>
      </c>
      <c r="BF10" s="71" t="s">
        <v>96</v>
      </c>
      <c r="BG10" s="71" t="s">
        <v>96</v>
      </c>
      <c r="BH10" s="71" t="s">
        <v>96</v>
      </c>
      <c r="BI10" s="71" t="s">
        <v>96</v>
      </c>
      <c r="BJ10" s="71"/>
      <c r="BK10" s="71" t="s">
        <v>96</v>
      </c>
      <c r="BL10" s="71" t="s">
        <v>96</v>
      </c>
      <c r="BM10" s="71" t="s">
        <v>96</v>
      </c>
      <c r="BN10" s="71" t="s">
        <v>96</v>
      </c>
      <c r="BO10" s="71" t="s">
        <v>96</v>
      </c>
      <c r="BP10" s="71" t="s">
        <v>96</v>
      </c>
      <c r="BQ10" s="71"/>
      <c r="BR10" s="71" t="s">
        <v>96</v>
      </c>
      <c r="BS10" s="71" t="s">
        <v>96</v>
      </c>
      <c r="BT10" s="71" t="s">
        <v>96</v>
      </c>
      <c r="BU10" s="71" t="s">
        <v>96</v>
      </c>
      <c r="BV10" s="71" t="s">
        <v>96</v>
      </c>
      <c r="BW10" s="71" t="s">
        <v>96</v>
      </c>
      <c r="BX10" s="71"/>
      <c r="BY10" s="71" t="s">
        <v>96</v>
      </c>
      <c r="BZ10" s="71" t="s">
        <v>96</v>
      </c>
      <c r="CA10" s="71" t="s">
        <v>96</v>
      </c>
      <c r="CB10" s="71" t="s">
        <v>96</v>
      </c>
      <c r="CC10" s="71" t="s">
        <v>96</v>
      </c>
      <c r="CD10" s="71" t="s">
        <v>96</v>
      </c>
      <c r="CE10" s="71"/>
      <c r="CF10" s="71" t="s">
        <v>96</v>
      </c>
      <c r="CG10" s="71" t="s">
        <v>96</v>
      </c>
      <c r="CH10" s="71" t="s">
        <v>96</v>
      </c>
      <c r="CI10" s="71" t="s">
        <v>96</v>
      </c>
      <c r="CJ10" s="71" t="s">
        <v>96</v>
      </c>
      <c r="CK10" s="71" t="s">
        <v>96</v>
      </c>
      <c r="CL10" s="71" t="s">
        <v>96</v>
      </c>
      <c r="CM10" s="71" t="s">
        <v>96</v>
      </c>
      <c r="CN10" s="71" t="s">
        <v>96</v>
      </c>
      <c r="CO10" s="71" t="s">
        <v>96</v>
      </c>
      <c r="CP10" s="71" t="s">
        <v>96</v>
      </c>
      <c r="CQ10" s="71" t="s">
        <v>96</v>
      </c>
      <c r="CR10" s="71" t="s">
        <v>96</v>
      </c>
      <c r="CS10" s="71"/>
      <c r="CT10" s="71" t="s">
        <v>96</v>
      </c>
      <c r="CU10" s="71" t="s">
        <v>96</v>
      </c>
      <c r="CV10" s="71" t="s">
        <v>96</v>
      </c>
      <c r="CW10" s="71" t="s">
        <v>96</v>
      </c>
      <c r="CX10" s="71" t="s">
        <v>96</v>
      </c>
      <c r="CY10" s="71" t="s">
        <v>96</v>
      </c>
      <c r="CZ10" s="71"/>
      <c r="DA10" s="71" t="s">
        <v>96</v>
      </c>
      <c r="DB10" s="71" t="s">
        <v>96</v>
      </c>
      <c r="DC10" s="71" t="s">
        <v>96</v>
      </c>
      <c r="DD10" s="71" t="s">
        <v>96</v>
      </c>
      <c r="DE10" s="71" t="s">
        <v>96</v>
      </c>
      <c r="DF10" s="71" t="s">
        <v>96</v>
      </c>
      <c r="DG10" s="71" t="s">
        <v>96</v>
      </c>
      <c r="DH10" s="160"/>
      <c r="DI10" s="71" t="s">
        <v>96</v>
      </c>
      <c r="DJ10" s="71" t="s">
        <v>96</v>
      </c>
      <c r="DK10" s="71" t="s">
        <v>96</v>
      </c>
      <c r="DL10" s="382"/>
      <c r="DM10" s="71" t="s">
        <v>96</v>
      </c>
      <c r="DN10" s="71" t="s">
        <v>96</v>
      </c>
      <c r="DO10" s="160"/>
      <c r="DP10" s="71" t="s">
        <v>96</v>
      </c>
      <c r="DQ10" s="71" t="s">
        <v>96</v>
      </c>
      <c r="DR10" s="71" t="s">
        <v>96</v>
      </c>
      <c r="DS10" s="71" t="s">
        <v>96</v>
      </c>
      <c r="DT10" s="382"/>
      <c r="DU10" s="71"/>
      <c r="DV10" s="71" t="s">
        <v>96</v>
      </c>
      <c r="DW10" s="71" t="s">
        <v>96</v>
      </c>
      <c r="DX10" s="71" t="s">
        <v>96</v>
      </c>
      <c r="DY10" s="71" t="s">
        <v>96</v>
      </c>
      <c r="DZ10" s="71" t="s">
        <v>96</v>
      </c>
      <c r="EA10" s="71" t="s">
        <v>96</v>
      </c>
      <c r="EB10" s="71" t="s">
        <v>96</v>
      </c>
      <c r="EC10" s="71" t="s">
        <v>96</v>
      </c>
      <c r="ED10" s="71" t="s">
        <v>96</v>
      </c>
      <c r="EE10" s="71" t="s">
        <v>96</v>
      </c>
      <c r="EF10" s="71" t="s">
        <v>96</v>
      </c>
      <c r="EG10" s="71" t="s">
        <v>96</v>
      </c>
      <c r="EH10" s="71" t="s">
        <v>96</v>
      </c>
      <c r="EI10" s="71"/>
      <c r="EJ10" s="71" t="s">
        <v>96</v>
      </c>
      <c r="EK10" s="71" t="s">
        <v>96</v>
      </c>
      <c r="EL10" s="160"/>
      <c r="EM10" s="71" t="s">
        <v>96</v>
      </c>
      <c r="EN10" s="71" t="s">
        <v>96</v>
      </c>
      <c r="EO10" s="71" t="s">
        <v>96</v>
      </c>
      <c r="EP10" s="71" t="s">
        <v>96</v>
      </c>
      <c r="EQ10" s="71" t="s">
        <v>96</v>
      </c>
      <c r="ER10" s="71" t="s">
        <v>96</v>
      </c>
      <c r="ES10" s="71" t="s">
        <v>96</v>
      </c>
      <c r="ET10" s="71" t="s">
        <v>96</v>
      </c>
      <c r="EU10" s="71" t="s">
        <v>96</v>
      </c>
      <c r="EV10" s="71" t="s">
        <v>96</v>
      </c>
      <c r="EW10" s="71" t="s">
        <v>96</v>
      </c>
      <c r="EX10" s="71" t="s">
        <v>96</v>
      </c>
      <c r="EY10" s="71" t="s">
        <v>96</v>
      </c>
      <c r="EZ10" s="71" t="s">
        <v>96</v>
      </c>
      <c r="FA10" s="71" t="s">
        <v>96</v>
      </c>
      <c r="FB10" s="71" t="s">
        <v>96</v>
      </c>
      <c r="FC10" s="71" t="s">
        <v>96</v>
      </c>
      <c r="FD10" s="71" t="s">
        <v>96</v>
      </c>
      <c r="FE10" s="71" t="s">
        <v>96</v>
      </c>
      <c r="FF10" s="71" t="s">
        <v>96</v>
      </c>
      <c r="FG10" s="71" t="s">
        <v>96</v>
      </c>
      <c r="FH10" s="71" t="s">
        <v>96</v>
      </c>
      <c r="FI10" s="71" t="s">
        <v>96</v>
      </c>
      <c r="FJ10" s="71" t="s">
        <v>96</v>
      </c>
      <c r="FK10" s="71" t="s">
        <v>96</v>
      </c>
      <c r="FL10" s="198"/>
      <c r="FM10" s="71" t="s">
        <v>96</v>
      </c>
      <c r="FN10" s="71" t="s">
        <v>96</v>
      </c>
      <c r="FO10" s="71" t="s">
        <v>96</v>
      </c>
      <c r="FP10" s="71" t="s">
        <v>96</v>
      </c>
      <c r="FQ10" s="71" t="s">
        <v>96</v>
      </c>
      <c r="FR10" s="199"/>
      <c r="FS10" s="198"/>
      <c r="FT10" s="71" t="s">
        <v>96</v>
      </c>
      <c r="FU10" s="71" t="s">
        <v>96</v>
      </c>
      <c r="FV10" s="71" t="s">
        <v>96</v>
      </c>
      <c r="FW10" s="71" t="s">
        <v>96</v>
      </c>
      <c r="FX10" s="71" t="s">
        <v>96</v>
      </c>
      <c r="FY10" s="199"/>
      <c r="FZ10" s="198"/>
      <c r="GA10" s="71" t="s">
        <v>96</v>
      </c>
      <c r="GB10" s="71" t="s">
        <v>96</v>
      </c>
      <c r="GC10" s="71" t="s">
        <v>96</v>
      </c>
      <c r="GD10" s="71" t="s">
        <v>96</v>
      </c>
      <c r="GE10" s="71" t="s">
        <v>96</v>
      </c>
      <c r="GF10" s="199"/>
      <c r="GG10" s="198"/>
      <c r="GH10" s="71" t="s">
        <v>96</v>
      </c>
      <c r="GI10" s="71" t="s">
        <v>96</v>
      </c>
      <c r="GJ10" s="71"/>
      <c r="GK10" s="71"/>
      <c r="GM10" s="71"/>
    </row>
    <row r="11" spans="1:195" s="13" customFormat="1">
      <c r="A11" s="390"/>
      <c r="B11" s="392"/>
      <c r="C11" s="100" t="s">
        <v>49</v>
      </c>
      <c r="D11" s="157"/>
      <c r="E11" s="71" t="s">
        <v>96</v>
      </c>
      <c r="F11" s="71" t="s">
        <v>96</v>
      </c>
      <c r="G11" s="71" t="s">
        <v>96</v>
      </c>
      <c r="H11" s="71" t="s">
        <v>96</v>
      </c>
      <c r="I11" s="71" t="s">
        <v>96</v>
      </c>
      <c r="J11" s="71" t="s">
        <v>96</v>
      </c>
      <c r="K11" s="71" t="s">
        <v>96</v>
      </c>
      <c r="L11" s="71" t="s">
        <v>96</v>
      </c>
      <c r="M11" s="71"/>
      <c r="N11" s="71" t="s">
        <v>96</v>
      </c>
      <c r="O11" s="71" t="s">
        <v>96</v>
      </c>
      <c r="P11" s="71" t="s">
        <v>96</v>
      </c>
      <c r="Q11" s="71" t="s">
        <v>96</v>
      </c>
      <c r="R11" s="71" t="s">
        <v>96</v>
      </c>
      <c r="S11" s="71" t="s">
        <v>96</v>
      </c>
      <c r="T11" s="71" t="s">
        <v>96</v>
      </c>
      <c r="U11" s="71" t="s">
        <v>96</v>
      </c>
      <c r="V11" s="71" t="s">
        <v>96</v>
      </c>
      <c r="W11" s="71" t="s">
        <v>96</v>
      </c>
      <c r="X11" s="71" t="s">
        <v>96</v>
      </c>
      <c r="Y11" s="71" t="s">
        <v>96</v>
      </c>
      <c r="Z11" s="71" t="s">
        <v>96</v>
      </c>
      <c r="AA11" s="71"/>
      <c r="AB11" s="160"/>
      <c r="AC11" s="71" t="s">
        <v>96</v>
      </c>
      <c r="AD11" s="71" t="s">
        <v>96</v>
      </c>
      <c r="AE11" s="71" t="s">
        <v>96</v>
      </c>
      <c r="AF11" s="71" t="s">
        <v>96</v>
      </c>
      <c r="AG11" s="71" t="s">
        <v>96</v>
      </c>
      <c r="AH11" s="160"/>
      <c r="AI11" s="160"/>
      <c r="AJ11" s="71" t="s">
        <v>96</v>
      </c>
      <c r="AK11" s="71" t="s">
        <v>96</v>
      </c>
      <c r="AL11" s="71" t="s">
        <v>96</v>
      </c>
      <c r="AM11" s="71" t="s">
        <v>96</v>
      </c>
      <c r="AN11" s="71" t="s">
        <v>96</v>
      </c>
      <c r="AO11" s="160"/>
      <c r="AP11" s="160"/>
      <c r="AQ11" s="71" t="s">
        <v>96</v>
      </c>
      <c r="AR11" s="71" t="s">
        <v>96</v>
      </c>
      <c r="AS11" s="71" t="s">
        <v>96</v>
      </c>
      <c r="AT11" s="71" t="s">
        <v>96</v>
      </c>
      <c r="AU11" s="71" t="s">
        <v>96</v>
      </c>
      <c r="AV11" s="160"/>
      <c r="AW11" s="160"/>
      <c r="AX11" s="71" t="s">
        <v>96</v>
      </c>
      <c r="AY11" s="71" t="s">
        <v>96</v>
      </c>
      <c r="AZ11" s="71" t="s">
        <v>96</v>
      </c>
      <c r="BA11" s="71" t="s">
        <v>96</v>
      </c>
      <c r="BB11" s="71" t="s">
        <v>96</v>
      </c>
      <c r="BC11" s="71" t="s">
        <v>96</v>
      </c>
      <c r="BD11" s="71" t="s">
        <v>96</v>
      </c>
      <c r="BE11" s="71" t="s">
        <v>96</v>
      </c>
      <c r="BF11" s="71" t="s">
        <v>96</v>
      </c>
      <c r="BG11" s="71" t="s">
        <v>96</v>
      </c>
      <c r="BH11" s="71" t="s">
        <v>96</v>
      </c>
      <c r="BI11" s="71" t="s">
        <v>96</v>
      </c>
      <c r="BJ11" s="71"/>
      <c r="BK11" s="71" t="s">
        <v>96</v>
      </c>
      <c r="BL11" s="71" t="s">
        <v>96</v>
      </c>
      <c r="BM11" s="71" t="s">
        <v>96</v>
      </c>
      <c r="BN11" s="71" t="s">
        <v>96</v>
      </c>
      <c r="BO11" s="71" t="s">
        <v>96</v>
      </c>
      <c r="BP11" s="71" t="s">
        <v>96</v>
      </c>
      <c r="BQ11" s="71"/>
      <c r="BR11" s="71" t="s">
        <v>96</v>
      </c>
      <c r="BS11" s="71" t="s">
        <v>96</v>
      </c>
      <c r="BT11" s="71" t="s">
        <v>96</v>
      </c>
      <c r="BU11" s="71" t="s">
        <v>96</v>
      </c>
      <c r="BV11" s="71" t="s">
        <v>96</v>
      </c>
      <c r="BW11" s="71" t="s">
        <v>96</v>
      </c>
      <c r="BX11" s="71"/>
      <c r="BY11" s="71" t="s">
        <v>96</v>
      </c>
      <c r="BZ11" s="71" t="s">
        <v>96</v>
      </c>
      <c r="CA11" s="71" t="s">
        <v>96</v>
      </c>
      <c r="CB11" s="71" t="s">
        <v>96</v>
      </c>
      <c r="CC11" s="71" t="s">
        <v>96</v>
      </c>
      <c r="CD11" s="71" t="s">
        <v>96</v>
      </c>
      <c r="CE11" s="71"/>
      <c r="CF11" s="71" t="s">
        <v>96</v>
      </c>
      <c r="CG11" s="71" t="s">
        <v>96</v>
      </c>
      <c r="CH11" s="71" t="s">
        <v>96</v>
      </c>
      <c r="CI11" s="71" t="s">
        <v>96</v>
      </c>
      <c r="CJ11" s="71" t="s">
        <v>96</v>
      </c>
      <c r="CK11" s="71" t="s">
        <v>96</v>
      </c>
      <c r="CL11" s="71" t="s">
        <v>96</v>
      </c>
      <c r="CM11" s="71" t="s">
        <v>96</v>
      </c>
      <c r="CN11" s="71" t="s">
        <v>96</v>
      </c>
      <c r="CO11" s="71" t="s">
        <v>96</v>
      </c>
      <c r="CP11" s="71" t="s">
        <v>96</v>
      </c>
      <c r="CQ11" s="71" t="s">
        <v>96</v>
      </c>
      <c r="CR11" s="71" t="s">
        <v>96</v>
      </c>
      <c r="CS11" s="71"/>
      <c r="CT11" s="71" t="s">
        <v>96</v>
      </c>
      <c r="CU11" s="71" t="s">
        <v>96</v>
      </c>
      <c r="CV11" s="71" t="s">
        <v>96</v>
      </c>
      <c r="CW11" s="71" t="s">
        <v>96</v>
      </c>
      <c r="CX11" s="71" t="s">
        <v>96</v>
      </c>
      <c r="CY11" s="71" t="s">
        <v>96</v>
      </c>
      <c r="CZ11" s="71"/>
      <c r="DA11" s="71" t="s">
        <v>96</v>
      </c>
      <c r="DB11" s="71" t="s">
        <v>96</v>
      </c>
      <c r="DC11" s="71" t="s">
        <v>96</v>
      </c>
      <c r="DD11" s="71" t="s">
        <v>96</v>
      </c>
      <c r="DE11" s="71" t="s">
        <v>96</v>
      </c>
      <c r="DF11" s="71" t="s">
        <v>96</v>
      </c>
      <c r="DG11" s="71" t="s">
        <v>96</v>
      </c>
      <c r="DH11" s="160"/>
      <c r="DI11" s="71" t="s">
        <v>96</v>
      </c>
      <c r="DJ11" s="71" t="s">
        <v>96</v>
      </c>
      <c r="DK11" s="71" t="s">
        <v>96</v>
      </c>
      <c r="DL11" s="382"/>
      <c r="DM11" s="71" t="s">
        <v>96</v>
      </c>
      <c r="DN11" s="71" t="s">
        <v>96</v>
      </c>
      <c r="DO11" s="160"/>
      <c r="DP11" s="71" t="s">
        <v>96</v>
      </c>
      <c r="DQ11" s="71" t="s">
        <v>96</v>
      </c>
      <c r="DR11" s="71" t="s">
        <v>96</v>
      </c>
      <c r="DS11" s="71" t="s">
        <v>96</v>
      </c>
      <c r="DT11" s="382"/>
      <c r="DU11" s="71"/>
      <c r="DV11" s="71" t="s">
        <v>96</v>
      </c>
      <c r="DW11" s="71" t="s">
        <v>96</v>
      </c>
      <c r="DX11" s="71" t="s">
        <v>96</v>
      </c>
      <c r="DY11" s="71" t="s">
        <v>96</v>
      </c>
      <c r="DZ11" s="71" t="s">
        <v>96</v>
      </c>
      <c r="EA11" s="71" t="s">
        <v>96</v>
      </c>
      <c r="EB11" s="71" t="s">
        <v>96</v>
      </c>
      <c r="EC11" s="71" t="s">
        <v>96</v>
      </c>
      <c r="ED11" s="71" t="s">
        <v>96</v>
      </c>
      <c r="EE11" s="71" t="s">
        <v>96</v>
      </c>
      <c r="EF11" s="71" t="s">
        <v>96</v>
      </c>
      <c r="EG11" s="71" t="s">
        <v>96</v>
      </c>
      <c r="EH11" s="71" t="s">
        <v>96</v>
      </c>
      <c r="EI11" s="71"/>
      <c r="EJ11" s="71" t="s">
        <v>96</v>
      </c>
      <c r="EK11" s="71" t="s">
        <v>96</v>
      </c>
      <c r="EL11" s="160"/>
      <c r="EM11" s="71" t="s">
        <v>96</v>
      </c>
      <c r="EN11" s="71" t="s">
        <v>96</v>
      </c>
      <c r="EO11" s="71" t="s">
        <v>96</v>
      </c>
      <c r="EP11" s="71" t="s">
        <v>96</v>
      </c>
      <c r="EQ11" s="71" t="s">
        <v>96</v>
      </c>
      <c r="ER11" s="71" t="s">
        <v>96</v>
      </c>
      <c r="ES11" s="71" t="s">
        <v>96</v>
      </c>
      <c r="ET11" s="71" t="s">
        <v>96</v>
      </c>
      <c r="EU11" s="71" t="s">
        <v>96</v>
      </c>
      <c r="EV11" s="71" t="s">
        <v>96</v>
      </c>
      <c r="EW11" s="71" t="s">
        <v>96</v>
      </c>
      <c r="EX11" s="71" t="s">
        <v>96</v>
      </c>
      <c r="EY11" s="71" t="s">
        <v>96</v>
      </c>
      <c r="EZ11" s="71" t="s">
        <v>96</v>
      </c>
      <c r="FA11" s="71" t="s">
        <v>96</v>
      </c>
      <c r="FB11" s="71" t="s">
        <v>96</v>
      </c>
      <c r="FC11" s="71" t="s">
        <v>96</v>
      </c>
      <c r="FD11" s="71" t="s">
        <v>96</v>
      </c>
      <c r="FE11" s="71" t="s">
        <v>96</v>
      </c>
      <c r="FF11" s="71" t="s">
        <v>96</v>
      </c>
      <c r="FG11" s="71" t="s">
        <v>96</v>
      </c>
      <c r="FH11" s="71" t="s">
        <v>96</v>
      </c>
      <c r="FI11" s="71" t="s">
        <v>96</v>
      </c>
      <c r="FJ11" s="71" t="s">
        <v>96</v>
      </c>
      <c r="FK11" s="71" t="s">
        <v>96</v>
      </c>
      <c r="FL11" s="198"/>
      <c r="FM11" s="71" t="s">
        <v>96</v>
      </c>
      <c r="FN11" s="71" t="s">
        <v>96</v>
      </c>
      <c r="FO11" s="71" t="s">
        <v>96</v>
      </c>
      <c r="FP11" s="71" t="s">
        <v>96</v>
      </c>
      <c r="FQ11" s="71" t="s">
        <v>96</v>
      </c>
      <c r="FR11" s="199"/>
      <c r="FS11" s="198"/>
      <c r="FT11" s="71" t="s">
        <v>96</v>
      </c>
      <c r="FU11" s="71" t="s">
        <v>96</v>
      </c>
      <c r="FV11" s="71" t="s">
        <v>96</v>
      </c>
      <c r="FW11" s="71" t="s">
        <v>96</v>
      </c>
      <c r="FX11" s="71" t="s">
        <v>96</v>
      </c>
      <c r="FY11" s="199"/>
      <c r="FZ11" s="198"/>
      <c r="GA11" s="71" t="s">
        <v>96</v>
      </c>
      <c r="GB11" s="71" t="s">
        <v>96</v>
      </c>
      <c r="GC11" s="71" t="s">
        <v>96</v>
      </c>
      <c r="GD11" s="71" t="s">
        <v>96</v>
      </c>
      <c r="GE11" s="71" t="s">
        <v>96</v>
      </c>
      <c r="GF11" s="199"/>
      <c r="GG11" s="198"/>
      <c r="GH11" s="71" t="s">
        <v>96</v>
      </c>
      <c r="GI11" s="71" t="s">
        <v>96</v>
      </c>
      <c r="GJ11" s="71"/>
      <c r="GK11" s="71"/>
      <c r="GM11" s="71"/>
    </row>
    <row r="12" spans="1:195" s="13" customFormat="1" ht="13.5" thickBot="1">
      <c r="A12" s="390"/>
      <c r="B12" s="393"/>
      <c r="C12" s="100" t="s">
        <v>50</v>
      </c>
      <c r="D12" s="157"/>
      <c r="E12" s="71" t="s">
        <v>96</v>
      </c>
      <c r="F12" s="71" t="s">
        <v>96</v>
      </c>
      <c r="G12" s="71" t="s">
        <v>96</v>
      </c>
      <c r="H12" s="71" t="s">
        <v>96</v>
      </c>
      <c r="I12" s="71" t="s">
        <v>96</v>
      </c>
      <c r="J12" s="71" t="s">
        <v>96</v>
      </c>
      <c r="K12" s="71" t="s">
        <v>96</v>
      </c>
      <c r="L12" s="71" t="s">
        <v>96</v>
      </c>
      <c r="M12" s="71"/>
      <c r="N12" s="71" t="s">
        <v>96</v>
      </c>
      <c r="O12" s="71" t="s">
        <v>96</v>
      </c>
      <c r="P12" s="71" t="s">
        <v>96</v>
      </c>
      <c r="Q12" s="71" t="s">
        <v>96</v>
      </c>
      <c r="R12" s="71" t="s">
        <v>96</v>
      </c>
      <c r="S12" s="71" t="s">
        <v>96</v>
      </c>
      <c r="T12" s="71" t="s">
        <v>96</v>
      </c>
      <c r="U12" s="71" t="s">
        <v>96</v>
      </c>
      <c r="V12" s="71" t="s">
        <v>96</v>
      </c>
      <c r="W12" s="71" t="s">
        <v>96</v>
      </c>
      <c r="X12" s="71" t="s">
        <v>96</v>
      </c>
      <c r="Y12" s="71" t="s">
        <v>96</v>
      </c>
      <c r="Z12" s="71" t="s">
        <v>96</v>
      </c>
      <c r="AA12" s="71"/>
      <c r="AB12" s="160"/>
      <c r="AC12" s="71" t="s">
        <v>96</v>
      </c>
      <c r="AD12" s="71" t="s">
        <v>96</v>
      </c>
      <c r="AE12" s="71" t="s">
        <v>96</v>
      </c>
      <c r="AF12" s="71" t="s">
        <v>96</v>
      </c>
      <c r="AG12" s="71" t="s">
        <v>96</v>
      </c>
      <c r="AH12" s="160"/>
      <c r="AI12" s="160"/>
      <c r="AJ12" s="71" t="s">
        <v>96</v>
      </c>
      <c r="AK12" s="71" t="s">
        <v>96</v>
      </c>
      <c r="AL12" s="71" t="s">
        <v>96</v>
      </c>
      <c r="AM12" s="71" t="s">
        <v>96</v>
      </c>
      <c r="AN12" s="71" t="s">
        <v>96</v>
      </c>
      <c r="AO12" s="160"/>
      <c r="AP12" s="160"/>
      <c r="AQ12" s="71" t="s">
        <v>96</v>
      </c>
      <c r="AR12" s="71" t="s">
        <v>96</v>
      </c>
      <c r="AS12" s="71" t="s">
        <v>96</v>
      </c>
      <c r="AT12" s="71" t="s">
        <v>96</v>
      </c>
      <c r="AU12" s="71" t="s">
        <v>96</v>
      </c>
      <c r="AV12" s="160"/>
      <c r="AW12" s="160"/>
      <c r="AX12" s="71" t="s">
        <v>96</v>
      </c>
      <c r="AY12" s="71" t="s">
        <v>96</v>
      </c>
      <c r="AZ12" s="71" t="s">
        <v>96</v>
      </c>
      <c r="BA12" s="71" t="s">
        <v>96</v>
      </c>
      <c r="BB12" s="71" t="s">
        <v>96</v>
      </c>
      <c r="BC12" s="71" t="s">
        <v>96</v>
      </c>
      <c r="BD12" s="71" t="s">
        <v>96</v>
      </c>
      <c r="BE12" s="71" t="s">
        <v>96</v>
      </c>
      <c r="BF12" s="71" t="s">
        <v>96</v>
      </c>
      <c r="BG12" s="71" t="s">
        <v>96</v>
      </c>
      <c r="BH12" s="71" t="s">
        <v>96</v>
      </c>
      <c r="BI12" s="71" t="s">
        <v>96</v>
      </c>
      <c r="BJ12" s="71"/>
      <c r="BK12" s="71" t="s">
        <v>96</v>
      </c>
      <c r="BL12" s="71" t="s">
        <v>96</v>
      </c>
      <c r="BM12" s="71" t="s">
        <v>96</v>
      </c>
      <c r="BN12" s="71" t="s">
        <v>96</v>
      </c>
      <c r="BO12" s="71" t="s">
        <v>96</v>
      </c>
      <c r="BP12" s="71" t="s">
        <v>96</v>
      </c>
      <c r="BQ12" s="71"/>
      <c r="BR12" s="71" t="s">
        <v>96</v>
      </c>
      <c r="BS12" s="71" t="s">
        <v>96</v>
      </c>
      <c r="BT12" s="71" t="s">
        <v>96</v>
      </c>
      <c r="BU12" s="71" t="s">
        <v>96</v>
      </c>
      <c r="BV12" s="71" t="s">
        <v>96</v>
      </c>
      <c r="BW12" s="71" t="s">
        <v>96</v>
      </c>
      <c r="BX12" s="71"/>
      <c r="BY12" s="71" t="s">
        <v>96</v>
      </c>
      <c r="BZ12" s="71" t="s">
        <v>96</v>
      </c>
      <c r="CA12" s="71" t="s">
        <v>96</v>
      </c>
      <c r="CB12" s="71" t="s">
        <v>96</v>
      </c>
      <c r="CC12" s="71" t="s">
        <v>96</v>
      </c>
      <c r="CD12" s="71" t="s">
        <v>96</v>
      </c>
      <c r="CE12" s="71"/>
      <c r="CF12" s="71" t="s">
        <v>96</v>
      </c>
      <c r="CG12" s="71" t="s">
        <v>96</v>
      </c>
      <c r="CH12" s="71" t="s">
        <v>96</v>
      </c>
      <c r="CI12" s="71" t="s">
        <v>96</v>
      </c>
      <c r="CJ12" s="71" t="s">
        <v>96</v>
      </c>
      <c r="CK12" s="71" t="s">
        <v>96</v>
      </c>
      <c r="CL12" s="71" t="s">
        <v>96</v>
      </c>
      <c r="CM12" s="71" t="s">
        <v>96</v>
      </c>
      <c r="CN12" s="71" t="s">
        <v>96</v>
      </c>
      <c r="CO12" s="71" t="s">
        <v>96</v>
      </c>
      <c r="CP12" s="71" t="s">
        <v>96</v>
      </c>
      <c r="CQ12" s="71" t="s">
        <v>96</v>
      </c>
      <c r="CR12" s="71" t="s">
        <v>96</v>
      </c>
      <c r="CS12" s="71"/>
      <c r="CT12" s="71" t="s">
        <v>96</v>
      </c>
      <c r="CU12" s="71" t="s">
        <v>96</v>
      </c>
      <c r="CV12" s="71" t="s">
        <v>96</v>
      </c>
      <c r="CW12" s="71" t="s">
        <v>96</v>
      </c>
      <c r="CX12" s="71" t="s">
        <v>96</v>
      </c>
      <c r="CY12" s="71" t="s">
        <v>96</v>
      </c>
      <c r="CZ12" s="71"/>
      <c r="DA12" s="71" t="s">
        <v>96</v>
      </c>
      <c r="DB12" s="71" t="s">
        <v>96</v>
      </c>
      <c r="DC12" s="71" t="s">
        <v>96</v>
      </c>
      <c r="DD12" s="71" t="s">
        <v>96</v>
      </c>
      <c r="DE12" s="71" t="s">
        <v>96</v>
      </c>
      <c r="DF12" s="71" t="s">
        <v>96</v>
      </c>
      <c r="DG12" s="71" t="s">
        <v>96</v>
      </c>
      <c r="DH12" s="160"/>
      <c r="DI12" s="71" t="s">
        <v>96</v>
      </c>
      <c r="DJ12" s="71" t="s">
        <v>96</v>
      </c>
      <c r="DK12" s="71" t="s">
        <v>96</v>
      </c>
      <c r="DL12" s="382"/>
      <c r="DM12" s="71" t="s">
        <v>96</v>
      </c>
      <c r="DN12" s="71" t="s">
        <v>96</v>
      </c>
      <c r="DO12" s="160"/>
      <c r="DP12" s="71" t="s">
        <v>96</v>
      </c>
      <c r="DQ12" s="71" t="s">
        <v>96</v>
      </c>
      <c r="DR12" s="71" t="s">
        <v>96</v>
      </c>
      <c r="DS12" s="71" t="s">
        <v>96</v>
      </c>
      <c r="DT12" s="382"/>
      <c r="DU12" s="71"/>
      <c r="DV12" s="71" t="s">
        <v>96</v>
      </c>
      <c r="DW12" s="71" t="s">
        <v>96</v>
      </c>
      <c r="DX12" s="71" t="s">
        <v>96</v>
      </c>
      <c r="DY12" s="71" t="s">
        <v>96</v>
      </c>
      <c r="DZ12" s="71" t="s">
        <v>96</v>
      </c>
      <c r="EA12" s="71" t="s">
        <v>96</v>
      </c>
      <c r="EB12" s="71" t="s">
        <v>96</v>
      </c>
      <c r="EC12" s="71" t="s">
        <v>96</v>
      </c>
      <c r="ED12" s="71" t="s">
        <v>96</v>
      </c>
      <c r="EE12" s="71" t="s">
        <v>96</v>
      </c>
      <c r="EF12" s="71" t="s">
        <v>96</v>
      </c>
      <c r="EG12" s="71" t="s">
        <v>96</v>
      </c>
      <c r="EH12" s="71" t="s">
        <v>96</v>
      </c>
      <c r="EI12" s="71"/>
      <c r="EJ12" s="71" t="s">
        <v>96</v>
      </c>
      <c r="EK12" s="71" t="s">
        <v>96</v>
      </c>
      <c r="EL12" s="160"/>
      <c r="EM12" s="71" t="s">
        <v>96</v>
      </c>
      <c r="EN12" s="71" t="s">
        <v>96</v>
      </c>
      <c r="EO12" s="71" t="s">
        <v>96</v>
      </c>
      <c r="EP12" s="71" t="s">
        <v>96</v>
      </c>
      <c r="EQ12" s="71" t="s">
        <v>96</v>
      </c>
      <c r="ER12" s="71" t="s">
        <v>96</v>
      </c>
      <c r="ES12" s="71" t="s">
        <v>96</v>
      </c>
      <c r="ET12" s="71" t="s">
        <v>96</v>
      </c>
      <c r="EU12" s="71" t="s">
        <v>96</v>
      </c>
      <c r="EV12" s="71" t="s">
        <v>96</v>
      </c>
      <c r="EW12" s="71" t="s">
        <v>96</v>
      </c>
      <c r="EX12" s="71" t="s">
        <v>96</v>
      </c>
      <c r="EY12" s="71" t="s">
        <v>96</v>
      </c>
      <c r="EZ12" s="71" t="s">
        <v>96</v>
      </c>
      <c r="FA12" s="71" t="s">
        <v>96</v>
      </c>
      <c r="FB12" s="71" t="s">
        <v>96</v>
      </c>
      <c r="FC12" s="71" t="s">
        <v>96</v>
      </c>
      <c r="FD12" s="71" t="s">
        <v>96</v>
      </c>
      <c r="FE12" s="71" t="s">
        <v>96</v>
      </c>
      <c r="FF12" s="71" t="s">
        <v>96</v>
      </c>
      <c r="FG12" s="71" t="s">
        <v>96</v>
      </c>
      <c r="FH12" s="71" t="s">
        <v>96</v>
      </c>
      <c r="FI12" s="71" t="s">
        <v>96</v>
      </c>
      <c r="FJ12" s="71" t="s">
        <v>96</v>
      </c>
      <c r="FK12" s="71" t="s">
        <v>96</v>
      </c>
      <c r="FL12" s="198"/>
      <c r="FM12" s="71" t="s">
        <v>96</v>
      </c>
      <c r="FN12" s="71" t="s">
        <v>96</v>
      </c>
      <c r="FO12" s="71" t="s">
        <v>96</v>
      </c>
      <c r="FP12" s="71" t="s">
        <v>96</v>
      </c>
      <c r="FQ12" s="71" t="s">
        <v>96</v>
      </c>
      <c r="FR12" s="199"/>
      <c r="FS12" s="198"/>
      <c r="FT12" s="71" t="s">
        <v>96</v>
      </c>
      <c r="FU12" s="71" t="s">
        <v>96</v>
      </c>
      <c r="FV12" s="71" t="s">
        <v>96</v>
      </c>
      <c r="FW12" s="71" t="s">
        <v>96</v>
      </c>
      <c r="FX12" s="71" t="s">
        <v>96</v>
      </c>
      <c r="FY12" s="199"/>
      <c r="FZ12" s="198"/>
      <c r="GA12" s="71" t="s">
        <v>96</v>
      </c>
      <c r="GB12" s="71" t="s">
        <v>96</v>
      </c>
      <c r="GC12" s="71" t="s">
        <v>96</v>
      </c>
      <c r="GD12" s="71" t="s">
        <v>96</v>
      </c>
      <c r="GE12" s="71" t="s">
        <v>96</v>
      </c>
      <c r="GF12" s="199"/>
      <c r="GG12" s="198"/>
      <c r="GH12" s="71" t="s">
        <v>96</v>
      </c>
      <c r="GI12" s="71" t="s">
        <v>96</v>
      </c>
      <c r="GJ12" s="71"/>
      <c r="GK12" s="71"/>
      <c r="GM12" s="71"/>
    </row>
    <row r="13" spans="1:195" s="97" customFormat="1" ht="12.75" customHeight="1">
      <c r="A13" s="390"/>
      <c r="B13" s="391" t="s">
        <v>51</v>
      </c>
      <c r="C13" s="117" t="s">
        <v>52</v>
      </c>
      <c r="D13" s="157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60"/>
      <c r="AC13" s="106"/>
      <c r="AD13" s="106"/>
      <c r="AE13" s="106"/>
      <c r="AF13" s="106"/>
      <c r="AG13" s="106"/>
      <c r="AH13" s="160"/>
      <c r="AI13" s="160"/>
      <c r="AJ13" s="106"/>
      <c r="AK13" s="106"/>
      <c r="AL13" s="106"/>
      <c r="AM13" s="106"/>
      <c r="AN13" s="106"/>
      <c r="AO13" s="160"/>
      <c r="AP13" s="160"/>
      <c r="AQ13" s="106"/>
      <c r="AR13" s="106"/>
      <c r="AS13" s="106"/>
      <c r="AT13" s="106"/>
      <c r="AU13" s="106"/>
      <c r="AV13" s="160"/>
      <c r="AW13" s="160"/>
      <c r="AX13" s="106"/>
      <c r="AY13" s="106"/>
      <c r="AZ13" s="106"/>
      <c r="BA13" s="106"/>
      <c r="BB13" s="106"/>
      <c r="BC13" s="106"/>
      <c r="BD13" s="106"/>
      <c r="BE13" s="106"/>
      <c r="BF13" s="106"/>
      <c r="BG13" s="106"/>
      <c r="BH13" s="106"/>
      <c r="BI13" s="106"/>
      <c r="BJ13" s="106"/>
      <c r="BK13" s="106"/>
      <c r="BL13" s="106"/>
      <c r="BM13" s="106"/>
      <c r="BN13" s="106"/>
      <c r="BO13" s="106"/>
      <c r="BP13" s="106"/>
      <c r="BQ13" s="106"/>
      <c r="BR13" s="106"/>
      <c r="BS13" s="106"/>
      <c r="BT13" s="106"/>
      <c r="BU13" s="106"/>
      <c r="BV13" s="106"/>
      <c r="BW13" s="106"/>
      <c r="BX13" s="106"/>
      <c r="BY13" s="106"/>
      <c r="BZ13" s="106"/>
      <c r="CA13" s="106"/>
      <c r="CB13" s="106"/>
      <c r="CC13" s="106"/>
      <c r="CD13" s="106"/>
      <c r="CE13" s="106"/>
      <c r="CF13" s="106"/>
      <c r="CG13" s="106"/>
      <c r="CH13" s="106"/>
      <c r="CI13" s="106"/>
      <c r="CJ13" s="106"/>
      <c r="CK13" s="106"/>
      <c r="CL13" s="106"/>
      <c r="CM13" s="106"/>
      <c r="CN13" s="106"/>
      <c r="CO13" s="106"/>
      <c r="CP13" s="106"/>
      <c r="CQ13" s="106"/>
      <c r="CR13" s="106"/>
      <c r="CS13" s="106"/>
      <c r="CT13" s="106"/>
      <c r="CU13" s="106"/>
      <c r="CV13" s="106"/>
      <c r="CW13" s="106"/>
      <c r="CX13" s="106"/>
      <c r="CY13" s="106"/>
      <c r="CZ13" s="106"/>
      <c r="DA13" s="106"/>
      <c r="DB13" s="106"/>
      <c r="DC13" s="106"/>
      <c r="DD13" s="106"/>
      <c r="DE13" s="106"/>
      <c r="DF13" s="106"/>
      <c r="DG13" s="106"/>
      <c r="DH13" s="160"/>
      <c r="DI13" s="106"/>
      <c r="DJ13" s="106"/>
      <c r="DK13" s="106"/>
      <c r="DL13" s="382"/>
      <c r="DM13" s="106"/>
      <c r="DN13" s="106"/>
      <c r="DO13" s="160"/>
      <c r="DP13" s="106"/>
      <c r="DQ13" s="106"/>
      <c r="DR13" s="106"/>
      <c r="DS13" s="106"/>
      <c r="DT13" s="382"/>
      <c r="DU13" s="106"/>
      <c r="DV13" s="106"/>
      <c r="DW13" s="106"/>
      <c r="DX13" s="106"/>
      <c r="DY13" s="106"/>
      <c r="DZ13" s="106"/>
      <c r="EA13" s="106"/>
      <c r="EB13" s="106"/>
      <c r="EC13" s="106"/>
      <c r="ED13" s="106"/>
      <c r="EE13" s="106"/>
      <c r="EF13" s="106"/>
      <c r="EG13" s="106"/>
      <c r="EH13" s="106"/>
      <c r="EI13" s="106"/>
      <c r="EJ13" s="106"/>
      <c r="EK13" s="106"/>
      <c r="EL13" s="160"/>
      <c r="EM13" s="106"/>
      <c r="EN13" s="106"/>
      <c r="EO13" s="106"/>
      <c r="EP13" s="106"/>
      <c r="EQ13" s="106"/>
      <c r="ER13" s="106"/>
      <c r="ES13" s="106"/>
      <c r="ET13" s="106"/>
      <c r="EU13" s="106"/>
      <c r="EV13" s="106"/>
      <c r="EW13" s="106"/>
      <c r="EX13" s="106"/>
      <c r="EY13" s="106"/>
      <c r="EZ13" s="106"/>
      <c r="FA13" s="106"/>
      <c r="FB13" s="106"/>
      <c r="FC13" s="106"/>
      <c r="FD13" s="106"/>
      <c r="FE13" s="106"/>
      <c r="FF13" s="106"/>
      <c r="FG13" s="106"/>
      <c r="FH13" s="106"/>
      <c r="FI13" s="106"/>
      <c r="FJ13" s="106"/>
      <c r="FK13" s="106"/>
      <c r="FL13" s="198"/>
      <c r="FM13" s="106"/>
      <c r="FN13" s="106"/>
      <c r="FO13" s="106"/>
      <c r="FP13" s="106"/>
      <c r="FQ13" s="106"/>
      <c r="FR13" s="199"/>
      <c r="FS13" s="198"/>
      <c r="FT13" s="106"/>
      <c r="FU13" s="106"/>
      <c r="FV13" s="106"/>
      <c r="FW13" s="106"/>
      <c r="FX13" s="106"/>
      <c r="FY13" s="199"/>
      <c r="FZ13" s="198"/>
      <c r="GA13" s="106"/>
      <c r="GB13" s="106"/>
      <c r="GC13" s="106"/>
      <c r="GD13" s="106"/>
      <c r="GE13" s="106"/>
      <c r="GF13" s="199"/>
      <c r="GG13" s="198"/>
      <c r="GH13" s="106"/>
      <c r="GI13" s="106"/>
      <c r="GJ13" s="106"/>
      <c r="GK13" s="106"/>
      <c r="GM13" s="106"/>
    </row>
    <row r="14" spans="1:195" s="13" customFormat="1">
      <c r="A14" s="390"/>
      <c r="B14" s="392"/>
      <c r="C14" s="118" t="s">
        <v>53</v>
      </c>
      <c r="D14" s="157"/>
      <c r="E14" s="71" t="s">
        <v>97</v>
      </c>
      <c r="F14" s="71" t="s">
        <v>96</v>
      </c>
      <c r="G14" s="71" t="s">
        <v>96</v>
      </c>
      <c r="H14" s="71" t="s">
        <v>96</v>
      </c>
      <c r="I14" s="71" t="s">
        <v>96</v>
      </c>
      <c r="J14" s="71" t="s">
        <v>96</v>
      </c>
      <c r="K14" s="71" t="s">
        <v>96</v>
      </c>
      <c r="L14" s="71" t="s">
        <v>96</v>
      </c>
      <c r="M14" s="71"/>
      <c r="N14" s="71" t="s">
        <v>96</v>
      </c>
      <c r="O14" s="71" t="s">
        <v>96</v>
      </c>
      <c r="P14" s="71" t="s">
        <v>96</v>
      </c>
      <c r="Q14" s="71" t="s">
        <v>96</v>
      </c>
      <c r="R14" s="71" t="s">
        <v>96</v>
      </c>
      <c r="S14" s="71" t="s">
        <v>96</v>
      </c>
      <c r="T14" s="71" t="s">
        <v>96</v>
      </c>
      <c r="U14" s="71" t="s">
        <v>96</v>
      </c>
      <c r="V14" s="71" t="s">
        <v>96</v>
      </c>
      <c r="W14" s="71" t="s">
        <v>96</v>
      </c>
      <c r="X14" s="71" t="s">
        <v>96</v>
      </c>
      <c r="Y14" s="71" t="s">
        <v>96</v>
      </c>
      <c r="Z14" s="71" t="s">
        <v>96</v>
      </c>
      <c r="AA14" s="71"/>
      <c r="AB14" s="160"/>
      <c r="AC14" s="71" t="s">
        <v>96</v>
      </c>
      <c r="AD14" s="71" t="s">
        <v>96</v>
      </c>
      <c r="AE14" s="71" t="s">
        <v>96</v>
      </c>
      <c r="AF14" s="71" t="s">
        <v>96</v>
      </c>
      <c r="AG14" s="71" t="s">
        <v>96</v>
      </c>
      <c r="AH14" s="160"/>
      <c r="AI14" s="160"/>
      <c r="AJ14" s="71" t="s">
        <v>96</v>
      </c>
      <c r="AK14" s="71" t="s">
        <v>96</v>
      </c>
      <c r="AL14" s="71" t="s">
        <v>96</v>
      </c>
      <c r="AM14" s="71" t="s">
        <v>96</v>
      </c>
      <c r="AN14" s="71" t="s">
        <v>96</v>
      </c>
      <c r="AO14" s="160"/>
      <c r="AP14" s="160"/>
      <c r="AQ14" s="71" t="s">
        <v>96</v>
      </c>
      <c r="AR14" s="71" t="s">
        <v>96</v>
      </c>
      <c r="AS14" s="71" t="s">
        <v>96</v>
      </c>
      <c r="AT14" s="71" t="s">
        <v>96</v>
      </c>
      <c r="AU14" s="71" t="s">
        <v>96</v>
      </c>
      <c r="AV14" s="160"/>
      <c r="AW14" s="160"/>
      <c r="AX14" s="71" t="s">
        <v>96</v>
      </c>
      <c r="AY14" s="71" t="s">
        <v>96</v>
      </c>
      <c r="AZ14" s="71" t="s">
        <v>96</v>
      </c>
      <c r="BA14" s="71" t="s">
        <v>96</v>
      </c>
      <c r="BB14" s="71" t="s">
        <v>96</v>
      </c>
      <c r="BC14" s="71" t="s">
        <v>96</v>
      </c>
      <c r="BD14" s="71" t="s">
        <v>96</v>
      </c>
      <c r="BE14" s="71" t="s">
        <v>96</v>
      </c>
      <c r="BF14" s="71" t="s">
        <v>96</v>
      </c>
      <c r="BG14" s="71" t="s">
        <v>96</v>
      </c>
      <c r="BH14" s="71" t="s">
        <v>96</v>
      </c>
      <c r="BI14" s="71" t="s">
        <v>96</v>
      </c>
      <c r="BJ14" s="71"/>
      <c r="BK14" s="71" t="s">
        <v>96</v>
      </c>
      <c r="BL14" s="71" t="s">
        <v>96</v>
      </c>
      <c r="BM14" s="71" t="s">
        <v>96</v>
      </c>
      <c r="BN14" s="71" t="s">
        <v>96</v>
      </c>
      <c r="BO14" s="71" t="s">
        <v>96</v>
      </c>
      <c r="BP14" s="71" t="s">
        <v>96</v>
      </c>
      <c r="BQ14" s="71"/>
      <c r="BR14" s="71" t="s">
        <v>96</v>
      </c>
      <c r="BS14" s="71" t="s">
        <v>96</v>
      </c>
      <c r="BT14" s="71" t="s">
        <v>96</v>
      </c>
      <c r="BU14" s="71" t="s">
        <v>96</v>
      </c>
      <c r="BV14" s="71" t="s">
        <v>96</v>
      </c>
      <c r="BW14" s="71" t="s">
        <v>96</v>
      </c>
      <c r="BX14" s="71"/>
      <c r="BY14" s="71" t="s">
        <v>96</v>
      </c>
      <c r="BZ14" s="71" t="s">
        <v>96</v>
      </c>
      <c r="CA14" s="71" t="s">
        <v>96</v>
      </c>
      <c r="CB14" s="71" t="s">
        <v>96</v>
      </c>
      <c r="CC14" s="71" t="s">
        <v>96</v>
      </c>
      <c r="CD14" s="71" t="s">
        <v>96</v>
      </c>
      <c r="CE14" s="71"/>
      <c r="CF14" s="71" t="s">
        <v>96</v>
      </c>
      <c r="CG14" s="71" t="s">
        <v>96</v>
      </c>
      <c r="CH14" s="71" t="s">
        <v>96</v>
      </c>
      <c r="CI14" s="71" t="s">
        <v>96</v>
      </c>
      <c r="CJ14" s="71" t="s">
        <v>96</v>
      </c>
      <c r="CK14" s="71" t="s">
        <v>96</v>
      </c>
      <c r="CL14" s="71" t="s">
        <v>96</v>
      </c>
      <c r="CM14" s="71" t="s">
        <v>96</v>
      </c>
      <c r="CN14" s="71" t="s">
        <v>96</v>
      </c>
      <c r="CO14" s="71" t="s">
        <v>96</v>
      </c>
      <c r="CP14" s="71" t="s">
        <v>96</v>
      </c>
      <c r="CQ14" s="71" t="s">
        <v>96</v>
      </c>
      <c r="CR14" s="71" t="s">
        <v>96</v>
      </c>
      <c r="CS14" s="71"/>
      <c r="CT14" s="71" t="s">
        <v>96</v>
      </c>
      <c r="CU14" s="71" t="s">
        <v>96</v>
      </c>
      <c r="CV14" s="71" t="s">
        <v>96</v>
      </c>
      <c r="CW14" s="71" t="s">
        <v>96</v>
      </c>
      <c r="CX14" s="71" t="s">
        <v>96</v>
      </c>
      <c r="CY14" s="71" t="s">
        <v>96</v>
      </c>
      <c r="CZ14" s="71"/>
      <c r="DA14" s="71" t="s">
        <v>96</v>
      </c>
      <c r="DB14" s="71" t="s">
        <v>96</v>
      </c>
      <c r="DC14" s="71" t="s">
        <v>96</v>
      </c>
      <c r="DD14" s="71" t="s">
        <v>96</v>
      </c>
      <c r="DE14" s="71" t="s">
        <v>96</v>
      </c>
      <c r="DF14" s="71" t="s">
        <v>96</v>
      </c>
      <c r="DG14" s="71" t="s">
        <v>96</v>
      </c>
      <c r="DH14" s="160"/>
      <c r="DI14" s="71" t="s">
        <v>96</v>
      </c>
      <c r="DJ14" s="71" t="s">
        <v>96</v>
      </c>
      <c r="DK14" s="71" t="s">
        <v>96</v>
      </c>
      <c r="DL14" s="382"/>
      <c r="DM14" s="71" t="s">
        <v>96</v>
      </c>
      <c r="DN14" s="71" t="s">
        <v>96</v>
      </c>
      <c r="DO14" s="160"/>
      <c r="DP14" s="71" t="s">
        <v>96</v>
      </c>
      <c r="DQ14" s="71" t="s">
        <v>96</v>
      </c>
      <c r="DR14" s="71" t="s">
        <v>96</v>
      </c>
      <c r="DS14" s="71" t="s">
        <v>96</v>
      </c>
      <c r="DT14" s="382"/>
      <c r="DU14" s="71"/>
      <c r="DV14" s="71" t="s">
        <v>96</v>
      </c>
      <c r="DW14" s="71" t="s">
        <v>96</v>
      </c>
      <c r="DX14" s="71" t="s">
        <v>96</v>
      </c>
      <c r="DY14" s="71" t="s">
        <v>96</v>
      </c>
      <c r="DZ14" s="71" t="s">
        <v>96</v>
      </c>
      <c r="EA14" s="71" t="s">
        <v>96</v>
      </c>
      <c r="EB14" s="71" t="s">
        <v>96</v>
      </c>
      <c r="EC14" s="71" t="s">
        <v>96</v>
      </c>
      <c r="ED14" s="71" t="s">
        <v>96</v>
      </c>
      <c r="EE14" s="71" t="s">
        <v>96</v>
      </c>
      <c r="EF14" s="71" t="s">
        <v>96</v>
      </c>
      <c r="EG14" s="71" t="s">
        <v>96</v>
      </c>
      <c r="EH14" s="71" t="s">
        <v>96</v>
      </c>
      <c r="EI14" s="71"/>
      <c r="EJ14" s="71" t="s">
        <v>96</v>
      </c>
      <c r="EK14" s="71" t="s">
        <v>96</v>
      </c>
      <c r="EL14" s="160"/>
      <c r="EM14" s="71" t="s">
        <v>96</v>
      </c>
      <c r="EN14" s="71" t="s">
        <v>96</v>
      </c>
      <c r="EO14" s="71" t="s">
        <v>96</v>
      </c>
      <c r="EP14" s="71" t="s">
        <v>96</v>
      </c>
      <c r="EQ14" s="71" t="s">
        <v>96</v>
      </c>
      <c r="ER14" s="71" t="s">
        <v>96</v>
      </c>
      <c r="ES14" s="71" t="s">
        <v>96</v>
      </c>
      <c r="ET14" s="71" t="s">
        <v>96</v>
      </c>
      <c r="EU14" s="71" t="s">
        <v>96</v>
      </c>
      <c r="EV14" s="71" t="s">
        <v>96</v>
      </c>
      <c r="EW14" s="71" t="s">
        <v>96</v>
      </c>
      <c r="EX14" s="71" t="s">
        <v>96</v>
      </c>
      <c r="EY14" s="71" t="s">
        <v>96</v>
      </c>
      <c r="EZ14" s="71" t="s">
        <v>96</v>
      </c>
      <c r="FA14" s="71" t="s">
        <v>96</v>
      </c>
      <c r="FB14" s="71" t="s">
        <v>96</v>
      </c>
      <c r="FC14" s="71" t="s">
        <v>96</v>
      </c>
      <c r="FD14" s="71" t="s">
        <v>96</v>
      </c>
      <c r="FE14" s="71" t="s">
        <v>96</v>
      </c>
      <c r="FF14" s="71" t="s">
        <v>96</v>
      </c>
      <c r="FG14" s="71" t="s">
        <v>96</v>
      </c>
      <c r="FH14" s="71" t="s">
        <v>96</v>
      </c>
      <c r="FI14" s="71" t="s">
        <v>96</v>
      </c>
      <c r="FJ14" s="71" t="s">
        <v>96</v>
      </c>
      <c r="FK14" s="71" t="s">
        <v>96</v>
      </c>
      <c r="FL14" s="198"/>
      <c r="FM14" s="71" t="s">
        <v>96</v>
      </c>
      <c r="FN14" s="71" t="s">
        <v>96</v>
      </c>
      <c r="FO14" s="71" t="s">
        <v>96</v>
      </c>
      <c r="FP14" s="71" t="s">
        <v>96</v>
      </c>
      <c r="FQ14" s="71" t="s">
        <v>96</v>
      </c>
      <c r="FR14" s="199"/>
      <c r="FS14" s="198"/>
      <c r="FT14" s="71" t="s">
        <v>96</v>
      </c>
      <c r="FU14" s="71" t="s">
        <v>96</v>
      </c>
      <c r="FV14" s="71" t="s">
        <v>96</v>
      </c>
      <c r="FW14" s="71" t="s">
        <v>96</v>
      </c>
      <c r="FX14" s="71" t="s">
        <v>96</v>
      </c>
      <c r="FY14" s="199"/>
      <c r="FZ14" s="198"/>
      <c r="GA14" s="71" t="s">
        <v>96</v>
      </c>
      <c r="GB14" s="71" t="s">
        <v>96</v>
      </c>
      <c r="GC14" s="71" t="s">
        <v>96</v>
      </c>
      <c r="GD14" s="71" t="s">
        <v>96</v>
      </c>
      <c r="GE14" s="71" t="s">
        <v>96</v>
      </c>
      <c r="GF14" s="199"/>
      <c r="GG14" s="198"/>
      <c r="GH14" s="71" t="s">
        <v>96</v>
      </c>
      <c r="GI14" s="71" t="s">
        <v>96</v>
      </c>
      <c r="GJ14" s="71"/>
      <c r="GK14" s="71"/>
      <c r="GM14" s="71"/>
    </row>
    <row r="15" spans="1:195" s="13" customFormat="1">
      <c r="A15" s="390"/>
      <c r="B15" s="392"/>
      <c r="C15" s="118" t="s">
        <v>54</v>
      </c>
      <c r="D15" s="157"/>
      <c r="E15" s="71" t="s">
        <v>96</v>
      </c>
      <c r="F15" s="71" t="s">
        <v>96</v>
      </c>
      <c r="G15" s="71" t="s">
        <v>96</v>
      </c>
      <c r="H15" s="71" t="s">
        <v>96</v>
      </c>
      <c r="I15" s="71" t="s">
        <v>96</v>
      </c>
      <c r="J15" s="71" t="s">
        <v>96</v>
      </c>
      <c r="K15" s="71" t="s">
        <v>96</v>
      </c>
      <c r="L15" s="71" t="s">
        <v>96</v>
      </c>
      <c r="M15" s="71"/>
      <c r="N15" s="71" t="s">
        <v>96</v>
      </c>
      <c r="O15" s="71" t="s">
        <v>96</v>
      </c>
      <c r="P15" s="71" t="s">
        <v>96</v>
      </c>
      <c r="Q15" s="71" t="s">
        <v>96</v>
      </c>
      <c r="R15" s="71" t="s">
        <v>96</v>
      </c>
      <c r="S15" s="71" t="s">
        <v>96</v>
      </c>
      <c r="T15" s="71" t="s">
        <v>96</v>
      </c>
      <c r="U15" s="71" t="s">
        <v>96</v>
      </c>
      <c r="V15" s="71" t="s">
        <v>96</v>
      </c>
      <c r="W15" s="71" t="s">
        <v>96</v>
      </c>
      <c r="X15" s="71" t="s">
        <v>96</v>
      </c>
      <c r="Y15" s="71" t="s">
        <v>96</v>
      </c>
      <c r="Z15" s="71" t="s">
        <v>96</v>
      </c>
      <c r="AA15" s="71"/>
      <c r="AB15" s="160"/>
      <c r="AC15" s="71" t="s">
        <v>96</v>
      </c>
      <c r="AD15" s="71" t="s">
        <v>96</v>
      </c>
      <c r="AE15" s="71" t="s">
        <v>96</v>
      </c>
      <c r="AF15" s="71" t="s">
        <v>96</v>
      </c>
      <c r="AG15" s="71" t="s">
        <v>96</v>
      </c>
      <c r="AH15" s="160"/>
      <c r="AI15" s="160"/>
      <c r="AJ15" s="71" t="s">
        <v>96</v>
      </c>
      <c r="AK15" s="71" t="s">
        <v>96</v>
      </c>
      <c r="AL15" s="71" t="s">
        <v>96</v>
      </c>
      <c r="AM15" s="71" t="s">
        <v>96</v>
      </c>
      <c r="AN15" s="71" t="s">
        <v>96</v>
      </c>
      <c r="AO15" s="160"/>
      <c r="AP15" s="160"/>
      <c r="AQ15" s="71" t="s">
        <v>96</v>
      </c>
      <c r="AR15" s="71" t="s">
        <v>96</v>
      </c>
      <c r="AS15" s="71" t="s">
        <v>96</v>
      </c>
      <c r="AT15" s="71" t="s">
        <v>96</v>
      </c>
      <c r="AU15" s="71" t="s">
        <v>96</v>
      </c>
      <c r="AV15" s="160"/>
      <c r="AW15" s="160"/>
      <c r="AX15" s="71" t="s">
        <v>96</v>
      </c>
      <c r="AY15" s="71" t="s">
        <v>96</v>
      </c>
      <c r="AZ15" s="71" t="s">
        <v>96</v>
      </c>
      <c r="BA15" s="71" t="s">
        <v>96</v>
      </c>
      <c r="BB15" s="71" t="s">
        <v>96</v>
      </c>
      <c r="BC15" s="71" t="s">
        <v>96</v>
      </c>
      <c r="BD15" s="71" t="s">
        <v>96</v>
      </c>
      <c r="BE15" s="71" t="s">
        <v>96</v>
      </c>
      <c r="BF15" s="71" t="s">
        <v>96</v>
      </c>
      <c r="BG15" s="71" t="s">
        <v>96</v>
      </c>
      <c r="BH15" s="71" t="s">
        <v>96</v>
      </c>
      <c r="BI15" s="71" t="s">
        <v>96</v>
      </c>
      <c r="BJ15" s="71"/>
      <c r="BK15" s="71" t="s">
        <v>96</v>
      </c>
      <c r="BL15" s="71" t="s">
        <v>96</v>
      </c>
      <c r="BM15" s="71" t="s">
        <v>96</v>
      </c>
      <c r="BN15" s="71" t="s">
        <v>96</v>
      </c>
      <c r="BO15" s="71" t="s">
        <v>96</v>
      </c>
      <c r="BP15" s="71" t="s">
        <v>96</v>
      </c>
      <c r="BQ15" s="71"/>
      <c r="BR15" s="71" t="s">
        <v>96</v>
      </c>
      <c r="BS15" s="71" t="s">
        <v>96</v>
      </c>
      <c r="BT15" s="71" t="s">
        <v>96</v>
      </c>
      <c r="BU15" s="71" t="s">
        <v>96</v>
      </c>
      <c r="BV15" s="71" t="s">
        <v>96</v>
      </c>
      <c r="BW15" s="71" t="s">
        <v>96</v>
      </c>
      <c r="BX15" s="71"/>
      <c r="BY15" s="71" t="s">
        <v>96</v>
      </c>
      <c r="BZ15" s="71" t="s">
        <v>96</v>
      </c>
      <c r="CA15" s="71" t="s">
        <v>96</v>
      </c>
      <c r="CB15" s="71" t="s">
        <v>96</v>
      </c>
      <c r="CC15" s="71" t="s">
        <v>96</v>
      </c>
      <c r="CD15" s="71" t="s">
        <v>96</v>
      </c>
      <c r="CE15" s="71"/>
      <c r="CF15" s="71" t="s">
        <v>96</v>
      </c>
      <c r="CG15" s="71" t="s">
        <v>96</v>
      </c>
      <c r="CH15" s="71" t="s">
        <v>96</v>
      </c>
      <c r="CI15" s="71" t="s">
        <v>96</v>
      </c>
      <c r="CJ15" s="71" t="s">
        <v>96</v>
      </c>
      <c r="CK15" s="71" t="s">
        <v>96</v>
      </c>
      <c r="CL15" s="71" t="s">
        <v>96</v>
      </c>
      <c r="CM15" s="71" t="s">
        <v>96</v>
      </c>
      <c r="CN15" s="71" t="s">
        <v>96</v>
      </c>
      <c r="CO15" s="71" t="s">
        <v>96</v>
      </c>
      <c r="CP15" s="71" t="s">
        <v>96</v>
      </c>
      <c r="CQ15" s="71" t="s">
        <v>96</v>
      </c>
      <c r="CR15" s="71" t="s">
        <v>96</v>
      </c>
      <c r="CS15" s="71"/>
      <c r="CT15" s="71" t="s">
        <v>96</v>
      </c>
      <c r="CU15" s="71" t="s">
        <v>96</v>
      </c>
      <c r="CV15" s="71" t="s">
        <v>96</v>
      </c>
      <c r="CW15" s="71" t="s">
        <v>96</v>
      </c>
      <c r="CX15" s="71" t="s">
        <v>96</v>
      </c>
      <c r="CY15" s="71" t="s">
        <v>96</v>
      </c>
      <c r="CZ15" s="71"/>
      <c r="DA15" s="71" t="s">
        <v>96</v>
      </c>
      <c r="DB15" s="71" t="s">
        <v>96</v>
      </c>
      <c r="DC15" s="71" t="s">
        <v>96</v>
      </c>
      <c r="DD15" s="71" t="s">
        <v>96</v>
      </c>
      <c r="DE15" s="71" t="s">
        <v>96</v>
      </c>
      <c r="DF15" s="71" t="s">
        <v>96</v>
      </c>
      <c r="DG15" s="71" t="s">
        <v>96</v>
      </c>
      <c r="DH15" s="160"/>
      <c r="DI15" s="71" t="s">
        <v>96</v>
      </c>
      <c r="DJ15" s="71" t="s">
        <v>96</v>
      </c>
      <c r="DK15" s="71" t="s">
        <v>96</v>
      </c>
      <c r="DL15" s="382"/>
      <c r="DM15" s="71" t="s">
        <v>96</v>
      </c>
      <c r="DN15" s="71" t="s">
        <v>96</v>
      </c>
      <c r="DO15" s="160"/>
      <c r="DP15" s="71" t="s">
        <v>96</v>
      </c>
      <c r="DQ15" s="71" t="s">
        <v>96</v>
      </c>
      <c r="DR15" s="71" t="s">
        <v>96</v>
      </c>
      <c r="DS15" s="71" t="s">
        <v>96</v>
      </c>
      <c r="DT15" s="382"/>
      <c r="DU15" s="71"/>
      <c r="DV15" s="71" t="s">
        <v>96</v>
      </c>
      <c r="DW15" s="71" t="s">
        <v>96</v>
      </c>
      <c r="DX15" s="71" t="s">
        <v>96</v>
      </c>
      <c r="DY15" s="71" t="s">
        <v>96</v>
      </c>
      <c r="DZ15" s="71" t="s">
        <v>96</v>
      </c>
      <c r="EA15" s="71" t="s">
        <v>96</v>
      </c>
      <c r="EB15" s="71" t="s">
        <v>96</v>
      </c>
      <c r="EC15" s="71" t="s">
        <v>96</v>
      </c>
      <c r="ED15" s="71" t="s">
        <v>96</v>
      </c>
      <c r="EE15" s="71" t="s">
        <v>96</v>
      </c>
      <c r="EF15" s="71" t="s">
        <v>96</v>
      </c>
      <c r="EG15" s="71" t="s">
        <v>96</v>
      </c>
      <c r="EH15" s="71" t="s">
        <v>96</v>
      </c>
      <c r="EI15" s="71"/>
      <c r="EJ15" s="71" t="s">
        <v>96</v>
      </c>
      <c r="EK15" s="71" t="s">
        <v>96</v>
      </c>
      <c r="EL15" s="160"/>
      <c r="EM15" s="71" t="s">
        <v>96</v>
      </c>
      <c r="EN15" s="71" t="s">
        <v>96</v>
      </c>
      <c r="EO15" s="71" t="s">
        <v>96</v>
      </c>
      <c r="EP15" s="71" t="s">
        <v>96</v>
      </c>
      <c r="EQ15" s="71" t="s">
        <v>96</v>
      </c>
      <c r="ER15" s="71" t="s">
        <v>96</v>
      </c>
      <c r="ES15" s="71" t="s">
        <v>96</v>
      </c>
      <c r="ET15" s="71" t="s">
        <v>96</v>
      </c>
      <c r="EU15" s="71" t="s">
        <v>96</v>
      </c>
      <c r="EV15" s="71" t="s">
        <v>96</v>
      </c>
      <c r="EW15" s="71" t="s">
        <v>96</v>
      </c>
      <c r="EX15" s="71" t="s">
        <v>96</v>
      </c>
      <c r="EY15" s="71" t="s">
        <v>96</v>
      </c>
      <c r="EZ15" s="71" t="s">
        <v>96</v>
      </c>
      <c r="FA15" s="71" t="s">
        <v>96</v>
      </c>
      <c r="FB15" s="71" t="s">
        <v>96</v>
      </c>
      <c r="FC15" s="71" t="s">
        <v>96</v>
      </c>
      <c r="FD15" s="71" t="s">
        <v>96</v>
      </c>
      <c r="FE15" s="71" t="s">
        <v>96</v>
      </c>
      <c r="FF15" s="71" t="s">
        <v>96</v>
      </c>
      <c r="FG15" s="71" t="s">
        <v>96</v>
      </c>
      <c r="FH15" s="71" t="s">
        <v>96</v>
      </c>
      <c r="FI15" s="71" t="s">
        <v>96</v>
      </c>
      <c r="FJ15" s="71" t="s">
        <v>96</v>
      </c>
      <c r="FK15" s="71" t="s">
        <v>96</v>
      </c>
      <c r="FL15" s="198"/>
      <c r="FM15" s="71" t="s">
        <v>96</v>
      </c>
      <c r="FN15" s="71" t="s">
        <v>96</v>
      </c>
      <c r="FO15" s="71" t="s">
        <v>96</v>
      </c>
      <c r="FP15" s="71" t="s">
        <v>96</v>
      </c>
      <c r="FQ15" s="71" t="s">
        <v>96</v>
      </c>
      <c r="FR15" s="199"/>
      <c r="FS15" s="198"/>
      <c r="FT15" s="71" t="s">
        <v>96</v>
      </c>
      <c r="FU15" s="71" t="s">
        <v>96</v>
      </c>
      <c r="FV15" s="71" t="s">
        <v>96</v>
      </c>
      <c r="FW15" s="71" t="s">
        <v>96</v>
      </c>
      <c r="FX15" s="71" t="s">
        <v>96</v>
      </c>
      <c r="FY15" s="199"/>
      <c r="FZ15" s="198"/>
      <c r="GA15" s="71" t="s">
        <v>96</v>
      </c>
      <c r="GB15" s="71" t="s">
        <v>96</v>
      </c>
      <c r="GC15" s="71" t="s">
        <v>96</v>
      </c>
      <c r="GD15" s="71" t="s">
        <v>96</v>
      </c>
      <c r="GE15" s="71" t="s">
        <v>96</v>
      </c>
      <c r="GF15" s="199"/>
      <c r="GG15" s="198"/>
      <c r="GH15" s="71" t="s">
        <v>96</v>
      </c>
      <c r="GI15" s="71" t="s">
        <v>96</v>
      </c>
      <c r="GJ15" s="71"/>
      <c r="GK15" s="71"/>
      <c r="GM15" s="71"/>
    </row>
    <row r="16" spans="1:195" s="13" customFormat="1">
      <c r="A16" s="390"/>
      <c r="B16" s="392"/>
      <c r="C16" s="118" t="s">
        <v>55</v>
      </c>
      <c r="D16" s="157"/>
      <c r="E16" s="71" t="s">
        <v>96</v>
      </c>
      <c r="F16" s="71" t="s">
        <v>96</v>
      </c>
      <c r="G16" s="71" t="s">
        <v>96</v>
      </c>
      <c r="H16" s="71" t="s">
        <v>96</v>
      </c>
      <c r="I16" s="71" t="s">
        <v>96</v>
      </c>
      <c r="J16" s="71" t="s">
        <v>96</v>
      </c>
      <c r="K16" s="71" t="s">
        <v>96</v>
      </c>
      <c r="L16" s="71" t="s">
        <v>97</v>
      </c>
      <c r="M16" s="71"/>
      <c r="N16" s="71" t="s">
        <v>96</v>
      </c>
      <c r="O16" s="71" t="s">
        <v>96</v>
      </c>
      <c r="P16" s="71" t="s">
        <v>96</v>
      </c>
      <c r="Q16" s="71" t="s">
        <v>96</v>
      </c>
      <c r="R16" s="71" t="s">
        <v>96</v>
      </c>
      <c r="S16" s="71" t="s">
        <v>96</v>
      </c>
      <c r="T16" s="71" t="s">
        <v>96</v>
      </c>
      <c r="U16" s="71" t="s">
        <v>96</v>
      </c>
      <c r="V16" s="71" t="s">
        <v>96</v>
      </c>
      <c r="W16" s="71" t="s">
        <v>96</v>
      </c>
      <c r="X16" s="71" t="s">
        <v>96</v>
      </c>
      <c r="Y16" s="71" t="s">
        <v>96</v>
      </c>
      <c r="Z16" s="71" t="s">
        <v>96</v>
      </c>
      <c r="AA16" s="71"/>
      <c r="AB16" s="160"/>
      <c r="AC16" s="71" t="s">
        <v>96</v>
      </c>
      <c r="AD16" s="71" t="s">
        <v>96</v>
      </c>
      <c r="AE16" s="71" t="s">
        <v>96</v>
      </c>
      <c r="AF16" s="71" t="s">
        <v>96</v>
      </c>
      <c r="AG16" s="71" t="s">
        <v>96</v>
      </c>
      <c r="AH16" s="160"/>
      <c r="AI16" s="160"/>
      <c r="AJ16" s="71" t="s">
        <v>96</v>
      </c>
      <c r="AK16" s="71" t="s">
        <v>96</v>
      </c>
      <c r="AL16" s="71" t="s">
        <v>96</v>
      </c>
      <c r="AM16" s="71" t="s">
        <v>96</v>
      </c>
      <c r="AN16" s="71" t="s">
        <v>96</v>
      </c>
      <c r="AO16" s="160"/>
      <c r="AP16" s="160"/>
      <c r="AQ16" s="71" t="s">
        <v>96</v>
      </c>
      <c r="AR16" s="71" t="s">
        <v>96</v>
      </c>
      <c r="AS16" s="71" t="s">
        <v>96</v>
      </c>
      <c r="AT16" s="71" t="s">
        <v>96</v>
      </c>
      <c r="AU16" s="71" t="s">
        <v>96</v>
      </c>
      <c r="AV16" s="160"/>
      <c r="AW16" s="160"/>
      <c r="AX16" s="71" t="s">
        <v>96</v>
      </c>
      <c r="AY16" s="71" t="s">
        <v>96</v>
      </c>
      <c r="AZ16" s="71" t="s">
        <v>96</v>
      </c>
      <c r="BA16" s="71" t="s">
        <v>96</v>
      </c>
      <c r="BB16" s="71" t="s">
        <v>96</v>
      </c>
      <c r="BC16" s="71" t="s">
        <v>96</v>
      </c>
      <c r="BD16" s="71" t="s">
        <v>96</v>
      </c>
      <c r="BE16" s="71" t="s">
        <v>96</v>
      </c>
      <c r="BF16" s="71" t="s">
        <v>96</v>
      </c>
      <c r="BG16" s="71" t="s">
        <v>96</v>
      </c>
      <c r="BH16" s="71" t="s">
        <v>96</v>
      </c>
      <c r="BI16" s="71" t="s">
        <v>96</v>
      </c>
      <c r="BJ16" s="71"/>
      <c r="BK16" s="71" t="s">
        <v>96</v>
      </c>
      <c r="BL16" s="71" t="s">
        <v>96</v>
      </c>
      <c r="BM16" s="71" t="s">
        <v>96</v>
      </c>
      <c r="BN16" s="71" t="s">
        <v>96</v>
      </c>
      <c r="BO16" s="71" t="s">
        <v>96</v>
      </c>
      <c r="BP16" s="71" t="s">
        <v>96</v>
      </c>
      <c r="BQ16" s="71"/>
      <c r="BR16" s="71" t="s">
        <v>96</v>
      </c>
      <c r="BS16" s="71" t="s">
        <v>96</v>
      </c>
      <c r="BT16" s="71" t="s">
        <v>96</v>
      </c>
      <c r="BU16" s="71" t="s">
        <v>96</v>
      </c>
      <c r="BV16" s="71" t="s">
        <v>96</v>
      </c>
      <c r="BW16" s="71" t="s">
        <v>96</v>
      </c>
      <c r="BX16" s="71"/>
      <c r="BY16" s="71" t="s">
        <v>96</v>
      </c>
      <c r="BZ16" s="71" t="s">
        <v>96</v>
      </c>
      <c r="CA16" s="71" t="s">
        <v>96</v>
      </c>
      <c r="CB16" s="71" t="s">
        <v>96</v>
      </c>
      <c r="CC16" s="71" t="s">
        <v>96</v>
      </c>
      <c r="CD16" s="71" t="s">
        <v>96</v>
      </c>
      <c r="CE16" s="71"/>
      <c r="CF16" s="71" t="s">
        <v>96</v>
      </c>
      <c r="CG16" s="71" t="s">
        <v>96</v>
      </c>
      <c r="CH16" s="71" t="s">
        <v>96</v>
      </c>
      <c r="CI16" s="71" t="s">
        <v>96</v>
      </c>
      <c r="CJ16" s="71" t="s">
        <v>96</v>
      </c>
      <c r="CK16" s="71" t="s">
        <v>96</v>
      </c>
      <c r="CL16" s="71" t="s">
        <v>96</v>
      </c>
      <c r="CM16" s="71" t="s">
        <v>96</v>
      </c>
      <c r="CN16" s="71" t="s">
        <v>96</v>
      </c>
      <c r="CO16" s="71" t="s">
        <v>96</v>
      </c>
      <c r="CP16" s="71" t="s">
        <v>96</v>
      </c>
      <c r="CQ16" s="71" t="s">
        <v>96</v>
      </c>
      <c r="CR16" s="71" t="s">
        <v>96</v>
      </c>
      <c r="CS16" s="71"/>
      <c r="CT16" s="71" t="s">
        <v>96</v>
      </c>
      <c r="CU16" s="71" t="s">
        <v>96</v>
      </c>
      <c r="CV16" s="71" t="s">
        <v>96</v>
      </c>
      <c r="CW16" s="71" t="s">
        <v>96</v>
      </c>
      <c r="CX16" s="71" t="s">
        <v>96</v>
      </c>
      <c r="CY16" s="71" t="s">
        <v>96</v>
      </c>
      <c r="CZ16" s="71"/>
      <c r="DA16" s="71" t="s">
        <v>96</v>
      </c>
      <c r="DB16" s="71" t="s">
        <v>96</v>
      </c>
      <c r="DC16" s="71" t="s">
        <v>96</v>
      </c>
      <c r="DD16" s="71" t="s">
        <v>96</v>
      </c>
      <c r="DE16" s="71" t="s">
        <v>96</v>
      </c>
      <c r="DF16" s="71" t="s">
        <v>96</v>
      </c>
      <c r="DG16" s="71" t="s">
        <v>96</v>
      </c>
      <c r="DH16" s="160"/>
      <c r="DI16" s="71" t="s">
        <v>96</v>
      </c>
      <c r="DJ16" s="71" t="s">
        <v>96</v>
      </c>
      <c r="DK16" s="71" t="s">
        <v>96</v>
      </c>
      <c r="DL16" s="382"/>
      <c r="DM16" s="71" t="s">
        <v>96</v>
      </c>
      <c r="DN16" s="71" t="s">
        <v>96</v>
      </c>
      <c r="DO16" s="160"/>
      <c r="DP16" s="71" t="s">
        <v>96</v>
      </c>
      <c r="DQ16" s="71" t="s">
        <v>96</v>
      </c>
      <c r="DR16" s="71" t="s">
        <v>96</v>
      </c>
      <c r="DS16" s="71" t="s">
        <v>96</v>
      </c>
      <c r="DT16" s="382"/>
      <c r="DU16" s="71"/>
      <c r="DV16" s="71" t="s">
        <v>96</v>
      </c>
      <c r="DW16" s="71" t="s">
        <v>96</v>
      </c>
      <c r="DX16" s="71" t="s">
        <v>96</v>
      </c>
      <c r="DY16" s="71" t="s">
        <v>96</v>
      </c>
      <c r="DZ16" s="71" t="s">
        <v>96</v>
      </c>
      <c r="EA16" s="71" t="s">
        <v>96</v>
      </c>
      <c r="EB16" s="71" t="s">
        <v>96</v>
      </c>
      <c r="EC16" s="71" t="s">
        <v>96</v>
      </c>
      <c r="ED16" s="71" t="s">
        <v>96</v>
      </c>
      <c r="EE16" s="71" t="s">
        <v>96</v>
      </c>
      <c r="EF16" s="71" t="s">
        <v>96</v>
      </c>
      <c r="EG16" s="71" t="s">
        <v>96</v>
      </c>
      <c r="EH16" s="71" t="s">
        <v>96</v>
      </c>
      <c r="EI16" s="71"/>
      <c r="EJ16" s="71" t="s">
        <v>96</v>
      </c>
      <c r="EK16" s="71" t="s">
        <v>96</v>
      </c>
      <c r="EL16" s="160"/>
      <c r="EM16" s="71" t="s">
        <v>96</v>
      </c>
      <c r="EN16" s="71" t="s">
        <v>96</v>
      </c>
      <c r="EO16" s="71" t="s">
        <v>96</v>
      </c>
      <c r="EP16" s="71" t="s">
        <v>96</v>
      </c>
      <c r="EQ16" s="71" t="s">
        <v>96</v>
      </c>
      <c r="ER16" s="71" t="s">
        <v>96</v>
      </c>
      <c r="ES16" s="71" t="s">
        <v>96</v>
      </c>
      <c r="ET16" s="71" t="s">
        <v>96</v>
      </c>
      <c r="EU16" s="71" t="s">
        <v>96</v>
      </c>
      <c r="EV16" s="71" t="s">
        <v>96</v>
      </c>
      <c r="EW16" s="71" t="s">
        <v>96</v>
      </c>
      <c r="EX16" s="71" t="s">
        <v>96</v>
      </c>
      <c r="EY16" s="71" t="s">
        <v>96</v>
      </c>
      <c r="EZ16" s="71" t="s">
        <v>96</v>
      </c>
      <c r="FA16" s="71" t="s">
        <v>96</v>
      </c>
      <c r="FB16" s="71" t="s">
        <v>96</v>
      </c>
      <c r="FC16" s="71" t="s">
        <v>96</v>
      </c>
      <c r="FD16" s="71" t="s">
        <v>96</v>
      </c>
      <c r="FE16" s="71" t="s">
        <v>96</v>
      </c>
      <c r="FF16" s="71" t="s">
        <v>96</v>
      </c>
      <c r="FG16" s="71" t="s">
        <v>96</v>
      </c>
      <c r="FH16" s="71" t="s">
        <v>96</v>
      </c>
      <c r="FI16" s="71" t="s">
        <v>96</v>
      </c>
      <c r="FJ16" s="71" t="s">
        <v>96</v>
      </c>
      <c r="FK16" s="71" t="s">
        <v>96</v>
      </c>
      <c r="FL16" s="198"/>
      <c r="FM16" s="71" t="s">
        <v>96</v>
      </c>
      <c r="FN16" s="71" t="s">
        <v>96</v>
      </c>
      <c r="FO16" s="71" t="s">
        <v>96</v>
      </c>
      <c r="FP16" s="71" t="s">
        <v>96</v>
      </c>
      <c r="FQ16" s="71" t="s">
        <v>96</v>
      </c>
      <c r="FR16" s="199"/>
      <c r="FS16" s="198"/>
      <c r="FT16" s="71" t="s">
        <v>96</v>
      </c>
      <c r="FU16" s="71" t="s">
        <v>96</v>
      </c>
      <c r="FV16" s="71" t="s">
        <v>96</v>
      </c>
      <c r="FW16" s="71" t="s">
        <v>96</v>
      </c>
      <c r="FX16" s="71" t="s">
        <v>96</v>
      </c>
      <c r="FY16" s="199"/>
      <c r="FZ16" s="198"/>
      <c r="GA16" s="71" t="s">
        <v>96</v>
      </c>
      <c r="GB16" s="71" t="s">
        <v>96</v>
      </c>
      <c r="GC16" s="71" t="s">
        <v>96</v>
      </c>
      <c r="GD16" s="71" t="s">
        <v>96</v>
      </c>
      <c r="GE16" s="71" t="s">
        <v>96</v>
      </c>
      <c r="GF16" s="199"/>
      <c r="GG16" s="198"/>
      <c r="GH16" s="71" t="s">
        <v>96</v>
      </c>
      <c r="GI16" s="71" t="s">
        <v>96</v>
      </c>
      <c r="GJ16" s="71"/>
      <c r="GK16" s="71"/>
      <c r="GM16" s="71"/>
    </row>
    <row r="17" spans="1:195" s="13" customFormat="1">
      <c r="A17" s="390"/>
      <c r="B17" s="392"/>
      <c r="C17" s="118" t="s">
        <v>56</v>
      </c>
      <c r="D17" s="157"/>
      <c r="E17" s="71" t="s">
        <v>96</v>
      </c>
      <c r="F17" s="71" t="s">
        <v>96</v>
      </c>
      <c r="G17" s="71" t="s">
        <v>96</v>
      </c>
      <c r="H17" s="71" t="s">
        <v>96</v>
      </c>
      <c r="I17" s="71" t="s">
        <v>96</v>
      </c>
      <c r="J17" s="71" t="s">
        <v>96</v>
      </c>
      <c r="K17" s="71" t="s">
        <v>96</v>
      </c>
      <c r="L17" s="71" t="s">
        <v>96</v>
      </c>
      <c r="M17" s="71"/>
      <c r="N17" s="71" t="s">
        <v>96</v>
      </c>
      <c r="O17" s="71" t="s">
        <v>96</v>
      </c>
      <c r="P17" s="71" t="s">
        <v>96</v>
      </c>
      <c r="Q17" s="71" t="s">
        <v>96</v>
      </c>
      <c r="R17" s="71" t="s">
        <v>96</v>
      </c>
      <c r="S17" s="71" t="s">
        <v>96</v>
      </c>
      <c r="T17" s="71" t="s">
        <v>97</v>
      </c>
      <c r="U17" s="71" t="s">
        <v>96</v>
      </c>
      <c r="V17" s="71" t="s">
        <v>96</v>
      </c>
      <c r="W17" s="71" t="s">
        <v>96</v>
      </c>
      <c r="X17" s="71" t="s">
        <v>96</v>
      </c>
      <c r="Y17" s="71" t="s">
        <v>96</v>
      </c>
      <c r="Z17" s="71" t="s">
        <v>96</v>
      </c>
      <c r="AA17" s="71"/>
      <c r="AB17" s="160"/>
      <c r="AC17" s="71" t="s">
        <v>96</v>
      </c>
      <c r="AD17" s="71" t="s">
        <v>96</v>
      </c>
      <c r="AE17" s="71" t="s">
        <v>96</v>
      </c>
      <c r="AF17" s="71" t="s">
        <v>96</v>
      </c>
      <c r="AG17" s="71" t="s">
        <v>96</v>
      </c>
      <c r="AH17" s="160"/>
      <c r="AI17" s="160"/>
      <c r="AJ17" s="71" t="s">
        <v>96</v>
      </c>
      <c r="AK17" s="71" t="s">
        <v>96</v>
      </c>
      <c r="AL17" s="71" t="s">
        <v>96</v>
      </c>
      <c r="AM17" s="71" t="s">
        <v>96</v>
      </c>
      <c r="AN17" s="71" t="s">
        <v>96</v>
      </c>
      <c r="AO17" s="160"/>
      <c r="AP17" s="160"/>
      <c r="AQ17" s="71" t="s">
        <v>96</v>
      </c>
      <c r="AR17" s="71" t="s">
        <v>96</v>
      </c>
      <c r="AS17" s="71" t="s">
        <v>96</v>
      </c>
      <c r="AT17" s="71" t="s">
        <v>96</v>
      </c>
      <c r="AU17" s="71" t="s">
        <v>96</v>
      </c>
      <c r="AV17" s="160"/>
      <c r="AW17" s="160"/>
      <c r="AX17" s="71" t="s">
        <v>96</v>
      </c>
      <c r="AY17" s="71" t="s">
        <v>96</v>
      </c>
      <c r="AZ17" s="71" t="s">
        <v>96</v>
      </c>
      <c r="BA17" s="71" t="s">
        <v>96</v>
      </c>
      <c r="BB17" s="71" t="s">
        <v>96</v>
      </c>
      <c r="BC17" s="71" t="s">
        <v>96</v>
      </c>
      <c r="BD17" s="71" t="s">
        <v>96</v>
      </c>
      <c r="BE17" s="71" t="s">
        <v>96</v>
      </c>
      <c r="BF17" s="71" t="s">
        <v>96</v>
      </c>
      <c r="BG17" s="71" t="s">
        <v>96</v>
      </c>
      <c r="BH17" s="71" t="s">
        <v>96</v>
      </c>
      <c r="BI17" s="71" t="s">
        <v>96</v>
      </c>
      <c r="BJ17" s="71"/>
      <c r="BK17" s="71" t="s">
        <v>96</v>
      </c>
      <c r="BL17" s="71" t="s">
        <v>96</v>
      </c>
      <c r="BM17" s="71" t="s">
        <v>96</v>
      </c>
      <c r="BN17" s="71" t="s">
        <v>96</v>
      </c>
      <c r="BO17" s="71" t="s">
        <v>96</v>
      </c>
      <c r="BP17" s="71" t="s">
        <v>96</v>
      </c>
      <c r="BQ17" s="71"/>
      <c r="BR17" s="71" t="s">
        <v>96</v>
      </c>
      <c r="BS17" s="71" t="s">
        <v>96</v>
      </c>
      <c r="BT17" s="71" t="s">
        <v>96</v>
      </c>
      <c r="BU17" s="71" t="s">
        <v>96</v>
      </c>
      <c r="BV17" s="71" t="s">
        <v>96</v>
      </c>
      <c r="BW17" s="71" t="s">
        <v>96</v>
      </c>
      <c r="BX17" s="71"/>
      <c r="BY17" s="71" t="s">
        <v>96</v>
      </c>
      <c r="BZ17" s="71" t="s">
        <v>96</v>
      </c>
      <c r="CA17" s="71" t="s">
        <v>96</v>
      </c>
      <c r="CB17" s="71" t="s">
        <v>96</v>
      </c>
      <c r="CC17" s="71" t="s">
        <v>96</v>
      </c>
      <c r="CD17" s="71" t="s">
        <v>96</v>
      </c>
      <c r="CE17" s="71"/>
      <c r="CF17" s="71" t="s">
        <v>96</v>
      </c>
      <c r="CG17" s="71" t="s">
        <v>96</v>
      </c>
      <c r="CH17" s="71" t="s">
        <v>96</v>
      </c>
      <c r="CI17" s="71" t="s">
        <v>96</v>
      </c>
      <c r="CJ17" s="71" t="s">
        <v>96</v>
      </c>
      <c r="CK17" s="71" t="s">
        <v>96</v>
      </c>
      <c r="CL17" s="71" t="s">
        <v>96</v>
      </c>
      <c r="CM17" s="71" t="s">
        <v>96</v>
      </c>
      <c r="CN17" s="71" t="s">
        <v>96</v>
      </c>
      <c r="CO17" s="71" t="s">
        <v>96</v>
      </c>
      <c r="CP17" s="71" t="s">
        <v>96</v>
      </c>
      <c r="CQ17" s="71" t="s">
        <v>96</v>
      </c>
      <c r="CR17" s="71" t="s">
        <v>96</v>
      </c>
      <c r="CS17" s="71"/>
      <c r="CT17" s="71" t="s">
        <v>96</v>
      </c>
      <c r="CU17" s="71" t="s">
        <v>96</v>
      </c>
      <c r="CV17" s="71" t="s">
        <v>96</v>
      </c>
      <c r="CW17" s="71" t="s">
        <v>96</v>
      </c>
      <c r="CX17" s="71" t="s">
        <v>96</v>
      </c>
      <c r="CY17" s="71" t="s">
        <v>96</v>
      </c>
      <c r="CZ17" s="71"/>
      <c r="DA17" s="71" t="s">
        <v>96</v>
      </c>
      <c r="DB17" s="71" t="s">
        <v>96</v>
      </c>
      <c r="DC17" s="71" t="s">
        <v>96</v>
      </c>
      <c r="DD17" s="71" t="s">
        <v>96</v>
      </c>
      <c r="DE17" s="71" t="s">
        <v>96</v>
      </c>
      <c r="DF17" s="71" t="s">
        <v>96</v>
      </c>
      <c r="DG17" s="71" t="s">
        <v>96</v>
      </c>
      <c r="DH17" s="160"/>
      <c r="DI17" s="71" t="s">
        <v>96</v>
      </c>
      <c r="DJ17" s="71" t="s">
        <v>96</v>
      </c>
      <c r="DK17" s="71" t="s">
        <v>96</v>
      </c>
      <c r="DL17" s="382"/>
      <c r="DM17" s="71" t="s">
        <v>96</v>
      </c>
      <c r="DN17" s="71" t="s">
        <v>96</v>
      </c>
      <c r="DO17" s="160"/>
      <c r="DP17" s="71" t="s">
        <v>96</v>
      </c>
      <c r="DQ17" s="71" t="s">
        <v>96</v>
      </c>
      <c r="DR17" s="71" t="s">
        <v>96</v>
      </c>
      <c r="DS17" s="71" t="s">
        <v>96</v>
      </c>
      <c r="DT17" s="382"/>
      <c r="DU17" s="71"/>
      <c r="DV17" s="71" t="s">
        <v>96</v>
      </c>
      <c r="DW17" s="71" t="s">
        <v>96</v>
      </c>
      <c r="DX17" s="71" t="s">
        <v>96</v>
      </c>
      <c r="DY17" s="71" t="s">
        <v>96</v>
      </c>
      <c r="DZ17" s="71" t="s">
        <v>96</v>
      </c>
      <c r="EA17" s="71" t="s">
        <v>96</v>
      </c>
      <c r="EB17" s="71" t="s">
        <v>96</v>
      </c>
      <c r="EC17" s="71" t="s">
        <v>96</v>
      </c>
      <c r="ED17" s="71" t="s">
        <v>96</v>
      </c>
      <c r="EE17" s="71" t="s">
        <v>96</v>
      </c>
      <c r="EF17" s="71" t="s">
        <v>96</v>
      </c>
      <c r="EG17" s="71" t="s">
        <v>96</v>
      </c>
      <c r="EH17" s="71" t="s">
        <v>96</v>
      </c>
      <c r="EI17" s="71"/>
      <c r="EJ17" s="71" t="s">
        <v>96</v>
      </c>
      <c r="EK17" s="71" t="s">
        <v>96</v>
      </c>
      <c r="EL17" s="160"/>
      <c r="EM17" s="71" t="s">
        <v>96</v>
      </c>
      <c r="EN17" s="71" t="s">
        <v>96</v>
      </c>
      <c r="EO17" s="71" t="s">
        <v>96</v>
      </c>
      <c r="EP17" s="71" t="s">
        <v>96</v>
      </c>
      <c r="EQ17" s="71" t="s">
        <v>96</v>
      </c>
      <c r="ER17" s="71" t="s">
        <v>96</v>
      </c>
      <c r="ES17" s="71" t="s">
        <v>96</v>
      </c>
      <c r="ET17" s="71" t="s">
        <v>96</v>
      </c>
      <c r="EU17" s="71" t="s">
        <v>96</v>
      </c>
      <c r="EV17" s="71" t="s">
        <v>96</v>
      </c>
      <c r="EW17" s="71" t="s">
        <v>96</v>
      </c>
      <c r="EX17" s="71" t="s">
        <v>96</v>
      </c>
      <c r="EY17" s="71" t="s">
        <v>96</v>
      </c>
      <c r="EZ17" s="71" t="s">
        <v>96</v>
      </c>
      <c r="FA17" s="71" t="s">
        <v>96</v>
      </c>
      <c r="FB17" s="71" t="s">
        <v>96</v>
      </c>
      <c r="FC17" s="71" t="s">
        <v>96</v>
      </c>
      <c r="FD17" s="71" t="s">
        <v>96</v>
      </c>
      <c r="FE17" s="71" t="s">
        <v>96</v>
      </c>
      <c r="FF17" s="71" t="s">
        <v>96</v>
      </c>
      <c r="FG17" s="71" t="s">
        <v>96</v>
      </c>
      <c r="FH17" s="71" t="s">
        <v>96</v>
      </c>
      <c r="FI17" s="71" t="s">
        <v>96</v>
      </c>
      <c r="FJ17" s="71" t="s">
        <v>96</v>
      </c>
      <c r="FK17" s="71" t="s">
        <v>96</v>
      </c>
      <c r="FL17" s="198"/>
      <c r="FM17" s="71" t="s">
        <v>96</v>
      </c>
      <c r="FN17" s="71" t="s">
        <v>96</v>
      </c>
      <c r="FO17" s="71" t="s">
        <v>96</v>
      </c>
      <c r="FP17" s="71" t="s">
        <v>96</v>
      </c>
      <c r="FQ17" s="71" t="s">
        <v>96</v>
      </c>
      <c r="FR17" s="199"/>
      <c r="FS17" s="198"/>
      <c r="FT17" s="71" t="s">
        <v>96</v>
      </c>
      <c r="FU17" s="71" t="s">
        <v>96</v>
      </c>
      <c r="FV17" s="71" t="s">
        <v>96</v>
      </c>
      <c r="FW17" s="71" t="s">
        <v>96</v>
      </c>
      <c r="FX17" s="71" t="s">
        <v>96</v>
      </c>
      <c r="FY17" s="199"/>
      <c r="FZ17" s="198"/>
      <c r="GA17" s="71" t="s">
        <v>96</v>
      </c>
      <c r="GB17" s="71" t="s">
        <v>96</v>
      </c>
      <c r="GC17" s="71" t="s">
        <v>96</v>
      </c>
      <c r="GD17" s="71" t="s">
        <v>96</v>
      </c>
      <c r="GE17" s="71" t="s">
        <v>96</v>
      </c>
      <c r="GF17" s="199"/>
      <c r="GG17" s="198"/>
      <c r="GH17" s="71" t="s">
        <v>96</v>
      </c>
      <c r="GI17" s="71" t="s">
        <v>96</v>
      </c>
      <c r="GJ17" s="71"/>
      <c r="GK17" s="71"/>
      <c r="GM17" s="71"/>
    </row>
    <row r="18" spans="1:195" s="13" customFormat="1">
      <c r="A18" s="390"/>
      <c r="B18" s="392"/>
      <c r="C18" s="119" t="s">
        <v>57</v>
      </c>
      <c r="D18" s="157"/>
      <c r="E18" s="71" t="s">
        <v>96</v>
      </c>
      <c r="F18" s="71" t="s">
        <v>96</v>
      </c>
      <c r="G18" s="71" t="s">
        <v>96</v>
      </c>
      <c r="H18" s="71" t="s">
        <v>96</v>
      </c>
      <c r="I18" s="71" t="s">
        <v>96</v>
      </c>
      <c r="J18" s="71" t="s">
        <v>96</v>
      </c>
      <c r="K18" s="71" t="s">
        <v>96</v>
      </c>
      <c r="L18" s="71" t="s">
        <v>96</v>
      </c>
      <c r="M18" s="71"/>
      <c r="N18" s="71" t="s">
        <v>96</v>
      </c>
      <c r="O18" s="71" t="s">
        <v>96</v>
      </c>
      <c r="P18" s="71" t="s">
        <v>96</v>
      </c>
      <c r="Q18" s="71" t="s">
        <v>96</v>
      </c>
      <c r="R18" s="71" t="s">
        <v>96</v>
      </c>
      <c r="S18" s="71" t="s">
        <v>96</v>
      </c>
      <c r="T18" s="71" t="s">
        <v>97</v>
      </c>
      <c r="U18" s="71" t="s">
        <v>96</v>
      </c>
      <c r="V18" s="71" t="s">
        <v>96</v>
      </c>
      <c r="W18" s="71" t="s">
        <v>96</v>
      </c>
      <c r="X18" s="71" t="s">
        <v>96</v>
      </c>
      <c r="Y18" s="71" t="s">
        <v>96</v>
      </c>
      <c r="Z18" s="71" t="s">
        <v>96</v>
      </c>
      <c r="AA18" s="71"/>
      <c r="AB18" s="160"/>
      <c r="AC18" s="71" t="s">
        <v>96</v>
      </c>
      <c r="AD18" s="71" t="s">
        <v>96</v>
      </c>
      <c r="AE18" s="71" t="s">
        <v>96</v>
      </c>
      <c r="AF18" s="71" t="s">
        <v>96</v>
      </c>
      <c r="AG18" s="71" t="s">
        <v>96</v>
      </c>
      <c r="AH18" s="160"/>
      <c r="AI18" s="160"/>
      <c r="AJ18" s="71" t="s">
        <v>96</v>
      </c>
      <c r="AK18" s="71" t="s">
        <v>96</v>
      </c>
      <c r="AL18" s="71" t="s">
        <v>96</v>
      </c>
      <c r="AM18" s="71" t="s">
        <v>96</v>
      </c>
      <c r="AN18" s="71" t="s">
        <v>96</v>
      </c>
      <c r="AO18" s="160"/>
      <c r="AP18" s="160"/>
      <c r="AQ18" s="71" t="s">
        <v>96</v>
      </c>
      <c r="AR18" s="71" t="s">
        <v>96</v>
      </c>
      <c r="AS18" s="71" t="s">
        <v>96</v>
      </c>
      <c r="AT18" s="71" t="s">
        <v>96</v>
      </c>
      <c r="AU18" s="71" t="s">
        <v>96</v>
      </c>
      <c r="AV18" s="160"/>
      <c r="AW18" s="160"/>
      <c r="AX18" s="71" t="s">
        <v>96</v>
      </c>
      <c r="AY18" s="71" t="s">
        <v>96</v>
      </c>
      <c r="AZ18" s="71" t="s">
        <v>96</v>
      </c>
      <c r="BA18" s="71" t="s">
        <v>96</v>
      </c>
      <c r="BB18" s="71" t="s">
        <v>96</v>
      </c>
      <c r="BC18" s="71" t="s">
        <v>96</v>
      </c>
      <c r="BD18" s="71" t="s">
        <v>96</v>
      </c>
      <c r="BE18" s="71" t="s">
        <v>96</v>
      </c>
      <c r="BF18" s="71" t="s">
        <v>96</v>
      </c>
      <c r="BG18" s="71" t="s">
        <v>96</v>
      </c>
      <c r="BH18" s="71" t="s">
        <v>96</v>
      </c>
      <c r="BI18" s="71" t="s">
        <v>96</v>
      </c>
      <c r="BJ18" s="71"/>
      <c r="BK18" s="71" t="s">
        <v>96</v>
      </c>
      <c r="BL18" s="71" t="s">
        <v>96</v>
      </c>
      <c r="BM18" s="71" t="s">
        <v>96</v>
      </c>
      <c r="BN18" s="71" t="s">
        <v>96</v>
      </c>
      <c r="BO18" s="71" t="s">
        <v>96</v>
      </c>
      <c r="BP18" s="71" t="s">
        <v>96</v>
      </c>
      <c r="BQ18" s="71"/>
      <c r="BR18" s="71" t="s">
        <v>96</v>
      </c>
      <c r="BS18" s="71" t="s">
        <v>96</v>
      </c>
      <c r="BT18" s="71" t="s">
        <v>96</v>
      </c>
      <c r="BU18" s="71" t="s">
        <v>96</v>
      </c>
      <c r="BV18" s="71" t="s">
        <v>96</v>
      </c>
      <c r="BW18" s="71" t="s">
        <v>96</v>
      </c>
      <c r="BX18" s="71"/>
      <c r="BY18" s="71" t="s">
        <v>96</v>
      </c>
      <c r="BZ18" s="71" t="s">
        <v>96</v>
      </c>
      <c r="CA18" s="71" t="s">
        <v>96</v>
      </c>
      <c r="CB18" s="71" t="s">
        <v>96</v>
      </c>
      <c r="CC18" s="71" t="s">
        <v>96</v>
      </c>
      <c r="CD18" s="71" t="s">
        <v>96</v>
      </c>
      <c r="CE18" s="71"/>
      <c r="CF18" s="71" t="s">
        <v>96</v>
      </c>
      <c r="CG18" s="71" t="s">
        <v>96</v>
      </c>
      <c r="CH18" s="71" t="s">
        <v>96</v>
      </c>
      <c r="CI18" s="71" t="s">
        <v>96</v>
      </c>
      <c r="CJ18" s="71" t="s">
        <v>96</v>
      </c>
      <c r="CK18" s="71" t="s">
        <v>96</v>
      </c>
      <c r="CL18" s="71" t="s">
        <v>96</v>
      </c>
      <c r="CM18" s="71" t="s">
        <v>96</v>
      </c>
      <c r="CN18" s="71" t="s">
        <v>96</v>
      </c>
      <c r="CO18" s="71" t="s">
        <v>96</v>
      </c>
      <c r="CP18" s="71" t="s">
        <v>96</v>
      </c>
      <c r="CQ18" s="71" t="s">
        <v>96</v>
      </c>
      <c r="CR18" s="71" t="s">
        <v>96</v>
      </c>
      <c r="CS18" s="71"/>
      <c r="CT18" s="71" t="s">
        <v>96</v>
      </c>
      <c r="CU18" s="71" t="s">
        <v>96</v>
      </c>
      <c r="CV18" s="71" t="s">
        <v>96</v>
      </c>
      <c r="CW18" s="71" t="s">
        <v>96</v>
      </c>
      <c r="CX18" s="71" t="s">
        <v>96</v>
      </c>
      <c r="CY18" s="71" t="s">
        <v>96</v>
      </c>
      <c r="CZ18" s="71"/>
      <c r="DA18" s="71" t="s">
        <v>96</v>
      </c>
      <c r="DB18" s="71" t="s">
        <v>96</v>
      </c>
      <c r="DC18" s="71" t="s">
        <v>96</v>
      </c>
      <c r="DD18" s="71" t="s">
        <v>96</v>
      </c>
      <c r="DE18" s="71" t="s">
        <v>96</v>
      </c>
      <c r="DF18" s="71" t="s">
        <v>96</v>
      </c>
      <c r="DG18" s="71" t="s">
        <v>96</v>
      </c>
      <c r="DH18" s="160"/>
      <c r="DI18" s="71" t="s">
        <v>96</v>
      </c>
      <c r="DJ18" s="71" t="s">
        <v>96</v>
      </c>
      <c r="DK18" s="71" t="s">
        <v>96</v>
      </c>
      <c r="DL18" s="382"/>
      <c r="DM18" s="71" t="s">
        <v>96</v>
      </c>
      <c r="DN18" s="71" t="s">
        <v>96</v>
      </c>
      <c r="DO18" s="160"/>
      <c r="DP18" s="71" t="s">
        <v>96</v>
      </c>
      <c r="DQ18" s="71" t="s">
        <v>96</v>
      </c>
      <c r="DR18" s="71" t="s">
        <v>96</v>
      </c>
      <c r="DS18" s="71" t="s">
        <v>96</v>
      </c>
      <c r="DT18" s="382"/>
      <c r="DU18" s="71"/>
      <c r="DV18" s="71" t="s">
        <v>96</v>
      </c>
      <c r="DW18" s="71" t="s">
        <v>96</v>
      </c>
      <c r="DX18" s="71" t="s">
        <v>96</v>
      </c>
      <c r="DY18" s="71" t="s">
        <v>96</v>
      </c>
      <c r="DZ18" s="71" t="s">
        <v>96</v>
      </c>
      <c r="EA18" s="71" t="s">
        <v>96</v>
      </c>
      <c r="EB18" s="71" t="s">
        <v>96</v>
      </c>
      <c r="EC18" s="71" t="s">
        <v>96</v>
      </c>
      <c r="ED18" s="71" t="s">
        <v>96</v>
      </c>
      <c r="EE18" s="71" t="s">
        <v>96</v>
      </c>
      <c r="EF18" s="71" t="s">
        <v>96</v>
      </c>
      <c r="EG18" s="71" t="s">
        <v>96</v>
      </c>
      <c r="EH18" s="71" t="s">
        <v>96</v>
      </c>
      <c r="EI18" s="71"/>
      <c r="EJ18" s="71" t="s">
        <v>96</v>
      </c>
      <c r="EK18" s="71" t="s">
        <v>96</v>
      </c>
      <c r="EL18" s="160"/>
      <c r="EM18" s="71" t="s">
        <v>96</v>
      </c>
      <c r="EN18" s="71" t="s">
        <v>96</v>
      </c>
      <c r="EO18" s="71" t="s">
        <v>96</v>
      </c>
      <c r="EP18" s="71" t="s">
        <v>96</v>
      </c>
      <c r="EQ18" s="71" t="s">
        <v>96</v>
      </c>
      <c r="ER18" s="71" t="s">
        <v>96</v>
      </c>
      <c r="ES18" s="71" t="s">
        <v>96</v>
      </c>
      <c r="ET18" s="71" t="s">
        <v>96</v>
      </c>
      <c r="EU18" s="71" t="s">
        <v>96</v>
      </c>
      <c r="EV18" s="71" t="s">
        <v>96</v>
      </c>
      <c r="EW18" s="71" t="s">
        <v>96</v>
      </c>
      <c r="EX18" s="71" t="s">
        <v>96</v>
      </c>
      <c r="EY18" s="71" t="s">
        <v>96</v>
      </c>
      <c r="EZ18" s="71" t="s">
        <v>96</v>
      </c>
      <c r="FA18" s="71" t="s">
        <v>96</v>
      </c>
      <c r="FB18" s="71" t="s">
        <v>96</v>
      </c>
      <c r="FC18" s="71" t="s">
        <v>96</v>
      </c>
      <c r="FD18" s="71" t="s">
        <v>96</v>
      </c>
      <c r="FE18" s="71" t="s">
        <v>96</v>
      </c>
      <c r="FF18" s="71" t="s">
        <v>96</v>
      </c>
      <c r="FG18" s="71" t="s">
        <v>96</v>
      </c>
      <c r="FH18" s="71" t="s">
        <v>96</v>
      </c>
      <c r="FI18" s="71" t="s">
        <v>96</v>
      </c>
      <c r="FJ18" s="71" t="s">
        <v>96</v>
      </c>
      <c r="FK18" s="71" t="s">
        <v>96</v>
      </c>
      <c r="FL18" s="198"/>
      <c r="FM18" s="71" t="s">
        <v>96</v>
      </c>
      <c r="FN18" s="71" t="s">
        <v>96</v>
      </c>
      <c r="FO18" s="71" t="s">
        <v>96</v>
      </c>
      <c r="FP18" s="71" t="s">
        <v>96</v>
      </c>
      <c r="FQ18" s="71" t="s">
        <v>96</v>
      </c>
      <c r="FR18" s="199"/>
      <c r="FS18" s="198"/>
      <c r="FT18" s="71" t="s">
        <v>96</v>
      </c>
      <c r="FU18" s="71" t="s">
        <v>96</v>
      </c>
      <c r="FV18" s="71" t="s">
        <v>96</v>
      </c>
      <c r="FW18" s="71" t="s">
        <v>96</v>
      </c>
      <c r="FX18" s="71" t="s">
        <v>96</v>
      </c>
      <c r="FY18" s="199"/>
      <c r="FZ18" s="198"/>
      <c r="GA18" s="71" t="s">
        <v>96</v>
      </c>
      <c r="GB18" s="71" t="s">
        <v>96</v>
      </c>
      <c r="GC18" s="71" t="s">
        <v>96</v>
      </c>
      <c r="GD18" s="71" t="s">
        <v>96</v>
      </c>
      <c r="GE18" s="71" t="s">
        <v>96</v>
      </c>
      <c r="GF18" s="199"/>
      <c r="GG18" s="198"/>
      <c r="GH18" s="71" t="s">
        <v>96</v>
      </c>
      <c r="GI18" s="71" t="s">
        <v>96</v>
      </c>
      <c r="GJ18" s="71"/>
      <c r="GK18" s="71"/>
      <c r="GM18" s="71"/>
    </row>
    <row r="19" spans="1:195" s="13" customFormat="1">
      <c r="A19" s="390"/>
      <c r="B19" s="392"/>
      <c r="C19" s="119" t="s">
        <v>58</v>
      </c>
      <c r="D19" s="157"/>
      <c r="E19" s="71" t="s">
        <v>96</v>
      </c>
      <c r="F19" s="71" t="s">
        <v>96</v>
      </c>
      <c r="G19" s="71" t="s">
        <v>96</v>
      </c>
      <c r="H19" s="71" t="s">
        <v>96</v>
      </c>
      <c r="I19" s="71" t="s">
        <v>96</v>
      </c>
      <c r="J19" s="71" t="s">
        <v>96</v>
      </c>
      <c r="K19" s="71" t="s">
        <v>96</v>
      </c>
      <c r="L19" s="71" t="s">
        <v>96</v>
      </c>
      <c r="M19" s="71"/>
      <c r="N19" s="71" t="s">
        <v>96</v>
      </c>
      <c r="O19" s="71" t="s">
        <v>96</v>
      </c>
      <c r="P19" s="71" t="s">
        <v>96</v>
      </c>
      <c r="Q19" s="71" t="s">
        <v>96</v>
      </c>
      <c r="R19" s="71" t="s">
        <v>96</v>
      </c>
      <c r="S19" s="71" t="s">
        <v>96</v>
      </c>
      <c r="T19" s="71" t="s">
        <v>96</v>
      </c>
      <c r="U19" s="71" t="s">
        <v>96</v>
      </c>
      <c r="V19" s="71" t="s">
        <v>96</v>
      </c>
      <c r="W19" s="71" t="s">
        <v>96</v>
      </c>
      <c r="X19" s="71" t="s">
        <v>96</v>
      </c>
      <c r="Y19" s="71" t="s">
        <v>96</v>
      </c>
      <c r="Z19" s="71" t="s">
        <v>96</v>
      </c>
      <c r="AA19" s="71"/>
      <c r="AB19" s="160"/>
      <c r="AC19" s="71" t="s">
        <v>96</v>
      </c>
      <c r="AD19" s="71" t="s">
        <v>96</v>
      </c>
      <c r="AE19" s="71" t="s">
        <v>96</v>
      </c>
      <c r="AF19" s="71" t="s">
        <v>96</v>
      </c>
      <c r="AG19" s="71" t="s">
        <v>96</v>
      </c>
      <c r="AH19" s="160"/>
      <c r="AI19" s="160"/>
      <c r="AJ19" s="71" t="s">
        <v>96</v>
      </c>
      <c r="AK19" s="71" t="s">
        <v>96</v>
      </c>
      <c r="AL19" s="71" t="s">
        <v>96</v>
      </c>
      <c r="AM19" s="71" t="s">
        <v>96</v>
      </c>
      <c r="AN19" s="71" t="s">
        <v>96</v>
      </c>
      <c r="AO19" s="160"/>
      <c r="AP19" s="160"/>
      <c r="AQ19" s="71" t="s">
        <v>96</v>
      </c>
      <c r="AR19" s="71" t="s">
        <v>96</v>
      </c>
      <c r="AS19" s="71" t="s">
        <v>96</v>
      </c>
      <c r="AT19" s="71" t="s">
        <v>96</v>
      </c>
      <c r="AU19" s="71" t="s">
        <v>96</v>
      </c>
      <c r="AV19" s="160"/>
      <c r="AW19" s="160"/>
      <c r="AX19" s="71" t="s">
        <v>96</v>
      </c>
      <c r="AY19" s="71" t="s">
        <v>96</v>
      </c>
      <c r="AZ19" s="71" t="s">
        <v>96</v>
      </c>
      <c r="BA19" s="71" t="s">
        <v>96</v>
      </c>
      <c r="BB19" s="71" t="s">
        <v>96</v>
      </c>
      <c r="BC19" s="71" t="s">
        <v>96</v>
      </c>
      <c r="BD19" s="71" t="s">
        <v>96</v>
      </c>
      <c r="BE19" s="71" t="s">
        <v>96</v>
      </c>
      <c r="BF19" s="71" t="s">
        <v>96</v>
      </c>
      <c r="BG19" s="71" t="s">
        <v>96</v>
      </c>
      <c r="BH19" s="71" t="s">
        <v>96</v>
      </c>
      <c r="BI19" s="71" t="s">
        <v>96</v>
      </c>
      <c r="BJ19" s="71"/>
      <c r="BK19" s="71" t="s">
        <v>96</v>
      </c>
      <c r="BL19" s="71" t="s">
        <v>96</v>
      </c>
      <c r="BM19" s="71" t="s">
        <v>96</v>
      </c>
      <c r="BN19" s="71" t="s">
        <v>96</v>
      </c>
      <c r="BO19" s="71" t="s">
        <v>96</v>
      </c>
      <c r="BP19" s="71" t="s">
        <v>96</v>
      </c>
      <c r="BQ19" s="71"/>
      <c r="BR19" s="71" t="s">
        <v>96</v>
      </c>
      <c r="BS19" s="71" t="s">
        <v>96</v>
      </c>
      <c r="BT19" s="71" t="s">
        <v>96</v>
      </c>
      <c r="BU19" s="71" t="s">
        <v>96</v>
      </c>
      <c r="BV19" s="71" t="s">
        <v>96</v>
      </c>
      <c r="BW19" s="71" t="s">
        <v>96</v>
      </c>
      <c r="BX19" s="71"/>
      <c r="BY19" s="71" t="s">
        <v>96</v>
      </c>
      <c r="BZ19" s="71" t="s">
        <v>96</v>
      </c>
      <c r="CA19" s="71" t="s">
        <v>96</v>
      </c>
      <c r="CB19" s="71" t="s">
        <v>96</v>
      </c>
      <c r="CC19" s="71" t="s">
        <v>96</v>
      </c>
      <c r="CD19" s="71" t="s">
        <v>96</v>
      </c>
      <c r="CE19" s="71"/>
      <c r="CF19" s="71" t="s">
        <v>96</v>
      </c>
      <c r="CG19" s="71" t="s">
        <v>96</v>
      </c>
      <c r="CH19" s="71" t="s">
        <v>96</v>
      </c>
      <c r="CI19" s="71" t="s">
        <v>96</v>
      </c>
      <c r="CJ19" s="71" t="s">
        <v>96</v>
      </c>
      <c r="CK19" s="71" t="s">
        <v>96</v>
      </c>
      <c r="CL19" s="71" t="s">
        <v>96</v>
      </c>
      <c r="CM19" s="71" t="s">
        <v>96</v>
      </c>
      <c r="CN19" s="71" t="s">
        <v>96</v>
      </c>
      <c r="CO19" s="71" t="s">
        <v>96</v>
      </c>
      <c r="CP19" s="71" t="s">
        <v>96</v>
      </c>
      <c r="CQ19" s="71" t="s">
        <v>96</v>
      </c>
      <c r="CR19" s="71" t="s">
        <v>96</v>
      </c>
      <c r="CS19" s="71"/>
      <c r="CT19" s="71" t="s">
        <v>96</v>
      </c>
      <c r="CU19" s="71" t="s">
        <v>96</v>
      </c>
      <c r="CV19" s="71" t="s">
        <v>96</v>
      </c>
      <c r="CW19" s="71" t="s">
        <v>96</v>
      </c>
      <c r="CX19" s="71" t="s">
        <v>96</v>
      </c>
      <c r="CY19" s="71" t="s">
        <v>96</v>
      </c>
      <c r="CZ19" s="71"/>
      <c r="DA19" s="71" t="s">
        <v>96</v>
      </c>
      <c r="DB19" s="71" t="s">
        <v>96</v>
      </c>
      <c r="DC19" s="71" t="s">
        <v>96</v>
      </c>
      <c r="DD19" s="71" t="s">
        <v>96</v>
      </c>
      <c r="DE19" s="71" t="s">
        <v>96</v>
      </c>
      <c r="DF19" s="71" t="s">
        <v>96</v>
      </c>
      <c r="DG19" s="71" t="s">
        <v>96</v>
      </c>
      <c r="DH19" s="160"/>
      <c r="DI19" s="71" t="s">
        <v>96</v>
      </c>
      <c r="DJ19" s="71" t="s">
        <v>96</v>
      </c>
      <c r="DK19" s="71" t="s">
        <v>96</v>
      </c>
      <c r="DL19" s="382"/>
      <c r="DM19" s="71" t="s">
        <v>96</v>
      </c>
      <c r="DN19" s="71" t="s">
        <v>96</v>
      </c>
      <c r="DO19" s="160"/>
      <c r="DP19" s="71" t="s">
        <v>96</v>
      </c>
      <c r="DQ19" s="71" t="s">
        <v>96</v>
      </c>
      <c r="DR19" s="71" t="s">
        <v>96</v>
      </c>
      <c r="DS19" s="71" t="s">
        <v>96</v>
      </c>
      <c r="DT19" s="382"/>
      <c r="DU19" s="71"/>
      <c r="DV19" s="71" t="s">
        <v>96</v>
      </c>
      <c r="DW19" s="71" t="s">
        <v>96</v>
      </c>
      <c r="DX19" s="71" t="s">
        <v>96</v>
      </c>
      <c r="DY19" s="71" t="s">
        <v>96</v>
      </c>
      <c r="DZ19" s="71" t="s">
        <v>96</v>
      </c>
      <c r="EA19" s="71" t="s">
        <v>96</v>
      </c>
      <c r="EB19" s="71" t="s">
        <v>96</v>
      </c>
      <c r="EC19" s="71" t="s">
        <v>96</v>
      </c>
      <c r="ED19" s="71" t="s">
        <v>96</v>
      </c>
      <c r="EE19" s="71" t="s">
        <v>96</v>
      </c>
      <c r="EF19" s="71" t="s">
        <v>96</v>
      </c>
      <c r="EG19" s="71" t="s">
        <v>96</v>
      </c>
      <c r="EH19" s="71" t="s">
        <v>96</v>
      </c>
      <c r="EI19" s="71"/>
      <c r="EJ19" s="71" t="s">
        <v>96</v>
      </c>
      <c r="EK19" s="71" t="s">
        <v>96</v>
      </c>
      <c r="EL19" s="160"/>
      <c r="EM19" s="71" t="s">
        <v>96</v>
      </c>
      <c r="EN19" s="71" t="s">
        <v>96</v>
      </c>
      <c r="EO19" s="71" t="s">
        <v>96</v>
      </c>
      <c r="EP19" s="71" t="s">
        <v>96</v>
      </c>
      <c r="EQ19" s="71" t="s">
        <v>96</v>
      </c>
      <c r="ER19" s="71" t="s">
        <v>96</v>
      </c>
      <c r="ES19" s="71" t="s">
        <v>96</v>
      </c>
      <c r="ET19" s="71" t="s">
        <v>96</v>
      </c>
      <c r="EU19" s="71" t="s">
        <v>96</v>
      </c>
      <c r="EV19" s="71" t="s">
        <v>96</v>
      </c>
      <c r="EW19" s="71" t="s">
        <v>96</v>
      </c>
      <c r="EX19" s="71" t="s">
        <v>96</v>
      </c>
      <c r="EY19" s="71" t="s">
        <v>96</v>
      </c>
      <c r="EZ19" s="71" t="s">
        <v>96</v>
      </c>
      <c r="FA19" s="71" t="s">
        <v>96</v>
      </c>
      <c r="FB19" s="71" t="s">
        <v>96</v>
      </c>
      <c r="FC19" s="71" t="s">
        <v>96</v>
      </c>
      <c r="FD19" s="71" t="s">
        <v>96</v>
      </c>
      <c r="FE19" s="71" t="s">
        <v>96</v>
      </c>
      <c r="FF19" s="71" t="s">
        <v>96</v>
      </c>
      <c r="FG19" s="71" t="s">
        <v>96</v>
      </c>
      <c r="FH19" s="71" t="s">
        <v>96</v>
      </c>
      <c r="FI19" s="71" t="s">
        <v>96</v>
      </c>
      <c r="FJ19" s="71" t="s">
        <v>96</v>
      </c>
      <c r="FK19" s="71" t="s">
        <v>96</v>
      </c>
      <c r="FL19" s="198"/>
      <c r="FM19" s="71" t="s">
        <v>96</v>
      </c>
      <c r="FN19" s="71" t="s">
        <v>96</v>
      </c>
      <c r="FO19" s="71" t="s">
        <v>96</v>
      </c>
      <c r="FP19" s="71" t="s">
        <v>96</v>
      </c>
      <c r="FQ19" s="71" t="s">
        <v>96</v>
      </c>
      <c r="FR19" s="199"/>
      <c r="FS19" s="198"/>
      <c r="FT19" s="71" t="s">
        <v>96</v>
      </c>
      <c r="FU19" s="71" t="s">
        <v>96</v>
      </c>
      <c r="FV19" s="71" t="s">
        <v>96</v>
      </c>
      <c r="FW19" s="71" t="s">
        <v>96</v>
      </c>
      <c r="FX19" s="71" t="s">
        <v>96</v>
      </c>
      <c r="FY19" s="199"/>
      <c r="FZ19" s="198"/>
      <c r="GA19" s="71" t="s">
        <v>96</v>
      </c>
      <c r="GB19" s="71" t="s">
        <v>96</v>
      </c>
      <c r="GC19" s="71" t="s">
        <v>96</v>
      </c>
      <c r="GD19" s="71" t="s">
        <v>96</v>
      </c>
      <c r="GE19" s="71" t="s">
        <v>96</v>
      </c>
      <c r="GF19" s="199"/>
      <c r="GG19" s="198"/>
      <c r="GH19" s="71" t="s">
        <v>96</v>
      </c>
      <c r="GI19" s="71" t="s">
        <v>96</v>
      </c>
      <c r="GJ19" s="71"/>
      <c r="GK19" s="71"/>
      <c r="GM19" s="71"/>
    </row>
    <row r="20" spans="1:195" s="13" customFormat="1">
      <c r="A20" s="390"/>
      <c r="B20" s="392"/>
      <c r="C20" s="118" t="s">
        <v>59</v>
      </c>
      <c r="D20" s="157"/>
      <c r="E20" s="71" t="s">
        <v>96</v>
      </c>
      <c r="F20" s="71" t="s">
        <v>96</v>
      </c>
      <c r="G20" s="71" t="s">
        <v>96</v>
      </c>
      <c r="H20" s="71" t="s">
        <v>96</v>
      </c>
      <c r="I20" s="71" t="s">
        <v>96</v>
      </c>
      <c r="J20" s="71" t="s">
        <v>96</v>
      </c>
      <c r="K20" s="71" t="s">
        <v>96</v>
      </c>
      <c r="L20" s="71" t="s">
        <v>96</v>
      </c>
      <c r="M20" s="71"/>
      <c r="N20" s="71" t="s">
        <v>96</v>
      </c>
      <c r="O20" s="71" t="s">
        <v>96</v>
      </c>
      <c r="P20" s="71" t="s">
        <v>96</v>
      </c>
      <c r="Q20" s="71" t="s">
        <v>96</v>
      </c>
      <c r="R20" s="71" t="s">
        <v>96</v>
      </c>
      <c r="S20" s="71" t="s">
        <v>96</v>
      </c>
      <c r="T20" s="71" t="s">
        <v>96</v>
      </c>
      <c r="U20" s="71" t="s">
        <v>96</v>
      </c>
      <c r="V20" s="71" t="s">
        <v>96</v>
      </c>
      <c r="W20" s="71" t="s">
        <v>96</v>
      </c>
      <c r="X20" s="71" t="s">
        <v>96</v>
      </c>
      <c r="Y20" s="71" t="s">
        <v>96</v>
      </c>
      <c r="Z20" s="71" t="s">
        <v>96</v>
      </c>
      <c r="AA20" s="71"/>
      <c r="AB20" s="160"/>
      <c r="AC20" s="71" t="s">
        <v>96</v>
      </c>
      <c r="AD20" s="71" t="s">
        <v>96</v>
      </c>
      <c r="AE20" s="71" t="s">
        <v>96</v>
      </c>
      <c r="AF20" s="71" t="s">
        <v>96</v>
      </c>
      <c r="AG20" s="71" t="s">
        <v>96</v>
      </c>
      <c r="AH20" s="160"/>
      <c r="AI20" s="160"/>
      <c r="AJ20" s="71" t="s">
        <v>96</v>
      </c>
      <c r="AK20" s="71" t="s">
        <v>96</v>
      </c>
      <c r="AL20" s="71" t="s">
        <v>96</v>
      </c>
      <c r="AM20" s="71" t="s">
        <v>96</v>
      </c>
      <c r="AN20" s="71" t="s">
        <v>96</v>
      </c>
      <c r="AO20" s="160"/>
      <c r="AP20" s="160"/>
      <c r="AQ20" s="71" t="s">
        <v>96</v>
      </c>
      <c r="AR20" s="71" t="s">
        <v>96</v>
      </c>
      <c r="AS20" s="71" t="s">
        <v>96</v>
      </c>
      <c r="AT20" s="71" t="s">
        <v>96</v>
      </c>
      <c r="AU20" s="71" t="s">
        <v>96</v>
      </c>
      <c r="AV20" s="160"/>
      <c r="AW20" s="160"/>
      <c r="AX20" s="71" t="s">
        <v>96</v>
      </c>
      <c r="AY20" s="71" t="s">
        <v>96</v>
      </c>
      <c r="AZ20" s="71" t="s">
        <v>96</v>
      </c>
      <c r="BA20" s="71" t="s">
        <v>96</v>
      </c>
      <c r="BB20" s="71" t="s">
        <v>96</v>
      </c>
      <c r="BC20" s="71" t="s">
        <v>96</v>
      </c>
      <c r="BD20" s="71" t="s">
        <v>96</v>
      </c>
      <c r="BE20" s="71" t="s">
        <v>96</v>
      </c>
      <c r="BF20" s="71" t="s">
        <v>96</v>
      </c>
      <c r="BG20" s="71" t="s">
        <v>96</v>
      </c>
      <c r="BH20" s="71" t="s">
        <v>96</v>
      </c>
      <c r="BI20" s="71" t="s">
        <v>96</v>
      </c>
      <c r="BJ20" s="71"/>
      <c r="BK20" s="71" t="s">
        <v>96</v>
      </c>
      <c r="BL20" s="71" t="s">
        <v>96</v>
      </c>
      <c r="BM20" s="71" t="s">
        <v>96</v>
      </c>
      <c r="BN20" s="71" t="s">
        <v>96</v>
      </c>
      <c r="BO20" s="71" t="s">
        <v>96</v>
      </c>
      <c r="BP20" s="71" t="s">
        <v>96</v>
      </c>
      <c r="BQ20" s="71"/>
      <c r="BR20" s="71" t="s">
        <v>96</v>
      </c>
      <c r="BS20" s="71" t="s">
        <v>96</v>
      </c>
      <c r="BT20" s="71" t="s">
        <v>96</v>
      </c>
      <c r="BU20" s="71" t="s">
        <v>96</v>
      </c>
      <c r="BV20" s="71" t="s">
        <v>96</v>
      </c>
      <c r="BW20" s="71" t="s">
        <v>96</v>
      </c>
      <c r="BX20" s="71"/>
      <c r="BY20" s="71" t="s">
        <v>96</v>
      </c>
      <c r="BZ20" s="71" t="s">
        <v>96</v>
      </c>
      <c r="CA20" s="71" t="s">
        <v>96</v>
      </c>
      <c r="CB20" s="71" t="s">
        <v>96</v>
      </c>
      <c r="CC20" s="71" t="s">
        <v>96</v>
      </c>
      <c r="CD20" s="71" t="s">
        <v>96</v>
      </c>
      <c r="CE20" s="71"/>
      <c r="CF20" s="71" t="s">
        <v>96</v>
      </c>
      <c r="CG20" s="71" t="s">
        <v>96</v>
      </c>
      <c r="CH20" s="71" t="s">
        <v>96</v>
      </c>
      <c r="CI20" s="71" t="s">
        <v>96</v>
      </c>
      <c r="CJ20" s="71" t="s">
        <v>96</v>
      </c>
      <c r="CK20" s="71" t="s">
        <v>96</v>
      </c>
      <c r="CL20" s="71" t="s">
        <v>96</v>
      </c>
      <c r="CM20" s="71" t="s">
        <v>96</v>
      </c>
      <c r="CN20" s="71" t="s">
        <v>96</v>
      </c>
      <c r="CO20" s="71" t="s">
        <v>96</v>
      </c>
      <c r="CP20" s="71" t="s">
        <v>96</v>
      </c>
      <c r="CQ20" s="71" t="s">
        <v>96</v>
      </c>
      <c r="CR20" s="71" t="s">
        <v>96</v>
      </c>
      <c r="CS20" s="71"/>
      <c r="CT20" s="71" t="s">
        <v>96</v>
      </c>
      <c r="CU20" s="71" t="s">
        <v>96</v>
      </c>
      <c r="CV20" s="71" t="s">
        <v>96</v>
      </c>
      <c r="CW20" s="71" t="s">
        <v>96</v>
      </c>
      <c r="CX20" s="71" t="s">
        <v>96</v>
      </c>
      <c r="CY20" s="71" t="s">
        <v>96</v>
      </c>
      <c r="CZ20" s="71"/>
      <c r="DA20" s="71" t="s">
        <v>96</v>
      </c>
      <c r="DB20" s="71" t="s">
        <v>96</v>
      </c>
      <c r="DC20" s="71" t="s">
        <v>96</v>
      </c>
      <c r="DD20" s="71" t="s">
        <v>96</v>
      </c>
      <c r="DE20" s="71" t="s">
        <v>96</v>
      </c>
      <c r="DF20" s="71" t="s">
        <v>96</v>
      </c>
      <c r="DG20" s="71" t="s">
        <v>96</v>
      </c>
      <c r="DH20" s="160"/>
      <c r="DI20" s="71" t="s">
        <v>96</v>
      </c>
      <c r="DJ20" s="71" t="s">
        <v>96</v>
      </c>
      <c r="DK20" s="71" t="s">
        <v>96</v>
      </c>
      <c r="DL20" s="382"/>
      <c r="DM20" s="71" t="s">
        <v>96</v>
      </c>
      <c r="DN20" s="71" t="s">
        <v>96</v>
      </c>
      <c r="DO20" s="160"/>
      <c r="DP20" s="71" t="s">
        <v>96</v>
      </c>
      <c r="DQ20" s="71" t="s">
        <v>96</v>
      </c>
      <c r="DR20" s="71" t="s">
        <v>96</v>
      </c>
      <c r="DS20" s="71" t="s">
        <v>96</v>
      </c>
      <c r="DT20" s="382"/>
      <c r="DU20" s="71"/>
      <c r="DV20" s="71" t="s">
        <v>96</v>
      </c>
      <c r="DW20" s="71" t="s">
        <v>96</v>
      </c>
      <c r="DX20" s="71" t="s">
        <v>96</v>
      </c>
      <c r="DY20" s="71" t="s">
        <v>96</v>
      </c>
      <c r="DZ20" s="71" t="s">
        <v>96</v>
      </c>
      <c r="EA20" s="71" t="s">
        <v>96</v>
      </c>
      <c r="EB20" s="71" t="s">
        <v>96</v>
      </c>
      <c r="EC20" s="71" t="s">
        <v>96</v>
      </c>
      <c r="ED20" s="71" t="s">
        <v>96</v>
      </c>
      <c r="EE20" s="71" t="s">
        <v>96</v>
      </c>
      <c r="EF20" s="71" t="s">
        <v>96</v>
      </c>
      <c r="EG20" s="71" t="s">
        <v>96</v>
      </c>
      <c r="EH20" s="71" t="s">
        <v>96</v>
      </c>
      <c r="EI20" s="71"/>
      <c r="EJ20" s="71" t="s">
        <v>96</v>
      </c>
      <c r="EK20" s="71" t="s">
        <v>96</v>
      </c>
      <c r="EL20" s="160"/>
      <c r="EM20" s="71" t="s">
        <v>96</v>
      </c>
      <c r="EN20" s="71" t="s">
        <v>96</v>
      </c>
      <c r="EO20" s="71" t="s">
        <v>96</v>
      </c>
      <c r="EP20" s="71" t="s">
        <v>96</v>
      </c>
      <c r="EQ20" s="71" t="s">
        <v>96</v>
      </c>
      <c r="ER20" s="71" t="s">
        <v>96</v>
      </c>
      <c r="ES20" s="71" t="s">
        <v>96</v>
      </c>
      <c r="ET20" s="71" t="s">
        <v>96</v>
      </c>
      <c r="EU20" s="71" t="s">
        <v>96</v>
      </c>
      <c r="EV20" s="71" t="s">
        <v>96</v>
      </c>
      <c r="EW20" s="71" t="s">
        <v>96</v>
      </c>
      <c r="EX20" s="71" t="s">
        <v>96</v>
      </c>
      <c r="EY20" s="71" t="s">
        <v>96</v>
      </c>
      <c r="EZ20" s="71" t="s">
        <v>96</v>
      </c>
      <c r="FA20" s="71" t="s">
        <v>96</v>
      </c>
      <c r="FB20" s="71" t="s">
        <v>96</v>
      </c>
      <c r="FC20" s="71" t="s">
        <v>96</v>
      </c>
      <c r="FD20" s="71" t="s">
        <v>96</v>
      </c>
      <c r="FE20" s="71" t="s">
        <v>96</v>
      </c>
      <c r="FF20" s="71" t="s">
        <v>96</v>
      </c>
      <c r="FG20" s="71" t="s">
        <v>96</v>
      </c>
      <c r="FH20" s="71" t="s">
        <v>96</v>
      </c>
      <c r="FI20" s="71" t="s">
        <v>96</v>
      </c>
      <c r="FJ20" s="71" t="s">
        <v>96</v>
      </c>
      <c r="FK20" s="71" t="s">
        <v>96</v>
      </c>
      <c r="FL20" s="198"/>
      <c r="FM20" s="71" t="s">
        <v>96</v>
      </c>
      <c r="FN20" s="71" t="s">
        <v>96</v>
      </c>
      <c r="FO20" s="71" t="s">
        <v>96</v>
      </c>
      <c r="FP20" s="71" t="s">
        <v>96</v>
      </c>
      <c r="FQ20" s="71" t="s">
        <v>96</v>
      </c>
      <c r="FR20" s="199"/>
      <c r="FS20" s="198"/>
      <c r="FT20" s="71" t="s">
        <v>96</v>
      </c>
      <c r="FU20" s="71" t="s">
        <v>96</v>
      </c>
      <c r="FV20" s="71" t="s">
        <v>96</v>
      </c>
      <c r="FW20" s="71" t="s">
        <v>96</v>
      </c>
      <c r="FX20" s="71" t="s">
        <v>96</v>
      </c>
      <c r="FY20" s="199"/>
      <c r="FZ20" s="198"/>
      <c r="GA20" s="71" t="s">
        <v>96</v>
      </c>
      <c r="GB20" s="71" t="s">
        <v>96</v>
      </c>
      <c r="GC20" s="71" t="s">
        <v>96</v>
      </c>
      <c r="GD20" s="71" t="s">
        <v>96</v>
      </c>
      <c r="GE20" s="71" t="s">
        <v>96</v>
      </c>
      <c r="GF20" s="199"/>
      <c r="GG20" s="198"/>
      <c r="GH20" s="71" t="s">
        <v>96</v>
      </c>
      <c r="GI20" s="71" t="s">
        <v>96</v>
      </c>
      <c r="GJ20" s="71"/>
      <c r="GK20" s="71"/>
      <c r="GM20" s="71"/>
    </row>
    <row r="21" spans="1:195" s="13" customFormat="1">
      <c r="A21" s="390"/>
      <c r="B21" s="392"/>
      <c r="C21" s="118" t="s">
        <v>60</v>
      </c>
      <c r="D21" s="157"/>
      <c r="E21" s="71" t="s">
        <v>97</v>
      </c>
      <c r="F21" s="71" t="s">
        <v>96</v>
      </c>
      <c r="G21" s="71" t="s">
        <v>96</v>
      </c>
      <c r="H21" s="71" t="s">
        <v>96</v>
      </c>
      <c r="I21" s="71" t="s">
        <v>96</v>
      </c>
      <c r="J21" s="71" t="s">
        <v>96</v>
      </c>
      <c r="K21" s="71" t="s">
        <v>97</v>
      </c>
      <c r="L21" s="71" t="s">
        <v>96</v>
      </c>
      <c r="M21" s="71"/>
      <c r="N21" s="71" t="s">
        <v>96</v>
      </c>
      <c r="O21" s="71" t="s">
        <v>96</v>
      </c>
      <c r="P21" s="71" t="s">
        <v>96</v>
      </c>
      <c r="Q21" s="71" t="s">
        <v>96</v>
      </c>
      <c r="R21" s="71" t="s">
        <v>96</v>
      </c>
      <c r="S21" s="71" t="s">
        <v>96</v>
      </c>
      <c r="T21" s="71" t="s">
        <v>96</v>
      </c>
      <c r="U21" s="71" t="s">
        <v>96</v>
      </c>
      <c r="V21" s="71" t="s">
        <v>96</v>
      </c>
      <c r="W21" s="71" t="s">
        <v>96</v>
      </c>
      <c r="X21" s="71" t="s">
        <v>97</v>
      </c>
      <c r="Y21" s="71" t="s">
        <v>97</v>
      </c>
      <c r="Z21" s="71" t="s">
        <v>96</v>
      </c>
      <c r="AA21" s="71"/>
      <c r="AB21" s="160"/>
      <c r="AC21" s="71" t="s">
        <v>96</v>
      </c>
      <c r="AD21" s="71" t="s">
        <v>96</v>
      </c>
      <c r="AE21" s="71" t="s">
        <v>96</v>
      </c>
      <c r="AF21" s="71" t="s">
        <v>96</v>
      </c>
      <c r="AG21" s="71" t="s">
        <v>96</v>
      </c>
      <c r="AH21" s="160"/>
      <c r="AI21" s="160"/>
      <c r="AJ21" s="71" t="s">
        <v>96</v>
      </c>
      <c r="AK21" s="71" t="s">
        <v>96</v>
      </c>
      <c r="AL21" s="71" t="s">
        <v>96</v>
      </c>
      <c r="AM21" s="71" t="s">
        <v>96</v>
      </c>
      <c r="AN21" s="71" t="s">
        <v>96</v>
      </c>
      <c r="AO21" s="160"/>
      <c r="AP21" s="160"/>
      <c r="AQ21" s="71" t="s">
        <v>96</v>
      </c>
      <c r="AR21" s="71" t="s">
        <v>96</v>
      </c>
      <c r="AS21" s="71" t="s">
        <v>96</v>
      </c>
      <c r="AT21" s="71" t="s">
        <v>96</v>
      </c>
      <c r="AU21" s="71" t="s">
        <v>96</v>
      </c>
      <c r="AV21" s="160"/>
      <c r="AW21" s="160"/>
      <c r="AX21" s="71" t="s">
        <v>96</v>
      </c>
      <c r="AY21" s="71" t="s">
        <v>96</v>
      </c>
      <c r="AZ21" s="71" t="s">
        <v>96</v>
      </c>
      <c r="BA21" s="71" t="s">
        <v>96</v>
      </c>
      <c r="BB21" s="71" t="s">
        <v>96</v>
      </c>
      <c r="BC21" s="71" t="s">
        <v>96</v>
      </c>
      <c r="BD21" s="71" t="s">
        <v>96</v>
      </c>
      <c r="BE21" s="71" t="s">
        <v>96</v>
      </c>
      <c r="BF21" s="71" t="s">
        <v>96</v>
      </c>
      <c r="BG21" s="71" t="s">
        <v>96</v>
      </c>
      <c r="BH21" s="71" t="s">
        <v>96</v>
      </c>
      <c r="BI21" s="71" t="s">
        <v>96</v>
      </c>
      <c r="BJ21" s="71"/>
      <c r="BK21" s="71" t="s">
        <v>96</v>
      </c>
      <c r="BL21" s="71" t="s">
        <v>96</v>
      </c>
      <c r="BM21" s="71" t="s">
        <v>96</v>
      </c>
      <c r="BN21" s="71" t="s">
        <v>96</v>
      </c>
      <c r="BO21" s="71" t="s">
        <v>96</v>
      </c>
      <c r="BP21" s="71" t="s">
        <v>96</v>
      </c>
      <c r="BQ21" s="71"/>
      <c r="BR21" s="71" t="s">
        <v>96</v>
      </c>
      <c r="BS21" s="71" t="s">
        <v>96</v>
      </c>
      <c r="BT21" s="71" t="s">
        <v>96</v>
      </c>
      <c r="BU21" s="71" t="s">
        <v>96</v>
      </c>
      <c r="BV21" s="71" t="s">
        <v>96</v>
      </c>
      <c r="BW21" s="71" t="s">
        <v>96</v>
      </c>
      <c r="BX21" s="71"/>
      <c r="BY21" s="71" t="s">
        <v>96</v>
      </c>
      <c r="BZ21" s="71" t="s">
        <v>96</v>
      </c>
      <c r="CA21" s="71" t="s">
        <v>96</v>
      </c>
      <c r="CB21" s="71" t="s">
        <v>96</v>
      </c>
      <c r="CC21" s="71" t="s">
        <v>96</v>
      </c>
      <c r="CD21" s="71" t="s">
        <v>96</v>
      </c>
      <c r="CE21" s="71"/>
      <c r="CF21" s="71" t="s">
        <v>96</v>
      </c>
      <c r="CG21" s="71" t="s">
        <v>96</v>
      </c>
      <c r="CH21" s="71" t="s">
        <v>96</v>
      </c>
      <c r="CI21" s="71" t="s">
        <v>96</v>
      </c>
      <c r="CJ21" s="71" t="s">
        <v>96</v>
      </c>
      <c r="CK21" s="71" t="s">
        <v>96</v>
      </c>
      <c r="CL21" s="71" t="s">
        <v>96</v>
      </c>
      <c r="CM21" s="71" t="s">
        <v>96</v>
      </c>
      <c r="CN21" s="71" t="s">
        <v>96</v>
      </c>
      <c r="CO21" s="71" t="s">
        <v>96</v>
      </c>
      <c r="CP21" s="71" t="s">
        <v>96</v>
      </c>
      <c r="CQ21" s="71" t="s">
        <v>96</v>
      </c>
      <c r="CR21" s="71" t="s">
        <v>96</v>
      </c>
      <c r="CS21" s="71"/>
      <c r="CT21" s="71" t="s">
        <v>96</v>
      </c>
      <c r="CU21" s="71" t="s">
        <v>96</v>
      </c>
      <c r="CV21" s="71" t="s">
        <v>96</v>
      </c>
      <c r="CW21" s="71" t="s">
        <v>96</v>
      </c>
      <c r="CX21" s="71" t="s">
        <v>96</v>
      </c>
      <c r="CY21" s="71" t="s">
        <v>96</v>
      </c>
      <c r="CZ21" s="71"/>
      <c r="DA21" s="71" t="s">
        <v>96</v>
      </c>
      <c r="DB21" s="71" t="s">
        <v>96</v>
      </c>
      <c r="DC21" s="71" t="s">
        <v>96</v>
      </c>
      <c r="DD21" s="71" t="s">
        <v>96</v>
      </c>
      <c r="DE21" s="71" t="s">
        <v>96</v>
      </c>
      <c r="DF21" s="71" t="s">
        <v>96</v>
      </c>
      <c r="DG21" s="71" t="s">
        <v>96</v>
      </c>
      <c r="DH21" s="160"/>
      <c r="DI21" s="71" t="s">
        <v>96</v>
      </c>
      <c r="DJ21" s="71" t="s">
        <v>96</v>
      </c>
      <c r="DK21" s="71" t="s">
        <v>96</v>
      </c>
      <c r="DL21" s="382"/>
      <c r="DM21" s="71" t="s">
        <v>96</v>
      </c>
      <c r="DN21" s="71" t="s">
        <v>96</v>
      </c>
      <c r="DO21" s="160"/>
      <c r="DP21" s="71" t="s">
        <v>96</v>
      </c>
      <c r="DQ21" s="71" t="s">
        <v>96</v>
      </c>
      <c r="DR21" s="71" t="s">
        <v>96</v>
      </c>
      <c r="DS21" s="71" t="s">
        <v>96</v>
      </c>
      <c r="DT21" s="382"/>
      <c r="DU21" s="71"/>
      <c r="DV21" s="71" t="s">
        <v>96</v>
      </c>
      <c r="DW21" s="71" t="s">
        <v>96</v>
      </c>
      <c r="DX21" s="71" t="s">
        <v>96</v>
      </c>
      <c r="DY21" s="71" t="s">
        <v>96</v>
      </c>
      <c r="DZ21" s="71" t="s">
        <v>96</v>
      </c>
      <c r="EA21" s="71" t="s">
        <v>96</v>
      </c>
      <c r="EB21" s="71" t="s">
        <v>96</v>
      </c>
      <c r="EC21" s="71" t="s">
        <v>96</v>
      </c>
      <c r="ED21" s="71" t="s">
        <v>96</v>
      </c>
      <c r="EE21" s="71" t="s">
        <v>96</v>
      </c>
      <c r="EF21" s="71" t="s">
        <v>96</v>
      </c>
      <c r="EG21" s="71" t="s">
        <v>96</v>
      </c>
      <c r="EH21" s="71" t="s">
        <v>96</v>
      </c>
      <c r="EI21" s="71"/>
      <c r="EJ21" s="71" t="s">
        <v>96</v>
      </c>
      <c r="EK21" s="71" t="s">
        <v>96</v>
      </c>
      <c r="EL21" s="160"/>
      <c r="EM21" s="71" t="s">
        <v>96</v>
      </c>
      <c r="EN21" s="71" t="s">
        <v>96</v>
      </c>
      <c r="EO21" s="71" t="s">
        <v>96</v>
      </c>
      <c r="EP21" s="71" t="s">
        <v>96</v>
      </c>
      <c r="EQ21" s="71" t="s">
        <v>96</v>
      </c>
      <c r="ER21" s="71" t="s">
        <v>96</v>
      </c>
      <c r="ES21" s="71" t="s">
        <v>96</v>
      </c>
      <c r="ET21" s="71" t="s">
        <v>96</v>
      </c>
      <c r="EU21" s="71" t="s">
        <v>96</v>
      </c>
      <c r="EV21" s="71" t="s">
        <v>96</v>
      </c>
      <c r="EW21" s="71" t="s">
        <v>96</v>
      </c>
      <c r="EX21" s="71" t="s">
        <v>96</v>
      </c>
      <c r="EY21" s="71" t="s">
        <v>96</v>
      </c>
      <c r="EZ21" s="71" t="s">
        <v>96</v>
      </c>
      <c r="FA21" s="71" t="s">
        <v>96</v>
      </c>
      <c r="FB21" s="71" t="s">
        <v>96</v>
      </c>
      <c r="FC21" s="71" t="s">
        <v>96</v>
      </c>
      <c r="FD21" s="71" t="s">
        <v>96</v>
      </c>
      <c r="FE21" s="71" t="s">
        <v>96</v>
      </c>
      <c r="FF21" s="71" t="s">
        <v>96</v>
      </c>
      <c r="FG21" s="71" t="s">
        <v>96</v>
      </c>
      <c r="FH21" s="71" t="s">
        <v>96</v>
      </c>
      <c r="FI21" s="71" t="s">
        <v>96</v>
      </c>
      <c r="FJ21" s="71" t="s">
        <v>96</v>
      </c>
      <c r="FK21" s="71" t="s">
        <v>96</v>
      </c>
      <c r="FL21" s="198"/>
      <c r="FM21" s="71" t="s">
        <v>96</v>
      </c>
      <c r="FN21" s="71" t="s">
        <v>96</v>
      </c>
      <c r="FO21" s="71" t="s">
        <v>96</v>
      </c>
      <c r="FP21" s="71" t="s">
        <v>96</v>
      </c>
      <c r="FQ21" s="71" t="s">
        <v>96</v>
      </c>
      <c r="FR21" s="199"/>
      <c r="FS21" s="198"/>
      <c r="FT21" s="71" t="s">
        <v>96</v>
      </c>
      <c r="FU21" s="71" t="s">
        <v>96</v>
      </c>
      <c r="FV21" s="71" t="s">
        <v>96</v>
      </c>
      <c r="FW21" s="71" t="s">
        <v>96</v>
      </c>
      <c r="FX21" s="71" t="s">
        <v>96</v>
      </c>
      <c r="FY21" s="199"/>
      <c r="FZ21" s="198"/>
      <c r="GA21" s="71" t="s">
        <v>96</v>
      </c>
      <c r="GB21" s="71" t="s">
        <v>96</v>
      </c>
      <c r="GC21" s="71" t="s">
        <v>96</v>
      </c>
      <c r="GD21" s="71" t="s">
        <v>96</v>
      </c>
      <c r="GE21" s="71" t="s">
        <v>96</v>
      </c>
      <c r="GF21" s="199"/>
      <c r="GG21" s="198"/>
      <c r="GH21" s="71" t="s">
        <v>96</v>
      </c>
      <c r="GI21" s="71" t="s">
        <v>96</v>
      </c>
      <c r="GJ21" s="71"/>
      <c r="GK21" s="71"/>
      <c r="GM21" s="71"/>
    </row>
    <row r="22" spans="1:195" s="13" customFormat="1">
      <c r="A22" s="390"/>
      <c r="B22" s="392"/>
      <c r="C22" s="118" t="s">
        <v>61</v>
      </c>
      <c r="D22" s="157"/>
      <c r="E22" s="71" t="s">
        <v>96</v>
      </c>
      <c r="F22" s="71" t="s">
        <v>96</v>
      </c>
      <c r="G22" s="71" t="s">
        <v>96</v>
      </c>
      <c r="H22" s="71" t="s">
        <v>96</v>
      </c>
      <c r="I22" s="71" t="s">
        <v>96</v>
      </c>
      <c r="J22" s="71" t="s">
        <v>96</v>
      </c>
      <c r="K22" s="71" t="s">
        <v>96</v>
      </c>
      <c r="L22" s="71" t="s">
        <v>96</v>
      </c>
      <c r="M22" s="71"/>
      <c r="N22" s="71" t="s">
        <v>96</v>
      </c>
      <c r="O22" s="71" t="s">
        <v>96</v>
      </c>
      <c r="P22" s="71" t="s">
        <v>96</v>
      </c>
      <c r="Q22" s="71" t="s">
        <v>96</v>
      </c>
      <c r="R22" s="71" t="s">
        <v>96</v>
      </c>
      <c r="S22" s="71" t="s">
        <v>96</v>
      </c>
      <c r="T22" s="71" t="s">
        <v>97</v>
      </c>
      <c r="U22" s="71" t="s">
        <v>96</v>
      </c>
      <c r="V22" s="71" t="s">
        <v>96</v>
      </c>
      <c r="W22" s="71" t="s">
        <v>96</v>
      </c>
      <c r="X22" s="71" t="s">
        <v>96</v>
      </c>
      <c r="Y22" s="71" t="s">
        <v>97</v>
      </c>
      <c r="Z22" s="71" t="s">
        <v>96</v>
      </c>
      <c r="AA22" s="71"/>
      <c r="AB22" s="160"/>
      <c r="AC22" s="71" t="s">
        <v>96</v>
      </c>
      <c r="AD22" s="71" t="s">
        <v>96</v>
      </c>
      <c r="AE22" s="71" t="s">
        <v>96</v>
      </c>
      <c r="AF22" s="71" t="s">
        <v>96</v>
      </c>
      <c r="AG22" s="71" t="s">
        <v>96</v>
      </c>
      <c r="AH22" s="160"/>
      <c r="AI22" s="160"/>
      <c r="AJ22" s="71" t="s">
        <v>96</v>
      </c>
      <c r="AK22" s="71" t="s">
        <v>96</v>
      </c>
      <c r="AL22" s="71" t="s">
        <v>96</v>
      </c>
      <c r="AM22" s="71" t="s">
        <v>96</v>
      </c>
      <c r="AN22" s="71" t="s">
        <v>96</v>
      </c>
      <c r="AO22" s="160"/>
      <c r="AP22" s="160"/>
      <c r="AQ22" s="71" t="s">
        <v>96</v>
      </c>
      <c r="AR22" s="71" t="s">
        <v>96</v>
      </c>
      <c r="AS22" s="71" t="s">
        <v>96</v>
      </c>
      <c r="AT22" s="71" t="s">
        <v>96</v>
      </c>
      <c r="AU22" s="71" t="s">
        <v>96</v>
      </c>
      <c r="AV22" s="160"/>
      <c r="AW22" s="160"/>
      <c r="AX22" s="71" t="s">
        <v>96</v>
      </c>
      <c r="AY22" s="71" t="s">
        <v>96</v>
      </c>
      <c r="AZ22" s="71" t="s">
        <v>96</v>
      </c>
      <c r="BA22" s="71" t="s">
        <v>96</v>
      </c>
      <c r="BB22" s="71" t="s">
        <v>96</v>
      </c>
      <c r="BC22" s="71" t="s">
        <v>96</v>
      </c>
      <c r="BD22" s="71" t="s">
        <v>96</v>
      </c>
      <c r="BE22" s="71" t="s">
        <v>96</v>
      </c>
      <c r="BF22" s="71" t="s">
        <v>96</v>
      </c>
      <c r="BG22" s="71" t="s">
        <v>96</v>
      </c>
      <c r="BH22" s="71" t="s">
        <v>96</v>
      </c>
      <c r="BI22" s="71" t="s">
        <v>96</v>
      </c>
      <c r="BJ22" s="71"/>
      <c r="BK22" s="71" t="s">
        <v>96</v>
      </c>
      <c r="BL22" s="71" t="s">
        <v>96</v>
      </c>
      <c r="BM22" s="71" t="s">
        <v>96</v>
      </c>
      <c r="BN22" s="71" t="s">
        <v>96</v>
      </c>
      <c r="BO22" s="71" t="s">
        <v>96</v>
      </c>
      <c r="BP22" s="71" t="s">
        <v>96</v>
      </c>
      <c r="BQ22" s="71"/>
      <c r="BR22" s="71" t="s">
        <v>96</v>
      </c>
      <c r="BS22" s="71" t="s">
        <v>96</v>
      </c>
      <c r="BT22" s="71" t="s">
        <v>96</v>
      </c>
      <c r="BU22" s="71" t="s">
        <v>96</v>
      </c>
      <c r="BV22" s="71" t="s">
        <v>96</v>
      </c>
      <c r="BW22" s="71" t="s">
        <v>96</v>
      </c>
      <c r="BX22" s="71"/>
      <c r="BY22" s="71" t="s">
        <v>96</v>
      </c>
      <c r="BZ22" s="71" t="s">
        <v>96</v>
      </c>
      <c r="CA22" s="71" t="s">
        <v>96</v>
      </c>
      <c r="CB22" s="71" t="s">
        <v>96</v>
      </c>
      <c r="CC22" s="71" t="s">
        <v>96</v>
      </c>
      <c r="CD22" s="71" t="s">
        <v>96</v>
      </c>
      <c r="CE22" s="71"/>
      <c r="CF22" s="71" t="s">
        <v>96</v>
      </c>
      <c r="CG22" s="71" t="s">
        <v>96</v>
      </c>
      <c r="CH22" s="71" t="s">
        <v>96</v>
      </c>
      <c r="CI22" s="71" t="s">
        <v>96</v>
      </c>
      <c r="CJ22" s="71" t="s">
        <v>96</v>
      </c>
      <c r="CK22" s="71" t="s">
        <v>96</v>
      </c>
      <c r="CL22" s="71" t="s">
        <v>96</v>
      </c>
      <c r="CM22" s="71" t="s">
        <v>96</v>
      </c>
      <c r="CN22" s="71" t="s">
        <v>96</v>
      </c>
      <c r="CO22" s="71" t="s">
        <v>96</v>
      </c>
      <c r="CP22" s="71" t="s">
        <v>96</v>
      </c>
      <c r="CQ22" s="71" t="s">
        <v>96</v>
      </c>
      <c r="CR22" s="71" t="s">
        <v>96</v>
      </c>
      <c r="CS22" s="71"/>
      <c r="CT22" s="71" t="s">
        <v>96</v>
      </c>
      <c r="CU22" s="71" t="s">
        <v>96</v>
      </c>
      <c r="CV22" s="71" t="s">
        <v>96</v>
      </c>
      <c r="CW22" s="71" t="s">
        <v>96</v>
      </c>
      <c r="CX22" s="71" t="s">
        <v>96</v>
      </c>
      <c r="CY22" s="71" t="s">
        <v>96</v>
      </c>
      <c r="CZ22" s="71"/>
      <c r="DA22" s="71" t="s">
        <v>96</v>
      </c>
      <c r="DB22" s="71" t="s">
        <v>96</v>
      </c>
      <c r="DC22" s="71" t="s">
        <v>96</v>
      </c>
      <c r="DD22" s="71" t="s">
        <v>96</v>
      </c>
      <c r="DE22" s="71" t="s">
        <v>96</v>
      </c>
      <c r="DF22" s="71" t="s">
        <v>96</v>
      </c>
      <c r="DG22" s="71" t="s">
        <v>96</v>
      </c>
      <c r="DH22" s="160"/>
      <c r="DI22" s="71" t="s">
        <v>96</v>
      </c>
      <c r="DJ22" s="71" t="s">
        <v>96</v>
      </c>
      <c r="DK22" s="71" t="s">
        <v>96</v>
      </c>
      <c r="DL22" s="382"/>
      <c r="DM22" s="71" t="s">
        <v>96</v>
      </c>
      <c r="DN22" s="71" t="s">
        <v>96</v>
      </c>
      <c r="DO22" s="160"/>
      <c r="DP22" s="71" t="s">
        <v>96</v>
      </c>
      <c r="DQ22" s="71" t="s">
        <v>96</v>
      </c>
      <c r="DR22" s="71" t="s">
        <v>96</v>
      </c>
      <c r="DS22" s="71" t="s">
        <v>96</v>
      </c>
      <c r="DT22" s="382"/>
      <c r="DU22" s="71"/>
      <c r="DV22" s="71" t="s">
        <v>96</v>
      </c>
      <c r="DW22" s="71" t="s">
        <v>96</v>
      </c>
      <c r="DX22" s="71" t="s">
        <v>96</v>
      </c>
      <c r="DY22" s="71" t="s">
        <v>96</v>
      </c>
      <c r="DZ22" s="71" t="s">
        <v>96</v>
      </c>
      <c r="EA22" s="71" t="s">
        <v>96</v>
      </c>
      <c r="EB22" s="71" t="s">
        <v>96</v>
      </c>
      <c r="EC22" s="71" t="s">
        <v>96</v>
      </c>
      <c r="ED22" s="71" t="s">
        <v>96</v>
      </c>
      <c r="EE22" s="71" t="s">
        <v>96</v>
      </c>
      <c r="EF22" s="71" t="s">
        <v>96</v>
      </c>
      <c r="EG22" s="71" t="s">
        <v>96</v>
      </c>
      <c r="EH22" s="71" t="s">
        <v>96</v>
      </c>
      <c r="EI22" s="71"/>
      <c r="EJ22" s="71" t="s">
        <v>96</v>
      </c>
      <c r="EK22" s="71" t="s">
        <v>96</v>
      </c>
      <c r="EL22" s="160"/>
      <c r="EM22" s="71" t="s">
        <v>96</v>
      </c>
      <c r="EN22" s="71" t="s">
        <v>96</v>
      </c>
      <c r="EO22" s="71" t="s">
        <v>96</v>
      </c>
      <c r="EP22" s="71" t="s">
        <v>96</v>
      </c>
      <c r="EQ22" s="71" t="s">
        <v>96</v>
      </c>
      <c r="ER22" s="71" t="s">
        <v>96</v>
      </c>
      <c r="ES22" s="71" t="s">
        <v>96</v>
      </c>
      <c r="ET22" s="71" t="s">
        <v>96</v>
      </c>
      <c r="EU22" s="71" t="s">
        <v>96</v>
      </c>
      <c r="EV22" s="71" t="s">
        <v>96</v>
      </c>
      <c r="EW22" s="71" t="s">
        <v>96</v>
      </c>
      <c r="EX22" s="71" t="s">
        <v>96</v>
      </c>
      <c r="EY22" s="71" t="s">
        <v>96</v>
      </c>
      <c r="EZ22" s="71" t="s">
        <v>96</v>
      </c>
      <c r="FA22" s="71" t="s">
        <v>96</v>
      </c>
      <c r="FB22" s="71" t="s">
        <v>96</v>
      </c>
      <c r="FC22" s="71" t="s">
        <v>96</v>
      </c>
      <c r="FD22" s="71" t="s">
        <v>96</v>
      </c>
      <c r="FE22" s="71" t="s">
        <v>96</v>
      </c>
      <c r="FF22" s="71" t="s">
        <v>96</v>
      </c>
      <c r="FG22" s="71" t="s">
        <v>96</v>
      </c>
      <c r="FH22" s="71" t="s">
        <v>96</v>
      </c>
      <c r="FI22" s="71" t="s">
        <v>96</v>
      </c>
      <c r="FJ22" s="71" t="s">
        <v>96</v>
      </c>
      <c r="FK22" s="71" t="s">
        <v>96</v>
      </c>
      <c r="FL22" s="198"/>
      <c r="FM22" s="71" t="s">
        <v>96</v>
      </c>
      <c r="FN22" s="71" t="s">
        <v>96</v>
      </c>
      <c r="FO22" s="71" t="s">
        <v>96</v>
      </c>
      <c r="FP22" s="71" t="s">
        <v>96</v>
      </c>
      <c r="FQ22" s="71" t="s">
        <v>96</v>
      </c>
      <c r="FR22" s="199"/>
      <c r="FS22" s="198"/>
      <c r="FT22" s="71" t="s">
        <v>96</v>
      </c>
      <c r="FU22" s="71" t="s">
        <v>96</v>
      </c>
      <c r="FV22" s="71" t="s">
        <v>96</v>
      </c>
      <c r="FW22" s="71" t="s">
        <v>96</v>
      </c>
      <c r="FX22" s="71" t="s">
        <v>96</v>
      </c>
      <c r="FY22" s="199"/>
      <c r="FZ22" s="198"/>
      <c r="GA22" s="71" t="s">
        <v>96</v>
      </c>
      <c r="GB22" s="71" t="s">
        <v>96</v>
      </c>
      <c r="GC22" s="71" t="s">
        <v>96</v>
      </c>
      <c r="GD22" s="71" t="s">
        <v>96</v>
      </c>
      <c r="GE22" s="71" t="s">
        <v>96</v>
      </c>
      <c r="GF22" s="199"/>
      <c r="GG22" s="198"/>
      <c r="GH22" s="71" t="s">
        <v>96</v>
      </c>
      <c r="GI22" s="71" t="s">
        <v>96</v>
      </c>
      <c r="GJ22" s="71"/>
      <c r="GK22" s="71"/>
      <c r="GM22" s="71"/>
    </row>
    <row r="23" spans="1:195" s="13" customFormat="1">
      <c r="A23" s="390"/>
      <c r="B23" s="392"/>
      <c r="C23" s="118" t="s">
        <v>62</v>
      </c>
      <c r="D23" s="157"/>
      <c r="E23" s="71" t="s">
        <v>96</v>
      </c>
      <c r="F23" s="71" t="s">
        <v>96</v>
      </c>
      <c r="G23" s="71" t="s">
        <v>96</v>
      </c>
      <c r="H23" s="71" t="s">
        <v>96</v>
      </c>
      <c r="I23" s="71" t="s">
        <v>96</v>
      </c>
      <c r="J23" s="71" t="s">
        <v>96</v>
      </c>
      <c r="K23" s="71" t="s">
        <v>96</v>
      </c>
      <c r="L23" s="71" t="s">
        <v>96</v>
      </c>
      <c r="M23" s="71"/>
      <c r="N23" s="71" t="s">
        <v>96</v>
      </c>
      <c r="O23" s="71" t="s">
        <v>96</v>
      </c>
      <c r="P23" s="71" t="s">
        <v>96</v>
      </c>
      <c r="Q23" s="71" t="s">
        <v>96</v>
      </c>
      <c r="R23" s="71" t="s">
        <v>96</v>
      </c>
      <c r="S23" s="71" t="s">
        <v>96</v>
      </c>
      <c r="T23" s="71" t="s">
        <v>96</v>
      </c>
      <c r="U23" s="71" t="s">
        <v>96</v>
      </c>
      <c r="V23" s="71" t="s">
        <v>96</v>
      </c>
      <c r="W23" s="71" t="s">
        <v>96</v>
      </c>
      <c r="X23" s="71" t="s">
        <v>96</v>
      </c>
      <c r="Y23" s="71" t="s">
        <v>96</v>
      </c>
      <c r="Z23" s="71" t="s">
        <v>96</v>
      </c>
      <c r="AA23" s="71"/>
      <c r="AB23" s="160"/>
      <c r="AC23" s="71" t="s">
        <v>96</v>
      </c>
      <c r="AD23" s="71" t="s">
        <v>96</v>
      </c>
      <c r="AE23" s="71" t="s">
        <v>96</v>
      </c>
      <c r="AF23" s="71" t="s">
        <v>96</v>
      </c>
      <c r="AG23" s="71" t="s">
        <v>96</v>
      </c>
      <c r="AH23" s="160"/>
      <c r="AI23" s="160"/>
      <c r="AJ23" s="71" t="s">
        <v>96</v>
      </c>
      <c r="AK23" s="71" t="s">
        <v>96</v>
      </c>
      <c r="AL23" s="71" t="s">
        <v>96</v>
      </c>
      <c r="AM23" s="71" t="s">
        <v>96</v>
      </c>
      <c r="AN23" s="71" t="s">
        <v>96</v>
      </c>
      <c r="AO23" s="160"/>
      <c r="AP23" s="160"/>
      <c r="AQ23" s="71" t="s">
        <v>96</v>
      </c>
      <c r="AR23" s="71" t="s">
        <v>96</v>
      </c>
      <c r="AS23" s="71" t="s">
        <v>96</v>
      </c>
      <c r="AT23" s="71" t="s">
        <v>96</v>
      </c>
      <c r="AU23" s="71" t="s">
        <v>96</v>
      </c>
      <c r="AV23" s="160"/>
      <c r="AW23" s="160"/>
      <c r="AX23" s="71" t="s">
        <v>96</v>
      </c>
      <c r="AY23" s="71" t="s">
        <v>96</v>
      </c>
      <c r="AZ23" s="71" t="s">
        <v>96</v>
      </c>
      <c r="BA23" s="71" t="s">
        <v>96</v>
      </c>
      <c r="BB23" s="71" t="s">
        <v>96</v>
      </c>
      <c r="BC23" s="71" t="s">
        <v>96</v>
      </c>
      <c r="BD23" s="71" t="s">
        <v>96</v>
      </c>
      <c r="BE23" s="71" t="s">
        <v>96</v>
      </c>
      <c r="BF23" s="71" t="s">
        <v>96</v>
      </c>
      <c r="BG23" s="71" t="s">
        <v>96</v>
      </c>
      <c r="BH23" s="71" t="s">
        <v>96</v>
      </c>
      <c r="BI23" s="71" t="s">
        <v>96</v>
      </c>
      <c r="BJ23" s="71"/>
      <c r="BK23" s="71" t="s">
        <v>96</v>
      </c>
      <c r="BL23" s="71" t="s">
        <v>96</v>
      </c>
      <c r="BM23" s="71" t="s">
        <v>96</v>
      </c>
      <c r="BN23" s="71" t="s">
        <v>96</v>
      </c>
      <c r="BO23" s="71" t="s">
        <v>96</v>
      </c>
      <c r="BP23" s="71" t="s">
        <v>96</v>
      </c>
      <c r="BQ23" s="71"/>
      <c r="BR23" s="71" t="s">
        <v>96</v>
      </c>
      <c r="BS23" s="71" t="s">
        <v>96</v>
      </c>
      <c r="BT23" s="71" t="s">
        <v>96</v>
      </c>
      <c r="BU23" s="71" t="s">
        <v>96</v>
      </c>
      <c r="BV23" s="71" t="s">
        <v>96</v>
      </c>
      <c r="BW23" s="71" t="s">
        <v>96</v>
      </c>
      <c r="BX23" s="71"/>
      <c r="BY23" s="71" t="s">
        <v>96</v>
      </c>
      <c r="BZ23" s="71" t="s">
        <v>96</v>
      </c>
      <c r="CA23" s="71" t="s">
        <v>96</v>
      </c>
      <c r="CB23" s="71" t="s">
        <v>96</v>
      </c>
      <c r="CC23" s="71" t="s">
        <v>96</v>
      </c>
      <c r="CD23" s="71" t="s">
        <v>96</v>
      </c>
      <c r="CE23" s="71"/>
      <c r="CF23" s="71" t="s">
        <v>96</v>
      </c>
      <c r="CG23" s="71" t="s">
        <v>96</v>
      </c>
      <c r="CH23" s="71" t="s">
        <v>96</v>
      </c>
      <c r="CI23" s="71" t="s">
        <v>96</v>
      </c>
      <c r="CJ23" s="71" t="s">
        <v>96</v>
      </c>
      <c r="CK23" s="71" t="s">
        <v>96</v>
      </c>
      <c r="CL23" s="71" t="s">
        <v>96</v>
      </c>
      <c r="CM23" s="71" t="s">
        <v>96</v>
      </c>
      <c r="CN23" s="71" t="s">
        <v>96</v>
      </c>
      <c r="CO23" s="71" t="s">
        <v>96</v>
      </c>
      <c r="CP23" s="71" t="s">
        <v>96</v>
      </c>
      <c r="CQ23" s="71" t="s">
        <v>96</v>
      </c>
      <c r="CR23" s="71" t="s">
        <v>96</v>
      </c>
      <c r="CS23" s="71"/>
      <c r="CT23" s="71" t="s">
        <v>96</v>
      </c>
      <c r="CU23" s="71" t="s">
        <v>96</v>
      </c>
      <c r="CV23" s="71" t="s">
        <v>96</v>
      </c>
      <c r="CW23" s="71" t="s">
        <v>96</v>
      </c>
      <c r="CX23" s="71" t="s">
        <v>96</v>
      </c>
      <c r="CY23" s="71" t="s">
        <v>96</v>
      </c>
      <c r="CZ23" s="71"/>
      <c r="DA23" s="71" t="s">
        <v>96</v>
      </c>
      <c r="DB23" s="71" t="s">
        <v>96</v>
      </c>
      <c r="DC23" s="71" t="s">
        <v>96</v>
      </c>
      <c r="DD23" s="71" t="s">
        <v>96</v>
      </c>
      <c r="DE23" s="71" t="s">
        <v>96</v>
      </c>
      <c r="DF23" s="71" t="s">
        <v>96</v>
      </c>
      <c r="DG23" s="71" t="s">
        <v>96</v>
      </c>
      <c r="DH23" s="160"/>
      <c r="DI23" s="71" t="s">
        <v>96</v>
      </c>
      <c r="DJ23" s="71" t="s">
        <v>96</v>
      </c>
      <c r="DK23" s="71" t="s">
        <v>96</v>
      </c>
      <c r="DL23" s="382"/>
      <c r="DM23" s="71" t="s">
        <v>96</v>
      </c>
      <c r="DN23" s="71" t="s">
        <v>96</v>
      </c>
      <c r="DO23" s="160"/>
      <c r="DP23" s="71" t="s">
        <v>96</v>
      </c>
      <c r="DQ23" s="71" t="s">
        <v>96</v>
      </c>
      <c r="DR23" s="71" t="s">
        <v>96</v>
      </c>
      <c r="DS23" s="71" t="s">
        <v>96</v>
      </c>
      <c r="DT23" s="382"/>
      <c r="DU23" s="71"/>
      <c r="DV23" s="71" t="s">
        <v>96</v>
      </c>
      <c r="DW23" s="71" t="s">
        <v>96</v>
      </c>
      <c r="DX23" s="71" t="s">
        <v>96</v>
      </c>
      <c r="DY23" s="71" t="s">
        <v>96</v>
      </c>
      <c r="DZ23" s="71" t="s">
        <v>96</v>
      </c>
      <c r="EA23" s="71" t="s">
        <v>96</v>
      </c>
      <c r="EB23" s="71" t="s">
        <v>96</v>
      </c>
      <c r="EC23" s="71" t="s">
        <v>96</v>
      </c>
      <c r="ED23" s="71" t="s">
        <v>96</v>
      </c>
      <c r="EE23" s="71" t="s">
        <v>96</v>
      </c>
      <c r="EF23" s="71" t="s">
        <v>96</v>
      </c>
      <c r="EG23" s="71" t="s">
        <v>96</v>
      </c>
      <c r="EH23" s="71" t="s">
        <v>96</v>
      </c>
      <c r="EI23" s="71"/>
      <c r="EJ23" s="71" t="s">
        <v>96</v>
      </c>
      <c r="EK23" s="71" t="s">
        <v>96</v>
      </c>
      <c r="EL23" s="160"/>
      <c r="EM23" s="71" t="s">
        <v>96</v>
      </c>
      <c r="EN23" s="71" t="s">
        <v>96</v>
      </c>
      <c r="EO23" s="71" t="s">
        <v>96</v>
      </c>
      <c r="EP23" s="71" t="s">
        <v>96</v>
      </c>
      <c r="EQ23" s="71" t="s">
        <v>96</v>
      </c>
      <c r="ER23" s="71" t="s">
        <v>96</v>
      </c>
      <c r="ES23" s="71" t="s">
        <v>96</v>
      </c>
      <c r="ET23" s="71" t="s">
        <v>96</v>
      </c>
      <c r="EU23" s="71" t="s">
        <v>96</v>
      </c>
      <c r="EV23" s="71" t="s">
        <v>96</v>
      </c>
      <c r="EW23" s="71" t="s">
        <v>96</v>
      </c>
      <c r="EX23" s="71" t="s">
        <v>96</v>
      </c>
      <c r="EY23" s="71" t="s">
        <v>96</v>
      </c>
      <c r="EZ23" s="71" t="s">
        <v>96</v>
      </c>
      <c r="FA23" s="71" t="s">
        <v>96</v>
      </c>
      <c r="FB23" s="71" t="s">
        <v>96</v>
      </c>
      <c r="FC23" s="71" t="s">
        <v>96</v>
      </c>
      <c r="FD23" s="71" t="s">
        <v>96</v>
      </c>
      <c r="FE23" s="71" t="s">
        <v>96</v>
      </c>
      <c r="FF23" s="71" t="s">
        <v>96</v>
      </c>
      <c r="FG23" s="71" t="s">
        <v>96</v>
      </c>
      <c r="FH23" s="71" t="s">
        <v>96</v>
      </c>
      <c r="FI23" s="71" t="s">
        <v>96</v>
      </c>
      <c r="FJ23" s="71" t="s">
        <v>96</v>
      </c>
      <c r="FK23" s="71" t="s">
        <v>96</v>
      </c>
      <c r="FL23" s="198"/>
      <c r="FM23" s="71" t="s">
        <v>96</v>
      </c>
      <c r="FN23" s="71" t="s">
        <v>96</v>
      </c>
      <c r="FO23" s="71" t="s">
        <v>96</v>
      </c>
      <c r="FP23" s="71" t="s">
        <v>96</v>
      </c>
      <c r="FQ23" s="71" t="s">
        <v>96</v>
      </c>
      <c r="FR23" s="199"/>
      <c r="FS23" s="198"/>
      <c r="FT23" s="71" t="s">
        <v>96</v>
      </c>
      <c r="FU23" s="71" t="s">
        <v>96</v>
      </c>
      <c r="FV23" s="71" t="s">
        <v>96</v>
      </c>
      <c r="FW23" s="71" t="s">
        <v>96</v>
      </c>
      <c r="FX23" s="71" t="s">
        <v>96</v>
      </c>
      <c r="FY23" s="199"/>
      <c r="FZ23" s="198"/>
      <c r="GA23" s="71" t="s">
        <v>96</v>
      </c>
      <c r="GB23" s="71" t="s">
        <v>96</v>
      </c>
      <c r="GC23" s="71" t="s">
        <v>96</v>
      </c>
      <c r="GD23" s="71" t="s">
        <v>96</v>
      </c>
      <c r="GE23" s="71" t="s">
        <v>96</v>
      </c>
      <c r="GF23" s="199"/>
      <c r="GG23" s="198"/>
      <c r="GH23" s="71" t="s">
        <v>96</v>
      </c>
      <c r="GI23" s="71" t="s">
        <v>96</v>
      </c>
      <c r="GJ23" s="71"/>
      <c r="GK23" s="71"/>
      <c r="GM23" s="71"/>
    </row>
    <row r="24" spans="1:195" s="13" customFormat="1">
      <c r="A24" s="390"/>
      <c r="B24" s="392"/>
      <c r="C24" s="118" t="s">
        <v>63</v>
      </c>
      <c r="D24" s="157"/>
      <c r="E24" s="71" t="s">
        <v>96</v>
      </c>
      <c r="F24" s="71" t="s">
        <v>96</v>
      </c>
      <c r="G24" s="71" t="s">
        <v>96</v>
      </c>
      <c r="H24" s="71" t="s">
        <v>96</v>
      </c>
      <c r="I24" s="71" t="s">
        <v>96</v>
      </c>
      <c r="J24" s="71" t="s">
        <v>96</v>
      </c>
      <c r="K24" s="71" t="s">
        <v>96</v>
      </c>
      <c r="L24" s="71" t="s">
        <v>96</v>
      </c>
      <c r="M24" s="71"/>
      <c r="N24" s="71" t="s">
        <v>96</v>
      </c>
      <c r="O24" s="71" t="s">
        <v>96</v>
      </c>
      <c r="P24" s="71" t="s">
        <v>96</v>
      </c>
      <c r="Q24" s="71" t="s">
        <v>96</v>
      </c>
      <c r="R24" s="71" t="s">
        <v>96</v>
      </c>
      <c r="S24" s="71" t="s">
        <v>96</v>
      </c>
      <c r="T24" s="71" t="s">
        <v>96</v>
      </c>
      <c r="U24" s="71" t="s">
        <v>96</v>
      </c>
      <c r="V24" s="71" t="s">
        <v>96</v>
      </c>
      <c r="W24" s="71" t="s">
        <v>96</v>
      </c>
      <c r="X24" s="71" t="s">
        <v>96</v>
      </c>
      <c r="Y24" s="71" t="s">
        <v>96</v>
      </c>
      <c r="Z24" s="71" t="s">
        <v>96</v>
      </c>
      <c r="AA24" s="71"/>
      <c r="AB24" s="160"/>
      <c r="AC24" s="71" t="s">
        <v>96</v>
      </c>
      <c r="AD24" s="71" t="s">
        <v>96</v>
      </c>
      <c r="AE24" s="71" t="s">
        <v>96</v>
      </c>
      <c r="AF24" s="71" t="s">
        <v>96</v>
      </c>
      <c r="AG24" s="71" t="s">
        <v>96</v>
      </c>
      <c r="AH24" s="160"/>
      <c r="AI24" s="160"/>
      <c r="AJ24" s="71" t="s">
        <v>96</v>
      </c>
      <c r="AK24" s="71" t="s">
        <v>96</v>
      </c>
      <c r="AL24" s="71" t="s">
        <v>96</v>
      </c>
      <c r="AM24" s="71" t="s">
        <v>96</v>
      </c>
      <c r="AN24" s="71" t="s">
        <v>96</v>
      </c>
      <c r="AO24" s="160"/>
      <c r="AP24" s="160"/>
      <c r="AQ24" s="71" t="s">
        <v>96</v>
      </c>
      <c r="AR24" s="71" t="s">
        <v>96</v>
      </c>
      <c r="AS24" s="71" t="s">
        <v>96</v>
      </c>
      <c r="AT24" s="71" t="s">
        <v>96</v>
      </c>
      <c r="AU24" s="71" t="s">
        <v>96</v>
      </c>
      <c r="AV24" s="160"/>
      <c r="AW24" s="160"/>
      <c r="AX24" s="71" t="s">
        <v>96</v>
      </c>
      <c r="AY24" s="71" t="s">
        <v>96</v>
      </c>
      <c r="AZ24" s="71" t="s">
        <v>96</v>
      </c>
      <c r="BA24" s="71" t="s">
        <v>96</v>
      </c>
      <c r="BB24" s="71" t="s">
        <v>96</v>
      </c>
      <c r="BC24" s="71" t="s">
        <v>96</v>
      </c>
      <c r="BD24" s="71" t="s">
        <v>96</v>
      </c>
      <c r="BE24" s="71" t="s">
        <v>96</v>
      </c>
      <c r="BF24" s="71" t="s">
        <v>96</v>
      </c>
      <c r="BG24" s="71" t="s">
        <v>96</v>
      </c>
      <c r="BH24" s="71" t="s">
        <v>96</v>
      </c>
      <c r="BI24" s="71" t="s">
        <v>96</v>
      </c>
      <c r="BJ24" s="71"/>
      <c r="BK24" s="71" t="s">
        <v>96</v>
      </c>
      <c r="BL24" s="71" t="s">
        <v>96</v>
      </c>
      <c r="BM24" s="71" t="s">
        <v>97</v>
      </c>
      <c r="BN24" s="71" t="s">
        <v>96</v>
      </c>
      <c r="BO24" s="71" t="s">
        <v>96</v>
      </c>
      <c r="BP24" s="71" t="s">
        <v>96</v>
      </c>
      <c r="BQ24" s="71"/>
      <c r="BR24" s="71" t="s">
        <v>96</v>
      </c>
      <c r="BS24" s="71" t="s">
        <v>96</v>
      </c>
      <c r="BT24" s="71" t="s">
        <v>96</v>
      </c>
      <c r="BU24" s="71" t="s">
        <v>96</v>
      </c>
      <c r="BV24" s="71" t="s">
        <v>96</v>
      </c>
      <c r="BW24" s="71" t="s">
        <v>96</v>
      </c>
      <c r="BX24" s="71"/>
      <c r="BY24" s="71" t="s">
        <v>96</v>
      </c>
      <c r="BZ24" s="71" t="s">
        <v>96</v>
      </c>
      <c r="CA24" s="71" t="s">
        <v>96</v>
      </c>
      <c r="CB24" s="71" t="s">
        <v>96</v>
      </c>
      <c r="CC24" s="71" t="s">
        <v>96</v>
      </c>
      <c r="CD24" s="71" t="s">
        <v>96</v>
      </c>
      <c r="CE24" s="71"/>
      <c r="CF24" s="71" t="s">
        <v>96</v>
      </c>
      <c r="CG24" s="71" t="s">
        <v>96</v>
      </c>
      <c r="CH24" s="71" t="s">
        <v>96</v>
      </c>
      <c r="CI24" s="71" t="s">
        <v>96</v>
      </c>
      <c r="CJ24" s="71" t="s">
        <v>96</v>
      </c>
      <c r="CK24" s="71" t="s">
        <v>96</v>
      </c>
      <c r="CL24" s="71" t="s">
        <v>96</v>
      </c>
      <c r="CM24" s="71" t="s">
        <v>96</v>
      </c>
      <c r="CN24" s="71" t="s">
        <v>96</v>
      </c>
      <c r="CO24" s="71" t="s">
        <v>96</v>
      </c>
      <c r="CP24" s="71" t="s">
        <v>96</v>
      </c>
      <c r="CQ24" s="71" t="s">
        <v>96</v>
      </c>
      <c r="CR24" s="71" t="s">
        <v>96</v>
      </c>
      <c r="CS24" s="71"/>
      <c r="CT24" s="71" t="s">
        <v>96</v>
      </c>
      <c r="CU24" s="71" t="s">
        <v>96</v>
      </c>
      <c r="CV24" s="71" t="s">
        <v>96</v>
      </c>
      <c r="CW24" s="71" t="s">
        <v>96</v>
      </c>
      <c r="CX24" s="71" t="s">
        <v>96</v>
      </c>
      <c r="CY24" s="71" t="s">
        <v>96</v>
      </c>
      <c r="CZ24" s="71"/>
      <c r="DA24" s="71" t="s">
        <v>96</v>
      </c>
      <c r="DB24" s="71" t="s">
        <v>96</v>
      </c>
      <c r="DC24" s="71" t="s">
        <v>96</v>
      </c>
      <c r="DD24" s="71" t="s">
        <v>96</v>
      </c>
      <c r="DE24" s="71" t="s">
        <v>96</v>
      </c>
      <c r="DF24" s="71" t="s">
        <v>96</v>
      </c>
      <c r="DG24" s="71" t="s">
        <v>96</v>
      </c>
      <c r="DH24" s="160"/>
      <c r="DI24" s="71" t="s">
        <v>96</v>
      </c>
      <c r="DJ24" s="71" t="s">
        <v>96</v>
      </c>
      <c r="DK24" s="71" t="s">
        <v>96</v>
      </c>
      <c r="DL24" s="382"/>
      <c r="DM24" s="71" t="s">
        <v>96</v>
      </c>
      <c r="DN24" s="71" t="s">
        <v>96</v>
      </c>
      <c r="DO24" s="160"/>
      <c r="DP24" s="71" t="s">
        <v>96</v>
      </c>
      <c r="DQ24" s="71" t="s">
        <v>96</v>
      </c>
      <c r="DR24" s="71" t="s">
        <v>96</v>
      </c>
      <c r="DS24" s="71" t="s">
        <v>96</v>
      </c>
      <c r="DT24" s="382"/>
      <c r="DU24" s="71"/>
      <c r="DV24" s="71" t="s">
        <v>96</v>
      </c>
      <c r="DW24" s="71" t="s">
        <v>96</v>
      </c>
      <c r="DX24" s="71" t="s">
        <v>96</v>
      </c>
      <c r="DY24" s="71" t="s">
        <v>96</v>
      </c>
      <c r="DZ24" s="71" t="s">
        <v>96</v>
      </c>
      <c r="EA24" s="71" t="s">
        <v>96</v>
      </c>
      <c r="EB24" s="71" t="s">
        <v>96</v>
      </c>
      <c r="EC24" s="71" t="s">
        <v>96</v>
      </c>
      <c r="ED24" s="71" t="s">
        <v>96</v>
      </c>
      <c r="EE24" s="71" t="s">
        <v>96</v>
      </c>
      <c r="EF24" s="71" t="s">
        <v>96</v>
      </c>
      <c r="EG24" s="71" t="s">
        <v>96</v>
      </c>
      <c r="EH24" s="71" t="s">
        <v>96</v>
      </c>
      <c r="EI24" s="71"/>
      <c r="EJ24" s="71" t="s">
        <v>96</v>
      </c>
      <c r="EK24" s="71" t="s">
        <v>96</v>
      </c>
      <c r="EL24" s="160"/>
      <c r="EM24" s="71" t="s">
        <v>96</v>
      </c>
      <c r="EN24" s="71" t="s">
        <v>96</v>
      </c>
      <c r="EO24" s="71" t="s">
        <v>96</v>
      </c>
      <c r="EP24" s="71" t="s">
        <v>96</v>
      </c>
      <c r="EQ24" s="71" t="s">
        <v>96</v>
      </c>
      <c r="ER24" s="71" t="s">
        <v>96</v>
      </c>
      <c r="ES24" s="71" t="s">
        <v>96</v>
      </c>
      <c r="ET24" s="71" t="s">
        <v>96</v>
      </c>
      <c r="EU24" s="71" t="s">
        <v>96</v>
      </c>
      <c r="EV24" s="71" t="s">
        <v>96</v>
      </c>
      <c r="EW24" s="71" t="s">
        <v>96</v>
      </c>
      <c r="EX24" s="71" t="s">
        <v>96</v>
      </c>
      <c r="EY24" s="71" t="s">
        <v>96</v>
      </c>
      <c r="EZ24" s="71" t="s">
        <v>96</v>
      </c>
      <c r="FA24" s="71" t="s">
        <v>96</v>
      </c>
      <c r="FB24" s="71" t="s">
        <v>96</v>
      </c>
      <c r="FC24" s="71" t="s">
        <v>96</v>
      </c>
      <c r="FD24" s="71" t="s">
        <v>96</v>
      </c>
      <c r="FE24" s="71" t="s">
        <v>96</v>
      </c>
      <c r="FF24" s="71" t="s">
        <v>96</v>
      </c>
      <c r="FG24" s="71" t="s">
        <v>96</v>
      </c>
      <c r="FH24" s="71" t="s">
        <v>96</v>
      </c>
      <c r="FI24" s="71" t="s">
        <v>96</v>
      </c>
      <c r="FJ24" s="71" t="s">
        <v>96</v>
      </c>
      <c r="FK24" s="71" t="s">
        <v>96</v>
      </c>
      <c r="FL24" s="198"/>
      <c r="FM24" s="71" t="s">
        <v>96</v>
      </c>
      <c r="FN24" s="71" t="s">
        <v>96</v>
      </c>
      <c r="FO24" s="71" t="s">
        <v>96</v>
      </c>
      <c r="FP24" s="71" t="s">
        <v>96</v>
      </c>
      <c r="FQ24" s="71" t="s">
        <v>96</v>
      </c>
      <c r="FR24" s="199"/>
      <c r="FS24" s="198"/>
      <c r="FT24" s="71" t="s">
        <v>96</v>
      </c>
      <c r="FU24" s="71" t="s">
        <v>96</v>
      </c>
      <c r="FV24" s="71" t="s">
        <v>96</v>
      </c>
      <c r="FW24" s="71" t="s">
        <v>96</v>
      </c>
      <c r="FX24" s="71" t="s">
        <v>96</v>
      </c>
      <c r="FY24" s="199"/>
      <c r="FZ24" s="198"/>
      <c r="GA24" s="71" t="s">
        <v>96</v>
      </c>
      <c r="GB24" s="71" t="s">
        <v>96</v>
      </c>
      <c r="GC24" s="71" t="s">
        <v>96</v>
      </c>
      <c r="GD24" s="71" t="s">
        <v>96</v>
      </c>
      <c r="GE24" s="71" t="s">
        <v>96</v>
      </c>
      <c r="GF24" s="199"/>
      <c r="GG24" s="198"/>
      <c r="GH24" s="71" t="s">
        <v>96</v>
      </c>
      <c r="GI24" s="71" t="s">
        <v>96</v>
      </c>
      <c r="GJ24" s="71"/>
      <c r="GK24" s="71"/>
      <c r="GM24" s="71"/>
    </row>
    <row r="25" spans="1:195" s="13" customFormat="1">
      <c r="A25" s="390"/>
      <c r="B25" s="392"/>
      <c r="C25" s="120" t="s">
        <v>64</v>
      </c>
      <c r="D25" s="157"/>
      <c r="E25" s="71" t="s">
        <v>96</v>
      </c>
      <c r="F25" s="71" t="s">
        <v>96</v>
      </c>
      <c r="G25" s="71" t="s">
        <v>97</v>
      </c>
      <c r="H25" s="71" t="s">
        <v>96</v>
      </c>
      <c r="I25" s="71" t="s">
        <v>96</v>
      </c>
      <c r="J25" s="71" t="s">
        <v>96</v>
      </c>
      <c r="K25" s="71" t="s">
        <v>96</v>
      </c>
      <c r="L25" s="71" t="s">
        <v>96</v>
      </c>
      <c r="M25" s="71"/>
      <c r="N25" s="71" t="s">
        <v>96</v>
      </c>
      <c r="O25" s="71" t="s">
        <v>96</v>
      </c>
      <c r="P25" s="71" t="s">
        <v>96</v>
      </c>
      <c r="Q25" s="71" t="s">
        <v>96</v>
      </c>
      <c r="R25" s="71" t="s">
        <v>96</v>
      </c>
      <c r="S25" s="71" t="s">
        <v>96</v>
      </c>
      <c r="T25" s="71" t="s">
        <v>96</v>
      </c>
      <c r="U25" s="71" t="s">
        <v>96</v>
      </c>
      <c r="V25" s="71" t="s">
        <v>96</v>
      </c>
      <c r="W25" s="71" t="s">
        <v>96</v>
      </c>
      <c r="X25" s="71" t="s">
        <v>96</v>
      </c>
      <c r="Y25" s="71" t="s">
        <v>96</v>
      </c>
      <c r="Z25" s="71" t="s">
        <v>96</v>
      </c>
      <c r="AA25" s="71"/>
      <c r="AB25" s="160"/>
      <c r="AC25" s="71" t="s">
        <v>96</v>
      </c>
      <c r="AD25" s="71" t="s">
        <v>96</v>
      </c>
      <c r="AE25" s="71" t="s">
        <v>96</v>
      </c>
      <c r="AF25" s="71" t="s">
        <v>96</v>
      </c>
      <c r="AG25" s="71" t="s">
        <v>96</v>
      </c>
      <c r="AH25" s="160"/>
      <c r="AI25" s="160"/>
      <c r="AJ25" s="71" t="s">
        <v>96</v>
      </c>
      <c r="AK25" s="71" t="s">
        <v>96</v>
      </c>
      <c r="AL25" s="71" t="s">
        <v>96</v>
      </c>
      <c r="AM25" s="71" t="s">
        <v>96</v>
      </c>
      <c r="AN25" s="71" t="s">
        <v>96</v>
      </c>
      <c r="AO25" s="160"/>
      <c r="AP25" s="160"/>
      <c r="AQ25" s="71" t="s">
        <v>96</v>
      </c>
      <c r="AR25" s="71" t="s">
        <v>96</v>
      </c>
      <c r="AS25" s="71" t="s">
        <v>96</v>
      </c>
      <c r="AT25" s="71" t="s">
        <v>96</v>
      </c>
      <c r="AU25" s="71" t="s">
        <v>96</v>
      </c>
      <c r="AV25" s="160"/>
      <c r="AW25" s="160"/>
      <c r="AX25" s="71" t="s">
        <v>96</v>
      </c>
      <c r="AY25" s="71" t="s">
        <v>96</v>
      </c>
      <c r="AZ25" s="71" t="s">
        <v>96</v>
      </c>
      <c r="BA25" s="71" t="s">
        <v>96</v>
      </c>
      <c r="BB25" s="71" t="s">
        <v>96</v>
      </c>
      <c r="BC25" s="71" t="s">
        <v>96</v>
      </c>
      <c r="BD25" s="71" t="s">
        <v>96</v>
      </c>
      <c r="BE25" s="71" t="s">
        <v>96</v>
      </c>
      <c r="BF25" s="71" t="s">
        <v>96</v>
      </c>
      <c r="BG25" s="71" t="s">
        <v>96</v>
      </c>
      <c r="BH25" s="71" t="s">
        <v>96</v>
      </c>
      <c r="BI25" s="71" t="s">
        <v>96</v>
      </c>
      <c r="BJ25" s="71"/>
      <c r="BK25" s="71" t="s">
        <v>96</v>
      </c>
      <c r="BL25" s="71" t="s">
        <v>96</v>
      </c>
      <c r="BM25" s="71" t="s">
        <v>96</v>
      </c>
      <c r="BN25" s="71" t="s">
        <v>96</v>
      </c>
      <c r="BO25" s="71" t="s">
        <v>96</v>
      </c>
      <c r="BP25" s="71" t="s">
        <v>96</v>
      </c>
      <c r="BQ25" s="71"/>
      <c r="BR25" s="71" t="s">
        <v>96</v>
      </c>
      <c r="BS25" s="71" t="s">
        <v>96</v>
      </c>
      <c r="BT25" s="71" t="s">
        <v>96</v>
      </c>
      <c r="BU25" s="71" t="s">
        <v>96</v>
      </c>
      <c r="BV25" s="71" t="s">
        <v>96</v>
      </c>
      <c r="BW25" s="71" t="s">
        <v>96</v>
      </c>
      <c r="BX25" s="71"/>
      <c r="BY25" s="71" t="s">
        <v>96</v>
      </c>
      <c r="BZ25" s="71" t="s">
        <v>96</v>
      </c>
      <c r="CA25" s="71" t="s">
        <v>96</v>
      </c>
      <c r="CB25" s="71" t="s">
        <v>96</v>
      </c>
      <c r="CC25" s="71" t="s">
        <v>96</v>
      </c>
      <c r="CD25" s="71" t="s">
        <v>96</v>
      </c>
      <c r="CE25" s="71"/>
      <c r="CF25" s="71" t="s">
        <v>96</v>
      </c>
      <c r="CG25" s="71" t="s">
        <v>96</v>
      </c>
      <c r="CH25" s="71" t="s">
        <v>96</v>
      </c>
      <c r="CI25" s="71" t="s">
        <v>96</v>
      </c>
      <c r="CJ25" s="71" t="s">
        <v>96</v>
      </c>
      <c r="CK25" s="71" t="s">
        <v>96</v>
      </c>
      <c r="CL25" s="71" t="s">
        <v>96</v>
      </c>
      <c r="CM25" s="71" t="s">
        <v>96</v>
      </c>
      <c r="CN25" s="71" t="s">
        <v>96</v>
      </c>
      <c r="CO25" s="71" t="s">
        <v>96</v>
      </c>
      <c r="CP25" s="71" t="s">
        <v>96</v>
      </c>
      <c r="CQ25" s="71" t="s">
        <v>96</v>
      </c>
      <c r="CR25" s="71" t="s">
        <v>96</v>
      </c>
      <c r="CS25" s="71"/>
      <c r="CT25" s="71" t="s">
        <v>96</v>
      </c>
      <c r="CU25" s="71" t="s">
        <v>96</v>
      </c>
      <c r="CV25" s="71" t="s">
        <v>96</v>
      </c>
      <c r="CW25" s="71" t="s">
        <v>96</v>
      </c>
      <c r="CX25" s="71" t="s">
        <v>96</v>
      </c>
      <c r="CY25" s="71" t="s">
        <v>96</v>
      </c>
      <c r="CZ25" s="71"/>
      <c r="DA25" s="71" t="s">
        <v>96</v>
      </c>
      <c r="DB25" s="71" t="s">
        <v>96</v>
      </c>
      <c r="DC25" s="71" t="s">
        <v>96</v>
      </c>
      <c r="DD25" s="71" t="s">
        <v>96</v>
      </c>
      <c r="DE25" s="71" t="s">
        <v>96</v>
      </c>
      <c r="DF25" s="71" t="s">
        <v>96</v>
      </c>
      <c r="DG25" s="71" t="s">
        <v>96</v>
      </c>
      <c r="DH25" s="160"/>
      <c r="DI25" s="71" t="s">
        <v>96</v>
      </c>
      <c r="DJ25" s="71" t="s">
        <v>96</v>
      </c>
      <c r="DK25" s="71" t="s">
        <v>96</v>
      </c>
      <c r="DL25" s="382"/>
      <c r="DM25" s="71" t="s">
        <v>96</v>
      </c>
      <c r="DN25" s="71" t="s">
        <v>96</v>
      </c>
      <c r="DO25" s="160"/>
      <c r="DP25" s="71" t="s">
        <v>96</v>
      </c>
      <c r="DQ25" s="71" t="s">
        <v>96</v>
      </c>
      <c r="DR25" s="71" t="s">
        <v>96</v>
      </c>
      <c r="DS25" s="71" t="s">
        <v>96</v>
      </c>
      <c r="DT25" s="382"/>
      <c r="DU25" s="71"/>
      <c r="DV25" s="71" t="s">
        <v>96</v>
      </c>
      <c r="DW25" s="71" t="s">
        <v>96</v>
      </c>
      <c r="DX25" s="71" t="s">
        <v>96</v>
      </c>
      <c r="DY25" s="71" t="s">
        <v>96</v>
      </c>
      <c r="DZ25" s="71" t="s">
        <v>96</v>
      </c>
      <c r="EA25" s="71" t="s">
        <v>96</v>
      </c>
      <c r="EB25" s="71" t="s">
        <v>96</v>
      </c>
      <c r="EC25" s="71" t="s">
        <v>96</v>
      </c>
      <c r="ED25" s="71" t="s">
        <v>96</v>
      </c>
      <c r="EE25" s="71" t="s">
        <v>96</v>
      </c>
      <c r="EF25" s="71" t="s">
        <v>96</v>
      </c>
      <c r="EG25" s="71" t="s">
        <v>96</v>
      </c>
      <c r="EH25" s="71" t="s">
        <v>96</v>
      </c>
      <c r="EI25" s="71"/>
      <c r="EJ25" s="71" t="s">
        <v>96</v>
      </c>
      <c r="EK25" s="71" t="s">
        <v>96</v>
      </c>
      <c r="EL25" s="160"/>
      <c r="EM25" s="71" t="s">
        <v>96</v>
      </c>
      <c r="EN25" s="71" t="s">
        <v>96</v>
      </c>
      <c r="EO25" s="71" t="s">
        <v>96</v>
      </c>
      <c r="EP25" s="71" t="s">
        <v>96</v>
      </c>
      <c r="EQ25" s="71" t="s">
        <v>96</v>
      </c>
      <c r="ER25" s="71" t="s">
        <v>96</v>
      </c>
      <c r="ES25" s="71" t="s">
        <v>96</v>
      </c>
      <c r="ET25" s="71" t="s">
        <v>96</v>
      </c>
      <c r="EU25" s="71" t="s">
        <v>96</v>
      </c>
      <c r="EV25" s="71" t="s">
        <v>96</v>
      </c>
      <c r="EW25" s="71" t="s">
        <v>96</v>
      </c>
      <c r="EX25" s="71" t="s">
        <v>96</v>
      </c>
      <c r="EY25" s="71" t="s">
        <v>96</v>
      </c>
      <c r="EZ25" s="71" t="s">
        <v>96</v>
      </c>
      <c r="FA25" s="71" t="s">
        <v>96</v>
      </c>
      <c r="FB25" s="71" t="s">
        <v>96</v>
      </c>
      <c r="FC25" s="71" t="s">
        <v>96</v>
      </c>
      <c r="FD25" s="71" t="s">
        <v>96</v>
      </c>
      <c r="FE25" s="71" t="s">
        <v>96</v>
      </c>
      <c r="FF25" s="71" t="s">
        <v>96</v>
      </c>
      <c r="FG25" s="71" t="s">
        <v>96</v>
      </c>
      <c r="FH25" s="71" t="s">
        <v>96</v>
      </c>
      <c r="FI25" s="71" t="s">
        <v>96</v>
      </c>
      <c r="FJ25" s="71" t="s">
        <v>96</v>
      </c>
      <c r="FK25" s="71" t="s">
        <v>96</v>
      </c>
      <c r="FL25" s="198"/>
      <c r="FM25" s="71" t="s">
        <v>96</v>
      </c>
      <c r="FN25" s="71" t="s">
        <v>96</v>
      </c>
      <c r="FO25" s="71" t="s">
        <v>96</v>
      </c>
      <c r="FP25" s="71" t="s">
        <v>96</v>
      </c>
      <c r="FQ25" s="71" t="s">
        <v>96</v>
      </c>
      <c r="FR25" s="199"/>
      <c r="FS25" s="198"/>
      <c r="FT25" s="71" t="s">
        <v>96</v>
      </c>
      <c r="FU25" s="71" t="s">
        <v>96</v>
      </c>
      <c r="FV25" s="71" t="s">
        <v>96</v>
      </c>
      <c r="FW25" s="71" t="s">
        <v>96</v>
      </c>
      <c r="FX25" s="71" t="s">
        <v>96</v>
      </c>
      <c r="FY25" s="199"/>
      <c r="FZ25" s="198"/>
      <c r="GA25" s="71" t="s">
        <v>96</v>
      </c>
      <c r="GB25" s="71" t="s">
        <v>96</v>
      </c>
      <c r="GC25" s="71" t="s">
        <v>96</v>
      </c>
      <c r="GD25" s="71" t="s">
        <v>96</v>
      </c>
      <c r="GE25" s="71" t="s">
        <v>96</v>
      </c>
      <c r="GF25" s="199"/>
      <c r="GG25" s="198"/>
      <c r="GH25" s="71" t="s">
        <v>96</v>
      </c>
      <c r="GI25" s="71" t="s">
        <v>96</v>
      </c>
      <c r="GJ25" s="71"/>
      <c r="GK25" s="71"/>
      <c r="GM25" s="71"/>
    </row>
    <row r="26" spans="1:195" s="13" customFormat="1">
      <c r="A26" s="390"/>
      <c r="B26" s="392"/>
      <c r="C26" s="156" t="s">
        <v>65</v>
      </c>
      <c r="D26" s="157"/>
      <c r="E26" s="71" t="s">
        <v>96</v>
      </c>
      <c r="F26" s="71" t="s">
        <v>96</v>
      </c>
      <c r="G26" s="71" t="s">
        <v>96</v>
      </c>
      <c r="H26" s="71" t="s">
        <v>96</v>
      </c>
      <c r="I26" s="71" t="s">
        <v>96</v>
      </c>
      <c r="J26" s="71" t="s">
        <v>96</v>
      </c>
      <c r="K26" s="71" t="s">
        <v>96</v>
      </c>
      <c r="L26" s="71" t="s">
        <v>96</v>
      </c>
      <c r="M26" s="71"/>
      <c r="N26" s="71" t="s">
        <v>96</v>
      </c>
      <c r="O26" s="71" t="s">
        <v>96</v>
      </c>
      <c r="P26" s="71" t="s">
        <v>96</v>
      </c>
      <c r="Q26" s="71" t="s">
        <v>96</v>
      </c>
      <c r="R26" s="71" t="s">
        <v>96</v>
      </c>
      <c r="S26" s="71" t="s">
        <v>96</v>
      </c>
      <c r="T26" s="71" t="s">
        <v>96</v>
      </c>
      <c r="U26" s="71" t="s">
        <v>96</v>
      </c>
      <c r="V26" s="71" t="s">
        <v>96</v>
      </c>
      <c r="W26" s="71" t="s">
        <v>96</v>
      </c>
      <c r="X26" s="71" t="s">
        <v>96</v>
      </c>
      <c r="Y26" s="71" t="s">
        <v>96</v>
      </c>
      <c r="Z26" s="71" t="s">
        <v>96</v>
      </c>
      <c r="AA26" s="71"/>
      <c r="AB26" s="160"/>
      <c r="AC26" s="71" t="s">
        <v>96</v>
      </c>
      <c r="AD26" s="71" t="s">
        <v>96</v>
      </c>
      <c r="AE26" s="71" t="s">
        <v>96</v>
      </c>
      <c r="AF26" s="71" t="s">
        <v>96</v>
      </c>
      <c r="AG26" s="71" t="s">
        <v>96</v>
      </c>
      <c r="AH26" s="160"/>
      <c r="AI26" s="160"/>
      <c r="AJ26" s="71" t="s">
        <v>96</v>
      </c>
      <c r="AK26" s="71" t="s">
        <v>96</v>
      </c>
      <c r="AL26" s="71" t="s">
        <v>96</v>
      </c>
      <c r="AM26" s="71" t="s">
        <v>96</v>
      </c>
      <c r="AN26" s="71" t="s">
        <v>96</v>
      </c>
      <c r="AO26" s="160"/>
      <c r="AP26" s="160"/>
      <c r="AQ26" s="71" t="s">
        <v>96</v>
      </c>
      <c r="AR26" s="71" t="s">
        <v>96</v>
      </c>
      <c r="AS26" s="71" t="s">
        <v>96</v>
      </c>
      <c r="AT26" s="71" t="s">
        <v>96</v>
      </c>
      <c r="AU26" s="71" t="s">
        <v>96</v>
      </c>
      <c r="AV26" s="160"/>
      <c r="AW26" s="160"/>
      <c r="AX26" s="71" t="s">
        <v>96</v>
      </c>
      <c r="AY26" s="71" t="s">
        <v>96</v>
      </c>
      <c r="AZ26" s="71" t="s">
        <v>96</v>
      </c>
      <c r="BA26" s="71" t="s">
        <v>96</v>
      </c>
      <c r="BB26" s="71" t="s">
        <v>96</v>
      </c>
      <c r="BC26" s="71" t="s">
        <v>96</v>
      </c>
      <c r="BD26" s="71" t="s">
        <v>96</v>
      </c>
      <c r="BE26" s="71" t="s">
        <v>96</v>
      </c>
      <c r="BF26" s="71" t="s">
        <v>96</v>
      </c>
      <c r="BG26" s="71" t="s">
        <v>96</v>
      </c>
      <c r="BH26" s="71" t="s">
        <v>96</v>
      </c>
      <c r="BI26" s="71" t="s">
        <v>96</v>
      </c>
      <c r="BJ26" s="71"/>
      <c r="BK26" s="71" t="s">
        <v>96</v>
      </c>
      <c r="BL26" s="71" t="s">
        <v>96</v>
      </c>
      <c r="BM26" s="71" t="s">
        <v>96</v>
      </c>
      <c r="BN26" s="71" t="s">
        <v>96</v>
      </c>
      <c r="BO26" s="71" t="s">
        <v>96</v>
      </c>
      <c r="BP26" s="71" t="s">
        <v>96</v>
      </c>
      <c r="BQ26" s="71"/>
      <c r="BR26" s="71" t="s">
        <v>96</v>
      </c>
      <c r="BS26" s="71" t="s">
        <v>96</v>
      </c>
      <c r="BT26" s="71" t="s">
        <v>96</v>
      </c>
      <c r="BU26" s="71" t="s">
        <v>96</v>
      </c>
      <c r="BV26" s="71" t="s">
        <v>96</v>
      </c>
      <c r="BW26" s="71" t="s">
        <v>96</v>
      </c>
      <c r="BX26" s="71"/>
      <c r="BY26" s="71" t="s">
        <v>96</v>
      </c>
      <c r="BZ26" s="71" t="s">
        <v>96</v>
      </c>
      <c r="CA26" s="71" t="s">
        <v>96</v>
      </c>
      <c r="CB26" s="71" t="s">
        <v>96</v>
      </c>
      <c r="CC26" s="71" t="s">
        <v>96</v>
      </c>
      <c r="CD26" s="71" t="s">
        <v>96</v>
      </c>
      <c r="CE26" s="71"/>
      <c r="CF26" s="71" t="s">
        <v>96</v>
      </c>
      <c r="CG26" s="71" t="s">
        <v>96</v>
      </c>
      <c r="CH26" s="71" t="s">
        <v>96</v>
      </c>
      <c r="CI26" s="71" t="s">
        <v>96</v>
      </c>
      <c r="CJ26" s="71" t="s">
        <v>96</v>
      </c>
      <c r="CK26" s="71" t="s">
        <v>96</v>
      </c>
      <c r="CL26" s="71" t="s">
        <v>96</v>
      </c>
      <c r="CM26" s="71" t="s">
        <v>96</v>
      </c>
      <c r="CN26" s="71" t="s">
        <v>96</v>
      </c>
      <c r="CO26" s="71" t="s">
        <v>96</v>
      </c>
      <c r="CP26" s="71" t="s">
        <v>96</v>
      </c>
      <c r="CQ26" s="71" t="s">
        <v>96</v>
      </c>
      <c r="CR26" s="71" t="s">
        <v>96</v>
      </c>
      <c r="CS26" s="71"/>
      <c r="CT26" s="71" t="s">
        <v>96</v>
      </c>
      <c r="CU26" s="71" t="s">
        <v>96</v>
      </c>
      <c r="CV26" s="71" t="s">
        <v>96</v>
      </c>
      <c r="CW26" s="71" t="s">
        <v>96</v>
      </c>
      <c r="CX26" s="71" t="s">
        <v>96</v>
      </c>
      <c r="CY26" s="71" t="s">
        <v>96</v>
      </c>
      <c r="CZ26" s="71"/>
      <c r="DA26" s="71" t="s">
        <v>96</v>
      </c>
      <c r="DB26" s="71" t="s">
        <v>96</v>
      </c>
      <c r="DC26" s="71" t="s">
        <v>96</v>
      </c>
      <c r="DD26" s="71" t="s">
        <v>96</v>
      </c>
      <c r="DE26" s="71" t="s">
        <v>96</v>
      </c>
      <c r="DF26" s="71" t="s">
        <v>96</v>
      </c>
      <c r="DG26" s="71" t="s">
        <v>96</v>
      </c>
      <c r="DH26" s="160"/>
      <c r="DI26" s="71" t="s">
        <v>96</v>
      </c>
      <c r="DJ26" s="71" t="s">
        <v>96</v>
      </c>
      <c r="DK26" s="71" t="s">
        <v>96</v>
      </c>
      <c r="DL26" s="382"/>
      <c r="DM26" s="71" t="s">
        <v>96</v>
      </c>
      <c r="DN26" s="71" t="s">
        <v>96</v>
      </c>
      <c r="DO26" s="160"/>
      <c r="DP26" s="71" t="s">
        <v>96</v>
      </c>
      <c r="DQ26" s="71" t="s">
        <v>96</v>
      </c>
      <c r="DR26" s="71" t="s">
        <v>96</v>
      </c>
      <c r="DS26" s="71" t="s">
        <v>96</v>
      </c>
      <c r="DT26" s="382"/>
      <c r="DU26" s="71"/>
      <c r="DV26" s="71" t="s">
        <v>96</v>
      </c>
      <c r="DW26" s="71" t="s">
        <v>96</v>
      </c>
      <c r="DX26" s="71" t="s">
        <v>96</v>
      </c>
      <c r="DY26" s="71" t="s">
        <v>96</v>
      </c>
      <c r="DZ26" s="71" t="s">
        <v>96</v>
      </c>
      <c r="EA26" s="71" t="s">
        <v>96</v>
      </c>
      <c r="EB26" s="71" t="s">
        <v>96</v>
      </c>
      <c r="EC26" s="71" t="s">
        <v>96</v>
      </c>
      <c r="ED26" s="71" t="s">
        <v>96</v>
      </c>
      <c r="EE26" s="71" t="s">
        <v>96</v>
      </c>
      <c r="EF26" s="71" t="s">
        <v>96</v>
      </c>
      <c r="EG26" s="71" t="s">
        <v>96</v>
      </c>
      <c r="EH26" s="71" t="s">
        <v>96</v>
      </c>
      <c r="EI26" s="71"/>
      <c r="EJ26" s="71" t="s">
        <v>96</v>
      </c>
      <c r="EK26" s="71" t="s">
        <v>96</v>
      </c>
      <c r="EL26" s="160"/>
      <c r="EM26" s="71" t="s">
        <v>96</v>
      </c>
      <c r="EN26" s="71" t="s">
        <v>96</v>
      </c>
      <c r="EO26" s="71" t="s">
        <v>96</v>
      </c>
      <c r="EP26" s="71" t="s">
        <v>96</v>
      </c>
      <c r="EQ26" s="71" t="s">
        <v>96</v>
      </c>
      <c r="ER26" s="71" t="s">
        <v>96</v>
      </c>
      <c r="ES26" s="71" t="s">
        <v>96</v>
      </c>
      <c r="ET26" s="71" t="s">
        <v>96</v>
      </c>
      <c r="EU26" s="71" t="s">
        <v>96</v>
      </c>
      <c r="EV26" s="71" t="s">
        <v>96</v>
      </c>
      <c r="EW26" s="71" t="s">
        <v>96</v>
      </c>
      <c r="EX26" s="71" t="s">
        <v>96</v>
      </c>
      <c r="EY26" s="71" t="s">
        <v>96</v>
      </c>
      <c r="EZ26" s="71" t="s">
        <v>96</v>
      </c>
      <c r="FA26" s="71" t="s">
        <v>96</v>
      </c>
      <c r="FB26" s="71" t="s">
        <v>96</v>
      </c>
      <c r="FC26" s="71" t="s">
        <v>96</v>
      </c>
      <c r="FD26" s="71" t="s">
        <v>96</v>
      </c>
      <c r="FE26" s="71" t="s">
        <v>96</v>
      </c>
      <c r="FF26" s="71" t="s">
        <v>96</v>
      </c>
      <c r="FG26" s="71" t="s">
        <v>96</v>
      </c>
      <c r="FH26" s="71" t="s">
        <v>96</v>
      </c>
      <c r="FI26" s="71" t="s">
        <v>96</v>
      </c>
      <c r="FJ26" s="71" t="s">
        <v>96</v>
      </c>
      <c r="FK26" s="71" t="s">
        <v>96</v>
      </c>
      <c r="FL26" s="198"/>
      <c r="FM26" s="71" t="s">
        <v>96</v>
      </c>
      <c r="FN26" s="71" t="s">
        <v>96</v>
      </c>
      <c r="FO26" s="71" t="s">
        <v>96</v>
      </c>
      <c r="FP26" s="71" t="s">
        <v>96</v>
      </c>
      <c r="FQ26" s="71" t="s">
        <v>96</v>
      </c>
      <c r="FR26" s="199"/>
      <c r="FS26" s="198"/>
      <c r="FT26" s="71" t="s">
        <v>96</v>
      </c>
      <c r="FU26" s="71" t="s">
        <v>96</v>
      </c>
      <c r="FV26" s="71" t="s">
        <v>96</v>
      </c>
      <c r="FW26" s="71" t="s">
        <v>96</v>
      </c>
      <c r="FX26" s="71" t="s">
        <v>96</v>
      </c>
      <c r="FY26" s="199"/>
      <c r="FZ26" s="198"/>
      <c r="GA26" s="71" t="s">
        <v>96</v>
      </c>
      <c r="GB26" s="71" t="s">
        <v>96</v>
      </c>
      <c r="GC26" s="71" t="s">
        <v>96</v>
      </c>
      <c r="GD26" s="71" t="s">
        <v>96</v>
      </c>
      <c r="GE26" s="71" t="s">
        <v>96</v>
      </c>
      <c r="GF26" s="199"/>
      <c r="GG26" s="198"/>
      <c r="GH26" s="71" t="s">
        <v>96</v>
      </c>
      <c r="GI26" s="71" t="s">
        <v>96</v>
      </c>
      <c r="GJ26" s="71"/>
      <c r="GK26" s="71"/>
      <c r="GM26" s="71"/>
    </row>
    <row r="27" spans="1:195" s="13" customFormat="1" ht="13.5" thickBot="1">
      <c r="A27" s="390"/>
      <c r="B27" s="393"/>
      <c r="C27" s="121" t="s">
        <v>21</v>
      </c>
      <c r="D27" s="157"/>
      <c r="E27" s="71" t="s">
        <v>96</v>
      </c>
      <c r="F27" s="71" t="s">
        <v>96</v>
      </c>
      <c r="G27" s="71" t="s">
        <v>96</v>
      </c>
      <c r="H27" s="71" t="s">
        <v>96</v>
      </c>
      <c r="I27" s="71" t="s">
        <v>96</v>
      </c>
      <c r="J27" s="71" t="s">
        <v>96</v>
      </c>
      <c r="K27" s="71" t="s">
        <v>96</v>
      </c>
      <c r="L27" s="71" t="s">
        <v>96</v>
      </c>
      <c r="M27" s="71"/>
      <c r="N27" s="71" t="s">
        <v>96</v>
      </c>
      <c r="O27" s="71" t="s">
        <v>96</v>
      </c>
      <c r="P27" s="71" t="s">
        <v>96</v>
      </c>
      <c r="Q27" s="71" t="s">
        <v>96</v>
      </c>
      <c r="R27" s="71" t="s">
        <v>96</v>
      </c>
      <c r="S27" s="71" t="s">
        <v>96</v>
      </c>
      <c r="T27" s="71" t="s">
        <v>96</v>
      </c>
      <c r="U27" s="71" t="s">
        <v>96</v>
      </c>
      <c r="V27" s="71" t="s">
        <v>96</v>
      </c>
      <c r="W27" s="71" t="s">
        <v>96</v>
      </c>
      <c r="X27" s="71" t="s">
        <v>96</v>
      </c>
      <c r="Y27" s="71" t="s">
        <v>96</v>
      </c>
      <c r="Z27" s="71" t="s">
        <v>96</v>
      </c>
      <c r="AA27" s="71"/>
      <c r="AB27" s="160"/>
      <c r="AC27" s="71" t="s">
        <v>96</v>
      </c>
      <c r="AD27" s="71" t="s">
        <v>96</v>
      </c>
      <c r="AE27" s="71" t="s">
        <v>96</v>
      </c>
      <c r="AF27" s="71" t="s">
        <v>96</v>
      </c>
      <c r="AG27" s="71" t="s">
        <v>96</v>
      </c>
      <c r="AH27" s="160"/>
      <c r="AI27" s="160"/>
      <c r="AJ27" s="71" t="s">
        <v>96</v>
      </c>
      <c r="AK27" s="71" t="s">
        <v>96</v>
      </c>
      <c r="AL27" s="71" t="s">
        <v>96</v>
      </c>
      <c r="AM27" s="71" t="s">
        <v>96</v>
      </c>
      <c r="AN27" s="71" t="s">
        <v>96</v>
      </c>
      <c r="AO27" s="160"/>
      <c r="AP27" s="160"/>
      <c r="AQ27" s="71" t="s">
        <v>96</v>
      </c>
      <c r="AR27" s="71" t="s">
        <v>96</v>
      </c>
      <c r="AS27" s="71" t="s">
        <v>96</v>
      </c>
      <c r="AT27" s="71" t="s">
        <v>96</v>
      </c>
      <c r="AU27" s="71" t="s">
        <v>96</v>
      </c>
      <c r="AV27" s="160"/>
      <c r="AW27" s="160"/>
      <c r="AX27" s="71" t="s">
        <v>96</v>
      </c>
      <c r="AY27" s="71" t="s">
        <v>96</v>
      </c>
      <c r="AZ27" s="71" t="s">
        <v>96</v>
      </c>
      <c r="BA27" s="71" t="s">
        <v>96</v>
      </c>
      <c r="BB27" s="71" t="s">
        <v>96</v>
      </c>
      <c r="BC27" s="71" t="s">
        <v>96</v>
      </c>
      <c r="BD27" s="71" t="s">
        <v>96</v>
      </c>
      <c r="BE27" s="71" t="s">
        <v>96</v>
      </c>
      <c r="BF27" s="71" t="s">
        <v>96</v>
      </c>
      <c r="BG27" s="71" t="s">
        <v>96</v>
      </c>
      <c r="BH27" s="71" t="s">
        <v>96</v>
      </c>
      <c r="BI27" s="71" t="s">
        <v>96</v>
      </c>
      <c r="BJ27" s="71"/>
      <c r="BK27" s="71" t="s">
        <v>96</v>
      </c>
      <c r="BL27" s="71" t="s">
        <v>96</v>
      </c>
      <c r="BM27" s="71" t="s">
        <v>96</v>
      </c>
      <c r="BN27" s="71" t="s">
        <v>96</v>
      </c>
      <c r="BO27" s="71" t="s">
        <v>96</v>
      </c>
      <c r="BP27" s="71" t="s">
        <v>96</v>
      </c>
      <c r="BQ27" s="71"/>
      <c r="BR27" s="71" t="s">
        <v>96</v>
      </c>
      <c r="BS27" s="71" t="s">
        <v>96</v>
      </c>
      <c r="BT27" s="71" t="s">
        <v>96</v>
      </c>
      <c r="BU27" s="71" t="s">
        <v>96</v>
      </c>
      <c r="BV27" s="71" t="s">
        <v>96</v>
      </c>
      <c r="BW27" s="71" t="s">
        <v>96</v>
      </c>
      <c r="BX27" s="71"/>
      <c r="BY27" s="71" t="s">
        <v>96</v>
      </c>
      <c r="BZ27" s="71" t="s">
        <v>96</v>
      </c>
      <c r="CA27" s="71" t="s">
        <v>96</v>
      </c>
      <c r="CB27" s="71" t="s">
        <v>96</v>
      </c>
      <c r="CC27" s="71" t="s">
        <v>96</v>
      </c>
      <c r="CD27" s="71" t="s">
        <v>96</v>
      </c>
      <c r="CE27" s="71"/>
      <c r="CF27" s="71" t="s">
        <v>96</v>
      </c>
      <c r="CG27" s="71" t="s">
        <v>96</v>
      </c>
      <c r="CH27" s="71" t="s">
        <v>96</v>
      </c>
      <c r="CI27" s="71" t="s">
        <v>96</v>
      </c>
      <c r="CJ27" s="71" t="s">
        <v>96</v>
      </c>
      <c r="CK27" s="71" t="s">
        <v>96</v>
      </c>
      <c r="CL27" s="71" t="s">
        <v>96</v>
      </c>
      <c r="CM27" s="71" t="s">
        <v>96</v>
      </c>
      <c r="CN27" s="71" t="s">
        <v>96</v>
      </c>
      <c r="CO27" s="71" t="s">
        <v>96</v>
      </c>
      <c r="CP27" s="71" t="s">
        <v>96</v>
      </c>
      <c r="CQ27" s="71" t="s">
        <v>96</v>
      </c>
      <c r="CR27" s="71" t="s">
        <v>96</v>
      </c>
      <c r="CS27" s="71"/>
      <c r="CT27" s="71" t="s">
        <v>96</v>
      </c>
      <c r="CU27" s="71" t="s">
        <v>96</v>
      </c>
      <c r="CV27" s="71" t="s">
        <v>96</v>
      </c>
      <c r="CW27" s="71" t="s">
        <v>96</v>
      </c>
      <c r="CX27" s="71" t="s">
        <v>96</v>
      </c>
      <c r="CY27" s="71" t="s">
        <v>96</v>
      </c>
      <c r="CZ27" s="71"/>
      <c r="DA27" s="71" t="s">
        <v>96</v>
      </c>
      <c r="DB27" s="71" t="s">
        <v>96</v>
      </c>
      <c r="DC27" s="71" t="s">
        <v>96</v>
      </c>
      <c r="DD27" s="71" t="s">
        <v>96</v>
      </c>
      <c r="DE27" s="71" t="s">
        <v>96</v>
      </c>
      <c r="DF27" s="71" t="s">
        <v>96</v>
      </c>
      <c r="DG27" s="71" t="s">
        <v>96</v>
      </c>
      <c r="DH27" s="160"/>
      <c r="DI27" s="71" t="s">
        <v>96</v>
      </c>
      <c r="DJ27" s="71" t="s">
        <v>96</v>
      </c>
      <c r="DK27" s="71" t="s">
        <v>96</v>
      </c>
      <c r="DL27" s="382"/>
      <c r="DM27" s="71" t="s">
        <v>96</v>
      </c>
      <c r="DN27" s="71" t="s">
        <v>96</v>
      </c>
      <c r="DO27" s="160"/>
      <c r="DP27" s="71" t="s">
        <v>96</v>
      </c>
      <c r="DQ27" s="71" t="s">
        <v>96</v>
      </c>
      <c r="DR27" s="71" t="s">
        <v>96</v>
      </c>
      <c r="DS27" s="71" t="s">
        <v>96</v>
      </c>
      <c r="DT27" s="382"/>
      <c r="DU27" s="71"/>
      <c r="DV27" s="71" t="s">
        <v>96</v>
      </c>
      <c r="DW27" s="71" t="s">
        <v>96</v>
      </c>
      <c r="DX27" s="71" t="s">
        <v>96</v>
      </c>
      <c r="DY27" s="71" t="s">
        <v>96</v>
      </c>
      <c r="DZ27" s="71" t="s">
        <v>96</v>
      </c>
      <c r="EA27" s="71" t="s">
        <v>96</v>
      </c>
      <c r="EB27" s="71" t="s">
        <v>96</v>
      </c>
      <c r="EC27" s="71" t="s">
        <v>96</v>
      </c>
      <c r="ED27" s="71" t="s">
        <v>96</v>
      </c>
      <c r="EE27" s="71" t="s">
        <v>96</v>
      </c>
      <c r="EF27" s="71" t="s">
        <v>96</v>
      </c>
      <c r="EG27" s="71" t="s">
        <v>96</v>
      </c>
      <c r="EH27" s="71" t="s">
        <v>96</v>
      </c>
      <c r="EI27" s="71"/>
      <c r="EJ27" s="71" t="s">
        <v>96</v>
      </c>
      <c r="EK27" s="71" t="s">
        <v>96</v>
      </c>
      <c r="EL27" s="160"/>
      <c r="EM27" s="71" t="s">
        <v>96</v>
      </c>
      <c r="EN27" s="71" t="s">
        <v>96</v>
      </c>
      <c r="EO27" s="71" t="s">
        <v>96</v>
      </c>
      <c r="EP27" s="71" t="s">
        <v>96</v>
      </c>
      <c r="EQ27" s="71" t="s">
        <v>96</v>
      </c>
      <c r="ER27" s="71" t="s">
        <v>96</v>
      </c>
      <c r="ES27" s="71" t="s">
        <v>96</v>
      </c>
      <c r="ET27" s="71" t="s">
        <v>96</v>
      </c>
      <c r="EU27" s="71" t="s">
        <v>96</v>
      </c>
      <c r="EV27" s="71" t="s">
        <v>96</v>
      </c>
      <c r="EW27" s="71" t="s">
        <v>96</v>
      </c>
      <c r="EX27" s="71" t="s">
        <v>96</v>
      </c>
      <c r="EY27" s="71" t="s">
        <v>96</v>
      </c>
      <c r="EZ27" s="71" t="s">
        <v>96</v>
      </c>
      <c r="FA27" s="71" t="s">
        <v>96</v>
      </c>
      <c r="FB27" s="71" t="s">
        <v>96</v>
      </c>
      <c r="FC27" s="71" t="s">
        <v>96</v>
      </c>
      <c r="FD27" s="71" t="s">
        <v>96</v>
      </c>
      <c r="FE27" s="71" t="s">
        <v>96</v>
      </c>
      <c r="FF27" s="71" t="s">
        <v>96</v>
      </c>
      <c r="FG27" s="71" t="s">
        <v>96</v>
      </c>
      <c r="FH27" s="71" t="s">
        <v>96</v>
      </c>
      <c r="FI27" s="71" t="s">
        <v>96</v>
      </c>
      <c r="FJ27" s="71" t="s">
        <v>96</v>
      </c>
      <c r="FK27" s="71" t="s">
        <v>96</v>
      </c>
      <c r="FL27" s="198"/>
      <c r="FM27" s="71" t="s">
        <v>96</v>
      </c>
      <c r="FN27" s="71" t="s">
        <v>96</v>
      </c>
      <c r="FO27" s="71" t="s">
        <v>96</v>
      </c>
      <c r="FP27" s="71" t="s">
        <v>96</v>
      </c>
      <c r="FQ27" s="71" t="s">
        <v>96</v>
      </c>
      <c r="FR27" s="199"/>
      <c r="FS27" s="198"/>
      <c r="FT27" s="71" t="s">
        <v>96</v>
      </c>
      <c r="FU27" s="71" t="s">
        <v>96</v>
      </c>
      <c r="FV27" s="71" t="s">
        <v>96</v>
      </c>
      <c r="FW27" s="71" t="s">
        <v>96</v>
      </c>
      <c r="FX27" s="71" t="s">
        <v>96</v>
      </c>
      <c r="FY27" s="199"/>
      <c r="FZ27" s="198"/>
      <c r="GA27" s="71" t="s">
        <v>96</v>
      </c>
      <c r="GB27" s="71" t="s">
        <v>96</v>
      </c>
      <c r="GC27" s="71" t="s">
        <v>96</v>
      </c>
      <c r="GD27" s="71" t="s">
        <v>96</v>
      </c>
      <c r="GE27" s="71" t="s">
        <v>96</v>
      </c>
      <c r="GF27" s="199"/>
      <c r="GG27" s="198"/>
      <c r="GH27" s="71" t="s">
        <v>96</v>
      </c>
      <c r="GI27" s="71" t="s">
        <v>96</v>
      </c>
      <c r="GJ27" s="71"/>
      <c r="GK27" s="71"/>
      <c r="GM27" s="71"/>
    </row>
    <row r="28" spans="1:195" s="97" customFormat="1" ht="15.75" customHeight="1" thickBot="1">
      <c r="A28" s="390"/>
      <c r="B28" s="394" t="s">
        <v>66</v>
      </c>
      <c r="C28" s="99" t="s">
        <v>66</v>
      </c>
      <c r="D28" s="157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60"/>
      <c r="AC28" s="106"/>
      <c r="AD28" s="106"/>
      <c r="AE28" s="106"/>
      <c r="AF28" s="106"/>
      <c r="AG28" s="106"/>
      <c r="AH28" s="160"/>
      <c r="AI28" s="160"/>
      <c r="AJ28" s="106"/>
      <c r="AK28" s="106"/>
      <c r="AL28" s="106"/>
      <c r="AM28" s="106"/>
      <c r="AN28" s="106"/>
      <c r="AO28" s="160"/>
      <c r="AP28" s="160"/>
      <c r="AQ28" s="106"/>
      <c r="AR28" s="106"/>
      <c r="AS28" s="106"/>
      <c r="AT28" s="106"/>
      <c r="AU28" s="106"/>
      <c r="AV28" s="160"/>
      <c r="AW28" s="160"/>
      <c r="AX28" s="106"/>
      <c r="AY28" s="106"/>
      <c r="AZ28" s="106"/>
      <c r="BA28" s="106"/>
      <c r="BB28" s="106"/>
      <c r="BC28" s="106"/>
      <c r="BD28" s="106"/>
      <c r="BE28" s="106"/>
      <c r="BF28" s="106"/>
      <c r="BG28" s="106"/>
      <c r="BH28" s="106"/>
      <c r="BI28" s="106"/>
      <c r="BJ28" s="106"/>
      <c r="BK28" s="106"/>
      <c r="BL28" s="106"/>
      <c r="BM28" s="106"/>
      <c r="BN28" s="106"/>
      <c r="BO28" s="106"/>
      <c r="BP28" s="106"/>
      <c r="BQ28" s="106"/>
      <c r="BR28" s="106"/>
      <c r="BS28" s="106"/>
      <c r="BT28" s="106"/>
      <c r="BU28" s="106"/>
      <c r="BV28" s="106"/>
      <c r="BW28" s="106"/>
      <c r="BX28" s="106"/>
      <c r="BY28" s="106"/>
      <c r="BZ28" s="106"/>
      <c r="CA28" s="106"/>
      <c r="CB28" s="106"/>
      <c r="CC28" s="106"/>
      <c r="CD28" s="106"/>
      <c r="CE28" s="106"/>
      <c r="CF28" s="106"/>
      <c r="CG28" s="106"/>
      <c r="CH28" s="106"/>
      <c r="CI28" s="106"/>
      <c r="CJ28" s="106"/>
      <c r="CK28" s="106"/>
      <c r="CL28" s="106"/>
      <c r="CM28" s="106"/>
      <c r="CN28" s="106"/>
      <c r="CO28" s="106"/>
      <c r="CP28" s="106"/>
      <c r="CQ28" s="106"/>
      <c r="CR28" s="106"/>
      <c r="CS28" s="106"/>
      <c r="CT28" s="106"/>
      <c r="CU28" s="106"/>
      <c r="CV28" s="106"/>
      <c r="CW28" s="106"/>
      <c r="CX28" s="106"/>
      <c r="CY28" s="106"/>
      <c r="CZ28" s="106"/>
      <c r="DA28" s="106"/>
      <c r="DB28" s="106"/>
      <c r="DC28" s="106"/>
      <c r="DD28" s="106"/>
      <c r="DE28" s="106"/>
      <c r="DF28" s="106"/>
      <c r="DG28" s="106"/>
      <c r="DH28" s="160"/>
      <c r="DI28" s="106"/>
      <c r="DJ28" s="106"/>
      <c r="DK28" s="106"/>
      <c r="DL28" s="382"/>
      <c r="DM28" s="106"/>
      <c r="DN28" s="106"/>
      <c r="DO28" s="160"/>
      <c r="DP28" s="106"/>
      <c r="DQ28" s="106"/>
      <c r="DR28" s="106"/>
      <c r="DS28" s="106"/>
      <c r="DT28" s="382"/>
      <c r="DU28" s="106"/>
      <c r="DV28" s="106"/>
      <c r="DW28" s="106"/>
      <c r="DX28" s="106"/>
      <c r="DY28" s="106"/>
      <c r="DZ28" s="106"/>
      <c r="EA28" s="106"/>
      <c r="EB28" s="106"/>
      <c r="EC28" s="106"/>
      <c r="ED28" s="106"/>
      <c r="EE28" s="106"/>
      <c r="EF28" s="106"/>
      <c r="EG28" s="106"/>
      <c r="EH28" s="106"/>
      <c r="EI28" s="106"/>
      <c r="EJ28" s="106"/>
      <c r="EK28" s="106"/>
      <c r="EL28" s="160"/>
      <c r="EM28" s="106"/>
      <c r="EN28" s="106"/>
      <c r="EO28" s="106"/>
      <c r="EP28" s="106"/>
      <c r="EQ28" s="106"/>
      <c r="ER28" s="106"/>
      <c r="ES28" s="106"/>
      <c r="ET28" s="106"/>
      <c r="EU28" s="106"/>
      <c r="EV28" s="106"/>
      <c r="EW28" s="106"/>
      <c r="EX28" s="106"/>
      <c r="EY28" s="106"/>
      <c r="EZ28" s="106"/>
      <c r="FA28" s="106"/>
      <c r="FB28" s="106"/>
      <c r="FC28" s="106"/>
      <c r="FD28" s="106"/>
      <c r="FE28" s="106"/>
      <c r="FF28" s="106"/>
      <c r="FG28" s="106"/>
      <c r="FH28" s="106"/>
      <c r="FI28" s="106"/>
      <c r="FJ28" s="106"/>
      <c r="FK28" s="106"/>
      <c r="FL28" s="198"/>
      <c r="FM28" s="106"/>
      <c r="FN28" s="106"/>
      <c r="FO28" s="106"/>
      <c r="FP28" s="106"/>
      <c r="FQ28" s="106"/>
      <c r="FR28" s="199"/>
      <c r="FS28" s="198"/>
      <c r="FT28" s="106"/>
      <c r="FU28" s="106"/>
      <c r="FV28" s="106"/>
      <c r="FW28" s="106"/>
      <c r="FX28" s="106"/>
      <c r="FY28" s="199"/>
      <c r="FZ28" s="198"/>
      <c r="GA28" s="106"/>
      <c r="GB28" s="106"/>
      <c r="GC28" s="106"/>
      <c r="GD28" s="106"/>
      <c r="GE28" s="106"/>
      <c r="GF28" s="199"/>
      <c r="GG28" s="198"/>
      <c r="GH28" s="106"/>
      <c r="GI28" s="106"/>
      <c r="GJ28" s="106"/>
      <c r="GK28" s="106"/>
      <c r="GM28" s="106"/>
    </row>
    <row r="29" spans="1:195" s="13" customFormat="1" ht="15.75" customHeight="1">
      <c r="A29" s="390"/>
      <c r="B29" s="395"/>
      <c r="C29" s="104" t="s">
        <v>43</v>
      </c>
      <c r="D29" s="157"/>
      <c r="E29" s="71" t="s">
        <v>96</v>
      </c>
      <c r="F29" s="71" t="s">
        <v>96</v>
      </c>
      <c r="G29" s="71" t="s">
        <v>96</v>
      </c>
      <c r="H29" s="71" t="s">
        <v>96</v>
      </c>
      <c r="I29" s="71" t="s">
        <v>96</v>
      </c>
      <c r="J29" s="71" t="s">
        <v>96</v>
      </c>
      <c r="K29" s="71" t="s">
        <v>96</v>
      </c>
      <c r="L29" s="71" t="s">
        <v>96</v>
      </c>
      <c r="M29" s="71"/>
      <c r="N29" s="71" t="s">
        <v>96</v>
      </c>
      <c r="O29" s="71" t="s">
        <v>96</v>
      </c>
      <c r="P29" s="71" t="s">
        <v>96</v>
      </c>
      <c r="Q29" s="71" t="s">
        <v>96</v>
      </c>
      <c r="R29" s="71" t="s">
        <v>96</v>
      </c>
      <c r="S29" s="71" t="s">
        <v>96</v>
      </c>
      <c r="T29" s="71" t="s">
        <v>96</v>
      </c>
      <c r="U29" s="71" t="s">
        <v>96</v>
      </c>
      <c r="V29" s="71" t="s">
        <v>96</v>
      </c>
      <c r="W29" s="71" t="s">
        <v>96</v>
      </c>
      <c r="X29" s="71" t="s">
        <v>96</v>
      </c>
      <c r="Y29" s="71" t="s">
        <v>96</v>
      </c>
      <c r="Z29" s="71" t="s">
        <v>96</v>
      </c>
      <c r="AA29" s="71"/>
      <c r="AB29" s="160"/>
      <c r="AC29" s="71" t="s">
        <v>97</v>
      </c>
      <c r="AD29" s="71" t="s">
        <v>96</v>
      </c>
      <c r="AE29" s="71" t="s">
        <v>96</v>
      </c>
      <c r="AF29" s="71" t="s">
        <v>96</v>
      </c>
      <c r="AG29" s="71" t="s">
        <v>96</v>
      </c>
      <c r="AH29" s="160"/>
      <c r="AI29" s="160"/>
      <c r="AJ29" s="71" t="s">
        <v>96</v>
      </c>
      <c r="AK29" s="71" t="s">
        <v>96</v>
      </c>
      <c r="AL29" s="71" t="s">
        <v>96</v>
      </c>
      <c r="AM29" s="71" t="s">
        <v>96</v>
      </c>
      <c r="AN29" s="71" t="s">
        <v>96</v>
      </c>
      <c r="AO29" s="160"/>
      <c r="AP29" s="160"/>
      <c r="AQ29" s="71" t="s">
        <v>96</v>
      </c>
      <c r="AR29" s="71" t="s">
        <v>96</v>
      </c>
      <c r="AS29" s="71" t="s">
        <v>96</v>
      </c>
      <c r="AT29" s="71" t="s">
        <v>96</v>
      </c>
      <c r="AU29" s="71" t="s">
        <v>96</v>
      </c>
      <c r="AV29" s="160"/>
      <c r="AW29" s="160"/>
      <c r="AX29" s="71" t="s">
        <v>96</v>
      </c>
      <c r="AY29" s="71" t="s">
        <v>96</v>
      </c>
      <c r="AZ29" s="71" t="s">
        <v>96</v>
      </c>
      <c r="BA29" s="71" t="s">
        <v>96</v>
      </c>
      <c r="BB29" s="71" t="s">
        <v>96</v>
      </c>
      <c r="BC29" s="71" t="s">
        <v>96</v>
      </c>
      <c r="BD29" s="71" t="s">
        <v>96</v>
      </c>
      <c r="BE29" s="71" t="s">
        <v>96</v>
      </c>
      <c r="BF29" s="71" t="s">
        <v>96</v>
      </c>
      <c r="BG29" s="71" t="s">
        <v>96</v>
      </c>
      <c r="BH29" s="71" t="s">
        <v>96</v>
      </c>
      <c r="BI29" s="71" t="s">
        <v>96</v>
      </c>
      <c r="BJ29" s="71"/>
      <c r="BK29" s="71" t="s">
        <v>96</v>
      </c>
      <c r="BL29" s="71" t="s">
        <v>96</v>
      </c>
      <c r="BM29" s="71" t="s">
        <v>96</v>
      </c>
      <c r="BN29" s="71" t="s">
        <v>96</v>
      </c>
      <c r="BO29" s="71" t="s">
        <v>96</v>
      </c>
      <c r="BP29" s="71" t="s">
        <v>96</v>
      </c>
      <c r="BQ29" s="71"/>
      <c r="BR29" s="71" t="s">
        <v>96</v>
      </c>
      <c r="BS29" s="71" t="s">
        <v>96</v>
      </c>
      <c r="BT29" s="71" t="s">
        <v>96</v>
      </c>
      <c r="BU29" s="71" t="s">
        <v>96</v>
      </c>
      <c r="BV29" s="71" t="s">
        <v>96</v>
      </c>
      <c r="BW29" s="71" t="s">
        <v>96</v>
      </c>
      <c r="BX29" s="71"/>
      <c r="BY29" s="71" t="s">
        <v>96</v>
      </c>
      <c r="BZ29" s="71" t="s">
        <v>96</v>
      </c>
      <c r="CA29" s="71" t="s">
        <v>96</v>
      </c>
      <c r="CB29" s="71" t="s">
        <v>96</v>
      </c>
      <c r="CC29" s="71" t="s">
        <v>96</v>
      </c>
      <c r="CD29" s="71" t="s">
        <v>96</v>
      </c>
      <c r="CE29" s="71"/>
      <c r="CF29" s="71" t="s">
        <v>96</v>
      </c>
      <c r="CG29" s="71" t="s">
        <v>96</v>
      </c>
      <c r="CH29" s="71" t="s">
        <v>96</v>
      </c>
      <c r="CI29" s="71" t="s">
        <v>96</v>
      </c>
      <c r="CJ29" s="71" t="s">
        <v>96</v>
      </c>
      <c r="CK29" s="71" t="s">
        <v>96</v>
      </c>
      <c r="CL29" s="71" t="s">
        <v>96</v>
      </c>
      <c r="CM29" s="71" t="s">
        <v>96</v>
      </c>
      <c r="CN29" s="71" t="s">
        <v>96</v>
      </c>
      <c r="CO29" s="71" t="s">
        <v>96</v>
      </c>
      <c r="CP29" s="71" t="s">
        <v>96</v>
      </c>
      <c r="CQ29" s="71" t="s">
        <v>96</v>
      </c>
      <c r="CR29" s="71" t="s">
        <v>96</v>
      </c>
      <c r="CS29" s="71"/>
      <c r="CT29" s="71" t="s">
        <v>96</v>
      </c>
      <c r="CU29" s="71" t="s">
        <v>96</v>
      </c>
      <c r="CV29" s="71" t="s">
        <v>96</v>
      </c>
      <c r="CW29" s="71" t="s">
        <v>96</v>
      </c>
      <c r="CX29" s="71" t="s">
        <v>96</v>
      </c>
      <c r="CY29" s="71" t="s">
        <v>96</v>
      </c>
      <c r="CZ29" s="71"/>
      <c r="DA29" s="71" t="s">
        <v>96</v>
      </c>
      <c r="DB29" s="71" t="s">
        <v>96</v>
      </c>
      <c r="DC29" s="71" t="s">
        <v>96</v>
      </c>
      <c r="DD29" s="71" t="s">
        <v>96</v>
      </c>
      <c r="DE29" s="71" t="s">
        <v>96</v>
      </c>
      <c r="DF29" s="71" t="s">
        <v>96</v>
      </c>
      <c r="DG29" s="71" t="s">
        <v>96</v>
      </c>
      <c r="DH29" s="160"/>
      <c r="DI29" s="71" t="s">
        <v>96</v>
      </c>
      <c r="DJ29" s="71" t="s">
        <v>96</v>
      </c>
      <c r="DK29" s="71" t="s">
        <v>96</v>
      </c>
      <c r="DL29" s="382"/>
      <c r="DM29" s="71" t="s">
        <v>96</v>
      </c>
      <c r="DN29" s="71" t="s">
        <v>96</v>
      </c>
      <c r="DO29" s="160"/>
      <c r="DP29" s="71" t="s">
        <v>96</v>
      </c>
      <c r="DQ29" s="71" t="s">
        <v>96</v>
      </c>
      <c r="DR29" s="71" t="s">
        <v>96</v>
      </c>
      <c r="DS29" s="71" t="s">
        <v>96</v>
      </c>
      <c r="DT29" s="382"/>
      <c r="DU29" s="71"/>
      <c r="DV29" s="71" t="s">
        <v>96</v>
      </c>
      <c r="DW29" s="71" t="s">
        <v>96</v>
      </c>
      <c r="DX29" s="71" t="s">
        <v>96</v>
      </c>
      <c r="DY29" s="71" t="s">
        <v>96</v>
      </c>
      <c r="DZ29" s="71" t="s">
        <v>96</v>
      </c>
      <c r="EA29" s="71" t="s">
        <v>96</v>
      </c>
      <c r="EB29" s="71" t="s">
        <v>96</v>
      </c>
      <c r="EC29" s="71" t="s">
        <v>96</v>
      </c>
      <c r="ED29" s="71" t="s">
        <v>96</v>
      </c>
      <c r="EE29" s="71" t="s">
        <v>96</v>
      </c>
      <c r="EF29" s="71" t="s">
        <v>96</v>
      </c>
      <c r="EG29" s="71" t="s">
        <v>96</v>
      </c>
      <c r="EH29" s="71" t="s">
        <v>96</v>
      </c>
      <c r="EI29" s="71"/>
      <c r="EJ29" s="71" t="s">
        <v>96</v>
      </c>
      <c r="EK29" s="71" t="s">
        <v>96</v>
      </c>
      <c r="EL29" s="160"/>
      <c r="EM29" s="71" t="s">
        <v>96</v>
      </c>
      <c r="EN29" s="71" t="s">
        <v>96</v>
      </c>
      <c r="EO29" s="71" t="s">
        <v>96</v>
      </c>
      <c r="EP29" s="71" t="s">
        <v>96</v>
      </c>
      <c r="EQ29" s="71" t="s">
        <v>96</v>
      </c>
      <c r="ER29" s="71" t="s">
        <v>96</v>
      </c>
      <c r="ES29" s="71" t="s">
        <v>96</v>
      </c>
      <c r="ET29" s="71" t="s">
        <v>96</v>
      </c>
      <c r="EU29" s="71" t="s">
        <v>96</v>
      </c>
      <c r="EV29" s="71" t="s">
        <v>96</v>
      </c>
      <c r="EW29" s="71" t="s">
        <v>96</v>
      </c>
      <c r="EX29" s="71" t="s">
        <v>96</v>
      </c>
      <c r="EY29" s="71" t="s">
        <v>96</v>
      </c>
      <c r="EZ29" s="71" t="s">
        <v>96</v>
      </c>
      <c r="FA29" s="71" t="s">
        <v>96</v>
      </c>
      <c r="FB29" s="71" t="s">
        <v>96</v>
      </c>
      <c r="FC29" s="71" t="s">
        <v>96</v>
      </c>
      <c r="FD29" s="71" t="s">
        <v>96</v>
      </c>
      <c r="FE29" s="71" t="s">
        <v>96</v>
      </c>
      <c r="FF29" s="71" t="s">
        <v>96</v>
      </c>
      <c r="FG29" s="71" t="s">
        <v>96</v>
      </c>
      <c r="FH29" s="71" t="s">
        <v>96</v>
      </c>
      <c r="FI29" s="71" t="s">
        <v>96</v>
      </c>
      <c r="FJ29" s="71" t="s">
        <v>96</v>
      </c>
      <c r="FK29" s="71" t="s">
        <v>96</v>
      </c>
      <c r="FL29" s="198"/>
      <c r="FM29" s="71" t="s">
        <v>96</v>
      </c>
      <c r="FN29" s="71" t="s">
        <v>96</v>
      </c>
      <c r="FO29" s="71" t="s">
        <v>96</v>
      </c>
      <c r="FP29" s="71" t="s">
        <v>96</v>
      </c>
      <c r="FQ29" s="71" t="s">
        <v>96</v>
      </c>
      <c r="FR29" s="199"/>
      <c r="FS29" s="198"/>
      <c r="FT29" s="71" t="s">
        <v>96</v>
      </c>
      <c r="FU29" s="71" t="s">
        <v>96</v>
      </c>
      <c r="FV29" s="71" t="s">
        <v>96</v>
      </c>
      <c r="FW29" s="71" t="s">
        <v>96</v>
      </c>
      <c r="FX29" s="71" t="s">
        <v>96</v>
      </c>
      <c r="FY29" s="199"/>
      <c r="FZ29" s="198"/>
      <c r="GA29" s="71" t="s">
        <v>96</v>
      </c>
      <c r="GB29" s="71" t="s">
        <v>96</v>
      </c>
      <c r="GC29" s="71" t="s">
        <v>96</v>
      </c>
      <c r="GD29" s="71" t="s">
        <v>96</v>
      </c>
      <c r="GE29" s="71" t="s">
        <v>96</v>
      </c>
      <c r="GF29" s="199"/>
      <c r="GG29" s="198"/>
      <c r="GH29" s="71" t="s">
        <v>96</v>
      </c>
      <c r="GI29" s="71" t="s">
        <v>96</v>
      </c>
      <c r="GJ29" s="71"/>
      <c r="GK29" s="71"/>
      <c r="GM29" s="71"/>
    </row>
    <row r="30" spans="1:195" s="13" customFormat="1" ht="15.75" customHeight="1">
      <c r="A30" s="390"/>
      <c r="B30" s="395"/>
      <c r="C30" s="100" t="s">
        <v>44</v>
      </c>
      <c r="D30" s="157"/>
      <c r="E30" s="71" t="s">
        <v>97</v>
      </c>
      <c r="F30" s="71" t="s">
        <v>96</v>
      </c>
      <c r="G30" s="71" t="s">
        <v>96</v>
      </c>
      <c r="H30" s="71" t="s">
        <v>96</v>
      </c>
      <c r="I30" s="71" t="s">
        <v>96</v>
      </c>
      <c r="J30" s="71" t="s">
        <v>96</v>
      </c>
      <c r="K30" s="71" t="s">
        <v>96</v>
      </c>
      <c r="L30" s="71" t="s">
        <v>96</v>
      </c>
      <c r="M30" s="71"/>
      <c r="N30" s="71" t="s">
        <v>96</v>
      </c>
      <c r="O30" s="71" t="s">
        <v>96</v>
      </c>
      <c r="P30" s="71" t="s">
        <v>96</v>
      </c>
      <c r="Q30" s="71" t="s">
        <v>96</v>
      </c>
      <c r="R30" s="71" t="s">
        <v>96</v>
      </c>
      <c r="S30" s="71" t="s">
        <v>96</v>
      </c>
      <c r="T30" s="71" t="s">
        <v>96</v>
      </c>
      <c r="U30" s="71" t="s">
        <v>96</v>
      </c>
      <c r="V30" s="71" t="s">
        <v>96</v>
      </c>
      <c r="W30" s="71" t="s">
        <v>96</v>
      </c>
      <c r="X30" s="71" t="s">
        <v>96</v>
      </c>
      <c r="Y30" s="71" t="s">
        <v>96</v>
      </c>
      <c r="Z30" s="71" t="s">
        <v>96</v>
      </c>
      <c r="AA30" s="71"/>
      <c r="AB30" s="160"/>
      <c r="AC30" s="71" t="s">
        <v>96</v>
      </c>
      <c r="AD30" s="71" t="s">
        <v>96</v>
      </c>
      <c r="AE30" s="71" t="s">
        <v>96</v>
      </c>
      <c r="AF30" s="71" t="s">
        <v>96</v>
      </c>
      <c r="AG30" s="71" t="s">
        <v>96</v>
      </c>
      <c r="AH30" s="160"/>
      <c r="AI30" s="160"/>
      <c r="AJ30" s="71" t="s">
        <v>96</v>
      </c>
      <c r="AK30" s="71" t="s">
        <v>96</v>
      </c>
      <c r="AL30" s="71" t="s">
        <v>96</v>
      </c>
      <c r="AM30" s="71" t="s">
        <v>96</v>
      </c>
      <c r="AN30" s="71" t="s">
        <v>96</v>
      </c>
      <c r="AO30" s="160"/>
      <c r="AP30" s="160"/>
      <c r="AQ30" s="71" t="s">
        <v>96</v>
      </c>
      <c r="AR30" s="71" t="s">
        <v>96</v>
      </c>
      <c r="AS30" s="71" t="s">
        <v>96</v>
      </c>
      <c r="AT30" s="71" t="s">
        <v>96</v>
      </c>
      <c r="AU30" s="71" t="s">
        <v>96</v>
      </c>
      <c r="AV30" s="160"/>
      <c r="AW30" s="160"/>
      <c r="AX30" s="71" t="s">
        <v>96</v>
      </c>
      <c r="AY30" s="71" t="s">
        <v>96</v>
      </c>
      <c r="AZ30" s="71" t="s">
        <v>96</v>
      </c>
      <c r="BA30" s="71" t="s">
        <v>96</v>
      </c>
      <c r="BB30" s="71" t="s">
        <v>96</v>
      </c>
      <c r="BC30" s="71" t="s">
        <v>96</v>
      </c>
      <c r="BD30" s="71" t="s">
        <v>96</v>
      </c>
      <c r="BE30" s="71" t="s">
        <v>96</v>
      </c>
      <c r="BF30" s="71" t="s">
        <v>96</v>
      </c>
      <c r="BG30" s="71" t="s">
        <v>96</v>
      </c>
      <c r="BH30" s="71" t="s">
        <v>96</v>
      </c>
      <c r="BI30" s="71" t="s">
        <v>96</v>
      </c>
      <c r="BJ30" s="71"/>
      <c r="BK30" s="71" t="s">
        <v>96</v>
      </c>
      <c r="BL30" s="71" t="s">
        <v>96</v>
      </c>
      <c r="BM30" s="71" t="s">
        <v>96</v>
      </c>
      <c r="BN30" s="71" t="s">
        <v>96</v>
      </c>
      <c r="BO30" s="71" t="s">
        <v>96</v>
      </c>
      <c r="BP30" s="71" t="s">
        <v>96</v>
      </c>
      <c r="BQ30" s="71"/>
      <c r="BR30" s="71" t="s">
        <v>96</v>
      </c>
      <c r="BS30" s="71" t="s">
        <v>96</v>
      </c>
      <c r="BT30" s="71" t="s">
        <v>96</v>
      </c>
      <c r="BU30" s="71" t="s">
        <v>96</v>
      </c>
      <c r="BV30" s="71" t="s">
        <v>96</v>
      </c>
      <c r="BW30" s="71" t="s">
        <v>96</v>
      </c>
      <c r="BX30" s="71"/>
      <c r="BY30" s="71" t="s">
        <v>96</v>
      </c>
      <c r="BZ30" s="71" t="s">
        <v>96</v>
      </c>
      <c r="CA30" s="71" t="s">
        <v>96</v>
      </c>
      <c r="CB30" s="71" t="s">
        <v>96</v>
      </c>
      <c r="CC30" s="71" t="s">
        <v>96</v>
      </c>
      <c r="CD30" s="71" t="s">
        <v>96</v>
      </c>
      <c r="CE30" s="71"/>
      <c r="CF30" s="71" t="s">
        <v>96</v>
      </c>
      <c r="CG30" s="71" t="s">
        <v>96</v>
      </c>
      <c r="CH30" s="71" t="s">
        <v>96</v>
      </c>
      <c r="CI30" s="71" t="s">
        <v>96</v>
      </c>
      <c r="CJ30" s="71" t="s">
        <v>96</v>
      </c>
      <c r="CK30" s="71" t="s">
        <v>96</v>
      </c>
      <c r="CL30" s="71" t="s">
        <v>96</v>
      </c>
      <c r="CM30" s="71" t="s">
        <v>96</v>
      </c>
      <c r="CN30" s="71" t="s">
        <v>96</v>
      </c>
      <c r="CO30" s="71" t="s">
        <v>96</v>
      </c>
      <c r="CP30" s="71" t="s">
        <v>96</v>
      </c>
      <c r="CQ30" s="71" t="s">
        <v>96</v>
      </c>
      <c r="CR30" s="71" t="s">
        <v>96</v>
      </c>
      <c r="CS30" s="71"/>
      <c r="CT30" s="71" t="s">
        <v>96</v>
      </c>
      <c r="CU30" s="71" t="s">
        <v>96</v>
      </c>
      <c r="CV30" s="71" t="s">
        <v>96</v>
      </c>
      <c r="CW30" s="71" t="s">
        <v>96</v>
      </c>
      <c r="CX30" s="71" t="s">
        <v>96</v>
      </c>
      <c r="CY30" s="71" t="s">
        <v>96</v>
      </c>
      <c r="CZ30" s="71"/>
      <c r="DA30" s="71" t="s">
        <v>96</v>
      </c>
      <c r="DB30" s="71" t="s">
        <v>96</v>
      </c>
      <c r="DC30" s="71" t="s">
        <v>96</v>
      </c>
      <c r="DD30" s="71" t="s">
        <v>96</v>
      </c>
      <c r="DE30" s="71" t="s">
        <v>96</v>
      </c>
      <c r="DF30" s="71" t="s">
        <v>96</v>
      </c>
      <c r="DG30" s="71" t="s">
        <v>96</v>
      </c>
      <c r="DH30" s="160"/>
      <c r="DI30" s="71" t="s">
        <v>96</v>
      </c>
      <c r="DJ30" s="71" t="s">
        <v>96</v>
      </c>
      <c r="DK30" s="71" t="s">
        <v>96</v>
      </c>
      <c r="DL30" s="382"/>
      <c r="DM30" s="71" t="s">
        <v>96</v>
      </c>
      <c r="DN30" s="71" t="s">
        <v>96</v>
      </c>
      <c r="DO30" s="160"/>
      <c r="DP30" s="71" t="s">
        <v>96</v>
      </c>
      <c r="DQ30" s="71" t="s">
        <v>96</v>
      </c>
      <c r="DR30" s="71" t="s">
        <v>96</v>
      </c>
      <c r="DS30" s="71" t="s">
        <v>96</v>
      </c>
      <c r="DT30" s="382"/>
      <c r="DU30" s="71"/>
      <c r="DV30" s="71" t="s">
        <v>96</v>
      </c>
      <c r="DW30" s="71" t="s">
        <v>96</v>
      </c>
      <c r="DX30" s="71" t="s">
        <v>96</v>
      </c>
      <c r="DY30" s="71" t="s">
        <v>96</v>
      </c>
      <c r="DZ30" s="71" t="s">
        <v>96</v>
      </c>
      <c r="EA30" s="71" t="s">
        <v>96</v>
      </c>
      <c r="EB30" s="71" t="s">
        <v>96</v>
      </c>
      <c r="EC30" s="71" t="s">
        <v>96</v>
      </c>
      <c r="ED30" s="71" t="s">
        <v>96</v>
      </c>
      <c r="EE30" s="71" t="s">
        <v>96</v>
      </c>
      <c r="EF30" s="71" t="s">
        <v>96</v>
      </c>
      <c r="EG30" s="71" t="s">
        <v>96</v>
      </c>
      <c r="EH30" s="71" t="s">
        <v>96</v>
      </c>
      <c r="EI30" s="71"/>
      <c r="EJ30" s="71" t="s">
        <v>96</v>
      </c>
      <c r="EK30" s="71" t="s">
        <v>96</v>
      </c>
      <c r="EL30" s="160"/>
      <c r="EM30" s="71" t="s">
        <v>96</v>
      </c>
      <c r="EN30" s="71" t="s">
        <v>96</v>
      </c>
      <c r="EO30" s="71" t="s">
        <v>96</v>
      </c>
      <c r="EP30" s="71" t="s">
        <v>96</v>
      </c>
      <c r="EQ30" s="71" t="s">
        <v>96</v>
      </c>
      <c r="ER30" s="71" t="s">
        <v>96</v>
      </c>
      <c r="ES30" s="71" t="s">
        <v>96</v>
      </c>
      <c r="ET30" s="71" t="s">
        <v>96</v>
      </c>
      <c r="EU30" s="71" t="s">
        <v>96</v>
      </c>
      <c r="EV30" s="71" t="s">
        <v>96</v>
      </c>
      <c r="EW30" s="71" t="s">
        <v>96</v>
      </c>
      <c r="EX30" s="71" t="s">
        <v>96</v>
      </c>
      <c r="EY30" s="71" t="s">
        <v>96</v>
      </c>
      <c r="EZ30" s="71" t="s">
        <v>96</v>
      </c>
      <c r="FA30" s="71" t="s">
        <v>96</v>
      </c>
      <c r="FB30" s="71" t="s">
        <v>96</v>
      </c>
      <c r="FC30" s="71" t="s">
        <v>96</v>
      </c>
      <c r="FD30" s="71" t="s">
        <v>96</v>
      </c>
      <c r="FE30" s="71" t="s">
        <v>96</v>
      </c>
      <c r="FF30" s="71" t="s">
        <v>96</v>
      </c>
      <c r="FG30" s="71" t="s">
        <v>96</v>
      </c>
      <c r="FH30" s="71" t="s">
        <v>96</v>
      </c>
      <c r="FI30" s="71" t="s">
        <v>96</v>
      </c>
      <c r="FJ30" s="71" t="s">
        <v>96</v>
      </c>
      <c r="FK30" s="71" t="s">
        <v>96</v>
      </c>
      <c r="FL30" s="198"/>
      <c r="FM30" s="71" t="s">
        <v>96</v>
      </c>
      <c r="FN30" s="71" t="s">
        <v>96</v>
      </c>
      <c r="FO30" s="71" t="s">
        <v>96</v>
      </c>
      <c r="FP30" s="71" t="s">
        <v>96</v>
      </c>
      <c r="FQ30" s="71" t="s">
        <v>96</v>
      </c>
      <c r="FR30" s="199"/>
      <c r="FS30" s="198"/>
      <c r="FT30" s="71" t="s">
        <v>96</v>
      </c>
      <c r="FU30" s="71" t="s">
        <v>96</v>
      </c>
      <c r="FV30" s="71" t="s">
        <v>96</v>
      </c>
      <c r="FW30" s="71" t="s">
        <v>96</v>
      </c>
      <c r="FX30" s="71" t="s">
        <v>96</v>
      </c>
      <c r="FY30" s="199"/>
      <c r="FZ30" s="198"/>
      <c r="GA30" s="71" t="s">
        <v>96</v>
      </c>
      <c r="GB30" s="71" t="s">
        <v>96</v>
      </c>
      <c r="GC30" s="71" t="s">
        <v>96</v>
      </c>
      <c r="GD30" s="71" t="s">
        <v>96</v>
      </c>
      <c r="GE30" s="71" t="s">
        <v>96</v>
      </c>
      <c r="GF30" s="199"/>
      <c r="GG30" s="198"/>
      <c r="GH30" s="71" t="s">
        <v>96</v>
      </c>
      <c r="GI30" s="71" t="s">
        <v>96</v>
      </c>
      <c r="GJ30" s="71"/>
      <c r="GK30" s="71"/>
      <c r="GM30" s="71"/>
    </row>
    <row r="31" spans="1:195" s="13" customFormat="1" ht="15.75" customHeight="1">
      <c r="A31" s="390"/>
      <c r="B31" s="395"/>
      <c r="C31" s="100" t="s">
        <v>45</v>
      </c>
      <c r="D31" s="157"/>
      <c r="E31" s="71" t="s">
        <v>96</v>
      </c>
      <c r="F31" s="71" t="s">
        <v>96</v>
      </c>
      <c r="G31" s="71" t="s">
        <v>96</v>
      </c>
      <c r="H31" s="71" t="s">
        <v>96</v>
      </c>
      <c r="I31" s="71" t="s">
        <v>96</v>
      </c>
      <c r="J31" s="71" t="s">
        <v>96</v>
      </c>
      <c r="K31" s="71" t="s">
        <v>96</v>
      </c>
      <c r="L31" s="71" t="s">
        <v>96</v>
      </c>
      <c r="M31" s="71"/>
      <c r="N31" s="71" t="s">
        <v>96</v>
      </c>
      <c r="O31" s="71" t="s">
        <v>96</v>
      </c>
      <c r="P31" s="71" t="s">
        <v>96</v>
      </c>
      <c r="Q31" s="71" t="s">
        <v>96</v>
      </c>
      <c r="R31" s="71" t="s">
        <v>96</v>
      </c>
      <c r="S31" s="71" t="s">
        <v>96</v>
      </c>
      <c r="T31" s="71" t="s">
        <v>96</v>
      </c>
      <c r="U31" s="71" t="s">
        <v>96</v>
      </c>
      <c r="V31" s="71" t="s">
        <v>96</v>
      </c>
      <c r="W31" s="71" t="s">
        <v>96</v>
      </c>
      <c r="X31" s="71" t="s">
        <v>96</v>
      </c>
      <c r="Y31" s="71" t="s">
        <v>96</v>
      </c>
      <c r="Z31" s="71" t="s">
        <v>96</v>
      </c>
      <c r="AA31" s="71"/>
      <c r="AB31" s="160"/>
      <c r="AC31" s="71" t="s">
        <v>96</v>
      </c>
      <c r="AD31" s="71" t="s">
        <v>96</v>
      </c>
      <c r="AE31" s="71" t="s">
        <v>96</v>
      </c>
      <c r="AF31" s="71" t="s">
        <v>96</v>
      </c>
      <c r="AG31" s="71" t="s">
        <v>96</v>
      </c>
      <c r="AH31" s="160"/>
      <c r="AI31" s="160"/>
      <c r="AJ31" s="71" t="s">
        <v>96</v>
      </c>
      <c r="AK31" s="71" t="s">
        <v>96</v>
      </c>
      <c r="AL31" s="71" t="s">
        <v>96</v>
      </c>
      <c r="AM31" s="71" t="s">
        <v>96</v>
      </c>
      <c r="AN31" s="71" t="s">
        <v>96</v>
      </c>
      <c r="AO31" s="160"/>
      <c r="AP31" s="160"/>
      <c r="AQ31" s="71" t="s">
        <v>96</v>
      </c>
      <c r="AR31" s="71" t="s">
        <v>96</v>
      </c>
      <c r="AS31" s="71" t="s">
        <v>96</v>
      </c>
      <c r="AT31" s="71" t="s">
        <v>96</v>
      </c>
      <c r="AU31" s="71" t="s">
        <v>96</v>
      </c>
      <c r="AV31" s="160"/>
      <c r="AW31" s="160"/>
      <c r="AX31" s="71" t="s">
        <v>96</v>
      </c>
      <c r="AY31" s="71" t="s">
        <v>96</v>
      </c>
      <c r="AZ31" s="71" t="s">
        <v>96</v>
      </c>
      <c r="BA31" s="71" t="s">
        <v>96</v>
      </c>
      <c r="BB31" s="71" t="s">
        <v>96</v>
      </c>
      <c r="BC31" s="71" t="s">
        <v>96</v>
      </c>
      <c r="BD31" s="71" t="s">
        <v>96</v>
      </c>
      <c r="BE31" s="71" t="s">
        <v>96</v>
      </c>
      <c r="BF31" s="71" t="s">
        <v>96</v>
      </c>
      <c r="BG31" s="71" t="s">
        <v>96</v>
      </c>
      <c r="BH31" s="71" t="s">
        <v>96</v>
      </c>
      <c r="BI31" s="71" t="s">
        <v>96</v>
      </c>
      <c r="BJ31" s="71"/>
      <c r="BK31" s="71" t="s">
        <v>96</v>
      </c>
      <c r="BL31" s="71" t="s">
        <v>96</v>
      </c>
      <c r="BM31" s="71" t="s">
        <v>96</v>
      </c>
      <c r="BN31" s="71" t="s">
        <v>96</v>
      </c>
      <c r="BO31" s="71" t="s">
        <v>96</v>
      </c>
      <c r="BP31" s="71" t="s">
        <v>96</v>
      </c>
      <c r="BQ31" s="71"/>
      <c r="BR31" s="71" t="s">
        <v>96</v>
      </c>
      <c r="BS31" s="71" t="s">
        <v>96</v>
      </c>
      <c r="BT31" s="71" t="s">
        <v>96</v>
      </c>
      <c r="BU31" s="71" t="s">
        <v>96</v>
      </c>
      <c r="BV31" s="71" t="s">
        <v>96</v>
      </c>
      <c r="BW31" s="71" t="s">
        <v>96</v>
      </c>
      <c r="BX31" s="71"/>
      <c r="BY31" s="71" t="s">
        <v>96</v>
      </c>
      <c r="BZ31" s="71" t="s">
        <v>96</v>
      </c>
      <c r="CA31" s="71" t="s">
        <v>96</v>
      </c>
      <c r="CB31" s="71" t="s">
        <v>96</v>
      </c>
      <c r="CC31" s="71" t="s">
        <v>96</v>
      </c>
      <c r="CD31" s="71" t="s">
        <v>96</v>
      </c>
      <c r="CE31" s="71"/>
      <c r="CF31" s="71" t="s">
        <v>96</v>
      </c>
      <c r="CG31" s="71" t="s">
        <v>96</v>
      </c>
      <c r="CH31" s="71" t="s">
        <v>96</v>
      </c>
      <c r="CI31" s="71" t="s">
        <v>96</v>
      </c>
      <c r="CJ31" s="71" t="s">
        <v>96</v>
      </c>
      <c r="CK31" s="71" t="s">
        <v>96</v>
      </c>
      <c r="CL31" s="71" t="s">
        <v>96</v>
      </c>
      <c r="CM31" s="71" t="s">
        <v>96</v>
      </c>
      <c r="CN31" s="71" t="s">
        <v>96</v>
      </c>
      <c r="CO31" s="71" t="s">
        <v>96</v>
      </c>
      <c r="CP31" s="71" t="s">
        <v>96</v>
      </c>
      <c r="CQ31" s="71" t="s">
        <v>96</v>
      </c>
      <c r="CR31" s="71" t="s">
        <v>96</v>
      </c>
      <c r="CS31" s="71"/>
      <c r="CT31" s="71" t="s">
        <v>96</v>
      </c>
      <c r="CU31" s="71" t="s">
        <v>96</v>
      </c>
      <c r="CV31" s="71" t="s">
        <v>96</v>
      </c>
      <c r="CW31" s="71" t="s">
        <v>96</v>
      </c>
      <c r="CX31" s="71" t="s">
        <v>96</v>
      </c>
      <c r="CY31" s="71" t="s">
        <v>96</v>
      </c>
      <c r="CZ31" s="71"/>
      <c r="DA31" s="71" t="s">
        <v>96</v>
      </c>
      <c r="DB31" s="71" t="s">
        <v>96</v>
      </c>
      <c r="DC31" s="71" t="s">
        <v>96</v>
      </c>
      <c r="DD31" s="71" t="s">
        <v>96</v>
      </c>
      <c r="DE31" s="71" t="s">
        <v>96</v>
      </c>
      <c r="DF31" s="71" t="s">
        <v>96</v>
      </c>
      <c r="DG31" s="71" t="s">
        <v>96</v>
      </c>
      <c r="DH31" s="160"/>
      <c r="DI31" s="71" t="s">
        <v>96</v>
      </c>
      <c r="DJ31" s="71" t="s">
        <v>96</v>
      </c>
      <c r="DK31" s="71" t="s">
        <v>96</v>
      </c>
      <c r="DL31" s="382"/>
      <c r="DM31" s="71" t="s">
        <v>96</v>
      </c>
      <c r="DN31" s="71" t="s">
        <v>96</v>
      </c>
      <c r="DO31" s="160"/>
      <c r="DP31" s="71" t="s">
        <v>96</v>
      </c>
      <c r="DQ31" s="71" t="s">
        <v>96</v>
      </c>
      <c r="DR31" s="71" t="s">
        <v>96</v>
      </c>
      <c r="DS31" s="71" t="s">
        <v>96</v>
      </c>
      <c r="DT31" s="382"/>
      <c r="DU31" s="71"/>
      <c r="DV31" s="71" t="s">
        <v>96</v>
      </c>
      <c r="DW31" s="71" t="s">
        <v>96</v>
      </c>
      <c r="DX31" s="71" t="s">
        <v>96</v>
      </c>
      <c r="DY31" s="71" t="s">
        <v>96</v>
      </c>
      <c r="DZ31" s="71" t="s">
        <v>96</v>
      </c>
      <c r="EA31" s="71" t="s">
        <v>96</v>
      </c>
      <c r="EB31" s="71" t="s">
        <v>96</v>
      </c>
      <c r="EC31" s="71" t="s">
        <v>96</v>
      </c>
      <c r="ED31" s="71" t="s">
        <v>96</v>
      </c>
      <c r="EE31" s="71" t="s">
        <v>96</v>
      </c>
      <c r="EF31" s="71" t="s">
        <v>96</v>
      </c>
      <c r="EG31" s="71" t="s">
        <v>96</v>
      </c>
      <c r="EH31" s="71" t="s">
        <v>96</v>
      </c>
      <c r="EI31" s="71"/>
      <c r="EJ31" s="71" t="s">
        <v>96</v>
      </c>
      <c r="EK31" s="71" t="s">
        <v>96</v>
      </c>
      <c r="EL31" s="160"/>
      <c r="EM31" s="71" t="s">
        <v>96</v>
      </c>
      <c r="EN31" s="71" t="s">
        <v>96</v>
      </c>
      <c r="EO31" s="71" t="s">
        <v>96</v>
      </c>
      <c r="EP31" s="71" t="s">
        <v>96</v>
      </c>
      <c r="EQ31" s="71" t="s">
        <v>96</v>
      </c>
      <c r="ER31" s="71" t="s">
        <v>96</v>
      </c>
      <c r="ES31" s="71" t="s">
        <v>96</v>
      </c>
      <c r="ET31" s="71" t="s">
        <v>96</v>
      </c>
      <c r="EU31" s="71" t="s">
        <v>96</v>
      </c>
      <c r="EV31" s="71" t="s">
        <v>96</v>
      </c>
      <c r="EW31" s="71" t="s">
        <v>96</v>
      </c>
      <c r="EX31" s="71" t="s">
        <v>96</v>
      </c>
      <c r="EY31" s="71" t="s">
        <v>96</v>
      </c>
      <c r="EZ31" s="71" t="s">
        <v>96</v>
      </c>
      <c r="FA31" s="71" t="s">
        <v>96</v>
      </c>
      <c r="FB31" s="71" t="s">
        <v>96</v>
      </c>
      <c r="FC31" s="71" t="s">
        <v>96</v>
      </c>
      <c r="FD31" s="71" t="s">
        <v>96</v>
      </c>
      <c r="FE31" s="71" t="s">
        <v>96</v>
      </c>
      <c r="FF31" s="71" t="s">
        <v>96</v>
      </c>
      <c r="FG31" s="71" t="s">
        <v>96</v>
      </c>
      <c r="FH31" s="71" t="s">
        <v>96</v>
      </c>
      <c r="FI31" s="71" t="s">
        <v>96</v>
      </c>
      <c r="FJ31" s="71" t="s">
        <v>96</v>
      </c>
      <c r="FK31" s="71" t="s">
        <v>96</v>
      </c>
      <c r="FL31" s="198"/>
      <c r="FM31" s="71" t="s">
        <v>96</v>
      </c>
      <c r="FN31" s="71" t="s">
        <v>96</v>
      </c>
      <c r="FO31" s="71" t="s">
        <v>96</v>
      </c>
      <c r="FP31" s="71" t="s">
        <v>96</v>
      </c>
      <c r="FQ31" s="71" t="s">
        <v>96</v>
      </c>
      <c r="FR31" s="199"/>
      <c r="FS31" s="198"/>
      <c r="FT31" s="71" t="s">
        <v>96</v>
      </c>
      <c r="FU31" s="71" t="s">
        <v>96</v>
      </c>
      <c r="FV31" s="71" t="s">
        <v>96</v>
      </c>
      <c r="FW31" s="71" t="s">
        <v>96</v>
      </c>
      <c r="FX31" s="71" t="s">
        <v>96</v>
      </c>
      <c r="FY31" s="199"/>
      <c r="FZ31" s="198"/>
      <c r="GA31" s="71" t="s">
        <v>96</v>
      </c>
      <c r="GB31" s="71" t="s">
        <v>96</v>
      </c>
      <c r="GC31" s="71" t="s">
        <v>96</v>
      </c>
      <c r="GD31" s="71" t="s">
        <v>96</v>
      </c>
      <c r="GE31" s="71" t="s">
        <v>96</v>
      </c>
      <c r="GF31" s="199"/>
      <c r="GG31" s="198"/>
      <c r="GH31" s="71" t="s">
        <v>96</v>
      </c>
      <c r="GI31" s="71" t="s">
        <v>96</v>
      </c>
      <c r="GJ31" s="71"/>
      <c r="GK31" s="71"/>
      <c r="GM31" s="71"/>
    </row>
    <row r="32" spans="1:195" s="13" customFormat="1" ht="15.75" customHeight="1">
      <c r="A32" s="390"/>
      <c r="B32" s="395"/>
      <c r="C32" s="102" t="s">
        <v>67</v>
      </c>
      <c r="D32" s="157"/>
      <c r="E32" s="71" t="s">
        <v>96</v>
      </c>
      <c r="F32" s="71" t="s">
        <v>96</v>
      </c>
      <c r="G32" s="71" t="s">
        <v>96</v>
      </c>
      <c r="H32" s="71" t="s">
        <v>96</v>
      </c>
      <c r="I32" s="71" t="s">
        <v>96</v>
      </c>
      <c r="J32" s="71" t="s">
        <v>96</v>
      </c>
      <c r="K32" s="71" t="s">
        <v>96</v>
      </c>
      <c r="L32" s="71" t="s">
        <v>96</v>
      </c>
      <c r="M32" s="71"/>
      <c r="N32" s="71" t="s">
        <v>96</v>
      </c>
      <c r="O32" s="71" t="s">
        <v>96</v>
      </c>
      <c r="P32" s="71" t="s">
        <v>96</v>
      </c>
      <c r="Q32" s="71" t="s">
        <v>96</v>
      </c>
      <c r="R32" s="71" t="s">
        <v>96</v>
      </c>
      <c r="S32" s="71" t="s">
        <v>96</v>
      </c>
      <c r="T32" s="71" t="s">
        <v>96</v>
      </c>
      <c r="U32" s="71" t="s">
        <v>96</v>
      </c>
      <c r="V32" s="71" t="s">
        <v>96</v>
      </c>
      <c r="W32" s="71" t="s">
        <v>96</v>
      </c>
      <c r="X32" s="71" t="s">
        <v>96</v>
      </c>
      <c r="Y32" s="71" t="s">
        <v>96</v>
      </c>
      <c r="Z32" s="71" t="s">
        <v>96</v>
      </c>
      <c r="AA32" s="71"/>
      <c r="AB32" s="160"/>
      <c r="AC32" s="71" t="s">
        <v>96</v>
      </c>
      <c r="AD32" s="71" t="s">
        <v>96</v>
      </c>
      <c r="AE32" s="71" t="s">
        <v>96</v>
      </c>
      <c r="AF32" s="71" t="s">
        <v>96</v>
      </c>
      <c r="AG32" s="71" t="s">
        <v>96</v>
      </c>
      <c r="AH32" s="160"/>
      <c r="AI32" s="160"/>
      <c r="AJ32" s="71" t="s">
        <v>96</v>
      </c>
      <c r="AK32" s="71" t="s">
        <v>96</v>
      </c>
      <c r="AL32" s="71" t="s">
        <v>96</v>
      </c>
      <c r="AM32" s="71" t="s">
        <v>96</v>
      </c>
      <c r="AN32" s="71" t="s">
        <v>96</v>
      </c>
      <c r="AO32" s="160"/>
      <c r="AP32" s="160"/>
      <c r="AQ32" s="71" t="s">
        <v>96</v>
      </c>
      <c r="AR32" s="71" t="s">
        <v>96</v>
      </c>
      <c r="AS32" s="71" t="s">
        <v>96</v>
      </c>
      <c r="AT32" s="71" t="s">
        <v>96</v>
      </c>
      <c r="AU32" s="71" t="s">
        <v>96</v>
      </c>
      <c r="AV32" s="160"/>
      <c r="AW32" s="160"/>
      <c r="AX32" s="71" t="s">
        <v>96</v>
      </c>
      <c r="AY32" s="71" t="s">
        <v>96</v>
      </c>
      <c r="AZ32" s="71" t="s">
        <v>96</v>
      </c>
      <c r="BA32" s="71" t="s">
        <v>96</v>
      </c>
      <c r="BB32" s="71" t="s">
        <v>96</v>
      </c>
      <c r="BC32" s="71" t="s">
        <v>96</v>
      </c>
      <c r="BD32" s="71" t="s">
        <v>96</v>
      </c>
      <c r="BE32" s="71" t="s">
        <v>96</v>
      </c>
      <c r="BF32" s="71" t="s">
        <v>96</v>
      </c>
      <c r="BG32" s="71" t="s">
        <v>96</v>
      </c>
      <c r="BH32" s="71" t="s">
        <v>96</v>
      </c>
      <c r="BI32" s="71" t="s">
        <v>96</v>
      </c>
      <c r="BJ32" s="71"/>
      <c r="BK32" s="71" t="s">
        <v>96</v>
      </c>
      <c r="BL32" s="71" t="s">
        <v>96</v>
      </c>
      <c r="BM32" s="71" t="s">
        <v>96</v>
      </c>
      <c r="BN32" s="71" t="s">
        <v>96</v>
      </c>
      <c r="BO32" s="71" t="s">
        <v>96</v>
      </c>
      <c r="BP32" s="71" t="s">
        <v>96</v>
      </c>
      <c r="BQ32" s="71"/>
      <c r="BR32" s="71" t="s">
        <v>96</v>
      </c>
      <c r="BS32" s="71" t="s">
        <v>96</v>
      </c>
      <c r="BT32" s="71" t="s">
        <v>96</v>
      </c>
      <c r="BU32" s="71" t="s">
        <v>96</v>
      </c>
      <c r="BV32" s="71" t="s">
        <v>96</v>
      </c>
      <c r="BW32" s="71" t="s">
        <v>96</v>
      </c>
      <c r="BX32" s="71"/>
      <c r="BY32" s="71" t="s">
        <v>96</v>
      </c>
      <c r="BZ32" s="71" t="s">
        <v>96</v>
      </c>
      <c r="CA32" s="71" t="s">
        <v>96</v>
      </c>
      <c r="CB32" s="71" t="s">
        <v>96</v>
      </c>
      <c r="CC32" s="71" t="s">
        <v>96</v>
      </c>
      <c r="CD32" s="71" t="s">
        <v>96</v>
      </c>
      <c r="CE32" s="71"/>
      <c r="CF32" s="71" t="s">
        <v>96</v>
      </c>
      <c r="CG32" s="71" t="s">
        <v>96</v>
      </c>
      <c r="CH32" s="71" t="s">
        <v>96</v>
      </c>
      <c r="CI32" s="71" t="s">
        <v>96</v>
      </c>
      <c r="CJ32" s="71" t="s">
        <v>96</v>
      </c>
      <c r="CK32" s="71" t="s">
        <v>97</v>
      </c>
      <c r="CL32" s="71" t="s">
        <v>96</v>
      </c>
      <c r="CM32" s="71" t="s">
        <v>96</v>
      </c>
      <c r="CN32" s="71" t="s">
        <v>96</v>
      </c>
      <c r="CO32" s="71" t="s">
        <v>96</v>
      </c>
      <c r="CP32" s="71" t="s">
        <v>96</v>
      </c>
      <c r="CQ32" s="71" t="s">
        <v>96</v>
      </c>
      <c r="CR32" s="71" t="s">
        <v>96</v>
      </c>
      <c r="CS32" s="71"/>
      <c r="CT32" s="71" t="s">
        <v>96</v>
      </c>
      <c r="CU32" s="71" t="s">
        <v>96</v>
      </c>
      <c r="CV32" s="71" t="s">
        <v>96</v>
      </c>
      <c r="CW32" s="71" t="s">
        <v>96</v>
      </c>
      <c r="CX32" s="71" t="s">
        <v>96</v>
      </c>
      <c r="CY32" s="71" t="s">
        <v>96</v>
      </c>
      <c r="CZ32" s="71"/>
      <c r="DA32" s="71" t="s">
        <v>96</v>
      </c>
      <c r="DB32" s="71" t="s">
        <v>96</v>
      </c>
      <c r="DC32" s="71" t="s">
        <v>96</v>
      </c>
      <c r="DD32" s="71" t="s">
        <v>96</v>
      </c>
      <c r="DE32" s="71" t="s">
        <v>96</v>
      </c>
      <c r="DF32" s="71" t="s">
        <v>96</v>
      </c>
      <c r="DG32" s="71" t="s">
        <v>96</v>
      </c>
      <c r="DH32" s="160"/>
      <c r="DI32" s="71" t="s">
        <v>96</v>
      </c>
      <c r="DJ32" s="71" t="s">
        <v>96</v>
      </c>
      <c r="DK32" s="71" t="s">
        <v>96</v>
      </c>
      <c r="DL32" s="382"/>
      <c r="DM32" s="71" t="s">
        <v>96</v>
      </c>
      <c r="DN32" s="71" t="s">
        <v>96</v>
      </c>
      <c r="DO32" s="160"/>
      <c r="DP32" s="71" t="s">
        <v>96</v>
      </c>
      <c r="DQ32" s="71" t="s">
        <v>96</v>
      </c>
      <c r="DR32" s="71" t="s">
        <v>96</v>
      </c>
      <c r="DS32" s="71" t="s">
        <v>96</v>
      </c>
      <c r="DT32" s="382"/>
      <c r="DU32" s="71"/>
      <c r="DV32" s="71" t="s">
        <v>96</v>
      </c>
      <c r="DW32" s="71" t="s">
        <v>96</v>
      </c>
      <c r="DX32" s="71" t="s">
        <v>96</v>
      </c>
      <c r="DY32" s="71" t="s">
        <v>96</v>
      </c>
      <c r="DZ32" s="71" t="s">
        <v>96</v>
      </c>
      <c r="EA32" s="71" t="s">
        <v>96</v>
      </c>
      <c r="EB32" s="71" t="s">
        <v>96</v>
      </c>
      <c r="EC32" s="71" t="s">
        <v>96</v>
      </c>
      <c r="ED32" s="71" t="s">
        <v>96</v>
      </c>
      <c r="EE32" s="71" t="s">
        <v>96</v>
      </c>
      <c r="EF32" s="71" t="s">
        <v>96</v>
      </c>
      <c r="EG32" s="71" t="s">
        <v>96</v>
      </c>
      <c r="EH32" s="71" t="s">
        <v>96</v>
      </c>
      <c r="EI32" s="71"/>
      <c r="EJ32" s="71" t="s">
        <v>96</v>
      </c>
      <c r="EK32" s="71" t="s">
        <v>96</v>
      </c>
      <c r="EL32" s="160"/>
      <c r="EM32" s="71" t="s">
        <v>96</v>
      </c>
      <c r="EN32" s="71" t="s">
        <v>96</v>
      </c>
      <c r="EO32" s="71" t="s">
        <v>96</v>
      </c>
      <c r="EP32" s="71" t="s">
        <v>96</v>
      </c>
      <c r="EQ32" s="71" t="s">
        <v>96</v>
      </c>
      <c r="ER32" s="71" t="s">
        <v>96</v>
      </c>
      <c r="ES32" s="71" t="s">
        <v>96</v>
      </c>
      <c r="ET32" s="71" t="s">
        <v>96</v>
      </c>
      <c r="EU32" s="71" t="s">
        <v>96</v>
      </c>
      <c r="EV32" s="71" t="s">
        <v>96</v>
      </c>
      <c r="EW32" s="71" t="s">
        <v>96</v>
      </c>
      <c r="EX32" s="71" t="s">
        <v>96</v>
      </c>
      <c r="EY32" s="71" t="s">
        <v>96</v>
      </c>
      <c r="EZ32" s="71" t="s">
        <v>96</v>
      </c>
      <c r="FA32" s="71" t="s">
        <v>96</v>
      </c>
      <c r="FB32" s="71" t="s">
        <v>96</v>
      </c>
      <c r="FC32" s="71" t="s">
        <v>96</v>
      </c>
      <c r="FD32" s="71" t="s">
        <v>96</v>
      </c>
      <c r="FE32" s="71" t="s">
        <v>96</v>
      </c>
      <c r="FF32" s="71" t="s">
        <v>96</v>
      </c>
      <c r="FG32" s="71" t="s">
        <v>96</v>
      </c>
      <c r="FH32" s="71" t="s">
        <v>96</v>
      </c>
      <c r="FI32" s="71" t="s">
        <v>96</v>
      </c>
      <c r="FJ32" s="71" t="s">
        <v>96</v>
      </c>
      <c r="FK32" s="71" t="s">
        <v>96</v>
      </c>
      <c r="FL32" s="198"/>
      <c r="FM32" s="71" t="s">
        <v>96</v>
      </c>
      <c r="FN32" s="71" t="s">
        <v>96</v>
      </c>
      <c r="FO32" s="71" t="s">
        <v>96</v>
      </c>
      <c r="FP32" s="71" t="s">
        <v>96</v>
      </c>
      <c r="FQ32" s="71" t="s">
        <v>96</v>
      </c>
      <c r="FR32" s="199"/>
      <c r="FS32" s="198"/>
      <c r="FT32" s="71" t="s">
        <v>96</v>
      </c>
      <c r="FU32" s="71" t="s">
        <v>96</v>
      </c>
      <c r="FV32" s="71" t="s">
        <v>96</v>
      </c>
      <c r="FW32" s="71" t="s">
        <v>96</v>
      </c>
      <c r="FX32" s="71" t="s">
        <v>96</v>
      </c>
      <c r="FY32" s="199"/>
      <c r="FZ32" s="198"/>
      <c r="GA32" s="71" t="s">
        <v>96</v>
      </c>
      <c r="GB32" s="71" t="s">
        <v>96</v>
      </c>
      <c r="GC32" s="71" t="s">
        <v>96</v>
      </c>
      <c r="GD32" s="71" t="s">
        <v>96</v>
      </c>
      <c r="GE32" s="71" t="s">
        <v>96</v>
      </c>
      <c r="GF32" s="199"/>
      <c r="GG32" s="198"/>
      <c r="GH32" s="71" t="s">
        <v>96</v>
      </c>
      <c r="GI32" s="71" t="s">
        <v>96</v>
      </c>
      <c r="GJ32" s="71"/>
      <c r="GK32" s="71"/>
      <c r="GM32" s="71"/>
    </row>
    <row r="33" spans="1:195" s="13" customFormat="1" ht="15.75" customHeight="1" thickBot="1">
      <c r="A33" s="390"/>
      <c r="B33" s="396"/>
      <c r="C33" s="105" t="s">
        <v>68</v>
      </c>
      <c r="D33" s="157"/>
      <c r="E33" s="71" t="s">
        <v>96</v>
      </c>
      <c r="F33" s="71" t="s">
        <v>96</v>
      </c>
      <c r="G33" s="71" t="s">
        <v>96</v>
      </c>
      <c r="H33" s="71" t="s">
        <v>96</v>
      </c>
      <c r="I33" s="71" t="s">
        <v>96</v>
      </c>
      <c r="J33" s="71" t="s">
        <v>96</v>
      </c>
      <c r="K33" s="71" t="s">
        <v>96</v>
      </c>
      <c r="L33" s="71" t="s">
        <v>96</v>
      </c>
      <c r="M33" s="71"/>
      <c r="N33" s="71" t="s">
        <v>96</v>
      </c>
      <c r="O33" s="71" t="s">
        <v>96</v>
      </c>
      <c r="P33" s="71" t="s">
        <v>96</v>
      </c>
      <c r="Q33" s="71" t="s">
        <v>96</v>
      </c>
      <c r="R33" s="71" t="s">
        <v>96</v>
      </c>
      <c r="S33" s="71" t="s">
        <v>96</v>
      </c>
      <c r="T33" s="71" t="s">
        <v>96</v>
      </c>
      <c r="U33" s="71" t="s">
        <v>96</v>
      </c>
      <c r="V33" s="71" t="s">
        <v>96</v>
      </c>
      <c r="W33" s="71" t="s">
        <v>96</v>
      </c>
      <c r="X33" s="71" t="s">
        <v>96</v>
      </c>
      <c r="Y33" s="71" t="s">
        <v>96</v>
      </c>
      <c r="Z33" s="71" t="s">
        <v>96</v>
      </c>
      <c r="AA33" s="71"/>
      <c r="AB33" s="160"/>
      <c r="AC33" s="71" t="s">
        <v>96</v>
      </c>
      <c r="AD33" s="71" t="s">
        <v>96</v>
      </c>
      <c r="AE33" s="71" t="s">
        <v>96</v>
      </c>
      <c r="AF33" s="71" t="s">
        <v>96</v>
      </c>
      <c r="AG33" s="71" t="s">
        <v>96</v>
      </c>
      <c r="AH33" s="160"/>
      <c r="AI33" s="160"/>
      <c r="AJ33" s="71" t="s">
        <v>96</v>
      </c>
      <c r="AK33" s="71" t="s">
        <v>96</v>
      </c>
      <c r="AL33" s="71" t="s">
        <v>96</v>
      </c>
      <c r="AM33" s="71" t="s">
        <v>96</v>
      </c>
      <c r="AN33" s="71" t="s">
        <v>96</v>
      </c>
      <c r="AO33" s="160"/>
      <c r="AP33" s="160"/>
      <c r="AQ33" s="71" t="s">
        <v>96</v>
      </c>
      <c r="AR33" s="71" t="s">
        <v>96</v>
      </c>
      <c r="AS33" s="71" t="s">
        <v>96</v>
      </c>
      <c r="AT33" s="71" t="s">
        <v>96</v>
      </c>
      <c r="AU33" s="71" t="s">
        <v>96</v>
      </c>
      <c r="AV33" s="160"/>
      <c r="AW33" s="160"/>
      <c r="AX33" s="71" t="s">
        <v>96</v>
      </c>
      <c r="AY33" s="71" t="s">
        <v>96</v>
      </c>
      <c r="AZ33" s="71" t="s">
        <v>96</v>
      </c>
      <c r="BA33" s="71" t="s">
        <v>96</v>
      </c>
      <c r="BB33" s="71" t="s">
        <v>96</v>
      </c>
      <c r="BC33" s="71" t="s">
        <v>96</v>
      </c>
      <c r="BD33" s="71" t="s">
        <v>96</v>
      </c>
      <c r="BE33" s="71" t="s">
        <v>96</v>
      </c>
      <c r="BF33" s="71" t="s">
        <v>96</v>
      </c>
      <c r="BG33" s="71" t="s">
        <v>96</v>
      </c>
      <c r="BH33" s="71" t="s">
        <v>96</v>
      </c>
      <c r="BI33" s="71" t="s">
        <v>96</v>
      </c>
      <c r="BJ33" s="71"/>
      <c r="BK33" s="71" t="s">
        <v>96</v>
      </c>
      <c r="BL33" s="71" t="s">
        <v>96</v>
      </c>
      <c r="BM33" s="71" t="s">
        <v>96</v>
      </c>
      <c r="BN33" s="71" t="s">
        <v>96</v>
      </c>
      <c r="BO33" s="71" t="s">
        <v>96</v>
      </c>
      <c r="BP33" s="71" t="s">
        <v>96</v>
      </c>
      <c r="BQ33" s="71"/>
      <c r="BR33" s="71" t="s">
        <v>96</v>
      </c>
      <c r="BS33" s="71" t="s">
        <v>96</v>
      </c>
      <c r="BT33" s="71" t="s">
        <v>96</v>
      </c>
      <c r="BU33" s="71" t="s">
        <v>96</v>
      </c>
      <c r="BV33" s="71" t="s">
        <v>96</v>
      </c>
      <c r="BW33" s="71" t="s">
        <v>96</v>
      </c>
      <c r="BX33" s="71"/>
      <c r="BY33" s="71" t="s">
        <v>96</v>
      </c>
      <c r="BZ33" s="71" t="s">
        <v>96</v>
      </c>
      <c r="CA33" s="71" t="s">
        <v>96</v>
      </c>
      <c r="CB33" s="71" t="s">
        <v>96</v>
      </c>
      <c r="CC33" s="71" t="s">
        <v>96</v>
      </c>
      <c r="CD33" s="71" t="s">
        <v>96</v>
      </c>
      <c r="CE33" s="71"/>
      <c r="CF33" s="71" t="s">
        <v>96</v>
      </c>
      <c r="CG33" s="71" t="s">
        <v>96</v>
      </c>
      <c r="CH33" s="71" t="s">
        <v>96</v>
      </c>
      <c r="CI33" s="71" t="s">
        <v>96</v>
      </c>
      <c r="CJ33" s="71" t="s">
        <v>96</v>
      </c>
      <c r="CK33" s="71" t="s">
        <v>96</v>
      </c>
      <c r="CL33" s="71" t="s">
        <v>96</v>
      </c>
      <c r="CM33" s="71" t="s">
        <v>96</v>
      </c>
      <c r="CN33" s="71" t="s">
        <v>96</v>
      </c>
      <c r="CO33" s="71" t="s">
        <v>96</v>
      </c>
      <c r="CP33" s="71" t="s">
        <v>96</v>
      </c>
      <c r="CQ33" s="71" t="s">
        <v>96</v>
      </c>
      <c r="CR33" s="71" t="s">
        <v>96</v>
      </c>
      <c r="CS33" s="71"/>
      <c r="CT33" s="71" t="s">
        <v>96</v>
      </c>
      <c r="CU33" s="71" t="s">
        <v>96</v>
      </c>
      <c r="CV33" s="71" t="s">
        <v>96</v>
      </c>
      <c r="CW33" s="71" t="s">
        <v>96</v>
      </c>
      <c r="CX33" s="71" t="s">
        <v>96</v>
      </c>
      <c r="CY33" s="71" t="s">
        <v>96</v>
      </c>
      <c r="CZ33" s="71"/>
      <c r="DA33" s="71" t="s">
        <v>96</v>
      </c>
      <c r="DB33" s="71" t="s">
        <v>96</v>
      </c>
      <c r="DC33" s="71" t="s">
        <v>96</v>
      </c>
      <c r="DD33" s="71" t="s">
        <v>96</v>
      </c>
      <c r="DE33" s="71" t="s">
        <v>96</v>
      </c>
      <c r="DF33" s="71" t="s">
        <v>96</v>
      </c>
      <c r="DG33" s="71" t="s">
        <v>96</v>
      </c>
      <c r="DH33" s="160"/>
      <c r="DI33" s="71" t="s">
        <v>96</v>
      </c>
      <c r="DJ33" s="71" t="s">
        <v>96</v>
      </c>
      <c r="DK33" s="71" t="s">
        <v>96</v>
      </c>
      <c r="DL33" s="383"/>
      <c r="DM33" s="71" t="s">
        <v>96</v>
      </c>
      <c r="DN33" s="71" t="s">
        <v>96</v>
      </c>
      <c r="DO33" s="160"/>
      <c r="DP33" s="71" t="s">
        <v>96</v>
      </c>
      <c r="DQ33" s="71" t="s">
        <v>96</v>
      </c>
      <c r="DR33" s="71" t="s">
        <v>96</v>
      </c>
      <c r="DS33" s="71" t="s">
        <v>96</v>
      </c>
      <c r="DT33" s="383"/>
      <c r="DU33" s="71"/>
      <c r="DV33" s="71" t="s">
        <v>96</v>
      </c>
      <c r="DW33" s="71" t="s">
        <v>96</v>
      </c>
      <c r="DX33" s="71" t="s">
        <v>96</v>
      </c>
      <c r="DY33" s="71" t="s">
        <v>96</v>
      </c>
      <c r="DZ33" s="71" t="s">
        <v>96</v>
      </c>
      <c r="EA33" s="71" t="s">
        <v>96</v>
      </c>
      <c r="EB33" s="71" t="s">
        <v>96</v>
      </c>
      <c r="EC33" s="71" t="s">
        <v>96</v>
      </c>
      <c r="ED33" s="71" t="s">
        <v>96</v>
      </c>
      <c r="EE33" s="71" t="s">
        <v>96</v>
      </c>
      <c r="EF33" s="71" t="s">
        <v>96</v>
      </c>
      <c r="EG33" s="71" t="s">
        <v>96</v>
      </c>
      <c r="EH33" s="71" t="s">
        <v>96</v>
      </c>
      <c r="EI33" s="71"/>
      <c r="EJ33" s="71" t="s">
        <v>96</v>
      </c>
      <c r="EK33" s="71" t="s">
        <v>96</v>
      </c>
      <c r="EL33" s="160"/>
      <c r="EM33" s="71" t="s">
        <v>96</v>
      </c>
      <c r="EN33" s="71" t="s">
        <v>96</v>
      </c>
      <c r="EO33" s="71" t="s">
        <v>96</v>
      </c>
      <c r="EP33" s="71" t="s">
        <v>96</v>
      </c>
      <c r="EQ33" s="71" t="s">
        <v>96</v>
      </c>
      <c r="ER33" s="71" t="s">
        <v>96</v>
      </c>
      <c r="ES33" s="71" t="s">
        <v>96</v>
      </c>
      <c r="ET33" s="71" t="s">
        <v>96</v>
      </c>
      <c r="EU33" s="71" t="s">
        <v>96</v>
      </c>
      <c r="EV33" s="71" t="s">
        <v>96</v>
      </c>
      <c r="EW33" s="71" t="s">
        <v>96</v>
      </c>
      <c r="EX33" s="71" t="s">
        <v>96</v>
      </c>
      <c r="EY33" s="71" t="s">
        <v>96</v>
      </c>
      <c r="EZ33" s="71" t="s">
        <v>96</v>
      </c>
      <c r="FA33" s="71" t="s">
        <v>96</v>
      </c>
      <c r="FB33" s="71" t="s">
        <v>96</v>
      </c>
      <c r="FC33" s="71" t="s">
        <v>96</v>
      </c>
      <c r="FD33" s="71" t="s">
        <v>96</v>
      </c>
      <c r="FE33" s="71" t="s">
        <v>96</v>
      </c>
      <c r="FF33" s="71" t="s">
        <v>96</v>
      </c>
      <c r="FG33" s="71" t="s">
        <v>96</v>
      </c>
      <c r="FH33" s="71" t="s">
        <v>96</v>
      </c>
      <c r="FI33" s="71" t="s">
        <v>96</v>
      </c>
      <c r="FJ33" s="71" t="s">
        <v>96</v>
      </c>
      <c r="FK33" s="71" t="s">
        <v>96</v>
      </c>
      <c r="FL33" s="198"/>
      <c r="FM33" s="71" t="s">
        <v>96</v>
      </c>
      <c r="FN33" s="71" t="s">
        <v>96</v>
      </c>
      <c r="FO33" s="71" t="s">
        <v>96</v>
      </c>
      <c r="FP33" s="71" t="s">
        <v>96</v>
      </c>
      <c r="FQ33" s="71" t="s">
        <v>96</v>
      </c>
      <c r="FR33" s="199"/>
      <c r="FS33" s="198"/>
      <c r="FT33" s="71" t="s">
        <v>96</v>
      </c>
      <c r="FU33" s="71" t="s">
        <v>96</v>
      </c>
      <c r="FV33" s="71" t="s">
        <v>96</v>
      </c>
      <c r="FW33" s="71" t="s">
        <v>96</v>
      </c>
      <c r="FX33" s="71" t="s">
        <v>96</v>
      </c>
      <c r="FY33" s="199"/>
      <c r="FZ33" s="198"/>
      <c r="GA33" s="71" t="s">
        <v>96</v>
      </c>
      <c r="GB33" s="71" t="s">
        <v>96</v>
      </c>
      <c r="GC33" s="71" t="s">
        <v>96</v>
      </c>
      <c r="GD33" s="71" t="s">
        <v>96</v>
      </c>
      <c r="GE33" s="71" t="s">
        <v>96</v>
      </c>
      <c r="GF33" s="199"/>
      <c r="GG33" s="198"/>
      <c r="GH33" s="71" t="s">
        <v>96</v>
      </c>
      <c r="GI33" s="71" t="s">
        <v>96</v>
      </c>
      <c r="GJ33" s="71"/>
      <c r="GK33" s="71"/>
      <c r="GM33" s="71"/>
    </row>
    <row r="34" spans="1:195" s="72" customFormat="1">
      <c r="BT34" s="77"/>
      <c r="CN34" s="74"/>
      <c r="CO34" s="74"/>
      <c r="CP34" s="74"/>
      <c r="CQ34" s="74"/>
      <c r="CR34" s="74"/>
      <c r="CS34" s="74"/>
    </row>
    <row r="35" spans="1:195" s="72" customFormat="1">
      <c r="A35" s="76" t="s">
        <v>95</v>
      </c>
      <c r="B35" s="76"/>
      <c r="C35" s="76"/>
      <c r="BT35" s="77"/>
      <c r="CN35" s="74"/>
      <c r="CO35" s="74"/>
      <c r="CP35" s="74"/>
      <c r="CQ35" s="74"/>
      <c r="CR35" s="74"/>
      <c r="CS35" s="74"/>
    </row>
    <row r="36" spans="1:195" s="72" customFormat="1">
      <c r="A36" s="76"/>
      <c r="B36" s="72" t="s">
        <v>19</v>
      </c>
      <c r="BT36" s="77"/>
      <c r="CN36" s="74"/>
      <c r="CO36" s="74"/>
      <c r="CP36" s="74"/>
      <c r="CQ36" s="74"/>
      <c r="CR36" s="74"/>
      <c r="CS36" s="74"/>
    </row>
    <row r="37" spans="1:195" s="72" customFormat="1">
      <c r="A37" s="384" t="s">
        <v>94</v>
      </c>
      <c r="B37" s="385"/>
      <c r="C37" s="385"/>
      <c r="BT37" s="77"/>
      <c r="CN37" s="74"/>
      <c r="CO37" s="74"/>
      <c r="CP37" s="74"/>
      <c r="CQ37" s="74"/>
      <c r="CR37" s="74"/>
      <c r="CS37" s="74"/>
    </row>
    <row r="38" spans="1:195" s="72" customFormat="1">
      <c r="A38" s="385"/>
      <c r="B38" s="385"/>
      <c r="C38" s="385"/>
      <c r="BT38" s="77"/>
      <c r="CN38" s="74"/>
      <c r="CO38" s="74"/>
      <c r="CP38" s="74"/>
      <c r="CQ38" s="74"/>
      <c r="CR38" s="74"/>
      <c r="CS38" s="74"/>
    </row>
    <row r="39" spans="1:195" s="72" customFormat="1">
      <c r="A39" s="385"/>
      <c r="B39" s="385"/>
      <c r="C39" s="385"/>
      <c r="BT39" s="77"/>
      <c r="CN39" s="74"/>
      <c r="CO39" s="74"/>
      <c r="CP39" s="74"/>
      <c r="CQ39" s="74"/>
      <c r="CR39" s="74"/>
      <c r="CS39" s="74"/>
    </row>
    <row r="40" spans="1:195" s="72" customFormat="1">
      <c r="BT40" s="77"/>
      <c r="CN40" s="74"/>
      <c r="CO40" s="74"/>
      <c r="CP40" s="74"/>
      <c r="CQ40" s="74"/>
      <c r="CR40" s="74"/>
      <c r="CS40" s="74"/>
    </row>
    <row r="41" spans="1:195" s="72" customFormat="1">
      <c r="BT41" s="77"/>
      <c r="CN41" s="74"/>
      <c r="CO41" s="74"/>
      <c r="CP41" s="74"/>
      <c r="CQ41" s="74"/>
      <c r="CR41" s="74"/>
      <c r="CS41" s="74"/>
    </row>
    <row r="42" spans="1:195" s="72" customFormat="1">
      <c r="BT42" s="77"/>
      <c r="CN42" s="74"/>
      <c r="CO42" s="74"/>
      <c r="CP42" s="74"/>
      <c r="CQ42" s="74"/>
      <c r="CR42" s="74"/>
      <c r="CS42" s="74"/>
    </row>
    <row r="43" spans="1:195" s="72" customFormat="1">
      <c r="BT43" s="77"/>
      <c r="CN43" s="74"/>
      <c r="CO43" s="74"/>
      <c r="CP43" s="74"/>
      <c r="CQ43" s="74"/>
      <c r="CR43" s="74"/>
      <c r="CS43" s="74"/>
    </row>
    <row r="44" spans="1:195" s="72" customFormat="1">
      <c r="BT44" s="77"/>
      <c r="CN44" s="74"/>
      <c r="CO44" s="74"/>
      <c r="CP44" s="74"/>
      <c r="CQ44" s="74"/>
      <c r="CR44" s="74"/>
      <c r="CS44" s="74"/>
    </row>
    <row r="45" spans="1:195" s="72" customFormat="1">
      <c r="BT45" s="77"/>
      <c r="CN45" s="74"/>
      <c r="CO45" s="74"/>
      <c r="CP45" s="74"/>
      <c r="CQ45" s="74"/>
      <c r="CR45" s="74"/>
      <c r="CS45" s="74"/>
    </row>
    <row r="46" spans="1:195" s="72" customFormat="1">
      <c r="BT46" s="77"/>
      <c r="CN46" s="74"/>
      <c r="CO46" s="74"/>
      <c r="CP46" s="74"/>
      <c r="CQ46" s="74"/>
      <c r="CR46" s="74"/>
      <c r="CS46" s="74"/>
    </row>
    <row r="47" spans="1:195" s="72" customFormat="1">
      <c r="BT47" s="77"/>
      <c r="CN47" s="74"/>
      <c r="CO47" s="74"/>
      <c r="CP47" s="74"/>
      <c r="CQ47" s="74"/>
      <c r="CR47" s="74"/>
      <c r="CS47" s="74"/>
    </row>
    <row r="48" spans="1:195" s="72" customFormat="1">
      <c r="BT48" s="77"/>
      <c r="CN48" s="74"/>
      <c r="CO48" s="74"/>
      <c r="CP48" s="74"/>
      <c r="CQ48" s="74"/>
      <c r="CR48" s="74"/>
      <c r="CS48" s="74"/>
    </row>
    <row r="49" spans="41:97" s="72" customFormat="1">
      <c r="BT49" s="77"/>
      <c r="CN49" s="74"/>
      <c r="CO49" s="74"/>
      <c r="CP49" s="74"/>
      <c r="CQ49" s="74"/>
      <c r="CR49" s="74"/>
      <c r="CS49" s="74"/>
    </row>
    <row r="50" spans="41:97" s="72" customFormat="1">
      <c r="BT50" s="77"/>
      <c r="CN50" s="74"/>
      <c r="CO50" s="74"/>
      <c r="CP50" s="74"/>
      <c r="CQ50" s="74"/>
      <c r="CR50" s="74"/>
      <c r="CS50" s="74"/>
    </row>
    <row r="51" spans="41:97" s="72" customFormat="1">
      <c r="BT51" s="77"/>
      <c r="CN51" s="74"/>
      <c r="CO51" s="74"/>
      <c r="CP51" s="74"/>
      <c r="CQ51" s="74"/>
      <c r="CR51" s="74"/>
      <c r="CS51" s="74"/>
    </row>
    <row r="52" spans="41:97" s="72" customFormat="1">
      <c r="BT52" s="77"/>
      <c r="CN52" s="74"/>
      <c r="CO52" s="74"/>
      <c r="CP52" s="74"/>
      <c r="CQ52" s="74"/>
      <c r="CR52" s="74"/>
      <c r="CS52" s="74"/>
    </row>
    <row r="53" spans="41:97" s="72" customFormat="1">
      <c r="BT53" s="77"/>
      <c r="CN53" s="74"/>
      <c r="CO53" s="74"/>
      <c r="CP53" s="74"/>
      <c r="CQ53" s="74"/>
      <c r="CR53" s="74"/>
      <c r="CS53" s="74"/>
    </row>
    <row r="54" spans="41:97" s="72" customFormat="1">
      <c r="BT54" s="77"/>
      <c r="CN54" s="74"/>
      <c r="CO54" s="74"/>
      <c r="CP54" s="74"/>
      <c r="CQ54" s="74"/>
      <c r="CR54" s="74"/>
      <c r="CS54" s="74"/>
    </row>
    <row r="55" spans="41:97" s="72" customFormat="1">
      <c r="BT55" s="77"/>
    </row>
    <row r="56" spans="41:97" s="72" customFormat="1">
      <c r="BT56" s="77"/>
    </row>
    <row r="57" spans="41:97" s="72" customFormat="1">
      <c r="BT57" s="77"/>
    </row>
    <row r="58" spans="41:97" s="72" customFormat="1">
      <c r="BT58" s="77"/>
    </row>
    <row r="59" spans="41:97" s="72" customFormat="1">
      <c r="BT59" s="77"/>
    </row>
    <row r="60" spans="41:97" s="72" customFormat="1">
      <c r="BT60" s="77"/>
    </row>
    <row r="61" spans="41:97" s="72" customFormat="1">
      <c r="AO61" s="72">
        <v>14</v>
      </c>
      <c r="BT61" s="77"/>
    </row>
    <row r="62" spans="41:97" s="72" customFormat="1">
      <c r="AO62" s="72">
        <v>26</v>
      </c>
      <c r="BT62" s="77"/>
    </row>
  </sheetData>
  <customSheetViews>
    <customSheetView guid="{03091628-F6D4-4F96-BE8D-F71180D05B85}" fitToPage="1" showRuler="0">
      <pane xSplit="3" topLeftCell="AQ1" activePane="topRight" state="frozen"/>
      <selection pane="topRight" activeCell="C1" sqref="C1"/>
      <pageMargins left="0.37" right="0.74803149606299202" top="0.98425196850393704" bottom="0.98425196850393704" header="0.511811023622047" footer="0.511811023622047"/>
      <pageSetup paperSize="9" scale="10" orientation="landscape" r:id="rId1"/>
      <headerFooter alignWithMargins="0">
        <oddHeader xml:space="preserve">&amp;C&amp;"Arial,Kalın"&amp;12AÇILIŞ DENETİMİ
KONTROL LİSTESİ
</oddHeader>
      </headerFooter>
    </customSheetView>
    <customSheetView guid="{271AA8F8-60C3-4229-917D-1AD0132C3662}" fitToPage="1" showRuler="0" topLeftCell="A7">
      <pane xSplit="3" topLeftCell="Q1" activePane="topRight" state="frozen"/>
      <selection pane="topRight" activeCell="Q40" sqref="Q40"/>
      <pageMargins left="0.37" right="0.74803149606299202" top="0.98425196850393704" bottom="0.98425196850393704" header="0.511811023622047" footer="0.511811023622047"/>
      <pageSetup paperSize="9" scale="10" orientation="landscape" r:id="rId2"/>
      <headerFooter alignWithMargins="0">
        <oddHeader xml:space="preserve">&amp;C&amp;"Arial,Kalın"&amp;12AÇILIŞ DENETİMİ
KONTROL LİSTESİ
</oddHeader>
      </headerFooter>
    </customSheetView>
    <customSheetView guid="{528AB2D6-6AB1-4EDF-82FA-E8DF1DDBF2B7}" showPageBreaks="1" fitToPage="1" showRuler="0">
      <pane xSplit="3" topLeftCell="CD1" activePane="topRight" state="frozen"/>
      <selection pane="topRight" activeCell="CH18" sqref="CH18"/>
      <pageMargins left="0.37" right="0.74803149606299202" top="0.98425196850393704" bottom="0.98425196850393704" header="0.511811023622047" footer="0.511811023622047"/>
      <pageSetup paperSize="9" scale="10" orientation="landscape" r:id="rId3"/>
      <headerFooter alignWithMargins="0">
        <oddHeader xml:space="preserve">&amp;C&amp;"Arial,Kalın"&amp;12AÇILIŞ DENETİMİ
KONTROL LİSTESİ
</oddHeader>
      </headerFooter>
    </customSheetView>
    <customSheetView guid="{F1C5ABF4-42E4-44BC-9688-F813E67E9DF6}" fitToPage="1" showRuler="0">
      <pane xSplit="3" topLeftCell="DB1" activePane="topRight" state="frozen"/>
      <selection pane="topRight" activeCell="DF21" sqref="DF21"/>
      <pageMargins left="0.37" right="0.74803149606299202" top="0.98425196850393704" bottom="0.98425196850393704" header="0.511811023622047" footer="0.511811023622047"/>
      <pageSetup paperSize="9" scale="10" orientation="landscape" r:id="rId4"/>
      <headerFooter alignWithMargins="0">
        <oddHeader xml:space="preserve">&amp;C&amp;"Arial,Kalın"&amp;12AÇILIŞ DENETİMİ
KONTROL LİSTESİ
</oddHeader>
      </headerFooter>
    </customSheetView>
    <customSheetView guid="{2F6CC16A-0ECF-4CDA-A0ED-393648E899F1}" fitToPage="1" showRuler="0" topLeftCell="A4">
      <pane xSplit="3" topLeftCell="BD1" activePane="topRight" state="frozen"/>
      <selection pane="topRight" activeCell="BF29" sqref="BF29"/>
      <pageMargins left="0.37" right="0.74803149606299202" top="0.98425196850393704" bottom="0.98425196850393704" header="0.511811023622047" footer="0.511811023622047"/>
      <pageSetup paperSize="9" scale="10" orientation="landscape" r:id="rId5"/>
      <headerFooter alignWithMargins="0">
        <oddHeader xml:space="preserve">&amp;C&amp;"Arial,Kalın"&amp;12AÇILIŞ DENETİMİ
KONTROL LİSTESİ
</oddHeader>
      </headerFooter>
    </customSheetView>
    <customSheetView guid="{7B628B3C-52F9-4A25-BBE2-E9704E2B4E64}" showPageBreaks="1" fitToPage="1" showRuler="0">
      <pane xSplit="3" topLeftCell="CW1" activePane="topRight" state="frozen"/>
      <selection pane="topRight" activeCell="CZ19" sqref="CZ19"/>
      <pageMargins left="0.37" right="0.74803149606299202" top="0.98425196850393704" bottom="0.98425196850393704" header="0.511811023622047" footer="0.511811023622047"/>
      <pageSetup paperSize="9" scale="10" orientation="landscape" r:id="rId6"/>
      <headerFooter alignWithMargins="0">
        <oddHeader xml:space="preserve">&amp;C&amp;"Arial,Kalın"&amp;12AÇILIŞ DENETİMİ
KONTROL LİSTESİ
</oddHeader>
      </headerFooter>
    </customSheetView>
    <customSheetView guid="{14901331-E232-4D80-AB2F-46B07F54F7E7}" showPageBreaks="1" fitToPage="1" showRuler="0">
      <pane xSplit="3" topLeftCell="BR1" activePane="topRight" state="frozen"/>
      <selection pane="topRight" activeCell="BV21" sqref="BV21"/>
      <pageMargins left="0.37" right="0.74803149606299202" top="0.98425196850393704" bottom="0.98425196850393704" header="0.511811023622047" footer="0.511811023622047"/>
      <pageSetup paperSize="9" scale="10" orientation="landscape" r:id="rId7"/>
      <headerFooter alignWithMargins="0">
        <oddHeader xml:space="preserve">&amp;C&amp;"Arial,Kalın"&amp;12AÇILIŞ DENETİMİ
KONTROL LİSTESİ
</oddHeader>
      </headerFooter>
    </customSheetView>
    <customSheetView guid="{1B8A84A3-3ABB-4F6A-9729-15A06ABCCAD7}" showPageBreaks="1" fitToPage="1" showRuler="0" topLeftCell="A2">
      <pane xSplit="3" topLeftCell="BJ1" activePane="topRight" state="frozen"/>
      <selection pane="topRight" activeCell="BP5" sqref="BP5"/>
      <pageMargins left="0.37" right="0.74803149606299202" top="0.98425196850393704" bottom="0.98425196850393704" header="0.511811023622047" footer="0.511811023622047"/>
      <pageSetup paperSize="9" scale="10" orientation="landscape" r:id="rId8"/>
      <headerFooter alignWithMargins="0">
        <oddHeader xml:space="preserve">&amp;C&amp;"Arial,Kalın"&amp;12AÇILIŞ DENETİMİ
KONTROL LİSTESİ
</oddHeader>
      </headerFooter>
    </customSheetView>
  </customSheetViews>
  <mergeCells count="9">
    <mergeCell ref="DT5:DT33"/>
    <mergeCell ref="A37:C39"/>
    <mergeCell ref="B2:C3"/>
    <mergeCell ref="B1:C1"/>
    <mergeCell ref="A4:A33"/>
    <mergeCell ref="B4:B12"/>
    <mergeCell ref="B28:B33"/>
    <mergeCell ref="B13:B27"/>
    <mergeCell ref="DL5:DL33"/>
  </mergeCells>
  <phoneticPr fontId="0" type="noConversion"/>
  <pageMargins left="0.37" right="0.74803149606299202" top="0.98425196850393704" bottom="0.98425196850393704" header="0.511811023622047" footer="0.511811023622047"/>
  <pageSetup paperSize="9" scale="10" orientation="landscape" r:id="rId9"/>
  <headerFooter alignWithMargins="0">
    <oddHeader xml:space="preserve">&amp;C&amp;"Arial,Kalın"&amp;12AÇILIŞ DENETİMİ
KONTROL LİSTESİ
</oddHeader>
  </headerFooter>
  <drawing r:id="rId10"/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CCFF"/>
  </sheetPr>
  <dimension ref="A1:ND37"/>
  <sheetViews>
    <sheetView tabSelected="1" view="pageLayout" topLeftCell="A48" zoomScaleNormal="100" workbookViewId="0">
      <selection activeCell="C2" sqref="C2"/>
    </sheetView>
  </sheetViews>
  <sheetFormatPr defaultRowHeight="21"/>
  <cols>
    <col min="1" max="1" width="8.7109375" style="359" customWidth="1"/>
    <col min="2" max="2" width="37.140625" style="358" bestFit="1" customWidth="1"/>
    <col min="3" max="32" width="8.85546875" style="3" customWidth="1"/>
    <col min="33" max="41" width="7.85546875" style="3" bestFit="1" customWidth="1"/>
    <col min="42" max="61" width="8.85546875" style="3" bestFit="1" customWidth="1"/>
    <col min="62" max="70" width="6.5703125" style="3" bestFit="1" customWidth="1"/>
    <col min="71" max="101" width="7.5703125" style="3" bestFit="1" customWidth="1"/>
    <col min="102" max="122" width="8.5703125" style="3" bestFit="1" customWidth="1"/>
    <col min="123" max="131" width="7.7109375" style="3" bestFit="1" customWidth="1"/>
    <col min="132" max="153" width="8.7109375" style="3" bestFit="1" customWidth="1"/>
    <col min="154" max="162" width="9.5703125" style="3" bestFit="1" customWidth="1"/>
    <col min="163" max="183" width="10.5703125" style="3" customWidth="1"/>
    <col min="184" max="192" width="10.42578125" style="3" bestFit="1" customWidth="1"/>
    <col min="193" max="214" width="11.42578125" style="3" bestFit="1" customWidth="1"/>
    <col min="215" max="223" width="9.5703125" style="3" bestFit="1" customWidth="1"/>
    <col min="224" max="245" width="10.5703125" style="3" bestFit="1" customWidth="1"/>
    <col min="246" max="254" width="7" style="3" bestFit="1" customWidth="1"/>
    <col min="255" max="275" width="8" style="3" bestFit="1" customWidth="1"/>
    <col min="276" max="284" width="7" style="3" bestFit="1" customWidth="1"/>
    <col min="285" max="306" width="8" style="3" bestFit="1" customWidth="1"/>
    <col min="307" max="315" width="8.140625" style="3" bestFit="1" customWidth="1"/>
    <col min="316" max="336" width="9.140625" style="3" bestFit="1" customWidth="1"/>
    <col min="337" max="345" width="7.85546875" style="3" bestFit="1" customWidth="1"/>
    <col min="346" max="367" width="8.85546875" style="3" bestFit="1" customWidth="1"/>
    <col min="368" max="368" width="11.5703125" style="3" customWidth="1"/>
  </cols>
  <sheetData>
    <row r="1" spans="1:368" s="361" customFormat="1" ht="25.5" customHeight="1" thickTop="1" thickBot="1">
      <c r="A1" s="398" t="s">
        <v>130</v>
      </c>
      <c r="B1" s="399"/>
      <c r="C1" s="360">
        <v>40910</v>
      </c>
      <c r="D1" s="360">
        <v>40911</v>
      </c>
      <c r="E1" s="360">
        <v>40912</v>
      </c>
      <c r="F1" s="360">
        <v>40913</v>
      </c>
      <c r="G1" s="360">
        <v>40914</v>
      </c>
      <c r="H1" s="360">
        <v>40915</v>
      </c>
      <c r="I1" s="360">
        <v>40916</v>
      </c>
      <c r="J1" s="360">
        <v>40917</v>
      </c>
      <c r="K1" s="360">
        <v>40918</v>
      </c>
      <c r="L1" s="360">
        <v>40919</v>
      </c>
      <c r="M1" s="360">
        <v>40920</v>
      </c>
      <c r="N1" s="360">
        <v>40921</v>
      </c>
      <c r="O1" s="360">
        <v>40922</v>
      </c>
      <c r="P1" s="360">
        <v>40923</v>
      </c>
      <c r="Q1" s="360">
        <v>40924</v>
      </c>
      <c r="R1" s="360">
        <v>40925</v>
      </c>
      <c r="S1" s="360">
        <v>40926</v>
      </c>
      <c r="T1" s="360">
        <v>40927</v>
      </c>
      <c r="U1" s="360">
        <v>40928</v>
      </c>
      <c r="V1" s="360">
        <v>40929</v>
      </c>
      <c r="W1" s="360">
        <v>40930</v>
      </c>
      <c r="X1" s="360">
        <v>40931</v>
      </c>
      <c r="Y1" s="360">
        <v>40932</v>
      </c>
      <c r="Z1" s="360">
        <v>40933</v>
      </c>
      <c r="AA1" s="360">
        <v>40934</v>
      </c>
      <c r="AB1" s="360">
        <v>40935</v>
      </c>
      <c r="AC1" s="360">
        <v>40936</v>
      </c>
      <c r="AD1" s="360">
        <v>40937</v>
      </c>
      <c r="AE1" s="360">
        <v>40938</v>
      </c>
      <c r="AF1" s="360">
        <v>40939</v>
      </c>
      <c r="AG1" s="360">
        <v>40940</v>
      </c>
      <c r="AH1" s="360">
        <v>40941</v>
      </c>
      <c r="AI1" s="360">
        <v>40942</v>
      </c>
      <c r="AJ1" s="360">
        <v>40943</v>
      </c>
      <c r="AK1" s="360">
        <v>40944</v>
      </c>
      <c r="AL1" s="360">
        <v>40945</v>
      </c>
      <c r="AM1" s="360">
        <v>40946</v>
      </c>
      <c r="AN1" s="360">
        <v>40947</v>
      </c>
      <c r="AO1" s="360">
        <v>40948</v>
      </c>
      <c r="AP1" s="360">
        <v>40949</v>
      </c>
      <c r="AQ1" s="360">
        <v>40950</v>
      </c>
      <c r="AR1" s="360">
        <v>40951</v>
      </c>
      <c r="AS1" s="360">
        <v>40952</v>
      </c>
      <c r="AT1" s="360">
        <v>40953</v>
      </c>
      <c r="AU1" s="360">
        <v>40954</v>
      </c>
      <c r="AV1" s="360">
        <v>40955</v>
      </c>
      <c r="AW1" s="360">
        <v>40956</v>
      </c>
      <c r="AX1" s="360">
        <v>40957</v>
      </c>
      <c r="AY1" s="360">
        <v>40958</v>
      </c>
      <c r="AZ1" s="360">
        <v>40959</v>
      </c>
      <c r="BA1" s="360">
        <v>40960</v>
      </c>
      <c r="BB1" s="360">
        <v>40961</v>
      </c>
      <c r="BC1" s="360">
        <v>40962</v>
      </c>
      <c r="BD1" s="360">
        <v>40963</v>
      </c>
      <c r="BE1" s="360">
        <v>40964</v>
      </c>
      <c r="BF1" s="360">
        <v>40965</v>
      </c>
      <c r="BG1" s="360">
        <v>40966</v>
      </c>
      <c r="BH1" s="360">
        <v>40967</v>
      </c>
      <c r="BI1" s="360">
        <v>40968</v>
      </c>
      <c r="BJ1" s="360">
        <v>40969</v>
      </c>
      <c r="BK1" s="360">
        <v>40970</v>
      </c>
      <c r="BL1" s="360">
        <v>40971</v>
      </c>
      <c r="BM1" s="360">
        <v>40972</v>
      </c>
      <c r="BN1" s="360">
        <v>40973</v>
      </c>
      <c r="BO1" s="360">
        <v>40974</v>
      </c>
      <c r="BP1" s="360">
        <v>40975</v>
      </c>
      <c r="BQ1" s="360">
        <v>40976</v>
      </c>
      <c r="BR1" s="360">
        <v>40977</v>
      </c>
      <c r="BS1" s="360">
        <v>40978</v>
      </c>
      <c r="BT1" s="360">
        <v>40979</v>
      </c>
      <c r="BU1" s="360">
        <v>40980</v>
      </c>
      <c r="BV1" s="360">
        <v>40981</v>
      </c>
      <c r="BW1" s="360">
        <v>40982</v>
      </c>
      <c r="BX1" s="360">
        <v>40983</v>
      </c>
      <c r="BY1" s="360">
        <v>40984</v>
      </c>
      <c r="BZ1" s="360">
        <v>40985</v>
      </c>
      <c r="CA1" s="360">
        <v>40986</v>
      </c>
      <c r="CB1" s="360">
        <v>40987</v>
      </c>
      <c r="CC1" s="360">
        <v>40988</v>
      </c>
      <c r="CD1" s="360">
        <v>40989</v>
      </c>
      <c r="CE1" s="360">
        <v>40990</v>
      </c>
      <c r="CF1" s="360">
        <v>40991</v>
      </c>
      <c r="CG1" s="360">
        <v>40992</v>
      </c>
      <c r="CH1" s="360">
        <v>40993</v>
      </c>
      <c r="CI1" s="360">
        <v>40994</v>
      </c>
      <c r="CJ1" s="360">
        <v>40995</v>
      </c>
      <c r="CK1" s="360">
        <v>40996</v>
      </c>
      <c r="CL1" s="360">
        <v>40997</v>
      </c>
      <c r="CM1" s="360">
        <v>40998</v>
      </c>
      <c r="CN1" s="360">
        <v>40999</v>
      </c>
      <c r="CO1" s="360">
        <v>41000</v>
      </c>
      <c r="CP1" s="360">
        <v>41001</v>
      </c>
      <c r="CQ1" s="360">
        <v>41002</v>
      </c>
      <c r="CR1" s="360">
        <v>41003</v>
      </c>
      <c r="CS1" s="360">
        <v>41004</v>
      </c>
      <c r="CT1" s="360">
        <v>41005</v>
      </c>
      <c r="CU1" s="360">
        <v>41006</v>
      </c>
      <c r="CV1" s="360">
        <v>41007</v>
      </c>
      <c r="CW1" s="360">
        <v>41008</v>
      </c>
      <c r="CX1" s="360">
        <v>41009</v>
      </c>
      <c r="CY1" s="360">
        <v>41010</v>
      </c>
      <c r="CZ1" s="360">
        <v>41011</v>
      </c>
      <c r="DA1" s="360">
        <v>41012</v>
      </c>
      <c r="DB1" s="360">
        <v>41013</v>
      </c>
      <c r="DC1" s="360">
        <v>41014</v>
      </c>
      <c r="DD1" s="360">
        <v>41015</v>
      </c>
      <c r="DE1" s="360">
        <v>41016</v>
      </c>
      <c r="DF1" s="360">
        <v>41017</v>
      </c>
      <c r="DG1" s="360">
        <v>41018</v>
      </c>
      <c r="DH1" s="360">
        <v>41019</v>
      </c>
      <c r="DI1" s="360">
        <v>41020</v>
      </c>
      <c r="DJ1" s="360">
        <v>41021</v>
      </c>
      <c r="DK1" s="360">
        <v>41022</v>
      </c>
      <c r="DL1" s="360">
        <v>41023</v>
      </c>
      <c r="DM1" s="360">
        <v>41024</v>
      </c>
      <c r="DN1" s="360">
        <v>41025</v>
      </c>
      <c r="DO1" s="360">
        <v>41026</v>
      </c>
      <c r="DP1" s="360">
        <v>41027</v>
      </c>
      <c r="DQ1" s="360">
        <v>41028</v>
      </c>
      <c r="DR1" s="360">
        <v>41029</v>
      </c>
      <c r="DS1" s="360">
        <v>41030</v>
      </c>
      <c r="DT1" s="360">
        <v>41031</v>
      </c>
      <c r="DU1" s="360">
        <v>41032</v>
      </c>
      <c r="DV1" s="360">
        <v>41033</v>
      </c>
      <c r="DW1" s="360">
        <v>41034</v>
      </c>
      <c r="DX1" s="360">
        <v>41035</v>
      </c>
      <c r="DY1" s="360">
        <v>41036</v>
      </c>
      <c r="DZ1" s="360">
        <v>41037</v>
      </c>
      <c r="EA1" s="360">
        <v>41038</v>
      </c>
      <c r="EB1" s="360">
        <v>41039</v>
      </c>
      <c r="EC1" s="360">
        <v>41040</v>
      </c>
      <c r="ED1" s="360">
        <v>41041</v>
      </c>
      <c r="EE1" s="360">
        <v>41042</v>
      </c>
      <c r="EF1" s="360">
        <v>41043</v>
      </c>
      <c r="EG1" s="360">
        <v>41044</v>
      </c>
      <c r="EH1" s="360">
        <v>41045</v>
      </c>
      <c r="EI1" s="360">
        <v>41046</v>
      </c>
      <c r="EJ1" s="360">
        <v>41047</v>
      </c>
      <c r="EK1" s="360">
        <v>41048</v>
      </c>
      <c r="EL1" s="360">
        <v>41049</v>
      </c>
      <c r="EM1" s="360">
        <v>41050</v>
      </c>
      <c r="EN1" s="360">
        <v>41051</v>
      </c>
      <c r="EO1" s="360">
        <v>41052</v>
      </c>
      <c r="EP1" s="360">
        <v>41053</v>
      </c>
      <c r="EQ1" s="360">
        <v>41054</v>
      </c>
      <c r="ER1" s="360">
        <v>41055</v>
      </c>
      <c r="ES1" s="360">
        <v>41056</v>
      </c>
      <c r="ET1" s="360">
        <v>41057</v>
      </c>
      <c r="EU1" s="360">
        <v>41058</v>
      </c>
      <c r="EV1" s="360">
        <v>41059</v>
      </c>
      <c r="EW1" s="360">
        <v>41060</v>
      </c>
      <c r="EX1" s="360">
        <v>41061</v>
      </c>
      <c r="EY1" s="360">
        <v>41062</v>
      </c>
      <c r="EZ1" s="360">
        <v>41063</v>
      </c>
      <c r="FA1" s="360">
        <v>41064</v>
      </c>
      <c r="FB1" s="360">
        <v>41065</v>
      </c>
      <c r="FC1" s="360">
        <v>41066</v>
      </c>
      <c r="FD1" s="360">
        <v>41067</v>
      </c>
      <c r="FE1" s="360">
        <v>41068</v>
      </c>
      <c r="FF1" s="360">
        <v>41069</v>
      </c>
      <c r="FG1" s="360">
        <v>41070</v>
      </c>
      <c r="FH1" s="360">
        <v>41071</v>
      </c>
      <c r="FI1" s="360">
        <v>41072</v>
      </c>
      <c r="FJ1" s="360">
        <v>41073</v>
      </c>
      <c r="FK1" s="360">
        <v>41074</v>
      </c>
      <c r="FL1" s="360">
        <v>41075</v>
      </c>
      <c r="FM1" s="360">
        <v>41076</v>
      </c>
      <c r="FN1" s="360">
        <v>41077</v>
      </c>
      <c r="FO1" s="360">
        <v>41078</v>
      </c>
      <c r="FP1" s="360">
        <v>41079</v>
      </c>
      <c r="FQ1" s="360">
        <v>41080</v>
      </c>
      <c r="FR1" s="360">
        <v>41081</v>
      </c>
      <c r="FS1" s="360">
        <v>41082</v>
      </c>
      <c r="FT1" s="360">
        <v>41083</v>
      </c>
      <c r="FU1" s="360">
        <v>41084</v>
      </c>
      <c r="FV1" s="360">
        <v>41085</v>
      </c>
      <c r="FW1" s="360">
        <v>41086</v>
      </c>
      <c r="FX1" s="360">
        <v>41087</v>
      </c>
      <c r="FY1" s="360">
        <v>41088</v>
      </c>
      <c r="FZ1" s="360">
        <v>41089</v>
      </c>
      <c r="GA1" s="360">
        <v>41090</v>
      </c>
      <c r="GB1" s="360">
        <v>41091</v>
      </c>
      <c r="GC1" s="360">
        <v>41092</v>
      </c>
      <c r="GD1" s="360">
        <v>41093</v>
      </c>
      <c r="GE1" s="360">
        <v>41094</v>
      </c>
      <c r="GF1" s="360">
        <v>41095</v>
      </c>
      <c r="GG1" s="360">
        <v>41096</v>
      </c>
      <c r="GH1" s="360">
        <v>41097</v>
      </c>
      <c r="GI1" s="360">
        <v>41098</v>
      </c>
      <c r="GJ1" s="360">
        <v>41099</v>
      </c>
      <c r="GK1" s="360">
        <v>41100</v>
      </c>
      <c r="GL1" s="360">
        <v>41101</v>
      </c>
      <c r="GM1" s="360">
        <v>41102</v>
      </c>
      <c r="GN1" s="360">
        <v>41103</v>
      </c>
      <c r="GO1" s="360">
        <v>41104</v>
      </c>
      <c r="GP1" s="360">
        <v>41105</v>
      </c>
      <c r="GQ1" s="360">
        <v>41106</v>
      </c>
      <c r="GR1" s="360">
        <v>41107</v>
      </c>
      <c r="GS1" s="360">
        <v>41108</v>
      </c>
      <c r="GT1" s="360">
        <v>41109</v>
      </c>
      <c r="GU1" s="360">
        <v>41110</v>
      </c>
      <c r="GV1" s="360">
        <v>41111</v>
      </c>
      <c r="GW1" s="360">
        <v>41112</v>
      </c>
      <c r="GX1" s="360">
        <v>41113</v>
      </c>
      <c r="GY1" s="360">
        <v>41114</v>
      </c>
      <c r="GZ1" s="360">
        <v>41115</v>
      </c>
      <c r="HA1" s="360">
        <v>41116</v>
      </c>
      <c r="HB1" s="360">
        <v>41117</v>
      </c>
      <c r="HC1" s="360">
        <v>41118</v>
      </c>
      <c r="HD1" s="360">
        <v>41119</v>
      </c>
      <c r="HE1" s="360">
        <v>41120</v>
      </c>
      <c r="HF1" s="360">
        <v>41121</v>
      </c>
      <c r="HG1" s="360">
        <v>41122</v>
      </c>
      <c r="HH1" s="360">
        <v>41123</v>
      </c>
      <c r="HI1" s="360">
        <v>41124</v>
      </c>
      <c r="HJ1" s="360">
        <v>41125</v>
      </c>
      <c r="HK1" s="360">
        <v>41126</v>
      </c>
      <c r="HL1" s="360">
        <v>41127</v>
      </c>
      <c r="HM1" s="360">
        <v>41128</v>
      </c>
      <c r="HN1" s="360">
        <v>41129</v>
      </c>
      <c r="HO1" s="360">
        <v>41130</v>
      </c>
      <c r="HP1" s="360">
        <v>41131</v>
      </c>
      <c r="HQ1" s="360">
        <v>41132</v>
      </c>
      <c r="HR1" s="360">
        <v>41133</v>
      </c>
      <c r="HS1" s="360">
        <v>41134</v>
      </c>
      <c r="HT1" s="360">
        <v>41135</v>
      </c>
      <c r="HU1" s="360">
        <v>41136</v>
      </c>
      <c r="HV1" s="360">
        <v>41137</v>
      </c>
      <c r="HW1" s="360">
        <v>41138</v>
      </c>
      <c r="HX1" s="360">
        <v>41139</v>
      </c>
      <c r="HY1" s="360">
        <v>41140</v>
      </c>
      <c r="HZ1" s="360">
        <v>41141</v>
      </c>
      <c r="IA1" s="360">
        <v>41142</v>
      </c>
      <c r="IB1" s="360">
        <v>41143</v>
      </c>
      <c r="IC1" s="360">
        <v>41144</v>
      </c>
      <c r="ID1" s="360">
        <v>41145</v>
      </c>
      <c r="IE1" s="360">
        <v>41146</v>
      </c>
      <c r="IF1" s="360">
        <v>41147</v>
      </c>
      <c r="IG1" s="360">
        <v>41148</v>
      </c>
      <c r="IH1" s="360">
        <v>41149</v>
      </c>
      <c r="II1" s="360">
        <v>41150</v>
      </c>
      <c r="IJ1" s="360">
        <v>41151</v>
      </c>
      <c r="IK1" s="360">
        <v>41152</v>
      </c>
      <c r="IL1" s="360">
        <v>41153</v>
      </c>
      <c r="IM1" s="360">
        <v>41154</v>
      </c>
      <c r="IN1" s="360">
        <v>41155</v>
      </c>
      <c r="IO1" s="360">
        <v>41156</v>
      </c>
      <c r="IP1" s="360">
        <v>41157</v>
      </c>
      <c r="IQ1" s="360">
        <v>41158</v>
      </c>
      <c r="IR1" s="360">
        <v>41159</v>
      </c>
      <c r="IS1" s="360">
        <v>41160</v>
      </c>
      <c r="IT1" s="360">
        <v>41161</v>
      </c>
      <c r="IU1" s="360">
        <v>41162</v>
      </c>
      <c r="IV1" s="360">
        <v>41163</v>
      </c>
      <c r="IW1" s="360">
        <v>41164</v>
      </c>
      <c r="IX1" s="360">
        <v>41165</v>
      </c>
      <c r="IY1" s="360">
        <v>41166</v>
      </c>
      <c r="IZ1" s="360">
        <v>41167</v>
      </c>
      <c r="JA1" s="360">
        <v>41168</v>
      </c>
      <c r="JB1" s="360">
        <v>41169</v>
      </c>
      <c r="JC1" s="360">
        <v>41170</v>
      </c>
      <c r="JD1" s="360">
        <v>41171</v>
      </c>
      <c r="JE1" s="360">
        <v>41172</v>
      </c>
      <c r="JF1" s="360">
        <v>41173</v>
      </c>
      <c r="JG1" s="360">
        <v>41174</v>
      </c>
      <c r="JH1" s="360">
        <v>41175</v>
      </c>
      <c r="JI1" s="360">
        <v>41176</v>
      </c>
      <c r="JJ1" s="360">
        <v>41177</v>
      </c>
      <c r="JK1" s="360">
        <v>41178</v>
      </c>
      <c r="JL1" s="360">
        <v>41179</v>
      </c>
      <c r="JM1" s="360">
        <v>41180</v>
      </c>
      <c r="JN1" s="360">
        <v>41181</v>
      </c>
      <c r="JO1" s="360">
        <v>41182</v>
      </c>
      <c r="JP1" s="360">
        <v>41183</v>
      </c>
      <c r="JQ1" s="360">
        <v>41184</v>
      </c>
      <c r="JR1" s="360">
        <v>41185</v>
      </c>
      <c r="JS1" s="360">
        <v>41186</v>
      </c>
      <c r="JT1" s="360">
        <v>41187</v>
      </c>
      <c r="JU1" s="360">
        <v>41188</v>
      </c>
      <c r="JV1" s="360">
        <v>41189</v>
      </c>
      <c r="JW1" s="360">
        <v>41190</v>
      </c>
      <c r="JX1" s="360">
        <v>41191</v>
      </c>
      <c r="JY1" s="360">
        <v>41192</v>
      </c>
      <c r="JZ1" s="360">
        <v>41193</v>
      </c>
      <c r="KA1" s="360">
        <v>41194</v>
      </c>
      <c r="KB1" s="360">
        <v>41195</v>
      </c>
      <c r="KC1" s="360">
        <v>41196</v>
      </c>
      <c r="KD1" s="360">
        <v>41197</v>
      </c>
      <c r="KE1" s="360">
        <v>41198</v>
      </c>
      <c r="KF1" s="360">
        <v>41199</v>
      </c>
      <c r="KG1" s="360">
        <v>41200</v>
      </c>
      <c r="KH1" s="360">
        <v>41201</v>
      </c>
      <c r="KI1" s="360">
        <v>41202</v>
      </c>
      <c r="KJ1" s="360">
        <v>41203</v>
      </c>
      <c r="KK1" s="360">
        <v>41204</v>
      </c>
      <c r="KL1" s="360">
        <v>41205</v>
      </c>
      <c r="KM1" s="360">
        <v>41206</v>
      </c>
      <c r="KN1" s="360">
        <v>41207</v>
      </c>
      <c r="KO1" s="360">
        <v>41208</v>
      </c>
      <c r="KP1" s="360">
        <v>41209</v>
      </c>
      <c r="KQ1" s="360">
        <v>41210</v>
      </c>
      <c r="KR1" s="360">
        <v>41211</v>
      </c>
      <c r="KS1" s="360">
        <v>41212</v>
      </c>
      <c r="KT1" s="360">
        <v>41213</v>
      </c>
      <c r="KU1" s="360">
        <v>41214</v>
      </c>
      <c r="KV1" s="360">
        <v>41215</v>
      </c>
      <c r="KW1" s="360">
        <v>41216</v>
      </c>
      <c r="KX1" s="360">
        <v>41217</v>
      </c>
      <c r="KY1" s="360">
        <v>41218</v>
      </c>
      <c r="KZ1" s="360">
        <v>41219</v>
      </c>
      <c r="LA1" s="360">
        <v>41220</v>
      </c>
      <c r="LB1" s="360">
        <v>41221</v>
      </c>
      <c r="LC1" s="360">
        <v>41222</v>
      </c>
      <c r="LD1" s="360">
        <v>41223</v>
      </c>
      <c r="LE1" s="360">
        <v>41224</v>
      </c>
      <c r="LF1" s="360">
        <v>41225</v>
      </c>
      <c r="LG1" s="360">
        <v>41226</v>
      </c>
      <c r="LH1" s="360">
        <v>41227</v>
      </c>
      <c r="LI1" s="360">
        <v>41228</v>
      </c>
      <c r="LJ1" s="360">
        <v>41229</v>
      </c>
      <c r="LK1" s="360">
        <v>41230</v>
      </c>
      <c r="LL1" s="360">
        <v>41231</v>
      </c>
      <c r="LM1" s="360">
        <v>41232</v>
      </c>
      <c r="LN1" s="360">
        <v>41233</v>
      </c>
      <c r="LO1" s="360">
        <v>41234</v>
      </c>
      <c r="LP1" s="360">
        <v>41235</v>
      </c>
      <c r="LQ1" s="360">
        <v>41236</v>
      </c>
      <c r="LR1" s="360">
        <v>41237</v>
      </c>
      <c r="LS1" s="360">
        <v>41238</v>
      </c>
      <c r="LT1" s="360">
        <v>41239</v>
      </c>
      <c r="LU1" s="360">
        <v>41240</v>
      </c>
      <c r="LV1" s="360">
        <v>41241</v>
      </c>
      <c r="LW1" s="360">
        <v>41242</v>
      </c>
      <c r="LX1" s="360">
        <v>41243</v>
      </c>
      <c r="LY1" s="360">
        <v>41244</v>
      </c>
      <c r="LZ1" s="360">
        <v>41245</v>
      </c>
      <c r="MA1" s="360">
        <v>41246</v>
      </c>
      <c r="MB1" s="360">
        <v>41247</v>
      </c>
      <c r="MC1" s="360">
        <v>41248</v>
      </c>
      <c r="MD1" s="360">
        <v>41249</v>
      </c>
      <c r="ME1" s="360">
        <v>41250</v>
      </c>
      <c r="MF1" s="360">
        <v>41251</v>
      </c>
      <c r="MG1" s="360">
        <v>41252</v>
      </c>
      <c r="MH1" s="360">
        <v>41253</v>
      </c>
      <c r="MI1" s="360">
        <v>41254</v>
      </c>
      <c r="MJ1" s="360">
        <v>41255</v>
      </c>
      <c r="MK1" s="360">
        <v>41256</v>
      </c>
      <c r="ML1" s="360">
        <v>41257</v>
      </c>
      <c r="MM1" s="360">
        <v>41258</v>
      </c>
      <c r="MN1" s="360">
        <v>41259</v>
      </c>
      <c r="MO1" s="360">
        <v>41260</v>
      </c>
      <c r="MP1" s="360">
        <v>41261</v>
      </c>
      <c r="MQ1" s="360">
        <v>41262</v>
      </c>
      <c r="MR1" s="360">
        <v>41263</v>
      </c>
      <c r="MS1" s="360">
        <v>41264</v>
      </c>
      <c r="MT1" s="360">
        <v>41265</v>
      </c>
      <c r="MU1" s="360">
        <v>41266</v>
      </c>
      <c r="MV1" s="360">
        <v>41267</v>
      </c>
      <c r="MW1" s="360">
        <v>41268</v>
      </c>
      <c r="MX1" s="360">
        <v>41269</v>
      </c>
      <c r="MY1" s="360">
        <v>41270</v>
      </c>
      <c r="MZ1" s="360">
        <v>41271</v>
      </c>
      <c r="NA1" s="360">
        <v>41272</v>
      </c>
      <c r="NB1" s="360">
        <v>41273</v>
      </c>
      <c r="NC1" s="360">
        <v>41274</v>
      </c>
      <c r="ND1" s="376" t="s">
        <v>160</v>
      </c>
    </row>
    <row r="2" spans="1:368" s="361" customFormat="1" ht="13.5" customHeight="1" thickTop="1">
      <c r="A2" s="400" t="s">
        <v>131</v>
      </c>
      <c r="B2" s="346" t="s">
        <v>132</v>
      </c>
      <c r="C2" s="362"/>
      <c r="D2" s="362"/>
      <c r="E2" s="362"/>
      <c r="F2" s="362"/>
      <c r="G2" s="362"/>
      <c r="H2" s="362"/>
      <c r="I2" s="362"/>
      <c r="J2" s="362"/>
      <c r="K2" s="362"/>
      <c r="L2" s="362"/>
      <c r="M2" s="362"/>
      <c r="N2" s="362"/>
      <c r="O2" s="362"/>
      <c r="P2" s="362"/>
      <c r="Q2" s="362"/>
      <c r="R2" s="362"/>
      <c r="S2" s="362"/>
      <c r="T2" s="362"/>
      <c r="U2" s="362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2"/>
      <c r="AO2" s="362"/>
      <c r="AP2" s="362"/>
      <c r="AQ2" s="362"/>
      <c r="AR2" s="362"/>
      <c r="AS2" s="362"/>
      <c r="AT2" s="362"/>
      <c r="AU2" s="362"/>
      <c r="AV2" s="362"/>
      <c r="AW2" s="362"/>
      <c r="AX2" s="362"/>
      <c r="AY2" s="362"/>
      <c r="AZ2" s="362"/>
      <c r="BA2" s="362"/>
      <c r="BB2" s="362"/>
      <c r="BC2" s="362"/>
      <c r="BD2" s="362"/>
      <c r="BE2" s="362"/>
      <c r="BF2" s="362"/>
      <c r="BG2" s="362"/>
      <c r="BH2" s="362"/>
      <c r="BI2" s="362"/>
      <c r="BJ2" s="362"/>
      <c r="BK2" s="362"/>
      <c r="BL2" s="362"/>
      <c r="BM2" s="362"/>
      <c r="BN2" s="362"/>
      <c r="BO2" s="362"/>
      <c r="BP2" s="362"/>
      <c r="BQ2" s="362"/>
      <c r="BR2" s="362"/>
      <c r="BS2" s="362"/>
      <c r="BT2" s="362"/>
      <c r="BU2" s="362"/>
      <c r="BV2" s="362"/>
      <c r="BW2" s="362"/>
      <c r="BX2" s="362"/>
      <c r="BY2" s="362"/>
      <c r="BZ2" s="362"/>
      <c r="CA2" s="362"/>
      <c r="CB2" s="362"/>
      <c r="CC2" s="362"/>
      <c r="CD2" s="362"/>
      <c r="CE2" s="362"/>
      <c r="CF2" s="362"/>
      <c r="CG2" s="362"/>
      <c r="CH2" s="362"/>
      <c r="CI2" s="362"/>
      <c r="CJ2" s="362"/>
      <c r="CK2" s="362"/>
      <c r="CL2" s="362"/>
      <c r="CM2" s="362"/>
      <c r="CN2" s="362"/>
      <c r="CO2" s="362"/>
      <c r="CP2" s="362"/>
      <c r="CQ2" s="362"/>
      <c r="CR2" s="362"/>
      <c r="CS2" s="362"/>
      <c r="CT2" s="362"/>
      <c r="CU2" s="362"/>
      <c r="CV2" s="362"/>
      <c r="CW2" s="362"/>
      <c r="CX2" s="362"/>
      <c r="CY2" s="362"/>
      <c r="CZ2" s="362"/>
      <c r="DA2" s="362"/>
      <c r="DB2" s="362"/>
      <c r="DC2" s="362"/>
      <c r="DD2" s="362"/>
      <c r="DE2" s="362"/>
      <c r="DF2" s="362"/>
      <c r="DG2" s="362"/>
      <c r="DH2" s="362"/>
      <c r="DI2" s="362"/>
      <c r="DJ2" s="362"/>
      <c r="DK2" s="362"/>
      <c r="DL2" s="362"/>
      <c r="DM2" s="362"/>
      <c r="DN2" s="362"/>
      <c r="DO2" s="362"/>
      <c r="DP2" s="362"/>
      <c r="DQ2" s="362"/>
      <c r="DR2" s="362"/>
      <c r="DS2" s="362"/>
      <c r="DT2" s="362"/>
      <c r="DU2" s="362"/>
      <c r="DV2" s="362"/>
      <c r="DW2" s="362"/>
      <c r="DX2" s="362"/>
      <c r="DY2" s="362"/>
      <c r="DZ2" s="362"/>
      <c r="EA2" s="362"/>
      <c r="EB2" s="362"/>
      <c r="EC2" s="362"/>
      <c r="ED2" s="362"/>
      <c r="EE2" s="362"/>
      <c r="EF2" s="362"/>
      <c r="EG2" s="362"/>
      <c r="EH2" s="362"/>
      <c r="EI2" s="362"/>
      <c r="EJ2" s="362"/>
      <c r="EK2" s="362"/>
      <c r="EL2" s="362"/>
      <c r="EM2" s="362"/>
      <c r="EN2" s="362"/>
      <c r="EO2" s="362"/>
      <c r="EP2" s="362"/>
      <c r="EQ2" s="362"/>
      <c r="ER2" s="362"/>
      <c r="ES2" s="362"/>
      <c r="ET2" s="362"/>
      <c r="EU2" s="362"/>
      <c r="EV2" s="362"/>
      <c r="EW2" s="362"/>
      <c r="EX2" s="362"/>
      <c r="EY2" s="362"/>
      <c r="EZ2" s="362"/>
      <c r="FA2" s="362"/>
      <c r="FB2" s="362"/>
      <c r="FC2" s="362"/>
      <c r="FD2" s="362"/>
      <c r="FE2" s="362"/>
      <c r="FF2" s="362"/>
      <c r="FG2" s="362"/>
      <c r="FH2" s="362"/>
      <c r="FI2" s="362"/>
      <c r="FJ2" s="362"/>
      <c r="FK2" s="362"/>
      <c r="FL2" s="362"/>
      <c r="FM2" s="362"/>
      <c r="FN2" s="362"/>
      <c r="FO2" s="362"/>
      <c r="FP2" s="362"/>
      <c r="FQ2" s="362"/>
      <c r="FR2" s="362"/>
      <c r="FS2" s="362"/>
      <c r="FT2" s="362"/>
      <c r="FU2" s="362"/>
      <c r="FV2" s="362"/>
      <c r="FW2" s="362"/>
      <c r="FX2" s="362"/>
      <c r="FY2" s="362"/>
      <c r="FZ2" s="362"/>
      <c r="GA2" s="362"/>
      <c r="GB2" s="362"/>
      <c r="GC2" s="362"/>
      <c r="GD2" s="362"/>
      <c r="GE2" s="362"/>
      <c r="GF2" s="362"/>
      <c r="GG2" s="362"/>
      <c r="GH2" s="362"/>
      <c r="GI2" s="362"/>
      <c r="GJ2" s="362"/>
      <c r="GK2" s="362"/>
      <c r="GL2" s="362"/>
      <c r="GM2" s="362"/>
      <c r="GN2" s="362"/>
      <c r="GO2" s="362"/>
      <c r="GP2" s="362"/>
      <c r="GQ2" s="362"/>
      <c r="GR2" s="362"/>
      <c r="GS2" s="362"/>
      <c r="GT2" s="362"/>
      <c r="GU2" s="362"/>
      <c r="GV2" s="362"/>
      <c r="GW2" s="362"/>
      <c r="GX2" s="362"/>
      <c r="GY2" s="362"/>
      <c r="GZ2" s="362"/>
      <c r="HA2" s="362"/>
      <c r="HB2" s="362"/>
      <c r="HC2" s="362"/>
      <c r="HD2" s="362"/>
      <c r="HE2" s="362"/>
      <c r="HF2" s="362"/>
      <c r="HG2" s="362"/>
      <c r="HH2" s="362"/>
      <c r="HI2" s="362"/>
      <c r="HJ2" s="362"/>
      <c r="HK2" s="362"/>
      <c r="HL2" s="362"/>
      <c r="HM2" s="362"/>
      <c r="HN2" s="362"/>
      <c r="HO2" s="362"/>
      <c r="HP2" s="362"/>
      <c r="HQ2" s="362"/>
      <c r="HR2" s="362"/>
      <c r="HS2" s="362"/>
      <c r="HT2" s="362"/>
      <c r="HU2" s="362"/>
      <c r="HV2" s="362"/>
      <c r="HW2" s="362"/>
      <c r="HX2" s="362"/>
      <c r="HY2" s="362"/>
      <c r="HZ2" s="362"/>
      <c r="IA2" s="362"/>
      <c r="IB2" s="362"/>
      <c r="IC2" s="362"/>
      <c r="ID2" s="362"/>
      <c r="IE2" s="362"/>
      <c r="IF2" s="362"/>
      <c r="IG2" s="362"/>
      <c r="IH2" s="362"/>
      <c r="II2" s="362"/>
      <c r="IJ2" s="362"/>
      <c r="IK2" s="362"/>
      <c r="IL2" s="362"/>
      <c r="IM2" s="362"/>
      <c r="IN2" s="362"/>
      <c r="IO2" s="362"/>
      <c r="IP2" s="362"/>
      <c r="IQ2" s="362"/>
      <c r="IR2" s="362"/>
      <c r="IS2" s="362"/>
      <c r="IT2" s="362"/>
      <c r="IU2" s="362"/>
      <c r="IV2" s="362"/>
      <c r="IW2" s="362"/>
      <c r="IX2" s="362"/>
      <c r="IY2" s="362"/>
      <c r="IZ2" s="362"/>
      <c r="JA2" s="362"/>
      <c r="JB2" s="362"/>
      <c r="JC2" s="362"/>
      <c r="JD2" s="362"/>
      <c r="JE2" s="362"/>
      <c r="JF2" s="362"/>
      <c r="JG2" s="362"/>
      <c r="JH2" s="362"/>
      <c r="JI2" s="362"/>
      <c r="JJ2" s="362"/>
      <c r="JK2" s="362"/>
      <c r="JL2" s="362"/>
      <c r="JM2" s="362"/>
      <c r="JN2" s="362"/>
      <c r="JO2" s="362"/>
      <c r="JP2" s="362"/>
      <c r="JQ2" s="362"/>
      <c r="JR2" s="362"/>
      <c r="JS2" s="362"/>
      <c r="JT2" s="362"/>
      <c r="JU2" s="362"/>
      <c r="JV2" s="362"/>
      <c r="JW2" s="362"/>
      <c r="JX2" s="362"/>
      <c r="JY2" s="362"/>
      <c r="JZ2" s="362"/>
      <c r="KA2" s="362"/>
      <c r="KB2" s="362"/>
      <c r="KC2" s="362"/>
      <c r="KD2" s="362"/>
      <c r="KE2" s="362"/>
      <c r="KF2" s="362"/>
      <c r="KG2" s="362"/>
      <c r="KH2" s="362"/>
      <c r="KI2" s="362"/>
      <c r="KJ2" s="362"/>
      <c r="KK2" s="362"/>
      <c r="KL2" s="362"/>
      <c r="KM2" s="362"/>
      <c r="KN2" s="362"/>
      <c r="KO2" s="362"/>
      <c r="KP2" s="362"/>
      <c r="KQ2" s="362"/>
      <c r="KR2" s="362"/>
      <c r="KS2" s="362"/>
      <c r="KT2" s="362"/>
      <c r="KU2" s="362"/>
      <c r="KV2" s="362"/>
      <c r="KW2" s="362"/>
      <c r="KX2" s="362"/>
      <c r="KY2" s="362"/>
      <c r="KZ2" s="362"/>
      <c r="LA2" s="362"/>
      <c r="LB2" s="362"/>
      <c r="LC2" s="362"/>
      <c r="LD2" s="362"/>
      <c r="LE2" s="362"/>
      <c r="LF2" s="362"/>
      <c r="LG2" s="362"/>
      <c r="LH2" s="362"/>
      <c r="LI2" s="362"/>
      <c r="LJ2" s="362"/>
      <c r="LK2" s="362"/>
      <c r="LL2" s="362"/>
      <c r="LM2" s="362"/>
      <c r="LN2" s="362"/>
      <c r="LO2" s="362"/>
      <c r="LP2" s="362"/>
      <c r="LQ2" s="362"/>
      <c r="LR2" s="362"/>
      <c r="LS2" s="362"/>
      <c r="LT2" s="362"/>
      <c r="LU2" s="362"/>
      <c r="LV2" s="362"/>
      <c r="LW2" s="362"/>
      <c r="LX2" s="362"/>
      <c r="LY2" s="362"/>
      <c r="LZ2" s="362"/>
      <c r="MA2" s="362"/>
      <c r="MB2" s="362"/>
      <c r="MC2" s="362"/>
      <c r="MD2" s="362"/>
      <c r="ME2" s="362"/>
      <c r="MF2" s="362"/>
      <c r="MG2" s="362"/>
      <c r="MH2" s="362"/>
      <c r="MI2" s="362"/>
      <c r="MJ2" s="362"/>
      <c r="MK2" s="362"/>
      <c r="ML2" s="362"/>
      <c r="MM2" s="362"/>
      <c r="MN2" s="362"/>
      <c r="MO2" s="362"/>
      <c r="MP2" s="362"/>
      <c r="MQ2" s="362"/>
      <c r="MR2" s="362"/>
      <c r="MS2" s="362"/>
      <c r="MT2" s="362"/>
      <c r="MU2" s="362"/>
      <c r="MV2" s="362"/>
      <c r="MW2" s="362"/>
      <c r="MX2" s="362"/>
      <c r="MY2" s="362"/>
      <c r="MZ2" s="362"/>
      <c r="NA2" s="362"/>
      <c r="NB2" s="362"/>
      <c r="NC2" s="362"/>
      <c r="ND2" s="176">
        <f>COUNTIF(C4:NC4,"SORUN")</f>
        <v>0</v>
      </c>
    </row>
    <row r="3" spans="1:368" s="361" customFormat="1" ht="13.5" customHeight="1">
      <c r="A3" s="400"/>
      <c r="B3" s="347" t="s">
        <v>158</v>
      </c>
      <c r="C3" s="363"/>
      <c r="D3" s="363"/>
      <c r="E3" s="363"/>
      <c r="F3" s="363"/>
      <c r="G3" s="363"/>
      <c r="H3" s="363"/>
      <c r="I3" s="363"/>
      <c r="J3" s="363"/>
      <c r="K3" s="363"/>
      <c r="L3" s="363"/>
      <c r="M3" s="363"/>
      <c r="N3" s="363"/>
      <c r="O3" s="363"/>
      <c r="P3" s="363"/>
      <c r="Q3" s="363"/>
      <c r="R3" s="363"/>
      <c r="S3" s="363"/>
      <c r="T3" s="363"/>
      <c r="U3" s="363"/>
      <c r="V3" s="363"/>
      <c r="W3" s="363"/>
      <c r="X3" s="363"/>
      <c r="Y3" s="363"/>
      <c r="Z3" s="363"/>
      <c r="AA3" s="363"/>
      <c r="AB3" s="363"/>
      <c r="AC3" s="363"/>
      <c r="AD3" s="363"/>
      <c r="AE3" s="363"/>
      <c r="AF3" s="363"/>
      <c r="AG3" s="363"/>
      <c r="AH3" s="363"/>
      <c r="AI3" s="363"/>
      <c r="AJ3" s="363"/>
      <c r="AK3" s="363"/>
      <c r="AL3" s="363"/>
      <c r="AM3" s="363"/>
      <c r="AN3" s="363"/>
      <c r="AO3" s="363"/>
      <c r="AP3" s="363"/>
      <c r="AQ3" s="363"/>
      <c r="AR3" s="363"/>
      <c r="AS3" s="363"/>
      <c r="AT3" s="363"/>
      <c r="AU3" s="363"/>
      <c r="AV3" s="363"/>
      <c r="AW3" s="363"/>
      <c r="AX3" s="363"/>
      <c r="AY3" s="363"/>
      <c r="AZ3" s="363"/>
      <c r="BA3" s="363"/>
      <c r="BB3" s="363"/>
      <c r="BC3" s="363"/>
      <c r="BD3" s="363"/>
      <c r="BE3" s="363"/>
      <c r="BF3" s="363"/>
      <c r="BG3" s="363"/>
      <c r="BH3" s="363"/>
      <c r="BI3" s="363"/>
      <c r="BJ3" s="363"/>
      <c r="BK3" s="363"/>
      <c r="BL3" s="363"/>
      <c r="BM3" s="363"/>
      <c r="BN3" s="363"/>
      <c r="BO3" s="363"/>
      <c r="BP3" s="363"/>
      <c r="BQ3" s="363"/>
      <c r="BR3" s="363"/>
      <c r="BS3" s="363"/>
      <c r="BT3" s="363"/>
      <c r="BU3" s="363"/>
      <c r="BV3" s="363"/>
      <c r="BW3" s="363"/>
      <c r="BX3" s="363"/>
      <c r="BY3" s="363"/>
      <c r="BZ3" s="363"/>
      <c r="CA3" s="363"/>
      <c r="CB3" s="363"/>
      <c r="CC3" s="363"/>
      <c r="CD3" s="363"/>
      <c r="CE3" s="363"/>
      <c r="CF3" s="363"/>
      <c r="CG3" s="363"/>
      <c r="CH3" s="363"/>
      <c r="CI3" s="363"/>
      <c r="CJ3" s="363"/>
      <c r="CK3" s="363"/>
      <c r="CL3" s="363"/>
      <c r="CM3" s="363"/>
      <c r="CN3" s="363"/>
      <c r="CO3" s="363"/>
      <c r="CP3" s="363"/>
      <c r="CQ3" s="363"/>
      <c r="CR3" s="363"/>
      <c r="CS3" s="363"/>
      <c r="CT3" s="363"/>
      <c r="CU3" s="363"/>
      <c r="CV3" s="363"/>
      <c r="CW3" s="363"/>
      <c r="CX3" s="363"/>
      <c r="CY3" s="363"/>
      <c r="CZ3" s="363"/>
      <c r="DA3" s="363"/>
      <c r="DB3" s="363"/>
      <c r="DC3" s="363"/>
      <c r="DD3" s="363"/>
      <c r="DE3" s="363"/>
      <c r="DF3" s="363"/>
      <c r="DG3" s="363"/>
      <c r="DH3" s="363"/>
      <c r="DI3" s="363"/>
      <c r="DJ3" s="363"/>
      <c r="DK3" s="363"/>
      <c r="DL3" s="363"/>
      <c r="DM3" s="363"/>
      <c r="DN3" s="363"/>
      <c r="DO3" s="363"/>
      <c r="DP3" s="363"/>
      <c r="DQ3" s="363"/>
      <c r="DR3" s="363"/>
      <c r="DS3" s="363"/>
      <c r="DT3" s="363"/>
      <c r="DU3" s="363"/>
      <c r="DV3" s="363"/>
      <c r="DW3" s="363"/>
      <c r="DX3" s="363"/>
      <c r="DY3" s="363"/>
      <c r="DZ3" s="363"/>
      <c r="EA3" s="363"/>
      <c r="EB3" s="363"/>
      <c r="EC3" s="363"/>
      <c r="ED3" s="363"/>
      <c r="EE3" s="363"/>
      <c r="EF3" s="363"/>
      <c r="EG3" s="363"/>
      <c r="EH3" s="363"/>
      <c r="EI3" s="363"/>
      <c r="EJ3" s="363"/>
      <c r="EK3" s="363"/>
      <c r="EL3" s="363"/>
      <c r="EM3" s="363"/>
      <c r="EN3" s="363"/>
      <c r="EO3" s="363"/>
      <c r="EP3" s="363"/>
      <c r="EQ3" s="363"/>
      <c r="ER3" s="363"/>
      <c r="ES3" s="363"/>
      <c r="ET3" s="363"/>
      <c r="EU3" s="363"/>
      <c r="EV3" s="363"/>
      <c r="EW3" s="363"/>
      <c r="EX3" s="363"/>
      <c r="EY3" s="363"/>
      <c r="EZ3" s="363"/>
      <c r="FA3" s="363"/>
      <c r="FB3" s="363"/>
      <c r="FC3" s="363"/>
      <c r="FD3" s="363"/>
      <c r="FE3" s="363"/>
      <c r="FF3" s="363"/>
      <c r="FG3" s="363"/>
      <c r="FH3" s="363"/>
      <c r="FI3" s="363"/>
      <c r="FJ3" s="363"/>
      <c r="FK3" s="363"/>
      <c r="FL3" s="363"/>
      <c r="FM3" s="363"/>
      <c r="FN3" s="363"/>
      <c r="FO3" s="363"/>
      <c r="FP3" s="363"/>
      <c r="FQ3" s="363"/>
      <c r="FR3" s="363"/>
      <c r="FS3" s="363"/>
      <c r="FT3" s="363"/>
      <c r="FU3" s="363"/>
      <c r="FV3" s="363"/>
      <c r="FW3" s="363"/>
      <c r="FX3" s="363"/>
      <c r="FY3" s="363"/>
      <c r="FZ3" s="363"/>
      <c r="GA3" s="363"/>
      <c r="GB3" s="363"/>
      <c r="GC3" s="363"/>
      <c r="GD3" s="363"/>
      <c r="GE3" s="363"/>
      <c r="GF3" s="363"/>
      <c r="GG3" s="363"/>
      <c r="GH3" s="363"/>
      <c r="GI3" s="363"/>
      <c r="GJ3" s="363"/>
      <c r="GK3" s="363"/>
      <c r="GL3" s="363"/>
      <c r="GM3" s="363"/>
      <c r="GN3" s="363"/>
      <c r="GO3" s="363"/>
      <c r="GP3" s="363"/>
      <c r="GQ3" s="363"/>
      <c r="GR3" s="363"/>
      <c r="GS3" s="363"/>
      <c r="GT3" s="363"/>
      <c r="GU3" s="363"/>
      <c r="GV3" s="363"/>
      <c r="GW3" s="363"/>
      <c r="GX3" s="363"/>
      <c r="GY3" s="363"/>
      <c r="GZ3" s="363"/>
      <c r="HA3" s="363"/>
      <c r="HB3" s="363"/>
      <c r="HC3" s="363"/>
      <c r="HD3" s="363"/>
      <c r="HE3" s="363"/>
      <c r="HF3" s="363"/>
      <c r="HG3" s="363"/>
      <c r="HH3" s="363"/>
      <c r="HI3" s="363"/>
      <c r="HJ3" s="363"/>
      <c r="HK3" s="363"/>
      <c r="HL3" s="363"/>
      <c r="HM3" s="363"/>
      <c r="HN3" s="363"/>
      <c r="HO3" s="363"/>
      <c r="HP3" s="363"/>
      <c r="HQ3" s="363"/>
      <c r="HR3" s="363"/>
      <c r="HS3" s="363"/>
      <c r="HT3" s="363"/>
      <c r="HU3" s="363"/>
      <c r="HV3" s="363"/>
      <c r="HW3" s="363"/>
      <c r="HX3" s="363"/>
      <c r="HY3" s="363"/>
      <c r="HZ3" s="363"/>
      <c r="IA3" s="363"/>
      <c r="IB3" s="363"/>
      <c r="IC3" s="363"/>
      <c r="ID3" s="363"/>
      <c r="IE3" s="363"/>
      <c r="IF3" s="363"/>
      <c r="IG3" s="363"/>
      <c r="IH3" s="363"/>
      <c r="II3" s="363"/>
      <c r="IJ3" s="363"/>
      <c r="IK3" s="363"/>
      <c r="IL3" s="363"/>
      <c r="IM3" s="363"/>
      <c r="IN3" s="363"/>
      <c r="IO3" s="363"/>
      <c r="IP3" s="363"/>
      <c r="IQ3" s="363"/>
      <c r="IR3" s="363"/>
      <c r="IS3" s="363"/>
      <c r="IT3" s="363"/>
      <c r="IU3" s="363"/>
      <c r="IV3" s="363"/>
      <c r="IW3" s="363"/>
      <c r="IX3" s="363"/>
      <c r="IY3" s="363"/>
      <c r="IZ3" s="363"/>
      <c r="JA3" s="363"/>
      <c r="JB3" s="363"/>
      <c r="JC3" s="363"/>
      <c r="JD3" s="363"/>
      <c r="JE3" s="363"/>
      <c r="JF3" s="363"/>
      <c r="JG3" s="363"/>
      <c r="JH3" s="363"/>
      <c r="JI3" s="363"/>
      <c r="JJ3" s="363"/>
      <c r="JK3" s="363"/>
      <c r="JL3" s="363"/>
      <c r="JM3" s="363"/>
      <c r="JN3" s="363"/>
      <c r="JO3" s="363"/>
      <c r="JP3" s="363"/>
      <c r="JQ3" s="363"/>
      <c r="JR3" s="363"/>
      <c r="JS3" s="363"/>
      <c r="JT3" s="363"/>
      <c r="JU3" s="363"/>
      <c r="JV3" s="363"/>
      <c r="JW3" s="363"/>
      <c r="JX3" s="363"/>
      <c r="JY3" s="363"/>
      <c r="JZ3" s="363"/>
      <c r="KA3" s="363"/>
      <c r="KB3" s="363"/>
      <c r="KC3" s="363"/>
      <c r="KD3" s="363"/>
      <c r="KE3" s="363"/>
      <c r="KF3" s="363"/>
      <c r="KG3" s="363"/>
      <c r="KH3" s="363"/>
      <c r="KI3" s="363"/>
      <c r="KJ3" s="363"/>
      <c r="KK3" s="363"/>
      <c r="KL3" s="363"/>
      <c r="KM3" s="363"/>
      <c r="KN3" s="363"/>
      <c r="KO3" s="363"/>
      <c r="KP3" s="363"/>
      <c r="KQ3" s="363"/>
      <c r="KR3" s="363"/>
      <c r="KS3" s="363"/>
      <c r="KT3" s="363"/>
      <c r="KU3" s="363"/>
      <c r="KV3" s="363"/>
      <c r="KW3" s="363"/>
      <c r="KX3" s="363"/>
      <c r="KY3" s="363"/>
      <c r="KZ3" s="363"/>
      <c r="LA3" s="363"/>
      <c r="LB3" s="363"/>
      <c r="LC3" s="363"/>
      <c r="LD3" s="363"/>
      <c r="LE3" s="363"/>
      <c r="LF3" s="363"/>
      <c r="LG3" s="363"/>
      <c r="LH3" s="363"/>
      <c r="LI3" s="363"/>
      <c r="LJ3" s="363"/>
      <c r="LK3" s="363"/>
      <c r="LL3" s="363"/>
      <c r="LM3" s="363"/>
      <c r="LN3" s="363"/>
      <c r="LO3" s="363"/>
      <c r="LP3" s="363"/>
      <c r="LQ3" s="363"/>
      <c r="LR3" s="363"/>
      <c r="LS3" s="363"/>
      <c r="LT3" s="363"/>
      <c r="LU3" s="363"/>
      <c r="LV3" s="363"/>
      <c r="LW3" s="363"/>
      <c r="LX3" s="363"/>
      <c r="LY3" s="363"/>
      <c r="LZ3" s="363"/>
      <c r="MA3" s="363"/>
      <c r="MB3" s="363"/>
      <c r="MC3" s="363"/>
      <c r="MD3" s="363"/>
      <c r="ME3" s="363"/>
      <c r="MF3" s="363"/>
      <c r="MG3" s="363"/>
      <c r="MH3" s="363"/>
      <c r="MI3" s="363"/>
      <c r="MJ3" s="363"/>
      <c r="MK3" s="363"/>
      <c r="ML3" s="363"/>
      <c r="MM3" s="363"/>
      <c r="MN3" s="363"/>
      <c r="MO3" s="363"/>
      <c r="MP3" s="363"/>
      <c r="MQ3" s="363"/>
      <c r="MR3" s="363"/>
      <c r="MS3" s="363"/>
      <c r="MT3" s="363"/>
      <c r="MU3" s="363"/>
      <c r="MV3" s="363"/>
      <c r="MW3" s="363"/>
      <c r="MX3" s="363"/>
      <c r="MY3" s="363"/>
      <c r="MZ3" s="363"/>
      <c r="NA3" s="363"/>
      <c r="NB3" s="363"/>
      <c r="NC3" s="363"/>
      <c r="ND3" s="176">
        <f t="shared" ref="ND3:ND34" si="0">COUNTIF(C5:NC5,"SORUN")</f>
        <v>0</v>
      </c>
    </row>
    <row r="4" spans="1:368" s="361" customFormat="1" ht="13.5" customHeight="1">
      <c r="A4" s="400"/>
      <c r="B4" s="347" t="s">
        <v>133</v>
      </c>
      <c r="C4" s="363"/>
      <c r="D4" s="363"/>
      <c r="E4" s="363"/>
      <c r="F4" s="363"/>
      <c r="G4" s="363"/>
      <c r="H4" s="363"/>
      <c r="I4" s="363"/>
      <c r="J4" s="363"/>
      <c r="K4" s="363"/>
      <c r="L4" s="363"/>
      <c r="M4" s="363"/>
      <c r="N4" s="363"/>
      <c r="O4" s="363"/>
      <c r="P4" s="363"/>
      <c r="Q4" s="363"/>
      <c r="R4" s="363"/>
      <c r="S4" s="363"/>
      <c r="T4" s="363"/>
      <c r="U4" s="363"/>
      <c r="V4" s="363"/>
      <c r="W4" s="363"/>
      <c r="X4" s="363"/>
      <c r="Y4" s="363"/>
      <c r="Z4" s="363"/>
      <c r="AA4" s="363"/>
      <c r="AB4" s="363"/>
      <c r="AC4" s="363"/>
      <c r="AD4" s="363"/>
      <c r="AE4" s="363"/>
      <c r="AF4" s="363"/>
      <c r="AG4" s="363"/>
      <c r="AH4" s="363"/>
      <c r="AI4" s="363"/>
      <c r="AJ4" s="363"/>
      <c r="AK4" s="363"/>
      <c r="AL4" s="363"/>
      <c r="AM4" s="363"/>
      <c r="AN4" s="363"/>
      <c r="AO4" s="363"/>
      <c r="AP4" s="363"/>
      <c r="AQ4" s="363"/>
      <c r="AR4" s="363"/>
      <c r="AS4" s="363"/>
      <c r="AT4" s="363"/>
      <c r="AU4" s="363"/>
      <c r="AV4" s="363"/>
      <c r="AW4" s="363"/>
      <c r="AX4" s="363"/>
      <c r="AY4" s="363"/>
      <c r="AZ4" s="363"/>
      <c r="BA4" s="363"/>
      <c r="BB4" s="363"/>
      <c r="BC4" s="363"/>
      <c r="BD4" s="363"/>
      <c r="BE4" s="363"/>
      <c r="BF4" s="363"/>
      <c r="BG4" s="363"/>
      <c r="BH4" s="363"/>
      <c r="BI4" s="363"/>
      <c r="BJ4" s="363"/>
      <c r="BK4" s="363"/>
      <c r="BL4" s="363"/>
      <c r="BM4" s="363"/>
      <c r="BN4" s="363"/>
      <c r="BO4" s="363"/>
      <c r="BP4" s="363"/>
      <c r="BQ4" s="363"/>
      <c r="BR4" s="363"/>
      <c r="BS4" s="363"/>
      <c r="BT4" s="363"/>
      <c r="BU4" s="363"/>
      <c r="BV4" s="363"/>
      <c r="BW4" s="363"/>
      <c r="BX4" s="363"/>
      <c r="BY4" s="363"/>
      <c r="BZ4" s="363"/>
      <c r="CA4" s="363"/>
      <c r="CB4" s="363"/>
      <c r="CC4" s="363"/>
      <c r="CD4" s="363"/>
      <c r="CE4" s="363"/>
      <c r="CF4" s="363"/>
      <c r="CG4" s="363"/>
      <c r="CH4" s="363"/>
      <c r="CI4" s="363"/>
      <c r="CJ4" s="363"/>
      <c r="CK4" s="363"/>
      <c r="CL4" s="363"/>
      <c r="CM4" s="363"/>
      <c r="CN4" s="363"/>
      <c r="CO4" s="363"/>
      <c r="CP4" s="363"/>
      <c r="CQ4" s="363"/>
      <c r="CR4" s="363"/>
      <c r="CS4" s="363"/>
      <c r="CT4" s="363"/>
      <c r="CU4" s="363"/>
      <c r="CV4" s="363"/>
      <c r="CW4" s="363"/>
      <c r="CX4" s="363"/>
      <c r="CY4" s="363"/>
      <c r="CZ4" s="363"/>
      <c r="DA4" s="363"/>
      <c r="DB4" s="363"/>
      <c r="DC4" s="363"/>
      <c r="DD4" s="363"/>
      <c r="DE4" s="363"/>
      <c r="DF4" s="363"/>
      <c r="DG4" s="363"/>
      <c r="DH4" s="363"/>
      <c r="DI4" s="363"/>
      <c r="DJ4" s="363"/>
      <c r="DK4" s="363"/>
      <c r="DL4" s="363"/>
      <c r="DM4" s="363"/>
      <c r="DN4" s="363"/>
      <c r="DO4" s="363"/>
      <c r="DP4" s="363"/>
      <c r="DQ4" s="363"/>
      <c r="DR4" s="363"/>
      <c r="DS4" s="363"/>
      <c r="DT4" s="363"/>
      <c r="DU4" s="363"/>
      <c r="DV4" s="363"/>
      <c r="DW4" s="363"/>
      <c r="DX4" s="363"/>
      <c r="DY4" s="363"/>
      <c r="DZ4" s="363"/>
      <c r="EA4" s="363"/>
      <c r="EB4" s="363"/>
      <c r="EC4" s="363"/>
      <c r="ED4" s="363"/>
      <c r="EE4" s="363"/>
      <c r="EF4" s="363"/>
      <c r="EG4" s="363"/>
      <c r="EH4" s="363"/>
      <c r="EI4" s="363"/>
      <c r="EJ4" s="363"/>
      <c r="EK4" s="363"/>
      <c r="EL4" s="363"/>
      <c r="EM4" s="363"/>
      <c r="EN4" s="363"/>
      <c r="EO4" s="363"/>
      <c r="EP4" s="363"/>
      <c r="EQ4" s="363"/>
      <c r="ER4" s="363"/>
      <c r="ES4" s="363"/>
      <c r="ET4" s="363"/>
      <c r="EU4" s="363"/>
      <c r="EV4" s="363"/>
      <c r="EW4" s="363"/>
      <c r="EX4" s="363"/>
      <c r="EY4" s="363"/>
      <c r="EZ4" s="363"/>
      <c r="FA4" s="363"/>
      <c r="FB4" s="363"/>
      <c r="FC4" s="363"/>
      <c r="FD4" s="363"/>
      <c r="FE4" s="363"/>
      <c r="FF4" s="363"/>
      <c r="FG4" s="363"/>
      <c r="FH4" s="363"/>
      <c r="FI4" s="363"/>
      <c r="FJ4" s="363"/>
      <c r="FK4" s="363"/>
      <c r="FL4" s="363"/>
      <c r="FM4" s="363"/>
      <c r="FN4" s="363"/>
      <c r="FO4" s="363"/>
      <c r="FP4" s="363"/>
      <c r="FQ4" s="363"/>
      <c r="FR4" s="363"/>
      <c r="FS4" s="363"/>
      <c r="FT4" s="363"/>
      <c r="FU4" s="363"/>
      <c r="FV4" s="363"/>
      <c r="FW4" s="363"/>
      <c r="FX4" s="363"/>
      <c r="FY4" s="363"/>
      <c r="FZ4" s="363"/>
      <c r="GA4" s="363"/>
      <c r="GB4" s="363"/>
      <c r="GC4" s="363"/>
      <c r="GD4" s="363"/>
      <c r="GE4" s="363"/>
      <c r="GF4" s="363"/>
      <c r="GG4" s="363"/>
      <c r="GH4" s="363"/>
      <c r="GI4" s="363"/>
      <c r="GJ4" s="363"/>
      <c r="GK4" s="363"/>
      <c r="GL4" s="363"/>
      <c r="GM4" s="363"/>
      <c r="GN4" s="363"/>
      <c r="GO4" s="363"/>
      <c r="GP4" s="363"/>
      <c r="GQ4" s="363"/>
      <c r="GR4" s="363"/>
      <c r="GS4" s="363"/>
      <c r="GT4" s="363"/>
      <c r="GU4" s="363"/>
      <c r="GV4" s="363"/>
      <c r="GW4" s="363"/>
      <c r="GX4" s="363"/>
      <c r="GY4" s="363"/>
      <c r="GZ4" s="363"/>
      <c r="HA4" s="363"/>
      <c r="HB4" s="363"/>
      <c r="HC4" s="363"/>
      <c r="HD4" s="363"/>
      <c r="HE4" s="363"/>
      <c r="HF4" s="363"/>
      <c r="HG4" s="363"/>
      <c r="HH4" s="363"/>
      <c r="HI4" s="363"/>
      <c r="HJ4" s="363"/>
      <c r="HK4" s="363"/>
      <c r="HL4" s="363"/>
      <c r="HM4" s="363"/>
      <c r="HN4" s="363"/>
      <c r="HO4" s="363"/>
      <c r="HP4" s="363"/>
      <c r="HQ4" s="363"/>
      <c r="HR4" s="363"/>
      <c r="HS4" s="363"/>
      <c r="HT4" s="363"/>
      <c r="HU4" s="363"/>
      <c r="HV4" s="363"/>
      <c r="HW4" s="363"/>
      <c r="HX4" s="363"/>
      <c r="HY4" s="363"/>
      <c r="HZ4" s="363"/>
      <c r="IA4" s="363"/>
      <c r="IB4" s="363"/>
      <c r="IC4" s="363"/>
      <c r="ID4" s="363"/>
      <c r="IE4" s="363"/>
      <c r="IF4" s="363"/>
      <c r="IG4" s="363"/>
      <c r="IH4" s="363"/>
      <c r="II4" s="363"/>
      <c r="IJ4" s="363"/>
      <c r="IK4" s="363"/>
      <c r="IL4" s="363"/>
      <c r="IM4" s="363"/>
      <c r="IN4" s="363"/>
      <c r="IO4" s="363"/>
      <c r="IP4" s="363"/>
      <c r="IQ4" s="363"/>
      <c r="IR4" s="363"/>
      <c r="IS4" s="363"/>
      <c r="IT4" s="363"/>
      <c r="IU4" s="363"/>
      <c r="IV4" s="363"/>
      <c r="IW4" s="363"/>
      <c r="IX4" s="363"/>
      <c r="IY4" s="363"/>
      <c r="IZ4" s="363"/>
      <c r="JA4" s="363"/>
      <c r="JB4" s="363"/>
      <c r="JC4" s="363"/>
      <c r="JD4" s="363"/>
      <c r="JE4" s="363"/>
      <c r="JF4" s="363"/>
      <c r="JG4" s="363"/>
      <c r="JH4" s="363"/>
      <c r="JI4" s="363"/>
      <c r="JJ4" s="363"/>
      <c r="JK4" s="363"/>
      <c r="JL4" s="363"/>
      <c r="JM4" s="363"/>
      <c r="JN4" s="363"/>
      <c r="JO4" s="363"/>
      <c r="JP4" s="363"/>
      <c r="JQ4" s="363"/>
      <c r="JR4" s="363"/>
      <c r="JS4" s="363"/>
      <c r="JT4" s="363"/>
      <c r="JU4" s="363"/>
      <c r="JV4" s="363"/>
      <c r="JW4" s="363"/>
      <c r="JX4" s="363"/>
      <c r="JY4" s="363"/>
      <c r="JZ4" s="363"/>
      <c r="KA4" s="363"/>
      <c r="KB4" s="363"/>
      <c r="KC4" s="363"/>
      <c r="KD4" s="363"/>
      <c r="KE4" s="363"/>
      <c r="KF4" s="363"/>
      <c r="KG4" s="363"/>
      <c r="KH4" s="363"/>
      <c r="KI4" s="363"/>
      <c r="KJ4" s="363"/>
      <c r="KK4" s="363"/>
      <c r="KL4" s="363"/>
      <c r="KM4" s="363"/>
      <c r="KN4" s="363"/>
      <c r="KO4" s="363"/>
      <c r="KP4" s="363"/>
      <c r="KQ4" s="363"/>
      <c r="KR4" s="363"/>
      <c r="KS4" s="363"/>
      <c r="KT4" s="363"/>
      <c r="KU4" s="363"/>
      <c r="KV4" s="363"/>
      <c r="KW4" s="363"/>
      <c r="KX4" s="363"/>
      <c r="KY4" s="363"/>
      <c r="KZ4" s="363"/>
      <c r="LA4" s="363"/>
      <c r="LB4" s="363"/>
      <c r="LC4" s="363"/>
      <c r="LD4" s="363"/>
      <c r="LE4" s="363"/>
      <c r="LF4" s="363"/>
      <c r="LG4" s="363"/>
      <c r="LH4" s="363"/>
      <c r="LI4" s="363"/>
      <c r="LJ4" s="363"/>
      <c r="LK4" s="363"/>
      <c r="LL4" s="363"/>
      <c r="LM4" s="363"/>
      <c r="LN4" s="363"/>
      <c r="LO4" s="363"/>
      <c r="LP4" s="363"/>
      <c r="LQ4" s="363"/>
      <c r="LR4" s="363"/>
      <c r="LS4" s="363"/>
      <c r="LT4" s="363"/>
      <c r="LU4" s="363"/>
      <c r="LV4" s="363"/>
      <c r="LW4" s="363"/>
      <c r="LX4" s="363"/>
      <c r="LY4" s="363"/>
      <c r="LZ4" s="363"/>
      <c r="MA4" s="363"/>
      <c r="MB4" s="363"/>
      <c r="MC4" s="363"/>
      <c r="MD4" s="363"/>
      <c r="ME4" s="363"/>
      <c r="MF4" s="363"/>
      <c r="MG4" s="363"/>
      <c r="MH4" s="363"/>
      <c r="MI4" s="363"/>
      <c r="MJ4" s="363"/>
      <c r="MK4" s="363"/>
      <c r="ML4" s="363"/>
      <c r="MM4" s="363"/>
      <c r="MN4" s="363"/>
      <c r="MO4" s="363"/>
      <c r="MP4" s="363"/>
      <c r="MQ4" s="363"/>
      <c r="MR4" s="363"/>
      <c r="MS4" s="363"/>
      <c r="MT4" s="363"/>
      <c r="MU4" s="363"/>
      <c r="MV4" s="363"/>
      <c r="MW4" s="363"/>
      <c r="MX4" s="363"/>
      <c r="MY4" s="363"/>
      <c r="MZ4" s="363"/>
      <c r="NA4" s="363"/>
      <c r="NB4" s="363"/>
      <c r="NC4" s="363"/>
      <c r="ND4" s="176">
        <f t="shared" si="0"/>
        <v>0</v>
      </c>
    </row>
    <row r="5" spans="1:368" s="361" customFormat="1" ht="13.5" customHeight="1">
      <c r="A5" s="400"/>
      <c r="B5" s="347" t="s">
        <v>159</v>
      </c>
      <c r="C5" s="363"/>
      <c r="D5" s="363"/>
      <c r="E5" s="363"/>
      <c r="F5" s="363"/>
      <c r="G5" s="363"/>
      <c r="H5" s="363"/>
      <c r="I5" s="363"/>
      <c r="J5" s="363"/>
      <c r="K5" s="363"/>
      <c r="L5" s="363"/>
      <c r="M5" s="363"/>
      <c r="N5" s="363"/>
      <c r="O5" s="363"/>
      <c r="P5" s="363"/>
      <c r="Q5" s="363"/>
      <c r="R5" s="363"/>
      <c r="S5" s="363"/>
      <c r="T5" s="363"/>
      <c r="U5" s="363"/>
      <c r="V5" s="363"/>
      <c r="W5" s="363"/>
      <c r="X5" s="363"/>
      <c r="Y5" s="363"/>
      <c r="Z5" s="363"/>
      <c r="AA5" s="363"/>
      <c r="AB5" s="363"/>
      <c r="AC5" s="363"/>
      <c r="AD5" s="363"/>
      <c r="AE5" s="363"/>
      <c r="AF5" s="363"/>
      <c r="AG5" s="363"/>
      <c r="AH5" s="363"/>
      <c r="AI5" s="363"/>
      <c r="AJ5" s="363"/>
      <c r="AK5" s="363"/>
      <c r="AL5" s="363"/>
      <c r="AM5" s="363"/>
      <c r="AN5" s="363"/>
      <c r="AO5" s="363"/>
      <c r="AP5" s="363"/>
      <c r="AQ5" s="363"/>
      <c r="AR5" s="363"/>
      <c r="AS5" s="363"/>
      <c r="AT5" s="363"/>
      <c r="AU5" s="363"/>
      <c r="AV5" s="363"/>
      <c r="AW5" s="363"/>
      <c r="AX5" s="363"/>
      <c r="AY5" s="363"/>
      <c r="AZ5" s="363"/>
      <c r="BA5" s="363"/>
      <c r="BB5" s="363"/>
      <c r="BC5" s="363"/>
      <c r="BD5" s="363"/>
      <c r="BE5" s="363"/>
      <c r="BF5" s="363"/>
      <c r="BG5" s="363"/>
      <c r="BH5" s="363"/>
      <c r="BI5" s="363"/>
      <c r="BJ5" s="363"/>
      <c r="BK5" s="363"/>
      <c r="BL5" s="363"/>
      <c r="BM5" s="363"/>
      <c r="BN5" s="363"/>
      <c r="BO5" s="363"/>
      <c r="BP5" s="363"/>
      <c r="BQ5" s="363"/>
      <c r="BR5" s="363"/>
      <c r="BS5" s="363"/>
      <c r="BT5" s="363"/>
      <c r="BU5" s="363"/>
      <c r="BV5" s="363"/>
      <c r="BW5" s="363"/>
      <c r="BX5" s="363"/>
      <c r="BY5" s="363"/>
      <c r="BZ5" s="363"/>
      <c r="CA5" s="363"/>
      <c r="CB5" s="363"/>
      <c r="CC5" s="363"/>
      <c r="CD5" s="363"/>
      <c r="CE5" s="363"/>
      <c r="CF5" s="363"/>
      <c r="CG5" s="363"/>
      <c r="CH5" s="363"/>
      <c r="CI5" s="363"/>
      <c r="CJ5" s="363"/>
      <c r="CK5" s="363"/>
      <c r="CL5" s="363"/>
      <c r="CM5" s="363"/>
      <c r="CN5" s="363"/>
      <c r="CO5" s="363"/>
      <c r="CP5" s="363"/>
      <c r="CQ5" s="363"/>
      <c r="CR5" s="363"/>
      <c r="CS5" s="363"/>
      <c r="CT5" s="363"/>
      <c r="CU5" s="363"/>
      <c r="CV5" s="363"/>
      <c r="CW5" s="363"/>
      <c r="CX5" s="363"/>
      <c r="CY5" s="363"/>
      <c r="CZ5" s="363"/>
      <c r="DA5" s="363"/>
      <c r="DB5" s="363"/>
      <c r="DC5" s="363"/>
      <c r="DD5" s="363"/>
      <c r="DE5" s="363"/>
      <c r="DF5" s="363"/>
      <c r="DG5" s="363"/>
      <c r="DH5" s="363"/>
      <c r="DI5" s="363"/>
      <c r="DJ5" s="363"/>
      <c r="DK5" s="363"/>
      <c r="DL5" s="363"/>
      <c r="DM5" s="363"/>
      <c r="DN5" s="363"/>
      <c r="DO5" s="363"/>
      <c r="DP5" s="363"/>
      <c r="DQ5" s="363"/>
      <c r="DR5" s="363"/>
      <c r="DS5" s="363"/>
      <c r="DT5" s="363"/>
      <c r="DU5" s="363"/>
      <c r="DV5" s="363"/>
      <c r="DW5" s="363"/>
      <c r="DX5" s="363"/>
      <c r="DY5" s="363"/>
      <c r="DZ5" s="363"/>
      <c r="EA5" s="363"/>
      <c r="EB5" s="363"/>
      <c r="EC5" s="363"/>
      <c r="ED5" s="363"/>
      <c r="EE5" s="363"/>
      <c r="EF5" s="363"/>
      <c r="EG5" s="363"/>
      <c r="EH5" s="363"/>
      <c r="EI5" s="363"/>
      <c r="EJ5" s="363"/>
      <c r="EK5" s="363"/>
      <c r="EL5" s="363"/>
      <c r="EM5" s="363"/>
      <c r="EN5" s="363"/>
      <c r="EO5" s="363"/>
      <c r="EP5" s="363"/>
      <c r="EQ5" s="363"/>
      <c r="ER5" s="363"/>
      <c r="ES5" s="363"/>
      <c r="ET5" s="363"/>
      <c r="EU5" s="363"/>
      <c r="EV5" s="363"/>
      <c r="EW5" s="363"/>
      <c r="EX5" s="363"/>
      <c r="EY5" s="363"/>
      <c r="EZ5" s="363"/>
      <c r="FA5" s="363"/>
      <c r="FB5" s="363"/>
      <c r="FC5" s="363"/>
      <c r="FD5" s="363"/>
      <c r="FE5" s="363"/>
      <c r="FF5" s="363"/>
      <c r="FG5" s="363"/>
      <c r="FH5" s="363"/>
      <c r="FI5" s="363"/>
      <c r="FJ5" s="363"/>
      <c r="FK5" s="363"/>
      <c r="FL5" s="363"/>
      <c r="FM5" s="363"/>
      <c r="FN5" s="363"/>
      <c r="FO5" s="363"/>
      <c r="FP5" s="363"/>
      <c r="FQ5" s="363"/>
      <c r="FR5" s="363"/>
      <c r="FS5" s="363"/>
      <c r="FT5" s="363"/>
      <c r="FU5" s="363"/>
      <c r="FV5" s="363"/>
      <c r="FW5" s="363"/>
      <c r="FX5" s="363"/>
      <c r="FY5" s="363"/>
      <c r="FZ5" s="363"/>
      <c r="GA5" s="363"/>
      <c r="GB5" s="363"/>
      <c r="GC5" s="363"/>
      <c r="GD5" s="363"/>
      <c r="GE5" s="363"/>
      <c r="GF5" s="363"/>
      <c r="GG5" s="363"/>
      <c r="GH5" s="363"/>
      <c r="GI5" s="363"/>
      <c r="GJ5" s="363"/>
      <c r="GK5" s="363"/>
      <c r="GL5" s="363"/>
      <c r="GM5" s="363"/>
      <c r="GN5" s="363"/>
      <c r="GO5" s="363"/>
      <c r="GP5" s="363"/>
      <c r="GQ5" s="363"/>
      <c r="GR5" s="363"/>
      <c r="GS5" s="363"/>
      <c r="GT5" s="363"/>
      <c r="GU5" s="363"/>
      <c r="GV5" s="363"/>
      <c r="GW5" s="363"/>
      <c r="GX5" s="363"/>
      <c r="GY5" s="363"/>
      <c r="GZ5" s="363"/>
      <c r="HA5" s="363"/>
      <c r="HB5" s="363"/>
      <c r="HC5" s="363"/>
      <c r="HD5" s="363"/>
      <c r="HE5" s="363"/>
      <c r="HF5" s="363"/>
      <c r="HG5" s="363"/>
      <c r="HH5" s="363"/>
      <c r="HI5" s="363"/>
      <c r="HJ5" s="363"/>
      <c r="HK5" s="363"/>
      <c r="HL5" s="363"/>
      <c r="HM5" s="363"/>
      <c r="HN5" s="363"/>
      <c r="HO5" s="363"/>
      <c r="HP5" s="363"/>
      <c r="HQ5" s="363"/>
      <c r="HR5" s="363"/>
      <c r="HS5" s="363"/>
      <c r="HT5" s="363"/>
      <c r="HU5" s="363"/>
      <c r="HV5" s="363"/>
      <c r="HW5" s="363"/>
      <c r="HX5" s="363"/>
      <c r="HY5" s="363"/>
      <c r="HZ5" s="363"/>
      <c r="IA5" s="363"/>
      <c r="IB5" s="363"/>
      <c r="IC5" s="363"/>
      <c r="ID5" s="363"/>
      <c r="IE5" s="363"/>
      <c r="IF5" s="363"/>
      <c r="IG5" s="363"/>
      <c r="IH5" s="363"/>
      <c r="II5" s="363"/>
      <c r="IJ5" s="363"/>
      <c r="IK5" s="363"/>
      <c r="IL5" s="363"/>
      <c r="IM5" s="363"/>
      <c r="IN5" s="363"/>
      <c r="IO5" s="363"/>
      <c r="IP5" s="363"/>
      <c r="IQ5" s="363"/>
      <c r="IR5" s="363"/>
      <c r="IS5" s="363"/>
      <c r="IT5" s="363"/>
      <c r="IU5" s="363"/>
      <c r="IV5" s="363"/>
      <c r="IW5" s="363"/>
      <c r="IX5" s="363"/>
      <c r="IY5" s="363"/>
      <c r="IZ5" s="363"/>
      <c r="JA5" s="363"/>
      <c r="JB5" s="363"/>
      <c r="JC5" s="363"/>
      <c r="JD5" s="363"/>
      <c r="JE5" s="363"/>
      <c r="JF5" s="363"/>
      <c r="JG5" s="363"/>
      <c r="JH5" s="363"/>
      <c r="JI5" s="363"/>
      <c r="JJ5" s="363"/>
      <c r="JK5" s="363"/>
      <c r="JL5" s="363"/>
      <c r="JM5" s="363"/>
      <c r="JN5" s="363"/>
      <c r="JO5" s="363"/>
      <c r="JP5" s="363"/>
      <c r="JQ5" s="363"/>
      <c r="JR5" s="363"/>
      <c r="JS5" s="363"/>
      <c r="JT5" s="363"/>
      <c r="JU5" s="363"/>
      <c r="JV5" s="363"/>
      <c r="JW5" s="363"/>
      <c r="JX5" s="363"/>
      <c r="JY5" s="363"/>
      <c r="JZ5" s="363"/>
      <c r="KA5" s="363"/>
      <c r="KB5" s="363"/>
      <c r="KC5" s="363"/>
      <c r="KD5" s="363"/>
      <c r="KE5" s="363"/>
      <c r="KF5" s="363"/>
      <c r="KG5" s="363"/>
      <c r="KH5" s="363"/>
      <c r="KI5" s="363"/>
      <c r="KJ5" s="363"/>
      <c r="KK5" s="363"/>
      <c r="KL5" s="363"/>
      <c r="KM5" s="363"/>
      <c r="KN5" s="363"/>
      <c r="KO5" s="363"/>
      <c r="KP5" s="363"/>
      <c r="KQ5" s="363"/>
      <c r="KR5" s="363"/>
      <c r="KS5" s="363"/>
      <c r="KT5" s="363"/>
      <c r="KU5" s="363"/>
      <c r="KV5" s="363"/>
      <c r="KW5" s="363"/>
      <c r="KX5" s="363"/>
      <c r="KY5" s="363"/>
      <c r="KZ5" s="363"/>
      <c r="LA5" s="363"/>
      <c r="LB5" s="363"/>
      <c r="LC5" s="363"/>
      <c r="LD5" s="363"/>
      <c r="LE5" s="363"/>
      <c r="LF5" s="363"/>
      <c r="LG5" s="363"/>
      <c r="LH5" s="363"/>
      <c r="LI5" s="363"/>
      <c r="LJ5" s="363"/>
      <c r="LK5" s="363"/>
      <c r="LL5" s="363"/>
      <c r="LM5" s="363"/>
      <c r="LN5" s="363"/>
      <c r="LO5" s="363"/>
      <c r="LP5" s="363"/>
      <c r="LQ5" s="363"/>
      <c r="LR5" s="363"/>
      <c r="LS5" s="363"/>
      <c r="LT5" s="363"/>
      <c r="LU5" s="363"/>
      <c r="LV5" s="363"/>
      <c r="LW5" s="363"/>
      <c r="LX5" s="363"/>
      <c r="LY5" s="363"/>
      <c r="LZ5" s="363"/>
      <c r="MA5" s="363"/>
      <c r="MB5" s="363"/>
      <c r="MC5" s="363"/>
      <c r="MD5" s="363"/>
      <c r="ME5" s="363"/>
      <c r="MF5" s="363"/>
      <c r="MG5" s="363"/>
      <c r="MH5" s="363"/>
      <c r="MI5" s="363"/>
      <c r="MJ5" s="363"/>
      <c r="MK5" s="363"/>
      <c r="ML5" s="363"/>
      <c r="MM5" s="363"/>
      <c r="MN5" s="363"/>
      <c r="MO5" s="363"/>
      <c r="MP5" s="363"/>
      <c r="MQ5" s="363"/>
      <c r="MR5" s="363"/>
      <c r="MS5" s="363"/>
      <c r="MT5" s="363"/>
      <c r="MU5" s="363"/>
      <c r="MV5" s="363"/>
      <c r="MW5" s="363"/>
      <c r="MX5" s="363"/>
      <c r="MY5" s="363"/>
      <c r="MZ5" s="363"/>
      <c r="NA5" s="363"/>
      <c r="NB5" s="363"/>
      <c r="NC5" s="363"/>
      <c r="ND5" s="176">
        <f t="shared" si="0"/>
        <v>0</v>
      </c>
    </row>
    <row r="6" spans="1:368" s="361" customFormat="1" ht="13.5" customHeight="1">
      <c r="A6" s="400"/>
      <c r="B6" s="347" t="s">
        <v>134</v>
      </c>
      <c r="C6" s="363"/>
      <c r="D6" s="363"/>
      <c r="E6" s="363"/>
      <c r="F6" s="363"/>
      <c r="G6" s="363"/>
      <c r="H6" s="363"/>
      <c r="I6" s="363"/>
      <c r="J6" s="363"/>
      <c r="K6" s="363"/>
      <c r="L6" s="363"/>
      <c r="M6" s="363"/>
      <c r="N6" s="363"/>
      <c r="O6" s="363"/>
      <c r="P6" s="363"/>
      <c r="Q6" s="363"/>
      <c r="R6" s="363"/>
      <c r="S6" s="363"/>
      <c r="T6" s="363"/>
      <c r="U6" s="363"/>
      <c r="V6" s="363"/>
      <c r="W6" s="363"/>
      <c r="X6" s="363"/>
      <c r="Y6" s="363"/>
      <c r="Z6" s="363"/>
      <c r="AA6" s="363"/>
      <c r="AB6" s="363"/>
      <c r="AC6" s="363"/>
      <c r="AD6" s="363"/>
      <c r="AE6" s="363"/>
      <c r="AF6" s="363"/>
      <c r="AG6" s="363"/>
      <c r="AH6" s="363"/>
      <c r="AI6" s="363"/>
      <c r="AJ6" s="363"/>
      <c r="AK6" s="363"/>
      <c r="AL6" s="363"/>
      <c r="AM6" s="363"/>
      <c r="AN6" s="363"/>
      <c r="AO6" s="363"/>
      <c r="AP6" s="363"/>
      <c r="AQ6" s="363"/>
      <c r="AR6" s="363"/>
      <c r="AS6" s="363"/>
      <c r="AT6" s="363"/>
      <c r="AU6" s="363"/>
      <c r="AV6" s="363"/>
      <c r="AW6" s="363"/>
      <c r="AX6" s="363"/>
      <c r="AY6" s="363"/>
      <c r="AZ6" s="363"/>
      <c r="BA6" s="363"/>
      <c r="BB6" s="363"/>
      <c r="BC6" s="363"/>
      <c r="BD6" s="363"/>
      <c r="BE6" s="363"/>
      <c r="BF6" s="363"/>
      <c r="BG6" s="363"/>
      <c r="BH6" s="363"/>
      <c r="BI6" s="363"/>
      <c r="BJ6" s="363"/>
      <c r="BK6" s="363"/>
      <c r="BL6" s="363"/>
      <c r="BM6" s="363"/>
      <c r="BN6" s="363"/>
      <c r="BO6" s="363"/>
      <c r="BP6" s="363"/>
      <c r="BQ6" s="363"/>
      <c r="BR6" s="363"/>
      <c r="BS6" s="363"/>
      <c r="BT6" s="363"/>
      <c r="BU6" s="363"/>
      <c r="BV6" s="363"/>
      <c r="BW6" s="363"/>
      <c r="BX6" s="363"/>
      <c r="BY6" s="363"/>
      <c r="BZ6" s="363"/>
      <c r="CA6" s="363"/>
      <c r="CB6" s="363"/>
      <c r="CC6" s="363"/>
      <c r="CD6" s="363"/>
      <c r="CE6" s="363"/>
      <c r="CF6" s="363"/>
      <c r="CG6" s="363"/>
      <c r="CH6" s="363"/>
      <c r="CI6" s="363"/>
      <c r="CJ6" s="363"/>
      <c r="CK6" s="363"/>
      <c r="CL6" s="363"/>
      <c r="CM6" s="363"/>
      <c r="CN6" s="363"/>
      <c r="CO6" s="363"/>
      <c r="CP6" s="363"/>
      <c r="CQ6" s="363"/>
      <c r="CR6" s="363"/>
      <c r="CS6" s="363"/>
      <c r="CT6" s="363"/>
      <c r="CU6" s="363"/>
      <c r="CV6" s="363"/>
      <c r="CW6" s="363"/>
      <c r="CX6" s="363"/>
      <c r="CY6" s="363"/>
      <c r="CZ6" s="363"/>
      <c r="DA6" s="363"/>
      <c r="DB6" s="363"/>
      <c r="DC6" s="363"/>
      <c r="DD6" s="363"/>
      <c r="DE6" s="363"/>
      <c r="DF6" s="363"/>
      <c r="DG6" s="363"/>
      <c r="DH6" s="363"/>
      <c r="DI6" s="363"/>
      <c r="DJ6" s="363"/>
      <c r="DK6" s="363"/>
      <c r="DL6" s="363"/>
      <c r="DM6" s="363"/>
      <c r="DN6" s="363"/>
      <c r="DO6" s="363"/>
      <c r="DP6" s="363"/>
      <c r="DQ6" s="363"/>
      <c r="DR6" s="363"/>
      <c r="DS6" s="363"/>
      <c r="DT6" s="363"/>
      <c r="DU6" s="363"/>
      <c r="DV6" s="363"/>
      <c r="DW6" s="363"/>
      <c r="DX6" s="363"/>
      <c r="DY6" s="363"/>
      <c r="DZ6" s="363"/>
      <c r="EA6" s="363"/>
      <c r="EB6" s="363"/>
      <c r="EC6" s="363"/>
      <c r="ED6" s="363"/>
      <c r="EE6" s="363"/>
      <c r="EF6" s="363"/>
      <c r="EG6" s="363"/>
      <c r="EH6" s="363"/>
      <c r="EI6" s="363"/>
      <c r="EJ6" s="363"/>
      <c r="EK6" s="363"/>
      <c r="EL6" s="363"/>
      <c r="EM6" s="363"/>
      <c r="EN6" s="363"/>
      <c r="EO6" s="363"/>
      <c r="EP6" s="363"/>
      <c r="EQ6" s="363"/>
      <c r="ER6" s="363"/>
      <c r="ES6" s="363"/>
      <c r="ET6" s="363"/>
      <c r="EU6" s="363"/>
      <c r="EV6" s="363"/>
      <c r="EW6" s="363"/>
      <c r="EX6" s="363"/>
      <c r="EY6" s="363"/>
      <c r="EZ6" s="363"/>
      <c r="FA6" s="363"/>
      <c r="FB6" s="363"/>
      <c r="FC6" s="363"/>
      <c r="FD6" s="363"/>
      <c r="FE6" s="363"/>
      <c r="FF6" s="363"/>
      <c r="FG6" s="363"/>
      <c r="FH6" s="363"/>
      <c r="FI6" s="363"/>
      <c r="FJ6" s="363"/>
      <c r="FK6" s="363"/>
      <c r="FL6" s="363"/>
      <c r="FM6" s="363"/>
      <c r="FN6" s="363"/>
      <c r="FO6" s="363"/>
      <c r="FP6" s="363"/>
      <c r="FQ6" s="363"/>
      <c r="FR6" s="363"/>
      <c r="FS6" s="363"/>
      <c r="FT6" s="363"/>
      <c r="FU6" s="363"/>
      <c r="FV6" s="363"/>
      <c r="FW6" s="363"/>
      <c r="FX6" s="363"/>
      <c r="FY6" s="363"/>
      <c r="FZ6" s="363"/>
      <c r="GA6" s="363"/>
      <c r="GB6" s="363"/>
      <c r="GC6" s="363"/>
      <c r="GD6" s="363"/>
      <c r="GE6" s="363"/>
      <c r="GF6" s="363"/>
      <c r="GG6" s="363"/>
      <c r="GH6" s="363"/>
      <c r="GI6" s="363"/>
      <c r="GJ6" s="363"/>
      <c r="GK6" s="363"/>
      <c r="GL6" s="363"/>
      <c r="GM6" s="363"/>
      <c r="GN6" s="363"/>
      <c r="GO6" s="363"/>
      <c r="GP6" s="363"/>
      <c r="GQ6" s="363"/>
      <c r="GR6" s="363"/>
      <c r="GS6" s="363"/>
      <c r="GT6" s="363"/>
      <c r="GU6" s="363"/>
      <c r="GV6" s="363"/>
      <c r="GW6" s="363"/>
      <c r="GX6" s="363"/>
      <c r="GY6" s="363"/>
      <c r="GZ6" s="363"/>
      <c r="HA6" s="363"/>
      <c r="HB6" s="363"/>
      <c r="HC6" s="363"/>
      <c r="HD6" s="363"/>
      <c r="HE6" s="363"/>
      <c r="HF6" s="363"/>
      <c r="HG6" s="363"/>
      <c r="HH6" s="363"/>
      <c r="HI6" s="363"/>
      <c r="HJ6" s="363"/>
      <c r="HK6" s="363"/>
      <c r="HL6" s="363"/>
      <c r="HM6" s="363"/>
      <c r="HN6" s="363"/>
      <c r="HO6" s="363"/>
      <c r="HP6" s="363"/>
      <c r="HQ6" s="363"/>
      <c r="HR6" s="363"/>
      <c r="HS6" s="363"/>
      <c r="HT6" s="363"/>
      <c r="HU6" s="363"/>
      <c r="HV6" s="363"/>
      <c r="HW6" s="363"/>
      <c r="HX6" s="363"/>
      <c r="HY6" s="363"/>
      <c r="HZ6" s="363"/>
      <c r="IA6" s="363"/>
      <c r="IB6" s="363"/>
      <c r="IC6" s="363"/>
      <c r="ID6" s="363"/>
      <c r="IE6" s="363"/>
      <c r="IF6" s="363"/>
      <c r="IG6" s="363"/>
      <c r="IH6" s="363"/>
      <c r="II6" s="363"/>
      <c r="IJ6" s="363"/>
      <c r="IK6" s="363"/>
      <c r="IL6" s="363"/>
      <c r="IM6" s="363"/>
      <c r="IN6" s="363"/>
      <c r="IO6" s="363"/>
      <c r="IP6" s="363"/>
      <c r="IQ6" s="363"/>
      <c r="IR6" s="363"/>
      <c r="IS6" s="363"/>
      <c r="IT6" s="363"/>
      <c r="IU6" s="363"/>
      <c r="IV6" s="363"/>
      <c r="IW6" s="363"/>
      <c r="IX6" s="363"/>
      <c r="IY6" s="363"/>
      <c r="IZ6" s="363"/>
      <c r="JA6" s="363"/>
      <c r="JB6" s="363"/>
      <c r="JC6" s="363"/>
      <c r="JD6" s="363"/>
      <c r="JE6" s="363"/>
      <c r="JF6" s="363"/>
      <c r="JG6" s="363"/>
      <c r="JH6" s="363"/>
      <c r="JI6" s="363"/>
      <c r="JJ6" s="363"/>
      <c r="JK6" s="363"/>
      <c r="JL6" s="363"/>
      <c r="JM6" s="363"/>
      <c r="JN6" s="363"/>
      <c r="JO6" s="363"/>
      <c r="JP6" s="363"/>
      <c r="JQ6" s="363"/>
      <c r="JR6" s="363"/>
      <c r="JS6" s="363"/>
      <c r="JT6" s="363"/>
      <c r="JU6" s="363"/>
      <c r="JV6" s="363"/>
      <c r="JW6" s="363"/>
      <c r="JX6" s="363"/>
      <c r="JY6" s="363"/>
      <c r="JZ6" s="363"/>
      <c r="KA6" s="363"/>
      <c r="KB6" s="363"/>
      <c r="KC6" s="363"/>
      <c r="KD6" s="363"/>
      <c r="KE6" s="363"/>
      <c r="KF6" s="363"/>
      <c r="KG6" s="363"/>
      <c r="KH6" s="363"/>
      <c r="KI6" s="363"/>
      <c r="KJ6" s="363"/>
      <c r="KK6" s="363"/>
      <c r="KL6" s="363"/>
      <c r="KM6" s="363"/>
      <c r="KN6" s="363"/>
      <c r="KO6" s="363"/>
      <c r="KP6" s="363"/>
      <c r="KQ6" s="363"/>
      <c r="KR6" s="363"/>
      <c r="KS6" s="363"/>
      <c r="KT6" s="363"/>
      <c r="KU6" s="363"/>
      <c r="KV6" s="363"/>
      <c r="KW6" s="363"/>
      <c r="KX6" s="363"/>
      <c r="KY6" s="363"/>
      <c r="KZ6" s="363"/>
      <c r="LA6" s="363"/>
      <c r="LB6" s="363"/>
      <c r="LC6" s="363"/>
      <c r="LD6" s="363"/>
      <c r="LE6" s="363"/>
      <c r="LF6" s="363"/>
      <c r="LG6" s="363"/>
      <c r="LH6" s="363"/>
      <c r="LI6" s="363"/>
      <c r="LJ6" s="363"/>
      <c r="LK6" s="363"/>
      <c r="LL6" s="363"/>
      <c r="LM6" s="363"/>
      <c r="LN6" s="363"/>
      <c r="LO6" s="363"/>
      <c r="LP6" s="363"/>
      <c r="LQ6" s="363"/>
      <c r="LR6" s="363"/>
      <c r="LS6" s="363"/>
      <c r="LT6" s="363"/>
      <c r="LU6" s="363"/>
      <c r="LV6" s="363"/>
      <c r="LW6" s="363"/>
      <c r="LX6" s="363"/>
      <c r="LY6" s="363"/>
      <c r="LZ6" s="363"/>
      <c r="MA6" s="363"/>
      <c r="MB6" s="363"/>
      <c r="MC6" s="363"/>
      <c r="MD6" s="363"/>
      <c r="ME6" s="363"/>
      <c r="MF6" s="363"/>
      <c r="MG6" s="363"/>
      <c r="MH6" s="363"/>
      <c r="MI6" s="363"/>
      <c r="MJ6" s="363"/>
      <c r="MK6" s="363"/>
      <c r="ML6" s="363"/>
      <c r="MM6" s="363"/>
      <c r="MN6" s="363"/>
      <c r="MO6" s="363"/>
      <c r="MP6" s="363"/>
      <c r="MQ6" s="363"/>
      <c r="MR6" s="363"/>
      <c r="MS6" s="363"/>
      <c r="MT6" s="363"/>
      <c r="MU6" s="363"/>
      <c r="MV6" s="363"/>
      <c r="MW6" s="363"/>
      <c r="MX6" s="363"/>
      <c r="MY6" s="363"/>
      <c r="MZ6" s="363"/>
      <c r="NA6" s="363"/>
      <c r="NB6" s="363"/>
      <c r="NC6" s="363"/>
      <c r="ND6" s="176">
        <f t="shared" si="0"/>
        <v>0</v>
      </c>
    </row>
    <row r="7" spans="1:368" s="361" customFormat="1" ht="13.5" customHeight="1">
      <c r="A7" s="400"/>
      <c r="B7" s="347" t="s">
        <v>135</v>
      </c>
      <c r="C7" s="363"/>
      <c r="D7" s="363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3"/>
      <c r="U7" s="363"/>
      <c r="V7" s="363"/>
      <c r="W7" s="363"/>
      <c r="X7" s="363"/>
      <c r="Y7" s="363"/>
      <c r="Z7" s="363"/>
      <c r="AA7" s="363"/>
      <c r="AB7" s="363"/>
      <c r="AC7" s="363"/>
      <c r="AD7" s="363"/>
      <c r="AE7" s="363"/>
      <c r="AF7" s="363"/>
      <c r="AG7" s="363"/>
      <c r="AH7" s="363"/>
      <c r="AI7" s="363"/>
      <c r="AJ7" s="363"/>
      <c r="AK7" s="363"/>
      <c r="AL7" s="363"/>
      <c r="AM7" s="363"/>
      <c r="AN7" s="363"/>
      <c r="AO7" s="363"/>
      <c r="AP7" s="363"/>
      <c r="AQ7" s="363"/>
      <c r="AR7" s="363"/>
      <c r="AS7" s="363"/>
      <c r="AT7" s="363"/>
      <c r="AU7" s="363"/>
      <c r="AV7" s="363"/>
      <c r="AW7" s="363"/>
      <c r="AX7" s="363"/>
      <c r="AY7" s="363"/>
      <c r="AZ7" s="363"/>
      <c r="BA7" s="363"/>
      <c r="BB7" s="363"/>
      <c r="BC7" s="363"/>
      <c r="BD7" s="363"/>
      <c r="BE7" s="363"/>
      <c r="BF7" s="363"/>
      <c r="BG7" s="363"/>
      <c r="BH7" s="363"/>
      <c r="BI7" s="363"/>
      <c r="BJ7" s="363"/>
      <c r="BK7" s="363"/>
      <c r="BL7" s="363"/>
      <c r="BM7" s="363"/>
      <c r="BN7" s="363"/>
      <c r="BO7" s="363"/>
      <c r="BP7" s="363"/>
      <c r="BQ7" s="363"/>
      <c r="BR7" s="363"/>
      <c r="BS7" s="363"/>
      <c r="BT7" s="363"/>
      <c r="BU7" s="363"/>
      <c r="BV7" s="363"/>
      <c r="BW7" s="363"/>
      <c r="BX7" s="363"/>
      <c r="BY7" s="363"/>
      <c r="BZ7" s="363"/>
      <c r="CA7" s="363"/>
      <c r="CB7" s="363"/>
      <c r="CC7" s="363"/>
      <c r="CD7" s="363"/>
      <c r="CE7" s="363"/>
      <c r="CF7" s="363"/>
      <c r="CG7" s="363"/>
      <c r="CH7" s="363"/>
      <c r="CI7" s="363"/>
      <c r="CJ7" s="363"/>
      <c r="CK7" s="363"/>
      <c r="CL7" s="363"/>
      <c r="CM7" s="363"/>
      <c r="CN7" s="363"/>
      <c r="CO7" s="363"/>
      <c r="CP7" s="363"/>
      <c r="CQ7" s="363"/>
      <c r="CR7" s="363"/>
      <c r="CS7" s="363"/>
      <c r="CT7" s="363"/>
      <c r="CU7" s="363"/>
      <c r="CV7" s="363"/>
      <c r="CW7" s="363"/>
      <c r="CX7" s="363"/>
      <c r="CY7" s="363"/>
      <c r="CZ7" s="363"/>
      <c r="DA7" s="363"/>
      <c r="DB7" s="363"/>
      <c r="DC7" s="363"/>
      <c r="DD7" s="363"/>
      <c r="DE7" s="363"/>
      <c r="DF7" s="363"/>
      <c r="DG7" s="363"/>
      <c r="DH7" s="363"/>
      <c r="DI7" s="363"/>
      <c r="DJ7" s="363"/>
      <c r="DK7" s="363"/>
      <c r="DL7" s="363"/>
      <c r="DM7" s="363"/>
      <c r="DN7" s="363"/>
      <c r="DO7" s="363"/>
      <c r="DP7" s="363"/>
      <c r="DQ7" s="363"/>
      <c r="DR7" s="363"/>
      <c r="DS7" s="363"/>
      <c r="DT7" s="363"/>
      <c r="DU7" s="363"/>
      <c r="DV7" s="363"/>
      <c r="DW7" s="363"/>
      <c r="DX7" s="363"/>
      <c r="DY7" s="363"/>
      <c r="DZ7" s="363"/>
      <c r="EA7" s="363"/>
      <c r="EB7" s="363"/>
      <c r="EC7" s="363"/>
      <c r="ED7" s="363"/>
      <c r="EE7" s="363"/>
      <c r="EF7" s="363"/>
      <c r="EG7" s="363"/>
      <c r="EH7" s="363"/>
      <c r="EI7" s="363"/>
      <c r="EJ7" s="363"/>
      <c r="EK7" s="363"/>
      <c r="EL7" s="363"/>
      <c r="EM7" s="363"/>
      <c r="EN7" s="363"/>
      <c r="EO7" s="363"/>
      <c r="EP7" s="363"/>
      <c r="EQ7" s="363"/>
      <c r="ER7" s="363"/>
      <c r="ES7" s="363"/>
      <c r="ET7" s="363"/>
      <c r="EU7" s="363"/>
      <c r="EV7" s="363"/>
      <c r="EW7" s="363"/>
      <c r="EX7" s="363"/>
      <c r="EY7" s="363"/>
      <c r="EZ7" s="363"/>
      <c r="FA7" s="363"/>
      <c r="FB7" s="363"/>
      <c r="FC7" s="363"/>
      <c r="FD7" s="363"/>
      <c r="FE7" s="363"/>
      <c r="FF7" s="363"/>
      <c r="FG7" s="363"/>
      <c r="FH7" s="363"/>
      <c r="FI7" s="363"/>
      <c r="FJ7" s="363"/>
      <c r="FK7" s="363"/>
      <c r="FL7" s="363"/>
      <c r="FM7" s="363"/>
      <c r="FN7" s="363"/>
      <c r="FO7" s="363"/>
      <c r="FP7" s="363"/>
      <c r="FQ7" s="363"/>
      <c r="FR7" s="363"/>
      <c r="FS7" s="363"/>
      <c r="FT7" s="363"/>
      <c r="FU7" s="363"/>
      <c r="FV7" s="363"/>
      <c r="FW7" s="363"/>
      <c r="FX7" s="363"/>
      <c r="FY7" s="363"/>
      <c r="FZ7" s="363"/>
      <c r="GA7" s="363"/>
      <c r="GB7" s="363"/>
      <c r="GC7" s="363"/>
      <c r="GD7" s="363"/>
      <c r="GE7" s="363"/>
      <c r="GF7" s="363"/>
      <c r="GG7" s="363"/>
      <c r="GH7" s="363"/>
      <c r="GI7" s="363"/>
      <c r="GJ7" s="363"/>
      <c r="GK7" s="363"/>
      <c r="GL7" s="363"/>
      <c r="GM7" s="363"/>
      <c r="GN7" s="363"/>
      <c r="GO7" s="363"/>
      <c r="GP7" s="363"/>
      <c r="GQ7" s="363"/>
      <c r="GR7" s="363"/>
      <c r="GS7" s="363"/>
      <c r="GT7" s="363"/>
      <c r="GU7" s="363"/>
      <c r="GV7" s="363"/>
      <c r="GW7" s="363"/>
      <c r="GX7" s="363"/>
      <c r="GY7" s="363"/>
      <c r="GZ7" s="363"/>
      <c r="HA7" s="363"/>
      <c r="HB7" s="363"/>
      <c r="HC7" s="363"/>
      <c r="HD7" s="363"/>
      <c r="HE7" s="363"/>
      <c r="HF7" s="363"/>
      <c r="HG7" s="363"/>
      <c r="HH7" s="363"/>
      <c r="HI7" s="363"/>
      <c r="HJ7" s="363"/>
      <c r="HK7" s="363"/>
      <c r="HL7" s="363"/>
      <c r="HM7" s="363"/>
      <c r="HN7" s="363"/>
      <c r="HO7" s="363"/>
      <c r="HP7" s="363"/>
      <c r="HQ7" s="363"/>
      <c r="HR7" s="363"/>
      <c r="HS7" s="363"/>
      <c r="HT7" s="363"/>
      <c r="HU7" s="363"/>
      <c r="HV7" s="363"/>
      <c r="HW7" s="363"/>
      <c r="HX7" s="363"/>
      <c r="HY7" s="363"/>
      <c r="HZ7" s="363"/>
      <c r="IA7" s="363"/>
      <c r="IB7" s="363"/>
      <c r="IC7" s="363"/>
      <c r="ID7" s="363"/>
      <c r="IE7" s="363"/>
      <c r="IF7" s="363"/>
      <c r="IG7" s="363"/>
      <c r="IH7" s="363"/>
      <c r="II7" s="363"/>
      <c r="IJ7" s="363"/>
      <c r="IK7" s="363"/>
      <c r="IL7" s="363"/>
      <c r="IM7" s="363"/>
      <c r="IN7" s="363"/>
      <c r="IO7" s="363"/>
      <c r="IP7" s="363"/>
      <c r="IQ7" s="363"/>
      <c r="IR7" s="363"/>
      <c r="IS7" s="363"/>
      <c r="IT7" s="363"/>
      <c r="IU7" s="363"/>
      <c r="IV7" s="363"/>
      <c r="IW7" s="363"/>
      <c r="IX7" s="363"/>
      <c r="IY7" s="363"/>
      <c r="IZ7" s="363"/>
      <c r="JA7" s="363"/>
      <c r="JB7" s="363"/>
      <c r="JC7" s="363"/>
      <c r="JD7" s="363"/>
      <c r="JE7" s="363"/>
      <c r="JF7" s="363"/>
      <c r="JG7" s="363"/>
      <c r="JH7" s="363"/>
      <c r="JI7" s="363"/>
      <c r="JJ7" s="363"/>
      <c r="JK7" s="363"/>
      <c r="JL7" s="363"/>
      <c r="JM7" s="363"/>
      <c r="JN7" s="363"/>
      <c r="JO7" s="363"/>
      <c r="JP7" s="363"/>
      <c r="JQ7" s="363"/>
      <c r="JR7" s="363"/>
      <c r="JS7" s="363"/>
      <c r="JT7" s="363"/>
      <c r="JU7" s="363"/>
      <c r="JV7" s="363"/>
      <c r="JW7" s="363"/>
      <c r="JX7" s="363"/>
      <c r="JY7" s="363"/>
      <c r="JZ7" s="363"/>
      <c r="KA7" s="363"/>
      <c r="KB7" s="363"/>
      <c r="KC7" s="363"/>
      <c r="KD7" s="363"/>
      <c r="KE7" s="363"/>
      <c r="KF7" s="363"/>
      <c r="KG7" s="363"/>
      <c r="KH7" s="363"/>
      <c r="KI7" s="363"/>
      <c r="KJ7" s="363"/>
      <c r="KK7" s="363"/>
      <c r="KL7" s="363"/>
      <c r="KM7" s="363"/>
      <c r="KN7" s="363"/>
      <c r="KO7" s="363"/>
      <c r="KP7" s="363"/>
      <c r="KQ7" s="363"/>
      <c r="KR7" s="363"/>
      <c r="KS7" s="363"/>
      <c r="KT7" s="363"/>
      <c r="KU7" s="363"/>
      <c r="KV7" s="363"/>
      <c r="KW7" s="363"/>
      <c r="KX7" s="363"/>
      <c r="KY7" s="363"/>
      <c r="KZ7" s="363"/>
      <c r="LA7" s="363"/>
      <c r="LB7" s="363"/>
      <c r="LC7" s="363"/>
      <c r="LD7" s="363"/>
      <c r="LE7" s="363"/>
      <c r="LF7" s="363"/>
      <c r="LG7" s="363"/>
      <c r="LH7" s="363"/>
      <c r="LI7" s="363"/>
      <c r="LJ7" s="363"/>
      <c r="LK7" s="363"/>
      <c r="LL7" s="363"/>
      <c r="LM7" s="363"/>
      <c r="LN7" s="363"/>
      <c r="LO7" s="363"/>
      <c r="LP7" s="363"/>
      <c r="LQ7" s="363"/>
      <c r="LR7" s="363"/>
      <c r="LS7" s="363"/>
      <c r="LT7" s="363"/>
      <c r="LU7" s="363"/>
      <c r="LV7" s="363"/>
      <c r="LW7" s="363"/>
      <c r="LX7" s="363"/>
      <c r="LY7" s="363"/>
      <c r="LZ7" s="363"/>
      <c r="MA7" s="363"/>
      <c r="MB7" s="363"/>
      <c r="MC7" s="363"/>
      <c r="MD7" s="363"/>
      <c r="ME7" s="363"/>
      <c r="MF7" s="363"/>
      <c r="MG7" s="363"/>
      <c r="MH7" s="363"/>
      <c r="MI7" s="363"/>
      <c r="MJ7" s="363"/>
      <c r="MK7" s="363"/>
      <c r="ML7" s="363"/>
      <c r="MM7" s="363"/>
      <c r="MN7" s="363"/>
      <c r="MO7" s="363"/>
      <c r="MP7" s="363"/>
      <c r="MQ7" s="363"/>
      <c r="MR7" s="363"/>
      <c r="MS7" s="363"/>
      <c r="MT7" s="363"/>
      <c r="MU7" s="363"/>
      <c r="MV7" s="363"/>
      <c r="MW7" s="363"/>
      <c r="MX7" s="363"/>
      <c r="MY7" s="363"/>
      <c r="MZ7" s="363"/>
      <c r="NA7" s="363"/>
      <c r="NB7" s="363"/>
      <c r="NC7" s="363"/>
      <c r="ND7" s="176">
        <f t="shared" si="0"/>
        <v>0</v>
      </c>
    </row>
    <row r="8" spans="1:368" s="361" customFormat="1" ht="13.5" customHeight="1" thickBot="1">
      <c r="A8" s="401"/>
      <c r="B8" s="347" t="s">
        <v>21</v>
      </c>
      <c r="C8" s="363"/>
      <c r="D8" s="364"/>
      <c r="E8" s="364"/>
      <c r="F8" s="364"/>
      <c r="G8" s="364"/>
      <c r="H8" s="364"/>
      <c r="I8" s="364"/>
      <c r="J8" s="364"/>
      <c r="K8" s="364"/>
      <c r="L8" s="364"/>
      <c r="M8" s="364"/>
      <c r="N8" s="364"/>
      <c r="O8" s="364"/>
      <c r="P8" s="364"/>
      <c r="Q8" s="364"/>
      <c r="R8" s="364"/>
      <c r="S8" s="364"/>
      <c r="T8" s="364"/>
      <c r="U8" s="364"/>
      <c r="V8" s="364"/>
      <c r="W8" s="364"/>
      <c r="X8" s="364"/>
      <c r="Y8" s="364"/>
      <c r="Z8" s="364"/>
      <c r="AA8" s="364"/>
      <c r="AB8" s="364"/>
      <c r="AC8" s="364"/>
      <c r="AD8" s="364"/>
      <c r="AE8" s="364"/>
      <c r="AF8" s="364"/>
      <c r="AG8" s="364"/>
      <c r="AH8" s="364"/>
      <c r="AI8" s="364"/>
      <c r="AJ8" s="364"/>
      <c r="AK8" s="364"/>
      <c r="AL8" s="364"/>
      <c r="AM8" s="364"/>
      <c r="AN8" s="364"/>
      <c r="AO8" s="364"/>
      <c r="AP8" s="364"/>
      <c r="AQ8" s="364"/>
      <c r="AR8" s="364"/>
      <c r="AS8" s="364"/>
      <c r="AT8" s="364"/>
      <c r="AU8" s="364"/>
      <c r="AV8" s="364"/>
      <c r="AW8" s="364"/>
      <c r="AX8" s="364"/>
      <c r="AY8" s="364"/>
      <c r="AZ8" s="364"/>
      <c r="BA8" s="364"/>
      <c r="BB8" s="364"/>
      <c r="BC8" s="364"/>
      <c r="BD8" s="364"/>
      <c r="BE8" s="364"/>
      <c r="BF8" s="364"/>
      <c r="BG8" s="364"/>
      <c r="BH8" s="364"/>
      <c r="BI8" s="364"/>
      <c r="BJ8" s="364"/>
      <c r="BK8" s="364"/>
      <c r="BL8" s="364"/>
      <c r="BM8" s="364"/>
      <c r="BN8" s="364"/>
      <c r="BO8" s="364"/>
      <c r="BP8" s="364"/>
      <c r="BQ8" s="364"/>
      <c r="BR8" s="364"/>
      <c r="BS8" s="364"/>
      <c r="BT8" s="364"/>
      <c r="BU8" s="364"/>
      <c r="BV8" s="364"/>
      <c r="BW8" s="364"/>
      <c r="BX8" s="364"/>
      <c r="BY8" s="364"/>
      <c r="BZ8" s="364"/>
      <c r="CA8" s="364"/>
      <c r="CB8" s="364"/>
      <c r="CC8" s="364"/>
      <c r="CD8" s="364"/>
      <c r="CE8" s="364"/>
      <c r="CF8" s="364"/>
      <c r="CG8" s="364"/>
      <c r="CH8" s="364"/>
      <c r="CI8" s="364"/>
      <c r="CJ8" s="364"/>
      <c r="CK8" s="364"/>
      <c r="CL8" s="364"/>
      <c r="CM8" s="364"/>
      <c r="CN8" s="364"/>
      <c r="CO8" s="364"/>
      <c r="CP8" s="364"/>
      <c r="CQ8" s="364"/>
      <c r="CR8" s="364"/>
      <c r="CS8" s="364"/>
      <c r="CT8" s="364"/>
      <c r="CU8" s="364"/>
      <c r="CV8" s="364"/>
      <c r="CW8" s="364"/>
      <c r="CX8" s="364"/>
      <c r="CY8" s="364"/>
      <c r="CZ8" s="364"/>
      <c r="DA8" s="364"/>
      <c r="DB8" s="364"/>
      <c r="DC8" s="364"/>
      <c r="DD8" s="364"/>
      <c r="DE8" s="364"/>
      <c r="DF8" s="364"/>
      <c r="DG8" s="364"/>
      <c r="DH8" s="364"/>
      <c r="DI8" s="364"/>
      <c r="DJ8" s="364"/>
      <c r="DK8" s="364"/>
      <c r="DL8" s="364"/>
      <c r="DM8" s="364"/>
      <c r="DN8" s="364"/>
      <c r="DO8" s="364"/>
      <c r="DP8" s="364"/>
      <c r="DQ8" s="364"/>
      <c r="DR8" s="364"/>
      <c r="DS8" s="364"/>
      <c r="DT8" s="364"/>
      <c r="DU8" s="364"/>
      <c r="DV8" s="364"/>
      <c r="DW8" s="364"/>
      <c r="DX8" s="364"/>
      <c r="DY8" s="364"/>
      <c r="DZ8" s="364"/>
      <c r="EA8" s="364"/>
      <c r="EB8" s="364"/>
      <c r="EC8" s="364"/>
      <c r="ED8" s="364"/>
      <c r="EE8" s="364"/>
      <c r="EF8" s="364"/>
      <c r="EG8" s="364"/>
      <c r="EH8" s="364"/>
      <c r="EI8" s="364"/>
      <c r="EJ8" s="364"/>
      <c r="EK8" s="364"/>
      <c r="EL8" s="364"/>
      <c r="EM8" s="364"/>
      <c r="EN8" s="364"/>
      <c r="EO8" s="364"/>
      <c r="EP8" s="364"/>
      <c r="EQ8" s="364"/>
      <c r="ER8" s="364"/>
      <c r="ES8" s="364"/>
      <c r="ET8" s="364"/>
      <c r="EU8" s="364"/>
      <c r="EV8" s="364"/>
      <c r="EW8" s="364"/>
      <c r="EX8" s="364"/>
      <c r="EY8" s="364"/>
      <c r="EZ8" s="364"/>
      <c r="FA8" s="364"/>
      <c r="FB8" s="364"/>
      <c r="FC8" s="364"/>
      <c r="FD8" s="364"/>
      <c r="FE8" s="364"/>
      <c r="FF8" s="364"/>
      <c r="FG8" s="364"/>
      <c r="FH8" s="364"/>
      <c r="FI8" s="364"/>
      <c r="FJ8" s="364"/>
      <c r="FK8" s="364"/>
      <c r="FL8" s="364"/>
      <c r="FM8" s="364"/>
      <c r="FN8" s="364"/>
      <c r="FO8" s="364"/>
      <c r="FP8" s="364"/>
      <c r="FQ8" s="364"/>
      <c r="FR8" s="364"/>
      <c r="FS8" s="364"/>
      <c r="FT8" s="364"/>
      <c r="FU8" s="364"/>
      <c r="FV8" s="364"/>
      <c r="FW8" s="364"/>
      <c r="FX8" s="364"/>
      <c r="FY8" s="364"/>
      <c r="FZ8" s="364"/>
      <c r="GA8" s="364"/>
      <c r="GB8" s="364"/>
      <c r="GC8" s="364"/>
      <c r="GD8" s="364"/>
      <c r="GE8" s="364"/>
      <c r="GF8" s="364"/>
      <c r="GG8" s="364"/>
      <c r="GH8" s="364"/>
      <c r="GI8" s="364"/>
      <c r="GJ8" s="364"/>
      <c r="GK8" s="364"/>
      <c r="GL8" s="364"/>
      <c r="GM8" s="364"/>
      <c r="GN8" s="364"/>
      <c r="GO8" s="364"/>
      <c r="GP8" s="364"/>
      <c r="GQ8" s="364"/>
      <c r="GR8" s="364"/>
      <c r="GS8" s="364"/>
      <c r="GT8" s="364"/>
      <c r="GU8" s="364"/>
      <c r="GV8" s="364"/>
      <c r="GW8" s="364"/>
      <c r="GX8" s="364"/>
      <c r="GY8" s="364"/>
      <c r="GZ8" s="364"/>
      <c r="HA8" s="364"/>
      <c r="HB8" s="364"/>
      <c r="HC8" s="364"/>
      <c r="HD8" s="364"/>
      <c r="HE8" s="364"/>
      <c r="HF8" s="364"/>
      <c r="HG8" s="364"/>
      <c r="HH8" s="364"/>
      <c r="HI8" s="364"/>
      <c r="HJ8" s="364"/>
      <c r="HK8" s="364"/>
      <c r="HL8" s="364"/>
      <c r="HM8" s="364"/>
      <c r="HN8" s="364"/>
      <c r="HO8" s="364"/>
      <c r="HP8" s="364"/>
      <c r="HQ8" s="364"/>
      <c r="HR8" s="364"/>
      <c r="HS8" s="364"/>
      <c r="HT8" s="364"/>
      <c r="HU8" s="364"/>
      <c r="HV8" s="364"/>
      <c r="HW8" s="364"/>
      <c r="HX8" s="364"/>
      <c r="HY8" s="364"/>
      <c r="HZ8" s="364"/>
      <c r="IA8" s="364"/>
      <c r="IB8" s="364"/>
      <c r="IC8" s="364"/>
      <c r="ID8" s="364"/>
      <c r="IE8" s="364"/>
      <c r="IF8" s="364"/>
      <c r="IG8" s="364"/>
      <c r="IH8" s="364"/>
      <c r="II8" s="364"/>
      <c r="IJ8" s="364"/>
      <c r="IK8" s="364"/>
      <c r="IL8" s="364"/>
      <c r="IM8" s="364"/>
      <c r="IN8" s="364"/>
      <c r="IO8" s="364"/>
      <c r="IP8" s="364"/>
      <c r="IQ8" s="364"/>
      <c r="IR8" s="364"/>
      <c r="IS8" s="364"/>
      <c r="IT8" s="364"/>
      <c r="IU8" s="364"/>
      <c r="IV8" s="364"/>
      <c r="IW8" s="364"/>
      <c r="IX8" s="364"/>
      <c r="IY8" s="364"/>
      <c r="IZ8" s="364"/>
      <c r="JA8" s="364"/>
      <c r="JB8" s="364"/>
      <c r="JC8" s="364"/>
      <c r="JD8" s="364"/>
      <c r="JE8" s="364"/>
      <c r="JF8" s="364"/>
      <c r="JG8" s="364"/>
      <c r="JH8" s="364"/>
      <c r="JI8" s="364"/>
      <c r="JJ8" s="364"/>
      <c r="JK8" s="364"/>
      <c r="JL8" s="364"/>
      <c r="JM8" s="364"/>
      <c r="JN8" s="364"/>
      <c r="JO8" s="364"/>
      <c r="JP8" s="364"/>
      <c r="JQ8" s="364"/>
      <c r="JR8" s="364"/>
      <c r="JS8" s="364"/>
      <c r="JT8" s="364"/>
      <c r="JU8" s="364"/>
      <c r="JV8" s="364"/>
      <c r="JW8" s="364"/>
      <c r="JX8" s="364"/>
      <c r="JY8" s="364"/>
      <c r="JZ8" s="364"/>
      <c r="KA8" s="364"/>
      <c r="KB8" s="364"/>
      <c r="KC8" s="364"/>
      <c r="KD8" s="364"/>
      <c r="KE8" s="364"/>
      <c r="KF8" s="364"/>
      <c r="KG8" s="364"/>
      <c r="KH8" s="364"/>
      <c r="KI8" s="364"/>
      <c r="KJ8" s="364"/>
      <c r="KK8" s="364"/>
      <c r="KL8" s="364"/>
      <c r="KM8" s="364"/>
      <c r="KN8" s="364"/>
      <c r="KO8" s="364"/>
      <c r="KP8" s="364"/>
      <c r="KQ8" s="364"/>
      <c r="KR8" s="364"/>
      <c r="KS8" s="364"/>
      <c r="KT8" s="364"/>
      <c r="KU8" s="364"/>
      <c r="KV8" s="364"/>
      <c r="KW8" s="364"/>
      <c r="KX8" s="364"/>
      <c r="KY8" s="364"/>
      <c r="KZ8" s="364"/>
      <c r="LA8" s="364"/>
      <c r="LB8" s="364"/>
      <c r="LC8" s="364"/>
      <c r="LD8" s="364"/>
      <c r="LE8" s="364"/>
      <c r="LF8" s="364"/>
      <c r="LG8" s="364"/>
      <c r="LH8" s="364"/>
      <c r="LI8" s="364"/>
      <c r="LJ8" s="364"/>
      <c r="LK8" s="364"/>
      <c r="LL8" s="364"/>
      <c r="LM8" s="364"/>
      <c r="LN8" s="364"/>
      <c r="LO8" s="364"/>
      <c r="LP8" s="364"/>
      <c r="LQ8" s="364"/>
      <c r="LR8" s="364"/>
      <c r="LS8" s="364"/>
      <c r="LT8" s="364"/>
      <c r="LU8" s="364"/>
      <c r="LV8" s="364"/>
      <c r="LW8" s="364"/>
      <c r="LX8" s="364"/>
      <c r="LY8" s="364"/>
      <c r="LZ8" s="364"/>
      <c r="MA8" s="364"/>
      <c r="MB8" s="364"/>
      <c r="MC8" s="364"/>
      <c r="MD8" s="364"/>
      <c r="ME8" s="364"/>
      <c r="MF8" s="364"/>
      <c r="MG8" s="364"/>
      <c r="MH8" s="364"/>
      <c r="MI8" s="364"/>
      <c r="MJ8" s="364"/>
      <c r="MK8" s="364"/>
      <c r="ML8" s="364"/>
      <c r="MM8" s="364"/>
      <c r="MN8" s="364"/>
      <c r="MO8" s="364"/>
      <c r="MP8" s="364"/>
      <c r="MQ8" s="364"/>
      <c r="MR8" s="364"/>
      <c r="MS8" s="364"/>
      <c r="MT8" s="364"/>
      <c r="MU8" s="364"/>
      <c r="MV8" s="364"/>
      <c r="MW8" s="364"/>
      <c r="MX8" s="364"/>
      <c r="MY8" s="364"/>
      <c r="MZ8" s="364"/>
      <c r="NA8" s="364"/>
      <c r="NB8" s="364"/>
      <c r="NC8" s="364"/>
      <c r="ND8" s="176">
        <f t="shared" si="0"/>
        <v>0</v>
      </c>
    </row>
    <row r="9" spans="1:368" s="361" customFormat="1" ht="13.5" customHeight="1" thickTop="1">
      <c r="A9" s="402" t="s">
        <v>136</v>
      </c>
      <c r="B9" s="348" t="s">
        <v>137</v>
      </c>
      <c r="C9" s="365"/>
      <c r="D9" s="365"/>
      <c r="E9" s="365"/>
      <c r="F9" s="365"/>
      <c r="G9" s="365"/>
      <c r="H9" s="365"/>
      <c r="I9" s="365"/>
      <c r="J9" s="365"/>
      <c r="K9" s="365"/>
      <c r="L9" s="365"/>
      <c r="M9" s="365"/>
      <c r="N9" s="365"/>
      <c r="O9" s="365"/>
      <c r="P9" s="365"/>
      <c r="Q9" s="365"/>
      <c r="R9" s="365"/>
      <c r="S9" s="365"/>
      <c r="T9" s="365"/>
      <c r="U9" s="365"/>
      <c r="V9" s="365"/>
      <c r="W9" s="365"/>
      <c r="X9" s="365"/>
      <c r="Y9" s="365"/>
      <c r="Z9" s="365"/>
      <c r="AA9" s="365"/>
      <c r="AB9" s="365"/>
      <c r="AC9" s="365"/>
      <c r="AD9" s="365"/>
      <c r="AE9" s="365"/>
      <c r="AF9" s="365"/>
      <c r="AG9" s="365"/>
      <c r="AH9" s="365"/>
      <c r="AI9" s="365"/>
      <c r="AJ9" s="365"/>
      <c r="AK9" s="365"/>
      <c r="AL9" s="365"/>
      <c r="AM9" s="365"/>
      <c r="AN9" s="365"/>
      <c r="AO9" s="365"/>
      <c r="AP9" s="365"/>
      <c r="AQ9" s="365"/>
      <c r="AR9" s="365"/>
      <c r="AS9" s="365"/>
      <c r="AT9" s="365"/>
      <c r="AU9" s="365"/>
      <c r="AV9" s="365"/>
      <c r="AW9" s="365"/>
      <c r="AX9" s="365"/>
      <c r="AY9" s="365"/>
      <c r="AZ9" s="365"/>
      <c r="BA9" s="365"/>
      <c r="BB9" s="365"/>
      <c r="BC9" s="365"/>
      <c r="BD9" s="365"/>
      <c r="BE9" s="365"/>
      <c r="BF9" s="365"/>
      <c r="BG9" s="365"/>
      <c r="BH9" s="365"/>
      <c r="BI9" s="365"/>
      <c r="BJ9" s="365"/>
      <c r="BK9" s="365"/>
      <c r="BL9" s="365"/>
      <c r="BM9" s="365"/>
      <c r="BN9" s="365"/>
      <c r="BO9" s="365"/>
      <c r="BP9" s="365"/>
      <c r="BQ9" s="365"/>
      <c r="BR9" s="365"/>
      <c r="BS9" s="365"/>
      <c r="BT9" s="365"/>
      <c r="BU9" s="365"/>
      <c r="BV9" s="365"/>
      <c r="BW9" s="365"/>
      <c r="BX9" s="365"/>
      <c r="BY9" s="365"/>
      <c r="BZ9" s="365"/>
      <c r="CA9" s="365"/>
      <c r="CB9" s="365"/>
      <c r="CC9" s="365"/>
      <c r="CD9" s="365"/>
      <c r="CE9" s="365"/>
      <c r="CF9" s="365"/>
      <c r="CG9" s="365"/>
      <c r="CH9" s="365"/>
      <c r="CI9" s="365"/>
      <c r="CJ9" s="365"/>
      <c r="CK9" s="365"/>
      <c r="CL9" s="365"/>
      <c r="CM9" s="365"/>
      <c r="CN9" s="365"/>
      <c r="CO9" s="365"/>
      <c r="CP9" s="365"/>
      <c r="CQ9" s="365"/>
      <c r="CR9" s="365"/>
      <c r="CS9" s="365"/>
      <c r="CT9" s="365"/>
      <c r="CU9" s="365"/>
      <c r="CV9" s="365"/>
      <c r="CW9" s="365"/>
      <c r="CX9" s="365"/>
      <c r="CY9" s="365"/>
      <c r="CZ9" s="365"/>
      <c r="DA9" s="365"/>
      <c r="DB9" s="365"/>
      <c r="DC9" s="365"/>
      <c r="DD9" s="365"/>
      <c r="DE9" s="365"/>
      <c r="DF9" s="365"/>
      <c r="DG9" s="365"/>
      <c r="DH9" s="365"/>
      <c r="DI9" s="365"/>
      <c r="DJ9" s="365"/>
      <c r="DK9" s="365"/>
      <c r="DL9" s="365"/>
      <c r="DM9" s="365"/>
      <c r="DN9" s="365"/>
      <c r="DO9" s="365"/>
      <c r="DP9" s="365"/>
      <c r="DQ9" s="365"/>
      <c r="DR9" s="365"/>
      <c r="DS9" s="365"/>
      <c r="DT9" s="365"/>
      <c r="DU9" s="365"/>
      <c r="DV9" s="365"/>
      <c r="DW9" s="365"/>
      <c r="DX9" s="365"/>
      <c r="DY9" s="365"/>
      <c r="DZ9" s="365"/>
      <c r="EA9" s="365"/>
      <c r="EB9" s="365"/>
      <c r="EC9" s="365"/>
      <c r="ED9" s="365"/>
      <c r="EE9" s="365"/>
      <c r="EF9" s="365"/>
      <c r="EG9" s="365"/>
      <c r="EH9" s="365"/>
      <c r="EI9" s="365"/>
      <c r="EJ9" s="365"/>
      <c r="EK9" s="365"/>
      <c r="EL9" s="365"/>
      <c r="EM9" s="365"/>
      <c r="EN9" s="365"/>
      <c r="EO9" s="365"/>
      <c r="EP9" s="365"/>
      <c r="EQ9" s="365"/>
      <c r="ER9" s="365"/>
      <c r="ES9" s="365"/>
      <c r="ET9" s="365"/>
      <c r="EU9" s="365"/>
      <c r="EV9" s="365"/>
      <c r="EW9" s="365"/>
      <c r="EX9" s="365"/>
      <c r="EY9" s="365"/>
      <c r="EZ9" s="365"/>
      <c r="FA9" s="365"/>
      <c r="FB9" s="365"/>
      <c r="FC9" s="365"/>
      <c r="FD9" s="365"/>
      <c r="FE9" s="365"/>
      <c r="FF9" s="365"/>
      <c r="FG9" s="365"/>
      <c r="FH9" s="365"/>
      <c r="FI9" s="365"/>
      <c r="FJ9" s="365"/>
      <c r="FK9" s="365"/>
      <c r="FL9" s="365"/>
      <c r="FM9" s="365"/>
      <c r="FN9" s="365"/>
      <c r="FO9" s="365"/>
      <c r="FP9" s="365"/>
      <c r="FQ9" s="365"/>
      <c r="FR9" s="365"/>
      <c r="FS9" s="365"/>
      <c r="FT9" s="365"/>
      <c r="FU9" s="365"/>
      <c r="FV9" s="365"/>
      <c r="FW9" s="365"/>
      <c r="FX9" s="365"/>
      <c r="FY9" s="365"/>
      <c r="FZ9" s="365"/>
      <c r="GA9" s="365"/>
      <c r="GB9" s="365"/>
      <c r="GC9" s="365"/>
      <c r="GD9" s="365"/>
      <c r="GE9" s="365"/>
      <c r="GF9" s="365"/>
      <c r="GG9" s="365"/>
      <c r="GH9" s="365"/>
      <c r="GI9" s="365"/>
      <c r="GJ9" s="365"/>
      <c r="GK9" s="365"/>
      <c r="GL9" s="365"/>
      <c r="GM9" s="365"/>
      <c r="GN9" s="365"/>
      <c r="GO9" s="365"/>
      <c r="GP9" s="365"/>
      <c r="GQ9" s="365"/>
      <c r="GR9" s="365"/>
      <c r="GS9" s="365"/>
      <c r="GT9" s="365"/>
      <c r="GU9" s="365"/>
      <c r="GV9" s="365"/>
      <c r="GW9" s="365"/>
      <c r="GX9" s="365"/>
      <c r="GY9" s="365"/>
      <c r="GZ9" s="365"/>
      <c r="HA9" s="365"/>
      <c r="HB9" s="365"/>
      <c r="HC9" s="365"/>
      <c r="HD9" s="365"/>
      <c r="HE9" s="365"/>
      <c r="HF9" s="365"/>
      <c r="HG9" s="365"/>
      <c r="HH9" s="365"/>
      <c r="HI9" s="365"/>
      <c r="HJ9" s="365"/>
      <c r="HK9" s="365"/>
      <c r="HL9" s="365"/>
      <c r="HM9" s="365"/>
      <c r="HN9" s="365"/>
      <c r="HO9" s="365"/>
      <c r="HP9" s="365"/>
      <c r="HQ9" s="365"/>
      <c r="HR9" s="365"/>
      <c r="HS9" s="365"/>
      <c r="HT9" s="365"/>
      <c r="HU9" s="365"/>
      <c r="HV9" s="365"/>
      <c r="HW9" s="365"/>
      <c r="HX9" s="365"/>
      <c r="HY9" s="365"/>
      <c r="HZ9" s="365"/>
      <c r="IA9" s="365"/>
      <c r="IB9" s="365"/>
      <c r="IC9" s="365"/>
      <c r="ID9" s="365"/>
      <c r="IE9" s="365"/>
      <c r="IF9" s="365"/>
      <c r="IG9" s="365"/>
      <c r="IH9" s="365"/>
      <c r="II9" s="365"/>
      <c r="IJ9" s="365"/>
      <c r="IK9" s="365"/>
      <c r="IL9" s="365"/>
      <c r="IM9" s="365"/>
      <c r="IN9" s="365"/>
      <c r="IO9" s="365"/>
      <c r="IP9" s="365"/>
      <c r="IQ9" s="365"/>
      <c r="IR9" s="365"/>
      <c r="IS9" s="365"/>
      <c r="IT9" s="365"/>
      <c r="IU9" s="365"/>
      <c r="IV9" s="365"/>
      <c r="IW9" s="365"/>
      <c r="IX9" s="365"/>
      <c r="IY9" s="365"/>
      <c r="IZ9" s="365"/>
      <c r="JA9" s="365"/>
      <c r="JB9" s="365"/>
      <c r="JC9" s="365"/>
      <c r="JD9" s="365"/>
      <c r="JE9" s="365"/>
      <c r="JF9" s="365"/>
      <c r="JG9" s="365"/>
      <c r="JH9" s="365"/>
      <c r="JI9" s="365"/>
      <c r="JJ9" s="365"/>
      <c r="JK9" s="365"/>
      <c r="JL9" s="365"/>
      <c r="JM9" s="365"/>
      <c r="JN9" s="365"/>
      <c r="JO9" s="365"/>
      <c r="JP9" s="365"/>
      <c r="JQ9" s="365"/>
      <c r="JR9" s="365"/>
      <c r="JS9" s="365"/>
      <c r="JT9" s="365"/>
      <c r="JU9" s="365"/>
      <c r="JV9" s="365"/>
      <c r="JW9" s="365"/>
      <c r="JX9" s="365"/>
      <c r="JY9" s="365"/>
      <c r="JZ9" s="365"/>
      <c r="KA9" s="365"/>
      <c r="KB9" s="365"/>
      <c r="KC9" s="365"/>
      <c r="KD9" s="365"/>
      <c r="KE9" s="365"/>
      <c r="KF9" s="365"/>
      <c r="KG9" s="365"/>
      <c r="KH9" s="365"/>
      <c r="KI9" s="365"/>
      <c r="KJ9" s="365"/>
      <c r="KK9" s="365"/>
      <c r="KL9" s="365"/>
      <c r="KM9" s="365"/>
      <c r="KN9" s="365"/>
      <c r="KO9" s="365"/>
      <c r="KP9" s="365"/>
      <c r="KQ9" s="365"/>
      <c r="KR9" s="365"/>
      <c r="KS9" s="365"/>
      <c r="KT9" s="365"/>
      <c r="KU9" s="365"/>
      <c r="KV9" s="365"/>
      <c r="KW9" s="365"/>
      <c r="KX9" s="365"/>
      <c r="KY9" s="365"/>
      <c r="KZ9" s="365"/>
      <c r="LA9" s="365"/>
      <c r="LB9" s="365"/>
      <c r="LC9" s="365"/>
      <c r="LD9" s="365"/>
      <c r="LE9" s="365"/>
      <c r="LF9" s="365"/>
      <c r="LG9" s="365"/>
      <c r="LH9" s="365"/>
      <c r="LI9" s="365"/>
      <c r="LJ9" s="365"/>
      <c r="LK9" s="365"/>
      <c r="LL9" s="365"/>
      <c r="LM9" s="365"/>
      <c r="LN9" s="365"/>
      <c r="LO9" s="365"/>
      <c r="LP9" s="365"/>
      <c r="LQ9" s="365"/>
      <c r="LR9" s="365"/>
      <c r="LS9" s="365"/>
      <c r="LT9" s="365"/>
      <c r="LU9" s="365"/>
      <c r="LV9" s="365"/>
      <c r="LW9" s="365"/>
      <c r="LX9" s="365"/>
      <c r="LY9" s="365"/>
      <c r="LZ9" s="365"/>
      <c r="MA9" s="365"/>
      <c r="MB9" s="365"/>
      <c r="MC9" s="365"/>
      <c r="MD9" s="365"/>
      <c r="ME9" s="365"/>
      <c r="MF9" s="365"/>
      <c r="MG9" s="365"/>
      <c r="MH9" s="365"/>
      <c r="MI9" s="365"/>
      <c r="MJ9" s="365"/>
      <c r="MK9" s="365"/>
      <c r="ML9" s="365"/>
      <c r="MM9" s="365"/>
      <c r="MN9" s="365"/>
      <c r="MO9" s="365"/>
      <c r="MP9" s="365"/>
      <c r="MQ9" s="365"/>
      <c r="MR9" s="365"/>
      <c r="MS9" s="365"/>
      <c r="MT9" s="365"/>
      <c r="MU9" s="365"/>
      <c r="MV9" s="365"/>
      <c r="MW9" s="365"/>
      <c r="MX9" s="365"/>
      <c r="MY9" s="365"/>
      <c r="MZ9" s="365"/>
      <c r="NA9" s="365"/>
      <c r="NB9" s="365"/>
      <c r="NC9" s="365"/>
      <c r="ND9" s="176">
        <f t="shared" si="0"/>
        <v>0</v>
      </c>
    </row>
    <row r="10" spans="1:368" s="361" customFormat="1" ht="13.5" customHeight="1">
      <c r="A10" s="403"/>
      <c r="B10" s="349" t="s">
        <v>138</v>
      </c>
      <c r="C10" s="366"/>
      <c r="D10" s="366"/>
      <c r="E10" s="366"/>
      <c r="F10" s="366"/>
      <c r="G10" s="366"/>
      <c r="H10" s="366"/>
      <c r="I10" s="366"/>
      <c r="J10" s="366"/>
      <c r="K10" s="366"/>
      <c r="L10" s="366"/>
      <c r="M10" s="366"/>
      <c r="N10" s="366"/>
      <c r="O10" s="366"/>
      <c r="P10" s="366"/>
      <c r="Q10" s="366"/>
      <c r="R10" s="366"/>
      <c r="S10" s="366"/>
      <c r="T10" s="366"/>
      <c r="U10" s="366"/>
      <c r="V10" s="366"/>
      <c r="W10" s="366"/>
      <c r="X10" s="366"/>
      <c r="Y10" s="366"/>
      <c r="Z10" s="366"/>
      <c r="AA10" s="366"/>
      <c r="AB10" s="366"/>
      <c r="AC10" s="366"/>
      <c r="AD10" s="366"/>
      <c r="AE10" s="366"/>
      <c r="AF10" s="366"/>
      <c r="AG10" s="366"/>
      <c r="AH10" s="366"/>
      <c r="AI10" s="366"/>
      <c r="AJ10" s="366"/>
      <c r="AK10" s="366"/>
      <c r="AL10" s="366"/>
      <c r="AM10" s="366"/>
      <c r="AN10" s="366"/>
      <c r="AO10" s="366"/>
      <c r="AP10" s="366"/>
      <c r="AQ10" s="366"/>
      <c r="AR10" s="366"/>
      <c r="AS10" s="366"/>
      <c r="AT10" s="366"/>
      <c r="AU10" s="366"/>
      <c r="AV10" s="366"/>
      <c r="AW10" s="366"/>
      <c r="AX10" s="366"/>
      <c r="AY10" s="366"/>
      <c r="AZ10" s="366"/>
      <c r="BA10" s="366"/>
      <c r="BB10" s="366"/>
      <c r="BC10" s="366"/>
      <c r="BD10" s="366"/>
      <c r="BE10" s="366"/>
      <c r="BF10" s="366"/>
      <c r="BG10" s="366"/>
      <c r="BH10" s="366"/>
      <c r="BI10" s="366"/>
      <c r="BJ10" s="366"/>
      <c r="BK10" s="366"/>
      <c r="BL10" s="366"/>
      <c r="BM10" s="366"/>
      <c r="BN10" s="366"/>
      <c r="BO10" s="366"/>
      <c r="BP10" s="366"/>
      <c r="BQ10" s="366"/>
      <c r="BR10" s="366"/>
      <c r="BS10" s="366"/>
      <c r="BT10" s="366"/>
      <c r="BU10" s="366"/>
      <c r="BV10" s="366"/>
      <c r="BW10" s="366"/>
      <c r="BX10" s="366"/>
      <c r="BY10" s="366"/>
      <c r="BZ10" s="366"/>
      <c r="CA10" s="366"/>
      <c r="CB10" s="366"/>
      <c r="CC10" s="366"/>
      <c r="CD10" s="366"/>
      <c r="CE10" s="366"/>
      <c r="CF10" s="366"/>
      <c r="CG10" s="366"/>
      <c r="CH10" s="366"/>
      <c r="CI10" s="366"/>
      <c r="CJ10" s="366"/>
      <c r="CK10" s="366"/>
      <c r="CL10" s="366"/>
      <c r="CM10" s="366"/>
      <c r="CN10" s="366"/>
      <c r="CO10" s="366"/>
      <c r="CP10" s="366"/>
      <c r="CQ10" s="366"/>
      <c r="CR10" s="366"/>
      <c r="CS10" s="366"/>
      <c r="CT10" s="366"/>
      <c r="CU10" s="366"/>
      <c r="CV10" s="366"/>
      <c r="CW10" s="366"/>
      <c r="CX10" s="366"/>
      <c r="CY10" s="366"/>
      <c r="CZ10" s="366"/>
      <c r="DA10" s="366"/>
      <c r="DB10" s="366"/>
      <c r="DC10" s="366"/>
      <c r="DD10" s="366"/>
      <c r="DE10" s="366"/>
      <c r="DF10" s="366"/>
      <c r="DG10" s="366"/>
      <c r="DH10" s="366"/>
      <c r="DI10" s="366"/>
      <c r="DJ10" s="366"/>
      <c r="DK10" s="366"/>
      <c r="DL10" s="366"/>
      <c r="DM10" s="366"/>
      <c r="DN10" s="366"/>
      <c r="DO10" s="366"/>
      <c r="DP10" s="366"/>
      <c r="DQ10" s="366"/>
      <c r="DR10" s="366"/>
      <c r="DS10" s="366"/>
      <c r="DT10" s="366"/>
      <c r="DU10" s="366"/>
      <c r="DV10" s="366"/>
      <c r="DW10" s="366"/>
      <c r="DX10" s="366"/>
      <c r="DY10" s="366"/>
      <c r="DZ10" s="366"/>
      <c r="EA10" s="366"/>
      <c r="EB10" s="366"/>
      <c r="EC10" s="366"/>
      <c r="ED10" s="366"/>
      <c r="EE10" s="366"/>
      <c r="EF10" s="366"/>
      <c r="EG10" s="366"/>
      <c r="EH10" s="366"/>
      <c r="EI10" s="366"/>
      <c r="EJ10" s="366"/>
      <c r="EK10" s="366"/>
      <c r="EL10" s="366"/>
      <c r="EM10" s="366"/>
      <c r="EN10" s="366"/>
      <c r="EO10" s="366"/>
      <c r="EP10" s="366"/>
      <c r="EQ10" s="366"/>
      <c r="ER10" s="366"/>
      <c r="ES10" s="366"/>
      <c r="ET10" s="366"/>
      <c r="EU10" s="366"/>
      <c r="EV10" s="366"/>
      <c r="EW10" s="366"/>
      <c r="EX10" s="366"/>
      <c r="EY10" s="366"/>
      <c r="EZ10" s="366"/>
      <c r="FA10" s="366"/>
      <c r="FB10" s="366"/>
      <c r="FC10" s="366"/>
      <c r="FD10" s="366"/>
      <c r="FE10" s="366"/>
      <c r="FF10" s="366"/>
      <c r="FG10" s="366"/>
      <c r="FH10" s="366"/>
      <c r="FI10" s="366"/>
      <c r="FJ10" s="366"/>
      <c r="FK10" s="366"/>
      <c r="FL10" s="366"/>
      <c r="FM10" s="366"/>
      <c r="FN10" s="366"/>
      <c r="FO10" s="366"/>
      <c r="FP10" s="366"/>
      <c r="FQ10" s="366"/>
      <c r="FR10" s="366"/>
      <c r="FS10" s="366"/>
      <c r="FT10" s="366"/>
      <c r="FU10" s="366"/>
      <c r="FV10" s="366"/>
      <c r="FW10" s="366"/>
      <c r="FX10" s="366"/>
      <c r="FY10" s="366"/>
      <c r="FZ10" s="366"/>
      <c r="GA10" s="366"/>
      <c r="GB10" s="366"/>
      <c r="GC10" s="366"/>
      <c r="GD10" s="366"/>
      <c r="GE10" s="366"/>
      <c r="GF10" s="366"/>
      <c r="GG10" s="366"/>
      <c r="GH10" s="366"/>
      <c r="GI10" s="366"/>
      <c r="GJ10" s="366"/>
      <c r="GK10" s="366"/>
      <c r="GL10" s="366"/>
      <c r="GM10" s="366"/>
      <c r="GN10" s="366"/>
      <c r="GO10" s="366"/>
      <c r="GP10" s="366"/>
      <c r="GQ10" s="366"/>
      <c r="GR10" s="366"/>
      <c r="GS10" s="366"/>
      <c r="GT10" s="366"/>
      <c r="GU10" s="366"/>
      <c r="GV10" s="366"/>
      <c r="GW10" s="366"/>
      <c r="GX10" s="366"/>
      <c r="GY10" s="366"/>
      <c r="GZ10" s="366"/>
      <c r="HA10" s="366"/>
      <c r="HB10" s="366"/>
      <c r="HC10" s="366"/>
      <c r="HD10" s="366"/>
      <c r="HE10" s="366"/>
      <c r="HF10" s="366"/>
      <c r="HG10" s="366"/>
      <c r="HH10" s="366"/>
      <c r="HI10" s="366"/>
      <c r="HJ10" s="366"/>
      <c r="HK10" s="366"/>
      <c r="HL10" s="366"/>
      <c r="HM10" s="366"/>
      <c r="HN10" s="366"/>
      <c r="HO10" s="366"/>
      <c r="HP10" s="366"/>
      <c r="HQ10" s="366"/>
      <c r="HR10" s="366"/>
      <c r="HS10" s="366"/>
      <c r="HT10" s="366"/>
      <c r="HU10" s="366"/>
      <c r="HV10" s="366"/>
      <c r="HW10" s="366"/>
      <c r="HX10" s="366"/>
      <c r="HY10" s="366"/>
      <c r="HZ10" s="366"/>
      <c r="IA10" s="366"/>
      <c r="IB10" s="366"/>
      <c r="IC10" s="366"/>
      <c r="ID10" s="366"/>
      <c r="IE10" s="366"/>
      <c r="IF10" s="366"/>
      <c r="IG10" s="366"/>
      <c r="IH10" s="366"/>
      <c r="II10" s="366"/>
      <c r="IJ10" s="366"/>
      <c r="IK10" s="366"/>
      <c r="IL10" s="366"/>
      <c r="IM10" s="366"/>
      <c r="IN10" s="366"/>
      <c r="IO10" s="366"/>
      <c r="IP10" s="366"/>
      <c r="IQ10" s="366"/>
      <c r="IR10" s="366"/>
      <c r="IS10" s="366"/>
      <c r="IT10" s="366"/>
      <c r="IU10" s="366"/>
      <c r="IV10" s="366"/>
      <c r="IW10" s="366"/>
      <c r="IX10" s="366"/>
      <c r="IY10" s="366"/>
      <c r="IZ10" s="366"/>
      <c r="JA10" s="366"/>
      <c r="JB10" s="366"/>
      <c r="JC10" s="366"/>
      <c r="JD10" s="366"/>
      <c r="JE10" s="366"/>
      <c r="JF10" s="366"/>
      <c r="JG10" s="366"/>
      <c r="JH10" s="366"/>
      <c r="JI10" s="366"/>
      <c r="JJ10" s="366"/>
      <c r="JK10" s="366"/>
      <c r="JL10" s="366"/>
      <c r="JM10" s="366"/>
      <c r="JN10" s="366"/>
      <c r="JO10" s="366"/>
      <c r="JP10" s="366"/>
      <c r="JQ10" s="366"/>
      <c r="JR10" s="366"/>
      <c r="JS10" s="366"/>
      <c r="JT10" s="366"/>
      <c r="JU10" s="366"/>
      <c r="JV10" s="366"/>
      <c r="JW10" s="366"/>
      <c r="JX10" s="366"/>
      <c r="JY10" s="366"/>
      <c r="JZ10" s="366"/>
      <c r="KA10" s="366"/>
      <c r="KB10" s="366"/>
      <c r="KC10" s="366"/>
      <c r="KD10" s="366"/>
      <c r="KE10" s="366"/>
      <c r="KF10" s="366"/>
      <c r="KG10" s="366"/>
      <c r="KH10" s="366"/>
      <c r="KI10" s="366"/>
      <c r="KJ10" s="366"/>
      <c r="KK10" s="366"/>
      <c r="KL10" s="366"/>
      <c r="KM10" s="366"/>
      <c r="KN10" s="366"/>
      <c r="KO10" s="366"/>
      <c r="KP10" s="366"/>
      <c r="KQ10" s="366"/>
      <c r="KR10" s="366"/>
      <c r="KS10" s="366"/>
      <c r="KT10" s="366"/>
      <c r="KU10" s="366"/>
      <c r="KV10" s="366"/>
      <c r="KW10" s="366"/>
      <c r="KX10" s="366"/>
      <c r="KY10" s="366"/>
      <c r="KZ10" s="366"/>
      <c r="LA10" s="366"/>
      <c r="LB10" s="366"/>
      <c r="LC10" s="366"/>
      <c r="LD10" s="366"/>
      <c r="LE10" s="366"/>
      <c r="LF10" s="366"/>
      <c r="LG10" s="366"/>
      <c r="LH10" s="366"/>
      <c r="LI10" s="366"/>
      <c r="LJ10" s="366"/>
      <c r="LK10" s="366"/>
      <c r="LL10" s="366"/>
      <c r="LM10" s="366"/>
      <c r="LN10" s="366"/>
      <c r="LO10" s="366"/>
      <c r="LP10" s="366"/>
      <c r="LQ10" s="366"/>
      <c r="LR10" s="366"/>
      <c r="LS10" s="366"/>
      <c r="LT10" s="366"/>
      <c r="LU10" s="366"/>
      <c r="LV10" s="366"/>
      <c r="LW10" s="366"/>
      <c r="LX10" s="366"/>
      <c r="LY10" s="366"/>
      <c r="LZ10" s="366"/>
      <c r="MA10" s="366"/>
      <c r="MB10" s="366"/>
      <c r="MC10" s="366"/>
      <c r="MD10" s="366"/>
      <c r="ME10" s="366"/>
      <c r="MF10" s="366"/>
      <c r="MG10" s="366"/>
      <c r="MH10" s="366"/>
      <c r="MI10" s="366"/>
      <c r="MJ10" s="366"/>
      <c r="MK10" s="366"/>
      <c r="ML10" s="366"/>
      <c r="MM10" s="366"/>
      <c r="MN10" s="366"/>
      <c r="MO10" s="366"/>
      <c r="MP10" s="366"/>
      <c r="MQ10" s="366"/>
      <c r="MR10" s="366"/>
      <c r="MS10" s="366"/>
      <c r="MT10" s="366"/>
      <c r="MU10" s="366"/>
      <c r="MV10" s="366"/>
      <c r="MW10" s="366"/>
      <c r="MX10" s="366"/>
      <c r="MY10" s="366"/>
      <c r="MZ10" s="366"/>
      <c r="NA10" s="366"/>
      <c r="NB10" s="366"/>
      <c r="NC10" s="366"/>
      <c r="ND10" s="176">
        <f t="shared" si="0"/>
        <v>0</v>
      </c>
    </row>
    <row r="11" spans="1:368" s="361" customFormat="1" ht="13.5" customHeight="1">
      <c r="A11" s="403"/>
      <c r="B11" s="349" t="s">
        <v>139</v>
      </c>
      <c r="C11" s="366"/>
      <c r="D11" s="366"/>
      <c r="E11" s="366"/>
      <c r="F11" s="366"/>
      <c r="G11" s="366"/>
      <c r="H11" s="366"/>
      <c r="I11" s="366"/>
      <c r="J11" s="366"/>
      <c r="K11" s="366"/>
      <c r="L11" s="366"/>
      <c r="M11" s="366"/>
      <c r="N11" s="366"/>
      <c r="O11" s="366"/>
      <c r="P11" s="366"/>
      <c r="Q11" s="366"/>
      <c r="R11" s="366"/>
      <c r="S11" s="366"/>
      <c r="T11" s="366"/>
      <c r="U11" s="366"/>
      <c r="V11" s="366"/>
      <c r="W11" s="366"/>
      <c r="X11" s="366"/>
      <c r="Y11" s="366"/>
      <c r="Z11" s="366"/>
      <c r="AA11" s="366"/>
      <c r="AB11" s="366"/>
      <c r="AC11" s="366"/>
      <c r="AD11" s="366"/>
      <c r="AE11" s="366"/>
      <c r="AF11" s="366"/>
      <c r="AG11" s="366"/>
      <c r="AH11" s="366"/>
      <c r="AI11" s="366"/>
      <c r="AJ11" s="366"/>
      <c r="AK11" s="366"/>
      <c r="AL11" s="366"/>
      <c r="AM11" s="366"/>
      <c r="AN11" s="366"/>
      <c r="AO11" s="366"/>
      <c r="AP11" s="366"/>
      <c r="AQ11" s="366"/>
      <c r="AR11" s="366"/>
      <c r="AS11" s="366"/>
      <c r="AT11" s="366"/>
      <c r="AU11" s="366"/>
      <c r="AV11" s="366"/>
      <c r="AW11" s="366"/>
      <c r="AX11" s="366"/>
      <c r="AY11" s="366"/>
      <c r="AZ11" s="366"/>
      <c r="BA11" s="366"/>
      <c r="BB11" s="366"/>
      <c r="BC11" s="366"/>
      <c r="BD11" s="366"/>
      <c r="BE11" s="366"/>
      <c r="BF11" s="366"/>
      <c r="BG11" s="366"/>
      <c r="BH11" s="366"/>
      <c r="BI11" s="366"/>
      <c r="BJ11" s="366"/>
      <c r="BK11" s="366"/>
      <c r="BL11" s="366"/>
      <c r="BM11" s="366"/>
      <c r="BN11" s="366"/>
      <c r="BO11" s="366"/>
      <c r="BP11" s="366"/>
      <c r="BQ11" s="366"/>
      <c r="BR11" s="366"/>
      <c r="BS11" s="366"/>
      <c r="BT11" s="366"/>
      <c r="BU11" s="366"/>
      <c r="BV11" s="366"/>
      <c r="BW11" s="366"/>
      <c r="BX11" s="366"/>
      <c r="BY11" s="366"/>
      <c r="BZ11" s="366"/>
      <c r="CA11" s="366"/>
      <c r="CB11" s="366"/>
      <c r="CC11" s="366"/>
      <c r="CD11" s="366"/>
      <c r="CE11" s="366"/>
      <c r="CF11" s="366"/>
      <c r="CG11" s="366"/>
      <c r="CH11" s="366"/>
      <c r="CI11" s="366"/>
      <c r="CJ11" s="366"/>
      <c r="CK11" s="366"/>
      <c r="CL11" s="366"/>
      <c r="CM11" s="366"/>
      <c r="CN11" s="366"/>
      <c r="CO11" s="366"/>
      <c r="CP11" s="366"/>
      <c r="CQ11" s="366"/>
      <c r="CR11" s="366"/>
      <c r="CS11" s="366"/>
      <c r="CT11" s="366"/>
      <c r="CU11" s="366"/>
      <c r="CV11" s="366"/>
      <c r="CW11" s="366"/>
      <c r="CX11" s="366"/>
      <c r="CY11" s="366"/>
      <c r="CZ11" s="366"/>
      <c r="DA11" s="366"/>
      <c r="DB11" s="366"/>
      <c r="DC11" s="366"/>
      <c r="DD11" s="366"/>
      <c r="DE11" s="366"/>
      <c r="DF11" s="366"/>
      <c r="DG11" s="366"/>
      <c r="DH11" s="366"/>
      <c r="DI11" s="366"/>
      <c r="DJ11" s="366"/>
      <c r="DK11" s="366"/>
      <c r="DL11" s="366"/>
      <c r="DM11" s="366"/>
      <c r="DN11" s="366"/>
      <c r="DO11" s="366"/>
      <c r="DP11" s="366"/>
      <c r="DQ11" s="366"/>
      <c r="DR11" s="366"/>
      <c r="DS11" s="366"/>
      <c r="DT11" s="366"/>
      <c r="DU11" s="366"/>
      <c r="DV11" s="366"/>
      <c r="DW11" s="366"/>
      <c r="DX11" s="366"/>
      <c r="DY11" s="366"/>
      <c r="DZ11" s="366"/>
      <c r="EA11" s="366"/>
      <c r="EB11" s="366"/>
      <c r="EC11" s="366"/>
      <c r="ED11" s="366"/>
      <c r="EE11" s="366"/>
      <c r="EF11" s="366"/>
      <c r="EG11" s="366"/>
      <c r="EH11" s="366"/>
      <c r="EI11" s="366"/>
      <c r="EJ11" s="366"/>
      <c r="EK11" s="366"/>
      <c r="EL11" s="366"/>
      <c r="EM11" s="366"/>
      <c r="EN11" s="366"/>
      <c r="EO11" s="366"/>
      <c r="EP11" s="366"/>
      <c r="EQ11" s="366"/>
      <c r="ER11" s="366"/>
      <c r="ES11" s="366"/>
      <c r="ET11" s="366"/>
      <c r="EU11" s="366"/>
      <c r="EV11" s="366"/>
      <c r="EW11" s="366"/>
      <c r="EX11" s="366"/>
      <c r="EY11" s="366"/>
      <c r="EZ11" s="366"/>
      <c r="FA11" s="366"/>
      <c r="FB11" s="366"/>
      <c r="FC11" s="366"/>
      <c r="FD11" s="366"/>
      <c r="FE11" s="366"/>
      <c r="FF11" s="366"/>
      <c r="FG11" s="366"/>
      <c r="FH11" s="366"/>
      <c r="FI11" s="366"/>
      <c r="FJ11" s="366"/>
      <c r="FK11" s="366"/>
      <c r="FL11" s="366"/>
      <c r="FM11" s="366"/>
      <c r="FN11" s="366"/>
      <c r="FO11" s="366"/>
      <c r="FP11" s="366"/>
      <c r="FQ11" s="366"/>
      <c r="FR11" s="366"/>
      <c r="FS11" s="366"/>
      <c r="FT11" s="366"/>
      <c r="FU11" s="366"/>
      <c r="FV11" s="366"/>
      <c r="FW11" s="366"/>
      <c r="FX11" s="366"/>
      <c r="FY11" s="366"/>
      <c r="FZ11" s="366"/>
      <c r="GA11" s="366"/>
      <c r="GB11" s="366"/>
      <c r="GC11" s="366"/>
      <c r="GD11" s="366"/>
      <c r="GE11" s="366"/>
      <c r="GF11" s="366"/>
      <c r="GG11" s="366"/>
      <c r="GH11" s="366"/>
      <c r="GI11" s="366"/>
      <c r="GJ11" s="366"/>
      <c r="GK11" s="366"/>
      <c r="GL11" s="366"/>
      <c r="GM11" s="366"/>
      <c r="GN11" s="366"/>
      <c r="GO11" s="366"/>
      <c r="GP11" s="366"/>
      <c r="GQ11" s="366"/>
      <c r="GR11" s="366"/>
      <c r="GS11" s="366"/>
      <c r="GT11" s="366"/>
      <c r="GU11" s="366"/>
      <c r="GV11" s="366"/>
      <c r="GW11" s="366"/>
      <c r="GX11" s="366"/>
      <c r="GY11" s="366"/>
      <c r="GZ11" s="366"/>
      <c r="HA11" s="366"/>
      <c r="HB11" s="366"/>
      <c r="HC11" s="366"/>
      <c r="HD11" s="366"/>
      <c r="HE11" s="366"/>
      <c r="HF11" s="366"/>
      <c r="HG11" s="366"/>
      <c r="HH11" s="366"/>
      <c r="HI11" s="366"/>
      <c r="HJ11" s="366"/>
      <c r="HK11" s="366"/>
      <c r="HL11" s="366"/>
      <c r="HM11" s="366"/>
      <c r="HN11" s="366"/>
      <c r="HO11" s="366"/>
      <c r="HP11" s="366"/>
      <c r="HQ11" s="366"/>
      <c r="HR11" s="366"/>
      <c r="HS11" s="366"/>
      <c r="HT11" s="366"/>
      <c r="HU11" s="366"/>
      <c r="HV11" s="366"/>
      <c r="HW11" s="366"/>
      <c r="HX11" s="366"/>
      <c r="HY11" s="366"/>
      <c r="HZ11" s="366"/>
      <c r="IA11" s="366"/>
      <c r="IB11" s="366"/>
      <c r="IC11" s="366"/>
      <c r="ID11" s="366"/>
      <c r="IE11" s="366"/>
      <c r="IF11" s="366"/>
      <c r="IG11" s="366"/>
      <c r="IH11" s="366"/>
      <c r="II11" s="366"/>
      <c r="IJ11" s="366"/>
      <c r="IK11" s="366"/>
      <c r="IL11" s="366"/>
      <c r="IM11" s="366"/>
      <c r="IN11" s="366"/>
      <c r="IO11" s="366"/>
      <c r="IP11" s="366"/>
      <c r="IQ11" s="366"/>
      <c r="IR11" s="366"/>
      <c r="IS11" s="366"/>
      <c r="IT11" s="366"/>
      <c r="IU11" s="366"/>
      <c r="IV11" s="366"/>
      <c r="IW11" s="366"/>
      <c r="IX11" s="366"/>
      <c r="IY11" s="366"/>
      <c r="IZ11" s="366"/>
      <c r="JA11" s="366"/>
      <c r="JB11" s="366"/>
      <c r="JC11" s="366"/>
      <c r="JD11" s="366"/>
      <c r="JE11" s="366"/>
      <c r="JF11" s="366"/>
      <c r="JG11" s="366"/>
      <c r="JH11" s="366"/>
      <c r="JI11" s="366"/>
      <c r="JJ11" s="366"/>
      <c r="JK11" s="366"/>
      <c r="JL11" s="366"/>
      <c r="JM11" s="366"/>
      <c r="JN11" s="366"/>
      <c r="JO11" s="366"/>
      <c r="JP11" s="366"/>
      <c r="JQ11" s="366"/>
      <c r="JR11" s="366"/>
      <c r="JS11" s="366"/>
      <c r="JT11" s="366"/>
      <c r="JU11" s="366"/>
      <c r="JV11" s="366"/>
      <c r="JW11" s="366"/>
      <c r="JX11" s="366"/>
      <c r="JY11" s="366"/>
      <c r="JZ11" s="366"/>
      <c r="KA11" s="366"/>
      <c r="KB11" s="366"/>
      <c r="KC11" s="366"/>
      <c r="KD11" s="366"/>
      <c r="KE11" s="366"/>
      <c r="KF11" s="366"/>
      <c r="KG11" s="366"/>
      <c r="KH11" s="366"/>
      <c r="KI11" s="366"/>
      <c r="KJ11" s="366"/>
      <c r="KK11" s="366"/>
      <c r="KL11" s="366"/>
      <c r="KM11" s="366"/>
      <c r="KN11" s="366"/>
      <c r="KO11" s="366"/>
      <c r="KP11" s="366"/>
      <c r="KQ11" s="366"/>
      <c r="KR11" s="366"/>
      <c r="KS11" s="366"/>
      <c r="KT11" s="366"/>
      <c r="KU11" s="366"/>
      <c r="KV11" s="366"/>
      <c r="KW11" s="366"/>
      <c r="KX11" s="366"/>
      <c r="KY11" s="366"/>
      <c r="KZ11" s="366"/>
      <c r="LA11" s="366"/>
      <c r="LB11" s="366"/>
      <c r="LC11" s="366"/>
      <c r="LD11" s="366"/>
      <c r="LE11" s="366"/>
      <c r="LF11" s="366"/>
      <c r="LG11" s="366"/>
      <c r="LH11" s="366"/>
      <c r="LI11" s="366"/>
      <c r="LJ11" s="366"/>
      <c r="LK11" s="366"/>
      <c r="LL11" s="366"/>
      <c r="LM11" s="366"/>
      <c r="LN11" s="366"/>
      <c r="LO11" s="366"/>
      <c r="LP11" s="366"/>
      <c r="LQ11" s="366"/>
      <c r="LR11" s="366"/>
      <c r="LS11" s="366"/>
      <c r="LT11" s="366"/>
      <c r="LU11" s="366"/>
      <c r="LV11" s="366"/>
      <c r="LW11" s="366"/>
      <c r="LX11" s="366"/>
      <c r="LY11" s="366"/>
      <c r="LZ11" s="366"/>
      <c r="MA11" s="366"/>
      <c r="MB11" s="366"/>
      <c r="MC11" s="366"/>
      <c r="MD11" s="366"/>
      <c r="ME11" s="366"/>
      <c r="MF11" s="366"/>
      <c r="MG11" s="366"/>
      <c r="MH11" s="366"/>
      <c r="MI11" s="366"/>
      <c r="MJ11" s="366"/>
      <c r="MK11" s="366"/>
      <c r="ML11" s="366"/>
      <c r="MM11" s="366"/>
      <c r="MN11" s="366"/>
      <c r="MO11" s="366"/>
      <c r="MP11" s="366"/>
      <c r="MQ11" s="366"/>
      <c r="MR11" s="366"/>
      <c r="MS11" s="366"/>
      <c r="MT11" s="366"/>
      <c r="MU11" s="366"/>
      <c r="MV11" s="366"/>
      <c r="MW11" s="366"/>
      <c r="MX11" s="366"/>
      <c r="MY11" s="366"/>
      <c r="MZ11" s="366"/>
      <c r="NA11" s="366"/>
      <c r="NB11" s="366"/>
      <c r="NC11" s="366"/>
      <c r="ND11" s="176">
        <f t="shared" si="0"/>
        <v>0</v>
      </c>
    </row>
    <row r="12" spans="1:368" s="361" customFormat="1" ht="13.5" customHeight="1">
      <c r="A12" s="403"/>
      <c r="B12" s="349" t="s">
        <v>140</v>
      </c>
      <c r="C12" s="366"/>
      <c r="D12" s="366"/>
      <c r="E12" s="366"/>
      <c r="F12" s="366"/>
      <c r="G12" s="366"/>
      <c r="H12" s="366"/>
      <c r="I12" s="366"/>
      <c r="J12" s="366"/>
      <c r="K12" s="366"/>
      <c r="L12" s="366"/>
      <c r="M12" s="366"/>
      <c r="N12" s="366"/>
      <c r="O12" s="366"/>
      <c r="P12" s="366"/>
      <c r="Q12" s="366"/>
      <c r="R12" s="366"/>
      <c r="S12" s="366"/>
      <c r="T12" s="366"/>
      <c r="U12" s="366"/>
      <c r="V12" s="366"/>
      <c r="W12" s="366"/>
      <c r="X12" s="366"/>
      <c r="Y12" s="366"/>
      <c r="Z12" s="366"/>
      <c r="AA12" s="366"/>
      <c r="AB12" s="366"/>
      <c r="AC12" s="366"/>
      <c r="AD12" s="366"/>
      <c r="AE12" s="366"/>
      <c r="AF12" s="366"/>
      <c r="AG12" s="366"/>
      <c r="AH12" s="366"/>
      <c r="AI12" s="366"/>
      <c r="AJ12" s="366"/>
      <c r="AK12" s="366"/>
      <c r="AL12" s="366"/>
      <c r="AM12" s="366"/>
      <c r="AN12" s="366"/>
      <c r="AO12" s="366"/>
      <c r="AP12" s="366"/>
      <c r="AQ12" s="366"/>
      <c r="AR12" s="366"/>
      <c r="AS12" s="366"/>
      <c r="AT12" s="366"/>
      <c r="AU12" s="366"/>
      <c r="AV12" s="366"/>
      <c r="AW12" s="366"/>
      <c r="AX12" s="366"/>
      <c r="AY12" s="366"/>
      <c r="AZ12" s="366"/>
      <c r="BA12" s="366"/>
      <c r="BB12" s="366"/>
      <c r="BC12" s="366"/>
      <c r="BD12" s="366"/>
      <c r="BE12" s="366"/>
      <c r="BF12" s="366"/>
      <c r="BG12" s="366"/>
      <c r="BH12" s="366"/>
      <c r="BI12" s="366"/>
      <c r="BJ12" s="366"/>
      <c r="BK12" s="366"/>
      <c r="BL12" s="366"/>
      <c r="BM12" s="366"/>
      <c r="BN12" s="366"/>
      <c r="BO12" s="366"/>
      <c r="BP12" s="366"/>
      <c r="BQ12" s="366"/>
      <c r="BR12" s="366"/>
      <c r="BS12" s="366"/>
      <c r="BT12" s="366"/>
      <c r="BU12" s="366"/>
      <c r="BV12" s="366"/>
      <c r="BW12" s="366"/>
      <c r="BX12" s="366"/>
      <c r="BY12" s="366"/>
      <c r="BZ12" s="366"/>
      <c r="CA12" s="366"/>
      <c r="CB12" s="366"/>
      <c r="CC12" s="366"/>
      <c r="CD12" s="366"/>
      <c r="CE12" s="366"/>
      <c r="CF12" s="366"/>
      <c r="CG12" s="366"/>
      <c r="CH12" s="366"/>
      <c r="CI12" s="366"/>
      <c r="CJ12" s="366"/>
      <c r="CK12" s="366"/>
      <c r="CL12" s="366"/>
      <c r="CM12" s="366"/>
      <c r="CN12" s="366"/>
      <c r="CO12" s="366"/>
      <c r="CP12" s="366"/>
      <c r="CQ12" s="366"/>
      <c r="CR12" s="366"/>
      <c r="CS12" s="366"/>
      <c r="CT12" s="366"/>
      <c r="CU12" s="366"/>
      <c r="CV12" s="366"/>
      <c r="CW12" s="366"/>
      <c r="CX12" s="366"/>
      <c r="CY12" s="366"/>
      <c r="CZ12" s="366"/>
      <c r="DA12" s="366"/>
      <c r="DB12" s="366"/>
      <c r="DC12" s="366"/>
      <c r="DD12" s="366"/>
      <c r="DE12" s="366"/>
      <c r="DF12" s="366"/>
      <c r="DG12" s="366"/>
      <c r="DH12" s="366"/>
      <c r="DI12" s="366"/>
      <c r="DJ12" s="366"/>
      <c r="DK12" s="366"/>
      <c r="DL12" s="366"/>
      <c r="DM12" s="366"/>
      <c r="DN12" s="366"/>
      <c r="DO12" s="366"/>
      <c r="DP12" s="366"/>
      <c r="DQ12" s="366"/>
      <c r="DR12" s="366"/>
      <c r="DS12" s="366"/>
      <c r="DT12" s="366"/>
      <c r="DU12" s="366"/>
      <c r="DV12" s="366"/>
      <c r="DW12" s="366"/>
      <c r="DX12" s="366"/>
      <c r="DY12" s="366"/>
      <c r="DZ12" s="366"/>
      <c r="EA12" s="366"/>
      <c r="EB12" s="366"/>
      <c r="EC12" s="366"/>
      <c r="ED12" s="366"/>
      <c r="EE12" s="366"/>
      <c r="EF12" s="366"/>
      <c r="EG12" s="366"/>
      <c r="EH12" s="366"/>
      <c r="EI12" s="366"/>
      <c r="EJ12" s="366"/>
      <c r="EK12" s="366"/>
      <c r="EL12" s="366"/>
      <c r="EM12" s="366"/>
      <c r="EN12" s="366"/>
      <c r="EO12" s="366"/>
      <c r="EP12" s="366"/>
      <c r="EQ12" s="366"/>
      <c r="ER12" s="366"/>
      <c r="ES12" s="366"/>
      <c r="ET12" s="366"/>
      <c r="EU12" s="366"/>
      <c r="EV12" s="366"/>
      <c r="EW12" s="366"/>
      <c r="EX12" s="366"/>
      <c r="EY12" s="366"/>
      <c r="EZ12" s="366"/>
      <c r="FA12" s="366"/>
      <c r="FB12" s="366"/>
      <c r="FC12" s="366"/>
      <c r="FD12" s="366"/>
      <c r="FE12" s="366"/>
      <c r="FF12" s="366"/>
      <c r="FG12" s="366"/>
      <c r="FH12" s="366"/>
      <c r="FI12" s="366"/>
      <c r="FJ12" s="366"/>
      <c r="FK12" s="366"/>
      <c r="FL12" s="366"/>
      <c r="FM12" s="366"/>
      <c r="FN12" s="366"/>
      <c r="FO12" s="366"/>
      <c r="FP12" s="366"/>
      <c r="FQ12" s="366"/>
      <c r="FR12" s="366"/>
      <c r="FS12" s="366"/>
      <c r="FT12" s="366"/>
      <c r="FU12" s="366"/>
      <c r="FV12" s="366"/>
      <c r="FW12" s="366"/>
      <c r="FX12" s="366"/>
      <c r="FY12" s="366"/>
      <c r="FZ12" s="366"/>
      <c r="GA12" s="366"/>
      <c r="GB12" s="366"/>
      <c r="GC12" s="366"/>
      <c r="GD12" s="366"/>
      <c r="GE12" s="366"/>
      <c r="GF12" s="366"/>
      <c r="GG12" s="366"/>
      <c r="GH12" s="366"/>
      <c r="GI12" s="366"/>
      <c r="GJ12" s="366"/>
      <c r="GK12" s="366"/>
      <c r="GL12" s="366"/>
      <c r="GM12" s="366"/>
      <c r="GN12" s="366"/>
      <c r="GO12" s="366"/>
      <c r="GP12" s="366"/>
      <c r="GQ12" s="366"/>
      <c r="GR12" s="366"/>
      <c r="GS12" s="366"/>
      <c r="GT12" s="366"/>
      <c r="GU12" s="366"/>
      <c r="GV12" s="366"/>
      <c r="GW12" s="366"/>
      <c r="GX12" s="366"/>
      <c r="GY12" s="366"/>
      <c r="GZ12" s="366"/>
      <c r="HA12" s="366"/>
      <c r="HB12" s="366"/>
      <c r="HC12" s="366"/>
      <c r="HD12" s="366"/>
      <c r="HE12" s="366"/>
      <c r="HF12" s="366"/>
      <c r="HG12" s="366"/>
      <c r="HH12" s="366"/>
      <c r="HI12" s="366"/>
      <c r="HJ12" s="366"/>
      <c r="HK12" s="366"/>
      <c r="HL12" s="366"/>
      <c r="HM12" s="366"/>
      <c r="HN12" s="366"/>
      <c r="HO12" s="366"/>
      <c r="HP12" s="366"/>
      <c r="HQ12" s="366"/>
      <c r="HR12" s="366"/>
      <c r="HS12" s="366"/>
      <c r="HT12" s="366"/>
      <c r="HU12" s="366"/>
      <c r="HV12" s="366"/>
      <c r="HW12" s="366"/>
      <c r="HX12" s="366"/>
      <c r="HY12" s="366"/>
      <c r="HZ12" s="366"/>
      <c r="IA12" s="366"/>
      <c r="IB12" s="366"/>
      <c r="IC12" s="366"/>
      <c r="ID12" s="366"/>
      <c r="IE12" s="366"/>
      <c r="IF12" s="366"/>
      <c r="IG12" s="366"/>
      <c r="IH12" s="366"/>
      <c r="II12" s="366"/>
      <c r="IJ12" s="366"/>
      <c r="IK12" s="366"/>
      <c r="IL12" s="366"/>
      <c r="IM12" s="366"/>
      <c r="IN12" s="366"/>
      <c r="IO12" s="366"/>
      <c r="IP12" s="366"/>
      <c r="IQ12" s="366"/>
      <c r="IR12" s="366"/>
      <c r="IS12" s="366"/>
      <c r="IT12" s="366"/>
      <c r="IU12" s="366"/>
      <c r="IV12" s="366"/>
      <c r="IW12" s="366"/>
      <c r="IX12" s="366"/>
      <c r="IY12" s="366"/>
      <c r="IZ12" s="366"/>
      <c r="JA12" s="366"/>
      <c r="JB12" s="366"/>
      <c r="JC12" s="366"/>
      <c r="JD12" s="366"/>
      <c r="JE12" s="366"/>
      <c r="JF12" s="366"/>
      <c r="JG12" s="366"/>
      <c r="JH12" s="366"/>
      <c r="JI12" s="366"/>
      <c r="JJ12" s="366"/>
      <c r="JK12" s="366"/>
      <c r="JL12" s="366"/>
      <c r="JM12" s="366"/>
      <c r="JN12" s="366"/>
      <c r="JO12" s="366"/>
      <c r="JP12" s="366"/>
      <c r="JQ12" s="366"/>
      <c r="JR12" s="366"/>
      <c r="JS12" s="366"/>
      <c r="JT12" s="366"/>
      <c r="JU12" s="366"/>
      <c r="JV12" s="366"/>
      <c r="JW12" s="366"/>
      <c r="JX12" s="366"/>
      <c r="JY12" s="366"/>
      <c r="JZ12" s="366"/>
      <c r="KA12" s="366"/>
      <c r="KB12" s="366"/>
      <c r="KC12" s="366"/>
      <c r="KD12" s="366"/>
      <c r="KE12" s="366"/>
      <c r="KF12" s="366"/>
      <c r="KG12" s="366"/>
      <c r="KH12" s="366"/>
      <c r="KI12" s="366"/>
      <c r="KJ12" s="366"/>
      <c r="KK12" s="366"/>
      <c r="KL12" s="366"/>
      <c r="KM12" s="366"/>
      <c r="KN12" s="366"/>
      <c r="KO12" s="366"/>
      <c r="KP12" s="366"/>
      <c r="KQ12" s="366"/>
      <c r="KR12" s="366"/>
      <c r="KS12" s="366"/>
      <c r="KT12" s="366"/>
      <c r="KU12" s="366"/>
      <c r="KV12" s="366"/>
      <c r="KW12" s="366"/>
      <c r="KX12" s="366"/>
      <c r="KY12" s="366"/>
      <c r="KZ12" s="366"/>
      <c r="LA12" s="366"/>
      <c r="LB12" s="366"/>
      <c r="LC12" s="366"/>
      <c r="LD12" s="366"/>
      <c r="LE12" s="366"/>
      <c r="LF12" s="366"/>
      <c r="LG12" s="366"/>
      <c r="LH12" s="366"/>
      <c r="LI12" s="366"/>
      <c r="LJ12" s="366"/>
      <c r="LK12" s="366"/>
      <c r="LL12" s="366"/>
      <c r="LM12" s="366"/>
      <c r="LN12" s="366"/>
      <c r="LO12" s="366"/>
      <c r="LP12" s="366"/>
      <c r="LQ12" s="366"/>
      <c r="LR12" s="366"/>
      <c r="LS12" s="366"/>
      <c r="LT12" s="366"/>
      <c r="LU12" s="366"/>
      <c r="LV12" s="366"/>
      <c r="LW12" s="366"/>
      <c r="LX12" s="366"/>
      <c r="LY12" s="366"/>
      <c r="LZ12" s="366"/>
      <c r="MA12" s="366"/>
      <c r="MB12" s="366"/>
      <c r="MC12" s="366"/>
      <c r="MD12" s="366"/>
      <c r="ME12" s="366"/>
      <c r="MF12" s="366"/>
      <c r="MG12" s="366"/>
      <c r="MH12" s="366"/>
      <c r="MI12" s="366"/>
      <c r="MJ12" s="366"/>
      <c r="MK12" s="366"/>
      <c r="ML12" s="366"/>
      <c r="MM12" s="366"/>
      <c r="MN12" s="366"/>
      <c r="MO12" s="366"/>
      <c r="MP12" s="366"/>
      <c r="MQ12" s="366"/>
      <c r="MR12" s="366"/>
      <c r="MS12" s="366"/>
      <c r="MT12" s="366"/>
      <c r="MU12" s="366"/>
      <c r="MV12" s="366"/>
      <c r="MW12" s="366"/>
      <c r="MX12" s="366"/>
      <c r="MY12" s="366"/>
      <c r="MZ12" s="366"/>
      <c r="NA12" s="366"/>
      <c r="NB12" s="366"/>
      <c r="NC12" s="366"/>
      <c r="ND12" s="176">
        <f t="shared" si="0"/>
        <v>0</v>
      </c>
    </row>
    <row r="13" spans="1:368" s="361" customFormat="1" ht="13.5" customHeight="1">
      <c r="A13" s="403"/>
      <c r="B13" s="349" t="s">
        <v>141</v>
      </c>
      <c r="C13" s="366"/>
      <c r="D13" s="366"/>
      <c r="E13" s="366"/>
      <c r="F13" s="366"/>
      <c r="G13" s="366"/>
      <c r="H13" s="366"/>
      <c r="I13" s="366"/>
      <c r="J13" s="366"/>
      <c r="K13" s="366"/>
      <c r="L13" s="366"/>
      <c r="M13" s="366"/>
      <c r="N13" s="366"/>
      <c r="O13" s="366"/>
      <c r="P13" s="366"/>
      <c r="Q13" s="366"/>
      <c r="R13" s="366"/>
      <c r="S13" s="366"/>
      <c r="T13" s="366"/>
      <c r="U13" s="366"/>
      <c r="V13" s="366"/>
      <c r="W13" s="366"/>
      <c r="X13" s="366"/>
      <c r="Y13" s="366"/>
      <c r="Z13" s="366"/>
      <c r="AA13" s="366"/>
      <c r="AB13" s="366"/>
      <c r="AC13" s="366"/>
      <c r="AD13" s="366"/>
      <c r="AE13" s="366"/>
      <c r="AF13" s="366"/>
      <c r="AG13" s="366"/>
      <c r="AH13" s="366"/>
      <c r="AI13" s="366"/>
      <c r="AJ13" s="366"/>
      <c r="AK13" s="366"/>
      <c r="AL13" s="366"/>
      <c r="AM13" s="366"/>
      <c r="AN13" s="366"/>
      <c r="AO13" s="366"/>
      <c r="AP13" s="366"/>
      <c r="AQ13" s="366"/>
      <c r="AR13" s="366"/>
      <c r="AS13" s="366"/>
      <c r="AT13" s="366"/>
      <c r="AU13" s="366"/>
      <c r="AV13" s="366"/>
      <c r="AW13" s="366"/>
      <c r="AX13" s="366"/>
      <c r="AY13" s="366"/>
      <c r="AZ13" s="366"/>
      <c r="BA13" s="366"/>
      <c r="BB13" s="366"/>
      <c r="BC13" s="366"/>
      <c r="BD13" s="366"/>
      <c r="BE13" s="366"/>
      <c r="BF13" s="366"/>
      <c r="BG13" s="366"/>
      <c r="BH13" s="366"/>
      <c r="BI13" s="366"/>
      <c r="BJ13" s="366"/>
      <c r="BK13" s="366"/>
      <c r="BL13" s="366"/>
      <c r="BM13" s="366"/>
      <c r="BN13" s="366"/>
      <c r="BO13" s="366"/>
      <c r="BP13" s="366"/>
      <c r="BQ13" s="366"/>
      <c r="BR13" s="366"/>
      <c r="BS13" s="366"/>
      <c r="BT13" s="366"/>
      <c r="BU13" s="366"/>
      <c r="BV13" s="366"/>
      <c r="BW13" s="366"/>
      <c r="BX13" s="366"/>
      <c r="BY13" s="366"/>
      <c r="BZ13" s="366"/>
      <c r="CA13" s="366"/>
      <c r="CB13" s="366"/>
      <c r="CC13" s="366"/>
      <c r="CD13" s="366"/>
      <c r="CE13" s="366"/>
      <c r="CF13" s="366"/>
      <c r="CG13" s="366"/>
      <c r="CH13" s="366"/>
      <c r="CI13" s="366"/>
      <c r="CJ13" s="366"/>
      <c r="CK13" s="366"/>
      <c r="CL13" s="366"/>
      <c r="CM13" s="366"/>
      <c r="CN13" s="366"/>
      <c r="CO13" s="366"/>
      <c r="CP13" s="366"/>
      <c r="CQ13" s="366"/>
      <c r="CR13" s="366"/>
      <c r="CS13" s="366"/>
      <c r="CT13" s="366"/>
      <c r="CU13" s="366"/>
      <c r="CV13" s="366"/>
      <c r="CW13" s="366"/>
      <c r="CX13" s="366"/>
      <c r="CY13" s="366"/>
      <c r="CZ13" s="366"/>
      <c r="DA13" s="366"/>
      <c r="DB13" s="366"/>
      <c r="DC13" s="366"/>
      <c r="DD13" s="366"/>
      <c r="DE13" s="366"/>
      <c r="DF13" s="366"/>
      <c r="DG13" s="366"/>
      <c r="DH13" s="366"/>
      <c r="DI13" s="366"/>
      <c r="DJ13" s="366"/>
      <c r="DK13" s="366"/>
      <c r="DL13" s="366"/>
      <c r="DM13" s="366"/>
      <c r="DN13" s="366"/>
      <c r="DO13" s="366"/>
      <c r="DP13" s="366"/>
      <c r="DQ13" s="366"/>
      <c r="DR13" s="366"/>
      <c r="DS13" s="366"/>
      <c r="DT13" s="366"/>
      <c r="DU13" s="366"/>
      <c r="DV13" s="366"/>
      <c r="DW13" s="366"/>
      <c r="DX13" s="366"/>
      <c r="DY13" s="366"/>
      <c r="DZ13" s="366"/>
      <c r="EA13" s="366"/>
      <c r="EB13" s="366"/>
      <c r="EC13" s="366"/>
      <c r="ED13" s="366"/>
      <c r="EE13" s="366"/>
      <c r="EF13" s="366"/>
      <c r="EG13" s="366"/>
      <c r="EH13" s="366"/>
      <c r="EI13" s="366"/>
      <c r="EJ13" s="366"/>
      <c r="EK13" s="366"/>
      <c r="EL13" s="366"/>
      <c r="EM13" s="366"/>
      <c r="EN13" s="366"/>
      <c r="EO13" s="366"/>
      <c r="EP13" s="366"/>
      <c r="EQ13" s="366"/>
      <c r="ER13" s="366"/>
      <c r="ES13" s="366"/>
      <c r="ET13" s="366"/>
      <c r="EU13" s="366"/>
      <c r="EV13" s="366"/>
      <c r="EW13" s="366"/>
      <c r="EX13" s="366"/>
      <c r="EY13" s="366"/>
      <c r="EZ13" s="366"/>
      <c r="FA13" s="366"/>
      <c r="FB13" s="366"/>
      <c r="FC13" s="366"/>
      <c r="FD13" s="366"/>
      <c r="FE13" s="366"/>
      <c r="FF13" s="366"/>
      <c r="FG13" s="366"/>
      <c r="FH13" s="366"/>
      <c r="FI13" s="366"/>
      <c r="FJ13" s="366"/>
      <c r="FK13" s="366"/>
      <c r="FL13" s="366"/>
      <c r="FM13" s="366"/>
      <c r="FN13" s="366"/>
      <c r="FO13" s="366"/>
      <c r="FP13" s="366"/>
      <c r="FQ13" s="366"/>
      <c r="FR13" s="366"/>
      <c r="FS13" s="366"/>
      <c r="FT13" s="366"/>
      <c r="FU13" s="366"/>
      <c r="FV13" s="366"/>
      <c r="FW13" s="366"/>
      <c r="FX13" s="366"/>
      <c r="FY13" s="366"/>
      <c r="FZ13" s="366"/>
      <c r="GA13" s="366"/>
      <c r="GB13" s="366"/>
      <c r="GC13" s="366"/>
      <c r="GD13" s="366"/>
      <c r="GE13" s="366"/>
      <c r="GF13" s="366"/>
      <c r="GG13" s="366"/>
      <c r="GH13" s="366"/>
      <c r="GI13" s="366"/>
      <c r="GJ13" s="366"/>
      <c r="GK13" s="366"/>
      <c r="GL13" s="366"/>
      <c r="GM13" s="366"/>
      <c r="GN13" s="366"/>
      <c r="GO13" s="366"/>
      <c r="GP13" s="366"/>
      <c r="GQ13" s="366"/>
      <c r="GR13" s="366"/>
      <c r="GS13" s="366"/>
      <c r="GT13" s="366"/>
      <c r="GU13" s="366"/>
      <c r="GV13" s="366"/>
      <c r="GW13" s="366"/>
      <c r="GX13" s="366"/>
      <c r="GY13" s="366"/>
      <c r="GZ13" s="366"/>
      <c r="HA13" s="366"/>
      <c r="HB13" s="366"/>
      <c r="HC13" s="366"/>
      <c r="HD13" s="366"/>
      <c r="HE13" s="366"/>
      <c r="HF13" s="366"/>
      <c r="HG13" s="366"/>
      <c r="HH13" s="366"/>
      <c r="HI13" s="366"/>
      <c r="HJ13" s="366"/>
      <c r="HK13" s="366"/>
      <c r="HL13" s="366"/>
      <c r="HM13" s="366"/>
      <c r="HN13" s="366"/>
      <c r="HO13" s="366"/>
      <c r="HP13" s="366"/>
      <c r="HQ13" s="366"/>
      <c r="HR13" s="366"/>
      <c r="HS13" s="366"/>
      <c r="HT13" s="366"/>
      <c r="HU13" s="366"/>
      <c r="HV13" s="366"/>
      <c r="HW13" s="366"/>
      <c r="HX13" s="366"/>
      <c r="HY13" s="366"/>
      <c r="HZ13" s="366"/>
      <c r="IA13" s="366"/>
      <c r="IB13" s="366"/>
      <c r="IC13" s="366"/>
      <c r="ID13" s="366"/>
      <c r="IE13" s="366"/>
      <c r="IF13" s="366"/>
      <c r="IG13" s="366"/>
      <c r="IH13" s="366"/>
      <c r="II13" s="366"/>
      <c r="IJ13" s="366"/>
      <c r="IK13" s="366"/>
      <c r="IL13" s="366"/>
      <c r="IM13" s="366"/>
      <c r="IN13" s="366"/>
      <c r="IO13" s="366"/>
      <c r="IP13" s="366"/>
      <c r="IQ13" s="366"/>
      <c r="IR13" s="366"/>
      <c r="IS13" s="366"/>
      <c r="IT13" s="366"/>
      <c r="IU13" s="366"/>
      <c r="IV13" s="366"/>
      <c r="IW13" s="366"/>
      <c r="IX13" s="366"/>
      <c r="IY13" s="366"/>
      <c r="IZ13" s="366"/>
      <c r="JA13" s="366"/>
      <c r="JB13" s="366"/>
      <c r="JC13" s="366"/>
      <c r="JD13" s="366"/>
      <c r="JE13" s="366"/>
      <c r="JF13" s="366"/>
      <c r="JG13" s="366"/>
      <c r="JH13" s="366"/>
      <c r="JI13" s="366"/>
      <c r="JJ13" s="366"/>
      <c r="JK13" s="366"/>
      <c r="JL13" s="366"/>
      <c r="JM13" s="366"/>
      <c r="JN13" s="366"/>
      <c r="JO13" s="366"/>
      <c r="JP13" s="366"/>
      <c r="JQ13" s="366"/>
      <c r="JR13" s="366"/>
      <c r="JS13" s="366"/>
      <c r="JT13" s="366"/>
      <c r="JU13" s="366"/>
      <c r="JV13" s="366"/>
      <c r="JW13" s="366"/>
      <c r="JX13" s="366"/>
      <c r="JY13" s="366"/>
      <c r="JZ13" s="366"/>
      <c r="KA13" s="366"/>
      <c r="KB13" s="366"/>
      <c r="KC13" s="366"/>
      <c r="KD13" s="366"/>
      <c r="KE13" s="366"/>
      <c r="KF13" s="366"/>
      <c r="KG13" s="366"/>
      <c r="KH13" s="366"/>
      <c r="KI13" s="366"/>
      <c r="KJ13" s="366"/>
      <c r="KK13" s="366"/>
      <c r="KL13" s="366"/>
      <c r="KM13" s="366"/>
      <c r="KN13" s="366"/>
      <c r="KO13" s="366"/>
      <c r="KP13" s="366"/>
      <c r="KQ13" s="366"/>
      <c r="KR13" s="366"/>
      <c r="KS13" s="366"/>
      <c r="KT13" s="366"/>
      <c r="KU13" s="366"/>
      <c r="KV13" s="366"/>
      <c r="KW13" s="366"/>
      <c r="KX13" s="366"/>
      <c r="KY13" s="366"/>
      <c r="KZ13" s="366"/>
      <c r="LA13" s="366"/>
      <c r="LB13" s="366"/>
      <c r="LC13" s="366"/>
      <c r="LD13" s="366"/>
      <c r="LE13" s="366"/>
      <c r="LF13" s="366"/>
      <c r="LG13" s="366"/>
      <c r="LH13" s="366"/>
      <c r="LI13" s="366"/>
      <c r="LJ13" s="366"/>
      <c r="LK13" s="366"/>
      <c r="LL13" s="366"/>
      <c r="LM13" s="366"/>
      <c r="LN13" s="366"/>
      <c r="LO13" s="366"/>
      <c r="LP13" s="366"/>
      <c r="LQ13" s="366"/>
      <c r="LR13" s="366"/>
      <c r="LS13" s="366"/>
      <c r="LT13" s="366"/>
      <c r="LU13" s="366"/>
      <c r="LV13" s="366"/>
      <c r="LW13" s="366"/>
      <c r="LX13" s="366"/>
      <c r="LY13" s="366"/>
      <c r="LZ13" s="366"/>
      <c r="MA13" s="366"/>
      <c r="MB13" s="366"/>
      <c r="MC13" s="366"/>
      <c r="MD13" s="366"/>
      <c r="ME13" s="366"/>
      <c r="MF13" s="366"/>
      <c r="MG13" s="366"/>
      <c r="MH13" s="366"/>
      <c r="MI13" s="366"/>
      <c r="MJ13" s="366"/>
      <c r="MK13" s="366"/>
      <c r="ML13" s="366"/>
      <c r="MM13" s="366"/>
      <c r="MN13" s="366"/>
      <c r="MO13" s="366"/>
      <c r="MP13" s="366"/>
      <c r="MQ13" s="366"/>
      <c r="MR13" s="366"/>
      <c r="MS13" s="366"/>
      <c r="MT13" s="366"/>
      <c r="MU13" s="366"/>
      <c r="MV13" s="366"/>
      <c r="MW13" s="366"/>
      <c r="MX13" s="366"/>
      <c r="MY13" s="366"/>
      <c r="MZ13" s="366"/>
      <c r="NA13" s="366"/>
      <c r="NB13" s="366"/>
      <c r="NC13" s="366"/>
      <c r="ND13" s="176">
        <f t="shared" si="0"/>
        <v>0</v>
      </c>
    </row>
    <row r="14" spans="1:368" s="361" customFormat="1" ht="13.5" customHeight="1">
      <c r="A14" s="403"/>
      <c r="B14" s="349" t="s">
        <v>157</v>
      </c>
      <c r="C14" s="366"/>
      <c r="D14" s="366"/>
      <c r="E14" s="366"/>
      <c r="F14" s="366"/>
      <c r="G14" s="366"/>
      <c r="H14" s="366"/>
      <c r="I14" s="366"/>
      <c r="J14" s="366"/>
      <c r="K14" s="366"/>
      <c r="L14" s="366"/>
      <c r="M14" s="366"/>
      <c r="N14" s="366"/>
      <c r="O14" s="366"/>
      <c r="P14" s="366"/>
      <c r="Q14" s="366"/>
      <c r="R14" s="366"/>
      <c r="S14" s="366"/>
      <c r="T14" s="366"/>
      <c r="U14" s="366"/>
      <c r="V14" s="366"/>
      <c r="W14" s="366"/>
      <c r="X14" s="366"/>
      <c r="Y14" s="366"/>
      <c r="Z14" s="366"/>
      <c r="AA14" s="366"/>
      <c r="AB14" s="366"/>
      <c r="AC14" s="366"/>
      <c r="AD14" s="366"/>
      <c r="AE14" s="366"/>
      <c r="AF14" s="366"/>
      <c r="AG14" s="366"/>
      <c r="AH14" s="366"/>
      <c r="AI14" s="366"/>
      <c r="AJ14" s="366"/>
      <c r="AK14" s="366"/>
      <c r="AL14" s="366"/>
      <c r="AM14" s="366"/>
      <c r="AN14" s="366"/>
      <c r="AO14" s="366"/>
      <c r="AP14" s="366"/>
      <c r="AQ14" s="366"/>
      <c r="AR14" s="366"/>
      <c r="AS14" s="366"/>
      <c r="AT14" s="366"/>
      <c r="AU14" s="366"/>
      <c r="AV14" s="366"/>
      <c r="AW14" s="366"/>
      <c r="AX14" s="366"/>
      <c r="AY14" s="366"/>
      <c r="AZ14" s="366"/>
      <c r="BA14" s="366"/>
      <c r="BB14" s="366"/>
      <c r="BC14" s="366"/>
      <c r="BD14" s="366"/>
      <c r="BE14" s="366"/>
      <c r="BF14" s="366"/>
      <c r="BG14" s="366"/>
      <c r="BH14" s="366"/>
      <c r="BI14" s="366"/>
      <c r="BJ14" s="366"/>
      <c r="BK14" s="366"/>
      <c r="BL14" s="366"/>
      <c r="BM14" s="366"/>
      <c r="BN14" s="366"/>
      <c r="BO14" s="366"/>
      <c r="BP14" s="366"/>
      <c r="BQ14" s="366"/>
      <c r="BR14" s="366"/>
      <c r="BS14" s="366"/>
      <c r="BT14" s="366"/>
      <c r="BU14" s="366"/>
      <c r="BV14" s="366"/>
      <c r="BW14" s="366"/>
      <c r="BX14" s="366"/>
      <c r="BY14" s="366"/>
      <c r="BZ14" s="366"/>
      <c r="CA14" s="366"/>
      <c r="CB14" s="366"/>
      <c r="CC14" s="366"/>
      <c r="CD14" s="366"/>
      <c r="CE14" s="366"/>
      <c r="CF14" s="366"/>
      <c r="CG14" s="366"/>
      <c r="CH14" s="366"/>
      <c r="CI14" s="366"/>
      <c r="CJ14" s="366"/>
      <c r="CK14" s="366"/>
      <c r="CL14" s="366"/>
      <c r="CM14" s="366"/>
      <c r="CN14" s="366"/>
      <c r="CO14" s="366"/>
      <c r="CP14" s="366"/>
      <c r="CQ14" s="366"/>
      <c r="CR14" s="366"/>
      <c r="CS14" s="366"/>
      <c r="CT14" s="366"/>
      <c r="CU14" s="366"/>
      <c r="CV14" s="366"/>
      <c r="CW14" s="366"/>
      <c r="CX14" s="366"/>
      <c r="CY14" s="366"/>
      <c r="CZ14" s="366"/>
      <c r="DA14" s="366"/>
      <c r="DB14" s="366"/>
      <c r="DC14" s="366"/>
      <c r="DD14" s="366"/>
      <c r="DE14" s="366"/>
      <c r="DF14" s="366"/>
      <c r="DG14" s="366"/>
      <c r="DH14" s="366"/>
      <c r="DI14" s="366"/>
      <c r="DJ14" s="366"/>
      <c r="DK14" s="366"/>
      <c r="DL14" s="366"/>
      <c r="DM14" s="366"/>
      <c r="DN14" s="366"/>
      <c r="DO14" s="366"/>
      <c r="DP14" s="366"/>
      <c r="DQ14" s="366"/>
      <c r="DR14" s="366"/>
      <c r="DS14" s="366"/>
      <c r="DT14" s="366"/>
      <c r="DU14" s="366"/>
      <c r="DV14" s="366"/>
      <c r="DW14" s="366"/>
      <c r="DX14" s="366"/>
      <c r="DY14" s="366"/>
      <c r="DZ14" s="366"/>
      <c r="EA14" s="366"/>
      <c r="EB14" s="366"/>
      <c r="EC14" s="366"/>
      <c r="ED14" s="366"/>
      <c r="EE14" s="366"/>
      <c r="EF14" s="366"/>
      <c r="EG14" s="366"/>
      <c r="EH14" s="366"/>
      <c r="EI14" s="366"/>
      <c r="EJ14" s="366"/>
      <c r="EK14" s="366"/>
      <c r="EL14" s="366"/>
      <c r="EM14" s="366"/>
      <c r="EN14" s="366"/>
      <c r="EO14" s="366"/>
      <c r="EP14" s="366"/>
      <c r="EQ14" s="366"/>
      <c r="ER14" s="366"/>
      <c r="ES14" s="366"/>
      <c r="ET14" s="366"/>
      <c r="EU14" s="366"/>
      <c r="EV14" s="366"/>
      <c r="EW14" s="366"/>
      <c r="EX14" s="366"/>
      <c r="EY14" s="366"/>
      <c r="EZ14" s="366"/>
      <c r="FA14" s="366"/>
      <c r="FB14" s="366"/>
      <c r="FC14" s="366"/>
      <c r="FD14" s="366"/>
      <c r="FE14" s="366"/>
      <c r="FF14" s="366"/>
      <c r="FG14" s="366"/>
      <c r="FH14" s="366"/>
      <c r="FI14" s="366"/>
      <c r="FJ14" s="366"/>
      <c r="FK14" s="366"/>
      <c r="FL14" s="366"/>
      <c r="FM14" s="366"/>
      <c r="FN14" s="366"/>
      <c r="FO14" s="366"/>
      <c r="FP14" s="366"/>
      <c r="FQ14" s="366"/>
      <c r="FR14" s="366"/>
      <c r="FS14" s="366"/>
      <c r="FT14" s="366"/>
      <c r="FU14" s="366"/>
      <c r="FV14" s="366"/>
      <c r="FW14" s="366"/>
      <c r="FX14" s="366"/>
      <c r="FY14" s="366"/>
      <c r="FZ14" s="366"/>
      <c r="GA14" s="366"/>
      <c r="GB14" s="366"/>
      <c r="GC14" s="366"/>
      <c r="GD14" s="366"/>
      <c r="GE14" s="366"/>
      <c r="GF14" s="366"/>
      <c r="GG14" s="366"/>
      <c r="GH14" s="366"/>
      <c r="GI14" s="366"/>
      <c r="GJ14" s="366"/>
      <c r="GK14" s="366"/>
      <c r="GL14" s="366"/>
      <c r="GM14" s="366"/>
      <c r="GN14" s="366"/>
      <c r="GO14" s="366"/>
      <c r="GP14" s="366"/>
      <c r="GQ14" s="366"/>
      <c r="GR14" s="366"/>
      <c r="GS14" s="366"/>
      <c r="GT14" s="366"/>
      <c r="GU14" s="366"/>
      <c r="GV14" s="366"/>
      <c r="GW14" s="366"/>
      <c r="GX14" s="366"/>
      <c r="GY14" s="366"/>
      <c r="GZ14" s="366"/>
      <c r="HA14" s="366"/>
      <c r="HB14" s="366"/>
      <c r="HC14" s="366"/>
      <c r="HD14" s="366"/>
      <c r="HE14" s="366"/>
      <c r="HF14" s="366"/>
      <c r="HG14" s="366"/>
      <c r="HH14" s="366"/>
      <c r="HI14" s="366"/>
      <c r="HJ14" s="366"/>
      <c r="HK14" s="366"/>
      <c r="HL14" s="366"/>
      <c r="HM14" s="366"/>
      <c r="HN14" s="366"/>
      <c r="HO14" s="366"/>
      <c r="HP14" s="366"/>
      <c r="HQ14" s="366"/>
      <c r="HR14" s="366"/>
      <c r="HS14" s="366"/>
      <c r="HT14" s="366"/>
      <c r="HU14" s="366"/>
      <c r="HV14" s="366"/>
      <c r="HW14" s="366"/>
      <c r="HX14" s="366"/>
      <c r="HY14" s="366"/>
      <c r="HZ14" s="366"/>
      <c r="IA14" s="366"/>
      <c r="IB14" s="366"/>
      <c r="IC14" s="366"/>
      <c r="ID14" s="366"/>
      <c r="IE14" s="366"/>
      <c r="IF14" s="366"/>
      <c r="IG14" s="366"/>
      <c r="IH14" s="366"/>
      <c r="II14" s="366"/>
      <c r="IJ14" s="366"/>
      <c r="IK14" s="366"/>
      <c r="IL14" s="366"/>
      <c r="IM14" s="366"/>
      <c r="IN14" s="366"/>
      <c r="IO14" s="366"/>
      <c r="IP14" s="366"/>
      <c r="IQ14" s="366"/>
      <c r="IR14" s="366"/>
      <c r="IS14" s="366"/>
      <c r="IT14" s="366"/>
      <c r="IU14" s="366"/>
      <c r="IV14" s="366"/>
      <c r="IW14" s="366"/>
      <c r="IX14" s="366"/>
      <c r="IY14" s="366"/>
      <c r="IZ14" s="366"/>
      <c r="JA14" s="366"/>
      <c r="JB14" s="366"/>
      <c r="JC14" s="366"/>
      <c r="JD14" s="366"/>
      <c r="JE14" s="366"/>
      <c r="JF14" s="366"/>
      <c r="JG14" s="366"/>
      <c r="JH14" s="366"/>
      <c r="JI14" s="366"/>
      <c r="JJ14" s="366"/>
      <c r="JK14" s="366"/>
      <c r="JL14" s="366"/>
      <c r="JM14" s="366"/>
      <c r="JN14" s="366"/>
      <c r="JO14" s="366"/>
      <c r="JP14" s="366"/>
      <c r="JQ14" s="366"/>
      <c r="JR14" s="366"/>
      <c r="JS14" s="366"/>
      <c r="JT14" s="366"/>
      <c r="JU14" s="366"/>
      <c r="JV14" s="366"/>
      <c r="JW14" s="366"/>
      <c r="JX14" s="366"/>
      <c r="JY14" s="366"/>
      <c r="JZ14" s="366"/>
      <c r="KA14" s="366"/>
      <c r="KB14" s="366"/>
      <c r="KC14" s="366"/>
      <c r="KD14" s="366"/>
      <c r="KE14" s="366"/>
      <c r="KF14" s="366"/>
      <c r="KG14" s="366"/>
      <c r="KH14" s="366"/>
      <c r="KI14" s="366"/>
      <c r="KJ14" s="366"/>
      <c r="KK14" s="366"/>
      <c r="KL14" s="366"/>
      <c r="KM14" s="366"/>
      <c r="KN14" s="366"/>
      <c r="KO14" s="366"/>
      <c r="KP14" s="366"/>
      <c r="KQ14" s="366"/>
      <c r="KR14" s="366"/>
      <c r="KS14" s="366"/>
      <c r="KT14" s="366"/>
      <c r="KU14" s="366"/>
      <c r="KV14" s="366"/>
      <c r="KW14" s="366"/>
      <c r="KX14" s="366"/>
      <c r="KY14" s="366"/>
      <c r="KZ14" s="366"/>
      <c r="LA14" s="366"/>
      <c r="LB14" s="366"/>
      <c r="LC14" s="366"/>
      <c r="LD14" s="366"/>
      <c r="LE14" s="366"/>
      <c r="LF14" s="366"/>
      <c r="LG14" s="366"/>
      <c r="LH14" s="366"/>
      <c r="LI14" s="366"/>
      <c r="LJ14" s="366"/>
      <c r="LK14" s="366"/>
      <c r="LL14" s="366"/>
      <c r="LM14" s="366"/>
      <c r="LN14" s="366"/>
      <c r="LO14" s="366"/>
      <c r="LP14" s="366"/>
      <c r="LQ14" s="366"/>
      <c r="LR14" s="366"/>
      <c r="LS14" s="366"/>
      <c r="LT14" s="366"/>
      <c r="LU14" s="366"/>
      <c r="LV14" s="366"/>
      <c r="LW14" s="366"/>
      <c r="LX14" s="366"/>
      <c r="LY14" s="366"/>
      <c r="LZ14" s="366"/>
      <c r="MA14" s="366"/>
      <c r="MB14" s="366"/>
      <c r="MC14" s="366"/>
      <c r="MD14" s="366"/>
      <c r="ME14" s="366"/>
      <c r="MF14" s="366"/>
      <c r="MG14" s="366"/>
      <c r="MH14" s="366"/>
      <c r="MI14" s="366"/>
      <c r="MJ14" s="366"/>
      <c r="MK14" s="366"/>
      <c r="ML14" s="366"/>
      <c r="MM14" s="366"/>
      <c r="MN14" s="366"/>
      <c r="MO14" s="366"/>
      <c r="MP14" s="366"/>
      <c r="MQ14" s="366"/>
      <c r="MR14" s="366"/>
      <c r="MS14" s="366"/>
      <c r="MT14" s="366"/>
      <c r="MU14" s="366"/>
      <c r="MV14" s="366"/>
      <c r="MW14" s="366"/>
      <c r="MX14" s="366"/>
      <c r="MY14" s="366"/>
      <c r="MZ14" s="366"/>
      <c r="NA14" s="366"/>
      <c r="NB14" s="366"/>
      <c r="NC14" s="366"/>
      <c r="ND14" s="176">
        <f t="shared" si="0"/>
        <v>0</v>
      </c>
    </row>
    <row r="15" spans="1:368" s="361" customFormat="1" ht="13.5" customHeight="1">
      <c r="A15" s="403"/>
      <c r="B15" s="349" t="s">
        <v>142</v>
      </c>
      <c r="C15" s="366"/>
      <c r="D15" s="366"/>
      <c r="E15" s="366"/>
      <c r="F15" s="366"/>
      <c r="G15" s="366"/>
      <c r="H15" s="366"/>
      <c r="I15" s="366"/>
      <c r="J15" s="366"/>
      <c r="K15" s="366"/>
      <c r="L15" s="366"/>
      <c r="M15" s="366"/>
      <c r="N15" s="366"/>
      <c r="O15" s="366"/>
      <c r="P15" s="366"/>
      <c r="Q15" s="366"/>
      <c r="R15" s="366"/>
      <c r="S15" s="366"/>
      <c r="T15" s="366"/>
      <c r="U15" s="366"/>
      <c r="V15" s="366"/>
      <c r="W15" s="366"/>
      <c r="X15" s="366"/>
      <c r="Y15" s="366"/>
      <c r="Z15" s="366"/>
      <c r="AA15" s="366"/>
      <c r="AB15" s="366"/>
      <c r="AC15" s="366"/>
      <c r="AD15" s="366"/>
      <c r="AE15" s="366"/>
      <c r="AF15" s="366"/>
      <c r="AG15" s="366"/>
      <c r="AH15" s="366"/>
      <c r="AI15" s="366"/>
      <c r="AJ15" s="366"/>
      <c r="AK15" s="366"/>
      <c r="AL15" s="366"/>
      <c r="AM15" s="366"/>
      <c r="AN15" s="366"/>
      <c r="AO15" s="366"/>
      <c r="AP15" s="366"/>
      <c r="AQ15" s="366"/>
      <c r="AR15" s="366"/>
      <c r="AS15" s="366"/>
      <c r="AT15" s="366"/>
      <c r="AU15" s="366"/>
      <c r="AV15" s="366"/>
      <c r="AW15" s="366"/>
      <c r="AX15" s="366"/>
      <c r="AY15" s="366"/>
      <c r="AZ15" s="366"/>
      <c r="BA15" s="366"/>
      <c r="BB15" s="366"/>
      <c r="BC15" s="366"/>
      <c r="BD15" s="366"/>
      <c r="BE15" s="366"/>
      <c r="BF15" s="366"/>
      <c r="BG15" s="366"/>
      <c r="BH15" s="366"/>
      <c r="BI15" s="366"/>
      <c r="BJ15" s="366"/>
      <c r="BK15" s="366"/>
      <c r="BL15" s="366"/>
      <c r="BM15" s="366"/>
      <c r="BN15" s="366"/>
      <c r="BO15" s="366"/>
      <c r="BP15" s="366"/>
      <c r="BQ15" s="366"/>
      <c r="BR15" s="366"/>
      <c r="BS15" s="366"/>
      <c r="BT15" s="366"/>
      <c r="BU15" s="366"/>
      <c r="BV15" s="366"/>
      <c r="BW15" s="366"/>
      <c r="BX15" s="366"/>
      <c r="BY15" s="366"/>
      <c r="BZ15" s="366"/>
      <c r="CA15" s="366"/>
      <c r="CB15" s="366"/>
      <c r="CC15" s="366"/>
      <c r="CD15" s="366"/>
      <c r="CE15" s="366"/>
      <c r="CF15" s="366"/>
      <c r="CG15" s="366"/>
      <c r="CH15" s="366"/>
      <c r="CI15" s="366"/>
      <c r="CJ15" s="366"/>
      <c r="CK15" s="366"/>
      <c r="CL15" s="366"/>
      <c r="CM15" s="366"/>
      <c r="CN15" s="366"/>
      <c r="CO15" s="366"/>
      <c r="CP15" s="366"/>
      <c r="CQ15" s="366"/>
      <c r="CR15" s="366"/>
      <c r="CS15" s="366"/>
      <c r="CT15" s="366"/>
      <c r="CU15" s="366"/>
      <c r="CV15" s="366"/>
      <c r="CW15" s="366"/>
      <c r="CX15" s="366"/>
      <c r="CY15" s="366"/>
      <c r="CZ15" s="366"/>
      <c r="DA15" s="366"/>
      <c r="DB15" s="366"/>
      <c r="DC15" s="366"/>
      <c r="DD15" s="366"/>
      <c r="DE15" s="366"/>
      <c r="DF15" s="366"/>
      <c r="DG15" s="366"/>
      <c r="DH15" s="366"/>
      <c r="DI15" s="366"/>
      <c r="DJ15" s="366"/>
      <c r="DK15" s="366"/>
      <c r="DL15" s="366"/>
      <c r="DM15" s="366"/>
      <c r="DN15" s="366"/>
      <c r="DO15" s="366"/>
      <c r="DP15" s="366"/>
      <c r="DQ15" s="366"/>
      <c r="DR15" s="366"/>
      <c r="DS15" s="366"/>
      <c r="DT15" s="366"/>
      <c r="DU15" s="366"/>
      <c r="DV15" s="366"/>
      <c r="DW15" s="366"/>
      <c r="DX15" s="366"/>
      <c r="DY15" s="366"/>
      <c r="DZ15" s="366"/>
      <c r="EA15" s="366"/>
      <c r="EB15" s="366"/>
      <c r="EC15" s="366"/>
      <c r="ED15" s="366"/>
      <c r="EE15" s="366"/>
      <c r="EF15" s="366"/>
      <c r="EG15" s="366"/>
      <c r="EH15" s="366"/>
      <c r="EI15" s="366"/>
      <c r="EJ15" s="366"/>
      <c r="EK15" s="366"/>
      <c r="EL15" s="366"/>
      <c r="EM15" s="366"/>
      <c r="EN15" s="366"/>
      <c r="EO15" s="366"/>
      <c r="EP15" s="366"/>
      <c r="EQ15" s="366"/>
      <c r="ER15" s="366"/>
      <c r="ES15" s="366"/>
      <c r="ET15" s="366"/>
      <c r="EU15" s="366"/>
      <c r="EV15" s="366"/>
      <c r="EW15" s="366"/>
      <c r="EX15" s="366"/>
      <c r="EY15" s="366"/>
      <c r="EZ15" s="366"/>
      <c r="FA15" s="366"/>
      <c r="FB15" s="366"/>
      <c r="FC15" s="366"/>
      <c r="FD15" s="366"/>
      <c r="FE15" s="366"/>
      <c r="FF15" s="366"/>
      <c r="FG15" s="366"/>
      <c r="FH15" s="366"/>
      <c r="FI15" s="366"/>
      <c r="FJ15" s="366"/>
      <c r="FK15" s="366"/>
      <c r="FL15" s="366"/>
      <c r="FM15" s="366"/>
      <c r="FN15" s="366"/>
      <c r="FO15" s="366"/>
      <c r="FP15" s="366"/>
      <c r="FQ15" s="366"/>
      <c r="FR15" s="366"/>
      <c r="FS15" s="366"/>
      <c r="FT15" s="366"/>
      <c r="FU15" s="366"/>
      <c r="FV15" s="366"/>
      <c r="FW15" s="366"/>
      <c r="FX15" s="366"/>
      <c r="FY15" s="366"/>
      <c r="FZ15" s="366"/>
      <c r="GA15" s="366"/>
      <c r="GB15" s="366"/>
      <c r="GC15" s="366"/>
      <c r="GD15" s="366"/>
      <c r="GE15" s="366"/>
      <c r="GF15" s="366"/>
      <c r="GG15" s="366"/>
      <c r="GH15" s="366"/>
      <c r="GI15" s="366"/>
      <c r="GJ15" s="366"/>
      <c r="GK15" s="366"/>
      <c r="GL15" s="366"/>
      <c r="GM15" s="366"/>
      <c r="GN15" s="366"/>
      <c r="GO15" s="366"/>
      <c r="GP15" s="366"/>
      <c r="GQ15" s="366"/>
      <c r="GR15" s="366"/>
      <c r="GS15" s="366"/>
      <c r="GT15" s="366"/>
      <c r="GU15" s="366"/>
      <c r="GV15" s="366"/>
      <c r="GW15" s="366"/>
      <c r="GX15" s="366"/>
      <c r="GY15" s="366"/>
      <c r="GZ15" s="366"/>
      <c r="HA15" s="366"/>
      <c r="HB15" s="366"/>
      <c r="HC15" s="366"/>
      <c r="HD15" s="366"/>
      <c r="HE15" s="366"/>
      <c r="HF15" s="366"/>
      <c r="HG15" s="366"/>
      <c r="HH15" s="366"/>
      <c r="HI15" s="366"/>
      <c r="HJ15" s="366"/>
      <c r="HK15" s="366"/>
      <c r="HL15" s="366"/>
      <c r="HM15" s="366"/>
      <c r="HN15" s="366"/>
      <c r="HO15" s="366"/>
      <c r="HP15" s="366"/>
      <c r="HQ15" s="366"/>
      <c r="HR15" s="366"/>
      <c r="HS15" s="366"/>
      <c r="HT15" s="366"/>
      <c r="HU15" s="366"/>
      <c r="HV15" s="366"/>
      <c r="HW15" s="366"/>
      <c r="HX15" s="366"/>
      <c r="HY15" s="366"/>
      <c r="HZ15" s="366"/>
      <c r="IA15" s="366"/>
      <c r="IB15" s="366"/>
      <c r="IC15" s="366"/>
      <c r="ID15" s="366"/>
      <c r="IE15" s="366"/>
      <c r="IF15" s="366"/>
      <c r="IG15" s="366"/>
      <c r="IH15" s="366"/>
      <c r="II15" s="366"/>
      <c r="IJ15" s="366"/>
      <c r="IK15" s="366"/>
      <c r="IL15" s="366"/>
      <c r="IM15" s="366"/>
      <c r="IN15" s="366"/>
      <c r="IO15" s="366"/>
      <c r="IP15" s="366"/>
      <c r="IQ15" s="366"/>
      <c r="IR15" s="366"/>
      <c r="IS15" s="366"/>
      <c r="IT15" s="366"/>
      <c r="IU15" s="366"/>
      <c r="IV15" s="366"/>
      <c r="IW15" s="366"/>
      <c r="IX15" s="366"/>
      <c r="IY15" s="366"/>
      <c r="IZ15" s="366"/>
      <c r="JA15" s="366"/>
      <c r="JB15" s="366"/>
      <c r="JC15" s="366"/>
      <c r="JD15" s="366"/>
      <c r="JE15" s="366"/>
      <c r="JF15" s="366"/>
      <c r="JG15" s="366"/>
      <c r="JH15" s="366"/>
      <c r="JI15" s="366"/>
      <c r="JJ15" s="366"/>
      <c r="JK15" s="366"/>
      <c r="JL15" s="366"/>
      <c r="JM15" s="366"/>
      <c r="JN15" s="366"/>
      <c r="JO15" s="366"/>
      <c r="JP15" s="366"/>
      <c r="JQ15" s="366"/>
      <c r="JR15" s="366"/>
      <c r="JS15" s="366"/>
      <c r="JT15" s="366"/>
      <c r="JU15" s="366"/>
      <c r="JV15" s="366"/>
      <c r="JW15" s="366"/>
      <c r="JX15" s="366"/>
      <c r="JY15" s="366"/>
      <c r="JZ15" s="366"/>
      <c r="KA15" s="366"/>
      <c r="KB15" s="366"/>
      <c r="KC15" s="366"/>
      <c r="KD15" s="366"/>
      <c r="KE15" s="366"/>
      <c r="KF15" s="366"/>
      <c r="KG15" s="366"/>
      <c r="KH15" s="366"/>
      <c r="KI15" s="366"/>
      <c r="KJ15" s="366"/>
      <c r="KK15" s="366"/>
      <c r="KL15" s="366"/>
      <c r="KM15" s="366"/>
      <c r="KN15" s="366"/>
      <c r="KO15" s="366"/>
      <c r="KP15" s="366"/>
      <c r="KQ15" s="366"/>
      <c r="KR15" s="366"/>
      <c r="KS15" s="366"/>
      <c r="KT15" s="366"/>
      <c r="KU15" s="366"/>
      <c r="KV15" s="366"/>
      <c r="KW15" s="366"/>
      <c r="KX15" s="366"/>
      <c r="KY15" s="366"/>
      <c r="KZ15" s="366"/>
      <c r="LA15" s="366"/>
      <c r="LB15" s="366"/>
      <c r="LC15" s="366"/>
      <c r="LD15" s="366"/>
      <c r="LE15" s="366"/>
      <c r="LF15" s="366"/>
      <c r="LG15" s="366"/>
      <c r="LH15" s="366"/>
      <c r="LI15" s="366"/>
      <c r="LJ15" s="366"/>
      <c r="LK15" s="366"/>
      <c r="LL15" s="366"/>
      <c r="LM15" s="366"/>
      <c r="LN15" s="366"/>
      <c r="LO15" s="366"/>
      <c r="LP15" s="366"/>
      <c r="LQ15" s="366"/>
      <c r="LR15" s="366"/>
      <c r="LS15" s="366"/>
      <c r="LT15" s="366"/>
      <c r="LU15" s="366"/>
      <c r="LV15" s="366"/>
      <c r="LW15" s="366"/>
      <c r="LX15" s="366"/>
      <c r="LY15" s="366"/>
      <c r="LZ15" s="366"/>
      <c r="MA15" s="366"/>
      <c r="MB15" s="366"/>
      <c r="MC15" s="366"/>
      <c r="MD15" s="366"/>
      <c r="ME15" s="366"/>
      <c r="MF15" s="366"/>
      <c r="MG15" s="366"/>
      <c r="MH15" s="366"/>
      <c r="MI15" s="366"/>
      <c r="MJ15" s="366"/>
      <c r="MK15" s="366"/>
      <c r="ML15" s="366"/>
      <c r="MM15" s="366"/>
      <c r="MN15" s="366"/>
      <c r="MO15" s="366"/>
      <c r="MP15" s="366"/>
      <c r="MQ15" s="366"/>
      <c r="MR15" s="366"/>
      <c r="MS15" s="366"/>
      <c r="MT15" s="366"/>
      <c r="MU15" s="366"/>
      <c r="MV15" s="366"/>
      <c r="MW15" s="366"/>
      <c r="MX15" s="366"/>
      <c r="MY15" s="366"/>
      <c r="MZ15" s="366"/>
      <c r="NA15" s="366"/>
      <c r="NB15" s="366"/>
      <c r="NC15" s="366"/>
      <c r="ND15" s="176">
        <f t="shared" si="0"/>
        <v>0</v>
      </c>
    </row>
    <row r="16" spans="1:368" s="361" customFormat="1" ht="13.5" customHeight="1">
      <c r="A16" s="404"/>
      <c r="B16" s="349" t="s">
        <v>143</v>
      </c>
      <c r="C16" s="367"/>
      <c r="D16" s="367"/>
      <c r="E16" s="367"/>
      <c r="F16" s="367"/>
      <c r="G16" s="367"/>
      <c r="H16" s="367"/>
      <c r="I16" s="367"/>
      <c r="J16" s="367"/>
      <c r="K16" s="367"/>
      <c r="L16" s="367"/>
      <c r="M16" s="367"/>
      <c r="N16" s="367"/>
      <c r="O16" s="367"/>
      <c r="P16" s="367"/>
      <c r="Q16" s="367"/>
      <c r="R16" s="367"/>
      <c r="S16" s="367"/>
      <c r="T16" s="367"/>
      <c r="U16" s="367"/>
      <c r="V16" s="367"/>
      <c r="W16" s="367"/>
      <c r="X16" s="367"/>
      <c r="Y16" s="367"/>
      <c r="Z16" s="367"/>
      <c r="AA16" s="367"/>
      <c r="AB16" s="367"/>
      <c r="AC16" s="367"/>
      <c r="AD16" s="367"/>
      <c r="AE16" s="367"/>
      <c r="AF16" s="367"/>
      <c r="AG16" s="367"/>
      <c r="AH16" s="367"/>
      <c r="AI16" s="367"/>
      <c r="AJ16" s="367"/>
      <c r="AK16" s="367"/>
      <c r="AL16" s="367"/>
      <c r="AM16" s="367"/>
      <c r="AN16" s="367"/>
      <c r="AO16" s="367"/>
      <c r="AP16" s="367"/>
      <c r="AQ16" s="367"/>
      <c r="AR16" s="367"/>
      <c r="AS16" s="367"/>
      <c r="AT16" s="367"/>
      <c r="AU16" s="367"/>
      <c r="AV16" s="367"/>
      <c r="AW16" s="367"/>
      <c r="AX16" s="367"/>
      <c r="AY16" s="367"/>
      <c r="AZ16" s="367"/>
      <c r="BA16" s="367"/>
      <c r="BB16" s="367"/>
      <c r="BC16" s="367"/>
      <c r="BD16" s="367"/>
      <c r="BE16" s="367"/>
      <c r="BF16" s="367"/>
      <c r="BG16" s="367"/>
      <c r="BH16" s="367"/>
      <c r="BI16" s="367"/>
      <c r="BJ16" s="367"/>
      <c r="BK16" s="367"/>
      <c r="BL16" s="367"/>
      <c r="BM16" s="367"/>
      <c r="BN16" s="367"/>
      <c r="BO16" s="367"/>
      <c r="BP16" s="367"/>
      <c r="BQ16" s="367"/>
      <c r="BR16" s="367"/>
      <c r="BS16" s="367"/>
      <c r="BT16" s="367"/>
      <c r="BU16" s="367"/>
      <c r="BV16" s="367"/>
      <c r="BW16" s="367"/>
      <c r="BX16" s="367"/>
      <c r="BY16" s="367"/>
      <c r="BZ16" s="367"/>
      <c r="CA16" s="367"/>
      <c r="CB16" s="367"/>
      <c r="CC16" s="367"/>
      <c r="CD16" s="367"/>
      <c r="CE16" s="367"/>
      <c r="CF16" s="367"/>
      <c r="CG16" s="367"/>
      <c r="CH16" s="367"/>
      <c r="CI16" s="367"/>
      <c r="CJ16" s="367"/>
      <c r="CK16" s="367"/>
      <c r="CL16" s="367"/>
      <c r="CM16" s="367"/>
      <c r="CN16" s="367"/>
      <c r="CO16" s="367"/>
      <c r="CP16" s="367"/>
      <c r="CQ16" s="367"/>
      <c r="CR16" s="367"/>
      <c r="CS16" s="367"/>
      <c r="CT16" s="367"/>
      <c r="CU16" s="367"/>
      <c r="CV16" s="367"/>
      <c r="CW16" s="367"/>
      <c r="CX16" s="367"/>
      <c r="CY16" s="367"/>
      <c r="CZ16" s="367"/>
      <c r="DA16" s="367"/>
      <c r="DB16" s="367"/>
      <c r="DC16" s="367"/>
      <c r="DD16" s="367"/>
      <c r="DE16" s="367"/>
      <c r="DF16" s="367"/>
      <c r="DG16" s="367"/>
      <c r="DH16" s="367"/>
      <c r="DI16" s="367"/>
      <c r="DJ16" s="367"/>
      <c r="DK16" s="367"/>
      <c r="DL16" s="367"/>
      <c r="DM16" s="367"/>
      <c r="DN16" s="367"/>
      <c r="DO16" s="367"/>
      <c r="DP16" s="367"/>
      <c r="DQ16" s="367"/>
      <c r="DR16" s="367"/>
      <c r="DS16" s="367"/>
      <c r="DT16" s="367"/>
      <c r="DU16" s="367"/>
      <c r="DV16" s="367"/>
      <c r="DW16" s="367"/>
      <c r="DX16" s="367"/>
      <c r="DY16" s="367"/>
      <c r="DZ16" s="367"/>
      <c r="EA16" s="367"/>
      <c r="EB16" s="367"/>
      <c r="EC16" s="367"/>
      <c r="ED16" s="367"/>
      <c r="EE16" s="367"/>
      <c r="EF16" s="367"/>
      <c r="EG16" s="367"/>
      <c r="EH16" s="367"/>
      <c r="EI16" s="367"/>
      <c r="EJ16" s="367"/>
      <c r="EK16" s="367"/>
      <c r="EL16" s="367"/>
      <c r="EM16" s="367"/>
      <c r="EN16" s="367"/>
      <c r="EO16" s="367"/>
      <c r="EP16" s="367"/>
      <c r="EQ16" s="367"/>
      <c r="ER16" s="367"/>
      <c r="ES16" s="367"/>
      <c r="ET16" s="367"/>
      <c r="EU16" s="367"/>
      <c r="EV16" s="367"/>
      <c r="EW16" s="367"/>
      <c r="EX16" s="367"/>
      <c r="EY16" s="367"/>
      <c r="EZ16" s="367"/>
      <c r="FA16" s="367"/>
      <c r="FB16" s="367"/>
      <c r="FC16" s="367"/>
      <c r="FD16" s="367"/>
      <c r="FE16" s="367"/>
      <c r="FF16" s="367"/>
      <c r="FG16" s="367"/>
      <c r="FH16" s="367"/>
      <c r="FI16" s="367"/>
      <c r="FJ16" s="367"/>
      <c r="FK16" s="367"/>
      <c r="FL16" s="367"/>
      <c r="FM16" s="367"/>
      <c r="FN16" s="367"/>
      <c r="FO16" s="367"/>
      <c r="FP16" s="367"/>
      <c r="FQ16" s="367"/>
      <c r="FR16" s="367"/>
      <c r="FS16" s="367"/>
      <c r="FT16" s="367"/>
      <c r="FU16" s="367"/>
      <c r="FV16" s="367"/>
      <c r="FW16" s="367"/>
      <c r="FX16" s="367"/>
      <c r="FY16" s="367"/>
      <c r="FZ16" s="367"/>
      <c r="GA16" s="367"/>
      <c r="GB16" s="367"/>
      <c r="GC16" s="367"/>
      <c r="GD16" s="367"/>
      <c r="GE16" s="367"/>
      <c r="GF16" s="367"/>
      <c r="GG16" s="367"/>
      <c r="GH16" s="367"/>
      <c r="GI16" s="367"/>
      <c r="GJ16" s="367"/>
      <c r="GK16" s="367"/>
      <c r="GL16" s="367"/>
      <c r="GM16" s="367"/>
      <c r="GN16" s="367"/>
      <c r="GO16" s="367"/>
      <c r="GP16" s="367"/>
      <c r="GQ16" s="367"/>
      <c r="GR16" s="367"/>
      <c r="GS16" s="367"/>
      <c r="GT16" s="367"/>
      <c r="GU16" s="367"/>
      <c r="GV16" s="367"/>
      <c r="GW16" s="367"/>
      <c r="GX16" s="367"/>
      <c r="GY16" s="367"/>
      <c r="GZ16" s="367"/>
      <c r="HA16" s="367"/>
      <c r="HB16" s="367"/>
      <c r="HC16" s="367"/>
      <c r="HD16" s="367"/>
      <c r="HE16" s="367"/>
      <c r="HF16" s="367"/>
      <c r="HG16" s="367"/>
      <c r="HH16" s="367"/>
      <c r="HI16" s="367"/>
      <c r="HJ16" s="367"/>
      <c r="HK16" s="367"/>
      <c r="HL16" s="367"/>
      <c r="HM16" s="367"/>
      <c r="HN16" s="367"/>
      <c r="HO16" s="367"/>
      <c r="HP16" s="367"/>
      <c r="HQ16" s="367"/>
      <c r="HR16" s="367"/>
      <c r="HS16" s="367"/>
      <c r="HT16" s="367"/>
      <c r="HU16" s="367"/>
      <c r="HV16" s="367"/>
      <c r="HW16" s="367"/>
      <c r="HX16" s="367"/>
      <c r="HY16" s="367"/>
      <c r="HZ16" s="367"/>
      <c r="IA16" s="367"/>
      <c r="IB16" s="367"/>
      <c r="IC16" s="367"/>
      <c r="ID16" s="367"/>
      <c r="IE16" s="367"/>
      <c r="IF16" s="367"/>
      <c r="IG16" s="367"/>
      <c r="IH16" s="367"/>
      <c r="II16" s="367"/>
      <c r="IJ16" s="367"/>
      <c r="IK16" s="367"/>
      <c r="IL16" s="367"/>
      <c r="IM16" s="367"/>
      <c r="IN16" s="367"/>
      <c r="IO16" s="367"/>
      <c r="IP16" s="367"/>
      <c r="IQ16" s="367"/>
      <c r="IR16" s="367"/>
      <c r="IS16" s="367"/>
      <c r="IT16" s="367"/>
      <c r="IU16" s="367"/>
      <c r="IV16" s="367"/>
      <c r="IW16" s="367"/>
      <c r="IX16" s="367"/>
      <c r="IY16" s="367"/>
      <c r="IZ16" s="367"/>
      <c r="JA16" s="367"/>
      <c r="JB16" s="367"/>
      <c r="JC16" s="367"/>
      <c r="JD16" s="367"/>
      <c r="JE16" s="367"/>
      <c r="JF16" s="367"/>
      <c r="JG16" s="367"/>
      <c r="JH16" s="367"/>
      <c r="JI16" s="367"/>
      <c r="JJ16" s="367"/>
      <c r="JK16" s="367"/>
      <c r="JL16" s="367"/>
      <c r="JM16" s="367"/>
      <c r="JN16" s="367"/>
      <c r="JO16" s="367"/>
      <c r="JP16" s="367"/>
      <c r="JQ16" s="367"/>
      <c r="JR16" s="367"/>
      <c r="JS16" s="367"/>
      <c r="JT16" s="367"/>
      <c r="JU16" s="367"/>
      <c r="JV16" s="367"/>
      <c r="JW16" s="367"/>
      <c r="JX16" s="367"/>
      <c r="JY16" s="367"/>
      <c r="JZ16" s="367"/>
      <c r="KA16" s="367"/>
      <c r="KB16" s="367"/>
      <c r="KC16" s="367"/>
      <c r="KD16" s="367"/>
      <c r="KE16" s="367"/>
      <c r="KF16" s="367"/>
      <c r="KG16" s="367"/>
      <c r="KH16" s="367"/>
      <c r="KI16" s="367"/>
      <c r="KJ16" s="367"/>
      <c r="KK16" s="367"/>
      <c r="KL16" s="367"/>
      <c r="KM16" s="367"/>
      <c r="KN16" s="367"/>
      <c r="KO16" s="367"/>
      <c r="KP16" s="367"/>
      <c r="KQ16" s="367"/>
      <c r="KR16" s="367"/>
      <c r="KS16" s="367"/>
      <c r="KT16" s="367"/>
      <c r="KU16" s="367"/>
      <c r="KV16" s="367"/>
      <c r="KW16" s="367"/>
      <c r="KX16" s="367"/>
      <c r="KY16" s="367"/>
      <c r="KZ16" s="367"/>
      <c r="LA16" s="367"/>
      <c r="LB16" s="367"/>
      <c r="LC16" s="367"/>
      <c r="LD16" s="367"/>
      <c r="LE16" s="367"/>
      <c r="LF16" s="367"/>
      <c r="LG16" s="367"/>
      <c r="LH16" s="367"/>
      <c r="LI16" s="367"/>
      <c r="LJ16" s="367"/>
      <c r="LK16" s="367"/>
      <c r="LL16" s="367"/>
      <c r="LM16" s="367"/>
      <c r="LN16" s="367"/>
      <c r="LO16" s="367"/>
      <c r="LP16" s="367"/>
      <c r="LQ16" s="367"/>
      <c r="LR16" s="367"/>
      <c r="LS16" s="367"/>
      <c r="LT16" s="367"/>
      <c r="LU16" s="367"/>
      <c r="LV16" s="367"/>
      <c r="LW16" s="367"/>
      <c r="LX16" s="367"/>
      <c r="LY16" s="367"/>
      <c r="LZ16" s="367"/>
      <c r="MA16" s="367"/>
      <c r="MB16" s="367"/>
      <c r="MC16" s="367"/>
      <c r="MD16" s="367"/>
      <c r="ME16" s="367"/>
      <c r="MF16" s="367"/>
      <c r="MG16" s="367"/>
      <c r="MH16" s="367"/>
      <c r="MI16" s="367"/>
      <c r="MJ16" s="367"/>
      <c r="MK16" s="367"/>
      <c r="ML16" s="367"/>
      <c r="MM16" s="367"/>
      <c r="MN16" s="367"/>
      <c r="MO16" s="367"/>
      <c r="MP16" s="367"/>
      <c r="MQ16" s="367"/>
      <c r="MR16" s="367"/>
      <c r="MS16" s="367"/>
      <c r="MT16" s="367"/>
      <c r="MU16" s="367"/>
      <c r="MV16" s="367"/>
      <c r="MW16" s="367"/>
      <c r="MX16" s="367"/>
      <c r="MY16" s="367"/>
      <c r="MZ16" s="367"/>
      <c r="NA16" s="367"/>
      <c r="NB16" s="367"/>
      <c r="NC16" s="367"/>
      <c r="ND16" s="176">
        <f t="shared" si="0"/>
        <v>0</v>
      </c>
    </row>
    <row r="17" spans="1:368" s="361" customFormat="1" ht="13.5" customHeight="1" thickBot="1">
      <c r="A17" s="405"/>
      <c r="B17" s="350" t="s">
        <v>21</v>
      </c>
      <c r="C17" s="368"/>
      <c r="D17" s="368"/>
      <c r="E17" s="368"/>
      <c r="F17" s="368"/>
      <c r="G17" s="368"/>
      <c r="H17" s="368"/>
      <c r="I17" s="368"/>
      <c r="J17" s="368"/>
      <c r="K17" s="368"/>
      <c r="L17" s="368"/>
      <c r="M17" s="368"/>
      <c r="N17" s="368"/>
      <c r="O17" s="368"/>
      <c r="P17" s="368"/>
      <c r="Q17" s="368"/>
      <c r="R17" s="368"/>
      <c r="S17" s="368"/>
      <c r="T17" s="368"/>
      <c r="U17" s="368"/>
      <c r="V17" s="368"/>
      <c r="W17" s="368"/>
      <c r="X17" s="368"/>
      <c r="Y17" s="368"/>
      <c r="Z17" s="368"/>
      <c r="AA17" s="368"/>
      <c r="AB17" s="368"/>
      <c r="AC17" s="368"/>
      <c r="AD17" s="368"/>
      <c r="AE17" s="368"/>
      <c r="AF17" s="368"/>
      <c r="AG17" s="368"/>
      <c r="AH17" s="368"/>
      <c r="AI17" s="368"/>
      <c r="AJ17" s="368"/>
      <c r="AK17" s="368"/>
      <c r="AL17" s="368"/>
      <c r="AM17" s="368"/>
      <c r="AN17" s="368"/>
      <c r="AO17" s="368"/>
      <c r="AP17" s="368"/>
      <c r="AQ17" s="368"/>
      <c r="AR17" s="368"/>
      <c r="AS17" s="368"/>
      <c r="AT17" s="368"/>
      <c r="AU17" s="368"/>
      <c r="AV17" s="368"/>
      <c r="AW17" s="368"/>
      <c r="AX17" s="368"/>
      <c r="AY17" s="368"/>
      <c r="AZ17" s="368"/>
      <c r="BA17" s="368"/>
      <c r="BB17" s="368"/>
      <c r="BC17" s="368"/>
      <c r="BD17" s="368"/>
      <c r="BE17" s="368"/>
      <c r="BF17" s="368"/>
      <c r="BG17" s="368"/>
      <c r="BH17" s="368"/>
      <c r="BI17" s="368"/>
      <c r="BJ17" s="368"/>
      <c r="BK17" s="368"/>
      <c r="BL17" s="368"/>
      <c r="BM17" s="368"/>
      <c r="BN17" s="368"/>
      <c r="BO17" s="368"/>
      <c r="BP17" s="368"/>
      <c r="BQ17" s="368"/>
      <c r="BR17" s="368"/>
      <c r="BS17" s="368"/>
      <c r="BT17" s="368"/>
      <c r="BU17" s="368"/>
      <c r="BV17" s="368"/>
      <c r="BW17" s="368"/>
      <c r="BX17" s="368"/>
      <c r="BY17" s="368"/>
      <c r="BZ17" s="368"/>
      <c r="CA17" s="368"/>
      <c r="CB17" s="368"/>
      <c r="CC17" s="368"/>
      <c r="CD17" s="368"/>
      <c r="CE17" s="368"/>
      <c r="CF17" s="368"/>
      <c r="CG17" s="368"/>
      <c r="CH17" s="368"/>
      <c r="CI17" s="368"/>
      <c r="CJ17" s="368"/>
      <c r="CK17" s="368"/>
      <c r="CL17" s="368"/>
      <c r="CM17" s="368"/>
      <c r="CN17" s="368"/>
      <c r="CO17" s="368"/>
      <c r="CP17" s="368"/>
      <c r="CQ17" s="368"/>
      <c r="CR17" s="368"/>
      <c r="CS17" s="368"/>
      <c r="CT17" s="368"/>
      <c r="CU17" s="368"/>
      <c r="CV17" s="368"/>
      <c r="CW17" s="368"/>
      <c r="CX17" s="368"/>
      <c r="CY17" s="368"/>
      <c r="CZ17" s="368"/>
      <c r="DA17" s="368"/>
      <c r="DB17" s="368"/>
      <c r="DC17" s="368"/>
      <c r="DD17" s="368"/>
      <c r="DE17" s="368"/>
      <c r="DF17" s="368"/>
      <c r="DG17" s="368"/>
      <c r="DH17" s="368"/>
      <c r="DI17" s="368"/>
      <c r="DJ17" s="368"/>
      <c r="DK17" s="368"/>
      <c r="DL17" s="368"/>
      <c r="DM17" s="368"/>
      <c r="DN17" s="368"/>
      <c r="DO17" s="368"/>
      <c r="DP17" s="368"/>
      <c r="DQ17" s="368"/>
      <c r="DR17" s="368"/>
      <c r="DS17" s="368"/>
      <c r="DT17" s="368"/>
      <c r="DU17" s="368"/>
      <c r="DV17" s="368"/>
      <c r="DW17" s="368"/>
      <c r="DX17" s="368"/>
      <c r="DY17" s="368"/>
      <c r="DZ17" s="368"/>
      <c r="EA17" s="368"/>
      <c r="EB17" s="368"/>
      <c r="EC17" s="368"/>
      <c r="ED17" s="368"/>
      <c r="EE17" s="368"/>
      <c r="EF17" s="368"/>
      <c r="EG17" s="368"/>
      <c r="EH17" s="368"/>
      <c r="EI17" s="368"/>
      <c r="EJ17" s="368"/>
      <c r="EK17" s="368"/>
      <c r="EL17" s="368"/>
      <c r="EM17" s="368"/>
      <c r="EN17" s="368"/>
      <c r="EO17" s="368"/>
      <c r="EP17" s="368"/>
      <c r="EQ17" s="368"/>
      <c r="ER17" s="368"/>
      <c r="ES17" s="368"/>
      <c r="ET17" s="368"/>
      <c r="EU17" s="368"/>
      <c r="EV17" s="368"/>
      <c r="EW17" s="368"/>
      <c r="EX17" s="368"/>
      <c r="EY17" s="368"/>
      <c r="EZ17" s="368"/>
      <c r="FA17" s="368"/>
      <c r="FB17" s="368"/>
      <c r="FC17" s="368"/>
      <c r="FD17" s="368"/>
      <c r="FE17" s="368"/>
      <c r="FF17" s="368"/>
      <c r="FG17" s="368"/>
      <c r="FH17" s="368"/>
      <c r="FI17" s="368"/>
      <c r="FJ17" s="368"/>
      <c r="FK17" s="368"/>
      <c r="FL17" s="368"/>
      <c r="FM17" s="368"/>
      <c r="FN17" s="368"/>
      <c r="FO17" s="368"/>
      <c r="FP17" s="368"/>
      <c r="FQ17" s="368"/>
      <c r="FR17" s="368"/>
      <c r="FS17" s="368"/>
      <c r="FT17" s="368"/>
      <c r="FU17" s="368"/>
      <c r="FV17" s="368"/>
      <c r="FW17" s="368"/>
      <c r="FX17" s="368"/>
      <c r="FY17" s="368"/>
      <c r="FZ17" s="368"/>
      <c r="GA17" s="368"/>
      <c r="GB17" s="368"/>
      <c r="GC17" s="368"/>
      <c r="GD17" s="368"/>
      <c r="GE17" s="368"/>
      <c r="GF17" s="368"/>
      <c r="GG17" s="368"/>
      <c r="GH17" s="368"/>
      <c r="GI17" s="368"/>
      <c r="GJ17" s="368"/>
      <c r="GK17" s="368"/>
      <c r="GL17" s="368"/>
      <c r="GM17" s="368"/>
      <c r="GN17" s="368"/>
      <c r="GO17" s="368"/>
      <c r="GP17" s="368"/>
      <c r="GQ17" s="368"/>
      <c r="GR17" s="368"/>
      <c r="GS17" s="368"/>
      <c r="GT17" s="368"/>
      <c r="GU17" s="368"/>
      <c r="GV17" s="368"/>
      <c r="GW17" s="368"/>
      <c r="GX17" s="368"/>
      <c r="GY17" s="368"/>
      <c r="GZ17" s="368"/>
      <c r="HA17" s="368"/>
      <c r="HB17" s="368"/>
      <c r="HC17" s="368"/>
      <c r="HD17" s="368"/>
      <c r="HE17" s="368"/>
      <c r="HF17" s="368"/>
      <c r="HG17" s="368"/>
      <c r="HH17" s="368"/>
      <c r="HI17" s="368"/>
      <c r="HJ17" s="368"/>
      <c r="HK17" s="368"/>
      <c r="HL17" s="368"/>
      <c r="HM17" s="368"/>
      <c r="HN17" s="368"/>
      <c r="HO17" s="368"/>
      <c r="HP17" s="368"/>
      <c r="HQ17" s="368"/>
      <c r="HR17" s="368"/>
      <c r="HS17" s="368"/>
      <c r="HT17" s="368"/>
      <c r="HU17" s="368"/>
      <c r="HV17" s="368"/>
      <c r="HW17" s="368"/>
      <c r="HX17" s="368"/>
      <c r="HY17" s="368"/>
      <c r="HZ17" s="368"/>
      <c r="IA17" s="368"/>
      <c r="IB17" s="368"/>
      <c r="IC17" s="368"/>
      <c r="ID17" s="368"/>
      <c r="IE17" s="368"/>
      <c r="IF17" s="368"/>
      <c r="IG17" s="368"/>
      <c r="IH17" s="368"/>
      <c r="II17" s="368"/>
      <c r="IJ17" s="368"/>
      <c r="IK17" s="368"/>
      <c r="IL17" s="368"/>
      <c r="IM17" s="368"/>
      <c r="IN17" s="368"/>
      <c r="IO17" s="368"/>
      <c r="IP17" s="368"/>
      <c r="IQ17" s="368"/>
      <c r="IR17" s="368"/>
      <c r="IS17" s="368"/>
      <c r="IT17" s="368"/>
      <c r="IU17" s="368"/>
      <c r="IV17" s="368"/>
      <c r="IW17" s="368"/>
      <c r="IX17" s="368"/>
      <c r="IY17" s="368"/>
      <c r="IZ17" s="368"/>
      <c r="JA17" s="368"/>
      <c r="JB17" s="368"/>
      <c r="JC17" s="368"/>
      <c r="JD17" s="368"/>
      <c r="JE17" s="368"/>
      <c r="JF17" s="368"/>
      <c r="JG17" s="368"/>
      <c r="JH17" s="368"/>
      <c r="JI17" s="368"/>
      <c r="JJ17" s="368"/>
      <c r="JK17" s="368"/>
      <c r="JL17" s="368"/>
      <c r="JM17" s="368"/>
      <c r="JN17" s="368"/>
      <c r="JO17" s="368"/>
      <c r="JP17" s="368"/>
      <c r="JQ17" s="368"/>
      <c r="JR17" s="368"/>
      <c r="JS17" s="368"/>
      <c r="JT17" s="368"/>
      <c r="JU17" s="368"/>
      <c r="JV17" s="368"/>
      <c r="JW17" s="368"/>
      <c r="JX17" s="368"/>
      <c r="JY17" s="368"/>
      <c r="JZ17" s="368"/>
      <c r="KA17" s="368"/>
      <c r="KB17" s="368"/>
      <c r="KC17" s="368"/>
      <c r="KD17" s="368"/>
      <c r="KE17" s="368"/>
      <c r="KF17" s="368"/>
      <c r="KG17" s="368"/>
      <c r="KH17" s="368"/>
      <c r="KI17" s="368"/>
      <c r="KJ17" s="368"/>
      <c r="KK17" s="368"/>
      <c r="KL17" s="368"/>
      <c r="KM17" s="368"/>
      <c r="KN17" s="368"/>
      <c r="KO17" s="368"/>
      <c r="KP17" s="368"/>
      <c r="KQ17" s="368"/>
      <c r="KR17" s="368"/>
      <c r="KS17" s="368"/>
      <c r="KT17" s="368"/>
      <c r="KU17" s="368"/>
      <c r="KV17" s="368"/>
      <c r="KW17" s="368"/>
      <c r="KX17" s="368"/>
      <c r="KY17" s="368"/>
      <c r="KZ17" s="368"/>
      <c r="LA17" s="368"/>
      <c r="LB17" s="368"/>
      <c r="LC17" s="368"/>
      <c r="LD17" s="368"/>
      <c r="LE17" s="368"/>
      <c r="LF17" s="368"/>
      <c r="LG17" s="368"/>
      <c r="LH17" s="368"/>
      <c r="LI17" s="368"/>
      <c r="LJ17" s="368"/>
      <c r="LK17" s="368"/>
      <c r="LL17" s="368"/>
      <c r="LM17" s="368"/>
      <c r="LN17" s="368"/>
      <c r="LO17" s="368"/>
      <c r="LP17" s="368"/>
      <c r="LQ17" s="368"/>
      <c r="LR17" s="368"/>
      <c r="LS17" s="368"/>
      <c r="LT17" s="368"/>
      <c r="LU17" s="368"/>
      <c r="LV17" s="368"/>
      <c r="LW17" s="368"/>
      <c r="LX17" s="368"/>
      <c r="LY17" s="368"/>
      <c r="LZ17" s="368"/>
      <c r="MA17" s="368"/>
      <c r="MB17" s="368"/>
      <c r="MC17" s="368"/>
      <c r="MD17" s="368"/>
      <c r="ME17" s="368"/>
      <c r="MF17" s="368"/>
      <c r="MG17" s="368"/>
      <c r="MH17" s="368"/>
      <c r="MI17" s="368"/>
      <c r="MJ17" s="368"/>
      <c r="MK17" s="368"/>
      <c r="ML17" s="368"/>
      <c r="MM17" s="368"/>
      <c r="MN17" s="368"/>
      <c r="MO17" s="368"/>
      <c r="MP17" s="368"/>
      <c r="MQ17" s="368"/>
      <c r="MR17" s="368"/>
      <c r="MS17" s="368"/>
      <c r="MT17" s="368"/>
      <c r="MU17" s="368"/>
      <c r="MV17" s="368"/>
      <c r="MW17" s="368"/>
      <c r="MX17" s="368"/>
      <c r="MY17" s="368"/>
      <c r="MZ17" s="368"/>
      <c r="NA17" s="368"/>
      <c r="NB17" s="368"/>
      <c r="NC17" s="368"/>
      <c r="ND17" s="176">
        <f t="shared" si="0"/>
        <v>0</v>
      </c>
    </row>
    <row r="18" spans="1:368" s="361" customFormat="1" ht="13.5" customHeight="1" thickTop="1">
      <c r="A18" s="406" t="s">
        <v>68</v>
      </c>
      <c r="B18" s="351" t="s">
        <v>144</v>
      </c>
      <c r="C18" s="369"/>
      <c r="D18" s="369"/>
      <c r="E18" s="369"/>
      <c r="F18" s="369"/>
      <c r="G18" s="369"/>
      <c r="H18" s="369"/>
      <c r="I18" s="369"/>
      <c r="J18" s="369"/>
      <c r="K18" s="369"/>
      <c r="L18" s="369"/>
      <c r="M18" s="369"/>
      <c r="N18" s="369"/>
      <c r="O18" s="369"/>
      <c r="P18" s="369"/>
      <c r="Q18" s="369"/>
      <c r="R18" s="369"/>
      <c r="S18" s="369"/>
      <c r="T18" s="369"/>
      <c r="U18" s="369"/>
      <c r="V18" s="369"/>
      <c r="W18" s="369"/>
      <c r="X18" s="369"/>
      <c r="Y18" s="369"/>
      <c r="Z18" s="369"/>
      <c r="AA18" s="369"/>
      <c r="AB18" s="369"/>
      <c r="AC18" s="369"/>
      <c r="AD18" s="369"/>
      <c r="AE18" s="369"/>
      <c r="AF18" s="369"/>
      <c r="AG18" s="369"/>
      <c r="AH18" s="369"/>
      <c r="AI18" s="369"/>
      <c r="AJ18" s="369"/>
      <c r="AK18" s="369"/>
      <c r="AL18" s="369"/>
      <c r="AM18" s="369"/>
      <c r="AN18" s="369"/>
      <c r="AO18" s="369"/>
      <c r="AP18" s="369"/>
      <c r="AQ18" s="369"/>
      <c r="AR18" s="369"/>
      <c r="AS18" s="369"/>
      <c r="AT18" s="369"/>
      <c r="AU18" s="369"/>
      <c r="AV18" s="369"/>
      <c r="AW18" s="369"/>
      <c r="AX18" s="369"/>
      <c r="AY18" s="369"/>
      <c r="AZ18" s="369"/>
      <c r="BA18" s="369"/>
      <c r="BB18" s="369"/>
      <c r="BC18" s="369"/>
      <c r="BD18" s="369"/>
      <c r="BE18" s="369"/>
      <c r="BF18" s="369"/>
      <c r="BG18" s="369"/>
      <c r="BH18" s="369"/>
      <c r="BI18" s="369"/>
      <c r="BJ18" s="369"/>
      <c r="BK18" s="369"/>
      <c r="BL18" s="369"/>
      <c r="BM18" s="369"/>
      <c r="BN18" s="369"/>
      <c r="BO18" s="369"/>
      <c r="BP18" s="369"/>
      <c r="BQ18" s="369"/>
      <c r="BR18" s="369"/>
      <c r="BS18" s="369"/>
      <c r="BT18" s="369"/>
      <c r="BU18" s="369"/>
      <c r="BV18" s="369"/>
      <c r="BW18" s="369"/>
      <c r="BX18" s="369"/>
      <c r="BY18" s="369"/>
      <c r="BZ18" s="369"/>
      <c r="CA18" s="369"/>
      <c r="CB18" s="369"/>
      <c r="CC18" s="369"/>
      <c r="CD18" s="369"/>
      <c r="CE18" s="369"/>
      <c r="CF18" s="369"/>
      <c r="CG18" s="369"/>
      <c r="CH18" s="369"/>
      <c r="CI18" s="369"/>
      <c r="CJ18" s="369"/>
      <c r="CK18" s="369"/>
      <c r="CL18" s="369"/>
      <c r="CM18" s="369"/>
      <c r="CN18" s="369"/>
      <c r="CO18" s="369"/>
      <c r="CP18" s="369"/>
      <c r="CQ18" s="369"/>
      <c r="CR18" s="369"/>
      <c r="CS18" s="369"/>
      <c r="CT18" s="369"/>
      <c r="CU18" s="369"/>
      <c r="CV18" s="369"/>
      <c r="CW18" s="369"/>
      <c r="CX18" s="369"/>
      <c r="CY18" s="369"/>
      <c r="CZ18" s="369"/>
      <c r="DA18" s="369"/>
      <c r="DB18" s="369"/>
      <c r="DC18" s="369"/>
      <c r="DD18" s="369"/>
      <c r="DE18" s="369"/>
      <c r="DF18" s="369"/>
      <c r="DG18" s="369"/>
      <c r="DH18" s="369"/>
      <c r="DI18" s="369"/>
      <c r="DJ18" s="369"/>
      <c r="DK18" s="369"/>
      <c r="DL18" s="369"/>
      <c r="DM18" s="369"/>
      <c r="DN18" s="369"/>
      <c r="DO18" s="369"/>
      <c r="DP18" s="369"/>
      <c r="DQ18" s="369"/>
      <c r="DR18" s="369"/>
      <c r="DS18" s="369"/>
      <c r="DT18" s="369"/>
      <c r="DU18" s="369"/>
      <c r="DV18" s="369"/>
      <c r="DW18" s="369"/>
      <c r="DX18" s="369"/>
      <c r="DY18" s="369"/>
      <c r="DZ18" s="369"/>
      <c r="EA18" s="369"/>
      <c r="EB18" s="369"/>
      <c r="EC18" s="369"/>
      <c r="ED18" s="369"/>
      <c r="EE18" s="369"/>
      <c r="EF18" s="369"/>
      <c r="EG18" s="369"/>
      <c r="EH18" s="369"/>
      <c r="EI18" s="369"/>
      <c r="EJ18" s="369"/>
      <c r="EK18" s="369"/>
      <c r="EL18" s="369"/>
      <c r="EM18" s="369"/>
      <c r="EN18" s="369"/>
      <c r="EO18" s="369"/>
      <c r="EP18" s="369"/>
      <c r="EQ18" s="369"/>
      <c r="ER18" s="369"/>
      <c r="ES18" s="369"/>
      <c r="ET18" s="369"/>
      <c r="EU18" s="369"/>
      <c r="EV18" s="369"/>
      <c r="EW18" s="369"/>
      <c r="EX18" s="369"/>
      <c r="EY18" s="369"/>
      <c r="EZ18" s="369"/>
      <c r="FA18" s="369"/>
      <c r="FB18" s="369"/>
      <c r="FC18" s="369"/>
      <c r="FD18" s="369"/>
      <c r="FE18" s="369"/>
      <c r="FF18" s="369"/>
      <c r="FG18" s="369"/>
      <c r="FH18" s="369"/>
      <c r="FI18" s="369"/>
      <c r="FJ18" s="369"/>
      <c r="FK18" s="369"/>
      <c r="FL18" s="369"/>
      <c r="FM18" s="369"/>
      <c r="FN18" s="369"/>
      <c r="FO18" s="369"/>
      <c r="FP18" s="369"/>
      <c r="FQ18" s="369"/>
      <c r="FR18" s="369"/>
      <c r="FS18" s="369"/>
      <c r="FT18" s="369"/>
      <c r="FU18" s="369"/>
      <c r="FV18" s="369"/>
      <c r="FW18" s="369"/>
      <c r="FX18" s="369"/>
      <c r="FY18" s="369"/>
      <c r="FZ18" s="369"/>
      <c r="GA18" s="369"/>
      <c r="GB18" s="369"/>
      <c r="GC18" s="369"/>
      <c r="GD18" s="369"/>
      <c r="GE18" s="369"/>
      <c r="GF18" s="369"/>
      <c r="GG18" s="369"/>
      <c r="GH18" s="369"/>
      <c r="GI18" s="369"/>
      <c r="GJ18" s="369"/>
      <c r="GK18" s="369"/>
      <c r="GL18" s="369"/>
      <c r="GM18" s="369"/>
      <c r="GN18" s="369"/>
      <c r="GO18" s="369"/>
      <c r="GP18" s="369"/>
      <c r="GQ18" s="369"/>
      <c r="GR18" s="369"/>
      <c r="GS18" s="369"/>
      <c r="GT18" s="369"/>
      <c r="GU18" s="369"/>
      <c r="GV18" s="369"/>
      <c r="GW18" s="369"/>
      <c r="GX18" s="369"/>
      <c r="GY18" s="369"/>
      <c r="GZ18" s="369"/>
      <c r="HA18" s="369"/>
      <c r="HB18" s="369"/>
      <c r="HC18" s="369"/>
      <c r="HD18" s="369"/>
      <c r="HE18" s="369"/>
      <c r="HF18" s="369"/>
      <c r="HG18" s="369"/>
      <c r="HH18" s="369"/>
      <c r="HI18" s="369"/>
      <c r="HJ18" s="369"/>
      <c r="HK18" s="369"/>
      <c r="HL18" s="369"/>
      <c r="HM18" s="369"/>
      <c r="HN18" s="369"/>
      <c r="HO18" s="369"/>
      <c r="HP18" s="369"/>
      <c r="HQ18" s="369"/>
      <c r="HR18" s="369"/>
      <c r="HS18" s="369"/>
      <c r="HT18" s="369"/>
      <c r="HU18" s="369"/>
      <c r="HV18" s="369"/>
      <c r="HW18" s="369"/>
      <c r="HX18" s="369"/>
      <c r="HY18" s="369"/>
      <c r="HZ18" s="369"/>
      <c r="IA18" s="369"/>
      <c r="IB18" s="369"/>
      <c r="IC18" s="369"/>
      <c r="ID18" s="369"/>
      <c r="IE18" s="369"/>
      <c r="IF18" s="369"/>
      <c r="IG18" s="369"/>
      <c r="IH18" s="369"/>
      <c r="II18" s="369"/>
      <c r="IJ18" s="369"/>
      <c r="IK18" s="369"/>
      <c r="IL18" s="369"/>
      <c r="IM18" s="369"/>
      <c r="IN18" s="369"/>
      <c r="IO18" s="369"/>
      <c r="IP18" s="369"/>
      <c r="IQ18" s="369"/>
      <c r="IR18" s="369"/>
      <c r="IS18" s="369"/>
      <c r="IT18" s="369"/>
      <c r="IU18" s="369"/>
      <c r="IV18" s="369"/>
      <c r="IW18" s="369"/>
      <c r="IX18" s="369"/>
      <c r="IY18" s="369"/>
      <c r="IZ18" s="369"/>
      <c r="JA18" s="369"/>
      <c r="JB18" s="369"/>
      <c r="JC18" s="369"/>
      <c r="JD18" s="369"/>
      <c r="JE18" s="369"/>
      <c r="JF18" s="369"/>
      <c r="JG18" s="369"/>
      <c r="JH18" s="369"/>
      <c r="JI18" s="369"/>
      <c r="JJ18" s="369"/>
      <c r="JK18" s="369"/>
      <c r="JL18" s="369"/>
      <c r="JM18" s="369"/>
      <c r="JN18" s="369"/>
      <c r="JO18" s="369"/>
      <c r="JP18" s="369"/>
      <c r="JQ18" s="369"/>
      <c r="JR18" s="369"/>
      <c r="JS18" s="369"/>
      <c r="JT18" s="369"/>
      <c r="JU18" s="369"/>
      <c r="JV18" s="369"/>
      <c r="JW18" s="369"/>
      <c r="JX18" s="369"/>
      <c r="JY18" s="369"/>
      <c r="JZ18" s="369"/>
      <c r="KA18" s="369"/>
      <c r="KB18" s="369"/>
      <c r="KC18" s="369"/>
      <c r="KD18" s="369"/>
      <c r="KE18" s="369"/>
      <c r="KF18" s="369"/>
      <c r="KG18" s="369"/>
      <c r="KH18" s="369"/>
      <c r="KI18" s="369"/>
      <c r="KJ18" s="369"/>
      <c r="KK18" s="369"/>
      <c r="KL18" s="369"/>
      <c r="KM18" s="369"/>
      <c r="KN18" s="369"/>
      <c r="KO18" s="369"/>
      <c r="KP18" s="369"/>
      <c r="KQ18" s="369"/>
      <c r="KR18" s="369"/>
      <c r="KS18" s="369"/>
      <c r="KT18" s="369"/>
      <c r="KU18" s="369"/>
      <c r="KV18" s="369"/>
      <c r="KW18" s="369"/>
      <c r="KX18" s="369"/>
      <c r="KY18" s="369"/>
      <c r="KZ18" s="369"/>
      <c r="LA18" s="369"/>
      <c r="LB18" s="369"/>
      <c r="LC18" s="369"/>
      <c r="LD18" s="369"/>
      <c r="LE18" s="369"/>
      <c r="LF18" s="369"/>
      <c r="LG18" s="369"/>
      <c r="LH18" s="369"/>
      <c r="LI18" s="369"/>
      <c r="LJ18" s="369"/>
      <c r="LK18" s="369"/>
      <c r="LL18" s="369"/>
      <c r="LM18" s="369"/>
      <c r="LN18" s="369"/>
      <c r="LO18" s="369"/>
      <c r="LP18" s="369"/>
      <c r="LQ18" s="369"/>
      <c r="LR18" s="369"/>
      <c r="LS18" s="369"/>
      <c r="LT18" s="369"/>
      <c r="LU18" s="369"/>
      <c r="LV18" s="369"/>
      <c r="LW18" s="369"/>
      <c r="LX18" s="369"/>
      <c r="LY18" s="369"/>
      <c r="LZ18" s="369"/>
      <c r="MA18" s="369"/>
      <c r="MB18" s="369"/>
      <c r="MC18" s="369"/>
      <c r="MD18" s="369"/>
      <c r="ME18" s="369"/>
      <c r="MF18" s="369"/>
      <c r="MG18" s="369"/>
      <c r="MH18" s="369"/>
      <c r="MI18" s="369"/>
      <c r="MJ18" s="369"/>
      <c r="MK18" s="369"/>
      <c r="ML18" s="369"/>
      <c r="MM18" s="369"/>
      <c r="MN18" s="369"/>
      <c r="MO18" s="369"/>
      <c r="MP18" s="369"/>
      <c r="MQ18" s="369"/>
      <c r="MR18" s="369"/>
      <c r="MS18" s="369"/>
      <c r="MT18" s="369"/>
      <c r="MU18" s="369"/>
      <c r="MV18" s="369"/>
      <c r="MW18" s="369"/>
      <c r="MX18" s="369"/>
      <c r="MY18" s="369"/>
      <c r="MZ18" s="369"/>
      <c r="NA18" s="369"/>
      <c r="NB18" s="369"/>
      <c r="NC18" s="369"/>
      <c r="ND18" s="176">
        <f t="shared" si="0"/>
        <v>0</v>
      </c>
    </row>
    <row r="19" spans="1:368" s="361" customFormat="1" ht="13.5" customHeight="1">
      <c r="A19" s="407"/>
      <c r="B19" s="352" t="s">
        <v>145</v>
      </c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 s="370"/>
      <c r="R19" s="370"/>
      <c r="S19" s="370"/>
      <c r="T19" s="370"/>
      <c r="U19" s="370"/>
      <c r="V19" s="370"/>
      <c r="W19" s="370"/>
      <c r="X19" s="370"/>
      <c r="Y19" s="370"/>
      <c r="Z19" s="370"/>
      <c r="AA19" s="370"/>
      <c r="AB19" s="370"/>
      <c r="AC19" s="370"/>
      <c r="AD19" s="370"/>
      <c r="AE19" s="370"/>
      <c r="AF19" s="370"/>
      <c r="AG19" s="370"/>
      <c r="AH19" s="370"/>
      <c r="AI19" s="370"/>
      <c r="AJ19" s="370"/>
      <c r="AK19" s="370"/>
      <c r="AL19" s="370"/>
      <c r="AM19" s="370"/>
      <c r="AN19" s="370"/>
      <c r="AO19" s="370"/>
      <c r="AP19" s="370"/>
      <c r="AQ19" s="370"/>
      <c r="AR19" s="370"/>
      <c r="AS19" s="370"/>
      <c r="AT19" s="370"/>
      <c r="AU19" s="370"/>
      <c r="AV19" s="370"/>
      <c r="AW19" s="370"/>
      <c r="AX19" s="370"/>
      <c r="AY19" s="370"/>
      <c r="AZ19" s="370"/>
      <c r="BA19" s="370"/>
      <c r="BB19" s="370"/>
      <c r="BC19" s="370"/>
      <c r="BD19" s="370"/>
      <c r="BE19" s="370"/>
      <c r="BF19" s="370"/>
      <c r="BG19" s="370"/>
      <c r="BH19" s="370"/>
      <c r="BI19" s="370"/>
      <c r="BJ19" s="370"/>
      <c r="BK19" s="370"/>
      <c r="BL19" s="370"/>
      <c r="BM19" s="370"/>
      <c r="BN19" s="370"/>
      <c r="BO19" s="370"/>
      <c r="BP19" s="370"/>
      <c r="BQ19" s="370"/>
      <c r="BR19" s="370"/>
      <c r="BS19" s="370"/>
      <c r="BT19" s="370"/>
      <c r="BU19" s="370"/>
      <c r="BV19" s="370"/>
      <c r="BW19" s="370"/>
      <c r="BX19" s="370"/>
      <c r="BY19" s="370"/>
      <c r="BZ19" s="370"/>
      <c r="CA19" s="370"/>
      <c r="CB19" s="370"/>
      <c r="CC19" s="370"/>
      <c r="CD19" s="370"/>
      <c r="CE19" s="370"/>
      <c r="CF19" s="370"/>
      <c r="CG19" s="370"/>
      <c r="CH19" s="370"/>
      <c r="CI19" s="370"/>
      <c r="CJ19" s="370"/>
      <c r="CK19" s="370"/>
      <c r="CL19" s="370"/>
      <c r="CM19" s="370"/>
      <c r="CN19" s="370"/>
      <c r="CO19" s="370"/>
      <c r="CP19" s="370"/>
      <c r="CQ19" s="370"/>
      <c r="CR19" s="370"/>
      <c r="CS19" s="370"/>
      <c r="CT19" s="370"/>
      <c r="CU19" s="370"/>
      <c r="CV19" s="370"/>
      <c r="CW19" s="370"/>
      <c r="CX19" s="370"/>
      <c r="CY19" s="370"/>
      <c r="CZ19" s="370"/>
      <c r="DA19" s="370"/>
      <c r="DB19" s="370"/>
      <c r="DC19" s="370"/>
      <c r="DD19" s="370"/>
      <c r="DE19" s="370"/>
      <c r="DF19" s="370"/>
      <c r="DG19" s="370"/>
      <c r="DH19" s="370"/>
      <c r="DI19" s="370"/>
      <c r="DJ19" s="370"/>
      <c r="DK19" s="370"/>
      <c r="DL19" s="370"/>
      <c r="DM19" s="370"/>
      <c r="DN19" s="370"/>
      <c r="DO19" s="370"/>
      <c r="DP19" s="370"/>
      <c r="DQ19" s="370"/>
      <c r="DR19" s="370"/>
      <c r="DS19" s="370"/>
      <c r="DT19" s="370"/>
      <c r="DU19" s="370"/>
      <c r="DV19" s="370"/>
      <c r="DW19" s="370"/>
      <c r="DX19" s="370"/>
      <c r="DY19" s="370"/>
      <c r="DZ19" s="370"/>
      <c r="EA19" s="370"/>
      <c r="EB19" s="370"/>
      <c r="EC19" s="370"/>
      <c r="ED19" s="370"/>
      <c r="EE19" s="370"/>
      <c r="EF19" s="370"/>
      <c r="EG19" s="370"/>
      <c r="EH19" s="370"/>
      <c r="EI19" s="370"/>
      <c r="EJ19" s="370"/>
      <c r="EK19" s="370"/>
      <c r="EL19" s="370"/>
      <c r="EM19" s="370"/>
      <c r="EN19" s="370"/>
      <c r="EO19" s="370"/>
      <c r="EP19" s="370"/>
      <c r="EQ19" s="370"/>
      <c r="ER19" s="370"/>
      <c r="ES19" s="370"/>
      <c r="ET19" s="370"/>
      <c r="EU19" s="370"/>
      <c r="EV19" s="370"/>
      <c r="EW19" s="370"/>
      <c r="EX19" s="370"/>
      <c r="EY19" s="370"/>
      <c r="EZ19" s="370"/>
      <c r="FA19" s="370"/>
      <c r="FB19" s="370"/>
      <c r="FC19" s="370"/>
      <c r="FD19" s="370"/>
      <c r="FE19" s="370"/>
      <c r="FF19" s="370"/>
      <c r="FG19" s="370"/>
      <c r="FH19" s="370"/>
      <c r="FI19" s="370"/>
      <c r="FJ19" s="370"/>
      <c r="FK19" s="370"/>
      <c r="FL19" s="370"/>
      <c r="FM19" s="370"/>
      <c r="FN19" s="370"/>
      <c r="FO19" s="370"/>
      <c r="FP19" s="370"/>
      <c r="FQ19" s="370"/>
      <c r="FR19" s="370"/>
      <c r="FS19" s="370"/>
      <c r="FT19" s="370"/>
      <c r="FU19" s="370"/>
      <c r="FV19" s="370"/>
      <c r="FW19" s="370"/>
      <c r="FX19" s="370"/>
      <c r="FY19" s="370"/>
      <c r="FZ19" s="370"/>
      <c r="GA19" s="370"/>
      <c r="GB19" s="370"/>
      <c r="GC19" s="370"/>
      <c r="GD19" s="370"/>
      <c r="GE19" s="370"/>
      <c r="GF19" s="370"/>
      <c r="GG19" s="370"/>
      <c r="GH19" s="370"/>
      <c r="GI19" s="370"/>
      <c r="GJ19" s="370"/>
      <c r="GK19" s="370"/>
      <c r="GL19" s="370"/>
      <c r="GM19" s="370"/>
      <c r="GN19" s="370"/>
      <c r="GO19" s="370"/>
      <c r="GP19" s="370"/>
      <c r="GQ19" s="370"/>
      <c r="GR19" s="370"/>
      <c r="GS19" s="370"/>
      <c r="GT19" s="370"/>
      <c r="GU19" s="370"/>
      <c r="GV19" s="370"/>
      <c r="GW19" s="370"/>
      <c r="GX19" s="370"/>
      <c r="GY19" s="370"/>
      <c r="GZ19" s="370"/>
      <c r="HA19" s="370"/>
      <c r="HB19" s="370"/>
      <c r="HC19" s="370"/>
      <c r="HD19" s="370"/>
      <c r="HE19" s="370"/>
      <c r="HF19" s="370"/>
      <c r="HG19" s="370"/>
      <c r="HH19" s="370"/>
      <c r="HI19" s="370"/>
      <c r="HJ19" s="370"/>
      <c r="HK19" s="370"/>
      <c r="HL19" s="370"/>
      <c r="HM19" s="370"/>
      <c r="HN19" s="370"/>
      <c r="HO19" s="370"/>
      <c r="HP19" s="370"/>
      <c r="HQ19" s="370"/>
      <c r="HR19" s="370"/>
      <c r="HS19" s="370"/>
      <c r="HT19" s="370"/>
      <c r="HU19" s="370"/>
      <c r="HV19" s="370"/>
      <c r="HW19" s="370"/>
      <c r="HX19" s="370"/>
      <c r="HY19" s="370"/>
      <c r="HZ19" s="370"/>
      <c r="IA19" s="370"/>
      <c r="IB19" s="370"/>
      <c r="IC19" s="370"/>
      <c r="ID19" s="370"/>
      <c r="IE19" s="370"/>
      <c r="IF19" s="370"/>
      <c r="IG19" s="370"/>
      <c r="IH19" s="370"/>
      <c r="II19" s="370"/>
      <c r="IJ19" s="370"/>
      <c r="IK19" s="370"/>
      <c r="IL19" s="370"/>
      <c r="IM19" s="370"/>
      <c r="IN19" s="370"/>
      <c r="IO19" s="370"/>
      <c r="IP19" s="370"/>
      <c r="IQ19" s="370"/>
      <c r="IR19" s="370"/>
      <c r="IS19" s="370"/>
      <c r="IT19" s="370"/>
      <c r="IU19" s="370"/>
      <c r="IV19" s="370"/>
      <c r="IW19" s="370"/>
      <c r="IX19" s="370"/>
      <c r="IY19" s="370"/>
      <c r="IZ19" s="370"/>
      <c r="JA19" s="370"/>
      <c r="JB19" s="370"/>
      <c r="JC19" s="370"/>
      <c r="JD19" s="370"/>
      <c r="JE19" s="370"/>
      <c r="JF19" s="370"/>
      <c r="JG19" s="370"/>
      <c r="JH19" s="370"/>
      <c r="JI19" s="370"/>
      <c r="JJ19" s="370"/>
      <c r="JK19" s="370"/>
      <c r="JL19" s="370"/>
      <c r="JM19" s="370"/>
      <c r="JN19" s="370"/>
      <c r="JO19" s="370"/>
      <c r="JP19" s="370"/>
      <c r="JQ19" s="370"/>
      <c r="JR19" s="370"/>
      <c r="JS19" s="370"/>
      <c r="JT19" s="370"/>
      <c r="JU19" s="370"/>
      <c r="JV19" s="370"/>
      <c r="JW19" s="370"/>
      <c r="JX19" s="370"/>
      <c r="JY19" s="370"/>
      <c r="JZ19" s="370"/>
      <c r="KA19" s="370"/>
      <c r="KB19" s="370"/>
      <c r="KC19" s="370"/>
      <c r="KD19" s="370"/>
      <c r="KE19" s="370"/>
      <c r="KF19" s="370"/>
      <c r="KG19" s="370"/>
      <c r="KH19" s="370"/>
      <c r="KI19" s="370"/>
      <c r="KJ19" s="370"/>
      <c r="KK19" s="370"/>
      <c r="KL19" s="370"/>
      <c r="KM19" s="370"/>
      <c r="KN19" s="370"/>
      <c r="KO19" s="370"/>
      <c r="KP19" s="370"/>
      <c r="KQ19" s="370"/>
      <c r="KR19" s="370"/>
      <c r="KS19" s="370"/>
      <c r="KT19" s="370"/>
      <c r="KU19" s="370"/>
      <c r="KV19" s="370"/>
      <c r="KW19" s="370"/>
      <c r="KX19" s="370"/>
      <c r="KY19" s="370"/>
      <c r="KZ19" s="370"/>
      <c r="LA19" s="370"/>
      <c r="LB19" s="370"/>
      <c r="LC19" s="370"/>
      <c r="LD19" s="370"/>
      <c r="LE19" s="370"/>
      <c r="LF19" s="370"/>
      <c r="LG19" s="370"/>
      <c r="LH19" s="370"/>
      <c r="LI19" s="370"/>
      <c r="LJ19" s="370"/>
      <c r="LK19" s="370"/>
      <c r="LL19" s="370"/>
      <c r="LM19" s="370"/>
      <c r="LN19" s="370"/>
      <c r="LO19" s="370"/>
      <c r="LP19" s="370"/>
      <c r="LQ19" s="370"/>
      <c r="LR19" s="370"/>
      <c r="LS19" s="370"/>
      <c r="LT19" s="370"/>
      <c r="LU19" s="370"/>
      <c r="LV19" s="370"/>
      <c r="LW19" s="370"/>
      <c r="LX19" s="370"/>
      <c r="LY19" s="370"/>
      <c r="LZ19" s="370"/>
      <c r="MA19" s="370"/>
      <c r="MB19" s="370"/>
      <c r="MC19" s="370"/>
      <c r="MD19" s="370"/>
      <c r="ME19" s="370"/>
      <c r="MF19" s="370"/>
      <c r="MG19" s="370"/>
      <c r="MH19" s="370"/>
      <c r="MI19" s="370"/>
      <c r="MJ19" s="370"/>
      <c r="MK19" s="370"/>
      <c r="ML19" s="370"/>
      <c r="MM19" s="370"/>
      <c r="MN19" s="370"/>
      <c r="MO19" s="370"/>
      <c r="MP19" s="370"/>
      <c r="MQ19" s="370"/>
      <c r="MR19" s="370"/>
      <c r="MS19" s="370"/>
      <c r="MT19" s="370"/>
      <c r="MU19" s="370"/>
      <c r="MV19" s="370"/>
      <c r="MW19" s="370"/>
      <c r="MX19" s="370"/>
      <c r="MY19" s="370"/>
      <c r="MZ19" s="370"/>
      <c r="NA19" s="370"/>
      <c r="NB19" s="370"/>
      <c r="NC19" s="370"/>
      <c r="ND19" s="176">
        <f t="shared" si="0"/>
        <v>0</v>
      </c>
    </row>
    <row r="20" spans="1:368" s="361" customFormat="1" ht="13.5" customHeight="1">
      <c r="A20" s="407"/>
      <c r="B20" s="352" t="s">
        <v>60</v>
      </c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 s="370"/>
      <c r="R20" s="370"/>
      <c r="S20" s="370"/>
      <c r="T20" s="370"/>
      <c r="U20" s="370"/>
      <c r="V20" s="370"/>
      <c r="W20" s="370"/>
      <c r="X20" s="370"/>
      <c r="Y20" s="370"/>
      <c r="Z20" s="370"/>
      <c r="AA20" s="370"/>
      <c r="AB20" s="370"/>
      <c r="AC20" s="370"/>
      <c r="AD20" s="370"/>
      <c r="AE20" s="370"/>
      <c r="AF20" s="370"/>
      <c r="AG20" s="370"/>
      <c r="AH20" s="370"/>
      <c r="AI20" s="370"/>
      <c r="AJ20" s="370"/>
      <c r="AK20" s="370"/>
      <c r="AL20" s="370"/>
      <c r="AM20" s="370"/>
      <c r="AN20" s="370"/>
      <c r="AO20" s="370"/>
      <c r="AP20" s="370"/>
      <c r="AQ20" s="370"/>
      <c r="AR20" s="370"/>
      <c r="AS20" s="370"/>
      <c r="AT20" s="370"/>
      <c r="AU20" s="370"/>
      <c r="AV20" s="370"/>
      <c r="AW20" s="370"/>
      <c r="AX20" s="370"/>
      <c r="AY20" s="370"/>
      <c r="AZ20" s="370"/>
      <c r="BA20" s="370"/>
      <c r="BB20" s="370"/>
      <c r="BC20" s="370"/>
      <c r="BD20" s="370"/>
      <c r="BE20" s="370"/>
      <c r="BF20" s="370"/>
      <c r="BG20" s="370"/>
      <c r="BH20" s="370"/>
      <c r="BI20" s="370"/>
      <c r="BJ20" s="370"/>
      <c r="BK20" s="370"/>
      <c r="BL20" s="370"/>
      <c r="BM20" s="370"/>
      <c r="BN20" s="370"/>
      <c r="BO20" s="370"/>
      <c r="BP20" s="370"/>
      <c r="BQ20" s="370"/>
      <c r="BR20" s="370"/>
      <c r="BS20" s="370"/>
      <c r="BT20" s="370"/>
      <c r="BU20" s="370"/>
      <c r="BV20" s="370"/>
      <c r="BW20" s="370"/>
      <c r="BX20" s="370"/>
      <c r="BY20" s="370"/>
      <c r="BZ20" s="370"/>
      <c r="CA20" s="370"/>
      <c r="CB20" s="370"/>
      <c r="CC20" s="370"/>
      <c r="CD20" s="370"/>
      <c r="CE20" s="370"/>
      <c r="CF20" s="370"/>
      <c r="CG20" s="370"/>
      <c r="CH20" s="370"/>
      <c r="CI20" s="370"/>
      <c r="CJ20" s="370"/>
      <c r="CK20" s="370"/>
      <c r="CL20" s="370"/>
      <c r="CM20" s="370"/>
      <c r="CN20" s="370"/>
      <c r="CO20" s="370"/>
      <c r="CP20" s="370"/>
      <c r="CQ20" s="370"/>
      <c r="CR20" s="370"/>
      <c r="CS20" s="370"/>
      <c r="CT20" s="370"/>
      <c r="CU20" s="370"/>
      <c r="CV20" s="370"/>
      <c r="CW20" s="370"/>
      <c r="CX20" s="370"/>
      <c r="CY20" s="370"/>
      <c r="CZ20" s="370"/>
      <c r="DA20" s="370"/>
      <c r="DB20" s="370"/>
      <c r="DC20" s="370"/>
      <c r="DD20" s="370"/>
      <c r="DE20" s="370"/>
      <c r="DF20" s="370"/>
      <c r="DG20" s="370"/>
      <c r="DH20" s="370"/>
      <c r="DI20" s="370"/>
      <c r="DJ20" s="370"/>
      <c r="DK20" s="370"/>
      <c r="DL20" s="370"/>
      <c r="DM20" s="370"/>
      <c r="DN20" s="370"/>
      <c r="DO20" s="370"/>
      <c r="DP20" s="370"/>
      <c r="DQ20" s="370"/>
      <c r="DR20" s="370"/>
      <c r="DS20" s="370"/>
      <c r="DT20" s="370"/>
      <c r="DU20" s="370"/>
      <c r="DV20" s="370"/>
      <c r="DW20" s="370"/>
      <c r="DX20" s="370"/>
      <c r="DY20" s="370"/>
      <c r="DZ20" s="370"/>
      <c r="EA20" s="370"/>
      <c r="EB20" s="370"/>
      <c r="EC20" s="370"/>
      <c r="ED20" s="370"/>
      <c r="EE20" s="370"/>
      <c r="EF20" s="370"/>
      <c r="EG20" s="370"/>
      <c r="EH20" s="370"/>
      <c r="EI20" s="370"/>
      <c r="EJ20" s="370"/>
      <c r="EK20" s="370"/>
      <c r="EL20" s="370"/>
      <c r="EM20" s="370"/>
      <c r="EN20" s="370"/>
      <c r="EO20" s="370"/>
      <c r="EP20" s="370"/>
      <c r="EQ20" s="370"/>
      <c r="ER20" s="370"/>
      <c r="ES20" s="370"/>
      <c r="ET20" s="370"/>
      <c r="EU20" s="370"/>
      <c r="EV20" s="370"/>
      <c r="EW20" s="370"/>
      <c r="EX20" s="370"/>
      <c r="EY20" s="370"/>
      <c r="EZ20" s="370"/>
      <c r="FA20" s="370"/>
      <c r="FB20" s="370"/>
      <c r="FC20" s="370"/>
      <c r="FD20" s="370"/>
      <c r="FE20" s="370"/>
      <c r="FF20" s="370"/>
      <c r="FG20" s="370"/>
      <c r="FH20" s="370"/>
      <c r="FI20" s="370"/>
      <c r="FJ20" s="370"/>
      <c r="FK20" s="370"/>
      <c r="FL20" s="370"/>
      <c r="FM20" s="370"/>
      <c r="FN20" s="370"/>
      <c r="FO20" s="370"/>
      <c r="FP20" s="370"/>
      <c r="FQ20" s="370"/>
      <c r="FR20" s="370"/>
      <c r="FS20" s="370"/>
      <c r="FT20" s="370"/>
      <c r="FU20" s="370"/>
      <c r="FV20" s="370"/>
      <c r="FW20" s="370"/>
      <c r="FX20" s="370"/>
      <c r="FY20" s="370"/>
      <c r="FZ20" s="370"/>
      <c r="GA20" s="370"/>
      <c r="GB20" s="370"/>
      <c r="GC20" s="370"/>
      <c r="GD20" s="370"/>
      <c r="GE20" s="370"/>
      <c r="GF20" s="370"/>
      <c r="GG20" s="370"/>
      <c r="GH20" s="370"/>
      <c r="GI20" s="370"/>
      <c r="GJ20" s="370"/>
      <c r="GK20" s="370"/>
      <c r="GL20" s="370"/>
      <c r="GM20" s="370"/>
      <c r="GN20" s="370"/>
      <c r="GO20" s="370"/>
      <c r="GP20" s="370"/>
      <c r="GQ20" s="370"/>
      <c r="GR20" s="370"/>
      <c r="GS20" s="370"/>
      <c r="GT20" s="370"/>
      <c r="GU20" s="370"/>
      <c r="GV20" s="370"/>
      <c r="GW20" s="370"/>
      <c r="GX20" s="370"/>
      <c r="GY20" s="370"/>
      <c r="GZ20" s="370"/>
      <c r="HA20" s="370"/>
      <c r="HB20" s="370"/>
      <c r="HC20" s="370"/>
      <c r="HD20" s="370"/>
      <c r="HE20" s="370"/>
      <c r="HF20" s="370"/>
      <c r="HG20" s="370"/>
      <c r="HH20" s="370"/>
      <c r="HI20" s="370"/>
      <c r="HJ20" s="370"/>
      <c r="HK20" s="370"/>
      <c r="HL20" s="370"/>
      <c r="HM20" s="370"/>
      <c r="HN20" s="370"/>
      <c r="HO20" s="370"/>
      <c r="HP20" s="370"/>
      <c r="HQ20" s="370"/>
      <c r="HR20" s="370"/>
      <c r="HS20" s="370"/>
      <c r="HT20" s="370"/>
      <c r="HU20" s="370"/>
      <c r="HV20" s="370"/>
      <c r="HW20" s="370"/>
      <c r="HX20" s="370"/>
      <c r="HY20" s="370"/>
      <c r="HZ20" s="370"/>
      <c r="IA20" s="370"/>
      <c r="IB20" s="370"/>
      <c r="IC20" s="370"/>
      <c r="ID20" s="370"/>
      <c r="IE20" s="370"/>
      <c r="IF20" s="370"/>
      <c r="IG20" s="370"/>
      <c r="IH20" s="370"/>
      <c r="II20" s="370"/>
      <c r="IJ20" s="370"/>
      <c r="IK20" s="370"/>
      <c r="IL20" s="370"/>
      <c r="IM20" s="370"/>
      <c r="IN20" s="370"/>
      <c r="IO20" s="370"/>
      <c r="IP20" s="370"/>
      <c r="IQ20" s="370"/>
      <c r="IR20" s="370"/>
      <c r="IS20" s="370"/>
      <c r="IT20" s="370"/>
      <c r="IU20" s="370"/>
      <c r="IV20" s="370"/>
      <c r="IW20" s="370"/>
      <c r="IX20" s="370"/>
      <c r="IY20" s="370"/>
      <c r="IZ20" s="370"/>
      <c r="JA20" s="370"/>
      <c r="JB20" s="370"/>
      <c r="JC20" s="370"/>
      <c r="JD20" s="370"/>
      <c r="JE20" s="370"/>
      <c r="JF20" s="370"/>
      <c r="JG20" s="370"/>
      <c r="JH20" s="370"/>
      <c r="JI20" s="370"/>
      <c r="JJ20" s="370"/>
      <c r="JK20" s="370"/>
      <c r="JL20" s="370"/>
      <c r="JM20" s="370"/>
      <c r="JN20" s="370"/>
      <c r="JO20" s="370"/>
      <c r="JP20" s="370"/>
      <c r="JQ20" s="370"/>
      <c r="JR20" s="370"/>
      <c r="JS20" s="370"/>
      <c r="JT20" s="370"/>
      <c r="JU20" s="370"/>
      <c r="JV20" s="370"/>
      <c r="JW20" s="370"/>
      <c r="JX20" s="370"/>
      <c r="JY20" s="370"/>
      <c r="JZ20" s="370"/>
      <c r="KA20" s="370"/>
      <c r="KB20" s="370"/>
      <c r="KC20" s="370"/>
      <c r="KD20" s="370"/>
      <c r="KE20" s="370"/>
      <c r="KF20" s="370"/>
      <c r="KG20" s="370"/>
      <c r="KH20" s="370"/>
      <c r="KI20" s="370"/>
      <c r="KJ20" s="370"/>
      <c r="KK20" s="370"/>
      <c r="KL20" s="370"/>
      <c r="KM20" s="370"/>
      <c r="KN20" s="370"/>
      <c r="KO20" s="370"/>
      <c r="KP20" s="370"/>
      <c r="KQ20" s="370"/>
      <c r="KR20" s="370"/>
      <c r="KS20" s="370"/>
      <c r="KT20" s="370"/>
      <c r="KU20" s="370"/>
      <c r="KV20" s="370"/>
      <c r="KW20" s="370"/>
      <c r="KX20" s="370"/>
      <c r="KY20" s="370"/>
      <c r="KZ20" s="370"/>
      <c r="LA20" s="370"/>
      <c r="LB20" s="370"/>
      <c r="LC20" s="370"/>
      <c r="LD20" s="370"/>
      <c r="LE20" s="370"/>
      <c r="LF20" s="370"/>
      <c r="LG20" s="370"/>
      <c r="LH20" s="370"/>
      <c r="LI20" s="370"/>
      <c r="LJ20" s="370"/>
      <c r="LK20" s="370"/>
      <c r="LL20" s="370"/>
      <c r="LM20" s="370"/>
      <c r="LN20" s="370"/>
      <c r="LO20" s="370"/>
      <c r="LP20" s="370"/>
      <c r="LQ20" s="370"/>
      <c r="LR20" s="370"/>
      <c r="LS20" s="370"/>
      <c r="LT20" s="370"/>
      <c r="LU20" s="370"/>
      <c r="LV20" s="370"/>
      <c r="LW20" s="370"/>
      <c r="LX20" s="370"/>
      <c r="LY20" s="370"/>
      <c r="LZ20" s="370"/>
      <c r="MA20" s="370"/>
      <c r="MB20" s="370"/>
      <c r="MC20" s="370"/>
      <c r="MD20" s="370"/>
      <c r="ME20" s="370"/>
      <c r="MF20" s="370"/>
      <c r="MG20" s="370"/>
      <c r="MH20" s="370"/>
      <c r="MI20" s="370"/>
      <c r="MJ20" s="370"/>
      <c r="MK20" s="370"/>
      <c r="ML20" s="370"/>
      <c r="MM20" s="370"/>
      <c r="MN20" s="370"/>
      <c r="MO20" s="370"/>
      <c r="MP20" s="370"/>
      <c r="MQ20" s="370"/>
      <c r="MR20" s="370"/>
      <c r="MS20" s="370"/>
      <c r="MT20" s="370"/>
      <c r="MU20" s="370"/>
      <c r="MV20" s="370"/>
      <c r="MW20" s="370"/>
      <c r="MX20" s="370"/>
      <c r="MY20" s="370"/>
      <c r="MZ20" s="370"/>
      <c r="NA20" s="370"/>
      <c r="NB20" s="370"/>
      <c r="NC20" s="370"/>
      <c r="ND20" s="176">
        <f t="shared" si="0"/>
        <v>0</v>
      </c>
    </row>
    <row r="21" spans="1:368" s="361" customFormat="1" ht="13.5" customHeight="1">
      <c r="A21" s="407"/>
      <c r="B21" s="352" t="s">
        <v>146</v>
      </c>
      <c r="C21" s="370"/>
      <c r="D21" s="370"/>
      <c r="E21" s="370"/>
      <c r="F21" s="370"/>
      <c r="G21" s="370"/>
      <c r="H21" s="370"/>
      <c r="I21" s="370"/>
      <c r="J21" s="370"/>
      <c r="K21" s="370"/>
      <c r="L21" s="370"/>
      <c r="M21" s="370"/>
      <c r="N21" s="370"/>
      <c r="O21" s="370"/>
      <c r="P21" s="370"/>
      <c r="Q21" s="370"/>
      <c r="R21" s="370"/>
      <c r="S21" s="370"/>
      <c r="T21" s="370"/>
      <c r="U21" s="370"/>
      <c r="V21" s="370"/>
      <c r="W21" s="370"/>
      <c r="X21" s="370"/>
      <c r="Y21" s="370"/>
      <c r="Z21" s="370"/>
      <c r="AA21" s="370"/>
      <c r="AB21" s="370"/>
      <c r="AC21" s="370"/>
      <c r="AD21" s="370"/>
      <c r="AE21" s="370"/>
      <c r="AF21" s="370"/>
      <c r="AG21" s="370"/>
      <c r="AH21" s="370"/>
      <c r="AI21" s="370"/>
      <c r="AJ21" s="370"/>
      <c r="AK21" s="370"/>
      <c r="AL21" s="370"/>
      <c r="AM21" s="370"/>
      <c r="AN21" s="370"/>
      <c r="AO21" s="370"/>
      <c r="AP21" s="370"/>
      <c r="AQ21" s="370"/>
      <c r="AR21" s="370"/>
      <c r="AS21" s="370"/>
      <c r="AT21" s="370"/>
      <c r="AU21" s="370"/>
      <c r="AV21" s="370"/>
      <c r="AW21" s="370"/>
      <c r="AX21" s="370"/>
      <c r="AY21" s="370"/>
      <c r="AZ21" s="370"/>
      <c r="BA21" s="370"/>
      <c r="BB21" s="370"/>
      <c r="BC21" s="370"/>
      <c r="BD21" s="370"/>
      <c r="BE21" s="370"/>
      <c r="BF21" s="370"/>
      <c r="BG21" s="370"/>
      <c r="BH21" s="370"/>
      <c r="BI21" s="370"/>
      <c r="BJ21" s="370"/>
      <c r="BK21" s="370"/>
      <c r="BL21" s="370"/>
      <c r="BM21" s="370"/>
      <c r="BN21" s="370"/>
      <c r="BO21" s="370"/>
      <c r="BP21" s="370"/>
      <c r="BQ21" s="370"/>
      <c r="BR21" s="370"/>
      <c r="BS21" s="370"/>
      <c r="BT21" s="370"/>
      <c r="BU21" s="370"/>
      <c r="BV21" s="370"/>
      <c r="BW21" s="370"/>
      <c r="BX21" s="370"/>
      <c r="BY21" s="370"/>
      <c r="BZ21" s="370"/>
      <c r="CA21" s="370"/>
      <c r="CB21" s="370"/>
      <c r="CC21" s="370"/>
      <c r="CD21" s="370"/>
      <c r="CE21" s="370"/>
      <c r="CF21" s="370"/>
      <c r="CG21" s="370"/>
      <c r="CH21" s="370"/>
      <c r="CI21" s="370"/>
      <c r="CJ21" s="370"/>
      <c r="CK21" s="370"/>
      <c r="CL21" s="370"/>
      <c r="CM21" s="370"/>
      <c r="CN21" s="370"/>
      <c r="CO21" s="370"/>
      <c r="CP21" s="370"/>
      <c r="CQ21" s="370"/>
      <c r="CR21" s="370"/>
      <c r="CS21" s="370"/>
      <c r="CT21" s="370"/>
      <c r="CU21" s="370"/>
      <c r="CV21" s="370"/>
      <c r="CW21" s="370"/>
      <c r="CX21" s="370"/>
      <c r="CY21" s="370"/>
      <c r="CZ21" s="370"/>
      <c r="DA21" s="370"/>
      <c r="DB21" s="370"/>
      <c r="DC21" s="370"/>
      <c r="DD21" s="370"/>
      <c r="DE21" s="370"/>
      <c r="DF21" s="370"/>
      <c r="DG21" s="370"/>
      <c r="DH21" s="370"/>
      <c r="DI21" s="370"/>
      <c r="DJ21" s="370"/>
      <c r="DK21" s="370"/>
      <c r="DL21" s="370"/>
      <c r="DM21" s="370"/>
      <c r="DN21" s="370"/>
      <c r="DO21" s="370"/>
      <c r="DP21" s="370"/>
      <c r="DQ21" s="370"/>
      <c r="DR21" s="370"/>
      <c r="DS21" s="370"/>
      <c r="DT21" s="370"/>
      <c r="DU21" s="370"/>
      <c r="DV21" s="370"/>
      <c r="DW21" s="370"/>
      <c r="DX21" s="370"/>
      <c r="DY21" s="370"/>
      <c r="DZ21" s="370"/>
      <c r="EA21" s="370"/>
      <c r="EB21" s="370"/>
      <c r="EC21" s="370"/>
      <c r="ED21" s="370"/>
      <c r="EE21" s="370"/>
      <c r="EF21" s="370"/>
      <c r="EG21" s="370"/>
      <c r="EH21" s="370"/>
      <c r="EI21" s="370"/>
      <c r="EJ21" s="370"/>
      <c r="EK21" s="370"/>
      <c r="EL21" s="370"/>
      <c r="EM21" s="370"/>
      <c r="EN21" s="370"/>
      <c r="EO21" s="370"/>
      <c r="EP21" s="370"/>
      <c r="EQ21" s="370"/>
      <c r="ER21" s="370"/>
      <c r="ES21" s="370"/>
      <c r="ET21" s="370"/>
      <c r="EU21" s="370"/>
      <c r="EV21" s="370"/>
      <c r="EW21" s="370"/>
      <c r="EX21" s="370"/>
      <c r="EY21" s="370"/>
      <c r="EZ21" s="370"/>
      <c r="FA21" s="370"/>
      <c r="FB21" s="370"/>
      <c r="FC21" s="370"/>
      <c r="FD21" s="370"/>
      <c r="FE21" s="370"/>
      <c r="FF21" s="370"/>
      <c r="FG21" s="370"/>
      <c r="FH21" s="370"/>
      <c r="FI21" s="370"/>
      <c r="FJ21" s="370"/>
      <c r="FK21" s="370"/>
      <c r="FL21" s="370"/>
      <c r="FM21" s="370"/>
      <c r="FN21" s="370"/>
      <c r="FO21" s="370"/>
      <c r="FP21" s="370"/>
      <c r="FQ21" s="370"/>
      <c r="FR21" s="370"/>
      <c r="FS21" s="370"/>
      <c r="FT21" s="370"/>
      <c r="FU21" s="370"/>
      <c r="FV21" s="370"/>
      <c r="FW21" s="370"/>
      <c r="FX21" s="370"/>
      <c r="FY21" s="370"/>
      <c r="FZ21" s="370"/>
      <c r="GA21" s="370"/>
      <c r="GB21" s="370"/>
      <c r="GC21" s="370"/>
      <c r="GD21" s="370"/>
      <c r="GE21" s="370"/>
      <c r="GF21" s="370"/>
      <c r="GG21" s="370"/>
      <c r="GH21" s="370"/>
      <c r="GI21" s="370"/>
      <c r="GJ21" s="370"/>
      <c r="GK21" s="370"/>
      <c r="GL21" s="370"/>
      <c r="GM21" s="370"/>
      <c r="GN21" s="370"/>
      <c r="GO21" s="370"/>
      <c r="GP21" s="370"/>
      <c r="GQ21" s="370"/>
      <c r="GR21" s="370"/>
      <c r="GS21" s="370"/>
      <c r="GT21" s="370"/>
      <c r="GU21" s="370"/>
      <c r="GV21" s="370"/>
      <c r="GW21" s="370"/>
      <c r="GX21" s="370"/>
      <c r="GY21" s="370"/>
      <c r="GZ21" s="370"/>
      <c r="HA21" s="370"/>
      <c r="HB21" s="370"/>
      <c r="HC21" s="370"/>
      <c r="HD21" s="370"/>
      <c r="HE21" s="370"/>
      <c r="HF21" s="370"/>
      <c r="HG21" s="370"/>
      <c r="HH21" s="370"/>
      <c r="HI21" s="370"/>
      <c r="HJ21" s="370"/>
      <c r="HK21" s="370"/>
      <c r="HL21" s="370"/>
      <c r="HM21" s="370"/>
      <c r="HN21" s="370"/>
      <c r="HO21" s="370"/>
      <c r="HP21" s="370"/>
      <c r="HQ21" s="370"/>
      <c r="HR21" s="370"/>
      <c r="HS21" s="370"/>
      <c r="HT21" s="370"/>
      <c r="HU21" s="370"/>
      <c r="HV21" s="370"/>
      <c r="HW21" s="370"/>
      <c r="HX21" s="370"/>
      <c r="HY21" s="370"/>
      <c r="HZ21" s="370"/>
      <c r="IA21" s="370"/>
      <c r="IB21" s="370"/>
      <c r="IC21" s="370"/>
      <c r="ID21" s="370"/>
      <c r="IE21" s="370"/>
      <c r="IF21" s="370"/>
      <c r="IG21" s="370"/>
      <c r="IH21" s="370"/>
      <c r="II21" s="370"/>
      <c r="IJ21" s="370"/>
      <c r="IK21" s="370"/>
      <c r="IL21" s="370"/>
      <c r="IM21" s="370"/>
      <c r="IN21" s="370"/>
      <c r="IO21" s="370"/>
      <c r="IP21" s="370"/>
      <c r="IQ21" s="370"/>
      <c r="IR21" s="370"/>
      <c r="IS21" s="370"/>
      <c r="IT21" s="370"/>
      <c r="IU21" s="370"/>
      <c r="IV21" s="370"/>
      <c r="IW21" s="370"/>
      <c r="IX21" s="370"/>
      <c r="IY21" s="370"/>
      <c r="IZ21" s="370"/>
      <c r="JA21" s="370"/>
      <c r="JB21" s="370"/>
      <c r="JC21" s="370"/>
      <c r="JD21" s="370"/>
      <c r="JE21" s="370"/>
      <c r="JF21" s="370"/>
      <c r="JG21" s="370"/>
      <c r="JH21" s="370"/>
      <c r="JI21" s="370"/>
      <c r="JJ21" s="370"/>
      <c r="JK21" s="370"/>
      <c r="JL21" s="370"/>
      <c r="JM21" s="370"/>
      <c r="JN21" s="370"/>
      <c r="JO21" s="370"/>
      <c r="JP21" s="370"/>
      <c r="JQ21" s="370"/>
      <c r="JR21" s="370"/>
      <c r="JS21" s="370"/>
      <c r="JT21" s="370"/>
      <c r="JU21" s="370"/>
      <c r="JV21" s="370"/>
      <c r="JW21" s="370"/>
      <c r="JX21" s="370"/>
      <c r="JY21" s="370"/>
      <c r="JZ21" s="370"/>
      <c r="KA21" s="370"/>
      <c r="KB21" s="370"/>
      <c r="KC21" s="370"/>
      <c r="KD21" s="370"/>
      <c r="KE21" s="370"/>
      <c r="KF21" s="370"/>
      <c r="KG21" s="370"/>
      <c r="KH21" s="370"/>
      <c r="KI21" s="370"/>
      <c r="KJ21" s="370"/>
      <c r="KK21" s="370"/>
      <c r="KL21" s="370"/>
      <c r="KM21" s="370"/>
      <c r="KN21" s="370"/>
      <c r="KO21" s="370"/>
      <c r="KP21" s="370"/>
      <c r="KQ21" s="370"/>
      <c r="KR21" s="370"/>
      <c r="KS21" s="370"/>
      <c r="KT21" s="370"/>
      <c r="KU21" s="370"/>
      <c r="KV21" s="370"/>
      <c r="KW21" s="370"/>
      <c r="KX21" s="370"/>
      <c r="KY21" s="370"/>
      <c r="KZ21" s="370"/>
      <c r="LA21" s="370"/>
      <c r="LB21" s="370"/>
      <c r="LC21" s="370"/>
      <c r="LD21" s="370"/>
      <c r="LE21" s="370"/>
      <c r="LF21" s="370"/>
      <c r="LG21" s="370"/>
      <c r="LH21" s="370"/>
      <c r="LI21" s="370"/>
      <c r="LJ21" s="370"/>
      <c r="LK21" s="370"/>
      <c r="LL21" s="370"/>
      <c r="LM21" s="370"/>
      <c r="LN21" s="370"/>
      <c r="LO21" s="370"/>
      <c r="LP21" s="370"/>
      <c r="LQ21" s="370"/>
      <c r="LR21" s="370"/>
      <c r="LS21" s="370"/>
      <c r="LT21" s="370"/>
      <c r="LU21" s="370"/>
      <c r="LV21" s="370"/>
      <c r="LW21" s="370"/>
      <c r="LX21" s="370"/>
      <c r="LY21" s="370"/>
      <c r="LZ21" s="370"/>
      <c r="MA21" s="370"/>
      <c r="MB21" s="370"/>
      <c r="MC21" s="370"/>
      <c r="MD21" s="370"/>
      <c r="ME21" s="370"/>
      <c r="MF21" s="370"/>
      <c r="MG21" s="370"/>
      <c r="MH21" s="370"/>
      <c r="MI21" s="370"/>
      <c r="MJ21" s="370"/>
      <c r="MK21" s="370"/>
      <c r="ML21" s="370"/>
      <c r="MM21" s="370"/>
      <c r="MN21" s="370"/>
      <c r="MO21" s="370"/>
      <c r="MP21" s="370"/>
      <c r="MQ21" s="370"/>
      <c r="MR21" s="370"/>
      <c r="MS21" s="370"/>
      <c r="MT21" s="370"/>
      <c r="MU21" s="370"/>
      <c r="MV21" s="370"/>
      <c r="MW21" s="370"/>
      <c r="MX21" s="370"/>
      <c r="MY21" s="370"/>
      <c r="MZ21" s="370"/>
      <c r="NA21" s="370"/>
      <c r="NB21" s="370"/>
      <c r="NC21" s="370"/>
      <c r="ND21" s="176">
        <f t="shared" si="0"/>
        <v>0</v>
      </c>
    </row>
    <row r="22" spans="1:368" s="361" customFormat="1" ht="13.5" customHeight="1">
      <c r="A22" s="407"/>
      <c r="B22" s="352" t="s">
        <v>147</v>
      </c>
      <c r="C22" s="370"/>
      <c r="D22" s="370"/>
      <c r="E22" s="370"/>
      <c r="F22" s="370"/>
      <c r="G22" s="370"/>
      <c r="H22" s="370"/>
      <c r="I22" s="370"/>
      <c r="J22" s="370"/>
      <c r="K22" s="370"/>
      <c r="L22" s="370"/>
      <c r="M22" s="370"/>
      <c r="N22" s="370"/>
      <c r="O22" s="370"/>
      <c r="P22" s="370"/>
      <c r="Q22" s="370"/>
      <c r="R22" s="370"/>
      <c r="S22" s="370"/>
      <c r="T22" s="370"/>
      <c r="U22" s="370"/>
      <c r="V22" s="370"/>
      <c r="W22" s="370"/>
      <c r="X22" s="370"/>
      <c r="Y22" s="370"/>
      <c r="Z22" s="370"/>
      <c r="AA22" s="370"/>
      <c r="AB22" s="370"/>
      <c r="AC22" s="370"/>
      <c r="AD22" s="370"/>
      <c r="AE22" s="370"/>
      <c r="AF22" s="370"/>
      <c r="AG22" s="370"/>
      <c r="AH22" s="370"/>
      <c r="AI22" s="370"/>
      <c r="AJ22" s="370"/>
      <c r="AK22" s="370"/>
      <c r="AL22" s="370"/>
      <c r="AM22" s="370"/>
      <c r="AN22" s="370"/>
      <c r="AO22" s="370"/>
      <c r="AP22" s="370"/>
      <c r="AQ22" s="370"/>
      <c r="AR22" s="370"/>
      <c r="AS22" s="370"/>
      <c r="AT22" s="370"/>
      <c r="AU22" s="370"/>
      <c r="AV22" s="370"/>
      <c r="AW22" s="370"/>
      <c r="AX22" s="370"/>
      <c r="AY22" s="370"/>
      <c r="AZ22" s="370"/>
      <c r="BA22" s="370"/>
      <c r="BB22" s="370"/>
      <c r="BC22" s="370"/>
      <c r="BD22" s="370"/>
      <c r="BE22" s="370"/>
      <c r="BF22" s="370"/>
      <c r="BG22" s="370"/>
      <c r="BH22" s="370"/>
      <c r="BI22" s="370"/>
      <c r="BJ22" s="370"/>
      <c r="BK22" s="370"/>
      <c r="BL22" s="370"/>
      <c r="BM22" s="370"/>
      <c r="BN22" s="370"/>
      <c r="BO22" s="370"/>
      <c r="BP22" s="370"/>
      <c r="BQ22" s="370"/>
      <c r="BR22" s="370"/>
      <c r="BS22" s="370"/>
      <c r="BT22" s="370"/>
      <c r="BU22" s="370"/>
      <c r="BV22" s="370"/>
      <c r="BW22" s="370"/>
      <c r="BX22" s="370"/>
      <c r="BY22" s="370"/>
      <c r="BZ22" s="370"/>
      <c r="CA22" s="370"/>
      <c r="CB22" s="370"/>
      <c r="CC22" s="370"/>
      <c r="CD22" s="370"/>
      <c r="CE22" s="370"/>
      <c r="CF22" s="370"/>
      <c r="CG22" s="370"/>
      <c r="CH22" s="370"/>
      <c r="CI22" s="370"/>
      <c r="CJ22" s="370"/>
      <c r="CK22" s="370"/>
      <c r="CL22" s="370"/>
      <c r="CM22" s="370"/>
      <c r="CN22" s="370"/>
      <c r="CO22" s="370"/>
      <c r="CP22" s="370"/>
      <c r="CQ22" s="370"/>
      <c r="CR22" s="370"/>
      <c r="CS22" s="370"/>
      <c r="CT22" s="370"/>
      <c r="CU22" s="370"/>
      <c r="CV22" s="370"/>
      <c r="CW22" s="370"/>
      <c r="CX22" s="370"/>
      <c r="CY22" s="370"/>
      <c r="CZ22" s="370"/>
      <c r="DA22" s="370"/>
      <c r="DB22" s="370"/>
      <c r="DC22" s="370"/>
      <c r="DD22" s="370"/>
      <c r="DE22" s="370"/>
      <c r="DF22" s="370"/>
      <c r="DG22" s="370"/>
      <c r="DH22" s="370"/>
      <c r="DI22" s="370"/>
      <c r="DJ22" s="370"/>
      <c r="DK22" s="370"/>
      <c r="DL22" s="370"/>
      <c r="DM22" s="370"/>
      <c r="DN22" s="370"/>
      <c r="DO22" s="370"/>
      <c r="DP22" s="370"/>
      <c r="DQ22" s="370"/>
      <c r="DR22" s="370"/>
      <c r="DS22" s="370"/>
      <c r="DT22" s="370"/>
      <c r="DU22" s="370"/>
      <c r="DV22" s="370"/>
      <c r="DW22" s="370"/>
      <c r="DX22" s="370"/>
      <c r="DY22" s="370"/>
      <c r="DZ22" s="370"/>
      <c r="EA22" s="370"/>
      <c r="EB22" s="370"/>
      <c r="EC22" s="370"/>
      <c r="ED22" s="370"/>
      <c r="EE22" s="370"/>
      <c r="EF22" s="370"/>
      <c r="EG22" s="370"/>
      <c r="EH22" s="370"/>
      <c r="EI22" s="370"/>
      <c r="EJ22" s="370"/>
      <c r="EK22" s="370"/>
      <c r="EL22" s="370"/>
      <c r="EM22" s="370"/>
      <c r="EN22" s="370"/>
      <c r="EO22" s="370"/>
      <c r="EP22" s="370"/>
      <c r="EQ22" s="370"/>
      <c r="ER22" s="370"/>
      <c r="ES22" s="370"/>
      <c r="ET22" s="370"/>
      <c r="EU22" s="370"/>
      <c r="EV22" s="370"/>
      <c r="EW22" s="370"/>
      <c r="EX22" s="370"/>
      <c r="EY22" s="370"/>
      <c r="EZ22" s="370"/>
      <c r="FA22" s="370"/>
      <c r="FB22" s="370"/>
      <c r="FC22" s="370"/>
      <c r="FD22" s="370"/>
      <c r="FE22" s="370"/>
      <c r="FF22" s="370"/>
      <c r="FG22" s="370"/>
      <c r="FH22" s="370"/>
      <c r="FI22" s="370"/>
      <c r="FJ22" s="370"/>
      <c r="FK22" s="370"/>
      <c r="FL22" s="370"/>
      <c r="FM22" s="370"/>
      <c r="FN22" s="370"/>
      <c r="FO22" s="370"/>
      <c r="FP22" s="370"/>
      <c r="FQ22" s="370"/>
      <c r="FR22" s="370"/>
      <c r="FS22" s="370"/>
      <c r="FT22" s="370"/>
      <c r="FU22" s="370"/>
      <c r="FV22" s="370"/>
      <c r="FW22" s="370"/>
      <c r="FX22" s="370"/>
      <c r="FY22" s="370"/>
      <c r="FZ22" s="370"/>
      <c r="GA22" s="370"/>
      <c r="GB22" s="370"/>
      <c r="GC22" s="370"/>
      <c r="GD22" s="370"/>
      <c r="GE22" s="370"/>
      <c r="GF22" s="370"/>
      <c r="GG22" s="370"/>
      <c r="GH22" s="370"/>
      <c r="GI22" s="370"/>
      <c r="GJ22" s="370"/>
      <c r="GK22" s="370"/>
      <c r="GL22" s="370"/>
      <c r="GM22" s="370"/>
      <c r="GN22" s="370"/>
      <c r="GO22" s="370"/>
      <c r="GP22" s="370"/>
      <c r="GQ22" s="370"/>
      <c r="GR22" s="370"/>
      <c r="GS22" s="370"/>
      <c r="GT22" s="370"/>
      <c r="GU22" s="370"/>
      <c r="GV22" s="370"/>
      <c r="GW22" s="370"/>
      <c r="GX22" s="370"/>
      <c r="GY22" s="370"/>
      <c r="GZ22" s="370"/>
      <c r="HA22" s="370"/>
      <c r="HB22" s="370"/>
      <c r="HC22" s="370"/>
      <c r="HD22" s="370"/>
      <c r="HE22" s="370"/>
      <c r="HF22" s="370"/>
      <c r="HG22" s="370"/>
      <c r="HH22" s="370"/>
      <c r="HI22" s="370"/>
      <c r="HJ22" s="370"/>
      <c r="HK22" s="370"/>
      <c r="HL22" s="370"/>
      <c r="HM22" s="370"/>
      <c r="HN22" s="370"/>
      <c r="HO22" s="370"/>
      <c r="HP22" s="370"/>
      <c r="HQ22" s="370"/>
      <c r="HR22" s="370"/>
      <c r="HS22" s="370"/>
      <c r="HT22" s="370"/>
      <c r="HU22" s="370"/>
      <c r="HV22" s="370"/>
      <c r="HW22" s="370"/>
      <c r="HX22" s="370"/>
      <c r="HY22" s="370"/>
      <c r="HZ22" s="370"/>
      <c r="IA22" s="370"/>
      <c r="IB22" s="370"/>
      <c r="IC22" s="370"/>
      <c r="ID22" s="370"/>
      <c r="IE22" s="370"/>
      <c r="IF22" s="370"/>
      <c r="IG22" s="370"/>
      <c r="IH22" s="370"/>
      <c r="II22" s="370"/>
      <c r="IJ22" s="370"/>
      <c r="IK22" s="370"/>
      <c r="IL22" s="370"/>
      <c r="IM22" s="370"/>
      <c r="IN22" s="370"/>
      <c r="IO22" s="370"/>
      <c r="IP22" s="370"/>
      <c r="IQ22" s="370"/>
      <c r="IR22" s="370"/>
      <c r="IS22" s="370"/>
      <c r="IT22" s="370"/>
      <c r="IU22" s="370"/>
      <c r="IV22" s="370"/>
      <c r="IW22" s="370"/>
      <c r="IX22" s="370"/>
      <c r="IY22" s="370"/>
      <c r="IZ22" s="370"/>
      <c r="JA22" s="370"/>
      <c r="JB22" s="370"/>
      <c r="JC22" s="370"/>
      <c r="JD22" s="370"/>
      <c r="JE22" s="370"/>
      <c r="JF22" s="370"/>
      <c r="JG22" s="370"/>
      <c r="JH22" s="370"/>
      <c r="JI22" s="370"/>
      <c r="JJ22" s="370"/>
      <c r="JK22" s="370"/>
      <c r="JL22" s="370"/>
      <c r="JM22" s="370"/>
      <c r="JN22" s="370"/>
      <c r="JO22" s="370"/>
      <c r="JP22" s="370"/>
      <c r="JQ22" s="370"/>
      <c r="JR22" s="370"/>
      <c r="JS22" s="370"/>
      <c r="JT22" s="370"/>
      <c r="JU22" s="370"/>
      <c r="JV22" s="370"/>
      <c r="JW22" s="370"/>
      <c r="JX22" s="370"/>
      <c r="JY22" s="370"/>
      <c r="JZ22" s="370"/>
      <c r="KA22" s="370"/>
      <c r="KB22" s="370"/>
      <c r="KC22" s="370"/>
      <c r="KD22" s="370"/>
      <c r="KE22" s="370"/>
      <c r="KF22" s="370"/>
      <c r="KG22" s="370"/>
      <c r="KH22" s="370"/>
      <c r="KI22" s="370"/>
      <c r="KJ22" s="370"/>
      <c r="KK22" s="370"/>
      <c r="KL22" s="370"/>
      <c r="KM22" s="370"/>
      <c r="KN22" s="370"/>
      <c r="KO22" s="370"/>
      <c r="KP22" s="370"/>
      <c r="KQ22" s="370"/>
      <c r="KR22" s="370"/>
      <c r="KS22" s="370"/>
      <c r="KT22" s="370"/>
      <c r="KU22" s="370"/>
      <c r="KV22" s="370"/>
      <c r="KW22" s="370"/>
      <c r="KX22" s="370"/>
      <c r="KY22" s="370"/>
      <c r="KZ22" s="370"/>
      <c r="LA22" s="370"/>
      <c r="LB22" s="370"/>
      <c r="LC22" s="370"/>
      <c r="LD22" s="370"/>
      <c r="LE22" s="370"/>
      <c r="LF22" s="370"/>
      <c r="LG22" s="370"/>
      <c r="LH22" s="370"/>
      <c r="LI22" s="370"/>
      <c r="LJ22" s="370"/>
      <c r="LK22" s="370"/>
      <c r="LL22" s="370"/>
      <c r="LM22" s="370"/>
      <c r="LN22" s="370"/>
      <c r="LO22" s="370"/>
      <c r="LP22" s="370"/>
      <c r="LQ22" s="370"/>
      <c r="LR22" s="370"/>
      <c r="LS22" s="370"/>
      <c r="LT22" s="370"/>
      <c r="LU22" s="370"/>
      <c r="LV22" s="370"/>
      <c r="LW22" s="370"/>
      <c r="LX22" s="370"/>
      <c r="LY22" s="370"/>
      <c r="LZ22" s="370"/>
      <c r="MA22" s="370"/>
      <c r="MB22" s="370"/>
      <c r="MC22" s="370"/>
      <c r="MD22" s="370"/>
      <c r="ME22" s="370"/>
      <c r="MF22" s="370"/>
      <c r="MG22" s="370"/>
      <c r="MH22" s="370"/>
      <c r="MI22" s="370"/>
      <c r="MJ22" s="370"/>
      <c r="MK22" s="370"/>
      <c r="ML22" s="370"/>
      <c r="MM22" s="370"/>
      <c r="MN22" s="370"/>
      <c r="MO22" s="370"/>
      <c r="MP22" s="370"/>
      <c r="MQ22" s="370"/>
      <c r="MR22" s="370"/>
      <c r="MS22" s="370"/>
      <c r="MT22" s="370"/>
      <c r="MU22" s="370"/>
      <c r="MV22" s="370"/>
      <c r="MW22" s="370"/>
      <c r="MX22" s="370"/>
      <c r="MY22" s="370"/>
      <c r="MZ22" s="370"/>
      <c r="NA22" s="370"/>
      <c r="NB22" s="370"/>
      <c r="NC22" s="370"/>
      <c r="ND22" s="176">
        <f t="shared" si="0"/>
        <v>0</v>
      </c>
    </row>
    <row r="23" spans="1:368" s="361" customFormat="1" ht="13.5" customHeight="1">
      <c r="A23" s="407"/>
      <c r="B23" s="352" t="s">
        <v>141</v>
      </c>
      <c r="C23" s="370"/>
      <c r="D23" s="370"/>
      <c r="E23" s="370"/>
      <c r="F23" s="370"/>
      <c r="G23" s="370"/>
      <c r="H23" s="370"/>
      <c r="I23" s="370"/>
      <c r="J23" s="370"/>
      <c r="K23" s="370"/>
      <c r="L23" s="370"/>
      <c r="M23" s="370"/>
      <c r="N23" s="370"/>
      <c r="O23" s="370"/>
      <c r="P23" s="370"/>
      <c r="Q23" s="370"/>
      <c r="R23" s="370"/>
      <c r="S23" s="370"/>
      <c r="T23" s="370"/>
      <c r="U23" s="370"/>
      <c r="V23" s="370"/>
      <c r="W23" s="370"/>
      <c r="X23" s="370"/>
      <c r="Y23" s="370"/>
      <c r="Z23" s="370"/>
      <c r="AA23" s="370"/>
      <c r="AB23" s="370"/>
      <c r="AC23" s="370"/>
      <c r="AD23" s="370"/>
      <c r="AE23" s="370"/>
      <c r="AF23" s="370"/>
      <c r="AG23" s="370"/>
      <c r="AH23" s="370"/>
      <c r="AI23" s="370"/>
      <c r="AJ23" s="370"/>
      <c r="AK23" s="370"/>
      <c r="AL23" s="370"/>
      <c r="AM23" s="370"/>
      <c r="AN23" s="370"/>
      <c r="AO23" s="370"/>
      <c r="AP23" s="370"/>
      <c r="AQ23" s="370"/>
      <c r="AR23" s="370"/>
      <c r="AS23" s="370"/>
      <c r="AT23" s="370"/>
      <c r="AU23" s="370"/>
      <c r="AV23" s="370"/>
      <c r="AW23" s="370"/>
      <c r="AX23" s="370"/>
      <c r="AY23" s="370"/>
      <c r="AZ23" s="370"/>
      <c r="BA23" s="370"/>
      <c r="BB23" s="370"/>
      <c r="BC23" s="370"/>
      <c r="BD23" s="370"/>
      <c r="BE23" s="370"/>
      <c r="BF23" s="370"/>
      <c r="BG23" s="370"/>
      <c r="BH23" s="370"/>
      <c r="BI23" s="370"/>
      <c r="BJ23" s="370"/>
      <c r="BK23" s="370"/>
      <c r="BL23" s="370"/>
      <c r="BM23" s="370"/>
      <c r="BN23" s="370"/>
      <c r="BO23" s="370"/>
      <c r="BP23" s="370"/>
      <c r="BQ23" s="370"/>
      <c r="BR23" s="370"/>
      <c r="BS23" s="370"/>
      <c r="BT23" s="370"/>
      <c r="BU23" s="370"/>
      <c r="BV23" s="370"/>
      <c r="BW23" s="370"/>
      <c r="BX23" s="370"/>
      <c r="BY23" s="370"/>
      <c r="BZ23" s="370"/>
      <c r="CA23" s="370"/>
      <c r="CB23" s="370"/>
      <c r="CC23" s="370"/>
      <c r="CD23" s="370"/>
      <c r="CE23" s="370"/>
      <c r="CF23" s="370"/>
      <c r="CG23" s="370"/>
      <c r="CH23" s="370"/>
      <c r="CI23" s="370"/>
      <c r="CJ23" s="370"/>
      <c r="CK23" s="370"/>
      <c r="CL23" s="370"/>
      <c r="CM23" s="370"/>
      <c r="CN23" s="370"/>
      <c r="CO23" s="370"/>
      <c r="CP23" s="370"/>
      <c r="CQ23" s="370"/>
      <c r="CR23" s="370"/>
      <c r="CS23" s="370"/>
      <c r="CT23" s="370"/>
      <c r="CU23" s="370"/>
      <c r="CV23" s="370"/>
      <c r="CW23" s="370"/>
      <c r="CX23" s="370"/>
      <c r="CY23" s="370"/>
      <c r="CZ23" s="370"/>
      <c r="DA23" s="370"/>
      <c r="DB23" s="370"/>
      <c r="DC23" s="370"/>
      <c r="DD23" s="370"/>
      <c r="DE23" s="370"/>
      <c r="DF23" s="370"/>
      <c r="DG23" s="370"/>
      <c r="DH23" s="370"/>
      <c r="DI23" s="370"/>
      <c r="DJ23" s="370"/>
      <c r="DK23" s="370"/>
      <c r="DL23" s="370"/>
      <c r="DM23" s="370"/>
      <c r="DN23" s="370"/>
      <c r="DO23" s="370"/>
      <c r="DP23" s="370"/>
      <c r="DQ23" s="370"/>
      <c r="DR23" s="370"/>
      <c r="DS23" s="370"/>
      <c r="DT23" s="370"/>
      <c r="DU23" s="370"/>
      <c r="DV23" s="370"/>
      <c r="DW23" s="370"/>
      <c r="DX23" s="370"/>
      <c r="DY23" s="370"/>
      <c r="DZ23" s="370"/>
      <c r="EA23" s="370"/>
      <c r="EB23" s="370"/>
      <c r="EC23" s="370"/>
      <c r="ED23" s="370"/>
      <c r="EE23" s="370"/>
      <c r="EF23" s="370"/>
      <c r="EG23" s="370"/>
      <c r="EH23" s="370"/>
      <c r="EI23" s="370"/>
      <c r="EJ23" s="370"/>
      <c r="EK23" s="370"/>
      <c r="EL23" s="370"/>
      <c r="EM23" s="370"/>
      <c r="EN23" s="370"/>
      <c r="EO23" s="370"/>
      <c r="EP23" s="370"/>
      <c r="EQ23" s="370"/>
      <c r="ER23" s="370"/>
      <c r="ES23" s="370"/>
      <c r="ET23" s="370"/>
      <c r="EU23" s="370"/>
      <c r="EV23" s="370"/>
      <c r="EW23" s="370"/>
      <c r="EX23" s="370"/>
      <c r="EY23" s="370"/>
      <c r="EZ23" s="370"/>
      <c r="FA23" s="370"/>
      <c r="FB23" s="370"/>
      <c r="FC23" s="370"/>
      <c r="FD23" s="370"/>
      <c r="FE23" s="370"/>
      <c r="FF23" s="370"/>
      <c r="FG23" s="370"/>
      <c r="FH23" s="370"/>
      <c r="FI23" s="370"/>
      <c r="FJ23" s="370"/>
      <c r="FK23" s="370"/>
      <c r="FL23" s="370"/>
      <c r="FM23" s="370"/>
      <c r="FN23" s="370"/>
      <c r="FO23" s="370"/>
      <c r="FP23" s="370"/>
      <c r="FQ23" s="370"/>
      <c r="FR23" s="370"/>
      <c r="FS23" s="370"/>
      <c r="FT23" s="370"/>
      <c r="FU23" s="370"/>
      <c r="FV23" s="370"/>
      <c r="FW23" s="370"/>
      <c r="FX23" s="370"/>
      <c r="FY23" s="370"/>
      <c r="FZ23" s="370"/>
      <c r="GA23" s="370"/>
      <c r="GB23" s="370"/>
      <c r="GC23" s="370"/>
      <c r="GD23" s="370"/>
      <c r="GE23" s="370"/>
      <c r="GF23" s="370"/>
      <c r="GG23" s="370"/>
      <c r="GH23" s="370"/>
      <c r="GI23" s="370"/>
      <c r="GJ23" s="370"/>
      <c r="GK23" s="370"/>
      <c r="GL23" s="370"/>
      <c r="GM23" s="370"/>
      <c r="GN23" s="370"/>
      <c r="GO23" s="370"/>
      <c r="GP23" s="370"/>
      <c r="GQ23" s="370"/>
      <c r="GR23" s="370"/>
      <c r="GS23" s="370"/>
      <c r="GT23" s="370"/>
      <c r="GU23" s="370"/>
      <c r="GV23" s="370"/>
      <c r="GW23" s="370"/>
      <c r="GX23" s="370"/>
      <c r="GY23" s="370"/>
      <c r="GZ23" s="370"/>
      <c r="HA23" s="370"/>
      <c r="HB23" s="370"/>
      <c r="HC23" s="370"/>
      <c r="HD23" s="370"/>
      <c r="HE23" s="370"/>
      <c r="HF23" s="370"/>
      <c r="HG23" s="370"/>
      <c r="HH23" s="370"/>
      <c r="HI23" s="370"/>
      <c r="HJ23" s="370"/>
      <c r="HK23" s="370"/>
      <c r="HL23" s="370"/>
      <c r="HM23" s="370"/>
      <c r="HN23" s="370"/>
      <c r="HO23" s="370"/>
      <c r="HP23" s="370"/>
      <c r="HQ23" s="370"/>
      <c r="HR23" s="370"/>
      <c r="HS23" s="370"/>
      <c r="HT23" s="370"/>
      <c r="HU23" s="370"/>
      <c r="HV23" s="370"/>
      <c r="HW23" s="370"/>
      <c r="HX23" s="370"/>
      <c r="HY23" s="370"/>
      <c r="HZ23" s="370"/>
      <c r="IA23" s="370"/>
      <c r="IB23" s="370"/>
      <c r="IC23" s="370"/>
      <c r="ID23" s="370"/>
      <c r="IE23" s="370"/>
      <c r="IF23" s="370"/>
      <c r="IG23" s="370"/>
      <c r="IH23" s="370"/>
      <c r="II23" s="370"/>
      <c r="IJ23" s="370"/>
      <c r="IK23" s="370"/>
      <c r="IL23" s="370"/>
      <c r="IM23" s="370"/>
      <c r="IN23" s="370"/>
      <c r="IO23" s="370"/>
      <c r="IP23" s="370"/>
      <c r="IQ23" s="370"/>
      <c r="IR23" s="370"/>
      <c r="IS23" s="370"/>
      <c r="IT23" s="370"/>
      <c r="IU23" s="370"/>
      <c r="IV23" s="370"/>
      <c r="IW23" s="370"/>
      <c r="IX23" s="370"/>
      <c r="IY23" s="370"/>
      <c r="IZ23" s="370"/>
      <c r="JA23" s="370"/>
      <c r="JB23" s="370"/>
      <c r="JC23" s="370"/>
      <c r="JD23" s="370"/>
      <c r="JE23" s="370"/>
      <c r="JF23" s="370"/>
      <c r="JG23" s="370"/>
      <c r="JH23" s="370"/>
      <c r="JI23" s="370"/>
      <c r="JJ23" s="370"/>
      <c r="JK23" s="370"/>
      <c r="JL23" s="370"/>
      <c r="JM23" s="370"/>
      <c r="JN23" s="370"/>
      <c r="JO23" s="370"/>
      <c r="JP23" s="370"/>
      <c r="JQ23" s="370"/>
      <c r="JR23" s="370"/>
      <c r="JS23" s="370"/>
      <c r="JT23" s="370"/>
      <c r="JU23" s="370"/>
      <c r="JV23" s="370"/>
      <c r="JW23" s="370"/>
      <c r="JX23" s="370"/>
      <c r="JY23" s="370"/>
      <c r="JZ23" s="370"/>
      <c r="KA23" s="370"/>
      <c r="KB23" s="370"/>
      <c r="KC23" s="370"/>
      <c r="KD23" s="370"/>
      <c r="KE23" s="370"/>
      <c r="KF23" s="370"/>
      <c r="KG23" s="370"/>
      <c r="KH23" s="370"/>
      <c r="KI23" s="370"/>
      <c r="KJ23" s="370"/>
      <c r="KK23" s="370"/>
      <c r="KL23" s="370"/>
      <c r="KM23" s="370"/>
      <c r="KN23" s="370"/>
      <c r="KO23" s="370"/>
      <c r="KP23" s="370"/>
      <c r="KQ23" s="370"/>
      <c r="KR23" s="370"/>
      <c r="KS23" s="370"/>
      <c r="KT23" s="370"/>
      <c r="KU23" s="370"/>
      <c r="KV23" s="370"/>
      <c r="KW23" s="370"/>
      <c r="KX23" s="370"/>
      <c r="KY23" s="370"/>
      <c r="KZ23" s="370"/>
      <c r="LA23" s="370"/>
      <c r="LB23" s="370"/>
      <c r="LC23" s="370"/>
      <c r="LD23" s="370"/>
      <c r="LE23" s="370"/>
      <c r="LF23" s="370"/>
      <c r="LG23" s="370"/>
      <c r="LH23" s="370"/>
      <c r="LI23" s="370"/>
      <c r="LJ23" s="370"/>
      <c r="LK23" s="370"/>
      <c r="LL23" s="370"/>
      <c r="LM23" s="370"/>
      <c r="LN23" s="370"/>
      <c r="LO23" s="370"/>
      <c r="LP23" s="370"/>
      <c r="LQ23" s="370"/>
      <c r="LR23" s="370"/>
      <c r="LS23" s="370"/>
      <c r="LT23" s="370"/>
      <c r="LU23" s="370"/>
      <c r="LV23" s="370"/>
      <c r="LW23" s="370"/>
      <c r="LX23" s="370"/>
      <c r="LY23" s="370"/>
      <c r="LZ23" s="370"/>
      <c r="MA23" s="370"/>
      <c r="MB23" s="370"/>
      <c r="MC23" s="370"/>
      <c r="MD23" s="370"/>
      <c r="ME23" s="370"/>
      <c r="MF23" s="370"/>
      <c r="MG23" s="370"/>
      <c r="MH23" s="370"/>
      <c r="MI23" s="370"/>
      <c r="MJ23" s="370"/>
      <c r="MK23" s="370"/>
      <c r="ML23" s="370"/>
      <c r="MM23" s="370"/>
      <c r="MN23" s="370"/>
      <c r="MO23" s="370"/>
      <c r="MP23" s="370"/>
      <c r="MQ23" s="370"/>
      <c r="MR23" s="370"/>
      <c r="MS23" s="370"/>
      <c r="MT23" s="370"/>
      <c r="MU23" s="370"/>
      <c r="MV23" s="370"/>
      <c r="MW23" s="370"/>
      <c r="MX23" s="370"/>
      <c r="MY23" s="370"/>
      <c r="MZ23" s="370"/>
      <c r="NA23" s="370"/>
      <c r="NB23" s="370"/>
      <c r="NC23" s="370"/>
      <c r="ND23" s="176">
        <f t="shared" si="0"/>
        <v>0</v>
      </c>
    </row>
    <row r="24" spans="1:368" s="361" customFormat="1" ht="13.5" customHeight="1">
      <c r="A24" s="407"/>
      <c r="B24" s="352" t="s">
        <v>143</v>
      </c>
      <c r="C24" s="370"/>
      <c r="D24" s="370"/>
      <c r="E24" s="370"/>
      <c r="F24" s="370"/>
      <c r="G24" s="370"/>
      <c r="H24" s="370"/>
      <c r="I24" s="370"/>
      <c r="J24" s="370"/>
      <c r="K24" s="370"/>
      <c r="L24" s="370"/>
      <c r="M24" s="370"/>
      <c r="N24" s="370"/>
      <c r="O24" s="370"/>
      <c r="P24" s="370"/>
      <c r="Q24" s="370"/>
      <c r="R24" s="370"/>
      <c r="S24" s="370"/>
      <c r="T24" s="370"/>
      <c r="U24" s="370"/>
      <c r="V24" s="370"/>
      <c r="W24" s="370"/>
      <c r="X24" s="370"/>
      <c r="Y24" s="370"/>
      <c r="Z24" s="370"/>
      <c r="AA24" s="370"/>
      <c r="AB24" s="370"/>
      <c r="AC24" s="370"/>
      <c r="AD24" s="370"/>
      <c r="AE24" s="370"/>
      <c r="AF24" s="370"/>
      <c r="AG24" s="370"/>
      <c r="AH24" s="370"/>
      <c r="AI24" s="370"/>
      <c r="AJ24" s="370"/>
      <c r="AK24" s="370"/>
      <c r="AL24" s="370"/>
      <c r="AM24" s="370"/>
      <c r="AN24" s="370"/>
      <c r="AO24" s="370"/>
      <c r="AP24" s="370"/>
      <c r="AQ24" s="370"/>
      <c r="AR24" s="370"/>
      <c r="AS24" s="370"/>
      <c r="AT24" s="370"/>
      <c r="AU24" s="370"/>
      <c r="AV24" s="370"/>
      <c r="AW24" s="370"/>
      <c r="AX24" s="370"/>
      <c r="AY24" s="370"/>
      <c r="AZ24" s="370"/>
      <c r="BA24" s="370"/>
      <c r="BB24" s="370"/>
      <c r="BC24" s="370"/>
      <c r="BD24" s="370"/>
      <c r="BE24" s="370"/>
      <c r="BF24" s="370"/>
      <c r="BG24" s="370"/>
      <c r="BH24" s="370"/>
      <c r="BI24" s="370"/>
      <c r="BJ24" s="370"/>
      <c r="BK24" s="370"/>
      <c r="BL24" s="370"/>
      <c r="BM24" s="370"/>
      <c r="BN24" s="370"/>
      <c r="BO24" s="370"/>
      <c r="BP24" s="370"/>
      <c r="BQ24" s="370"/>
      <c r="BR24" s="370"/>
      <c r="BS24" s="370"/>
      <c r="BT24" s="370"/>
      <c r="BU24" s="370"/>
      <c r="BV24" s="370"/>
      <c r="BW24" s="370"/>
      <c r="BX24" s="370"/>
      <c r="BY24" s="370"/>
      <c r="BZ24" s="370"/>
      <c r="CA24" s="370"/>
      <c r="CB24" s="370"/>
      <c r="CC24" s="370"/>
      <c r="CD24" s="370"/>
      <c r="CE24" s="370"/>
      <c r="CF24" s="370"/>
      <c r="CG24" s="370"/>
      <c r="CH24" s="370"/>
      <c r="CI24" s="370"/>
      <c r="CJ24" s="370"/>
      <c r="CK24" s="370"/>
      <c r="CL24" s="370"/>
      <c r="CM24" s="370"/>
      <c r="CN24" s="370"/>
      <c r="CO24" s="370"/>
      <c r="CP24" s="370"/>
      <c r="CQ24" s="370"/>
      <c r="CR24" s="370"/>
      <c r="CS24" s="370"/>
      <c r="CT24" s="370"/>
      <c r="CU24" s="370"/>
      <c r="CV24" s="370"/>
      <c r="CW24" s="370"/>
      <c r="CX24" s="370"/>
      <c r="CY24" s="370"/>
      <c r="CZ24" s="370"/>
      <c r="DA24" s="370"/>
      <c r="DB24" s="370"/>
      <c r="DC24" s="370"/>
      <c r="DD24" s="370"/>
      <c r="DE24" s="370"/>
      <c r="DF24" s="370"/>
      <c r="DG24" s="370"/>
      <c r="DH24" s="370"/>
      <c r="DI24" s="370"/>
      <c r="DJ24" s="370"/>
      <c r="DK24" s="370"/>
      <c r="DL24" s="370"/>
      <c r="DM24" s="370"/>
      <c r="DN24" s="370"/>
      <c r="DO24" s="370"/>
      <c r="DP24" s="370"/>
      <c r="DQ24" s="370"/>
      <c r="DR24" s="370"/>
      <c r="DS24" s="370"/>
      <c r="DT24" s="370"/>
      <c r="DU24" s="370"/>
      <c r="DV24" s="370"/>
      <c r="DW24" s="370"/>
      <c r="DX24" s="370"/>
      <c r="DY24" s="370"/>
      <c r="DZ24" s="370"/>
      <c r="EA24" s="370"/>
      <c r="EB24" s="370"/>
      <c r="EC24" s="370"/>
      <c r="ED24" s="370"/>
      <c r="EE24" s="370"/>
      <c r="EF24" s="370"/>
      <c r="EG24" s="370"/>
      <c r="EH24" s="370"/>
      <c r="EI24" s="370"/>
      <c r="EJ24" s="370"/>
      <c r="EK24" s="370"/>
      <c r="EL24" s="370"/>
      <c r="EM24" s="370"/>
      <c r="EN24" s="370"/>
      <c r="EO24" s="370"/>
      <c r="EP24" s="370"/>
      <c r="EQ24" s="370"/>
      <c r="ER24" s="370"/>
      <c r="ES24" s="370"/>
      <c r="ET24" s="370"/>
      <c r="EU24" s="370"/>
      <c r="EV24" s="370"/>
      <c r="EW24" s="370"/>
      <c r="EX24" s="370"/>
      <c r="EY24" s="370"/>
      <c r="EZ24" s="370"/>
      <c r="FA24" s="370"/>
      <c r="FB24" s="370"/>
      <c r="FC24" s="370"/>
      <c r="FD24" s="370"/>
      <c r="FE24" s="370"/>
      <c r="FF24" s="370"/>
      <c r="FG24" s="370"/>
      <c r="FH24" s="370"/>
      <c r="FI24" s="370"/>
      <c r="FJ24" s="370"/>
      <c r="FK24" s="370"/>
      <c r="FL24" s="370"/>
      <c r="FM24" s="370"/>
      <c r="FN24" s="370"/>
      <c r="FO24" s="370"/>
      <c r="FP24" s="370"/>
      <c r="FQ24" s="370"/>
      <c r="FR24" s="370"/>
      <c r="FS24" s="370"/>
      <c r="FT24" s="370"/>
      <c r="FU24" s="370"/>
      <c r="FV24" s="370"/>
      <c r="FW24" s="370"/>
      <c r="FX24" s="370"/>
      <c r="FY24" s="370"/>
      <c r="FZ24" s="370"/>
      <c r="GA24" s="370"/>
      <c r="GB24" s="370"/>
      <c r="GC24" s="370"/>
      <c r="GD24" s="370"/>
      <c r="GE24" s="370"/>
      <c r="GF24" s="370"/>
      <c r="GG24" s="370"/>
      <c r="GH24" s="370"/>
      <c r="GI24" s="370"/>
      <c r="GJ24" s="370"/>
      <c r="GK24" s="370"/>
      <c r="GL24" s="370"/>
      <c r="GM24" s="370"/>
      <c r="GN24" s="370"/>
      <c r="GO24" s="370"/>
      <c r="GP24" s="370"/>
      <c r="GQ24" s="370"/>
      <c r="GR24" s="370"/>
      <c r="GS24" s="370"/>
      <c r="GT24" s="370"/>
      <c r="GU24" s="370"/>
      <c r="GV24" s="370"/>
      <c r="GW24" s="370"/>
      <c r="GX24" s="370"/>
      <c r="GY24" s="370"/>
      <c r="GZ24" s="370"/>
      <c r="HA24" s="370"/>
      <c r="HB24" s="370"/>
      <c r="HC24" s="370"/>
      <c r="HD24" s="370"/>
      <c r="HE24" s="370"/>
      <c r="HF24" s="370"/>
      <c r="HG24" s="370"/>
      <c r="HH24" s="370"/>
      <c r="HI24" s="370"/>
      <c r="HJ24" s="370"/>
      <c r="HK24" s="370"/>
      <c r="HL24" s="370"/>
      <c r="HM24" s="370"/>
      <c r="HN24" s="370"/>
      <c r="HO24" s="370"/>
      <c r="HP24" s="370"/>
      <c r="HQ24" s="370"/>
      <c r="HR24" s="370"/>
      <c r="HS24" s="370"/>
      <c r="HT24" s="370"/>
      <c r="HU24" s="370"/>
      <c r="HV24" s="370"/>
      <c r="HW24" s="370"/>
      <c r="HX24" s="370"/>
      <c r="HY24" s="370"/>
      <c r="HZ24" s="370"/>
      <c r="IA24" s="370"/>
      <c r="IB24" s="370"/>
      <c r="IC24" s="370"/>
      <c r="ID24" s="370"/>
      <c r="IE24" s="370"/>
      <c r="IF24" s="370"/>
      <c r="IG24" s="370"/>
      <c r="IH24" s="370"/>
      <c r="II24" s="370"/>
      <c r="IJ24" s="370"/>
      <c r="IK24" s="370"/>
      <c r="IL24" s="370"/>
      <c r="IM24" s="370"/>
      <c r="IN24" s="370"/>
      <c r="IO24" s="370"/>
      <c r="IP24" s="370"/>
      <c r="IQ24" s="370"/>
      <c r="IR24" s="370"/>
      <c r="IS24" s="370"/>
      <c r="IT24" s="370"/>
      <c r="IU24" s="370"/>
      <c r="IV24" s="370"/>
      <c r="IW24" s="370"/>
      <c r="IX24" s="370"/>
      <c r="IY24" s="370"/>
      <c r="IZ24" s="370"/>
      <c r="JA24" s="370"/>
      <c r="JB24" s="370"/>
      <c r="JC24" s="370"/>
      <c r="JD24" s="370"/>
      <c r="JE24" s="370"/>
      <c r="JF24" s="370"/>
      <c r="JG24" s="370"/>
      <c r="JH24" s="370"/>
      <c r="JI24" s="370"/>
      <c r="JJ24" s="370"/>
      <c r="JK24" s="370"/>
      <c r="JL24" s="370"/>
      <c r="JM24" s="370"/>
      <c r="JN24" s="370"/>
      <c r="JO24" s="370"/>
      <c r="JP24" s="370"/>
      <c r="JQ24" s="370"/>
      <c r="JR24" s="370"/>
      <c r="JS24" s="370"/>
      <c r="JT24" s="370"/>
      <c r="JU24" s="370"/>
      <c r="JV24" s="370"/>
      <c r="JW24" s="370"/>
      <c r="JX24" s="370"/>
      <c r="JY24" s="370"/>
      <c r="JZ24" s="370"/>
      <c r="KA24" s="370"/>
      <c r="KB24" s="370"/>
      <c r="KC24" s="370"/>
      <c r="KD24" s="370"/>
      <c r="KE24" s="370"/>
      <c r="KF24" s="370"/>
      <c r="KG24" s="370"/>
      <c r="KH24" s="370"/>
      <c r="KI24" s="370"/>
      <c r="KJ24" s="370"/>
      <c r="KK24" s="370"/>
      <c r="KL24" s="370"/>
      <c r="KM24" s="370"/>
      <c r="KN24" s="370"/>
      <c r="KO24" s="370"/>
      <c r="KP24" s="370"/>
      <c r="KQ24" s="370"/>
      <c r="KR24" s="370"/>
      <c r="KS24" s="370"/>
      <c r="KT24" s="370"/>
      <c r="KU24" s="370"/>
      <c r="KV24" s="370"/>
      <c r="KW24" s="370"/>
      <c r="KX24" s="370"/>
      <c r="KY24" s="370"/>
      <c r="KZ24" s="370"/>
      <c r="LA24" s="370"/>
      <c r="LB24" s="370"/>
      <c r="LC24" s="370"/>
      <c r="LD24" s="370"/>
      <c r="LE24" s="370"/>
      <c r="LF24" s="370"/>
      <c r="LG24" s="370"/>
      <c r="LH24" s="370"/>
      <c r="LI24" s="370"/>
      <c r="LJ24" s="370"/>
      <c r="LK24" s="370"/>
      <c r="LL24" s="370"/>
      <c r="LM24" s="370"/>
      <c r="LN24" s="370"/>
      <c r="LO24" s="370"/>
      <c r="LP24" s="370"/>
      <c r="LQ24" s="370"/>
      <c r="LR24" s="370"/>
      <c r="LS24" s="370"/>
      <c r="LT24" s="370"/>
      <c r="LU24" s="370"/>
      <c r="LV24" s="370"/>
      <c r="LW24" s="370"/>
      <c r="LX24" s="370"/>
      <c r="LY24" s="370"/>
      <c r="LZ24" s="370"/>
      <c r="MA24" s="370"/>
      <c r="MB24" s="370"/>
      <c r="MC24" s="370"/>
      <c r="MD24" s="370"/>
      <c r="ME24" s="370"/>
      <c r="MF24" s="370"/>
      <c r="MG24" s="370"/>
      <c r="MH24" s="370"/>
      <c r="MI24" s="370"/>
      <c r="MJ24" s="370"/>
      <c r="MK24" s="370"/>
      <c r="ML24" s="370"/>
      <c r="MM24" s="370"/>
      <c r="MN24" s="370"/>
      <c r="MO24" s="370"/>
      <c r="MP24" s="370"/>
      <c r="MQ24" s="370"/>
      <c r="MR24" s="370"/>
      <c r="MS24" s="370"/>
      <c r="MT24" s="370"/>
      <c r="MU24" s="370"/>
      <c r="MV24" s="370"/>
      <c r="MW24" s="370"/>
      <c r="MX24" s="370"/>
      <c r="MY24" s="370"/>
      <c r="MZ24" s="370"/>
      <c r="NA24" s="370"/>
      <c r="NB24" s="370"/>
      <c r="NC24" s="370"/>
      <c r="ND24" s="176">
        <f t="shared" si="0"/>
        <v>0</v>
      </c>
    </row>
    <row r="25" spans="1:368" s="361" customFormat="1" ht="13.5" customHeight="1">
      <c r="A25" s="407"/>
      <c r="B25" s="352" t="s">
        <v>142</v>
      </c>
      <c r="C25" s="370"/>
      <c r="D25" s="370"/>
      <c r="E25" s="370"/>
      <c r="F25" s="370"/>
      <c r="G25" s="370"/>
      <c r="H25" s="370"/>
      <c r="I25" s="370"/>
      <c r="J25" s="370"/>
      <c r="K25" s="370"/>
      <c r="L25" s="370"/>
      <c r="M25" s="370"/>
      <c r="N25" s="370"/>
      <c r="O25" s="370"/>
      <c r="P25" s="370"/>
      <c r="Q25" s="370"/>
      <c r="R25" s="370"/>
      <c r="S25" s="370"/>
      <c r="T25" s="370"/>
      <c r="U25" s="370"/>
      <c r="V25" s="370"/>
      <c r="W25" s="370"/>
      <c r="X25" s="370"/>
      <c r="Y25" s="370"/>
      <c r="Z25" s="370"/>
      <c r="AA25" s="370"/>
      <c r="AB25" s="370"/>
      <c r="AC25" s="370"/>
      <c r="AD25" s="370"/>
      <c r="AE25" s="370"/>
      <c r="AF25" s="370"/>
      <c r="AG25" s="370"/>
      <c r="AH25" s="370"/>
      <c r="AI25" s="370"/>
      <c r="AJ25" s="370"/>
      <c r="AK25" s="370"/>
      <c r="AL25" s="370"/>
      <c r="AM25" s="370"/>
      <c r="AN25" s="370"/>
      <c r="AO25" s="370"/>
      <c r="AP25" s="370"/>
      <c r="AQ25" s="370"/>
      <c r="AR25" s="370"/>
      <c r="AS25" s="370"/>
      <c r="AT25" s="370"/>
      <c r="AU25" s="370"/>
      <c r="AV25" s="370"/>
      <c r="AW25" s="370"/>
      <c r="AX25" s="370"/>
      <c r="AY25" s="370"/>
      <c r="AZ25" s="370"/>
      <c r="BA25" s="370"/>
      <c r="BB25" s="370"/>
      <c r="BC25" s="370"/>
      <c r="BD25" s="370"/>
      <c r="BE25" s="370"/>
      <c r="BF25" s="370"/>
      <c r="BG25" s="370"/>
      <c r="BH25" s="370"/>
      <c r="BI25" s="370"/>
      <c r="BJ25" s="370"/>
      <c r="BK25" s="370"/>
      <c r="BL25" s="370"/>
      <c r="BM25" s="370"/>
      <c r="BN25" s="370"/>
      <c r="BO25" s="370"/>
      <c r="BP25" s="370"/>
      <c r="BQ25" s="370"/>
      <c r="BR25" s="370"/>
      <c r="BS25" s="370"/>
      <c r="BT25" s="370"/>
      <c r="BU25" s="370"/>
      <c r="BV25" s="370"/>
      <c r="BW25" s="370"/>
      <c r="BX25" s="370"/>
      <c r="BY25" s="370"/>
      <c r="BZ25" s="370"/>
      <c r="CA25" s="370"/>
      <c r="CB25" s="370"/>
      <c r="CC25" s="370"/>
      <c r="CD25" s="370"/>
      <c r="CE25" s="370"/>
      <c r="CF25" s="370"/>
      <c r="CG25" s="370"/>
      <c r="CH25" s="370"/>
      <c r="CI25" s="370"/>
      <c r="CJ25" s="370"/>
      <c r="CK25" s="370"/>
      <c r="CL25" s="370"/>
      <c r="CM25" s="370"/>
      <c r="CN25" s="370"/>
      <c r="CO25" s="370"/>
      <c r="CP25" s="370"/>
      <c r="CQ25" s="370"/>
      <c r="CR25" s="370"/>
      <c r="CS25" s="370"/>
      <c r="CT25" s="370"/>
      <c r="CU25" s="370"/>
      <c r="CV25" s="370"/>
      <c r="CW25" s="370"/>
      <c r="CX25" s="370"/>
      <c r="CY25" s="370"/>
      <c r="CZ25" s="370"/>
      <c r="DA25" s="370"/>
      <c r="DB25" s="370"/>
      <c r="DC25" s="370"/>
      <c r="DD25" s="370"/>
      <c r="DE25" s="370"/>
      <c r="DF25" s="370"/>
      <c r="DG25" s="370"/>
      <c r="DH25" s="370"/>
      <c r="DI25" s="370"/>
      <c r="DJ25" s="370"/>
      <c r="DK25" s="370"/>
      <c r="DL25" s="370"/>
      <c r="DM25" s="370"/>
      <c r="DN25" s="370"/>
      <c r="DO25" s="370"/>
      <c r="DP25" s="370"/>
      <c r="DQ25" s="370"/>
      <c r="DR25" s="370"/>
      <c r="DS25" s="370"/>
      <c r="DT25" s="370"/>
      <c r="DU25" s="370"/>
      <c r="DV25" s="370"/>
      <c r="DW25" s="370"/>
      <c r="DX25" s="370"/>
      <c r="DY25" s="370"/>
      <c r="DZ25" s="370"/>
      <c r="EA25" s="370"/>
      <c r="EB25" s="370"/>
      <c r="EC25" s="370"/>
      <c r="ED25" s="370"/>
      <c r="EE25" s="370"/>
      <c r="EF25" s="370"/>
      <c r="EG25" s="370"/>
      <c r="EH25" s="370"/>
      <c r="EI25" s="370"/>
      <c r="EJ25" s="370"/>
      <c r="EK25" s="370"/>
      <c r="EL25" s="370"/>
      <c r="EM25" s="370"/>
      <c r="EN25" s="370"/>
      <c r="EO25" s="370"/>
      <c r="EP25" s="370"/>
      <c r="EQ25" s="370"/>
      <c r="ER25" s="370"/>
      <c r="ES25" s="370"/>
      <c r="ET25" s="370"/>
      <c r="EU25" s="370"/>
      <c r="EV25" s="370"/>
      <c r="EW25" s="370"/>
      <c r="EX25" s="370"/>
      <c r="EY25" s="370"/>
      <c r="EZ25" s="370"/>
      <c r="FA25" s="370"/>
      <c r="FB25" s="370"/>
      <c r="FC25" s="370"/>
      <c r="FD25" s="370"/>
      <c r="FE25" s="370"/>
      <c r="FF25" s="370"/>
      <c r="FG25" s="370"/>
      <c r="FH25" s="370"/>
      <c r="FI25" s="370"/>
      <c r="FJ25" s="370"/>
      <c r="FK25" s="370"/>
      <c r="FL25" s="370"/>
      <c r="FM25" s="370"/>
      <c r="FN25" s="370"/>
      <c r="FO25" s="370"/>
      <c r="FP25" s="370"/>
      <c r="FQ25" s="370"/>
      <c r="FR25" s="370"/>
      <c r="FS25" s="370"/>
      <c r="FT25" s="370"/>
      <c r="FU25" s="370"/>
      <c r="FV25" s="370"/>
      <c r="FW25" s="370"/>
      <c r="FX25" s="370"/>
      <c r="FY25" s="370"/>
      <c r="FZ25" s="370"/>
      <c r="GA25" s="370"/>
      <c r="GB25" s="370"/>
      <c r="GC25" s="370"/>
      <c r="GD25" s="370"/>
      <c r="GE25" s="370"/>
      <c r="GF25" s="370"/>
      <c r="GG25" s="370"/>
      <c r="GH25" s="370"/>
      <c r="GI25" s="370"/>
      <c r="GJ25" s="370"/>
      <c r="GK25" s="370"/>
      <c r="GL25" s="370"/>
      <c r="GM25" s="370"/>
      <c r="GN25" s="370"/>
      <c r="GO25" s="370"/>
      <c r="GP25" s="370"/>
      <c r="GQ25" s="370"/>
      <c r="GR25" s="370"/>
      <c r="GS25" s="370"/>
      <c r="GT25" s="370"/>
      <c r="GU25" s="370"/>
      <c r="GV25" s="370"/>
      <c r="GW25" s="370"/>
      <c r="GX25" s="370"/>
      <c r="GY25" s="370"/>
      <c r="GZ25" s="370"/>
      <c r="HA25" s="370"/>
      <c r="HB25" s="370"/>
      <c r="HC25" s="370"/>
      <c r="HD25" s="370"/>
      <c r="HE25" s="370"/>
      <c r="HF25" s="370"/>
      <c r="HG25" s="370"/>
      <c r="HH25" s="370"/>
      <c r="HI25" s="370"/>
      <c r="HJ25" s="370"/>
      <c r="HK25" s="370"/>
      <c r="HL25" s="370"/>
      <c r="HM25" s="370"/>
      <c r="HN25" s="370"/>
      <c r="HO25" s="370"/>
      <c r="HP25" s="370"/>
      <c r="HQ25" s="370"/>
      <c r="HR25" s="370"/>
      <c r="HS25" s="370"/>
      <c r="HT25" s="370"/>
      <c r="HU25" s="370"/>
      <c r="HV25" s="370"/>
      <c r="HW25" s="370"/>
      <c r="HX25" s="370"/>
      <c r="HY25" s="370"/>
      <c r="HZ25" s="370"/>
      <c r="IA25" s="370"/>
      <c r="IB25" s="370"/>
      <c r="IC25" s="370"/>
      <c r="ID25" s="370"/>
      <c r="IE25" s="370"/>
      <c r="IF25" s="370"/>
      <c r="IG25" s="370"/>
      <c r="IH25" s="370"/>
      <c r="II25" s="370"/>
      <c r="IJ25" s="370"/>
      <c r="IK25" s="370"/>
      <c r="IL25" s="370"/>
      <c r="IM25" s="370"/>
      <c r="IN25" s="370"/>
      <c r="IO25" s="370"/>
      <c r="IP25" s="370"/>
      <c r="IQ25" s="370"/>
      <c r="IR25" s="370"/>
      <c r="IS25" s="370"/>
      <c r="IT25" s="370"/>
      <c r="IU25" s="370"/>
      <c r="IV25" s="370"/>
      <c r="IW25" s="370"/>
      <c r="IX25" s="370"/>
      <c r="IY25" s="370"/>
      <c r="IZ25" s="370"/>
      <c r="JA25" s="370"/>
      <c r="JB25" s="370"/>
      <c r="JC25" s="370"/>
      <c r="JD25" s="370"/>
      <c r="JE25" s="370"/>
      <c r="JF25" s="370"/>
      <c r="JG25" s="370"/>
      <c r="JH25" s="370"/>
      <c r="JI25" s="370"/>
      <c r="JJ25" s="370"/>
      <c r="JK25" s="370"/>
      <c r="JL25" s="370"/>
      <c r="JM25" s="370"/>
      <c r="JN25" s="370"/>
      <c r="JO25" s="370"/>
      <c r="JP25" s="370"/>
      <c r="JQ25" s="370"/>
      <c r="JR25" s="370"/>
      <c r="JS25" s="370"/>
      <c r="JT25" s="370"/>
      <c r="JU25" s="370"/>
      <c r="JV25" s="370"/>
      <c r="JW25" s="370"/>
      <c r="JX25" s="370"/>
      <c r="JY25" s="370"/>
      <c r="JZ25" s="370"/>
      <c r="KA25" s="370"/>
      <c r="KB25" s="370"/>
      <c r="KC25" s="370"/>
      <c r="KD25" s="370"/>
      <c r="KE25" s="370"/>
      <c r="KF25" s="370"/>
      <c r="KG25" s="370"/>
      <c r="KH25" s="370"/>
      <c r="KI25" s="370"/>
      <c r="KJ25" s="370"/>
      <c r="KK25" s="370"/>
      <c r="KL25" s="370"/>
      <c r="KM25" s="370"/>
      <c r="KN25" s="370"/>
      <c r="KO25" s="370"/>
      <c r="KP25" s="370"/>
      <c r="KQ25" s="370"/>
      <c r="KR25" s="370"/>
      <c r="KS25" s="370"/>
      <c r="KT25" s="370"/>
      <c r="KU25" s="370"/>
      <c r="KV25" s="370"/>
      <c r="KW25" s="370"/>
      <c r="KX25" s="370"/>
      <c r="KY25" s="370"/>
      <c r="KZ25" s="370"/>
      <c r="LA25" s="370"/>
      <c r="LB25" s="370"/>
      <c r="LC25" s="370"/>
      <c r="LD25" s="370"/>
      <c r="LE25" s="370"/>
      <c r="LF25" s="370"/>
      <c r="LG25" s="370"/>
      <c r="LH25" s="370"/>
      <c r="LI25" s="370"/>
      <c r="LJ25" s="370"/>
      <c r="LK25" s="370"/>
      <c r="LL25" s="370"/>
      <c r="LM25" s="370"/>
      <c r="LN25" s="370"/>
      <c r="LO25" s="370"/>
      <c r="LP25" s="370"/>
      <c r="LQ25" s="370"/>
      <c r="LR25" s="370"/>
      <c r="LS25" s="370"/>
      <c r="LT25" s="370"/>
      <c r="LU25" s="370"/>
      <c r="LV25" s="370"/>
      <c r="LW25" s="370"/>
      <c r="LX25" s="370"/>
      <c r="LY25" s="370"/>
      <c r="LZ25" s="370"/>
      <c r="MA25" s="370"/>
      <c r="MB25" s="370"/>
      <c r="MC25" s="370"/>
      <c r="MD25" s="370"/>
      <c r="ME25" s="370"/>
      <c r="MF25" s="370"/>
      <c r="MG25" s="370"/>
      <c r="MH25" s="370"/>
      <c r="MI25" s="370"/>
      <c r="MJ25" s="370"/>
      <c r="MK25" s="370"/>
      <c r="ML25" s="370"/>
      <c r="MM25" s="370"/>
      <c r="MN25" s="370"/>
      <c r="MO25" s="370"/>
      <c r="MP25" s="370"/>
      <c r="MQ25" s="370"/>
      <c r="MR25" s="370"/>
      <c r="MS25" s="370"/>
      <c r="MT25" s="370"/>
      <c r="MU25" s="370"/>
      <c r="MV25" s="370"/>
      <c r="MW25" s="370"/>
      <c r="MX25" s="370"/>
      <c r="MY25" s="370"/>
      <c r="MZ25" s="370"/>
      <c r="NA25" s="370"/>
      <c r="NB25" s="370"/>
      <c r="NC25" s="370"/>
      <c r="ND25" s="176">
        <f t="shared" si="0"/>
        <v>0</v>
      </c>
    </row>
    <row r="26" spans="1:368" s="361" customFormat="1" ht="13.5" customHeight="1">
      <c r="A26" s="407"/>
      <c r="B26" s="352" t="s">
        <v>148</v>
      </c>
      <c r="C26" s="370"/>
      <c r="D26" s="370"/>
      <c r="E26" s="370"/>
      <c r="F26" s="370"/>
      <c r="G26" s="370"/>
      <c r="H26" s="370"/>
      <c r="I26" s="370"/>
      <c r="J26" s="370"/>
      <c r="K26" s="370"/>
      <c r="L26" s="370"/>
      <c r="M26" s="370"/>
      <c r="N26" s="370"/>
      <c r="O26" s="370"/>
      <c r="P26" s="370"/>
      <c r="Q26" s="370"/>
      <c r="R26" s="370"/>
      <c r="S26" s="370"/>
      <c r="T26" s="370"/>
      <c r="U26" s="370"/>
      <c r="V26" s="370"/>
      <c r="W26" s="370"/>
      <c r="X26" s="370"/>
      <c r="Y26" s="370"/>
      <c r="Z26" s="370"/>
      <c r="AA26" s="370"/>
      <c r="AB26" s="370"/>
      <c r="AC26" s="370"/>
      <c r="AD26" s="370"/>
      <c r="AE26" s="370"/>
      <c r="AF26" s="370"/>
      <c r="AG26" s="370"/>
      <c r="AH26" s="370"/>
      <c r="AI26" s="370"/>
      <c r="AJ26" s="370"/>
      <c r="AK26" s="370"/>
      <c r="AL26" s="370"/>
      <c r="AM26" s="370"/>
      <c r="AN26" s="370"/>
      <c r="AO26" s="370"/>
      <c r="AP26" s="370"/>
      <c r="AQ26" s="370"/>
      <c r="AR26" s="370"/>
      <c r="AS26" s="370"/>
      <c r="AT26" s="370"/>
      <c r="AU26" s="370"/>
      <c r="AV26" s="370"/>
      <c r="AW26" s="370"/>
      <c r="AX26" s="370"/>
      <c r="AY26" s="370"/>
      <c r="AZ26" s="370"/>
      <c r="BA26" s="370"/>
      <c r="BB26" s="370"/>
      <c r="BC26" s="370"/>
      <c r="BD26" s="370"/>
      <c r="BE26" s="370"/>
      <c r="BF26" s="370"/>
      <c r="BG26" s="370"/>
      <c r="BH26" s="370"/>
      <c r="BI26" s="370"/>
      <c r="BJ26" s="370"/>
      <c r="BK26" s="370"/>
      <c r="BL26" s="370"/>
      <c r="BM26" s="370"/>
      <c r="BN26" s="370"/>
      <c r="BO26" s="370"/>
      <c r="BP26" s="370"/>
      <c r="BQ26" s="370"/>
      <c r="BR26" s="370"/>
      <c r="BS26" s="370"/>
      <c r="BT26" s="370"/>
      <c r="BU26" s="370"/>
      <c r="BV26" s="370"/>
      <c r="BW26" s="370"/>
      <c r="BX26" s="370"/>
      <c r="BY26" s="370"/>
      <c r="BZ26" s="370"/>
      <c r="CA26" s="370"/>
      <c r="CB26" s="370"/>
      <c r="CC26" s="370"/>
      <c r="CD26" s="370"/>
      <c r="CE26" s="370"/>
      <c r="CF26" s="370"/>
      <c r="CG26" s="370"/>
      <c r="CH26" s="370"/>
      <c r="CI26" s="370"/>
      <c r="CJ26" s="370"/>
      <c r="CK26" s="370"/>
      <c r="CL26" s="370"/>
      <c r="CM26" s="370"/>
      <c r="CN26" s="370"/>
      <c r="CO26" s="370"/>
      <c r="CP26" s="370"/>
      <c r="CQ26" s="370"/>
      <c r="CR26" s="370"/>
      <c r="CS26" s="370"/>
      <c r="CT26" s="370"/>
      <c r="CU26" s="370"/>
      <c r="CV26" s="370"/>
      <c r="CW26" s="370"/>
      <c r="CX26" s="370"/>
      <c r="CY26" s="370"/>
      <c r="CZ26" s="370"/>
      <c r="DA26" s="370"/>
      <c r="DB26" s="370"/>
      <c r="DC26" s="370"/>
      <c r="DD26" s="370"/>
      <c r="DE26" s="370"/>
      <c r="DF26" s="370"/>
      <c r="DG26" s="370"/>
      <c r="DH26" s="370"/>
      <c r="DI26" s="370"/>
      <c r="DJ26" s="370"/>
      <c r="DK26" s="370"/>
      <c r="DL26" s="370"/>
      <c r="DM26" s="370"/>
      <c r="DN26" s="370"/>
      <c r="DO26" s="370"/>
      <c r="DP26" s="370"/>
      <c r="DQ26" s="370"/>
      <c r="DR26" s="370"/>
      <c r="DS26" s="370"/>
      <c r="DT26" s="370"/>
      <c r="DU26" s="370"/>
      <c r="DV26" s="370"/>
      <c r="DW26" s="370"/>
      <c r="DX26" s="370"/>
      <c r="DY26" s="370"/>
      <c r="DZ26" s="370"/>
      <c r="EA26" s="370"/>
      <c r="EB26" s="370"/>
      <c r="EC26" s="370"/>
      <c r="ED26" s="370"/>
      <c r="EE26" s="370"/>
      <c r="EF26" s="370"/>
      <c r="EG26" s="370"/>
      <c r="EH26" s="370"/>
      <c r="EI26" s="370"/>
      <c r="EJ26" s="370"/>
      <c r="EK26" s="370"/>
      <c r="EL26" s="370"/>
      <c r="EM26" s="370"/>
      <c r="EN26" s="370"/>
      <c r="EO26" s="370"/>
      <c r="EP26" s="370"/>
      <c r="EQ26" s="370"/>
      <c r="ER26" s="370"/>
      <c r="ES26" s="370"/>
      <c r="ET26" s="370"/>
      <c r="EU26" s="370"/>
      <c r="EV26" s="370"/>
      <c r="EW26" s="370"/>
      <c r="EX26" s="370"/>
      <c r="EY26" s="370"/>
      <c r="EZ26" s="370"/>
      <c r="FA26" s="370"/>
      <c r="FB26" s="370"/>
      <c r="FC26" s="370"/>
      <c r="FD26" s="370"/>
      <c r="FE26" s="370"/>
      <c r="FF26" s="370"/>
      <c r="FG26" s="370"/>
      <c r="FH26" s="370"/>
      <c r="FI26" s="370"/>
      <c r="FJ26" s="370"/>
      <c r="FK26" s="370"/>
      <c r="FL26" s="370"/>
      <c r="FM26" s="370"/>
      <c r="FN26" s="370"/>
      <c r="FO26" s="370"/>
      <c r="FP26" s="370"/>
      <c r="FQ26" s="370"/>
      <c r="FR26" s="370"/>
      <c r="FS26" s="370"/>
      <c r="FT26" s="370"/>
      <c r="FU26" s="370"/>
      <c r="FV26" s="370"/>
      <c r="FW26" s="370"/>
      <c r="FX26" s="370"/>
      <c r="FY26" s="370"/>
      <c r="FZ26" s="370"/>
      <c r="GA26" s="370"/>
      <c r="GB26" s="370"/>
      <c r="GC26" s="370"/>
      <c r="GD26" s="370"/>
      <c r="GE26" s="370"/>
      <c r="GF26" s="370"/>
      <c r="GG26" s="370"/>
      <c r="GH26" s="370"/>
      <c r="GI26" s="370"/>
      <c r="GJ26" s="370"/>
      <c r="GK26" s="370"/>
      <c r="GL26" s="370"/>
      <c r="GM26" s="370"/>
      <c r="GN26" s="370"/>
      <c r="GO26" s="370"/>
      <c r="GP26" s="370"/>
      <c r="GQ26" s="370"/>
      <c r="GR26" s="370"/>
      <c r="GS26" s="370"/>
      <c r="GT26" s="370"/>
      <c r="GU26" s="370"/>
      <c r="GV26" s="370"/>
      <c r="GW26" s="370"/>
      <c r="GX26" s="370"/>
      <c r="GY26" s="370"/>
      <c r="GZ26" s="370"/>
      <c r="HA26" s="370"/>
      <c r="HB26" s="370"/>
      <c r="HC26" s="370"/>
      <c r="HD26" s="370"/>
      <c r="HE26" s="370"/>
      <c r="HF26" s="370"/>
      <c r="HG26" s="370"/>
      <c r="HH26" s="370"/>
      <c r="HI26" s="370"/>
      <c r="HJ26" s="370"/>
      <c r="HK26" s="370"/>
      <c r="HL26" s="370"/>
      <c r="HM26" s="370"/>
      <c r="HN26" s="370"/>
      <c r="HO26" s="370"/>
      <c r="HP26" s="370"/>
      <c r="HQ26" s="370"/>
      <c r="HR26" s="370"/>
      <c r="HS26" s="370"/>
      <c r="HT26" s="370"/>
      <c r="HU26" s="370"/>
      <c r="HV26" s="370"/>
      <c r="HW26" s="370"/>
      <c r="HX26" s="370"/>
      <c r="HY26" s="370"/>
      <c r="HZ26" s="370"/>
      <c r="IA26" s="370"/>
      <c r="IB26" s="370"/>
      <c r="IC26" s="370"/>
      <c r="ID26" s="370"/>
      <c r="IE26" s="370"/>
      <c r="IF26" s="370"/>
      <c r="IG26" s="370"/>
      <c r="IH26" s="370"/>
      <c r="II26" s="370"/>
      <c r="IJ26" s="370"/>
      <c r="IK26" s="370"/>
      <c r="IL26" s="370"/>
      <c r="IM26" s="370"/>
      <c r="IN26" s="370"/>
      <c r="IO26" s="370"/>
      <c r="IP26" s="370"/>
      <c r="IQ26" s="370"/>
      <c r="IR26" s="370"/>
      <c r="IS26" s="370"/>
      <c r="IT26" s="370"/>
      <c r="IU26" s="370"/>
      <c r="IV26" s="370"/>
      <c r="IW26" s="370"/>
      <c r="IX26" s="370"/>
      <c r="IY26" s="370"/>
      <c r="IZ26" s="370"/>
      <c r="JA26" s="370"/>
      <c r="JB26" s="370"/>
      <c r="JC26" s="370"/>
      <c r="JD26" s="370"/>
      <c r="JE26" s="370"/>
      <c r="JF26" s="370"/>
      <c r="JG26" s="370"/>
      <c r="JH26" s="370"/>
      <c r="JI26" s="370"/>
      <c r="JJ26" s="370"/>
      <c r="JK26" s="370"/>
      <c r="JL26" s="370"/>
      <c r="JM26" s="370"/>
      <c r="JN26" s="370"/>
      <c r="JO26" s="370"/>
      <c r="JP26" s="370"/>
      <c r="JQ26" s="370"/>
      <c r="JR26" s="370"/>
      <c r="JS26" s="370"/>
      <c r="JT26" s="370"/>
      <c r="JU26" s="370"/>
      <c r="JV26" s="370"/>
      <c r="JW26" s="370"/>
      <c r="JX26" s="370"/>
      <c r="JY26" s="370"/>
      <c r="JZ26" s="370"/>
      <c r="KA26" s="370"/>
      <c r="KB26" s="370"/>
      <c r="KC26" s="370"/>
      <c r="KD26" s="370"/>
      <c r="KE26" s="370"/>
      <c r="KF26" s="370"/>
      <c r="KG26" s="370"/>
      <c r="KH26" s="370"/>
      <c r="KI26" s="370"/>
      <c r="KJ26" s="370"/>
      <c r="KK26" s="370"/>
      <c r="KL26" s="370"/>
      <c r="KM26" s="370"/>
      <c r="KN26" s="370"/>
      <c r="KO26" s="370"/>
      <c r="KP26" s="370"/>
      <c r="KQ26" s="370"/>
      <c r="KR26" s="370"/>
      <c r="KS26" s="370"/>
      <c r="KT26" s="370"/>
      <c r="KU26" s="370"/>
      <c r="KV26" s="370"/>
      <c r="KW26" s="370"/>
      <c r="KX26" s="370"/>
      <c r="KY26" s="370"/>
      <c r="KZ26" s="370"/>
      <c r="LA26" s="370"/>
      <c r="LB26" s="370"/>
      <c r="LC26" s="370"/>
      <c r="LD26" s="370"/>
      <c r="LE26" s="370"/>
      <c r="LF26" s="370"/>
      <c r="LG26" s="370"/>
      <c r="LH26" s="370"/>
      <c r="LI26" s="370"/>
      <c r="LJ26" s="370"/>
      <c r="LK26" s="370"/>
      <c r="LL26" s="370"/>
      <c r="LM26" s="370"/>
      <c r="LN26" s="370"/>
      <c r="LO26" s="370"/>
      <c r="LP26" s="370"/>
      <c r="LQ26" s="370"/>
      <c r="LR26" s="370"/>
      <c r="LS26" s="370"/>
      <c r="LT26" s="370"/>
      <c r="LU26" s="370"/>
      <c r="LV26" s="370"/>
      <c r="LW26" s="370"/>
      <c r="LX26" s="370"/>
      <c r="LY26" s="370"/>
      <c r="LZ26" s="370"/>
      <c r="MA26" s="370"/>
      <c r="MB26" s="370"/>
      <c r="MC26" s="370"/>
      <c r="MD26" s="370"/>
      <c r="ME26" s="370"/>
      <c r="MF26" s="370"/>
      <c r="MG26" s="370"/>
      <c r="MH26" s="370"/>
      <c r="MI26" s="370"/>
      <c r="MJ26" s="370"/>
      <c r="MK26" s="370"/>
      <c r="ML26" s="370"/>
      <c r="MM26" s="370"/>
      <c r="MN26" s="370"/>
      <c r="MO26" s="370"/>
      <c r="MP26" s="370"/>
      <c r="MQ26" s="370"/>
      <c r="MR26" s="370"/>
      <c r="MS26" s="370"/>
      <c r="MT26" s="370"/>
      <c r="MU26" s="370"/>
      <c r="MV26" s="370"/>
      <c r="MW26" s="370"/>
      <c r="MX26" s="370"/>
      <c r="MY26" s="370"/>
      <c r="MZ26" s="370"/>
      <c r="NA26" s="370"/>
      <c r="NB26" s="370"/>
      <c r="NC26" s="370"/>
      <c r="ND26" s="176">
        <f t="shared" si="0"/>
        <v>0</v>
      </c>
    </row>
    <row r="27" spans="1:368" s="361" customFormat="1" ht="13.5" customHeight="1">
      <c r="A27" s="407"/>
      <c r="B27" s="352" t="s">
        <v>149</v>
      </c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370"/>
      <c r="V27" s="370"/>
      <c r="W27" s="370"/>
      <c r="X27" s="370"/>
      <c r="Y27" s="370"/>
      <c r="Z27" s="370"/>
      <c r="AA27" s="370"/>
      <c r="AB27" s="370"/>
      <c r="AC27" s="370"/>
      <c r="AD27" s="370"/>
      <c r="AE27" s="370"/>
      <c r="AF27" s="370"/>
      <c r="AG27" s="370"/>
      <c r="AH27" s="370"/>
      <c r="AI27" s="370"/>
      <c r="AJ27" s="370"/>
      <c r="AK27" s="370"/>
      <c r="AL27" s="370"/>
      <c r="AM27" s="370"/>
      <c r="AN27" s="370"/>
      <c r="AO27" s="370"/>
      <c r="AP27" s="370"/>
      <c r="AQ27" s="370"/>
      <c r="AR27" s="370"/>
      <c r="AS27" s="370"/>
      <c r="AT27" s="370"/>
      <c r="AU27" s="370"/>
      <c r="AV27" s="370"/>
      <c r="AW27" s="370"/>
      <c r="AX27" s="370"/>
      <c r="AY27" s="370"/>
      <c r="AZ27" s="370"/>
      <c r="BA27" s="370"/>
      <c r="BB27" s="370"/>
      <c r="BC27" s="370"/>
      <c r="BD27" s="370"/>
      <c r="BE27" s="370"/>
      <c r="BF27" s="370"/>
      <c r="BG27" s="370"/>
      <c r="BH27" s="370"/>
      <c r="BI27" s="370"/>
      <c r="BJ27" s="370"/>
      <c r="BK27" s="370"/>
      <c r="BL27" s="370"/>
      <c r="BM27" s="370"/>
      <c r="BN27" s="370"/>
      <c r="BO27" s="370"/>
      <c r="BP27" s="370"/>
      <c r="BQ27" s="370"/>
      <c r="BR27" s="370"/>
      <c r="BS27" s="370"/>
      <c r="BT27" s="370"/>
      <c r="BU27" s="370"/>
      <c r="BV27" s="370"/>
      <c r="BW27" s="370"/>
      <c r="BX27" s="370"/>
      <c r="BY27" s="370"/>
      <c r="BZ27" s="370"/>
      <c r="CA27" s="370"/>
      <c r="CB27" s="370"/>
      <c r="CC27" s="370"/>
      <c r="CD27" s="370"/>
      <c r="CE27" s="370"/>
      <c r="CF27" s="370"/>
      <c r="CG27" s="370"/>
      <c r="CH27" s="370"/>
      <c r="CI27" s="370"/>
      <c r="CJ27" s="370"/>
      <c r="CK27" s="370"/>
      <c r="CL27" s="370"/>
      <c r="CM27" s="370"/>
      <c r="CN27" s="370"/>
      <c r="CO27" s="370"/>
      <c r="CP27" s="370"/>
      <c r="CQ27" s="370"/>
      <c r="CR27" s="370"/>
      <c r="CS27" s="370"/>
      <c r="CT27" s="370"/>
      <c r="CU27" s="370"/>
      <c r="CV27" s="370"/>
      <c r="CW27" s="370"/>
      <c r="CX27" s="370"/>
      <c r="CY27" s="370"/>
      <c r="CZ27" s="370"/>
      <c r="DA27" s="370"/>
      <c r="DB27" s="370"/>
      <c r="DC27" s="370"/>
      <c r="DD27" s="370"/>
      <c r="DE27" s="370"/>
      <c r="DF27" s="370"/>
      <c r="DG27" s="370"/>
      <c r="DH27" s="370"/>
      <c r="DI27" s="370"/>
      <c r="DJ27" s="370"/>
      <c r="DK27" s="370"/>
      <c r="DL27" s="370"/>
      <c r="DM27" s="370"/>
      <c r="DN27" s="370"/>
      <c r="DO27" s="370"/>
      <c r="DP27" s="370"/>
      <c r="DQ27" s="370"/>
      <c r="DR27" s="370"/>
      <c r="DS27" s="370"/>
      <c r="DT27" s="370"/>
      <c r="DU27" s="370"/>
      <c r="DV27" s="370"/>
      <c r="DW27" s="370"/>
      <c r="DX27" s="370"/>
      <c r="DY27" s="370"/>
      <c r="DZ27" s="370"/>
      <c r="EA27" s="370"/>
      <c r="EB27" s="370"/>
      <c r="EC27" s="370"/>
      <c r="ED27" s="370"/>
      <c r="EE27" s="370"/>
      <c r="EF27" s="370"/>
      <c r="EG27" s="370"/>
      <c r="EH27" s="370"/>
      <c r="EI27" s="370"/>
      <c r="EJ27" s="370"/>
      <c r="EK27" s="370"/>
      <c r="EL27" s="370"/>
      <c r="EM27" s="370"/>
      <c r="EN27" s="370"/>
      <c r="EO27" s="370"/>
      <c r="EP27" s="370"/>
      <c r="EQ27" s="370"/>
      <c r="ER27" s="370"/>
      <c r="ES27" s="370"/>
      <c r="ET27" s="370"/>
      <c r="EU27" s="370"/>
      <c r="EV27" s="370"/>
      <c r="EW27" s="370"/>
      <c r="EX27" s="370"/>
      <c r="EY27" s="370"/>
      <c r="EZ27" s="370"/>
      <c r="FA27" s="370"/>
      <c r="FB27" s="370"/>
      <c r="FC27" s="370"/>
      <c r="FD27" s="370"/>
      <c r="FE27" s="370"/>
      <c r="FF27" s="370"/>
      <c r="FG27" s="370"/>
      <c r="FH27" s="370"/>
      <c r="FI27" s="370"/>
      <c r="FJ27" s="370"/>
      <c r="FK27" s="370"/>
      <c r="FL27" s="370"/>
      <c r="FM27" s="370"/>
      <c r="FN27" s="370"/>
      <c r="FO27" s="370"/>
      <c r="FP27" s="370"/>
      <c r="FQ27" s="370"/>
      <c r="FR27" s="370"/>
      <c r="FS27" s="370"/>
      <c r="FT27" s="370"/>
      <c r="FU27" s="370"/>
      <c r="FV27" s="370"/>
      <c r="FW27" s="370"/>
      <c r="FX27" s="370"/>
      <c r="FY27" s="370"/>
      <c r="FZ27" s="370"/>
      <c r="GA27" s="370"/>
      <c r="GB27" s="370"/>
      <c r="GC27" s="370"/>
      <c r="GD27" s="370"/>
      <c r="GE27" s="370"/>
      <c r="GF27" s="370"/>
      <c r="GG27" s="370"/>
      <c r="GH27" s="370"/>
      <c r="GI27" s="370"/>
      <c r="GJ27" s="370"/>
      <c r="GK27" s="370"/>
      <c r="GL27" s="370"/>
      <c r="GM27" s="370"/>
      <c r="GN27" s="370"/>
      <c r="GO27" s="370"/>
      <c r="GP27" s="370"/>
      <c r="GQ27" s="370"/>
      <c r="GR27" s="370"/>
      <c r="GS27" s="370"/>
      <c r="GT27" s="370"/>
      <c r="GU27" s="370"/>
      <c r="GV27" s="370"/>
      <c r="GW27" s="370"/>
      <c r="GX27" s="370"/>
      <c r="GY27" s="370"/>
      <c r="GZ27" s="370"/>
      <c r="HA27" s="370"/>
      <c r="HB27" s="370"/>
      <c r="HC27" s="370"/>
      <c r="HD27" s="370"/>
      <c r="HE27" s="370"/>
      <c r="HF27" s="370"/>
      <c r="HG27" s="370"/>
      <c r="HH27" s="370"/>
      <c r="HI27" s="370"/>
      <c r="HJ27" s="370"/>
      <c r="HK27" s="370"/>
      <c r="HL27" s="370"/>
      <c r="HM27" s="370"/>
      <c r="HN27" s="370"/>
      <c r="HO27" s="370"/>
      <c r="HP27" s="370"/>
      <c r="HQ27" s="370"/>
      <c r="HR27" s="370"/>
      <c r="HS27" s="370"/>
      <c r="HT27" s="370"/>
      <c r="HU27" s="370"/>
      <c r="HV27" s="370"/>
      <c r="HW27" s="370"/>
      <c r="HX27" s="370"/>
      <c r="HY27" s="370"/>
      <c r="HZ27" s="370"/>
      <c r="IA27" s="370"/>
      <c r="IB27" s="370"/>
      <c r="IC27" s="370"/>
      <c r="ID27" s="370"/>
      <c r="IE27" s="370"/>
      <c r="IF27" s="370"/>
      <c r="IG27" s="370"/>
      <c r="IH27" s="370"/>
      <c r="II27" s="370"/>
      <c r="IJ27" s="370"/>
      <c r="IK27" s="370"/>
      <c r="IL27" s="370"/>
      <c r="IM27" s="370"/>
      <c r="IN27" s="370"/>
      <c r="IO27" s="370"/>
      <c r="IP27" s="370"/>
      <c r="IQ27" s="370"/>
      <c r="IR27" s="370"/>
      <c r="IS27" s="370"/>
      <c r="IT27" s="370"/>
      <c r="IU27" s="370"/>
      <c r="IV27" s="370"/>
      <c r="IW27" s="370"/>
      <c r="IX27" s="370"/>
      <c r="IY27" s="370"/>
      <c r="IZ27" s="370"/>
      <c r="JA27" s="370"/>
      <c r="JB27" s="370"/>
      <c r="JC27" s="370"/>
      <c r="JD27" s="370"/>
      <c r="JE27" s="370"/>
      <c r="JF27" s="370"/>
      <c r="JG27" s="370"/>
      <c r="JH27" s="370"/>
      <c r="JI27" s="370"/>
      <c r="JJ27" s="370"/>
      <c r="JK27" s="370"/>
      <c r="JL27" s="370"/>
      <c r="JM27" s="370"/>
      <c r="JN27" s="370"/>
      <c r="JO27" s="370"/>
      <c r="JP27" s="370"/>
      <c r="JQ27" s="370"/>
      <c r="JR27" s="370"/>
      <c r="JS27" s="370"/>
      <c r="JT27" s="370"/>
      <c r="JU27" s="370"/>
      <c r="JV27" s="370"/>
      <c r="JW27" s="370"/>
      <c r="JX27" s="370"/>
      <c r="JY27" s="370"/>
      <c r="JZ27" s="370"/>
      <c r="KA27" s="370"/>
      <c r="KB27" s="370"/>
      <c r="KC27" s="370"/>
      <c r="KD27" s="370"/>
      <c r="KE27" s="370"/>
      <c r="KF27" s="370"/>
      <c r="KG27" s="370"/>
      <c r="KH27" s="370"/>
      <c r="KI27" s="370"/>
      <c r="KJ27" s="370"/>
      <c r="KK27" s="370"/>
      <c r="KL27" s="370"/>
      <c r="KM27" s="370"/>
      <c r="KN27" s="370"/>
      <c r="KO27" s="370"/>
      <c r="KP27" s="370"/>
      <c r="KQ27" s="370"/>
      <c r="KR27" s="370"/>
      <c r="KS27" s="370"/>
      <c r="KT27" s="370"/>
      <c r="KU27" s="370"/>
      <c r="KV27" s="370"/>
      <c r="KW27" s="370"/>
      <c r="KX27" s="370"/>
      <c r="KY27" s="370"/>
      <c r="KZ27" s="370"/>
      <c r="LA27" s="370"/>
      <c r="LB27" s="370"/>
      <c r="LC27" s="370"/>
      <c r="LD27" s="370"/>
      <c r="LE27" s="370"/>
      <c r="LF27" s="370"/>
      <c r="LG27" s="370"/>
      <c r="LH27" s="370"/>
      <c r="LI27" s="370"/>
      <c r="LJ27" s="370"/>
      <c r="LK27" s="370"/>
      <c r="LL27" s="370"/>
      <c r="LM27" s="370"/>
      <c r="LN27" s="370"/>
      <c r="LO27" s="370"/>
      <c r="LP27" s="370"/>
      <c r="LQ27" s="370"/>
      <c r="LR27" s="370"/>
      <c r="LS27" s="370"/>
      <c r="LT27" s="370"/>
      <c r="LU27" s="370"/>
      <c r="LV27" s="370"/>
      <c r="LW27" s="370"/>
      <c r="LX27" s="370"/>
      <c r="LY27" s="370"/>
      <c r="LZ27" s="370"/>
      <c r="MA27" s="370"/>
      <c r="MB27" s="370"/>
      <c r="MC27" s="370"/>
      <c r="MD27" s="370"/>
      <c r="ME27" s="370"/>
      <c r="MF27" s="370"/>
      <c r="MG27" s="370"/>
      <c r="MH27" s="370"/>
      <c r="MI27" s="370"/>
      <c r="MJ27" s="370"/>
      <c r="MK27" s="370"/>
      <c r="ML27" s="370"/>
      <c r="MM27" s="370"/>
      <c r="MN27" s="370"/>
      <c r="MO27" s="370"/>
      <c r="MP27" s="370"/>
      <c r="MQ27" s="370"/>
      <c r="MR27" s="370"/>
      <c r="MS27" s="370"/>
      <c r="MT27" s="370"/>
      <c r="MU27" s="370"/>
      <c r="MV27" s="370"/>
      <c r="MW27" s="370"/>
      <c r="MX27" s="370"/>
      <c r="MY27" s="370"/>
      <c r="MZ27" s="370"/>
      <c r="NA27" s="370"/>
      <c r="NB27" s="370"/>
      <c r="NC27" s="370"/>
      <c r="ND27" s="176">
        <f t="shared" si="0"/>
        <v>0</v>
      </c>
    </row>
    <row r="28" spans="1:368" s="361" customFormat="1" ht="13.5" customHeight="1" thickBot="1">
      <c r="A28" s="408"/>
      <c r="B28" s="353" t="s">
        <v>21</v>
      </c>
      <c r="C28" s="371"/>
      <c r="D28" s="371"/>
      <c r="E28" s="371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1"/>
      <c r="U28" s="371"/>
      <c r="V28" s="371"/>
      <c r="W28" s="371"/>
      <c r="X28" s="371"/>
      <c r="Y28" s="371"/>
      <c r="Z28" s="371"/>
      <c r="AA28" s="371"/>
      <c r="AB28" s="371"/>
      <c r="AC28" s="371"/>
      <c r="AD28" s="371"/>
      <c r="AE28" s="371"/>
      <c r="AF28" s="371"/>
      <c r="AG28" s="371"/>
      <c r="AH28" s="371"/>
      <c r="AI28" s="371"/>
      <c r="AJ28" s="371"/>
      <c r="AK28" s="371"/>
      <c r="AL28" s="371"/>
      <c r="AM28" s="371"/>
      <c r="AN28" s="371"/>
      <c r="AO28" s="371"/>
      <c r="AP28" s="371"/>
      <c r="AQ28" s="371"/>
      <c r="AR28" s="371"/>
      <c r="AS28" s="371"/>
      <c r="AT28" s="371"/>
      <c r="AU28" s="371"/>
      <c r="AV28" s="371"/>
      <c r="AW28" s="371"/>
      <c r="AX28" s="371"/>
      <c r="AY28" s="371"/>
      <c r="AZ28" s="371"/>
      <c r="BA28" s="371"/>
      <c r="BB28" s="371"/>
      <c r="BC28" s="371"/>
      <c r="BD28" s="371"/>
      <c r="BE28" s="371"/>
      <c r="BF28" s="371"/>
      <c r="BG28" s="371"/>
      <c r="BH28" s="371"/>
      <c r="BI28" s="371"/>
      <c r="BJ28" s="371"/>
      <c r="BK28" s="371"/>
      <c r="BL28" s="371"/>
      <c r="BM28" s="371"/>
      <c r="BN28" s="371"/>
      <c r="BO28" s="371"/>
      <c r="BP28" s="371"/>
      <c r="BQ28" s="371"/>
      <c r="BR28" s="371"/>
      <c r="BS28" s="371"/>
      <c r="BT28" s="371"/>
      <c r="BU28" s="371"/>
      <c r="BV28" s="371"/>
      <c r="BW28" s="371"/>
      <c r="BX28" s="371"/>
      <c r="BY28" s="371"/>
      <c r="BZ28" s="371"/>
      <c r="CA28" s="371"/>
      <c r="CB28" s="371"/>
      <c r="CC28" s="371"/>
      <c r="CD28" s="371"/>
      <c r="CE28" s="371"/>
      <c r="CF28" s="371"/>
      <c r="CG28" s="371"/>
      <c r="CH28" s="371"/>
      <c r="CI28" s="371"/>
      <c r="CJ28" s="371"/>
      <c r="CK28" s="371"/>
      <c r="CL28" s="371"/>
      <c r="CM28" s="371"/>
      <c r="CN28" s="371"/>
      <c r="CO28" s="371"/>
      <c r="CP28" s="371"/>
      <c r="CQ28" s="371"/>
      <c r="CR28" s="371"/>
      <c r="CS28" s="371"/>
      <c r="CT28" s="371"/>
      <c r="CU28" s="371"/>
      <c r="CV28" s="371"/>
      <c r="CW28" s="371"/>
      <c r="CX28" s="371"/>
      <c r="CY28" s="371"/>
      <c r="CZ28" s="371"/>
      <c r="DA28" s="371"/>
      <c r="DB28" s="371"/>
      <c r="DC28" s="371"/>
      <c r="DD28" s="371"/>
      <c r="DE28" s="371"/>
      <c r="DF28" s="371"/>
      <c r="DG28" s="371"/>
      <c r="DH28" s="371"/>
      <c r="DI28" s="371"/>
      <c r="DJ28" s="371"/>
      <c r="DK28" s="371"/>
      <c r="DL28" s="371"/>
      <c r="DM28" s="371"/>
      <c r="DN28" s="371"/>
      <c r="DO28" s="371"/>
      <c r="DP28" s="371"/>
      <c r="DQ28" s="371"/>
      <c r="DR28" s="371"/>
      <c r="DS28" s="371"/>
      <c r="DT28" s="371"/>
      <c r="DU28" s="371"/>
      <c r="DV28" s="371"/>
      <c r="DW28" s="371"/>
      <c r="DX28" s="371"/>
      <c r="DY28" s="371"/>
      <c r="DZ28" s="371"/>
      <c r="EA28" s="371"/>
      <c r="EB28" s="371"/>
      <c r="EC28" s="371"/>
      <c r="ED28" s="371"/>
      <c r="EE28" s="371"/>
      <c r="EF28" s="371"/>
      <c r="EG28" s="371"/>
      <c r="EH28" s="371"/>
      <c r="EI28" s="371"/>
      <c r="EJ28" s="371"/>
      <c r="EK28" s="371"/>
      <c r="EL28" s="371"/>
      <c r="EM28" s="371"/>
      <c r="EN28" s="371"/>
      <c r="EO28" s="371"/>
      <c r="EP28" s="371"/>
      <c r="EQ28" s="371"/>
      <c r="ER28" s="371"/>
      <c r="ES28" s="371"/>
      <c r="ET28" s="371"/>
      <c r="EU28" s="371"/>
      <c r="EV28" s="371"/>
      <c r="EW28" s="371"/>
      <c r="EX28" s="371"/>
      <c r="EY28" s="371"/>
      <c r="EZ28" s="371"/>
      <c r="FA28" s="371"/>
      <c r="FB28" s="371"/>
      <c r="FC28" s="371"/>
      <c r="FD28" s="371"/>
      <c r="FE28" s="371"/>
      <c r="FF28" s="371"/>
      <c r="FG28" s="371"/>
      <c r="FH28" s="371"/>
      <c r="FI28" s="371"/>
      <c r="FJ28" s="371"/>
      <c r="FK28" s="371"/>
      <c r="FL28" s="371"/>
      <c r="FM28" s="371"/>
      <c r="FN28" s="371"/>
      <c r="FO28" s="371"/>
      <c r="FP28" s="371"/>
      <c r="FQ28" s="371"/>
      <c r="FR28" s="371"/>
      <c r="FS28" s="371"/>
      <c r="FT28" s="371"/>
      <c r="FU28" s="371"/>
      <c r="FV28" s="371"/>
      <c r="FW28" s="371"/>
      <c r="FX28" s="371"/>
      <c r="FY28" s="371"/>
      <c r="FZ28" s="371"/>
      <c r="GA28" s="371"/>
      <c r="GB28" s="371"/>
      <c r="GC28" s="371"/>
      <c r="GD28" s="371"/>
      <c r="GE28" s="371"/>
      <c r="GF28" s="371"/>
      <c r="GG28" s="371"/>
      <c r="GH28" s="371"/>
      <c r="GI28" s="371"/>
      <c r="GJ28" s="371"/>
      <c r="GK28" s="371"/>
      <c r="GL28" s="371"/>
      <c r="GM28" s="371"/>
      <c r="GN28" s="371"/>
      <c r="GO28" s="371"/>
      <c r="GP28" s="371"/>
      <c r="GQ28" s="371"/>
      <c r="GR28" s="371"/>
      <c r="GS28" s="371"/>
      <c r="GT28" s="371"/>
      <c r="GU28" s="371"/>
      <c r="GV28" s="371"/>
      <c r="GW28" s="371"/>
      <c r="GX28" s="371"/>
      <c r="GY28" s="371"/>
      <c r="GZ28" s="371"/>
      <c r="HA28" s="371"/>
      <c r="HB28" s="371"/>
      <c r="HC28" s="371"/>
      <c r="HD28" s="371"/>
      <c r="HE28" s="371"/>
      <c r="HF28" s="371"/>
      <c r="HG28" s="371"/>
      <c r="HH28" s="371"/>
      <c r="HI28" s="371"/>
      <c r="HJ28" s="371"/>
      <c r="HK28" s="371"/>
      <c r="HL28" s="371"/>
      <c r="HM28" s="371"/>
      <c r="HN28" s="371"/>
      <c r="HO28" s="371"/>
      <c r="HP28" s="371"/>
      <c r="HQ28" s="371"/>
      <c r="HR28" s="371"/>
      <c r="HS28" s="371"/>
      <c r="HT28" s="371"/>
      <c r="HU28" s="371"/>
      <c r="HV28" s="371"/>
      <c r="HW28" s="371"/>
      <c r="HX28" s="371"/>
      <c r="HY28" s="371"/>
      <c r="HZ28" s="371"/>
      <c r="IA28" s="371"/>
      <c r="IB28" s="371"/>
      <c r="IC28" s="371"/>
      <c r="ID28" s="371"/>
      <c r="IE28" s="371"/>
      <c r="IF28" s="371"/>
      <c r="IG28" s="371"/>
      <c r="IH28" s="371"/>
      <c r="II28" s="371"/>
      <c r="IJ28" s="371"/>
      <c r="IK28" s="371"/>
      <c r="IL28" s="371"/>
      <c r="IM28" s="371"/>
      <c r="IN28" s="371"/>
      <c r="IO28" s="371"/>
      <c r="IP28" s="371"/>
      <c r="IQ28" s="371"/>
      <c r="IR28" s="371"/>
      <c r="IS28" s="371"/>
      <c r="IT28" s="371"/>
      <c r="IU28" s="371"/>
      <c r="IV28" s="371"/>
      <c r="IW28" s="371"/>
      <c r="IX28" s="371"/>
      <c r="IY28" s="371"/>
      <c r="IZ28" s="371"/>
      <c r="JA28" s="371"/>
      <c r="JB28" s="371"/>
      <c r="JC28" s="371"/>
      <c r="JD28" s="371"/>
      <c r="JE28" s="371"/>
      <c r="JF28" s="371"/>
      <c r="JG28" s="371"/>
      <c r="JH28" s="371"/>
      <c r="JI28" s="371"/>
      <c r="JJ28" s="371"/>
      <c r="JK28" s="371"/>
      <c r="JL28" s="371"/>
      <c r="JM28" s="371"/>
      <c r="JN28" s="371"/>
      <c r="JO28" s="371"/>
      <c r="JP28" s="371"/>
      <c r="JQ28" s="371"/>
      <c r="JR28" s="371"/>
      <c r="JS28" s="371"/>
      <c r="JT28" s="371"/>
      <c r="JU28" s="371"/>
      <c r="JV28" s="371"/>
      <c r="JW28" s="371"/>
      <c r="JX28" s="371"/>
      <c r="JY28" s="371"/>
      <c r="JZ28" s="371"/>
      <c r="KA28" s="371"/>
      <c r="KB28" s="371"/>
      <c r="KC28" s="371"/>
      <c r="KD28" s="371"/>
      <c r="KE28" s="371"/>
      <c r="KF28" s="371"/>
      <c r="KG28" s="371"/>
      <c r="KH28" s="371"/>
      <c r="KI28" s="371"/>
      <c r="KJ28" s="371"/>
      <c r="KK28" s="371"/>
      <c r="KL28" s="371"/>
      <c r="KM28" s="371"/>
      <c r="KN28" s="371"/>
      <c r="KO28" s="371"/>
      <c r="KP28" s="371"/>
      <c r="KQ28" s="371"/>
      <c r="KR28" s="371"/>
      <c r="KS28" s="371"/>
      <c r="KT28" s="371"/>
      <c r="KU28" s="371"/>
      <c r="KV28" s="371"/>
      <c r="KW28" s="371"/>
      <c r="KX28" s="371"/>
      <c r="KY28" s="371"/>
      <c r="KZ28" s="371"/>
      <c r="LA28" s="371"/>
      <c r="LB28" s="371"/>
      <c r="LC28" s="371"/>
      <c r="LD28" s="371"/>
      <c r="LE28" s="371"/>
      <c r="LF28" s="371"/>
      <c r="LG28" s="371"/>
      <c r="LH28" s="371"/>
      <c r="LI28" s="371"/>
      <c r="LJ28" s="371"/>
      <c r="LK28" s="371"/>
      <c r="LL28" s="371"/>
      <c r="LM28" s="371"/>
      <c r="LN28" s="371"/>
      <c r="LO28" s="371"/>
      <c r="LP28" s="371"/>
      <c r="LQ28" s="371"/>
      <c r="LR28" s="371"/>
      <c r="LS28" s="371"/>
      <c r="LT28" s="371"/>
      <c r="LU28" s="371"/>
      <c r="LV28" s="371"/>
      <c r="LW28" s="371"/>
      <c r="LX28" s="371"/>
      <c r="LY28" s="371"/>
      <c r="LZ28" s="371"/>
      <c r="MA28" s="371"/>
      <c r="MB28" s="371"/>
      <c r="MC28" s="371"/>
      <c r="MD28" s="371"/>
      <c r="ME28" s="371"/>
      <c r="MF28" s="371"/>
      <c r="MG28" s="371"/>
      <c r="MH28" s="371"/>
      <c r="MI28" s="371"/>
      <c r="MJ28" s="371"/>
      <c r="MK28" s="371"/>
      <c r="ML28" s="371"/>
      <c r="MM28" s="371"/>
      <c r="MN28" s="371"/>
      <c r="MO28" s="371"/>
      <c r="MP28" s="371"/>
      <c r="MQ28" s="371"/>
      <c r="MR28" s="371"/>
      <c r="MS28" s="371"/>
      <c r="MT28" s="371"/>
      <c r="MU28" s="371"/>
      <c r="MV28" s="371"/>
      <c r="MW28" s="371"/>
      <c r="MX28" s="371"/>
      <c r="MY28" s="371"/>
      <c r="MZ28" s="371"/>
      <c r="NA28" s="371"/>
      <c r="NB28" s="371"/>
      <c r="NC28" s="371"/>
      <c r="ND28" s="176">
        <f t="shared" si="0"/>
        <v>0</v>
      </c>
    </row>
    <row r="29" spans="1:368" s="361" customFormat="1" ht="13.5" customHeight="1" thickTop="1">
      <c r="A29" s="409" t="s">
        <v>150</v>
      </c>
      <c r="B29" s="354" t="s">
        <v>151</v>
      </c>
      <c r="C29" s="372"/>
      <c r="D29" s="372"/>
      <c r="E29" s="372"/>
      <c r="F29" s="372"/>
      <c r="G29" s="372"/>
      <c r="H29" s="372"/>
      <c r="I29" s="372"/>
      <c r="J29" s="372"/>
      <c r="K29" s="372"/>
      <c r="L29" s="372"/>
      <c r="M29" s="372"/>
      <c r="N29" s="372"/>
      <c r="O29" s="372"/>
      <c r="P29" s="372"/>
      <c r="Q29" s="372"/>
      <c r="R29" s="372"/>
      <c r="S29" s="372"/>
      <c r="T29" s="372"/>
      <c r="U29" s="372"/>
      <c r="V29" s="372"/>
      <c r="W29" s="372"/>
      <c r="X29" s="372"/>
      <c r="Y29" s="372"/>
      <c r="Z29" s="372"/>
      <c r="AA29" s="372"/>
      <c r="AB29" s="372"/>
      <c r="AC29" s="372"/>
      <c r="AD29" s="372"/>
      <c r="AE29" s="372"/>
      <c r="AF29" s="372"/>
      <c r="AG29" s="372"/>
      <c r="AH29" s="372"/>
      <c r="AI29" s="372"/>
      <c r="AJ29" s="372"/>
      <c r="AK29" s="372"/>
      <c r="AL29" s="372"/>
      <c r="AM29" s="372"/>
      <c r="AN29" s="372"/>
      <c r="AO29" s="372"/>
      <c r="AP29" s="372"/>
      <c r="AQ29" s="372"/>
      <c r="AR29" s="372"/>
      <c r="AS29" s="372"/>
      <c r="AT29" s="372"/>
      <c r="AU29" s="372"/>
      <c r="AV29" s="372"/>
      <c r="AW29" s="372"/>
      <c r="AX29" s="372"/>
      <c r="AY29" s="372"/>
      <c r="AZ29" s="372"/>
      <c r="BA29" s="372"/>
      <c r="BB29" s="372"/>
      <c r="BC29" s="372"/>
      <c r="BD29" s="372"/>
      <c r="BE29" s="372"/>
      <c r="BF29" s="372"/>
      <c r="BG29" s="372"/>
      <c r="BH29" s="372"/>
      <c r="BI29" s="372"/>
      <c r="BJ29" s="372"/>
      <c r="BK29" s="372"/>
      <c r="BL29" s="372"/>
      <c r="BM29" s="372"/>
      <c r="BN29" s="372"/>
      <c r="BO29" s="372"/>
      <c r="BP29" s="372"/>
      <c r="BQ29" s="372"/>
      <c r="BR29" s="372"/>
      <c r="BS29" s="372"/>
      <c r="BT29" s="372"/>
      <c r="BU29" s="372"/>
      <c r="BV29" s="372"/>
      <c r="BW29" s="372"/>
      <c r="BX29" s="372"/>
      <c r="BY29" s="372"/>
      <c r="BZ29" s="372"/>
      <c r="CA29" s="372"/>
      <c r="CB29" s="372"/>
      <c r="CC29" s="372"/>
      <c r="CD29" s="372"/>
      <c r="CE29" s="372"/>
      <c r="CF29" s="372"/>
      <c r="CG29" s="372"/>
      <c r="CH29" s="372"/>
      <c r="CI29" s="372"/>
      <c r="CJ29" s="372"/>
      <c r="CK29" s="372"/>
      <c r="CL29" s="372"/>
      <c r="CM29" s="372"/>
      <c r="CN29" s="372"/>
      <c r="CO29" s="372"/>
      <c r="CP29" s="372"/>
      <c r="CQ29" s="372"/>
      <c r="CR29" s="372"/>
      <c r="CS29" s="372"/>
      <c r="CT29" s="372"/>
      <c r="CU29" s="372"/>
      <c r="CV29" s="372"/>
      <c r="CW29" s="372"/>
      <c r="CX29" s="372"/>
      <c r="CY29" s="372"/>
      <c r="CZ29" s="372"/>
      <c r="DA29" s="372"/>
      <c r="DB29" s="372"/>
      <c r="DC29" s="372"/>
      <c r="DD29" s="372"/>
      <c r="DE29" s="372"/>
      <c r="DF29" s="372"/>
      <c r="DG29" s="372"/>
      <c r="DH29" s="372"/>
      <c r="DI29" s="372"/>
      <c r="DJ29" s="372"/>
      <c r="DK29" s="372"/>
      <c r="DL29" s="372"/>
      <c r="DM29" s="372"/>
      <c r="DN29" s="372"/>
      <c r="DO29" s="372"/>
      <c r="DP29" s="372"/>
      <c r="DQ29" s="372"/>
      <c r="DR29" s="372"/>
      <c r="DS29" s="372"/>
      <c r="DT29" s="372"/>
      <c r="DU29" s="372"/>
      <c r="DV29" s="372"/>
      <c r="DW29" s="372"/>
      <c r="DX29" s="372"/>
      <c r="DY29" s="372"/>
      <c r="DZ29" s="372"/>
      <c r="EA29" s="372"/>
      <c r="EB29" s="372"/>
      <c r="EC29" s="372"/>
      <c r="ED29" s="372"/>
      <c r="EE29" s="372"/>
      <c r="EF29" s="372"/>
      <c r="EG29" s="372"/>
      <c r="EH29" s="372"/>
      <c r="EI29" s="372"/>
      <c r="EJ29" s="372"/>
      <c r="EK29" s="372"/>
      <c r="EL29" s="372"/>
      <c r="EM29" s="372"/>
      <c r="EN29" s="372"/>
      <c r="EO29" s="372"/>
      <c r="EP29" s="372"/>
      <c r="EQ29" s="372"/>
      <c r="ER29" s="372"/>
      <c r="ES29" s="372"/>
      <c r="ET29" s="372"/>
      <c r="EU29" s="372"/>
      <c r="EV29" s="372"/>
      <c r="EW29" s="372"/>
      <c r="EX29" s="372"/>
      <c r="EY29" s="372"/>
      <c r="EZ29" s="372"/>
      <c r="FA29" s="372"/>
      <c r="FB29" s="372"/>
      <c r="FC29" s="372"/>
      <c r="FD29" s="372"/>
      <c r="FE29" s="372"/>
      <c r="FF29" s="372"/>
      <c r="FG29" s="372"/>
      <c r="FH29" s="372"/>
      <c r="FI29" s="372"/>
      <c r="FJ29" s="372"/>
      <c r="FK29" s="372"/>
      <c r="FL29" s="372"/>
      <c r="FM29" s="372"/>
      <c r="FN29" s="372"/>
      <c r="FO29" s="372"/>
      <c r="FP29" s="372"/>
      <c r="FQ29" s="372"/>
      <c r="FR29" s="372"/>
      <c r="FS29" s="372"/>
      <c r="FT29" s="372"/>
      <c r="FU29" s="372"/>
      <c r="FV29" s="372"/>
      <c r="FW29" s="372"/>
      <c r="FX29" s="372"/>
      <c r="FY29" s="372"/>
      <c r="FZ29" s="372"/>
      <c r="GA29" s="372"/>
      <c r="GB29" s="372"/>
      <c r="GC29" s="372"/>
      <c r="GD29" s="372"/>
      <c r="GE29" s="372"/>
      <c r="GF29" s="372"/>
      <c r="GG29" s="372"/>
      <c r="GH29" s="372"/>
      <c r="GI29" s="372"/>
      <c r="GJ29" s="372"/>
      <c r="GK29" s="372"/>
      <c r="GL29" s="372"/>
      <c r="GM29" s="372"/>
      <c r="GN29" s="372"/>
      <c r="GO29" s="372"/>
      <c r="GP29" s="372"/>
      <c r="GQ29" s="372"/>
      <c r="GR29" s="372"/>
      <c r="GS29" s="372"/>
      <c r="GT29" s="372"/>
      <c r="GU29" s="372"/>
      <c r="GV29" s="372"/>
      <c r="GW29" s="372"/>
      <c r="GX29" s="372"/>
      <c r="GY29" s="372"/>
      <c r="GZ29" s="372"/>
      <c r="HA29" s="372"/>
      <c r="HB29" s="372"/>
      <c r="HC29" s="372"/>
      <c r="HD29" s="372"/>
      <c r="HE29" s="372"/>
      <c r="HF29" s="372"/>
      <c r="HG29" s="372"/>
      <c r="HH29" s="372"/>
      <c r="HI29" s="372"/>
      <c r="HJ29" s="372"/>
      <c r="HK29" s="372"/>
      <c r="HL29" s="372"/>
      <c r="HM29" s="372"/>
      <c r="HN29" s="372"/>
      <c r="HO29" s="372"/>
      <c r="HP29" s="372"/>
      <c r="HQ29" s="372"/>
      <c r="HR29" s="372"/>
      <c r="HS29" s="372"/>
      <c r="HT29" s="372"/>
      <c r="HU29" s="372"/>
      <c r="HV29" s="372"/>
      <c r="HW29" s="372"/>
      <c r="HX29" s="372"/>
      <c r="HY29" s="372"/>
      <c r="HZ29" s="372"/>
      <c r="IA29" s="372"/>
      <c r="IB29" s="372"/>
      <c r="IC29" s="372"/>
      <c r="ID29" s="372"/>
      <c r="IE29" s="372"/>
      <c r="IF29" s="372"/>
      <c r="IG29" s="372"/>
      <c r="IH29" s="372"/>
      <c r="II29" s="372"/>
      <c r="IJ29" s="372"/>
      <c r="IK29" s="372"/>
      <c r="IL29" s="372"/>
      <c r="IM29" s="372"/>
      <c r="IN29" s="372"/>
      <c r="IO29" s="372"/>
      <c r="IP29" s="372"/>
      <c r="IQ29" s="372"/>
      <c r="IR29" s="372"/>
      <c r="IS29" s="372"/>
      <c r="IT29" s="372"/>
      <c r="IU29" s="372"/>
      <c r="IV29" s="372"/>
      <c r="IW29" s="372"/>
      <c r="IX29" s="372"/>
      <c r="IY29" s="372"/>
      <c r="IZ29" s="372"/>
      <c r="JA29" s="372"/>
      <c r="JB29" s="372"/>
      <c r="JC29" s="372"/>
      <c r="JD29" s="372"/>
      <c r="JE29" s="372"/>
      <c r="JF29" s="372"/>
      <c r="JG29" s="372"/>
      <c r="JH29" s="372"/>
      <c r="JI29" s="372"/>
      <c r="JJ29" s="372"/>
      <c r="JK29" s="372"/>
      <c r="JL29" s="372"/>
      <c r="JM29" s="372"/>
      <c r="JN29" s="372"/>
      <c r="JO29" s="372"/>
      <c r="JP29" s="372"/>
      <c r="JQ29" s="372"/>
      <c r="JR29" s="372"/>
      <c r="JS29" s="372"/>
      <c r="JT29" s="372"/>
      <c r="JU29" s="372"/>
      <c r="JV29" s="372"/>
      <c r="JW29" s="372"/>
      <c r="JX29" s="372"/>
      <c r="JY29" s="372"/>
      <c r="JZ29" s="372"/>
      <c r="KA29" s="372"/>
      <c r="KB29" s="372"/>
      <c r="KC29" s="372"/>
      <c r="KD29" s="372"/>
      <c r="KE29" s="372"/>
      <c r="KF29" s="372"/>
      <c r="KG29" s="372"/>
      <c r="KH29" s="372"/>
      <c r="KI29" s="372"/>
      <c r="KJ29" s="372"/>
      <c r="KK29" s="372"/>
      <c r="KL29" s="372"/>
      <c r="KM29" s="372"/>
      <c r="KN29" s="372"/>
      <c r="KO29" s="372"/>
      <c r="KP29" s="372"/>
      <c r="KQ29" s="372"/>
      <c r="KR29" s="372"/>
      <c r="KS29" s="372"/>
      <c r="KT29" s="372"/>
      <c r="KU29" s="372"/>
      <c r="KV29" s="372"/>
      <c r="KW29" s="372"/>
      <c r="KX29" s="372"/>
      <c r="KY29" s="372"/>
      <c r="KZ29" s="372"/>
      <c r="LA29" s="372"/>
      <c r="LB29" s="372"/>
      <c r="LC29" s="372"/>
      <c r="LD29" s="372"/>
      <c r="LE29" s="372"/>
      <c r="LF29" s="372"/>
      <c r="LG29" s="372"/>
      <c r="LH29" s="372"/>
      <c r="LI29" s="372"/>
      <c r="LJ29" s="372"/>
      <c r="LK29" s="372"/>
      <c r="LL29" s="372"/>
      <c r="LM29" s="372"/>
      <c r="LN29" s="372"/>
      <c r="LO29" s="372"/>
      <c r="LP29" s="372"/>
      <c r="LQ29" s="372"/>
      <c r="LR29" s="372"/>
      <c r="LS29" s="372"/>
      <c r="LT29" s="372"/>
      <c r="LU29" s="372"/>
      <c r="LV29" s="372"/>
      <c r="LW29" s="372"/>
      <c r="LX29" s="372"/>
      <c r="LY29" s="372"/>
      <c r="LZ29" s="372"/>
      <c r="MA29" s="372"/>
      <c r="MB29" s="372"/>
      <c r="MC29" s="372"/>
      <c r="MD29" s="372"/>
      <c r="ME29" s="372"/>
      <c r="MF29" s="372"/>
      <c r="MG29" s="372"/>
      <c r="MH29" s="372"/>
      <c r="MI29" s="372"/>
      <c r="MJ29" s="372"/>
      <c r="MK29" s="372"/>
      <c r="ML29" s="372"/>
      <c r="MM29" s="372"/>
      <c r="MN29" s="372"/>
      <c r="MO29" s="372"/>
      <c r="MP29" s="372"/>
      <c r="MQ29" s="372"/>
      <c r="MR29" s="372"/>
      <c r="MS29" s="372"/>
      <c r="MT29" s="372"/>
      <c r="MU29" s="372"/>
      <c r="MV29" s="372"/>
      <c r="MW29" s="372"/>
      <c r="MX29" s="372"/>
      <c r="MY29" s="372"/>
      <c r="MZ29" s="372"/>
      <c r="NA29" s="372"/>
      <c r="NB29" s="372"/>
      <c r="NC29" s="372"/>
      <c r="ND29" s="176">
        <f t="shared" si="0"/>
        <v>0</v>
      </c>
    </row>
    <row r="30" spans="1:368" s="361" customFormat="1" ht="13.5" customHeight="1">
      <c r="A30" s="410"/>
      <c r="B30" s="355" t="s">
        <v>152</v>
      </c>
      <c r="C30" s="373"/>
      <c r="D30" s="373"/>
      <c r="E30" s="373"/>
      <c r="F30" s="373"/>
      <c r="G30" s="373"/>
      <c r="H30" s="373"/>
      <c r="I30" s="373"/>
      <c r="J30" s="373"/>
      <c r="K30" s="373"/>
      <c r="L30" s="373"/>
      <c r="M30" s="373"/>
      <c r="N30" s="373"/>
      <c r="O30" s="373"/>
      <c r="P30" s="373"/>
      <c r="Q30" s="373"/>
      <c r="R30" s="373"/>
      <c r="S30" s="373"/>
      <c r="T30" s="373"/>
      <c r="U30" s="373"/>
      <c r="V30" s="373"/>
      <c r="W30" s="373"/>
      <c r="X30" s="373"/>
      <c r="Y30" s="373"/>
      <c r="Z30" s="373"/>
      <c r="AA30" s="373"/>
      <c r="AB30" s="373"/>
      <c r="AC30" s="373"/>
      <c r="AD30" s="373"/>
      <c r="AE30" s="373"/>
      <c r="AF30" s="373"/>
      <c r="AG30" s="373"/>
      <c r="AH30" s="373"/>
      <c r="AI30" s="373"/>
      <c r="AJ30" s="373"/>
      <c r="AK30" s="373"/>
      <c r="AL30" s="373"/>
      <c r="AM30" s="373"/>
      <c r="AN30" s="373"/>
      <c r="AO30" s="373"/>
      <c r="AP30" s="373"/>
      <c r="AQ30" s="373"/>
      <c r="AR30" s="373"/>
      <c r="AS30" s="373"/>
      <c r="AT30" s="373"/>
      <c r="AU30" s="373"/>
      <c r="AV30" s="373"/>
      <c r="AW30" s="373"/>
      <c r="AX30" s="373"/>
      <c r="AY30" s="373"/>
      <c r="AZ30" s="373"/>
      <c r="BA30" s="373"/>
      <c r="BB30" s="373"/>
      <c r="BC30" s="373"/>
      <c r="BD30" s="373"/>
      <c r="BE30" s="373"/>
      <c r="BF30" s="373"/>
      <c r="BG30" s="373"/>
      <c r="BH30" s="373"/>
      <c r="BI30" s="373"/>
      <c r="BJ30" s="373"/>
      <c r="BK30" s="373"/>
      <c r="BL30" s="373"/>
      <c r="BM30" s="373"/>
      <c r="BN30" s="373"/>
      <c r="BO30" s="373"/>
      <c r="BP30" s="373"/>
      <c r="BQ30" s="373"/>
      <c r="BR30" s="373"/>
      <c r="BS30" s="373"/>
      <c r="BT30" s="373"/>
      <c r="BU30" s="373"/>
      <c r="BV30" s="373"/>
      <c r="BW30" s="373"/>
      <c r="BX30" s="373"/>
      <c r="BY30" s="373"/>
      <c r="BZ30" s="373"/>
      <c r="CA30" s="373"/>
      <c r="CB30" s="373"/>
      <c r="CC30" s="373"/>
      <c r="CD30" s="373"/>
      <c r="CE30" s="373"/>
      <c r="CF30" s="373"/>
      <c r="CG30" s="373"/>
      <c r="CH30" s="373"/>
      <c r="CI30" s="373"/>
      <c r="CJ30" s="373"/>
      <c r="CK30" s="373"/>
      <c r="CL30" s="373"/>
      <c r="CM30" s="373"/>
      <c r="CN30" s="373"/>
      <c r="CO30" s="373"/>
      <c r="CP30" s="373"/>
      <c r="CQ30" s="373"/>
      <c r="CR30" s="373"/>
      <c r="CS30" s="373"/>
      <c r="CT30" s="373"/>
      <c r="CU30" s="373"/>
      <c r="CV30" s="373"/>
      <c r="CW30" s="373"/>
      <c r="CX30" s="373"/>
      <c r="CY30" s="373"/>
      <c r="CZ30" s="373"/>
      <c r="DA30" s="373"/>
      <c r="DB30" s="373"/>
      <c r="DC30" s="373"/>
      <c r="DD30" s="373"/>
      <c r="DE30" s="373"/>
      <c r="DF30" s="373"/>
      <c r="DG30" s="373"/>
      <c r="DH30" s="373"/>
      <c r="DI30" s="373"/>
      <c r="DJ30" s="373"/>
      <c r="DK30" s="373"/>
      <c r="DL30" s="373"/>
      <c r="DM30" s="373"/>
      <c r="DN30" s="373"/>
      <c r="DO30" s="373"/>
      <c r="DP30" s="373"/>
      <c r="DQ30" s="373"/>
      <c r="DR30" s="373"/>
      <c r="DS30" s="373"/>
      <c r="DT30" s="373"/>
      <c r="DU30" s="373"/>
      <c r="DV30" s="373"/>
      <c r="DW30" s="373"/>
      <c r="DX30" s="373"/>
      <c r="DY30" s="373"/>
      <c r="DZ30" s="373"/>
      <c r="EA30" s="373"/>
      <c r="EB30" s="373"/>
      <c r="EC30" s="373"/>
      <c r="ED30" s="373"/>
      <c r="EE30" s="373"/>
      <c r="EF30" s="373"/>
      <c r="EG30" s="373"/>
      <c r="EH30" s="373"/>
      <c r="EI30" s="373"/>
      <c r="EJ30" s="373"/>
      <c r="EK30" s="373"/>
      <c r="EL30" s="373"/>
      <c r="EM30" s="373"/>
      <c r="EN30" s="373"/>
      <c r="EO30" s="373"/>
      <c r="EP30" s="373"/>
      <c r="EQ30" s="373"/>
      <c r="ER30" s="373"/>
      <c r="ES30" s="373"/>
      <c r="ET30" s="373"/>
      <c r="EU30" s="373"/>
      <c r="EV30" s="373"/>
      <c r="EW30" s="373"/>
      <c r="EX30" s="373"/>
      <c r="EY30" s="373"/>
      <c r="EZ30" s="373"/>
      <c r="FA30" s="373"/>
      <c r="FB30" s="373"/>
      <c r="FC30" s="373"/>
      <c r="FD30" s="373"/>
      <c r="FE30" s="373"/>
      <c r="FF30" s="373"/>
      <c r="FG30" s="373"/>
      <c r="FH30" s="373"/>
      <c r="FI30" s="373"/>
      <c r="FJ30" s="373"/>
      <c r="FK30" s="373"/>
      <c r="FL30" s="373"/>
      <c r="FM30" s="373"/>
      <c r="FN30" s="373"/>
      <c r="FO30" s="373"/>
      <c r="FP30" s="373"/>
      <c r="FQ30" s="373"/>
      <c r="FR30" s="373"/>
      <c r="FS30" s="373"/>
      <c r="FT30" s="373"/>
      <c r="FU30" s="373"/>
      <c r="FV30" s="373"/>
      <c r="FW30" s="373"/>
      <c r="FX30" s="373"/>
      <c r="FY30" s="373"/>
      <c r="FZ30" s="373"/>
      <c r="GA30" s="373"/>
      <c r="GB30" s="373"/>
      <c r="GC30" s="373"/>
      <c r="GD30" s="373"/>
      <c r="GE30" s="373"/>
      <c r="GF30" s="373"/>
      <c r="GG30" s="373"/>
      <c r="GH30" s="373"/>
      <c r="GI30" s="373"/>
      <c r="GJ30" s="373"/>
      <c r="GK30" s="373"/>
      <c r="GL30" s="373"/>
      <c r="GM30" s="373"/>
      <c r="GN30" s="373"/>
      <c r="GO30" s="373"/>
      <c r="GP30" s="373"/>
      <c r="GQ30" s="373"/>
      <c r="GR30" s="373"/>
      <c r="GS30" s="373"/>
      <c r="GT30" s="373"/>
      <c r="GU30" s="373"/>
      <c r="GV30" s="373"/>
      <c r="GW30" s="373"/>
      <c r="GX30" s="373"/>
      <c r="GY30" s="373"/>
      <c r="GZ30" s="373"/>
      <c r="HA30" s="373"/>
      <c r="HB30" s="373"/>
      <c r="HC30" s="373"/>
      <c r="HD30" s="373"/>
      <c r="HE30" s="373"/>
      <c r="HF30" s="373"/>
      <c r="HG30" s="373"/>
      <c r="HH30" s="373"/>
      <c r="HI30" s="373"/>
      <c r="HJ30" s="373"/>
      <c r="HK30" s="373"/>
      <c r="HL30" s="373"/>
      <c r="HM30" s="373"/>
      <c r="HN30" s="373"/>
      <c r="HO30" s="373"/>
      <c r="HP30" s="373"/>
      <c r="HQ30" s="373"/>
      <c r="HR30" s="373"/>
      <c r="HS30" s="373"/>
      <c r="HT30" s="373"/>
      <c r="HU30" s="373"/>
      <c r="HV30" s="373"/>
      <c r="HW30" s="373"/>
      <c r="HX30" s="373"/>
      <c r="HY30" s="373"/>
      <c r="HZ30" s="373"/>
      <c r="IA30" s="373"/>
      <c r="IB30" s="373"/>
      <c r="IC30" s="373"/>
      <c r="ID30" s="373"/>
      <c r="IE30" s="373"/>
      <c r="IF30" s="373"/>
      <c r="IG30" s="373"/>
      <c r="IH30" s="373"/>
      <c r="II30" s="373"/>
      <c r="IJ30" s="373"/>
      <c r="IK30" s="373"/>
      <c r="IL30" s="373"/>
      <c r="IM30" s="373"/>
      <c r="IN30" s="373"/>
      <c r="IO30" s="373"/>
      <c r="IP30" s="373"/>
      <c r="IQ30" s="373"/>
      <c r="IR30" s="373"/>
      <c r="IS30" s="373"/>
      <c r="IT30" s="373"/>
      <c r="IU30" s="373"/>
      <c r="IV30" s="373"/>
      <c r="IW30" s="373"/>
      <c r="IX30" s="373"/>
      <c r="IY30" s="373"/>
      <c r="IZ30" s="373"/>
      <c r="JA30" s="373"/>
      <c r="JB30" s="373"/>
      <c r="JC30" s="373"/>
      <c r="JD30" s="373"/>
      <c r="JE30" s="373"/>
      <c r="JF30" s="373"/>
      <c r="JG30" s="373"/>
      <c r="JH30" s="373"/>
      <c r="JI30" s="373"/>
      <c r="JJ30" s="373"/>
      <c r="JK30" s="373"/>
      <c r="JL30" s="373"/>
      <c r="JM30" s="373"/>
      <c r="JN30" s="373"/>
      <c r="JO30" s="373"/>
      <c r="JP30" s="373"/>
      <c r="JQ30" s="373"/>
      <c r="JR30" s="373"/>
      <c r="JS30" s="373"/>
      <c r="JT30" s="373"/>
      <c r="JU30" s="373"/>
      <c r="JV30" s="373"/>
      <c r="JW30" s="373"/>
      <c r="JX30" s="373"/>
      <c r="JY30" s="373"/>
      <c r="JZ30" s="373"/>
      <c r="KA30" s="373"/>
      <c r="KB30" s="373"/>
      <c r="KC30" s="373"/>
      <c r="KD30" s="373"/>
      <c r="KE30" s="373"/>
      <c r="KF30" s="373"/>
      <c r="KG30" s="373"/>
      <c r="KH30" s="373"/>
      <c r="KI30" s="373"/>
      <c r="KJ30" s="373"/>
      <c r="KK30" s="373"/>
      <c r="KL30" s="373"/>
      <c r="KM30" s="373"/>
      <c r="KN30" s="373"/>
      <c r="KO30" s="373"/>
      <c r="KP30" s="373"/>
      <c r="KQ30" s="373"/>
      <c r="KR30" s="373"/>
      <c r="KS30" s="373"/>
      <c r="KT30" s="373"/>
      <c r="KU30" s="373"/>
      <c r="KV30" s="373"/>
      <c r="KW30" s="373"/>
      <c r="KX30" s="373"/>
      <c r="KY30" s="373"/>
      <c r="KZ30" s="373"/>
      <c r="LA30" s="373"/>
      <c r="LB30" s="373"/>
      <c r="LC30" s="373"/>
      <c r="LD30" s="373"/>
      <c r="LE30" s="373"/>
      <c r="LF30" s="373"/>
      <c r="LG30" s="373"/>
      <c r="LH30" s="373"/>
      <c r="LI30" s="373"/>
      <c r="LJ30" s="373"/>
      <c r="LK30" s="373"/>
      <c r="LL30" s="373"/>
      <c r="LM30" s="373"/>
      <c r="LN30" s="373"/>
      <c r="LO30" s="373"/>
      <c r="LP30" s="373"/>
      <c r="LQ30" s="373"/>
      <c r="LR30" s="373"/>
      <c r="LS30" s="373"/>
      <c r="LT30" s="373"/>
      <c r="LU30" s="373"/>
      <c r="LV30" s="373"/>
      <c r="LW30" s="373"/>
      <c r="LX30" s="373"/>
      <c r="LY30" s="373"/>
      <c r="LZ30" s="373"/>
      <c r="MA30" s="373"/>
      <c r="MB30" s="373"/>
      <c r="MC30" s="373"/>
      <c r="MD30" s="373"/>
      <c r="ME30" s="373"/>
      <c r="MF30" s="373"/>
      <c r="MG30" s="373"/>
      <c r="MH30" s="373"/>
      <c r="MI30" s="373"/>
      <c r="MJ30" s="373"/>
      <c r="MK30" s="373"/>
      <c r="ML30" s="373"/>
      <c r="MM30" s="373"/>
      <c r="MN30" s="373"/>
      <c r="MO30" s="373"/>
      <c r="MP30" s="373"/>
      <c r="MQ30" s="373"/>
      <c r="MR30" s="373"/>
      <c r="MS30" s="373"/>
      <c r="MT30" s="373"/>
      <c r="MU30" s="373"/>
      <c r="MV30" s="373"/>
      <c r="MW30" s="373"/>
      <c r="MX30" s="373"/>
      <c r="MY30" s="373"/>
      <c r="MZ30" s="373"/>
      <c r="NA30" s="373"/>
      <c r="NB30" s="373"/>
      <c r="NC30" s="373"/>
      <c r="ND30" s="176">
        <f t="shared" si="0"/>
        <v>0</v>
      </c>
    </row>
    <row r="31" spans="1:368" s="361" customFormat="1" ht="13.5" customHeight="1">
      <c r="A31" s="410"/>
      <c r="B31" s="355" t="s">
        <v>153</v>
      </c>
      <c r="C31" s="373"/>
      <c r="D31" s="373"/>
      <c r="E31" s="373"/>
      <c r="F31" s="373"/>
      <c r="G31" s="373"/>
      <c r="H31" s="373"/>
      <c r="I31" s="373"/>
      <c r="J31" s="373"/>
      <c r="K31" s="373"/>
      <c r="L31" s="373"/>
      <c r="M31" s="373"/>
      <c r="N31" s="373"/>
      <c r="O31" s="373"/>
      <c r="P31" s="373"/>
      <c r="Q31" s="373"/>
      <c r="R31" s="373"/>
      <c r="S31" s="373"/>
      <c r="T31" s="373"/>
      <c r="U31" s="373"/>
      <c r="V31" s="373"/>
      <c r="W31" s="373"/>
      <c r="X31" s="373"/>
      <c r="Y31" s="373"/>
      <c r="Z31" s="373"/>
      <c r="AA31" s="373"/>
      <c r="AB31" s="373"/>
      <c r="AC31" s="373"/>
      <c r="AD31" s="373"/>
      <c r="AE31" s="373"/>
      <c r="AF31" s="373"/>
      <c r="AG31" s="373"/>
      <c r="AH31" s="373"/>
      <c r="AI31" s="373"/>
      <c r="AJ31" s="373"/>
      <c r="AK31" s="373"/>
      <c r="AL31" s="373"/>
      <c r="AM31" s="373"/>
      <c r="AN31" s="373"/>
      <c r="AO31" s="373"/>
      <c r="AP31" s="373"/>
      <c r="AQ31" s="373"/>
      <c r="AR31" s="373"/>
      <c r="AS31" s="373"/>
      <c r="AT31" s="373"/>
      <c r="AU31" s="373"/>
      <c r="AV31" s="373"/>
      <c r="AW31" s="373"/>
      <c r="AX31" s="373"/>
      <c r="AY31" s="373"/>
      <c r="AZ31" s="373"/>
      <c r="BA31" s="373"/>
      <c r="BB31" s="373"/>
      <c r="BC31" s="373"/>
      <c r="BD31" s="373"/>
      <c r="BE31" s="373"/>
      <c r="BF31" s="373"/>
      <c r="BG31" s="373"/>
      <c r="BH31" s="373"/>
      <c r="BI31" s="373"/>
      <c r="BJ31" s="373"/>
      <c r="BK31" s="373"/>
      <c r="BL31" s="373"/>
      <c r="BM31" s="373"/>
      <c r="BN31" s="373"/>
      <c r="BO31" s="373"/>
      <c r="BP31" s="373"/>
      <c r="BQ31" s="373"/>
      <c r="BR31" s="373"/>
      <c r="BS31" s="373"/>
      <c r="BT31" s="373"/>
      <c r="BU31" s="373"/>
      <c r="BV31" s="373"/>
      <c r="BW31" s="373"/>
      <c r="BX31" s="373"/>
      <c r="BY31" s="373"/>
      <c r="BZ31" s="373"/>
      <c r="CA31" s="373"/>
      <c r="CB31" s="373"/>
      <c r="CC31" s="373"/>
      <c r="CD31" s="373"/>
      <c r="CE31" s="373"/>
      <c r="CF31" s="373"/>
      <c r="CG31" s="373"/>
      <c r="CH31" s="373"/>
      <c r="CI31" s="373"/>
      <c r="CJ31" s="373"/>
      <c r="CK31" s="373"/>
      <c r="CL31" s="373"/>
      <c r="CM31" s="373"/>
      <c r="CN31" s="373"/>
      <c r="CO31" s="373"/>
      <c r="CP31" s="373"/>
      <c r="CQ31" s="373"/>
      <c r="CR31" s="373"/>
      <c r="CS31" s="373"/>
      <c r="CT31" s="373"/>
      <c r="CU31" s="373"/>
      <c r="CV31" s="373"/>
      <c r="CW31" s="373"/>
      <c r="CX31" s="373"/>
      <c r="CY31" s="373"/>
      <c r="CZ31" s="373"/>
      <c r="DA31" s="373"/>
      <c r="DB31" s="373"/>
      <c r="DC31" s="373"/>
      <c r="DD31" s="373"/>
      <c r="DE31" s="373"/>
      <c r="DF31" s="373"/>
      <c r="DG31" s="373"/>
      <c r="DH31" s="373"/>
      <c r="DI31" s="373"/>
      <c r="DJ31" s="373"/>
      <c r="DK31" s="373"/>
      <c r="DL31" s="373"/>
      <c r="DM31" s="373"/>
      <c r="DN31" s="373"/>
      <c r="DO31" s="373"/>
      <c r="DP31" s="373"/>
      <c r="DQ31" s="373"/>
      <c r="DR31" s="373"/>
      <c r="DS31" s="373"/>
      <c r="DT31" s="373"/>
      <c r="DU31" s="373"/>
      <c r="DV31" s="373"/>
      <c r="DW31" s="373"/>
      <c r="DX31" s="373"/>
      <c r="DY31" s="373"/>
      <c r="DZ31" s="373"/>
      <c r="EA31" s="373"/>
      <c r="EB31" s="373"/>
      <c r="EC31" s="373"/>
      <c r="ED31" s="373"/>
      <c r="EE31" s="373"/>
      <c r="EF31" s="373"/>
      <c r="EG31" s="373"/>
      <c r="EH31" s="373"/>
      <c r="EI31" s="373"/>
      <c r="EJ31" s="373"/>
      <c r="EK31" s="373"/>
      <c r="EL31" s="373"/>
      <c r="EM31" s="373"/>
      <c r="EN31" s="373"/>
      <c r="EO31" s="373"/>
      <c r="EP31" s="373"/>
      <c r="EQ31" s="373"/>
      <c r="ER31" s="373"/>
      <c r="ES31" s="373"/>
      <c r="ET31" s="373"/>
      <c r="EU31" s="373"/>
      <c r="EV31" s="373"/>
      <c r="EW31" s="373"/>
      <c r="EX31" s="373"/>
      <c r="EY31" s="373"/>
      <c r="EZ31" s="373"/>
      <c r="FA31" s="373"/>
      <c r="FB31" s="373"/>
      <c r="FC31" s="373"/>
      <c r="FD31" s="373"/>
      <c r="FE31" s="373"/>
      <c r="FF31" s="373"/>
      <c r="FG31" s="373"/>
      <c r="FH31" s="373"/>
      <c r="FI31" s="373"/>
      <c r="FJ31" s="373"/>
      <c r="FK31" s="373"/>
      <c r="FL31" s="373"/>
      <c r="FM31" s="373"/>
      <c r="FN31" s="373"/>
      <c r="FO31" s="373"/>
      <c r="FP31" s="373"/>
      <c r="FQ31" s="373"/>
      <c r="FR31" s="373"/>
      <c r="FS31" s="373"/>
      <c r="FT31" s="373"/>
      <c r="FU31" s="373"/>
      <c r="FV31" s="373"/>
      <c r="FW31" s="373"/>
      <c r="FX31" s="373"/>
      <c r="FY31" s="373"/>
      <c r="FZ31" s="373"/>
      <c r="GA31" s="373"/>
      <c r="GB31" s="373"/>
      <c r="GC31" s="373"/>
      <c r="GD31" s="373"/>
      <c r="GE31" s="373"/>
      <c r="GF31" s="373"/>
      <c r="GG31" s="373"/>
      <c r="GH31" s="373"/>
      <c r="GI31" s="373"/>
      <c r="GJ31" s="373"/>
      <c r="GK31" s="373"/>
      <c r="GL31" s="373"/>
      <c r="GM31" s="373"/>
      <c r="GN31" s="373"/>
      <c r="GO31" s="373"/>
      <c r="GP31" s="373"/>
      <c r="GQ31" s="373"/>
      <c r="GR31" s="373"/>
      <c r="GS31" s="373"/>
      <c r="GT31" s="373"/>
      <c r="GU31" s="373"/>
      <c r="GV31" s="373"/>
      <c r="GW31" s="373"/>
      <c r="GX31" s="373"/>
      <c r="GY31" s="373"/>
      <c r="GZ31" s="373"/>
      <c r="HA31" s="373"/>
      <c r="HB31" s="373"/>
      <c r="HC31" s="373"/>
      <c r="HD31" s="373"/>
      <c r="HE31" s="373"/>
      <c r="HF31" s="373"/>
      <c r="HG31" s="373"/>
      <c r="HH31" s="373"/>
      <c r="HI31" s="373"/>
      <c r="HJ31" s="373"/>
      <c r="HK31" s="373"/>
      <c r="HL31" s="373"/>
      <c r="HM31" s="373"/>
      <c r="HN31" s="373"/>
      <c r="HO31" s="373"/>
      <c r="HP31" s="373"/>
      <c r="HQ31" s="373"/>
      <c r="HR31" s="373"/>
      <c r="HS31" s="373"/>
      <c r="HT31" s="373"/>
      <c r="HU31" s="373"/>
      <c r="HV31" s="373"/>
      <c r="HW31" s="373"/>
      <c r="HX31" s="373"/>
      <c r="HY31" s="373"/>
      <c r="HZ31" s="373"/>
      <c r="IA31" s="373"/>
      <c r="IB31" s="373"/>
      <c r="IC31" s="373"/>
      <c r="ID31" s="373"/>
      <c r="IE31" s="373"/>
      <c r="IF31" s="373"/>
      <c r="IG31" s="373"/>
      <c r="IH31" s="373"/>
      <c r="II31" s="373"/>
      <c r="IJ31" s="373"/>
      <c r="IK31" s="373"/>
      <c r="IL31" s="373"/>
      <c r="IM31" s="373"/>
      <c r="IN31" s="373"/>
      <c r="IO31" s="373"/>
      <c r="IP31" s="373"/>
      <c r="IQ31" s="373"/>
      <c r="IR31" s="373"/>
      <c r="IS31" s="373"/>
      <c r="IT31" s="373"/>
      <c r="IU31" s="373"/>
      <c r="IV31" s="373"/>
      <c r="IW31" s="373"/>
      <c r="IX31" s="373"/>
      <c r="IY31" s="373"/>
      <c r="IZ31" s="373"/>
      <c r="JA31" s="373"/>
      <c r="JB31" s="373"/>
      <c r="JC31" s="373"/>
      <c r="JD31" s="373"/>
      <c r="JE31" s="373"/>
      <c r="JF31" s="373"/>
      <c r="JG31" s="373"/>
      <c r="JH31" s="373"/>
      <c r="JI31" s="373"/>
      <c r="JJ31" s="373"/>
      <c r="JK31" s="373"/>
      <c r="JL31" s="373"/>
      <c r="JM31" s="373"/>
      <c r="JN31" s="373"/>
      <c r="JO31" s="373"/>
      <c r="JP31" s="373"/>
      <c r="JQ31" s="373"/>
      <c r="JR31" s="373"/>
      <c r="JS31" s="373"/>
      <c r="JT31" s="373"/>
      <c r="JU31" s="373"/>
      <c r="JV31" s="373"/>
      <c r="JW31" s="373"/>
      <c r="JX31" s="373"/>
      <c r="JY31" s="373"/>
      <c r="JZ31" s="373"/>
      <c r="KA31" s="373"/>
      <c r="KB31" s="373"/>
      <c r="KC31" s="373"/>
      <c r="KD31" s="373"/>
      <c r="KE31" s="373"/>
      <c r="KF31" s="373"/>
      <c r="KG31" s="373"/>
      <c r="KH31" s="373"/>
      <c r="KI31" s="373"/>
      <c r="KJ31" s="373"/>
      <c r="KK31" s="373"/>
      <c r="KL31" s="373"/>
      <c r="KM31" s="373"/>
      <c r="KN31" s="373"/>
      <c r="KO31" s="373"/>
      <c r="KP31" s="373"/>
      <c r="KQ31" s="373"/>
      <c r="KR31" s="373"/>
      <c r="KS31" s="373"/>
      <c r="KT31" s="373"/>
      <c r="KU31" s="373"/>
      <c r="KV31" s="373"/>
      <c r="KW31" s="373"/>
      <c r="KX31" s="373"/>
      <c r="KY31" s="373"/>
      <c r="KZ31" s="373"/>
      <c r="LA31" s="373"/>
      <c r="LB31" s="373"/>
      <c r="LC31" s="373"/>
      <c r="LD31" s="373"/>
      <c r="LE31" s="373"/>
      <c r="LF31" s="373"/>
      <c r="LG31" s="373"/>
      <c r="LH31" s="373"/>
      <c r="LI31" s="373"/>
      <c r="LJ31" s="373"/>
      <c r="LK31" s="373"/>
      <c r="LL31" s="373"/>
      <c r="LM31" s="373"/>
      <c r="LN31" s="373"/>
      <c r="LO31" s="373"/>
      <c r="LP31" s="373"/>
      <c r="LQ31" s="373"/>
      <c r="LR31" s="373"/>
      <c r="LS31" s="373"/>
      <c r="LT31" s="373"/>
      <c r="LU31" s="373"/>
      <c r="LV31" s="373"/>
      <c r="LW31" s="373"/>
      <c r="LX31" s="373"/>
      <c r="LY31" s="373"/>
      <c r="LZ31" s="373"/>
      <c r="MA31" s="373"/>
      <c r="MB31" s="373"/>
      <c r="MC31" s="373"/>
      <c r="MD31" s="373"/>
      <c r="ME31" s="373"/>
      <c r="MF31" s="373"/>
      <c r="MG31" s="373"/>
      <c r="MH31" s="373"/>
      <c r="MI31" s="373"/>
      <c r="MJ31" s="373"/>
      <c r="MK31" s="373"/>
      <c r="ML31" s="373"/>
      <c r="MM31" s="373"/>
      <c r="MN31" s="373"/>
      <c r="MO31" s="373"/>
      <c r="MP31" s="373"/>
      <c r="MQ31" s="373"/>
      <c r="MR31" s="373"/>
      <c r="MS31" s="373"/>
      <c r="MT31" s="373"/>
      <c r="MU31" s="373"/>
      <c r="MV31" s="373"/>
      <c r="MW31" s="373"/>
      <c r="MX31" s="373"/>
      <c r="MY31" s="373"/>
      <c r="MZ31" s="373"/>
      <c r="NA31" s="373"/>
      <c r="NB31" s="373"/>
      <c r="NC31" s="373"/>
      <c r="ND31" s="176">
        <f t="shared" si="0"/>
        <v>0</v>
      </c>
    </row>
    <row r="32" spans="1:368" s="361" customFormat="1" ht="13.5" customHeight="1">
      <c r="A32" s="410"/>
      <c r="B32" s="355" t="s">
        <v>154</v>
      </c>
      <c r="C32" s="373"/>
      <c r="D32" s="373"/>
      <c r="E32" s="373"/>
      <c r="F32" s="373"/>
      <c r="G32" s="373"/>
      <c r="H32" s="373"/>
      <c r="I32" s="373"/>
      <c r="J32" s="373"/>
      <c r="K32" s="373"/>
      <c r="L32" s="373"/>
      <c r="M32" s="373"/>
      <c r="N32" s="373"/>
      <c r="O32" s="373"/>
      <c r="P32" s="373"/>
      <c r="Q32" s="373"/>
      <c r="R32" s="373"/>
      <c r="S32" s="373"/>
      <c r="T32" s="373"/>
      <c r="U32" s="373"/>
      <c r="V32" s="373"/>
      <c r="W32" s="373"/>
      <c r="X32" s="373"/>
      <c r="Y32" s="373"/>
      <c r="Z32" s="373"/>
      <c r="AA32" s="373"/>
      <c r="AB32" s="373"/>
      <c r="AC32" s="373"/>
      <c r="AD32" s="373"/>
      <c r="AE32" s="373"/>
      <c r="AF32" s="373"/>
      <c r="AG32" s="373"/>
      <c r="AH32" s="373"/>
      <c r="AI32" s="373"/>
      <c r="AJ32" s="373"/>
      <c r="AK32" s="373"/>
      <c r="AL32" s="373"/>
      <c r="AM32" s="373"/>
      <c r="AN32" s="373"/>
      <c r="AO32" s="373"/>
      <c r="AP32" s="373"/>
      <c r="AQ32" s="373"/>
      <c r="AR32" s="373"/>
      <c r="AS32" s="373"/>
      <c r="AT32" s="373"/>
      <c r="AU32" s="373"/>
      <c r="AV32" s="373"/>
      <c r="AW32" s="373"/>
      <c r="AX32" s="373"/>
      <c r="AY32" s="373"/>
      <c r="AZ32" s="373"/>
      <c r="BA32" s="373"/>
      <c r="BB32" s="373"/>
      <c r="BC32" s="373"/>
      <c r="BD32" s="373"/>
      <c r="BE32" s="373"/>
      <c r="BF32" s="373"/>
      <c r="BG32" s="373"/>
      <c r="BH32" s="373"/>
      <c r="BI32" s="373"/>
      <c r="BJ32" s="373"/>
      <c r="BK32" s="373"/>
      <c r="BL32" s="373"/>
      <c r="BM32" s="373"/>
      <c r="BN32" s="373"/>
      <c r="BO32" s="373"/>
      <c r="BP32" s="373"/>
      <c r="BQ32" s="373"/>
      <c r="BR32" s="373"/>
      <c r="BS32" s="373"/>
      <c r="BT32" s="373"/>
      <c r="BU32" s="373"/>
      <c r="BV32" s="373"/>
      <c r="BW32" s="373"/>
      <c r="BX32" s="373"/>
      <c r="BY32" s="373"/>
      <c r="BZ32" s="373"/>
      <c r="CA32" s="373"/>
      <c r="CB32" s="373"/>
      <c r="CC32" s="373"/>
      <c r="CD32" s="373"/>
      <c r="CE32" s="373"/>
      <c r="CF32" s="373"/>
      <c r="CG32" s="373"/>
      <c r="CH32" s="373"/>
      <c r="CI32" s="373"/>
      <c r="CJ32" s="373"/>
      <c r="CK32" s="373"/>
      <c r="CL32" s="373"/>
      <c r="CM32" s="373"/>
      <c r="CN32" s="373"/>
      <c r="CO32" s="373"/>
      <c r="CP32" s="373"/>
      <c r="CQ32" s="373"/>
      <c r="CR32" s="373"/>
      <c r="CS32" s="373"/>
      <c r="CT32" s="373"/>
      <c r="CU32" s="373"/>
      <c r="CV32" s="373"/>
      <c r="CW32" s="373"/>
      <c r="CX32" s="373"/>
      <c r="CY32" s="373"/>
      <c r="CZ32" s="373"/>
      <c r="DA32" s="373"/>
      <c r="DB32" s="373"/>
      <c r="DC32" s="373"/>
      <c r="DD32" s="373"/>
      <c r="DE32" s="373"/>
      <c r="DF32" s="373"/>
      <c r="DG32" s="373"/>
      <c r="DH32" s="373"/>
      <c r="DI32" s="373"/>
      <c r="DJ32" s="373"/>
      <c r="DK32" s="373"/>
      <c r="DL32" s="373"/>
      <c r="DM32" s="373"/>
      <c r="DN32" s="373"/>
      <c r="DO32" s="373"/>
      <c r="DP32" s="373"/>
      <c r="DQ32" s="373"/>
      <c r="DR32" s="373"/>
      <c r="DS32" s="373"/>
      <c r="DT32" s="373"/>
      <c r="DU32" s="373"/>
      <c r="DV32" s="373"/>
      <c r="DW32" s="373"/>
      <c r="DX32" s="373"/>
      <c r="DY32" s="373"/>
      <c r="DZ32" s="373"/>
      <c r="EA32" s="373"/>
      <c r="EB32" s="373"/>
      <c r="EC32" s="373"/>
      <c r="ED32" s="373"/>
      <c r="EE32" s="373"/>
      <c r="EF32" s="373"/>
      <c r="EG32" s="373"/>
      <c r="EH32" s="373"/>
      <c r="EI32" s="373"/>
      <c r="EJ32" s="373"/>
      <c r="EK32" s="373"/>
      <c r="EL32" s="373"/>
      <c r="EM32" s="373"/>
      <c r="EN32" s="373"/>
      <c r="EO32" s="373"/>
      <c r="EP32" s="373"/>
      <c r="EQ32" s="373"/>
      <c r="ER32" s="373"/>
      <c r="ES32" s="373"/>
      <c r="ET32" s="373"/>
      <c r="EU32" s="373"/>
      <c r="EV32" s="373"/>
      <c r="EW32" s="373"/>
      <c r="EX32" s="373"/>
      <c r="EY32" s="373"/>
      <c r="EZ32" s="373"/>
      <c r="FA32" s="373"/>
      <c r="FB32" s="373"/>
      <c r="FC32" s="373"/>
      <c r="FD32" s="373"/>
      <c r="FE32" s="373"/>
      <c r="FF32" s="373"/>
      <c r="FG32" s="373"/>
      <c r="FH32" s="373"/>
      <c r="FI32" s="373"/>
      <c r="FJ32" s="373"/>
      <c r="FK32" s="373"/>
      <c r="FL32" s="373"/>
      <c r="FM32" s="373"/>
      <c r="FN32" s="373"/>
      <c r="FO32" s="373"/>
      <c r="FP32" s="373"/>
      <c r="FQ32" s="373"/>
      <c r="FR32" s="373"/>
      <c r="FS32" s="373"/>
      <c r="FT32" s="373"/>
      <c r="FU32" s="373"/>
      <c r="FV32" s="373"/>
      <c r="FW32" s="373"/>
      <c r="FX32" s="373"/>
      <c r="FY32" s="373"/>
      <c r="FZ32" s="373"/>
      <c r="GA32" s="373"/>
      <c r="GB32" s="373"/>
      <c r="GC32" s="373"/>
      <c r="GD32" s="373"/>
      <c r="GE32" s="373"/>
      <c r="GF32" s="373"/>
      <c r="GG32" s="373"/>
      <c r="GH32" s="373"/>
      <c r="GI32" s="373"/>
      <c r="GJ32" s="373"/>
      <c r="GK32" s="373"/>
      <c r="GL32" s="373"/>
      <c r="GM32" s="373"/>
      <c r="GN32" s="373"/>
      <c r="GO32" s="373"/>
      <c r="GP32" s="373"/>
      <c r="GQ32" s="373"/>
      <c r="GR32" s="373"/>
      <c r="GS32" s="373"/>
      <c r="GT32" s="373"/>
      <c r="GU32" s="373"/>
      <c r="GV32" s="373"/>
      <c r="GW32" s="373"/>
      <c r="GX32" s="373"/>
      <c r="GY32" s="373"/>
      <c r="GZ32" s="373"/>
      <c r="HA32" s="373"/>
      <c r="HB32" s="373"/>
      <c r="HC32" s="373"/>
      <c r="HD32" s="373"/>
      <c r="HE32" s="373"/>
      <c r="HF32" s="373"/>
      <c r="HG32" s="373"/>
      <c r="HH32" s="373"/>
      <c r="HI32" s="373"/>
      <c r="HJ32" s="373"/>
      <c r="HK32" s="373"/>
      <c r="HL32" s="373"/>
      <c r="HM32" s="373"/>
      <c r="HN32" s="373"/>
      <c r="HO32" s="373"/>
      <c r="HP32" s="373"/>
      <c r="HQ32" s="373"/>
      <c r="HR32" s="373"/>
      <c r="HS32" s="373"/>
      <c r="HT32" s="373"/>
      <c r="HU32" s="373"/>
      <c r="HV32" s="373"/>
      <c r="HW32" s="373"/>
      <c r="HX32" s="373"/>
      <c r="HY32" s="373"/>
      <c r="HZ32" s="373"/>
      <c r="IA32" s="373"/>
      <c r="IB32" s="373"/>
      <c r="IC32" s="373"/>
      <c r="ID32" s="373"/>
      <c r="IE32" s="373"/>
      <c r="IF32" s="373"/>
      <c r="IG32" s="373"/>
      <c r="IH32" s="373"/>
      <c r="II32" s="373"/>
      <c r="IJ32" s="373"/>
      <c r="IK32" s="373"/>
      <c r="IL32" s="373"/>
      <c r="IM32" s="373"/>
      <c r="IN32" s="373"/>
      <c r="IO32" s="373"/>
      <c r="IP32" s="373"/>
      <c r="IQ32" s="373"/>
      <c r="IR32" s="373"/>
      <c r="IS32" s="373"/>
      <c r="IT32" s="373"/>
      <c r="IU32" s="373"/>
      <c r="IV32" s="373"/>
      <c r="IW32" s="373"/>
      <c r="IX32" s="373"/>
      <c r="IY32" s="373"/>
      <c r="IZ32" s="373"/>
      <c r="JA32" s="373"/>
      <c r="JB32" s="373"/>
      <c r="JC32" s="373"/>
      <c r="JD32" s="373"/>
      <c r="JE32" s="373"/>
      <c r="JF32" s="373"/>
      <c r="JG32" s="373"/>
      <c r="JH32" s="373"/>
      <c r="JI32" s="373"/>
      <c r="JJ32" s="373"/>
      <c r="JK32" s="373"/>
      <c r="JL32" s="373"/>
      <c r="JM32" s="373"/>
      <c r="JN32" s="373"/>
      <c r="JO32" s="373"/>
      <c r="JP32" s="373"/>
      <c r="JQ32" s="373"/>
      <c r="JR32" s="373"/>
      <c r="JS32" s="373"/>
      <c r="JT32" s="373"/>
      <c r="JU32" s="373"/>
      <c r="JV32" s="373"/>
      <c r="JW32" s="373"/>
      <c r="JX32" s="373"/>
      <c r="JY32" s="373"/>
      <c r="JZ32" s="373"/>
      <c r="KA32" s="373"/>
      <c r="KB32" s="373"/>
      <c r="KC32" s="373"/>
      <c r="KD32" s="373"/>
      <c r="KE32" s="373"/>
      <c r="KF32" s="373"/>
      <c r="KG32" s="373"/>
      <c r="KH32" s="373"/>
      <c r="KI32" s="373"/>
      <c r="KJ32" s="373"/>
      <c r="KK32" s="373"/>
      <c r="KL32" s="373"/>
      <c r="KM32" s="373"/>
      <c r="KN32" s="373"/>
      <c r="KO32" s="373"/>
      <c r="KP32" s="373"/>
      <c r="KQ32" s="373"/>
      <c r="KR32" s="373"/>
      <c r="KS32" s="373"/>
      <c r="KT32" s="373"/>
      <c r="KU32" s="373"/>
      <c r="KV32" s="373"/>
      <c r="KW32" s="373"/>
      <c r="KX32" s="373"/>
      <c r="KY32" s="373"/>
      <c r="KZ32" s="373"/>
      <c r="LA32" s="373"/>
      <c r="LB32" s="373"/>
      <c r="LC32" s="373"/>
      <c r="LD32" s="373"/>
      <c r="LE32" s="373"/>
      <c r="LF32" s="373"/>
      <c r="LG32" s="373"/>
      <c r="LH32" s="373"/>
      <c r="LI32" s="373"/>
      <c r="LJ32" s="373"/>
      <c r="LK32" s="373"/>
      <c r="LL32" s="373"/>
      <c r="LM32" s="373"/>
      <c r="LN32" s="373"/>
      <c r="LO32" s="373"/>
      <c r="LP32" s="373"/>
      <c r="LQ32" s="373"/>
      <c r="LR32" s="373"/>
      <c r="LS32" s="373"/>
      <c r="LT32" s="373"/>
      <c r="LU32" s="373"/>
      <c r="LV32" s="373"/>
      <c r="LW32" s="373"/>
      <c r="LX32" s="373"/>
      <c r="LY32" s="373"/>
      <c r="LZ32" s="373"/>
      <c r="MA32" s="373"/>
      <c r="MB32" s="373"/>
      <c r="MC32" s="373"/>
      <c r="MD32" s="373"/>
      <c r="ME32" s="373"/>
      <c r="MF32" s="373"/>
      <c r="MG32" s="373"/>
      <c r="MH32" s="373"/>
      <c r="MI32" s="373"/>
      <c r="MJ32" s="373"/>
      <c r="MK32" s="373"/>
      <c r="ML32" s="373"/>
      <c r="MM32" s="373"/>
      <c r="MN32" s="373"/>
      <c r="MO32" s="373"/>
      <c r="MP32" s="373"/>
      <c r="MQ32" s="373"/>
      <c r="MR32" s="373"/>
      <c r="MS32" s="373"/>
      <c r="MT32" s="373"/>
      <c r="MU32" s="373"/>
      <c r="MV32" s="373"/>
      <c r="MW32" s="373"/>
      <c r="MX32" s="373"/>
      <c r="MY32" s="373"/>
      <c r="MZ32" s="373"/>
      <c r="NA32" s="373"/>
      <c r="NB32" s="373"/>
      <c r="NC32" s="373"/>
      <c r="ND32" s="176">
        <f t="shared" si="0"/>
        <v>0</v>
      </c>
    </row>
    <row r="33" spans="1:368" s="361" customFormat="1" ht="13.5" customHeight="1">
      <c r="A33" s="410"/>
      <c r="B33" s="355" t="s">
        <v>155</v>
      </c>
      <c r="C33" s="373"/>
      <c r="D33" s="373"/>
      <c r="E33" s="373"/>
      <c r="F33" s="373"/>
      <c r="G33" s="373"/>
      <c r="H33" s="373"/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Y33" s="373"/>
      <c r="Z33" s="373"/>
      <c r="AA33" s="373"/>
      <c r="AB33" s="373"/>
      <c r="AC33" s="373"/>
      <c r="AD33" s="373"/>
      <c r="AE33" s="373"/>
      <c r="AF33" s="373"/>
      <c r="AG33" s="373"/>
      <c r="AH33" s="373"/>
      <c r="AI33" s="373"/>
      <c r="AJ33" s="373"/>
      <c r="AK33" s="373"/>
      <c r="AL33" s="373"/>
      <c r="AM33" s="373"/>
      <c r="AN33" s="373"/>
      <c r="AO33" s="373"/>
      <c r="AP33" s="373"/>
      <c r="AQ33" s="373"/>
      <c r="AR33" s="373"/>
      <c r="AS33" s="373"/>
      <c r="AT33" s="373"/>
      <c r="AU33" s="373"/>
      <c r="AV33" s="373"/>
      <c r="AW33" s="373"/>
      <c r="AX33" s="373"/>
      <c r="AY33" s="373"/>
      <c r="AZ33" s="373"/>
      <c r="BA33" s="373"/>
      <c r="BB33" s="373"/>
      <c r="BC33" s="373"/>
      <c r="BD33" s="373"/>
      <c r="BE33" s="373"/>
      <c r="BF33" s="373"/>
      <c r="BG33" s="373"/>
      <c r="BH33" s="373"/>
      <c r="BI33" s="373"/>
      <c r="BJ33" s="373"/>
      <c r="BK33" s="373"/>
      <c r="BL33" s="373"/>
      <c r="BM33" s="373"/>
      <c r="BN33" s="373"/>
      <c r="BO33" s="373"/>
      <c r="BP33" s="373"/>
      <c r="BQ33" s="373"/>
      <c r="BR33" s="373"/>
      <c r="BS33" s="373"/>
      <c r="BT33" s="373"/>
      <c r="BU33" s="373"/>
      <c r="BV33" s="373"/>
      <c r="BW33" s="373"/>
      <c r="BX33" s="373"/>
      <c r="BY33" s="373"/>
      <c r="BZ33" s="373"/>
      <c r="CA33" s="373"/>
      <c r="CB33" s="373"/>
      <c r="CC33" s="373"/>
      <c r="CD33" s="373"/>
      <c r="CE33" s="373"/>
      <c r="CF33" s="373"/>
      <c r="CG33" s="373"/>
      <c r="CH33" s="373"/>
      <c r="CI33" s="373"/>
      <c r="CJ33" s="373"/>
      <c r="CK33" s="373"/>
      <c r="CL33" s="373"/>
      <c r="CM33" s="373"/>
      <c r="CN33" s="373"/>
      <c r="CO33" s="373"/>
      <c r="CP33" s="373"/>
      <c r="CQ33" s="373"/>
      <c r="CR33" s="373"/>
      <c r="CS33" s="373"/>
      <c r="CT33" s="373"/>
      <c r="CU33" s="373"/>
      <c r="CV33" s="373"/>
      <c r="CW33" s="373"/>
      <c r="CX33" s="373"/>
      <c r="CY33" s="373"/>
      <c r="CZ33" s="373"/>
      <c r="DA33" s="373"/>
      <c r="DB33" s="373"/>
      <c r="DC33" s="373"/>
      <c r="DD33" s="373"/>
      <c r="DE33" s="373"/>
      <c r="DF33" s="373"/>
      <c r="DG33" s="373"/>
      <c r="DH33" s="373"/>
      <c r="DI33" s="373"/>
      <c r="DJ33" s="373"/>
      <c r="DK33" s="373"/>
      <c r="DL33" s="373"/>
      <c r="DM33" s="373"/>
      <c r="DN33" s="373"/>
      <c r="DO33" s="373"/>
      <c r="DP33" s="373"/>
      <c r="DQ33" s="373"/>
      <c r="DR33" s="373"/>
      <c r="DS33" s="373"/>
      <c r="DT33" s="373"/>
      <c r="DU33" s="373"/>
      <c r="DV33" s="373"/>
      <c r="DW33" s="373"/>
      <c r="DX33" s="373"/>
      <c r="DY33" s="373"/>
      <c r="DZ33" s="373"/>
      <c r="EA33" s="373"/>
      <c r="EB33" s="373"/>
      <c r="EC33" s="373"/>
      <c r="ED33" s="373"/>
      <c r="EE33" s="373"/>
      <c r="EF33" s="373"/>
      <c r="EG33" s="373"/>
      <c r="EH33" s="373"/>
      <c r="EI33" s="373"/>
      <c r="EJ33" s="373"/>
      <c r="EK33" s="373"/>
      <c r="EL33" s="373"/>
      <c r="EM33" s="373"/>
      <c r="EN33" s="373"/>
      <c r="EO33" s="373"/>
      <c r="EP33" s="373"/>
      <c r="EQ33" s="373"/>
      <c r="ER33" s="373"/>
      <c r="ES33" s="373"/>
      <c r="ET33" s="373"/>
      <c r="EU33" s="373"/>
      <c r="EV33" s="373"/>
      <c r="EW33" s="373"/>
      <c r="EX33" s="373"/>
      <c r="EY33" s="373"/>
      <c r="EZ33" s="373"/>
      <c r="FA33" s="373"/>
      <c r="FB33" s="373"/>
      <c r="FC33" s="373"/>
      <c r="FD33" s="373"/>
      <c r="FE33" s="373"/>
      <c r="FF33" s="373"/>
      <c r="FG33" s="373"/>
      <c r="FH33" s="373"/>
      <c r="FI33" s="373"/>
      <c r="FJ33" s="373"/>
      <c r="FK33" s="373"/>
      <c r="FL33" s="373"/>
      <c r="FM33" s="373"/>
      <c r="FN33" s="373"/>
      <c r="FO33" s="373"/>
      <c r="FP33" s="373"/>
      <c r="FQ33" s="373"/>
      <c r="FR33" s="373"/>
      <c r="FS33" s="373"/>
      <c r="FT33" s="373"/>
      <c r="FU33" s="373"/>
      <c r="FV33" s="373"/>
      <c r="FW33" s="373"/>
      <c r="FX33" s="373"/>
      <c r="FY33" s="373"/>
      <c r="FZ33" s="373"/>
      <c r="GA33" s="373"/>
      <c r="GB33" s="373"/>
      <c r="GC33" s="373"/>
      <c r="GD33" s="373"/>
      <c r="GE33" s="373"/>
      <c r="GF33" s="373"/>
      <c r="GG33" s="373"/>
      <c r="GH33" s="373"/>
      <c r="GI33" s="373"/>
      <c r="GJ33" s="373"/>
      <c r="GK33" s="373"/>
      <c r="GL33" s="373"/>
      <c r="GM33" s="373"/>
      <c r="GN33" s="373"/>
      <c r="GO33" s="373"/>
      <c r="GP33" s="373"/>
      <c r="GQ33" s="373"/>
      <c r="GR33" s="373"/>
      <c r="GS33" s="373"/>
      <c r="GT33" s="373"/>
      <c r="GU33" s="373"/>
      <c r="GV33" s="373"/>
      <c r="GW33" s="373"/>
      <c r="GX33" s="373"/>
      <c r="GY33" s="373"/>
      <c r="GZ33" s="373"/>
      <c r="HA33" s="373"/>
      <c r="HB33" s="373"/>
      <c r="HC33" s="373"/>
      <c r="HD33" s="373"/>
      <c r="HE33" s="373"/>
      <c r="HF33" s="373"/>
      <c r="HG33" s="373"/>
      <c r="HH33" s="373"/>
      <c r="HI33" s="373"/>
      <c r="HJ33" s="373"/>
      <c r="HK33" s="373"/>
      <c r="HL33" s="373"/>
      <c r="HM33" s="373"/>
      <c r="HN33" s="373"/>
      <c r="HO33" s="373"/>
      <c r="HP33" s="373"/>
      <c r="HQ33" s="373"/>
      <c r="HR33" s="373"/>
      <c r="HS33" s="373"/>
      <c r="HT33" s="373"/>
      <c r="HU33" s="373"/>
      <c r="HV33" s="373"/>
      <c r="HW33" s="373"/>
      <c r="HX33" s="373"/>
      <c r="HY33" s="373"/>
      <c r="HZ33" s="373"/>
      <c r="IA33" s="373"/>
      <c r="IB33" s="373"/>
      <c r="IC33" s="373"/>
      <c r="ID33" s="373"/>
      <c r="IE33" s="373"/>
      <c r="IF33" s="373"/>
      <c r="IG33" s="373"/>
      <c r="IH33" s="373"/>
      <c r="II33" s="373"/>
      <c r="IJ33" s="373"/>
      <c r="IK33" s="373"/>
      <c r="IL33" s="373"/>
      <c r="IM33" s="373"/>
      <c r="IN33" s="373"/>
      <c r="IO33" s="373"/>
      <c r="IP33" s="373"/>
      <c r="IQ33" s="373"/>
      <c r="IR33" s="373"/>
      <c r="IS33" s="373"/>
      <c r="IT33" s="373"/>
      <c r="IU33" s="373"/>
      <c r="IV33" s="373"/>
      <c r="IW33" s="373"/>
      <c r="IX33" s="373"/>
      <c r="IY33" s="373"/>
      <c r="IZ33" s="373"/>
      <c r="JA33" s="373"/>
      <c r="JB33" s="373"/>
      <c r="JC33" s="373"/>
      <c r="JD33" s="373"/>
      <c r="JE33" s="373"/>
      <c r="JF33" s="373"/>
      <c r="JG33" s="373"/>
      <c r="JH33" s="373"/>
      <c r="JI33" s="373"/>
      <c r="JJ33" s="373"/>
      <c r="JK33" s="373"/>
      <c r="JL33" s="373"/>
      <c r="JM33" s="373"/>
      <c r="JN33" s="373"/>
      <c r="JO33" s="373"/>
      <c r="JP33" s="373"/>
      <c r="JQ33" s="373"/>
      <c r="JR33" s="373"/>
      <c r="JS33" s="373"/>
      <c r="JT33" s="373"/>
      <c r="JU33" s="373"/>
      <c r="JV33" s="373"/>
      <c r="JW33" s="373"/>
      <c r="JX33" s="373"/>
      <c r="JY33" s="373"/>
      <c r="JZ33" s="373"/>
      <c r="KA33" s="373"/>
      <c r="KB33" s="373"/>
      <c r="KC33" s="373"/>
      <c r="KD33" s="373"/>
      <c r="KE33" s="373"/>
      <c r="KF33" s="373"/>
      <c r="KG33" s="373"/>
      <c r="KH33" s="373"/>
      <c r="KI33" s="373"/>
      <c r="KJ33" s="373"/>
      <c r="KK33" s="373"/>
      <c r="KL33" s="373"/>
      <c r="KM33" s="373"/>
      <c r="KN33" s="373"/>
      <c r="KO33" s="373"/>
      <c r="KP33" s="373"/>
      <c r="KQ33" s="373"/>
      <c r="KR33" s="373"/>
      <c r="KS33" s="373"/>
      <c r="KT33" s="373"/>
      <c r="KU33" s="373"/>
      <c r="KV33" s="373"/>
      <c r="KW33" s="373"/>
      <c r="KX33" s="373"/>
      <c r="KY33" s="373"/>
      <c r="KZ33" s="373"/>
      <c r="LA33" s="373"/>
      <c r="LB33" s="373"/>
      <c r="LC33" s="373"/>
      <c r="LD33" s="373"/>
      <c r="LE33" s="373"/>
      <c r="LF33" s="373"/>
      <c r="LG33" s="373"/>
      <c r="LH33" s="373"/>
      <c r="LI33" s="373"/>
      <c r="LJ33" s="373"/>
      <c r="LK33" s="373"/>
      <c r="LL33" s="373"/>
      <c r="LM33" s="373"/>
      <c r="LN33" s="373"/>
      <c r="LO33" s="373"/>
      <c r="LP33" s="373"/>
      <c r="LQ33" s="373"/>
      <c r="LR33" s="373"/>
      <c r="LS33" s="373"/>
      <c r="LT33" s="373"/>
      <c r="LU33" s="373"/>
      <c r="LV33" s="373"/>
      <c r="LW33" s="373"/>
      <c r="LX33" s="373"/>
      <c r="LY33" s="373"/>
      <c r="LZ33" s="373"/>
      <c r="MA33" s="373"/>
      <c r="MB33" s="373"/>
      <c r="MC33" s="373"/>
      <c r="MD33" s="373"/>
      <c r="ME33" s="373"/>
      <c r="MF33" s="373"/>
      <c r="MG33" s="373"/>
      <c r="MH33" s="373"/>
      <c r="MI33" s="373"/>
      <c r="MJ33" s="373"/>
      <c r="MK33" s="373"/>
      <c r="ML33" s="373"/>
      <c r="MM33" s="373"/>
      <c r="MN33" s="373"/>
      <c r="MO33" s="373"/>
      <c r="MP33" s="373"/>
      <c r="MQ33" s="373"/>
      <c r="MR33" s="373"/>
      <c r="MS33" s="373"/>
      <c r="MT33" s="373"/>
      <c r="MU33" s="373"/>
      <c r="MV33" s="373"/>
      <c r="MW33" s="373"/>
      <c r="MX33" s="373"/>
      <c r="MY33" s="373"/>
      <c r="MZ33" s="373"/>
      <c r="NA33" s="373"/>
      <c r="NB33" s="373"/>
      <c r="NC33" s="373"/>
      <c r="ND33" s="176">
        <f t="shared" si="0"/>
        <v>0</v>
      </c>
    </row>
    <row r="34" spans="1:368" s="361" customFormat="1" ht="13.5" customHeight="1" thickBot="1">
      <c r="A34" s="411"/>
      <c r="B34" s="356" t="s">
        <v>21</v>
      </c>
      <c r="C34" s="374"/>
      <c r="D34" s="374"/>
      <c r="E34" s="374"/>
      <c r="F34" s="374"/>
      <c r="G34" s="374"/>
      <c r="H34" s="374"/>
      <c r="I34" s="374"/>
      <c r="J34" s="374"/>
      <c r="K34" s="374"/>
      <c r="L34" s="374"/>
      <c r="M34" s="374"/>
      <c r="N34" s="374"/>
      <c r="O34" s="374"/>
      <c r="P34" s="374"/>
      <c r="Q34" s="374"/>
      <c r="R34" s="374"/>
      <c r="S34" s="374"/>
      <c r="T34" s="374"/>
      <c r="U34" s="374"/>
      <c r="V34" s="374"/>
      <c r="W34" s="374"/>
      <c r="X34" s="374"/>
      <c r="Y34" s="374"/>
      <c r="Z34" s="374"/>
      <c r="AA34" s="374"/>
      <c r="AB34" s="374"/>
      <c r="AC34" s="374"/>
      <c r="AD34" s="374"/>
      <c r="AE34" s="374"/>
      <c r="AF34" s="374"/>
      <c r="AG34" s="374"/>
      <c r="AH34" s="374"/>
      <c r="AI34" s="374"/>
      <c r="AJ34" s="374"/>
      <c r="AK34" s="374"/>
      <c r="AL34" s="374"/>
      <c r="AM34" s="374"/>
      <c r="AN34" s="374"/>
      <c r="AO34" s="374"/>
      <c r="AP34" s="374"/>
      <c r="AQ34" s="374"/>
      <c r="AR34" s="374"/>
      <c r="AS34" s="374"/>
      <c r="AT34" s="374"/>
      <c r="AU34" s="374"/>
      <c r="AV34" s="374"/>
      <c r="AW34" s="374"/>
      <c r="AX34" s="374"/>
      <c r="AY34" s="374"/>
      <c r="AZ34" s="374"/>
      <c r="BA34" s="374"/>
      <c r="BB34" s="374"/>
      <c r="BC34" s="374"/>
      <c r="BD34" s="374"/>
      <c r="BE34" s="374"/>
      <c r="BF34" s="374"/>
      <c r="BG34" s="374"/>
      <c r="BH34" s="374"/>
      <c r="BI34" s="374"/>
      <c r="BJ34" s="374"/>
      <c r="BK34" s="374"/>
      <c r="BL34" s="374"/>
      <c r="BM34" s="374"/>
      <c r="BN34" s="374"/>
      <c r="BO34" s="374"/>
      <c r="BP34" s="374"/>
      <c r="BQ34" s="374"/>
      <c r="BR34" s="374"/>
      <c r="BS34" s="374"/>
      <c r="BT34" s="374"/>
      <c r="BU34" s="374"/>
      <c r="BV34" s="374"/>
      <c r="BW34" s="374"/>
      <c r="BX34" s="374"/>
      <c r="BY34" s="374"/>
      <c r="BZ34" s="374"/>
      <c r="CA34" s="374"/>
      <c r="CB34" s="374"/>
      <c r="CC34" s="374"/>
      <c r="CD34" s="374"/>
      <c r="CE34" s="374"/>
      <c r="CF34" s="374"/>
      <c r="CG34" s="374"/>
      <c r="CH34" s="374"/>
      <c r="CI34" s="374"/>
      <c r="CJ34" s="374"/>
      <c r="CK34" s="374"/>
      <c r="CL34" s="374"/>
      <c r="CM34" s="374"/>
      <c r="CN34" s="374"/>
      <c r="CO34" s="374"/>
      <c r="CP34" s="374"/>
      <c r="CQ34" s="374"/>
      <c r="CR34" s="374"/>
      <c r="CS34" s="374"/>
      <c r="CT34" s="374"/>
      <c r="CU34" s="374"/>
      <c r="CV34" s="374"/>
      <c r="CW34" s="374"/>
      <c r="CX34" s="374"/>
      <c r="CY34" s="374"/>
      <c r="CZ34" s="374"/>
      <c r="DA34" s="374"/>
      <c r="DB34" s="374"/>
      <c r="DC34" s="374"/>
      <c r="DD34" s="374"/>
      <c r="DE34" s="374"/>
      <c r="DF34" s="374"/>
      <c r="DG34" s="374"/>
      <c r="DH34" s="374"/>
      <c r="DI34" s="374"/>
      <c r="DJ34" s="374"/>
      <c r="DK34" s="374"/>
      <c r="DL34" s="374"/>
      <c r="DM34" s="374"/>
      <c r="DN34" s="374"/>
      <c r="DO34" s="374"/>
      <c r="DP34" s="374"/>
      <c r="DQ34" s="374"/>
      <c r="DR34" s="374"/>
      <c r="DS34" s="374"/>
      <c r="DT34" s="374"/>
      <c r="DU34" s="374"/>
      <c r="DV34" s="374"/>
      <c r="DW34" s="374"/>
      <c r="DX34" s="374"/>
      <c r="DY34" s="374"/>
      <c r="DZ34" s="374"/>
      <c r="EA34" s="374"/>
      <c r="EB34" s="374"/>
      <c r="EC34" s="374"/>
      <c r="ED34" s="374"/>
      <c r="EE34" s="374"/>
      <c r="EF34" s="374"/>
      <c r="EG34" s="374"/>
      <c r="EH34" s="374"/>
      <c r="EI34" s="374"/>
      <c r="EJ34" s="374"/>
      <c r="EK34" s="374"/>
      <c r="EL34" s="374"/>
      <c r="EM34" s="374"/>
      <c r="EN34" s="374"/>
      <c r="EO34" s="374"/>
      <c r="EP34" s="374"/>
      <c r="EQ34" s="374"/>
      <c r="ER34" s="374"/>
      <c r="ES34" s="374"/>
      <c r="ET34" s="374"/>
      <c r="EU34" s="374"/>
      <c r="EV34" s="374"/>
      <c r="EW34" s="374"/>
      <c r="EX34" s="374"/>
      <c r="EY34" s="374"/>
      <c r="EZ34" s="374"/>
      <c r="FA34" s="374"/>
      <c r="FB34" s="374"/>
      <c r="FC34" s="374"/>
      <c r="FD34" s="374"/>
      <c r="FE34" s="374"/>
      <c r="FF34" s="374"/>
      <c r="FG34" s="374"/>
      <c r="FH34" s="374"/>
      <c r="FI34" s="374"/>
      <c r="FJ34" s="374"/>
      <c r="FK34" s="374"/>
      <c r="FL34" s="374"/>
      <c r="FM34" s="374"/>
      <c r="FN34" s="374"/>
      <c r="FO34" s="374"/>
      <c r="FP34" s="374"/>
      <c r="FQ34" s="374"/>
      <c r="FR34" s="374"/>
      <c r="FS34" s="374"/>
      <c r="FT34" s="374"/>
      <c r="FU34" s="374"/>
      <c r="FV34" s="374"/>
      <c r="FW34" s="374"/>
      <c r="FX34" s="374"/>
      <c r="FY34" s="374"/>
      <c r="FZ34" s="374"/>
      <c r="GA34" s="374"/>
      <c r="GB34" s="374"/>
      <c r="GC34" s="374"/>
      <c r="GD34" s="374"/>
      <c r="GE34" s="374"/>
      <c r="GF34" s="374"/>
      <c r="GG34" s="374"/>
      <c r="GH34" s="374"/>
      <c r="GI34" s="374"/>
      <c r="GJ34" s="374"/>
      <c r="GK34" s="374"/>
      <c r="GL34" s="374"/>
      <c r="GM34" s="374"/>
      <c r="GN34" s="374"/>
      <c r="GO34" s="374"/>
      <c r="GP34" s="374"/>
      <c r="GQ34" s="374"/>
      <c r="GR34" s="374"/>
      <c r="GS34" s="374"/>
      <c r="GT34" s="374"/>
      <c r="GU34" s="374"/>
      <c r="GV34" s="374"/>
      <c r="GW34" s="374"/>
      <c r="GX34" s="374"/>
      <c r="GY34" s="374"/>
      <c r="GZ34" s="374"/>
      <c r="HA34" s="374"/>
      <c r="HB34" s="374"/>
      <c r="HC34" s="374"/>
      <c r="HD34" s="374"/>
      <c r="HE34" s="374"/>
      <c r="HF34" s="374"/>
      <c r="HG34" s="374"/>
      <c r="HH34" s="374"/>
      <c r="HI34" s="374"/>
      <c r="HJ34" s="374"/>
      <c r="HK34" s="374"/>
      <c r="HL34" s="374"/>
      <c r="HM34" s="374"/>
      <c r="HN34" s="374"/>
      <c r="HO34" s="374"/>
      <c r="HP34" s="374"/>
      <c r="HQ34" s="374"/>
      <c r="HR34" s="374"/>
      <c r="HS34" s="374"/>
      <c r="HT34" s="374"/>
      <c r="HU34" s="374"/>
      <c r="HV34" s="374"/>
      <c r="HW34" s="374"/>
      <c r="HX34" s="374"/>
      <c r="HY34" s="374"/>
      <c r="HZ34" s="374"/>
      <c r="IA34" s="374"/>
      <c r="IB34" s="374"/>
      <c r="IC34" s="374"/>
      <c r="ID34" s="374"/>
      <c r="IE34" s="374"/>
      <c r="IF34" s="374"/>
      <c r="IG34" s="374"/>
      <c r="IH34" s="374"/>
      <c r="II34" s="374"/>
      <c r="IJ34" s="374"/>
      <c r="IK34" s="374"/>
      <c r="IL34" s="374"/>
      <c r="IM34" s="374"/>
      <c r="IN34" s="374"/>
      <c r="IO34" s="374"/>
      <c r="IP34" s="374"/>
      <c r="IQ34" s="374"/>
      <c r="IR34" s="374"/>
      <c r="IS34" s="374"/>
      <c r="IT34" s="374"/>
      <c r="IU34" s="374"/>
      <c r="IV34" s="374"/>
      <c r="IW34" s="374"/>
      <c r="IX34" s="374"/>
      <c r="IY34" s="374"/>
      <c r="IZ34" s="374"/>
      <c r="JA34" s="374"/>
      <c r="JB34" s="374"/>
      <c r="JC34" s="374"/>
      <c r="JD34" s="374"/>
      <c r="JE34" s="374"/>
      <c r="JF34" s="374"/>
      <c r="JG34" s="374"/>
      <c r="JH34" s="374"/>
      <c r="JI34" s="374"/>
      <c r="JJ34" s="374"/>
      <c r="JK34" s="374"/>
      <c r="JL34" s="374"/>
      <c r="JM34" s="374"/>
      <c r="JN34" s="374"/>
      <c r="JO34" s="374"/>
      <c r="JP34" s="374"/>
      <c r="JQ34" s="374"/>
      <c r="JR34" s="374"/>
      <c r="JS34" s="374"/>
      <c r="JT34" s="374"/>
      <c r="JU34" s="374"/>
      <c r="JV34" s="374"/>
      <c r="JW34" s="374"/>
      <c r="JX34" s="374"/>
      <c r="JY34" s="374"/>
      <c r="JZ34" s="374"/>
      <c r="KA34" s="374"/>
      <c r="KB34" s="374"/>
      <c r="KC34" s="374"/>
      <c r="KD34" s="374"/>
      <c r="KE34" s="374"/>
      <c r="KF34" s="374"/>
      <c r="KG34" s="374"/>
      <c r="KH34" s="374"/>
      <c r="KI34" s="374"/>
      <c r="KJ34" s="374"/>
      <c r="KK34" s="374"/>
      <c r="KL34" s="374"/>
      <c r="KM34" s="374"/>
      <c r="KN34" s="374"/>
      <c r="KO34" s="374"/>
      <c r="KP34" s="374"/>
      <c r="KQ34" s="374"/>
      <c r="KR34" s="374"/>
      <c r="KS34" s="374"/>
      <c r="KT34" s="374"/>
      <c r="KU34" s="374"/>
      <c r="KV34" s="374"/>
      <c r="KW34" s="374"/>
      <c r="KX34" s="374"/>
      <c r="KY34" s="374"/>
      <c r="KZ34" s="374"/>
      <c r="LA34" s="374"/>
      <c r="LB34" s="374"/>
      <c r="LC34" s="374"/>
      <c r="LD34" s="374"/>
      <c r="LE34" s="374"/>
      <c r="LF34" s="374"/>
      <c r="LG34" s="374"/>
      <c r="LH34" s="374"/>
      <c r="LI34" s="374"/>
      <c r="LJ34" s="374"/>
      <c r="LK34" s="374"/>
      <c r="LL34" s="374"/>
      <c r="LM34" s="374"/>
      <c r="LN34" s="374"/>
      <c r="LO34" s="374"/>
      <c r="LP34" s="374"/>
      <c r="LQ34" s="374"/>
      <c r="LR34" s="374"/>
      <c r="LS34" s="374"/>
      <c r="LT34" s="374"/>
      <c r="LU34" s="374"/>
      <c r="LV34" s="374"/>
      <c r="LW34" s="374"/>
      <c r="LX34" s="374"/>
      <c r="LY34" s="374"/>
      <c r="LZ34" s="374"/>
      <c r="MA34" s="374"/>
      <c r="MB34" s="374"/>
      <c r="MC34" s="374"/>
      <c r="MD34" s="374"/>
      <c r="ME34" s="374"/>
      <c r="MF34" s="374"/>
      <c r="MG34" s="374"/>
      <c r="MH34" s="374"/>
      <c r="MI34" s="374"/>
      <c r="MJ34" s="374"/>
      <c r="MK34" s="374"/>
      <c r="ML34" s="374"/>
      <c r="MM34" s="374"/>
      <c r="MN34" s="374"/>
      <c r="MO34" s="374"/>
      <c r="MP34" s="374"/>
      <c r="MQ34" s="374"/>
      <c r="MR34" s="374"/>
      <c r="MS34" s="374"/>
      <c r="MT34" s="374"/>
      <c r="MU34" s="374"/>
      <c r="MV34" s="374"/>
      <c r="MW34" s="374"/>
      <c r="MX34" s="374"/>
      <c r="MY34" s="374"/>
      <c r="MZ34" s="374"/>
      <c r="NA34" s="374"/>
      <c r="NB34" s="374"/>
      <c r="NC34" s="374"/>
      <c r="ND34" s="176">
        <f t="shared" si="0"/>
        <v>0</v>
      </c>
    </row>
    <row r="35" spans="1:368" ht="15.75" thickTop="1">
      <c r="A35" s="357"/>
    </row>
    <row r="36" spans="1:368" ht="15">
      <c r="A36" s="357"/>
    </row>
    <row r="37" spans="1:368" ht="15">
      <c r="A37" s="357"/>
    </row>
  </sheetData>
  <mergeCells count="5">
    <mergeCell ref="A1:B1"/>
    <mergeCell ref="A2:A8"/>
    <mergeCell ref="A9:A17"/>
    <mergeCell ref="A18:A28"/>
    <mergeCell ref="A29:A34"/>
  </mergeCells>
  <pageMargins left="0.7" right="0.7" top="0.75" bottom="0.75" header="0.3" footer="0.3"/>
  <pageSetup paperSize="9" orientation="portrait" r:id="rId1"/>
  <headerFooter>
    <oddFooter>&amp;CFIC-C83001-02-V03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1"/>
  </sheetPr>
  <dimension ref="A1:ND37"/>
  <sheetViews>
    <sheetView workbookViewId="0">
      <pane xSplit="2" topLeftCell="C1" activePane="topRight" state="frozen"/>
      <selection pane="topRight" activeCell="E6" sqref="E6"/>
    </sheetView>
  </sheetViews>
  <sheetFormatPr defaultRowHeight="21"/>
  <cols>
    <col min="1" max="1" width="8.7109375" style="359" customWidth="1"/>
    <col min="2" max="2" width="37.140625" style="358" bestFit="1" customWidth="1"/>
    <col min="3" max="32" width="8.42578125" style="3" customWidth="1"/>
    <col min="33" max="41" width="7.85546875" style="3" bestFit="1" customWidth="1"/>
    <col min="42" max="61" width="8.85546875" style="3" bestFit="1" customWidth="1"/>
    <col min="62" max="70" width="6.5703125" style="3" bestFit="1" customWidth="1"/>
    <col min="71" max="101" width="7.5703125" style="3" bestFit="1" customWidth="1"/>
    <col min="102" max="122" width="8.5703125" style="3" bestFit="1" customWidth="1"/>
    <col min="123" max="131" width="7.7109375" style="3" bestFit="1" customWidth="1"/>
    <col min="132" max="153" width="8.7109375" style="3" bestFit="1" customWidth="1"/>
    <col min="154" max="162" width="9.5703125" style="3" bestFit="1" customWidth="1"/>
    <col min="163" max="183" width="10.5703125" style="3" customWidth="1"/>
    <col min="184" max="192" width="10.42578125" style="3" bestFit="1" customWidth="1"/>
    <col min="193" max="214" width="11.42578125" style="3" bestFit="1" customWidth="1"/>
    <col min="215" max="223" width="9.5703125" style="3" bestFit="1" customWidth="1"/>
    <col min="224" max="245" width="10.5703125" style="3" bestFit="1" customWidth="1"/>
    <col min="246" max="254" width="7" style="3" bestFit="1" customWidth="1"/>
    <col min="255" max="275" width="8" style="3" bestFit="1" customWidth="1"/>
    <col min="276" max="284" width="7" style="3" bestFit="1" customWidth="1"/>
    <col min="285" max="306" width="8" style="3" bestFit="1" customWidth="1"/>
    <col min="307" max="315" width="8.140625" style="3" bestFit="1" customWidth="1"/>
    <col min="316" max="336" width="9.140625" style="3" bestFit="1" customWidth="1"/>
    <col min="337" max="345" width="7.85546875" style="3" bestFit="1" customWidth="1"/>
    <col min="346" max="367" width="8.85546875" style="3" bestFit="1" customWidth="1"/>
    <col min="368" max="368" width="11.5703125" style="3" customWidth="1"/>
  </cols>
  <sheetData>
    <row r="1" spans="1:368" s="361" customFormat="1" ht="25.5" customHeight="1" thickTop="1" thickBot="1">
      <c r="A1" s="398" t="s">
        <v>156</v>
      </c>
      <c r="B1" s="399"/>
      <c r="C1" s="360">
        <v>40910</v>
      </c>
      <c r="D1" s="360">
        <v>40911</v>
      </c>
      <c r="E1" s="360">
        <v>40912</v>
      </c>
      <c r="F1" s="360">
        <v>40913</v>
      </c>
      <c r="G1" s="360">
        <v>40914</v>
      </c>
      <c r="H1" s="360">
        <v>40915</v>
      </c>
      <c r="I1" s="360">
        <v>40916</v>
      </c>
      <c r="J1" s="360">
        <v>40917</v>
      </c>
      <c r="K1" s="360">
        <v>40918</v>
      </c>
      <c r="L1" s="360">
        <v>40919</v>
      </c>
      <c r="M1" s="360">
        <v>40920</v>
      </c>
      <c r="N1" s="360">
        <v>40921</v>
      </c>
      <c r="O1" s="360">
        <v>40922</v>
      </c>
      <c r="P1" s="360">
        <v>40923</v>
      </c>
      <c r="Q1" s="360">
        <v>40924</v>
      </c>
      <c r="R1" s="360">
        <v>40925</v>
      </c>
      <c r="S1" s="360">
        <v>40926</v>
      </c>
      <c r="T1" s="360">
        <v>40927</v>
      </c>
      <c r="U1" s="360">
        <v>40928</v>
      </c>
      <c r="V1" s="360">
        <v>40929</v>
      </c>
      <c r="W1" s="360">
        <v>40930</v>
      </c>
      <c r="X1" s="360">
        <v>40931</v>
      </c>
      <c r="Y1" s="360">
        <v>40932</v>
      </c>
      <c r="Z1" s="360">
        <v>40933</v>
      </c>
      <c r="AA1" s="360">
        <v>40934</v>
      </c>
      <c r="AB1" s="360">
        <v>40935</v>
      </c>
      <c r="AC1" s="360">
        <v>40936</v>
      </c>
      <c r="AD1" s="360">
        <v>40937</v>
      </c>
      <c r="AE1" s="360">
        <v>40938</v>
      </c>
      <c r="AF1" s="360">
        <v>40939</v>
      </c>
      <c r="AG1" s="360">
        <v>40940</v>
      </c>
      <c r="AH1" s="360">
        <v>40941</v>
      </c>
      <c r="AI1" s="360">
        <v>40942</v>
      </c>
      <c r="AJ1" s="360">
        <v>40943</v>
      </c>
      <c r="AK1" s="360">
        <v>40944</v>
      </c>
      <c r="AL1" s="360">
        <v>40945</v>
      </c>
      <c r="AM1" s="360">
        <v>40946</v>
      </c>
      <c r="AN1" s="360">
        <v>40947</v>
      </c>
      <c r="AO1" s="360">
        <v>40948</v>
      </c>
      <c r="AP1" s="360">
        <v>40949</v>
      </c>
      <c r="AQ1" s="360">
        <v>40950</v>
      </c>
      <c r="AR1" s="360">
        <v>40951</v>
      </c>
      <c r="AS1" s="360">
        <v>40952</v>
      </c>
      <c r="AT1" s="360">
        <v>40953</v>
      </c>
      <c r="AU1" s="360">
        <v>40954</v>
      </c>
      <c r="AV1" s="360">
        <v>40955</v>
      </c>
      <c r="AW1" s="360">
        <v>40956</v>
      </c>
      <c r="AX1" s="360">
        <v>40957</v>
      </c>
      <c r="AY1" s="360">
        <v>40958</v>
      </c>
      <c r="AZ1" s="360">
        <v>40959</v>
      </c>
      <c r="BA1" s="360">
        <v>40960</v>
      </c>
      <c r="BB1" s="360">
        <v>40961</v>
      </c>
      <c r="BC1" s="360">
        <v>40962</v>
      </c>
      <c r="BD1" s="360">
        <v>40963</v>
      </c>
      <c r="BE1" s="360">
        <v>40964</v>
      </c>
      <c r="BF1" s="360">
        <v>40965</v>
      </c>
      <c r="BG1" s="360">
        <v>40966</v>
      </c>
      <c r="BH1" s="360">
        <v>40967</v>
      </c>
      <c r="BI1" s="360">
        <v>40968</v>
      </c>
      <c r="BJ1" s="360">
        <v>40969</v>
      </c>
      <c r="BK1" s="360">
        <v>40970</v>
      </c>
      <c r="BL1" s="360">
        <v>40971</v>
      </c>
      <c r="BM1" s="360">
        <v>40972</v>
      </c>
      <c r="BN1" s="360">
        <v>40973</v>
      </c>
      <c r="BO1" s="360">
        <v>40974</v>
      </c>
      <c r="BP1" s="360">
        <v>40975</v>
      </c>
      <c r="BQ1" s="360">
        <v>40976</v>
      </c>
      <c r="BR1" s="360">
        <v>40977</v>
      </c>
      <c r="BS1" s="360">
        <v>40978</v>
      </c>
      <c r="BT1" s="360">
        <v>40979</v>
      </c>
      <c r="BU1" s="360">
        <v>40980</v>
      </c>
      <c r="BV1" s="360">
        <v>40981</v>
      </c>
      <c r="BW1" s="360">
        <v>40982</v>
      </c>
      <c r="BX1" s="360">
        <v>40983</v>
      </c>
      <c r="BY1" s="360">
        <v>40984</v>
      </c>
      <c r="BZ1" s="360">
        <v>40985</v>
      </c>
      <c r="CA1" s="360">
        <v>40986</v>
      </c>
      <c r="CB1" s="360">
        <v>40987</v>
      </c>
      <c r="CC1" s="360">
        <v>40988</v>
      </c>
      <c r="CD1" s="360">
        <v>40989</v>
      </c>
      <c r="CE1" s="360">
        <v>40990</v>
      </c>
      <c r="CF1" s="360">
        <v>40991</v>
      </c>
      <c r="CG1" s="360">
        <v>40992</v>
      </c>
      <c r="CH1" s="360">
        <v>40993</v>
      </c>
      <c r="CI1" s="360">
        <v>40994</v>
      </c>
      <c r="CJ1" s="360">
        <v>40995</v>
      </c>
      <c r="CK1" s="360">
        <v>40996</v>
      </c>
      <c r="CL1" s="360">
        <v>40997</v>
      </c>
      <c r="CM1" s="360">
        <v>40998</v>
      </c>
      <c r="CN1" s="360">
        <v>40999</v>
      </c>
      <c r="CO1" s="360">
        <v>41000</v>
      </c>
      <c r="CP1" s="360">
        <v>41001</v>
      </c>
      <c r="CQ1" s="360">
        <v>41002</v>
      </c>
      <c r="CR1" s="360">
        <v>41003</v>
      </c>
      <c r="CS1" s="360">
        <v>41004</v>
      </c>
      <c r="CT1" s="360">
        <v>41005</v>
      </c>
      <c r="CU1" s="360">
        <v>41006</v>
      </c>
      <c r="CV1" s="360">
        <v>41007</v>
      </c>
      <c r="CW1" s="360">
        <v>41008</v>
      </c>
      <c r="CX1" s="360">
        <v>41009</v>
      </c>
      <c r="CY1" s="360">
        <v>41010</v>
      </c>
      <c r="CZ1" s="360">
        <v>41011</v>
      </c>
      <c r="DA1" s="360">
        <v>41012</v>
      </c>
      <c r="DB1" s="360">
        <v>41013</v>
      </c>
      <c r="DC1" s="360">
        <v>41014</v>
      </c>
      <c r="DD1" s="360">
        <v>41015</v>
      </c>
      <c r="DE1" s="360">
        <v>41016</v>
      </c>
      <c r="DF1" s="360">
        <v>41017</v>
      </c>
      <c r="DG1" s="360">
        <v>41018</v>
      </c>
      <c r="DH1" s="360">
        <v>41019</v>
      </c>
      <c r="DI1" s="360">
        <v>41020</v>
      </c>
      <c r="DJ1" s="360">
        <v>41021</v>
      </c>
      <c r="DK1" s="360">
        <v>41022</v>
      </c>
      <c r="DL1" s="360">
        <v>41023</v>
      </c>
      <c r="DM1" s="360">
        <v>41024</v>
      </c>
      <c r="DN1" s="360">
        <v>41025</v>
      </c>
      <c r="DO1" s="360">
        <v>41026</v>
      </c>
      <c r="DP1" s="360">
        <v>41027</v>
      </c>
      <c r="DQ1" s="360">
        <v>41028</v>
      </c>
      <c r="DR1" s="360">
        <v>41029</v>
      </c>
      <c r="DS1" s="360">
        <v>41030</v>
      </c>
      <c r="DT1" s="360">
        <v>41031</v>
      </c>
      <c r="DU1" s="360">
        <v>41032</v>
      </c>
      <c r="DV1" s="360">
        <v>41033</v>
      </c>
      <c r="DW1" s="360">
        <v>41034</v>
      </c>
      <c r="DX1" s="360">
        <v>41035</v>
      </c>
      <c r="DY1" s="360">
        <v>41036</v>
      </c>
      <c r="DZ1" s="360">
        <v>41037</v>
      </c>
      <c r="EA1" s="360">
        <v>41038</v>
      </c>
      <c r="EB1" s="360">
        <v>41039</v>
      </c>
      <c r="EC1" s="360">
        <v>41040</v>
      </c>
      <c r="ED1" s="360">
        <v>41041</v>
      </c>
      <c r="EE1" s="360">
        <v>41042</v>
      </c>
      <c r="EF1" s="360">
        <v>41043</v>
      </c>
      <c r="EG1" s="360">
        <v>41044</v>
      </c>
      <c r="EH1" s="360">
        <v>41045</v>
      </c>
      <c r="EI1" s="360">
        <v>41046</v>
      </c>
      <c r="EJ1" s="360">
        <v>41047</v>
      </c>
      <c r="EK1" s="360">
        <v>41048</v>
      </c>
      <c r="EL1" s="360">
        <v>41049</v>
      </c>
      <c r="EM1" s="360">
        <v>41050</v>
      </c>
      <c r="EN1" s="360">
        <v>41051</v>
      </c>
      <c r="EO1" s="360">
        <v>41052</v>
      </c>
      <c r="EP1" s="360">
        <v>41053</v>
      </c>
      <c r="EQ1" s="360">
        <v>41054</v>
      </c>
      <c r="ER1" s="360">
        <v>41055</v>
      </c>
      <c r="ES1" s="360">
        <v>41056</v>
      </c>
      <c r="ET1" s="360">
        <v>41057</v>
      </c>
      <c r="EU1" s="360">
        <v>41058</v>
      </c>
      <c r="EV1" s="360">
        <v>41059</v>
      </c>
      <c r="EW1" s="360">
        <v>41060</v>
      </c>
      <c r="EX1" s="360">
        <v>41061</v>
      </c>
      <c r="EY1" s="360">
        <v>41062</v>
      </c>
      <c r="EZ1" s="360">
        <v>41063</v>
      </c>
      <c r="FA1" s="360">
        <v>41064</v>
      </c>
      <c r="FB1" s="360">
        <v>41065</v>
      </c>
      <c r="FC1" s="360">
        <v>41066</v>
      </c>
      <c r="FD1" s="360">
        <v>41067</v>
      </c>
      <c r="FE1" s="360">
        <v>41068</v>
      </c>
      <c r="FF1" s="360">
        <v>41069</v>
      </c>
      <c r="FG1" s="360">
        <v>41070</v>
      </c>
      <c r="FH1" s="360">
        <v>41071</v>
      </c>
      <c r="FI1" s="360">
        <v>41072</v>
      </c>
      <c r="FJ1" s="360">
        <v>41073</v>
      </c>
      <c r="FK1" s="360">
        <v>41074</v>
      </c>
      <c r="FL1" s="360">
        <v>41075</v>
      </c>
      <c r="FM1" s="360">
        <v>41076</v>
      </c>
      <c r="FN1" s="360">
        <v>41077</v>
      </c>
      <c r="FO1" s="360">
        <v>41078</v>
      </c>
      <c r="FP1" s="360">
        <v>41079</v>
      </c>
      <c r="FQ1" s="360">
        <v>41080</v>
      </c>
      <c r="FR1" s="360">
        <v>41081</v>
      </c>
      <c r="FS1" s="360">
        <v>41082</v>
      </c>
      <c r="FT1" s="360">
        <v>41083</v>
      </c>
      <c r="FU1" s="360">
        <v>41084</v>
      </c>
      <c r="FV1" s="360">
        <v>41085</v>
      </c>
      <c r="FW1" s="360">
        <v>41086</v>
      </c>
      <c r="FX1" s="360">
        <v>41087</v>
      </c>
      <c r="FY1" s="360">
        <v>41088</v>
      </c>
      <c r="FZ1" s="360">
        <v>41089</v>
      </c>
      <c r="GA1" s="360">
        <v>41090</v>
      </c>
      <c r="GB1" s="360">
        <v>41091</v>
      </c>
      <c r="GC1" s="360">
        <v>41092</v>
      </c>
      <c r="GD1" s="360">
        <v>41093</v>
      </c>
      <c r="GE1" s="360">
        <v>41094</v>
      </c>
      <c r="GF1" s="360">
        <v>41095</v>
      </c>
      <c r="GG1" s="360">
        <v>41096</v>
      </c>
      <c r="GH1" s="360">
        <v>41097</v>
      </c>
      <c r="GI1" s="360">
        <v>41098</v>
      </c>
      <c r="GJ1" s="360">
        <v>41099</v>
      </c>
      <c r="GK1" s="360">
        <v>41100</v>
      </c>
      <c r="GL1" s="360">
        <v>41101</v>
      </c>
      <c r="GM1" s="360">
        <v>41102</v>
      </c>
      <c r="GN1" s="360">
        <v>41103</v>
      </c>
      <c r="GO1" s="360">
        <v>41104</v>
      </c>
      <c r="GP1" s="360">
        <v>41105</v>
      </c>
      <c r="GQ1" s="360">
        <v>41106</v>
      </c>
      <c r="GR1" s="360">
        <v>41107</v>
      </c>
      <c r="GS1" s="360">
        <v>41108</v>
      </c>
      <c r="GT1" s="360">
        <v>41109</v>
      </c>
      <c r="GU1" s="360">
        <v>41110</v>
      </c>
      <c r="GV1" s="360">
        <v>41111</v>
      </c>
      <c r="GW1" s="360">
        <v>41112</v>
      </c>
      <c r="GX1" s="360">
        <v>41113</v>
      </c>
      <c r="GY1" s="360">
        <v>41114</v>
      </c>
      <c r="GZ1" s="360">
        <v>41115</v>
      </c>
      <c r="HA1" s="360">
        <v>41116</v>
      </c>
      <c r="HB1" s="360">
        <v>41117</v>
      </c>
      <c r="HC1" s="360">
        <v>41118</v>
      </c>
      <c r="HD1" s="360">
        <v>41119</v>
      </c>
      <c r="HE1" s="360">
        <v>41120</v>
      </c>
      <c r="HF1" s="360">
        <v>41121</v>
      </c>
      <c r="HG1" s="360">
        <v>41122</v>
      </c>
      <c r="HH1" s="360">
        <v>41123</v>
      </c>
      <c r="HI1" s="360">
        <v>41124</v>
      </c>
      <c r="HJ1" s="360">
        <v>41125</v>
      </c>
      <c r="HK1" s="360">
        <v>41126</v>
      </c>
      <c r="HL1" s="360">
        <v>41127</v>
      </c>
      <c r="HM1" s="360">
        <v>41128</v>
      </c>
      <c r="HN1" s="360">
        <v>41129</v>
      </c>
      <c r="HO1" s="360">
        <v>41130</v>
      </c>
      <c r="HP1" s="360">
        <v>41131</v>
      </c>
      <c r="HQ1" s="360">
        <v>41132</v>
      </c>
      <c r="HR1" s="360">
        <v>41133</v>
      </c>
      <c r="HS1" s="360">
        <v>41134</v>
      </c>
      <c r="HT1" s="360">
        <v>41135</v>
      </c>
      <c r="HU1" s="360">
        <v>41136</v>
      </c>
      <c r="HV1" s="360">
        <v>41137</v>
      </c>
      <c r="HW1" s="360">
        <v>41138</v>
      </c>
      <c r="HX1" s="360">
        <v>41139</v>
      </c>
      <c r="HY1" s="360">
        <v>41140</v>
      </c>
      <c r="HZ1" s="360">
        <v>41141</v>
      </c>
      <c r="IA1" s="360">
        <v>41142</v>
      </c>
      <c r="IB1" s="360">
        <v>41143</v>
      </c>
      <c r="IC1" s="360">
        <v>41144</v>
      </c>
      <c r="ID1" s="360">
        <v>41145</v>
      </c>
      <c r="IE1" s="360">
        <v>41146</v>
      </c>
      <c r="IF1" s="360">
        <v>41147</v>
      </c>
      <c r="IG1" s="360">
        <v>41148</v>
      </c>
      <c r="IH1" s="360">
        <v>41149</v>
      </c>
      <c r="II1" s="360">
        <v>41150</v>
      </c>
      <c r="IJ1" s="360">
        <v>41151</v>
      </c>
      <c r="IK1" s="360">
        <v>41152</v>
      </c>
      <c r="IL1" s="360">
        <v>41153</v>
      </c>
      <c r="IM1" s="360">
        <v>41154</v>
      </c>
      <c r="IN1" s="360">
        <v>41155</v>
      </c>
      <c r="IO1" s="360">
        <v>41156</v>
      </c>
      <c r="IP1" s="360">
        <v>41157</v>
      </c>
      <c r="IQ1" s="360">
        <v>41158</v>
      </c>
      <c r="IR1" s="360">
        <v>41159</v>
      </c>
      <c r="IS1" s="360">
        <v>41160</v>
      </c>
      <c r="IT1" s="360">
        <v>41161</v>
      </c>
      <c r="IU1" s="360">
        <v>41162</v>
      </c>
      <c r="IV1" s="360">
        <v>41163</v>
      </c>
      <c r="IW1" s="360">
        <v>41164</v>
      </c>
      <c r="IX1" s="360">
        <v>41165</v>
      </c>
      <c r="IY1" s="360">
        <v>41166</v>
      </c>
      <c r="IZ1" s="360">
        <v>41167</v>
      </c>
      <c r="JA1" s="360">
        <v>41168</v>
      </c>
      <c r="JB1" s="360">
        <v>41169</v>
      </c>
      <c r="JC1" s="360">
        <v>41170</v>
      </c>
      <c r="JD1" s="360">
        <v>41171</v>
      </c>
      <c r="JE1" s="360">
        <v>41172</v>
      </c>
      <c r="JF1" s="360">
        <v>41173</v>
      </c>
      <c r="JG1" s="360">
        <v>41174</v>
      </c>
      <c r="JH1" s="360">
        <v>41175</v>
      </c>
      <c r="JI1" s="360">
        <v>41176</v>
      </c>
      <c r="JJ1" s="360">
        <v>41177</v>
      </c>
      <c r="JK1" s="360">
        <v>41178</v>
      </c>
      <c r="JL1" s="360">
        <v>41179</v>
      </c>
      <c r="JM1" s="360">
        <v>41180</v>
      </c>
      <c r="JN1" s="360">
        <v>41181</v>
      </c>
      <c r="JO1" s="360">
        <v>41182</v>
      </c>
      <c r="JP1" s="360">
        <v>41183</v>
      </c>
      <c r="JQ1" s="360">
        <v>41184</v>
      </c>
      <c r="JR1" s="360">
        <v>41185</v>
      </c>
      <c r="JS1" s="360">
        <v>41186</v>
      </c>
      <c r="JT1" s="360">
        <v>41187</v>
      </c>
      <c r="JU1" s="360">
        <v>41188</v>
      </c>
      <c r="JV1" s="360">
        <v>41189</v>
      </c>
      <c r="JW1" s="360">
        <v>41190</v>
      </c>
      <c r="JX1" s="360">
        <v>41191</v>
      </c>
      <c r="JY1" s="360">
        <v>41192</v>
      </c>
      <c r="JZ1" s="360">
        <v>41193</v>
      </c>
      <c r="KA1" s="360">
        <v>41194</v>
      </c>
      <c r="KB1" s="360">
        <v>41195</v>
      </c>
      <c r="KC1" s="360">
        <v>41196</v>
      </c>
      <c r="KD1" s="360">
        <v>41197</v>
      </c>
      <c r="KE1" s="360">
        <v>41198</v>
      </c>
      <c r="KF1" s="360">
        <v>41199</v>
      </c>
      <c r="KG1" s="360">
        <v>41200</v>
      </c>
      <c r="KH1" s="360">
        <v>41201</v>
      </c>
      <c r="KI1" s="360">
        <v>41202</v>
      </c>
      <c r="KJ1" s="360">
        <v>41203</v>
      </c>
      <c r="KK1" s="360">
        <v>41204</v>
      </c>
      <c r="KL1" s="360">
        <v>41205</v>
      </c>
      <c r="KM1" s="360">
        <v>41206</v>
      </c>
      <c r="KN1" s="360">
        <v>41207</v>
      </c>
      <c r="KO1" s="360">
        <v>41208</v>
      </c>
      <c r="KP1" s="360">
        <v>41209</v>
      </c>
      <c r="KQ1" s="360">
        <v>41210</v>
      </c>
      <c r="KR1" s="360">
        <v>41211</v>
      </c>
      <c r="KS1" s="360">
        <v>41212</v>
      </c>
      <c r="KT1" s="360">
        <v>41213</v>
      </c>
      <c r="KU1" s="360">
        <v>41214</v>
      </c>
      <c r="KV1" s="360">
        <v>41215</v>
      </c>
      <c r="KW1" s="360">
        <v>41216</v>
      </c>
      <c r="KX1" s="360">
        <v>41217</v>
      </c>
      <c r="KY1" s="360">
        <v>41218</v>
      </c>
      <c r="KZ1" s="360">
        <v>41219</v>
      </c>
      <c r="LA1" s="360">
        <v>41220</v>
      </c>
      <c r="LB1" s="360">
        <v>41221</v>
      </c>
      <c r="LC1" s="360">
        <v>41222</v>
      </c>
      <c r="LD1" s="360">
        <v>41223</v>
      </c>
      <c r="LE1" s="360">
        <v>41224</v>
      </c>
      <c r="LF1" s="360">
        <v>41225</v>
      </c>
      <c r="LG1" s="360">
        <v>41226</v>
      </c>
      <c r="LH1" s="360">
        <v>41227</v>
      </c>
      <c r="LI1" s="360">
        <v>41228</v>
      </c>
      <c r="LJ1" s="360">
        <v>41229</v>
      </c>
      <c r="LK1" s="360">
        <v>41230</v>
      </c>
      <c r="LL1" s="360">
        <v>41231</v>
      </c>
      <c r="LM1" s="360">
        <v>41232</v>
      </c>
      <c r="LN1" s="360">
        <v>41233</v>
      </c>
      <c r="LO1" s="360">
        <v>41234</v>
      </c>
      <c r="LP1" s="360">
        <v>41235</v>
      </c>
      <c r="LQ1" s="360">
        <v>41236</v>
      </c>
      <c r="LR1" s="360">
        <v>41237</v>
      </c>
      <c r="LS1" s="360">
        <v>41238</v>
      </c>
      <c r="LT1" s="360">
        <v>41239</v>
      </c>
      <c r="LU1" s="360">
        <v>41240</v>
      </c>
      <c r="LV1" s="360">
        <v>41241</v>
      </c>
      <c r="LW1" s="360">
        <v>41242</v>
      </c>
      <c r="LX1" s="360">
        <v>41243</v>
      </c>
      <c r="LY1" s="360">
        <v>41244</v>
      </c>
      <c r="LZ1" s="360">
        <v>41245</v>
      </c>
      <c r="MA1" s="360">
        <v>41246</v>
      </c>
      <c r="MB1" s="360">
        <v>41247</v>
      </c>
      <c r="MC1" s="360">
        <v>41248</v>
      </c>
      <c r="MD1" s="360">
        <v>41249</v>
      </c>
      <c r="ME1" s="360">
        <v>41250</v>
      </c>
      <c r="MF1" s="360">
        <v>41251</v>
      </c>
      <c r="MG1" s="360">
        <v>41252</v>
      </c>
      <c r="MH1" s="360">
        <v>41253</v>
      </c>
      <c r="MI1" s="360">
        <v>41254</v>
      </c>
      <c r="MJ1" s="360">
        <v>41255</v>
      </c>
      <c r="MK1" s="360">
        <v>41256</v>
      </c>
      <c r="ML1" s="360">
        <v>41257</v>
      </c>
      <c r="MM1" s="360">
        <v>41258</v>
      </c>
      <c r="MN1" s="360">
        <v>41259</v>
      </c>
      <c r="MO1" s="360">
        <v>41260</v>
      </c>
      <c r="MP1" s="360">
        <v>41261</v>
      </c>
      <c r="MQ1" s="360">
        <v>41262</v>
      </c>
      <c r="MR1" s="360">
        <v>41263</v>
      </c>
      <c r="MS1" s="360">
        <v>41264</v>
      </c>
      <c r="MT1" s="360">
        <v>41265</v>
      </c>
      <c r="MU1" s="360">
        <v>41266</v>
      </c>
      <c r="MV1" s="360">
        <v>41267</v>
      </c>
      <c r="MW1" s="360">
        <v>41268</v>
      </c>
      <c r="MX1" s="360">
        <v>41269</v>
      </c>
      <c r="MY1" s="360">
        <v>41270</v>
      </c>
      <c r="MZ1" s="360">
        <v>41271</v>
      </c>
      <c r="NA1" s="360">
        <v>41272</v>
      </c>
      <c r="NB1" s="360">
        <v>41273</v>
      </c>
      <c r="NC1" s="360">
        <v>41274</v>
      </c>
      <c r="ND1" s="376" t="s">
        <v>160</v>
      </c>
    </row>
    <row r="2" spans="1:368" s="361" customFormat="1" ht="13.5" customHeight="1" thickTop="1">
      <c r="A2" s="400" t="s">
        <v>131</v>
      </c>
      <c r="B2" s="346" t="s">
        <v>132</v>
      </c>
      <c r="C2" s="362"/>
      <c r="D2" s="362"/>
      <c r="E2" s="362"/>
      <c r="F2" s="362"/>
      <c r="G2" s="362"/>
      <c r="H2" s="362"/>
      <c r="I2" s="362"/>
      <c r="J2" s="362"/>
      <c r="K2" s="362"/>
      <c r="L2" s="362"/>
      <c r="M2" s="362"/>
      <c r="N2" s="362"/>
      <c r="O2" s="362"/>
      <c r="P2" s="362"/>
      <c r="Q2" s="362"/>
      <c r="R2" s="362"/>
      <c r="S2" s="362"/>
      <c r="T2" s="362"/>
      <c r="U2" s="362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2"/>
      <c r="AO2" s="362"/>
      <c r="AP2" s="362"/>
      <c r="AQ2" s="362"/>
      <c r="AR2" s="362"/>
      <c r="AS2" s="362"/>
      <c r="AT2" s="362"/>
      <c r="AU2" s="362"/>
      <c r="AV2" s="362"/>
      <c r="AW2" s="362"/>
      <c r="AX2" s="362"/>
      <c r="AY2" s="362"/>
      <c r="AZ2" s="362"/>
      <c r="BA2" s="362"/>
      <c r="BB2" s="362"/>
      <c r="BC2" s="362"/>
      <c r="BD2" s="362"/>
      <c r="BE2" s="362"/>
      <c r="BF2" s="362"/>
      <c r="BG2" s="362"/>
      <c r="BH2" s="362"/>
      <c r="BI2" s="362"/>
      <c r="BJ2" s="362"/>
      <c r="BK2" s="362"/>
      <c r="BL2" s="362"/>
      <c r="BM2" s="362"/>
      <c r="BN2" s="362"/>
      <c r="BO2" s="362"/>
      <c r="BP2" s="362"/>
      <c r="BQ2" s="362"/>
      <c r="BR2" s="362"/>
      <c r="BS2" s="362"/>
      <c r="BT2" s="362"/>
      <c r="BU2" s="362"/>
      <c r="BV2" s="362"/>
      <c r="BW2" s="362"/>
      <c r="BX2" s="362"/>
      <c r="BY2" s="362"/>
      <c r="BZ2" s="362"/>
      <c r="CA2" s="362"/>
      <c r="CB2" s="362"/>
      <c r="CC2" s="362"/>
      <c r="CD2" s="362"/>
      <c r="CE2" s="362"/>
      <c r="CF2" s="362"/>
      <c r="CG2" s="362"/>
      <c r="CH2" s="362"/>
      <c r="CI2" s="362"/>
      <c r="CJ2" s="362"/>
      <c r="CK2" s="362"/>
      <c r="CL2" s="362"/>
      <c r="CM2" s="362"/>
      <c r="CN2" s="362"/>
      <c r="CO2" s="362"/>
      <c r="CP2" s="362"/>
      <c r="CQ2" s="362"/>
      <c r="CR2" s="362"/>
      <c r="CS2" s="362"/>
      <c r="CT2" s="362"/>
      <c r="CU2" s="362"/>
      <c r="CV2" s="362"/>
      <c r="CW2" s="362"/>
      <c r="CX2" s="362"/>
      <c r="CY2" s="362"/>
      <c r="CZ2" s="362"/>
      <c r="DA2" s="362"/>
      <c r="DB2" s="362"/>
      <c r="DC2" s="362"/>
      <c r="DD2" s="362"/>
      <c r="DE2" s="362"/>
      <c r="DF2" s="362"/>
      <c r="DG2" s="362"/>
      <c r="DH2" s="362"/>
      <c r="DI2" s="362"/>
      <c r="DJ2" s="362"/>
      <c r="DK2" s="362"/>
      <c r="DL2" s="362"/>
      <c r="DM2" s="362"/>
      <c r="DN2" s="362"/>
      <c r="DO2" s="362"/>
      <c r="DP2" s="362"/>
      <c r="DQ2" s="362"/>
      <c r="DR2" s="362"/>
      <c r="DS2" s="362"/>
      <c r="DT2" s="362"/>
      <c r="DU2" s="362"/>
      <c r="DV2" s="362"/>
      <c r="DW2" s="362"/>
      <c r="DX2" s="362"/>
      <c r="DY2" s="362"/>
      <c r="DZ2" s="362"/>
      <c r="EA2" s="362"/>
      <c r="EB2" s="362"/>
      <c r="EC2" s="362"/>
      <c r="ED2" s="362"/>
      <c r="EE2" s="362"/>
      <c r="EF2" s="362"/>
      <c r="EG2" s="362"/>
      <c r="EH2" s="362"/>
      <c r="EI2" s="362"/>
      <c r="EJ2" s="362"/>
      <c r="EK2" s="362"/>
      <c r="EL2" s="362"/>
      <c r="EM2" s="362"/>
      <c r="EN2" s="362"/>
      <c r="EO2" s="362"/>
      <c r="EP2" s="362"/>
      <c r="EQ2" s="362"/>
      <c r="ER2" s="362"/>
      <c r="ES2" s="362"/>
      <c r="ET2" s="362"/>
      <c r="EU2" s="362"/>
      <c r="EV2" s="362"/>
      <c r="EW2" s="362"/>
      <c r="EX2" s="362"/>
      <c r="EY2" s="362"/>
      <c r="EZ2" s="362"/>
      <c r="FA2" s="362"/>
      <c r="FB2" s="362"/>
      <c r="FC2" s="362"/>
      <c r="FD2" s="362"/>
      <c r="FE2" s="362"/>
      <c r="FF2" s="362"/>
      <c r="FG2" s="362"/>
      <c r="FH2" s="362"/>
      <c r="FI2" s="362"/>
      <c r="FJ2" s="362"/>
      <c r="FK2" s="362"/>
      <c r="FL2" s="362"/>
      <c r="FM2" s="362"/>
      <c r="FN2" s="362"/>
      <c r="FO2" s="362"/>
      <c r="FP2" s="362"/>
      <c r="FQ2" s="362"/>
      <c r="FR2" s="362"/>
      <c r="FS2" s="362"/>
      <c r="FT2" s="362"/>
      <c r="FU2" s="362"/>
      <c r="FV2" s="362"/>
      <c r="FW2" s="362"/>
      <c r="FX2" s="362"/>
      <c r="FY2" s="362"/>
      <c r="FZ2" s="362"/>
      <c r="GA2" s="362"/>
      <c r="GB2" s="362"/>
      <c r="GC2" s="362"/>
      <c r="GD2" s="362"/>
      <c r="GE2" s="362"/>
      <c r="GF2" s="362"/>
      <c r="GG2" s="362"/>
      <c r="GH2" s="362"/>
      <c r="GI2" s="362"/>
      <c r="GJ2" s="362"/>
      <c r="GK2" s="362"/>
      <c r="GL2" s="362"/>
      <c r="GM2" s="362"/>
      <c r="GN2" s="362"/>
      <c r="GO2" s="362"/>
      <c r="GP2" s="362"/>
      <c r="GQ2" s="362"/>
      <c r="GR2" s="362"/>
      <c r="GS2" s="362"/>
      <c r="GT2" s="362"/>
      <c r="GU2" s="362"/>
      <c r="GV2" s="362"/>
      <c r="GW2" s="362"/>
      <c r="GX2" s="362"/>
      <c r="GY2" s="362"/>
      <c r="GZ2" s="362"/>
      <c r="HA2" s="362"/>
      <c r="HB2" s="362"/>
      <c r="HC2" s="362"/>
      <c r="HD2" s="362"/>
      <c r="HE2" s="362"/>
      <c r="HF2" s="362"/>
      <c r="HG2" s="362"/>
      <c r="HH2" s="362"/>
      <c r="HI2" s="362"/>
      <c r="HJ2" s="362"/>
      <c r="HK2" s="362"/>
      <c r="HL2" s="362"/>
      <c r="HM2" s="362"/>
      <c r="HN2" s="362"/>
      <c r="HO2" s="362"/>
      <c r="HP2" s="362"/>
      <c r="HQ2" s="362"/>
      <c r="HR2" s="362"/>
      <c r="HS2" s="362"/>
      <c r="HT2" s="362"/>
      <c r="HU2" s="362"/>
      <c r="HV2" s="362"/>
      <c r="HW2" s="362"/>
      <c r="HX2" s="362"/>
      <c r="HY2" s="362"/>
      <c r="HZ2" s="362"/>
      <c r="IA2" s="362"/>
      <c r="IB2" s="362"/>
      <c r="IC2" s="362"/>
      <c r="ID2" s="362"/>
      <c r="IE2" s="362"/>
      <c r="IF2" s="362"/>
      <c r="IG2" s="362"/>
      <c r="IH2" s="362"/>
      <c r="II2" s="362"/>
      <c r="IJ2" s="362"/>
      <c r="IK2" s="362"/>
      <c r="IL2" s="362"/>
      <c r="IM2" s="362"/>
      <c r="IN2" s="362"/>
      <c r="IO2" s="362"/>
      <c r="IP2" s="362"/>
      <c r="IQ2" s="362"/>
      <c r="IR2" s="362"/>
      <c r="IS2" s="362"/>
      <c r="IT2" s="362"/>
      <c r="IU2" s="362"/>
      <c r="IV2" s="362"/>
      <c r="IW2" s="362"/>
      <c r="IX2" s="362"/>
      <c r="IY2" s="362"/>
      <c r="IZ2" s="362"/>
      <c r="JA2" s="362"/>
      <c r="JB2" s="362"/>
      <c r="JC2" s="362"/>
      <c r="JD2" s="362"/>
      <c r="JE2" s="362"/>
      <c r="JF2" s="362"/>
      <c r="JG2" s="362"/>
      <c r="JH2" s="362"/>
      <c r="JI2" s="362"/>
      <c r="JJ2" s="362"/>
      <c r="JK2" s="362"/>
      <c r="JL2" s="362"/>
      <c r="JM2" s="362"/>
      <c r="JN2" s="362"/>
      <c r="JO2" s="362"/>
      <c r="JP2" s="362"/>
      <c r="JQ2" s="362"/>
      <c r="JR2" s="362"/>
      <c r="JS2" s="362"/>
      <c r="JT2" s="362"/>
      <c r="JU2" s="362"/>
      <c r="JV2" s="362"/>
      <c r="JW2" s="362"/>
      <c r="JX2" s="362"/>
      <c r="JY2" s="362"/>
      <c r="JZ2" s="362"/>
      <c r="KA2" s="362"/>
      <c r="KB2" s="362"/>
      <c r="KC2" s="362"/>
      <c r="KD2" s="362"/>
      <c r="KE2" s="362"/>
      <c r="KF2" s="362"/>
      <c r="KG2" s="362"/>
      <c r="KH2" s="362"/>
      <c r="KI2" s="362"/>
      <c r="KJ2" s="362"/>
      <c r="KK2" s="362"/>
      <c r="KL2" s="362"/>
      <c r="KM2" s="362"/>
      <c r="KN2" s="362"/>
      <c r="KO2" s="362"/>
      <c r="KP2" s="362"/>
      <c r="KQ2" s="362"/>
      <c r="KR2" s="362"/>
      <c r="KS2" s="362"/>
      <c r="KT2" s="362"/>
      <c r="KU2" s="362"/>
      <c r="KV2" s="362"/>
      <c r="KW2" s="362"/>
      <c r="KX2" s="362"/>
      <c r="KY2" s="362"/>
      <c r="KZ2" s="362"/>
      <c r="LA2" s="362"/>
      <c r="LB2" s="362"/>
      <c r="LC2" s="362"/>
      <c r="LD2" s="362"/>
      <c r="LE2" s="362"/>
      <c r="LF2" s="362"/>
      <c r="LG2" s="362"/>
      <c r="LH2" s="362"/>
      <c r="LI2" s="362"/>
      <c r="LJ2" s="362"/>
      <c r="LK2" s="362"/>
      <c r="LL2" s="362"/>
      <c r="LM2" s="362"/>
      <c r="LN2" s="362"/>
      <c r="LO2" s="362"/>
      <c r="LP2" s="362"/>
      <c r="LQ2" s="362"/>
      <c r="LR2" s="362"/>
      <c r="LS2" s="362"/>
      <c r="LT2" s="362"/>
      <c r="LU2" s="362"/>
      <c r="LV2" s="362"/>
      <c r="LW2" s="362"/>
      <c r="LX2" s="362"/>
      <c r="LY2" s="362"/>
      <c r="LZ2" s="362"/>
      <c r="MA2" s="362"/>
      <c r="MB2" s="362"/>
      <c r="MC2" s="362"/>
      <c r="MD2" s="362"/>
      <c r="ME2" s="362"/>
      <c r="MF2" s="362"/>
      <c r="MG2" s="362"/>
      <c r="MH2" s="362"/>
      <c r="MI2" s="362"/>
      <c r="MJ2" s="362"/>
      <c r="MK2" s="362"/>
      <c r="ML2" s="362"/>
      <c r="MM2" s="362"/>
      <c r="MN2" s="362"/>
      <c r="MO2" s="362"/>
      <c r="MP2" s="362"/>
      <c r="MQ2" s="362"/>
      <c r="MR2" s="362"/>
      <c r="MS2" s="362"/>
      <c r="MT2" s="362"/>
      <c r="MU2" s="362"/>
      <c r="MV2" s="362"/>
      <c r="MW2" s="362"/>
      <c r="MX2" s="362"/>
      <c r="MY2" s="362"/>
      <c r="MZ2" s="362"/>
      <c r="NA2" s="362"/>
      <c r="NB2" s="362"/>
      <c r="NC2" s="362"/>
      <c r="ND2" s="176">
        <f>COUNTIF(C4:NC4,"SORUN")</f>
        <v>0</v>
      </c>
    </row>
    <row r="3" spans="1:368" s="361" customFormat="1" ht="13.5" customHeight="1">
      <c r="A3" s="400"/>
      <c r="B3" s="347" t="s">
        <v>158</v>
      </c>
      <c r="C3" s="363"/>
      <c r="D3" s="363"/>
      <c r="E3" s="363"/>
      <c r="F3" s="363"/>
      <c r="G3" s="363"/>
      <c r="H3" s="363"/>
      <c r="I3" s="363"/>
      <c r="J3" s="363"/>
      <c r="K3" s="363"/>
      <c r="L3" s="363"/>
      <c r="M3" s="363"/>
      <c r="N3" s="363"/>
      <c r="O3" s="363"/>
      <c r="P3" s="363"/>
      <c r="Q3" s="363"/>
      <c r="R3" s="363"/>
      <c r="S3" s="363"/>
      <c r="T3" s="363"/>
      <c r="U3" s="363"/>
      <c r="V3" s="363"/>
      <c r="W3" s="363"/>
      <c r="X3" s="363"/>
      <c r="Y3" s="363"/>
      <c r="Z3" s="363"/>
      <c r="AA3" s="363"/>
      <c r="AB3" s="363"/>
      <c r="AC3" s="363"/>
      <c r="AD3" s="363"/>
      <c r="AE3" s="363"/>
      <c r="AF3" s="363"/>
      <c r="AG3" s="363"/>
      <c r="AH3" s="363"/>
      <c r="AI3" s="363"/>
      <c r="AJ3" s="363"/>
      <c r="AK3" s="363"/>
      <c r="AL3" s="363"/>
      <c r="AM3" s="363"/>
      <c r="AN3" s="363"/>
      <c r="AO3" s="363"/>
      <c r="AP3" s="363"/>
      <c r="AQ3" s="363"/>
      <c r="AR3" s="363"/>
      <c r="AS3" s="363"/>
      <c r="AT3" s="363"/>
      <c r="AU3" s="363"/>
      <c r="AV3" s="363"/>
      <c r="AW3" s="363"/>
      <c r="AX3" s="363"/>
      <c r="AY3" s="363"/>
      <c r="AZ3" s="363"/>
      <c r="BA3" s="363"/>
      <c r="BB3" s="363"/>
      <c r="BC3" s="363"/>
      <c r="BD3" s="363"/>
      <c r="BE3" s="363"/>
      <c r="BF3" s="363"/>
      <c r="BG3" s="363"/>
      <c r="BH3" s="363"/>
      <c r="BI3" s="363"/>
      <c r="BJ3" s="363"/>
      <c r="BK3" s="363"/>
      <c r="BL3" s="363"/>
      <c r="BM3" s="363"/>
      <c r="BN3" s="363"/>
      <c r="BO3" s="363"/>
      <c r="BP3" s="363"/>
      <c r="BQ3" s="363"/>
      <c r="BR3" s="363"/>
      <c r="BS3" s="363"/>
      <c r="BT3" s="363"/>
      <c r="BU3" s="363"/>
      <c r="BV3" s="363"/>
      <c r="BW3" s="363"/>
      <c r="BX3" s="363"/>
      <c r="BY3" s="363"/>
      <c r="BZ3" s="363"/>
      <c r="CA3" s="363"/>
      <c r="CB3" s="363"/>
      <c r="CC3" s="363"/>
      <c r="CD3" s="363"/>
      <c r="CE3" s="363"/>
      <c r="CF3" s="363"/>
      <c r="CG3" s="363"/>
      <c r="CH3" s="363"/>
      <c r="CI3" s="363"/>
      <c r="CJ3" s="363"/>
      <c r="CK3" s="363"/>
      <c r="CL3" s="363"/>
      <c r="CM3" s="363"/>
      <c r="CN3" s="363"/>
      <c r="CO3" s="363"/>
      <c r="CP3" s="363"/>
      <c r="CQ3" s="363"/>
      <c r="CR3" s="363"/>
      <c r="CS3" s="363"/>
      <c r="CT3" s="363"/>
      <c r="CU3" s="363"/>
      <c r="CV3" s="363"/>
      <c r="CW3" s="363"/>
      <c r="CX3" s="363"/>
      <c r="CY3" s="363"/>
      <c r="CZ3" s="363"/>
      <c r="DA3" s="363"/>
      <c r="DB3" s="363"/>
      <c r="DC3" s="363"/>
      <c r="DD3" s="363"/>
      <c r="DE3" s="363"/>
      <c r="DF3" s="363"/>
      <c r="DG3" s="363"/>
      <c r="DH3" s="363"/>
      <c r="DI3" s="363"/>
      <c r="DJ3" s="363"/>
      <c r="DK3" s="363"/>
      <c r="DL3" s="363"/>
      <c r="DM3" s="363"/>
      <c r="DN3" s="363"/>
      <c r="DO3" s="363"/>
      <c r="DP3" s="363"/>
      <c r="DQ3" s="363"/>
      <c r="DR3" s="363"/>
      <c r="DS3" s="363"/>
      <c r="DT3" s="363"/>
      <c r="DU3" s="363"/>
      <c r="DV3" s="363"/>
      <c r="DW3" s="363"/>
      <c r="DX3" s="363"/>
      <c r="DY3" s="363"/>
      <c r="DZ3" s="363"/>
      <c r="EA3" s="363"/>
      <c r="EB3" s="363"/>
      <c r="EC3" s="363"/>
      <c r="ED3" s="363"/>
      <c r="EE3" s="363"/>
      <c r="EF3" s="363"/>
      <c r="EG3" s="363"/>
      <c r="EH3" s="363"/>
      <c r="EI3" s="363"/>
      <c r="EJ3" s="363"/>
      <c r="EK3" s="363"/>
      <c r="EL3" s="363"/>
      <c r="EM3" s="363"/>
      <c r="EN3" s="363"/>
      <c r="EO3" s="363"/>
      <c r="EP3" s="363"/>
      <c r="EQ3" s="363"/>
      <c r="ER3" s="363"/>
      <c r="ES3" s="363"/>
      <c r="ET3" s="363"/>
      <c r="EU3" s="363"/>
      <c r="EV3" s="363"/>
      <c r="EW3" s="363"/>
      <c r="EX3" s="363"/>
      <c r="EY3" s="363"/>
      <c r="EZ3" s="363"/>
      <c r="FA3" s="363"/>
      <c r="FB3" s="363"/>
      <c r="FC3" s="363"/>
      <c r="FD3" s="363"/>
      <c r="FE3" s="363"/>
      <c r="FF3" s="363"/>
      <c r="FG3" s="363"/>
      <c r="FH3" s="363"/>
      <c r="FI3" s="363"/>
      <c r="FJ3" s="363"/>
      <c r="FK3" s="363"/>
      <c r="FL3" s="363"/>
      <c r="FM3" s="363"/>
      <c r="FN3" s="363"/>
      <c r="FO3" s="363"/>
      <c r="FP3" s="363"/>
      <c r="FQ3" s="363"/>
      <c r="FR3" s="363"/>
      <c r="FS3" s="363"/>
      <c r="FT3" s="363"/>
      <c r="FU3" s="363"/>
      <c r="FV3" s="363"/>
      <c r="FW3" s="363"/>
      <c r="FX3" s="363"/>
      <c r="FY3" s="363"/>
      <c r="FZ3" s="363"/>
      <c r="GA3" s="363"/>
      <c r="GB3" s="363"/>
      <c r="GC3" s="363"/>
      <c r="GD3" s="363"/>
      <c r="GE3" s="363"/>
      <c r="GF3" s="363"/>
      <c r="GG3" s="363"/>
      <c r="GH3" s="363"/>
      <c r="GI3" s="363"/>
      <c r="GJ3" s="363"/>
      <c r="GK3" s="363"/>
      <c r="GL3" s="363"/>
      <c r="GM3" s="363"/>
      <c r="GN3" s="363"/>
      <c r="GO3" s="363"/>
      <c r="GP3" s="363"/>
      <c r="GQ3" s="363"/>
      <c r="GR3" s="363"/>
      <c r="GS3" s="363"/>
      <c r="GT3" s="363"/>
      <c r="GU3" s="363"/>
      <c r="GV3" s="363"/>
      <c r="GW3" s="363"/>
      <c r="GX3" s="363"/>
      <c r="GY3" s="363"/>
      <c r="GZ3" s="363"/>
      <c r="HA3" s="363"/>
      <c r="HB3" s="363"/>
      <c r="HC3" s="363"/>
      <c r="HD3" s="363"/>
      <c r="HE3" s="363"/>
      <c r="HF3" s="363"/>
      <c r="HG3" s="363"/>
      <c r="HH3" s="363"/>
      <c r="HI3" s="363"/>
      <c r="HJ3" s="363"/>
      <c r="HK3" s="363"/>
      <c r="HL3" s="363"/>
      <c r="HM3" s="363"/>
      <c r="HN3" s="363"/>
      <c r="HO3" s="363"/>
      <c r="HP3" s="363"/>
      <c r="HQ3" s="363"/>
      <c r="HR3" s="363"/>
      <c r="HS3" s="363"/>
      <c r="HT3" s="363"/>
      <c r="HU3" s="363"/>
      <c r="HV3" s="363"/>
      <c r="HW3" s="363"/>
      <c r="HX3" s="363"/>
      <c r="HY3" s="363"/>
      <c r="HZ3" s="363"/>
      <c r="IA3" s="363"/>
      <c r="IB3" s="363"/>
      <c r="IC3" s="363"/>
      <c r="ID3" s="363"/>
      <c r="IE3" s="363"/>
      <c r="IF3" s="363"/>
      <c r="IG3" s="363"/>
      <c r="IH3" s="363"/>
      <c r="II3" s="363"/>
      <c r="IJ3" s="363"/>
      <c r="IK3" s="363"/>
      <c r="IL3" s="363"/>
      <c r="IM3" s="363"/>
      <c r="IN3" s="363"/>
      <c r="IO3" s="363"/>
      <c r="IP3" s="363"/>
      <c r="IQ3" s="363"/>
      <c r="IR3" s="363"/>
      <c r="IS3" s="363"/>
      <c r="IT3" s="363"/>
      <c r="IU3" s="363"/>
      <c r="IV3" s="363"/>
      <c r="IW3" s="363"/>
      <c r="IX3" s="363"/>
      <c r="IY3" s="363"/>
      <c r="IZ3" s="363"/>
      <c r="JA3" s="363"/>
      <c r="JB3" s="363"/>
      <c r="JC3" s="363"/>
      <c r="JD3" s="363"/>
      <c r="JE3" s="363"/>
      <c r="JF3" s="363"/>
      <c r="JG3" s="363"/>
      <c r="JH3" s="363"/>
      <c r="JI3" s="363"/>
      <c r="JJ3" s="363"/>
      <c r="JK3" s="363"/>
      <c r="JL3" s="363"/>
      <c r="JM3" s="363"/>
      <c r="JN3" s="363"/>
      <c r="JO3" s="363"/>
      <c r="JP3" s="363"/>
      <c r="JQ3" s="363"/>
      <c r="JR3" s="363"/>
      <c r="JS3" s="363"/>
      <c r="JT3" s="363"/>
      <c r="JU3" s="363"/>
      <c r="JV3" s="363"/>
      <c r="JW3" s="363"/>
      <c r="JX3" s="363"/>
      <c r="JY3" s="363"/>
      <c r="JZ3" s="363"/>
      <c r="KA3" s="363"/>
      <c r="KB3" s="363"/>
      <c r="KC3" s="363"/>
      <c r="KD3" s="363"/>
      <c r="KE3" s="363"/>
      <c r="KF3" s="363"/>
      <c r="KG3" s="363"/>
      <c r="KH3" s="363"/>
      <c r="KI3" s="363"/>
      <c r="KJ3" s="363"/>
      <c r="KK3" s="363"/>
      <c r="KL3" s="363"/>
      <c r="KM3" s="363"/>
      <c r="KN3" s="363"/>
      <c r="KO3" s="363"/>
      <c r="KP3" s="363"/>
      <c r="KQ3" s="363"/>
      <c r="KR3" s="363"/>
      <c r="KS3" s="363"/>
      <c r="KT3" s="363"/>
      <c r="KU3" s="363"/>
      <c r="KV3" s="363"/>
      <c r="KW3" s="363"/>
      <c r="KX3" s="363"/>
      <c r="KY3" s="363"/>
      <c r="KZ3" s="363"/>
      <c r="LA3" s="363"/>
      <c r="LB3" s="363"/>
      <c r="LC3" s="363"/>
      <c r="LD3" s="363"/>
      <c r="LE3" s="363"/>
      <c r="LF3" s="363"/>
      <c r="LG3" s="363"/>
      <c r="LH3" s="363"/>
      <c r="LI3" s="363"/>
      <c r="LJ3" s="363"/>
      <c r="LK3" s="363"/>
      <c r="LL3" s="363"/>
      <c r="LM3" s="363"/>
      <c r="LN3" s="363"/>
      <c r="LO3" s="363"/>
      <c r="LP3" s="363"/>
      <c r="LQ3" s="363"/>
      <c r="LR3" s="363"/>
      <c r="LS3" s="363"/>
      <c r="LT3" s="363"/>
      <c r="LU3" s="363"/>
      <c r="LV3" s="363"/>
      <c r="LW3" s="363"/>
      <c r="LX3" s="363"/>
      <c r="LY3" s="363"/>
      <c r="LZ3" s="363"/>
      <c r="MA3" s="363"/>
      <c r="MB3" s="363"/>
      <c r="MC3" s="363"/>
      <c r="MD3" s="363"/>
      <c r="ME3" s="363"/>
      <c r="MF3" s="363"/>
      <c r="MG3" s="363"/>
      <c r="MH3" s="363"/>
      <c r="MI3" s="363"/>
      <c r="MJ3" s="363"/>
      <c r="MK3" s="363"/>
      <c r="ML3" s="363"/>
      <c r="MM3" s="363"/>
      <c r="MN3" s="363"/>
      <c r="MO3" s="363"/>
      <c r="MP3" s="363"/>
      <c r="MQ3" s="363"/>
      <c r="MR3" s="363"/>
      <c r="MS3" s="363"/>
      <c r="MT3" s="363"/>
      <c r="MU3" s="363"/>
      <c r="MV3" s="363"/>
      <c r="MW3" s="363"/>
      <c r="MX3" s="363"/>
      <c r="MY3" s="363"/>
      <c r="MZ3" s="363"/>
      <c r="NA3" s="363"/>
      <c r="NB3" s="363"/>
      <c r="NC3" s="363"/>
      <c r="ND3" s="176">
        <f t="shared" ref="ND3:ND34" si="0">COUNTIF(C5:NC5,"SORUN")</f>
        <v>0</v>
      </c>
    </row>
    <row r="4" spans="1:368" s="361" customFormat="1" ht="13.5" customHeight="1">
      <c r="A4" s="400"/>
      <c r="B4" s="347" t="s">
        <v>133</v>
      </c>
      <c r="C4" s="363"/>
      <c r="D4" s="363"/>
      <c r="E4" s="363"/>
      <c r="F4" s="363"/>
      <c r="G4" s="363"/>
      <c r="H4" s="363"/>
      <c r="I4" s="363"/>
      <c r="J4" s="363"/>
      <c r="K4" s="363"/>
      <c r="L4" s="363"/>
      <c r="M4" s="363"/>
      <c r="N4" s="363"/>
      <c r="O4" s="363"/>
      <c r="P4" s="363"/>
      <c r="Q4" s="363"/>
      <c r="R4" s="363"/>
      <c r="S4" s="363"/>
      <c r="T4" s="363"/>
      <c r="U4" s="363"/>
      <c r="V4" s="363"/>
      <c r="W4" s="363"/>
      <c r="X4" s="363"/>
      <c r="Y4" s="363"/>
      <c r="Z4" s="363"/>
      <c r="AA4" s="363"/>
      <c r="AB4" s="363"/>
      <c r="AC4" s="363"/>
      <c r="AD4" s="363"/>
      <c r="AE4" s="363"/>
      <c r="AF4" s="363"/>
      <c r="AG4" s="363"/>
      <c r="AH4" s="363"/>
      <c r="AI4" s="363"/>
      <c r="AJ4" s="363"/>
      <c r="AK4" s="363"/>
      <c r="AL4" s="363"/>
      <c r="AM4" s="363"/>
      <c r="AN4" s="363"/>
      <c r="AO4" s="363"/>
      <c r="AP4" s="363"/>
      <c r="AQ4" s="363"/>
      <c r="AR4" s="363"/>
      <c r="AS4" s="363"/>
      <c r="AT4" s="363"/>
      <c r="AU4" s="363"/>
      <c r="AV4" s="363"/>
      <c r="AW4" s="363"/>
      <c r="AX4" s="363"/>
      <c r="AY4" s="363"/>
      <c r="AZ4" s="363"/>
      <c r="BA4" s="363"/>
      <c r="BB4" s="363"/>
      <c r="BC4" s="363"/>
      <c r="BD4" s="363"/>
      <c r="BE4" s="363"/>
      <c r="BF4" s="363"/>
      <c r="BG4" s="363"/>
      <c r="BH4" s="363"/>
      <c r="BI4" s="363"/>
      <c r="BJ4" s="363"/>
      <c r="BK4" s="363"/>
      <c r="BL4" s="363"/>
      <c r="BM4" s="363"/>
      <c r="BN4" s="363"/>
      <c r="BO4" s="363"/>
      <c r="BP4" s="363"/>
      <c r="BQ4" s="363"/>
      <c r="BR4" s="363"/>
      <c r="BS4" s="363"/>
      <c r="BT4" s="363"/>
      <c r="BU4" s="363"/>
      <c r="BV4" s="363"/>
      <c r="BW4" s="363"/>
      <c r="BX4" s="363"/>
      <c r="BY4" s="363"/>
      <c r="BZ4" s="363"/>
      <c r="CA4" s="363"/>
      <c r="CB4" s="363"/>
      <c r="CC4" s="363"/>
      <c r="CD4" s="363"/>
      <c r="CE4" s="363"/>
      <c r="CF4" s="363"/>
      <c r="CG4" s="363"/>
      <c r="CH4" s="363"/>
      <c r="CI4" s="363"/>
      <c r="CJ4" s="363"/>
      <c r="CK4" s="363"/>
      <c r="CL4" s="363"/>
      <c r="CM4" s="363"/>
      <c r="CN4" s="363"/>
      <c r="CO4" s="363"/>
      <c r="CP4" s="363"/>
      <c r="CQ4" s="363"/>
      <c r="CR4" s="363"/>
      <c r="CS4" s="363"/>
      <c r="CT4" s="363"/>
      <c r="CU4" s="363"/>
      <c r="CV4" s="363"/>
      <c r="CW4" s="363"/>
      <c r="CX4" s="363"/>
      <c r="CY4" s="363"/>
      <c r="CZ4" s="363"/>
      <c r="DA4" s="363"/>
      <c r="DB4" s="363"/>
      <c r="DC4" s="363"/>
      <c r="DD4" s="363"/>
      <c r="DE4" s="363"/>
      <c r="DF4" s="363"/>
      <c r="DG4" s="363"/>
      <c r="DH4" s="363"/>
      <c r="DI4" s="363"/>
      <c r="DJ4" s="363"/>
      <c r="DK4" s="363"/>
      <c r="DL4" s="363"/>
      <c r="DM4" s="363"/>
      <c r="DN4" s="363"/>
      <c r="DO4" s="363"/>
      <c r="DP4" s="363"/>
      <c r="DQ4" s="363"/>
      <c r="DR4" s="363"/>
      <c r="DS4" s="363"/>
      <c r="DT4" s="363"/>
      <c r="DU4" s="363"/>
      <c r="DV4" s="363"/>
      <c r="DW4" s="363"/>
      <c r="DX4" s="363"/>
      <c r="DY4" s="363"/>
      <c r="DZ4" s="363"/>
      <c r="EA4" s="363"/>
      <c r="EB4" s="363"/>
      <c r="EC4" s="363"/>
      <c r="ED4" s="363"/>
      <c r="EE4" s="363"/>
      <c r="EF4" s="363"/>
      <c r="EG4" s="363"/>
      <c r="EH4" s="363"/>
      <c r="EI4" s="363"/>
      <c r="EJ4" s="363"/>
      <c r="EK4" s="363"/>
      <c r="EL4" s="363"/>
      <c r="EM4" s="363"/>
      <c r="EN4" s="363"/>
      <c r="EO4" s="363"/>
      <c r="EP4" s="363"/>
      <c r="EQ4" s="363"/>
      <c r="ER4" s="363"/>
      <c r="ES4" s="363"/>
      <c r="ET4" s="363"/>
      <c r="EU4" s="363"/>
      <c r="EV4" s="363"/>
      <c r="EW4" s="363"/>
      <c r="EX4" s="363"/>
      <c r="EY4" s="363"/>
      <c r="EZ4" s="363"/>
      <c r="FA4" s="363"/>
      <c r="FB4" s="363"/>
      <c r="FC4" s="363"/>
      <c r="FD4" s="363"/>
      <c r="FE4" s="363"/>
      <c r="FF4" s="363"/>
      <c r="FG4" s="363"/>
      <c r="FH4" s="363"/>
      <c r="FI4" s="363"/>
      <c r="FJ4" s="363"/>
      <c r="FK4" s="363"/>
      <c r="FL4" s="363"/>
      <c r="FM4" s="363"/>
      <c r="FN4" s="363"/>
      <c r="FO4" s="363"/>
      <c r="FP4" s="363"/>
      <c r="FQ4" s="363"/>
      <c r="FR4" s="363"/>
      <c r="FS4" s="363"/>
      <c r="FT4" s="363"/>
      <c r="FU4" s="363"/>
      <c r="FV4" s="363"/>
      <c r="FW4" s="363"/>
      <c r="FX4" s="363"/>
      <c r="FY4" s="363"/>
      <c r="FZ4" s="363"/>
      <c r="GA4" s="363"/>
      <c r="GB4" s="363"/>
      <c r="GC4" s="363"/>
      <c r="GD4" s="363"/>
      <c r="GE4" s="363"/>
      <c r="GF4" s="363"/>
      <c r="GG4" s="363"/>
      <c r="GH4" s="363"/>
      <c r="GI4" s="363"/>
      <c r="GJ4" s="363"/>
      <c r="GK4" s="363"/>
      <c r="GL4" s="363"/>
      <c r="GM4" s="363"/>
      <c r="GN4" s="363"/>
      <c r="GO4" s="363"/>
      <c r="GP4" s="363"/>
      <c r="GQ4" s="363"/>
      <c r="GR4" s="363"/>
      <c r="GS4" s="363"/>
      <c r="GT4" s="363"/>
      <c r="GU4" s="363"/>
      <c r="GV4" s="363"/>
      <c r="GW4" s="363"/>
      <c r="GX4" s="363"/>
      <c r="GY4" s="363"/>
      <c r="GZ4" s="363"/>
      <c r="HA4" s="363"/>
      <c r="HB4" s="363"/>
      <c r="HC4" s="363"/>
      <c r="HD4" s="363"/>
      <c r="HE4" s="363"/>
      <c r="HF4" s="363"/>
      <c r="HG4" s="363"/>
      <c r="HH4" s="363"/>
      <c r="HI4" s="363"/>
      <c r="HJ4" s="363"/>
      <c r="HK4" s="363"/>
      <c r="HL4" s="363"/>
      <c r="HM4" s="363"/>
      <c r="HN4" s="363"/>
      <c r="HO4" s="363"/>
      <c r="HP4" s="363"/>
      <c r="HQ4" s="363"/>
      <c r="HR4" s="363"/>
      <c r="HS4" s="363"/>
      <c r="HT4" s="363"/>
      <c r="HU4" s="363"/>
      <c r="HV4" s="363"/>
      <c r="HW4" s="363"/>
      <c r="HX4" s="363"/>
      <c r="HY4" s="363"/>
      <c r="HZ4" s="363"/>
      <c r="IA4" s="363"/>
      <c r="IB4" s="363"/>
      <c r="IC4" s="363"/>
      <c r="ID4" s="363"/>
      <c r="IE4" s="363"/>
      <c r="IF4" s="363"/>
      <c r="IG4" s="363"/>
      <c r="IH4" s="363"/>
      <c r="II4" s="363"/>
      <c r="IJ4" s="363"/>
      <c r="IK4" s="363"/>
      <c r="IL4" s="363"/>
      <c r="IM4" s="363"/>
      <c r="IN4" s="363"/>
      <c r="IO4" s="363"/>
      <c r="IP4" s="363"/>
      <c r="IQ4" s="363"/>
      <c r="IR4" s="363"/>
      <c r="IS4" s="363"/>
      <c r="IT4" s="363"/>
      <c r="IU4" s="363"/>
      <c r="IV4" s="363"/>
      <c r="IW4" s="363"/>
      <c r="IX4" s="363"/>
      <c r="IY4" s="363"/>
      <c r="IZ4" s="363"/>
      <c r="JA4" s="363"/>
      <c r="JB4" s="363"/>
      <c r="JC4" s="363"/>
      <c r="JD4" s="363"/>
      <c r="JE4" s="363"/>
      <c r="JF4" s="363"/>
      <c r="JG4" s="363"/>
      <c r="JH4" s="363"/>
      <c r="JI4" s="363"/>
      <c r="JJ4" s="363"/>
      <c r="JK4" s="363"/>
      <c r="JL4" s="363"/>
      <c r="JM4" s="363"/>
      <c r="JN4" s="363"/>
      <c r="JO4" s="363"/>
      <c r="JP4" s="363"/>
      <c r="JQ4" s="363"/>
      <c r="JR4" s="363"/>
      <c r="JS4" s="363"/>
      <c r="JT4" s="363"/>
      <c r="JU4" s="363"/>
      <c r="JV4" s="363"/>
      <c r="JW4" s="363"/>
      <c r="JX4" s="363"/>
      <c r="JY4" s="363"/>
      <c r="JZ4" s="363"/>
      <c r="KA4" s="363"/>
      <c r="KB4" s="363"/>
      <c r="KC4" s="363"/>
      <c r="KD4" s="363"/>
      <c r="KE4" s="363"/>
      <c r="KF4" s="363"/>
      <c r="KG4" s="363"/>
      <c r="KH4" s="363"/>
      <c r="KI4" s="363"/>
      <c r="KJ4" s="363"/>
      <c r="KK4" s="363"/>
      <c r="KL4" s="363"/>
      <c r="KM4" s="363"/>
      <c r="KN4" s="363"/>
      <c r="KO4" s="363"/>
      <c r="KP4" s="363"/>
      <c r="KQ4" s="363"/>
      <c r="KR4" s="363"/>
      <c r="KS4" s="363"/>
      <c r="KT4" s="363"/>
      <c r="KU4" s="363"/>
      <c r="KV4" s="363"/>
      <c r="KW4" s="363"/>
      <c r="KX4" s="363"/>
      <c r="KY4" s="363"/>
      <c r="KZ4" s="363"/>
      <c r="LA4" s="363"/>
      <c r="LB4" s="363"/>
      <c r="LC4" s="363"/>
      <c r="LD4" s="363"/>
      <c r="LE4" s="363"/>
      <c r="LF4" s="363"/>
      <c r="LG4" s="363"/>
      <c r="LH4" s="363"/>
      <c r="LI4" s="363"/>
      <c r="LJ4" s="363"/>
      <c r="LK4" s="363"/>
      <c r="LL4" s="363"/>
      <c r="LM4" s="363"/>
      <c r="LN4" s="363"/>
      <c r="LO4" s="363"/>
      <c r="LP4" s="363"/>
      <c r="LQ4" s="363"/>
      <c r="LR4" s="363"/>
      <c r="LS4" s="363"/>
      <c r="LT4" s="363"/>
      <c r="LU4" s="363"/>
      <c r="LV4" s="363"/>
      <c r="LW4" s="363"/>
      <c r="LX4" s="363"/>
      <c r="LY4" s="363"/>
      <c r="LZ4" s="363"/>
      <c r="MA4" s="363"/>
      <c r="MB4" s="363"/>
      <c r="MC4" s="363"/>
      <c r="MD4" s="363"/>
      <c r="ME4" s="363"/>
      <c r="MF4" s="363"/>
      <c r="MG4" s="363"/>
      <c r="MH4" s="363"/>
      <c r="MI4" s="363"/>
      <c r="MJ4" s="363"/>
      <c r="MK4" s="363"/>
      <c r="ML4" s="363"/>
      <c r="MM4" s="363"/>
      <c r="MN4" s="363"/>
      <c r="MO4" s="363"/>
      <c r="MP4" s="363"/>
      <c r="MQ4" s="363"/>
      <c r="MR4" s="363"/>
      <c r="MS4" s="363"/>
      <c r="MT4" s="363"/>
      <c r="MU4" s="363"/>
      <c r="MV4" s="363"/>
      <c r="MW4" s="363"/>
      <c r="MX4" s="363"/>
      <c r="MY4" s="363"/>
      <c r="MZ4" s="363"/>
      <c r="NA4" s="363"/>
      <c r="NB4" s="363"/>
      <c r="NC4" s="363"/>
      <c r="ND4" s="176">
        <f t="shared" si="0"/>
        <v>0</v>
      </c>
    </row>
    <row r="5" spans="1:368" s="361" customFormat="1" ht="13.5" customHeight="1">
      <c r="A5" s="400"/>
      <c r="B5" s="347" t="s">
        <v>159</v>
      </c>
      <c r="C5" s="363"/>
      <c r="D5" s="363"/>
      <c r="E5" s="363"/>
      <c r="F5" s="363"/>
      <c r="G5" s="363"/>
      <c r="H5" s="363"/>
      <c r="I5" s="363"/>
      <c r="J5" s="363"/>
      <c r="K5" s="363"/>
      <c r="L5" s="363"/>
      <c r="M5" s="363"/>
      <c r="N5" s="363"/>
      <c r="O5" s="363"/>
      <c r="P5" s="363"/>
      <c r="Q5" s="363"/>
      <c r="R5" s="363"/>
      <c r="S5" s="363"/>
      <c r="T5" s="363"/>
      <c r="U5" s="363"/>
      <c r="V5" s="363"/>
      <c r="W5" s="363"/>
      <c r="X5" s="363"/>
      <c r="Y5" s="363"/>
      <c r="Z5" s="363"/>
      <c r="AA5" s="363"/>
      <c r="AB5" s="363"/>
      <c r="AC5" s="363"/>
      <c r="AD5" s="363"/>
      <c r="AE5" s="363"/>
      <c r="AF5" s="363"/>
      <c r="AG5" s="363"/>
      <c r="AH5" s="363"/>
      <c r="AI5" s="363"/>
      <c r="AJ5" s="363"/>
      <c r="AK5" s="363"/>
      <c r="AL5" s="363"/>
      <c r="AM5" s="363"/>
      <c r="AN5" s="363"/>
      <c r="AO5" s="363"/>
      <c r="AP5" s="363"/>
      <c r="AQ5" s="363"/>
      <c r="AR5" s="363"/>
      <c r="AS5" s="363"/>
      <c r="AT5" s="363"/>
      <c r="AU5" s="363"/>
      <c r="AV5" s="363"/>
      <c r="AW5" s="363"/>
      <c r="AX5" s="363"/>
      <c r="AY5" s="363"/>
      <c r="AZ5" s="363"/>
      <c r="BA5" s="363"/>
      <c r="BB5" s="363"/>
      <c r="BC5" s="363"/>
      <c r="BD5" s="363"/>
      <c r="BE5" s="363"/>
      <c r="BF5" s="363"/>
      <c r="BG5" s="363"/>
      <c r="BH5" s="363"/>
      <c r="BI5" s="363"/>
      <c r="BJ5" s="363"/>
      <c r="BK5" s="363"/>
      <c r="BL5" s="363"/>
      <c r="BM5" s="363"/>
      <c r="BN5" s="363"/>
      <c r="BO5" s="363"/>
      <c r="BP5" s="363"/>
      <c r="BQ5" s="363"/>
      <c r="BR5" s="363"/>
      <c r="BS5" s="363"/>
      <c r="BT5" s="363"/>
      <c r="BU5" s="363"/>
      <c r="BV5" s="363"/>
      <c r="BW5" s="363"/>
      <c r="BX5" s="363"/>
      <c r="BY5" s="363"/>
      <c r="BZ5" s="363"/>
      <c r="CA5" s="363"/>
      <c r="CB5" s="363"/>
      <c r="CC5" s="363"/>
      <c r="CD5" s="363"/>
      <c r="CE5" s="363"/>
      <c r="CF5" s="363"/>
      <c r="CG5" s="363"/>
      <c r="CH5" s="363"/>
      <c r="CI5" s="363"/>
      <c r="CJ5" s="363"/>
      <c r="CK5" s="363"/>
      <c r="CL5" s="363"/>
      <c r="CM5" s="363"/>
      <c r="CN5" s="363"/>
      <c r="CO5" s="363"/>
      <c r="CP5" s="363"/>
      <c r="CQ5" s="363"/>
      <c r="CR5" s="363"/>
      <c r="CS5" s="363"/>
      <c r="CT5" s="363"/>
      <c r="CU5" s="363"/>
      <c r="CV5" s="363"/>
      <c r="CW5" s="363"/>
      <c r="CX5" s="363"/>
      <c r="CY5" s="363"/>
      <c r="CZ5" s="363"/>
      <c r="DA5" s="363"/>
      <c r="DB5" s="363"/>
      <c r="DC5" s="363"/>
      <c r="DD5" s="363"/>
      <c r="DE5" s="363"/>
      <c r="DF5" s="363"/>
      <c r="DG5" s="363"/>
      <c r="DH5" s="363"/>
      <c r="DI5" s="363"/>
      <c r="DJ5" s="363"/>
      <c r="DK5" s="363"/>
      <c r="DL5" s="363"/>
      <c r="DM5" s="363"/>
      <c r="DN5" s="363"/>
      <c r="DO5" s="363"/>
      <c r="DP5" s="363"/>
      <c r="DQ5" s="363"/>
      <c r="DR5" s="363"/>
      <c r="DS5" s="363"/>
      <c r="DT5" s="363"/>
      <c r="DU5" s="363"/>
      <c r="DV5" s="363"/>
      <c r="DW5" s="363"/>
      <c r="DX5" s="363"/>
      <c r="DY5" s="363"/>
      <c r="DZ5" s="363"/>
      <c r="EA5" s="363"/>
      <c r="EB5" s="363"/>
      <c r="EC5" s="363"/>
      <c r="ED5" s="363"/>
      <c r="EE5" s="363"/>
      <c r="EF5" s="363"/>
      <c r="EG5" s="363"/>
      <c r="EH5" s="363"/>
      <c r="EI5" s="363"/>
      <c r="EJ5" s="363"/>
      <c r="EK5" s="363"/>
      <c r="EL5" s="363"/>
      <c r="EM5" s="363"/>
      <c r="EN5" s="363"/>
      <c r="EO5" s="363"/>
      <c r="EP5" s="363"/>
      <c r="EQ5" s="363"/>
      <c r="ER5" s="363"/>
      <c r="ES5" s="363"/>
      <c r="ET5" s="363"/>
      <c r="EU5" s="363"/>
      <c r="EV5" s="363"/>
      <c r="EW5" s="363"/>
      <c r="EX5" s="363"/>
      <c r="EY5" s="363"/>
      <c r="EZ5" s="363"/>
      <c r="FA5" s="363"/>
      <c r="FB5" s="363"/>
      <c r="FC5" s="363"/>
      <c r="FD5" s="363"/>
      <c r="FE5" s="363"/>
      <c r="FF5" s="363"/>
      <c r="FG5" s="363"/>
      <c r="FH5" s="363"/>
      <c r="FI5" s="363"/>
      <c r="FJ5" s="363"/>
      <c r="FK5" s="363"/>
      <c r="FL5" s="363"/>
      <c r="FM5" s="363"/>
      <c r="FN5" s="363"/>
      <c r="FO5" s="363"/>
      <c r="FP5" s="363"/>
      <c r="FQ5" s="363"/>
      <c r="FR5" s="363"/>
      <c r="FS5" s="363"/>
      <c r="FT5" s="363"/>
      <c r="FU5" s="363"/>
      <c r="FV5" s="363"/>
      <c r="FW5" s="363"/>
      <c r="FX5" s="363"/>
      <c r="FY5" s="363"/>
      <c r="FZ5" s="363"/>
      <c r="GA5" s="363"/>
      <c r="GB5" s="363"/>
      <c r="GC5" s="363"/>
      <c r="GD5" s="363"/>
      <c r="GE5" s="363"/>
      <c r="GF5" s="363"/>
      <c r="GG5" s="363"/>
      <c r="GH5" s="363"/>
      <c r="GI5" s="363"/>
      <c r="GJ5" s="363"/>
      <c r="GK5" s="363"/>
      <c r="GL5" s="363"/>
      <c r="GM5" s="363"/>
      <c r="GN5" s="363"/>
      <c r="GO5" s="363"/>
      <c r="GP5" s="363"/>
      <c r="GQ5" s="363"/>
      <c r="GR5" s="363"/>
      <c r="GS5" s="363"/>
      <c r="GT5" s="363"/>
      <c r="GU5" s="363"/>
      <c r="GV5" s="363"/>
      <c r="GW5" s="363"/>
      <c r="GX5" s="363"/>
      <c r="GY5" s="363"/>
      <c r="GZ5" s="363"/>
      <c r="HA5" s="363"/>
      <c r="HB5" s="363"/>
      <c r="HC5" s="363"/>
      <c r="HD5" s="363"/>
      <c r="HE5" s="363"/>
      <c r="HF5" s="363"/>
      <c r="HG5" s="363"/>
      <c r="HH5" s="363"/>
      <c r="HI5" s="363"/>
      <c r="HJ5" s="363"/>
      <c r="HK5" s="363"/>
      <c r="HL5" s="363"/>
      <c r="HM5" s="363"/>
      <c r="HN5" s="363"/>
      <c r="HO5" s="363"/>
      <c r="HP5" s="363"/>
      <c r="HQ5" s="363"/>
      <c r="HR5" s="363"/>
      <c r="HS5" s="363"/>
      <c r="HT5" s="363"/>
      <c r="HU5" s="363"/>
      <c r="HV5" s="363"/>
      <c r="HW5" s="363"/>
      <c r="HX5" s="363"/>
      <c r="HY5" s="363"/>
      <c r="HZ5" s="363"/>
      <c r="IA5" s="363"/>
      <c r="IB5" s="363"/>
      <c r="IC5" s="363"/>
      <c r="ID5" s="363"/>
      <c r="IE5" s="363"/>
      <c r="IF5" s="363"/>
      <c r="IG5" s="363"/>
      <c r="IH5" s="363"/>
      <c r="II5" s="363"/>
      <c r="IJ5" s="363"/>
      <c r="IK5" s="363"/>
      <c r="IL5" s="363"/>
      <c r="IM5" s="363"/>
      <c r="IN5" s="363"/>
      <c r="IO5" s="363"/>
      <c r="IP5" s="363"/>
      <c r="IQ5" s="363"/>
      <c r="IR5" s="363"/>
      <c r="IS5" s="363"/>
      <c r="IT5" s="363"/>
      <c r="IU5" s="363"/>
      <c r="IV5" s="363"/>
      <c r="IW5" s="363"/>
      <c r="IX5" s="363"/>
      <c r="IY5" s="363"/>
      <c r="IZ5" s="363"/>
      <c r="JA5" s="363"/>
      <c r="JB5" s="363"/>
      <c r="JC5" s="363"/>
      <c r="JD5" s="363"/>
      <c r="JE5" s="363"/>
      <c r="JF5" s="363"/>
      <c r="JG5" s="363"/>
      <c r="JH5" s="363"/>
      <c r="JI5" s="363"/>
      <c r="JJ5" s="363"/>
      <c r="JK5" s="363"/>
      <c r="JL5" s="363"/>
      <c r="JM5" s="363"/>
      <c r="JN5" s="363"/>
      <c r="JO5" s="363"/>
      <c r="JP5" s="363"/>
      <c r="JQ5" s="363"/>
      <c r="JR5" s="363"/>
      <c r="JS5" s="363"/>
      <c r="JT5" s="363"/>
      <c r="JU5" s="363"/>
      <c r="JV5" s="363"/>
      <c r="JW5" s="363"/>
      <c r="JX5" s="363"/>
      <c r="JY5" s="363"/>
      <c r="JZ5" s="363"/>
      <c r="KA5" s="363"/>
      <c r="KB5" s="363"/>
      <c r="KC5" s="363"/>
      <c r="KD5" s="363"/>
      <c r="KE5" s="363"/>
      <c r="KF5" s="363"/>
      <c r="KG5" s="363"/>
      <c r="KH5" s="363"/>
      <c r="KI5" s="363"/>
      <c r="KJ5" s="363"/>
      <c r="KK5" s="363"/>
      <c r="KL5" s="363"/>
      <c r="KM5" s="363"/>
      <c r="KN5" s="363"/>
      <c r="KO5" s="363"/>
      <c r="KP5" s="363"/>
      <c r="KQ5" s="363"/>
      <c r="KR5" s="363"/>
      <c r="KS5" s="363"/>
      <c r="KT5" s="363"/>
      <c r="KU5" s="363"/>
      <c r="KV5" s="363"/>
      <c r="KW5" s="363"/>
      <c r="KX5" s="363"/>
      <c r="KY5" s="363"/>
      <c r="KZ5" s="363"/>
      <c r="LA5" s="363"/>
      <c r="LB5" s="363"/>
      <c r="LC5" s="363"/>
      <c r="LD5" s="363"/>
      <c r="LE5" s="363"/>
      <c r="LF5" s="363"/>
      <c r="LG5" s="363"/>
      <c r="LH5" s="363"/>
      <c r="LI5" s="363"/>
      <c r="LJ5" s="363"/>
      <c r="LK5" s="363"/>
      <c r="LL5" s="363"/>
      <c r="LM5" s="363"/>
      <c r="LN5" s="363"/>
      <c r="LO5" s="363"/>
      <c r="LP5" s="363"/>
      <c r="LQ5" s="363"/>
      <c r="LR5" s="363"/>
      <c r="LS5" s="363"/>
      <c r="LT5" s="363"/>
      <c r="LU5" s="363"/>
      <c r="LV5" s="363"/>
      <c r="LW5" s="363"/>
      <c r="LX5" s="363"/>
      <c r="LY5" s="363"/>
      <c r="LZ5" s="363"/>
      <c r="MA5" s="363"/>
      <c r="MB5" s="363"/>
      <c r="MC5" s="363"/>
      <c r="MD5" s="363"/>
      <c r="ME5" s="363"/>
      <c r="MF5" s="363"/>
      <c r="MG5" s="363"/>
      <c r="MH5" s="363"/>
      <c r="MI5" s="363"/>
      <c r="MJ5" s="363"/>
      <c r="MK5" s="363"/>
      <c r="ML5" s="363"/>
      <c r="MM5" s="363"/>
      <c r="MN5" s="363"/>
      <c r="MO5" s="363"/>
      <c r="MP5" s="363"/>
      <c r="MQ5" s="363"/>
      <c r="MR5" s="363"/>
      <c r="MS5" s="363"/>
      <c r="MT5" s="363"/>
      <c r="MU5" s="363"/>
      <c r="MV5" s="363"/>
      <c r="MW5" s="363"/>
      <c r="MX5" s="363"/>
      <c r="MY5" s="363"/>
      <c r="MZ5" s="363"/>
      <c r="NA5" s="363"/>
      <c r="NB5" s="363"/>
      <c r="NC5" s="363"/>
      <c r="ND5" s="176">
        <f t="shared" si="0"/>
        <v>0</v>
      </c>
    </row>
    <row r="6" spans="1:368" s="361" customFormat="1" ht="13.5" customHeight="1">
      <c r="A6" s="400"/>
      <c r="B6" s="347" t="s">
        <v>134</v>
      </c>
      <c r="C6" s="363"/>
      <c r="D6" s="363"/>
      <c r="E6" s="363"/>
      <c r="F6" s="363"/>
      <c r="G6" s="363"/>
      <c r="H6" s="363"/>
      <c r="I6" s="363"/>
      <c r="J6" s="363"/>
      <c r="K6" s="363"/>
      <c r="L6" s="363"/>
      <c r="M6" s="363"/>
      <c r="N6" s="363"/>
      <c r="O6" s="363"/>
      <c r="P6" s="363"/>
      <c r="Q6" s="363"/>
      <c r="R6" s="363"/>
      <c r="S6" s="363"/>
      <c r="T6" s="363"/>
      <c r="U6" s="363"/>
      <c r="V6" s="363"/>
      <c r="W6" s="363"/>
      <c r="X6" s="363"/>
      <c r="Y6" s="363"/>
      <c r="Z6" s="363"/>
      <c r="AA6" s="363"/>
      <c r="AB6" s="363"/>
      <c r="AC6" s="363"/>
      <c r="AD6" s="363"/>
      <c r="AE6" s="363"/>
      <c r="AF6" s="363"/>
      <c r="AG6" s="363"/>
      <c r="AH6" s="363"/>
      <c r="AI6" s="363"/>
      <c r="AJ6" s="363"/>
      <c r="AK6" s="363"/>
      <c r="AL6" s="363"/>
      <c r="AM6" s="363"/>
      <c r="AN6" s="363"/>
      <c r="AO6" s="363"/>
      <c r="AP6" s="363"/>
      <c r="AQ6" s="363"/>
      <c r="AR6" s="363"/>
      <c r="AS6" s="363"/>
      <c r="AT6" s="363"/>
      <c r="AU6" s="363"/>
      <c r="AV6" s="363"/>
      <c r="AW6" s="363"/>
      <c r="AX6" s="363"/>
      <c r="AY6" s="363"/>
      <c r="AZ6" s="363"/>
      <c r="BA6" s="363"/>
      <c r="BB6" s="363"/>
      <c r="BC6" s="363"/>
      <c r="BD6" s="363"/>
      <c r="BE6" s="363"/>
      <c r="BF6" s="363"/>
      <c r="BG6" s="363"/>
      <c r="BH6" s="363"/>
      <c r="BI6" s="363"/>
      <c r="BJ6" s="363"/>
      <c r="BK6" s="363"/>
      <c r="BL6" s="363"/>
      <c r="BM6" s="363"/>
      <c r="BN6" s="363"/>
      <c r="BO6" s="363"/>
      <c r="BP6" s="363"/>
      <c r="BQ6" s="363"/>
      <c r="BR6" s="363"/>
      <c r="BS6" s="363"/>
      <c r="BT6" s="363"/>
      <c r="BU6" s="363"/>
      <c r="BV6" s="363"/>
      <c r="BW6" s="363"/>
      <c r="BX6" s="363"/>
      <c r="BY6" s="363"/>
      <c r="BZ6" s="363"/>
      <c r="CA6" s="363"/>
      <c r="CB6" s="363"/>
      <c r="CC6" s="363"/>
      <c r="CD6" s="363"/>
      <c r="CE6" s="363"/>
      <c r="CF6" s="363"/>
      <c r="CG6" s="363"/>
      <c r="CH6" s="363"/>
      <c r="CI6" s="363"/>
      <c r="CJ6" s="363"/>
      <c r="CK6" s="363"/>
      <c r="CL6" s="363"/>
      <c r="CM6" s="363"/>
      <c r="CN6" s="363"/>
      <c r="CO6" s="363"/>
      <c r="CP6" s="363"/>
      <c r="CQ6" s="363"/>
      <c r="CR6" s="363"/>
      <c r="CS6" s="363"/>
      <c r="CT6" s="363"/>
      <c r="CU6" s="363"/>
      <c r="CV6" s="363"/>
      <c r="CW6" s="363"/>
      <c r="CX6" s="363"/>
      <c r="CY6" s="363"/>
      <c r="CZ6" s="363"/>
      <c r="DA6" s="363"/>
      <c r="DB6" s="363"/>
      <c r="DC6" s="363"/>
      <c r="DD6" s="363"/>
      <c r="DE6" s="363"/>
      <c r="DF6" s="363"/>
      <c r="DG6" s="363"/>
      <c r="DH6" s="363"/>
      <c r="DI6" s="363"/>
      <c r="DJ6" s="363"/>
      <c r="DK6" s="363"/>
      <c r="DL6" s="363"/>
      <c r="DM6" s="363"/>
      <c r="DN6" s="363"/>
      <c r="DO6" s="363"/>
      <c r="DP6" s="363"/>
      <c r="DQ6" s="363"/>
      <c r="DR6" s="363"/>
      <c r="DS6" s="363"/>
      <c r="DT6" s="363"/>
      <c r="DU6" s="363"/>
      <c r="DV6" s="363"/>
      <c r="DW6" s="363"/>
      <c r="DX6" s="363"/>
      <c r="DY6" s="363"/>
      <c r="DZ6" s="363"/>
      <c r="EA6" s="363"/>
      <c r="EB6" s="363"/>
      <c r="EC6" s="363"/>
      <c r="ED6" s="363"/>
      <c r="EE6" s="363"/>
      <c r="EF6" s="363"/>
      <c r="EG6" s="363"/>
      <c r="EH6" s="363"/>
      <c r="EI6" s="363"/>
      <c r="EJ6" s="363"/>
      <c r="EK6" s="363"/>
      <c r="EL6" s="363"/>
      <c r="EM6" s="363"/>
      <c r="EN6" s="363"/>
      <c r="EO6" s="363"/>
      <c r="EP6" s="363"/>
      <c r="EQ6" s="363"/>
      <c r="ER6" s="363"/>
      <c r="ES6" s="363"/>
      <c r="ET6" s="363"/>
      <c r="EU6" s="363"/>
      <c r="EV6" s="363"/>
      <c r="EW6" s="363"/>
      <c r="EX6" s="363"/>
      <c r="EY6" s="363"/>
      <c r="EZ6" s="363"/>
      <c r="FA6" s="363"/>
      <c r="FB6" s="363"/>
      <c r="FC6" s="363"/>
      <c r="FD6" s="363"/>
      <c r="FE6" s="363"/>
      <c r="FF6" s="363"/>
      <c r="FG6" s="363"/>
      <c r="FH6" s="363"/>
      <c r="FI6" s="363"/>
      <c r="FJ6" s="363"/>
      <c r="FK6" s="363"/>
      <c r="FL6" s="363"/>
      <c r="FM6" s="363"/>
      <c r="FN6" s="363"/>
      <c r="FO6" s="363"/>
      <c r="FP6" s="363"/>
      <c r="FQ6" s="363"/>
      <c r="FR6" s="363"/>
      <c r="FS6" s="363"/>
      <c r="FT6" s="363"/>
      <c r="FU6" s="363"/>
      <c r="FV6" s="363"/>
      <c r="FW6" s="363"/>
      <c r="FX6" s="363"/>
      <c r="FY6" s="363"/>
      <c r="FZ6" s="363"/>
      <c r="GA6" s="363"/>
      <c r="GB6" s="363"/>
      <c r="GC6" s="363"/>
      <c r="GD6" s="363"/>
      <c r="GE6" s="363"/>
      <c r="GF6" s="363"/>
      <c r="GG6" s="363"/>
      <c r="GH6" s="363"/>
      <c r="GI6" s="363"/>
      <c r="GJ6" s="363"/>
      <c r="GK6" s="363"/>
      <c r="GL6" s="363"/>
      <c r="GM6" s="363"/>
      <c r="GN6" s="363"/>
      <c r="GO6" s="363"/>
      <c r="GP6" s="363"/>
      <c r="GQ6" s="363"/>
      <c r="GR6" s="363"/>
      <c r="GS6" s="363"/>
      <c r="GT6" s="363"/>
      <c r="GU6" s="363"/>
      <c r="GV6" s="363"/>
      <c r="GW6" s="363"/>
      <c r="GX6" s="363"/>
      <c r="GY6" s="363"/>
      <c r="GZ6" s="363"/>
      <c r="HA6" s="363"/>
      <c r="HB6" s="363"/>
      <c r="HC6" s="363"/>
      <c r="HD6" s="363"/>
      <c r="HE6" s="363"/>
      <c r="HF6" s="363"/>
      <c r="HG6" s="363"/>
      <c r="HH6" s="363"/>
      <c r="HI6" s="363"/>
      <c r="HJ6" s="363"/>
      <c r="HK6" s="363"/>
      <c r="HL6" s="363"/>
      <c r="HM6" s="363"/>
      <c r="HN6" s="363"/>
      <c r="HO6" s="363"/>
      <c r="HP6" s="363"/>
      <c r="HQ6" s="363"/>
      <c r="HR6" s="363"/>
      <c r="HS6" s="363"/>
      <c r="HT6" s="363"/>
      <c r="HU6" s="363"/>
      <c r="HV6" s="363"/>
      <c r="HW6" s="363"/>
      <c r="HX6" s="363"/>
      <c r="HY6" s="363"/>
      <c r="HZ6" s="363"/>
      <c r="IA6" s="363"/>
      <c r="IB6" s="363"/>
      <c r="IC6" s="363"/>
      <c r="ID6" s="363"/>
      <c r="IE6" s="363"/>
      <c r="IF6" s="363"/>
      <c r="IG6" s="363"/>
      <c r="IH6" s="363"/>
      <c r="II6" s="363"/>
      <c r="IJ6" s="363"/>
      <c r="IK6" s="363"/>
      <c r="IL6" s="363"/>
      <c r="IM6" s="363"/>
      <c r="IN6" s="363"/>
      <c r="IO6" s="363"/>
      <c r="IP6" s="363"/>
      <c r="IQ6" s="363"/>
      <c r="IR6" s="363"/>
      <c r="IS6" s="363"/>
      <c r="IT6" s="363"/>
      <c r="IU6" s="363"/>
      <c r="IV6" s="363"/>
      <c r="IW6" s="363"/>
      <c r="IX6" s="363"/>
      <c r="IY6" s="363"/>
      <c r="IZ6" s="363"/>
      <c r="JA6" s="363"/>
      <c r="JB6" s="363"/>
      <c r="JC6" s="363"/>
      <c r="JD6" s="363"/>
      <c r="JE6" s="363"/>
      <c r="JF6" s="363"/>
      <c r="JG6" s="363"/>
      <c r="JH6" s="363"/>
      <c r="JI6" s="363"/>
      <c r="JJ6" s="363"/>
      <c r="JK6" s="363"/>
      <c r="JL6" s="363"/>
      <c r="JM6" s="363"/>
      <c r="JN6" s="363"/>
      <c r="JO6" s="363"/>
      <c r="JP6" s="363"/>
      <c r="JQ6" s="363"/>
      <c r="JR6" s="363"/>
      <c r="JS6" s="363"/>
      <c r="JT6" s="363"/>
      <c r="JU6" s="363"/>
      <c r="JV6" s="363"/>
      <c r="JW6" s="363"/>
      <c r="JX6" s="363"/>
      <c r="JY6" s="363"/>
      <c r="JZ6" s="363"/>
      <c r="KA6" s="363"/>
      <c r="KB6" s="363"/>
      <c r="KC6" s="363"/>
      <c r="KD6" s="363"/>
      <c r="KE6" s="363"/>
      <c r="KF6" s="363"/>
      <c r="KG6" s="363"/>
      <c r="KH6" s="363"/>
      <c r="KI6" s="363"/>
      <c r="KJ6" s="363"/>
      <c r="KK6" s="363"/>
      <c r="KL6" s="363"/>
      <c r="KM6" s="363"/>
      <c r="KN6" s="363"/>
      <c r="KO6" s="363"/>
      <c r="KP6" s="363"/>
      <c r="KQ6" s="363"/>
      <c r="KR6" s="363"/>
      <c r="KS6" s="363"/>
      <c r="KT6" s="363"/>
      <c r="KU6" s="363"/>
      <c r="KV6" s="363"/>
      <c r="KW6" s="363"/>
      <c r="KX6" s="363"/>
      <c r="KY6" s="363"/>
      <c r="KZ6" s="363"/>
      <c r="LA6" s="363"/>
      <c r="LB6" s="363"/>
      <c r="LC6" s="363"/>
      <c r="LD6" s="363"/>
      <c r="LE6" s="363"/>
      <c r="LF6" s="363"/>
      <c r="LG6" s="363"/>
      <c r="LH6" s="363"/>
      <c r="LI6" s="363"/>
      <c r="LJ6" s="363"/>
      <c r="LK6" s="363"/>
      <c r="LL6" s="363"/>
      <c r="LM6" s="363"/>
      <c r="LN6" s="363"/>
      <c r="LO6" s="363"/>
      <c r="LP6" s="363"/>
      <c r="LQ6" s="363"/>
      <c r="LR6" s="363"/>
      <c r="LS6" s="363"/>
      <c r="LT6" s="363"/>
      <c r="LU6" s="363"/>
      <c r="LV6" s="363"/>
      <c r="LW6" s="363"/>
      <c r="LX6" s="363"/>
      <c r="LY6" s="363"/>
      <c r="LZ6" s="363"/>
      <c r="MA6" s="363"/>
      <c r="MB6" s="363"/>
      <c r="MC6" s="363"/>
      <c r="MD6" s="363"/>
      <c r="ME6" s="363"/>
      <c r="MF6" s="363"/>
      <c r="MG6" s="363"/>
      <c r="MH6" s="363"/>
      <c r="MI6" s="363"/>
      <c r="MJ6" s="363"/>
      <c r="MK6" s="363"/>
      <c r="ML6" s="363"/>
      <c r="MM6" s="363"/>
      <c r="MN6" s="363"/>
      <c r="MO6" s="363"/>
      <c r="MP6" s="363"/>
      <c r="MQ6" s="363"/>
      <c r="MR6" s="363"/>
      <c r="MS6" s="363"/>
      <c r="MT6" s="363"/>
      <c r="MU6" s="363"/>
      <c r="MV6" s="363"/>
      <c r="MW6" s="363"/>
      <c r="MX6" s="363"/>
      <c r="MY6" s="363"/>
      <c r="MZ6" s="363"/>
      <c r="NA6" s="363"/>
      <c r="NB6" s="363"/>
      <c r="NC6" s="363"/>
      <c r="ND6" s="176">
        <f t="shared" si="0"/>
        <v>0</v>
      </c>
    </row>
    <row r="7" spans="1:368" s="361" customFormat="1" ht="13.5" customHeight="1">
      <c r="A7" s="400"/>
      <c r="B7" s="347" t="s">
        <v>135</v>
      </c>
      <c r="C7" s="363"/>
      <c r="D7" s="363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3"/>
      <c r="U7" s="363"/>
      <c r="V7" s="363"/>
      <c r="W7" s="363"/>
      <c r="X7" s="363"/>
      <c r="Y7" s="363"/>
      <c r="Z7" s="363"/>
      <c r="AA7" s="363"/>
      <c r="AB7" s="363"/>
      <c r="AC7" s="363"/>
      <c r="AD7" s="363"/>
      <c r="AE7" s="363"/>
      <c r="AF7" s="363"/>
      <c r="AG7" s="363"/>
      <c r="AH7" s="363"/>
      <c r="AI7" s="363"/>
      <c r="AJ7" s="363"/>
      <c r="AK7" s="363"/>
      <c r="AL7" s="363"/>
      <c r="AM7" s="363"/>
      <c r="AN7" s="363"/>
      <c r="AO7" s="363"/>
      <c r="AP7" s="363"/>
      <c r="AQ7" s="363"/>
      <c r="AR7" s="363"/>
      <c r="AS7" s="363"/>
      <c r="AT7" s="363"/>
      <c r="AU7" s="363"/>
      <c r="AV7" s="363"/>
      <c r="AW7" s="363"/>
      <c r="AX7" s="363"/>
      <c r="AY7" s="363"/>
      <c r="AZ7" s="363"/>
      <c r="BA7" s="363"/>
      <c r="BB7" s="363"/>
      <c r="BC7" s="363"/>
      <c r="BD7" s="363"/>
      <c r="BE7" s="363"/>
      <c r="BF7" s="363"/>
      <c r="BG7" s="363"/>
      <c r="BH7" s="363"/>
      <c r="BI7" s="363"/>
      <c r="BJ7" s="363"/>
      <c r="BK7" s="363"/>
      <c r="BL7" s="363"/>
      <c r="BM7" s="363"/>
      <c r="BN7" s="363"/>
      <c r="BO7" s="363"/>
      <c r="BP7" s="363"/>
      <c r="BQ7" s="363"/>
      <c r="BR7" s="363"/>
      <c r="BS7" s="363"/>
      <c r="BT7" s="363"/>
      <c r="BU7" s="363"/>
      <c r="BV7" s="363"/>
      <c r="BW7" s="363"/>
      <c r="BX7" s="363"/>
      <c r="BY7" s="363"/>
      <c r="BZ7" s="363"/>
      <c r="CA7" s="363"/>
      <c r="CB7" s="363"/>
      <c r="CC7" s="363"/>
      <c r="CD7" s="363"/>
      <c r="CE7" s="363"/>
      <c r="CF7" s="363"/>
      <c r="CG7" s="363"/>
      <c r="CH7" s="363"/>
      <c r="CI7" s="363"/>
      <c r="CJ7" s="363"/>
      <c r="CK7" s="363"/>
      <c r="CL7" s="363"/>
      <c r="CM7" s="363"/>
      <c r="CN7" s="363"/>
      <c r="CO7" s="363"/>
      <c r="CP7" s="363"/>
      <c r="CQ7" s="363"/>
      <c r="CR7" s="363"/>
      <c r="CS7" s="363"/>
      <c r="CT7" s="363"/>
      <c r="CU7" s="363"/>
      <c r="CV7" s="363"/>
      <c r="CW7" s="363"/>
      <c r="CX7" s="363"/>
      <c r="CY7" s="363"/>
      <c r="CZ7" s="363"/>
      <c r="DA7" s="363"/>
      <c r="DB7" s="363"/>
      <c r="DC7" s="363"/>
      <c r="DD7" s="363"/>
      <c r="DE7" s="363"/>
      <c r="DF7" s="363"/>
      <c r="DG7" s="363"/>
      <c r="DH7" s="363"/>
      <c r="DI7" s="363"/>
      <c r="DJ7" s="363"/>
      <c r="DK7" s="363"/>
      <c r="DL7" s="363"/>
      <c r="DM7" s="363"/>
      <c r="DN7" s="363"/>
      <c r="DO7" s="363"/>
      <c r="DP7" s="363"/>
      <c r="DQ7" s="363"/>
      <c r="DR7" s="363"/>
      <c r="DS7" s="363"/>
      <c r="DT7" s="363"/>
      <c r="DU7" s="363"/>
      <c r="DV7" s="363"/>
      <c r="DW7" s="363"/>
      <c r="DX7" s="363"/>
      <c r="DY7" s="363"/>
      <c r="DZ7" s="363"/>
      <c r="EA7" s="363"/>
      <c r="EB7" s="363"/>
      <c r="EC7" s="363"/>
      <c r="ED7" s="363"/>
      <c r="EE7" s="363"/>
      <c r="EF7" s="363"/>
      <c r="EG7" s="363"/>
      <c r="EH7" s="363"/>
      <c r="EI7" s="363"/>
      <c r="EJ7" s="363"/>
      <c r="EK7" s="363"/>
      <c r="EL7" s="363"/>
      <c r="EM7" s="363"/>
      <c r="EN7" s="363"/>
      <c r="EO7" s="363"/>
      <c r="EP7" s="363"/>
      <c r="EQ7" s="363"/>
      <c r="ER7" s="363"/>
      <c r="ES7" s="363"/>
      <c r="ET7" s="363"/>
      <c r="EU7" s="363"/>
      <c r="EV7" s="363"/>
      <c r="EW7" s="363"/>
      <c r="EX7" s="363"/>
      <c r="EY7" s="363"/>
      <c r="EZ7" s="363"/>
      <c r="FA7" s="363"/>
      <c r="FB7" s="363"/>
      <c r="FC7" s="363"/>
      <c r="FD7" s="363"/>
      <c r="FE7" s="363"/>
      <c r="FF7" s="363"/>
      <c r="FG7" s="363"/>
      <c r="FH7" s="363"/>
      <c r="FI7" s="363"/>
      <c r="FJ7" s="363"/>
      <c r="FK7" s="363"/>
      <c r="FL7" s="363"/>
      <c r="FM7" s="363"/>
      <c r="FN7" s="363"/>
      <c r="FO7" s="363"/>
      <c r="FP7" s="363"/>
      <c r="FQ7" s="363"/>
      <c r="FR7" s="363"/>
      <c r="FS7" s="363"/>
      <c r="FT7" s="363"/>
      <c r="FU7" s="363"/>
      <c r="FV7" s="363"/>
      <c r="FW7" s="363"/>
      <c r="FX7" s="363"/>
      <c r="FY7" s="363"/>
      <c r="FZ7" s="363"/>
      <c r="GA7" s="363"/>
      <c r="GB7" s="363"/>
      <c r="GC7" s="363"/>
      <c r="GD7" s="363"/>
      <c r="GE7" s="363"/>
      <c r="GF7" s="363"/>
      <c r="GG7" s="363"/>
      <c r="GH7" s="363"/>
      <c r="GI7" s="363"/>
      <c r="GJ7" s="363"/>
      <c r="GK7" s="363"/>
      <c r="GL7" s="363"/>
      <c r="GM7" s="363"/>
      <c r="GN7" s="363"/>
      <c r="GO7" s="363"/>
      <c r="GP7" s="363"/>
      <c r="GQ7" s="363"/>
      <c r="GR7" s="363"/>
      <c r="GS7" s="363"/>
      <c r="GT7" s="363"/>
      <c r="GU7" s="363"/>
      <c r="GV7" s="363"/>
      <c r="GW7" s="363"/>
      <c r="GX7" s="363"/>
      <c r="GY7" s="363"/>
      <c r="GZ7" s="363"/>
      <c r="HA7" s="363"/>
      <c r="HB7" s="363"/>
      <c r="HC7" s="363"/>
      <c r="HD7" s="363"/>
      <c r="HE7" s="363"/>
      <c r="HF7" s="363"/>
      <c r="HG7" s="363"/>
      <c r="HH7" s="363"/>
      <c r="HI7" s="363"/>
      <c r="HJ7" s="363"/>
      <c r="HK7" s="363"/>
      <c r="HL7" s="363"/>
      <c r="HM7" s="363"/>
      <c r="HN7" s="363"/>
      <c r="HO7" s="363"/>
      <c r="HP7" s="363"/>
      <c r="HQ7" s="363"/>
      <c r="HR7" s="363"/>
      <c r="HS7" s="363"/>
      <c r="HT7" s="363"/>
      <c r="HU7" s="363"/>
      <c r="HV7" s="363"/>
      <c r="HW7" s="363"/>
      <c r="HX7" s="363"/>
      <c r="HY7" s="363"/>
      <c r="HZ7" s="363"/>
      <c r="IA7" s="363"/>
      <c r="IB7" s="363"/>
      <c r="IC7" s="363"/>
      <c r="ID7" s="363"/>
      <c r="IE7" s="363"/>
      <c r="IF7" s="363"/>
      <c r="IG7" s="363"/>
      <c r="IH7" s="363"/>
      <c r="II7" s="363"/>
      <c r="IJ7" s="363"/>
      <c r="IK7" s="363"/>
      <c r="IL7" s="363"/>
      <c r="IM7" s="363"/>
      <c r="IN7" s="363"/>
      <c r="IO7" s="363"/>
      <c r="IP7" s="363"/>
      <c r="IQ7" s="363"/>
      <c r="IR7" s="363"/>
      <c r="IS7" s="363"/>
      <c r="IT7" s="363"/>
      <c r="IU7" s="363"/>
      <c r="IV7" s="363"/>
      <c r="IW7" s="363"/>
      <c r="IX7" s="363"/>
      <c r="IY7" s="363"/>
      <c r="IZ7" s="363"/>
      <c r="JA7" s="363"/>
      <c r="JB7" s="363"/>
      <c r="JC7" s="363"/>
      <c r="JD7" s="363"/>
      <c r="JE7" s="363"/>
      <c r="JF7" s="363"/>
      <c r="JG7" s="363"/>
      <c r="JH7" s="363"/>
      <c r="JI7" s="363"/>
      <c r="JJ7" s="363"/>
      <c r="JK7" s="363"/>
      <c r="JL7" s="363"/>
      <c r="JM7" s="363"/>
      <c r="JN7" s="363"/>
      <c r="JO7" s="363"/>
      <c r="JP7" s="363"/>
      <c r="JQ7" s="363"/>
      <c r="JR7" s="363"/>
      <c r="JS7" s="363"/>
      <c r="JT7" s="363"/>
      <c r="JU7" s="363"/>
      <c r="JV7" s="363"/>
      <c r="JW7" s="363"/>
      <c r="JX7" s="363"/>
      <c r="JY7" s="363"/>
      <c r="JZ7" s="363"/>
      <c r="KA7" s="363"/>
      <c r="KB7" s="363"/>
      <c r="KC7" s="363"/>
      <c r="KD7" s="363"/>
      <c r="KE7" s="363"/>
      <c r="KF7" s="363"/>
      <c r="KG7" s="363"/>
      <c r="KH7" s="363"/>
      <c r="KI7" s="363"/>
      <c r="KJ7" s="363"/>
      <c r="KK7" s="363"/>
      <c r="KL7" s="363"/>
      <c r="KM7" s="363"/>
      <c r="KN7" s="363"/>
      <c r="KO7" s="363"/>
      <c r="KP7" s="363"/>
      <c r="KQ7" s="363"/>
      <c r="KR7" s="363"/>
      <c r="KS7" s="363"/>
      <c r="KT7" s="363"/>
      <c r="KU7" s="363"/>
      <c r="KV7" s="363"/>
      <c r="KW7" s="363"/>
      <c r="KX7" s="363"/>
      <c r="KY7" s="363"/>
      <c r="KZ7" s="363"/>
      <c r="LA7" s="363"/>
      <c r="LB7" s="363"/>
      <c r="LC7" s="363"/>
      <c r="LD7" s="363"/>
      <c r="LE7" s="363"/>
      <c r="LF7" s="363"/>
      <c r="LG7" s="363"/>
      <c r="LH7" s="363"/>
      <c r="LI7" s="363"/>
      <c r="LJ7" s="363"/>
      <c r="LK7" s="363"/>
      <c r="LL7" s="363"/>
      <c r="LM7" s="363"/>
      <c r="LN7" s="363"/>
      <c r="LO7" s="363"/>
      <c r="LP7" s="363"/>
      <c r="LQ7" s="363"/>
      <c r="LR7" s="363"/>
      <c r="LS7" s="363"/>
      <c r="LT7" s="363"/>
      <c r="LU7" s="363"/>
      <c r="LV7" s="363"/>
      <c r="LW7" s="363"/>
      <c r="LX7" s="363"/>
      <c r="LY7" s="363"/>
      <c r="LZ7" s="363"/>
      <c r="MA7" s="363"/>
      <c r="MB7" s="363"/>
      <c r="MC7" s="363"/>
      <c r="MD7" s="363"/>
      <c r="ME7" s="363"/>
      <c r="MF7" s="363"/>
      <c r="MG7" s="363"/>
      <c r="MH7" s="363"/>
      <c r="MI7" s="363"/>
      <c r="MJ7" s="363"/>
      <c r="MK7" s="363"/>
      <c r="ML7" s="363"/>
      <c r="MM7" s="363"/>
      <c r="MN7" s="363"/>
      <c r="MO7" s="363"/>
      <c r="MP7" s="363"/>
      <c r="MQ7" s="363"/>
      <c r="MR7" s="363"/>
      <c r="MS7" s="363"/>
      <c r="MT7" s="363"/>
      <c r="MU7" s="363"/>
      <c r="MV7" s="363"/>
      <c r="MW7" s="363"/>
      <c r="MX7" s="363"/>
      <c r="MY7" s="363"/>
      <c r="MZ7" s="363"/>
      <c r="NA7" s="363"/>
      <c r="NB7" s="363"/>
      <c r="NC7" s="363"/>
      <c r="ND7" s="176">
        <f t="shared" si="0"/>
        <v>0</v>
      </c>
    </row>
    <row r="8" spans="1:368" s="361" customFormat="1" ht="13.5" customHeight="1" thickBot="1">
      <c r="A8" s="401"/>
      <c r="B8" s="347" t="s">
        <v>21</v>
      </c>
      <c r="C8" s="363"/>
      <c r="D8" s="364"/>
      <c r="E8" s="364"/>
      <c r="F8" s="364"/>
      <c r="G8" s="364"/>
      <c r="H8" s="364"/>
      <c r="I8" s="364"/>
      <c r="J8" s="364"/>
      <c r="K8" s="364"/>
      <c r="L8" s="364"/>
      <c r="M8" s="364"/>
      <c r="N8" s="364"/>
      <c r="O8" s="364"/>
      <c r="P8" s="364"/>
      <c r="Q8" s="364"/>
      <c r="R8" s="364"/>
      <c r="S8" s="364"/>
      <c r="T8" s="364"/>
      <c r="U8" s="364"/>
      <c r="V8" s="364"/>
      <c r="W8" s="364"/>
      <c r="X8" s="364"/>
      <c r="Y8" s="364"/>
      <c r="Z8" s="364"/>
      <c r="AA8" s="364"/>
      <c r="AB8" s="364"/>
      <c r="AC8" s="364"/>
      <c r="AD8" s="364"/>
      <c r="AE8" s="364"/>
      <c r="AF8" s="364"/>
      <c r="AG8" s="364"/>
      <c r="AH8" s="364"/>
      <c r="AI8" s="364"/>
      <c r="AJ8" s="364"/>
      <c r="AK8" s="364"/>
      <c r="AL8" s="364"/>
      <c r="AM8" s="364"/>
      <c r="AN8" s="364"/>
      <c r="AO8" s="364"/>
      <c r="AP8" s="364"/>
      <c r="AQ8" s="364"/>
      <c r="AR8" s="364"/>
      <c r="AS8" s="364"/>
      <c r="AT8" s="364"/>
      <c r="AU8" s="364"/>
      <c r="AV8" s="364"/>
      <c r="AW8" s="364"/>
      <c r="AX8" s="364"/>
      <c r="AY8" s="364"/>
      <c r="AZ8" s="364"/>
      <c r="BA8" s="364"/>
      <c r="BB8" s="364"/>
      <c r="BC8" s="364"/>
      <c r="BD8" s="364"/>
      <c r="BE8" s="364"/>
      <c r="BF8" s="364"/>
      <c r="BG8" s="364"/>
      <c r="BH8" s="364"/>
      <c r="BI8" s="364"/>
      <c r="BJ8" s="364"/>
      <c r="BK8" s="364"/>
      <c r="BL8" s="364"/>
      <c r="BM8" s="364"/>
      <c r="BN8" s="364"/>
      <c r="BO8" s="364"/>
      <c r="BP8" s="364"/>
      <c r="BQ8" s="364"/>
      <c r="BR8" s="364"/>
      <c r="BS8" s="364"/>
      <c r="BT8" s="364"/>
      <c r="BU8" s="364"/>
      <c r="BV8" s="364"/>
      <c r="BW8" s="364"/>
      <c r="BX8" s="364"/>
      <c r="BY8" s="364"/>
      <c r="BZ8" s="364"/>
      <c r="CA8" s="364"/>
      <c r="CB8" s="364"/>
      <c r="CC8" s="364"/>
      <c r="CD8" s="364"/>
      <c r="CE8" s="364"/>
      <c r="CF8" s="364"/>
      <c r="CG8" s="364"/>
      <c r="CH8" s="364"/>
      <c r="CI8" s="364"/>
      <c r="CJ8" s="364"/>
      <c r="CK8" s="364"/>
      <c r="CL8" s="364"/>
      <c r="CM8" s="364"/>
      <c r="CN8" s="364"/>
      <c r="CO8" s="364"/>
      <c r="CP8" s="364"/>
      <c r="CQ8" s="364"/>
      <c r="CR8" s="364"/>
      <c r="CS8" s="364"/>
      <c r="CT8" s="364"/>
      <c r="CU8" s="364"/>
      <c r="CV8" s="364"/>
      <c r="CW8" s="364"/>
      <c r="CX8" s="364"/>
      <c r="CY8" s="364"/>
      <c r="CZ8" s="364"/>
      <c r="DA8" s="364"/>
      <c r="DB8" s="364"/>
      <c r="DC8" s="364"/>
      <c r="DD8" s="364"/>
      <c r="DE8" s="364"/>
      <c r="DF8" s="364"/>
      <c r="DG8" s="364"/>
      <c r="DH8" s="364"/>
      <c r="DI8" s="364"/>
      <c r="DJ8" s="364"/>
      <c r="DK8" s="364"/>
      <c r="DL8" s="364"/>
      <c r="DM8" s="364"/>
      <c r="DN8" s="364"/>
      <c r="DO8" s="364"/>
      <c r="DP8" s="364"/>
      <c r="DQ8" s="364"/>
      <c r="DR8" s="364"/>
      <c r="DS8" s="364"/>
      <c r="DT8" s="364"/>
      <c r="DU8" s="364"/>
      <c r="DV8" s="364"/>
      <c r="DW8" s="364"/>
      <c r="DX8" s="364"/>
      <c r="DY8" s="364"/>
      <c r="DZ8" s="364"/>
      <c r="EA8" s="364"/>
      <c r="EB8" s="364"/>
      <c r="EC8" s="364"/>
      <c r="ED8" s="364"/>
      <c r="EE8" s="364"/>
      <c r="EF8" s="364"/>
      <c r="EG8" s="364"/>
      <c r="EH8" s="364"/>
      <c r="EI8" s="364"/>
      <c r="EJ8" s="364"/>
      <c r="EK8" s="364"/>
      <c r="EL8" s="364"/>
      <c r="EM8" s="364"/>
      <c r="EN8" s="364"/>
      <c r="EO8" s="364"/>
      <c r="EP8" s="364"/>
      <c r="EQ8" s="364"/>
      <c r="ER8" s="364"/>
      <c r="ES8" s="364"/>
      <c r="ET8" s="364"/>
      <c r="EU8" s="364"/>
      <c r="EV8" s="364"/>
      <c r="EW8" s="364"/>
      <c r="EX8" s="364"/>
      <c r="EY8" s="364"/>
      <c r="EZ8" s="364"/>
      <c r="FA8" s="364"/>
      <c r="FB8" s="364"/>
      <c r="FC8" s="364"/>
      <c r="FD8" s="364"/>
      <c r="FE8" s="364"/>
      <c r="FF8" s="364"/>
      <c r="FG8" s="364"/>
      <c r="FH8" s="364"/>
      <c r="FI8" s="364"/>
      <c r="FJ8" s="364"/>
      <c r="FK8" s="364"/>
      <c r="FL8" s="364"/>
      <c r="FM8" s="364"/>
      <c r="FN8" s="364"/>
      <c r="FO8" s="364"/>
      <c r="FP8" s="364"/>
      <c r="FQ8" s="364"/>
      <c r="FR8" s="364"/>
      <c r="FS8" s="364"/>
      <c r="FT8" s="364"/>
      <c r="FU8" s="364"/>
      <c r="FV8" s="364"/>
      <c r="FW8" s="364"/>
      <c r="FX8" s="364"/>
      <c r="FY8" s="364"/>
      <c r="FZ8" s="364"/>
      <c r="GA8" s="364"/>
      <c r="GB8" s="364"/>
      <c r="GC8" s="364"/>
      <c r="GD8" s="364"/>
      <c r="GE8" s="364"/>
      <c r="GF8" s="364"/>
      <c r="GG8" s="364"/>
      <c r="GH8" s="364"/>
      <c r="GI8" s="364"/>
      <c r="GJ8" s="364"/>
      <c r="GK8" s="364"/>
      <c r="GL8" s="364"/>
      <c r="GM8" s="364"/>
      <c r="GN8" s="364"/>
      <c r="GO8" s="364"/>
      <c r="GP8" s="364"/>
      <c r="GQ8" s="364"/>
      <c r="GR8" s="364"/>
      <c r="GS8" s="364"/>
      <c r="GT8" s="364"/>
      <c r="GU8" s="364"/>
      <c r="GV8" s="364"/>
      <c r="GW8" s="364"/>
      <c r="GX8" s="364"/>
      <c r="GY8" s="364"/>
      <c r="GZ8" s="364"/>
      <c r="HA8" s="364"/>
      <c r="HB8" s="364"/>
      <c r="HC8" s="364"/>
      <c r="HD8" s="364"/>
      <c r="HE8" s="364"/>
      <c r="HF8" s="364"/>
      <c r="HG8" s="364"/>
      <c r="HH8" s="364"/>
      <c r="HI8" s="364"/>
      <c r="HJ8" s="364"/>
      <c r="HK8" s="364"/>
      <c r="HL8" s="364"/>
      <c r="HM8" s="364"/>
      <c r="HN8" s="364"/>
      <c r="HO8" s="364"/>
      <c r="HP8" s="364"/>
      <c r="HQ8" s="364"/>
      <c r="HR8" s="364"/>
      <c r="HS8" s="364"/>
      <c r="HT8" s="364"/>
      <c r="HU8" s="364"/>
      <c r="HV8" s="364"/>
      <c r="HW8" s="364"/>
      <c r="HX8" s="364"/>
      <c r="HY8" s="364"/>
      <c r="HZ8" s="364"/>
      <c r="IA8" s="364"/>
      <c r="IB8" s="364"/>
      <c r="IC8" s="364"/>
      <c r="ID8" s="364"/>
      <c r="IE8" s="364"/>
      <c r="IF8" s="364"/>
      <c r="IG8" s="364"/>
      <c r="IH8" s="364"/>
      <c r="II8" s="364"/>
      <c r="IJ8" s="364"/>
      <c r="IK8" s="364"/>
      <c r="IL8" s="364"/>
      <c r="IM8" s="364"/>
      <c r="IN8" s="364"/>
      <c r="IO8" s="364"/>
      <c r="IP8" s="364"/>
      <c r="IQ8" s="364"/>
      <c r="IR8" s="364"/>
      <c r="IS8" s="364"/>
      <c r="IT8" s="364"/>
      <c r="IU8" s="364"/>
      <c r="IV8" s="364"/>
      <c r="IW8" s="364"/>
      <c r="IX8" s="364"/>
      <c r="IY8" s="364"/>
      <c r="IZ8" s="364"/>
      <c r="JA8" s="364"/>
      <c r="JB8" s="364"/>
      <c r="JC8" s="364"/>
      <c r="JD8" s="364"/>
      <c r="JE8" s="364"/>
      <c r="JF8" s="364"/>
      <c r="JG8" s="364"/>
      <c r="JH8" s="364"/>
      <c r="JI8" s="364"/>
      <c r="JJ8" s="364"/>
      <c r="JK8" s="364"/>
      <c r="JL8" s="364"/>
      <c r="JM8" s="364"/>
      <c r="JN8" s="364"/>
      <c r="JO8" s="364"/>
      <c r="JP8" s="364"/>
      <c r="JQ8" s="364"/>
      <c r="JR8" s="364"/>
      <c r="JS8" s="364"/>
      <c r="JT8" s="364"/>
      <c r="JU8" s="364"/>
      <c r="JV8" s="364"/>
      <c r="JW8" s="364"/>
      <c r="JX8" s="364"/>
      <c r="JY8" s="364"/>
      <c r="JZ8" s="364"/>
      <c r="KA8" s="364"/>
      <c r="KB8" s="364"/>
      <c r="KC8" s="364"/>
      <c r="KD8" s="364"/>
      <c r="KE8" s="364"/>
      <c r="KF8" s="364"/>
      <c r="KG8" s="364"/>
      <c r="KH8" s="364"/>
      <c r="KI8" s="364"/>
      <c r="KJ8" s="364"/>
      <c r="KK8" s="364"/>
      <c r="KL8" s="364"/>
      <c r="KM8" s="364"/>
      <c r="KN8" s="364"/>
      <c r="KO8" s="364"/>
      <c r="KP8" s="364"/>
      <c r="KQ8" s="364"/>
      <c r="KR8" s="364"/>
      <c r="KS8" s="364"/>
      <c r="KT8" s="364"/>
      <c r="KU8" s="364"/>
      <c r="KV8" s="364"/>
      <c r="KW8" s="364"/>
      <c r="KX8" s="364"/>
      <c r="KY8" s="364"/>
      <c r="KZ8" s="364"/>
      <c r="LA8" s="364"/>
      <c r="LB8" s="364"/>
      <c r="LC8" s="364"/>
      <c r="LD8" s="364"/>
      <c r="LE8" s="364"/>
      <c r="LF8" s="364"/>
      <c r="LG8" s="364"/>
      <c r="LH8" s="364"/>
      <c r="LI8" s="364"/>
      <c r="LJ8" s="364"/>
      <c r="LK8" s="364"/>
      <c r="LL8" s="364"/>
      <c r="LM8" s="364"/>
      <c r="LN8" s="364"/>
      <c r="LO8" s="364"/>
      <c r="LP8" s="364"/>
      <c r="LQ8" s="364"/>
      <c r="LR8" s="364"/>
      <c r="LS8" s="364"/>
      <c r="LT8" s="364"/>
      <c r="LU8" s="364"/>
      <c r="LV8" s="364"/>
      <c r="LW8" s="364"/>
      <c r="LX8" s="364"/>
      <c r="LY8" s="364"/>
      <c r="LZ8" s="364"/>
      <c r="MA8" s="364"/>
      <c r="MB8" s="364"/>
      <c r="MC8" s="364"/>
      <c r="MD8" s="364"/>
      <c r="ME8" s="364"/>
      <c r="MF8" s="364"/>
      <c r="MG8" s="364"/>
      <c r="MH8" s="364"/>
      <c r="MI8" s="364"/>
      <c r="MJ8" s="364"/>
      <c r="MK8" s="364"/>
      <c r="ML8" s="364"/>
      <c r="MM8" s="364"/>
      <c r="MN8" s="364"/>
      <c r="MO8" s="364"/>
      <c r="MP8" s="364"/>
      <c r="MQ8" s="364"/>
      <c r="MR8" s="364"/>
      <c r="MS8" s="364"/>
      <c r="MT8" s="364"/>
      <c r="MU8" s="364"/>
      <c r="MV8" s="364"/>
      <c r="MW8" s="364"/>
      <c r="MX8" s="364"/>
      <c r="MY8" s="364"/>
      <c r="MZ8" s="364"/>
      <c r="NA8" s="364"/>
      <c r="NB8" s="364"/>
      <c r="NC8" s="364"/>
      <c r="ND8" s="176">
        <f t="shared" si="0"/>
        <v>0</v>
      </c>
    </row>
    <row r="9" spans="1:368" s="361" customFormat="1" ht="13.5" customHeight="1" thickTop="1">
      <c r="A9" s="402" t="s">
        <v>136</v>
      </c>
      <c r="B9" s="348" t="s">
        <v>137</v>
      </c>
      <c r="C9" s="365"/>
      <c r="D9" s="365"/>
      <c r="E9" s="365"/>
      <c r="F9" s="365"/>
      <c r="G9" s="365"/>
      <c r="H9" s="365"/>
      <c r="I9" s="365"/>
      <c r="J9" s="365"/>
      <c r="K9" s="365"/>
      <c r="L9" s="365"/>
      <c r="M9" s="365"/>
      <c r="N9" s="365"/>
      <c r="O9" s="365"/>
      <c r="P9" s="365"/>
      <c r="Q9" s="365"/>
      <c r="R9" s="365"/>
      <c r="S9" s="365"/>
      <c r="T9" s="365"/>
      <c r="U9" s="365"/>
      <c r="V9" s="365"/>
      <c r="W9" s="365"/>
      <c r="X9" s="365"/>
      <c r="Y9" s="365"/>
      <c r="Z9" s="365"/>
      <c r="AA9" s="365"/>
      <c r="AB9" s="365"/>
      <c r="AC9" s="365"/>
      <c r="AD9" s="365"/>
      <c r="AE9" s="365"/>
      <c r="AF9" s="365"/>
      <c r="AG9" s="365"/>
      <c r="AH9" s="365"/>
      <c r="AI9" s="365"/>
      <c r="AJ9" s="365"/>
      <c r="AK9" s="365"/>
      <c r="AL9" s="365"/>
      <c r="AM9" s="365"/>
      <c r="AN9" s="365"/>
      <c r="AO9" s="365"/>
      <c r="AP9" s="365"/>
      <c r="AQ9" s="365"/>
      <c r="AR9" s="365"/>
      <c r="AS9" s="365"/>
      <c r="AT9" s="365"/>
      <c r="AU9" s="365"/>
      <c r="AV9" s="365"/>
      <c r="AW9" s="365"/>
      <c r="AX9" s="365"/>
      <c r="AY9" s="365"/>
      <c r="AZ9" s="365"/>
      <c r="BA9" s="365"/>
      <c r="BB9" s="365"/>
      <c r="BC9" s="365"/>
      <c r="BD9" s="365"/>
      <c r="BE9" s="365"/>
      <c r="BF9" s="365"/>
      <c r="BG9" s="365"/>
      <c r="BH9" s="365"/>
      <c r="BI9" s="365"/>
      <c r="BJ9" s="365"/>
      <c r="BK9" s="365"/>
      <c r="BL9" s="365"/>
      <c r="BM9" s="365"/>
      <c r="BN9" s="365"/>
      <c r="BO9" s="365"/>
      <c r="BP9" s="365"/>
      <c r="BQ9" s="365"/>
      <c r="BR9" s="365"/>
      <c r="BS9" s="365"/>
      <c r="BT9" s="365"/>
      <c r="BU9" s="365"/>
      <c r="BV9" s="365"/>
      <c r="BW9" s="365"/>
      <c r="BX9" s="365"/>
      <c r="BY9" s="365"/>
      <c r="BZ9" s="365"/>
      <c r="CA9" s="365"/>
      <c r="CB9" s="365"/>
      <c r="CC9" s="365"/>
      <c r="CD9" s="365"/>
      <c r="CE9" s="365"/>
      <c r="CF9" s="365"/>
      <c r="CG9" s="365"/>
      <c r="CH9" s="365"/>
      <c r="CI9" s="365"/>
      <c r="CJ9" s="365"/>
      <c r="CK9" s="365"/>
      <c r="CL9" s="365"/>
      <c r="CM9" s="365"/>
      <c r="CN9" s="365"/>
      <c r="CO9" s="365"/>
      <c r="CP9" s="365"/>
      <c r="CQ9" s="365"/>
      <c r="CR9" s="365"/>
      <c r="CS9" s="365"/>
      <c r="CT9" s="365"/>
      <c r="CU9" s="365"/>
      <c r="CV9" s="365"/>
      <c r="CW9" s="365"/>
      <c r="CX9" s="365"/>
      <c r="CY9" s="365"/>
      <c r="CZ9" s="365"/>
      <c r="DA9" s="365"/>
      <c r="DB9" s="365"/>
      <c r="DC9" s="365"/>
      <c r="DD9" s="365"/>
      <c r="DE9" s="365"/>
      <c r="DF9" s="365"/>
      <c r="DG9" s="365"/>
      <c r="DH9" s="365"/>
      <c r="DI9" s="365"/>
      <c r="DJ9" s="365"/>
      <c r="DK9" s="365"/>
      <c r="DL9" s="365"/>
      <c r="DM9" s="365"/>
      <c r="DN9" s="365"/>
      <c r="DO9" s="365"/>
      <c r="DP9" s="365"/>
      <c r="DQ9" s="365"/>
      <c r="DR9" s="365"/>
      <c r="DS9" s="365"/>
      <c r="DT9" s="365"/>
      <c r="DU9" s="365"/>
      <c r="DV9" s="365"/>
      <c r="DW9" s="365"/>
      <c r="DX9" s="365"/>
      <c r="DY9" s="365"/>
      <c r="DZ9" s="365"/>
      <c r="EA9" s="365"/>
      <c r="EB9" s="365"/>
      <c r="EC9" s="365"/>
      <c r="ED9" s="365"/>
      <c r="EE9" s="365"/>
      <c r="EF9" s="365"/>
      <c r="EG9" s="365"/>
      <c r="EH9" s="365"/>
      <c r="EI9" s="365"/>
      <c r="EJ9" s="365"/>
      <c r="EK9" s="365"/>
      <c r="EL9" s="365"/>
      <c r="EM9" s="365"/>
      <c r="EN9" s="365"/>
      <c r="EO9" s="365"/>
      <c r="EP9" s="365"/>
      <c r="EQ9" s="365"/>
      <c r="ER9" s="365"/>
      <c r="ES9" s="365"/>
      <c r="ET9" s="365"/>
      <c r="EU9" s="365"/>
      <c r="EV9" s="365"/>
      <c r="EW9" s="365"/>
      <c r="EX9" s="365"/>
      <c r="EY9" s="365"/>
      <c r="EZ9" s="365"/>
      <c r="FA9" s="365"/>
      <c r="FB9" s="365"/>
      <c r="FC9" s="365"/>
      <c r="FD9" s="365"/>
      <c r="FE9" s="365"/>
      <c r="FF9" s="365"/>
      <c r="FG9" s="365"/>
      <c r="FH9" s="365"/>
      <c r="FI9" s="365"/>
      <c r="FJ9" s="365"/>
      <c r="FK9" s="365"/>
      <c r="FL9" s="365"/>
      <c r="FM9" s="365"/>
      <c r="FN9" s="365"/>
      <c r="FO9" s="365"/>
      <c r="FP9" s="365"/>
      <c r="FQ9" s="365"/>
      <c r="FR9" s="365"/>
      <c r="FS9" s="365"/>
      <c r="FT9" s="365"/>
      <c r="FU9" s="365"/>
      <c r="FV9" s="365"/>
      <c r="FW9" s="365"/>
      <c r="FX9" s="365"/>
      <c r="FY9" s="365"/>
      <c r="FZ9" s="365"/>
      <c r="GA9" s="365"/>
      <c r="GB9" s="365"/>
      <c r="GC9" s="365"/>
      <c r="GD9" s="365"/>
      <c r="GE9" s="365"/>
      <c r="GF9" s="365"/>
      <c r="GG9" s="365"/>
      <c r="GH9" s="365"/>
      <c r="GI9" s="365"/>
      <c r="GJ9" s="365"/>
      <c r="GK9" s="365"/>
      <c r="GL9" s="365"/>
      <c r="GM9" s="365"/>
      <c r="GN9" s="365"/>
      <c r="GO9" s="365"/>
      <c r="GP9" s="365"/>
      <c r="GQ9" s="365"/>
      <c r="GR9" s="365"/>
      <c r="GS9" s="365"/>
      <c r="GT9" s="365"/>
      <c r="GU9" s="365"/>
      <c r="GV9" s="365"/>
      <c r="GW9" s="365"/>
      <c r="GX9" s="365"/>
      <c r="GY9" s="365"/>
      <c r="GZ9" s="365"/>
      <c r="HA9" s="365"/>
      <c r="HB9" s="365"/>
      <c r="HC9" s="365"/>
      <c r="HD9" s="365"/>
      <c r="HE9" s="365"/>
      <c r="HF9" s="365"/>
      <c r="HG9" s="365"/>
      <c r="HH9" s="365"/>
      <c r="HI9" s="365"/>
      <c r="HJ9" s="365"/>
      <c r="HK9" s="365"/>
      <c r="HL9" s="365"/>
      <c r="HM9" s="365"/>
      <c r="HN9" s="365"/>
      <c r="HO9" s="365"/>
      <c r="HP9" s="365"/>
      <c r="HQ9" s="365"/>
      <c r="HR9" s="365"/>
      <c r="HS9" s="365"/>
      <c r="HT9" s="365"/>
      <c r="HU9" s="365"/>
      <c r="HV9" s="365"/>
      <c r="HW9" s="365"/>
      <c r="HX9" s="365"/>
      <c r="HY9" s="365"/>
      <c r="HZ9" s="365"/>
      <c r="IA9" s="365"/>
      <c r="IB9" s="365"/>
      <c r="IC9" s="365"/>
      <c r="ID9" s="365"/>
      <c r="IE9" s="365"/>
      <c r="IF9" s="365"/>
      <c r="IG9" s="365"/>
      <c r="IH9" s="365"/>
      <c r="II9" s="365"/>
      <c r="IJ9" s="365"/>
      <c r="IK9" s="365"/>
      <c r="IL9" s="365"/>
      <c r="IM9" s="365"/>
      <c r="IN9" s="365"/>
      <c r="IO9" s="365"/>
      <c r="IP9" s="365"/>
      <c r="IQ9" s="365"/>
      <c r="IR9" s="365"/>
      <c r="IS9" s="365"/>
      <c r="IT9" s="365"/>
      <c r="IU9" s="365"/>
      <c r="IV9" s="365"/>
      <c r="IW9" s="365"/>
      <c r="IX9" s="365"/>
      <c r="IY9" s="365"/>
      <c r="IZ9" s="365"/>
      <c r="JA9" s="365"/>
      <c r="JB9" s="365"/>
      <c r="JC9" s="365"/>
      <c r="JD9" s="365"/>
      <c r="JE9" s="365"/>
      <c r="JF9" s="365"/>
      <c r="JG9" s="365"/>
      <c r="JH9" s="365"/>
      <c r="JI9" s="365"/>
      <c r="JJ9" s="365"/>
      <c r="JK9" s="365"/>
      <c r="JL9" s="365"/>
      <c r="JM9" s="365"/>
      <c r="JN9" s="365"/>
      <c r="JO9" s="365"/>
      <c r="JP9" s="365"/>
      <c r="JQ9" s="365"/>
      <c r="JR9" s="365"/>
      <c r="JS9" s="365"/>
      <c r="JT9" s="365"/>
      <c r="JU9" s="365"/>
      <c r="JV9" s="365"/>
      <c r="JW9" s="365"/>
      <c r="JX9" s="365"/>
      <c r="JY9" s="365"/>
      <c r="JZ9" s="365"/>
      <c r="KA9" s="365"/>
      <c r="KB9" s="365"/>
      <c r="KC9" s="365"/>
      <c r="KD9" s="365"/>
      <c r="KE9" s="365"/>
      <c r="KF9" s="365"/>
      <c r="KG9" s="365"/>
      <c r="KH9" s="365"/>
      <c r="KI9" s="365"/>
      <c r="KJ9" s="365"/>
      <c r="KK9" s="365"/>
      <c r="KL9" s="365"/>
      <c r="KM9" s="365"/>
      <c r="KN9" s="365"/>
      <c r="KO9" s="365"/>
      <c r="KP9" s="365"/>
      <c r="KQ9" s="365"/>
      <c r="KR9" s="365"/>
      <c r="KS9" s="365"/>
      <c r="KT9" s="365"/>
      <c r="KU9" s="365"/>
      <c r="KV9" s="365"/>
      <c r="KW9" s="365"/>
      <c r="KX9" s="365"/>
      <c r="KY9" s="365"/>
      <c r="KZ9" s="365"/>
      <c r="LA9" s="365"/>
      <c r="LB9" s="365"/>
      <c r="LC9" s="365"/>
      <c r="LD9" s="365"/>
      <c r="LE9" s="365"/>
      <c r="LF9" s="365"/>
      <c r="LG9" s="365"/>
      <c r="LH9" s="365"/>
      <c r="LI9" s="365"/>
      <c r="LJ9" s="365"/>
      <c r="LK9" s="365"/>
      <c r="LL9" s="365"/>
      <c r="LM9" s="365"/>
      <c r="LN9" s="365"/>
      <c r="LO9" s="365"/>
      <c r="LP9" s="365"/>
      <c r="LQ9" s="365"/>
      <c r="LR9" s="365"/>
      <c r="LS9" s="365"/>
      <c r="LT9" s="365"/>
      <c r="LU9" s="365"/>
      <c r="LV9" s="365"/>
      <c r="LW9" s="365"/>
      <c r="LX9" s="365"/>
      <c r="LY9" s="365"/>
      <c r="LZ9" s="365"/>
      <c r="MA9" s="365"/>
      <c r="MB9" s="365"/>
      <c r="MC9" s="365"/>
      <c r="MD9" s="365"/>
      <c r="ME9" s="365"/>
      <c r="MF9" s="365"/>
      <c r="MG9" s="365"/>
      <c r="MH9" s="365"/>
      <c r="MI9" s="365"/>
      <c r="MJ9" s="365"/>
      <c r="MK9" s="365"/>
      <c r="ML9" s="365"/>
      <c r="MM9" s="365"/>
      <c r="MN9" s="365"/>
      <c r="MO9" s="365"/>
      <c r="MP9" s="365"/>
      <c r="MQ9" s="365"/>
      <c r="MR9" s="365"/>
      <c r="MS9" s="365"/>
      <c r="MT9" s="365"/>
      <c r="MU9" s="365"/>
      <c r="MV9" s="365"/>
      <c r="MW9" s="365"/>
      <c r="MX9" s="365"/>
      <c r="MY9" s="365"/>
      <c r="MZ9" s="365"/>
      <c r="NA9" s="365"/>
      <c r="NB9" s="365"/>
      <c r="NC9" s="365"/>
      <c r="ND9" s="176">
        <f t="shared" si="0"/>
        <v>0</v>
      </c>
    </row>
    <row r="10" spans="1:368" s="361" customFormat="1" ht="13.5" customHeight="1">
      <c r="A10" s="403"/>
      <c r="B10" s="349" t="s">
        <v>138</v>
      </c>
      <c r="C10" s="366"/>
      <c r="D10" s="366"/>
      <c r="E10" s="366"/>
      <c r="F10" s="366"/>
      <c r="G10" s="366"/>
      <c r="H10" s="366"/>
      <c r="I10" s="366"/>
      <c r="J10" s="366"/>
      <c r="K10" s="366"/>
      <c r="L10" s="366"/>
      <c r="M10" s="366"/>
      <c r="N10" s="366"/>
      <c r="O10" s="366"/>
      <c r="P10" s="366"/>
      <c r="Q10" s="366"/>
      <c r="R10" s="366"/>
      <c r="S10" s="366"/>
      <c r="T10" s="366"/>
      <c r="U10" s="366"/>
      <c r="V10" s="366"/>
      <c r="W10" s="366"/>
      <c r="X10" s="366"/>
      <c r="Y10" s="366"/>
      <c r="Z10" s="366"/>
      <c r="AA10" s="366"/>
      <c r="AB10" s="366"/>
      <c r="AC10" s="366"/>
      <c r="AD10" s="366"/>
      <c r="AE10" s="366"/>
      <c r="AF10" s="366"/>
      <c r="AG10" s="366"/>
      <c r="AH10" s="366"/>
      <c r="AI10" s="366"/>
      <c r="AJ10" s="366"/>
      <c r="AK10" s="366"/>
      <c r="AL10" s="366"/>
      <c r="AM10" s="366"/>
      <c r="AN10" s="366"/>
      <c r="AO10" s="366"/>
      <c r="AP10" s="366"/>
      <c r="AQ10" s="366"/>
      <c r="AR10" s="366"/>
      <c r="AS10" s="366"/>
      <c r="AT10" s="366"/>
      <c r="AU10" s="366"/>
      <c r="AV10" s="366"/>
      <c r="AW10" s="366"/>
      <c r="AX10" s="366"/>
      <c r="AY10" s="366"/>
      <c r="AZ10" s="366"/>
      <c r="BA10" s="366"/>
      <c r="BB10" s="366"/>
      <c r="BC10" s="366"/>
      <c r="BD10" s="366"/>
      <c r="BE10" s="366"/>
      <c r="BF10" s="366"/>
      <c r="BG10" s="366"/>
      <c r="BH10" s="366"/>
      <c r="BI10" s="366"/>
      <c r="BJ10" s="366"/>
      <c r="BK10" s="366"/>
      <c r="BL10" s="366"/>
      <c r="BM10" s="366"/>
      <c r="BN10" s="366"/>
      <c r="BO10" s="366"/>
      <c r="BP10" s="366"/>
      <c r="BQ10" s="366"/>
      <c r="BR10" s="366"/>
      <c r="BS10" s="366"/>
      <c r="BT10" s="366"/>
      <c r="BU10" s="366"/>
      <c r="BV10" s="366"/>
      <c r="BW10" s="366"/>
      <c r="BX10" s="366"/>
      <c r="BY10" s="366"/>
      <c r="BZ10" s="366"/>
      <c r="CA10" s="366"/>
      <c r="CB10" s="366"/>
      <c r="CC10" s="366"/>
      <c r="CD10" s="366"/>
      <c r="CE10" s="366"/>
      <c r="CF10" s="366"/>
      <c r="CG10" s="366"/>
      <c r="CH10" s="366"/>
      <c r="CI10" s="366"/>
      <c r="CJ10" s="366"/>
      <c r="CK10" s="366"/>
      <c r="CL10" s="366"/>
      <c r="CM10" s="366"/>
      <c r="CN10" s="366"/>
      <c r="CO10" s="366"/>
      <c r="CP10" s="366"/>
      <c r="CQ10" s="366"/>
      <c r="CR10" s="366"/>
      <c r="CS10" s="366"/>
      <c r="CT10" s="366"/>
      <c r="CU10" s="366"/>
      <c r="CV10" s="366"/>
      <c r="CW10" s="366"/>
      <c r="CX10" s="366"/>
      <c r="CY10" s="366"/>
      <c r="CZ10" s="366"/>
      <c r="DA10" s="366"/>
      <c r="DB10" s="366"/>
      <c r="DC10" s="366"/>
      <c r="DD10" s="366"/>
      <c r="DE10" s="366"/>
      <c r="DF10" s="366"/>
      <c r="DG10" s="366"/>
      <c r="DH10" s="366"/>
      <c r="DI10" s="366"/>
      <c r="DJ10" s="366"/>
      <c r="DK10" s="366"/>
      <c r="DL10" s="366"/>
      <c r="DM10" s="366"/>
      <c r="DN10" s="366"/>
      <c r="DO10" s="366"/>
      <c r="DP10" s="366"/>
      <c r="DQ10" s="366"/>
      <c r="DR10" s="366"/>
      <c r="DS10" s="366"/>
      <c r="DT10" s="366"/>
      <c r="DU10" s="366"/>
      <c r="DV10" s="366"/>
      <c r="DW10" s="366"/>
      <c r="DX10" s="366"/>
      <c r="DY10" s="366"/>
      <c r="DZ10" s="366"/>
      <c r="EA10" s="366"/>
      <c r="EB10" s="366"/>
      <c r="EC10" s="366"/>
      <c r="ED10" s="366"/>
      <c r="EE10" s="366"/>
      <c r="EF10" s="366"/>
      <c r="EG10" s="366"/>
      <c r="EH10" s="366"/>
      <c r="EI10" s="366"/>
      <c r="EJ10" s="366"/>
      <c r="EK10" s="366"/>
      <c r="EL10" s="366"/>
      <c r="EM10" s="366"/>
      <c r="EN10" s="366"/>
      <c r="EO10" s="366"/>
      <c r="EP10" s="366"/>
      <c r="EQ10" s="366"/>
      <c r="ER10" s="366"/>
      <c r="ES10" s="366"/>
      <c r="ET10" s="366"/>
      <c r="EU10" s="366"/>
      <c r="EV10" s="366"/>
      <c r="EW10" s="366"/>
      <c r="EX10" s="366"/>
      <c r="EY10" s="366"/>
      <c r="EZ10" s="366"/>
      <c r="FA10" s="366"/>
      <c r="FB10" s="366"/>
      <c r="FC10" s="366"/>
      <c r="FD10" s="366"/>
      <c r="FE10" s="366"/>
      <c r="FF10" s="366"/>
      <c r="FG10" s="366"/>
      <c r="FH10" s="366"/>
      <c r="FI10" s="366"/>
      <c r="FJ10" s="366"/>
      <c r="FK10" s="366"/>
      <c r="FL10" s="366"/>
      <c r="FM10" s="366"/>
      <c r="FN10" s="366"/>
      <c r="FO10" s="366"/>
      <c r="FP10" s="366"/>
      <c r="FQ10" s="366"/>
      <c r="FR10" s="366"/>
      <c r="FS10" s="366"/>
      <c r="FT10" s="366"/>
      <c r="FU10" s="366"/>
      <c r="FV10" s="366"/>
      <c r="FW10" s="366"/>
      <c r="FX10" s="366"/>
      <c r="FY10" s="366"/>
      <c r="FZ10" s="366"/>
      <c r="GA10" s="366"/>
      <c r="GB10" s="366"/>
      <c r="GC10" s="366"/>
      <c r="GD10" s="366"/>
      <c r="GE10" s="366"/>
      <c r="GF10" s="366"/>
      <c r="GG10" s="366"/>
      <c r="GH10" s="366"/>
      <c r="GI10" s="366"/>
      <c r="GJ10" s="366"/>
      <c r="GK10" s="366"/>
      <c r="GL10" s="366"/>
      <c r="GM10" s="366"/>
      <c r="GN10" s="366"/>
      <c r="GO10" s="366"/>
      <c r="GP10" s="366"/>
      <c r="GQ10" s="366"/>
      <c r="GR10" s="366"/>
      <c r="GS10" s="366"/>
      <c r="GT10" s="366"/>
      <c r="GU10" s="366"/>
      <c r="GV10" s="366"/>
      <c r="GW10" s="366"/>
      <c r="GX10" s="366"/>
      <c r="GY10" s="366"/>
      <c r="GZ10" s="366"/>
      <c r="HA10" s="366"/>
      <c r="HB10" s="366"/>
      <c r="HC10" s="366"/>
      <c r="HD10" s="366"/>
      <c r="HE10" s="366"/>
      <c r="HF10" s="366"/>
      <c r="HG10" s="366"/>
      <c r="HH10" s="366"/>
      <c r="HI10" s="366"/>
      <c r="HJ10" s="366"/>
      <c r="HK10" s="366"/>
      <c r="HL10" s="366"/>
      <c r="HM10" s="366"/>
      <c r="HN10" s="366"/>
      <c r="HO10" s="366"/>
      <c r="HP10" s="366"/>
      <c r="HQ10" s="366"/>
      <c r="HR10" s="366"/>
      <c r="HS10" s="366"/>
      <c r="HT10" s="366"/>
      <c r="HU10" s="366"/>
      <c r="HV10" s="366"/>
      <c r="HW10" s="366"/>
      <c r="HX10" s="366"/>
      <c r="HY10" s="366"/>
      <c r="HZ10" s="366"/>
      <c r="IA10" s="366"/>
      <c r="IB10" s="366"/>
      <c r="IC10" s="366"/>
      <c r="ID10" s="366"/>
      <c r="IE10" s="366"/>
      <c r="IF10" s="366"/>
      <c r="IG10" s="366"/>
      <c r="IH10" s="366"/>
      <c r="II10" s="366"/>
      <c r="IJ10" s="366"/>
      <c r="IK10" s="366"/>
      <c r="IL10" s="366"/>
      <c r="IM10" s="366"/>
      <c r="IN10" s="366"/>
      <c r="IO10" s="366"/>
      <c r="IP10" s="366"/>
      <c r="IQ10" s="366"/>
      <c r="IR10" s="366"/>
      <c r="IS10" s="366"/>
      <c r="IT10" s="366"/>
      <c r="IU10" s="366"/>
      <c r="IV10" s="366"/>
      <c r="IW10" s="366"/>
      <c r="IX10" s="366"/>
      <c r="IY10" s="366"/>
      <c r="IZ10" s="366"/>
      <c r="JA10" s="366"/>
      <c r="JB10" s="366"/>
      <c r="JC10" s="366"/>
      <c r="JD10" s="366"/>
      <c r="JE10" s="366"/>
      <c r="JF10" s="366"/>
      <c r="JG10" s="366"/>
      <c r="JH10" s="366"/>
      <c r="JI10" s="366"/>
      <c r="JJ10" s="366"/>
      <c r="JK10" s="366"/>
      <c r="JL10" s="366"/>
      <c r="JM10" s="366"/>
      <c r="JN10" s="366"/>
      <c r="JO10" s="366"/>
      <c r="JP10" s="366"/>
      <c r="JQ10" s="366"/>
      <c r="JR10" s="366"/>
      <c r="JS10" s="366"/>
      <c r="JT10" s="366"/>
      <c r="JU10" s="366"/>
      <c r="JV10" s="366"/>
      <c r="JW10" s="366"/>
      <c r="JX10" s="366"/>
      <c r="JY10" s="366"/>
      <c r="JZ10" s="366"/>
      <c r="KA10" s="366"/>
      <c r="KB10" s="366"/>
      <c r="KC10" s="366"/>
      <c r="KD10" s="366"/>
      <c r="KE10" s="366"/>
      <c r="KF10" s="366"/>
      <c r="KG10" s="366"/>
      <c r="KH10" s="366"/>
      <c r="KI10" s="366"/>
      <c r="KJ10" s="366"/>
      <c r="KK10" s="366"/>
      <c r="KL10" s="366"/>
      <c r="KM10" s="366"/>
      <c r="KN10" s="366"/>
      <c r="KO10" s="366"/>
      <c r="KP10" s="366"/>
      <c r="KQ10" s="366"/>
      <c r="KR10" s="366"/>
      <c r="KS10" s="366"/>
      <c r="KT10" s="366"/>
      <c r="KU10" s="366"/>
      <c r="KV10" s="366"/>
      <c r="KW10" s="366"/>
      <c r="KX10" s="366"/>
      <c r="KY10" s="366"/>
      <c r="KZ10" s="366"/>
      <c r="LA10" s="366"/>
      <c r="LB10" s="366"/>
      <c r="LC10" s="366"/>
      <c r="LD10" s="366"/>
      <c r="LE10" s="366"/>
      <c r="LF10" s="366"/>
      <c r="LG10" s="366"/>
      <c r="LH10" s="366"/>
      <c r="LI10" s="366"/>
      <c r="LJ10" s="366"/>
      <c r="LK10" s="366"/>
      <c r="LL10" s="366"/>
      <c r="LM10" s="366"/>
      <c r="LN10" s="366"/>
      <c r="LO10" s="366"/>
      <c r="LP10" s="366"/>
      <c r="LQ10" s="366"/>
      <c r="LR10" s="366"/>
      <c r="LS10" s="366"/>
      <c r="LT10" s="366"/>
      <c r="LU10" s="366"/>
      <c r="LV10" s="366"/>
      <c r="LW10" s="366"/>
      <c r="LX10" s="366"/>
      <c r="LY10" s="366"/>
      <c r="LZ10" s="366"/>
      <c r="MA10" s="366"/>
      <c r="MB10" s="366"/>
      <c r="MC10" s="366"/>
      <c r="MD10" s="366"/>
      <c r="ME10" s="366"/>
      <c r="MF10" s="366"/>
      <c r="MG10" s="366"/>
      <c r="MH10" s="366"/>
      <c r="MI10" s="366"/>
      <c r="MJ10" s="366"/>
      <c r="MK10" s="366"/>
      <c r="ML10" s="366"/>
      <c r="MM10" s="366"/>
      <c r="MN10" s="366"/>
      <c r="MO10" s="366"/>
      <c r="MP10" s="366"/>
      <c r="MQ10" s="366"/>
      <c r="MR10" s="366"/>
      <c r="MS10" s="366"/>
      <c r="MT10" s="366"/>
      <c r="MU10" s="366"/>
      <c r="MV10" s="366"/>
      <c r="MW10" s="366"/>
      <c r="MX10" s="366"/>
      <c r="MY10" s="366"/>
      <c r="MZ10" s="366"/>
      <c r="NA10" s="366"/>
      <c r="NB10" s="366"/>
      <c r="NC10" s="366"/>
      <c r="ND10" s="176">
        <f t="shared" si="0"/>
        <v>0</v>
      </c>
    </row>
    <row r="11" spans="1:368" s="361" customFormat="1" ht="13.5" customHeight="1">
      <c r="A11" s="403"/>
      <c r="B11" s="349" t="s">
        <v>139</v>
      </c>
      <c r="C11" s="366"/>
      <c r="D11" s="366"/>
      <c r="E11" s="366"/>
      <c r="F11" s="366"/>
      <c r="G11" s="366"/>
      <c r="H11" s="366"/>
      <c r="I11" s="366"/>
      <c r="J11" s="366"/>
      <c r="K11" s="366"/>
      <c r="L11" s="366"/>
      <c r="M11" s="366"/>
      <c r="N11" s="366"/>
      <c r="O11" s="366"/>
      <c r="P11" s="366"/>
      <c r="Q11" s="366"/>
      <c r="R11" s="366"/>
      <c r="S11" s="366"/>
      <c r="T11" s="366"/>
      <c r="U11" s="366"/>
      <c r="V11" s="366"/>
      <c r="W11" s="366"/>
      <c r="X11" s="366"/>
      <c r="Y11" s="366"/>
      <c r="Z11" s="366"/>
      <c r="AA11" s="366"/>
      <c r="AB11" s="366"/>
      <c r="AC11" s="366"/>
      <c r="AD11" s="366"/>
      <c r="AE11" s="366"/>
      <c r="AF11" s="366"/>
      <c r="AG11" s="366"/>
      <c r="AH11" s="366"/>
      <c r="AI11" s="366"/>
      <c r="AJ11" s="366"/>
      <c r="AK11" s="366"/>
      <c r="AL11" s="366"/>
      <c r="AM11" s="366"/>
      <c r="AN11" s="366"/>
      <c r="AO11" s="366"/>
      <c r="AP11" s="366"/>
      <c r="AQ11" s="366"/>
      <c r="AR11" s="366"/>
      <c r="AS11" s="366"/>
      <c r="AT11" s="366"/>
      <c r="AU11" s="366"/>
      <c r="AV11" s="366"/>
      <c r="AW11" s="366"/>
      <c r="AX11" s="366"/>
      <c r="AY11" s="366"/>
      <c r="AZ11" s="366"/>
      <c r="BA11" s="366"/>
      <c r="BB11" s="366"/>
      <c r="BC11" s="366"/>
      <c r="BD11" s="366"/>
      <c r="BE11" s="366"/>
      <c r="BF11" s="366"/>
      <c r="BG11" s="366"/>
      <c r="BH11" s="366"/>
      <c r="BI11" s="366"/>
      <c r="BJ11" s="366"/>
      <c r="BK11" s="366"/>
      <c r="BL11" s="366"/>
      <c r="BM11" s="366"/>
      <c r="BN11" s="366"/>
      <c r="BO11" s="366"/>
      <c r="BP11" s="366"/>
      <c r="BQ11" s="366"/>
      <c r="BR11" s="366"/>
      <c r="BS11" s="366"/>
      <c r="BT11" s="366"/>
      <c r="BU11" s="366"/>
      <c r="BV11" s="366"/>
      <c r="BW11" s="366"/>
      <c r="BX11" s="366"/>
      <c r="BY11" s="366"/>
      <c r="BZ11" s="366"/>
      <c r="CA11" s="366"/>
      <c r="CB11" s="366"/>
      <c r="CC11" s="366"/>
      <c r="CD11" s="366"/>
      <c r="CE11" s="366"/>
      <c r="CF11" s="366"/>
      <c r="CG11" s="366"/>
      <c r="CH11" s="366"/>
      <c r="CI11" s="366"/>
      <c r="CJ11" s="366"/>
      <c r="CK11" s="366"/>
      <c r="CL11" s="366"/>
      <c r="CM11" s="366"/>
      <c r="CN11" s="366"/>
      <c r="CO11" s="366"/>
      <c r="CP11" s="366"/>
      <c r="CQ11" s="366"/>
      <c r="CR11" s="366"/>
      <c r="CS11" s="366"/>
      <c r="CT11" s="366"/>
      <c r="CU11" s="366"/>
      <c r="CV11" s="366"/>
      <c r="CW11" s="366"/>
      <c r="CX11" s="366"/>
      <c r="CY11" s="366"/>
      <c r="CZ11" s="366"/>
      <c r="DA11" s="366"/>
      <c r="DB11" s="366"/>
      <c r="DC11" s="366"/>
      <c r="DD11" s="366"/>
      <c r="DE11" s="366"/>
      <c r="DF11" s="366"/>
      <c r="DG11" s="366"/>
      <c r="DH11" s="366"/>
      <c r="DI11" s="366"/>
      <c r="DJ11" s="366"/>
      <c r="DK11" s="366"/>
      <c r="DL11" s="366"/>
      <c r="DM11" s="366"/>
      <c r="DN11" s="366"/>
      <c r="DO11" s="366"/>
      <c r="DP11" s="366"/>
      <c r="DQ11" s="366"/>
      <c r="DR11" s="366"/>
      <c r="DS11" s="366"/>
      <c r="DT11" s="366"/>
      <c r="DU11" s="366"/>
      <c r="DV11" s="366"/>
      <c r="DW11" s="366"/>
      <c r="DX11" s="366"/>
      <c r="DY11" s="366"/>
      <c r="DZ11" s="366"/>
      <c r="EA11" s="366"/>
      <c r="EB11" s="366"/>
      <c r="EC11" s="366"/>
      <c r="ED11" s="366"/>
      <c r="EE11" s="366"/>
      <c r="EF11" s="366"/>
      <c r="EG11" s="366"/>
      <c r="EH11" s="366"/>
      <c r="EI11" s="366"/>
      <c r="EJ11" s="366"/>
      <c r="EK11" s="366"/>
      <c r="EL11" s="366"/>
      <c r="EM11" s="366"/>
      <c r="EN11" s="366"/>
      <c r="EO11" s="366"/>
      <c r="EP11" s="366"/>
      <c r="EQ11" s="366"/>
      <c r="ER11" s="366"/>
      <c r="ES11" s="366"/>
      <c r="ET11" s="366"/>
      <c r="EU11" s="366"/>
      <c r="EV11" s="366"/>
      <c r="EW11" s="366"/>
      <c r="EX11" s="366"/>
      <c r="EY11" s="366"/>
      <c r="EZ11" s="366"/>
      <c r="FA11" s="366"/>
      <c r="FB11" s="366"/>
      <c r="FC11" s="366"/>
      <c r="FD11" s="366"/>
      <c r="FE11" s="366"/>
      <c r="FF11" s="366"/>
      <c r="FG11" s="366"/>
      <c r="FH11" s="366"/>
      <c r="FI11" s="366"/>
      <c r="FJ11" s="366"/>
      <c r="FK11" s="366"/>
      <c r="FL11" s="366"/>
      <c r="FM11" s="366"/>
      <c r="FN11" s="366"/>
      <c r="FO11" s="366"/>
      <c r="FP11" s="366"/>
      <c r="FQ11" s="366"/>
      <c r="FR11" s="366"/>
      <c r="FS11" s="366"/>
      <c r="FT11" s="366"/>
      <c r="FU11" s="366"/>
      <c r="FV11" s="366"/>
      <c r="FW11" s="366"/>
      <c r="FX11" s="366"/>
      <c r="FY11" s="366"/>
      <c r="FZ11" s="366"/>
      <c r="GA11" s="366"/>
      <c r="GB11" s="366"/>
      <c r="GC11" s="366"/>
      <c r="GD11" s="366"/>
      <c r="GE11" s="366"/>
      <c r="GF11" s="366"/>
      <c r="GG11" s="366"/>
      <c r="GH11" s="366"/>
      <c r="GI11" s="366"/>
      <c r="GJ11" s="366"/>
      <c r="GK11" s="366"/>
      <c r="GL11" s="366"/>
      <c r="GM11" s="366"/>
      <c r="GN11" s="366"/>
      <c r="GO11" s="366"/>
      <c r="GP11" s="366"/>
      <c r="GQ11" s="366"/>
      <c r="GR11" s="366"/>
      <c r="GS11" s="366"/>
      <c r="GT11" s="366"/>
      <c r="GU11" s="366"/>
      <c r="GV11" s="366"/>
      <c r="GW11" s="366"/>
      <c r="GX11" s="366"/>
      <c r="GY11" s="366"/>
      <c r="GZ11" s="366"/>
      <c r="HA11" s="366"/>
      <c r="HB11" s="366"/>
      <c r="HC11" s="366"/>
      <c r="HD11" s="366"/>
      <c r="HE11" s="366"/>
      <c r="HF11" s="366"/>
      <c r="HG11" s="366"/>
      <c r="HH11" s="366"/>
      <c r="HI11" s="366"/>
      <c r="HJ11" s="366"/>
      <c r="HK11" s="366"/>
      <c r="HL11" s="366"/>
      <c r="HM11" s="366"/>
      <c r="HN11" s="366"/>
      <c r="HO11" s="366"/>
      <c r="HP11" s="366"/>
      <c r="HQ11" s="366"/>
      <c r="HR11" s="366"/>
      <c r="HS11" s="366"/>
      <c r="HT11" s="366"/>
      <c r="HU11" s="366"/>
      <c r="HV11" s="366"/>
      <c r="HW11" s="366"/>
      <c r="HX11" s="366"/>
      <c r="HY11" s="366"/>
      <c r="HZ11" s="366"/>
      <c r="IA11" s="366"/>
      <c r="IB11" s="366"/>
      <c r="IC11" s="366"/>
      <c r="ID11" s="366"/>
      <c r="IE11" s="366"/>
      <c r="IF11" s="366"/>
      <c r="IG11" s="366"/>
      <c r="IH11" s="366"/>
      <c r="II11" s="366"/>
      <c r="IJ11" s="366"/>
      <c r="IK11" s="366"/>
      <c r="IL11" s="366"/>
      <c r="IM11" s="366"/>
      <c r="IN11" s="366"/>
      <c r="IO11" s="366"/>
      <c r="IP11" s="366"/>
      <c r="IQ11" s="366"/>
      <c r="IR11" s="366"/>
      <c r="IS11" s="366"/>
      <c r="IT11" s="366"/>
      <c r="IU11" s="366"/>
      <c r="IV11" s="366"/>
      <c r="IW11" s="366"/>
      <c r="IX11" s="366"/>
      <c r="IY11" s="366"/>
      <c r="IZ11" s="366"/>
      <c r="JA11" s="366"/>
      <c r="JB11" s="366"/>
      <c r="JC11" s="366"/>
      <c r="JD11" s="366"/>
      <c r="JE11" s="366"/>
      <c r="JF11" s="366"/>
      <c r="JG11" s="366"/>
      <c r="JH11" s="366"/>
      <c r="JI11" s="366"/>
      <c r="JJ11" s="366"/>
      <c r="JK11" s="366"/>
      <c r="JL11" s="366"/>
      <c r="JM11" s="366"/>
      <c r="JN11" s="366"/>
      <c r="JO11" s="366"/>
      <c r="JP11" s="366"/>
      <c r="JQ11" s="366"/>
      <c r="JR11" s="366"/>
      <c r="JS11" s="366"/>
      <c r="JT11" s="366"/>
      <c r="JU11" s="366"/>
      <c r="JV11" s="366"/>
      <c r="JW11" s="366"/>
      <c r="JX11" s="366"/>
      <c r="JY11" s="366"/>
      <c r="JZ11" s="366"/>
      <c r="KA11" s="366"/>
      <c r="KB11" s="366"/>
      <c r="KC11" s="366"/>
      <c r="KD11" s="366"/>
      <c r="KE11" s="366"/>
      <c r="KF11" s="366"/>
      <c r="KG11" s="366"/>
      <c r="KH11" s="366"/>
      <c r="KI11" s="366"/>
      <c r="KJ11" s="366"/>
      <c r="KK11" s="366"/>
      <c r="KL11" s="366"/>
      <c r="KM11" s="366"/>
      <c r="KN11" s="366"/>
      <c r="KO11" s="366"/>
      <c r="KP11" s="366"/>
      <c r="KQ11" s="366"/>
      <c r="KR11" s="366"/>
      <c r="KS11" s="366"/>
      <c r="KT11" s="366"/>
      <c r="KU11" s="366"/>
      <c r="KV11" s="366"/>
      <c r="KW11" s="366"/>
      <c r="KX11" s="366"/>
      <c r="KY11" s="366"/>
      <c r="KZ11" s="366"/>
      <c r="LA11" s="366"/>
      <c r="LB11" s="366"/>
      <c r="LC11" s="366"/>
      <c r="LD11" s="366"/>
      <c r="LE11" s="366"/>
      <c r="LF11" s="366"/>
      <c r="LG11" s="366"/>
      <c r="LH11" s="366"/>
      <c r="LI11" s="366"/>
      <c r="LJ11" s="366"/>
      <c r="LK11" s="366"/>
      <c r="LL11" s="366"/>
      <c r="LM11" s="366"/>
      <c r="LN11" s="366"/>
      <c r="LO11" s="366"/>
      <c r="LP11" s="366"/>
      <c r="LQ11" s="366"/>
      <c r="LR11" s="366"/>
      <c r="LS11" s="366"/>
      <c r="LT11" s="366"/>
      <c r="LU11" s="366"/>
      <c r="LV11" s="366"/>
      <c r="LW11" s="366"/>
      <c r="LX11" s="366"/>
      <c r="LY11" s="366"/>
      <c r="LZ11" s="366"/>
      <c r="MA11" s="366"/>
      <c r="MB11" s="366"/>
      <c r="MC11" s="366"/>
      <c r="MD11" s="366"/>
      <c r="ME11" s="366"/>
      <c r="MF11" s="366"/>
      <c r="MG11" s="366"/>
      <c r="MH11" s="366"/>
      <c r="MI11" s="366"/>
      <c r="MJ11" s="366"/>
      <c r="MK11" s="366"/>
      <c r="ML11" s="366"/>
      <c r="MM11" s="366"/>
      <c r="MN11" s="366"/>
      <c r="MO11" s="366"/>
      <c r="MP11" s="366"/>
      <c r="MQ11" s="366"/>
      <c r="MR11" s="366"/>
      <c r="MS11" s="366"/>
      <c r="MT11" s="366"/>
      <c r="MU11" s="366"/>
      <c r="MV11" s="366"/>
      <c r="MW11" s="366"/>
      <c r="MX11" s="366"/>
      <c r="MY11" s="366"/>
      <c r="MZ11" s="366"/>
      <c r="NA11" s="366"/>
      <c r="NB11" s="366"/>
      <c r="NC11" s="366"/>
      <c r="ND11" s="176">
        <f t="shared" si="0"/>
        <v>0</v>
      </c>
    </row>
    <row r="12" spans="1:368" s="361" customFormat="1" ht="13.5" customHeight="1">
      <c r="A12" s="403"/>
      <c r="B12" s="349" t="s">
        <v>140</v>
      </c>
      <c r="C12" s="366"/>
      <c r="D12" s="366"/>
      <c r="E12" s="366"/>
      <c r="F12" s="366"/>
      <c r="G12" s="366"/>
      <c r="H12" s="366"/>
      <c r="I12" s="366"/>
      <c r="J12" s="366"/>
      <c r="K12" s="366"/>
      <c r="L12" s="366"/>
      <c r="M12" s="366"/>
      <c r="N12" s="366"/>
      <c r="O12" s="366"/>
      <c r="P12" s="366"/>
      <c r="Q12" s="366"/>
      <c r="R12" s="366"/>
      <c r="S12" s="366"/>
      <c r="T12" s="366"/>
      <c r="U12" s="366"/>
      <c r="V12" s="366"/>
      <c r="W12" s="366"/>
      <c r="X12" s="366"/>
      <c r="Y12" s="366"/>
      <c r="Z12" s="366"/>
      <c r="AA12" s="366"/>
      <c r="AB12" s="366"/>
      <c r="AC12" s="366"/>
      <c r="AD12" s="366"/>
      <c r="AE12" s="366"/>
      <c r="AF12" s="366"/>
      <c r="AG12" s="366"/>
      <c r="AH12" s="366"/>
      <c r="AI12" s="366"/>
      <c r="AJ12" s="366"/>
      <c r="AK12" s="366"/>
      <c r="AL12" s="366"/>
      <c r="AM12" s="366"/>
      <c r="AN12" s="366"/>
      <c r="AO12" s="366"/>
      <c r="AP12" s="366"/>
      <c r="AQ12" s="366"/>
      <c r="AR12" s="366"/>
      <c r="AS12" s="366"/>
      <c r="AT12" s="366"/>
      <c r="AU12" s="366"/>
      <c r="AV12" s="366"/>
      <c r="AW12" s="366"/>
      <c r="AX12" s="366"/>
      <c r="AY12" s="366"/>
      <c r="AZ12" s="366"/>
      <c r="BA12" s="366"/>
      <c r="BB12" s="366"/>
      <c r="BC12" s="366"/>
      <c r="BD12" s="366"/>
      <c r="BE12" s="366"/>
      <c r="BF12" s="366"/>
      <c r="BG12" s="366"/>
      <c r="BH12" s="366"/>
      <c r="BI12" s="366"/>
      <c r="BJ12" s="366"/>
      <c r="BK12" s="366"/>
      <c r="BL12" s="366"/>
      <c r="BM12" s="366"/>
      <c r="BN12" s="366"/>
      <c r="BO12" s="366"/>
      <c r="BP12" s="366"/>
      <c r="BQ12" s="366"/>
      <c r="BR12" s="366"/>
      <c r="BS12" s="366"/>
      <c r="BT12" s="366"/>
      <c r="BU12" s="366"/>
      <c r="BV12" s="366"/>
      <c r="BW12" s="366"/>
      <c r="BX12" s="366"/>
      <c r="BY12" s="366"/>
      <c r="BZ12" s="366"/>
      <c r="CA12" s="366"/>
      <c r="CB12" s="366"/>
      <c r="CC12" s="366"/>
      <c r="CD12" s="366"/>
      <c r="CE12" s="366"/>
      <c r="CF12" s="366"/>
      <c r="CG12" s="366"/>
      <c r="CH12" s="366"/>
      <c r="CI12" s="366"/>
      <c r="CJ12" s="366"/>
      <c r="CK12" s="366"/>
      <c r="CL12" s="366"/>
      <c r="CM12" s="366"/>
      <c r="CN12" s="366"/>
      <c r="CO12" s="366"/>
      <c r="CP12" s="366"/>
      <c r="CQ12" s="366"/>
      <c r="CR12" s="366"/>
      <c r="CS12" s="366"/>
      <c r="CT12" s="366"/>
      <c r="CU12" s="366"/>
      <c r="CV12" s="366"/>
      <c r="CW12" s="366"/>
      <c r="CX12" s="366"/>
      <c r="CY12" s="366"/>
      <c r="CZ12" s="366"/>
      <c r="DA12" s="366"/>
      <c r="DB12" s="366"/>
      <c r="DC12" s="366"/>
      <c r="DD12" s="366"/>
      <c r="DE12" s="366"/>
      <c r="DF12" s="366"/>
      <c r="DG12" s="366"/>
      <c r="DH12" s="366"/>
      <c r="DI12" s="366"/>
      <c r="DJ12" s="366"/>
      <c r="DK12" s="366"/>
      <c r="DL12" s="366"/>
      <c r="DM12" s="366"/>
      <c r="DN12" s="366"/>
      <c r="DO12" s="366"/>
      <c r="DP12" s="366"/>
      <c r="DQ12" s="366"/>
      <c r="DR12" s="366"/>
      <c r="DS12" s="366"/>
      <c r="DT12" s="366"/>
      <c r="DU12" s="366"/>
      <c r="DV12" s="366"/>
      <c r="DW12" s="366"/>
      <c r="DX12" s="366"/>
      <c r="DY12" s="366"/>
      <c r="DZ12" s="366"/>
      <c r="EA12" s="366"/>
      <c r="EB12" s="366"/>
      <c r="EC12" s="366"/>
      <c r="ED12" s="366"/>
      <c r="EE12" s="366"/>
      <c r="EF12" s="366"/>
      <c r="EG12" s="366"/>
      <c r="EH12" s="366"/>
      <c r="EI12" s="366"/>
      <c r="EJ12" s="366"/>
      <c r="EK12" s="366"/>
      <c r="EL12" s="366"/>
      <c r="EM12" s="366"/>
      <c r="EN12" s="366"/>
      <c r="EO12" s="366"/>
      <c r="EP12" s="366"/>
      <c r="EQ12" s="366"/>
      <c r="ER12" s="366"/>
      <c r="ES12" s="366"/>
      <c r="ET12" s="366"/>
      <c r="EU12" s="366"/>
      <c r="EV12" s="366"/>
      <c r="EW12" s="366"/>
      <c r="EX12" s="366"/>
      <c r="EY12" s="366"/>
      <c r="EZ12" s="366"/>
      <c r="FA12" s="366"/>
      <c r="FB12" s="366"/>
      <c r="FC12" s="366"/>
      <c r="FD12" s="366"/>
      <c r="FE12" s="366"/>
      <c r="FF12" s="366"/>
      <c r="FG12" s="366"/>
      <c r="FH12" s="366"/>
      <c r="FI12" s="366"/>
      <c r="FJ12" s="366"/>
      <c r="FK12" s="366"/>
      <c r="FL12" s="366"/>
      <c r="FM12" s="366"/>
      <c r="FN12" s="366"/>
      <c r="FO12" s="366"/>
      <c r="FP12" s="366"/>
      <c r="FQ12" s="366"/>
      <c r="FR12" s="366"/>
      <c r="FS12" s="366"/>
      <c r="FT12" s="366"/>
      <c r="FU12" s="366"/>
      <c r="FV12" s="366"/>
      <c r="FW12" s="366"/>
      <c r="FX12" s="366"/>
      <c r="FY12" s="366"/>
      <c r="FZ12" s="366"/>
      <c r="GA12" s="366"/>
      <c r="GB12" s="366"/>
      <c r="GC12" s="366"/>
      <c r="GD12" s="366"/>
      <c r="GE12" s="366"/>
      <c r="GF12" s="366"/>
      <c r="GG12" s="366"/>
      <c r="GH12" s="366"/>
      <c r="GI12" s="366"/>
      <c r="GJ12" s="366"/>
      <c r="GK12" s="366"/>
      <c r="GL12" s="366"/>
      <c r="GM12" s="366"/>
      <c r="GN12" s="366"/>
      <c r="GO12" s="366"/>
      <c r="GP12" s="366"/>
      <c r="GQ12" s="366"/>
      <c r="GR12" s="366"/>
      <c r="GS12" s="366"/>
      <c r="GT12" s="366"/>
      <c r="GU12" s="366"/>
      <c r="GV12" s="366"/>
      <c r="GW12" s="366"/>
      <c r="GX12" s="366"/>
      <c r="GY12" s="366"/>
      <c r="GZ12" s="366"/>
      <c r="HA12" s="366"/>
      <c r="HB12" s="366"/>
      <c r="HC12" s="366"/>
      <c r="HD12" s="366"/>
      <c r="HE12" s="366"/>
      <c r="HF12" s="366"/>
      <c r="HG12" s="366"/>
      <c r="HH12" s="366"/>
      <c r="HI12" s="366"/>
      <c r="HJ12" s="366"/>
      <c r="HK12" s="366"/>
      <c r="HL12" s="366"/>
      <c r="HM12" s="366"/>
      <c r="HN12" s="366"/>
      <c r="HO12" s="366"/>
      <c r="HP12" s="366"/>
      <c r="HQ12" s="366"/>
      <c r="HR12" s="366"/>
      <c r="HS12" s="366"/>
      <c r="HT12" s="366"/>
      <c r="HU12" s="366"/>
      <c r="HV12" s="366"/>
      <c r="HW12" s="366"/>
      <c r="HX12" s="366"/>
      <c r="HY12" s="366"/>
      <c r="HZ12" s="366"/>
      <c r="IA12" s="366"/>
      <c r="IB12" s="366"/>
      <c r="IC12" s="366"/>
      <c r="ID12" s="366"/>
      <c r="IE12" s="366"/>
      <c r="IF12" s="366"/>
      <c r="IG12" s="366"/>
      <c r="IH12" s="366"/>
      <c r="II12" s="366"/>
      <c r="IJ12" s="366"/>
      <c r="IK12" s="366"/>
      <c r="IL12" s="366"/>
      <c r="IM12" s="366"/>
      <c r="IN12" s="366"/>
      <c r="IO12" s="366"/>
      <c r="IP12" s="366"/>
      <c r="IQ12" s="366"/>
      <c r="IR12" s="366"/>
      <c r="IS12" s="366"/>
      <c r="IT12" s="366"/>
      <c r="IU12" s="366"/>
      <c r="IV12" s="366"/>
      <c r="IW12" s="366"/>
      <c r="IX12" s="366"/>
      <c r="IY12" s="366"/>
      <c r="IZ12" s="366"/>
      <c r="JA12" s="366"/>
      <c r="JB12" s="366"/>
      <c r="JC12" s="366"/>
      <c r="JD12" s="366"/>
      <c r="JE12" s="366"/>
      <c r="JF12" s="366"/>
      <c r="JG12" s="366"/>
      <c r="JH12" s="366"/>
      <c r="JI12" s="366"/>
      <c r="JJ12" s="366"/>
      <c r="JK12" s="366"/>
      <c r="JL12" s="366"/>
      <c r="JM12" s="366"/>
      <c r="JN12" s="366"/>
      <c r="JO12" s="366"/>
      <c r="JP12" s="366"/>
      <c r="JQ12" s="366"/>
      <c r="JR12" s="366"/>
      <c r="JS12" s="366"/>
      <c r="JT12" s="366"/>
      <c r="JU12" s="366"/>
      <c r="JV12" s="366"/>
      <c r="JW12" s="366"/>
      <c r="JX12" s="366"/>
      <c r="JY12" s="366"/>
      <c r="JZ12" s="366"/>
      <c r="KA12" s="366"/>
      <c r="KB12" s="366"/>
      <c r="KC12" s="366"/>
      <c r="KD12" s="366"/>
      <c r="KE12" s="366"/>
      <c r="KF12" s="366"/>
      <c r="KG12" s="366"/>
      <c r="KH12" s="366"/>
      <c r="KI12" s="366"/>
      <c r="KJ12" s="366"/>
      <c r="KK12" s="366"/>
      <c r="KL12" s="366"/>
      <c r="KM12" s="366"/>
      <c r="KN12" s="366"/>
      <c r="KO12" s="366"/>
      <c r="KP12" s="366"/>
      <c r="KQ12" s="366"/>
      <c r="KR12" s="366"/>
      <c r="KS12" s="366"/>
      <c r="KT12" s="366"/>
      <c r="KU12" s="366"/>
      <c r="KV12" s="366"/>
      <c r="KW12" s="366"/>
      <c r="KX12" s="366"/>
      <c r="KY12" s="366"/>
      <c r="KZ12" s="366"/>
      <c r="LA12" s="366"/>
      <c r="LB12" s="366"/>
      <c r="LC12" s="366"/>
      <c r="LD12" s="366"/>
      <c r="LE12" s="366"/>
      <c r="LF12" s="366"/>
      <c r="LG12" s="366"/>
      <c r="LH12" s="366"/>
      <c r="LI12" s="366"/>
      <c r="LJ12" s="366"/>
      <c r="LK12" s="366"/>
      <c r="LL12" s="366"/>
      <c r="LM12" s="366"/>
      <c r="LN12" s="366"/>
      <c r="LO12" s="366"/>
      <c r="LP12" s="366"/>
      <c r="LQ12" s="366"/>
      <c r="LR12" s="366"/>
      <c r="LS12" s="366"/>
      <c r="LT12" s="366"/>
      <c r="LU12" s="366"/>
      <c r="LV12" s="366"/>
      <c r="LW12" s="366"/>
      <c r="LX12" s="366"/>
      <c r="LY12" s="366"/>
      <c r="LZ12" s="366"/>
      <c r="MA12" s="366"/>
      <c r="MB12" s="366"/>
      <c r="MC12" s="366"/>
      <c r="MD12" s="366"/>
      <c r="ME12" s="366"/>
      <c r="MF12" s="366"/>
      <c r="MG12" s="366"/>
      <c r="MH12" s="366"/>
      <c r="MI12" s="366"/>
      <c r="MJ12" s="366"/>
      <c r="MK12" s="366"/>
      <c r="ML12" s="366"/>
      <c r="MM12" s="366"/>
      <c r="MN12" s="366"/>
      <c r="MO12" s="366"/>
      <c r="MP12" s="366"/>
      <c r="MQ12" s="366"/>
      <c r="MR12" s="366"/>
      <c r="MS12" s="366"/>
      <c r="MT12" s="366"/>
      <c r="MU12" s="366"/>
      <c r="MV12" s="366"/>
      <c r="MW12" s="366"/>
      <c r="MX12" s="366"/>
      <c r="MY12" s="366"/>
      <c r="MZ12" s="366"/>
      <c r="NA12" s="366"/>
      <c r="NB12" s="366"/>
      <c r="NC12" s="366"/>
      <c r="ND12" s="176">
        <f t="shared" si="0"/>
        <v>0</v>
      </c>
    </row>
    <row r="13" spans="1:368" s="361" customFormat="1" ht="13.5" customHeight="1">
      <c r="A13" s="403"/>
      <c r="B13" s="349" t="s">
        <v>141</v>
      </c>
      <c r="C13" s="366"/>
      <c r="D13" s="366"/>
      <c r="E13" s="366"/>
      <c r="F13" s="366"/>
      <c r="G13" s="366"/>
      <c r="H13" s="366"/>
      <c r="I13" s="366"/>
      <c r="J13" s="366"/>
      <c r="K13" s="366"/>
      <c r="L13" s="366"/>
      <c r="M13" s="366"/>
      <c r="N13" s="366"/>
      <c r="O13" s="366"/>
      <c r="P13" s="366"/>
      <c r="Q13" s="366"/>
      <c r="R13" s="366"/>
      <c r="S13" s="366"/>
      <c r="T13" s="366"/>
      <c r="U13" s="366"/>
      <c r="V13" s="366"/>
      <c r="W13" s="366"/>
      <c r="X13" s="366"/>
      <c r="Y13" s="366"/>
      <c r="Z13" s="366"/>
      <c r="AA13" s="366"/>
      <c r="AB13" s="366"/>
      <c r="AC13" s="366"/>
      <c r="AD13" s="366"/>
      <c r="AE13" s="366"/>
      <c r="AF13" s="366"/>
      <c r="AG13" s="366"/>
      <c r="AH13" s="366"/>
      <c r="AI13" s="366"/>
      <c r="AJ13" s="366"/>
      <c r="AK13" s="366"/>
      <c r="AL13" s="366"/>
      <c r="AM13" s="366"/>
      <c r="AN13" s="366"/>
      <c r="AO13" s="366"/>
      <c r="AP13" s="366"/>
      <c r="AQ13" s="366"/>
      <c r="AR13" s="366"/>
      <c r="AS13" s="366"/>
      <c r="AT13" s="366"/>
      <c r="AU13" s="366"/>
      <c r="AV13" s="366"/>
      <c r="AW13" s="366"/>
      <c r="AX13" s="366"/>
      <c r="AY13" s="366"/>
      <c r="AZ13" s="366"/>
      <c r="BA13" s="366"/>
      <c r="BB13" s="366"/>
      <c r="BC13" s="366"/>
      <c r="BD13" s="366"/>
      <c r="BE13" s="366"/>
      <c r="BF13" s="366"/>
      <c r="BG13" s="366"/>
      <c r="BH13" s="366"/>
      <c r="BI13" s="366"/>
      <c r="BJ13" s="366"/>
      <c r="BK13" s="366"/>
      <c r="BL13" s="366"/>
      <c r="BM13" s="366"/>
      <c r="BN13" s="366"/>
      <c r="BO13" s="366"/>
      <c r="BP13" s="366"/>
      <c r="BQ13" s="366"/>
      <c r="BR13" s="366"/>
      <c r="BS13" s="366"/>
      <c r="BT13" s="366"/>
      <c r="BU13" s="366"/>
      <c r="BV13" s="366"/>
      <c r="BW13" s="366"/>
      <c r="BX13" s="366"/>
      <c r="BY13" s="366"/>
      <c r="BZ13" s="366"/>
      <c r="CA13" s="366"/>
      <c r="CB13" s="366"/>
      <c r="CC13" s="366"/>
      <c r="CD13" s="366"/>
      <c r="CE13" s="366"/>
      <c r="CF13" s="366"/>
      <c r="CG13" s="366"/>
      <c r="CH13" s="366"/>
      <c r="CI13" s="366"/>
      <c r="CJ13" s="366"/>
      <c r="CK13" s="366"/>
      <c r="CL13" s="366"/>
      <c r="CM13" s="366"/>
      <c r="CN13" s="366"/>
      <c r="CO13" s="366"/>
      <c r="CP13" s="366"/>
      <c r="CQ13" s="366"/>
      <c r="CR13" s="366"/>
      <c r="CS13" s="366"/>
      <c r="CT13" s="366"/>
      <c r="CU13" s="366"/>
      <c r="CV13" s="366"/>
      <c r="CW13" s="366"/>
      <c r="CX13" s="366"/>
      <c r="CY13" s="366"/>
      <c r="CZ13" s="366"/>
      <c r="DA13" s="366"/>
      <c r="DB13" s="366"/>
      <c r="DC13" s="366"/>
      <c r="DD13" s="366"/>
      <c r="DE13" s="366"/>
      <c r="DF13" s="366"/>
      <c r="DG13" s="366"/>
      <c r="DH13" s="366"/>
      <c r="DI13" s="366"/>
      <c r="DJ13" s="366"/>
      <c r="DK13" s="366"/>
      <c r="DL13" s="366"/>
      <c r="DM13" s="366"/>
      <c r="DN13" s="366"/>
      <c r="DO13" s="366"/>
      <c r="DP13" s="366"/>
      <c r="DQ13" s="366"/>
      <c r="DR13" s="366"/>
      <c r="DS13" s="366"/>
      <c r="DT13" s="366"/>
      <c r="DU13" s="366"/>
      <c r="DV13" s="366"/>
      <c r="DW13" s="366"/>
      <c r="DX13" s="366"/>
      <c r="DY13" s="366"/>
      <c r="DZ13" s="366"/>
      <c r="EA13" s="366"/>
      <c r="EB13" s="366"/>
      <c r="EC13" s="366"/>
      <c r="ED13" s="366"/>
      <c r="EE13" s="366"/>
      <c r="EF13" s="366"/>
      <c r="EG13" s="366"/>
      <c r="EH13" s="366"/>
      <c r="EI13" s="366"/>
      <c r="EJ13" s="366"/>
      <c r="EK13" s="366"/>
      <c r="EL13" s="366"/>
      <c r="EM13" s="366"/>
      <c r="EN13" s="366"/>
      <c r="EO13" s="366"/>
      <c r="EP13" s="366"/>
      <c r="EQ13" s="366"/>
      <c r="ER13" s="366"/>
      <c r="ES13" s="366"/>
      <c r="ET13" s="366"/>
      <c r="EU13" s="366"/>
      <c r="EV13" s="366"/>
      <c r="EW13" s="366"/>
      <c r="EX13" s="366"/>
      <c r="EY13" s="366"/>
      <c r="EZ13" s="366"/>
      <c r="FA13" s="366"/>
      <c r="FB13" s="366"/>
      <c r="FC13" s="366"/>
      <c r="FD13" s="366"/>
      <c r="FE13" s="366"/>
      <c r="FF13" s="366"/>
      <c r="FG13" s="366"/>
      <c r="FH13" s="366"/>
      <c r="FI13" s="366"/>
      <c r="FJ13" s="366"/>
      <c r="FK13" s="366"/>
      <c r="FL13" s="366"/>
      <c r="FM13" s="366"/>
      <c r="FN13" s="366"/>
      <c r="FO13" s="366"/>
      <c r="FP13" s="366"/>
      <c r="FQ13" s="366"/>
      <c r="FR13" s="366"/>
      <c r="FS13" s="366"/>
      <c r="FT13" s="366"/>
      <c r="FU13" s="366"/>
      <c r="FV13" s="366"/>
      <c r="FW13" s="366"/>
      <c r="FX13" s="366"/>
      <c r="FY13" s="366"/>
      <c r="FZ13" s="366"/>
      <c r="GA13" s="366"/>
      <c r="GB13" s="366"/>
      <c r="GC13" s="366"/>
      <c r="GD13" s="366"/>
      <c r="GE13" s="366"/>
      <c r="GF13" s="366"/>
      <c r="GG13" s="366"/>
      <c r="GH13" s="366"/>
      <c r="GI13" s="366"/>
      <c r="GJ13" s="366"/>
      <c r="GK13" s="366"/>
      <c r="GL13" s="366"/>
      <c r="GM13" s="366"/>
      <c r="GN13" s="366"/>
      <c r="GO13" s="366"/>
      <c r="GP13" s="366"/>
      <c r="GQ13" s="366"/>
      <c r="GR13" s="366"/>
      <c r="GS13" s="366"/>
      <c r="GT13" s="366"/>
      <c r="GU13" s="366"/>
      <c r="GV13" s="366"/>
      <c r="GW13" s="366"/>
      <c r="GX13" s="366"/>
      <c r="GY13" s="366"/>
      <c r="GZ13" s="366"/>
      <c r="HA13" s="366"/>
      <c r="HB13" s="366"/>
      <c r="HC13" s="366"/>
      <c r="HD13" s="366"/>
      <c r="HE13" s="366"/>
      <c r="HF13" s="366"/>
      <c r="HG13" s="366"/>
      <c r="HH13" s="366"/>
      <c r="HI13" s="366"/>
      <c r="HJ13" s="366"/>
      <c r="HK13" s="366"/>
      <c r="HL13" s="366"/>
      <c r="HM13" s="366"/>
      <c r="HN13" s="366"/>
      <c r="HO13" s="366"/>
      <c r="HP13" s="366"/>
      <c r="HQ13" s="366"/>
      <c r="HR13" s="366"/>
      <c r="HS13" s="366"/>
      <c r="HT13" s="366"/>
      <c r="HU13" s="366"/>
      <c r="HV13" s="366"/>
      <c r="HW13" s="366"/>
      <c r="HX13" s="366"/>
      <c r="HY13" s="366"/>
      <c r="HZ13" s="366"/>
      <c r="IA13" s="366"/>
      <c r="IB13" s="366"/>
      <c r="IC13" s="366"/>
      <c r="ID13" s="366"/>
      <c r="IE13" s="366"/>
      <c r="IF13" s="366"/>
      <c r="IG13" s="366"/>
      <c r="IH13" s="366"/>
      <c r="II13" s="366"/>
      <c r="IJ13" s="366"/>
      <c r="IK13" s="366"/>
      <c r="IL13" s="366"/>
      <c r="IM13" s="366"/>
      <c r="IN13" s="366"/>
      <c r="IO13" s="366"/>
      <c r="IP13" s="366"/>
      <c r="IQ13" s="366"/>
      <c r="IR13" s="366"/>
      <c r="IS13" s="366"/>
      <c r="IT13" s="366"/>
      <c r="IU13" s="366"/>
      <c r="IV13" s="366"/>
      <c r="IW13" s="366"/>
      <c r="IX13" s="366"/>
      <c r="IY13" s="366"/>
      <c r="IZ13" s="366"/>
      <c r="JA13" s="366"/>
      <c r="JB13" s="366"/>
      <c r="JC13" s="366"/>
      <c r="JD13" s="366"/>
      <c r="JE13" s="366"/>
      <c r="JF13" s="366"/>
      <c r="JG13" s="366"/>
      <c r="JH13" s="366"/>
      <c r="JI13" s="366"/>
      <c r="JJ13" s="366"/>
      <c r="JK13" s="366"/>
      <c r="JL13" s="366"/>
      <c r="JM13" s="366"/>
      <c r="JN13" s="366"/>
      <c r="JO13" s="366"/>
      <c r="JP13" s="366"/>
      <c r="JQ13" s="366"/>
      <c r="JR13" s="366"/>
      <c r="JS13" s="366"/>
      <c r="JT13" s="366"/>
      <c r="JU13" s="366"/>
      <c r="JV13" s="366"/>
      <c r="JW13" s="366"/>
      <c r="JX13" s="366"/>
      <c r="JY13" s="366"/>
      <c r="JZ13" s="366"/>
      <c r="KA13" s="366"/>
      <c r="KB13" s="366"/>
      <c r="KC13" s="366"/>
      <c r="KD13" s="366"/>
      <c r="KE13" s="366"/>
      <c r="KF13" s="366"/>
      <c r="KG13" s="366"/>
      <c r="KH13" s="366"/>
      <c r="KI13" s="366"/>
      <c r="KJ13" s="366"/>
      <c r="KK13" s="366"/>
      <c r="KL13" s="366"/>
      <c r="KM13" s="366"/>
      <c r="KN13" s="366"/>
      <c r="KO13" s="366"/>
      <c r="KP13" s="366"/>
      <c r="KQ13" s="366"/>
      <c r="KR13" s="366"/>
      <c r="KS13" s="366"/>
      <c r="KT13" s="366"/>
      <c r="KU13" s="366"/>
      <c r="KV13" s="366"/>
      <c r="KW13" s="366"/>
      <c r="KX13" s="366"/>
      <c r="KY13" s="366"/>
      <c r="KZ13" s="366"/>
      <c r="LA13" s="366"/>
      <c r="LB13" s="366"/>
      <c r="LC13" s="366"/>
      <c r="LD13" s="366"/>
      <c r="LE13" s="366"/>
      <c r="LF13" s="366"/>
      <c r="LG13" s="366"/>
      <c r="LH13" s="366"/>
      <c r="LI13" s="366"/>
      <c r="LJ13" s="366"/>
      <c r="LK13" s="366"/>
      <c r="LL13" s="366"/>
      <c r="LM13" s="366"/>
      <c r="LN13" s="366"/>
      <c r="LO13" s="366"/>
      <c r="LP13" s="366"/>
      <c r="LQ13" s="366"/>
      <c r="LR13" s="366"/>
      <c r="LS13" s="366"/>
      <c r="LT13" s="366"/>
      <c r="LU13" s="366"/>
      <c r="LV13" s="366"/>
      <c r="LW13" s="366"/>
      <c r="LX13" s="366"/>
      <c r="LY13" s="366"/>
      <c r="LZ13" s="366"/>
      <c r="MA13" s="366"/>
      <c r="MB13" s="366"/>
      <c r="MC13" s="366"/>
      <c r="MD13" s="366"/>
      <c r="ME13" s="366"/>
      <c r="MF13" s="366"/>
      <c r="MG13" s="366"/>
      <c r="MH13" s="366"/>
      <c r="MI13" s="366"/>
      <c r="MJ13" s="366"/>
      <c r="MK13" s="366"/>
      <c r="ML13" s="366"/>
      <c r="MM13" s="366"/>
      <c r="MN13" s="366"/>
      <c r="MO13" s="366"/>
      <c r="MP13" s="366"/>
      <c r="MQ13" s="366"/>
      <c r="MR13" s="366"/>
      <c r="MS13" s="366"/>
      <c r="MT13" s="366"/>
      <c r="MU13" s="366"/>
      <c r="MV13" s="366"/>
      <c r="MW13" s="366"/>
      <c r="MX13" s="366"/>
      <c r="MY13" s="366"/>
      <c r="MZ13" s="366"/>
      <c r="NA13" s="366"/>
      <c r="NB13" s="366"/>
      <c r="NC13" s="366"/>
      <c r="ND13" s="176">
        <f t="shared" si="0"/>
        <v>0</v>
      </c>
    </row>
    <row r="14" spans="1:368" s="361" customFormat="1" ht="13.5" customHeight="1">
      <c r="A14" s="403"/>
      <c r="B14" s="349" t="s">
        <v>157</v>
      </c>
      <c r="C14" s="366"/>
      <c r="D14" s="366"/>
      <c r="E14" s="366"/>
      <c r="F14" s="366"/>
      <c r="G14" s="366"/>
      <c r="H14" s="366"/>
      <c r="I14" s="366"/>
      <c r="J14" s="366"/>
      <c r="K14" s="366"/>
      <c r="L14" s="366"/>
      <c r="M14" s="366"/>
      <c r="N14" s="366"/>
      <c r="O14" s="366"/>
      <c r="P14" s="366"/>
      <c r="Q14" s="366"/>
      <c r="R14" s="366"/>
      <c r="S14" s="366"/>
      <c r="T14" s="366"/>
      <c r="U14" s="366"/>
      <c r="V14" s="366"/>
      <c r="W14" s="366"/>
      <c r="X14" s="366"/>
      <c r="Y14" s="366"/>
      <c r="Z14" s="366"/>
      <c r="AA14" s="366"/>
      <c r="AB14" s="366"/>
      <c r="AC14" s="366"/>
      <c r="AD14" s="366"/>
      <c r="AE14" s="366"/>
      <c r="AF14" s="366"/>
      <c r="AG14" s="366"/>
      <c r="AH14" s="366"/>
      <c r="AI14" s="366"/>
      <c r="AJ14" s="366"/>
      <c r="AK14" s="366"/>
      <c r="AL14" s="366"/>
      <c r="AM14" s="366"/>
      <c r="AN14" s="366"/>
      <c r="AO14" s="366"/>
      <c r="AP14" s="366"/>
      <c r="AQ14" s="366"/>
      <c r="AR14" s="366"/>
      <c r="AS14" s="366"/>
      <c r="AT14" s="366"/>
      <c r="AU14" s="366"/>
      <c r="AV14" s="366"/>
      <c r="AW14" s="366"/>
      <c r="AX14" s="366"/>
      <c r="AY14" s="366"/>
      <c r="AZ14" s="366"/>
      <c r="BA14" s="366"/>
      <c r="BB14" s="366"/>
      <c r="BC14" s="366"/>
      <c r="BD14" s="366"/>
      <c r="BE14" s="366"/>
      <c r="BF14" s="366"/>
      <c r="BG14" s="366"/>
      <c r="BH14" s="366"/>
      <c r="BI14" s="366"/>
      <c r="BJ14" s="366"/>
      <c r="BK14" s="366"/>
      <c r="BL14" s="366"/>
      <c r="BM14" s="366"/>
      <c r="BN14" s="366"/>
      <c r="BO14" s="366"/>
      <c r="BP14" s="366"/>
      <c r="BQ14" s="366"/>
      <c r="BR14" s="366"/>
      <c r="BS14" s="366"/>
      <c r="BT14" s="366"/>
      <c r="BU14" s="366"/>
      <c r="BV14" s="366"/>
      <c r="BW14" s="366"/>
      <c r="BX14" s="366"/>
      <c r="BY14" s="366"/>
      <c r="BZ14" s="366"/>
      <c r="CA14" s="366"/>
      <c r="CB14" s="366"/>
      <c r="CC14" s="366"/>
      <c r="CD14" s="366"/>
      <c r="CE14" s="366"/>
      <c r="CF14" s="366"/>
      <c r="CG14" s="366"/>
      <c r="CH14" s="366"/>
      <c r="CI14" s="366"/>
      <c r="CJ14" s="366"/>
      <c r="CK14" s="366"/>
      <c r="CL14" s="366"/>
      <c r="CM14" s="366"/>
      <c r="CN14" s="366"/>
      <c r="CO14" s="366"/>
      <c r="CP14" s="366"/>
      <c r="CQ14" s="366"/>
      <c r="CR14" s="366"/>
      <c r="CS14" s="366"/>
      <c r="CT14" s="366"/>
      <c r="CU14" s="366"/>
      <c r="CV14" s="366"/>
      <c r="CW14" s="366"/>
      <c r="CX14" s="366"/>
      <c r="CY14" s="366"/>
      <c r="CZ14" s="366"/>
      <c r="DA14" s="366"/>
      <c r="DB14" s="366"/>
      <c r="DC14" s="366"/>
      <c r="DD14" s="366"/>
      <c r="DE14" s="366"/>
      <c r="DF14" s="366"/>
      <c r="DG14" s="366"/>
      <c r="DH14" s="366"/>
      <c r="DI14" s="366"/>
      <c r="DJ14" s="366"/>
      <c r="DK14" s="366"/>
      <c r="DL14" s="366"/>
      <c r="DM14" s="366"/>
      <c r="DN14" s="366"/>
      <c r="DO14" s="366"/>
      <c r="DP14" s="366"/>
      <c r="DQ14" s="366"/>
      <c r="DR14" s="366"/>
      <c r="DS14" s="366"/>
      <c r="DT14" s="366"/>
      <c r="DU14" s="366"/>
      <c r="DV14" s="366"/>
      <c r="DW14" s="366"/>
      <c r="DX14" s="366"/>
      <c r="DY14" s="366"/>
      <c r="DZ14" s="366"/>
      <c r="EA14" s="366"/>
      <c r="EB14" s="366"/>
      <c r="EC14" s="366"/>
      <c r="ED14" s="366"/>
      <c r="EE14" s="366"/>
      <c r="EF14" s="366"/>
      <c r="EG14" s="366"/>
      <c r="EH14" s="366"/>
      <c r="EI14" s="366"/>
      <c r="EJ14" s="366"/>
      <c r="EK14" s="366"/>
      <c r="EL14" s="366"/>
      <c r="EM14" s="366"/>
      <c r="EN14" s="366"/>
      <c r="EO14" s="366"/>
      <c r="EP14" s="366"/>
      <c r="EQ14" s="366"/>
      <c r="ER14" s="366"/>
      <c r="ES14" s="366"/>
      <c r="ET14" s="366"/>
      <c r="EU14" s="366"/>
      <c r="EV14" s="366"/>
      <c r="EW14" s="366"/>
      <c r="EX14" s="366"/>
      <c r="EY14" s="366"/>
      <c r="EZ14" s="366"/>
      <c r="FA14" s="366"/>
      <c r="FB14" s="366"/>
      <c r="FC14" s="366"/>
      <c r="FD14" s="366"/>
      <c r="FE14" s="366"/>
      <c r="FF14" s="366"/>
      <c r="FG14" s="366"/>
      <c r="FH14" s="366"/>
      <c r="FI14" s="366"/>
      <c r="FJ14" s="366"/>
      <c r="FK14" s="366"/>
      <c r="FL14" s="366"/>
      <c r="FM14" s="366"/>
      <c r="FN14" s="366"/>
      <c r="FO14" s="366"/>
      <c r="FP14" s="366"/>
      <c r="FQ14" s="366"/>
      <c r="FR14" s="366"/>
      <c r="FS14" s="366"/>
      <c r="FT14" s="366"/>
      <c r="FU14" s="366"/>
      <c r="FV14" s="366"/>
      <c r="FW14" s="366"/>
      <c r="FX14" s="366"/>
      <c r="FY14" s="366"/>
      <c r="FZ14" s="366"/>
      <c r="GA14" s="366"/>
      <c r="GB14" s="366"/>
      <c r="GC14" s="366"/>
      <c r="GD14" s="366"/>
      <c r="GE14" s="366"/>
      <c r="GF14" s="366"/>
      <c r="GG14" s="366"/>
      <c r="GH14" s="366"/>
      <c r="GI14" s="366"/>
      <c r="GJ14" s="366"/>
      <c r="GK14" s="366"/>
      <c r="GL14" s="366"/>
      <c r="GM14" s="366"/>
      <c r="GN14" s="366"/>
      <c r="GO14" s="366"/>
      <c r="GP14" s="366"/>
      <c r="GQ14" s="366"/>
      <c r="GR14" s="366"/>
      <c r="GS14" s="366"/>
      <c r="GT14" s="366"/>
      <c r="GU14" s="366"/>
      <c r="GV14" s="366"/>
      <c r="GW14" s="366"/>
      <c r="GX14" s="366"/>
      <c r="GY14" s="366"/>
      <c r="GZ14" s="366"/>
      <c r="HA14" s="366"/>
      <c r="HB14" s="366"/>
      <c r="HC14" s="366"/>
      <c r="HD14" s="366"/>
      <c r="HE14" s="366"/>
      <c r="HF14" s="366"/>
      <c r="HG14" s="366"/>
      <c r="HH14" s="366"/>
      <c r="HI14" s="366"/>
      <c r="HJ14" s="366"/>
      <c r="HK14" s="366"/>
      <c r="HL14" s="366"/>
      <c r="HM14" s="366"/>
      <c r="HN14" s="366"/>
      <c r="HO14" s="366"/>
      <c r="HP14" s="366"/>
      <c r="HQ14" s="366"/>
      <c r="HR14" s="366"/>
      <c r="HS14" s="366"/>
      <c r="HT14" s="366"/>
      <c r="HU14" s="366"/>
      <c r="HV14" s="366"/>
      <c r="HW14" s="366"/>
      <c r="HX14" s="366"/>
      <c r="HY14" s="366"/>
      <c r="HZ14" s="366"/>
      <c r="IA14" s="366"/>
      <c r="IB14" s="366"/>
      <c r="IC14" s="366"/>
      <c r="ID14" s="366"/>
      <c r="IE14" s="366"/>
      <c r="IF14" s="366"/>
      <c r="IG14" s="366"/>
      <c r="IH14" s="366"/>
      <c r="II14" s="366"/>
      <c r="IJ14" s="366"/>
      <c r="IK14" s="366"/>
      <c r="IL14" s="366"/>
      <c r="IM14" s="366"/>
      <c r="IN14" s="366"/>
      <c r="IO14" s="366"/>
      <c r="IP14" s="366"/>
      <c r="IQ14" s="366"/>
      <c r="IR14" s="366"/>
      <c r="IS14" s="366"/>
      <c r="IT14" s="366"/>
      <c r="IU14" s="366"/>
      <c r="IV14" s="366"/>
      <c r="IW14" s="366"/>
      <c r="IX14" s="366"/>
      <c r="IY14" s="366"/>
      <c r="IZ14" s="366"/>
      <c r="JA14" s="366"/>
      <c r="JB14" s="366"/>
      <c r="JC14" s="366"/>
      <c r="JD14" s="366"/>
      <c r="JE14" s="366"/>
      <c r="JF14" s="366"/>
      <c r="JG14" s="366"/>
      <c r="JH14" s="366"/>
      <c r="JI14" s="366"/>
      <c r="JJ14" s="366"/>
      <c r="JK14" s="366"/>
      <c r="JL14" s="366"/>
      <c r="JM14" s="366"/>
      <c r="JN14" s="366"/>
      <c r="JO14" s="366"/>
      <c r="JP14" s="366"/>
      <c r="JQ14" s="366"/>
      <c r="JR14" s="366"/>
      <c r="JS14" s="366"/>
      <c r="JT14" s="366"/>
      <c r="JU14" s="366"/>
      <c r="JV14" s="366"/>
      <c r="JW14" s="366"/>
      <c r="JX14" s="366"/>
      <c r="JY14" s="366"/>
      <c r="JZ14" s="366"/>
      <c r="KA14" s="366"/>
      <c r="KB14" s="366"/>
      <c r="KC14" s="366"/>
      <c r="KD14" s="366"/>
      <c r="KE14" s="366"/>
      <c r="KF14" s="366"/>
      <c r="KG14" s="366"/>
      <c r="KH14" s="366"/>
      <c r="KI14" s="366"/>
      <c r="KJ14" s="366"/>
      <c r="KK14" s="366"/>
      <c r="KL14" s="366"/>
      <c r="KM14" s="366"/>
      <c r="KN14" s="366"/>
      <c r="KO14" s="366"/>
      <c r="KP14" s="366"/>
      <c r="KQ14" s="366"/>
      <c r="KR14" s="366"/>
      <c r="KS14" s="366"/>
      <c r="KT14" s="366"/>
      <c r="KU14" s="366"/>
      <c r="KV14" s="366"/>
      <c r="KW14" s="366"/>
      <c r="KX14" s="366"/>
      <c r="KY14" s="366"/>
      <c r="KZ14" s="366"/>
      <c r="LA14" s="366"/>
      <c r="LB14" s="366"/>
      <c r="LC14" s="366"/>
      <c r="LD14" s="366"/>
      <c r="LE14" s="366"/>
      <c r="LF14" s="366"/>
      <c r="LG14" s="366"/>
      <c r="LH14" s="366"/>
      <c r="LI14" s="366"/>
      <c r="LJ14" s="366"/>
      <c r="LK14" s="366"/>
      <c r="LL14" s="366"/>
      <c r="LM14" s="366"/>
      <c r="LN14" s="366"/>
      <c r="LO14" s="366"/>
      <c r="LP14" s="366"/>
      <c r="LQ14" s="366"/>
      <c r="LR14" s="366"/>
      <c r="LS14" s="366"/>
      <c r="LT14" s="366"/>
      <c r="LU14" s="366"/>
      <c r="LV14" s="366"/>
      <c r="LW14" s="366"/>
      <c r="LX14" s="366"/>
      <c r="LY14" s="366"/>
      <c r="LZ14" s="366"/>
      <c r="MA14" s="366"/>
      <c r="MB14" s="366"/>
      <c r="MC14" s="366"/>
      <c r="MD14" s="366"/>
      <c r="ME14" s="366"/>
      <c r="MF14" s="366"/>
      <c r="MG14" s="366"/>
      <c r="MH14" s="366"/>
      <c r="MI14" s="366"/>
      <c r="MJ14" s="366"/>
      <c r="MK14" s="366"/>
      <c r="ML14" s="366"/>
      <c r="MM14" s="366"/>
      <c r="MN14" s="366"/>
      <c r="MO14" s="366"/>
      <c r="MP14" s="366"/>
      <c r="MQ14" s="366"/>
      <c r="MR14" s="366"/>
      <c r="MS14" s="366"/>
      <c r="MT14" s="366"/>
      <c r="MU14" s="366"/>
      <c r="MV14" s="366"/>
      <c r="MW14" s="366"/>
      <c r="MX14" s="366"/>
      <c r="MY14" s="366"/>
      <c r="MZ14" s="366"/>
      <c r="NA14" s="366"/>
      <c r="NB14" s="366"/>
      <c r="NC14" s="366"/>
      <c r="ND14" s="176">
        <f t="shared" si="0"/>
        <v>0</v>
      </c>
    </row>
    <row r="15" spans="1:368" s="361" customFormat="1" ht="13.5" customHeight="1">
      <c r="A15" s="403"/>
      <c r="B15" s="349" t="s">
        <v>142</v>
      </c>
      <c r="C15" s="366"/>
      <c r="D15" s="366"/>
      <c r="E15" s="366"/>
      <c r="F15" s="366"/>
      <c r="G15" s="366"/>
      <c r="H15" s="366"/>
      <c r="I15" s="366"/>
      <c r="J15" s="366"/>
      <c r="K15" s="366"/>
      <c r="L15" s="366"/>
      <c r="M15" s="366"/>
      <c r="N15" s="366"/>
      <c r="O15" s="366"/>
      <c r="P15" s="366"/>
      <c r="Q15" s="366"/>
      <c r="R15" s="366"/>
      <c r="S15" s="366"/>
      <c r="T15" s="366"/>
      <c r="U15" s="366"/>
      <c r="V15" s="366"/>
      <c r="W15" s="366"/>
      <c r="X15" s="366"/>
      <c r="Y15" s="366"/>
      <c r="Z15" s="366"/>
      <c r="AA15" s="366"/>
      <c r="AB15" s="366"/>
      <c r="AC15" s="366"/>
      <c r="AD15" s="366"/>
      <c r="AE15" s="366"/>
      <c r="AF15" s="366"/>
      <c r="AG15" s="366"/>
      <c r="AH15" s="366"/>
      <c r="AI15" s="366"/>
      <c r="AJ15" s="366"/>
      <c r="AK15" s="366"/>
      <c r="AL15" s="366"/>
      <c r="AM15" s="366"/>
      <c r="AN15" s="366"/>
      <c r="AO15" s="366"/>
      <c r="AP15" s="366"/>
      <c r="AQ15" s="366"/>
      <c r="AR15" s="366"/>
      <c r="AS15" s="366"/>
      <c r="AT15" s="366"/>
      <c r="AU15" s="366"/>
      <c r="AV15" s="366"/>
      <c r="AW15" s="366"/>
      <c r="AX15" s="366"/>
      <c r="AY15" s="366"/>
      <c r="AZ15" s="366"/>
      <c r="BA15" s="366"/>
      <c r="BB15" s="366"/>
      <c r="BC15" s="366"/>
      <c r="BD15" s="366"/>
      <c r="BE15" s="366"/>
      <c r="BF15" s="366"/>
      <c r="BG15" s="366"/>
      <c r="BH15" s="366"/>
      <c r="BI15" s="366"/>
      <c r="BJ15" s="366"/>
      <c r="BK15" s="366"/>
      <c r="BL15" s="366"/>
      <c r="BM15" s="366"/>
      <c r="BN15" s="366"/>
      <c r="BO15" s="366"/>
      <c r="BP15" s="366"/>
      <c r="BQ15" s="366"/>
      <c r="BR15" s="366"/>
      <c r="BS15" s="366"/>
      <c r="BT15" s="366"/>
      <c r="BU15" s="366"/>
      <c r="BV15" s="366"/>
      <c r="BW15" s="366"/>
      <c r="BX15" s="366"/>
      <c r="BY15" s="366"/>
      <c r="BZ15" s="366"/>
      <c r="CA15" s="366"/>
      <c r="CB15" s="366"/>
      <c r="CC15" s="366"/>
      <c r="CD15" s="366"/>
      <c r="CE15" s="366"/>
      <c r="CF15" s="366"/>
      <c r="CG15" s="366"/>
      <c r="CH15" s="366"/>
      <c r="CI15" s="366"/>
      <c r="CJ15" s="366"/>
      <c r="CK15" s="366"/>
      <c r="CL15" s="366"/>
      <c r="CM15" s="366"/>
      <c r="CN15" s="366"/>
      <c r="CO15" s="366"/>
      <c r="CP15" s="366"/>
      <c r="CQ15" s="366"/>
      <c r="CR15" s="366"/>
      <c r="CS15" s="366"/>
      <c r="CT15" s="366"/>
      <c r="CU15" s="366"/>
      <c r="CV15" s="366"/>
      <c r="CW15" s="366"/>
      <c r="CX15" s="366"/>
      <c r="CY15" s="366"/>
      <c r="CZ15" s="366"/>
      <c r="DA15" s="366"/>
      <c r="DB15" s="366"/>
      <c r="DC15" s="366"/>
      <c r="DD15" s="366"/>
      <c r="DE15" s="366"/>
      <c r="DF15" s="366"/>
      <c r="DG15" s="366"/>
      <c r="DH15" s="366"/>
      <c r="DI15" s="366"/>
      <c r="DJ15" s="366"/>
      <c r="DK15" s="366"/>
      <c r="DL15" s="366"/>
      <c r="DM15" s="366"/>
      <c r="DN15" s="366"/>
      <c r="DO15" s="366"/>
      <c r="DP15" s="366"/>
      <c r="DQ15" s="366"/>
      <c r="DR15" s="366"/>
      <c r="DS15" s="366"/>
      <c r="DT15" s="366"/>
      <c r="DU15" s="366"/>
      <c r="DV15" s="366"/>
      <c r="DW15" s="366"/>
      <c r="DX15" s="366"/>
      <c r="DY15" s="366"/>
      <c r="DZ15" s="366"/>
      <c r="EA15" s="366"/>
      <c r="EB15" s="366"/>
      <c r="EC15" s="366"/>
      <c r="ED15" s="366"/>
      <c r="EE15" s="366"/>
      <c r="EF15" s="366"/>
      <c r="EG15" s="366"/>
      <c r="EH15" s="366"/>
      <c r="EI15" s="366"/>
      <c r="EJ15" s="366"/>
      <c r="EK15" s="366"/>
      <c r="EL15" s="366"/>
      <c r="EM15" s="366"/>
      <c r="EN15" s="366"/>
      <c r="EO15" s="366"/>
      <c r="EP15" s="366"/>
      <c r="EQ15" s="366"/>
      <c r="ER15" s="366"/>
      <c r="ES15" s="366"/>
      <c r="ET15" s="366"/>
      <c r="EU15" s="366"/>
      <c r="EV15" s="366"/>
      <c r="EW15" s="366"/>
      <c r="EX15" s="366"/>
      <c r="EY15" s="366"/>
      <c r="EZ15" s="366"/>
      <c r="FA15" s="366"/>
      <c r="FB15" s="366"/>
      <c r="FC15" s="366"/>
      <c r="FD15" s="366"/>
      <c r="FE15" s="366"/>
      <c r="FF15" s="366"/>
      <c r="FG15" s="366"/>
      <c r="FH15" s="366"/>
      <c r="FI15" s="366"/>
      <c r="FJ15" s="366"/>
      <c r="FK15" s="366"/>
      <c r="FL15" s="366"/>
      <c r="FM15" s="366"/>
      <c r="FN15" s="366"/>
      <c r="FO15" s="366"/>
      <c r="FP15" s="366"/>
      <c r="FQ15" s="366"/>
      <c r="FR15" s="366"/>
      <c r="FS15" s="366"/>
      <c r="FT15" s="366"/>
      <c r="FU15" s="366"/>
      <c r="FV15" s="366"/>
      <c r="FW15" s="366"/>
      <c r="FX15" s="366"/>
      <c r="FY15" s="366"/>
      <c r="FZ15" s="366"/>
      <c r="GA15" s="366"/>
      <c r="GB15" s="366"/>
      <c r="GC15" s="366"/>
      <c r="GD15" s="366"/>
      <c r="GE15" s="366"/>
      <c r="GF15" s="366"/>
      <c r="GG15" s="366"/>
      <c r="GH15" s="366"/>
      <c r="GI15" s="366"/>
      <c r="GJ15" s="366"/>
      <c r="GK15" s="366"/>
      <c r="GL15" s="366"/>
      <c r="GM15" s="366"/>
      <c r="GN15" s="366"/>
      <c r="GO15" s="366"/>
      <c r="GP15" s="366"/>
      <c r="GQ15" s="366"/>
      <c r="GR15" s="366"/>
      <c r="GS15" s="366"/>
      <c r="GT15" s="366"/>
      <c r="GU15" s="366"/>
      <c r="GV15" s="366"/>
      <c r="GW15" s="366"/>
      <c r="GX15" s="366"/>
      <c r="GY15" s="366"/>
      <c r="GZ15" s="366"/>
      <c r="HA15" s="366"/>
      <c r="HB15" s="366"/>
      <c r="HC15" s="366"/>
      <c r="HD15" s="366"/>
      <c r="HE15" s="366"/>
      <c r="HF15" s="366"/>
      <c r="HG15" s="366"/>
      <c r="HH15" s="366"/>
      <c r="HI15" s="366"/>
      <c r="HJ15" s="366"/>
      <c r="HK15" s="366"/>
      <c r="HL15" s="366"/>
      <c r="HM15" s="366"/>
      <c r="HN15" s="366"/>
      <c r="HO15" s="366"/>
      <c r="HP15" s="366"/>
      <c r="HQ15" s="366"/>
      <c r="HR15" s="366"/>
      <c r="HS15" s="366"/>
      <c r="HT15" s="366"/>
      <c r="HU15" s="366"/>
      <c r="HV15" s="366"/>
      <c r="HW15" s="366"/>
      <c r="HX15" s="366"/>
      <c r="HY15" s="366"/>
      <c r="HZ15" s="366"/>
      <c r="IA15" s="366"/>
      <c r="IB15" s="366"/>
      <c r="IC15" s="366"/>
      <c r="ID15" s="366"/>
      <c r="IE15" s="366"/>
      <c r="IF15" s="366"/>
      <c r="IG15" s="366"/>
      <c r="IH15" s="366"/>
      <c r="II15" s="366"/>
      <c r="IJ15" s="366"/>
      <c r="IK15" s="366"/>
      <c r="IL15" s="366"/>
      <c r="IM15" s="366"/>
      <c r="IN15" s="366"/>
      <c r="IO15" s="366"/>
      <c r="IP15" s="366"/>
      <c r="IQ15" s="366"/>
      <c r="IR15" s="366"/>
      <c r="IS15" s="366"/>
      <c r="IT15" s="366"/>
      <c r="IU15" s="366"/>
      <c r="IV15" s="366"/>
      <c r="IW15" s="366"/>
      <c r="IX15" s="366"/>
      <c r="IY15" s="366"/>
      <c r="IZ15" s="366"/>
      <c r="JA15" s="366"/>
      <c r="JB15" s="366"/>
      <c r="JC15" s="366"/>
      <c r="JD15" s="366"/>
      <c r="JE15" s="366"/>
      <c r="JF15" s="366"/>
      <c r="JG15" s="366"/>
      <c r="JH15" s="366"/>
      <c r="JI15" s="366"/>
      <c r="JJ15" s="366"/>
      <c r="JK15" s="366"/>
      <c r="JL15" s="366"/>
      <c r="JM15" s="366"/>
      <c r="JN15" s="366"/>
      <c r="JO15" s="366"/>
      <c r="JP15" s="366"/>
      <c r="JQ15" s="366"/>
      <c r="JR15" s="366"/>
      <c r="JS15" s="366"/>
      <c r="JT15" s="366"/>
      <c r="JU15" s="366"/>
      <c r="JV15" s="366"/>
      <c r="JW15" s="366"/>
      <c r="JX15" s="366"/>
      <c r="JY15" s="366"/>
      <c r="JZ15" s="366"/>
      <c r="KA15" s="366"/>
      <c r="KB15" s="366"/>
      <c r="KC15" s="366"/>
      <c r="KD15" s="366"/>
      <c r="KE15" s="366"/>
      <c r="KF15" s="366"/>
      <c r="KG15" s="366"/>
      <c r="KH15" s="366"/>
      <c r="KI15" s="366"/>
      <c r="KJ15" s="366"/>
      <c r="KK15" s="366"/>
      <c r="KL15" s="366"/>
      <c r="KM15" s="366"/>
      <c r="KN15" s="366"/>
      <c r="KO15" s="366"/>
      <c r="KP15" s="366"/>
      <c r="KQ15" s="366"/>
      <c r="KR15" s="366"/>
      <c r="KS15" s="366"/>
      <c r="KT15" s="366"/>
      <c r="KU15" s="366"/>
      <c r="KV15" s="366"/>
      <c r="KW15" s="366"/>
      <c r="KX15" s="366"/>
      <c r="KY15" s="366"/>
      <c r="KZ15" s="366"/>
      <c r="LA15" s="366"/>
      <c r="LB15" s="366"/>
      <c r="LC15" s="366"/>
      <c r="LD15" s="366"/>
      <c r="LE15" s="366"/>
      <c r="LF15" s="366"/>
      <c r="LG15" s="366"/>
      <c r="LH15" s="366"/>
      <c r="LI15" s="366"/>
      <c r="LJ15" s="366"/>
      <c r="LK15" s="366"/>
      <c r="LL15" s="366"/>
      <c r="LM15" s="366"/>
      <c r="LN15" s="366"/>
      <c r="LO15" s="366"/>
      <c r="LP15" s="366"/>
      <c r="LQ15" s="366"/>
      <c r="LR15" s="366"/>
      <c r="LS15" s="366"/>
      <c r="LT15" s="366"/>
      <c r="LU15" s="366"/>
      <c r="LV15" s="366"/>
      <c r="LW15" s="366"/>
      <c r="LX15" s="366"/>
      <c r="LY15" s="366"/>
      <c r="LZ15" s="366"/>
      <c r="MA15" s="366"/>
      <c r="MB15" s="366"/>
      <c r="MC15" s="366"/>
      <c r="MD15" s="366"/>
      <c r="ME15" s="366"/>
      <c r="MF15" s="366"/>
      <c r="MG15" s="366"/>
      <c r="MH15" s="366"/>
      <c r="MI15" s="366"/>
      <c r="MJ15" s="366"/>
      <c r="MK15" s="366"/>
      <c r="ML15" s="366"/>
      <c r="MM15" s="366"/>
      <c r="MN15" s="366"/>
      <c r="MO15" s="366"/>
      <c r="MP15" s="366"/>
      <c r="MQ15" s="366"/>
      <c r="MR15" s="366"/>
      <c r="MS15" s="366"/>
      <c r="MT15" s="366"/>
      <c r="MU15" s="366"/>
      <c r="MV15" s="366"/>
      <c r="MW15" s="366"/>
      <c r="MX15" s="366"/>
      <c r="MY15" s="366"/>
      <c r="MZ15" s="366"/>
      <c r="NA15" s="366"/>
      <c r="NB15" s="366"/>
      <c r="NC15" s="366"/>
      <c r="ND15" s="176">
        <f t="shared" si="0"/>
        <v>0</v>
      </c>
    </row>
    <row r="16" spans="1:368" s="361" customFormat="1" ht="13.5" customHeight="1">
      <c r="A16" s="404"/>
      <c r="B16" s="349" t="s">
        <v>143</v>
      </c>
      <c r="C16" s="367"/>
      <c r="D16" s="367"/>
      <c r="E16" s="367"/>
      <c r="F16" s="367"/>
      <c r="G16" s="367"/>
      <c r="H16" s="367"/>
      <c r="I16" s="367"/>
      <c r="J16" s="367"/>
      <c r="K16" s="367"/>
      <c r="L16" s="367"/>
      <c r="M16" s="367"/>
      <c r="N16" s="367"/>
      <c r="O16" s="367"/>
      <c r="P16" s="367"/>
      <c r="Q16" s="367"/>
      <c r="R16" s="367"/>
      <c r="S16" s="367"/>
      <c r="T16" s="367"/>
      <c r="U16" s="367"/>
      <c r="V16" s="367"/>
      <c r="W16" s="367"/>
      <c r="X16" s="367"/>
      <c r="Y16" s="367"/>
      <c r="Z16" s="367"/>
      <c r="AA16" s="367"/>
      <c r="AB16" s="367"/>
      <c r="AC16" s="367"/>
      <c r="AD16" s="367"/>
      <c r="AE16" s="367"/>
      <c r="AF16" s="367"/>
      <c r="AG16" s="367"/>
      <c r="AH16" s="367"/>
      <c r="AI16" s="367"/>
      <c r="AJ16" s="367"/>
      <c r="AK16" s="367"/>
      <c r="AL16" s="367"/>
      <c r="AM16" s="367"/>
      <c r="AN16" s="367"/>
      <c r="AO16" s="367"/>
      <c r="AP16" s="367"/>
      <c r="AQ16" s="367"/>
      <c r="AR16" s="367"/>
      <c r="AS16" s="367"/>
      <c r="AT16" s="367"/>
      <c r="AU16" s="367"/>
      <c r="AV16" s="367"/>
      <c r="AW16" s="367"/>
      <c r="AX16" s="367"/>
      <c r="AY16" s="367"/>
      <c r="AZ16" s="367"/>
      <c r="BA16" s="367"/>
      <c r="BB16" s="367"/>
      <c r="BC16" s="367"/>
      <c r="BD16" s="367"/>
      <c r="BE16" s="367"/>
      <c r="BF16" s="367"/>
      <c r="BG16" s="367"/>
      <c r="BH16" s="367"/>
      <c r="BI16" s="367"/>
      <c r="BJ16" s="367"/>
      <c r="BK16" s="367"/>
      <c r="BL16" s="367"/>
      <c r="BM16" s="367"/>
      <c r="BN16" s="367"/>
      <c r="BO16" s="367"/>
      <c r="BP16" s="367"/>
      <c r="BQ16" s="367"/>
      <c r="BR16" s="367"/>
      <c r="BS16" s="367"/>
      <c r="BT16" s="367"/>
      <c r="BU16" s="367"/>
      <c r="BV16" s="367"/>
      <c r="BW16" s="367"/>
      <c r="BX16" s="367"/>
      <c r="BY16" s="367"/>
      <c r="BZ16" s="367"/>
      <c r="CA16" s="367"/>
      <c r="CB16" s="367"/>
      <c r="CC16" s="367"/>
      <c r="CD16" s="367"/>
      <c r="CE16" s="367"/>
      <c r="CF16" s="367"/>
      <c r="CG16" s="367"/>
      <c r="CH16" s="367"/>
      <c r="CI16" s="367"/>
      <c r="CJ16" s="367"/>
      <c r="CK16" s="367"/>
      <c r="CL16" s="367"/>
      <c r="CM16" s="367"/>
      <c r="CN16" s="367"/>
      <c r="CO16" s="367"/>
      <c r="CP16" s="367"/>
      <c r="CQ16" s="367"/>
      <c r="CR16" s="367"/>
      <c r="CS16" s="367"/>
      <c r="CT16" s="367"/>
      <c r="CU16" s="367"/>
      <c r="CV16" s="367"/>
      <c r="CW16" s="367"/>
      <c r="CX16" s="367"/>
      <c r="CY16" s="367"/>
      <c r="CZ16" s="367"/>
      <c r="DA16" s="367"/>
      <c r="DB16" s="367"/>
      <c r="DC16" s="367"/>
      <c r="DD16" s="367"/>
      <c r="DE16" s="367"/>
      <c r="DF16" s="367"/>
      <c r="DG16" s="367"/>
      <c r="DH16" s="367"/>
      <c r="DI16" s="367"/>
      <c r="DJ16" s="367"/>
      <c r="DK16" s="367"/>
      <c r="DL16" s="367"/>
      <c r="DM16" s="367"/>
      <c r="DN16" s="367"/>
      <c r="DO16" s="367"/>
      <c r="DP16" s="367"/>
      <c r="DQ16" s="367"/>
      <c r="DR16" s="367"/>
      <c r="DS16" s="367"/>
      <c r="DT16" s="367"/>
      <c r="DU16" s="367"/>
      <c r="DV16" s="367"/>
      <c r="DW16" s="367"/>
      <c r="DX16" s="367"/>
      <c r="DY16" s="367"/>
      <c r="DZ16" s="367"/>
      <c r="EA16" s="367"/>
      <c r="EB16" s="367"/>
      <c r="EC16" s="367"/>
      <c r="ED16" s="367"/>
      <c r="EE16" s="367"/>
      <c r="EF16" s="367"/>
      <c r="EG16" s="367"/>
      <c r="EH16" s="367"/>
      <c r="EI16" s="367"/>
      <c r="EJ16" s="367"/>
      <c r="EK16" s="367"/>
      <c r="EL16" s="367"/>
      <c r="EM16" s="367"/>
      <c r="EN16" s="367"/>
      <c r="EO16" s="367"/>
      <c r="EP16" s="367"/>
      <c r="EQ16" s="367"/>
      <c r="ER16" s="367"/>
      <c r="ES16" s="367"/>
      <c r="ET16" s="367"/>
      <c r="EU16" s="367"/>
      <c r="EV16" s="367"/>
      <c r="EW16" s="367"/>
      <c r="EX16" s="367"/>
      <c r="EY16" s="367"/>
      <c r="EZ16" s="367"/>
      <c r="FA16" s="367"/>
      <c r="FB16" s="367"/>
      <c r="FC16" s="367"/>
      <c r="FD16" s="367"/>
      <c r="FE16" s="367"/>
      <c r="FF16" s="367"/>
      <c r="FG16" s="367"/>
      <c r="FH16" s="367"/>
      <c r="FI16" s="367"/>
      <c r="FJ16" s="367"/>
      <c r="FK16" s="367"/>
      <c r="FL16" s="367"/>
      <c r="FM16" s="367"/>
      <c r="FN16" s="367"/>
      <c r="FO16" s="367"/>
      <c r="FP16" s="367"/>
      <c r="FQ16" s="367"/>
      <c r="FR16" s="367"/>
      <c r="FS16" s="367"/>
      <c r="FT16" s="367"/>
      <c r="FU16" s="367"/>
      <c r="FV16" s="367"/>
      <c r="FW16" s="367"/>
      <c r="FX16" s="367"/>
      <c r="FY16" s="367"/>
      <c r="FZ16" s="367"/>
      <c r="GA16" s="367"/>
      <c r="GB16" s="367"/>
      <c r="GC16" s="367"/>
      <c r="GD16" s="367"/>
      <c r="GE16" s="367"/>
      <c r="GF16" s="367"/>
      <c r="GG16" s="367"/>
      <c r="GH16" s="367"/>
      <c r="GI16" s="367"/>
      <c r="GJ16" s="367"/>
      <c r="GK16" s="367"/>
      <c r="GL16" s="367"/>
      <c r="GM16" s="367"/>
      <c r="GN16" s="367"/>
      <c r="GO16" s="367"/>
      <c r="GP16" s="367"/>
      <c r="GQ16" s="367"/>
      <c r="GR16" s="367"/>
      <c r="GS16" s="367"/>
      <c r="GT16" s="367"/>
      <c r="GU16" s="367"/>
      <c r="GV16" s="367"/>
      <c r="GW16" s="367"/>
      <c r="GX16" s="367"/>
      <c r="GY16" s="367"/>
      <c r="GZ16" s="367"/>
      <c r="HA16" s="367"/>
      <c r="HB16" s="367"/>
      <c r="HC16" s="367"/>
      <c r="HD16" s="367"/>
      <c r="HE16" s="367"/>
      <c r="HF16" s="367"/>
      <c r="HG16" s="367"/>
      <c r="HH16" s="367"/>
      <c r="HI16" s="367"/>
      <c r="HJ16" s="367"/>
      <c r="HK16" s="367"/>
      <c r="HL16" s="367"/>
      <c r="HM16" s="367"/>
      <c r="HN16" s="367"/>
      <c r="HO16" s="367"/>
      <c r="HP16" s="367"/>
      <c r="HQ16" s="367"/>
      <c r="HR16" s="367"/>
      <c r="HS16" s="367"/>
      <c r="HT16" s="367"/>
      <c r="HU16" s="367"/>
      <c r="HV16" s="367"/>
      <c r="HW16" s="367"/>
      <c r="HX16" s="367"/>
      <c r="HY16" s="367"/>
      <c r="HZ16" s="367"/>
      <c r="IA16" s="367"/>
      <c r="IB16" s="367"/>
      <c r="IC16" s="367"/>
      <c r="ID16" s="367"/>
      <c r="IE16" s="367"/>
      <c r="IF16" s="367"/>
      <c r="IG16" s="367"/>
      <c r="IH16" s="367"/>
      <c r="II16" s="367"/>
      <c r="IJ16" s="367"/>
      <c r="IK16" s="367"/>
      <c r="IL16" s="367"/>
      <c r="IM16" s="367"/>
      <c r="IN16" s="367"/>
      <c r="IO16" s="367"/>
      <c r="IP16" s="367"/>
      <c r="IQ16" s="367"/>
      <c r="IR16" s="367"/>
      <c r="IS16" s="367"/>
      <c r="IT16" s="367"/>
      <c r="IU16" s="367"/>
      <c r="IV16" s="367"/>
      <c r="IW16" s="367"/>
      <c r="IX16" s="367"/>
      <c r="IY16" s="367"/>
      <c r="IZ16" s="367"/>
      <c r="JA16" s="367"/>
      <c r="JB16" s="367"/>
      <c r="JC16" s="367"/>
      <c r="JD16" s="367"/>
      <c r="JE16" s="367"/>
      <c r="JF16" s="367"/>
      <c r="JG16" s="367"/>
      <c r="JH16" s="367"/>
      <c r="JI16" s="367"/>
      <c r="JJ16" s="367"/>
      <c r="JK16" s="367"/>
      <c r="JL16" s="367"/>
      <c r="JM16" s="367"/>
      <c r="JN16" s="367"/>
      <c r="JO16" s="367"/>
      <c r="JP16" s="367"/>
      <c r="JQ16" s="367"/>
      <c r="JR16" s="367"/>
      <c r="JS16" s="367"/>
      <c r="JT16" s="367"/>
      <c r="JU16" s="367"/>
      <c r="JV16" s="367"/>
      <c r="JW16" s="367"/>
      <c r="JX16" s="367"/>
      <c r="JY16" s="367"/>
      <c r="JZ16" s="367"/>
      <c r="KA16" s="367"/>
      <c r="KB16" s="367"/>
      <c r="KC16" s="367"/>
      <c r="KD16" s="367"/>
      <c r="KE16" s="367"/>
      <c r="KF16" s="367"/>
      <c r="KG16" s="367"/>
      <c r="KH16" s="367"/>
      <c r="KI16" s="367"/>
      <c r="KJ16" s="367"/>
      <c r="KK16" s="367"/>
      <c r="KL16" s="367"/>
      <c r="KM16" s="367"/>
      <c r="KN16" s="367"/>
      <c r="KO16" s="367"/>
      <c r="KP16" s="367"/>
      <c r="KQ16" s="367"/>
      <c r="KR16" s="367"/>
      <c r="KS16" s="367"/>
      <c r="KT16" s="367"/>
      <c r="KU16" s="367"/>
      <c r="KV16" s="367"/>
      <c r="KW16" s="367"/>
      <c r="KX16" s="367"/>
      <c r="KY16" s="367"/>
      <c r="KZ16" s="367"/>
      <c r="LA16" s="367"/>
      <c r="LB16" s="367"/>
      <c r="LC16" s="367"/>
      <c r="LD16" s="367"/>
      <c r="LE16" s="367"/>
      <c r="LF16" s="367"/>
      <c r="LG16" s="367"/>
      <c r="LH16" s="367"/>
      <c r="LI16" s="367"/>
      <c r="LJ16" s="367"/>
      <c r="LK16" s="367"/>
      <c r="LL16" s="367"/>
      <c r="LM16" s="367"/>
      <c r="LN16" s="367"/>
      <c r="LO16" s="367"/>
      <c r="LP16" s="367"/>
      <c r="LQ16" s="367"/>
      <c r="LR16" s="367"/>
      <c r="LS16" s="367"/>
      <c r="LT16" s="367"/>
      <c r="LU16" s="367"/>
      <c r="LV16" s="367"/>
      <c r="LW16" s="367"/>
      <c r="LX16" s="367"/>
      <c r="LY16" s="367"/>
      <c r="LZ16" s="367"/>
      <c r="MA16" s="367"/>
      <c r="MB16" s="367"/>
      <c r="MC16" s="367"/>
      <c r="MD16" s="367"/>
      <c r="ME16" s="367"/>
      <c r="MF16" s="367"/>
      <c r="MG16" s="367"/>
      <c r="MH16" s="367"/>
      <c r="MI16" s="367"/>
      <c r="MJ16" s="367"/>
      <c r="MK16" s="367"/>
      <c r="ML16" s="367"/>
      <c r="MM16" s="367"/>
      <c r="MN16" s="367"/>
      <c r="MO16" s="367"/>
      <c r="MP16" s="367"/>
      <c r="MQ16" s="367"/>
      <c r="MR16" s="367"/>
      <c r="MS16" s="367"/>
      <c r="MT16" s="367"/>
      <c r="MU16" s="367"/>
      <c r="MV16" s="367"/>
      <c r="MW16" s="367"/>
      <c r="MX16" s="367"/>
      <c r="MY16" s="367"/>
      <c r="MZ16" s="367"/>
      <c r="NA16" s="367"/>
      <c r="NB16" s="367"/>
      <c r="NC16" s="367"/>
      <c r="ND16" s="176">
        <f t="shared" si="0"/>
        <v>0</v>
      </c>
    </row>
    <row r="17" spans="1:368" s="361" customFormat="1" ht="13.5" customHeight="1" thickBot="1">
      <c r="A17" s="405"/>
      <c r="B17" s="350" t="s">
        <v>21</v>
      </c>
      <c r="C17" s="368"/>
      <c r="D17" s="368"/>
      <c r="E17" s="368"/>
      <c r="F17" s="368"/>
      <c r="G17" s="368"/>
      <c r="H17" s="368"/>
      <c r="I17" s="368"/>
      <c r="J17" s="368"/>
      <c r="K17" s="368"/>
      <c r="L17" s="368"/>
      <c r="M17" s="368"/>
      <c r="N17" s="368"/>
      <c r="O17" s="368"/>
      <c r="P17" s="368"/>
      <c r="Q17" s="368"/>
      <c r="R17" s="368"/>
      <c r="S17" s="368"/>
      <c r="T17" s="368"/>
      <c r="U17" s="368"/>
      <c r="V17" s="368"/>
      <c r="W17" s="368"/>
      <c r="X17" s="368"/>
      <c r="Y17" s="368"/>
      <c r="Z17" s="368"/>
      <c r="AA17" s="368"/>
      <c r="AB17" s="368"/>
      <c r="AC17" s="368"/>
      <c r="AD17" s="368"/>
      <c r="AE17" s="368"/>
      <c r="AF17" s="368"/>
      <c r="AG17" s="368"/>
      <c r="AH17" s="368"/>
      <c r="AI17" s="368"/>
      <c r="AJ17" s="368"/>
      <c r="AK17" s="368"/>
      <c r="AL17" s="368"/>
      <c r="AM17" s="368"/>
      <c r="AN17" s="368"/>
      <c r="AO17" s="368"/>
      <c r="AP17" s="368"/>
      <c r="AQ17" s="368"/>
      <c r="AR17" s="368"/>
      <c r="AS17" s="368"/>
      <c r="AT17" s="368"/>
      <c r="AU17" s="368"/>
      <c r="AV17" s="368"/>
      <c r="AW17" s="368"/>
      <c r="AX17" s="368"/>
      <c r="AY17" s="368"/>
      <c r="AZ17" s="368"/>
      <c r="BA17" s="368"/>
      <c r="BB17" s="368"/>
      <c r="BC17" s="368"/>
      <c r="BD17" s="368"/>
      <c r="BE17" s="368"/>
      <c r="BF17" s="368"/>
      <c r="BG17" s="368"/>
      <c r="BH17" s="368"/>
      <c r="BI17" s="368"/>
      <c r="BJ17" s="368"/>
      <c r="BK17" s="368"/>
      <c r="BL17" s="368"/>
      <c r="BM17" s="368"/>
      <c r="BN17" s="368"/>
      <c r="BO17" s="368"/>
      <c r="BP17" s="368"/>
      <c r="BQ17" s="368"/>
      <c r="BR17" s="368"/>
      <c r="BS17" s="368"/>
      <c r="BT17" s="368"/>
      <c r="BU17" s="368"/>
      <c r="BV17" s="368"/>
      <c r="BW17" s="368"/>
      <c r="BX17" s="368"/>
      <c r="BY17" s="368"/>
      <c r="BZ17" s="368"/>
      <c r="CA17" s="368"/>
      <c r="CB17" s="368"/>
      <c r="CC17" s="368"/>
      <c r="CD17" s="368"/>
      <c r="CE17" s="368"/>
      <c r="CF17" s="368"/>
      <c r="CG17" s="368"/>
      <c r="CH17" s="368"/>
      <c r="CI17" s="368"/>
      <c r="CJ17" s="368"/>
      <c r="CK17" s="368"/>
      <c r="CL17" s="368"/>
      <c r="CM17" s="368"/>
      <c r="CN17" s="368"/>
      <c r="CO17" s="368"/>
      <c r="CP17" s="368"/>
      <c r="CQ17" s="368"/>
      <c r="CR17" s="368"/>
      <c r="CS17" s="368"/>
      <c r="CT17" s="368"/>
      <c r="CU17" s="368"/>
      <c r="CV17" s="368"/>
      <c r="CW17" s="368"/>
      <c r="CX17" s="368"/>
      <c r="CY17" s="368"/>
      <c r="CZ17" s="368"/>
      <c r="DA17" s="368"/>
      <c r="DB17" s="368"/>
      <c r="DC17" s="368"/>
      <c r="DD17" s="368"/>
      <c r="DE17" s="368"/>
      <c r="DF17" s="368"/>
      <c r="DG17" s="368"/>
      <c r="DH17" s="368"/>
      <c r="DI17" s="368"/>
      <c r="DJ17" s="368"/>
      <c r="DK17" s="368"/>
      <c r="DL17" s="368"/>
      <c r="DM17" s="368"/>
      <c r="DN17" s="368"/>
      <c r="DO17" s="368"/>
      <c r="DP17" s="368"/>
      <c r="DQ17" s="368"/>
      <c r="DR17" s="368"/>
      <c r="DS17" s="368"/>
      <c r="DT17" s="368"/>
      <c r="DU17" s="368"/>
      <c r="DV17" s="368"/>
      <c r="DW17" s="368"/>
      <c r="DX17" s="368"/>
      <c r="DY17" s="368"/>
      <c r="DZ17" s="368"/>
      <c r="EA17" s="368"/>
      <c r="EB17" s="368"/>
      <c r="EC17" s="368"/>
      <c r="ED17" s="368"/>
      <c r="EE17" s="368"/>
      <c r="EF17" s="368"/>
      <c r="EG17" s="368"/>
      <c r="EH17" s="368"/>
      <c r="EI17" s="368"/>
      <c r="EJ17" s="368"/>
      <c r="EK17" s="368"/>
      <c r="EL17" s="368"/>
      <c r="EM17" s="368"/>
      <c r="EN17" s="368"/>
      <c r="EO17" s="368"/>
      <c r="EP17" s="368"/>
      <c r="EQ17" s="368"/>
      <c r="ER17" s="368"/>
      <c r="ES17" s="368"/>
      <c r="ET17" s="368"/>
      <c r="EU17" s="368"/>
      <c r="EV17" s="368"/>
      <c r="EW17" s="368"/>
      <c r="EX17" s="368"/>
      <c r="EY17" s="368"/>
      <c r="EZ17" s="368"/>
      <c r="FA17" s="368"/>
      <c r="FB17" s="368"/>
      <c r="FC17" s="368"/>
      <c r="FD17" s="368"/>
      <c r="FE17" s="368"/>
      <c r="FF17" s="368"/>
      <c r="FG17" s="368"/>
      <c r="FH17" s="368"/>
      <c r="FI17" s="368"/>
      <c r="FJ17" s="368"/>
      <c r="FK17" s="368"/>
      <c r="FL17" s="368"/>
      <c r="FM17" s="368"/>
      <c r="FN17" s="368"/>
      <c r="FO17" s="368"/>
      <c r="FP17" s="368"/>
      <c r="FQ17" s="368"/>
      <c r="FR17" s="368"/>
      <c r="FS17" s="368"/>
      <c r="FT17" s="368"/>
      <c r="FU17" s="368"/>
      <c r="FV17" s="368"/>
      <c r="FW17" s="368"/>
      <c r="FX17" s="368"/>
      <c r="FY17" s="368"/>
      <c r="FZ17" s="368"/>
      <c r="GA17" s="368"/>
      <c r="GB17" s="368"/>
      <c r="GC17" s="368"/>
      <c r="GD17" s="368"/>
      <c r="GE17" s="368"/>
      <c r="GF17" s="368"/>
      <c r="GG17" s="368"/>
      <c r="GH17" s="368"/>
      <c r="GI17" s="368"/>
      <c r="GJ17" s="368"/>
      <c r="GK17" s="368"/>
      <c r="GL17" s="368"/>
      <c r="GM17" s="368"/>
      <c r="GN17" s="368"/>
      <c r="GO17" s="368"/>
      <c r="GP17" s="368"/>
      <c r="GQ17" s="368"/>
      <c r="GR17" s="368"/>
      <c r="GS17" s="368"/>
      <c r="GT17" s="368"/>
      <c r="GU17" s="368"/>
      <c r="GV17" s="368"/>
      <c r="GW17" s="368"/>
      <c r="GX17" s="368"/>
      <c r="GY17" s="368"/>
      <c r="GZ17" s="368"/>
      <c r="HA17" s="368"/>
      <c r="HB17" s="368"/>
      <c r="HC17" s="368"/>
      <c r="HD17" s="368"/>
      <c r="HE17" s="368"/>
      <c r="HF17" s="368"/>
      <c r="HG17" s="368"/>
      <c r="HH17" s="368"/>
      <c r="HI17" s="368"/>
      <c r="HJ17" s="368"/>
      <c r="HK17" s="368"/>
      <c r="HL17" s="368"/>
      <c r="HM17" s="368"/>
      <c r="HN17" s="368"/>
      <c r="HO17" s="368"/>
      <c r="HP17" s="368"/>
      <c r="HQ17" s="368"/>
      <c r="HR17" s="368"/>
      <c r="HS17" s="368"/>
      <c r="HT17" s="368"/>
      <c r="HU17" s="368"/>
      <c r="HV17" s="368"/>
      <c r="HW17" s="368"/>
      <c r="HX17" s="368"/>
      <c r="HY17" s="368"/>
      <c r="HZ17" s="368"/>
      <c r="IA17" s="368"/>
      <c r="IB17" s="368"/>
      <c r="IC17" s="368"/>
      <c r="ID17" s="368"/>
      <c r="IE17" s="368"/>
      <c r="IF17" s="368"/>
      <c r="IG17" s="368"/>
      <c r="IH17" s="368"/>
      <c r="II17" s="368"/>
      <c r="IJ17" s="368"/>
      <c r="IK17" s="368"/>
      <c r="IL17" s="368"/>
      <c r="IM17" s="368"/>
      <c r="IN17" s="368"/>
      <c r="IO17" s="368"/>
      <c r="IP17" s="368"/>
      <c r="IQ17" s="368"/>
      <c r="IR17" s="368"/>
      <c r="IS17" s="368"/>
      <c r="IT17" s="368"/>
      <c r="IU17" s="368"/>
      <c r="IV17" s="368"/>
      <c r="IW17" s="368"/>
      <c r="IX17" s="368"/>
      <c r="IY17" s="368"/>
      <c r="IZ17" s="368"/>
      <c r="JA17" s="368"/>
      <c r="JB17" s="368"/>
      <c r="JC17" s="368"/>
      <c r="JD17" s="368"/>
      <c r="JE17" s="368"/>
      <c r="JF17" s="368"/>
      <c r="JG17" s="368"/>
      <c r="JH17" s="368"/>
      <c r="JI17" s="368"/>
      <c r="JJ17" s="368"/>
      <c r="JK17" s="368"/>
      <c r="JL17" s="368"/>
      <c r="JM17" s="368"/>
      <c r="JN17" s="368"/>
      <c r="JO17" s="368"/>
      <c r="JP17" s="368"/>
      <c r="JQ17" s="368"/>
      <c r="JR17" s="368"/>
      <c r="JS17" s="368"/>
      <c r="JT17" s="368"/>
      <c r="JU17" s="368"/>
      <c r="JV17" s="368"/>
      <c r="JW17" s="368"/>
      <c r="JX17" s="368"/>
      <c r="JY17" s="368"/>
      <c r="JZ17" s="368"/>
      <c r="KA17" s="368"/>
      <c r="KB17" s="368"/>
      <c r="KC17" s="368"/>
      <c r="KD17" s="368"/>
      <c r="KE17" s="368"/>
      <c r="KF17" s="368"/>
      <c r="KG17" s="368"/>
      <c r="KH17" s="368"/>
      <c r="KI17" s="368"/>
      <c r="KJ17" s="368"/>
      <c r="KK17" s="368"/>
      <c r="KL17" s="368"/>
      <c r="KM17" s="368"/>
      <c r="KN17" s="368"/>
      <c r="KO17" s="368"/>
      <c r="KP17" s="368"/>
      <c r="KQ17" s="368"/>
      <c r="KR17" s="368"/>
      <c r="KS17" s="368"/>
      <c r="KT17" s="368"/>
      <c r="KU17" s="368"/>
      <c r="KV17" s="368"/>
      <c r="KW17" s="368"/>
      <c r="KX17" s="368"/>
      <c r="KY17" s="368"/>
      <c r="KZ17" s="368"/>
      <c r="LA17" s="368"/>
      <c r="LB17" s="368"/>
      <c r="LC17" s="368"/>
      <c r="LD17" s="368"/>
      <c r="LE17" s="368"/>
      <c r="LF17" s="368"/>
      <c r="LG17" s="368"/>
      <c r="LH17" s="368"/>
      <c r="LI17" s="368"/>
      <c r="LJ17" s="368"/>
      <c r="LK17" s="368"/>
      <c r="LL17" s="368"/>
      <c r="LM17" s="368"/>
      <c r="LN17" s="368"/>
      <c r="LO17" s="368"/>
      <c r="LP17" s="368"/>
      <c r="LQ17" s="368"/>
      <c r="LR17" s="368"/>
      <c r="LS17" s="368"/>
      <c r="LT17" s="368"/>
      <c r="LU17" s="368"/>
      <c r="LV17" s="368"/>
      <c r="LW17" s="368"/>
      <c r="LX17" s="368"/>
      <c r="LY17" s="368"/>
      <c r="LZ17" s="368"/>
      <c r="MA17" s="368"/>
      <c r="MB17" s="368"/>
      <c r="MC17" s="368"/>
      <c r="MD17" s="368"/>
      <c r="ME17" s="368"/>
      <c r="MF17" s="368"/>
      <c r="MG17" s="368"/>
      <c r="MH17" s="368"/>
      <c r="MI17" s="368"/>
      <c r="MJ17" s="368"/>
      <c r="MK17" s="368"/>
      <c r="ML17" s="368"/>
      <c r="MM17" s="368"/>
      <c r="MN17" s="368"/>
      <c r="MO17" s="368"/>
      <c r="MP17" s="368"/>
      <c r="MQ17" s="368"/>
      <c r="MR17" s="368"/>
      <c r="MS17" s="368"/>
      <c r="MT17" s="368"/>
      <c r="MU17" s="368"/>
      <c r="MV17" s="368"/>
      <c r="MW17" s="368"/>
      <c r="MX17" s="368"/>
      <c r="MY17" s="368"/>
      <c r="MZ17" s="368"/>
      <c r="NA17" s="368"/>
      <c r="NB17" s="368"/>
      <c r="NC17" s="368"/>
      <c r="ND17" s="176">
        <f t="shared" si="0"/>
        <v>0</v>
      </c>
    </row>
    <row r="18" spans="1:368" s="361" customFormat="1" ht="13.5" customHeight="1" thickTop="1">
      <c r="A18" s="406" t="s">
        <v>68</v>
      </c>
      <c r="B18" s="351" t="s">
        <v>144</v>
      </c>
      <c r="C18" s="369"/>
      <c r="D18" s="369"/>
      <c r="E18" s="369"/>
      <c r="F18" s="369"/>
      <c r="G18" s="369"/>
      <c r="H18" s="369"/>
      <c r="I18" s="369"/>
      <c r="J18" s="369"/>
      <c r="K18" s="369"/>
      <c r="L18" s="369"/>
      <c r="M18" s="369"/>
      <c r="N18" s="369"/>
      <c r="O18" s="369"/>
      <c r="P18" s="369"/>
      <c r="Q18" s="369"/>
      <c r="R18" s="369"/>
      <c r="S18" s="369"/>
      <c r="T18" s="369"/>
      <c r="U18" s="369"/>
      <c r="V18" s="369"/>
      <c r="W18" s="369"/>
      <c r="X18" s="369"/>
      <c r="Y18" s="369"/>
      <c r="Z18" s="369"/>
      <c r="AA18" s="369"/>
      <c r="AB18" s="369"/>
      <c r="AC18" s="369"/>
      <c r="AD18" s="369"/>
      <c r="AE18" s="369"/>
      <c r="AF18" s="369"/>
      <c r="AG18" s="369"/>
      <c r="AH18" s="369"/>
      <c r="AI18" s="369"/>
      <c r="AJ18" s="369"/>
      <c r="AK18" s="369"/>
      <c r="AL18" s="369"/>
      <c r="AM18" s="369"/>
      <c r="AN18" s="369"/>
      <c r="AO18" s="369"/>
      <c r="AP18" s="369"/>
      <c r="AQ18" s="369"/>
      <c r="AR18" s="369"/>
      <c r="AS18" s="369"/>
      <c r="AT18" s="369"/>
      <c r="AU18" s="369"/>
      <c r="AV18" s="369"/>
      <c r="AW18" s="369"/>
      <c r="AX18" s="369"/>
      <c r="AY18" s="369"/>
      <c r="AZ18" s="369"/>
      <c r="BA18" s="369"/>
      <c r="BB18" s="369"/>
      <c r="BC18" s="369"/>
      <c r="BD18" s="369"/>
      <c r="BE18" s="369"/>
      <c r="BF18" s="369"/>
      <c r="BG18" s="369"/>
      <c r="BH18" s="369"/>
      <c r="BI18" s="369"/>
      <c r="BJ18" s="369"/>
      <c r="BK18" s="369"/>
      <c r="BL18" s="369"/>
      <c r="BM18" s="369"/>
      <c r="BN18" s="369"/>
      <c r="BO18" s="369"/>
      <c r="BP18" s="369"/>
      <c r="BQ18" s="369"/>
      <c r="BR18" s="369"/>
      <c r="BS18" s="369"/>
      <c r="BT18" s="369"/>
      <c r="BU18" s="369"/>
      <c r="BV18" s="369"/>
      <c r="BW18" s="369"/>
      <c r="BX18" s="369"/>
      <c r="BY18" s="369"/>
      <c r="BZ18" s="369"/>
      <c r="CA18" s="369"/>
      <c r="CB18" s="369"/>
      <c r="CC18" s="369"/>
      <c r="CD18" s="369"/>
      <c r="CE18" s="369"/>
      <c r="CF18" s="369"/>
      <c r="CG18" s="369"/>
      <c r="CH18" s="369"/>
      <c r="CI18" s="369"/>
      <c r="CJ18" s="369"/>
      <c r="CK18" s="369"/>
      <c r="CL18" s="369"/>
      <c r="CM18" s="369"/>
      <c r="CN18" s="369"/>
      <c r="CO18" s="369"/>
      <c r="CP18" s="369"/>
      <c r="CQ18" s="369"/>
      <c r="CR18" s="369"/>
      <c r="CS18" s="369"/>
      <c r="CT18" s="369"/>
      <c r="CU18" s="369"/>
      <c r="CV18" s="369"/>
      <c r="CW18" s="369"/>
      <c r="CX18" s="369"/>
      <c r="CY18" s="369"/>
      <c r="CZ18" s="369"/>
      <c r="DA18" s="369"/>
      <c r="DB18" s="369"/>
      <c r="DC18" s="369"/>
      <c r="DD18" s="369"/>
      <c r="DE18" s="369"/>
      <c r="DF18" s="369"/>
      <c r="DG18" s="369"/>
      <c r="DH18" s="369"/>
      <c r="DI18" s="369"/>
      <c r="DJ18" s="369"/>
      <c r="DK18" s="369"/>
      <c r="DL18" s="369"/>
      <c r="DM18" s="369"/>
      <c r="DN18" s="369"/>
      <c r="DO18" s="369"/>
      <c r="DP18" s="369"/>
      <c r="DQ18" s="369"/>
      <c r="DR18" s="369"/>
      <c r="DS18" s="369"/>
      <c r="DT18" s="369"/>
      <c r="DU18" s="369"/>
      <c r="DV18" s="369"/>
      <c r="DW18" s="369"/>
      <c r="DX18" s="369"/>
      <c r="DY18" s="369"/>
      <c r="DZ18" s="369"/>
      <c r="EA18" s="369"/>
      <c r="EB18" s="369"/>
      <c r="EC18" s="369"/>
      <c r="ED18" s="369"/>
      <c r="EE18" s="369"/>
      <c r="EF18" s="369"/>
      <c r="EG18" s="369"/>
      <c r="EH18" s="369"/>
      <c r="EI18" s="369"/>
      <c r="EJ18" s="369"/>
      <c r="EK18" s="369"/>
      <c r="EL18" s="369"/>
      <c r="EM18" s="369"/>
      <c r="EN18" s="369"/>
      <c r="EO18" s="369"/>
      <c r="EP18" s="369"/>
      <c r="EQ18" s="369"/>
      <c r="ER18" s="369"/>
      <c r="ES18" s="369"/>
      <c r="ET18" s="369"/>
      <c r="EU18" s="369"/>
      <c r="EV18" s="369"/>
      <c r="EW18" s="369"/>
      <c r="EX18" s="369"/>
      <c r="EY18" s="369"/>
      <c r="EZ18" s="369"/>
      <c r="FA18" s="369"/>
      <c r="FB18" s="369"/>
      <c r="FC18" s="369"/>
      <c r="FD18" s="369"/>
      <c r="FE18" s="369"/>
      <c r="FF18" s="369"/>
      <c r="FG18" s="369"/>
      <c r="FH18" s="369"/>
      <c r="FI18" s="369"/>
      <c r="FJ18" s="369"/>
      <c r="FK18" s="369"/>
      <c r="FL18" s="369"/>
      <c r="FM18" s="369"/>
      <c r="FN18" s="369"/>
      <c r="FO18" s="369"/>
      <c r="FP18" s="369"/>
      <c r="FQ18" s="369"/>
      <c r="FR18" s="369"/>
      <c r="FS18" s="369"/>
      <c r="FT18" s="369"/>
      <c r="FU18" s="369"/>
      <c r="FV18" s="369"/>
      <c r="FW18" s="369"/>
      <c r="FX18" s="369"/>
      <c r="FY18" s="369"/>
      <c r="FZ18" s="369"/>
      <c r="GA18" s="369"/>
      <c r="GB18" s="369"/>
      <c r="GC18" s="369"/>
      <c r="GD18" s="369"/>
      <c r="GE18" s="369"/>
      <c r="GF18" s="369"/>
      <c r="GG18" s="369"/>
      <c r="GH18" s="369"/>
      <c r="GI18" s="369"/>
      <c r="GJ18" s="369"/>
      <c r="GK18" s="369"/>
      <c r="GL18" s="369"/>
      <c r="GM18" s="369"/>
      <c r="GN18" s="369"/>
      <c r="GO18" s="369"/>
      <c r="GP18" s="369"/>
      <c r="GQ18" s="369"/>
      <c r="GR18" s="369"/>
      <c r="GS18" s="369"/>
      <c r="GT18" s="369"/>
      <c r="GU18" s="369"/>
      <c r="GV18" s="369"/>
      <c r="GW18" s="369"/>
      <c r="GX18" s="369"/>
      <c r="GY18" s="369"/>
      <c r="GZ18" s="369"/>
      <c r="HA18" s="369"/>
      <c r="HB18" s="369"/>
      <c r="HC18" s="369"/>
      <c r="HD18" s="369"/>
      <c r="HE18" s="369"/>
      <c r="HF18" s="369"/>
      <c r="HG18" s="369"/>
      <c r="HH18" s="369"/>
      <c r="HI18" s="369"/>
      <c r="HJ18" s="369"/>
      <c r="HK18" s="369"/>
      <c r="HL18" s="369"/>
      <c r="HM18" s="369"/>
      <c r="HN18" s="369"/>
      <c r="HO18" s="369"/>
      <c r="HP18" s="369"/>
      <c r="HQ18" s="369"/>
      <c r="HR18" s="369"/>
      <c r="HS18" s="369"/>
      <c r="HT18" s="369"/>
      <c r="HU18" s="369"/>
      <c r="HV18" s="369"/>
      <c r="HW18" s="369"/>
      <c r="HX18" s="369"/>
      <c r="HY18" s="369"/>
      <c r="HZ18" s="369"/>
      <c r="IA18" s="369"/>
      <c r="IB18" s="369"/>
      <c r="IC18" s="369"/>
      <c r="ID18" s="369"/>
      <c r="IE18" s="369"/>
      <c r="IF18" s="369"/>
      <c r="IG18" s="369"/>
      <c r="IH18" s="369"/>
      <c r="II18" s="369"/>
      <c r="IJ18" s="369"/>
      <c r="IK18" s="369"/>
      <c r="IL18" s="369"/>
      <c r="IM18" s="369"/>
      <c r="IN18" s="369"/>
      <c r="IO18" s="369"/>
      <c r="IP18" s="369"/>
      <c r="IQ18" s="369"/>
      <c r="IR18" s="369"/>
      <c r="IS18" s="369"/>
      <c r="IT18" s="369"/>
      <c r="IU18" s="369"/>
      <c r="IV18" s="369"/>
      <c r="IW18" s="369"/>
      <c r="IX18" s="369"/>
      <c r="IY18" s="369"/>
      <c r="IZ18" s="369"/>
      <c r="JA18" s="369"/>
      <c r="JB18" s="369"/>
      <c r="JC18" s="369"/>
      <c r="JD18" s="369"/>
      <c r="JE18" s="369"/>
      <c r="JF18" s="369"/>
      <c r="JG18" s="369"/>
      <c r="JH18" s="369"/>
      <c r="JI18" s="369"/>
      <c r="JJ18" s="369"/>
      <c r="JK18" s="369"/>
      <c r="JL18" s="369"/>
      <c r="JM18" s="369"/>
      <c r="JN18" s="369"/>
      <c r="JO18" s="369"/>
      <c r="JP18" s="369"/>
      <c r="JQ18" s="369"/>
      <c r="JR18" s="369"/>
      <c r="JS18" s="369"/>
      <c r="JT18" s="369"/>
      <c r="JU18" s="369"/>
      <c r="JV18" s="369"/>
      <c r="JW18" s="369"/>
      <c r="JX18" s="369"/>
      <c r="JY18" s="369"/>
      <c r="JZ18" s="369"/>
      <c r="KA18" s="369"/>
      <c r="KB18" s="369"/>
      <c r="KC18" s="369"/>
      <c r="KD18" s="369"/>
      <c r="KE18" s="369"/>
      <c r="KF18" s="369"/>
      <c r="KG18" s="369"/>
      <c r="KH18" s="369"/>
      <c r="KI18" s="369"/>
      <c r="KJ18" s="369"/>
      <c r="KK18" s="369"/>
      <c r="KL18" s="369"/>
      <c r="KM18" s="369"/>
      <c r="KN18" s="369"/>
      <c r="KO18" s="369"/>
      <c r="KP18" s="369"/>
      <c r="KQ18" s="369"/>
      <c r="KR18" s="369"/>
      <c r="KS18" s="369"/>
      <c r="KT18" s="369"/>
      <c r="KU18" s="369"/>
      <c r="KV18" s="369"/>
      <c r="KW18" s="369"/>
      <c r="KX18" s="369"/>
      <c r="KY18" s="369"/>
      <c r="KZ18" s="369"/>
      <c r="LA18" s="369"/>
      <c r="LB18" s="369"/>
      <c r="LC18" s="369"/>
      <c r="LD18" s="369"/>
      <c r="LE18" s="369"/>
      <c r="LF18" s="369"/>
      <c r="LG18" s="369"/>
      <c r="LH18" s="369"/>
      <c r="LI18" s="369"/>
      <c r="LJ18" s="369"/>
      <c r="LK18" s="369"/>
      <c r="LL18" s="369"/>
      <c r="LM18" s="369"/>
      <c r="LN18" s="369"/>
      <c r="LO18" s="369"/>
      <c r="LP18" s="369"/>
      <c r="LQ18" s="369"/>
      <c r="LR18" s="369"/>
      <c r="LS18" s="369"/>
      <c r="LT18" s="369"/>
      <c r="LU18" s="369"/>
      <c r="LV18" s="369"/>
      <c r="LW18" s="369"/>
      <c r="LX18" s="369"/>
      <c r="LY18" s="369"/>
      <c r="LZ18" s="369"/>
      <c r="MA18" s="369"/>
      <c r="MB18" s="369"/>
      <c r="MC18" s="369"/>
      <c r="MD18" s="369"/>
      <c r="ME18" s="369"/>
      <c r="MF18" s="369"/>
      <c r="MG18" s="369"/>
      <c r="MH18" s="369"/>
      <c r="MI18" s="369"/>
      <c r="MJ18" s="369"/>
      <c r="MK18" s="369"/>
      <c r="ML18" s="369"/>
      <c r="MM18" s="369"/>
      <c r="MN18" s="369"/>
      <c r="MO18" s="369"/>
      <c r="MP18" s="369"/>
      <c r="MQ18" s="369"/>
      <c r="MR18" s="369"/>
      <c r="MS18" s="369"/>
      <c r="MT18" s="369"/>
      <c r="MU18" s="369"/>
      <c r="MV18" s="369"/>
      <c r="MW18" s="369"/>
      <c r="MX18" s="369"/>
      <c r="MY18" s="369"/>
      <c r="MZ18" s="369"/>
      <c r="NA18" s="369"/>
      <c r="NB18" s="369"/>
      <c r="NC18" s="369"/>
      <c r="ND18" s="176">
        <f t="shared" si="0"/>
        <v>0</v>
      </c>
    </row>
    <row r="19" spans="1:368" s="361" customFormat="1" ht="13.5" customHeight="1">
      <c r="A19" s="407"/>
      <c r="B19" s="352" t="s">
        <v>145</v>
      </c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 s="370"/>
      <c r="R19" s="370"/>
      <c r="S19" s="370"/>
      <c r="T19" s="370"/>
      <c r="U19" s="370"/>
      <c r="V19" s="370"/>
      <c r="W19" s="370"/>
      <c r="X19" s="370"/>
      <c r="Y19" s="370"/>
      <c r="Z19" s="370"/>
      <c r="AA19" s="370"/>
      <c r="AB19" s="370"/>
      <c r="AC19" s="370"/>
      <c r="AD19" s="370"/>
      <c r="AE19" s="370"/>
      <c r="AF19" s="370"/>
      <c r="AG19" s="370"/>
      <c r="AH19" s="370"/>
      <c r="AI19" s="370"/>
      <c r="AJ19" s="370"/>
      <c r="AK19" s="370"/>
      <c r="AL19" s="370"/>
      <c r="AM19" s="370"/>
      <c r="AN19" s="370"/>
      <c r="AO19" s="370"/>
      <c r="AP19" s="370"/>
      <c r="AQ19" s="370"/>
      <c r="AR19" s="370"/>
      <c r="AS19" s="370"/>
      <c r="AT19" s="370"/>
      <c r="AU19" s="370"/>
      <c r="AV19" s="370"/>
      <c r="AW19" s="370"/>
      <c r="AX19" s="370"/>
      <c r="AY19" s="370"/>
      <c r="AZ19" s="370"/>
      <c r="BA19" s="370"/>
      <c r="BB19" s="370"/>
      <c r="BC19" s="370"/>
      <c r="BD19" s="370"/>
      <c r="BE19" s="370"/>
      <c r="BF19" s="370"/>
      <c r="BG19" s="370"/>
      <c r="BH19" s="370"/>
      <c r="BI19" s="370"/>
      <c r="BJ19" s="370"/>
      <c r="BK19" s="370"/>
      <c r="BL19" s="370"/>
      <c r="BM19" s="370"/>
      <c r="BN19" s="370"/>
      <c r="BO19" s="370"/>
      <c r="BP19" s="370"/>
      <c r="BQ19" s="370"/>
      <c r="BR19" s="370"/>
      <c r="BS19" s="370"/>
      <c r="BT19" s="370"/>
      <c r="BU19" s="370"/>
      <c r="BV19" s="370"/>
      <c r="BW19" s="370"/>
      <c r="BX19" s="370"/>
      <c r="BY19" s="370"/>
      <c r="BZ19" s="370"/>
      <c r="CA19" s="370"/>
      <c r="CB19" s="370"/>
      <c r="CC19" s="370"/>
      <c r="CD19" s="370"/>
      <c r="CE19" s="370"/>
      <c r="CF19" s="370"/>
      <c r="CG19" s="370"/>
      <c r="CH19" s="370"/>
      <c r="CI19" s="370"/>
      <c r="CJ19" s="370"/>
      <c r="CK19" s="370"/>
      <c r="CL19" s="370"/>
      <c r="CM19" s="370"/>
      <c r="CN19" s="370"/>
      <c r="CO19" s="370"/>
      <c r="CP19" s="370"/>
      <c r="CQ19" s="370"/>
      <c r="CR19" s="370"/>
      <c r="CS19" s="370"/>
      <c r="CT19" s="370"/>
      <c r="CU19" s="370"/>
      <c r="CV19" s="370"/>
      <c r="CW19" s="370"/>
      <c r="CX19" s="370"/>
      <c r="CY19" s="370"/>
      <c r="CZ19" s="370"/>
      <c r="DA19" s="370"/>
      <c r="DB19" s="370"/>
      <c r="DC19" s="370"/>
      <c r="DD19" s="370"/>
      <c r="DE19" s="370"/>
      <c r="DF19" s="370"/>
      <c r="DG19" s="370"/>
      <c r="DH19" s="370"/>
      <c r="DI19" s="370"/>
      <c r="DJ19" s="370"/>
      <c r="DK19" s="370"/>
      <c r="DL19" s="370"/>
      <c r="DM19" s="370"/>
      <c r="DN19" s="370"/>
      <c r="DO19" s="370"/>
      <c r="DP19" s="370"/>
      <c r="DQ19" s="370"/>
      <c r="DR19" s="370"/>
      <c r="DS19" s="370"/>
      <c r="DT19" s="370"/>
      <c r="DU19" s="370"/>
      <c r="DV19" s="370"/>
      <c r="DW19" s="370"/>
      <c r="DX19" s="370"/>
      <c r="DY19" s="370"/>
      <c r="DZ19" s="370"/>
      <c r="EA19" s="370"/>
      <c r="EB19" s="370"/>
      <c r="EC19" s="370"/>
      <c r="ED19" s="370"/>
      <c r="EE19" s="370"/>
      <c r="EF19" s="370"/>
      <c r="EG19" s="370"/>
      <c r="EH19" s="370"/>
      <c r="EI19" s="370"/>
      <c r="EJ19" s="370"/>
      <c r="EK19" s="370"/>
      <c r="EL19" s="370"/>
      <c r="EM19" s="370"/>
      <c r="EN19" s="370"/>
      <c r="EO19" s="370"/>
      <c r="EP19" s="370"/>
      <c r="EQ19" s="370"/>
      <c r="ER19" s="370"/>
      <c r="ES19" s="370"/>
      <c r="ET19" s="370"/>
      <c r="EU19" s="370"/>
      <c r="EV19" s="370"/>
      <c r="EW19" s="370"/>
      <c r="EX19" s="370"/>
      <c r="EY19" s="370"/>
      <c r="EZ19" s="370"/>
      <c r="FA19" s="370"/>
      <c r="FB19" s="370"/>
      <c r="FC19" s="370"/>
      <c r="FD19" s="370"/>
      <c r="FE19" s="370"/>
      <c r="FF19" s="370"/>
      <c r="FG19" s="370"/>
      <c r="FH19" s="370"/>
      <c r="FI19" s="370"/>
      <c r="FJ19" s="370"/>
      <c r="FK19" s="370"/>
      <c r="FL19" s="370"/>
      <c r="FM19" s="370"/>
      <c r="FN19" s="370"/>
      <c r="FO19" s="370"/>
      <c r="FP19" s="370"/>
      <c r="FQ19" s="370"/>
      <c r="FR19" s="370"/>
      <c r="FS19" s="370"/>
      <c r="FT19" s="370"/>
      <c r="FU19" s="370"/>
      <c r="FV19" s="370"/>
      <c r="FW19" s="370"/>
      <c r="FX19" s="370"/>
      <c r="FY19" s="370"/>
      <c r="FZ19" s="370"/>
      <c r="GA19" s="370"/>
      <c r="GB19" s="370"/>
      <c r="GC19" s="370"/>
      <c r="GD19" s="370"/>
      <c r="GE19" s="370"/>
      <c r="GF19" s="370"/>
      <c r="GG19" s="370"/>
      <c r="GH19" s="370"/>
      <c r="GI19" s="370"/>
      <c r="GJ19" s="370"/>
      <c r="GK19" s="370"/>
      <c r="GL19" s="370"/>
      <c r="GM19" s="370"/>
      <c r="GN19" s="370"/>
      <c r="GO19" s="370"/>
      <c r="GP19" s="370"/>
      <c r="GQ19" s="370"/>
      <c r="GR19" s="370"/>
      <c r="GS19" s="370"/>
      <c r="GT19" s="370"/>
      <c r="GU19" s="370"/>
      <c r="GV19" s="370"/>
      <c r="GW19" s="370"/>
      <c r="GX19" s="370"/>
      <c r="GY19" s="370"/>
      <c r="GZ19" s="370"/>
      <c r="HA19" s="370"/>
      <c r="HB19" s="370"/>
      <c r="HC19" s="370"/>
      <c r="HD19" s="370"/>
      <c r="HE19" s="370"/>
      <c r="HF19" s="370"/>
      <c r="HG19" s="370"/>
      <c r="HH19" s="370"/>
      <c r="HI19" s="370"/>
      <c r="HJ19" s="370"/>
      <c r="HK19" s="370"/>
      <c r="HL19" s="370"/>
      <c r="HM19" s="370"/>
      <c r="HN19" s="370"/>
      <c r="HO19" s="370"/>
      <c r="HP19" s="370"/>
      <c r="HQ19" s="370"/>
      <c r="HR19" s="370"/>
      <c r="HS19" s="370"/>
      <c r="HT19" s="370"/>
      <c r="HU19" s="370"/>
      <c r="HV19" s="370"/>
      <c r="HW19" s="370"/>
      <c r="HX19" s="370"/>
      <c r="HY19" s="370"/>
      <c r="HZ19" s="370"/>
      <c r="IA19" s="370"/>
      <c r="IB19" s="370"/>
      <c r="IC19" s="370"/>
      <c r="ID19" s="370"/>
      <c r="IE19" s="370"/>
      <c r="IF19" s="370"/>
      <c r="IG19" s="370"/>
      <c r="IH19" s="370"/>
      <c r="II19" s="370"/>
      <c r="IJ19" s="370"/>
      <c r="IK19" s="370"/>
      <c r="IL19" s="370"/>
      <c r="IM19" s="370"/>
      <c r="IN19" s="370"/>
      <c r="IO19" s="370"/>
      <c r="IP19" s="370"/>
      <c r="IQ19" s="370"/>
      <c r="IR19" s="370"/>
      <c r="IS19" s="370"/>
      <c r="IT19" s="370"/>
      <c r="IU19" s="370"/>
      <c r="IV19" s="370"/>
      <c r="IW19" s="370"/>
      <c r="IX19" s="370"/>
      <c r="IY19" s="370"/>
      <c r="IZ19" s="370"/>
      <c r="JA19" s="370"/>
      <c r="JB19" s="370"/>
      <c r="JC19" s="370"/>
      <c r="JD19" s="370"/>
      <c r="JE19" s="370"/>
      <c r="JF19" s="370"/>
      <c r="JG19" s="370"/>
      <c r="JH19" s="370"/>
      <c r="JI19" s="370"/>
      <c r="JJ19" s="370"/>
      <c r="JK19" s="370"/>
      <c r="JL19" s="370"/>
      <c r="JM19" s="370"/>
      <c r="JN19" s="370"/>
      <c r="JO19" s="370"/>
      <c r="JP19" s="370"/>
      <c r="JQ19" s="370"/>
      <c r="JR19" s="370"/>
      <c r="JS19" s="370"/>
      <c r="JT19" s="370"/>
      <c r="JU19" s="370"/>
      <c r="JV19" s="370"/>
      <c r="JW19" s="370"/>
      <c r="JX19" s="370"/>
      <c r="JY19" s="370"/>
      <c r="JZ19" s="370"/>
      <c r="KA19" s="370"/>
      <c r="KB19" s="370"/>
      <c r="KC19" s="370"/>
      <c r="KD19" s="370"/>
      <c r="KE19" s="370"/>
      <c r="KF19" s="370"/>
      <c r="KG19" s="370"/>
      <c r="KH19" s="370"/>
      <c r="KI19" s="370"/>
      <c r="KJ19" s="370"/>
      <c r="KK19" s="370"/>
      <c r="KL19" s="370"/>
      <c r="KM19" s="370"/>
      <c r="KN19" s="370"/>
      <c r="KO19" s="370"/>
      <c r="KP19" s="370"/>
      <c r="KQ19" s="370"/>
      <c r="KR19" s="370"/>
      <c r="KS19" s="370"/>
      <c r="KT19" s="370"/>
      <c r="KU19" s="370"/>
      <c r="KV19" s="370"/>
      <c r="KW19" s="370"/>
      <c r="KX19" s="370"/>
      <c r="KY19" s="370"/>
      <c r="KZ19" s="370"/>
      <c r="LA19" s="370"/>
      <c r="LB19" s="370"/>
      <c r="LC19" s="370"/>
      <c r="LD19" s="370"/>
      <c r="LE19" s="370"/>
      <c r="LF19" s="370"/>
      <c r="LG19" s="370"/>
      <c r="LH19" s="370"/>
      <c r="LI19" s="370"/>
      <c r="LJ19" s="370"/>
      <c r="LK19" s="370"/>
      <c r="LL19" s="370"/>
      <c r="LM19" s="370"/>
      <c r="LN19" s="370"/>
      <c r="LO19" s="370"/>
      <c r="LP19" s="370"/>
      <c r="LQ19" s="370"/>
      <c r="LR19" s="370"/>
      <c r="LS19" s="370"/>
      <c r="LT19" s="370"/>
      <c r="LU19" s="370"/>
      <c r="LV19" s="370"/>
      <c r="LW19" s="370"/>
      <c r="LX19" s="370"/>
      <c r="LY19" s="370"/>
      <c r="LZ19" s="370"/>
      <c r="MA19" s="370"/>
      <c r="MB19" s="370"/>
      <c r="MC19" s="370"/>
      <c r="MD19" s="370"/>
      <c r="ME19" s="370"/>
      <c r="MF19" s="370"/>
      <c r="MG19" s="370"/>
      <c r="MH19" s="370"/>
      <c r="MI19" s="370"/>
      <c r="MJ19" s="370"/>
      <c r="MK19" s="370"/>
      <c r="ML19" s="370"/>
      <c r="MM19" s="370"/>
      <c r="MN19" s="370"/>
      <c r="MO19" s="370"/>
      <c r="MP19" s="370"/>
      <c r="MQ19" s="370"/>
      <c r="MR19" s="370"/>
      <c r="MS19" s="370"/>
      <c r="MT19" s="370"/>
      <c r="MU19" s="370"/>
      <c r="MV19" s="370"/>
      <c r="MW19" s="370"/>
      <c r="MX19" s="370"/>
      <c r="MY19" s="370"/>
      <c r="MZ19" s="370"/>
      <c r="NA19" s="370"/>
      <c r="NB19" s="370"/>
      <c r="NC19" s="370"/>
      <c r="ND19" s="176">
        <f t="shared" si="0"/>
        <v>0</v>
      </c>
    </row>
    <row r="20" spans="1:368" s="361" customFormat="1" ht="13.5" customHeight="1">
      <c r="A20" s="407"/>
      <c r="B20" s="352" t="s">
        <v>60</v>
      </c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 s="370"/>
      <c r="R20" s="370"/>
      <c r="S20" s="370"/>
      <c r="T20" s="370"/>
      <c r="U20" s="370"/>
      <c r="V20" s="370"/>
      <c r="W20" s="370"/>
      <c r="X20" s="370"/>
      <c r="Y20" s="370"/>
      <c r="Z20" s="370"/>
      <c r="AA20" s="370"/>
      <c r="AB20" s="370"/>
      <c r="AC20" s="370"/>
      <c r="AD20" s="370"/>
      <c r="AE20" s="370"/>
      <c r="AF20" s="370"/>
      <c r="AG20" s="370"/>
      <c r="AH20" s="370"/>
      <c r="AI20" s="370"/>
      <c r="AJ20" s="370"/>
      <c r="AK20" s="370"/>
      <c r="AL20" s="370"/>
      <c r="AM20" s="370"/>
      <c r="AN20" s="370"/>
      <c r="AO20" s="370"/>
      <c r="AP20" s="370"/>
      <c r="AQ20" s="370"/>
      <c r="AR20" s="370"/>
      <c r="AS20" s="370"/>
      <c r="AT20" s="370"/>
      <c r="AU20" s="370"/>
      <c r="AV20" s="370"/>
      <c r="AW20" s="370"/>
      <c r="AX20" s="370"/>
      <c r="AY20" s="370"/>
      <c r="AZ20" s="370"/>
      <c r="BA20" s="370"/>
      <c r="BB20" s="370"/>
      <c r="BC20" s="370"/>
      <c r="BD20" s="370"/>
      <c r="BE20" s="370"/>
      <c r="BF20" s="370"/>
      <c r="BG20" s="370"/>
      <c r="BH20" s="370"/>
      <c r="BI20" s="370"/>
      <c r="BJ20" s="370"/>
      <c r="BK20" s="370"/>
      <c r="BL20" s="370"/>
      <c r="BM20" s="370"/>
      <c r="BN20" s="370"/>
      <c r="BO20" s="370"/>
      <c r="BP20" s="370"/>
      <c r="BQ20" s="370"/>
      <c r="BR20" s="370"/>
      <c r="BS20" s="370"/>
      <c r="BT20" s="370"/>
      <c r="BU20" s="370"/>
      <c r="BV20" s="370"/>
      <c r="BW20" s="370"/>
      <c r="BX20" s="370"/>
      <c r="BY20" s="370"/>
      <c r="BZ20" s="370"/>
      <c r="CA20" s="370"/>
      <c r="CB20" s="370"/>
      <c r="CC20" s="370"/>
      <c r="CD20" s="370"/>
      <c r="CE20" s="370"/>
      <c r="CF20" s="370"/>
      <c r="CG20" s="370"/>
      <c r="CH20" s="370"/>
      <c r="CI20" s="370"/>
      <c r="CJ20" s="370"/>
      <c r="CK20" s="370"/>
      <c r="CL20" s="370"/>
      <c r="CM20" s="370"/>
      <c r="CN20" s="370"/>
      <c r="CO20" s="370"/>
      <c r="CP20" s="370"/>
      <c r="CQ20" s="370"/>
      <c r="CR20" s="370"/>
      <c r="CS20" s="370"/>
      <c r="CT20" s="370"/>
      <c r="CU20" s="370"/>
      <c r="CV20" s="370"/>
      <c r="CW20" s="370"/>
      <c r="CX20" s="370"/>
      <c r="CY20" s="370"/>
      <c r="CZ20" s="370"/>
      <c r="DA20" s="370"/>
      <c r="DB20" s="370"/>
      <c r="DC20" s="370"/>
      <c r="DD20" s="370"/>
      <c r="DE20" s="370"/>
      <c r="DF20" s="370"/>
      <c r="DG20" s="370"/>
      <c r="DH20" s="370"/>
      <c r="DI20" s="370"/>
      <c r="DJ20" s="370"/>
      <c r="DK20" s="370"/>
      <c r="DL20" s="370"/>
      <c r="DM20" s="370"/>
      <c r="DN20" s="370"/>
      <c r="DO20" s="370"/>
      <c r="DP20" s="370"/>
      <c r="DQ20" s="370"/>
      <c r="DR20" s="370"/>
      <c r="DS20" s="370"/>
      <c r="DT20" s="370"/>
      <c r="DU20" s="370"/>
      <c r="DV20" s="370"/>
      <c r="DW20" s="370"/>
      <c r="DX20" s="370"/>
      <c r="DY20" s="370"/>
      <c r="DZ20" s="370"/>
      <c r="EA20" s="370"/>
      <c r="EB20" s="370"/>
      <c r="EC20" s="370"/>
      <c r="ED20" s="370"/>
      <c r="EE20" s="370"/>
      <c r="EF20" s="370"/>
      <c r="EG20" s="370"/>
      <c r="EH20" s="370"/>
      <c r="EI20" s="370"/>
      <c r="EJ20" s="370"/>
      <c r="EK20" s="370"/>
      <c r="EL20" s="370"/>
      <c r="EM20" s="370"/>
      <c r="EN20" s="370"/>
      <c r="EO20" s="370"/>
      <c r="EP20" s="370"/>
      <c r="EQ20" s="370"/>
      <c r="ER20" s="370"/>
      <c r="ES20" s="370"/>
      <c r="ET20" s="370"/>
      <c r="EU20" s="370"/>
      <c r="EV20" s="370"/>
      <c r="EW20" s="370"/>
      <c r="EX20" s="370"/>
      <c r="EY20" s="370"/>
      <c r="EZ20" s="370"/>
      <c r="FA20" s="370"/>
      <c r="FB20" s="370"/>
      <c r="FC20" s="370"/>
      <c r="FD20" s="370"/>
      <c r="FE20" s="370"/>
      <c r="FF20" s="370"/>
      <c r="FG20" s="370"/>
      <c r="FH20" s="370"/>
      <c r="FI20" s="370"/>
      <c r="FJ20" s="370"/>
      <c r="FK20" s="370"/>
      <c r="FL20" s="370"/>
      <c r="FM20" s="370"/>
      <c r="FN20" s="370"/>
      <c r="FO20" s="370"/>
      <c r="FP20" s="370"/>
      <c r="FQ20" s="370"/>
      <c r="FR20" s="370"/>
      <c r="FS20" s="370"/>
      <c r="FT20" s="370"/>
      <c r="FU20" s="370"/>
      <c r="FV20" s="370"/>
      <c r="FW20" s="370"/>
      <c r="FX20" s="370"/>
      <c r="FY20" s="370"/>
      <c r="FZ20" s="370"/>
      <c r="GA20" s="370"/>
      <c r="GB20" s="370"/>
      <c r="GC20" s="370"/>
      <c r="GD20" s="370"/>
      <c r="GE20" s="370"/>
      <c r="GF20" s="370"/>
      <c r="GG20" s="370"/>
      <c r="GH20" s="370"/>
      <c r="GI20" s="370"/>
      <c r="GJ20" s="370"/>
      <c r="GK20" s="370"/>
      <c r="GL20" s="370"/>
      <c r="GM20" s="370"/>
      <c r="GN20" s="370"/>
      <c r="GO20" s="370"/>
      <c r="GP20" s="370"/>
      <c r="GQ20" s="370"/>
      <c r="GR20" s="370"/>
      <c r="GS20" s="370"/>
      <c r="GT20" s="370"/>
      <c r="GU20" s="370"/>
      <c r="GV20" s="370"/>
      <c r="GW20" s="370"/>
      <c r="GX20" s="370"/>
      <c r="GY20" s="370"/>
      <c r="GZ20" s="370"/>
      <c r="HA20" s="370"/>
      <c r="HB20" s="370"/>
      <c r="HC20" s="370"/>
      <c r="HD20" s="370"/>
      <c r="HE20" s="370"/>
      <c r="HF20" s="370"/>
      <c r="HG20" s="370"/>
      <c r="HH20" s="370"/>
      <c r="HI20" s="370"/>
      <c r="HJ20" s="370"/>
      <c r="HK20" s="370"/>
      <c r="HL20" s="370"/>
      <c r="HM20" s="370"/>
      <c r="HN20" s="370"/>
      <c r="HO20" s="370"/>
      <c r="HP20" s="370"/>
      <c r="HQ20" s="370"/>
      <c r="HR20" s="370"/>
      <c r="HS20" s="370"/>
      <c r="HT20" s="370"/>
      <c r="HU20" s="370"/>
      <c r="HV20" s="370"/>
      <c r="HW20" s="370"/>
      <c r="HX20" s="370"/>
      <c r="HY20" s="370"/>
      <c r="HZ20" s="370"/>
      <c r="IA20" s="370"/>
      <c r="IB20" s="370"/>
      <c r="IC20" s="370"/>
      <c r="ID20" s="370"/>
      <c r="IE20" s="370"/>
      <c r="IF20" s="370"/>
      <c r="IG20" s="370"/>
      <c r="IH20" s="370"/>
      <c r="II20" s="370"/>
      <c r="IJ20" s="370"/>
      <c r="IK20" s="370"/>
      <c r="IL20" s="370"/>
      <c r="IM20" s="370"/>
      <c r="IN20" s="370"/>
      <c r="IO20" s="370"/>
      <c r="IP20" s="370"/>
      <c r="IQ20" s="370"/>
      <c r="IR20" s="370"/>
      <c r="IS20" s="370"/>
      <c r="IT20" s="370"/>
      <c r="IU20" s="370"/>
      <c r="IV20" s="370"/>
      <c r="IW20" s="370"/>
      <c r="IX20" s="370"/>
      <c r="IY20" s="370"/>
      <c r="IZ20" s="370"/>
      <c r="JA20" s="370"/>
      <c r="JB20" s="370"/>
      <c r="JC20" s="370"/>
      <c r="JD20" s="370"/>
      <c r="JE20" s="370"/>
      <c r="JF20" s="370"/>
      <c r="JG20" s="370"/>
      <c r="JH20" s="370"/>
      <c r="JI20" s="370"/>
      <c r="JJ20" s="370"/>
      <c r="JK20" s="370"/>
      <c r="JL20" s="370"/>
      <c r="JM20" s="370"/>
      <c r="JN20" s="370"/>
      <c r="JO20" s="370"/>
      <c r="JP20" s="370"/>
      <c r="JQ20" s="370"/>
      <c r="JR20" s="370"/>
      <c r="JS20" s="370"/>
      <c r="JT20" s="370"/>
      <c r="JU20" s="370"/>
      <c r="JV20" s="370"/>
      <c r="JW20" s="370"/>
      <c r="JX20" s="370"/>
      <c r="JY20" s="370"/>
      <c r="JZ20" s="370"/>
      <c r="KA20" s="370"/>
      <c r="KB20" s="370"/>
      <c r="KC20" s="370"/>
      <c r="KD20" s="370"/>
      <c r="KE20" s="370"/>
      <c r="KF20" s="370"/>
      <c r="KG20" s="370"/>
      <c r="KH20" s="370"/>
      <c r="KI20" s="370"/>
      <c r="KJ20" s="370"/>
      <c r="KK20" s="370"/>
      <c r="KL20" s="370"/>
      <c r="KM20" s="370"/>
      <c r="KN20" s="370"/>
      <c r="KO20" s="370"/>
      <c r="KP20" s="370"/>
      <c r="KQ20" s="370"/>
      <c r="KR20" s="370"/>
      <c r="KS20" s="370"/>
      <c r="KT20" s="370"/>
      <c r="KU20" s="370"/>
      <c r="KV20" s="370"/>
      <c r="KW20" s="370"/>
      <c r="KX20" s="370"/>
      <c r="KY20" s="370"/>
      <c r="KZ20" s="370"/>
      <c r="LA20" s="370"/>
      <c r="LB20" s="370"/>
      <c r="LC20" s="370"/>
      <c r="LD20" s="370"/>
      <c r="LE20" s="370"/>
      <c r="LF20" s="370"/>
      <c r="LG20" s="370"/>
      <c r="LH20" s="370"/>
      <c r="LI20" s="370"/>
      <c r="LJ20" s="370"/>
      <c r="LK20" s="370"/>
      <c r="LL20" s="370"/>
      <c r="LM20" s="370"/>
      <c r="LN20" s="370"/>
      <c r="LO20" s="370"/>
      <c r="LP20" s="370"/>
      <c r="LQ20" s="370"/>
      <c r="LR20" s="370"/>
      <c r="LS20" s="370"/>
      <c r="LT20" s="370"/>
      <c r="LU20" s="370"/>
      <c r="LV20" s="370"/>
      <c r="LW20" s="370"/>
      <c r="LX20" s="370"/>
      <c r="LY20" s="370"/>
      <c r="LZ20" s="370"/>
      <c r="MA20" s="370"/>
      <c r="MB20" s="370"/>
      <c r="MC20" s="370"/>
      <c r="MD20" s="370"/>
      <c r="ME20" s="370"/>
      <c r="MF20" s="370"/>
      <c r="MG20" s="370"/>
      <c r="MH20" s="370"/>
      <c r="MI20" s="370"/>
      <c r="MJ20" s="370"/>
      <c r="MK20" s="370"/>
      <c r="ML20" s="370"/>
      <c r="MM20" s="370"/>
      <c r="MN20" s="370"/>
      <c r="MO20" s="370"/>
      <c r="MP20" s="370"/>
      <c r="MQ20" s="370"/>
      <c r="MR20" s="370"/>
      <c r="MS20" s="370"/>
      <c r="MT20" s="370"/>
      <c r="MU20" s="370"/>
      <c r="MV20" s="370"/>
      <c r="MW20" s="370"/>
      <c r="MX20" s="370"/>
      <c r="MY20" s="370"/>
      <c r="MZ20" s="370"/>
      <c r="NA20" s="370"/>
      <c r="NB20" s="370"/>
      <c r="NC20" s="370"/>
      <c r="ND20" s="176">
        <f t="shared" si="0"/>
        <v>0</v>
      </c>
    </row>
    <row r="21" spans="1:368" s="361" customFormat="1" ht="13.5" customHeight="1">
      <c r="A21" s="407"/>
      <c r="B21" s="352" t="s">
        <v>146</v>
      </c>
      <c r="C21" s="370"/>
      <c r="D21" s="370"/>
      <c r="E21" s="370"/>
      <c r="F21" s="370"/>
      <c r="G21" s="370"/>
      <c r="H21" s="370"/>
      <c r="I21" s="370"/>
      <c r="J21" s="370"/>
      <c r="K21" s="370"/>
      <c r="L21" s="370"/>
      <c r="M21" s="370"/>
      <c r="N21" s="370"/>
      <c r="O21" s="370"/>
      <c r="P21" s="370"/>
      <c r="Q21" s="370"/>
      <c r="R21" s="370"/>
      <c r="S21" s="370"/>
      <c r="T21" s="370"/>
      <c r="U21" s="370"/>
      <c r="V21" s="370"/>
      <c r="W21" s="370"/>
      <c r="X21" s="370"/>
      <c r="Y21" s="370"/>
      <c r="Z21" s="370"/>
      <c r="AA21" s="370"/>
      <c r="AB21" s="370"/>
      <c r="AC21" s="370"/>
      <c r="AD21" s="370"/>
      <c r="AE21" s="370"/>
      <c r="AF21" s="370"/>
      <c r="AG21" s="370"/>
      <c r="AH21" s="370"/>
      <c r="AI21" s="370"/>
      <c r="AJ21" s="370"/>
      <c r="AK21" s="370"/>
      <c r="AL21" s="370"/>
      <c r="AM21" s="370"/>
      <c r="AN21" s="370"/>
      <c r="AO21" s="370"/>
      <c r="AP21" s="370"/>
      <c r="AQ21" s="370"/>
      <c r="AR21" s="370"/>
      <c r="AS21" s="370"/>
      <c r="AT21" s="370"/>
      <c r="AU21" s="370"/>
      <c r="AV21" s="370"/>
      <c r="AW21" s="370"/>
      <c r="AX21" s="370"/>
      <c r="AY21" s="370"/>
      <c r="AZ21" s="370"/>
      <c r="BA21" s="370"/>
      <c r="BB21" s="370"/>
      <c r="BC21" s="370"/>
      <c r="BD21" s="370"/>
      <c r="BE21" s="370"/>
      <c r="BF21" s="370"/>
      <c r="BG21" s="370"/>
      <c r="BH21" s="370"/>
      <c r="BI21" s="370"/>
      <c r="BJ21" s="370"/>
      <c r="BK21" s="370"/>
      <c r="BL21" s="370"/>
      <c r="BM21" s="370"/>
      <c r="BN21" s="370"/>
      <c r="BO21" s="370"/>
      <c r="BP21" s="370"/>
      <c r="BQ21" s="370"/>
      <c r="BR21" s="370"/>
      <c r="BS21" s="370"/>
      <c r="BT21" s="370"/>
      <c r="BU21" s="370"/>
      <c r="BV21" s="370"/>
      <c r="BW21" s="370"/>
      <c r="BX21" s="370"/>
      <c r="BY21" s="370"/>
      <c r="BZ21" s="370"/>
      <c r="CA21" s="370"/>
      <c r="CB21" s="370"/>
      <c r="CC21" s="370"/>
      <c r="CD21" s="370"/>
      <c r="CE21" s="370"/>
      <c r="CF21" s="370"/>
      <c r="CG21" s="370"/>
      <c r="CH21" s="370"/>
      <c r="CI21" s="370"/>
      <c r="CJ21" s="370"/>
      <c r="CK21" s="370"/>
      <c r="CL21" s="370"/>
      <c r="CM21" s="370"/>
      <c r="CN21" s="370"/>
      <c r="CO21" s="370"/>
      <c r="CP21" s="370"/>
      <c r="CQ21" s="370"/>
      <c r="CR21" s="370"/>
      <c r="CS21" s="370"/>
      <c r="CT21" s="370"/>
      <c r="CU21" s="370"/>
      <c r="CV21" s="370"/>
      <c r="CW21" s="370"/>
      <c r="CX21" s="370"/>
      <c r="CY21" s="370"/>
      <c r="CZ21" s="370"/>
      <c r="DA21" s="370"/>
      <c r="DB21" s="370"/>
      <c r="DC21" s="370"/>
      <c r="DD21" s="370"/>
      <c r="DE21" s="370"/>
      <c r="DF21" s="370"/>
      <c r="DG21" s="370"/>
      <c r="DH21" s="370"/>
      <c r="DI21" s="370"/>
      <c r="DJ21" s="370"/>
      <c r="DK21" s="370"/>
      <c r="DL21" s="370"/>
      <c r="DM21" s="370"/>
      <c r="DN21" s="370"/>
      <c r="DO21" s="370"/>
      <c r="DP21" s="370"/>
      <c r="DQ21" s="370"/>
      <c r="DR21" s="370"/>
      <c r="DS21" s="370"/>
      <c r="DT21" s="370"/>
      <c r="DU21" s="370"/>
      <c r="DV21" s="370"/>
      <c r="DW21" s="370"/>
      <c r="DX21" s="370"/>
      <c r="DY21" s="370"/>
      <c r="DZ21" s="370"/>
      <c r="EA21" s="370"/>
      <c r="EB21" s="370"/>
      <c r="EC21" s="370"/>
      <c r="ED21" s="370"/>
      <c r="EE21" s="370"/>
      <c r="EF21" s="370"/>
      <c r="EG21" s="370"/>
      <c r="EH21" s="370"/>
      <c r="EI21" s="370"/>
      <c r="EJ21" s="370"/>
      <c r="EK21" s="370"/>
      <c r="EL21" s="370"/>
      <c r="EM21" s="370"/>
      <c r="EN21" s="370"/>
      <c r="EO21" s="370"/>
      <c r="EP21" s="370"/>
      <c r="EQ21" s="370"/>
      <c r="ER21" s="370"/>
      <c r="ES21" s="370"/>
      <c r="ET21" s="370"/>
      <c r="EU21" s="370"/>
      <c r="EV21" s="370"/>
      <c r="EW21" s="370"/>
      <c r="EX21" s="370"/>
      <c r="EY21" s="370"/>
      <c r="EZ21" s="370"/>
      <c r="FA21" s="370"/>
      <c r="FB21" s="370"/>
      <c r="FC21" s="370"/>
      <c r="FD21" s="370"/>
      <c r="FE21" s="370"/>
      <c r="FF21" s="370"/>
      <c r="FG21" s="370"/>
      <c r="FH21" s="370"/>
      <c r="FI21" s="370"/>
      <c r="FJ21" s="370"/>
      <c r="FK21" s="370"/>
      <c r="FL21" s="370"/>
      <c r="FM21" s="370"/>
      <c r="FN21" s="370"/>
      <c r="FO21" s="370"/>
      <c r="FP21" s="370"/>
      <c r="FQ21" s="370"/>
      <c r="FR21" s="370"/>
      <c r="FS21" s="370"/>
      <c r="FT21" s="370"/>
      <c r="FU21" s="370"/>
      <c r="FV21" s="370"/>
      <c r="FW21" s="370"/>
      <c r="FX21" s="370"/>
      <c r="FY21" s="370"/>
      <c r="FZ21" s="370"/>
      <c r="GA21" s="370"/>
      <c r="GB21" s="370"/>
      <c r="GC21" s="370"/>
      <c r="GD21" s="370"/>
      <c r="GE21" s="370"/>
      <c r="GF21" s="370"/>
      <c r="GG21" s="370"/>
      <c r="GH21" s="370"/>
      <c r="GI21" s="370"/>
      <c r="GJ21" s="370"/>
      <c r="GK21" s="370"/>
      <c r="GL21" s="370"/>
      <c r="GM21" s="370"/>
      <c r="GN21" s="370"/>
      <c r="GO21" s="370"/>
      <c r="GP21" s="370"/>
      <c r="GQ21" s="370"/>
      <c r="GR21" s="370"/>
      <c r="GS21" s="370"/>
      <c r="GT21" s="370"/>
      <c r="GU21" s="370"/>
      <c r="GV21" s="370"/>
      <c r="GW21" s="370"/>
      <c r="GX21" s="370"/>
      <c r="GY21" s="370"/>
      <c r="GZ21" s="370"/>
      <c r="HA21" s="370"/>
      <c r="HB21" s="370"/>
      <c r="HC21" s="370"/>
      <c r="HD21" s="370"/>
      <c r="HE21" s="370"/>
      <c r="HF21" s="370"/>
      <c r="HG21" s="370"/>
      <c r="HH21" s="370"/>
      <c r="HI21" s="370"/>
      <c r="HJ21" s="370"/>
      <c r="HK21" s="370"/>
      <c r="HL21" s="370"/>
      <c r="HM21" s="370"/>
      <c r="HN21" s="370"/>
      <c r="HO21" s="370"/>
      <c r="HP21" s="370"/>
      <c r="HQ21" s="370"/>
      <c r="HR21" s="370"/>
      <c r="HS21" s="370"/>
      <c r="HT21" s="370"/>
      <c r="HU21" s="370"/>
      <c r="HV21" s="370"/>
      <c r="HW21" s="370"/>
      <c r="HX21" s="370"/>
      <c r="HY21" s="370"/>
      <c r="HZ21" s="370"/>
      <c r="IA21" s="370"/>
      <c r="IB21" s="370"/>
      <c r="IC21" s="370"/>
      <c r="ID21" s="370"/>
      <c r="IE21" s="370"/>
      <c r="IF21" s="370"/>
      <c r="IG21" s="370"/>
      <c r="IH21" s="370"/>
      <c r="II21" s="370"/>
      <c r="IJ21" s="370"/>
      <c r="IK21" s="370"/>
      <c r="IL21" s="370"/>
      <c r="IM21" s="370"/>
      <c r="IN21" s="370"/>
      <c r="IO21" s="370"/>
      <c r="IP21" s="370"/>
      <c r="IQ21" s="370"/>
      <c r="IR21" s="370"/>
      <c r="IS21" s="370"/>
      <c r="IT21" s="370"/>
      <c r="IU21" s="370"/>
      <c r="IV21" s="370"/>
      <c r="IW21" s="370"/>
      <c r="IX21" s="370"/>
      <c r="IY21" s="370"/>
      <c r="IZ21" s="370"/>
      <c r="JA21" s="370"/>
      <c r="JB21" s="370"/>
      <c r="JC21" s="370"/>
      <c r="JD21" s="370"/>
      <c r="JE21" s="370"/>
      <c r="JF21" s="370"/>
      <c r="JG21" s="370"/>
      <c r="JH21" s="370"/>
      <c r="JI21" s="370"/>
      <c r="JJ21" s="370"/>
      <c r="JK21" s="370"/>
      <c r="JL21" s="370"/>
      <c r="JM21" s="370"/>
      <c r="JN21" s="370"/>
      <c r="JO21" s="370"/>
      <c r="JP21" s="370"/>
      <c r="JQ21" s="370"/>
      <c r="JR21" s="370"/>
      <c r="JS21" s="370"/>
      <c r="JT21" s="370"/>
      <c r="JU21" s="370"/>
      <c r="JV21" s="370"/>
      <c r="JW21" s="370"/>
      <c r="JX21" s="370"/>
      <c r="JY21" s="370"/>
      <c r="JZ21" s="370"/>
      <c r="KA21" s="370"/>
      <c r="KB21" s="370"/>
      <c r="KC21" s="370"/>
      <c r="KD21" s="370"/>
      <c r="KE21" s="370"/>
      <c r="KF21" s="370"/>
      <c r="KG21" s="370"/>
      <c r="KH21" s="370"/>
      <c r="KI21" s="370"/>
      <c r="KJ21" s="370"/>
      <c r="KK21" s="370"/>
      <c r="KL21" s="370"/>
      <c r="KM21" s="370"/>
      <c r="KN21" s="370"/>
      <c r="KO21" s="370"/>
      <c r="KP21" s="370"/>
      <c r="KQ21" s="370"/>
      <c r="KR21" s="370"/>
      <c r="KS21" s="370"/>
      <c r="KT21" s="370"/>
      <c r="KU21" s="370"/>
      <c r="KV21" s="370"/>
      <c r="KW21" s="370"/>
      <c r="KX21" s="370"/>
      <c r="KY21" s="370"/>
      <c r="KZ21" s="370"/>
      <c r="LA21" s="370"/>
      <c r="LB21" s="370"/>
      <c r="LC21" s="370"/>
      <c r="LD21" s="370"/>
      <c r="LE21" s="370"/>
      <c r="LF21" s="370"/>
      <c r="LG21" s="370"/>
      <c r="LH21" s="370"/>
      <c r="LI21" s="370"/>
      <c r="LJ21" s="370"/>
      <c r="LK21" s="370"/>
      <c r="LL21" s="370"/>
      <c r="LM21" s="370"/>
      <c r="LN21" s="370"/>
      <c r="LO21" s="370"/>
      <c r="LP21" s="370"/>
      <c r="LQ21" s="370"/>
      <c r="LR21" s="370"/>
      <c r="LS21" s="370"/>
      <c r="LT21" s="370"/>
      <c r="LU21" s="370"/>
      <c r="LV21" s="370"/>
      <c r="LW21" s="370"/>
      <c r="LX21" s="370"/>
      <c r="LY21" s="370"/>
      <c r="LZ21" s="370"/>
      <c r="MA21" s="370"/>
      <c r="MB21" s="370"/>
      <c r="MC21" s="370"/>
      <c r="MD21" s="370"/>
      <c r="ME21" s="370"/>
      <c r="MF21" s="370"/>
      <c r="MG21" s="370"/>
      <c r="MH21" s="370"/>
      <c r="MI21" s="370"/>
      <c r="MJ21" s="370"/>
      <c r="MK21" s="370"/>
      <c r="ML21" s="370"/>
      <c r="MM21" s="370"/>
      <c r="MN21" s="370"/>
      <c r="MO21" s="370"/>
      <c r="MP21" s="370"/>
      <c r="MQ21" s="370"/>
      <c r="MR21" s="370"/>
      <c r="MS21" s="370"/>
      <c r="MT21" s="370"/>
      <c r="MU21" s="370"/>
      <c r="MV21" s="370"/>
      <c r="MW21" s="370"/>
      <c r="MX21" s="370"/>
      <c r="MY21" s="370"/>
      <c r="MZ21" s="370"/>
      <c r="NA21" s="370"/>
      <c r="NB21" s="370"/>
      <c r="NC21" s="370"/>
      <c r="ND21" s="176">
        <f t="shared" si="0"/>
        <v>0</v>
      </c>
    </row>
    <row r="22" spans="1:368" s="361" customFormat="1" ht="13.5" customHeight="1">
      <c r="A22" s="407"/>
      <c r="B22" s="352" t="s">
        <v>147</v>
      </c>
      <c r="C22" s="370"/>
      <c r="D22" s="370"/>
      <c r="E22" s="370"/>
      <c r="F22" s="370"/>
      <c r="G22" s="370"/>
      <c r="H22" s="370"/>
      <c r="I22" s="370"/>
      <c r="J22" s="370"/>
      <c r="K22" s="370"/>
      <c r="L22" s="370"/>
      <c r="M22" s="370"/>
      <c r="N22" s="370"/>
      <c r="O22" s="370"/>
      <c r="P22" s="370"/>
      <c r="Q22" s="370"/>
      <c r="R22" s="370"/>
      <c r="S22" s="370"/>
      <c r="T22" s="370"/>
      <c r="U22" s="370"/>
      <c r="V22" s="370"/>
      <c r="W22" s="370"/>
      <c r="X22" s="370"/>
      <c r="Y22" s="370"/>
      <c r="Z22" s="370"/>
      <c r="AA22" s="370"/>
      <c r="AB22" s="370"/>
      <c r="AC22" s="370"/>
      <c r="AD22" s="370"/>
      <c r="AE22" s="370"/>
      <c r="AF22" s="370"/>
      <c r="AG22" s="370"/>
      <c r="AH22" s="370"/>
      <c r="AI22" s="370"/>
      <c r="AJ22" s="370"/>
      <c r="AK22" s="370"/>
      <c r="AL22" s="370"/>
      <c r="AM22" s="370"/>
      <c r="AN22" s="370"/>
      <c r="AO22" s="370"/>
      <c r="AP22" s="370"/>
      <c r="AQ22" s="370"/>
      <c r="AR22" s="370"/>
      <c r="AS22" s="370"/>
      <c r="AT22" s="370"/>
      <c r="AU22" s="370"/>
      <c r="AV22" s="370"/>
      <c r="AW22" s="370"/>
      <c r="AX22" s="370"/>
      <c r="AY22" s="370"/>
      <c r="AZ22" s="370"/>
      <c r="BA22" s="370"/>
      <c r="BB22" s="370"/>
      <c r="BC22" s="370"/>
      <c r="BD22" s="370"/>
      <c r="BE22" s="370"/>
      <c r="BF22" s="370"/>
      <c r="BG22" s="370"/>
      <c r="BH22" s="370"/>
      <c r="BI22" s="370"/>
      <c r="BJ22" s="370"/>
      <c r="BK22" s="370"/>
      <c r="BL22" s="370"/>
      <c r="BM22" s="370"/>
      <c r="BN22" s="370"/>
      <c r="BO22" s="370"/>
      <c r="BP22" s="370"/>
      <c r="BQ22" s="370"/>
      <c r="BR22" s="370"/>
      <c r="BS22" s="370"/>
      <c r="BT22" s="370"/>
      <c r="BU22" s="370"/>
      <c r="BV22" s="370"/>
      <c r="BW22" s="370"/>
      <c r="BX22" s="370"/>
      <c r="BY22" s="370"/>
      <c r="BZ22" s="370"/>
      <c r="CA22" s="370"/>
      <c r="CB22" s="370"/>
      <c r="CC22" s="370"/>
      <c r="CD22" s="370"/>
      <c r="CE22" s="370"/>
      <c r="CF22" s="370"/>
      <c r="CG22" s="370"/>
      <c r="CH22" s="370"/>
      <c r="CI22" s="370"/>
      <c r="CJ22" s="370"/>
      <c r="CK22" s="370"/>
      <c r="CL22" s="370"/>
      <c r="CM22" s="370"/>
      <c r="CN22" s="370"/>
      <c r="CO22" s="370"/>
      <c r="CP22" s="370"/>
      <c r="CQ22" s="370"/>
      <c r="CR22" s="370"/>
      <c r="CS22" s="370"/>
      <c r="CT22" s="370"/>
      <c r="CU22" s="370"/>
      <c r="CV22" s="370"/>
      <c r="CW22" s="370"/>
      <c r="CX22" s="370"/>
      <c r="CY22" s="370"/>
      <c r="CZ22" s="370"/>
      <c r="DA22" s="370"/>
      <c r="DB22" s="370"/>
      <c r="DC22" s="370"/>
      <c r="DD22" s="370"/>
      <c r="DE22" s="370"/>
      <c r="DF22" s="370"/>
      <c r="DG22" s="370"/>
      <c r="DH22" s="370"/>
      <c r="DI22" s="370"/>
      <c r="DJ22" s="370"/>
      <c r="DK22" s="370"/>
      <c r="DL22" s="370"/>
      <c r="DM22" s="370"/>
      <c r="DN22" s="370"/>
      <c r="DO22" s="370"/>
      <c r="DP22" s="370"/>
      <c r="DQ22" s="370"/>
      <c r="DR22" s="370"/>
      <c r="DS22" s="370"/>
      <c r="DT22" s="370"/>
      <c r="DU22" s="370"/>
      <c r="DV22" s="370"/>
      <c r="DW22" s="370"/>
      <c r="DX22" s="370"/>
      <c r="DY22" s="370"/>
      <c r="DZ22" s="370"/>
      <c r="EA22" s="370"/>
      <c r="EB22" s="370"/>
      <c r="EC22" s="370"/>
      <c r="ED22" s="370"/>
      <c r="EE22" s="370"/>
      <c r="EF22" s="370"/>
      <c r="EG22" s="370"/>
      <c r="EH22" s="370"/>
      <c r="EI22" s="370"/>
      <c r="EJ22" s="370"/>
      <c r="EK22" s="370"/>
      <c r="EL22" s="370"/>
      <c r="EM22" s="370"/>
      <c r="EN22" s="370"/>
      <c r="EO22" s="370"/>
      <c r="EP22" s="370"/>
      <c r="EQ22" s="370"/>
      <c r="ER22" s="370"/>
      <c r="ES22" s="370"/>
      <c r="ET22" s="370"/>
      <c r="EU22" s="370"/>
      <c r="EV22" s="370"/>
      <c r="EW22" s="370"/>
      <c r="EX22" s="370"/>
      <c r="EY22" s="370"/>
      <c r="EZ22" s="370"/>
      <c r="FA22" s="370"/>
      <c r="FB22" s="370"/>
      <c r="FC22" s="370"/>
      <c r="FD22" s="370"/>
      <c r="FE22" s="370"/>
      <c r="FF22" s="370"/>
      <c r="FG22" s="370"/>
      <c r="FH22" s="370"/>
      <c r="FI22" s="370"/>
      <c r="FJ22" s="370"/>
      <c r="FK22" s="370"/>
      <c r="FL22" s="370"/>
      <c r="FM22" s="370"/>
      <c r="FN22" s="370"/>
      <c r="FO22" s="370"/>
      <c r="FP22" s="370"/>
      <c r="FQ22" s="370"/>
      <c r="FR22" s="370"/>
      <c r="FS22" s="370"/>
      <c r="FT22" s="370"/>
      <c r="FU22" s="370"/>
      <c r="FV22" s="370"/>
      <c r="FW22" s="370"/>
      <c r="FX22" s="370"/>
      <c r="FY22" s="370"/>
      <c r="FZ22" s="370"/>
      <c r="GA22" s="370"/>
      <c r="GB22" s="370"/>
      <c r="GC22" s="370"/>
      <c r="GD22" s="370"/>
      <c r="GE22" s="370"/>
      <c r="GF22" s="370"/>
      <c r="GG22" s="370"/>
      <c r="GH22" s="370"/>
      <c r="GI22" s="370"/>
      <c r="GJ22" s="370"/>
      <c r="GK22" s="370"/>
      <c r="GL22" s="370"/>
      <c r="GM22" s="370"/>
      <c r="GN22" s="370"/>
      <c r="GO22" s="370"/>
      <c r="GP22" s="370"/>
      <c r="GQ22" s="370"/>
      <c r="GR22" s="370"/>
      <c r="GS22" s="370"/>
      <c r="GT22" s="370"/>
      <c r="GU22" s="370"/>
      <c r="GV22" s="370"/>
      <c r="GW22" s="370"/>
      <c r="GX22" s="370"/>
      <c r="GY22" s="370"/>
      <c r="GZ22" s="370"/>
      <c r="HA22" s="370"/>
      <c r="HB22" s="370"/>
      <c r="HC22" s="370"/>
      <c r="HD22" s="370"/>
      <c r="HE22" s="370"/>
      <c r="HF22" s="370"/>
      <c r="HG22" s="370"/>
      <c r="HH22" s="370"/>
      <c r="HI22" s="370"/>
      <c r="HJ22" s="370"/>
      <c r="HK22" s="370"/>
      <c r="HL22" s="370"/>
      <c r="HM22" s="370"/>
      <c r="HN22" s="370"/>
      <c r="HO22" s="370"/>
      <c r="HP22" s="370"/>
      <c r="HQ22" s="370"/>
      <c r="HR22" s="370"/>
      <c r="HS22" s="370"/>
      <c r="HT22" s="370"/>
      <c r="HU22" s="370"/>
      <c r="HV22" s="370"/>
      <c r="HW22" s="370"/>
      <c r="HX22" s="370"/>
      <c r="HY22" s="370"/>
      <c r="HZ22" s="370"/>
      <c r="IA22" s="370"/>
      <c r="IB22" s="370"/>
      <c r="IC22" s="370"/>
      <c r="ID22" s="370"/>
      <c r="IE22" s="370"/>
      <c r="IF22" s="370"/>
      <c r="IG22" s="370"/>
      <c r="IH22" s="370"/>
      <c r="II22" s="370"/>
      <c r="IJ22" s="370"/>
      <c r="IK22" s="370"/>
      <c r="IL22" s="370"/>
      <c r="IM22" s="370"/>
      <c r="IN22" s="370"/>
      <c r="IO22" s="370"/>
      <c r="IP22" s="370"/>
      <c r="IQ22" s="370"/>
      <c r="IR22" s="370"/>
      <c r="IS22" s="370"/>
      <c r="IT22" s="370"/>
      <c r="IU22" s="370"/>
      <c r="IV22" s="370"/>
      <c r="IW22" s="370"/>
      <c r="IX22" s="370"/>
      <c r="IY22" s="370"/>
      <c r="IZ22" s="370"/>
      <c r="JA22" s="370"/>
      <c r="JB22" s="370"/>
      <c r="JC22" s="370"/>
      <c r="JD22" s="370"/>
      <c r="JE22" s="370"/>
      <c r="JF22" s="370"/>
      <c r="JG22" s="370"/>
      <c r="JH22" s="370"/>
      <c r="JI22" s="370"/>
      <c r="JJ22" s="370"/>
      <c r="JK22" s="370"/>
      <c r="JL22" s="370"/>
      <c r="JM22" s="370"/>
      <c r="JN22" s="370"/>
      <c r="JO22" s="370"/>
      <c r="JP22" s="370"/>
      <c r="JQ22" s="370"/>
      <c r="JR22" s="370"/>
      <c r="JS22" s="370"/>
      <c r="JT22" s="370"/>
      <c r="JU22" s="370"/>
      <c r="JV22" s="370"/>
      <c r="JW22" s="370"/>
      <c r="JX22" s="370"/>
      <c r="JY22" s="370"/>
      <c r="JZ22" s="370"/>
      <c r="KA22" s="370"/>
      <c r="KB22" s="370"/>
      <c r="KC22" s="370"/>
      <c r="KD22" s="370"/>
      <c r="KE22" s="370"/>
      <c r="KF22" s="370"/>
      <c r="KG22" s="370"/>
      <c r="KH22" s="370"/>
      <c r="KI22" s="370"/>
      <c r="KJ22" s="370"/>
      <c r="KK22" s="370"/>
      <c r="KL22" s="370"/>
      <c r="KM22" s="370"/>
      <c r="KN22" s="370"/>
      <c r="KO22" s="370"/>
      <c r="KP22" s="370"/>
      <c r="KQ22" s="370"/>
      <c r="KR22" s="370"/>
      <c r="KS22" s="370"/>
      <c r="KT22" s="370"/>
      <c r="KU22" s="370"/>
      <c r="KV22" s="370"/>
      <c r="KW22" s="370"/>
      <c r="KX22" s="370"/>
      <c r="KY22" s="370"/>
      <c r="KZ22" s="370"/>
      <c r="LA22" s="370"/>
      <c r="LB22" s="370"/>
      <c r="LC22" s="370"/>
      <c r="LD22" s="370"/>
      <c r="LE22" s="370"/>
      <c r="LF22" s="370"/>
      <c r="LG22" s="370"/>
      <c r="LH22" s="370"/>
      <c r="LI22" s="370"/>
      <c r="LJ22" s="370"/>
      <c r="LK22" s="370"/>
      <c r="LL22" s="370"/>
      <c r="LM22" s="370"/>
      <c r="LN22" s="370"/>
      <c r="LO22" s="370"/>
      <c r="LP22" s="370"/>
      <c r="LQ22" s="370"/>
      <c r="LR22" s="370"/>
      <c r="LS22" s="370"/>
      <c r="LT22" s="370"/>
      <c r="LU22" s="370"/>
      <c r="LV22" s="370"/>
      <c r="LW22" s="370"/>
      <c r="LX22" s="370"/>
      <c r="LY22" s="370"/>
      <c r="LZ22" s="370"/>
      <c r="MA22" s="370"/>
      <c r="MB22" s="370"/>
      <c r="MC22" s="370"/>
      <c r="MD22" s="370"/>
      <c r="ME22" s="370"/>
      <c r="MF22" s="370"/>
      <c r="MG22" s="370"/>
      <c r="MH22" s="370"/>
      <c r="MI22" s="370"/>
      <c r="MJ22" s="370"/>
      <c r="MK22" s="370"/>
      <c r="ML22" s="370"/>
      <c r="MM22" s="370"/>
      <c r="MN22" s="370"/>
      <c r="MO22" s="370"/>
      <c r="MP22" s="370"/>
      <c r="MQ22" s="370"/>
      <c r="MR22" s="370"/>
      <c r="MS22" s="370"/>
      <c r="MT22" s="370"/>
      <c r="MU22" s="370"/>
      <c r="MV22" s="370"/>
      <c r="MW22" s="370"/>
      <c r="MX22" s="370"/>
      <c r="MY22" s="370"/>
      <c r="MZ22" s="370"/>
      <c r="NA22" s="370"/>
      <c r="NB22" s="370"/>
      <c r="NC22" s="370"/>
      <c r="ND22" s="176">
        <f t="shared" si="0"/>
        <v>0</v>
      </c>
    </row>
    <row r="23" spans="1:368" s="361" customFormat="1" ht="13.5" customHeight="1">
      <c r="A23" s="407"/>
      <c r="B23" s="352" t="s">
        <v>141</v>
      </c>
      <c r="C23" s="370"/>
      <c r="D23" s="370"/>
      <c r="E23" s="370"/>
      <c r="F23" s="370"/>
      <c r="G23" s="370"/>
      <c r="H23" s="370"/>
      <c r="I23" s="370"/>
      <c r="J23" s="370"/>
      <c r="K23" s="370"/>
      <c r="L23" s="370"/>
      <c r="M23" s="370"/>
      <c r="N23" s="370"/>
      <c r="O23" s="370"/>
      <c r="P23" s="370"/>
      <c r="Q23" s="370"/>
      <c r="R23" s="370"/>
      <c r="S23" s="370"/>
      <c r="T23" s="370"/>
      <c r="U23" s="370"/>
      <c r="V23" s="370"/>
      <c r="W23" s="370"/>
      <c r="X23" s="370"/>
      <c r="Y23" s="370"/>
      <c r="Z23" s="370"/>
      <c r="AA23" s="370"/>
      <c r="AB23" s="370"/>
      <c r="AC23" s="370"/>
      <c r="AD23" s="370"/>
      <c r="AE23" s="370"/>
      <c r="AF23" s="370"/>
      <c r="AG23" s="370"/>
      <c r="AH23" s="370"/>
      <c r="AI23" s="370"/>
      <c r="AJ23" s="370"/>
      <c r="AK23" s="370"/>
      <c r="AL23" s="370"/>
      <c r="AM23" s="370"/>
      <c r="AN23" s="370"/>
      <c r="AO23" s="370"/>
      <c r="AP23" s="370"/>
      <c r="AQ23" s="370"/>
      <c r="AR23" s="370"/>
      <c r="AS23" s="370"/>
      <c r="AT23" s="370"/>
      <c r="AU23" s="370"/>
      <c r="AV23" s="370"/>
      <c r="AW23" s="370"/>
      <c r="AX23" s="370"/>
      <c r="AY23" s="370"/>
      <c r="AZ23" s="370"/>
      <c r="BA23" s="370"/>
      <c r="BB23" s="370"/>
      <c r="BC23" s="370"/>
      <c r="BD23" s="370"/>
      <c r="BE23" s="370"/>
      <c r="BF23" s="370"/>
      <c r="BG23" s="370"/>
      <c r="BH23" s="370"/>
      <c r="BI23" s="370"/>
      <c r="BJ23" s="370"/>
      <c r="BK23" s="370"/>
      <c r="BL23" s="370"/>
      <c r="BM23" s="370"/>
      <c r="BN23" s="370"/>
      <c r="BO23" s="370"/>
      <c r="BP23" s="370"/>
      <c r="BQ23" s="370"/>
      <c r="BR23" s="370"/>
      <c r="BS23" s="370"/>
      <c r="BT23" s="370"/>
      <c r="BU23" s="370"/>
      <c r="BV23" s="370"/>
      <c r="BW23" s="370"/>
      <c r="BX23" s="370"/>
      <c r="BY23" s="370"/>
      <c r="BZ23" s="370"/>
      <c r="CA23" s="370"/>
      <c r="CB23" s="370"/>
      <c r="CC23" s="370"/>
      <c r="CD23" s="370"/>
      <c r="CE23" s="370"/>
      <c r="CF23" s="370"/>
      <c r="CG23" s="370"/>
      <c r="CH23" s="370"/>
      <c r="CI23" s="370"/>
      <c r="CJ23" s="370"/>
      <c r="CK23" s="370"/>
      <c r="CL23" s="370"/>
      <c r="CM23" s="370"/>
      <c r="CN23" s="370"/>
      <c r="CO23" s="370"/>
      <c r="CP23" s="370"/>
      <c r="CQ23" s="370"/>
      <c r="CR23" s="370"/>
      <c r="CS23" s="370"/>
      <c r="CT23" s="370"/>
      <c r="CU23" s="370"/>
      <c r="CV23" s="370"/>
      <c r="CW23" s="370"/>
      <c r="CX23" s="370"/>
      <c r="CY23" s="370"/>
      <c r="CZ23" s="370"/>
      <c r="DA23" s="370"/>
      <c r="DB23" s="370"/>
      <c r="DC23" s="370"/>
      <c r="DD23" s="370"/>
      <c r="DE23" s="370"/>
      <c r="DF23" s="370"/>
      <c r="DG23" s="370"/>
      <c r="DH23" s="370"/>
      <c r="DI23" s="370"/>
      <c r="DJ23" s="370"/>
      <c r="DK23" s="370"/>
      <c r="DL23" s="370"/>
      <c r="DM23" s="370"/>
      <c r="DN23" s="370"/>
      <c r="DO23" s="370"/>
      <c r="DP23" s="370"/>
      <c r="DQ23" s="370"/>
      <c r="DR23" s="370"/>
      <c r="DS23" s="370"/>
      <c r="DT23" s="370"/>
      <c r="DU23" s="370"/>
      <c r="DV23" s="370"/>
      <c r="DW23" s="370"/>
      <c r="DX23" s="370"/>
      <c r="DY23" s="370"/>
      <c r="DZ23" s="370"/>
      <c r="EA23" s="370"/>
      <c r="EB23" s="370"/>
      <c r="EC23" s="370"/>
      <c r="ED23" s="370"/>
      <c r="EE23" s="370"/>
      <c r="EF23" s="370"/>
      <c r="EG23" s="370"/>
      <c r="EH23" s="370"/>
      <c r="EI23" s="370"/>
      <c r="EJ23" s="370"/>
      <c r="EK23" s="370"/>
      <c r="EL23" s="370"/>
      <c r="EM23" s="370"/>
      <c r="EN23" s="370"/>
      <c r="EO23" s="370"/>
      <c r="EP23" s="370"/>
      <c r="EQ23" s="370"/>
      <c r="ER23" s="370"/>
      <c r="ES23" s="370"/>
      <c r="ET23" s="370"/>
      <c r="EU23" s="370"/>
      <c r="EV23" s="370"/>
      <c r="EW23" s="370"/>
      <c r="EX23" s="370"/>
      <c r="EY23" s="370"/>
      <c r="EZ23" s="370"/>
      <c r="FA23" s="370"/>
      <c r="FB23" s="370"/>
      <c r="FC23" s="370"/>
      <c r="FD23" s="370"/>
      <c r="FE23" s="370"/>
      <c r="FF23" s="370"/>
      <c r="FG23" s="370"/>
      <c r="FH23" s="370"/>
      <c r="FI23" s="370"/>
      <c r="FJ23" s="370"/>
      <c r="FK23" s="370"/>
      <c r="FL23" s="370"/>
      <c r="FM23" s="370"/>
      <c r="FN23" s="370"/>
      <c r="FO23" s="370"/>
      <c r="FP23" s="370"/>
      <c r="FQ23" s="370"/>
      <c r="FR23" s="370"/>
      <c r="FS23" s="370"/>
      <c r="FT23" s="370"/>
      <c r="FU23" s="370"/>
      <c r="FV23" s="370"/>
      <c r="FW23" s="370"/>
      <c r="FX23" s="370"/>
      <c r="FY23" s="370"/>
      <c r="FZ23" s="370"/>
      <c r="GA23" s="370"/>
      <c r="GB23" s="370"/>
      <c r="GC23" s="370"/>
      <c r="GD23" s="370"/>
      <c r="GE23" s="370"/>
      <c r="GF23" s="370"/>
      <c r="GG23" s="370"/>
      <c r="GH23" s="370"/>
      <c r="GI23" s="370"/>
      <c r="GJ23" s="370"/>
      <c r="GK23" s="370"/>
      <c r="GL23" s="370"/>
      <c r="GM23" s="370"/>
      <c r="GN23" s="370"/>
      <c r="GO23" s="370"/>
      <c r="GP23" s="370"/>
      <c r="GQ23" s="370"/>
      <c r="GR23" s="370"/>
      <c r="GS23" s="370"/>
      <c r="GT23" s="370"/>
      <c r="GU23" s="370"/>
      <c r="GV23" s="370"/>
      <c r="GW23" s="370"/>
      <c r="GX23" s="370"/>
      <c r="GY23" s="370"/>
      <c r="GZ23" s="370"/>
      <c r="HA23" s="370"/>
      <c r="HB23" s="370"/>
      <c r="HC23" s="370"/>
      <c r="HD23" s="370"/>
      <c r="HE23" s="370"/>
      <c r="HF23" s="370"/>
      <c r="HG23" s="370"/>
      <c r="HH23" s="370"/>
      <c r="HI23" s="370"/>
      <c r="HJ23" s="370"/>
      <c r="HK23" s="370"/>
      <c r="HL23" s="370"/>
      <c r="HM23" s="370"/>
      <c r="HN23" s="370"/>
      <c r="HO23" s="370"/>
      <c r="HP23" s="370"/>
      <c r="HQ23" s="370"/>
      <c r="HR23" s="370"/>
      <c r="HS23" s="370"/>
      <c r="HT23" s="370"/>
      <c r="HU23" s="370"/>
      <c r="HV23" s="370"/>
      <c r="HW23" s="370"/>
      <c r="HX23" s="370"/>
      <c r="HY23" s="370"/>
      <c r="HZ23" s="370"/>
      <c r="IA23" s="370"/>
      <c r="IB23" s="370"/>
      <c r="IC23" s="370"/>
      <c r="ID23" s="370"/>
      <c r="IE23" s="370"/>
      <c r="IF23" s="370"/>
      <c r="IG23" s="370"/>
      <c r="IH23" s="370"/>
      <c r="II23" s="370"/>
      <c r="IJ23" s="370"/>
      <c r="IK23" s="370"/>
      <c r="IL23" s="370"/>
      <c r="IM23" s="370"/>
      <c r="IN23" s="370"/>
      <c r="IO23" s="370"/>
      <c r="IP23" s="370"/>
      <c r="IQ23" s="370"/>
      <c r="IR23" s="370"/>
      <c r="IS23" s="370"/>
      <c r="IT23" s="370"/>
      <c r="IU23" s="370"/>
      <c r="IV23" s="370"/>
      <c r="IW23" s="370"/>
      <c r="IX23" s="370"/>
      <c r="IY23" s="370"/>
      <c r="IZ23" s="370"/>
      <c r="JA23" s="370"/>
      <c r="JB23" s="370"/>
      <c r="JC23" s="370"/>
      <c r="JD23" s="370"/>
      <c r="JE23" s="370"/>
      <c r="JF23" s="370"/>
      <c r="JG23" s="370"/>
      <c r="JH23" s="370"/>
      <c r="JI23" s="370"/>
      <c r="JJ23" s="370"/>
      <c r="JK23" s="370"/>
      <c r="JL23" s="370"/>
      <c r="JM23" s="370"/>
      <c r="JN23" s="370"/>
      <c r="JO23" s="370"/>
      <c r="JP23" s="370"/>
      <c r="JQ23" s="370"/>
      <c r="JR23" s="370"/>
      <c r="JS23" s="370"/>
      <c r="JT23" s="370"/>
      <c r="JU23" s="370"/>
      <c r="JV23" s="370"/>
      <c r="JW23" s="370"/>
      <c r="JX23" s="370"/>
      <c r="JY23" s="370"/>
      <c r="JZ23" s="370"/>
      <c r="KA23" s="370"/>
      <c r="KB23" s="370"/>
      <c r="KC23" s="370"/>
      <c r="KD23" s="370"/>
      <c r="KE23" s="370"/>
      <c r="KF23" s="370"/>
      <c r="KG23" s="370"/>
      <c r="KH23" s="370"/>
      <c r="KI23" s="370"/>
      <c r="KJ23" s="370"/>
      <c r="KK23" s="370"/>
      <c r="KL23" s="370"/>
      <c r="KM23" s="370"/>
      <c r="KN23" s="370"/>
      <c r="KO23" s="370"/>
      <c r="KP23" s="370"/>
      <c r="KQ23" s="370"/>
      <c r="KR23" s="370"/>
      <c r="KS23" s="370"/>
      <c r="KT23" s="370"/>
      <c r="KU23" s="370"/>
      <c r="KV23" s="370"/>
      <c r="KW23" s="370"/>
      <c r="KX23" s="370"/>
      <c r="KY23" s="370"/>
      <c r="KZ23" s="370"/>
      <c r="LA23" s="370"/>
      <c r="LB23" s="370"/>
      <c r="LC23" s="370"/>
      <c r="LD23" s="370"/>
      <c r="LE23" s="370"/>
      <c r="LF23" s="370"/>
      <c r="LG23" s="370"/>
      <c r="LH23" s="370"/>
      <c r="LI23" s="370"/>
      <c r="LJ23" s="370"/>
      <c r="LK23" s="370"/>
      <c r="LL23" s="370"/>
      <c r="LM23" s="370"/>
      <c r="LN23" s="370"/>
      <c r="LO23" s="370"/>
      <c r="LP23" s="370"/>
      <c r="LQ23" s="370"/>
      <c r="LR23" s="370"/>
      <c r="LS23" s="370"/>
      <c r="LT23" s="370"/>
      <c r="LU23" s="370"/>
      <c r="LV23" s="370"/>
      <c r="LW23" s="370"/>
      <c r="LX23" s="370"/>
      <c r="LY23" s="370"/>
      <c r="LZ23" s="370"/>
      <c r="MA23" s="370"/>
      <c r="MB23" s="370"/>
      <c r="MC23" s="370"/>
      <c r="MD23" s="370"/>
      <c r="ME23" s="370"/>
      <c r="MF23" s="370"/>
      <c r="MG23" s="370"/>
      <c r="MH23" s="370"/>
      <c r="MI23" s="370"/>
      <c r="MJ23" s="370"/>
      <c r="MK23" s="370"/>
      <c r="ML23" s="370"/>
      <c r="MM23" s="370"/>
      <c r="MN23" s="370"/>
      <c r="MO23" s="370"/>
      <c r="MP23" s="370"/>
      <c r="MQ23" s="370"/>
      <c r="MR23" s="370"/>
      <c r="MS23" s="370"/>
      <c r="MT23" s="370"/>
      <c r="MU23" s="370"/>
      <c r="MV23" s="370"/>
      <c r="MW23" s="370"/>
      <c r="MX23" s="370"/>
      <c r="MY23" s="370"/>
      <c r="MZ23" s="370"/>
      <c r="NA23" s="370"/>
      <c r="NB23" s="370"/>
      <c r="NC23" s="370"/>
      <c r="ND23" s="176">
        <f t="shared" si="0"/>
        <v>0</v>
      </c>
    </row>
    <row r="24" spans="1:368" s="361" customFormat="1" ht="13.5" customHeight="1">
      <c r="A24" s="407"/>
      <c r="B24" s="352" t="s">
        <v>143</v>
      </c>
      <c r="C24" s="370"/>
      <c r="D24" s="370"/>
      <c r="E24" s="370"/>
      <c r="F24" s="370"/>
      <c r="G24" s="370"/>
      <c r="H24" s="370"/>
      <c r="I24" s="370"/>
      <c r="J24" s="370"/>
      <c r="K24" s="370"/>
      <c r="L24" s="370"/>
      <c r="M24" s="370"/>
      <c r="N24" s="370"/>
      <c r="O24" s="370"/>
      <c r="P24" s="370"/>
      <c r="Q24" s="370"/>
      <c r="R24" s="370"/>
      <c r="S24" s="370"/>
      <c r="T24" s="370"/>
      <c r="U24" s="370"/>
      <c r="V24" s="370"/>
      <c r="W24" s="370"/>
      <c r="X24" s="370"/>
      <c r="Y24" s="370"/>
      <c r="Z24" s="370"/>
      <c r="AA24" s="370"/>
      <c r="AB24" s="370"/>
      <c r="AC24" s="370"/>
      <c r="AD24" s="370"/>
      <c r="AE24" s="370"/>
      <c r="AF24" s="370"/>
      <c r="AG24" s="370"/>
      <c r="AH24" s="370"/>
      <c r="AI24" s="370"/>
      <c r="AJ24" s="370"/>
      <c r="AK24" s="370"/>
      <c r="AL24" s="370"/>
      <c r="AM24" s="370"/>
      <c r="AN24" s="370"/>
      <c r="AO24" s="370"/>
      <c r="AP24" s="370"/>
      <c r="AQ24" s="370"/>
      <c r="AR24" s="370"/>
      <c r="AS24" s="370"/>
      <c r="AT24" s="370"/>
      <c r="AU24" s="370"/>
      <c r="AV24" s="370"/>
      <c r="AW24" s="370"/>
      <c r="AX24" s="370"/>
      <c r="AY24" s="370"/>
      <c r="AZ24" s="370"/>
      <c r="BA24" s="370"/>
      <c r="BB24" s="370"/>
      <c r="BC24" s="370"/>
      <c r="BD24" s="370"/>
      <c r="BE24" s="370"/>
      <c r="BF24" s="370"/>
      <c r="BG24" s="370"/>
      <c r="BH24" s="370"/>
      <c r="BI24" s="370"/>
      <c r="BJ24" s="370"/>
      <c r="BK24" s="370"/>
      <c r="BL24" s="370"/>
      <c r="BM24" s="370"/>
      <c r="BN24" s="370"/>
      <c r="BO24" s="370"/>
      <c r="BP24" s="370"/>
      <c r="BQ24" s="370"/>
      <c r="BR24" s="370"/>
      <c r="BS24" s="370"/>
      <c r="BT24" s="370"/>
      <c r="BU24" s="370"/>
      <c r="BV24" s="370"/>
      <c r="BW24" s="370"/>
      <c r="BX24" s="370"/>
      <c r="BY24" s="370"/>
      <c r="BZ24" s="370"/>
      <c r="CA24" s="370"/>
      <c r="CB24" s="370"/>
      <c r="CC24" s="370"/>
      <c r="CD24" s="370"/>
      <c r="CE24" s="370"/>
      <c r="CF24" s="370"/>
      <c r="CG24" s="370"/>
      <c r="CH24" s="370"/>
      <c r="CI24" s="370"/>
      <c r="CJ24" s="370"/>
      <c r="CK24" s="370"/>
      <c r="CL24" s="370"/>
      <c r="CM24" s="370"/>
      <c r="CN24" s="370"/>
      <c r="CO24" s="370"/>
      <c r="CP24" s="370"/>
      <c r="CQ24" s="370"/>
      <c r="CR24" s="370"/>
      <c r="CS24" s="370"/>
      <c r="CT24" s="370"/>
      <c r="CU24" s="370"/>
      <c r="CV24" s="370"/>
      <c r="CW24" s="370"/>
      <c r="CX24" s="370"/>
      <c r="CY24" s="370"/>
      <c r="CZ24" s="370"/>
      <c r="DA24" s="370"/>
      <c r="DB24" s="370"/>
      <c r="DC24" s="370"/>
      <c r="DD24" s="370"/>
      <c r="DE24" s="370"/>
      <c r="DF24" s="370"/>
      <c r="DG24" s="370"/>
      <c r="DH24" s="370"/>
      <c r="DI24" s="370"/>
      <c r="DJ24" s="370"/>
      <c r="DK24" s="370"/>
      <c r="DL24" s="370"/>
      <c r="DM24" s="370"/>
      <c r="DN24" s="370"/>
      <c r="DO24" s="370"/>
      <c r="DP24" s="370"/>
      <c r="DQ24" s="370"/>
      <c r="DR24" s="370"/>
      <c r="DS24" s="370"/>
      <c r="DT24" s="370"/>
      <c r="DU24" s="370"/>
      <c r="DV24" s="370"/>
      <c r="DW24" s="370"/>
      <c r="DX24" s="370"/>
      <c r="DY24" s="370"/>
      <c r="DZ24" s="370"/>
      <c r="EA24" s="370"/>
      <c r="EB24" s="370"/>
      <c r="EC24" s="370"/>
      <c r="ED24" s="370"/>
      <c r="EE24" s="370"/>
      <c r="EF24" s="370"/>
      <c r="EG24" s="370"/>
      <c r="EH24" s="370"/>
      <c r="EI24" s="370"/>
      <c r="EJ24" s="370"/>
      <c r="EK24" s="370"/>
      <c r="EL24" s="370"/>
      <c r="EM24" s="370"/>
      <c r="EN24" s="370"/>
      <c r="EO24" s="370"/>
      <c r="EP24" s="370"/>
      <c r="EQ24" s="370"/>
      <c r="ER24" s="370"/>
      <c r="ES24" s="370"/>
      <c r="ET24" s="370"/>
      <c r="EU24" s="370"/>
      <c r="EV24" s="370"/>
      <c r="EW24" s="370"/>
      <c r="EX24" s="370"/>
      <c r="EY24" s="370"/>
      <c r="EZ24" s="370"/>
      <c r="FA24" s="370"/>
      <c r="FB24" s="370"/>
      <c r="FC24" s="370"/>
      <c r="FD24" s="370"/>
      <c r="FE24" s="370"/>
      <c r="FF24" s="370"/>
      <c r="FG24" s="370"/>
      <c r="FH24" s="370"/>
      <c r="FI24" s="370"/>
      <c r="FJ24" s="370"/>
      <c r="FK24" s="370"/>
      <c r="FL24" s="370"/>
      <c r="FM24" s="370"/>
      <c r="FN24" s="370"/>
      <c r="FO24" s="370"/>
      <c r="FP24" s="370"/>
      <c r="FQ24" s="370"/>
      <c r="FR24" s="370"/>
      <c r="FS24" s="370"/>
      <c r="FT24" s="370"/>
      <c r="FU24" s="370"/>
      <c r="FV24" s="370"/>
      <c r="FW24" s="370"/>
      <c r="FX24" s="370"/>
      <c r="FY24" s="370"/>
      <c r="FZ24" s="370"/>
      <c r="GA24" s="370"/>
      <c r="GB24" s="370"/>
      <c r="GC24" s="370"/>
      <c r="GD24" s="370"/>
      <c r="GE24" s="370"/>
      <c r="GF24" s="370"/>
      <c r="GG24" s="370"/>
      <c r="GH24" s="370"/>
      <c r="GI24" s="370"/>
      <c r="GJ24" s="370"/>
      <c r="GK24" s="370"/>
      <c r="GL24" s="370"/>
      <c r="GM24" s="370"/>
      <c r="GN24" s="370"/>
      <c r="GO24" s="370"/>
      <c r="GP24" s="370"/>
      <c r="GQ24" s="370"/>
      <c r="GR24" s="370"/>
      <c r="GS24" s="370"/>
      <c r="GT24" s="370"/>
      <c r="GU24" s="370"/>
      <c r="GV24" s="370"/>
      <c r="GW24" s="370"/>
      <c r="GX24" s="370"/>
      <c r="GY24" s="370"/>
      <c r="GZ24" s="370"/>
      <c r="HA24" s="370"/>
      <c r="HB24" s="370"/>
      <c r="HC24" s="370"/>
      <c r="HD24" s="370"/>
      <c r="HE24" s="370"/>
      <c r="HF24" s="370"/>
      <c r="HG24" s="370"/>
      <c r="HH24" s="370"/>
      <c r="HI24" s="370"/>
      <c r="HJ24" s="370"/>
      <c r="HK24" s="370"/>
      <c r="HL24" s="370"/>
      <c r="HM24" s="370"/>
      <c r="HN24" s="370"/>
      <c r="HO24" s="370"/>
      <c r="HP24" s="370"/>
      <c r="HQ24" s="370"/>
      <c r="HR24" s="370"/>
      <c r="HS24" s="370"/>
      <c r="HT24" s="370"/>
      <c r="HU24" s="370"/>
      <c r="HV24" s="370"/>
      <c r="HW24" s="370"/>
      <c r="HX24" s="370"/>
      <c r="HY24" s="370"/>
      <c r="HZ24" s="370"/>
      <c r="IA24" s="370"/>
      <c r="IB24" s="370"/>
      <c r="IC24" s="370"/>
      <c r="ID24" s="370"/>
      <c r="IE24" s="370"/>
      <c r="IF24" s="370"/>
      <c r="IG24" s="370"/>
      <c r="IH24" s="370"/>
      <c r="II24" s="370"/>
      <c r="IJ24" s="370"/>
      <c r="IK24" s="370"/>
      <c r="IL24" s="370"/>
      <c r="IM24" s="370"/>
      <c r="IN24" s="370"/>
      <c r="IO24" s="370"/>
      <c r="IP24" s="370"/>
      <c r="IQ24" s="370"/>
      <c r="IR24" s="370"/>
      <c r="IS24" s="370"/>
      <c r="IT24" s="370"/>
      <c r="IU24" s="370"/>
      <c r="IV24" s="370"/>
      <c r="IW24" s="370"/>
      <c r="IX24" s="370"/>
      <c r="IY24" s="370"/>
      <c r="IZ24" s="370"/>
      <c r="JA24" s="370"/>
      <c r="JB24" s="370"/>
      <c r="JC24" s="370"/>
      <c r="JD24" s="370"/>
      <c r="JE24" s="370"/>
      <c r="JF24" s="370"/>
      <c r="JG24" s="370"/>
      <c r="JH24" s="370"/>
      <c r="JI24" s="370"/>
      <c r="JJ24" s="370"/>
      <c r="JK24" s="370"/>
      <c r="JL24" s="370"/>
      <c r="JM24" s="370"/>
      <c r="JN24" s="370"/>
      <c r="JO24" s="370"/>
      <c r="JP24" s="370"/>
      <c r="JQ24" s="370"/>
      <c r="JR24" s="370"/>
      <c r="JS24" s="370"/>
      <c r="JT24" s="370"/>
      <c r="JU24" s="370"/>
      <c r="JV24" s="370"/>
      <c r="JW24" s="370"/>
      <c r="JX24" s="370"/>
      <c r="JY24" s="370"/>
      <c r="JZ24" s="370"/>
      <c r="KA24" s="370"/>
      <c r="KB24" s="370"/>
      <c r="KC24" s="370"/>
      <c r="KD24" s="370"/>
      <c r="KE24" s="370"/>
      <c r="KF24" s="370"/>
      <c r="KG24" s="370"/>
      <c r="KH24" s="370"/>
      <c r="KI24" s="370"/>
      <c r="KJ24" s="370"/>
      <c r="KK24" s="370"/>
      <c r="KL24" s="370"/>
      <c r="KM24" s="370"/>
      <c r="KN24" s="370"/>
      <c r="KO24" s="370"/>
      <c r="KP24" s="370"/>
      <c r="KQ24" s="370"/>
      <c r="KR24" s="370"/>
      <c r="KS24" s="370"/>
      <c r="KT24" s="370"/>
      <c r="KU24" s="370"/>
      <c r="KV24" s="370"/>
      <c r="KW24" s="370"/>
      <c r="KX24" s="370"/>
      <c r="KY24" s="370"/>
      <c r="KZ24" s="370"/>
      <c r="LA24" s="370"/>
      <c r="LB24" s="370"/>
      <c r="LC24" s="370"/>
      <c r="LD24" s="370"/>
      <c r="LE24" s="370"/>
      <c r="LF24" s="370"/>
      <c r="LG24" s="370"/>
      <c r="LH24" s="370"/>
      <c r="LI24" s="370"/>
      <c r="LJ24" s="370"/>
      <c r="LK24" s="370"/>
      <c r="LL24" s="370"/>
      <c r="LM24" s="370"/>
      <c r="LN24" s="370"/>
      <c r="LO24" s="370"/>
      <c r="LP24" s="370"/>
      <c r="LQ24" s="370"/>
      <c r="LR24" s="370"/>
      <c r="LS24" s="370"/>
      <c r="LT24" s="370"/>
      <c r="LU24" s="370"/>
      <c r="LV24" s="370"/>
      <c r="LW24" s="370"/>
      <c r="LX24" s="370"/>
      <c r="LY24" s="370"/>
      <c r="LZ24" s="370"/>
      <c r="MA24" s="370"/>
      <c r="MB24" s="370"/>
      <c r="MC24" s="370"/>
      <c r="MD24" s="370"/>
      <c r="ME24" s="370"/>
      <c r="MF24" s="370"/>
      <c r="MG24" s="370"/>
      <c r="MH24" s="370"/>
      <c r="MI24" s="370"/>
      <c r="MJ24" s="370"/>
      <c r="MK24" s="370"/>
      <c r="ML24" s="370"/>
      <c r="MM24" s="370"/>
      <c r="MN24" s="370"/>
      <c r="MO24" s="370"/>
      <c r="MP24" s="370"/>
      <c r="MQ24" s="370"/>
      <c r="MR24" s="370"/>
      <c r="MS24" s="370"/>
      <c r="MT24" s="370"/>
      <c r="MU24" s="370"/>
      <c r="MV24" s="370"/>
      <c r="MW24" s="370"/>
      <c r="MX24" s="370"/>
      <c r="MY24" s="370"/>
      <c r="MZ24" s="370"/>
      <c r="NA24" s="370"/>
      <c r="NB24" s="370"/>
      <c r="NC24" s="370"/>
      <c r="ND24" s="176">
        <f t="shared" si="0"/>
        <v>0</v>
      </c>
    </row>
    <row r="25" spans="1:368" s="361" customFormat="1" ht="13.5" customHeight="1">
      <c r="A25" s="407"/>
      <c r="B25" s="352" t="s">
        <v>142</v>
      </c>
      <c r="C25" s="370"/>
      <c r="D25" s="370"/>
      <c r="E25" s="370"/>
      <c r="F25" s="370"/>
      <c r="G25" s="370"/>
      <c r="H25" s="370"/>
      <c r="I25" s="370"/>
      <c r="J25" s="370"/>
      <c r="K25" s="370"/>
      <c r="L25" s="370"/>
      <c r="M25" s="370"/>
      <c r="N25" s="370"/>
      <c r="O25" s="370"/>
      <c r="P25" s="370"/>
      <c r="Q25" s="370"/>
      <c r="R25" s="370"/>
      <c r="S25" s="370"/>
      <c r="T25" s="370"/>
      <c r="U25" s="370"/>
      <c r="V25" s="370"/>
      <c r="W25" s="370"/>
      <c r="X25" s="370"/>
      <c r="Y25" s="370"/>
      <c r="Z25" s="370"/>
      <c r="AA25" s="370"/>
      <c r="AB25" s="370"/>
      <c r="AC25" s="370"/>
      <c r="AD25" s="370"/>
      <c r="AE25" s="370"/>
      <c r="AF25" s="370"/>
      <c r="AG25" s="370"/>
      <c r="AH25" s="370"/>
      <c r="AI25" s="370"/>
      <c r="AJ25" s="370"/>
      <c r="AK25" s="370"/>
      <c r="AL25" s="370"/>
      <c r="AM25" s="370"/>
      <c r="AN25" s="370"/>
      <c r="AO25" s="370"/>
      <c r="AP25" s="370"/>
      <c r="AQ25" s="370"/>
      <c r="AR25" s="370"/>
      <c r="AS25" s="370"/>
      <c r="AT25" s="370"/>
      <c r="AU25" s="370"/>
      <c r="AV25" s="370"/>
      <c r="AW25" s="370"/>
      <c r="AX25" s="370"/>
      <c r="AY25" s="370"/>
      <c r="AZ25" s="370"/>
      <c r="BA25" s="370"/>
      <c r="BB25" s="370"/>
      <c r="BC25" s="370"/>
      <c r="BD25" s="370"/>
      <c r="BE25" s="370"/>
      <c r="BF25" s="370"/>
      <c r="BG25" s="370"/>
      <c r="BH25" s="370"/>
      <c r="BI25" s="370"/>
      <c r="BJ25" s="370"/>
      <c r="BK25" s="370"/>
      <c r="BL25" s="370"/>
      <c r="BM25" s="370"/>
      <c r="BN25" s="370"/>
      <c r="BO25" s="370"/>
      <c r="BP25" s="370"/>
      <c r="BQ25" s="370"/>
      <c r="BR25" s="370"/>
      <c r="BS25" s="370"/>
      <c r="BT25" s="370"/>
      <c r="BU25" s="370"/>
      <c r="BV25" s="370"/>
      <c r="BW25" s="370"/>
      <c r="BX25" s="370"/>
      <c r="BY25" s="370"/>
      <c r="BZ25" s="370"/>
      <c r="CA25" s="370"/>
      <c r="CB25" s="370"/>
      <c r="CC25" s="370"/>
      <c r="CD25" s="370"/>
      <c r="CE25" s="370"/>
      <c r="CF25" s="370"/>
      <c r="CG25" s="370"/>
      <c r="CH25" s="370"/>
      <c r="CI25" s="370"/>
      <c r="CJ25" s="370"/>
      <c r="CK25" s="370"/>
      <c r="CL25" s="370"/>
      <c r="CM25" s="370"/>
      <c r="CN25" s="370"/>
      <c r="CO25" s="370"/>
      <c r="CP25" s="370"/>
      <c r="CQ25" s="370"/>
      <c r="CR25" s="370"/>
      <c r="CS25" s="370"/>
      <c r="CT25" s="370"/>
      <c r="CU25" s="370"/>
      <c r="CV25" s="370"/>
      <c r="CW25" s="370"/>
      <c r="CX25" s="370"/>
      <c r="CY25" s="370"/>
      <c r="CZ25" s="370"/>
      <c r="DA25" s="370"/>
      <c r="DB25" s="370"/>
      <c r="DC25" s="370"/>
      <c r="DD25" s="370"/>
      <c r="DE25" s="370"/>
      <c r="DF25" s="370"/>
      <c r="DG25" s="370"/>
      <c r="DH25" s="370"/>
      <c r="DI25" s="370"/>
      <c r="DJ25" s="370"/>
      <c r="DK25" s="370"/>
      <c r="DL25" s="370"/>
      <c r="DM25" s="370"/>
      <c r="DN25" s="370"/>
      <c r="DO25" s="370"/>
      <c r="DP25" s="370"/>
      <c r="DQ25" s="370"/>
      <c r="DR25" s="370"/>
      <c r="DS25" s="370"/>
      <c r="DT25" s="370"/>
      <c r="DU25" s="370"/>
      <c r="DV25" s="370"/>
      <c r="DW25" s="370"/>
      <c r="DX25" s="370"/>
      <c r="DY25" s="370"/>
      <c r="DZ25" s="370"/>
      <c r="EA25" s="370"/>
      <c r="EB25" s="370"/>
      <c r="EC25" s="370"/>
      <c r="ED25" s="370"/>
      <c r="EE25" s="370"/>
      <c r="EF25" s="370"/>
      <c r="EG25" s="370"/>
      <c r="EH25" s="370"/>
      <c r="EI25" s="370"/>
      <c r="EJ25" s="370"/>
      <c r="EK25" s="370"/>
      <c r="EL25" s="370"/>
      <c r="EM25" s="370"/>
      <c r="EN25" s="370"/>
      <c r="EO25" s="370"/>
      <c r="EP25" s="370"/>
      <c r="EQ25" s="370"/>
      <c r="ER25" s="370"/>
      <c r="ES25" s="370"/>
      <c r="ET25" s="370"/>
      <c r="EU25" s="370"/>
      <c r="EV25" s="370"/>
      <c r="EW25" s="370"/>
      <c r="EX25" s="370"/>
      <c r="EY25" s="370"/>
      <c r="EZ25" s="370"/>
      <c r="FA25" s="370"/>
      <c r="FB25" s="370"/>
      <c r="FC25" s="370"/>
      <c r="FD25" s="370"/>
      <c r="FE25" s="370"/>
      <c r="FF25" s="370"/>
      <c r="FG25" s="370"/>
      <c r="FH25" s="370"/>
      <c r="FI25" s="370"/>
      <c r="FJ25" s="370"/>
      <c r="FK25" s="370"/>
      <c r="FL25" s="370"/>
      <c r="FM25" s="370"/>
      <c r="FN25" s="370"/>
      <c r="FO25" s="370"/>
      <c r="FP25" s="370"/>
      <c r="FQ25" s="370"/>
      <c r="FR25" s="370"/>
      <c r="FS25" s="370"/>
      <c r="FT25" s="370"/>
      <c r="FU25" s="370"/>
      <c r="FV25" s="370"/>
      <c r="FW25" s="370"/>
      <c r="FX25" s="370"/>
      <c r="FY25" s="370"/>
      <c r="FZ25" s="370"/>
      <c r="GA25" s="370"/>
      <c r="GB25" s="370"/>
      <c r="GC25" s="370"/>
      <c r="GD25" s="370"/>
      <c r="GE25" s="370"/>
      <c r="GF25" s="370"/>
      <c r="GG25" s="370"/>
      <c r="GH25" s="370"/>
      <c r="GI25" s="370"/>
      <c r="GJ25" s="370"/>
      <c r="GK25" s="370"/>
      <c r="GL25" s="370"/>
      <c r="GM25" s="370"/>
      <c r="GN25" s="370"/>
      <c r="GO25" s="370"/>
      <c r="GP25" s="370"/>
      <c r="GQ25" s="370"/>
      <c r="GR25" s="370"/>
      <c r="GS25" s="370"/>
      <c r="GT25" s="370"/>
      <c r="GU25" s="370"/>
      <c r="GV25" s="370"/>
      <c r="GW25" s="370"/>
      <c r="GX25" s="370"/>
      <c r="GY25" s="370"/>
      <c r="GZ25" s="370"/>
      <c r="HA25" s="370"/>
      <c r="HB25" s="370"/>
      <c r="HC25" s="370"/>
      <c r="HD25" s="370"/>
      <c r="HE25" s="370"/>
      <c r="HF25" s="370"/>
      <c r="HG25" s="370"/>
      <c r="HH25" s="370"/>
      <c r="HI25" s="370"/>
      <c r="HJ25" s="370"/>
      <c r="HK25" s="370"/>
      <c r="HL25" s="370"/>
      <c r="HM25" s="370"/>
      <c r="HN25" s="370"/>
      <c r="HO25" s="370"/>
      <c r="HP25" s="370"/>
      <c r="HQ25" s="370"/>
      <c r="HR25" s="370"/>
      <c r="HS25" s="370"/>
      <c r="HT25" s="370"/>
      <c r="HU25" s="370"/>
      <c r="HV25" s="370"/>
      <c r="HW25" s="370"/>
      <c r="HX25" s="370"/>
      <c r="HY25" s="370"/>
      <c r="HZ25" s="370"/>
      <c r="IA25" s="370"/>
      <c r="IB25" s="370"/>
      <c r="IC25" s="370"/>
      <c r="ID25" s="370"/>
      <c r="IE25" s="370"/>
      <c r="IF25" s="370"/>
      <c r="IG25" s="370"/>
      <c r="IH25" s="370"/>
      <c r="II25" s="370"/>
      <c r="IJ25" s="370"/>
      <c r="IK25" s="370"/>
      <c r="IL25" s="370"/>
      <c r="IM25" s="370"/>
      <c r="IN25" s="370"/>
      <c r="IO25" s="370"/>
      <c r="IP25" s="370"/>
      <c r="IQ25" s="370"/>
      <c r="IR25" s="370"/>
      <c r="IS25" s="370"/>
      <c r="IT25" s="370"/>
      <c r="IU25" s="370"/>
      <c r="IV25" s="370"/>
      <c r="IW25" s="370"/>
      <c r="IX25" s="370"/>
      <c r="IY25" s="370"/>
      <c r="IZ25" s="370"/>
      <c r="JA25" s="370"/>
      <c r="JB25" s="370"/>
      <c r="JC25" s="370"/>
      <c r="JD25" s="370"/>
      <c r="JE25" s="370"/>
      <c r="JF25" s="370"/>
      <c r="JG25" s="370"/>
      <c r="JH25" s="370"/>
      <c r="JI25" s="370"/>
      <c r="JJ25" s="370"/>
      <c r="JK25" s="370"/>
      <c r="JL25" s="370"/>
      <c r="JM25" s="370"/>
      <c r="JN25" s="370"/>
      <c r="JO25" s="370"/>
      <c r="JP25" s="370"/>
      <c r="JQ25" s="370"/>
      <c r="JR25" s="370"/>
      <c r="JS25" s="370"/>
      <c r="JT25" s="370"/>
      <c r="JU25" s="370"/>
      <c r="JV25" s="370"/>
      <c r="JW25" s="370"/>
      <c r="JX25" s="370"/>
      <c r="JY25" s="370"/>
      <c r="JZ25" s="370"/>
      <c r="KA25" s="370"/>
      <c r="KB25" s="370"/>
      <c r="KC25" s="370"/>
      <c r="KD25" s="370"/>
      <c r="KE25" s="370"/>
      <c r="KF25" s="370"/>
      <c r="KG25" s="370"/>
      <c r="KH25" s="370"/>
      <c r="KI25" s="370"/>
      <c r="KJ25" s="370"/>
      <c r="KK25" s="370"/>
      <c r="KL25" s="370"/>
      <c r="KM25" s="370"/>
      <c r="KN25" s="370"/>
      <c r="KO25" s="370"/>
      <c r="KP25" s="370"/>
      <c r="KQ25" s="370"/>
      <c r="KR25" s="370"/>
      <c r="KS25" s="370"/>
      <c r="KT25" s="370"/>
      <c r="KU25" s="370"/>
      <c r="KV25" s="370"/>
      <c r="KW25" s="370"/>
      <c r="KX25" s="370"/>
      <c r="KY25" s="370"/>
      <c r="KZ25" s="370"/>
      <c r="LA25" s="370"/>
      <c r="LB25" s="370"/>
      <c r="LC25" s="370"/>
      <c r="LD25" s="370"/>
      <c r="LE25" s="370"/>
      <c r="LF25" s="370"/>
      <c r="LG25" s="370"/>
      <c r="LH25" s="370"/>
      <c r="LI25" s="370"/>
      <c r="LJ25" s="370"/>
      <c r="LK25" s="370"/>
      <c r="LL25" s="370"/>
      <c r="LM25" s="370"/>
      <c r="LN25" s="370"/>
      <c r="LO25" s="370"/>
      <c r="LP25" s="370"/>
      <c r="LQ25" s="370"/>
      <c r="LR25" s="370"/>
      <c r="LS25" s="370"/>
      <c r="LT25" s="370"/>
      <c r="LU25" s="370"/>
      <c r="LV25" s="370"/>
      <c r="LW25" s="370"/>
      <c r="LX25" s="370"/>
      <c r="LY25" s="370"/>
      <c r="LZ25" s="370"/>
      <c r="MA25" s="370"/>
      <c r="MB25" s="370"/>
      <c r="MC25" s="370"/>
      <c r="MD25" s="370"/>
      <c r="ME25" s="370"/>
      <c r="MF25" s="370"/>
      <c r="MG25" s="370"/>
      <c r="MH25" s="370"/>
      <c r="MI25" s="370"/>
      <c r="MJ25" s="370"/>
      <c r="MK25" s="370"/>
      <c r="ML25" s="370"/>
      <c r="MM25" s="370"/>
      <c r="MN25" s="370"/>
      <c r="MO25" s="370"/>
      <c r="MP25" s="370"/>
      <c r="MQ25" s="370"/>
      <c r="MR25" s="370"/>
      <c r="MS25" s="370"/>
      <c r="MT25" s="370"/>
      <c r="MU25" s="370"/>
      <c r="MV25" s="370"/>
      <c r="MW25" s="370"/>
      <c r="MX25" s="370"/>
      <c r="MY25" s="370"/>
      <c r="MZ25" s="370"/>
      <c r="NA25" s="370"/>
      <c r="NB25" s="370"/>
      <c r="NC25" s="370"/>
      <c r="ND25" s="176">
        <f t="shared" si="0"/>
        <v>0</v>
      </c>
    </row>
    <row r="26" spans="1:368" s="361" customFormat="1" ht="13.5" customHeight="1">
      <c r="A26" s="407"/>
      <c r="B26" s="352" t="s">
        <v>148</v>
      </c>
      <c r="C26" s="370"/>
      <c r="D26" s="370"/>
      <c r="E26" s="370"/>
      <c r="F26" s="370"/>
      <c r="G26" s="370"/>
      <c r="H26" s="370"/>
      <c r="I26" s="370"/>
      <c r="J26" s="370"/>
      <c r="K26" s="370"/>
      <c r="L26" s="370"/>
      <c r="M26" s="370"/>
      <c r="N26" s="370"/>
      <c r="O26" s="370"/>
      <c r="P26" s="370"/>
      <c r="Q26" s="370"/>
      <c r="R26" s="370"/>
      <c r="S26" s="370"/>
      <c r="T26" s="370"/>
      <c r="U26" s="370"/>
      <c r="V26" s="370"/>
      <c r="W26" s="370"/>
      <c r="X26" s="370"/>
      <c r="Y26" s="370"/>
      <c r="Z26" s="370"/>
      <c r="AA26" s="370"/>
      <c r="AB26" s="370"/>
      <c r="AC26" s="370"/>
      <c r="AD26" s="370"/>
      <c r="AE26" s="370"/>
      <c r="AF26" s="370"/>
      <c r="AG26" s="370"/>
      <c r="AH26" s="370"/>
      <c r="AI26" s="370"/>
      <c r="AJ26" s="370"/>
      <c r="AK26" s="370"/>
      <c r="AL26" s="370"/>
      <c r="AM26" s="370"/>
      <c r="AN26" s="370"/>
      <c r="AO26" s="370"/>
      <c r="AP26" s="370"/>
      <c r="AQ26" s="370"/>
      <c r="AR26" s="370"/>
      <c r="AS26" s="370"/>
      <c r="AT26" s="370"/>
      <c r="AU26" s="370"/>
      <c r="AV26" s="370"/>
      <c r="AW26" s="370"/>
      <c r="AX26" s="370"/>
      <c r="AY26" s="370"/>
      <c r="AZ26" s="370"/>
      <c r="BA26" s="370"/>
      <c r="BB26" s="370"/>
      <c r="BC26" s="370"/>
      <c r="BD26" s="370"/>
      <c r="BE26" s="370"/>
      <c r="BF26" s="370"/>
      <c r="BG26" s="370"/>
      <c r="BH26" s="370"/>
      <c r="BI26" s="370"/>
      <c r="BJ26" s="370"/>
      <c r="BK26" s="370"/>
      <c r="BL26" s="370"/>
      <c r="BM26" s="370"/>
      <c r="BN26" s="370"/>
      <c r="BO26" s="370"/>
      <c r="BP26" s="370"/>
      <c r="BQ26" s="370"/>
      <c r="BR26" s="370"/>
      <c r="BS26" s="370"/>
      <c r="BT26" s="370"/>
      <c r="BU26" s="370"/>
      <c r="BV26" s="370"/>
      <c r="BW26" s="370"/>
      <c r="BX26" s="370"/>
      <c r="BY26" s="370"/>
      <c r="BZ26" s="370"/>
      <c r="CA26" s="370"/>
      <c r="CB26" s="370"/>
      <c r="CC26" s="370"/>
      <c r="CD26" s="370"/>
      <c r="CE26" s="370"/>
      <c r="CF26" s="370"/>
      <c r="CG26" s="370"/>
      <c r="CH26" s="370"/>
      <c r="CI26" s="370"/>
      <c r="CJ26" s="370"/>
      <c r="CK26" s="370"/>
      <c r="CL26" s="370"/>
      <c r="CM26" s="370"/>
      <c r="CN26" s="370"/>
      <c r="CO26" s="370"/>
      <c r="CP26" s="370"/>
      <c r="CQ26" s="370"/>
      <c r="CR26" s="370"/>
      <c r="CS26" s="370"/>
      <c r="CT26" s="370"/>
      <c r="CU26" s="370"/>
      <c r="CV26" s="370"/>
      <c r="CW26" s="370"/>
      <c r="CX26" s="370"/>
      <c r="CY26" s="370"/>
      <c r="CZ26" s="370"/>
      <c r="DA26" s="370"/>
      <c r="DB26" s="370"/>
      <c r="DC26" s="370"/>
      <c r="DD26" s="370"/>
      <c r="DE26" s="370"/>
      <c r="DF26" s="370"/>
      <c r="DG26" s="370"/>
      <c r="DH26" s="370"/>
      <c r="DI26" s="370"/>
      <c r="DJ26" s="370"/>
      <c r="DK26" s="370"/>
      <c r="DL26" s="370"/>
      <c r="DM26" s="370"/>
      <c r="DN26" s="370"/>
      <c r="DO26" s="370"/>
      <c r="DP26" s="370"/>
      <c r="DQ26" s="370"/>
      <c r="DR26" s="370"/>
      <c r="DS26" s="370"/>
      <c r="DT26" s="370"/>
      <c r="DU26" s="370"/>
      <c r="DV26" s="370"/>
      <c r="DW26" s="370"/>
      <c r="DX26" s="370"/>
      <c r="DY26" s="370"/>
      <c r="DZ26" s="370"/>
      <c r="EA26" s="370"/>
      <c r="EB26" s="370"/>
      <c r="EC26" s="370"/>
      <c r="ED26" s="370"/>
      <c r="EE26" s="370"/>
      <c r="EF26" s="370"/>
      <c r="EG26" s="370"/>
      <c r="EH26" s="370"/>
      <c r="EI26" s="370"/>
      <c r="EJ26" s="370"/>
      <c r="EK26" s="370"/>
      <c r="EL26" s="370"/>
      <c r="EM26" s="370"/>
      <c r="EN26" s="370"/>
      <c r="EO26" s="370"/>
      <c r="EP26" s="370"/>
      <c r="EQ26" s="370"/>
      <c r="ER26" s="370"/>
      <c r="ES26" s="370"/>
      <c r="ET26" s="370"/>
      <c r="EU26" s="370"/>
      <c r="EV26" s="370"/>
      <c r="EW26" s="370"/>
      <c r="EX26" s="370"/>
      <c r="EY26" s="370"/>
      <c r="EZ26" s="370"/>
      <c r="FA26" s="370"/>
      <c r="FB26" s="370"/>
      <c r="FC26" s="370"/>
      <c r="FD26" s="370"/>
      <c r="FE26" s="370"/>
      <c r="FF26" s="370"/>
      <c r="FG26" s="370"/>
      <c r="FH26" s="370"/>
      <c r="FI26" s="370"/>
      <c r="FJ26" s="370"/>
      <c r="FK26" s="370"/>
      <c r="FL26" s="370"/>
      <c r="FM26" s="370"/>
      <c r="FN26" s="370"/>
      <c r="FO26" s="370"/>
      <c r="FP26" s="370"/>
      <c r="FQ26" s="370"/>
      <c r="FR26" s="370"/>
      <c r="FS26" s="370"/>
      <c r="FT26" s="370"/>
      <c r="FU26" s="370"/>
      <c r="FV26" s="370"/>
      <c r="FW26" s="370"/>
      <c r="FX26" s="370"/>
      <c r="FY26" s="370"/>
      <c r="FZ26" s="370"/>
      <c r="GA26" s="370"/>
      <c r="GB26" s="370"/>
      <c r="GC26" s="370"/>
      <c r="GD26" s="370"/>
      <c r="GE26" s="370"/>
      <c r="GF26" s="370"/>
      <c r="GG26" s="370"/>
      <c r="GH26" s="370"/>
      <c r="GI26" s="370"/>
      <c r="GJ26" s="370"/>
      <c r="GK26" s="370"/>
      <c r="GL26" s="370"/>
      <c r="GM26" s="370"/>
      <c r="GN26" s="370"/>
      <c r="GO26" s="370"/>
      <c r="GP26" s="370"/>
      <c r="GQ26" s="370"/>
      <c r="GR26" s="370"/>
      <c r="GS26" s="370"/>
      <c r="GT26" s="370"/>
      <c r="GU26" s="370"/>
      <c r="GV26" s="370"/>
      <c r="GW26" s="370"/>
      <c r="GX26" s="370"/>
      <c r="GY26" s="370"/>
      <c r="GZ26" s="370"/>
      <c r="HA26" s="370"/>
      <c r="HB26" s="370"/>
      <c r="HC26" s="370"/>
      <c r="HD26" s="370"/>
      <c r="HE26" s="370"/>
      <c r="HF26" s="370"/>
      <c r="HG26" s="370"/>
      <c r="HH26" s="370"/>
      <c r="HI26" s="370"/>
      <c r="HJ26" s="370"/>
      <c r="HK26" s="370"/>
      <c r="HL26" s="370"/>
      <c r="HM26" s="370"/>
      <c r="HN26" s="370"/>
      <c r="HO26" s="370"/>
      <c r="HP26" s="370"/>
      <c r="HQ26" s="370"/>
      <c r="HR26" s="370"/>
      <c r="HS26" s="370"/>
      <c r="HT26" s="370"/>
      <c r="HU26" s="370"/>
      <c r="HV26" s="370"/>
      <c r="HW26" s="370"/>
      <c r="HX26" s="370"/>
      <c r="HY26" s="370"/>
      <c r="HZ26" s="370"/>
      <c r="IA26" s="370"/>
      <c r="IB26" s="370"/>
      <c r="IC26" s="370"/>
      <c r="ID26" s="370"/>
      <c r="IE26" s="370"/>
      <c r="IF26" s="370"/>
      <c r="IG26" s="370"/>
      <c r="IH26" s="370"/>
      <c r="II26" s="370"/>
      <c r="IJ26" s="370"/>
      <c r="IK26" s="370"/>
      <c r="IL26" s="370"/>
      <c r="IM26" s="370"/>
      <c r="IN26" s="370"/>
      <c r="IO26" s="370"/>
      <c r="IP26" s="370"/>
      <c r="IQ26" s="370"/>
      <c r="IR26" s="370"/>
      <c r="IS26" s="370"/>
      <c r="IT26" s="370"/>
      <c r="IU26" s="370"/>
      <c r="IV26" s="370"/>
      <c r="IW26" s="370"/>
      <c r="IX26" s="370"/>
      <c r="IY26" s="370"/>
      <c r="IZ26" s="370"/>
      <c r="JA26" s="370"/>
      <c r="JB26" s="370"/>
      <c r="JC26" s="370"/>
      <c r="JD26" s="370"/>
      <c r="JE26" s="370"/>
      <c r="JF26" s="370"/>
      <c r="JG26" s="370"/>
      <c r="JH26" s="370"/>
      <c r="JI26" s="370"/>
      <c r="JJ26" s="370"/>
      <c r="JK26" s="370"/>
      <c r="JL26" s="370"/>
      <c r="JM26" s="370"/>
      <c r="JN26" s="370"/>
      <c r="JO26" s="370"/>
      <c r="JP26" s="370"/>
      <c r="JQ26" s="370"/>
      <c r="JR26" s="370"/>
      <c r="JS26" s="370"/>
      <c r="JT26" s="370"/>
      <c r="JU26" s="370"/>
      <c r="JV26" s="370"/>
      <c r="JW26" s="370"/>
      <c r="JX26" s="370"/>
      <c r="JY26" s="370"/>
      <c r="JZ26" s="370"/>
      <c r="KA26" s="370"/>
      <c r="KB26" s="370"/>
      <c r="KC26" s="370"/>
      <c r="KD26" s="370"/>
      <c r="KE26" s="370"/>
      <c r="KF26" s="370"/>
      <c r="KG26" s="370"/>
      <c r="KH26" s="370"/>
      <c r="KI26" s="370"/>
      <c r="KJ26" s="370"/>
      <c r="KK26" s="370"/>
      <c r="KL26" s="370"/>
      <c r="KM26" s="370"/>
      <c r="KN26" s="370"/>
      <c r="KO26" s="370"/>
      <c r="KP26" s="370"/>
      <c r="KQ26" s="370"/>
      <c r="KR26" s="370"/>
      <c r="KS26" s="370"/>
      <c r="KT26" s="370"/>
      <c r="KU26" s="370"/>
      <c r="KV26" s="370"/>
      <c r="KW26" s="370"/>
      <c r="KX26" s="370"/>
      <c r="KY26" s="370"/>
      <c r="KZ26" s="370"/>
      <c r="LA26" s="370"/>
      <c r="LB26" s="370"/>
      <c r="LC26" s="370"/>
      <c r="LD26" s="370"/>
      <c r="LE26" s="370"/>
      <c r="LF26" s="370"/>
      <c r="LG26" s="370"/>
      <c r="LH26" s="370"/>
      <c r="LI26" s="370"/>
      <c r="LJ26" s="370"/>
      <c r="LK26" s="370"/>
      <c r="LL26" s="370"/>
      <c r="LM26" s="370"/>
      <c r="LN26" s="370"/>
      <c r="LO26" s="370"/>
      <c r="LP26" s="370"/>
      <c r="LQ26" s="370"/>
      <c r="LR26" s="370"/>
      <c r="LS26" s="370"/>
      <c r="LT26" s="370"/>
      <c r="LU26" s="370"/>
      <c r="LV26" s="370"/>
      <c r="LW26" s="370"/>
      <c r="LX26" s="370"/>
      <c r="LY26" s="370"/>
      <c r="LZ26" s="370"/>
      <c r="MA26" s="370"/>
      <c r="MB26" s="370"/>
      <c r="MC26" s="370"/>
      <c r="MD26" s="370"/>
      <c r="ME26" s="370"/>
      <c r="MF26" s="370"/>
      <c r="MG26" s="370"/>
      <c r="MH26" s="370"/>
      <c r="MI26" s="370"/>
      <c r="MJ26" s="370"/>
      <c r="MK26" s="370"/>
      <c r="ML26" s="370"/>
      <c r="MM26" s="370"/>
      <c r="MN26" s="370"/>
      <c r="MO26" s="370"/>
      <c r="MP26" s="370"/>
      <c r="MQ26" s="370"/>
      <c r="MR26" s="370"/>
      <c r="MS26" s="370"/>
      <c r="MT26" s="370"/>
      <c r="MU26" s="370"/>
      <c r="MV26" s="370"/>
      <c r="MW26" s="370"/>
      <c r="MX26" s="370"/>
      <c r="MY26" s="370"/>
      <c r="MZ26" s="370"/>
      <c r="NA26" s="370"/>
      <c r="NB26" s="370"/>
      <c r="NC26" s="370"/>
      <c r="ND26" s="176">
        <f t="shared" si="0"/>
        <v>0</v>
      </c>
    </row>
    <row r="27" spans="1:368" s="361" customFormat="1" ht="13.5" customHeight="1">
      <c r="A27" s="407"/>
      <c r="B27" s="352" t="s">
        <v>149</v>
      </c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370"/>
      <c r="V27" s="370"/>
      <c r="W27" s="370"/>
      <c r="X27" s="370"/>
      <c r="Y27" s="370"/>
      <c r="Z27" s="370"/>
      <c r="AA27" s="370"/>
      <c r="AB27" s="370"/>
      <c r="AC27" s="370"/>
      <c r="AD27" s="370"/>
      <c r="AE27" s="370"/>
      <c r="AF27" s="370"/>
      <c r="AG27" s="370"/>
      <c r="AH27" s="370"/>
      <c r="AI27" s="370"/>
      <c r="AJ27" s="370"/>
      <c r="AK27" s="370"/>
      <c r="AL27" s="370"/>
      <c r="AM27" s="370"/>
      <c r="AN27" s="370"/>
      <c r="AO27" s="370"/>
      <c r="AP27" s="370"/>
      <c r="AQ27" s="370"/>
      <c r="AR27" s="370"/>
      <c r="AS27" s="370"/>
      <c r="AT27" s="370"/>
      <c r="AU27" s="370"/>
      <c r="AV27" s="370"/>
      <c r="AW27" s="370"/>
      <c r="AX27" s="370"/>
      <c r="AY27" s="370"/>
      <c r="AZ27" s="370"/>
      <c r="BA27" s="370"/>
      <c r="BB27" s="370"/>
      <c r="BC27" s="370"/>
      <c r="BD27" s="370"/>
      <c r="BE27" s="370"/>
      <c r="BF27" s="370"/>
      <c r="BG27" s="370"/>
      <c r="BH27" s="370"/>
      <c r="BI27" s="370"/>
      <c r="BJ27" s="370"/>
      <c r="BK27" s="370"/>
      <c r="BL27" s="370"/>
      <c r="BM27" s="370"/>
      <c r="BN27" s="370"/>
      <c r="BO27" s="370"/>
      <c r="BP27" s="370"/>
      <c r="BQ27" s="370"/>
      <c r="BR27" s="370"/>
      <c r="BS27" s="370"/>
      <c r="BT27" s="370"/>
      <c r="BU27" s="370"/>
      <c r="BV27" s="370"/>
      <c r="BW27" s="370"/>
      <c r="BX27" s="370"/>
      <c r="BY27" s="370"/>
      <c r="BZ27" s="370"/>
      <c r="CA27" s="370"/>
      <c r="CB27" s="370"/>
      <c r="CC27" s="370"/>
      <c r="CD27" s="370"/>
      <c r="CE27" s="370"/>
      <c r="CF27" s="370"/>
      <c r="CG27" s="370"/>
      <c r="CH27" s="370"/>
      <c r="CI27" s="370"/>
      <c r="CJ27" s="370"/>
      <c r="CK27" s="370"/>
      <c r="CL27" s="370"/>
      <c r="CM27" s="370"/>
      <c r="CN27" s="370"/>
      <c r="CO27" s="370"/>
      <c r="CP27" s="370"/>
      <c r="CQ27" s="370"/>
      <c r="CR27" s="370"/>
      <c r="CS27" s="370"/>
      <c r="CT27" s="370"/>
      <c r="CU27" s="370"/>
      <c r="CV27" s="370"/>
      <c r="CW27" s="370"/>
      <c r="CX27" s="370"/>
      <c r="CY27" s="370"/>
      <c r="CZ27" s="370"/>
      <c r="DA27" s="370"/>
      <c r="DB27" s="370"/>
      <c r="DC27" s="370"/>
      <c r="DD27" s="370"/>
      <c r="DE27" s="370"/>
      <c r="DF27" s="370"/>
      <c r="DG27" s="370"/>
      <c r="DH27" s="370"/>
      <c r="DI27" s="370"/>
      <c r="DJ27" s="370"/>
      <c r="DK27" s="370"/>
      <c r="DL27" s="370"/>
      <c r="DM27" s="370"/>
      <c r="DN27" s="370"/>
      <c r="DO27" s="370"/>
      <c r="DP27" s="370"/>
      <c r="DQ27" s="370"/>
      <c r="DR27" s="370"/>
      <c r="DS27" s="370"/>
      <c r="DT27" s="370"/>
      <c r="DU27" s="370"/>
      <c r="DV27" s="370"/>
      <c r="DW27" s="370"/>
      <c r="DX27" s="370"/>
      <c r="DY27" s="370"/>
      <c r="DZ27" s="370"/>
      <c r="EA27" s="370"/>
      <c r="EB27" s="370"/>
      <c r="EC27" s="370"/>
      <c r="ED27" s="370"/>
      <c r="EE27" s="370"/>
      <c r="EF27" s="370"/>
      <c r="EG27" s="370"/>
      <c r="EH27" s="370"/>
      <c r="EI27" s="370"/>
      <c r="EJ27" s="370"/>
      <c r="EK27" s="370"/>
      <c r="EL27" s="370"/>
      <c r="EM27" s="370"/>
      <c r="EN27" s="370"/>
      <c r="EO27" s="370"/>
      <c r="EP27" s="370"/>
      <c r="EQ27" s="370"/>
      <c r="ER27" s="370"/>
      <c r="ES27" s="370"/>
      <c r="ET27" s="370"/>
      <c r="EU27" s="370"/>
      <c r="EV27" s="370"/>
      <c r="EW27" s="370"/>
      <c r="EX27" s="370"/>
      <c r="EY27" s="370"/>
      <c r="EZ27" s="370"/>
      <c r="FA27" s="370"/>
      <c r="FB27" s="370"/>
      <c r="FC27" s="370"/>
      <c r="FD27" s="370"/>
      <c r="FE27" s="370"/>
      <c r="FF27" s="370"/>
      <c r="FG27" s="370"/>
      <c r="FH27" s="370"/>
      <c r="FI27" s="370"/>
      <c r="FJ27" s="370"/>
      <c r="FK27" s="370"/>
      <c r="FL27" s="370"/>
      <c r="FM27" s="370"/>
      <c r="FN27" s="370"/>
      <c r="FO27" s="370"/>
      <c r="FP27" s="370"/>
      <c r="FQ27" s="370"/>
      <c r="FR27" s="370"/>
      <c r="FS27" s="370"/>
      <c r="FT27" s="370"/>
      <c r="FU27" s="370"/>
      <c r="FV27" s="370"/>
      <c r="FW27" s="370"/>
      <c r="FX27" s="370"/>
      <c r="FY27" s="370"/>
      <c r="FZ27" s="370"/>
      <c r="GA27" s="370"/>
      <c r="GB27" s="370"/>
      <c r="GC27" s="370"/>
      <c r="GD27" s="370"/>
      <c r="GE27" s="370"/>
      <c r="GF27" s="370"/>
      <c r="GG27" s="370"/>
      <c r="GH27" s="370"/>
      <c r="GI27" s="370"/>
      <c r="GJ27" s="370"/>
      <c r="GK27" s="370"/>
      <c r="GL27" s="370"/>
      <c r="GM27" s="370"/>
      <c r="GN27" s="370"/>
      <c r="GO27" s="370"/>
      <c r="GP27" s="370"/>
      <c r="GQ27" s="370"/>
      <c r="GR27" s="370"/>
      <c r="GS27" s="370"/>
      <c r="GT27" s="370"/>
      <c r="GU27" s="370"/>
      <c r="GV27" s="370"/>
      <c r="GW27" s="370"/>
      <c r="GX27" s="370"/>
      <c r="GY27" s="370"/>
      <c r="GZ27" s="370"/>
      <c r="HA27" s="370"/>
      <c r="HB27" s="370"/>
      <c r="HC27" s="370"/>
      <c r="HD27" s="370"/>
      <c r="HE27" s="370"/>
      <c r="HF27" s="370"/>
      <c r="HG27" s="370"/>
      <c r="HH27" s="370"/>
      <c r="HI27" s="370"/>
      <c r="HJ27" s="370"/>
      <c r="HK27" s="370"/>
      <c r="HL27" s="370"/>
      <c r="HM27" s="370"/>
      <c r="HN27" s="370"/>
      <c r="HO27" s="370"/>
      <c r="HP27" s="370"/>
      <c r="HQ27" s="370"/>
      <c r="HR27" s="370"/>
      <c r="HS27" s="370"/>
      <c r="HT27" s="370"/>
      <c r="HU27" s="370"/>
      <c r="HV27" s="370"/>
      <c r="HW27" s="370"/>
      <c r="HX27" s="370"/>
      <c r="HY27" s="370"/>
      <c r="HZ27" s="370"/>
      <c r="IA27" s="370"/>
      <c r="IB27" s="370"/>
      <c r="IC27" s="370"/>
      <c r="ID27" s="370"/>
      <c r="IE27" s="370"/>
      <c r="IF27" s="370"/>
      <c r="IG27" s="370"/>
      <c r="IH27" s="370"/>
      <c r="II27" s="370"/>
      <c r="IJ27" s="370"/>
      <c r="IK27" s="370"/>
      <c r="IL27" s="370"/>
      <c r="IM27" s="370"/>
      <c r="IN27" s="370"/>
      <c r="IO27" s="370"/>
      <c r="IP27" s="370"/>
      <c r="IQ27" s="370"/>
      <c r="IR27" s="370"/>
      <c r="IS27" s="370"/>
      <c r="IT27" s="370"/>
      <c r="IU27" s="370"/>
      <c r="IV27" s="370"/>
      <c r="IW27" s="370"/>
      <c r="IX27" s="370"/>
      <c r="IY27" s="370"/>
      <c r="IZ27" s="370"/>
      <c r="JA27" s="370"/>
      <c r="JB27" s="370"/>
      <c r="JC27" s="370"/>
      <c r="JD27" s="370"/>
      <c r="JE27" s="370"/>
      <c r="JF27" s="370"/>
      <c r="JG27" s="370"/>
      <c r="JH27" s="370"/>
      <c r="JI27" s="370"/>
      <c r="JJ27" s="370"/>
      <c r="JK27" s="370"/>
      <c r="JL27" s="370"/>
      <c r="JM27" s="370"/>
      <c r="JN27" s="370"/>
      <c r="JO27" s="370"/>
      <c r="JP27" s="370"/>
      <c r="JQ27" s="370"/>
      <c r="JR27" s="370"/>
      <c r="JS27" s="370"/>
      <c r="JT27" s="370"/>
      <c r="JU27" s="370"/>
      <c r="JV27" s="370"/>
      <c r="JW27" s="370"/>
      <c r="JX27" s="370"/>
      <c r="JY27" s="370"/>
      <c r="JZ27" s="370"/>
      <c r="KA27" s="370"/>
      <c r="KB27" s="370"/>
      <c r="KC27" s="370"/>
      <c r="KD27" s="370"/>
      <c r="KE27" s="370"/>
      <c r="KF27" s="370"/>
      <c r="KG27" s="370"/>
      <c r="KH27" s="370"/>
      <c r="KI27" s="370"/>
      <c r="KJ27" s="370"/>
      <c r="KK27" s="370"/>
      <c r="KL27" s="370"/>
      <c r="KM27" s="370"/>
      <c r="KN27" s="370"/>
      <c r="KO27" s="370"/>
      <c r="KP27" s="370"/>
      <c r="KQ27" s="370"/>
      <c r="KR27" s="370"/>
      <c r="KS27" s="370"/>
      <c r="KT27" s="370"/>
      <c r="KU27" s="370"/>
      <c r="KV27" s="370"/>
      <c r="KW27" s="370"/>
      <c r="KX27" s="370"/>
      <c r="KY27" s="370"/>
      <c r="KZ27" s="370"/>
      <c r="LA27" s="370"/>
      <c r="LB27" s="370"/>
      <c r="LC27" s="370"/>
      <c r="LD27" s="370"/>
      <c r="LE27" s="370"/>
      <c r="LF27" s="370"/>
      <c r="LG27" s="370"/>
      <c r="LH27" s="370"/>
      <c r="LI27" s="370"/>
      <c r="LJ27" s="370"/>
      <c r="LK27" s="370"/>
      <c r="LL27" s="370"/>
      <c r="LM27" s="370"/>
      <c r="LN27" s="370"/>
      <c r="LO27" s="370"/>
      <c r="LP27" s="370"/>
      <c r="LQ27" s="370"/>
      <c r="LR27" s="370"/>
      <c r="LS27" s="370"/>
      <c r="LT27" s="370"/>
      <c r="LU27" s="370"/>
      <c r="LV27" s="370"/>
      <c r="LW27" s="370"/>
      <c r="LX27" s="370"/>
      <c r="LY27" s="370"/>
      <c r="LZ27" s="370"/>
      <c r="MA27" s="370"/>
      <c r="MB27" s="370"/>
      <c r="MC27" s="370"/>
      <c r="MD27" s="370"/>
      <c r="ME27" s="370"/>
      <c r="MF27" s="370"/>
      <c r="MG27" s="370"/>
      <c r="MH27" s="370"/>
      <c r="MI27" s="370"/>
      <c r="MJ27" s="370"/>
      <c r="MK27" s="370"/>
      <c r="ML27" s="370"/>
      <c r="MM27" s="370"/>
      <c r="MN27" s="370"/>
      <c r="MO27" s="370"/>
      <c r="MP27" s="370"/>
      <c r="MQ27" s="370"/>
      <c r="MR27" s="370"/>
      <c r="MS27" s="370"/>
      <c r="MT27" s="370"/>
      <c r="MU27" s="370"/>
      <c r="MV27" s="370"/>
      <c r="MW27" s="370"/>
      <c r="MX27" s="370"/>
      <c r="MY27" s="370"/>
      <c r="MZ27" s="370"/>
      <c r="NA27" s="370"/>
      <c r="NB27" s="370"/>
      <c r="NC27" s="370"/>
      <c r="ND27" s="176">
        <f t="shared" si="0"/>
        <v>0</v>
      </c>
    </row>
    <row r="28" spans="1:368" s="361" customFormat="1" ht="13.5" customHeight="1" thickBot="1">
      <c r="A28" s="408"/>
      <c r="B28" s="353" t="s">
        <v>21</v>
      </c>
      <c r="C28" s="371"/>
      <c r="D28" s="371"/>
      <c r="E28" s="371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1"/>
      <c r="U28" s="371"/>
      <c r="V28" s="371"/>
      <c r="W28" s="371"/>
      <c r="X28" s="371"/>
      <c r="Y28" s="371"/>
      <c r="Z28" s="371"/>
      <c r="AA28" s="371"/>
      <c r="AB28" s="371"/>
      <c r="AC28" s="371"/>
      <c r="AD28" s="371"/>
      <c r="AE28" s="371"/>
      <c r="AF28" s="371"/>
      <c r="AG28" s="371"/>
      <c r="AH28" s="371"/>
      <c r="AI28" s="371"/>
      <c r="AJ28" s="371"/>
      <c r="AK28" s="371"/>
      <c r="AL28" s="371"/>
      <c r="AM28" s="371"/>
      <c r="AN28" s="371"/>
      <c r="AO28" s="371"/>
      <c r="AP28" s="371"/>
      <c r="AQ28" s="371"/>
      <c r="AR28" s="371"/>
      <c r="AS28" s="371"/>
      <c r="AT28" s="371"/>
      <c r="AU28" s="371"/>
      <c r="AV28" s="371"/>
      <c r="AW28" s="371"/>
      <c r="AX28" s="371"/>
      <c r="AY28" s="371"/>
      <c r="AZ28" s="371"/>
      <c r="BA28" s="371"/>
      <c r="BB28" s="371"/>
      <c r="BC28" s="371"/>
      <c r="BD28" s="371"/>
      <c r="BE28" s="371"/>
      <c r="BF28" s="371"/>
      <c r="BG28" s="371"/>
      <c r="BH28" s="371"/>
      <c r="BI28" s="371"/>
      <c r="BJ28" s="371"/>
      <c r="BK28" s="371"/>
      <c r="BL28" s="371"/>
      <c r="BM28" s="371"/>
      <c r="BN28" s="371"/>
      <c r="BO28" s="371"/>
      <c r="BP28" s="371"/>
      <c r="BQ28" s="371"/>
      <c r="BR28" s="371"/>
      <c r="BS28" s="371"/>
      <c r="BT28" s="371"/>
      <c r="BU28" s="371"/>
      <c r="BV28" s="371"/>
      <c r="BW28" s="371"/>
      <c r="BX28" s="371"/>
      <c r="BY28" s="371"/>
      <c r="BZ28" s="371"/>
      <c r="CA28" s="371"/>
      <c r="CB28" s="371"/>
      <c r="CC28" s="371"/>
      <c r="CD28" s="371"/>
      <c r="CE28" s="371"/>
      <c r="CF28" s="371"/>
      <c r="CG28" s="371"/>
      <c r="CH28" s="371"/>
      <c r="CI28" s="371"/>
      <c r="CJ28" s="371"/>
      <c r="CK28" s="371"/>
      <c r="CL28" s="371"/>
      <c r="CM28" s="371"/>
      <c r="CN28" s="371"/>
      <c r="CO28" s="371"/>
      <c r="CP28" s="371"/>
      <c r="CQ28" s="371"/>
      <c r="CR28" s="371"/>
      <c r="CS28" s="371"/>
      <c r="CT28" s="371"/>
      <c r="CU28" s="371"/>
      <c r="CV28" s="371"/>
      <c r="CW28" s="371"/>
      <c r="CX28" s="371"/>
      <c r="CY28" s="371"/>
      <c r="CZ28" s="371"/>
      <c r="DA28" s="371"/>
      <c r="DB28" s="371"/>
      <c r="DC28" s="371"/>
      <c r="DD28" s="371"/>
      <c r="DE28" s="371"/>
      <c r="DF28" s="371"/>
      <c r="DG28" s="371"/>
      <c r="DH28" s="371"/>
      <c r="DI28" s="371"/>
      <c r="DJ28" s="371"/>
      <c r="DK28" s="371"/>
      <c r="DL28" s="371"/>
      <c r="DM28" s="371"/>
      <c r="DN28" s="371"/>
      <c r="DO28" s="371"/>
      <c r="DP28" s="371"/>
      <c r="DQ28" s="371"/>
      <c r="DR28" s="371"/>
      <c r="DS28" s="371"/>
      <c r="DT28" s="371"/>
      <c r="DU28" s="371"/>
      <c r="DV28" s="371"/>
      <c r="DW28" s="371"/>
      <c r="DX28" s="371"/>
      <c r="DY28" s="371"/>
      <c r="DZ28" s="371"/>
      <c r="EA28" s="371"/>
      <c r="EB28" s="371"/>
      <c r="EC28" s="371"/>
      <c r="ED28" s="371"/>
      <c r="EE28" s="371"/>
      <c r="EF28" s="371"/>
      <c r="EG28" s="371"/>
      <c r="EH28" s="371"/>
      <c r="EI28" s="371"/>
      <c r="EJ28" s="371"/>
      <c r="EK28" s="371"/>
      <c r="EL28" s="371"/>
      <c r="EM28" s="371"/>
      <c r="EN28" s="371"/>
      <c r="EO28" s="371"/>
      <c r="EP28" s="371"/>
      <c r="EQ28" s="371"/>
      <c r="ER28" s="371"/>
      <c r="ES28" s="371"/>
      <c r="ET28" s="371"/>
      <c r="EU28" s="371"/>
      <c r="EV28" s="371"/>
      <c r="EW28" s="371"/>
      <c r="EX28" s="371"/>
      <c r="EY28" s="371"/>
      <c r="EZ28" s="371"/>
      <c r="FA28" s="371"/>
      <c r="FB28" s="371"/>
      <c r="FC28" s="371"/>
      <c r="FD28" s="371"/>
      <c r="FE28" s="371"/>
      <c r="FF28" s="371"/>
      <c r="FG28" s="371"/>
      <c r="FH28" s="371"/>
      <c r="FI28" s="371"/>
      <c r="FJ28" s="371"/>
      <c r="FK28" s="371"/>
      <c r="FL28" s="371"/>
      <c r="FM28" s="371"/>
      <c r="FN28" s="371"/>
      <c r="FO28" s="371"/>
      <c r="FP28" s="371"/>
      <c r="FQ28" s="371"/>
      <c r="FR28" s="371"/>
      <c r="FS28" s="371"/>
      <c r="FT28" s="371"/>
      <c r="FU28" s="371"/>
      <c r="FV28" s="371"/>
      <c r="FW28" s="371"/>
      <c r="FX28" s="371"/>
      <c r="FY28" s="371"/>
      <c r="FZ28" s="371"/>
      <c r="GA28" s="371"/>
      <c r="GB28" s="371"/>
      <c r="GC28" s="371"/>
      <c r="GD28" s="371"/>
      <c r="GE28" s="371"/>
      <c r="GF28" s="371"/>
      <c r="GG28" s="371"/>
      <c r="GH28" s="371"/>
      <c r="GI28" s="371"/>
      <c r="GJ28" s="371"/>
      <c r="GK28" s="371"/>
      <c r="GL28" s="371"/>
      <c r="GM28" s="371"/>
      <c r="GN28" s="371"/>
      <c r="GO28" s="371"/>
      <c r="GP28" s="371"/>
      <c r="GQ28" s="371"/>
      <c r="GR28" s="371"/>
      <c r="GS28" s="371"/>
      <c r="GT28" s="371"/>
      <c r="GU28" s="371"/>
      <c r="GV28" s="371"/>
      <c r="GW28" s="371"/>
      <c r="GX28" s="371"/>
      <c r="GY28" s="371"/>
      <c r="GZ28" s="371"/>
      <c r="HA28" s="371"/>
      <c r="HB28" s="371"/>
      <c r="HC28" s="371"/>
      <c r="HD28" s="371"/>
      <c r="HE28" s="371"/>
      <c r="HF28" s="371"/>
      <c r="HG28" s="371"/>
      <c r="HH28" s="371"/>
      <c r="HI28" s="371"/>
      <c r="HJ28" s="371"/>
      <c r="HK28" s="371"/>
      <c r="HL28" s="371"/>
      <c r="HM28" s="371"/>
      <c r="HN28" s="371"/>
      <c r="HO28" s="371"/>
      <c r="HP28" s="371"/>
      <c r="HQ28" s="371"/>
      <c r="HR28" s="371"/>
      <c r="HS28" s="371"/>
      <c r="HT28" s="371"/>
      <c r="HU28" s="371"/>
      <c r="HV28" s="371"/>
      <c r="HW28" s="371"/>
      <c r="HX28" s="371"/>
      <c r="HY28" s="371"/>
      <c r="HZ28" s="371"/>
      <c r="IA28" s="371"/>
      <c r="IB28" s="371"/>
      <c r="IC28" s="371"/>
      <c r="ID28" s="371"/>
      <c r="IE28" s="371"/>
      <c r="IF28" s="371"/>
      <c r="IG28" s="371"/>
      <c r="IH28" s="371"/>
      <c r="II28" s="371"/>
      <c r="IJ28" s="371"/>
      <c r="IK28" s="371"/>
      <c r="IL28" s="371"/>
      <c r="IM28" s="371"/>
      <c r="IN28" s="371"/>
      <c r="IO28" s="371"/>
      <c r="IP28" s="371"/>
      <c r="IQ28" s="371"/>
      <c r="IR28" s="371"/>
      <c r="IS28" s="371"/>
      <c r="IT28" s="371"/>
      <c r="IU28" s="371"/>
      <c r="IV28" s="371"/>
      <c r="IW28" s="371"/>
      <c r="IX28" s="371"/>
      <c r="IY28" s="371"/>
      <c r="IZ28" s="371"/>
      <c r="JA28" s="371"/>
      <c r="JB28" s="371"/>
      <c r="JC28" s="371"/>
      <c r="JD28" s="371"/>
      <c r="JE28" s="371"/>
      <c r="JF28" s="371"/>
      <c r="JG28" s="371"/>
      <c r="JH28" s="371"/>
      <c r="JI28" s="371"/>
      <c r="JJ28" s="371"/>
      <c r="JK28" s="371"/>
      <c r="JL28" s="371"/>
      <c r="JM28" s="371"/>
      <c r="JN28" s="371"/>
      <c r="JO28" s="371"/>
      <c r="JP28" s="371"/>
      <c r="JQ28" s="371"/>
      <c r="JR28" s="371"/>
      <c r="JS28" s="371"/>
      <c r="JT28" s="371"/>
      <c r="JU28" s="371"/>
      <c r="JV28" s="371"/>
      <c r="JW28" s="371"/>
      <c r="JX28" s="371"/>
      <c r="JY28" s="371"/>
      <c r="JZ28" s="371"/>
      <c r="KA28" s="371"/>
      <c r="KB28" s="371"/>
      <c r="KC28" s="371"/>
      <c r="KD28" s="371"/>
      <c r="KE28" s="371"/>
      <c r="KF28" s="371"/>
      <c r="KG28" s="371"/>
      <c r="KH28" s="371"/>
      <c r="KI28" s="371"/>
      <c r="KJ28" s="371"/>
      <c r="KK28" s="371"/>
      <c r="KL28" s="371"/>
      <c r="KM28" s="371"/>
      <c r="KN28" s="371"/>
      <c r="KO28" s="371"/>
      <c r="KP28" s="371"/>
      <c r="KQ28" s="371"/>
      <c r="KR28" s="371"/>
      <c r="KS28" s="371"/>
      <c r="KT28" s="371"/>
      <c r="KU28" s="371"/>
      <c r="KV28" s="371"/>
      <c r="KW28" s="371"/>
      <c r="KX28" s="371"/>
      <c r="KY28" s="371"/>
      <c r="KZ28" s="371"/>
      <c r="LA28" s="371"/>
      <c r="LB28" s="371"/>
      <c r="LC28" s="371"/>
      <c r="LD28" s="371"/>
      <c r="LE28" s="371"/>
      <c r="LF28" s="371"/>
      <c r="LG28" s="371"/>
      <c r="LH28" s="371"/>
      <c r="LI28" s="371"/>
      <c r="LJ28" s="371"/>
      <c r="LK28" s="371"/>
      <c r="LL28" s="371"/>
      <c r="LM28" s="371"/>
      <c r="LN28" s="371"/>
      <c r="LO28" s="371"/>
      <c r="LP28" s="371"/>
      <c r="LQ28" s="371"/>
      <c r="LR28" s="371"/>
      <c r="LS28" s="371"/>
      <c r="LT28" s="371"/>
      <c r="LU28" s="371"/>
      <c r="LV28" s="371"/>
      <c r="LW28" s="371"/>
      <c r="LX28" s="371"/>
      <c r="LY28" s="371"/>
      <c r="LZ28" s="371"/>
      <c r="MA28" s="371"/>
      <c r="MB28" s="371"/>
      <c r="MC28" s="371"/>
      <c r="MD28" s="371"/>
      <c r="ME28" s="371"/>
      <c r="MF28" s="371"/>
      <c r="MG28" s="371"/>
      <c r="MH28" s="371"/>
      <c r="MI28" s="371"/>
      <c r="MJ28" s="371"/>
      <c r="MK28" s="371"/>
      <c r="ML28" s="371"/>
      <c r="MM28" s="371"/>
      <c r="MN28" s="371"/>
      <c r="MO28" s="371"/>
      <c r="MP28" s="371"/>
      <c r="MQ28" s="371"/>
      <c r="MR28" s="371"/>
      <c r="MS28" s="371"/>
      <c r="MT28" s="371"/>
      <c r="MU28" s="371"/>
      <c r="MV28" s="371"/>
      <c r="MW28" s="371"/>
      <c r="MX28" s="371"/>
      <c r="MY28" s="371"/>
      <c r="MZ28" s="371"/>
      <c r="NA28" s="371"/>
      <c r="NB28" s="371"/>
      <c r="NC28" s="371"/>
      <c r="ND28" s="176">
        <f t="shared" si="0"/>
        <v>0</v>
      </c>
    </row>
    <row r="29" spans="1:368" s="361" customFormat="1" ht="13.5" customHeight="1" thickTop="1">
      <c r="A29" s="409" t="s">
        <v>150</v>
      </c>
      <c r="B29" s="354" t="s">
        <v>151</v>
      </c>
      <c r="C29" s="372"/>
      <c r="D29" s="372"/>
      <c r="E29" s="372"/>
      <c r="F29" s="372"/>
      <c r="G29" s="372"/>
      <c r="H29" s="372"/>
      <c r="I29" s="372"/>
      <c r="J29" s="372"/>
      <c r="K29" s="372"/>
      <c r="L29" s="372"/>
      <c r="M29" s="372"/>
      <c r="N29" s="372"/>
      <c r="O29" s="372"/>
      <c r="P29" s="372"/>
      <c r="Q29" s="372"/>
      <c r="R29" s="372"/>
      <c r="S29" s="372"/>
      <c r="T29" s="372"/>
      <c r="U29" s="372"/>
      <c r="V29" s="372"/>
      <c r="W29" s="372"/>
      <c r="X29" s="372"/>
      <c r="Y29" s="372"/>
      <c r="Z29" s="372"/>
      <c r="AA29" s="372"/>
      <c r="AB29" s="372"/>
      <c r="AC29" s="372"/>
      <c r="AD29" s="372"/>
      <c r="AE29" s="372"/>
      <c r="AF29" s="372"/>
      <c r="AG29" s="372"/>
      <c r="AH29" s="372"/>
      <c r="AI29" s="372"/>
      <c r="AJ29" s="372"/>
      <c r="AK29" s="372"/>
      <c r="AL29" s="372"/>
      <c r="AM29" s="372"/>
      <c r="AN29" s="372"/>
      <c r="AO29" s="372"/>
      <c r="AP29" s="372"/>
      <c r="AQ29" s="372"/>
      <c r="AR29" s="372"/>
      <c r="AS29" s="372"/>
      <c r="AT29" s="372"/>
      <c r="AU29" s="372"/>
      <c r="AV29" s="372"/>
      <c r="AW29" s="372"/>
      <c r="AX29" s="372"/>
      <c r="AY29" s="372"/>
      <c r="AZ29" s="372"/>
      <c r="BA29" s="372"/>
      <c r="BB29" s="372"/>
      <c r="BC29" s="372"/>
      <c r="BD29" s="372"/>
      <c r="BE29" s="372"/>
      <c r="BF29" s="372"/>
      <c r="BG29" s="372"/>
      <c r="BH29" s="372"/>
      <c r="BI29" s="372"/>
      <c r="BJ29" s="372"/>
      <c r="BK29" s="372"/>
      <c r="BL29" s="372"/>
      <c r="BM29" s="372"/>
      <c r="BN29" s="372"/>
      <c r="BO29" s="372"/>
      <c r="BP29" s="372"/>
      <c r="BQ29" s="372"/>
      <c r="BR29" s="372"/>
      <c r="BS29" s="372"/>
      <c r="BT29" s="372"/>
      <c r="BU29" s="372"/>
      <c r="BV29" s="372"/>
      <c r="BW29" s="372"/>
      <c r="BX29" s="372"/>
      <c r="BY29" s="372"/>
      <c r="BZ29" s="372"/>
      <c r="CA29" s="372"/>
      <c r="CB29" s="372"/>
      <c r="CC29" s="372"/>
      <c r="CD29" s="372"/>
      <c r="CE29" s="372"/>
      <c r="CF29" s="372"/>
      <c r="CG29" s="372"/>
      <c r="CH29" s="372"/>
      <c r="CI29" s="372"/>
      <c r="CJ29" s="372"/>
      <c r="CK29" s="372"/>
      <c r="CL29" s="372"/>
      <c r="CM29" s="372"/>
      <c r="CN29" s="372"/>
      <c r="CO29" s="372"/>
      <c r="CP29" s="372"/>
      <c r="CQ29" s="372"/>
      <c r="CR29" s="372"/>
      <c r="CS29" s="372"/>
      <c r="CT29" s="372"/>
      <c r="CU29" s="372"/>
      <c r="CV29" s="372"/>
      <c r="CW29" s="372"/>
      <c r="CX29" s="372"/>
      <c r="CY29" s="372"/>
      <c r="CZ29" s="372"/>
      <c r="DA29" s="372"/>
      <c r="DB29" s="372"/>
      <c r="DC29" s="372"/>
      <c r="DD29" s="372"/>
      <c r="DE29" s="372"/>
      <c r="DF29" s="372"/>
      <c r="DG29" s="372"/>
      <c r="DH29" s="372"/>
      <c r="DI29" s="372"/>
      <c r="DJ29" s="372"/>
      <c r="DK29" s="372"/>
      <c r="DL29" s="372"/>
      <c r="DM29" s="372"/>
      <c r="DN29" s="372"/>
      <c r="DO29" s="372"/>
      <c r="DP29" s="372"/>
      <c r="DQ29" s="372"/>
      <c r="DR29" s="372"/>
      <c r="DS29" s="372"/>
      <c r="DT29" s="372"/>
      <c r="DU29" s="372"/>
      <c r="DV29" s="372"/>
      <c r="DW29" s="372"/>
      <c r="DX29" s="372"/>
      <c r="DY29" s="372"/>
      <c r="DZ29" s="372"/>
      <c r="EA29" s="372"/>
      <c r="EB29" s="372"/>
      <c r="EC29" s="372"/>
      <c r="ED29" s="372"/>
      <c r="EE29" s="372"/>
      <c r="EF29" s="372"/>
      <c r="EG29" s="372"/>
      <c r="EH29" s="372"/>
      <c r="EI29" s="372"/>
      <c r="EJ29" s="372"/>
      <c r="EK29" s="372"/>
      <c r="EL29" s="372"/>
      <c r="EM29" s="372"/>
      <c r="EN29" s="372"/>
      <c r="EO29" s="372"/>
      <c r="EP29" s="372"/>
      <c r="EQ29" s="372"/>
      <c r="ER29" s="372"/>
      <c r="ES29" s="372"/>
      <c r="ET29" s="372"/>
      <c r="EU29" s="372"/>
      <c r="EV29" s="372"/>
      <c r="EW29" s="372"/>
      <c r="EX29" s="372"/>
      <c r="EY29" s="372"/>
      <c r="EZ29" s="372"/>
      <c r="FA29" s="372"/>
      <c r="FB29" s="372"/>
      <c r="FC29" s="372"/>
      <c r="FD29" s="372"/>
      <c r="FE29" s="372"/>
      <c r="FF29" s="372"/>
      <c r="FG29" s="372"/>
      <c r="FH29" s="372"/>
      <c r="FI29" s="372"/>
      <c r="FJ29" s="372"/>
      <c r="FK29" s="372"/>
      <c r="FL29" s="372"/>
      <c r="FM29" s="372"/>
      <c r="FN29" s="372"/>
      <c r="FO29" s="372"/>
      <c r="FP29" s="372"/>
      <c r="FQ29" s="372"/>
      <c r="FR29" s="372"/>
      <c r="FS29" s="372"/>
      <c r="FT29" s="372"/>
      <c r="FU29" s="372"/>
      <c r="FV29" s="372"/>
      <c r="FW29" s="372"/>
      <c r="FX29" s="372"/>
      <c r="FY29" s="372"/>
      <c r="FZ29" s="372"/>
      <c r="GA29" s="372"/>
      <c r="GB29" s="372"/>
      <c r="GC29" s="372"/>
      <c r="GD29" s="372"/>
      <c r="GE29" s="372"/>
      <c r="GF29" s="372"/>
      <c r="GG29" s="372"/>
      <c r="GH29" s="372"/>
      <c r="GI29" s="372"/>
      <c r="GJ29" s="372"/>
      <c r="GK29" s="372"/>
      <c r="GL29" s="372"/>
      <c r="GM29" s="372"/>
      <c r="GN29" s="372"/>
      <c r="GO29" s="372"/>
      <c r="GP29" s="372"/>
      <c r="GQ29" s="372"/>
      <c r="GR29" s="372"/>
      <c r="GS29" s="372"/>
      <c r="GT29" s="372"/>
      <c r="GU29" s="372"/>
      <c r="GV29" s="372"/>
      <c r="GW29" s="372"/>
      <c r="GX29" s="372"/>
      <c r="GY29" s="372"/>
      <c r="GZ29" s="372"/>
      <c r="HA29" s="372"/>
      <c r="HB29" s="372"/>
      <c r="HC29" s="372"/>
      <c r="HD29" s="372"/>
      <c r="HE29" s="372"/>
      <c r="HF29" s="372"/>
      <c r="HG29" s="372"/>
      <c r="HH29" s="372"/>
      <c r="HI29" s="372"/>
      <c r="HJ29" s="372"/>
      <c r="HK29" s="372"/>
      <c r="HL29" s="372"/>
      <c r="HM29" s="372"/>
      <c r="HN29" s="372"/>
      <c r="HO29" s="372"/>
      <c r="HP29" s="372"/>
      <c r="HQ29" s="372"/>
      <c r="HR29" s="372"/>
      <c r="HS29" s="372"/>
      <c r="HT29" s="372"/>
      <c r="HU29" s="372"/>
      <c r="HV29" s="372"/>
      <c r="HW29" s="372"/>
      <c r="HX29" s="372"/>
      <c r="HY29" s="372"/>
      <c r="HZ29" s="372"/>
      <c r="IA29" s="372"/>
      <c r="IB29" s="372"/>
      <c r="IC29" s="372"/>
      <c r="ID29" s="372"/>
      <c r="IE29" s="372"/>
      <c r="IF29" s="372"/>
      <c r="IG29" s="372"/>
      <c r="IH29" s="372"/>
      <c r="II29" s="372"/>
      <c r="IJ29" s="372"/>
      <c r="IK29" s="372"/>
      <c r="IL29" s="372"/>
      <c r="IM29" s="372"/>
      <c r="IN29" s="372"/>
      <c r="IO29" s="372"/>
      <c r="IP29" s="372"/>
      <c r="IQ29" s="372"/>
      <c r="IR29" s="372"/>
      <c r="IS29" s="372"/>
      <c r="IT29" s="372"/>
      <c r="IU29" s="372"/>
      <c r="IV29" s="372"/>
      <c r="IW29" s="372"/>
      <c r="IX29" s="372"/>
      <c r="IY29" s="372"/>
      <c r="IZ29" s="372"/>
      <c r="JA29" s="372"/>
      <c r="JB29" s="372"/>
      <c r="JC29" s="372"/>
      <c r="JD29" s="372"/>
      <c r="JE29" s="372"/>
      <c r="JF29" s="372"/>
      <c r="JG29" s="372"/>
      <c r="JH29" s="372"/>
      <c r="JI29" s="372"/>
      <c r="JJ29" s="372"/>
      <c r="JK29" s="372"/>
      <c r="JL29" s="372"/>
      <c r="JM29" s="372"/>
      <c r="JN29" s="372"/>
      <c r="JO29" s="372"/>
      <c r="JP29" s="372"/>
      <c r="JQ29" s="372"/>
      <c r="JR29" s="372"/>
      <c r="JS29" s="372"/>
      <c r="JT29" s="372"/>
      <c r="JU29" s="372"/>
      <c r="JV29" s="372"/>
      <c r="JW29" s="372"/>
      <c r="JX29" s="372"/>
      <c r="JY29" s="372"/>
      <c r="JZ29" s="372"/>
      <c r="KA29" s="372"/>
      <c r="KB29" s="372"/>
      <c r="KC29" s="372"/>
      <c r="KD29" s="372"/>
      <c r="KE29" s="372"/>
      <c r="KF29" s="372"/>
      <c r="KG29" s="372"/>
      <c r="KH29" s="372"/>
      <c r="KI29" s="372"/>
      <c r="KJ29" s="372"/>
      <c r="KK29" s="372"/>
      <c r="KL29" s="372"/>
      <c r="KM29" s="372"/>
      <c r="KN29" s="372"/>
      <c r="KO29" s="372"/>
      <c r="KP29" s="372"/>
      <c r="KQ29" s="372"/>
      <c r="KR29" s="372"/>
      <c r="KS29" s="372"/>
      <c r="KT29" s="372"/>
      <c r="KU29" s="372"/>
      <c r="KV29" s="372"/>
      <c r="KW29" s="372"/>
      <c r="KX29" s="372"/>
      <c r="KY29" s="372"/>
      <c r="KZ29" s="372"/>
      <c r="LA29" s="372"/>
      <c r="LB29" s="372"/>
      <c r="LC29" s="372"/>
      <c r="LD29" s="372"/>
      <c r="LE29" s="372"/>
      <c r="LF29" s="372"/>
      <c r="LG29" s="372"/>
      <c r="LH29" s="372"/>
      <c r="LI29" s="372"/>
      <c r="LJ29" s="372"/>
      <c r="LK29" s="372"/>
      <c r="LL29" s="372"/>
      <c r="LM29" s="372"/>
      <c r="LN29" s="372"/>
      <c r="LO29" s="372"/>
      <c r="LP29" s="372"/>
      <c r="LQ29" s="372"/>
      <c r="LR29" s="372"/>
      <c r="LS29" s="372"/>
      <c r="LT29" s="372"/>
      <c r="LU29" s="372"/>
      <c r="LV29" s="372"/>
      <c r="LW29" s="372"/>
      <c r="LX29" s="372"/>
      <c r="LY29" s="372"/>
      <c r="LZ29" s="372"/>
      <c r="MA29" s="372"/>
      <c r="MB29" s="372"/>
      <c r="MC29" s="372"/>
      <c r="MD29" s="372"/>
      <c r="ME29" s="372"/>
      <c r="MF29" s="372"/>
      <c r="MG29" s="372"/>
      <c r="MH29" s="372"/>
      <c r="MI29" s="372"/>
      <c r="MJ29" s="372"/>
      <c r="MK29" s="372"/>
      <c r="ML29" s="372"/>
      <c r="MM29" s="372"/>
      <c r="MN29" s="372"/>
      <c r="MO29" s="372"/>
      <c r="MP29" s="372"/>
      <c r="MQ29" s="372"/>
      <c r="MR29" s="372"/>
      <c r="MS29" s="372"/>
      <c r="MT29" s="372"/>
      <c r="MU29" s="372"/>
      <c r="MV29" s="372"/>
      <c r="MW29" s="372"/>
      <c r="MX29" s="372"/>
      <c r="MY29" s="372"/>
      <c r="MZ29" s="372"/>
      <c r="NA29" s="372"/>
      <c r="NB29" s="372"/>
      <c r="NC29" s="372"/>
      <c r="ND29" s="176">
        <f t="shared" si="0"/>
        <v>0</v>
      </c>
    </row>
    <row r="30" spans="1:368" s="361" customFormat="1" ht="13.5" customHeight="1">
      <c r="A30" s="410"/>
      <c r="B30" s="355" t="s">
        <v>152</v>
      </c>
      <c r="C30" s="373"/>
      <c r="D30" s="373"/>
      <c r="E30" s="373"/>
      <c r="F30" s="373"/>
      <c r="G30" s="373"/>
      <c r="H30" s="373"/>
      <c r="I30" s="373"/>
      <c r="J30" s="373"/>
      <c r="K30" s="373"/>
      <c r="L30" s="373"/>
      <c r="M30" s="373"/>
      <c r="N30" s="373"/>
      <c r="O30" s="373"/>
      <c r="P30" s="373"/>
      <c r="Q30" s="373"/>
      <c r="R30" s="373"/>
      <c r="S30" s="373"/>
      <c r="T30" s="373"/>
      <c r="U30" s="373"/>
      <c r="V30" s="373"/>
      <c r="W30" s="373"/>
      <c r="X30" s="373"/>
      <c r="Y30" s="373"/>
      <c r="Z30" s="373"/>
      <c r="AA30" s="373"/>
      <c r="AB30" s="373"/>
      <c r="AC30" s="373"/>
      <c r="AD30" s="373"/>
      <c r="AE30" s="373"/>
      <c r="AF30" s="373"/>
      <c r="AG30" s="373"/>
      <c r="AH30" s="373"/>
      <c r="AI30" s="373"/>
      <c r="AJ30" s="373"/>
      <c r="AK30" s="373"/>
      <c r="AL30" s="373"/>
      <c r="AM30" s="373"/>
      <c r="AN30" s="373"/>
      <c r="AO30" s="373"/>
      <c r="AP30" s="373"/>
      <c r="AQ30" s="373"/>
      <c r="AR30" s="373"/>
      <c r="AS30" s="373"/>
      <c r="AT30" s="373"/>
      <c r="AU30" s="373"/>
      <c r="AV30" s="373"/>
      <c r="AW30" s="373"/>
      <c r="AX30" s="373"/>
      <c r="AY30" s="373"/>
      <c r="AZ30" s="373"/>
      <c r="BA30" s="373"/>
      <c r="BB30" s="373"/>
      <c r="BC30" s="373"/>
      <c r="BD30" s="373"/>
      <c r="BE30" s="373"/>
      <c r="BF30" s="373"/>
      <c r="BG30" s="373"/>
      <c r="BH30" s="373"/>
      <c r="BI30" s="373"/>
      <c r="BJ30" s="373"/>
      <c r="BK30" s="373"/>
      <c r="BL30" s="373"/>
      <c r="BM30" s="373"/>
      <c r="BN30" s="373"/>
      <c r="BO30" s="373"/>
      <c r="BP30" s="373"/>
      <c r="BQ30" s="373"/>
      <c r="BR30" s="373"/>
      <c r="BS30" s="373"/>
      <c r="BT30" s="373"/>
      <c r="BU30" s="373"/>
      <c r="BV30" s="373"/>
      <c r="BW30" s="373"/>
      <c r="BX30" s="373"/>
      <c r="BY30" s="373"/>
      <c r="BZ30" s="373"/>
      <c r="CA30" s="373"/>
      <c r="CB30" s="373"/>
      <c r="CC30" s="373"/>
      <c r="CD30" s="373"/>
      <c r="CE30" s="373"/>
      <c r="CF30" s="373"/>
      <c r="CG30" s="373"/>
      <c r="CH30" s="373"/>
      <c r="CI30" s="373"/>
      <c r="CJ30" s="373"/>
      <c r="CK30" s="373"/>
      <c r="CL30" s="373"/>
      <c r="CM30" s="373"/>
      <c r="CN30" s="373"/>
      <c r="CO30" s="373"/>
      <c r="CP30" s="373"/>
      <c r="CQ30" s="373"/>
      <c r="CR30" s="373"/>
      <c r="CS30" s="373"/>
      <c r="CT30" s="373"/>
      <c r="CU30" s="373"/>
      <c r="CV30" s="373"/>
      <c r="CW30" s="373"/>
      <c r="CX30" s="373"/>
      <c r="CY30" s="373"/>
      <c r="CZ30" s="373"/>
      <c r="DA30" s="373"/>
      <c r="DB30" s="373"/>
      <c r="DC30" s="373"/>
      <c r="DD30" s="373"/>
      <c r="DE30" s="373"/>
      <c r="DF30" s="373"/>
      <c r="DG30" s="373"/>
      <c r="DH30" s="373"/>
      <c r="DI30" s="373"/>
      <c r="DJ30" s="373"/>
      <c r="DK30" s="373"/>
      <c r="DL30" s="373"/>
      <c r="DM30" s="373"/>
      <c r="DN30" s="373"/>
      <c r="DO30" s="373"/>
      <c r="DP30" s="373"/>
      <c r="DQ30" s="373"/>
      <c r="DR30" s="373"/>
      <c r="DS30" s="373"/>
      <c r="DT30" s="373"/>
      <c r="DU30" s="373"/>
      <c r="DV30" s="373"/>
      <c r="DW30" s="373"/>
      <c r="DX30" s="373"/>
      <c r="DY30" s="373"/>
      <c r="DZ30" s="373"/>
      <c r="EA30" s="373"/>
      <c r="EB30" s="373"/>
      <c r="EC30" s="373"/>
      <c r="ED30" s="373"/>
      <c r="EE30" s="373"/>
      <c r="EF30" s="373"/>
      <c r="EG30" s="373"/>
      <c r="EH30" s="373"/>
      <c r="EI30" s="373"/>
      <c r="EJ30" s="373"/>
      <c r="EK30" s="373"/>
      <c r="EL30" s="373"/>
      <c r="EM30" s="373"/>
      <c r="EN30" s="373"/>
      <c r="EO30" s="373"/>
      <c r="EP30" s="373"/>
      <c r="EQ30" s="373"/>
      <c r="ER30" s="373"/>
      <c r="ES30" s="373"/>
      <c r="ET30" s="373"/>
      <c r="EU30" s="373"/>
      <c r="EV30" s="373"/>
      <c r="EW30" s="373"/>
      <c r="EX30" s="373"/>
      <c r="EY30" s="373"/>
      <c r="EZ30" s="373"/>
      <c r="FA30" s="373"/>
      <c r="FB30" s="373"/>
      <c r="FC30" s="373"/>
      <c r="FD30" s="373"/>
      <c r="FE30" s="373"/>
      <c r="FF30" s="373"/>
      <c r="FG30" s="373"/>
      <c r="FH30" s="373"/>
      <c r="FI30" s="373"/>
      <c r="FJ30" s="373"/>
      <c r="FK30" s="373"/>
      <c r="FL30" s="373"/>
      <c r="FM30" s="373"/>
      <c r="FN30" s="373"/>
      <c r="FO30" s="373"/>
      <c r="FP30" s="373"/>
      <c r="FQ30" s="373"/>
      <c r="FR30" s="373"/>
      <c r="FS30" s="373"/>
      <c r="FT30" s="373"/>
      <c r="FU30" s="373"/>
      <c r="FV30" s="373"/>
      <c r="FW30" s="373"/>
      <c r="FX30" s="373"/>
      <c r="FY30" s="373"/>
      <c r="FZ30" s="373"/>
      <c r="GA30" s="373"/>
      <c r="GB30" s="373"/>
      <c r="GC30" s="373"/>
      <c r="GD30" s="373"/>
      <c r="GE30" s="373"/>
      <c r="GF30" s="373"/>
      <c r="GG30" s="373"/>
      <c r="GH30" s="373"/>
      <c r="GI30" s="373"/>
      <c r="GJ30" s="373"/>
      <c r="GK30" s="373"/>
      <c r="GL30" s="373"/>
      <c r="GM30" s="373"/>
      <c r="GN30" s="373"/>
      <c r="GO30" s="373"/>
      <c r="GP30" s="373"/>
      <c r="GQ30" s="373"/>
      <c r="GR30" s="373"/>
      <c r="GS30" s="373"/>
      <c r="GT30" s="373"/>
      <c r="GU30" s="373"/>
      <c r="GV30" s="373"/>
      <c r="GW30" s="373"/>
      <c r="GX30" s="373"/>
      <c r="GY30" s="373"/>
      <c r="GZ30" s="373"/>
      <c r="HA30" s="373"/>
      <c r="HB30" s="373"/>
      <c r="HC30" s="373"/>
      <c r="HD30" s="373"/>
      <c r="HE30" s="373"/>
      <c r="HF30" s="373"/>
      <c r="HG30" s="373"/>
      <c r="HH30" s="373"/>
      <c r="HI30" s="373"/>
      <c r="HJ30" s="373"/>
      <c r="HK30" s="373"/>
      <c r="HL30" s="373"/>
      <c r="HM30" s="373"/>
      <c r="HN30" s="373"/>
      <c r="HO30" s="373"/>
      <c r="HP30" s="373"/>
      <c r="HQ30" s="373"/>
      <c r="HR30" s="373"/>
      <c r="HS30" s="373"/>
      <c r="HT30" s="373"/>
      <c r="HU30" s="373"/>
      <c r="HV30" s="373"/>
      <c r="HW30" s="373"/>
      <c r="HX30" s="373"/>
      <c r="HY30" s="373"/>
      <c r="HZ30" s="373"/>
      <c r="IA30" s="373"/>
      <c r="IB30" s="373"/>
      <c r="IC30" s="373"/>
      <c r="ID30" s="373"/>
      <c r="IE30" s="373"/>
      <c r="IF30" s="373"/>
      <c r="IG30" s="373"/>
      <c r="IH30" s="373"/>
      <c r="II30" s="373"/>
      <c r="IJ30" s="373"/>
      <c r="IK30" s="373"/>
      <c r="IL30" s="373"/>
      <c r="IM30" s="373"/>
      <c r="IN30" s="373"/>
      <c r="IO30" s="373"/>
      <c r="IP30" s="373"/>
      <c r="IQ30" s="373"/>
      <c r="IR30" s="373"/>
      <c r="IS30" s="373"/>
      <c r="IT30" s="373"/>
      <c r="IU30" s="373"/>
      <c r="IV30" s="373"/>
      <c r="IW30" s="373"/>
      <c r="IX30" s="373"/>
      <c r="IY30" s="373"/>
      <c r="IZ30" s="373"/>
      <c r="JA30" s="373"/>
      <c r="JB30" s="373"/>
      <c r="JC30" s="373"/>
      <c r="JD30" s="373"/>
      <c r="JE30" s="373"/>
      <c r="JF30" s="373"/>
      <c r="JG30" s="373"/>
      <c r="JH30" s="373"/>
      <c r="JI30" s="373"/>
      <c r="JJ30" s="373"/>
      <c r="JK30" s="373"/>
      <c r="JL30" s="373"/>
      <c r="JM30" s="373"/>
      <c r="JN30" s="373"/>
      <c r="JO30" s="373"/>
      <c r="JP30" s="373"/>
      <c r="JQ30" s="373"/>
      <c r="JR30" s="373"/>
      <c r="JS30" s="373"/>
      <c r="JT30" s="373"/>
      <c r="JU30" s="373"/>
      <c r="JV30" s="373"/>
      <c r="JW30" s="373"/>
      <c r="JX30" s="373"/>
      <c r="JY30" s="373"/>
      <c r="JZ30" s="373"/>
      <c r="KA30" s="373"/>
      <c r="KB30" s="373"/>
      <c r="KC30" s="373"/>
      <c r="KD30" s="373"/>
      <c r="KE30" s="373"/>
      <c r="KF30" s="373"/>
      <c r="KG30" s="373"/>
      <c r="KH30" s="373"/>
      <c r="KI30" s="373"/>
      <c r="KJ30" s="373"/>
      <c r="KK30" s="373"/>
      <c r="KL30" s="373"/>
      <c r="KM30" s="373"/>
      <c r="KN30" s="373"/>
      <c r="KO30" s="373"/>
      <c r="KP30" s="373"/>
      <c r="KQ30" s="373"/>
      <c r="KR30" s="373"/>
      <c r="KS30" s="373"/>
      <c r="KT30" s="373"/>
      <c r="KU30" s="373"/>
      <c r="KV30" s="373"/>
      <c r="KW30" s="373"/>
      <c r="KX30" s="373"/>
      <c r="KY30" s="373"/>
      <c r="KZ30" s="373"/>
      <c r="LA30" s="373"/>
      <c r="LB30" s="373"/>
      <c r="LC30" s="373"/>
      <c r="LD30" s="373"/>
      <c r="LE30" s="373"/>
      <c r="LF30" s="373"/>
      <c r="LG30" s="373"/>
      <c r="LH30" s="373"/>
      <c r="LI30" s="373"/>
      <c r="LJ30" s="373"/>
      <c r="LK30" s="373"/>
      <c r="LL30" s="373"/>
      <c r="LM30" s="373"/>
      <c r="LN30" s="373"/>
      <c r="LO30" s="373"/>
      <c r="LP30" s="373"/>
      <c r="LQ30" s="373"/>
      <c r="LR30" s="373"/>
      <c r="LS30" s="373"/>
      <c r="LT30" s="373"/>
      <c r="LU30" s="373"/>
      <c r="LV30" s="373"/>
      <c r="LW30" s="373"/>
      <c r="LX30" s="373"/>
      <c r="LY30" s="373"/>
      <c r="LZ30" s="373"/>
      <c r="MA30" s="373"/>
      <c r="MB30" s="373"/>
      <c r="MC30" s="373"/>
      <c r="MD30" s="373"/>
      <c r="ME30" s="373"/>
      <c r="MF30" s="373"/>
      <c r="MG30" s="373"/>
      <c r="MH30" s="373"/>
      <c r="MI30" s="373"/>
      <c r="MJ30" s="373"/>
      <c r="MK30" s="373"/>
      <c r="ML30" s="373"/>
      <c r="MM30" s="373"/>
      <c r="MN30" s="373"/>
      <c r="MO30" s="373"/>
      <c r="MP30" s="373"/>
      <c r="MQ30" s="373"/>
      <c r="MR30" s="373"/>
      <c r="MS30" s="373"/>
      <c r="MT30" s="373"/>
      <c r="MU30" s="373"/>
      <c r="MV30" s="373"/>
      <c r="MW30" s="373"/>
      <c r="MX30" s="373"/>
      <c r="MY30" s="373"/>
      <c r="MZ30" s="373"/>
      <c r="NA30" s="373"/>
      <c r="NB30" s="373"/>
      <c r="NC30" s="373"/>
      <c r="ND30" s="176">
        <f t="shared" si="0"/>
        <v>0</v>
      </c>
    </row>
    <row r="31" spans="1:368" s="361" customFormat="1" ht="13.5" customHeight="1">
      <c r="A31" s="410"/>
      <c r="B31" s="355" t="s">
        <v>153</v>
      </c>
      <c r="C31" s="373"/>
      <c r="D31" s="373"/>
      <c r="E31" s="373"/>
      <c r="F31" s="373"/>
      <c r="G31" s="373"/>
      <c r="H31" s="373"/>
      <c r="I31" s="373"/>
      <c r="J31" s="373"/>
      <c r="K31" s="373"/>
      <c r="L31" s="373"/>
      <c r="M31" s="373"/>
      <c r="N31" s="373"/>
      <c r="O31" s="373"/>
      <c r="P31" s="373"/>
      <c r="Q31" s="373"/>
      <c r="R31" s="373"/>
      <c r="S31" s="373"/>
      <c r="T31" s="373"/>
      <c r="U31" s="373"/>
      <c r="V31" s="373"/>
      <c r="W31" s="373"/>
      <c r="X31" s="373"/>
      <c r="Y31" s="373"/>
      <c r="Z31" s="373"/>
      <c r="AA31" s="373"/>
      <c r="AB31" s="373"/>
      <c r="AC31" s="373"/>
      <c r="AD31" s="373"/>
      <c r="AE31" s="373"/>
      <c r="AF31" s="373"/>
      <c r="AG31" s="373"/>
      <c r="AH31" s="373"/>
      <c r="AI31" s="373"/>
      <c r="AJ31" s="373"/>
      <c r="AK31" s="373"/>
      <c r="AL31" s="373"/>
      <c r="AM31" s="373"/>
      <c r="AN31" s="373"/>
      <c r="AO31" s="373"/>
      <c r="AP31" s="373"/>
      <c r="AQ31" s="373"/>
      <c r="AR31" s="373"/>
      <c r="AS31" s="373"/>
      <c r="AT31" s="373"/>
      <c r="AU31" s="373"/>
      <c r="AV31" s="373"/>
      <c r="AW31" s="373"/>
      <c r="AX31" s="373"/>
      <c r="AY31" s="373"/>
      <c r="AZ31" s="373"/>
      <c r="BA31" s="373"/>
      <c r="BB31" s="373"/>
      <c r="BC31" s="373"/>
      <c r="BD31" s="373"/>
      <c r="BE31" s="373"/>
      <c r="BF31" s="373"/>
      <c r="BG31" s="373"/>
      <c r="BH31" s="373"/>
      <c r="BI31" s="373"/>
      <c r="BJ31" s="373"/>
      <c r="BK31" s="373"/>
      <c r="BL31" s="373"/>
      <c r="BM31" s="373"/>
      <c r="BN31" s="373"/>
      <c r="BO31" s="373"/>
      <c r="BP31" s="373"/>
      <c r="BQ31" s="373"/>
      <c r="BR31" s="373"/>
      <c r="BS31" s="373"/>
      <c r="BT31" s="373"/>
      <c r="BU31" s="373"/>
      <c r="BV31" s="373"/>
      <c r="BW31" s="373"/>
      <c r="BX31" s="373"/>
      <c r="BY31" s="373"/>
      <c r="BZ31" s="373"/>
      <c r="CA31" s="373"/>
      <c r="CB31" s="373"/>
      <c r="CC31" s="373"/>
      <c r="CD31" s="373"/>
      <c r="CE31" s="373"/>
      <c r="CF31" s="373"/>
      <c r="CG31" s="373"/>
      <c r="CH31" s="373"/>
      <c r="CI31" s="373"/>
      <c r="CJ31" s="373"/>
      <c r="CK31" s="373"/>
      <c r="CL31" s="373"/>
      <c r="CM31" s="373"/>
      <c r="CN31" s="373"/>
      <c r="CO31" s="373"/>
      <c r="CP31" s="373"/>
      <c r="CQ31" s="373"/>
      <c r="CR31" s="373"/>
      <c r="CS31" s="373"/>
      <c r="CT31" s="373"/>
      <c r="CU31" s="373"/>
      <c r="CV31" s="373"/>
      <c r="CW31" s="373"/>
      <c r="CX31" s="373"/>
      <c r="CY31" s="373"/>
      <c r="CZ31" s="373"/>
      <c r="DA31" s="373"/>
      <c r="DB31" s="373"/>
      <c r="DC31" s="373"/>
      <c r="DD31" s="373"/>
      <c r="DE31" s="373"/>
      <c r="DF31" s="373"/>
      <c r="DG31" s="373"/>
      <c r="DH31" s="373"/>
      <c r="DI31" s="373"/>
      <c r="DJ31" s="373"/>
      <c r="DK31" s="373"/>
      <c r="DL31" s="373"/>
      <c r="DM31" s="373"/>
      <c r="DN31" s="373"/>
      <c r="DO31" s="373"/>
      <c r="DP31" s="373"/>
      <c r="DQ31" s="373"/>
      <c r="DR31" s="373"/>
      <c r="DS31" s="373"/>
      <c r="DT31" s="373"/>
      <c r="DU31" s="373"/>
      <c r="DV31" s="373"/>
      <c r="DW31" s="373"/>
      <c r="DX31" s="373"/>
      <c r="DY31" s="373"/>
      <c r="DZ31" s="373"/>
      <c r="EA31" s="373"/>
      <c r="EB31" s="373"/>
      <c r="EC31" s="373"/>
      <c r="ED31" s="373"/>
      <c r="EE31" s="373"/>
      <c r="EF31" s="373"/>
      <c r="EG31" s="373"/>
      <c r="EH31" s="373"/>
      <c r="EI31" s="373"/>
      <c r="EJ31" s="373"/>
      <c r="EK31" s="373"/>
      <c r="EL31" s="373"/>
      <c r="EM31" s="373"/>
      <c r="EN31" s="373"/>
      <c r="EO31" s="373"/>
      <c r="EP31" s="373"/>
      <c r="EQ31" s="373"/>
      <c r="ER31" s="373"/>
      <c r="ES31" s="373"/>
      <c r="ET31" s="373"/>
      <c r="EU31" s="373"/>
      <c r="EV31" s="373"/>
      <c r="EW31" s="373"/>
      <c r="EX31" s="373"/>
      <c r="EY31" s="373"/>
      <c r="EZ31" s="373"/>
      <c r="FA31" s="373"/>
      <c r="FB31" s="373"/>
      <c r="FC31" s="373"/>
      <c r="FD31" s="373"/>
      <c r="FE31" s="373"/>
      <c r="FF31" s="373"/>
      <c r="FG31" s="373"/>
      <c r="FH31" s="373"/>
      <c r="FI31" s="373"/>
      <c r="FJ31" s="373"/>
      <c r="FK31" s="373"/>
      <c r="FL31" s="373"/>
      <c r="FM31" s="373"/>
      <c r="FN31" s="373"/>
      <c r="FO31" s="373"/>
      <c r="FP31" s="373"/>
      <c r="FQ31" s="373"/>
      <c r="FR31" s="373"/>
      <c r="FS31" s="373"/>
      <c r="FT31" s="373"/>
      <c r="FU31" s="373"/>
      <c r="FV31" s="373"/>
      <c r="FW31" s="373"/>
      <c r="FX31" s="373"/>
      <c r="FY31" s="373"/>
      <c r="FZ31" s="373"/>
      <c r="GA31" s="373"/>
      <c r="GB31" s="373"/>
      <c r="GC31" s="373"/>
      <c r="GD31" s="373"/>
      <c r="GE31" s="373"/>
      <c r="GF31" s="373"/>
      <c r="GG31" s="373"/>
      <c r="GH31" s="373"/>
      <c r="GI31" s="373"/>
      <c r="GJ31" s="373"/>
      <c r="GK31" s="373"/>
      <c r="GL31" s="373"/>
      <c r="GM31" s="373"/>
      <c r="GN31" s="373"/>
      <c r="GO31" s="373"/>
      <c r="GP31" s="373"/>
      <c r="GQ31" s="373"/>
      <c r="GR31" s="373"/>
      <c r="GS31" s="373"/>
      <c r="GT31" s="373"/>
      <c r="GU31" s="373"/>
      <c r="GV31" s="373"/>
      <c r="GW31" s="373"/>
      <c r="GX31" s="373"/>
      <c r="GY31" s="373"/>
      <c r="GZ31" s="373"/>
      <c r="HA31" s="373"/>
      <c r="HB31" s="373"/>
      <c r="HC31" s="373"/>
      <c r="HD31" s="373"/>
      <c r="HE31" s="373"/>
      <c r="HF31" s="373"/>
      <c r="HG31" s="373"/>
      <c r="HH31" s="373"/>
      <c r="HI31" s="373"/>
      <c r="HJ31" s="373"/>
      <c r="HK31" s="373"/>
      <c r="HL31" s="373"/>
      <c r="HM31" s="373"/>
      <c r="HN31" s="373"/>
      <c r="HO31" s="373"/>
      <c r="HP31" s="373"/>
      <c r="HQ31" s="373"/>
      <c r="HR31" s="373"/>
      <c r="HS31" s="373"/>
      <c r="HT31" s="373"/>
      <c r="HU31" s="373"/>
      <c r="HV31" s="373"/>
      <c r="HW31" s="373"/>
      <c r="HX31" s="373"/>
      <c r="HY31" s="373"/>
      <c r="HZ31" s="373"/>
      <c r="IA31" s="373"/>
      <c r="IB31" s="373"/>
      <c r="IC31" s="373"/>
      <c r="ID31" s="373"/>
      <c r="IE31" s="373"/>
      <c r="IF31" s="373"/>
      <c r="IG31" s="373"/>
      <c r="IH31" s="373"/>
      <c r="II31" s="373"/>
      <c r="IJ31" s="373"/>
      <c r="IK31" s="373"/>
      <c r="IL31" s="373"/>
      <c r="IM31" s="373"/>
      <c r="IN31" s="373"/>
      <c r="IO31" s="373"/>
      <c r="IP31" s="373"/>
      <c r="IQ31" s="373"/>
      <c r="IR31" s="373"/>
      <c r="IS31" s="373"/>
      <c r="IT31" s="373"/>
      <c r="IU31" s="373"/>
      <c r="IV31" s="373"/>
      <c r="IW31" s="373"/>
      <c r="IX31" s="373"/>
      <c r="IY31" s="373"/>
      <c r="IZ31" s="373"/>
      <c r="JA31" s="373"/>
      <c r="JB31" s="373"/>
      <c r="JC31" s="373"/>
      <c r="JD31" s="373"/>
      <c r="JE31" s="373"/>
      <c r="JF31" s="373"/>
      <c r="JG31" s="373"/>
      <c r="JH31" s="373"/>
      <c r="JI31" s="373"/>
      <c r="JJ31" s="373"/>
      <c r="JK31" s="373"/>
      <c r="JL31" s="373"/>
      <c r="JM31" s="373"/>
      <c r="JN31" s="373"/>
      <c r="JO31" s="373"/>
      <c r="JP31" s="373"/>
      <c r="JQ31" s="373"/>
      <c r="JR31" s="373"/>
      <c r="JS31" s="373"/>
      <c r="JT31" s="373"/>
      <c r="JU31" s="373"/>
      <c r="JV31" s="373"/>
      <c r="JW31" s="373"/>
      <c r="JX31" s="373"/>
      <c r="JY31" s="373"/>
      <c r="JZ31" s="373"/>
      <c r="KA31" s="373"/>
      <c r="KB31" s="373"/>
      <c r="KC31" s="373"/>
      <c r="KD31" s="373"/>
      <c r="KE31" s="373"/>
      <c r="KF31" s="373"/>
      <c r="KG31" s="373"/>
      <c r="KH31" s="373"/>
      <c r="KI31" s="373"/>
      <c r="KJ31" s="373"/>
      <c r="KK31" s="373"/>
      <c r="KL31" s="373"/>
      <c r="KM31" s="373"/>
      <c r="KN31" s="373"/>
      <c r="KO31" s="373"/>
      <c r="KP31" s="373"/>
      <c r="KQ31" s="373"/>
      <c r="KR31" s="373"/>
      <c r="KS31" s="373"/>
      <c r="KT31" s="373"/>
      <c r="KU31" s="373"/>
      <c r="KV31" s="373"/>
      <c r="KW31" s="373"/>
      <c r="KX31" s="373"/>
      <c r="KY31" s="373"/>
      <c r="KZ31" s="373"/>
      <c r="LA31" s="373"/>
      <c r="LB31" s="373"/>
      <c r="LC31" s="373"/>
      <c r="LD31" s="373"/>
      <c r="LE31" s="373"/>
      <c r="LF31" s="373"/>
      <c r="LG31" s="373"/>
      <c r="LH31" s="373"/>
      <c r="LI31" s="373"/>
      <c r="LJ31" s="373"/>
      <c r="LK31" s="373"/>
      <c r="LL31" s="373"/>
      <c r="LM31" s="373"/>
      <c r="LN31" s="373"/>
      <c r="LO31" s="373"/>
      <c r="LP31" s="373"/>
      <c r="LQ31" s="373"/>
      <c r="LR31" s="373"/>
      <c r="LS31" s="373"/>
      <c r="LT31" s="373"/>
      <c r="LU31" s="373"/>
      <c r="LV31" s="373"/>
      <c r="LW31" s="373"/>
      <c r="LX31" s="373"/>
      <c r="LY31" s="373"/>
      <c r="LZ31" s="373"/>
      <c r="MA31" s="373"/>
      <c r="MB31" s="373"/>
      <c r="MC31" s="373"/>
      <c r="MD31" s="373"/>
      <c r="ME31" s="373"/>
      <c r="MF31" s="373"/>
      <c r="MG31" s="373"/>
      <c r="MH31" s="373"/>
      <c r="MI31" s="373"/>
      <c r="MJ31" s="373"/>
      <c r="MK31" s="373"/>
      <c r="ML31" s="373"/>
      <c r="MM31" s="373"/>
      <c r="MN31" s="373"/>
      <c r="MO31" s="373"/>
      <c r="MP31" s="373"/>
      <c r="MQ31" s="373"/>
      <c r="MR31" s="373"/>
      <c r="MS31" s="373"/>
      <c r="MT31" s="373"/>
      <c r="MU31" s="373"/>
      <c r="MV31" s="373"/>
      <c r="MW31" s="373"/>
      <c r="MX31" s="373"/>
      <c r="MY31" s="373"/>
      <c r="MZ31" s="373"/>
      <c r="NA31" s="373"/>
      <c r="NB31" s="373"/>
      <c r="NC31" s="373"/>
      <c r="ND31" s="176">
        <f t="shared" si="0"/>
        <v>0</v>
      </c>
    </row>
    <row r="32" spans="1:368" s="361" customFormat="1" ht="13.5" customHeight="1">
      <c r="A32" s="410"/>
      <c r="B32" s="355" t="s">
        <v>154</v>
      </c>
      <c r="C32" s="373"/>
      <c r="D32" s="373"/>
      <c r="E32" s="373"/>
      <c r="F32" s="373"/>
      <c r="G32" s="373"/>
      <c r="H32" s="373"/>
      <c r="I32" s="373"/>
      <c r="J32" s="373"/>
      <c r="K32" s="373"/>
      <c r="L32" s="373"/>
      <c r="M32" s="373"/>
      <c r="N32" s="373"/>
      <c r="O32" s="373"/>
      <c r="P32" s="373"/>
      <c r="Q32" s="373"/>
      <c r="R32" s="373"/>
      <c r="S32" s="373"/>
      <c r="T32" s="373"/>
      <c r="U32" s="373"/>
      <c r="V32" s="373"/>
      <c r="W32" s="373"/>
      <c r="X32" s="373"/>
      <c r="Y32" s="373"/>
      <c r="Z32" s="373"/>
      <c r="AA32" s="373"/>
      <c r="AB32" s="373"/>
      <c r="AC32" s="373"/>
      <c r="AD32" s="373"/>
      <c r="AE32" s="373"/>
      <c r="AF32" s="373"/>
      <c r="AG32" s="373"/>
      <c r="AH32" s="373"/>
      <c r="AI32" s="373"/>
      <c r="AJ32" s="373"/>
      <c r="AK32" s="373"/>
      <c r="AL32" s="373"/>
      <c r="AM32" s="373"/>
      <c r="AN32" s="373"/>
      <c r="AO32" s="373"/>
      <c r="AP32" s="373"/>
      <c r="AQ32" s="373"/>
      <c r="AR32" s="373"/>
      <c r="AS32" s="373"/>
      <c r="AT32" s="373"/>
      <c r="AU32" s="373"/>
      <c r="AV32" s="373"/>
      <c r="AW32" s="373"/>
      <c r="AX32" s="373"/>
      <c r="AY32" s="373"/>
      <c r="AZ32" s="373"/>
      <c r="BA32" s="373"/>
      <c r="BB32" s="373"/>
      <c r="BC32" s="373"/>
      <c r="BD32" s="373"/>
      <c r="BE32" s="373"/>
      <c r="BF32" s="373"/>
      <c r="BG32" s="373"/>
      <c r="BH32" s="373"/>
      <c r="BI32" s="373"/>
      <c r="BJ32" s="373"/>
      <c r="BK32" s="373"/>
      <c r="BL32" s="373"/>
      <c r="BM32" s="373"/>
      <c r="BN32" s="373"/>
      <c r="BO32" s="373"/>
      <c r="BP32" s="373"/>
      <c r="BQ32" s="373"/>
      <c r="BR32" s="373"/>
      <c r="BS32" s="373"/>
      <c r="BT32" s="373"/>
      <c r="BU32" s="373"/>
      <c r="BV32" s="373"/>
      <c r="BW32" s="373"/>
      <c r="BX32" s="373"/>
      <c r="BY32" s="373"/>
      <c r="BZ32" s="373"/>
      <c r="CA32" s="373"/>
      <c r="CB32" s="373"/>
      <c r="CC32" s="373"/>
      <c r="CD32" s="373"/>
      <c r="CE32" s="373"/>
      <c r="CF32" s="373"/>
      <c r="CG32" s="373"/>
      <c r="CH32" s="373"/>
      <c r="CI32" s="373"/>
      <c r="CJ32" s="373"/>
      <c r="CK32" s="373"/>
      <c r="CL32" s="373"/>
      <c r="CM32" s="373"/>
      <c r="CN32" s="373"/>
      <c r="CO32" s="373"/>
      <c r="CP32" s="373"/>
      <c r="CQ32" s="373"/>
      <c r="CR32" s="373"/>
      <c r="CS32" s="373"/>
      <c r="CT32" s="373"/>
      <c r="CU32" s="373"/>
      <c r="CV32" s="373"/>
      <c r="CW32" s="373"/>
      <c r="CX32" s="373"/>
      <c r="CY32" s="373"/>
      <c r="CZ32" s="373"/>
      <c r="DA32" s="373"/>
      <c r="DB32" s="373"/>
      <c r="DC32" s="373"/>
      <c r="DD32" s="373"/>
      <c r="DE32" s="373"/>
      <c r="DF32" s="373"/>
      <c r="DG32" s="373"/>
      <c r="DH32" s="373"/>
      <c r="DI32" s="373"/>
      <c r="DJ32" s="373"/>
      <c r="DK32" s="373"/>
      <c r="DL32" s="373"/>
      <c r="DM32" s="373"/>
      <c r="DN32" s="373"/>
      <c r="DO32" s="373"/>
      <c r="DP32" s="373"/>
      <c r="DQ32" s="373"/>
      <c r="DR32" s="373"/>
      <c r="DS32" s="373"/>
      <c r="DT32" s="373"/>
      <c r="DU32" s="373"/>
      <c r="DV32" s="373"/>
      <c r="DW32" s="373"/>
      <c r="DX32" s="373"/>
      <c r="DY32" s="373"/>
      <c r="DZ32" s="373"/>
      <c r="EA32" s="373"/>
      <c r="EB32" s="373"/>
      <c r="EC32" s="373"/>
      <c r="ED32" s="373"/>
      <c r="EE32" s="373"/>
      <c r="EF32" s="373"/>
      <c r="EG32" s="373"/>
      <c r="EH32" s="373"/>
      <c r="EI32" s="373"/>
      <c r="EJ32" s="373"/>
      <c r="EK32" s="373"/>
      <c r="EL32" s="373"/>
      <c r="EM32" s="373"/>
      <c r="EN32" s="373"/>
      <c r="EO32" s="373"/>
      <c r="EP32" s="373"/>
      <c r="EQ32" s="373"/>
      <c r="ER32" s="373"/>
      <c r="ES32" s="373"/>
      <c r="ET32" s="373"/>
      <c r="EU32" s="373"/>
      <c r="EV32" s="373"/>
      <c r="EW32" s="373"/>
      <c r="EX32" s="373"/>
      <c r="EY32" s="373"/>
      <c r="EZ32" s="373"/>
      <c r="FA32" s="373"/>
      <c r="FB32" s="373"/>
      <c r="FC32" s="373"/>
      <c r="FD32" s="373"/>
      <c r="FE32" s="373"/>
      <c r="FF32" s="373"/>
      <c r="FG32" s="373"/>
      <c r="FH32" s="373"/>
      <c r="FI32" s="373"/>
      <c r="FJ32" s="373"/>
      <c r="FK32" s="373"/>
      <c r="FL32" s="373"/>
      <c r="FM32" s="373"/>
      <c r="FN32" s="373"/>
      <c r="FO32" s="373"/>
      <c r="FP32" s="373"/>
      <c r="FQ32" s="373"/>
      <c r="FR32" s="373"/>
      <c r="FS32" s="373"/>
      <c r="FT32" s="373"/>
      <c r="FU32" s="373"/>
      <c r="FV32" s="373"/>
      <c r="FW32" s="373"/>
      <c r="FX32" s="373"/>
      <c r="FY32" s="373"/>
      <c r="FZ32" s="373"/>
      <c r="GA32" s="373"/>
      <c r="GB32" s="373"/>
      <c r="GC32" s="373"/>
      <c r="GD32" s="373"/>
      <c r="GE32" s="373"/>
      <c r="GF32" s="373"/>
      <c r="GG32" s="373"/>
      <c r="GH32" s="373"/>
      <c r="GI32" s="373"/>
      <c r="GJ32" s="373"/>
      <c r="GK32" s="373"/>
      <c r="GL32" s="373"/>
      <c r="GM32" s="373"/>
      <c r="GN32" s="373"/>
      <c r="GO32" s="373"/>
      <c r="GP32" s="373"/>
      <c r="GQ32" s="373"/>
      <c r="GR32" s="373"/>
      <c r="GS32" s="373"/>
      <c r="GT32" s="373"/>
      <c r="GU32" s="373"/>
      <c r="GV32" s="373"/>
      <c r="GW32" s="373"/>
      <c r="GX32" s="373"/>
      <c r="GY32" s="373"/>
      <c r="GZ32" s="373"/>
      <c r="HA32" s="373"/>
      <c r="HB32" s="373"/>
      <c r="HC32" s="373"/>
      <c r="HD32" s="373"/>
      <c r="HE32" s="373"/>
      <c r="HF32" s="373"/>
      <c r="HG32" s="373"/>
      <c r="HH32" s="373"/>
      <c r="HI32" s="373"/>
      <c r="HJ32" s="373"/>
      <c r="HK32" s="373"/>
      <c r="HL32" s="373"/>
      <c r="HM32" s="373"/>
      <c r="HN32" s="373"/>
      <c r="HO32" s="373"/>
      <c r="HP32" s="373"/>
      <c r="HQ32" s="373"/>
      <c r="HR32" s="373"/>
      <c r="HS32" s="373"/>
      <c r="HT32" s="373"/>
      <c r="HU32" s="373"/>
      <c r="HV32" s="373"/>
      <c r="HW32" s="373"/>
      <c r="HX32" s="373"/>
      <c r="HY32" s="373"/>
      <c r="HZ32" s="373"/>
      <c r="IA32" s="373"/>
      <c r="IB32" s="373"/>
      <c r="IC32" s="373"/>
      <c r="ID32" s="373"/>
      <c r="IE32" s="373"/>
      <c r="IF32" s="373"/>
      <c r="IG32" s="373"/>
      <c r="IH32" s="373"/>
      <c r="II32" s="373"/>
      <c r="IJ32" s="373"/>
      <c r="IK32" s="373"/>
      <c r="IL32" s="373"/>
      <c r="IM32" s="373"/>
      <c r="IN32" s="373"/>
      <c r="IO32" s="373"/>
      <c r="IP32" s="373"/>
      <c r="IQ32" s="373"/>
      <c r="IR32" s="373"/>
      <c r="IS32" s="373"/>
      <c r="IT32" s="373"/>
      <c r="IU32" s="373"/>
      <c r="IV32" s="373"/>
      <c r="IW32" s="373"/>
      <c r="IX32" s="373"/>
      <c r="IY32" s="373"/>
      <c r="IZ32" s="373"/>
      <c r="JA32" s="373"/>
      <c r="JB32" s="373"/>
      <c r="JC32" s="373"/>
      <c r="JD32" s="373"/>
      <c r="JE32" s="373"/>
      <c r="JF32" s="373"/>
      <c r="JG32" s="373"/>
      <c r="JH32" s="373"/>
      <c r="JI32" s="373"/>
      <c r="JJ32" s="373"/>
      <c r="JK32" s="373"/>
      <c r="JL32" s="373"/>
      <c r="JM32" s="373"/>
      <c r="JN32" s="373"/>
      <c r="JO32" s="373"/>
      <c r="JP32" s="373"/>
      <c r="JQ32" s="373"/>
      <c r="JR32" s="373"/>
      <c r="JS32" s="373"/>
      <c r="JT32" s="373"/>
      <c r="JU32" s="373"/>
      <c r="JV32" s="373"/>
      <c r="JW32" s="373"/>
      <c r="JX32" s="373"/>
      <c r="JY32" s="373"/>
      <c r="JZ32" s="373"/>
      <c r="KA32" s="373"/>
      <c r="KB32" s="373"/>
      <c r="KC32" s="373"/>
      <c r="KD32" s="373"/>
      <c r="KE32" s="373"/>
      <c r="KF32" s="373"/>
      <c r="KG32" s="373"/>
      <c r="KH32" s="373"/>
      <c r="KI32" s="373"/>
      <c r="KJ32" s="373"/>
      <c r="KK32" s="373"/>
      <c r="KL32" s="373"/>
      <c r="KM32" s="373"/>
      <c r="KN32" s="373"/>
      <c r="KO32" s="373"/>
      <c r="KP32" s="373"/>
      <c r="KQ32" s="373"/>
      <c r="KR32" s="373"/>
      <c r="KS32" s="373"/>
      <c r="KT32" s="373"/>
      <c r="KU32" s="373"/>
      <c r="KV32" s="373"/>
      <c r="KW32" s="373"/>
      <c r="KX32" s="373"/>
      <c r="KY32" s="373"/>
      <c r="KZ32" s="373"/>
      <c r="LA32" s="373"/>
      <c r="LB32" s="373"/>
      <c r="LC32" s="373"/>
      <c r="LD32" s="373"/>
      <c r="LE32" s="373"/>
      <c r="LF32" s="373"/>
      <c r="LG32" s="373"/>
      <c r="LH32" s="373"/>
      <c r="LI32" s="373"/>
      <c r="LJ32" s="373"/>
      <c r="LK32" s="373"/>
      <c r="LL32" s="373"/>
      <c r="LM32" s="373"/>
      <c r="LN32" s="373"/>
      <c r="LO32" s="373"/>
      <c r="LP32" s="373"/>
      <c r="LQ32" s="373"/>
      <c r="LR32" s="373"/>
      <c r="LS32" s="373"/>
      <c r="LT32" s="373"/>
      <c r="LU32" s="373"/>
      <c r="LV32" s="373"/>
      <c r="LW32" s="373"/>
      <c r="LX32" s="373"/>
      <c r="LY32" s="373"/>
      <c r="LZ32" s="373"/>
      <c r="MA32" s="373"/>
      <c r="MB32" s="373"/>
      <c r="MC32" s="373"/>
      <c r="MD32" s="373"/>
      <c r="ME32" s="373"/>
      <c r="MF32" s="373"/>
      <c r="MG32" s="373"/>
      <c r="MH32" s="373"/>
      <c r="MI32" s="373"/>
      <c r="MJ32" s="373"/>
      <c r="MK32" s="373"/>
      <c r="ML32" s="373"/>
      <c r="MM32" s="373"/>
      <c r="MN32" s="373"/>
      <c r="MO32" s="373"/>
      <c r="MP32" s="373"/>
      <c r="MQ32" s="373"/>
      <c r="MR32" s="373"/>
      <c r="MS32" s="373"/>
      <c r="MT32" s="373"/>
      <c r="MU32" s="373"/>
      <c r="MV32" s="373"/>
      <c r="MW32" s="373"/>
      <c r="MX32" s="373"/>
      <c r="MY32" s="373"/>
      <c r="MZ32" s="373"/>
      <c r="NA32" s="373"/>
      <c r="NB32" s="373"/>
      <c r="NC32" s="373"/>
      <c r="ND32" s="176">
        <f t="shared" si="0"/>
        <v>0</v>
      </c>
    </row>
    <row r="33" spans="1:368" s="361" customFormat="1" ht="13.5" customHeight="1">
      <c r="A33" s="410"/>
      <c r="B33" s="355" t="s">
        <v>155</v>
      </c>
      <c r="C33" s="373"/>
      <c r="D33" s="373"/>
      <c r="E33" s="373"/>
      <c r="F33" s="373"/>
      <c r="G33" s="373"/>
      <c r="H33" s="373"/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Y33" s="373"/>
      <c r="Z33" s="373"/>
      <c r="AA33" s="373"/>
      <c r="AB33" s="373"/>
      <c r="AC33" s="373"/>
      <c r="AD33" s="373"/>
      <c r="AE33" s="373"/>
      <c r="AF33" s="373"/>
      <c r="AG33" s="373"/>
      <c r="AH33" s="373"/>
      <c r="AI33" s="373"/>
      <c r="AJ33" s="373"/>
      <c r="AK33" s="373"/>
      <c r="AL33" s="373"/>
      <c r="AM33" s="373"/>
      <c r="AN33" s="373"/>
      <c r="AO33" s="373"/>
      <c r="AP33" s="373"/>
      <c r="AQ33" s="373"/>
      <c r="AR33" s="373"/>
      <c r="AS33" s="373"/>
      <c r="AT33" s="373"/>
      <c r="AU33" s="373"/>
      <c r="AV33" s="373"/>
      <c r="AW33" s="373"/>
      <c r="AX33" s="373"/>
      <c r="AY33" s="373"/>
      <c r="AZ33" s="373"/>
      <c r="BA33" s="373"/>
      <c r="BB33" s="373"/>
      <c r="BC33" s="373"/>
      <c r="BD33" s="373"/>
      <c r="BE33" s="373"/>
      <c r="BF33" s="373"/>
      <c r="BG33" s="373"/>
      <c r="BH33" s="373"/>
      <c r="BI33" s="373"/>
      <c r="BJ33" s="373"/>
      <c r="BK33" s="373"/>
      <c r="BL33" s="373"/>
      <c r="BM33" s="373"/>
      <c r="BN33" s="373"/>
      <c r="BO33" s="373"/>
      <c r="BP33" s="373"/>
      <c r="BQ33" s="373"/>
      <c r="BR33" s="373"/>
      <c r="BS33" s="373"/>
      <c r="BT33" s="373"/>
      <c r="BU33" s="373"/>
      <c r="BV33" s="373"/>
      <c r="BW33" s="373"/>
      <c r="BX33" s="373"/>
      <c r="BY33" s="373"/>
      <c r="BZ33" s="373"/>
      <c r="CA33" s="373"/>
      <c r="CB33" s="373"/>
      <c r="CC33" s="373"/>
      <c r="CD33" s="373"/>
      <c r="CE33" s="373"/>
      <c r="CF33" s="373"/>
      <c r="CG33" s="373"/>
      <c r="CH33" s="373"/>
      <c r="CI33" s="373"/>
      <c r="CJ33" s="373"/>
      <c r="CK33" s="373"/>
      <c r="CL33" s="373"/>
      <c r="CM33" s="373"/>
      <c r="CN33" s="373"/>
      <c r="CO33" s="373"/>
      <c r="CP33" s="373"/>
      <c r="CQ33" s="373"/>
      <c r="CR33" s="373"/>
      <c r="CS33" s="373"/>
      <c r="CT33" s="373"/>
      <c r="CU33" s="373"/>
      <c r="CV33" s="373"/>
      <c r="CW33" s="373"/>
      <c r="CX33" s="373"/>
      <c r="CY33" s="373"/>
      <c r="CZ33" s="373"/>
      <c r="DA33" s="373"/>
      <c r="DB33" s="373"/>
      <c r="DC33" s="373"/>
      <c r="DD33" s="373"/>
      <c r="DE33" s="373"/>
      <c r="DF33" s="373"/>
      <c r="DG33" s="373"/>
      <c r="DH33" s="373"/>
      <c r="DI33" s="373"/>
      <c r="DJ33" s="373"/>
      <c r="DK33" s="373"/>
      <c r="DL33" s="373"/>
      <c r="DM33" s="373"/>
      <c r="DN33" s="373"/>
      <c r="DO33" s="373"/>
      <c r="DP33" s="373"/>
      <c r="DQ33" s="373"/>
      <c r="DR33" s="373"/>
      <c r="DS33" s="373"/>
      <c r="DT33" s="373"/>
      <c r="DU33" s="373"/>
      <c r="DV33" s="373"/>
      <c r="DW33" s="373"/>
      <c r="DX33" s="373"/>
      <c r="DY33" s="373"/>
      <c r="DZ33" s="373"/>
      <c r="EA33" s="373"/>
      <c r="EB33" s="373"/>
      <c r="EC33" s="373"/>
      <c r="ED33" s="373"/>
      <c r="EE33" s="373"/>
      <c r="EF33" s="373"/>
      <c r="EG33" s="373"/>
      <c r="EH33" s="373"/>
      <c r="EI33" s="373"/>
      <c r="EJ33" s="373"/>
      <c r="EK33" s="373"/>
      <c r="EL33" s="373"/>
      <c r="EM33" s="373"/>
      <c r="EN33" s="373"/>
      <c r="EO33" s="373"/>
      <c r="EP33" s="373"/>
      <c r="EQ33" s="373"/>
      <c r="ER33" s="373"/>
      <c r="ES33" s="373"/>
      <c r="ET33" s="373"/>
      <c r="EU33" s="373"/>
      <c r="EV33" s="373"/>
      <c r="EW33" s="373"/>
      <c r="EX33" s="373"/>
      <c r="EY33" s="373"/>
      <c r="EZ33" s="373"/>
      <c r="FA33" s="373"/>
      <c r="FB33" s="373"/>
      <c r="FC33" s="373"/>
      <c r="FD33" s="373"/>
      <c r="FE33" s="373"/>
      <c r="FF33" s="373"/>
      <c r="FG33" s="373"/>
      <c r="FH33" s="373"/>
      <c r="FI33" s="373"/>
      <c r="FJ33" s="373"/>
      <c r="FK33" s="373"/>
      <c r="FL33" s="373"/>
      <c r="FM33" s="373"/>
      <c r="FN33" s="373"/>
      <c r="FO33" s="373"/>
      <c r="FP33" s="373"/>
      <c r="FQ33" s="373"/>
      <c r="FR33" s="373"/>
      <c r="FS33" s="373"/>
      <c r="FT33" s="373"/>
      <c r="FU33" s="373"/>
      <c r="FV33" s="373"/>
      <c r="FW33" s="373"/>
      <c r="FX33" s="373"/>
      <c r="FY33" s="373"/>
      <c r="FZ33" s="373"/>
      <c r="GA33" s="373"/>
      <c r="GB33" s="373"/>
      <c r="GC33" s="373"/>
      <c r="GD33" s="373"/>
      <c r="GE33" s="373"/>
      <c r="GF33" s="373"/>
      <c r="GG33" s="373"/>
      <c r="GH33" s="373"/>
      <c r="GI33" s="373"/>
      <c r="GJ33" s="373"/>
      <c r="GK33" s="373"/>
      <c r="GL33" s="373"/>
      <c r="GM33" s="373"/>
      <c r="GN33" s="373"/>
      <c r="GO33" s="373"/>
      <c r="GP33" s="373"/>
      <c r="GQ33" s="373"/>
      <c r="GR33" s="373"/>
      <c r="GS33" s="373"/>
      <c r="GT33" s="373"/>
      <c r="GU33" s="373"/>
      <c r="GV33" s="373"/>
      <c r="GW33" s="373"/>
      <c r="GX33" s="373"/>
      <c r="GY33" s="373"/>
      <c r="GZ33" s="373"/>
      <c r="HA33" s="373"/>
      <c r="HB33" s="373"/>
      <c r="HC33" s="373"/>
      <c r="HD33" s="373"/>
      <c r="HE33" s="373"/>
      <c r="HF33" s="373"/>
      <c r="HG33" s="373"/>
      <c r="HH33" s="373"/>
      <c r="HI33" s="373"/>
      <c r="HJ33" s="373"/>
      <c r="HK33" s="373"/>
      <c r="HL33" s="373"/>
      <c r="HM33" s="373"/>
      <c r="HN33" s="373"/>
      <c r="HO33" s="373"/>
      <c r="HP33" s="373"/>
      <c r="HQ33" s="373"/>
      <c r="HR33" s="373"/>
      <c r="HS33" s="373"/>
      <c r="HT33" s="373"/>
      <c r="HU33" s="373"/>
      <c r="HV33" s="373"/>
      <c r="HW33" s="373"/>
      <c r="HX33" s="373"/>
      <c r="HY33" s="373"/>
      <c r="HZ33" s="373"/>
      <c r="IA33" s="373"/>
      <c r="IB33" s="373"/>
      <c r="IC33" s="373"/>
      <c r="ID33" s="373"/>
      <c r="IE33" s="373"/>
      <c r="IF33" s="373"/>
      <c r="IG33" s="373"/>
      <c r="IH33" s="373"/>
      <c r="II33" s="373"/>
      <c r="IJ33" s="373"/>
      <c r="IK33" s="373"/>
      <c r="IL33" s="373"/>
      <c r="IM33" s="373"/>
      <c r="IN33" s="373"/>
      <c r="IO33" s="373"/>
      <c r="IP33" s="373"/>
      <c r="IQ33" s="373"/>
      <c r="IR33" s="373"/>
      <c r="IS33" s="373"/>
      <c r="IT33" s="373"/>
      <c r="IU33" s="373"/>
      <c r="IV33" s="373"/>
      <c r="IW33" s="373"/>
      <c r="IX33" s="373"/>
      <c r="IY33" s="373"/>
      <c r="IZ33" s="373"/>
      <c r="JA33" s="373"/>
      <c r="JB33" s="373"/>
      <c r="JC33" s="373"/>
      <c r="JD33" s="373"/>
      <c r="JE33" s="373"/>
      <c r="JF33" s="373"/>
      <c r="JG33" s="373"/>
      <c r="JH33" s="373"/>
      <c r="JI33" s="373"/>
      <c r="JJ33" s="373"/>
      <c r="JK33" s="373"/>
      <c r="JL33" s="373"/>
      <c r="JM33" s="373"/>
      <c r="JN33" s="373"/>
      <c r="JO33" s="373"/>
      <c r="JP33" s="373"/>
      <c r="JQ33" s="373"/>
      <c r="JR33" s="373"/>
      <c r="JS33" s="373"/>
      <c r="JT33" s="373"/>
      <c r="JU33" s="373"/>
      <c r="JV33" s="373"/>
      <c r="JW33" s="373"/>
      <c r="JX33" s="373"/>
      <c r="JY33" s="373"/>
      <c r="JZ33" s="373"/>
      <c r="KA33" s="373"/>
      <c r="KB33" s="373"/>
      <c r="KC33" s="373"/>
      <c r="KD33" s="373"/>
      <c r="KE33" s="373"/>
      <c r="KF33" s="373"/>
      <c r="KG33" s="373"/>
      <c r="KH33" s="373"/>
      <c r="KI33" s="373"/>
      <c r="KJ33" s="373"/>
      <c r="KK33" s="373"/>
      <c r="KL33" s="373"/>
      <c r="KM33" s="373"/>
      <c r="KN33" s="373"/>
      <c r="KO33" s="373"/>
      <c r="KP33" s="373"/>
      <c r="KQ33" s="373"/>
      <c r="KR33" s="373"/>
      <c r="KS33" s="373"/>
      <c r="KT33" s="373"/>
      <c r="KU33" s="373"/>
      <c r="KV33" s="373"/>
      <c r="KW33" s="373"/>
      <c r="KX33" s="373"/>
      <c r="KY33" s="373"/>
      <c r="KZ33" s="373"/>
      <c r="LA33" s="373"/>
      <c r="LB33" s="373"/>
      <c r="LC33" s="373"/>
      <c r="LD33" s="373"/>
      <c r="LE33" s="373"/>
      <c r="LF33" s="373"/>
      <c r="LG33" s="373"/>
      <c r="LH33" s="373"/>
      <c r="LI33" s="373"/>
      <c r="LJ33" s="373"/>
      <c r="LK33" s="373"/>
      <c r="LL33" s="373"/>
      <c r="LM33" s="373"/>
      <c r="LN33" s="373"/>
      <c r="LO33" s="373"/>
      <c r="LP33" s="373"/>
      <c r="LQ33" s="373"/>
      <c r="LR33" s="373"/>
      <c r="LS33" s="373"/>
      <c r="LT33" s="373"/>
      <c r="LU33" s="373"/>
      <c r="LV33" s="373"/>
      <c r="LW33" s="373"/>
      <c r="LX33" s="373"/>
      <c r="LY33" s="373"/>
      <c r="LZ33" s="373"/>
      <c r="MA33" s="373"/>
      <c r="MB33" s="373"/>
      <c r="MC33" s="373"/>
      <c r="MD33" s="373"/>
      <c r="ME33" s="373"/>
      <c r="MF33" s="373"/>
      <c r="MG33" s="373"/>
      <c r="MH33" s="373"/>
      <c r="MI33" s="373"/>
      <c r="MJ33" s="373"/>
      <c r="MK33" s="373"/>
      <c r="ML33" s="373"/>
      <c r="MM33" s="373"/>
      <c r="MN33" s="373"/>
      <c r="MO33" s="373"/>
      <c r="MP33" s="373"/>
      <c r="MQ33" s="373"/>
      <c r="MR33" s="373"/>
      <c r="MS33" s="373"/>
      <c r="MT33" s="373"/>
      <c r="MU33" s="373"/>
      <c r="MV33" s="373"/>
      <c r="MW33" s="373"/>
      <c r="MX33" s="373"/>
      <c r="MY33" s="373"/>
      <c r="MZ33" s="373"/>
      <c r="NA33" s="373"/>
      <c r="NB33" s="373"/>
      <c r="NC33" s="373"/>
      <c r="ND33" s="176">
        <f t="shared" si="0"/>
        <v>0</v>
      </c>
    </row>
    <row r="34" spans="1:368" s="361" customFormat="1" ht="13.5" customHeight="1" thickBot="1">
      <c r="A34" s="411"/>
      <c r="B34" s="356" t="s">
        <v>21</v>
      </c>
      <c r="C34" s="374"/>
      <c r="D34" s="374"/>
      <c r="E34" s="374"/>
      <c r="F34" s="374"/>
      <c r="G34" s="374"/>
      <c r="H34" s="374"/>
      <c r="I34" s="374"/>
      <c r="J34" s="374"/>
      <c r="K34" s="374"/>
      <c r="L34" s="374"/>
      <c r="M34" s="374"/>
      <c r="N34" s="374"/>
      <c r="O34" s="374"/>
      <c r="P34" s="374"/>
      <c r="Q34" s="374"/>
      <c r="R34" s="374"/>
      <c r="S34" s="374"/>
      <c r="T34" s="374"/>
      <c r="U34" s="374"/>
      <c r="V34" s="374"/>
      <c r="W34" s="374"/>
      <c r="X34" s="374"/>
      <c r="Y34" s="374"/>
      <c r="Z34" s="374"/>
      <c r="AA34" s="374"/>
      <c r="AB34" s="374"/>
      <c r="AC34" s="374"/>
      <c r="AD34" s="374"/>
      <c r="AE34" s="374"/>
      <c r="AF34" s="374"/>
      <c r="AG34" s="374"/>
      <c r="AH34" s="374"/>
      <c r="AI34" s="374"/>
      <c r="AJ34" s="374"/>
      <c r="AK34" s="374"/>
      <c r="AL34" s="374"/>
      <c r="AM34" s="374"/>
      <c r="AN34" s="374"/>
      <c r="AO34" s="374"/>
      <c r="AP34" s="374"/>
      <c r="AQ34" s="374"/>
      <c r="AR34" s="374"/>
      <c r="AS34" s="374"/>
      <c r="AT34" s="374"/>
      <c r="AU34" s="374"/>
      <c r="AV34" s="374"/>
      <c r="AW34" s="374"/>
      <c r="AX34" s="374"/>
      <c r="AY34" s="374"/>
      <c r="AZ34" s="374"/>
      <c r="BA34" s="374"/>
      <c r="BB34" s="374"/>
      <c r="BC34" s="374"/>
      <c r="BD34" s="374"/>
      <c r="BE34" s="374"/>
      <c r="BF34" s="374"/>
      <c r="BG34" s="374"/>
      <c r="BH34" s="374"/>
      <c r="BI34" s="374"/>
      <c r="BJ34" s="374"/>
      <c r="BK34" s="374"/>
      <c r="BL34" s="374"/>
      <c r="BM34" s="374"/>
      <c r="BN34" s="374"/>
      <c r="BO34" s="374"/>
      <c r="BP34" s="374"/>
      <c r="BQ34" s="374"/>
      <c r="BR34" s="374"/>
      <c r="BS34" s="374"/>
      <c r="BT34" s="374"/>
      <c r="BU34" s="374"/>
      <c r="BV34" s="374"/>
      <c r="BW34" s="374"/>
      <c r="BX34" s="374"/>
      <c r="BY34" s="374"/>
      <c r="BZ34" s="374"/>
      <c r="CA34" s="374"/>
      <c r="CB34" s="374"/>
      <c r="CC34" s="374"/>
      <c r="CD34" s="374"/>
      <c r="CE34" s="374"/>
      <c r="CF34" s="374"/>
      <c r="CG34" s="374"/>
      <c r="CH34" s="374"/>
      <c r="CI34" s="374"/>
      <c r="CJ34" s="374"/>
      <c r="CK34" s="374"/>
      <c r="CL34" s="374"/>
      <c r="CM34" s="374"/>
      <c r="CN34" s="374"/>
      <c r="CO34" s="374"/>
      <c r="CP34" s="374"/>
      <c r="CQ34" s="374"/>
      <c r="CR34" s="374"/>
      <c r="CS34" s="374"/>
      <c r="CT34" s="374"/>
      <c r="CU34" s="374"/>
      <c r="CV34" s="374"/>
      <c r="CW34" s="374"/>
      <c r="CX34" s="374"/>
      <c r="CY34" s="374"/>
      <c r="CZ34" s="374"/>
      <c r="DA34" s="374"/>
      <c r="DB34" s="374"/>
      <c r="DC34" s="374"/>
      <c r="DD34" s="374"/>
      <c r="DE34" s="374"/>
      <c r="DF34" s="374"/>
      <c r="DG34" s="374"/>
      <c r="DH34" s="374"/>
      <c r="DI34" s="374"/>
      <c r="DJ34" s="374"/>
      <c r="DK34" s="374"/>
      <c r="DL34" s="374"/>
      <c r="DM34" s="374"/>
      <c r="DN34" s="374"/>
      <c r="DO34" s="374"/>
      <c r="DP34" s="374"/>
      <c r="DQ34" s="374"/>
      <c r="DR34" s="374"/>
      <c r="DS34" s="374"/>
      <c r="DT34" s="374"/>
      <c r="DU34" s="374"/>
      <c r="DV34" s="374"/>
      <c r="DW34" s="374"/>
      <c r="DX34" s="374"/>
      <c r="DY34" s="374"/>
      <c r="DZ34" s="374"/>
      <c r="EA34" s="374"/>
      <c r="EB34" s="374"/>
      <c r="EC34" s="374"/>
      <c r="ED34" s="374"/>
      <c r="EE34" s="374"/>
      <c r="EF34" s="374"/>
      <c r="EG34" s="374"/>
      <c r="EH34" s="374"/>
      <c r="EI34" s="374"/>
      <c r="EJ34" s="374"/>
      <c r="EK34" s="374"/>
      <c r="EL34" s="374"/>
      <c r="EM34" s="374"/>
      <c r="EN34" s="374"/>
      <c r="EO34" s="374"/>
      <c r="EP34" s="374"/>
      <c r="EQ34" s="374"/>
      <c r="ER34" s="374"/>
      <c r="ES34" s="374"/>
      <c r="ET34" s="374"/>
      <c r="EU34" s="374"/>
      <c r="EV34" s="374"/>
      <c r="EW34" s="374"/>
      <c r="EX34" s="374"/>
      <c r="EY34" s="374"/>
      <c r="EZ34" s="374"/>
      <c r="FA34" s="374"/>
      <c r="FB34" s="374"/>
      <c r="FC34" s="374"/>
      <c r="FD34" s="374"/>
      <c r="FE34" s="374"/>
      <c r="FF34" s="374"/>
      <c r="FG34" s="374"/>
      <c r="FH34" s="374"/>
      <c r="FI34" s="374"/>
      <c r="FJ34" s="374"/>
      <c r="FK34" s="374"/>
      <c r="FL34" s="374"/>
      <c r="FM34" s="374"/>
      <c r="FN34" s="374"/>
      <c r="FO34" s="374"/>
      <c r="FP34" s="374"/>
      <c r="FQ34" s="374"/>
      <c r="FR34" s="374"/>
      <c r="FS34" s="374"/>
      <c r="FT34" s="374"/>
      <c r="FU34" s="374"/>
      <c r="FV34" s="374"/>
      <c r="FW34" s="374"/>
      <c r="FX34" s="374"/>
      <c r="FY34" s="374"/>
      <c r="FZ34" s="374"/>
      <c r="GA34" s="374"/>
      <c r="GB34" s="374"/>
      <c r="GC34" s="374"/>
      <c r="GD34" s="374"/>
      <c r="GE34" s="374"/>
      <c r="GF34" s="374"/>
      <c r="GG34" s="374"/>
      <c r="GH34" s="374"/>
      <c r="GI34" s="374"/>
      <c r="GJ34" s="374"/>
      <c r="GK34" s="374"/>
      <c r="GL34" s="374"/>
      <c r="GM34" s="374"/>
      <c r="GN34" s="374"/>
      <c r="GO34" s="374"/>
      <c r="GP34" s="374"/>
      <c r="GQ34" s="374"/>
      <c r="GR34" s="374"/>
      <c r="GS34" s="374"/>
      <c r="GT34" s="374"/>
      <c r="GU34" s="374"/>
      <c r="GV34" s="374"/>
      <c r="GW34" s="374"/>
      <c r="GX34" s="374"/>
      <c r="GY34" s="374"/>
      <c r="GZ34" s="374"/>
      <c r="HA34" s="374"/>
      <c r="HB34" s="374"/>
      <c r="HC34" s="374"/>
      <c r="HD34" s="374"/>
      <c r="HE34" s="374"/>
      <c r="HF34" s="374"/>
      <c r="HG34" s="374"/>
      <c r="HH34" s="374"/>
      <c r="HI34" s="374"/>
      <c r="HJ34" s="374"/>
      <c r="HK34" s="374"/>
      <c r="HL34" s="374"/>
      <c r="HM34" s="374"/>
      <c r="HN34" s="374"/>
      <c r="HO34" s="374"/>
      <c r="HP34" s="374"/>
      <c r="HQ34" s="374"/>
      <c r="HR34" s="374"/>
      <c r="HS34" s="374"/>
      <c r="HT34" s="374"/>
      <c r="HU34" s="374"/>
      <c r="HV34" s="374"/>
      <c r="HW34" s="374"/>
      <c r="HX34" s="374"/>
      <c r="HY34" s="374"/>
      <c r="HZ34" s="374"/>
      <c r="IA34" s="374"/>
      <c r="IB34" s="374"/>
      <c r="IC34" s="374"/>
      <c r="ID34" s="374"/>
      <c r="IE34" s="374"/>
      <c r="IF34" s="374"/>
      <c r="IG34" s="374"/>
      <c r="IH34" s="374"/>
      <c r="II34" s="374"/>
      <c r="IJ34" s="374"/>
      <c r="IK34" s="374"/>
      <c r="IL34" s="374"/>
      <c r="IM34" s="374"/>
      <c r="IN34" s="374"/>
      <c r="IO34" s="374"/>
      <c r="IP34" s="374"/>
      <c r="IQ34" s="374"/>
      <c r="IR34" s="374"/>
      <c r="IS34" s="374"/>
      <c r="IT34" s="374"/>
      <c r="IU34" s="374"/>
      <c r="IV34" s="374"/>
      <c r="IW34" s="374"/>
      <c r="IX34" s="374"/>
      <c r="IY34" s="374"/>
      <c r="IZ34" s="374"/>
      <c r="JA34" s="374"/>
      <c r="JB34" s="374"/>
      <c r="JC34" s="374"/>
      <c r="JD34" s="374"/>
      <c r="JE34" s="374"/>
      <c r="JF34" s="374"/>
      <c r="JG34" s="374"/>
      <c r="JH34" s="374"/>
      <c r="JI34" s="374"/>
      <c r="JJ34" s="374"/>
      <c r="JK34" s="374"/>
      <c r="JL34" s="374"/>
      <c r="JM34" s="374"/>
      <c r="JN34" s="374"/>
      <c r="JO34" s="374"/>
      <c r="JP34" s="374"/>
      <c r="JQ34" s="374"/>
      <c r="JR34" s="374"/>
      <c r="JS34" s="374"/>
      <c r="JT34" s="374"/>
      <c r="JU34" s="374"/>
      <c r="JV34" s="374"/>
      <c r="JW34" s="374"/>
      <c r="JX34" s="374"/>
      <c r="JY34" s="374"/>
      <c r="JZ34" s="374"/>
      <c r="KA34" s="374"/>
      <c r="KB34" s="374"/>
      <c r="KC34" s="374"/>
      <c r="KD34" s="374"/>
      <c r="KE34" s="374"/>
      <c r="KF34" s="374"/>
      <c r="KG34" s="374"/>
      <c r="KH34" s="374"/>
      <c r="KI34" s="374"/>
      <c r="KJ34" s="374"/>
      <c r="KK34" s="374"/>
      <c r="KL34" s="374"/>
      <c r="KM34" s="374"/>
      <c r="KN34" s="374"/>
      <c r="KO34" s="374"/>
      <c r="KP34" s="374"/>
      <c r="KQ34" s="374"/>
      <c r="KR34" s="374"/>
      <c r="KS34" s="374"/>
      <c r="KT34" s="374"/>
      <c r="KU34" s="374"/>
      <c r="KV34" s="374"/>
      <c r="KW34" s="374"/>
      <c r="KX34" s="374"/>
      <c r="KY34" s="374"/>
      <c r="KZ34" s="374"/>
      <c r="LA34" s="374"/>
      <c r="LB34" s="374"/>
      <c r="LC34" s="374"/>
      <c r="LD34" s="374"/>
      <c r="LE34" s="374"/>
      <c r="LF34" s="374"/>
      <c r="LG34" s="374"/>
      <c r="LH34" s="374"/>
      <c r="LI34" s="374"/>
      <c r="LJ34" s="374"/>
      <c r="LK34" s="374"/>
      <c r="LL34" s="374"/>
      <c r="LM34" s="374"/>
      <c r="LN34" s="374"/>
      <c r="LO34" s="374"/>
      <c r="LP34" s="374"/>
      <c r="LQ34" s="374"/>
      <c r="LR34" s="374"/>
      <c r="LS34" s="374"/>
      <c r="LT34" s="374"/>
      <c r="LU34" s="374"/>
      <c r="LV34" s="374"/>
      <c r="LW34" s="374"/>
      <c r="LX34" s="374"/>
      <c r="LY34" s="374"/>
      <c r="LZ34" s="374"/>
      <c r="MA34" s="374"/>
      <c r="MB34" s="374"/>
      <c r="MC34" s="374"/>
      <c r="MD34" s="374"/>
      <c r="ME34" s="374"/>
      <c r="MF34" s="374"/>
      <c r="MG34" s="374"/>
      <c r="MH34" s="374"/>
      <c r="MI34" s="374"/>
      <c r="MJ34" s="374"/>
      <c r="MK34" s="374"/>
      <c r="ML34" s="374"/>
      <c r="MM34" s="374"/>
      <c r="MN34" s="374"/>
      <c r="MO34" s="374"/>
      <c r="MP34" s="374"/>
      <c r="MQ34" s="374"/>
      <c r="MR34" s="374"/>
      <c r="MS34" s="374"/>
      <c r="MT34" s="374"/>
      <c r="MU34" s="374"/>
      <c r="MV34" s="374"/>
      <c r="MW34" s="374"/>
      <c r="MX34" s="374"/>
      <c r="MY34" s="374"/>
      <c r="MZ34" s="374"/>
      <c r="NA34" s="374"/>
      <c r="NB34" s="374"/>
      <c r="NC34" s="374"/>
      <c r="ND34" s="176">
        <f t="shared" si="0"/>
        <v>0</v>
      </c>
    </row>
    <row r="35" spans="1:368" ht="15.75" thickTop="1">
      <c r="A35" s="357"/>
    </row>
    <row r="36" spans="1:368" ht="15">
      <c r="A36" s="357"/>
    </row>
    <row r="37" spans="1:368" ht="15">
      <c r="A37" s="357"/>
    </row>
  </sheetData>
  <mergeCells count="5">
    <mergeCell ref="A1:B1"/>
    <mergeCell ref="A2:A8"/>
    <mergeCell ref="A9:A17"/>
    <mergeCell ref="A18:A28"/>
    <mergeCell ref="A29:A3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>
    <tabColor indexed="10"/>
  </sheetPr>
  <dimension ref="A1:W1237"/>
  <sheetViews>
    <sheetView workbookViewId="0">
      <pane ySplit="12" topLeftCell="A13" activePane="bottomLeft" state="frozen"/>
      <selection pane="bottomLeft" activeCell="C16" sqref="C16:L16"/>
    </sheetView>
  </sheetViews>
  <sheetFormatPr defaultColWidth="0" defaultRowHeight="12.75"/>
  <cols>
    <col min="1" max="1" width="4" style="88" bestFit="1" customWidth="1"/>
    <col min="2" max="2" width="11.140625" style="86" customWidth="1"/>
    <col min="3" max="12" width="9.85546875" style="86" customWidth="1"/>
    <col min="13" max="13" width="8.7109375" style="86" bestFit="1" customWidth="1"/>
    <col min="14" max="14" width="7.85546875" style="86" bestFit="1" customWidth="1"/>
    <col min="15" max="16" width="4.85546875" style="86" customWidth="1"/>
    <col min="17" max="17" width="4.7109375" style="159" customWidth="1"/>
    <col min="18" max="18" width="5.85546875" style="159" customWidth="1"/>
    <col min="19" max="19" width="4.42578125" style="159" customWidth="1"/>
    <col min="20" max="20" width="6.5703125" style="159" customWidth="1"/>
    <col min="21" max="21" width="4.42578125" style="92" customWidth="1"/>
    <col min="22" max="22" width="9.140625" style="92" customWidth="1"/>
    <col min="23" max="23" width="3.85546875" style="79" customWidth="1"/>
    <col min="24" max="16384" width="0" style="79" hidden="1"/>
  </cols>
  <sheetData>
    <row r="1" spans="1:23" ht="33.75" customHeight="1">
      <c r="A1" s="412" t="s">
        <v>82</v>
      </c>
      <c r="B1" s="412"/>
      <c r="C1" s="412"/>
      <c r="D1" s="412"/>
      <c r="E1" s="412"/>
      <c r="F1" s="412"/>
      <c r="G1" s="412"/>
      <c r="H1" s="412"/>
      <c r="I1" s="412"/>
      <c r="J1" s="412"/>
      <c r="K1" s="412"/>
      <c r="L1" s="412"/>
      <c r="M1" s="412"/>
      <c r="N1" s="412"/>
      <c r="O1" s="412"/>
      <c r="P1" s="412"/>
      <c r="Q1" s="412"/>
      <c r="R1" s="412"/>
      <c r="S1" s="412"/>
      <c r="T1" s="412"/>
      <c r="U1" s="412"/>
      <c r="V1" s="412"/>
      <c r="W1" s="412"/>
    </row>
    <row r="2" spans="1:23">
      <c r="A2" s="412"/>
      <c r="B2" s="412"/>
      <c r="C2" s="412"/>
      <c r="D2" s="412"/>
      <c r="E2" s="412"/>
      <c r="F2" s="412"/>
      <c r="G2" s="412"/>
      <c r="H2" s="412"/>
      <c r="I2" s="412"/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</row>
    <row r="3" spans="1:23" s="80" customFormat="1">
      <c r="A3" s="447" t="s">
        <v>83</v>
      </c>
      <c r="B3" s="447"/>
      <c r="C3" s="447" t="s">
        <v>20</v>
      </c>
      <c r="D3" s="447" t="s">
        <v>73</v>
      </c>
      <c r="E3" s="447" t="s">
        <v>74</v>
      </c>
      <c r="F3" s="447" t="s">
        <v>84</v>
      </c>
      <c r="G3" s="447" t="s">
        <v>75</v>
      </c>
      <c r="H3" s="447" t="s">
        <v>89</v>
      </c>
      <c r="I3" s="447" t="s">
        <v>90</v>
      </c>
      <c r="J3" s="447" t="s">
        <v>91</v>
      </c>
      <c r="K3" s="447" t="s">
        <v>85</v>
      </c>
      <c r="L3" s="447" t="s">
        <v>119</v>
      </c>
      <c r="M3" s="447" t="s">
        <v>80</v>
      </c>
      <c r="N3" s="447" t="s">
        <v>81</v>
      </c>
      <c r="O3" s="239"/>
      <c r="P3" s="239"/>
      <c r="Q3" s="239"/>
      <c r="R3" s="240"/>
      <c r="S3" s="241"/>
      <c r="T3" s="241"/>
      <c r="U3" s="92"/>
      <c r="V3" s="92"/>
    </row>
    <row r="4" spans="1:23" s="83" customFormat="1">
      <c r="A4" s="447"/>
      <c r="B4" s="447"/>
      <c r="C4" s="447"/>
      <c r="D4" s="447"/>
      <c r="E4" s="447"/>
      <c r="F4" s="447"/>
      <c r="G4" s="447"/>
      <c r="H4" s="447"/>
      <c r="I4" s="447"/>
      <c r="J4" s="447"/>
      <c r="K4" s="447"/>
      <c r="L4" s="447"/>
      <c r="M4" s="447"/>
      <c r="N4" s="447"/>
      <c r="O4" s="81"/>
      <c r="P4" s="81"/>
      <c r="Q4" s="82"/>
      <c r="R4" s="82"/>
      <c r="S4" s="158"/>
      <c r="T4" s="158"/>
    </row>
    <row r="5" spans="1:23" s="86" customFormat="1">
      <c r="A5" s="446" t="s">
        <v>77</v>
      </c>
      <c r="B5" s="446"/>
      <c r="C5" s="224">
        <f>SUMPRODUCT((MONTH($Q$13:$R$1135)=1)*($M$13:$N$1135=$A5))</f>
        <v>0</v>
      </c>
      <c r="D5" s="222">
        <f>SUMPRODUCT((MONTH($Q$13:$R$1135)=2)*($M$13:$N$1135=$A5))</f>
        <v>0</v>
      </c>
      <c r="E5" s="222">
        <f>SUMPRODUCT((MONTH($Q$13:$R$1135)=3)*($M$13:$N$1135=$A5))</f>
        <v>0</v>
      </c>
      <c r="F5" s="222">
        <f>SUMPRODUCT((MONTH($Q$13:$R$1135)=4)*($M$13:$N$1135=$A5))</f>
        <v>0</v>
      </c>
      <c r="G5" s="222">
        <f>SUMPRODUCT((MONTH($Q$13:$R$1135)=5)*($M$13:$N$1135=$A5))</f>
        <v>0</v>
      </c>
      <c r="H5" s="222">
        <f>SUMPRODUCT((MONTH($Q$13:$R$1135)=6)*($M$13:$N$1135=$A5))</f>
        <v>0</v>
      </c>
      <c r="I5" s="222">
        <f>SUMPRODUCT((MONTH($Q$13:$R$1135)=7)*($M$13:$N$1135=$A5))</f>
        <v>0</v>
      </c>
      <c r="J5" s="222">
        <f>SUMPRODUCT((MONTH($Q$13:$R$1135)=8)*($M$13:$N$1135=$A5))</f>
        <v>0</v>
      </c>
      <c r="K5" s="222">
        <f>SUMPRODUCT((MONTH($Q$13:$R$1135)=9)*($M$13:$N$1135=$A5))</f>
        <v>0</v>
      </c>
      <c r="L5" s="222">
        <f>SUMPRODUCT((MONTH($Q$13:$R$1135)=10)*($M$13:$N$1135=$A5))</f>
        <v>0</v>
      </c>
      <c r="M5" s="222">
        <f>SUMPRODUCT((MONTH($Q$13:$R$1135)=11)*($M$13:$N$1135=$A5))</f>
        <v>0</v>
      </c>
      <c r="N5" s="222">
        <f>SUMPRODUCT((MONTH($Q$13:$R$1135)=12)*($M$13:$N$1135=$A5))</f>
        <v>0</v>
      </c>
      <c r="O5" s="223">
        <f>SUM(C5:N5)</f>
        <v>0</v>
      </c>
      <c r="P5" s="84"/>
      <c r="Q5" s="85"/>
      <c r="R5" s="85"/>
      <c r="S5" s="159"/>
      <c r="T5" s="159"/>
      <c r="U5" s="92"/>
      <c r="V5" s="92"/>
    </row>
    <row r="6" spans="1:23" s="86" customFormat="1">
      <c r="A6" s="446" t="s">
        <v>78</v>
      </c>
      <c r="B6" s="446"/>
      <c r="C6" s="224">
        <f>SUMPRODUCT((MONTH($Q$13:$R$1135)=1)*($M$13:$N$1135=$A6))</f>
        <v>0</v>
      </c>
      <c r="D6" s="222">
        <f>SUMPRODUCT((MONTH($Q$13:$R$1135)=2)*($M$13:$N$1135=$A6))</f>
        <v>0</v>
      </c>
      <c r="E6" s="222">
        <f>SUMPRODUCT((MONTH($Q$13:$R$1135)=3)*($M$13:$N$1135=$A6))</f>
        <v>0</v>
      </c>
      <c r="F6" s="222">
        <f>SUMPRODUCT((MONTH($Q$13:$R$1135)=4)*($M$13:$N$1135=$A6))</f>
        <v>0</v>
      </c>
      <c r="G6" s="222">
        <f>SUMPRODUCT((MONTH($Q$13:$R$1135)=5)*($M$13:$N$1135=$A6))</f>
        <v>0</v>
      </c>
      <c r="H6" s="222">
        <f>SUMPRODUCT((MONTH($Q$13:$R$1135)=6)*($M$13:$N$1135=$A6))</f>
        <v>0</v>
      </c>
      <c r="I6" s="222">
        <f>SUMPRODUCT((MONTH($Q$13:$R$1135)=7)*($M$13:$N$1135=$A6))</f>
        <v>0</v>
      </c>
      <c r="J6" s="222">
        <f>SUMPRODUCT((MONTH($Q$13:$R$1135)=8)*($M$13:$N$1135=$A6))</f>
        <v>0</v>
      </c>
      <c r="K6" s="222">
        <f>SUMPRODUCT((MONTH($Q$13:$R$1135)=9)*($M$13:$N$1135=$A6))</f>
        <v>0</v>
      </c>
      <c r="L6" s="222">
        <f>SUMPRODUCT((MONTH($Q$13:$R$1135)=10)*($M$13:$N$1135=$A6))</f>
        <v>0</v>
      </c>
      <c r="M6" s="222">
        <f>SUMPRODUCT((MONTH($Q$13:$R$1135)=11)*($M$13:$N$1135=$A6))</f>
        <v>0</v>
      </c>
      <c r="N6" s="222">
        <f>SUMPRODUCT((MONTH($Q$13:$R$1135)=12)*($M$13:$N$1135=$A6))</f>
        <v>0</v>
      </c>
      <c r="O6" s="223">
        <f>SUM(C6:N6)</f>
        <v>0</v>
      </c>
      <c r="P6" s="84"/>
      <c r="Q6" s="85"/>
      <c r="R6" s="85"/>
      <c r="S6" s="159"/>
      <c r="T6" s="159"/>
      <c r="U6" s="92"/>
      <c r="V6" s="92"/>
    </row>
    <row r="7" spans="1:23" s="86" customFormat="1">
      <c r="A7" s="446" t="s">
        <v>51</v>
      </c>
      <c r="B7" s="446"/>
      <c r="C7" s="224">
        <f>SUMPRODUCT((MONTH($Q$13:$R$1135)=1)*($M$13:$N$1135=$A7))</f>
        <v>0</v>
      </c>
      <c r="D7" s="222">
        <f>SUMPRODUCT((MONTH($Q$13:$R$1135)=2)*($M$13:$N$1135=$A7))</f>
        <v>0</v>
      </c>
      <c r="E7" s="222">
        <f>SUMPRODUCT((MONTH($Q$13:$R$1135)=3)*($M$13:$N$1135=$A7))</f>
        <v>0</v>
      </c>
      <c r="F7" s="222">
        <f>SUMPRODUCT((MONTH($Q$13:$R$1135)=4)*($M$13:$N$1135=$A7))</f>
        <v>0</v>
      </c>
      <c r="G7" s="222">
        <f>SUMPRODUCT((MONTH($Q$13:$R$1135)=5)*($M$13:$N$1135=$A7))</f>
        <v>0</v>
      </c>
      <c r="H7" s="222">
        <f>SUMPRODUCT((MONTH($Q$13:$R$1135)=6)*($M$13:$N$1135=$A7))</f>
        <v>0</v>
      </c>
      <c r="I7" s="222">
        <f>SUMPRODUCT((MONTH($Q$13:$R$1135)=7)*($M$13:$N$1135=$A7))</f>
        <v>0</v>
      </c>
      <c r="J7" s="222">
        <f>SUMPRODUCT((MONTH($Q$13:$R$1135)=8)*($M$13:$N$1135=$A7))</f>
        <v>0</v>
      </c>
      <c r="K7" s="222">
        <f>SUMPRODUCT((MONTH($Q$13:$R$1135)=9)*($M$13:$N$1135=$A7))</f>
        <v>0</v>
      </c>
      <c r="L7" s="222">
        <f>SUMPRODUCT((MONTH($Q$13:$R$1135)=10)*($M$13:$N$1135=$A7))</f>
        <v>0</v>
      </c>
      <c r="M7" s="222">
        <f>SUMPRODUCT((MONTH($Q$13:$R$1135)=11)*($M$13:$N$1135=$A7))</f>
        <v>0</v>
      </c>
      <c r="N7" s="222">
        <f>SUMPRODUCT((MONTH($Q$13:$R$1135)=12)*($M$13:$N$1135=$A7))</f>
        <v>0</v>
      </c>
      <c r="O7" s="223">
        <f>SUM(C7:N7)</f>
        <v>0</v>
      </c>
      <c r="P7" s="84"/>
      <c r="Q7" s="85"/>
      <c r="R7" s="85"/>
      <c r="S7" s="159"/>
      <c r="T7" s="159"/>
      <c r="U7" s="92"/>
      <c r="V7" s="92"/>
    </row>
    <row r="8" spans="1:23" s="86" customFormat="1">
      <c r="A8" s="451" t="s">
        <v>121</v>
      </c>
      <c r="B8" s="452"/>
      <c r="C8" s="224">
        <f>SUMPRODUCT((MONTH($Q$13:$R$1135)=1)*($M$13:$N$1135=$A8))</f>
        <v>0</v>
      </c>
      <c r="D8" s="222">
        <f>SUMPRODUCT((MONTH($Q$13:$R$1135)=2)*($M$13:$N$1135=$A8))</f>
        <v>0</v>
      </c>
      <c r="E8" s="222">
        <f>SUMPRODUCT((MONTH($Q$13:$R$1135)=3)*($M$13:$N$1135=$A8))</f>
        <v>0</v>
      </c>
      <c r="F8" s="222">
        <f>SUMPRODUCT((MONTH($Q$13:$R$1135)=4)*($M$13:$N$1135=$A8))</f>
        <v>0</v>
      </c>
      <c r="G8" s="222">
        <f>SUMPRODUCT((MONTH($Q$13:$R$1135)=5)*($M$13:$N$1135=$A8))</f>
        <v>0</v>
      </c>
      <c r="H8" s="222">
        <f>SUMPRODUCT((MONTH($Q$13:$R$1135)=6)*($M$13:$N$1135=$A8))</f>
        <v>0</v>
      </c>
      <c r="I8" s="222">
        <f>SUMPRODUCT((MONTH($Q$13:$R$1135)=7)*($M$13:$N$1135=$A8))</f>
        <v>0</v>
      </c>
      <c r="J8" s="222">
        <f>SUMPRODUCT((MONTH($Q$13:$R$1135)=8)*($M$13:$N$1135=$A8))</f>
        <v>0</v>
      </c>
      <c r="K8" s="222">
        <f>SUMPRODUCT((MONTH($Q$13:$R$1135)=9)*($M$13:$N$1135=$A8))</f>
        <v>0</v>
      </c>
      <c r="L8" s="222">
        <f>SUMPRODUCT((MONTH($Q$13:$R$1135)=10)*($M$13:$N$1135=$A8))</f>
        <v>0</v>
      </c>
      <c r="M8" s="222">
        <f>SUMPRODUCT((MONTH($Q$13:$R$1135)=11)*($M$13:$N$1135=$A8))</f>
        <v>0</v>
      </c>
      <c r="N8" s="222">
        <f>SUMPRODUCT((MONTH($Q$13:$R$1135)=12)*($M$13:$N$1135=$A8))</f>
        <v>0</v>
      </c>
      <c r="O8" s="223">
        <f>SUM(C8:N8)</f>
        <v>0</v>
      </c>
      <c r="P8" s="84"/>
      <c r="Q8" s="85"/>
      <c r="R8" s="85"/>
      <c r="S8" s="159"/>
      <c r="T8" s="159"/>
      <c r="U8" s="92"/>
      <c r="V8" s="92"/>
    </row>
    <row r="9" spans="1:23" s="86" customFormat="1">
      <c r="A9" s="446" t="s">
        <v>79</v>
      </c>
      <c r="B9" s="446"/>
      <c r="C9" s="224">
        <f>SUMPRODUCT((MONTH($Q$13:$R$1135)=1)*($M$13:$N$1135=$A9))</f>
        <v>0</v>
      </c>
      <c r="D9" s="222">
        <f>SUMPRODUCT((MONTH($Q$13:$R$1135)=2)*($M$13:$N$1135=$A9))</f>
        <v>0</v>
      </c>
      <c r="E9" s="222">
        <f>SUMPRODUCT((MONTH($Q$13:$R$1135)=3)*($M$13:$N$1135=$A9))</f>
        <v>0</v>
      </c>
      <c r="F9" s="222">
        <f>SUMPRODUCT((MONTH($Q$13:$R$1135)=4)*($M$13:$N$1135=$A9))</f>
        <v>0</v>
      </c>
      <c r="G9" s="222">
        <f>SUMPRODUCT((MONTH($Q$13:$R$1135)=5)*($M$13:$N$1135=$A9))</f>
        <v>0</v>
      </c>
      <c r="H9" s="222">
        <f>SUMPRODUCT((MONTH($Q$13:$R$1135)=6)*($M$13:$N$1135=$A9))</f>
        <v>0</v>
      </c>
      <c r="I9" s="222">
        <f>SUMPRODUCT((MONTH($Q$13:$R$1135)=7)*($M$13:$N$1135=$A9))</f>
        <v>0</v>
      </c>
      <c r="J9" s="222">
        <f>SUMPRODUCT((MONTH($Q$13:$R$1135)=8)*($M$13:$N$1135=$A9))</f>
        <v>0</v>
      </c>
      <c r="K9" s="222">
        <f>SUMPRODUCT((MONTH($Q$13:$R$1135)=9)*($M$13:$N$1135=$A9))</f>
        <v>0</v>
      </c>
      <c r="L9" s="222">
        <f>SUMPRODUCT((MONTH($Q$13:$R$1135)=10)*($M$13:$N$1135=$A9))</f>
        <v>0</v>
      </c>
      <c r="M9" s="222">
        <f>SUMPRODUCT((MONTH($Q$13:$R$1135)=11)*($M$13:$N$1135=$A9))</f>
        <v>0</v>
      </c>
      <c r="N9" s="222">
        <f>SUMPRODUCT((MONTH($Q$13:$R$1135)=12)*($M$13:$N$1135=$A9))</f>
        <v>0</v>
      </c>
      <c r="O9" s="223">
        <f>SUM(C9:N9)</f>
        <v>0</v>
      </c>
      <c r="P9" s="84"/>
      <c r="Q9" s="85"/>
      <c r="R9" s="85"/>
      <c r="S9" s="159"/>
      <c r="T9" s="159"/>
      <c r="U9" s="92"/>
      <c r="V9" s="92"/>
    </row>
    <row r="10" spans="1:23">
      <c r="A10" s="447" t="s">
        <v>34</v>
      </c>
      <c r="B10" s="447"/>
      <c r="C10" s="87">
        <f>SUM(C5:C9)</f>
        <v>0</v>
      </c>
      <c r="D10" s="87">
        <f t="shared" ref="D10:N10" si="0">SUM(D5:D9)</f>
        <v>0</v>
      </c>
      <c r="E10" s="87">
        <f t="shared" si="0"/>
        <v>0</v>
      </c>
      <c r="F10" s="87">
        <f t="shared" si="0"/>
        <v>0</v>
      </c>
      <c r="G10" s="87">
        <f t="shared" si="0"/>
        <v>0</v>
      </c>
      <c r="H10" s="87">
        <f t="shared" si="0"/>
        <v>0</v>
      </c>
      <c r="I10" s="87">
        <f t="shared" si="0"/>
        <v>0</v>
      </c>
      <c r="J10" s="87">
        <f t="shared" si="0"/>
        <v>0</v>
      </c>
      <c r="K10" s="87">
        <f t="shared" si="0"/>
        <v>0</v>
      </c>
      <c r="L10" s="87">
        <f t="shared" si="0"/>
        <v>0</v>
      </c>
      <c r="M10" s="87">
        <f t="shared" si="0"/>
        <v>0</v>
      </c>
      <c r="N10" s="87">
        <f t="shared" si="0"/>
        <v>0</v>
      </c>
      <c r="O10" s="223">
        <f>SUM(O5:O9)</f>
        <v>0</v>
      </c>
      <c r="P10" s="84"/>
      <c r="Q10" s="85"/>
    </row>
    <row r="11" spans="1:23">
      <c r="I11" s="242"/>
    </row>
    <row r="12" spans="1:23" s="89" customFormat="1" ht="20.25" customHeight="1">
      <c r="A12" s="90" t="s">
        <v>69</v>
      </c>
      <c r="B12" s="238" t="s">
        <v>33</v>
      </c>
      <c r="C12" s="445" t="s">
        <v>120</v>
      </c>
      <c r="D12" s="443"/>
      <c r="E12" s="443"/>
      <c r="F12" s="443"/>
      <c r="G12" s="443"/>
      <c r="H12" s="443"/>
      <c r="I12" s="443"/>
      <c r="J12" s="443"/>
      <c r="K12" s="443"/>
      <c r="L12" s="443"/>
      <c r="M12" s="443" t="s">
        <v>70</v>
      </c>
      <c r="N12" s="443"/>
      <c r="O12" s="443" t="s">
        <v>71</v>
      </c>
      <c r="P12" s="443"/>
      <c r="Q12" s="444" t="s">
        <v>86</v>
      </c>
      <c r="R12" s="444"/>
      <c r="S12" s="444" t="s">
        <v>87</v>
      </c>
      <c r="T12" s="444"/>
      <c r="U12" s="445" t="s">
        <v>72</v>
      </c>
      <c r="V12" s="445"/>
    </row>
    <row r="13" spans="1:23">
      <c r="A13" s="91">
        <v>1</v>
      </c>
      <c r="B13" s="243"/>
      <c r="C13" s="430"/>
      <c r="D13" s="430"/>
      <c r="E13" s="430"/>
      <c r="F13" s="430"/>
      <c r="G13" s="430"/>
      <c r="H13" s="430"/>
      <c r="I13" s="430"/>
      <c r="J13" s="430"/>
      <c r="K13" s="430"/>
      <c r="L13" s="430"/>
      <c r="M13" s="423"/>
      <c r="N13" s="423"/>
      <c r="O13" s="423"/>
      <c r="P13" s="423"/>
      <c r="Q13" s="440"/>
      <c r="R13" s="440"/>
      <c r="S13" s="440"/>
      <c r="T13" s="440"/>
      <c r="U13" s="422"/>
      <c r="V13" s="422"/>
    </row>
    <row r="14" spans="1:23">
      <c r="A14" s="91">
        <v>2</v>
      </c>
      <c r="B14" s="243"/>
      <c r="C14" s="430"/>
      <c r="D14" s="430"/>
      <c r="E14" s="430"/>
      <c r="F14" s="430"/>
      <c r="G14" s="430"/>
      <c r="H14" s="430"/>
      <c r="I14" s="430"/>
      <c r="J14" s="430"/>
      <c r="K14" s="430"/>
      <c r="L14" s="430"/>
      <c r="M14" s="438"/>
      <c r="N14" s="439"/>
      <c r="O14" s="423"/>
      <c r="P14" s="423"/>
      <c r="Q14" s="440"/>
      <c r="R14" s="440"/>
      <c r="S14" s="440"/>
      <c r="T14" s="440"/>
      <c r="U14" s="422"/>
      <c r="V14" s="422"/>
    </row>
    <row r="15" spans="1:23">
      <c r="A15" s="91">
        <v>3</v>
      </c>
      <c r="B15" s="243"/>
      <c r="C15" s="430"/>
      <c r="D15" s="430"/>
      <c r="E15" s="430"/>
      <c r="F15" s="430"/>
      <c r="G15" s="430"/>
      <c r="H15" s="430"/>
      <c r="I15" s="430"/>
      <c r="J15" s="430"/>
      <c r="K15" s="430"/>
      <c r="L15" s="430"/>
      <c r="M15" s="423"/>
      <c r="N15" s="423"/>
      <c r="O15" s="423"/>
      <c r="P15" s="423"/>
      <c r="Q15" s="440"/>
      <c r="R15" s="440"/>
      <c r="S15" s="440"/>
      <c r="T15" s="440"/>
      <c r="U15" s="422"/>
      <c r="V15" s="422"/>
    </row>
    <row r="16" spans="1:23">
      <c r="A16" s="91">
        <v>4</v>
      </c>
      <c r="B16" s="243"/>
      <c r="C16" s="430"/>
      <c r="D16" s="430"/>
      <c r="E16" s="430"/>
      <c r="F16" s="430"/>
      <c r="G16" s="430"/>
      <c r="H16" s="430"/>
      <c r="I16" s="430"/>
      <c r="J16" s="430"/>
      <c r="K16" s="430"/>
      <c r="L16" s="430"/>
      <c r="M16" s="423"/>
      <c r="N16" s="423"/>
      <c r="O16" s="423"/>
      <c r="P16" s="423"/>
      <c r="Q16" s="440"/>
      <c r="R16" s="440"/>
      <c r="S16" s="440"/>
      <c r="T16" s="440"/>
      <c r="U16" s="422"/>
      <c r="V16" s="422"/>
    </row>
    <row r="17" spans="1:22">
      <c r="A17" s="91">
        <v>5</v>
      </c>
      <c r="B17" s="243"/>
      <c r="C17" s="430"/>
      <c r="D17" s="430"/>
      <c r="E17" s="430"/>
      <c r="F17" s="430"/>
      <c r="G17" s="430"/>
      <c r="H17" s="430"/>
      <c r="I17" s="430"/>
      <c r="J17" s="430"/>
      <c r="K17" s="430"/>
      <c r="L17" s="430"/>
      <c r="M17" s="423"/>
      <c r="N17" s="423"/>
      <c r="O17" s="423"/>
      <c r="P17" s="423"/>
      <c r="Q17" s="440"/>
      <c r="R17" s="440"/>
      <c r="S17" s="440"/>
      <c r="T17" s="440"/>
      <c r="U17" s="422"/>
      <c r="V17" s="422"/>
    </row>
    <row r="18" spans="1:22">
      <c r="A18" s="91">
        <v>6</v>
      </c>
      <c r="B18" s="243"/>
      <c r="C18" s="431"/>
      <c r="D18" s="432"/>
      <c r="E18" s="432"/>
      <c r="F18" s="432"/>
      <c r="G18" s="432"/>
      <c r="H18" s="432"/>
      <c r="I18" s="432"/>
      <c r="J18" s="432"/>
      <c r="K18" s="432"/>
      <c r="L18" s="433"/>
      <c r="M18" s="438"/>
      <c r="N18" s="439"/>
      <c r="O18" s="423"/>
      <c r="P18" s="423"/>
      <c r="Q18" s="440"/>
      <c r="R18" s="440"/>
      <c r="S18" s="440"/>
      <c r="T18" s="440"/>
      <c r="U18" s="422"/>
      <c r="V18" s="422"/>
    </row>
    <row r="19" spans="1:22">
      <c r="A19" s="91">
        <v>7</v>
      </c>
      <c r="B19" s="243"/>
      <c r="C19" s="431"/>
      <c r="D19" s="432"/>
      <c r="E19" s="432"/>
      <c r="F19" s="432"/>
      <c r="G19" s="432"/>
      <c r="H19" s="432"/>
      <c r="I19" s="432"/>
      <c r="J19" s="432"/>
      <c r="K19" s="432"/>
      <c r="L19" s="433"/>
      <c r="M19" s="438"/>
      <c r="N19" s="439"/>
      <c r="O19" s="423"/>
      <c r="P19" s="423"/>
      <c r="Q19" s="440"/>
      <c r="R19" s="440"/>
      <c r="S19" s="440"/>
      <c r="T19" s="440"/>
      <c r="U19" s="422"/>
      <c r="V19" s="422"/>
    </row>
    <row r="20" spans="1:22">
      <c r="A20" s="91">
        <v>8</v>
      </c>
      <c r="B20" s="243"/>
      <c r="C20" s="431"/>
      <c r="D20" s="432"/>
      <c r="E20" s="432"/>
      <c r="F20" s="432"/>
      <c r="G20" s="432"/>
      <c r="H20" s="432"/>
      <c r="I20" s="432"/>
      <c r="J20" s="432"/>
      <c r="K20" s="432"/>
      <c r="L20" s="433"/>
      <c r="M20" s="438"/>
      <c r="N20" s="439"/>
      <c r="O20" s="423"/>
      <c r="P20" s="423"/>
      <c r="Q20" s="440"/>
      <c r="R20" s="440"/>
      <c r="S20" s="440"/>
      <c r="T20" s="440"/>
      <c r="U20" s="422"/>
      <c r="V20" s="422"/>
    </row>
    <row r="21" spans="1:22">
      <c r="A21" s="91">
        <v>9</v>
      </c>
      <c r="B21" s="243"/>
      <c r="C21" s="431"/>
      <c r="D21" s="432"/>
      <c r="E21" s="432"/>
      <c r="F21" s="432"/>
      <c r="G21" s="432"/>
      <c r="H21" s="432"/>
      <c r="I21" s="432"/>
      <c r="J21" s="432"/>
      <c r="K21" s="432"/>
      <c r="L21" s="433"/>
      <c r="M21" s="438"/>
      <c r="N21" s="439"/>
      <c r="O21" s="423"/>
      <c r="P21" s="423"/>
      <c r="Q21" s="440"/>
      <c r="R21" s="440"/>
      <c r="S21" s="440"/>
      <c r="T21" s="440"/>
      <c r="U21" s="422"/>
      <c r="V21" s="422"/>
    </row>
    <row r="22" spans="1:22">
      <c r="A22" s="91">
        <v>10</v>
      </c>
      <c r="B22" s="243"/>
      <c r="C22" s="431"/>
      <c r="D22" s="432"/>
      <c r="E22" s="432"/>
      <c r="F22" s="432"/>
      <c r="G22" s="432"/>
      <c r="H22" s="432"/>
      <c r="I22" s="432"/>
      <c r="J22" s="432"/>
      <c r="K22" s="432"/>
      <c r="L22" s="433"/>
      <c r="M22" s="438"/>
      <c r="N22" s="439"/>
      <c r="O22" s="423"/>
      <c r="P22" s="423"/>
      <c r="Q22" s="441"/>
      <c r="R22" s="442"/>
      <c r="S22" s="441"/>
      <c r="T22" s="442"/>
      <c r="U22" s="422"/>
      <c r="V22" s="422"/>
    </row>
    <row r="23" spans="1:22">
      <c r="A23" s="91">
        <v>11</v>
      </c>
      <c r="B23" s="243"/>
      <c r="C23" s="431"/>
      <c r="D23" s="432"/>
      <c r="E23" s="432"/>
      <c r="F23" s="432"/>
      <c r="G23" s="432"/>
      <c r="H23" s="432"/>
      <c r="I23" s="432"/>
      <c r="J23" s="432"/>
      <c r="K23" s="432"/>
      <c r="L23" s="433"/>
      <c r="M23" s="438"/>
      <c r="N23" s="439"/>
      <c r="O23" s="423"/>
      <c r="P23" s="423"/>
      <c r="Q23" s="441"/>
      <c r="R23" s="442"/>
      <c r="S23" s="441"/>
      <c r="T23" s="442"/>
      <c r="U23" s="422"/>
      <c r="V23" s="422"/>
    </row>
    <row r="24" spans="1:22">
      <c r="A24" s="91">
        <v>12</v>
      </c>
      <c r="B24" s="243"/>
      <c r="C24" s="431"/>
      <c r="D24" s="432"/>
      <c r="E24" s="432"/>
      <c r="F24" s="432"/>
      <c r="G24" s="432"/>
      <c r="H24" s="432"/>
      <c r="I24" s="432"/>
      <c r="J24" s="432"/>
      <c r="K24" s="432"/>
      <c r="L24" s="433"/>
      <c r="M24" s="438"/>
      <c r="N24" s="439"/>
      <c r="O24" s="423"/>
      <c r="P24" s="423"/>
      <c r="Q24" s="441"/>
      <c r="R24" s="442"/>
      <c r="S24" s="441"/>
      <c r="T24" s="442"/>
      <c r="U24" s="422"/>
      <c r="V24" s="422"/>
    </row>
    <row r="25" spans="1:22">
      <c r="A25" s="91">
        <v>13</v>
      </c>
      <c r="B25" s="243"/>
      <c r="C25" s="430"/>
      <c r="D25" s="430"/>
      <c r="E25" s="430"/>
      <c r="F25" s="430"/>
      <c r="G25" s="430"/>
      <c r="H25" s="430"/>
      <c r="I25" s="430"/>
      <c r="J25" s="430"/>
      <c r="K25" s="430"/>
      <c r="L25" s="430"/>
      <c r="M25" s="423"/>
      <c r="N25" s="423"/>
      <c r="O25" s="423"/>
      <c r="P25" s="423"/>
      <c r="Q25" s="441"/>
      <c r="R25" s="442"/>
      <c r="S25" s="441"/>
      <c r="T25" s="442"/>
      <c r="U25" s="422"/>
      <c r="V25" s="422"/>
    </row>
    <row r="26" spans="1:22">
      <c r="A26" s="91">
        <v>14</v>
      </c>
      <c r="B26" s="243"/>
      <c r="C26" s="430"/>
      <c r="D26" s="430"/>
      <c r="E26" s="430"/>
      <c r="F26" s="430"/>
      <c r="G26" s="430"/>
      <c r="H26" s="430"/>
      <c r="I26" s="430"/>
      <c r="J26" s="430"/>
      <c r="K26" s="430"/>
      <c r="L26" s="430"/>
      <c r="M26" s="423"/>
      <c r="N26" s="423"/>
      <c r="O26" s="423"/>
      <c r="P26" s="423"/>
      <c r="Q26" s="441"/>
      <c r="R26" s="442"/>
      <c r="S26" s="441"/>
      <c r="T26" s="442"/>
      <c r="U26" s="422"/>
      <c r="V26" s="422"/>
    </row>
    <row r="27" spans="1:22">
      <c r="A27" s="91">
        <v>15</v>
      </c>
      <c r="B27" s="243"/>
      <c r="C27" s="430"/>
      <c r="D27" s="430"/>
      <c r="E27" s="430"/>
      <c r="F27" s="430"/>
      <c r="G27" s="430"/>
      <c r="H27" s="430"/>
      <c r="I27" s="430"/>
      <c r="J27" s="430"/>
      <c r="K27" s="430"/>
      <c r="L27" s="430"/>
      <c r="M27" s="423"/>
      <c r="N27" s="423"/>
      <c r="O27" s="423"/>
      <c r="P27" s="423"/>
      <c r="Q27" s="441"/>
      <c r="R27" s="442"/>
      <c r="S27" s="441"/>
      <c r="T27" s="442"/>
      <c r="U27" s="422"/>
      <c r="V27" s="422"/>
    </row>
    <row r="28" spans="1:22">
      <c r="A28" s="91">
        <v>16</v>
      </c>
      <c r="B28" s="243"/>
      <c r="C28" s="430"/>
      <c r="D28" s="430"/>
      <c r="E28" s="430"/>
      <c r="F28" s="430"/>
      <c r="G28" s="430"/>
      <c r="H28" s="430"/>
      <c r="I28" s="430"/>
      <c r="J28" s="430"/>
      <c r="K28" s="430"/>
      <c r="L28" s="430"/>
      <c r="M28" s="423"/>
      <c r="N28" s="423"/>
      <c r="O28" s="423"/>
      <c r="P28" s="423"/>
      <c r="Q28" s="441"/>
      <c r="R28" s="442"/>
      <c r="S28" s="441"/>
      <c r="T28" s="442"/>
      <c r="U28" s="422"/>
      <c r="V28" s="422"/>
    </row>
    <row r="29" spans="1:22">
      <c r="A29" s="91">
        <v>17</v>
      </c>
      <c r="B29" s="243"/>
      <c r="C29" s="430"/>
      <c r="D29" s="430"/>
      <c r="E29" s="430"/>
      <c r="F29" s="430"/>
      <c r="G29" s="430"/>
      <c r="H29" s="430"/>
      <c r="I29" s="430"/>
      <c r="J29" s="430"/>
      <c r="K29" s="430"/>
      <c r="L29" s="430"/>
      <c r="M29" s="423"/>
      <c r="N29" s="423"/>
      <c r="O29" s="423"/>
      <c r="P29" s="423"/>
      <c r="Q29" s="441"/>
      <c r="R29" s="442"/>
      <c r="S29" s="441"/>
      <c r="T29" s="442"/>
      <c r="U29" s="422"/>
      <c r="V29" s="422"/>
    </row>
    <row r="30" spans="1:22">
      <c r="A30" s="91">
        <v>18</v>
      </c>
      <c r="B30" s="243"/>
      <c r="C30" s="430"/>
      <c r="D30" s="430"/>
      <c r="E30" s="430"/>
      <c r="F30" s="430"/>
      <c r="G30" s="430"/>
      <c r="H30" s="430"/>
      <c r="I30" s="430"/>
      <c r="J30" s="430"/>
      <c r="K30" s="430"/>
      <c r="L30" s="430"/>
      <c r="M30" s="423"/>
      <c r="N30" s="423"/>
      <c r="O30" s="423"/>
      <c r="P30" s="423"/>
      <c r="Q30" s="441"/>
      <c r="R30" s="442"/>
      <c r="S30" s="441"/>
      <c r="T30" s="442"/>
      <c r="U30" s="422"/>
      <c r="V30" s="422"/>
    </row>
    <row r="31" spans="1:22">
      <c r="A31" s="91">
        <v>19</v>
      </c>
      <c r="B31" s="243"/>
      <c r="C31" s="430"/>
      <c r="D31" s="430"/>
      <c r="E31" s="430"/>
      <c r="F31" s="430"/>
      <c r="G31" s="430"/>
      <c r="H31" s="430"/>
      <c r="I31" s="430"/>
      <c r="J31" s="430"/>
      <c r="K31" s="430"/>
      <c r="L31" s="430"/>
      <c r="M31" s="423"/>
      <c r="N31" s="423"/>
      <c r="O31" s="423"/>
      <c r="P31" s="423"/>
      <c r="Q31" s="441"/>
      <c r="R31" s="442"/>
      <c r="S31" s="441"/>
      <c r="T31" s="442"/>
      <c r="U31" s="422"/>
      <c r="V31" s="422"/>
    </row>
    <row r="32" spans="1:22">
      <c r="A32" s="91">
        <v>20</v>
      </c>
      <c r="B32" s="243"/>
      <c r="C32" s="430"/>
      <c r="D32" s="430"/>
      <c r="E32" s="430"/>
      <c r="F32" s="430"/>
      <c r="G32" s="430"/>
      <c r="H32" s="430"/>
      <c r="I32" s="430"/>
      <c r="J32" s="430"/>
      <c r="K32" s="430"/>
      <c r="L32" s="430"/>
      <c r="M32" s="423"/>
      <c r="N32" s="423"/>
      <c r="O32" s="423"/>
      <c r="P32" s="423"/>
      <c r="Q32" s="441"/>
      <c r="R32" s="442"/>
      <c r="S32" s="441"/>
      <c r="T32" s="442"/>
      <c r="U32" s="422"/>
      <c r="V32" s="422"/>
    </row>
    <row r="33" spans="1:22">
      <c r="A33" s="91">
        <v>21</v>
      </c>
      <c r="B33" s="243"/>
      <c r="C33" s="430"/>
      <c r="D33" s="430"/>
      <c r="E33" s="430"/>
      <c r="F33" s="430"/>
      <c r="G33" s="430"/>
      <c r="H33" s="430"/>
      <c r="I33" s="430"/>
      <c r="J33" s="430"/>
      <c r="K33" s="430"/>
      <c r="L33" s="430"/>
      <c r="M33" s="423"/>
      <c r="N33" s="423"/>
      <c r="O33" s="423"/>
      <c r="P33" s="423"/>
      <c r="Q33" s="440"/>
      <c r="R33" s="440"/>
      <c r="S33" s="440"/>
      <c r="T33" s="440"/>
      <c r="U33" s="422"/>
      <c r="V33" s="422"/>
    </row>
    <row r="34" spans="1:22">
      <c r="A34" s="91">
        <v>22</v>
      </c>
      <c r="B34" s="243"/>
      <c r="C34" s="430"/>
      <c r="D34" s="430"/>
      <c r="E34" s="430"/>
      <c r="F34" s="430"/>
      <c r="G34" s="430"/>
      <c r="H34" s="430"/>
      <c r="I34" s="430"/>
      <c r="J34" s="430"/>
      <c r="K34" s="430"/>
      <c r="L34" s="430"/>
      <c r="M34" s="423"/>
      <c r="N34" s="423"/>
      <c r="O34" s="423"/>
      <c r="P34" s="423"/>
      <c r="Q34" s="440"/>
      <c r="R34" s="440"/>
      <c r="S34" s="440"/>
      <c r="T34" s="440"/>
      <c r="U34" s="422"/>
      <c r="V34" s="422"/>
    </row>
    <row r="35" spans="1:22">
      <c r="A35" s="91">
        <v>23</v>
      </c>
      <c r="B35" s="243"/>
      <c r="C35" s="430"/>
      <c r="D35" s="430"/>
      <c r="E35" s="430"/>
      <c r="F35" s="430"/>
      <c r="G35" s="430"/>
      <c r="H35" s="430"/>
      <c r="I35" s="430"/>
      <c r="J35" s="430"/>
      <c r="K35" s="430"/>
      <c r="L35" s="430"/>
      <c r="M35" s="423"/>
      <c r="N35" s="423"/>
      <c r="O35" s="423"/>
      <c r="P35" s="423"/>
      <c r="Q35" s="440"/>
      <c r="R35" s="440"/>
      <c r="S35" s="440"/>
      <c r="T35" s="440"/>
      <c r="U35" s="422"/>
      <c r="V35" s="422"/>
    </row>
    <row r="36" spans="1:22">
      <c r="A36" s="91">
        <v>24</v>
      </c>
      <c r="B36" s="243"/>
      <c r="C36" s="430"/>
      <c r="D36" s="430"/>
      <c r="E36" s="430"/>
      <c r="F36" s="430"/>
      <c r="G36" s="430"/>
      <c r="H36" s="430"/>
      <c r="I36" s="430"/>
      <c r="J36" s="430"/>
      <c r="K36" s="430"/>
      <c r="L36" s="430"/>
      <c r="M36" s="423"/>
      <c r="N36" s="423"/>
      <c r="O36" s="423"/>
      <c r="P36" s="423"/>
      <c r="Q36" s="440"/>
      <c r="R36" s="440"/>
      <c r="S36" s="440"/>
      <c r="T36" s="440"/>
      <c r="U36" s="422"/>
      <c r="V36" s="422"/>
    </row>
    <row r="37" spans="1:22">
      <c r="A37" s="91">
        <v>25</v>
      </c>
      <c r="B37" s="243"/>
      <c r="C37" s="430"/>
      <c r="D37" s="430"/>
      <c r="E37" s="430"/>
      <c r="F37" s="430"/>
      <c r="G37" s="430"/>
      <c r="H37" s="430"/>
      <c r="I37" s="430"/>
      <c r="J37" s="430"/>
      <c r="K37" s="430"/>
      <c r="L37" s="430"/>
      <c r="M37" s="438"/>
      <c r="N37" s="439"/>
      <c r="O37" s="423"/>
      <c r="P37" s="423"/>
      <c r="Q37" s="440"/>
      <c r="R37" s="440"/>
      <c r="S37" s="440"/>
      <c r="T37" s="440"/>
      <c r="U37" s="422"/>
      <c r="V37" s="422"/>
    </row>
    <row r="38" spans="1:22">
      <c r="A38" s="91">
        <v>26</v>
      </c>
      <c r="B38" s="243"/>
      <c r="C38" s="430"/>
      <c r="D38" s="430"/>
      <c r="E38" s="430"/>
      <c r="F38" s="430"/>
      <c r="G38" s="430"/>
      <c r="H38" s="430"/>
      <c r="I38" s="430"/>
      <c r="J38" s="430"/>
      <c r="K38" s="430"/>
      <c r="L38" s="430"/>
      <c r="M38" s="438"/>
      <c r="N38" s="439"/>
      <c r="O38" s="423"/>
      <c r="P38" s="423"/>
      <c r="Q38" s="440"/>
      <c r="R38" s="440"/>
      <c r="S38" s="440"/>
      <c r="T38" s="440"/>
      <c r="U38" s="422"/>
      <c r="V38" s="422"/>
    </row>
    <row r="39" spans="1:22">
      <c r="A39" s="91">
        <v>27</v>
      </c>
      <c r="B39" s="243"/>
      <c r="C39" s="430"/>
      <c r="D39" s="430"/>
      <c r="E39" s="430"/>
      <c r="F39" s="430"/>
      <c r="G39" s="430"/>
      <c r="H39" s="430"/>
      <c r="I39" s="430"/>
      <c r="J39" s="430"/>
      <c r="K39" s="430"/>
      <c r="L39" s="430"/>
      <c r="M39" s="438"/>
      <c r="N39" s="439"/>
      <c r="O39" s="423"/>
      <c r="P39" s="423"/>
      <c r="Q39" s="440"/>
      <c r="R39" s="440"/>
      <c r="S39" s="440"/>
      <c r="T39" s="440"/>
      <c r="U39" s="422"/>
      <c r="V39" s="422"/>
    </row>
    <row r="40" spans="1:22">
      <c r="A40" s="91">
        <v>28</v>
      </c>
      <c r="B40" s="243"/>
      <c r="C40" s="430"/>
      <c r="D40" s="430"/>
      <c r="E40" s="430"/>
      <c r="F40" s="430"/>
      <c r="G40" s="430"/>
      <c r="H40" s="430"/>
      <c r="I40" s="430"/>
      <c r="J40" s="430"/>
      <c r="K40" s="430"/>
      <c r="L40" s="430"/>
      <c r="M40" s="438"/>
      <c r="N40" s="439"/>
      <c r="O40" s="423"/>
      <c r="P40" s="423"/>
      <c r="Q40" s="440"/>
      <c r="R40" s="440"/>
      <c r="S40" s="440"/>
      <c r="T40" s="440"/>
      <c r="U40" s="422"/>
      <c r="V40" s="422"/>
    </row>
    <row r="41" spans="1:22">
      <c r="A41" s="91">
        <v>29</v>
      </c>
      <c r="B41" s="243"/>
      <c r="C41" s="434"/>
      <c r="D41" s="434"/>
      <c r="E41" s="434"/>
      <c r="F41" s="434"/>
      <c r="G41" s="434"/>
      <c r="H41" s="434"/>
      <c r="I41" s="434"/>
      <c r="J41" s="434"/>
      <c r="K41" s="434"/>
      <c r="L41" s="434"/>
      <c r="M41" s="423"/>
      <c r="N41" s="423"/>
      <c r="O41" s="423"/>
      <c r="P41" s="423"/>
      <c r="Q41" s="440"/>
      <c r="R41" s="440"/>
      <c r="S41" s="440"/>
      <c r="T41" s="440"/>
      <c r="U41" s="422"/>
      <c r="V41" s="422"/>
    </row>
    <row r="42" spans="1:22">
      <c r="A42" s="91">
        <v>30</v>
      </c>
      <c r="B42" s="243"/>
      <c r="C42" s="434"/>
      <c r="D42" s="434"/>
      <c r="E42" s="434"/>
      <c r="F42" s="434"/>
      <c r="G42" s="434"/>
      <c r="H42" s="434"/>
      <c r="I42" s="434"/>
      <c r="J42" s="434"/>
      <c r="K42" s="434"/>
      <c r="L42" s="434"/>
      <c r="M42" s="423"/>
      <c r="N42" s="423"/>
      <c r="O42" s="423"/>
      <c r="P42" s="423"/>
      <c r="Q42" s="440"/>
      <c r="R42" s="440"/>
      <c r="S42" s="440"/>
      <c r="T42" s="440"/>
      <c r="U42" s="422"/>
      <c r="V42" s="422"/>
    </row>
    <row r="43" spans="1:22">
      <c r="A43" s="91">
        <v>31</v>
      </c>
      <c r="B43" s="243"/>
      <c r="C43" s="434"/>
      <c r="D43" s="434"/>
      <c r="E43" s="434"/>
      <c r="F43" s="434"/>
      <c r="G43" s="434"/>
      <c r="H43" s="434"/>
      <c r="I43" s="434"/>
      <c r="J43" s="434"/>
      <c r="K43" s="434"/>
      <c r="L43" s="434"/>
      <c r="M43" s="423"/>
      <c r="N43" s="423"/>
      <c r="O43" s="423"/>
      <c r="P43" s="423"/>
      <c r="Q43" s="440"/>
      <c r="R43" s="440"/>
      <c r="S43" s="440"/>
      <c r="T43" s="440"/>
      <c r="U43" s="422"/>
      <c r="V43" s="422"/>
    </row>
    <row r="44" spans="1:22">
      <c r="A44" s="91">
        <v>32</v>
      </c>
      <c r="B44" s="243"/>
      <c r="C44" s="434"/>
      <c r="D44" s="434"/>
      <c r="E44" s="434"/>
      <c r="F44" s="434"/>
      <c r="G44" s="434"/>
      <c r="H44" s="434"/>
      <c r="I44" s="434"/>
      <c r="J44" s="434"/>
      <c r="K44" s="434"/>
      <c r="L44" s="434"/>
      <c r="M44" s="423"/>
      <c r="N44" s="423"/>
      <c r="O44" s="423"/>
      <c r="P44" s="423"/>
      <c r="Q44" s="440"/>
      <c r="R44" s="440"/>
      <c r="S44" s="440"/>
      <c r="T44" s="440"/>
      <c r="U44" s="422"/>
      <c r="V44" s="422"/>
    </row>
    <row r="45" spans="1:22">
      <c r="A45" s="91">
        <v>33</v>
      </c>
      <c r="B45" s="243"/>
      <c r="C45" s="435"/>
      <c r="D45" s="436"/>
      <c r="E45" s="436"/>
      <c r="F45" s="436"/>
      <c r="G45" s="436"/>
      <c r="H45" s="436"/>
      <c r="I45" s="436"/>
      <c r="J45" s="436"/>
      <c r="K45" s="436"/>
      <c r="L45" s="437"/>
      <c r="M45" s="423"/>
      <c r="N45" s="423"/>
      <c r="O45" s="423"/>
      <c r="P45" s="423"/>
      <c r="Q45" s="440"/>
      <c r="R45" s="440"/>
      <c r="S45" s="440"/>
      <c r="T45" s="440"/>
      <c r="U45" s="422"/>
      <c r="V45" s="422"/>
    </row>
    <row r="46" spans="1:22">
      <c r="A46" s="91">
        <v>34</v>
      </c>
      <c r="B46" s="243"/>
      <c r="C46" s="434"/>
      <c r="D46" s="434"/>
      <c r="E46" s="434"/>
      <c r="F46" s="434"/>
      <c r="G46" s="434"/>
      <c r="H46" s="434"/>
      <c r="I46" s="434"/>
      <c r="J46" s="434"/>
      <c r="K46" s="434"/>
      <c r="L46" s="434"/>
      <c r="M46" s="423"/>
      <c r="N46" s="423"/>
      <c r="O46" s="423"/>
      <c r="P46" s="423"/>
      <c r="Q46" s="440"/>
      <c r="R46" s="440"/>
      <c r="S46" s="440"/>
      <c r="T46" s="440"/>
      <c r="U46" s="422"/>
      <c r="V46" s="422"/>
    </row>
    <row r="47" spans="1:22">
      <c r="A47" s="91">
        <v>35</v>
      </c>
      <c r="B47" s="243"/>
      <c r="C47" s="434"/>
      <c r="D47" s="434"/>
      <c r="E47" s="434"/>
      <c r="F47" s="434"/>
      <c r="G47" s="434"/>
      <c r="H47" s="434"/>
      <c r="I47" s="434"/>
      <c r="J47" s="434"/>
      <c r="K47" s="434"/>
      <c r="L47" s="434"/>
      <c r="M47" s="423"/>
      <c r="N47" s="423"/>
      <c r="O47" s="423"/>
      <c r="P47" s="423"/>
      <c r="Q47" s="440"/>
      <c r="R47" s="440"/>
      <c r="S47" s="440"/>
      <c r="T47" s="440"/>
      <c r="U47" s="422"/>
      <c r="V47" s="422"/>
    </row>
    <row r="48" spans="1:22">
      <c r="A48" s="91">
        <v>36</v>
      </c>
      <c r="B48" s="243"/>
      <c r="C48" s="434"/>
      <c r="D48" s="434"/>
      <c r="E48" s="434"/>
      <c r="F48" s="434"/>
      <c r="G48" s="434"/>
      <c r="H48" s="434"/>
      <c r="I48" s="434"/>
      <c r="J48" s="434"/>
      <c r="K48" s="434"/>
      <c r="L48" s="434"/>
      <c r="M48" s="423"/>
      <c r="N48" s="423"/>
      <c r="O48" s="423"/>
      <c r="P48" s="423"/>
      <c r="Q48" s="440"/>
      <c r="R48" s="440"/>
      <c r="S48" s="440"/>
      <c r="T48" s="440"/>
      <c r="U48" s="422"/>
      <c r="V48" s="422"/>
    </row>
    <row r="49" spans="1:22">
      <c r="A49" s="91">
        <v>37</v>
      </c>
      <c r="B49" s="243"/>
      <c r="C49" s="434"/>
      <c r="D49" s="434"/>
      <c r="E49" s="434"/>
      <c r="F49" s="434"/>
      <c r="G49" s="434"/>
      <c r="H49" s="434"/>
      <c r="I49" s="434"/>
      <c r="J49" s="434"/>
      <c r="K49" s="434"/>
      <c r="L49" s="434"/>
      <c r="M49" s="423"/>
      <c r="N49" s="423"/>
      <c r="O49" s="423"/>
      <c r="P49" s="423"/>
      <c r="Q49" s="440"/>
      <c r="R49" s="440"/>
      <c r="S49" s="440"/>
      <c r="T49" s="440"/>
      <c r="U49" s="422"/>
      <c r="V49" s="422"/>
    </row>
    <row r="50" spans="1:22">
      <c r="A50" s="91">
        <v>38</v>
      </c>
      <c r="B50" s="243"/>
      <c r="C50" s="434"/>
      <c r="D50" s="434"/>
      <c r="E50" s="434"/>
      <c r="F50" s="434"/>
      <c r="G50" s="434"/>
      <c r="H50" s="434"/>
      <c r="I50" s="434"/>
      <c r="J50" s="434"/>
      <c r="K50" s="434"/>
      <c r="L50" s="434"/>
      <c r="M50" s="423"/>
      <c r="N50" s="423"/>
      <c r="O50" s="423"/>
      <c r="P50" s="423"/>
      <c r="Q50" s="440"/>
      <c r="R50" s="440"/>
      <c r="S50" s="440"/>
      <c r="T50" s="440"/>
      <c r="U50" s="422"/>
      <c r="V50" s="422"/>
    </row>
    <row r="51" spans="1:22">
      <c r="A51" s="91">
        <v>39</v>
      </c>
      <c r="B51" s="243"/>
      <c r="C51" s="434"/>
      <c r="D51" s="434"/>
      <c r="E51" s="434"/>
      <c r="F51" s="434"/>
      <c r="G51" s="434"/>
      <c r="H51" s="434"/>
      <c r="I51" s="434"/>
      <c r="J51" s="434"/>
      <c r="K51" s="434"/>
      <c r="L51" s="434"/>
      <c r="M51" s="423"/>
      <c r="N51" s="423"/>
      <c r="O51" s="423"/>
      <c r="P51" s="423"/>
      <c r="Q51" s="440"/>
      <c r="R51" s="440"/>
      <c r="S51" s="440"/>
      <c r="T51" s="440"/>
      <c r="U51" s="422"/>
      <c r="V51" s="422"/>
    </row>
    <row r="52" spans="1:22">
      <c r="A52" s="91">
        <v>40</v>
      </c>
      <c r="B52" s="243"/>
      <c r="C52" s="434"/>
      <c r="D52" s="434"/>
      <c r="E52" s="434"/>
      <c r="F52" s="434"/>
      <c r="G52" s="434"/>
      <c r="H52" s="434"/>
      <c r="I52" s="434"/>
      <c r="J52" s="434"/>
      <c r="K52" s="434"/>
      <c r="L52" s="434"/>
      <c r="M52" s="423"/>
      <c r="N52" s="423"/>
      <c r="O52" s="423"/>
      <c r="P52" s="423"/>
      <c r="Q52" s="440"/>
      <c r="R52" s="440"/>
      <c r="S52" s="440"/>
      <c r="T52" s="440"/>
      <c r="U52" s="422"/>
      <c r="V52" s="422"/>
    </row>
    <row r="53" spans="1:22">
      <c r="A53" s="91">
        <v>41</v>
      </c>
      <c r="B53" s="243"/>
      <c r="C53" s="434"/>
      <c r="D53" s="434"/>
      <c r="E53" s="434"/>
      <c r="F53" s="434"/>
      <c r="G53" s="434"/>
      <c r="H53" s="434"/>
      <c r="I53" s="434"/>
      <c r="J53" s="434"/>
      <c r="K53" s="434"/>
      <c r="L53" s="434"/>
      <c r="M53" s="423"/>
      <c r="N53" s="423"/>
      <c r="O53" s="423"/>
      <c r="P53" s="423"/>
      <c r="Q53" s="440"/>
      <c r="R53" s="440"/>
      <c r="S53" s="440"/>
      <c r="T53" s="440"/>
      <c r="U53" s="422"/>
      <c r="V53" s="422"/>
    </row>
    <row r="54" spans="1:22">
      <c r="A54" s="91">
        <v>42</v>
      </c>
      <c r="B54" s="243"/>
      <c r="C54" s="435"/>
      <c r="D54" s="436"/>
      <c r="E54" s="436"/>
      <c r="F54" s="436"/>
      <c r="G54" s="436"/>
      <c r="H54" s="436"/>
      <c r="I54" s="436"/>
      <c r="J54" s="436"/>
      <c r="K54" s="436"/>
      <c r="L54" s="437"/>
      <c r="M54" s="423"/>
      <c r="N54" s="423"/>
      <c r="O54" s="423"/>
      <c r="P54" s="423"/>
      <c r="Q54" s="440"/>
      <c r="R54" s="440"/>
      <c r="S54" s="440"/>
      <c r="T54" s="440"/>
      <c r="U54" s="422"/>
      <c r="V54" s="422"/>
    </row>
    <row r="55" spans="1:22">
      <c r="A55" s="91">
        <v>43</v>
      </c>
      <c r="B55" s="243"/>
      <c r="C55" s="435"/>
      <c r="D55" s="436"/>
      <c r="E55" s="436"/>
      <c r="F55" s="436"/>
      <c r="G55" s="436"/>
      <c r="H55" s="436"/>
      <c r="I55" s="436"/>
      <c r="J55" s="436"/>
      <c r="K55" s="436"/>
      <c r="L55" s="437"/>
      <c r="M55" s="438"/>
      <c r="N55" s="439"/>
      <c r="O55" s="423"/>
      <c r="P55" s="423"/>
      <c r="Q55" s="440"/>
      <c r="R55" s="440"/>
      <c r="S55" s="440"/>
      <c r="T55" s="440"/>
      <c r="U55" s="422"/>
      <c r="V55" s="422"/>
    </row>
    <row r="56" spans="1:22">
      <c r="A56" s="91">
        <v>44</v>
      </c>
      <c r="B56" s="243"/>
      <c r="C56" s="434"/>
      <c r="D56" s="434"/>
      <c r="E56" s="434"/>
      <c r="F56" s="434"/>
      <c r="G56" s="434"/>
      <c r="H56" s="434"/>
      <c r="I56" s="434"/>
      <c r="J56" s="434"/>
      <c r="K56" s="434"/>
      <c r="L56" s="434"/>
      <c r="M56" s="438"/>
      <c r="N56" s="439"/>
      <c r="O56" s="423"/>
      <c r="P56" s="423"/>
      <c r="Q56" s="440"/>
      <c r="R56" s="440"/>
      <c r="S56" s="440"/>
      <c r="T56" s="440"/>
      <c r="U56" s="422"/>
      <c r="V56" s="422"/>
    </row>
    <row r="57" spans="1:22">
      <c r="A57" s="91">
        <v>45</v>
      </c>
      <c r="B57" s="243"/>
      <c r="C57" s="435"/>
      <c r="D57" s="436"/>
      <c r="E57" s="436"/>
      <c r="F57" s="436"/>
      <c r="G57" s="436"/>
      <c r="H57" s="436"/>
      <c r="I57" s="436"/>
      <c r="J57" s="436"/>
      <c r="K57" s="436"/>
      <c r="L57" s="437"/>
      <c r="M57" s="438"/>
      <c r="N57" s="439"/>
      <c r="O57" s="438"/>
      <c r="P57" s="439"/>
      <c r="Q57" s="441"/>
      <c r="R57" s="442"/>
      <c r="S57" s="441"/>
      <c r="T57" s="442"/>
      <c r="U57" s="422"/>
      <c r="V57" s="422"/>
    </row>
    <row r="58" spans="1:22">
      <c r="A58" s="91">
        <v>46</v>
      </c>
      <c r="B58" s="243"/>
      <c r="C58" s="435"/>
      <c r="D58" s="436"/>
      <c r="E58" s="436"/>
      <c r="F58" s="436"/>
      <c r="G58" s="436"/>
      <c r="H58" s="436"/>
      <c r="I58" s="436"/>
      <c r="J58" s="436"/>
      <c r="K58" s="436"/>
      <c r="L58" s="437"/>
      <c r="M58" s="438"/>
      <c r="N58" s="439"/>
      <c r="O58" s="438"/>
      <c r="P58" s="439"/>
      <c r="Q58" s="441"/>
      <c r="R58" s="442"/>
      <c r="S58" s="441"/>
      <c r="T58" s="442"/>
      <c r="U58" s="422"/>
      <c r="V58" s="422"/>
    </row>
    <row r="59" spans="1:22">
      <c r="A59" s="91">
        <v>47</v>
      </c>
      <c r="B59" s="243"/>
      <c r="C59" s="434"/>
      <c r="D59" s="434"/>
      <c r="E59" s="434"/>
      <c r="F59" s="434"/>
      <c r="G59" s="434"/>
      <c r="H59" s="434"/>
      <c r="I59" s="434"/>
      <c r="J59" s="434"/>
      <c r="K59" s="434"/>
      <c r="L59" s="434"/>
      <c r="M59" s="423"/>
      <c r="N59" s="423"/>
      <c r="O59" s="438"/>
      <c r="P59" s="439"/>
      <c r="Q59" s="441"/>
      <c r="R59" s="442"/>
      <c r="S59" s="440"/>
      <c r="T59" s="440"/>
      <c r="U59" s="422"/>
      <c r="V59" s="422"/>
    </row>
    <row r="60" spans="1:22">
      <c r="A60" s="91">
        <v>48</v>
      </c>
      <c r="B60" s="243"/>
      <c r="C60" s="434"/>
      <c r="D60" s="434"/>
      <c r="E60" s="434"/>
      <c r="F60" s="434"/>
      <c r="G60" s="434"/>
      <c r="H60" s="434"/>
      <c r="I60" s="434"/>
      <c r="J60" s="434"/>
      <c r="K60" s="434"/>
      <c r="L60" s="434"/>
      <c r="M60" s="423"/>
      <c r="N60" s="423"/>
      <c r="O60" s="438"/>
      <c r="P60" s="439"/>
      <c r="Q60" s="441"/>
      <c r="R60" s="442"/>
      <c r="S60" s="440"/>
      <c r="T60" s="440"/>
      <c r="U60" s="422"/>
      <c r="V60" s="422"/>
    </row>
    <row r="61" spans="1:22">
      <c r="A61" s="91">
        <v>49</v>
      </c>
      <c r="B61" s="243"/>
      <c r="C61" s="434"/>
      <c r="D61" s="434"/>
      <c r="E61" s="434"/>
      <c r="F61" s="434"/>
      <c r="G61" s="434"/>
      <c r="H61" s="434"/>
      <c r="I61" s="434"/>
      <c r="J61" s="434"/>
      <c r="K61" s="434"/>
      <c r="L61" s="434"/>
      <c r="M61" s="423"/>
      <c r="N61" s="423"/>
      <c r="O61" s="438"/>
      <c r="P61" s="439"/>
      <c r="Q61" s="441"/>
      <c r="R61" s="442"/>
      <c r="S61" s="440"/>
      <c r="T61" s="440"/>
      <c r="U61" s="422"/>
      <c r="V61" s="422"/>
    </row>
    <row r="62" spans="1:22">
      <c r="A62" s="91">
        <v>50</v>
      </c>
      <c r="B62" s="243"/>
      <c r="C62" s="434"/>
      <c r="D62" s="434"/>
      <c r="E62" s="434"/>
      <c r="F62" s="434"/>
      <c r="G62" s="434"/>
      <c r="H62" s="434"/>
      <c r="I62" s="434"/>
      <c r="J62" s="434"/>
      <c r="K62" s="434"/>
      <c r="L62" s="434"/>
      <c r="M62" s="423"/>
      <c r="N62" s="423"/>
      <c r="O62" s="438"/>
      <c r="P62" s="439"/>
      <c r="Q62" s="440"/>
      <c r="R62" s="440"/>
      <c r="S62" s="440"/>
      <c r="T62" s="440"/>
      <c r="U62" s="422"/>
      <c r="V62" s="422"/>
    </row>
    <row r="63" spans="1:22">
      <c r="A63" s="91">
        <v>51</v>
      </c>
      <c r="B63" s="243"/>
      <c r="C63" s="434"/>
      <c r="D63" s="434"/>
      <c r="E63" s="434"/>
      <c r="F63" s="434"/>
      <c r="G63" s="434"/>
      <c r="H63" s="434"/>
      <c r="I63" s="434"/>
      <c r="J63" s="434"/>
      <c r="K63" s="434"/>
      <c r="L63" s="434"/>
      <c r="M63" s="423"/>
      <c r="N63" s="423"/>
      <c r="O63" s="438"/>
      <c r="P63" s="439"/>
      <c r="Q63" s="440"/>
      <c r="R63" s="440"/>
      <c r="S63" s="440"/>
      <c r="T63" s="440"/>
      <c r="U63" s="422"/>
      <c r="V63" s="422"/>
    </row>
    <row r="64" spans="1:22">
      <c r="A64" s="91">
        <v>52</v>
      </c>
      <c r="B64" s="243"/>
      <c r="C64" s="434"/>
      <c r="D64" s="434"/>
      <c r="E64" s="434"/>
      <c r="F64" s="434"/>
      <c r="G64" s="434"/>
      <c r="H64" s="434"/>
      <c r="I64" s="434"/>
      <c r="J64" s="434"/>
      <c r="K64" s="434"/>
      <c r="L64" s="434"/>
      <c r="M64" s="423"/>
      <c r="N64" s="423"/>
      <c r="O64" s="438"/>
      <c r="P64" s="439"/>
      <c r="Q64" s="440"/>
      <c r="R64" s="440"/>
      <c r="S64" s="440"/>
      <c r="T64" s="440"/>
      <c r="U64" s="422"/>
      <c r="V64" s="422"/>
    </row>
    <row r="65" spans="1:22">
      <c r="A65" s="91">
        <v>53</v>
      </c>
      <c r="B65" s="243"/>
      <c r="C65" s="434"/>
      <c r="D65" s="434"/>
      <c r="E65" s="434"/>
      <c r="F65" s="434"/>
      <c r="G65" s="434"/>
      <c r="H65" s="434"/>
      <c r="I65" s="434"/>
      <c r="J65" s="434"/>
      <c r="K65" s="434"/>
      <c r="L65" s="434"/>
      <c r="M65" s="423"/>
      <c r="N65" s="423"/>
      <c r="O65" s="438"/>
      <c r="P65" s="439"/>
      <c r="Q65" s="440"/>
      <c r="R65" s="440"/>
      <c r="S65" s="440"/>
      <c r="T65" s="440"/>
      <c r="U65" s="422"/>
      <c r="V65" s="422"/>
    </row>
    <row r="66" spans="1:22">
      <c r="A66" s="91">
        <v>54</v>
      </c>
      <c r="B66" s="243"/>
      <c r="C66" s="434"/>
      <c r="D66" s="434"/>
      <c r="E66" s="434"/>
      <c r="F66" s="434"/>
      <c r="G66" s="434"/>
      <c r="H66" s="434"/>
      <c r="I66" s="434"/>
      <c r="J66" s="434"/>
      <c r="K66" s="434"/>
      <c r="L66" s="434"/>
      <c r="M66" s="423"/>
      <c r="N66" s="423"/>
      <c r="O66" s="438"/>
      <c r="P66" s="439"/>
      <c r="Q66" s="440"/>
      <c r="R66" s="440"/>
      <c r="S66" s="440"/>
      <c r="T66" s="440"/>
      <c r="U66" s="422"/>
      <c r="V66" s="422"/>
    </row>
    <row r="67" spans="1:22">
      <c r="A67" s="91">
        <v>55</v>
      </c>
      <c r="B67" s="243"/>
      <c r="C67" s="434"/>
      <c r="D67" s="434"/>
      <c r="E67" s="434"/>
      <c r="F67" s="434"/>
      <c r="G67" s="434"/>
      <c r="H67" s="434"/>
      <c r="I67" s="434"/>
      <c r="J67" s="434"/>
      <c r="K67" s="434"/>
      <c r="L67" s="434"/>
      <c r="M67" s="423"/>
      <c r="N67" s="423"/>
      <c r="O67" s="423"/>
      <c r="P67" s="423"/>
      <c r="Q67" s="440"/>
      <c r="R67" s="440"/>
      <c r="S67" s="440"/>
      <c r="T67" s="440"/>
      <c r="U67" s="422"/>
      <c r="V67" s="422"/>
    </row>
    <row r="68" spans="1:22">
      <c r="A68" s="91">
        <v>56</v>
      </c>
      <c r="B68" s="243"/>
      <c r="C68" s="434"/>
      <c r="D68" s="434"/>
      <c r="E68" s="434"/>
      <c r="F68" s="434"/>
      <c r="G68" s="434"/>
      <c r="H68" s="434"/>
      <c r="I68" s="434"/>
      <c r="J68" s="434"/>
      <c r="K68" s="434"/>
      <c r="L68" s="434"/>
      <c r="M68" s="423"/>
      <c r="N68" s="423"/>
      <c r="O68" s="423"/>
      <c r="P68" s="423"/>
      <c r="Q68" s="440"/>
      <c r="R68" s="440"/>
      <c r="S68" s="440"/>
      <c r="T68" s="440"/>
      <c r="U68" s="422"/>
      <c r="V68" s="422"/>
    </row>
    <row r="69" spans="1:22">
      <c r="A69" s="91">
        <v>57</v>
      </c>
      <c r="B69" s="243"/>
      <c r="C69" s="435"/>
      <c r="D69" s="436"/>
      <c r="E69" s="436"/>
      <c r="F69" s="436"/>
      <c r="G69" s="436"/>
      <c r="H69" s="436"/>
      <c r="I69" s="436"/>
      <c r="J69" s="436"/>
      <c r="K69" s="436"/>
      <c r="L69" s="437"/>
      <c r="M69" s="438"/>
      <c r="N69" s="439"/>
      <c r="O69" s="423"/>
      <c r="P69" s="423"/>
      <c r="Q69" s="440"/>
      <c r="R69" s="440"/>
      <c r="S69" s="440"/>
      <c r="T69" s="440"/>
      <c r="U69" s="422"/>
      <c r="V69" s="422"/>
    </row>
    <row r="70" spans="1:22">
      <c r="A70" s="91">
        <v>58</v>
      </c>
      <c r="B70" s="243"/>
      <c r="C70" s="435"/>
      <c r="D70" s="436"/>
      <c r="E70" s="436"/>
      <c r="F70" s="436"/>
      <c r="G70" s="436"/>
      <c r="H70" s="436"/>
      <c r="I70" s="436"/>
      <c r="J70" s="436"/>
      <c r="K70" s="436"/>
      <c r="L70" s="437"/>
      <c r="M70" s="438"/>
      <c r="N70" s="439"/>
      <c r="O70" s="423"/>
      <c r="P70" s="423"/>
      <c r="Q70" s="440"/>
      <c r="R70" s="440"/>
      <c r="S70" s="440"/>
      <c r="T70" s="440"/>
      <c r="U70" s="422"/>
      <c r="V70" s="422"/>
    </row>
    <row r="71" spans="1:22">
      <c r="A71" s="91">
        <v>59</v>
      </c>
      <c r="B71" s="243"/>
      <c r="C71" s="435"/>
      <c r="D71" s="436"/>
      <c r="E71" s="436"/>
      <c r="F71" s="436"/>
      <c r="G71" s="436"/>
      <c r="H71" s="436"/>
      <c r="I71" s="436"/>
      <c r="J71" s="436"/>
      <c r="K71" s="436"/>
      <c r="L71" s="437"/>
      <c r="M71" s="438"/>
      <c r="N71" s="439"/>
      <c r="O71" s="423"/>
      <c r="P71" s="423"/>
      <c r="Q71" s="440"/>
      <c r="R71" s="440"/>
      <c r="S71" s="440"/>
      <c r="T71" s="440"/>
      <c r="U71" s="422"/>
      <c r="V71" s="422"/>
    </row>
    <row r="72" spans="1:22">
      <c r="A72" s="91">
        <v>60</v>
      </c>
      <c r="B72" s="243"/>
      <c r="C72" s="435"/>
      <c r="D72" s="436"/>
      <c r="E72" s="436"/>
      <c r="F72" s="436"/>
      <c r="G72" s="436"/>
      <c r="H72" s="436"/>
      <c r="I72" s="436"/>
      <c r="J72" s="436"/>
      <c r="K72" s="436"/>
      <c r="L72" s="437"/>
      <c r="M72" s="438"/>
      <c r="N72" s="439"/>
      <c r="O72" s="423"/>
      <c r="P72" s="423"/>
      <c r="Q72" s="440"/>
      <c r="R72" s="440"/>
      <c r="S72" s="440"/>
      <c r="T72" s="440"/>
      <c r="U72" s="422"/>
      <c r="V72" s="422"/>
    </row>
    <row r="73" spans="1:22">
      <c r="A73" s="91">
        <v>61</v>
      </c>
      <c r="B73" s="243"/>
      <c r="C73" s="434"/>
      <c r="D73" s="434"/>
      <c r="E73" s="434"/>
      <c r="F73" s="434"/>
      <c r="G73" s="434"/>
      <c r="H73" s="434"/>
      <c r="I73" s="434"/>
      <c r="J73" s="434"/>
      <c r="K73" s="434"/>
      <c r="L73" s="434"/>
      <c r="M73" s="423"/>
      <c r="N73" s="423"/>
      <c r="O73" s="423"/>
      <c r="P73" s="423"/>
      <c r="Q73" s="440"/>
      <c r="R73" s="440"/>
      <c r="S73" s="440"/>
      <c r="T73" s="440"/>
      <c r="U73" s="422"/>
      <c r="V73" s="422"/>
    </row>
    <row r="74" spans="1:22">
      <c r="A74" s="91">
        <v>62</v>
      </c>
      <c r="B74" s="243"/>
      <c r="C74" s="434"/>
      <c r="D74" s="434"/>
      <c r="E74" s="434"/>
      <c r="F74" s="434"/>
      <c r="G74" s="434"/>
      <c r="H74" s="434"/>
      <c r="I74" s="434"/>
      <c r="J74" s="434"/>
      <c r="K74" s="434"/>
      <c r="L74" s="434"/>
      <c r="M74" s="423"/>
      <c r="N74" s="423"/>
      <c r="O74" s="423"/>
      <c r="P74" s="423"/>
      <c r="Q74" s="440"/>
      <c r="R74" s="440"/>
      <c r="S74" s="440"/>
      <c r="T74" s="440"/>
      <c r="U74" s="422"/>
      <c r="V74" s="422"/>
    </row>
    <row r="75" spans="1:22">
      <c r="A75" s="91">
        <v>63</v>
      </c>
      <c r="B75" s="243"/>
      <c r="C75" s="434"/>
      <c r="D75" s="434"/>
      <c r="E75" s="434"/>
      <c r="F75" s="434"/>
      <c r="G75" s="434"/>
      <c r="H75" s="434"/>
      <c r="I75" s="434"/>
      <c r="J75" s="434"/>
      <c r="K75" s="434"/>
      <c r="L75" s="434"/>
      <c r="M75" s="423"/>
      <c r="N75" s="423"/>
      <c r="O75" s="423"/>
      <c r="P75" s="423"/>
      <c r="Q75" s="440"/>
      <c r="R75" s="440"/>
      <c r="S75" s="440"/>
      <c r="T75" s="440"/>
      <c r="U75" s="422"/>
      <c r="V75" s="422"/>
    </row>
    <row r="76" spans="1:22">
      <c r="A76" s="91">
        <v>64</v>
      </c>
      <c r="B76" s="243"/>
      <c r="C76" s="434"/>
      <c r="D76" s="434"/>
      <c r="E76" s="434"/>
      <c r="F76" s="434"/>
      <c r="G76" s="434"/>
      <c r="H76" s="434"/>
      <c r="I76" s="434"/>
      <c r="J76" s="434"/>
      <c r="K76" s="434"/>
      <c r="L76" s="434"/>
      <c r="M76" s="423"/>
      <c r="N76" s="423"/>
      <c r="O76" s="423"/>
      <c r="P76" s="423"/>
      <c r="Q76" s="440"/>
      <c r="R76" s="440"/>
      <c r="S76" s="440"/>
      <c r="T76" s="440"/>
      <c r="U76" s="422"/>
      <c r="V76" s="422"/>
    </row>
    <row r="77" spans="1:22">
      <c r="A77" s="91">
        <v>65</v>
      </c>
      <c r="B77" s="243"/>
      <c r="C77" s="434"/>
      <c r="D77" s="434"/>
      <c r="E77" s="434"/>
      <c r="F77" s="434"/>
      <c r="G77" s="434"/>
      <c r="H77" s="434"/>
      <c r="I77" s="434"/>
      <c r="J77" s="434"/>
      <c r="K77" s="434"/>
      <c r="L77" s="434"/>
      <c r="M77" s="423"/>
      <c r="N77" s="423"/>
      <c r="O77" s="423"/>
      <c r="P77" s="423"/>
      <c r="Q77" s="440"/>
      <c r="R77" s="440"/>
      <c r="S77" s="440"/>
      <c r="T77" s="440"/>
      <c r="U77" s="422"/>
      <c r="V77" s="422"/>
    </row>
    <row r="78" spans="1:22">
      <c r="A78" s="91">
        <v>66</v>
      </c>
      <c r="B78" s="243"/>
      <c r="C78" s="434"/>
      <c r="D78" s="434"/>
      <c r="E78" s="434"/>
      <c r="F78" s="434"/>
      <c r="G78" s="434"/>
      <c r="H78" s="434"/>
      <c r="I78" s="434"/>
      <c r="J78" s="434"/>
      <c r="K78" s="434"/>
      <c r="L78" s="434"/>
      <c r="M78" s="423"/>
      <c r="N78" s="423"/>
      <c r="O78" s="423"/>
      <c r="P78" s="423"/>
      <c r="Q78" s="440"/>
      <c r="R78" s="440"/>
      <c r="S78" s="440"/>
      <c r="T78" s="440"/>
      <c r="U78" s="422"/>
      <c r="V78" s="422"/>
    </row>
    <row r="79" spans="1:22">
      <c r="A79" s="91">
        <v>67</v>
      </c>
      <c r="B79" s="243"/>
      <c r="C79" s="434"/>
      <c r="D79" s="434"/>
      <c r="E79" s="434"/>
      <c r="F79" s="434"/>
      <c r="G79" s="434"/>
      <c r="H79" s="434"/>
      <c r="I79" s="434"/>
      <c r="J79" s="434"/>
      <c r="K79" s="434"/>
      <c r="L79" s="434"/>
      <c r="M79" s="423"/>
      <c r="N79" s="423"/>
      <c r="O79" s="423"/>
      <c r="P79" s="423"/>
      <c r="Q79" s="440"/>
      <c r="R79" s="440"/>
      <c r="S79" s="440"/>
      <c r="T79" s="440"/>
      <c r="U79" s="422"/>
      <c r="V79" s="422"/>
    </row>
    <row r="80" spans="1:22">
      <c r="A80" s="91">
        <v>68</v>
      </c>
      <c r="B80" s="243"/>
      <c r="C80" s="434"/>
      <c r="D80" s="434"/>
      <c r="E80" s="434"/>
      <c r="F80" s="434"/>
      <c r="G80" s="434"/>
      <c r="H80" s="434"/>
      <c r="I80" s="434"/>
      <c r="J80" s="434"/>
      <c r="K80" s="434"/>
      <c r="L80" s="434"/>
      <c r="M80" s="423"/>
      <c r="N80" s="423"/>
      <c r="O80" s="423"/>
      <c r="P80" s="423"/>
      <c r="Q80" s="440"/>
      <c r="R80" s="440"/>
      <c r="S80" s="440"/>
      <c r="T80" s="440"/>
      <c r="U80" s="422"/>
      <c r="V80" s="422"/>
    </row>
    <row r="81" spans="1:22">
      <c r="A81" s="91">
        <v>69</v>
      </c>
      <c r="B81" s="243"/>
      <c r="C81" s="434"/>
      <c r="D81" s="434"/>
      <c r="E81" s="434"/>
      <c r="F81" s="434"/>
      <c r="G81" s="434"/>
      <c r="H81" s="434"/>
      <c r="I81" s="434"/>
      <c r="J81" s="434"/>
      <c r="K81" s="434"/>
      <c r="L81" s="434"/>
      <c r="M81" s="423"/>
      <c r="N81" s="423"/>
      <c r="O81" s="423"/>
      <c r="P81" s="423"/>
      <c r="Q81" s="440"/>
      <c r="R81" s="440"/>
      <c r="S81" s="440"/>
      <c r="T81" s="440"/>
      <c r="U81" s="422"/>
      <c r="V81" s="422"/>
    </row>
    <row r="82" spans="1:22">
      <c r="A82" s="91">
        <v>70</v>
      </c>
      <c r="B82" s="243"/>
      <c r="C82" s="434"/>
      <c r="D82" s="434"/>
      <c r="E82" s="434"/>
      <c r="F82" s="434"/>
      <c r="G82" s="434"/>
      <c r="H82" s="434"/>
      <c r="I82" s="434"/>
      <c r="J82" s="434"/>
      <c r="K82" s="434"/>
      <c r="L82" s="434"/>
      <c r="M82" s="423"/>
      <c r="N82" s="423"/>
      <c r="O82" s="423"/>
      <c r="P82" s="423"/>
      <c r="Q82" s="440"/>
      <c r="R82" s="440"/>
      <c r="S82" s="440"/>
      <c r="T82" s="440"/>
      <c r="U82" s="422"/>
      <c r="V82" s="422"/>
    </row>
    <row r="83" spans="1:22">
      <c r="A83" s="91">
        <v>71</v>
      </c>
      <c r="B83" s="243"/>
      <c r="C83" s="434"/>
      <c r="D83" s="434"/>
      <c r="E83" s="434"/>
      <c r="F83" s="434"/>
      <c r="G83" s="434"/>
      <c r="H83" s="434"/>
      <c r="I83" s="434"/>
      <c r="J83" s="434"/>
      <c r="K83" s="434"/>
      <c r="L83" s="434"/>
      <c r="M83" s="423"/>
      <c r="N83" s="423"/>
      <c r="O83" s="423"/>
      <c r="P83" s="423"/>
      <c r="Q83" s="440"/>
      <c r="R83" s="440"/>
      <c r="S83" s="440"/>
      <c r="T83" s="440"/>
      <c r="U83" s="422"/>
      <c r="V83" s="422"/>
    </row>
    <row r="84" spans="1:22">
      <c r="A84" s="91">
        <v>72</v>
      </c>
      <c r="B84" s="243"/>
      <c r="C84" s="434"/>
      <c r="D84" s="434"/>
      <c r="E84" s="434"/>
      <c r="F84" s="434"/>
      <c r="G84" s="434"/>
      <c r="H84" s="434"/>
      <c r="I84" s="434"/>
      <c r="J84" s="434"/>
      <c r="K84" s="434"/>
      <c r="L84" s="434"/>
      <c r="M84" s="423"/>
      <c r="N84" s="423"/>
      <c r="O84" s="423"/>
      <c r="P84" s="423"/>
      <c r="Q84" s="440"/>
      <c r="R84" s="440"/>
      <c r="S84" s="440"/>
      <c r="T84" s="440"/>
      <c r="U84" s="422"/>
      <c r="V84" s="422"/>
    </row>
    <row r="85" spans="1:22">
      <c r="A85" s="91">
        <v>73</v>
      </c>
      <c r="B85" s="243"/>
      <c r="C85" s="434"/>
      <c r="D85" s="434"/>
      <c r="E85" s="434"/>
      <c r="F85" s="434"/>
      <c r="G85" s="434"/>
      <c r="H85" s="434"/>
      <c r="I85" s="434"/>
      <c r="J85" s="434"/>
      <c r="K85" s="434"/>
      <c r="L85" s="434"/>
      <c r="M85" s="423"/>
      <c r="N85" s="423"/>
      <c r="O85" s="423"/>
      <c r="P85" s="423"/>
      <c r="Q85" s="440"/>
      <c r="R85" s="440"/>
      <c r="S85" s="440"/>
      <c r="T85" s="440"/>
      <c r="U85" s="422"/>
      <c r="V85" s="422"/>
    </row>
    <row r="86" spans="1:22">
      <c r="A86" s="91">
        <v>74</v>
      </c>
      <c r="B86" s="243"/>
      <c r="C86" s="434"/>
      <c r="D86" s="434"/>
      <c r="E86" s="434"/>
      <c r="F86" s="434"/>
      <c r="G86" s="434"/>
      <c r="H86" s="434"/>
      <c r="I86" s="434"/>
      <c r="J86" s="434"/>
      <c r="K86" s="434"/>
      <c r="L86" s="434"/>
      <c r="M86" s="423"/>
      <c r="N86" s="423"/>
      <c r="O86" s="423"/>
      <c r="P86" s="423"/>
      <c r="Q86" s="440"/>
      <c r="R86" s="440"/>
      <c r="S86" s="440"/>
      <c r="T86" s="440"/>
      <c r="U86" s="422"/>
      <c r="V86" s="422"/>
    </row>
    <row r="87" spans="1:22">
      <c r="A87" s="91">
        <v>75</v>
      </c>
      <c r="B87" s="243"/>
      <c r="C87" s="434"/>
      <c r="D87" s="434"/>
      <c r="E87" s="434"/>
      <c r="F87" s="434"/>
      <c r="G87" s="434"/>
      <c r="H87" s="434"/>
      <c r="I87" s="434"/>
      <c r="J87" s="434"/>
      <c r="K87" s="434"/>
      <c r="L87" s="434"/>
      <c r="M87" s="423"/>
      <c r="N87" s="423"/>
      <c r="O87" s="423"/>
      <c r="P87" s="423"/>
      <c r="Q87" s="440"/>
      <c r="R87" s="440"/>
      <c r="S87" s="440"/>
      <c r="T87" s="440"/>
      <c r="U87" s="422"/>
      <c r="V87" s="422"/>
    </row>
    <row r="88" spans="1:22">
      <c r="A88" s="91">
        <v>76</v>
      </c>
      <c r="B88" s="243"/>
      <c r="C88" s="435"/>
      <c r="D88" s="436"/>
      <c r="E88" s="436"/>
      <c r="F88" s="436"/>
      <c r="G88" s="436"/>
      <c r="H88" s="436"/>
      <c r="I88" s="436"/>
      <c r="J88" s="436"/>
      <c r="K88" s="436"/>
      <c r="L88" s="437"/>
      <c r="M88" s="438"/>
      <c r="N88" s="439"/>
      <c r="O88" s="423"/>
      <c r="P88" s="423"/>
      <c r="Q88" s="440"/>
      <c r="R88" s="440"/>
      <c r="S88" s="440"/>
      <c r="T88" s="440"/>
      <c r="U88" s="422"/>
      <c r="V88" s="422"/>
    </row>
    <row r="89" spans="1:22">
      <c r="A89" s="91">
        <v>77</v>
      </c>
      <c r="B89" s="243"/>
      <c r="C89" s="435"/>
      <c r="D89" s="436"/>
      <c r="E89" s="436"/>
      <c r="F89" s="436"/>
      <c r="G89" s="436"/>
      <c r="H89" s="436"/>
      <c r="I89" s="436"/>
      <c r="J89" s="436"/>
      <c r="K89" s="436"/>
      <c r="L89" s="437"/>
      <c r="M89" s="438"/>
      <c r="N89" s="439"/>
      <c r="O89" s="423"/>
      <c r="P89" s="423"/>
      <c r="Q89" s="440"/>
      <c r="R89" s="440"/>
      <c r="S89" s="440"/>
      <c r="T89" s="440"/>
      <c r="U89" s="422"/>
      <c r="V89" s="422"/>
    </row>
    <row r="90" spans="1:22">
      <c r="A90" s="91">
        <v>78</v>
      </c>
      <c r="B90" s="243"/>
      <c r="C90" s="435"/>
      <c r="D90" s="436"/>
      <c r="E90" s="436"/>
      <c r="F90" s="436"/>
      <c r="G90" s="436"/>
      <c r="H90" s="436"/>
      <c r="I90" s="436"/>
      <c r="J90" s="436"/>
      <c r="K90" s="436"/>
      <c r="L90" s="437"/>
      <c r="M90" s="438"/>
      <c r="N90" s="439"/>
      <c r="O90" s="423"/>
      <c r="P90" s="423"/>
      <c r="Q90" s="440"/>
      <c r="R90" s="440"/>
      <c r="S90" s="440"/>
      <c r="T90" s="440"/>
      <c r="U90" s="422"/>
      <c r="V90" s="422"/>
    </row>
    <row r="91" spans="1:22">
      <c r="A91" s="91">
        <v>79</v>
      </c>
      <c r="B91" s="243"/>
      <c r="C91" s="434"/>
      <c r="D91" s="434"/>
      <c r="E91" s="434"/>
      <c r="F91" s="434"/>
      <c r="G91" s="434"/>
      <c r="H91" s="434"/>
      <c r="I91" s="434"/>
      <c r="J91" s="434"/>
      <c r="K91" s="434"/>
      <c r="L91" s="434"/>
      <c r="M91" s="423"/>
      <c r="N91" s="423"/>
      <c r="O91" s="423"/>
      <c r="P91" s="423"/>
      <c r="Q91" s="440"/>
      <c r="R91" s="440"/>
      <c r="S91" s="440"/>
      <c r="T91" s="440"/>
      <c r="U91" s="422"/>
      <c r="V91" s="422"/>
    </row>
    <row r="92" spans="1:22">
      <c r="A92" s="91">
        <v>80</v>
      </c>
      <c r="B92" s="243"/>
      <c r="C92" s="434"/>
      <c r="D92" s="434"/>
      <c r="E92" s="434"/>
      <c r="F92" s="434"/>
      <c r="G92" s="434"/>
      <c r="H92" s="434"/>
      <c r="I92" s="434"/>
      <c r="J92" s="434"/>
      <c r="K92" s="434"/>
      <c r="L92" s="434"/>
      <c r="M92" s="423"/>
      <c r="N92" s="423"/>
      <c r="O92" s="423"/>
      <c r="P92" s="423"/>
      <c r="Q92" s="440"/>
      <c r="R92" s="440"/>
      <c r="S92" s="440"/>
      <c r="T92" s="440"/>
      <c r="U92" s="422"/>
      <c r="V92" s="422"/>
    </row>
    <row r="93" spans="1:22">
      <c r="A93" s="91">
        <v>81</v>
      </c>
      <c r="B93" s="243"/>
      <c r="C93" s="434"/>
      <c r="D93" s="434"/>
      <c r="E93" s="434"/>
      <c r="F93" s="434"/>
      <c r="G93" s="434"/>
      <c r="H93" s="434"/>
      <c r="I93" s="434"/>
      <c r="J93" s="434"/>
      <c r="K93" s="434"/>
      <c r="L93" s="434"/>
      <c r="M93" s="423"/>
      <c r="N93" s="423"/>
      <c r="O93" s="423"/>
      <c r="P93" s="423"/>
      <c r="Q93" s="440"/>
      <c r="R93" s="440"/>
      <c r="S93" s="440"/>
      <c r="T93" s="440"/>
      <c r="U93" s="422"/>
      <c r="V93" s="422"/>
    </row>
    <row r="94" spans="1:22">
      <c r="A94" s="91">
        <v>82</v>
      </c>
      <c r="B94" s="243"/>
      <c r="C94" s="434"/>
      <c r="D94" s="434"/>
      <c r="E94" s="434"/>
      <c r="F94" s="434"/>
      <c r="G94" s="434"/>
      <c r="H94" s="434"/>
      <c r="I94" s="434"/>
      <c r="J94" s="434"/>
      <c r="K94" s="434"/>
      <c r="L94" s="434"/>
      <c r="M94" s="423"/>
      <c r="N94" s="423"/>
      <c r="O94" s="423"/>
      <c r="P94" s="423"/>
      <c r="Q94" s="440"/>
      <c r="R94" s="440"/>
      <c r="S94" s="440"/>
      <c r="T94" s="440"/>
      <c r="U94" s="422"/>
      <c r="V94" s="422"/>
    </row>
    <row r="95" spans="1:22">
      <c r="A95" s="91">
        <v>83</v>
      </c>
      <c r="B95" s="243"/>
      <c r="C95" s="434"/>
      <c r="D95" s="434"/>
      <c r="E95" s="434"/>
      <c r="F95" s="434"/>
      <c r="G95" s="434"/>
      <c r="H95" s="434"/>
      <c r="I95" s="434"/>
      <c r="J95" s="434"/>
      <c r="K95" s="434"/>
      <c r="L95" s="434"/>
      <c r="M95" s="423"/>
      <c r="N95" s="423"/>
      <c r="O95" s="423"/>
      <c r="P95" s="423"/>
      <c r="Q95" s="440"/>
      <c r="R95" s="440"/>
      <c r="S95" s="440"/>
      <c r="T95" s="440"/>
      <c r="U95" s="422"/>
      <c r="V95" s="422"/>
    </row>
    <row r="96" spans="1:22">
      <c r="A96" s="91">
        <v>84</v>
      </c>
      <c r="B96" s="243"/>
      <c r="C96" s="434"/>
      <c r="D96" s="434"/>
      <c r="E96" s="434"/>
      <c r="F96" s="434"/>
      <c r="G96" s="434"/>
      <c r="H96" s="434"/>
      <c r="I96" s="434"/>
      <c r="J96" s="434"/>
      <c r="K96" s="434"/>
      <c r="L96" s="434"/>
      <c r="M96" s="423"/>
      <c r="N96" s="423"/>
      <c r="O96" s="423"/>
      <c r="P96" s="423"/>
      <c r="Q96" s="440"/>
      <c r="R96" s="440"/>
      <c r="S96" s="440"/>
      <c r="T96" s="440"/>
      <c r="U96" s="422"/>
      <c r="V96" s="422"/>
    </row>
    <row r="97" spans="1:23">
      <c r="A97" s="91">
        <v>85</v>
      </c>
      <c r="B97" s="243"/>
      <c r="C97" s="434"/>
      <c r="D97" s="434"/>
      <c r="E97" s="434"/>
      <c r="F97" s="434"/>
      <c r="G97" s="434"/>
      <c r="H97" s="434"/>
      <c r="I97" s="434"/>
      <c r="J97" s="434"/>
      <c r="K97" s="434"/>
      <c r="L97" s="434"/>
      <c r="M97" s="423"/>
      <c r="N97" s="423"/>
      <c r="O97" s="423"/>
      <c r="P97" s="423"/>
      <c r="Q97" s="440"/>
      <c r="R97" s="440"/>
      <c r="S97" s="440"/>
      <c r="T97" s="440"/>
      <c r="U97" s="422"/>
      <c r="V97" s="422"/>
    </row>
    <row r="98" spans="1:23">
      <c r="A98" s="91">
        <v>86</v>
      </c>
      <c r="B98" s="243"/>
      <c r="C98" s="434"/>
      <c r="D98" s="434"/>
      <c r="E98" s="434"/>
      <c r="F98" s="434"/>
      <c r="G98" s="434"/>
      <c r="H98" s="434"/>
      <c r="I98" s="434"/>
      <c r="J98" s="434"/>
      <c r="K98" s="434"/>
      <c r="L98" s="434"/>
      <c r="M98" s="423"/>
      <c r="N98" s="423"/>
      <c r="O98" s="423"/>
      <c r="P98" s="423"/>
      <c r="Q98" s="440"/>
      <c r="R98" s="440"/>
      <c r="S98" s="440"/>
      <c r="T98" s="440"/>
      <c r="U98" s="422"/>
      <c r="V98" s="422"/>
    </row>
    <row r="99" spans="1:23">
      <c r="A99" s="91">
        <v>87</v>
      </c>
      <c r="B99" s="243"/>
      <c r="C99" s="430"/>
      <c r="D99" s="430"/>
      <c r="E99" s="430"/>
      <c r="F99" s="430"/>
      <c r="G99" s="430"/>
      <c r="H99" s="430"/>
      <c r="I99" s="430"/>
      <c r="J99" s="430"/>
      <c r="K99" s="430"/>
      <c r="L99" s="430"/>
      <c r="M99" s="423"/>
      <c r="N99" s="423"/>
      <c r="O99" s="423"/>
      <c r="P99" s="423"/>
      <c r="Q99" s="440"/>
      <c r="R99" s="440"/>
      <c r="S99" s="440"/>
      <c r="T99" s="440"/>
      <c r="U99" s="422"/>
      <c r="V99" s="422"/>
    </row>
    <row r="100" spans="1:23">
      <c r="A100" s="91">
        <v>88</v>
      </c>
      <c r="B100" s="243"/>
      <c r="C100" s="430"/>
      <c r="D100" s="430"/>
      <c r="E100" s="430"/>
      <c r="F100" s="430"/>
      <c r="G100" s="430"/>
      <c r="H100" s="430"/>
      <c r="I100" s="430"/>
      <c r="J100" s="430"/>
      <c r="K100" s="430"/>
      <c r="L100" s="430"/>
      <c r="M100" s="423"/>
      <c r="N100" s="423"/>
      <c r="O100" s="423"/>
      <c r="P100" s="423"/>
      <c r="Q100" s="440"/>
      <c r="R100" s="440"/>
      <c r="S100" s="440"/>
      <c r="T100" s="440"/>
      <c r="U100" s="422"/>
      <c r="V100" s="422"/>
    </row>
    <row r="101" spans="1:23">
      <c r="A101" s="91">
        <v>89</v>
      </c>
      <c r="B101" s="243"/>
      <c r="C101" s="430"/>
      <c r="D101" s="430"/>
      <c r="E101" s="430"/>
      <c r="F101" s="430"/>
      <c r="G101" s="430"/>
      <c r="H101" s="430"/>
      <c r="I101" s="430"/>
      <c r="J101" s="430"/>
      <c r="K101" s="430"/>
      <c r="L101" s="430"/>
      <c r="M101" s="423"/>
      <c r="N101" s="423"/>
      <c r="O101" s="423"/>
      <c r="P101" s="423"/>
      <c r="Q101" s="440"/>
      <c r="R101" s="440"/>
      <c r="S101" s="440"/>
      <c r="T101" s="440"/>
      <c r="U101" s="422"/>
      <c r="V101" s="422"/>
    </row>
    <row r="102" spans="1:23">
      <c r="A102" s="91">
        <v>90</v>
      </c>
      <c r="B102" s="243"/>
      <c r="C102" s="430"/>
      <c r="D102" s="430"/>
      <c r="E102" s="430"/>
      <c r="F102" s="430"/>
      <c r="G102" s="430"/>
      <c r="H102" s="430"/>
      <c r="I102" s="430"/>
      <c r="J102" s="430"/>
      <c r="K102" s="430"/>
      <c r="L102" s="430"/>
      <c r="M102" s="423"/>
      <c r="N102" s="423"/>
      <c r="O102" s="423"/>
      <c r="P102" s="423"/>
      <c r="Q102" s="440"/>
      <c r="R102" s="440"/>
      <c r="S102" s="440"/>
      <c r="T102" s="440"/>
      <c r="U102" s="422"/>
      <c r="V102" s="422"/>
    </row>
    <row r="103" spans="1:23">
      <c r="A103" s="91">
        <v>91</v>
      </c>
      <c r="B103" s="243"/>
      <c r="C103" s="430"/>
      <c r="D103" s="430"/>
      <c r="E103" s="430"/>
      <c r="F103" s="430"/>
      <c r="G103" s="430"/>
      <c r="H103" s="430"/>
      <c r="I103" s="430"/>
      <c r="J103" s="430"/>
      <c r="K103" s="430"/>
      <c r="L103" s="430"/>
      <c r="M103" s="423"/>
      <c r="N103" s="423"/>
      <c r="O103" s="423"/>
      <c r="P103" s="423"/>
      <c r="Q103" s="440"/>
      <c r="R103" s="440"/>
      <c r="S103" s="440"/>
      <c r="T103" s="440"/>
      <c r="U103" s="422"/>
      <c r="V103" s="422"/>
    </row>
    <row r="104" spans="1:23">
      <c r="A104" s="91">
        <v>92</v>
      </c>
      <c r="B104" s="243"/>
      <c r="C104" s="431"/>
      <c r="D104" s="432"/>
      <c r="E104" s="432"/>
      <c r="F104" s="432"/>
      <c r="G104" s="432"/>
      <c r="H104" s="432"/>
      <c r="I104" s="432"/>
      <c r="J104" s="432"/>
      <c r="K104" s="432"/>
      <c r="L104" s="433"/>
      <c r="M104" s="423"/>
      <c r="N104" s="423"/>
      <c r="O104" s="423"/>
      <c r="P104" s="423"/>
      <c r="Q104" s="440"/>
      <c r="R104" s="440"/>
      <c r="S104" s="440"/>
      <c r="T104" s="440"/>
      <c r="U104" s="422"/>
      <c r="V104" s="422"/>
      <c r="W104" s="93"/>
    </row>
    <row r="105" spans="1:23">
      <c r="A105" s="91">
        <v>93</v>
      </c>
      <c r="B105" s="243"/>
      <c r="C105" s="424"/>
      <c r="D105" s="425"/>
      <c r="E105" s="425"/>
      <c r="F105" s="425"/>
      <c r="G105" s="425"/>
      <c r="H105" s="425"/>
      <c r="I105" s="425"/>
      <c r="J105" s="425"/>
      <c r="K105" s="425"/>
      <c r="L105" s="426"/>
      <c r="M105" s="415"/>
      <c r="N105" s="415"/>
      <c r="O105" s="423"/>
      <c r="P105" s="423"/>
      <c r="Q105" s="440"/>
      <c r="R105" s="440"/>
      <c r="S105" s="440"/>
      <c r="T105" s="440"/>
      <c r="U105" s="422"/>
      <c r="V105" s="422"/>
      <c r="W105" s="93"/>
    </row>
    <row r="106" spans="1:23">
      <c r="A106" s="91">
        <v>94</v>
      </c>
      <c r="B106" s="243"/>
      <c r="C106" s="424"/>
      <c r="D106" s="425"/>
      <c r="E106" s="425"/>
      <c r="F106" s="425"/>
      <c r="G106" s="425"/>
      <c r="H106" s="425"/>
      <c r="I106" s="425"/>
      <c r="J106" s="425"/>
      <c r="K106" s="425"/>
      <c r="L106" s="426"/>
      <c r="M106" s="415"/>
      <c r="N106" s="415"/>
      <c r="O106" s="423"/>
      <c r="P106" s="423"/>
      <c r="Q106" s="440"/>
      <c r="R106" s="440"/>
      <c r="S106" s="440"/>
      <c r="T106" s="440"/>
      <c r="U106" s="422"/>
      <c r="V106" s="422"/>
      <c r="W106" s="93"/>
    </row>
    <row r="107" spans="1:23">
      <c r="A107" s="91">
        <v>95</v>
      </c>
      <c r="B107" s="243"/>
      <c r="C107" s="424"/>
      <c r="D107" s="425"/>
      <c r="E107" s="425"/>
      <c r="F107" s="425"/>
      <c r="G107" s="425"/>
      <c r="H107" s="425"/>
      <c r="I107" s="425"/>
      <c r="J107" s="425"/>
      <c r="K107" s="425"/>
      <c r="L107" s="426"/>
      <c r="M107" s="415"/>
      <c r="N107" s="415"/>
      <c r="O107" s="423"/>
      <c r="P107" s="423"/>
      <c r="Q107" s="440"/>
      <c r="R107" s="440"/>
      <c r="S107" s="440"/>
      <c r="T107" s="440"/>
      <c r="U107" s="422"/>
      <c r="V107" s="422"/>
      <c r="W107" s="93"/>
    </row>
    <row r="108" spans="1:23">
      <c r="A108" s="91">
        <v>96</v>
      </c>
      <c r="B108" s="243"/>
      <c r="C108" s="424"/>
      <c r="D108" s="425"/>
      <c r="E108" s="425"/>
      <c r="F108" s="425"/>
      <c r="G108" s="425"/>
      <c r="H108" s="425"/>
      <c r="I108" s="425"/>
      <c r="J108" s="425"/>
      <c r="K108" s="425"/>
      <c r="L108" s="426"/>
      <c r="M108" s="415"/>
      <c r="N108" s="415"/>
      <c r="O108" s="423"/>
      <c r="P108" s="423"/>
      <c r="Q108" s="440"/>
      <c r="R108" s="440"/>
      <c r="S108" s="440"/>
      <c r="T108" s="440"/>
      <c r="U108" s="422"/>
      <c r="V108" s="422"/>
      <c r="W108" s="93"/>
    </row>
    <row r="109" spans="1:23">
      <c r="A109" s="91">
        <v>97</v>
      </c>
      <c r="B109" s="243"/>
      <c r="C109" s="424"/>
      <c r="D109" s="425"/>
      <c r="E109" s="425"/>
      <c r="F109" s="425"/>
      <c r="G109" s="425"/>
      <c r="H109" s="425"/>
      <c r="I109" s="425"/>
      <c r="J109" s="425"/>
      <c r="K109" s="425"/>
      <c r="L109" s="426"/>
      <c r="M109" s="415"/>
      <c r="N109" s="415"/>
      <c r="O109" s="423"/>
      <c r="P109" s="423"/>
      <c r="Q109" s="440"/>
      <c r="R109" s="440"/>
      <c r="S109" s="440"/>
      <c r="T109" s="440"/>
      <c r="U109" s="422"/>
      <c r="V109" s="422"/>
      <c r="W109" s="93"/>
    </row>
    <row r="110" spans="1:23">
      <c r="A110" s="91">
        <v>98</v>
      </c>
      <c r="B110" s="243"/>
      <c r="C110" s="424"/>
      <c r="D110" s="425"/>
      <c r="E110" s="425"/>
      <c r="F110" s="425"/>
      <c r="G110" s="425"/>
      <c r="H110" s="425"/>
      <c r="I110" s="425"/>
      <c r="J110" s="425"/>
      <c r="K110" s="425"/>
      <c r="L110" s="426"/>
      <c r="M110" s="415"/>
      <c r="N110" s="415"/>
      <c r="O110" s="423"/>
      <c r="P110" s="423"/>
      <c r="Q110" s="440"/>
      <c r="R110" s="440"/>
      <c r="S110" s="440"/>
      <c r="T110" s="440"/>
      <c r="U110" s="422"/>
      <c r="V110" s="422"/>
      <c r="W110" s="93"/>
    </row>
    <row r="111" spans="1:23">
      <c r="A111" s="91">
        <v>99</v>
      </c>
      <c r="B111" s="243"/>
      <c r="C111" s="424"/>
      <c r="D111" s="425"/>
      <c r="E111" s="425"/>
      <c r="F111" s="425"/>
      <c r="G111" s="425"/>
      <c r="H111" s="425"/>
      <c r="I111" s="425"/>
      <c r="J111" s="425"/>
      <c r="K111" s="425"/>
      <c r="L111" s="426"/>
      <c r="M111" s="415"/>
      <c r="N111" s="415"/>
      <c r="O111" s="423"/>
      <c r="P111" s="423"/>
      <c r="Q111" s="440"/>
      <c r="R111" s="440"/>
      <c r="S111" s="440"/>
      <c r="T111" s="440"/>
      <c r="U111" s="422"/>
      <c r="V111" s="422"/>
      <c r="W111" s="93"/>
    </row>
    <row r="112" spans="1:23">
      <c r="A112" s="91">
        <v>100</v>
      </c>
      <c r="B112" s="243"/>
      <c r="C112" s="424"/>
      <c r="D112" s="425"/>
      <c r="E112" s="425"/>
      <c r="F112" s="425"/>
      <c r="G112" s="425"/>
      <c r="H112" s="425"/>
      <c r="I112" s="425"/>
      <c r="J112" s="425"/>
      <c r="K112" s="425"/>
      <c r="L112" s="426"/>
      <c r="M112" s="415"/>
      <c r="N112" s="415"/>
      <c r="O112" s="423"/>
      <c r="P112" s="423"/>
      <c r="Q112" s="440"/>
      <c r="R112" s="440"/>
      <c r="S112" s="440"/>
      <c r="T112" s="440"/>
      <c r="U112" s="422"/>
      <c r="V112" s="422"/>
      <c r="W112" s="93"/>
    </row>
    <row r="113" spans="1:23">
      <c r="A113" s="91">
        <v>101</v>
      </c>
      <c r="B113" s="243"/>
      <c r="C113" s="424"/>
      <c r="D113" s="425"/>
      <c r="E113" s="425"/>
      <c r="F113" s="425"/>
      <c r="G113" s="425"/>
      <c r="H113" s="425"/>
      <c r="I113" s="425"/>
      <c r="J113" s="425"/>
      <c r="K113" s="425"/>
      <c r="L113" s="426"/>
      <c r="M113" s="415"/>
      <c r="N113" s="415"/>
      <c r="O113" s="423"/>
      <c r="P113" s="423"/>
      <c r="Q113" s="440"/>
      <c r="R113" s="440"/>
      <c r="S113" s="440"/>
      <c r="T113" s="440"/>
      <c r="U113" s="422"/>
      <c r="V113" s="422"/>
      <c r="W113" s="93"/>
    </row>
    <row r="114" spans="1:23">
      <c r="A114" s="91">
        <v>102</v>
      </c>
      <c r="B114" s="243"/>
      <c r="C114" s="424"/>
      <c r="D114" s="425"/>
      <c r="E114" s="425"/>
      <c r="F114" s="425"/>
      <c r="G114" s="425"/>
      <c r="H114" s="425"/>
      <c r="I114" s="425"/>
      <c r="J114" s="425"/>
      <c r="K114" s="425"/>
      <c r="L114" s="426"/>
      <c r="M114" s="415"/>
      <c r="N114" s="415"/>
      <c r="O114" s="423"/>
      <c r="P114" s="423"/>
      <c r="Q114" s="440"/>
      <c r="R114" s="440"/>
      <c r="S114" s="440"/>
      <c r="T114" s="440"/>
      <c r="U114" s="422"/>
      <c r="V114" s="422"/>
      <c r="W114" s="93"/>
    </row>
    <row r="115" spans="1:23">
      <c r="A115" s="91">
        <v>103</v>
      </c>
      <c r="B115" s="243"/>
      <c r="C115" s="424"/>
      <c r="D115" s="425"/>
      <c r="E115" s="425"/>
      <c r="F115" s="425"/>
      <c r="G115" s="425"/>
      <c r="H115" s="425"/>
      <c r="I115" s="425"/>
      <c r="J115" s="425"/>
      <c r="K115" s="425"/>
      <c r="L115" s="426"/>
      <c r="M115" s="415"/>
      <c r="N115" s="415"/>
      <c r="O115" s="423"/>
      <c r="P115" s="423"/>
      <c r="Q115" s="440"/>
      <c r="R115" s="440"/>
      <c r="S115" s="440"/>
      <c r="T115" s="440"/>
      <c r="U115" s="422"/>
      <c r="V115" s="422"/>
      <c r="W115" s="93"/>
    </row>
    <row r="116" spans="1:23">
      <c r="A116" s="91">
        <v>104</v>
      </c>
      <c r="B116" s="243"/>
      <c r="C116" s="424"/>
      <c r="D116" s="425"/>
      <c r="E116" s="425"/>
      <c r="F116" s="425"/>
      <c r="G116" s="425"/>
      <c r="H116" s="425"/>
      <c r="I116" s="425"/>
      <c r="J116" s="425"/>
      <c r="K116" s="425"/>
      <c r="L116" s="426"/>
      <c r="M116" s="415"/>
      <c r="N116" s="415"/>
      <c r="O116" s="423"/>
      <c r="P116" s="423"/>
      <c r="Q116" s="440"/>
      <c r="R116" s="440"/>
      <c r="S116" s="440"/>
      <c r="T116" s="440"/>
      <c r="U116" s="422"/>
      <c r="V116" s="422"/>
      <c r="W116" s="93"/>
    </row>
    <row r="117" spans="1:23">
      <c r="A117" s="91">
        <v>105</v>
      </c>
      <c r="B117" s="243"/>
      <c r="C117" s="427"/>
      <c r="D117" s="428"/>
      <c r="E117" s="428"/>
      <c r="F117" s="428"/>
      <c r="G117" s="428"/>
      <c r="H117" s="428"/>
      <c r="I117" s="428"/>
      <c r="J117" s="428"/>
      <c r="K117" s="428"/>
      <c r="L117" s="429"/>
      <c r="M117" s="415"/>
      <c r="N117" s="415"/>
      <c r="O117" s="423"/>
      <c r="P117" s="423"/>
      <c r="Q117" s="440"/>
      <c r="R117" s="440"/>
      <c r="S117" s="440"/>
      <c r="T117" s="440"/>
      <c r="U117" s="422"/>
      <c r="V117" s="422"/>
      <c r="W117" s="93"/>
    </row>
    <row r="118" spans="1:23">
      <c r="A118" s="91">
        <v>106</v>
      </c>
      <c r="B118" s="243"/>
      <c r="C118" s="424"/>
      <c r="D118" s="425"/>
      <c r="E118" s="425"/>
      <c r="F118" s="425"/>
      <c r="G118" s="425"/>
      <c r="H118" s="425"/>
      <c r="I118" s="425"/>
      <c r="J118" s="425"/>
      <c r="K118" s="425"/>
      <c r="L118" s="426"/>
      <c r="M118" s="415"/>
      <c r="N118" s="415"/>
      <c r="O118" s="423"/>
      <c r="P118" s="423"/>
      <c r="Q118" s="440"/>
      <c r="R118" s="440"/>
      <c r="S118" s="440"/>
      <c r="T118" s="440"/>
      <c r="U118" s="422"/>
      <c r="V118" s="422"/>
      <c r="W118" s="93"/>
    </row>
    <row r="119" spans="1:23">
      <c r="A119" s="91">
        <v>107</v>
      </c>
      <c r="B119" s="243"/>
      <c r="C119" s="424"/>
      <c r="D119" s="425"/>
      <c r="E119" s="425"/>
      <c r="F119" s="425"/>
      <c r="G119" s="425"/>
      <c r="H119" s="425"/>
      <c r="I119" s="425"/>
      <c r="J119" s="425"/>
      <c r="K119" s="425"/>
      <c r="L119" s="426"/>
      <c r="M119" s="415"/>
      <c r="N119" s="415"/>
      <c r="O119" s="423"/>
      <c r="P119" s="423"/>
      <c r="Q119" s="440"/>
      <c r="R119" s="440"/>
      <c r="S119" s="440"/>
      <c r="T119" s="440"/>
      <c r="U119" s="422"/>
      <c r="V119" s="422"/>
      <c r="W119" s="93"/>
    </row>
    <row r="120" spans="1:23">
      <c r="A120" s="91">
        <v>108</v>
      </c>
      <c r="B120" s="243"/>
      <c r="C120" s="424"/>
      <c r="D120" s="425"/>
      <c r="E120" s="425"/>
      <c r="F120" s="425"/>
      <c r="G120" s="425"/>
      <c r="H120" s="425"/>
      <c r="I120" s="425"/>
      <c r="J120" s="425"/>
      <c r="K120" s="425"/>
      <c r="L120" s="426"/>
      <c r="M120" s="415"/>
      <c r="N120" s="415"/>
      <c r="O120" s="423"/>
      <c r="P120" s="423"/>
      <c r="Q120" s="440"/>
      <c r="R120" s="440"/>
      <c r="S120" s="440"/>
      <c r="T120" s="440"/>
      <c r="U120" s="422"/>
      <c r="V120" s="422"/>
      <c r="W120" s="93"/>
    </row>
    <row r="121" spans="1:23">
      <c r="A121" s="91">
        <v>109</v>
      </c>
      <c r="B121" s="243"/>
      <c r="C121" s="424"/>
      <c r="D121" s="425"/>
      <c r="E121" s="425"/>
      <c r="F121" s="425"/>
      <c r="G121" s="425"/>
      <c r="H121" s="425"/>
      <c r="I121" s="425"/>
      <c r="J121" s="425"/>
      <c r="K121" s="425"/>
      <c r="L121" s="426"/>
      <c r="M121" s="415"/>
      <c r="N121" s="415"/>
      <c r="O121" s="423"/>
      <c r="P121" s="423"/>
      <c r="Q121" s="440"/>
      <c r="R121" s="440"/>
      <c r="S121" s="440"/>
      <c r="T121" s="440"/>
      <c r="U121" s="422"/>
      <c r="V121" s="422"/>
      <c r="W121" s="93"/>
    </row>
    <row r="122" spans="1:23">
      <c r="A122" s="91">
        <v>110</v>
      </c>
      <c r="B122" s="243"/>
      <c r="C122" s="424"/>
      <c r="D122" s="425"/>
      <c r="E122" s="425"/>
      <c r="F122" s="425"/>
      <c r="G122" s="425"/>
      <c r="H122" s="425"/>
      <c r="I122" s="425"/>
      <c r="J122" s="425"/>
      <c r="K122" s="425"/>
      <c r="L122" s="426"/>
      <c r="M122" s="415"/>
      <c r="N122" s="415"/>
      <c r="O122" s="423"/>
      <c r="P122" s="423"/>
      <c r="Q122" s="440"/>
      <c r="R122" s="440"/>
      <c r="S122" s="440"/>
      <c r="T122" s="440"/>
      <c r="U122" s="422"/>
      <c r="V122" s="422"/>
      <c r="W122" s="93"/>
    </row>
    <row r="123" spans="1:23">
      <c r="A123" s="91">
        <v>111</v>
      </c>
      <c r="B123" s="243"/>
      <c r="C123" s="418"/>
      <c r="D123" s="419"/>
      <c r="E123" s="419"/>
      <c r="F123" s="419"/>
      <c r="G123" s="419"/>
      <c r="H123" s="419"/>
      <c r="I123" s="419"/>
      <c r="J123" s="419"/>
      <c r="K123" s="419"/>
      <c r="L123" s="420"/>
      <c r="M123" s="415"/>
      <c r="N123" s="415"/>
      <c r="O123" s="423"/>
      <c r="P123" s="423"/>
      <c r="Q123" s="440"/>
      <c r="R123" s="440"/>
      <c r="S123" s="416"/>
      <c r="T123" s="416"/>
      <c r="U123" s="422"/>
      <c r="V123" s="422"/>
      <c r="W123" s="93"/>
    </row>
    <row r="124" spans="1:23">
      <c r="A124" s="91">
        <v>112</v>
      </c>
      <c r="B124" s="243"/>
      <c r="C124" s="418"/>
      <c r="D124" s="419"/>
      <c r="E124" s="419"/>
      <c r="F124" s="419"/>
      <c r="G124" s="419"/>
      <c r="H124" s="419"/>
      <c r="I124" s="419"/>
      <c r="J124" s="419"/>
      <c r="K124" s="419"/>
      <c r="L124" s="420"/>
      <c r="M124" s="415"/>
      <c r="N124" s="415"/>
      <c r="O124" s="423"/>
      <c r="P124" s="423"/>
      <c r="Q124" s="440"/>
      <c r="R124" s="440"/>
      <c r="S124" s="416"/>
      <c r="T124" s="416"/>
      <c r="U124" s="422"/>
      <c r="V124" s="422"/>
      <c r="W124" s="93"/>
    </row>
    <row r="125" spans="1:23" ht="12.75" customHeight="1">
      <c r="A125" s="91">
        <v>113</v>
      </c>
      <c r="B125" s="243"/>
      <c r="C125" s="418"/>
      <c r="D125" s="419"/>
      <c r="E125" s="419"/>
      <c r="F125" s="419"/>
      <c r="G125" s="419"/>
      <c r="H125" s="419"/>
      <c r="I125" s="419"/>
      <c r="J125" s="419"/>
      <c r="K125" s="419"/>
      <c r="L125" s="420"/>
      <c r="M125" s="415"/>
      <c r="N125" s="415"/>
      <c r="O125" s="423"/>
      <c r="P125" s="423"/>
      <c r="Q125" s="416"/>
      <c r="R125" s="416"/>
      <c r="S125" s="416"/>
      <c r="T125" s="416"/>
      <c r="U125" s="422"/>
      <c r="V125" s="422"/>
      <c r="W125" s="93"/>
    </row>
    <row r="126" spans="1:23">
      <c r="A126" s="91">
        <v>114</v>
      </c>
      <c r="B126" s="243"/>
      <c r="C126" s="418"/>
      <c r="D126" s="419"/>
      <c r="E126" s="419"/>
      <c r="F126" s="419"/>
      <c r="G126" s="419"/>
      <c r="H126" s="419"/>
      <c r="I126" s="419"/>
      <c r="J126" s="419"/>
      <c r="K126" s="419"/>
      <c r="L126" s="420"/>
      <c r="M126" s="415"/>
      <c r="N126" s="415"/>
      <c r="O126" s="423"/>
      <c r="P126" s="423"/>
      <c r="Q126" s="416"/>
      <c r="R126" s="416"/>
      <c r="S126" s="416"/>
      <c r="T126" s="416"/>
      <c r="U126" s="422"/>
      <c r="V126" s="422"/>
      <c r="W126" s="93"/>
    </row>
    <row r="127" spans="1:23">
      <c r="A127" s="91">
        <v>115</v>
      </c>
      <c r="B127" s="243"/>
      <c r="C127" s="418"/>
      <c r="D127" s="419"/>
      <c r="E127" s="419"/>
      <c r="F127" s="419"/>
      <c r="G127" s="419"/>
      <c r="H127" s="419"/>
      <c r="I127" s="419"/>
      <c r="J127" s="419"/>
      <c r="K127" s="419"/>
      <c r="L127" s="420"/>
      <c r="M127" s="415"/>
      <c r="N127" s="415"/>
      <c r="O127" s="423"/>
      <c r="P127" s="423"/>
      <c r="Q127" s="416"/>
      <c r="R127" s="416"/>
      <c r="S127" s="416"/>
      <c r="T127" s="416"/>
      <c r="U127" s="422"/>
      <c r="V127" s="422"/>
      <c r="W127" s="93"/>
    </row>
    <row r="128" spans="1:23">
      <c r="A128" s="91">
        <v>116</v>
      </c>
      <c r="B128" s="243"/>
      <c r="C128" s="418"/>
      <c r="D128" s="419"/>
      <c r="E128" s="419"/>
      <c r="F128" s="419"/>
      <c r="G128" s="419"/>
      <c r="H128" s="419"/>
      <c r="I128" s="419"/>
      <c r="J128" s="419"/>
      <c r="K128" s="419"/>
      <c r="L128" s="420"/>
      <c r="M128" s="415"/>
      <c r="N128" s="415"/>
      <c r="O128" s="423"/>
      <c r="P128" s="423"/>
      <c r="Q128" s="416"/>
      <c r="R128" s="416"/>
      <c r="S128" s="416"/>
      <c r="T128" s="416"/>
      <c r="U128" s="422"/>
      <c r="V128" s="422"/>
      <c r="W128" s="93"/>
    </row>
    <row r="129" spans="1:23">
      <c r="A129" s="91">
        <v>117</v>
      </c>
      <c r="B129" s="243"/>
      <c r="C129" s="418"/>
      <c r="D129" s="419"/>
      <c r="E129" s="419"/>
      <c r="F129" s="419"/>
      <c r="G129" s="419"/>
      <c r="H129" s="419"/>
      <c r="I129" s="419"/>
      <c r="J129" s="419"/>
      <c r="K129" s="419"/>
      <c r="L129" s="420"/>
      <c r="M129" s="415"/>
      <c r="N129" s="415"/>
      <c r="O129" s="423"/>
      <c r="P129" s="423"/>
      <c r="Q129" s="416"/>
      <c r="R129" s="416"/>
      <c r="S129" s="416"/>
      <c r="T129" s="416"/>
      <c r="U129" s="422"/>
      <c r="V129" s="422"/>
      <c r="W129" s="93"/>
    </row>
    <row r="130" spans="1:23">
      <c r="A130" s="91">
        <v>118</v>
      </c>
      <c r="B130" s="243"/>
      <c r="C130" s="418"/>
      <c r="D130" s="419"/>
      <c r="E130" s="419"/>
      <c r="F130" s="419"/>
      <c r="G130" s="419"/>
      <c r="H130" s="419"/>
      <c r="I130" s="419"/>
      <c r="J130" s="419"/>
      <c r="K130" s="419"/>
      <c r="L130" s="420"/>
      <c r="M130" s="415"/>
      <c r="N130" s="415"/>
      <c r="O130" s="423"/>
      <c r="P130" s="423"/>
      <c r="Q130" s="416"/>
      <c r="R130" s="416"/>
      <c r="S130" s="416"/>
      <c r="T130" s="416"/>
      <c r="U130" s="422"/>
      <c r="V130" s="422"/>
      <c r="W130" s="93"/>
    </row>
    <row r="131" spans="1:23">
      <c r="A131" s="91">
        <v>119</v>
      </c>
      <c r="B131" s="243"/>
      <c r="C131" s="418"/>
      <c r="D131" s="419"/>
      <c r="E131" s="419"/>
      <c r="F131" s="419"/>
      <c r="G131" s="419"/>
      <c r="H131" s="419"/>
      <c r="I131" s="419"/>
      <c r="J131" s="419"/>
      <c r="K131" s="419"/>
      <c r="L131" s="420"/>
      <c r="M131" s="415"/>
      <c r="N131" s="415"/>
      <c r="O131" s="423"/>
      <c r="P131" s="423"/>
      <c r="Q131" s="416"/>
      <c r="R131" s="416"/>
      <c r="S131" s="416"/>
      <c r="T131" s="416"/>
      <c r="U131" s="422"/>
      <c r="V131" s="422"/>
      <c r="W131" s="93"/>
    </row>
    <row r="132" spans="1:23">
      <c r="A132" s="91">
        <v>120</v>
      </c>
      <c r="B132" s="243"/>
      <c r="C132" s="418"/>
      <c r="D132" s="419"/>
      <c r="E132" s="419"/>
      <c r="F132" s="419"/>
      <c r="G132" s="419"/>
      <c r="H132" s="419"/>
      <c r="I132" s="419"/>
      <c r="J132" s="419"/>
      <c r="K132" s="419"/>
      <c r="L132" s="420"/>
      <c r="M132" s="415"/>
      <c r="N132" s="415"/>
      <c r="O132" s="423"/>
      <c r="P132" s="423"/>
      <c r="Q132" s="416"/>
      <c r="R132" s="416"/>
      <c r="S132" s="416"/>
      <c r="T132" s="416"/>
      <c r="U132" s="422"/>
      <c r="V132" s="422"/>
      <c r="W132" s="93"/>
    </row>
    <row r="133" spans="1:23">
      <c r="A133" s="91">
        <v>121</v>
      </c>
      <c r="B133" s="243"/>
      <c r="C133" s="418"/>
      <c r="D133" s="419"/>
      <c r="E133" s="419"/>
      <c r="F133" s="419"/>
      <c r="G133" s="419"/>
      <c r="H133" s="419"/>
      <c r="I133" s="419"/>
      <c r="J133" s="419"/>
      <c r="K133" s="419"/>
      <c r="L133" s="420"/>
      <c r="M133" s="415"/>
      <c r="N133" s="415"/>
      <c r="O133" s="423"/>
      <c r="P133" s="423"/>
      <c r="Q133" s="416"/>
      <c r="R133" s="416"/>
      <c r="S133" s="416"/>
      <c r="T133" s="416"/>
      <c r="U133" s="422"/>
      <c r="V133" s="422"/>
      <c r="W133" s="93"/>
    </row>
    <row r="134" spans="1:23">
      <c r="A134" s="91">
        <v>122</v>
      </c>
      <c r="B134" s="243"/>
      <c r="C134" s="418"/>
      <c r="D134" s="419"/>
      <c r="E134" s="419"/>
      <c r="F134" s="419"/>
      <c r="G134" s="419"/>
      <c r="H134" s="419"/>
      <c r="I134" s="419"/>
      <c r="J134" s="419"/>
      <c r="K134" s="419"/>
      <c r="L134" s="420"/>
      <c r="M134" s="415"/>
      <c r="N134" s="415"/>
      <c r="O134" s="423"/>
      <c r="P134" s="423"/>
      <c r="Q134" s="416"/>
      <c r="R134" s="416"/>
      <c r="S134" s="416"/>
      <c r="T134" s="416"/>
      <c r="U134" s="422"/>
      <c r="V134" s="422"/>
      <c r="W134" s="93"/>
    </row>
    <row r="135" spans="1:23">
      <c r="A135" s="91">
        <v>123</v>
      </c>
      <c r="B135" s="243"/>
      <c r="C135" s="418"/>
      <c r="D135" s="419"/>
      <c r="E135" s="419"/>
      <c r="F135" s="419"/>
      <c r="G135" s="419"/>
      <c r="H135" s="419"/>
      <c r="I135" s="419"/>
      <c r="J135" s="419"/>
      <c r="K135" s="419"/>
      <c r="L135" s="420"/>
      <c r="M135" s="415"/>
      <c r="N135" s="415"/>
      <c r="O135" s="423"/>
      <c r="P135" s="423"/>
      <c r="Q135" s="416"/>
      <c r="R135" s="416"/>
      <c r="S135" s="416"/>
      <c r="T135" s="416"/>
      <c r="U135" s="422"/>
      <c r="V135" s="422"/>
      <c r="W135" s="93"/>
    </row>
    <row r="136" spans="1:23">
      <c r="A136" s="91">
        <v>124</v>
      </c>
      <c r="B136" s="243"/>
      <c r="C136" s="418"/>
      <c r="D136" s="419"/>
      <c r="E136" s="419"/>
      <c r="F136" s="419"/>
      <c r="G136" s="419"/>
      <c r="H136" s="419"/>
      <c r="I136" s="419"/>
      <c r="J136" s="419"/>
      <c r="K136" s="419"/>
      <c r="L136" s="420"/>
      <c r="M136" s="415"/>
      <c r="N136" s="415"/>
      <c r="O136" s="423"/>
      <c r="P136" s="423"/>
      <c r="Q136" s="416"/>
      <c r="R136" s="416"/>
      <c r="S136" s="416"/>
      <c r="T136" s="416"/>
      <c r="U136" s="422"/>
      <c r="V136" s="422"/>
      <c r="W136" s="93"/>
    </row>
    <row r="137" spans="1:23">
      <c r="A137" s="91">
        <v>125</v>
      </c>
      <c r="B137" s="243"/>
      <c r="C137" s="418"/>
      <c r="D137" s="419"/>
      <c r="E137" s="419"/>
      <c r="F137" s="419"/>
      <c r="G137" s="419"/>
      <c r="H137" s="419"/>
      <c r="I137" s="419"/>
      <c r="J137" s="419"/>
      <c r="K137" s="419"/>
      <c r="L137" s="420"/>
      <c r="M137" s="415"/>
      <c r="N137" s="415"/>
      <c r="O137" s="415"/>
      <c r="P137" s="415"/>
      <c r="Q137" s="416"/>
      <c r="R137" s="416"/>
      <c r="S137" s="416"/>
      <c r="T137" s="416"/>
      <c r="U137" s="422"/>
      <c r="V137" s="422"/>
      <c r="W137" s="93"/>
    </row>
    <row r="138" spans="1:23">
      <c r="A138" s="91">
        <v>126</v>
      </c>
      <c r="B138" s="243"/>
      <c r="C138" s="418"/>
      <c r="D138" s="419"/>
      <c r="E138" s="419"/>
      <c r="F138" s="419"/>
      <c r="G138" s="419"/>
      <c r="H138" s="419"/>
      <c r="I138" s="419"/>
      <c r="J138" s="419"/>
      <c r="K138" s="419"/>
      <c r="L138" s="420"/>
      <c r="M138" s="415"/>
      <c r="N138" s="415"/>
      <c r="O138" s="415"/>
      <c r="P138" s="415"/>
      <c r="Q138" s="416"/>
      <c r="R138" s="416"/>
      <c r="S138" s="416"/>
      <c r="T138" s="416"/>
      <c r="U138" s="422"/>
      <c r="V138" s="422"/>
      <c r="W138" s="93"/>
    </row>
    <row r="139" spans="1:23">
      <c r="A139" s="91">
        <v>127</v>
      </c>
      <c r="B139" s="243"/>
      <c r="C139" s="418"/>
      <c r="D139" s="419"/>
      <c r="E139" s="419"/>
      <c r="F139" s="419"/>
      <c r="G139" s="419"/>
      <c r="H139" s="419"/>
      <c r="I139" s="419"/>
      <c r="J139" s="419"/>
      <c r="K139" s="419"/>
      <c r="L139" s="420"/>
      <c r="M139" s="415"/>
      <c r="N139" s="415"/>
      <c r="O139" s="415"/>
      <c r="P139" s="415"/>
      <c r="Q139" s="416"/>
      <c r="R139" s="416"/>
      <c r="S139" s="416"/>
      <c r="T139" s="416"/>
      <c r="U139" s="422"/>
      <c r="V139" s="422"/>
      <c r="W139" s="93"/>
    </row>
    <row r="140" spans="1:23">
      <c r="A140" s="91">
        <v>128</v>
      </c>
      <c r="B140" s="243"/>
      <c r="C140" s="418"/>
      <c r="D140" s="419"/>
      <c r="E140" s="419"/>
      <c r="F140" s="419"/>
      <c r="G140" s="419"/>
      <c r="H140" s="419"/>
      <c r="I140" s="419"/>
      <c r="J140" s="419"/>
      <c r="K140" s="419"/>
      <c r="L140" s="420"/>
      <c r="M140" s="415"/>
      <c r="N140" s="415"/>
      <c r="O140" s="415"/>
      <c r="P140" s="415"/>
      <c r="Q140" s="416"/>
      <c r="R140" s="416"/>
      <c r="S140" s="416"/>
      <c r="T140" s="416"/>
      <c r="U140" s="422"/>
      <c r="V140" s="422"/>
      <c r="W140" s="93"/>
    </row>
    <row r="141" spans="1:23">
      <c r="A141" s="91">
        <v>129</v>
      </c>
      <c r="B141" s="243"/>
      <c r="C141" s="418"/>
      <c r="D141" s="419"/>
      <c r="E141" s="419"/>
      <c r="F141" s="419"/>
      <c r="G141" s="419"/>
      <c r="H141" s="419"/>
      <c r="I141" s="419"/>
      <c r="J141" s="419"/>
      <c r="K141" s="419"/>
      <c r="L141" s="420"/>
      <c r="M141" s="415"/>
      <c r="N141" s="415"/>
      <c r="O141" s="415"/>
      <c r="P141" s="415"/>
      <c r="Q141" s="416"/>
      <c r="R141" s="416"/>
      <c r="S141" s="416"/>
      <c r="T141" s="416"/>
      <c r="U141" s="422"/>
      <c r="V141" s="422"/>
      <c r="W141" s="93"/>
    </row>
    <row r="142" spans="1:23">
      <c r="A142" s="91">
        <v>130</v>
      </c>
      <c r="B142" s="243"/>
      <c r="C142" s="418"/>
      <c r="D142" s="419"/>
      <c r="E142" s="419"/>
      <c r="F142" s="419"/>
      <c r="G142" s="419"/>
      <c r="H142" s="419"/>
      <c r="I142" s="419"/>
      <c r="J142" s="419"/>
      <c r="K142" s="419"/>
      <c r="L142" s="420"/>
      <c r="M142" s="415"/>
      <c r="N142" s="415"/>
      <c r="O142" s="415"/>
      <c r="P142" s="415"/>
      <c r="Q142" s="416"/>
      <c r="R142" s="416"/>
      <c r="S142" s="416"/>
      <c r="T142" s="416"/>
      <c r="U142" s="422"/>
      <c r="V142" s="422"/>
      <c r="W142" s="93"/>
    </row>
    <row r="143" spans="1:23">
      <c r="A143" s="91">
        <v>131</v>
      </c>
      <c r="B143" s="243"/>
      <c r="C143" s="418"/>
      <c r="D143" s="419"/>
      <c r="E143" s="419"/>
      <c r="F143" s="419"/>
      <c r="G143" s="419"/>
      <c r="H143" s="419"/>
      <c r="I143" s="419"/>
      <c r="J143" s="419"/>
      <c r="K143" s="419"/>
      <c r="L143" s="420"/>
      <c r="M143" s="415"/>
      <c r="N143" s="415"/>
      <c r="O143" s="415"/>
      <c r="P143" s="415"/>
      <c r="Q143" s="416"/>
      <c r="R143" s="416"/>
      <c r="S143" s="416"/>
      <c r="T143" s="416"/>
      <c r="U143" s="422"/>
      <c r="V143" s="422"/>
      <c r="W143" s="93"/>
    </row>
    <row r="144" spans="1:23">
      <c r="A144" s="91">
        <v>132</v>
      </c>
      <c r="B144" s="243"/>
      <c r="C144" s="418"/>
      <c r="D144" s="419"/>
      <c r="E144" s="419"/>
      <c r="F144" s="419"/>
      <c r="G144" s="419"/>
      <c r="H144" s="419"/>
      <c r="I144" s="419"/>
      <c r="J144" s="419"/>
      <c r="K144" s="419"/>
      <c r="L144" s="420"/>
      <c r="M144" s="415"/>
      <c r="N144" s="415"/>
      <c r="O144" s="415"/>
      <c r="P144" s="415"/>
      <c r="Q144" s="416"/>
      <c r="R144" s="416"/>
      <c r="S144" s="416"/>
      <c r="T144" s="416"/>
      <c r="U144" s="422"/>
      <c r="V144" s="422"/>
      <c r="W144" s="93"/>
    </row>
    <row r="145" spans="1:23">
      <c r="A145" s="91">
        <v>133</v>
      </c>
      <c r="B145" s="243"/>
      <c r="C145" s="418"/>
      <c r="D145" s="419"/>
      <c r="E145" s="419"/>
      <c r="F145" s="419"/>
      <c r="G145" s="419"/>
      <c r="H145" s="419"/>
      <c r="I145" s="419"/>
      <c r="J145" s="419"/>
      <c r="K145" s="419"/>
      <c r="L145" s="420"/>
      <c r="M145" s="415"/>
      <c r="N145" s="415"/>
      <c r="O145" s="415"/>
      <c r="P145" s="415"/>
      <c r="Q145" s="416"/>
      <c r="R145" s="416"/>
      <c r="S145" s="416"/>
      <c r="T145" s="416"/>
      <c r="U145" s="422"/>
      <c r="V145" s="422"/>
      <c r="W145" s="93"/>
    </row>
    <row r="146" spans="1:23">
      <c r="A146" s="91">
        <v>134</v>
      </c>
      <c r="B146" s="243"/>
      <c r="C146" s="418"/>
      <c r="D146" s="419"/>
      <c r="E146" s="419"/>
      <c r="F146" s="419"/>
      <c r="G146" s="419"/>
      <c r="H146" s="419"/>
      <c r="I146" s="419"/>
      <c r="J146" s="419"/>
      <c r="K146" s="419"/>
      <c r="L146" s="420"/>
      <c r="M146" s="415"/>
      <c r="N146" s="415"/>
      <c r="O146" s="415"/>
      <c r="P146" s="415"/>
      <c r="Q146" s="416"/>
      <c r="R146" s="416"/>
      <c r="S146" s="416"/>
      <c r="T146" s="416"/>
      <c r="U146" s="422"/>
      <c r="V146" s="422"/>
      <c r="W146" s="93"/>
    </row>
    <row r="147" spans="1:23">
      <c r="A147" s="91">
        <v>135</v>
      </c>
      <c r="B147" s="243"/>
      <c r="C147" s="418"/>
      <c r="D147" s="419"/>
      <c r="E147" s="419"/>
      <c r="F147" s="419"/>
      <c r="G147" s="419"/>
      <c r="H147" s="419"/>
      <c r="I147" s="419"/>
      <c r="J147" s="419"/>
      <c r="K147" s="419"/>
      <c r="L147" s="420"/>
      <c r="M147" s="415"/>
      <c r="N147" s="415"/>
      <c r="O147" s="415"/>
      <c r="P147" s="415"/>
      <c r="Q147" s="416"/>
      <c r="R147" s="416"/>
      <c r="S147" s="416"/>
      <c r="T147" s="416"/>
      <c r="U147" s="422"/>
      <c r="V147" s="422"/>
      <c r="W147" s="93"/>
    </row>
    <row r="148" spans="1:23">
      <c r="A148" s="91">
        <v>136</v>
      </c>
      <c r="B148" s="243"/>
      <c r="C148" s="418"/>
      <c r="D148" s="419"/>
      <c r="E148" s="419"/>
      <c r="F148" s="419"/>
      <c r="G148" s="419"/>
      <c r="H148" s="419"/>
      <c r="I148" s="419"/>
      <c r="J148" s="419"/>
      <c r="K148" s="419"/>
      <c r="L148" s="420"/>
      <c r="M148" s="415"/>
      <c r="N148" s="415"/>
      <c r="O148" s="415"/>
      <c r="P148" s="415"/>
      <c r="Q148" s="416"/>
      <c r="R148" s="416"/>
      <c r="S148" s="416"/>
      <c r="T148" s="416"/>
      <c r="U148" s="422"/>
      <c r="V148" s="422"/>
      <c r="W148" s="93"/>
    </row>
    <row r="149" spans="1:23">
      <c r="A149" s="91">
        <v>137</v>
      </c>
      <c r="B149" s="243"/>
      <c r="C149" s="418"/>
      <c r="D149" s="419"/>
      <c r="E149" s="419"/>
      <c r="F149" s="419"/>
      <c r="G149" s="419"/>
      <c r="H149" s="419"/>
      <c r="I149" s="419"/>
      <c r="J149" s="419"/>
      <c r="K149" s="419"/>
      <c r="L149" s="420"/>
      <c r="M149" s="415"/>
      <c r="N149" s="415"/>
      <c r="O149" s="415"/>
      <c r="P149" s="415"/>
      <c r="Q149" s="416"/>
      <c r="R149" s="416"/>
      <c r="S149" s="416"/>
      <c r="T149" s="416"/>
      <c r="U149" s="422"/>
      <c r="V149" s="422"/>
      <c r="W149" s="93"/>
    </row>
    <row r="150" spans="1:23">
      <c r="A150" s="91">
        <v>138</v>
      </c>
      <c r="B150" s="243"/>
      <c r="C150" s="418"/>
      <c r="D150" s="419"/>
      <c r="E150" s="419"/>
      <c r="F150" s="419"/>
      <c r="G150" s="419"/>
      <c r="H150" s="419"/>
      <c r="I150" s="419"/>
      <c r="J150" s="419"/>
      <c r="K150" s="419"/>
      <c r="L150" s="420"/>
      <c r="M150" s="415"/>
      <c r="N150" s="415"/>
      <c r="O150" s="415"/>
      <c r="P150" s="415"/>
      <c r="Q150" s="416"/>
      <c r="R150" s="416"/>
      <c r="S150" s="416"/>
      <c r="T150" s="416"/>
      <c r="U150" s="422"/>
      <c r="V150" s="422"/>
      <c r="W150" s="93"/>
    </row>
    <row r="151" spans="1:23">
      <c r="A151" s="91">
        <v>139</v>
      </c>
      <c r="B151" s="243"/>
      <c r="C151" s="418"/>
      <c r="D151" s="419"/>
      <c r="E151" s="419"/>
      <c r="F151" s="419"/>
      <c r="G151" s="419"/>
      <c r="H151" s="419"/>
      <c r="I151" s="419"/>
      <c r="J151" s="419"/>
      <c r="K151" s="419"/>
      <c r="L151" s="420"/>
      <c r="M151" s="415"/>
      <c r="N151" s="415"/>
      <c r="O151" s="415"/>
      <c r="P151" s="415"/>
      <c r="Q151" s="416"/>
      <c r="R151" s="416"/>
      <c r="S151" s="416"/>
      <c r="T151" s="416"/>
      <c r="U151" s="422"/>
      <c r="V151" s="422"/>
      <c r="W151" s="93"/>
    </row>
    <row r="152" spans="1:23">
      <c r="A152" s="91">
        <v>140</v>
      </c>
      <c r="B152" s="243"/>
      <c r="C152" s="418"/>
      <c r="D152" s="419"/>
      <c r="E152" s="419"/>
      <c r="F152" s="419"/>
      <c r="G152" s="419"/>
      <c r="H152" s="419"/>
      <c r="I152" s="419"/>
      <c r="J152" s="419"/>
      <c r="K152" s="419"/>
      <c r="L152" s="420"/>
      <c r="M152" s="415"/>
      <c r="N152" s="415"/>
      <c r="O152" s="415"/>
      <c r="P152" s="415"/>
      <c r="Q152" s="416"/>
      <c r="R152" s="416"/>
      <c r="S152" s="416"/>
      <c r="T152" s="416"/>
      <c r="U152" s="422"/>
      <c r="V152" s="422"/>
      <c r="W152" s="93"/>
    </row>
    <row r="153" spans="1:23">
      <c r="A153" s="91">
        <v>141</v>
      </c>
      <c r="B153" s="243"/>
      <c r="C153" s="418"/>
      <c r="D153" s="419"/>
      <c r="E153" s="419"/>
      <c r="F153" s="419"/>
      <c r="G153" s="419"/>
      <c r="H153" s="419"/>
      <c r="I153" s="419"/>
      <c r="J153" s="419"/>
      <c r="K153" s="419"/>
      <c r="L153" s="420"/>
      <c r="M153" s="415"/>
      <c r="N153" s="415"/>
      <c r="O153" s="415"/>
      <c r="P153" s="415"/>
      <c r="Q153" s="416"/>
      <c r="R153" s="416"/>
      <c r="S153" s="416"/>
      <c r="T153" s="416"/>
      <c r="U153" s="422"/>
      <c r="V153" s="422"/>
      <c r="W153" s="93"/>
    </row>
    <row r="154" spans="1:23">
      <c r="A154" s="91">
        <v>142</v>
      </c>
      <c r="B154" s="243"/>
      <c r="C154" s="418"/>
      <c r="D154" s="419"/>
      <c r="E154" s="419"/>
      <c r="F154" s="419"/>
      <c r="G154" s="419"/>
      <c r="H154" s="419"/>
      <c r="I154" s="419"/>
      <c r="J154" s="419"/>
      <c r="K154" s="419"/>
      <c r="L154" s="420"/>
      <c r="M154" s="415"/>
      <c r="N154" s="415"/>
      <c r="O154" s="415"/>
      <c r="P154" s="415"/>
      <c r="Q154" s="416"/>
      <c r="R154" s="416"/>
      <c r="S154" s="416"/>
      <c r="T154" s="416"/>
      <c r="U154" s="422"/>
      <c r="V154" s="422"/>
      <c r="W154" s="93"/>
    </row>
    <row r="155" spans="1:23">
      <c r="A155" s="91">
        <v>143</v>
      </c>
      <c r="B155" s="243"/>
      <c r="C155" s="418"/>
      <c r="D155" s="419"/>
      <c r="E155" s="419"/>
      <c r="F155" s="419"/>
      <c r="G155" s="419"/>
      <c r="H155" s="419"/>
      <c r="I155" s="419"/>
      <c r="J155" s="419"/>
      <c r="K155" s="419"/>
      <c r="L155" s="420"/>
      <c r="M155" s="415"/>
      <c r="N155" s="415"/>
      <c r="O155" s="415"/>
      <c r="P155" s="415"/>
      <c r="Q155" s="416"/>
      <c r="R155" s="416"/>
      <c r="S155" s="416"/>
      <c r="T155" s="416"/>
      <c r="U155" s="422"/>
      <c r="V155" s="422"/>
      <c r="W155" s="93"/>
    </row>
    <row r="156" spans="1:23">
      <c r="A156" s="91">
        <v>144</v>
      </c>
      <c r="B156" s="243"/>
      <c r="C156" s="418"/>
      <c r="D156" s="419"/>
      <c r="E156" s="419"/>
      <c r="F156" s="419"/>
      <c r="G156" s="419"/>
      <c r="H156" s="419"/>
      <c r="I156" s="419"/>
      <c r="J156" s="419"/>
      <c r="K156" s="419"/>
      <c r="L156" s="420"/>
      <c r="M156" s="415"/>
      <c r="N156" s="415"/>
      <c r="O156" s="415"/>
      <c r="P156" s="415"/>
      <c r="Q156" s="416"/>
      <c r="R156" s="416"/>
      <c r="S156" s="416"/>
      <c r="T156" s="416"/>
      <c r="U156" s="422"/>
      <c r="V156" s="422"/>
      <c r="W156" s="93"/>
    </row>
    <row r="157" spans="1:23">
      <c r="A157" s="91">
        <v>145</v>
      </c>
      <c r="B157" s="243"/>
      <c r="C157" s="418"/>
      <c r="D157" s="419"/>
      <c r="E157" s="419"/>
      <c r="F157" s="419"/>
      <c r="G157" s="419"/>
      <c r="H157" s="419"/>
      <c r="I157" s="419"/>
      <c r="J157" s="419"/>
      <c r="K157" s="419"/>
      <c r="L157" s="420"/>
      <c r="M157" s="415"/>
      <c r="N157" s="415"/>
      <c r="O157" s="415"/>
      <c r="P157" s="415"/>
      <c r="Q157" s="416"/>
      <c r="R157" s="416"/>
      <c r="S157" s="416"/>
      <c r="T157" s="416"/>
      <c r="U157" s="422"/>
      <c r="V157" s="422"/>
      <c r="W157" s="93"/>
    </row>
    <row r="158" spans="1:23">
      <c r="A158" s="91">
        <v>146</v>
      </c>
      <c r="B158" s="243"/>
      <c r="C158" s="418"/>
      <c r="D158" s="419"/>
      <c r="E158" s="419"/>
      <c r="F158" s="419"/>
      <c r="G158" s="419"/>
      <c r="H158" s="419"/>
      <c r="I158" s="419"/>
      <c r="J158" s="419"/>
      <c r="K158" s="419"/>
      <c r="L158" s="420"/>
      <c r="M158" s="415"/>
      <c r="N158" s="415"/>
      <c r="O158" s="415"/>
      <c r="P158" s="415"/>
      <c r="Q158" s="416"/>
      <c r="R158" s="416"/>
      <c r="S158" s="416"/>
      <c r="T158" s="416"/>
      <c r="U158" s="422"/>
      <c r="V158" s="422"/>
      <c r="W158" s="93"/>
    </row>
    <row r="159" spans="1:23">
      <c r="A159" s="91">
        <v>147</v>
      </c>
      <c r="B159" s="243"/>
      <c r="C159" s="418"/>
      <c r="D159" s="419"/>
      <c r="E159" s="419"/>
      <c r="F159" s="419"/>
      <c r="G159" s="419"/>
      <c r="H159" s="419"/>
      <c r="I159" s="419"/>
      <c r="J159" s="419"/>
      <c r="K159" s="419"/>
      <c r="L159" s="420"/>
      <c r="M159" s="415"/>
      <c r="N159" s="415"/>
      <c r="O159" s="415"/>
      <c r="P159" s="415"/>
      <c r="Q159" s="416"/>
      <c r="R159" s="416"/>
      <c r="S159" s="416"/>
      <c r="T159" s="416"/>
      <c r="U159" s="422"/>
      <c r="V159" s="422"/>
      <c r="W159" s="93"/>
    </row>
    <row r="160" spans="1:23">
      <c r="A160" s="91">
        <v>148</v>
      </c>
      <c r="B160" s="243"/>
      <c r="C160" s="418"/>
      <c r="D160" s="419"/>
      <c r="E160" s="419"/>
      <c r="F160" s="419"/>
      <c r="G160" s="419"/>
      <c r="H160" s="419"/>
      <c r="I160" s="419"/>
      <c r="J160" s="419"/>
      <c r="K160" s="419"/>
      <c r="L160" s="420"/>
      <c r="M160" s="415"/>
      <c r="N160" s="415"/>
      <c r="O160" s="415"/>
      <c r="P160" s="415"/>
      <c r="Q160" s="416"/>
      <c r="R160" s="416"/>
      <c r="S160" s="416"/>
      <c r="T160" s="416"/>
      <c r="U160" s="422"/>
      <c r="V160" s="422"/>
      <c r="W160" s="93"/>
    </row>
    <row r="161" spans="1:23">
      <c r="A161" s="91">
        <v>149</v>
      </c>
      <c r="B161" s="243"/>
      <c r="C161" s="418"/>
      <c r="D161" s="419"/>
      <c r="E161" s="419"/>
      <c r="F161" s="419"/>
      <c r="G161" s="419"/>
      <c r="H161" s="419"/>
      <c r="I161" s="419"/>
      <c r="J161" s="419"/>
      <c r="K161" s="419"/>
      <c r="L161" s="420"/>
      <c r="M161" s="415"/>
      <c r="N161" s="415"/>
      <c r="O161" s="415"/>
      <c r="P161" s="415"/>
      <c r="Q161" s="416"/>
      <c r="R161" s="416"/>
      <c r="S161" s="416"/>
      <c r="T161" s="416"/>
      <c r="U161" s="422"/>
      <c r="V161" s="422"/>
      <c r="W161" s="93"/>
    </row>
    <row r="162" spans="1:23">
      <c r="A162" s="91">
        <v>150</v>
      </c>
      <c r="B162" s="243"/>
      <c r="C162" s="418"/>
      <c r="D162" s="419"/>
      <c r="E162" s="419"/>
      <c r="F162" s="419"/>
      <c r="G162" s="419"/>
      <c r="H162" s="419"/>
      <c r="I162" s="419"/>
      <c r="J162" s="419"/>
      <c r="K162" s="419"/>
      <c r="L162" s="420"/>
      <c r="M162" s="415"/>
      <c r="N162" s="415"/>
      <c r="O162" s="415"/>
      <c r="P162" s="415"/>
      <c r="Q162" s="416"/>
      <c r="R162" s="416"/>
      <c r="S162" s="416"/>
      <c r="T162" s="416"/>
      <c r="U162" s="422"/>
      <c r="V162" s="422"/>
    </row>
    <row r="163" spans="1:23">
      <c r="A163" s="91">
        <v>151</v>
      </c>
      <c r="B163" s="243"/>
      <c r="C163" s="418"/>
      <c r="D163" s="419"/>
      <c r="E163" s="419"/>
      <c r="F163" s="419"/>
      <c r="G163" s="419"/>
      <c r="H163" s="419"/>
      <c r="I163" s="419"/>
      <c r="J163" s="419"/>
      <c r="K163" s="419"/>
      <c r="L163" s="420"/>
      <c r="M163" s="415"/>
      <c r="N163" s="415"/>
      <c r="O163" s="415"/>
      <c r="P163" s="415"/>
      <c r="Q163" s="416"/>
      <c r="R163" s="416"/>
      <c r="S163" s="416"/>
      <c r="T163" s="416"/>
      <c r="U163" s="422"/>
      <c r="V163" s="422"/>
    </row>
    <row r="164" spans="1:23">
      <c r="A164" s="91">
        <v>152</v>
      </c>
      <c r="B164" s="243"/>
      <c r="C164" s="418"/>
      <c r="D164" s="419"/>
      <c r="E164" s="419"/>
      <c r="F164" s="419"/>
      <c r="G164" s="419"/>
      <c r="H164" s="419"/>
      <c r="I164" s="419"/>
      <c r="J164" s="419"/>
      <c r="K164" s="419"/>
      <c r="L164" s="420"/>
      <c r="M164" s="415"/>
      <c r="N164" s="415"/>
      <c r="O164" s="415"/>
      <c r="P164" s="415"/>
      <c r="Q164" s="416"/>
      <c r="R164" s="416"/>
      <c r="S164" s="416"/>
      <c r="T164" s="416"/>
      <c r="U164" s="422"/>
      <c r="V164" s="422"/>
    </row>
    <row r="165" spans="1:23">
      <c r="A165" s="91">
        <v>153</v>
      </c>
      <c r="B165" s="243"/>
      <c r="C165" s="418"/>
      <c r="D165" s="419"/>
      <c r="E165" s="419"/>
      <c r="F165" s="419"/>
      <c r="G165" s="419"/>
      <c r="H165" s="419"/>
      <c r="I165" s="419"/>
      <c r="J165" s="419"/>
      <c r="K165" s="419"/>
      <c r="L165" s="420"/>
      <c r="M165" s="415"/>
      <c r="N165" s="415"/>
      <c r="O165" s="415"/>
      <c r="P165" s="415"/>
      <c r="Q165" s="416"/>
      <c r="R165" s="416"/>
      <c r="S165" s="416"/>
      <c r="T165" s="416"/>
      <c r="U165" s="422"/>
      <c r="V165" s="422"/>
    </row>
    <row r="166" spans="1:23">
      <c r="A166" s="91">
        <v>154</v>
      </c>
      <c r="B166" s="243"/>
      <c r="C166" s="418"/>
      <c r="D166" s="419"/>
      <c r="E166" s="419"/>
      <c r="F166" s="419"/>
      <c r="G166" s="419"/>
      <c r="H166" s="419"/>
      <c r="I166" s="419"/>
      <c r="J166" s="419"/>
      <c r="K166" s="419"/>
      <c r="L166" s="420"/>
      <c r="M166" s="415"/>
      <c r="N166" s="415"/>
      <c r="O166" s="415"/>
      <c r="P166" s="415"/>
      <c r="Q166" s="416"/>
      <c r="R166" s="416"/>
      <c r="S166" s="416"/>
      <c r="T166" s="416"/>
      <c r="U166" s="422"/>
      <c r="V166" s="422"/>
    </row>
    <row r="167" spans="1:23">
      <c r="A167" s="91">
        <v>155</v>
      </c>
      <c r="B167" s="243"/>
      <c r="C167" s="418"/>
      <c r="D167" s="419"/>
      <c r="E167" s="419"/>
      <c r="F167" s="419"/>
      <c r="G167" s="419"/>
      <c r="H167" s="419"/>
      <c r="I167" s="419"/>
      <c r="J167" s="419"/>
      <c r="K167" s="419"/>
      <c r="L167" s="420"/>
      <c r="M167" s="415"/>
      <c r="N167" s="415"/>
      <c r="O167" s="415"/>
      <c r="P167" s="415"/>
      <c r="Q167" s="416"/>
      <c r="R167" s="416"/>
      <c r="S167" s="416"/>
      <c r="T167" s="416"/>
      <c r="U167" s="422"/>
      <c r="V167" s="422"/>
    </row>
    <row r="168" spans="1:23">
      <c r="A168" s="91">
        <v>156</v>
      </c>
      <c r="B168" s="243"/>
      <c r="C168" s="418"/>
      <c r="D168" s="419"/>
      <c r="E168" s="419"/>
      <c r="F168" s="419"/>
      <c r="G168" s="419"/>
      <c r="H168" s="419"/>
      <c r="I168" s="419"/>
      <c r="J168" s="419"/>
      <c r="K168" s="419"/>
      <c r="L168" s="420"/>
      <c r="M168" s="415"/>
      <c r="N168" s="415"/>
      <c r="O168" s="415"/>
      <c r="P168" s="415"/>
      <c r="Q168" s="416"/>
      <c r="R168" s="416"/>
      <c r="S168" s="416"/>
      <c r="T168" s="416"/>
      <c r="U168" s="422"/>
      <c r="V168" s="422"/>
    </row>
    <row r="169" spans="1:23">
      <c r="A169" s="91">
        <v>157</v>
      </c>
      <c r="B169" s="243"/>
      <c r="C169" s="418"/>
      <c r="D169" s="419"/>
      <c r="E169" s="419"/>
      <c r="F169" s="419"/>
      <c r="G169" s="419"/>
      <c r="H169" s="419"/>
      <c r="I169" s="419"/>
      <c r="J169" s="419"/>
      <c r="K169" s="419"/>
      <c r="L169" s="420"/>
      <c r="M169" s="415"/>
      <c r="N169" s="415"/>
      <c r="O169" s="415"/>
      <c r="P169" s="415"/>
      <c r="Q169" s="416"/>
      <c r="R169" s="416"/>
      <c r="S169" s="416"/>
      <c r="T169" s="416"/>
      <c r="U169" s="422"/>
      <c r="V169" s="422"/>
    </row>
    <row r="170" spans="1:23">
      <c r="A170" s="91">
        <v>158</v>
      </c>
      <c r="B170" s="243"/>
      <c r="C170" s="418"/>
      <c r="D170" s="419"/>
      <c r="E170" s="419"/>
      <c r="F170" s="419"/>
      <c r="G170" s="419"/>
      <c r="H170" s="419"/>
      <c r="I170" s="419"/>
      <c r="J170" s="419"/>
      <c r="K170" s="419"/>
      <c r="L170" s="420"/>
      <c r="M170" s="415"/>
      <c r="N170" s="415"/>
      <c r="O170" s="415"/>
      <c r="P170" s="415"/>
      <c r="Q170" s="416"/>
      <c r="R170" s="416"/>
      <c r="S170" s="416"/>
      <c r="T170" s="416"/>
      <c r="U170" s="422"/>
      <c r="V170" s="422"/>
    </row>
    <row r="171" spans="1:23">
      <c r="A171" s="91">
        <v>159</v>
      </c>
      <c r="B171" s="243"/>
      <c r="C171" s="418"/>
      <c r="D171" s="419"/>
      <c r="E171" s="419"/>
      <c r="F171" s="419"/>
      <c r="G171" s="419"/>
      <c r="H171" s="419"/>
      <c r="I171" s="419"/>
      <c r="J171" s="419"/>
      <c r="K171" s="419"/>
      <c r="L171" s="420"/>
      <c r="M171" s="415"/>
      <c r="N171" s="415"/>
      <c r="O171" s="415"/>
      <c r="P171" s="415"/>
      <c r="Q171" s="416"/>
      <c r="R171" s="416"/>
      <c r="S171" s="416"/>
      <c r="T171" s="416"/>
      <c r="U171" s="422"/>
      <c r="V171" s="422"/>
    </row>
    <row r="172" spans="1:23">
      <c r="A172" s="91">
        <v>160</v>
      </c>
      <c r="B172" s="243"/>
      <c r="C172" s="418"/>
      <c r="D172" s="419"/>
      <c r="E172" s="419"/>
      <c r="F172" s="419"/>
      <c r="G172" s="419"/>
      <c r="H172" s="419"/>
      <c r="I172" s="419"/>
      <c r="J172" s="419"/>
      <c r="K172" s="419"/>
      <c r="L172" s="420"/>
      <c r="M172" s="415"/>
      <c r="N172" s="415"/>
      <c r="O172" s="415"/>
      <c r="P172" s="415"/>
      <c r="Q172" s="416"/>
      <c r="R172" s="416"/>
      <c r="S172" s="416"/>
      <c r="T172" s="416"/>
      <c r="U172" s="422"/>
      <c r="V172" s="422"/>
    </row>
    <row r="173" spans="1:23">
      <c r="A173" s="91">
        <v>161</v>
      </c>
      <c r="B173" s="243"/>
      <c r="C173" s="418"/>
      <c r="D173" s="419"/>
      <c r="E173" s="419"/>
      <c r="F173" s="419"/>
      <c r="G173" s="419"/>
      <c r="H173" s="419"/>
      <c r="I173" s="419"/>
      <c r="J173" s="419"/>
      <c r="K173" s="419"/>
      <c r="L173" s="420"/>
      <c r="M173" s="415"/>
      <c r="N173" s="415"/>
      <c r="O173" s="415"/>
      <c r="P173" s="415"/>
      <c r="Q173" s="416"/>
      <c r="R173" s="416"/>
      <c r="S173" s="416"/>
      <c r="T173" s="416"/>
      <c r="U173" s="422"/>
      <c r="V173" s="422"/>
    </row>
    <row r="174" spans="1:23">
      <c r="A174" s="91">
        <v>162</v>
      </c>
      <c r="B174" s="243"/>
      <c r="C174" s="418"/>
      <c r="D174" s="419"/>
      <c r="E174" s="419"/>
      <c r="F174" s="419"/>
      <c r="G174" s="419"/>
      <c r="H174" s="419"/>
      <c r="I174" s="419"/>
      <c r="J174" s="419"/>
      <c r="K174" s="419"/>
      <c r="L174" s="420"/>
      <c r="M174" s="415"/>
      <c r="N174" s="415"/>
      <c r="O174" s="415"/>
      <c r="P174" s="415"/>
      <c r="Q174" s="416"/>
      <c r="R174" s="416"/>
      <c r="S174" s="416"/>
      <c r="T174" s="416"/>
      <c r="U174" s="422"/>
      <c r="V174" s="422"/>
    </row>
    <row r="175" spans="1:23">
      <c r="A175" s="91">
        <v>163</v>
      </c>
      <c r="B175" s="243"/>
      <c r="C175" s="418"/>
      <c r="D175" s="419"/>
      <c r="E175" s="419"/>
      <c r="F175" s="419"/>
      <c r="G175" s="419"/>
      <c r="H175" s="419"/>
      <c r="I175" s="419"/>
      <c r="J175" s="419"/>
      <c r="K175" s="419"/>
      <c r="L175" s="420"/>
      <c r="M175" s="415"/>
      <c r="N175" s="415"/>
      <c r="O175" s="415"/>
      <c r="P175" s="415"/>
      <c r="Q175" s="416"/>
      <c r="R175" s="416"/>
      <c r="S175" s="416"/>
      <c r="T175" s="416"/>
      <c r="U175" s="422"/>
      <c r="V175" s="422"/>
    </row>
    <row r="176" spans="1:23">
      <c r="A176" s="91">
        <v>164</v>
      </c>
      <c r="B176" s="243"/>
      <c r="C176" s="418"/>
      <c r="D176" s="419"/>
      <c r="E176" s="419"/>
      <c r="F176" s="419"/>
      <c r="G176" s="419"/>
      <c r="H176" s="419"/>
      <c r="I176" s="419"/>
      <c r="J176" s="419"/>
      <c r="K176" s="419"/>
      <c r="L176" s="420"/>
      <c r="M176" s="415"/>
      <c r="N176" s="415"/>
      <c r="O176" s="415"/>
      <c r="P176" s="415"/>
      <c r="Q176" s="416"/>
      <c r="R176" s="416"/>
      <c r="S176" s="416"/>
      <c r="T176" s="416"/>
      <c r="U176" s="422"/>
      <c r="V176" s="422"/>
    </row>
    <row r="177" spans="1:22">
      <c r="A177" s="91">
        <v>165</v>
      </c>
      <c r="B177" s="243"/>
      <c r="C177" s="418"/>
      <c r="D177" s="419"/>
      <c r="E177" s="419"/>
      <c r="F177" s="419"/>
      <c r="G177" s="419"/>
      <c r="H177" s="419"/>
      <c r="I177" s="419"/>
      <c r="J177" s="419"/>
      <c r="K177" s="419"/>
      <c r="L177" s="420"/>
      <c r="M177" s="415"/>
      <c r="N177" s="415"/>
      <c r="O177" s="415"/>
      <c r="P177" s="415"/>
      <c r="Q177" s="416"/>
      <c r="R177" s="416"/>
      <c r="S177" s="416"/>
      <c r="T177" s="416"/>
      <c r="U177" s="422"/>
      <c r="V177" s="422"/>
    </row>
    <row r="178" spans="1:22">
      <c r="A178" s="91">
        <v>166</v>
      </c>
      <c r="B178" s="243"/>
      <c r="C178" s="418"/>
      <c r="D178" s="419"/>
      <c r="E178" s="419"/>
      <c r="F178" s="419"/>
      <c r="G178" s="419"/>
      <c r="H178" s="419"/>
      <c r="I178" s="419"/>
      <c r="J178" s="419"/>
      <c r="K178" s="419"/>
      <c r="L178" s="420"/>
      <c r="M178" s="415"/>
      <c r="N178" s="415"/>
      <c r="O178" s="415"/>
      <c r="P178" s="415"/>
      <c r="Q178" s="416"/>
      <c r="R178" s="416"/>
      <c r="S178" s="416"/>
      <c r="T178" s="416"/>
      <c r="U178" s="422"/>
      <c r="V178" s="422"/>
    </row>
    <row r="179" spans="1:22">
      <c r="A179" s="91">
        <v>167</v>
      </c>
      <c r="B179" s="243"/>
      <c r="C179" s="418"/>
      <c r="D179" s="419"/>
      <c r="E179" s="419"/>
      <c r="F179" s="419"/>
      <c r="G179" s="419"/>
      <c r="H179" s="419"/>
      <c r="I179" s="419"/>
      <c r="J179" s="419"/>
      <c r="K179" s="419"/>
      <c r="L179" s="420"/>
      <c r="M179" s="415"/>
      <c r="N179" s="415"/>
      <c r="O179" s="415"/>
      <c r="P179" s="415"/>
      <c r="Q179" s="416"/>
      <c r="R179" s="416"/>
      <c r="S179" s="416"/>
      <c r="T179" s="416"/>
      <c r="U179" s="422"/>
      <c r="V179" s="422"/>
    </row>
    <row r="180" spans="1:22">
      <c r="A180" s="91">
        <v>168</v>
      </c>
      <c r="B180" s="243"/>
      <c r="C180" s="418"/>
      <c r="D180" s="419"/>
      <c r="E180" s="419"/>
      <c r="F180" s="419"/>
      <c r="G180" s="419"/>
      <c r="H180" s="419"/>
      <c r="I180" s="419"/>
      <c r="J180" s="419"/>
      <c r="K180" s="419"/>
      <c r="L180" s="420"/>
      <c r="M180" s="415"/>
      <c r="N180" s="415"/>
      <c r="O180" s="415"/>
      <c r="P180" s="415"/>
      <c r="Q180" s="416"/>
      <c r="R180" s="416"/>
      <c r="S180" s="416"/>
      <c r="T180" s="416"/>
      <c r="U180" s="422"/>
      <c r="V180" s="422"/>
    </row>
    <row r="181" spans="1:22">
      <c r="A181" s="91">
        <v>169</v>
      </c>
      <c r="B181" s="243"/>
      <c r="C181" s="418"/>
      <c r="D181" s="419"/>
      <c r="E181" s="419"/>
      <c r="F181" s="419"/>
      <c r="G181" s="419"/>
      <c r="H181" s="419"/>
      <c r="I181" s="419"/>
      <c r="J181" s="419"/>
      <c r="K181" s="419"/>
      <c r="L181" s="420"/>
      <c r="M181" s="415"/>
      <c r="N181" s="415"/>
      <c r="O181" s="415"/>
      <c r="P181" s="415"/>
      <c r="Q181" s="416"/>
      <c r="R181" s="416"/>
      <c r="S181" s="416"/>
      <c r="T181" s="416"/>
      <c r="U181" s="422"/>
      <c r="V181" s="422"/>
    </row>
    <row r="182" spans="1:22">
      <c r="A182" s="91">
        <v>170</v>
      </c>
      <c r="B182" s="243"/>
      <c r="C182" s="418"/>
      <c r="D182" s="419"/>
      <c r="E182" s="419"/>
      <c r="F182" s="419"/>
      <c r="G182" s="419"/>
      <c r="H182" s="419"/>
      <c r="I182" s="419"/>
      <c r="J182" s="419"/>
      <c r="K182" s="419"/>
      <c r="L182" s="420"/>
      <c r="M182" s="415"/>
      <c r="N182" s="415"/>
      <c r="O182" s="415"/>
      <c r="P182" s="415"/>
      <c r="Q182" s="416"/>
      <c r="R182" s="416"/>
      <c r="S182" s="416"/>
      <c r="T182" s="416"/>
      <c r="U182" s="422"/>
      <c r="V182" s="422"/>
    </row>
    <row r="183" spans="1:22">
      <c r="A183" s="91">
        <v>171</v>
      </c>
      <c r="B183" s="243"/>
      <c r="C183" s="421"/>
      <c r="D183" s="421"/>
      <c r="E183" s="421"/>
      <c r="F183" s="421"/>
      <c r="G183" s="421"/>
      <c r="H183" s="421"/>
      <c r="I183" s="421"/>
      <c r="J183" s="421"/>
      <c r="K183" s="421"/>
      <c r="L183" s="421"/>
      <c r="M183" s="415"/>
      <c r="N183" s="415"/>
      <c r="O183" s="415"/>
      <c r="P183" s="415"/>
      <c r="Q183" s="416"/>
      <c r="R183" s="416"/>
      <c r="S183" s="416"/>
      <c r="T183" s="416"/>
      <c r="U183" s="422"/>
      <c r="V183" s="422"/>
    </row>
    <row r="184" spans="1:22">
      <c r="A184" s="91">
        <v>172</v>
      </c>
      <c r="B184" s="243"/>
      <c r="C184" s="421"/>
      <c r="D184" s="421"/>
      <c r="E184" s="421"/>
      <c r="F184" s="421"/>
      <c r="G184" s="421"/>
      <c r="H184" s="421"/>
      <c r="I184" s="421"/>
      <c r="J184" s="421"/>
      <c r="K184" s="421"/>
      <c r="L184" s="421"/>
      <c r="M184" s="415"/>
      <c r="N184" s="415"/>
      <c r="O184" s="415"/>
      <c r="P184" s="415"/>
      <c r="Q184" s="416"/>
      <c r="R184" s="416"/>
      <c r="S184" s="416"/>
      <c r="T184" s="416"/>
      <c r="U184" s="422"/>
      <c r="V184" s="422"/>
    </row>
    <row r="185" spans="1:22">
      <c r="A185" s="91">
        <v>173</v>
      </c>
      <c r="B185" s="243"/>
      <c r="C185" s="421"/>
      <c r="D185" s="421"/>
      <c r="E185" s="421"/>
      <c r="F185" s="421"/>
      <c r="G185" s="421"/>
      <c r="H185" s="421"/>
      <c r="I185" s="421"/>
      <c r="J185" s="421"/>
      <c r="K185" s="421"/>
      <c r="L185" s="421"/>
      <c r="M185" s="415"/>
      <c r="N185" s="415"/>
      <c r="O185" s="415"/>
      <c r="P185" s="415"/>
      <c r="Q185" s="416"/>
      <c r="R185" s="416"/>
      <c r="S185" s="416"/>
      <c r="T185" s="416"/>
      <c r="U185" s="422"/>
      <c r="V185" s="422"/>
    </row>
    <row r="186" spans="1:22">
      <c r="A186" s="91">
        <v>174</v>
      </c>
      <c r="B186" s="243"/>
      <c r="C186" s="421"/>
      <c r="D186" s="421"/>
      <c r="E186" s="421"/>
      <c r="F186" s="421"/>
      <c r="G186" s="421"/>
      <c r="H186" s="421"/>
      <c r="I186" s="421"/>
      <c r="J186" s="421"/>
      <c r="K186" s="421"/>
      <c r="L186" s="421"/>
      <c r="M186" s="415"/>
      <c r="N186" s="415"/>
      <c r="O186" s="415"/>
      <c r="P186" s="415"/>
      <c r="Q186" s="416"/>
      <c r="R186" s="416"/>
      <c r="S186" s="416"/>
      <c r="T186" s="416"/>
      <c r="U186" s="422"/>
      <c r="V186" s="422"/>
    </row>
    <row r="187" spans="1:22">
      <c r="A187" s="91">
        <v>175</v>
      </c>
      <c r="B187" s="243"/>
      <c r="C187" s="421"/>
      <c r="D187" s="421"/>
      <c r="E187" s="421"/>
      <c r="F187" s="421"/>
      <c r="G187" s="421"/>
      <c r="H187" s="421"/>
      <c r="I187" s="421"/>
      <c r="J187" s="421"/>
      <c r="K187" s="421"/>
      <c r="L187" s="421"/>
      <c r="M187" s="415"/>
      <c r="N187" s="415"/>
      <c r="O187" s="415"/>
      <c r="P187" s="415"/>
      <c r="Q187" s="416"/>
      <c r="R187" s="416"/>
      <c r="S187" s="416"/>
      <c r="T187" s="416"/>
      <c r="U187" s="422"/>
      <c r="V187" s="422"/>
    </row>
    <row r="188" spans="1:22">
      <c r="A188" s="91">
        <v>176</v>
      </c>
      <c r="B188" s="243"/>
      <c r="C188" s="421"/>
      <c r="D188" s="421"/>
      <c r="E188" s="421"/>
      <c r="F188" s="421"/>
      <c r="G188" s="421"/>
      <c r="H188" s="421"/>
      <c r="I188" s="421"/>
      <c r="J188" s="421"/>
      <c r="K188" s="421"/>
      <c r="L188" s="421"/>
      <c r="M188" s="415"/>
      <c r="N188" s="415"/>
      <c r="O188" s="415"/>
      <c r="P188" s="415"/>
      <c r="Q188" s="416"/>
      <c r="R188" s="416"/>
      <c r="S188" s="416"/>
      <c r="T188" s="416"/>
      <c r="U188" s="422"/>
      <c r="V188" s="422"/>
    </row>
    <row r="189" spans="1:22">
      <c r="A189" s="91">
        <v>177</v>
      </c>
      <c r="B189" s="243"/>
      <c r="C189" s="421"/>
      <c r="D189" s="421"/>
      <c r="E189" s="421"/>
      <c r="F189" s="421"/>
      <c r="G189" s="421"/>
      <c r="H189" s="421"/>
      <c r="I189" s="421"/>
      <c r="J189" s="421"/>
      <c r="K189" s="421"/>
      <c r="L189" s="421"/>
      <c r="M189" s="415"/>
      <c r="N189" s="415"/>
      <c r="O189" s="415"/>
      <c r="P189" s="415"/>
      <c r="Q189" s="416"/>
      <c r="R189" s="416"/>
      <c r="S189" s="416"/>
      <c r="T189" s="416"/>
      <c r="U189" s="422"/>
      <c r="V189" s="422"/>
    </row>
    <row r="190" spans="1:22">
      <c r="A190" s="91">
        <v>178</v>
      </c>
      <c r="B190" s="243"/>
      <c r="C190" s="421"/>
      <c r="D190" s="421"/>
      <c r="E190" s="421"/>
      <c r="F190" s="421"/>
      <c r="G190" s="421"/>
      <c r="H190" s="421"/>
      <c r="I190" s="421"/>
      <c r="J190" s="421"/>
      <c r="K190" s="421"/>
      <c r="L190" s="421"/>
      <c r="M190" s="415"/>
      <c r="N190" s="415"/>
      <c r="O190" s="415"/>
      <c r="P190" s="415"/>
      <c r="Q190" s="416"/>
      <c r="R190" s="416"/>
      <c r="S190" s="416"/>
      <c r="T190" s="416"/>
      <c r="U190" s="422"/>
      <c r="V190" s="422"/>
    </row>
    <row r="191" spans="1:22">
      <c r="A191" s="91">
        <v>179</v>
      </c>
      <c r="B191" s="243"/>
      <c r="C191" s="421"/>
      <c r="D191" s="421"/>
      <c r="E191" s="421"/>
      <c r="F191" s="421"/>
      <c r="G191" s="421"/>
      <c r="H191" s="421"/>
      <c r="I191" s="421"/>
      <c r="J191" s="421"/>
      <c r="K191" s="421"/>
      <c r="L191" s="421"/>
      <c r="M191" s="415"/>
      <c r="N191" s="415"/>
      <c r="O191" s="415"/>
      <c r="P191" s="415"/>
      <c r="Q191" s="416"/>
      <c r="R191" s="416"/>
      <c r="S191" s="416"/>
      <c r="T191" s="416"/>
      <c r="U191" s="422"/>
      <c r="V191" s="422"/>
    </row>
    <row r="192" spans="1:22" ht="12" customHeight="1">
      <c r="A192" s="91">
        <v>180</v>
      </c>
      <c r="B192" s="243"/>
      <c r="C192" s="421"/>
      <c r="D192" s="421"/>
      <c r="E192" s="421"/>
      <c r="F192" s="421"/>
      <c r="G192" s="421"/>
      <c r="H192" s="421"/>
      <c r="I192" s="421"/>
      <c r="J192" s="421"/>
      <c r="K192" s="421"/>
      <c r="L192" s="421"/>
      <c r="M192" s="415"/>
      <c r="N192" s="415"/>
      <c r="O192" s="415"/>
      <c r="P192" s="415"/>
      <c r="Q192" s="416"/>
      <c r="R192" s="416"/>
      <c r="S192" s="416"/>
      <c r="T192" s="416"/>
      <c r="U192" s="422"/>
      <c r="V192" s="422"/>
    </row>
    <row r="193" spans="1:22">
      <c r="A193" s="91">
        <v>181</v>
      </c>
      <c r="B193" s="243"/>
      <c r="C193" s="421"/>
      <c r="D193" s="421"/>
      <c r="E193" s="421"/>
      <c r="F193" s="421"/>
      <c r="G193" s="421"/>
      <c r="H193" s="421"/>
      <c r="I193" s="421"/>
      <c r="J193" s="421"/>
      <c r="K193" s="421"/>
      <c r="L193" s="421"/>
      <c r="M193" s="415"/>
      <c r="N193" s="415"/>
      <c r="O193" s="415"/>
      <c r="P193" s="415"/>
      <c r="Q193" s="416"/>
      <c r="R193" s="416"/>
      <c r="S193" s="416"/>
      <c r="T193" s="416"/>
      <c r="U193" s="422"/>
      <c r="V193" s="422"/>
    </row>
    <row r="194" spans="1:22">
      <c r="A194" s="91">
        <v>182</v>
      </c>
      <c r="B194" s="243"/>
      <c r="C194" s="421"/>
      <c r="D194" s="421"/>
      <c r="E194" s="421"/>
      <c r="F194" s="421"/>
      <c r="G194" s="421"/>
      <c r="H194" s="421"/>
      <c r="I194" s="421"/>
      <c r="J194" s="421"/>
      <c r="K194" s="421"/>
      <c r="L194" s="421"/>
      <c r="M194" s="415"/>
      <c r="N194" s="415"/>
      <c r="O194" s="415"/>
      <c r="P194" s="415"/>
      <c r="Q194" s="416"/>
      <c r="R194" s="416"/>
      <c r="S194" s="416"/>
      <c r="T194" s="416"/>
      <c r="U194" s="422"/>
      <c r="V194" s="422"/>
    </row>
    <row r="195" spans="1:22">
      <c r="A195" s="91">
        <v>183</v>
      </c>
      <c r="B195" s="243"/>
      <c r="C195" s="421"/>
      <c r="D195" s="421"/>
      <c r="E195" s="421"/>
      <c r="F195" s="421"/>
      <c r="G195" s="421"/>
      <c r="H195" s="421"/>
      <c r="I195" s="421"/>
      <c r="J195" s="421"/>
      <c r="K195" s="421"/>
      <c r="L195" s="421"/>
      <c r="M195" s="415"/>
      <c r="N195" s="415"/>
      <c r="O195" s="415"/>
      <c r="P195" s="415"/>
      <c r="Q195" s="416"/>
      <c r="R195" s="416"/>
      <c r="S195" s="416"/>
      <c r="T195" s="416"/>
      <c r="U195" s="422"/>
      <c r="V195" s="422"/>
    </row>
    <row r="196" spans="1:22">
      <c r="A196" s="91">
        <v>184</v>
      </c>
      <c r="B196" s="243"/>
      <c r="C196" s="421"/>
      <c r="D196" s="421"/>
      <c r="E196" s="421"/>
      <c r="F196" s="421"/>
      <c r="G196" s="421"/>
      <c r="H196" s="421"/>
      <c r="I196" s="421"/>
      <c r="J196" s="421"/>
      <c r="K196" s="421"/>
      <c r="L196" s="421"/>
      <c r="M196" s="415"/>
      <c r="N196" s="415"/>
      <c r="O196" s="415"/>
      <c r="P196" s="415"/>
      <c r="Q196" s="416"/>
      <c r="R196" s="416"/>
      <c r="S196" s="416"/>
      <c r="T196" s="416"/>
      <c r="U196" s="422"/>
      <c r="V196" s="422"/>
    </row>
    <row r="197" spans="1:22">
      <c r="A197" s="91">
        <v>185</v>
      </c>
      <c r="B197" s="243"/>
      <c r="C197" s="421"/>
      <c r="D197" s="421"/>
      <c r="E197" s="421"/>
      <c r="F197" s="421"/>
      <c r="G197" s="421"/>
      <c r="H197" s="421"/>
      <c r="I197" s="421"/>
      <c r="J197" s="421"/>
      <c r="K197" s="421"/>
      <c r="L197" s="421"/>
      <c r="M197" s="415"/>
      <c r="N197" s="415"/>
      <c r="O197" s="415"/>
      <c r="P197" s="415"/>
      <c r="Q197" s="416"/>
      <c r="R197" s="416"/>
      <c r="S197" s="416"/>
      <c r="T197" s="416"/>
      <c r="U197" s="422"/>
      <c r="V197" s="422"/>
    </row>
    <row r="198" spans="1:22">
      <c r="A198" s="91">
        <v>186</v>
      </c>
      <c r="B198" s="243"/>
      <c r="C198" s="421"/>
      <c r="D198" s="421"/>
      <c r="E198" s="421"/>
      <c r="F198" s="421"/>
      <c r="G198" s="421"/>
      <c r="H198" s="421"/>
      <c r="I198" s="421"/>
      <c r="J198" s="421"/>
      <c r="K198" s="421"/>
      <c r="L198" s="421"/>
      <c r="M198" s="415"/>
      <c r="N198" s="415"/>
      <c r="O198" s="415"/>
      <c r="P198" s="415"/>
      <c r="Q198" s="416"/>
      <c r="R198" s="416"/>
      <c r="S198" s="416"/>
      <c r="T198" s="416"/>
      <c r="U198" s="422"/>
      <c r="V198" s="422"/>
    </row>
    <row r="199" spans="1:22">
      <c r="A199" s="91">
        <v>187</v>
      </c>
      <c r="B199" s="243"/>
      <c r="C199" s="421"/>
      <c r="D199" s="421"/>
      <c r="E199" s="421"/>
      <c r="F199" s="421"/>
      <c r="G199" s="421"/>
      <c r="H199" s="421"/>
      <c r="I199" s="421"/>
      <c r="J199" s="421"/>
      <c r="K199" s="421"/>
      <c r="L199" s="421"/>
      <c r="M199" s="415"/>
      <c r="N199" s="415"/>
      <c r="O199" s="415"/>
      <c r="P199" s="415"/>
      <c r="Q199" s="416"/>
      <c r="R199" s="416"/>
      <c r="S199" s="416"/>
      <c r="T199" s="416"/>
      <c r="U199" s="422"/>
      <c r="V199" s="422"/>
    </row>
    <row r="200" spans="1:22">
      <c r="A200" s="91">
        <v>188</v>
      </c>
      <c r="B200" s="243"/>
      <c r="C200" s="421"/>
      <c r="D200" s="421"/>
      <c r="E200" s="421"/>
      <c r="F200" s="421"/>
      <c r="G200" s="421"/>
      <c r="H200" s="421"/>
      <c r="I200" s="421"/>
      <c r="J200" s="421"/>
      <c r="K200" s="421"/>
      <c r="L200" s="421"/>
      <c r="M200" s="415"/>
      <c r="N200" s="415"/>
      <c r="O200" s="415"/>
      <c r="P200" s="415"/>
      <c r="Q200" s="416"/>
      <c r="R200" s="416"/>
      <c r="S200" s="416"/>
      <c r="T200" s="416"/>
      <c r="U200" s="422"/>
      <c r="V200" s="422"/>
    </row>
    <row r="201" spans="1:22">
      <c r="A201" s="91">
        <v>189</v>
      </c>
      <c r="B201" s="243"/>
      <c r="C201" s="421"/>
      <c r="D201" s="421"/>
      <c r="E201" s="421"/>
      <c r="F201" s="421"/>
      <c r="G201" s="421"/>
      <c r="H201" s="421"/>
      <c r="I201" s="421"/>
      <c r="J201" s="421"/>
      <c r="K201" s="421"/>
      <c r="L201" s="421"/>
      <c r="M201" s="415"/>
      <c r="N201" s="415"/>
      <c r="O201" s="415"/>
      <c r="P201" s="415"/>
      <c r="Q201" s="416"/>
      <c r="R201" s="416"/>
      <c r="S201" s="416"/>
      <c r="T201" s="416"/>
      <c r="U201" s="422"/>
      <c r="V201" s="422"/>
    </row>
    <row r="202" spans="1:22">
      <c r="A202" s="91">
        <v>190</v>
      </c>
      <c r="B202" s="243"/>
      <c r="C202" s="421"/>
      <c r="D202" s="421"/>
      <c r="E202" s="421"/>
      <c r="F202" s="421"/>
      <c r="G202" s="421"/>
      <c r="H202" s="421"/>
      <c r="I202" s="421"/>
      <c r="J202" s="421"/>
      <c r="K202" s="421"/>
      <c r="L202" s="421"/>
      <c r="M202" s="415"/>
      <c r="N202" s="415"/>
      <c r="O202" s="415"/>
      <c r="P202" s="415"/>
      <c r="Q202" s="416"/>
      <c r="R202" s="416"/>
      <c r="S202" s="416"/>
      <c r="T202" s="416"/>
      <c r="U202" s="422"/>
      <c r="V202" s="422"/>
    </row>
    <row r="203" spans="1:22">
      <c r="A203" s="91">
        <v>191</v>
      </c>
      <c r="B203" s="243"/>
      <c r="C203" s="421"/>
      <c r="D203" s="421"/>
      <c r="E203" s="421"/>
      <c r="F203" s="421"/>
      <c r="G203" s="421"/>
      <c r="H203" s="421"/>
      <c r="I203" s="421"/>
      <c r="J203" s="421"/>
      <c r="K203" s="421"/>
      <c r="L203" s="421"/>
      <c r="M203" s="415"/>
      <c r="N203" s="415"/>
      <c r="O203" s="415"/>
      <c r="P203" s="415"/>
      <c r="Q203" s="416"/>
      <c r="R203" s="416"/>
      <c r="S203" s="416"/>
      <c r="T203" s="416"/>
      <c r="U203" s="422"/>
      <c r="V203" s="422"/>
    </row>
    <row r="204" spans="1:22">
      <c r="A204" s="91">
        <v>192</v>
      </c>
      <c r="B204" s="243"/>
      <c r="C204" s="421"/>
      <c r="D204" s="421"/>
      <c r="E204" s="421"/>
      <c r="F204" s="421"/>
      <c r="G204" s="421"/>
      <c r="H204" s="421"/>
      <c r="I204" s="421"/>
      <c r="J204" s="421"/>
      <c r="K204" s="421"/>
      <c r="L204" s="421"/>
      <c r="M204" s="415"/>
      <c r="N204" s="415"/>
      <c r="O204" s="415"/>
      <c r="P204" s="415"/>
      <c r="Q204" s="416"/>
      <c r="R204" s="416"/>
      <c r="S204" s="416"/>
      <c r="T204" s="416"/>
      <c r="U204" s="422"/>
      <c r="V204" s="422"/>
    </row>
    <row r="205" spans="1:22">
      <c r="A205" s="91">
        <v>193</v>
      </c>
      <c r="B205" s="243"/>
      <c r="C205" s="421"/>
      <c r="D205" s="421"/>
      <c r="E205" s="421"/>
      <c r="F205" s="421"/>
      <c r="G205" s="421"/>
      <c r="H205" s="421"/>
      <c r="I205" s="421"/>
      <c r="J205" s="421"/>
      <c r="K205" s="421"/>
      <c r="L205" s="421"/>
      <c r="M205" s="415"/>
      <c r="N205" s="415"/>
      <c r="O205" s="415"/>
      <c r="P205" s="415"/>
      <c r="Q205" s="416"/>
      <c r="R205" s="416"/>
      <c r="S205" s="416"/>
      <c r="T205" s="416"/>
      <c r="U205" s="422"/>
      <c r="V205" s="422"/>
    </row>
    <row r="206" spans="1:22">
      <c r="A206" s="91">
        <v>194</v>
      </c>
      <c r="B206" s="243"/>
      <c r="C206" s="421"/>
      <c r="D206" s="421"/>
      <c r="E206" s="421"/>
      <c r="F206" s="421"/>
      <c r="G206" s="421"/>
      <c r="H206" s="421"/>
      <c r="I206" s="421"/>
      <c r="J206" s="421"/>
      <c r="K206" s="421"/>
      <c r="L206" s="421"/>
      <c r="M206" s="415"/>
      <c r="N206" s="415"/>
      <c r="O206" s="415"/>
      <c r="P206" s="415"/>
      <c r="Q206" s="416"/>
      <c r="R206" s="416"/>
      <c r="S206" s="416"/>
      <c r="T206" s="416"/>
      <c r="U206" s="422"/>
      <c r="V206" s="422"/>
    </row>
    <row r="207" spans="1:22">
      <c r="A207" s="91">
        <v>195</v>
      </c>
      <c r="B207" s="243"/>
      <c r="C207" s="421"/>
      <c r="D207" s="421"/>
      <c r="E207" s="421"/>
      <c r="F207" s="421"/>
      <c r="G207" s="421"/>
      <c r="H207" s="421"/>
      <c r="I207" s="421"/>
      <c r="J207" s="421"/>
      <c r="K207" s="421"/>
      <c r="L207" s="421"/>
      <c r="M207" s="415"/>
      <c r="N207" s="415"/>
      <c r="O207" s="415"/>
      <c r="P207" s="415"/>
      <c r="Q207" s="416"/>
      <c r="R207" s="416"/>
      <c r="S207" s="416"/>
      <c r="T207" s="416"/>
      <c r="U207" s="422"/>
      <c r="V207" s="422"/>
    </row>
    <row r="208" spans="1:22">
      <c r="A208" s="91">
        <v>196</v>
      </c>
      <c r="B208" s="243"/>
      <c r="C208" s="421"/>
      <c r="D208" s="421"/>
      <c r="E208" s="421"/>
      <c r="F208" s="421"/>
      <c r="G208" s="421"/>
      <c r="H208" s="421"/>
      <c r="I208" s="421"/>
      <c r="J208" s="421"/>
      <c r="K208" s="421"/>
      <c r="L208" s="421"/>
      <c r="M208" s="415"/>
      <c r="N208" s="415"/>
      <c r="O208" s="415"/>
      <c r="P208" s="415"/>
      <c r="Q208" s="416"/>
      <c r="R208" s="416"/>
      <c r="S208" s="416"/>
      <c r="T208" s="416"/>
      <c r="U208" s="422"/>
      <c r="V208" s="422"/>
    </row>
    <row r="209" spans="1:22">
      <c r="A209" s="91">
        <v>197</v>
      </c>
      <c r="B209" s="243"/>
      <c r="C209" s="421"/>
      <c r="D209" s="421"/>
      <c r="E209" s="421"/>
      <c r="F209" s="421"/>
      <c r="G209" s="421"/>
      <c r="H209" s="421"/>
      <c r="I209" s="421"/>
      <c r="J209" s="421"/>
      <c r="K209" s="421"/>
      <c r="L209" s="421"/>
      <c r="M209" s="415"/>
      <c r="N209" s="415"/>
      <c r="O209" s="415"/>
      <c r="P209" s="415"/>
      <c r="Q209" s="416"/>
      <c r="R209" s="416"/>
      <c r="S209" s="416"/>
      <c r="T209" s="416"/>
      <c r="U209" s="422"/>
      <c r="V209" s="422"/>
    </row>
    <row r="210" spans="1:22">
      <c r="A210" s="91">
        <v>198</v>
      </c>
      <c r="B210" s="243"/>
      <c r="C210" s="421"/>
      <c r="D210" s="421"/>
      <c r="E210" s="421"/>
      <c r="F210" s="421"/>
      <c r="G210" s="421"/>
      <c r="H210" s="421"/>
      <c r="I210" s="421"/>
      <c r="J210" s="421"/>
      <c r="K210" s="421"/>
      <c r="L210" s="421"/>
      <c r="M210" s="415"/>
      <c r="N210" s="415"/>
      <c r="O210" s="415"/>
      <c r="P210" s="415"/>
      <c r="Q210" s="416"/>
      <c r="R210" s="416"/>
      <c r="S210" s="416"/>
      <c r="T210" s="416"/>
      <c r="U210" s="422"/>
      <c r="V210" s="422"/>
    </row>
    <row r="211" spans="1:22">
      <c r="A211" s="91">
        <v>199</v>
      </c>
      <c r="B211" s="243"/>
      <c r="C211" s="421"/>
      <c r="D211" s="421"/>
      <c r="E211" s="421"/>
      <c r="F211" s="421"/>
      <c r="G211" s="421"/>
      <c r="H211" s="421"/>
      <c r="I211" s="421"/>
      <c r="J211" s="421"/>
      <c r="K211" s="421"/>
      <c r="L211" s="421"/>
      <c r="M211" s="415"/>
      <c r="N211" s="415"/>
      <c r="O211" s="415"/>
      <c r="P211" s="415"/>
      <c r="Q211" s="416"/>
      <c r="R211" s="416"/>
      <c r="S211" s="416"/>
      <c r="T211" s="416"/>
      <c r="U211" s="422"/>
      <c r="V211" s="422"/>
    </row>
    <row r="212" spans="1:22">
      <c r="A212" s="91">
        <v>200</v>
      </c>
      <c r="B212" s="243"/>
      <c r="C212" s="421"/>
      <c r="D212" s="421"/>
      <c r="E212" s="421"/>
      <c r="F212" s="421"/>
      <c r="G212" s="421"/>
      <c r="H212" s="421"/>
      <c r="I212" s="421"/>
      <c r="J212" s="421"/>
      <c r="K212" s="421"/>
      <c r="L212" s="421"/>
      <c r="M212" s="415"/>
      <c r="N212" s="415"/>
      <c r="O212" s="415"/>
      <c r="P212" s="415"/>
      <c r="Q212" s="416"/>
      <c r="R212" s="416"/>
      <c r="S212" s="416"/>
      <c r="T212" s="416"/>
      <c r="U212" s="422"/>
      <c r="V212" s="422"/>
    </row>
    <row r="213" spans="1:22">
      <c r="A213" s="91">
        <v>201</v>
      </c>
      <c r="B213" s="243"/>
      <c r="C213" s="421"/>
      <c r="D213" s="421"/>
      <c r="E213" s="421"/>
      <c r="F213" s="421"/>
      <c r="G213" s="421"/>
      <c r="H213" s="421"/>
      <c r="I213" s="421"/>
      <c r="J213" s="421"/>
      <c r="K213" s="421"/>
      <c r="L213" s="421"/>
      <c r="M213" s="415"/>
      <c r="N213" s="415"/>
      <c r="O213" s="415"/>
      <c r="P213" s="415"/>
      <c r="Q213" s="416"/>
      <c r="R213" s="416"/>
      <c r="S213" s="416"/>
      <c r="T213" s="416"/>
      <c r="U213" s="422"/>
      <c r="V213" s="422"/>
    </row>
    <row r="214" spans="1:22">
      <c r="A214" s="91">
        <v>202</v>
      </c>
      <c r="B214" s="243"/>
      <c r="C214" s="421"/>
      <c r="D214" s="421"/>
      <c r="E214" s="421"/>
      <c r="F214" s="421"/>
      <c r="G214" s="421"/>
      <c r="H214" s="421"/>
      <c r="I214" s="421"/>
      <c r="J214" s="421"/>
      <c r="K214" s="421"/>
      <c r="L214" s="421"/>
      <c r="M214" s="415"/>
      <c r="N214" s="415"/>
      <c r="O214" s="415"/>
      <c r="P214" s="415"/>
      <c r="Q214" s="416"/>
      <c r="R214" s="416"/>
      <c r="S214" s="416"/>
      <c r="T214" s="416"/>
      <c r="U214" s="422"/>
      <c r="V214" s="422"/>
    </row>
    <row r="215" spans="1:22">
      <c r="A215" s="91">
        <v>203</v>
      </c>
      <c r="B215" s="243"/>
      <c r="C215" s="421"/>
      <c r="D215" s="421"/>
      <c r="E215" s="421"/>
      <c r="F215" s="421"/>
      <c r="G215" s="421"/>
      <c r="H215" s="421"/>
      <c r="I215" s="421"/>
      <c r="J215" s="421"/>
      <c r="K215" s="421"/>
      <c r="L215" s="421"/>
      <c r="M215" s="415"/>
      <c r="N215" s="415"/>
      <c r="O215" s="415"/>
      <c r="P215" s="415"/>
      <c r="Q215" s="416"/>
      <c r="R215" s="416"/>
      <c r="S215" s="416"/>
      <c r="T215" s="416"/>
      <c r="U215" s="422"/>
      <c r="V215" s="422"/>
    </row>
    <row r="216" spans="1:22">
      <c r="A216" s="91">
        <v>204</v>
      </c>
      <c r="B216" s="243"/>
      <c r="C216" s="421"/>
      <c r="D216" s="421"/>
      <c r="E216" s="421"/>
      <c r="F216" s="421"/>
      <c r="G216" s="421"/>
      <c r="H216" s="421"/>
      <c r="I216" s="421"/>
      <c r="J216" s="421"/>
      <c r="K216" s="421"/>
      <c r="L216" s="421"/>
      <c r="M216" s="415"/>
      <c r="N216" s="415"/>
      <c r="O216" s="415"/>
      <c r="P216" s="415"/>
      <c r="Q216" s="416"/>
      <c r="R216" s="416"/>
      <c r="S216" s="416"/>
      <c r="T216" s="416"/>
      <c r="U216" s="422"/>
      <c r="V216" s="422"/>
    </row>
    <row r="217" spans="1:22">
      <c r="A217" s="91">
        <v>205</v>
      </c>
      <c r="B217" s="243"/>
      <c r="C217" s="421"/>
      <c r="D217" s="421"/>
      <c r="E217" s="421"/>
      <c r="F217" s="421"/>
      <c r="G217" s="421"/>
      <c r="H217" s="421"/>
      <c r="I217" s="421"/>
      <c r="J217" s="421"/>
      <c r="K217" s="421"/>
      <c r="L217" s="421"/>
      <c r="M217" s="415"/>
      <c r="N217" s="415"/>
      <c r="O217" s="415"/>
      <c r="P217" s="415"/>
      <c r="Q217" s="416"/>
      <c r="R217" s="416"/>
      <c r="S217" s="416"/>
      <c r="T217" s="416"/>
      <c r="U217" s="422"/>
      <c r="V217" s="422"/>
    </row>
    <row r="218" spans="1:22">
      <c r="A218" s="91">
        <v>206</v>
      </c>
      <c r="B218" s="243"/>
      <c r="C218" s="421"/>
      <c r="D218" s="421"/>
      <c r="E218" s="421"/>
      <c r="F218" s="421"/>
      <c r="G218" s="421"/>
      <c r="H218" s="421"/>
      <c r="I218" s="421"/>
      <c r="J218" s="421"/>
      <c r="K218" s="421"/>
      <c r="L218" s="421"/>
      <c r="M218" s="415"/>
      <c r="N218" s="415"/>
      <c r="O218" s="415"/>
      <c r="P218" s="415"/>
      <c r="Q218" s="416"/>
      <c r="R218" s="416"/>
      <c r="S218" s="416"/>
      <c r="T218" s="416"/>
      <c r="U218" s="422"/>
      <c r="V218" s="422"/>
    </row>
    <row r="219" spans="1:22">
      <c r="A219" s="91">
        <v>207</v>
      </c>
      <c r="B219" s="243"/>
      <c r="C219" s="421"/>
      <c r="D219" s="421"/>
      <c r="E219" s="421"/>
      <c r="F219" s="421"/>
      <c r="G219" s="421"/>
      <c r="H219" s="421"/>
      <c r="I219" s="421"/>
      <c r="J219" s="421"/>
      <c r="K219" s="421"/>
      <c r="L219" s="421"/>
      <c r="M219" s="415"/>
      <c r="N219" s="415"/>
      <c r="O219" s="415"/>
      <c r="P219" s="415"/>
      <c r="Q219" s="416"/>
      <c r="R219" s="416"/>
      <c r="S219" s="416"/>
      <c r="T219" s="416"/>
      <c r="U219" s="422"/>
      <c r="V219" s="422"/>
    </row>
    <row r="220" spans="1:22">
      <c r="A220" s="91">
        <v>208</v>
      </c>
      <c r="B220" s="243"/>
      <c r="C220" s="421"/>
      <c r="D220" s="421"/>
      <c r="E220" s="421"/>
      <c r="F220" s="421"/>
      <c r="G220" s="421"/>
      <c r="H220" s="421"/>
      <c r="I220" s="421"/>
      <c r="J220" s="421"/>
      <c r="K220" s="421"/>
      <c r="L220" s="421"/>
      <c r="M220" s="415"/>
      <c r="N220" s="415"/>
      <c r="O220" s="415"/>
      <c r="P220" s="415"/>
      <c r="Q220" s="416"/>
      <c r="R220" s="416"/>
      <c r="S220" s="416"/>
      <c r="T220" s="416"/>
      <c r="U220" s="422"/>
      <c r="V220" s="422"/>
    </row>
    <row r="221" spans="1:22">
      <c r="A221" s="91">
        <v>209</v>
      </c>
      <c r="B221" s="243"/>
      <c r="C221" s="421"/>
      <c r="D221" s="421"/>
      <c r="E221" s="421"/>
      <c r="F221" s="421"/>
      <c r="G221" s="421"/>
      <c r="H221" s="421"/>
      <c r="I221" s="421"/>
      <c r="J221" s="421"/>
      <c r="K221" s="421"/>
      <c r="L221" s="421"/>
      <c r="M221" s="415"/>
      <c r="N221" s="415"/>
      <c r="O221" s="415"/>
      <c r="P221" s="415"/>
      <c r="Q221" s="416"/>
      <c r="R221" s="416"/>
      <c r="S221" s="416"/>
      <c r="T221" s="416"/>
      <c r="U221" s="422"/>
      <c r="V221" s="422"/>
    </row>
    <row r="222" spans="1:22">
      <c r="A222" s="91">
        <v>210</v>
      </c>
      <c r="B222" s="243"/>
      <c r="C222" s="421"/>
      <c r="D222" s="421"/>
      <c r="E222" s="421"/>
      <c r="F222" s="421"/>
      <c r="G222" s="421"/>
      <c r="H222" s="421"/>
      <c r="I222" s="421"/>
      <c r="J222" s="421"/>
      <c r="K222" s="421"/>
      <c r="L222" s="421"/>
      <c r="M222" s="415"/>
      <c r="N222" s="415"/>
      <c r="O222" s="415"/>
      <c r="P222" s="415"/>
      <c r="Q222" s="416"/>
      <c r="R222" s="416"/>
      <c r="S222" s="416"/>
      <c r="T222" s="416"/>
      <c r="U222" s="422"/>
      <c r="V222" s="422"/>
    </row>
    <row r="223" spans="1:22">
      <c r="A223" s="91">
        <v>211</v>
      </c>
      <c r="B223" s="243"/>
      <c r="C223" s="421"/>
      <c r="D223" s="421"/>
      <c r="E223" s="421"/>
      <c r="F223" s="421"/>
      <c r="G223" s="421"/>
      <c r="H223" s="421"/>
      <c r="I223" s="421"/>
      <c r="J223" s="421"/>
      <c r="K223" s="421"/>
      <c r="L223" s="421"/>
      <c r="M223" s="415"/>
      <c r="N223" s="415"/>
      <c r="O223" s="415"/>
      <c r="P223" s="415"/>
      <c r="Q223" s="416"/>
      <c r="R223" s="416"/>
      <c r="S223" s="416"/>
      <c r="T223" s="416"/>
      <c r="U223" s="422"/>
      <c r="V223" s="422"/>
    </row>
    <row r="224" spans="1:22">
      <c r="A224" s="91">
        <v>212</v>
      </c>
      <c r="B224" s="243"/>
      <c r="C224" s="421"/>
      <c r="D224" s="421"/>
      <c r="E224" s="421"/>
      <c r="F224" s="421"/>
      <c r="G224" s="421"/>
      <c r="H224" s="421"/>
      <c r="I224" s="421"/>
      <c r="J224" s="421"/>
      <c r="K224" s="421"/>
      <c r="L224" s="421"/>
      <c r="M224" s="415"/>
      <c r="N224" s="415"/>
      <c r="O224" s="415"/>
      <c r="P224" s="415"/>
      <c r="Q224" s="416"/>
      <c r="R224" s="416"/>
      <c r="S224" s="416"/>
      <c r="T224" s="416"/>
      <c r="U224" s="422"/>
      <c r="V224" s="422"/>
    </row>
    <row r="225" spans="1:22">
      <c r="A225" s="91">
        <v>213</v>
      </c>
      <c r="B225" s="243"/>
      <c r="C225" s="421"/>
      <c r="D225" s="421"/>
      <c r="E225" s="421"/>
      <c r="F225" s="421"/>
      <c r="G225" s="421"/>
      <c r="H225" s="421"/>
      <c r="I225" s="421"/>
      <c r="J225" s="421"/>
      <c r="K225" s="421"/>
      <c r="L225" s="421"/>
      <c r="M225" s="415"/>
      <c r="N225" s="415"/>
      <c r="O225" s="415"/>
      <c r="P225" s="415"/>
      <c r="Q225" s="416"/>
      <c r="R225" s="416"/>
      <c r="S225" s="416"/>
      <c r="T225" s="416"/>
      <c r="U225" s="422"/>
      <c r="V225" s="422"/>
    </row>
    <row r="226" spans="1:22">
      <c r="A226" s="91">
        <v>214</v>
      </c>
      <c r="B226" s="243"/>
      <c r="C226" s="421"/>
      <c r="D226" s="421"/>
      <c r="E226" s="421"/>
      <c r="F226" s="421"/>
      <c r="G226" s="421"/>
      <c r="H226" s="421"/>
      <c r="I226" s="421"/>
      <c r="J226" s="421"/>
      <c r="K226" s="421"/>
      <c r="L226" s="421"/>
      <c r="M226" s="415"/>
      <c r="N226" s="415"/>
      <c r="O226" s="415"/>
      <c r="P226" s="415"/>
      <c r="Q226" s="416"/>
      <c r="R226" s="416"/>
      <c r="S226" s="416"/>
      <c r="T226" s="416"/>
      <c r="U226" s="422"/>
      <c r="V226" s="422"/>
    </row>
    <row r="227" spans="1:22">
      <c r="A227" s="91">
        <v>215</v>
      </c>
      <c r="B227" s="243"/>
      <c r="C227" s="421"/>
      <c r="D227" s="421"/>
      <c r="E227" s="421"/>
      <c r="F227" s="421"/>
      <c r="G227" s="421"/>
      <c r="H227" s="421"/>
      <c r="I227" s="421"/>
      <c r="J227" s="421"/>
      <c r="K227" s="421"/>
      <c r="L227" s="421"/>
      <c r="M227" s="415"/>
      <c r="N227" s="415"/>
      <c r="O227" s="415"/>
      <c r="P227" s="415"/>
      <c r="Q227" s="416"/>
      <c r="R227" s="416"/>
      <c r="S227" s="416"/>
      <c r="T227" s="416"/>
      <c r="U227" s="422"/>
      <c r="V227" s="422"/>
    </row>
    <row r="228" spans="1:22">
      <c r="A228" s="91">
        <v>216</v>
      </c>
      <c r="B228" s="243"/>
      <c r="C228" s="421"/>
      <c r="D228" s="421"/>
      <c r="E228" s="421"/>
      <c r="F228" s="421"/>
      <c r="G228" s="421"/>
      <c r="H228" s="421"/>
      <c r="I228" s="421"/>
      <c r="J228" s="421"/>
      <c r="K228" s="421"/>
      <c r="L228" s="421"/>
      <c r="M228" s="415"/>
      <c r="N228" s="415"/>
      <c r="O228" s="415"/>
      <c r="P228" s="415"/>
      <c r="Q228" s="416"/>
      <c r="R228" s="416"/>
      <c r="S228" s="416"/>
      <c r="T228" s="416"/>
      <c r="U228" s="422"/>
      <c r="V228" s="422"/>
    </row>
    <row r="229" spans="1:22">
      <c r="A229" s="91">
        <v>217</v>
      </c>
      <c r="B229" s="243"/>
      <c r="C229" s="421"/>
      <c r="D229" s="421"/>
      <c r="E229" s="421"/>
      <c r="F229" s="421"/>
      <c r="G229" s="421"/>
      <c r="H229" s="421"/>
      <c r="I229" s="421"/>
      <c r="J229" s="421"/>
      <c r="K229" s="421"/>
      <c r="L229" s="421"/>
      <c r="M229" s="415"/>
      <c r="N229" s="415"/>
      <c r="O229" s="415"/>
      <c r="P229" s="415"/>
      <c r="Q229" s="416"/>
      <c r="R229" s="416"/>
      <c r="S229" s="416"/>
      <c r="T229" s="416"/>
      <c r="U229" s="422"/>
      <c r="V229" s="422"/>
    </row>
    <row r="230" spans="1:22">
      <c r="A230" s="91">
        <v>218</v>
      </c>
      <c r="B230" s="243"/>
      <c r="C230" s="421"/>
      <c r="D230" s="421"/>
      <c r="E230" s="421"/>
      <c r="F230" s="421"/>
      <c r="G230" s="421"/>
      <c r="H230" s="421"/>
      <c r="I230" s="421"/>
      <c r="J230" s="421"/>
      <c r="K230" s="421"/>
      <c r="L230" s="421"/>
      <c r="M230" s="415"/>
      <c r="N230" s="415"/>
      <c r="O230" s="415"/>
      <c r="P230" s="415"/>
      <c r="Q230" s="416"/>
      <c r="R230" s="416"/>
      <c r="S230" s="416"/>
      <c r="T230" s="416"/>
      <c r="U230" s="422"/>
      <c r="V230" s="422"/>
    </row>
    <row r="231" spans="1:22">
      <c r="A231" s="91">
        <v>219</v>
      </c>
      <c r="B231" s="243"/>
      <c r="C231" s="421"/>
      <c r="D231" s="421"/>
      <c r="E231" s="421"/>
      <c r="F231" s="421"/>
      <c r="G231" s="421"/>
      <c r="H231" s="421"/>
      <c r="I231" s="421"/>
      <c r="J231" s="421"/>
      <c r="K231" s="421"/>
      <c r="L231" s="421"/>
      <c r="M231" s="415"/>
      <c r="N231" s="415"/>
      <c r="O231" s="415"/>
      <c r="P231" s="415"/>
      <c r="Q231" s="416"/>
      <c r="R231" s="416"/>
      <c r="S231" s="416"/>
      <c r="T231" s="416"/>
      <c r="U231" s="422"/>
      <c r="V231" s="422"/>
    </row>
    <row r="232" spans="1:22">
      <c r="A232" s="91">
        <v>220</v>
      </c>
      <c r="B232" s="243"/>
      <c r="C232" s="421"/>
      <c r="D232" s="421"/>
      <c r="E232" s="421"/>
      <c r="F232" s="421"/>
      <c r="G232" s="421"/>
      <c r="H232" s="421"/>
      <c r="I232" s="421"/>
      <c r="J232" s="421"/>
      <c r="K232" s="421"/>
      <c r="L232" s="421"/>
      <c r="M232" s="415"/>
      <c r="N232" s="415"/>
      <c r="O232" s="415"/>
      <c r="P232" s="415"/>
      <c r="Q232" s="416"/>
      <c r="R232" s="416"/>
      <c r="S232" s="416"/>
      <c r="T232" s="416"/>
      <c r="U232" s="422"/>
      <c r="V232" s="422"/>
    </row>
    <row r="233" spans="1:22">
      <c r="A233" s="91">
        <v>221</v>
      </c>
      <c r="B233" s="243"/>
      <c r="C233" s="421"/>
      <c r="D233" s="421"/>
      <c r="E233" s="421"/>
      <c r="F233" s="421"/>
      <c r="G233" s="421"/>
      <c r="H233" s="421"/>
      <c r="I233" s="421"/>
      <c r="J233" s="421"/>
      <c r="K233" s="421"/>
      <c r="L233" s="421"/>
      <c r="M233" s="415"/>
      <c r="N233" s="415"/>
      <c r="O233" s="415"/>
      <c r="P233" s="415"/>
      <c r="Q233" s="416"/>
      <c r="R233" s="416"/>
      <c r="S233" s="416"/>
      <c r="T233" s="416"/>
      <c r="U233" s="422"/>
      <c r="V233" s="422"/>
    </row>
    <row r="234" spans="1:22">
      <c r="A234" s="91">
        <v>222</v>
      </c>
      <c r="B234" s="243"/>
      <c r="C234" s="421"/>
      <c r="D234" s="421"/>
      <c r="E234" s="421"/>
      <c r="F234" s="421"/>
      <c r="G234" s="421"/>
      <c r="H234" s="421"/>
      <c r="I234" s="421"/>
      <c r="J234" s="421"/>
      <c r="K234" s="421"/>
      <c r="L234" s="421"/>
      <c r="M234" s="415"/>
      <c r="N234" s="415"/>
      <c r="O234" s="415"/>
      <c r="P234" s="415"/>
      <c r="Q234" s="416"/>
      <c r="R234" s="416"/>
      <c r="S234" s="416"/>
      <c r="T234" s="416"/>
      <c r="U234" s="422"/>
      <c r="V234" s="422"/>
    </row>
    <row r="235" spans="1:22">
      <c r="A235" s="91">
        <v>223</v>
      </c>
      <c r="B235" s="243"/>
      <c r="C235" s="421"/>
      <c r="D235" s="421"/>
      <c r="E235" s="421"/>
      <c r="F235" s="421"/>
      <c r="G235" s="421"/>
      <c r="H235" s="421"/>
      <c r="I235" s="421"/>
      <c r="J235" s="421"/>
      <c r="K235" s="421"/>
      <c r="L235" s="421"/>
      <c r="M235" s="415"/>
      <c r="N235" s="415"/>
      <c r="O235" s="415"/>
      <c r="P235" s="415"/>
      <c r="Q235" s="416"/>
      <c r="R235" s="416"/>
      <c r="S235" s="416"/>
      <c r="T235" s="416"/>
      <c r="U235" s="422"/>
      <c r="V235" s="422"/>
    </row>
    <row r="236" spans="1:22">
      <c r="A236" s="91">
        <v>224</v>
      </c>
      <c r="B236" s="243"/>
      <c r="C236" s="421"/>
      <c r="D236" s="421"/>
      <c r="E236" s="421"/>
      <c r="F236" s="421"/>
      <c r="G236" s="421"/>
      <c r="H236" s="421"/>
      <c r="I236" s="421"/>
      <c r="J236" s="421"/>
      <c r="K236" s="421"/>
      <c r="L236" s="421"/>
      <c r="M236" s="415"/>
      <c r="N236" s="415"/>
      <c r="O236" s="415"/>
      <c r="P236" s="415"/>
      <c r="Q236" s="416"/>
      <c r="R236" s="416"/>
      <c r="S236" s="416"/>
      <c r="T236" s="416"/>
      <c r="U236" s="422"/>
      <c r="V236" s="422"/>
    </row>
    <row r="237" spans="1:22">
      <c r="A237" s="91">
        <v>225</v>
      </c>
      <c r="B237" s="243"/>
      <c r="C237" s="418"/>
      <c r="D237" s="419"/>
      <c r="E237" s="419"/>
      <c r="F237" s="419"/>
      <c r="G237" s="419"/>
      <c r="H237" s="419"/>
      <c r="I237" s="419"/>
      <c r="J237" s="419"/>
      <c r="K237" s="419"/>
      <c r="L237" s="420"/>
      <c r="M237" s="415"/>
      <c r="N237" s="415"/>
      <c r="O237" s="415"/>
      <c r="P237" s="415"/>
      <c r="Q237" s="416"/>
      <c r="R237" s="416"/>
      <c r="S237" s="416"/>
      <c r="T237" s="416"/>
      <c r="U237" s="422"/>
      <c r="V237" s="422"/>
    </row>
    <row r="238" spans="1:22">
      <c r="A238" s="91">
        <v>226</v>
      </c>
      <c r="B238" s="243"/>
      <c r="C238" s="421"/>
      <c r="D238" s="421"/>
      <c r="E238" s="421"/>
      <c r="F238" s="421"/>
      <c r="G238" s="421"/>
      <c r="H238" s="421"/>
      <c r="I238" s="421"/>
      <c r="J238" s="421"/>
      <c r="K238" s="421"/>
      <c r="L238" s="421"/>
      <c r="M238" s="415"/>
      <c r="N238" s="415"/>
      <c r="O238" s="415"/>
      <c r="P238" s="415"/>
      <c r="Q238" s="416"/>
      <c r="R238" s="416"/>
      <c r="S238" s="416"/>
      <c r="T238" s="416"/>
      <c r="U238" s="422"/>
      <c r="V238" s="422"/>
    </row>
    <row r="239" spans="1:22">
      <c r="A239" s="91">
        <v>227</v>
      </c>
      <c r="B239" s="243"/>
      <c r="C239" s="421"/>
      <c r="D239" s="421"/>
      <c r="E239" s="421"/>
      <c r="F239" s="421"/>
      <c r="G239" s="421"/>
      <c r="H239" s="421"/>
      <c r="I239" s="421"/>
      <c r="J239" s="421"/>
      <c r="K239" s="421"/>
      <c r="L239" s="421"/>
      <c r="M239" s="415"/>
      <c r="N239" s="415"/>
      <c r="O239" s="415"/>
      <c r="P239" s="415"/>
      <c r="Q239" s="416"/>
      <c r="R239" s="416"/>
      <c r="S239" s="416"/>
      <c r="T239" s="416"/>
      <c r="U239" s="422"/>
      <c r="V239" s="422"/>
    </row>
    <row r="240" spans="1:22">
      <c r="A240" s="91">
        <v>228</v>
      </c>
      <c r="B240" s="243"/>
      <c r="C240" s="421"/>
      <c r="D240" s="421"/>
      <c r="E240" s="421"/>
      <c r="F240" s="421"/>
      <c r="G240" s="421"/>
      <c r="H240" s="421"/>
      <c r="I240" s="421"/>
      <c r="J240" s="421"/>
      <c r="K240" s="421"/>
      <c r="L240" s="421"/>
      <c r="M240" s="415"/>
      <c r="N240" s="415"/>
      <c r="O240" s="415"/>
      <c r="P240" s="415"/>
      <c r="Q240" s="416"/>
      <c r="R240" s="416"/>
      <c r="S240" s="416"/>
      <c r="T240" s="416"/>
      <c r="U240" s="422"/>
      <c r="V240" s="422"/>
    </row>
    <row r="241" spans="1:22">
      <c r="A241" s="91">
        <v>229</v>
      </c>
      <c r="B241" s="243"/>
      <c r="C241" s="421"/>
      <c r="D241" s="421"/>
      <c r="E241" s="421"/>
      <c r="F241" s="421"/>
      <c r="G241" s="421"/>
      <c r="H241" s="421"/>
      <c r="I241" s="421"/>
      <c r="J241" s="421"/>
      <c r="K241" s="421"/>
      <c r="L241" s="421"/>
      <c r="M241" s="415"/>
      <c r="N241" s="415"/>
      <c r="O241" s="415"/>
      <c r="P241" s="415"/>
      <c r="Q241" s="416"/>
      <c r="R241" s="416"/>
      <c r="S241" s="416"/>
      <c r="T241" s="416"/>
      <c r="U241" s="422"/>
      <c r="V241" s="422"/>
    </row>
    <row r="242" spans="1:22">
      <c r="A242" s="91">
        <v>230</v>
      </c>
      <c r="B242" s="243"/>
      <c r="C242" s="421"/>
      <c r="D242" s="421"/>
      <c r="E242" s="421"/>
      <c r="F242" s="421"/>
      <c r="G242" s="421"/>
      <c r="H242" s="421"/>
      <c r="I242" s="421"/>
      <c r="J242" s="421"/>
      <c r="K242" s="421"/>
      <c r="L242" s="421"/>
      <c r="M242" s="415"/>
      <c r="N242" s="415"/>
      <c r="O242" s="415"/>
      <c r="P242" s="415"/>
      <c r="Q242" s="416"/>
      <c r="R242" s="416"/>
      <c r="S242" s="416"/>
      <c r="T242" s="416"/>
      <c r="U242" s="422"/>
      <c r="V242" s="422"/>
    </row>
    <row r="243" spans="1:22">
      <c r="A243" s="91">
        <v>231</v>
      </c>
      <c r="B243" s="243"/>
      <c r="C243" s="421"/>
      <c r="D243" s="421"/>
      <c r="E243" s="421"/>
      <c r="F243" s="421"/>
      <c r="G243" s="421"/>
      <c r="H243" s="421"/>
      <c r="I243" s="421"/>
      <c r="J243" s="421"/>
      <c r="K243" s="421"/>
      <c r="L243" s="421"/>
      <c r="M243" s="415"/>
      <c r="N243" s="415"/>
      <c r="O243" s="415"/>
      <c r="P243" s="415"/>
      <c r="Q243" s="416"/>
      <c r="R243" s="416"/>
      <c r="S243" s="416"/>
      <c r="T243" s="416"/>
      <c r="U243" s="422"/>
      <c r="V243" s="422"/>
    </row>
    <row r="244" spans="1:22">
      <c r="A244" s="91">
        <v>232</v>
      </c>
      <c r="B244" s="243"/>
      <c r="C244" s="421"/>
      <c r="D244" s="421"/>
      <c r="E244" s="421"/>
      <c r="F244" s="421"/>
      <c r="G244" s="421"/>
      <c r="H244" s="421"/>
      <c r="I244" s="421"/>
      <c r="J244" s="421"/>
      <c r="K244" s="421"/>
      <c r="L244" s="421"/>
      <c r="M244" s="415"/>
      <c r="N244" s="415"/>
      <c r="O244" s="415"/>
      <c r="P244" s="415"/>
      <c r="Q244" s="416"/>
      <c r="R244" s="416"/>
      <c r="S244" s="416"/>
      <c r="T244" s="416"/>
      <c r="U244" s="422"/>
      <c r="V244" s="422"/>
    </row>
    <row r="245" spans="1:22">
      <c r="A245" s="91">
        <v>233</v>
      </c>
      <c r="B245" s="243"/>
      <c r="C245" s="421"/>
      <c r="D245" s="421"/>
      <c r="E245" s="421"/>
      <c r="F245" s="421"/>
      <c r="G245" s="421"/>
      <c r="H245" s="421"/>
      <c r="I245" s="421"/>
      <c r="J245" s="421"/>
      <c r="K245" s="421"/>
      <c r="L245" s="421"/>
      <c r="M245" s="415"/>
      <c r="N245" s="415"/>
      <c r="O245" s="415"/>
      <c r="P245" s="415"/>
      <c r="Q245" s="416"/>
      <c r="R245" s="416"/>
      <c r="S245" s="416"/>
      <c r="T245" s="416"/>
      <c r="U245" s="422"/>
      <c r="V245" s="422"/>
    </row>
    <row r="246" spans="1:22">
      <c r="A246" s="91">
        <v>234</v>
      </c>
      <c r="B246" s="243"/>
      <c r="C246" s="421"/>
      <c r="D246" s="421"/>
      <c r="E246" s="421"/>
      <c r="F246" s="421"/>
      <c r="G246" s="421"/>
      <c r="H246" s="421"/>
      <c r="I246" s="421"/>
      <c r="J246" s="421"/>
      <c r="K246" s="421"/>
      <c r="L246" s="421"/>
      <c r="M246" s="415"/>
      <c r="N246" s="415"/>
      <c r="O246" s="415"/>
      <c r="P246" s="415"/>
      <c r="Q246" s="416"/>
      <c r="R246" s="416"/>
      <c r="S246" s="416"/>
      <c r="T246" s="416"/>
      <c r="U246" s="422"/>
      <c r="V246" s="422"/>
    </row>
    <row r="247" spans="1:22">
      <c r="A247" s="91">
        <v>235</v>
      </c>
      <c r="B247" s="243"/>
      <c r="C247" s="421"/>
      <c r="D247" s="421"/>
      <c r="E247" s="421"/>
      <c r="F247" s="421"/>
      <c r="G247" s="421"/>
      <c r="H247" s="421"/>
      <c r="I247" s="421"/>
      <c r="J247" s="421"/>
      <c r="K247" s="421"/>
      <c r="L247" s="421"/>
      <c r="M247" s="415"/>
      <c r="N247" s="415"/>
      <c r="O247" s="415"/>
      <c r="P247" s="415"/>
      <c r="Q247" s="416"/>
      <c r="R247" s="416"/>
      <c r="S247" s="416"/>
      <c r="T247" s="416"/>
      <c r="U247" s="422"/>
      <c r="V247" s="422"/>
    </row>
    <row r="248" spans="1:22">
      <c r="A248" s="91">
        <v>236</v>
      </c>
      <c r="B248" s="243"/>
      <c r="C248" s="421"/>
      <c r="D248" s="421"/>
      <c r="E248" s="421"/>
      <c r="F248" s="421"/>
      <c r="G248" s="421"/>
      <c r="H248" s="421"/>
      <c r="I248" s="421"/>
      <c r="J248" s="421"/>
      <c r="K248" s="421"/>
      <c r="L248" s="421"/>
      <c r="M248" s="415"/>
      <c r="N248" s="415"/>
      <c r="O248" s="415"/>
      <c r="P248" s="415"/>
      <c r="Q248" s="416"/>
      <c r="R248" s="416"/>
      <c r="S248" s="416"/>
      <c r="T248" s="416"/>
      <c r="U248" s="422"/>
      <c r="V248" s="422"/>
    </row>
    <row r="249" spans="1:22">
      <c r="A249" s="91">
        <v>237</v>
      </c>
      <c r="B249" s="243"/>
      <c r="C249" s="421"/>
      <c r="D249" s="421"/>
      <c r="E249" s="421"/>
      <c r="F249" s="421"/>
      <c r="G249" s="421"/>
      <c r="H249" s="421"/>
      <c r="I249" s="421"/>
      <c r="J249" s="421"/>
      <c r="K249" s="421"/>
      <c r="L249" s="421"/>
      <c r="M249" s="415"/>
      <c r="N249" s="415"/>
      <c r="O249" s="415"/>
      <c r="P249" s="415"/>
      <c r="Q249" s="416"/>
      <c r="R249" s="416"/>
      <c r="S249" s="416"/>
      <c r="T249" s="416"/>
      <c r="U249" s="422"/>
      <c r="V249" s="422"/>
    </row>
    <row r="250" spans="1:22">
      <c r="A250" s="91">
        <v>238</v>
      </c>
      <c r="B250" s="243"/>
      <c r="C250" s="421"/>
      <c r="D250" s="421"/>
      <c r="E250" s="421"/>
      <c r="F250" s="421"/>
      <c r="G250" s="421"/>
      <c r="H250" s="421"/>
      <c r="I250" s="421"/>
      <c r="J250" s="421"/>
      <c r="K250" s="421"/>
      <c r="L250" s="421"/>
      <c r="M250" s="415"/>
      <c r="N250" s="415"/>
      <c r="O250" s="415"/>
      <c r="P250" s="415"/>
      <c r="Q250" s="416"/>
      <c r="R250" s="416"/>
      <c r="S250" s="416"/>
      <c r="T250" s="416"/>
      <c r="U250" s="422"/>
      <c r="V250" s="422"/>
    </row>
    <row r="251" spans="1:22">
      <c r="A251" s="91">
        <v>239</v>
      </c>
      <c r="B251" s="243"/>
      <c r="C251" s="421"/>
      <c r="D251" s="421"/>
      <c r="E251" s="421"/>
      <c r="F251" s="421"/>
      <c r="G251" s="421"/>
      <c r="H251" s="421"/>
      <c r="I251" s="421"/>
      <c r="J251" s="421"/>
      <c r="K251" s="421"/>
      <c r="L251" s="421"/>
      <c r="M251" s="415"/>
      <c r="N251" s="415"/>
      <c r="O251" s="415"/>
      <c r="P251" s="415"/>
      <c r="Q251" s="416"/>
      <c r="R251" s="416"/>
      <c r="S251" s="416"/>
      <c r="T251" s="416"/>
      <c r="U251" s="422"/>
      <c r="V251" s="422"/>
    </row>
    <row r="252" spans="1:22">
      <c r="A252" s="91">
        <v>240</v>
      </c>
      <c r="B252" s="243"/>
      <c r="C252" s="421"/>
      <c r="D252" s="421"/>
      <c r="E252" s="421"/>
      <c r="F252" s="421"/>
      <c r="G252" s="421"/>
      <c r="H252" s="421"/>
      <c r="I252" s="421"/>
      <c r="J252" s="421"/>
      <c r="K252" s="421"/>
      <c r="L252" s="421"/>
      <c r="M252" s="415"/>
      <c r="N252" s="415"/>
      <c r="O252" s="415"/>
      <c r="P252" s="415"/>
      <c r="Q252" s="416"/>
      <c r="R252" s="416"/>
      <c r="S252" s="416"/>
      <c r="T252" s="416"/>
      <c r="U252" s="422"/>
      <c r="V252" s="422"/>
    </row>
    <row r="253" spans="1:22">
      <c r="A253" s="91">
        <v>241</v>
      </c>
      <c r="B253" s="243"/>
      <c r="C253" s="421"/>
      <c r="D253" s="421"/>
      <c r="E253" s="421"/>
      <c r="F253" s="421"/>
      <c r="G253" s="421"/>
      <c r="H253" s="421"/>
      <c r="I253" s="421"/>
      <c r="J253" s="421"/>
      <c r="K253" s="421"/>
      <c r="L253" s="421"/>
      <c r="M253" s="415"/>
      <c r="N253" s="415"/>
      <c r="O253" s="415"/>
      <c r="P253" s="415"/>
      <c r="Q253" s="416"/>
      <c r="R253" s="416"/>
      <c r="S253" s="416"/>
      <c r="T253" s="416"/>
      <c r="U253" s="422"/>
      <c r="V253" s="422"/>
    </row>
    <row r="254" spans="1:22">
      <c r="A254" s="91">
        <v>242</v>
      </c>
      <c r="B254" s="243"/>
      <c r="C254" s="421"/>
      <c r="D254" s="421"/>
      <c r="E254" s="421"/>
      <c r="F254" s="421"/>
      <c r="G254" s="421"/>
      <c r="H254" s="421"/>
      <c r="I254" s="421"/>
      <c r="J254" s="421"/>
      <c r="K254" s="421"/>
      <c r="L254" s="421"/>
      <c r="M254" s="415"/>
      <c r="N254" s="415"/>
      <c r="O254" s="415"/>
      <c r="P254" s="415"/>
      <c r="Q254" s="416"/>
      <c r="R254" s="416"/>
      <c r="S254" s="416"/>
      <c r="T254" s="416"/>
      <c r="U254" s="422"/>
      <c r="V254" s="422"/>
    </row>
    <row r="255" spans="1:22">
      <c r="A255" s="91">
        <v>243</v>
      </c>
      <c r="B255" s="243"/>
      <c r="C255" s="421"/>
      <c r="D255" s="421"/>
      <c r="E255" s="421"/>
      <c r="F255" s="421"/>
      <c r="G255" s="421"/>
      <c r="H255" s="421"/>
      <c r="I255" s="421"/>
      <c r="J255" s="421"/>
      <c r="K255" s="421"/>
      <c r="L255" s="421"/>
      <c r="M255" s="415"/>
      <c r="N255" s="415"/>
      <c r="O255" s="415"/>
      <c r="P255" s="415"/>
      <c r="Q255" s="416"/>
      <c r="R255" s="416"/>
      <c r="S255" s="416"/>
      <c r="T255" s="416"/>
      <c r="U255" s="422"/>
      <c r="V255" s="422"/>
    </row>
    <row r="256" spans="1:22">
      <c r="A256" s="91">
        <v>244</v>
      </c>
      <c r="B256" s="243"/>
      <c r="C256" s="421"/>
      <c r="D256" s="421"/>
      <c r="E256" s="421"/>
      <c r="F256" s="421"/>
      <c r="G256" s="421"/>
      <c r="H256" s="421"/>
      <c r="I256" s="421"/>
      <c r="J256" s="421"/>
      <c r="K256" s="421"/>
      <c r="L256" s="421"/>
      <c r="M256" s="415"/>
      <c r="N256" s="415"/>
      <c r="O256" s="415"/>
      <c r="P256" s="415"/>
      <c r="Q256" s="416"/>
      <c r="R256" s="416"/>
      <c r="S256" s="416"/>
      <c r="T256" s="416"/>
      <c r="U256" s="422"/>
      <c r="V256" s="422"/>
    </row>
    <row r="257" spans="1:22">
      <c r="A257" s="91">
        <v>245</v>
      </c>
      <c r="B257" s="243"/>
      <c r="C257" s="421"/>
      <c r="D257" s="421"/>
      <c r="E257" s="421"/>
      <c r="F257" s="421"/>
      <c r="G257" s="421"/>
      <c r="H257" s="421"/>
      <c r="I257" s="421"/>
      <c r="J257" s="421"/>
      <c r="K257" s="421"/>
      <c r="L257" s="421"/>
      <c r="M257" s="415"/>
      <c r="N257" s="415"/>
      <c r="O257" s="415"/>
      <c r="P257" s="415"/>
      <c r="Q257" s="416"/>
      <c r="R257" s="416"/>
      <c r="S257" s="416"/>
      <c r="T257" s="416"/>
      <c r="U257" s="422"/>
      <c r="V257" s="422"/>
    </row>
    <row r="258" spans="1:22">
      <c r="A258" s="91">
        <v>246</v>
      </c>
      <c r="B258" s="243"/>
      <c r="C258" s="418"/>
      <c r="D258" s="419"/>
      <c r="E258" s="419"/>
      <c r="F258" s="419"/>
      <c r="G258" s="419"/>
      <c r="H258" s="419"/>
      <c r="I258" s="419"/>
      <c r="J258" s="419"/>
      <c r="K258" s="419"/>
      <c r="L258" s="420"/>
      <c r="M258" s="415"/>
      <c r="N258" s="415"/>
      <c r="O258" s="415"/>
      <c r="P258" s="415"/>
      <c r="Q258" s="416"/>
      <c r="R258" s="416"/>
      <c r="S258" s="416"/>
      <c r="T258" s="416"/>
      <c r="U258" s="422"/>
      <c r="V258" s="422"/>
    </row>
    <row r="259" spans="1:22">
      <c r="A259" s="91">
        <v>247</v>
      </c>
      <c r="B259" s="243"/>
      <c r="C259" s="421"/>
      <c r="D259" s="421"/>
      <c r="E259" s="421"/>
      <c r="F259" s="421"/>
      <c r="G259" s="421"/>
      <c r="H259" s="421"/>
      <c r="I259" s="421"/>
      <c r="J259" s="421"/>
      <c r="K259" s="421"/>
      <c r="L259" s="421"/>
      <c r="M259" s="415"/>
      <c r="N259" s="415"/>
      <c r="O259" s="415"/>
      <c r="P259" s="415"/>
      <c r="Q259" s="416"/>
      <c r="R259" s="416"/>
      <c r="S259" s="416"/>
      <c r="T259" s="416"/>
      <c r="U259" s="422"/>
      <c r="V259" s="422"/>
    </row>
    <row r="260" spans="1:22">
      <c r="A260" s="91">
        <v>248</v>
      </c>
      <c r="B260" s="243"/>
      <c r="C260" s="421"/>
      <c r="D260" s="421"/>
      <c r="E260" s="421"/>
      <c r="F260" s="421"/>
      <c r="G260" s="421"/>
      <c r="H260" s="421"/>
      <c r="I260" s="421"/>
      <c r="J260" s="421"/>
      <c r="K260" s="421"/>
      <c r="L260" s="421"/>
      <c r="M260" s="415"/>
      <c r="N260" s="415"/>
      <c r="O260" s="415"/>
      <c r="P260" s="415"/>
      <c r="Q260" s="416"/>
      <c r="R260" s="416"/>
      <c r="S260" s="416"/>
      <c r="T260" s="416"/>
      <c r="U260" s="422"/>
      <c r="V260" s="422"/>
    </row>
    <row r="261" spans="1:22">
      <c r="A261" s="91">
        <v>249</v>
      </c>
      <c r="B261" s="243"/>
      <c r="C261" s="421"/>
      <c r="D261" s="421"/>
      <c r="E261" s="421"/>
      <c r="F261" s="421"/>
      <c r="G261" s="421"/>
      <c r="H261" s="421"/>
      <c r="I261" s="421"/>
      <c r="J261" s="421"/>
      <c r="K261" s="421"/>
      <c r="L261" s="421"/>
      <c r="M261" s="415"/>
      <c r="N261" s="415"/>
      <c r="O261" s="415"/>
      <c r="P261" s="415"/>
      <c r="Q261" s="416"/>
      <c r="R261" s="416"/>
      <c r="S261" s="416"/>
      <c r="T261" s="416"/>
      <c r="U261" s="422"/>
      <c r="V261" s="422"/>
    </row>
    <row r="262" spans="1:22">
      <c r="A262" s="91"/>
      <c r="B262" s="243"/>
      <c r="C262" s="421"/>
      <c r="D262" s="421"/>
      <c r="E262" s="421"/>
      <c r="F262" s="421"/>
      <c r="G262" s="421"/>
      <c r="H262" s="421"/>
      <c r="I262" s="421"/>
      <c r="J262" s="421"/>
      <c r="K262" s="421"/>
      <c r="L262" s="421"/>
      <c r="M262" s="415"/>
      <c r="N262" s="415"/>
      <c r="O262" s="415"/>
      <c r="P262" s="415"/>
      <c r="Q262" s="416"/>
      <c r="R262" s="416"/>
      <c r="S262" s="416"/>
      <c r="T262" s="416"/>
      <c r="U262" s="422"/>
      <c r="V262" s="422"/>
    </row>
    <row r="263" spans="1:22">
      <c r="A263" s="91"/>
      <c r="B263" s="243"/>
      <c r="C263" s="421"/>
      <c r="D263" s="421"/>
      <c r="E263" s="421"/>
      <c r="F263" s="421"/>
      <c r="G263" s="421"/>
      <c r="H263" s="421"/>
      <c r="I263" s="421"/>
      <c r="J263" s="421"/>
      <c r="K263" s="421"/>
      <c r="L263" s="421"/>
      <c r="M263" s="415"/>
      <c r="N263" s="415"/>
      <c r="O263" s="415"/>
      <c r="P263" s="415"/>
      <c r="Q263" s="416"/>
      <c r="R263" s="416"/>
      <c r="S263" s="416"/>
      <c r="T263" s="416"/>
      <c r="U263" s="422"/>
      <c r="V263" s="422"/>
    </row>
    <row r="264" spans="1:22">
      <c r="A264" s="91"/>
      <c r="B264" s="243"/>
      <c r="C264" s="421"/>
      <c r="D264" s="421"/>
      <c r="E264" s="421"/>
      <c r="F264" s="421"/>
      <c r="G264" s="421"/>
      <c r="H264" s="421"/>
      <c r="I264" s="421"/>
      <c r="J264" s="421"/>
      <c r="K264" s="421"/>
      <c r="L264" s="421"/>
      <c r="M264" s="415"/>
      <c r="N264" s="415"/>
      <c r="O264" s="415"/>
      <c r="P264" s="415"/>
      <c r="Q264" s="416"/>
      <c r="R264" s="416"/>
      <c r="S264" s="416"/>
      <c r="T264" s="416"/>
      <c r="U264" s="422"/>
      <c r="V264" s="422"/>
    </row>
    <row r="265" spans="1:22">
      <c r="A265" s="91"/>
      <c r="B265" s="243"/>
      <c r="C265" s="421"/>
      <c r="D265" s="421"/>
      <c r="E265" s="421"/>
      <c r="F265" s="421"/>
      <c r="G265" s="421"/>
      <c r="H265" s="421"/>
      <c r="I265" s="421"/>
      <c r="J265" s="421"/>
      <c r="K265" s="421"/>
      <c r="L265" s="421"/>
      <c r="M265" s="415"/>
      <c r="N265" s="415"/>
      <c r="O265" s="415"/>
      <c r="P265" s="415"/>
      <c r="Q265" s="416"/>
      <c r="R265" s="416"/>
      <c r="S265" s="416"/>
      <c r="T265" s="416"/>
      <c r="U265" s="422"/>
      <c r="V265" s="422"/>
    </row>
    <row r="266" spans="1:22">
      <c r="A266" s="91"/>
      <c r="B266" s="243"/>
      <c r="C266" s="421"/>
      <c r="D266" s="421"/>
      <c r="E266" s="421"/>
      <c r="F266" s="421"/>
      <c r="G266" s="421"/>
      <c r="H266" s="421"/>
      <c r="I266" s="421"/>
      <c r="J266" s="421"/>
      <c r="K266" s="421"/>
      <c r="L266" s="421"/>
      <c r="M266" s="415"/>
      <c r="N266" s="415"/>
      <c r="O266" s="415"/>
      <c r="P266" s="415"/>
      <c r="Q266" s="416"/>
      <c r="R266" s="416"/>
      <c r="S266" s="416"/>
      <c r="T266" s="416"/>
      <c r="U266" s="422"/>
      <c r="V266" s="422"/>
    </row>
    <row r="267" spans="1:22">
      <c r="A267" s="91"/>
      <c r="B267" s="243"/>
      <c r="C267" s="421"/>
      <c r="D267" s="421"/>
      <c r="E267" s="421"/>
      <c r="F267" s="421"/>
      <c r="G267" s="421"/>
      <c r="H267" s="421"/>
      <c r="I267" s="421"/>
      <c r="J267" s="421"/>
      <c r="K267" s="421"/>
      <c r="L267" s="421"/>
      <c r="M267" s="415"/>
      <c r="N267" s="415"/>
      <c r="O267" s="415"/>
      <c r="P267" s="415"/>
      <c r="Q267" s="416"/>
      <c r="R267" s="416"/>
      <c r="S267" s="416"/>
      <c r="T267" s="416"/>
      <c r="U267" s="422"/>
      <c r="V267" s="422"/>
    </row>
    <row r="268" spans="1:22">
      <c r="A268" s="91"/>
      <c r="B268" s="243"/>
      <c r="C268" s="421"/>
      <c r="D268" s="421"/>
      <c r="E268" s="421"/>
      <c r="F268" s="421"/>
      <c r="G268" s="421"/>
      <c r="H268" s="421"/>
      <c r="I268" s="421"/>
      <c r="J268" s="421"/>
      <c r="K268" s="421"/>
      <c r="L268" s="421"/>
      <c r="M268" s="415"/>
      <c r="N268" s="415"/>
      <c r="O268" s="415"/>
      <c r="P268" s="415"/>
      <c r="Q268" s="416"/>
      <c r="R268" s="416"/>
      <c r="S268" s="416"/>
      <c r="T268" s="416"/>
      <c r="U268" s="422"/>
      <c r="V268" s="422"/>
    </row>
    <row r="269" spans="1:22">
      <c r="A269" s="91"/>
      <c r="B269" s="243"/>
      <c r="C269" s="421"/>
      <c r="D269" s="421"/>
      <c r="E269" s="421"/>
      <c r="F269" s="421"/>
      <c r="G269" s="421"/>
      <c r="H269" s="421"/>
      <c r="I269" s="421"/>
      <c r="J269" s="421"/>
      <c r="K269" s="421"/>
      <c r="L269" s="421"/>
      <c r="M269" s="415"/>
      <c r="N269" s="415"/>
      <c r="O269" s="415"/>
      <c r="P269" s="415"/>
      <c r="Q269" s="416"/>
      <c r="R269" s="416"/>
      <c r="S269" s="416"/>
      <c r="T269" s="416"/>
      <c r="U269" s="422"/>
      <c r="V269" s="422"/>
    </row>
    <row r="270" spans="1:22">
      <c r="A270" s="91"/>
      <c r="B270" s="243"/>
      <c r="C270" s="421"/>
      <c r="D270" s="421"/>
      <c r="E270" s="421"/>
      <c r="F270" s="421"/>
      <c r="G270" s="421"/>
      <c r="H270" s="421"/>
      <c r="I270" s="421"/>
      <c r="J270" s="421"/>
      <c r="K270" s="421"/>
      <c r="L270" s="421"/>
      <c r="M270" s="415"/>
      <c r="N270" s="415"/>
      <c r="O270" s="415"/>
      <c r="P270" s="415"/>
      <c r="Q270" s="416"/>
      <c r="R270" s="416"/>
      <c r="S270" s="416"/>
      <c r="T270" s="416"/>
      <c r="U270" s="422"/>
      <c r="V270" s="422"/>
    </row>
    <row r="271" spans="1:22" ht="12.75" customHeight="1">
      <c r="A271" s="91"/>
      <c r="B271" s="243"/>
      <c r="C271" s="421"/>
      <c r="D271" s="421"/>
      <c r="E271" s="421"/>
      <c r="F271" s="421"/>
      <c r="G271" s="421"/>
      <c r="H271" s="421"/>
      <c r="I271" s="421"/>
      <c r="J271" s="421"/>
      <c r="K271" s="421"/>
      <c r="L271" s="421"/>
      <c r="M271" s="415"/>
      <c r="N271" s="415"/>
      <c r="O271" s="415"/>
      <c r="P271" s="415"/>
      <c r="Q271" s="416"/>
      <c r="R271" s="416"/>
      <c r="S271" s="416"/>
      <c r="T271" s="416"/>
      <c r="U271" s="422"/>
      <c r="V271" s="422"/>
    </row>
    <row r="272" spans="1:22" ht="12.75" customHeight="1">
      <c r="A272" s="91"/>
      <c r="B272" s="243"/>
      <c r="C272" s="421"/>
      <c r="D272" s="421"/>
      <c r="E272" s="421"/>
      <c r="F272" s="421"/>
      <c r="G272" s="421"/>
      <c r="H272" s="421"/>
      <c r="I272" s="421"/>
      <c r="J272" s="421"/>
      <c r="K272" s="421"/>
      <c r="L272" s="421"/>
      <c r="M272" s="415"/>
      <c r="N272" s="415"/>
      <c r="O272" s="415"/>
      <c r="P272" s="415"/>
      <c r="Q272" s="416"/>
      <c r="R272" s="416"/>
      <c r="S272" s="416"/>
      <c r="T272" s="416"/>
      <c r="U272" s="422"/>
      <c r="V272" s="422"/>
    </row>
    <row r="273" spans="1:22" ht="12.75" customHeight="1">
      <c r="A273" s="91"/>
      <c r="B273" s="243"/>
      <c r="C273" s="421"/>
      <c r="D273" s="421"/>
      <c r="E273" s="421"/>
      <c r="F273" s="421"/>
      <c r="G273" s="421"/>
      <c r="H273" s="421"/>
      <c r="I273" s="421"/>
      <c r="J273" s="421"/>
      <c r="K273" s="421"/>
      <c r="L273" s="421"/>
      <c r="M273" s="415"/>
      <c r="N273" s="415"/>
      <c r="O273" s="415"/>
      <c r="P273" s="415"/>
      <c r="Q273" s="416"/>
      <c r="R273" s="416"/>
      <c r="S273" s="416"/>
      <c r="T273" s="416"/>
      <c r="U273" s="422"/>
      <c r="V273" s="422"/>
    </row>
    <row r="274" spans="1:22">
      <c r="A274" s="91"/>
      <c r="B274" s="243"/>
      <c r="C274" s="421"/>
      <c r="D274" s="421"/>
      <c r="E274" s="421"/>
      <c r="F274" s="421"/>
      <c r="G274" s="421"/>
      <c r="H274" s="421"/>
      <c r="I274" s="421"/>
      <c r="J274" s="421"/>
      <c r="K274" s="421"/>
      <c r="L274" s="421"/>
      <c r="M274" s="415"/>
      <c r="N274" s="415"/>
      <c r="O274" s="415"/>
      <c r="P274" s="415"/>
      <c r="Q274" s="416"/>
      <c r="R274" s="416"/>
      <c r="S274" s="416"/>
      <c r="T274" s="416"/>
      <c r="U274" s="422"/>
      <c r="V274" s="422"/>
    </row>
    <row r="275" spans="1:22">
      <c r="A275" s="91"/>
      <c r="B275" s="243"/>
      <c r="C275" s="421"/>
      <c r="D275" s="421"/>
      <c r="E275" s="421"/>
      <c r="F275" s="421"/>
      <c r="G275" s="421"/>
      <c r="H275" s="421"/>
      <c r="I275" s="421"/>
      <c r="J275" s="421"/>
      <c r="K275" s="421"/>
      <c r="L275" s="421"/>
      <c r="M275" s="415"/>
      <c r="N275" s="415"/>
      <c r="O275" s="415"/>
      <c r="P275" s="415"/>
      <c r="Q275" s="416"/>
      <c r="R275" s="416"/>
      <c r="S275" s="416"/>
      <c r="T275" s="416"/>
      <c r="U275" s="422"/>
      <c r="V275" s="422"/>
    </row>
    <row r="276" spans="1:22">
      <c r="A276" s="91"/>
      <c r="B276" s="243"/>
      <c r="C276" s="421"/>
      <c r="D276" s="421"/>
      <c r="E276" s="421"/>
      <c r="F276" s="421"/>
      <c r="G276" s="421"/>
      <c r="H276" s="421"/>
      <c r="I276" s="421"/>
      <c r="J276" s="421"/>
      <c r="K276" s="421"/>
      <c r="L276" s="421"/>
      <c r="M276" s="415"/>
      <c r="N276" s="415"/>
      <c r="O276" s="415"/>
      <c r="P276" s="415"/>
      <c r="Q276" s="416"/>
      <c r="R276" s="416"/>
      <c r="S276" s="416"/>
      <c r="T276" s="416"/>
      <c r="U276" s="422"/>
      <c r="V276" s="422"/>
    </row>
    <row r="277" spans="1:22">
      <c r="A277" s="91"/>
      <c r="B277" s="243"/>
      <c r="C277" s="421"/>
      <c r="D277" s="421"/>
      <c r="E277" s="421"/>
      <c r="F277" s="421"/>
      <c r="G277" s="421"/>
      <c r="H277" s="421"/>
      <c r="I277" s="421"/>
      <c r="J277" s="421"/>
      <c r="K277" s="421"/>
      <c r="L277" s="421"/>
      <c r="M277" s="415"/>
      <c r="N277" s="415"/>
      <c r="O277" s="415"/>
      <c r="P277" s="415"/>
      <c r="Q277" s="416"/>
      <c r="R277" s="416"/>
      <c r="S277" s="416"/>
      <c r="T277" s="416"/>
      <c r="U277" s="422"/>
      <c r="V277" s="422"/>
    </row>
    <row r="278" spans="1:22">
      <c r="A278" s="91"/>
      <c r="B278" s="243"/>
      <c r="C278" s="421"/>
      <c r="D278" s="421"/>
      <c r="E278" s="421"/>
      <c r="F278" s="421"/>
      <c r="G278" s="421"/>
      <c r="H278" s="421"/>
      <c r="I278" s="421"/>
      <c r="J278" s="421"/>
      <c r="K278" s="421"/>
      <c r="L278" s="421"/>
      <c r="M278" s="415"/>
      <c r="N278" s="415"/>
      <c r="O278" s="415"/>
      <c r="P278" s="415"/>
      <c r="Q278" s="416"/>
      <c r="R278" s="416"/>
      <c r="S278" s="416"/>
      <c r="T278" s="416"/>
      <c r="U278" s="422"/>
      <c r="V278" s="422"/>
    </row>
    <row r="279" spans="1:22">
      <c r="A279" s="91"/>
      <c r="B279" s="243"/>
      <c r="C279" s="421"/>
      <c r="D279" s="421"/>
      <c r="E279" s="421"/>
      <c r="F279" s="421"/>
      <c r="G279" s="421"/>
      <c r="H279" s="421"/>
      <c r="I279" s="421"/>
      <c r="J279" s="421"/>
      <c r="K279" s="421"/>
      <c r="L279" s="421"/>
      <c r="M279" s="415"/>
      <c r="N279" s="415"/>
      <c r="O279" s="415"/>
      <c r="P279" s="415"/>
      <c r="Q279" s="416"/>
      <c r="R279" s="416"/>
      <c r="S279" s="416"/>
      <c r="T279" s="416"/>
      <c r="U279" s="422"/>
      <c r="V279" s="422"/>
    </row>
    <row r="280" spans="1:22">
      <c r="A280" s="91"/>
      <c r="B280" s="243"/>
      <c r="C280" s="421"/>
      <c r="D280" s="421"/>
      <c r="E280" s="421"/>
      <c r="F280" s="421"/>
      <c r="G280" s="421"/>
      <c r="H280" s="421"/>
      <c r="I280" s="421"/>
      <c r="J280" s="421"/>
      <c r="K280" s="421"/>
      <c r="L280" s="421"/>
      <c r="M280" s="415"/>
      <c r="N280" s="415"/>
      <c r="O280" s="415"/>
      <c r="P280" s="415"/>
      <c r="Q280" s="416"/>
      <c r="R280" s="416"/>
      <c r="S280" s="416"/>
      <c r="T280" s="416"/>
      <c r="U280" s="422"/>
      <c r="V280" s="422"/>
    </row>
    <row r="281" spans="1:22">
      <c r="A281" s="91"/>
      <c r="B281" s="243"/>
      <c r="C281" s="421"/>
      <c r="D281" s="421"/>
      <c r="E281" s="421"/>
      <c r="F281" s="421"/>
      <c r="G281" s="421"/>
      <c r="H281" s="421"/>
      <c r="I281" s="421"/>
      <c r="J281" s="421"/>
      <c r="K281" s="421"/>
      <c r="L281" s="421"/>
      <c r="M281" s="415"/>
      <c r="N281" s="415"/>
      <c r="O281" s="415"/>
      <c r="P281" s="415"/>
      <c r="Q281" s="416"/>
      <c r="R281" s="416"/>
      <c r="S281" s="416"/>
      <c r="T281" s="416"/>
      <c r="U281" s="422"/>
      <c r="V281" s="422"/>
    </row>
    <row r="282" spans="1:22">
      <c r="A282" s="91"/>
      <c r="B282" s="243"/>
      <c r="C282" s="421"/>
      <c r="D282" s="421"/>
      <c r="E282" s="421"/>
      <c r="F282" s="421"/>
      <c r="G282" s="421"/>
      <c r="H282" s="421"/>
      <c r="I282" s="421"/>
      <c r="J282" s="421"/>
      <c r="K282" s="421"/>
      <c r="L282" s="421"/>
      <c r="M282" s="415"/>
      <c r="N282" s="415"/>
      <c r="O282" s="415"/>
      <c r="P282" s="415"/>
      <c r="Q282" s="416"/>
      <c r="R282" s="416"/>
      <c r="S282" s="416"/>
      <c r="T282" s="416"/>
      <c r="U282" s="422"/>
      <c r="V282" s="422"/>
    </row>
    <row r="283" spans="1:22">
      <c r="A283" s="91"/>
      <c r="B283" s="243"/>
      <c r="C283" s="421"/>
      <c r="D283" s="421"/>
      <c r="E283" s="421"/>
      <c r="F283" s="421"/>
      <c r="G283" s="421"/>
      <c r="H283" s="421"/>
      <c r="I283" s="421"/>
      <c r="J283" s="421"/>
      <c r="K283" s="421"/>
      <c r="L283" s="421"/>
      <c r="M283" s="415"/>
      <c r="N283" s="415"/>
      <c r="O283" s="415"/>
      <c r="P283" s="415"/>
      <c r="Q283" s="416"/>
      <c r="R283" s="416"/>
      <c r="S283" s="416"/>
      <c r="T283" s="416"/>
      <c r="U283" s="422"/>
      <c r="V283" s="422"/>
    </row>
    <row r="284" spans="1:22">
      <c r="A284" s="91"/>
      <c r="B284" s="243"/>
      <c r="C284" s="421"/>
      <c r="D284" s="421"/>
      <c r="E284" s="421"/>
      <c r="F284" s="421"/>
      <c r="G284" s="421"/>
      <c r="H284" s="421"/>
      <c r="I284" s="421"/>
      <c r="J284" s="421"/>
      <c r="K284" s="421"/>
      <c r="L284" s="421"/>
      <c r="M284" s="415"/>
      <c r="N284" s="415"/>
      <c r="O284" s="415"/>
      <c r="P284" s="415"/>
      <c r="Q284" s="416"/>
      <c r="R284" s="416"/>
      <c r="S284" s="416"/>
      <c r="T284" s="416"/>
      <c r="U284" s="422"/>
      <c r="V284" s="422"/>
    </row>
    <row r="285" spans="1:22">
      <c r="A285" s="91"/>
      <c r="B285" s="243"/>
      <c r="C285" s="421"/>
      <c r="D285" s="421"/>
      <c r="E285" s="421"/>
      <c r="F285" s="421"/>
      <c r="G285" s="421"/>
      <c r="H285" s="421"/>
      <c r="I285" s="421"/>
      <c r="J285" s="421"/>
      <c r="K285" s="421"/>
      <c r="L285" s="421"/>
      <c r="M285" s="415"/>
      <c r="N285" s="415"/>
      <c r="O285" s="415"/>
      <c r="P285" s="415"/>
      <c r="Q285" s="416"/>
      <c r="R285" s="416"/>
      <c r="S285" s="416"/>
      <c r="T285" s="416"/>
      <c r="U285" s="422"/>
      <c r="V285" s="422"/>
    </row>
    <row r="286" spans="1:22">
      <c r="A286" s="91"/>
      <c r="B286" s="243"/>
      <c r="C286" s="421"/>
      <c r="D286" s="421"/>
      <c r="E286" s="421"/>
      <c r="F286" s="421"/>
      <c r="G286" s="421"/>
      <c r="H286" s="421"/>
      <c r="I286" s="421"/>
      <c r="J286" s="421"/>
      <c r="K286" s="421"/>
      <c r="L286" s="421"/>
      <c r="M286" s="415"/>
      <c r="N286" s="415"/>
      <c r="O286" s="415"/>
      <c r="P286" s="415"/>
      <c r="Q286" s="416"/>
      <c r="R286" s="416"/>
      <c r="S286" s="416"/>
      <c r="T286" s="416"/>
      <c r="U286" s="422"/>
      <c r="V286" s="422"/>
    </row>
    <row r="287" spans="1:22">
      <c r="A287" s="91"/>
      <c r="B287" s="243"/>
      <c r="C287" s="421"/>
      <c r="D287" s="421"/>
      <c r="E287" s="421"/>
      <c r="F287" s="421"/>
      <c r="G287" s="421"/>
      <c r="H287" s="421"/>
      <c r="I287" s="421"/>
      <c r="J287" s="421"/>
      <c r="K287" s="421"/>
      <c r="L287" s="421"/>
      <c r="M287" s="415"/>
      <c r="N287" s="415"/>
      <c r="O287" s="415"/>
      <c r="P287" s="415"/>
      <c r="Q287" s="416"/>
      <c r="R287" s="416"/>
      <c r="S287" s="416"/>
      <c r="T287" s="416"/>
      <c r="U287" s="422"/>
      <c r="V287" s="422"/>
    </row>
    <row r="288" spans="1:22">
      <c r="A288" s="91"/>
      <c r="B288" s="243"/>
      <c r="C288" s="421"/>
      <c r="D288" s="421"/>
      <c r="E288" s="421"/>
      <c r="F288" s="421"/>
      <c r="G288" s="421"/>
      <c r="H288" s="421"/>
      <c r="I288" s="421"/>
      <c r="J288" s="421"/>
      <c r="K288" s="421"/>
      <c r="L288" s="421"/>
      <c r="M288" s="415"/>
      <c r="N288" s="415"/>
      <c r="O288" s="415"/>
      <c r="P288" s="415"/>
      <c r="Q288" s="416"/>
      <c r="R288" s="416"/>
      <c r="S288" s="416"/>
      <c r="T288" s="416"/>
      <c r="U288" s="422"/>
      <c r="V288" s="422"/>
    </row>
    <row r="289" spans="1:22">
      <c r="A289" s="91"/>
      <c r="B289" s="243"/>
      <c r="C289" s="421"/>
      <c r="D289" s="421"/>
      <c r="E289" s="421"/>
      <c r="F289" s="421"/>
      <c r="G289" s="421"/>
      <c r="H289" s="421"/>
      <c r="I289" s="421"/>
      <c r="J289" s="421"/>
      <c r="K289" s="421"/>
      <c r="L289" s="421"/>
      <c r="M289" s="415"/>
      <c r="N289" s="415"/>
      <c r="O289" s="415"/>
      <c r="P289" s="415"/>
      <c r="Q289" s="416"/>
      <c r="R289" s="416"/>
      <c r="S289" s="416"/>
      <c r="T289" s="416"/>
      <c r="U289" s="422"/>
      <c r="V289" s="422"/>
    </row>
    <row r="290" spans="1:22">
      <c r="A290" s="91"/>
      <c r="B290" s="243"/>
      <c r="C290" s="421"/>
      <c r="D290" s="421"/>
      <c r="E290" s="421"/>
      <c r="F290" s="421"/>
      <c r="G290" s="421"/>
      <c r="H290" s="421"/>
      <c r="I290" s="421"/>
      <c r="J290" s="421"/>
      <c r="K290" s="421"/>
      <c r="L290" s="421"/>
      <c r="M290" s="415"/>
      <c r="N290" s="415"/>
      <c r="O290" s="415"/>
      <c r="P290" s="415"/>
      <c r="Q290" s="416"/>
      <c r="R290" s="416"/>
      <c r="S290" s="416"/>
      <c r="T290" s="416"/>
      <c r="U290" s="422"/>
      <c r="V290" s="422"/>
    </row>
    <row r="291" spans="1:22">
      <c r="A291" s="91"/>
      <c r="B291" s="243"/>
      <c r="C291" s="421"/>
      <c r="D291" s="421"/>
      <c r="E291" s="421"/>
      <c r="F291" s="421"/>
      <c r="G291" s="421"/>
      <c r="H291" s="421"/>
      <c r="I291" s="421"/>
      <c r="J291" s="421"/>
      <c r="K291" s="421"/>
      <c r="L291" s="421"/>
      <c r="M291" s="415"/>
      <c r="N291" s="415"/>
      <c r="O291" s="415"/>
      <c r="P291" s="415"/>
      <c r="Q291" s="416"/>
      <c r="R291" s="416"/>
      <c r="S291" s="416"/>
      <c r="T291" s="416"/>
      <c r="U291" s="422"/>
      <c r="V291" s="422"/>
    </row>
    <row r="292" spans="1:22">
      <c r="A292" s="91"/>
      <c r="B292" s="243"/>
      <c r="C292" s="421"/>
      <c r="D292" s="421"/>
      <c r="E292" s="421"/>
      <c r="F292" s="421"/>
      <c r="G292" s="421"/>
      <c r="H292" s="421"/>
      <c r="I292" s="421"/>
      <c r="J292" s="421"/>
      <c r="K292" s="421"/>
      <c r="L292" s="421"/>
      <c r="M292" s="415"/>
      <c r="N292" s="415"/>
      <c r="O292" s="415"/>
      <c r="P292" s="415"/>
      <c r="Q292" s="416"/>
      <c r="R292" s="416"/>
      <c r="S292" s="416"/>
      <c r="T292" s="416"/>
      <c r="U292" s="422"/>
      <c r="V292" s="422"/>
    </row>
    <row r="293" spans="1:22">
      <c r="A293" s="91"/>
      <c r="B293" s="243"/>
      <c r="C293" s="421"/>
      <c r="D293" s="421"/>
      <c r="E293" s="421"/>
      <c r="F293" s="421"/>
      <c r="G293" s="421"/>
      <c r="H293" s="421"/>
      <c r="I293" s="421"/>
      <c r="J293" s="421"/>
      <c r="K293" s="421"/>
      <c r="L293" s="421"/>
      <c r="M293" s="415"/>
      <c r="N293" s="415"/>
      <c r="O293" s="415"/>
      <c r="P293" s="415"/>
      <c r="Q293" s="416"/>
      <c r="R293" s="416"/>
      <c r="S293" s="416"/>
      <c r="T293" s="416"/>
      <c r="U293" s="422"/>
      <c r="V293" s="422"/>
    </row>
    <row r="294" spans="1:22">
      <c r="A294" s="91"/>
      <c r="B294" s="243"/>
      <c r="C294" s="421"/>
      <c r="D294" s="421"/>
      <c r="E294" s="421"/>
      <c r="F294" s="421"/>
      <c r="G294" s="421"/>
      <c r="H294" s="421"/>
      <c r="I294" s="421"/>
      <c r="J294" s="421"/>
      <c r="K294" s="421"/>
      <c r="L294" s="421"/>
      <c r="M294" s="415"/>
      <c r="N294" s="415"/>
      <c r="O294" s="415"/>
      <c r="P294" s="415"/>
      <c r="Q294" s="416"/>
      <c r="R294" s="416"/>
      <c r="S294" s="416"/>
      <c r="T294" s="416"/>
      <c r="U294" s="422"/>
      <c r="V294" s="422"/>
    </row>
    <row r="295" spans="1:22">
      <c r="A295" s="91"/>
      <c r="B295" s="243"/>
      <c r="C295" s="421"/>
      <c r="D295" s="421"/>
      <c r="E295" s="421"/>
      <c r="F295" s="421"/>
      <c r="G295" s="421"/>
      <c r="H295" s="421"/>
      <c r="I295" s="421"/>
      <c r="J295" s="421"/>
      <c r="K295" s="421"/>
      <c r="L295" s="421"/>
      <c r="M295" s="415"/>
      <c r="N295" s="415"/>
      <c r="O295" s="415"/>
      <c r="P295" s="415"/>
      <c r="Q295" s="416"/>
      <c r="R295" s="416"/>
      <c r="S295" s="416"/>
      <c r="T295" s="416"/>
      <c r="U295" s="422"/>
      <c r="V295" s="422"/>
    </row>
    <row r="296" spans="1:22">
      <c r="A296" s="91"/>
      <c r="B296" s="243"/>
      <c r="C296" s="421"/>
      <c r="D296" s="421"/>
      <c r="E296" s="421"/>
      <c r="F296" s="421"/>
      <c r="G296" s="421"/>
      <c r="H296" s="421"/>
      <c r="I296" s="421"/>
      <c r="J296" s="421"/>
      <c r="K296" s="421"/>
      <c r="L296" s="421"/>
      <c r="M296" s="415"/>
      <c r="N296" s="415"/>
      <c r="O296" s="415"/>
      <c r="P296" s="415"/>
      <c r="Q296" s="416"/>
      <c r="R296" s="416"/>
      <c r="S296" s="416"/>
      <c r="T296" s="416"/>
      <c r="U296" s="415"/>
      <c r="V296" s="415"/>
    </row>
    <row r="297" spans="1:22">
      <c r="A297" s="91"/>
      <c r="B297" s="243"/>
      <c r="C297" s="421"/>
      <c r="D297" s="421"/>
      <c r="E297" s="421"/>
      <c r="F297" s="421"/>
      <c r="G297" s="421"/>
      <c r="H297" s="421"/>
      <c r="I297" s="421"/>
      <c r="J297" s="421"/>
      <c r="K297" s="421"/>
      <c r="L297" s="421"/>
      <c r="M297" s="415"/>
      <c r="N297" s="415"/>
      <c r="O297" s="415"/>
      <c r="P297" s="415"/>
      <c r="Q297" s="416"/>
      <c r="R297" s="416"/>
      <c r="S297" s="416"/>
      <c r="T297" s="416"/>
      <c r="U297" s="415"/>
      <c r="V297" s="415"/>
    </row>
    <row r="298" spans="1:22">
      <c r="A298" s="91"/>
      <c r="B298" s="243"/>
      <c r="C298" s="421"/>
      <c r="D298" s="421"/>
      <c r="E298" s="421"/>
      <c r="F298" s="421"/>
      <c r="G298" s="421"/>
      <c r="H298" s="421"/>
      <c r="I298" s="421"/>
      <c r="J298" s="421"/>
      <c r="K298" s="421"/>
      <c r="L298" s="421"/>
      <c r="M298" s="415"/>
      <c r="N298" s="415"/>
      <c r="O298" s="415"/>
      <c r="P298" s="415"/>
      <c r="Q298" s="416"/>
      <c r="R298" s="416"/>
      <c r="S298" s="416"/>
      <c r="T298" s="416"/>
      <c r="U298" s="415"/>
      <c r="V298" s="415"/>
    </row>
    <row r="299" spans="1:22">
      <c r="A299" s="91"/>
      <c r="B299" s="243"/>
      <c r="C299" s="421"/>
      <c r="D299" s="421"/>
      <c r="E299" s="421"/>
      <c r="F299" s="421"/>
      <c r="G299" s="421"/>
      <c r="H299" s="421"/>
      <c r="I299" s="421"/>
      <c r="J299" s="421"/>
      <c r="K299" s="421"/>
      <c r="L299" s="421"/>
      <c r="M299" s="415"/>
      <c r="N299" s="415"/>
      <c r="O299" s="415"/>
      <c r="P299" s="415"/>
      <c r="Q299" s="416"/>
      <c r="R299" s="416"/>
      <c r="S299" s="416"/>
      <c r="T299" s="416"/>
      <c r="U299" s="415"/>
      <c r="V299" s="415"/>
    </row>
    <row r="300" spans="1:22">
      <c r="A300" s="91"/>
      <c r="B300" s="243"/>
      <c r="C300" s="421"/>
      <c r="D300" s="421"/>
      <c r="E300" s="421"/>
      <c r="F300" s="421"/>
      <c r="G300" s="421"/>
      <c r="H300" s="421"/>
      <c r="I300" s="421"/>
      <c r="J300" s="421"/>
      <c r="K300" s="421"/>
      <c r="L300" s="421"/>
      <c r="M300" s="415"/>
      <c r="N300" s="415"/>
      <c r="O300" s="415"/>
      <c r="P300" s="415"/>
      <c r="Q300" s="416"/>
      <c r="R300" s="416"/>
      <c r="S300" s="416"/>
      <c r="T300" s="416"/>
      <c r="U300" s="422"/>
      <c r="V300" s="422"/>
    </row>
    <row r="301" spans="1:22">
      <c r="A301" s="91"/>
      <c r="B301" s="243"/>
      <c r="C301" s="421"/>
      <c r="D301" s="421"/>
      <c r="E301" s="421"/>
      <c r="F301" s="421"/>
      <c r="G301" s="421"/>
      <c r="H301" s="421"/>
      <c r="I301" s="421"/>
      <c r="J301" s="421"/>
      <c r="K301" s="421"/>
      <c r="L301" s="421"/>
      <c r="M301" s="415"/>
      <c r="N301" s="415"/>
      <c r="O301" s="415"/>
      <c r="P301" s="415"/>
      <c r="Q301" s="416"/>
      <c r="R301" s="416"/>
      <c r="S301" s="416"/>
      <c r="T301" s="416"/>
      <c r="U301" s="422"/>
      <c r="V301" s="422"/>
    </row>
    <row r="302" spans="1:22">
      <c r="A302" s="91"/>
      <c r="B302" s="243"/>
      <c r="C302" s="421"/>
      <c r="D302" s="421"/>
      <c r="E302" s="421"/>
      <c r="F302" s="421"/>
      <c r="G302" s="421"/>
      <c r="H302" s="421"/>
      <c r="I302" s="421"/>
      <c r="J302" s="421"/>
      <c r="K302" s="421"/>
      <c r="L302" s="421"/>
      <c r="M302" s="415"/>
      <c r="N302" s="415"/>
      <c r="O302" s="415"/>
      <c r="P302" s="415"/>
      <c r="Q302" s="416"/>
      <c r="R302" s="416"/>
      <c r="S302" s="416"/>
      <c r="T302" s="416"/>
      <c r="U302" s="422"/>
      <c r="V302" s="422"/>
    </row>
    <row r="303" spans="1:22">
      <c r="A303" s="91"/>
      <c r="B303" s="243"/>
      <c r="C303" s="421"/>
      <c r="D303" s="421"/>
      <c r="E303" s="421"/>
      <c r="F303" s="421"/>
      <c r="G303" s="421"/>
      <c r="H303" s="421"/>
      <c r="I303" s="421"/>
      <c r="J303" s="421"/>
      <c r="K303" s="421"/>
      <c r="L303" s="421"/>
      <c r="M303" s="415"/>
      <c r="N303" s="415"/>
      <c r="O303" s="415"/>
      <c r="P303" s="415"/>
      <c r="Q303" s="416"/>
      <c r="R303" s="416"/>
      <c r="S303" s="416"/>
      <c r="T303" s="416"/>
      <c r="U303" s="422"/>
      <c r="V303" s="422"/>
    </row>
    <row r="304" spans="1:22">
      <c r="A304" s="91"/>
      <c r="B304" s="243"/>
      <c r="C304" s="421"/>
      <c r="D304" s="421"/>
      <c r="E304" s="421"/>
      <c r="F304" s="421"/>
      <c r="G304" s="421"/>
      <c r="H304" s="421"/>
      <c r="I304" s="421"/>
      <c r="J304" s="421"/>
      <c r="K304" s="421"/>
      <c r="L304" s="421"/>
      <c r="M304" s="415"/>
      <c r="N304" s="415"/>
      <c r="O304" s="415"/>
      <c r="P304" s="415"/>
      <c r="Q304" s="416"/>
      <c r="R304" s="416"/>
      <c r="S304" s="416"/>
      <c r="T304" s="416"/>
      <c r="U304" s="422"/>
      <c r="V304" s="422"/>
    </row>
    <row r="305" spans="1:22">
      <c r="A305" s="91"/>
      <c r="B305" s="243"/>
      <c r="C305" s="421"/>
      <c r="D305" s="421"/>
      <c r="E305" s="421"/>
      <c r="F305" s="421"/>
      <c r="G305" s="421"/>
      <c r="H305" s="421"/>
      <c r="I305" s="421"/>
      <c r="J305" s="421"/>
      <c r="K305" s="421"/>
      <c r="L305" s="421"/>
      <c r="M305" s="415"/>
      <c r="N305" s="415"/>
      <c r="O305" s="415"/>
      <c r="P305" s="415"/>
      <c r="Q305" s="416"/>
      <c r="R305" s="416"/>
      <c r="S305" s="416"/>
      <c r="T305" s="416"/>
      <c r="U305" s="422"/>
      <c r="V305" s="422"/>
    </row>
    <row r="306" spans="1:22">
      <c r="A306" s="91"/>
      <c r="B306" s="243"/>
      <c r="C306" s="421"/>
      <c r="D306" s="421"/>
      <c r="E306" s="421"/>
      <c r="F306" s="421"/>
      <c r="G306" s="421"/>
      <c r="H306" s="421"/>
      <c r="I306" s="421"/>
      <c r="J306" s="421"/>
      <c r="K306" s="421"/>
      <c r="L306" s="421"/>
      <c r="M306" s="415"/>
      <c r="N306" s="415"/>
      <c r="O306" s="415"/>
      <c r="P306" s="415"/>
      <c r="Q306" s="416"/>
      <c r="R306" s="416"/>
      <c r="S306" s="416"/>
      <c r="T306" s="416"/>
      <c r="U306" s="422"/>
      <c r="V306" s="422"/>
    </row>
    <row r="307" spans="1:22">
      <c r="A307" s="91"/>
      <c r="B307" s="243"/>
      <c r="C307" s="421"/>
      <c r="D307" s="421"/>
      <c r="E307" s="421"/>
      <c r="F307" s="421"/>
      <c r="G307" s="421"/>
      <c r="H307" s="421"/>
      <c r="I307" s="421"/>
      <c r="J307" s="421"/>
      <c r="K307" s="421"/>
      <c r="L307" s="421"/>
      <c r="M307" s="415"/>
      <c r="N307" s="415"/>
      <c r="O307" s="415"/>
      <c r="P307" s="415"/>
      <c r="Q307" s="416"/>
      <c r="R307" s="416"/>
      <c r="S307" s="416"/>
      <c r="T307" s="416"/>
      <c r="U307" s="422"/>
      <c r="V307" s="422"/>
    </row>
    <row r="308" spans="1:22">
      <c r="A308" s="91"/>
      <c r="B308" s="243"/>
      <c r="C308" s="421"/>
      <c r="D308" s="421"/>
      <c r="E308" s="421"/>
      <c r="F308" s="421"/>
      <c r="G308" s="421"/>
      <c r="H308" s="421"/>
      <c r="I308" s="421"/>
      <c r="J308" s="421"/>
      <c r="K308" s="421"/>
      <c r="L308" s="421"/>
      <c r="M308" s="415"/>
      <c r="N308" s="415"/>
      <c r="O308" s="415"/>
      <c r="P308" s="415"/>
      <c r="Q308" s="416"/>
      <c r="R308" s="416"/>
      <c r="S308" s="416"/>
      <c r="T308" s="416"/>
      <c r="U308" s="422"/>
      <c r="V308" s="422"/>
    </row>
    <row r="309" spans="1:22">
      <c r="A309" s="91"/>
      <c r="B309" s="243"/>
      <c r="C309" s="421"/>
      <c r="D309" s="421"/>
      <c r="E309" s="421"/>
      <c r="F309" s="421"/>
      <c r="G309" s="421"/>
      <c r="H309" s="421"/>
      <c r="I309" s="421"/>
      <c r="J309" s="421"/>
      <c r="K309" s="421"/>
      <c r="L309" s="421"/>
      <c r="M309" s="415"/>
      <c r="N309" s="415"/>
      <c r="O309" s="415"/>
      <c r="P309" s="415"/>
      <c r="Q309" s="416"/>
      <c r="R309" s="416"/>
      <c r="S309" s="416"/>
      <c r="T309" s="416"/>
      <c r="U309" s="422"/>
      <c r="V309" s="422"/>
    </row>
    <row r="310" spans="1:22">
      <c r="A310" s="91"/>
      <c r="B310" s="243"/>
      <c r="C310" s="421"/>
      <c r="D310" s="421"/>
      <c r="E310" s="421"/>
      <c r="F310" s="421"/>
      <c r="G310" s="421"/>
      <c r="H310" s="421"/>
      <c r="I310" s="421"/>
      <c r="J310" s="421"/>
      <c r="K310" s="421"/>
      <c r="L310" s="421"/>
      <c r="M310" s="415"/>
      <c r="N310" s="415"/>
      <c r="O310" s="415"/>
      <c r="P310" s="415"/>
      <c r="Q310" s="416"/>
      <c r="R310" s="416"/>
      <c r="S310" s="416"/>
      <c r="T310" s="416"/>
      <c r="U310" s="422"/>
      <c r="V310" s="422"/>
    </row>
    <row r="311" spans="1:22">
      <c r="A311" s="91"/>
      <c r="B311" s="243"/>
      <c r="C311" s="421"/>
      <c r="D311" s="421"/>
      <c r="E311" s="421"/>
      <c r="F311" s="421"/>
      <c r="G311" s="421"/>
      <c r="H311" s="421"/>
      <c r="I311" s="421"/>
      <c r="J311" s="421"/>
      <c r="K311" s="421"/>
      <c r="L311" s="421"/>
      <c r="M311" s="415"/>
      <c r="N311" s="415"/>
      <c r="O311" s="415"/>
      <c r="P311" s="415"/>
      <c r="Q311" s="416"/>
      <c r="R311" s="416"/>
      <c r="S311" s="416"/>
      <c r="T311" s="416"/>
      <c r="U311" s="422"/>
      <c r="V311" s="422"/>
    </row>
    <row r="312" spans="1:22">
      <c r="A312" s="91"/>
      <c r="B312" s="243"/>
      <c r="C312" s="421"/>
      <c r="D312" s="421"/>
      <c r="E312" s="421"/>
      <c r="F312" s="421"/>
      <c r="G312" s="421"/>
      <c r="H312" s="421"/>
      <c r="I312" s="421"/>
      <c r="J312" s="421"/>
      <c r="K312" s="421"/>
      <c r="L312" s="421"/>
      <c r="M312" s="415"/>
      <c r="N312" s="415"/>
      <c r="O312" s="415"/>
      <c r="P312" s="415"/>
      <c r="Q312" s="416"/>
      <c r="R312" s="416"/>
      <c r="S312" s="416"/>
      <c r="T312" s="416"/>
      <c r="U312" s="422"/>
      <c r="V312" s="422"/>
    </row>
    <row r="313" spans="1:22">
      <c r="A313" s="91"/>
      <c r="B313" s="243"/>
      <c r="C313" s="421"/>
      <c r="D313" s="421"/>
      <c r="E313" s="421"/>
      <c r="F313" s="421"/>
      <c r="G313" s="421"/>
      <c r="H313" s="421"/>
      <c r="I313" s="421"/>
      <c r="J313" s="421"/>
      <c r="K313" s="421"/>
      <c r="L313" s="421"/>
      <c r="M313" s="415"/>
      <c r="N313" s="415"/>
      <c r="O313" s="415"/>
      <c r="P313" s="415"/>
      <c r="Q313" s="416"/>
      <c r="R313" s="416"/>
      <c r="S313" s="416"/>
      <c r="T313" s="416"/>
      <c r="U313" s="422"/>
      <c r="V313" s="422"/>
    </row>
    <row r="314" spans="1:22">
      <c r="A314" s="91"/>
      <c r="B314" s="243"/>
      <c r="C314" s="421"/>
      <c r="D314" s="421"/>
      <c r="E314" s="421"/>
      <c r="F314" s="421"/>
      <c r="G314" s="421"/>
      <c r="H314" s="421"/>
      <c r="I314" s="421"/>
      <c r="J314" s="421"/>
      <c r="K314" s="421"/>
      <c r="L314" s="421"/>
      <c r="M314" s="415"/>
      <c r="N314" s="415"/>
      <c r="O314" s="415"/>
      <c r="P314" s="415"/>
      <c r="Q314" s="416"/>
      <c r="R314" s="416"/>
      <c r="S314" s="416"/>
      <c r="T314" s="416"/>
      <c r="U314" s="422"/>
      <c r="V314" s="422"/>
    </row>
    <row r="315" spans="1:22">
      <c r="A315" s="91"/>
      <c r="B315" s="243"/>
      <c r="C315" s="421"/>
      <c r="D315" s="421"/>
      <c r="E315" s="421"/>
      <c r="F315" s="421"/>
      <c r="G315" s="421"/>
      <c r="H315" s="421"/>
      <c r="I315" s="421"/>
      <c r="J315" s="421"/>
      <c r="K315" s="421"/>
      <c r="L315" s="421"/>
      <c r="M315" s="415"/>
      <c r="N315" s="415"/>
      <c r="O315" s="415"/>
      <c r="P315" s="415"/>
      <c r="Q315" s="416"/>
      <c r="R315" s="416"/>
      <c r="S315" s="416"/>
      <c r="T315" s="416"/>
      <c r="U315" s="422"/>
      <c r="V315" s="422"/>
    </row>
    <row r="316" spans="1:22">
      <c r="A316" s="91"/>
      <c r="B316" s="243"/>
      <c r="C316" s="421"/>
      <c r="D316" s="421"/>
      <c r="E316" s="421"/>
      <c r="F316" s="421"/>
      <c r="G316" s="421"/>
      <c r="H316" s="421"/>
      <c r="I316" s="421"/>
      <c r="J316" s="421"/>
      <c r="K316" s="421"/>
      <c r="L316" s="421"/>
      <c r="M316" s="415"/>
      <c r="N316" s="415"/>
      <c r="O316" s="415"/>
      <c r="P316" s="415"/>
      <c r="Q316" s="416"/>
      <c r="R316" s="416"/>
      <c r="S316" s="416"/>
      <c r="T316" s="416"/>
      <c r="U316" s="422"/>
      <c r="V316" s="422"/>
    </row>
    <row r="317" spans="1:22">
      <c r="A317" s="91"/>
      <c r="B317" s="243"/>
      <c r="C317" s="421"/>
      <c r="D317" s="421"/>
      <c r="E317" s="421"/>
      <c r="F317" s="421"/>
      <c r="G317" s="421"/>
      <c r="H317" s="421"/>
      <c r="I317" s="421"/>
      <c r="J317" s="421"/>
      <c r="K317" s="421"/>
      <c r="L317" s="421"/>
      <c r="M317" s="415"/>
      <c r="N317" s="415"/>
      <c r="O317" s="415"/>
      <c r="P317" s="415"/>
      <c r="Q317" s="416"/>
      <c r="R317" s="416"/>
      <c r="S317" s="416"/>
      <c r="T317" s="416"/>
      <c r="U317" s="422"/>
      <c r="V317" s="422"/>
    </row>
    <row r="318" spans="1:22">
      <c r="A318" s="91"/>
      <c r="B318" s="243"/>
      <c r="C318" s="421"/>
      <c r="D318" s="421"/>
      <c r="E318" s="421"/>
      <c r="F318" s="421"/>
      <c r="G318" s="421"/>
      <c r="H318" s="421"/>
      <c r="I318" s="421"/>
      <c r="J318" s="421"/>
      <c r="K318" s="421"/>
      <c r="L318" s="421"/>
      <c r="M318" s="415"/>
      <c r="N318" s="415"/>
      <c r="O318" s="415"/>
      <c r="P318" s="415"/>
      <c r="Q318" s="416"/>
      <c r="R318" s="416"/>
      <c r="S318" s="416"/>
      <c r="T318" s="416"/>
      <c r="U318" s="415"/>
      <c r="V318" s="415"/>
    </row>
    <row r="319" spans="1:22">
      <c r="A319" s="91"/>
      <c r="B319" s="243"/>
      <c r="C319" s="421"/>
      <c r="D319" s="421"/>
      <c r="E319" s="421"/>
      <c r="F319" s="421"/>
      <c r="G319" s="421"/>
      <c r="H319" s="421"/>
      <c r="I319" s="421"/>
      <c r="J319" s="421"/>
      <c r="K319" s="421"/>
      <c r="L319" s="421"/>
      <c r="M319" s="415"/>
      <c r="N319" s="415"/>
      <c r="O319" s="415"/>
      <c r="P319" s="415"/>
      <c r="Q319" s="416"/>
      <c r="R319" s="416"/>
      <c r="S319" s="416"/>
      <c r="T319" s="416"/>
      <c r="U319" s="415"/>
      <c r="V319" s="415"/>
    </row>
    <row r="320" spans="1:22">
      <c r="A320" s="91"/>
      <c r="B320" s="243"/>
      <c r="C320" s="421"/>
      <c r="D320" s="421"/>
      <c r="E320" s="421"/>
      <c r="F320" s="421"/>
      <c r="G320" s="421"/>
      <c r="H320" s="421"/>
      <c r="I320" s="421"/>
      <c r="J320" s="421"/>
      <c r="K320" s="421"/>
      <c r="L320" s="421"/>
      <c r="M320" s="415"/>
      <c r="N320" s="415"/>
      <c r="O320" s="415"/>
      <c r="P320" s="415"/>
      <c r="Q320" s="416"/>
      <c r="R320" s="416"/>
      <c r="S320" s="416"/>
      <c r="T320" s="416"/>
      <c r="U320" s="415"/>
      <c r="V320" s="415"/>
    </row>
    <row r="321" spans="1:22">
      <c r="A321" s="91"/>
      <c r="B321" s="243"/>
      <c r="C321" s="421"/>
      <c r="D321" s="421"/>
      <c r="E321" s="421"/>
      <c r="F321" s="421"/>
      <c r="G321" s="421"/>
      <c r="H321" s="421"/>
      <c r="I321" s="421"/>
      <c r="J321" s="421"/>
      <c r="K321" s="421"/>
      <c r="L321" s="421"/>
      <c r="M321" s="415"/>
      <c r="N321" s="415"/>
      <c r="O321" s="415"/>
      <c r="P321" s="415"/>
      <c r="Q321" s="416"/>
      <c r="R321" s="416"/>
      <c r="S321" s="416"/>
      <c r="T321" s="416"/>
      <c r="U321" s="415"/>
      <c r="V321" s="415"/>
    </row>
    <row r="322" spans="1:22">
      <c r="A322" s="91"/>
      <c r="B322" s="243"/>
      <c r="C322" s="421"/>
      <c r="D322" s="421"/>
      <c r="E322" s="421"/>
      <c r="F322" s="421"/>
      <c r="G322" s="421"/>
      <c r="H322" s="421"/>
      <c r="I322" s="421"/>
      <c r="J322" s="421"/>
      <c r="K322" s="421"/>
      <c r="L322" s="421"/>
      <c r="M322" s="415"/>
      <c r="N322" s="415"/>
      <c r="O322" s="415"/>
      <c r="P322" s="415"/>
      <c r="Q322" s="416"/>
      <c r="R322" s="416"/>
      <c r="S322" s="416"/>
      <c r="T322" s="416"/>
      <c r="U322" s="415"/>
      <c r="V322" s="415"/>
    </row>
    <row r="323" spans="1:22">
      <c r="A323" s="91"/>
      <c r="B323" s="243"/>
      <c r="C323" s="421"/>
      <c r="D323" s="421"/>
      <c r="E323" s="421"/>
      <c r="F323" s="421"/>
      <c r="G323" s="421"/>
      <c r="H323" s="421"/>
      <c r="I323" s="421"/>
      <c r="J323" s="421"/>
      <c r="K323" s="421"/>
      <c r="L323" s="421"/>
      <c r="M323" s="415"/>
      <c r="N323" s="415"/>
      <c r="O323" s="415"/>
      <c r="P323" s="415"/>
      <c r="Q323" s="416"/>
      <c r="R323" s="416"/>
      <c r="S323" s="416"/>
      <c r="T323" s="416"/>
      <c r="U323" s="415"/>
      <c r="V323" s="415"/>
    </row>
    <row r="324" spans="1:22">
      <c r="A324" s="91"/>
      <c r="B324" s="243"/>
      <c r="C324" s="421"/>
      <c r="D324" s="421"/>
      <c r="E324" s="421"/>
      <c r="F324" s="421"/>
      <c r="G324" s="421"/>
      <c r="H324" s="421"/>
      <c r="I324" s="421"/>
      <c r="J324" s="421"/>
      <c r="K324" s="421"/>
      <c r="L324" s="421"/>
      <c r="M324" s="415"/>
      <c r="N324" s="415"/>
      <c r="O324" s="415"/>
      <c r="P324" s="415"/>
      <c r="Q324" s="416"/>
      <c r="R324" s="416"/>
      <c r="S324" s="416"/>
      <c r="T324" s="416"/>
      <c r="U324" s="415"/>
      <c r="V324" s="415"/>
    </row>
    <row r="325" spans="1:22">
      <c r="A325" s="91"/>
      <c r="B325" s="243"/>
      <c r="C325" s="421"/>
      <c r="D325" s="421"/>
      <c r="E325" s="421"/>
      <c r="F325" s="421"/>
      <c r="G325" s="421"/>
      <c r="H325" s="421"/>
      <c r="I325" s="421"/>
      <c r="J325" s="421"/>
      <c r="K325" s="421"/>
      <c r="L325" s="421"/>
      <c r="M325" s="415"/>
      <c r="N325" s="415"/>
      <c r="O325" s="415"/>
      <c r="P325" s="415"/>
      <c r="Q325" s="416"/>
      <c r="R325" s="416"/>
      <c r="S325" s="416"/>
      <c r="T325" s="416"/>
      <c r="U325" s="415"/>
      <c r="V325" s="415"/>
    </row>
    <row r="326" spans="1:22">
      <c r="A326" s="91"/>
      <c r="B326" s="243"/>
      <c r="C326" s="421"/>
      <c r="D326" s="421"/>
      <c r="E326" s="421"/>
      <c r="F326" s="421"/>
      <c r="G326" s="421"/>
      <c r="H326" s="421"/>
      <c r="I326" s="421"/>
      <c r="J326" s="421"/>
      <c r="K326" s="421"/>
      <c r="L326" s="421"/>
      <c r="M326" s="415"/>
      <c r="N326" s="415"/>
      <c r="O326" s="415"/>
      <c r="P326" s="415"/>
      <c r="Q326" s="416"/>
      <c r="R326" s="416"/>
      <c r="S326" s="416"/>
      <c r="T326" s="416"/>
      <c r="U326" s="415"/>
      <c r="V326" s="415"/>
    </row>
    <row r="327" spans="1:22">
      <c r="A327" s="91"/>
      <c r="B327" s="243"/>
      <c r="C327" s="421"/>
      <c r="D327" s="421"/>
      <c r="E327" s="421"/>
      <c r="F327" s="421"/>
      <c r="G327" s="421"/>
      <c r="H327" s="421"/>
      <c r="I327" s="421"/>
      <c r="J327" s="421"/>
      <c r="K327" s="421"/>
      <c r="L327" s="421"/>
      <c r="M327" s="415"/>
      <c r="N327" s="415"/>
      <c r="O327" s="415"/>
      <c r="P327" s="415"/>
      <c r="Q327" s="416"/>
      <c r="R327" s="416"/>
      <c r="S327" s="416"/>
      <c r="T327" s="416"/>
      <c r="U327" s="415"/>
      <c r="V327" s="415"/>
    </row>
    <row r="328" spans="1:22">
      <c r="A328" s="91"/>
      <c r="B328" s="243"/>
      <c r="C328" s="421"/>
      <c r="D328" s="421"/>
      <c r="E328" s="421"/>
      <c r="F328" s="421"/>
      <c r="G328" s="421"/>
      <c r="H328" s="421"/>
      <c r="I328" s="421"/>
      <c r="J328" s="421"/>
      <c r="K328" s="421"/>
      <c r="L328" s="421"/>
      <c r="M328" s="415"/>
      <c r="N328" s="415"/>
      <c r="O328" s="415"/>
      <c r="P328" s="415"/>
      <c r="Q328" s="416"/>
      <c r="R328" s="416"/>
      <c r="S328" s="416"/>
      <c r="T328" s="416"/>
      <c r="U328" s="415"/>
      <c r="V328" s="415"/>
    </row>
    <row r="329" spans="1:22">
      <c r="A329" s="91"/>
      <c r="B329" s="243"/>
      <c r="C329" s="421"/>
      <c r="D329" s="421"/>
      <c r="E329" s="421"/>
      <c r="F329" s="421"/>
      <c r="G329" s="421"/>
      <c r="H329" s="421"/>
      <c r="I329" s="421"/>
      <c r="J329" s="421"/>
      <c r="K329" s="421"/>
      <c r="L329" s="421"/>
      <c r="M329" s="415"/>
      <c r="N329" s="415"/>
      <c r="O329" s="415"/>
      <c r="P329" s="415"/>
      <c r="Q329" s="416"/>
      <c r="R329" s="416"/>
      <c r="S329" s="416"/>
      <c r="T329" s="416"/>
      <c r="U329" s="415"/>
      <c r="V329" s="415"/>
    </row>
    <row r="330" spans="1:22">
      <c r="A330" s="91"/>
      <c r="B330" s="243"/>
      <c r="C330" s="421"/>
      <c r="D330" s="421"/>
      <c r="E330" s="421"/>
      <c r="F330" s="421"/>
      <c r="G330" s="421"/>
      <c r="H330" s="421"/>
      <c r="I330" s="421"/>
      <c r="J330" s="421"/>
      <c r="K330" s="421"/>
      <c r="L330" s="421"/>
      <c r="M330" s="415"/>
      <c r="N330" s="415"/>
      <c r="O330" s="415"/>
      <c r="P330" s="415"/>
      <c r="Q330" s="416"/>
      <c r="R330" s="416"/>
      <c r="S330" s="416"/>
      <c r="T330" s="416"/>
      <c r="U330" s="415"/>
      <c r="V330" s="415"/>
    </row>
    <row r="331" spans="1:22">
      <c r="A331" s="91"/>
      <c r="B331" s="243"/>
      <c r="C331" s="421"/>
      <c r="D331" s="421"/>
      <c r="E331" s="421"/>
      <c r="F331" s="421"/>
      <c r="G331" s="421"/>
      <c r="H331" s="421"/>
      <c r="I331" s="421"/>
      <c r="J331" s="421"/>
      <c r="K331" s="421"/>
      <c r="L331" s="421"/>
      <c r="M331" s="415"/>
      <c r="N331" s="415"/>
      <c r="O331" s="415"/>
      <c r="P331" s="415"/>
      <c r="Q331" s="416"/>
      <c r="R331" s="416"/>
      <c r="S331" s="416"/>
      <c r="T331" s="416"/>
      <c r="U331" s="415"/>
      <c r="V331" s="415"/>
    </row>
    <row r="332" spans="1:22">
      <c r="A332" s="91"/>
      <c r="B332" s="243"/>
      <c r="C332" s="421"/>
      <c r="D332" s="421"/>
      <c r="E332" s="421"/>
      <c r="F332" s="421"/>
      <c r="G332" s="421"/>
      <c r="H332" s="421"/>
      <c r="I332" s="421"/>
      <c r="J332" s="421"/>
      <c r="K332" s="421"/>
      <c r="L332" s="421"/>
      <c r="M332" s="415"/>
      <c r="N332" s="415"/>
      <c r="O332" s="415"/>
      <c r="P332" s="415"/>
      <c r="Q332" s="416"/>
      <c r="R332" s="416"/>
      <c r="S332" s="416"/>
      <c r="T332" s="416"/>
      <c r="U332" s="415"/>
      <c r="V332" s="415"/>
    </row>
    <row r="333" spans="1:22">
      <c r="A333" s="91"/>
      <c r="B333" s="243"/>
      <c r="C333" s="421"/>
      <c r="D333" s="421"/>
      <c r="E333" s="421"/>
      <c r="F333" s="421"/>
      <c r="G333" s="421"/>
      <c r="H333" s="421"/>
      <c r="I333" s="421"/>
      <c r="J333" s="421"/>
      <c r="K333" s="421"/>
      <c r="L333" s="421"/>
      <c r="M333" s="415"/>
      <c r="N333" s="415"/>
      <c r="O333" s="415"/>
      <c r="P333" s="415"/>
      <c r="Q333" s="416"/>
      <c r="R333" s="416"/>
      <c r="S333" s="416"/>
      <c r="T333" s="416"/>
      <c r="U333" s="415"/>
      <c r="V333" s="415"/>
    </row>
    <row r="334" spans="1:22">
      <c r="A334" s="91"/>
      <c r="B334" s="243"/>
      <c r="C334" s="421"/>
      <c r="D334" s="421"/>
      <c r="E334" s="421"/>
      <c r="F334" s="421"/>
      <c r="G334" s="421"/>
      <c r="H334" s="421"/>
      <c r="I334" s="421"/>
      <c r="J334" s="421"/>
      <c r="K334" s="421"/>
      <c r="L334" s="421"/>
      <c r="M334" s="415"/>
      <c r="N334" s="415"/>
      <c r="O334" s="415"/>
      <c r="P334" s="415"/>
      <c r="Q334" s="416"/>
      <c r="R334" s="416"/>
      <c r="S334" s="416"/>
      <c r="T334" s="416"/>
      <c r="U334" s="415"/>
      <c r="V334" s="415"/>
    </row>
    <row r="335" spans="1:22">
      <c r="A335" s="91"/>
      <c r="B335" s="243"/>
      <c r="C335" s="421"/>
      <c r="D335" s="421"/>
      <c r="E335" s="421"/>
      <c r="F335" s="421"/>
      <c r="G335" s="421"/>
      <c r="H335" s="421"/>
      <c r="I335" s="421"/>
      <c r="J335" s="421"/>
      <c r="K335" s="421"/>
      <c r="L335" s="421"/>
      <c r="M335" s="415"/>
      <c r="N335" s="415"/>
      <c r="O335" s="415"/>
      <c r="P335" s="415"/>
      <c r="Q335" s="416"/>
      <c r="R335" s="416"/>
      <c r="S335" s="416"/>
      <c r="T335" s="416"/>
      <c r="U335" s="415"/>
      <c r="V335" s="415"/>
    </row>
    <row r="336" spans="1:22">
      <c r="A336" s="91"/>
      <c r="B336" s="243"/>
      <c r="C336" s="421"/>
      <c r="D336" s="421"/>
      <c r="E336" s="421"/>
      <c r="F336" s="421"/>
      <c r="G336" s="421"/>
      <c r="H336" s="421"/>
      <c r="I336" s="421"/>
      <c r="J336" s="421"/>
      <c r="K336" s="421"/>
      <c r="L336" s="421"/>
      <c r="M336" s="415"/>
      <c r="N336" s="415"/>
      <c r="O336" s="415"/>
      <c r="P336" s="415"/>
      <c r="Q336" s="416"/>
      <c r="R336" s="416"/>
      <c r="S336" s="416"/>
      <c r="T336" s="416"/>
      <c r="U336" s="415"/>
      <c r="V336" s="415"/>
    </row>
    <row r="337" spans="1:22">
      <c r="A337" s="91"/>
      <c r="B337" s="243"/>
      <c r="C337" s="421"/>
      <c r="D337" s="421"/>
      <c r="E337" s="421"/>
      <c r="F337" s="421"/>
      <c r="G337" s="421"/>
      <c r="H337" s="421"/>
      <c r="I337" s="421"/>
      <c r="J337" s="421"/>
      <c r="K337" s="421"/>
      <c r="L337" s="421"/>
      <c r="M337" s="415"/>
      <c r="N337" s="415"/>
      <c r="O337" s="415"/>
      <c r="P337" s="415"/>
      <c r="Q337" s="416"/>
      <c r="R337" s="416"/>
      <c r="S337" s="416"/>
      <c r="T337" s="416"/>
      <c r="U337" s="415"/>
      <c r="V337" s="415"/>
    </row>
    <row r="338" spans="1:22">
      <c r="A338" s="91"/>
      <c r="B338" s="243"/>
      <c r="C338" s="421"/>
      <c r="D338" s="421"/>
      <c r="E338" s="421"/>
      <c r="F338" s="421"/>
      <c r="G338" s="421"/>
      <c r="H338" s="421"/>
      <c r="I338" s="421"/>
      <c r="J338" s="421"/>
      <c r="K338" s="421"/>
      <c r="L338" s="421"/>
      <c r="M338" s="415"/>
      <c r="N338" s="415"/>
      <c r="O338" s="415"/>
      <c r="P338" s="415"/>
      <c r="Q338" s="416"/>
      <c r="R338" s="416"/>
      <c r="S338" s="416"/>
      <c r="T338" s="416"/>
      <c r="U338" s="415"/>
      <c r="V338" s="415"/>
    </row>
    <row r="339" spans="1:22">
      <c r="A339" s="91"/>
      <c r="B339" s="243"/>
      <c r="C339" s="421"/>
      <c r="D339" s="421"/>
      <c r="E339" s="421"/>
      <c r="F339" s="421"/>
      <c r="G339" s="421"/>
      <c r="H339" s="421"/>
      <c r="I339" s="421"/>
      <c r="J339" s="421"/>
      <c r="K339" s="421"/>
      <c r="L339" s="421"/>
      <c r="M339" s="415"/>
      <c r="N339" s="415"/>
      <c r="O339" s="415"/>
      <c r="P339" s="415"/>
      <c r="Q339" s="416"/>
      <c r="R339" s="416"/>
      <c r="S339" s="416"/>
      <c r="T339" s="416"/>
      <c r="U339" s="415"/>
      <c r="V339" s="415"/>
    </row>
    <row r="340" spans="1:22">
      <c r="A340" s="91"/>
      <c r="B340" s="243"/>
      <c r="C340" s="421"/>
      <c r="D340" s="421"/>
      <c r="E340" s="421"/>
      <c r="F340" s="421"/>
      <c r="G340" s="421"/>
      <c r="H340" s="421"/>
      <c r="I340" s="421"/>
      <c r="J340" s="421"/>
      <c r="K340" s="421"/>
      <c r="L340" s="421"/>
      <c r="M340" s="415"/>
      <c r="N340" s="415"/>
      <c r="O340" s="415"/>
      <c r="P340" s="415"/>
      <c r="Q340" s="416"/>
      <c r="R340" s="416"/>
      <c r="S340" s="416"/>
      <c r="T340" s="416"/>
      <c r="U340" s="415"/>
      <c r="V340" s="415"/>
    </row>
    <row r="341" spans="1:22">
      <c r="A341" s="91"/>
      <c r="B341" s="243"/>
      <c r="C341" s="421"/>
      <c r="D341" s="421"/>
      <c r="E341" s="421"/>
      <c r="F341" s="421"/>
      <c r="G341" s="421"/>
      <c r="H341" s="421"/>
      <c r="I341" s="421"/>
      <c r="J341" s="421"/>
      <c r="K341" s="421"/>
      <c r="L341" s="421"/>
      <c r="M341" s="415"/>
      <c r="N341" s="415"/>
      <c r="O341" s="415"/>
      <c r="P341" s="415"/>
      <c r="Q341" s="416"/>
      <c r="R341" s="416"/>
      <c r="S341" s="416"/>
      <c r="T341" s="416"/>
      <c r="U341" s="415"/>
      <c r="V341" s="415"/>
    </row>
    <row r="342" spans="1:22">
      <c r="A342" s="91"/>
      <c r="B342" s="243"/>
      <c r="C342" s="421"/>
      <c r="D342" s="421"/>
      <c r="E342" s="421"/>
      <c r="F342" s="421"/>
      <c r="G342" s="421"/>
      <c r="H342" s="421"/>
      <c r="I342" s="421"/>
      <c r="J342" s="421"/>
      <c r="K342" s="421"/>
      <c r="L342" s="421"/>
      <c r="M342" s="415"/>
      <c r="N342" s="415"/>
      <c r="O342" s="415"/>
      <c r="P342" s="415"/>
      <c r="Q342" s="416"/>
      <c r="R342" s="416"/>
      <c r="S342" s="416"/>
      <c r="T342" s="416"/>
      <c r="U342" s="415"/>
      <c r="V342" s="415"/>
    </row>
    <row r="343" spans="1:22">
      <c r="A343" s="91"/>
      <c r="B343" s="243"/>
      <c r="C343" s="421"/>
      <c r="D343" s="421"/>
      <c r="E343" s="421"/>
      <c r="F343" s="421"/>
      <c r="G343" s="421"/>
      <c r="H343" s="421"/>
      <c r="I343" s="421"/>
      <c r="J343" s="421"/>
      <c r="K343" s="421"/>
      <c r="L343" s="421"/>
      <c r="M343" s="415"/>
      <c r="N343" s="415"/>
      <c r="O343" s="415"/>
      <c r="P343" s="415"/>
      <c r="Q343" s="416"/>
      <c r="R343" s="416"/>
      <c r="S343" s="416"/>
      <c r="T343" s="416"/>
      <c r="U343" s="415"/>
      <c r="V343" s="415"/>
    </row>
    <row r="344" spans="1:22">
      <c r="A344" s="91"/>
      <c r="B344" s="243"/>
      <c r="C344" s="421"/>
      <c r="D344" s="421"/>
      <c r="E344" s="421"/>
      <c r="F344" s="421"/>
      <c r="G344" s="421"/>
      <c r="H344" s="421"/>
      <c r="I344" s="421"/>
      <c r="J344" s="421"/>
      <c r="K344" s="421"/>
      <c r="L344" s="421"/>
      <c r="M344" s="415"/>
      <c r="N344" s="415"/>
      <c r="O344" s="415"/>
      <c r="P344" s="415"/>
      <c r="Q344" s="416"/>
      <c r="R344" s="416"/>
      <c r="S344" s="416"/>
      <c r="T344" s="416"/>
      <c r="U344" s="415"/>
      <c r="V344" s="415"/>
    </row>
    <row r="345" spans="1:22">
      <c r="A345" s="91"/>
      <c r="B345" s="243"/>
      <c r="C345" s="421"/>
      <c r="D345" s="421"/>
      <c r="E345" s="421"/>
      <c r="F345" s="421"/>
      <c r="G345" s="421"/>
      <c r="H345" s="421"/>
      <c r="I345" s="421"/>
      <c r="J345" s="421"/>
      <c r="K345" s="421"/>
      <c r="L345" s="421"/>
      <c r="M345" s="415"/>
      <c r="N345" s="415"/>
      <c r="O345" s="415"/>
      <c r="P345" s="415"/>
      <c r="Q345" s="416"/>
      <c r="R345" s="416"/>
      <c r="S345" s="416"/>
      <c r="T345" s="416"/>
      <c r="U345" s="415"/>
      <c r="V345" s="415"/>
    </row>
    <row r="346" spans="1:22">
      <c r="A346" s="91"/>
      <c r="B346" s="243"/>
      <c r="C346" s="421"/>
      <c r="D346" s="421"/>
      <c r="E346" s="421"/>
      <c r="F346" s="421"/>
      <c r="G346" s="421"/>
      <c r="H346" s="421"/>
      <c r="I346" s="421"/>
      <c r="J346" s="421"/>
      <c r="K346" s="421"/>
      <c r="L346" s="421"/>
      <c r="M346" s="415"/>
      <c r="N346" s="415"/>
      <c r="O346" s="415"/>
      <c r="P346" s="415"/>
      <c r="Q346" s="416"/>
      <c r="R346" s="416"/>
      <c r="S346" s="416"/>
      <c r="T346" s="416"/>
      <c r="U346" s="415"/>
      <c r="V346" s="415"/>
    </row>
    <row r="347" spans="1:22">
      <c r="A347" s="91"/>
      <c r="B347" s="243"/>
      <c r="C347" s="421"/>
      <c r="D347" s="421"/>
      <c r="E347" s="421"/>
      <c r="F347" s="421"/>
      <c r="G347" s="421"/>
      <c r="H347" s="421"/>
      <c r="I347" s="421"/>
      <c r="J347" s="421"/>
      <c r="K347" s="421"/>
      <c r="L347" s="421"/>
      <c r="M347" s="415"/>
      <c r="N347" s="415"/>
      <c r="O347" s="415"/>
      <c r="P347" s="415"/>
      <c r="Q347" s="416"/>
      <c r="R347" s="416"/>
      <c r="S347" s="416"/>
      <c r="T347" s="416"/>
      <c r="U347" s="415"/>
      <c r="V347" s="415"/>
    </row>
    <row r="348" spans="1:22">
      <c r="A348" s="91"/>
      <c r="B348" s="243"/>
      <c r="C348" s="421"/>
      <c r="D348" s="421"/>
      <c r="E348" s="421"/>
      <c r="F348" s="421"/>
      <c r="G348" s="421"/>
      <c r="H348" s="421"/>
      <c r="I348" s="421"/>
      <c r="J348" s="421"/>
      <c r="K348" s="421"/>
      <c r="L348" s="421"/>
      <c r="M348" s="415"/>
      <c r="N348" s="415"/>
      <c r="O348" s="415"/>
      <c r="P348" s="415"/>
      <c r="Q348" s="416"/>
      <c r="R348" s="416"/>
      <c r="S348" s="416"/>
      <c r="T348" s="416"/>
      <c r="U348" s="415"/>
      <c r="V348" s="415"/>
    </row>
    <row r="349" spans="1:22">
      <c r="A349" s="91"/>
      <c r="B349" s="243"/>
      <c r="C349" s="421"/>
      <c r="D349" s="421"/>
      <c r="E349" s="421"/>
      <c r="F349" s="421"/>
      <c r="G349" s="421"/>
      <c r="H349" s="421"/>
      <c r="I349" s="421"/>
      <c r="J349" s="421"/>
      <c r="K349" s="421"/>
      <c r="L349" s="421"/>
      <c r="M349" s="415"/>
      <c r="N349" s="415"/>
      <c r="O349" s="415"/>
      <c r="P349" s="415"/>
      <c r="Q349" s="416"/>
      <c r="R349" s="416"/>
      <c r="S349" s="416"/>
      <c r="T349" s="416"/>
      <c r="U349" s="415"/>
      <c r="V349" s="415"/>
    </row>
    <row r="350" spans="1:22">
      <c r="A350" s="91"/>
      <c r="B350" s="243"/>
      <c r="C350" s="421"/>
      <c r="D350" s="421"/>
      <c r="E350" s="421"/>
      <c r="F350" s="421"/>
      <c r="G350" s="421"/>
      <c r="H350" s="421"/>
      <c r="I350" s="421"/>
      <c r="J350" s="421"/>
      <c r="K350" s="421"/>
      <c r="L350" s="421"/>
      <c r="M350" s="415"/>
      <c r="N350" s="415"/>
      <c r="O350" s="415"/>
      <c r="P350" s="415"/>
      <c r="Q350" s="416"/>
      <c r="R350" s="416"/>
      <c r="S350" s="416"/>
      <c r="T350" s="416"/>
      <c r="U350" s="415"/>
      <c r="V350" s="415"/>
    </row>
    <row r="351" spans="1:22">
      <c r="A351" s="91"/>
      <c r="B351" s="243"/>
      <c r="C351" s="421"/>
      <c r="D351" s="421"/>
      <c r="E351" s="421"/>
      <c r="F351" s="421"/>
      <c r="G351" s="421"/>
      <c r="H351" s="421"/>
      <c r="I351" s="421"/>
      <c r="J351" s="421"/>
      <c r="K351" s="421"/>
      <c r="L351" s="421"/>
      <c r="M351" s="415"/>
      <c r="N351" s="415"/>
      <c r="O351" s="415"/>
      <c r="P351" s="415"/>
      <c r="Q351" s="416"/>
      <c r="R351" s="416"/>
      <c r="S351" s="416"/>
      <c r="T351" s="416"/>
      <c r="U351" s="415"/>
      <c r="V351" s="415"/>
    </row>
    <row r="352" spans="1:22">
      <c r="A352" s="91"/>
      <c r="B352" s="243"/>
      <c r="C352" s="421"/>
      <c r="D352" s="421"/>
      <c r="E352" s="421"/>
      <c r="F352" s="421"/>
      <c r="G352" s="421"/>
      <c r="H352" s="421"/>
      <c r="I352" s="421"/>
      <c r="J352" s="421"/>
      <c r="K352" s="421"/>
      <c r="L352" s="421"/>
      <c r="M352" s="415"/>
      <c r="N352" s="415"/>
      <c r="O352" s="415"/>
      <c r="P352" s="415"/>
      <c r="Q352" s="416"/>
      <c r="R352" s="416"/>
      <c r="S352" s="416"/>
      <c r="T352" s="416"/>
      <c r="U352" s="415"/>
      <c r="V352" s="415"/>
    </row>
    <row r="353" spans="1:22">
      <c r="A353" s="91"/>
      <c r="B353" s="243"/>
      <c r="C353" s="421"/>
      <c r="D353" s="421"/>
      <c r="E353" s="421"/>
      <c r="F353" s="421"/>
      <c r="G353" s="421"/>
      <c r="H353" s="421"/>
      <c r="I353" s="421"/>
      <c r="J353" s="421"/>
      <c r="K353" s="421"/>
      <c r="L353" s="421"/>
      <c r="M353" s="415"/>
      <c r="N353" s="415"/>
      <c r="O353" s="415"/>
      <c r="P353" s="415"/>
      <c r="Q353" s="416"/>
      <c r="R353" s="416"/>
      <c r="S353" s="416"/>
      <c r="T353" s="416"/>
      <c r="U353" s="415"/>
      <c r="V353" s="415"/>
    </row>
    <row r="354" spans="1:22">
      <c r="A354" s="91"/>
      <c r="B354" s="243"/>
      <c r="C354" s="421"/>
      <c r="D354" s="421"/>
      <c r="E354" s="421"/>
      <c r="F354" s="421"/>
      <c r="G354" s="421"/>
      <c r="H354" s="421"/>
      <c r="I354" s="421"/>
      <c r="J354" s="421"/>
      <c r="K354" s="421"/>
      <c r="L354" s="421"/>
      <c r="M354" s="415"/>
      <c r="N354" s="415"/>
      <c r="O354" s="415"/>
      <c r="P354" s="415"/>
      <c r="Q354" s="416"/>
      <c r="R354" s="416"/>
      <c r="S354" s="416"/>
      <c r="T354" s="416"/>
      <c r="U354" s="415"/>
      <c r="V354" s="415"/>
    </row>
    <row r="355" spans="1:22">
      <c r="A355" s="91"/>
      <c r="B355" s="243"/>
      <c r="C355" s="421"/>
      <c r="D355" s="421"/>
      <c r="E355" s="421"/>
      <c r="F355" s="421"/>
      <c r="G355" s="421"/>
      <c r="H355" s="421"/>
      <c r="I355" s="421"/>
      <c r="J355" s="421"/>
      <c r="K355" s="421"/>
      <c r="L355" s="421"/>
      <c r="M355" s="415"/>
      <c r="N355" s="415"/>
      <c r="O355" s="415"/>
      <c r="P355" s="415"/>
      <c r="Q355" s="416"/>
      <c r="R355" s="416"/>
      <c r="S355" s="416"/>
      <c r="T355" s="416"/>
      <c r="U355" s="415"/>
      <c r="V355" s="415"/>
    </row>
    <row r="356" spans="1:22">
      <c r="A356" s="91"/>
      <c r="B356" s="243"/>
      <c r="C356" s="421"/>
      <c r="D356" s="421"/>
      <c r="E356" s="421"/>
      <c r="F356" s="421"/>
      <c r="G356" s="421"/>
      <c r="H356" s="421"/>
      <c r="I356" s="421"/>
      <c r="J356" s="421"/>
      <c r="K356" s="421"/>
      <c r="L356" s="421"/>
      <c r="M356" s="415"/>
      <c r="N356" s="415"/>
      <c r="O356" s="415"/>
      <c r="P356" s="415"/>
      <c r="Q356" s="416"/>
      <c r="R356" s="416"/>
      <c r="S356" s="416"/>
      <c r="T356" s="416"/>
      <c r="U356" s="415"/>
      <c r="V356" s="415"/>
    </row>
    <row r="357" spans="1:22">
      <c r="A357" s="91"/>
      <c r="B357" s="243"/>
      <c r="C357" s="421"/>
      <c r="D357" s="421"/>
      <c r="E357" s="421"/>
      <c r="F357" s="421"/>
      <c r="G357" s="421"/>
      <c r="H357" s="421"/>
      <c r="I357" s="421"/>
      <c r="J357" s="421"/>
      <c r="K357" s="421"/>
      <c r="L357" s="421"/>
      <c r="M357" s="415"/>
      <c r="N357" s="415"/>
      <c r="O357" s="415"/>
      <c r="P357" s="415"/>
      <c r="Q357" s="416"/>
      <c r="R357" s="416"/>
      <c r="S357" s="416"/>
      <c r="T357" s="416"/>
      <c r="U357" s="415"/>
      <c r="V357" s="415"/>
    </row>
    <row r="358" spans="1:22">
      <c r="A358" s="91"/>
      <c r="B358" s="243"/>
      <c r="C358" s="421"/>
      <c r="D358" s="421"/>
      <c r="E358" s="421"/>
      <c r="F358" s="421"/>
      <c r="G358" s="421"/>
      <c r="H358" s="421"/>
      <c r="I358" s="421"/>
      <c r="J358" s="421"/>
      <c r="K358" s="421"/>
      <c r="L358" s="421"/>
      <c r="M358" s="415"/>
      <c r="N358" s="415"/>
      <c r="O358" s="415"/>
      <c r="P358" s="415"/>
      <c r="Q358" s="416"/>
      <c r="R358" s="416"/>
      <c r="S358" s="416"/>
      <c r="T358" s="416"/>
      <c r="U358" s="415"/>
      <c r="V358" s="415"/>
    </row>
    <row r="359" spans="1:22">
      <c r="A359" s="91"/>
      <c r="B359" s="243"/>
      <c r="C359" s="421"/>
      <c r="D359" s="421"/>
      <c r="E359" s="421"/>
      <c r="F359" s="421"/>
      <c r="G359" s="421"/>
      <c r="H359" s="421"/>
      <c r="I359" s="421"/>
      <c r="J359" s="421"/>
      <c r="K359" s="421"/>
      <c r="L359" s="421"/>
      <c r="M359" s="415"/>
      <c r="N359" s="415"/>
      <c r="O359" s="415"/>
      <c r="P359" s="415"/>
      <c r="Q359" s="416"/>
      <c r="R359" s="416"/>
      <c r="S359" s="416"/>
      <c r="T359" s="416"/>
      <c r="U359" s="415"/>
      <c r="V359" s="415"/>
    </row>
    <row r="360" spans="1:22">
      <c r="A360" s="91"/>
      <c r="B360" s="243"/>
      <c r="C360" s="421"/>
      <c r="D360" s="421"/>
      <c r="E360" s="421"/>
      <c r="F360" s="421"/>
      <c r="G360" s="421"/>
      <c r="H360" s="421"/>
      <c r="I360" s="421"/>
      <c r="J360" s="421"/>
      <c r="K360" s="421"/>
      <c r="L360" s="421"/>
      <c r="M360" s="415"/>
      <c r="N360" s="415"/>
      <c r="O360" s="415"/>
      <c r="P360" s="415"/>
      <c r="Q360" s="416"/>
      <c r="R360" s="416"/>
      <c r="S360" s="416"/>
      <c r="T360" s="416"/>
      <c r="U360" s="415"/>
      <c r="V360" s="415"/>
    </row>
    <row r="361" spans="1:22">
      <c r="A361" s="91"/>
      <c r="B361" s="243"/>
      <c r="C361" s="421"/>
      <c r="D361" s="421"/>
      <c r="E361" s="421"/>
      <c r="F361" s="421"/>
      <c r="G361" s="421"/>
      <c r="H361" s="421"/>
      <c r="I361" s="421"/>
      <c r="J361" s="421"/>
      <c r="K361" s="421"/>
      <c r="L361" s="421"/>
      <c r="M361" s="415"/>
      <c r="N361" s="415"/>
      <c r="O361" s="415"/>
      <c r="P361" s="415"/>
      <c r="Q361" s="416"/>
      <c r="R361" s="416"/>
      <c r="S361" s="416"/>
      <c r="T361" s="416"/>
      <c r="U361" s="415"/>
      <c r="V361" s="415"/>
    </row>
    <row r="362" spans="1:22">
      <c r="A362" s="91"/>
      <c r="B362" s="243"/>
      <c r="C362" s="421"/>
      <c r="D362" s="421"/>
      <c r="E362" s="421"/>
      <c r="F362" s="421"/>
      <c r="G362" s="421"/>
      <c r="H362" s="421"/>
      <c r="I362" s="421"/>
      <c r="J362" s="421"/>
      <c r="K362" s="421"/>
      <c r="L362" s="421"/>
      <c r="M362" s="415"/>
      <c r="N362" s="415"/>
      <c r="O362" s="415"/>
      <c r="P362" s="415"/>
      <c r="Q362" s="416"/>
      <c r="R362" s="416"/>
      <c r="S362" s="416"/>
      <c r="T362" s="416"/>
      <c r="U362" s="415"/>
      <c r="V362" s="415"/>
    </row>
    <row r="363" spans="1:22">
      <c r="A363" s="91"/>
      <c r="B363" s="243"/>
      <c r="C363" s="421"/>
      <c r="D363" s="421"/>
      <c r="E363" s="421"/>
      <c r="F363" s="421"/>
      <c r="G363" s="421"/>
      <c r="H363" s="421"/>
      <c r="I363" s="421"/>
      <c r="J363" s="421"/>
      <c r="K363" s="421"/>
      <c r="L363" s="421"/>
      <c r="M363" s="415"/>
      <c r="N363" s="415"/>
      <c r="O363" s="415"/>
      <c r="P363" s="415"/>
      <c r="Q363" s="416"/>
      <c r="R363" s="416"/>
      <c r="S363" s="416"/>
      <c r="T363" s="416"/>
      <c r="U363" s="415"/>
      <c r="V363" s="415"/>
    </row>
    <row r="364" spans="1:22">
      <c r="A364" s="91"/>
      <c r="B364" s="243"/>
      <c r="C364" s="421"/>
      <c r="D364" s="421"/>
      <c r="E364" s="421"/>
      <c r="F364" s="421"/>
      <c r="G364" s="421"/>
      <c r="H364" s="421"/>
      <c r="I364" s="421"/>
      <c r="J364" s="421"/>
      <c r="K364" s="421"/>
      <c r="L364" s="421"/>
      <c r="M364" s="415"/>
      <c r="N364" s="415"/>
      <c r="O364" s="415"/>
      <c r="P364" s="415"/>
      <c r="Q364" s="416"/>
      <c r="R364" s="416"/>
      <c r="S364" s="416"/>
      <c r="T364" s="416"/>
      <c r="U364" s="415"/>
      <c r="V364" s="415"/>
    </row>
    <row r="365" spans="1:22">
      <c r="A365" s="91"/>
      <c r="B365" s="243"/>
      <c r="C365" s="421"/>
      <c r="D365" s="421"/>
      <c r="E365" s="421"/>
      <c r="F365" s="421"/>
      <c r="G365" s="421"/>
      <c r="H365" s="421"/>
      <c r="I365" s="421"/>
      <c r="J365" s="421"/>
      <c r="K365" s="421"/>
      <c r="L365" s="421"/>
      <c r="M365" s="415"/>
      <c r="N365" s="415"/>
      <c r="O365" s="415"/>
      <c r="P365" s="415"/>
      <c r="Q365" s="416"/>
      <c r="R365" s="416"/>
      <c r="S365" s="416"/>
      <c r="T365" s="416"/>
      <c r="U365" s="415"/>
      <c r="V365" s="415"/>
    </row>
    <row r="366" spans="1:22" ht="16.5" customHeight="1">
      <c r="A366" s="91"/>
      <c r="B366" s="243"/>
      <c r="C366" s="418"/>
      <c r="D366" s="419"/>
      <c r="E366" s="419"/>
      <c r="F366" s="419"/>
      <c r="G366" s="419"/>
      <c r="H366" s="419"/>
      <c r="I366" s="419"/>
      <c r="J366" s="419"/>
      <c r="K366" s="419"/>
      <c r="L366" s="420"/>
      <c r="M366" s="415"/>
      <c r="N366" s="415"/>
      <c r="O366" s="415"/>
      <c r="P366" s="415"/>
      <c r="Q366" s="416"/>
      <c r="R366" s="416"/>
      <c r="S366" s="416"/>
      <c r="T366" s="416"/>
      <c r="U366" s="415"/>
      <c r="V366" s="415"/>
    </row>
    <row r="367" spans="1:22">
      <c r="A367" s="91"/>
      <c r="B367" s="243"/>
      <c r="C367" s="421"/>
      <c r="D367" s="421"/>
      <c r="E367" s="421"/>
      <c r="F367" s="421"/>
      <c r="G367" s="421"/>
      <c r="H367" s="421"/>
      <c r="I367" s="421"/>
      <c r="J367" s="421"/>
      <c r="K367" s="421"/>
      <c r="L367" s="421"/>
      <c r="M367" s="415"/>
      <c r="N367" s="415"/>
      <c r="O367" s="415"/>
      <c r="P367" s="415"/>
      <c r="Q367" s="416"/>
      <c r="R367" s="416"/>
      <c r="S367" s="416"/>
      <c r="T367" s="416"/>
      <c r="U367" s="415"/>
      <c r="V367" s="415"/>
    </row>
    <row r="368" spans="1:22">
      <c r="A368" s="91"/>
      <c r="B368" s="243"/>
      <c r="C368" s="421"/>
      <c r="D368" s="421"/>
      <c r="E368" s="421"/>
      <c r="F368" s="421"/>
      <c r="G368" s="421"/>
      <c r="H368" s="421"/>
      <c r="I368" s="421"/>
      <c r="J368" s="421"/>
      <c r="K368" s="421"/>
      <c r="L368" s="421"/>
      <c r="M368" s="415"/>
      <c r="N368" s="415"/>
      <c r="O368" s="415"/>
      <c r="P368" s="415"/>
      <c r="Q368" s="416"/>
      <c r="R368" s="416"/>
      <c r="S368" s="416"/>
      <c r="T368" s="416"/>
      <c r="U368" s="415"/>
      <c r="V368" s="415"/>
    </row>
    <row r="369" spans="1:22">
      <c r="A369" s="91"/>
      <c r="B369" s="243"/>
      <c r="C369" s="421"/>
      <c r="D369" s="421"/>
      <c r="E369" s="421"/>
      <c r="F369" s="421"/>
      <c r="G369" s="421"/>
      <c r="H369" s="421"/>
      <c r="I369" s="421"/>
      <c r="J369" s="421"/>
      <c r="K369" s="421"/>
      <c r="L369" s="421"/>
      <c r="M369" s="415"/>
      <c r="N369" s="415"/>
      <c r="O369" s="415"/>
      <c r="P369" s="415"/>
      <c r="Q369" s="416"/>
      <c r="R369" s="416"/>
      <c r="S369" s="416"/>
      <c r="T369" s="416"/>
      <c r="U369" s="415"/>
      <c r="V369" s="415"/>
    </row>
    <row r="370" spans="1:22">
      <c r="A370" s="91"/>
      <c r="B370" s="243"/>
      <c r="C370" s="421"/>
      <c r="D370" s="421"/>
      <c r="E370" s="421"/>
      <c r="F370" s="421"/>
      <c r="G370" s="421"/>
      <c r="H370" s="421"/>
      <c r="I370" s="421"/>
      <c r="J370" s="421"/>
      <c r="K370" s="421"/>
      <c r="L370" s="421"/>
      <c r="M370" s="415"/>
      <c r="N370" s="415"/>
      <c r="O370" s="415"/>
      <c r="P370" s="415"/>
      <c r="Q370" s="416"/>
      <c r="R370" s="416"/>
      <c r="S370" s="416"/>
      <c r="T370" s="416"/>
      <c r="U370" s="415"/>
      <c r="V370" s="415"/>
    </row>
    <row r="371" spans="1:22">
      <c r="A371" s="91"/>
      <c r="B371" s="243"/>
      <c r="C371" s="421"/>
      <c r="D371" s="421"/>
      <c r="E371" s="421"/>
      <c r="F371" s="421"/>
      <c r="G371" s="421"/>
      <c r="H371" s="421"/>
      <c r="I371" s="421"/>
      <c r="J371" s="421"/>
      <c r="K371" s="421"/>
      <c r="L371" s="421"/>
      <c r="M371" s="415"/>
      <c r="N371" s="415"/>
      <c r="O371" s="415"/>
      <c r="P371" s="415"/>
      <c r="Q371" s="416"/>
      <c r="R371" s="416"/>
      <c r="S371" s="416"/>
      <c r="T371" s="416"/>
      <c r="U371" s="415"/>
      <c r="V371" s="415"/>
    </row>
    <row r="372" spans="1:22">
      <c r="A372" s="91"/>
      <c r="B372" s="243"/>
      <c r="C372" s="421"/>
      <c r="D372" s="421"/>
      <c r="E372" s="421"/>
      <c r="F372" s="421"/>
      <c r="G372" s="421"/>
      <c r="H372" s="421"/>
      <c r="I372" s="421"/>
      <c r="J372" s="421"/>
      <c r="K372" s="421"/>
      <c r="L372" s="421"/>
      <c r="M372" s="415"/>
      <c r="N372" s="415"/>
      <c r="O372" s="415"/>
      <c r="P372" s="415"/>
      <c r="Q372" s="416"/>
      <c r="R372" s="416"/>
      <c r="S372" s="416"/>
      <c r="T372" s="416"/>
      <c r="U372" s="415"/>
      <c r="V372" s="415"/>
    </row>
    <row r="373" spans="1:22">
      <c r="A373" s="91"/>
      <c r="B373" s="243"/>
      <c r="C373" s="421"/>
      <c r="D373" s="421"/>
      <c r="E373" s="421"/>
      <c r="F373" s="421"/>
      <c r="G373" s="421"/>
      <c r="H373" s="421"/>
      <c r="I373" s="421"/>
      <c r="J373" s="421"/>
      <c r="K373" s="421"/>
      <c r="L373" s="421"/>
      <c r="M373" s="415"/>
      <c r="N373" s="415"/>
      <c r="O373" s="415"/>
      <c r="P373" s="415"/>
      <c r="Q373" s="416"/>
      <c r="R373" s="416"/>
      <c r="S373" s="416"/>
      <c r="T373" s="416"/>
      <c r="U373" s="415"/>
      <c r="V373" s="415"/>
    </row>
    <row r="374" spans="1:22">
      <c r="A374" s="91"/>
      <c r="B374" s="243"/>
      <c r="C374" s="421"/>
      <c r="D374" s="421"/>
      <c r="E374" s="421"/>
      <c r="F374" s="421"/>
      <c r="G374" s="421"/>
      <c r="H374" s="421"/>
      <c r="I374" s="421"/>
      <c r="J374" s="421"/>
      <c r="K374" s="421"/>
      <c r="L374" s="421"/>
      <c r="M374" s="415"/>
      <c r="N374" s="415"/>
      <c r="O374" s="415"/>
      <c r="P374" s="415"/>
      <c r="Q374" s="416"/>
      <c r="R374" s="416"/>
      <c r="S374" s="416"/>
      <c r="T374" s="416"/>
      <c r="U374" s="415"/>
      <c r="V374" s="415"/>
    </row>
    <row r="375" spans="1:22">
      <c r="A375" s="91"/>
      <c r="B375" s="243"/>
      <c r="C375" s="421"/>
      <c r="D375" s="421"/>
      <c r="E375" s="421"/>
      <c r="F375" s="421"/>
      <c r="G375" s="421"/>
      <c r="H375" s="421"/>
      <c r="I375" s="421"/>
      <c r="J375" s="421"/>
      <c r="K375" s="421"/>
      <c r="L375" s="421"/>
      <c r="M375" s="415"/>
      <c r="N375" s="415"/>
      <c r="O375" s="415"/>
      <c r="P375" s="415"/>
      <c r="Q375" s="416"/>
      <c r="R375" s="416"/>
      <c r="S375" s="416"/>
      <c r="T375" s="416"/>
      <c r="U375" s="415"/>
      <c r="V375" s="415"/>
    </row>
    <row r="376" spans="1:22">
      <c r="A376" s="91"/>
      <c r="B376" s="243"/>
      <c r="C376" s="421"/>
      <c r="D376" s="421"/>
      <c r="E376" s="421"/>
      <c r="F376" s="421"/>
      <c r="G376" s="421"/>
      <c r="H376" s="421"/>
      <c r="I376" s="421"/>
      <c r="J376" s="421"/>
      <c r="K376" s="421"/>
      <c r="L376" s="421"/>
      <c r="M376" s="415"/>
      <c r="N376" s="415"/>
      <c r="O376" s="415"/>
      <c r="P376" s="415"/>
      <c r="Q376" s="416"/>
      <c r="R376" s="416"/>
      <c r="S376" s="416"/>
      <c r="T376" s="416"/>
      <c r="U376" s="415"/>
      <c r="V376" s="415"/>
    </row>
    <row r="377" spans="1:22">
      <c r="A377" s="91"/>
      <c r="B377" s="243"/>
      <c r="C377" s="421"/>
      <c r="D377" s="421"/>
      <c r="E377" s="421"/>
      <c r="F377" s="421"/>
      <c r="G377" s="421"/>
      <c r="H377" s="421"/>
      <c r="I377" s="421"/>
      <c r="J377" s="421"/>
      <c r="K377" s="421"/>
      <c r="L377" s="421"/>
      <c r="M377" s="415"/>
      <c r="N377" s="415"/>
      <c r="O377" s="415"/>
      <c r="P377" s="415"/>
      <c r="Q377" s="416"/>
      <c r="R377" s="416"/>
      <c r="S377" s="416"/>
      <c r="T377" s="416"/>
      <c r="U377" s="415"/>
      <c r="V377" s="415"/>
    </row>
    <row r="378" spans="1:22">
      <c r="A378" s="91"/>
      <c r="B378" s="243"/>
      <c r="C378" s="421"/>
      <c r="D378" s="421"/>
      <c r="E378" s="421"/>
      <c r="F378" s="421"/>
      <c r="G378" s="421"/>
      <c r="H378" s="421"/>
      <c r="I378" s="421"/>
      <c r="J378" s="421"/>
      <c r="K378" s="421"/>
      <c r="L378" s="421"/>
      <c r="M378" s="415"/>
      <c r="N378" s="415"/>
      <c r="O378" s="415"/>
      <c r="P378" s="415"/>
      <c r="Q378" s="416"/>
      <c r="R378" s="416"/>
      <c r="S378" s="416"/>
      <c r="T378" s="416"/>
      <c r="U378" s="415"/>
      <c r="V378" s="415"/>
    </row>
    <row r="379" spans="1:22">
      <c r="A379" s="91"/>
      <c r="B379" s="243"/>
      <c r="C379" s="421"/>
      <c r="D379" s="421"/>
      <c r="E379" s="421"/>
      <c r="F379" s="421"/>
      <c r="G379" s="421"/>
      <c r="H379" s="421"/>
      <c r="I379" s="421"/>
      <c r="J379" s="421"/>
      <c r="K379" s="421"/>
      <c r="L379" s="421"/>
      <c r="M379" s="415"/>
      <c r="N379" s="415"/>
      <c r="O379" s="415"/>
      <c r="P379" s="415"/>
      <c r="Q379" s="416"/>
      <c r="R379" s="416"/>
      <c r="S379" s="416"/>
      <c r="T379" s="416"/>
      <c r="U379" s="415"/>
      <c r="V379" s="415"/>
    </row>
    <row r="380" spans="1:22">
      <c r="A380" s="91"/>
      <c r="B380" s="243"/>
      <c r="C380" s="421"/>
      <c r="D380" s="421"/>
      <c r="E380" s="421"/>
      <c r="F380" s="421"/>
      <c r="G380" s="421"/>
      <c r="H380" s="421"/>
      <c r="I380" s="421"/>
      <c r="J380" s="421"/>
      <c r="K380" s="421"/>
      <c r="L380" s="421"/>
      <c r="M380" s="415"/>
      <c r="N380" s="415"/>
      <c r="O380" s="415"/>
      <c r="P380" s="415"/>
      <c r="Q380" s="416"/>
      <c r="R380" s="416"/>
      <c r="S380" s="416"/>
      <c r="T380" s="416"/>
      <c r="U380" s="415"/>
      <c r="V380" s="415"/>
    </row>
    <row r="381" spans="1:22">
      <c r="A381" s="91"/>
      <c r="B381" s="243"/>
      <c r="C381" s="421"/>
      <c r="D381" s="421"/>
      <c r="E381" s="421"/>
      <c r="F381" s="421"/>
      <c r="G381" s="421"/>
      <c r="H381" s="421"/>
      <c r="I381" s="421"/>
      <c r="J381" s="421"/>
      <c r="K381" s="421"/>
      <c r="L381" s="421"/>
      <c r="M381" s="415"/>
      <c r="N381" s="415"/>
      <c r="O381" s="415"/>
      <c r="P381" s="415"/>
      <c r="Q381" s="416"/>
      <c r="R381" s="416"/>
      <c r="S381" s="416"/>
      <c r="T381" s="416"/>
      <c r="U381" s="415"/>
      <c r="V381" s="415"/>
    </row>
    <row r="382" spans="1:22">
      <c r="A382" s="91"/>
      <c r="B382" s="243"/>
      <c r="C382" s="421"/>
      <c r="D382" s="421"/>
      <c r="E382" s="421"/>
      <c r="F382" s="421"/>
      <c r="G382" s="421"/>
      <c r="H382" s="421"/>
      <c r="I382" s="421"/>
      <c r="J382" s="421"/>
      <c r="K382" s="421"/>
      <c r="L382" s="421"/>
      <c r="M382" s="415"/>
      <c r="N382" s="415"/>
      <c r="O382" s="415"/>
      <c r="P382" s="415"/>
      <c r="Q382" s="416"/>
      <c r="R382" s="416"/>
      <c r="S382" s="416"/>
      <c r="T382" s="416"/>
      <c r="U382" s="415"/>
      <c r="V382" s="415"/>
    </row>
    <row r="383" spans="1:22">
      <c r="A383" s="91"/>
      <c r="B383" s="243"/>
      <c r="C383" s="421"/>
      <c r="D383" s="421"/>
      <c r="E383" s="421"/>
      <c r="F383" s="421"/>
      <c r="G383" s="421"/>
      <c r="H383" s="421"/>
      <c r="I383" s="421"/>
      <c r="J383" s="421"/>
      <c r="K383" s="421"/>
      <c r="L383" s="421"/>
      <c r="M383" s="415"/>
      <c r="N383" s="415"/>
      <c r="O383" s="415"/>
      <c r="P383" s="415"/>
      <c r="Q383" s="416"/>
      <c r="R383" s="416"/>
      <c r="S383" s="416"/>
      <c r="T383" s="416"/>
      <c r="U383" s="415"/>
      <c r="V383" s="415"/>
    </row>
    <row r="384" spans="1:22">
      <c r="A384" s="91"/>
      <c r="B384" s="243"/>
      <c r="C384" s="421"/>
      <c r="D384" s="421"/>
      <c r="E384" s="421"/>
      <c r="F384" s="421"/>
      <c r="G384" s="421"/>
      <c r="H384" s="421"/>
      <c r="I384" s="421"/>
      <c r="J384" s="421"/>
      <c r="K384" s="421"/>
      <c r="L384" s="421"/>
      <c r="M384" s="415"/>
      <c r="N384" s="415"/>
      <c r="O384" s="415"/>
      <c r="P384" s="415"/>
      <c r="Q384" s="416"/>
      <c r="R384" s="416"/>
      <c r="S384" s="416"/>
      <c r="T384" s="416"/>
      <c r="U384" s="415"/>
      <c r="V384" s="415"/>
    </row>
    <row r="385" spans="1:22">
      <c r="A385" s="91"/>
      <c r="B385" s="243"/>
      <c r="C385" s="421"/>
      <c r="D385" s="421"/>
      <c r="E385" s="421"/>
      <c r="F385" s="421"/>
      <c r="G385" s="421"/>
      <c r="H385" s="421"/>
      <c r="I385" s="421"/>
      <c r="J385" s="421"/>
      <c r="K385" s="421"/>
      <c r="L385" s="421"/>
      <c r="M385" s="415"/>
      <c r="N385" s="415"/>
      <c r="O385" s="415"/>
      <c r="P385" s="415"/>
      <c r="Q385" s="416"/>
      <c r="R385" s="416"/>
      <c r="S385" s="416"/>
      <c r="T385" s="416"/>
      <c r="U385" s="415"/>
      <c r="V385" s="415"/>
    </row>
    <row r="386" spans="1:22">
      <c r="A386" s="91"/>
      <c r="B386" s="243"/>
      <c r="C386" s="421"/>
      <c r="D386" s="421"/>
      <c r="E386" s="421"/>
      <c r="F386" s="421"/>
      <c r="G386" s="421"/>
      <c r="H386" s="421"/>
      <c r="I386" s="421"/>
      <c r="J386" s="421"/>
      <c r="K386" s="421"/>
      <c r="L386" s="421"/>
      <c r="M386" s="415"/>
      <c r="N386" s="415"/>
      <c r="O386" s="415"/>
      <c r="P386" s="415"/>
      <c r="Q386" s="416"/>
      <c r="R386" s="416"/>
      <c r="S386" s="416"/>
      <c r="T386" s="416"/>
      <c r="U386" s="415"/>
      <c r="V386" s="415"/>
    </row>
    <row r="387" spans="1:22">
      <c r="A387" s="91"/>
      <c r="B387" s="243"/>
      <c r="C387" s="421"/>
      <c r="D387" s="421"/>
      <c r="E387" s="421"/>
      <c r="F387" s="421"/>
      <c r="G387" s="421"/>
      <c r="H387" s="421"/>
      <c r="I387" s="421"/>
      <c r="J387" s="421"/>
      <c r="K387" s="421"/>
      <c r="L387" s="421"/>
      <c r="M387" s="415"/>
      <c r="N387" s="415"/>
      <c r="O387" s="415"/>
      <c r="P387" s="415"/>
      <c r="Q387" s="416"/>
      <c r="R387" s="416"/>
      <c r="S387" s="416"/>
      <c r="T387" s="416"/>
      <c r="U387" s="415"/>
      <c r="V387" s="415"/>
    </row>
    <row r="388" spans="1:22">
      <c r="A388" s="91"/>
      <c r="B388" s="243"/>
      <c r="C388" s="421"/>
      <c r="D388" s="421"/>
      <c r="E388" s="421"/>
      <c r="F388" s="421"/>
      <c r="G388" s="421"/>
      <c r="H388" s="421"/>
      <c r="I388" s="421"/>
      <c r="J388" s="421"/>
      <c r="K388" s="421"/>
      <c r="L388" s="421"/>
      <c r="M388" s="415"/>
      <c r="N388" s="415"/>
      <c r="O388" s="415"/>
      <c r="P388" s="415"/>
      <c r="Q388" s="416"/>
      <c r="R388" s="416"/>
      <c r="S388" s="416"/>
      <c r="T388" s="416"/>
      <c r="U388" s="415"/>
      <c r="V388" s="415"/>
    </row>
    <row r="389" spans="1:22">
      <c r="A389" s="91"/>
      <c r="B389" s="243"/>
      <c r="C389" s="421"/>
      <c r="D389" s="421"/>
      <c r="E389" s="421"/>
      <c r="F389" s="421"/>
      <c r="G389" s="421"/>
      <c r="H389" s="421"/>
      <c r="I389" s="421"/>
      <c r="J389" s="421"/>
      <c r="K389" s="421"/>
      <c r="L389" s="421"/>
      <c r="M389" s="415"/>
      <c r="N389" s="415"/>
      <c r="O389" s="415"/>
      <c r="P389" s="415"/>
      <c r="Q389" s="416"/>
      <c r="R389" s="416"/>
      <c r="S389" s="416"/>
      <c r="T389" s="416"/>
      <c r="U389" s="415"/>
      <c r="V389" s="415"/>
    </row>
    <row r="390" spans="1:22">
      <c r="A390" s="91"/>
      <c r="B390" s="243"/>
      <c r="C390" s="421"/>
      <c r="D390" s="421"/>
      <c r="E390" s="421"/>
      <c r="F390" s="421"/>
      <c r="G390" s="421"/>
      <c r="H390" s="421"/>
      <c r="I390" s="421"/>
      <c r="J390" s="421"/>
      <c r="K390" s="421"/>
      <c r="L390" s="421"/>
      <c r="M390" s="415"/>
      <c r="N390" s="415"/>
      <c r="O390" s="415"/>
      <c r="P390" s="415"/>
      <c r="Q390" s="416"/>
      <c r="R390" s="416"/>
      <c r="S390" s="416"/>
      <c r="T390" s="416"/>
      <c r="U390" s="415"/>
      <c r="V390" s="415"/>
    </row>
    <row r="391" spans="1:22">
      <c r="A391" s="91"/>
      <c r="B391" s="243"/>
      <c r="C391" s="421"/>
      <c r="D391" s="421"/>
      <c r="E391" s="421"/>
      <c r="F391" s="421"/>
      <c r="G391" s="421"/>
      <c r="H391" s="421"/>
      <c r="I391" s="421"/>
      <c r="J391" s="421"/>
      <c r="K391" s="421"/>
      <c r="L391" s="421"/>
      <c r="M391" s="415"/>
      <c r="N391" s="415"/>
      <c r="O391" s="415"/>
      <c r="P391" s="415"/>
      <c r="Q391" s="416"/>
      <c r="R391" s="416"/>
      <c r="S391" s="416"/>
      <c r="T391" s="416"/>
      <c r="U391" s="415"/>
      <c r="V391" s="415"/>
    </row>
    <row r="392" spans="1:22">
      <c r="A392" s="91"/>
      <c r="B392" s="243"/>
      <c r="C392" s="421"/>
      <c r="D392" s="421"/>
      <c r="E392" s="421"/>
      <c r="F392" s="421"/>
      <c r="G392" s="421"/>
      <c r="H392" s="421"/>
      <c r="I392" s="421"/>
      <c r="J392" s="421"/>
      <c r="K392" s="421"/>
      <c r="L392" s="421"/>
      <c r="M392" s="415"/>
      <c r="N392" s="415"/>
      <c r="O392" s="415"/>
      <c r="P392" s="415"/>
      <c r="Q392" s="416"/>
      <c r="R392" s="416"/>
      <c r="S392" s="416"/>
      <c r="T392" s="416"/>
      <c r="U392" s="415"/>
      <c r="V392" s="415"/>
    </row>
    <row r="393" spans="1:22">
      <c r="A393" s="91"/>
      <c r="B393" s="243"/>
      <c r="C393" s="421"/>
      <c r="D393" s="421"/>
      <c r="E393" s="421"/>
      <c r="F393" s="421"/>
      <c r="G393" s="421"/>
      <c r="H393" s="421"/>
      <c r="I393" s="421"/>
      <c r="J393" s="421"/>
      <c r="K393" s="421"/>
      <c r="L393" s="421"/>
      <c r="M393" s="415"/>
      <c r="N393" s="415"/>
      <c r="O393" s="415"/>
      <c r="P393" s="415"/>
      <c r="Q393" s="416"/>
      <c r="R393" s="416"/>
      <c r="S393" s="416"/>
      <c r="T393" s="416"/>
      <c r="U393" s="415"/>
      <c r="V393" s="415"/>
    </row>
    <row r="394" spans="1:22">
      <c r="A394" s="91"/>
      <c r="B394" s="243"/>
      <c r="C394" s="421"/>
      <c r="D394" s="421"/>
      <c r="E394" s="421"/>
      <c r="F394" s="421"/>
      <c r="G394" s="421"/>
      <c r="H394" s="421"/>
      <c r="I394" s="421"/>
      <c r="J394" s="421"/>
      <c r="K394" s="421"/>
      <c r="L394" s="421"/>
      <c r="M394" s="415"/>
      <c r="N394" s="415"/>
      <c r="O394" s="415"/>
      <c r="P394" s="415"/>
      <c r="Q394" s="416"/>
      <c r="R394" s="416"/>
      <c r="S394" s="416"/>
      <c r="T394" s="416"/>
      <c r="U394" s="415"/>
      <c r="V394" s="415"/>
    </row>
    <row r="395" spans="1:22">
      <c r="A395" s="91"/>
      <c r="B395" s="243"/>
      <c r="C395" s="421"/>
      <c r="D395" s="421"/>
      <c r="E395" s="421"/>
      <c r="F395" s="421"/>
      <c r="G395" s="421"/>
      <c r="H395" s="421"/>
      <c r="I395" s="421"/>
      <c r="J395" s="421"/>
      <c r="K395" s="421"/>
      <c r="L395" s="421"/>
      <c r="M395" s="415"/>
      <c r="N395" s="415"/>
      <c r="O395" s="415"/>
      <c r="P395" s="415"/>
      <c r="Q395" s="416"/>
      <c r="R395" s="416"/>
      <c r="S395" s="416"/>
      <c r="T395" s="416"/>
      <c r="U395" s="415"/>
      <c r="V395" s="415"/>
    </row>
    <row r="396" spans="1:22">
      <c r="A396" s="91"/>
      <c r="B396" s="243"/>
      <c r="C396" s="421"/>
      <c r="D396" s="421"/>
      <c r="E396" s="421"/>
      <c r="F396" s="421"/>
      <c r="G396" s="421"/>
      <c r="H396" s="421"/>
      <c r="I396" s="421"/>
      <c r="J396" s="421"/>
      <c r="K396" s="421"/>
      <c r="L396" s="421"/>
      <c r="M396" s="415"/>
      <c r="N396" s="415"/>
      <c r="O396" s="415"/>
      <c r="P396" s="415"/>
      <c r="Q396" s="416"/>
      <c r="R396" s="416"/>
      <c r="S396" s="416"/>
      <c r="T396" s="416"/>
      <c r="U396" s="415"/>
      <c r="V396" s="415"/>
    </row>
    <row r="397" spans="1:22">
      <c r="A397" s="91"/>
      <c r="B397" s="243"/>
      <c r="C397" s="421"/>
      <c r="D397" s="421"/>
      <c r="E397" s="421"/>
      <c r="F397" s="421"/>
      <c r="G397" s="421"/>
      <c r="H397" s="421"/>
      <c r="I397" s="421"/>
      <c r="J397" s="421"/>
      <c r="K397" s="421"/>
      <c r="L397" s="421"/>
      <c r="M397" s="415"/>
      <c r="N397" s="415"/>
      <c r="O397" s="415"/>
      <c r="P397" s="415"/>
      <c r="Q397" s="416"/>
      <c r="R397" s="416"/>
      <c r="S397" s="416"/>
      <c r="T397" s="416"/>
      <c r="U397" s="415"/>
      <c r="V397" s="415"/>
    </row>
    <row r="398" spans="1:22">
      <c r="A398" s="91"/>
      <c r="B398" s="243"/>
      <c r="C398" s="421"/>
      <c r="D398" s="421"/>
      <c r="E398" s="421"/>
      <c r="F398" s="421"/>
      <c r="G398" s="421"/>
      <c r="H398" s="421"/>
      <c r="I398" s="421"/>
      <c r="J398" s="421"/>
      <c r="K398" s="421"/>
      <c r="L398" s="421"/>
      <c r="M398" s="415"/>
      <c r="N398" s="415"/>
      <c r="O398" s="415"/>
      <c r="P398" s="415"/>
      <c r="Q398" s="416"/>
      <c r="R398" s="416"/>
      <c r="S398" s="416"/>
      <c r="T398" s="416"/>
      <c r="U398" s="415"/>
      <c r="V398" s="415"/>
    </row>
    <row r="399" spans="1:22">
      <c r="A399" s="91"/>
      <c r="B399" s="243"/>
      <c r="C399" s="421"/>
      <c r="D399" s="421"/>
      <c r="E399" s="421"/>
      <c r="F399" s="421"/>
      <c r="G399" s="421"/>
      <c r="H399" s="421"/>
      <c r="I399" s="421"/>
      <c r="J399" s="421"/>
      <c r="K399" s="421"/>
      <c r="L399" s="421"/>
      <c r="M399" s="415"/>
      <c r="N399" s="415"/>
      <c r="O399" s="415"/>
      <c r="P399" s="415"/>
      <c r="Q399" s="416"/>
      <c r="R399" s="416"/>
      <c r="S399" s="416"/>
      <c r="T399" s="416"/>
      <c r="U399" s="415"/>
      <c r="V399" s="415"/>
    </row>
    <row r="400" spans="1:22">
      <c r="A400" s="91"/>
      <c r="B400" s="243"/>
      <c r="C400" s="421"/>
      <c r="D400" s="421"/>
      <c r="E400" s="421"/>
      <c r="F400" s="421"/>
      <c r="G400" s="421"/>
      <c r="H400" s="421"/>
      <c r="I400" s="421"/>
      <c r="J400" s="421"/>
      <c r="K400" s="421"/>
      <c r="L400" s="421"/>
      <c r="M400" s="415"/>
      <c r="N400" s="415"/>
      <c r="O400" s="415"/>
      <c r="P400" s="415"/>
      <c r="Q400" s="416"/>
      <c r="R400" s="416"/>
      <c r="S400" s="416"/>
      <c r="T400" s="416"/>
      <c r="U400" s="415"/>
      <c r="V400" s="415"/>
    </row>
    <row r="401" spans="1:22">
      <c r="A401" s="91"/>
      <c r="B401" s="243"/>
      <c r="C401" s="421"/>
      <c r="D401" s="421"/>
      <c r="E401" s="421"/>
      <c r="F401" s="421"/>
      <c r="G401" s="421"/>
      <c r="H401" s="421"/>
      <c r="I401" s="421"/>
      <c r="J401" s="421"/>
      <c r="K401" s="421"/>
      <c r="L401" s="421"/>
      <c r="M401" s="415"/>
      <c r="N401" s="415"/>
      <c r="O401" s="415"/>
      <c r="P401" s="415"/>
      <c r="Q401" s="416"/>
      <c r="R401" s="416"/>
      <c r="S401" s="416"/>
      <c r="T401" s="416"/>
      <c r="U401" s="415"/>
      <c r="V401" s="415"/>
    </row>
    <row r="402" spans="1:22">
      <c r="A402" s="91"/>
      <c r="B402" s="243"/>
      <c r="C402" s="421"/>
      <c r="D402" s="421"/>
      <c r="E402" s="421"/>
      <c r="F402" s="421"/>
      <c r="G402" s="421"/>
      <c r="H402" s="421"/>
      <c r="I402" s="421"/>
      <c r="J402" s="421"/>
      <c r="K402" s="421"/>
      <c r="L402" s="421"/>
      <c r="M402" s="415"/>
      <c r="N402" s="415"/>
      <c r="O402" s="415"/>
      <c r="P402" s="415"/>
      <c r="Q402" s="416"/>
      <c r="R402" s="416"/>
      <c r="S402" s="416"/>
      <c r="T402" s="416"/>
      <c r="U402" s="415"/>
      <c r="V402" s="415"/>
    </row>
    <row r="403" spans="1:22">
      <c r="A403" s="91"/>
      <c r="B403" s="243"/>
      <c r="C403" s="421"/>
      <c r="D403" s="421"/>
      <c r="E403" s="421"/>
      <c r="F403" s="421"/>
      <c r="G403" s="421"/>
      <c r="H403" s="421"/>
      <c r="I403" s="421"/>
      <c r="J403" s="421"/>
      <c r="K403" s="421"/>
      <c r="L403" s="421"/>
      <c r="M403" s="415"/>
      <c r="N403" s="415"/>
      <c r="O403" s="415"/>
      <c r="P403" s="415"/>
      <c r="Q403" s="416"/>
      <c r="R403" s="416"/>
      <c r="S403" s="416"/>
      <c r="T403" s="416"/>
      <c r="U403" s="415"/>
      <c r="V403" s="415"/>
    </row>
    <row r="404" spans="1:22">
      <c r="A404" s="91"/>
      <c r="B404" s="243"/>
      <c r="C404" s="421"/>
      <c r="D404" s="421"/>
      <c r="E404" s="421"/>
      <c r="F404" s="421"/>
      <c r="G404" s="421"/>
      <c r="H404" s="421"/>
      <c r="I404" s="421"/>
      <c r="J404" s="421"/>
      <c r="K404" s="421"/>
      <c r="L404" s="421"/>
      <c r="M404" s="415"/>
      <c r="N404" s="415"/>
      <c r="O404" s="415"/>
      <c r="P404" s="415"/>
      <c r="Q404" s="416"/>
      <c r="R404" s="416"/>
      <c r="S404" s="416"/>
      <c r="T404" s="416"/>
      <c r="U404" s="415"/>
      <c r="V404" s="415"/>
    </row>
    <row r="405" spans="1:22">
      <c r="A405" s="91"/>
      <c r="B405" s="243"/>
      <c r="C405" s="421"/>
      <c r="D405" s="421"/>
      <c r="E405" s="421"/>
      <c r="F405" s="421"/>
      <c r="G405" s="421"/>
      <c r="H405" s="421"/>
      <c r="I405" s="421"/>
      <c r="J405" s="421"/>
      <c r="K405" s="421"/>
      <c r="L405" s="421"/>
      <c r="M405" s="415"/>
      <c r="N405" s="415"/>
      <c r="O405" s="415"/>
      <c r="P405" s="415"/>
      <c r="Q405" s="416"/>
      <c r="R405" s="416"/>
      <c r="S405" s="416"/>
      <c r="T405" s="416"/>
      <c r="U405" s="415"/>
      <c r="V405" s="415"/>
    </row>
    <row r="406" spans="1:22">
      <c r="A406" s="91"/>
      <c r="B406" s="243"/>
      <c r="C406" s="421"/>
      <c r="D406" s="421"/>
      <c r="E406" s="421"/>
      <c r="F406" s="421"/>
      <c r="G406" s="421"/>
      <c r="H406" s="421"/>
      <c r="I406" s="421"/>
      <c r="J406" s="421"/>
      <c r="K406" s="421"/>
      <c r="L406" s="421"/>
      <c r="M406" s="415"/>
      <c r="N406" s="415"/>
      <c r="O406" s="415"/>
      <c r="P406" s="415"/>
      <c r="Q406" s="416"/>
      <c r="R406" s="416"/>
      <c r="S406" s="416"/>
      <c r="T406" s="416"/>
      <c r="U406" s="415"/>
      <c r="V406" s="415"/>
    </row>
    <row r="407" spans="1:22">
      <c r="A407" s="91"/>
      <c r="B407" s="243"/>
      <c r="C407" s="421"/>
      <c r="D407" s="421"/>
      <c r="E407" s="421"/>
      <c r="F407" s="421"/>
      <c r="G407" s="421"/>
      <c r="H407" s="421"/>
      <c r="I407" s="421"/>
      <c r="J407" s="421"/>
      <c r="K407" s="421"/>
      <c r="L407" s="421"/>
      <c r="M407" s="415"/>
      <c r="N407" s="415"/>
      <c r="O407" s="415"/>
      <c r="P407" s="415"/>
      <c r="Q407" s="416"/>
      <c r="R407" s="416"/>
      <c r="S407" s="416"/>
      <c r="T407" s="416"/>
      <c r="U407" s="415"/>
      <c r="V407" s="415"/>
    </row>
    <row r="408" spans="1:22">
      <c r="A408" s="91"/>
      <c r="B408" s="243"/>
      <c r="C408" s="421"/>
      <c r="D408" s="421"/>
      <c r="E408" s="421"/>
      <c r="F408" s="421"/>
      <c r="G408" s="421"/>
      <c r="H408" s="421"/>
      <c r="I408" s="421"/>
      <c r="J408" s="421"/>
      <c r="K408" s="421"/>
      <c r="L408" s="421"/>
      <c r="M408" s="415"/>
      <c r="N408" s="415"/>
      <c r="O408" s="415"/>
      <c r="P408" s="415"/>
      <c r="Q408" s="416"/>
      <c r="R408" s="416"/>
      <c r="S408" s="416"/>
      <c r="T408" s="416"/>
      <c r="U408" s="415"/>
      <c r="V408" s="415"/>
    </row>
    <row r="409" spans="1:22">
      <c r="A409" s="91"/>
      <c r="B409" s="243"/>
      <c r="C409" s="421"/>
      <c r="D409" s="421"/>
      <c r="E409" s="421"/>
      <c r="F409" s="421"/>
      <c r="G409" s="421"/>
      <c r="H409" s="421"/>
      <c r="I409" s="421"/>
      <c r="J409" s="421"/>
      <c r="K409" s="421"/>
      <c r="L409" s="421"/>
      <c r="M409" s="415"/>
      <c r="N409" s="415"/>
      <c r="O409" s="415"/>
      <c r="P409" s="415"/>
      <c r="Q409" s="416"/>
      <c r="R409" s="416"/>
      <c r="S409" s="416"/>
      <c r="T409" s="416"/>
      <c r="U409" s="415"/>
      <c r="V409" s="415"/>
    </row>
    <row r="410" spans="1:22">
      <c r="A410" s="91"/>
      <c r="B410" s="243"/>
      <c r="C410" s="421"/>
      <c r="D410" s="421"/>
      <c r="E410" s="421"/>
      <c r="F410" s="421"/>
      <c r="G410" s="421"/>
      <c r="H410" s="421"/>
      <c r="I410" s="421"/>
      <c r="J410" s="421"/>
      <c r="K410" s="421"/>
      <c r="L410" s="421"/>
      <c r="M410" s="415"/>
      <c r="N410" s="415"/>
      <c r="O410" s="415"/>
      <c r="P410" s="415"/>
      <c r="Q410" s="416"/>
      <c r="R410" s="416"/>
      <c r="S410" s="416"/>
      <c r="T410" s="416"/>
      <c r="U410" s="415"/>
      <c r="V410" s="415"/>
    </row>
    <row r="411" spans="1:22" ht="12" customHeight="1">
      <c r="A411" s="91"/>
      <c r="B411" s="243"/>
      <c r="C411" s="421"/>
      <c r="D411" s="421"/>
      <c r="E411" s="421"/>
      <c r="F411" s="421"/>
      <c r="G411" s="421"/>
      <c r="H411" s="421"/>
      <c r="I411" s="421"/>
      <c r="J411" s="421"/>
      <c r="K411" s="421"/>
      <c r="L411" s="421"/>
      <c r="M411" s="415"/>
      <c r="N411" s="415"/>
      <c r="O411" s="415"/>
      <c r="P411" s="415"/>
      <c r="Q411" s="416"/>
      <c r="R411" s="416"/>
      <c r="S411" s="416"/>
      <c r="T411" s="416"/>
      <c r="U411" s="415"/>
      <c r="V411" s="415"/>
    </row>
    <row r="412" spans="1:22">
      <c r="A412" s="91"/>
      <c r="B412" s="243"/>
      <c r="C412" s="421"/>
      <c r="D412" s="421"/>
      <c r="E412" s="421"/>
      <c r="F412" s="421"/>
      <c r="G412" s="421"/>
      <c r="H412" s="421"/>
      <c r="I412" s="421"/>
      <c r="J412" s="421"/>
      <c r="K412" s="421"/>
      <c r="L412" s="421"/>
      <c r="M412" s="415"/>
      <c r="N412" s="415"/>
      <c r="O412" s="415"/>
      <c r="P412" s="415"/>
      <c r="Q412" s="416"/>
      <c r="R412" s="416"/>
      <c r="S412" s="416"/>
      <c r="T412" s="416"/>
      <c r="U412" s="415"/>
      <c r="V412" s="415"/>
    </row>
    <row r="413" spans="1:22">
      <c r="A413" s="91"/>
      <c r="B413" s="243"/>
      <c r="C413" s="421"/>
      <c r="D413" s="421"/>
      <c r="E413" s="421"/>
      <c r="F413" s="421"/>
      <c r="G413" s="421"/>
      <c r="H413" s="421"/>
      <c r="I413" s="421"/>
      <c r="J413" s="421"/>
      <c r="K413" s="421"/>
      <c r="L413" s="421"/>
      <c r="M413" s="415"/>
      <c r="N413" s="415"/>
      <c r="O413" s="415"/>
      <c r="P413" s="415"/>
      <c r="Q413" s="416"/>
      <c r="R413" s="416"/>
      <c r="S413" s="416"/>
      <c r="T413" s="416"/>
      <c r="U413" s="415"/>
      <c r="V413" s="415"/>
    </row>
    <row r="414" spans="1:22">
      <c r="A414" s="91"/>
      <c r="B414" s="243"/>
      <c r="C414" s="421"/>
      <c r="D414" s="421"/>
      <c r="E414" s="421"/>
      <c r="F414" s="421"/>
      <c r="G414" s="421"/>
      <c r="H414" s="421"/>
      <c r="I414" s="421"/>
      <c r="J414" s="421"/>
      <c r="K414" s="421"/>
      <c r="L414" s="421"/>
      <c r="M414" s="415"/>
      <c r="N414" s="415"/>
      <c r="O414" s="415"/>
      <c r="P414" s="415"/>
      <c r="Q414" s="416"/>
      <c r="R414" s="416"/>
      <c r="S414" s="416"/>
      <c r="T414" s="416"/>
      <c r="U414" s="415"/>
      <c r="V414" s="415"/>
    </row>
    <row r="415" spans="1:22">
      <c r="A415" s="91"/>
      <c r="B415" s="243"/>
      <c r="C415" s="421"/>
      <c r="D415" s="421"/>
      <c r="E415" s="421"/>
      <c r="F415" s="421"/>
      <c r="G415" s="421"/>
      <c r="H415" s="421"/>
      <c r="I415" s="421"/>
      <c r="J415" s="421"/>
      <c r="K415" s="421"/>
      <c r="L415" s="421"/>
      <c r="M415" s="415"/>
      <c r="N415" s="415"/>
      <c r="O415" s="415"/>
      <c r="P415" s="415"/>
      <c r="Q415" s="416"/>
      <c r="R415" s="416"/>
      <c r="S415" s="416"/>
      <c r="T415" s="416"/>
      <c r="U415" s="415"/>
      <c r="V415" s="415"/>
    </row>
    <row r="416" spans="1:22">
      <c r="A416" s="91"/>
      <c r="B416" s="243"/>
      <c r="C416" s="421"/>
      <c r="D416" s="421"/>
      <c r="E416" s="421"/>
      <c r="F416" s="421"/>
      <c r="G416" s="421"/>
      <c r="H416" s="421"/>
      <c r="I416" s="421"/>
      <c r="J416" s="421"/>
      <c r="K416" s="421"/>
      <c r="L416" s="421"/>
      <c r="M416" s="415"/>
      <c r="N416" s="415"/>
      <c r="O416" s="415"/>
      <c r="P416" s="415"/>
      <c r="Q416" s="416"/>
      <c r="R416" s="416"/>
      <c r="S416" s="416"/>
      <c r="T416" s="416"/>
      <c r="U416" s="415"/>
      <c r="V416" s="415"/>
    </row>
    <row r="417" spans="1:22">
      <c r="A417" s="91"/>
      <c r="B417" s="243"/>
      <c r="C417" s="421"/>
      <c r="D417" s="421"/>
      <c r="E417" s="421"/>
      <c r="F417" s="421"/>
      <c r="G417" s="421"/>
      <c r="H417" s="421"/>
      <c r="I417" s="421"/>
      <c r="J417" s="421"/>
      <c r="K417" s="421"/>
      <c r="L417" s="421"/>
      <c r="M417" s="415"/>
      <c r="N417" s="415"/>
      <c r="O417" s="415"/>
      <c r="P417" s="415"/>
      <c r="Q417" s="416"/>
      <c r="R417" s="416"/>
      <c r="S417" s="416"/>
      <c r="T417" s="416"/>
      <c r="U417" s="415"/>
      <c r="V417" s="415"/>
    </row>
    <row r="418" spans="1:22">
      <c r="A418" s="91"/>
      <c r="B418" s="243"/>
      <c r="C418" s="421"/>
      <c r="D418" s="421"/>
      <c r="E418" s="421"/>
      <c r="F418" s="421"/>
      <c r="G418" s="421"/>
      <c r="H418" s="421"/>
      <c r="I418" s="421"/>
      <c r="J418" s="421"/>
      <c r="K418" s="421"/>
      <c r="L418" s="421"/>
      <c r="M418" s="415"/>
      <c r="N418" s="415"/>
      <c r="O418" s="415"/>
      <c r="P418" s="415"/>
      <c r="Q418" s="416"/>
      <c r="R418" s="416"/>
      <c r="S418" s="416"/>
      <c r="T418" s="416"/>
      <c r="U418" s="415"/>
      <c r="V418" s="415"/>
    </row>
    <row r="419" spans="1:22">
      <c r="A419" s="91"/>
      <c r="B419" s="243"/>
      <c r="C419" s="421"/>
      <c r="D419" s="421"/>
      <c r="E419" s="421"/>
      <c r="F419" s="421"/>
      <c r="G419" s="421"/>
      <c r="H419" s="421"/>
      <c r="I419" s="421"/>
      <c r="J419" s="421"/>
      <c r="K419" s="421"/>
      <c r="L419" s="421"/>
      <c r="M419" s="415"/>
      <c r="N419" s="415"/>
      <c r="O419" s="415"/>
      <c r="P419" s="415"/>
      <c r="Q419" s="416"/>
      <c r="R419" s="416"/>
      <c r="S419" s="416"/>
      <c r="T419" s="416"/>
      <c r="U419" s="415"/>
      <c r="V419" s="415"/>
    </row>
    <row r="420" spans="1:22">
      <c r="A420" s="91"/>
      <c r="B420" s="243"/>
      <c r="C420" s="421"/>
      <c r="D420" s="421"/>
      <c r="E420" s="421"/>
      <c r="F420" s="421"/>
      <c r="G420" s="421"/>
      <c r="H420" s="421"/>
      <c r="I420" s="421"/>
      <c r="J420" s="421"/>
      <c r="K420" s="421"/>
      <c r="L420" s="421"/>
      <c r="M420" s="415"/>
      <c r="N420" s="415"/>
      <c r="O420" s="415"/>
      <c r="P420" s="415"/>
      <c r="Q420" s="416"/>
      <c r="R420" s="416"/>
      <c r="S420" s="416"/>
      <c r="T420" s="416"/>
      <c r="U420" s="415"/>
      <c r="V420" s="415"/>
    </row>
    <row r="421" spans="1:22">
      <c r="A421" s="91"/>
      <c r="B421" s="243"/>
      <c r="C421" s="421"/>
      <c r="D421" s="421"/>
      <c r="E421" s="421"/>
      <c r="F421" s="421"/>
      <c r="G421" s="421"/>
      <c r="H421" s="421"/>
      <c r="I421" s="421"/>
      <c r="J421" s="421"/>
      <c r="K421" s="421"/>
      <c r="L421" s="421"/>
      <c r="M421" s="415"/>
      <c r="N421" s="415"/>
      <c r="O421" s="415"/>
      <c r="P421" s="415"/>
      <c r="Q421" s="416"/>
      <c r="R421" s="416"/>
      <c r="S421" s="416"/>
      <c r="T421" s="416"/>
      <c r="U421" s="415"/>
      <c r="V421" s="415"/>
    </row>
    <row r="422" spans="1:22">
      <c r="A422" s="91"/>
      <c r="B422" s="243"/>
      <c r="C422" s="421"/>
      <c r="D422" s="421"/>
      <c r="E422" s="421"/>
      <c r="F422" s="421"/>
      <c r="G422" s="421"/>
      <c r="H422" s="421"/>
      <c r="I422" s="421"/>
      <c r="J422" s="421"/>
      <c r="K422" s="421"/>
      <c r="L422" s="421"/>
      <c r="M422" s="415"/>
      <c r="N422" s="415"/>
      <c r="O422" s="415"/>
      <c r="P422" s="415"/>
      <c r="Q422" s="416"/>
      <c r="R422" s="416"/>
      <c r="S422" s="413"/>
      <c r="T422" s="414"/>
      <c r="U422" s="415"/>
      <c r="V422" s="415"/>
    </row>
    <row r="423" spans="1:22">
      <c r="A423" s="91"/>
      <c r="B423" s="243"/>
      <c r="C423" s="421"/>
      <c r="D423" s="421"/>
      <c r="E423" s="421"/>
      <c r="F423" s="421"/>
      <c r="G423" s="421"/>
      <c r="H423" s="421"/>
      <c r="I423" s="421"/>
      <c r="J423" s="421"/>
      <c r="K423" s="421"/>
      <c r="L423" s="421"/>
      <c r="M423" s="415"/>
      <c r="N423" s="415"/>
      <c r="O423" s="415"/>
      <c r="P423" s="415"/>
      <c r="Q423" s="416"/>
      <c r="R423" s="416"/>
      <c r="S423" s="416"/>
      <c r="T423" s="416"/>
      <c r="U423" s="415"/>
      <c r="V423" s="415"/>
    </row>
    <row r="424" spans="1:22">
      <c r="A424" s="91"/>
      <c r="B424" s="289"/>
      <c r="C424" s="421"/>
      <c r="D424" s="421"/>
      <c r="E424" s="421"/>
      <c r="F424" s="421"/>
      <c r="G424" s="421"/>
      <c r="H424" s="421"/>
      <c r="I424" s="421"/>
      <c r="J424" s="421"/>
      <c r="K424" s="421"/>
      <c r="L424" s="421"/>
      <c r="M424" s="415"/>
      <c r="N424" s="415"/>
      <c r="O424" s="415"/>
      <c r="P424" s="415"/>
      <c r="Q424" s="416"/>
      <c r="R424" s="416"/>
      <c r="S424" s="416"/>
      <c r="T424" s="416"/>
      <c r="U424" s="415"/>
      <c r="V424" s="415"/>
    </row>
    <row r="425" spans="1:22">
      <c r="A425" s="91"/>
      <c r="B425" s="289"/>
      <c r="C425" s="421"/>
      <c r="D425" s="421"/>
      <c r="E425" s="421"/>
      <c r="F425" s="421"/>
      <c r="G425" s="421"/>
      <c r="H425" s="421"/>
      <c r="I425" s="421"/>
      <c r="J425" s="421"/>
      <c r="K425" s="421"/>
      <c r="L425" s="421"/>
      <c r="M425" s="415"/>
      <c r="N425" s="415"/>
      <c r="O425" s="415"/>
      <c r="P425" s="415"/>
      <c r="Q425" s="416"/>
      <c r="R425" s="416"/>
      <c r="S425" s="416"/>
      <c r="T425" s="416"/>
      <c r="U425" s="415"/>
      <c r="V425" s="415"/>
    </row>
    <row r="426" spans="1:22">
      <c r="A426" s="91"/>
      <c r="B426" s="243"/>
      <c r="C426" s="421"/>
      <c r="D426" s="421"/>
      <c r="E426" s="421"/>
      <c r="F426" s="421"/>
      <c r="G426" s="421"/>
      <c r="H426" s="421"/>
      <c r="I426" s="421"/>
      <c r="J426" s="421"/>
      <c r="K426" s="421"/>
      <c r="L426" s="421"/>
      <c r="M426" s="415"/>
      <c r="N426" s="415"/>
      <c r="O426" s="415"/>
      <c r="P426" s="415"/>
      <c r="Q426" s="416"/>
      <c r="R426" s="416"/>
      <c r="S426" s="416"/>
      <c r="T426" s="416"/>
      <c r="U426" s="415"/>
      <c r="V426" s="415"/>
    </row>
    <row r="427" spans="1:22">
      <c r="A427" s="91"/>
      <c r="B427" s="243"/>
      <c r="C427" s="421"/>
      <c r="D427" s="421"/>
      <c r="E427" s="421"/>
      <c r="F427" s="421"/>
      <c r="G427" s="421"/>
      <c r="H427" s="421"/>
      <c r="I427" s="421"/>
      <c r="J427" s="421"/>
      <c r="K427" s="421"/>
      <c r="L427" s="421"/>
      <c r="M427" s="415"/>
      <c r="N427" s="415"/>
      <c r="O427" s="415"/>
      <c r="P427" s="415"/>
      <c r="Q427" s="416"/>
      <c r="R427" s="416"/>
      <c r="S427" s="416"/>
      <c r="T427" s="416"/>
      <c r="U427" s="415"/>
      <c r="V427" s="415"/>
    </row>
    <row r="428" spans="1:22">
      <c r="A428" s="91"/>
      <c r="B428" s="243"/>
      <c r="C428" s="418"/>
      <c r="D428" s="419"/>
      <c r="E428" s="419"/>
      <c r="F428" s="419"/>
      <c r="G428" s="419"/>
      <c r="H428" s="419"/>
      <c r="I428" s="419"/>
      <c r="J428" s="419"/>
      <c r="K428" s="419"/>
      <c r="L428" s="420"/>
      <c r="M428" s="415"/>
      <c r="N428" s="415"/>
      <c r="O428" s="415"/>
      <c r="P428" s="415"/>
      <c r="Q428" s="416"/>
      <c r="R428" s="416"/>
      <c r="S428" s="416"/>
      <c r="T428" s="416"/>
      <c r="U428" s="415"/>
      <c r="V428" s="415"/>
    </row>
    <row r="429" spans="1:22">
      <c r="A429" s="91"/>
      <c r="B429" s="243"/>
      <c r="C429" s="418"/>
      <c r="D429" s="419"/>
      <c r="E429" s="419"/>
      <c r="F429" s="419"/>
      <c r="G429" s="419"/>
      <c r="H429" s="419"/>
      <c r="I429" s="419"/>
      <c r="J429" s="419"/>
      <c r="K429" s="419"/>
      <c r="L429" s="420"/>
      <c r="M429" s="415"/>
      <c r="N429" s="415"/>
      <c r="O429" s="415"/>
      <c r="P429" s="415"/>
      <c r="Q429" s="416"/>
      <c r="R429" s="416"/>
      <c r="S429" s="416"/>
      <c r="T429" s="416"/>
      <c r="U429" s="415"/>
      <c r="V429" s="415"/>
    </row>
    <row r="430" spans="1:22">
      <c r="A430" s="91"/>
      <c r="B430" s="243"/>
      <c r="C430" s="418"/>
      <c r="D430" s="419"/>
      <c r="E430" s="419"/>
      <c r="F430" s="419"/>
      <c r="G430" s="419"/>
      <c r="H430" s="419"/>
      <c r="I430" s="419"/>
      <c r="J430" s="419"/>
      <c r="K430" s="419"/>
      <c r="L430" s="420"/>
      <c r="M430" s="415"/>
      <c r="N430" s="415"/>
      <c r="O430" s="415"/>
      <c r="P430" s="415"/>
      <c r="Q430" s="416"/>
      <c r="R430" s="416"/>
      <c r="S430" s="416"/>
      <c r="T430" s="416"/>
      <c r="U430" s="415"/>
      <c r="V430" s="415"/>
    </row>
    <row r="431" spans="1:22">
      <c r="A431" s="91"/>
      <c r="B431" s="243"/>
      <c r="C431" s="418"/>
      <c r="D431" s="419"/>
      <c r="E431" s="419"/>
      <c r="F431" s="419"/>
      <c r="G431" s="419"/>
      <c r="H431" s="419"/>
      <c r="I431" s="419"/>
      <c r="J431" s="419"/>
      <c r="K431" s="419"/>
      <c r="L431" s="420"/>
      <c r="M431" s="415"/>
      <c r="N431" s="415"/>
      <c r="O431" s="415"/>
      <c r="P431" s="415"/>
      <c r="Q431" s="416"/>
      <c r="R431" s="416"/>
      <c r="S431" s="416"/>
      <c r="T431" s="416"/>
      <c r="U431" s="415"/>
      <c r="V431" s="415"/>
    </row>
    <row r="432" spans="1:22">
      <c r="A432" s="91"/>
      <c r="B432" s="243"/>
      <c r="C432" s="418"/>
      <c r="D432" s="419"/>
      <c r="E432" s="419"/>
      <c r="F432" s="419"/>
      <c r="G432" s="419"/>
      <c r="H432" s="419"/>
      <c r="I432" s="419"/>
      <c r="J432" s="419"/>
      <c r="K432" s="419"/>
      <c r="L432" s="420"/>
      <c r="M432" s="415"/>
      <c r="N432" s="415"/>
      <c r="O432" s="415"/>
      <c r="P432" s="415"/>
      <c r="Q432" s="416"/>
      <c r="R432" s="416"/>
      <c r="S432" s="416"/>
      <c r="T432" s="416"/>
      <c r="U432" s="415"/>
      <c r="V432" s="415"/>
    </row>
    <row r="433" spans="1:22">
      <c r="A433" s="91"/>
      <c r="B433" s="243"/>
      <c r="C433" s="418"/>
      <c r="D433" s="419"/>
      <c r="E433" s="419"/>
      <c r="F433" s="419"/>
      <c r="G433" s="419"/>
      <c r="H433" s="419"/>
      <c r="I433" s="419"/>
      <c r="J433" s="419"/>
      <c r="K433" s="419"/>
      <c r="L433" s="420"/>
      <c r="M433" s="415"/>
      <c r="N433" s="415"/>
      <c r="O433" s="415"/>
      <c r="P433" s="415"/>
      <c r="Q433" s="416"/>
      <c r="R433" s="416"/>
      <c r="S433" s="416"/>
      <c r="T433" s="416"/>
      <c r="U433" s="415"/>
      <c r="V433" s="415"/>
    </row>
    <row r="434" spans="1:22">
      <c r="A434" s="91"/>
      <c r="B434" s="243"/>
      <c r="C434" s="418"/>
      <c r="D434" s="419"/>
      <c r="E434" s="419"/>
      <c r="F434" s="419"/>
      <c r="G434" s="419"/>
      <c r="H434" s="419"/>
      <c r="I434" s="419"/>
      <c r="J434" s="419"/>
      <c r="K434" s="419"/>
      <c r="L434" s="420"/>
      <c r="M434" s="415"/>
      <c r="N434" s="415"/>
      <c r="O434" s="415"/>
      <c r="P434" s="415"/>
      <c r="Q434" s="416"/>
      <c r="R434" s="416"/>
      <c r="S434" s="416"/>
      <c r="T434" s="416"/>
      <c r="U434" s="415"/>
      <c r="V434" s="415"/>
    </row>
    <row r="435" spans="1:22">
      <c r="A435" s="91"/>
      <c r="B435" s="243"/>
      <c r="C435" s="418"/>
      <c r="D435" s="419"/>
      <c r="E435" s="419"/>
      <c r="F435" s="419"/>
      <c r="G435" s="419"/>
      <c r="H435" s="419"/>
      <c r="I435" s="419"/>
      <c r="J435" s="419"/>
      <c r="K435" s="419"/>
      <c r="L435" s="420"/>
      <c r="M435" s="415"/>
      <c r="N435" s="415"/>
      <c r="O435" s="415"/>
      <c r="P435" s="415"/>
      <c r="Q435" s="416"/>
      <c r="R435" s="416"/>
      <c r="S435" s="416"/>
      <c r="T435" s="416"/>
      <c r="U435" s="415"/>
      <c r="V435" s="415"/>
    </row>
    <row r="436" spans="1:22">
      <c r="A436" s="91"/>
      <c r="B436" s="243"/>
      <c r="C436" s="418"/>
      <c r="D436" s="419"/>
      <c r="E436" s="419"/>
      <c r="F436" s="419"/>
      <c r="G436" s="419"/>
      <c r="H436" s="419"/>
      <c r="I436" s="419"/>
      <c r="J436" s="419"/>
      <c r="K436" s="419"/>
      <c r="L436" s="420"/>
      <c r="M436" s="415"/>
      <c r="N436" s="415"/>
      <c r="O436" s="415"/>
      <c r="P436" s="415"/>
      <c r="Q436" s="416"/>
      <c r="R436" s="416"/>
      <c r="S436" s="416"/>
      <c r="T436" s="416"/>
      <c r="U436" s="415"/>
      <c r="V436" s="415"/>
    </row>
    <row r="437" spans="1:22">
      <c r="A437" s="91"/>
      <c r="B437" s="243"/>
      <c r="C437" s="418"/>
      <c r="D437" s="419"/>
      <c r="E437" s="419"/>
      <c r="F437" s="419"/>
      <c r="G437" s="419"/>
      <c r="H437" s="419"/>
      <c r="I437" s="419"/>
      <c r="J437" s="419"/>
      <c r="K437" s="419"/>
      <c r="L437" s="420"/>
      <c r="M437" s="415"/>
      <c r="N437" s="415"/>
      <c r="O437" s="415"/>
      <c r="P437" s="415"/>
      <c r="Q437" s="416"/>
      <c r="R437" s="416"/>
      <c r="S437" s="416"/>
      <c r="T437" s="416"/>
      <c r="U437" s="415"/>
      <c r="V437" s="415"/>
    </row>
    <row r="438" spans="1:22">
      <c r="A438" s="91"/>
      <c r="B438" s="243"/>
      <c r="C438" s="418"/>
      <c r="D438" s="419"/>
      <c r="E438" s="419"/>
      <c r="F438" s="419"/>
      <c r="G438" s="419"/>
      <c r="H438" s="419"/>
      <c r="I438" s="419"/>
      <c r="J438" s="419"/>
      <c r="K438" s="419"/>
      <c r="L438" s="420"/>
      <c r="M438" s="415"/>
      <c r="N438" s="415"/>
      <c r="O438" s="415"/>
      <c r="P438" s="415"/>
      <c r="Q438" s="416"/>
      <c r="R438" s="416"/>
      <c r="S438" s="416"/>
      <c r="T438" s="416"/>
      <c r="U438" s="415"/>
      <c r="V438" s="415"/>
    </row>
    <row r="439" spans="1:22">
      <c r="A439" s="91"/>
      <c r="B439" s="243"/>
      <c r="C439" s="418"/>
      <c r="D439" s="419"/>
      <c r="E439" s="419"/>
      <c r="F439" s="419"/>
      <c r="G439" s="419"/>
      <c r="H439" s="419"/>
      <c r="I439" s="419"/>
      <c r="J439" s="419"/>
      <c r="K439" s="419"/>
      <c r="L439" s="420"/>
      <c r="M439" s="415"/>
      <c r="N439" s="415"/>
      <c r="O439" s="415"/>
      <c r="P439" s="415"/>
      <c r="Q439" s="416"/>
      <c r="R439" s="416"/>
      <c r="S439" s="416"/>
      <c r="T439" s="416"/>
      <c r="U439" s="415"/>
      <c r="V439" s="415"/>
    </row>
    <row r="440" spans="1:22">
      <c r="A440" s="91"/>
      <c r="B440" s="243"/>
      <c r="C440" s="418"/>
      <c r="D440" s="419"/>
      <c r="E440" s="419"/>
      <c r="F440" s="419"/>
      <c r="G440" s="419"/>
      <c r="H440" s="419"/>
      <c r="I440" s="419"/>
      <c r="J440" s="419"/>
      <c r="K440" s="419"/>
      <c r="L440" s="420"/>
      <c r="M440" s="415"/>
      <c r="N440" s="415"/>
      <c r="O440" s="415"/>
      <c r="P440" s="415"/>
      <c r="Q440" s="416"/>
      <c r="R440" s="416"/>
      <c r="S440" s="416"/>
      <c r="T440" s="416"/>
      <c r="U440" s="415"/>
      <c r="V440" s="415"/>
    </row>
    <row r="441" spans="1:22">
      <c r="A441" s="91"/>
      <c r="B441" s="243"/>
      <c r="C441" s="418"/>
      <c r="D441" s="419"/>
      <c r="E441" s="419"/>
      <c r="F441" s="419"/>
      <c r="G441" s="419"/>
      <c r="H441" s="419"/>
      <c r="I441" s="419"/>
      <c r="J441" s="419"/>
      <c r="K441" s="419"/>
      <c r="L441" s="420"/>
      <c r="M441" s="415"/>
      <c r="N441" s="415"/>
      <c r="O441" s="415"/>
      <c r="P441" s="415"/>
      <c r="Q441" s="416"/>
      <c r="R441" s="416"/>
      <c r="S441" s="416"/>
      <c r="T441" s="416"/>
      <c r="U441" s="415"/>
      <c r="V441" s="415"/>
    </row>
    <row r="442" spans="1:22">
      <c r="A442" s="91"/>
      <c r="B442" s="243"/>
      <c r="C442" s="418"/>
      <c r="D442" s="419"/>
      <c r="E442" s="419"/>
      <c r="F442" s="419"/>
      <c r="G442" s="419"/>
      <c r="H442" s="419"/>
      <c r="I442" s="419"/>
      <c r="J442" s="419"/>
      <c r="K442" s="419"/>
      <c r="L442" s="420"/>
      <c r="M442" s="415"/>
      <c r="N442" s="415"/>
      <c r="O442" s="415"/>
      <c r="P442" s="415"/>
      <c r="Q442" s="416"/>
      <c r="R442" s="416"/>
      <c r="S442" s="416"/>
      <c r="T442" s="416"/>
      <c r="U442" s="415"/>
      <c r="V442" s="415"/>
    </row>
    <row r="443" spans="1:22">
      <c r="A443" s="91"/>
      <c r="B443" s="243"/>
      <c r="C443" s="418"/>
      <c r="D443" s="419"/>
      <c r="E443" s="419"/>
      <c r="F443" s="419"/>
      <c r="G443" s="419"/>
      <c r="H443" s="419"/>
      <c r="I443" s="419"/>
      <c r="J443" s="419"/>
      <c r="K443" s="419"/>
      <c r="L443" s="420"/>
      <c r="M443" s="415"/>
      <c r="N443" s="415"/>
      <c r="O443" s="415"/>
      <c r="P443" s="415"/>
      <c r="Q443" s="416"/>
      <c r="R443" s="416"/>
      <c r="S443" s="416"/>
      <c r="T443" s="416"/>
      <c r="U443" s="415"/>
      <c r="V443" s="415"/>
    </row>
    <row r="444" spans="1:22">
      <c r="A444" s="91"/>
      <c r="B444" s="243"/>
      <c r="C444" s="418"/>
      <c r="D444" s="419"/>
      <c r="E444" s="419"/>
      <c r="F444" s="419"/>
      <c r="G444" s="419"/>
      <c r="H444" s="419"/>
      <c r="I444" s="419"/>
      <c r="J444" s="419"/>
      <c r="K444" s="419"/>
      <c r="L444" s="420"/>
      <c r="M444" s="415"/>
      <c r="N444" s="415"/>
      <c r="O444" s="415"/>
      <c r="P444" s="415"/>
      <c r="Q444" s="416"/>
      <c r="R444" s="416"/>
      <c r="S444" s="416"/>
      <c r="T444" s="416"/>
      <c r="U444" s="415"/>
      <c r="V444" s="415"/>
    </row>
    <row r="445" spans="1:22">
      <c r="A445" s="91"/>
      <c r="B445" s="243"/>
      <c r="C445" s="418"/>
      <c r="D445" s="419"/>
      <c r="E445" s="419"/>
      <c r="F445" s="419"/>
      <c r="G445" s="419"/>
      <c r="H445" s="419"/>
      <c r="I445" s="419"/>
      <c r="J445" s="419"/>
      <c r="K445" s="419"/>
      <c r="L445" s="420"/>
      <c r="M445" s="415"/>
      <c r="N445" s="415"/>
      <c r="O445" s="415"/>
      <c r="P445" s="415"/>
      <c r="Q445" s="416"/>
      <c r="R445" s="416"/>
      <c r="S445" s="416"/>
      <c r="T445" s="416"/>
      <c r="U445" s="415"/>
      <c r="V445" s="415"/>
    </row>
    <row r="446" spans="1:22">
      <c r="A446" s="91"/>
      <c r="B446" s="243"/>
      <c r="C446" s="418"/>
      <c r="D446" s="419"/>
      <c r="E446" s="419"/>
      <c r="F446" s="419"/>
      <c r="G446" s="419"/>
      <c r="H446" s="419"/>
      <c r="I446" s="419"/>
      <c r="J446" s="419"/>
      <c r="K446" s="419"/>
      <c r="L446" s="420"/>
      <c r="M446" s="415"/>
      <c r="N446" s="415"/>
      <c r="O446" s="415"/>
      <c r="P446" s="415"/>
      <c r="Q446" s="416"/>
      <c r="R446" s="416"/>
      <c r="S446" s="416"/>
      <c r="T446" s="416"/>
      <c r="U446" s="415"/>
      <c r="V446" s="415"/>
    </row>
    <row r="447" spans="1:22">
      <c r="A447" s="91"/>
      <c r="B447" s="243"/>
      <c r="C447" s="418"/>
      <c r="D447" s="419"/>
      <c r="E447" s="419"/>
      <c r="F447" s="419"/>
      <c r="G447" s="419"/>
      <c r="H447" s="419"/>
      <c r="I447" s="419"/>
      <c r="J447" s="419"/>
      <c r="K447" s="419"/>
      <c r="L447" s="420"/>
      <c r="M447" s="415"/>
      <c r="N447" s="415"/>
      <c r="O447" s="415"/>
      <c r="P447" s="415"/>
      <c r="Q447" s="416"/>
      <c r="R447" s="416"/>
      <c r="S447" s="416"/>
      <c r="T447" s="416"/>
      <c r="U447" s="415"/>
      <c r="V447" s="415"/>
    </row>
    <row r="448" spans="1:22">
      <c r="A448" s="91"/>
      <c r="B448" s="243"/>
      <c r="C448" s="418"/>
      <c r="D448" s="419"/>
      <c r="E448" s="419"/>
      <c r="F448" s="419"/>
      <c r="G448" s="419"/>
      <c r="H448" s="419"/>
      <c r="I448" s="419"/>
      <c r="J448" s="419"/>
      <c r="K448" s="419"/>
      <c r="L448" s="420"/>
      <c r="M448" s="415"/>
      <c r="N448" s="415"/>
      <c r="O448" s="415"/>
      <c r="P448" s="415"/>
      <c r="Q448" s="416"/>
      <c r="R448" s="416"/>
      <c r="S448" s="416"/>
      <c r="T448" s="416"/>
      <c r="U448" s="415"/>
      <c r="V448" s="415"/>
    </row>
    <row r="449" spans="1:22">
      <c r="A449" s="91"/>
      <c r="B449" s="243"/>
      <c r="C449" s="418"/>
      <c r="D449" s="419"/>
      <c r="E449" s="419"/>
      <c r="F449" s="419"/>
      <c r="G449" s="419"/>
      <c r="H449" s="419"/>
      <c r="I449" s="419"/>
      <c r="J449" s="419"/>
      <c r="K449" s="419"/>
      <c r="L449" s="420"/>
      <c r="M449" s="415"/>
      <c r="N449" s="415"/>
      <c r="O449" s="415"/>
      <c r="P449" s="415"/>
      <c r="Q449" s="416"/>
      <c r="R449" s="416"/>
      <c r="S449" s="416"/>
      <c r="T449" s="416"/>
      <c r="U449" s="415"/>
      <c r="V449" s="415"/>
    </row>
    <row r="450" spans="1:22">
      <c r="A450" s="91"/>
      <c r="B450" s="243"/>
      <c r="C450" s="418"/>
      <c r="D450" s="419"/>
      <c r="E450" s="419"/>
      <c r="F450" s="419"/>
      <c r="G450" s="419"/>
      <c r="H450" s="419"/>
      <c r="I450" s="419"/>
      <c r="J450" s="419"/>
      <c r="K450" s="419"/>
      <c r="L450" s="420"/>
      <c r="M450" s="415"/>
      <c r="N450" s="415"/>
      <c r="O450" s="415"/>
      <c r="P450" s="415"/>
      <c r="Q450" s="416"/>
      <c r="R450" s="416"/>
      <c r="S450" s="416"/>
      <c r="T450" s="416"/>
      <c r="U450" s="415"/>
      <c r="V450" s="415"/>
    </row>
    <row r="451" spans="1:22">
      <c r="A451" s="91"/>
      <c r="B451" s="243"/>
      <c r="C451" s="418"/>
      <c r="D451" s="419"/>
      <c r="E451" s="419"/>
      <c r="F451" s="419"/>
      <c r="G451" s="419"/>
      <c r="H451" s="419"/>
      <c r="I451" s="419"/>
      <c r="J451" s="419"/>
      <c r="K451" s="419"/>
      <c r="L451" s="420"/>
      <c r="M451" s="415"/>
      <c r="N451" s="415"/>
      <c r="O451" s="415"/>
      <c r="P451" s="415"/>
      <c r="Q451" s="416"/>
      <c r="R451" s="416"/>
      <c r="S451" s="416"/>
      <c r="T451" s="416"/>
      <c r="U451" s="415"/>
      <c r="V451" s="415"/>
    </row>
    <row r="452" spans="1:22">
      <c r="A452" s="91"/>
      <c r="B452" s="243"/>
      <c r="C452" s="418"/>
      <c r="D452" s="419"/>
      <c r="E452" s="419"/>
      <c r="F452" s="419"/>
      <c r="G452" s="419"/>
      <c r="H452" s="419"/>
      <c r="I452" s="419"/>
      <c r="J452" s="419"/>
      <c r="K452" s="419"/>
      <c r="L452" s="420"/>
      <c r="M452" s="415"/>
      <c r="N452" s="415"/>
      <c r="O452" s="415"/>
      <c r="P452" s="415"/>
      <c r="Q452" s="416"/>
      <c r="R452" s="416"/>
      <c r="S452" s="416"/>
      <c r="T452" s="416"/>
      <c r="U452" s="415"/>
      <c r="V452" s="415"/>
    </row>
    <row r="453" spans="1:22">
      <c r="A453" s="91"/>
      <c r="B453" s="243"/>
      <c r="C453" s="418"/>
      <c r="D453" s="419"/>
      <c r="E453" s="419"/>
      <c r="F453" s="419"/>
      <c r="G453" s="419"/>
      <c r="H453" s="419"/>
      <c r="I453" s="419"/>
      <c r="J453" s="419"/>
      <c r="K453" s="419"/>
      <c r="L453" s="420"/>
      <c r="M453" s="415"/>
      <c r="N453" s="415"/>
      <c r="O453" s="415"/>
      <c r="P453" s="415"/>
      <c r="Q453" s="416"/>
      <c r="R453" s="416"/>
      <c r="S453" s="416"/>
      <c r="T453" s="416"/>
      <c r="U453" s="415"/>
      <c r="V453" s="415"/>
    </row>
    <row r="454" spans="1:22">
      <c r="A454" s="91"/>
      <c r="B454" s="243"/>
      <c r="C454" s="418"/>
      <c r="D454" s="419"/>
      <c r="E454" s="419"/>
      <c r="F454" s="419"/>
      <c r="G454" s="419"/>
      <c r="H454" s="419"/>
      <c r="I454" s="419"/>
      <c r="J454" s="419"/>
      <c r="K454" s="419"/>
      <c r="L454" s="420"/>
      <c r="M454" s="415"/>
      <c r="N454" s="415"/>
      <c r="O454" s="415"/>
      <c r="P454" s="415"/>
      <c r="Q454" s="416"/>
      <c r="R454" s="416"/>
      <c r="S454" s="416"/>
      <c r="T454" s="416"/>
      <c r="U454" s="415"/>
      <c r="V454" s="415"/>
    </row>
    <row r="455" spans="1:22">
      <c r="A455" s="91"/>
      <c r="B455" s="243"/>
      <c r="C455" s="418"/>
      <c r="D455" s="419"/>
      <c r="E455" s="419"/>
      <c r="F455" s="419"/>
      <c r="G455" s="419"/>
      <c r="H455" s="419"/>
      <c r="I455" s="419"/>
      <c r="J455" s="419"/>
      <c r="K455" s="419"/>
      <c r="L455" s="420"/>
      <c r="M455" s="415"/>
      <c r="N455" s="415"/>
      <c r="O455" s="415"/>
      <c r="P455" s="415"/>
      <c r="Q455" s="416"/>
      <c r="R455" s="416"/>
      <c r="S455" s="416"/>
      <c r="T455" s="416"/>
      <c r="U455" s="415"/>
      <c r="V455" s="415"/>
    </row>
    <row r="456" spans="1:22">
      <c r="A456" s="91"/>
      <c r="B456" s="243"/>
      <c r="C456" s="418"/>
      <c r="D456" s="419"/>
      <c r="E456" s="419"/>
      <c r="F456" s="419"/>
      <c r="G456" s="419"/>
      <c r="H456" s="419"/>
      <c r="I456" s="419"/>
      <c r="J456" s="419"/>
      <c r="K456" s="419"/>
      <c r="L456" s="420"/>
      <c r="M456" s="415"/>
      <c r="N456" s="415"/>
      <c r="O456" s="415"/>
      <c r="P456" s="415"/>
      <c r="Q456" s="416"/>
      <c r="R456" s="416"/>
      <c r="S456" s="416"/>
      <c r="T456" s="416"/>
      <c r="U456" s="415"/>
      <c r="V456" s="415"/>
    </row>
    <row r="457" spans="1:22">
      <c r="A457" s="91"/>
      <c r="B457" s="243"/>
      <c r="C457" s="418"/>
      <c r="D457" s="419"/>
      <c r="E457" s="419"/>
      <c r="F457" s="419"/>
      <c r="G457" s="419"/>
      <c r="H457" s="419"/>
      <c r="I457" s="419"/>
      <c r="J457" s="419"/>
      <c r="K457" s="419"/>
      <c r="L457" s="420"/>
      <c r="M457" s="415"/>
      <c r="N457" s="415"/>
      <c r="O457" s="415"/>
      <c r="P457" s="415"/>
      <c r="Q457" s="416"/>
      <c r="R457" s="416"/>
      <c r="S457" s="416"/>
      <c r="T457" s="416"/>
      <c r="U457" s="415"/>
      <c r="V457" s="415"/>
    </row>
    <row r="458" spans="1:22">
      <c r="A458" s="91"/>
      <c r="B458" s="243"/>
      <c r="C458" s="418"/>
      <c r="D458" s="419"/>
      <c r="E458" s="419"/>
      <c r="F458" s="419"/>
      <c r="G458" s="419"/>
      <c r="H458" s="419"/>
      <c r="I458" s="419"/>
      <c r="J458" s="419"/>
      <c r="K458" s="419"/>
      <c r="L458" s="420"/>
      <c r="M458" s="415"/>
      <c r="N458" s="415"/>
      <c r="O458" s="415"/>
      <c r="P458" s="415"/>
      <c r="Q458" s="416"/>
      <c r="R458" s="416"/>
      <c r="S458" s="416"/>
      <c r="T458" s="416"/>
      <c r="U458" s="415"/>
      <c r="V458" s="415"/>
    </row>
    <row r="459" spans="1:22">
      <c r="A459" s="91"/>
      <c r="B459" s="243"/>
      <c r="C459" s="418"/>
      <c r="D459" s="419"/>
      <c r="E459" s="419"/>
      <c r="F459" s="419"/>
      <c r="G459" s="419"/>
      <c r="H459" s="419"/>
      <c r="I459" s="419"/>
      <c r="J459" s="419"/>
      <c r="K459" s="419"/>
      <c r="L459" s="420"/>
      <c r="M459" s="415"/>
      <c r="N459" s="415"/>
      <c r="O459" s="415"/>
      <c r="P459" s="415"/>
      <c r="Q459" s="416"/>
      <c r="R459" s="416"/>
      <c r="S459" s="416"/>
      <c r="T459" s="416"/>
      <c r="U459" s="415"/>
      <c r="V459" s="415"/>
    </row>
    <row r="460" spans="1:22">
      <c r="A460" s="91"/>
      <c r="B460" s="243"/>
      <c r="C460" s="418"/>
      <c r="D460" s="419"/>
      <c r="E460" s="419"/>
      <c r="F460" s="419"/>
      <c r="G460" s="419"/>
      <c r="H460" s="419"/>
      <c r="I460" s="419"/>
      <c r="J460" s="419"/>
      <c r="K460" s="419"/>
      <c r="L460" s="420"/>
      <c r="M460" s="415"/>
      <c r="N460" s="415"/>
      <c r="O460" s="415"/>
      <c r="P460" s="415"/>
      <c r="Q460" s="416"/>
      <c r="R460" s="416"/>
      <c r="S460" s="416"/>
      <c r="T460" s="416"/>
      <c r="U460" s="415"/>
      <c r="V460" s="415"/>
    </row>
    <row r="461" spans="1:22">
      <c r="A461" s="91"/>
      <c r="B461" s="243"/>
      <c r="C461" s="418"/>
      <c r="D461" s="419"/>
      <c r="E461" s="419"/>
      <c r="F461" s="419"/>
      <c r="G461" s="419"/>
      <c r="H461" s="419"/>
      <c r="I461" s="419"/>
      <c r="J461" s="419"/>
      <c r="K461" s="419"/>
      <c r="L461" s="420"/>
      <c r="M461" s="415"/>
      <c r="N461" s="415"/>
      <c r="O461" s="415"/>
      <c r="P461" s="415"/>
      <c r="Q461" s="416"/>
      <c r="R461" s="416"/>
      <c r="S461" s="416"/>
      <c r="T461" s="416"/>
      <c r="U461" s="415"/>
      <c r="V461" s="415"/>
    </row>
    <row r="462" spans="1:22">
      <c r="A462" s="91"/>
      <c r="B462" s="249"/>
      <c r="C462" s="418"/>
      <c r="D462" s="419"/>
      <c r="E462" s="419"/>
      <c r="F462" s="419"/>
      <c r="G462" s="419"/>
      <c r="H462" s="419"/>
      <c r="I462" s="419"/>
      <c r="J462" s="419"/>
      <c r="K462" s="419"/>
      <c r="L462" s="420"/>
      <c r="M462" s="415"/>
      <c r="N462" s="415"/>
      <c r="O462" s="415"/>
      <c r="P462" s="415"/>
      <c r="Q462" s="416"/>
      <c r="R462" s="416"/>
      <c r="S462" s="416"/>
      <c r="T462" s="416"/>
      <c r="U462" s="415"/>
      <c r="V462" s="415"/>
    </row>
    <row r="463" spans="1:22">
      <c r="A463" s="91"/>
      <c r="B463" s="250"/>
      <c r="C463" s="418"/>
      <c r="D463" s="419"/>
      <c r="E463" s="419"/>
      <c r="F463" s="419"/>
      <c r="G463" s="419"/>
      <c r="H463" s="419"/>
      <c r="I463" s="419"/>
      <c r="J463" s="419"/>
      <c r="K463" s="419"/>
      <c r="L463" s="420"/>
      <c r="M463" s="415"/>
      <c r="N463" s="415"/>
      <c r="O463" s="415"/>
      <c r="P463" s="415"/>
      <c r="Q463" s="416"/>
      <c r="R463" s="416"/>
      <c r="S463" s="416"/>
      <c r="T463" s="416"/>
      <c r="U463" s="415"/>
      <c r="V463" s="415"/>
    </row>
    <row r="464" spans="1:22">
      <c r="A464" s="91"/>
      <c r="B464" s="251"/>
      <c r="C464" s="418"/>
      <c r="D464" s="419"/>
      <c r="E464" s="419"/>
      <c r="F464" s="419"/>
      <c r="G464" s="419"/>
      <c r="H464" s="419"/>
      <c r="I464" s="419"/>
      <c r="J464" s="419"/>
      <c r="K464" s="419"/>
      <c r="L464" s="420"/>
      <c r="M464" s="415"/>
      <c r="N464" s="415"/>
      <c r="O464" s="415"/>
      <c r="P464" s="415"/>
      <c r="Q464" s="416"/>
      <c r="R464" s="416"/>
      <c r="S464" s="416"/>
      <c r="T464" s="416"/>
      <c r="U464" s="415"/>
      <c r="V464" s="415"/>
    </row>
    <row r="465" spans="1:22">
      <c r="A465" s="91"/>
      <c r="B465" s="251"/>
      <c r="C465" s="418"/>
      <c r="D465" s="419"/>
      <c r="E465" s="419"/>
      <c r="F465" s="419"/>
      <c r="G465" s="419"/>
      <c r="H465" s="419"/>
      <c r="I465" s="419"/>
      <c r="J465" s="419"/>
      <c r="K465" s="419"/>
      <c r="L465" s="420"/>
      <c r="M465" s="415"/>
      <c r="N465" s="415"/>
      <c r="O465" s="415"/>
      <c r="P465" s="415"/>
      <c r="Q465" s="416"/>
      <c r="R465" s="416"/>
      <c r="S465" s="416"/>
      <c r="T465" s="416"/>
      <c r="U465" s="415"/>
      <c r="V465" s="415"/>
    </row>
    <row r="466" spans="1:22">
      <c r="A466" s="91"/>
      <c r="B466" s="251"/>
      <c r="C466" s="418"/>
      <c r="D466" s="419"/>
      <c r="E466" s="419"/>
      <c r="F466" s="419"/>
      <c r="G466" s="419"/>
      <c r="H466" s="419"/>
      <c r="I466" s="419"/>
      <c r="J466" s="419"/>
      <c r="K466" s="419"/>
      <c r="L466" s="420"/>
      <c r="M466" s="415"/>
      <c r="N466" s="415"/>
      <c r="O466" s="415"/>
      <c r="P466" s="415"/>
      <c r="Q466" s="416"/>
      <c r="R466" s="416"/>
      <c r="S466" s="416"/>
      <c r="T466" s="416"/>
      <c r="U466" s="415"/>
      <c r="V466" s="415"/>
    </row>
    <row r="467" spans="1:22">
      <c r="A467" s="91"/>
      <c r="B467" s="251"/>
      <c r="C467" s="418"/>
      <c r="D467" s="419"/>
      <c r="E467" s="419"/>
      <c r="F467" s="419"/>
      <c r="G467" s="419"/>
      <c r="H467" s="419"/>
      <c r="I467" s="419"/>
      <c r="J467" s="419"/>
      <c r="K467" s="419"/>
      <c r="L467" s="420"/>
      <c r="M467" s="415"/>
      <c r="N467" s="415"/>
      <c r="O467" s="415"/>
      <c r="P467" s="415"/>
      <c r="Q467" s="416"/>
      <c r="R467" s="416"/>
      <c r="S467" s="416"/>
      <c r="T467" s="416"/>
      <c r="U467" s="415"/>
      <c r="V467" s="415"/>
    </row>
    <row r="468" spans="1:22">
      <c r="A468" s="91"/>
      <c r="B468" s="251"/>
      <c r="C468" s="418"/>
      <c r="D468" s="419"/>
      <c r="E468" s="419"/>
      <c r="F468" s="419"/>
      <c r="G468" s="419"/>
      <c r="H468" s="419"/>
      <c r="I468" s="419"/>
      <c r="J468" s="419"/>
      <c r="K468" s="419"/>
      <c r="L468" s="420"/>
      <c r="M468" s="415"/>
      <c r="N468" s="415"/>
      <c r="O468" s="415"/>
      <c r="P468" s="415"/>
      <c r="Q468" s="416"/>
      <c r="R468" s="416"/>
      <c r="S468" s="416"/>
      <c r="T468" s="416"/>
      <c r="U468" s="415"/>
      <c r="V468" s="415"/>
    </row>
    <row r="469" spans="1:22">
      <c r="A469" s="91"/>
      <c r="B469" s="251"/>
      <c r="C469" s="418"/>
      <c r="D469" s="419"/>
      <c r="E469" s="419"/>
      <c r="F469" s="419"/>
      <c r="G469" s="419"/>
      <c r="H469" s="419"/>
      <c r="I469" s="419"/>
      <c r="J469" s="419"/>
      <c r="K469" s="419"/>
      <c r="L469" s="420"/>
      <c r="M469" s="415"/>
      <c r="N469" s="415"/>
      <c r="O469" s="415"/>
      <c r="P469" s="415"/>
      <c r="Q469" s="416"/>
      <c r="R469" s="416"/>
      <c r="S469" s="416"/>
      <c r="T469" s="416"/>
      <c r="U469" s="415"/>
      <c r="V469" s="415"/>
    </row>
    <row r="470" spans="1:22">
      <c r="A470" s="91"/>
      <c r="B470" s="251"/>
      <c r="C470" s="418"/>
      <c r="D470" s="419"/>
      <c r="E470" s="419"/>
      <c r="F470" s="419"/>
      <c r="G470" s="419"/>
      <c r="H470" s="419"/>
      <c r="I470" s="419"/>
      <c r="J470" s="419"/>
      <c r="K470" s="419"/>
      <c r="L470" s="420"/>
      <c r="M470" s="415"/>
      <c r="N470" s="415"/>
      <c r="O470" s="415"/>
      <c r="P470" s="415"/>
      <c r="Q470" s="416"/>
      <c r="R470" s="416"/>
      <c r="S470" s="416"/>
      <c r="T470" s="416"/>
      <c r="U470" s="415"/>
      <c r="V470" s="415"/>
    </row>
    <row r="471" spans="1:22">
      <c r="A471" s="91"/>
      <c r="B471" s="251"/>
      <c r="C471" s="418"/>
      <c r="D471" s="419"/>
      <c r="E471" s="419"/>
      <c r="F471" s="419"/>
      <c r="G471" s="419"/>
      <c r="H471" s="419"/>
      <c r="I471" s="419"/>
      <c r="J471" s="419"/>
      <c r="K471" s="419"/>
      <c r="L471" s="420"/>
      <c r="M471" s="415"/>
      <c r="N471" s="415"/>
      <c r="O471" s="415"/>
      <c r="P471" s="415"/>
      <c r="Q471" s="416"/>
      <c r="R471" s="416"/>
      <c r="S471" s="416"/>
      <c r="T471" s="416"/>
      <c r="U471" s="415"/>
      <c r="V471" s="415"/>
    </row>
    <row r="472" spans="1:22">
      <c r="A472" s="91"/>
      <c r="B472" s="251"/>
      <c r="C472" s="418"/>
      <c r="D472" s="419"/>
      <c r="E472" s="419"/>
      <c r="F472" s="419"/>
      <c r="G472" s="419"/>
      <c r="H472" s="419"/>
      <c r="I472" s="419"/>
      <c r="J472" s="419"/>
      <c r="K472" s="419"/>
      <c r="L472" s="420"/>
      <c r="M472" s="415"/>
      <c r="N472" s="415"/>
      <c r="O472" s="415"/>
      <c r="P472" s="415"/>
      <c r="Q472" s="416"/>
      <c r="R472" s="416"/>
      <c r="S472" s="416"/>
      <c r="T472" s="416"/>
      <c r="U472" s="415"/>
      <c r="V472" s="415"/>
    </row>
    <row r="473" spans="1:22">
      <c r="A473" s="91"/>
      <c r="B473" s="251"/>
      <c r="C473" s="418"/>
      <c r="D473" s="419"/>
      <c r="E473" s="419"/>
      <c r="F473" s="419"/>
      <c r="G473" s="419"/>
      <c r="H473" s="419"/>
      <c r="I473" s="419"/>
      <c r="J473" s="419"/>
      <c r="K473" s="419"/>
      <c r="L473" s="420"/>
      <c r="M473" s="415"/>
      <c r="N473" s="415"/>
      <c r="O473" s="415"/>
      <c r="P473" s="415"/>
      <c r="Q473" s="416"/>
      <c r="R473" s="416"/>
      <c r="S473" s="416"/>
      <c r="T473" s="416"/>
      <c r="U473" s="415"/>
      <c r="V473" s="415"/>
    </row>
    <row r="474" spans="1:22">
      <c r="A474" s="91"/>
      <c r="B474" s="251"/>
      <c r="C474" s="418"/>
      <c r="D474" s="419"/>
      <c r="E474" s="419"/>
      <c r="F474" s="419"/>
      <c r="G474" s="419"/>
      <c r="H474" s="419"/>
      <c r="I474" s="419"/>
      <c r="J474" s="419"/>
      <c r="K474" s="419"/>
      <c r="L474" s="420"/>
      <c r="M474" s="415"/>
      <c r="N474" s="415"/>
      <c r="O474" s="415"/>
      <c r="P474" s="415"/>
      <c r="Q474" s="416"/>
      <c r="R474" s="416"/>
      <c r="S474" s="416"/>
      <c r="T474" s="416"/>
      <c r="U474" s="415"/>
      <c r="V474" s="415"/>
    </row>
    <row r="475" spans="1:22">
      <c r="A475" s="91"/>
      <c r="B475" s="251"/>
      <c r="C475" s="418"/>
      <c r="D475" s="419"/>
      <c r="E475" s="419"/>
      <c r="F475" s="419"/>
      <c r="G475" s="419"/>
      <c r="H475" s="419"/>
      <c r="I475" s="419"/>
      <c r="J475" s="419"/>
      <c r="K475" s="419"/>
      <c r="L475" s="420"/>
      <c r="M475" s="415"/>
      <c r="N475" s="415"/>
      <c r="O475" s="415"/>
      <c r="P475" s="415"/>
      <c r="Q475" s="416"/>
      <c r="R475" s="416"/>
      <c r="S475" s="416"/>
      <c r="T475" s="416"/>
      <c r="U475" s="415"/>
      <c r="V475" s="415"/>
    </row>
    <row r="476" spans="1:22">
      <c r="A476" s="91"/>
      <c r="B476" s="251"/>
      <c r="C476" s="418"/>
      <c r="D476" s="419"/>
      <c r="E476" s="419"/>
      <c r="F476" s="419"/>
      <c r="G476" s="419"/>
      <c r="H476" s="419"/>
      <c r="I476" s="419"/>
      <c r="J476" s="419"/>
      <c r="K476" s="419"/>
      <c r="L476" s="420"/>
      <c r="M476" s="415"/>
      <c r="N476" s="415"/>
      <c r="O476" s="415"/>
      <c r="P476" s="415"/>
      <c r="Q476" s="416"/>
      <c r="R476" s="416"/>
      <c r="S476" s="416"/>
      <c r="T476" s="416"/>
      <c r="U476" s="415"/>
      <c r="V476" s="415"/>
    </row>
    <row r="477" spans="1:22">
      <c r="A477" s="91"/>
      <c r="B477" s="251"/>
      <c r="C477" s="418"/>
      <c r="D477" s="419"/>
      <c r="E477" s="419"/>
      <c r="F477" s="419"/>
      <c r="G477" s="419"/>
      <c r="H477" s="419"/>
      <c r="I477" s="419"/>
      <c r="J477" s="419"/>
      <c r="K477" s="419"/>
      <c r="L477" s="420"/>
      <c r="M477" s="415"/>
      <c r="N477" s="415"/>
      <c r="O477" s="415"/>
      <c r="P477" s="415"/>
      <c r="Q477" s="416"/>
      <c r="R477" s="416"/>
      <c r="S477" s="416"/>
      <c r="T477" s="416"/>
      <c r="U477" s="415"/>
      <c r="V477" s="415"/>
    </row>
    <row r="478" spans="1:22">
      <c r="A478" s="91"/>
      <c r="B478" s="251"/>
      <c r="C478" s="418"/>
      <c r="D478" s="419"/>
      <c r="E478" s="419"/>
      <c r="F478" s="419"/>
      <c r="G478" s="419"/>
      <c r="H478" s="419"/>
      <c r="I478" s="419"/>
      <c r="J478" s="419"/>
      <c r="K478" s="419"/>
      <c r="L478" s="420"/>
      <c r="M478" s="415"/>
      <c r="N478" s="415"/>
      <c r="O478" s="415"/>
      <c r="P478" s="415"/>
      <c r="Q478" s="416"/>
      <c r="R478" s="416"/>
      <c r="S478" s="416"/>
      <c r="T478" s="416"/>
      <c r="U478" s="415"/>
      <c r="V478" s="415"/>
    </row>
    <row r="479" spans="1:22">
      <c r="A479" s="91"/>
      <c r="B479" s="251"/>
      <c r="C479" s="418"/>
      <c r="D479" s="419"/>
      <c r="E479" s="419"/>
      <c r="F479" s="419"/>
      <c r="G479" s="419"/>
      <c r="H479" s="419"/>
      <c r="I479" s="419"/>
      <c r="J479" s="419"/>
      <c r="K479" s="419"/>
      <c r="L479" s="420"/>
      <c r="M479" s="415"/>
      <c r="N479" s="415"/>
      <c r="O479" s="415"/>
      <c r="P479" s="415"/>
      <c r="Q479" s="416"/>
      <c r="R479" s="416"/>
      <c r="S479" s="416"/>
      <c r="T479" s="416"/>
      <c r="U479" s="415"/>
      <c r="V479" s="415"/>
    </row>
    <row r="480" spans="1:22">
      <c r="A480" s="91"/>
      <c r="B480" s="252"/>
      <c r="C480" s="418"/>
      <c r="D480" s="419"/>
      <c r="E480" s="419"/>
      <c r="F480" s="419"/>
      <c r="G480" s="419"/>
      <c r="H480" s="419"/>
      <c r="I480" s="419"/>
      <c r="J480" s="419"/>
      <c r="K480" s="419"/>
      <c r="L480" s="420"/>
      <c r="M480" s="415"/>
      <c r="N480" s="415"/>
      <c r="O480" s="415"/>
      <c r="P480" s="415"/>
      <c r="Q480" s="416"/>
      <c r="R480" s="416"/>
      <c r="S480" s="416"/>
      <c r="T480" s="416"/>
      <c r="U480" s="415"/>
      <c r="V480" s="415"/>
    </row>
    <row r="481" spans="1:22">
      <c r="A481" s="91"/>
      <c r="B481" s="252"/>
      <c r="C481" s="418"/>
      <c r="D481" s="419"/>
      <c r="E481" s="419"/>
      <c r="F481" s="419"/>
      <c r="G481" s="419"/>
      <c r="H481" s="419"/>
      <c r="I481" s="419"/>
      <c r="J481" s="419"/>
      <c r="K481" s="419"/>
      <c r="L481" s="420"/>
      <c r="M481" s="415"/>
      <c r="N481" s="415"/>
      <c r="O481" s="415"/>
      <c r="P481" s="415"/>
      <c r="Q481" s="416"/>
      <c r="R481" s="416"/>
      <c r="S481" s="416"/>
      <c r="T481" s="416"/>
      <c r="U481" s="415"/>
      <c r="V481" s="415"/>
    </row>
    <row r="482" spans="1:22">
      <c r="A482" s="91"/>
      <c r="B482" s="252"/>
      <c r="C482" s="418"/>
      <c r="D482" s="419"/>
      <c r="E482" s="419"/>
      <c r="F482" s="419"/>
      <c r="G482" s="419"/>
      <c r="H482" s="419"/>
      <c r="I482" s="419"/>
      <c r="J482" s="419"/>
      <c r="K482" s="419"/>
      <c r="L482" s="420"/>
      <c r="M482" s="415"/>
      <c r="N482" s="415"/>
      <c r="O482" s="415"/>
      <c r="P482" s="415"/>
      <c r="Q482" s="416"/>
      <c r="R482" s="416"/>
      <c r="S482" s="416"/>
      <c r="T482" s="416"/>
      <c r="U482" s="415"/>
      <c r="V482" s="415"/>
    </row>
    <row r="483" spans="1:22">
      <c r="A483" s="91"/>
      <c r="B483" s="252"/>
      <c r="C483" s="418"/>
      <c r="D483" s="419"/>
      <c r="E483" s="419"/>
      <c r="F483" s="419"/>
      <c r="G483" s="419"/>
      <c r="H483" s="419"/>
      <c r="I483" s="419"/>
      <c r="J483" s="419"/>
      <c r="K483" s="419"/>
      <c r="L483" s="420"/>
      <c r="M483" s="415"/>
      <c r="N483" s="415"/>
      <c r="O483" s="415"/>
      <c r="P483" s="415"/>
      <c r="Q483" s="416"/>
      <c r="R483" s="416"/>
      <c r="S483" s="416"/>
      <c r="T483" s="416"/>
      <c r="U483" s="415"/>
      <c r="V483" s="415"/>
    </row>
    <row r="484" spans="1:22">
      <c r="A484" s="91"/>
      <c r="B484" s="252"/>
      <c r="C484" s="418"/>
      <c r="D484" s="419"/>
      <c r="E484" s="419"/>
      <c r="F484" s="419"/>
      <c r="G484" s="419"/>
      <c r="H484" s="419"/>
      <c r="I484" s="419"/>
      <c r="J484" s="419"/>
      <c r="K484" s="419"/>
      <c r="L484" s="420"/>
      <c r="M484" s="415"/>
      <c r="N484" s="415"/>
      <c r="O484" s="415"/>
      <c r="P484" s="415"/>
      <c r="Q484" s="416"/>
      <c r="R484" s="416"/>
      <c r="S484" s="416"/>
      <c r="T484" s="416"/>
      <c r="U484" s="415"/>
      <c r="V484" s="415"/>
    </row>
    <row r="485" spans="1:22">
      <c r="A485" s="91"/>
      <c r="B485" s="252"/>
      <c r="C485" s="418"/>
      <c r="D485" s="419"/>
      <c r="E485" s="419"/>
      <c r="F485" s="419"/>
      <c r="G485" s="419"/>
      <c r="H485" s="419"/>
      <c r="I485" s="419"/>
      <c r="J485" s="419"/>
      <c r="K485" s="419"/>
      <c r="L485" s="420"/>
      <c r="M485" s="415"/>
      <c r="N485" s="415"/>
      <c r="O485" s="415"/>
      <c r="P485" s="415"/>
      <c r="Q485" s="416"/>
      <c r="R485" s="416"/>
      <c r="S485" s="416"/>
      <c r="T485" s="416"/>
      <c r="U485" s="415"/>
      <c r="V485" s="415"/>
    </row>
    <row r="486" spans="1:22">
      <c r="A486" s="91"/>
      <c r="B486" s="252"/>
      <c r="C486" s="418"/>
      <c r="D486" s="419"/>
      <c r="E486" s="419"/>
      <c r="F486" s="419"/>
      <c r="G486" s="419"/>
      <c r="H486" s="419"/>
      <c r="I486" s="419"/>
      <c r="J486" s="419"/>
      <c r="K486" s="419"/>
      <c r="L486" s="420"/>
      <c r="M486" s="415"/>
      <c r="N486" s="415"/>
      <c r="O486" s="415"/>
      <c r="P486" s="415"/>
      <c r="Q486" s="416"/>
      <c r="R486" s="416"/>
      <c r="S486" s="416"/>
      <c r="T486" s="416"/>
      <c r="U486" s="415"/>
      <c r="V486" s="415"/>
    </row>
    <row r="487" spans="1:22">
      <c r="A487" s="91"/>
      <c r="B487" s="252"/>
      <c r="C487" s="418"/>
      <c r="D487" s="419"/>
      <c r="E487" s="419"/>
      <c r="F487" s="419"/>
      <c r="G487" s="419"/>
      <c r="H487" s="419"/>
      <c r="I487" s="419"/>
      <c r="J487" s="419"/>
      <c r="K487" s="419"/>
      <c r="L487" s="420"/>
      <c r="M487" s="415"/>
      <c r="N487" s="415"/>
      <c r="O487" s="415"/>
      <c r="P487" s="415"/>
      <c r="Q487" s="416"/>
      <c r="R487" s="416"/>
      <c r="S487" s="416"/>
      <c r="T487" s="416"/>
      <c r="U487" s="415"/>
      <c r="V487" s="415"/>
    </row>
    <row r="488" spans="1:22">
      <c r="A488" s="91"/>
      <c r="B488" s="252"/>
      <c r="C488" s="418"/>
      <c r="D488" s="419"/>
      <c r="E488" s="419"/>
      <c r="F488" s="419"/>
      <c r="G488" s="419"/>
      <c r="H488" s="419"/>
      <c r="I488" s="419"/>
      <c r="J488" s="419"/>
      <c r="K488" s="419"/>
      <c r="L488" s="420"/>
      <c r="M488" s="415"/>
      <c r="N488" s="415"/>
      <c r="O488" s="415"/>
      <c r="P488" s="415"/>
      <c r="Q488" s="416"/>
      <c r="R488" s="416"/>
      <c r="S488" s="416"/>
      <c r="T488" s="416"/>
      <c r="U488" s="415"/>
      <c r="V488" s="415"/>
    </row>
    <row r="489" spans="1:22">
      <c r="A489" s="91"/>
      <c r="B489" s="252"/>
      <c r="C489" s="418"/>
      <c r="D489" s="419"/>
      <c r="E489" s="419"/>
      <c r="F489" s="419"/>
      <c r="G489" s="419"/>
      <c r="H489" s="419"/>
      <c r="I489" s="419"/>
      <c r="J489" s="419"/>
      <c r="K489" s="419"/>
      <c r="L489" s="420"/>
      <c r="M489" s="415"/>
      <c r="N489" s="415"/>
      <c r="O489" s="415"/>
      <c r="P489" s="415"/>
      <c r="Q489" s="416"/>
      <c r="R489" s="416"/>
      <c r="S489" s="416"/>
      <c r="T489" s="416"/>
      <c r="U489" s="415"/>
      <c r="V489" s="415"/>
    </row>
    <row r="490" spans="1:22">
      <c r="A490" s="91"/>
      <c r="B490" s="252"/>
      <c r="C490" s="418"/>
      <c r="D490" s="419"/>
      <c r="E490" s="419"/>
      <c r="F490" s="419"/>
      <c r="G490" s="419"/>
      <c r="H490" s="419"/>
      <c r="I490" s="419"/>
      <c r="J490" s="419"/>
      <c r="K490" s="419"/>
      <c r="L490" s="420"/>
      <c r="M490" s="415"/>
      <c r="N490" s="415"/>
      <c r="O490" s="415"/>
      <c r="P490" s="415"/>
      <c r="Q490" s="416"/>
      <c r="R490" s="416"/>
      <c r="S490" s="416"/>
      <c r="T490" s="416"/>
      <c r="U490" s="415"/>
      <c r="V490" s="415"/>
    </row>
    <row r="491" spans="1:22">
      <c r="A491" s="91"/>
      <c r="B491" s="252"/>
      <c r="C491" s="418"/>
      <c r="D491" s="419"/>
      <c r="E491" s="419"/>
      <c r="F491" s="419"/>
      <c r="G491" s="419"/>
      <c r="H491" s="419"/>
      <c r="I491" s="419"/>
      <c r="J491" s="419"/>
      <c r="K491" s="419"/>
      <c r="L491" s="420"/>
      <c r="M491" s="415"/>
      <c r="N491" s="415"/>
      <c r="O491" s="415"/>
      <c r="P491" s="415"/>
      <c r="Q491" s="416"/>
      <c r="R491" s="416"/>
      <c r="S491" s="416"/>
      <c r="T491" s="416"/>
      <c r="U491" s="415"/>
      <c r="V491" s="415"/>
    </row>
    <row r="492" spans="1:22">
      <c r="A492" s="91"/>
      <c r="B492" s="252"/>
      <c r="C492" s="418"/>
      <c r="D492" s="419"/>
      <c r="E492" s="419"/>
      <c r="F492" s="419"/>
      <c r="G492" s="419"/>
      <c r="H492" s="419"/>
      <c r="I492" s="419"/>
      <c r="J492" s="419"/>
      <c r="K492" s="419"/>
      <c r="L492" s="420"/>
      <c r="M492" s="415"/>
      <c r="N492" s="415"/>
      <c r="O492" s="415"/>
      <c r="P492" s="415"/>
      <c r="Q492" s="416"/>
      <c r="R492" s="416"/>
      <c r="S492" s="416"/>
      <c r="T492" s="416"/>
      <c r="U492" s="415"/>
      <c r="V492" s="415"/>
    </row>
    <row r="493" spans="1:22">
      <c r="A493" s="91"/>
      <c r="B493" s="252"/>
      <c r="C493" s="421"/>
      <c r="D493" s="421"/>
      <c r="E493" s="421"/>
      <c r="F493" s="421"/>
      <c r="G493" s="421"/>
      <c r="H493" s="421"/>
      <c r="I493" s="421"/>
      <c r="J493" s="421"/>
      <c r="K493" s="421"/>
      <c r="L493" s="421"/>
      <c r="M493" s="415"/>
      <c r="N493" s="415"/>
      <c r="O493" s="415"/>
      <c r="P493" s="415"/>
      <c r="Q493" s="416"/>
      <c r="R493" s="416"/>
      <c r="S493" s="416"/>
      <c r="T493" s="416"/>
      <c r="U493" s="415"/>
      <c r="V493" s="415"/>
    </row>
    <row r="494" spans="1:22">
      <c r="A494" s="91"/>
      <c r="B494" s="253"/>
      <c r="C494" s="421"/>
      <c r="D494" s="421"/>
      <c r="E494" s="421"/>
      <c r="F494" s="421"/>
      <c r="G494" s="421"/>
      <c r="H494" s="421"/>
      <c r="I494" s="421"/>
      <c r="J494" s="421"/>
      <c r="K494" s="421"/>
      <c r="L494" s="421"/>
      <c r="M494" s="415"/>
      <c r="N494" s="415"/>
      <c r="O494" s="415"/>
      <c r="P494" s="415"/>
      <c r="Q494" s="416"/>
      <c r="R494" s="416"/>
      <c r="S494" s="416"/>
      <c r="T494" s="416"/>
      <c r="U494" s="415"/>
      <c r="V494" s="415"/>
    </row>
    <row r="495" spans="1:22">
      <c r="A495" s="91"/>
      <c r="B495" s="253"/>
      <c r="C495" s="421"/>
      <c r="D495" s="421"/>
      <c r="E495" s="421"/>
      <c r="F495" s="421"/>
      <c r="G495" s="421"/>
      <c r="H495" s="421"/>
      <c r="I495" s="421"/>
      <c r="J495" s="421"/>
      <c r="K495" s="421"/>
      <c r="L495" s="421"/>
      <c r="M495" s="415"/>
      <c r="N495" s="415"/>
      <c r="O495" s="415"/>
      <c r="P495" s="415"/>
      <c r="Q495" s="416"/>
      <c r="R495" s="416"/>
      <c r="S495" s="416"/>
      <c r="T495" s="416"/>
      <c r="U495" s="415"/>
      <c r="V495" s="415"/>
    </row>
    <row r="496" spans="1:22">
      <c r="A496" s="91"/>
      <c r="B496" s="253"/>
      <c r="C496" s="421"/>
      <c r="D496" s="421"/>
      <c r="E496" s="421"/>
      <c r="F496" s="421"/>
      <c r="G496" s="421"/>
      <c r="H496" s="421"/>
      <c r="I496" s="421"/>
      <c r="J496" s="421"/>
      <c r="K496" s="421"/>
      <c r="L496" s="421"/>
      <c r="M496" s="415"/>
      <c r="N496" s="415"/>
      <c r="O496" s="415"/>
      <c r="P496" s="415"/>
      <c r="Q496" s="416"/>
      <c r="R496" s="416"/>
      <c r="S496" s="416"/>
      <c r="T496" s="416"/>
      <c r="U496" s="415"/>
      <c r="V496" s="415"/>
    </row>
    <row r="497" spans="1:22">
      <c r="A497" s="91"/>
      <c r="B497" s="254"/>
      <c r="C497" s="421"/>
      <c r="D497" s="421"/>
      <c r="E497" s="421"/>
      <c r="F497" s="421"/>
      <c r="G497" s="421"/>
      <c r="H497" s="421"/>
      <c r="I497" s="421"/>
      <c r="J497" s="421"/>
      <c r="K497" s="421"/>
      <c r="L497" s="421"/>
      <c r="M497" s="415"/>
      <c r="N497" s="415"/>
      <c r="O497" s="415"/>
      <c r="P497" s="415"/>
      <c r="Q497" s="416"/>
      <c r="R497" s="416"/>
      <c r="S497" s="416"/>
      <c r="T497" s="416"/>
      <c r="U497" s="415"/>
      <c r="V497" s="415"/>
    </row>
    <row r="498" spans="1:22">
      <c r="A498" s="91"/>
      <c r="B498" s="254"/>
      <c r="C498" s="421"/>
      <c r="D498" s="421"/>
      <c r="E498" s="421"/>
      <c r="F498" s="421"/>
      <c r="G498" s="421"/>
      <c r="H498" s="421"/>
      <c r="I498" s="421"/>
      <c r="J498" s="421"/>
      <c r="K498" s="421"/>
      <c r="L498" s="421"/>
      <c r="M498" s="415"/>
      <c r="N498" s="415"/>
      <c r="O498" s="415"/>
      <c r="P498" s="415"/>
      <c r="Q498" s="416"/>
      <c r="R498" s="416"/>
      <c r="S498" s="416"/>
      <c r="T498" s="416"/>
      <c r="U498" s="415"/>
      <c r="V498" s="415"/>
    </row>
    <row r="499" spans="1:22">
      <c r="A499" s="91"/>
      <c r="B499" s="254"/>
      <c r="C499" s="421"/>
      <c r="D499" s="421"/>
      <c r="E499" s="421"/>
      <c r="F499" s="421"/>
      <c r="G499" s="421"/>
      <c r="H499" s="421"/>
      <c r="I499" s="421"/>
      <c r="J499" s="421"/>
      <c r="K499" s="421"/>
      <c r="L499" s="421"/>
      <c r="M499" s="415"/>
      <c r="N499" s="415"/>
      <c r="O499" s="415"/>
      <c r="P499" s="415"/>
      <c r="Q499" s="416"/>
      <c r="R499" s="416"/>
      <c r="S499" s="416"/>
      <c r="T499" s="416"/>
      <c r="U499" s="415"/>
      <c r="V499" s="415"/>
    </row>
    <row r="500" spans="1:22">
      <c r="A500" s="91"/>
      <c r="B500" s="254"/>
      <c r="C500" s="421"/>
      <c r="D500" s="421"/>
      <c r="E500" s="421"/>
      <c r="F500" s="421"/>
      <c r="G500" s="421"/>
      <c r="H500" s="421"/>
      <c r="I500" s="421"/>
      <c r="J500" s="421"/>
      <c r="K500" s="421"/>
      <c r="L500" s="421"/>
      <c r="M500" s="415"/>
      <c r="N500" s="415"/>
      <c r="O500" s="415"/>
      <c r="P500" s="415"/>
      <c r="Q500" s="416"/>
      <c r="R500" s="416"/>
      <c r="S500" s="416"/>
      <c r="T500" s="416"/>
      <c r="U500" s="415"/>
      <c r="V500" s="415"/>
    </row>
    <row r="501" spans="1:22">
      <c r="A501" s="91"/>
      <c r="B501" s="254"/>
      <c r="C501" s="421"/>
      <c r="D501" s="421"/>
      <c r="E501" s="421"/>
      <c r="F501" s="421"/>
      <c r="G501" s="421"/>
      <c r="H501" s="421"/>
      <c r="I501" s="421"/>
      <c r="J501" s="421"/>
      <c r="K501" s="421"/>
      <c r="L501" s="421"/>
      <c r="M501" s="415"/>
      <c r="N501" s="415"/>
      <c r="O501" s="415"/>
      <c r="P501" s="415"/>
      <c r="Q501" s="416"/>
      <c r="R501" s="416"/>
      <c r="S501" s="416"/>
      <c r="T501" s="416"/>
      <c r="U501" s="415"/>
      <c r="V501" s="415"/>
    </row>
    <row r="502" spans="1:22">
      <c r="A502" s="91"/>
      <c r="B502" s="254"/>
      <c r="C502" s="421"/>
      <c r="D502" s="421"/>
      <c r="E502" s="421"/>
      <c r="F502" s="421"/>
      <c r="G502" s="421"/>
      <c r="H502" s="421"/>
      <c r="I502" s="421"/>
      <c r="J502" s="421"/>
      <c r="K502" s="421"/>
      <c r="L502" s="421"/>
      <c r="M502" s="415"/>
      <c r="N502" s="415"/>
      <c r="O502" s="415"/>
      <c r="P502" s="415"/>
      <c r="Q502" s="416"/>
      <c r="R502" s="416"/>
      <c r="S502" s="416"/>
      <c r="T502" s="416"/>
      <c r="U502" s="415"/>
      <c r="V502" s="415"/>
    </row>
    <row r="503" spans="1:22">
      <c r="A503" s="91"/>
      <c r="B503" s="254"/>
      <c r="C503" s="421"/>
      <c r="D503" s="421"/>
      <c r="E503" s="421"/>
      <c r="F503" s="421"/>
      <c r="G503" s="421"/>
      <c r="H503" s="421"/>
      <c r="I503" s="421"/>
      <c r="J503" s="421"/>
      <c r="K503" s="421"/>
      <c r="L503" s="421"/>
      <c r="M503" s="415"/>
      <c r="N503" s="415"/>
      <c r="O503" s="415"/>
      <c r="P503" s="415"/>
      <c r="Q503" s="416"/>
      <c r="R503" s="416"/>
      <c r="S503" s="416"/>
      <c r="T503" s="416"/>
      <c r="U503" s="415"/>
      <c r="V503" s="415"/>
    </row>
    <row r="504" spans="1:22">
      <c r="A504" s="91"/>
      <c r="B504" s="254"/>
      <c r="C504" s="421"/>
      <c r="D504" s="421"/>
      <c r="E504" s="421"/>
      <c r="F504" s="421"/>
      <c r="G504" s="421"/>
      <c r="H504" s="421"/>
      <c r="I504" s="421"/>
      <c r="J504" s="421"/>
      <c r="K504" s="421"/>
      <c r="L504" s="421"/>
      <c r="M504" s="415"/>
      <c r="N504" s="415"/>
      <c r="O504" s="415"/>
      <c r="P504" s="415"/>
      <c r="Q504" s="416"/>
      <c r="R504" s="416"/>
      <c r="S504" s="416"/>
      <c r="T504" s="416"/>
      <c r="U504" s="415"/>
      <c r="V504" s="415"/>
    </row>
    <row r="505" spans="1:22">
      <c r="A505" s="91"/>
      <c r="B505" s="254"/>
      <c r="C505" s="421"/>
      <c r="D505" s="421"/>
      <c r="E505" s="421"/>
      <c r="F505" s="421"/>
      <c r="G505" s="421"/>
      <c r="H505" s="421"/>
      <c r="I505" s="421"/>
      <c r="J505" s="421"/>
      <c r="K505" s="421"/>
      <c r="L505" s="421"/>
      <c r="M505" s="415"/>
      <c r="N505" s="415"/>
      <c r="O505" s="415"/>
      <c r="P505" s="415"/>
      <c r="Q505" s="416"/>
      <c r="R505" s="416"/>
      <c r="S505" s="416"/>
      <c r="T505" s="416"/>
      <c r="U505" s="415"/>
      <c r="V505" s="415"/>
    </row>
    <row r="506" spans="1:22">
      <c r="A506" s="91"/>
      <c r="B506" s="254"/>
      <c r="C506" s="421"/>
      <c r="D506" s="421"/>
      <c r="E506" s="421"/>
      <c r="F506" s="421"/>
      <c r="G506" s="421"/>
      <c r="H506" s="421"/>
      <c r="I506" s="421"/>
      <c r="J506" s="421"/>
      <c r="K506" s="421"/>
      <c r="L506" s="421"/>
      <c r="M506" s="415"/>
      <c r="N506" s="415"/>
      <c r="O506" s="415"/>
      <c r="P506" s="415"/>
      <c r="Q506" s="416"/>
      <c r="R506" s="416"/>
      <c r="S506" s="416"/>
      <c r="T506" s="416"/>
      <c r="U506" s="415"/>
      <c r="V506" s="415"/>
    </row>
    <row r="507" spans="1:22">
      <c r="A507" s="91"/>
      <c r="B507" s="254"/>
      <c r="C507" s="421"/>
      <c r="D507" s="421"/>
      <c r="E507" s="421"/>
      <c r="F507" s="421"/>
      <c r="G507" s="421"/>
      <c r="H507" s="421"/>
      <c r="I507" s="421"/>
      <c r="J507" s="421"/>
      <c r="K507" s="421"/>
      <c r="L507" s="421"/>
      <c r="M507" s="415"/>
      <c r="N507" s="415"/>
      <c r="O507" s="415"/>
      <c r="P507" s="415"/>
      <c r="Q507" s="416"/>
      <c r="R507" s="416"/>
      <c r="S507" s="416"/>
      <c r="T507" s="416"/>
      <c r="U507" s="415"/>
      <c r="V507" s="415"/>
    </row>
    <row r="508" spans="1:22">
      <c r="A508" s="91"/>
      <c r="B508" s="254"/>
      <c r="C508" s="421"/>
      <c r="D508" s="421"/>
      <c r="E508" s="421"/>
      <c r="F508" s="421"/>
      <c r="G508" s="421"/>
      <c r="H508" s="421"/>
      <c r="I508" s="421"/>
      <c r="J508" s="421"/>
      <c r="K508" s="421"/>
      <c r="L508" s="421"/>
      <c r="M508" s="415"/>
      <c r="N508" s="415"/>
      <c r="O508" s="415"/>
      <c r="P508" s="415"/>
      <c r="Q508" s="416"/>
      <c r="R508" s="416"/>
      <c r="S508" s="416"/>
      <c r="T508" s="416"/>
      <c r="U508" s="415"/>
      <c r="V508" s="415"/>
    </row>
    <row r="509" spans="1:22">
      <c r="A509" s="91"/>
      <c r="B509" s="254"/>
      <c r="C509" s="421"/>
      <c r="D509" s="421"/>
      <c r="E509" s="421"/>
      <c r="F509" s="421"/>
      <c r="G509" s="421"/>
      <c r="H509" s="421"/>
      <c r="I509" s="421"/>
      <c r="J509" s="421"/>
      <c r="K509" s="421"/>
      <c r="L509" s="421"/>
      <c r="M509" s="415"/>
      <c r="N509" s="415"/>
      <c r="O509" s="448"/>
      <c r="P509" s="415"/>
      <c r="Q509" s="416"/>
      <c r="R509" s="416"/>
      <c r="S509" s="416"/>
      <c r="T509" s="416"/>
      <c r="U509" s="415"/>
      <c r="V509" s="415"/>
    </row>
    <row r="510" spans="1:22">
      <c r="A510" s="91"/>
      <c r="B510" s="254"/>
      <c r="C510" s="418"/>
      <c r="D510" s="419"/>
      <c r="E510" s="419"/>
      <c r="F510" s="419"/>
      <c r="G510" s="419"/>
      <c r="H510" s="419"/>
      <c r="I510" s="419"/>
      <c r="J510" s="419"/>
      <c r="K510" s="419"/>
      <c r="L510" s="420"/>
      <c r="M510" s="415"/>
      <c r="N510" s="415"/>
      <c r="O510" s="448"/>
      <c r="P510" s="415"/>
      <c r="Q510" s="416"/>
      <c r="R510" s="416"/>
      <c r="S510" s="416"/>
      <c r="T510" s="416"/>
      <c r="U510" s="415"/>
      <c r="V510" s="415"/>
    </row>
    <row r="511" spans="1:22">
      <c r="A511" s="91"/>
      <c r="B511" s="254"/>
      <c r="C511" s="421"/>
      <c r="D511" s="421"/>
      <c r="E511" s="421"/>
      <c r="F511" s="421"/>
      <c r="G511" s="421"/>
      <c r="H511" s="421"/>
      <c r="I511" s="421"/>
      <c r="J511" s="421"/>
      <c r="K511" s="421"/>
      <c r="L511" s="421"/>
      <c r="M511" s="415"/>
      <c r="N511" s="415"/>
      <c r="O511" s="415"/>
      <c r="P511" s="415"/>
      <c r="Q511" s="416"/>
      <c r="R511" s="416"/>
      <c r="S511" s="416"/>
      <c r="T511" s="416"/>
      <c r="U511" s="415"/>
      <c r="V511" s="415"/>
    </row>
    <row r="512" spans="1:22">
      <c r="A512" s="91"/>
      <c r="B512" s="254"/>
      <c r="C512" s="421"/>
      <c r="D512" s="421"/>
      <c r="E512" s="421"/>
      <c r="F512" s="421"/>
      <c r="G512" s="421"/>
      <c r="H512" s="421"/>
      <c r="I512" s="421"/>
      <c r="J512" s="421"/>
      <c r="K512" s="421"/>
      <c r="L512" s="421"/>
      <c r="M512" s="415"/>
      <c r="N512" s="415"/>
      <c r="O512" s="415"/>
      <c r="P512" s="415"/>
      <c r="Q512" s="416"/>
      <c r="R512" s="416"/>
      <c r="S512" s="416"/>
      <c r="T512" s="416"/>
      <c r="U512" s="415"/>
      <c r="V512" s="415"/>
    </row>
    <row r="513" spans="1:22">
      <c r="A513" s="91"/>
      <c r="B513" s="254"/>
      <c r="C513" s="421"/>
      <c r="D513" s="421"/>
      <c r="E513" s="421"/>
      <c r="F513" s="421"/>
      <c r="G513" s="421"/>
      <c r="H513" s="421"/>
      <c r="I513" s="421"/>
      <c r="J513" s="421"/>
      <c r="K513" s="421"/>
      <c r="L513" s="421"/>
      <c r="M513" s="415"/>
      <c r="N513" s="415"/>
      <c r="O513" s="415"/>
      <c r="P513" s="415"/>
      <c r="Q513" s="416"/>
      <c r="R513" s="416"/>
      <c r="S513" s="416"/>
      <c r="T513" s="416"/>
      <c r="U513" s="415"/>
      <c r="V513" s="415"/>
    </row>
    <row r="514" spans="1:22">
      <c r="A514" s="91"/>
      <c r="B514" s="254"/>
      <c r="C514" s="421"/>
      <c r="D514" s="421"/>
      <c r="E514" s="421"/>
      <c r="F514" s="421"/>
      <c r="G514" s="421"/>
      <c r="H514" s="421"/>
      <c r="I514" s="421"/>
      <c r="J514" s="421"/>
      <c r="K514" s="421"/>
      <c r="L514" s="421"/>
      <c r="M514" s="415"/>
      <c r="N514" s="415"/>
      <c r="O514" s="415"/>
      <c r="P514" s="415"/>
      <c r="Q514" s="416"/>
      <c r="R514" s="416"/>
      <c r="S514" s="416"/>
      <c r="T514" s="416"/>
      <c r="U514" s="415"/>
      <c r="V514" s="415"/>
    </row>
    <row r="515" spans="1:22">
      <c r="A515" s="91"/>
      <c r="B515" s="254"/>
      <c r="C515" s="421"/>
      <c r="D515" s="421"/>
      <c r="E515" s="421"/>
      <c r="F515" s="421"/>
      <c r="G515" s="421"/>
      <c r="H515" s="421"/>
      <c r="I515" s="421"/>
      <c r="J515" s="421"/>
      <c r="K515" s="421"/>
      <c r="L515" s="421"/>
      <c r="M515" s="415"/>
      <c r="N515" s="415"/>
      <c r="O515" s="415"/>
      <c r="P515" s="415"/>
      <c r="Q515" s="416"/>
      <c r="R515" s="416"/>
      <c r="S515" s="416"/>
      <c r="T515" s="416"/>
      <c r="U515" s="415"/>
      <c r="V515" s="415"/>
    </row>
    <row r="516" spans="1:22">
      <c r="A516" s="91"/>
      <c r="B516" s="254"/>
      <c r="C516" s="421"/>
      <c r="D516" s="421"/>
      <c r="E516" s="421"/>
      <c r="F516" s="421"/>
      <c r="G516" s="421"/>
      <c r="H516" s="421"/>
      <c r="I516" s="421"/>
      <c r="J516" s="421"/>
      <c r="K516" s="421"/>
      <c r="L516" s="421"/>
      <c r="M516" s="415"/>
      <c r="N516" s="415"/>
      <c r="O516" s="415"/>
      <c r="P516" s="415"/>
      <c r="Q516" s="416"/>
      <c r="R516" s="416"/>
      <c r="S516" s="416"/>
      <c r="T516" s="416"/>
      <c r="U516" s="415"/>
      <c r="V516" s="415"/>
    </row>
    <row r="517" spans="1:22">
      <c r="A517" s="91"/>
      <c r="B517" s="254"/>
      <c r="C517" s="421"/>
      <c r="D517" s="421"/>
      <c r="E517" s="421"/>
      <c r="F517" s="421"/>
      <c r="G517" s="421"/>
      <c r="H517" s="421"/>
      <c r="I517" s="421"/>
      <c r="J517" s="421"/>
      <c r="K517" s="421"/>
      <c r="L517" s="421"/>
      <c r="M517" s="415"/>
      <c r="N517" s="415"/>
      <c r="O517" s="415"/>
      <c r="P517" s="415"/>
      <c r="Q517" s="416"/>
      <c r="R517" s="416"/>
      <c r="S517" s="416"/>
      <c r="T517" s="416"/>
      <c r="U517" s="415"/>
      <c r="V517" s="415"/>
    </row>
    <row r="518" spans="1:22">
      <c r="A518" s="91"/>
      <c r="B518" s="254"/>
      <c r="C518" s="421"/>
      <c r="D518" s="421"/>
      <c r="E518" s="421"/>
      <c r="F518" s="421"/>
      <c r="G518" s="421"/>
      <c r="H518" s="421"/>
      <c r="I518" s="421"/>
      <c r="J518" s="421"/>
      <c r="K518" s="421"/>
      <c r="L518" s="421"/>
      <c r="M518" s="415"/>
      <c r="N518" s="415"/>
      <c r="O518" s="415"/>
      <c r="P518" s="415"/>
      <c r="Q518" s="416"/>
      <c r="R518" s="416"/>
      <c r="S518" s="416"/>
      <c r="T518" s="416"/>
      <c r="U518" s="415"/>
      <c r="V518" s="415"/>
    </row>
    <row r="519" spans="1:22">
      <c r="A519" s="91"/>
      <c r="B519" s="254"/>
      <c r="C519" s="421"/>
      <c r="D519" s="421"/>
      <c r="E519" s="421"/>
      <c r="F519" s="421"/>
      <c r="G519" s="421"/>
      <c r="H519" s="421"/>
      <c r="I519" s="421"/>
      <c r="J519" s="421"/>
      <c r="K519" s="421"/>
      <c r="L519" s="421"/>
      <c r="M519" s="415"/>
      <c r="N519" s="415"/>
      <c r="O519" s="415"/>
      <c r="P519" s="415"/>
      <c r="Q519" s="416"/>
      <c r="R519" s="416"/>
      <c r="S519" s="416"/>
      <c r="T519" s="416"/>
      <c r="U519" s="415"/>
      <c r="V519" s="415"/>
    </row>
    <row r="520" spans="1:22">
      <c r="A520" s="91"/>
      <c r="B520" s="254"/>
      <c r="C520" s="421"/>
      <c r="D520" s="421"/>
      <c r="E520" s="421"/>
      <c r="F520" s="421"/>
      <c r="G520" s="421"/>
      <c r="H520" s="421"/>
      <c r="I520" s="421"/>
      <c r="J520" s="421"/>
      <c r="K520" s="421"/>
      <c r="L520" s="421"/>
      <c r="M520" s="415"/>
      <c r="N520" s="415"/>
      <c r="O520" s="415"/>
      <c r="P520" s="415"/>
      <c r="Q520" s="416"/>
      <c r="R520" s="416"/>
      <c r="S520" s="416"/>
      <c r="T520" s="416"/>
      <c r="U520" s="415"/>
      <c r="V520" s="415"/>
    </row>
    <row r="521" spans="1:22">
      <c r="A521" s="91"/>
      <c r="B521" s="254"/>
      <c r="C521" s="421"/>
      <c r="D521" s="421"/>
      <c r="E521" s="421"/>
      <c r="F521" s="421"/>
      <c r="G521" s="421"/>
      <c r="H521" s="421"/>
      <c r="I521" s="421"/>
      <c r="J521" s="421"/>
      <c r="K521" s="421"/>
      <c r="L521" s="421"/>
      <c r="M521" s="415"/>
      <c r="N521" s="415"/>
      <c r="O521" s="415"/>
      <c r="P521" s="415"/>
      <c r="Q521" s="416"/>
      <c r="R521" s="416"/>
      <c r="S521" s="416"/>
      <c r="T521" s="416"/>
      <c r="U521" s="415"/>
      <c r="V521" s="415"/>
    </row>
    <row r="522" spans="1:22">
      <c r="A522" s="91"/>
      <c r="B522" s="254"/>
      <c r="C522" s="421"/>
      <c r="D522" s="421"/>
      <c r="E522" s="421"/>
      <c r="F522" s="421"/>
      <c r="G522" s="421"/>
      <c r="H522" s="421"/>
      <c r="I522" s="421"/>
      <c r="J522" s="421"/>
      <c r="K522" s="421"/>
      <c r="L522" s="421"/>
      <c r="M522" s="415"/>
      <c r="N522" s="415"/>
      <c r="O522" s="415"/>
      <c r="P522" s="415"/>
      <c r="Q522" s="416"/>
      <c r="R522" s="416"/>
      <c r="S522" s="416"/>
      <c r="T522" s="416"/>
      <c r="U522" s="415"/>
      <c r="V522" s="415"/>
    </row>
    <row r="523" spans="1:22">
      <c r="A523" s="91"/>
      <c r="B523" s="254"/>
      <c r="C523" s="421"/>
      <c r="D523" s="421"/>
      <c r="E523" s="421"/>
      <c r="F523" s="421"/>
      <c r="G523" s="421"/>
      <c r="H523" s="421"/>
      <c r="I523" s="421"/>
      <c r="J523" s="421"/>
      <c r="K523" s="421"/>
      <c r="L523" s="421"/>
      <c r="M523" s="415"/>
      <c r="N523" s="415"/>
      <c r="O523" s="415"/>
      <c r="P523" s="415"/>
      <c r="Q523" s="416"/>
      <c r="R523" s="416"/>
      <c r="S523" s="416"/>
      <c r="T523" s="416"/>
      <c r="U523" s="415"/>
      <c r="V523" s="415"/>
    </row>
    <row r="524" spans="1:22">
      <c r="A524" s="91"/>
      <c r="B524" s="254"/>
      <c r="C524" s="421"/>
      <c r="D524" s="421"/>
      <c r="E524" s="421"/>
      <c r="F524" s="421"/>
      <c r="G524" s="421"/>
      <c r="H524" s="421"/>
      <c r="I524" s="421"/>
      <c r="J524" s="421"/>
      <c r="K524" s="421"/>
      <c r="L524" s="421"/>
      <c r="M524" s="415"/>
      <c r="N524" s="415"/>
      <c r="O524" s="415"/>
      <c r="P524" s="415"/>
      <c r="Q524" s="416"/>
      <c r="R524" s="416"/>
      <c r="S524" s="416"/>
      <c r="T524" s="416"/>
      <c r="U524" s="415"/>
      <c r="V524" s="415"/>
    </row>
    <row r="525" spans="1:22">
      <c r="A525" s="91"/>
      <c r="B525" s="254"/>
      <c r="C525" s="421"/>
      <c r="D525" s="421"/>
      <c r="E525" s="421"/>
      <c r="F525" s="421"/>
      <c r="G525" s="421"/>
      <c r="H525" s="421"/>
      <c r="I525" s="421"/>
      <c r="J525" s="421"/>
      <c r="K525" s="421"/>
      <c r="L525" s="421"/>
      <c r="M525" s="415"/>
      <c r="N525" s="415"/>
      <c r="O525" s="415"/>
      <c r="P525" s="415"/>
      <c r="Q525" s="416"/>
      <c r="R525" s="416"/>
      <c r="S525" s="416"/>
      <c r="T525" s="416"/>
      <c r="U525" s="415"/>
      <c r="V525" s="415"/>
    </row>
    <row r="526" spans="1:22">
      <c r="A526" s="91"/>
      <c r="B526" s="254"/>
      <c r="C526" s="421"/>
      <c r="D526" s="421"/>
      <c r="E526" s="421"/>
      <c r="F526" s="421"/>
      <c r="G526" s="421"/>
      <c r="H526" s="421"/>
      <c r="I526" s="421"/>
      <c r="J526" s="421"/>
      <c r="K526" s="421"/>
      <c r="L526" s="421"/>
      <c r="M526" s="415"/>
      <c r="N526" s="415"/>
      <c r="O526" s="415"/>
      <c r="P526" s="415"/>
      <c r="Q526" s="416"/>
      <c r="R526" s="416"/>
      <c r="S526" s="416"/>
      <c r="T526" s="416"/>
      <c r="U526" s="415"/>
      <c r="V526" s="415"/>
    </row>
    <row r="527" spans="1:22">
      <c r="A527" s="91"/>
      <c r="B527" s="254"/>
      <c r="C527" s="421"/>
      <c r="D527" s="421"/>
      <c r="E527" s="421"/>
      <c r="F527" s="421"/>
      <c r="G527" s="421"/>
      <c r="H527" s="421"/>
      <c r="I527" s="421"/>
      <c r="J527" s="421"/>
      <c r="K527" s="421"/>
      <c r="L527" s="421"/>
      <c r="M527" s="415"/>
      <c r="N527" s="415"/>
      <c r="O527" s="415"/>
      <c r="P527" s="415"/>
      <c r="Q527" s="416"/>
      <c r="R527" s="416"/>
      <c r="S527" s="416"/>
      <c r="T527" s="416"/>
      <c r="U527" s="415"/>
      <c r="V527" s="415"/>
    </row>
    <row r="528" spans="1:22">
      <c r="A528" s="91"/>
      <c r="B528" s="254"/>
      <c r="C528" s="421"/>
      <c r="D528" s="421"/>
      <c r="E528" s="421"/>
      <c r="F528" s="421"/>
      <c r="G528" s="421"/>
      <c r="H528" s="421"/>
      <c r="I528" s="421"/>
      <c r="J528" s="421"/>
      <c r="K528" s="421"/>
      <c r="L528" s="421"/>
      <c r="M528" s="415"/>
      <c r="N528" s="415"/>
      <c r="O528" s="415"/>
      <c r="P528" s="415"/>
      <c r="Q528" s="416"/>
      <c r="R528" s="416"/>
      <c r="S528" s="416"/>
      <c r="T528" s="416"/>
      <c r="U528" s="415"/>
      <c r="V528" s="415"/>
    </row>
    <row r="529" spans="1:22">
      <c r="A529" s="91"/>
      <c r="B529" s="254"/>
      <c r="C529" s="421"/>
      <c r="D529" s="421"/>
      <c r="E529" s="421"/>
      <c r="F529" s="421"/>
      <c r="G529" s="421"/>
      <c r="H529" s="421"/>
      <c r="I529" s="421"/>
      <c r="J529" s="421"/>
      <c r="K529" s="421"/>
      <c r="L529" s="421"/>
      <c r="M529" s="415"/>
      <c r="N529" s="415"/>
      <c r="O529" s="415"/>
      <c r="P529" s="415"/>
      <c r="Q529" s="416"/>
      <c r="R529" s="416"/>
      <c r="S529" s="416"/>
      <c r="T529" s="416"/>
      <c r="U529" s="415"/>
      <c r="V529" s="415"/>
    </row>
    <row r="530" spans="1:22">
      <c r="A530" s="91"/>
      <c r="B530" s="254"/>
      <c r="C530" s="421"/>
      <c r="D530" s="421"/>
      <c r="E530" s="421"/>
      <c r="F530" s="421"/>
      <c r="G530" s="421"/>
      <c r="H530" s="421"/>
      <c r="I530" s="421"/>
      <c r="J530" s="421"/>
      <c r="K530" s="421"/>
      <c r="L530" s="421"/>
      <c r="M530" s="415"/>
      <c r="N530" s="415"/>
      <c r="O530" s="415"/>
      <c r="P530" s="415"/>
      <c r="Q530" s="416"/>
      <c r="R530" s="416"/>
      <c r="S530" s="416"/>
      <c r="T530" s="416"/>
      <c r="U530" s="415"/>
      <c r="V530" s="415"/>
    </row>
    <row r="531" spans="1:22">
      <c r="A531" s="91"/>
      <c r="B531" s="254"/>
      <c r="C531" s="418"/>
      <c r="D531" s="419"/>
      <c r="E531" s="419"/>
      <c r="F531" s="419"/>
      <c r="G531" s="419"/>
      <c r="H531" s="419"/>
      <c r="I531" s="419"/>
      <c r="J531" s="419"/>
      <c r="K531" s="419"/>
      <c r="L531" s="420"/>
      <c r="M531" s="449"/>
      <c r="N531" s="450"/>
      <c r="O531" s="449"/>
      <c r="P531" s="450"/>
      <c r="Q531" s="413"/>
      <c r="R531" s="414"/>
      <c r="S531" s="413"/>
      <c r="T531" s="414"/>
      <c r="U531" s="449"/>
      <c r="V531" s="450"/>
    </row>
    <row r="532" spans="1:22">
      <c r="A532" s="91"/>
      <c r="B532" s="254"/>
      <c r="C532" s="418"/>
      <c r="D532" s="419"/>
      <c r="E532" s="419"/>
      <c r="F532" s="419"/>
      <c r="G532" s="419"/>
      <c r="H532" s="419"/>
      <c r="I532" s="419"/>
      <c r="J532" s="419"/>
      <c r="K532" s="419"/>
      <c r="L532" s="420"/>
      <c r="M532" s="449"/>
      <c r="N532" s="450"/>
      <c r="O532" s="449"/>
      <c r="P532" s="450"/>
      <c r="Q532" s="413"/>
      <c r="R532" s="414"/>
      <c r="S532" s="413"/>
      <c r="T532" s="414"/>
      <c r="U532" s="449"/>
      <c r="V532" s="450"/>
    </row>
    <row r="533" spans="1:22">
      <c r="A533" s="91"/>
      <c r="B533" s="254"/>
      <c r="C533" s="418"/>
      <c r="D533" s="419"/>
      <c r="E533" s="419"/>
      <c r="F533" s="419"/>
      <c r="G533" s="419"/>
      <c r="H533" s="419"/>
      <c r="I533" s="419"/>
      <c r="J533" s="419"/>
      <c r="K533" s="419"/>
      <c r="L533" s="420"/>
      <c r="M533" s="449"/>
      <c r="N533" s="450"/>
      <c r="O533" s="449"/>
      <c r="P533" s="450"/>
      <c r="Q533" s="413"/>
      <c r="R533" s="414"/>
      <c r="S533" s="413"/>
      <c r="T533" s="414"/>
      <c r="U533" s="449"/>
      <c r="V533" s="450"/>
    </row>
    <row r="534" spans="1:22">
      <c r="A534" s="91"/>
      <c r="B534" s="254"/>
      <c r="C534" s="421"/>
      <c r="D534" s="421"/>
      <c r="E534" s="421"/>
      <c r="F534" s="421"/>
      <c r="G534" s="421"/>
      <c r="H534" s="421"/>
      <c r="I534" s="421"/>
      <c r="J534" s="421"/>
      <c r="K534" s="421"/>
      <c r="L534" s="421"/>
      <c r="M534" s="415"/>
      <c r="N534" s="415"/>
      <c r="O534" s="415"/>
      <c r="P534" s="415"/>
      <c r="Q534" s="416"/>
      <c r="R534" s="416"/>
      <c r="S534" s="416"/>
      <c r="T534" s="416"/>
      <c r="U534" s="415"/>
      <c r="V534" s="415"/>
    </row>
    <row r="535" spans="1:22">
      <c r="A535" s="91"/>
      <c r="B535" s="255"/>
      <c r="C535" s="421"/>
      <c r="D535" s="421"/>
      <c r="E535" s="421"/>
      <c r="F535" s="421"/>
      <c r="G535" s="421"/>
      <c r="H535" s="421"/>
      <c r="I535" s="421"/>
      <c r="J535" s="421"/>
      <c r="K535" s="421"/>
      <c r="L535" s="421"/>
      <c r="M535" s="415"/>
      <c r="N535" s="415"/>
      <c r="O535" s="415"/>
      <c r="P535" s="415"/>
      <c r="Q535" s="416"/>
      <c r="R535" s="416"/>
      <c r="S535" s="416"/>
      <c r="T535" s="416"/>
      <c r="U535" s="415"/>
      <c r="V535" s="415"/>
    </row>
    <row r="536" spans="1:22">
      <c r="A536" s="91"/>
      <c r="B536" s="255"/>
      <c r="C536" s="421"/>
      <c r="D536" s="421"/>
      <c r="E536" s="421"/>
      <c r="F536" s="421"/>
      <c r="G536" s="421"/>
      <c r="H536" s="421"/>
      <c r="I536" s="421"/>
      <c r="J536" s="421"/>
      <c r="K536" s="421"/>
      <c r="L536" s="421"/>
      <c r="M536" s="415"/>
      <c r="N536" s="415"/>
      <c r="O536" s="415"/>
      <c r="P536" s="415"/>
      <c r="Q536" s="416"/>
      <c r="R536" s="416"/>
      <c r="S536" s="416"/>
      <c r="T536" s="416"/>
      <c r="U536" s="415"/>
      <c r="V536" s="415"/>
    </row>
    <row r="537" spans="1:22">
      <c r="A537" s="91"/>
      <c r="B537" s="255"/>
      <c r="C537" s="421"/>
      <c r="D537" s="421"/>
      <c r="E537" s="421"/>
      <c r="F537" s="421"/>
      <c r="G537" s="421"/>
      <c r="H537" s="421"/>
      <c r="I537" s="421"/>
      <c r="J537" s="421"/>
      <c r="K537" s="421"/>
      <c r="L537" s="421"/>
      <c r="M537" s="415"/>
      <c r="N537" s="415"/>
      <c r="O537" s="415"/>
      <c r="P537" s="415"/>
      <c r="Q537" s="416"/>
      <c r="R537" s="416"/>
      <c r="S537" s="416"/>
      <c r="T537" s="416"/>
      <c r="U537" s="415"/>
      <c r="V537" s="415"/>
    </row>
    <row r="538" spans="1:22">
      <c r="A538" s="91"/>
      <c r="B538" s="255"/>
      <c r="C538" s="421"/>
      <c r="D538" s="421"/>
      <c r="E538" s="421"/>
      <c r="F538" s="421"/>
      <c r="G538" s="421"/>
      <c r="H538" s="421"/>
      <c r="I538" s="421"/>
      <c r="J538" s="421"/>
      <c r="K538" s="421"/>
      <c r="L538" s="421"/>
      <c r="M538" s="415"/>
      <c r="N538" s="415"/>
      <c r="O538" s="415"/>
      <c r="P538" s="415"/>
      <c r="Q538" s="416"/>
      <c r="R538" s="416"/>
      <c r="S538" s="416"/>
      <c r="T538" s="416"/>
      <c r="U538" s="415"/>
      <c r="V538" s="415"/>
    </row>
    <row r="539" spans="1:22">
      <c r="A539" s="91"/>
      <c r="B539" s="255"/>
      <c r="C539" s="421"/>
      <c r="D539" s="421"/>
      <c r="E539" s="421"/>
      <c r="F539" s="421"/>
      <c r="G539" s="421"/>
      <c r="H539" s="421"/>
      <c r="I539" s="421"/>
      <c r="J539" s="421"/>
      <c r="K539" s="421"/>
      <c r="L539" s="421"/>
      <c r="M539" s="415"/>
      <c r="N539" s="415"/>
      <c r="O539" s="415"/>
      <c r="P539" s="415"/>
      <c r="Q539" s="416"/>
      <c r="R539" s="416"/>
      <c r="S539" s="416"/>
      <c r="T539" s="416"/>
      <c r="U539" s="415"/>
      <c r="V539" s="415"/>
    </row>
    <row r="540" spans="1:22">
      <c r="A540" s="91"/>
      <c r="B540" s="255"/>
      <c r="C540" s="421"/>
      <c r="D540" s="421"/>
      <c r="E540" s="421"/>
      <c r="F540" s="421"/>
      <c r="G540" s="421"/>
      <c r="H540" s="421"/>
      <c r="I540" s="421"/>
      <c r="J540" s="421"/>
      <c r="K540" s="421"/>
      <c r="L540" s="421"/>
      <c r="M540" s="415"/>
      <c r="N540" s="415"/>
      <c r="O540" s="415"/>
      <c r="P540" s="415"/>
      <c r="Q540" s="416"/>
      <c r="R540" s="416"/>
      <c r="S540" s="416"/>
      <c r="T540" s="416"/>
      <c r="U540" s="415"/>
      <c r="V540" s="415"/>
    </row>
    <row r="541" spans="1:22">
      <c r="A541" s="91"/>
      <c r="B541" s="255"/>
      <c r="C541" s="421"/>
      <c r="D541" s="421"/>
      <c r="E541" s="421"/>
      <c r="F541" s="421"/>
      <c r="G541" s="421"/>
      <c r="H541" s="421"/>
      <c r="I541" s="421"/>
      <c r="J541" s="421"/>
      <c r="K541" s="421"/>
      <c r="L541" s="421"/>
      <c r="M541" s="415"/>
      <c r="N541" s="415"/>
      <c r="O541" s="415"/>
      <c r="P541" s="415"/>
      <c r="Q541" s="416"/>
      <c r="R541" s="416"/>
      <c r="S541" s="416"/>
      <c r="T541" s="416"/>
      <c r="U541" s="415"/>
      <c r="V541" s="415"/>
    </row>
    <row r="542" spans="1:22">
      <c r="A542" s="91"/>
      <c r="B542" s="255"/>
      <c r="C542" s="421"/>
      <c r="D542" s="421"/>
      <c r="E542" s="421"/>
      <c r="F542" s="421"/>
      <c r="G542" s="421"/>
      <c r="H542" s="421"/>
      <c r="I542" s="421"/>
      <c r="J542" s="421"/>
      <c r="K542" s="421"/>
      <c r="L542" s="421"/>
      <c r="M542" s="415"/>
      <c r="N542" s="415"/>
      <c r="O542" s="415"/>
      <c r="P542" s="415"/>
      <c r="Q542" s="416"/>
      <c r="R542" s="416"/>
      <c r="S542" s="416"/>
      <c r="T542" s="416"/>
      <c r="U542" s="415"/>
      <c r="V542" s="415"/>
    </row>
    <row r="543" spans="1:22">
      <c r="A543" s="91"/>
      <c r="B543" s="255"/>
      <c r="C543" s="421"/>
      <c r="D543" s="421"/>
      <c r="E543" s="421"/>
      <c r="F543" s="421"/>
      <c r="G543" s="421"/>
      <c r="H543" s="421"/>
      <c r="I543" s="421"/>
      <c r="J543" s="421"/>
      <c r="K543" s="421"/>
      <c r="L543" s="421"/>
      <c r="M543" s="415"/>
      <c r="N543" s="415"/>
      <c r="O543" s="415"/>
      <c r="P543" s="415"/>
      <c r="Q543" s="416"/>
      <c r="R543" s="416"/>
      <c r="S543" s="416"/>
      <c r="T543" s="416"/>
      <c r="U543" s="415"/>
      <c r="V543" s="415"/>
    </row>
    <row r="544" spans="1:22">
      <c r="A544" s="91"/>
      <c r="B544" s="255"/>
      <c r="C544" s="421"/>
      <c r="D544" s="421"/>
      <c r="E544" s="421"/>
      <c r="F544" s="421"/>
      <c r="G544" s="421"/>
      <c r="H544" s="421"/>
      <c r="I544" s="421"/>
      <c r="J544" s="421"/>
      <c r="K544" s="421"/>
      <c r="L544" s="421"/>
      <c r="M544" s="415"/>
      <c r="N544" s="415"/>
      <c r="O544" s="415"/>
      <c r="P544" s="415"/>
      <c r="Q544" s="416"/>
      <c r="R544" s="416"/>
      <c r="S544" s="416"/>
      <c r="T544" s="416"/>
      <c r="U544" s="415"/>
      <c r="V544" s="415"/>
    </row>
    <row r="545" spans="1:22">
      <c r="A545" s="91"/>
      <c r="B545" s="255"/>
      <c r="C545" s="421"/>
      <c r="D545" s="421"/>
      <c r="E545" s="421"/>
      <c r="F545" s="421"/>
      <c r="G545" s="421"/>
      <c r="H545" s="421"/>
      <c r="I545" s="421"/>
      <c r="J545" s="421"/>
      <c r="K545" s="421"/>
      <c r="L545" s="421"/>
      <c r="M545" s="415"/>
      <c r="N545" s="415"/>
      <c r="O545" s="415"/>
      <c r="P545" s="415"/>
      <c r="Q545" s="416"/>
      <c r="R545" s="416"/>
      <c r="S545" s="416"/>
      <c r="T545" s="416"/>
      <c r="U545" s="415"/>
      <c r="V545" s="415"/>
    </row>
    <row r="546" spans="1:22">
      <c r="A546" s="91"/>
      <c r="B546" s="255"/>
      <c r="C546" s="421"/>
      <c r="D546" s="421"/>
      <c r="E546" s="421"/>
      <c r="F546" s="421"/>
      <c r="G546" s="421"/>
      <c r="H546" s="421"/>
      <c r="I546" s="421"/>
      <c r="J546" s="421"/>
      <c r="K546" s="421"/>
      <c r="L546" s="421"/>
      <c r="M546" s="415"/>
      <c r="N546" s="415"/>
      <c r="O546" s="415"/>
      <c r="P546" s="415"/>
      <c r="Q546" s="416"/>
      <c r="R546" s="416"/>
      <c r="S546" s="416"/>
      <c r="T546" s="416"/>
      <c r="U546" s="415"/>
      <c r="V546" s="415"/>
    </row>
    <row r="547" spans="1:22">
      <c r="A547" s="91"/>
      <c r="B547" s="255"/>
      <c r="C547" s="421"/>
      <c r="D547" s="421"/>
      <c r="E547" s="421"/>
      <c r="F547" s="421"/>
      <c r="G547" s="421"/>
      <c r="H547" s="421"/>
      <c r="I547" s="421"/>
      <c r="J547" s="421"/>
      <c r="K547" s="421"/>
      <c r="L547" s="421"/>
      <c r="M547" s="415"/>
      <c r="N547" s="415"/>
      <c r="O547" s="415"/>
      <c r="P547" s="415"/>
      <c r="Q547" s="416"/>
      <c r="R547" s="416"/>
      <c r="S547" s="416"/>
      <c r="T547" s="416"/>
      <c r="U547" s="415"/>
      <c r="V547" s="415"/>
    </row>
    <row r="548" spans="1:22">
      <c r="A548" s="91"/>
      <c r="B548" s="255"/>
      <c r="C548" s="421"/>
      <c r="D548" s="421"/>
      <c r="E548" s="421"/>
      <c r="F548" s="421"/>
      <c r="G548" s="421"/>
      <c r="H548" s="421"/>
      <c r="I548" s="421"/>
      <c r="J548" s="421"/>
      <c r="K548" s="421"/>
      <c r="L548" s="421"/>
      <c r="M548" s="415"/>
      <c r="N548" s="415"/>
      <c r="O548" s="415"/>
      <c r="P548" s="415"/>
      <c r="Q548" s="416"/>
      <c r="R548" s="416"/>
      <c r="S548" s="416"/>
      <c r="T548" s="416"/>
      <c r="U548" s="415"/>
      <c r="V548" s="415"/>
    </row>
    <row r="549" spans="1:22">
      <c r="A549" s="91"/>
      <c r="B549" s="255"/>
      <c r="C549" s="421"/>
      <c r="D549" s="421"/>
      <c r="E549" s="421"/>
      <c r="F549" s="421"/>
      <c r="G549" s="421"/>
      <c r="H549" s="421"/>
      <c r="I549" s="421"/>
      <c r="J549" s="421"/>
      <c r="K549" s="421"/>
      <c r="L549" s="421"/>
      <c r="M549" s="415"/>
      <c r="N549" s="415"/>
      <c r="O549" s="415"/>
      <c r="P549" s="415"/>
      <c r="Q549" s="416"/>
      <c r="R549" s="416"/>
      <c r="S549" s="416"/>
      <c r="T549" s="416"/>
      <c r="U549" s="415"/>
      <c r="V549" s="415"/>
    </row>
    <row r="550" spans="1:22">
      <c r="A550" s="91"/>
      <c r="B550" s="255"/>
      <c r="C550" s="421"/>
      <c r="D550" s="421"/>
      <c r="E550" s="421"/>
      <c r="F550" s="421"/>
      <c r="G550" s="421"/>
      <c r="H550" s="421"/>
      <c r="I550" s="421"/>
      <c r="J550" s="421"/>
      <c r="K550" s="421"/>
      <c r="L550" s="421"/>
      <c r="M550" s="415"/>
      <c r="N550" s="415"/>
      <c r="O550" s="415"/>
      <c r="P550" s="415"/>
      <c r="Q550" s="416"/>
      <c r="R550" s="416"/>
      <c r="S550" s="416"/>
      <c r="T550" s="416"/>
      <c r="U550" s="415"/>
      <c r="V550" s="415"/>
    </row>
    <row r="551" spans="1:22">
      <c r="A551" s="91"/>
      <c r="B551" s="255"/>
      <c r="C551" s="421"/>
      <c r="D551" s="421"/>
      <c r="E551" s="421"/>
      <c r="F551" s="421"/>
      <c r="G551" s="421"/>
      <c r="H551" s="421"/>
      <c r="I551" s="421"/>
      <c r="J551" s="421"/>
      <c r="K551" s="421"/>
      <c r="L551" s="421"/>
      <c r="M551" s="415"/>
      <c r="N551" s="415"/>
      <c r="O551" s="415"/>
      <c r="P551" s="415"/>
      <c r="Q551" s="416"/>
      <c r="R551" s="416"/>
      <c r="S551" s="416"/>
      <c r="T551" s="416"/>
      <c r="U551" s="415"/>
      <c r="V551" s="415"/>
    </row>
    <row r="552" spans="1:22">
      <c r="A552" s="91"/>
      <c r="B552" s="255"/>
      <c r="C552" s="421"/>
      <c r="D552" s="421"/>
      <c r="E552" s="421"/>
      <c r="F552" s="421"/>
      <c r="G552" s="421"/>
      <c r="H552" s="421"/>
      <c r="I552" s="421"/>
      <c r="J552" s="421"/>
      <c r="K552" s="421"/>
      <c r="L552" s="421"/>
      <c r="M552" s="415"/>
      <c r="N552" s="415"/>
      <c r="O552" s="415"/>
      <c r="P552" s="415"/>
      <c r="Q552" s="416"/>
      <c r="R552" s="416"/>
      <c r="S552" s="416"/>
      <c r="T552" s="416"/>
      <c r="U552" s="415"/>
      <c r="V552" s="415"/>
    </row>
    <row r="553" spans="1:22">
      <c r="A553" s="91"/>
      <c r="B553" s="255"/>
      <c r="C553" s="421"/>
      <c r="D553" s="421"/>
      <c r="E553" s="421"/>
      <c r="F553" s="421"/>
      <c r="G553" s="421"/>
      <c r="H553" s="421"/>
      <c r="I553" s="421"/>
      <c r="J553" s="421"/>
      <c r="K553" s="421"/>
      <c r="L553" s="421"/>
      <c r="M553" s="415"/>
      <c r="N553" s="415"/>
      <c r="O553" s="415"/>
      <c r="P553" s="415"/>
      <c r="Q553" s="416"/>
      <c r="R553" s="416"/>
      <c r="S553" s="416"/>
      <c r="T553" s="416"/>
      <c r="U553" s="415"/>
      <c r="V553" s="415"/>
    </row>
    <row r="554" spans="1:22">
      <c r="A554" s="91"/>
      <c r="B554" s="255"/>
      <c r="C554" s="421"/>
      <c r="D554" s="421"/>
      <c r="E554" s="421"/>
      <c r="F554" s="421"/>
      <c r="G554" s="421"/>
      <c r="H554" s="421"/>
      <c r="I554" s="421"/>
      <c r="J554" s="421"/>
      <c r="K554" s="421"/>
      <c r="L554" s="421"/>
      <c r="M554" s="415"/>
      <c r="N554" s="415"/>
      <c r="O554" s="415"/>
      <c r="P554" s="415"/>
      <c r="Q554" s="416"/>
      <c r="R554" s="416"/>
      <c r="S554" s="416"/>
      <c r="T554" s="416"/>
      <c r="U554" s="415"/>
      <c r="V554" s="415"/>
    </row>
    <row r="555" spans="1:22">
      <c r="A555" s="91"/>
      <c r="B555" s="255"/>
      <c r="C555" s="421"/>
      <c r="D555" s="421"/>
      <c r="E555" s="421"/>
      <c r="F555" s="421"/>
      <c r="G555" s="421"/>
      <c r="H555" s="421"/>
      <c r="I555" s="421"/>
      <c r="J555" s="421"/>
      <c r="K555" s="421"/>
      <c r="L555" s="421"/>
      <c r="M555" s="415"/>
      <c r="N555" s="415"/>
      <c r="O555" s="415"/>
      <c r="P555" s="415"/>
      <c r="Q555" s="416"/>
      <c r="R555" s="416"/>
      <c r="S555" s="416"/>
      <c r="T555" s="416"/>
      <c r="U555" s="415"/>
      <c r="V555" s="415"/>
    </row>
    <row r="556" spans="1:22">
      <c r="A556" s="91"/>
      <c r="B556" s="255"/>
      <c r="C556" s="421"/>
      <c r="D556" s="421"/>
      <c r="E556" s="421"/>
      <c r="F556" s="421"/>
      <c r="G556" s="421"/>
      <c r="H556" s="421"/>
      <c r="I556" s="421"/>
      <c r="J556" s="421"/>
      <c r="K556" s="421"/>
      <c r="L556" s="421"/>
      <c r="M556" s="415"/>
      <c r="N556" s="415"/>
      <c r="O556" s="415"/>
      <c r="P556" s="415"/>
      <c r="Q556" s="416"/>
      <c r="R556" s="416"/>
      <c r="S556" s="416"/>
      <c r="T556" s="416"/>
      <c r="U556" s="415"/>
      <c r="V556" s="415"/>
    </row>
    <row r="557" spans="1:22">
      <c r="A557" s="91"/>
      <c r="B557" s="255"/>
      <c r="C557" s="421"/>
      <c r="D557" s="421"/>
      <c r="E557" s="421"/>
      <c r="F557" s="421"/>
      <c r="G557" s="421"/>
      <c r="H557" s="421"/>
      <c r="I557" s="421"/>
      <c r="J557" s="421"/>
      <c r="K557" s="421"/>
      <c r="L557" s="421"/>
      <c r="M557" s="415"/>
      <c r="N557" s="415"/>
      <c r="O557" s="415"/>
      <c r="P557" s="415"/>
      <c r="Q557" s="416"/>
      <c r="R557" s="416"/>
      <c r="S557" s="416"/>
      <c r="T557" s="416"/>
      <c r="U557" s="415"/>
      <c r="V557" s="415"/>
    </row>
    <row r="558" spans="1:22">
      <c r="A558" s="91"/>
      <c r="B558" s="255"/>
      <c r="C558" s="421"/>
      <c r="D558" s="421"/>
      <c r="E558" s="421"/>
      <c r="F558" s="421"/>
      <c r="G558" s="421"/>
      <c r="H558" s="421"/>
      <c r="I558" s="421"/>
      <c r="J558" s="421"/>
      <c r="K558" s="421"/>
      <c r="L558" s="421"/>
      <c r="M558" s="415"/>
      <c r="N558" s="415"/>
      <c r="O558" s="415"/>
      <c r="P558" s="415"/>
      <c r="Q558" s="416"/>
      <c r="R558" s="416"/>
      <c r="S558" s="416"/>
      <c r="T558" s="416"/>
      <c r="U558" s="415"/>
      <c r="V558" s="415"/>
    </row>
    <row r="559" spans="1:22">
      <c r="A559" s="91"/>
      <c r="B559" s="255"/>
      <c r="C559" s="421"/>
      <c r="D559" s="421"/>
      <c r="E559" s="421"/>
      <c r="F559" s="421"/>
      <c r="G559" s="421"/>
      <c r="H559" s="421"/>
      <c r="I559" s="421"/>
      <c r="J559" s="421"/>
      <c r="K559" s="421"/>
      <c r="L559" s="421"/>
      <c r="M559" s="415"/>
      <c r="N559" s="415"/>
      <c r="O559" s="415"/>
      <c r="P559" s="415"/>
      <c r="Q559" s="416"/>
      <c r="R559" s="416"/>
      <c r="S559" s="416"/>
      <c r="T559" s="416"/>
      <c r="U559" s="415"/>
      <c r="V559" s="415"/>
    </row>
    <row r="560" spans="1:22">
      <c r="A560" s="91"/>
      <c r="B560" s="255"/>
      <c r="C560" s="421"/>
      <c r="D560" s="421"/>
      <c r="E560" s="421"/>
      <c r="F560" s="421"/>
      <c r="G560" s="421"/>
      <c r="H560" s="421"/>
      <c r="I560" s="421"/>
      <c r="J560" s="421"/>
      <c r="K560" s="421"/>
      <c r="L560" s="421"/>
      <c r="M560" s="415"/>
      <c r="N560" s="415"/>
      <c r="O560" s="415"/>
      <c r="P560" s="415"/>
      <c r="Q560" s="416"/>
      <c r="R560" s="416"/>
      <c r="S560" s="416"/>
      <c r="T560" s="416"/>
      <c r="U560" s="415"/>
      <c r="V560" s="415"/>
    </row>
    <row r="561" spans="1:22">
      <c r="A561" s="91"/>
      <c r="B561" s="255"/>
      <c r="C561" s="421"/>
      <c r="D561" s="421"/>
      <c r="E561" s="421"/>
      <c r="F561" s="421"/>
      <c r="G561" s="421"/>
      <c r="H561" s="421"/>
      <c r="I561" s="421"/>
      <c r="J561" s="421"/>
      <c r="K561" s="421"/>
      <c r="L561" s="421"/>
      <c r="M561" s="415"/>
      <c r="N561" s="415"/>
      <c r="O561" s="415"/>
      <c r="P561" s="415"/>
      <c r="Q561" s="416"/>
      <c r="R561" s="416"/>
      <c r="S561" s="416"/>
      <c r="T561" s="416"/>
      <c r="U561" s="415"/>
      <c r="V561" s="415"/>
    </row>
    <row r="562" spans="1:22">
      <c r="A562" s="91"/>
      <c r="B562" s="255"/>
      <c r="C562" s="421"/>
      <c r="D562" s="421"/>
      <c r="E562" s="421"/>
      <c r="F562" s="421"/>
      <c r="G562" s="421"/>
      <c r="H562" s="421"/>
      <c r="I562" s="421"/>
      <c r="J562" s="421"/>
      <c r="K562" s="421"/>
      <c r="L562" s="421"/>
      <c r="M562" s="415"/>
      <c r="N562" s="415"/>
      <c r="O562" s="415"/>
      <c r="P562" s="415"/>
      <c r="Q562" s="416"/>
      <c r="R562" s="416"/>
      <c r="S562" s="416"/>
      <c r="T562" s="416"/>
      <c r="U562" s="415"/>
      <c r="V562" s="415"/>
    </row>
    <row r="563" spans="1:22">
      <c r="A563" s="91"/>
      <c r="B563" s="255"/>
      <c r="C563" s="421"/>
      <c r="D563" s="421"/>
      <c r="E563" s="421"/>
      <c r="F563" s="421"/>
      <c r="G563" s="421"/>
      <c r="H563" s="421"/>
      <c r="I563" s="421"/>
      <c r="J563" s="421"/>
      <c r="K563" s="421"/>
      <c r="L563" s="421"/>
      <c r="M563" s="415"/>
      <c r="N563" s="415"/>
      <c r="O563" s="415"/>
      <c r="P563" s="415"/>
      <c r="Q563" s="416"/>
      <c r="R563" s="416"/>
      <c r="S563" s="416"/>
      <c r="T563" s="416"/>
      <c r="U563" s="415"/>
      <c r="V563" s="415"/>
    </row>
    <row r="564" spans="1:22">
      <c r="A564" s="91"/>
      <c r="B564" s="255"/>
      <c r="C564" s="421"/>
      <c r="D564" s="421"/>
      <c r="E564" s="421"/>
      <c r="F564" s="421"/>
      <c r="G564" s="421"/>
      <c r="H564" s="421"/>
      <c r="I564" s="421"/>
      <c r="J564" s="421"/>
      <c r="K564" s="421"/>
      <c r="L564" s="421"/>
      <c r="M564" s="415"/>
      <c r="N564" s="415"/>
      <c r="O564" s="415"/>
      <c r="P564" s="415"/>
      <c r="Q564" s="416"/>
      <c r="R564" s="416"/>
      <c r="S564" s="416"/>
      <c r="T564" s="416"/>
      <c r="U564" s="415"/>
      <c r="V564" s="415"/>
    </row>
    <row r="565" spans="1:22">
      <c r="A565" s="91"/>
      <c r="B565" s="255"/>
      <c r="C565" s="421"/>
      <c r="D565" s="421"/>
      <c r="E565" s="421"/>
      <c r="F565" s="421"/>
      <c r="G565" s="421"/>
      <c r="H565" s="421"/>
      <c r="I565" s="421"/>
      <c r="J565" s="421"/>
      <c r="K565" s="421"/>
      <c r="L565" s="421"/>
      <c r="M565" s="415"/>
      <c r="N565" s="415"/>
      <c r="O565" s="415"/>
      <c r="P565" s="415"/>
      <c r="Q565" s="416"/>
      <c r="R565" s="416"/>
      <c r="S565" s="416"/>
      <c r="T565" s="416"/>
      <c r="U565" s="415"/>
      <c r="V565" s="415"/>
    </row>
    <row r="566" spans="1:22">
      <c r="A566" s="91"/>
      <c r="B566" s="255"/>
      <c r="C566" s="421"/>
      <c r="D566" s="421"/>
      <c r="E566" s="421"/>
      <c r="F566" s="421"/>
      <c r="G566" s="421"/>
      <c r="H566" s="421"/>
      <c r="I566" s="421"/>
      <c r="J566" s="421"/>
      <c r="K566" s="421"/>
      <c r="L566" s="421"/>
      <c r="M566" s="415"/>
      <c r="N566" s="415"/>
      <c r="O566" s="415"/>
      <c r="P566" s="415"/>
      <c r="Q566" s="416"/>
      <c r="R566" s="416"/>
      <c r="S566" s="416"/>
      <c r="T566" s="416"/>
      <c r="U566" s="415"/>
      <c r="V566" s="415"/>
    </row>
    <row r="567" spans="1:22">
      <c r="A567" s="91"/>
      <c r="B567" s="255"/>
      <c r="C567" s="421"/>
      <c r="D567" s="421"/>
      <c r="E567" s="421"/>
      <c r="F567" s="421"/>
      <c r="G567" s="421"/>
      <c r="H567" s="421"/>
      <c r="I567" s="421"/>
      <c r="J567" s="421"/>
      <c r="K567" s="421"/>
      <c r="L567" s="421"/>
      <c r="M567" s="415"/>
      <c r="N567" s="415"/>
      <c r="O567" s="415"/>
      <c r="P567" s="415"/>
      <c r="Q567" s="416"/>
      <c r="R567" s="416"/>
      <c r="S567" s="416"/>
      <c r="T567" s="416"/>
      <c r="U567" s="415"/>
      <c r="V567" s="415"/>
    </row>
    <row r="568" spans="1:22">
      <c r="A568" s="91"/>
      <c r="B568" s="255"/>
      <c r="C568" s="421"/>
      <c r="D568" s="421"/>
      <c r="E568" s="421"/>
      <c r="F568" s="421"/>
      <c r="G568" s="421"/>
      <c r="H568" s="421"/>
      <c r="I568" s="421"/>
      <c r="J568" s="421"/>
      <c r="K568" s="421"/>
      <c r="L568" s="421"/>
      <c r="M568" s="415"/>
      <c r="N568" s="415"/>
      <c r="O568" s="415"/>
      <c r="P568" s="415"/>
      <c r="Q568" s="416"/>
      <c r="R568" s="416"/>
      <c r="S568" s="416"/>
      <c r="T568" s="416"/>
      <c r="U568" s="415"/>
      <c r="V568" s="415"/>
    </row>
    <row r="569" spans="1:22">
      <c r="A569" s="91"/>
      <c r="B569" s="255"/>
      <c r="C569" s="421"/>
      <c r="D569" s="421"/>
      <c r="E569" s="421"/>
      <c r="F569" s="421"/>
      <c r="G569" s="421"/>
      <c r="H569" s="421"/>
      <c r="I569" s="421"/>
      <c r="J569" s="421"/>
      <c r="K569" s="421"/>
      <c r="L569" s="421"/>
      <c r="M569" s="415"/>
      <c r="N569" s="415"/>
      <c r="O569" s="415"/>
      <c r="P569" s="415"/>
      <c r="Q569" s="416"/>
      <c r="R569" s="416"/>
      <c r="S569" s="416"/>
      <c r="T569" s="416"/>
      <c r="U569" s="415"/>
      <c r="V569" s="415"/>
    </row>
    <row r="570" spans="1:22">
      <c r="A570" s="91"/>
      <c r="B570" s="255"/>
      <c r="C570" s="421"/>
      <c r="D570" s="421"/>
      <c r="E570" s="421"/>
      <c r="F570" s="421"/>
      <c r="G570" s="421"/>
      <c r="H570" s="421"/>
      <c r="I570" s="421"/>
      <c r="J570" s="421"/>
      <c r="K570" s="421"/>
      <c r="L570" s="421"/>
      <c r="M570" s="415"/>
      <c r="N570" s="415"/>
      <c r="O570" s="415"/>
      <c r="P570" s="415"/>
      <c r="Q570" s="416"/>
      <c r="R570" s="416"/>
      <c r="S570" s="416"/>
      <c r="T570" s="416"/>
      <c r="U570" s="415"/>
      <c r="V570" s="415"/>
    </row>
    <row r="571" spans="1:22">
      <c r="A571" s="91"/>
      <c r="B571" s="255"/>
      <c r="C571" s="421"/>
      <c r="D571" s="421"/>
      <c r="E571" s="421"/>
      <c r="F571" s="421"/>
      <c r="G571" s="421"/>
      <c r="H571" s="421"/>
      <c r="I571" s="421"/>
      <c r="J571" s="421"/>
      <c r="K571" s="421"/>
      <c r="L571" s="421"/>
      <c r="M571" s="415"/>
      <c r="N571" s="415"/>
      <c r="O571" s="415"/>
      <c r="P571" s="415"/>
      <c r="Q571" s="416"/>
      <c r="R571" s="416"/>
      <c r="S571" s="416"/>
      <c r="T571" s="416"/>
      <c r="U571" s="415"/>
      <c r="V571" s="415"/>
    </row>
    <row r="572" spans="1:22">
      <c r="A572" s="91"/>
      <c r="B572" s="255"/>
      <c r="C572" s="421"/>
      <c r="D572" s="421"/>
      <c r="E572" s="421"/>
      <c r="F572" s="421"/>
      <c r="G572" s="421"/>
      <c r="H572" s="421"/>
      <c r="I572" s="421"/>
      <c r="J572" s="421"/>
      <c r="K572" s="421"/>
      <c r="L572" s="421"/>
      <c r="M572" s="415"/>
      <c r="N572" s="415"/>
      <c r="O572" s="415"/>
      <c r="P572" s="415"/>
      <c r="Q572" s="416"/>
      <c r="R572" s="416"/>
      <c r="S572" s="416"/>
      <c r="T572" s="416"/>
      <c r="U572" s="415"/>
      <c r="V572" s="415"/>
    </row>
    <row r="573" spans="1:22">
      <c r="A573" s="91"/>
      <c r="B573" s="255"/>
      <c r="C573" s="421"/>
      <c r="D573" s="421"/>
      <c r="E573" s="421"/>
      <c r="F573" s="421"/>
      <c r="G573" s="421"/>
      <c r="H573" s="421"/>
      <c r="I573" s="421"/>
      <c r="J573" s="421"/>
      <c r="K573" s="421"/>
      <c r="L573" s="421"/>
      <c r="M573" s="415"/>
      <c r="N573" s="415"/>
      <c r="O573" s="415"/>
      <c r="P573" s="415"/>
      <c r="Q573" s="416"/>
      <c r="R573" s="416"/>
      <c r="S573" s="416"/>
      <c r="T573" s="416"/>
      <c r="U573" s="415"/>
      <c r="V573" s="415"/>
    </row>
    <row r="574" spans="1:22">
      <c r="A574" s="91"/>
      <c r="B574" s="255"/>
      <c r="C574" s="421"/>
      <c r="D574" s="421"/>
      <c r="E574" s="421"/>
      <c r="F574" s="421"/>
      <c r="G574" s="421"/>
      <c r="H574" s="421"/>
      <c r="I574" s="421"/>
      <c r="J574" s="421"/>
      <c r="K574" s="421"/>
      <c r="L574" s="421"/>
      <c r="M574" s="415"/>
      <c r="N574" s="415"/>
      <c r="O574" s="415"/>
      <c r="P574" s="415"/>
      <c r="Q574" s="416"/>
      <c r="R574" s="416"/>
      <c r="S574" s="416"/>
      <c r="T574" s="416"/>
      <c r="U574" s="415"/>
      <c r="V574" s="415"/>
    </row>
    <row r="575" spans="1:22">
      <c r="A575" s="91"/>
      <c r="B575" s="255"/>
      <c r="C575" s="421"/>
      <c r="D575" s="421"/>
      <c r="E575" s="421"/>
      <c r="F575" s="421"/>
      <c r="G575" s="421"/>
      <c r="H575" s="421"/>
      <c r="I575" s="421"/>
      <c r="J575" s="421"/>
      <c r="K575" s="421"/>
      <c r="L575" s="421"/>
      <c r="M575" s="415"/>
      <c r="N575" s="415"/>
      <c r="O575" s="415"/>
      <c r="P575" s="415"/>
      <c r="Q575" s="416"/>
      <c r="R575" s="416"/>
      <c r="S575" s="416"/>
      <c r="T575" s="416"/>
      <c r="U575" s="415"/>
      <c r="V575" s="415"/>
    </row>
    <row r="576" spans="1:22">
      <c r="A576" s="91"/>
      <c r="B576" s="255"/>
      <c r="C576" s="421"/>
      <c r="D576" s="421"/>
      <c r="E576" s="421"/>
      <c r="F576" s="421"/>
      <c r="G576" s="421"/>
      <c r="H576" s="421"/>
      <c r="I576" s="421"/>
      <c r="J576" s="421"/>
      <c r="K576" s="421"/>
      <c r="L576" s="421"/>
      <c r="M576" s="415"/>
      <c r="N576" s="415"/>
      <c r="O576" s="415"/>
      <c r="P576" s="415"/>
      <c r="Q576" s="416"/>
      <c r="R576" s="416"/>
      <c r="S576" s="416"/>
      <c r="T576" s="416"/>
      <c r="U576" s="415"/>
      <c r="V576" s="415"/>
    </row>
    <row r="577" spans="1:22">
      <c r="A577" s="91"/>
      <c r="B577" s="255"/>
      <c r="C577" s="421"/>
      <c r="D577" s="421"/>
      <c r="E577" s="421"/>
      <c r="F577" s="421"/>
      <c r="G577" s="421"/>
      <c r="H577" s="421"/>
      <c r="I577" s="421"/>
      <c r="J577" s="421"/>
      <c r="K577" s="421"/>
      <c r="L577" s="421"/>
      <c r="M577" s="415"/>
      <c r="N577" s="415"/>
      <c r="O577" s="415"/>
      <c r="P577" s="415"/>
      <c r="Q577" s="416"/>
      <c r="R577" s="416"/>
      <c r="S577" s="416"/>
      <c r="T577" s="416"/>
      <c r="U577" s="415"/>
      <c r="V577" s="415"/>
    </row>
    <row r="578" spans="1:22">
      <c r="A578" s="91"/>
      <c r="B578" s="255"/>
      <c r="C578" s="421"/>
      <c r="D578" s="421"/>
      <c r="E578" s="421"/>
      <c r="F578" s="421"/>
      <c r="G578" s="421"/>
      <c r="H578" s="421"/>
      <c r="I578" s="421"/>
      <c r="J578" s="421"/>
      <c r="K578" s="421"/>
      <c r="L578" s="421"/>
      <c r="M578" s="415"/>
      <c r="N578" s="415"/>
      <c r="O578" s="415"/>
      <c r="P578" s="415"/>
      <c r="Q578" s="416"/>
      <c r="R578" s="416"/>
      <c r="S578" s="416"/>
      <c r="T578" s="416"/>
      <c r="U578" s="415"/>
      <c r="V578" s="415"/>
    </row>
    <row r="579" spans="1:22">
      <c r="A579" s="91"/>
      <c r="B579" s="255"/>
      <c r="C579" s="421"/>
      <c r="D579" s="421"/>
      <c r="E579" s="421"/>
      <c r="F579" s="421"/>
      <c r="G579" s="421"/>
      <c r="H579" s="421"/>
      <c r="I579" s="421"/>
      <c r="J579" s="421"/>
      <c r="K579" s="421"/>
      <c r="L579" s="421"/>
      <c r="M579" s="415"/>
      <c r="N579" s="415"/>
      <c r="O579" s="415"/>
      <c r="P579" s="415"/>
      <c r="Q579" s="416"/>
      <c r="R579" s="416"/>
      <c r="S579" s="416"/>
      <c r="T579" s="416"/>
      <c r="U579" s="415"/>
      <c r="V579" s="415"/>
    </row>
    <row r="580" spans="1:22">
      <c r="A580" s="91"/>
      <c r="B580" s="255"/>
      <c r="C580" s="421"/>
      <c r="D580" s="421"/>
      <c r="E580" s="421"/>
      <c r="F580" s="421"/>
      <c r="G580" s="421"/>
      <c r="H580" s="421"/>
      <c r="I580" s="421"/>
      <c r="J580" s="421"/>
      <c r="K580" s="421"/>
      <c r="L580" s="421"/>
      <c r="M580" s="415"/>
      <c r="N580" s="415"/>
      <c r="O580" s="415"/>
      <c r="P580" s="415"/>
      <c r="Q580" s="416"/>
      <c r="R580" s="416"/>
      <c r="S580" s="416"/>
      <c r="T580" s="416"/>
      <c r="U580" s="415"/>
      <c r="V580" s="415"/>
    </row>
    <row r="581" spans="1:22">
      <c r="A581" s="91"/>
      <c r="B581" s="255"/>
      <c r="C581" s="421"/>
      <c r="D581" s="421"/>
      <c r="E581" s="421"/>
      <c r="F581" s="421"/>
      <c r="G581" s="421"/>
      <c r="H581" s="421"/>
      <c r="I581" s="421"/>
      <c r="J581" s="421"/>
      <c r="K581" s="421"/>
      <c r="L581" s="421"/>
      <c r="M581" s="415"/>
      <c r="N581" s="415"/>
      <c r="O581" s="415"/>
      <c r="P581" s="415"/>
      <c r="Q581" s="416"/>
      <c r="R581" s="416"/>
      <c r="S581" s="416"/>
      <c r="T581" s="416"/>
      <c r="U581" s="415"/>
      <c r="V581" s="415"/>
    </row>
    <row r="582" spans="1:22">
      <c r="A582" s="91"/>
      <c r="B582" s="255"/>
      <c r="C582" s="421"/>
      <c r="D582" s="421"/>
      <c r="E582" s="421"/>
      <c r="F582" s="421"/>
      <c r="G582" s="421"/>
      <c r="H582" s="421"/>
      <c r="I582" s="421"/>
      <c r="J582" s="421"/>
      <c r="K582" s="421"/>
      <c r="L582" s="421"/>
      <c r="M582" s="415"/>
      <c r="N582" s="415"/>
      <c r="O582" s="415"/>
      <c r="P582" s="415"/>
      <c r="Q582" s="416"/>
      <c r="R582" s="416"/>
      <c r="S582" s="416"/>
      <c r="T582" s="416"/>
      <c r="U582" s="415"/>
      <c r="V582" s="415"/>
    </row>
    <row r="583" spans="1:22">
      <c r="A583" s="91"/>
      <c r="B583" s="255"/>
      <c r="C583" s="421"/>
      <c r="D583" s="421"/>
      <c r="E583" s="421"/>
      <c r="F583" s="421"/>
      <c r="G583" s="421"/>
      <c r="H583" s="421"/>
      <c r="I583" s="421"/>
      <c r="J583" s="421"/>
      <c r="K583" s="421"/>
      <c r="L583" s="421"/>
      <c r="M583" s="415"/>
      <c r="N583" s="415"/>
      <c r="O583" s="415"/>
      <c r="P583" s="415"/>
      <c r="Q583" s="416"/>
      <c r="R583" s="416"/>
      <c r="S583" s="416"/>
      <c r="T583" s="416"/>
      <c r="U583" s="415"/>
      <c r="V583" s="415"/>
    </row>
    <row r="584" spans="1:22">
      <c r="A584" s="91"/>
      <c r="B584" s="255"/>
      <c r="C584" s="421"/>
      <c r="D584" s="421"/>
      <c r="E584" s="421"/>
      <c r="F584" s="421"/>
      <c r="G584" s="421"/>
      <c r="H584" s="421"/>
      <c r="I584" s="421"/>
      <c r="J584" s="421"/>
      <c r="K584" s="421"/>
      <c r="L584" s="421"/>
      <c r="M584" s="415"/>
      <c r="N584" s="415"/>
      <c r="O584" s="415"/>
      <c r="P584" s="415"/>
      <c r="Q584" s="416"/>
      <c r="R584" s="416"/>
      <c r="S584" s="416"/>
      <c r="T584" s="416"/>
      <c r="U584" s="415"/>
      <c r="V584" s="415"/>
    </row>
    <row r="585" spans="1:22">
      <c r="A585" s="91"/>
      <c r="B585" s="255"/>
      <c r="C585" s="421"/>
      <c r="D585" s="421"/>
      <c r="E585" s="421"/>
      <c r="F585" s="421"/>
      <c r="G585" s="421"/>
      <c r="H585" s="421"/>
      <c r="I585" s="421"/>
      <c r="J585" s="421"/>
      <c r="K585" s="421"/>
      <c r="L585" s="421"/>
      <c r="M585" s="415"/>
      <c r="N585" s="415"/>
      <c r="O585" s="415"/>
      <c r="P585" s="415"/>
      <c r="Q585" s="416"/>
      <c r="R585" s="416"/>
      <c r="S585" s="416"/>
      <c r="T585" s="416"/>
      <c r="U585" s="415"/>
      <c r="V585" s="415"/>
    </row>
    <row r="586" spans="1:22">
      <c r="A586" s="91"/>
      <c r="B586" s="255"/>
      <c r="C586" s="421"/>
      <c r="D586" s="421"/>
      <c r="E586" s="421"/>
      <c r="F586" s="421"/>
      <c r="G586" s="421"/>
      <c r="H586" s="421"/>
      <c r="I586" s="421"/>
      <c r="J586" s="421"/>
      <c r="K586" s="421"/>
      <c r="L586" s="421"/>
      <c r="M586" s="415"/>
      <c r="N586" s="415"/>
      <c r="O586" s="415"/>
      <c r="P586" s="415"/>
      <c r="Q586" s="416"/>
      <c r="R586" s="416"/>
      <c r="S586" s="416"/>
      <c r="T586" s="416"/>
      <c r="U586" s="415"/>
      <c r="V586" s="415"/>
    </row>
    <row r="587" spans="1:22">
      <c r="A587" s="91"/>
      <c r="B587" s="255"/>
      <c r="C587" s="421"/>
      <c r="D587" s="421"/>
      <c r="E587" s="421"/>
      <c r="F587" s="421"/>
      <c r="G587" s="421"/>
      <c r="H587" s="421"/>
      <c r="I587" s="421"/>
      <c r="J587" s="421"/>
      <c r="K587" s="421"/>
      <c r="L587" s="421"/>
      <c r="M587" s="415"/>
      <c r="N587" s="415"/>
      <c r="O587" s="415"/>
      <c r="P587" s="415"/>
      <c r="Q587" s="416"/>
      <c r="R587" s="416"/>
      <c r="S587" s="416"/>
      <c r="T587" s="416"/>
      <c r="U587" s="415"/>
      <c r="V587" s="415"/>
    </row>
    <row r="588" spans="1:22">
      <c r="A588" s="91"/>
      <c r="B588" s="255"/>
      <c r="C588" s="421"/>
      <c r="D588" s="421"/>
      <c r="E588" s="421"/>
      <c r="F588" s="421"/>
      <c r="G588" s="421"/>
      <c r="H588" s="421"/>
      <c r="I588" s="421"/>
      <c r="J588" s="421"/>
      <c r="K588" s="421"/>
      <c r="L588" s="421"/>
      <c r="M588" s="415"/>
      <c r="N588" s="415"/>
      <c r="O588" s="415"/>
      <c r="P588" s="415"/>
      <c r="Q588" s="416"/>
      <c r="R588" s="416"/>
      <c r="S588" s="416"/>
      <c r="T588" s="416"/>
      <c r="U588" s="415"/>
      <c r="V588" s="415"/>
    </row>
    <row r="589" spans="1:22">
      <c r="A589" s="91"/>
      <c r="B589" s="255"/>
      <c r="C589" s="421"/>
      <c r="D589" s="421"/>
      <c r="E589" s="421"/>
      <c r="F589" s="421"/>
      <c r="G589" s="421"/>
      <c r="H589" s="421"/>
      <c r="I589" s="421"/>
      <c r="J589" s="421"/>
      <c r="K589" s="421"/>
      <c r="L589" s="421"/>
      <c r="M589" s="415"/>
      <c r="N589" s="415"/>
      <c r="O589" s="415"/>
      <c r="P589" s="415"/>
      <c r="Q589" s="416"/>
      <c r="R589" s="416"/>
      <c r="S589" s="416"/>
      <c r="T589" s="416"/>
      <c r="U589" s="415"/>
      <c r="V589" s="415"/>
    </row>
    <row r="590" spans="1:22">
      <c r="A590" s="91"/>
      <c r="B590" s="255"/>
      <c r="C590" s="421"/>
      <c r="D590" s="421"/>
      <c r="E590" s="421"/>
      <c r="F590" s="421"/>
      <c r="G590" s="421"/>
      <c r="H590" s="421"/>
      <c r="I590" s="421"/>
      <c r="J590" s="421"/>
      <c r="K590" s="421"/>
      <c r="L590" s="421"/>
      <c r="M590" s="415"/>
      <c r="N590" s="415"/>
      <c r="O590" s="415"/>
      <c r="P590" s="415"/>
      <c r="Q590" s="416"/>
      <c r="R590" s="416"/>
      <c r="S590" s="416"/>
      <c r="T590" s="416"/>
      <c r="U590" s="415"/>
      <c r="V590" s="415"/>
    </row>
    <row r="591" spans="1:22">
      <c r="A591" s="91"/>
      <c r="B591" s="255"/>
      <c r="C591" s="421"/>
      <c r="D591" s="421"/>
      <c r="E591" s="421"/>
      <c r="F591" s="421"/>
      <c r="G591" s="421"/>
      <c r="H591" s="421"/>
      <c r="I591" s="421"/>
      <c r="J591" s="421"/>
      <c r="K591" s="421"/>
      <c r="L591" s="421"/>
      <c r="M591" s="415"/>
      <c r="N591" s="415"/>
      <c r="O591" s="415"/>
      <c r="P591" s="415"/>
      <c r="Q591" s="416"/>
      <c r="R591" s="416"/>
      <c r="S591" s="416"/>
      <c r="T591" s="416"/>
      <c r="U591" s="415"/>
      <c r="V591" s="415"/>
    </row>
    <row r="592" spans="1:22">
      <c r="A592" s="91"/>
      <c r="B592" s="255"/>
      <c r="C592" s="421"/>
      <c r="D592" s="421"/>
      <c r="E592" s="421"/>
      <c r="F592" s="421"/>
      <c r="G592" s="421"/>
      <c r="H592" s="421"/>
      <c r="I592" s="421"/>
      <c r="J592" s="421"/>
      <c r="K592" s="421"/>
      <c r="L592" s="421"/>
      <c r="M592" s="415"/>
      <c r="N592" s="415"/>
      <c r="O592" s="415"/>
      <c r="P592" s="415"/>
      <c r="Q592" s="416"/>
      <c r="R592" s="416"/>
      <c r="S592" s="416"/>
      <c r="T592" s="416"/>
      <c r="U592" s="415"/>
      <c r="V592" s="415"/>
    </row>
    <row r="593" spans="1:22">
      <c r="A593" s="91"/>
      <c r="B593" s="255"/>
      <c r="C593" s="421"/>
      <c r="D593" s="421"/>
      <c r="E593" s="421"/>
      <c r="F593" s="421"/>
      <c r="G593" s="421"/>
      <c r="H593" s="421"/>
      <c r="I593" s="421"/>
      <c r="J593" s="421"/>
      <c r="K593" s="421"/>
      <c r="L593" s="421"/>
      <c r="M593" s="415"/>
      <c r="N593" s="415"/>
      <c r="O593" s="415"/>
      <c r="P593" s="415"/>
      <c r="Q593" s="416"/>
      <c r="R593" s="416"/>
      <c r="S593" s="416"/>
      <c r="T593" s="416"/>
      <c r="U593" s="415"/>
      <c r="V593" s="415"/>
    </row>
    <row r="594" spans="1:22">
      <c r="A594" s="91"/>
      <c r="B594" s="255"/>
      <c r="C594" s="421"/>
      <c r="D594" s="421"/>
      <c r="E594" s="421"/>
      <c r="F594" s="421"/>
      <c r="G594" s="421"/>
      <c r="H594" s="421"/>
      <c r="I594" s="421"/>
      <c r="J594" s="421"/>
      <c r="K594" s="421"/>
      <c r="L594" s="421"/>
      <c r="M594" s="415"/>
      <c r="N594" s="415"/>
      <c r="O594" s="415"/>
      <c r="P594" s="415"/>
      <c r="Q594" s="416"/>
      <c r="R594" s="416"/>
      <c r="S594" s="416"/>
      <c r="T594" s="416"/>
      <c r="U594" s="415"/>
      <c r="V594" s="415"/>
    </row>
    <row r="595" spans="1:22">
      <c r="A595" s="91"/>
      <c r="B595" s="255"/>
      <c r="C595" s="421"/>
      <c r="D595" s="421"/>
      <c r="E595" s="421"/>
      <c r="F595" s="421"/>
      <c r="G595" s="421"/>
      <c r="H595" s="421"/>
      <c r="I595" s="421"/>
      <c r="J595" s="421"/>
      <c r="K595" s="421"/>
      <c r="L595" s="421"/>
      <c r="M595" s="415"/>
      <c r="N595" s="415"/>
      <c r="O595" s="415"/>
      <c r="P595" s="415"/>
      <c r="Q595" s="416"/>
      <c r="R595" s="416"/>
      <c r="S595" s="416"/>
      <c r="T595" s="416"/>
      <c r="U595" s="415"/>
      <c r="V595" s="415"/>
    </row>
    <row r="596" spans="1:22">
      <c r="A596" s="91"/>
      <c r="B596" s="255"/>
      <c r="C596" s="421"/>
      <c r="D596" s="421"/>
      <c r="E596" s="421"/>
      <c r="F596" s="421"/>
      <c r="G596" s="421"/>
      <c r="H596" s="421"/>
      <c r="I596" s="421"/>
      <c r="J596" s="421"/>
      <c r="K596" s="421"/>
      <c r="L596" s="421"/>
      <c r="M596" s="415"/>
      <c r="N596" s="415"/>
      <c r="O596" s="415"/>
      <c r="P596" s="415"/>
      <c r="Q596" s="416"/>
      <c r="R596" s="416"/>
      <c r="S596" s="416"/>
      <c r="T596" s="416"/>
      <c r="U596" s="415"/>
      <c r="V596" s="415"/>
    </row>
    <row r="597" spans="1:22">
      <c r="A597" s="91"/>
      <c r="B597" s="255"/>
      <c r="C597" s="421"/>
      <c r="D597" s="421"/>
      <c r="E597" s="421"/>
      <c r="F597" s="421"/>
      <c r="G597" s="421"/>
      <c r="H597" s="421"/>
      <c r="I597" s="421"/>
      <c r="J597" s="421"/>
      <c r="K597" s="421"/>
      <c r="L597" s="421"/>
      <c r="M597" s="415"/>
      <c r="N597" s="415"/>
      <c r="O597" s="415"/>
      <c r="P597" s="415"/>
      <c r="Q597" s="416"/>
      <c r="R597" s="416"/>
      <c r="S597" s="416"/>
      <c r="T597" s="416"/>
      <c r="U597" s="415"/>
      <c r="V597" s="415"/>
    </row>
    <row r="598" spans="1:22">
      <c r="A598" s="91"/>
      <c r="B598" s="255"/>
      <c r="C598" s="421"/>
      <c r="D598" s="421"/>
      <c r="E598" s="421"/>
      <c r="F598" s="421"/>
      <c r="G598" s="421"/>
      <c r="H598" s="421"/>
      <c r="I598" s="421"/>
      <c r="J598" s="421"/>
      <c r="K598" s="421"/>
      <c r="L598" s="421"/>
      <c r="M598" s="415"/>
      <c r="N598" s="415"/>
      <c r="O598" s="415"/>
      <c r="P598" s="415"/>
      <c r="Q598" s="416"/>
      <c r="R598" s="416"/>
      <c r="S598" s="416"/>
      <c r="T598" s="416"/>
      <c r="U598" s="415"/>
      <c r="V598" s="415"/>
    </row>
    <row r="599" spans="1:22">
      <c r="A599" s="91"/>
      <c r="B599" s="255"/>
      <c r="C599" s="421"/>
      <c r="D599" s="421"/>
      <c r="E599" s="421"/>
      <c r="F599" s="421"/>
      <c r="G599" s="421"/>
      <c r="H599" s="421"/>
      <c r="I599" s="421"/>
      <c r="J599" s="421"/>
      <c r="K599" s="421"/>
      <c r="L599" s="421"/>
      <c r="M599" s="415"/>
      <c r="N599" s="415"/>
      <c r="O599" s="415"/>
      <c r="P599" s="415"/>
      <c r="Q599" s="416"/>
      <c r="R599" s="416"/>
      <c r="S599" s="416"/>
      <c r="T599" s="416"/>
      <c r="U599" s="415"/>
      <c r="V599" s="415"/>
    </row>
    <row r="600" spans="1:22">
      <c r="A600" s="91"/>
      <c r="B600" s="255"/>
      <c r="C600" s="421"/>
      <c r="D600" s="421"/>
      <c r="E600" s="421"/>
      <c r="F600" s="421"/>
      <c r="G600" s="421"/>
      <c r="H600" s="421"/>
      <c r="I600" s="421"/>
      <c r="J600" s="421"/>
      <c r="K600" s="421"/>
      <c r="L600" s="421"/>
      <c r="M600" s="415"/>
      <c r="N600" s="415"/>
      <c r="O600" s="415"/>
      <c r="P600" s="415"/>
      <c r="Q600" s="416"/>
      <c r="R600" s="416"/>
      <c r="S600" s="416"/>
      <c r="T600" s="416"/>
      <c r="U600" s="415"/>
      <c r="V600" s="415"/>
    </row>
    <row r="601" spans="1:22">
      <c r="A601" s="91"/>
      <c r="B601" s="255"/>
      <c r="C601" s="417"/>
      <c r="D601" s="417"/>
      <c r="E601" s="417"/>
      <c r="F601" s="417"/>
      <c r="G601" s="417"/>
      <c r="H601" s="417"/>
      <c r="I601" s="417"/>
      <c r="J601" s="417"/>
      <c r="K601" s="417"/>
      <c r="L601" s="417"/>
      <c r="M601" s="415"/>
      <c r="N601" s="415"/>
      <c r="O601" s="415"/>
      <c r="P601" s="415"/>
      <c r="Q601" s="416"/>
      <c r="R601" s="416"/>
      <c r="S601" s="416"/>
      <c r="T601" s="416"/>
      <c r="U601" s="415"/>
      <c r="V601" s="415"/>
    </row>
    <row r="602" spans="1:22">
      <c r="A602" s="91"/>
      <c r="B602" s="255"/>
      <c r="C602" s="417"/>
      <c r="D602" s="417"/>
      <c r="E602" s="417"/>
      <c r="F602" s="417"/>
      <c r="G602" s="417"/>
      <c r="H602" s="417"/>
      <c r="I602" s="417"/>
      <c r="J602" s="417"/>
      <c r="K602" s="417"/>
      <c r="L602" s="417"/>
      <c r="M602" s="415"/>
      <c r="N602" s="415"/>
      <c r="O602" s="415"/>
      <c r="P602" s="415"/>
      <c r="Q602" s="416"/>
      <c r="R602" s="416"/>
      <c r="S602" s="416"/>
      <c r="T602" s="416"/>
      <c r="U602" s="415"/>
      <c r="V602" s="415"/>
    </row>
    <row r="603" spans="1:22">
      <c r="A603" s="91"/>
      <c r="B603" s="255"/>
      <c r="C603" s="417"/>
      <c r="D603" s="417"/>
      <c r="E603" s="417"/>
      <c r="F603" s="417"/>
      <c r="G603" s="417"/>
      <c r="H603" s="417"/>
      <c r="I603" s="417"/>
      <c r="J603" s="417"/>
      <c r="K603" s="417"/>
      <c r="L603" s="417"/>
      <c r="M603" s="415"/>
      <c r="N603" s="415"/>
      <c r="O603" s="415"/>
      <c r="P603" s="415"/>
      <c r="Q603" s="416"/>
      <c r="R603" s="416"/>
      <c r="S603" s="416"/>
      <c r="T603" s="416"/>
      <c r="U603" s="415"/>
      <c r="V603" s="415"/>
    </row>
    <row r="604" spans="1:22">
      <c r="A604" s="91"/>
      <c r="B604" s="255"/>
      <c r="C604" s="417"/>
      <c r="D604" s="417"/>
      <c r="E604" s="417"/>
      <c r="F604" s="417"/>
      <c r="G604" s="417"/>
      <c r="H604" s="417"/>
      <c r="I604" s="417"/>
      <c r="J604" s="417"/>
      <c r="K604" s="417"/>
      <c r="L604" s="417"/>
      <c r="M604" s="415"/>
      <c r="N604" s="415"/>
      <c r="O604" s="415"/>
      <c r="P604" s="415"/>
      <c r="Q604" s="416"/>
      <c r="R604" s="416"/>
      <c r="S604" s="416"/>
      <c r="T604" s="416"/>
      <c r="U604" s="415"/>
      <c r="V604" s="415"/>
    </row>
    <row r="605" spans="1:22">
      <c r="A605" s="91"/>
      <c r="B605" s="255"/>
      <c r="C605" s="417"/>
      <c r="D605" s="417"/>
      <c r="E605" s="417"/>
      <c r="F605" s="417"/>
      <c r="G605" s="417"/>
      <c r="H605" s="417"/>
      <c r="I605" s="417"/>
      <c r="J605" s="417"/>
      <c r="K605" s="417"/>
      <c r="L605" s="417"/>
      <c r="M605" s="415"/>
      <c r="N605" s="415"/>
      <c r="O605" s="415"/>
      <c r="P605" s="415"/>
      <c r="Q605" s="416"/>
      <c r="R605" s="416"/>
      <c r="S605" s="416"/>
      <c r="T605" s="416"/>
      <c r="U605" s="415"/>
      <c r="V605" s="415"/>
    </row>
    <row r="606" spans="1:22">
      <c r="A606" s="91"/>
      <c r="B606" s="255"/>
      <c r="C606" s="417"/>
      <c r="D606" s="417"/>
      <c r="E606" s="417"/>
      <c r="F606" s="417"/>
      <c r="G606" s="417"/>
      <c r="H606" s="417"/>
      <c r="I606" s="417"/>
      <c r="J606" s="417"/>
      <c r="K606" s="417"/>
      <c r="L606" s="417"/>
      <c r="M606" s="415"/>
      <c r="N606" s="415"/>
      <c r="O606" s="415"/>
      <c r="P606" s="415"/>
      <c r="Q606" s="416"/>
      <c r="R606" s="416"/>
      <c r="S606" s="416"/>
      <c r="T606" s="416"/>
      <c r="U606" s="415"/>
      <c r="V606" s="415"/>
    </row>
    <row r="607" spans="1:22">
      <c r="A607" s="91"/>
      <c r="B607" s="255"/>
      <c r="C607" s="417"/>
      <c r="D607" s="417"/>
      <c r="E607" s="417"/>
      <c r="F607" s="417"/>
      <c r="G607" s="417"/>
      <c r="H607" s="417"/>
      <c r="I607" s="417"/>
      <c r="J607" s="417"/>
      <c r="K607" s="417"/>
      <c r="L607" s="417"/>
      <c r="M607" s="415"/>
      <c r="N607" s="415"/>
      <c r="O607" s="415"/>
      <c r="P607" s="415"/>
      <c r="Q607" s="416"/>
      <c r="R607" s="416"/>
      <c r="S607" s="416"/>
      <c r="T607" s="416"/>
      <c r="U607" s="415"/>
      <c r="V607" s="415"/>
    </row>
    <row r="608" spans="1:22">
      <c r="A608" s="91"/>
      <c r="B608" s="255"/>
      <c r="C608" s="417"/>
      <c r="D608" s="417"/>
      <c r="E608" s="417"/>
      <c r="F608" s="417"/>
      <c r="G608" s="417"/>
      <c r="H608" s="417"/>
      <c r="I608" s="417"/>
      <c r="J608" s="417"/>
      <c r="K608" s="417"/>
      <c r="L608" s="417"/>
      <c r="M608" s="415"/>
      <c r="N608" s="415"/>
      <c r="O608" s="415"/>
      <c r="P608" s="415"/>
      <c r="Q608" s="416"/>
      <c r="R608" s="416"/>
      <c r="S608" s="416"/>
      <c r="T608" s="416"/>
      <c r="U608" s="415"/>
      <c r="V608" s="415"/>
    </row>
    <row r="609" spans="1:22">
      <c r="A609" s="91"/>
      <c r="B609" s="255"/>
      <c r="C609" s="417"/>
      <c r="D609" s="417"/>
      <c r="E609" s="417"/>
      <c r="F609" s="417"/>
      <c r="G609" s="417"/>
      <c r="H609" s="417"/>
      <c r="I609" s="417"/>
      <c r="J609" s="417"/>
      <c r="K609" s="417"/>
      <c r="L609" s="417"/>
      <c r="M609" s="415"/>
      <c r="N609" s="415"/>
      <c r="O609" s="415"/>
      <c r="P609" s="415"/>
      <c r="Q609" s="416"/>
      <c r="R609" s="416"/>
      <c r="S609" s="416"/>
      <c r="T609" s="416"/>
      <c r="U609" s="415"/>
      <c r="V609" s="415"/>
    </row>
    <row r="610" spans="1:22" ht="12.75" customHeight="1">
      <c r="A610" s="91"/>
      <c r="B610" s="255"/>
      <c r="C610" s="417"/>
      <c r="D610" s="417"/>
      <c r="E610" s="417"/>
      <c r="F610" s="417"/>
      <c r="G610" s="417"/>
      <c r="H610" s="417"/>
      <c r="I610" s="417"/>
      <c r="J610" s="417"/>
      <c r="K610" s="417"/>
      <c r="L610" s="417"/>
      <c r="M610" s="415"/>
      <c r="N610" s="415"/>
      <c r="O610" s="415"/>
      <c r="P610" s="415"/>
      <c r="Q610" s="416"/>
      <c r="R610" s="416"/>
      <c r="S610" s="416"/>
      <c r="T610" s="416"/>
      <c r="U610" s="415"/>
      <c r="V610" s="415"/>
    </row>
    <row r="611" spans="1:22">
      <c r="A611" s="91"/>
      <c r="B611" s="255"/>
      <c r="C611" s="417"/>
      <c r="D611" s="417"/>
      <c r="E611" s="417"/>
      <c r="F611" s="417"/>
      <c r="G611" s="417"/>
      <c r="H611" s="417"/>
      <c r="I611" s="417"/>
      <c r="J611" s="417"/>
      <c r="K611" s="417"/>
      <c r="L611" s="417"/>
      <c r="M611" s="415"/>
      <c r="N611" s="415"/>
      <c r="O611" s="415"/>
      <c r="P611" s="415"/>
      <c r="Q611" s="416"/>
      <c r="R611" s="416"/>
      <c r="S611" s="416"/>
      <c r="T611" s="416"/>
      <c r="U611" s="415"/>
      <c r="V611" s="415"/>
    </row>
    <row r="612" spans="1:22">
      <c r="A612" s="91"/>
      <c r="B612" s="255"/>
      <c r="C612" s="417"/>
      <c r="D612" s="417"/>
      <c r="E612" s="417"/>
      <c r="F612" s="417"/>
      <c r="G612" s="417"/>
      <c r="H612" s="417"/>
      <c r="I612" s="417"/>
      <c r="J612" s="417"/>
      <c r="K612" s="417"/>
      <c r="L612" s="417"/>
      <c r="M612" s="415"/>
      <c r="N612" s="415"/>
      <c r="O612" s="415"/>
      <c r="P612" s="415"/>
      <c r="Q612" s="416"/>
      <c r="R612" s="416"/>
      <c r="S612" s="416"/>
      <c r="T612" s="416"/>
      <c r="U612" s="415"/>
      <c r="V612" s="415"/>
    </row>
    <row r="613" spans="1:22">
      <c r="A613" s="91"/>
      <c r="B613" s="255"/>
      <c r="C613" s="417"/>
      <c r="D613" s="417"/>
      <c r="E613" s="417"/>
      <c r="F613" s="417"/>
      <c r="G613" s="417"/>
      <c r="H613" s="417"/>
      <c r="I613" s="417"/>
      <c r="J613" s="417"/>
      <c r="K613" s="417"/>
      <c r="L613" s="417"/>
      <c r="M613" s="415"/>
      <c r="N613" s="415"/>
      <c r="O613" s="415"/>
      <c r="P613" s="415"/>
      <c r="Q613" s="416"/>
      <c r="R613" s="416"/>
      <c r="S613" s="416"/>
      <c r="T613" s="416"/>
      <c r="U613" s="415"/>
      <c r="V613" s="415"/>
    </row>
    <row r="614" spans="1:22">
      <c r="A614" s="91"/>
      <c r="B614" s="255"/>
      <c r="C614" s="417"/>
      <c r="D614" s="417"/>
      <c r="E614" s="417"/>
      <c r="F614" s="417"/>
      <c r="G614" s="417"/>
      <c r="H614" s="417"/>
      <c r="I614" s="417"/>
      <c r="J614" s="417"/>
      <c r="K614" s="417"/>
      <c r="L614" s="417"/>
      <c r="M614" s="415"/>
      <c r="N614" s="415"/>
      <c r="O614" s="415"/>
      <c r="P614" s="415"/>
      <c r="Q614" s="416"/>
      <c r="R614" s="416"/>
      <c r="S614" s="416"/>
      <c r="T614" s="416"/>
      <c r="U614" s="415"/>
      <c r="V614" s="415"/>
    </row>
    <row r="615" spans="1:22">
      <c r="A615" s="91"/>
      <c r="B615" s="255"/>
      <c r="C615" s="417"/>
      <c r="D615" s="417"/>
      <c r="E615" s="417"/>
      <c r="F615" s="417"/>
      <c r="G615" s="417"/>
      <c r="H615" s="417"/>
      <c r="I615" s="417"/>
      <c r="J615" s="417"/>
      <c r="K615" s="417"/>
      <c r="L615" s="417"/>
      <c r="M615" s="415"/>
      <c r="N615" s="415"/>
      <c r="O615" s="415"/>
      <c r="P615" s="415"/>
      <c r="Q615" s="416"/>
      <c r="R615" s="416"/>
      <c r="S615" s="416"/>
      <c r="T615" s="416"/>
      <c r="U615" s="415"/>
      <c r="V615" s="415"/>
    </row>
    <row r="616" spans="1:22">
      <c r="A616" s="91"/>
      <c r="B616" s="255"/>
      <c r="C616" s="417"/>
      <c r="D616" s="417"/>
      <c r="E616" s="417"/>
      <c r="F616" s="417"/>
      <c r="G616" s="417"/>
      <c r="H616" s="417"/>
      <c r="I616" s="417"/>
      <c r="J616" s="417"/>
      <c r="K616" s="417"/>
      <c r="L616" s="417"/>
      <c r="M616" s="415"/>
      <c r="N616" s="415"/>
      <c r="O616" s="415"/>
      <c r="P616" s="415"/>
      <c r="Q616" s="416"/>
      <c r="R616" s="416"/>
      <c r="S616" s="416"/>
      <c r="T616" s="416"/>
      <c r="U616" s="415"/>
      <c r="V616" s="415"/>
    </row>
    <row r="617" spans="1:22">
      <c r="A617" s="91"/>
      <c r="B617" s="255"/>
      <c r="C617" s="417"/>
      <c r="D617" s="417"/>
      <c r="E617" s="417"/>
      <c r="F617" s="417"/>
      <c r="G617" s="417"/>
      <c r="H617" s="417"/>
      <c r="I617" s="417"/>
      <c r="J617" s="417"/>
      <c r="K617" s="417"/>
      <c r="L617" s="417"/>
      <c r="M617" s="415"/>
      <c r="N617" s="415"/>
      <c r="O617" s="415"/>
      <c r="P617" s="415"/>
      <c r="Q617" s="416"/>
      <c r="R617" s="416"/>
      <c r="S617" s="416"/>
      <c r="T617" s="416"/>
      <c r="U617" s="415"/>
      <c r="V617" s="415"/>
    </row>
    <row r="618" spans="1:22">
      <c r="A618" s="91"/>
      <c r="B618" s="255"/>
      <c r="C618" s="417"/>
      <c r="D618" s="417"/>
      <c r="E618" s="417"/>
      <c r="F618" s="417"/>
      <c r="G618" s="417"/>
      <c r="H618" s="417"/>
      <c r="I618" s="417"/>
      <c r="J618" s="417"/>
      <c r="K618" s="417"/>
      <c r="L618" s="417"/>
      <c r="M618" s="415"/>
      <c r="N618" s="415"/>
      <c r="O618" s="415"/>
      <c r="P618" s="415"/>
      <c r="Q618" s="416"/>
      <c r="R618" s="416"/>
      <c r="S618" s="416"/>
      <c r="T618" s="416"/>
      <c r="U618" s="415"/>
      <c r="V618" s="415"/>
    </row>
    <row r="619" spans="1:22">
      <c r="A619" s="91"/>
      <c r="B619" s="255"/>
      <c r="C619" s="417"/>
      <c r="D619" s="417"/>
      <c r="E619" s="417"/>
      <c r="F619" s="417"/>
      <c r="G619" s="417"/>
      <c r="H619" s="417"/>
      <c r="I619" s="417"/>
      <c r="J619" s="417"/>
      <c r="K619" s="417"/>
      <c r="L619" s="417"/>
      <c r="M619" s="415"/>
      <c r="N619" s="415"/>
      <c r="O619" s="415"/>
      <c r="P619" s="415"/>
      <c r="Q619" s="416"/>
      <c r="R619" s="416"/>
      <c r="S619" s="416"/>
      <c r="T619" s="416"/>
      <c r="U619" s="415"/>
      <c r="V619" s="415"/>
    </row>
    <row r="620" spans="1:22">
      <c r="A620" s="91"/>
      <c r="B620" s="255"/>
      <c r="C620" s="417"/>
      <c r="D620" s="417"/>
      <c r="E620" s="417"/>
      <c r="F620" s="417"/>
      <c r="G620" s="417"/>
      <c r="H620" s="417"/>
      <c r="I620" s="417"/>
      <c r="J620" s="417"/>
      <c r="K620" s="417"/>
      <c r="L620" s="417"/>
      <c r="M620" s="415"/>
      <c r="N620" s="415"/>
      <c r="O620" s="415"/>
      <c r="P620" s="415"/>
      <c r="Q620" s="416"/>
      <c r="R620" s="416"/>
      <c r="S620" s="416"/>
      <c r="T620" s="416"/>
      <c r="U620" s="415"/>
      <c r="V620" s="415"/>
    </row>
    <row r="621" spans="1:22">
      <c r="A621" s="91"/>
      <c r="B621" s="255"/>
      <c r="C621" s="417"/>
      <c r="D621" s="417"/>
      <c r="E621" s="417"/>
      <c r="F621" s="417"/>
      <c r="G621" s="417"/>
      <c r="H621" s="417"/>
      <c r="I621" s="417"/>
      <c r="J621" s="417"/>
      <c r="K621" s="417"/>
      <c r="L621" s="417"/>
      <c r="M621" s="415"/>
      <c r="N621" s="415"/>
      <c r="O621" s="415"/>
      <c r="P621" s="415"/>
      <c r="Q621" s="416"/>
      <c r="R621" s="416"/>
      <c r="S621" s="416"/>
      <c r="T621" s="416"/>
      <c r="U621" s="415"/>
      <c r="V621" s="415"/>
    </row>
    <row r="622" spans="1:22">
      <c r="A622" s="91"/>
      <c r="B622" s="255"/>
      <c r="C622" s="417"/>
      <c r="D622" s="417"/>
      <c r="E622" s="417"/>
      <c r="F622" s="417"/>
      <c r="G622" s="417"/>
      <c r="H622" s="417"/>
      <c r="I622" s="417"/>
      <c r="J622" s="417"/>
      <c r="K622" s="417"/>
      <c r="L622" s="417"/>
      <c r="M622" s="415"/>
      <c r="N622" s="415"/>
      <c r="O622" s="415"/>
      <c r="P622" s="415"/>
      <c r="Q622" s="416"/>
      <c r="R622" s="416"/>
      <c r="S622" s="416"/>
      <c r="T622" s="416"/>
      <c r="U622" s="415"/>
      <c r="V622" s="415"/>
    </row>
    <row r="623" spans="1:22">
      <c r="A623" s="91"/>
      <c r="B623" s="255"/>
      <c r="C623" s="417"/>
      <c r="D623" s="417"/>
      <c r="E623" s="417"/>
      <c r="F623" s="417"/>
      <c r="G623" s="417"/>
      <c r="H623" s="417"/>
      <c r="I623" s="417"/>
      <c r="J623" s="417"/>
      <c r="K623" s="417"/>
      <c r="L623" s="417"/>
      <c r="M623" s="415"/>
      <c r="N623" s="415"/>
      <c r="O623" s="415"/>
      <c r="P623" s="415"/>
      <c r="Q623" s="416"/>
      <c r="R623" s="416"/>
      <c r="S623" s="416"/>
      <c r="T623" s="416"/>
      <c r="U623" s="415"/>
      <c r="V623" s="415"/>
    </row>
    <row r="624" spans="1:22">
      <c r="A624" s="91"/>
      <c r="B624" s="255"/>
      <c r="C624" s="417"/>
      <c r="D624" s="417"/>
      <c r="E624" s="417"/>
      <c r="F624" s="417"/>
      <c r="G624" s="417"/>
      <c r="H624" s="417"/>
      <c r="I624" s="417"/>
      <c r="J624" s="417"/>
      <c r="K624" s="417"/>
      <c r="L624" s="417"/>
      <c r="M624" s="415"/>
      <c r="N624" s="415"/>
      <c r="O624" s="415"/>
      <c r="P624" s="415"/>
      <c r="Q624" s="416"/>
      <c r="R624" s="416"/>
      <c r="S624" s="416"/>
      <c r="T624" s="416"/>
      <c r="U624" s="415"/>
      <c r="V624" s="415"/>
    </row>
    <row r="625" spans="1:22">
      <c r="A625" s="91"/>
      <c r="B625" s="255"/>
      <c r="C625" s="417"/>
      <c r="D625" s="417"/>
      <c r="E625" s="417"/>
      <c r="F625" s="417"/>
      <c r="G625" s="417"/>
      <c r="H625" s="417"/>
      <c r="I625" s="417"/>
      <c r="J625" s="417"/>
      <c r="K625" s="417"/>
      <c r="L625" s="417"/>
      <c r="M625" s="415"/>
      <c r="N625" s="415"/>
      <c r="O625" s="415"/>
      <c r="P625" s="415"/>
      <c r="Q625" s="416"/>
      <c r="R625" s="416"/>
      <c r="S625" s="416"/>
      <c r="T625" s="416"/>
      <c r="U625" s="415"/>
      <c r="V625" s="415"/>
    </row>
    <row r="626" spans="1:22">
      <c r="A626" s="91"/>
      <c r="B626" s="255"/>
      <c r="C626" s="417"/>
      <c r="D626" s="417"/>
      <c r="E626" s="417"/>
      <c r="F626" s="417"/>
      <c r="G626" s="417"/>
      <c r="H626" s="417"/>
      <c r="I626" s="417"/>
      <c r="J626" s="417"/>
      <c r="K626" s="417"/>
      <c r="L626" s="417"/>
      <c r="M626" s="415"/>
      <c r="N626" s="415"/>
      <c r="O626" s="415"/>
      <c r="P626" s="415"/>
      <c r="Q626" s="416"/>
      <c r="R626" s="416"/>
      <c r="S626" s="416"/>
      <c r="T626" s="416"/>
      <c r="U626" s="415"/>
      <c r="V626" s="415"/>
    </row>
    <row r="627" spans="1:22">
      <c r="A627" s="91"/>
      <c r="B627" s="255"/>
      <c r="C627" s="417"/>
      <c r="D627" s="417"/>
      <c r="E627" s="417"/>
      <c r="F627" s="417"/>
      <c r="G627" s="417"/>
      <c r="H627" s="417"/>
      <c r="I627" s="417"/>
      <c r="J627" s="417"/>
      <c r="K627" s="417"/>
      <c r="L627" s="417"/>
      <c r="M627" s="415"/>
      <c r="N627" s="415"/>
      <c r="O627" s="415"/>
      <c r="P627" s="415"/>
      <c r="Q627" s="416"/>
      <c r="R627" s="416"/>
      <c r="S627" s="416"/>
      <c r="T627" s="416"/>
      <c r="U627" s="415"/>
      <c r="V627" s="415"/>
    </row>
    <row r="628" spans="1:22">
      <c r="A628" s="91"/>
      <c r="B628" s="255"/>
      <c r="C628" s="417"/>
      <c r="D628" s="417"/>
      <c r="E628" s="417"/>
      <c r="F628" s="417"/>
      <c r="G628" s="417"/>
      <c r="H628" s="417"/>
      <c r="I628" s="417"/>
      <c r="J628" s="417"/>
      <c r="K628" s="417"/>
      <c r="L628" s="417"/>
      <c r="M628" s="415"/>
      <c r="N628" s="415"/>
      <c r="O628" s="415"/>
      <c r="P628" s="415"/>
      <c r="Q628" s="416"/>
      <c r="R628" s="416"/>
      <c r="S628" s="416"/>
      <c r="T628" s="416"/>
      <c r="U628" s="415"/>
      <c r="V628" s="415"/>
    </row>
    <row r="629" spans="1:22">
      <c r="A629" s="91"/>
      <c r="B629" s="255"/>
      <c r="C629" s="417"/>
      <c r="D629" s="417"/>
      <c r="E629" s="417"/>
      <c r="F629" s="417"/>
      <c r="G629" s="417"/>
      <c r="H629" s="417"/>
      <c r="I629" s="417"/>
      <c r="J629" s="417"/>
      <c r="K629" s="417"/>
      <c r="L629" s="417"/>
      <c r="M629" s="415"/>
      <c r="N629" s="415"/>
      <c r="O629" s="415"/>
      <c r="P629" s="415"/>
      <c r="Q629" s="416"/>
      <c r="R629" s="416"/>
      <c r="S629" s="416"/>
      <c r="T629" s="416"/>
      <c r="U629" s="415"/>
      <c r="V629" s="415"/>
    </row>
    <row r="630" spans="1:22">
      <c r="A630" s="91"/>
      <c r="B630" s="255"/>
      <c r="C630" s="417"/>
      <c r="D630" s="417"/>
      <c r="E630" s="417"/>
      <c r="F630" s="417"/>
      <c r="G630" s="417"/>
      <c r="H630" s="417"/>
      <c r="I630" s="417"/>
      <c r="J630" s="417"/>
      <c r="K630" s="417"/>
      <c r="L630" s="417"/>
      <c r="M630" s="415"/>
      <c r="N630" s="415"/>
      <c r="O630" s="415"/>
      <c r="P630" s="415"/>
      <c r="Q630" s="416"/>
      <c r="R630" s="416"/>
      <c r="S630" s="416"/>
      <c r="T630" s="416"/>
      <c r="U630" s="415"/>
      <c r="V630" s="415"/>
    </row>
    <row r="631" spans="1:22">
      <c r="A631" s="91"/>
      <c r="B631" s="255"/>
      <c r="C631" s="417"/>
      <c r="D631" s="417"/>
      <c r="E631" s="417"/>
      <c r="F631" s="417"/>
      <c r="G631" s="417"/>
      <c r="H631" s="417"/>
      <c r="I631" s="417"/>
      <c r="J631" s="417"/>
      <c r="K631" s="417"/>
      <c r="L631" s="417"/>
      <c r="M631" s="415"/>
      <c r="N631" s="415"/>
      <c r="O631" s="415"/>
      <c r="P631" s="415"/>
      <c r="Q631" s="416"/>
      <c r="R631" s="416"/>
      <c r="S631" s="416"/>
      <c r="T631" s="416"/>
      <c r="U631" s="415"/>
      <c r="V631" s="415"/>
    </row>
    <row r="632" spans="1:22">
      <c r="A632" s="91"/>
      <c r="B632" s="255"/>
      <c r="C632" s="417"/>
      <c r="D632" s="417"/>
      <c r="E632" s="417"/>
      <c r="F632" s="417"/>
      <c r="G632" s="417"/>
      <c r="H632" s="417"/>
      <c r="I632" s="417"/>
      <c r="J632" s="417"/>
      <c r="K632" s="417"/>
      <c r="L632" s="417"/>
      <c r="M632" s="415"/>
      <c r="N632" s="415"/>
      <c r="O632" s="415"/>
      <c r="P632" s="415"/>
      <c r="Q632" s="416"/>
      <c r="R632" s="416"/>
      <c r="S632" s="416"/>
      <c r="T632" s="416"/>
      <c r="U632" s="415"/>
      <c r="V632" s="415"/>
    </row>
    <row r="633" spans="1:22">
      <c r="A633" s="91"/>
      <c r="B633" s="255"/>
      <c r="C633" s="417"/>
      <c r="D633" s="417"/>
      <c r="E633" s="417"/>
      <c r="F633" s="417"/>
      <c r="G633" s="417"/>
      <c r="H633" s="417"/>
      <c r="I633" s="417"/>
      <c r="J633" s="417"/>
      <c r="K633" s="417"/>
      <c r="L633" s="417"/>
      <c r="M633" s="415"/>
      <c r="N633" s="415"/>
      <c r="O633" s="415"/>
      <c r="P633" s="415"/>
      <c r="Q633" s="416"/>
      <c r="R633" s="416"/>
      <c r="S633" s="416"/>
      <c r="T633" s="416"/>
      <c r="U633" s="415"/>
      <c r="V633" s="415"/>
    </row>
    <row r="634" spans="1:22">
      <c r="A634" s="91"/>
      <c r="B634" s="255"/>
      <c r="C634" s="417"/>
      <c r="D634" s="417"/>
      <c r="E634" s="417"/>
      <c r="F634" s="417"/>
      <c r="G634" s="417"/>
      <c r="H634" s="417"/>
      <c r="I634" s="417"/>
      <c r="J634" s="417"/>
      <c r="K634" s="417"/>
      <c r="L634" s="417"/>
      <c r="M634" s="415"/>
      <c r="N634" s="415"/>
      <c r="O634" s="415"/>
      <c r="P634" s="415"/>
      <c r="Q634" s="416"/>
      <c r="R634" s="416"/>
      <c r="S634" s="416"/>
      <c r="T634" s="416"/>
      <c r="U634" s="415"/>
      <c r="V634" s="415"/>
    </row>
    <row r="635" spans="1:22">
      <c r="A635" s="91"/>
      <c r="B635" s="255"/>
      <c r="C635" s="417"/>
      <c r="D635" s="417"/>
      <c r="E635" s="417"/>
      <c r="F635" s="417"/>
      <c r="G635" s="417"/>
      <c r="H635" s="417"/>
      <c r="I635" s="417"/>
      <c r="J635" s="417"/>
      <c r="K635" s="417"/>
      <c r="L635" s="417"/>
      <c r="M635" s="415"/>
      <c r="N635" s="415"/>
      <c r="O635" s="415"/>
      <c r="P635" s="415"/>
      <c r="Q635" s="416"/>
      <c r="R635" s="416"/>
      <c r="S635" s="416"/>
      <c r="T635" s="416"/>
      <c r="U635" s="415"/>
      <c r="V635" s="415"/>
    </row>
    <row r="636" spans="1:22">
      <c r="A636" s="91"/>
      <c r="B636" s="255"/>
      <c r="C636" s="417"/>
      <c r="D636" s="417"/>
      <c r="E636" s="417"/>
      <c r="F636" s="417"/>
      <c r="G636" s="417"/>
      <c r="H636" s="417"/>
      <c r="I636" s="417"/>
      <c r="J636" s="417"/>
      <c r="K636" s="417"/>
      <c r="L636" s="417"/>
      <c r="M636" s="415"/>
      <c r="N636" s="415"/>
      <c r="O636" s="415"/>
      <c r="P636" s="415"/>
      <c r="Q636" s="416"/>
      <c r="R636" s="416"/>
      <c r="S636" s="416"/>
      <c r="T636" s="416"/>
      <c r="U636" s="415"/>
      <c r="V636" s="415"/>
    </row>
    <row r="637" spans="1:22">
      <c r="A637" s="91"/>
      <c r="B637" s="255"/>
      <c r="C637" s="417"/>
      <c r="D637" s="417"/>
      <c r="E637" s="417"/>
      <c r="F637" s="417"/>
      <c r="G637" s="417"/>
      <c r="H637" s="417"/>
      <c r="I637" s="417"/>
      <c r="J637" s="417"/>
      <c r="K637" s="417"/>
      <c r="L637" s="417"/>
      <c r="M637" s="415"/>
      <c r="N637" s="415"/>
      <c r="O637" s="415"/>
      <c r="P637" s="415"/>
      <c r="Q637" s="416"/>
      <c r="R637" s="416"/>
      <c r="S637" s="416"/>
      <c r="T637" s="416"/>
      <c r="U637" s="415"/>
      <c r="V637" s="415"/>
    </row>
    <row r="638" spans="1:22">
      <c r="A638" s="91"/>
      <c r="B638" s="255"/>
      <c r="C638" s="417"/>
      <c r="D638" s="417"/>
      <c r="E638" s="417"/>
      <c r="F638" s="417"/>
      <c r="G638" s="417"/>
      <c r="H638" s="417"/>
      <c r="I638" s="417"/>
      <c r="J638" s="417"/>
      <c r="K638" s="417"/>
      <c r="L638" s="417"/>
      <c r="M638" s="415"/>
      <c r="N638" s="415"/>
      <c r="O638" s="415"/>
      <c r="P638" s="415"/>
      <c r="Q638" s="413"/>
      <c r="R638" s="414"/>
      <c r="S638" s="413"/>
      <c r="T638" s="414"/>
      <c r="U638" s="415"/>
      <c r="V638" s="415"/>
    </row>
    <row r="639" spans="1:22">
      <c r="A639" s="91"/>
      <c r="B639" s="255"/>
      <c r="C639" s="417"/>
      <c r="D639" s="417"/>
      <c r="E639" s="417"/>
      <c r="F639" s="417"/>
      <c r="G639" s="417"/>
      <c r="H639" s="417"/>
      <c r="I639" s="417"/>
      <c r="J639" s="417"/>
      <c r="K639" s="417"/>
      <c r="L639" s="417"/>
      <c r="M639" s="415"/>
      <c r="N639" s="415"/>
      <c r="O639" s="415"/>
      <c r="P639" s="415"/>
      <c r="Q639" s="413"/>
      <c r="R639" s="414"/>
      <c r="S639" s="413"/>
      <c r="T639" s="414"/>
      <c r="U639" s="415"/>
      <c r="V639" s="415"/>
    </row>
    <row r="640" spans="1:22">
      <c r="A640" s="91"/>
      <c r="B640" s="255"/>
      <c r="C640" s="417"/>
      <c r="D640" s="417"/>
      <c r="E640" s="417"/>
      <c r="F640" s="417"/>
      <c r="G640" s="417"/>
      <c r="H640" s="417"/>
      <c r="I640" s="417"/>
      <c r="J640" s="417"/>
      <c r="K640" s="417"/>
      <c r="L640" s="417"/>
      <c r="M640" s="415"/>
      <c r="N640" s="415"/>
      <c r="O640" s="415"/>
      <c r="P640" s="415"/>
      <c r="Q640" s="413"/>
      <c r="R640" s="414"/>
      <c r="S640" s="413"/>
      <c r="T640" s="414"/>
      <c r="U640" s="415"/>
      <c r="V640" s="415"/>
    </row>
    <row r="641" spans="1:22">
      <c r="A641" s="91"/>
      <c r="B641" s="255"/>
      <c r="C641" s="417"/>
      <c r="D641" s="417"/>
      <c r="E641" s="417"/>
      <c r="F641" s="417"/>
      <c r="G641" s="417"/>
      <c r="H641" s="417"/>
      <c r="I641" s="417"/>
      <c r="J641" s="417"/>
      <c r="K641" s="417"/>
      <c r="L641" s="417"/>
      <c r="M641" s="415"/>
      <c r="N641" s="415"/>
      <c r="O641" s="415"/>
      <c r="P641" s="415"/>
      <c r="Q641" s="413"/>
      <c r="R641" s="414"/>
      <c r="S641" s="413"/>
      <c r="T641" s="414"/>
      <c r="U641" s="415"/>
      <c r="V641" s="415"/>
    </row>
    <row r="642" spans="1:22">
      <c r="A642" s="91"/>
      <c r="B642" s="255"/>
      <c r="C642" s="417"/>
      <c r="D642" s="417"/>
      <c r="E642" s="417"/>
      <c r="F642" s="417"/>
      <c r="G642" s="417"/>
      <c r="H642" s="417"/>
      <c r="I642" s="417"/>
      <c r="J642" s="417"/>
      <c r="K642" s="417"/>
      <c r="L642" s="417"/>
      <c r="M642" s="415"/>
      <c r="N642" s="415"/>
      <c r="O642" s="415"/>
      <c r="P642" s="415"/>
      <c r="Q642" s="413"/>
      <c r="R642" s="414"/>
      <c r="S642" s="413"/>
      <c r="T642" s="414"/>
      <c r="U642" s="415"/>
      <c r="V642" s="415"/>
    </row>
    <row r="643" spans="1:22">
      <c r="A643" s="91"/>
      <c r="B643" s="255"/>
      <c r="C643" s="417"/>
      <c r="D643" s="417"/>
      <c r="E643" s="417"/>
      <c r="F643" s="417"/>
      <c r="G643" s="417"/>
      <c r="H643" s="417"/>
      <c r="I643" s="417"/>
      <c r="J643" s="417"/>
      <c r="K643" s="417"/>
      <c r="L643" s="417"/>
      <c r="M643" s="415"/>
      <c r="N643" s="415"/>
      <c r="O643" s="415"/>
      <c r="P643" s="415"/>
      <c r="Q643" s="416"/>
      <c r="R643" s="416"/>
      <c r="S643" s="416"/>
      <c r="T643" s="416"/>
      <c r="U643" s="415"/>
      <c r="V643" s="415"/>
    </row>
    <row r="644" spans="1:22">
      <c r="A644" s="91"/>
      <c r="B644" s="255"/>
      <c r="C644" s="417"/>
      <c r="D644" s="417"/>
      <c r="E644" s="417"/>
      <c r="F644" s="417"/>
      <c r="G644" s="417"/>
      <c r="H644" s="417"/>
      <c r="I644" s="417"/>
      <c r="J644" s="417"/>
      <c r="K644" s="417"/>
      <c r="L644" s="417"/>
      <c r="M644" s="415"/>
      <c r="N644" s="415"/>
      <c r="O644" s="415"/>
      <c r="P644" s="415"/>
      <c r="Q644" s="416"/>
      <c r="R644" s="416"/>
      <c r="S644" s="416"/>
      <c r="T644" s="416"/>
      <c r="U644" s="415"/>
      <c r="V644" s="415"/>
    </row>
    <row r="645" spans="1:22">
      <c r="A645" s="91"/>
      <c r="B645" s="255"/>
      <c r="C645" s="417"/>
      <c r="D645" s="417"/>
      <c r="E645" s="417"/>
      <c r="F645" s="417"/>
      <c r="G645" s="417"/>
      <c r="H645" s="417"/>
      <c r="I645" s="417"/>
      <c r="J645" s="417"/>
      <c r="K645" s="417"/>
      <c r="L645" s="417"/>
      <c r="M645" s="415"/>
      <c r="N645" s="415"/>
      <c r="O645" s="415"/>
      <c r="P645" s="415"/>
      <c r="Q645" s="416"/>
      <c r="R645" s="416"/>
      <c r="S645" s="416"/>
      <c r="T645" s="416"/>
      <c r="U645" s="415"/>
      <c r="V645" s="415"/>
    </row>
    <row r="646" spans="1:22">
      <c r="A646" s="91"/>
      <c r="B646" s="255"/>
      <c r="C646" s="417"/>
      <c r="D646" s="417"/>
      <c r="E646" s="417"/>
      <c r="F646" s="417"/>
      <c r="G646" s="417"/>
      <c r="H646" s="417"/>
      <c r="I646" s="417"/>
      <c r="J646" s="417"/>
      <c r="K646" s="417"/>
      <c r="L646" s="417"/>
      <c r="M646" s="415"/>
      <c r="N646" s="415"/>
      <c r="O646" s="415"/>
      <c r="P646" s="415"/>
      <c r="Q646" s="416"/>
      <c r="R646" s="416"/>
      <c r="S646" s="416"/>
      <c r="T646" s="416"/>
      <c r="U646" s="415"/>
      <c r="V646" s="415"/>
    </row>
    <row r="647" spans="1:22">
      <c r="A647" s="91"/>
      <c r="B647" s="255"/>
      <c r="C647" s="417"/>
      <c r="D647" s="417"/>
      <c r="E647" s="417"/>
      <c r="F647" s="417"/>
      <c r="G647" s="417"/>
      <c r="H647" s="417"/>
      <c r="I647" s="417"/>
      <c r="J647" s="417"/>
      <c r="K647" s="417"/>
      <c r="L647" s="417"/>
      <c r="M647" s="415"/>
      <c r="N647" s="415"/>
      <c r="O647" s="415"/>
      <c r="P647" s="415"/>
      <c r="Q647" s="416"/>
      <c r="R647" s="416"/>
      <c r="S647" s="416"/>
      <c r="T647" s="416"/>
      <c r="U647" s="415"/>
      <c r="V647" s="415"/>
    </row>
    <row r="648" spans="1:22">
      <c r="A648" s="91"/>
      <c r="B648" s="255"/>
      <c r="C648" s="417"/>
      <c r="D648" s="417"/>
      <c r="E648" s="417"/>
      <c r="F648" s="417"/>
      <c r="G648" s="417"/>
      <c r="H648" s="417"/>
      <c r="I648" s="417"/>
      <c r="J648" s="417"/>
      <c r="K648" s="417"/>
      <c r="L648" s="417"/>
      <c r="M648" s="415"/>
      <c r="N648" s="415"/>
      <c r="O648" s="415"/>
      <c r="P648" s="415"/>
      <c r="Q648" s="416"/>
      <c r="R648" s="416"/>
      <c r="S648" s="416"/>
      <c r="T648" s="416"/>
      <c r="U648" s="415"/>
      <c r="V648" s="415"/>
    </row>
    <row r="649" spans="1:22">
      <c r="A649" s="91"/>
      <c r="B649" s="255"/>
      <c r="C649" s="417"/>
      <c r="D649" s="417"/>
      <c r="E649" s="417"/>
      <c r="F649" s="417"/>
      <c r="G649" s="417"/>
      <c r="H649" s="417"/>
      <c r="I649" s="417"/>
      <c r="J649" s="417"/>
      <c r="K649" s="417"/>
      <c r="L649" s="417"/>
      <c r="M649" s="415"/>
      <c r="N649" s="415"/>
      <c r="O649" s="415"/>
      <c r="P649" s="415"/>
      <c r="Q649" s="416"/>
      <c r="R649" s="416"/>
      <c r="S649" s="416"/>
      <c r="T649" s="416"/>
      <c r="U649" s="415"/>
      <c r="V649" s="415"/>
    </row>
    <row r="650" spans="1:22">
      <c r="A650" s="91"/>
      <c r="B650" s="255"/>
      <c r="C650" s="417"/>
      <c r="D650" s="417"/>
      <c r="E650" s="417"/>
      <c r="F650" s="417"/>
      <c r="G650" s="417"/>
      <c r="H650" s="417"/>
      <c r="I650" s="417"/>
      <c r="J650" s="417"/>
      <c r="K650" s="417"/>
      <c r="L650" s="417"/>
      <c r="M650" s="415"/>
      <c r="N650" s="415"/>
      <c r="O650" s="415"/>
      <c r="P650" s="415"/>
      <c r="Q650" s="416"/>
      <c r="R650" s="416"/>
      <c r="S650" s="416"/>
      <c r="T650" s="416"/>
      <c r="U650" s="415"/>
      <c r="V650" s="415"/>
    </row>
    <row r="651" spans="1:22">
      <c r="A651" s="91"/>
      <c r="B651" s="255"/>
      <c r="C651" s="417"/>
      <c r="D651" s="417"/>
      <c r="E651" s="417"/>
      <c r="F651" s="417"/>
      <c r="G651" s="417"/>
      <c r="H651" s="417"/>
      <c r="I651" s="417"/>
      <c r="J651" s="417"/>
      <c r="K651" s="417"/>
      <c r="L651" s="417"/>
      <c r="M651" s="415"/>
      <c r="N651" s="415"/>
      <c r="O651" s="415"/>
      <c r="P651" s="415"/>
      <c r="Q651" s="416"/>
      <c r="R651" s="416"/>
      <c r="S651" s="416"/>
      <c r="T651" s="416"/>
      <c r="U651" s="415"/>
      <c r="V651" s="415"/>
    </row>
    <row r="652" spans="1:22">
      <c r="A652" s="91"/>
      <c r="B652" s="255"/>
      <c r="C652" s="417"/>
      <c r="D652" s="417"/>
      <c r="E652" s="417"/>
      <c r="F652" s="417"/>
      <c r="G652" s="417"/>
      <c r="H652" s="417"/>
      <c r="I652" s="417"/>
      <c r="J652" s="417"/>
      <c r="K652" s="417"/>
      <c r="L652" s="417"/>
      <c r="M652" s="415"/>
      <c r="N652" s="415"/>
      <c r="O652" s="415"/>
      <c r="P652" s="415"/>
      <c r="Q652" s="416"/>
      <c r="R652" s="416"/>
      <c r="S652" s="416"/>
      <c r="T652" s="416"/>
      <c r="U652" s="415"/>
      <c r="V652" s="415"/>
    </row>
    <row r="653" spans="1:22">
      <c r="A653" s="91"/>
      <c r="B653" s="255"/>
      <c r="C653" s="417"/>
      <c r="D653" s="417"/>
      <c r="E653" s="417"/>
      <c r="F653" s="417"/>
      <c r="G653" s="417"/>
      <c r="H653" s="417"/>
      <c r="I653" s="417"/>
      <c r="J653" s="417"/>
      <c r="K653" s="417"/>
      <c r="L653" s="417"/>
      <c r="M653" s="415"/>
      <c r="N653" s="415"/>
      <c r="O653" s="415"/>
      <c r="P653" s="415"/>
      <c r="Q653" s="416"/>
      <c r="R653" s="416"/>
      <c r="S653" s="416"/>
      <c r="T653" s="416"/>
      <c r="U653" s="415"/>
      <c r="V653" s="415"/>
    </row>
    <row r="654" spans="1:22">
      <c r="A654" s="91"/>
      <c r="B654" s="255"/>
      <c r="C654" s="417"/>
      <c r="D654" s="417"/>
      <c r="E654" s="417"/>
      <c r="F654" s="417"/>
      <c r="G654" s="417"/>
      <c r="H654" s="417"/>
      <c r="I654" s="417"/>
      <c r="J654" s="417"/>
      <c r="K654" s="417"/>
      <c r="L654" s="417"/>
      <c r="M654" s="415"/>
      <c r="N654" s="415"/>
      <c r="O654" s="415"/>
      <c r="P654" s="415"/>
      <c r="Q654" s="416"/>
      <c r="R654" s="416"/>
      <c r="S654" s="416"/>
      <c r="T654" s="416"/>
      <c r="U654" s="415"/>
      <c r="V654" s="415"/>
    </row>
    <row r="655" spans="1:22">
      <c r="A655" s="91"/>
      <c r="B655" s="255"/>
      <c r="C655" s="417"/>
      <c r="D655" s="417"/>
      <c r="E655" s="417"/>
      <c r="F655" s="417"/>
      <c r="G655" s="417"/>
      <c r="H655" s="417"/>
      <c r="I655" s="417"/>
      <c r="J655" s="417"/>
      <c r="K655" s="417"/>
      <c r="L655" s="417"/>
      <c r="M655" s="415"/>
      <c r="N655" s="415"/>
      <c r="O655" s="415"/>
      <c r="P655" s="415"/>
      <c r="Q655" s="416"/>
      <c r="R655" s="416"/>
      <c r="S655" s="416"/>
      <c r="T655" s="416"/>
      <c r="U655" s="415"/>
      <c r="V655" s="415"/>
    </row>
    <row r="656" spans="1:22">
      <c r="A656" s="91"/>
      <c r="B656" s="255"/>
      <c r="C656" s="417"/>
      <c r="D656" s="417"/>
      <c r="E656" s="417"/>
      <c r="F656" s="417"/>
      <c r="G656" s="417"/>
      <c r="H656" s="417"/>
      <c r="I656" s="417"/>
      <c r="J656" s="417"/>
      <c r="K656" s="417"/>
      <c r="L656" s="417"/>
      <c r="M656" s="415"/>
      <c r="N656" s="415"/>
      <c r="O656" s="415"/>
      <c r="P656" s="415"/>
      <c r="Q656" s="416"/>
      <c r="R656" s="416"/>
      <c r="S656" s="416"/>
      <c r="T656" s="416"/>
      <c r="U656" s="415"/>
      <c r="V656" s="415"/>
    </row>
    <row r="657" spans="1:22">
      <c r="A657" s="91"/>
      <c r="B657" s="255"/>
      <c r="C657" s="417"/>
      <c r="D657" s="417"/>
      <c r="E657" s="417"/>
      <c r="F657" s="417"/>
      <c r="G657" s="417"/>
      <c r="H657" s="417"/>
      <c r="I657" s="417"/>
      <c r="J657" s="417"/>
      <c r="K657" s="417"/>
      <c r="L657" s="417"/>
      <c r="M657" s="415"/>
      <c r="N657" s="415"/>
      <c r="O657" s="415"/>
      <c r="P657" s="415"/>
      <c r="Q657" s="416"/>
      <c r="R657" s="416"/>
      <c r="S657" s="416"/>
      <c r="T657" s="416"/>
      <c r="U657" s="415"/>
      <c r="V657" s="415"/>
    </row>
    <row r="658" spans="1:22">
      <c r="A658" s="91"/>
      <c r="B658" s="255"/>
      <c r="C658" s="417"/>
      <c r="D658" s="417"/>
      <c r="E658" s="417"/>
      <c r="F658" s="417"/>
      <c r="G658" s="417"/>
      <c r="H658" s="417"/>
      <c r="I658" s="417"/>
      <c r="J658" s="417"/>
      <c r="K658" s="417"/>
      <c r="L658" s="417"/>
      <c r="M658" s="415"/>
      <c r="N658" s="415"/>
      <c r="O658" s="415"/>
      <c r="P658" s="415"/>
      <c r="Q658" s="416"/>
      <c r="R658" s="416"/>
      <c r="S658" s="416"/>
      <c r="T658" s="416"/>
      <c r="U658" s="415"/>
      <c r="V658" s="415"/>
    </row>
    <row r="659" spans="1:22">
      <c r="A659" s="91"/>
      <c r="B659" s="255"/>
      <c r="C659" s="417"/>
      <c r="D659" s="417"/>
      <c r="E659" s="417"/>
      <c r="F659" s="417"/>
      <c r="G659" s="417"/>
      <c r="H659" s="417"/>
      <c r="I659" s="417"/>
      <c r="J659" s="417"/>
      <c r="K659" s="417"/>
      <c r="L659" s="417"/>
      <c r="M659" s="415"/>
      <c r="N659" s="415"/>
      <c r="O659" s="415"/>
      <c r="P659" s="415"/>
      <c r="Q659" s="416"/>
      <c r="R659" s="416"/>
      <c r="S659" s="416"/>
      <c r="T659" s="416"/>
      <c r="U659" s="415"/>
      <c r="V659" s="415"/>
    </row>
    <row r="660" spans="1:22">
      <c r="A660" s="91"/>
      <c r="B660" s="255"/>
      <c r="C660" s="417"/>
      <c r="D660" s="417"/>
      <c r="E660" s="417"/>
      <c r="F660" s="417"/>
      <c r="G660" s="417"/>
      <c r="H660" s="417"/>
      <c r="I660" s="417"/>
      <c r="J660" s="417"/>
      <c r="K660" s="417"/>
      <c r="L660" s="417"/>
      <c r="M660" s="415"/>
      <c r="N660" s="415"/>
      <c r="O660" s="415"/>
      <c r="P660" s="415"/>
      <c r="Q660" s="416"/>
      <c r="R660" s="416"/>
      <c r="S660" s="416"/>
      <c r="T660" s="416"/>
      <c r="U660" s="415"/>
      <c r="V660" s="415"/>
    </row>
    <row r="661" spans="1:22">
      <c r="A661" s="91"/>
      <c r="B661" s="255"/>
      <c r="C661" s="417"/>
      <c r="D661" s="417"/>
      <c r="E661" s="417"/>
      <c r="F661" s="417"/>
      <c r="G661" s="417"/>
      <c r="H661" s="417"/>
      <c r="I661" s="417"/>
      <c r="J661" s="417"/>
      <c r="K661" s="417"/>
      <c r="L661" s="417"/>
      <c r="M661" s="415"/>
      <c r="N661" s="415"/>
      <c r="O661" s="415"/>
      <c r="P661" s="415"/>
      <c r="Q661" s="416"/>
      <c r="R661" s="416"/>
      <c r="S661" s="416"/>
      <c r="T661" s="416"/>
      <c r="U661" s="415"/>
      <c r="V661" s="415"/>
    </row>
    <row r="662" spans="1:22">
      <c r="A662" s="91"/>
      <c r="B662" s="255"/>
      <c r="C662" s="417"/>
      <c r="D662" s="417"/>
      <c r="E662" s="417"/>
      <c r="F662" s="417"/>
      <c r="G662" s="417"/>
      <c r="H662" s="417"/>
      <c r="I662" s="417"/>
      <c r="J662" s="417"/>
      <c r="K662" s="417"/>
      <c r="L662" s="417"/>
      <c r="M662" s="415"/>
      <c r="N662" s="415"/>
      <c r="O662" s="415"/>
      <c r="P662" s="415"/>
      <c r="Q662" s="416"/>
      <c r="R662" s="416"/>
      <c r="S662" s="416"/>
      <c r="T662" s="416"/>
      <c r="U662" s="415"/>
      <c r="V662" s="415"/>
    </row>
    <row r="663" spans="1:22">
      <c r="A663" s="91"/>
      <c r="B663" s="255"/>
      <c r="C663" s="417"/>
      <c r="D663" s="417"/>
      <c r="E663" s="417"/>
      <c r="F663" s="417"/>
      <c r="G663" s="417"/>
      <c r="H663" s="417"/>
      <c r="I663" s="417"/>
      <c r="J663" s="417"/>
      <c r="K663" s="417"/>
      <c r="L663" s="417"/>
      <c r="M663" s="415"/>
      <c r="N663" s="415"/>
      <c r="O663" s="415"/>
      <c r="P663" s="415"/>
      <c r="Q663" s="416"/>
      <c r="R663" s="416"/>
      <c r="S663" s="416"/>
      <c r="T663" s="416"/>
      <c r="U663" s="415"/>
      <c r="V663" s="415"/>
    </row>
    <row r="664" spans="1:22">
      <c r="A664" s="91"/>
      <c r="B664" s="255"/>
      <c r="C664" s="417"/>
      <c r="D664" s="417"/>
      <c r="E664" s="417"/>
      <c r="F664" s="417"/>
      <c r="G664" s="417"/>
      <c r="H664" s="417"/>
      <c r="I664" s="417"/>
      <c r="J664" s="417"/>
      <c r="K664" s="417"/>
      <c r="L664" s="417"/>
      <c r="M664" s="415"/>
      <c r="N664" s="415"/>
      <c r="O664" s="415"/>
      <c r="P664" s="415"/>
      <c r="Q664" s="416"/>
      <c r="R664" s="416"/>
      <c r="S664" s="416"/>
      <c r="T664" s="416"/>
      <c r="U664" s="415"/>
      <c r="V664" s="415"/>
    </row>
    <row r="665" spans="1:22">
      <c r="A665" s="91"/>
      <c r="B665" s="255"/>
      <c r="C665" s="417"/>
      <c r="D665" s="417"/>
      <c r="E665" s="417"/>
      <c r="F665" s="417"/>
      <c r="G665" s="417"/>
      <c r="H665" s="417"/>
      <c r="I665" s="417"/>
      <c r="J665" s="417"/>
      <c r="K665" s="417"/>
      <c r="L665" s="417"/>
      <c r="M665" s="415"/>
      <c r="N665" s="415"/>
      <c r="O665" s="415"/>
      <c r="P665" s="415"/>
      <c r="Q665" s="416"/>
      <c r="R665" s="416"/>
      <c r="S665" s="416"/>
      <c r="T665" s="416"/>
      <c r="U665" s="415"/>
      <c r="V665" s="415"/>
    </row>
    <row r="666" spans="1:22">
      <c r="A666" s="91"/>
      <c r="B666" s="255"/>
      <c r="C666" s="417"/>
      <c r="D666" s="417"/>
      <c r="E666" s="417"/>
      <c r="F666" s="417"/>
      <c r="G666" s="417"/>
      <c r="H666" s="417"/>
      <c r="I666" s="417"/>
      <c r="J666" s="417"/>
      <c r="K666" s="417"/>
      <c r="L666" s="417"/>
      <c r="M666" s="415"/>
      <c r="N666" s="415"/>
      <c r="O666" s="415"/>
      <c r="P666" s="415"/>
      <c r="Q666" s="416"/>
      <c r="R666" s="416"/>
      <c r="S666" s="416"/>
      <c r="T666" s="416"/>
      <c r="U666" s="415"/>
      <c r="V666" s="415"/>
    </row>
    <row r="667" spans="1:22">
      <c r="A667" s="91"/>
      <c r="B667" s="255"/>
      <c r="C667" s="417"/>
      <c r="D667" s="417"/>
      <c r="E667" s="417"/>
      <c r="F667" s="417"/>
      <c r="G667" s="417"/>
      <c r="H667" s="417"/>
      <c r="I667" s="417"/>
      <c r="J667" s="417"/>
      <c r="K667" s="417"/>
      <c r="L667" s="417"/>
      <c r="M667" s="415"/>
      <c r="N667" s="415"/>
      <c r="O667" s="415"/>
      <c r="P667" s="415"/>
      <c r="Q667" s="416"/>
      <c r="R667" s="416"/>
      <c r="S667" s="416"/>
      <c r="T667" s="416"/>
      <c r="U667" s="415"/>
      <c r="V667" s="415"/>
    </row>
    <row r="668" spans="1:22">
      <c r="A668" s="91"/>
      <c r="B668" s="255"/>
      <c r="C668" s="417"/>
      <c r="D668" s="417"/>
      <c r="E668" s="417"/>
      <c r="F668" s="417"/>
      <c r="G668" s="417"/>
      <c r="H668" s="417"/>
      <c r="I668" s="417"/>
      <c r="J668" s="417"/>
      <c r="K668" s="417"/>
      <c r="L668" s="417"/>
      <c r="M668" s="415"/>
      <c r="N668" s="415"/>
      <c r="O668" s="415"/>
      <c r="P668" s="415"/>
      <c r="Q668" s="416"/>
      <c r="R668" s="416"/>
      <c r="S668" s="416"/>
      <c r="T668" s="416"/>
      <c r="U668" s="415"/>
      <c r="V668" s="415"/>
    </row>
    <row r="669" spans="1:22">
      <c r="A669" s="91"/>
      <c r="B669" s="255"/>
      <c r="C669" s="417"/>
      <c r="D669" s="417"/>
      <c r="E669" s="417"/>
      <c r="F669" s="417"/>
      <c r="G669" s="417"/>
      <c r="H669" s="417"/>
      <c r="I669" s="417"/>
      <c r="J669" s="417"/>
      <c r="K669" s="417"/>
      <c r="L669" s="417"/>
      <c r="M669" s="415"/>
      <c r="N669" s="415"/>
      <c r="O669" s="415"/>
      <c r="P669" s="415"/>
      <c r="Q669" s="416"/>
      <c r="R669" s="416"/>
      <c r="S669" s="416"/>
      <c r="T669" s="416"/>
      <c r="U669" s="415"/>
      <c r="V669" s="415"/>
    </row>
    <row r="670" spans="1:22">
      <c r="A670" s="91"/>
      <c r="B670" s="255"/>
      <c r="C670" s="417"/>
      <c r="D670" s="417"/>
      <c r="E670" s="417"/>
      <c r="F670" s="417"/>
      <c r="G670" s="417"/>
      <c r="H670" s="417"/>
      <c r="I670" s="417"/>
      <c r="J670" s="417"/>
      <c r="K670" s="417"/>
      <c r="L670" s="417"/>
      <c r="M670" s="415"/>
      <c r="N670" s="415"/>
      <c r="O670" s="415"/>
      <c r="P670" s="415"/>
      <c r="Q670" s="416"/>
      <c r="R670" s="416"/>
      <c r="S670" s="416"/>
      <c r="T670" s="416"/>
      <c r="U670" s="415"/>
      <c r="V670" s="415"/>
    </row>
    <row r="671" spans="1:22">
      <c r="A671" s="91"/>
      <c r="B671" s="255"/>
      <c r="C671" s="417"/>
      <c r="D671" s="417"/>
      <c r="E671" s="417"/>
      <c r="F671" s="417"/>
      <c r="G671" s="417"/>
      <c r="H671" s="417"/>
      <c r="I671" s="417"/>
      <c r="J671" s="417"/>
      <c r="K671" s="417"/>
      <c r="L671" s="417"/>
      <c r="M671" s="415"/>
      <c r="N671" s="415"/>
      <c r="O671" s="415"/>
      <c r="P671" s="415"/>
      <c r="Q671" s="416"/>
      <c r="R671" s="416"/>
      <c r="S671" s="416"/>
      <c r="T671" s="416"/>
      <c r="U671" s="415"/>
      <c r="V671" s="415"/>
    </row>
    <row r="672" spans="1:22">
      <c r="A672" s="91"/>
      <c r="B672" s="255"/>
      <c r="C672" s="417"/>
      <c r="D672" s="417"/>
      <c r="E672" s="417"/>
      <c r="F672" s="417"/>
      <c r="G672" s="417"/>
      <c r="H672" s="417"/>
      <c r="I672" s="417"/>
      <c r="J672" s="417"/>
      <c r="K672" s="417"/>
      <c r="L672" s="417"/>
      <c r="M672" s="415"/>
      <c r="N672" s="415"/>
      <c r="O672" s="415"/>
      <c r="P672" s="415"/>
      <c r="Q672" s="416"/>
      <c r="R672" s="416"/>
      <c r="S672" s="416"/>
      <c r="T672" s="416"/>
      <c r="U672" s="415"/>
      <c r="V672" s="415"/>
    </row>
    <row r="673" spans="1:22">
      <c r="A673" s="91"/>
      <c r="B673" s="255"/>
      <c r="C673" s="417"/>
      <c r="D673" s="417"/>
      <c r="E673" s="417"/>
      <c r="F673" s="417"/>
      <c r="G673" s="417"/>
      <c r="H673" s="417"/>
      <c r="I673" s="417"/>
      <c r="J673" s="417"/>
      <c r="K673" s="417"/>
      <c r="L673" s="417"/>
      <c r="M673" s="415"/>
      <c r="N673" s="415"/>
      <c r="O673" s="415"/>
      <c r="P673" s="415"/>
      <c r="Q673" s="416"/>
      <c r="R673" s="416"/>
      <c r="S673" s="416"/>
      <c r="T673" s="416"/>
      <c r="U673" s="415"/>
      <c r="V673" s="415"/>
    </row>
    <row r="674" spans="1:22">
      <c r="A674" s="91"/>
      <c r="B674" s="255"/>
      <c r="C674" s="417"/>
      <c r="D674" s="417"/>
      <c r="E674" s="417"/>
      <c r="F674" s="417"/>
      <c r="G674" s="417"/>
      <c r="H674" s="417"/>
      <c r="I674" s="417"/>
      <c r="J674" s="417"/>
      <c r="K674" s="417"/>
      <c r="L674" s="417"/>
      <c r="M674" s="415"/>
      <c r="N674" s="415"/>
      <c r="O674" s="415"/>
      <c r="P674" s="415"/>
      <c r="Q674" s="416"/>
      <c r="R674" s="416"/>
      <c r="S674" s="416"/>
      <c r="T674" s="416"/>
      <c r="U674" s="415"/>
      <c r="V674" s="415"/>
    </row>
    <row r="675" spans="1:22">
      <c r="A675" s="91"/>
      <c r="B675" s="255"/>
      <c r="C675" s="417"/>
      <c r="D675" s="417"/>
      <c r="E675" s="417"/>
      <c r="F675" s="417"/>
      <c r="G675" s="417"/>
      <c r="H675" s="417"/>
      <c r="I675" s="417"/>
      <c r="J675" s="417"/>
      <c r="K675" s="417"/>
      <c r="L675" s="417"/>
      <c r="M675" s="415"/>
      <c r="N675" s="415"/>
      <c r="O675" s="415"/>
      <c r="P675" s="415"/>
      <c r="Q675" s="416"/>
      <c r="R675" s="416"/>
      <c r="S675" s="416"/>
      <c r="T675" s="416"/>
      <c r="U675" s="415"/>
      <c r="V675" s="415"/>
    </row>
    <row r="676" spans="1:22">
      <c r="A676" s="91"/>
      <c r="B676" s="255"/>
      <c r="C676" s="417"/>
      <c r="D676" s="417"/>
      <c r="E676" s="417"/>
      <c r="F676" s="417"/>
      <c r="G676" s="417"/>
      <c r="H676" s="417"/>
      <c r="I676" s="417"/>
      <c r="J676" s="417"/>
      <c r="K676" s="417"/>
      <c r="L676" s="417"/>
      <c r="M676" s="415"/>
      <c r="N676" s="415"/>
      <c r="O676" s="415"/>
      <c r="P676" s="415"/>
      <c r="Q676" s="416"/>
      <c r="R676" s="416"/>
      <c r="S676" s="416"/>
      <c r="T676" s="416"/>
      <c r="U676" s="415"/>
      <c r="V676" s="415"/>
    </row>
    <row r="677" spans="1:22">
      <c r="A677" s="91"/>
      <c r="B677" s="255"/>
      <c r="C677" s="417"/>
      <c r="D677" s="417"/>
      <c r="E677" s="417"/>
      <c r="F677" s="417"/>
      <c r="G677" s="417"/>
      <c r="H677" s="417"/>
      <c r="I677" s="417"/>
      <c r="J677" s="417"/>
      <c r="K677" s="417"/>
      <c r="L677" s="417"/>
      <c r="M677" s="415"/>
      <c r="N677" s="415"/>
      <c r="O677" s="415"/>
      <c r="P677" s="415"/>
      <c r="Q677" s="416"/>
      <c r="R677" s="416"/>
      <c r="S677" s="416"/>
      <c r="T677" s="416"/>
      <c r="U677" s="415"/>
      <c r="V677" s="415"/>
    </row>
    <row r="678" spans="1:22">
      <c r="A678" s="91"/>
      <c r="B678" s="255"/>
      <c r="C678" s="417"/>
      <c r="D678" s="417"/>
      <c r="E678" s="417"/>
      <c r="F678" s="417"/>
      <c r="G678" s="417"/>
      <c r="H678" s="417"/>
      <c r="I678" s="417"/>
      <c r="J678" s="417"/>
      <c r="K678" s="417"/>
      <c r="L678" s="417"/>
      <c r="M678" s="415"/>
      <c r="N678" s="415"/>
      <c r="O678" s="415"/>
      <c r="P678" s="415"/>
      <c r="Q678" s="416"/>
      <c r="R678" s="416"/>
      <c r="S678" s="416"/>
      <c r="T678" s="416"/>
      <c r="U678" s="415"/>
      <c r="V678" s="415"/>
    </row>
    <row r="679" spans="1:22">
      <c r="A679" s="91"/>
      <c r="B679" s="255"/>
      <c r="C679" s="417"/>
      <c r="D679" s="417"/>
      <c r="E679" s="417"/>
      <c r="F679" s="417"/>
      <c r="G679" s="417"/>
      <c r="H679" s="417"/>
      <c r="I679" s="417"/>
      <c r="J679" s="417"/>
      <c r="K679" s="417"/>
      <c r="L679" s="417"/>
      <c r="M679" s="415"/>
      <c r="N679" s="415"/>
      <c r="O679" s="415"/>
      <c r="P679" s="415"/>
      <c r="Q679" s="416"/>
      <c r="R679" s="416"/>
      <c r="S679" s="416"/>
      <c r="T679" s="416"/>
      <c r="U679" s="415"/>
      <c r="V679" s="415"/>
    </row>
    <row r="680" spans="1:22">
      <c r="A680" s="91"/>
      <c r="B680" s="255"/>
      <c r="C680" s="417"/>
      <c r="D680" s="417"/>
      <c r="E680" s="417"/>
      <c r="F680" s="417"/>
      <c r="G680" s="417"/>
      <c r="H680" s="417"/>
      <c r="I680" s="417"/>
      <c r="J680" s="417"/>
      <c r="K680" s="417"/>
      <c r="L680" s="417"/>
      <c r="M680" s="415"/>
      <c r="N680" s="415"/>
      <c r="O680" s="415"/>
      <c r="P680" s="415"/>
      <c r="Q680" s="416"/>
      <c r="R680" s="416"/>
      <c r="S680" s="416"/>
      <c r="T680" s="416"/>
      <c r="U680" s="415"/>
      <c r="V680" s="415"/>
    </row>
    <row r="681" spans="1:22">
      <c r="A681" s="91"/>
      <c r="B681" s="255"/>
      <c r="C681" s="417"/>
      <c r="D681" s="417"/>
      <c r="E681" s="417"/>
      <c r="F681" s="417"/>
      <c r="G681" s="417"/>
      <c r="H681" s="417"/>
      <c r="I681" s="417"/>
      <c r="J681" s="417"/>
      <c r="K681" s="417"/>
      <c r="L681" s="417"/>
      <c r="M681" s="415"/>
      <c r="N681" s="415"/>
      <c r="O681" s="415"/>
      <c r="P681" s="415"/>
      <c r="Q681" s="416"/>
      <c r="R681" s="416"/>
      <c r="S681" s="416"/>
      <c r="T681" s="416"/>
      <c r="U681" s="415"/>
      <c r="V681" s="415"/>
    </row>
    <row r="682" spans="1:22">
      <c r="A682" s="91"/>
      <c r="B682" s="255"/>
      <c r="C682" s="417"/>
      <c r="D682" s="417"/>
      <c r="E682" s="417"/>
      <c r="F682" s="417"/>
      <c r="G682" s="417"/>
      <c r="H682" s="417"/>
      <c r="I682" s="417"/>
      <c r="J682" s="417"/>
      <c r="K682" s="417"/>
      <c r="L682" s="417"/>
      <c r="M682" s="415"/>
      <c r="N682" s="415"/>
      <c r="O682" s="415"/>
      <c r="P682" s="415"/>
      <c r="Q682" s="416"/>
      <c r="R682" s="416"/>
      <c r="S682" s="416"/>
      <c r="T682" s="416"/>
      <c r="U682" s="415"/>
      <c r="V682" s="415"/>
    </row>
    <row r="683" spans="1:22">
      <c r="A683" s="91"/>
      <c r="B683" s="255"/>
      <c r="C683" s="417"/>
      <c r="D683" s="417"/>
      <c r="E683" s="417"/>
      <c r="F683" s="417"/>
      <c r="G683" s="417"/>
      <c r="H683" s="417"/>
      <c r="I683" s="417"/>
      <c r="J683" s="417"/>
      <c r="K683" s="417"/>
      <c r="L683" s="417"/>
      <c r="M683" s="415"/>
      <c r="N683" s="415"/>
      <c r="O683" s="415"/>
      <c r="P683" s="415"/>
      <c r="Q683" s="416"/>
      <c r="R683" s="416"/>
      <c r="S683" s="416"/>
      <c r="T683" s="416"/>
      <c r="U683" s="415"/>
      <c r="V683" s="415"/>
    </row>
    <row r="684" spans="1:22">
      <c r="A684" s="91"/>
      <c r="B684" s="244"/>
      <c r="C684" s="417"/>
      <c r="D684" s="417"/>
      <c r="E684" s="417"/>
      <c r="F684" s="417"/>
      <c r="G684" s="417"/>
      <c r="H684" s="417"/>
      <c r="I684" s="417"/>
      <c r="J684" s="417"/>
      <c r="K684" s="417"/>
      <c r="L684" s="417"/>
      <c r="M684" s="415"/>
      <c r="N684" s="415"/>
      <c r="O684" s="415"/>
      <c r="P684" s="415"/>
      <c r="Q684" s="416"/>
      <c r="R684" s="416"/>
      <c r="S684" s="416"/>
      <c r="T684" s="416"/>
      <c r="U684" s="415"/>
      <c r="V684" s="415"/>
    </row>
    <row r="685" spans="1:22">
      <c r="A685" s="91"/>
      <c r="B685" s="244"/>
      <c r="C685" s="417"/>
      <c r="D685" s="417"/>
      <c r="E685" s="417"/>
      <c r="F685" s="417"/>
      <c r="G685" s="417"/>
      <c r="H685" s="417"/>
      <c r="I685" s="417"/>
      <c r="J685" s="417"/>
      <c r="K685" s="417"/>
      <c r="L685" s="417"/>
      <c r="M685" s="415"/>
      <c r="N685" s="415"/>
      <c r="O685" s="415"/>
      <c r="P685" s="415"/>
      <c r="Q685" s="416"/>
      <c r="R685" s="416"/>
      <c r="S685" s="416"/>
      <c r="T685" s="416"/>
      <c r="U685" s="415"/>
      <c r="V685" s="415"/>
    </row>
    <row r="686" spans="1:22">
      <c r="A686" s="91"/>
      <c r="B686" s="244"/>
      <c r="C686" s="417"/>
      <c r="D686" s="417"/>
      <c r="E686" s="417"/>
      <c r="F686" s="417"/>
      <c r="G686" s="417"/>
      <c r="H686" s="417"/>
      <c r="I686" s="417"/>
      <c r="J686" s="417"/>
      <c r="K686" s="417"/>
      <c r="L686" s="417"/>
      <c r="M686" s="415"/>
      <c r="N686" s="415"/>
      <c r="O686" s="415"/>
      <c r="P686" s="415"/>
      <c r="Q686" s="416"/>
      <c r="R686" s="416"/>
      <c r="S686" s="416"/>
      <c r="T686" s="416"/>
      <c r="U686" s="415"/>
      <c r="V686" s="415"/>
    </row>
    <row r="687" spans="1:22">
      <c r="A687" s="91"/>
      <c r="B687" s="244"/>
      <c r="C687" s="417"/>
      <c r="D687" s="417"/>
      <c r="E687" s="417"/>
      <c r="F687" s="417"/>
      <c r="G687" s="417"/>
      <c r="H687" s="417"/>
      <c r="I687" s="417"/>
      <c r="J687" s="417"/>
      <c r="K687" s="417"/>
      <c r="L687" s="417"/>
      <c r="M687" s="415"/>
      <c r="N687" s="415"/>
      <c r="O687" s="415"/>
      <c r="P687" s="415"/>
      <c r="Q687" s="416"/>
      <c r="R687" s="416"/>
      <c r="S687" s="416"/>
      <c r="T687" s="416"/>
      <c r="U687" s="415"/>
      <c r="V687" s="415"/>
    </row>
    <row r="688" spans="1:22">
      <c r="A688" s="91"/>
      <c r="B688" s="244"/>
      <c r="C688" s="417"/>
      <c r="D688" s="417"/>
      <c r="E688" s="417"/>
      <c r="F688" s="417"/>
      <c r="G688" s="417"/>
      <c r="H688" s="417"/>
      <c r="I688" s="417"/>
      <c r="J688" s="417"/>
      <c r="K688" s="417"/>
      <c r="L688" s="417"/>
      <c r="M688" s="415"/>
      <c r="N688" s="415"/>
      <c r="O688" s="415"/>
      <c r="P688" s="415"/>
      <c r="Q688" s="416"/>
      <c r="R688" s="416"/>
      <c r="S688" s="416"/>
      <c r="T688" s="416"/>
      <c r="U688" s="415"/>
      <c r="V688" s="415"/>
    </row>
    <row r="689" spans="1:22">
      <c r="A689" s="91"/>
      <c r="B689" s="244"/>
      <c r="C689" s="417"/>
      <c r="D689" s="417"/>
      <c r="E689" s="417"/>
      <c r="F689" s="417"/>
      <c r="G689" s="417"/>
      <c r="H689" s="417"/>
      <c r="I689" s="417"/>
      <c r="J689" s="417"/>
      <c r="K689" s="417"/>
      <c r="L689" s="417"/>
      <c r="M689" s="415"/>
      <c r="N689" s="415"/>
      <c r="O689" s="415"/>
      <c r="P689" s="415"/>
      <c r="Q689" s="416"/>
      <c r="R689" s="416"/>
      <c r="S689" s="416"/>
      <c r="T689" s="416"/>
      <c r="U689" s="415"/>
      <c r="V689" s="415"/>
    </row>
    <row r="690" spans="1:22">
      <c r="A690" s="91"/>
      <c r="B690" s="244"/>
      <c r="C690" s="417"/>
      <c r="D690" s="417"/>
      <c r="E690" s="417"/>
      <c r="F690" s="417"/>
      <c r="G690" s="417"/>
      <c r="H690" s="417"/>
      <c r="I690" s="417"/>
      <c r="J690" s="417"/>
      <c r="K690" s="417"/>
      <c r="L690" s="417"/>
      <c r="M690" s="415"/>
      <c r="N690" s="415"/>
      <c r="O690" s="415"/>
      <c r="P690" s="415"/>
      <c r="Q690" s="416"/>
      <c r="R690" s="416"/>
      <c r="S690" s="416"/>
      <c r="T690" s="416"/>
      <c r="U690" s="415"/>
      <c r="V690" s="415"/>
    </row>
    <row r="691" spans="1:22">
      <c r="A691" s="91"/>
      <c r="B691" s="244"/>
      <c r="C691" s="417"/>
      <c r="D691" s="417"/>
      <c r="E691" s="417"/>
      <c r="F691" s="417"/>
      <c r="G691" s="417"/>
      <c r="H691" s="417"/>
      <c r="I691" s="417"/>
      <c r="J691" s="417"/>
      <c r="K691" s="417"/>
      <c r="L691" s="417"/>
      <c r="M691" s="415"/>
      <c r="N691" s="415"/>
      <c r="O691" s="415"/>
      <c r="P691" s="415"/>
      <c r="Q691" s="416"/>
      <c r="R691" s="416"/>
      <c r="S691" s="416"/>
      <c r="T691" s="416"/>
      <c r="U691" s="415"/>
      <c r="V691" s="415"/>
    </row>
    <row r="692" spans="1:22">
      <c r="A692" s="91"/>
      <c r="B692" s="244"/>
      <c r="C692" s="417"/>
      <c r="D692" s="417"/>
      <c r="E692" s="417"/>
      <c r="F692" s="417"/>
      <c r="G692" s="417"/>
      <c r="H692" s="417"/>
      <c r="I692" s="417"/>
      <c r="J692" s="417"/>
      <c r="K692" s="417"/>
      <c r="L692" s="417"/>
      <c r="M692" s="415"/>
      <c r="N692" s="415"/>
      <c r="O692" s="415"/>
      <c r="P692" s="415"/>
      <c r="Q692" s="416"/>
      <c r="R692" s="416"/>
      <c r="S692" s="416"/>
      <c r="T692" s="416"/>
      <c r="U692" s="415"/>
      <c r="V692" s="415"/>
    </row>
    <row r="693" spans="1:22">
      <c r="A693" s="91"/>
      <c r="B693" s="244"/>
      <c r="C693" s="417"/>
      <c r="D693" s="417"/>
      <c r="E693" s="417"/>
      <c r="F693" s="417"/>
      <c r="G693" s="417"/>
      <c r="H693" s="417"/>
      <c r="I693" s="417"/>
      <c r="J693" s="417"/>
      <c r="K693" s="417"/>
      <c r="L693" s="417"/>
      <c r="M693" s="415"/>
      <c r="N693" s="415"/>
      <c r="O693" s="415"/>
      <c r="P693" s="415"/>
      <c r="Q693" s="416"/>
      <c r="R693" s="416"/>
      <c r="S693" s="416"/>
      <c r="T693" s="416"/>
      <c r="U693" s="415"/>
      <c r="V693" s="415"/>
    </row>
    <row r="694" spans="1:22">
      <c r="A694" s="91"/>
      <c r="B694" s="244"/>
      <c r="C694" s="417"/>
      <c r="D694" s="417"/>
      <c r="E694" s="417"/>
      <c r="F694" s="417"/>
      <c r="G694" s="417"/>
      <c r="H694" s="417"/>
      <c r="I694" s="417"/>
      <c r="J694" s="417"/>
      <c r="K694" s="417"/>
      <c r="L694" s="417"/>
      <c r="M694" s="415"/>
      <c r="N694" s="415"/>
      <c r="O694" s="415"/>
      <c r="P694" s="415"/>
      <c r="Q694" s="416"/>
      <c r="R694" s="416"/>
      <c r="S694" s="416"/>
      <c r="T694" s="416"/>
      <c r="U694" s="415"/>
      <c r="V694" s="415"/>
    </row>
    <row r="695" spans="1:22">
      <c r="A695" s="91"/>
      <c r="B695" s="244"/>
      <c r="C695" s="417"/>
      <c r="D695" s="417"/>
      <c r="E695" s="417"/>
      <c r="F695" s="417"/>
      <c r="G695" s="417"/>
      <c r="H695" s="417"/>
      <c r="I695" s="417"/>
      <c r="J695" s="417"/>
      <c r="K695" s="417"/>
      <c r="L695" s="417"/>
      <c r="M695" s="415"/>
      <c r="N695" s="415"/>
      <c r="O695" s="415"/>
      <c r="P695" s="415"/>
      <c r="Q695" s="416"/>
      <c r="R695" s="416"/>
      <c r="S695" s="416"/>
      <c r="T695" s="416"/>
      <c r="U695" s="415"/>
      <c r="V695" s="415"/>
    </row>
    <row r="696" spans="1:22">
      <c r="A696" s="91"/>
      <c r="B696" s="244"/>
      <c r="C696" s="417"/>
      <c r="D696" s="417"/>
      <c r="E696" s="417"/>
      <c r="F696" s="417"/>
      <c r="G696" s="417"/>
      <c r="H696" s="417"/>
      <c r="I696" s="417"/>
      <c r="J696" s="417"/>
      <c r="K696" s="417"/>
      <c r="L696" s="417"/>
      <c r="M696" s="415"/>
      <c r="N696" s="415"/>
      <c r="O696" s="415"/>
      <c r="P696" s="415"/>
      <c r="Q696" s="416"/>
      <c r="R696" s="416"/>
      <c r="S696" s="416"/>
      <c r="T696" s="416"/>
      <c r="U696" s="415"/>
      <c r="V696" s="415"/>
    </row>
    <row r="697" spans="1:22">
      <c r="A697" s="91"/>
      <c r="B697" s="244"/>
      <c r="C697" s="417"/>
      <c r="D697" s="417"/>
      <c r="E697" s="417"/>
      <c r="F697" s="417"/>
      <c r="G697" s="417"/>
      <c r="H697" s="417"/>
      <c r="I697" s="417"/>
      <c r="J697" s="417"/>
      <c r="K697" s="417"/>
      <c r="L697" s="417"/>
      <c r="M697" s="415"/>
      <c r="N697" s="415"/>
      <c r="O697" s="415"/>
      <c r="P697" s="415"/>
      <c r="Q697" s="416"/>
      <c r="R697" s="416"/>
      <c r="S697" s="416"/>
      <c r="T697" s="416"/>
      <c r="U697" s="415"/>
      <c r="V697" s="415"/>
    </row>
    <row r="698" spans="1:22">
      <c r="A698" s="91"/>
      <c r="B698" s="244"/>
      <c r="C698" s="417"/>
      <c r="D698" s="417"/>
      <c r="E698" s="417"/>
      <c r="F698" s="417"/>
      <c r="G698" s="417"/>
      <c r="H698" s="417"/>
      <c r="I698" s="417"/>
      <c r="J698" s="417"/>
      <c r="K698" s="417"/>
      <c r="L698" s="417"/>
      <c r="M698" s="415"/>
      <c r="N698" s="415"/>
      <c r="O698" s="415"/>
      <c r="P698" s="415"/>
      <c r="Q698" s="416"/>
      <c r="R698" s="416"/>
      <c r="S698" s="416"/>
      <c r="T698" s="416"/>
      <c r="U698" s="415"/>
      <c r="V698" s="415"/>
    </row>
    <row r="699" spans="1:22">
      <c r="A699" s="91"/>
      <c r="B699" s="244"/>
      <c r="C699" s="417"/>
      <c r="D699" s="417"/>
      <c r="E699" s="417"/>
      <c r="F699" s="417"/>
      <c r="G699" s="417"/>
      <c r="H699" s="417"/>
      <c r="I699" s="417"/>
      <c r="J699" s="417"/>
      <c r="K699" s="417"/>
      <c r="L699" s="417"/>
      <c r="M699" s="415"/>
      <c r="N699" s="415"/>
      <c r="O699" s="415"/>
      <c r="P699" s="415"/>
      <c r="Q699" s="416"/>
      <c r="R699" s="416"/>
      <c r="S699" s="416"/>
      <c r="T699" s="416"/>
      <c r="U699" s="415"/>
      <c r="V699" s="415"/>
    </row>
    <row r="700" spans="1:22">
      <c r="A700" s="91"/>
      <c r="B700" s="244"/>
      <c r="C700" s="417"/>
      <c r="D700" s="417"/>
      <c r="E700" s="417"/>
      <c r="F700" s="417"/>
      <c r="G700" s="417"/>
      <c r="H700" s="417"/>
      <c r="I700" s="417"/>
      <c r="J700" s="417"/>
      <c r="K700" s="417"/>
      <c r="L700" s="417"/>
      <c r="M700" s="415"/>
      <c r="N700" s="415"/>
      <c r="O700" s="415"/>
      <c r="P700" s="415"/>
      <c r="Q700" s="416"/>
      <c r="R700" s="416"/>
      <c r="S700" s="416"/>
      <c r="T700" s="416"/>
      <c r="U700" s="415"/>
      <c r="V700" s="415"/>
    </row>
    <row r="701" spans="1:22">
      <c r="A701" s="91"/>
      <c r="B701" s="244"/>
      <c r="C701" s="417"/>
      <c r="D701" s="417"/>
      <c r="E701" s="417"/>
      <c r="F701" s="417"/>
      <c r="G701" s="417"/>
      <c r="H701" s="417"/>
      <c r="I701" s="417"/>
      <c r="J701" s="417"/>
      <c r="K701" s="417"/>
      <c r="L701" s="417"/>
      <c r="M701" s="415"/>
      <c r="N701" s="415"/>
      <c r="O701" s="415"/>
      <c r="P701" s="415"/>
      <c r="Q701" s="416"/>
      <c r="R701" s="416"/>
      <c r="S701" s="416"/>
      <c r="T701" s="416"/>
      <c r="U701" s="415"/>
      <c r="V701" s="415"/>
    </row>
    <row r="702" spans="1:22">
      <c r="A702" s="91"/>
      <c r="B702" s="244"/>
      <c r="C702" s="417"/>
      <c r="D702" s="417"/>
      <c r="E702" s="417"/>
      <c r="F702" s="417"/>
      <c r="G702" s="417"/>
      <c r="H702" s="417"/>
      <c r="I702" s="417"/>
      <c r="J702" s="417"/>
      <c r="K702" s="417"/>
      <c r="L702" s="417"/>
      <c r="M702" s="415"/>
      <c r="N702" s="415"/>
      <c r="O702" s="415"/>
      <c r="P702" s="415"/>
      <c r="Q702" s="416"/>
      <c r="R702" s="416"/>
      <c r="S702" s="416"/>
      <c r="T702" s="416"/>
      <c r="U702" s="415"/>
      <c r="V702" s="415"/>
    </row>
    <row r="703" spans="1:22">
      <c r="A703" s="91"/>
      <c r="B703" s="244"/>
      <c r="C703" s="417"/>
      <c r="D703" s="417"/>
      <c r="E703" s="417"/>
      <c r="F703" s="417"/>
      <c r="G703" s="417"/>
      <c r="H703" s="417"/>
      <c r="I703" s="417"/>
      <c r="J703" s="417"/>
      <c r="K703" s="417"/>
      <c r="L703" s="417"/>
      <c r="M703" s="415"/>
      <c r="N703" s="415"/>
      <c r="O703" s="415"/>
      <c r="P703" s="415"/>
      <c r="Q703" s="416"/>
      <c r="R703" s="416"/>
      <c r="S703" s="416"/>
      <c r="T703" s="416"/>
      <c r="U703" s="415"/>
      <c r="V703" s="415"/>
    </row>
    <row r="704" spans="1:22">
      <c r="A704" s="91"/>
      <c r="B704" s="244"/>
      <c r="C704" s="417"/>
      <c r="D704" s="417"/>
      <c r="E704" s="417"/>
      <c r="F704" s="417"/>
      <c r="G704" s="417"/>
      <c r="H704" s="417"/>
      <c r="I704" s="417"/>
      <c r="J704" s="417"/>
      <c r="K704" s="417"/>
      <c r="L704" s="417"/>
      <c r="M704" s="415"/>
      <c r="N704" s="415"/>
      <c r="O704" s="415"/>
      <c r="P704" s="415"/>
      <c r="Q704" s="416"/>
      <c r="R704" s="416"/>
      <c r="S704" s="416"/>
      <c r="T704" s="416"/>
      <c r="U704" s="415"/>
      <c r="V704" s="415"/>
    </row>
    <row r="705" spans="1:22">
      <c r="A705" s="91"/>
      <c r="B705" s="244"/>
      <c r="C705" s="417"/>
      <c r="D705" s="417"/>
      <c r="E705" s="417"/>
      <c r="F705" s="417"/>
      <c r="G705" s="417"/>
      <c r="H705" s="417"/>
      <c r="I705" s="417"/>
      <c r="J705" s="417"/>
      <c r="K705" s="417"/>
      <c r="L705" s="417"/>
      <c r="M705" s="415"/>
      <c r="N705" s="415"/>
      <c r="O705" s="415"/>
      <c r="P705" s="415"/>
      <c r="Q705" s="416"/>
      <c r="R705" s="416"/>
      <c r="S705" s="416"/>
      <c r="T705" s="416"/>
      <c r="U705" s="415"/>
      <c r="V705" s="415"/>
    </row>
    <row r="706" spans="1:22">
      <c r="A706" s="91"/>
      <c r="B706" s="244"/>
      <c r="C706" s="417"/>
      <c r="D706" s="417"/>
      <c r="E706" s="417"/>
      <c r="F706" s="417"/>
      <c r="G706" s="417"/>
      <c r="H706" s="417"/>
      <c r="I706" s="417"/>
      <c r="J706" s="417"/>
      <c r="K706" s="417"/>
      <c r="L706" s="417"/>
      <c r="M706" s="415"/>
      <c r="N706" s="415"/>
      <c r="O706" s="415"/>
      <c r="P706" s="415"/>
      <c r="Q706" s="416"/>
      <c r="R706" s="416"/>
      <c r="S706" s="416"/>
      <c r="T706" s="416"/>
      <c r="U706" s="415"/>
      <c r="V706" s="415"/>
    </row>
    <row r="707" spans="1:22">
      <c r="A707" s="91"/>
      <c r="B707" s="244"/>
      <c r="C707" s="417"/>
      <c r="D707" s="417"/>
      <c r="E707" s="417"/>
      <c r="F707" s="417"/>
      <c r="G707" s="417"/>
      <c r="H707" s="417"/>
      <c r="I707" s="417"/>
      <c r="J707" s="417"/>
      <c r="K707" s="417"/>
      <c r="L707" s="417"/>
      <c r="M707" s="415"/>
      <c r="N707" s="415"/>
      <c r="O707" s="415"/>
      <c r="P707" s="415"/>
      <c r="Q707" s="416"/>
      <c r="R707" s="416"/>
      <c r="S707" s="416"/>
      <c r="T707" s="416"/>
      <c r="U707" s="415"/>
      <c r="V707" s="415"/>
    </row>
    <row r="708" spans="1:22">
      <c r="A708" s="91"/>
      <c r="B708" s="244"/>
      <c r="C708" s="417"/>
      <c r="D708" s="417"/>
      <c r="E708" s="417"/>
      <c r="F708" s="417"/>
      <c r="G708" s="417"/>
      <c r="H708" s="417"/>
      <c r="I708" s="417"/>
      <c r="J708" s="417"/>
      <c r="K708" s="417"/>
      <c r="L708" s="417"/>
      <c r="M708" s="415"/>
      <c r="N708" s="415"/>
      <c r="O708" s="415"/>
      <c r="P708" s="415"/>
      <c r="Q708" s="416"/>
      <c r="R708" s="416"/>
      <c r="S708" s="416"/>
      <c r="T708" s="416"/>
      <c r="U708" s="415"/>
      <c r="V708" s="415"/>
    </row>
    <row r="709" spans="1:22">
      <c r="A709" s="91"/>
      <c r="B709" s="244"/>
      <c r="C709" s="417"/>
      <c r="D709" s="417"/>
      <c r="E709" s="417"/>
      <c r="F709" s="417"/>
      <c r="G709" s="417"/>
      <c r="H709" s="417"/>
      <c r="I709" s="417"/>
      <c r="J709" s="417"/>
      <c r="K709" s="417"/>
      <c r="L709" s="417"/>
      <c r="M709" s="415"/>
      <c r="N709" s="415"/>
      <c r="O709" s="415"/>
      <c r="P709" s="415"/>
      <c r="Q709" s="416"/>
      <c r="R709" s="416"/>
      <c r="S709" s="416"/>
      <c r="T709" s="416"/>
      <c r="U709" s="415"/>
      <c r="V709" s="415"/>
    </row>
    <row r="710" spans="1:22">
      <c r="A710" s="91"/>
      <c r="B710" s="244"/>
      <c r="C710" s="417"/>
      <c r="D710" s="417"/>
      <c r="E710" s="417"/>
      <c r="F710" s="417"/>
      <c r="G710" s="417"/>
      <c r="H710" s="417"/>
      <c r="I710" s="417"/>
      <c r="J710" s="417"/>
      <c r="K710" s="417"/>
      <c r="L710" s="417"/>
      <c r="M710" s="415"/>
      <c r="N710" s="415"/>
      <c r="O710" s="415"/>
      <c r="P710" s="415"/>
      <c r="Q710" s="416"/>
      <c r="R710" s="416"/>
      <c r="S710" s="416"/>
      <c r="T710" s="416"/>
      <c r="U710" s="415"/>
      <c r="V710" s="415"/>
    </row>
    <row r="711" spans="1:22">
      <c r="A711" s="91"/>
      <c r="B711" s="244"/>
      <c r="C711" s="417"/>
      <c r="D711" s="417"/>
      <c r="E711" s="417"/>
      <c r="F711" s="417"/>
      <c r="G711" s="417"/>
      <c r="H711" s="417"/>
      <c r="I711" s="417"/>
      <c r="J711" s="417"/>
      <c r="K711" s="417"/>
      <c r="L711" s="417"/>
      <c r="M711" s="415"/>
      <c r="N711" s="415"/>
      <c r="O711" s="415"/>
      <c r="P711" s="415"/>
      <c r="Q711" s="416"/>
      <c r="R711" s="416"/>
      <c r="S711" s="416"/>
      <c r="T711" s="416"/>
      <c r="U711" s="415"/>
      <c r="V711" s="415"/>
    </row>
    <row r="712" spans="1:22">
      <c r="A712" s="91"/>
      <c r="B712" s="244"/>
      <c r="C712" s="417"/>
      <c r="D712" s="417"/>
      <c r="E712" s="417"/>
      <c r="F712" s="417"/>
      <c r="G712" s="417"/>
      <c r="H712" s="417"/>
      <c r="I712" s="417"/>
      <c r="J712" s="417"/>
      <c r="K712" s="417"/>
      <c r="L712" s="417"/>
      <c r="M712" s="415"/>
      <c r="N712" s="415"/>
      <c r="O712" s="415"/>
      <c r="P712" s="415"/>
      <c r="Q712" s="416"/>
      <c r="R712" s="416"/>
      <c r="S712" s="416"/>
      <c r="T712" s="416"/>
      <c r="U712" s="415"/>
      <c r="V712" s="415"/>
    </row>
    <row r="713" spans="1:22">
      <c r="A713" s="91"/>
      <c r="B713" s="244"/>
      <c r="C713" s="417"/>
      <c r="D713" s="417"/>
      <c r="E713" s="417"/>
      <c r="F713" s="417"/>
      <c r="G713" s="417"/>
      <c r="H713" s="417"/>
      <c r="I713" s="417"/>
      <c r="J713" s="417"/>
      <c r="K713" s="417"/>
      <c r="L713" s="417"/>
      <c r="M713" s="415"/>
      <c r="N713" s="415"/>
      <c r="O713" s="415"/>
      <c r="P713" s="415"/>
      <c r="Q713" s="416"/>
      <c r="R713" s="416"/>
      <c r="S713" s="416"/>
      <c r="T713" s="416"/>
      <c r="U713" s="415"/>
      <c r="V713" s="415"/>
    </row>
    <row r="714" spans="1:22">
      <c r="A714" s="91"/>
      <c r="B714" s="244"/>
      <c r="C714" s="417"/>
      <c r="D714" s="417"/>
      <c r="E714" s="417"/>
      <c r="F714" s="417"/>
      <c r="G714" s="417"/>
      <c r="H714" s="417"/>
      <c r="I714" s="417"/>
      <c r="J714" s="417"/>
      <c r="K714" s="417"/>
      <c r="L714" s="417"/>
      <c r="M714" s="415"/>
      <c r="N714" s="415"/>
      <c r="O714" s="415"/>
      <c r="P714" s="415"/>
      <c r="Q714" s="416"/>
      <c r="R714" s="416"/>
      <c r="S714" s="416"/>
      <c r="T714" s="416"/>
      <c r="U714" s="415"/>
      <c r="V714" s="415"/>
    </row>
    <row r="715" spans="1:22">
      <c r="A715" s="91"/>
      <c r="B715" s="244"/>
      <c r="C715" s="417"/>
      <c r="D715" s="417"/>
      <c r="E715" s="417"/>
      <c r="F715" s="417"/>
      <c r="G715" s="417"/>
      <c r="H715" s="417"/>
      <c r="I715" s="417"/>
      <c r="J715" s="417"/>
      <c r="K715" s="417"/>
      <c r="L715" s="417"/>
      <c r="M715" s="415"/>
      <c r="N715" s="415"/>
      <c r="O715" s="415"/>
      <c r="P715" s="415"/>
      <c r="Q715" s="416"/>
      <c r="R715" s="416"/>
      <c r="S715" s="416"/>
      <c r="T715" s="416"/>
      <c r="U715" s="415"/>
      <c r="V715" s="415"/>
    </row>
    <row r="716" spans="1:22">
      <c r="A716" s="91"/>
      <c r="B716" s="244"/>
      <c r="C716" s="417"/>
      <c r="D716" s="417"/>
      <c r="E716" s="417"/>
      <c r="F716" s="417"/>
      <c r="G716" s="417"/>
      <c r="H716" s="417"/>
      <c r="I716" s="417"/>
      <c r="J716" s="417"/>
      <c r="K716" s="417"/>
      <c r="L716" s="417"/>
      <c r="M716" s="415"/>
      <c r="N716" s="415"/>
      <c r="O716" s="415"/>
      <c r="P716" s="415"/>
      <c r="Q716" s="416"/>
      <c r="R716" s="416"/>
      <c r="S716" s="416"/>
      <c r="T716" s="416"/>
      <c r="U716" s="415"/>
      <c r="V716" s="415"/>
    </row>
    <row r="717" spans="1:22">
      <c r="A717" s="91"/>
      <c r="B717" s="244"/>
      <c r="C717" s="417"/>
      <c r="D717" s="417"/>
      <c r="E717" s="417"/>
      <c r="F717" s="417"/>
      <c r="G717" s="417"/>
      <c r="H717" s="417"/>
      <c r="I717" s="417"/>
      <c r="J717" s="417"/>
      <c r="K717" s="417"/>
      <c r="L717" s="417"/>
      <c r="M717" s="415"/>
      <c r="N717" s="415"/>
      <c r="O717" s="415"/>
      <c r="P717" s="415"/>
      <c r="Q717" s="416"/>
      <c r="R717" s="416"/>
      <c r="S717" s="416"/>
      <c r="T717" s="416"/>
      <c r="U717" s="415"/>
      <c r="V717" s="415"/>
    </row>
    <row r="718" spans="1:22">
      <c r="A718" s="91"/>
      <c r="B718" s="244"/>
      <c r="C718" s="417"/>
      <c r="D718" s="417"/>
      <c r="E718" s="417"/>
      <c r="F718" s="417"/>
      <c r="G718" s="417"/>
      <c r="H718" s="417"/>
      <c r="I718" s="417"/>
      <c r="J718" s="417"/>
      <c r="K718" s="417"/>
      <c r="L718" s="417"/>
      <c r="M718" s="415"/>
      <c r="N718" s="415"/>
      <c r="O718" s="415"/>
      <c r="P718" s="415"/>
      <c r="Q718" s="416"/>
      <c r="R718" s="416"/>
      <c r="S718" s="416"/>
      <c r="T718" s="416"/>
      <c r="U718" s="415"/>
      <c r="V718" s="415"/>
    </row>
    <row r="719" spans="1:22">
      <c r="A719" s="91"/>
      <c r="B719" s="244"/>
      <c r="C719" s="417"/>
      <c r="D719" s="417"/>
      <c r="E719" s="417"/>
      <c r="F719" s="417"/>
      <c r="G719" s="417"/>
      <c r="H719" s="417"/>
      <c r="I719" s="417"/>
      <c r="J719" s="417"/>
      <c r="K719" s="417"/>
      <c r="L719" s="417"/>
      <c r="M719" s="415"/>
      <c r="N719" s="415"/>
      <c r="O719" s="415"/>
      <c r="P719" s="415"/>
      <c r="Q719" s="416"/>
      <c r="R719" s="416"/>
      <c r="S719" s="416"/>
      <c r="T719" s="416"/>
      <c r="U719" s="415"/>
      <c r="V719" s="415"/>
    </row>
    <row r="720" spans="1:22">
      <c r="A720" s="91"/>
      <c r="B720" s="244"/>
      <c r="C720" s="417"/>
      <c r="D720" s="417"/>
      <c r="E720" s="417"/>
      <c r="F720" s="417"/>
      <c r="G720" s="417"/>
      <c r="H720" s="417"/>
      <c r="I720" s="417"/>
      <c r="J720" s="417"/>
      <c r="K720" s="417"/>
      <c r="L720" s="417"/>
      <c r="M720" s="415"/>
      <c r="N720" s="415"/>
      <c r="O720" s="415"/>
      <c r="P720" s="415"/>
      <c r="Q720" s="416"/>
      <c r="R720" s="416"/>
      <c r="S720" s="416"/>
      <c r="T720" s="416"/>
      <c r="U720" s="415"/>
      <c r="V720" s="415"/>
    </row>
    <row r="721" spans="1:22">
      <c r="A721" s="91"/>
      <c r="B721" s="244"/>
      <c r="C721" s="417"/>
      <c r="D721" s="417"/>
      <c r="E721" s="417"/>
      <c r="F721" s="417"/>
      <c r="G721" s="417"/>
      <c r="H721" s="417"/>
      <c r="I721" s="417"/>
      <c r="J721" s="417"/>
      <c r="K721" s="417"/>
      <c r="L721" s="417"/>
      <c r="M721" s="415"/>
      <c r="N721" s="415"/>
      <c r="O721" s="415"/>
      <c r="P721" s="415"/>
      <c r="Q721" s="416"/>
      <c r="R721" s="416"/>
      <c r="S721" s="416"/>
      <c r="T721" s="416"/>
      <c r="U721" s="415"/>
      <c r="V721" s="415"/>
    </row>
    <row r="722" spans="1:22">
      <c r="A722" s="91"/>
      <c r="B722" s="244"/>
      <c r="C722" s="417"/>
      <c r="D722" s="417"/>
      <c r="E722" s="417"/>
      <c r="F722" s="417"/>
      <c r="G722" s="417"/>
      <c r="H722" s="417"/>
      <c r="I722" s="417"/>
      <c r="J722" s="417"/>
      <c r="K722" s="417"/>
      <c r="L722" s="417"/>
      <c r="M722" s="415"/>
      <c r="N722" s="415"/>
      <c r="O722" s="415"/>
      <c r="P722" s="415"/>
      <c r="Q722" s="416"/>
      <c r="R722" s="416"/>
      <c r="S722" s="416"/>
      <c r="T722" s="416"/>
      <c r="U722" s="415"/>
      <c r="V722" s="415"/>
    </row>
    <row r="723" spans="1:22">
      <c r="A723" s="91"/>
      <c r="B723" s="244"/>
      <c r="C723" s="417"/>
      <c r="D723" s="417"/>
      <c r="E723" s="417"/>
      <c r="F723" s="417"/>
      <c r="G723" s="417"/>
      <c r="H723" s="417"/>
      <c r="I723" s="417"/>
      <c r="J723" s="417"/>
      <c r="K723" s="417"/>
      <c r="L723" s="417"/>
      <c r="M723" s="415"/>
      <c r="N723" s="415"/>
      <c r="O723" s="415"/>
      <c r="P723" s="415"/>
      <c r="Q723" s="416"/>
      <c r="R723" s="416"/>
      <c r="S723" s="416"/>
      <c r="T723" s="416"/>
      <c r="U723" s="415"/>
      <c r="V723" s="415"/>
    </row>
    <row r="724" spans="1:22">
      <c r="A724" s="91"/>
      <c r="B724" s="244"/>
      <c r="C724" s="417"/>
      <c r="D724" s="417"/>
      <c r="E724" s="417"/>
      <c r="F724" s="417"/>
      <c r="G724" s="417"/>
      <c r="H724" s="417"/>
      <c r="I724" s="417"/>
      <c r="J724" s="417"/>
      <c r="K724" s="417"/>
      <c r="L724" s="417"/>
      <c r="M724" s="415"/>
      <c r="N724" s="415"/>
      <c r="O724" s="415"/>
      <c r="P724" s="415"/>
      <c r="Q724" s="416"/>
      <c r="R724" s="416"/>
      <c r="S724" s="416"/>
      <c r="T724" s="416"/>
      <c r="U724" s="415"/>
      <c r="V724" s="415"/>
    </row>
    <row r="725" spans="1:22">
      <c r="A725" s="91"/>
      <c r="B725" s="244"/>
      <c r="C725" s="417"/>
      <c r="D725" s="417"/>
      <c r="E725" s="417"/>
      <c r="F725" s="417"/>
      <c r="G725" s="417"/>
      <c r="H725" s="417"/>
      <c r="I725" s="417"/>
      <c r="J725" s="417"/>
      <c r="K725" s="417"/>
      <c r="L725" s="417"/>
      <c r="M725" s="415"/>
      <c r="N725" s="415"/>
      <c r="O725" s="415"/>
      <c r="P725" s="415"/>
      <c r="Q725" s="416"/>
      <c r="R725" s="416"/>
      <c r="S725" s="416"/>
      <c r="T725" s="416"/>
      <c r="U725" s="415"/>
      <c r="V725" s="415"/>
    </row>
    <row r="726" spans="1:22">
      <c r="A726" s="91"/>
      <c r="B726" s="244"/>
      <c r="C726" s="417"/>
      <c r="D726" s="417"/>
      <c r="E726" s="417"/>
      <c r="F726" s="417"/>
      <c r="G726" s="417"/>
      <c r="H726" s="417"/>
      <c r="I726" s="417"/>
      <c r="J726" s="417"/>
      <c r="K726" s="417"/>
      <c r="L726" s="417"/>
      <c r="M726" s="415"/>
      <c r="N726" s="415"/>
      <c r="O726" s="415"/>
      <c r="P726" s="415"/>
      <c r="Q726" s="416"/>
      <c r="R726" s="416"/>
      <c r="S726" s="416"/>
      <c r="T726" s="416"/>
      <c r="U726" s="415"/>
      <c r="V726" s="415"/>
    </row>
    <row r="727" spans="1:22">
      <c r="A727" s="91"/>
      <c r="B727" s="244"/>
      <c r="C727" s="417"/>
      <c r="D727" s="417"/>
      <c r="E727" s="417"/>
      <c r="F727" s="417"/>
      <c r="G727" s="417"/>
      <c r="H727" s="417"/>
      <c r="I727" s="417"/>
      <c r="J727" s="417"/>
      <c r="K727" s="417"/>
      <c r="L727" s="417"/>
      <c r="M727" s="415"/>
      <c r="N727" s="415"/>
      <c r="O727" s="415"/>
      <c r="P727" s="415"/>
      <c r="Q727" s="416"/>
      <c r="R727" s="416"/>
      <c r="S727" s="416"/>
      <c r="T727" s="416"/>
      <c r="U727" s="415"/>
      <c r="V727" s="415"/>
    </row>
    <row r="728" spans="1:22">
      <c r="A728" s="91"/>
      <c r="B728" s="244"/>
      <c r="C728" s="417"/>
      <c r="D728" s="417"/>
      <c r="E728" s="417"/>
      <c r="F728" s="417"/>
      <c r="G728" s="417"/>
      <c r="H728" s="417"/>
      <c r="I728" s="417"/>
      <c r="J728" s="417"/>
      <c r="K728" s="417"/>
      <c r="L728" s="417"/>
      <c r="M728" s="415"/>
      <c r="N728" s="415"/>
      <c r="O728" s="415"/>
      <c r="P728" s="415"/>
      <c r="Q728" s="416"/>
      <c r="R728" s="416"/>
      <c r="S728" s="416"/>
      <c r="T728" s="416"/>
      <c r="U728" s="415"/>
      <c r="V728" s="415"/>
    </row>
    <row r="729" spans="1:22">
      <c r="A729" s="91"/>
      <c r="B729" s="244"/>
      <c r="C729" s="417"/>
      <c r="D729" s="417"/>
      <c r="E729" s="417"/>
      <c r="F729" s="417"/>
      <c r="G729" s="417"/>
      <c r="H729" s="417"/>
      <c r="I729" s="417"/>
      <c r="J729" s="417"/>
      <c r="K729" s="417"/>
      <c r="L729" s="417"/>
      <c r="M729" s="415"/>
      <c r="N729" s="415"/>
      <c r="O729" s="415"/>
      <c r="P729" s="415"/>
      <c r="Q729" s="416"/>
      <c r="R729" s="416"/>
      <c r="S729" s="416"/>
      <c r="T729" s="416"/>
      <c r="U729" s="415"/>
      <c r="V729" s="415"/>
    </row>
    <row r="730" spans="1:22">
      <c r="A730" s="91"/>
      <c r="B730" s="244"/>
      <c r="C730" s="417"/>
      <c r="D730" s="417"/>
      <c r="E730" s="417"/>
      <c r="F730" s="417"/>
      <c r="G730" s="417"/>
      <c r="H730" s="417"/>
      <c r="I730" s="417"/>
      <c r="J730" s="417"/>
      <c r="K730" s="417"/>
      <c r="L730" s="417"/>
      <c r="M730" s="415"/>
      <c r="N730" s="415"/>
      <c r="O730" s="415"/>
      <c r="P730" s="415"/>
      <c r="Q730" s="416"/>
      <c r="R730" s="416"/>
      <c r="S730" s="416"/>
      <c r="T730" s="416"/>
      <c r="U730" s="415"/>
      <c r="V730" s="415"/>
    </row>
    <row r="731" spans="1:22">
      <c r="A731" s="91"/>
      <c r="B731" s="244"/>
      <c r="C731" s="417"/>
      <c r="D731" s="417"/>
      <c r="E731" s="417"/>
      <c r="F731" s="417"/>
      <c r="G731" s="417"/>
      <c r="H731" s="417"/>
      <c r="I731" s="417"/>
      <c r="J731" s="417"/>
      <c r="K731" s="417"/>
      <c r="L731" s="417"/>
      <c r="M731" s="415"/>
      <c r="N731" s="415"/>
      <c r="O731" s="415"/>
      <c r="P731" s="415"/>
      <c r="Q731" s="416"/>
      <c r="R731" s="416"/>
      <c r="S731" s="416"/>
      <c r="T731" s="416"/>
      <c r="U731" s="415"/>
      <c r="V731" s="415"/>
    </row>
    <row r="732" spans="1:22">
      <c r="A732" s="91"/>
      <c r="B732" s="244"/>
      <c r="C732" s="417"/>
      <c r="D732" s="417"/>
      <c r="E732" s="417"/>
      <c r="F732" s="417"/>
      <c r="G732" s="417"/>
      <c r="H732" s="417"/>
      <c r="I732" s="417"/>
      <c r="J732" s="417"/>
      <c r="K732" s="417"/>
      <c r="L732" s="417"/>
      <c r="M732" s="415"/>
      <c r="N732" s="415"/>
      <c r="O732" s="415"/>
      <c r="P732" s="415"/>
      <c r="Q732" s="416"/>
      <c r="R732" s="416"/>
      <c r="S732" s="416"/>
      <c r="T732" s="416"/>
      <c r="U732" s="415"/>
      <c r="V732" s="415"/>
    </row>
    <row r="733" spans="1:22">
      <c r="A733" s="91"/>
      <c r="B733" s="244"/>
      <c r="C733" s="417"/>
      <c r="D733" s="417"/>
      <c r="E733" s="417"/>
      <c r="F733" s="417"/>
      <c r="G733" s="417"/>
      <c r="H733" s="417"/>
      <c r="I733" s="417"/>
      <c r="J733" s="417"/>
      <c r="K733" s="417"/>
      <c r="L733" s="417"/>
      <c r="M733" s="415"/>
      <c r="N733" s="415"/>
      <c r="O733" s="415"/>
      <c r="P733" s="415"/>
      <c r="Q733" s="416"/>
      <c r="R733" s="416"/>
      <c r="S733" s="416"/>
      <c r="T733" s="416"/>
      <c r="U733" s="415"/>
      <c r="V733" s="415"/>
    </row>
    <row r="734" spans="1:22">
      <c r="A734" s="91"/>
      <c r="B734" s="244"/>
      <c r="C734" s="417"/>
      <c r="D734" s="417"/>
      <c r="E734" s="417"/>
      <c r="F734" s="417"/>
      <c r="G734" s="417"/>
      <c r="H734" s="417"/>
      <c r="I734" s="417"/>
      <c r="J734" s="417"/>
      <c r="K734" s="417"/>
      <c r="L734" s="417"/>
      <c r="M734" s="415"/>
      <c r="N734" s="415"/>
      <c r="O734" s="415"/>
      <c r="P734" s="415"/>
      <c r="Q734" s="416"/>
      <c r="R734" s="416"/>
      <c r="S734" s="416"/>
      <c r="T734" s="416"/>
      <c r="U734" s="415"/>
      <c r="V734" s="415"/>
    </row>
    <row r="735" spans="1:22">
      <c r="A735" s="91"/>
      <c r="B735" s="244"/>
      <c r="C735" s="417"/>
      <c r="D735" s="417"/>
      <c r="E735" s="417"/>
      <c r="F735" s="417"/>
      <c r="G735" s="417"/>
      <c r="H735" s="417"/>
      <c r="I735" s="417"/>
      <c r="J735" s="417"/>
      <c r="K735" s="417"/>
      <c r="L735" s="417"/>
      <c r="M735" s="415"/>
      <c r="N735" s="415"/>
      <c r="O735" s="415"/>
      <c r="P735" s="415"/>
      <c r="Q735" s="416"/>
      <c r="R735" s="416"/>
      <c r="S735" s="416"/>
      <c r="T735" s="416"/>
      <c r="U735" s="415"/>
      <c r="V735" s="415"/>
    </row>
    <row r="736" spans="1:22">
      <c r="A736" s="91"/>
      <c r="B736" s="244"/>
      <c r="C736" s="417"/>
      <c r="D736" s="417"/>
      <c r="E736" s="417"/>
      <c r="F736" s="417"/>
      <c r="G736" s="417"/>
      <c r="H736" s="417"/>
      <c r="I736" s="417"/>
      <c r="J736" s="417"/>
      <c r="K736" s="417"/>
      <c r="L736" s="417"/>
      <c r="M736" s="415"/>
      <c r="N736" s="415"/>
      <c r="O736" s="415"/>
      <c r="P736" s="415"/>
      <c r="Q736" s="416"/>
      <c r="R736" s="416"/>
      <c r="S736" s="416"/>
      <c r="T736" s="416"/>
      <c r="U736" s="415"/>
      <c r="V736" s="415"/>
    </row>
    <row r="737" spans="1:22">
      <c r="A737" s="91"/>
      <c r="B737" s="244"/>
      <c r="C737" s="417"/>
      <c r="D737" s="417"/>
      <c r="E737" s="417"/>
      <c r="F737" s="417"/>
      <c r="G737" s="417"/>
      <c r="H737" s="417"/>
      <c r="I737" s="417"/>
      <c r="J737" s="417"/>
      <c r="K737" s="417"/>
      <c r="L737" s="417"/>
      <c r="M737" s="415"/>
      <c r="N737" s="415"/>
      <c r="O737" s="415"/>
      <c r="P737" s="415"/>
      <c r="Q737" s="416"/>
      <c r="R737" s="416"/>
      <c r="S737" s="416"/>
      <c r="T737" s="416"/>
      <c r="U737" s="415"/>
      <c r="V737" s="415"/>
    </row>
    <row r="738" spans="1:22">
      <c r="A738" s="91"/>
      <c r="B738" s="244"/>
      <c r="C738" s="417"/>
      <c r="D738" s="417"/>
      <c r="E738" s="417"/>
      <c r="F738" s="417"/>
      <c r="G738" s="417"/>
      <c r="H738" s="417"/>
      <c r="I738" s="417"/>
      <c r="J738" s="417"/>
      <c r="K738" s="417"/>
      <c r="L738" s="417"/>
      <c r="M738" s="415"/>
      <c r="N738" s="415"/>
      <c r="O738" s="415"/>
      <c r="P738" s="415"/>
      <c r="Q738" s="416"/>
      <c r="R738" s="416"/>
      <c r="S738" s="416"/>
      <c r="T738" s="416"/>
      <c r="U738" s="415"/>
      <c r="V738" s="415"/>
    </row>
    <row r="739" spans="1:22">
      <c r="A739" s="91"/>
      <c r="B739" s="244"/>
      <c r="C739" s="417"/>
      <c r="D739" s="417"/>
      <c r="E739" s="417"/>
      <c r="F739" s="417"/>
      <c r="G739" s="417"/>
      <c r="H739" s="417"/>
      <c r="I739" s="417"/>
      <c r="J739" s="417"/>
      <c r="K739" s="417"/>
      <c r="L739" s="417"/>
      <c r="M739" s="415"/>
      <c r="N739" s="415"/>
      <c r="O739" s="415"/>
      <c r="P739" s="415"/>
      <c r="Q739" s="416"/>
      <c r="R739" s="416"/>
      <c r="S739" s="416"/>
      <c r="T739" s="416"/>
      <c r="U739" s="415"/>
      <c r="V739" s="415"/>
    </row>
    <row r="740" spans="1:22">
      <c r="A740" s="91"/>
      <c r="B740" s="244"/>
      <c r="C740" s="417"/>
      <c r="D740" s="417"/>
      <c r="E740" s="417"/>
      <c r="F740" s="417"/>
      <c r="G740" s="417"/>
      <c r="H740" s="417"/>
      <c r="I740" s="417"/>
      <c r="J740" s="417"/>
      <c r="K740" s="417"/>
      <c r="L740" s="417"/>
      <c r="M740" s="415"/>
      <c r="N740" s="415"/>
      <c r="O740" s="415"/>
      <c r="P740" s="415"/>
      <c r="Q740" s="416"/>
      <c r="R740" s="416"/>
      <c r="S740" s="416"/>
      <c r="T740" s="416"/>
      <c r="U740" s="415"/>
      <c r="V740" s="415"/>
    </row>
    <row r="741" spans="1:22">
      <c r="A741" s="91"/>
      <c r="B741" s="244"/>
      <c r="C741" s="417"/>
      <c r="D741" s="417"/>
      <c r="E741" s="417"/>
      <c r="F741" s="417"/>
      <c r="G741" s="417"/>
      <c r="H741" s="417"/>
      <c r="I741" s="417"/>
      <c r="J741" s="417"/>
      <c r="K741" s="417"/>
      <c r="L741" s="417"/>
      <c r="M741" s="415"/>
      <c r="N741" s="415"/>
      <c r="O741" s="415"/>
      <c r="P741" s="415"/>
      <c r="Q741" s="416"/>
      <c r="R741" s="416"/>
      <c r="S741" s="416"/>
      <c r="T741" s="416"/>
      <c r="U741" s="415"/>
      <c r="V741" s="415"/>
    </row>
    <row r="742" spans="1:22">
      <c r="A742" s="91"/>
      <c r="B742" s="244"/>
      <c r="C742" s="417"/>
      <c r="D742" s="417"/>
      <c r="E742" s="417"/>
      <c r="F742" s="417"/>
      <c r="G742" s="417"/>
      <c r="H742" s="417"/>
      <c r="I742" s="417"/>
      <c r="J742" s="417"/>
      <c r="K742" s="417"/>
      <c r="L742" s="417"/>
      <c r="M742" s="415"/>
      <c r="N742" s="415"/>
      <c r="O742" s="415"/>
      <c r="P742" s="415"/>
      <c r="Q742" s="416"/>
      <c r="R742" s="416"/>
      <c r="S742" s="416"/>
      <c r="T742" s="416"/>
      <c r="U742" s="415"/>
      <c r="V742" s="415"/>
    </row>
    <row r="743" spans="1:22">
      <c r="A743" s="91"/>
      <c r="B743" s="244"/>
      <c r="C743" s="417"/>
      <c r="D743" s="417"/>
      <c r="E743" s="417"/>
      <c r="F743" s="417"/>
      <c r="G743" s="417"/>
      <c r="H743" s="417"/>
      <c r="I743" s="417"/>
      <c r="J743" s="417"/>
      <c r="K743" s="417"/>
      <c r="L743" s="417"/>
      <c r="M743" s="415"/>
      <c r="N743" s="415"/>
      <c r="O743" s="415"/>
      <c r="P743" s="415"/>
      <c r="Q743" s="416"/>
      <c r="R743" s="416"/>
      <c r="S743" s="416"/>
      <c r="T743" s="416"/>
      <c r="U743" s="415"/>
      <c r="V743" s="415"/>
    </row>
    <row r="744" spans="1:22">
      <c r="A744" s="91"/>
      <c r="B744" s="244"/>
      <c r="C744" s="417"/>
      <c r="D744" s="417"/>
      <c r="E744" s="417"/>
      <c r="F744" s="417"/>
      <c r="G744" s="417"/>
      <c r="H744" s="417"/>
      <c r="I744" s="417"/>
      <c r="J744" s="417"/>
      <c r="K744" s="417"/>
      <c r="L744" s="417"/>
      <c r="M744" s="415"/>
      <c r="N744" s="415"/>
      <c r="O744" s="415"/>
      <c r="P744" s="415"/>
      <c r="Q744" s="416"/>
      <c r="R744" s="416"/>
      <c r="S744" s="416"/>
      <c r="T744" s="416"/>
      <c r="U744" s="415"/>
      <c r="V744" s="415"/>
    </row>
    <row r="745" spans="1:22">
      <c r="A745" s="91"/>
      <c r="B745" s="244"/>
      <c r="C745" s="417"/>
      <c r="D745" s="417"/>
      <c r="E745" s="417"/>
      <c r="F745" s="417"/>
      <c r="G745" s="417"/>
      <c r="H745" s="417"/>
      <c r="I745" s="417"/>
      <c r="J745" s="417"/>
      <c r="K745" s="417"/>
      <c r="L745" s="417"/>
      <c r="M745" s="415"/>
      <c r="N745" s="415"/>
      <c r="O745" s="415"/>
      <c r="P745" s="415"/>
      <c r="Q745" s="416"/>
      <c r="R745" s="416"/>
      <c r="S745" s="416"/>
      <c r="T745" s="416"/>
      <c r="U745" s="415"/>
      <c r="V745" s="415"/>
    </row>
    <row r="746" spans="1:22">
      <c r="A746" s="91"/>
      <c r="B746" s="244"/>
      <c r="C746" s="417"/>
      <c r="D746" s="417"/>
      <c r="E746" s="417"/>
      <c r="F746" s="417"/>
      <c r="G746" s="417"/>
      <c r="H746" s="417"/>
      <c r="I746" s="417"/>
      <c r="J746" s="417"/>
      <c r="K746" s="417"/>
      <c r="L746" s="417"/>
      <c r="M746" s="415"/>
      <c r="N746" s="415"/>
      <c r="O746" s="415"/>
      <c r="P746" s="415"/>
      <c r="Q746" s="416"/>
      <c r="R746" s="416"/>
      <c r="S746" s="416"/>
      <c r="T746" s="416"/>
      <c r="U746" s="415"/>
      <c r="V746" s="415"/>
    </row>
    <row r="747" spans="1:22">
      <c r="A747" s="91"/>
      <c r="B747" s="244"/>
      <c r="C747" s="417"/>
      <c r="D747" s="417"/>
      <c r="E747" s="417"/>
      <c r="F747" s="417"/>
      <c r="G747" s="417"/>
      <c r="H747" s="417"/>
      <c r="I747" s="417"/>
      <c r="J747" s="417"/>
      <c r="K747" s="417"/>
      <c r="L747" s="417"/>
      <c r="M747" s="415"/>
      <c r="N747" s="415"/>
      <c r="O747" s="415"/>
      <c r="P747" s="415"/>
      <c r="Q747" s="416"/>
      <c r="R747" s="416"/>
      <c r="S747" s="416"/>
      <c r="T747" s="416"/>
      <c r="U747" s="415"/>
      <c r="V747" s="415"/>
    </row>
    <row r="748" spans="1:22">
      <c r="A748" s="91"/>
      <c r="B748" s="244"/>
      <c r="C748" s="417"/>
      <c r="D748" s="417"/>
      <c r="E748" s="417"/>
      <c r="F748" s="417"/>
      <c r="G748" s="417"/>
      <c r="H748" s="417"/>
      <c r="I748" s="417"/>
      <c r="J748" s="417"/>
      <c r="K748" s="417"/>
      <c r="L748" s="417"/>
      <c r="M748" s="415"/>
      <c r="N748" s="415"/>
      <c r="O748" s="415"/>
      <c r="P748" s="415"/>
      <c r="Q748" s="416"/>
      <c r="R748" s="416"/>
      <c r="S748" s="416"/>
      <c r="T748" s="416"/>
      <c r="U748" s="415"/>
      <c r="V748" s="415"/>
    </row>
    <row r="749" spans="1:22">
      <c r="A749" s="91"/>
      <c r="B749" s="244"/>
      <c r="C749" s="417"/>
      <c r="D749" s="417"/>
      <c r="E749" s="417"/>
      <c r="F749" s="417"/>
      <c r="G749" s="417"/>
      <c r="H749" s="417"/>
      <c r="I749" s="417"/>
      <c r="J749" s="417"/>
      <c r="K749" s="417"/>
      <c r="L749" s="417"/>
      <c r="M749" s="415"/>
      <c r="N749" s="415"/>
      <c r="O749" s="415"/>
      <c r="P749" s="415"/>
      <c r="Q749" s="416"/>
      <c r="R749" s="416"/>
      <c r="S749" s="416"/>
      <c r="T749" s="416"/>
      <c r="U749" s="415"/>
      <c r="V749" s="415"/>
    </row>
    <row r="750" spans="1:22">
      <c r="A750" s="91"/>
      <c r="B750" s="244"/>
      <c r="C750" s="417"/>
      <c r="D750" s="417"/>
      <c r="E750" s="417"/>
      <c r="F750" s="417"/>
      <c r="G750" s="417"/>
      <c r="H750" s="417"/>
      <c r="I750" s="417"/>
      <c r="J750" s="417"/>
      <c r="K750" s="417"/>
      <c r="L750" s="417"/>
      <c r="M750" s="415"/>
      <c r="N750" s="415"/>
      <c r="O750" s="415"/>
      <c r="P750" s="415"/>
      <c r="Q750" s="416"/>
      <c r="R750" s="416"/>
      <c r="S750" s="416"/>
      <c r="T750" s="416"/>
      <c r="U750" s="415"/>
      <c r="V750" s="415"/>
    </row>
    <row r="751" spans="1:22">
      <c r="A751" s="91"/>
      <c r="B751" s="244"/>
      <c r="C751" s="417"/>
      <c r="D751" s="417"/>
      <c r="E751" s="417"/>
      <c r="F751" s="417"/>
      <c r="G751" s="417"/>
      <c r="H751" s="417"/>
      <c r="I751" s="417"/>
      <c r="J751" s="417"/>
      <c r="K751" s="417"/>
      <c r="L751" s="417"/>
      <c r="M751" s="415"/>
      <c r="N751" s="415"/>
      <c r="O751" s="415"/>
      <c r="P751" s="415"/>
      <c r="Q751" s="416"/>
      <c r="R751" s="416"/>
      <c r="S751" s="416"/>
      <c r="T751" s="416"/>
      <c r="U751" s="415"/>
      <c r="V751" s="415"/>
    </row>
    <row r="752" spans="1:22">
      <c r="A752" s="91"/>
      <c r="B752" s="244"/>
      <c r="C752" s="417"/>
      <c r="D752" s="417"/>
      <c r="E752" s="417"/>
      <c r="F752" s="417"/>
      <c r="G752" s="417"/>
      <c r="H752" s="417"/>
      <c r="I752" s="417"/>
      <c r="J752" s="417"/>
      <c r="K752" s="417"/>
      <c r="L752" s="417"/>
      <c r="M752" s="415"/>
      <c r="N752" s="415"/>
      <c r="O752" s="415"/>
      <c r="P752" s="415"/>
      <c r="Q752" s="416"/>
      <c r="R752" s="416"/>
      <c r="S752" s="416"/>
      <c r="T752" s="416"/>
      <c r="U752" s="415"/>
      <c r="V752" s="415"/>
    </row>
    <row r="753" spans="1:22">
      <c r="A753" s="91"/>
      <c r="B753" s="244"/>
      <c r="C753" s="417"/>
      <c r="D753" s="417"/>
      <c r="E753" s="417"/>
      <c r="F753" s="417"/>
      <c r="G753" s="417"/>
      <c r="H753" s="417"/>
      <c r="I753" s="417"/>
      <c r="J753" s="417"/>
      <c r="K753" s="417"/>
      <c r="L753" s="417"/>
      <c r="M753" s="415"/>
      <c r="N753" s="415"/>
      <c r="O753" s="415"/>
      <c r="P753" s="415"/>
      <c r="Q753" s="416"/>
      <c r="R753" s="416"/>
      <c r="S753" s="416"/>
      <c r="T753" s="416"/>
      <c r="U753" s="415"/>
      <c r="V753" s="415"/>
    </row>
    <row r="754" spans="1:22">
      <c r="A754" s="91"/>
      <c r="B754" s="244"/>
      <c r="C754" s="417"/>
      <c r="D754" s="417"/>
      <c r="E754" s="417"/>
      <c r="F754" s="417"/>
      <c r="G754" s="417"/>
      <c r="H754" s="417"/>
      <c r="I754" s="417"/>
      <c r="J754" s="417"/>
      <c r="K754" s="417"/>
      <c r="L754" s="417"/>
      <c r="M754" s="415"/>
      <c r="N754" s="415"/>
      <c r="O754" s="415"/>
      <c r="P754" s="415"/>
      <c r="Q754" s="416"/>
      <c r="R754" s="416"/>
      <c r="S754" s="416"/>
      <c r="T754" s="416"/>
      <c r="U754" s="415"/>
      <c r="V754" s="415"/>
    </row>
    <row r="755" spans="1:22">
      <c r="A755" s="91"/>
      <c r="B755" s="244"/>
      <c r="C755" s="417"/>
      <c r="D755" s="417"/>
      <c r="E755" s="417"/>
      <c r="F755" s="417"/>
      <c r="G755" s="417"/>
      <c r="H755" s="417"/>
      <c r="I755" s="417"/>
      <c r="J755" s="417"/>
      <c r="K755" s="417"/>
      <c r="L755" s="417"/>
      <c r="M755" s="415"/>
      <c r="N755" s="415"/>
      <c r="O755" s="415"/>
      <c r="P755" s="415"/>
      <c r="Q755" s="416"/>
      <c r="R755" s="416"/>
      <c r="S755" s="416"/>
      <c r="T755" s="416"/>
      <c r="U755" s="415"/>
      <c r="V755" s="415"/>
    </row>
    <row r="756" spans="1:22">
      <c r="A756" s="91"/>
      <c r="B756" s="244"/>
      <c r="C756" s="417"/>
      <c r="D756" s="417"/>
      <c r="E756" s="417"/>
      <c r="F756" s="417"/>
      <c r="G756" s="417"/>
      <c r="H756" s="417"/>
      <c r="I756" s="417"/>
      <c r="J756" s="417"/>
      <c r="K756" s="417"/>
      <c r="L756" s="417"/>
      <c r="M756" s="415"/>
      <c r="N756" s="415"/>
      <c r="O756" s="415"/>
      <c r="P756" s="415"/>
      <c r="Q756" s="416"/>
      <c r="R756" s="416"/>
      <c r="S756" s="416"/>
      <c r="T756" s="416"/>
      <c r="U756" s="415"/>
      <c r="V756" s="415"/>
    </row>
    <row r="757" spans="1:22">
      <c r="A757" s="91"/>
      <c r="B757" s="244"/>
      <c r="C757" s="417"/>
      <c r="D757" s="417"/>
      <c r="E757" s="417"/>
      <c r="F757" s="417"/>
      <c r="G757" s="417"/>
      <c r="H757" s="417"/>
      <c r="I757" s="417"/>
      <c r="J757" s="417"/>
      <c r="K757" s="417"/>
      <c r="L757" s="417"/>
      <c r="M757" s="415"/>
      <c r="N757" s="415"/>
      <c r="O757" s="415"/>
      <c r="P757" s="415"/>
      <c r="Q757" s="416"/>
      <c r="R757" s="416"/>
      <c r="S757" s="416"/>
      <c r="T757" s="416"/>
      <c r="U757" s="415"/>
      <c r="V757" s="415"/>
    </row>
    <row r="758" spans="1:22">
      <c r="A758" s="91"/>
      <c r="B758" s="244"/>
      <c r="C758" s="417"/>
      <c r="D758" s="417"/>
      <c r="E758" s="417"/>
      <c r="F758" s="417"/>
      <c r="G758" s="417"/>
      <c r="H758" s="417"/>
      <c r="I758" s="417"/>
      <c r="J758" s="417"/>
      <c r="K758" s="417"/>
      <c r="L758" s="417"/>
      <c r="M758" s="415"/>
      <c r="N758" s="415"/>
      <c r="O758" s="415"/>
      <c r="P758" s="415"/>
      <c r="Q758" s="416"/>
      <c r="R758" s="416"/>
      <c r="S758" s="416"/>
      <c r="T758" s="416"/>
      <c r="U758" s="415"/>
      <c r="V758" s="415"/>
    </row>
    <row r="759" spans="1:22">
      <c r="A759" s="91"/>
      <c r="B759" s="244"/>
      <c r="C759" s="417"/>
      <c r="D759" s="417"/>
      <c r="E759" s="417"/>
      <c r="F759" s="417"/>
      <c r="G759" s="417"/>
      <c r="H759" s="417"/>
      <c r="I759" s="417"/>
      <c r="J759" s="417"/>
      <c r="K759" s="417"/>
      <c r="L759" s="417"/>
      <c r="M759" s="415"/>
      <c r="N759" s="415"/>
      <c r="O759" s="415"/>
      <c r="P759" s="415"/>
      <c r="Q759" s="416"/>
      <c r="R759" s="416"/>
      <c r="S759" s="416"/>
      <c r="T759" s="416"/>
      <c r="U759" s="415"/>
      <c r="V759" s="415"/>
    </row>
    <row r="760" spans="1:22">
      <c r="A760" s="91"/>
      <c r="B760" s="244"/>
      <c r="C760" s="417"/>
      <c r="D760" s="417"/>
      <c r="E760" s="417"/>
      <c r="F760" s="417"/>
      <c r="G760" s="417"/>
      <c r="H760" s="417"/>
      <c r="I760" s="417"/>
      <c r="J760" s="417"/>
      <c r="K760" s="417"/>
      <c r="L760" s="417"/>
      <c r="M760" s="415"/>
      <c r="N760" s="415"/>
      <c r="O760" s="415"/>
      <c r="P760" s="415"/>
      <c r="Q760" s="416"/>
      <c r="R760" s="416"/>
      <c r="S760" s="416"/>
      <c r="T760" s="416"/>
      <c r="U760" s="415"/>
      <c r="V760" s="415"/>
    </row>
    <row r="761" spans="1:22">
      <c r="A761" s="91"/>
      <c r="B761" s="244"/>
      <c r="C761" s="417"/>
      <c r="D761" s="417"/>
      <c r="E761" s="417"/>
      <c r="F761" s="417"/>
      <c r="G761" s="417"/>
      <c r="H761" s="417"/>
      <c r="I761" s="417"/>
      <c r="J761" s="417"/>
      <c r="K761" s="417"/>
      <c r="L761" s="417"/>
      <c r="M761" s="415"/>
      <c r="N761" s="415"/>
      <c r="O761" s="415"/>
      <c r="P761" s="415"/>
      <c r="Q761" s="416"/>
      <c r="R761" s="416"/>
      <c r="S761" s="416"/>
      <c r="T761" s="416"/>
      <c r="U761" s="415"/>
      <c r="V761" s="415"/>
    </row>
    <row r="762" spans="1:22">
      <c r="A762" s="91"/>
      <c r="B762" s="244"/>
      <c r="C762" s="417"/>
      <c r="D762" s="417"/>
      <c r="E762" s="417"/>
      <c r="F762" s="417"/>
      <c r="G762" s="417"/>
      <c r="H762" s="417"/>
      <c r="I762" s="417"/>
      <c r="J762" s="417"/>
      <c r="K762" s="417"/>
      <c r="L762" s="417"/>
      <c r="M762" s="415"/>
      <c r="N762" s="415"/>
      <c r="O762" s="415"/>
      <c r="P762" s="415"/>
      <c r="Q762" s="416"/>
      <c r="R762" s="416"/>
      <c r="S762" s="416"/>
      <c r="T762" s="416"/>
      <c r="U762" s="415"/>
      <c r="V762" s="415"/>
    </row>
    <row r="763" spans="1:22">
      <c r="A763" s="91"/>
      <c r="B763" s="244"/>
      <c r="C763" s="417"/>
      <c r="D763" s="417"/>
      <c r="E763" s="417"/>
      <c r="F763" s="417"/>
      <c r="G763" s="417"/>
      <c r="H763" s="417"/>
      <c r="I763" s="417"/>
      <c r="J763" s="417"/>
      <c r="K763" s="417"/>
      <c r="L763" s="417"/>
      <c r="M763" s="415"/>
      <c r="N763" s="415"/>
      <c r="O763" s="415"/>
      <c r="P763" s="415"/>
      <c r="Q763" s="416"/>
      <c r="R763" s="416"/>
      <c r="S763" s="416"/>
      <c r="T763" s="416"/>
      <c r="U763" s="415"/>
      <c r="V763" s="415"/>
    </row>
    <row r="764" spans="1:22">
      <c r="A764" s="91"/>
      <c r="B764" s="244"/>
      <c r="C764" s="417"/>
      <c r="D764" s="417"/>
      <c r="E764" s="417"/>
      <c r="F764" s="417"/>
      <c r="G764" s="417"/>
      <c r="H764" s="417"/>
      <c r="I764" s="417"/>
      <c r="J764" s="417"/>
      <c r="K764" s="417"/>
      <c r="L764" s="417"/>
      <c r="M764" s="415"/>
      <c r="N764" s="415"/>
      <c r="O764" s="415"/>
      <c r="P764" s="415"/>
      <c r="Q764" s="416"/>
      <c r="R764" s="416"/>
      <c r="S764" s="416"/>
      <c r="T764" s="416"/>
      <c r="U764" s="415"/>
      <c r="V764" s="415"/>
    </row>
    <row r="765" spans="1:22">
      <c r="A765" s="91"/>
      <c r="B765" s="244"/>
      <c r="C765" s="417"/>
      <c r="D765" s="417"/>
      <c r="E765" s="417"/>
      <c r="F765" s="417"/>
      <c r="G765" s="417"/>
      <c r="H765" s="417"/>
      <c r="I765" s="417"/>
      <c r="J765" s="417"/>
      <c r="K765" s="417"/>
      <c r="L765" s="417"/>
      <c r="M765" s="415"/>
      <c r="N765" s="415"/>
      <c r="O765" s="415"/>
      <c r="P765" s="415"/>
      <c r="Q765" s="416"/>
      <c r="R765" s="416"/>
      <c r="S765" s="416"/>
      <c r="T765" s="416"/>
      <c r="U765" s="415"/>
      <c r="V765" s="415"/>
    </row>
    <row r="766" spans="1:22">
      <c r="A766" s="91"/>
      <c r="B766" s="244"/>
      <c r="C766" s="417"/>
      <c r="D766" s="417"/>
      <c r="E766" s="417"/>
      <c r="F766" s="417"/>
      <c r="G766" s="417"/>
      <c r="H766" s="417"/>
      <c r="I766" s="417"/>
      <c r="J766" s="417"/>
      <c r="K766" s="417"/>
      <c r="L766" s="417"/>
      <c r="M766" s="415"/>
      <c r="N766" s="415"/>
      <c r="O766" s="415"/>
      <c r="P766" s="415"/>
      <c r="Q766" s="416"/>
      <c r="R766" s="416"/>
      <c r="S766" s="416"/>
      <c r="T766" s="416"/>
      <c r="U766" s="415"/>
      <c r="V766" s="415"/>
    </row>
    <row r="767" spans="1:22">
      <c r="A767" s="91"/>
      <c r="B767" s="244"/>
      <c r="C767" s="417"/>
      <c r="D767" s="417"/>
      <c r="E767" s="417"/>
      <c r="F767" s="417"/>
      <c r="G767" s="417"/>
      <c r="H767" s="417"/>
      <c r="I767" s="417"/>
      <c r="J767" s="417"/>
      <c r="K767" s="417"/>
      <c r="L767" s="417"/>
      <c r="M767" s="415"/>
      <c r="N767" s="415"/>
      <c r="O767" s="415"/>
      <c r="P767" s="415"/>
      <c r="Q767" s="416"/>
      <c r="R767" s="416"/>
      <c r="S767" s="416"/>
      <c r="T767" s="416"/>
      <c r="U767" s="415"/>
      <c r="V767" s="415"/>
    </row>
    <row r="768" spans="1:22">
      <c r="A768" s="91"/>
      <c r="B768" s="244"/>
      <c r="C768" s="417"/>
      <c r="D768" s="417"/>
      <c r="E768" s="417"/>
      <c r="F768" s="417"/>
      <c r="G768" s="417"/>
      <c r="H768" s="417"/>
      <c r="I768" s="417"/>
      <c r="J768" s="417"/>
      <c r="K768" s="417"/>
      <c r="L768" s="417"/>
      <c r="M768" s="415"/>
      <c r="N768" s="415"/>
      <c r="O768" s="415"/>
      <c r="P768" s="415"/>
      <c r="Q768" s="416"/>
      <c r="R768" s="416"/>
      <c r="S768" s="416"/>
      <c r="T768" s="416"/>
      <c r="U768" s="415"/>
      <c r="V768" s="415"/>
    </row>
    <row r="769" spans="1:22">
      <c r="A769" s="91"/>
      <c r="B769" s="244"/>
      <c r="C769" s="417"/>
      <c r="D769" s="417"/>
      <c r="E769" s="417"/>
      <c r="F769" s="417"/>
      <c r="G769" s="417"/>
      <c r="H769" s="417"/>
      <c r="I769" s="417"/>
      <c r="J769" s="417"/>
      <c r="K769" s="417"/>
      <c r="L769" s="417"/>
      <c r="M769" s="415"/>
      <c r="N769" s="415"/>
      <c r="O769" s="415"/>
      <c r="P769" s="415"/>
      <c r="Q769" s="416"/>
      <c r="R769" s="416"/>
      <c r="S769" s="416"/>
      <c r="T769" s="416"/>
      <c r="U769" s="415"/>
      <c r="V769" s="415"/>
    </row>
    <row r="770" spans="1:22">
      <c r="A770" s="91"/>
      <c r="B770" s="244"/>
      <c r="C770" s="417"/>
      <c r="D770" s="417"/>
      <c r="E770" s="417"/>
      <c r="F770" s="417"/>
      <c r="G770" s="417"/>
      <c r="H770" s="417"/>
      <c r="I770" s="417"/>
      <c r="J770" s="417"/>
      <c r="K770" s="417"/>
      <c r="L770" s="417"/>
      <c r="M770" s="415"/>
      <c r="N770" s="415"/>
      <c r="O770" s="415"/>
      <c r="P770" s="415"/>
      <c r="Q770" s="416"/>
      <c r="R770" s="416"/>
      <c r="S770" s="416"/>
      <c r="T770" s="416"/>
      <c r="U770" s="415"/>
      <c r="V770" s="415"/>
    </row>
    <row r="771" spans="1:22">
      <c r="A771" s="91"/>
      <c r="B771" s="244"/>
      <c r="C771" s="417"/>
      <c r="D771" s="417"/>
      <c r="E771" s="417"/>
      <c r="F771" s="417"/>
      <c r="G771" s="417"/>
      <c r="H771" s="417"/>
      <c r="I771" s="417"/>
      <c r="J771" s="417"/>
      <c r="K771" s="417"/>
      <c r="L771" s="417"/>
      <c r="M771" s="415"/>
      <c r="N771" s="415"/>
      <c r="O771" s="415"/>
      <c r="P771" s="415"/>
      <c r="Q771" s="416"/>
      <c r="R771" s="416"/>
      <c r="S771" s="416"/>
      <c r="T771" s="416"/>
      <c r="U771" s="415"/>
      <c r="V771" s="415"/>
    </row>
    <row r="772" spans="1:22">
      <c r="A772" s="91"/>
      <c r="B772" s="244"/>
      <c r="C772" s="417"/>
      <c r="D772" s="417"/>
      <c r="E772" s="417"/>
      <c r="F772" s="417"/>
      <c r="G772" s="417"/>
      <c r="H772" s="417"/>
      <c r="I772" s="417"/>
      <c r="J772" s="417"/>
      <c r="K772" s="417"/>
      <c r="L772" s="417"/>
      <c r="M772" s="415"/>
      <c r="N772" s="415"/>
      <c r="O772" s="415"/>
      <c r="P772" s="415"/>
      <c r="Q772" s="416"/>
      <c r="R772" s="416"/>
      <c r="S772" s="416"/>
      <c r="T772" s="416"/>
      <c r="U772" s="415"/>
      <c r="V772" s="415"/>
    </row>
    <row r="773" spans="1:22">
      <c r="A773" s="91"/>
      <c r="B773" s="244"/>
      <c r="C773" s="417"/>
      <c r="D773" s="417"/>
      <c r="E773" s="417"/>
      <c r="F773" s="417"/>
      <c r="G773" s="417"/>
      <c r="H773" s="417"/>
      <c r="I773" s="417"/>
      <c r="J773" s="417"/>
      <c r="K773" s="417"/>
      <c r="L773" s="417"/>
      <c r="M773" s="415"/>
      <c r="N773" s="415"/>
      <c r="O773" s="415"/>
      <c r="P773" s="415"/>
      <c r="Q773" s="416"/>
      <c r="R773" s="416"/>
      <c r="S773" s="416"/>
      <c r="T773" s="416"/>
      <c r="U773" s="415"/>
      <c r="V773" s="415"/>
    </row>
    <row r="774" spans="1:22">
      <c r="A774" s="91"/>
      <c r="B774" s="244"/>
      <c r="C774" s="417"/>
      <c r="D774" s="417"/>
      <c r="E774" s="417"/>
      <c r="F774" s="417"/>
      <c r="G774" s="417"/>
      <c r="H774" s="417"/>
      <c r="I774" s="417"/>
      <c r="J774" s="417"/>
      <c r="K774" s="417"/>
      <c r="L774" s="417"/>
      <c r="M774" s="415"/>
      <c r="N774" s="415"/>
      <c r="O774" s="415"/>
      <c r="P774" s="415"/>
      <c r="Q774" s="416"/>
      <c r="R774" s="416"/>
      <c r="S774" s="416"/>
      <c r="T774" s="416"/>
      <c r="U774" s="415"/>
      <c r="V774" s="415"/>
    </row>
    <row r="775" spans="1:22">
      <c r="A775" s="91"/>
      <c r="B775" s="244"/>
      <c r="C775" s="417"/>
      <c r="D775" s="417"/>
      <c r="E775" s="417"/>
      <c r="F775" s="417"/>
      <c r="G775" s="417"/>
      <c r="H775" s="417"/>
      <c r="I775" s="417"/>
      <c r="J775" s="417"/>
      <c r="K775" s="417"/>
      <c r="L775" s="417"/>
      <c r="M775" s="415"/>
      <c r="N775" s="415"/>
      <c r="O775" s="415"/>
      <c r="P775" s="415"/>
      <c r="Q775" s="416"/>
      <c r="R775" s="416"/>
      <c r="S775" s="416"/>
      <c r="T775" s="416"/>
      <c r="U775" s="415"/>
      <c r="V775" s="415"/>
    </row>
    <row r="776" spans="1:22">
      <c r="A776" s="91"/>
      <c r="B776" s="244"/>
      <c r="C776" s="417"/>
      <c r="D776" s="417"/>
      <c r="E776" s="417"/>
      <c r="F776" s="417"/>
      <c r="G776" s="417"/>
      <c r="H776" s="417"/>
      <c r="I776" s="417"/>
      <c r="J776" s="417"/>
      <c r="K776" s="417"/>
      <c r="L776" s="417"/>
      <c r="M776" s="415"/>
      <c r="N776" s="415"/>
      <c r="O776" s="415"/>
      <c r="P776" s="415"/>
      <c r="Q776" s="416"/>
      <c r="R776" s="416"/>
      <c r="S776" s="416"/>
      <c r="T776" s="416"/>
      <c r="U776" s="415"/>
      <c r="V776" s="415"/>
    </row>
    <row r="777" spans="1:22">
      <c r="A777" s="91"/>
      <c r="B777" s="244"/>
      <c r="C777" s="417"/>
      <c r="D777" s="417"/>
      <c r="E777" s="417"/>
      <c r="F777" s="417"/>
      <c r="G777" s="417"/>
      <c r="H777" s="417"/>
      <c r="I777" s="417"/>
      <c r="J777" s="417"/>
      <c r="K777" s="417"/>
      <c r="L777" s="417"/>
      <c r="M777" s="415"/>
      <c r="N777" s="415"/>
      <c r="O777" s="415"/>
      <c r="P777" s="415"/>
      <c r="Q777" s="416"/>
      <c r="R777" s="416"/>
      <c r="S777" s="416"/>
      <c r="T777" s="416"/>
      <c r="U777" s="415"/>
      <c r="V777" s="415"/>
    </row>
    <row r="778" spans="1:22">
      <c r="A778" s="91"/>
      <c r="B778" s="244"/>
      <c r="C778" s="417"/>
      <c r="D778" s="417"/>
      <c r="E778" s="417"/>
      <c r="F778" s="417"/>
      <c r="G778" s="417"/>
      <c r="H778" s="417"/>
      <c r="I778" s="417"/>
      <c r="J778" s="417"/>
      <c r="K778" s="417"/>
      <c r="L778" s="417"/>
      <c r="M778" s="415"/>
      <c r="N778" s="415"/>
      <c r="O778" s="415"/>
      <c r="P778" s="415"/>
      <c r="Q778" s="416"/>
      <c r="R778" s="416"/>
      <c r="S778" s="416"/>
      <c r="T778" s="416"/>
      <c r="U778" s="415"/>
      <c r="V778" s="415"/>
    </row>
    <row r="779" spans="1:22">
      <c r="A779" s="91"/>
      <c r="B779" s="244"/>
      <c r="C779" s="417"/>
      <c r="D779" s="417"/>
      <c r="E779" s="417"/>
      <c r="F779" s="417"/>
      <c r="G779" s="417"/>
      <c r="H779" s="417"/>
      <c r="I779" s="417"/>
      <c r="J779" s="417"/>
      <c r="K779" s="417"/>
      <c r="L779" s="417"/>
      <c r="M779" s="415"/>
      <c r="N779" s="415"/>
      <c r="O779" s="415"/>
      <c r="P779" s="415"/>
      <c r="Q779" s="416"/>
      <c r="R779" s="416"/>
      <c r="S779" s="416"/>
      <c r="T779" s="416"/>
      <c r="U779" s="415"/>
      <c r="V779" s="415"/>
    </row>
    <row r="780" spans="1:22">
      <c r="A780" s="91"/>
      <c r="B780" s="244"/>
      <c r="C780" s="417"/>
      <c r="D780" s="417"/>
      <c r="E780" s="417"/>
      <c r="F780" s="417"/>
      <c r="G780" s="417"/>
      <c r="H780" s="417"/>
      <c r="I780" s="417"/>
      <c r="J780" s="417"/>
      <c r="K780" s="417"/>
      <c r="L780" s="417"/>
      <c r="M780" s="415"/>
      <c r="N780" s="415"/>
      <c r="O780" s="415"/>
      <c r="P780" s="415"/>
      <c r="Q780" s="416"/>
      <c r="R780" s="416"/>
      <c r="S780" s="416"/>
      <c r="T780" s="416"/>
      <c r="U780" s="415"/>
      <c r="V780" s="415"/>
    </row>
    <row r="781" spans="1:22">
      <c r="A781" s="91"/>
      <c r="B781" s="244"/>
      <c r="C781" s="417"/>
      <c r="D781" s="417"/>
      <c r="E781" s="417"/>
      <c r="F781" s="417"/>
      <c r="G781" s="417"/>
      <c r="H781" s="417"/>
      <c r="I781" s="417"/>
      <c r="J781" s="417"/>
      <c r="K781" s="417"/>
      <c r="L781" s="417"/>
      <c r="M781" s="415"/>
      <c r="N781" s="415"/>
      <c r="O781" s="415"/>
      <c r="P781" s="415"/>
      <c r="Q781" s="416"/>
      <c r="R781" s="416"/>
      <c r="S781" s="416"/>
      <c r="T781" s="416"/>
      <c r="U781" s="415"/>
      <c r="V781" s="415"/>
    </row>
    <row r="782" spans="1:22">
      <c r="A782" s="91"/>
      <c r="B782" s="244"/>
      <c r="C782" s="417"/>
      <c r="D782" s="417"/>
      <c r="E782" s="417"/>
      <c r="F782" s="417"/>
      <c r="G782" s="417"/>
      <c r="H782" s="417"/>
      <c r="I782" s="417"/>
      <c r="J782" s="417"/>
      <c r="K782" s="417"/>
      <c r="L782" s="417"/>
      <c r="M782" s="415"/>
      <c r="N782" s="415"/>
      <c r="O782" s="415"/>
      <c r="P782" s="415"/>
      <c r="Q782" s="416"/>
      <c r="R782" s="416"/>
      <c r="S782" s="416"/>
      <c r="T782" s="416"/>
      <c r="U782" s="415"/>
      <c r="V782" s="415"/>
    </row>
    <row r="783" spans="1:22">
      <c r="A783" s="91"/>
      <c r="B783" s="244"/>
      <c r="C783" s="417"/>
      <c r="D783" s="417"/>
      <c r="E783" s="417"/>
      <c r="F783" s="417"/>
      <c r="G783" s="417"/>
      <c r="H783" s="417"/>
      <c r="I783" s="417"/>
      <c r="J783" s="417"/>
      <c r="K783" s="417"/>
      <c r="L783" s="417"/>
      <c r="M783" s="415"/>
      <c r="N783" s="415"/>
      <c r="O783" s="415"/>
      <c r="P783" s="415"/>
      <c r="Q783" s="416"/>
      <c r="R783" s="416"/>
      <c r="S783" s="416"/>
      <c r="T783" s="416"/>
      <c r="U783" s="415"/>
      <c r="V783" s="415"/>
    </row>
    <row r="784" spans="1:22">
      <c r="A784" s="91"/>
      <c r="B784" s="244"/>
      <c r="C784" s="417"/>
      <c r="D784" s="417"/>
      <c r="E784" s="417"/>
      <c r="F784" s="417"/>
      <c r="G784" s="417"/>
      <c r="H784" s="417"/>
      <c r="I784" s="417"/>
      <c r="J784" s="417"/>
      <c r="K784" s="417"/>
      <c r="L784" s="417"/>
      <c r="M784" s="415"/>
      <c r="N784" s="415"/>
      <c r="O784" s="415"/>
      <c r="P784" s="415"/>
      <c r="Q784" s="416"/>
      <c r="R784" s="416"/>
      <c r="S784" s="416"/>
      <c r="T784" s="416"/>
      <c r="U784" s="415"/>
      <c r="V784" s="415"/>
    </row>
    <row r="785" spans="1:22">
      <c r="A785" s="91"/>
      <c r="B785" s="244"/>
      <c r="C785" s="417"/>
      <c r="D785" s="417"/>
      <c r="E785" s="417"/>
      <c r="F785" s="417"/>
      <c r="G785" s="417"/>
      <c r="H785" s="417"/>
      <c r="I785" s="417"/>
      <c r="J785" s="417"/>
      <c r="K785" s="417"/>
      <c r="L785" s="417"/>
      <c r="M785" s="415"/>
      <c r="N785" s="415"/>
      <c r="O785" s="415"/>
      <c r="P785" s="415"/>
      <c r="Q785" s="416"/>
      <c r="R785" s="416"/>
      <c r="S785" s="416"/>
      <c r="T785" s="416"/>
      <c r="U785" s="415"/>
      <c r="V785" s="415"/>
    </row>
    <row r="786" spans="1:22">
      <c r="A786" s="91"/>
      <c r="B786" s="244"/>
      <c r="C786" s="417"/>
      <c r="D786" s="417"/>
      <c r="E786" s="417"/>
      <c r="F786" s="417"/>
      <c r="G786" s="417"/>
      <c r="H786" s="417"/>
      <c r="I786" s="417"/>
      <c r="J786" s="417"/>
      <c r="K786" s="417"/>
      <c r="L786" s="417"/>
      <c r="M786" s="415"/>
      <c r="N786" s="415"/>
      <c r="O786" s="415"/>
      <c r="P786" s="415"/>
      <c r="Q786" s="416"/>
      <c r="R786" s="416"/>
      <c r="S786" s="416"/>
      <c r="T786" s="416"/>
      <c r="U786" s="415"/>
      <c r="V786" s="415"/>
    </row>
    <row r="787" spans="1:22">
      <c r="A787" s="91"/>
      <c r="B787" s="244"/>
      <c r="C787" s="417"/>
      <c r="D787" s="417"/>
      <c r="E787" s="417"/>
      <c r="F787" s="417"/>
      <c r="G787" s="417"/>
      <c r="H787" s="417"/>
      <c r="I787" s="417"/>
      <c r="J787" s="417"/>
      <c r="K787" s="417"/>
      <c r="L787" s="417"/>
      <c r="M787" s="415"/>
      <c r="N787" s="415"/>
      <c r="O787" s="415"/>
      <c r="P787" s="415"/>
      <c r="Q787" s="416"/>
      <c r="R787" s="416"/>
      <c r="S787" s="416"/>
      <c r="T787" s="416"/>
      <c r="U787" s="415"/>
      <c r="V787" s="415"/>
    </row>
    <row r="788" spans="1:22">
      <c r="A788" s="91"/>
      <c r="B788" s="244"/>
      <c r="C788" s="417"/>
      <c r="D788" s="417"/>
      <c r="E788" s="417"/>
      <c r="F788" s="417"/>
      <c r="G788" s="417"/>
      <c r="H788" s="417"/>
      <c r="I788" s="417"/>
      <c r="J788" s="417"/>
      <c r="K788" s="417"/>
      <c r="L788" s="417"/>
      <c r="M788" s="415"/>
      <c r="N788" s="415"/>
      <c r="O788" s="415"/>
      <c r="P788" s="415"/>
      <c r="Q788" s="416"/>
      <c r="R788" s="416"/>
      <c r="S788" s="416"/>
      <c r="T788" s="416"/>
      <c r="U788" s="415"/>
      <c r="V788" s="415"/>
    </row>
    <row r="789" spans="1:22">
      <c r="A789" s="91"/>
      <c r="B789" s="244"/>
      <c r="C789" s="417"/>
      <c r="D789" s="417"/>
      <c r="E789" s="417"/>
      <c r="F789" s="417"/>
      <c r="G789" s="417"/>
      <c r="H789" s="417"/>
      <c r="I789" s="417"/>
      <c r="J789" s="417"/>
      <c r="K789" s="417"/>
      <c r="L789" s="417"/>
      <c r="M789" s="415"/>
      <c r="N789" s="415"/>
      <c r="O789" s="415"/>
      <c r="P789" s="415"/>
      <c r="Q789" s="416"/>
      <c r="R789" s="416"/>
      <c r="S789" s="416"/>
      <c r="T789" s="416"/>
      <c r="U789" s="415"/>
      <c r="V789" s="415"/>
    </row>
    <row r="790" spans="1:22">
      <c r="A790" s="91"/>
      <c r="B790" s="244"/>
      <c r="C790" s="417"/>
      <c r="D790" s="417"/>
      <c r="E790" s="417"/>
      <c r="F790" s="417"/>
      <c r="G790" s="417"/>
      <c r="H790" s="417"/>
      <c r="I790" s="417"/>
      <c r="J790" s="417"/>
      <c r="K790" s="417"/>
      <c r="L790" s="417"/>
      <c r="M790" s="415"/>
      <c r="N790" s="415"/>
      <c r="O790" s="415"/>
      <c r="P790" s="415"/>
      <c r="Q790" s="416"/>
      <c r="R790" s="416"/>
      <c r="S790" s="416"/>
      <c r="T790" s="416"/>
      <c r="U790" s="415"/>
      <c r="V790" s="415"/>
    </row>
    <row r="791" spans="1:22">
      <c r="A791" s="91"/>
      <c r="B791" s="244"/>
      <c r="C791" s="417"/>
      <c r="D791" s="417"/>
      <c r="E791" s="417"/>
      <c r="F791" s="417"/>
      <c r="G791" s="417"/>
      <c r="H791" s="417"/>
      <c r="I791" s="417"/>
      <c r="J791" s="417"/>
      <c r="K791" s="417"/>
      <c r="L791" s="417"/>
      <c r="M791" s="415"/>
      <c r="N791" s="415"/>
      <c r="O791" s="415"/>
      <c r="P791" s="415"/>
      <c r="Q791" s="416"/>
      <c r="R791" s="416"/>
      <c r="S791" s="416"/>
      <c r="T791" s="416"/>
      <c r="U791" s="415"/>
      <c r="V791" s="415"/>
    </row>
    <row r="792" spans="1:22">
      <c r="A792" s="91"/>
      <c r="B792" s="244"/>
      <c r="C792" s="417"/>
      <c r="D792" s="417"/>
      <c r="E792" s="417"/>
      <c r="F792" s="417"/>
      <c r="G792" s="417"/>
      <c r="H792" s="417"/>
      <c r="I792" s="417"/>
      <c r="J792" s="417"/>
      <c r="K792" s="417"/>
      <c r="L792" s="417"/>
      <c r="M792" s="415"/>
      <c r="N792" s="415"/>
      <c r="O792" s="415"/>
      <c r="P792" s="415"/>
      <c r="Q792" s="416"/>
      <c r="R792" s="416"/>
      <c r="S792" s="416"/>
      <c r="T792" s="416"/>
      <c r="U792" s="415"/>
      <c r="V792" s="415"/>
    </row>
    <row r="793" spans="1:22">
      <c r="A793" s="91"/>
      <c r="B793" s="244"/>
      <c r="C793" s="417"/>
      <c r="D793" s="417"/>
      <c r="E793" s="417"/>
      <c r="F793" s="417"/>
      <c r="G793" s="417"/>
      <c r="H793" s="417"/>
      <c r="I793" s="417"/>
      <c r="J793" s="417"/>
      <c r="K793" s="417"/>
      <c r="L793" s="417"/>
      <c r="M793" s="415"/>
      <c r="N793" s="415"/>
      <c r="O793" s="415"/>
      <c r="P793" s="415"/>
      <c r="Q793" s="416"/>
      <c r="R793" s="416"/>
      <c r="S793" s="416"/>
      <c r="T793" s="416"/>
      <c r="U793" s="415"/>
      <c r="V793" s="415"/>
    </row>
    <row r="794" spans="1:22">
      <c r="A794" s="91"/>
      <c r="B794" s="244"/>
      <c r="C794" s="417"/>
      <c r="D794" s="417"/>
      <c r="E794" s="417"/>
      <c r="F794" s="417"/>
      <c r="G794" s="417"/>
      <c r="H794" s="417"/>
      <c r="I794" s="417"/>
      <c r="J794" s="417"/>
      <c r="K794" s="417"/>
      <c r="L794" s="417"/>
      <c r="M794" s="415"/>
      <c r="N794" s="415"/>
      <c r="O794" s="415"/>
      <c r="P794" s="415"/>
      <c r="Q794" s="416"/>
      <c r="R794" s="416"/>
      <c r="S794" s="416"/>
      <c r="T794" s="416"/>
      <c r="U794" s="415"/>
      <c r="V794" s="415"/>
    </row>
    <row r="795" spans="1:22">
      <c r="A795" s="91"/>
      <c r="B795" s="244"/>
      <c r="C795" s="417"/>
      <c r="D795" s="417"/>
      <c r="E795" s="417"/>
      <c r="F795" s="417"/>
      <c r="G795" s="417"/>
      <c r="H795" s="417"/>
      <c r="I795" s="417"/>
      <c r="J795" s="417"/>
      <c r="K795" s="417"/>
      <c r="L795" s="417"/>
      <c r="M795" s="415"/>
      <c r="N795" s="415"/>
      <c r="O795" s="415"/>
      <c r="P795" s="415"/>
      <c r="Q795" s="416"/>
      <c r="R795" s="416"/>
      <c r="S795" s="416"/>
      <c r="T795" s="416"/>
      <c r="U795" s="415"/>
      <c r="V795" s="415"/>
    </row>
    <row r="796" spans="1:22">
      <c r="A796" s="91"/>
      <c r="B796" s="244"/>
      <c r="C796" s="417"/>
      <c r="D796" s="417"/>
      <c r="E796" s="417"/>
      <c r="F796" s="417"/>
      <c r="G796" s="417"/>
      <c r="H796" s="417"/>
      <c r="I796" s="417"/>
      <c r="J796" s="417"/>
      <c r="K796" s="417"/>
      <c r="L796" s="417"/>
      <c r="M796" s="415"/>
      <c r="N796" s="415"/>
      <c r="O796" s="415"/>
      <c r="P796" s="415"/>
      <c r="Q796" s="416"/>
      <c r="R796" s="416"/>
      <c r="S796" s="416"/>
      <c r="T796" s="416"/>
      <c r="U796" s="415"/>
      <c r="V796" s="415"/>
    </row>
    <row r="797" spans="1:22">
      <c r="A797" s="91"/>
      <c r="B797" s="244"/>
      <c r="C797" s="417"/>
      <c r="D797" s="417"/>
      <c r="E797" s="417"/>
      <c r="F797" s="417"/>
      <c r="G797" s="417"/>
      <c r="H797" s="417"/>
      <c r="I797" s="417"/>
      <c r="J797" s="417"/>
      <c r="K797" s="417"/>
      <c r="L797" s="417"/>
      <c r="M797" s="415"/>
      <c r="N797" s="415"/>
      <c r="O797" s="415"/>
      <c r="P797" s="415"/>
      <c r="Q797" s="416"/>
      <c r="R797" s="416"/>
      <c r="S797" s="416"/>
      <c r="T797" s="416"/>
      <c r="U797" s="415"/>
      <c r="V797" s="415"/>
    </row>
    <row r="798" spans="1:22">
      <c r="A798" s="91"/>
      <c r="B798" s="244"/>
      <c r="C798" s="417"/>
      <c r="D798" s="417"/>
      <c r="E798" s="417"/>
      <c r="F798" s="417"/>
      <c r="G798" s="417"/>
      <c r="H798" s="417"/>
      <c r="I798" s="417"/>
      <c r="J798" s="417"/>
      <c r="K798" s="417"/>
      <c r="L798" s="417"/>
      <c r="M798" s="415"/>
      <c r="N798" s="415"/>
      <c r="O798" s="415"/>
      <c r="P798" s="415"/>
      <c r="Q798" s="416"/>
      <c r="R798" s="416"/>
      <c r="S798" s="416"/>
      <c r="T798" s="416"/>
      <c r="U798" s="415"/>
      <c r="V798" s="415"/>
    </row>
    <row r="799" spans="1:22">
      <c r="A799" s="91"/>
      <c r="B799" s="244"/>
      <c r="C799" s="417"/>
      <c r="D799" s="417"/>
      <c r="E799" s="417"/>
      <c r="F799" s="417"/>
      <c r="G799" s="417"/>
      <c r="H799" s="417"/>
      <c r="I799" s="417"/>
      <c r="J799" s="417"/>
      <c r="K799" s="417"/>
      <c r="L799" s="417"/>
      <c r="M799" s="415"/>
      <c r="N799" s="415"/>
      <c r="O799" s="415"/>
      <c r="P799" s="415"/>
      <c r="Q799" s="416"/>
      <c r="R799" s="416"/>
      <c r="S799" s="416"/>
      <c r="T799" s="416"/>
      <c r="U799" s="415"/>
      <c r="V799" s="415"/>
    </row>
    <row r="800" spans="1:22">
      <c r="A800" s="91"/>
      <c r="B800" s="244"/>
      <c r="C800" s="417"/>
      <c r="D800" s="417"/>
      <c r="E800" s="417"/>
      <c r="F800" s="417"/>
      <c r="G800" s="417"/>
      <c r="H800" s="417"/>
      <c r="I800" s="417"/>
      <c r="J800" s="417"/>
      <c r="K800" s="417"/>
      <c r="L800" s="417"/>
      <c r="M800" s="415"/>
      <c r="N800" s="415"/>
      <c r="O800" s="415"/>
      <c r="P800" s="415"/>
      <c r="Q800" s="416"/>
      <c r="R800" s="416"/>
      <c r="S800" s="416"/>
      <c r="T800" s="416"/>
      <c r="U800" s="415"/>
      <c r="V800" s="415"/>
    </row>
    <row r="801" spans="1:22">
      <c r="A801" s="91"/>
      <c r="B801" s="244"/>
      <c r="C801" s="417"/>
      <c r="D801" s="417"/>
      <c r="E801" s="417"/>
      <c r="F801" s="417"/>
      <c r="G801" s="417"/>
      <c r="H801" s="417"/>
      <c r="I801" s="417"/>
      <c r="J801" s="417"/>
      <c r="K801" s="417"/>
      <c r="L801" s="417"/>
      <c r="M801" s="415"/>
      <c r="N801" s="415"/>
      <c r="O801" s="415"/>
      <c r="P801" s="415"/>
      <c r="Q801" s="416"/>
      <c r="R801" s="416"/>
      <c r="S801" s="416"/>
      <c r="T801" s="416"/>
      <c r="U801" s="415"/>
      <c r="V801" s="415"/>
    </row>
    <row r="802" spans="1:22">
      <c r="A802" s="91"/>
      <c r="B802" s="244"/>
      <c r="C802" s="417"/>
      <c r="D802" s="417"/>
      <c r="E802" s="417"/>
      <c r="F802" s="417"/>
      <c r="G802" s="417"/>
      <c r="H802" s="417"/>
      <c r="I802" s="417"/>
      <c r="J802" s="417"/>
      <c r="K802" s="417"/>
      <c r="L802" s="417"/>
      <c r="M802" s="415"/>
      <c r="N802" s="415"/>
      <c r="O802" s="415"/>
      <c r="P802" s="415"/>
      <c r="Q802" s="416"/>
      <c r="R802" s="416"/>
      <c r="S802" s="416"/>
      <c r="T802" s="416"/>
      <c r="U802" s="415"/>
      <c r="V802" s="415"/>
    </row>
    <row r="803" spans="1:22">
      <c r="A803" s="91"/>
      <c r="B803" s="244"/>
      <c r="C803" s="417"/>
      <c r="D803" s="417"/>
      <c r="E803" s="417"/>
      <c r="F803" s="417"/>
      <c r="G803" s="417"/>
      <c r="H803" s="417"/>
      <c r="I803" s="417"/>
      <c r="J803" s="417"/>
      <c r="K803" s="417"/>
      <c r="L803" s="417"/>
      <c r="M803" s="415"/>
      <c r="N803" s="415"/>
      <c r="O803" s="415"/>
      <c r="P803" s="415"/>
      <c r="Q803" s="416"/>
      <c r="R803" s="416"/>
      <c r="S803" s="416"/>
      <c r="T803" s="416"/>
      <c r="U803" s="415"/>
      <c r="V803" s="415"/>
    </row>
    <row r="804" spans="1:22">
      <c r="A804" s="91"/>
      <c r="B804" s="244"/>
      <c r="C804" s="417"/>
      <c r="D804" s="417"/>
      <c r="E804" s="417"/>
      <c r="F804" s="417"/>
      <c r="G804" s="417"/>
      <c r="H804" s="417"/>
      <c r="I804" s="417"/>
      <c r="J804" s="417"/>
      <c r="K804" s="417"/>
      <c r="L804" s="417"/>
      <c r="M804" s="415"/>
      <c r="N804" s="415"/>
      <c r="O804" s="415"/>
      <c r="P804" s="415"/>
      <c r="Q804" s="416"/>
      <c r="R804" s="416"/>
      <c r="S804" s="416"/>
      <c r="T804" s="416"/>
      <c r="U804" s="415"/>
      <c r="V804" s="415"/>
    </row>
    <row r="805" spans="1:22">
      <c r="A805" s="91"/>
      <c r="B805" s="244"/>
      <c r="C805" s="417"/>
      <c r="D805" s="417"/>
      <c r="E805" s="417"/>
      <c r="F805" s="417"/>
      <c r="G805" s="417"/>
      <c r="H805" s="417"/>
      <c r="I805" s="417"/>
      <c r="J805" s="417"/>
      <c r="K805" s="417"/>
      <c r="L805" s="417"/>
      <c r="M805" s="415"/>
      <c r="N805" s="415"/>
      <c r="O805" s="415"/>
      <c r="P805" s="415"/>
      <c r="Q805" s="416"/>
      <c r="R805" s="416"/>
      <c r="S805" s="416"/>
      <c r="T805" s="416"/>
      <c r="U805" s="415"/>
      <c r="V805" s="415"/>
    </row>
    <row r="806" spans="1:22">
      <c r="A806" s="91"/>
      <c r="B806" s="244"/>
      <c r="C806" s="417"/>
      <c r="D806" s="417"/>
      <c r="E806" s="417"/>
      <c r="F806" s="417"/>
      <c r="G806" s="417"/>
      <c r="H806" s="417"/>
      <c r="I806" s="417"/>
      <c r="J806" s="417"/>
      <c r="K806" s="417"/>
      <c r="L806" s="417"/>
      <c r="M806" s="415"/>
      <c r="N806" s="415"/>
      <c r="O806" s="415"/>
      <c r="P806" s="415"/>
      <c r="Q806" s="416"/>
      <c r="R806" s="416"/>
      <c r="S806" s="416"/>
      <c r="T806" s="416"/>
      <c r="U806" s="415"/>
      <c r="V806" s="415"/>
    </row>
    <row r="807" spans="1:22">
      <c r="A807" s="91"/>
      <c r="B807" s="244"/>
      <c r="C807" s="417"/>
      <c r="D807" s="417"/>
      <c r="E807" s="417"/>
      <c r="F807" s="417"/>
      <c r="G807" s="417"/>
      <c r="H807" s="417"/>
      <c r="I807" s="417"/>
      <c r="J807" s="417"/>
      <c r="K807" s="417"/>
      <c r="L807" s="417"/>
      <c r="M807" s="415"/>
      <c r="N807" s="415"/>
      <c r="O807" s="415"/>
      <c r="P807" s="415"/>
      <c r="Q807" s="416"/>
      <c r="R807" s="416"/>
      <c r="S807" s="416"/>
      <c r="T807" s="416"/>
      <c r="U807" s="415"/>
      <c r="V807" s="415"/>
    </row>
    <row r="808" spans="1:22">
      <c r="A808" s="91"/>
      <c r="B808" s="244"/>
      <c r="C808" s="417"/>
      <c r="D808" s="417"/>
      <c r="E808" s="417"/>
      <c r="F808" s="417"/>
      <c r="G808" s="417"/>
      <c r="H808" s="417"/>
      <c r="I808" s="417"/>
      <c r="J808" s="417"/>
      <c r="K808" s="417"/>
      <c r="L808" s="417"/>
      <c r="M808" s="415"/>
      <c r="N808" s="415"/>
      <c r="O808" s="415"/>
      <c r="P808" s="415"/>
      <c r="Q808" s="416"/>
      <c r="R808" s="416"/>
      <c r="S808" s="416"/>
      <c r="T808" s="416"/>
      <c r="U808" s="415"/>
      <c r="V808" s="415"/>
    </row>
    <row r="809" spans="1:22">
      <c r="A809" s="91"/>
      <c r="B809" s="244"/>
      <c r="C809" s="417"/>
      <c r="D809" s="417"/>
      <c r="E809" s="417"/>
      <c r="F809" s="417"/>
      <c r="G809" s="417"/>
      <c r="H809" s="417"/>
      <c r="I809" s="417"/>
      <c r="J809" s="417"/>
      <c r="K809" s="417"/>
      <c r="L809" s="417"/>
      <c r="M809" s="415"/>
      <c r="N809" s="415"/>
      <c r="O809" s="415"/>
      <c r="P809" s="415"/>
      <c r="Q809" s="416"/>
      <c r="R809" s="416"/>
      <c r="S809" s="416"/>
      <c r="T809" s="416"/>
      <c r="U809" s="415"/>
      <c r="V809" s="415"/>
    </row>
    <row r="810" spans="1:22">
      <c r="A810" s="91"/>
      <c r="B810" s="244"/>
      <c r="C810" s="417"/>
      <c r="D810" s="417"/>
      <c r="E810" s="417"/>
      <c r="F810" s="417"/>
      <c r="G810" s="417"/>
      <c r="H810" s="417"/>
      <c r="I810" s="417"/>
      <c r="J810" s="417"/>
      <c r="K810" s="417"/>
      <c r="L810" s="417"/>
      <c r="M810" s="415"/>
      <c r="N810" s="415"/>
      <c r="O810" s="415"/>
      <c r="P810" s="415"/>
      <c r="Q810" s="416"/>
      <c r="R810" s="416"/>
      <c r="S810" s="416"/>
      <c r="T810" s="416"/>
      <c r="U810" s="415"/>
      <c r="V810" s="415"/>
    </row>
    <row r="811" spans="1:22">
      <c r="A811" s="91"/>
      <c r="B811" s="244"/>
      <c r="C811" s="417"/>
      <c r="D811" s="417"/>
      <c r="E811" s="417"/>
      <c r="F811" s="417"/>
      <c r="G811" s="417"/>
      <c r="H811" s="417"/>
      <c r="I811" s="417"/>
      <c r="J811" s="417"/>
      <c r="K811" s="417"/>
      <c r="L811" s="417"/>
      <c r="M811" s="415"/>
      <c r="N811" s="415"/>
      <c r="O811" s="415"/>
      <c r="P811" s="415"/>
      <c r="Q811" s="416"/>
      <c r="R811" s="416"/>
      <c r="S811" s="416"/>
      <c r="T811" s="416"/>
      <c r="U811" s="415"/>
      <c r="V811" s="415"/>
    </row>
    <row r="812" spans="1:22">
      <c r="A812" s="91"/>
      <c r="B812" s="244"/>
      <c r="C812" s="417"/>
      <c r="D812" s="417"/>
      <c r="E812" s="417"/>
      <c r="F812" s="417"/>
      <c r="G812" s="417"/>
      <c r="H812" s="417"/>
      <c r="I812" s="417"/>
      <c r="J812" s="417"/>
      <c r="K812" s="417"/>
      <c r="L812" s="417"/>
      <c r="M812" s="415"/>
      <c r="N812" s="415"/>
      <c r="O812" s="415"/>
      <c r="P812" s="415"/>
      <c r="Q812" s="416"/>
      <c r="R812" s="416"/>
      <c r="S812" s="416"/>
      <c r="T812" s="416"/>
      <c r="U812" s="415"/>
      <c r="V812" s="415"/>
    </row>
    <row r="813" spans="1:22">
      <c r="A813" s="91"/>
      <c r="B813" s="244"/>
      <c r="C813" s="417"/>
      <c r="D813" s="417"/>
      <c r="E813" s="417"/>
      <c r="F813" s="417"/>
      <c r="G813" s="417"/>
      <c r="H813" s="417"/>
      <c r="I813" s="417"/>
      <c r="J813" s="417"/>
      <c r="K813" s="417"/>
      <c r="L813" s="417"/>
      <c r="M813" s="415"/>
      <c r="N813" s="415"/>
      <c r="O813" s="415"/>
      <c r="P813" s="415"/>
      <c r="Q813" s="416"/>
      <c r="R813" s="416"/>
      <c r="S813" s="416"/>
      <c r="T813" s="416"/>
      <c r="U813" s="415"/>
      <c r="V813" s="415"/>
    </row>
    <row r="814" spans="1:22">
      <c r="A814" s="91"/>
      <c r="B814" s="244"/>
      <c r="C814" s="417"/>
      <c r="D814" s="417"/>
      <c r="E814" s="417"/>
      <c r="F814" s="417"/>
      <c r="G814" s="417"/>
      <c r="H814" s="417"/>
      <c r="I814" s="417"/>
      <c r="J814" s="417"/>
      <c r="K814" s="417"/>
      <c r="L814" s="417"/>
      <c r="M814" s="415"/>
      <c r="N814" s="415"/>
      <c r="O814" s="415"/>
      <c r="P814" s="415"/>
      <c r="Q814" s="416"/>
      <c r="R814" s="416"/>
      <c r="S814" s="416"/>
      <c r="T814" s="416"/>
      <c r="U814" s="415"/>
      <c r="V814" s="415"/>
    </row>
    <row r="815" spans="1:22">
      <c r="A815" s="91"/>
      <c r="B815" s="244"/>
      <c r="C815" s="417"/>
      <c r="D815" s="417"/>
      <c r="E815" s="417"/>
      <c r="F815" s="417"/>
      <c r="G815" s="417"/>
      <c r="H815" s="417"/>
      <c r="I815" s="417"/>
      <c r="J815" s="417"/>
      <c r="K815" s="417"/>
      <c r="L815" s="417"/>
      <c r="M815" s="415"/>
      <c r="N815" s="415"/>
      <c r="O815" s="415"/>
      <c r="P815" s="415"/>
      <c r="Q815" s="416"/>
      <c r="R815" s="416"/>
      <c r="S815" s="416"/>
      <c r="T815" s="416"/>
      <c r="U815" s="415"/>
      <c r="V815" s="415"/>
    </row>
    <row r="816" spans="1:22">
      <c r="A816" s="91"/>
      <c r="B816" s="244"/>
      <c r="C816" s="417"/>
      <c r="D816" s="417"/>
      <c r="E816" s="417"/>
      <c r="F816" s="417"/>
      <c r="G816" s="417"/>
      <c r="H816" s="417"/>
      <c r="I816" s="417"/>
      <c r="J816" s="417"/>
      <c r="K816" s="417"/>
      <c r="L816" s="417"/>
      <c r="M816" s="415"/>
      <c r="N816" s="415"/>
      <c r="O816" s="415"/>
      <c r="P816" s="415"/>
      <c r="Q816" s="416"/>
      <c r="R816" s="416"/>
      <c r="S816" s="416"/>
      <c r="T816" s="416"/>
      <c r="U816" s="415"/>
      <c r="V816" s="415"/>
    </row>
    <row r="817" spans="1:22">
      <c r="A817" s="91"/>
      <c r="B817" s="244"/>
      <c r="C817" s="417"/>
      <c r="D817" s="417"/>
      <c r="E817" s="417"/>
      <c r="F817" s="417"/>
      <c r="G817" s="417"/>
      <c r="H817" s="417"/>
      <c r="I817" s="417"/>
      <c r="J817" s="417"/>
      <c r="K817" s="417"/>
      <c r="L817" s="417"/>
      <c r="M817" s="415"/>
      <c r="N817" s="415"/>
      <c r="O817" s="415"/>
      <c r="P817" s="415"/>
      <c r="Q817" s="416"/>
      <c r="R817" s="416"/>
      <c r="S817" s="416"/>
      <c r="T817" s="416"/>
      <c r="U817" s="415"/>
      <c r="V817" s="415"/>
    </row>
    <row r="818" spans="1:22">
      <c r="A818" s="91"/>
      <c r="B818" s="244"/>
      <c r="C818" s="417"/>
      <c r="D818" s="417"/>
      <c r="E818" s="417"/>
      <c r="F818" s="417"/>
      <c r="G818" s="417"/>
      <c r="H818" s="417"/>
      <c r="I818" s="417"/>
      <c r="J818" s="417"/>
      <c r="K818" s="417"/>
      <c r="L818" s="417"/>
      <c r="M818" s="415"/>
      <c r="N818" s="415"/>
      <c r="O818" s="415"/>
      <c r="P818" s="415"/>
      <c r="Q818" s="416"/>
      <c r="R818" s="416"/>
      <c r="S818" s="416"/>
      <c r="T818" s="416"/>
      <c r="U818" s="415"/>
      <c r="V818" s="415"/>
    </row>
    <row r="819" spans="1:22">
      <c r="A819" s="91"/>
      <c r="B819" s="244"/>
      <c r="C819" s="417"/>
      <c r="D819" s="417"/>
      <c r="E819" s="417"/>
      <c r="F819" s="417"/>
      <c r="G819" s="417"/>
      <c r="H819" s="417"/>
      <c r="I819" s="417"/>
      <c r="J819" s="417"/>
      <c r="K819" s="417"/>
      <c r="L819" s="417"/>
      <c r="M819" s="415"/>
      <c r="N819" s="415"/>
      <c r="O819" s="415"/>
      <c r="P819" s="415"/>
      <c r="Q819" s="416"/>
      <c r="R819" s="416"/>
      <c r="S819" s="416"/>
      <c r="T819" s="416"/>
      <c r="U819" s="415"/>
      <c r="V819" s="415"/>
    </row>
    <row r="820" spans="1:22">
      <c r="A820" s="91"/>
      <c r="B820" s="244"/>
      <c r="C820" s="417"/>
      <c r="D820" s="417"/>
      <c r="E820" s="417"/>
      <c r="F820" s="417"/>
      <c r="G820" s="417"/>
      <c r="H820" s="417"/>
      <c r="I820" s="417"/>
      <c r="J820" s="417"/>
      <c r="K820" s="417"/>
      <c r="L820" s="417"/>
      <c r="M820" s="415"/>
      <c r="N820" s="415"/>
      <c r="O820" s="415"/>
      <c r="P820" s="415"/>
      <c r="Q820" s="416"/>
      <c r="R820" s="416"/>
      <c r="S820" s="416"/>
      <c r="T820" s="416"/>
      <c r="U820" s="415"/>
      <c r="V820" s="415"/>
    </row>
    <row r="821" spans="1:22">
      <c r="A821" s="91"/>
      <c r="B821" s="244"/>
      <c r="C821" s="417"/>
      <c r="D821" s="417"/>
      <c r="E821" s="417"/>
      <c r="F821" s="417"/>
      <c r="G821" s="417"/>
      <c r="H821" s="417"/>
      <c r="I821" s="417"/>
      <c r="J821" s="417"/>
      <c r="K821" s="417"/>
      <c r="L821" s="417"/>
      <c r="M821" s="415"/>
      <c r="N821" s="415"/>
      <c r="O821" s="415"/>
      <c r="P821" s="415"/>
      <c r="Q821" s="416"/>
      <c r="R821" s="416"/>
      <c r="S821" s="416"/>
      <c r="T821" s="416"/>
      <c r="U821" s="415"/>
      <c r="V821" s="415"/>
    </row>
    <row r="822" spans="1:22">
      <c r="A822" s="91"/>
      <c r="B822" s="244"/>
      <c r="C822" s="417"/>
      <c r="D822" s="417"/>
      <c r="E822" s="417"/>
      <c r="F822" s="417"/>
      <c r="G822" s="417"/>
      <c r="H822" s="417"/>
      <c r="I822" s="417"/>
      <c r="J822" s="417"/>
      <c r="K822" s="417"/>
      <c r="L822" s="417"/>
      <c r="M822" s="415"/>
      <c r="N822" s="415"/>
      <c r="O822" s="415"/>
      <c r="P822" s="415"/>
      <c r="Q822" s="416"/>
      <c r="R822" s="416"/>
      <c r="S822" s="416"/>
      <c r="T822" s="416"/>
      <c r="U822" s="415"/>
      <c r="V822" s="415"/>
    </row>
    <row r="823" spans="1:22">
      <c r="A823" s="91"/>
      <c r="B823" s="244"/>
      <c r="C823" s="417"/>
      <c r="D823" s="417"/>
      <c r="E823" s="417"/>
      <c r="F823" s="417"/>
      <c r="G823" s="417"/>
      <c r="H823" s="417"/>
      <c r="I823" s="417"/>
      <c r="J823" s="417"/>
      <c r="K823" s="417"/>
      <c r="L823" s="417"/>
      <c r="M823" s="415"/>
      <c r="N823" s="415"/>
      <c r="O823" s="415"/>
      <c r="P823" s="415"/>
      <c r="Q823" s="416"/>
      <c r="R823" s="416"/>
      <c r="S823" s="416"/>
      <c r="T823" s="416"/>
      <c r="U823" s="415"/>
      <c r="V823" s="415"/>
    </row>
    <row r="824" spans="1:22">
      <c r="A824" s="91"/>
      <c r="B824" s="244"/>
      <c r="C824" s="417"/>
      <c r="D824" s="417"/>
      <c r="E824" s="417"/>
      <c r="F824" s="417"/>
      <c r="G824" s="417"/>
      <c r="H824" s="417"/>
      <c r="I824" s="417"/>
      <c r="J824" s="417"/>
      <c r="K824" s="417"/>
      <c r="L824" s="417"/>
      <c r="M824" s="415"/>
      <c r="N824" s="415"/>
      <c r="O824" s="415"/>
      <c r="P824" s="415"/>
      <c r="Q824" s="416"/>
      <c r="R824" s="416"/>
      <c r="S824" s="416"/>
      <c r="T824" s="416"/>
      <c r="U824" s="415"/>
      <c r="V824" s="415"/>
    </row>
    <row r="825" spans="1:22">
      <c r="A825" s="91"/>
      <c r="B825" s="244"/>
      <c r="C825" s="417"/>
      <c r="D825" s="417"/>
      <c r="E825" s="417"/>
      <c r="F825" s="417"/>
      <c r="G825" s="417"/>
      <c r="H825" s="417"/>
      <c r="I825" s="417"/>
      <c r="J825" s="417"/>
      <c r="K825" s="417"/>
      <c r="L825" s="417"/>
      <c r="M825" s="415"/>
      <c r="N825" s="415"/>
      <c r="O825" s="415"/>
      <c r="P825" s="415"/>
      <c r="Q825" s="416"/>
      <c r="R825" s="416"/>
      <c r="S825" s="416"/>
      <c r="T825" s="416"/>
      <c r="U825" s="415"/>
      <c r="V825" s="415"/>
    </row>
    <row r="826" spans="1:22">
      <c r="A826" s="91"/>
      <c r="B826" s="244"/>
      <c r="C826" s="417"/>
      <c r="D826" s="417"/>
      <c r="E826" s="417"/>
      <c r="F826" s="417"/>
      <c r="G826" s="417"/>
      <c r="H826" s="417"/>
      <c r="I826" s="417"/>
      <c r="J826" s="417"/>
      <c r="K826" s="417"/>
      <c r="L826" s="417"/>
      <c r="M826" s="415"/>
      <c r="N826" s="415"/>
      <c r="O826" s="415"/>
      <c r="P826" s="415"/>
      <c r="Q826" s="416"/>
      <c r="R826" s="416"/>
      <c r="S826" s="416"/>
      <c r="T826" s="416"/>
      <c r="U826" s="415"/>
      <c r="V826" s="415"/>
    </row>
    <row r="827" spans="1:22">
      <c r="A827" s="91"/>
      <c r="B827" s="244"/>
      <c r="C827" s="417"/>
      <c r="D827" s="417"/>
      <c r="E827" s="417"/>
      <c r="F827" s="417"/>
      <c r="G827" s="417"/>
      <c r="H827" s="417"/>
      <c r="I827" s="417"/>
      <c r="J827" s="417"/>
      <c r="K827" s="417"/>
      <c r="L827" s="417"/>
      <c r="M827" s="415"/>
      <c r="N827" s="415"/>
      <c r="O827" s="415"/>
      <c r="P827" s="415"/>
      <c r="Q827" s="416"/>
      <c r="R827" s="416"/>
      <c r="S827" s="416"/>
      <c r="T827" s="416"/>
      <c r="U827" s="415"/>
      <c r="V827" s="415"/>
    </row>
    <row r="828" spans="1:22">
      <c r="A828" s="91"/>
      <c r="B828" s="244"/>
      <c r="C828" s="417"/>
      <c r="D828" s="417"/>
      <c r="E828" s="417"/>
      <c r="F828" s="417"/>
      <c r="G828" s="417"/>
      <c r="H828" s="417"/>
      <c r="I828" s="417"/>
      <c r="J828" s="417"/>
      <c r="K828" s="417"/>
      <c r="L828" s="417"/>
      <c r="M828" s="415"/>
      <c r="N828" s="415"/>
      <c r="O828" s="415"/>
      <c r="P828" s="415"/>
      <c r="Q828" s="416"/>
      <c r="R828" s="416"/>
      <c r="S828" s="416"/>
      <c r="T828" s="416"/>
      <c r="U828" s="415"/>
      <c r="V828" s="415"/>
    </row>
    <row r="829" spans="1:22">
      <c r="A829" s="91"/>
      <c r="B829" s="244"/>
      <c r="C829" s="417"/>
      <c r="D829" s="417"/>
      <c r="E829" s="417"/>
      <c r="F829" s="417"/>
      <c r="G829" s="417"/>
      <c r="H829" s="417"/>
      <c r="I829" s="417"/>
      <c r="J829" s="417"/>
      <c r="K829" s="417"/>
      <c r="L829" s="417"/>
      <c r="M829" s="415"/>
      <c r="N829" s="415"/>
      <c r="O829" s="415"/>
      <c r="P829" s="415"/>
      <c r="Q829" s="416"/>
      <c r="R829" s="416"/>
      <c r="S829" s="416"/>
      <c r="T829" s="416"/>
      <c r="U829" s="415"/>
      <c r="V829" s="415"/>
    </row>
    <row r="830" spans="1:22">
      <c r="A830" s="91"/>
      <c r="B830" s="244"/>
      <c r="C830" s="417"/>
      <c r="D830" s="417"/>
      <c r="E830" s="417"/>
      <c r="F830" s="417"/>
      <c r="G830" s="417"/>
      <c r="H830" s="417"/>
      <c r="I830" s="417"/>
      <c r="J830" s="417"/>
      <c r="K830" s="417"/>
      <c r="L830" s="417"/>
      <c r="M830" s="415"/>
      <c r="N830" s="415"/>
      <c r="O830" s="415"/>
      <c r="P830" s="415"/>
      <c r="Q830" s="416"/>
      <c r="R830" s="416"/>
      <c r="S830" s="416"/>
      <c r="T830" s="416"/>
      <c r="U830" s="415"/>
      <c r="V830" s="415"/>
    </row>
    <row r="831" spans="1:22">
      <c r="A831" s="91"/>
      <c r="B831" s="244"/>
      <c r="C831" s="417"/>
      <c r="D831" s="417"/>
      <c r="E831" s="417"/>
      <c r="F831" s="417"/>
      <c r="G831" s="417"/>
      <c r="H831" s="417"/>
      <c r="I831" s="417"/>
      <c r="J831" s="417"/>
      <c r="K831" s="417"/>
      <c r="L831" s="417"/>
      <c r="M831" s="415"/>
      <c r="N831" s="415"/>
      <c r="O831" s="415"/>
      <c r="P831" s="415"/>
      <c r="Q831" s="416"/>
      <c r="R831" s="416"/>
      <c r="S831" s="416"/>
      <c r="T831" s="416"/>
      <c r="U831" s="415"/>
      <c r="V831" s="415"/>
    </row>
    <row r="832" spans="1:22">
      <c r="A832" s="91"/>
      <c r="B832" s="244"/>
      <c r="C832" s="417"/>
      <c r="D832" s="417"/>
      <c r="E832" s="417"/>
      <c r="F832" s="417"/>
      <c r="G832" s="417"/>
      <c r="H832" s="417"/>
      <c r="I832" s="417"/>
      <c r="J832" s="417"/>
      <c r="K832" s="417"/>
      <c r="L832" s="417"/>
      <c r="M832" s="415"/>
      <c r="N832" s="415"/>
      <c r="O832" s="415"/>
      <c r="P832" s="415"/>
      <c r="Q832" s="416"/>
      <c r="R832" s="416"/>
      <c r="S832" s="416"/>
      <c r="T832" s="416"/>
      <c r="U832" s="415"/>
      <c r="V832" s="415"/>
    </row>
    <row r="833" spans="1:22">
      <c r="A833" s="91"/>
      <c r="B833" s="244"/>
      <c r="C833" s="417"/>
      <c r="D833" s="417"/>
      <c r="E833" s="417"/>
      <c r="F833" s="417"/>
      <c r="G833" s="417"/>
      <c r="H833" s="417"/>
      <c r="I833" s="417"/>
      <c r="J833" s="417"/>
      <c r="K833" s="417"/>
      <c r="L833" s="417"/>
      <c r="M833" s="415"/>
      <c r="N833" s="415"/>
      <c r="O833" s="415"/>
      <c r="P833" s="415"/>
      <c r="Q833" s="416"/>
      <c r="R833" s="416"/>
      <c r="S833" s="416"/>
      <c r="T833" s="416"/>
      <c r="U833" s="415"/>
      <c r="V833" s="415"/>
    </row>
    <row r="834" spans="1:22">
      <c r="A834" s="91"/>
      <c r="B834" s="244"/>
      <c r="C834" s="417"/>
      <c r="D834" s="417"/>
      <c r="E834" s="417"/>
      <c r="F834" s="417"/>
      <c r="G834" s="417"/>
      <c r="H834" s="417"/>
      <c r="I834" s="417"/>
      <c r="J834" s="417"/>
      <c r="K834" s="417"/>
      <c r="L834" s="417"/>
      <c r="M834" s="415"/>
      <c r="N834" s="415"/>
      <c r="O834" s="415"/>
      <c r="P834" s="415"/>
      <c r="Q834" s="416"/>
      <c r="R834" s="416"/>
      <c r="S834" s="416"/>
      <c r="T834" s="416"/>
      <c r="U834" s="415"/>
      <c r="V834" s="415"/>
    </row>
    <row r="835" spans="1:22">
      <c r="A835" s="91"/>
      <c r="B835" s="244"/>
      <c r="C835" s="417"/>
      <c r="D835" s="417"/>
      <c r="E835" s="417"/>
      <c r="F835" s="417"/>
      <c r="G835" s="417"/>
      <c r="H835" s="417"/>
      <c r="I835" s="417"/>
      <c r="J835" s="417"/>
      <c r="K835" s="417"/>
      <c r="L835" s="417"/>
      <c r="M835" s="415"/>
      <c r="N835" s="415"/>
      <c r="O835" s="415"/>
      <c r="P835" s="415"/>
      <c r="Q835" s="416"/>
      <c r="R835" s="416"/>
      <c r="S835" s="416"/>
      <c r="T835" s="416"/>
      <c r="U835" s="415"/>
      <c r="V835" s="415"/>
    </row>
    <row r="836" spans="1:22">
      <c r="A836" s="91"/>
      <c r="B836" s="244"/>
      <c r="C836" s="417"/>
      <c r="D836" s="417"/>
      <c r="E836" s="417"/>
      <c r="F836" s="417"/>
      <c r="G836" s="417"/>
      <c r="H836" s="417"/>
      <c r="I836" s="417"/>
      <c r="J836" s="417"/>
      <c r="K836" s="417"/>
      <c r="L836" s="417"/>
      <c r="M836" s="415"/>
      <c r="N836" s="415"/>
      <c r="O836" s="415"/>
      <c r="P836" s="415"/>
      <c r="Q836" s="416"/>
      <c r="R836" s="416"/>
      <c r="S836" s="416"/>
      <c r="T836" s="416"/>
      <c r="U836" s="415"/>
      <c r="V836" s="415"/>
    </row>
    <row r="837" spans="1:22">
      <c r="A837" s="91"/>
      <c r="B837" s="244"/>
      <c r="C837" s="417"/>
      <c r="D837" s="417"/>
      <c r="E837" s="417"/>
      <c r="F837" s="417"/>
      <c r="G837" s="417"/>
      <c r="H837" s="417"/>
      <c r="I837" s="417"/>
      <c r="J837" s="417"/>
      <c r="K837" s="417"/>
      <c r="L837" s="417"/>
      <c r="M837" s="415"/>
      <c r="N837" s="415"/>
      <c r="O837" s="415"/>
      <c r="P837" s="415"/>
      <c r="Q837" s="416"/>
      <c r="R837" s="416"/>
      <c r="S837" s="416"/>
      <c r="T837" s="416"/>
      <c r="U837" s="415"/>
      <c r="V837" s="415"/>
    </row>
    <row r="838" spans="1:22">
      <c r="A838" s="91"/>
      <c r="B838" s="244"/>
      <c r="C838" s="417"/>
      <c r="D838" s="417"/>
      <c r="E838" s="417"/>
      <c r="F838" s="417"/>
      <c r="G838" s="417"/>
      <c r="H838" s="417"/>
      <c r="I838" s="417"/>
      <c r="J838" s="417"/>
      <c r="K838" s="417"/>
      <c r="L838" s="417"/>
      <c r="M838" s="415"/>
      <c r="N838" s="415"/>
      <c r="O838" s="415"/>
      <c r="P838" s="415"/>
      <c r="Q838" s="416"/>
      <c r="R838" s="416"/>
      <c r="S838" s="416"/>
      <c r="T838" s="416"/>
      <c r="U838" s="415"/>
      <c r="V838" s="415"/>
    </row>
    <row r="839" spans="1:22">
      <c r="A839" s="91"/>
      <c r="B839" s="244"/>
      <c r="C839" s="417"/>
      <c r="D839" s="417"/>
      <c r="E839" s="417"/>
      <c r="F839" s="417"/>
      <c r="G839" s="417"/>
      <c r="H839" s="417"/>
      <c r="I839" s="417"/>
      <c r="J839" s="417"/>
      <c r="K839" s="417"/>
      <c r="L839" s="417"/>
      <c r="M839" s="415"/>
      <c r="N839" s="415"/>
      <c r="O839" s="415"/>
      <c r="P839" s="415"/>
      <c r="Q839" s="416"/>
      <c r="R839" s="416"/>
      <c r="S839" s="416"/>
      <c r="T839" s="416"/>
      <c r="U839" s="415"/>
      <c r="V839" s="415"/>
    </row>
    <row r="840" spans="1:22">
      <c r="A840" s="91"/>
      <c r="B840" s="244"/>
      <c r="C840" s="417"/>
      <c r="D840" s="417"/>
      <c r="E840" s="417"/>
      <c r="F840" s="417"/>
      <c r="G840" s="417"/>
      <c r="H840" s="417"/>
      <c r="I840" s="417"/>
      <c r="J840" s="417"/>
      <c r="K840" s="417"/>
      <c r="L840" s="417"/>
      <c r="M840" s="415"/>
      <c r="N840" s="415"/>
      <c r="O840" s="415"/>
      <c r="P840" s="415"/>
      <c r="Q840" s="416"/>
      <c r="R840" s="416"/>
      <c r="S840" s="416"/>
      <c r="T840" s="416"/>
      <c r="U840" s="415"/>
      <c r="V840" s="415"/>
    </row>
    <row r="841" spans="1:22">
      <c r="A841" s="91"/>
      <c r="B841" s="244"/>
      <c r="C841" s="417"/>
      <c r="D841" s="417"/>
      <c r="E841" s="417"/>
      <c r="F841" s="417"/>
      <c r="G841" s="417"/>
      <c r="H841" s="417"/>
      <c r="I841" s="417"/>
      <c r="J841" s="417"/>
      <c r="K841" s="417"/>
      <c r="L841" s="417"/>
      <c r="M841" s="415"/>
      <c r="N841" s="415"/>
      <c r="O841" s="415"/>
      <c r="P841" s="415"/>
      <c r="Q841" s="416"/>
      <c r="R841" s="416"/>
      <c r="S841" s="416"/>
      <c r="T841" s="416"/>
      <c r="U841" s="415"/>
      <c r="V841" s="415"/>
    </row>
    <row r="842" spans="1:22">
      <c r="A842" s="91"/>
      <c r="B842" s="244"/>
      <c r="C842" s="417"/>
      <c r="D842" s="417"/>
      <c r="E842" s="417"/>
      <c r="F842" s="417"/>
      <c r="G842" s="417"/>
      <c r="H842" s="417"/>
      <c r="I842" s="417"/>
      <c r="J842" s="417"/>
      <c r="K842" s="417"/>
      <c r="L842" s="417"/>
      <c r="M842" s="415"/>
      <c r="N842" s="415"/>
      <c r="O842" s="415"/>
      <c r="P842" s="415"/>
      <c r="Q842" s="416"/>
      <c r="R842" s="416"/>
      <c r="S842" s="416"/>
      <c r="T842" s="416"/>
      <c r="U842" s="415"/>
      <c r="V842" s="415"/>
    </row>
    <row r="843" spans="1:22">
      <c r="A843" s="91"/>
      <c r="B843" s="244"/>
      <c r="C843" s="417"/>
      <c r="D843" s="417"/>
      <c r="E843" s="417"/>
      <c r="F843" s="417"/>
      <c r="G843" s="417"/>
      <c r="H843" s="417"/>
      <c r="I843" s="417"/>
      <c r="J843" s="417"/>
      <c r="K843" s="417"/>
      <c r="L843" s="417"/>
      <c r="M843" s="415"/>
      <c r="N843" s="415"/>
      <c r="O843" s="415"/>
      <c r="P843" s="415"/>
      <c r="Q843" s="416"/>
      <c r="R843" s="416"/>
      <c r="S843" s="416"/>
      <c r="T843" s="416"/>
      <c r="U843" s="415"/>
      <c r="V843" s="415"/>
    </row>
    <row r="844" spans="1:22">
      <c r="A844" s="91"/>
      <c r="B844" s="244"/>
      <c r="C844" s="417"/>
      <c r="D844" s="417"/>
      <c r="E844" s="417"/>
      <c r="F844" s="417"/>
      <c r="G844" s="417"/>
      <c r="H844" s="417"/>
      <c r="I844" s="417"/>
      <c r="J844" s="417"/>
      <c r="K844" s="417"/>
      <c r="L844" s="417"/>
      <c r="M844" s="415"/>
      <c r="N844" s="415"/>
      <c r="O844" s="415"/>
      <c r="P844" s="415"/>
      <c r="Q844" s="416"/>
      <c r="R844" s="416"/>
      <c r="S844" s="416"/>
      <c r="T844" s="416"/>
      <c r="U844" s="415"/>
      <c r="V844" s="415"/>
    </row>
    <row r="845" spans="1:22">
      <c r="A845" s="91"/>
      <c r="B845" s="244"/>
      <c r="C845" s="417"/>
      <c r="D845" s="417"/>
      <c r="E845" s="417"/>
      <c r="F845" s="417"/>
      <c r="G845" s="417"/>
      <c r="H845" s="417"/>
      <c r="I845" s="417"/>
      <c r="J845" s="417"/>
      <c r="K845" s="417"/>
      <c r="L845" s="417"/>
      <c r="M845" s="415"/>
      <c r="N845" s="415"/>
      <c r="O845" s="415"/>
      <c r="P845" s="415"/>
      <c r="Q845" s="416"/>
      <c r="R845" s="416"/>
      <c r="S845" s="416"/>
      <c r="T845" s="416"/>
      <c r="U845" s="415"/>
      <c r="V845" s="415"/>
    </row>
    <row r="846" spans="1:22">
      <c r="A846" s="91"/>
      <c r="B846" s="244"/>
      <c r="C846" s="417"/>
      <c r="D846" s="417"/>
      <c r="E846" s="417"/>
      <c r="F846" s="417"/>
      <c r="G846" s="417"/>
      <c r="H846" s="417"/>
      <c r="I846" s="417"/>
      <c r="J846" s="417"/>
      <c r="K846" s="417"/>
      <c r="L846" s="417"/>
      <c r="M846" s="415"/>
      <c r="N846" s="415"/>
      <c r="O846" s="415"/>
      <c r="P846" s="415"/>
      <c r="Q846" s="416"/>
      <c r="R846" s="416"/>
      <c r="S846" s="416"/>
      <c r="T846" s="416"/>
      <c r="U846" s="415"/>
      <c r="V846" s="415"/>
    </row>
    <row r="847" spans="1:22">
      <c r="A847" s="91"/>
      <c r="B847" s="244"/>
      <c r="C847" s="417"/>
      <c r="D847" s="417"/>
      <c r="E847" s="417"/>
      <c r="F847" s="417"/>
      <c r="G847" s="417"/>
      <c r="H847" s="417"/>
      <c r="I847" s="417"/>
      <c r="J847" s="417"/>
      <c r="K847" s="417"/>
      <c r="L847" s="417"/>
      <c r="M847" s="415"/>
      <c r="N847" s="415"/>
      <c r="O847" s="415"/>
      <c r="P847" s="415"/>
      <c r="Q847" s="416"/>
      <c r="R847" s="416"/>
      <c r="S847" s="416"/>
      <c r="T847" s="416"/>
      <c r="U847" s="415"/>
      <c r="V847" s="415"/>
    </row>
    <row r="848" spans="1:22">
      <c r="A848" s="91"/>
      <c r="B848" s="244"/>
      <c r="C848" s="417"/>
      <c r="D848" s="417"/>
      <c r="E848" s="417"/>
      <c r="F848" s="417"/>
      <c r="G848" s="417"/>
      <c r="H848" s="417"/>
      <c r="I848" s="417"/>
      <c r="J848" s="417"/>
      <c r="K848" s="417"/>
      <c r="L848" s="417"/>
      <c r="M848" s="415"/>
      <c r="N848" s="415"/>
      <c r="O848" s="415"/>
      <c r="P848" s="415"/>
      <c r="Q848" s="416"/>
      <c r="R848" s="416"/>
      <c r="S848" s="416"/>
      <c r="T848" s="416"/>
      <c r="U848" s="415"/>
      <c r="V848" s="415"/>
    </row>
    <row r="849" spans="1:22">
      <c r="A849" s="91"/>
      <c r="B849" s="244"/>
      <c r="C849" s="417"/>
      <c r="D849" s="417"/>
      <c r="E849" s="417"/>
      <c r="F849" s="417"/>
      <c r="G849" s="417"/>
      <c r="H849" s="417"/>
      <c r="I849" s="417"/>
      <c r="J849" s="417"/>
      <c r="K849" s="417"/>
      <c r="L849" s="417"/>
      <c r="M849" s="415"/>
      <c r="N849" s="415"/>
      <c r="O849" s="415"/>
      <c r="P849" s="415"/>
      <c r="Q849" s="416"/>
      <c r="R849" s="416"/>
      <c r="S849" s="416"/>
      <c r="T849" s="416"/>
      <c r="U849" s="415"/>
      <c r="V849" s="415"/>
    </row>
    <row r="850" spans="1:22">
      <c r="A850" s="91"/>
      <c r="B850" s="244"/>
      <c r="C850" s="417"/>
      <c r="D850" s="417"/>
      <c r="E850" s="417"/>
      <c r="F850" s="417"/>
      <c r="G850" s="417"/>
      <c r="H850" s="417"/>
      <c r="I850" s="417"/>
      <c r="J850" s="417"/>
      <c r="K850" s="417"/>
      <c r="L850" s="417"/>
      <c r="M850" s="415"/>
      <c r="N850" s="415"/>
      <c r="O850" s="415"/>
      <c r="P850" s="415"/>
      <c r="Q850" s="416"/>
      <c r="R850" s="416"/>
      <c r="S850" s="416"/>
      <c r="T850" s="416"/>
      <c r="U850" s="415"/>
      <c r="V850" s="415"/>
    </row>
    <row r="851" spans="1:22">
      <c r="A851" s="91"/>
      <c r="B851" s="244"/>
      <c r="C851" s="417"/>
      <c r="D851" s="417"/>
      <c r="E851" s="417"/>
      <c r="F851" s="417"/>
      <c r="G851" s="417"/>
      <c r="H851" s="417"/>
      <c r="I851" s="417"/>
      <c r="J851" s="417"/>
      <c r="K851" s="417"/>
      <c r="L851" s="417"/>
      <c r="M851" s="415"/>
      <c r="N851" s="415"/>
      <c r="O851" s="415"/>
      <c r="P851" s="415"/>
      <c r="Q851" s="416"/>
      <c r="R851" s="416"/>
      <c r="S851" s="416"/>
      <c r="T851" s="416"/>
      <c r="U851" s="415"/>
      <c r="V851" s="415"/>
    </row>
    <row r="852" spans="1:22">
      <c r="A852" s="91"/>
      <c r="B852" s="244"/>
      <c r="C852" s="417"/>
      <c r="D852" s="417"/>
      <c r="E852" s="417"/>
      <c r="F852" s="417"/>
      <c r="G852" s="417"/>
      <c r="H852" s="417"/>
      <c r="I852" s="417"/>
      <c r="J852" s="417"/>
      <c r="K852" s="417"/>
      <c r="L852" s="417"/>
      <c r="M852" s="415"/>
      <c r="N852" s="415"/>
      <c r="O852" s="415"/>
      <c r="P852" s="415"/>
      <c r="Q852" s="416"/>
      <c r="R852" s="416"/>
      <c r="S852" s="416"/>
      <c r="T852" s="416"/>
      <c r="U852" s="415"/>
      <c r="V852" s="415"/>
    </row>
    <row r="853" spans="1:22">
      <c r="A853" s="91"/>
      <c r="B853" s="244"/>
      <c r="C853" s="417"/>
      <c r="D853" s="417"/>
      <c r="E853" s="417"/>
      <c r="F853" s="417"/>
      <c r="G853" s="417"/>
      <c r="H853" s="417"/>
      <c r="I853" s="417"/>
      <c r="J853" s="417"/>
      <c r="K853" s="417"/>
      <c r="L853" s="417"/>
      <c r="M853" s="415"/>
      <c r="N853" s="415"/>
      <c r="O853" s="415"/>
      <c r="P853" s="415"/>
      <c r="Q853" s="416"/>
      <c r="R853" s="416"/>
      <c r="S853" s="416"/>
      <c r="T853" s="416"/>
      <c r="U853" s="415"/>
      <c r="V853" s="415"/>
    </row>
    <row r="854" spans="1:22">
      <c r="A854" s="91"/>
      <c r="B854" s="244"/>
      <c r="C854" s="417"/>
      <c r="D854" s="417"/>
      <c r="E854" s="417"/>
      <c r="F854" s="417"/>
      <c r="G854" s="417"/>
      <c r="H854" s="417"/>
      <c r="I854" s="417"/>
      <c r="J854" s="417"/>
      <c r="K854" s="417"/>
      <c r="L854" s="417"/>
      <c r="M854" s="415"/>
      <c r="N854" s="415"/>
      <c r="O854" s="415"/>
      <c r="P854" s="415"/>
      <c r="Q854" s="416"/>
      <c r="R854" s="416"/>
      <c r="S854" s="416"/>
      <c r="T854" s="416"/>
      <c r="U854" s="415"/>
      <c r="V854" s="415"/>
    </row>
    <row r="855" spans="1:22">
      <c r="A855" s="91"/>
      <c r="B855" s="244"/>
      <c r="C855" s="417"/>
      <c r="D855" s="417"/>
      <c r="E855" s="417"/>
      <c r="F855" s="417"/>
      <c r="G855" s="417"/>
      <c r="H855" s="417"/>
      <c r="I855" s="417"/>
      <c r="J855" s="417"/>
      <c r="K855" s="417"/>
      <c r="L855" s="417"/>
      <c r="M855" s="415"/>
      <c r="N855" s="415"/>
      <c r="O855" s="415"/>
      <c r="P855" s="415"/>
      <c r="Q855" s="416"/>
      <c r="R855" s="416"/>
      <c r="S855" s="416"/>
      <c r="T855" s="416"/>
      <c r="U855" s="415"/>
      <c r="V855" s="415"/>
    </row>
    <row r="856" spans="1:22">
      <c r="A856" s="91"/>
      <c r="B856" s="244"/>
      <c r="C856" s="417"/>
      <c r="D856" s="417"/>
      <c r="E856" s="417"/>
      <c r="F856" s="417"/>
      <c r="G856" s="417"/>
      <c r="H856" s="417"/>
      <c r="I856" s="417"/>
      <c r="J856" s="417"/>
      <c r="K856" s="417"/>
      <c r="L856" s="417"/>
      <c r="M856" s="415"/>
      <c r="N856" s="415"/>
      <c r="O856" s="415"/>
      <c r="P856" s="415"/>
      <c r="Q856" s="416"/>
      <c r="R856" s="416"/>
      <c r="S856" s="416"/>
      <c r="T856" s="416"/>
      <c r="U856" s="415"/>
      <c r="V856" s="415"/>
    </row>
    <row r="857" spans="1:22">
      <c r="A857" s="91"/>
      <c r="B857" s="244"/>
      <c r="C857" s="417"/>
      <c r="D857" s="417"/>
      <c r="E857" s="417"/>
      <c r="F857" s="417"/>
      <c r="G857" s="417"/>
      <c r="H857" s="417"/>
      <c r="I857" s="417"/>
      <c r="J857" s="417"/>
      <c r="K857" s="417"/>
      <c r="L857" s="417"/>
      <c r="M857" s="415"/>
      <c r="N857" s="415"/>
      <c r="O857" s="415"/>
      <c r="P857" s="415"/>
      <c r="Q857" s="416"/>
      <c r="R857" s="416"/>
      <c r="S857" s="416"/>
      <c r="T857" s="416"/>
      <c r="U857" s="415"/>
      <c r="V857" s="415"/>
    </row>
    <row r="858" spans="1:22">
      <c r="A858" s="91"/>
      <c r="B858" s="244"/>
      <c r="C858" s="417"/>
      <c r="D858" s="417"/>
      <c r="E858" s="417"/>
      <c r="F858" s="417"/>
      <c r="G858" s="417"/>
      <c r="H858" s="417"/>
      <c r="I858" s="417"/>
      <c r="J858" s="417"/>
      <c r="K858" s="417"/>
      <c r="L858" s="417"/>
      <c r="M858" s="415"/>
      <c r="N858" s="415"/>
      <c r="O858" s="415"/>
      <c r="P858" s="415"/>
      <c r="Q858" s="416"/>
      <c r="R858" s="416"/>
      <c r="S858" s="416"/>
      <c r="T858" s="416"/>
      <c r="U858" s="415"/>
      <c r="V858" s="415"/>
    </row>
    <row r="859" spans="1:22">
      <c r="A859" s="91"/>
      <c r="B859" s="244"/>
      <c r="C859" s="417"/>
      <c r="D859" s="417"/>
      <c r="E859" s="417"/>
      <c r="F859" s="417"/>
      <c r="G859" s="417"/>
      <c r="H859" s="417"/>
      <c r="I859" s="417"/>
      <c r="J859" s="417"/>
      <c r="K859" s="417"/>
      <c r="L859" s="417"/>
      <c r="M859" s="415"/>
      <c r="N859" s="415"/>
      <c r="O859" s="415"/>
      <c r="P859" s="415"/>
      <c r="Q859" s="416"/>
      <c r="R859" s="416"/>
      <c r="S859" s="416"/>
      <c r="T859" s="416"/>
      <c r="U859" s="415"/>
      <c r="V859" s="415"/>
    </row>
    <row r="860" spans="1:22">
      <c r="A860" s="91"/>
      <c r="B860" s="244"/>
      <c r="C860" s="417"/>
      <c r="D860" s="417"/>
      <c r="E860" s="417"/>
      <c r="F860" s="417"/>
      <c r="G860" s="417"/>
      <c r="H860" s="417"/>
      <c r="I860" s="417"/>
      <c r="J860" s="417"/>
      <c r="K860" s="417"/>
      <c r="L860" s="417"/>
      <c r="M860" s="415"/>
      <c r="N860" s="415"/>
      <c r="O860" s="415"/>
      <c r="P860" s="415"/>
      <c r="Q860" s="416"/>
      <c r="R860" s="416"/>
      <c r="S860" s="416"/>
      <c r="T860" s="416"/>
      <c r="U860" s="415"/>
      <c r="V860" s="415"/>
    </row>
    <row r="861" spans="1:22">
      <c r="A861" s="91"/>
      <c r="B861" s="244"/>
      <c r="C861" s="417"/>
      <c r="D861" s="417"/>
      <c r="E861" s="417"/>
      <c r="F861" s="417"/>
      <c r="G861" s="417"/>
      <c r="H861" s="417"/>
      <c r="I861" s="417"/>
      <c r="J861" s="417"/>
      <c r="K861" s="417"/>
      <c r="L861" s="417"/>
      <c r="M861" s="415"/>
      <c r="N861" s="415"/>
      <c r="O861" s="415"/>
      <c r="P861" s="415"/>
      <c r="Q861" s="416"/>
      <c r="R861" s="416"/>
      <c r="S861" s="416"/>
      <c r="T861" s="416"/>
      <c r="U861" s="415"/>
      <c r="V861" s="415"/>
    </row>
    <row r="862" spans="1:22">
      <c r="A862" s="91"/>
      <c r="B862" s="244"/>
      <c r="C862" s="417"/>
      <c r="D862" s="417"/>
      <c r="E862" s="417"/>
      <c r="F862" s="417"/>
      <c r="G862" s="417"/>
      <c r="H862" s="417"/>
      <c r="I862" s="417"/>
      <c r="J862" s="417"/>
      <c r="K862" s="417"/>
      <c r="L862" s="417"/>
      <c r="M862" s="415"/>
      <c r="N862" s="415"/>
      <c r="O862" s="415"/>
      <c r="P862" s="415"/>
      <c r="Q862" s="416"/>
      <c r="R862" s="416"/>
      <c r="S862" s="416"/>
      <c r="T862" s="416"/>
      <c r="U862" s="415"/>
      <c r="V862" s="415"/>
    </row>
    <row r="863" spans="1:22">
      <c r="A863" s="91"/>
      <c r="B863" s="244"/>
      <c r="C863" s="417"/>
      <c r="D863" s="417"/>
      <c r="E863" s="417"/>
      <c r="F863" s="417"/>
      <c r="G863" s="417"/>
      <c r="H863" s="417"/>
      <c r="I863" s="417"/>
      <c r="J863" s="417"/>
      <c r="K863" s="417"/>
      <c r="L863" s="417"/>
      <c r="M863" s="415"/>
      <c r="N863" s="415"/>
      <c r="O863" s="415"/>
      <c r="P863" s="415"/>
      <c r="Q863" s="416"/>
      <c r="R863" s="416"/>
      <c r="S863" s="416"/>
      <c r="T863" s="416"/>
      <c r="U863" s="415"/>
      <c r="V863" s="415"/>
    </row>
    <row r="864" spans="1:22">
      <c r="A864" s="91"/>
      <c r="B864" s="244"/>
      <c r="C864" s="417"/>
      <c r="D864" s="417"/>
      <c r="E864" s="417"/>
      <c r="F864" s="417"/>
      <c r="G864" s="417"/>
      <c r="H864" s="417"/>
      <c r="I864" s="417"/>
      <c r="J864" s="417"/>
      <c r="K864" s="417"/>
      <c r="L864" s="417"/>
      <c r="M864" s="415"/>
      <c r="N864" s="415"/>
      <c r="O864" s="415"/>
      <c r="P864" s="415"/>
      <c r="Q864" s="416"/>
      <c r="R864" s="416"/>
      <c r="S864" s="416"/>
      <c r="T864" s="416"/>
      <c r="U864" s="415"/>
      <c r="V864" s="415"/>
    </row>
    <row r="865" spans="1:22">
      <c r="A865" s="91"/>
      <c r="B865" s="244"/>
      <c r="C865" s="417"/>
      <c r="D865" s="417"/>
      <c r="E865" s="417"/>
      <c r="F865" s="417"/>
      <c r="G865" s="417"/>
      <c r="H865" s="417"/>
      <c r="I865" s="417"/>
      <c r="J865" s="417"/>
      <c r="K865" s="417"/>
      <c r="L865" s="417"/>
      <c r="M865" s="415"/>
      <c r="N865" s="415"/>
      <c r="O865" s="415"/>
      <c r="P865" s="415"/>
      <c r="Q865" s="416"/>
      <c r="R865" s="416"/>
      <c r="S865" s="416"/>
      <c r="T865" s="416"/>
      <c r="U865" s="415"/>
      <c r="V865" s="415"/>
    </row>
    <row r="866" spans="1:22">
      <c r="A866" s="91"/>
      <c r="B866" s="244"/>
      <c r="C866" s="417"/>
      <c r="D866" s="417"/>
      <c r="E866" s="417"/>
      <c r="F866" s="417"/>
      <c r="G866" s="417"/>
      <c r="H866" s="417"/>
      <c r="I866" s="417"/>
      <c r="J866" s="417"/>
      <c r="K866" s="417"/>
      <c r="L866" s="417"/>
      <c r="M866" s="415"/>
      <c r="N866" s="415"/>
      <c r="O866" s="415"/>
      <c r="P866" s="415"/>
      <c r="Q866" s="416"/>
      <c r="R866" s="416"/>
      <c r="S866" s="416"/>
      <c r="T866" s="416"/>
      <c r="U866" s="415"/>
      <c r="V866" s="415"/>
    </row>
    <row r="867" spans="1:22">
      <c r="A867" s="91"/>
      <c r="B867" s="244"/>
      <c r="C867" s="417"/>
      <c r="D867" s="417"/>
      <c r="E867" s="417"/>
      <c r="F867" s="417"/>
      <c r="G867" s="417"/>
      <c r="H867" s="417"/>
      <c r="I867" s="417"/>
      <c r="J867" s="417"/>
      <c r="K867" s="417"/>
      <c r="L867" s="417"/>
      <c r="M867" s="415"/>
      <c r="N867" s="415"/>
      <c r="O867" s="415"/>
      <c r="P867" s="415"/>
      <c r="Q867" s="416"/>
      <c r="R867" s="416"/>
      <c r="S867" s="416"/>
      <c r="T867" s="416"/>
      <c r="U867" s="415"/>
      <c r="V867" s="415"/>
    </row>
    <row r="868" spans="1:22">
      <c r="A868" s="91"/>
      <c r="B868" s="244"/>
      <c r="C868" s="417"/>
      <c r="D868" s="417"/>
      <c r="E868" s="417"/>
      <c r="F868" s="417"/>
      <c r="G868" s="417"/>
      <c r="H868" s="417"/>
      <c r="I868" s="417"/>
      <c r="J868" s="417"/>
      <c r="K868" s="417"/>
      <c r="L868" s="417"/>
      <c r="M868" s="415"/>
      <c r="N868" s="415"/>
      <c r="O868" s="415"/>
      <c r="P868" s="415"/>
      <c r="Q868" s="416"/>
      <c r="R868" s="416"/>
      <c r="S868" s="416"/>
      <c r="T868" s="416"/>
      <c r="U868" s="415"/>
      <c r="V868" s="415"/>
    </row>
    <row r="869" spans="1:22">
      <c r="A869" s="91"/>
      <c r="B869" s="244"/>
      <c r="C869" s="417"/>
      <c r="D869" s="417"/>
      <c r="E869" s="417"/>
      <c r="F869" s="417"/>
      <c r="G869" s="417"/>
      <c r="H869" s="417"/>
      <c r="I869" s="417"/>
      <c r="J869" s="417"/>
      <c r="K869" s="417"/>
      <c r="L869" s="417"/>
      <c r="M869" s="415"/>
      <c r="N869" s="415"/>
      <c r="O869" s="415"/>
      <c r="P869" s="415"/>
      <c r="Q869" s="416"/>
      <c r="R869" s="416"/>
      <c r="S869" s="416"/>
      <c r="T869" s="416"/>
      <c r="U869" s="415"/>
      <c r="V869" s="415"/>
    </row>
    <row r="870" spans="1:22">
      <c r="A870" s="91"/>
      <c r="B870" s="244"/>
      <c r="C870" s="417"/>
      <c r="D870" s="417"/>
      <c r="E870" s="417"/>
      <c r="F870" s="417"/>
      <c r="G870" s="417"/>
      <c r="H870" s="417"/>
      <c r="I870" s="417"/>
      <c r="J870" s="417"/>
      <c r="K870" s="417"/>
      <c r="L870" s="417"/>
      <c r="M870" s="415"/>
      <c r="N870" s="415"/>
      <c r="O870" s="415"/>
      <c r="P870" s="415"/>
      <c r="Q870" s="416"/>
      <c r="R870" s="416"/>
      <c r="S870" s="416"/>
      <c r="T870" s="416"/>
      <c r="U870" s="415"/>
      <c r="V870" s="415"/>
    </row>
    <row r="871" spans="1:22">
      <c r="A871" s="91"/>
      <c r="B871" s="244"/>
      <c r="C871" s="417"/>
      <c r="D871" s="417"/>
      <c r="E871" s="417"/>
      <c r="F871" s="417"/>
      <c r="G871" s="417"/>
      <c r="H871" s="417"/>
      <c r="I871" s="417"/>
      <c r="J871" s="417"/>
      <c r="K871" s="417"/>
      <c r="L871" s="417"/>
      <c r="M871" s="415"/>
      <c r="N871" s="415"/>
      <c r="O871" s="415"/>
      <c r="P871" s="415"/>
      <c r="Q871" s="416"/>
      <c r="R871" s="416"/>
      <c r="S871" s="416"/>
      <c r="T871" s="416"/>
      <c r="U871" s="415"/>
      <c r="V871" s="415"/>
    </row>
    <row r="872" spans="1:22">
      <c r="A872" s="91"/>
      <c r="B872" s="244"/>
      <c r="C872" s="417"/>
      <c r="D872" s="417"/>
      <c r="E872" s="417"/>
      <c r="F872" s="417"/>
      <c r="G872" s="417"/>
      <c r="H872" s="417"/>
      <c r="I872" s="417"/>
      <c r="J872" s="417"/>
      <c r="K872" s="417"/>
      <c r="L872" s="417"/>
      <c r="M872" s="415"/>
      <c r="N872" s="415"/>
      <c r="O872" s="415"/>
      <c r="P872" s="415"/>
      <c r="Q872" s="416"/>
      <c r="R872" s="416"/>
      <c r="S872" s="416"/>
      <c r="T872" s="416"/>
      <c r="U872" s="415"/>
      <c r="V872" s="415"/>
    </row>
    <row r="873" spans="1:22">
      <c r="A873" s="91"/>
      <c r="B873" s="244"/>
      <c r="C873" s="417"/>
      <c r="D873" s="417"/>
      <c r="E873" s="417"/>
      <c r="F873" s="417"/>
      <c r="G873" s="417"/>
      <c r="H873" s="417"/>
      <c r="I873" s="417"/>
      <c r="J873" s="417"/>
      <c r="K873" s="417"/>
      <c r="L873" s="417"/>
      <c r="M873" s="415"/>
      <c r="N873" s="415"/>
      <c r="O873" s="415"/>
      <c r="P873" s="415"/>
      <c r="Q873" s="416"/>
      <c r="R873" s="416"/>
      <c r="S873" s="416"/>
      <c r="T873" s="416"/>
      <c r="U873" s="415"/>
      <c r="V873" s="415"/>
    </row>
    <row r="874" spans="1:22">
      <c r="A874" s="91"/>
      <c r="B874" s="244"/>
      <c r="C874" s="417"/>
      <c r="D874" s="417"/>
      <c r="E874" s="417"/>
      <c r="F874" s="417"/>
      <c r="G874" s="417"/>
      <c r="H874" s="417"/>
      <c r="I874" s="417"/>
      <c r="J874" s="417"/>
      <c r="K874" s="417"/>
      <c r="L874" s="417"/>
      <c r="M874" s="415"/>
      <c r="N874" s="415"/>
      <c r="O874" s="415"/>
      <c r="P874" s="415"/>
      <c r="Q874" s="416"/>
      <c r="R874" s="416"/>
      <c r="S874" s="416"/>
      <c r="T874" s="416"/>
      <c r="U874" s="415"/>
      <c r="V874" s="415"/>
    </row>
    <row r="875" spans="1:22">
      <c r="A875" s="91"/>
      <c r="B875" s="244"/>
      <c r="C875" s="417"/>
      <c r="D875" s="417"/>
      <c r="E875" s="417"/>
      <c r="F875" s="417"/>
      <c r="G875" s="417"/>
      <c r="H875" s="417"/>
      <c r="I875" s="417"/>
      <c r="J875" s="417"/>
      <c r="K875" s="417"/>
      <c r="L875" s="417"/>
      <c r="M875" s="415"/>
      <c r="N875" s="415"/>
      <c r="O875" s="415"/>
      <c r="P875" s="415"/>
      <c r="Q875" s="416"/>
      <c r="R875" s="416"/>
      <c r="S875" s="416"/>
      <c r="T875" s="416"/>
      <c r="U875" s="415"/>
      <c r="V875" s="415"/>
    </row>
    <row r="876" spans="1:22">
      <c r="A876" s="91"/>
      <c r="B876" s="244"/>
      <c r="C876" s="417"/>
      <c r="D876" s="417"/>
      <c r="E876" s="417"/>
      <c r="F876" s="417"/>
      <c r="G876" s="417"/>
      <c r="H876" s="417"/>
      <c r="I876" s="417"/>
      <c r="J876" s="417"/>
      <c r="K876" s="417"/>
      <c r="L876" s="417"/>
      <c r="M876" s="415"/>
      <c r="N876" s="415"/>
      <c r="O876" s="415"/>
      <c r="P876" s="415"/>
      <c r="Q876" s="416"/>
      <c r="R876" s="416"/>
      <c r="S876" s="416"/>
      <c r="T876" s="416"/>
      <c r="U876" s="415"/>
      <c r="V876" s="415"/>
    </row>
    <row r="877" spans="1:22">
      <c r="A877" s="91"/>
      <c r="B877" s="244"/>
      <c r="C877" s="417"/>
      <c r="D877" s="417"/>
      <c r="E877" s="417"/>
      <c r="F877" s="417"/>
      <c r="G877" s="417"/>
      <c r="H877" s="417"/>
      <c r="I877" s="417"/>
      <c r="J877" s="417"/>
      <c r="K877" s="417"/>
      <c r="L877" s="417"/>
      <c r="M877" s="415"/>
      <c r="N877" s="415"/>
      <c r="O877" s="415"/>
      <c r="P877" s="415"/>
      <c r="Q877" s="416"/>
      <c r="R877" s="416"/>
      <c r="S877" s="416"/>
      <c r="T877" s="416"/>
      <c r="U877" s="415"/>
      <c r="V877" s="415"/>
    </row>
    <row r="878" spans="1:22">
      <c r="A878" s="91"/>
      <c r="B878" s="244"/>
      <c r="C878" s="417"/>
      <c r="D878" s="417"/>
      <c r="E878" s="417"/>
      <c r="F878" s="417"/>
      <c r="G878" s="417"/>
      <c r="H878" s="417"/>
      <c r="I878" s="417"/>
      <c r="J878" s="417"/>
      <c r="K878" s="417"/>
      <c r="L878" s="417"/>
      <c r="M878" s="415"/>
      <c r="N878" s="415"/>
      <c r="O878" s="415"/>
      <c r="P878" s="415"/>
      <c r="Q878" s="416"/>
      <c r="R878" s="416"/>
      <c r="S878" s="416"/>
      <c r="T878" s="416"/>
      <c r="U878" s="415"/>
      <c r="V878" s="415"/>
    </row>
    <row r="879" spans="1:22">
      <c r="A879" s="91"/>
      <c r="B879" s="244"/>
      <c r="C879" s="417"/>
      <c r="D879" s="417"/>
      <c r="E879" s="417"/>
      <c r="F879" s="417"/>
      <c r="G879" s="417"/>
      <c r="H879" s="417"/>
      <c r="I879" s="417"/>
      <c r="J879" s="417"/>
      <c r="K879" s="417"/>
      <c r="L879" s="417"/>
      <c r="M879" s="415"/>
      <c r="N879" s="415"/>
      <c r="O879" s="415"/>
      <c r="P879" s="415"/>
      <c r="Q879" s="416"/>
      <c r="R879" s="416"/>
      <c r="S879" s="416"/>
      <c r="T879" s="416"/>
      <c r="U879" s="415"/>
      <c r="V879" s="415"/>
    </row>
    <row r="880" spans="1:22">
      <c r="A880" s="91"/>
      <c r="B880" s="244"/>
      <c r="C880" s="417"/>
      <c r="D880" s="417"/>
      <c r="E880" s="417"/>
      <c r="F880" s="417"/>
      <c r="G880" s="417"/>
      <c r="H880" s="417"/>
      <c r="I880" s="417"/>
      <c r="J880" s="417"/>
      <c r="K880" s="417"/>
      <c r="L880" s="417"/>
      <c r="M880" s="415"/>
      <c r="N880" s="415"/>
      <c r="O880" s="415"/>
      <c r="P880" s="415"/>
      <c r="Q880" s="416"/>
      <c r="R880" s="416"/>
      <c r="S880" s="416"/>
      <c r="T880" s="416"/>
      <c r="U880" s="415"/>
      <c r="V880" s="415"/>
    </row>
    <row r="881" spans="1:22">
      <c r="A881" s="91"/>
      <c r="B881" s="244"/>
      <c r="C881" s="417"/>
      <c r="D881" s="417"/>
      <c r="E881" s="417"/>
      <c r="F881" s="417"/>
      <c r="G881" s="417"/>
      <c r="H881" s="417"/>
      <c r="I881" s="417"/>
      <c r="J881" s="417"/>
      <c r="K881" s="417"/>
      <c r="L881" s="417"/>
      <c r="M881" s="415"/>
      <c r="N881" s="415"/>
      <c r="O881" s="415"/>
      <c r="P881" s="415"/>
      <c r="Q881" s="416"/>
      <c r="R881" s="416"/>
      <c r="S881" s="416"/>
      <c r="T881" s="416"/>
      <c r="U881" s="415"/>
      <c r="V881" s="415"/>
    </row>
    <row r="882" spans="1:22">
      <c r="A882" s="91"/>
      <c r="B882" s="244"/>
      <c r="C882" s="417"/>
      <c r="D882" s="417"/>
      <c r="E882" s="417"/>
      <c r="F882" s="417"/>
      <c r="G882" s="417"/>
      <c r="H882" s="417"/>
      <c r="I882" s="417"/>
      <c r="J882" s="417"/>
      <c r="K882" s="417"/>
      <c r="L882" s="417"/>
      <c r="M882" s="415"/>
      <c r="N882" s="415"/>
      <c r="O882" s="415"/>
      <c r="P882" s="415"/>
      <c r="Q882" s="416"/>
      <c r="R882" s="416"/>
      <c r="S882" s="416"/>
      <c r="T882" s="416"/>
      <c r="U882" s="415"/>
      <c r="V882" s="415"/>
    </row>
    <row r="883" spans="1:22">
      <c r="A883" s="91"/>
      <c r="B883" s="244"/>
      <c r="C883" s="417"/>
      <c r="D883" s="417"/>
      <c r="E883" s="417"/>
      <c r="F883" s="417"/>
      <c r="G883" s="417"/>
      <c r="H883" s="417"/>
      <c r="I883" s="417"/>
      <c r="J883" s="417"/>
      <c r="K883" s="417"/>
      <c r="L883" s="417"/>
      <c r="M883" s="415"/>
      <c r="N883" s="415"/>
      <c r="O883" s="415"/>
      <c r="P883" s="415"/>
      <c r="Q883" s="416"/>
      <c r="R883" s="416"/>
      <c r="S883" s="416"/>
      <c r="T883" s="416"/>
      <c r="U883" s="415"/>
      <c r="V883" s="415"/>
    </row>
    <row r="884" spans="1:22">
      <c r="A884" s="91"/>
      <c r="B884" s="244"/>
      <c r="C884" s="417"/>
      <c r="D884" s="417"/>
      <c r="E884" s="417"/>
      <c r="F884" s="417"/>
      <c r="G884" s="417"/>
      <c r="H884" s="417"/>
      <c r="I884" s="417"/>
      <c r="J884" s="417"/>
      <c r="K884" s="417"/>
      <c r="L884" s="417"/>
      <c r="M884" s="415"/>
      <c r="N884" s="415"/>
      <c r="O884" s="415"/>
      <c r="P884" s="415"/>
      <c r="Q884" s="416"/>
      <c r="R884" s="416"/>
      <c r="S884" s="416"/>
      <c r="T884" s="416"/>
      <c r="U884" s="415"/>
      <c r="V884" s="415"/>
    </row>
    <row r="885" spans="1:22">
      <c r="A885" s="91"/>
      <c r="B885" s="244"/>
      <c r="C885" s="417"/>
      <c r="D885" s="417"/>
      <c r="E885" s="417"/>
      <c r="F885" s="417"/>
      <c r="G885" s="417"/>
      <c r="H885" s="417"/>
      <c r="I885" s="417"/>
      <c r="J885" s="417"/>
      <c r="K885" s="417"/>
      <c r="L885" s="417"/>
      <c r="M885" s="415"/>
      <c r="N885" s="415"/>
      <c r="O885" s="415"/>
      <c r="P885" s="415"/>
      <c r="Q885" s="416"/>
      <c r="R885" s="416"/>
      <c r="S885" s="416"/>
      <c r="T885" s="416"/>
      <c r="U885" s="415"/>
      <c r="V885" s="415"/>
    </row>
    <row r="886" spans="1:22">
      <c r="A886" s="91"/>
      <c r="B886" s="244"/>
      <c r="C886" s="417"/>
      <c r="D886" s="417"/>
      <c r="E886" s="417"/>
      <c r="F886" s="417"/>
      <c r="G886" s="417"/>
      <c r="H886" s="417"/>
      <c r="I886" s="417"/>
      <c r="J886" s="417"/>
      <c r="K886" s="417"/>
      <c r="L886" s="417"/>
      <c r="M886" s="415"/>
      <c r="N886" s="415"/>
      <c r="O886" s="415"/>
      <c r="P886" s="415"/>
      <c r="Q886" s="416"/>
      <c r="R886" s="416"/>
      <c r="S886" s="416"/>
      <c r="T886" s="416"/>
      <c r="U886" s="415"/>
      <c r="V886" s="415"/>
    </row>
    <row r="887" spans="1:22">
      <c r="A887" s="91"/>
      <c r="B887" s="244"/>
      <c r="C887" s="417"/>
      <c r="D887" s="417"/>
      <c r="E887" s="417"/>
      <c r="F887" s="417"/>
      <c r="G887" s="417"/>
      <c r="H887" s="417"/>
      <c r="I887" s="417"/>
      <c r="J887" s="417"/>
      <c r="K887" s="417"/>
      <c r="L887" s="417"/>
      <c r="M887" s="415"/>
      <c r="N887" s="415"/>
      <c r="O887" s="415"/>
      <c r="P887" s="415"/>
      <c r="Q887" s="416"/>
      <c r="R887" s="416"/>
      <c r="S887" s="416"/>
      <c r="T887" s="416"/>
      <c r="U887" s="415"/>
      <c r="V887" s="415"/>
    </row>
    <row r="888" spans="1:22">
      <c r="A888" s="91"/>
      <c r="B888" s="244"/>
      <c r="C888" s="417"/>
      <c r="D888" s="417"/>
      <c r="E888" s="417"/>
      <c r="F888" s="417"/>
      <c r="G888" s="417"/>
      <c r="H888" s="417"/>
      <c r="I888" s="417"/>
      <c r="J888" s="417"/>
      <c r="K888" s="417"/>
      <c r="L888" s="417"/>
      <c r="M888" s="415"/>
      <c r="N888" s="415"/>
      <c r="O888" s="415"/>
      <c r="P888" s="415"/>
      <c r="Q888" s="416"/>
      <c r="R888" s="416"/>
      <c r="S888" s="416"/>
      <c r="T888" s="416"/>
      <c r="U888" s="415"/>
      <c r="V888" s="415"/>
    </row>
    <row r="889" spans="1:22">
      <c r="A889" s="91"/>
      <c r="B889" s="244"/>
      <c r="C889" s="417"/>
      <c r="D889" s="417"/>
      <c r="E889" s="417"/>
      <c r="F889" s="417"/>
      <c r="G889" s="417"/>
      <c r="H889" s="417"/>
      <c r="I889" s="417"/>
      <c r="J889" s="417"/>
      <c r="K889" s="417"/>
      <c r="L889" s="417"/>
      <c r="M889" s="415"/>
      <c r="N889" s="415"/>
      <c r="O889" s="415"/>
      <c r="P889" s="415"/>
      <c r="Q889" s="416"/>
      <c r="R889" s="416"/>
      <c r="S889" s="416"/>
      <c r="T889" s="416"/>
      <c r="U889" s="415"/>
      <c r="V889" s="415"/>
    </row>
    <row r="890" spans="1:22">
      <c r="A890" s="91"/>
      <c r="B890" s="244"/>
      <c r="C890" s="417"/>
      <c r="D890" s="417"/>
      <c r="E890" s="417"/>
      <c r="F890" s="417"/>
      <c r="G890" s="417"/>
      <c r="H890" s="417"/>
      <c r="I890" s="417"/>
      <c r="J890" s="417"/>
      <c r="K890" s="417"/>
      <c r="L890" s="417"/>
      <c r="M890" s="415"/>
      <c r="N890" s="415"/>
      <c r="O890" s="415"/>
      <c r="P890" s="415"/>
      <c r="Q890" s="416"/>
      <c r="R890" s="416"/>
      <c r="S890" s="416"/>
      <c r="T890" s="416"/>
      <c r="U890" s="415"/>
      <c r="V890" s="415"/>
    </row>
    <row r="891" spans="1:22">
      <c r="A891" s="91"/>
      <c r="B891" s="244"/>
      <c r="C891" s="417"/>
      <c r="D891" s="417"/>
      <c r="E891" s="417"/>
      <c r="F891" s="417"/>
      <c r="G891" s="417"/>
      <c r="H891" s="417"/>
      <c r="I891" s="417"/>
      <c r="J891" s="417"/>
      <c r="K891" s="417"/>
      <c r="L891" s="417"/>
      <c r="M891" s="415"/>
      <c r="N891" s="415"/>
      <c r="O891" s="415"/>
      <c r="P891" s="415"/>
      <c r="Q891" s="416"/>
      <c r="R891" s="416"/>
      <c r="S891" s="416"/>
      <c r="T891" s="416"/>
      <c r="U891" s="415"/>
      <c r="V891" s="415"/>
    </row>
    <row r="892" spans="1:22">
      <c r="A892" s="91"/>
      <c r="B892" s="244"/>
      <c r="C892" s="417"/>
      <c r="D892" s="417"/>
      <c r="E892" s="417"/>
      <c r="F892" s="417"/>
      <c r="G892" s="417"/>
      <c r="H892" s="417"/>
      <c r="I892" s="417"/>
      <c r="J892" s="417"/>
      <c r="K892" s="417"/>
      <c r="L892" s="417"/>
      <c r="M892" s="415"/>
      <c r="N892" s="415"/>
      <c r="O892" s="415"/>
      <c r="P892" s="415"/>
      <c r="Q892" s="416"/>
      <c r="R892" s="416"/>
      <c r="S892" s="416"/>
      <c r="T892" s="416"/>
      <c r="U892" s="415"/>
      <c r="V892" s="415"/>
    </row>
    <row r="893" spans="1:22">
      <c r="A893" s="91"/>
      <c r="B893" s="244"/>
      <c r="C893" s="417"/>
      <c r="D893" s="417"/>
      <c r="E893" s="417"/>
      <c r="F893" s="417"/>
      <c r="G893" s="417"/>
      <c r="H893" s="417"/>
      <c r="I893" s="417"/>
      <c r="J893" s="417"/>
      <c r="K893" s="417"/>
      <c r="L893" s="417"/>
      <c r="M893" s="415"/>
      <c r="N893" s="415"/>
      <c r="O893" s="415"/>
      <c r="P893" s="415"/>
      <c r="Q893" s="416"/>
      <c r="R893" s="416"/>
      <c r="S893" s="416"/>
      <c r="T893" s="416"/>
      <c r="U893" s="415"/>
      <c r="V893" s="415"/>
    </row>
    <row r="894" spans="1:22">
      <c r="A894" s="91"/>
      <c r="B894" s="244"/>
      <c r="C894" s="417"/>
      <c r="D894" s="417"/>
      <c r="E894" s="417"/>
      <c r="F894" s="417"/>
      <c r="G894" s="417"/>
      <c r="H894" s="417"/>
      <c r="I894" s="417"/>
      <c r="J894" s="417"/>
      <c r="K894" s="417"/>
      <c r="L894" s="417"/>
      <c r="M894" s="415"/>
      <c r="N894" s="415"/>
      <c r="O894" s="415"/>
      <c r="P894" s="415"/>
      <c r="Q894" s="416"/>
      <c r="R894" s="416"/>
      <c r="S894" s="416"/>
      <c r="T894" s="416"/>
      <c r="U894" s="415"/>
      <c r="V894" s="415"/>
    </row>
    <row r="895" spans="1:22">
      <c r="A895" s="91"/>
      <c r="B895" s="244"/>
      <c r="C895" s="417"/>
      <c r="D895" s="417"/>
      <c r="E895" s="417"/>
      <c r="F895" s="417"/>
      <c r="G895" s="417"/>
      <c r="H895" s="417"/>
      <c r="I895" s="417"/>
      <c r="J895" s="417"/>
      <c r="K895" s="417"/>
      <c r="L895" s="417"/>
      <c r="M895" s="415"/>
      <c r="N895" s="415"/>
      <c r="O895" s="415"/>
      <c r="P895" s="415"/>
      <c r="Q895" s="416"/>
      <c r="R895" s="416"/>
      <c r="S895" s="416"/>
      <c r="T895" s="416"/>
      <c r="U895" s="415"/>
      <c r="V895" s="415"/>
    </row>
    <row r="896" spans="1:22">
      <c r="A896" s="91"/>
      <c r="B896" s="244"/>
      <c r="C896" s="417"/>
      <c r="D896" s="417"/>
      <c r="E896" s="417"/>
      <c r="F896" s="417"/>
      <c r="G896" s="417"/>
      <c r="H896" s="417"/>
      <c r="I896" s="417"/>
      <c r="J896" s="417"/>
      <c r="K896" s="417"/>
      <c r="L896" s="417"/>
      <c r="M896" s="415"/>
      <c r="N896" s="415"/>
      <c r="O896" s="415"/>
      <c r="P896" s="415"/>
      <c r="Q896" s="416"/>
      <c r="R896" s="416"/>
      <c r="S896" s="416"/>
      <c r="T896" s="416"/>
      <c r="U896" s="415"/>
      <c r="V896" s="415"/>
    </row>
    <row r="897" spans="1:22">
      <c r="A897" s="91"/>
      <c r="B897" s="244"/>
      <c r="C897" s="417"/>
      <c r="D897" s="417"/>
      <c r="E897" s="417"/>
      <c r="F897" s="417"/>
      <c r="G897" s="417"/>
      <c r="H897" s="417"/>
      <c r="I897" s="417"/>
      <c r="J897" s="417"/>
      <c r="K897" s="417"/>
      <c r="L897" s="417"/>
      <c r="M897" s="415"/>
      <c r="N897" s="415"/>
      <c r="O897" s="415"/>
      <c r="P897" s="415"/>
      <c r="Q897" s="416"/>
      <c r="R897" s="416"/>
      <c r="S897" s="416"/>
      <c r="T897" s="416"/>
      <c r="U897" s="415"/>
      <c r="V897" s="415"/>
    </row>
    <row r="898" spans="1:22">
      <c r="A898" s="91"/>
      <c r="B898" s="244"/>
      <c r="C898" s="417"/>
      <c r="D898" s="417"/>
      <c r="E898" s="417"/>
      <c r="F898" s="417"/>
      <c r="G898" s="417"/>
      <c r="H898" s="417"/>
      <c r="I898" s="417"/>
      <c r="J898" s="417"/>
      <c r="K898" s="417"/>
      <c r="L898" s="417"/>
      <c r="M898" s="415"/>
      <c r="N898" s="415"/>
      <c r="O898" s="415"/>
      <c r="P898" s="415"/>
      <c r="Q898" s="416"/>
      <c r="R898" s="416"/>
      <c r="S898" s="416"/>
      <c r="T898" s="416"/>
      <c r="U898" s="415"/>
      <c r="V898" s="415"/>
    </row>
    <row r="899" spans="1:22">
      <c r="A899" s="91"/>
      <c r="B899" s="244"/>
      <c r="C899" s="417"/>
      <c r="D899" s="417"/>
      <c r="E899" s="417"/>
      <c r="F899" s="417"/>
      <c r="G899" s="417"/>
      <c r="H899" s="417"/>
      <c r="I899" s="417"/>
      <c r="J899" s="417"/>
      <c r="K899" s="417"/>
      <c r="L899" s="417"/>
      <c r="M899" s="415"/>
      <c r="N899" s="415"/>
      <c r="O899" s="415"/>
      <c r="P899" s="415"/>
      <c r="Q899" s="416"/>
      <c r="R899" s="416"/>
      <c r="S899" s="416"/>
      <c r="T899" s="416"/>
      <c r="U899" s="415"/>
      <c r="V899" s="415"/>
    </row>
    <row r="900" spans="1:22">
      <c r="A900" s="91"/>
      <c r="B900" s="244"/>
      <c r="C900" s="417"/>
      <c r="D900" s="417"/>
      <c r="E900" s="417"/>
      <c r="F900" s="417"/>
      <c r="G900" s="417"/>
      <c r="H900" s="417"/>
      <c r="I900" s="417"/>
      <c r="J900" s="417"/>
      <c r="K900" s="417"/>
      <c r="L900" s="417"/>
      <c r="M900" s="415"/>
      <c r="N900" s="415"/>
      <c r="O900" s="415"/>
      <c r="P900" s="415"/>
      <c r="Q900" s="416"/>
      <c r="R900" s="416"/>
      <c r="S900" s="416"/>
      <c r="T900" s="416"/>
      <c r="U900" s="415"/>
      <c r="V900" s="415"/>
    </row>
    <row r="901" spans="1:22">
      <c r="A901" s="91"/>
      <c r="B901" s="244"/>
      <c r="C901" s="417"/>
      <c r="D901" s="417"/>
      <c r="E901" s="417"/>
      <c r="F901" s="417"/>
      <c r="G901" s="417"/>
      <c r="H901" s="417"/>
      <c r="I901" s="417"/>
      <c r="J901" s="417"/>
      <c r="K901" s="417"/>
      <c r="L901" s="417"/>
      <c r="M901" s="415"/>
      <c r="N901" s="415"/>
      <c r="O901" s="415"/>
      <c r="P901" s="415"/>
      <c r="Q901" s="416"/>
      <c r="R901" s="416"/>
      <c r="S901" s="416"/>
      <c r="T901" s="416"/>
      <c r="U901" s="415"/>
      <c r="V901" s="415"/>
    </row>
    <row r="902" spans="1:22">
      <c r="A902" s="91"/>
      <c r="B902" s="244"/>
      <c r="C902" s="417"/>
      <c r="D902" s="417"/>
      <c r="E902" s="417"/>
      <c r="F902" s="417"/>
      <c r="G902" s="417"/>
      <c r="H902" s="417"/>
      <c r="I902" s="417"/>
      <c r="J902" s="417"/>
      <c r="K902" s="417"/>
      <c r="L902" s="417"/>
      <c r="M902" s="415"/>
      <c r="N902" s="415"/>
      <c r="O902" s="415"/>
      <c r="P902" s="415"/>
      <c r="Q902" s="416"/>
      <c r="R902" s="416"/>
      <c r="S902" s="416"/>
      <c r="T902" s="416"/>
      <c r="U902" s="415"/>
      <c r="V902" s="415"/>
    </row>
    <row r="903" spans="1:22">
      <c r="A903" s="91"/>
      <c r="B903" s="244"/>
      <c r="C903" s="417"/>
      <c r="D903" s="417"/>
      <c r="E903" s="417"/>
      <c r="F903" s="417"/>
      <c r="G903" s="417"/>
      <c r="H903" s="417"/>
      <c r="I903" s="417"/>
      <c r="J903" s="417"/>
      <c r="K903" s="417"/>
      <c r="L903" s="417"/>
      <c r="M903" s="415"/>
      <c r="N903" s="415"/>
      <c r="O903" s="415"/>
      <c r="P903" s="415"/>
      <c r="Q903" s="416"/>
      <c r="R903" s="416"/>
      <c r="S903" s="416"/>
      <c r="T903" s="416"/>
      <c r="U903" s="415"/>
      <c r="V903" s="415"/>
    </row>
    <row r="904" spans="1:22">
      <c r="A904" s="91"/>
      <c r="B904" s="244"/>
      <c r="C904" s="417"/>
      <c r="D904" s="417"/>
      <c r="E904" s="417"/>
      <c r="F904" s="417"/>
      <c r="G904" s="417"/>
      <c r="H904" s="417"/>
      <c r="I904" s="417"/>
      <c r="J904" s="417"/>
      <c r="K904" s="417"/>
      <c r="L904" s="417"/>
      <c r="M904" s="415"/>
      <c r="N904" s="415"/>
      <c r="O904" s="415"/>
      <c r="P904" s="415"/>
      <c r="Q904" s="416"/>
      <c r="R904" s="416"/>
      <c r="S904" s="416"/>
      <c r="T904" s="416"/>
      <c r="U904" s="415"/>
      <c r="V904" s="415"/>
    </row>
    <row r="905" spans="1:22">
      <c r="A905" s="91"/>
      <c r="B905" s="244"/>
      <c r="C905" s="417"/>
      <c r="D905" s="417"/>
      <c r="E905" s="417"/>
      <c r="F905" s="417"/>
      <c r="G905" s="417"/>
      <c r="H905" s="417"/>
      <c r="I905" s="417"/>
      <c r="J905" s="417"/>
      <c r="K905" s="417"/>
      <c r="L905" s="417"/>
      <c r="M905" s="415"/>
      <c r="N905" s="415"/>
      <c r="O905" s="415"/>
      <c r="P905" s="415"/>
      <c r="Q905" s="416"/>
      <c r="R905" s="416"/>
      <c r="S905" s="416"/>
      <c r="T905" s="416"/>
      <c r="U905" s="415"/>
      <c r="V905" s="415"/>
    </row>
    <row r="906" spans="1:22">
      <c r="A906" s="91"/>
      <c r="B906" s="244"/>
      <c r="C906" s="417"/>
      <c r="D906" s="417"/>
      <c r="E906" s="417"/>
      <c r="F906" s="417"/>
      <c r="G906" s="417"/>
      <c r="H906" s="417"/>
      <c r="I906" s="417"/>
      <c r="J906" s="417"/>
      <c r="K906" s="417"/>
      <c r="L906" s="417"/>
      <c r="M906" s="415"/>
      <c r="N906" s="415"/>
      <c r="O906" s="415"/>
      <c r="P906" s="415"/>
      <c r="Q906" s="416"/>
      <c r="R906" s="416"/>
      <c r="S906" s="416"/>
      <c r="T906" s="416"/>
      <c r="U906" s="415"/>
      <c r="V906" s="415"/>
    </row>
    <row r="907" spans="1:22">
      <c r="A907" s="91"/>
      <c r="B907" s="244"/>
      <c r="C907" s="417"/>
      <c r="D907" s="417"/>
      <c r="E907" s="417"/>
      <c r="F907" s="417"/>
      <c r="G907" s="417"/>
      <c r="H907" s="417"/>
      <c r="I907" s="417"/>
      <c r="J907" s="417"/>
      <c r="K907" s="417"/>
      <c r="L907" s="417"/>
      <c r="M907" s="415"/>
      <c r="N907" s="415"/>
      <c r="O907" s="415"/>
      <c r="P907" s="415"/>
      <c r="Q907" s="416"/>
      <c r="R907" s="416"/>
      <c r="S907" s="416"/>
      <c r="T907" s="416"/>
      <c r="U907" s="415"/>
      <c r="V907" s="415"/>
    </row>
    <row r="908" spans="1:22">
      <c r="A908" s="91"/>
      <c r="B908" s="244"/>
      <c r="C908" s="417"/>
      <c r="D908" s="417"/>
      <c r="E908" s="417"/>
      <c r="F908" s="417"/>
      <c r="G908" s="417"/>
      <c r="H908" s="417"/>
      <c r="I908" s="417"/>
      <c r="J908" s="417"/>
      <c r="K908" s="417"/>
      <c r="L908" s="417"/>
      <c r="M908" s="415"/>
      <c r="N908" s="415"/>
      <c r="O908" s="415"/>
      <c r="P908" s="415"/>
      <c r="Q908" s="416"/>
      <c r="R908" s="416"/>
      <c r="S908" s="416"/>
      <c r="T908" s="416"/>
      <c r="U908" s="415"/>
      <c r="V908" s="415"/>
    </row>
    <row r="909" spans="1:22">
      <c r="A909" s="91"/>
      <c r="B909" s="244"/>
      <c r="C909" s="417"/>
      <c r="D909" s="417"/>
      <c r="E909" s="417"/>
      <c r="F909" s="417"/>
      <c r="G909" s="417"/>
      <c r="H909" s="417"/>
      <c r="I909" s="417"/>
      <c r="J909" s="417"/>
      <c r="K909" s="417"/>
      <c r="L909" s="417"/>
      <c r="M909" s="415"/>
      <c r="N909" s="415"/>
      <c r="O909" s="415"/>
      <c r="P909" s="415"/>
      <c r="Q909" s="416"/>
      <c r="R909" s="416"/>
      <c r="S909" s="416"/>
      <c r="T909" s="416"/>
      <c r="U909" s="415"/>
      <c r="V909" s="415"/>
    </row>
    <row r="910" spans="1:22">
      <c r="A910" s="91"/>
      <c r="B910" s="244"/>
      <c r="C910" s="417"/>
      <c r="D910" s="417"/>
      <c r="E910" s="417"/>
      <c r="F910" s="417"/>
      <c r="G910" s="417"/>
      <c r="H910" s="417"/>
      <c r="I910" s="417"/>
      <c r="J910" s="417"/>
      <c r="K910" s="417"/>
      <c r="L910" s="417"/>
      <c r="M910" s="415"/>
      <c r="N910" s="415"/>
      <c r="O910" s="415"/>
      <c r="P910" s="415"/>
      <c r="Q910" s="416"/>
      <c r="R910" s="416"/>
      <c r="S910" s="416"/>
      <c r="T910" s="416"/>
      <c r="U910" s="415"/>
      <c r="V910" s="415"/>
    </row>
    <row r="911" spans="1:22">
      <c r="A911" s="91"/>
      <c r="B911" s="244"/>
      <c r="C911" s="417"/>
      <c r="D911" s="417"/>
      <c r="E911" s="417"/>
      <c r="F911" s="417"/>
      <c r="G911" s="417"/>
      <c r="H911" s="417"/>
      <c r="I911" s="417"/>
      <c r="J911" s="417"/>
      <c r="K911" s="417"/>
      <c r="L911" s="417"/>
      <c r="M911" s="415"/>
      <c r="N911" s="415"/>
      <c r="O911" s="415"/>
      <c r="P911" s="415"/>
      <c r="Q911" s="416"/>
      <c r="R911" s="416"/>
      <c r="S911" s="416"/>
      <c r="T911" s="416"/>
      <c r="U911" s="415"/>
      <c r="V911" s="415"/>
    </row>
    <row r="912" spans="1:22">
      <c r="A912" s="91"/>
      <c r="B912" s="244"/>
      <c r="C912" s="417"/>
      <c r="D912" s="417"/>
      <c r="E912" s="417"/>
      <c r="F912" s="417"/>
      <c r="G912" s="417"/>
      <c r="H912" s="417"/>
      <c r="I912" s="417"/>
      <c r="J912" s="417"/>
      <c r="K912" s="417"/>
      <c r="L912" s="417"/>
      <c r="M912" s="415"/>
      <c r="N912" s="415"/>
      <c r="O912" s="415"/>
      <c r="P912" s="415"/>
      <c r="Q912" s="416"/>
      <c r="R912" s="416"/>
      <c r="S912" s="416"/>
      <c r="T912" s="416"/>
      <c r="U912" s="415"/>
      <c r="V912" s="415"/>
    </row>
    <row r="913" spans="1:22">
      <c r="A913" s="91"/>
      <c r="B913" s="244"/>
      <c r="C913" s="417"/>
      <c r="D913" s="417"/>
      <c r="E913" s="417"/>
      <c r="F913" s="417"/>
      <c r="G913" s="417"/>
      <c r="H913" s="417"/>
      <c r="I913" s="417"/>
      <c r="J913" s="417"/>
      <c r="K913" s="417"/>
      <c r="L913" s="417"/>
      <c r="M913" s="415"/>
      <c r="N913" s="415"/>
      <c r="O913" s="415"/>
      <c r="P913" s="415"/>
      <c r="Q913" s="416"/>
      <c r="R913" s="416"/>
      <c r="S913" s="416"/>
      <c r="T913" s="416"/>
      <c r="U913" s="415"/>
      <c r="V913" s="415"/>
    </row>
    <row r="914" spans="1:22">
      <c r="A914" s="91"/>
      <c r="B914" s="244"/>
      <c r="C914" s="417"/>
      <c r="D914" s="417"/>
      <c r="E914" s="417"/>
      <c r="F914" s="417"/>
      <c r="G914" s="417"/>
      <c r="H914" s="417"/>
      <c r="I914" s="417"/>
      <c r="J914" s="417"/>
      <c r="K914" s="417"/>
      <c r="L914" s="417"/>
      <c r="M914" s="415"/>
      <c r="N914" s="415"/>
      <c r="O914" s="415"/>
      <c r="P914" s="415"/>
      <c r="Q914" s="416"/>
      <c r="R914" s="416"/>
      <c r="S914" s="416"/>
      <c r="T914" s="416"/>
      <c r="U914" s="415"/>
      <c r="V914" s="415"/>
    </row>
    <row r="915" spans="1:22">
      <c r="A915" s="91"/>
      <c r="B915" s="244"/>
      <c r="C915" s="417"/>
      <c r="D915" s="417"/>
      <c r="E915" s="417"/>
      <c r="F915" s="417"/>
      <c r="G915" s="417"/>
      <c r="H915" s="417"/>
      <c r="I915" s="417"/>
      <c r="J915" s="417"/>
      <c r="K915" s="417"/>
      <c r="L915" s="417"/>
      <c r="M915" s="415"/>
      <c r="N915" s="415"/>
      <c r="O915" s="415"/>
      <c r="P915" s="415"/>
      <c r="Q915" s="416"/>
      <c r="R915" s="416"/>
      <c r="S915" s="416"/>
      <c r="T915" s="416"/>
      <c r="U915" s="415"/>
      <c r="V915" s="415"/>
    </row>
    <row r="916" spans="1:22">
      <c r="A916" s="91"/>
      <c r="B916" s="244"/>
      <c r="C916" s="417"/>
      <c r="D916" s="417"/>
      <c r="E916" s="417"/>
      <c r="F916" s="417"/>
      <c r="G916" s="417"/>
      <c r="H916" s="417"/>
      <c r="I916" s="417"/>
      <c r="J916" s="417"/>
      <c r="K916" s="417"/>
      <c r="L916" s="417"/>
      <c r="M916" s="415"/>
      <c r="N916" s="415"/>
      <c r="O916" s="415"/>
      <c r="P916" s="415"/>
      <c r="Q916" s="416"/>
      <c r="R916" s="416"/>
      <c r="S916" s="416"/>
      <c r="T916" s="416"/>
      <c r="U916" s="415"/>
      <c r="V916" s="415"/>
    </row>
    <row r="917" spans="1:22">
      <c r="A917" s="91"/>
      <c r="B917" s="244"/>
      <c r="C917" s="417"/>
      <c r="D917" s="417"/>
      <c r="E917" s="417"/>
      <c r="F917" s="417"/>
      <c r="G917" s="417"/>
      <c r="H917" s="417"/>
      <c r="I917" s="417"/>
      <c r="J917" s="417"/>
      <c r="K917" s="417"/>
      <c r="L917" s="417"/>
      <c r="M917" s="415"/>
      <c r="N917" s="415"/>
      <c r="O917" s="415"/>
      <c r="P917" s="415"/>
      <c r="Q917" s="416"/>
      <c r="R917" s="416"/>
      <c r="S917" s="416"/>
      <c r="T917" s="416"/>
      <c r="U917" s="415"/>
      <c r="V917" s="415"/>
    </row>
    <row r="918" spans="1:22">
      <c r="A918" s="91"/>
      <c r="B918" s="244"/>
      <c r="C918" s="417"/>
      <c r="D918" s="417"/>
      <c r="E918" s="417"/>
      <c r="F918" s="417"/>
      <c r="G918" s="417"/>
      <c r="H918" s="417"/>
      <c r="I918" s="417"/>
      <c r="J918" s="417"/>
      <c r="K918" s="417"/>
      <c r="L918" s="417"/>
      <c r="M918" s="415"/>
      <c r="N918" s="415"/>
      <c r="O918" s="415"/>
      <c r="P918" s="415"/>
      <c r="Q918" s="416"/>
      <c r="R918" s="416"/>
      <c r="S918" s="416"/>
      <c r="T918" s="416"/>
      <c r="U918" s="415"/>
      <c r="V918" s="415"/>
    </row>
    <row r="919" spans="1:22">
      <c r="A919" s="91"/>
      <c r="B919" s="244"/>
      <c r="C919" s="417"/>
      <c r="D919" s="417"/>
      <c r="E919" s="417"/>
      <c r="F919" s="417"/>
      <c r="G919" s="417"/>
      <c r="H919" s="417"/>
      <c r="I919" s="417"/>
      <c r="J919" s="417"/>
      <c r="K919" s="417"/>
      <c r="L919" s="417"/>
      <c r="M919" s="415"/>
      <c r="N919" s="415"/>
      <c r="O919" s="415"/>
      <c r="P919" s="415"/>
      <c r="Q919" s="416"/>
      <c r="R919" s="416"/>
      <c r="S919" s="416"/>
      <c r="T919" s="416"/>
      <c r="U919" s="415"/>
      <c r="V919" s="415"/>
    </row>
    <row r="920" spans="1:22">
      <c r="A920" s="91"/>
      <c r="B920" s="244"/>
      <c r="C920" s="417"/>
      <c r="D920" s="417"/>
      <c r="E920" s="417"/>
      <c r="F920" s="417"/>
      <c r="G920" s="417"/>
      <c r="H920" s="417"/>
      <c r="I920" s="417"/>
      <c r="J920" s="417"/>
      <c r="K920" s="417"/>
      <c r="L920" s="417"/>
      <c r="M920" s="415"/>
      <c r="N920" s="415"/>
      <c r="O920" s="415"/>
      <c r="P920" s="415"/>
      <c r="Q920" s="416"/>
      <c r="R920" s="416"/>
      <c r="S920" s="416"/>
      <c r="T920" s="416"/>
      <c r="U920" s="415"/>
      <c r="V920" s="415"/>
    </row>
    <row r="921" spans="1:22">
      <c r="A921" s="91"/>
      <c r="B921" s="244"/>
      <c r="C921" s="417"/>
      <c r="D921" s="417"/>
      <c r="E921" s="417"/>
      <c r="F921" s="417"/>
      <c r="G921" s="417"/>
      <c r="H921" s="417"/>
      <c r="I921" s="417"/>
      <c r="J921" s="417"/>
      <c r="K921" s="417"/>
      <c r="L921" s="417"/>
      <c r="M921" s="415"/>
      <c r="N921" s="415"/>
      <c r="O921" s="415"/>
      <c r="P921" s="415"/>
      <c r="Q921" s="416"/>
      <c r="R921" s="416"/>
      <c r="S921" s="416"/>
      <c r="T921" s="416"/>
      <c r="U921" s="415"/>
      <c r="V921" s="415"/>
    </row>
    <row r="922" spans="1:22">
      <c r="A922" s="91"/>
      <c r="B922" s="244"/>
      <c r="C922" s="417"/>
      <c r="D922" s="417"/>
      <c r="E922" s="417"/>
      <c r="F922" s="417"/>
      <c r="G922" s="417"/>
      <c r="H922" s="417"/>
      <c r="I922" s="417"/>
      <c r="J922" s="417"/>
      <c r="K922" s="417"/>
      <c r="L922" s="417"/>
      <c r="M922" s="415"/>
      <c r="N922" s="415"/>
      <c r="O922" s="415"/>
      <c r="P922" s="415"/>
      <c r="Q922" s="416"/>
      <c r="R922" s="416"/>
      <c r="S922" s="416"/>
      <c r="T922" s="416"/>
      <c r="U922" s="415"/>
      <c r="V922" s="415"/>
    </row>
    <row r="923" spans="1:22">
      <c r="A923" s="91"/>
      <c r="B923" s="244"/>
      <c r="C923" s="417"/>
      <c r="D923" s="417"/>
      <c r="E923" s="417"/>
      <c r="F923" s="417"/>
      <c r="G923" s="417"/>
      <c r="H923" s="417"/>
      <c r="I923" s="417"/>
      <c r="J923" s="417"/>
      <c r="K923" s="417"/>
      <c r="L923" s="417"/>
      <c r="M923" s="415"/>
      <c r="N923" s="415"/>
      <c r="O923" s="415"/>
      <c r="P923" s="415"/>
      <c r="Q923" s="416"/>
      <c r="R923" s="416"/>
      <c r="S923" s="416"/>
      <c r="T923" s="416"/>
      <c r="U923" s="415"/>
      <c r="V923" s="415"/>
    </row>
    <row r="924" spans="1:22">
      <c r="A924" s="91"/>
      <c r="B924" s="244"/>
      <c r="C924" s="417"/>
      <c r="D924" s="417"/>
      <c r="E924" s="417"/>
      <c r="F924" s="417"/>
      <c r="G924" s="417"/>
      <c r="H924" s="417"/>
      <c r="I924" s="417"/>
      <c r="J924" s="417"/>
      <c r="K924" s="417"/>
      <c r="L924" s="417"/>
      <c r="M924" s="415"/>
      <c r="N924" s="415"/>
      <c r="O924" s="415"/>
      <c r="P924" s="415"/>
      <c r="Q924" s="416"/>
      <c r="R924" s="416"/>
      <c r="S924" s="416"/>
      <c r="T924" s="416"/>
      <c r="U924" s="415"/>
      <c r="V924" s="415"/>
    </row>
    <row r="925" spans="1:22">
      <c r="A925" s="91"/>
      <c r="B925" s="244"/>
      <c r="C925" s="417"/>
      <c r="D925" s="417"/>
      <c r="E925" s="417"/>
      <c r="F925" s="417"/>
      <c r="G925" s="417"/>
      <c r="H925" s="417"/>
      <c r="I925" s="417"/>
      <c r="J925" s="417"/>
      <c r="K925" s="417"/>
      <c r="L925" s="417"/>
      <c r="M925" s="415"/>
      <c r="N925" s="415"/>
      <c r="O925" s="415"/>
      <c r="P925" s="415"/>
      <c r="Q925" s="416"/>
      <c r="R925" s="416"/>
      <c r="S925" s="416"/>
      <c r="T925" s="416"/>
      <c r="U925" s="415"/>
      <c r="V925" s="415"/>
    </row>
    <row r="926" spans="1:22">
      <c r="A926" s="91"/>
      <c r="B926" s="244"/>
      <c r="C926" s="417"/>
      <c r="D926" s="417"/>
      <c r="E926" s="417"/>
      <c r="F926" s="417"/>
      <c r="G926" s="417"/>
      <c r="H926" s="417"/>
      <c r="I926" s="417"/>
      <c r="J926" s="417"/>
      <c r="K926" s="417"/>
      <c r="L926" s="417"/>
      <c r="M926" s="415"/>
      <c r="N926" s="415"/>
      <c r="O926" s="415"/>
      <c r="P926" s="415"/>
      <c r="Q926" s="416"/>
      <c r="R926" s="416"/>
      <c r="S926" s="416"/>
      <c r="T926" s="416"/>
      <c r="U926" s="415"/>
      <c r="V926" s="415"/>
    </row>
    <row r="927" spans="1:22">
      <c r="A927" s="91"/>
      <c r="B927" s="244"/>
      <c r="C927" s="417"/>
      <c r="D927" s="417"/>
      <c r="E927" s="417"/>
      <c r="F927" s="417"/>
      <c r="G927" s="417"/>
      <c r="H927" s="417"/>
      <c r="I927" s="417"/>
      <c r="J927" s="417"/>
      <c r="K927" s="417"/>
      <c r="L927" s="417"/>
      <c r="M927" s="415"/>
      <c r="N927" s="415"/>
      <c r="O927" s="415"/>
      <c r="P927" s="415"/>
      <c r="Q927" s="416"/>
      <c r="R927" s="416"/>
      <c r="S927" s="416"/>
      <c r="T927" s="416"/>
      <c r="U927" s="415"/>
      <c r="V927" s="415"/>
    </row>
    <row r="928" spans="1:22">
      <c r="A928" s="91"/>
      <c r="B928" s="244"/>
      <c r="C928" s="417"/>
      <c r="D928" s="417"/>
      <c r="E928" s="417"/>
      <c r="F928" s="417"/>
      <c r="G928" s="417"/>
      <c r="H928" s="417"/>
      <c r="I928" s="417"/>
      <c r="J928" s="417"/>
      <c r="K928" s="417"/>
      <c r="L928" s="417"/>
      <c r="M928" s="415"/>
      <c r="N928" s="415"/>
      <c r="O928" s="415"/>
      <c r="P928" s="415"/>
      <c r="Q928" s="416"/>
      <c r="R928" s="416"/>
      <c r="S928" s="416"/>
      <c r="T928" s="416"/>
      <c r="U928" s="415"/>
      <c r="V928" s="415"/>
    </row>
    <row r="929" spans="1:22">
      <c r="A929" s="91"/>
      <c r="B929" s="244"/>
      <c r="C929" s="417"/>
      <c r="D929" s="417"/>
      <c r="E929" s="417"/>
      <c r="F929" s="417"/>
      <c r="G929" s="417"/>
      <c r="H929" s="417"/>
      <c r="I929" s="417"/>
      <c r="J929" s="417"/>
      <c r="K929" s="417"/>
      <c r="L929" s="417"/>
      <c r="M929" s="415"/>
      <c r="N929" s="415"/>
      <c r="O929" s="415"/>
      <c r="P929" s="415"/>
      <c r="Q929" s="416"/>
      <c r="R929" s="416"/>
      <c r="S929" s="416"/>
      <c r="T929" s="416"/>
      <c r="U929" s="415"/>
      <c r="V929" s="415"/>
    </row>
    <row r="930" spans="1:22">
      <c r="A930" s="91"/>
      <c r="B930" s="244"/>
      <c r="C930" s="417"/>
      <c r="D930" s="417"/>
      <c r="E930" s="417"/>
      <c r="F930" s="417"/>
      <c r="G930" s="417"/>
      <c r="H930" s="417"/>
      <c r="I930" s="417"/>
      <c r="J930" s="417"/>
      <c r="K930" s="417"/>
      <c r="L930" s="417"/>
      <c r="M930" s="415"/>
      <c r="N930" s="415"/>
      <c r="O930" s="415"/>
      <c r="P930" s="415"/>
      <c r="Q930" s="416"/>
      <c r="R930" s="416"/>
      <c r="S930" s="416"/>
      <c r="T930" s="416"/>
      <c r="U930" s="415"/>
      <c r="V930" s="415"/>
    </row>
    <row r="931" spans="1:22">
      <c r="A931" s="91"/>
      <c r="B931" s="244"/>
      <c r="C931" s="417"/>
      <c r="D931" s="417"/>
      <c r="E931" s="417"/>
      <c r="F931" s="417"/>
      <c r="G931" s="417"/>
      <c r="H931" s="417"/>
      <c r="I931" s="417"/>
      <c r="J931" s="417"/>
      <c r="K931" s="417"/>
      <c r="L931" s="417"/>
      <c r="M931" s="415"/>
      <c r="N931" s="415"/>
      <c r="O931" s="415"/>
      <c r="P931" s="415"/>
      <c r="Q931" s="416"/>
      <c r="R931" s="416"/>
      <c r="S931" s="416"/>
      <c r="T931" s="416"/>
      <c r="U931" s="415"/>
      <c r="V931" s="415"/>
    </row>
    <row r="932" spans="1:22">
      <c r="A932" s="91"/>
      <c r="B932" s="244"/>
      <c r="C932" s="417"/>
      <c r="D932" s="417"/>
      <c r="E932" s="417"/>
      <c r="F932" s="417"/>
      <c r="G932" s="417"/>
      <c r="H932" s="417"/>
      <c r="I932" s="417"/>
      <c r="J932" s="417"/>
      <c r="K932" s="417"/>
      <c r="L932" s="417"/>
      <c r="M932" s="415"/>
      <c r="N932" s="415"/>
      <c r="O932" s="415"/>
      <c r="P932" s="415"/>
      <c r="Q932" s="416"/>
      <c r="R932" s="416"/>
      <c r="S932" s="416"/>
      <c r="T932" s="416"/>
      <c r="U932" s="415"/>
      <c r="V932" s="415"/>
    </row>
    <row r="933" spans="1:22">
      <c r="A933" s="91"/>
      <c r="B933" s="244"/>
      <c r="C933" s="417"/>
      <c r="D933" s="417"/>
      <c r="E933" s="417"/>
      <c r="F933" s="417"/>
      <c r="G933" s="417"/>
      <c r="H933" s="417"/>
      <c r="I933" s="417"/>
      <c r="J933" s="417"/>
      <c r="K933" s="417"/>
      <c r="L933" s="417"/>
      <c r="M933" s="415"/>
      <c r="N933" s="415"/>
      <c r="O933" s="415"/>
      <c r="P933" s="415"/>
      <c r="Q933" s="416"/>
      <c r="R933" s="416"/>
      <c r="S933" s="416"/>
      <c r="T933" s="416"/>
      <c r="U933" s="415"/>
      <c r="V933" s="415"/>
    </row>
    <row r="934" spans="1:22">
      <c r="A934" s="91"/>
      <c r="B934" s="244"/>
      <c r="C934" s="417"/>
      <c r="D934" s="417"/>
      <c r="E934" s="417"/>
      <c r="F934" s="417"/>
      <c r="G934" s="417"/>
      <c r="H934" s="417"/>
      <c r="I934" s="417"/>
      <c r="J934" s="417"/>
      <c r="K934" s="417"/>
      <c r="L934" s="417"/>
      <c r="M934" s="415"/>
      <c r="N934" s="415"/>
      <c r="O934" s="415"/>
      <c r="P934" s="415"/>
      <c r="Q934" s="416"/>
      <c r="R934" s="416"/>
      <c r="S934" s="416"/>
      <c r="T934" s="416"/>
      <c r="U934" s="415"/>
      <c r="V934" s="415"/>
    </row>
    <row r="935" spans="1:22">
      <c r="A935" s="91"/>
      <c r="B935" s="244"/>
      <c r="C935" s="417"/>
      <c r="D935" s="417"/>
      <c r="E935" s="417"/>
      <c r="F935" s="417"/>
      <c r="G935" s="417"/>
      <c r="H935" s="417"/>
      <c r="I935" s="417"/>
      <c r="J935" s="417"/>
      <c r="K935" s="417"/>
      <c r="L935" s="417"/>
      <c r="M935" s="415"/>
      <c r="N935" s="415"/>
      <c r="O935" s="415"/>
      <c r="P935" s="415"/>
      <c r="Q935" s="416"/>
      <c r="R935" s="416"/>
      <c r="S935" s="416"/>
      <c r="T935" s="416"/>
      <c r="U935" s="415"/>
      <c r="V935" s="415"/>
    </row>
    <row r="936" spans="1:22">
      <c r="A936" s="91"/>
      <c r="B936" s="244"/>
      <c r="C936" s="417"/>
      <c r="D936" s="417"/>
      <c r="E936" s="417"/>
      <c r="F936" s="417"/>
      <c r="G936" s="417"/>
      <c r="H936" s="417"/>
      <c r="I936" s="417"/>
      <c r="J936" s="417"/>
      <c r="K936" s="417"/>
      <c r="L936" s="417"/>
      <c r="M936" s="415"/>
      <c r="N936" s="415"/>
      <c r="O936" s="415"/>
      <c r="P936" s="415"/>
      <c r="Q936" s="416"/>
      <c r="R936" s="416"/>
      <c r="S936" s="416"/>
      <c r="T936" s="416"/>
      <c r="U936" s="415"/>
      <c r="V936" s="415"/>
    </row>
    <row r="937" spans="1:22">
      <c r="A937" s="91"/>
      <c r="B937" s="244"/>
      <c r="C937" s="417"/>
      <c r="D937" s="417"/>
      <c r="E937" s="417"/>
      <c r="F937" s="417"/>
      <c r="G937" s="417"/>
      <c r="H937" s="417"/>
      <c r="I937" s="417"/>
      <c r="J937" s="417"/>
      <c r="K937" s="417"/>
      <c r="L937" s="417"/>
      <c r="M937" s="415"/>
      <c r="N937" s="415"/>
      <c r="O937" s="415"/>
      <c r="P937" s="415"/>
      <c r="Q937" s="416"/>
      <c r="R937" s="416"/>
      <c r="S937" s="416"/>
      <c r="T937" s="416"/>
      <c r="U937" s="415"/>
      <c r="V937" s="415"/>
    </row>
    <row r="938" spans="1:22">
      <c r="A938" s="91"/>
      <c r="B938" s="244"/>
      <c r="C938" s="417"/>
      <c r="D938" s="417"/>
      <c r="E938" s="417"/>
      <c r="F938" s="417"/>
      <c r="G938" s="417"/>
      <c r="H938" s="417"/>
      <c r="I938" s="417"/>
      <c r="J938" s="417"/>
      <c r="K938" s="417"/>
      <c r="L938" s="417"/>
      <c r="M938" s="415"/>
      <c r="N938" s="415"/>
      <c r="O938" s="415"/>
      <c r="P938" s="415"/>
      <c r="Q938" s="416"/>
      <c r="R938" s="416"/>
      <c r="S938" s="416"/>
      <c r="T938" s="416"/>
      <c r="U938" s="415"/>
      <c r="V938" s="415"/>
    </row>
    <row r="939" spans="1:22">
      <c r="A939" s="91"/>
      <c r="B939" s="244"/>
      <c r="C939" s="417"/>
      <c r="D939" s="417"/>
      <c r="E939" s="417"/>
      <c r="F939" s="417"/>
      <c r="G939" s="417"/>
      <c r="H939" s="417"/>
      <c r="I939" s="417"/>
      <c r="J939" s="417"/>
      <c r="K939" s="417"/>
      <c r="L939" s="417"/>
      <c r="M939" s="415"/>
      <c r="N939" s="415"/>
      <c r="O939" s="415"/>
      <c r="P939" s="415"/>
      <c r="Q939" s="416"/>
      <c r="R939" s="416"/>
      <c r="S939" s="416"/>
      <c r="T939" s="416"/>
      <c r="U939" s="415"/>
      <c r="V939" s="415"/>
    </row>
    <row r="940" spans="1:22">
      <c r="A940" s="91"/>
      <c r="B940" s="244"/>
      <c r="C940" s="417"/>
      <c r="D940" s="417"/>
      <c r="E940" s="417"/>
      <c r="F940" s="417"/>
      <c r="G940" s="417"/>
      <c r="H940" s="417"/>
      <c r="I940" s="417"/>
      <c r="J940" s="417"/>
      <c r="K940" s="417"/>
      <c r="L940" s="417"/>
      <c r="M940" s="415"/>
      <c r="N940" s="415"/>
      <c r="O940" s="415"/>
      <c r="P940" s="415"/>
      <c r="Q940" s="416"/>
      <c r="R940" s="416"/>
      <c r="S940" s="416"/>
      <c r="T940" s="416"/>
      <c r="U940" s="415"/>
      <c r="V940" s="415"/>
    </row>
    <row r="941" spans="1:22">
      <c r="A941" s="91"/>
      <c r="B941" s="244"/>
      <c r="C941" s="417"/>
      <c r="D941" s="417"/>
      <c r="E941" s="417"/>
      <c r="F941" s="417"/>
      <c r="G941" s="417"/>
      <c r="H941" s="417"/>
      <c r="I941" s="417"/>
      <c r="J941" s="417"/>
      <c r="K941" s="417"/>
      <c r="L941" s="417"/>
      <c r="M941" s="415"/>
      <c r="N941" s="415"/>
      <c r="O941" s="415"/>
      <c r="P941" s="415"/>
      <c r="Q941" s="416"/>
      <c r="R941" s="416"/>
      <c r="S941" s="416"/>
      <c r="T941" s="416"/>
      <c r="U941" s="415"/>
      <c r="V941" s="415"/>
    </row>
    <row r="942" spans="1:22">
      <c r="A942" s="91"/>
      <c r="B942" s="244"/>
      <c r="C942" s="417"/>
      <c r="D942" s="417"/>
      <c r="E942" s="417"/>
      <c r="F942" s="417"/>
      <c r="G942" s="417"/>
      <c r="H942" s="417"/>
      <c r="I942" s="417"/>
      <c r="J942" s="417"/>
      <c r="K942" s="417"/>
      <c r="L942" s="417"/>
      <c r="M942" s="415"/>
      <c r="N942" s="415"/>
      <c r="O942" s="415"/>
      <c r="P942" s="415"/>
      <c r="Q942" s="416"/>
      <c r="R942" s="416"/>
      <c r="S942" s="416"/>
      <c r="T942" s="416"/>
      <c r="U942" s="415"/>
      <c r="V942" s="415"/>
    </row>
    <row r="943" spans="1:22">
      <c r="A943" s="91"/>
      <c r="B943" s="244"/>
      <c r="C943" s="417"/>
      <c r="D943" s="417"/>
      <c r="E943" s="417"/>
      <c r="F943" s="417"/>
      <c r="G943" s="417"/>
      <c r="H943" s="417"/>
      <c r="I943" s="417"/>
      <c r="J943" s="417"/>
      <c r="K943" s="417"/>
      <c r="L943" s="417"/>
      <c r="M943" s="415"/>
      <c r="N943" s="415"/>
      <c r="O943" s="415"/>
      <c r="P943" s="415"/>
      <c r="Q943" s="416"/>
      <c r="R943" s="416"/>
      <c r="S943" s="416"/>
      <c r="T943" s="416"/>
      <c r="U943" s="415"/>
      <c r="V943" s="415"/>
    </row>
    <row r="944" spans="1:22">
      <c r="A944" s="91"/>
      <c r="B944" s="244"/>
      <c r="C944" s="417"/>
      <c r="D944" s="417"/>
      <c r="E944" s="417"/>
      <c r="F944" s="417"/>
      <c r="G944" s="417"/>
      <c r="H944" s="417"/>
      <c r="I944" s="417"/>
      <c r="J944" s="417"/>
      <c r="K944" s="417"/>
      <c r="L944" s="417"/>
      <c r="M944" s="415"/>
      <c r="N944" s="415"/>
      <c r="O944" s="415"/>
      <c r="P944" s="415"/>
      <c r="Q944" s="416"/>
      <c r="R944" s="416"/>
      <c r="S944" s="416"/>
      <c r="T944" s="416"/>
      <c r="U944" s="415"/>
      <c r="V944" s="415"/>
    </row>
    <row r="945" spans="1:22">
      <c r="A945" s="91"/>
      <c r="B945" s="244"/>
      <c r="C945" s="417"/>
      <c r="D945" s="417"/>
      <c r="E945" s="417"/>
      <c r="F945" s="417"/>
      <c r="G945" s="417"/>
      <c r="H945" s="417"/>
      <c r="I945" s="417"/>
      <c r="J945" s="417"/>
      <c r="K945" s="417"/>
      <c r="L945" s="417"/>
      <c r="M945" s="415"/>
      <c r="N945" s="415"/>
      <c r="O945" s="415"/>
      <c r="P945" s="415"/>
      <c r="Q945" s="416"/>
      <c r="R945" s="416"/>
      <c r="S945" s="416"/>
      <c r="T945" s="416"/>
      <c r="U945" s="415"/>
      <c r="V945" s="415"/>
    </row>
    <row r="946" spans="1:22">
      <c r="A946" s="91"/>
      <c r="B946" s="244"/>
      <c r="C946" s="417"/>
      <c r="D946" s="417"/>
      <c r="E946" s="417"/>
      <c r="F946" s="417"/>
      <c r="G946" s="417"/>
      <c r="H946" s="417"/>
      <c r="I946" s="417"/>
      <c r="J946" s="417"/>
      <c r="K946" s="417"/>
      <c r="L946" s="417"/>
      <c r="M946" s="415"/>
      <c r="N946" s="415"/>
      <c r="O946" s="415"/>
      <c r="P946" s="415"/>
      <c r="Q946" s="416"/>
      <c r="R946" s="416"/>
      <c r="S946" s="416"/>
      <c r="T946" s="416"/>
      <c r="U946" s="415"/>
      <c r="V946" s="415"/>
    </row>
    <row r="947" spans="1:22">
      <c r="A947" s="91"/>
      <c r="B947" s="244"/>
      <c r="C947" s="417"/>
      <c r="D947" s="417"/>
      <c r="E947" s="417"/>
      <c r="F947" s="417"/>
      <c r="G947" s="417"/>
      <c r="H947" s="417"/>
      <c r="I947" s="417"/>
      <c r="J947" s="417"/>
      <c r="K947" s="417"/>
      <c r="L947" s="417"/>
      <c r="M947" s="415"/>
      <c r="N947" s="415"/>
      <c r="O947" s="415"/>
      <c r="P947" s="415"/>
      <c r="Q947" s="416"/>
      <c r="R947" s="416"/>
      <c r="S947" s="416"/>
      <c r="T947" s="416"/>
      <c r="U947" s="415"/>
      <c r="V947" s="415"/>
    </row>
    <row r="948" spans="1:22">
      <c r="A948" s="91"/>
      <c r="B948" s="244"/>
      <c r="C948" s="417"/>
      <c r="D948" s="417"/>
      <c r="E948" s="417"/>
      <c r="F948" s="417"/>
      <c r="G948" s="417"/>
      <c r="H948" s="417"/>
      <c r="I948" s="417"/>
      <c r="J948" s="417"/>
      <c r="K948" s="417"/>
      <c r="L948" s="417"/>
      <c r="M948" s="415"/>
      <c r="N948" s="415"/>
      <c r="O948" s="415"/>
      <c r="P948" s="415"/>
      <c r="Q948" s="416"/>
      <c r="R948" s="416"/>
      <c r="S948" s="416"/>
      <c r="T948" s="416"/>
      <c r="U948" s="415"/>
      <c r="V948" s="415"/>
    </row>
    <row r="949" spans="1:22">
      <c r="A949" s="91"/>
      <c r="B949" s="244"/>
      <c r="C949" s="417"/>
      <c r="D949" s="417"/>
      <c r="E949" s="417"/>
      <c r="F949" s="417"/>
      <c r="G949" s="417"/>
      <c r="H949" s="417"/>
      <c r="I949" s="417"/>
      <c r="J949" s="417"/>
      <c r="K949" s="417"/>
      <c r="L949" s="417"/>
      <c r="M949" s="415"/>
      <c r="N949" s="415"/>
      <c r="O949" s="415"/>
      <c r="P949" s="415"/>
      <c r="Q949" s="416"/>
      <c r="R949" s="416"/>
      <c r="S949" s="416"/>
      <c r="T949" s="416"/>
      <c r="U949" s="415"/>
      <c r="V949" s="415"/>
    </row>
    <row r="950" spans="1:22">
      <c r="A950" s="91"/>
      <c r="B950" s="244"/>
      <c r="C950" s="417"/>
      <c r="D950" s="417"/>
      <c r="E950" s="417"/>
      <c r="F950" s="417"/>
      <c r="G950" s="417"/>
      <c r="H950" s="417"/>
      <c r="I950" s="417"/>
      <c r="J950" s="417"/>
      <c r="K950" s="417"/>
      <c r="L950" s="417"/>
      <c r="M950" s="415"/>
      <c r="N950" s="415"/>
      <c r="O950" s="415"/>
      <c r="P950" s="415"/>
      <c r="Q950" s="416"/>
      <c r="R950" s="416"/>
      <c r="S950" s="416"/>
      <c r="T950" s="416"/>
      <c r="U950" s="415"/>
      <c r="V950" s="415"/>
    </row>
    <row r="951" spans="1:22">
      <c r="A951" s="91"/>
      <c r="B951" s="244"/>
      <c r="C951" s="417"/>
      <c r="D951" s="417"/>
      <c r="E951" s="417"/>
      <c r="F951" s="417"/>
      <c r="G951" s="417"/>
      <c r="H951" s="417"/>
      <c r="I951" s="417"/>
      <c r="J951" s="417"/>
      <c r="K951" s="417"/>
      <c r="L951" s="417"/>
      <c r="M951" s="415"/>
      <c r="N951" s="415"/>
      <c r="O951" s="415"/>
      <c r="P951" s="415"/>
      <c r="Q951" s="416"/>
      <c r="R951" s="416"/>
      <c r="S951" s="416"/>
      <c r="T951" s="416"/>
      <c r="U951" s="415"/>
      <c r="V951" s="415"/>
    </row>
    <row r="952" spans="1:22">
      <c r="A952" s="91"/>
      <c r="B952" s="244"/>
      <c r="C952" s="417"/>
      <c r="D952" s="417"/>
      <c r="E952" s="417"/>
      <c r="F952" s="417"/>
      <c r="G952" s="417"/>
      <c r="H952" s="417"/>
      <c r="I952" s="417"/>
      <c r="J952" s="417"/>
      <c r="K952" s="417"/>
      <c r="L952" s="417"/>
      <c r="M952" s="415"/>
      <c r="N952" s="415"/>
      <c r="O952" s="415"/>
      <c r="P952" s="415"/>
      <c r="Q952" s="416"/>
      <c r="R952" s="416"/>
      <c r="S952" s="416"/>
      <c r="T952" s="416"/>
      <c r="U952" s="415"/>
      <c r="V952" s="415"/>
    </row>
    <row r="953" spans="1:22">
      <c r="A953" s="91"/>
      <c r="B953" s="244"/>
      <c r="C953" s="417"/>
      <c r="D953" s="417"/>
      <c r="E953" s="417"/>
      <c r="F953" s="417"/>
      <c r="G953" s="417"/>
      <c r="H953" s="417"/>
      <c r="I953" s="417"/>
      <c r="J953" s="417"/>
      <c r="K953" s="417"/>
      <c r="L953" s="417"/>
      <c r="M953" s="415"/>
      <c r="N953" s="415"/>
      <c r="O953" s="415"/>
      <c r="P953" s="415"/>
      <c r="Q953" s="416"/>
      <c r="R953" s="416"/>
      <c r="S953" s="416"/>
      <c r="T953" s="416"/>
      <c r="U953" s="415"/>
      <c r="V953" s="415"/>
    </row>
    <row r="954" spans="1:22">
      <c r="A954" s="91"/>
      <c r="B954" s="244"/>
      <c r="C954" s="417"/>
      <c r="D954" s="417"/>
      <c r="E954" s="417"/>
      <c r="F954" s="417"/>
      <c r="G954" s="417"/>
      <c r="H954" s="417"/>
      <c r="I954" s="417"/>
      <c r="J954" s="417"/>
      <c r="K954" s="417"/>
      <c r="L954" s="417"/>
      <c r="M954" s="415"/>
      <c r="N954" s="415"/>
      <c r="O954" s="415"/>
      <c r="P954" s="415"/>
      <c r="Q954" s="416"/>
      <c r="R954" s="416"/>
      <c r="S954" s="416"/>
      <c r="T954" s="416"/>
      <c r="U954" s="415"/>
      <c r="V954" s="415"/>
    </row>
    <row r="955" spans="1:22">
      <c r="A955" s="91"/>
      <c r="B955" s="244"/>
      <c r="C955" s="417"/>
      <c r="D955" s="417"/>
      <c r="E955" s="417"/>
      <c r="F955" s="417"/>
      <c r="G955" s="417"/>
      <c r="H955" s="417"/>
      <c r="I955" s="417"/>
      <c r="J955" s="417"/>
      <c r="K955" s="417"/>
      <c r="L955" s="417"/>
      <c r="M955" s="415"/>
      <c r="N955" s="415"/>
      <c r="O955" s="415"/>
      <c r="P955" s="415"/>
      <c r="Q955" s="416"/>
      <c r="R955" s="416"/>
      <c r="S955" s="416"/>
      <c r="T955" s="416"/>
      <c r="U955" s="415"/>
      <c r="V955" s="415"/>
    </row>
    <row r="956" spans="1:22">
      <c r="A956" s="91"/>
      <c r="B956" s="244"/>
      <c r="C956" s="417"/>
      <c r="D956" s="417"/>
      <c r="E956" s="417"/>
      <c r="F956" s="417"/>
      <c r="G956" s="417"/>
      <c r="H956" s="417"/>
      <c r="I956" s="417"/>
      <c r="J956" s="417"/>
      <c r="K956" s="417"/>
      <c r="L956" s="417"/>
      <c r="M956" s="415"/>
      <c r="N956" s="415"/>
      <c r="O956" s="415"/>
      <c r="P956" s="415"/>
      <c r="Q956" s="416"/>
      <c r="R956" s="416"/>
      <c r="S956" s="416"/>
      <c r="T956" s="416"/>
      <c r="U956" s="415"/>
      <c r="V956" s="415"/>
    </row>
    <row r="957" spans="1:22">
      <c r="A957" s="91"/>
      <c r="B957" s="244"/>
      <c r="C957" s="417"/>
      <c r="D957" s="417"/>
      <c r="E957" s="417"/>
      <c r="F957" s="417"/>
      <c r="G957" s="417"/>
      <c r="H957" s="417"/>
      <c r="I957" s="417"/>
      <c r="J957" s="417"/>
      <c r="K957" s="417"/>
      <c r="L957" s="417"/>
      <c r="M957" s="415"/>
      <c r="N957" s="415"/>
      <c r="O957" s="415"/>
      <c r="P957" s="415"/>
      <c r="Q957" s="416"/>
      <c r="R957" s="416"/>
      <c r="S957" s="416"/>
      <c r="T957" s="416"/>
      <c r="U957" s="415"/>
      <c r="V957" s="415"/>
    </row>
    <row r="958" spans="1:22">
      <c r="A958" s="91"/>
      <c r="B958" s="244"/>
      <c r="C958" s="417"/>
      <c r="D958" s="417"/>
      <c r="E958" s="417"/>
      <c r="F958" s="417"/>
      <c r="G958" s="417"/>
      <c r="H958" s="417"/>
      <c r="I958" s="417"/>
      <c r="J958" s="417"/>
      <c r="K958" s="417"/>
      <c r="L958" s="417"/>
      <c r="M958" s="415"/>
      <c r="N958" s="415"/>
      <c r="O958" s="415"/>
      <c r="P958" s="415"/>
      <c r="Q958" s="416"/>
      <c r="R958" s="416"/>
      <c r="S958" s="416"/>
      <c r="T958" s="416"/>
      <c r="U958" s="415"/>
      <c r="V958" s="415"/>
    </row>
    <row r="959" spans="1:22">
      <c r="A959" s="91"/>
      <c r="B959" s="244"/>
      <c r="C959" s="417"/>
      <c r="D959" s="417"/>
      <c r="E959" s="417"/>
      <c r="F959" s="417"/>
      <c r="G959" s="417"/>
      <c r="H959" s="417"/>
      <c r="I959" s="417"/>
      <c r="J959" s="417"/>
      <c r="K959" s="417"/>
      <c r="L959" s="417"/>
      <c r="M959" s="415"/>
      <c r="N959" s="415"/>
      <c r="O959" s="415"/>
      <c r="P959" s="415"/>
      <c r="Q959" s="416"/>
      <c r="R959" s="416"/>
      <c r="S959" s="416"/>
      <c r="T959" s="416"/>
      <c r="U959" s="415"/>
      <c r="V959" s="415"/>
    </row>
    <row r="960" spans="1:22">
      <c r="A960" s="91"/>
      <c r="B960" s="244"/>
      <c r="C960" s="417"/>
      <c r="D960" s="417"/>
      <c r="E960" s="417"/>
      <c r="F960" s="417"/>
      <c r="G960" s="417"/>
      <c r="H960" s="417"/>
      <c r="I960" s="417"/>
      <c r="J960" s="417"/>
      <c r="K960" s="417"/>
      <c r="L960" s="417"/>
      <c r="M960" s="415"/>
      <c r="N960" s="415"/>
      <c r="O960" s="415"/>
      <c r="P960" s="415"/>
      <c r="Q960" s="416"/>
      <c r="R960" s="416"/>
      <c r="S960" s="416"/>
      <c r="T960" s="416"/>
      <c r="U960" s="415"/>
      <c r="V960" s="415"/>
    </row>
    <row r="961" spans="1:22">
      <c r="A961" s="91"/>
      <c r="B961" s="244"/>
      <c r="C961" s="417"/>
      <c r="D961" s="417"/>
      <c r="E961" s="417"/>
      <c r="F961" s="417"/>
      <c r="G961" s="417"/>
      <c r="H961" s="417"/>
      <c r="I961" s="417"/>
      <c r="J961" s="417"/>
      <c r="K961" s="417"/>
      <c r="L961" s="417"/>
      <c r="M961" s="415"/>
      <c r="N961" s="415"/>
      <c r="O961" s="415"/>
      <c r="P961" s="415"/>
      <c r="Q961" s="416"/>
      <c r="R961" s="416"/>
      <c r="S961" s="416"/>
      <c r="T961" s="416"/>
      <c r="U961" s="415"/>
      <c r="V961" s="415"/>
    </row>
    <row r="962" spans="1:22">
      <c r="A962" s="91"/>
      <c r="B962" s="244"/>
      <c r="C962" s="417"/>
      <c r="D962" s="417"/>
      <c r="E962" s="417"/>
      <c r="F962" s="417"/>
      <c r="G962" s="417"/>
      <c r="H962" s="417"/>
      <c r="I962" s="417"/>
      <c r="J962" s="417"/>
      <c r="K962" s="417"/>
      <c r="L962" s="417"/>
      <c r="M962" s="415"/>
      <c r="N962" s="415"/>
      <c r="O962" s="415"/>
      <c r="P962" s="415"/>
      <c r="Q962" s="416"/>
      <c r="R962" s="416"/>
      <c r="S962" s="416"/>
      <c r="T962" s="416"/>
      <c r="U962" s="415"/>
      <c r="V962" s="415"/>
    </row>
    <row r="963" spans="1:22">
      <c r="A963" s="91"/>
      <c r="B963" s="244"/>
      <c r="C963" s="417"/>
      <c r="D963" s="417"/>
      <c r="E963" s="417"/>
      <c r="F963" s="417"/>
      <c r="G963" s="417"/>
      <c r="H963" s="417"/>
      <c r="I963" s="417"/>
      <c r="J963" s="417"/>
      <c r="K963" s="417"/>
      <c r="L963" s="417"/>
      <c r="M963" s="415"/>
      <c r="N963" s="415"/>
      <c r="O963" s="415"/>
      <c r="P963" s="415"/>
      <c r="Q963" s="416"/>
      <c r="R963" s="416"/>
      <c r="S963" s="416"/>
      <c r="T963" s="416"/>
      <c r="U963" s="415"/>
      <c r="V963" s="415"/>
    </row>
    <row r="964" spans="1:22">
      <c r="A964" s="91"/>
      <c r="B964" s="244"/>
      <c r="C964" s="417"/>
      <c r="D964" s="417"/>
      <c r="E964" s="417"/>
      <c r="F964" s="417"/>
      <c r="G964" s="417"/>
      <c r="H964" s="417"/>
      <c r="I964" s="417"/>
      <c r="J964" s="417"/>
      <c r="K964" s="417"/>
      <c r="L964" s="417"/>
      <c r="M964" s="415"/>
      <c r="N964" s="415"/>
      <c r="O964" s="415"/>
      <c r="P964" s="415"/>
      <c r="Q964" s="416"/>
      <c r="R964" s="416"/>
      <c r="S964" s="416"/>
      <c r="T964" s="416"/>
      <c r="U964" s="415"/>
      <c r="V964" s="415"/>
    </row>
    <row r="965" spans="1:22">
      <c r="A965" s="91"/>
      <c r="B965" s="244"/>
      <c r="C965" s="417"/>
      <c r="D965" s="417"/>
      <c r="E965" s="417"/>
      <c r="F965" s="417"/>
      <c r="G965" s="417"/>
      <c r="H965" s="417"/>
      <c r="I965" s="417"/>
      <c r="J965" s="417"/>
      <c r="K965" s="417"/>
      <c r="L965" s="417"/>
      <c r="M965" s="415"/>
      <c r="N965" s="415"/>
      <c r="O965" s="415"/>
      <c r="P965" s="415"/>
      <c r="Q965" s="416"/>
      <c r="R965" s="416"/>
      <c r="S965" s="416"/>
      <c r="T965" s="416"/>
      <c r="U965" s="415"/>
      <c r="V965" s="415"/>
    </row>
    <row r="966" spans="1:22">
      <c r="A966" s="91"/>
      <c r="B966" s="244"/>
      <c r="C966" s="417"/>
      <c r="D966" s="417"/>
      <c r="E966" s="417"/>
      <c r="F966" s="417"/>
      <c r="G966" s="417"/>
      <c r="H966" s="417"/>
      <c r="I966" s="417"/>
      <c r="J966" s="417"/>
      <c r="K966" s="417"/>
      <c r="L966" s="417"/>
      <c r="M966" s="415"/>
      <c r="N966" s="415"/>
      <c r="O966" s="415"/>
      <c r="P966" s="415"/>
      <c r="Q966" s="416"/>
      <c r="R966" s="416"/>
      <c r="S966" s="416"/>
      <c r="T966" s="416"/>
      <c r="U966" s="415"/>
      <c r="V966" s="415"/>
    </row>
    <row r="967" spans="1:22">
      <c r="A967" s="91"/>
      <c r="B967" s="244"/>
      <c r="C967" s="417"/>
      <c r="D967" s="417"/>
      <c r="E967" s="417"/>
      <c r="F967" s="417"/>
      <c r="G967" s="417"/>
      <c r="H967" s="417"/>
      <c r="I967" s="417"/>
      <c r="J967" s="417"/>
      <c r="K967" s="417"/>
      <c r="L967" s="417"/>
      <c r="M967" s="415"/>
      <c r="N967" s="415"/>
      <c r="O967" s="415"/>
      <c r="P967" s="415"/>
      <c r="Q967" s="416"/>
      <c r="R967" s="416"/>
      <c r="S967" s="416"/>
      <c r="T967" s="416"/>
      <c r="U967" s="415"/>
      <c r="V967" s="415"/>
    </row>
    <row r="968" spans="1:22">
      <c r="A968" s="91"/>
      <c r="B968" s="244"/>
      <c r="C968" s="417"/>
      <c r="D968" s="417"/>
      <c r="E968" s="417"/>
      <c r="F968" s="417"/>
      <c r="G968" s="417"/>
      <c r="H968" s="417"/>
      <c r="I968" s="417"/>
      <c r="J968" s="417"/>
      <c r="K968" s="417"/>
      <c r="L968" s="417"/>
      <c r="M968" s="415"/>
      <c r="N968" s="415"/>
      <c r="O968" s="415"/>
      <c r="P968" s="415"/>
      <c r="Q968" s="416"/>
      <c r="R968" s="416"/>
      <c r="S968" s="416"/>
      <c r="T968" s="416"/>
      <c r="U968" s="415"/>
      <c r="V968" s="415"/>
    </row>
    <row r="969" spans="1:22">
      <c r="A969" s="91"/>
      <c r="B969" s="244"/>
      <c r="C969" s="417"/>
      <c r="D969" s="417"/>
      <c r="E969" s="417"/>
      <c r="F969" s="417"/>
      <c r="G969" s="417"/>
      <c r="H969" s="417"/>
      <c r="I969" s="417"/>
      <c r="J969" s="417"/>
      <c r="K969" s="417"/>
      <c r="L969" s="417"/>
      <c r="M969" s="415"/>
      <c r="N969" s="415"/>
      <c r="O969" s="415"/>
      <c r="P969" s="415"/>
      <c r="Q969" s="416"/>
      <c r="R969" s="416"/>
      <c r="S969" s="416"/>
      <c r="T969" s="416"/>
      <c r="U969" s="415"/>
      <c r="V969" s="415"/>
    </row>
    <row r="970" spans="1:22">
      <c r="A970" s="91"/>
      <c r="B970" s="244"/>
      <c r="C970" s="417"/>
      <c r="D970" s="417"/>
      <c r="E970" s="417"/>
      <c r="F970" s="417"/>
      <c r="G970" s="417"/>
      <c r="H970" s="417"/>
      <c r="I970" s="417"/>
      <c r="J970" s="417"/>
      <c r="K970" s="417"/>
      <c r="L970" s="417"/>
      <c r="M970" s="415"/>
      <c r="N970" s="415"/>
      <c r="O970" s="415"/>
      <c r="P970" s="415"/>
      <c r="Q970" s="416"/>
      <c r="R970" s="416"/>
      <c r="S970" s="416"/>
      <c r="T970" s="416"/>
      <c r="U970" s="415"/>
      <c r="V970" s="415"/>
    </row>
    <row r="971" spans="1:22">
      <c r="A971" s="91"/>
      <c r="B971" s="244"/>
      <c r="C971" s="417"/>
      <c r="D971" s="417"/>
      <c r="E971" s="417"/>
      <c r="F971" s="417"/>
      <c r="G971" s="417"/>
      <c r="H971" s="417"/>
      <c r="I971" s="417"/>
      <c r="J971" s="417"/>
      <c r="K971" s="417"/>
      <c r="L971" s="417"/>
      <c r="M971" s="415"/>
      <c r="N971" s="415"/>
      <c r="O971" s="415"/>
      <c r="P971" s="415"/>
      <c r="Q971" s="416"/>
      <c r="R971" s="416"/>
      <c r="S971" s="416"/>
      <c r="T971" s="416"/>
      <c r="U971" s="415"/>
      <c r="V971" s="415"/>
    </row>
    <row r="972" spans="1:22">
      <c r="A972" s="91"/>
      <c r="B972" s="244"/>
      <c r="C972" s="417"/>
      <c r="D972" s="417"/>
      <c r="E972" s="417"/>
      <c r="F972" s="417"/>
      <c r="G972" s="417"/>
      <c r="H972" s="417"/>
      <c r="I972" s="417"/>
      <c r="J972" s="417"/>
      <c r="K972" s="417"/>
      <c r="L972" s="417"/>
      <c r="M972" s="415"/>
      <c r="N972" s="415"/>
      <c r="O972" s="415"/>
      <c r="P972" s="415"/>
      <c r="Q972" s="416"/>
      <c r="R972" s="416"/>
      <c r="S972" s="416"/>
      <c r="T972" s="416"/>
      <c r="U972" s="415"/>
      <c r="V972" s="415"/>
    </row>
    <row r="973" spans="1:22">
      <c r="A973" s="91"/>
      <c r="B973" s="244"/>
      <c r="C973" s="417"/>
      <c r="D973" s="417"/>
      <c r="E973" s="417"/>
      <c r="F973" s="417"/>
      <c r="G973" s="417"/>
      <c r="H973" s="417"/>
      <c r="I973" s="417"/>
      <c r="J973" s="417"/>
      <c r="K973" s="417"/>
      <c r="L973" s="417"/>
      <c r="M973" s="415"/>
      <c r="N973" s="415"/>
      <c r="O973" s="415"/>
      <c r="P973" s="415"/>
      <c r="Q973" s="416"/>
      <c r="R973" s="416"/>
      <c r="S973" s="416"/>
      <c r="T973" s="416"/>
      <c r="U973" s="415"/>
      <c r="V973" s="415"/>
    </row>
    <row r="974" spans="1:22">
      <c r="A974" s="91"/>
      <c r="B974" s="244"/>
      <c r="C974" s="417"/>
      <c r="D974" s="417"/>
      <c r="E974" s="417"/>
      <c r="F974" s="417"/>
      <c r="G974" s="417"/>
      <c r="H974" s="417"/>
      <c r="I974" s="417"/>
      <c r="J974" s="417"/>
      <c r="K974" s="417"/>
      <c r="L974" s="417"/>
      <c r="M974" s="415"/>
      <c r="N974" s="415"/>
      <c r="O974" s="415"/>
      <c r="P974" s="415"/>
      <c r="Q974" s="416"/>
      <c r="R974" s="416"/>
      <c r="S974" s="416"/>
      <c r="T974" s="416"/>
      <c r="U974" s="415"/>
      <c r="V974" s="415"/>
    </row>
    <row r="975" spans="1:22">
      <c r="A975" s="91"/>
      <c r="B975" s="244"/>
      <c r="C975" s="417"/>
      <c r="D975" s="417"/>
      <c r="E975" s="417"/>
      <c r="F975" s="417"/>
      <c r="G975" s="417"/>
      <c r="H975" s="417"/>
      <c r="I975" s="417"/>
      <c r="J975" s="417"/>
      <c r="K975" s="417"/>
      <c r="L975" s="417"/>
      <c r="M975" s="415"/>
      <c r="N975" s="415"/>
      <c r="O975" s="415"/>
      <c r="P975" s="415"/>
      <c r="Q975" s="416"/>
      <c r="R975" s="416"/>
      <c r="S975" s="416"/>
      <c r="T975" s="416"/>
      <c r="U975" s="415"/>
      <c r="V975" s="415"/>
    </row>
    <row r="976" spans="1:22">
      <c r="A976" s="91"/>
      <c r="B976" s="244"/>
      <c r="C976" s="417"/>
      <c r="D976" s="417"/>
      <c r="E976" s="417"/>
      <c r="F976" s="417"/>
      <c r="G976" s="417"/>
      <c r="H976" s="417"/>
      <c r="I976" s="417"/>
      <c r="J976" s="417"/>
      <c r="K976" s="417"/>
      <c r="L976" s="417"/>
      <c r="M976" s="415"/>
      <c r="N976" s="415"/>
      <c r="O976" s="415"/>
      <c r="P976" s="415"/>
      <c r="Q976" s="416"/>
      <c r="R976" s="416"/>
      <c r="S976" s="416"/>
      <c r="T976" s="416"/>
      <c r="U976" s="415"/>
      <c r="V976" s="415"/>
    </row>
    <row r="977" spans="1:22">
      <c r="A977" s="91"/>
      <c r="B977" s="244"/>
      <c r="C977" s="417"/>
      <c r="D977" s="417"/>
      <c r="E977" s="417"/>
      <c r="F977" s="417"/>
      <c r="G977" s="417"/>
      <c r="H977" s="417"/>
      <c r="I977" s="417"/>
      <c r="J977" s="417"/>
      <c r="K977" s="417"/>
      <c r="L977" s="417"/>
      <c r="M977" s="415"/>
      <c r="N977" s="415"/>
      <c r="O977" s="415"/>
      <c r="P977" s="415"/>
      <c r="Q977" s="416"/>
      <c r="R977" s="416"/>
      <c r="S977" s="416"/>
      <c r="T977" s="416"/>
      <c r="U977" s="415"/>
      <c r="V977" s="415"/>
    </row>
    <row r="978" spans="1:22">
      <c r="A978" s="91"/>
      <c r="B978" s="244"/>
      <c r="C978" s="417"/>
      <c r="D978" s="417"/>
      <c r="E978" s="417"/>
      <c r="F978" s="417"/>
      <c r="G978" s="417"/>
      <c r="H978" s="417"/>
      <c r="I978" s="417"/>
      <c r="J978" s="417"/>
      <c r="K978" s="417"/>
      <c r="L978" s="417"/>
      <c r="M978" s="415"/>
      <c r="N978" s="415"/>
      <c r="O978" s="415"/>
      <c r="P978" s="415"/>
      <c r="Q978" s="416"/>
      <c r="R978" s="416"/>
      <c r="S978" s="416"/>
      <c r="T978" s="416"/>
      <c r="U978" s="415"/>
      <c r="V978" s="415"/>
    </row>
    <row r="979" spans="1:22">
      <c r="A979" s="91"/>
      <c r="B979" s="244"/>
      <c r="C979" s="417"/>
      <c r="D979" s="417"/>
      <c r="E979" s="417"/>
      <c r="F979" s="417"/>
      <c r="G979" s="417"/>
      <c r="H979" s="417"/>
      <c r="I979" s="417"/>
      <c r="J979" s="417"/>
      <c r="K979" s="417"/>
      <c r="L979" s="417"/>
      <c r="M979" s="415"/>
      <c r="N979" s="415"/>
      <c r="O979" s="415"/>
      <c r="P979" s="415"/>
      <c r="Q979" s="416"/>
      <c r="R979" s="416"/>
      <c r="S979" s="416"/>
      <c r="T979" s="416"/>
      <c r="U979" s="415"/>
      <c r="V979" s="415"/>
    </row>
    <row r="980" spans="1:22">
      <c r="A980" s="91"/>
      <c r="B980" s="244"/>
      <c r="C980" s="417"/>
      <c r="D980" s="417"/>
      <c r="E980" s="417"/>
      <c r="F980" s="417"/>
      <c r="G980" s="417"/>
      <c r="H980" s="417"/>
      <c r="I980" s="417"/>
      <c r="J980" s="417"/>
      <c r="K980" s="417"/>
      <c r="L980" s="417"/>
      <c r="M980" s="415"/>
      <c r="N980" s="415"/>
      <c r="O980" s="415"/>
      <c r="P980" s="415"/>
      <c r="Q980" s="416"/>
      <c r="R980" s="416"/>
      <c r="S980" s="416"/>
      <c r="T980" s="416"/>
      <c r="U980" s="415"/>
      <c r="V980" s="415"/>
    </row>
    <row r="981" spans="1:22">
      <c r="A981" s="91"/>
      <c r="B981" s="244"/>
      <c r="C981" s="417"/>
      <c r="D981" s="417"/>
      <c r="E981" s="417"/>
      <c r="F981" s="417"/>
      <c r="G981" s="417"/>
      <c r="H981" s="417"/>
      <c r="I981" s="417"/>
      <c r="J981" s="417"/>
      <c r="K981" s="417"/>
      <c r="L981" s="417"/>
      <c r="M981" s="415"/>
      <c r="N981" s="415"/>
      <c r="O981" s="415"/>
      <c r="P981" s="415"/>
      <c r="Q981" s="416"/>
      <c r="R981" s="416"/>
      <c r="S981" s="416"/>
      <c r="T981" s="416"/>
      <c r="U981" s="415"/>
      <c r="V981" s="415"/>
    </row>
    <row r="982" spans="1:22">
      <c r="A982" s="91"/>
      <c r="B982" s="244"/>
      <c r="C982" s="417"/>
      <c r="D982" s="417"/>
      <c r="E982" s="417"/>
      <c r="F982" s="417"/>
      <c r="G982" s="417"/>
      <c r="H982" s="417"/>
      <c r="I982" s="417"/>
      <c r="J982" s="417"/>
      <c r="K982" s="417"/>
      <c r="L982" s="417"/>
      <c r="M982" s="415"/>
      <c r="N982" s="415"/>
      <c r="O982" s="415"/>
      <c r="P982" s="415"/>
      <c r="Q982" s="416"/>
      <c r="R982" s="416"/>
      <c r="S982" s="416"/>
      <c r="T982" s="416"/>
      <c r="U982" s="415"/>
      <c r="V982" s="415"/>
    </row>
    <row r="983" spans="1:22">
      <c r="A983" s="91"/>
      <c r="B983" s="244"/>
      <c r="C983" s="417"/>
      <c r="D983" s="417"/>
      <c r="E983" s="417"/>
      <c r="F983" s="417"/>
      <c r="G983" s="417"/>
      <c r="H983" s="417"/>
      <c r="I983" s="417"/>
      <c r="J983" s="417"/>
      <c r="K983" s="417"/>
      <c r="L983" s="417"/>
      <c r="M983" s="415"/>
      <c r="N983" s="415"/>
      <c r="O983" s="415"/>
      <c r="P983" s="415"/>
      <c r="Q983" s="416"/>
      <c r="R983" s="416"/>
      <c r="S983" s="416"/>
      <c r="T983" s="416"/>
      <c r="U983" s="415"/>
      <c r="V983" s="415"/>
    </row>
    <row r="984" spans="1:22">
      <c r="A984" s="91"/>
      <c r="B984" s="244"/>
      <c r="C984" s="417"/>
      <c r="D984" s="417"/>
      <c r="E984" s="417"/>
      <c r="F984" s="417"/>
      <c r="G984" s="417"/>
      <c r="H984" s="417"/>
      <c r="I984" s="417"/>
      <c r="J984" s="417"/>
      <c r="K984" s="417"/>
      <c r="L984" s="417"/>
      <c r="M984" s="415"/>
      <c r="N984" s="415"/>
      <c r="O984" s="415"/>
      <c r="P984" s="415"/>
      <c r="Q984" s="416"/>
      <c r="R984" s="416"/>
      <c r="S984" s="416"/>
      <c r="T984" s="416"/>
      <c r="U984" s="415"/>
      <c r="V984" s="415"/>
    </row>
    <row r="985" spans="1:22">
      <c r="A985" s="91"/>
      <c r="B985" s="244"/>
      <c r="C985" s="417"/>
      <c r="D985" s="417"/>
      <c r="E985" s="417"/>
      <c r="F985" s="417"/>
      <c r="G985" s="417"/>
      <c r="H985" s="417"/>
      <c r="I985" s="417"/>
      <c r="J985" s="417"/>
      <c r="K985" s="417"/>
      <c r="L985" s="417"/>
      <c r="M985" s="415"/>
      <c r="N985" s="415"/>
      <c r="O985" s="415"/>
      <c r="P985" s="415"/>
      <c r="Q985" s="416"/>
      <c r="R985" s="416"/>
      <c r="S985" s="416"/>
      <c r="T985" s="416"/>
      <c r="U985" s="415"/>
      <c r="V985" s="415"/>
    </row>
    <row r="986" spans="1:22">
      <c r="A986" s="91"/>
      <c r="B986" s="244"/>
      <c r="C986" s="417"/>
      <c r="D986" s="417"/>
      <c r="E986" s="417"/>
      <c r="F986" s="417"/>
      <c r="G986" s="417"/>
      <c r="H986" s="417"/>
      <c r="I986" s="417"/>
      <c r="J986" s="417"/>
      <c r="K986" s="417"/>
      <c r="L986" s="417"/>
      <c r="M986" s="415"/>
      <c r="N986" s="415"/>
      <c r="O986" s="415"/>
      <c r="P986" s="415"/>
      <c r="Q986" s="416"/>
      <c r="R986" s="416"/>
      <c r="S986" s="416"/>
      <c r="T986" s="416"/>
      <c r="U986" s="415"/>
      <c r="V986" s="415"/>
    </row>
    <row r="987" spans="1:22">
      <c r="A987" s="91"/>
      <c r="B987" s="244"/>
      <c r="C987" s="417"/>
      <c r="D987" s="417"/>
      <c r="E987" s="417"/>
      <c r="F987" s="417"/>
      <c r="G987" s="417"/>
      <c r="H987" s="417"/>
      <c r="I987" s="417"/>
      <c r="J987" s="417"/>
      <c r="K987" s="417"/>
      <c r="L987" s="417"/>
      <c r="M987" s="415"/>
      <c r="N987" s="415"/>
      <c r="O987" s="415"/>
      <c r="P987" s="415"/>
      <c r="Q987" s="416"/>
      <c r="R987" s="416"/>
      <c r="S987" s="416"/>
      <c r="T987" s="416"/>
      <c r="U987" s="415"/>
      <c r="V987" s="415"/>
    </row>
    <row r="988" spans="1:22">
      <c r="A988" s="91"/>
      <c r="B988" s="244"/>
      <c r="C988" s="417"/>
      <c r="D988" s="417"/>
      <c r="E988" s="417"/>
      <c r="F988" s="417"/>
      <c r="G988" s="417"/>
      <c r="H988" s="417"/>
      <c r="I988" s="417"/>
      <c r="J988" s="417"/>
      <c r="K988" s="417"/>
      <c r="L988" s="417"/>
      <c r="M988" s="415"/>
      <c r="N988" s="415"/>
      <c r="O988" s="415"/>
      <c r="P988" s="415"/>
      <c r="Q988" s="416"/>
      <c r="R988" s="416"/>
      <c r="S988" s="416"/>
      <c r="T988" s="416"/>
      <c r="U988" s="415"/>
      <c r="V988" s="415"/>
    </row>
    <row r="989" spans="1:22">
      <c r="A989" s="91"/>
      <c r="B989" s="244"/>
      <c r="C989" s="417"/>
      <c r="D989" s="417"/>
      <c r="E989" s="417"/>
      <c r="F989" s="417"/>
      <c r="G989" s="417"/>
      <c r="H989" s="417"/>
      <c r="I989" s="417"/>
      <c r="J989" s="417"/>
      <c r="K989" s="417"/>
      <c r="L989" s="417"/>
      <c r="M989" s="415"/>
      <c r="N989" s="415"/>
      <c r="O989" s="415"/>
      <c r="P989" s="415"/>
      <c r="Q989" s="416"/>
      <c r="R989" s="416"/>
      <c r="S989" s="416"/>
      <c r="T989" s="416"/>
      <c r="U989" s="415"/>
      <c r="V989" s="415"/>
    </row>
    <row r="990" spans="1:22">
      <c r="A990" s="91"/>
      <c r="B990" s="244"/>
      <c r="C990" s="417"/>
      <c r="D990" s="417"/>
      <c r="E990" s="417"/>
      <c r="F990" s="417"/>
      <c r="G990" s="417"/>
      <c r="H990" s="417"/>
      <c r="I990" s="417"/>
      <c r="J990" s="417"/>
      <c r="K990" s="417"/>
      <c r="L990" s="417"/>
      <c r="M990" s="415"/>
      <c r="N990" s="415"/>
      <c r="O990" s="415"/>
      <c r="P990" s="415"/>
      <c r="Q990" s="416"/>
      <c r="R990" s="416"/>
      <c r="S990" s="416"/>
      <c r="T990" s="416"/>
      <c r="U990" s="415"/>
      <c r="V990" s="415"/>
    </row>
    <row r="991" spans="1:22">
      <c r="A991" s="91"/>
      <c r="B991" s="244"/>
      <c r="C991" s="417"/>
      <c r="D991" s="417"/>
      <c r="E991" s="417"/>
      <c r="F991" s="417"/>
      <c r="G991" s="417"/>
      <c r="H991" s="417"/>
      <c r="I991" s="417"/>
      <c r="J991" s="417"/>
      <c r="K991" s="417"/>
      <c r="L991" s="417"/>
      <c r="M991" s="415"/>
      <c r="N991" s="415"/>
      <c r="O991" s="415"/>
      <c r="P991" s="415"/>
      <c r="Q991" s="416"/>
      <c r="R991" s="416"/>
      <c r="S991" s="416"/>
      <c r="T991" s="416"/>
      <c r="U991" s="415"/>
      <c r="V991" s="415"/>
    </row>
    <row r="992" spans="1:22">
      <c r="A992" s="91"/>
      <c r="B992" s="244"/>
      <c r="C992" s="417"/>
      <c r="D992" s="417"/>
      <c r="E992" s="417"/>
      <c r="F992" s="417"/>
      <c r="G992" s="417"/>
      <c r="H992" s="417"/>
      <c r="I992" s="417"/>
      <c r="J992" s="417"/>
      <c r="K992" s="417"/>
      <c r="L992" s="417"/>
      <c r="M992" s="415"/>
      <c r="N992" s="415"/>
      <c r="O992" s="415"/>
      <c r="P992" s="415"/>
      <c r="Q992" s="416"/>
      <c r="R992" s="416"/>
      <c r="S992" s="416"/>
      <c r="T992" s="416"/>
      <c r="U992" s="415"/>
      <c r="V992" s="415"/>
    </row>
    <row r="993" spans="1:22">
      <c r="A993" s="91"/>
      <c r="B993" s="244"/>
      <c r="C993" s="417"/>
      <c r="D993" s="417"/>
      <c r="E993" s="417"/>
      <c r="F993" s="417"/>
      <c r="G993" s="417"/>
      <c r="H993" s="417"/>
      <c r="I993" s="417"/>
      <c r="J993" s="417"/>
      <c r="K993" s="417"/>
      <c r="L993" s="417"/>
      <c r="M993" s="415"/>
      <c r="N993" s="415"/>
      <c r="O993" s="415"/>
      <c r="P993" s="415"/>
      <c r="Q993" s="416"/>
      <c r="R993" s="416"/>
      <c r="S993" s="416"/>
      <c r="T993" s="416"/>
      <c r="U993" s="415"/>
      <c r="V993" s="415"/>
    </row>
    <row r="994" spans="1:22">
      <c r="A994" s="91"/>
      <c r="B994" s="244"/>
      <c r="C994" s="417"/>
      <c r="D994" s="417"/>
      <c r="E994" s="417"/>
      <c r="F994" s="417"/>
      <c r="G994" s="417"/>
      <c r="H994" s="417"/>
      <c r="I994" s="417"/>
      <c r="J994" s="417"/>
      <c r="K994" s="417"/>
      <c r="L994" s="417"/>
      <c r="M994" s="415"/>
      <c r="N994" s="415"/>
      <c r="O994" s="415"/>
      <c r="P994" s="415"/>
      <c r="Q994" s="416"/>
      <c r="R994" s="416"/>
      <c r="S994" s="416"/>
      <c r="T994" s="416"/>
      <c r="U994" s="415"/>
      <c r="V994" s="415"/>
    </row>
    <row r="995" spans="1:22">
      <c r="A995" s="91"/>
      <c r="B995" s="244"/>
      <c r="C995" s="417"/>
      <c r="D995" s="417"/>
      <c r="E995" s="417"/>
      <c r="F995" s="417"/>
      <c r="G995" s="417"/>
      <c r="H995" s="417"/>
      <c r="I995" s="417"/>
      <c r="J995" s="417"/>
      <c r="K995" s="417"/>
      <c r="L995" s="417"/>
      <c r="M995" s="415"/>
      <c r="N995" s="415"/>
      <c r="O995" s="415"/>
      <c r="P995" s="415"/>
      <c r="Q995" s="416"/>
      <c r="R995" s="416"/>
      <c r="S995" s="416"/>
      <c r="T995" s="416"/>
      <c r="U995" s="415"/>
      <c r="V995" s="415"/>
    </row>
    <row r="996" spans="1:22">
      <c r="A996" s="91"/>
      <c r="B996" s="244"/>
      <c r="C996" s="417"/>
      <c r="D996" s="417"/>
      <c r="E996" s="417"/>
      <c r="F996" s="417"/>
      <c r="G996" s="417"/>
      <c r="H996" s="417"/>
      <c r="I996" s="417"/>
      <c r="J996" s="417"/>
      <c r="K996" s="417"/>
      <c r="L996" s="417"/>
      <c r="M996" s="415"/>
      <c r="N996" s="415"/>
      <c r="O996" s="415"/>
      <c r="P996" s="415"/>
      <c r="Q996" s="416"/>
      <c r="R996" s="416"/>
      <c r="S996" s="416"/>
      <c r="T996" s="416"/>
      <c r="U996" s="415"/>
      <c r="V996" s="415"/>
    </row>
    <row r="997" spans="1:22">
      <c r="A997" s="91"/>
      <c r="B997" s="244"/>
      <c r="C997" s="417"/>
      <c r="D997" s="417"/>
      <c r="E997" s="417"/>
      <c r="F997" s="417"/>
      <c r="G997" s="417"/>
      <c r="H997" s="417"/>
      <c r="I997" s="417"/>
      <c r="J997" s="417"/>
      <c r="K997" s="417"/>
      <c r="L997" s="417"/>
      <c r="M997" s="415"/>
      <c r="N997" s="415"/>
      <c r="O997" s="415"/>
      <c r="P997" s="415"/>
      <c r="Q997" s="416"/>
      <c r="R997" s="416"/>
      <c r="S997" s="416"/>
      <c r="T997" s="416"/>
      <c r="U997" s="415"/>
      <c r="V997" s="415"/>
    </row>
    <row r="998" spans="1:22">
      <c r="A998" s="91"/>
      <c r="B998" s="244"/>
      <c r="C998" s="417"/>
      <c r="D998" s="417"/>
      <c r="E998" s="417"/>
      <c r="F998" s="417"/>
      <c r="G998" s="417"/>
      <c r="H998" s="417"/>
      <c r="I998" s="417"/>
      <c r="J998" s="417"/>
      <c r="K998" s="417"/>
      <c r="L998" s="417"/>
      <c r="M998" s="415"/>
      <c r="N998" s="415"/>
      <c r="O998" s="415"/>
      <c r="P998" s="415"/>
      <c r="Q998" s="416"/>
      <c r="R998" s="416"/>
      <c r="S998" s="416"/>
      <c r="T998" s="416"/>
      <c r="U998" s="415"/>
      <c r="V998" s="415"/>
    </row>
    <row r="999" spans="1:22">
      <c r="A999" s="91"/>
      <c r="B999" s="244"/>
      <c r="C999" s="417"/>
      <c r="D999" s="417"/>
      <c r="E999" s="417"/>
      <c r="F999" s="417"/>
      <c r="G999" s="417"/>
      <c r="H999" s="417"/>
      <c r="I999" s="417"/>
      <c r="J999" s="417"/>
      <c r="K999" s="417"/>
      <c r="L999" s="417"/>
      <c r="M999" s="415"/>
      <c r="N999" s="415"/>
      <c r="O999" s="415"/>
      <c r="P999" s="415"/>
      <c r="Q999" s="416"/>
      <c r="R999" s="416"/>
      <c r="S999" s="416"/>
      <c r="T999" s="416"/>
      <c r="U999" s="415"/>
      <c r="V999" s="415"/>
    </row>
    <row r="1000" spans="1:22">
      <c r="A1000" s="91"/>
      <c r="B1000" s="244"/>
      <c r="C1000" s="417"/>
      <c r="D1000" s="417"/>
      <c r="E1000" s="417"/>
      <c r="F1000" s="417"/>
      <c r="G1000" s="417"/>
      <c r="H1000" s="417"/>
      <c r="I1000" s="417"/>
      <c r="J1000" s="417"/>
      <c r="K1000" s="417"/>
      <c r="L1000" s="417"/>
      <c r="M1000" s="415"/>
      <c r="N1000" s="415"/>
      <c r="O1000" s="415"/>
      <c r="P1000" s="415"/>
      <c r="Q1000" s="416"/>
      <c r="R1000" s="416"/>
      <c r="S1000" s="416"/>
      <c r="T1000" s="416"/>
      <c r="U1000" s="415"/>
      <c r="V1000" s="415"/>
    </row>
    <row r="1001" spans="1:22">
      <c r="A1001" s="91"/>
      <c r="B1001" s="244"/>
      <c r="C1001" s="417"/>
      <c r="D1001" s="417"/>
      <c r="E1001" s="417"/>
      <c r="F1001" s="417"/>
      <c r="G1001" s="417"/>
      <c r="H1001" s="417"/>
      <c r="I1001" s="417"/>
      <c r="J1001" s="417"/>
      <c r="K1001" s="417"/>
      <c r="L1001" s="417"/>
      <c r="M1001" s="415"/>
      <c r="N1001" s="415"/>
      <c r="O1001" s="415"/>
      <c r="P1001" s="415"/>
      <c r="Q1001" s="416"/>
      <c r="R1001" s="416"/>
      <c r="S1001" s="416"/>
      <c r="T1001" s="416"/>
      <c r="U1001" s="415"/>
      <c r="V1001" s="415"/>
    </row>
    <row r="1002" spans="1:22">
      <c r="A1002" s="91"/>
      <c r="B1002" s="244"/>
      <c r="C1002" s="417"/>
      <c r="D1002" s="417"/>
      <c r="E1002" s="417"/>
      <c r="F1002" s="417"/>
      <c r="G1002" s="417"/>
      <c r="H1002" s="417"/>
      <c r="I1002" s="417"/>
      <c r="J1002" s="417"/>
      <c r="K1002" s="417"/>
      <c r="L1002" s="417"/>
      <c r="M1002" s="415"/>
      <c r="N1002" s="415"/>
      <c r="O1002" s="415"/>
      <c r="P1002" s="415"/>
      <c r="Q1002" s="416"/>
      <c r="R1002" s="416"/>
      <c r="S1002" s="416"/>
      <c r="T1002" s="416"/>
      <c r="U1002" s="415"/>
      <c r="V1002" s="415"/>
    </row>
    <row r="1003" spans="1:22">
      <c r="A1003" s="91"/>
      <c r="B1003" s="244"/>
      <c r="C1003" s="417"/>
      <c r="D1003" s="417"/>
      <c r="E1003" s="417"/>
      <c r="F1003" s="417"/>
      <c r="G1003" s="417"/>
      <c r="H1003" s="417"/>
      <c r="I1003" s="417"/>
      <c r="J1003" s="417"/>
      <c r="K1003" s="417"/>
      <c r="L1003" s="417"/>
      <c r="M1003" s="415"/>
      <c r="N1003" s="415"/>
      <c r="O1003" s="415"/>
      <c r="P1003" s="415"/>
      <c r="Q1003" s="416"/>
      <c r="R1003" s="416"/>
      <c r="S1003" s="416"/>
      <c r="T1003" s="416"/>
      <c r="U1003" s="415"/>
      <c r="V1003" s="415"/>
    </row>
    <row r="1004" spans="1:22">
      <c r="A1004" s="91"/>
      <c r="B1004" s="244"/>
      <c r="C1004" s="417"/>
      <c r="D1004" s="417"/>
      <c r="E1004" s="417"/>
      <c r="F1004" s="417"/>
      <c r="G1004" s="417"/>
      <c r="H1004" s="417"/>
      <c r="I1004" s="417"/>
      <c r="J1004" s="417"/>
      <c r="K1004" s="417"/>
      <c r="L1004" s="417"/>
      <c r="M1004" s="415"/>
      <c r="N1004" s="415"/>
      <c r="O1004" s="415"/>
      <c r="P1004" s="415"/>
      <c r="Q1004" s="416"/>
      <c r="R1004" s="416"/>
      <c r="S1004" s="416"/>
      <c r="T1004" s="416"/>
      <c r="U1004" s="415"/>
      <c r="V1004" s="415"/>
    </row>
    <row r="1005" spans="1:22">
      <c r="A1005" s="91"/>
      <c r="B1005" s="244"/>
      <c r="C1005" s="417"/>
      <c r="D1005" s="417"/>
      <c r="E1005" s="417"/>
      <c r="F1005" s="417"/>
      <c r="G1005" s="417"/>
      <c r="H1005" s="417"/>
      <c r="I1005" s="417"/>
      <c r="J1005" s="417"/>
      <c r="K1005" s="417"/>
      <c r="L1005" s="417"/>
      <c r="M1005" s="415"/>
      <c r="N1005" s="415"/>
      <c r="O1005" s="415"/>
      <c r="P1005" s="415"/>
      <c r="Q1005" s="416"/>
      <c r="R1005" s="416"/>
      <c r="S1005" s="416"/>
      <c r="T1005" s="416"/>
      <c r="U1005" s="415"/>
      <c r="V1005" s="415"/>
    </row>
    <row r="1006" spans="1:22">
      <c r="A1006" s="91"/>
      <c r="B1006" s="244"/>
      <c r="C1006" s="417"/>
      <c r="D1006" s="417"/>
      <c r="E1006" s="417"/>
      <c r="F1006" s="417"/>
      <c r="G1006" s="417"/>
      <c r="H1006" s="417"/>
      <c r="I1006" s="417"/>
      <c r="J1006" s="417"/>
      <c r="K1006" s="417"/>
      <c r="L1006" s="417"/>
      <c r="M1006" s="415"/>
      <c r="N1006" s="415"/>
      <c r="O1006" s="415"/>
      <c r="P1006" s="415"/>
      <c r="Q1006" s="416"/>
      <c r="R1006" s="416"/>
      <c r="S1006" s="416"/>
      <c r="T1006" s="416"/>
      <c r="U1006" s="415"/>
      <c r="V1006" s="415"/>
    </row>
    <row r="1007" spans="1:22">
      <c r="A1007" s="91"/>
      <c r="B1007" s="244"/>
      <c r="C1007" s="417"/>
      <c r="D1007" s="417"/>
      <c r="E1007" s="417"/>
      <c r="F1007" s="417"/>
      <c r="G1007" s="417"/>
      <c r="H1007" s="417"/>
      <c r="I1007" s="417"/>
      <c r="J1007" s="417"/>
      <c r="K1007" s="417"/>
      <c r="L1007" s="417"/>
      <c r="M1007" s="415"/>
      <c r="N1007" s="415"/>
      <c r="O1007" s="415"/>
      <c r="P1007" s="415"/>
      <c r="Q1007" s="416"/>
      <c r="R1007" s="416"/>
      <c r="S1007" s="416"/>
      <c r="T1007" s="416"/>
      <c r="U1007" s="415"/>
      <c r="V1007" s="415"/>
    </row>
    <row r="1008" spans="1:22">
      <c r="A1008" s="91"/>
      <c r="B1008" s="244"/>
      <c r="C1008" s="417"/>
      <c r="D1008" s="417"/>
      <c r="E1008" s="417"/>
      <c r="F1008" s="417"/>
      <c r="G1008" s="417"/>
      <c r="H1008" s="417"/>
      <c r="I1008" s="417"/>
      <c r="J1008" s="417"/>
      <c r="K1008" s="417"/>
      <c r="L1008" s="417"/>
      <c r="M1008" s="415"/>
      <c r="N1008" s="415"/>
      <c r="O1008" s="415"/>
      <c r="P1008" s="415"/>
      <c r="Q1008" s="416"/>
      <c r="R1008" s="416"/>
      <c r="S1008" s="416"/>
      <c r="T1008" s="416"/>
      <c r="U1008" s="415"/>
      <c r="V1008" s="415"/>
    </row>
    <row r="1009" spans="1:22">
      <c r="A1009" s="91"/>
      <c r="B1009" s="244"/>
      <c r="C1009" s="417"/>
      <c r="D1009" s="417"/>
      <c r="E1009" s="417"/>
      <c r="F1009" s="417"/>
      <c r="G1009" s="417"/>
      <c r="H1009" s="417"/>
      <c r="I1009" s="417"/>
      <c r="J1009" s="417"/>
      <c r="K1009" s="417"/>
      <c r="L1009" s="417"/>
      <c r="M1009" s="415"/>
      <c r="N1009" s="415"/>
      <c r="O1009" s="415"/>
      <c r="P1009" s="415"/>
      <c r="Q1009" s="416"/>
      <c r="R1009" s="416"/>
      <c r="S1009" s="416"/>
      <c r="T1009" s="416"/>
      <c r="U1009" s="415"/>
      <c r="V1009" s="415"/>
    </row>
    <row r="1010" spans="1:22">
      <c r="A1010" s="91"/>
      <c r="B1010" s="244"/>
      <c r="C1010" s="417"/>
      <c r="D1010" s="417"/>
      <c r="E1010" s="417"/>
      <c r="F1010" s="417"/>
      <c r="G1010" s="417"/>
      <c r="H1010" s="417"/>
      <c r="I1010" s="417"/>
      <c r="J1010" s="417"/>
      <c r="K1010" s="417"/>
      <c r="L1010" s="417"/>
      <c r="M1010" s="415"/>
      <c r="N1010" s="415"/>
      <c r="O1010" s="415"/>
      <c r="P1010" s="415"/>
      <c r="Q1010" s="416"/>
      <c r="R1010" s="416"/>
      <c r="S1010" s="416"/>
      <c r="T1010" s="416"/>
      <c r="U1010" s="415"/>
      <c r="V1010" s="415"/>
    </row>
    <row r="1011" spans="1:22">
      <c r="A1011" s="91"/>
      <c r="B1011" s="244"/>
      <c r="C1011" s="417"/>
      <c r="D1011" s="417"/>
      <c r="E1011" s="417"/>
      <c r="F1011" s="417"/>
      <c r="G1011" s="417"/>
      <c r="H1011" s="417"/>
      <c r="I1011" s="417"/>
      <c r="J1011" s="417"/>
      <c r="K1011" s="417"/>
      <c r="L1011" s="417"/>
      <c r="M1011" s="415"/>
      <c r="N1011" s="415"/>
      <c r="O1011" s="415"/>
      <c r="P1011" s="415"/>
      <c r="Q1011" s="416"/>
      <c r="R1011" s="416"/>
      <c r="S1011" s="416"/>
      <c r="T1011" s="416"/>
      <c r="U1011" s="415"/>
      <c r="V1011" s="415"/>
    </row>
    <row r="1012" spans="1:22">
      <c r="A1012" s="91"/>
      <c r="B1012" s="244"/>
      <c r="C1012" s="417"/>
      <c r="D1012" s="417"/>
      <c r="E1012" s="417"/>
      <c r="F1012" s="417"/>
      <c r="G1012" s="417"/>
      <c r="H1012" s="417"/>
      <c r="I1012" s="417"/>
      <c r="J1012" s="417"/>
      <c r="K1012" s="417"/>
      <c r="L1012" s="417"/>
      <c r="M1012" s="415"/>
      <c r="N1012" s="415"/>
      <c r="O1012" s="415"/>
      <c r="P1012" s="415"/>
      <c r="Q1012" s="416"/>
      <c r="R1012" s="416"/>
      <c r="S1012" s="416"/>
      <c r="T1012" s="416"/>
      <c r="U1012" s="415"/>
      <c r="V1012" s="415"/>
    </row>
    <row r="1013" spans="1:22">
      <c r="A1013" s="91"/>
      <c r="B1013" s="244"/>
      <c r="C1013" s="417"/>
      <c r="D1013" s="417"/>
      <c r="E1013" s="417"/>
      <c r="F1013" s="417"/>
      <c r="G1013" s="417"/>
      <c r="H1013" s="417"/>
      <c r="I1013" s="417"/>
      <c r="J1013" s="417"/>
      <c r="K1013" s="417"/>
      <c r="L1013" s="417"/>
      <c r="M1013" s="415"/>
      <c r="N1013" s="415"/>
      <c r="O1013" s="415"/>
      <c r="P1013" s="415"/>
      <c r="Q1013" s="416"/>
      <c r="R1013" s="416"/>
      <c r="S1013" s="416"/>
      <c r="T1013" s="416"/>
      <c r="U1013" s="415"/>
      <c r="V1013" s="415"/>
    </row>
    <row r="1014" spans="1:22">
      <c r="A1014" s="91"/>
      <c r="B1014" s="244"/>
      <c r="C1014" s="417"/>
      <c r="D1014" s="417"/>
      <c r="E1014" s="417"/>
      <c r="F1014" s="417"/>
      <c r="G1014" s="417"/>
      <c r="H1014" s="417"/>
      <c r="I1014" s="417"/>
      <c r="J1014" s="417"/>
      <c r="K1014" s="417"/>
      <c r="L1014" s="417"/>
      <c r="M1014" s="415"/>
      <c r="N1014" s="415"/>
      <c r="O1014" s="415"/>
      <c r="P1014" s="415"/>
      <c r="Q1014" s="416"/>
      <c r="R1014" s="416"/>
      <c r="S1014" s="416"/>
      <c r="T1014" s="416"/>
      <c r="U1014" s="415"/>
      <c r="V1014" s="415"/>
    </row>
    <row r="1015" spans="1:22">
      <c r="A1015" s="91"/>
      <c r="B1015" s="244"/>
      <c r="C1015" s="417"/>
      <c r="D1015" s="417"/>
      <c r="E1015" s="417"/>
      <c r="F1015" s="417"/>
      <c r="G1015" s="417"/>
      <c r="H1015" s="417"/>
      <c r="I1015" s="417"/>
      <c r="J1015" s="417"/>
      <c r="K1015" s="417"/>
      <c r="L1015" s="417"/>
      <c r="M1015" s="415"/>
      <c r="N1015" s="415"/>
      <c r="O1015" s="415"/>
      <c r="P1015" s="415"/>
      <c r="Q1015" s="416"/>
      <c r="R1015" s="416"/>
      <c r="S1015" s="416"/>
      <c r="T1015" s="416"/>
      <c r="U1015" s="415"/>
      <c r="V1015" s="415"/>
    </row>
    <row r="1016" spans="1:22">
      <c r="A1016" s="91"/>
      <c r="B1016" s="244"/>
      <c r="C1016" s="417"/>
      <c r="D1016" s="417"/>
      <c r="E1016" s="417"/>
      <c r="F1016" s="417"/>
      <c r="G1016" s="417"/>
      <c r="H1016" s="417"/>
      <c r="I1016" s="417"/>
      <c r="J1016" s="417"/>
      <c r="K1016" s="417"/>
      <c r="L1016" s="417"/>
      <c r="M1016" s="415"/>
      <c r="N1016" s="415"/>
      <c r="O1016" s="415"/>
      <c r="P1016" s="415"/>
      <c r="Q1016" s="416"/>
      <c r="R1016" s="416"/>
      <c r="S1016" s="416"/>
      <c r="T1016" s="416"/>
      <c r="U1016" s="415"/>
      <c r="V1016" s="415"/>
    </row>
    <row r="1017" spans="1:22">
      <c r="A1017" s="91"/>
      <c r="B1017" s="244"/>
      <c r="C1017" s="417"/>
      <c r="D1017" s="417"/>
      <c r="E1017" s="417"/>
      <c r="F1017" s="417"/>
      <c r="G1017" s="417"/>
      <c r="H1017" s="417"/>
      <c r="I1017" s="417"/>
      <c r="J1017" s="417"/>
      <c r="K1017" s="417"/>
      <c r="L1017" s="417"/>
      <c r="M1017" s="415"/>
      <c r="N1017" s="415"/>
      <c r="O1017" s="415"/>
      <c r="P1017" s="415"/>
      <c r="Q1017" s="416"/>
      <c r="R1017" s="416"/>
      <c r="S1017" s="416"/>
      <c r="T1017" s="416"/>
      <c r="U1017" s="415"/>
      <c r="V1017" s="415"/>
    </row>
    <row r="1018" spans="1:22">
      <c r="A1018" s="91"/>
      <c r="B1018" s="244"/>
      <c r="C1018" s="417"/>
      <c r="D1018" s="417"/>
      <c r="E1018" s="417"/>
      <c r="F1018" s="417"/>
      <c r="G1018" s="417"/>
      <c r="H1018" s="417"/>
      <c r="I1018" s="417"/>
      <c r="J1018" s="417"/>
      <c r="K1018" s="417"/>
      <c r="L1018" s="417"/>
      <c r="M1018" s="415"/>
      <c r="N1018" s="415"/>
      <c r="O1018" s="415"/>
      <c r="P1018" s="415"/>
      <c r="Q1018" s="416"/>
      <c r="R1018" s="416"/>
      <c r="S1018" s="416"/>
      <c r="T1018" s="416"/>
      <c r="U1018" s="415"/>
      <c r="V1018" s="415"/>
    </row>
    <row r="1019" spans="1:22">
      <c r="A1019" s="91"/>
      <c r="B1019" s="244"/>
      <c r="C1019" s="417"/>
      <c r="D1019" s="417"/>
      <c r="E1019" s="417"/>
      <c r="F1019" s="417"/>
      <c r="G1019" s="417"/>
      <c r="H1019" s="417"/>
      <c r="I1019" s="417"/>
      <c r="J1019" s="417"/>
      <c r="K1019" s="417"/>
      <c r="L1019" s="417"/>
      <c r="M1019" s="415"/>
      <c r="N1019" s="415"/>
      <c r="O1019" s="415"/>
      <c r="P1019" s="415"/>
      <c r="Q1019" s="416"/>
      <c r="R1019" s="416"/>
      <c r="S1019" s="416"/>
      <c r="T1019" s="416"/>
      <c r="U1019" s="415"/>
      <c r="V1019" s="415"/>
    </row>
    <row r="1020" spans="1:22">
      <c r="A1020" s="91"/>
      <c r="B1020" s="244"/>
      <c r="C1020" s="417"/>
      <c r="D1020" s="417"/>
      <c r="E1020" s="417"/>
      <c r="F1020" s="417"/>
      <c r="G1020" s="417"/>
      <c r="H1020" s="417"/>
      <c r="I1020" s="417"/>
      <c r="J1020" s="417"/>
      <c r="K1020" s="417"/>
      <c r="L1020" s="417"/>
      <c r="M1020" s="415"/>
      <c r="N1020" s="415"/>
      <c r="O1020" s="415"/>
      <c r="P1020" s="415"/>
      <c r="Q1020" s="416"/>
      <c r="R1020" s="416"/>
      <c r="S1020" s="416"/>
      <c r="T1020" s="416"/>
      <c r="U1020" s="415"/>
      <c r="V1020" s="415"/>
    </row>
    <row r="1021" spans="1:22">
      <c r="A1021" s="91"/>
      <c r="B1021" s="244"/>
      <c r="C1021" s="417"/>
      <c r="D1021" s="417"/>
      <c r="E1021" s="417"/>
      <c r="F1021" s="417"/>
      <c r="G1021" s="417"/>
      <c r="H1021" s="417"/>
      <c r="I1021" s="417"/>
      <c r="J1021" s="417"/>
      <c r="K1021" s="417"/>
      <c r="L1021" s="417"/>
      <c r="M1021" s="415"/>
      <c r="N1021" s="415"/>
      <c r="O1021" s="415"/>
      <c r="P1021" s="415"/>
      <c r="Q1021" s="416"/>
      <c r="R1021" s="416"/>
      <c r="S1021" s="416"/>
      <c r="T1021" s="416"/>
      <c r="U1021" s="415"/>
      <c r="V1021" s="415"/>
    </row>
    <row r="1022" spans="1:22">
      <c r="A1022" s="91"/>
      <c r="B1022" s="244"/>
      <c r="C1022" s="417"/>
      <c r="D1022" s="417"/>
      <c r="E1022" s="417"/>
      <c r="F1022" s="417"/>
      <c r="G1022" s="417"/>
      <c r="H1022" s="417"/>
      <c r="I1022" s="417"/>
      <c r="J1022" s="417"/>
      <c r="K1022" s="417"/>
      <c r="L1022" s="417"/>
      <c r="M1022" s="415"/>
      <c r="N1022" s="415"/>
      <c r="O1022" s="415"/>
      <c r="P1022" s="415"/>
      <c r="Q1022" s="416"/>
      <c r="R1022" s="416"/>
      <c r="S1022" s="416"/>
      <c r="T1022" s="416"/>
      <c r="U1022" s="415"/>
      <c r="V1022" s="415"/>
    </row>
    <row r="1023" spans="1:22">
      <c r="A1023" s="91"/>
      <c r="B1023" s="244"/>
      <c r="C1023" s="417"/>
      <c r="D1023" s="417"/>
      <c r="E1023" s="417"/>
      <c r="F1023" s="417"/>
      <c r="G1023" s="417"/>
      <c r="H1023" s="417"/>
      <c r="I1023" s="417"/>
      <c r="J1023" s="417"/>
      <c r="K1023" s="417"/>
      <c r="L1023" s="417"/>
      <c r="M1023" s="415"/>
      <c r="N1023" s="415"/>
      <c r="O1023" s="415"/>
      <c r="P1023" s="415"/>
      <c r="Q1023" s="416"/>
      <c r="R1023" s="416"/>
      <c r="S1023" s="416"/>
      <c r="T1023" s="416"/>
      <c r="U1023" s="415"/>
      <c r="V1023" s="415"/>
    </row>
    <row r="1024" spans="1:22">
      <c r="A1024" s="91"/>
      <c r="B1024" s="244"/>
      <c r="C1024" s="417"/>
      <c r="D1024" s="417"/>
      <c r="E1024" s="417"/>
      <c r="F1024" s="417"/>
      <c r="G1024" s="417"/>
      <c r="H1024" s="417"/>
      <c r="I1024" s="417"/>
      <c r="J1024" s="417"/>
      <c r="K1024" s="417"/>
      <c r="L1024" s="417"/>
      <c r="M1024" s="415"/>
      <c r="N1024" s="415"/>
      <c r="O1024" s="415"/>
      <c r="P1024" s="415"/>
      <c r="Q1024" s="416"/>
      <c r="R1024" s="416"/>
      <c r="S1024" s="416"/>
      <c r="T1024" s="416"/>
      <c r="U1024" s="415"/>
      <c r="V1024" s="415"/>
    </row>
    <row r="1025" spans="1:22">
      <c r="A1025" s="91"/>
      <c r="B1025" s="244"/>
      <c r="C1025" s="417"/>
      <c r="D1025" s="417"/>
      <c r="E1025" s="417"/>
      <c r="F1025" s="417"/>
      <c r="G1025" s="417"/>
      <c r="H1025" s="417"/>
      <c r="I1025" s="417"/>
      <c r="J1025" s="417"/>
      <c r="K1025" s="417"/>
      <c r="L1025" s="417"/>
      <c r="M1025" s="415"/>
      <c r="N1025" s="415"/>
      <c r="O1025" s="415"/>
      <c r="P1025" s="415"/>
      <c r="Q1025" s="416"/>
      <c r="R1025" s="416"/>
      <c r="S1025" s="416"/>
      <c r="T1025" s="416"/>
      <c r="U1025" s="415"/>
      <c r="V1025" s="415"/>
    </row>
    <row r="1026" spans="1:22">
      <c r="A1026" s="91"/>
      <c r="B1026" s="244"/>
      <c r="C1026" s="417"/>
      <c r="D1026" s="417"/>
      <c r="E1026" s="417"/>
      <c r="F1026" s="417"/>
      <c r="G1026" s="417"/>
      <c r="H1026" s="417"/>
      <c r="I1026" s="417"/>
      <c r="J1026" s="417"/>
      <c r="K1026" s="417"/>
      <c r="L1026" s="417"/>
      <c r="M1026" s="415"/>
      <c r="N1026" s="415"/>
      <c r="O1026" s="415"/>
      <c r="P1026" s="415"/>
      <c r="Q1026" s="416"/>
      <c r="R1026" s="416"/>
      <c r="S1026" s="416"/>
      <c r="T1026" s="416"/>
      <c r="U1026" s="415"/>
      <c r="V1026" s="415"/>
    </row>
    <row r="1027" spans="1:22">
      <c r="A1027" s="91"/>
      <c r="B1027" s="244"/>
      <c r="C1027" s="417"/>
      <c r="D1027" s="417"/>
      <c r="E1027" s="417"/>
      <c r="F1027" s="417"/>
      <c r="G1027" s="417"/>
      <c r="H1027" s="417"/>
      <c r="I1027" s="417"/>
      <c r="J1027" s="417"/>
      <c r="K1027" s="417"/>
      <c r="L1027" s="417"/>
      <c r="M1027" s="415"/>
      <c r="N1027" s="415"/>
      <c r="O1027" s="415"/>
      <c r="P1027" s="415"/>
      <c r="Q1027" s="416"/>
      <c r="R1027" s="416"/>
      <c r="S1027" s="416"/>
      <c r="T1027" s="416"/>
      <c r="U1027" s="415"/>
      <c r="V1027" s="415"/>
    </row>
    <row r="1028" spans="1:22">
      <c r="A1028" s="91"/>
      <c r="B1028" s="244"/>
      <c r="C1028" s="417"/>
      <c r="D1028" s="417"/>
      <c r="E1028" s="417"/>
      <c r="F1028" s="417"/>
      <c r="G1028" s="417"/>
      <c r="H1028" s="417"/>
      <c r="I1028" s="417"/>
      <c r="J1028" s="417"/>
      <c r="K1028" s="417"/>
      <c r="L1028" s="417"/>
      <c r="M1028" s="415"/>
      <c r="N1028" s="415"/>
      <c r="O1028" s="415"/>
      <c r="P1028" s="415"/>
      <c r="Q1028" s="416"/>
      <c r="R1028" s="416"/>
      <c r="S1028" s="416"/>
      <c r="T1028" s="416"/>
      <c r="U1028" s="415"/>
      <c r="V1028" s="415"/>
    </row>
    <row r="1029" spans="1:22">
      <c r="A1029" s="91"/>
      <c r="B1029" s="244"/>
      <c r="C1029" s="417"/>
      <c r="D1029" s="417"/>
      <c r="E1029" s="417"/>
      <c r="F1029" s="417"/>
      <c r="G1029" s="417"/>
      <c r="H1029" s="417"/>
      <c r="I1029" s="417"/>
      <c r="J1029" s="417"/>
      <c r="K1029" s="417"/>
      <c r="L1029" s="417"/>
      <c r="M1029" s="415"/>
      <c r="N1029" s="415"/>
      <c r="O1029" s="415"/>
      <c r="P1029" s="415"/>
      <c r="Q1029" s="416"/>
      <c r="R1029" s="416"/>
      <c r="S1029" s="416"/>
      <c r="T1029" s="416"/>
      <c r="U1029" s="415"/>
      <c r="V1029" s="415"/>
    </row>
    <row r="1030" spans="1:22">
      <c r="A1030" s="91"/>
      <c r="B1030" s="244"/>
      <c r="C1030" s="417"/>
      <c r="D1030" s="417"/>
      <c r="E1030" s="417"/>
      <c r="F1030" s="417"/>
      <c r="G1030" s="417"/>
      <c r="H1030" s="417"/>
      <c r="I1030" s="417"/>
      <c r="J1030" s="417"/>
      <c r="K1030" s="417"/>
      <c r="L1030" s="417"/>
      <c r="M1030" s="415"/>
      <c r="N1030" s="415"/>
      <c r="O1030" s="415"/>
      <c r="P1030" s="415"/>
      <c r="Q1030" s="416"/>
      <c r="R1030" s="416"/>
      <c r="S1030" s="416"/>
      <c r="T1030" s="416"/>
      <c r="U1030" s="415"/>
      <c r="V1030" s="415"/>
    </row>
    <row r="1031" spans="1:22">
      <c r="A1031" s="91"/>
      <c r="B1031" s="244"/>
      <c r="C1031" s="417"/>
      <c r="D1031" s="417"/>
      <c r="E1031" s="417"/>
      <c r="F1031" s="417"/>
      <c r="G1031" s="417"/>
      <c r="H1031" s="417"/>
      <c r="I1031" s="417"/>
      <c r="J1031" s="417"/>
      <c r="K1031" s="417"/>
      <c r="L1031" s="417"/>
      <c r="M1031" s="415"/>
      <c r="N1031" s="415"/>
      <c r="O1031" s="415"/>
      <c r="P1031" s="415"/>
      <c r="Q1031" s="416"/>
      <c r="R1031" s="416"/>
      <c r="S1031" s="416"/>
      <c r="T1031" s="416"/>
      <c r="U1031" s="415"/>
      <c r="V1031" s="415"/>
    </row>
    <row r="1032" spans="1:22">
      <c r="A1032" s="91"/>
      <c r="B1032" s="244"/>
      <c r="C1032" s="417"/>
      <c r="D1032" s="417"/>
      <c r="E1032" s="417"/>
      <c r="F1032" s="417"/>
      <c r="G1032" s="417"/>
      <c r="H1032" s="417"/>
      <c r="I1032" s="417"/>
      <c r="J1032" s="417"/>
      <c r="K1032" s="417"/>
      <c r="L1032" s="417"/>
      <c r="M1032" s="415"/>
      <c r="N1032" s="415"/>
      <c r="O1032" s="415"/>
      <c r="P1032" s="415"/>
      <c r="Q1032" s="416"/>
      <c r="R1032" s="416"/>
      <c r="S1032" s="416"/>
      <c r="T1032" s="416"/>
      <c r="U1032" s="415"/>
      <c r="V1032" s="415"/>
    </row>
    <row r="1033" spans="1:22">
      <c r="A1033" s="91"/>
      <c r="B1033" s="244"/>
      <c r="C1033" s="417"/>
      <c r="D1033" s="417"/>
      <c r="E1033" s="417"/>
      <c r="F1033" s="417"/>
      <c r="G1033" s="417"/>
      <c r="H1033" s="417"/>
      <c r="I1033" s="417"/>
      <c r="J1033" s="417"/>
      <c r="K1033" s="417"/>
      <c r="L1033" s="417"/>
      <c r="M1033" s="415"/>
      <c r="N1033" s="415"/>
      <c r="O1033" s="415"/>
      <c r="P1033" s="415"/>
      <c r="Q1033" s="416"/>
      <c r="R1033" s="416"/>
      <c r="S1033" s="416"/>
      <c r="T1033" s="416"/>
      <c r="U1033" s="415"/>
      <c r="V1033" s="415"/>
    </row>
    <row r="1034" spans="1:22">
      <c r="A1034" s="91"/>
      <c r="B1034" s="244"/>
      <c r="C1034" s="417"/>
      <c r="D1034" s="417"/>
      <c r="E1034" s="417"/>
      <c r="F1034" s="417"/>
      <c r="G1034" s="417"/>
      <c r="H1034" s="417"/>
      <c r="I1034" s="417"/>
      <c r="J1034" s="417"/>
      <c r="K1034" s="417"/>
      <c r="L1034" s="417"/>
      <c r="M1034" s="415"/>
      <c r="N1034" s="415"/>
      <c r="O1034" s="415"/>
      <c r="P1034" s="415"/>
      <c r="Q1034" s="416"/>
      <c r="R1034" s="416"/>
      <c r="S1034" s="416"/>
      <c r="T1034" s="416"/>
      <c r="U1034" s="415"/>
      <c r="V1034" s="415"/>
    </row>
    <row r="1035" spans="1:22">
      <c r="A1035" s="91"/>
      <c r="B1035" s="244"/>
      <c r="C1035" s="417"/>
      <c r="D1035" s="417"/>
      <c r="E1035" s="417"/>
      <c r="F1035" s="417"/>
      <c r="G1035" s="417"/>
      <c r="H1035" s="417"/>
      <c r="I1035" s="417"/>
      <c r="J1035" s="417"/>
      <c r="K1035" s="417"/>
      <c r="L1035" s="417"/>
      <c r="M1035" s="415"/>
      <c r="N1035" s="415"/>
      <c r="O1035" s="415"/>
      <c r="P1035" s="415"/>
      <c r="Q1035" s="416"/>
      <c r="R1035" s="416"/>
      <c r="S1035" s="416"/>
      <c r="T1035" s="416"/>
      <c r="U1035" s="415"/>
      <c r="V1035" s="415"/>
    </row>
    <row r="1036" spans="1:22">
      <c r="A1036" s="91"/>
      <c r="B1036" s="244"/>
      <c r="C1036" s="417"/>
      <c r="D1036" s="417"/>
      <c r="E1036" s="417"/>
      <c r="F1036" s="417"/>
      <c r="G1036" s="417"/>
      <c r="H1036" s="417"/>
      <c r="I1036" s="417"/>
      <c r="J1036" s="417"/>
      <c r="K1036" s="417"/>
      <c r="L1036" s="417"/>
      <c r="M1036" s="415"/>
      <c r="N1036" s="415"/>
      <c r="O1036" s="415"/>
      <c r="P1036" s="415"/>
      <c r="Q1036" s="416"/>
      <c r="R1036" s="416"/>
      <c r="S1036" s="416"/>
      <c r="T1036" s="416"/>
      <c r="U1036" s="415"/>
      <c r="V1036" s="415"/>
    </row>
    <row r="1037" spans="1:22">
      <c r="A1037" s="91"/>
      <c r="B1037" s="244"/>
      <c r="C1037" s="417"/>
      <c r="D1037" s="417"/>
      <c r="E1037" s="417"/>
      <c r="F1037" s="417"/>
      <c r="G1037" s="417"/>
      <c r="H1037" s="417"/>
      <c r="I1037" s="417"/>
      <c r="J1037" s="417"/>
      <c r="K1037" s="417"/>
      <c r="L1037" s="417"/>
      <c r="M1037" s="415"/>
      <c r="N1037" s="415"/>
      <c r="O1037" s="415"/>
      <c r="P1037" s="415"/>
      <c r="Q1037" s="416"/>
      <c r="R1037" s="416"/>
      <c r="S1037" s="416"/>
      <c r="T1037" s="416"/>
      <c r="U1037" s="415"/>
      <c r="V1037" s="415"/>
    </row>
    <row r="1038" spans="1:22">
      <c r="A1038" s="91"/>
      <c r="B1038" s="244"/>
      <c r="C1038" s="417"/>
      <c r="D1038" s="417"/>
      <c r="E1038" s="417"/>
      <c r="F1038" s="417"/>
      <c r="G1038" s="417"/>
      <c r="H1038" s="417"/>
      <c r="I1038" s="417"/>
      <c r="J1038" s="417"/>
      <c r="K1038" s="417"/>
      <c r="L1038" s="417"/>
      <c r="M1038" s="415"/>
      <c r="N1038" s="415"/>
      <c r="O1038" s="415"/>
      <c r="P1038" s="415"/>
      <c r="Q1038" s="416"/>
      <c r="R1038" s="416"/>
      <c r="S1038" s="416"/>
      <c r="T1038" s="416"/>
      <c r="U1038" s="415"/>
      <c r="V1038" s="415"/>
    </row>
    <row r="1039" spans="1:22">
      <c r="A1039" s="91"/>
      <c r="B1039" s="244"/>
      <c r="C1039" s="417"/>
      <c r="D1039" s="417"/>
      <c r="E1039" s="417"/>
      <c r="F1039" s="417"/>
      <c r="G1039" s="417"/>
      <c r="H1039" s="417"/>
      <c r="I1039" s="417"/>
      <c r="J1039" s="417"/>
      <c r="K1039" s="417"/>
      <c r="L1039" s="417"/>
      <c r="M1039" s="415"/>
      <c r="N1039" s="415"/>
      <c r="O1039" s="415"/>
      <c r="P1039" s="415"/>
      <c r="Q1039" s="416"/>
      <c r="R1039" s="416"/>
      <c r="S1039" s="416"/>
      <c r="T1039" s="416"/>
      <c r="U1039" s="415"/>
      <c r="V1039" s="415"/>
    </row>
    <row r="1040" spans="1:22">
      <c r="A1040" s="91"/>
      <c r="B1040" s="244"/>
      <c r="C1040" s="417"/>
      <c r="D1040" s="417"/>
      <c r="E1040" s="417"/>
      <c r="F1040" s="417"/>
      <c r="G1040" s="417"/>
      <c r="H1040" s="417"/>
      <c r="I1040" s="417"/>
      <c r="J1040" s="417"/>
      <c r="K1040" s="417"/>
      <c r="L1040" s="417"/>
      <c r="M1040" s="415"/>
      <c r="N1040" s="415"/>
      <c r="O1040" s="415"/>
      <c r="P1040" s="415"/>
      <c r="Q1040" s="416"/>
      <c r="R1040" s="416"/>
      <c r="S1040" s="416"/>
      <c r="T1040" s="416"/>
      <c r="U1040" s="415"/>
      <c r="V1040" s="415"/>
    </row>
    <row r="1041" spans="1:22">
      <c r="A1041" s="91"/>
      <c r="B1041" s="244"/>
      <c r="C1041" s="417"/>
      <c r="D1041" s="417"/>
      <c r="E1041" s="417"/>
      <c r="F1041" s="417"/>
      <c r="G1041" s="417"/>
      <c r="H1041" s="417"/>
      <c r="I1041" s="417"/>
      <c r="J1041" s="417"/>
      <c r="K1041" s="417"/>
      <c r="L1041" s="417"/>
      <c r="M1041" s="415"/>
      <c r="N1041" s="415"/>
      <c r="O1041" s="415"/>
      <c r="P1041" s="415"/>
      <c r="Q1041" s="416"/>
      <c r="R1041" s="416"/>
      <c r="S1041" s="416"/>
      <c r="T1041" s="416"/>
      <c r="U1041" s="415"/>
      <c r="V1041" s="415"/>
    </row>
    <row r="1042" spans="1:22">
      <c r="A1042" s="91"/>
      <c r="B1042" s="244"/>
      <c r="C1042" s="417"/>
      <c r="D1042" s="417"/>
      <c r="E1042" s="417"/>
      <c r="F1042" s="417"/>
      <c r="G1042" s="417"/>
      <c r="H1042" s="417"/>
      <c r="I1042" s="417"/>
      <c r="J1042" s="417"/>
      <c r="K1042" s="417"/>
      <c r="L1042" s="417"/>
      <c r="M1042" s="415"/>
      <c r="N1042" s="415"/>
      <c r="O1042" s="415"/>
      <c r="P1042" s="415"/>
      <c r="Q1042" s="416"/>
      <c r="R1042" s="416"/>
      <c r="S1042" s="416"/>
      <c r="T1042" s="416"/>
      <c r="U1042" s="415"/>
      <c r="V1042" s="415"/>
    </row>
    <row r="1043" spans="1:22">
      <c r="A1043" s="91"/>
      <c r="B1043" s="244"/>
      <c r="C1043" s="417"/>
      <c r="D1043" s="417"/>
      <c r="E1043" s="417"/>
      <c r="F1043" s="417"/>
      <c r="G1043" s="417"/>
      <c r="H1043" s="417"/>
      <c r="I1043" s="417"/>
      <c r="J1043" s="417"/>
      <c r="K1043" s="417"/>
      <c r="L1043" s="417"/>
      <c r="M1043" s="415"/>
      <c r="N1043" s="415"/>
      <c r="O1043" s="415"/>
      <c r="P1043" s="415"/>
      <c r="Q1043" s="416"/>
      <c r="R1043" s="416"/>
      <c r="S1043" s="416"/>
      <c r="T1043" s="416"/>
      <c r="U1043" s="415"/>
      <c r="V1043" s="415"/>
    </row>
    <row r="1044" spans="1:22">
      <c r="A1044" s="91"/>
      <c r="B1044" s="244"/>
      <c r="C1044" s="417"/>
      <c r="D1044" s="417"/>
      <c r="E1044" s="417"/>
      <c r="F1044" s="417"/>
      <c r="G1044" s="417"/>
      <c r="H1044" s="417"/>
      <c r="I1044" s="417"/>
      <c r="J1044" s="417"/>
      <c r="K1044" s="417"/>
      <c r="L1044" s="417"/>
      <c r="M1044" s="415"/>
      <c r="N1044" s="415"/>
      <c r="O1044" s="415"/>
      <c r="P1044" s="415"/>
      <c r="Q1044" s="416"/>
      <c r="R1044" s="416"/>
      <c r="S1044" s="416"/>
      <c r="T1044" s="416"/>
      <c r="U1044" s="415"/>
      <c r="V1044" s="415"/>
    </row>
    <row r="1045" spans="1:22">
      <c r="A1045" s="91"/>
      <c r="B1045" s="244"/>
      <c r="C1045" s="417"/>
      <c r="D1045" s="417"/>
      <c r="E1045" s="417"/>
      <c r="F1045" s="417"/>
      <c r="G1045" s="417"/>
      <c r="H1045" s="417"/>
      <c r="I1045" s="417"/>
      <c r="J1045" s="417"/>
      <c r="K1045" s="417"/>
      <c r="L1045" s="417"/>
      <c r="M1045" s="415"/>
      <c r="N1045" s="415"/>
      <c r="O1045" s="415"/>
      <c r="P1045" s="415"/>
      <c r="Q1045" s="416"/>
      <c r="R1045" s="416"/>
      <c r="S1045" s="416"/>
      <c r="T1045" s="416"/>
      <c r="U1045" s="415"/>
      <c r="V1045" s="415"/>
    </row>
    <row r="1046" spans="1:22">
      <c r="A1046" s="91"/>
      <c r="B1046" s="244"/>
      <c r="C1046" s="417"/>
      <c r="D1046" s="417"/>
      <c r="E1046" s="417"/>
      <c r="F1046" s="417"/>
      <c r="G1046" s="417"/>
      <c r="H1046" s="417"/>
      <c r="I1046" s="417"/>
      <c r="J1046" s="417"/>
      <c r="K1046" s="417"/>
      <c r="L1046" s="417"/>
      <c r="M1046" s="415"/>
      <c r="N1046" s="415"/>
      <c r="O1046" s="415"/>
      <c r="P1046" s="415"/>
      <c r="Q1046" s="416"/>
      <c r="R1046" s="416"/>
      <c r="S1046" s="416"/>
      <c r="T1046" s="416"/>
      <c r="U1046" s="415"/>
      <c r="V1046" s="415"/>
    </row>
    <row r="1047" spans="1:22">
      <c r="A1047" s="91"/>
      <c r="B1047" s="244"/>
      <c r="C1047" s="417"/>
      <c r="D1047" s="417"/>
      <c r="E1047" s="417"/>
      <c r="F1047" s="417"/>
      <c r="G1047" s="417"/>
      <c r="H1047" s="417"/>
      <c r="I1047" s="417"/>
      <c r="J1047" s="417"/>
      <c r="K1047" s="417"/>
      <c r="L1047" s="417"/>
      <c r="M1047" s="415"/>
      <c r="N1047" s="415"/>
      <c r="O1047" s="415"/>
      <c r="P1047" s="415"/>
      <c r="Q1047" s="416"/>
      <c r="R1047" s="416"/>
      <c r="S1047" s="416"/>
      <c r="T1047" s="416"/>
      <c r="U1047" s="415"/>
      <c r="V1047" s="415"/>
    </row>
    <row r="1048" spans="1:22">
      <c r="A1048" s="91"/>
      <c r="B1048" s="244"/>
      <c r="C1048" s="417"/>
      <c r="D1048" s="417"/>
      <c r="E1048" s="417"/>
      <c r="F1048" s="417"/>
      <c r="G1048" s="417"/>
      <c r="H1048" s="417"/>
      <c r="I1048" s="417"/>
      <c r="J1048" s="417"/>
      <c r="K1048" s="417"/>
      <c r="L1048" s="417"/>
      <c r="M1048" s="415"/>
      <c r="N1048" s="415"/>
      <c r="O1048" s="415"/>
      <c r="P1048" s="415"/>
      <c r="Q1048" s="416"/>
      <c r="R1048" s="416"/>
      <c r="S1048" s="416"/>
      <c r="T1048" s="416"/>
      <c r="U1048" s="415"/>
      <c r="V1048" s="415"/>
    </row>
    <row r="1049" spans="1:22">
      <c r="A1049" s="91"/>
      <c r="B1049" s="244"/>
      <c r="C1049" s="417"/>
      <c r="D1049" s="417"/>
      <c r="E1049" s="417"/>
      <c r="F1049" s="417"/>
      <c r="G1049" s="417"/>
      <c r="H1049" s="417"/>
      <c r="I1049" s="417"/>
      <c r="J1049" s="417"/>
      <c r="K1049" s="417"/>
      <c r="L1049" s="417"/>
      <c r="M1049" s="415"/>
      <c r="N1049" s="415"/>
      <c r="O1049" s="415"/>
      <c r="P1049" s="415"/>
      <c r="Q1049" s="416"/>
      <c r="R1049" s="416"/>
      <c r="S1049" s="416"/>
      <c r="T1049" s="416"/>
      <c r="U1049" s="415"/>
      <c r="V1049" s="415"/>
    </row>
    <row r="1050" spans="1:22">
      <c r="A1050" s="91"/>
      <c r="B1050" s="244"/>
      <c r="C1050" s="417"/>
      <c r="D1050" s="417"/>
      <c r="E1050" s="417"/>
      <c r="F1050" s="417"/>
      <c r="G1050" s="417"/>
      <c r="H1050" s="417"/>
      <c r="I1050" s="417"/>
      <c r="J1050" s="417"/>
      <c r="K1050" s="417"/>
      <c r="L1050" s="417"/>
      <c r="M1050" s="415"/>
      <c r="N1050" s="415"/>
      <c r="O1050" s="415"/>
      <c r="P1050" s="415"/>
      <c r="Q1050" s="416"/>
      <c r="R1050" s="416"/>
      <c r="S1050" s="416"/>
      <c r="T1050" s="416"/>
      <c r="U1050" s="415"/>
      <c r="V1050" s="415"/>
    </row>
    <row r="1051" spans="1:22">
      <c r="A1051" s="91"/>
      <c r="B1051" s="244"/>
      <c r="C1051" s="417"/>
      <c r="D1051" s="417"/>
      <c r="E1051" s="417"/>
      <c r="F1051" s="417"/>
      <c r="G1051" s="417"/>
      <c r="H1051" s="417"/>
      <c r="I1051" s="417"/>
      <c r="J1051" s="417"/>
      <c r="K1051" s="417"/>
      <c r="L1051" s="417"/>
      <c r="M1051" s="415"/>
      <c r="N1051" s="415"/>
      <c r="O1051" s="415"/>
      <c r="P1051" s="415"/>
      <c r="Q1051" s="416"/>
      <c r="R1051" s="416"/>
      <c r="S1051" s="416"/>
      <c r="T1051" s="416"/>
      <c r="U1051" s="415"/>
      <c r="V1051" s="415"/>
    </row>
    <row r="1052" spans="1:22">
      <c r="A1052" s="91"/>
      <c r="B1052" s="244"/>
      <c r="C1052" s="417"/>
      <c r="D1052" s="417"/>
      <c r="E1052" s="417"/>
      <c r="F1052" s="417"/>
      <c r="G1052" s="417"/>
      <c r="H1052" s="417"/>
      <c r="I1052" s="417"/>
      <c r="J1052" s="417"/>
      <c r="K1052" s="417"/>
      <c r="L1052" s="417"/>
      <c r="M1052" s="415"/>
      <c r="N1052" s="415"/>
      <c r="O1052" s="415"/>
      <c r="P1052" s="415"/>
      <c r="Q1052" s="416"/>
      <c r="R1052" s="416"/>
      <c r="S1052" s="416"/>
      <c r="T1052" s="416"/>
      <c r="U1052" s="415"/>
      <c r="V1052" s="415"/>
    </row>
    <row r="1053" spans="1:22">
      <c r="A1053" s="91"/>
      <c r="B1053" s="244"/>
      <c r="C1053" s="417"/>
      <c r="D1053" s="417"/>
      <c r="E1053" s="417"/>
      <c r="F1053" s="417"/>
      <c r="G1053" s="417"/>
      <c r="H1053" s="417"/>
      <c r="I1053" s="417"/>
      <c r="J1053" s="417"/>
      <c r="K1053" s="417"/>
      <c r="L1053" s="417"/>
      <c r="M1053" s="415"/>
      <c r="N1053" s="415"/>
      <c r="O1053" s="415"/>
      <c r="P1053" s="415"/>
      <c r="Q1053" s="416"/>
      <c r="R1053" s="416"/>
      <c r="S1053" s="416"/>
      <c r="T1053" s="416"/>
      <c r="U1053" s="415"/>
      <c r="V1053" s="415"/>
    </row>
    <row r="1054" spans="1:22">
      <c r="A1054" s="91"/>
      <c r="B1054" s="244"/>
      <c r="C1054" s="417"/>
      <c r="D1054" s="417"/>
      <c r="E1054" s="417"/>
      <c r="F1054" s="417"/>
      <c r="G1054" s="417"/>
      <c r="H1054" s="417"/>
      <c r="I1054" s="417"/>
      <c r="J1054" s="417"/>
      <c r="K1054" s="417"/>
      <c r="L1054" s="417"/>
      <c r="M1054" s="415"/>
      <c r="N1054" s="415"/>
      <c r="O1054" s="415"/>
      <c r="P1054" s="415"/>
      <c r="Q1054" s="416"/>
      <c r="R1054" s="416"/>
      <c r="S1054" s="416"/>
      <c r="T1054" s="416"/>
      <c r="U1054" s="415"/>
      <c r="V1054" s="415"/>
    </row>
    <row r="1055" spans="1:22">
      <c r="A1055" s="91"/>
      <c r="B1055" s="244"/>
      <c r="C1055" s="417"/>
      <c r="D1055" s="417"/>
      <c r="E1055" s="417"/>
      <c r="F1055" s="417"/>
      <c r="G1055" s="417"/>
      <c r="H1055" s="417"/>
      <c r="I1055" s="417"/>
      <c r="J1055" s="417"/>
      <c r="K1055" s="417"/>
      <c r="L1055" s="417"/>
      <c r="M1055" s="415"/>
      <c r="N1055" s="415"/>
      <c r="O1055" s="415"/>
      <c r="P1055" s="415"/>
      <c r="Q1055" s="416"/>
      <c r="R1055" s="416"/>
      <c r="S1055" s="416"/>
      <c r="T1055" s="416"/>
      <c r="U1055" s="415"/>
      <c r="V1055" s="415"/>
    </row>
    <row r="1056" spans="1:22">
      <c r="A1056" s="91"/>
      <c r="B1056" s="244"/>
      <c r="C1056" s="417"/>
      <c r="D1056" s="417"/>
      <c r="E1056" s="417"/>
      <c r="F1056" s="417"/>
      <c r="G1056" s="417"/>
      <c r="H1056" s="417"/>
      <c r="I1056" s="417"/>
      <c r="J1056" s="417"/>
      <c r="K1056" s="417"/>
      <c r="L1056" s="417"/>
      <c r="M1056" s="415"/>
      <c r="N1056" s="415"/>
      <c r="O1056" s="415"/>
      <c r="P1056" s="415"/>
      <c r="Q1056" s="416"/>
      <c r="R1056" s="416"/>
      <c r="S1056" s="416"/>
      <c r="T1056" s="416"/>
      <c r="U1056" s="415"/>
      <c r="V1056" s="415"/>
    </row>
    <row r="1057" spans="1:22">
      <c r="A1057" s="91"/>
      <c r="B1057" s="244"/>
      <c r="C1057" s="417"/>
      <c r="D1057" s="417"/>
      <c r="E1057" s="417"/>
      <c r="F1057" s="417"/>
      <c r="G1057" s="417"/>
      <c r="H1057" s="417"/>
      <c r="I1057" s="417"/>
      <c r="J1057" s="417"/>
      <c r="K1057" s="417"/>
      <c r="L1057" s="417"/>
      <c r="M1057" s="415"/>
      <c r="N1057" s="415"/>
      <c r="O1057" s="415"/>
      <c r="P1057" s="415"/>
      <c r="Q1057" s="416"/>
      <c r="R1057" s="416"/>
      <c r="S1057" s="416"/>
      <c r="T1057" s="416"/>
      <c r="U1057" s="415"/>
      <c r="V1057" s="415"/>
    </row>
    <row r="1058" spans="1:22">
      <c r="A1058" s="91"/>
      <c r="B1058" s="244"/>
      <c r="C1058" s="417"/>
      <c r="D1058" s="417"/>
      <c r="E1058" s="417"/>
      <c r="F1058" s="417"/>
      <c r="G1058" s="417"/>
      <c r="H1058" s="417"/>
      <c r="I1058" s="417"/>
      <c r="J1058" s="417"/>
      <c r="K1058" s="417"/>
      <c r="L1058" s="417"/>
      <c r="M1058" s="415"/>
      <c r="N1058" s="415"/>
      <c r="O1058" s="415"/>
      <c r="P1058" s="415"/>
      <c r="Q1058" s="416"/>
      <c r="R1058" s="416"/>
      <c r="S1058" s="416"/>
      <c r="T1058" s="416"/>
      <c r="U1058" s="415"/>
      <c r="V1058" s="415"/>
    </row>
    <row r="1059" spans="1:22">
      <c r="A1059" s="91"/>
      <c r="B1059" s="244"/>
      <c r="C1059" s="417"/>
      <c r="D1059" s="417"/>
      <c r="E1059" s="417"/>
      <c r="F1059" s="417"/>
      <c r="G1059" s="417"/>
      <c r="H1059" s="417"/>
      <c r="I1059" s="417"/>
      <c r="J1059" s="417"/>
      <c r="K1059" s="417"/>
      <c r="L1059" s="417"/>
      <c r="M1059" s="415"/>
      <c r="N1059" s="415"/>
      <c r="O1059" s="415"/>
      <c r="P1059" s="415"/>
      <c r="Q1059" s="416"/>
      <c r="R1059" s="416"/>
      <c r="S1059" s="416"/>
      <c r="T1059" s="416"/>
      <c r="U1059" s="415"/>
      <c r="V1059" s="415"/>
    </row>
    <row r="1060" spans="1:22">
      <c r="A1060" s="91"/>
      <c r="B1060" s="244"/>
      <c r="C1060" s="417"/>
      <c r="D1060" s="417"/>
      <c r="E1060" s="417"/>
      <c r="F1060" s="417"/>
      <c r="G1060" s="417"/>
      <c r="H1060" s="417"/>
      <c r="I1060" s="417"/>
      <c r="J1060" s="417"/>
      <c r="K1060" s="417"/>
      <c r="L1060" s="417"/>
      <c r="M1060" s="415"/>
      <c r="N1060" s="415"/>
      <c r="O1060" s="415"/>
      <c r="P1060" s="415"/>
      <c r="Q1060" s="416"/>
      <c r="R1060" s="416"/>
      <c r="S1060" s="416"/>
      <c r="T1060" s="416"/>
      <c r="U1060" s="415"/>
      <c r="V1060" s="415"/>
    </row>
    <row r="1061" spans="1:22">
      <c r="A1061" s="91"/>
      <c r="B1061" s="244"/>
      <c r="C1061" s="417"/>
      <c r="D1061" s="417"/>
      <c r="E1061" s="417"/>
      <c r="F1061" s="417"/>
      <c r="G1061" s="417"/>
      <c r="H1061" s="417"/>
      <c r="I1061" s="417"/>
      <c r="J1061" s="417"/>
      <c r="K1061" s="417"/>
      <c r="L1061" s="417"/>
      <c r="M1061" s="415"/>
      <c r="N1061" s="415"/>
      <c r="O1061" s="415"/>
      <c r="P1061" s="415"/>
      <c r="Q1061" s="416"/>
      <c r="R1061" s="416"/>
      <c r="S1061" s="416"/>
      <c r="T1061" s="416"/>
      <c r="U1061" s="415"/>
      <c r="V1061" s="415"/>
    </row>
    <row r="1062" spans="1:22">
      <c r="A1062" s="91"/>
      <c r="B1062" s="244"/>
      <c r="C1062" s="417"/>
      <c r="D1062" s="417"/>
      <c r="E1062" s="417"/>
      <c r="F1062" s="417"/>
      <c r="G1062" s="417"/>
      <c r="H1062" s="417"/>
      <c r="I1062" s="417"/>
      <c r="J1062" s="417"/>
      <c r="K1062" s="417"/>
      <c r="L1062" s="417"/>
      <c r="M1062" s="415"/>
      <c r="N1062" s="415"/>
      <c r="O1062" s="415"/>
      <c r="P1062" s="415"/>
      <c r="Q1062" s="416"/>
      <c r="R1062" s="416"/>
      <c r="S1062" s="416"/>
      <c r="T1062" s="416"/>
      <c r="U1062" s="415"/>
      <c r="V1062" s="415"/>
    </row>
    <row r="1063" spans="1:22">
      <c r="A1063" s="91"/>
      <c r="B1063" s="244"/>
      <c r="C1063" s="417"/>
      <c r="D1063" s="417"/>
      <c r="E1063" s="417"/>
      <c r="F1063" s="417"/>
      <c r="G1063" s="417"/>
      <c r="H1063" s="417"/>
      <c r="I1063" s="417"/>
      <c r="J1063" s="417"/>
      <c r="K1063" s="417"/>
      <c r="L1063" s="417"/>
      <c r="M1063" s="415"/>
      <c r="N1063" s="415"/>
      <c r="O1063" s="415"/>
      <c r="P1063" s="415"/>
      <c r="Q1063" s="416"/>
      <c r="R1063" s="416"/>
      <c r="S1063" s="416"/>
      <c r="T1063" s="416"/>
      <c r="U1063" s="415"/>
      <c r="V1063" s="415"/>
    </row>
    <row r="1064" spans="1:22">
      <c r="A1064" s="91"/>
      <c r="B1064" s="244"/>
      <c r="C1064" s="417"/>
      <c r="D1064" s="417"/>
      <c r="E1064" s="417"/>
      <c r="F1064" s="417"/>
      <c r="G1064" s="417"/>
      <c r="H1064" s="417"/>
      <c r="I1064" s="417"/>
      <c r="J1064" s="417"/>
      <c r="K1064" s="417"/>
      <c r="L1064" s="417"/>
      <c r="M1064" s="415"/>
      <c r="N1064" s="415"/>
      <c r="O1064" s="415"/>
      <c r="P1064" s="415"/>
      <c r="Q1064" s="416"/>
      <c r="R1064" s="416"/>
      <c r="S1064" s="416"/>
      <c r="T1064" s="416"/>
      <c r="U1064" s="415"/>
      <c r="V1064" s="415"/>
    </row>
    <row r="1065" spans="1:22">
      <c r="A1065" s="91"/>
      <c r="B1065" s="244"/>
      <c r="C1065" s="417"/>
      <c r="D1065" s="417"/>
      <c r="E1065" s="417"/>
      <c r="F1065" s="417"/>
      <c r="G1065" s="417"/>
      <c r="H1065" s="417"/>
      <c r="I1065" s="417"/>
      <c r="J1065" s="417"/>
      <c r="K1065" s="417"/>
      <c r="L1065" s="417"/>
      <c r="M1065" s="415"/>
      <c r="N1065" s="415"/>
      <c r="O1065" s="415"/>
      <c r="P1065" s="415"/>
      <c r="Q1065" s="416"/>
      <c r="R1065" s="416"/>
      <c r="S1065" s="416"/>
      <c r="T1065" s="416"/>
      <c r="U1065" s="415"/>
      <c r="V1065" s="415"/>
    </row>
    <row r="1066" spans="1:22">
      <c r="A1066" s="91"/>
      <c r="B1066" s="244"/>
      <c r="C1066" s="417"/>
      <c r="D1066" s="417"/>
      <c r="E1066" s="417"/>
      <c r="F1066" s="417"/>
      <c r="G1066" s="417"/>
      <c r="H1066" s="417"/>
      <c r="I1066" s="417"/>
      <c r="J1066" s="417"/>
      <c r="K1066" s="417"/>
      <c r="L1066" s="417"/>
      <c r="M1066" s="415"/>
      <c r="N1066" s="415"/>
      <c r="O1066" s="415"/>
      <c r="P1066" s="415"/>
      <c r="Q1066" s="416"/>
      <c r="R1066" s="416"/>
      <c r="S1066" s="416"/>
      <c r="T1066" s="416"/>
      <c r="U1066" s="415"/>
      <c r="V1066" s="415"/>
    </row>
    <row r="1067" spans="1:22">
      <c r="A1067" s="91"/>
      <c r="B1067" s="244"/>
      <c r="C1067" s="417"/>
      <c r="D1067" s="417"/>
      <c r="E1067" s="417"/>
      <c r="F1067" s="417"/>
      <c r="G1067" s="417"/>
      <c r="H1067" s="417"/>
      <c r="I1067" s="417"/>
      <c r="J1067" s="417"/>
      <c r="K1067" s="417"/>
      <c r="L1067" s="417"/>
      <c r="M1067" s="415"/>
      <c r="N1067" s="415"/>
      <c r="O1067" s="415"/>
      <c r="P1067" s="415"/>
      <c r="Q1067" s="416"/>
      <c r="R1067" s="416"/>
      <c r="S1067" s="416"/>
      <c r="T1067" s="416"/>
      <c r="U1067" s="415"/>
      <c r="V1067" s="415"/>
    </row>
    <row r="1068" spans="1:22">
      <c r="A1068" s="91"/>
      <c r="B1068" s="244"/>
      <c r="C1068" s="417"/>
      <c r="D1068" s="417"/>
      <c r="E1068" s="417"/>
      <c r="F1068" s="417"/>
      <c r="G1068" s="417"/>
      <c r="H1068" s="417"/>
      <c r="I1068" s="417"/>
      <c r="J1068" s="417"/>
      <c r="K1068" s="417"/>
      <c r="L1068" s="417"/>
      <c r="M1068" s="415"/>
      <c r="N1068" s="415"/>
      <c r="O1068" s="415"/>
      <c r="P1068" s="415"/>
      <c r="Q1068" s="416"/>
      <c r="R1068" s="416"/>
      <c r="S1068" s="416"/>
      <c r="T1068" s="416"/>
      <c r="U1068" s="415"/>
      <c r="V1068" s="415"/>
    </row>
    <row r="1069" spans="1:22">
      <c r="A1069" s="91"/>
      <c r="B1069" s="244"/>
      <c r="C1069" s="417"/>
      <c r="D1069" s="417"/>
      <c r="E1069" s="417"/>
      <c r="F1069" s="417"/>
      <c r="G1069" s="417"/>
      <c r="H1069" s="417"/>
      <c r="I1069" s="417"/>
      <c r="J1069" s="417"/>
      <c r="K1069" s="417"/>
      <c r="L1069" s="417"/>
      <c r="M1069" s="415"/>
      <c r="N1069" s="415"/>
      <c r="O1069" s="415"/>
      <c r="P1069" s="415"/>
      <c r="Q1069" s="416"/>
      <c r="R1069" s="416"/>
      <c r="S1069" s="416"/>
      <c r="T1069" s="416"/>
      <c r="U1069" s="415"/>
      <c r="V1069" s="415"/>
    </row>
    <row r="1070" spans="1:22">
      <c r="A1070" s="91"/>
      <c r="B1070" s="244"/>
      <c r="C1070" s="417"/>
      <c r="D1070" s="417"/>
      <c r="E1070" s="417"/>
      <c r="F1070" s="417"/>
      <c r="G1070" s="417"/>
      <c r="H1070" s="417"/>
      <c r="I1070" s="417"/>
      <c r="J1070" s="417"/>
      <c r="K1070" s="417"/>
      <c r="L1070" s="417"/>
      <c r="M1070" s="415"/>
      <c r="N1070" s="415"/>
      <c r="O1070" s="415"/>
      <c r="P1070" s="415"/>
      <c r="Q1070" s="416"/>
      <c r="R1070" s="416"/>
      <c r="S1070" s="416"/>
      <c r="T1070" s="416"/>
      <c r="U1070" s="415"/>
      <c r="V1070" s="415"/>
    </row>
    <row r="1071" spans="1:22">
      <c r="A1071" s="91"/>
      <c r="B1071" s="244"/>
      <c r="C1071" s="417"/>
      <c r="D1071" s="417"/>
      <c r="E1071" s="417"/>
      <c r="F1071" s="417"/>
      <c r="G1071" s="417"/>
      <c r="H1071" s="417"/>
      <c r="I1071" s="417"/>
      <c r="J1071" s="417"/>
      <c r="K1071" s="417"/>
      <c r="L1071" s="417"/>
      <c r="M1071" s="415"/>
      <c r="N1071" s="415"/>
      <c r="O1071" s="415"/>
      <c r="P1071" s="415"/>
      <c r="Q1071" s="416"/>
      <c r="R1071" s="416"/>
      <c r="S1071" s="416"/>
      <c r="T1071" s="416"/>
      <c r="U1071" s="415"/>
      <c r="V1071" s="415"/>
    </row>
    <row r="1072" spans="1:22">
      <c r="A1072" s="91"/>
      <c r="B1072" s="244"/>
      <c r="C1072" s="417"/>
      <c r="D1072" s="417"/>
      <c r="E1072" s="417"/>
      <c r="F1072" s="417"/>
      <c r="G1072" s="417"/>
      <c r="H1072" s="417"/>
      <c r="I1072" s="417"/>
      <c r="J1072" s="417"/>
      <c r="K1072" s="417"/>
      <c r="L1072" s="417"/>
      <c r="M1072" s="415"/>
      <c r="N1072" s="415"/>
      <c r="O1072" s="415"/>
      <c r="P1072" s="415"/>
      <c r="Q1072" s="416"/>
      <c r="R1072" s="416"/>
      <c r="S1072" s="416"/>
      <c r="T1072" s="416"/>
      <c r="U1072" s="415"/>
      <c r="V1072" s="415"/>
    </row>
    <row r="1073" spans="1:22">
      <c r="A1073" s="91"/>
      <c r="B1073" s="244"/>
      <c r="C1073" s="417"/>
      <c r="D1073" s="417"/>
      <c r="E1073" s="417"/>
      <c r="F1073" s="417"/>
      <c r="G1073" s="417"/>
      <c r="H1073" s="417"/>
      <c r="I1073" s="417"/>
      <c r="J1073" s="417"/>
      <c r="K1073" s="417"/>
      <c r="L1073" s="417"/>
      <c r="M1073" s="415"/>
      <c r="N1073" s="415"/>
      <c r="O1073" s="415"/>
      <c r="P1073" s="415"/>
      <c r="Q1073" s="416"/>
      <c r="R1073" s="416"/>
      <c r="S1073" s="416"/>
      <c r="T1073" s="416"/>
      <c r="U1073" s="415"/>
      <c r="V1073" s="415"/>
    </row>
    <row r="1074" spans="1:22">
      <c r="A1074" s="91"/>
      <c r="B1074" s="244"/>
      <c r="C1074" s="417"/>
      <c r="D1074" s="417"/>
      <c r="E1074" s="417"/>
      <c r="F1074" s="417"/>
      <c r="G1074" s="417"/>
      <c r="H1074" s="417"/>
      <c r="I1074" s="417"/>
      <c r="J1074" s="417"/>
      <c r="K1074" s="417"/>
      <c r="L1074" s="417"/>
      <c r="M1074" s="415"/>
      <c r="N1074" s="415"/>
      <c r="O1074" s="415"/>
      <c r="P1074" s="415"/>
      <c r="Q1074" s="416"/>
      <c r="R1074" s="416"/>
      <c r="S1074" s="416"/>
      <c r="T1074" s="416"/>
      <c r="U1074" s="415"/>
      <c r="V1074" s="415"/>
    </row>
    <row r="1075" spans="1:22">
      <c r="A1075" s="91"/>
      <c r="B1075" s="244"/>
      <c r="C1075" s="417"/>
      <c r="D1075" s="417"/>
      <c r="E1075" s="417"/>
      <c r="F1075" s="417"/>
      <c r="G1075" s="417"/>
      <c r="H1075" s="417"/>
      <c r="I1075" s="417"/>
      <c r="J1075" s="417"/>
      <c r="K1075" s="417"/>
      <c r="L1075" s="417"/>
      <c r="M1075" s="415"/>
      <c r="N1075" s="415"/>
      <c r="O1075" s="415"/>
      <c r="P1075" s="415"/>
      <c r="Q1075" s="416"/>
      <c r="R1075" s="416"/>
      <c r="S1075" s="416"/>
      <c r="T1075" s="416"/>
      <c r="U1075" s="415"/>
      <c r="V1075" s="415"/>
    </row>
    <row r="1076" spans="1:22">
      <c r="A1076" s="91"/>
      <c r="B1076" s="244"/>
      <c r="C1076" s="417"/>
      <c r="D1076" s="417"/>
      <c r="E1076" s="417"/>
      <c r="F1076" s="417"/>
      <c r="G1076" s="417"/>
      <c r="H1076" s="417"/>
      <c r="I1076" s="417"/>
      <c r="J1076" s="417"/>
      <c r="K1076" s="417"/>
      <c r="L1076" s="417"/>
      <c r="M1076" s="415"/>
      <c r="N1076" s="415"/>
      <c r="O1076" s="415"/>
      <c r="P1076" s="415"/>
      <c r="Q1076" s="416"/>
      <c r="R1076" s="416"/>
      <c r="S1076" s="416"/>
      <c r="T1076" s="416"/>
      <c r="U1076" s="415"/>
      <c r="V1076" s="415"/>
    </row>
    <row r="1077" spans="1:22">
      <c r="A1077" s="91"/>
      <c r="B1077" s="244"/>
      <c r="C1077" s="417"/>
      <c r="D1077" s="417"/>
      <c r="E1077" s="417"/>
      <c r="F1077" s="417"/>
      <c r="G1077" s="417"/>
      <c r="H1077" s="417"/>
      <c r="I1077" s="417"/>
      <c r="J1077" s="417"/>
      <c r="K1077" s="417"/>
      <c r="L1077" s="417"/>
      <c r="M1077" s="415"/>
      <c r="N1077" s="415"/>
      <c r="O1077" s="415"/>
      <c r="P1077" s="415"/>
      <c r="Q1077" s="416"/>
      <c r="R1077" s="416"/>
      <c r="S1077" s="416"/>
      <c r="T1077" s="416"/>
      <c r="U1077" s="415"/>
      <c r="V1077" s="415"/>
    </row>
    <row r="1078" spans="1:22">
      <c r="A1078" s="91"/>
      <c r="B1078" s="244"/>
      <c r="C1078" s="417"/>
      <c r="D1078" s="417"/>
      <c r="E1078" s="417"/>
      <c r="F1078" s="417"/>
      <c r="G1078" s="417"/>
      <c r="H1078" s="417"/>
      <c r="I1078" s="417"/>
      <c r="J1078" s="417"/>
      <c r="K1078" s="417"/>
      <c r="L1078" s="417"/>
      <c r="M1078" s="415"/>
      <c r="N1078" s="415"/>
      <c r="O1078" s="415"/>
      <c r="P1078" s="415"/>
      <c r="Q1078" s="416"/>
      <c r="R1078" s="416"/>
      <c r="S1078" s="416"/>
      <c r="T1078" s="416"/>
      <c r="U1078" s="415"/>
      <c r="V1078" s="415"/>
    </row>
    <row r="1079" spans="1:22">
      <c r="A1079" s="91"/>
      <c r="B1079" s="244"/>
      <c r="C1079" s="417"/>
      <c r="D1079" s="417"/>
      <c r="E1079" s="417"/>
      <c r="F1079" s="417"/>
      <c r="G1079" s="417"/>
      <c r="H1079" s="417"/>
      <c r="I1079" s="417"/>
      <c r="J1079" s="417"/>
      <c r="K1079" s="417"/>
      <c r="L1079" s="417"/>
      <c r="M1079" s="415"/>
      <c r="N1079" s="415"/>
      <c r="O1079" s="415"/>
      <c r="P1079" s="415"/>
      <c r="Q1079" s="416"/>
      <c r="R1079" s="416"/>
      <c r="S1079" s="416"/>
      <c r="T1079" s="416"/>
      <c r="U1079" s="415"/>
      <c r="V1079" s="415"/>
    </row>
    <row r="1080" spans="1:22">
      <c r="A1080" s="91"/>
      <c r="B1080" s="244"/>
      <c r="C1080" s="417"/>
      <c r="D1080" s="417"/>
      <c r="E1080" s="417"/>
      <c r="F1080" s="417"/>
      <c r="G1080" s="417"/>
      <c r="H1080" s="417"/>
      <c r="I1080" s="417"/>
      <c r="J1080" s="417"/>
      <c r="K1080" s="417"/>
      <c r="L1080" s="417"/>
      <c r="M1080" s="415"/>
      <c r="N1080" s="415"/>
      <c r="O1080" s="415"/>
      <c r="P1080" s="415"/>
      <c r="Q1080" s="416"/>
      <c r="R1080" s="416"/>
      <c r="S1080" s="416"/>
      <c r="T1080" s="416"/>
      <c r="U1080" s="415"/>
      <c r="V1080" s="415"/>
    </row>
    <row r="1081" spans="1:22">
      <c r="A1081" s="91"/>
      <c r="B1081" s="244"/>
      <c r="C1081" s="417"/>
      <c r="D1081" s="417"/>
      <c r="E1081" s="417"/>
      <c r="F1081" s="417"/>
      <c r="G1081" s="417"/>
      <c r="H1081" s="417"/>
      <c r="I1081" s="417"/>
      <c r="J1081" s="417"/>
      <c r="K1081" s="417"/>
      <c r="L1081" s="417"/>
      <c r="M1081" s="415"/>
      <c r="N1081" s="415"/>
      <c r="O1081" s="415"/>
      <c r="P1081" s="415"/>
      <c r="Q1081" s="416"/>
      <c r="R1081" s="416"/>
      <c r="S1081" s="416"/>
      <c r="T1081" s="416"/>
      <c r="U1081" s="415"/>
      <c r="V1081" s="415"/>
    </row>
    <row r="1082" spans="1:22">
      <c r="A1082" s="91"/>
      <c r="B1082" s="244"/>
      <c r="C1082" s="417"/>
      <c r="D1082" s="417"/>
      <c r="E1082" s="417"/>
      <c r="F1082" s="417"/>
      <c r="G1082" s="417"/>
      <c r="H1082" s="417"/>
      <c r="I1082" s="417"/>
      <c r="J1082" s="417"/>
      <c r="K1082" s="417"/>
      <c r="L1082" s="417"/>
      <c r="M1082" s="415"/>
      <c r="N1082" s="415"/>
      <c r="O1082" s="415"/>
      <c r="P1082" s="415"/>
      <c r="Q1082" s="416"/>
      <c r="R1082" s="416"/>
      <c r="S1082" s="416"/>
      <c r="T1082" s="416"/>
      <c r="U1082" s="415"/>
      <c r="V1082" s="415"/>
    </row>
    <row r="1083" spans="1:22">
      <c r="A1083" s="91"/>
      <c r="B1083" s="244"/>
      <c r="C1083" s="417"/>
      <c r="D1083" s="417"/>
      <c r="E1083" s="417"/>
      <c r="F1083" s="417"/>
      <c r="G1083" s="417"/>
      <c r="H1083" s="417"/>
      <c r="I1083" s="417"/>
      <c r="J1083" s="417"/>
      <c r="K1083" s="417"/>
      <c r="L1083" s="417"/>
      <c r="M1083" s="415"/>
      <c r="N1083" s="415"/>
      <c r="O1083" s="415"/>
      <c r="P1083" s="415"/>
      <c r="Q1083" s="416"/>
      <c r="R1083" s="416"/>
      <c r="S1083" s="416"/>
      <c r="T1083" s="416"/>
      <c r="U1083" s="415"/>
      <c r="V1083" s="415"/>
    </row>
    <row r="1084" spans="1:22">
      <c r="A1084" s="91"/>
      <c r="B1084" s="244"/>
      <c r="C1084" s="417"/>
      <c r="D1084" s="417"/>
      <c r="E1084" s="417"/>
      <c r="F1084" s="417"/>
      <c r="G1084" s="417"/>
      <c r="H1084" s="417"/>
      <c r="I1084" s="417"/>
      <c r="J1084" s="417"/>
      <c r="K1084" s="417"/>
      <c r="L1084" s="417"/>
      <c r="M1084" s="415"/>
      <c r="N1084" s="415"/>
      <c r="O1084" s="415"/>
      <c r="P1084" s="415"/>
      <c r="Q1084" s="416"/>
      <c r="R1084" s="416"/>
      <c r="S1084" s="416"/>
      <c r="T1084" s="416"/>
      <c r="U1084" s="415"/>
      <c r="V1084" s="415"/>
    </row>
    <row r="1085" spans="1:22">
      <c r="A1085" s="91"/>
      <c r="B1085" s="244"/>
      <c r="C1085" s="417"/>
      <c r="D1085" s="417"/>
      <c r="E1085" s="417"/>
      <c r="F1085" s="417"/>
      <c r="G1085" s="417"/>
      <c r="H1085" s="417"/>
      <c r="I1085" s="417"/>
      <c r="J1085" s="417"/>
      <c r="K1085" s="417"/>
      <c r="L1085" s="417"/>
      <c r="M1085" s="415"/>
      <c r="N1085" s="415"/>
      <c r="O1085" s="415"/>
      <c r="P1085" s="415"/>
      <c r="Q1085" s="416"/>
      <c r="R1085" s="416"/>
      <c r="S1085" s="416"/>
      <c r="T1085" s="416"/>
      <c r="U1085" s="415"/>
      <c r="V1085" s="415"/>
    </row>
    <row r="1086" spans="1:22">
      <c r="A1086" s="91"/>
      <c r="B1086" s="244"/>
      <c r="C1086" s="417"/>
      <c r="D1086" s="417"/>
      <c r="E1086" s="417"/>
      <c r="F1086" s="417"/>
      <c r="G1086" s="417"/>
      <c r="H1086" s="417"/>
      <c r="I1086" s="417"/>
      <c r="J1086" s="417"/>
      <c r="K1086" s="417"/>
      <c r="L1086" s="417"/>
      <c r="M1086" s="415"/>
      <c r="N1086" s="415"/>
      <c r="O1086" s="415"/>
      <c r="P1086" s="415"/>
      <c r="Q1086" s="416"/>
      <c r="R1086" s="416"/>
      <c r="S1086" s="416"/>
      <c r="T1086" s="416"/>
      <c r="U1086" s="415"/>
      <c r="V1086" s="415"/>
    </row>
    <row r="1087" spans="1:22">
      <c r="A1087" s="91"/>
      <c r="B1087" s="244"/>
      <c r="C1087" s="417"/>
      <c r="D1087" s="417"/>
      <c r="E1087" s="417"/>
      <c r="F1087" s="417"/>
      <c r="G1087" s="417"/>
      <c r="H1087" s="417"/>
      <c r="I1087" s="417"/>
      <c r="J1087" s="417"/>
      <c r="K1087" s="417"/>
      <c r="L1087" s="417"/>
      <c r="M1087" s="415"/>
      <c r="N1087" s="415"/>
      <c r="O1087" s="415"/>
      <c r="P1087" s="415"/>
      <c r="Q1087" s="416"/>
      <c r="R1087" s="416"/>
      <c r="S1087" s="416"/>
      <c r="T1087" s="416"/>
      <c r="U1087" s="415"/>
      <c r="V1087" s="415"/>
    </row>
    <row r="1088" spans="1:22">
      <c r="A1088" s="91"/>
      <c r="B1088" s="244"/>
      <c r="C1088" s="417"/>
      <c r="D1088" s="417"/>
      <c r="E1088" s="417"/>
      <c r="F1088" s="417"/>
      <c r="G1088" s="417"/>
      <c r="H1088" s="417"/>
      <c r="I1088" s="417"/>
      <c r="J1088" s="417"/>
      <c r="K1088" s="417"/>
      <c r="L1088" s="417"/>
      <c r="M1088" s="415"/>
      <c r="N1088" s="415"/>
      <c r="O1088" s="415"/>
      <c r="P1088" s="415"/>
      <c r="Q1088" s="416"/>
      <c r="R1088" s="416"/>
      <c r="S1088" s="416"/>
      <c r="T1088" s="416"/>
      <c r="U1088" s="415"/>
      <c r="V1088" s="415"/>
    </row>
    <row r="1089" spans="1:22">
      <c r="A1089" s="91"/>
      <c r="B1089" s="244"/>
      <c r="C1089" s="417"/>
      <c r="D1089" s="417"/>
      <c r="E1089" s="417"/>
      <c r="F1089" s="417"/>
      <c r="G1089" s="417"/>
      <c r="H1089" s="417"/>
      <c r="I1089" s="417"/>
      <c r="J1089" s="417"/>
      <c r="K1089" s="417"/>
      <c r="L1089" s="417"/>
      <c r="M1089" s="415"/>
      <c r="N1089" s="415"/>
      <c r="O1089" s="415"/>
      <c r="P1089" s="415"/>
      <c r="Q1089" s="416"/>
      <c r="R1089" s="416"/>
      <c r="S1089" s="416"/>
      <c r="T1089" s="416"/>
      <c r="U1089" s="415"/>
      <c r="V1089" s="415"/>
    </row>
    <row r="1090" spans="1:22">
      <c r="A1090" s="91"/>
      <c r="B1090" s="244"/>
      <c r="C1090" s="417"/>
      <c r="D1090" s="417"/>
      <c r="E1090" s="417"/>
      <c r="F1090" s="417"/>
      <c r="G1090" s="417"/>
      <c r="H1090" s="417"/>
      <c r="I1090" s="417"/>
      <c r="J1090" s="417"/>
      <c r="K1090" s="417"/>
      <c r="L1090" s="417"/>
      <c r="M1090" s="415"/>
      <c r="N1090" s="415"/>
      <c r="O1090" s="415"/>
      <c r="P1090" s="415"/>
      <c r="Q1090" s="416"/>
      <c r="R1090" s="416"/>
      <c r="S1090" s="416"/>
      <c r="T1090" s="416"/>
      <c r="U1090" s="415"/>
      <c r="V1090" s="415"/>
    </row>
    <row r="1091" spans="1:22">
      <c r="A1091" s="91"/>
      <c r="B1091" s="244"/>
      <c r="C1091" s="417"/>
      <c r="D1091" s="417"/>
      <c r="E1091" s="417"/>
      <c r="F1091" s="417"/>
      <c r="G1091" s="417"/>
      <c r="H1091" s="417"/>
      <c r="I1091" s="417"/>
      <c r="J1091" s="417"/>
      <c r="K1091" s="417"/>
      <c r="L1091" s="417"/>
      <c r="M1091" s="415"/>
      <c r="N1091" s="415"/>
      <c r="O1091" s="415"/>
      <c r="P1091" s="415"/>
      <c r="Q1091" s="416"/>
      <c r="R1091" s="416"/>
      <c r="S1091" s="416"/>
      <c r="T1091" s="416"/>
      <c r="U1091" s="415"/>
      <c r="V1091" s="415"/>
    </row>
    <row r="1092" spans="1:22">
      <c r="A1092" s="91"/>
      <c r="B1092" s="244"/>
      <c r="C1092" s="417"/>
      <c r="D1092" s="417"/>
      <c r="E1092" s="417"/>
      <c r="F1092" s="417"/>
      <c r="G1092" s="417"/>
      <c r="H1092" s="417"/>
      <c r="I1092" s="417"/>
      <c r="J1092" s="417"/>
      <c r="K1092" s="417"/>
      <c r="L1092" s="417"/>
      <c r="M1092" s="415"/>
      <c r="N1092" s="415"/>
      <c r="O1092" s="415"/>
      <c r="P1092" s="415"/>
      <c r="Q1092" s="416"/>
      <c r="R1092" s="416"/>
      <c r="S1092" s="416"/>
      <c r="T1092" s="416"/>
      <c r="U1092" s="415"/>
      <c r="V1092" s="415"/>
    </row>
    <row r="1093" spans="1:22">
      <c r="A1093" s="91"/>
      <c r="B1093" s="244"/>
      <c r="C1093" s="417"/>
      <c r="D1093" s="417"/>
      <c r="E1093" s="417"/>
      <c r="F1093" s="417"/>
      <c r="G1093" s="417"/>
      <c r="H1093" s="417"/>
      <c r="I1093" s="417"/>
      <c r="J1093" s="417"/>
      <c r="K1093" s="417"/>
      <c r="L1093" s="417"/>
      <c r="M1093" s="415"/>
      <c r="N1093" s="415"/>
      <c r="O1093" s="415"/>
      <c r="P1093" s="415"/>
      <c r="Q1093" s="416"/>
      <c r="R1093" s="416"/>
      <c r="S1093" s="416"/>
      <c r="T1093" s="416"/>
      <c r="U1093" s="415"/>
      <c r="V1093" s="415"/>
    </row>
    <row r="1094" spans="1:22">
      <c r="A1094" s="91"/>
      <c r="B1094" s="244"/>
      <c r="C1094" s="417"/>
      <c r="D1094" s="417"/>
      <c r="E1094" s="417"/>
      <c r="F1094" s="417"/>
      <c r="G1094" s="417"/>
      <c r="H1094" s="417"/>
      <c r="I1094" s="417"/>
      <c r="J1094" s="417"/>
      <c r="K1094" s="417"/>
      <c r="L1094" s="417"/>
      <c r="M1094" s="415"/>
      <c r="N1094" s="415"/>
      <c r="O1094" s="415"/>
      <c r="P1094" s="415"/>
      <c r="Q1094" s="416"/>
      <c r="R1094" s="416"/>
      <c r="S1094" s="416"/>
      <c r="T1094" s="416"/>
      <c r="U1094" s="415"/>
      <c r="V1094" s="415"/>
    </row>
    <row r="1095" spans="1:22">
      <c r="A1095" s="91"/>
      <c r="B1095" s="244"/>
      <c r="C1095" s="417"/>
      <c r="D1095" s="417"/>
      <c r="E1095" s="417"/>
      <c r="F1095" s="417"/>
      <c r="G1095" s="417"/>
      <c r="H1095" s="417"/>
      <c r="I1095" s="417"/>
      <c r="J1095" s="417"/>
      <c r="K1095" s="417"/>
      <c r="L1095" s="417"/>
      <c r="M1095" s="415"/>
      <c r="N1095" s="415"/>
      <c r="O1095" s="415"/>
      <c r="P1095" s="415"/>
      <c r="Q1095" s="416"/>
      <c r="R1095" s="416"/>
      <c r="S1095" s="416"/>
      <c r="T1095" s="416"/>
      <c r="U1095" s="415"/>
      <c r="V1095" s="415"/>
    </row>
    <row r="1096" spans="1:22">
      <c r="A1096" s="91"/>
      <c r="B1096" s="244"/>
      <c r="C1096" s="417"/>
      <c r="D1096" s="417"/>
      <c r="E1096" s="417"/>
      <c r="F1096" s="417"/>
      <c r="G1096" s="417"/>
      <c r="H1096" s="417"/>
      <c r="I1096" s="417"/>
      <c r="J1096" s="417"/>
      <c r="K1096" s="417"/>
      <c r="L1096" s="417"/>
      <c r="M1096" s="415"/>
      <c r="N1096" s="415"/>
      <c r="O1096" s="415"/>
      <c r="P1096" s="415"/>
      <c r="Q1096" s="416"/>
      <c r="R1096" s="416"/>
      <c r="S1096" s="416"/>
      <c r="T1096" s="416"/>
      <c r="U1096" s="415"/>
      <c r="V1096" s="415"/>
    </row>
    <row r="1097" spans="1:22">
      <c r="A1097" s="91"/>
      <c r="B1097" s="244"/>
      <c r="C1097" s="417"/>
      <c r="D1097" s="417"/>
      <c r="E1097" s="417"/>
      <c r="F1097" s="417"/>
      <c r="G1097" s="417"/>
      <c r="H1097" s="417"/>
      <c r="I1097" s="417"/>
      <c r="J1097" s="417"/>
      <c r="K1097" s="417"/>
      <c r="L1097" s="417"/>
      <c r="M1097" s="415"/>
      <c r="N1097" s="415"/>
      <c r="O1097" s="415"/>
      <c r="P1097" s="415"/>
      <c r="Q1097" s="416"/>
      <c r="R1097" s="416"/>
      <c r="S1097" s="416"/>
      <c r="T1097" s="416"/>
      <c r="U1097" s="415"/>
      <c r="V1097" s="415"/>
    </row>
    <row r="1098" spans="1:22">
      <c r="A1098" s="91"/>
      <c r="B1098" s="244"/>
      <c r="C1098" s="417"/>
      <c r="D1098" s="417"/>
      <c r="E1098" s="417"/>
      <c r="F1098" s="417"/>
      <c r="G1098" s="417"/>
      <c r="H1098" s="417"/>
      <c r="I1098" s="417"/>
      <c r="J1098" s="417"/>
      <c r="K1098" s="417"/>
      <c r="L1098" s="417"/>
      <c r="M1098" s="415"/>
      <c r="N1098" s="415"/>
      <c r="O1098" s="415"/>
      <c r="P1098" s="415"/>
      <c r="Q1098" s="416"/>
      <c r="R1098" s="416"/>
      <c r="S1098" s="416"/>
      <c r="T1098" s="416"/>
      <c r="U1098" s="415"/>
      <c r="V1098" s="415"/>
    </row>
    <row r="1099" spans="1:22">
      <c r="A1099" s="91"/>
      <c r="B1099" s="244"/>
      <c r="C1099" s="417"/>
      <c r="D1099" s="417"/>
      <c r="E1099" s="417"/>
      <c r="F1099" s="417"/>
      <c r="G1099" s="417"/>
      <c r="H1099" s="417"/>
      <c r="I1099" s="417"/>
      <c r="J1099" s="417"/>
      <c r="K1099" s="417"/>
      <c r="L1099" s="417"/>
      <c r="M1099" s="415"/>
      <c r="N1099" s="415"/>
      <c r="O1099" s="415"/>
      <c r="P1099" s="415"/>
      <c r="Q1099" s="416"/>
      <c r="R1099" s="416"/>
      <c r="S1099" s="416"/>
      <c r="T1099" s="416"/>
      <c r="U1099" s="415"/>
      <c r="V1099" s="415"/>
    </row>
    <row r="1100" spans="1:22">
      <c r="A1100" s="91"/>
      <c r="B1100" s="244"/>
      <c r="C1100" s="417"/>
      <c r="D1100" s="417"/>
      <c r="E1100" s="417"/>
      <c r="F1100" s="417"/>
      <c r="G1100" s="417"/>
      <c r="H1100" s="417"/>
      <c r="I1100" s="417"/>
      <c r="J1100" s="417"/>
      <c r="K1100" s="417"/>
      <c r="L1100" s="417"/>
      <c r="M1100" s="415"/>
      <c r="N1100" s="415"/>
      <c r="O1100" s="415"/>
      <c r="P1100" s="415"/>
      <c r="Q1100" s="416"/>
      <c r="R1100" s="416"/>
      <c r="S1100" s="416"/>
      <c r="T1100" s="416"/>
      <c r="U1100" s="415"/>
      <c r="V1100" s="415"/>
    </row>
    <row r="1101" spans="1:22">
      <c r="A1101" s="91"/>
      <c r="B1101" s="244"/>
      <c r="C1101" s="417"/>
      <c r="D1101" s="417"/>
      <c r="E1101" s="417"/>
      <c r="F1101" s="417"/>
      <c r="G1101" s="417"/>
      <c r="H1101" s="417"/>
      <c r="I1101" s="417"/>
      <c r="J1101" s="417"/>
      <c r="K1101" s="417"/>
      <c r="L1101" s="417"/>
      <c r="M1101" s="415"/>
      <c r="N1101" s="415"/>
      <c r="O1101" s="415"/>
      <c r="P1101" s="415"/>
      <c r="Q1101" s="416"/>
      <c r="R1101" s="416"/>
      <c r="S1101" s="416"/>
      <c r="T1101" s="416"/>
      <c r="U1101" s="415"/>
      <c r="V1101" s="415"/>
    </row>
    <row r="1102" spans="1:22">
      <c r="A1102" s="91"/>
      <c r="B1102" s="244"/>
      <c r="C1102" s="417"/>
      <c r="D1102" s="417"/>
      <c r="E1102" s="417"/>
      <c r="F1102" s="417"/>
      <c r="G1102" s="417"/>
      <c r="H1102" s="417"/>
      <c r="I1102" s="417"/>
      <c r="J1102" s="417"/>
      <c r="K1102" s="417"/>
      <c r="L1102" s="417"/>
      <c r="M1102" s="415"/>
      <c r="N1102" s="415"/>
      <c r="O1102" s="415"/>
      <c r="P1102" s="415"/>
      <c r="Q1102" s="416"/>
      <c r="R1102" s="416"/>
      <c r="S1102" s="416"/>
      <c r="T1102" s="416"/>
      <c r="U1102" s="415"/>
      <c r="V1102" s="415"/>
    </row>
    <row r="1103" spans="1:22">
      <c r="A1103" s="91"/>
      <c r="B1103" s="244"/>
      <c r="C1103" s="417"/>
      <c r="D1103" s="417"/>
      <c r="E1103" s="417"/>
      <c r="F1103" s="417"/>
      <c r="G1103" s="417"/>
      <c r="H1103" s="417"/>
      <c r="I1103" s="417"/>
      <c r="J1103" s="417"/>
      <c r="K1103" s="417"/>
      <c r="L1103" s="417"/>
      <c r="M1103" s="415"/>
      <c r="N1103" s="415"/>
      <c r="O1103" s="415"/>
      <c r="P1103" s="415"/>
      <c r="Q1103" s="416"/>
      <c r="R1103" s="416"/>
      <c r="S1103" s="416"/>
      <c r="T1103" s="416"/>
      <c r="U1103" s="415"/>
      <c r="V1103" s="415"/>
    </row>
    <row r="1104" spans="1:22">
      <c r="A1104" s="91"/>
      <c r="B1104" s="244"/>
      <c r="C1104" s="417"/>
      <c r="D1104" s="417"/>
      <c r="E1104" s="417"/>
      <c r="F1104" s="417"/>
      <c r="G1104" s="417"/>
      <c r="H1104" s="417"/>
      <c r="I1104" s="417"/>
      <c r="J1104" s="417"/>
      <c r="K1104" s="417"/>
      <c r="L1104" s="417"/>
      <c r="M1104" s="415"/>
      <c r="N1104" s="415"/>
      <c r="O1104" s="415"/>
      <c r="P1104" s="415"/>
      <c r="Q1104" s="416"/>
      <c r="R1104" s="416"/>
      <c r="S1104" s="416"/>
      <c r="T1104" s="416"/>
      <c r="U1104" s="415"/>
      <c r="V1104" s="415"/>
    </row>
    <row r="1105" spans="1:22">
      <c r="A1105" s="91"/>
      <c r="B1105" s="244"/>
      <c r="C1105" s="417"/>
      <c r="D1105" s="417"/>
      <c r="E1105" s="417"/>
      <c r="F1105" s="417"/>
      <c r="G1105" s="417"/>
      <c r="H1105" s="417"/>
      <c r="I1105" s="417"/>
      <c r="J1105" s="417"/>
      <c r="K1105" s="417"/>
      <c r="L1105" s="417"/>
      <c r="M1105" s="415"/>
      <c r="N1105" s="415"/>
      <c r="O1105" s="415"/>
      <c r="P1105" s="415"/>
      <c r="Q1105" s="416"/>
      <c r="R1105" s="416"/>
      <c r="S1105" s="416"/>
      <c r="T1105" s="416"/>
      <c r="U1105" s="415"/>
      <c r="V1105" s="415"/>
    </row>
    <row r="1106" spans="1:22">
      <c r="A1106" s="91"/>
      <c r="B1106" s="244"/>
      <c r="C1106" s="417"/>
      <c r="D1106" s="417"/>
      <c r="E1106" s="417"/>
      <c r="F1106" s="417"/>
      <c r="G1106" s="417"/>
      <c r="H1106" s="417"/>
      <c r="I1106" s="417"/>
      <c r="J1106" s="417"/>
      <c r="K1106" s="417"/>
      <c r="L1106" s="417"/>
      <c r="M1106" s="415"/>
      <c r="N1106" s="415"/>
      <c r="O1106" s="415"/>
      <c r="P1106" s="415"/>
      <c r="Q1106" s="416"/>
      <c r="R1106" s="416"/>
      <c r="S1106" s="416"/>
      <c r="T1106" s="416"/>
      <c r="U1106" s="415"/>
      <c r="V1106" s="415"/>
    </row>
    <row r="1107" spans="1:22">
      <c r="A1107" s="91"/>
      <c r="B1107" s="244"/>
      <c r="C1107" s="417"/>
      <c r="D1107" s="417"/>
      <c r="E1107" s="417"/>
      <c r="F1107" s="417"/>
      <c r="G1107" s="417"/>
      <c r="H1107" s="417"/>
      <c r="I1107" s="417"/>
      <c r="J1107" s="417"/>
      <c r="K1107" s="417"/>
      <c r="L1107" s="417"/>
      <c r="M1107" s="415"/>
      <c r="N1107" s="415"/>
      <c r="O1107" s="415"/>
      <c r="P1107" s="415"/>
      <c r="Q1107" s="416"/>
      <c r="R1107" s="416"/>
      <c r="S1107" s="416"/>
      <c r="T1107" s="416"/>
      <c r="U1107" s="415"/>
      <c r="V1107" s="415"/>
    </row>
    <row r="1108" spans="1:22">
      <c r="A1108" s="91"/>
      <c r="B1108" s="244"/>
      <c r="C1108" s="417"/>
      <c r="D1108" s="417"/>
      <c r="E1108" s="417"/>
      <c r="F1108" s="417"/>
      <c r="G1108" s="417"/>
      <c r="H1108" s="417"/>
      <c r="I1108" s="417"/>
      <c r="J1108" s="417"/>
      <c r="K1108" s="417"/>
      <c r="L1108" s="417"/>
      <c r="M1108" s="415"/>
      <c r="N1108" s="415"/>
      <c r="O1108" s="415"/>
      <c r="P1108" s="415"/>
      <c r="Q1108" s="416"/>
      <c r="R1108" s="416"/>
      <c r="S1108" s="416"/>
      <c r="T1108" s="416"/>
      <c r="U1108" s="415"/>
      <c r="V1108" s="415"/>
    </row>
    <row r="1109" spans="1:22">
      <c r="A1109" s="91"/>
      <c r="B1109" s="244"/>
      <c r="C1109" s="417"/>
      <c r="D1109" s="417"/>
      <c r="E1109" s="417"/>
      <c r="F1109" s="417"/>
      <c r="G1109" s="417"/>
      <c r="H1109" s="417"/>
      <c r="I1109" s="417"/>
      <c r="J1109" s="417"/>
      <c r="K1109" s="417"/>
      <c r="L1109" s="417"/>
      <c r="M1109" s="415"/>
      <c r="N1109" s="415"/>
      <c r="O1109" s="415"/>
      <c r="P1109" s="415"/>
      <c r="Q1109" s="416"/>
      <c r="R1109" s="416"/>
      <c r="S1109" s="416"/>
      <c r="T1109" s="416"/>
      <c r="U1109" s="415"/>
      <c r="V1109" s="415"/>
    </row>
    <row r="1110" spans="1:22">
      <c r="A1110" s="91"/>
      <c r="B1110" s="244"/>
      <c r="C1110" s="417"/>
      <c r="D1110" s="417"/>
      <c r="E1110" s="417"/>
      <c r="F1110" s="417"/>
      <c r="G1110" s="417"/>
      <c r="H1110" s="417"/>
      <c r="I1110" s="417"/>
      <c r="J1110" s="417"/>
      <c r="K1110" s="417"/>
      <c r="L1110" s="417"/>
      <c r="M1110" s="415"/>
      <c r="N1110" s="415"/>
      <c r="O1110" s="415"/>
      <c r="P1110" s="415"/>
      <c r="Q1110" s="416"/>
      <c r="R1110" s="416"/>
      <c r="S1110" s="416"/>
      <c r="T1110" s="416"/>
      <c r="U1110" s="415"/>
      <c r="V1110" s="415"/>
    </row>
    <row r="1111" spans="1:22">
      <c r="A1111" s="91"/>
      <c r="B1111" s="244"/>
      <c r="C1111" s="417"/>
      <c r="D1111" s="417"/>
      <c r="E1111" s="417"/>
      <c r="F1111" s="417"/>
      <c r="G1111" s="417"/>
      <c r="H1111" s="417"/>
      <c r="I1111" s="417"/>
      <c r="J1111" s="417"/>
      <c r="K1111" s="417"/>
      <c r="L1111" s="417"/>
      <c r="M1111" s="415"/>
      <c r="N1111" s="415"/>
      <c r="O1111" s="415"/>
      <c r="P1111" s="415"/>
      <c r="Q1111" s="416"/>
      <c r="R1111" s="416"/>
      <c r="S1111" s="416"/>
      <c r="T1111" s="416"/>
      <c r="U1111" s="415"/>
      <c r="V1111" s="415"/>
    </row>
    <row r="1112" spans="1:22">
      <c r="A1112" s="91"/>
      <c r="B1112" s="244"/>
      <c r="C1112" s="417"/>
      <c r="D1112" s="417"/>
      <c r="E1112" s="417"/>
      <c r="F1112" s="417"/>
      <c r="G1112" s="417"/>
      <c r="H1112" s="417"/>
      <c r="I1112" s="417"/>
      <c r="J1112" s="417"/>
      <c r="K1112" s="417"/>
      <c r="L1112" s="417"/>
      <c r="M1112" s="415"/>
      <c r="N1112" s="415"/>
      <c r="O1112" s="415"/>
      <c r="P1112" s="415"/>
      <c r="Q1112" s="416"/>
      <c r="R1112" s="416"/>
      <c r="S1112" s="416"/>
      <c r="T1112" s="416"/>
      <c r="U1112" s="415"/>
      <c r="V1112" s="415"/>
    </row>
    <row r="1113" spans="1:22">
      <c r="A1113" s="91"/>
      <c r="B1113" s="244"/>
      <c r="C1113" s="417"/>
      <c r="D1113" s="417"/>
      <c r="E1113" s="417"/>
      <c r="F1113" s="417"/>
      <c r="G1113" s="417"/>
      <c r="H1113" s="417"/>
      <c r="I1113" s="417"/>
      <c r="J1113" s="417"/>
      <c r="K1113" s="417"/>
      <c r="L1113" s="417"/>
      <c r="M1113" s="415"/>
      <c r="N1113" s="415"/>
      <c r="O1113" s="415"/>
      <c r="P1113" s="415"/>
      <c r="Q1113" s="416"/>
      <c r="R1113" s="416"/>
      <c r="S1113" s="416"/>
      <c r="T1113" s="416"/>
      <c r="U1113" s="415"/>
      <c r="V1113" s="415"/>
    </row>
    <row r="1114" spans="1:22">
      <c r="A1114" s="91"/>
      <c r="B1114" s="244"/>
      <c r="C1114" s="417"/>
      <c r="D1114" s="417"/>
      <c r="E1114" s="417"/>
      <c r="F1114" s="417"/>
      <c r="G1114" s="417"/>
      <c r="H1114" s="417"/>
      <c r="I1114" s="417"/>
      <c r="J1114" s="417"/>
      <c r="K1114" s="417"/>
      <c r="L1114" s="417"/>
      <c r="M1114" s="415"/>
      <c r="N1114" s="415"/>
      <c r="O1114" s="415"/>
      <c r="P1114" s="415"/>
      <c r="Q1114" s="416"/>
      <c r="R1114" s="416"/>
      <c r="S1114" s="416"/>
      <c r="T1114" s="416"/>
      <c r="U1114" s="415"/>
      <c r="V1114" s="415"/>
    </row>
    <row r="1115" spans="1:22">
      <c r="A1115" s="91"/>
      <c r="B1115" s="244"/>
      <c r="C1115" s="417"/>
      <c r="D1115" s="417"/>
      <c r="E1115" s="417"/>
      <c r="F1115" s="417"/>
      <c r="G1115" s="417"/>
      <c r="H1115" s="417"/>
      <c r="I1115" s="417"/>
      <c r="J1115" s="417"/>
      <c r="K1115" s="417"/>
      <c r="L1115" s="417"/>
      <c r="M1115" s="415"/>
      <c r="N1115" s="415"/>
      <c r="O1115" s="415"/>
      <c r="P1115" s="415"/>
      <c r="Q1115" s="416"/>
      <c r="R1115" s="416"/>
      <c r="S1115" s="416"/>
      <c r="T1115" s="416"/>
      <c r="U1115" s="415"/>
      <c r="V1115" s="415"/>
    </row>
    <row r="1116" spans="1:22">
      <c r="A1116" s="91"/>
      <c r="B1116" s="244"/>
      <c r="C1116" s="417"/>
      <c r="D1116" s="417"/>
      <c r="E1116" s="417"/>
      <c r="F1116" s="417"/>
      <c r="G1116" s="417"/>
      <c r="H1116" s="417"/>
      <c r="I1116" s="417"/>
      <c r="J1116" s="417"/>
      <c r="K1116" s="417"/>
      <c r="L1116" s="417"/>
      <c r="M1116" s="415"/>
      <c r="N1116" s="415"/>
      <c r="O1116" s="415"/>
      <c r="P1116" s="415"/>
      <c r="Q1116" s="416"/>
      <c r="R1116" s="416"/>
      <c r="S1116" s="416"/>
      <c r="T1116" s="416"/>
      <c r="U1116" s="415"/>
      <c r="V1116" s="415"/>
    </row>
    <row r="1117" spans="1:22">
      <c r="A1117" s="91"/>
      <c r="B1117" s="244"/>
      <c r="C1117" s="417"/>
      <c r="D1117" s="417"/>
      <c r="E1117" s="417"/>
      <c r="F1117" s="417"/>
      <c r="G1117" s="417"/>
      <c r="H1117" s="417"/>
      <c r="I1117" s="417"/>
      <c r="J1117" s="417"/>
      <c r="K1117" s="417"/>
      <c r="L1117" s="417"/>
      <c r="M1117" s="415"/>
      <c r="N1117" s="415"/>
      <c r="O1117" s="415"/>
      <c r="P1117" s="415"/>
      <c r="Q1117" s="416"/>
      <c r="R1117" s="416"/>
      <c r="S1117" s="416"/>
      <c r="T1117" s="416"/>
      <c r="U1117" s="415"/>
      <c r="V1117" s="415"/>
    </row>
    <row r="1118" spans="1:22">
      <c r="A1118" s="91"/>
      <c r="B1118" s="244"/>
      <c r="C1118" s="417"/>
      <c r="D1118" s="417"/>
      <c r="E1118" s="417"/>
      <c r="F1118" s="417"/>
      <c r="G1118" s="417"/>
      <c r="H1118" s="417"/>
      <c r="I1118" s="417"/>
      <c r="J1118" s="417"/>
      <c r="K1118" s="417"/>
      <c r="L1118" s="417"/>
      <c r="M1118" s="415"/>
      <c r="N1118" s="415"/>
      <c r="O1118" s="415"/>
      <c r="P1118" s="415"/>
      <c r="Q1118" s="416"/>
      <c r="R1118" s="416"/>
      <c r="S1118" s="416"/>
      <c r="T1118" s="416"/>
      <c r="U1118" s="415"/>
      <c r="V1118" s="415"/>
    </row>
    <row r="1119" spans="1:22">
      <c r="A1119" s="91"/>
      <c r="B1119" s="244"/>
      <c r="C1119" s="417"/>
      <c r="D1119" s="417"/>
      <c r="E1119" s="417"/>
      <c r="F1119" s="417"/>
      <c r="G1119" s="417"/>
      <c r="H1119" s="417"/>
      <c r="I1119" s="417"/>
      <c r="J1119" s="417"/>
      <c r="K1119" s="417"/>
      <c r="L1119" s="417"/>
      <c r="M1119" s="415"/>
      <c r="N1119" s="415"/>
      <c r="O1119" s="415"/>
      <c r="P1119" s="415"/>
      <c r="Q1119" s="416"/>
      <c r="R1119" s="416"/>
      <c r="S1119" s="416"/>
      <c r="T1119" s="416"/>
      <c r="U1119" s="415"/>
      <c r="V1119" s="415"/>
    </row>
    <row r="1120" spans="1:22">
      <c r="A1120" s="91"/>
      <c r="B1120" s="244"/>
      <c r="C1120" s="417"/>
      <c r="D1120" s="417"/>
      <c r="E1120" s="417"/>
      <c r="F1120" s="417"/>
      <c r="G1120" s="417"/>
      <c r="H1120" s="417"/>
      <c r="I1120" s="417"/>
      <c r="J1120" s="417"/>
      <c r="K1120" s="417"/>
      <c r="L1120" s="417"/>
      <c r="M1120" s="415"/>
      <c r="N1120" s="415"/>
      <c r="O1120" s="415"/>
      <c r="P1120" s="415"/>
      <c r="Q1120" s="416"/>
      <c r="R1120" s="416"/>
      <c r="S1120" s="416"/>
      <c r="T1120" s="416"/>
      <c r="U1120" s="415"/>
      <c r="V1120" s="415"/>
    </row>
    <row r="1121" spans="1:22">
      <c r="A1121" s="91"/>
      <c r="B1121" s="244"/>
      <c r="C1121" s="417"/>
      <c r="D1121" s="417"/>
      <c r="E1121" s="417"/>
      <c r="F1121" s="417"/>
      <c r="G1121" s="417"/>
      <c r="H1121" s="417"/>
      <c r="I1121" s="417"/>
      <c r="J1121" s="417"/>
      <c r="K1121" s="417"/>
      <c r="L1121" s="417"/>
      <c r="M1121" s="415"/>
      <c r="N1121" s="415"/>
      <c r="O1121" s="415"/>
      <c r="P1121" s="415"/>
      <c r="Q1121" s="416"/>
      <c r="R1121" s="416"/>
      <c r="S1121" s="416"/>
      <c r="T1121" s="416"/>
      <c r="U1121" s="415"/>
      <c r="V1121" s="415"/>
    </row>
    <row r="1122" spans="1:22">
      <c r="A1122" s="91"/>
      <c r="B1122" s="244"/>
      <c r="C1122" s="417"/>
      <c r="D1122" s="417"/>
      <c r="E1122" s="417"/>
      <c r="F1122" s="417"/>
      <c r="G1122" s="417"/>
      <c r="H1122" s="417"/>
      <c r="I1122" s="417"/>
      <c r="J1122" s="417"/>
      <c r="K1122" s="417"/>
      <c r="L1122" s="417"/>
      <c r="M1122" s="415"/>
      <c r="N1122" s="415"/>
      <c r="O1122" s="415"/>
      <c r="P1122" s="415"/>
      <c r="Q1122" s="416"/>
      <c r="R1122" s="416"/>
      <c r="S1122" s="416"/>
      <c r="T1122" s="416"/>
      <c r="U1122" s="415"/>
      <c r="V1122" s="415"/>
    </row>
    <row r="1123" spans="1:22">
      <c r="A1123" s="91"/>
      <c r="B1123" s="244"/>
      <c r="C1123" s="417"/>
      <c r="D1123" s="417"/>
      <c r="E1123" s="417"/>
      <c r="F1123" s="417"/>
      <c r="G1123" s="417"/>
      <c r="H1123" s="417"/>
      <c r="I1123" s="417"/>
      <c r="J1123" s="417"/>
      <c r="K1123" s="417"/>
      <c r="L1123" s="417"/>
      <c r="M1123" s="415"/>
      <c r="N1123" s="415"/>
      <c r="O1123" s="415"/>
      <c r="P1123" s="415"/>
      <c r="Q1123" s="416"/>
      <c r="R1123" s="416"/>
      <c r="S1123" s="416"/>
      <c r="T1123" s="416"/>
      <c r="U1123" s="415"/>
      <c r="V1123" s="415"/>
    </row>
    <row r="1124" spans="1:22">
      <c r="A1124" s="91"/>
      <c r="B1124" s="244"/>
      <c r="C1124" s="417"/>
      <c r="D1124" s="417"/>
      <c r="E1124" s="417"/>
      <c r="F1124" s="417"/>
      <c r="G1124" s="417"/>
      <c r="H1124" s="417"/>
      <c r="I1124" s="417"/>
      <c r="J1124" s="417"/>
      <c r="K1124" s="417"/>
      <c r="L1124" s="417"/>
      <c r="M1124" s="415"/>
      <c r="N1124" s="415"/>
      <c r="O1124" s="415"/>
      <c r="P1124" s="415"/>
      <c r="Q1124" s="416"/>
      <c r="R1124" s="416"/>
      <c r="S1124" s="416"/>
      <c r="T1124" s="416"/>
      <c r="U1124" s="415"/>
      <c r="V1124" s="415"/>
    </row>
    <row r="1125" spans="1:22">
      <c r="A1125" s="91"/>
      <c r="B1125" s="244"/>
      <c r="C1125" s="417"/>
      <c r="D1125" s="417"/>
      <c r="E1125" s="417"/>
      <c r="F1125" s="417"/>
      <c r="G1125" s="417"/>
      <c r="H1125" s="417"/>
      <c r="I1125" s="417"/>
      <c r="J1125" s="417"/>
      <c r="K1125" s="417"/>
      <c r="L1125" s="417"/>
      <c r="M1125" s="415"/>
      <c r="N1125" s="415"/>
      <c r="O1125" s="415"/>
      <c r="P1125" s="415"/>
      <c r="Q1125" s="416"/>
      <c r="R1125" s="416"/>
      <c r="S1125" s="416"/>
      <c r="T1125" s="416"/>
      <c r="U1125" s="415"/>
      <c r="V1125" s="415"/>
    </row>
    <row r="1126" spans="1:22">
      <c r="A1126" s="91"/>
      <c r="B1126" s="244"/>
      <c r="C1126" s="417"/>
      <c r="D1126" s="417"/>
      <c r="E1126" s="417"/>
      <c r="F1126" s="417"/>
      <c r="G1126" s="417"/>
      <c r="H1126" s="417"/>
      <c r="I1126" s="417"/>
      <c r="J1126" s="417"/>
      <c r="K1126" s="417"/>
      <c r="L1126" s="417"/>
      <c r="M1126" s="415"/>
      <c r="N1126" s="415"/>
      <c r="O1126" s="415"/>
      <c r="P1126" s="415"/>
      <c r="Q1126" s="416"/>
      <c r="R1126" s="416"/>
      <c r="S1126" s="416"/>
      <c r="T1126" s="416"/>
      <c r="U1126" s="415"/>
      <c r="V1126" s="415"/>
    </row>
    <row r="1127" spans="1:22">
      <c r="A1127" s="91"/>
      <c r="B1127" s="244"/>
      <c r="C1127" s="417"/>
      <c r="D1127" s="417"/>
      <c r="E1127" s="417"/>
      <c r="F1127" s="417"/>
      <c r="G1127" s="417"/>
      <c r="H1127" s="417"/>
      <c r="I1127" s="417"/>
      <c r="J1127" s="417"/>
      <c r="K1127" s="417"/>
      <c r="L1127" s="417"/>
      <c r="M1127" s="415"/>
      <c r="N1127" s="415"/>
      <c r="O1127" s="415"/>
      <c r="P1127" s="415"/>
      <c r="Q1127" s="416"/>
      <c r="R1127" s="416"/>
      <c r="S1127" s="416"/>
      <c r="T1127" s="416"/>
      <c r="U1127" s="415"/>
      <c r="V1127" s="415"/>
    </row>
    <row r="1128" spans="1:22">
      <c r="A1128" s="91"/>
      <c r="B1128" s="244"/>
      <c r="C1128" s="417"/>
      <c r="D1128" s="417"/>
      <c r="E1128" s="417"/>
      <c r="F1128" s="417"/>
      <c r="G1128" s="417"/>
      <c r="H1128" s="417"/>
      <c r="I1128" s="417"/>
      <c r="J1128" s="417"/>
      <c r="K1128" s="417"/>
      <c r="L1128" s="417"/>
      <c r="M1128" s="415"/>
      <c r="N1128" s="415"/>
      <c r="O1128" s="415"/>
      <c r="P1128" s="415"/>
      <c r="Q1128" s="416"/>
      <c r="R1128" s="416"/>
      <c r="S1128" s="416"/>
      <c r="T1128" s="416"/>
      <c r="U1128" s="415"/>
      <c r="V1128" s="415"/>
    </row>
    <row r="1129" spans="1:22">
      <c r="A1129" s="91"/>
      <c r="B1129" s="244"/>
      <c r="C1129" s="417"/>
      <c r="D1129" s="417"/>
      <c r="E1129" s="417"/>
      <c r="F1129" s="417"/>
      <c r="G1129" s="417"/>
      <c r="H1129" s="417"/>
      <c r="I1129" s="417"/>
      <c r="J1129" s="417"/>
      <c r="K1129" s="417"/>
      <c r="L1129" s="417"/>
      <c r="M1129" s="415"/>
      <c r="N1129" s="415"/>
      <c r="O1129" s="415"/>
      <c r="P1129" s="415"/>
      <c r="Q1129" s="416"/>
      <c r="R1129" s="416"/>
      <c r="S1129" s="416"/>
      <c r="T1129" s="416"/>
      <c r="U1129" s="415"/>
      <c r="V1129" s="415"/>
    </row>
    <row r="1130" spans="1:22">
      <c r="A1130" s="91"/>
      <c r="B1130" s="244"/>
      <c r="C1130" s="417"/>
      <c r="D1130" s="417"/>
      <c r="E1130" s="417"/>
      <c r="F1130" s="417"/>
      <c r="G1130" s="417"/>
      <c r="H1130" s="417"/>
      <c r="I1130" s="417"/>
      <c r="J1130" s="417"/>
      <c r="K1130" s="417"/>
      <c r="L1130" s="417"/>
      <c r="M1130" s="415"/>
      <c r="N1130" s="415"/>
      <c r="O1130" s="415"/>
      <c r="P1130" s="415"/>
      <c r="Q1130" s="416"/>
      <c r="R1130" s="416"/>
      <c r="S1130" s="416"/>
      <c r="T1130" s="416"/>
      <c r="U1130" s="415"/>
      <c r="V1130" s="415"/>
    </row>
    <row r="1131" spans="1:22">
      <c r="A1131" s="91"/>
      <c r="B1131" s="244"/>
      <c r="C1131" s="417"/>
      <c r="D1131" s="417"/>
      <c r="E1131" s="417"/>
      <c r="F1131" s="417"/>
      <c r="G1131" s="417"/>
      <c r="H1131" s="417"/>
      <c r="I1131" s="417"/>
      <c r="J1131" s="417"/>
      <c r="K1131" s="417"/>
      <c r="L1131" s="417"/>
      <c r="M1131" s="415"/>
      <c r="N1131" s="415"/>
      <c r="O1131" s="415"/>
      <c r="P1131" s="415"/>
      <c r="Q1131" s="416"/>
      <c r="R1131" s="416"/>
      <c r="S1131" s="416"/>
      <c r="T1131" s="416"/>
      <c r="U1131" s="415"/>
      <c r="V1131" s="415"/>
    </row>
    <row r="1132" spans="1:22">
      <c r="A1132" s="91"/>
      <c r="B1132" s="244"/>
      <c r="C1132" s="417"/>
      <c r="D1132" s="417"/>
      <c r="E1132" s="417"/>
      <c r="F1132" s="417"/>
      <c r="G1132" s="417"/>
      <c r="H1132" s="417"/>
      <c r="I1132" s="417"/>
      <c r="J1132" s="417"/>
      <c r="K1132" s="417"/>
      <c r="L1132" s="417"/>
      <c r="M1132" s="415"/>
      <c r="N1132" s="415"/>
      <c r="O1132" s="415"/>
      <c r="P1132" s="415"/>
      <c r="Q1132" s="416"/>
      <c r="R1132" s="416"/>
      <c r="S1132" s="416"/>
      <c r="T1132" s="416"/>
      <c r="U1132" s="415"/>
      <c r="V1132" s="415"/>
    </row>
    <row r="1133" spans="1:22">
      <c r="A1133" s="91"/>
      <c r="B1133" s="244"/>
      <c r="C1133" s="417"/>
      <c r="D1133" s="417"/>
      <c r="E1133" s="417"/>
      <c r="F1133" s="417"/>
      <c r="G1133" s="417"/>
      <c r="H1133" s="417"/>
      <c r="I1133" s="417"/>
      <c r="J1133" s="417"/>
      <c r="K1133" s="417"/>
      <c r="L1133" s="417"/>
      <c r="M1133" s="415"/>
      <c r="N1133" s="415"/>
      <c r="O1133" s="415"/>
      <c r="P1133" s="415"/>
      <c r="Q1133" s="416"/>
      <c r="R1133" s="416"/>
      <c r="S1133" s="416"/>
      <c r="T1133" s="416"/>
      <c r="U1133" s="415"/>
      <c r="V1133" s="415"/>
    </row>
    <row r="1134" spans="1:22">
      <c r="A1134" s="91"/>
      <c r="B1134" s="244"/>
      <c r="C1134" s="417"/>
      <c r="D1134" s="417"/>
      <c r="E1134" s="417"/>
      <c r="F1134" s="417"/>
      <c r="G1134" s="417"/>
      <c r="H1134" s="417"/>
      <c r="I1134" s="417"/>
      <c r="J1134" s="417"/>
      <c r="K1134" s="417"/>
      <c r="L1134" s="417"/>
      <c r="M1134" s="415"/>
      <c r="N1134" s="415"/>
      <c r="O1134" s="415"/>
      <c r="P1134" s="415"/>
      <c r="Q1134" s="416"/>
      <c r="R1134" s="416"/>
      <c r="S1134" s="416"/>
      <c r="T1134" s="416"/>
      <c r="U1134" s="415"/>
      <c r="V1134" s="415"/>
    </row>
    <row r="1135" spans="1:22">
      <c r="A1135" s="91"/>
      <c r="B1135" s="244"/>
      <c r="C1135" s="417"/>
      <c r="D1135" s="417"/>
      <c r="E1135" s="417"/>
      <c r="F1135" s="417"/>
      <c r="G1135" s="417"/>
      <c r="H1135" s="417"/>
      <c r="I1135" s="417"/>
      <c r="J1135" s="417"/>
      <c r="K1135" s="417"/>
      <c r="L1135" s="417"/>
      <c r="M1135" s="415"/>
      <c r="N1135" s="415"/>
      <c r="O1135" s="415"/>
      <c r="P1135" s="415"/>
      <c r="Q1135" s="416"/>
      <c r="R1135" s="416"/>
      <c r="S1135" s="416"/>
      <c r="T1135" s="416"/>
      <c r="U1135" s="415"/>
      <c r="V1135" s="415"/>
    </row>
    <row r="1136" spans="1:22">
      <c r="A1136" s="91"/>
      <c r="B1136" s="244"/>
      <c r="C1136" s="417"/>
      <c r="D1136" s="417"/>
      <c r="E1136" s="417"/>
      <c r="F1136" s="417"/>
      <c r="G1136" s="417"/>
      <c r="H1136" s="417"/>
      <c r="I1136" s="417"/>
      <c r="J1136" s="417"/>
      <c r="K1136" s="417"/>
      <c r="L1136" s="417"/>
      <c r="M1136" s="415"/>
      <c r="N1136" s="415"/>
      <c r="O1136" s="415"/>
      <c r="P1136" s="415"/>
      <c r="Q1136" s="416"/>
      <c r="R1136" s="416"/>
      <c r="S1136" s="416"/>
      <c r="T1136" s="416"/>
      <c r="U1136" s="415"/>
      <c r="V1136" s="415"/>
    </row>
    <row r="1137" spans="1:22">
      <c r="A1137" s="91"/>
      <c r="B1137" s="244"/>
      <c r="C1137" s="417"/>
      <c r="D1137" s="417"/>
      <c r="E1137" s="417"/>
      <c r="F1137" s="417"/>
      <c r="G1137" s="417"/>
      <c r="H1137" s="417"/>
      <c r="I1137" s="417"/>
      <c r="J1137" s="417"/>
      <c r="K1137" s="417"/>
      <c r="L1137" s="417"/>
      <c r="M1137" s="415"/>
      <c r="N1137" s="415"/>
      <c r="O1137" s="415"/>
      <c r="P1137" s="415"/>
      <c r="Q1137" s="416"/>
      <c r="R1137" s="416"/>
      <c r="S1137" s="416"/>
      <c r="T1137" s="416"/>
      <c r="U1137" s="415"/>
      <c r="V1137" s="415"/>
    </row>
    <row r="1138" spans="1:22">
      <c r="A1138" s="91"/>
      <c r="B1138" s="244"/>
      <c r="C1138" s="417"/>
      <c r="D1138" s="417"/>
      <c r="E1138" s="417"/>
      <c r="F1138" s="417"/>
      <c r="G1138" s="417"/>
      <c r="H1138" s="417"/>
      <c r="I1138" s="417"/>
      <c r="J1138" s="417"/>
      <c r="K1138" s="417"/>
      <c r="L1138" s="417"/>
      <c r="M1138" s="415"/>
      <c r="N1138" s="415"/>
      <c r="O1138" s="415"/>
      <c r="P1138" s="415"/>
      <c r="Q1138" s="416"/>
      <c r="R1138" s="416"/>
      <c r="S1138" s="416"/>
      <c r="T1138" s="416"/>
      <c r="U1138" s="415"/>
      <c r="V1138" s="415"/>
    </row>
    <row r="1139" spans="1:22">
      <c r="A1139" s="91"/>
      <c r="B1139" s="244"/>
      <c r="C1139" s="417"/>
      <c r="D1139" s="417"/>
      <c r="E1139" s="417"/>
      <c r="F1139" s="417"/>
      <c r="G1139" s="417"/>
      <c r="H1139" s="417"/>
      <c r="I1139" s="417"/>
      <c r="J1139" s="417"/>
      <c r="K1139" s="417"/>
      <c r="L1139" s="417"/>
      <c r="M1139" s="415"/>
      <c r="N1139" s="415"/>
      <c r="O1139" s="415"/>
      <c r="P1139" s="415"/>
      <c r="Q1139" s="416"/>
      <c r="R1139" s="416"/>
      <c r="S1139" s="416"/>
      <c r="T1139" s="416"/>
      <c r="U1139" s="415"/>
      <c r="V1139" s="415"/>
    </row>
    <row r="1140" spans="1:22">
      <c r="A1140" s="91"/>
      <c r="B1140" s="244"/>
      <c r="C1140" s="417"/>
      <c r="D1140" s="417"/>
      <c r="E1140" s="417"/>
      <c r="F1140" s="417"/>
      <c r="G1140" s="417"/>
      <c r="H1140" s="417"/>
      <c r="I1140" s="417"/>
      <c r="J1140" s="417"/>
      <c r="K1140" s="417"/>
      <c r="L1140" s="417"/>
      <c r="M1140" s="415"/>
      <c r="N1140" s="415"/>
      <c r="O1140" s="415"/>
      <c r="P1140" s="415"/>
      <c r="Q1140" s="416"/>
      <c r="R1140" s="416"/>
      <c r="S1140" s="416"/>
      <c r="T1140" s="416"/>
      <c r="U1140" s="415"/>
      <c r="V1140" s="415"/>
    </row>
    <row r="1141" spans="1:22">
      <c r="A1141" s="91"/>
      <c r="B1141" s="244"/>
      <c r="C1141" s="417"/>
      <c r="D1141" s="417"/>
      <c r="E1141" s="417"/>
      <c r="F1141" s="417"/>
      <c r="G1141" s="417"/>
      <c r="H1141" s="417"/>
      <c r="I1141" s="417"/>
      <c r="J1141" s="417"/>
      <c r="K1141" s="417"/>
      <c r="L1141" s="417"/>
      <c r="M1141" s="415"/>
      <c r="N1141" s="415"/>
      <c r="O1141" s="415"/>
      <c r="P1141" s="415"/>
      <c r="Q1141" s="416"/>
      <c r="R1141" s="416"/>
      <c r="S1141" s="416"/>
      <c r="T1141" s="416"/>
      <c r="U1141" s="415"/>
      <c r="V1141" s="415"/>
    </row>
    <row r="1142" spans="1:22">
      <c r="A1142" s="91"/>
      <c r="B1142" s="244"/>
      <c r="C1142" s="417"/>
      <c r="D1142" s="417"/>
      <c r="E1142" s="417"/>
      <c r="F1142" s="417"/>
      <c r="G1142" s="417"/>
      <c r="H1142" s="417"/>
      <c r="I1142" s="417"/>
      <c r="J1142" s="417"/>
      <c r="K1142" s="417"/>
      <c r="L1142" s="417"/>
      <c r="M1142" s="415"/>
      <c r="N1142" s="415"/>
      <c r="O1142" s="415"/>
      <c r="P1142" s="415"/>
      <c r="Q1142" s="416"/>
      <c r="R1142" s="416"/>
      <c r="S1142" s="416"/>
      <c r="T1142" s="416"/>
      <c r="U1142" s="415"/>
      <c r="V1142" s="415"/>
    </row>
    <row r="1143" spans="1:22">
      <c r="A1143" s="91"/>
      <c r="B1143" s="244"/>
      <c r="C1143" s="417"/>
      <c r="D1143" s="417"/>
      <c r="E1143" s="417"/>
      <c r="F1143" s="417"/>
      <c r="G1143" s="417"/>
      <c r="H1143" s="417"/>
      <c r="I1143" s="417"/>
      <c r="J1143" s="417"/>
      <c r="K1143" s="417"/>
      <c r="L1143" s="417"/>
      <c r="M1143" s="415"/>
      <c r="N1143" s="415"/>
      <c r="O1143" s="415"/>
      <c r="P1143" s="415"/>
      <c r="Q1143" s="416"/>
      <c r="R1143" s="416"/>
      <c r="S1143" s="416"/>
      <c r="T1143" s="416"/>
      <c r="U1143" s="415"/>
      <c r="V1143" s="415"/>
    </row>
    <row r="1144" spans="1:22">
      <c r="A1144" s="91"/>
      <c r="B1144" s="244"/>
      <c r="C1144" s="417"/>
      <c r="D1144" s="417"/>
      <c r="E1144" s="417"/>
      <c r="F1144" s="417"/>
      <c r="G1144" s="417"/>
      <c r="H1144" s="417"/>
      <c r="I1144" s="417"/>
      <c r="J1144" s="417"/>
      <c r="K1144" s="417"/>
      <c r="L1144" s="417"/>
      <c r="M1144" s="415"/>
      <c r="N1144" s="415"/>
      <c r="O1144" s="415"/>
      <c r="P1144" s="415"/>
      <c r="Q1144" s="416"/>
      <c r="R1144" s="416"/>
      <c r="S1144" s="416"/>
      <c r="T1144" s="416"/>
      <c r="U1144" s="415"/>
      <c r="V1144" s="415"/>
    </row>
    <row r="1145" spans="1:22">
      <c r="A1145" s="91"/>
      <c r="B1145" s="244"/>
      <c r="C1145" s="417"/>
      <c r="D1145" s="417"/>
      <c r="E1145" s="417"/>
      <c r="F1145" s="417"/>
      <c r="G1145" s="417"/>
      <c r="H1145" s="417"/>
      <c r="I1145" s="417"/>
      <c r="J1145" s="417"/>
      <c r="K1145" s="417"/>
      <c r="L1145" s="417"/>
      <c r="M1145" s="415"/>
      <c r="N1145" s="415"/>
      <c r="O1145" s="415"/>
      <c r="P1145" s="415"/>
      <c r="Q1145" s="416"/>
      <c r="R1145" s="416"/>
      <c r="S1145" s="416"/>
      <c r="T1145" s="416"/>
      <c r="U1145" s="415"/>
      <c r="V1145" s="415"/>
    </row>
    <row r="1146" spans="1:22">
      <c r="A1146" s="91"/>
      <c r="B1146" s="244"/>
      <c r="C1146" s="417"/>
      <c r="D1146" s="417"/>
      <c r="E1146" s="417"/>
      <c r="F1146" s="417"/>
      <c r="G1146" s="417"/>
      <c r="H1146" s="417"/>
      <c r="I1146" s="417"/>
      <c r="J1146" s="417"/>
      <c r="K1146" s="417"/>
      <c r="L1146" s="417"/>
      <c r="M1146" s="415"/>
      <c r="N1146" s="415"/>
      <c r="O1146" s="415"/>
      <c r="P1146" s="415"/>
      <c r="Q1146" s="416"/>
      <c r="R1146" s="416"/>
      <c r="S1146" s="416"/>
      <c r="T1146" s="416"/>
      <c r="U1146" s="415"/>
      <c r="V1146" s="415"/>
    </row>
    <row r="1147" spans="1:22">
      <c r="A1147" s="91"/>
      <c r="B1147" s="244"/>
      <c r="C1147" s="417"/>
      <c r="D1147" s="417"/>
      <c r="E1147" s="417"/>
      <c r="F1147" s="417"/>
      <c r="G1147" s="417"/>
      <c r="H1147" s="417"/>
      <c r="I1147" s="417"/>
      <c r="J1147" s="417"/>
      <c r="K1147" s="417"/>
      <c r="L1147" s="417"/>
      <c r="M1147" s="415"/>
      <c r="N1147" s="415"/>
      <c r="O1147" s="415"/>
      <c r="P1147" s="415"/>
      <c r="Q1147" s="416"/>
      <c r="R1147" s="416"/>
      <c r="S1147" s="416"/>
      <c r="T1147" s="416"/>
      <c r="U1147" s="415"/>
      <c r="V1147" s="415"/>
    </row>
    <row r="1148" spans="1:22">
      <c r="A1148" s="91"/>
      <c r="B1148" s="244"/>
      <c r="C1148" s="417"/>
      <c r="D1148" s="417"/>
      <c r="E1148" s="417"/>
      <c r="F1148" s="417"/>
      <c r="G1148" s="417"/>
      <c r="H1148" s="417"/>
      <c r="I1148" s="417"/>
      <c r="J1148" s="417"/>
      <c r="K1148" s="417"/>
      <c r="L1148" s="417"/>
      <c r="M1148" s="415"/>
      <c r="N1148" s="415"/>
      <c r="O1148" s="415"/>
      <c r="P1148" s="415"/>
      <c r="Q1148" s="416"/>
      <c r="R1148" s="416"/>
      <c r="S1148" s="416"/>
      <c r="T1148" s="416"/>
      <c r="U1148" s="415"/>
      <c r="V1148" s="415"/>
    </row>
    <row r="1149" spans="1:22">
      <c r="A1149" s="91"/>
      <c r="B1149" s="244"/>
      <c r="C1149" s="417"/>
      <c r="D1149" s="417"/>
      <c r="E1149" s="417"/>
      <c r="F1149" s="417"/>
      <c r="G1149" s="417"/>
      <c r="H1149" s="417"/>
      <c r="I1149" s="417"/>
      <c r="J1149" s="417"/>
      <c r="K1149" s="417"/>
      <c r="L1149" s="417"/>
      <c r="M1149" s="415"/>
      <c r="N1149" s="415"/>
      <c r="O1149" s="415"/>
      <c r="P1149" s="415"/>
      <c r="Q1149" s="416"/>
      <c r="R1149" s="416"/>
      <c r="S1149" s="416"/>
      <c r="T1149" s="416"/>
      <c r="U1149" s="415"/>
      <c r="V1149" s="415"/>
    </row>
    <row r="1150" spans="1:22">
      <c r="A1150" s="91"/>
      <c r="B1150" s="244"/>
      <c r="C1150" s="417"/>
      <c r="D1150" s="417"/>
      <c r="E1150" s="417"/>
      <c r="F1150" s="417"/>
      <c r="G1150" s="417"/>
      <c r="H1150" s="417"/>
      <c r="I1150" s="417"/>
      <c r="J1150" s="417"/>
      <c r="K1150" s="417"/>
      <c r="L1150" s="417"/>
      <c r="M1150" s="415"/>
      <c r="N1150" s="415"/>
      <c r="O1150" s="415"/>
      <c r="P1150" s="415"/>
      <c r="Q1150" s="416"/>
      <c r="R1150" s="416"/>
      <c r="S1150" s="416"/>
      <c r="T1150" s="416"/>
      <c r="U1150" s="415"/>
      <c r="V1150" s="415"/>
    </row>
    <row r="1151" spans="1:22">
      <c r="A1151" s="91"/>
      <c r="B1151" s="244"/>
      <c r="C1151" s="417"/>
      <c r="D1151" s="417"/>
      <c r="E1151" s="417"/>
      <c r="F1151" s="417"/>
      <c r="G1151" s="417"/>
      <c r="H1151" s="417"/>
      <c r="I1151" s="417"/>
      <c r="J1151" s="417"/>
      <c r="K1151" s="417"/>
      <c r="L1151" s="417"/>
      <c r="M1151" s="415"/>
      <c r="N1151" s="415"/>
      <c r="O1151" s="415"/>
      <c r="P1151" s="415"/>
      <c r="Q1151" s="416"/>
      <c r="R1151" s="416"/>
      <c r="S1151" s="416"/>
      <c r="T1151" s="416"/>
      <c r="U1151" s="415"/>
      <c r="V1151" s="415"/>
    </row>
    <row r="1152" spans="1:22">
      <c r="A1152" s="91"/>
      <c r="B1152" s="244"/>
      <c r="C1152" s="417"/>
      <c r="D1152" s="417"/>
      <c r="E1152" s="417"/>
      <c r="F1152" s="417"/>
      <c r="G1152" s="417"/>
      <c r="H1152" s="417"/>
      <c r="I1152" s="417"/>
      <c r="J1152" s="417"/>
      <c r="K1152" s="417"/>
      <c r="L1152" s="417"/>
      <c r="M1152" s="415"/>
      <c r="N1152" s="415"/>
      <c r="O1152" s="415"/>
      <c r="P1152" s="415"/>
      <c r="Q1152" s="416"/>
      <c r="R1152" s="416"/>
      <c r="S1152" s="416"/>
      <c r="T1152" s="416"/>
      <c r="U1152" s="415"/>
      <c r="V1152" s="415"/>
    </row>
    <row r="1153" spans="1:22">
      <c r="A1153" s="91"/>
      <c r="B1153" s="244"/>
      <c r="C1153" s="417"/>
      <c r="D1153" s="417"/>
      <c r="E1153" s="417"/>
      <c r="F1153" s="417"/>
      <c r="G1153" s="417"/>
      <c r="H1153" s="417"/>
      <c r="I1153" s="417"/>
      <c r="J1153" s="417"/>
      <c r="K1153" s="417"/>
      <c r="L1153" s="417"/>
      <c r="M1153" s="415"/>
      <c r="N1153" s="415"/>
      <c r="O1153" s="415"/>
      <c r="P1153" s="415"/>
      <c r="Q1153" s="416"/>
      <c r="R1153" s="416"/>
      <c r="S1153" s="416"/>
      <c r="T1153" s="416"/>
      <c r="U1153" s="415"/>
      <c r="V1153" s="415"/>
    </row>
    <row r="1154" spans="1:22">
      <c r="A1154" s="91"/>
      <c r="B1154" s="244"/>
      <c r="C1154" s="417"/>
      <c r="D1154" s="417"/>
      <c r="E1154" s="417"/>
      <c r="F1154" s="417"/>
      <c r="G1154" s="417"/>
      <c r="H1154" s="417"/>
      <c r="I1154" s="417"/>
      <c r="J1154" s="417"/>
      <c r="K1154" s="417"/>
      <c r="L1154" s="417"/>
      <c r="M1154" s="415"/>
      <c r="N1154" s="415"/>
      <c r="O1154" s="415"/>
      <c r="P1154" s="415"/>
      <c r="Q1154" s="416"/>
      <c r="R1154" s="416"/>
      <c r="S1154" s="416"/>
      <c r="T1154" s="416"/>
      <c r="U1154" s="415"/>
      <c r="V1154" s="415"/>
    </row>
    <row r="1155" spans="1:22">
      <c r="A1155" s="91"/>
      <c r="B1155" s="244"/>
      <c r="C1155" s="417"/>
      <c r="D1155" s="417"/>
      <c r="E1155" s="417"/>
      <c r="F1155" s="417"/>
      <c r="G1155" s="417"/>
      <c r="H1155" s="417"/>
      <c r="I1155" s="417"/>
      <c r="J1155" s="417"/>
      <c r="K1155" s="417"/>
      <c r="L1155" s="417"/>
      <c r="M1155" s="415"/>
      <c r="N1155" s="415"/>
      <c r="O1155" s="415"/>
      <c r="P1155" s="415"/>
      <c r="Q1155" s="416"/>
      <c r="R1155" s="416"/>
      <c r="S1155" s="416"/>
      <c r="T1155" s="416"/>
      <c r="U1155" s="415"/>
      <c r="V1155" s="415"/>
    </row>
    <row r="1156" spans="1:22">
      <c r="A1156" s="91"/>
      <c r="B1156" s="244"/>
      <c r="C1156" s="417"/>
      <c r="D1156" s="417"/>
      <c r="E1156" s="417"/>
      <c r="F1156" s="417"/>
      <c r="G1156" s="417"/>
      <c r="H1156" s="417"/>
      <c r="I1156" s="417"/>
      <c r="J1156" s="417"/>
      <c r="K1156" s="417"/>
      <c r="L1156" s="417"/>
      <c r="M1156" s="415"/>
      <c r="N1156" s="415"/>
      <c r="O1156" s="415"/>
      <c r="P1156" s="415"/>
      <c r="Q1156" s="416"/>
      <c r="R1156" s="416"/>
      <c r="S1156" s="416"/>
      <c r="T1156" s="416"/>
      <c r="U1156" s="415"/>
      <c r="V1156" s="415"/>
    </row>
    <row r="1157" spans="1:22">
      <c r="A1157" s="91"/>
      <c r="B1157" s="244"/>
      <c r="C1157" s="417"/>
      <c r="D1157" s="417"/>
      <c r="E1157" s="417"/>
      <c r="F1157" s="417"/>
      <c r="G1157" s="417"/>
      <c r="H1157" s="417"/>
      <c r="I1157" s="417"/>
      <c r="J1157" s="417"/>
      <c r="K1157" s="417"/>
      <c r="L1157" s="417"/>
      <c r="M1157" s="415"/>
      <c r="N1157" s="415"/>
      <c r="O1157" s="415"/>
      <c r="P1157" s="415"/>
      <c r="Q1157" s="416"/>
      <c r="R1157" s="416"/>
      <c r="S1157" s="416"/>
      <c r="T1157" s="416"/>
      <c r="U1157" s="415"/>
      <c r="V1157" s="415"/>
    </row>
    <row r="1158" spans="1:22">
      <c r="A1158" s="91"/>
      <c r="B1158" s="244"/>
      <c r="C1158" s="417"/>
      <c r="D1158" s="417"/>
      <c r="E1158" s="417"/>
      <c r="F1158" s="417"/>
      <c r="G1158" s="417"/>
      <c r="H1158" s="417"/>
      <c r="I1158" s="417"/>
      <c r="J1158" s="417"/>
      <c r="K1158" s="417"/>
      <c r="L1158" s="417"/>
      <c r="M1158" s="415"/>
      <c r="N1158" s="415"/>
      <c r="O1158" s="415"/>
      <c r="P1158" s="415"/>
      <c r="Q1158" s="416"/>
      <c r="R1158" s="416"/>
      <c r="S1158" s="416"/>
      <c r="T1158" s="416"/>
      <c r="U1158" s="415"/>
      <c r="V1158" s="415"/>
    </row>
    <row r="1159" spans="1:22">
      <c r="A1159" s="91"/>
      <c r="B1159" s="244"/>
      <c r="C1159" s="417"/>
      <c r="D1159" s="417"/>
      <c r="E1159" s="417"/>
      <c r="F1159" s="417"/>
      <c r="G1159" s="417"/>
      <c r="H1159" s="417"/>
      <c r="I1159" s="417"/>
      <c r="J1159" s="417"/>
      <c r="K1159" s="417"/>
      <c r="L1159" s="417"/>
      <c r="M1159" s="415"/>
      <c r="N1159" s="415"/>
      <c r="O1159" s="415"/>
      <c r="P1159" s="415"/>
      <c r="Q1159" s="416"/>
      <c r="R1159" s="416"/>
      <c r="S1159" s="416"/>
      <c r="T1159" s="416"/>
      <c r="U1159" s="415"/>
      <c r="V1159" s="415"/>
    </row>
    <row r="1160" spans="1:22">
      <c r="A1160" s="91"/>
      <c r="B1160" s="244"/>
      <c r="C1160" s="417"/>
      <c r="D1160" s="417"/>
      <c r="E1160" s="417"/>
      <c r="F1160" s="417"/>
      <c r="G1160" s="417"/>
      <c r="H1160" s="417"/>
      <c r="I1160" s="417"/>
      <c r="J1160" s="417"/>
      <c r="K1160" s="417"/>
      <c r="L1160" s="417"/>
      <c r="M1160" s="415"/>
      <c r="N1160" s="415"/>
      <c r="O1160" s="415"/>
      <c r="P1160" s="415"/>
      <c r="Q1160" s="416"/>
      <c r="R1160" s="416"/>
      <c r="S1160" s="416"/>
      <c r="T1160" s="416"/>
      <c r="U1160" s="415"/>
      <c r="V1160" s="415"/>
    </row>
    <row r="1161" spans="1:22">
      <c r="A1161" s="91"/>
      <c r="B1161" s="244"/>
      <c r="C1161" s="417"/>
      <c r="D1161" s="417"/>
      <c r="E1161" s="417"/>
      <c r="F1161" s="417"/>
      <c r="G1161" s="417"/>
      <c r="H1161" s="417"/>
      <c r="I1161" s="417"/>
      <c r="J1161" s="417"/>
      <c r="K1161" s="417"/>
      <c r="L1161" s="417"/>
      <c r="M1161" s="415"/>
      <c r="N1161" s="415"/>
      <c r="O1161" s="415"/>
      <c r="P1161" s="415"/>
      <c r="Q1161" s="416"/>
      <c r="R1161" s="416"/>
      <c r="S1161" s="416"/>
      <c r="T1161" s="416"/>
      <c r="U1161" s="415"/>
      <c r="V1161" s="415"/>
    </row>
    <row r="1162" spans="1:22">
      <c r="A1162" s="91"/>
      <c r="B1162" s="244"/>
      <c r="C1162" s="417"/>
      <c r="D1162" s="417"/>
      <c r="E1162" s="417"/>
      <c r="F1162" s="417"/>
      <c r="G1162" s="417"/>
      <c r="H1162" s="417"/>
      <c r="I1162" s="417"/>
      <c r="J1162" s="417"/>
      <c r="K1162" s="417"/>
      <c r="L1162" s="417"/>
      <c r="M1162" s="415"/>
      <c r="N1162" s="415"/>
      <c r="O1162" s="415"/>
      <c r="P1162" s="415"/>
      <c r="Q1162" s="416"/>
      <c r="R1162" s="416"/>
      <c r="S1162" s="416"/>
      <c r="T1162" s="416"/>
      <c r="U1162" s="415"/>
      <c r="V1162" s="415"/>
    </row>
    <row r="1163" spans="1:22">
      <c r="A1163" s="91"/>
      <c r="B1163" s="244"/>
      <c r="C1163" s="417"/>
      <c r="D1163" s="417"/>
      <c r="E1163" s="417"/>
      <c r="F1163" s="417"/>
      <c r="G1163" s="417"/>
      <c r="H1163" s="417"/>
      <c r="I1163" s="417"/>
      <c r="J1163" s="417"/>
      <c r="K1163" s="417"/>
      <c r="L1163" s="417"/>
      <c r="M1163" s="415"/>
      <c r="N1163" s="415"/>
      <c r="O1163" s="415"/>
      <c r="P1163" s="415"/>
      <c r="Q1163" s="416"/>
      <c r="R1163" s="416"/>
      <c r="S1163" s="416"/>
      <c r="T1163" s="416"/>
      <c r="U1163" s="415"/>
      <c r="V1163" s="415"/>
    </row>
    <row r="1164" spans="1:22">
      <c r="A1164" s="91"/>
      <c r="B1164" s="244"/>
      <c r="C1164" s="417"/>
      <c r="D1164" s="417"/>
      <c r="E1164" s="417"/>
      <c r="F1164" s="417"/>
      <c r="G1164" s="417"/>
      <c r="H1164" s="417"/>
      <c r="I1164" s="417"/>
      <c r="J1164" s="417"/>
      <c r="K1164" s="417"/>
      <c r="L1164" s="417"/>
      <c r="M1164" s="415"/>
      <c r="N1164" s="415"/>
      <c r="O1164" s="415"/>
      <c r="P1164" s="415"/>
      <c r="Q1164" s="416"/>
      <c r="R1164" s="416"/>
      <c r="S1164" s="416"/>
      <c r="T1164" s="416"/>
      <c r="U1164" s="415"/>
      <c r="V1164" s="415"/>
    </row>
    <row r="1165" spans="1:22">
      <c r="A1165" s="91"/>
      <c r="B1165" s="244"/>
      <c r="C1165" s="417"/>
      <c r="D1165" s="417"/>
      <c r="E1165" s="417"/>
      <c r="F1165" s="417"/>
      <c r="G1165" s="417"/>
      <c r="H1165" s="417"/>
      <c r="I1165" s="417"/>
      <c r="J1165" s="417"/>
      <c r="K1165" s="417"/>
      <c r="L1165" s="417"/>
      <c r="M1165" s="415"/>
      <c r="N1165" s="415"/>
      <c r="O1165" s="415"/>
      <c r="P1165" s="415"/>
      <c r="Q1165" s="416"/>
      <c r="R1165" s="416"/>
      <c r="S1165" s="416"/>
      <c r="T1165" s="416"/>
      <c r="U1165" s="415"/>
      <c r="V1165" s="415"/>
    </row>
    <row r="1166" spans="1:22">
      <c r="A1166" s="91"/>
      <c r="B1166" s="244"/>
      <c r="C1166" s="417"/>
      <c r="D1166" s="417"/>
      <c r="E1166" s="417"/>
      <c r="F1166" s="417"/>
      <c r="G1166" s="417"/>
      <c r="H1166" s="417"/>
      <c r="I1166" s="417"/>
      <c r="J1166" s="417"/>
      <c r="K1166" s="417"/>
      <c r="L1166" s="417"/>
      <c r="M1166" s="415"/>
      <c r="N1166" s="415"/>
      <c r="O1166" s="415"/>
      <c r="P1166" s="415"/>
      <c r="Q1166" s="416"/>
      <c r="R1166" s="416"/>
      <c r="S1166" s="416"/>
      <c r="T1166" s="416"/>
      <c r="U1166" s="415"/>
      <c r="V1166" s="415"/>
    </row>
    <row r="1167" spans="1:22">
      <c r="A1167" s="91"/>
      <c r="B1167" s="244"/>
      <c r="C1167" s="417"/>
      <c r="D1167" s="417"/>
      <c r="E1167" s="417"/>
      <c r="F1167" s="417"/>
      <c r="G1167" s="417"/>
      <c r="H1167" s="417"/>
      <c r="I1167" s="417"/>
      <c r="J1167" s="417"/>
      <c r="K1167" s="417"/>
      <c r="L1167" s="417"/>
      <c r="M1167" s="415"/>
      <c r="N1167" s="415"/>
      <c r="O1167" s="415"/>
      <c r="P1167" s="415"/>
      <c r="Q1167" s="416"/>
      <c r="R1167" s="416"/>
      <c r="S1167" s="416"/>
      <c r="T1167" s="416"/>
      <c r="U1167" s="415"/>
      <c r="V1167" s="415"/>
    </row>
    <row r="1168" spans="1:22">
      <c r="A1168" s="91"/>
      <c r="B1168" s="244"/>
      <c r="C1168" s="417"/>
      <c r="D1168" s="417"/>
      <c r="E1168" s="417"/>
      <c r="F1168" s="417"/>
      <c r="G1168" s="417"/>
      <c r="H1168" s="417"/>
      <c r="I1168" s="417"/>
      <c r="J1168" s="417"/>
      <c r="K1168" s="417"/>
      <c r="L1168" s="417"/>
      <c r="M1168" s="415"/>
      <c r="N1168" s="415"/>
      <c r="O1168" s="415"/>
      <c r="P1168" s="415"/>
      <c r="Q1168" s="416"/>
      <c r="R1168" s="416"/>
      <c r="S1168" s="416"/>
      <c r="T1168" s="416"/>
      <c r="U1168" s="415"/>
      <c r="V1168" s="415"/>
    </row>
    <row r="1169" spans="1:22">
      <c r="A1169" s="91"/>
      <c r="B1169" s="244"/>
      <c r="C1169" s="417"/>
      <c r="D1169" s="417"/>
      <c r="E1169" s="417"/>
      <c r="F1169" s="417"/>
      <c r="G1169" s="417"/>
      <c r="H1169" s="417"/>
      <c r="I1169" s="417"/>
      <c r="J1169" s="417"/>
      <c r="K1169" s="417"/>
      <c r="L1169" s="417"/>
      <c r="M1169" s="415"/>
      <c r="N1169" s="415"/>
      <c r="O1169" s="415"/>
      <c r="P1169" s="415"/>
      <c r="Q1169" s="416"/>
      <c r="R1169" s="416"/>
      <c r="S1169" s="416"/>
      <c r="T1169" s="416"/>
      <c r="U1169" s="415"/>
      <c r="V1169" s="415"/>
    </row>
    <row r="1170" spans="1:22">
      <c r="A1170" s="91"/>
      <c r="B1170" s="244"/>
      <c r="C1170" s="417"/>
      <c r="D1170" s="417"/>
      <c r="E1170" s="417"/>
      <c r="F1170" s="417"/>
      <c r="G1170" s="417"/>
      <c r="H1170" s="417"/>
      <c r="I1170" s="417"/>
      <c r="J1170" s="417"/>
      <c r="K1170" s="417"/>
      <c r="L1170" s="417"/>
      <c r="M1170" s="415"/>
      <c r="N1170" s="415"/>
      <c r="O1170" s="415"/>
      <c r="P1170" s="415"/>
      <c r="Q1170" s="416"/>
      <c r="R1170" s="416"/>
      <c r="S1170" s="416"/>
      <c r="T1170" s="416"/>
      <c r="U1170" s="415"/>
      <c r="V1170" s="415"/>
    </row>
    <row r="1171" spans="1:22">
      <c r="A1171" s="91"/>
      <c r="B1171" s="244"/>
      <c r="C1171" s="417"/>
      <c r="D1171" s="417"/>
      <c r="E1171" s="417"/>
      <c r="F1171" s="417"/>
      <c r="G1171" s="417"/>
      <c r="H1171" s="417"/>
      <c r="I1171" s="417"/>
      <c r="J1171" s="417"/>
      <c r="K1171" s="417"/>
      <c r="L1171" s="417"/>
      <c r="M1171" s="415"/>
      <c r="N1171" s="415"/>
      <c r="O1171" s="415"/>
      <c r="P1171" s="415"/>
      <c r="Q1171" s="416"/>
      <c r="R1171" s="416"/>
      <c r="S1171" s="416"/>
      <c r="T1171" s="416"/>
      <c r="U1171" s="415"/>
      <c r="V1171" s="415"/>
    </row>
    <row r="1172" spans="1:22">
      <c r="A1172" s="91"/>
      <c r="B1172" s="244"/>
      <c r="C1172" s="417"/>
      <c r="D1172" s="417"/>
      <c r="E1172" s="417"/>
      <c r="F1172" s="417"/>
      <c r="G1172" s="417"/>
      <c r="H1172" s="417"/>
      <c r="I1172" s="417"/>
      <c r="J1172" s="417"/>
      <c r="K1172" s="417"/>
      <c r="L1172" s="417"/>
      <c r="M1172" s="415"/>
      <c r="N1172" s="415"/>
      <c r="O1172" s="415"/>
      <c r="P1172" s="415"/>
      <c r="Q1172" s="416"/>
      <c r="R1172" s="416"/>
      <c r="S1172" s="416"/>
      <c r="T1172" s="416"/>
      <c r="U1172" s="415"/>
      <c r="V1172" s="415"/>
    </row>
    <row r="1173" spans="1:22">
      <c r="A1173" s="91"/>
      <c r="B1173" s="244"/>
      <c r="C1173" s="417"/>
      <c r="D1173" s="417"/>
      <c r="E1173" s="417"/>
      <c r="F1173" s="417"/>
      <c r="G1173" s="417"/>
      <c r="H1173" s="417"/>
      <c r="I1173" s="417"/>
      <c r="J1173" s="417"/>
      <c r="K1173" s="417"/>
      <c r="L1173" s="417"/>
      <c r="M1173" s="415"/>
      <c r="N1173" s="415"/>
      <c r="O1173" s="415"/>
      <c r="P1173" s="415"/>
      <c r="Q1173" s="416"/>
      <c r="R1173" s="416"/>
      <c r="S1173" s="416"/>
      <c r="T1173" s="416"/>
      <c r="U1173" s="415"/>
      <c r="V1173" s="415"/>
    </row>
    <row r="1174" spans="1:22">
      <c r="A1174" s="91"/>
      <c r="B1174" s="244"/>
      <c r="C1174" s="417"/>
      <c r="D1174" s="417"/>
      <c r="E1174" s="417"/>
      <c r="F1174" s="417"/>
      <c r="G1174" s="417"/>
      <c r="H1174" s="417"/>
      <c r="I1174" s="417"/>
      <c r="J1174" s="417"/>
      <c r="K1174" s="417"/>
      <c r="L1174" s="417"/>
      <c r="M1174" s="415"/>
      <c r="N1174" s="415"/>
      <c r="O1174" s="415"/>
      <c r="P1174" s="415"/>
      <c r="Q1174" s="416"/>
      <c r="R1174" s="416"/>
      <c r="S1174" s="416"/>
      <c r="T1174" s="416"/>
      <c r="U1174" s="415"/>
      <c r="V1174" s="415"/>
    </row>
    <row r="1175" spans="1:22">
      <c r="A1175" s="91"/>
      <c r="B1175" s="244"/>
      <c r="C1175" s="417"/>
      <c r="D1175" s="417"/>
      <c r="E1175" s="417"/>
      <c r="F1175" s="417"/>
      <c r="G1175" s="417"/>
      <c r="H1175" s="417"/>
      <c r="I1175" s="417"/>
      <c r="J1175" s="417"/>
      <c r="K1175" s="417"/>
      <c r="L1175" s="417"/>
      <c r="M1175" s="415"/>
      <c r="N1175" s="415"/>
      <c r="O1175" s="415"/>
      <c r="P1175" s="415"/>
      <c r="Q1175" s="416"/>
      <c r="R1175" s="416"/>
      <c r="S1175" s="416"/>
      <c r="T1175" s="416"/>
      <c r="U1175" s="415"/>
      <c r="V1175" s="415"/>
    </row>
    <row r="1176" spans="1:22">
      <c r="A1176" s="91"/>
      <c r="B1176" s="244"/>
      <c r="C1176" s="417"/>
      <c r="D1176" s="417"/>
      <c r="E1176" s="417"/>
      <c r="F1176" s="417"/>
      <c r="G1176" s="417"/>
      <c r="H1176" s="417"/>
      <c r="I1176" s="417"/>
      <c r="J1176" s="417"/>
      <c r="K1176" s="417"/>
      <c r="L1176" s="417"/>
      <c r="M1176" s="415"/>
      <c r="N1176" s="415"/>
      <c r="O1176" s="415"/>
      <c r="P1176" s="415"/>
      <c r="Q1176" s="416"/>
      <c r="R1176" s="416"/>
      <c r="S1176" s="416"/>
      <c r="T1176" s="416"/>
      <c r="U1176" s="415"/>
      <c r="V1176" s="415"/>
    </row>
    <row r="1177" spans="1:22">
      <c r="A1177" s="91"/>
      <c r="B1177" s="244"/>
      <c r="C1177" s="417"/>
      <c r="D1177" s="417"/>
      <c r="E1177" s="417"/>
      <c r="F1177" s="417"/>
      <c r="G1177" s="417"/>
      <c r="H1177" s="417"/>
      <c r="I1177" s="417"/>
      <c r="J1177" s="417"/>
      <c r="K1177" s="417"/>
      <c r="L1177" s="417"/>
      <c r="M1177" s="415"/>
      <c r="N1177" s="415"/>
      <c r="O1177" s="415"/>
      <c r="P1177" s="415"/>
      <c r="Q1177" s="416"/>
      <c r="R1177" s="416"/>
      <c r="S1177" s="416"/>
      <c r="T1177" s="416"/>
      <c r="U1177" s="415"/>
      <c r="V1177" s="415"/>
    </row>
    <row r="1178" spans="1:22">
      <c r="A1178" s="91"/>
      <c r="B1178" s="244"/>
      <c r="C1178" s="417"/>
      <c r="D1178" s="417"/>
      <c r="E1178" s="417"/>
      <c r="F1178" s="417"/>
      <c r="G1178" s="417"/>
      <c r="H1178" s="417"/>
      <c r="I1178" s="417"/>
      <c r="J1178" s="417"/>
      <c r="K1178" s="417"/>
      <c r="L1178" s="417"/>
      <c r="M1178" s="415"/>
      <c r="N1178" s="415"/>
      <c r="O1178" s="415"/>
      <c r="P1178" s="415"/>
      <c r="Q1178" s="416"/>
      <c r="R1178" s="416"/>
      <c r="S1178" s="416"/>
      <c r="T1178" s="416"/>
      <c r="U1178" s="415"/>
      <c r="V1178" s="415"/>
    </row>
    <row r="1179" spans="1:22">
      <c r="A1179" s="91"/>
      <c r="B1179" s="244"/>
      <c r="C1179" s="417"/>
      <c r="D1179" s="417"/>
      <c r="E1179" s="417"/>
      <c r="F1179" s="417"/>
      <c r="G1179" s="417"/>
      <c r="H1179" s="417"/>
      <c r="I1179" s="417"/>
      <c r="J1179" s="417"/>
      <c r="K1179" s="417"/>
      <c r="L1179" s="417"/>
      <c r="M1179" s="415"/>
      <c r="N1179" s="415"/>
      <c r="O1179" s="415"/>
      <c r="P1179" s="415"/>
      <c r="Q1179" s="416"/>
      <c r="R1179" s="416"/>
      <c r="S1179" s="416"/>
      <c r="T1179" s="416"/>
      <c r="U1179" s="415"/>
      <c r="V1179" s="415"/>
    </row>
    <row r="1180" spans="1:22">
      <c r="A1180" s="91"/>
      <c r="B1180" s="244"/>
      <c r="C1180" s="417"/>
      <c r="D1180" s="417"/>
      <c r="E1180" s="417"/>
      <c r="F1180" s="417"/>
      <c r="G1180" s="417"/>
      <c r="H1180" s="417"/>
      <c r="I1180" s="417"/>
      <c r="J1180" s="417"/>
      <c r="K1180" s="417"/>
      <c r="L1180" s="417"/>
      <c r="M1180" s="415"/>
      <c r="N1180" s="415"/>
      <c r="O1180" s="415"/>
      <c r="P1180" s="415"/>
      <c r="Q1180" s="416"/>
      <c r="R1180" s="416"/>
      <c r="S1180" s="416"/>
      <c r="T1180" s="416"/>
      <c r="U1180" s="415"/>
      <c r="V1180" s="415"/>
    </row>
    <row r="1181" spans="1:22">
      <c r="A1181" s="91"/>
      <c r="B1181" s="244"/>
      <c r="C1181" s="417"/>
      <c r="D1181" s="417"/>
      <c r="E1181" s="417"/>
      <c r="F1181" s="417"/>
      <c r="G1181" s="417"/>
      <c r="H1181" s="417"/>
      <c r="I1181" s="417"/>
      <c r="J1181" s="417"/>
      <c r="K1181" s="417"/>
      <c r="L1181" s="417"/>
      <c r="M1181" s="415"/>
      <c r="N1181" s="415"/>
      <c r="O1181" s="415"/>
      <c r="P1181" s="415"/>
      <c r="Q1181" s="416"/>
      <c r="R1181" s="416"/>
      <c r="S1181" s="416"/>
      <c r="T1181" s="416"/>
      <c r="U1181" s="415"/>
      <c r="V1181" s="415"/>
    </row>
    <row r="1182" spans="1:22">
      <c r="A1182" s="91"/>
      <c r="B1182" s="244"/>
      <c r="C1182" s="417"/>
      <c r="D1182" s="417"/>
      <c r="E1182" s="417"/>
      <c r="F1182" s="417"/>
      <c r="G1182" s="417"/>
      <c r="H1182" s="417"/>
      <c r="I1182" s="417"/>
      <c r="J1182" s="417"/>
      <c r="K1182" s="417"/>
      <c r="L1182" s="417"/>
      <c r="M1182" s="415"/>
      <c r="N1182" s="415"/>
      <c r="O1182" s="415"/>
      <c r="P1182" s="415"/>
      <c r="Q1182" s="416"/>
      <c r="R1182" s="416"/>
      <c r="S1182" s="416"/>
      <c r="T1182" s="416"/>
      <c r="U1182" s="415"/>
      <c r="V1182" s="415"/>
    </row>
    <row r="1183" spans="1:22">
      <c r="A1183" s="91"/>
      <c r="B1183" s="244"/>
      <c r="C1183" s="417"/>
      <c r="D1183" s="417"/>
      <c r="E1183" s="417"/>
      <c r="F1183" s="417"/>
      <c r="G1183" s="417"/>
      <c r="H1183" s="417"/>
      <c r="I1183" s="417"/>
      <c r="J1183" s="417"/>
      <c r="K1183" s="417"/>
      <c r="L1183" s="417"/>
      <c r="M1183" s="415"/>
      <c r="N1183" s="415"/>
      <c r="O1183" s="415"/>
      <c r="P1183" s="415"/>
      <c r="Q1183" s="416"/>
      <c r="R1183" s="416"/>
      <c r="S1183" s="416"/>
      <c r="T1183" s="416"/>
      <c r="U1183" s="415"/>
      <c r="V1183" s="415"/>
    </row>
    <row r="1184" spans="1:22">
      <c r="A1184" s="91"/>
      <c r="B1184" s="244"/>
      <c r="C1184" s="417"/>
      <c r="D1184" s="417"/>
      <c r="E1184" s="417"/>
      <c r="F1184" s="417"/>
      <c r="G1184" s="417"/>
      <c r="H1184" s="417"/>
      <c r="I1184" s="417"/>
      <c r="J1184" s="417"/>
      <c r="K1184" s="417"/>
      <c r="L1184" s="417"/>
      <c r="M1184" s="415"/>
      <c r="N1184" s="415"/>
      <c r="O1184" s="415"/>
      <c r="P1184" s="415"/>
      <c r="Q1184" s="416"/>
      <c r="R1184" s="416"/>
      <c r="S1184" s="416"/>
      <c r="T1184" s="416"/>
      <c r="U1184" s="415"/>
      <c r="V1184" s="415"/>
    </row>
    <row r="1185" spans="1:22">
      <c r="A1185" s="91"/>
      <c r="B1185" s="244"/>
      <c r="C1185" s="417"/>
      <c r="D1185" s="417"/>
      <c r="E1185" s="417"/>
      <c r="F1185" s="417"/>
      <c r="G1185" s="417"/>
      <c r="H1185" s="417"/>
      <c r="I1185" s="417"/>
      <c r="J1185" s="417"/>
      <c r="K1185" s="417"/>
      <c r="L1185" s="417"/>
      <c r="M1185" s="415"/>
      <c r="N1185" s="415"/>
      <c r="O1185" s="415"/>
      <c r="P1185" s="415"/>
      <c r="Q1185" s="416"/>
      <c r="R1185" s="416"/>
      <c r="S1185" s="416"/>
      <c r="T1185" s="416"/>
      <c r="U1185" s="415"/>
      <c r="V1185" s="415"/>
    </row>
    <row r="1186" spans="1:22">
      <c r="A1186" s="91"/>
      <c r="B1186" s="244"/>
      <c r="C1186" s="417"/>
      <c r="D1186" s="417"/>
      <c r="E1186" s="417"/>
      <c r="F1186" s="417"/>
      <c r="G1186" s="417"/>
      <c r="H1186" s="417"/>
      <c r="I1186" s="417"/>
      <c r="J1186" s="417"/>
      <c r="K1186" s="417"/>
      <c r="L1186" s="417"/>
      <c r="M1186" s="415"/>
      <c r="N1186" s="415"/>
      <c r="O1186" s="415"/>
      <c r="P1186" s="415"/>
      <c r="Q1186" s="416"/>
      <c r="R1186" s="416"/>
      <c r="S1186" s="416"/>
      <c r="T1186" s="416"/>
      <c r="U1186" s="415"/>
      <c r="V1186" s="415"/>
    </row>
    <row r="1187" spans="1:22">
      <c r="A1187" s="91"/>
      <c r="B1187" s="244"/>
      <c r="C1187" s="417"/>
      <c r="D1187" s="417"/>
      <c r="E1187" s="417"/>
      <c r="F1187" s="417"/>
      <c r="G1187" s="417"/>
      <c r="H1187" s="417"/>
      <c r="I1187" s="417"/>
      <c r="J1187" s="417"/>
      <c r="K1187" s="417"/>
      <c r="L1187" s="417"/>
      <c r="M1187" s="415"/>
      <c r="N1187" s="415"/>
      <c r="O1187" s="415"/>
      <c r="P1187" s="415"/>
      <c r="Q1187" s="416"/>
      <c r="R1187" s="416"/>
      <c r="S1187" s="416"/>
      <c r="T1187" s="416"/>
      <c r="U1187" s="415"/>
      <c r="V1187" s="415"/>
    </row>
    <row r="1188" spans="1:22">
      <c r="A1188" s="91"/>
      <c r="B1188" s="244"/>
      <c r="C1188" s="417"/>
      <c r="D1188" s="417"/>
      <c r="E1188" s="417"/>
      <c r="F1188" s="417"/>
      <c r="G1188" s="417"/>
      <c r="H1188" s="417"/>
      <c r="I1188" s="417"/>
      <c r="J1188" s="417"/>
      <c r="K1188" s="417"/>
      <c r="L1188" s="417"/>
      <c r="M1188" s="415"/>
      <c r="N1188" s="415"/>
      <c r="O1188" s="415"/>
      <c r="P1188" s="415"/>
      <c r="Q1188" s="416"/>
      <c r="R1188" s="416"/>
      <c r="S1188" s="416"/>
      <c r="T1188" s="416"/>
      <c r="U1188" s="415"/>
      <c r="V1188" s="415"/>
    </row>
    <row r="1189" spans="1:22">
      <c r="A1189" s="91"/>
      <c r="B1189" s="244"/>
      <c r="C1189" s="417"/>
      <c r="D1189" s="417"/>
      <c r="E1189" s="417"/>
      <c r="F1189" s="417"/>
      <c r="G1189" s="417"/>
      <c r="H1189" s="417"/>
      <c r="I1189" s="417"/>
      <c r="J1189" s="417"/>
      <c r="K1189" s="417"/>
      <c r="L1189" s="417"/>
      <c r="M1189" s="415"/>
      <c r="N1189" s="415"/>
      <c r="O1189" s="415"/>
      <c r="P1189" s="415"/>
      <c r="Q1189" s="416"/>
      <c r="R1189" s="416"/>
      <c r="S1189" s="416"/>
      <c r="T1189" s="416"/>
      <c r="U1189" s="415"/>
      <c r="V1189" s="415"/>
    </row>
    <row r="1190" spans="1:22">
      <c r="A1190" s="91"/>
      <c r="B1190" s="244"/>
      <c r="C1190" s="417"/>
      <c r="D1190" s="417"/>
      <c r="E1190" s="417"/>
      <c r="F1190" s="417"/>
      <c r="G1190" s="417"/>
      <c r="H1190" s="417"/>
      <c r="I1190" s="417"/>
      <c r="J1190" s="417"/>
      <c r="K1190" s="417"/>
      <c r="L1190" s="417"/>
      <c r="M1190" s="415"/>
      <c r="N1190" s="415"/>
      <c r="O1190" s="415"/>
      <c r="P1190" s="415"/>
      <c r="Q1190" s="416"/>
      <c r="R1190" s="416"/>
      <c r="S1190" s="416"/>
      <c r="T1190" s="416"/>
      <c r="U1190" s="415"/>
      <c r="V1190" s="415"/>
    </row>
    <row r="1191" spans="1:22">
      <c r="A1191" s="91"/>
      <c r="B1191" s="244"/>
      <c r="C1191" s="417"/>
      <c r="D1191" s="417"/>
      <c r="E1191" s="417"/>
      <c r="F1191" s="417"/>
      <c r="G1191" s="417"/>
      <c r="H1191" s="417"/>
      <c r="I1191" s="417"/>
      <c r="J1191" s="417"/>
      <c r="K1191" s="417"/>
      <c r="L1191" s="417"/>
      <c r="M1191" s="415"/>
      <c r="N1191" s="415"/>
      <c r="O1191" s="415"/>
      <c r="P1191" s="415"/>
      <c r="Q1191" s="416"/>
      <c r="R1191" s="416"/>
      <c r="S1191" s="416"/>
      <c r="T1191" s="416"/>
      <c r="U1191" s="415"/>
      <c r="V1191" s="415"/>
    </row>
    <row r="1192" spans="1:22">
      <c r="A1192" s="91"/>
      <c r="B1192" s="244"/>
      <c r="C1192" s="417"/>
      <c r="D1192" s="417"/>
      <c r="E1192" s="417"/>
      <c r="F1192" s="417"/>
      <c r="G1192" s="417"/>
      <c r="H1192" s="417"/>
      <c r="I1192" s="417"/>
      <c r="J1192" s="417"/>
      <c r="K1192" s="417"/>
      <c r="L1192" s="417"/>
      <c r="M1192" s="415"/>
      <c r="N1192" s="415"/>
      <c r="O1192" s="415"/>
      <c r="P1192" s="415"/>
      <c r="Q1192" s="416"/>
      <c r="R1192" s="416"/>
      <c r="S1192" s="416"/>
      <c r="T1192" s="416"/>
      <c r="U1192" s="415"/>
      <c r="V1192" s="415"/>
    </row>
    <row r="1193" spans="1:22">
      <c r="A1193" s="91"/>
      <c r="B1193" s="244"/>
      <c r="C1193" s="417"/>
      <c r="D1193" s="417"/>
      <c r="E1193" s="417"/>
      <c r="F1193" s="417"/>
      <c r="G1193" s="417"/>
      <c r="H1193" s="417"/>
      <c r="I1193" s="417"/>
      <c r="J1193" s="417"/>
      <c r="K1193" s="417"/>
      <c r="L1193" s="417"/>
      <c r="M1193" s="415"/>
      <c r="N1193" s="415"/>
      <c r="O1193" s="415"/>
      <c r="P1193" s="415"/>
      <c r="Q1193" s="416"/>
      <c r="R1193" s="416"/>
      <c r="S1193" s="416"/>
      <c r="T1193" s="416"/>
      <c r="U1193" s="415"/>
      <c r="V1193" s="415"/>
    </row>
    <row r="1194" spans="1:22">
      <c r="A1194" s="91"/>
      <c r="B1194" s="244"/>
      <c r="C1194" s="417"/>
      <c r="D1194" s="417"/>
      <c r="E1194" s="417"/>
      <c r="F1194" s="417"/>
      <c r="G1194" s="417"/>
      <c r="H1194" s="417"/>
      <c r="I1194" s="417"/>
      <c r="J1194" s="417"/>
      <c r="K1194" s="417"/>
      <c r="L1194" s="417"/>
      <c r="M1194" s="415"/>
      <c r="N1194" s="415"/>
      <c r="O1194" s="415"/>
      <c r="P1194" s="415"/>
      <c r="Q1194" s="416"/>
      <c r="R1194" s="416"/>
      <c r="S1194" s="416"/>
      <c r="T1194" s="416"/>
      <c r="U1194" s="415"/>
      <c r="V1194" s="415"/>
    </row>
    <row r="1195" spans="1:22">
      <c r="A1195" s="91"/>
      <c r="B1195" s="244"/>
      <c r="C1195" s="417"/>
      <c r="D1195" s="417"/>
      <c r="E1195" s="417"/>
      <c r="F1195" s="417"/>
      <c r="G1195" s="417"/>
      <c r="H1195" s="417"/>
      <c r="I1195" s="417"/>
      <c r="J1195" s="417"/>
      <c r="K1195" s="417"/>
      <c r="L1195" s="417"/>
      <c r="M1195" s="415"/>
      <c r="N1195" s="415"/>
      <c r="O1195" s="415"/>
      <c r="P1195" s="415"/>
      <c r="Q1195" s="416"/>
      <c r="R1195" s="416"/>
      <c r="S1195" s="416"/>
      <c r="T1195" s="416"/>
      <c r="U1195" s="415"/>
      <c r="V1195" s="415"/>
    </row>
    <row r="1196" spans="1:22">
      <c r="A1196" s="91"/>
      <c r="B1196" s="244"/>
      <c r="C1196" s="417"/>
      <c r="D1196" s="417"/>
      <c r="E1196" s="417"/>
      <c r="F1196" s="417"/>
      <c r="G1196" s="417"/>
      <c r="H1196" s="417"/>
      <c r="I1196" s="417"/>
      <c r="J1196" s="417"/>
      <c r="K1196" s="417"/>
      <c r="L1196" s="417"/>
      <c r="M1196" s="415"/>
      <c r="N1196" s="415"/>
      <c r="O1196" s="415"/>
      <c r="P1196" s="415"/>
      <c r="Q1196" s="416"/>
      <c r="R1196" s="416"/>
      <c r="S1196" s="416"/>
      <c r="T1196" s="416"/>
      <c r="U1196" s="415"/>
      <c r="V1196" s="415"/>
    </row>
    <row r="1197" spans="1:22">
      <c r="A1197" s="91"/>
      <c r="B1197" s="244"/>
      <c r="C1197" s="417"/>
      <c r="D1197" s="417"/>
      <c r="E1197" s="417"/>
      <c r="F1197" s="417"/>
      <c r="G1197" s="417"/>
      <c r="H1197" s="417"/>
      <c r="I1197" s="417"/>
      <c r="J1197" s="417"/>
      <c r="K1197" s="417"/>
      <c r="L1197" s="417"/>
      <c r="M1197" s="415"/>
      <c r="N1197" s="415"/>
      <c r="O1197" s="415"/>
      <c r="P1197" s="415"/>
      <c r="Q1197" s="416"/>
      <c r="R1197" s="416"/>
      <c r="S1197" s="416"/>
      <c r="T1197" s="416"/>
      <c r="U1197" s="415"/>
      <c r="V1197" s="415"/>
    </row>
    <row r="1198" spans="1:22">
      <c r="A1198" s="91"/>
      <c r="B1198" s="244"/>
      <c r="C1198" s="417"/>
      <c r="D1198" s="417"/>
      <c r="E1198" s="417"/>
      <c r="F1198" s="417"/>
      <c r="G1198" s="417"/>
      <c r="H1198" s="417"/>
      <c r="I1198" s="417"/>
      <c r="J1198" s="417"/>
      <c r="K1198" s="417"/>
      <c r="L1198" s="417"/>
      <c r="M1198" s="415"/>
      <c r="N1198" s="415"/>
      <c r="O1198" s="415"/>
      <c r="P1198" s="415"/>
      <c r="Q1198" s="416"/>
      <c r="R1198" s="416"/>
      <c r="S1198" s="416"/>
      <c r="T1198" s="416"/>
      <c r="U1198" s="415"/>
      <c r="V1198" s="415"/>
    </row>
    <row r="1199" spans="1:22">
      <c r="A1199" s="91"/>
      <c r="B1199" s="244"/>
      <c r="C1199" s="417"/>
      <c r="D1199" s="417"/>
      <c r="E1199" s="417"/>
      <c r="F1199" s="417"/>
      <c r="G1199" s="417"/>
      <c r="H1199" s="417"/>
      <c r="I1199" s="417"/>
      <c r="J1199" s="417"/>
      <c r="K1199" s="417"/>
      <c r="L1199" s="417"/>
      <c r="M1199" s="415"/>
      <c r="N1199" s="415"/>
      <c r="O1199" s="415"/>
      <c r="P1199" s="415"/>
      <c r="Q1199" s="416"/>
      <c r="R1199" s="416"/>
      <c r="S1199" s="416"/>
      <c r="T1199" s="416"/>
      <c r="U1199" s="415"/>
      <c r="V1199" s="415"/>
    </row>
    <row r="1200" spans="1:22">
      <c r="A1200" s="91"/>
      <c r="B1200" s="244"/>
      <c r="C1200" s="417"/>
      <c r="D1200" s="417"/>
      <c r="E1200" s="417"/>
      <c r="F1200" s="417"/>
      <c r="G1200" s="417"/>
      <c r="H1200" s="417"/>
      <c r="I1200" s="417"/>
      <c r="J1200" s="417"/>
      <c r="K1200" s="417"/>
      <c r="L1200" s="417"/>
      <c r="M1200" s="415"/>
      <c r="N1200" s="415"/>
      <c r="O1200" s="415"/>
      <c r="P1200" s="415"/>
      <c r="Q1200" s="416"/>
      <c r="R1200" s="416"/>
      <c r="S1200" s="416"/>
      <c r="T1200" s="416"/>
      <c r="U1200" s="415"/>
      <c r="V1200" s="415"/>
    </row>
    <row r="1201" spans="1:22">
      <c r="A1201" s="91"/>
      <c r="B1201" s="244"/>
      <c r="C1201" s="417"/>
      <c r="D1201" s="417"/>
      <c r="E1201" s="417"/>
      <c r="F1201" s="417"/>
      <c r="G1201" s="417"/>
      <c r="H1201" s="417"/>
      <c r="I1201" s="417"/>
      <c r="J1201" s="417"/>
      <c r="K1201" s="417"/>
      <c r="L1201" s="417"/>
      <c r="M1201" s="415"/>
      <c r="N1201" s="415"/>
      <c r="O1201" s="415"/>
      <c r="P1201" s="415"/>
      <c r="Q1201" s="416"/>
      <c r="R1201" s="416"/>
      <c r="S1201" s="416"/>
      <c r="T1201" s="416"/>
      <c r="U1201" s="415"/>
      <c r="V1201" s="415"/>
    </row>
    <row r="1202" spans="1:22">
      <c r="A1202" s="91"/>
      <c r="B1202" s="244"/>
      <c r="C1202" s="417"/>
      <c r="D1202" s="417"/>
      <c r="E1202" s="417"/>
      <c r="F1202" s="417"/>
      <c r="G1202" s="417"/>
      <c r="H1202" s="417"/>
      <c r="I1202" s="417"/>
      <c r="J1202" s="417"/>
      <c r="K1202" s="417"/>
      <c r="L1202" s="417"/>
      <c r="M1202" s="415"/>
      <c r="N1202" s="415"/>
      <c r="O1202" s="415"/>
      <c r="P1202" s="415"/>
      <c r="Q1202" s="416"/>
      <c r="R1202" s="416"/>
      <c r="S1202" s="416"/>
      <c r="T1202" s="416"/>
      <c r="U1202" s="415"/>
      <c r="V1202" s="415"/>
    </row>
    <row r="1203" spans="1:22">
      <c r="A1203" s="91"/>
      <c r="B1203" s="244"/>
      <c r="C1203" s="417"/>
      <c r="D1203" s="417"/>
      <c r="E1203" s="417"/>
      <c r="F1203" s="417"/>
      <c r="G1203" s="417"/>
      <c r="H1203" s="417"/>
      <c r="I1203" s="417"/>
      <c r="J1203" s="417"/>
      <c r="K1203" s="417"/>
      <c r="L1203" s="417"/>
      <c r="M1203" s="415"/>
      <c r="N1203" s="415"/>
      <c r="O1203" s="415"/>
      <c r="P1203" s="415"/>
      <c r="Q1203" s="416"/>
      <c r="R1203" s="416"/>
      <c r="S1203" s="416"/>
      <c r="T1203" s="416"/>
      <c r="U1203" s="415"/>
      <c r="V1203" s="415"/>
    </row>
    <row r="1204" spans="1:22">
      <c r="A1204" s="91"/>
      <c r="B1204" s="244"/>
      <c r="C1204" s="417"/>
      <c r="D1204" s="417"/>
      <c r="E1204" s="417"/>
      <c r="F1204" s="417"/>
      <c r="G1204" s="417"/>
      <c r="H1204" s="417"/>
      <c r="I1204" s="417"/>
      <c r="J1204" s="417"/>
      <c r="K1204" s="417"/>
      <c r="L1204" s="417"/>
      <c r="M1204" s="415"/>
      <c r="N1204" s="415"/>
      <c r="O1204" s="415"/>
      <c r="P1204" s="415"/>
      <c r="Q1204" s="416"/>
      <c r="R1204" s="416"/>
      <c r="S1204" s="416"/>
      <c r="T1204" s="416"/>
      <c r="U1204" s="415"/>
      <c r="V1204" s="415"/>
    </row>
    <row r="1205" spans="1:22">
      <c r="A1205" s="91"/>
      <c r="B1205" s="244"/>
      <c r="C1205" s="417"/>
      <c r="D1205" s="417"/>
      <c r="E1205" s="417"/>
      <c r="F1205" s="417"/>
      <c r="G1205" s="417"/>
      <c r="H1205" s="417"/>
      <c r="I1205" s="417"/>
      <c r="J1205" s="417"/>
      <c r="K1205" s="417"/>
      <c r="L1205" s="417"/>
      <c r="M1205" s="415"/>
      <c r="N1205" s="415"/>
      <c r="O1205" s="415"/>
      <c r="P1205" s="415"/>
      <c r="Q1205" s="416"/>
      <c r="R1205" s="416"/>
      <c r="S1205" s="416"/>
      <c r="T1205" s="416"/>
      <c r="U1205" s="415"/>
      <c r="V1205" s="415"/>
    </row>
    <row r="1206" spans="1:22">
      <c r="A1206" s="91"/>
      <c r="B1206" s="244"/>
      <c r="C1206" s="417"/>
      <c r="D1206" s="417"/>
      <c r="E1206" s="417"/>
      <c r="F1206" s="417"/>
      <c r="G1206" s="417"/>
      <c r="H1206" s="417"/>
      <c r="I1206" s="417"/>
      <c r="J1206" s="417"/>
      <c r="K1206" s="417"/>
      <c r="L1206" s="417"/>
      <c r="M1206" s="415"/>
      <c r="N1206" s="415"/>
      <c r="O1206" s="415"/>
      <c r="P1206" s="415"/>
      <c r="Q1206" s="416"/>
      <c r="R1206" s="416"/>
      <c r="S1206" s="416"/>
      <c r="T1206" s="416"/>
      <c r="U1206" s="415"/>
      <c r="V1206" s="415"/>
    </row>
    <row r="1207" spans="1:22">
      <c r="A1207" s="91"/>
      <c r="B1207" s="244"/>
      <c r="C1207" s="417"/>
      <c r="D1207" s="417"/>
      <c r="E1207" s="417"/>
      <c r="F1207" s="417"/>
      <c r="G1207" s="417"/>
      <c r="H1207" s="417"/>
      <c r="I1207" s="417"/>
      <c r="J1207" s="417"/>
      <c r="K1207" s="417"/>
      <c r="L1207" s="417"/>
      <c r="M1207" s="415"/>
      <c r="N1207" s="415"/>
      <c r="O1207" s="415"/>
      <c r="P1207" s="415"/>
      <c r="Q1207" s="416"/>
      <c r="R1207" s="416"/>
      <c r="S1207" s="416"/>
      <c r="T1207" s="416"/>
      <c r="U1207" s="415"/>
      <c r="V1207" s="415"/>
    </row>
    <row r="1208" spans="1:22">
      <c r="A1208" s="91"/>
      <c r="B1208" s="244"/>
      <c r="C1208" s="417"/>
      <c r="D1208" s="417"/>
      <c r="E1208" s="417"/>
      <c r="F1208" s="417"/>
      <c r="G1208" s="417"/>
      <c r="H1208" s="417"/>
      <c r="I1208" s="417"/>
      <c r="J1208" s="417"/>
      <c r="K1208" s="417"/>
      <c r="L1208" s="417"/>
      <c r="M1208" s="415"/>
      <c r="N1208" s="415"/>
      <c r="O1208" s="415"/>
      <c r="P1208" s="415"/>
      <c r="Q1208" s="416"/>
      <c r="R1208" s="416"/>
      <c r="S1208" s="416"/>
      <c r="T1208" s="416"/>
      <c r="U1208" s="415"/>
      <c r="V1208" s="415"/>
    </row>
    <row r="1209" spans="1:22">
      <c r="A1209" s="91"/>
      <c r="B1209" s="244"/>
      <c r="C1209" s="417"/>
      <c r="D1209" s="417"/>
      <c r="E1209" s="417"/>
      <c r="F1209" s="417"/>
      <c r="G1209" s="417"/>
      <c r="H1209" s="417"/>
      <c r="I1209" s="417"/>
      <c r="J1209" s="417"/>
      <c r="K1209" s="417"/>
      <c r="L1209" s="417"/>
      <c r="M1209" s="415"/>
      <c r="N1209" s="415"/>
      <c r="O1209" s="415"/>
      <c r="P1209" s="415"/>
      <c r="Q1209" s="416"/>
      <c r="R1209" s="416"/>
      <c r="S1209" s="416"/>
      <c r="T1209" s="416"/>
      <c r="U1209" s="415"/>
      <c r="V1209" s="415"/>
    </row>
    <row r="1210" spans="1:22">
      <c r="A1210" s="91"/>
      <c r="B1210" s="244"/>
      <c r="C1210" s="417"/>
      <c r="D1210" s="417"/>
      <c r="E1210" s="417"/>
      <c r="F1210" s="417"/>
      <c r="G1210" s="417"/>
      <c r="H1210" s="417"/>
      <c r="I1210" s="417"/>
      <c r="J1210" s="417"/>
      <c r="K1210" s="417"/>
      <c r="L1210" s="417"/>
      <c r="M1210" s="415"/>
      <c r="N1210" s="415"/>
      <c r="O1210" s="415"/>
      <c r="P1210" s="415"/>
      <c r="Q1210" s="416"/>
      <c r="R1210" s="416"/>
      <c r="S1210" s="416"/>
      <c r="T1210" s="416"/>
      <c r="U1210" s="415"/>
      <c r="V1210" s="415"/>
    </row>
    <row r="1211" spans="1:22">
      <c r="A1211" s="91"/>
      <c r="B1211" s="244"/>
      <c r="C1211" s="417"/>
      <c r="D1211" s="417"/>
      <c r="E1211" s="417"/>
      <c r="F1211" s="417"/>
      <c r="G1211" s="417"/>
      <c r="H1211" s="417"/>
      <c r="I1211" s="417"/>
      <c r="J1211" s="417"/>
      <c r="K1211" s="417"/>
      <c r="L1211" s="417"/>
      <c r="M1211" s="415"/>
      <c r="N1211" s="415"/>
      <c r="O1211" s="415"/>
      <c r="P1211" s="415"/>
      <c r="Q1211" s="416"/>
      <c r="R1211" s="416"/>
      <c r="S1211" s="416"/>
      <c r="T1211" s="416"/>
      <c r="U1211" s="415"/>
      <c r="V1211" s="415"/>
    </row>
    <row r="1212" spans="1:22">
      <c r="A1212" s="91"/>
      <c r="B1212" s="244"/>
      <c r="C1212" s="417"/>
      <c r="D1212" s="417"/>
      <c r="E1212" s="417"/>
      <c r="F1212" s="417"/>
      <c r="G1212" s="417"/>
      <c r="H1212" s="417"/>
      <c r="I1212" s="417"/>
      <c r="J1212" s="417"/>
      <c r="K1212" s="417"/>
      <c r="L1212" s="417"/>
      <c r="M1212" s="415"/>
      <c r="N1212" s="415"/>
      <c r="O1212" s="415"/>
      <c r="P1212" s="415"/>
      <c r="Q1212" s="416"/>
      <c r="R1212" s="416"/>
      <c r="S1212" s="416"/>
      <c r="T1212" s="416"/>
      <c r="U1212" s="415"/>
      <c r="V1212" s="415"/>
    </row>
    <row r="1213" spans="1:22">
      <c r="A1213" s="91"/>
      <c r="B1213" s="244"/>
      <c r="C1213" s="417"/>
      <c r="D1213" s="417"/>
      <c r="E1213" s="417"/>
      <c r="F1213" s="417"/>
      <c r="G1213" s="417"/>
      <c r="H1213" s="417"/>
      <c r="I1213" s="417"/>
      <c r="J1213" s="417"/>
      <c r="K1213" s="417"/>
      <c r="L1213" s="417"/>
      <c r="M1213" s="415"/>
      <c r="N1213" s="415"/>
      <c r="O1213" s="415"/>
      <c r="P1213" s="415"/>
      <c r="Q1213" s="416"/>
      <c r="R1213" s="416"/>
      <c r="S1213" s="416"/>
      <c r="T1213" s="416"/>
      <c r="U1213" s="415"/>
      <c r="V1213" s="415"/>
    </row>
    <row r="1214" spans="1:22">
      <c r="A1214" s="91"/>
      <c r="B1214" s="244"/>
      <c r="C1214" s="417"/>
      <c r="D1214" s="417"/>
      <c r="E1214" s="417"/>
      <c r="F1214" s="417"/>
      <c r="G1214" s="417"/>
      <c r="H1214" s="417"/>
      <c r="I1214" s="417"/>
      <c r="J1214" s="417"/>
      <c r="K1214" s="417"/>
      <c r="L1214" s="417"/>
      <c r="M1214" s="415"/>
      <c r="N1214" s="415"/>
      <c r="O1214" s="415"/>
      <c r="P1214" s="415"/>
      <c r="Q1214" s="416"/>
      <c r="R1214" s="416"/>
      <c r="S1214" s="416"/>
      <c r="T1214" s="416"/>
      <c r="U1214" s="415"/>
      <c r="V1214" s="415"/>
    </row>
    <row r="1215" spans="1:22">
      <c r="A1215" s="91"/>
      <c r="B1215" s="244"/>
      <c r="C1215" s="417"/>
      <c r="D1215" s="417"/>
      <c r="E1215" s="417"/>
      <c r="F1215" s="417"/>
      <c r="G1215" s="417"/>
      <c r="H1215" s="417"/>
      <c r="I1215" s="417"/>
      <c r="J1215" s="417"/>
      <c r="K1215" s="417"/>
      <c r="L1215" s="417"/>
      <c r="M1215" s="415"/>
      <c r="N1215" s="415"/>
      <c r="O1215" s="415"/>
      <c r="P1215" s="415"/>
      <c r="Q1215" s="416"/>
      <c r="R1215" s="416"/>
      <c r="S1215" s="416"/>
      <c r="T1215" s="416"/>
      <c r="U1215" s="415"/>
      <c r="V1215" s="415"/>
    </row>
    <row r="1216" spans="1:22">
      <c r="A1216" s="91"/>
      <c r="B1216" s="244"/>
      <c r="C1216" s="417"/>
      <c r="D1216" s="417"/>
      <c r="E1216" s="417"/>
      <c r="F1216" s="417"/>
      <c r="G1216" s="417"/>
      <c r="H1216" s="417"/>
      <c r="I1216" s="417"/>
      <c r="J1216" s="417"/>
      <c r="K1216" s="417"/>
      <c r="L1216" s="417"/>
      <c r="M1216" s="415"/>
      <c r="N1216" s="415"/>
      <c r="O1216" s="415"/>
      <c r="P1216" s="415"/>
      <c r="Q1216" s="416"/>
      <c r="R1216" s="416"/>
      <c r="S1216" s="416"/>
      <c r="T1216" s="416"/>
      <c r="U1216" s="415"/>
      <c r="V1216" s="415"/>
    </row>
    <row r="1217" spans="1:22">
      <c r="A1217" s="91"/>
      <c r="B1217" s="244"/>
      <c r="C1217" s="417"/>
      <c r="D1217" s="417"/>
      <c r="E1217" s="417"/>
      <c r="F1217" s="417"/>
      <c r="G1217" s="417"/>
      <c r="H1217" s="417"/>
      <c r="I1217" s="417"/>
      <c r="J1217" s="417"/>
      <c r="K1217" s="417"/>
      <c r="L1217" s="417"/>
      <c r="M1217" s="415"/>
      <c r="N1217" s="415"/>
      <c r="O1217" s="415"/>
      <c r="P1217" s="415"/>
      <c r="Q1217" s="416"/>
      <c r="R1217" s="416"/>
      <c r="S1217" s="416"/>
      <c r="T1217" s="416"/>
      <c r="U1217" s="415"/>
      <c r="V1217" s="415"/>
    </row>
    <row r="1218" spans="1:22">
      <c r="A1218" s="91"/>
      <c r="B1218" s="244"/>
      <c r="C1218" s="417"/>
      <c r="D1218" s="417"/>
      <c r="E1218" s="417"/>
      <c r="F1218" s="417"/>
      <c r="G1218" s="417"/>
      <c r="H1218" s="417"/>
      <c r="I1218" s="417"/>
      <c r="J1218" s="417"/>
      <c r="K1218" s="417"/>
      <c r="L1218" s="417"/>
      <c r="M1218" s="415"/>
      <c r="N1218" s="415"/>
      <c r="O1218" s="415"/>
      <c r="P1218" s="415"/>
      <c r="Q1218" s="416"/>
      <c r="R1218" s="416"/>
      <c r="S1218" s="416"/>
      <c r="T1218" s="416"/>
      <c r="U1218" s="415"/>
      <c r="V1218" s="415"/>
    </row>
    <row r="1219" spans="1:22">
      <c r="A1219" s="91"/>
      <c r="B1219" s="244"/>
      <c r="C1219" s="417"/>
      <c r="D1219" s="417"/>
      <c r="E1219" s="417"/>
      <c r="F1219" s="417"/>
      <c r="G1219" s="417"/>
      <c r="H1219" s="417"/>
      <c r="I1219" s="417"/>
      <c r="J1219" s="417"/>
      <c r="K1219" s="417"/>
      <c r="L1219" s="417"/>
      <c r="M1219" s="415"/>
      <c r="N1219" s="415"/>
      <c r="O1219" s="415"/>
      <c r="P1219" s="415"/>
      <c r="Q1219" s="416"/>
      <c r="R1219" s="416"/>
      <c r="S1219" s="416"/>
      <c r="T1219" s="416"/>
      <c r="U1219" s="415"/>
      <c r="V1219" s="415"/>
    </row>
    <row r="1220" spans="1:22">
      <c r="A1220" s="91"/>
      <c r="B1220" s="244"/>
      <c r="C1220" s="417"/>
      <c r="D1220" s="417"/>
      <c r="E1220" s="417"/>
      <c r="F1220" s="417"/>
      <c r="G1220" s="417"/>
      <c r="H1220" s="417"/>
      <c r="I1220" s="417"/>
      <c r="J1220" s="417"/>
      <c r="K1220" s="417"/>
      <c r="L1220" s="417"/>
      <c r="M1220" s="415"/>
      <c r="N1220" s="415"/>
      <c r="O1220" s="415"/>
      <c r="P1220" s="415"/>
      <c r="Q1220" s="416"/>
      <c r="R1220" s="416"/>
      <c r="S1220" s="416"/>
      <c r="T1220" s="416"/>
      <c r="U1220" s="415"/>
      <c r="V1220" s="415"/>
    </row>
    <row r="1221" spans="1:22">
      <c r="A1221" s="91"/>
      <c r="B1221" s="244"/>
      <c r="C1221" s="417"/>
      <c r="D1221" s="417"/>
      <c r="E1221" s="417"/>
      <c r="F1221" s="417"/>
      <c r="G1221" s="417"/>
      <c r="H1221" s="417"/>
      <c r="I1221" s="417"/>
      <c r="J1221" s="417"/>
      <c r="K1221" s="417"/>
      <c r="L1221" s="417"/>
      <c r="M1221" s="415"/>
      <c r="N1221" s="415"/>
      <c r="O1221" s="415"/>
      <c r="P1221" s="415"/>
      <c r="Q1221" s="416"/>
      <c r="R1221" s="416"/>
      <c r="S1221" s="416"/>
      <c r="T1221" s="416"/>
      <c r="U1221" s="415"/>
      <c r="V1221" s="415"/>
    </row>
    <row r="1222" spans="1:22">
      <c r="A1222" s="91"/>
      <c r="B1222" s="244"/>
      <c r="C1222" s="417"/>
      <c r="D1222" s="417"/>
      <c r="E1222" s="417"/>
      <c r="F1222" s="417"/>
      <c r="G1222" s="417"/>
      <c r="H1222" s="417"/>
      <c r="I1222" s="417"/>
      <c r="J1222" s="417"/>
      <c r="K1222" s="417"/>
      <c r="L1222" s="417"/>
      <c r="M1222" s="415"/>
      <c r="N1222" s="415"/>
      <c r="O1222" s="415"/>
      <c r="P1222" s="415"/>
      <c r="Q1222" s="416"/>
      <c r="R1222" s="416"/>
      <c r="S1222" s="416"/>
      <c r="T1222" s="416"/>
      <c r="U1222" s="415"/>
      <c r="V1222" s="415"/>
    </row>
    <row r="1223" spans="1:22">
      <c r="A1223" s="91"/>
      <c r="B1223" s="244"/>
      <c r="C1223" s="417"/>
      <c r="D1223" s="417"/>
      <c r="E1223" s="417"/>
      <c r="F1223" s="417"/>
      <c r="G1223" s="417"/>
      <c r="H1223" s="417"/>
      <c r="I1223" s="417"/>
      <c r="J1223" s="417"/>
      <c r="K1223" s="417"/>
      <c r="L1223" s="417"/>
      <c r="M1223" s="415"/>
      <c r="N1223" s="415"/>
      <c r="O1223" s="415"/>
      <c r="P1223" s="415"/>
      <c r="Q1223" s="416"/>
      <c r="R1223" s="416"/>
      <c r="S1223" s="416"/>
      <c r="T1223" s="416"/>
      <c r="U1223" s="415"/>
      <c r="V1223" s="415"/>
    </row>
    <row r="1224" spans="1:22">
      <c r="A1224" s="91"/>
      <c r="B1224" s="244"/>
      <c r="C1224" s="417"/>
      <c r="D1224" s="417"/>
      <c r="E1224" s="417"/>
      <c r="F1224" s="417"/>
      <c r="G1224" s="417"/>
      <c r="H1224" s="417"/>
      <c r="I1224" s="417"/>
      <c r="J1224" s="417"/>
      <c r="K1224" s="417"/>
      <c r="L1224" s="417"/>
      <c r="M1224" s="415"/>
      <c r="N1224" s="415"/>
      <c r="O1224" s="415"/>
      <c r="P1224" s="415"/>
      <c r="Q1224" s="416"/>
      <c r="R1224" s="416"/>
      <c r="S1224" s="416"/>
      <c r="T1224" s="416"/>
      <c r="U1224" s="415"/>
      <c r="V1224" s="415"/>
    </row>
    <row r="1225" spans="1:22">
      <c r="A1225" s="91"/>
      <c r="B1225" s="244"/>
      <c r="C1225" s="417"/>
      <c r="D1225" s="417"/>
      <c r="E1225" s="417"/>
      <c r="F1225" s="417"/>
      <c r="G1225" s="417"/>
      <c r="H1225" s="417"/>
      <c r="I1225" s="417"/>
      <c r="J1225" s="417"/>
      <c r="K1225" s="417"/>
      <c r="L1225" s="417"/>
      <c r="M1225" s="415"/>
      <c r="N1225" s="415"/>
      <c r="O1225" s="415"/>
      <c r="P1225" s="415"/>
      <c r="Q1225" s="416"/>
      <c r="R1225" s="416"/>
      <c r="S1225" s="416"/>
      <c r="T1225" s="416"/>
      <c r="U1225" s="415"/>
      <c r="V1225" s="415"/>
    </row>
    <row r="1226" spans="1:22">
      <c r="A1226" s="91"/>
      <c r="B1226" s="244"/>
      <c r="C1226" s="417"/>
      <c r="D1226" s="417"/>
      <c r="E1226" s="417"/>
      <c r="F1226" s="417"/>
      <c r="G1226" s="417"/>
      <c r="H1226" s="417"/>
      <c r="I1226" s="417"/>
      <c r="J1226" s="417"/>
      <c r="K1226" s="417"/>
      <c r="L1226" s="417"/>
      <c r="M1226" s="415"/>
      <c r="N1226" s="415"/>
      <c r="O1226" s="415"/>
      <c r="P1226" s="415"/>
      <c r="Q1226" s="416"/>
      <c r="R1226" s="416"/>
      <c r="S1226" s="416"/>
      <c r="T1226" s="416"/>
      <c r="U1226" s="415"/>
      <c r="V1226" s="415"/>
    </row>
    <row r="1227" spans="1:22">
      <c r="A1227" s="91"/>
      <c r="B1227" s="244"/>
      <c r="C1227" s="417"/>
      <c r="D1227" s="417"/>
      <c r="E1227" s="417"/>
      <c r="F1227" s="417"/>
      <c r="G1227" s="417"/>
      <c r="H1227" s="417"/>
      <c r="I1227" s="417"/>
      <c r="J1227" s="417"/>
      <c r="K1227" s="417"/>
      <c r="L1227" s="417"/>
      <c r="M1227" s="415"/>
      <c r="N1227" s="415"/>
      <c r="O1227" s="415"/>
      <c r="P1227" s="415"/>
      <c r="Q1227" s="416"/>
      <c r="R1227" s="416"/>
      <c r="S1227" s="416"/>
      <c r="T1227" s="416"/>
      <c r="U1227" s="415"/>
      <c r="V1227" s="415"/>
    </row>
    <row r="1228" spans="1:22">
      <c r="A1228" s="91"/>
      <c r="B1228" s="244"/>
      <c r="C1228" s="417"/>
      <c r="D1228" s="417"/>
      <c r="E1228" s="417"/>
      <c r="F1228" s="417"/>
      <c r="G1228" s="417"/>
      <c r="H1228" s="417"/>
      <c r="I1228" s="417"/>
      <c r="J1228" s="417"/>
      <c r="K1228" s="417"/>
      <c r="L1228" s="417"/>
      <c r="M1228" s="415"/>
      <c r="N1228" s="415"/>
      <c r="O1228" s="415"/>
      <c r="P1228" s="415"/>
      <c r="Q1228" s="416"/>
      <c r="R1228" s="416"/>
      <c r="S1228" s="416"/>
      <c r="T1228" s="416"/>
      <c r="U1228" s="415"/>
      <c r="V1228" s="415"/>
    </row>
    <row r="1229" spans="1:22">
      <c r="A1229" s="91"/>
      <c r="B1229" s="244"/>
      <c r="C1229" s="417"/>
      <c r="D1229" s="417"/>
      <c r="E1229" s="417"/>
      <c r="F1229" s="417"/>
      <c r="G1229" s="417"/>
      <c r="H1229" s="417"/>
      <c r="I1229" s="417"/>
      <c r="J1229" s="417"/>
      <c r="K1229" s="417"/>
      <c r="L1229" s="417"/>
      <c r="M1229" s="415"/>
      <c r="N1229" s="415"/>
      <c r="O1229" s="415"/>
      <c r="P1229" s="415"/>
      <c r="Q1229" s="416"/>
      <c r="R1229" s="416"/>
      <c r="S1229" s="416"/>
      <c r="T1229" s="416"/>
      <c r="U1229" s="415"/>
      <c r="V1229" s="415"/>
    </row>
    <row r="1230" spans="1:22">
      <c r="A1230" s="91"/>
      <c r="B1230" s="244"/>
      <c r="C1230" s="417"/>
      <c r="D1230" s="417"/>
      <c r="E1230" s="417"/>
      <c r="F1230" s="417"/>
      <c r="G1230" s="417"/>
      <c r="H1230" s="417"/>
      <c r="I1230" s="417"/>
      <c r="J1230" s="417"/>
      <c r="K1230" s="417"/>
      <c r="L1230" s="417"/>
      <c r="M1230" s="415"/>
      <c r="N1230" s="415"/>
      <c r="O1230" s="415"/>
      <c r="P1230" s="415"/>
      <c r="Q1230" s="416"/>
      <c r="R1230" s="416"/>
      <c r="S1230" s="416"/>
      <c r="T1230" s="416"/>
      <c r="U1230" s="415"/>
      <c r="V1230" s="415"/>
    </row>
    <row r="1231" spans="1:22">
      <c r="A1231" s="91"/>
      <c r="B1231" s="244"/>
      <c r="C1231" s="417"/>
      <c r="D1231" s="417"/>
      <c r="E1231" s="417"/>
      <c r="F1231" s="417"/>
      <c r="G1231" s="417"/>
      <c r="H1231" s="417"/>
      <c r="I1231" s="417"/>
      <c r="J1231" s="417"/>
      <c r="K1231" s="417"/>
      <c r="L1231" s="417"/>
      <c r="M1231" s="415"/>
      <c r="N1231" s="415"/>
      <c r="O1231" s="415"/>
      <c r="P1231" s="415"/>
      <c r="Q1231" s="416"/>
      <c r="R1231" s="416"/>
      <c r="S1231" s="416"/>
      <c r="T1231" s="416"/>
      <c r="U1231" s="415"/>
      <c r="V1231" s="415"/>
    </row>
    <row r="1232" spans="1:22">
      <c r="A1232" s="91"/>
      <c r="B1232" s="244"/>
      <c r="C1232" s="417"/>
      <c r="D1232" s="417"/>
      <c r="E1232" s="417"/>
      <c r="F1232" s="417"/>
      <c r="G1232" s="417"/>
      <c r="H1232" s="417"/>
      <c r="I1232" s="417"/>
      <c r="J1232" s="417"/>
      <c r="K1232" s="417"/>
      <c r="L1232" s="417"/>
      <c r="M1232" s="415"/>
      <c r="N1232" s="415"/>
      <c r="O1232" s="415"/>
      <c r="P1232" s="415"/>
      <c r="Q1232" s="416"/>
      <c r="R1232" s="416"/>
      <c r="S1232" s="416"/>
      <c r="T1232" s="416"/>
      <c r="U1232" s="415"/>
      <c r="V1232" s="415"/>
    </row>
    <row r="1233" spans="1:2">
      <c r="A1233" s="91"/>
      <c r="B1233" s="244"/>
    </row>
    <row r="1234" spans="1:2">
      <c r="A1234" s="91"/>
      <c r="B1234" s="244"/>
    </row>
    <row r="1235" spans="1:2">
      <c r="A1235" s="91"/>
      <c r="B1235" s="244"/>
    </row>
    <row r="1236" spans="1:2">
      <c r="A1236" s="91"/>
      <c r="B1236" s="244"/>
    </row>
    <row r="1237" spans="1:2">
      <c r="A1237" s="91"/>
      <c r="B1237" s="244"/>
    </row>
  </sheetData>
  <customSheetViews>
    <customSheetView guid="{03091628-F6D4-4F96-BE8D-F71180D05B85}" showAutoFilter="1" showRuler="0">
      <pane ySplit="2" topLeftCell="A33" activePane="bottomLeft" state="frozen"/>
      <selection pane="bottomLeft" activeCell="C41" sqref="C41"/>
      <pageMargins left="0.74803149606299213" right="0.74803149606299213" top="0.98425196850393704" bottom="0.98425196850393704" header="0.51181102362204722" footer="0.51181102362204722"/>
      <pageSetup paperSize="9" orientation="landscape" r:id="rId1"/>
      <headerFooter alignWithMargins="0"/>
      <autoFilter ref="B1:H1"/>
    </customSheetView>
    <customSheetView guid="{271AA8F8-60C3-4229-917D-1AD0132C3662}" showAutoFilter="1" showRuler="0">
      <pane ySplit="2" topLeftCell="A3" activePane="bottomLeft" state="frozen"/>
      <selection pane="bottomLeft" activeCell="C23" sqref="C23"/>
      <pageMargins left="0.74803149606299213" right="0.74803149606299213" top="0.98425196850393704" bottom="0.98425196850393704" header="0.51181102362204722" footer="0.51181102362204722"/>
      <pageSetup paperSize="9" orientation="landscape" r:id="rId2"/>
      <headerFooter alignWithMargins="0"/>
      <autoFilter ref="B1:H1"/>
    </customSheetView>
    <customSheetView guid="{528AB2D6-6AB1-4EDF-82FA-E8DF1DDBF2B7}" showPageBreaks="1" showRuler="0" topLeftCell="A217">
      <selection activeCell="H221" sqref="H221"/>
      <pageMargins left="0.74803149606299213" right="0.74803149606299213" top="0.98425196850393704" bottom="0.98425196850393704" header="0.51181102362204722" footer="0.51181102362204722"/>
      <pageSetup paperSize="9" orientation="landscape" r:id="rId3"/>
      <headerFooter alignWithMargins="0"/>
    </customSheetView>
    <customSheetView guid="{F1C5ABF4-42E4-44BC-9688-F813E67E9DF6}" showAutoFilter="1" showRuler="0" topLeftCell="A225">
      <selection activeCell="C239" sqref="C239"/>
      <pageMargins left="0.74803149606299213" right="0.74803149606299213" top="0.98425196850393704" bottom="0.98425196850393704" header="0.51181102362204722" footer="0.51181102362204722"/>
      <pageSetup paperSize="9" orientation="landscape" r:id="rId4"/>
      <headerFooter alignWithMargins="0"/>
      <autoFilter ref="B1:H1"/>
    </customSheetView>
    <customSheetView guid="{2F6CC16A-0ECF-4CDA-A0ED-393648E899F1}" showAutoFilter="1" showRuler="0" topLeftCell="A85">
      <selection activeCell="A106" sqref="A106:IV109"/>
      <pageMargins left="0.74803149606299213" right="0.74803149606299213" top="0.98425196850393704" bottom="0.98425196850393704" header="0.51181102362204722" footer="0.51181102362204722"/>
      <pageSetup paperSize="9" orientation="landscape" r:id="rId5"/>
      <headerFooter alignWithMargins="0"/>
      <autoFilter ref="B1:G1"/>
    </customSheetView>
    <customSheetView guid="{7B628B3C-52F9-4A25-BBE2-E9704E2B4E64}" showPageBreaks="1" showRuler="0" topLeftCell="C200">
      <selection activeCell="C222" sqref="C222"/>
      <pageMargins left="0.74803149606299213" right="0.74803149606299213" top="0.98425196850393704" bottom="0.98425196850393704" header="0.51181102362204722" footer="0.51181102362204722"/>
      <pageSetup paperSize="9" orientation="landscape" r:id="rId6"/>
      <headerFooter alignWithMargins="0"/>
    </customSheetView>
    <customSheetView guid="{14901331-E232-4D80-AB2F-46B07F54F7E7}" showPageBreaks="1" showAutoFilter="1" showRuler="0" topLeftCell="B1">
      <selection activeCell="G125" sqref="G125"/>
      <pageMargins left="0.74803149606299213" right="0.74803149606299213" top="0.98425196850393704" bottom="0.98425196850393704" header="0.51181102362204722" footer="0.51181102362204722"/>
      <pageSetup paperSize="9" orientation="landscape" r:id="rId7"/>
      <headerFooter alignWithMargins="0"/>
      <autoFilter ref="B1:G1"/>
    </customSheetView>
    <customSheetView guid="{1B8A84A3-3ABB-4F6A-9729-15A06ABCCAD7}" showPageBreaks="1" showAutoFilter="1" showRuler="0" topLeftCell="B1">
      <pane ySplit="2" topLeftCell="A59" activePane="bottomLeft" state="frozen"/>
      <selection pane="bottomLeft" activeCell="C79" sqref="C79"/>
      <pageMargins left="0.74803149606299213" right="0.74803149606299213" top="0.98425196850393704" bottom="0.98425196850393704" header="0.51181102362204722" footer="0.51181102362204722"/>
      <pageSetup paperSize="9" orientation="landscape" r:id="rId8"/>
      <headerFooter alignWithMargins="0"/>
      <autoFilter ref="B1:H1"/>
    </customSheetView>
  </customSheetViews>
  <mergeCells count="7346">
    <mergeCell ref="A8:B8"/>
    <mergeCell ref="M1163:N1163"/>
    <mergeCell ref="C1164:L1164"/>
    <mergeCell ref="C1161:L1161"/>
    <mergeCell ref="C1165:L1165"/>
    <mergeCell ref="M1165:N1165"/>
    <mergeCell ref="M1166:N1166"/>
    <mergeCell ref="M1173:N1173"/>
    <mergeCell ref="M1156:N1156"/>
    <mergeCell ref="C1158:L1158"/>
    <mergeCell ref="C1157:L1157"/>
    <mergeCell ref="C1156:L1156"/>
    <mergeCell ref="M1144:N1144"/>
    <mergeCell ref="M1141:N1141"/>
    <mergeCell ref="C1134:L1134"/>
    <mergeCell ref="C1168:L1168"/>
    <mergeCell ref="C1117:L1117"/>
    <mergeCell ref="M1117:N1117"/>
    <mergeCell ref="C1107:L1107"/>
    <mergeCell ref="M1107:N1107"/>
    <mergeCell ref="C1081:L1081"/>
    <mergeCell ref="M1081:N1081"/>
    <mergeCell ref="C1071:L1071"/>
    <mergeCell ref="M1071:N1071"/>
    <mergeCell ref="C1069:L1069"/>
    <mergeCell ref="M1069:N1069"/>
    <mergeCell ref="C1062:L1062"/>
    <mergeCell ref="M1062:N1062"/>
    <mergeCell ref="C1064:L1064"/>
    <mergeCell ref="M1064:N1064"/>
    <mergeCell ref="C1065:L1065"/>
    <mergeCell ref="M1120:N1120"/>
    <mergeCell ref="M1179:N1179"/>
    <mergeCell ref="M1148:N1148"/>
    <mergeCell ref="M1134:N1134"/>
    <mergeCell ref="M1139:N1139"/>
    <mergeCell ref="C1135:L1135"/>
    <mergeCell ref="M1135:N1135"/>
    <mergeCell ref="C1138:L1138"/>
    <mergeCell ref="M1138:N1138"/>
    <mergeCell ref="C1137:L1137"/>
    <mergeCell ref="C1125:L1125"/>
    <mergeCell ref="M1125:N1125"/>
    <mergeCell ref="C1123:L1123"/>
    <mergeCell ref="M1123:N1123"/>
    <mergeCell ref="C1124:L1124"/>
    <mergeCell ref="M1124:N1124"/>
    <mergeCell ref="C1130:L1130"/>
    <mergeCell ref="M1182:N1182"/>
    <mergeCell ref="C1173:L1173"/>
    <mergeCell ref="C1176:L1176"/>
    <mergeCell ref="C1175:L1175"/>
    <mergeCell ref="C1179:L1179"/>
    <mergeCell ref="C1174:L1174"/>
    <mergeCell ref="C1178:L1178"/>
    <mergeCell ref="C1181:L1181"/>
    <mergeCell ref="C1182:L1182"/>
    <mergeCell ref="C1180:L1180"/>
    <mergeCell ref="C1172:L1172"/>
    <mergeCell ref="M1170:N1170"/>
    <mergeCell ref="M1169:N1169"/>
    <mergeCell ref="M1172:N1172"/>
    <mergeCell ref="M1129:N1129"/>
    <mergeCell ref="G3:G4"/>
    <mergeCell ref="H3:H4"/>
    <mergeCell ref="I3:I4"/>
    <mergeCell ref="J3:J4"/>
    <mergeCell ref="K3:K4"/>
    <mergeCell ref="L3:L4"/>
    <mergeCell ref="M3:M4"/>
    <mergeCell ref="N3:N4"/>
    <mergeCell ref="M1167:N1167"/>
    <mergeCell ref="C1167:L1167"/>
    <mergeCell ref="C1163:L1163"/>
    <mergeCell ref="M1174:N1174"/>
    <mergeCell ref="C1160:L1160"/>
    <mergeCell ref="C1166:L1166"/>
    <mergeCell ref="M1162:N1162"/>
    <mergeCell ref="C1151:L1151"/>
    <mergeCell ref="M1130:N1130"/>
    <mergeCell ref="C1131:L1131"/>
    <mergeCell ref="M1131:N1131"/>
    <mergeCell ref="C1133:L1133"/>
    <mergeCell ref="M1133:N1133"/>
    <mergeCell ref="C1132:L1132"/>
    <mergeCell ref="M1132:N1132"/>
    <mergeCell ref="C1128:L1128"/>
    <mergeCell ref="M1128:N1128"/>
    <mergeCell ref="C1126:L1126"/>
    <mergeCell ref="M1126:N1126"/>
    <mergeCell ref="C1127:L1127"/>
    <mergeCell ref="M1127:N1127"/>
    <mergeCell ref="C1129:L1129"/>
    <mergeCell ref="C69:L69"/>
    <mergeCell ref="C1120:L1120"/>
    <mergeCell ref="C1190:L1190"/>
    <mergeCell ref="M1190:N1190"/>
    <mergeCell ref="C1202:L1202"/>
    <mergeCell ref="C1191:L1191"/>
    <mergeCell ref="M1193:N1193"/>
    <mergeCell ref="M1194:N1194"/>
    <mergeCell ref="M1191:N1191"/>
    <mergeCell ref="C1193:L1193"/>
    <mergeCell ref="M1192:N1192"/>
    <mergeCell ref="C1192:L1192"/>
    <mergeCell ref="M1197:N1197"/>
    <mergeCell ref="M1196:N1196"/>
    <mergeCell ref="C1185:L1185"/>
    <mergeCell ref="C1183:L1183"/>
    <mergeCell ref="M1175:N1175"/>
    <mergeCell ref="M1176:N1176"/>
    <mergeCell ref="M1184:N1184"/>
    <mergeCell ref="M1178:N1178"/>
    <mergeCell ref="M1181:N1181"/>
    <mergeCell ref="M1183:N1183"/>
    <mergeCell ref="C1188:L1188"/>
    <mergeCell ref="C1189:L1189"/>
    <mergeCell ref="M1189:N1189"/>
    <mergeCell ref="M1187:N1187"/>
    <mergeCell ref="M1186:N1186"/>
    <mergeCell ref="M1185:N1185"/>
    <mergeCell ref="M1188:N1188"/>
    <mergeCell ref="C1187:L1187"/>
    <mergeCell ref="C1186:L1186"/>
    <mergeCell ref="C1184:L1184"/>
    <mergeCell ref="C1177:L1177"/>
    <mergeCell ref="M1177:N1177"/>
    <mergeCell ref="C1199:L1199"/>
    <mergeCell ref="O1200:P1200"/>
    <mergeCell ref="O1203:P1203"/>
    <mergeCell ref="C1207:L1207"/>
    <mergeCell ref="C1206:L1206"/>
    <mergeCell ref="C1200:L1200"/>
    <mergeCell ref="C1198:L1198"/>
    <mergeCell ref="C1201:L1201"/>
    <mergeCell ref="C1203:L1203"/>
    <mergeCell ref="C1205:L1205"/>
    <mergeCell ref="C1204:L1204"/>
    <mergeCell ref="M1206:N1206"/>
    <mergeCell ref="M1207:N1207"/>
    <mergeCell ref="M1203:N1203"/>
    <mergeCell ref="M1204:N1204"/>
    <mergeCell ref="M1195:N1195"/>
    <mergeCell ref="C1194:L1194"/>
    <mergeCell ref="C1195:L1195"/>
    <mergeCell ref="C1196:L1196"/>
    <mergeCell ref="C1197:L1197"/>
    <mergeCell ref="O1209:P1209"/>
    <mergeCell ref="O1208:P1208"/>
    <mergeCell ref="M1198:N1198"/>
    <mergeCell ref="M1200:N1200"/>
    <mergeCell ref="M1201:N1201"/>
    <mergeCell ref="O1201:P1201"/>
    <mergeCell ref="O1204:P1204"/>
    <mergeCell ref="M1202:N1202"/>
    <mergeCell ref="O1202:P1202"/>
    <mergeCell ref="O1205:P1205"/>
    <mergeCell ref="O1216:P1216"/>
    <mergeCell ref="M1208:N1208"/>
    <mergeCell ref="M1209:N1209"/>
    <mergeCell ref="M1210:N1210"/>
    <mergeCell ref="M1211:N1211"/>
    <mergeCell ref="O1210:P1210"/>
    <mergeCell ref="O1215:P1215"/>
    <mergeCell ref="O1211:P1211"/>
    <mergeCell ref="O1212:P1212"/>
    <mergeCell ref="O1213:P1213"/>
    <mergeCell ref="O1214:P1214"/>
    <mergeCell ref="M1205:N1205"/>
    <mergeCell ref="M1199:N1199"/>
    <mergeCell ref="O1207:P1207"/>
    <mergeCell ref="O1206:P1206"/>
    <mergeCell ref="O1228:P1228"/>
    <mergeCell ref="S1229:T1229"/>
    <mergeCell ref="O1223:P1223"/>
    <mergeCell ref="O1226:P1226"/>
    <mergeCell ref="O1227:P1227"/>
    <mergeCell ref="Q1218:R1218"/>
    <mergeCell ref="O1218:P1218"/>
    <mergeCell ref="O1219:P1219"/>
    <mergeCell ref="O1222:P1222"/>
    <mergeCell ref="Q1223:R1223"/>
    <mergeCell ref="Q1220:R1220"/>
    <mergeCell ref="M1218:N1218"/>
    <mergeCell ref="M1216:N1216"/>
    <mergeCell ref="M1217:N1217"/>
    <mergeCell ref="U1227:V1227"/>
    <mergeCell ref="U1226:V1226"/>
    <mergeCell ref="U1225:V1225"/>
    <mergeCell ref="U1223:V1223"/>
    <mergeCell ref="O1217:P1217"/>
    <mergeCell ref="O1221:P1221"/>
    <mergeCell ref="O1220:P1220"/>
    <mergeCell ref="O1224:P1224"/>
    <mergeCell ref="Q1224:R1224"/>
    <mergeCell ref="M1225:N1225"/>
    <mergeCell ref="M1222:N1222"/>
    <mergeCell ref="M1224:N1224"/>
    <mergeCell ref="S1220:T1220"/>
    <mergeCell ref="O1232:P1232"/>
    <mergeCell ref="O1231:P1231"/>
    <mergeCell ref="C1231:L1231"/>
    <mergeCell ref="M1231:N1231"/>
    <mergeCell ref="M1223:N1223"/>
    <mergeCell ref="C1224:L1224"/>
    <mergeCell ref="C1225:L1225"/>
    <mergeCell ref="C1223:L1223"/>
    <mergeCell ref="O1230:P1230"/>
    <mergeCell ref="O1225:P1225"/>
    <mergeCell ref="Q1232:R1232"/>
    <mergeCell ref="U1232:V1232"/>
    <mergeCell ref="U1231:V1231"/>
    <mergeCell ref="U1230:V1230"/>
    <mergeCell ref="U1221:V1221"/>
    <mergeCell ref="U1222:V1222"/>
    <mergeCell ref="U1228:V1228"/>
    <mergeCell ref="U1229:V1229"/>
    <mergeCell ref="U1224:V1224"/>
    <mergeCell ref="S1221:T1221"/>
    <mergeCell ref="O1229:P1229"/>
    <mergeCell ref="S1232:T1232"/>
    <mergeCell ref="S1231:T1231"/>
    <mergeCell ref="Q1231:R1231"/>
    <mergeCell ref="S1230:T1230"/>
    <mergeCell ref="S1225:T1225"/>
    <mergeCell ref="S1227:T1227"/>
    <mergeCell ref="Q1221:R1221"/>
    <mergeCell ref="S1226:T1226"/>
    <mergeCell ref="Q1229:R1229"/>
    <mergeCell ref="Q1228:R1228"/>
    <mergeCell ref="S1228:T1228"/>
    <mergeCell ref="C1219:L1219"/>
    <mergeCell ref="C1232:L1232"/>
    <mergeCell ref="M1232:N1232"/>
    <mergeCell ref="M1220:N1220"/>
    <mergeCell ref="C1221:L1221"/>
    <mergeCell ref="M1221:N1221"/>
    <mergeCell ref="C1222:L1222"/>
    <mergeCell ref="C1217:L1217"/>
    <mergeCell ref="C1214:L1214"/>
    <mergeCell ref="C1212:L1212"/>
    <mergeCell ref="C1213:L1213"/>
    <mergeCell ref="C1220:L1220"/>
    <mergeCell ref="M1215:N1215"/>
    <mergeCell ref="M1219:N1219"/>
    <mergeCell ref="M1213:N1213"/>
    <mergeCell ref="M1214:N1214"/>
    <mergeCell ref="C1218:L1218"/>
    <mergeCell ref="M1226:N1226"/>
    <mergeCell ref="M1228:N1228"/>
    <mergeCell ref="M1212:N1212"/>
    <mergeCell ref="C1226:L1226"/>
    <mergeCell ref="C1228:L1228"/>
    <mergeCell ref="C1227:L1227"/>
    <mergeCell ref="M1230:N1230"/>
    <mergeCell ref="C1230:L1230"/>
    <mergeCell ref="C1229:L1229"/>
    <mergeCell ref="M1229:N1229"/>
    <mergeCell ref="M1227:N1227"/>
    <mergeCell ref="C1208:L1208"/>
    <mergeCell ref="C1210:L1210"/>
    <mergeCell ref="C1211:L1211"/>
    <mergeCell ref="C1216:L1216"/>
    <mergeCell ref="C1209:L1209"/>
    <mergeCell ref="C1215:L1215"/>
    <mergeCell ref="U1218:V1218"/>
    <mergeCell ref="Q1230:R1230"/>
    <mergeCell ref="Q1225:R1225"/>
    <mergeCell ref="Q1227:R1227"/>
    <mergeCell ref="Q1226:R1226"/>
    <mergeCell ref="S1224:T1224"/>
    <mergeCell ref="S1223:T1223"/>
    <mergeCell ref="Q1222:R1222"/>
    <mergeCell ref="S1222:T1222"/>
    <mergeCell ref="U1220:V1220"/>
    <mergeCell ref="U1216:V1216"/>
    <mergeCell ref="S1218:T1218"/>
    <mergeCell ref="Q1219:R1219"/>
    <mergeCell ref="U1217:V1217"/>
    <mergeCell ref="Q1216:R1216"/>
    <mergeCell ref="S1217:T1217"/>
    <mergeCell ref="S1216:T1216"/>
    <mergeCell ref="Q1217:R1217"/>
    <mergeCell ref="S1219:T1219"/>
    <mergeCell ref="U1219:V1219"/>
    <mergeCell ref="U1215:V1215"/>
    <mergeCell ref="S1215:T1215"/>
    <mergeCell ref="S1212:T1212"/>
    <mergeCell ref="U1211:V1211"/>
    <mergeCell ref="U1212:V1212"/>
    <mergeCell ref="S1213:T1213"/>
    <mergeCell ref="U1213:V1213"/>
    <mergeCell ref="Q1215:R1215"/>
    <mergeCell ref="Q1205:R1205"/>
    <mergeCell ref="U1205:V1205"/>
    <mergeCell ref="Q1208:R1208"/>
    <mergeCell ref="U1207:V1207"/>
    <mergeCell ref="S1207:T1207"/>
    <mergeCell ref="S1206:T1206"/>
    <mergeCell ref="U1206:V1206"/>
    <mergeCell ref="U1208:V1208"/>
    <mergeCell ref="Q1213:R1213"/>
    <mergeCell ref="Q1214:R1214"/>
    <mergeCell ref="Q1204:R1204"/>
    <mergeCell ref="S1204:T1204"/>
    <mergeCell ref="Q1212:R1212"/>
    <mergeCell ref="Q1210:R1210"/>
    <mergeCell ref="Q1206:R1206"/>
    <mergeCell ref="Q1211:R1211"/>
    <mergeCell ref="Q1207:R1207"/>
    <mergeCell ref="Q1209:R1209"/>
    <mergeCell ref="S1214:T1214"/>
    <mergeCell ref="U1214:V1214"/>
    <mergeCell ref="S1203:T1203"/>
    <mergeCell ref="S1211:T1211"/>
    <mergeCell ref="U1209:V1209"/>
    <mergeCell ref="S1210:T1210"/>
    <mergeCell ref="S1209:T1209"/>
    <mergeCell ref="U1210:V1210"/>
    <mergeCell ref="U1204:V1204"/>
    <mergeCell ref="S1205:T1205"/>
    <mergeCell ref="S1208:T1208"/>
    <mergeCell ref="Q1200:R1200"/>
    <mergeCell ref="Q1203:R1203"/>
    <mergeCell ref="Q1201:R1201"/>
    <mergeCell ref="U1200:V1200"/>
    <mergeCell ref="U1202:V1202"/>
    <mergeCell ref="S1202:T1202"/>
    <mergeCell ref="S1200:T1200"/>
    <mergeCell ref="U1201:V1201"/>
    <mergeCell ref="S1201:T1201"/>
    <mergeCell ref="U1203:V1203"/>
    <mergeCell ref="U1198:V1198"/>
    <mergeCell ref="O1199:P1199"/>
    <mergeCell ref="Q1198:R1198"/>
    <mergeCell ref="O1198:P1198"/>
    <mergeCell ref="U1199:V1199"/>
    <mergeCell ref="S1199:T1199"/>
    <mergeCell ref="Q1199:R1199"/>
    <mergeCell ref="Q1202:R1202"/>
    <mergeCell ref="S1198:T1198"/>
    <mergeCell ref="S1194:T1194"/>
    <mergeCell ref="U1197:V1197"/>
    <mergeCell ref="S1197:T1197"/>
    <mergeCell ref="U1194:V1194"/>
    <mergeCell ref="S1195:T1195"/>
    <mergeCell ref="U1195:V1195"/>
    <mergeCell ref="U1196:V1196"/>
    <mergeCell ref="S1196:T1196"/>
    <mergeCell ref="O1194:P1194"/>
    <mergeCell ref="Q1194:R1194"/>
    <mergeCell ref="O1195:P1195"/>
    <mergeCell ref="Q1195:R1195"/>
    <mergeCell ref="O1197:P1197"/>
    <mergeCell ref="Q1197:R1197"/>
    <mergeCell ref="Q1196:R1196"/>
    <mergeCell ref="O1196:P1196"/>
    <mergeCell ref="S1184:T1184"/>
    <mergeCell ref="Q1184:R1184"/>
    <mergeCell ref="O1185:P1185"/>
    <mergeCell ref="Q1185:R1185"/>
    <mergeCell ref="O1190:P1190"/>
    <mergeCell ref="Q1193:R1193"/>
    <mergeCell ref="O1193:P1193"/>
    <mergeCell ref="O1191:P1191"/>
    <mergeCell ref="Q1191:R1191"/>
    <mergeCell ref="O1192:P1192"/>
    <mergeCell ref="Q1192:R1192"/>
    <mergeCell ref="Q1190:R1190"/>
    <mergeCell ref="S1193:T1193"/>
    <mergeCell ref="U1190:V1190"/>
    <mergeCell ref="U1192:V1192"/>
    <mergeCell ref="U1191:V1191"/>
    <mergeCell ref="S1192:T1192"/>
    <mergeCell ref="S1191:T1191"/>
    <mergeCell ref="U1193:V1193"/>
    <mergeCell ref="S1190:T1190"/>
    <mergeCell ref="S1189:T1189"/>
    <mergeCell ref="U1189:V1189"/>
    <mergeCell ref="S1183:T1183"/>
    <mergeCell ref="S1182:T1182"/>
    <mergeCell ref="S1178:T1178"/>
    <mergeCell ref="U1183:V1183"/>
    <mergeCell ref="O1183:P1183"/>
    <mergeCell ref="O1182:P1182"/>
    <mergeCell ref="Q1182:R1182"/>
    <mergeCell ref="O1181:P1181"/>
    <mergeCell ref="Q1181:R1181"/>
    <mergeCell ref="Q1183:R1183"/>
    <mergeCell ref="O1178:P1178"/>
    <mergeCell ref="Q1178:R1178"/>
    <mergeCell ref="O1179:P1179"/>
    <mergeCell ref="Q1179:R1179"/>
    <mergeCell ref="U1188:V1188"/>
    <mergeCell ref="O1189:P1189"/>
    <mergeCell ref="Q1189:R1189"/>
    <mergeCell ref="O1188:P1188"/>
    <mergeCell ref="Q1188:R1188"/>
    <mergeCell ref="S1188:T1188"/>
    <mergeCell ref="O1186:P1186"/>
    <mergeCell ref="Q1186:R1186"/>
    <mergeCell ref="Q1187:R1187"/>
    <mergeCell ref="U1185:V1185"/>
    <mergeCell ref="U1186:V1186"/>
    <mergeCell ref="U1187:V1187"/>
    <mergeCell ref="S1187:T1187"/>
    <mergeCell ref="O1187:P1187"/>
    <mergeCell ref="S1186:T1186"/>
    <mergeCell ref="O1184:P1184"/>
    <mergeCell ref="U1184:V1184"/>
    <mergeCell ref="S1185:T1185"/>
    <mergeCell ref="O1175:P1175"/>
    <mergeCell ref="Q1176:R1176"/>
    <mergeCell ref="O1176:P1176"/>
    <mergeCell ref="Q1175:R1175"/>
    <mergeCell ref="O1177:P1177"/>
    <mergeCell ref="S1177:T1177"/>
    <mergeCell ref="U1176:V1176"/>
    <mergeCell ref="U1175:V1175"/>
    <mergeCell ref="S1176:T1176"/>
    <mergeCell ref="U1164:V1164"/>
    <mergeCell ref="U1163:V1163"/>
    <mergeCell ref="C1159:L1159"/>
    <mergeCell ref="O1161:P1161"/>
    <mergeCell ref="U1182:V1182"/>
    <mergeCell ref="S1181:T1181"/>
    <mergeCell ref="U1181:V1181"/>
    <mergeCell ref="U1180:V1180"/>
    <mergeCell ref="S1179:T1179"/>
    <mergeCell ref="S1180:T1180"/>
    <mergeCell ref="O1180:P1180"/>
    <mergeCell ref="Q1180:R1180"/>
    <mergeCell ref="U1178:V1178"/>
    <mergeCell ref="U1179:V1179"/>
    <mergeCell ref="M1168:N1168"/>
    <mergeCell ref="M1171:N1171"/>
    <mergeCell ref="C1169:L1169"/>
    <mergeCell ref="C1170:L1170"/>
    <mergeCell ref="C1171:L1171"/>
    <mergeCell ref="M1161:N1161"/>
    <mergeCell ref="C1162:L1162"/>
    <mergeCell ref="M1164:N1164"/>
    <mergeCell ref="M1180:N1180"/>
    <mergeCell ref="S1164:T1164"/>
    <mergeCell ref="U1162:V1162"/>
    <mergeCell ref="U1161:V1161"/>
    <mergeCell ref="U1159:V1159"/>
    <mergeCell ref="O1166:P1166"/>
    <mergeCell ref="S1166:T1166"/>
    <mergeCell ref="O1162:P1162"/>
    <mergeCell ref="Q1164:R1164"/>
    <mergeCell ref="O1169:P1169"/>
    <mergeCell ref="Q1170:R1170"/>
    <mergeCell ref="Q1177:R1177"/>
    <mergeCell ref="O1174:P1174"/>
    <mergeCell ref="O1170:P1170"/>
    <mergeCell ref="Q1173:R1173"/>
    <mergeCell ref="O1173:P1173"/>
    <mergeCell ref="S1175:T1175"/>
    <mergeCell ref="S1172:T1172"/>
    <mergeCell ref="Q1171:R1171"/>
    <mergeCell ref="S1173:T1173"/>
    <mergeCell ref="Q1172:R1172"/>
    <mergeCell ref="U1166:V1166"/>
    <mergeCell ref="S1163:T1163"/>
    <mergeCell ref="U1165:V1165"/>
    <mergeCell ref="Q1174:R1174"/>
    <mergeCell ref="S1174:T1174"/>
    <mergeCell ref="U1171:V1171"/>
    <mergeCell ref="U1172:V1172"/>
    <mergeCell ref="U1173:V1173"/>
    <mergeCell ref="O1164:P1164"/>
    <mergeCell ref="O1163:P1163"/>
    <mergeCell ref="O1165:P1165"/>
    <mergeCell ref="U1177:V1177"/>
    <mergeCell ref="O1150:P1150"/>
    <mergeCell ref="O1153:P1153"/>
    <mergeCell ref="O1156:P1156"/>
    <mergeCell ref="C1153:L1153"/>
    <mergeCell ref="M1153:N1153"/>
    <mergeCell ref="M1157:N1157"/>
    <mergeCell ref="O1152:P1152"/>
    <mergeCell ref="U1174:V1174"/>
    <mergeCell ref="O1167:P1167"/>
    <mergeCell ref="Q1168:R1168"/>
    <mergeCell ref="Q1169:R1169"/>
    <mergeCell ref="U1170:V1170"/>
    <mergeCell ref="U1169:V1169"/>
    <mergeCell ref="O1168:P1168"/>
    <mergeCell ref="S1170:T1170"/>
    <mergeCell ref="S1169:T1169"/>
    <mergeCell ref="S1167:T1167"/>
    <mergeCell ref="Q1167:R1167"/>
    <mergeCell ref="Q1166:R1166"/>
    <mergeCell ref="Q1165:R1165"/>
    <mergeCell ref="Q1163:R1163"/>
    <mergeCell ref="U1168:V1168"/>
    <mergeCell ref="U1167:V1167"/>
    <mergeCell ref="S1165:T1165"/>
    <mergeCell ref="S1168:T1168"/>
    <mergeCell ref="O1172:P1172"/>
    <mergeCell ref="O1171:P1171"/>
    <mergeCell ref="S1159:T1159"/>
    <mergeCell ref="S1171:T1171"/>
    <mergeCell ref="U1156:V1156"/>
    <mergeCell ref="S1156:T1156"/>
    <mergeCell ref="S1150:T1150"/>
    <mergeCell ref="O1151:P1151"/>
    <mergeCell ref="Q1162:R1162"/>
    <mergeCell ref="Q1161:R1161"/>
    <mergeCell ref="Q1160:R1160"/>
    <mergeCell ref="S1162:T1162"/>
    <mergeCell ref="U1157:V1157"/>
    <mergeCell ref="S1158:T1158"/>
    <mergeCell ref="U1158:V1158"/>
    <mergeCell ref="S1160:T1160"/>
    <mergeCell ref="U1160:V1160"/>
    <mergeCell ref="M1158:N1158"/>
    <mergeCell ref="O1160:P1160"/>
    <mergeCell ref="M1160:N1160"/>
    <mergeCell ref="O1159:P1159"/>
    <mergeCell ref="O1158:P1158"/>
    <mergeCell ref="M1159:N1159"/>
    <mergeCell ref="Q1159:R1159"/>
    <mergeCell ref="Q1156:R1156"/>
    <mergeCell ref="Q1157:R1157"/>
    <mergeCell ref="Q1158:R1158"/>
    <mergeCell ref="S1157:T1157"/>
    <mergeCell ref="S1161:T1161"/>
    <mergeCell ref="O1157:P1157"/>
    <mergeCell ref="Q1146:R1146"/>
    <mergeCell ref="S1154:T1154"/>
    <mergeCell ref="M1154:N1154"/>
    <mergeCell ref="M1150:N1150"/>
    <mergeCell ref="Q1155:R1155"/>
    <mergeCell ref="S1155:T1155"/>
    <mergeCell ref="Q1154:R1154"/>
    <mergeCell ref="S1153:T1153"/>
    <mergeCell ref="M1152:N1152"/>
    <mergeCell ref="C1149:L1149"/>
    <mergeCell ref="M1149:N1149"/>
    <mergeCell ref="U1151:V1151"/>
    <mergeCell ref="Q1150:R1150"/>
    <mergeCell ref="U1155:V1155"/>
    <mergeCell ref="U1152:V1152"/>
    <mergeCell ref="Q1152:R1152"/>
    <mergeCell ref="S1152:T1152"/>
    <mergeCell ref="Q1153:R1153"/>
    <mergeCell ref="U1153:V1153"/>
    <mergeCell ref="U1154:V1154"/>
    <mergeCell ref="S1151:T1151"/>
    <mergeCell ref="M1147:N1147"/>
    <mergeCell ref="M1151:N1151"/>
    <mergeCell ref="C1152:L1152"/>
    <mergeCell ref="C1154:L1154"/>
    <mergeCell ref="O1154:P1154"/>
    <mergeCell ref="O1155:P1155"/>
    <mergeCell ref="C1155:L1155"/>
    <mergeCell ref="M1155:N1155"/>
    <mergeCell ref="U1150:V1150"/>
    <mergeCell ref="C1150:L1150"/>
    <mergeCell ref="Q1151:R1151"/>
    <mergeCell ref="Q1143:R1143"/>
    <mergeCell ref="O1144:P1144"/>
    <mergeCell ref="Q1142:R1142"/>
    <mergeCell ref="C1146:L1146"/>
    <mergeCell ref="M1142:N1142"/>
    <mergeCell ref="O1145:P1145"/>
    <mergeCell ref="S1149:T1149"/>
    <mergeCell ref="U1149:V1149"/>
    <mergeCell ref="U1148:V1148"/>
    <mergeCell ref="U1147:V1147"/>
    <mergeCell ref="S1148:T1148"/>
    <mergeCell ref="C1144:L1144"/>
    <mergeCell ref="C1145:L1145"/>
    <mergeCell ref="C1141:L1141"/>
    <mergeCell ref="Q1145:R1145"/>
    <mergeCell ref="O1146:P1146"/>
    <mergeCell ref="Q1147:R1147"/>
    <mergeCell ref="M1146:N1146"/>
    <mergeCell ref="O1148:P1148"/>
    <mergeCell ref="U1141:V1141"/>
    <mergeCell ref="U1142:V1142"/>
    <mergeCell ref="S1146:T1146"/>
    <mergeCell ref="U1144:V1144"/>
    <mergeCell ref="U1145:V1145"/>
    <mergeCell ref="U1143:V1143"/>
    <mergeCell ref="O1149:P1149"/>
    <mergeCell ref="O1147:P1147"/>
    <mergeCell ref="S1143:T1143"/>
    <mergeCell ref="Q1148:R1148"/>
    <mergeCell ref="S1144:T1144"/>
    <mergeCell ref="U1146:V1146"/>
    <mergeCell ref="Q1149:R1149"/>
    <mergeCell ref="S1145:T1145"/>
    <mergeCell ref="S1147:T1147"/>
    <mergeCell ref="C1148:L1148"/>
    <mergeCell ref="C1143:L1143"/>
    <mergeCell ref="M1143:N1143"/>
    <mergeCell ref="M1137:N1137"/>
    <mergeCell ref="S1137:T1137"/>
    <mergeCell ref="U1137:V1137"/>
    <mergeCell ref="C1136:L1136"/>
    <mergeCell ref="M1136:N1136"/>
    <mergeCell ref="S1136:T1136"/>
    <mergeCell ref="U1136:V1136"/>
    <mergeCell ref="O1136:P1136"/>
    <mergeCell ref="Q1136:R1136"/>
    <mergeCell ref="O1137:P1137"/>
    <mergeCell ref="Q1137:R1137"/>
    <mergeCell ref="O1142:P1142"/>
    <mergeCell ref="S1141:T1141"/>
    <mergeCell ref="S1142:T1142"/>
    <mergeCell ref="Q1140:R1140"/>
    <mergeCell ref="O1140:P1140"/>
    <mergeCell ref="O1141:P1141"/>
    <mergeCell ref="Q1141:R1141"/>
    <mergeCell ref="Q1139:R1139"/>
    <mergeCell ref="C1140:L1140"/>
    <mergeCell ref="M1140:N1140"/>
    <mergeCell ref="C1142:L1142"/>
    <mergeCell ref="M1145:N1145"/>
    <mergeCell ref="C1147:L1147"/>
    <mergeCell ref="Q1144:R1144"/>
    <mergeCell ref="C1139:L1139"/>
    <mergeCell ref="O1143:P1143"/>
    <mergeCell ref="S1134:T1134"/>
    <mergeCell ref="U1134:V1134"/>
    <mergeCell ref="O1134:P1134"/>
    <mergeCell ref="Q1134:R1134"/>
    <mergeCell ref="S1133:T1133"/>
    <mergeCell ref="U1133:V1133"/>
    <mergeCell ref="O1132:P1132"/>
    <mergeCell ref="Q1132:R1132"/>
    <mergeCell ref="O1133:P1133"/>
    <mergeCell ref="Q1133:R1133"/>
    <mergeCell ref="S1135:T1135"/>
    <mergeCell ref="U1135:V1135"/>
    <mergeCell ref="U1140:V1140"/>
    <mergeCell ref="S1138:T1138"/>
    <mergeCell ref="U1138:V1138"/>
    <mergeCell ref="S1140:T1140"/>
    <mergeCell ref="S1139:T1139"/>
    <mergeCell ref="U1139:V1139"/>
    <mergeCell ref="O1139:P1139"/>
    <mergeCell ref="O1138:P1138"/>
    <mergeCell ref="Q1138:R1138"/>
    <mergeCell ref="O1135:P1135"/>
    <mergeCell ref="Q1135:R1135"/>
    <mergeCell ref="S1132:T1132"/>
    <mergeCell ref="U1132:V1132"/>
    <mergeCell ref="U1129:V1129"/>
    <mergeCell ref="O1129:P1129"/>
    <mergeCell ref="Q1129:R1129"/>
    <mergeCell ref="O1131:P1131"/>
    <mergeCell ref="Q1131:R1131"/>
    <mergeCell ref="S1128:T1128"/>
    <mergeCell ref="U1128:V1128"/>
    <mergeCell ref="S1130:T1130"/>
    <mergeCell ref="U1130:V1130"/>
    <mergeCell ref="O1130:P1130"/>
    <mergeCell ref="Q1130:R1130"/>
    <mergeCell ref="O1128:P1128"/>
    <mergeCell ref="Q1128:R1128"/>
    <mergeCell ref="S1124:T1124"/>
    <mergeCell ref="U1124:V1124"/>
    <mergeCell ref="S1125:T1125"/>
    <mergeCell ref="U1125:V1125"/>
    <mergeCell ref="O1125:P1125"/>
    <mergeCell ref="Q1125:R1125"/>
    <mergeCell ref="O1124:P1124"/>
    <mergeCell ref="Q1124:R1124"/>
    <mergeCell ref="O1126:P1126"/>
    <mergeCell ref="Q1126:R1126"/>
    <mergeCell ref="O1127:P1127"/>
    <mergeCell ref="Q1127:R1127"/>
    <mergeCell ref="S1127:T1127"/>
    <mergeCell ref="U1127:V1127"/>
    <mergeCell ref="S1126:T1126"/>
    <mergeCell ref="U1126:V1126"/>
    <mergeCell ref="U1131:V1131"/>
    <mergeCell ref="S1129:T1129"/>
    <mergeCell ref="S1131:T1131"/>
    <mergeCell ref="O1119:P1119"/>
    <mergeCell ref="Q1119:R1119"/>
    <mergeCell ref="S1119:T1119"/>
    <mergeCell ref="C1121:L1121"/>
    <mergeCell ref="M1121:N1121"/>
    <mergeCell ref="O1122:P1122"/>
    <mergeCell ref="Q1122:R1122"/>
    <mergeCell ref="C1122:L1122"/>
    <mergeCell ref="M1122:N1122"/>
    <mergeCell ref="O1123:P1123"/>
    <mergeCell ref="Q1123:R1123"/>
    <mergeCell ref="S1122:T1122"/>
    <mergeCell ref="U1122:V1122"/>
    <mergeCell ref="S1123:T1123"/>
    <mergeCell ref="U1123:V1123"/>
    <mergeCell ref="S1120:T1120"/>
    <mergeCell ref="U1120:V1120"/>
    <mergeCell ref="O1121:P1121"/>
    <mergeCell ref="Q1121:R1121"/>
    <mergeCell ref="S1121:T1121"/>
    <mergeCell ref="U1121:V1121"/>
    <mergeCell ref="O1120:P1120"/>
    <mergeCell ref="Q1120:R1120"/>
    <mergeCell ref="U1119:V1119"/>
    <mergeCell ref="C1119:L1119"/>
    <mergeCell ref="M1119:N1119"/>
    <mergeCell ref="O1117:P1117"/>
    <mergeCell ref="Q1117:R1117"/>
    <mergeCell ref="O1115:P1115"/>
    <mergeCell ref="Q1115:R1115"/>
    <mergeCell ref="O1114:P1114"/>
    <mergeCell ref="Q1114:R1114"/>
    <mergeCell ref="C1114:L1114"/>
    <mergeCell ref="M1114:N1114"/>
    <mergeCell ref="C1115:L1115"/>
    <mergeCell ref="M1115:N1115"/>
    <mergeCell ref="O1116:P1116"/>
    <mergeCell ref="Q1116:R1116"/>
    <mergeCell ref="S1118:T1118"/>
    <mergeCell ref="U1118:V1118"/>
    <mergeCell ref="S1117:T1117"/>
    <mergeCell ref="U1117:V1117"/>
    <mergeCell ref="S1116:T1116"/>
    <mergeCell ref="U1116:V1116"/>
    <mergeCell ref="S1115:T1115"/>
    <mergeCell ref="U1115:V1115"/>
    <mergeCell ref="C1116:L1116"/>
    <mergeCell ref="M1116:N1116"/>
    <mergeCell ref="C1118:L1118"/>
    <mergeCell ref="M1118:N1118"/>
    <mergeCell ref="O1118:P1118"/>
    <mergeCell ref="Q1118:R1118"/>
    <mergeCell ref="O1109:P1109"/>
    <mergeCell ref="Q1109:R1109"/>
    <mergeCell ref="O1110:P1110"/>
    <mergeCell ref="Q1110:R1110"/>
    <mergeCell ref="O1112:P1112"/>
    <mergeCell ref="Q1112:R1112"/>
    <mergeCell ref="S1114:T1114"/>
    <mergeCell ref="U1114:V1114"/>
    <mergeCell ref="C1109:L1109"/>
    <mergeCell ref="M1109:N1109"/>
    <mergeCell ref="O1111:P1111"/>
    <mergeCell ref="Q1111:R1111"/>
    <mergeCell ref="C1111:L1111"/>
    <mergeCell ref="M1111:N1111"/>
    <mergeCell ref="C1110:L1110"/>
    <mergeCell ref="M1110:N1110"/>
    <mergeCell ref="S1113:T1113"/>
    <mergeCell ref="U1113:V1113"/>
    <mergeCell ref="O1113:P1113"/>
    <mergeCell ref="Q1113:R1113"/>
    <mergeCell ref="C1112:L1112"/>
    <mergeCell ref="M1112:N1112"/>
    <mergeCell ref="C1113:L1113"/>
    <mergeCell ref="M1113:N1113"/>
    <mergeCell ref="S1109:T1109"/>
    <mergeCell ref="U1109:V1109"/>
    <mergeCell ref="S1112:T1112"/>
    <mergeCell ref="U1112:V1112"/>
    <mergeCell ref="S1110:T1110"/>
    <mergeCell ref="U1110:V1110"/>
    <mergeCell ref="S1111:T1111"/>
    <mergeCell ref="U1111:V1111"/>
    <mergeCell ref="O1108:P1108"/>
    <mergeCell ref="Q1108:R1108"/>
    <mergeCell ref="C1108:L1108"/>
    <mergeCell ref="M1108:N1108"/>
    <mergeCell ref="S1108:T1108"/>
    <mergeCell ref="U1108:V1108"/>
    <mergeCell ref="O1106:P1106"/>
    <mergeCell ref="Q1106:R1106"/>
    <mergeCell ref="S1106:T1106"/>
    <mergeCell ref="U1106:V1106"/>
    <mergeCell ref="O1107:P1107"/>
    <mergeCell ref="Q1107:R1107"/>
    <mergeCell ref="S1107:T1107"/>
    <mergeCell ref="U1107:V1107"/>
    <mergeCell ref="S1105:T1105"/>
    <mergeCell ref="U1105:V1105"/>
    <mergeCell ref="C1101:L1101"/>
    <mergeCell ref="M1101:N1101"/>
    <mergeCell ref="O1104:P1104"/>
    <mergeCell ref="Q1104:R1104"/>
    <mergeCell ref="O1105:P1105"/>
    <mergeCell ref="Q1105:R1105"/>
    <mergeCell ref="S1104:T1104"/>
    <mergeCell ref="U1104:V1104"/>
    <mergeCell ref="C1106:L1106"/>
    <mergeCell ref="M1106:N1106"/>
    <mergeCell ref="C1104:L1104"/>
    <mergeCell ref="M1104:N1104"/>
    <mergeCell ref="C1105:L1105"/>
    <mergeCell ref="M1105:N1105"/>
    <mergeCell ref="C1102:L1102"/>
    <mergeCell ref="M1102:N1102"/>
    <mergeCell ref="S1103:T1103"/>
    <mergeCell ref="U1103:V1103"/>
    <mergeCell ref="C1103:L1103"/>
    <mergeCell ref="M1103:N1103"/>
    <mergeCell ref="O1103:P1103"/>
    <mergeCell ref="Q1103:R1103"/>
    <mergeCell ref="C1099:L1099"/>
    <mergeCell ref="M1099:N1099"/>
    <mergeCell ref="C1098:L1098"/>
    <mergeCell ref="M1098:N1098"/>
    <mergeCell ref="O1097:P1097"/>
    <mergeCell ref="Q1097:R1097"/>
    <mergeCell ref="O1096:P1096"/>
    <mergeCell ref="Q1096:R1096"/>
    <mergeCell ref="C1092:L1092"/>
    <mergeCell ref="M1092:N1092"/>
    <mergeCell ref="O1095:P1095"/>
    <mergeCell ref="Q1095:R1095"/>
    <mergeCell ref="O1094:P1094"/>
    <mergeCell ref="Q1094:R1094"/>
    <mergeCell ref="S1101:T1101"/>
    <mergeCell ref="U1101:V1101"/>
    <mergeCell ref="O1102:P1102"/>
    <mergeCell ref="Q1102:R1102"/>
    <mergeCell ref="O1101:P1101"/>
    <mergeCell ref="Q1101:R1101"/>
    <mergeCell ref="S1102:T1102"/>
    <mergeCell ref="U1102:V1102"/>
    <mergeCell ref="S1099:T1099"/>
    <mergeCell ref="U1099:V1099"/>
    <mergeCell ref="C1100:L1100"/>
    <mergeCell ref="M1100:N1100"/>
    <mergeCell ref="S1100:T1100"/>
    <mergeCell ref="U1100:V1100"/>
    <mergeCell ref="O1100:P1100"/>
    <mergeCell ref="Q1100:R1100"/>
    <mergeCell ref="O1099:P1099"/>
    <mergeCell ref="Q1099:R1099"/>
    <mergeCell ref="S1093:T1093"/>
    <mergeCell ref="U1093:V1093"/>
    <mergeCell ref="O1093:P1093"/>
    <mergeCell ref="Q1093:R1093"/>
    <mergeCell ref="C1097:L1097"/>
    <mergeCell ref="M1097:N1097"/>
    <mergeCell ref="C1095:L1095"/>
    <mergeCell ref="M1095:N1095"/>
    <mergeCell ref="C1096:L1096"/>
    <mergeCell ref="M1096:N1096"/>
    <mergeCell ref="S1098:T1098"/>
    <mergeCell ref="U1098:V1098"/>
    <mergeCell ref="S1097:T1097"/>
    <mergeCell ref="U1097:V1097"/>
    <mergeCell ref="S1094:T1094"/>
    <mergeCell ref="U1094:V1094"/>
    <mergeCell ref="S1096:T1096"/>
    <mergeCell ref="U1096:V1096"/>
    <mergeCell ref="S1095:T1095"/>
    <mergeCell ref="U1095:V1095"/>
    <mergeCell ref="O1098:P1098"/>
    <mergeCell ref="Q1098:R1098"/>
    <mergeCell ref="C1093:L1093"/>
    <mergeCell ref="M1093:N1093"/>
    <mergeCell ref="C1094:L1094"/>
    <mergeCell ref="M1094:N1094"/>
    <mergeCell ref="O1091:P1091"/>
    <mergeCell ref="Q1091:R1091"/>
    <mergeCell ref="C1091:L1091"/>
    <mergeCell ref="M1091:N1091"/>
    <mergeCell ref="S1092:T1092"/>
    <mergeCell ref="U1092:V1092"/>
    <mergeCell ref="S1091:T1091"/>
    <mergeCell ref="U1091:V1091"/>
    <mergeCell ref="C1086:L1086"/>
    <mergeCell ref="M1086:N1086"/>
    <mergeCell ref="C1087:L1087"/>
    <mergeCell ref="M1087:N1087"/>
    <mergeCell ref="C1088:L1088"/>
    <mergeCell ref="M1088:N1088"/>
    <mergeCell ref="O1088:P1088"/>
    <mergeCell ref="Q1088:R1088"/>
    <mergeCell ref="O1092:P1092"/>
    <mergeCell ref="Q1092:R1092"/>
    <mergeCell ref="C1089:L1089"/>
    <mergeCell ref="M1089:N1089"/>
    <mergeCell ref="C1090:L1090"/>
    <mergeCell ref="M1090:N1090"/>
    <mergeCell ref="O1089:P1089"/>
    <mergeCell ref="Q1089:R1089"/>
    <mergeCell ref="O1090:P1090"/>
    <mergeCell ref="Q1090:R1090"/>
    <mergeCell ref="S1090:T1090"/>
    <mergeCell ref="U1090:V1090"/>
    <mergeCell ref="S1088:T1088"/>
    <mergeCell ref="U1088:V1088"/>
    <mergeCell ref="S1087:T1087"/>
    <mergeCell ref="U1087:V1087"/>
    <mergeCell ref="S1086:T1086"/>
    <mergeCell ref="U1086:V1086"/>
    <mergeCell ref="O1086:P1086"/>
    <mergeCell ref="Q1086:R1086"/>
    <mergeCell ref="S1089:T1089"/>
    <mergeCell ref="U1089:V1089"/>
    <mergeCell ref="C1084:L1084"/>
    <mergeCell ref="M1084:N1084"/>
    <mergeCell ref="O1087:P1087"/>
    <mergeCell ref="Q1087:R1087"/>
    <mergeCell ref="C1085:L1085"/>
    <mergeCell ref="M1085:N1085"/>
    <mergeCell ref="S1082:T1082"/>
    <mergeCell ref="U1082:V1082"/>
    <mergeCell ref="S1085:T1085"/>
    <mergeCell ref="U1085:V1085"/>
    <mergeCell ref="O1085:P1085"/>
    <mergeCell ref="Q1085:R1085"/>
    <mergeCell ref="S1084:T1084"/>
    <mergeCell ref="U1084:V1084"/>
    <mergeCell ref="S1083:T1083"/>
    <mergeCell ref="U1083:V1083"/>
    <mergeCell ref="C1083:L1083"/>
    <mergeCell ref="M1083:N1083"/>
    <mergeCell ref="O1083:P1083"/>
    <mergeCell ref="Q1083:R1083"/>
    <mergeCell ref="O1082:P1082"/>
    <mergeCell ref="Q1082:R1082"/>
    <mergeCell ref="S1080:T1080"/>
    <mergeCell ref="U1080:V1080"/>
    <mergeCell ref="S1081:T1081"/>
    <mergeCell ref="U1081:V1081"/>
    <mergeCell ref="C1082:L1082"/>
    <mergeCell ref="M1082:N1082"/>
    <mergeCell ref="S1078:T1078"/>
    <mergeCell ref="U1078:V1078"/>
    <mergeCell ref="C1080:L1080"/>
    <mergeCell ref="M1080:N1080"/>
    <mergeCell ref="O1084:P1084"/>
    <mergeCell ref="Q1084:R1084"/>
    <mergeCell ref="O1080:P1080"/>
    <mergeCell ref="Q1080:R1080"/>
    <mergeCell ref="O1081:P1081"/>
    <mergeCell ref="Q1081:R1081"/>
    <mergeCell ref="C1079:L1079"/>
    <mergeCell ref="M1079:N1079"/>
    <mergeCell ref="O1079:P1079"/>
    <mergeCell ref="Q1079:R1079"/>
    <mergeCell ref="C1078:L1078"/>
    <mergeCell ref="M1078:N1078"/>
    <mergeCell ref="S1076:T1076"/>
    <mergeCell ref="U1076:V1076"/>
    <mergeCell ref="S1077:T1077"/>
    <mergeCell ref="U1077:V1077"/>
    <mergeCell ref="O1077:P1077"/>
    <mergeCell ref="Q1077:R1077"/>
    <mergeCell ref="C1077:L1077"/>
    <mergeCell ref="M1077:N1077"/>
    <mergeCell ref="S1079:T1079"/>
    <mergeCell ref="U1079:V1079"/>
    <mergeCell ref="O1075:P1075"/>
    <mergeCell ref="Q1075:R1075"/>
    <mergeCell ref="S1075:T1075"/>
    <mergeCell ref="U1075:V1075"/>
    <mergeCell ref="O1078:P1078"/>
    <mergeCell ref="Q1078:R1078"/>
    <mergeCell ref="C1075:L1075"/>
    <mergeCell ref="M1075:N1075"/>
    <mergeCell ref="C1076:L1076"/>
    <mergeCell ref="M1076:N1076"/>
    <mergeCell ref="O1076:P1076"/>
    <mergeCell ref="Q1076:R1076"/>
    <mergeCell ref="U1068:V1068"/>
    <mergeCell ref="O1068:P1068"/>
    <mergeCell ref="Q1068:R1068"/>
    <mergeCell ref="C1068:L1068"/>
    <mergeCell ref="M1068:N1068"/>
    <mergeCell ref="S1067:T1067"/>
    <mergeCell ref="U1067:V1067"/>
    <mergeCell ref="C1070:L1070"/>
    <mergeCell ref="M1070:N1070"/>
    <mergeCell ref="O1067:P1067"/>
    <mergeCell ref="Q1067:R1067"/>
    <mergeCell ref="C1067:L1067"/>
    <mergeCell ref="M1067:N1067"/>
    <mergeCell ref="S1074:T1074"/>
    <mergeCell ref="U1074:V1074"/>
    <mergeCell ref="C1074:L1074"/>
    <mergeCell ref="M1074:N1074"/>
    <mergeCell ref="C1073:L1073"/>
    <mergeCell ref="M1073:N1073"/>
    <mergeCell ref="O1074:P1074"/>
    <mergeCell ref="Q1074:R1074"/>
    <mergeCell ref="S1073:T1073"/>
    <mergeCell ref="U1073:V1073"/>
    <mergeCell ref="O1073:P1073"/>
    <mergeCell ref="Q1073:R1073"/>
    <mergeCell ref="C1072:L1072"/>
    <mergeCell ref="M1072:N1072"/>
    <mergeCell ref="S1072:T1072"/>
    <mergeCell ref="U1072:V1072"/>
    <mergeCell ref="O1072:P1072"/>
    <mergeCell ref="Q1072:R1072"/>
    <mergeCell ref="U1063:V1063"/>
    <mergeCell ref="S1061:T1061"/>
    <mergeCell ref="U1061:V1061"/>
    <mergeCell ref="S1062:T1062"/>
    <mergeCell ref="U1062:V1062"/>
    <mergeCell ref="S1066:T1066"/>
    <mergeCell ref="U1066:V1066"/>
    <mergeCell ref="S1064:T1064"/>
    <mergeCell ref="U1064:V1064"/>
    <mergeCell ref="S1065:T1065"/>
    <mergeCell ref="U1065:V1065"/>
    <mergeCell ref="S1060:T1060"/>
    <mergeCell ref="U1060:V1060"/>
    <mergeCell ref="O1065:P1065"/>
    <mergeCell ref="Q1065:R1065"/>
    <mergeCell ref="O1071:P1071"/>
    <mergeCell ref="Q1071:R1071"/>
    <mergeCell ref="S1071:T1071"/>
    <mergeCell ref="U1071:V1071"/>
    <mergeCell ref="Q1063:R1063"/>
    <mergeCell ref="O1064:P1064"/>
    <mergeCell ref="Q1064:R1064"/>
    <mergeCell ref="S1063:T1063"/>
    <mergeCell ref="S1070:T1070"/>
    <mergeCell ref="U1070:V1070"/>
    <mergeCell ref="O1070:P1070"/>
    <mergeCell ref="Q1070:R1070"/>
    <mergeCell ref="S1069:T1069"/>
    <mergeCell ref="U1069:V1069"/>
    <mergeCell ref="O1069:P1069"/>
    <mergeCell ref="Q1069:R1069"/>
    <mergeCell ref="S1068:T1068"/>
    <mergeCell ref="M1065:N1065"/>
    <mergeCell ref="C1063:L1063"/>
    <mergeCell ref="M1063:N1063"/>
    <mergeCell ref="O1066:P1066"/>
    <mergeCell ref="Q1066:R1066"/>
    <mergeCell ref="O1063:P1063"/>
    <mergeCell ref="O1059:P1059"/>
    <mergeCell ref="Q1059:R1059"/>
    <mergeCell ref="C1057:L1057"/>
    <mergeCell ref="M1057:N1057"/>
    <mergeCell ref="O1055:P1055"/>
    <mergeCell ref="Q1055:R1055"/>
    <mergeCell ref="O1052:P1052"/>
    <mergeCell ref="Q1052:R1052"/>
    <mergeCell ref="C1052:L1052"/>
    <mergeCell ref="M1052:N1052"/>
    <mergeCell ref="S1056:T1056"/>
    <mergeCell ref="S1052:T1052"/>
    <mergeCell ref="O1060:P1060"/>
    <mergeCell ref="Q1060:R1060"/>
    <mergeCell ref="O1061:P1061"/>
    <mergeCell ref="Q1061:R1061"/>
    <mergeCell ref="O1062:P1062"/>
    <mergeCell ref="Q1062:R1062"/>
    <mergeCell ref="C1066:L1066"/>
    <mergeCell ref="M1066:N1066"/>
    <mergeCell ref="C1061:L1061"/>
    <mergeCell ref="M1061:N1061"/>
    <mergeCell ref="C1058:L1058"/>
    <mergeCell ref="M1058:N1058"/>
    <mergeCell ref="C1059:L1059"/>
    <mergeCell ref="M1059:N1059"/>
    <mergeCell ref="O1058:P1058"/>
    <mergeCell ref="Q1058:R1058"/>
    <mergeCell ref="C1060:L1060"/>
    <mergeCell ref="M1060:N1060"/>
    <mergeCell ref="S1059:T1059"/>
    <mergeCell ref="U1059:V1059"/>
    <mergeCell ref="O1057:P1057"/>
    <mergeCell ref="Q1057:R1057"/>
    <mergeCell ref="S1058:T1058"/>
    <mergeCell ref="U1058:V1058"/>
    <mergeCell ref="S1057:T1057"/>
    <mergeCell ref="U1057:V1057"/>
    <mergeCell ref="U1052:V1052"/>
    <mergeCell ref="S1054:T1054"/>
    <mergeCell ref="U1054:V1054"/>
    <mergeCell ref="S1053:T1053"/>
    <mergeCell ref="U1053:V1053"/>
    <mergeCell ref="O1054:P1054"/>
    <mergeCell ref="Q1054:R1054"/>
    <mergeCell ref="C1053:L1053"/>
    <mergeCell ref="M1053:N1053"/>
    <mergeCell ref="C1054:L1054"/>
    <mergeCell ref="M1054:N1054"/>
    <mergeCell ref="O1053:P1053"/>
    <mergeCell ref="Q1053:R1053"/>
    <mergeCell ref="C1056:L1056"/>
    <mergeCell ref="M1056:N1056"/>
    <mergeCell ref="C1055:L1055"/>
    <mergeCell ref="M1055:N1055"/>
    <mergeCell ref="U1056:V1056"/>
    <mergeCell ref="S1055:T1055"/>
    <mergeCell ref="U1055:V1055"/>
    <mergeCell ref="O1056:P1056"/>
    <mergeCell ref="Q1056:R1056"/>
    <mergeCell ref="S1048:T1048"/>
    <mergeCell ref="U1048:V1048"/>
    <mergeCell ref="C1048:L1048"/>
    <mergeCell ref="M1048:N1048"/>
    <mergeCell ref="C1051:L1051"/>
    <mergeCell ref="M1051:N1051"/>
    <mergeCell ref="C1050:L1050"/>
    <mergeCell ref="M1050:N1050"/>
    <mergeCell ref="C1049:L1049"/>
    <mergeCell ref="M1049:N1049"/>
    <mergeCell ref="C1046:L1046"/>
    <mergeCell ref="M1046:N1046"/>
    <mergeCell ref="C1047:L1047"/>
    <mergeCell ref="M1047:N1047"/>
    <mergeCell ref="O1049:P1049"/>
    <mergeCell ref="Q1049:R1049"/>
    <mergeCell ref="O1047:P1047"/>
    <mergeCell ref="Q1047:R1047"/>
    <mergeCell ref="O1048:P1048"/>
    <mergeCell ref="Q1048:R1048"/>
    <mergeCell ref="S1050:T1050"/>
    <mergeCell ref="U1050:V1050"/>
    <mergeCell ref="O1050:P1050"/>
    <mergeCell ref="Q1050:R1050"/>
    <mergeCell ref="S1049:T1049"/>
    <mergeCell ref="U1049:V1049"/>
    <mergeCell ref="O1051:P1051"/>
    <mergeCell ref="Q1051:R1051"/>
    <mergeCell ref="S1051:T1051"/>
    <mergeCell ref="U1051:V1051"/>
    <mergeCell ref="S1044:T1044"/>
    <mergeCell ref="U1044:V1044"/>
    <mergeCell ref="O1046:P1046"/>
    <mergeCell ref="Q1046:R1046"/>
    <mergeCell ref="S1047:T1047"/>
    <mergeCell ref="U1047:V1047"/>
    <mergeCell ref="S1046:T1046"/>
    <mergeCell ref="U1046:V1046"/>
    <mergeCell ref="O1045:P1045"/>
    <mergeCell ref="Q1045:R1045"/>
    <mergeCell ref="C1045:L1045"/>
    <mergeCell ref="M1045:N1045"/>
    <mergeCell ref="S1042:T1042"/>
    <mergeCell ref="U1042:V1042"/>
    <mergeCell ref="S1045:T1045"/>
    <mergeCell ref="U1045:V1045"/>
    <mergeCell ref="S1043:T1043"/>
    <mergeCell ref="U1043:V1043"/>
    <mergeCell ref="O1044:P1044"/>
    <mergeCell ref="Q1044:R1044"/>
    <mergeCell ref="C1044:L1044"/>
    <mergeCell ref="M1044:N1044"/>
    <mergeCell ref="C1043:L1043"/>
    <mergeCell ref="M1043:N1043"/>
    <mergeCell ref="O1043:P1043"/>
    <mergeCell ref="Q1043:R1043"/>
    <mergeCell ref="C1041:L1041"/>
    <mergeCell ref="M1041:N1041"/>
    <mergeCell ref="O1042:P1042"/>
    <mergeCell ref="Q1042:R1042"/>
    <mergeCell ref="S1041:T1041"/>
    <mergeCell ref="U1041:V1041"/>
    <mergeCell ref="O1041:P1041"/>
    <mergeCell ref="Q1041:R1041"/>
    <mergeCell ref="C1042:L1042"/>
    <mergeCell ref="M1042:N1042"/>
    <mergeCell ref="C1038:L1038"/>
    <mergeCell ref="M1038:N1038"/>
    <mergeCell ref="C1040:L1040"/>
    <mergeCell ref="M1040:N1040"/>
    <mergeCell ref="S1040:T1040"/>
    <mergeCell ref="U1040:V1040"/>
    <mergeCell ref="O1040:P1040"/>
    <mergeCell ref="Q1040:R1040"/>
    <mergeCell ref="O1038:P1038"/>
    <mergeCell ref="Q1038:R1038"/>
    <mergeCell ref="S1035:T1035"/>
    <mergeCell ref="U1035:V1035"/>
    <mergeCell ref="S1036:T1036"/>
    <mergeCell ref="U1036:V1036"/>
    <mergeCell ref="S1039:T1039"/>
    <mergeCell ref="U1039:V1039"/>
    <mergeCell ref="S1038:T1038"/>
    <mergeCell ref="U1038:V1038"/>
    <mergeCell ref="C1037:L1037"/>
    <mergeCell ref="M1037:N1037"/>
    <mergeCell ref="O1039:P1039"/>
    <mergeCell ref="Q1039:R1039"/>
    <mergeCell ref="C1039:L1039"/>
    <mergeCell ref="M1039:N1039"/>
    <mergeCell ref="S1034:T1034"/>
    <mergeCell ref="U1034:V1034"/>
    <mergeCell ref="C1036:L1036"/>
    <mergeCell ref="M1036:N1036"/>
    <mergeCell ref="C1034:L1034"/>
    <mergeCell ref="M1034:N1034"/>
    <mergeCell ref="C1035:L1035"/>
    <mergeCell ref="M1035:N1035"/>
    <mergeCell ref="O1035:P1035"/>
    <mergeCell ref="Q1035:R1035"/>
    <mergeCell ref="S1037:T1037"/>
    <mergeCell ref="U1037:V1037"/>
    <mergeCell ref="O1036:P1036"/>
    <mergeCell ref="Q1036:R1036"/>
    <mergeCell ref="O1037:P1037"/>
    <mergeCell ref="Q1037:R1037"/>
    <mergeCell ref="O1034:P1034"/>
    <mergeCell ref="Q1034:R1034"/>
    <mergeCell ref="O1033:P1033"/>
    <mergeCell ref="Q1033:R1033"/>
    <mergeCell ref="C1029:L1029"/>
    <mergeCell ref="M1029:N1029"/>
    <mergeCell ref="S1033:T1033"/>
    <mergeCell ref="U1033:V1033"/>
    <mergeCell ref="S1031:T1031"/>
    <mergeCell ref="U1031:V1031"/>
    <mergeCell ref="S1032:T1032"/>
    <mergeCell ref="U1032:V1032"/>
    <mergeCell ref="C1033:L1033"/>
    <mergeCell ref="M1033:N1033"/>
    <mergeCell ref="O1031:P1031"/>
    <mergeCell ref="Q1031:R1031"/>
    <mergeCell ref="O1030:P1030"/>
    <mergeCell ref="Q1030:R1030"/>
    <mergeCell ref="C1031:L1031"/>
    <mergeCell ref="M1031:N1031"/>
    <mergeCell ref="C1030:L1030"/>
    <mergeCell ref="M1030:N1030"/>
    <mergeCell ref="S1030:T1030"/>
    <mergeCell ref="U1030:V1030"/>
    <mergeCell ref="O1029:P1029"/>
    <mergeCell ref="Q1029:R1029"/>
    <mergeCell ref="S1025:T1025"/>
    <mergeCell ref="U1025:V1025"/>
    <mergeCell ref="S1029:T1029"/>
    <mergeCell ref="U1029:V1029"/>
    <mergeCell ref="S1027:T1027"/>
    <mergeCell ref="U1027:V1027"/>
    <mergeCell ref="S1028:T1028"/>
    <mergeCell ref="U1028:V1028"/>
    <mergeCell ref="C1027:L1027"/>
    <mergeCell ref="M1027:N1027"/>
    <mergeCell ref="C1032:L1032"/>
    <mergeCell ref="M1032:N1032"/>
    <mergeCell ref="O1027:P1027"/>
    <mergeCell ref="Q1027:R1027"/>
    <mergeCell ref="O1025:P1025"/>
    <mergeCell ref="Q1025:R1025"/>
    <mergeCell ref="O1026:P1026"/>
    <mergeCell ref="Q1026:R1026"/>
    <mergeCell ref="O1032:P1032"/>
    <mergeCell ref="Q1032:R1032"/>
    <mergeCell ref="O1020:P1020"/>
    <mergeCell ref="Q1020:R1020"/>
    <mergeCell ref="O1019:P1019"/>
    <mergeCell ref="Q1019:R1019"/>
    <mergeCell ref="C1028:L1028"/>
    <mergeCell ref="M1028:N1028"/>
    <mergeCell ref="C1025:L1025"/>
    <mergeCell ref="M1025:N1025"/>
    <mergeCell ref="C1026:L1026"/>
    <mergeCell ref="M1026:N1026"/>
    <mergeCell ref="O1028:P1028"/>
    <mergeCell ref="Q1028:R1028"/>
    <mergeCell ref="S1022:T1022"/>
    <mergeCell ref="U1022:V1022"/>
    <mergeCell ref="S1023:T1023"/>
    <mergeCell ref="U1023:V1023"/>
    <mergeCell ref="O1021:P1021"/>
    <mergeCell ref="Q1021:R1021"/>
    <mergeCell ref="C1024:L1024"/>
    <mergeCell ref="M1024:N1024"/>
    <mergeCell ref="O1024:P1024"/>
    <mergeCell ref="Q1024:R1024"/>
    <mergeCell ref="C1023:L1023"/>
    <mergeCell ref="M1023:N1023"/>
    <mergeCell ref="O1022:P1022"/>
    <mergeCell ref="Q1022:R1022"/>
    <mergeCell ref="O1023:P1023"/>
    <mergeCell ref="Q1023:R1023"/>
    <mergeCell ref="S1024:T1024"/>
    <mergeCell ref="U1024:V1024"/>
    <mergeCell ref="S1026:T1026"/>
    <mergeCell ref="U1026:V1026"/>
    <mergeCell ref="S1016:T1016"/>
    <mergeCell ref="U1016:V1016"/>
    <mergeCell ref="O1016:P1016"/>
    <mergeCell ref="Q1016:R1016"/>
    <mergeCell ref="S1021:T1021"/>
    <mergeCell ref="U1021:V1021"/>
    <mergeCell ref="C1022:L1022"/>
    <mergeCell ref="M1022:N1022"/>
    <mergeCell ref="C1018:L1018"/>
    <mergeCell ref="M1018:N1018"/>
    <mergeCell ref="C1019:L1019"/>
    <mergeCell ref="M1019:N1019"/>
    <mergeCell ref="C1021:L1021"/>
    <mergeCell ref="M1021:N1021"/>
    <mergeCell ref="C1020:L1020"/>
    <mergeCell ref="M1020:N1020"/>
    <mergeCell ref="C1016:L1016"/>
    <mergeCell ref="M1016:N1016"/>
    <mergeCell ref="O1018:P1018"/>
    <mergeCell ref="Q1018:R1018"/>
    <mergeCell ref="O1017:P1017"/>
    <mergeCell ref="Q1017:R1017"/>
    <mergeCell ref="C1017:L1017"/>
    <mergeCell ref="M1017:N1017"/>
    <mergeCell ref="S1017:T1017"/>
    <mergeCell ref="U1017:V1017"/>
    <mergeCell ref="S1020:T1020"/>
    <mergeCell ref="U1020:V1020"/>
    <mergeCell ref="S1018:T1018"/>
    <mergeCell ref="U1018:V1018"/>
    <mergeCell ref="S1019:T1019"/>
    <mergeCell ref="U1019:V1019"/>
    <mergeCell ref="O1012:P1012"/>
    <mergeCell ref="Q1012:R1012"/>
    <mergeCell ref="O1014:P1014"/>
    <mergeCell ref="Q1014:R1014"/>
    <mergeCell ref="O1013:P1013"/>
    <mergeCell ref="Q1013:R1013"/>
    <mergeCell ref="C1009:L1009"/>
    <mergeCell ref="M1009:N1009"/>
    <mergeCell ref="S1010:T1010"/>
    <mergeCell ref="U1010:V1010"/>
    <mergeCell ref="O1010:P1010"/>
    <mergeCell ref="Q1010:R1010"/>
    <mergeCell ref="S1009:T1009"/>
    <mergeCell ref="U1009:V1009"/>
    <mergeCell ref="O1009:P1009"/>
    <mergeCell ref="Q1009:R1009"/>
    <mergeCell ref="S1013:T1013"/>
    <mergeCell ref="U1013:V1013"/>
    <mergeCell ref="S1011:T1011"/>
    <mergeCell ref="U1011:V1011"/>
    <mergeCell ref="S1012:T1012"/>
    <mergeCell ref="U1012:V1012"/>
    <mergeCell ref="O1011:P1011"/>
    <mergeCell ref="Q1011:R1011"/>
    <mergeCell ref="C1010:L1010"/>
    <mergeCell ref="M1010:N1010"/>
    <mergeCell ref="C1011:L1011"/>
    <mergeCell ref="M1011:N1011"/>
    <mergeCell ref="S1015:T1015"/>
    <mergeCell ref="U1015:V1015"/>
    <mergeCell ref="S1014:T1014"/>
    <mergeCell ref="U1014:V1014"/>
    <mergeCell ref="C1015:L1015"/>
    <mergeCell ref="M1015:N1015"/>
    <mergeCell ref="O1015:P1015"/>
    <mergeCell ref="Q1015:R1015"/>
    <mergeCell ref="C1012:L1012"/>
    <mergeCell ref="M1012:N1012"/>
    <mergeCell ref="C1013:L1013"/>
    <mergeCell ref="M1013:N1013"/>
    <mergeCell ref="C1014:L1014"/>
    <mergeCell ref="M1014:N1014"/>
    <mergeCell ref="S1004:T1004"/>
    <mergeCell ref="U1004:V1004"/>
    <mergeCell ref="O1006:P1006"/>
    <mergeCell ref="Q1006:R1006"/>
    <mergeCell ref="S1005:T1005"/>
    <mergeCell ref="U1005:V1005"/>
    <mergeCell ref="O1004:P1004"/>
    <mergeCell ref="Q1004:R1004"/>
    <mergeCell ref="S1006:T1006"/>
    <mergeCell ref="U1006:V1006"/>
    <mergeCell ref="S1007:T1007"/>
    <mergeCell ref="U1007:V1007"/>
    <mergeCell ref="S1008:T1008"/>
    <mergeCell ref="U1008:V1008"/>
    <mergeCell ref="C1008:L1008"/>
    <mergeCell ref="M1008:N1008"/>
    <mergeCell ref="O1008:P1008"/>
    <mergeCell ref="Q1008:R1008"/>
    <mergeCell ref="O1007:P1007"/>
    <mergeCell ref="Q1007:R1007"/>
    <mergeCell ref="C1005:L1005"/>
    <mergeCell ref="M1005:N1005"/>
    <mergeCell ref="O1005:P1005"/>
    <mergeCell ref="Q1005:R1005"/>
    <mergeCell ref="C1006:L1006"/>
    <mergeCell ref="M1006:N1006"/>
    <mergeCell ref="C1007:L1007"/>
    <mergeCell ref="M1007:N1007"/>
    <mergeCell ref="O1003:P1003"/>
    <mergeCell ref="Q1003:R1003"/>
    <mergeCell ref="C1004:L1004"/>
    <mergeCell ref="M1004:N1004"/>
    <mergeCell ref="C1003:L1003"/>
    <mergeCell ref="M1003:N1003"/>
    <mergeCell ref="C1000:L1000"/>
    <mergeCell ref="M1000:N1000"/>
    <mergeCell ref="S998:T998"/>
    <mergeCell ref="U998:V998"/>
    <mergeCell ref="S1003:T1003"/>
    <mergeCell ref="U1003:V1003"/>
    <mergeCell ref="S1002:T1002"/>
    <mergeCell ref="U1002:V1002"/>
    <mergeCell ref="S1000:T1000"/>
    <mergeCell ref="U1000:V1000"/>
    <mergeCell ref="S1001:T1001"/>
    <mergeCell ref="U1001:V1001"/>
    <mergeCell ref="O1000:P1000"/>
    <mergeCell ref="Q1000:R1000"/>
    <mergeCell ref="C1002:L1002"/>
    <mergeCell ref="M1002:N1002"/>
    <mergeCell ref="O1001:P1001"/>
    <mergeCell ref="Q1001:R1001"/>
    <mergeCell ref="O1002:P1002"/>
    <mergeCell ref="Q1002:R1002"/>
    <mergeCell ref="C1001:L1001"/>
    <mergeCell ref="M1001:N1001"/>
    <mergeCell ref="S997:T997"/>
    <mergeCell ref="U997:V997"/>
    <mergeCell ref="S995:T995"/>
    <mergeCell ref="U995:V995"/>
    <mergeCell ref="S996:T996"/>
    <mergeCell ref="U996:V996"/>
    <mergeCell ref="C995:L995"/>
    <mergeCell ref="M995:N995"/>
    <mergeCell ref="S992:T992"/>
    <mergeCell ref="U992:V992"/>
    <mergeCell ref="O995:P995"/>
    <mergeCell ref="Q995:R995"/>
    <mergeCell ref="O993:P993"/>
    <mergeCell ref="Q993:R993"/>
    <mergeCell ref="O994:P994"/>
    <mergeCell ref="Q994:R994"/>
    <mergeCell ref="C999:L999"/>
    <mergeCell ref="M999:N999"/>
    <mergeCell ref="C998:L998"/>
    <mergeCell ref="M998:N998"/>
    <mergeCell ref="O997:P997"/>
    <mergeCell ref="Q997:R997"/>
    <mergeCell ref="C997:L997"/>
    <mergeCell ref="M997:N997"/>
    <mergeCell ref="O999:P999"/>
    <mergeCell ref="Q999:R999"/>
    <mergeCell ref="O998:P998"/>
    <mergeCell ref="Q998:R998"/>
    <mergeCell ref="S999:T999"/>
    <mergeCell ref="U999:V999"/>
    <mergeCell ref="O996:P996"/>
    <mergeCell ref="Q996:R996"/>
    <mergeCell ref="C996:L996"/>
    <mergeCell ref="M996:N996"/>
    <mergeCell ref="C993:L993"/>
    <mergeCell ref="M993:N993"/>
    <mergeCell ref="C994:L994"/>
    <mergeCell ref="M994:N994"/>
    <mergeCell ref="S985:T985"/>
    <mergeCell ref="U985:V985"/>
    <mergeCell ref="S988:T988"/>
    <mergeCell ref="U988:V988"/>
    <mergeCell ref="S986:T986"/>
    <mergeCell ref="U986:V986"/>
    <mergeCell ref="S987:T987"/>
    <mergeCell ref="U987:V987"/>
    <mergeCell ref="S990:T990"/>
    <mergeCell ref="U990:V990"/>
    <mergeCell ref="S991:T991"/>
    <mergeCell ref="U991:V991"/>
    <mergeCell ref="O989:P989"/>
    <mergeCell ref="Q989:R989"/>
    <mergeCell ref="C992:L992"/>
    <mergeCell ref="M992:N992"/>
    <mergeCell ref="O992:P992"/>
    <mergeCell ref="Q992:R992"/>
    <mergeCell ref="C991:L991"/>
    <mergeCell ref="M991:N991"/>
    <mergeCell ref="O990:P990"/>
    <mergeCell ref="Q990:R990"/>
    <mergeCell ref="S993:T993"/>
    <mergeCell ref="U993:V993"/>
    <mergeCell ref="S994:T994"/>
    <mergeCell ref="U994:V994"/>
    <mergeCell ref="O991:P991"/>
    <mergeCell ref="Q991:R991"/>
    <mergeCell ref="S984:T984"/>
    <mergeCell ref="U984:V984"/>
    <mergeCell ref="O984:P984"/>
    <mergeCell ref="Q984:R984"/>
    <mergeCell ref="S989:T989"/>
    <mergeCell ref="U989:V989"/>
    <mergeCell ref="C990:L990"/>
    <mergeCell ref="M990:N990"/>
    <mergeCell ref="C986:L986"/>
    <mergeCell ref="M986:N986"/>
    <mergeCell ref="C987:L987"/>
    <mergeCell ref="M987:N987"/>
    <mergeCell ref="C989:L989"/>
    <mergeCell ref="M989:N989"/>
    <mergeCell ref="C988:L988"/>
    <mergeCell ref="M988:N988"/>
    <mergeCell ref="C984:L984"/>
    <mergeCell ref="M984:N984"/>
    <mergeCell ref="O986:P986"/>
    <mergeCell ref="Q986:R986"/>
    <mergeCell ref="O985:P985"/>
    <mergeCell ref="Q985:R985"/>
    <mergeCell ref="C985:L985"/>
    <mergeCell ref="M985:N985"/>
    <mergeCell ref="O988:P988"/>
    <mergeCell ref="Q988:R988"/>
    <mergeCell ref="O987:P987"/>
    <mergeCell ref="Q987:R987"/>
    <mergeCell ref="O980:P980"/>
    <mergeCell ref="Q980:R980"/>
    <mergeCell ref="O982:P982"/>
    <mergeCell ref="Q982:R982"/>
    <mergeCell ref="O981:P981"/>
    <mergeCell ref="Q981:R981"/>
    <mergeCell ref="C977:L977"/>
    <mergeCell ref="M977:N977"/>
    <mergeCell ref="S978:T978"/>
    <mergeCell ref="U978:V978"/>
    <mergeCell ref="O978:P978"/>
    <mergeCell ref="Q978:R978"/>
    <mergeCell ref="S977:T977"/>
    <mergeCell ref="U977:V977"/>
    <mergeCell ref="O977:P977"/>
    <mergeCell ref="Q977:R977"/>
    <mergeCell ref="S981:T981"/>
    <mergeCell ref="U981:V981"/>
    <mergeCell ref="S979:T979"/>
    <mergeCell ref="U979:V979"/>
    <mergeCell ref="S980:T980"/>
    <mergeCell ref="U980:V980"/>
    <mergeCell ref="O979:P979"/>
    <mergeCell ref="Q979:R979"/>
    <mergeCell ref="C978:L978"/>
    <mergeCell ref="M978:N978"/>
    <mergeCell ref="C979:L979"/>
    <mergeCell ref="M979:N979"/>
    <mergeCell ref="S983:T983"/>
    <mergeCell ref="U983:V983"/>
    <mergeCell ref="S982:T982"/>
    <mergeCell ref="U982:V982"/>
    <mergeCell ref="C983:L983"/>
    <mergeCell ref="M983:N983"/>
    <mergeCell ref="O983:P983"/>
    <mergeCell ref="Q983:R983"/>
    <mergeCell ref="C980:L980"/>
    <mergeCell ref="M980:N980"/>
    <mergeCell ref="C981:L981"/>
    <mergeCell ref="M981:N981"/>
    <mergeCell ref="C982:L982"/>
    <mergeCell ref="M982:N982"/>
    <mergeCell ref="S972:T972"/>
    <mergeCell ref="U972:V972"/>
    <mergeCell ref="O974:P974"/>
    <mergeCell ref="Q974:R974"/>
    <mergeCell ref="S973:T973"/>
    <mergeCell ref="U973:V973"/>
    <mergeCell ref="O972:P972"/>
    <mergeCell ref="Q972:R972"/>
    <mergeCell ref="S974:T974"/>
    <mergeCell ref="U974:V974"/>
    <mergeCell ref="S975:T975"/>
    <mergeCell ref="U975:V975"/>
    <mergeCell ref="S976:T976"/>
    <mergeCell ref="U976:V976"/>
    <mergeCell ref="C976:L976"/>
    <mergeCell ref="M976:N976"/>
    <mergeCell ref="O976:P976"/>
    <mergeCell ref="Q976:R976"/>
    <mergeCell ref="O975:P975"/>
    <mergeCell ref="Q975:R975"/>
    <mergeCell ref="C973:L973"/>
    <mergeCell ref="M973:N973"/>
    <mergeCell ref="O973:P973"/>
    <mergeCell ref="Q973:R973"/>
    <mergeCell ref="C974:L974"/>
    <mergeCell ref="M974:N974"/>
    <mergeCell ref="C975:L975"/>
    <mergeCell ref="M975:N975"/>
    <mergeCell ref="O971:P971"/>
    <mergeCell ref="Q971:R971"/>
    <mergeCell ref="C972:L972"/>
    <mergeCell ref="M972:N972"/>
    <mergeCell ref="C971:L971"/>
    <mergeCell ref="M971:N971"/>
    <mergeCell ref="C968:L968"/>
    <mergeCell ref="M968:N968"/>
    <mergeCell ref="S966:T966"/>
    <mergeCell ref="U966:V966"/>
    <mergeCell ref="S971:T971"/>
    <mergeCell ref="U971:V971"/>
    <mergeCell ref="S970:T970"/>
    <mergeCell ref="U970:V970"/>
    <mergeCell ref="S968:T968"/>
    <mergeCell ref="U968:V968"/>
    <mergeCell ref="S969:T969"/>
    <mergeCell ref="U969:V969"/>
    <mergeCell ref="O968:P968"/>
    <mergeCell ref="Q968:R968"/>
    <mergeCell ref="C970:L970"/>
    <mergeCell ref="M970:N970"/>
    <mergeCell ref="O969:P969"/>
    <mergeCell ref="Q969:R969"/>
    <mergeCell ref="O970:P970"/>
    <mergeCell ref="Q970:R970"/>
    <mergeCell ref="C969:L969"/>
    <mergeCell ref="M969:N969"/>
    <mergeCell ref="S965:T965"/>
    <mergeCell ref="U965:V965"/>
    <mergeCell ref="S963:T963"/>
    <mergeCell ref="U963:V963"/>
    <mergeCell ref="S964:T964"/>
    <mergeCell ref="U964:V964"/>
    <mergeCell ref="C963:L963"/>
    <mergeCell ref="M963:N963"/>
    <mergeCell ref="S960:T960"/>
    <mergeCell ref="U960:V960"/>
    <mergeCell ref="O963:P963"/>
    <mergeCell ref="Q963:R963"/>
    <mergeCell ref="O961:P961"/>
    <mergeCell ref="Q961:R961"/>
    <mergeCell ref="O962:P962"/>
    <mergeCell ref="Q962:R962"/>
    <mergeCell ref="C967:L967"/>
    <mergeCell ref="M967:N967"/>
    <mergeCell ref="C966:L966"/>
    <mergeCell ref="M966:N966"/>
    <mergeCell ref="O965:P965"/>
    <mergeCell ref="Q965:R965"/>
    <mergeCell ref="C965:L965"/>
    <mergeCell ref="M965:N965"/>
    <mergeCell ref="O967:P967"/>
    <mergeCell ref="Q967:R967"/>
    <mergeCell ref="O966:P966"/>
    <mergeCell ref="Q966:R966"/>
    <mergeCell ref="S967:T967"/>
    <mergeCell ref="U967:V967"/>
    <mergeCell ref="O964:P964"/>
    <mergeCell ref="Q964:R964"/>
    <mergeCell ref="C964:L964"/>
    <mergeCell ref="M964:N964"/>
    <mergeCell ref="C961:L961"/>
    <mergeCell ref="M961:N961"/>
    <mergeCell ref="C962:L962"/>
    <mergeCell ref="M962:N962"/>
    <mergeCell ref="S953:T953"/>
    <mergeCell ref="U953:V953"/>
    <mergeCell ref="S956:T956"/>
    <mergeCell ref="U956:V956"/>
    <mergeCell ref="S954:T954"/>
    <mergeCell ref="U954:V954"/>
    <mergeCell ref="S955:T955"/>
    <mergeCell ref="U955:V955"/>
    <mergeCell ref="S958:T958"/>
    <mergeCell ref="U958:V958"/>
    <mergeCell ref="S959:T959"/>
    <mergeCell ref="U959:V959"/>
    <mergeCell ref="O957:P957"/>
    <mergeCell ref="Q957:R957"/>
    <mergeCell ref="C960:L960"/>
    <mergeCell ref="M960:N960"/>
    <mergeCell ref="O960:P960"/>
    <mergeCell ref="Q960:R960"/>
    <mergeCell ref="C959:L959"/>
    <mergeCell ref="M959:N959"/>
    <mergeCell ref="O958:P958"/>
    <mergeCell ref="Q958:R958"/>
    <mergeCell ref="S961:T961"/>
    <mergeCell ref="U961:V961"/>
    <mergeCell ref="S962:T962"/>
    <mergeCell ref="U962:V962"/>
    <mergeCell ref="O959:P959"/>
    <mergeCell ref="Q959:R959"/>
    <mergeCell ref="S952:T952"/>
    <mergeCell ref="U952:V952"/>
    <mergeCell ref="O952:P952"/>
    <mergeCell ref="Q952:R952"/>
    <mergeCell ref="S957:T957"/>
    <mergeCell ref="U957:V957"/>
    <mergeCell ref="C958:L958"/>
    <mergeCell ref="M958:N958"/>
    <mergeCell ref="C954:L954"/>
    <mergeCell ref="M954:N954"/>
    <mergeCell ref="C955:L955"/>
    <mergeCell ref="M955:N955"/>
    <mergeCell ref="C957:L957"/>
    <mergeCell ref="M957:N957"/>
    <mergeCell ref="C956:L956"/>
    <mergeCell ref="M956:N956"/>
    <mergeCell ref="C952:L952"/>
    <mergeCell ref="M952:N952"/>
    <mergeCell ref="O954:P954"/>
    <mergeCell ref="Q954:R954"/>
    <mergeCell ref="O953:P953"/>
    <mergeCell ref="Q953:R953"/>
    <mergeCell ref="C953:L953"/>
    <mergeCell ref="M953:N953"/>
    <mergeCell ref="O956:P956"/>
    <mergeCell ref="Q956:R956"/>
    <mergeCell ref="O955:P955"/>
    <mergeCell ref="Q955:R955"/>
    <mergeCell ref="O948:P948"/>
    <mergeCell ref="Q948:R948"/>
    <mergeCell ref="O950:P950"/>
    <mergeCell ref="Q950:R950"/>
    <mergeCell ref="O949:P949"/>
    <mergeCell ref="Q949:R949"/>
    <mergeCell ref="C945:L945"/>
    <mergeCell ref="M945:N945"/>
    <mergeCell ref="S946:T946"/>
    <mergeCell ref="U946:V946"/>
    <mergeCell ref="O946:P946"/>
    <mergeCell ref="Q946:R946"/>
    <mergeCell ref="S945:T945"/>
    <mergeCell ref="U945:V945"/>
    <mergeCell ref="O945:P945"/>
    <mergeCell ref="Q945:R945"/>
    <mergeCell ref="S949:T949"/>
    <mergeCell ref="U949:V949"/>
    <mergeCell ref="S947:T947"/>
    <mergeCell ref="U947:V947"/>
    <mergeCell ref="S948:T948"/>
    <mergeCell ref="U948:V948"/>
    <mergeCell ref="O947:P947"/>
    <mergeCell ref="Q947:R947"/>
    <mergeCell ref="C946:L946"/>
    <mergeCell ref="M946:N946"/>
    <mergeCell ref="C947:L947"/>
    <mergeCell ref="M947:N947"/>
    <mergeCell ref="S951:T951"/>
    <mergeCell ref="U951:V951"/>
    <mergeCell ref="S950:T950"/>
    <mergeCell ref="U950:V950"/>
    <mergeCell ref="C951:L951"/>
    <mergeCell ref="M951:N951"/>
    <mergeCell ref="O951:P951"/>
    <mergeCell ref="Q951:R951"/>
    <mergeCell ref="C948:L948"/>
    <mergeCell ref="M948:N948"/>
    <mergeCell ref="C949:L949"/>
    <mergeCell ref="M949:N949"/>
    <mergeCell ref="C950:L950"/>
    <mergeCell ref="M950:N950"/>
    <mergeCell ref="S940:T940"/>
    <mergeCell ref="U940:V940"/>
    <mergeCell ref="O942:P942"/>
    <mergeCell ref="Q942:R942"/>
    <mergeCell ref="S941:T941"/>
    <mergeCell ref="U941:V941"/>
    <mergeCell ref="O940:P940"/>
    <mergeCell ref="Q940:R940"/>
    <mergeCell ref="S942:T942"/>
    <mergeCell ref="U942:V942"/>
    <mergeCell ref="S943:T943"/>
    <mergeCell ref="U943:V943"/>
    <mergeCell ref="S944:T944"/>
    <mergeCell ref="U944:V944"/>
    <mergeCell ref="C944:L944"/>
    <mergeCell ref="M944:N944"/>
    <mergeCell ref="O944:P944"/>
    <mergeCell ref="Q944:R944"/>
    <mergeCell ref="O943:P943"/>
    <mergeCell ref="Q943:R943"/>
    <mergeCell ref="C941:L941"/>
    <mergeCell ref="M941:N941"/>
    <mergeCell ref="O941:P941"/>
    <mergeCell ref="Q941:R941"/>
    <mergeCell ref="C942:L942"/>
    <mergeCell ref="M942:N942"/>
    <mergeCell ref="C943:L943"/>
    <mergeCell ref="M943:N943"/>
    <mergeCell ref="O939:P939"/>
    <mergeCell ref="Q939:R939"/>
    <mergeCell ref="C940:L940"/>
    <mergeCell ref="M940:N940"/>
    <mergeCell ref="C939:L939"/>
    <mergeCell ref="M939:N939"/>
    <mergeCell ref="C936:L936"/>
    <mergeCell ref="M936:N936"/>
    <mergeCell ref="S934:T934"/>
    <mergeCell ref="U934:V934"/>
    <mergeCell ref="S939:T939"/>
    <mergeCell ref="U939:V939"/>
    <mergeCell ref="S938:T938"/>
    <mergeCell ref="U938:V938"/>
    <mergeCell ref="S936:T936"/>
    <mergeCell ref="U936:V936"/>
    <mergeCell ref="S937:T937"/>
    <mergeCell ref="U937:V937"/>
    <mergeCell ref="O936:P936"/>
    <mergeCell ref="Q936:R936"/>
    <mergeCell ref="C938:L938"/>
    <mergeCell ref="M938:N938"/>
    <mergeCell ref="O937:P937"/>
    <mergeCell ref="Q937:R937"/>
    <mergeCell ref="O938:P938"/>
    <mergeCell ref="Q938:R938"/>
    <mergeCell ref="C937:L937"/>
    <mergeCell ref="M937:N937"/>
    <mergeCell ref="S933:T933"/>
    <mergeCell ref="U933:V933"/>
    <mergeCell ref="S931:T931"/>
    <mergeCell ref="U931:V931"/>
    <mergeCell ref="S932:T932"/>
    <mergeCell ref="U932:V932"/>
    <mergeCell ref="C931:L931"/>
    <mergeCell ref="M931:N931"/>
    <mergeCell ref="S928:T928"/>
    <mergeCell ref="U928:V928"/>
    <mergeCell ref="O931:P931"/>
    <mergeCell ref="Q931:R931"/>
    <mergeCell ref="O929:P929"/>
    <mergeCell ref="Q929:R929"/>
    <mergeCell ref="O930:P930"/>
    <mergeCell ref="Q930:R930"/>
    <mergeCell ref="C935:L935"/>
    <mergeCell ref="M935:N935"/>
    <mergeCell ref="C934:L934"/>
    <mergeCell ref="M934:N934"/>
    <mergeCell ref="O933:P933"/>
    <mergeCell ref="Q933:R933"/>
    <mergeCell ref="C933:L933"/>
    <mergeCell ref="M933:N933"/>
    <mergeCell ref="O935:P935"/>
    <mergeCell ref="Q935:R935"/>
    <mergeCell ref="O934:P934"/>
    <mergeCell ref="Q934:R934"/>
    <mergeCell ref="S935:T935"/>
    <mergeCell ref="U935:V935"/>
    <mergeCell ref="O932:P932"/>
    <mergeCell ref="Q932:R932"/>
    <mergeCell ref="C932:L932"/>
    <mergeCell ref="M932:N932"/>
    <mergeCell ref="C929:L929"/>
    <mergeCell ref="M929:N929"/>
    <mergeCell ref="C930:L930"/>
    <mergeCell ref="M930:N930"/>
    <mergeCell ref="S921:T921"/>
    <mergeCell ref="U921:V921"/>
    <mergeCell ref="S924:T924"/>
    <mergeCell ref="U924:V924"/>
    <mergeCell ref="S922:T922"/>
    <mergeCell ref="U922:V922"/>
    <mergeCell ref="S923:T923"/>
    <mergeCell ref="U923:V923"/>
    <mergeCell ref="S926:T926"/>
    <mergeCell ref="U926:V926"/>
    <mergeCell ref="S927:T927"/>
    <mergeCell ref="U927:V927"/>
    <mergeCell ref="O925:P925"/>
    <mergeCell ref="Q925:R925"/>
    <mergeCell ref="C928:L928"/>
    <mergeCell ref="M928:N928"/>
    <mergeCell ref="O928:P928"/>
    <mergeCell ref="Q928:R928"/>
    <mergeCell ref="C927:L927"/>
    <mergeCell ref="M927:N927"/>
    <mergeCell ref="O926:P926"/>
    <mergeCell ref="Q926:R926"/>
    <mergeCell ref="S929:T929"/>
    <mergeCell ref="U929:V929"/>
    <mergeCell ref="S930:T930"/>
    <mergeCell ref="U930:V930"/>
    <mergeCell ref="O927:P927"/>
    <mergeCell ref="Q927:R927"/>
    <mergeCell ref="S920:T920"/>
    <mergeCell ref="U920:V920"/>
    <mergeCell ref="O920:P920"/>
    <mergeCell ref="Q920:R920"/>
    <mergeCell ref="S925:T925"/>
    <mergeCell ref="U925:V925"/>
    <mergeCell ref="C926:L926"/>
    <mergeCell ref="M926:N926"/>
    <mergeCell ref="C922:L922"/>
    <mergeCell ref="M922:N922"/>
    <mergeCell ref="C923:L923"/>
    <mergeCell ref="M923:N923"/>
    <mergeCell ref="C925:L925"/>
    <mergeCell ref="M925:N925"/>
    <mergeCell ref="C924:L924"/>
    <mergeCell ref="M924:N924"/>
    <mergeCell ref="C920:L920"/>
    <mergeCell ref="M920:N920"/>
    <mergeCell ref="O922:P922"/>
    <mergeCell ref="Q922:R922"/>
    <mergeCell ref="O921:P921"/>
    <mergeCell ref="Q921:R921"/>
    <mergeCell ref="C921:L921"/>
    <mergeCell ref="M921:N921"/>
    <mergeCell ref="O924:P924"/>
    <mergeCell ref="Q924:R924"/>
    <mergeCell ref="O923:P923"/>
    <mergeCell ref="Q923:R923"/>
    <mergeCell ref="O916:P916"/>
    <mergeCell ref="Q916:R916"/>
    <mergeCell ref="O918:P918"/>
    <mergeCell ref="Q918:R918"/>
    <mergeCell ref="O917:P917"/>
    <mergeCell ref="Q917:R917"/>
    <mergeCell ref="C913:L913"/>
    <mergeCell ref="M913:N913"/>
    <mergeCell ref="S914:T914"/>
    <mergeCell ref="U914:V914"/>
    <mergeCell ref="O914:P914"/>
    <mergeCell ref="Q914:R914"/>
    <mergeCell ref="S913:T913"/>
    <mergeCell ref="U913:V913"/>
    <mergeCell ref="O913:P913"/>
    <mergeCell ref="Q913:R913"/>
    <mergeCell ref="S917:T917"/>
    <mergeCell ref="U917:V917"/>
    <mergeCell ref="S915:T915"/>
    <mergeCell ref="U915:V915"/>
    <mergeCell ref="S916:T916"/>
    <mergeCell ref="U916:V916"/>
    <mergeCell ref="O915:P915"/>
    <mergeCell ref="Q915:R915"/>
    <mergeCell ref="C914:L914"/>
    <mergeCell ref="M914:N914"/>
    <mergeCell ref="C915:L915"/>
    <mergeCell ref="M915:N915"/>
    <mergeCell ref="S919:T919"/>
    <mergeCell ref="U919:V919"/>
    <mergeCell ref="S918:T918"/>
    <mergeCell ref="U918:V918"/>
    <mergeCell ref="C919:L919"/>
    <mergeCell ref="M919:N919"/>
    <mergeCell ref="O919:P919"/>
    <mergeCell ref="Q919:R919"/>
    <mergeCell ref="C916:L916"/>
    <mergeCell ref="M916:N916"/>
    <mergeCell ref="C917:L917"/>
    <mergeCell ref="M917:N917"/>
    <mergeCell ref="C918:L918"/>
    <mergeCell ref="M918:N918"/>
    <mergeCell ref="S908:T908"/>
    <mergeCell ref="U908:V908"/>
    <mergeCell ref="O910:P910"/>
    <mergeCell ref="Q910:R910"/>
    <mergeCell ref="S909:T909"/>
    <mergeCell ref="U909:V909"/>
    <mergeCell ref="O908:P908"/>
    <mergeCell ref="Q908:R908"/>
    <mergeCell ref="S910:T910"/>
    <mergeCell ref="U910:V910"/>
    <mergeCell ref="S911:T911"/>
    <mergeCell ref="U911:V911"/>
    <mergeCell ref="S912:T912"/>
    <mergeCell ref="U912:V912"/>
    <mergeCell ref="C912:L912"/>
    <mergeCell ref="M912:N912"/>
    <mergeCell ref="O912:P912"/>
    <mergeCell ref="Q912:R912"/>
    <mergeCell ref="O911:P911"/>
    <mergeCell ref="Q911:R911"/>
    <mergeCell ref="C909:L909"/>
    <mergeCell ref="M909:N909"/>
    <mergeCell ref="O909:P909"/>
    <mergeCell ref="Q909:R909"/>
    <mergeCell ref="C910:L910"/>
    <mergeCell ref="M910:N910"/>
    <mergeCell ref="C911:L911"/>
    <mergeCell ref="M911:N911"/>
    <mergeCell ref="O907:P907"/>
    <mergeCell ref="Q907:R907"/>
    <mergeCell ref="C908:L908"/>
    <mergeCell ref="M908:N908"/>
    <mergeCell ref="C907:L907"/>
    <mergeCell ref="M907:N907"/>
    <mergeCell ref="C904:L904"/>
    <mergeCell ref="M904:N904"/>
    <mergeCell ref="S902:T902"/>
    <mergeCell ref="U902:V902"/>
    <mergeCell ref="S907:T907"/>
    <mergeCell ref="U907:V907"/>
    <mergeCell ref="S906:T906"/>
    <mergeCell ref="U906:V906"/>
    <mergeCell ref="S904:T904"/>
    <mergeCell ref="U904:V904"/>
    <mergeCell ref="S905:T905"/>
    <mergeCell ref="U905:V905"/>
    <mergeCell ref="O904:P904"/>
    <mergeCell ref="Q904:R904"/>
    <mergeCell ref="C906:L906"/>
    <mergeCell ref="M906:N906"/>
    <mergeCell ref="O905:P905"/>
    <mergeCell ref="Q905:R905"/>
    <mergeCell ref="O906:P906"/>
    <mergeCell ref="Q906:R906"/>
    <mergeCell ref="C905:L905"/>
    <mergeCell ref="M905:N905"/>
    <mergeCell ref="S901:T901"/>
    <mergeCell ref="U901:V901"/>
    <mergeCell ref="S899:T899"/>
    <mergeCell ref="U899:V899"/>
    <mergeCell ref="S900:T900"/>
    <mergeCell ref="U900:V900"/>
    <mergeCell ref="C899:L899"/>
    <mergeCell ref="M899:N899"/>
    <mergeCell ref="S896:T896"/>
    <mergeCell ref="U896:V896"/>
    <mergeCell ref="O899:P899"/>
    <mergeCell ref="Q899:R899"/>
    <mergeCell ref="O897:P897"/>
    <mergeCell ref="Q897:R897"/>
    <mergeCell ref="O898:P898"/>
    <mergeCell ref="Q898:R898"/>
    <mergeCell ref="C903:L903"/>
    <mergeCell ref="M903:N903"/>
    <mergeCell ref="C902:L902"/>
    <mergeCell ref="M902:N902"/>
    <mergeCell ref="O901:P901"/>
    <mergeCell ref="Q901:R901"/>
    <mergeCell ref="C901:L901"/>
    <mergeCell ref="M901:N901"/>
    <mergeCell ref="O903:P903"/>
    <mergeCell ref="Q903:R903"/>
    <mergeCell ref="O902:P902"/>
    <mergeCell ref="Q902:R902"/>
    <mergeCell ref="S903:T903"/>
    <mergeCell ref="U903:V903"/>
    <mergeCell ref="O900:P900"/>
    <mergeCell ref="Q900:R900"/>
    <mergeCell ref="C900:L900"/>
    <mergeCell ref="M900:N900"/>
    <mergeCell ref="C897:L897"/>
    <mergeCell ref="M897:N897"/>
    <mergeCell ref="C898:L898"/>
    <mergeCell ref="M898:N898"/>
    <mergeCell ref="S889:T889"/>
    <mergeCell ref="U889:V889"/>
    <mergeCell ref="S892:T892"/>
    <mergeCell ref="U892:V892"/>
    <mergeCell ref="S890:T890"/>
    <mergeCell ref="U890:V890"/>
    <mergeCell ref="S891:T891"/>
    <mergeCell ref="U891:V891"/>
    <mergeCell ref="S894:T894"/>
    <mergeCell ref="U894:V894"/>
    <mergeCell ref="S895:T895"/>
    <mergeCell ref="U895:V895"/>
    <mergeCell ref="O893:P893"/>
    <mergeCell ref="Q893:R893"/>
    <mergeCell ref="C896:L896"/>
    <mergeCell ref="M896:N896"/>
    <mergeCell ref="O896:P896"/>
    <mergeCell ref="Q896:R896"/>
    <mergeCell ref="C895:L895"/>
    <mergeCell ref="M895:N895"/>
    <mergeCell ref="O894:P894"/>
    <mergeCell ref="Q894:R894"/>
    <mergeCell ref="S897:T897"/>
    <mergeCell ref="U897:V897"/>
    <mergeCell ref="S898:T898"/>
    <mergeCell ref="U898:V898"/>
    <mergeCell ref="O895:P895"/>
    <mergeCell ref="Q895:R895"/>
    <mergeCell ref="S888:T888"/>
    <mergeCell ref="U888:V888"/>
    <mergeCell ref="O888:P888"/>
    <mergeCell ref="Q888:R888"/>
    <mergeCell ref="S893:T893"/>
    <mergeCell ref="U893:V893"/>
    <mergeCell ref="C894:L894"/>
    <mergeCell ref="M894:N894"/>
    <mergeCell ref="C890:L890"/>
    <mergeCell ref="M890:N890"/>
    <mergeCell ref="C891:L891"/>
    <mergeCell ref="M891:N891"/>
    <mergeCell ref="C893:L893"/>
    <mergeCell ref="M893:N893"/>
    <mergeCell ref="C892:L892"/>
    <mergeCell ref="M892:N892"/>
    <mergeCell ref="C888:L888"/>
    <mergeCell ref="M888:N888"/>
    <mergeCell ref="O890:P890"/>
    <mergeCell ref="Q890:R890"/>
    <mergeCell ref="O889:P889"/>
    <mergeCell ref="Q889:R889"/>
    <mergeCell ref="C889:L889"/>
    <mergeCell ref="M889:N889"/>
    <mergeCell ref="O892:P892"/>
    <mergeCell ref="Q892:R892"/>
    <mergeCell ref="O891:P891"/>
    <mergeCell ref="Q891:R891"/>
    <mergeCell ref="O884:P884"/>
    <mergeCell ref="Q884:R884"/>
    <mergeCell ref="O886:P886"/>
    <mergeCell ref="Q886:R886"/>
    <mergeCell ref="O885:P885"/>
    <mergeCell ref="Q885:R885"/>
    <mergeCell ref="C881:L881"/>
    <mergeCell ref="M881:N881"/>
    <mergeCell ref="S882:T882"/>
    <mergeCell ref="U882:V882"/>
    <mergeCell ref="O882:P882"/>
    <mergeCell ref="Q882:R882"/>
    <mergeCell ref="S881:T881"/>
    <mergeCell ref="U881:V881"/>
    <mergeCell ref="O881:P881"/>
    <mergeCell ref="Q881:R881"/>
    <mergeCell ref="S885:T885"/>
    <mergeCell ref="U885:V885"/>
    <mergeCell ref="S883:T883"/>
    <mergeCell ref="U883:V883"/>
    <mergeCell ref="S884:T884"/>
    <mergeCell ref="U884:V884"/>
    <mergeCell ref="O883:P883"/>
    <mergeCell ref="Q883:R883"/>
    <mergeCell ref="C882:L882"/>
    <mergeCell ref="M882:N882"/>
    <mergeCell ref="C883:L883"/>
    <mergeCell ref="M883:N883"/>
    <mergeCell ref="S887:T887"/>
    <mergeCell ref="U887:V887"/>
    <mergeCell ref="S886:T886"/>
    <mergeCell ref="U886:V886"/>
    <mergeCell ref="C887:L887"/>
    <mergeCell ref="M887:N887"/>
    <mergeCell ref="O887:P887"/>
    <mergeCell ref="Q887:R887"/>
    <mergeCell ref="C884:L884"/>
    <mergeCell ref="M884:N884"/>
    <mergeCell ref="C885:L885"/>
    <mergeCell ref="M885:N885"/>
    <mergeCell ref="C886:L886"/>
    <mergeCell ref="M886:N886"/>
    <mergeCell ref="S876:T876"/>
    <mergeCell ref="U876:V876"/>
    <mergeCell ref="O878:P878"/>
    <mergeCell ref="Q878:R878"/>
    <mergeCell ref="S877:T877"/>
    <mergeCell ref="U877:V877"/>
    <mergeCell ref="O876:P876"/>
    <mergeCell ref="Q876:R876"/>
    <mergeCell ref="S878:T878"/>
    <mergeCell ref="U878:V878"/>
    <mergeCell ref="S879:T879"/>
    <mergeCell ref="U879:V879"/>
    <mergeCell ref="S880:T880"/>
    <mergeCell ref="U880:V880"/>
    <mergeCell ref="C880:L880"/>
    <mergeCell ref="M880:N880"/>
    <mergeCell ref="O880:P880"/>
    <mergeCell ref="Q880:R880"/>
    <mergeCell ref="O879:P879"/>
    <mergeCell ref="Q879:R879"/>
    <mergeCell ref="C877:L877"/>
    <mergeCell ref="M877:N877"/>
    <mergeCell ref="O877:P877"/>
    <mergeCell ref="Q877:R877"/>
    <mergeCell ref="C878:L878"/>
    <mergeCell ref="M878:N878"/>
    <mergeCell ref="C879:L879"/>
    <mergeCell ref="M879:N879"/>
    <mergeCell ref="O875:P875"/>
    <mergeCell ref="Q875:R875"/>
    <mergeCell ref="C876:L876"/>
    <mergeCell ref="M876:N876"/>
    <mergeCell ref="C875:L875"/>
    <mergeCell ref="M875:N875"/>
    <mergeCell ref="C872:L872"/>
    <mergeCell ref="M872:N872"/>
    <mergeCell ref="S870:T870"/>
    <mergeCell ref="U870:V870"/>
    <mergeCell ref="S875:T875"/>
    <mergeCell ref="U875:V875"/>
    <mergeCell ref="S874:T874"/>
    <mergeCell ref="U874:V874"/>
    <mergeCell ref="S872:T872"/>
    <mergeCell ref="U872:V872"/>
    <mergeCell ref="S873:T873"/>
    <mergeCell ref="U873:V873"/>
    <mergeCell ref="O872:P872"/>
    <mergeCell ref="Q872:R872"/>
    <mergeCell ref="C874:L874"/>
    <mergeCell ref="M874:N874"/>
    <mergeCell ref="O873:P873"/>
    <mergeCell ref="Q873:R873"/>
    <mergeCell ref="O874:P874"/>
    <mergeCell ref="Q874:R874"/>
    <mergeCell ref="C873:L873"/>
    <mergeCell ref="M873:N873"/>
    <mergeCell ref="S869:T869"/>
    <mergeCell ref="U869:V869"/>
    <mergeCell ref="S867:T867"/>
    <mergeCell ref="U867:V867"/>
    <mergeCell ref="S868:T868"/>
    <mergeCell ref="U868:V868"/>
    <mergeCell ref="C867:L867"/>
    <mergeCell ref="M867:N867"/>
    <mergeCell ref="S864:T864"/>
    <mergeCell ref="U864:V864"/>
    <mergeCell ref="O867:P867"/>
    <mergeCell ref="Q867:R867"/>
    <mergeCell ref="O865:P865"/>
    <mergeCell ref="Q865:R865"/>
    <mergeCell ref="O866:P866"/>
    <mergeCell ref="Q866:R866"/>
    <mergeCell ref="C871:L871"/>
    <mergeCell ref="M871:N871"/>
    <mergeCell ref="C870:L870"/>
    <mergeCell ref="M870:N870"/>
    <mergeCell ref="O869:P869"/>
    <mergeCell ref="Q869:R869"/>
    <mergeCell ref="C869:L869"/>
    <mergeCell ref="M869:N869"/>
    <mergeCell ref="O871:P871"/>
    <mergeCell ref="Q871:R871"/>
    <mergeCell ref="O870:P870"/>
    <mergeCell ref="Q870:R870"/>
    <mergeCell ref="S871:T871"/>
    <mergeCell ref="U871:V871"/>
    <mergeCell ref="O868:P868"/>
    <mergeCell ref="Q868:R868"/>
    <mergeCell ref="C868:L868"/>
    <mergeCell ref="M868:N868"/>
    <mergeCell ref="C865:L865"/>
    <mergeCell ref="M865:N865"/>
    <mergeCell ref="C866:L866"/>
    <mergeCell ref="M866:N866"/>
    <mergeCell ref="S857:T857"/>
    <mergeCell ref="U857:V857"/>
    <mergeCell ref="S860:T860"/>
    <mergeCell ref="U860:V860"/>
    <mergeCell ref="S858:T858"/>
    <mergeCell ref="U858:V858"/>
    <mergeCell ref="S859:T859"/>
    <mergeCell ref="U859:V859"/>
    <mergeCell ref="S862:T862"/>
    <mergeCell ref="U862:V862"/>
    <mergeCell ref="S863:T863"/>
    <mergeCell ref="U863:V863"/>
    <mergeCell ref="O861:P861"/>
    <mergeCell ref="Q861:R861"/>
    <mergeCell ref="C864:L864"/>
    <mergeCell ref="M864:N864"/>
    <mergeCell ref="O864:P864"/>
    <mergeCell ref="Q864:R864"/>
    <mergeCell ref="C863:L863"/>
    <mergeCell ref="M863:N863"/>
    <mergeCell ref="O862:P862"/>
    <mergeCell ref="Q862:R862"/>
    <mergeCell ref="S865:T865"/>
    <mergeCell ref="U865:V865"/>
    <mergeCell ref="S866:T866"/>
    <mergeCell ref="U866:V866"/>
    <mergeCell ref="O863:P863"/>
    <mergeCell ref="Q863:R863"/>
    <mergeCell ref="S856:T856"/>
    <mergeCell ref="U856:V856"/>
    <mergeCell ref="O856:P856"/>
    <mergeCell ref="Q856:R856"/>
    <mergeCell ref="S861:T861"/>
    <mergeCell ref="U861:V861"/>
    <mergeCell ref="C862:L862"/>
    <mergeCell ref="M862:N862"/>
    <mergeCell ref="C858:L858"/>
    <mergeCell ref="M858:N858"/>
    <mergeCell ref="C859:L859"/>
    <mergeCell ref="M859:N859"/>
    <mergeCell ref="C861:L861"/>
    <mergeCell ref="M861:N861"/>
    <mergeCell ref="C860:L860"/>
    <mergeCell ref="M860:N860"/>
    <mergeCell ref="C856:L856"/>
    <mergeCell ref="M856:N856"/>
    <mergeCell ref="O858:P858"/>
    <mergeCell ref="Q858:R858"/>
    <mergeCell ref="O857:P857"/>
    <mergeCell ref="Q857:R857"/>
    <mergeCell ref="C857:L857"/>
    <mergeCell ref="M857:N857"/>
    <mergeCell ref="O860:P860"/>
    <mergeCell ref="Q860:R860"/>
    <mergeCell ref="O859:P859"/>
    <mergeCell ref="Q859:R859"/>
    <mergeCell ref="O852:P852"/>
    <mergeCell ref="Q852:R852"/>
    <mergeCell ref="O854:P854"/>
    <mergeCell ref="Q854:R854"/>
    <mergeCell ref="O853:P853"/>
    <mergeCell ref="Q853:R853"/>
    <mergeCell ref="C849:L849"/>
    <mergeCell ref="M849:N849"/>
    <mergeCell ref="S850:T850"/>
    <mergeCell ref="U850:V850"/>
    <mergeCell ref="O850:P850"/>
    <mergeCell ref="Q850:R850"/>
    <mergeCell ref="S849:T849"/>
    <mergeCell ref="U849:V849"/>
    <mergeCell ref="O849:P849"/>
    <mergeCell ref="Q849:R849"/>
    <mergeCell ref="S853:T853"/>
    <mergeCell ref="U853:V853"/>
    <mergeCell ref="S851:T851"/>
    <mergeCell ref="U851:V851"/>
    <mergeCell ref="S852:T852"/>
    <mergeCell ref="U852:V852"/>
    <mergeCell ref="O851:P851"/>
    <mergeCell ref="Q851:R851"/>
    <mergeCell ref="C850:L850"/>
    <mergeCell ref="M850:N850"/>
    <mergeCell ref="C851:L851"/>
    <mergeCell ref="M851:N851"/>
    <mergeCell ref="S855:T855"/>
    <mergeCell ref="U855:V855"/>
    <mergeCell ref="S854:T854"/>
    <mergeCell ref="U854:V854"/>
    <mergeCell ref="C855:L855"/>
    <mergeCell ref="M855:N855"/>
    <mergeCell ref="O855:P855"/>
    <mergeCell ref="Q855:R855"/>
    <mergeCell ref="C852:L852"/>
    <mergeCell ref="M852:N852"/>
    <mergeCell ref="C853:L853"/>
    <mergeCell ref="M853:N853"/>
    <mergeCell ref="C854:L854"/>
    <mergeCell ref="M854:N854"/>
    <mergeCell ref="S844:T844"/>
    <mergeCell ref="U844:V844"/>
    <mergeCell ref="O846:P846"/>
    <mergeCell ref="Q846:R846"/>
    <mergeCell ref="S845:T845"/>
    <mergeCell ref="U845:V845"/>
    <mergeCell ref="O844:P844"/>
    <mergeCell ref="Q844:R844"/>
    <mergeCell ref="S846:T846"/>
    <mergeCell ref="U846:V846"/>
    <mergeCell ref="S847:T847"/>
    <mergeCell ref="U847:V847"/>
    <mergeCell ref="S848:T848"/>
    <mergeCell ref="U848:V848"/>
    <mergeCell ref="C848:L848"/>
    <mergeCell ref="M848:N848"/>
    <mergeCell ref="O848:P848"/>
    <mergeCell ref="Q848:R848"/>
    <mergeCell ref="O847:P847"/>
    <mergeCell ref="Q847:R847"/>
    <mergeCell ref="C845:L845"/>
    <mergeCell ref="M845:N845"/>
    <mergeCell ref="O845:P845"/>
    <mergeCell ref="Q845:R845"/>
    <mergeCell ref="C846:L846"/>
    <mergeCell ref="M846:N846"/>
    <mergeCell ref="C847:L847"/>
    <mergeCell ref="M847:N847"/>
    <mergeCell ref="O843:P843"/>
    <mergeCell ref="Q843:R843"/>
    <mergeCell ref="C844:L844"/>
    <mergeCell ref="M844:N844"/>
    <mergeCell ref="C843:L843"/>
    <mergeCell ref="M843:N843"/>
    <mergeCell ref="C840:L840"/>
    <mergeCell ref="M840:N840"/>
    <mergeCell ref="S838:T838"/>
    <mergeCell ref="U838:V838"/>
    <mergeCell ref="S843:T843"/>
    <mergeCell ref="U843:V843"/>
    <mergeCell ref="S842:T842"/>
    <mergeCell ref="U842:V842"/>
    <mergeCell ref="S840:T840"/>
    <mergeCell ref="U840:V840"/>
    <mergeCell ref="S841:T841"/>
    <mergeCell ref="U841:V841"/>
    <mergeCell ref="O840:P840"/>
    <mergeCell ref="Q840:R840"/>
    <mergeCell ref="C842:L842"/>
    <mergeCell ref="M842:N842"/>
    <mergeCell ref="O841:P841"/>
    <mergeCell ref="Q841:R841"/>
    <mergeCell ref="O842:P842"/>
    <mergeCell ref="Q842:R842"/>
    <mergeCell ref="C841:L841"/>
    <mergeCell ref="M841:N841"/>
    <mergeCell ref="S837:T837"/>
    <mergeCell ref="U837:V837"/>
    <mergeCell ref="S835:T835"/>
    <mergeCell ref="U835:V835"/>
    <mergeCell ref="S836:T836"/>
    <mergeCell ref="U836:V836"/>
    <mergeCell ref="C835:L835"/>
    <mergeCell ref="M835:N835"/>
    <mergeCell ref="S832:T832"/>
    <mergeCell ref="U832:V832"/>
    <mergeCell ref="O835:P835"/>
    <mergeCell ref="Q835:R835"/>
    <mergeCell ref="O833:P833"/>
    <mergeCell ref="Q833:R833"/>
    <mergeCell ref="O834:P834"/>
    <mergeCell ref="Q834:R834"/>
    <mergeCell ref="C839:L839"/>
    <mergeCell ref="M839:N839"/>
    <mergeCell ref="C838:L838"/>
    <mergeCell ref="M838:N838"/>
    <mergeCell ref="O837:P837"/>
    <mergeCell ref="Q837:R837"/>
    <mergeCell ref="C837:L837"/>
    <mergeCell ref="M837:N837"/>
    <mergeCell ref="O839:P839"/>
    <mergeCell ref="Q839:R839"/>
    <mergeCell ref="O838:P838"/>
    <mergeCell ref="Q838:R838"/>
    <mergeCell ref="S839:T839"/>
    <mergeCell ref="U839:V839"/>
    <mergeCell ref="O836:P836"/>
    <mergeCell ref="Q836:R836"/>
    <mergeCell ref="C836:L836"/>
    <mergeCell ref="M836:N836"/>
    <mergeCell ref="C833:L833"/>
    <mergeCell ref="M833:N833"/>
    <mergeCell ref="C834:L834"/>
    <mergeCell ref="M834:N834"/>
    <mergeCell ref="S825:T825"/>
    <mergeCell ref="U825:V825"/>
    <mergeCell ref="S828:T828"/>
    <mergeCell ref="U828:V828"/>
    <mergeCell ref="S826:T826"/>
    <mergeCell ref="U826:V826"/>
    <mergeCell ref="S827:T827"/>
    <mergeCell ref="U827:V827"/>
    <mergeCell ref="S830:T830"/>
    <mergeCell ref="U830:V830"/>
    <mergeCell ref="S831:T831"/>
    <mergeCell ref="U831:V831"/>
    <mergeCell ref="O829:P829"/>
    <mergeCell ref="Q829:R829"/>
    <mergeCell ref="C832:L832"/>
    <mergeCell ref="M832:N832"/>
    <mergeCell ref="O832:P832"/>
    <mergeCell ref="Q832:R832"/>
    <mergeCell ref="C831:L831"/>
    <mergeCell ref="M831:N831"/>
    <mergeCell ref="O830:P830"/>
    <mergeCell ref="Q830:R830"/>
    <mergeCell ref="S833:T833"/>
    <mergeCell ref="U833:V833"/>
    <mergeCell ref="S834:T834"/>
    <mergeCell ref="U834:V834"/>
    <mergeCell ref="O831:P831"/>
    <mergeCell ref="Q831:R831"/>
    <mergeCell ref="S824:T824"/>
    <mergeCell ref="U824:V824"/>
    <mergeCell ref="O824:P824"/>
    <mergeCell ref="Q824:R824"/>
    <mergeCell ref="S829:T829"/>
    <mergeCell ref="U829:V829"/>
    <mergeCell ref="C830:L830"/>
    <mergeCell ref="M830:N830"/>
    <mergeCell ref="C826:L826"/>
    <mergeCell ref="M826:N826"/>
    <mergeCell ref="C827:L827"/>
    <mergeCell ref="M827:N827"/>
    <mergeCell ref="C829:L829"/>
    <mergeCell ref="M829:N829"/>
    <mergeCell ref="C828:L828"/>
    <mergeCell ref="M828:N828"/>
    <mergeCell ref="C824:L824"/>
    <mergeCell ref="M824:N824"/>
    <mergeCell ref="O826:P826"/>
    <mergeCell ref="Q826:R826"/>
    <mergeCell ref="O825:P825"/>
    <mergeCell ref="Q825:R825"/>
    <mergeCell ref="C825:L825"/>
    <mergeCell ref="M825:N825"/>
    <mergeCell ref="O828:P828"/>
    <mergeCell ref="Q828:R828"/>
    <mergeCell ref="O827:P827"/>
    <mergeCell ref="Q827:R827"/>
    <mergeCell ref="O816:P816"/>
    <mergeCell ref="Q816:R816"/>
    <mergeCell ref="O820:P820"/>
    <mergeCell ref="Q820:R820"/>
    <mergeCell ref="O822:P822"/>
    <mergeCell ref="Q822:R822"/>
    <mergeCell ref="O821:P821"/>
    <mergeCell ref="Q821:R821"/>
    <mergeCell ref="C817:L817"/>
    <mergeCell ref="M817:N817"/>
    <mergeCell ref="S818:T818"/>
    <mergeCell ref="U818:V818"/>
    <mergeCell ref="O818:P818"/>
    <mergeCell ref="Q818:R818"/>
    <mergeCell ref="S817:T817"/>
    <mergeCell ref="U817:V817"/>
    <mergeCell ref="O817:P817"/>
    <mergeCell ref="Q817:R817"/>
    <mergeCell ref="S821:T821"/>
    <mergeCell ref="U821:V821"/>
    <mergeCell ref="S819:T819"/>
    <mergeCell ref="U819:V819"/>
    <mergeCell ref="S820:T820"/>
    <mergeCell ref="U820:V820"/>
    <mergeCell ref="O819:P819"/>
    <mergeCell ref="Q819:R819"/>
    <mergeCell ref="C818:L818"/>
    <mergeCell ref="M818:N818"/>
    <mergeCell ref="C819:L819"/>
    <mergeCell ref="M819:N819"/>
    <mergeCell ref="C808:L808"/>
    <mergeCell ref="M808:N808"/>
    <mergeCell ref="S823:T823"/>
    <mergeCell ref="U823:V823"/>
    <mergeCell ref="S822:T822"/>
    <mergeCell ref="U822:V822"/>
    <mergeCell ref="C823:L823"/>
    <mergeCell ref="M823:N823"/>
    <mergeCell ref="O823:P823"/>
    <mergeCell ref="Q823:R823"/>
    <mergeCell ref="C820:L820"/>
    <mergeCell ref="M820:N820"/>
    <mergeCell ref="C821:L821"/>
    <mergeCell ref="M821:N821"/>
    <mergeCell ref="C822:L822"/>
    <mergeCell ref="M822:N822"/>
    <mergeCell ref="S812:T812"/>
    <mergeCell ref="U812:V812"/>
    <mergeCell ref="O814:P814"/>
    <mergeCell ref="Q814:R814"/>
    <mergeCell ref="S813:T813"/>
    <mergeCell ref="U813:V813"/>
    <mergeCell ref="O812:P812"/>
    <mergeCell ref="Q812:R812"/>
    <mergeCell ref="S814:T814"/>
    <mergeCell ref="U814:V814"/>
    <mergeCell ref="S815:T815"/>
    <mergeCell ref="U815:V815"/>
    <mergeCell ref="S816:T816"/>
    <mergeCell ref="U816:V816"/>
    <mergeCell ref="C816:L816"/>
    <mergeCell ref="M816:N816"/>
    <mergeCell ref="C810:L810"/>
    <mergeCell ref="M810:N810"/>
    <mergeCell ref="O809:P809"/>
    <mergeCell ref="Q809:R809"/>
    <mergeCell ref="O810:P810"/>
    <mergeCell ref="Q810:R810"/>
    <mergeCell ref="C809:L809"/>
    <mergeCell ref="M809:N809"/>
    <mergeCell ref="O815:P815"/>
    <mergeCell ref="Q815:R815"/>
    <mergeCell ref="C813:L813"/>
    <mergeCell ref="M813:N813"/>
    <mergeCell ref="O813:P813"/>
    <mergeCell ref="Q813:R813"/>
    <mergeCell ref="C814:L814"/>
    <mergeCell ref="M814:N814"/>
    <mergeCell ref="C815:L815"/>
    <mergeCell ref="M815:N815"/>
    <mergeCell ref="O811:P811"/>
    <mergeCell ref="Q811:R811"/>
    <mergeCell ref="C812:L812"/>
    <mergeCell ref="M812:N812"/>
    <mergeCell ref="C811:L811"/>
    <mergeCell ref="M811:N811"/>
    <mergeCell ref="U806:V806"/>
    <mergeCell ref="O807:P807"/>
    <mergeCell ref="Q807:R807"/>
    <mergeCell ref="O806:P806"/>
    <mergeCell ref="Q806:R806"/>
    <mergeCell ref="S807:T807"/>
    <mergeCell ref="U807:V807"/>
    <mergeCell ref="O804:P804"/>
    <mergeCell ref="Q804:R804"/>
    <mergeCell ref="S811:T811"/>
    <mergeCell ref="U811:V811"/>
    <mergeCell ref="S810:T810"/>
    <mergeCell ref="U810:V810"/>
    <mergeCell ref="S808:T808"/>
    <mergeCell ref="U808:V808"/>
    <mergeCell ref="S809:T809"/>
    <mergeCell ref="U809:V809"/>
    <mergeCell ref="O808:P808"/>
    <mergeCell ref="Q808:R808"/>
    <mergeCell ref="C804:L804"/>
    <mergeCell ref="M804:N804"/>
    <mergeCell ref="C801:L801"/>
    <mergeCell ref="M801:N801"/>
    <mergeCell ref="C802:L802"/>
    <mergeCell ref="M802:N802"/>
    <mergeCell ref="C803:L803"/>
    <mergeCell ref="M803:N803"/>
    <mergeCell ref="C807:L807"/>
    <mergeCell ref="M807:N807"/>
    <mergeCell ref="C806:L806"/>
    <mergeCell ref="M806:N806"/>
    <mergeCell ref="O805:P805"/>
    <mergeCell ref="Q805:R805"/>
    <mergeCell ref="C805:L805"/>
    <mergeCell ref="M805:N805"/>
    <mergeCell ref="S806:T806"/>
    <mergeCell ref="S795:T795"/>
    <mergeCell ref="U795:V795"/>
    <mergeCell ref="S797:T797"/>
    <mergeCell ref="U797:V797"/>
    <mergeCell ref="O800:P800"/>
    <mergeCell ref="Q800:R800"/>
    <mergeCell ref="S799:T799"/>
    <mergeCell ref="U799:V799"/>
    <mergeCell ref="O799:P799"/>
    <mergeCell ref="Q799:R799"/>
    <mergeCell ref="S800:T800"/>
    <mergeCell ref="U800:V800"/>
    <mergeCell ref="S802:T802"/>
    <mergeCell ref="U802:V802"/>
    <mergeCell ref="O803:P803"/>
    <mergeCell ref="Q803:R803"/>
    <mergeCell ref="S805:T805"/>
    <mergeCell ref="U805:V805"/>
    <mergeCell ref="S803:T803"/>
    <mergeCell ref="U803:V803"/>
    <mergeCell ref="S804:T804"/>
    <mergeCell ref="U804:V804"/>
    <mergeCell ref="O801:P801"/>
    <mergeCell ref="Q801:R801"/>
    <mergeCell ref="O802:P802"/>
    <mergeCell ref="Q802:R802"/>
    <mergeCell ref="S801:T801"/>
    <mergeCell ref="U801:V801"/>
    <mergeCell ref="C800:L800"/>
    <mergeCell ref="M800:N800"/>
    <mergeCell ref="S798:T798"/>
    <mergeCell ref="U798:V798"/>
    <mergeCell ref="C798:L798"/>
    <mergeCell ref="M798:N798"/>
    <mergeCell ref="O798:P798"/>
    <mergeCell ref="Q798:R798"/>
    <mergeCell ref="S792:T792"/>
    <mergeCell ref="U792:V792"/>
    <mergeCell ref="O792:P792"/>
    <mergeCell ref="Q792:R792"/>
    <mergeCell ref="C797:L797"/>
    <mergeCell ref="M797:N797"/>
    <mergeCell ref="C796:L796"/>
    <mergeCell ref="M796:N796"/>
    <mergeCell ref="O797:P797"/>
    <mergeCell ref="Q797:R797"/>
    <mergeCell ref="O796:P796"/>
    <mergeCell ref="Q796:R796"/>
    <mergeCell ref="C792:L792"/>
    <mergeCell ref="M792:N792"/>
    <mergeCell ref="C795:L795"/>
    <mergeCell ref="M795:N795"/>
    <mergeCell ref="O795:P795"/>
    <mergeCell ref="Q795:R795"/>
    <mergeCell ref="S793:T793"/>
    <mergeCell ref="U793:V793"/>
    <mergeCell ref="S796:T796"/>
    <mergeCell ref="U796:V796"/>
    <mergeCell ref="S794:T794"/>
    <mergeCell ref="U794:V794"/>
    <mergeCell ref="O794:P794"/>
    <mergeCell ref="Q794:R794"/>
    <mergeCell ref="O793:P793"/>
    <mergeCell ref="Q793:R793"/>
    <mergeCell ref="C794:L794"/>
    <mergeCell ref="M794:N794"/>
    <mergeCell ref="C790:L790"/>
    <mergeCell ref="M790:N790"/>
    <mergeCell ref="C791:L791"/>
    <mergeCell ref="M791:N791"/>
    <mergeCell ref="C793:L793"/>
    <mergeCell ref="M793:N793"/>
    <mergeCell ref="O787:P787"/>
    <mergeCell ref="Q787:R787"/>
    <mergeCell ref="O788:P788"/>
    <mergeCell ref="Q788:R788"/>
    <mergeCell ref="C799:L799"/>
    <mergeCell ref="M799:N799"/>
    <mergeCell ref="S787:T787"/>
    <mergeCell ref="U787:V787"/>
    <mergeCell ref="S788:T788"/>
    <mergeCell ref="U788:V788"/>
    <mergeCell ref="S791:T791"/>
    <mergeCell ref="U791:V791"/>
    <mergeCell ref="S790:T790"/>
    <mergeCell ref="U790:V790"/>
    <mergeCell ref="C788:L788"/>
    <mergeCell ref="M788:N788"/>
    <mergeCell ref="O789:P789"/>
    <mergeCell ref="Q789:R789"/>
    <mergeCell ref="S789:T789"/>
    <mergeCell ref="U789:V789"/>
    <mergeCell ref="O790:P790"/>
    <mergeCell ref="Q790:R790"/>
    <mergeCell ref="C786:L786"/>
    <mergeCell ref="M786:N786"/>
    <mergeCell ref="O786:P786"/>
    <mergeCell ref="Q786:R786"/>
    <mergeCell ref="C787:L787"/>
    <mergeCell ref="M787:N787"/>
    <mergeCell ref="C789:L789"/>
    <mergeCell ref="M789:N789"/>
    <mergeCell ref="O791:P791"/>
    <mergeCell ref="Q791:R791"/>
    <mergeCell ref="C785:L785"/>
    <mergeCell ref="M785:N785"/>
    <mergeCell ref="C782:L782"/>
    <mergeCell ref="M782:N782"/>
    <mergeCell ref="C784:L784"/>
    <mergeCell ref="M784:N784"/>
    <mergeCell ref="C783:L783"/>
    <mergeCell ref="M783:N783"/>
    <mergeCell ref="S784:T784"/>
    <mergeCell ref="U784:V784"/>
    <mergeCell ref="O785:P785"/>
    <mergeCell ref="Q785:R785"/>
    <mergeCell ref="O784:P784"/>
    <mergeCell ref="Q784:R784"/>
    <mergeCell ref="S781:T781"/>
    <mergeCell ref="U781:V781"/>
    <mergeCell ref="S786:T786"/>
    <mergeCell ref="U786:V786"/>
    <mergeCell ref="S783:T783"/>
    <mergeCell ref="U783:V783"/>
    <mergeCell ref="S782:T782"/>
    <mergeCell ref="U782:V782"/>
    <mergeCell ref="S785:T785"/>
    <mergeCell ref="U785:V785"/>
    <mergeCell ref="O783:P783"/>
    <mergeCell ref="Q783:R783"/>
    <mergeCell ref="O782:P782"/>
    <mergeCell ref="Q782:R782"/>
    <mergeCell ref="O781:P781"/>
    <mergeCell ref="Q781:R781"/>
    <mergeCell ref="C781:L781"/>
    <mergeCell ref="M781:N781"/>
    <mergeCell ref="C780:L780"/>
    <mergeCell ref="M780:N780"/>
    <mergeCell ref="S777:T777"/>
    <mergeCell ref="U777:V777"/>
    <mergeCell ref="C777:L777"/>
    <mergeCell ref="M777:N777"/>
    <mergeCell ref="O777:P777"/>
    <mergeCell ref="Q777:R777"/>
    <mergeCell ref="S780:T780"/>
    <mergeCell ref="U780:V780"/>
    <mergeCell ref="S779:T779"/>
    <mergeCell ref="U779:V779"/>
    <mergeCell ref="O780:P780"/>
    <mergeCell ref="Q780:R780"/>
    <mergeCell ref="O779:P779"/>
    <mergeCell ref="Q779:R779"/>
    <mergeCell ref="C778:L778"/>
    <mergeCell ref="M778:N778"/>
    <mergeCell ref="O778:P778"/>
    <mergeCell ref="Q778:R778"/>
    <mergeCell ref="C779:L779"/>
    <mergeCell ref="M779:N779"/>
    <mergeCell ref="C776:L776"/>
    <mergeCell ref="M776:N776"/>
    <mergeCell ref="C775:L775"/>
    <mergeCell ref="M775:N775"/>
    <mergeCell ref="S778:T778"/>
    <mergeCell ref="U778:V778"/>
    <mergeCell ref="O776:P776"/>
    <mergeCell ref="Q776:R776"/>
    <mergeCell ref="C772:L772"/>
    <mergeCell ref="M772:N772"/>
    <mergeCell ref="O775:P775"/>
    <mergeCell ref="Q775:R775"/>
    <mergeCell ref="O774:P774"/>
    <mergeCell ref="Q774:R774"/>
    <mergeCell ref="C774:L774"/>
    <mergeCell ref="M774:N774"/>
    <mergeCell ref="S774:T774"/>
    <mergeCell ref="U774:V774"/>
    <mergeCell ref="S776:T776"/>
    <mergeCell ref="U776:V776"/>
    <mergeCell ref="S775:T775"/>
    <mergeCell ref="U775:V775"/>
    <mergeCell ref="S772:T772"/>
    <mergeCell ref="U772:V772"/>
    <mergeCell ref="S773:T773"/>
    <mergeCell ref="U773:V773"/>
    <mergeCell ref="C773:L773"/>
    <mergeCell ref="M773:N773"/>
    <mergeCell ref="O772:P772"/>
    <mergeCell ref="Q772:R772"/>
    <mergeCell ref="O773:P773"/>
    <mergeCell ref="Q773:R773"/>
    <mergeCell ref="S771:T771"/>
    <mergeCell ref="U771:V771"/>
    <mergeCell ref="S769:T769"/>
    <mergeCell ref="U769:V769"/>
    <mergeCell ref="S770:T770"/>
    <mergeCell ref="U770:V770"/>
    <mergeCell ref="C771:L771"/>
    <mergeCell ref="M771:N771"/>
    <mergeCell ref="O768:P768"/>
    <mergeCell ref="Q768:R768"/>
    <mergeCell ref="C770:L770"/>
    <mergeCell ref="M770:N770"/>
    <mergeCell ref="O771:P771"/>
    <mergeCell ref="Q771:R771"/>
    <mergeCell ref="O770:P770"/>
    <mergeCell ref="Q770:R770"/>
    <mergeCell ref="C768:L768"/>
    <mergeCell ref="M768:N768"/>
    <mergeCell ref="O760:P760"/>
    <mergeCell ref="Q760:R760"/>
    <mergeCell ref="C767:L767"/>
    <mergeCell ref="M767:N767"/>
    <mergeCell ref="O769:P769"/>
    <mergeCell ref="Q769:R769"/>
    <mergeCell ref="C769:L769"/>
    <mergeCell ref="M769:N769"/>
    <mergeCell ref="S768:T768"/>
    <mergeCell ref="U768:V768"/>
    <mergeCell ref="S767:T767"/>
    <mergeCell ref="U767:V767"/>
    <mergeCell ref="O767:P767"/>
    <mergeCell ref="Q767:R767"/>
    <mergeCell ref="S766:T766"/>
    <mergeCell ref="U766:V766"/>
    <mergeCell ref="C765:L765"/>
    <mergeCell ref="M765:N765"/>
    <mergeCell ref="C766:L766"/>
    <mergeCell ref="M766:N766"/>
    <mergeCell ref="O766:P766"/>
    <mergeCell ref="Q766:R766"/>
    <mergeCell ref="O765:P765"/>
    <mergeCell ref="Q765:R765"/>
    <mergeCell ref="O755:P755"/>
    <mergeCell ref="Q755:R755"/>
    <mergeCell ref="O764:P764"/>
    <mergeCell ref="Q764:R764"/>
    <mergeCell ref="O762:P762"/>
    <mergeCell ref="Q762:R762"/>
    <mergeCell ref="O763:P763"/>
    <mergeCell ref="Q763:R763"/>
    <mergeCell ref="C763:L763"/>
    <mergeCell ref="M763:N763"/>
    <mergeCell ref="C762:L762"/>
    <mergeCell ref="M762:N762"/>
    <mergeCell ref="C764:L764"/>
    <mergeCell ref="M764:N764"/>
    <mergeCell ref="S765:T765"/>
    <mergeCell ref="U765:V765"/>
    <mergeCell ref="S763:T763"/>
    <mergeCell ref="U763:V763"/>
    <mergeCell ref="C760:L760"/>
    <mergeCell ref="M760:N760"/>
    <mergeCell ref="S764:T764"/>
    <mergeCell ref="U764:V764"/>
    <mergeCell ref="S762:T762"/>
    <mergeCell ref="U762:V762"/>
    <mergeCell ref="S761:T761"/>
    <mergeCell ref="U761:V761"/>
    <mergeCell ref="S760:T760"/>
    <mergeCell ref="U760:V760"/>
    <mergeCell ref="C761:L761"/>
    <mergeCell ref="M761:N761"/>
    <mergeCell ref="O761:P761"/>
    <mergeCell ref="Q761:R761"/>
    <mergeCell ref="O759:P759"/>
    <mergeCell ref="Q759:R759"/>
    <mergeCell ref="O757:P757"/>
    <mergeCell ref="Q757:R757"/>
    <mergeCell ref="O758:P758"/>
    <mergeCell ref="Q758:R758"/>
    <mergeCell ref="C759:L759"/>
    <mergeCell ref="M759:N759"/>
    <mergeCell ref="S757:T757"/>
    <mergeCell ref="U757:V757"/>
    <mergeCell ref="S758:T758"/>
    <mergeCell ref="U758:V758"/>
    <mergeCell ref="S759:T759"/>
    <mergeCell ref="U759:V759"/>
    <mergeCell ref="C758:L758"/>
    <mergeCell ref="M758:N758"/>
    <mergeCell ref="O756:P756"/>
    <mergeCell ref="Q756:R756"/>
    <mergeCell ref="C756:L756"/>
    <mergeCell ref="M756:N756"/>
    <mergeCell ref="S756:T756"/>
    <mergeCell ref="U756:V756"/>
    <mergeCell ref="C757:L757"/>
    <mergeCell ref="M757:N757"/>
    <mergeCell ref="S752:T752"/>
    <mergeCell ref="U752:V752"/>
    <mergeCell ref="S755:T755"/>
    <mergeCell ref="U755:V755"/>
    <mergeCell ref="S754:T754"/>
    <mergeCell ref="U754:V754"/>
    <mergeCell ref="S753:T753"/>
    <mergeCell ref="U753:V753"/>
    <mergeCell ref="O754:P754"/>
    <mergeCell ref="Q754:R754"/>
    <mergeCell ref="O750:P750"/>
    <mergeCell ref="Q750:R750"/>
    <mergeCell ref="O751:P751"/>
    <mergeCell ref="Q751:R751"/>
    <mergeCell ref="O753:P753"/>
    <mergeCell ref="Q753:R753"/>
    <mergeCell ref="C754:L754"/>
    <mergeCell ref="M754:N754"/>
    <mergeCell ref="C753:L753"/>
    <mergeCell ref="M753:N753"/>
    <mergeCell ref="C752:L752"/>
    <mergeCell ref="M752:N752"/>
    <mergeCell ref="C750:L750"/>
    <mergeCell ref="M750:N750"/>
    <mergeCell ref="C751:L751"/>
    <mergeCell ref="M751:N751"/>
    <mergeCell ref="O752:P752"/>
    <mergeCell ref="Q752:R752"/>
    <mergeCell ref="S751:T751"/>
    <mergeCell ref="U751:V751"/>
    <mergeCell ref="C755:L755"/>
    <mergeCell ref="M755:N755"/>
    <mergeCell ref="S748:T748"/>
    <mergeCell ref="U748:V748"/>
    <mergeCell ref="S749:T749"/>
    <mergeCell ref="U749:V749"/>
    <mergeCell ref="S750:T750"/>
    <mergeCell ref="U750:V750"/>
    <mergeCell ref="O749:P749"/>
    <mergeCell ref="Q749:R749"/>
    <mergeCell ref="O747:P747"/>
    <mergeCell ref="Q747:R747"/>
    <mergeCell ref="O748:P748"/>
    <mergeCell ref="Q748:R748"/>
    <mergeCell ref="C749:L749"/>
    <mergeCell ref="M749:N749"/>
    <mergeCell ref="C743:L743"/>
    <mergeCell ref="M743:N743"/>
    <mergeCell ref="C748:L748"/>
    <mergeCell ref="M748:N748"/>
    <mergeCell ref="C744:L744"/>
    <mergeCell ref="M744:N744"/>
    <mergeCell ref="C746:L746"/>
    <mergeCell ref="M746:N746"/>
    <mergeCell ref="C747:L747"/>
    <mergeCell ref="M747:N747"/>
    <mergeCell ref="S746:T746"/>
    <mergeCell ref="U746:V746"/>
    <mergeCell ref="S747:T747"/>
    <mergeCell ref="U747:V747"/>
    <mergeCell ref="O746:P746"/>
    <mergeCell ref="Q746:R746"/>
    <mergeCell ref="S743:T743"/>
    <mergeCell ref="U743:V743"/>
    <mergeCell ref="C742:L742"/>
    <mergeCell ref="M742:N742"/>
    <mergeCell ref="O742:P742"/>
    <mergeCell ref="Q742:R742"/>
    <mergeCell ref="S741:T741"/>
    <mergeCell ref="U741:V741"/>
    <mergeCell ref="S742:T742"/>
    <mergeCell ref="U742:V742"/>
    <mergeCell ref="C745:L745"/>
    <mergeCell ref="M745:N745"/>
    <mergeCell ref="O743:P743"/>
    <mergeCell ref="Q743:R743"/>
    <mergeCell ref="O745:P745"/>
    <mergeCell ref="Q745:R745"/>
    <mergeCell ref="O744:P744"/>
    <mergeCell ref="Q744:R744"/>
    <mergeCell ref="C741:L741"/>
    <mergeCell ref="M741:N741"/>
    <mergeCell ref="S740:T740"/>
    <mergeCell ref="U740:V740"/>
    <mergeCell ref="S738:T738"/>
    <mergeCell ref="U738:V738"/>
    <mergeCell ref="S739:T739"/>
    <mergeCell ref="U739:V739"/>
    <mergeCell ref="S734:T734"/>
    <mergeCell ref="U734:V734"/>
    <mergeCell ref="O735:P735"/>
    <mergeCell ref="Q735:R735"/>
    <mergeCell ref="S735:T735"/>
    <mergeCell ref="U735:V735"/>
    <mergeCell ref="O734:P734"/>
    <mergeCell ref="Q734:R734"/>
    <mergeCell ref="S745:T745"/>
    <mergeCell ref="U745:V745"/>
    <mergeCell ref="S744:T744"/>
    <mergeCell ref="U744:V744"/>
    <mergeCell ref="C740:L740"/>
    <mergeCell ref="M740:N740"/>
    <mergeCell ref="O739:P739"/>
    <mergeCell ref="Q739:R739"/>
    <mergeCell ref="O740:P740"/>
    <mergeCell ref="Q740:R740"/>
    <mergeCell ref="O741:P741"/>
    <mergeCell ref="Q741:R741"/>
    <mergeCell ref="C734:L734"/>
    <mergeCell ref="M734:N734"/>
    <mergeCell ref="C736:L736"/>
    <mergeCell ref="M736:N736"/>
    <mergeCell ref="C737:L737"/>
    <mergeCell ref="M737:N737"/>
    <mergeCell ref="C735:L735"/>
    <mergeCell ref="M735:N735"/>
    <mergeCell ref="O738:P738"/>
    <mergeCell ref="Q738:R738"/>
    <mergeCell ref="C739:L739"/>
    <mergeCell ref="M739:N739"/>
    <mergeCell ref="C738:L738"/>
    <mergeCell ref="M738:N738"/>
    <mergeCell ref="O733:P733"/>
    <mergeCell ref="Q733:R733"/>
    <mergeCell ref="O737:P737"/>
    <mergeCell ref="Q737:R737"/>
    <mergeCell ref="O736:P736"/>
    <mergeCell ref="Q736:R736"/>
    <mergeCell ref="S733:T733"/>
    <mergeCell ref="U733:V733"/>
    <mergeCell ref="C732:L732"/>
    <mergeCell ref="M732:N732"/>
    <mergeCell ref="O732:P732"/>
    <mergeCell ref="Q732:R732"/>
    <mergeCell ref="S732:T732"/>
    <mergeCell ref="U732:V732"/>
    <mergeCell ref="C733:L733"/>
    <mergeCell ref="M733:N733"/>
    <mergeCell ref="C731:L731"/>
    <mergeCell ref="M731:N731"/>
    <mergeCell ref="S737:T737"/>
    <mergeCell ref="U737:V737"/>
    <mergeCell ref="S736:T736"/>
    <mergeCell ref="U736:V736"/>
    <mergeCell ref="O729:P729"/>
    <mergeCell ref="Q729:R729"/>
    <mergeCell ref="C729:L729"/>
    <mergeCell ref="M729:N729"/>
    <mergeCell ref="C730:L730"/>
    <mergeCell ref="M730:N730"/>
    <mergeCell ref="O730:P730"/>
    <mergeCell ref="Q730:R730"/>
    <mergeCell ref="O731:P731"/>
    <mergeCell ref="Q731:R731"/>
    <mergeCell ref="S729:T729"/>
    <mergeCell ref="U729:V729"/>
    <mergeCell ref="S731:T731"/>
    <mergeCell ref="U731:V731"/>
    <mergeCell ref="S730:T730"/>
    <mergeCell ref="U730:V730"/>
    <mergeCell ref="O728:P728"/>
    <mergeCell ref="Q728:R728"/>
    <mergeCell ref="O726:P726"/>
    <mergeCell ref="Q726:R726"/>
    <mergeCell ref="S724:T724"/>
    <mergeCell ref="U724:V724"/>
    <mergeCell ref="S726:T726"/>
    <mergeCell ref="U726:V726"/>
    <mergeCell ref="S725:T725"/>
    <mergeCell ref="U725:V725"/>
    <mergeCell ref="C728:L728"/>
    <mergeCell ref="M728:N728"/>
    <mergeCell ref="S727:T727"/>
    <mergeCell ref="U727:V727"/>
    <mergeCell ref="S728:T728"/>
    <mergeCell ref="U728:V728"/>
    <mergeCell ref="C727:L727"/>
    <mergeCell ref="M727:N727"/>
    <mergeCell ref="O727:P727"/>
    <mergeCell ref="Q727:R727"/>
    <mergeCell ref="C726:L726"/>
    <mergeCell ref="M726:N726"/>
    <mergeCell ref="O723:P723"/>
    <mergeCell ref="Q723:R723"/>
    <mergeCell ref="O724:P724"/>
    <mergeCell ref="Q724:R724"/>
    <mergeCell ref="C724:L724"/>
    <mergeCell ref="M724:N724"/>
    <mergeCell ref="C725:L725"/>
    <mergeCell ref="M725:N725"/>
    <mergeCell ref="S721:T721"/>
    <mergeCell ref="U721:V721"/>
    <mergeCell ref="S722:T722"/>
    <mergeCell ref="U722:V722"/>
    <mergeCell ref="O725:P725"/>
    <mergeCell ref="Q725:R725"/>
    <mergeCell ref="S723:T723"/>
    <mergeCell ref="U723:V723"/>
    <mergeCell ref="C722:L722"/>
    <mergeCell ref="M722:N722"/>
    <mergeCell ref="O722:P722"/>
    <mergeCell ref="Q722:R722"/>
    <mergeCell ref="C723:L723"/>
    <mergeCell ref="M723:N723"/>
    <mergeCell ref="C720:L720"/>
    <mergeCell ref="M720:N720"/>
    <mergeCell ref="O721:P721"/>
    <mergeCell ref="Q721:R721"/>
    <mergeCell ref="C721:L721"/>
    <mergeCell ref="M721:N721"/>
    <mergeCell ref="O720:P720"/>
    <mergeCell ref="Q720:R720"/>
    <mergeCell ref="C718:L718"/>
    <mergeCell ref="M718:N718"/>
    <mergeCell ref="C719:L719"/>
    <mergeCell ref="M719:N719"/>
    <mergeCell ref="O718:P718"/>
    <mergeCell ref="Q718:R718"/>
    <mergeCell ref="O719:P719"/>
    <mergeCell ref="Q719:R719"/>
    <mergeCell ref="C717:L717"/>
    <mergeCell ref="M717:N717"/>
    <mergeCell ref="S720:T720"/>
    <mergeCell ref="U720:V720"/>
    <mergeCell ref="S717:T717"/>
    <mergeCell ref="U717:V717"/>
    <mergeCell ref="S719:T719"/>
    <mergeCell ref="U719:V719"/>
    <mergeCell ref="S718:T718"/>
    <mergeCell ref="U718:V718"/>
    <mergeCell ref="O717:P717"/>
    <mergeCell ref="Q717:R717"/>
    <mergeCell ref="S711:T711"/>
    <mergeCell ref="U711:V711"/>
    <mergeCell ref="S716:T716"/>
    <mergeCell ref="U716:V716"/>
    <mergeCell ref="S715:T715"/>
    <mergeCell ref="U715:V715"/>
    <mergeCell ref="O714:P714"/>
    <mergeCell ref="Q714:R714"/>
    <mergeCell ref="O716:P716"/>
    <mergeCell ref="Q716:R716"/>
    <mergeCell ref="O715:P715"/>
    <mergeCell ref="Q715:R715"/>
    <mergeCell ref="C716:L716"/>
    <mergeCell ref="M716:N716"/>
    <mergeCell ref="S714:T714"/>
    <mergeCell ref="U714:V714"/>
    <mergeCell ref="S713:T713"/>
    <mergeCell ref="U713:V713"/>
    <mergeCell ref="S710:T710"/>
    <mergeCell ref="U710:V710"/>
    <mergeCell ref="S712:T712"/>
    <mergeCell ref="U712:V712"/>
    <mergeCell ref="O712:P712"/>
    <mergeCell ref="Q712:R712"/>
    <mergeCell ref="C714:L714"/>
    <mergeCell ref="M714:N714"/>
    <mergeCell ref="C712:L712"/>
    <mergeCell ref="M712:N712"/>
    <mergeCell ref="C713:L713"/>
    <mergeCell ref="M713:N713"/>
    <mergeCell ref="O713:P713"/>
    <mergeCell ref="Q713:R713"/>
    <mergeCell ref="C710:L710"/>
    <mergeCell ref="M710:N710"/>
    <mergeCell ref="C709:L709"/>
    <mergeCell ref="M709:N709"/>
    <mergeCell ref="O709:P709"/>
    <mergeCell ref="Q709:R709"/>
    <mergeCell ref="C711:L711"/>
    <mergeCell ref="M711:N711"/>
    <mergeCell ref="O711:P711"/>
    <mergeCell ref="Q711:R711"/>
    <mergeCell ref="O710:P710"/>
    <mergeCell ref="Q710:R710"/>
    <mergeCell ref="O707:P707"/>
    <mergeCell ref="Q707:R707"/>
    <mergeCell ref="S709:T709"/>
    <mergeCell ref="C715:L715"/>
    <mergeCell ref="M715:N715"/>
    <mergeCell ref="U709:V709"/>
    <mergeCell ref="S707:T707"/>
    <mergeCell ref="U707:V707"/>
    <mergeCell ref="S708:T708"/>
    <mergeCell ref="U708:V708"/>
    <mergeCell ref="O708:P708"/>
    <mergeCell ref="Q708:R708"/>
    <mergeCell ref="C707:L707"/>
    <mergeCell ref="M707:N707"/>
    <mergeCell ref="C706:L706"/>
    <mergeCell ref="M706:N706"/>
    <mergeCell ref="S706:T706"/>
    <mergeCell ref="U706:V706"/>
    <mergeCell ref="O706:P706"/>
    <mergeCell ref="Q706:R706"/>
    <mergeCell ref="C708:L708"/>
    <mergeCell ref="M708:N708"/>
    <mergeCell ref="C700:L700"/>
    <mergeCell ref="M700:N700"/>
    <mergeCell ref="C703:L703"/>
    <mergeCell ref="M703:N703"/>
    <mergeCell ref="S705:T705"/>
    <mergeCell ref="U705:V705"/>
    <mergeCell ref="S704:T704"/>
    <mergeCell ref="U704:V704"/>
    <mergeCell ref="O704:P704"/>
    <mergeCell ref="Q704:R704"/>
    <mergeCell ref="O705:P705"/>
    <mergeCell ref="Q705:R705"/>
    <mergeCell ref="O703:P703"/>
    <mergeCell ref="Q703:R703"/>
    <mergeCell ref="S703:T703"/>
    <mergeCell ref="U703:V703"/>
    <mergeCell ref="S699:T699"/>
    <mergeCell ref="U699:V699"/>
    <mergeCell ref="S702:T702"/>
    <mergeCell ref="U702:V702"/>
    <mergeCell ref="O697:P697"/>
    <mergeCell ref="Q697:R697"/>
    <mergeCell ref="O698:P698"/>
    <mergeCell ref="Q698:R698"/>
    <mergeCell ref="O699:P699"/>
    <mergeCell ref="Q699:R699"/>
    <mergeCell ref="C697:L697"/>
    <mergeCell ref="M697:N697"/>
    <mergeCell ref="C698:L698"/>
    <mergeCell ref="M698:N698"/>
    <mergeCell ref="C705:L705"/>
    <mergeCell ref="M705:N705"/>
    <mergeCell ref="C704:L704"/>
    <mergeCell ref="M704:N704"/>
    <mergeCell ref="C696:L696"/>
    <mergeCell ref="M696:N696"/>
    <mergeCell ref="O700:P700"/>
    <mergeCell ref="Q700:R700"/>
    <mergeCell ref="C702:L702"/>
    <mergeCell ref="M702:N702"/>
    <mergeCell ref="O702:P702"/>
    <mergeCell ref="Q702:R702"/>
    <mergeCell ref="C695:L695"/>
    <mergeCell ref="M695:N695"/>
    <mergeCell ref="S701:T701"/>
    <mergeCell ref="U701:V701"/>
    <mergeCell ref="C701:L701"/>
    <mergeCell ref="M701:N701"/>
    <mergeCell ref="O701:P701"/>
    <mergeCell ref="Q701:R701"/>
    <mergeCell ref="S700:T700"/>
    <mergeCell ref="U700:V700"/>
    <mergeCell ref="S696:T696"/>
    <mergeCell ref="U696:V696"/>
    <mergeCell ref="S695:T695"/>
    <mergeCell ref="U695:V695"/>
    <mergeCell ref="O695:P695"/>
    <mergeCell ref="Q695:R695"/>
    <mergeCell ref="O696:P696"/>
    <mergeCell ref="Q696:R696"/>
    <mergeCell ref="C699:L699"/>
    <mergeCell ref="M699:N699"/>
    <mergeCell ref="S697:T697"/>
    <mergeCell ref="U697:V697"/>
    <mergeCell ref="S698:T698"/>
    <mergeCell ref="U698:V698"/>
    <mergeCell ref="C694:L694"/>
    <mergeCell ref="M694:N694"/>
    <mergeCell ref="O694:P694"/>
    <mergeCell ref="Q694:R694"/>
    <mergeCell ref="S694:T694"/>
    <mergeCell ref="U694:V694"/>
    <mergeCell ref="S687:T687"/>
    <mergeCell ref="U687:V687"/>
    <mergeCell ref="C693:L693"/>
    <mergeCell ref="M693:N693"/>
    <mergeCell ref="O689:P689"/>
    <mergeCell ref="Q689:R689"/>
    <mergeCell ref="O688:P688"/>
    <mergeCell ref="Q688:R688"/>
    <mergeCell ref="S692:T692"/>
    <mergeCell ref="U692:V692"/>
    <mergeCell ref="S693:T693"/>
    <mergeCell ref="U693:V693"/>
    <mergeCell ref="S690:T690"/>
    <mergeCell ref="U690:V690"/>
    <mergeCell ref="S691:T691"/>
    <mergeCell ref="U691:V691"/>
    <mergeCell ref="O693:P693"/>
    <mergeCell ref="Q693:R693"/>
    <mergeCell ref="C691:L691"/>
    <mergeCell ref="M691:N691"/>
    <mergeCell ref="O691:P691"/>
    <mergeCell ref="Q691:R691"/>
    <mergeCell ref="C692:L692"/>
    <mergeCell ref="M692:N692"/>
    <mergeCell ref="O692:P692"/>
    <mergeCell ref="Q692:R692"/>
    <mergeCell ref="C689:L689"/>
    <mergeCell ref="M689:N689"/>
    <mergeCell ref="C690:L690"/>
    <mergeCell ref="M690:N690"/>
    <mergeCell ref="O690:P690"/>
    <mergeCell ref="Q690:R690"/>
    <mergeCell ref="S689:T689"/>
    <mergeCell ref="U689:V689"/>
    <mergeCell ref="S688:T688"/>
    <mergeCell ref="U688:V688"/>
    <mergeCell ref="C688:L688"/>
    <mergeCell ref="M688:N688"/>
    <mergeCell ref="C687:L687"/>
    <mergeCell ref="M687:N687"/>
    <mergeCell ref="O684:P684"/>
    <mergeCell ref="Q684:R684"/>
    <mergeCell ref="C685:L685"/>
    <mergeCell ref="M685:N685"/>
    <mergeCell ref="O685:P685"/>
    <mergeCell ref="Q685:R685"/>
    <mergeCell ref="O687:P687"/>
    <mergeCell ref="Q687:R687"/>
    <mergeCell ref="C682:L682"/>
    <mergeCell ref="M682:N682"/>
    <mergeCell ref="O683:P683"/>
    <mergeCell ref="Q683:R683"/>
    <mergeCell ref="C683:L683"/>
    <mergeCell ref="M683:N683"/>
    <mergeCell ref="C684:L684"/>
    <mergeCell ref="M684:N684"/>
    <mergeCell ref="O686:P686"/>
    <mergeCell ref="Q686:R686"/>
    <mergeCell ref="S685:T685"/>
    <mergeCell ref="U685:V685"/>
    <mergeCell ref="S684:T684"/>
    <mergeCell ref="U684:V684"/>
    <mergeCell ref="C686:L686"/>
    <mergeCell ref="M686:N686"/>
    <mergeCell ref="S681:T681"/>
    <mergeCell ref="U681:V681"/>
    <mergeCell ref="S682:T682"/>
    <mergeCell ref="U682:V682"/>
    <mergeCell ref="S686:T686"/>
    <mergeCell ref="U686:V686"/>
    <mergeCell ref="S683:T683"/>
    <mergeCell ref="U683:V683"/>
    <mergeCell ref="O682:P682"/>
    <mergeCell ref="Q682:R682"/>
    <mergeCell ref="O681:P681"/>
    <mergeCell ref="Q681:R681"/>
    <mergeCell ref="C681:L681"/>
    <mergeCell ref="M681:N681"/>
    <mergeCell ref="S680:T680"/>
    <mergeCell ref="U680:V680"/>
    <mergeCell ref="C680:L680"/>
    <mergeCell ref="M680:N680"/>
    <mergeCell ref="O680:P680"/>
    <mergeCell ref="Q680:R680"/>
    <mergeCell ref="C679:L679"/>
    <mergeCell ref="M679:N679"/>
    <mergeCell ref="S679:T679"/>
    <mergeCell ref="U679:V679"/>
    <mergeCell ref="O679:P679"/>
    <mergeCell ref="Q679:R679"/>
    <mergeCell ref="S676:T676"/>
    <mergeCell ref="U676:V676"/>
    <mergeCell ref="C678:L678"/>
    <mergeCell ref="M678:N678"/>
    <mergeCell ref="O677:P677"/>
    <mergeCell ref="Q677:R677"/>
    <mergeCell ref="C677:L677"/>
    <mergeCell ref="M677:N677"/>
    <mergeCell ref="S678:T678"/>
    <mergeCell ref="U678:V678"/>
    <mergeCell ref="O676:P676"/>
    <mergeCell ref="Q676:R676"/>
    <mergeCell ref="S677:T677"/>
    <mergeCell ref="U677:V677"/>
    <mergeCell ref="S675:T675"/>
    <mergeCell ref="U675:V675"/>
    <mergeCell ref="C675:L675"/>
    <mergeCell ref="M675:N675"/>
    <mergeCell ref="O675:P675"/>
    <mergeCell ref="Q675:R675"/>
    <mergeCell ref="O674:P674"/>
    <mergeCell ref="Q674:R674"/>
    <mergeCell ref="O678:P678"/>
    <mergeCell ref="Q678:R678"/>
    <mergeCell ref="S671:T671"/>
    <mergeCell ref="U671:V671"/>
    <mergeCell ref="C676:L676"/>
    <mergeCell ref="M676:N676"/>
    <mergeCell ref="S672:T672"/>
    <mergeCell ref="U672:V672"/>
    <mergeCell ref="S674:T674"/>
    <mergeCell ref="U674:V674"/>
    <mergeCell ref="S673:T673"/>
    <mergeCell ref="U673:V673"/>
    <mergeCell ref="C672:L672"/>
    <mergeCell ref="M672:N672"/>
    <mergeCell ref="O672:P672"/>
    <mergeCell ref="Q672:R672"/>
    <mergeCell ref="O671:P671"/>
    <mergeCell ref="Q671:R671"/>
    <mergeCell ref="C671:L671"/>
    <mergeCell ref="M671:N671"/>
    <mergeCell ref="C673:L673"/>
    <mergeCell ref="M673:N673"/>
    <mergeCell ref="C674:L674"/>
    <mergeCell ref="M674:N674"/>
    <mergeCell ref="C670:L670"/>
    <mergeCell ref="M670:N670"/>
    <mergeCell ref="O669:P669"/>
    <mergeCell ref="Q669:R669"/>
    <mergeCell ref="C669:L669"/>
    <mergeCell ref="M669:N669"/>
    <mergeCell ref="S670:T670"/>
    <mergeCell ref="U670:V670"/>
    <mergeCell ref="O670:P670"/>
    <mergeCell ref="Q670:R670"/>
    <mergeCell ref="S667:T667"/>
    <mergeCell ref="U667:V667"/>
    <mergeCell ref="S669:T669"/>
    <mergeCell ref="U669:V669"/>
    <mergeCell ref="S668:T668"/>
    <mergeCell ref="U668:V668"/>
    <mergeCell ref="C667:L667"/>
    <mergeCell ref="M667:N667"/>
    <mergeCell ref="C668:L668"/>
    <mergeCell ref="M668:N668"/>
    <mergeCell ref="O667:P667"/>
    <mergeCell ref="Q667:R667"/>
    <mergeCell ref="O668:P668"/>
    <mergeCell ref="Q668:R668"/>
    <mergeCell ref="O673:P673"/>
    <mergeCell ref="Q673:R673"/>
    <mergeCell ref="U661:V661"/>
    <mergeCell ref="S663:T663"/>
    <mergeCell ref="U663:V663"/>
    <mergeCell ref="S662:T662"/>
    <mergeCell ref="U662:V662"/>
    <mergeCell ref="S666:T666"/>
    <mergeCell ref="U666:V666"/>
    <mergeCell ref="S665:T665"/>
    <mergeCell ref="U665:V665"/>
    <mergeCell ref="O665:P665"/>
    <mergeCell ref="Q665:R665"/>
    <mergeCell ref="O666:P666"/>
    <mergeCell ref="Q666:R666"/>
    <mergeCell ref="C662:L662"/>
    <mergeCell ref="M662:N662"/>
    <mergeCell ref="C663:L663"/>
    <mergeCell ref="M663:N663"/>
    <mergeCell ref="S664:T664"/>
    <mergeCell ref="U664:V664"/>
    <mergeCell ref="O662:P662"/>
    <mergeCell ref="Q662:R662"/>
    <mergeCell ref="C666:L666"/>
    <mergeCell ref="M666:N666"/>
    <mergeCell ref="C665:L665"/>
    <mergeCell ref="M665:N665"/>
    <mergeCell ref="O663:P663"/>
    <mergeCell ref="Q663:R663"/>
    <mergeCell ref="O664:P664"/>
    <mergeCell ref="Q664:R664"/>
    <mergeCell ref="C664:L664"/>
    <mergeCell ref="M664:N664"/>
    <mergeCell ref="O661:P661"/>
    <mergeCell ref="Q661:R661"/>
    <mergeCell ref="C658:L658"/>
    <mergeCell ref="M658:N658"/>
    <mergeCell ref="C661:L661"/>
    <mergeCell ref="M661:N661"/>
    <mergeCell ref="C659:L659"/>
    <mergeCell ref="M659:N659"/>
    <mergeCell ref="C660:L660"/>
    <mergeCell ref="M660:N660"/>
    <mergeCell ref="O658:P658"/>
    <mergeCell ref="Q658:R658"/>
    <mergeCell ref="S655:T655"/>
    <mergeCell ref="C657:L657"/>
    <mergeCell ref="M657:N657"/>
    <mergeCell ref="O657:P657"/>
    <mergeCell ref="O656:P656"/>
    <mergeCell ref="O655:P655"/>
    <mergeCell ref="S658:T658"/>
    <mergeCell ref="S656:T656"/>
    <mergeCell ref="Q657:R657"/>
    <mergeCell ref="S661:T661"/>
    <mergeCell ref="Q655:R655"/>
    <mergeCell ref="C655:L655"/>
    <mergeCell ref="M655:N655"/>
    <mergeCell ref="C656:L656"/>
    <mergeCell ref="M656:N656"/>
    <mergeCell ref="Q656:R656"/>
    <mergeCell ref="U655:V655"/>
    <mergeCell ref="U658:V658"/>
    <mergeCell ref="U656:V656"/>
    <mergeCell ref="S657:T657"/>
    <mergeCell ref="U657:V657"/>
    <mergeCell ref="S660:T660"/>
    <mergeCell ref="U660:V660"/>
    <mergeCell ref="S659:T659"/>
    <mergeCell ref="U659:V659"/>
    <mergeCell ref="O659:P659"/>
    <mergeCell ref="Q659:R659"/>
    <mergeCell ref="O660:P660"/>
    <mergeCell ref="Q660:R660"/>
    <mergeCell ref="U652:V652"/>
    <mergeCell ref="O652:P652"/>
    <mergeCell ref="S654:T654"/>
    <mergeCell ref="U654:V654"/>
    <mergeCell ref="S653:T653"/>
    <mergeCell ref="S652:T652"/>
    <mergeCell ref="O653:P653"/>
    <mergeCell ref="Q653:R653"/>
    <mergeCell ref="O654:P654"/>
    <mergeCell ref="Q654:R654"/>
    <mergeCell ref="Q652:R652"/>
    <mergeCell ref="S651:T651"/>
    <mergeCell ref="C651:L651"/>
    <mergeCell ref="M651:N651"/>
    <mergeCell ref="U651:V651"/>
    <mergeCell ref="C653:L653"/>
    <mergeCell ref="M653:N653"/>
    <mergeCell ref="O651:P651"/>
    <mergeCell ref="C652:L652"/>
    <mergeCell ref="M652:N652"/>
    <mergeCell ref="U653:V653"/>
    <mergeCell ref="C654:L654"/>
    <mergeCell ref="M654:N654"/>
    <mergeCell ref="C649:L649"/>
    <mergeCell ref="M649:N649"/>
    <mergeCell ref="Q650:R650"/>
    <mergeCell ref="Q651:R651"/>
    <mergeCell ref="O649:P649"/>
    <mergeCell ref="Q649:R649"/>
    <mergeCell ref="O650:P650"/>
    <mergeCell ref="C650:L650"/>
    <mergeCell ref="M650:N650"/>
    <mergeCell ref="Q648:R648"/>
    <mergeCell ref="Q647:R647"/>
    <mergeCell ref="S650:T650"/>
    <mergeCell ref="U650:V650"/>
    <mergeCell ref="U649:V649"/>
    <mergeCell ref="U648:V648"/>
    <mergeCell ref="S649:T649"/>
    <mergeCell ref="S648:T648"/>
    <mergeCell ref="Q646:R646"/>
    <mergeCell ref="Q643:R643"/>
    <mergeCell ref="O642:P642"/>
    <mergeCell ref="Q642:R642"/>
    <mergeCell ref="O644:P644"/>
    <mergeCell ref="O643:P643"/>
    <mergeCell ref="U646:V646"/>
    <mergeCell ref="S647:T647"/>
    <mergeCell ref="S646:T646"/>
    <mergeCell ref="C646:L646"/>
    <mergeCell ref="M646:N646"/>
    <mergeCell ref="C647:L647"/>
    <mergeCell ref="M647:N647"/>
    <mergeCell ref="U647:V647"/>
    <mergeCell ref="O647:P647"/>
    <mergeCell ref="O646:P646"/>
    <mergeCell ref="O648:P648"/>
    <mergeCell ref="C629:L629"/>
    <mergeCell ref="C637:L637"/>
    <mergeCell ref="M629:N629"/>
    <mergeCell ref="C630:L630"/>
    <mergeCell ref="M633:N633"/>
    <mergeCell ref="C631:L631"/>
    <mergeCell ref="C633:L633"/>
    <mergeCell ref="C632:L632"/>
    <mergeCell ref="C645:L645"/>
    <mergeCell ref="C648:L648"/>
    <mergeCell ref="M645:N645"/>
    <mergeCell ref="C641:L641"/>
    <mergeCell ref="C642:L642"/>
    <mergeCell ref="C644:L644"/>
    <mergeCell ref="M644:N644"/>
    <mergeCell ref="M642:N642"/>
    <mergeCell ref="C643:L643"/>
    <mergeCell ref="M648:N648"/>
    <mergeCell ref="M640:N640"/>
    <mergeCell ref="M639:N639"/>
    <mergeCell ref="M643:N643"/>
    <mergeCell ref="C640:L640"/>
    <mergeCell ref="O629:P629"/>
    <mergeCell ref="O633:P633"/>
    <mergeCell ref="S637:T637"/>
    <mergeCell ref="O632:P632"/>
    <mergeCell ref="Q635:R635"/>
    <mergeCell ref="Q636:R636"/>
    <mergeCell ref="Q630:R630"/>
    <mergeCell ref="O634:P634"/>
    <mergeCell ref="O637:P637"/>
    <mergeCell ref="Q632:R632"/>
    <mergeCell ref="U645:V645"/>
    <mergeCell ref="O645:P645"/>
    <mergeCell ref="Q645:R645"/>
    <mergeCell ref="Q640:R640"/>
    <mergeCell ref="S645:T645"/>
    <mergeCell ref="S643:T643"/>
    <mergeCell ref="U642:V642"/>
    <mergeCell ref="S640:T640"/>
    <mergeCell ref="Q644:R644"/>
    <mergeCell ref="U640:V640"/>
    <mergeCell ref="U630:V630"/>
    <mergeCell ref="Q634:R634"/>
    <mergeCell ref="S636:T636"/>
    <mergeCell ref="Q633:R633"/>
    <mergeCell ref="Q637:R637"/>
    <mergeCell ref="U636:V636"/>
    <mergeCell ref="Q638:R638"/>
    <mergeCell ref="O638:P638"/>
    <mergeCell ref="O640:P640"/>
    <mergeCell ref="Q639:R639"/>
    <mergeCell ref="U637:V637"/>
    <mergeCell ref="S638:T638"/>
    <mergeCell ref="Q631:R631"/>
    <mergeCell ref="U635:V635"/>
    <mergeCell ref="U626:V626"/>
    <mergeCell ref="Q627:R627"/>
    <mergeCell ref="S625:T625"/>
    <mergeCell ref="O627:P627"/>
    <mergeCell ref="Q625:R625"/>
    <mergeCell ref="Q626:R626"/>
    <mergeCell ref="U625:V625"/>
    <mergeCell ref="U628:V628"/>
    <mergeCell ref="M627:N627"/>
    <mergeCell ref="U621:V621"/>
    <mergeCell ref="S622:T622"/>
    <mergeCell ref="Q621:R621"/>
    <mergeCell ref="S624:T624"/>
    <mergeCell ref="O625:P625"/>
    <mergeCell ref="Q623:R623"/>
    <mergeCell ref="O623:P623"/>
    <mergeCell ref="O628:P628"/>
    <mergeCell ref="Q628:R628"/>
    <mergeCell ref="S618:T618"/>
    <mergeCell ref="S623:T623"/>
    <mergeCell ref="O621:P621"/>
    <mergeCell ref="S621:T621"/>
    <mergeCell ref="S615:T615"/>
    <mergeCell ref="Q618:R618"/>
    <mergeCell ref="U620:V620"/>
    <mergeCell ref="U616:V616"/>
    <mergeCell ref="U617:V617"/>
    <mergeCell ref="U619:V619"/>
    <mergeCell ref="U615:V615"/>
    <mergeCell ref="Q616:R616"/>
    <mergeCell ref="Q615:R615"/>
    <mergeCell ref="U618:V618"/>
    <mergeCell ref="U622:V622"/>
    <mergeCell ref="U624:V624"/>
    <mergeCell ref="U623:V623"/>
    <mergeCell ref="O624:P624"/>
    <mergeCell ref="Q624:R624"/>
    <mergeCell ref="O622:P622"/>
    <mergeCell ref="Q622:R622"/>
    <mergeCell ref="O615:P615"/>
    <mergeCell ref="C628:L628"/>
    <mergeCell ref="M628:N628"/>
    <mergeCell ref="M622:N622"/>
    <mergeCell ref="C626:L626"/>
    <mergeCell ref="M626:N626"/>
    <mergeCell ref="C627:L627"/>
    <mergeCell ref="C625:L625"/>
    <mergeCell ref="C622:L622"/>
    <mergeCell ref="C623:L623"/>
    <mergeCell ref="C624:L624"/>
    <mergeCell ref="S617:T617"/>
    <mergeCell ref="S619:T619"/>
    <mergeCell ref="Q619:R619"/>
    <mergeCell ref="S620:T620"/>
    <mergeCell ref="Q620:R620"/>
    <mergeCell ref="Q617:R617"/>
    <mergeCell ref="O616:P616"/>
    <mergeCell ref="C621:L621"/>
    <mergeCell ref="M621:N621"/>
    <mergeCell ref="O620:P620"/>
    <mergeCell ref="O617:P617"/>
    <mergeCell ref="O619:P619"/>
    <mergeCell ref="C619:L619"/>
    <mergeCell ref="M619:N619"/>
    <mergeCell ref="C620:L620"/>
    <mergeCell ref="S627:T627"/>
    <mergeCell ref="S616:T616"/>
    <mergeCell ref="O618:P618"/>
    <mergeCell ref="O626:P626"/>
    <mergeCell ref="M625:N625"/>
    <mergeCell ref="M623:N623"/>
    <mergeCell ref="M624:N624"/>
    <mergeCell ref="M620:N620"/>
    <mergeCell ref="M615:N615"/>
    <mergeCell ref="C615:L615"/>
    <mergeCell ref="C616:L616"/>
    <mergeCell ref="M616:N616"/>
    <mergeCell ref="M618:N618"/>
    <mergeCell ref="C617:L617"/>
    <mergeCell ref="M617:N617"/>
    <mergeCell ref="C618:L618"/>
    <mergeCell ref="O613:P613"/>
    <mergeCell ref="Q613:R613"/>
    <mergeCell ref="Q612:R612"/>
    <mergeCell ref="O614:P614"/>
    <mergeCell ref="C610:L610"/>
    <mergeCell ref="C613:L613"/>
    <mergeCell ref="M613:N613"/>
    <mergeCell ref="O612:P612"/>
    <mergeCell ref="O610:P610"/>
    <mergeCell ref="C614:L614"/>
    <mergeCell ref="U612:V612"/>
    <mergeCell ref="S614:T614"/>
    <mergeCell ref="S613:T613"/>
    <mergeCell ref="Q611:R611"/>
    <mergeCell ref="C612:L612"/>
    <mergeCell ref="M612:N612"/>
    <mergeCell ref="C611:L611"/>
    <mergeCell ref="M611:N611"/>
    <mergeCell ref="O611:P611"/>
    <mergeCell ref="Q614:R614"/>
    <mergeCell ref="C607:L607"/>
    <mergeCell ref="M607:N607"/>
    <mergeCell ref="O608:P608"/>
    <mergeCell ref="Q608:R608"/>
    <mergeCell ref="O607:P607"/>
    <mergeCell ref="U614:V614"/>
    <mergeCell ref="S611:T611"/>
    <mergeCell ref="S612:T612"/>
    <mergeCell ref="U611:V611"/>
    <mergeCell ref="U613:V613"/>
    <mergeCell ref="M614:N614"/>
    <mergeCell ref="C605:L605"/>
    <mergeCell ref="M605:N605"/>
    <mergeCell ref="O605:P605"/>
    <mergeCell ref="O606:P606"/>
    <mergeCell ref="C606:L606"/>
    <mergeCell ref="M606:N606"/>
    <mergeCell ref="C609:L609"/>
    <mergeCell ref="M609:N609"/>
    <mergeCell ref="M610:N610"/>
    <mergeCell ref="U606:V606"/>
    <mergeCell ref="S606:T606"/>
    <mergeCell ref="Q607:R607"/>
    <mergeCell ref="O609:P609"/>
    <mergeCell ref="C608:L608"/>
    <mergeCell ref="M608:N608"/>
    <mergeCell ref="U609:V609"/>
    <mergeCell ref="Q605:R605"/>
    <mergeCell ref="S607:T607"/>
    <mergeCell ref="U607:V607"/>
    <mergeCell ref="S608:T608"/>
    <mergeCell ref="Q610:R610"/>
    <mergeCell ref="U610:V610"/>
    <mergeCell ref="S610:T610"/>
    <mergeCell ref="S609:T609"/>
    <mergeCell ref="Q609:R609"/>
    <mergeCell ref="U608:V608"/>
    <mergeCell ref="S604:T604"/>
    <mergeCell ref="U604:V604"/>
    <mergeCell ref="Q606:R606"/>
    <mergeCell ref="U605:V605"/>
    <mergeCell ref="S605:T605"/>
    <mergeCell ref="O604:P604"/>
    <mergeCell ref="Q604:R604"/>
    <mergeCell ref="O601:P601"/>
    <mergeCell ref="Q601:R601"/>
    <mergeCell ref="Q602:R602"/>
    <mergeCell ref="O603:P603"/>
    <mergeCell ref="O602:P602"/>
    <mergeCell ref="U601:V601"/>
    <mergeCell ref="S602:T602"/>
    <mergeCell ref="U602:V602"/>
    <mergeCell ref="S601:T601"/>
    <mergeCell ref="Q603:R603"/>
    <mergeCell ref="S603:T603"/>
    <mergeCell ref="U603:V603"/>
    <mergeCell ref="C604:L604"/>
    <mergeCell ref="M604:N604"/>
    <mergeCell ref="C601:L601"/>
    <mergeCell ref="M601:N601"/>
    <mergeCell ref="C603:L603"/>
    <mergeCell ref="C602:L602"/>
    <mergeCell ref="M602:N602"/>
    <mergeCell ref="M603:N603"/>
    <mergeCell ref="U598:V598"/>
    <mergeCell ref="Q599:R599"/>
    <mergeCell ref="Q598:R598"/>
    <mergeCell ref="S599:T599"/>
    <mergeCell ref="U600:V600"/>
    <mergeCell ref="O600:P600"/>
    <mergeCell ref="Q600:R600"/>
    <mergeCell ref="C596:L596"/>
    <mergeCell ref="M596:N596"/>
    <mergeCell ref="C597:L597"/>
    <mergeCell ref="M597:N597"/>
    <mergeCell ref="U599:V599"/>
    <mergeCell ref="S598:T598"/>
    <mergeCell ref="U597:V597"/>
    <mergeCell ref="O597:P597"/>
    <mergeCell ref="Q597:R597"/>
    <mergeCell ref="S597:T597"/>
    <mergeCell ref="O599:P599"/>
    <mergeCell ref="O598:P598"/>
    <mergeCell ref="C600:L600"/>
    <mergeCell ref="M600:N600"/>
    <mergeCell ref="C599:L599"/>
    <mergeCell ref="M599:N599"/>
    <mergeCell ref="C598:L598"/>
    <mergeCell ref="M598:N598"/>
    <mergeCell ref="S595:T595"/>
    <mergeCell ref="S592:T592"/>
    <mergeCell ref="Q595:R595"/>
    <mergeCell ref="Q593:R593"/>
    <mergeCell ref="Q594:R594"/>
    <mergeCell ref="S600:T600"/>
    <mergeCell ref="C595:L595"/>
    <mergeCell ref="M595:N595"/>
    <mergeCell ref="O593:P593"/>
    <mergeCell ref="C593:L593"/>
    <mergeCell ref="M593:N593"/>
    <mergeCell ref="O594:P594"/>
    <mergeCell ref="C594:L594"/>
    <mergeCell ref="M594:N594"/>
    <mergeCell ref="O595:P595"/>
    <mergeCell ref="S596:T596"/>
    <mergeCell ref="U593:V593"/>
    <mergeCell ref="U591:V591"/>
    <mergeCell ref="S591:T591"/>
    <mergeCell ref="S594:T594"/>
    <mergeCell ref="U592:V592"/>
    <mergeCell ref="S593:T593"/>
    <mergeCell ref="U596:V596"/>
    <mergeCell ref="U595:V595"/>
    <mergeCell ref="U594:V594"/>
    <mergeCell ref="O596:P596"/>
    <mergeCell ref="Q596:R596"/>
    <mergeCell ref="M591:N591"/>
    <mergeCell ref="O591:P591"/>
    <mergeCell ref="Q591:R591"/>
    <mergeCell ref="C591:L591"/>
    <mergeCell ref="O592:P592"/>
    <mergeCell ref="Q592:R592"/>
    <mergeCell ref="C592:L592"/>
    <mergeCell ref="M592:N592"/>
    <mergeCell ref="C590:L590"/>
    <mergeCell ref="C589:L589"/>
    <mergeCell ref="M589:N589"/>
    <mergeCell ref="S589:T589"/>
    <mergeCell ref="S590:T590"/>
    <mergeCell ref="U589:V589"/>
    <mergeCell ref="Q588:R588"/>
    <mergeCell ref="O586:P586"/>
    <mergeCell ref="O587:P587"/>
    <mergeCell ref="Q587:R587"/>
    <mergeCell ref="U590:V590"/>
    <mergeCell ref="O588:P588"/>
    <mergeCell ref="S588:T588"/>
    <mergeCell ref="U588:V588"/>
    <mergeCell ref="U586:V586"/>
    <mergeCell ref="S587:T587"/>
    <mergeCell ref="U587:V587"/>
    <mergeCell ref="S586:T586"/>
    <mergeCell ref="Q586:R586"/>
    <mergeCell ref="M590:N590"/>
    <mergeCell ref="O590:P590"/>
    <mergeCell ref="Q590:R590"/>
    <mergeCell ref="O589:P589"/>
    <mergeCell ref="Q589:R589"/>
    <mergeCell ref="O583:P583"/>
    <mergeCell ref="Q583:R583"/>
    <mergeCell ref="U584:V584"/>
    <mergeCell ref="S585:T585"/>
    <mergeCell ref="U585:V585"/>
    <mergeCell ref="S584:T584"/>
    <mergeCell ref="C588:L588"/>
    <mergeCell ref="M588:N588"/>
    <mergeCell ref="C587:L587"/>
    <mergeCell ref="M587:N587"/>
    <mergeCell ref="U581:V581"/>
    <mergeCell ref="S582:T582"/>
    <mergeCell ref="U582:V582"/>
    <mergeCell ref="U583:V583"/>
    <mergeCell ref="S583:T583"/>
    <mergeCell ref="S581:T581"/>
    <mergeCell ref="C585:L585"/>
    <mergeCell ref="M585:N585"/>
    <mergeCell ref="O585:P585"/>
    <mergeCell ref="Q585:R585"/>
    <mergeCell ref="C586:L586"/>
    <mergeCell ref="M586:N586"/>
    <mergeCell ref="C584:L584"/>
    <mergeCell ref="M584:N584"/>
    <mergeCell ref="O582:P582"/>
    <mergeCell ref="Q582:R582"/>
    <mergeCell ref="C583:L583"/>
    <mergeCell ref="M583:N583"/>
    <mergeCell ref="C582:L582"/>
    <mergeCell ref="M582:N582"/>
    <mergeCell ref="O584:P584"/>
    <mergeCell ref="Q584:R584"/>
    <mergeCell ref="C581:L581"/>
    <mergeCell ref="M581:N581"/>
    <mergeCell ref="O581:P581"/>
    <mergeCell ref="Q581:R581"/>
    <mergeCell ref="C580:L580"/>
    <mergeCell ref="M580:N580"/>
    <mergeCell ref="O580:P580"/>
    <mergeCell ref="Q580:R580"/>
    <mergeCell ref="O579:P579"/>
    <mergeCell ref="Q579:R579"/>
    <mergeCell ref="O577:P577"/>
    <mergeCell ref="Q577:R577"/>
    <mergeCell ref="O578:P578"/>
    <mergeCell ref="Q578:R578"/>
    <mergeCell ref="C576:L576"/>
    <mergeCell ref="M576:N576"/>
    <mergeCell ref="O575:P575"/>
    <mergeCell ref="Q575:R575"/>
    <mergeCell ref="O576:P576"/>
    <mergeCell ref="Q576:R576"/>
    <mergeCell ref="C579:L579"/>
    <mergeCell ref="M579:N579"/>
    <mergeCell ref="C577:L577"/>
    <mergeCell ref="M577:N577"/>
    <mergeCell ref="C578:L578"/>
    <mergeCell ref="M578:N578"/>
    <mergeCell ref="S577:T577"/>
    <mergeCell ref="U577:V577"/>
    <mergeCell ref="S570:T570"/>
    <mergeCell ref="U570:V570"/>
    <mergeCell ref="S571:T571"/>
    <mergeCell ref="U571:V571"/>
    <mergeCell ref="S575:T575"/>
    <mergeCell ref="U575:V575"/>
    <mergeCell ref="S576:T576"/>
    <mergeCell ref="U576:V576"/>
    <mergeCell ref="S580:T580"/>
    <mergeCell ref="U580:V580"/>
    <mergeCell ref="S578:T578"/>
    <mergeCell ref="U578:V578"/>
    <mergeCell ref="S579:T579"/>
    <mergeCell ref="U579:V579"/>
    <mergeCell ref="O574:P574"/>
    <mergeCell ref="Q574:R574"/>
    <mergeCell ref="S572:T572"/>
    <mergeCell ref="U572:V572"/>
    <mergeCell ref="S574:T574"/>
    <mergeCell ref="U574:V574"/>
    <mergeCell ref="S573:T573"/>
    <mergeCell ref="U573:V573"/>
    <mergeCell ref="O572:P572"/>
    <mergeCell ref="Q572:R572"/>
    <mergeCell ref="S569:T569"/>
    <mergeCell ref="U569:V569"/>
    <mergeCell ref="C575:L575"/>
    <mergeCell ref="M575:N575"/>
    <mergeCell ref="C574:L574"/>
    <mergeCell ref="M574:N574"/>
    <mergeCell ref="C573:L573"/>
    <mergeCell ref="M573:N573"/>
    <mergeCell ref="C569:L569"/>
    <mergeCell ref="M569:N569"/>
    <mergeCell ref="O573:P573"/>
    <mergeCell ref="Q573:R573"/>
    <mergeCell ref="O569:P569"/>
    <mergeCell ref="Q569:R569"/>
    <mergeCell ref="C571:L571"/>
    <mergeCell ref="M571:N571"/>
    <mergeCell ref="C572:L572"/>
    <mergeCell ref="M572:N572"/>
    <mergeCell ref="O571:P571"/>
    <mergeCell ref="Q571:R571"/>
    <mergeCell ref="C570:L570"/>
    <mergeCell ref="M570:N570"/>
    <mergeCell ref="O570:P570"/>
    <mergeCell ref="Q570:R570"/>
    <mergeCell ref="C567:L567"/>
    <mergeCell ref="M567:N567"/>
    <mergeCell ref="O568:P568"/>
    <mergeCell ref="Q568:R568"/>
    <mergeCell ref="C568:L568"/>
    <mergeCell ref="M568:N568"/>
    <mergeCell ref="S567:T567"/>
    <mergeCell ref="U567:V567"/>
    <mergeCell ref="O567:P567"/>
    <mergeCell ref="Q567:R567"/>
    <mergeCell ref="S565:T565"/>
    <mergeCell ref="U565:V565"/>
    <mergeCell ref="O565:P565"/>
    <mergeCell ref="Q565:R565"/>
    <mergeCell ref="C565:L565"/>
    <mergeCell ref="M565:N565"/>
    <mergeCell ref="C566:L566"/>
    <mergeCell ref="M566:N566"/>
    <mergeCell ref="S568:T568"/>
    <mergeCell ref="U568:V568"/>
    <mergeCell ref="C562:L562"/>
    <mergeCell ref="M562:N562"/>
    <mergeCell ref="C564:L564"/>
    <mergeCell ref="M564:N564"/>
    <mergeCell ref="C563:L563"/>
    <mergeCell ref="M563:N563"/>
    <mergeCell ref="O563:P563"/>
    <mergeCell ref="Q563:R563"/>
    <mergeCell ref="S566:T566"/>
    <mergeCell ref="U566:V566"/>
    <mergeCell ref="O566:P566"/>
    <mergeCell ref="Q566:R566"/>
    <mergeCell ref="S564:T564"/>
    <mergeCell ref="U564:V564"/>
    <mergeCell ref="S563:T563"/>
    <mergeCell ref="U563:V563"/>
    <mergeCell ref="C559:L559"/>
    <mergeCell ref="M559:N559"/>
    <mergeCell ref="O564:P564"/>
    <mergeCell ref="Q564:R564"/>
    <mergeCell ref="C560:L560"/>
    <mergeCell ref="M560:N560"/>
    <mergeCell ref="C561:L561"/>
    <mergeCell ref="M561:N561"/>
    <mergeCell ref="O560:P560"/>
    <mergeCell ref="Q560:R560"/>
    <mergeCell ref="O562:P562"/>
    <mergeCell ref="Q562:R562"/>
    <mergeCell ref="S560:T560"/>
    <mergeCell ref="U560:V560"/>
    <mergeCell ref="S562:T562"/>
    <mergeCell ref="U562:V562"/>
    <mergeCell ref="S559:T559"/>
    <mergeCell ref="U559:V559"/>
    <mergeCell ref="S561:T561"/>
    <mergeCell ref="U561:V561"/>
    <mergeCell ref="O559:P559"/>
    <mergeCell ref="Q559:R559"/>
    <mergeCell ref="O561:P561"/>
    <mergeCell ref="Q561:R561"/>
    <mergeCell ref="C555:L555"/>
    <mergeCell ref="M555:N555"/>
    <mergeCell ref="C557:L557"/>
    <mergeCell ref="M557:N557"/>
    <mergeCell ref="C556:L556"/>
    <mergeCell ref="M556:N556"/>
    <mergeCell ref="C558:L558"/>
    <mergeCell ref="M558:N558"/>
    <mergeCell ref="S555:T555"/>
    <mergeCell ref="U555:V555"/>
    <mergeCell ref="S556:T556"/>
    <mergeCell ref="U556:V556"/>
    <mergeCell ref="O555:P555"/>
    <mergeCell ref="Q555:R555"/>
    <mergeCell ref="O556:P556"/>
    <mergeCell ref="Q556:R556"/>
    <mergeCell ref="O557:P557"/>
    <mergeCell ref="Q557:R557"/>
    <mergeCell ref="S557:T557"/>
    <mergeCell ref="U557:V557"/>
    <mergeCell ref="O558:P558"/>
    <mergeCell ref="Q558:R558"/>
    <mergeCell ref="S558:T558"/>
    <mergeCell ref="U558:V558"/>
    <mergeCell ref="C553:L553"/>
    <mergeCell ref="M553:N553"/>
    <mergeCell ref="O553:P553"/>
    <mergeCell ref="Q553:R553"/>
    <mergeCell ref="C554:L554"/>
    <mergeCell ref="M554:N554"/>
    <mergeCell ref="C549:L549"/>
    <mergeCell ref="M549:N549"/>
    <mergeCell ref="O552:P552"/>
    <mergeCell ref="Q552:R552"/>
    <mergeCell ref="O549:P549"/>
    <mergeCell ref="Q549:R549"/>
    <mergeCell ref="C550:L550"/>
    <mergeCell ref="M550:N550"/>
    <mergeCell ref="C552:L552"/>
    <mergeCell ref="M552:N552"/>
    <mergeCell ref="O550:P550"/>
    <mergeCell ref="Q550:R550"/>
    <mergeCell ref="S551:T551"/>
    <mergeCell ref="U551:V551"/>
    <mergeCell ref="S550:T550"/>
    <mergeCell ref="U550:V550"/>
    <mergeCell ref="S554:T554"/>
    <mergeCell ref="U554:V554"/>
    <mergeCell ref="O551:P551"/>
    <mergeCell ref="Q551:R551"/>
    <mergeCell ref="S552:T552"/>
    <mergeCell ref="U552:V552"/>
    <mergeCell ref="S553:T553"/>
    <mergeCell ref="U553:V553"/>
    <mergeCell ref="S545:T545"/>
    <mergeCell ref="U545:V545"/>
    <mergeCell ref="O548:P548"/>
    <mergeCell ref="Q548:R548"/>
    <mergeCell ref="C547:L547"/>
    <mergeCell ref="M547:N547"/>
    <mergeCell ref="C548:L548"/>
    <mergeCell ref="M548:N548"/>
    <mergeCell ref="O547:P547"/>
    <mergeCell ref="Q547:R547"/>
    <mergeCell ref="S547:T547"/>
    <mergeCell ref="U547:V547"/>
    <mergeCell ref="S549:T549"/>
    <mergeCell ref="U549:V549"/>
    <mergeCell ref="S548:T548"/>
    <mergeCell ref="U548:V548"/>
    <mergeCell ref="C551:L551"/>
    <mergeCell ref="M551:N551"/>
    <mergeCell ref="O554:P554"/>
    <mergeCell ref="Q554:R554"/>
    <mergeCell ref="C546:L546"/>
    <mergeCell ref="M546:N546"/>
    <mergeCell ref="C544:L544"/>
    <mergeCell ref="M544:N544"/>
    <mergeCell ref="C545:L545"/>
    <mergeCell ref="M545:N545"/>
    <mergeCell ref="O546:P546"/>
    <mergeCell ref="Q546:R546"/>
    <mergeCell ref="O544:P544"/>
    <mergeCell ref="Q544:R544"/>
    <mergeCell ref="S546:T546"/>
    <mergeCell ref="U546:V546"/>
    <mergeCell ref="S544:T544"/>
    <mergeCell ref="U544:V544"/>
    <mergeCell ref="O545:P545"/>
    <mergeCell ref="Q545:R545"/>
    <mergeCell ref="S543:T543"/>
    <mergeCell ref="U543:V543"/>
    <mergeCell ref="O541:P541"/>
    <mergeCell ref="Q541:R541"/>
    <mergeCell ref="O543:P543"/>
    <mergeCell ref="Q543:R543"/>
    <mergeCell ref="O542:P542"/>
    <mergeCell ref="Q542:R542"/>
    <mergeCell ref="S542:T542"/>
    <mergeCell ref="U542:V542"/>
    <mergeCell ref="C538:L538"/>
    <mergeCell ref="M538:N538"/>
    <mergeCell ref="C540:L540"/>
    <mergeCell ref="M540:N540"/>
    <mergeCell ref="C542:L542"/>
    <mergeCell ref="M542:N542"/>
    <mergeCell ref="C541:L541"/>
    <mergeCell ref="M541:N541"/>
    <mergeCell ref="S541:T541"/>
    <mergeCell ref="U541:V541"/>
    <mergeCell ref="S538:T538"/>
    <mergeCell ref="U538:V538"/>
    <mergeCell ref="C539:L539"/>
    <mergeCell ref="M539:N539"/>
    <mergeCell ref="S539:T539"/>
    <mergeCell ref="U539:V539"/>
    <mergeCell ref="O538:P538"/>
    <mergeCell ref="Q538:R538"/>
    <mergeCell ref="C543:L543"/>
    <mergeCell ref="M543:N543"/>
    <mergeCell ref="S540:T540"/>
    <mergeCell ref="U540:V540"/>
    <mergeCell ref="O540:P540"/>
    <mergeCell ref="Q540:R540"/>
    <mergeCell ref="O539:P539"/>
    <mergeCell ref="Q539:R539"/>
    <mergeCell ref="C536:L536"/>
    <mergeCell ref="M536:N536"/>
    <mergeCell ref="C535:L535"/>
    <mergeCell ref="M535:N535"/>
    <mergeCell ref="S537:T537"/>
    <mergeCell ref="U537:V537"/>
    <mergeCell ref="C537:L537"/>
    <mergeCell ref="M537:N537"/>
    <mergeCell ref="O537:P537"/>
    <mergeCell ref="Q537:R537"/>
    <mergeCell ref="O535:P535"/>
    <mergeCell ref="Q535:R535"/>
    <mergeCell ref="O530:P530"/>
    <mergeCell ref="Q530:R530"/>
    <mergeCell ref="C533:L533"/>
    <mergeCell ref="M533:N533"/>
    <mergeCell ref="O533:P533"/>
    <mergeCell ref="Q533:R533"/>
    <mergeCell ref="U533:V533"/>
    <mergeCell ref="S533:T533"/>
    <mergeCell ref="O534:P534"/>
    <mergeCell ref="Q534:R534"/>
    <mergeCell ref="S535:T535"/>
    <mergeCell ref="U535:V535"/>
    <mergeCell ref="S534:T534"/>
    <mergeCell ref="U534:V534"/>
    <mergeCell ref="C534:L534"/>
    <mergeCell ref="M534:N534"/>
    <mergeCell ref="O536:P536"/>
    <mergeCell ref="Q536:R536"/>
    <mergeCell ref="O526:P526"/>
    <mergeCell ref="Q526:R526"/>
    <mergeCell ref="S525:T525"/>
    <mergeCell ref="U525:V525"/>
    <mergeCell ref="C528:L528"/>
    <mergeCell ref="M528:N528"/>
    <mergeCell ref="C530:L530"/>
    <mergeCell ref="M530:N530"/>
    <mergeCell ref="C531:L531"/>
    <mergeCell ref="M531:N531"/>
    <mergeCell ref="C532:L532"/>
    <mergeCell ref="M532:N532"/>
    <mergeCell ref="C529:L529"/>
    <mergeCell ref="M529:N529"/>
    <mergeCell ref="S532:T532"/>
    <mergeCell ref="U532:V532"/>
    <mergeCell ref="S529:T529"/>
    <mergeCell ref="U529:V529"/>
    <mergeCell ref="O531:P531"/>
    <mergeCell ref="Q531:R531"/>
    <mergeCell ref="S531:T531"/>
    <mergeCell ref="U531:V531"/>
    <mergeCell ref="S530:T530"/>
    <mergeCell ref="U530:V530"/>
    <mergeCell ref="O528:P528"/>
    <mergeCell ref="Q528:R528"/>
    <mergeCell ref="S528:T528"/>
    <mergeCell ref="U528:V528"/>
    <mergeCell ref="O529:P529"/>
    <mergeCell ref="Q529:R529"/>
    <mergeCell ref="O532:P532"/>
    <mergeCell ref="Q532:R532"/>
    <mergeCell ref="C523:L523"/>
    <mergeCell ref="M523:N523"/>
    <mergeCell ref="S520:T520"/>
    <mergeCell ref="U520:V520"/>
    <mergeCell ref="S521:T521"/>
    <mergeCell ref="U521:V521"/>
    <mergeCell ref="C522:L522"/>
    <mergeCell ref="M522:N522"/>
    <mergeCell ref="O523:P523"/>
    <mergeCell ref="Q523:R523"/>
    <mergeCell ref="O521:P521"/>
    <mergeCell ref="Q521:R521"/>
    <mergeCell ref="O522:P522"/>
    <mergeCell ref="Q522:R522"/>
    <mergeCell ref="S527:T527"/>
    <mergeCell ref="U527:V527"/>
    <mergeCell ref="C524:L524"/>
    <mergeCell ref="M524:N524"/>
    <mergeCell ref="O524:P524"/>
    <mergeCell ref="Q524:R524"/>
    <mergeCell ref="C527:L527"/>
    <mergeCell ref="M527:N527"/>
    <mergeCell ref="C525:L525"/>
    <mergeCell ref="M525:N525"/>
    <mergeCell ref="O525:P525"/>
    <mergeCell ref="Q525:R525"/>
    <mergeCell ref="O527:P527"/>
    <mergeCell ref="Q527:R527"/>
    <mergeCell ref="S526:T526"/>
    <mergeCell ref="U526:V526"/>
    <mergeCell ref="C526:L526"/>
    <mergeCell ref="M526:N526"/>
    <mergeCell ref="O518:P518"/>
    <mergeCell ref="Q518:R518"/>
    <mergeCell ref="O513:P513"/>
    <mergeCell ref="Q513:R513"/>
    <mergeCell ref="S513:T513"/>
    <mergeCell ref="U513:V513"/>
    <mergeCell ref="C520:L520"/>
    <mergeCell ref="M520:N520"/>
    <mergeCell ref="C521:L521"/>
    <mergeCell ref="M521:N521"/>
    <mergeCell ref="S519:T519"/>
    <mergeCell ref="U519:V519"/>
    <mergeCell ref="O519:P519"/>
    <mergeCell ref="Q519:R519"/>
    <mergeCell ref="O520:P520"/>
    <mergeCell ref="Q520:R520"/>
    <mergeCell ref="C519:L519"/>
    <mergeCell ref="M519:N519"/>
    <mergeCell ref="O516:P516"/>
    <mergeCell ref="Q516:R516"/>
    <mergeCell ref="S517:T517"/>
    <mergeCell ref="U517:V517"/>
    <mergeCell ref="S516:T516"/>
    <mergeCell ref="U516:V516"/>
    <mergeCell ref="O517:P517"/>
    <mergeCell ref="Q517:R517"/>
    <mergeCell ref="C518:L518"/>
    <mergeCell ref="M518:N518"/>
    <mergeCell ref="C517:L517"/>
    <mergeCell ref="M517:N517"/>
    <mergeCell ref="C516:L516"/>
    <mergeCell ref="M516:N516"/>
    <mergeCell ref="C515:L515"/>
    <mergeCell ref="M515:N515"/>
    <mergeCell ref="C507:L507"/>
    <mergeCell ref="M507:N507"/>
    <mergeCell ref="C509:L509"/>
    <mergeCell ref="M509:N509"/>
    <mergeCell ref="C508:L508"/>
    <mergeCell ref="M508:N508"/>
    <mergeCell ref="O509:P509"/>
    <mergeCell ref="Q509:R509"/>
    <mergeCell ref="S510:T510"/>
    <mergeCell ref="U510:V510"/>
    <mergeCell ref="O510:P510"/>
    <mergeCell ref="Q510:R510"/>
    <mergeCell ref="S509:T509"/>
    <mergeCell ref="U509:V509"/>
    <mergeCell ref="C514:L514"/>
    <mergeCell ref="M514:N514"/>
    <mergeCell ref="C512:L512"/>
    <mergeCell ref="M512:N512"/>
    <mergeCell ref="C513:L513"/>
    <mergeCell ref="M513:N513"/>
    <mergeCell ref="O515:P515"/>
    <mergeCell ref="Q515:R515"/>
    <mergeCell ref="O514:P514"/>
    <mergeCell ref="Q514:R514"/>
    <mergeCell ref="S515:T515"/>
    <mergeCell ref="O507:P507"/>
    <mergeCell ref="Q507:R507"/>
    <mergeCell ref="S507:T507"/>
    <mergeCell ref="U507:V507"/>
    <mergeCell ref="Q508:R508"/>
    <mergeCell ref="S511:T511"/>
    <mergeCell ref="U511:V511"/>
    <mergeCell ref="S512:T512"/>
    <mergeCell ref="U512:V512"/>
    <mergeCell ref="C510:L510"/>
    <mergeCell ref="M510:N510"/>
    <mergeCell ref="O512:P512"/>
    <mergeCell ref="Q512:R512"/>
    <mergeCell ref="O511:P511"/>
    <mergeCell ref="Q511:R511"/>
    <mergeCell ref="C511:L511"/>
    <mergeCell ref="M511:N511"/>
    <mergeCell ref="C506:L506"/>
    <mergeCell ref="M506:N506"/>
    <mergeCell ref="C505:L505"/>
    <mergeCell ref="M505:N505"/>
    <mergeCell ref="C504:L504"/>
    <mergeCell ref="M504:N504"/>
    <mergeCell ref="Q505:R505"/>
    <mergeCell ref="Q504:R504"/>
    <mergeCell ref="C503:L503"/>
    <mergeCell ref="O501:P501"/>
    <mergeCell ref="M501:N501"/>
    <mergeCell ref="C501:L501"/>
    <mergeCell ref="O499:P499"/>
    <mergeCell ref="O498:P498"/>
    <mergeCell ref="S501:T501"/>
    <mergeCell ref="Q502:R502"/>
    <mergeCell ref="U501:V501"/>
    <mergeCell ref="U498:V498"/>
    <mergeCell ref="S502:T502"/>
    <mergeCell ref="U502:V502"/>
    <mergeCell ref="O508:P508"/>
    <mergeCell ref="O502:P502"/>
    <mergeCell ref="M502:N502"/>
    <mergeCell ref="M503:N503"/>
    <mergeCell ref="O506:P506"/>
    <mergeCell ref="O504:P504"/>
    <mergeCell ref="O505:P505"/>
    <mergeCell ref="O503:P503"/>
    <mergeCell ref="C502:L502"/>
    <mergeCell ref="U503:V503"/>
    <mergeCell ref="Q503:R503"/>
    <mergeCell ref="Q501:R501"/>
    <mergeCell ref="S503:T503"/>
    <mergeCell ref="S493:T493"/>
    <mergeCell ref="Q490:R490"/>
    <mergeCell ref="S491:T491"/>
    <mergeCell ref="Q493:R493"/>
    <mergeCell ref="C493:L493"/>
    <mergeCell ref="O493:P493"/>
    <mergeCell ref="O488:P488"/>
    <mergeCell ref="M489:N489"/>
    <mergeCell ref="Q498:R498"/>
    <mergeCell ref="U500:V500"/>
    <mergeCell ref="U499:V499"/>
    <mergeCell ref="Q500:R500"/>
    <mergeCell ref="Q499:R499"/>
    <mergeCell ref="C498:L498"/>
    <mergeCell ref="M498:N498"/>
    <mergeCell ref="S500:T500"/>
    <mergeCell ref="C500:L500"/>
    <mergeCell ref="M500:N500"/>
    <mergeCell ref="O500:P500"/>
    <mergeCell ref="C499:L499"/>
    <mergeCell ref="M499:N499"/>
    <mergeCell ref="S492:T492"/>
    <mergeCell ref="Q491:R491"/>
    <mergeCell ref="Q492:R492"/>
    <mergeCell ref="M490:N490"/>
    <mergeCell ref="O490:P490"/>
    <mergeCell ref="Q489:R489"/>
    <mergeCell ref="C489:L489"/>
    <mergeCell ref="S489:T489"/>
    <mergeCell ref="O489:P489"/>
    <mergeCell ref="Q494:R494"/>
    <mergeCell ref="C497:L497"/>
    <mergeCell ref="M497:N497"/>
    <mergeCell ref="O494:P494"/>
    <mergeCell ref="Q495:R495"/>
    <mergeCell ref="Q496:R496"/>
    <mergeCell ref="O496:P496"/>
    <mergeCell ref="O495:P495"/>
    <mergeCell ref="O497:P497"/>
    <mergeCell ref="Q497:R497"/>
    <mergeCell ref="M496:N496"/>
    <mergeCell ref="C495:L495"/>
    <mergeCell ref="C494:L494"/>
    <mergeCell ref="M494:N494"/>
    <mergeCell ref="M495:N495"/>
    <mergeCell ref="C490:L490"/>
    <mergeCell ref="Q488:R488"/>
    <mergeCell ref="M493:N493"/>
    <mergeCell ref="C496:L496"/>
    <mergeCell ref="O491:P491"/>
    <mergeCell ref="C492:L492"/>
    <mergeCell ref="M492:N492"/>
    <mergeCell ref="C491:L491"/>
    <mergeCell ref="M491:N491"/>
    <mergeCell ref="O492:P492"/>
    <mergeCell ref="U484:V484"/>
    <mergeCell ref="U485:V485"/>
    <mergeCell ref="S485:T485"/>
    <mergeCell ref="U479:V479"/>
    <mergeCell ref="U480:V480"/>
    <mergeCell ref="U481:V481"/>
    <mergeCell ref="U482:V482"/>
    <mergeCell ref="Q479:R479"/>
    <mergeCell ref="O475:P475"/>
    <mergeCell ref="S476:T476"/>
    <mergeCell ref="S475:T475"/>
    <mergeCell ref="M479:N479"/>
    <mergeCell ref="Q478:R478"/>
    <mergeCell ref="Q476:R476"/>
    <mergeCell ref="Q477:R477"/>
    <mergeCell ref="C487:L487"/>
    <mergeCell ref="C488:L488"/>
    <mergeCell ref="M488:N488"/>
    <mergeCell ref="M487:N487"/>
    <mergeCell ref="S479:T479"/>
    <mergeCell ref="S480:T480"/>
    <mergeCell ref="Q481:R481"/>
    <mergeCell ref="S481:T481"/>
    <mergeCell ref="S477:T477"/>
    <mergeCell ref="Q482:R482"/>
    <mergeCell ref="C486:L486"/>
    <mergeCell ref="M486:N486"/>
    <mergeCell ref="O487:P487"/>
    <mergeCell ref="O486:P486"/>
    <mergeCell ref="Q487:R487"/>
    <mergeCell ref="Q486:R486"/>
    <mergeCell ref="S488:T488"/>
    <mergeCell ref="M476:N476"/>
    <mergeCell ref="C475:L475"/>
    <mergeCell ref="M475:N475"/>
    <mergeCell ref="C474:L474"/>
    <mergeCell ref="O479:P479"/>
    <mergeCell ref="O476:P476"/>
    <mergeCell ref="Q475:R475"/>
    <mergeCell ref="C479:L479"/>
    <mergeCell ref="U476:V476"/>
    <mergeCell ref="U477:V477"/>
    <mergeCell ref="S482:T482"/>
    <mergeCell ref="U478:V478"/>
    <mergeCell ref="C477:L477"/>
    <mergeCell ref="M477:N477"/>
    <mergeCell ref="O477:P477"/>
    <mergeCell ref="C478:L478"/>
    <mergeCell ref="O478:P478"/>
    <mergeCell ref="M478:N478"/>
    <mergeCell ref="O472:P472"/>
    <mergeCell ref="Q472:R472"/>
    <mergeCell ref="O470:P470"/>
    <mergeCell ref="S471:T471"/>
    <mergeCell ref="C472:L472"/>
    <mergeCell ref="S474:T474"/>
    <mergeCell ref="S478:T478"/>
    <mergeCell ref="U474:V474"/>
    <mergeCell ref="Q483:R483"/>
    <mergeCell ref="Q480:R480"/>
    <mergeCell ref="O482:P482"/>
    <mergeCell ref="Q485:R485"/>
    <mergeCell ref="S484:T484"/>
    <mergeCell ref="Q484:R484"/>
    <mergeCell ref="C481:L481"/>
    <mergeCell ref="M480:N480"/>
    <mergeCell ref="O481:P481"/>
    <mergeCell ref="C482:L482"/>
    <mergeCell ref="O480:P480"/>
    <mergeCell ref="M481:N481"/>
    <mergeCell ref="C480:L480"/>
    <mergeCell ref="M482:N482"/>
    <mergeCell ref="O484:P484"/>
    <mergeCell ref="M485:N485"/>
    <mergeCell ref="C485:L485"/>
    <mergeCell ref="C483:L483"/>
    <mergeCell ref="C484:L484"/>
    <mergeCell ref="M484:N484"/>
    <mergeCell ref="O483:P483"/>
    <mergeCell ref="O485:P485"/>
    <mergeCell ref="M483:N483"/>
    <mergeCell ref="C476:L476"/>
    <mergeCell ref="C459:L459"/>
    <mergeCell ref="C462:L462"/>
    <mergeCell ref="S461:T461"/>
    <mergeCell ref="M473:N473"/>
    <mergeCell ref="C467:L467"/>
    <mergeCell ref="M466:N466"/>
    <mergeCell ref="C466:L466"/>
    <mergeCell ref="U473:V473"/>
    <mergeCell ref="S473:T473"/>
    <mergeCell ref="U475:V475"/>
    <mergeCell ref="Q470:R470"/>
    <mergeCell ref="C473:L473"/>
    <mergeCell ref="C460:L460"/>
    <mergeCell ref="M462:N462"/>
    <mergeCell ref="O462:P462"/>
    <mergeCell ref="Q461:R461"/>
    <mergeCell ref="U472:V472"/>
    <mergeCell ref="U469:V469"/>
    <mergeCell ref="U471:V471"/>
    <mergeCell ref="M472:N472"/>
    <mergeCell ref="Q468:R468"/>
    <mergeCell ref="M469:N469"/>
    <mergeCell ref="O468:P468"/>
    <mergeCell ref="S462:T462"/>
    <mergeCell ref="Q460:R460"/>
    <mergeCell ref="O463:P463"/>
    <mergeCell ref="M470:N470"/>
    <mergeCell ref="Q462:R462"/>
    <mergeCell ref="C463:L463"/>
    <mergeCell ref="M463:N463"/>
    <mergeCell ref="U468:V468"/>
    <mergeCell ref="Q469:R469"/>
    <mergeCell ref="U466:V466"/>
    <mergeCell ref="M467:N467"/>
    <mergeCell ref="S464:T464"/>
    <mergeCell ref="S470:T470"/>
    <mergeCell ref="C470:L470"/>
    <mergeCell ref="C471:L471"/>
    <mergeCell ref="M471:N471"/>
    <mergeCell ref="O471:P471"/>
    <mergeCell ref="C461:L461"/>
    <mergeCell ref="M464:N464"/>
    <mergeCell ref="C464:L464"/>
    <mergeCell ref="S465:T465"/>
    <mergeCell ref="O464:P464"/>
    <mergeCell ref="Q463:R463"/>
    <mergeCell ref="O461:P461"/>
    <mergeCell ref="M461:N461"/>
    <mergeCell ref="M465:N465"/>
    <mergeCell ref="C465:L465"/>
    <mergeCell ref="U470:V470"/>
    <mergeCell ref="C469:L469"/>
    <mergeCell ref="M468:N468"/>
    <mergeCell ref="C468:L468"/>
    <mergeCell ref="S468:T468"/>
    <mergeCell ref="O469:P469"/>
    <mergeCell ref="S469:T469"/>
    <mergeCell ref="S467:T467"/>
    <mergeCell ref="O466:P466"/>
    <mergeCell ref="M446:N446"/>
    <mergeCell ref="M449:N449"/>
    <mergeCell ref="M450:N450"/>
    <mergeCell ref="M454:N454"/>
    <mergeCell ref="M455:N455"/>
    <mergeCell ref="C455:L455"/>
    <mergeCell ref="C448:L448"/>
    <mergeCell ref="M448:N448"/>
    <mergeCell ref="C449:L449"/>
    <mergeCell ref="C452:L452"/>
    <mergeCell ref="C456:L456"/>
    <mergeCell ref="O458:P458"/>
    <mergeCell ref="O456:P456"/>
    <mergeCell ref="C458:L458"/>
    <mergeCell ref="O457:P457"/>
    <mergeCell ref="M456:N456"/>
    <mergeCell ref="M458:N458"/>
    <mergeCell ref="C454:L454"/>
    <mergeCell ref="C457:L457"/>
    <mergeCell ref="M447:N447"/>
    <mergeCell ref="O455:P455"/>
    <mergeCell ref="M457:N457"/>
    <mergeCell ref="S456:T456"/>
    <mergeCell ref="Q456:R456"/>
    <mergeCell ref="S446:T446"/>
    <mergeCell ref="S451:T451"/>
    <mergeCell ref="S450:T450"/>
    <mergeCell ref="U454:V454"/>
    <mergeCell ref="Q455:R455"/>
    <mergeCell ref="S448:T448"/>
    <mergeCell ref="U455:V455"/>
    <mergeCell ref="S455:T455"/>
    <mergeCell ref="U453:V453"/>
    <mergeCell ref="S452:T452"/>
    <mergeCell ref="Q446:R446"/>
    <mergeCell ref="O450:P450"/>
    <mergeCell ref="Q451:R451"/>
    <mergeCell ref="U446:V446"/>
    <mergeCell ref="O448:P448"/>
    <mergeCell ref="O446:P446"/>
    <mergeCell ref="O447:P447"/>
    <mergeCell ref="O449:P449"/>
    <mergeCell ref="U451:V451"/>
    <mergeCell ref="U448:V448"/>
    <mergeCell ref="U447:V447"/>
    <mergeCell ref="S453:T453"/>
    <mergeCell ref="U452:V452"/>
    <mergeCell ref="Q450:R450"/>
    <mergeCell ref="Q447:R447"/>
    <mergeCell ref="U456:V456"/>
    <mergeCell ref="S437:T437"/>
    <mergeCell ref="U443:V443"/>
    <mergeCell ref="S443:T443"/>
    <mergeCell ref="Q445:R445"/>
    <mergeCell ref="S445:T445"/>
    <mergeCell ref="U441:V441"/>
    <mergeCell ref="Q441:R441"/>
    <mergeCell ref="S441:T441"/>
    <mergeCell ref="Q442:R442"/>
    <mergeCell ref="U442:V442"/>
    <mergeCell ref="S442:T442"/>
    <mergeCell ref="S440:T440"/>
    <mergeCell ref="Q440:R440"/>
    <mergeCell ref="S438:T438"/>
    <mergeCell ref="Q438:R438"/>
    <mergeCell ref="U450:V450"/>
    <mergeCell ref="O454:P454"/>
    <mergeCell ref="S454:T454"/>
    <mergeCell ref="Q454:R454"/>
    <mergeCell ref="C435:L435"/>
    <mergeCell ref="O441:P441"/>
    <mergeCell ref="M436:N436"/>
    <mergeCell ref="O436:P436"/>
    <mergeCell ref="M441:N441"/>
    <mergeCell ref="M438:N438"/>
    <mergeCell ref="O439:P439"/>
    <mergeCell ref="C441:L441"/>
    <mergeCell ref="O437:P437"/>
    <mergeCell ref="C433:L433"/>
    <mergeCell ref="C434:L434"/>
    <mergeCell ref="C436:L436"/>
    <mergeCell ref="C437:L437"/>
    <mergeCell ref="M433:N433"/>
    <mergeCell ref="C420:L420"/>
    <mergeCell ref="C423:L423"/>
    <mergeCell ref="C422:L422"/>
    <mergeCell ref="C426:L426"/>
    <mergeCell ref="C427:L427"/>
    <mergeCell ref="C424:L424"/>
    <mergeCell ref="C421:L421"/>
    <mergeCell ref="O422:P422"/>
    <mergeCell ref="M437:N437"/>
    <mergeCell ref="M435:N435"/>
    <mergeCell ref="O438:P438"/>
    <mergeCell ref="M440:N440"/>
    <mergeCell ref="Q420:R420"/>
    <mergeCell ref="O418:P418"/>
    <mergeCell ref="Q436:R436"/>
    <mergeCell ref="Q434:R434"/>
    <mergeCell ref="Q435:R435"/>
    <mergeCell ref="S433:T433"/>
    <mergeCell ref="U438:V438"/>
    <mergeCell ref="U439:V439"/>
    <mergeCell ref="S439:T439"/>
    <mergeCell ref="M429:N429"/>
    <mergeCell ref="M428:N428"/>
    <mergeCell ref="C428:L428"/>
    <mergeCell ref="C430:L430"/>
    <mergeCell ref="C429:L429"/>
    <mergeCell ref="M434:N434"/>
    <mergeCell ref="O434:P434"/>
    <mergeCell ref="O435:P435"/>
    <mergeCell ref="C431:L431"/>
    <mergeCell ref="C432:L432"/>
    <mergeCell ref="M431:N431"/>
    <mergeCell ref="C425:L425"/>
    <mergeCell ref="M427:N427"/>
    <mergeCell ref="O433:P433"/>
    <mergeCell ref="C419:L419"/>
    <mergeCell ref="U423:V423"/>
    <mergeCell ref="U422:V422"/>
    <mergeCell ref="U418:V418"/>
    <mergeCell ref="U421:V421"/>
    <mergeCell ref="S418:T418"/>
    <mergeCell ref="Q421:R421"/>
    <mergeCell ref="O424:P424"/>
    <mergeCell ref="O423:P423"/>
    <mergeCell ref="C415:L415"/>
    <mergeCell ref="C413:L413"/>
    <mergeCell ref="C411:L411"/>
    <mergeCell ref="C373:L373"/>
    <mergeCell ref="C375:L375"/>
    <mergeCell ref="C374:L374"/>
    <mergeCell ref="Q416:R416"/>
    <mergeCell ref="Q417:R417"/>
    <mergeCell ref="Q419:R419"/>
    <mergeCell ref="Q418:R418"/>
    <mergeCell ref="M376:N376"/>
    <mergeCell ref="M375:N375"/>
    <mergeCell ref="M382:N382"/>
    <mergeCell ref="O383:P383"/>
    <mergeCell ref="O375:P375"/>
    <mergeCell ref="O384:P384"/>
    <mergeCell ref="O382:P382"/>
    <mergeCell ref="O377:P377"/>
    <mergeCell ref="C381:L381"/>
    <mergeCell ref="C379:L379"/>
    <mergeCell ref="C380:L380"/>
    <mergeCell ref="M383:N383"/>
    <mergeCell ref="C400:L400"/>
    <mergeCell ref="C387:L387"/>
    <mergeCell ref="C378:L378"/>
    <mergeCell ref="C383:L383"/>
    <mergeCell ref="C384:L384"/>
    <mergeCell ref="C377:L377"/>
    <mergeCell ref="C409:L409"/>
    <mergeCell ref="C418:L418"/>
    <mergeCell ref="C403:L403"/>
    <mergeCell ref="C392:L392"/>
    <mergeCell ref="C391:L391"/>
    <mergeCell ref="C393:L393"/>
    <mergeCell ref="C395:L395"/>
    <mergeCell ref="C394:L394"/>
    <mergeCell ref="C397:L397"/>
    <mergeCell ref="C399:L399"/>
    <mergeCell ref="C396:L396"/>
    <mergeCell ref="C398:L398"/>
    <mergeCell ref="C390:L390"/>
    <mergeCell ref="C388:L388"/>
    <mergeCell ref="C382:L382"/>
    <mergeCell ref="C385:L385"/>
    <mergeCell ref="C386:L386"/>
    <mergeCell ref="C389:L389"/>
    <mergeCell ref="C401:L401"/>
    <mergeCell ref="C414:L414"/>
    <mergeCell ref="C408:L408"/>
    <mergeCell ref="C416:L416"/>
    <mergeCell ref="C412:L412"/>
    <mergeCell ref="C410:L410"/>
    <mergeCell ref="C402:L402"/>
    <mergeCell ref="C404:L404"/>
    <mergeCell ref="C405:L405"/>
    <mergeCell ref="C406:L406"/>
    <mergeCell ref="C407:L407"/>
    <mergeCell ref="C417:L417"/>
    <mergeCell ref="C360:L360"/>
    <mergeCell ref="C358:L358"/>
    <mergeCell ref="M362:N362"/>
    <mergeCell ref="M363:N363"/>
    <mergeCell ref="M354:N354"/>
    <mergeCell ref="M355:N355"/>
    <mergeCell ref="M357:N357"/>
    <mergeCell ref="M359:N359"/>
    <mergeCell ref="M365:N365"/>
    <mergeCell ref="M364:N364"/>
    <mergeCell ref="C355:L355"/>
    <mergeCell ref="C354:L354"/>
    <mergeCell ref="M361:N361"/>
    <mergeCell ref="M360:N360"/>
    <mergeCell ref="C359:L359"/>
    <mergeCell ref="M358:N358"/>
    <mergeCell ref="C357:L357"/>
    <mergeCell ref="C361:L361"/>
    <mergeCell ref="C356:L356"/>
    <mergeCell ref="M356:N356"/>
    <mergeCell ref="C362:L362"/>
    <mergeCell ref="C363:L363"/>
    <mergeCell ref="M370:N370"/>
    <mergeCell ref="M369:N369"/>
    <mergeCell ref="C369:L369"/>
    <mergeCell ref="M371:N371"/>
    <mergeCell ref="C364:L364"/>
    <mergeCell ref="C366:L366"/>
    <mergeCell ref="C365:L365"/>
    <mergeCell ref="M366:N366"/>
    <mergeCell ref="M368:N368"/>
    <mergeCell ref="M367:N367"/>
    <mergeCell ref="O372:P372"/>
    <mergeCell ref="O374:P374"/>
    <mergeCell ref="M372:N372"/>
    <mergeCell ref="O371:P371"/>
    <mergeCell ref="M373:N373"/>
    <mergeCell ref="M374:N374"/>
    <mergeCell ref="O376:P376"/>
    <mergeCell ref="O373:P373"/>
    <mergeCell ref="C368:L368"/>
    <mergeCell ref="C376:L376"/>
    <mergeCell ref="C371:L371"/>
    <mergeCell ref="C370:L370"/>
    <mergeCell ref="C367:L367"/>
    <mergeCell ref="C372:L372"/>
    <mergeCell ref="M385:N385"/>
    <mergeCell ref="O385:P385"/>
    <mergeCell ref="M393:N393"/>
    <mergeCell ref="M391:N391"/>
    <mergeCell ref="O389:P389"/>
    <mergeCell ref="M386:N386"/>
    <mergeCell ref="O399:P399"/>
    <mergeCell ref="O398:P398"/>
    <mergeCell ref="M403:N403"/>
    <mergeCell ref="M401:N401"/>
    <mergeCell ref="M404:N404"/>
    <mergeCell ref="M400:N400"/>
    <mergeCell ref="O400:P400"/>
    <mergeCell ref="O380:P380"/>
    <mergeCell ref="M381:N381"/>
    <mergeCell ref="M377:N377"/>
    <mergeCell ref="O378:P378"/>
    <mergeCell ref="M380:N380"/>
    <mergeCell ref="O379:P379"/>
    <mergeCell ref="M378:N378"/>
    <mergeCell ref="M379:N379"/>
    <mergeCell ref="M384:N384"/>
    <mergeCell ref="O381:P381"/>
    <mergeCell ref="M396:N396"/>
    <mergeCell ref="M390:N390"/>
    <mergeCell ref="M399:N399"/>
    <mergeCell ref="M392:N392"/>
    <mergeCell ref="M402:N402"/>
    <mergeCell ref="M398:N398"/>
    <mergeCell ref="M387:N387"/>
    <mergeCell ref="M394:N394"/>
    <mergeCell ref="M388:N388"/>
    <mergeCell ref="M389:N389"/>
    <mergeCell ref="M409:N409"/>
    <mergeCell ref="M410:N410"/>
    <mergeCell ref="M416:N416"/>
    <mergeCell ref="M421:N421"/>
    <mergeCell ref="M418:N418"/>
    <mergeCell ref="M420:N420"/>
    <mergeCell ref="M419:N419"/>
    <mergeCell ref="M417:N417"/>
    <mergeCell ref="M426:N426"/>
    <mergeCell ref="M424:N424"/>
    <mergeCell ref="M425:N425"/>
    <mergeCell ref="M395:N395"/>
    <mergeCell ref="M397:N397"/>
    <mergeCell ref="M408:N408"/>
    <mergeCell ref="M413:N413"/>
    <mergeCell ref="M411:N411"/>
    <mergeCell ref="M415:N415"/>
    <mergeCell ref="M414:N414"/>
    <mergeCell ref="M423:N423"/>
    <mergeCell ref="M422:N422"/>
    <mergeCell ref="M412:N412"/>
    <mergeCell ref="M406:N406"/>
    <mergeCell ref="M407:N407"/>
    <mergeCell ref="M405:N405"/>
    <mergeCell ref="O417:P417"/>
    <mergeCell ref="O420:P420"/>
    <mergeCell ref="O415:P415"/>
    <mergeCell ref="O419:P419"/>
    <mergeCell ref="Q388:R388"/>
    <mergeCell ref="Q389:R389"/>
    <mergeCell ref="Q391:R391"/>
    <mergeCell ref="Q390:R390"/>
    <mergeCell ref="Q394:R394"/>
    <mergeCell ref="Q392:R392"/>
    <mergeCell ref="Q393:R393"/>
    <mergeCell ref="O416:P416"/>
    <mergeCell ref="O421:P421"/>
    <mergeCell ref="Q411:R411"/>
    <mergeCell ref="Q412:R412"/>
    <mergeCell ref="Q408:R408"/>
    <mergeCell ref="O413:P413"/>
    <mergeCell ref="Q410:R410"/>
    <mergeCell ref="Q413:R413"/>
    <mergeCell ref="O401:P401"/>
    <mergeCell ref="O402:P402"/>
    <mergeCell ref="O405:P405"/>
    <mergeCell ref="O412:P412"/>
    <mergeCell ref="O411:P411"/>
    <mergeCell ref="O410:P410"/>
    <mergeCell ref="O408:P408"/>
    <mergeCell ref="O407:P407"/>
    <mergeCell ref="O409:P409"/>
    <mergeCell ref="O404:P404"/>
    <mergeCell ref="Q404:R404"/>
    <mergeCell ref="Q415:R415"/>
    <mergeCell ref="Q414:R414"/>
    <mergeCell ref="O414:P414"/>
    <mergeCell ref="O395:P395"/>
    <mergeCell ref="O397:P397"/>
    <mergeCell ref="O396:P396"/>
    <mergeCell ref="Q409:R409"/>
    <mergeCell ref="O406:P406"/>
    <mergeCell ref="S394:T394"/>
    <mergeCell ref="S395:T395"/>
    <mergeCell ref="Q400:R400"/>
    <mergeCell ref="Q399:R399"/>
    <mergeCell ref="S398:T398"/>
    <mergeCell ref="S397:T397"/>
    <mergeCell ref="S400:T400"/>
    <mergeCell ref="S399:T399"/>
    <mergeCell ref="O403:P403"/>
    <mergeCell ref="Q398:R398"/>
    <mergeCell ref="Q396:R396"/>
    <mergeCell ref="Q397:R397"/>
    <mergeCell ref="Q405:R405"/>
    <mergeCell ref="Q401:R401"/>
    <mergeCell ref="Q407:R407"/>
    <mergeCell ref="Q402:R402"/>
    <mergeCell ref="Q403:R403"/>
    <mergeCell ref="Q406:R406"/>
    <mergeCell ref="Q395:R395"/>
    <mergeCell ref="S402:T402"/>
    <mergeCell ref="S401:T401"/>
    <mergeCell ref="S411:T411"/>
    <mergeCell ref="S410:T410"/>
    <mergeCell ref="O390:P390"/>
    <mergeCell ref="O387:P387"/>
    <mergeCell ref="Q387:R387"/>
    <mergeCell ref="Q386:R386"/>
    <mergeCell ref="O388:P388"/>
    <mergeCell ref="O392:P392"/>
    <mergeCell ref="O393:P393"/>
    <mergeCell ref="O391:P391"/>
    <mergeCell ref="O394:P394"/>
    <mergeCell ref="S388:T388"/>
    <mergeCell ref="S389:T389"/>
    <mergeCell ref="S367:T367"/>
    <mergeCell ref="S368:T368"/>
    <mergeCell ref="Q379:R379"/>
    <mergeCell ref="Q383:R383"/>
    <mergeCell ref="Q381:R381"/>
    <mergeCell ref="Q382:R382"/>
    <mergeCell ref="Q371:R371"/>
    <mergeCell ref="S371:T371"/>
    <mergeCell ref="S370:T370"/>
    <mergeCell ref="S381:T381"/>
    <mergeCell ref="O386:P386"/>
    <mergeCell ref="S374:T374"/>
    <mergeCell ref="S373:T373"/>
    <mergeCell ref="S372:T372"/>
    <mergeCell ref="Q372:R372"/>
    <mergeCell ref="Q375:R375"/>
    <mergeCell ref="S375:T375"/>
    <mergeCell ref="Q374:R374"/>
    <mergeCell ref="Q385:R385"/>
    <mergeCell ref="Q376:R376"/>
    <mergeCell ref="Q384:R384"/>
    <mergeCell ref="Q373:R373"/>
    <mergeCell ref="S380:T380"/>
    <mergeCell ref="S377:T377"/>
    <mergeCell ref="S378:T378"/>
    <mergeCell ref="S379:T379"/>
    <mergeCell ref="Q378:R378"/>
    <mergeCell ref="S376:T376"/>
    <mergeCell ref="Q369:R369"/>
    <mergeCell ref="O368:P368"/>
    <mergeCell ref="O369:P369"/>
    <mergeCell ref="Q370:R370"/>
    <mergeCell ref="Q368:R368"/>
    <mergeCell ref="O370:P370"/>
    <mergeCell ref="O366:P366"/>
    <mergeCell ref="Q362:R362"/>
    <mergeCell ref="O361:P361"/>
    <mergeCell ref="O367:P367"/>
    <mergeCell ref="Q366:R366"/>
    <mergeCell ref="O364:P364"/>
    <mergeCell ref="O365:P365"/>
    <mergeCell ref="Q365:R365"/>
    <mergeCell ref="Q367:R367"/>
    <mergeCell ref="Q364:R364"/>
    <mergeCell ref="Q377:R377"/>
    <mergeCell ref="Q380:R380"/>
    <mergeCell ref="O360:P360"/>
    <mergeCell ref="O358:P358"/>
    <mergeCell ref="Q363:R363"/>
    <mergeCell ref="O363:P363"/>
    <mergeCell ref="O362:P362"/>
    <mergeCell ref="O359:P359"/>
    <mergeCell ref="Q360:R360"/>
    <mergeCell ref="Q361:R361"/>
    <mergeCell ref="Q359:R359"/>
    <mergeCell ref="S369:T369"/>
    <mergeCell ref="Q345:R345"/>
    <mergeCell ref="Q349:R349"/>
    <mergeCell ref="S352:T352"/>
    <mergeCell ref="S353:T353"/>
    <mergeCell ref="S365:T365"/>
    <mergeCell ref="S366:T366"/>
    <mergeCell ref="Q348:R348"/>
    <mergeCell ref="S358:T358"/>
    <mergeCell ref="Q358:R358"/>
    <mergeCell ref="O356:P356"/>
    <mergeCell ref="Q354:R354"/>
    <mergeCell ref="Q356:R356"/>
    <mergeCell ref="O355:P355"/>
    <mergeCell ref="Q355:R355"/>
    <mergeCell ref="Q357:R357"/>
    <mergeCell ref="O354:P354"/>
    <mergeCell ref="O357:P357"/>
    <mergeCell ref="U337:V337"/>
    <mergeCell ref="S336:T336"/>
    <mergeCell ref="S334:T334"/>
    <mergeCell ref="Q337:R337"/>
    <mergeCell ref="Q336:R336"/>
    <mergeCell ref="U336:V336"/>
    <mergeCell ref="Q334:R334"/>
    <mergeCell ref="Q335:R335"/>
    <mergeCell ref="O336:P336"/>
    <mergeCell ref="O338:P338"/>
    <mergeCell ref="S343:T343"/>
    <mergeCell ref="O349:P349"/>
    <mergeCell ref="Q347:R347"/>
    <mergeCell ref="O348:P348"/>
    <mergeCell ref="S342:T342"/>
    <mergeCell ref="O343:P343"/>
    <mergeCell ref="U345:V345"/>
    <mergeCell ref="U349:V349"/>
    <mergeCell ref="S349:T349"/>
    <mergeCell ref="U348:V348"/>
    <mergeCell ref="S347:T347"/>
    <mergeCell ref="U347:V347"/>
    <mergeCell ref="U346:V346"/>
    <mergeCell ref="S348:T348"/>
    <mergeCell ref="S346:T346"/>
    <mergeCell ref="S345:T345"/>
    <mergeCell ref="S340:T340"/>
    <mergeCell ref="O344:P344"/>
    <mergeCell ref="S344:T344"/>
    <mergeCell ref="Q341:R341"/>
    <mergeCell ref="U341:V341"/>
    <mergeCell ref="O341:P341"/>
    <mergeCell ref="Q339:R339"/>
    <mergeCell ref="O342:P342"/>
    <mergeCell ref="O340:P340"/>
    <mergeCell ref="Q342:R342"/>
    <mergeCell ref="Q343:R343"/>
    <mergeCell ref="Q344:R344"/>
    <mergeCell ref="U342:V342"/>
    <mergeCell ref="S341:T341"/>
    <mergeCell ref="U344:V344"/>
    <mergeCell ref="U343:V343"/>
    <mergeCell ref="Q332:R332"/>
    <mergeCell ref="U332:V332"/>
    <mergeCell ref="U333:V333"/>
    <mergeCell ref="U330:V330"/>
    <mergeCell ref="S328:T328"/>
    <mergeCell ref="S333:T333"/>
    <mergeCell ref="U328:V328"/>
    <mergeCell ref="U329:V329"/>
    <mergeCell ref="U331:V331"/>
    <mergeCell ref="Q330:R330"/>
    <mergeCell ref="S330:T330"/>
    <mergeCell ref="S332:T332"/>
    <mergeCell ref="S331:T331"/>
    <mergeCell ref="Q331:R331"/>
    <mergeCell ref="Q333:R333"/>
    <mergeCell ref="Q329:R329"/>
    <mergeCell ref="Q340:R340"/>
    <mergeCell ref="U340:V340"/>
    <mergeCell ref="S338:T338"/>
    <mergeCell ref="U339:V339"/>
    <mergeCell ref="O335:P335"/>
    <mergeCell ref="S339:T339"/>
    <mergeCell ref="Q325:R325"/>
    <mergeCell ref="U326:V326"/>
    <mergeCell ref="Q326:R326"/>
    <mergeCell ref="Q328:R328"/>
    <mergeCell ref="S329:T329"/>
    <mergeCell ref="U325:V325"/>
    <mergeCell ref="S325:T325"/>
    <mergeCell ref="U327:V327"/>
    <mergeCell ref="S327:T327"/>
    <mergeCell ref="O320:P320"/>
    <mergeCell ref="U321:V321"/>
    <mergeCell ref="S319:T319"/>
    <mergeCell ref="U319:V319"/>
    <mergeCell ref="S326:T326"/>
    <mergeCell ref="S321:T321"/>
    <mergeCell ref="U323:V323"/>
    <mergeCell ref="U324:V324"/>
    <mergeCell ref="U322:V322"/>
    <mergeCell ref="O325:P325"/>
    <mergeCell ref="Q327:R327"/>
    <mergeCell ref="Q324:R324"/>
    <mergeCell ref="Q323:R323"/>
    <mergeCell ref="S323:T323"/>
    <mergeCell ref="S324:T324"/>
    <mergeCell ref="O339:P339"/>
    <mergeCell ref="U335:V335"/>
    <mergeCell ref="S335:T335"/>
    <mergeCell ref="U334:V334"/>
    <mergeCell ref="Q338:R338"/>
    <mergeCell ref="U338:V338"/>
    <mergeCell ref="S337:T337"/>
    <mergeCell ref="O318:P318"/>
    <mergeCell ref="S318:T318"/>
    <mergeCell ref="S320:T320"/>
    <mergeCell ref="Q321:R321"/>
    <mergeCell ref="U316:V316"/>
    <mergeCell ref="U318:V318"/>
    <mergeCell ref="U317:V317"/>
    <mergeCell ref="U320:V320"/>
    <mergeCell ref="M318:N318"/>
    <mergeCell ref="O314:P314"/>
    <mergeCell ref="M314:N314"/>
    <mergeCell ref="Q316:R316"/>
    <mergeCell ref="M316:N316"/>
    <mergeCell ref="Q318:R318"/>
    <mergeCell ref="M320:N320"/>
    <mergeCell ref="M319:N319"/>
    <mergeCell ref="S322:T322"/>
    <mergeCell ref="Q322:R322"/>
    <mergeCell ref="M321:N321"/>
    <mergeCell ref="O321:P321"/>
    <mergeCell ref="Q320:R320"/>
    <mergeCell ref="M322:N322"/>
    <mergeCell ref="Q319:R319"/>
    <mergeCell ref="O319:P319"/>
    <mergeCell ref="O322:P322"/>
    <mergeCell ref="O313:P313"/>
    <mergeCell ref="O311:P311"/>
    <mergeCell ref="O312:P312"/>
    <mergeCell ref="M313:N313"/>
    <mergeCell ref="S317:T317"/>
    <mergeCell ref="O317:P317"/>
    <mergeCell ref="Q317:R317"/>
    <mergeCell ref="O316:P316"/>
    <mergeCell ref="S315:T315"/>
    <mergeCell ref="Q315:R315"/>
    <mergeCell ref="O315:P315"/>
    <mergeCell ref="S316:T316"/>
    <mergeCell ref="U315:V315"/>
    <mergeCell ref="U307:V307"/>
    <mergeCell ref="U312:V312"/>
    <mergeCell ref="U311:V311"/>
    <mergeCell ref="U309:V309"/>
    <mergeCell ref="U308:V308"/>
    <mergeCell ref="U310:V310"/>
    <mergeCell ref="U314:V314"/>
    <mergeCell ref="U313:V313"/>
    <mergeCell ref="S310:T310"/>
    <mergeCell ref="Q310:R310"/>
    <mergeCell ref="Q314:R314"/>
    <mergeCell ref="S312:T312"/>
    <mergeCell ref="S311:T311"/>
    <mergeCell ref="S313:T313"/>
    <mergeCell ref="Q313:R313"/>
    <mergeCell ref="Q311:R311"/>
    <mergeCell ref="S314:T314"/>
    <mergeCell ref="M315:N315"/>
    <mergeCell ref="M317:N317"/>
    <mergeCell ref="Q312:R312"/>
    <mergeCell ref="Q307:R307"/>
    <mergeCell ref="S307:T307"/>
    <mergeCell ref="S308:T308"/>
    <mergeCell ref="Q309:R309"/>
    <mergeCell ref="Q308:R308"/>
    <mergeCell ref="S309:T309"/>
    <mergeCell ref="M307:N307"/>
    <mergeCell ref="M310:N310"/>
    <mergeCell ref="O310:P310"/>
    <mergeCell ref="M309:N309"/>
    <mergeCell ref="O309:P309"/>
    <mergeCell ref="O308:P308"/>
    <mergeCell ref="O307:P307"/>
    <mergeCell ref="M308:N308"/>
    <mergeCell ref="M304:N304"/>
    <mergeCell ref="S302:T302"/>
    <mergeCell ref="M311:N311"/>
    <mergeCell ref="M312:N312"/>
    <mergeCell ref="U304:V304"/>
    <mergeCell ref="Q303:R303"/>
    <mergeCell ref="S303:T303"/>
    <mergeCell ref="S304:T304"/>
    <mergeCell ref="O304:P304"/>
    <mergeCell ref="Q304:R304"/>
    <mergeCell ref="M303:N303"/>
    <mergeCell ref="U306:V306"/>
    <mergeCell ref="U305:V305"/>
    <mergeCell ref="M306:N306"/>
    <mergeCell ref="O306:P306"/>
    <mergeCell ref="Q305:R305"/>
    <mergeCell ref="S305:T305"/>
    <mergeCell ref="S306:T306"/>
    <mergeCell ref="Q306:R306"/>
    <mergeCell ref="O305:P305"/>
    <mergeCell ref="M305:N305"/>
    <mergeCell ref="U300:V300"/>
    <mergeCell ref="O302:P302"/>
    <mergeCell ref="O300:P300"/>
    <mergeCell ref="U303:V303"/>
    <mergeCell ref="O303:P303"/>
    <mergeCell ref="S300:T300"/>
    <mergeCell ref="U301:V301"/>
    <mergeCell ref="S301:T301"/>
    <mergeCell ref="U302:V302"/>
    <mergeCell ref="M299:N299"/>
    <mergeCell ref="Q302:R302"/>
    <mergeCell ref="M300:N300"/>
    <mergeCell ref="M301:N301"/>
    <mergeCell ref="O301:P301"/>
    <mergeCell ref="O299:P299"/>
    <mergeCell ref="Q301:R301"/>
    <mergeCell ref="Q300:R300"/>
    <mergeCell ref="M302:N302"/>
    <mergeCell ref="Q299:R299"/>
    <mergeCell ref="U298:V298"/>
    <mergeCell ref="S296:T296"/>
    <mergeCell ref="U296:V296"/>
    <mergeCell ref="S299:T299"/>
    <mergeCell ref="U297:V297"/>
    <mergeCell ref="S298:T298"/>
    <mergeCell ref="S297:T297"/>
    <mergeCell ref="U299:V299"/>
    <mergeCell ref="Q294:R294"/>
    <mergeCell ref="Q295:R295"/>
    <mergeCell ref="O295:P295"/>
    <mergeCell ref="M290:N290"/>
    <mergeCell ref="M293:N293"/>
    <mergeCell ref="O294:P294"/>
    <mergeCell ref="M294:N294"/>
    <mergeCell ref="M291:N291"/>
    <mergeCell ref="M295:N295"/>
    <mergeCell ref="M292:N292"/>
    <mergeCell ref="M298:N298"/>
    <mergeCell ref="O297:P297"/>
    <mergeCell ref="M297:N297"/>
    <mergeCell ref="Q296:R296"/>
    <mergeCell ref="Q298:R298"/>
    <mergeCell ref="Q297:R297"/>
    <mergeCell ref="M296:N296"/>
    <mergeCell ref="O296:P296"/>
    <mergeCell ref="O298:P298"/>
    <mergeCell ref="S294:T294"/>
    <mergeCell ref="U292:V292"/>
    <mergeCell ref="S295:T295"/>
    <mergeCell ref="U295:V295"/>
    <mergeCell ref="U294:V294"/>
    <mergeCell ref="U293:V293"/>
    <mergeCell ref="U291:V291"/>
    <mergeCell ref="U290:V290"/>
    <mergeCell ref="U289:V289"/>
    <mergeCell ref="O293:P293"/>
    <mergeCell ref="S293:T293"/>
    <mergeCell ref="Q293:R293"/>
    <mergeCell ref="S292:T292"/>
    <mergeCell ref="O292:P292"/>
    <mergeCell ref="Q292:R292"/>
    <mergeCell ref="S290:T290"/>
    <mergeCell ref="O291:P291"/>
    <mergeCell ref="O290:P290"/>
    <mergeCell ref="S289:T289"/>
    <mergeCell ref="Q290:R290"/>
    <mergeCell ref="Q291:R291"/>
    <mergeCell ref="S291:T291"/>
    <mergeCell ref="O289:P289"/>
    <mergeCell ref="U287:V287"/>
    <mergeCell ref="Q288:R288"/>
    <mergeCell ref="Q289:R289"/>
    <mergeCell ref="S287:T287"/>
    <mergeCell ref="S288:T288"/>
    <mergeCell ref="Q287:R287"/>
    <mergeCell ref="U288:V288"/>
    <mergeCell ref="M289:N289"/>
    <mergeCell ref="S284:T284"/>
    <mergeCell ref="M287:N287"/>
    <mergeCell ref="O287:P287"/>
    <mergeCell ref="O288:P288"/>
    <mergeCell ref="Q285:R285"/>
    <mergeCell ref="M288:N288"/>
    <mergeCell ref="M284:N284"/>
    <mergeCell ref="M285:N285"/>
    <mergeCell ref="M286:N286"/>
    <mergeCell ref="O283:P283"/>
    <mergeCell ref="M280:N280"/>
    <mergeCell ref="U286:V286"/>
    <mergeCell ref="S285:T285"/>
    <mergeCell ref="O286:P286"/>
    <mergeCell ref="S286:T286"/>
    <mergeCell ref="O285:P285"/>
    <mergeCell ref="Q286:R286"/>
    <mergeCell ref="U285:V285"/>
    <mergeCell ref="O275:P275"/>
    <mergeCell ref="S278:T278"/>
    <mergeCell ref="M275:N275"/>
    <mergeCell ref="Q276:R276"/>
    <mergeCell ref="O278:P278"/>
    <mergeCell ref="S277:T277"/>
    <mergeCell ref="Q277:R277"/>
    <mergeCell ref="M277:N277"/>
    <mergeCell ref="M276:N276"/>
    <mergeCell ref="M278:N278"/>
    <mergeCell ref="O277:P277"/>
    <mergeCell ref="O276:P276"/>
    <mergeCell ref="Q278:R278"/>
    <mergeCell ref="M282:N282"/>
    <mergeCell ref="Q280:R280"/>
    <mergeCell ref="Q281:R281"/>
    <mergeCell ref="M281:N281"/>
    <mergeCell ref="O280:P280"/>
    <mergeCell ref="Q282:R282"/>
    <mergeCell ref="M279:N279"/>
    <mergeCell ref="O279:P279"/>
    <mergeCell ref="U281:V281"/>
    <mergeCell ref="O281:P281"/>
    <mergeCell ref="Q279:R279"/>
    <mergeCell ref="S280:T280"/>
    <mergeCell ref="S281:T281"/>
    <mergeCell ref="U278:V278"/>
    <mergeCell ref="S279:T279"/>
    <mergeCell ref="O284:P284"/>
    <mergeCell ref="O282:P282"/>
    <mergeCell ref="Q284:R284"/>
    <mergeCell ref="U284:V284"/>
    <mergeCell ref="Q283:R283"/>
    <mergeCell ref="S283:T283"/>
    <mergeCell ref="U283:V283"/>
    <mergeCell ref="S282:T282"/>
    <mergeCell ref="U282:V282"/>
    <mergeCell ref="O271:P271"/>
    <mergeCell ref="O272:P272"/>
    <mergeCell ref="U280:V280"/>
    <mergeCell ref="S276:T276"/>
    <mergeCell ref="O274:P274"/>
    <mergeCell ref="O273:P273"/>
    <mergeCell ref="S273:T273"/>
    <mergeCell ref="U273:V273"/>
    <mergeCell ref="U279:V279"/>
    <mergeCell ref="U276:V276"/>
    <mergeCell ref="U277:V277"/>
    <mergeCell ref="Q271:R271"/>
    <mergeCell ref="Q272:R272"/>
    <mergeCell ref="S274:T274"/>
    <mergeCell ref="Q274:R274"/>
    <mergeCell ref="U274:V274"/>
    <mergeCell ref="S275:T275"/>
    <mergeCell ref="Q275:R275"/>
    <mergeCell ref="U275:V275"/>
    <mergeCell ref="U269:V269"/>
    <mergeCell ref="S269:T269"/>
    <mergeCell ref="U272:V272"/>
    <mergeCell ref="U271:V271"/>
    <mergeCell ref="S272:T272"/>
    <mergeCell ref="S270:T270"/>
    <mergeCell ref="S271:T271"/>
    <mergeCell ref="U270:V270"/>
    <mergeCell ref="S268:T268"/>
    <mergeCell ref="U266:V266"/>
    <mergeCell ref="U264:V264"/>
    <mergeCell ref="U268:V268"/>
    <mergeCell ref="U267:V267"/>
    <mergeCell ref="S267:T267"/>
    <mergeCell ref="S265:T265"/>
    <mergeCell ref="S266:T266"/>
    <mergeCell ref="U265:V265"/>
    <mergeCell ref="S264:T264"/>
    <mergeCell ref="S263:T263"/>
    <mergeCell ref="U263:V263"/>
    <mergeCell ref="S262:T262"/>
    <mergeCell ref="S260:T260"/>
    <mergeCell ref="U260:V260"/>
    <mergeCell ref="U259:V259"/>
    <mergeCell ref="S261:T261"/>
    <mergeCell ref="U261:V261"/>
    <mergeCell ref="U262:V262"/>
    <mergeCell ref="S259:T259"/>
    <mergeCell ref="S257:T257"/>
    <mergeCell ref="S258:T258"/>
    <mergeCell ref="U258:V258"/>
    <mergeCell ref="S254:T254"/>
    <mergeCell ref="U257:V257"/>
    <mergeCell ref="S255:T255"/>
    <mergeCell ref="U254:V254"/>
    <mergeCell ref="U256:V256"/>
    <mergeCell ref="S256:T256"/>
    <mergeCell ref="U255:V255"/>
    <mergeCell ref="S253:T253"/>
    <mergeCell ref="U253:V253"/>
    <mergeCell ref="U251:V251"/>
    <mergeCell ref="S251:T251"/>
    <mergeCell ref="U252:V252"/>
    <mergeCell ref="S252:T252"/>
    <mergeCell ref="S250:T250"/>
    <mergeCell ref="S249:T249"/>
    <mergeCell ref="U249:V249"/>
    <mergeCell ref="U250:V250"/>
    <mergeCell ref="U245:V245"/>
    <mergeCell ref="S244:T244"/>
    <mergeCell ref="U244:V244"/>
    <mergeCell ref="S245:T245"/>
    <mergeCell ref="Q228:R228"/>
    <mergeCell ref="U248:V248"/>
    <mergeCell ref="S248:T248"/>
    <mergeCell ref="U247:V247"/>
    <mergeCell ref="S246:T246"/>
    <mergeCell ref="U246:V246"/>
    <mergeCell ref="S247:T247"/>
    <mergeCell ref="S243:T243"/>
    <mergeCell ref="U243:V243"/>
    <mergeCell ref="U238:V238"/>
    <mergeCell ref="S233:T233"/>
    <mergeCell ref="U231:V231"/>
    <mergeCell ref="Q253:R253"/>
    <mergeCell ref="S229:T229"/>
    <mergeCell ref="U228:V228"/>
    <mergeCell ref="S228:T228"/>
    <mergeCell ref="Q227:R227"/>
    <mergeCell ref="S232:T232"/>
    <mergeCell ref="Q230:R230"/>
    <mergeCell ref="Q229:R229"/>
    <mergeCell ref="S227:T227"/>
    <mergeCell ref="Q232:R232"/>
    <mergeCell ref="S231:T231"/>
    <mergeCell ref="S230:T230"/>
    <mergeCell ref="Q231:R231"/>
    <mergeCell ref="U242:V242"/>
    <mergeCell ref="U241:V241"/>
    <mergeCell ref="S242:T242"/>
    <mergeCell ref="U240:V240"/>
    <mergeCell ref="S240:T240"/>
    <mergeCell ref="S241:T241"/>
    <mergeCell ref="U224:V224"/>
    <mergeCell ref="U230:V230"/>
    <mergeCell ref="U233:V233"/>
    <mergeCell ref="U237:V237"/>
    <mergeCell ref="S238:T238"/>
    <mergeCell ref="S239:T239"/>
    <mergeCell ref="U239:V239"/>
    <mergeCell ref="S236:T236"/>
    <mergeCell ref="U236:V236"/>
    <mergeCell ref="S237:T237"/>
    <mergeCell ref="U229:V229"/>
    <mergeCell ref="U227:V227"/>
    <mergeCell ref="S235:T235"/>
    <mergeCell ref="S234:T234"/>
    <mergeCell ref="U235:V235"/>
    <mergeCell ref="U232:V232"/>
    <mergeCell ref="U234:V234"/>
    <mergeCell ref="U225:V225"/>
    <mergeCell ref="S225:T225"/>
    <mergeCell ref="U226:V226"/>
    <mergeCell ref="S226:T226"/>
    <mergeCell ref="S218:T218"/>
    <mergeCell ref="S217:T217"/>
    <mergeCell ref="U221:V221"/>
    <mergeCell ref="S224:T224"/>
    <mergeCell ref="U223:V223"/>
    <mergeCell ref="S223:T223"/>
    <mergeCell ref="S222:T222"/>
    <mergeCell ref="U222:V222"/>
    <mergeCell ref="S221:T221"/>
    <mergeCell ref="U220:V220"/>
    <mergeCell ref="Q222:R222"/>
    <mergeCell ref="Q224:R224"/>
    <mergeCell ref="Q221:R221"/>
    <mergeCell ref="Q225:R225"/>
    <mergeCell ref="Q223:R223"/>
    <mergeCell ref="Q226:R226"/>
    <mergeCell ref="U215:V215"/>
    <mergeCell ref="U213:V213"/>
    <mergeCell ref="S215:T215"/>
    <mergeCell ref="Q218:R218"/>
    <mergeCell ref="Q220:R220"/>
    <mergeCell ref="Q219:R219"/>
    <mergeCell ref="U216:V216"/>
    <mergeCell ref="S216:T216"/>
    <mergeCell ref="U217:V217"/>
    <mergeCell ref="U218:V218"/>
    <mergeCell ref="U208:V208"/>
    <mergeCell ref="U209:V209"/>
    <mergeCell ref="S211:T211"/>
    <mergeCell ref="S213:T213"/>
    <mergeCell ref="S214:T214"/>
    <mergeCell ref="U214:V214"/>
    <mergeCell ref="S212:T212"/>
    <mergeCell ref="U212:V212"/>
    <mergeCell ref="U211:V211"/>
    <mergeCell ref="U210:V210"/>
    <mergeCell ref="S210:T210"/>
    <mergeCell ref="S209:T209"/>
    <mergeCell ref="Q212:R212"/>
    <mergeCell ref="Q217:R217"/>
    <mergeCell ref="S220:T220"/>
    <mergeCell ref="S219:T219"/>
    <mergeCell ref="U219:V219"/>
    <mergeCell ref="Q213:R213"/>
    <mergeCell ref="Q214:R214"/>
    <mergeCell ref="S203:T203"/>
    <mergeCell ref="S204:T204"/>
    <mergeCell ref="U203:V203"/>
    <mergeCell ref="S208:T208"/>
    <mergeCell ref="U206:V206"/>
    <mergeCell ref="S206:T206"/>
    <mergeCell ref="U204:V204"/>
    <mergeCell ref="U205:V205"/>
    <mergeCell ref="S205:T205"/>
    <mergeCell ref="U207:V207"/>
    <mergeCell ref="S207:T207"/>
    <mergeCell ref="Q176:R176"/>
    <mergeCell ref="U197:V197"/>
    <mergeCell ref="S201:T201"/>
    <mergeCell ref="U200:V200"/>
    <mergeCell ref="U201:V201"/>
    <mergeCell ref="S200:T200"/>
    <mergeCell ref="U178:V178"/>
    <mergeCell ref="U179:V179"/>
    <mergeCell ref="S202:T202"/>
    <mergeCell ref="U191:V191"/>
    <mergeCell ref="S199:T199"/>
    <mergeCell ref="S191:T191"/>
    <mergeCell ref="S196:T196"/>
    <mergeCell ref="S194:T194"/>
    <mergeCell ref="U198:V198"/>
    <mergeCell ref="U192:V192"/>
    <mergeCell ref="U199:V199"/>
    <mergeCell ref="U196:V196"/>
    <mergeCell ref="U202:V202"/>
    <mergeCell ref="U183:V183"/>
    <mergeCell ref="U186:V186"/>
    <mergeCell ref="U187:V187"/>
    <mergeCell ref="U184:V184"/>
    <mergeCell ref="U185:V185"/>
    <mergeCell ref="U188:V188"/>
    <mergeCell ref="U193:V193"/>
    <mergeCell ref="U190:V190"/>
    <mergeCell ref="U189:V189"/>
    <mergeCell ref="Q177:R177"/>
    <mergeCell ref="U181:V181"/>
    <mergeCell ref="S181:T181"/>
    <mergeCell ref="U182:V182"/>
    <mergeCell ref="S180:T180"/>
    <mergeCell ref="S179:T179"/>
    <mergeCell ref="U180:V180"/>
    <mergeCell ref="S182:T182"/>
    <mergeCell ref="U171:V171"/>
    <mergeCell ref="S171:T171"/>
    <mergeCell ref="U173:V173"/>
    <mergeCell ref="S176:T176"/>
    <mergeCell ref="U176:V176"/>
    <mergeCell ref="Q181:R181"/>
    <mergeCell ref="Q179:R179"/>
    <mergeCell ref="Q178:R178"/>
    <mergeCell ref="U177:V177"/>
    <mergeCell ref="S177:T177"/>
    <mergeCell ref="S186:T186"/>
    <mergeCell ref="S184:T184"/>
    <mergeCell ref="Q183:R183"/>
    <mergeCell ref="S183:T183"/>
    <mergeCell ref="S185:T185"/>
    <mergeCell ref="Q184:R184"/>
    <mergeCell ref="Q191:R191"/>
    <mergeCell ref="U170:V170"/>
    <mergeCell ref="S170:T170"/>
    <mergeCell ref="S169:T169"/>
    <mergeCell ref="U169:V169"/>
    <mergeCell ref="S178:T178"/>
    <mergeCell ref="Q175:R175"/>
    <mergeCell ref="Q171:R171"/>
    <mergeCell ref="U175:V175"/>
    <mergeCell ref="S175:T175"/>
    <mergeCell ref="Q172:R172"/>
    <mergeCell ref="U174:V174"/>
    <mergeCell ref="S174:T174"/>
    <mergeCell ref="U172:V172"/>
    <mergeCell ref="Q174:R174"/>
    <mergeCell ref="S172:T172"/>
    <mergeCell ref="S173:T173"/>
    <mergeCell ref="Q173:R173"/>
    <mergeCell ref="Q165:R165"/>
    <mergeCell ref="Q168:R168"/>
    <mergeCell ref="U167:V167"/>
    <mergeCell ref="U168:V168"/>
    <mergeCell ref="Q166:R166"/>
    <mergeCell ref="S168:T168"/>
    <mergeCell ref="U156:V156"/>
    <mergeCell ref="U149:V149"/>
    <mergeCell ref="U150:V150"/>
    <mergeCell ref="U154:V154"/>
    <mergeCell ref="U155:V155"/>
    <mergeCell ref="U153:V153"/>
    <mergeCell ref="U152:V152"/>
    <mergeCell ref="U151:V151"/>
    <mergeCell ref="Q170:R170"/>
    <mergeCell ref="S167:T167"/>
    <mergeCell ref="Q167:R167"/>
    <mergeCell ref="S161:T161"/>
    <mergeCell ref="S165:T165"/>
    <mergeCell ref="Q160:R160"/>
    <mergeCell ref="S160:T160"/>
    <mergeCell ref="Q169:R169"/>
    <mergeCell ref="S164:T164"/>
    <mergeCell ref="Q164:R164"/>
    <mergeCell ref="U166:V166"/>
    <mergeCell ref="S166:T166"/>
    <mergeCell ref="Q162:R162"/>
    <mergeCell ref="U164:V164"/>
    <mergeCell ref="U165:V165"/>
    <mergeCell ref="Q163:R163"/>
    <mergeCell ref="U162:V162"/>
    <mergeCell ref="S162:T162"/>
    <mergeCell ref="S163:T163"/>
    <mergeCell ref="U163:V163"/>
    <mergeCell ref="U160:V160"/>
    <mergeCell ref="U159:V159"/>
    <mergeCell ref="Q157:R157"/>
    <mergeCell ref="S159:T159"/>
    <mergeCell ref="U158:V158"/>
    <mergeCell ref="S157:T157"/>
    <mergeCell ref="S158:T158"/>
    <mergeCell ref="Q158:R158"/>
    <mergeCell ref="Q159:R159"/>
    <mergeCell ref="U157:V157"/>
    <mergeCell ref="Q161:R161"/>
    <mergeCell ref="U161:V161"/>
    <mergeCell ref="S152:T152"/>
    <mergeCell ref="Q156:R156"/>
    <mergeCell ref="Q152:R152"/>
    <mergeCell ref="Q153:R153"/>
    <mergeCell ref="Q154:R154"/>
    <mergeCell ref="S154:T154"/>
    <mergeCell ref="S153:T153"/>
    <mergeCell ref="S156:T156"/>
    <mergeCell ref="Q155:R155"/>
    <mergeCell ref="Q149:R149"/>
    <mergeCell ref="Q151:R151"/>
    <mergeCell ref="S149:T149"/>
    <mergeCell ref="S151:T151"/>
    <mergeCell ref="Q150:R150"/>
    <mergeCell ref="S150:T150"/>
    <mergeCell ref="S155:T155"/>
    <mergeCell ref="U145:V145"/>
    <mergeCell ref="S144:T144"/>
    <mergeCell ref="U144:V144"/>
    <mergeCell ref="S148:T148"/>
    <mergeCell ref="U148:V148"/>
    <mergeCell ref="S146:T146"/>
    <mergeCell ref="S147:T147"/>
    <mergeCell ref="U146:V146"/>
    <mergeCell ref="U147:V147"/>
    <mergeCell ref="Q146:R146"/>
    <mergeCell ref="U136:V136"/>
    <mergeCell ref="U138:V138"/>
    <mergeCell ref="S138:T138"/>
    <mergeCell ref="U141:V141"/>
    <mergeCell ref="S137:T137"/>
    <mergeCell ref="U142:V142"/>
    <mergeCell ref="U143:V143"/>
    <mergeCell ref="S143:T143"/>
    <mergeCell ref="S145:T145"/>
    <mergeCell ref="S142:T142"/>
    <mergeCell ref="U139:V139"/>
    <mergeCell ref="U140:V140"/>
    <mergeCell ref="S140:T140"/>
    <mergeCell ref="S141:T141"/>
    <mergeCell ref="S139:T139"/>
    <mergeCell ref="C144:L144"/>
    <mergeCell ref="M140:N140"/>
    <mergeCell ref="M141:N141"/>
    <mergeCell ref="O143:P143"/>
    <mergeCell ref="O144:P144"/>
    <mergeCell ref="O142:P142"/>
    <mergeCell ref="O141:P141"/>
    <mergeCell ref="M144:N144"/>
    <mergeCell ref="O140:P140"/>
    <mergeCell ref="M137:N137"/>
    <mergeCell ref="U137:V137"/>
    <mergeCell ref="Q132:R132"/>
    <mergeCell ref="Q131:R131"/>
    <mergeCell ref="Q148:R148"/>
    <mergeCell ref="Q135:R135"/>
    <mergeCell ref="Q147:R147"/>
    <mergeCell ref="Q134:R134"/>
    <mergeCell ref="Q144:R144"/>
    <mergeCell ref="Q137:R137"/>
    <mergeCell ref="Q145:R145"/>
    <mergeCell ref="Q143:R143"/>
    <mergeCell ref="O130:P130"/>
    <mergeCell ref="M135:N135"/>
    <mergeCell ref="M136:N136"/>
    <mergeCell ref="M143:N143"/>
    <mergeCell ref="C142:L142"/>
    <mergeCell ref="C137:L137"/>
    <mergeCell ref="C140:L140"/>
    <mergeCell ref="M139:N139"/>
    <mergeCell ref="Q139:R139"/>
    <mergeCell ref="Q142:R142"/>
    <mergeCell ref="O138:P138"/>
    <mergeCell ref="O132:P132"/>
    <mergeCell ref="Q138:R138"/>
    <mergeCell ref="O137:P137"/>
    <mergeCell ref="Q136:R136"/>
    <mergeCell ref="Q141:R141"/>
    <mergeCell ref="Q140:R140"/>
    <mergeCell ref="O139:P139"/>
    <mergeCell ref="O133:P133"/>
    <mergeCell ref="O135:P135"/>
    <mergeCell ref="O134:P134"/>
    <mergeCell ref="O136:P136"/>
    <mergeCell ref="U135:V135"/>
    <mergeCell ref="S136:T136"/>
    <mergeCell ref="S135:T135"/>
    <mergeCell ref="U132:V132"/>
    <mergeCell ref="S132:T132"/>
    <mergeCell ref="U131:V131"/>
    <mergeCell ref="O131:P131"/>
    <mergeCell ref="Q133:R133"/>
    <mergeCell ref="O126:P126"/>
    <mergeCell ref="M130:N130"/>
    <mergeCell ref="U130:V130"/>
    <mergeCell ref="S130:T130"/>
    <mergeCell ref="S134:T134"/>
    <mergeCell ref="S133:T133"/>
    <mergeCell ref="U133:V133"/>
    <mergeCell ref="S131:T131"/>
    <mergeCell ref="Q130:R130"/>
    <mergeCell ref="U134:V134"/>
    <mergeCell ref="U129:V129"/>
    <mergeCell ref="S129:T129"/>
    <mergeCell ref="O129:P129"/>
    <mergeCell ref="M129:N129"/>
    <mergeCell ref="Q129:R129"/>
    <mergeCell ref="M127:N127"/>
    <mergeCell ref="Q128:R128"/>
    <mergeCell ref="O127:P127"/>
    <mergeCell ref="O128:P128"/>
    <mergeCell ref="M128:N128"/>
    <mergeCell ref="S128:T128"/>
    <mergeCell ref="U128:V128"/>
    <mergeCell ref="M131:N131"/>
    <mergeCell ref="M132:N132"/>
    <mergeCell ref="Q125:R125"/>
    <mergeCell ref="Q126:R126"/>
    <mergeCell ref="U122:V122"/>
    <mergeCell ref="U120:V120"/>
    <mergeCell ref="U121:V121"/>
    <mergeCell ref="S120:T120"/>
    <mergeCell ref="S122:T122"/>
    <mergeCell ref="S121:T121"/>
    <mergeCell ref="S127:T127"/>
    <mergeCell ref="Q127:R127"/>
    <mergeCell ref="Q124:R124"/>
    <mergeCell ref="S126:T126"/>
    <mergeCell ref="S124:T124"/>
    <mergeCell ref="S125:T125"/>
    <mergeCell ref="U123:V123"/>
    <mergeCell ref="U127:V127"/>
    <mergeCell ref="U126:V126"/>
    <mergeCell ref="U125:V125"/>
    <mergeCell ref="U124:V124"/>
    <mergeCell ref="U116:V116"/>
    <mergeCell ref="S116:T116"/>
    <mergeCell ref="U119:V119"/>
    <mergeCell ref="U118:V118"/>
    <mergeCell ref="S117:T117"/>
    <mergeCell ref="S118:T118"/>
    <mergeCell ref="U117:V117"/>
    <mergeCell ref="S119:T119"/>
    <mergeCell ref="Q113:R113"/>
    <mergeCell ref="O114:P114"/>
    <mergeCell ref="O116:P116"/>
    <mergeCell ref="Q123:R123"/>
    <mergeCell ref="Q122:R122"/>
    <mergeCell ref="Q116:R116"/>
    <mergeCell ref="O115:P115"/>
    <mergeCell ref="Q115:R115"/>
    <mergeCell ref="Q114:R114"/>
    <mergeCell ref="O118:P118"/>
    <mergeCell ref="U115:V115"/>
    <mergeCell ref="U113:V113"/>
    <mergeCell ref="U114:V114"/>
    <mergeCell ref="S113:T113"/>
    <mergeCell ref="S115:T115"/>
    <mergeCell ref="S114:T114"/>
    <mergeCell ref="Q117:R117"/>
    <mergeCell ref="Q118:R118"/>
    <mergeCell ref="Q119:R119"/>
    <mergeCell ref="Q121:R121"/>
    <mergeCell ref="Q120:R120"/>
    <mergeCell ref="S123:T123"/>
    <mergeCell ref="Q112:R112"/>
    <mergeCell ref="U110:V110"/>
    <mergeCell ref="U112:V112"/>
    <mergeCell ref="U111:V111"/>
    <mergeCell ref="Q110:R110"/>
    <mergeCell ref="S111:T111"/>
    <mergeCell ref="S112:T112"/>
    <mergeCell ref="O110:P110"/>
    <mergeCell ref="S110:T110"/>
    <mergeCell ref="O106:P106"/>
    <mergeCell ref="U109:V109"/>
    <mergeCell ref="O109:P109"/>
    <mergeCell ref="O108:P108"/>
    <mergeCell ref="S107:T107"/>
    <mergeCell ref="Q108:R108"/>
    <mergeCell ref="O107:P107"/>
    <mergeCell ref="U107:V107"/>
    <mergeCell ref="Q109:R109"/>
    <mergeCell ref="Q105:R105"/>
    <mergeCell ref="S104:T104"/>
    <mergeCell ref="Q104:R104"/>
    <mergeCell ref="Q102:R102"/>
    <mergeCell ref="S109:T109"/>
    <mergeCell ref="S108:T108"/>
    <mergeCell ref="U104:V104"/>
    <mergeCell ref="Q103:R103"/>
    <mergeCell ref="U108:V108"/>
    <mergeCell ref="S105:T105"/>
    <mergeCell ref="Q106:R106"/>
    <mergeCell ref="Q107:R107"/>
    <mergeCell ref="U106:V106"/>
    <mergeCell ref="U105:V105"/>
    <mergeCell ref="U103:V103"/>
    <mergeCell ref="O111:P111"/>
    <mergeCell ref="Q111:R111"/>
    <mergeCell ref="Q100:R100"/>
    <mergeCell ref="Q99:R99"/>
    <mergeCell ref="S98:T98"/>
    <mergeCell ref="Q98:R98"/>
    <mergeCell ref="O95:P95"/>
    <mergeCell ref="Q92:R92"/>
    <mergeCell ref="O94:P94"/>
    <mergeCell ref="O93:P93"/>
    <mergeCell ref="O99:P99"/>
    <mergeCell ref="O97:P97"/>
    <mergeCell ref="O98:P98"/>
    <mergeCell ref="Q94:R94"/>
    <mergeCell ref="Q93:R93"/>
    <mergeCell ref="O92:P92"/>
    <mergeCell ref="U99:V99"/>
    <mergeCell ref="S102:T102"/>
    <mergeCell ref="S106:T106"/>
    <mergeCell ref="U102:V102"/>
    <mergeCell ref="S101:T101"/>
    <mergeCell ref="S100:T100"/>
    <mergeCell ref="S99:T99"/>
    <mergeCell ref="U101:V101"/>
    <mergeCell ref="S103:T103"/>
    <mergeCell ref="U100:V100"/>
    <mergeCell ref="U96:V96"/>
    <mergeCell ref="Q96:R96"/>
    <mergeCell ref="U98:V98"/>
    <mergeCell ref="U97:V97"/>
    <mergeCell ref="S96:T96"/>
    <mergeCell ref="Q97:R97"/>
    <mergeCell ref="S97:T97"/>
    <mergeCell ref="Q101:R101"/>
    <mergeCell ref="Q87:R87"/>
    <mergeCell ref="U91:V91"/>
    <mergeCell ref="S86:T86"/>
    <mergeCell ref="Q86:R86"/>
    <mergeCell ref="S85:T85"/>
    <mergeCell ref="Q85:R85"/>
    <mergeCell ref="S91:T91"/>
    <mergeCell ref="Q91:R91"/>
    <mergeCell ref="U95:V95"/>
    <mergeCell ref="S87:T87"/>
    <mergeCell ref="S92:T92"/>
    <mergeCell ref="U92:V92"/>
    <mergeCell ref="U93:V93"/>
    <mergeCell ref="U94:V94"/>
    <mergeCell ref="S94:T94"/>
    <mergeCell ref="U87:V87"/>
    <mergeCell ref="S93:T93"/>
    <mergeCell ref="Q95:R95"/>
    <mergeCell ref="S95:T95"/>
    <mergeCell ref="Q88:R88"/>
    <mergeCell ref="S88:T88"/>
    <mergeCell ref="U88:V88"/>
    <mergeCell ref="Q89:R89"/>
    <mergeCell ref="S89:T89"/>
    <mergeCell ref="U89:V89"/>
    <mergeCell ref="Q90:R90"/>
    <mergeCell ref="S90:T90"/>
    <mergeCell ref="U90:V90"/>
    <mergeCell ref="U84:V84"/>
    <mergeCell ref="O84:P84"/>
    <mergeCell ref="S83:T83"/>
    <mergeCell ref="Q84:R84"/>
    <mergeCell ref="O83:P83"/>
    <mergeCell ref="S84:T84"/>
    <mergeCell ref="U83:V83"/>
    <mergeCell ref="Q83:R83"/>
    <mergeCell ref="Q79:R79"/>
    <mergeCell ref="Q80:R80"/>
    <mergeCell ref="U81:V81"/>
    <mergeCell ref="Q81:R81"/>
    <mergeCell ref="S80:T80"/>
    <mergeCell ref="S81:T81"/>
    <mergeCell ref="S79:T79"/>
    <mergeCell ref="U86:V86"/>
    <mergeCell ref="U85:V85"/>
    <mergeCell ref="U77:V77"/>
    <mergeCell ref="U76:V76"/>
    <mergeCell ref="S76:T76"/>
    <mergeCell ref="U82:V82"/>
    <mergeCell ref="S82:T82"/>
    <mergeCell ref="U80:V80"/>
    <mergeCell ref="Q75:R75"/>
    <mergeCell ref="S75:T75"/>
    <mergeCell ref="Q73:R73"/>
    <mergeCell ref="Q74:R74"/>
    <mergeCell ref="S78:T78"/>
    <mergeCell ref="U79:V79"/>
    <mergeCell ref="U78:V78"/>
    <mergeCell ref="Q76:R76"/>
    <mergeCell ref="S77:T77"/>
    <mergeCell ref="Q77:R77"/>
    <mergeCell ref="U69:V69"/>
    <mergeCell ref="S69:T69"/>
    <mergeCell ref="Q78:R78"/>
    <mergeCell ref="Q82:R82"/>
    <mergeCell ref="U75:V75"/>
    <mergeCell ref="S74:T74"/>
    <mergeCell ref="S73:T73"/>
    <mergeCell ref="U74:V74"/>
    <mergeCell ref="U73:V73"/>
    <mergeCell ref="S70:T70"/>
    <mergeCell ref="Q50:R50"/>
    <mergeCell ref="Q52:R52"/>
    <mergeCell ref="Q51:R51"/>
    <mergeCell ref="Q68:R68"/>
    <mergeCell ref="S68:T68"/>
    <mergeCell ref="Q72:R72"/>
    <mergeCell ref="Q63:R63"/>
    <mergeCell ref="U68:V68"/>
    <mergeCell ref="U72:V72"/>
    <mergeCell ref="U71:V71"/>
    <mergeCell ref="S72:T72"/>
    <mergeCell ref="U70:V70"/>
    <mergeCell ref="U66:V66"/>
    <mergeCell ref="S67:T67"/>
    <mergeCell ref="Q67:R67"/>
    <mergeCell ref="U67:V67"/>
    <mergeCell ref="Q71:R71"/>
    <mergeCell ref="S66:T66"/>
    <mergeCell ref="Q69:R69"/>
    <mergeCell ref="S71:T71"/>
    <mergeCell ref="Q66:R66"/>
    <mergeCell ref="Q70:R70"/>
    <mergeCell ref="Q61:R61"/>
    <mergeCell ref="S61:T61"/>
    <mergeCell ref="S65:T65"/>
    <mergeCell ref="Q65:R65"/>
    <mergeCell ref="Q62:R62"/>
    <mergeCell ref="Q64:R64"/>
    <mergeCell ref="Q60:R60"/>
    <mergeCell ref="U65:V65"/>
    <mergeCell ref="U64:V64"/>
    <mergeCell ref="U61:V61"/>
    <mergeCell ref="S62:T62"/>
    <mergeCell ref="S63:T63"/>
    <mergeCell ref="U62:V62"/>
    <mergeCell ref="S64:T64"/>
    <mergeCell ref="U60:V60"/>
    <mergeCell ref="S60:T60"/>
    <mergeCell ref="S54:T54"/>
    <mergeCell ref="U63:V63"/>
    <mergeCell ref="Q59:R59"/>
    <mergeCell ref="Q53:R53"/>
    <mergeCell ref="Q54:R54"/>
    <mergeCell ref="U52:V52"/>
    <mergeCell ref="S53:T53"/>
    <mergeCell ref="S59:T59"/>
    <mergeCell ref="U53:V53"/>
    <mergeCell ref="U54:V54"/>
    <mergeCell ref="U59:V59"/>
    <mergeCell ref="Q55:R55"/>
    <mergeCell ref="S55:T55"/>
    <mergeCell ref="U55:V55"/>
    <mergeCell ref="Q56:R56"/>
    <mergeCell ref="S56:T56"/>
    <mergeCell ref="U56:V56"/>
    <mergeCell ref="Q57:R57"/>
    <mergeCell ref="S57:T57"/>
    <mergeCell ref="U57:V57"/>
    <mergeCell ref="Q58:R58"/>
    <mergeCell ref="S58:T58"/>
    <mergeCell ref="U58:V58"/>
    <mergeCell ref="U50:V50"/>
    <mergeCell ref="S51:T51"/>
    <mergeCell ref="S50:T50"/>
    <mergeCell ref="S52:T52"/>
    <mergeCell ref="U51:V51"/>
    <mergeCell ref="Q49:R49"/>
    <mergeCell ref="Q47:R47"/>
    <mergeCell ref="Q48:R48"/>
    <mergeCell ref="Q45:R45"/>
    <mergeCell ref="Q46:R46"/>
    <mergeCell ref="M35:N35"/>
    <mergeCell ref="C31:L31"/>
    <mergeCell ref="M31:N31"/>
    <mergeCell ref="M33:N33"/>
    <mergeCell ref="U39:V39"/>
    <mergeCell ref="S39:T39"/>
    <mergeCell ref="C33:L33"/>
    <mergeCell ref="O35:P35"/>
    <mergeCell ref="C32:L32"/>
    <mergeCell ref="C34:L34"/>
    <mergeCell ref="O33:P33"/>
    <mergeCell ref="O32:P32"/>
    <mergeCell ref="M32:N32"/>
    <mergeCell ref="M34:N34"/>
    <mergeCell ref="O34:P34"/>
    <mergeCell ref="C35:L35"/>
    <mergeCell ref="U37:V37"/>
    <mergeCell ref="U35:V35"/>
    <mergeCell ref="U49:V49"/>
    <mergeCell ref="S49:T49"/>
    <mergeCell ref="U44:V44"/>
    <mergeCell ref="S45:T45"/>
    <mergeCell ref="U45:V45"/>
    <mergeCell ref="U48:V48"/>
    <mergeCell ref="O31:P31"/>
    <mergeCell ref="M26:N26"/>
    <mergeCell ref="C26:L26"/>
    <mergeCell ref="C25:L25"/>
    <mergeCell ref="C24:L24"/>
    <mergeCell ref="C23:L23"/>
    <mergeCell ref="U34:V34"/>
    <mergeCell ref="U31:V31"/>
    <mergeCell ref="U24:V24"/>
    <mergeCell ref="Q34:R34"/>
    <mergeCell ref="Q23:R23"/>
    <mergeCell ref="O36:P36"/>
    <mergeCell ref="M36:N36"/>
    <mergeCell ref="S44:T44"/>
    <mergeCell ref="O45:P45"/>
    <mergeCell ref="S47:T47"/>
    <mergeCell ref="O46:P46"/>
    <mergeCell ref="S46:T46"/>
    <mergeCell ref="U41:V41"/>
    <mergeCell ref="U43:V43"/>
    <mergeCell ref="S43:T43"/>
    <mergeCell ref="S40:T40"/>
    <mergeCell ref="U38:V38"/>
    <mergeCell ref="S48:T48"/>
    <mergeCell ref="U47:V47"/>
    <mergeCell ref="U46:V46"/>
    <mergeCell ref="S35:T35"/>
    <mergeCell ref="O37:P37"/>
    <mergeCell ref="S36:T36"/>
    <mergeCell ref="S37:T37"/>
    <mergeCell ref="C18:L18"/>
    <mergeCell ref="C21:L21"/>
    <mergeCell ref="C19:L19"/>
    <mergeCell ref="C22:L22"/>
    <mergeCell ref="O20:P20"/>
    <mergeCell ref="O23:P23"/>
    <mergeCell ref="M21:N21"/>
    <mergeCell ref="C20:L20"/>
    <mergeCell ref="M20:N20"/>
    <mergeCell ref="M25:N25"/>
    <mergeCell ref="M24:N24"/>
    <mergeCell ref="O24:P24"/>
    <mergeCell ref="O25:P25"/>
    <mergeCell ref="M22:N22"/>
    <mergeCell ref="O30:P30"/>
    <mergeCell ref="O29:P29"/>
    <mergeCell ref="O28:P28"/>
    <mergeCell ref="M23:N23"/>
    <mergeCell ref="O21:P21"/>
    <mergeCell ref="C30:L30"/>
    <mergeCell ref="M28:N28"/>
    <mergeCell ref="M30:N30"/>
    <mergeCell ref="C28:L28"/>
    <mergeCell ref="C29:L29"/>
    <mergeCell ref="O26:P26"/>
    <mergeCell ref="A9:B9"/>
    <mergeCell ref="C17:L17"/>
    <mergeCell ref="M17:N17"/>
    <mergeCell ref="M15:N15"/>
    <mergeCell ref="M14:N14"/>
    <mergeCell ref="C12:L12"/>
    <mergeCell ref="C13:L13"/>
    <mergeCell ref="Q14:R14"/>
    <mergeCell ref="O14:P14"/>
    <mergeCell ref="O13:P13"/>
    <mergeCell ref="A3:B4"/>
    <mergeCell ref="A10:B10"/>
    <mergeCell ref="O12:P12"/>
    <mergeCell ref="A5:B5"/>
    <mergeCell ref="A7:B7"/>
    <mergeCell ref="A6:B6"/>
    <mergeCell ref="Q13:R13"/>
    <mergeCell ref="C15:L15"/>
    <mergeCell ref="O17:P17"/>
    <mergeCell ref="Q15:R15"/>
    <mergeCell ref="C16:L16"/>
    <mergeCell ref="C14:L14"/>
    <mergeCell ref="Q12:R12"/>
    <mergeCell ref="O15:P15"/>
    <mergeCell ref="O16:P16"/>
    <mergeCell ref="M16:N16"/>
    <mergeCell ref="Q16:R16"/>
    <mergeCell ref="Q17:R17"/>
    <mergeCell ref="C3:C4"/>
    <mergeCell ref="D3:D4"/>
    <mergeCell ref="E3:E4"/>
    <mergeCell ref="F3:F4"/>
    <mergeCell ref="S14:T14"/>
    <mergeCell ref="M12:N12"/>
    <mergeCell ref="M13:N13"/>
    <mergeCell ref="S19:T19"/>
    <mergeCell ref="S18:T18"/>
    <mergeCell ref="S12:T12"/>
    <mergeCell ref="S13:T13"/>
    <mergeCell ref="S15:T15"/>
    <mergeCell ref="S16:T16"/>
    <mergeCell ref="S17:T17"/>
    <mergeCell ref="U17:V17"/>
    <mergeCell ref="U16:V16"/>
    <mergeCell ref="U14:V14"/>
    <mergeCell ref="U12:V12"/>
    <mergeCell ref="U13:V13"/>
    <mergeCell ref="U15:V15"/>
    <mergeCell ref="S22:T22"/>
    <mergeCell ref="M18:N18"/>
    <mergeCell ref="O19:P19"/>
    <mergeCell ref="O18:P18"/>
    <mergeCell ref="M19:N19"/>
    <mergeCell ref="Q18:R18"/>
    <mergeCell ref="Q20:R20"/>
    <mergeCell ref="Q21:R21"/>
    <mergeCell ref="Q22:R22"/>
    <mergeCell ref="O22:P22"/>
    <mergeCell ref="Q37:R37"/>
    <mergeCell ref="S24:T24"/>
    <mergeCell ref="S23:T23"/>
    <mergeCell ref="U18:V18"/>
    <mergeCell ref="S21:T21"/>
    <mergeCell ref="U21:V21"/>
    <mergeCell ref="U22:V22"/>
    <mergeCell ref="S20:T20"/>
    <mergeCell ref="U20:V20"/>
    <mergeCell ref="U19:V19"/>
    <mergeCell ref="S34:T34"/>
    <mergeCell ref="Q33:R33"/>
    <mergeCell ref="S32:T32"/>
    <mergeCell ref="Q24:R24"/>
    <mergeCell ref="Q32:R32"/>
    <mergeCell ref="Q31:R31"/>
    <mergeCell ref="Q25:R25"/>
    <mergeCell ref="S26:T26"/>
    <mergeCell ref="S28:T28"/>
    <mergeCell ref="S27:T27"/>
    <mergeCell ref="U23:V23"/>
    <mergeCell ref="S33:T33"/>
    <mergeCell ref="U33:V33"/>
    <mergeCell ref="U32:V32"/>
    <mergeCell ref="S31:T31"/>
    <mergeCell ref="U25:V25"/>
    <mergeCell ref="U28:V28"/>
    <mergeCell ref="Q35:R35"/>
    <mergeCell ref="Q28:R28"/>
    <mergeCell ref="C36:L36"/>
    <mergeCell ref="O27:P27"/>
    <mergeCell ref="C27:L27"/>
    <mergeCell ref="M29:N29"/>
    <mergeCell ref="M27:N27"/>
    <mergeCell ref="O40:P40"/>
    <mergeCell ref="Q36:R36"/>
    <mergeCell ref="O39:P39"/>
    <mergeCell ref="C43:L43"/>
    <mergeCell ref="Q38:R38"/>
    <mergeCell ref="Q42:R42"/>
    <mergeCell ref="U27:V27"/>
    <mergeCell ref="U26:V26"/>
    <mergeCell ref="Q19:R19"/>
    <mergeCell ref="M43:N43"/>
    <mergeCell ref="S41:T41"/>
    <mergeCell ref="S29:T29"/>
    <mergeCell ref="U30:V30"/>
    <mergeCell ref="U29:V29"/>
    <mergeCell ref="S30:T30"/>
    <mergeCell ref="Q29:R29"/>
    <mergeCell ref="Q30:R30"/>
    <mergeCell ref="S25:T25"/>
    <mergeCell ref="Q26:R26"/>
    <mergeCell ref="Q27:R27"/>
    <mergeCell ref="S38:T38"/>
    <mergeCell ref="S42:T42"/>
    <mergeCell ref="U42:V42"/>
    <mergeCell ref="U40:V40"/>
    <mergeCell ref="U36:V36"/>
    <mergeCell ref="Q39:R39"/>
    <mergeCell ref="M39:N39"/>
    <mergeCell ref="Q43:R43"/>
    <mergeCell ref="Q44:R44"/>
    <mergeCell ref="C41:L41"/>
    <mergeCell ref="Q41:R41"/>
    <mergeCell ref="O41:P41"/>
    <mergeCell ref="O42:P42"/>
    <mergeCell ref="C42:L42"/>
    <mergeCell ref="M42:N42"/>
    <mergeCell ref="Q40:R40"/>
    <mergeCell ref="O38:P38"/>
    <mergeCell ref="M47:N47"/>
    <mergeCell ref="C46:L46"/>
    <mergeCell ref="C44:L44"/>
    <mergeCell ref="C45:L45"/>
    <mergeCell ref="C38:L38"/>
    <mergeCell ref="M38:N38"/>
    <mergeCell ref="C40:L40"/>
    <mergeCell ref="M40:N40"/>
    <mergeCell ref="C39:L39"/>
    <mergeCell ref="M41:N41"/>
    <mergeCell ref="M44:N44"/>
    <mergeCell ref="M46:N46"/>
    <mergeCell ref="M45:N45"/>
    <mergeCell ref="O47:P47"/>
    <mergeCell ref="O43:P43"/>
    <mergeCell ref="O44:P44"/>
    <mergeCell ref="M48:N48"/>
    <mergeCell ref="O62:P62"/>
    <mergeCell ref="M54:N54"/>
    <mergeCell ref="C60:L60"/>
    <mergeCell ref="C62:L62"/>
    <mergeCell ref="M62:N62"/>
    <mergeCell ref="O50:P50"/>
    <mergeCell ref="C51:L51"/>
    <mergeCell ref="C47:L47"/>
    <mergeCell ref="C50:L50"/>
    <mergeCell ref="C48:L48"/>
    <mergeCell ref="C49:L49"/>
    <mergeCell ref="M50:N50"/>
    <mergeCell ref="M49:N49"/>
    <mergeCell ref="M51:N51"/>
    <mergeCell ref="O51:P51"/>
    <mergeCell ref="M37:N37"/>
    <mergeCell ref="C37:L37"/>
    <mergeCell ref="O48:P48"/>
    <mergeCell ref="O49:P49"/>
    <mergeCell ref="O60:P60"/>
    <mergeCell ref="O59:P59"/>
    <mergeCell ref="C55:L55"/>
    <mergeCell ref="C56:L56"/>
    <mergeCell ref="C57:L57"/>
    <mergeCell ref="C58:L58"/>
    <mergeCell ref="M55:N55"/>
    <mergeCell ref="O55:P55"/>
    <mergeCell ref="M56:N56"/>
    <mergeCell ref="O56:P56"/>
    <mergeCell ref="O68:P68"/>
    <mergeCell ref="O66:P66"/>
    <mergeCell ref="M68:N68"/>
    <mergeCell ref="O65:P65"/>
    <mergeCell ref="M52:N52"/>
    <mergeCell ref="O54:P54"/>
    <mergeCell ref="M59:N59"/>
    <mergeCell ref="C52:L52"/>
    <mergeCell ref="M61:N61"/>
    <mergeCell ref="O61:P61"/>
    <mergeCell ref="M60:N60"/>
    <mergeCell ref="O52:P52"/>
    <mergeCell ref="O53:P53"/>
    <mergeCell ref="C61:L61"/>
    <mergeCell ref="C53:L53"/>
    <mergeCell ref="M53:N53"/>
    <mergeCell ref="C59:L59"/>
    <mergeCell ref="C54:L54"/>
    <mergeCell ref="M57:N57"/>
    <mergeCell ref="O57:P57"/>
    <mergeCell ref="M58:N58"/>
    <mergeCell ref="O58:P58"/>
    <mergeCell ref="O78:P78"/>
    <mergeCell ref="M73:N73"/>
    <mergeCell ref="O73:P73"/>
    <mergeCell ref="C77:L77"/>
    <mergeCell ref="O76:P76"/>
    <mergeCell ref="O77:P77"/>
    <mergeCell ref="M77:N77"/>
    <mergeCell ref="C73:L73"/>
    <mergeCell ref="M76:N76"/>
    <mergeCell ref="C76:L76"/>
    <mergeCell ref="O75:P75"/>
    <mergeCell ref="M74:N74"/>
    <mergeCell ref="C74:L74"/>
    <mergeCell ref="C68:L68"/>
    <mergeCell ref="M63:N63"/>
    <mergeCell ref="M66:N66"/>
    <mergeCell ref="M65:N65"/>
    <mergeCell ref="C64:L64"/>
    <mergeCell ref="C65:L65"/>
    <mergeCell ref="C67:L67"/>
    <mergeCell ref="M64:N64"/>
    <mergeCell ref="C63:L63"/>
    <mergeCell ref="C66:L66"/>
    <mergeCell ref="O67:P67"/>
    <mergeCell ref="O63:P63"/>
    <mergeCell ref="O69:P69"/>
    <mergeCell ref="O70:P70"/>
    <mergeCell ref="M67:N67"/>
    <mergeCell ref="M69:N69"/>
    <mergeCell ref="C70:L70"/>
    <mergeCell ref="M70:N70"/>
    <mergeCell ref="O64:P64"/>
    <mergeCell ref="M83:N83"/>
    <mergeCell ref="C86:L86"/>
    <mergeCell ref="M84:N84"/>
    <mergeCell ref="C83:L83"/>
    <mergeCell ref="O79:P79"/>
    <mergeCell ref="M71:N71"/>
    <mergeCell ref="C72:L72"/>
    <mergeCell ref="C71:L71"/>
    <mergeCell ref="M72:N72"/>
    <mergeCell ref="C78:L78"/>
    <mergeCell ref="C87:L87"/>
    <mergeCell ref="C79:L79"/>
    <mergeCell ref="M79:N79"/>
    <mergeCell ref="M82:N82"/>
    <mergeCell ref="M81:N81"/>
    <mergeCell ref="C81:L81"/>
    <mergeCell ref="C80:L80"/>
    <mergeCell ref="M80:N80"/>
    <mergeCell ref="C82:L82"/>
    <mergeCell ref="M86:N86"/>
    <mergeCell ref="O80:P80"/>
    <mergeCell ref="O82:P82"/>
    <mergeCell ref="O85:P85"/>
    <mergeCell ref="O86:P86"/>
    <mergeCell ref="O81:P81"/>
    <mergeCell ref="O87:P87"/>
    <mergeCell ref="O72:P72"/>
    <mergeCell ref="M78:N78"/>
    <mergeCell ref="O71:P71"/>
    <mergeCell ref="O74:P74"/>
    <mergeCell ref="M75:N75"/>
    <mergeCell ref="C75:L75"/>
    <mergeCell ref="O91:P91"/>
    <mergeCell ref="M98:N98"/>
    <mergeCell ref="M97:N97"/>
    <mergeCell ref="M85:N85"/>
    <mergeCell ref="M93:N93"/>
    <mergeCell ref="M87:N87"/>
    <mergeCell ref="M91:N91"/>
    <mergeCell ref="M96:N96"/>
    <mergeCell ref="M94:N94"/>
    <mergeCell ref="M95:N95"/>
    <mergeCell ref="M92:N92"/>
    <mergeCell ref="C98:L98"/>
    <mergeCell ref="C84:L84"/>
    <mergeCell ref="C97:L97"/>
    <mergeCell ref="C94:L94"/>
    <mergeCell ref="C95:L95"/>
    <mergeCell ref="C85:L85"/>
    <mergeCell ref="C96:L96"/>
    <mergeCell ref="C93:L93"/>
    <mergeCell ref="C92:L92"/>
    <mergeCell ref="C91:L91"/>
    <mergeCell ref="O96:P96"/>
    <mergeCell ref="C88:L88"/>
    <mergeCell ref="C89:L89"/>
    <mergeCell ref="C90:L90"/>
    <mergeCell ref="M88:N88"/>
    <mergeCell ref="M89:N89"/>
    <mergeCell ref="M90:N90"/>
    <mergeCell ref="O88:P88"/>
    <mergeCell ref="O89:P89"/>
    <mergeCell ref="O90:P90"/>
    <mergeCell ref="O101:P101"/>
    <mergeCell ref="C105:L105"/>
    <mergeCell ref="M105:N105"/>
    <mergeCell ref="C104:L104"/>
    <mergeCell ref="C103:L103"/>
    <mergeCell ref="O105:P105"/>
    <mergeCell ref="M104:N104"/>
    <mergeCell ref="O104:P104"/>
    <mergeCell ref="O102:P102"/>
    <mergeCell ref="O103:P103"/>
    <mergeCell ref="C99:L99"/>
    <mergeCell ref="C101:L101"/>
    <mergeCell ref="M99:N99"/>
    <mergeCell ref="C102:L102"/>
    <mergeCell ref="M101:N101"/>
    <mergeCell ref="M102:N102"/>
    <mergeCell ref="M100:N100"/>
    <mergeCell ref="O100:P100"/>
    <mergeCell ref="M118:N118"/>
    <mergeCell ref="M120:N120"/>
    <mergeCell ref="M107:N107"/>
    <mergeCell ref="M109:N109"/>
    <mergeCell ref="M108:N108"/>
    <mergeCell ref="C100:L100"/>
    <mergeCell ref="M106:N106"/>
    <mergeCell ref="M103:N103"/>
    <mergeCell ref="C106:L106"/>
    <mergeCell ref="C107:L107"/>
    <mergeCell ref="M111:N111"/>
    <mergeCell ref="C111:L111"/>
    <mergeCell ref="C109:L109"/>
    <mergeCell ref="C108:L108"/>
    <mergeCell ref="C110:L110"/>
    <mergeCell ref="M110:N110"/>
    <mergeCell ref="M116:N116"/>
    <mergeCell ref="M117:N117"/>
    <mergeCell ref="C112:L112"/>
    <mergeCell ref="M112:N112"/>
    <mergeCell ref="M115:N115"/>
    <mergeCell ref="M113:N113"/>
    <mergeCell ref="C113:L113"/>
    <mergeCell ref="C114:L114"/>
    <mergeCell ref="C115:L115"/>
    <mergeCell ref="M114:N114"/>
    <mergeCell ref="C125:L125"/>
    <mergeCell ref="O122:P122"/>
    <mergeCell ref="C122:L122"/>
    <mergeCell ref="M122:N122"/>
    <mergeCell ref="O123:P123"/>
    <mergeCell ref="M125:N125"/>
    <mergeCell ref="O125:P125"/>
    <mergeCell ref="O124:P124"/>
    <mergeCell ref="C126:L126"/>
    <mergeCell ref="M126:N126"/>
    <mergeCell ref="C128:L128"/>
    <mergeCell ref="C129:L129"/>
    <mergeCell ref="C130:L130"/>
    <mergeCell ref="C131:L131"/>
    <mergeCell ref="C118:L118"/>
    <mergeCell ref="O112:P112"/>
    <mergeCell ref="O113:P113"/>
    <mergeCell ref="C124:L124"/>
    <mergeCell ref="C123:L123"/>
    <mergeCell ref="M124:N124"/>
    <mergeCell ref="M123:N123"/>
    <mergeCell ref="C116:L116"/>
    <mergeCell ref="C120:L120"/>
    <mergeCell ref="C121:L121"/>
    <mergeCell ref="M121:N121"/>
    <mergeCell ref="C119:L119"/>
    <mergeCell ref="C117:L117"/>
    <mergeCell ref="O120:P120"/>
    <mergeCell ref="O119:P119"/>
    <mergeCell ref="O117:P117"/>
    <mergeCell ref="O121:P121"/>
    <mergeCell ref="M119:N119"/>
    <mergeCell ref="M147:N147"/>
    <mergeCell ref="M148:N148"/>
    <mergeCell ref="C148:L148"/>
    <mergeCell ref="O149:P149"/>
    <mergeCell ref="O148:P148"/>
    <mergeCell ref="M149:N149"/>
    <mergeCell ref="C147:L147"/>
    <mergeCell ref="C149:L149"/>
    <mergeCell ref="O147:P147"/>
    <mergeCell ref="C146:L146"/>
    <mergeCell ref="O146:P146"/>
    <mergeCell ref="M146:N146"/>
    <mergeCell ref="M145:N145"/>
    <mergeCell ref="O145:P145"/>
    <mergeCell ref="C145:L145"/>
    <mergeCell ref="M150:N150"/>
    <mergeCell ref="C127:L127"/>
    <mergeCell ref="C136:L136"/>
    <mergeCell ref="C134:L134"/>
    <mergeCell ref="C132:L132"/>
    <mergeCell ref="C133:L133"/>
    <mergeCell ref="C135:L135"/>
    <mergeCell ref="M142:N142"/>
    <mergeCell ref="M134:N134"/>
    <mergeCell ref="M133:N133"/>
    <mergeCell ref="M138:N138"/>
    <mergeCell ref="C143:L143"/>
    <mergeCell ref="C139:L139"/>
    <mergeCell ref="C141:L141"/>
    <mergeCell ref="C138:L138"/>
    <mergeCell ref="O162:P162"/>
    <mergeCell ref="O161:P161"/>
    <mergeCell ref="C153:L153"/>
    <mergeCell ref="C150:L150"/>
    <mergeCell ref="C152:L152"/>
    <mergeCell ref="M152:N152"/>
    <mergeCell ref="C151:L151"/>
    <mergeCell ref="M151:N151"/>
    <mergeCell ref="M153:N153"/>
    <mergeCell ref="O156:P156"/>
    <mergeCell ref="M155:N155"/>
    <mergeCell ref="M156:N156"/>
    <mergeCell ref="C154:L154"/>
    <mergeCell ref="M154:N154"/>
    <mergeCell ref="O151:P151"/>
    <mergeCell ref="O152:P152"/>
    <mergeCell ref="O154:P154"/>
    <mergeCell ref="O153:P153"/>
    <mergeCell ref="M160:N160"/>
    <mergeCell ref="O150:P150"/>
    <mergeCell ref="C167:L167"/>
    <mergeCell ref="O168:P168"/>
    <mergeCell ref="O167:P167"/>
    <mergeCell ref="M167:N167"/>
    <mergeCell ref="C170:L170"/>
    <mergeCell ref="M170:N170"/>
    <mergeCell ref="M168:N168"/>
    <mergeCell ref="M166:N166"/>
    <mergeCell ref="C171:L171"/>
    <mergeCell ref="M171:N171"/>
    <mergeCell ref="C169:L169"/>
    <mergeCell ref="M161:N161"/>
    <mergeCell ref="O160:P160"/>
    <mergeCell ref="C160:L160"/>
    <mergeCell ref="C157:L157"/>
    <mergeCell ref="O155:P155"/>
    <mergeCell ref="M157:N157"/>
    <mergeCell ref="C156:L156"/>
    <mergeCell ref="C155:L155"/>
    <mergeCell ref="O157:P157"/>
    <mergeCell ref="C159:L159"/>
    <mergeCell ref="O159:P159"/>
    <mergeCell ref="M159:N159"/>
    <mergeCell ref="C158:L158"/>
    <mergeCell ref="M158:N158"/>
    <mergeCell ref="O158:P158"/>
    <mergeCell ref="C163:L163"/>
    <mergeCell ref="M162:N162"/>
    <mergeCell ref="O163:P163"/>
    <mergeCell ref="C161:L161"/>
    <mergeCell ref="C162:L162"/>
    <mergeCell ref="M163:N163"/>
    <mergeCell ref="C173:L173"/>
    <mergeCell ref="C179:L179"/>
    <mergeCell ref="O175:P175"/>
    <mergeCell ref="O174:P174"/>
    <mergeCell ref="O177:P177"/>
    <mergeCell ref="C177:L177"/>
    <mergeCell ref="M177:N177"/>
    <mergeCell ref="M179:N179"/>
    <mergeCell ref="M178:N178"/>
    <mergeCell ref="M174:N174"/>
    <mergeCell ref="O180:P180"/>
    <mergeCell ref="O181:P181"/>
    <mergeCell ref="O182:P182"/>
    <mergeCell ref="Q182:R182"/>
    <mergeCell ref="C164:L164"/>
    <mergeCell ref="C165:L165"/>
    <mergeCell ref="C168:L168"/>
    <mergeCell ref="O165:P165"/>
    <mergeCell ref="M165:N165"/>
    <mergeCell ref="M164:N164"/>
    <mergeCell ref="O164:P164"/>
    <mergeCell ref="C166:L166"/>
    <mergeCell ref="M173:N173"/>
    <mergeCell ref="M172:N172"/>
    <mergeCell ref="O171:P171"/>
    <mergeCell ref="O172:P172"/>
    <mergeCell ref="O173:P173"/>
    <mergeCell ref="O169:P169"/>
    <mergeCell ref="M169:N169"/>
    <mergeCell ref="O170:P170"/>
    <mergeCell ref="C172:L172"/>
    <mergeCell ref="O166:P166"/>
    <mergeCell ref="M184:N184"/>
    <mergeCell ref="O176:P176"/>
    <mergeCell ref="C176:L176"/>
    <mergeCell ref="M176:N176"/>
    <mergeCell ref="C174:L174"/>
    <mergeCell ref="M175:N175"/>
    <mergeCell ref="C175:L175"/>
    <mergeCell ref="Q180:R180"/>
    <mergeCell ref="O178:P178"/>
    <mergeCell ref="O179:P179"/>
    <mergeCell ref="C182:L182"/>
    <mergeCell ref="C178:L178"/>
    <mergeCell ref="C180:L180"/>
    <mergeCell ref="M182:N182"/>
    <mergeCell ref="M181:N181"/>
    <mergeCell ref="C181:L181"/>
    <mergeCell ref="M180:N180"/>
    <mergeCell ref="Q187:R187"/>
    <mergeCell ref="S189:T189"/>
    <mergeCell ref="S188:T188"/>
    <mergeCell ref="Q188:R188"/>
    <mergeCell ref="Q189:R189"/>
    <mergeCell ref="S187:T187"/>
    <mergeCell ref="O190:P190"/>
    <mergeCell ref="O189:P189"/>
    <mergeCell ref="M190:N190"/>
    <mergeCell ref="O193:P193"/>
    <mergeCell ref="C188:L188"/>
    <mergeCell ref="C190:L190"/>
    <mergeCell ref="C189:L189"/>
    <mergeCell ref="M188:N188"/>
    <mergeCell ref="O188:P188"/>
    <mergeCell ref="M189:N189"/>
    <mergeCell ref="C183:L183"/>
    <mergeCell ref="M183:N183"/>
    <mergeCell ref="C186:L186"/>
    <mergeCell ref="Q186:R186"/>
    <mergeCell ref="C184:L184"/>
    <mergeCell ref="Q185:R185"/>
    <mergeCell ref="O183:P183"/>
    <mergeCell ref="C187:L187"/>
    <mergeCell ref="M187:N187"/>
    <mergeCell ref="M186:N186"/>
    <mergeCell ref="O184:P184"/>
    <mergeCell ref="C185:L185"/>
    <mergeCell ref="M185:N185"/>
    <mergeCell ref="O185:P185"/>
    <mergeCell ref="O187:P187"/>
    <mergeCell ref="O186:P186"/>
    <mergeCell ref="C191:L191"/>
    <mergeCell ref="C195:L195"/>
    <mergeCell ref="C194:L194"/>
    <mergeCell ref="C192:L192"/>
    <mergeCell ref="C193:L193"/>
    <mergeCell ref="Q193:R193"/>
    <mergeCell ref="Q192:R192"/>
    <mergeCell ref="O194:P194"/>
    <mergeCell ref="U195:V195"/>
    <mergeCell ref="U194:V194"/>
    <mergeCell ref="Q195:R195"/>
    <mergeCell ref="S195:T195"/>
    <mergeCell ref="O195:P195"/>
    <mergeCell ref="S192:T192"/>
    <mergeCell ref="O192:P192"/>
    <mergeCell ref="S193:T193"/>
    <mergeCell ref="S190:T190"/>
    <mergeCell ref="Q190:R190"/>
    <mergeCell ref="M192:N192"/>
    <mergeCell ref="O191:P191"/>
    <mergeCell ref="M191:N191"/>
    <mergeCell ref="S198:T198"/>
    <mergeCell ref="S197:T197"/>
    <mergeCell ref="Q197:R197"/>
    <mergeCell ref="O197:P197"/>
    <mergeCell ref="Q198:R198"/>
    <mergeCell ref="O198:P198"/>
    <mergeCell ref="C199:L199"/>
    <mergeCell ref="M199:N199"/>
    <mergeCell ref="C196:L196"/>
    <mergeCell ref="C200:L200"/>
    <mergeCell ref="C197:L197"/>
    <mergeCell ref="C198:L198"/>
    <mergeCell ref="M201:N201"/>
    <mergeCell ref="M197:N197"/>
    <mergeCell ref="M195:N195"/>
    <mergeCell ref="M194:N194"/>
    <mergeCell ref="M193:N193"/>
    <mergeCell ref="Q194:R194"/>
    <mergeCell ref="Q199:R199"/>
    <mergeCell ref="O200:P200"/>
    <mergeCell ref="O199:P199"/>
    <mergeCell ref="Q200:R200"/>
    <mergeCell ref="M200:N200"/>
    <mergeCell ref="M198:N198"/>
    <mergeCell ref="C201:L201"/>
    <mergeCell ref="M202:N202"/>
    <mergeCell ref="O202:P202"/>
    <mergeCell ref="O201:P201"/>
    <mergeCell ref="C202:L202"/>
    <mergeCell ref="Q203:R203"/>
    <mergeCell ref="Q202:R202"/>
    <mergeCell ref="Q201:R201"/>
    <mergeCell ref="Q196:R196"/>
    <mergeCell ref="M196:N196"/>
    <mergeCell ref="O196:P196"/>
    <mergeCell ref="O205:P205"/>
    <mergeCell ref="M208:N208"/>
    <mergeCell ref="C207:L207"/>
    <mergeCell ref="M207:N207"/>
    <mergeCell ref="C208:L208"/>
    <mergeCell ref="M205:N205"/>
    <mergeCell ref="C205:L205"/>
    <mergeCell ref="M206:N206"/>
    <mergeCell ref="C206:L206"/>
    <mergeCell ref="C203:L203"/>
    <mergeCell ref="M203:N203"/>
    <mergeCell ref="C204:L204"/>
    <mergeCell ref="M204:N204"/>
    <mergeCell ref="Q205:R205"/>
    <mergeCell ref="O211:P211"/>
    <mergeCell ref="Q210:R210"/>
    <mergeCell ref="Q211:R211"/>
    <mergeCell ref="O207:P207"/>
    <mergeCell ref="Q206:R206"/>
    <mergeCell ref="Q207:R207"/>
    <mergeCell ref="O206:P206"/>
    <mergeCell ref="Q208:R208"/>
    <mergeCell ref="Q209:R209"/>
    <mergeCell ref="O209:P209"/>
    <mergeCell ref="O208:P208"/>
    <mergeCell ref="O203:P203"/>
    <mergeCell ref="Q204:R204"/>
    <mergeCell ref="O204:P204"/>
    <mergeCell ref="Q215:R215"/>
    <mergeCell ref="Q216:R216"/>
    <mergeCell ref="C215:L215"/>
    <mergeCell ref="M216:N216"/>
    <mergeCell ref="C216:L216"/>
    <mergeCell ref="M215:N215"/>
    <mergeCell ref="O213:P213"/>
    <mergeCell ref="C213:L213"/>
    <mergeCell ref="C211:L211"/>
    <mergeCell ref="C210:L210"/>
    <mergeCell ref="C212:L212"/>
    <mergeCell ref="O210:P210"/>
    <mergeCell ref="M212:N212"/>
    <mergeCell ref="M211:N211"/>
    <mergeCell ref="O212:P212"/>
    <mergeCell ref="M210:N210"/>
    <mergeCell ref="C209:L209"/>
    <mergeCell ref="M209:N209"/>
    <mergeCell ref="C219:L219"/>
    <mergeCell ref="C218:L218"/>
    <mergeCell ref="O219:P219"/>
    <mergeCell ref="M213:N213"/>
    <mergeCell ref="M214:N214"/>
    <mergeCell ref="O218:P218"/>
    <mergeCell ref="M219:N219"/>
    <mergeCell ref="M218:N218"/>
    <mergeCell ref="M217:N217"/>
    <mergeCell ref="C217:L217"/>
    <mergeCell ref="O221:P221"/>
    <mergeCell ref="O220:P220"/>
    <mergeCell ref="C221:L221"/>
    <mergeCell ref="C220:L220"/>
    <mergeCell ref="M221:N221"/>
    <mergeCell ref="M220:N220"/>
    <mergeCell ref="C224:L224"/>
    <mergeCell ref="C222:L222"/>
    <mergeCell ref="O224:P224"/>
    <mergeCell ref="O222:P222"/>
    <mergeCell ref="M224:N224"/>
    <mergeCell ref="C223:L223"/>
    <mergeCell ref="O223:P223"/>
    <mergeCell ref="M223:N223"/>
    <mergeCell ref="M222:N222"/>
    <mergeCell ref="O215:P215"/>
    <mergeCell ref="O214:P214"/>
    <mergeCell ref="O216:P216"/>
    <mergeCell ref="O217:P217"/>
    <mergeCell ref="C214:L214"/>
    <mergeCell ref="C227:L227"/>
    <mergeCell ref="C226:L226"/>
    <mergeCell ref="C225:L225"/>
    <mergeCell ref="O226:P226"/>
    <mergeCell ref="M226:N226"/>
    <mergeCell ref="O225:P225"/>
    <mergeCell ref="M227:N227"/>
    <mergeCell ref="M225:N225"/>
    <mergeCell ref="O227:P227"/>
    <mergeCell ref="C229:L229"/>
    <mergeCell ref="C228:L228"/>
    <mergeCell ref="O230:P230"/>
    <mergeCell ref="O229:P229"/>
    <mergeCell ref="M229:N229"/>
    <mergeCell ref="C230:L230"/>
    <mergeCell ref="M228:N228"/>
    <mergeCell ref="O228:P228"/>
    <mergeCell ref="M230:N230"/>
    <mergeCell ref="C245:L245"/>
    <mergeCell ref="M244:N244"/>
    <mergeCell ref="M243:N243"/>
    <mergeCell ref="M245:N245"/>
    <mergeCell ref="C235:L235"/>
    <mergeCell ref="O237:P237"/>
    <mergeCell ref="C236:L236"/>
    <mergeCell ref="Q233:R233"/>
    <mergeCell ref="O233:P233"/>
    <mergeCell ref="C238:L238"/>
    <mergeCell ref="Q234:R234"/>
    <mergeCell ref="Q235:R235"/>
    <mergeCell ref="Q236:R236"/>
    <mergeCell ref="C237:L237"/>
    <mergeCell ref="C233:L233"/>
    <mergeCell ref="O239:P239"/>
    <mergeCell ref="Q239:R239"/>
    <mergeCell ref="O242:P242"/>
    <mergeCell ref="Q240:R240"/>
    <mergeCell ref="M238:N238"/>
    <mergeCell ref="O241:P241"/>
    <mergeCell ref="Q238:R238"/>
    <mergeCell ref="Q241:R241"/>
    <mergeCell ref="O238:P238"/>
    <mergeCell ref="C242:L242"/>
    <mergeCell ref="M240:N240"/>
    <mergeCell ref="C239:L239"/>
    <mergeCell ref="C241:L241"/>
    <mergeCell ref="M242:N242"/>
    <mergeCell ref="M239:N239"/>
    <mergeCell ref="M241:N241"/>
    <mergeCell ref="C240:L240"/>
    <mergeCell ref="C244:L244"/>
    <mergeCell ref="O240:P240"/>
    <mergeCell ref="C243:L243"/>
    <mergeCell ref="Q245:R245"/>
    <mergeCell ref="Q248:R248"/>
    <mergeCell ref="Q246:R246"/>
    <mergeCell ref="Q247:R247"/>
    <mergeCell ref="O254:P254"/>
    <mergeCell ref="Q251:R251"/>
    <mergeCell ref="Q254:R254"/>
    <mergeCell ref="O231:P231"/>
    <mergeCell ref="M232:N232"/>
    <mergeCell ref="M233:N233"/>
    <mergeCell ref="C232:L232"/>
    <mergeCell ref="C234:L234"/>
    <mergeCell ref="C231:L231"/>
    <mergeCell ref="O232:P232"/>
    <mergeCell ref="M231:N231"/>
    <mergeCell ref="Q237:R237"/>
    <mergeCell ref="O234:P234"/>
    <mergeCell ref="M237:N237"/>
    <mergeCell ref="M236:N236"/>
    <mergeCell ref="M235:N235"/>
    <mergeCell ref="O235:P235"/>
    <mergeCell ref="O236:P236"/>
    <mergeCell ref="M234:N234"/>
    <mergeCell ref="O248:P248"/>
    <mergeCell ref="Q244:R244"/>
    <mergeCell ref="Q243:R243"/>
    <mergeCell ref="O244:P244"/>
    <mergeCell ref="O243:P243"/>
    <mergeCell ref="O246:P246"/>
    <mergeCell ref="O245:P245"/>
    <mergeCell ref="O247:P247"/>
    <mergeCell ref="Q242:R242"/>
    <mergeCell ref="Q256:R256"/>
    <mergeCell ref="Q258:R258"/>
    <mergeCell ref="Q268:R268"/>
    <mergeCell ref="O263:P263"/>
    <mergeCell ref="Q270:R270"/>
    <mergeCell ref="Q269:R269"/>
    <mergeCell ref="O266:P266"/>
    <mergeCell ref="O270:P270"/>
    <mergeCell ref="O269:P269"/>
    <mergeCell ref="O268:P268"/>
    <mergeCell ref="Q267:R267"/>
    <mergeCell ref="Q266:R266"/>
    <mergeCell ref="O249:P249"/>
    <mergeCell ref="O253:P253"/>
    <mergeCell ref="O251:P251"/>
    <mergeCell ref="O252:P252"/>
    <mergeCell ref="Q252:R252"/>
    <mergeCell ref="O250:P250"/>
    <mergeCell ref="Q249:R249"/>
    <mergeCell ref="Q250:R250"/>
    <mergeCell ref="O258:P258"/>
    <mergeCell ref="O255:P255"/>
    <mergeCell ref="Q255:R255"/>
    <mergeCell ref="O264:P264"/>
    <mergeCell ref="O267:P267"/>
    <mergeCell ref="O256:P256"/>
    <mergeCell ref="Q273:R273"/>
    <mergeCell ref="M263:N263"/>
    <mergeCell ref="M264:N264"/>
    <mergeCell ref="M258:N258"/>
    <mergeCell ref="C257:L257"/>
    <mergeCell ref="C258:L258"/>
    <mergeCell ref="C263:L263"/>
    <mergeCell ref="M262:N262"/>
    <mergeCell ref="C265:L265"/>
    <mergeCell ref="C269:L269"/>
    <mergeCell ref="O260:P260"/>
    <mergeCell ref="O265:P265"/>
    <mergeCell ref="Q261:R261"/>
    <mergeCell ref="Q264:R264"/>
    <mergeCell ref="Q265:R265"/>
    <mergeCell ref="Q263:R263"/>
    <mergeCell ref="Q262:R262"/>
    <mergeCell ref="O261:P261"/>
    <mergeCell ref="O259:P259"/>
    <mergeCell ref="O262:P262"/>
    <mergeCell ref="Q257:R257"/>
    <mergeCell ref="Q260:R260"/>
    <mergeCell ref="Q259:R259"/>
    <mergeCell ref="O257:P257"/>
    <mergeCell ref="M259:N259"/>
    <mergeCell ref="M260:N260"/>
    <mergeCell ref="C262:L262"/>
    <mergeCell ref="C260:L260"/>
    <mergeCell ref="C259:L259"/>
    <mergeCell ref="M261:N261"/>
    <mergeCell ref="M266:N266"/>
    <mergeCell ref="M269:N269"/>
    <mergeCell ref="C251:L251"/>
    <mergeCell ref="C253:L253"/>
    <mergeCell ref="M252:N252"/>
    <mergeCell ref="C252:L252"/>
    <mergeCell ref="M251:N251"/>
    <mergeCell ref="M253:N253"/>
    <mergeCell ref="M248:N248"/>
    <mergeCell ref="M254:N254"/>
    <mergeCell ref="M255:N255"/>
    <mergeCell ref="M249:N249"/>
    <mergeCell ref="C249:L249"/>
    <mergeCell ref="M250:N250"/>
    <mergeCell ref="C254:L254"/>
    <mergeCell ref="C255:L255"/>
    <mergeCell ref="M257:N257"/>
    <mergeCell ref="M246:N246"/>
    <mergeCell ref="M256:N256"/>
    <mergeCell ref="M247:N247"/>
    <mergeCell ref="C247:L247"/>
    <mergeCell ref="C250:L250"/>
    <mergeCell ref="C248:L248"/>
    <mergeCell ref="C246:L246"/>
    <mergeCell ref="C256:L256"/>
    <mergeCell ref="M267:N267"/>
    <mergeCell ref="M268:N268"/>
    <mergeCell ref="M265:N265"/>
    <mergeCell ref="C285:L285"/>
    <mergeCell ref="C298:L298"/>
    <mergeCell ref="C304:L304"/>
    <mergeCell ref="C302:L302"/>
    <mergeCell ref="C303:L303"/>
    <mergeCell ref="C299:L299"/>
    <mergeCell ref="C301:L301"/>
    <mergeCell ref="C290:L290"/>
    <mergeCell ref="C292:L292"/>
    <mergeCell ref="C279:L279"/>
    <mergeCell ref="C270:L270"/>
    <mergeCell ref="C261:L261"/>
    <mergeCell ref="M283:N283"/>
    <mergeCell ref="C274:L274"/>
    <mergeCell ref="M274:N274"/>
    <mergeCell ref="M273:N273"/>
    <mergeCell ref="M271:N271"/>
    <mergeCell ref="M270:N270"/>
    <mergeCell ref="C284:L284"/>
    <mergeCell ref="M272:N272"/>
    <mergeCell ref="C267:L267"/>
    <mergeCell ref="C276:L276"/>
    <mergeCell ref="C277:L277"/>
    <mergeCell ref="C283:L283"/>
    <mergeCell ref="C280:L280"/>
    <mergeCell ref="C278:L278"/>
    <mergeCell ref="C282:L282"/>
    <mergeCell ref="C271:L271"/>
    <mergeCell ref="C268:L268"/>
    <mergeCell ref="C264:L264"/>
    <mergeCell ref="C312:L312"/>
    <mergeCell ref="C316:L316"/>
    <mergeCell ref="C314:L314"/>
    <mergeCell ref="C306:L306"/>
    <mergeCell ref="C286:L286"/>
    <mergeCell ref="C294:L294"/>
    <mergeCell ref="C295:L295"/>
    <mergeCell ref="C296:L296"/>
    <mergeCell ref="C300:L300"/>
    <mergeCell ref="C272:L272"/>
    <mergeCell ref="C273:L273"/>
    <mergeCell ref="C266:L266"/>
    <mergeCell ref="C275:L275"/>
    <mergeCell ref="C281:L281"/>
    <mergeCell ref="C320:L320"/>
    <mergeCell ref="C321:L321"/>
    <mergeCell ref="C319:L319"/>
    <mergeCell ref="C313:L313"/>
    <mergeCell ref="C322:L322"/>
    <mergeCell ref="C309:L309"/>
    <mergeCell ref="C311:L311"/>
    <mergeCell ref="C318:L318"/>
    <mergeCell ref="C317:L317"/>
    <mergeCell ref="C315:L315"/>
    <mergeCell ref="C307:L307"/>
    <mergeCell ref="C308:L308"/>
    <mergeCell ref="C297:L297"/>
    <mergeCell ref="C287:L287"/>
    <mergeCell ref="C289:L289"/>
    <mergeCell ref="C293:L293"/>
    <mergeCell ref="C288:L288"/>
    <mergeCell ref="C291:L291"/>
    <mergeCell ref="C305:L305"/>
    <mergeCell ref="C310:L310"/>
    <mergeCell ref="M323:N323"/>
    <mergeCell ref="M324:N324"/>
    <mergeCell ref="C323:L323"/>
    <mergeCell ref="M330:N330"/>
    <mergeCell ref="M328:N328"/>
    <mergeCell ref="C328:L328"/>
    <mergeCell ref="O323:P323"/>
    <mergeCell ref="C335:L335"/>
    <mergeCell ref="M335:N335"/>
    <mergeCell ref="C324:L324"/>
    <mergeCell ref="C325:L325"/>
    <mergeCell ref="C331:L331"/>
    <mergeCell ref="C332:L332"/>
    <mergeCell ref="M332:N332"/>
    <mergeCell ref="M327:N327"/>
    <mergeCell ref="M326:N326"/>
    <mergeCell ref="M329:N329"/>
    <mergeCell ref="M331:N331"/>
    <mergeCell ref="O334:P334"/>
    <mergeCell ref="O332:P332"/>
    <mergeCell ref="M333:N333"/>
    <mergeCell ref="O333:P333"/>
    <mergeCell ref="O331:P331"/>
    <mergeCell ref="M334:N334"/>
    <mergeCell ref="C334:L334"/>
    <mergeCell ref="O324:P324"/>
    <mergeCell ref="C333:L333"/>
    <mergeCell ref="O328:P328"/>
    <mergeCell ref="O327:P327"/>
    <mergeCell ref="O329:P329"/>
    <mergeCell ref="O326:P326"/>
    <mergeCell ref="M340:N340"/>
    <mergeCell ref="C330:L330"/>
    <mergeCell ref="M325:N325"/>
    <mergeCell ref="C329:L329"/>
    <mergeCell ref="C326:L326"/>
    <mergeCell ref="C327:L327"/>
    <mergeCell ref="O337:P337"/>
    <mergeCell ref="C336:L336"/>
    <mergeCell ref="C338:L338"/>
    <mergeCell ref="M338:N338"/>
    <mergeCell ref="M339:N339"/>
    <mergeCell ref="C337:L337"/>
    <mergeCell ref="C339:L339"/>
    <mergeCell ref="M337:N337"/>
    <mergeCell ref="M336:N336"/>
    <mergeCell ref="C349:L349"/>
    <mergeCell ref="C344:L344"/>
    <mergeCell ref="M344:N344"/>
    <mergeCell ref="C340:L340"/>
    <mergeCell ref="C343:L343"/>
    <mergeCell ref="M343:N343"/>
    <mergeCell ref="M341:N341"/>
    <mergeCell ref="C342:L342"/>
    <mergeCell ref="C341:L341"/>
    <mergeCell ref="M342:N342"/>
    <mergeCell ref="O330:P330"/>
    <mergeCell ref="O347:P347"/>
    <mergeCell ref="O345:P345"/>
    <mergeCell ref="O346:P346"/>
    <mergeCell ref="C345:L345"/>
    <mergeCell ref="M345:N345"/>
    <mergeCell ref="M347:N347"/>
    <mergeCell ref="M346:N346"/>
    <mergeCell ref="C346:L346"/>
    <mergeCell ref="C348:L348"/>
    <mergeCell ref="C347:L347"/>
    <mergeCell ref="M348:N348"/>
    <mergeCell ref="M349:N349"/>
    <mergeCell ref="U350:V350"/>
    <mergeCell ref="U351:V351"/>
    <mergeCell ref="Q351:R351"/>
    <mergeCell ref="S351:T351"/>
    <mergeCell ref="M351:N351"/>
    <mergeCell ref="S350:T350"/>
    <mergeCell ref="Q352:R352"/>
    <mergeCell ref="U352:V352"/>
    <mergeCell ref="Q346:R346"/>
    <mergeCell ref="C353:L353"/>
    <mergeCell ref="C352:L352"/>
    <mergeCell ref="M353:N353"/>
    <mergeCell ref="C351:L351"/>
    <mergeCell ref="O353:P353"/>
    <mergeCell ref="O350:P350"/>
    <mergeCell ref="O352:P352"/>
    <mergeCell ref="M352:N352"/>
    <mergeCell ref="M350:N350"/>
    <mergeCell ref="Q353:R353"/>
    <mergeCell ref="O351:P351"/>
    <mergeCell ref="Q350:R350"/>
    <mergeCell ref="C350:L350"/>
    <mergeCell ref="U353:V353"/>
    <mergeCell ref="U355:V355"/>
    <mergeCell ref="S355:T355"/>
    <mergeCell ref="S354:T354"/>
    <mergeCell ref="U354:V354"/>
    <mergeCell ref="U357:V357"/>
    <mergeCell ref="U356:V356"/>
    <mergeCell ref="U358:V358"/>
    <mergeCell ref="S363:T363"/>
    <mergeCell ref="S359:T359"/>
    <mergeCell ref="S356:T356"/>
    <mergeCell ref="S357:T357"/>
    <mergeCell ref="U359:V359"/>
    <mergeCell ref="S364:T364"/>
    <mergeCell ref="U362:V362"/>
    <mergeCell ref="U360:V360"/>
    <mergeCell ref="S360:T360"/>
    <mergeCell ref="U364:V364"/>
    <mergeCell ref="U363:V363"/>
    <mergeCell ref="S362:T362"/>
    <mergeCell ref="S361:T361"/>
    <mergeCell ref="U361:V361"/>
    <mergeCell ref="U379:V379"/>
    <mergeCell ref="U373:V373"/>
    <mergeCell ref="U366:V366"/>
    <mergeCell ref="U368:V368"/>
    <mergeCell ref="U365:V365"/>
    <mergeCell ref="U367:V367"/>
    <mergeCell ref="U369:V369"/>
    <mergeCell ref="U371:V371"/>
    <mergeCell ref="U370:V370"/>
    <mergeCell ref="U372:V372"/>
    <mergeCell ref="U391:V391"/>
    <mergeCell ref="S392:T392"/>
    <mergeCell ref="S391:T391"/>
    <mergeCell ref="U380:V380"/>
    <mergeCell ref="U381:V381"/>
    <mergeCell ref="U374:V374"/>
    <mergeCell ref="U377:V377"/>
    <mergeCell ref="U376:V376"/>
    <mergeCell ref="U375:V375"/>
    <mergeCell ref="U378:V378"/>
    <mergeCell ref="U383:V383"/>
    <mergeCell ref="U382:V382"/>
    <mergeCell ref="S390:T390"/>
    <mergeCell ref="S387:T387"/>
    <mergeCell ref="S385:T385"/>
    <mergeCell ref="S382:T382"/>
    <mergeCell ref="S383:T383"/>
    <mergeCell ref="S384:T384"/>
    <mergeCell ref="S386:T386"/>
    <mergeCell ref="U403:V403"/>
    <mergeCell ref="S413:T413"/>
    <mergeCell ref="S414:T414"/>
    <mergeCell ref="U415:V415"/>
    <mergeCell ref="U414:V414"/>
    <mergeCell ref="U413:V413"/>
    <mergeCell ref="S415:T415"/>
    <mergeCell ref="U394:V394"/>
    <mergeCell ref="U384:V384"/>
    <mergeCell ref="U385:V385"/>
    <mergeCell ref="U386:V386"/>
    <mergeCell ref="U388:V388"/>
    <mergeCell ref="U387:V387"/>
    <mergeCell ref="U389:V389"/>
    <mergeCell ref="U390:V390"/>
    <mergeCell ref="U393:V393"/>
    <mergeCell ref="U392:V392"/>
    <mergeCell ref="S403:T403"/>
    <mergeCell ref="U397:V397"/>
    <mergeCell ref="S396:T396"/>
    <mergeCell ref="U398:V398"/>
    <mergeCell ref="U396:V396"/>
    <mergeCell ref="U395:V395"/>
    <mergeCell ref="U411:V411"/>
    <mergeCell ref="U399:V399"/>
    <mergeCell ref="U400:V400"/>
    <mergeCell ref="S393:T393"/>
    <mergeCell ref="U402:V402"/>
    <mergeCell ref="U408:V408"/>
    <mergeCell ref="U405:V405"/>
    <mergeCell ref="U401:V401"/>
    <mergeCell ref="U425:V425"/>
    <mergeCell ref="S426:T426"/>
    <mergeCell ref="U427:V427"/>
    <mergeCell ref="S429:T429"/>
    <mergeCell ref="S422:T422"/>
    <mergeCell ref="S421:T421"/>
    <mergeCell ref="U420:V420"/>
    <mergeCell ref="S420:T420"/>
    <mergeCell ref="S419:T419"/>
    <mergeCell ref="S423:T423"/>
    <mergeCell ref="U412:V412"/>
    <mergeCell ref="U410:V410"/>
    <mergeCell ref="S407:T407"/>
    <mergeCell ref="S405:T405"/>
    <mergeCell ref="S408:T408"/>
    <mergeCell ref="S409:T409"/>
    <mergeCell ref="S404:T404"/>
    <mergeCell ref="S406:T406"/>
    <mergeCell ref="S412:T412"/>
    <mergeCell ref="U409:V409"/>
    <mergeCell ref="U406:V406"/>
    <mergeCell ref="U407:V407"/>
    <mergeCell ref="U404:V404"/>
    <mergeCell ref="S417:T417"/>
    <mergeCell ref="U417:V417"/>
    <mergeCell ref="U416:V416"/>
    <mergeCell ref="S416:T416"/>
    <mergeCell ref="U429:V429"/>
    <mergeCell ref="U424:V424"/>
    <mergeCell ref="U426:V426"/>
    <mergeCell ref="U419:V419"/>
    <mergeCell ref="Q422:R422"/>
    <mergeCell ref="S430:T430"/>
    <mergeCell ref="Q429:R429"/>
    <mergeCell ref="Q425:R425"/>
    <mergeCell ref="S427:T427"/>
    <mergeCell ref="Q428:R428"/>
    <mergeCell ref="O427:P427"/>
    <mergeCell ref="O426:P426"/>
    <mergeCell ref="O425:P425"/>
    <mergeCell ref="S428:T428"/>
    <mergeCell ref="Q427:R427"/>
    <mergeCell ref="S425:T425"/>
    <mergeCell ref="Q426:R426"/>
    <mergeCell ref="O430:P430"/>
    <mergeCell ref="O429:P429"/>
    <mergeCell ref="O428:P428"/>
    <mergeCell ref="Q430:R430"/>
    <mergeCell ref="Q423:R423"/>
    <mergeCell ref="S424:T424"/>
    <mergeCell ref="Q424:R424"/>
    <mergeCell ref="Q431:R431"/>
    <mergeCell ref="U430:V430"/>
    <mergeCell ref="O432:P432"/>
    <mergeCell ref="S432:T432"/>
    <mergeCell ref="S431:T431"/>
    <mergeCell ref="U428:V428"/>
    <mergeCell ref="U432:V432"/>
    <mergeCell ref="O444:P444"/>
    <mergeCell ref="M445:N445"/>
    <mergeCell ref="M443:N443"/>
    <mergeCell ref="O431:P431"/>
    <mergeCell ref="M432:N432"/>
    <mergeCell ref="O443:P443"/>
    <mergeCell ref="O445:P445"/>
    <mergeCell ref="M444:N444"/>
    <mergeCell ref="U437:V437"/>
    <mergeCell ref="S436:T436"/>
    <mergeCell ref="U436:V436"/>
    <mergeCell ref="U435:V435"/>
    <mergeCell ref="S435:T435"/>
    <mergeCell ref="S434:T434"/>
    <mergeCell ref="Q437:R437"/>
    <mergeCell ref="Q432:R432"/>
    <mergeCell ref="O440:P440"/>
    <mergeCell ref="M439:N439"/>
    <mergeCell ref="U444:V444"/>
    <mergeCell ref="U440:V440"/>
    <mergeCell ref="Q439:R439"/>
    <mergeCell ref="U431:V431"/>
    <mergeCell ref="M430:N430"/>
    <mergeCell ref="U433:V433"/>
    <mergeCell ref="Q433:R433"/>
    <mergeCell ref="C442:L442"/>
    <mergeCell ref="C444:L444"/>
    <mergeCell ref="C445:L445"/>
    <mergeCell ref="C446:L446"/>
    <mergeCell ref="C443:L443"/>
    <mergeCell ref="Q453:R453"/>
    <mergeCell ref="O453:P453"/>
    <mergeCell ref="O452:P452"/>
    <mergeCell ref="Q452:R452"/>
    <mergeCell ref="O451:P451"/>
    <mergeCell ref="M452:N452"/>
    <mergeCell ref="M451:N451"/>
    <mergeCell ref="M453:N453"/>
    <mergeCell ref="U434:V434"/>
    <mergeCell ref="C439:L439"/>
    <mergeCell ref="C440:L440"/>
    <mergeCell ref="C438:L438"/>
    <mergeCell ref="O442:P442"/>
    <mergeCell ref="M442:N442"/>
    <mergeCell ref="S447:T447"/>
    <mergeCell ref="Q449:R449"/>
    <mergeCell ref="S449:T449"/>
    <mergeCell ref="Q448:R448"/>
    <mergeCell ref="U449:V449"/>
    <mergeCell ref="U445:V445"/>
    <mergeCell ref="S444:T444"/>
    <mergeCell ref="Q443:R443"/>
    <mergeCell ref="Q444:R444"/>
    <mergeCell ref="C447:L447"/>
    <mergeCell ref="C451:L451"/>
    <mergeCell ref="C453:L453"/>
    <mergeCell ref="C450:L450"/>
    <mergeCell ref="U458:V458"/>
    <mergeCell ref="S459:T459"/>
    <mergeCell ref="S458:T458"/>
    <mergeCell ref="Q458:R458"/>
    <mergeCell ref="M460:N460"/>
    <mergeCell ref="M459:N459"/>
    <mergeCell ref="U461:V461"/>
    <mergeCell ref="U460:V460"/>
    <mergeCell ref="O460:P460"/>
    <mergeCell ref="O459:P459"/>
    <mergeCell ref="U463:V463"/>
    <mergeCell ref="S460:T460"/>
    <mergeCell ref="Q459:R459"/>
    <mergeCell ref="U462:V462"/>
    <mergeCell ref="S463:T463"/>
    <mergeCell ref="M474:N474"/>
    <mergeCell ref="O474:P474"/>
    <mergeCell ref="Q471:R471"/>
    <mergeCell ref="O473:P473"/>
    <mergeCell ref="Q474:R474"/>
    <mergeCell ref="Q473:R473"/>
    <mergeCell ref="S472:T472"/>
    <mergeCell ref="U467:V467"/>
    <mergeCell ref="O465:P465"/>
    <mergeCell ref="U464:V464"/>
    <mergeCell ref="Q465:R465"/>
    <mergeCell ref="S466:T466"/>
    <mergeCell ref="U465:V465"/>
    <mergeCell ref="Q464:R464"/>
    <mergeCell ref="Q467:R467"/>
    <mergeCell ref="O467:P467"/>
    <mergeCell ref="Q466:R466"/>
    <mergeCell ref="S490:T490"/>
    <mergeCell ref="Q457:R457"/>
    <mergeCell ref="S457:T457"/>
    <mergeCell ref="U457:V457"/>
    <mergeCell ref="U459:V459"/>
    <mergeCell ref="S630:T630"/>
    <mergeCell ref="S626:T626"/>
    <mergeCell ref="Q629:R629"/>
    <mergeCell ref="S628:T628"/>
    <mergeCell ref="U629:V629"/>
    <mergeCell ref="S495:T495"/>
    <mergeCell ref="U627:V627"/>
    <mergeCell ref="U496:V496"/>
    <mergeCell ref="S498:T498"/>
    <mergeCell ref="S496:T496"/>
    <mergeCell ref="S629:T629"/>
    <mergeCell ref="U495:V495"/>
    <mergeCell ref="U497:V497"/>
    <mergeCell ref="S505:T505"/>
    <mergeCell ref="S508:T508"/>
    <mergeCell ref="U508:V508"/>
    <mergeCell ref="U505:V505"/>
    <mergeCell ref="S504:T504"/>
    <mergeCell ref="Q506:R506"/>
    <mergeCell ref="S506:T506"/>
    <mergeCell ref="U506:V506"/>
    <mergeCell ref="S518:T518"/>
    <mergeCell ref="U518:V518"/>
    <mergeCell ref="S536:T536"/>
    <mergeCell ref="U504:V504"/>
    <mergeCell ref="S497:T497"/>
    <mergeCell ref="S499:T499"/>
    <mergeCell ref="S632:T632"/>
    <mergeCell ref="U633:V633"/>
    <mergeCell ref="U632:V632"/>
    <mergeCell ref="S631:T631"/>
    <mergeCell ref="U631:V631"/>
    <mergeCell ref="S633:T633"/>
    <mergeCell ref="S635:T635"/>
    <mergeCell ref="S634:T634"/>
    <mergeCell ref="U483:V483"/>
    <mergeCell ref="S494:T494"/>
    <mergeCell ref="U515:V515"/>
    <mergeCell ref="S514:T514"/>
    <mergeCell ref="U514:V514"/>
    <mergeCell ref="S522:T522"/>
    <mergeCell ref="U522:V522"/>
    <mergeCell ref="S523:T523"/>
    <mergeCell ref="U523:V523"/>
    <mergeCell ref="S524:T524"/>
    <mergeCell ref="U524:V524"/>
    <mergeCell ref="S483:T483"/>
    <mergeCell ref="U487:V487"/>
    <mergeCell ref="S487:T487"/>
    <mergeCell ref="S486:T486"/>
    <mergeCell ref="U489:V489"/>
    <mergeCell ref="U492:V492"/>
    <mergeCell ref="U493:V493"/>
    <mergeCell ref="U494:V494"/>
    <mergeCell ref="U490:V490"/>
    <mergeCell ref="U491:V491"/>
    <mergeCell ref="U536:V536"/>
    <mergeCell ref="U486:V486"/>
    <mergeCell ref="U488:V488"/>
    <mergeCell ref="A1:W2"/>
    <mergeCell ref="Q641:R641"/>
    <mergeCell ref="M641:N641"/>
    <mergeCell ref="S642:T642"/>
    <mergeCell ref="S641:T641"/>
    <mergeCell ref="O641:P641"/>
    <mergeCell ref="U643:V643"/>
    <mergeCell ref="U638:V638"/>
    <mergeCell ref="U639:V639"/>
    <mergeCell ref="S639:T639"/>
    <mergeCell ref="S644:T644"/>
    <mergeCell ref="U644:V644"/>
    <mergeCell ref="U641:V641"/>
    <mergeCell ref="O630:P630"/>
    <mergeCell ref="O635:P635"/>
    <mergeCell ref="O636:P636"/>
    <mergeCell ref="C636:L636"/>
    <mergeCell ref="M632:N632"/>
    <mergeCell ref="M630:N630"/>
    <mergeCell ref="C634:L634"/>
    <mergeCell ref="M634:N634"/>
    <mergeCell ref="M631:N631"/>
    <mergeCell ref="M636:N636"/>
    <mergeCell ref="C639:L639"/>
    <mergeCell ref="C638:L638"/>
    <mergeCell ref="O631:P631"/>
    <mergeCell ref="M635:N635"/>
    <mergeCell ref="M637:N637"/>
    <mergeCell ref="C635:L635"/>
    <mergeCell ref="O639:P639"/>
    <mergeCell ref="M638:N638"/>
    <mergeCell ref="U634:V634"/>
  </mergeCells>
  <phoneticPr fontId="0" type="noConversion"/>
  <pageMargins left="0.74803149606299213" right="0.74803149606299213" top="0.98425196850393704" bottom="0.98425196850393704" header="0.51181102362204722" footer="0.51181102362204722"/>
  <pageSetup paperSize="9" orientation="landscape" r:id="rId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 enableFormatConditionsCalculation="0">
    <tabColor indexed="11"/>
  </sheetPr>
  <dimension ref="A1:AMC95"/>
  <sheetViews>
    <sheetView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G15" sqref="G15"/>
    </sheetView>
  </sheetViews>
  <sheetFormatPr defaultColWidth="10.140625" defaultRowHeight="12.75"/>
  <cols>
    <col min="1" max="1" width="1.7109375" style="78" customWidth="1"/>
    <col min="2" max="2" width="3.85546875" style="78" customWidth="1"/>
    <col min="3" max="3" width="18.7109375" style="130" customWidth="1"/>
    <col min="4" max="4" width="4" style="130" customWidth="1"/>
    <col min="5" max="5" width="4.85546875" style="78" customWidth="1"/>
    <col min="6" max="6" width="4.7109375" style="78" customWidth="1"/>
    <col min="7" max="7" width="5" style="78" customWidth="1"/>
    <col min="8" max="10" width="4" style="78" customWidth="1"/>
    <col min="11" max="11" width="5" style="78" customWidth="1"/>
    <col min="12" max="12" width="4.85546875" style="78" customWidth="1"/>
    <col min="13" max="13" width="4.7109375" style="78" customWidth="1"/>
    <col min="14" max="14" width="5" style="78" customWidth="1"/>
    <col min="15" max="17" width="4" style="78" customWidth="1"/>
    <col min="18" max="21" width="5" style="78" customWidth="1"/>
    <col min="22" max="23" width="4" style="78" customWidth="1"/>
    <col min="24" max="75" width="3.28515625" style="78" bestFit="1" customWidth="1"/>
    <col min="76" max="76" width="4" style="78" bestFit="1" customWidth="1"/>
    <col min="77" max="80" width="3.28515625" style="78" bestFit="1" customWidth="1"/>
    <col min="81" max="84" width="4" style="78" bestFit="1" customWidth="1"/>
    <col min="85" max="88" width="3.28515625" style="78" bestFit="1" customWidth="1"/>
    <col min="89" max="89" width="4" style="78" bestFit="1" customWidth="1"/>
    <col min="90" max="90" width="3.28515625" style="78" bestFit="1" customWidth="1"/>
    <col min="91" max="91" width="4" style="78" bestFit="1" customWidth="1"/>
    <col min="92" max="92" width="3.28515625" style="214" bestFit="1" customWidth="1"/>
    <col min="93" max="93" width="3.28515625" style="78" bestFit="1" customWidth="1"/>
    <col min="94" max="94" width="4" style="78" bestFit="1" customWidth="1"/>
    <col min="95" max="95" width="3.28515625" style="214" bestFit="1" customWidth="1"/>
    <col min="96" max="101" width="3.28515625" style="78" bestFit="1" customWidth="1"/>
    <col min="102" max="102" width="4.5703125" style="78" customWidth="1"/>
    <col min="103" max="115" width="3.28515625" style="78" bestFit="1" customWidth="1"/>
    <col min="116" max="116" width="4.28515625" style="78" customWidth="1"/>
    <col min="117" max="315" width="3.28515625" style="78" bestFit="1" customWidth="1"/>
    <col min="316" max="316" width="3.28515625" style="214" bestFit="1" customWidth="1"/>
    <col min="317" max="319" width="3.28515625" style="78" bestFit="1" customWidth="1"/>
    <col min="320" max="321" width="3.28515625" style="214" bestFit="1" customWidth="1"/>
    <col min="322" max="330" width="3.28515625" style="288" bestFit="1" customWidth="1"/>
    <col min="331" max="368" width="3.28515625" style="78" bestFit="1" customWidth="1"/>
    <col min="369" max="369" width="5.42578125" style="334" customWidth="1"/>
    <col min="370" max="1017" width="10.140625" style="327"/>
    <col min="1018" max="16384" width="10.140625" style="78"/>
  </cols>
  <sheetData>
    <row r="1" spans="1:1017" s="75" customFormat="1" ht="11.25" customHeight="1" thickBot="1">
      <c r="C1" s="294"/>
      <c r="D1" s="294"/>
      <c r="F1" s="321"/>
      <c r="G1" s="321"/>
      <c r="H1" s="321"/>
      <c r="I1" s="321"/>
      <c r="J1" s="321"/>
      <c r="L1" s="321"/>
      <c r="M1" s="321"/>
      <c r="N1" s="321"/>
      <c r="O1" s="321"/>
      <c r="P1" s="321"/>
      <c r="R1" s="321"/>
      <c r="S1" s="321"/>
      <c r="T1" s="321"/>
      <c r="U1" s="321"/>
      <c r="V1" s="321"/>
      <c r="X1" s="321"/>
      <c r="Y1" s="321"/>
      <c r="Z1" s="321"/>
      <c r="AA1" s="321"/>
      <c r="AB1" s="321"/>
      <c r="CN1" s="290"/>
      <c r="CQ1" s="290"/>
      <c r="LD1" s="290"/>
      <c r="LH1" s="290"/>
      <c r="LI1" s="290"/>
      <c r="LJ1" s="124"/>
      <c r="LK1" s="124"/>
      <c r="LL1" s="124"/>
      <c r="LM1" s="124"/>
      <c r="LN1" s="124"/>
      <c r="LO1" s="124"/>
      <c r="LP1" s="124"/>
      <c r="LQ1" s="124"/>
      <c r="LR1" s="124"/>
      <c r="NE1" s="330"/>
      <c r="NF1" s="325"/>
      <c r="NG1" s="325"/>
      <c r="NH1" s="325"/>
      <c r="NI1" s="325"/>
      <c r="NJ1" s="325"/>
      <c r="NK1" s="325"/>
      <c r="NL1" s="325"/>
      <c r="NM1" s="325"/>
      <c r="NN1" s="325"/>
      <c r="NO1" s="325"/>
      <c r="NP1" s="325"/>
      <c r="NQ1" s="325"/>
      <c r="NR1" s="325"/>
      <c r="NS1" s="325"/>
      <c r="NT1" s="325"/>
      <c r="NU1" s="325"/>
      <c r="NV1" s="325"/>
      <c r="NW1" s="325"/>
      <c r="NX1" s="325"/>
      <c r="NY1" s="325"/>
      <c r="NZ1" s="325"/>
      <c r="OA1" s="325"/>
      <c r="OB1" s="325"/>
      <c r="OC1" s="325"/>
      <c r="OD1" s="325"/>
      <c r="OE1" s="325"/>
      <c r="OF1" s="325"/>
      <c r="OG1" s="325"/>
      <c r="OH1" s="325"/>
      <c r="OI1" s="325"/>
      <c r="OJ1" s="325"/>
      <c r="OK1" s="325"/>
      <c r="OL1" s="325"/>
      <c r="OM1" s="325"/>
      <c r="ON1" s="325"/>
      <c r="OO1" s="325"/>
      <c r="OP1" s="325"/>
      <c r="OQ1" s="325"/>
      <c r="OR1" s="325"/>
      <c r="OS1" s="325"/>
      <c r="OT1" s="325"/>
      <c r="OU1" s="325"/>
      <c r="OV1" s="325"/>
      <c r="OW1" s="325"/>
      <c r="OX1" s="325"/>
      <c r="OY1" s="325"/>
      <c r="OZ1" s="325"/>
      <c r="PA1" s="325"/>
      <c r="PB1" s="325"/>
      <c r="PC1" s="325"/>
      <c r="PD1" s="325"/>
      <c r="PE1" s="325"/>
      <c r="PF1" s="325"/>
      <c r="PG1" s="325"/>
      <c r="PH1" s="325"/>
      <c r="PI1" s="325"/>
      <c r="PJ1" s="325"/>
      <c r="PK1" s="325"/>
      <c r="PL1" s="325"/>
      <c r="PM1" s="325"/>
      <c r="PN1" s="325"/>
      <c r="PO1" s="325"/>
      <c r="PP1" s="325"/>
      <c r="PQ1" s="325"/>
      <c r="PR1" s="325"/>
      <c r="PS1" s="325"/>
      <c r="PT1" s="325"/>
      <c r="PU1" s="325"/>
      <c r="PV1" s="325"/>
      <c r="PW1" s="325"/>
      <c r="PX1" s="325"/>
      <c r="PY1" s="325"/>
      <c r="PZ1" s="325"/>
      <c r="QA1" s="325"/>
      <c r="QB1" s="325"/>
      <c r="QC1" s="325"/>
      <c r="QD1" s="325"/>
      <c r="QE1" s="325"/>
      <c r="QF1" s="325"/>
      <c r="QG1" s="325"/>
      <c r="QH1" s="325"/>
      <c r="QI1" s="325"/>
      <c r="QJ1" s="325"/>
      <c r="QK1" s="325"/>
      <c r="QL1" s="325"/>
      <c r="QM1" s="325"/>
      <c r="QN1" s="325"/>
      <c r="QO1" s="325"/>
      <c r="QP1" s="325"/>
      <c r="QQ1" s="325"/>
      <c r="QR1" s="325"/>
      <c r="QS1" s="325"/>
      <c r="QT1" s="325"/>
      <c r="QU1" s="325"/>
      <c r="QV1" s="325"/>
      <c r="QW1" s="325"/>
      <c r="QX1" s="325"/>
      <c r="QY1" s="325"/>
      <c r="QZ1" s="325"/>
      <c r="RA1" s="325"/>
      <c r="RB1" s="325"/>
      <c r="RC1" s="325"/>
      <c r="RD1" s="325"/>
      <c r="RE1" s="325"/>
      <c r="RF1" s="325"/>
      <c r="RG1" s="325"/>
      <c r="RH1" s="325"/>
      <c r="RI1" s="325"/>
      <c r="RJ1" s="325"/>
      <c r="RK1" s="325"/>
      <c r="RL1" s="325"/>
      <c r="RM1" s="325"/>
      <c r="RN1" s="325"/>
      <c r="RO1" s="325"/>
      <c r="RP1" s="325"/>
      <c r="RQ1" s="325"/>
      <c r="RR1" s="325"/>
      <c r="RS1" s="325"/>
      <c r="RT1" s="325"/>
      <c r="RU1" s="325"/>
      <c r="RV1" s="325"/>
      <c r="RW1" s="325"/>
      <c r="RX1" s="325"/>
      <c r="RY1" s="325"/>
      <c r="RZ1" s="325"/>
      <c r="SA1" s="325"/>
      <c r="SB1" s="325"/>
      <c r="SC1" s="325"/>
      <c r="SD1" s="325"/>
      <c r="SE1" s="325"/>
      <c r="SF1" s="325"/>
      <c r="SG1" s="325"/>
      <c r="SH1" s="325"/>
      <c r="SI1" s="325"/>
      <c r="SJ1" s="325"/>
      <c r="SK1" s="325"/>
      <c r="SL1" s="325"/>
      <c r="SM1" s="325"/>
      <c r="SN1" s="325"/>
      <c r="SO1" s="325"/>
      <c r="SP1" s="325"/>
      <c r="SQ1" s="325"/>
      <c r="SR1" s="325"/>
      <c r="SS1" s="325"/>
      <c r="ST1" s="325"/>
      <c r="SU1" s="325"/>
      <c r="SV1" s="325"/>
      <c r="SW1" s="325"/>
      <c r="SX1" s="325"/>
      <c r="SY1" s="325"/>
      <c r="SZ1" s="325"/>
      <c r="TA1" s="325"/>
      <c r="TB1" s="325"/>
      <c r="TC1" s="325"/>
      <c r="TD1" s="325"/>
      <c r="TE1" s="325"/>
      <c r="TF1" s="325"/>
      <c r="TG1" s="325"/>
      <c r="TH1" s="325"/>
      <c r="TI1" s="325"/>
      <c r="TJ1" s="325"/>
      <c r="TK1" s="325"/>
      <c r="TL1" s="325"/>
      <c r="TM1" s="325"/>
      <c r="TN1" s="325"/>
      <c r="TO1" s="325"/>
      <c r="TP1" s="325"/>
      <c r="TQ1" s="325"/>
      <c r="TR1" s="325"/>
      <c r="TS1" s="325"/>
      <c r="TT1" s="325"/>
      <c r="TU1" s="325"/>
      <c r="TV1" s="325"/>
      <c r="TW1" s="325"/>
      <c r="TX1" s="325"/>
      <c r="TY1" s="325"/>
      <c r="TZ1" s="325"/>
      <c r="UA1" s="325"/>
      <c r="UB1" s="325"/>
      <c r="UC1" s="325"/>
      <c r="UD1" s="325"/>
      <c r="UE1" s="325"/>
      <c r="UF1" s="325"/>
      <c r="UG1" s="325"/>
      <c r="UH1" s="325"/>
      <c r="UI1" s="325"/>
      <c r="UJ1" s="325"/>
      <c r="UK1" s="325"/>
      <c r="UL1" s="325"/>
      <c r="UM1" s="325"/>
      <c r="UN1" s="325"/>
      <c r="UO1" s="325"/>
      <c r="UP1" s="325"/>
      <c r="UQ1" s="325"/>
      <c r="UR1" s="325"/>
      <c r="US1" s="325"/>
      <c r="UT1" s="325"/>
      <c r="UU1" s="325"/>
      <c r="UV1" s="325"/>
      <c r="UW1" s="325"/>
      <c r="UX1" s="325"/>
      <c r="UY1" s="325"/>
      <c r="UZ1" s="325"/>
      <c r="VA1" s="325"/>
      <c r="VB1" s="325"/>
      <c r="VC1" s="325"/>
      <c r="VD1" s="325"/>
      <c r="VE1" s="325"/>
      <c r="VF1" s="325"/>
      <c r="VG1" s="325"/>
      <c r="VH1" s="325"/>
      <c r="VI1" s="325"/>
      <c r="VJ1" s="325"/>
      <c r="VK1" s="325"/>
      <c r="VL1" s="325"/>
      <c r="VM1" s="325"/>
      <c r="VN1" s="325"/>
      <c r="VO1" s="325"/>
      <c r="VP1" s="325"/>
      <c r="VQ1" s="325"/>
      <c r="VR1" s="325"/>
      <c r="VS1" s="325"/>
      <c r="VT1" s="325"/>
      <c r="VU1" s="325"/>
      <c r="VV1" s="325"/>
      <c r="VW1" s="325"/>
      <c r="VX1" s="325"/>
      <c r="VY1" s="325"/>
      <c r="VZ1" s="325"/>
      <c r="WA1" s="325"/>
      <c r="WB1" s="325"/>
      <c r="WC1" s="325"/>
      <c r="WD1" s="325"/>
      <c r="WE1" s="325"/>
      <c r="WF1" s="325"/>
      <c r="WG1" s="325"/>
      <c r="WH1" s="325"/>
      <c r="WI1" s="325"/>
      <c r="WJ1" s="325"/>
      <c r="WK1" s="325"/>
      <c r="WL1" s="325"/>
      <c r="WM1" s="325"/>
      <c r="WN1" s="325"/>
      <c r="WO1" s="325"/>
      <c r="WP1" s="325"/>
      <c r="WQ1" s="325"/>
      <c r="WR1" s="325"/>
      <c r="WS1" s="325"/>
      <c r="WT1" s="325"/>
      <c r="WU1" s="325"/>
      <c r="WV1" s="325"/>
      <c r="WW1" s="325"/>
      <c r="WX1" s="325"/>
      <c r="WY1" s="325"/>
      <c r="WZ1" s="325"/>
      <c r="XA1" s="325"/>
      <c r="XB1" s="325"/>
      <c r="XC1" s="325"/>
      <c r="XD1" s="325"/>
      <c r="XE1" s="325"/>
      <c r="XF1" s="325"/>
      <c r="XG1" s="325"/>
      <c r="XH1" s="325"/>
      <c r="XI1" s="325"/>
      <c r="XJ1" s="325"/>
      <c r="XK1" s="325"/>
      <c r="XL1" s="325"/>
      <c r="XM1" s="325"/>
      <c r="XN1" s="325"/>
      <c r="XO1" s="325"/>
      <c r="XP1" s="325"/>
      <c r="XQ1" s="325"/>
      <c r="XR1" s="325"/>
      <c r="XS1" s="325"/>
      <c r="XT1" s="325"/>
      <c r="XU1" s="325"/>
      <c r="XV1" s="325"/>
      <c r="XW1" s="325"/>
      <c r="XX1" s="325"/>
      <c r="XY1" s="325"/>
      <c r="XZ1" s="325"/>
      <c r="YA1" s="325"/>
      <c r="YB1" s="325"/>
      <c r="YC1" s="325"/>
      <c r="YD1" s="325"/>
      <c r="YE1" s="325"/>
      <c r="YF1" s="325"/>
      <c r="YG1" s="325"/>
      <c r="YH1" s="325"/>
      <c r="YI1" s="325"/>
      <c r="YJ1" s="325"/>
      <c r="YK1" s="325"/>
      <c r="YL1" s="325"/>
      <c r="YM1" s="325"/>
      <c r="YN1" s="325"/>
      <c r="YO1" s="325"/>
      <c r="YP1" s="325"/>
      <c r="YQ1" s="325"/>
      <c r="YR1" s="325"/>
      <c r="YS1" s="325"/>
      <c r="YT1" s="325"/>
      <c r="YU1" s="325"/>
      <c r="YV1" s="325"/>
      <c r="YW1" s="325"/>
      <c r="YX1" s="325"/>
      <c r="YY1" s="325"/>
      <c r="YZ1" s="325"/>
      <c r="ZA1" s="325"/>
      <c r="ZB1" s="325"/>
      <c r="ZC1" s="325"/>
      <c r="ZD1" s="325"/>
      <c r="ZE1" s="325"/>
      <c r="ZF1" s="325"/>
      <c r="ZG1" s="325"/>
      <c r="ZH1" s="325"/>
      <c r="ZI1" s="325"/>
      <c r="ZJ1" s="325"/>
      <c r="ZK1" s="325"/>
      <c r="ZL1" s="325"/>
      <c r="ZM1" s="325"/>
      <c r="ZN1" s="325"/>
      <c r="ZO1" s="325"/>
      <c r="ZP1" s="325"/>
      <c r="ZQ1" s="325"/>
      <c r="ZR1" s="325"/>
      <c r="ZS1" s="325"/>
      <c r="ZT1" s="325"/>
      <c r="ZU1" s="325"/>
      <c r="ZV1" s="325"/>
      <c r="ZW1" s="325"/>
      <c r="ZX1" s="325"/>
      <c r="ZY1" s="325"/>
      <c r="ZZ1" s="325"/>
      <c r="AAA1" s="325"/>
      <c r="AAB1" s="325"/>
      <c r="AAC1" s="325"/>
      <c r="AAD1" s="325"/>
      <c r="AAE1" s="325"/>
      <c r="AAF1" s="325"/>
      <c r="AAG1" s="325"/>
      <c r="AAH1" s="325"/>
      <c r="AAI1" s="325"/>
      <c r="AAJ1" s="325"/>
      <c r="AAK1" s="325"/>
      <c r="AAL1" s="325"/>
      <c r="AAM1" s="325"/>
      <c r="AAN1" s="325"/>
      <c r="AAO1" s="325"/>
      <c r="AAP1" s="325"/>
      <c r="AAQ1" s="325"/>
      <c r="AAR1" s="325"/>
      <c r="AAS1" s="325"/>
      <c r="AAT1" s="325"/>
      <c r="AAU1" s="325"/>
      <c r="AAV1" s="325"/>
      <c r="AAW1" s="325"/>
      <c r="AAX1" s="325"/>
      <c r="AAY1" s="325"/>
      <c r="AAZ1" s="325"/>
      <c r="ABA1" s="325"/>
      <c r="ABB1" s="325"/>
      <c r="ABC1" s="325"/>
      <c r="ABD1" s="325"/>
      <c r="ABE1" s="325"/>
      <c r="ABF1" s="325"/>
      <c r="ABG1" s="325"/>
      <c r="ABH1" s="325"/>
      <c r="ABI1" s="325"/>
      <c r="ABJ1" s="325"/>
      <c r="ABK1" s="325"/>
      <c r="ABL1" s="325"/>
      <c r="ABM1" s="325"/>
      <c r="ABN1" s="325"/>
      <c r="ABO1" s="325"/>
      <c r="ABP1" s="325"/>
      <c r="ABQ1" s="325"/>
      <c r="ABR1" s="325"/>
      <c r="ABS1" s="325"/>
      <c r="ABT1" s="325"/>
      <c r="ABU1" s="325"/>
      <c r="ABV1" s="325"/>
      <c r="ABW1" s="325"/>
      <c r="ABX1" s="325"/>
      <c r="ABY1" s="325"/>
      <c r="ABZ1" s="325"/>
      <c r="ACA1" s="325"/>
      <c r="ACB1" s="325"/>
      <c r="ACC1" s="325"/>
      <c r="ACD1" s="325"/>
      <c r="ACE1" s="325"/>
      <c r="ACF1" s="325"/>
      <c r="ACG1" s="325"/>
      <c r="ACH1" s="325"/>
      <c r="ACI1" s="325"/>
      <c r="ACJ1" s="325"/>
      <c r="ACK1" s="325"/>
      <c r="ACL1" s="325"/>
      <c r="ACM1" s="325"/>
      <c r="ACN1" s="325"/>
      <c r="ACO1" s="325"/>
      <c r="ACP1" s="325"/>
      <c r="ACQ1" s="325"/>
      <c r="ACR1" s="325"/>
      <c r="ACS1" s="325"/>
      <c r="ACT1" s="325"/>
      <c r="ACU1" s="325"/>
      <c r="ACV1" s="325"/>
      <c r="ACW1" s="325"/>
      <c r="ACX1" s="325"/>
      <c r="ACY1" s="325"/>
      <c r="ACZ1" s="325"/>
      <c r="ADA1" s="325"/>
      <c r="ADB1" s="325"/>
      <c r="ADC1" s="325"/>
      <c r="ADD1" s="325"/>
      <c r="ADE1" s="325"/>
      <c r="ADF1" s="325"/>
      <c r="ADG1" s="325"/>
      <c r="ADH1" s="325"/>
      <c r="ADI1" s="325"/>
      <c r="ADJ1" s="325"/>
      <c r="ADK1" s="325"/>
      <c r="ADL1" s="325"/>
      <c r="ADM1" s="325"/>
      <c r="ADN1" s="325"/>
      <c r="ADO1" s="325"/>
      <c r="ADP1" s="325"/>
      <c r="ADQ1" s="325"/>
      <c r="ADR1" s="325"/>
      <c r="ADS1" s="325"/>
      <c r="ADT1" s="325"/>
      <c r="ADU1" s="325"/>
      <c r="ADV1" s="325"/>
      <c r="ADW1" s="325"/>
      <c r="ADX1" s="325"/>
      <c r="ADY1" s="325"/>
      <c r="ADZ1" s="325"/>
      <c r="AEA1" s="325"/>
      <c r="AEB1" s="325"/>
      <c r="AEC1" s="325"/>
      <c r="AED1" s="325"/>
      <c r="AEE1" s="325"/>
      <c r="AEF1" s="325"/>
      <c r="AEG1" s="325"/>
      <c r="AEH1" s="325"/>
      <c r="AEI1" s="325"/>
      <c r="AEJ1" s="325"/>
      <c r="AEK1" s="325"/>
      <c r="AEL1" s="325"/>
      <c r="AEM1" s="325"/>
      <c r="AEN1" s="325"/>
      <c r="AEO1" s="325"/>
      <c r="AEP1" s="325"/>
      <c r="AEQ1" s="325"/>
      <c r="AER1" s="325"/>
      <c r="AES1" s="325"/>
      <c r="AET1" s="325"/>
      <c r="AEU1" s="325"/>
      <c r="AEV1" s="325"/>
      <c r="AEW1" s="325"/>
      <c r="AEX1" s="325"/>
      <c r="AEY1" s="325"/>
      <c r="AEZ1" s="325"/>
      <c r="AFA1" s="325"/>
      <c r="AFB1" s="325"/>
      <c r="AFC1" s="325"/>
      <c r="AFD1" s="325"/>
      <c r="AFE1" s="325"/>
      <c r="AFF1" s="325"/>
      <c r="AFG1" s="325"/>
      <c r="AFH1" s="325"/>
      <c r="AFI1" s="325"/>
      <c r="AFJ1" s="325"/>
      <c r="AFK1" s="325"/>
      <c r="AFL1" s="325"/>
      <c r="AFM1" s="325"/>
      <c r="AFN1" s="325"/>
      <c r="AFO1" s="325"/>
      <c r="AFP1" s="325"/>
      <c r="AFQ1" s="325"/>
      <c r="AFR1" s="325"/>
      <c r="AFS1" s="325"/>
      <c r="AFT1" s="325"/>
      <c r="AFU1" s="325"/>
      <c r="AFV1" s="325"/>
      <c r="AFW1" s="325"/>
      <c r="AFX1" s="325"/>
      <c r="AFY1" s="325"/>
      <c r="AFZ1" s="325"/>
      <c r="AGA1" s="325"/>
      <c r="AGB1" s="325"/>
      <c r="AGC1" s="325"/>
      <c r="AGD1" s="325"/>
      <c r="AGE1" s="325"/>
      <c r="AGF1" s="325"/>
      <c r="AGG1" s="325"/>
      <c r="AGH1" s="325"/>
      <c r="AGI1" s="325"/>
      <c r="AGJ1" s="325"/>
      <c r="AGK1" s="325"/>
      <c r="AGL1" s="325"/>
      <c r="AGM1" s="325"/>
      <c r="AGN1" s="325"/>
      <c r="AGO1" s="325"/>
      <c r="AGP1" s="325"/>
      <c r="AGQ1" s="325"/>
      <c r="AGR1" s="325"/>
      <c r="AGS1" s="325"/>
      <c r="AGT1" s="325"/>
      <c r="AGU1" s="325"/>
      <c r="AGV1" s="325"/>
      <c r="AGW1" s="325"/>
      <c r="AGX1" s="325"/>
      <c r="AGY1" s="325"/>
      <c r="AGZ1" s="325"/>
      <c r="AHA1" s="325"/>
      <c r="AHB1" s="325"/>
      <c r="AHC1" s="325"/>
      <c r="AHD1" s="325"/>
      <c r="AHE1" s="325"/>
      <c r="AHF1" s="325"/>
      <c r="AHG1" s="325"/>
      <c r="AHH1" s="325"/>
      <c r="AHI1" s="325"/>
      <c r="AHJ1" s="325"/>
      <c r="AHK1" s="325"/>
      <c r="AHL1" s="325"/>
      <c r="AHM1" s="325"/>
      <c r="AHN1" s="325"/>
      <c r="AHO1" s="325"/>
      <c r="AHP1" s="325"/>
      <c r="AHQ1" s="325"/>
      <c r="AHR1" s="325"/>
      <c r="AHS1" s="325"/>
      <c r="AHT1" s="325"/>
      <c r="AHU1" s="325"/>
      <c r="AHV1" s="325"/>
      <c r="AHW1" s="325"/>
      <c r="AHX1" s="325"/>
      <c r="AHY1" s="325"/>
      <c r="AHZ1" s="325"/>
      <c r="AIA1" s="325"/>
      <c r="AIB1" s="325"/>
      <c r="AIC1" s="325"/>
      <c r="AID1" s="325"/>
      <c r="AIE1" s="325"/>
      <c r="AIF1" s="325"/>
      <c r="AIG1" s="325"/>
      <c r="AIH1" s="325"/>
      <c r="AII1" s="325"/>
      <c r="AIJ1" s="325"/>
      <c r="AIK1" s="325"/>
      <c r="AIL1" s="325"/>
      <c r="AIM1" s="325"/>
      <c r="AIN1" s="325"/>
      <c r="AIO1" s="325"/>
      <c r="AIP1" s="325"/>
      <c r="AIQ1" s="325"/>
      <c r="AIR1" s="325"/>
      <c r="AIS1" s="325"/>
      <c r="AIT1" s="325"/>
      <c r="AIU1" s="325"/>
      <c r="AIV1" s="325"/>
      <c r="AIW1" s="325"/>
      <c r="AIX1" s="325"/>
      <c r="AIY1" s="325"/>
      <c r="AIZ1" s="325"/>
      <c r="AJA1" s="325"/>
      <c r="AJB1" s="325"/>
      <c r="AJC1" s="325"/>
      <c r="AJD1" s="325"/>
      <c r="AJE1" s="325"/>
      <c r="AJF1" s="325"/>
      <c r="AJG1" s="325"/>
      <c r="AJH1" s="325"/>
      <c r="AJI1" s="325"/>
      <c r="AJJ1" s="325"/>
      <c r="AJK1" s="325"/>
      <c r="AJL1" s="325"/>
      <c r="AJM1" s="325"/>
      <c r="AJN1" s="325"/>
      <c r="AJO1" s="325"/>
      <c r="AJP1" s="325"/>
      <c r="AJQ1" s="325"/>
      <c r="AJR1" s="325"/>
      <c r="AJS1" s="325"/>
      <c r="AJT1" s="325"/>
      <c r="AJU1" s="325"/>
      <c r="AJV1" s="325"/>
      <c r="AJW1" s="325"/>
      <c r="AJX1" s="325"/>
      <c r="AJY1" s="325"/>
      <c r="AJZ1" s="325"/>
      <c r="AKA1" s="325"/>
      <c r="AKB1" s="325"/>
      <c r="AKC1" s="325"/>
      <c r="AKD1" s="325"/>
      <c r="AKE1" s="325"/>
      <c r="AKF1" s="325"/>
      <c r="AKG1" s="325"/>
      <c r="AKH1" s="325"/>
      <c r="AKI1" s="325"/>
      <c r="AKJ1" s="325"/>
      <c r="AKK1" s="325"/>
      <c r="AKL1" s="325"/>
      <c r="AKM1" s="325"/>
      <c r="AKN1" s="325"/>
      <c r="AKO1" s="325"/>
      <c r="AKP1" s="325"/>
      <c r="AKQ1" s="325"/>
      <c r="AKR1" s="325"/>
      <c r="AKS1" s="325"/>
      <c r="AKT1" s="325"/>
      <c r="AKU1" s="325"/>
      <c r="AKV1" s="325"/>
      <c r="AKW1" s="325"/>
      <c r="AKX1" s="325"/>
      <c r="AKY1" s="325"/>
      <c r="AKZ1" s="325"/>
      <c r="ALA1" s="325"/>
      <c r="ALB1" s="325"/>
      <c r="ALC1" s="325"/>
      <c r="ALD1" s="325"/>
      <c r="ALE1" s="325"/>
      <c r="ALF1" s="325"/>
      <c r="ALG1" s="325"/>
      <c r="ALH1" s="325"/>
      <c r="ALI1" s="325"/>
      <c r="ALJ1" s="325"/>
      <c r="ALK1" s="325"/>
      <c r="ALL1" s="325"/>
      <c r="ALM1" s="325"/>
      <c r="ALN1" s="325"/>
      <c r="ALO1" s="325"/>
      <c r="ALP1" s="325"/>
      <c r="ALQ1" s="325"/>
      <c r="ALR1" s="325"/>
      <c r="ALS1" s="325"/>
      <c r="ALT1" s="325"/>
      <c r="ALU1" s="325"/>
      <c r="ALV1" s="325"/>
      <c r="ALW1" s="325"/>
      <c r="ALX1" s="325"/>
      <c r="ALY1" s="325"/>
      <c r="ALZ1" s="325"/>
      <c r="AMA1" s="325"/>
      <c r="AMB1" s="325"/>
      <c r="AMC1" s="325"/>
    </row>
    <row r="2" spans="1:1017" s="295" customFormat="1" ht="13.5" thickBot="1">
      <c r="B2" s="308"/>
      <c r="C2" s="324" t="s">
        <v>125</v>
      </c>
      <c r="D2" s="453" t="s">
        <v>40</v>
      </c>
      <c r="E2" s="453" t="s">
        <v>41</v>
      </c>
      <c r="F2" s="453" t="s">
        <v>35</v>
      </c>
      <c r="G2" s="453" t="s">
        <v>36</v>
      </c>
      <c r="H2" s="453" t="s">
        <v>37</v>
      </c>
      <c r="I2" s="453" t="s">
        <v>38</v>
      </c>
      <c r="J2" s="453" t="s">
        <v>39</v>
      </c>
      <c r="K2" s="453" t="s">
        <v>40</v>
      </c>
      <c r="L2" s="453" t="s">
        <v>41</v>
      </c>
      <c r="M2" s="453" t="s">
        <v>35</v>
      </c>
      <c r="N2" s="453" t="s">
        <v>36</v>
      </c>
      <c r="O2" s="453" t="s">
        <v>37</v>
      </c>
      <c r="P2" s="453" t="s">
        <v>38</v>
      </c>
      <c r="Q2" s="453" t="s">
        <v>39</v>
      </c>
      <c r="R2" s="453" t="s">
        <v>40</v>
      </c>
      <c r="S2" s="453" t="s">
        <v>41</v>
      </c>
      <c r="T2" s="453" t="s">
        <v>35</v>
      </c>
      <c r="U2" s="453" t="s">
        <v>36</v>
      </c>
      <c r="V2" s="453" t="s">
        <v>37</v>
      </c>
      <c r="W2" s="453" t="s">
        <v>38</v>
      </c>
      <c r="X2" s="453" t="s">
        <v>39</v>
      </c>
      <c r="Y2" s="453" t="s">
        <v>40</v>
      </c>
      <c r="Z2" s="453" t="s">
        <v>41</v>
      </c>
      <c r="AA2" s="453" t="s">
        <v>35</v>
      </c>
      <c r="AB2" s="453" t="s">
        <v>36</v>
      </c>
      <c r="AC2" s="453" t="s">
        <v>37</v>
      </c>
      <c r="AD2" s="453" t="s">
        <v>38</v>
      </c>
      <c r="AE2" s="453" t="s">
        <v>39</v>
      </c>
      <c r="AF2" s="453" t="s">
        <v>40</v>
      </c>
      <c r="AG2" s="453" t="s">
        <v>41</v>
      </c>
      <c r="AH2" s="453" t="s">
        <v>35</v>
      </c>
      <c r="AI2" s="453" t="s">
        <v>36</v>
      </c>
      <c r="AJ2" s="453" t="s">
        <v>37</v>
      </c>
      <c r="AK2" s="453" t="s">
        <v>38</v>
      </c>
      <c r="AL2" s="453" t="s">
        <v>39</v>
      </c>
      <c r="AM2" s="453" t="s">
        <v>40</v>
      </c>
      <c r="AN2" s="453" t="s">
        <v>41</v>
      </c>
      <c r="AO2" s="453" t="s">
        <v>35</v>
      </c>
      <c r="AP2" s="453" t="s">
        <v>36</v>
      </c>
      <c r="AQ2" s="453" t="s">
        <v>37</v>
      </c>
      <c r="AR2" s="453" t="s">
        <v>38</v>
      </c>
      <c r="AS2" s="453" t="s">
        <v>39</v>
      </c>
      <c r="AT2" s="453" t="s">
        <v>40</v>
      </c>
      <c r="AU2" s="453" t="s">
        <v>41</v>
      </c>
      <c r="AV2" s="453" t="s">
        <v>35</v>
      </c>
      <c r="AW2" s="453" t="s">
        <v>36</v>
      </c>
      <c r="AX2" s="453" t="s">
        <v>37</v>
      </c>
      <c r="AY2" s="453" t="s">
        <v>38</v>
      </c>
      <c r="AZ2" s="453" t="s">
        <v>39</v>
      </c>
      <c r="BA2" s="453" t="s">
        <v>40</v>
      </c>
      <c r="BB2" s="453" t="s">
        <v>41</v>
      </c>
      <c r="BC2" s="453" t="s">
        <v>35</v>
      </c>
      <c r="BD2" s="453" t="s">
        <v>36</v>
      </c>
      <c r="BE2" s="453" t="s">
        <v>37</v>
      </c>
      <c r="BF2" s="453" t="s">
        <v>38</v>
      </c>
      <c r="BG2" s="453" t="s">
        <v>39</v>
      </c>
      <c r="BH2" s="453" t="s">
        <v>40</v>
      </c>
      <c r="BI2" s="453" t="s">
        <v>41</v>
      </c>
      <c r="BJ2" s="453" t="s">
        <v>35</v>
      </c>
      <c r="BK2" s="453" t="s">
        <v>36</v>
      </c>
      <c r="BL2" s="453" t="s">
        <v>37</v>
      </c>
      <c r="BM2" s="453" t="s">
        <v>38</v>
      </c>
      <c r="BN2" s="453" t="s">
        <v>39</v>
      </c>
      <c r="BO2" s="453" t="s">
        <v>40</v>
      </c>
      <c r="BP2" s="453" t="s">
        <v>41</v>
      </c>
      <c r="BQ2" s="453" t="s">
        <v>35</v>
      </c>
      <c r="BR2" s="453" t="s">
        <v>36</v>
      </c>
      <c r="BS2" s="453" t="s">
        <v>37</v>
      </c>
      <c r="BT2" s="453" t="s">
        <v>38</v>
      </c>
      <c r="BU2" s="453" t="s">
        <v>39</v>
      </c>
      <c r="BV2" s="453" t="s">
        <v>40</v>
      </c>
      <c r="BW2" s="453" t="s">
        <v>41</v>
      </c>
      <c r="BX2" s="453" t="s">
        <v>35</v>
      </c>
      <c r="BY2" s="453" t="s">
        <v>36</v>
      </c>
      <c r="BZ2" s="453" t="s">
        <v>37</v>
      </c>
      <c r="CA2" s="453" t="s">
        <v>38</v>
      </c>
      <c r="CB2" s="453" t="s">
        <v>39</v>
      </c>
      <c r="CC2" s="453" t="s">
        <v>40</v>
      </c>
      <c r="CD2" s="453" t="s">
        <v>41</v>
      </c>
      <c r="CE2" s="453" t="s">
        <v>35</v>
      </c>
      <c r="CF2" s="453" t="s">
        <v>36</v>
      </c>
      <c r="CG2" s="453" t="s">
        <v>37</v>
      </c>
      <c r="CH2" s="453" t="s">
        <v>38</v>
      </c>
      <c r="CI2" s="453" t="s">
        <v>39</v>
      </c>
      <c r="CJ2" s="453" t="s">
        <v>40</v>
      </c>
      <c r="CK2" s="453" t="s">
        <v>41</v>
      </c>
      <c r="CL2" s="453" t="s">
        <v>35</v>
      </c>
      <c r="CM2" s="453" t="s">
        <v>36</v>
      </c>
      <c r="CN2" s="453" t="s">
        <v>37</v>
      </c>
      <c r="CO2" s="453" t="s">
        <v>38</v>
      </c>
      <c r="CP2" s="453" t="s">
        <v>39</v>
      </c>
      <c r="CQ2" s="453" t="s">
        <v>40</v>
      </c>
      <c r="CR2" s="453" t="s">
        <v>41</v>
      </c>
      <c r="CS2" s="453" t="s">
        <v>35</v>
      </c>
      <c r="CT2" s="453" t="s">
        <v>36</v>
      </c>
      <c r="CU2" s="453" t="s">
        <v>37</v>
      </c>
      <c r="CV2" s="453" t="s">
        <v>38</v>
      </c>
      <c r="CW2" s="453" t="s">
        <v>39</v>
      </c>
      <c r="CX2" s="453" t="s">
        <v>40</v>
      </c>
      <c r="CY2" s="453" t="s">
        <v>41</v>
      </c>
      <c r="CZ2" s="453" t="s">
        <v>35</v>
      </c>
      <c r="DA2" s="453" t="s">
        <v>36</v>
      </c>
      <c r="DB2" s="453" t="s">
        <v>37</v>
      </c>
      <c r="DC2" s="453" t="s">
        <v>38</v>
      </c>
      <c r="DD2" s="453" t="s">
        <v>39</v>
      </c>
      <c r="DE2" s="453" t="s">
        <v>40</v>
      </c>
      <c r="DF2" s="453" t="s">
        <v>41</v>
      </c>
      <c r="DG2" s="453" t="s">
        <v>35</v>
      </c>
      <c r="DH2" s="453" t="s">
        <v>36</v>
      </c>
      <c r="DI2" s="453" t="s">
        <v>37</v>
      </c>
      <c r="DJ2" s="453" t="s">
        <v>38</v>
      </c>
      <c r="DK2" s="453" t="s">
        <v>39</v>
      </c>
      <c r="DL2" s="453" t="s">
        <v>40</v>
      </c>
      <c r="DM2" s="453" t="s">
        <v>41</v>
      </c>
      <c r="DN2" s="453" t="s">
        <v>35</v>
      </c>
      <c r="DO2" s="453" t="s">
        <v>36</v>
      </c>
      <c r="DP2" s="453" t="s">
        <v>37</v>
      </c>
      <c r="DQ2" s="453" t="s">
        <v>38</v>
      </c>
      <c r="DR2" s="453" t="s">
        <v>39</v>
      </c>
      <c r="DS2" s="453" t="s">
        <v>40</v>
      </c>
      <c r="DT2" s="453" t="s">
        <v>41</v>
      </c>
      <c r="DU2" s="453" t="s">
        <v>35</v>
      </c>
      <c r="DV2" s="453" t="s">
        <v>36</v>
      </c>
      <c r="DW2" s="453" t="s">
        <v>37</v>
      </c>
      <c r="DX2" s="453" t="s">
        <v>38</v>
      </c>
      <c r="DY2" s="453" t="s">
        <v>39</v>
      </c>
      <c r="DZ2" s="453" t="s">
        <v>40</v>
      </c>
      <c r="EA2" s="453" t="s">
        <v>41</v>
      </c>
      <c r="EB2" s="453" t="s">
        <v>35</v>
      </c>
      <c r="EC2" s="453" t="s">
        <v>36</v>
      </c>
      <c r="ED2" s="453" t="s">
        <v>37</v>
      </c>
      <c r="EE2" s="453" t="s">
        <v>38</v>
      </c>
      <c r="EF2" s="453" t="s">
        <v>39</v>
      </c>
      <c r="EG2" s="453" t="s">
        <v>40</v>
      </c>
      <c r="EH2" s="453" t="s">
        <v>41</v>
      </c>
      <c r="EI2" s="453" t="s">
        <v>35</v>
      </c>
      <c r="EJ2" s="453" t="s">
        <v>36</v>
      </c>
      <c r="EK2" s="453" t="s">
        <v>37</v>
      </c>
      <c r="EL2" s="453" t="s">
        <v>38</v>
      </c>
      <c r="EM2" s="453" t="s">
        <v>39</v>
      </c>
      <c r="EN2" s="453" t="s">
        <v>40</v>
      </c>
      <c r="EO2" s="453" t="s">
        <v>41</v>
      </c>
      <c r="EP2" s="453" t="s">
        <v>35</v>
      </c>
      <c r="EQ2" s="453" t="s">
        <v>36</v>
      </c>
      <c r="ER2" s="453" t="s">
        <v>37</v>
      </c>
      <c r="ES2" s="453" t="s">
        <v>38</v>
      </c>
      <c r="ET2" s="453" t="s">
        <v>39</v>
      </c>
      <c r="EU2" s="453" t="s">
        <v>40</v>
      </c>
      <c r="EV2" s="453" t="s">
        <v>41</v>
      </c>
      <c r="EW2" s="453" t="s">
        <v>35</v>
      </c>
      <c r="EX2" s="453" t="s">
        <v>36</v>
      </c>
      <c r="EY2" s="453" t="s">
        <v>37</v>
      </c>
      <c r="EZ2" s="453" t="s">
        <v>38</v>
      </c>
      <c r="FA2" s="453" t="s">
        <v>39</v>
      </c>
      <c r="FB2" s="453" t="s">
        <v>40</v>
      </c>
      <c r="FC2" s="453" t="s">
        <v>41</v>
      </c>
      <c r="FD2" s="453" t="s">
        <v>35</v>
      </c>
      <c r="FE2" s="453" t="s">
        <v>36</v>
      </c>
      <c r="FF2" s="453" t="s">
        <v>37</v>
      </c>
      <c r="FG2" s="453" t="s">
        <v>38</v>
      </c>
      <c r="FH2" s="453" t="s">
        <v>39</v>
      </c>
      <c r="FI2" s="453" t="s">
        <v>40</v>
      </c>
      <c r="FJ2" s="453" t="s">
        <v>41</v>
      </c>
      <c r="FK2" s="453" t="s">
        <v>35</v>
      </c>
      <c r="FL2" s="453" t="s">
        <v>36</v>
      </c>
      <c r="FM2" s="453" t="s">
        <v>37</v>
      </c>
      <c r="FN2" s="453" t="s">
        <v>38</v>
      </c>
      <c r="FO2" s="453" t="s">
        <v>39</v>
      </c>
      <c r="FP2" s="453" t="s">
        <v>40</v>
      </c>
      <c r="FQ2" s="453" t="s">
        <v>41</v>
      </c>
      <c r="FR2" s="453" t="s">
        <v>35</v>
      </c>
      <c r="FS2" s="453" t="s">
        <v>36</v>
      </c>
      <c r="FT2" s="453" t="s">
        <v>37</v>
      </c>
      <c r="FU2" s="453" t="s">
        <v>38</v>
      </c>
      <c r="FV2" s="453" t="s">
        <v>39</v>
      </c>
      <c r="FW2" s="453" t="s">
        <v>40</v>
      </c>
      <c r="FX2" s="453" t="s">
        <v>41</v>
      </c>
      <c r="FY2" s="453" t="s">
        <v>35</v>
      </c>
      <c r="FZ2" s="453" t="s">
        <v>36</v>
      </c>
      <c r="GA2" s="453" t="s">
        <v>37</v>
      </c>
      <c r="GB2" s="453" t="s">
        <v>38</v>
      </c>
      <c r="GC2" s="453" t="s">
        <v>39</v>
      </c>
      <c r="GD2" s="453" t="s">
        <v>40</v>
      </c>
      <c r="GE2" s="453" t="s">
        <v>41</v>
      </c>
      <c r="GF2" s="453" t="s">
        <v>35</v>
      </c>
      <c r="GG2" s="453" t="s">
        <v>36</v>
      </c>
      <c r="GH2" s="453" t="s">
        <v>37</v>
      </c>
      <c r="GI2" s="453" t="s">
        <v>38</v>
      </c>
      <c r="GJ2" s="453" t="s">
        <v>39</v>
      </c>
      <c r="GK2" s="453" t="s">
        <v>40</v>
      </c>
      <c r="GL2" s="453" t="s">
        <v>41</v>
      </c>
      <c r="GM2" s="453" t="s">
        <v>35</v>
      </c>
      <c r="GN2" s="453" t="s">
        <v>36</v>
      </c>
      <c r="GO2" s="453" t="s">
        <v>37</v>
      </c>
      <c r="GP2" s="453" t="s">
        <v>38</v>
      </c>
      <c r="GQ2" s="453" t="s">
        <v>39</v>
      </c>
      <c r="GR2" s="453" t="s">
        <v>40</v>
      </c>
      <c r="GS2" s="453" t="s">
        <v>41</v>
      </c>
      <c r="GT2" s="453" t="s">
        <v>35</v>
      </c>
      <c r="GU2" s="453" t="s">
        <v>36</v>
      </c>
      <c r="GV2" s="453" t="s">
        <v>37</v>
      </c>
      <c r="GW2" s="453" t="s">
        <v>38</v>
      </c>
      <c r="GX2" s="453" t="s">
        <v>39</v>
      </c>
      <c r="GY2" s="453" t="s">
        <v>40</v>
      </c>
      <c r="GZ2" s="453" t="s">
        <v>41</v>
      </c>
      <c r="HA2" s="453" t="s">
        <v>35</v>
      </c>
      <c r="HB2" s="453" t="s">
        <v>36</v>
      </c>
      <c r="HC2" s="453" t="s">
        <v>37</v>
      </c>
      <c r="HD2" s="453" t="s">
        <v>38</v>
      </c>
      <c r="HE2" s="453" t="s">
        <v>39</v>
      </c>
      <c r="HF2" s="453" t="s">
        <v>40</v>
      </c>
      <c r="HG2" s="453" t="s">
        <v>41</v>
      </c>
      <c r="HH2" s="453" t="s">
        <v>35</v>
      </c>
      <c r="HI2" s="453" t="s">
        <v>36</v>
      </c>
      <c r="HJ2" s="453" t="s">
        <v>37</v>
      </c>
      <c r="HK2" s="453" t="s">
        <v>38</v>
      </c>
      <c r="HL2" s="453" t="s">
        <v>39</v>
      </c>
      <c r="HM2" s="453" t="s">
        <v>40</v>
      </c>
      <c r="HN2" s="453" t="s">
        <v>41</v>
      </c>
      <c r="HO2" s="453" t="s">
        <v>35</v>
      </c>
      <c r="HP2" s="453" t="s">
        <v>36</v>
      </c>
      <c r="HQ2" s="453" t="s">
        <v>37</v>
      </c>
      <c r="HR2" s="453" t="s">
        <v>38</v>
      </c>
      <c r="HS2" s="453" t="s">
        <v>39</v>
      </c>
      <c r="HT2" s="453" t="s">
        <v>40</v>
      </c>
      <c r="HU2" s="453" t="s">
        <v>41</v>
      </c>
      <c r="HV2" s="453" t="s">
        <v>35</v>
      </c>
      <c r="HW2" s="453" t="s">
        <v>36</v>
      </c>
      <c r="HX2" s="453" t="s">
        <v>37</v>
      </c>
      <c r="HY2" s="453" t="s">
        <v>38</v>
      </c>
      <c r="HZ2" s="453" t="s">
        <v>39</v>
      </c>
      <c r="IA2" s="453" t="s">
        <v>40</v>
      </c>
      <c r="IB2" s="453" t="s">
        <v>41</v>
      </c>
      <c r="IC2" s="453" t="s">
        <v>35</v>
      </c>
      <c r="ID2" s="453" t="s">
        <v>36</v>
      </c>
      <c r="IE2" s="453" t="s">
        <v>37</v>
      </c>
      <c r="IF2" s="453" t="s">
        <v>38</v>
      </c>
      <c r="IG2" s="453" t="s">
        <v>39</v>
      </c>
      <c r="IH2" s="453" t="s">
        <v>40</v>
      </c>
      <c r="II2" s="453" t="s">
        <v>41</v>
      </c>
      <c r="IJ2" s="453" t="s">
        <v>35</v>
      </c>
      <c r="IK2" s="453" t="s">
        <v>36</v>
      </c>
      <c r="IL2" s="453" t="s">
        <v>37</v>
      </c>
      <c r="IM2" s="453" t="s">
        <v>38</v>
      </c>
      <c r="IN2" s="453" t="s">
        <v>39</v>
      </c>
      <c r="IO2" s="453" t="s">
        <v>40</v>
      </c>
      <c r="IP2" s="453" t="s">
        <v>41</v>
      </c>
      <c r="IQ2" s="453" t="s">
        <v>35</v>
      </c>
      <c r="IR2" s="453" t="s">
        <v>36</v>
      </c>
      <c r="IS2" s="453" t="s">
        <v>37</v>
      </c>
      <c r="IT2" s="453" t="s">
        <v>38</v>
      </c>
      <c r="IU2" s="453" t="s">
        <v>39</v>
      </c>
      <c r="IV2" s="453" t="s">
        <v>40</v>
      </c>
      <c r="IW2" s="453" t="s">
        <v>41</v>
      </c>
      <c r="IX2" s="453" t="s">
        <v>35</v>
      </c>
      <c r="IY2" s="453" t="s">
        <v>36</v>
      </c>
      <c r="IZ2" s="453" t="s">
        <v>37</v>
      </c>
      <c r="JA2" s="453" t="s">
        <v>38</v>
      </c>
      <c r="JB2" s="453" t="s">
        <v>39</v>
      </c>
      <c r="JC2" s="453" t="s">
        <v>40</v>
      </c>
      <c r="JD2" s="453" t="s">
        <v>41</v>
      </c>
      <c r="JE2" s="453" t="s">
        <v>35</v>
      </c>
      <c r="JF2" s="453" t="s">
        <v>36</v>
      </c>
      <c r="JG2" s="453" t="s">
        <v>37</v>
      </c>
      <c r="JH2" s="453" t="s">
        <v>38</v>
      </c>
      <c r="JI2" s="453" t="s">
        <v>39</v>
      </c>
      <c r="JJ2" s="453" t="s">
        <v>40</v>
      </c>
      <c r="JK2" s="453" t="s">
        <v>41</v>
      </c>
      <c r="JL2" s="453" t="s">
        <v>35</v>
      </c>
      <c r="JM2" s="453" t="s">
        <v>36</v>
      </c>
      <c r="JN2" s="453" t="s">
        <v>37</v>
      </c>
      <c r="JO2" s="453" t="s">
        <v>38</v>
      </c>
      <c r="JP2" s="453" t="s">
        <v>39</v>
      </c>
      <c r="JQ2" s="453" t="s">
        <v>40</v>
      </c>
      <c r="JR2" s="453" t="s">
        <v>41</v>
      </c>
      <c r="JS2" s="453" t="s">
        <v>35</v>
      </c>
      <c r="JT2" s="453" t="s">
        <v>36</v>
      </c>
      <c r="JU2" s="453" t="s">
        <v>37</v>
      </c>
      <c r="JV2" s="453" t="s">
        <v>38</v>
      </c>
      <c r="JW2" s="453" t="s">
        <v>39</v>
      </c>
      <c r="JX2" s="453" t="s">
        <v>40</v>
      </c>
      <c r="JY2" s="453" t="s">
        <v>41</v>
      </c>
      <c r="JZ2" s="453" t="s">
        <v>35</v>
      </c>
      <c r="KA2" s="453" t="s">
        <v>36</v>
      </c>
      <c r="KB2" s="453" t="s">
        <v>37</v>
      </c>
      <c r="KC2" s="453" t="s">
        <v>38</v>
      </c>
      <c r="KD2" s="453" t="s">
        <v>39</v>
      </c>
      <c r="KE2" s="453" t="s">
        <v>40</v>
      </c>
      <c r="KF2" s="453" t="s">
        <v>41</v>
      </c>
      <c r="KG2" s="453" t="s">
        <v>35</v>
      </c>
      <c r="KH2" s="453" t="s">
        <v>36</v>
      </c>
      <c r="KI2" s="453" t="s">
        <v>37</v>
      </c>
      <c r="KJ2" s="453" t="s">
        <v>38</v>
      </c>
      <c r="KK2" s="453" t="s">
        <v>39</v>
      </c>
      <c r="KL2" s="453" t="s">
        <v>40</v>
      </c>
      <c r="KM2" s="453" t="s">
        <v>41</v>
      </c>
      <c r="KN2" s="453" t="s">
        <v>35</v>
      </c>
      <c r="KO2" s="453" t="s">
        <v>36</v>
      </c>
      <c r="KP2" s="453" t="s">
        <v>37</v>
      </c>
      <c r="KQ2" s="453" t="s">
        <v>38</v>
      </c>
      <c r="KR2" s="453" t="s">
        <v>39</v>
      </c>
      <c r="KS2" s="453" t="s">
        <v>40</v>
      </c>
      <c r="KT2" s="453" t="s">
        <v>41</v>
      </c>
      <c r="KU2" s="453" t="s">
        <v>35</v>
      </c>
      <c r="KV2" s="453" t="s">
        <v>36</v>
      </c>
      <c r="KW2" s="453" t="s">
        <v>37</v>
      </c>
      <c r="KX2" s="453" t="s">
        <v>38</v>
      </c>
      <c r="KY2" s="453" t="s">
        <v>39</v>
      </c>
      <c r="KZ2" s="453" t="s">
        <v>40</v>
      </c>
      <c r="LA2" s="453" t="s">
        <v>41</v>
      </c>
      <c r="LB2" s="453" t="s">
        <v>35</v>
      </c>
      <c r="LC2" s="453" t="s">
        <v>36</v>
      </c>
      <c r="LD2" s="453" t="s">
        <v>37</v>
      </c>
      <c r="LE2" s="453" t="s">
        <v>38</v>
      </c>
      <c r="LF2" s="453" t="s">
        <v>39</v>
      </c>
      <c r="LG2" s="453" t="s">
        <v>40</v>
      </c>
      <c r="LH2" s="453" t="s">
        <v>41</v>
      </c>
      <c r="LI2" s="453" t="s">
        <v>35</v>
      </c>
      <c r="LJ2" s="453" t="s">
        <v>36</v>
      </c>
      <c r="LK2" s="453" t="s">
        <v>37</v>
      </c>
      <c r="LL2" s="453" t="s">
        <v>38</v>
      </c>
      <c r="LM2" s="453" t="s">
        <v>39</v>
      </c>
      <c r="LN2" s="453" t="s">
        <v>40</v>
      </c>
      <c r="LO2" s="453" t="s">
        <v>41</v>
      </c>
      <c r="LP2" s="453" t="s">
        <v>35</v>
      </c>
      <c r="LQ2" s="453" t="s">
        <v>36</v>
      </c>
      <c r="LR2" s="453" t="s">
        <v>37</v>
      </c>
      <c r="LS2" s="453" t="s">
        <v>38</v>
      </c>
      <c r="LT2" s="453" t="s">
        <v>39</v>
      </c>
      <c r="LU2" s="453" t="s">
        <v>40</v>
      </c>
      <c r="LV2" s="453" t="s">
        <v>41</v>
      </c>
      <c r="LW2" s="453" t="s">
        <v>35</v>
      </c>
      <c r="LX2" s="453" t="s">
        <v>36</v>
      </c>
      <c r="LY2" s="453" t="s">
        <v>37</v>
      </c>
      <c r="LZ2" s="453" t="s">
        <v>38</v>
      </c>
      <c r="MA2" s="453" t="s">
        <v>39</v>
      </c>
      <c r="MB2" s="453" t="s">
        <v>40</v>
      </c>
      <c r="MC2" s="453" t="s">
        <v>41</v>
      </c>
      <c r="MD2" s="453" t="s">
        <v>35</v>
      </c>
      <c r="ME2" s="453" t="s">
        <v>36</v>
      </c>
      <c r="MF2" s="453" t="s">
        <v>37</v>
      </c>
      <c r="MG2" s="453" t="s">
        <v>38</v>
      </c>
      <c r="MH2" s="453" t="s">
        <v>39</v>
      </c>
      <c r="MI2" s="453" t="s">
        <v>40</v>
      </c>
      <c r="MJ2" s="453" t="s">
        <v>41</v>
      </c>
      <c r="MK2" s="453" t="s">
        <v>35</v>
      </c>
      <c r="ML2" s="453" t="s">
        <v>36</v>
      </c>
      <c r="MM2" s="453" t="s">
        <v>37</v>
      </c>
      <c r="MN2" s="453" t="s">
        <v>38</v>
      </c>
      <c r="MO2" s="453" t="s">
        <v>39</v>
      </c>
      <c r="MP2" s="453" t="s">
        <v>40</v>
      </c>
      <c r="MQ2" s="453" t="s">
        <v>41</v>
      </c>
      <c r="MR2" s="453" t="s">
        <v>35</v>
      </c>
      <c r="MS2" s="453" t="s">
        <v>36</v>
      </c>
      <c r="MT2" s="453" t="s">
        <v>37</v>
      </c>
      <c r="MU2" s="453" t="s">
        <v>38</v>
      </c>
      <c r="MV2" s="453" t="s">
        <v>39</v>
      </c>
      <c r="MW2" s="453" t="s">
        <v>40</v>
      </c>
      <c r="MX2" s="453" t="s">
        <v>41</v>
      </c>
      <c r="MY2" s="453" t="s">
        <v>35</v>
      </c>
      <c r="MZ2" s="453" t="s">
        <v>36</v>
      </c>
      <c r="NA2" s="453" t="s">
        <v>37</v>
      </c>
      <c r="NB2" s="453" t="s">
        <v>38</v>
      </c>
      <c r="NC2" s="453" t="s">
        <v>39</v>
      </c>
      <c r="ND2" s="453" t="s">
        <v>40</v>
      </c>
      <c r="NE2" s="331"/>
    </row>
    <row r="3" spans="1:1017" s="295" customFormat="1" ht="6" customHeight="1" thickBot="1">
      <c r="B3" s="325"/>
      <c r="C3" s="324"/>
      <c r="D3" s="453"/>
      <c r="E3" s="453"/>
      <c r="F3" s="453"/>
      <c r="G3" s="453"/>
      <c r="H3" s="453"/>
      <c r="I3" s="453"/>
      <c r="J3" s="453"/>
      <c r="K3" s="453"/>
      <c r="L3" s="453"/>
      <c r="M3" s="453"/>
      <c r="N3" s="453"/>
      <c r="O3" s="453"/>
      <c r="P3" s="453"/>
      <c r="Q3" s="453"/>
      <c r="R3" s="453"/>
      <c r="S3" s="453"/>
      <c r="T3" s="453"/>
      <c r="U3" s="453"/>
      <c r="V3" s="453"/>
      <c r="W3" s="453"/>
      <c r="X3" s="453"/>
      <c r="Y3" s="453"/>
      <c r="Z3" s="453"/>
      <c r="AA3" s="453"/>
      <c r="AB3" s="453"/>
      <c r="AC3" s="453"/>
      <c r="AD3" s="453"/>
      <c r="AE3" s="453"/>
      <c r="AF3" s="453"/>
      <c r="AG3" s="453"/>
      <c r="AH3" s="453"/>
      <c r="AI3" s="453"/>
      <c r="AJ3" s="453"/>
      <c r="AK3" s="453"/>
      <c r="AL3" s="453"/>
      <c r="AM3" s="453"/>
      <c r="AN3" s="453"/>
      <c r="AO3" s="453"/>
      <c r="AP3" s="453"/>
      <c r="AQ3" s="453"/>
      <c r="AR3" s="453"/>
      <c r="AS3" s="453"/>
      <c r="AT3" s="453"/>
      <c r="AU3" s="453"/>
      <c r="AV3" s="453"/>
      <c r="AW3" s="453"/>
      <c r="AX3" s="453"/>
      <c r="AY3" s="453"/>
      <c r="AZ3" s="453"/>
      <c r="BA3" s="453"/>
      <c r="BB3" s="453"/>
      <c r="BC3" s="453"/>
      <c r="BD3" s="453"/>
      <c r="BE3" s="453"/>
      <c r="BF3" s="453"/>
      <c r="BG3" s="453"/>
      <c r="BH3" s="453"/>
      <c r="BI3" s="453"/>
      <c r="BJ3" s="453"/>
      <c r="BK3" s="453"/>
      <c r="BL3" s="453"/>
      <c r="BM3" s="453"/>
      <c r="BN3" s="453"/>
      <c r="BO3" s="453"/>
      <c r="BP3" s="453"/>
      <c r="BQ3" s="453"/>
      <c r="BR3" s="453"/>
      <c r="BS3" s="453"/>
      <c r="BT3" s="453"/>
      <c r="BU3" s="453"/>
      <c r="BV3" s="453"/>
      <c r="BW3" s="453"/>
      <c r="BX3" s="453"/>
      <c r="BY3" s="453"/>
      <c r="BZ3" s="453"/>
      <c r="CA3" s="453"/>
      <c r="CB3" s="453"/>
      <c r="CC3" s="453"/>
      <c r="CD3" s="453"/>
      <c r="CE3" s="453"/>
      <c r="CF3" s="453"/>
      <c r="CG3" s="453"/>
      <c r="CH3" s="453"/>
      <c r="CI3" s="453"/>
      <c r="CJ3" s="453"/>
      <c r="CK3" s="453"/>
      <c r="CL3" s="453"/>
      <c r="CM3" s="453"/>
      <c r="CN3" s="453"/>
      <c r="CO3" s="453"/>
      <c r="CP3" s="453"/>
      <c r="CQ3" s="453"/>
      <c r="CR3" s="453"/>
      <c r="CS3" s="453"/>
      <c r="CT3" s="453"/>
      <c r="CU3" s="453"/>
      <c r="CV3" s="453"/>
      <c r="CW3" s="453"/>
      <c r="CX3" s="453"/>
      <c r="CY3" s="453"/>
      <c r="CZ3" s="453"/>
      <c r="DA3" s="453"/>
      <c r="DB3" s="453"/>
      <c r="DC3" s="453"/>
      <c r="DD3" s="453"/>
      <c r="DE3" s="453"/>
      <c r="DF3" s="453"/>
      <c r="DG3" s="453"/>
      <c r="DH3" s="453"/>
      <c r="DI3" s="453"/>
      <c r="DJ3" s="453"/>
      <c r="DK3" s="453"/>
      <c r="DL3" s="453"/>
      <c r="DM3" s="453"/>
      <c r="DN3" s="453"/>
      <c r="DO3" s="453"/>
      <c r="DP3" s="453"/>
      <c r="DQ3" s="453"/>
      <c r="DR3" s="453"/>
      <c r="DS3" s="453"/>
      <c r="DT3" s="453"/>
      <c r="DU3" s="453"/>
      <c r="DV3" s="453"/>
      <c r="DW3" s="453"/>
      <c r="DX3" s="453"/>
      <c r="DY3" s="453"/>
      <c r="DZ3" s="453"/>
      <c r="EA3" s="453"/>
      <c r="EB3" s="453"/>
      <c r="EC3" s="453"/>
      <c r="ED3" s="453"/>
      <c r="EE3" s="453"/>
      <c r="EF3" s="453"/>
      <c r="EG3" s="453"/>
      <c r="EH3" s="453"/>
      <c r="EI3" s="453"/>
      <c r="EJ3" s="453"/>
      <c r="EK3" s="453"/>
      <c r="EL3" s="453"/>
      <c r="EM3" s="453"/>
      <c r="EN3" s="453"/>
      <c r="EO3" s="453"/>
      <c r="EP3" s="453"/>
      <c r="EQ3" s="453"/>
      <c r="ER3" s="453"/>
      <c r="ES3" s="453"/>
      <c r="ET3" s="453"/>
      <c r="EU3" s="453"/>
      <c r="EV3" s="453"/>
      <c r="EW3" s="453"/>
      <c r="EX3" s="453"/>
      <c r="EY3" s="453"/>
      <c r="EZ3" s="453"/>
      <c r="FA3" s="453"/>
      <c r="FB3" s="453"/>
      <c r="FC3" s="453"/>
      <c r="FD3" s="453"/>
      <c r="FE3" s="453"/>
      <c r="FF3" s="453"/>
      <c r="FG3" s="453"/>
      <c r="FH3" s="453"/>
      <c r="FI3" s="453"/>
      <c r="FJ3" s="453"/>
      <c r="FK3" s="453"/>
      <c r="FL3" s="453"/>
      <c r="FM3" s="453"/>
      <c r="FN3" s="453"/>
      <c r="FO3" s="453"/>
      <c r="FP3" s="453"/>
      <c r="FQ3" s="453"/>
      <c r="FR3" s="453"/>
      <c r="FS3" s="453"/>
      <c r="FT3" s="453"/>
      <c r="FU3" s="453"/>
      <c r="FV3" s="453"/>
      <c r="FW3" s="453"/>
      <c r="FX3" s="453"/>
      <c r="FY3" s="453"/>
      <c r="FZ3" s="453"/>
      <c r="GA3" s="453"/>
      <c r="GB3" s="453"/>
      <c r="GC3" s="453"/>
      <c r="GD3" s="453"/>
      <c r="GE3" s="453"/>
      <c r="GF3" s="453"/>
      <c r="GG3" s="453"/>
      <c r="GH3" s="453"/>
      <c r="GI3" s="453"/>
      <c r="GJ3" s="453"/>
      <c r="GK3" s="453"/>
      <c r="GL3" s="453"/>
      <c r="GM3" s="453"/>
      <c r="GN3" s="453"/>
      <c r="GO3" s="453"/>
      <c r="GP3" s="453"/>
      <c r="GQ3" s="453"/>
      <c r="GR3" s="453"/>
      <c r="GS3" s="453"/>
      <c r="GT3" s="453"/>
      <c r="GU3" s="453"/>
      <c r="GV3" s="453"/>
      <c r="GW3" s="453"/>
      <c r="GX3" s="453"/>
      <c r="GY3" s="453"/>
      <c r="GZ3" s="453"/>
      <c r="HA3" s="453"/>
      <c r="HB3" s="453"/>
      <c r="HC3" s="453"/>
      <c r="HD3" s="453"/>
      <c r="HE3" s="453"/>
      <c r="HF3" s="453"/>
      <c r="HG3" s="453"/>
      <c r="HH3" s="453"/>
      <c r="HI3" s="453"/>
      <c r="HJ3" s="453"/>
      <c r="HK3" s="453"/>
      <c r="HL3" s="453"/>
      <c r="HM3" s="453"/>
      <c r="HN3" s="453"/>
      <c r="HO3" s="453"/>
      <c r="HP3" s="453"/>
      <c r="HQ3" s="453"/>
      <c r="HR3" s="453"/>
      <c r="HS3" s="453"/>
      <c r="HT3" s="453"/>
      <c r="HU3" s="453"/>
      <c r="HV3" s="453"/>
      <c r="HW3" s="453"/>
      <c r="HX3" s="453"/>
      <c r="HY3" s="453"/>
      <c r="HZ3" s="453"/>
      <c r="IA3" s="453"/>
      <c r="IB3" s="453"/>
      <c r="IC3" s="453"/>
      <c r="ID3" s="453"/>
      <c r="IE3" s="453"/>
      <c r="IF3" s="453"/>
      <c r="IG3" s="453"/>
      <c r="IH3" s="453"/>
      <c r="II3" s="453"/>
      <c r="IJ3" s="453"/>
      <c r="IK3" s="453"/>
      <c r="IL3" s="453"/>
      <c r="IM3" s="453"/>
      <c r="IN3" s="453"/>
      <c r="IO3" s="453"/>
      <c r="IP3" s="453"/>
      <c r="IQ3" s="453"/>
      <c r="IR3" s="453"/>
      <c r="IS3" s="453"/>
      <c r="IT3" s="453"/>
      <c r="IU3" s="453"/>
      <c r="IV3" s="453"/>
      <c r="IW3" s="453"/>
      <c r="IX3" s="453"/>
      <c r="IY3" s="453"/>
      <c r="IZ3" s="453"/>
      <c r="JA3" s="453"/>
      <c r="JB3" s="453"/>
      <c r="JC3" s="453"/>
      <c r="JD3" s="453"/>
      <c r="JE3" s="453"/>
      <c r="JF3" s="453"/>
      <c r="JG3" s="453"/>
      <c r="JH3" s="453"/>
      <c r="JI3" s="453"/>
      <c r="JJ3" s="453"/>
      <c r="JK3" s="453"/>
      <c r="JL3" s="453"/>
      <c r="JM3" s="453"/>
      <c r="JN3" s="453"/>
      <c r="JO3" s="453"/>
      <c r="JP3" s="453"/>
      <c r="JQ3" s="453"/>
      <c r="JR3" s="453"/>
      <c r="JS3" s="453"/>
      <c r="JT3" s="453"/>
      <c r="JU3" s="453"/>
      <c r="JV3" s="453"/>
      <c r="JW3" s="453"/>
      <c r="JX3" s="453"/>
      <c r="JY3" s="453"/>
      <c r="JZ3" s="453"/>
      <c r="KA3" s="453"/>
      <c r="KB3" s="453"/>
      <c r="KC3" s="453"/>
      <c r="KD3" s="453"/>
      <c r="KE3" s="453"/>
      <c r="KF3" s="453"/>
      <c r="KG3" s="453"/>
      <c r="KH3" s="453"/>
      <c r="KI3" s="453"/>
      <c r="KJ3" s="453"/>
      <c r="KK3" s="453"/>
      <c r="KL3" s="453"/>
      <c r="KM3" s="453"/>
      <c r="KN3" s="453"/>
      <c r="KO3" s="453"/>
      <c r="KP3" s="453"/>
      <c r="KQ3" s="453"/>
      <c r="KR3" s="453"/>
      <c r="KS3" s="453"/>
      <c r="KT3" s="453"/>
      <c r="KU3" s="453"/>
      <c r="KV3" s="453"/>
      <c r="KW3" s="453"/>
      <c r="KX3" s="453"/>
      <c r="KY3" s="453"/>
      <c r="KZ3" s="453"/>
      <c r="LA3" s="453"/>
      <c r="LB3" s="453"/>
      <c r="LC3" s="453"/>
      <c r="LD3" s="453"/>
      <c r="LE3" s="453"/>
      <c r="LF3" s="453"/>
      <c r="LG3" s="453"/>
      <c r="LH3" s="453"/>
      <c r="LI3" s="453"/>
      <c r="LJ3" s="453"/>
      <c r="LK3" s="453"/>
      <c r="LL3" s="453"/>
      <c r="LM3" s="453"/>
      <c r="LN3" s="453"/>
      <c r="LO3" s="453"/>
      <c r="LP3" s="453"/>
      <c r="LQ3" s="453"/>
      <c r="LR3" s="453"/>
      <c r="LS3" s="453"/>
      <c r="LT3" s="453"/>
      <c r="LU3" s="453"/>
      <c r="LV3" s="453"/>
      <c r="LW3" s="453"/>
      <c r="LX3" s="453"/>
      <c r="LY3" s="453"/>
      <c r="LZ3" s="453"/>
      <c r="MA3" s="453"/>
      <c r="MB3" s="453"/>
      <c r="MC3" s="453"/>
      <c r="MD3" s="453"/>
      <c r="ME3" s="453"/>
      <c r="MF3" s="453"/>
      <c r="MG3" s="453"/>
      <c r="MH3" s="453"/>
      <c r="MI3" s="453"/>
      <c r="MJ3" s="453"/>
      <c r="MK3" s="453"/>
      <c r="ML3" s="453"/>
      <c r="MM3" s="453"/>
      <c r="MN3" s="453"/>
      <c r="MO3" s="453"/>
      <c r="MP3" s="453"/>
      <c r="MQ3" s="453"/>
      <c r="MR3" s="453"/>
      <c r="MS3" s="453"/>
      <c r="MT3" s="453"/>
      <c r="MU3" s="453"/>
      <c r="MV3" s="453"/>
      <c r="MW3" s="453"/>
      <c r="MX3" s="453"/>
      <c r="MY3" s="453"/>
      <c r="MZ3" s="453"/>
      <c r="NA3" s="453"/>
      <c r="NB3" s="453"/>
      <c r="NC3" s="453"/>
      <c r="ND3" s="453"/>
      <c r="NE3" s="331"/>
    </row>
    <row r="4" spans="1:1017" s="295" customFormat="1" ht="13.5" customHeight="1" thickBot="1">
      <c r="B4" s="309"/>
      <c r="C4" s="324" t="s">
        <v>126</v>
      </c>
      <c r="D4" s="453"/>
      <c r="E4" s="453"/>
      <c r="F4" s="453"/>
      <c r="G4" s="453"/>
      <c r="H4" s="453"/>
      <c r="I4" s="453"/>
      <c r="J4" s="453"/>
      <c r="K4" s="453"/>
      <c r="L4" s="453"/>
      <c r="M4" s="453"/>
      <c r="N4" s="453"/>
      <c r="O4" s="453"/>
      <c r="P4" s="453"/>
      <c r="Q4" s="453"/>
      <c r="R4" s="453"/>
      <c r="S4" s="453"/>
      <c r="T4" s="453"/>
      <c r="U4" s="453"/>
      <c r="V4" s="453"/>
      <c r="W4" s="453"/>
      <c r="X4" s="453"/>
      <c r="Y4" s="453"/>
      <c r="Z4" s="453"/>
      <c r="AA4" s="453"/>
      <c r="AB4" s="453"/>
      <c r="AC4" s="453"/>
      <c r="AD4" s="453"/>
      <c r="AE4" s="453"/>
      <c r="AF4" s="453"/>
      <c r="AG4" s="453"/>
      <c r="AH4" s="453"/>
      <c r="AI4" s="453"/>
      <c r="AJ4" s="453"/>
      <c r="AK4" s="453"/>
      <c r="AL4" s="453"/>
      <c r="AM4" s="453"/>
      <c r="AN4" s="453"/>
      <c r="AO4" s="453"/>
      <c r="AP4" s="453"/>
      <c r="AQ4" s="453"/>
      <c r="AR4" s="453"/>
      <c r="AS4" s="453"/>
      <c r="AT4" s="453"/>
      <c r="AU4" s="453"/>
      <c r="AV4" s="453"/>
      <c r="AW4" s="453"/>
      <c r="AX4" s="453"/>
      <c r="AY4" s="453"/>
      <c r="AZ4" s="453"/>
      <c r="BA4" s="453"/>
      <c r="BB4" s="453"/>
      <c r="BC4" s="453"/>
      <c r="BD4" s="453"/>
      <c r="BE4" s="453"/>
      <c r="BF4" s="453"/>
      <c r="BG4" s="453"/>
      <c r="BH4" s="453"/>
      <c r="BI4" s="453"/>
      <c r="BJ4" s="453"/>
      <c r="BK4" s="453"/>
      <c r="BL4" s="453"/>
      <c r="BM4" s="453"/>
      <c r="BN4" s="453"/>
      <c r="BO4" s="453"/>
      <c r="BP4" s="453"/>
      <c r="BQ4" s="453"/>
      <c r="BR4" s="453"/>
      <c r="BS4" s="453"/>
      <c r="BT4" s="453"/>
      <c r="BU4" s="453"/>
      <c r="BV4" s="453"/>
      <c r="BW4" s="453"/>
      <c r="BX4" s="453"/>
      <c r="BY4" s="453"/>
      <c r="BZ4" s="453"/>
      <c r="CA4" s="453"/>
      <c r="CB4" s="453"/>
      <c r="CC4" s="453"/>
      <c r="CD4" s="453"/>
      <c r="CE4" s="453"/>
      <c r="CF4" s="453"/>
      <c r="CG4" s="453"/>
      <c r="CH4" s="453"/>
      <c r="CI4" s="453"/>
      <c r="CJ4" s="453"/>
      <c r="CK4" s="453"/>
      <c r="CL4" s="453"/>
      <c r="CM4" s="453"/>
      <c r="CN4" s="453"/>
      <c r="CO4" s="453"/>
      <c r="CP4" s="453"/>
      <c r="CQ4" s="453"/>
      <c r="CR4" s="453"/>
      <c r="CS4" s="453"/>
      <c r="CT4" s="453"/>
      <c r="CU4" s="453"/>
      <c r="CV4" s="453"/>
      <c r="CW4" s="453"/>
      <c r="CX4" s="453"/>
      <c r="CY4" s="453"/>
      <c r="CZ4" s="453"/>
      <c r="DA4" s="453"/>
      <c r="DB4" s="453"/>
      <c r="DC4" s="453"/>
      <c r="DD4" s="453"/>
      <c r="DE4" s="453"/>
      <c r="DF4" s="453"/>
      <c r="DG4" s="453"/>
      <c r="DH4" s="453"/>
      <c r="DI4" s="453"/>
      <c r="DJ4" s="453"/>
      <c r="DK4" s="453"/>
      <c r="DL4" s="453"/>
      <c r="DM4" s="453"/>
      <c r="DN4" s="453"/>
      <c r="DO4" s="453"/>
      <c r="DP4" s="453"/>
      <c r="DQ4" s="453"/>
      <c r="DR4" s="453"/>
      <c r="DS4" s="453"/>
      <c r="DT4" s="453"/>
      <c r="DU4" s="453"/>
      <c r="DV4" s="453"/>
      <c r="DW4" s="453"/>
      <c r="DX4" s="453"/>
      <c r="DY4" s="453"/>
      <c r="DZ4" s="453"/>
      <c r="EA4" s="453"/>
      <c r="EB4" s="453"/>
      <c r="EC4" s="453"/>
      <c r="ED4" s="453"/>
      <c r="EE4" s="453"/>
      <c r="EF4" s="453"/>
      <c r="EG4" s="453"/>
      <c r="EH4" s="453"/>
      <c r="EI4" s="453"/>
      <c r="EJ4" s="453"/>
      <c r="EK4" s="453"/>
      <c r="EL4" s="453"/>
      <c r="EM4" s="453"/>
      <c r="EN4" s="453"/>
      <c r="EO4" s="453"/>
      <c r="EP4" s="453"/>
      <c r="EQ4" s="453"/>
      <c r="ER4" s="453"/>
      <c r="ES4" s="453"/>
      <c r="ET4" s="453"/>
      <c r="EU4" s="453"/>
      <c r="EV4" s="453"/>
      <c r="EW4" s="453"/>
      <c r="EX4" s="453"/>
      <c r="EY4" s="453"/>
      <c r="EZ4" s="453"/>
      <c r="FA4" s="453"/>
      <c r="FB4" s="453"/>
      <c r="FC4" s="453"/>
      <c r="FD4" s="453"/>
      <c r="FE4" s="453"/>
      <c r="FF4" s="453"/>
      <c r="FG4" s="453"/>
      <c r="FH4" s="453"/>
      <c r="FI4" s="453"/>
      <c r="FJ4" s="453"/>
      <c r="FK4" s="453"/>
      <c r="FL4" s="453"/>
      <c r="FM4" s="453"/>
      <c r="FN4" s="453"/>
      <c r="FO4" s="453"/>
      <c r="FP4" s="453"/>
      <c r="FQ4" s="453"/>
      <c r="FR4" s="453"/>
      <c r="FS4" s="453"/>
      <c r="FT4" s="453"/>
      <c r="FU4" s="453"/>
      <c r="FV4" s="453"/>
      <c r="FW4" s="453"/>
      <c r="FX4" s="453"/>
      <c r="FY4" s="453"/>
      <c r="FZ4" s="453"/>
      <c r="GA4" s="453"/>
      <c r="GB4" s="453"/>
      <c r="GC4" s="453"/>
      <c r="GD4" s="453"/>
      <c r="GE4" s="453"/>
      <c r="GF4" s="453"/>
      <c r="GG4" s="453"/>
      <c r="GH4" s="453"/>
      <c r="GI4" s="453"/>
      <c r="GJ4" s="453"/>
      <c r="GK4" s="453"/>
      <c r="GL4" s="453"/>
      <c r="GM4" s="453"/>
      <c r="GN4" s="453"/>
      <c r="GO4" s="453"/>
      <c r="GP4" s="453"/>
      <c r="GQ4" s="453"/>
      <c r="GR4" s="453"/>
      <c r="GS4" s="453"/>
      <c r="GT4" s="453"/>
      <c r="GU4" s="453"/>
      <c r="GV4" s="453"/>
      <c r="GW4" s="453"/>
      <c r="GX4" s="453"/>
      <c r="GY4" s="453"/>
      <c r="GZ4" s="453"/>
      <c r="HA4" s="453"/>
      <c r="HB4" s="453"/>
      <c r="HC4" s="453"/>
      <c r="HD4" s="453"/>
      <c r="HE4" s="453"/>
      <c r="HF4" s="453"/>
      <c r="HG4" s="453"/>
      <c r="HH4" s="453"/>
      <c r="HI4" s="453"/>
      <c r="HJ4" s="453"/>
      <c r="HK4" s="453"/>
      <c r="HL4" s="453"/>
      <c r="HM4" s="453"/>
      <c r="HN4" s="453"/>
      <c r="HO4" s="453"/>
      <c r="HP4" s="453"/>
      <c r="HQ4" s="453"/>
      <c r="HR4" s="453"/>
      <c r="HS4" s="453"/>
      <c r="HT4" s="453"/>
      <c r="HU4" s="453"/>
      <c r="HV4" s="453"/>
      <c r="HW4" s="453"/>
      <c r="HX4" s="453"/>
      <c r="HY4" s="453"/>
      <c r="HZ4" s="453"/>
      <c r="IA4" s="453"/>
      <c r="IB4" s="453"/>
      <c r="IC4" s="453"/>
      <c r="ID4" s="453"/>
      <c r="IE4" s="453"/>
      <c r="IF4" s="453"/>
      <c r="IG4" s="453"/>
      <c r="IH4" s="453"/>
      <c r="II4" s="453"/>
      <c r="IJ4" s="453"/>
      <c r="IK4" s="453"/>
      <c r="IL4" s="453"/>
      <c r="IM4" s="453"/>
      <c r="IN4" s="453"/>
      <c r="IO4" s="453"/>
      <c r="IP4" s="453"/>
      <c r="IQ4" s="453"/>
      <c r="IR4" s="453"/>
      <c r="IS4" s="453"/>
      <c r="IT4" s="453"/>
      <c r="IU4" s="453"/>
      <c r="IV4" s="453"/>
      <c r="IW4" s="453"/>
      <c r="IX4" s="453"/>
      <c r="IY4" s="453"/>
      <c r="IZ4" s="453"/>
      <c r="JA4" s="453"/>
      <c r="JB4" s="453"/>
      <c r="JC4" s="453"/>
      <c r="JD4" s="453"/>
      <c r="JE4" s="453"/>
      <c r="JF4" s="453"/>
      <c r="JG4" s="453"/>
      <c r="JH4" s="453"/>
      <c r="JI4" s="453"/>
      <c r="JJ4" s="453"/>
      <c r="JK4" s="453"/>
      <c r="JL4" s="453"/>
      <c r="JM4" s="453"/>
      <c r="JN4" s="453"/>
      <c r="JO4" s="453"/>
      <c r="JP4" s="453"/>
      <c r="JQ4" s="453"/>
      <c r="JR4" s="453"/>
      <c r="JS4" s="453"/>
      <c r="JT4" s="453"/>
      <c r="JU4" s="453"/>
      <c r="JV4" s="453"/>
      <c r="JW4" s="453"/>
      <c r="JX4" s="453"/>
      <c r="JY4" s="453"/>
      <c r="JZ4" s="453"/>
      <c r="KA4" s="453"/>
      <c r="KB4" s="453"/>
      <c r="KC4" s="453"/>
      <c r="KD4" s="453"/>
      <c r="KE4" s="453"/>
      <c r="KF4" s="453"/>
      <c r="KG4" s="453"/>
      <c r="KH4" s="453"/>
      <c r="KI4" s="453"/>
      <c r="KJ4" s="453"/>
      <c r="KK4" s="453"/>
      <c r="KL4" s="453"/>
      <c r="KM4" s="453"/>
      <c r="KN4" s="453"/>
      <c r="KO4" s="453"/>
      <c r="KP4" s="453"/>
      <c r="KQ4" s="453"/>
      <c r="KR4" s="453"/>
      <c r="KS4" s="453"/>
      <c r="KT4" s="453"/>
      <c r="KU4" s="453"/>
      <c r="KV4" s="453"/>
      <c r="KW4" s="453"/>
      <c r="KX4" s="453"/>
      <c r="KY4" s="453"/>
      <c r="KZ4" s="453"/>
      <c r="LA4" s="453"/>
      <c r="LB4" s="453"/>
      <c r="LC4" s="453"/>
      <c r="LD4" s="453"/>
      <c r="LE4" s="453"/>
      <c r="LF4" s="453"/>
      <c r="LG4" s="453"/>
      <c r="LH4" s="453"/>
      <c r="LI4" s="453"/>
      <c r="LJ4" s="453"/>
      <c r="LK4" s="453"/>
      <c r="LL4" s="453"/>
      <c r="LM4" s="453"/>
      <c r="LN4" s="453"/>
      <c r="LO4" s="453"/>
      <c r="LP4" s="453"/>
      <c r="LQ4" s="453"/>
      <c r="LR4" s="453"/>
      <c r="LS4" s="453"/>
      <c r="LT4" s="453"/>
      <c r="LU4" s="453"/>
      <c r="LV4" s="453"/>
      <c r="LW4" s="453"/>
      <c r="LX4" s="453"/>
      <c r="LY4" s="453"/>
      <c r="LZ4" s="453"/>
      <c r="MA4" s="453"/>
      <c r="MB4" s="453"/>
      <c r="MC4" s="453"/>
      <c r="MD4" s="453"/>
      <c r="ME4" s="453"/>
      <c r="MF4" s="453"/>
      <c r="MG4" s="453"/>
      <c r="MH4" s="453"/>
      <c r="MI4" s="453"/>
      <c r="MJ4" s="453"/>
      <c r="MK4" s="453"/>
      <c r="ML4" s="453"/>
      <c r="MM4" s="453"/>
      <c r="MN4" s="453"/>
      <c r="MO4" s="453"/>
      <c r="MP4" s="453"/>
      <c r="MQ4" s="453"/>
      <c r="MR4" s="453"/>
      <c r="MS4" s="453"/>
      <c r="MT4" s="453"/>
      <c r="MU4" s="453"/>
      <c r="MV4" s="453"/>
      <c r="MW4" s="453"/>
      <c r="MX4" s="453"/>
      <c r="MY4" s="453"/>
      <c r="MZ4" s="453"/>
      <c r="NA4" s="453"/>
      <c r="NB4" s="453"/>
      <c r="NC4" s="453"/>
      <c r="ND4" s="453"/>
      <c r="NE4" s="331"/>
    </row>
    <row r="5" spans="1:1017" s="295" customFormat="1" ht="6" customHeight="1" thickBot="1">
      <c r="B5" s="325"/>
      <c r="C5" s="324"/>
      <c r="D5" s="453"/>
      <c r="E5" s="453"/>
      <c r="F5" s="453"/>
      <c r="G5" s="453"/>
      <c r="H5" s="453"/>
      <c r="I5" s="453"/>
      <c r="J5" s="453"/>
      <c r="K5" s="453"/>
      <c r="L5" s="453"/>
      <c r="M5" s="453"/>
      <c r="N5" s="453"/>
      <c r="O5" s="453"/>
      <c r="P5" s="453"/>
      <c r="Q5" s="453"/>
      <c r="R5" s="453"/>
      <c r="S5" s="453"/>
      <c r="T5" s="453"/>
      <c r="U5" s="453"/>
      <c r="V5" s="453"/>
      <c r="W5" s="453"/>
      <c r="X5" s="453"/>
      <c r="Y5" s="453"/>
      <c r="Z5" s="453"/>
      <c r="AA5" s="453"/>
      <c r="AB5" s="453"/>
      <c r="AC5" s="453"/>
      <c r="AD5" s="453"/>
      <c r="AE5" s="453"/>
      <c r="AF5" s="453"/>
      <c r="AG5" s="453"/>
      <c r="AH5" s="453"/>
      <c r="AI5" s="453"/>
      <c r="AJ5" s="453"/>
      <c r="AK5" s="453"/>
      <c r="AL5" s="453"/>
      <c r="AM5" s="453"/>
      <c r="AN5" s="453"/>
      <c r="AO5" s="453"/>
      <c r="AP5" s="453"/>
      <c r="AQ5" s="453"/>
      <c r="AR5" s="453"/>
      <c r="AS5" s="453"/>
      <c r="AT5" s="453"/>
      <c r="AU5" s="453"/>
      <c r="AV5" s="453"/>
      <c r="AW5" s="453"/>
      <c r="AX5" s="453"/>
      <c r="AY5" s="453"/>
      <c r="AZ5" s="453"/>
      <c r="BA5" s="453"/>
      <c r="BB5" s="453"/>
      <c r="BC5" s="453"/>
      <c r="BD5" s="453"/>
      <c r="BE5" s="453"/>
      <c r="BF5" s="453"/>
      <c r="BG5" s="453"/>
      <c r="BH5" s="453"/>
      <c r="BI5" s="453"/>
      <c r="BJ5" s="453"/>
      <c r="BK5" s="453"/>
      <c r="BL5" s="453"/>
      <c r="BM5" s="453"/>
      <c r="BN5" s="453"/>
      <c r="BO5" s="453"/>
      <c r="BP5" s="453"/>
      <c r="BQ5" s="453"/>
      <c r="BR5" s="453"/>
      <c r="BS5" s="453"/>
      <c r="BT5" s="453"/>
      <c r="BU5" s="453"/>
      <c r="BV5" s="453"/>
      <c r="BW5" s="453"/>
      <c r="BX5" s="453"/>
      <c r="BY5" s="453"/>
      <c r="BZ5" s="453"/>
      <c r="CA5" s="453"/>
      <c r="CB5" s="453"/>
      <c r="CC5" s="453"/>
      <c r="CD5" s="453"/>
      <c r="CE5" s="453"/>
      <c r="CF5" s="453"/>
      <c r="CG5" s="453"/>
      <c r="CH5" s="453"/>
      <c r="CI5" s="453"/>
      <c r="CJ5" s="453"/>
      <c r="CK5" s="453"/>
      <c r="CL5" s="453"/>
      <c r="CM5" s="453"/>
      <c r="CN5" s="453"/>
      <c r="CO5" s="453"/>
      <c r="CP5" s="453"/>
      <c r="CQ5" s="453"/>
      <c r="CR5" s="453"/>
      <c r="CS5" s="453"/>
      <c r="CT5" s="453"/>
      <c r="CU5" s="453"/>
      <c r="CV5" s="453"/>
      <c r="CW5" s="453"/>
      <c r="CX5" s="453"/>
      <c r="CY5" s="453"/>
      <c r="CZ5" s="453"/>
      <c r="DA5" s="453"/>
      <c r="DB5" s="453"/>
      <c r="DC5" s="453"/>
      <c r="DD5" s="453"/>
      <c r="DE5" s="453"/>
      <c r="DF5" s="453"/>
      <c r="DG5" s="453"/>
      <c r="DH5" s="453"/>
      <c r="DI5" s="453"/>
      <c r="DJ5" s="453"/>
      <c r="DK5" s="453"/>
      <c r="DL5" s="453"/>
      <c r="DM5" s="453"/>
      <c r="DN5" s="453"/>
      <c r="DO5" s="453"/>
      <c r="DP5" s="453"/>
      <c r="DQ5" s="453"/>
      <c r="DR5" s="453"/>
      <c r="DS5" s="453"/>
      <c r="DT5" s="453"/>
      <c r="DU5" s="453"/>
      <c r="DV5" s="453"/>
      <c r="DW5" s="453"/>
      <c r="DX5" s="453"/>
      <c r="DY5" s="453"/>
      <c r="DZ5" s="453"/>
      <c r="EA5" s="453"/>
      <c r="EB5" s="453"/>
      <c r="EC5" s="453"/>
      <c r="ED5" s="453"/>
      <c r="EE5" s="453"/>
      <c r="EF5" s="453"/>
      <c r="EG5" s="453"/>
      <c r="EH5" s="453"/>
      <c r="EI5" s="453"/>
      <c r="EJ5" s="453"/>
      <c r="EK5" s="453"/>
      <c r="EL5" s="453"/>
      <c r="EM5" s="453"/>
      <c r="EN5" s="453"/>
      <c r="EO5" s="453"/>
      <c r="EP5" s="453"/>
      <c r="EQ5" s="453"/>
      <c r="ER5" s="453"/>
      <c r="ES5" s="453"/>
      <c r="ET5" s="453"/>
      <c r="EU5" s="453"/>
      <c r="EV5" s="453"/>
      <c r="EW5" s="453"/>
      <c r="EX5" s="453"/>
      <c r="EY5" s="453"/>
      <c r="EZ5" s="453"/>
      <c r="FA5" s="453"/>
      <c r="FB5" s="453"/>
      <c r="FC5" s="453"/>
      <c r="FD5" s="453"/>
      <c r="FE5" s="453"/>
      <c r="FF5" s="453"/>
      <c r="FG5" s="453"/>
      <c r="FH5" s="453"/>
      <c r="FI5" s="453"/>
      <c r="FJ5" s="453"/>
      <c r="FK5" s="453"/>
      <c r="FL5" s="453"/>
      <c r="FM5" s="453"/>
      <c r="FN5" s="453"/>
      <c r="FO5" s="453"/>
      <c r="FP5" s="453"/>
      <c r="FQ5" s="453"/>
      <c r="FR5" s="453"/>
      <c r="FS5" s="453"/>
      <c r="FT5" s="453"/>
      <c r="FU5" s="453"/>
      <c r="FV5" s="453"/>
      <c r="FW5" s="453"/>
      <c r="FX5" s="453"/>
      <c r="FY5" s="453"/>
      <c r="FZ5" s="453"/>
      <c r="GA5" s="453"/>
      <c r="GB5" s="453"/>
      <c r="GC5" s="453"/>
      <c r="GD5" s="453"/>
      <c r="GE5" s="453"/>
      <c r="GF5" s="453"/>
      <c r="GG5" s="453"/>
      <c r="GH5" s="453"/>
      <c r="GI5" s="453"/>
      <c r="GJ5" s="453"/>
      <c r="GK5" s="453"/>
      <c r="GL5" s="453"/>
      <c r="GM5" s="453"/>
      <c r="GN5" s="453"/>
      <c r="GO5" s="453"/>
      <c r="GP5" s="453"/>
      <c r="GQ5" s="453"/>
      <c r="GR5" s="453"/>
      <c r="GS5" s="453"/>
      <c r="GT5" s="453"/>
      <c r="GU5" s="453"/>
      <c r="GV5" s="453"/>
      <c r="GW5" s="453"/>
      <c r="GX5" s="453"/>
      <c r="GY5" s="453"/>
      <c r="GZ5" s="453"/>
      <c r="HA5" s="453"/>
      <c r="HB5" s="453"/>
      <c r="HC5" s="453"/>
      <c r="HD5" s="453"/>
      <c r="HE5" s="453"/>
      <c r="HF5" s="453"/>
      <c r="HG5" s="453"/>
      <c r="HH5" s="453"/>
      <c r="HI5" s="453"/>
      <c r="HJ5" s="453"/>
      <c r="HK5" s="453"/>
      <c r="HL5" s="453"/>
      <c r="HM5" s="453"/>
      <c r="HN5" s="453"/>
      <c r="HO5" s="453"/>
      <c r="HP5" s="453"/>
      <c r="HQ5" s="453"/>
      <c r="HR5" s="453"/>
      <c r="HS5" s="453"/>
      <c r="HT5" s="453"/>
      <c r="HU5" s="453"/>
      <c r="HV5" s="453"/>
      <c r="HW5" s="453"/>
      <c r="HX5" s="453"/>
      <c r="HY5" s="453"/>
      <c r="HZ5" s="453"/>
      <c r="IA5" s="453"/>
      <c r="IB5" s="453"/>
      <c r="IC5" s="453"/>
      <c r="ID5" s="453"/>
      <c r="IE5" s="453"/>
      <c r="IF5" s="453"/>
      <c r="IG5" s="453"/>
      <c r="IH5" s="453"/>
      <c r="II5" s="453"/>
      <c r="IJ5" s="453"/>
      <c r="IK5" s="453"/>
      <c r="IL5" s="453"/>
      <c r="IM5" s="453"/>
      <c r="IN5" s="453"/>
      <c r="IO5" s="453"/>
      <c r="IP5" s="453"/>
      <c r="IQ5" s="453"/>
      <c r="IR5" s="453"/>
      <c r="IS5" s="453"/>
      <c r="IT5" s="453"/>
      <c r="IU5" s="453"/>
      <c r="IV5" s="453"/>
      <c r="IW5" s="453"/>
      <c r="IX5" s="453"/>
      <c r="IY5" s="453"/>
      <c r="IZ5" s="453"/>
      <c r="JA5" s="453"/>
      <c r="JB5" s="453"/>
      <c r="JC5" s="453"/>
      <c r="JD5" s="453"/>
      <c r="JE5" s="453"/>
      <c r="JF5" s="453"/>
      <c r="JG5" s="453"/>
      <c r="JH5" s="453"/>
      <c r="JI5" s="453"/>
      <c r="JJ5" s="453"/>
      <c r="JK5" s="453"/>
      <c r="JL5" s="453"/>
      <c r="JM5" s="453"/>
      <c r="JN5" s="453"/>
      <c r="JO5" s="453"/>
      <c r="JP5" s="453"/>
      <c r="JQ5" s="453"/>
      <c r="JR5" s="453"/>
      <c r="JS5" s="453"/>
      <c r="JT5" s="453"/>
      <c r="JU5" s="453"/>
      <c r="JV5" s="453"/>
      <c r="JW5" s="453"/>
      <c r="JX5" s="453"/>
      <c r="JY5" s="453"/>
      <c r="JZ5" s="453"/>
      <c r="KA5" s="453"/>
      <c r="KB5" s="453"/>
      <c r="KC5" s="453"/>
      <c r="KD5" s="453"/>
      <c r="KE5" s="453"/>
      <c r="KF5" s="453"/>
      <c r="KG5" s="453"/>
      <c r="KH5" s="453"/>
      <c r="KI5" s="453"/>
      <c r="KJ5" s="453"/>
      <c r="KK5" s="453"/>
      <c r="KL5" s="453"/>
      <c r="KM5" s="453"/>
      <c r="KN5" s="453"/>
      <c r="KO5" s="453"/>
      <c r="KP5" s="453"/>
      <c r="KQ5" s="453"/>
      <c r="KR5" s="453"/>
      <c r="KS5" s="453"/>
      <c r="KT5" s="453"/>
      <c r="KU5" s="453"/>
      <c r="KV5" s="453"/>
      <c r="KW5" s="453"/>
      <c r="KX5" s="453"/>
      <c r="KY5" s="453"/>
      <c r="KZ5" s="453"/>
      <c r="LA5" s="453"/>
      <c r="LB5" s="453"/>
      <c r="LC5" s="453"/>
      <c r="LD5" s="453"/>
      <c r="LE5" s="453"/>
      <c r="LF5" s="453"/>
      <c r="LG5" s="453"/>
      <c r="LH5" s="453"/>
      <c r="LI5" s="453"/>
      <c r="LJ5" s="453"/>
      <c r="LK5" s="453"/>
      <c r="LL5" s="453"/>
      <c r="LM5" s="453"/>
      <c r="LN5" s="453"/>
      <c r="LO5" s="453"/>
      <c r="LP5" s="453"/>
      <c r="LQ5" s="453"/>
      <c r="LR5" s="453"/>
      <c r="LS5" s="453"/>
      <c r="LT5" s="453"/>
      <c r="LU5" s="453"/>
      <c r="LV5" s="453"/>
      <c r="LW5" s="453"/>
      <c r="LX5" s="453"/>
      <c r="LY5" s="453"/>
      <c r="LZ5" s="453"/>
      <c r="MA5" s="453"/>
      <c r="MB5" s="453"/>
      <c r="MC5" s="453"/>
      <c r="MD5" s="453"/>
      <c r="ME5" s="453"/>
      <c r="MF5" s="453"/>
      <c r="MG5" s="453"/>
      <c r="MH5" s="453"/>
      <c r="MI5" s="453"/>
      <c r="MJ5" s="453"/>
      <c r="MK5" s="453"/>
      <c r="ML5" s="453"/>
      <c r="MM5" s="453"/>
      <c r="MN5" s="453"/>
      <c r="MO5" s="453"/>
      <c r="MP5" s="453"/>
      <c r="MQ5" s="453"/>
      <c r="MR5" s="453"/>
      <c r="MS5" s="453"/>
      <c r="MT5" s="453"/>
      <c r="MU5" s="453"/>
      <c r="MV5" s="453"/>
      <c r="MW5" s="453"/>
      <c r="MX5" s="453"/>
      <c r="MY5" s="453"/>
      <c r="MZ5" s="453"/>
      <c r="NA5" s="453"/>
      <c r="NB5" s="453"/>
      <c r="NC5" s="453"/>
      <c r="ND5" s="453"/>
      <c r="NE5" s="331"/>
    </row>
    <row r="6" spans="1:1017" s="295" customFormat="1" ht="13.5" customHeight="1" thickBot="1">
      <c r="B6" s="310"/>
      <c r="C6" s="324" t="s">
        <v>127</v>
      </c>
      <c r="D6" s="453"/>
      <c r="E6" s="453"/>
      <c r="F6" s="453"/>
      <c r="G6" s="453"/>
      <c r="H6" s="453"/>
      <c r="I6" s="453"/>
      <c r="J6" s="453"/>
      <c r="K6" s="453"/>
      <c r="L6" s="453"/>
      <c r="M6" s="453"/>
      <c r="N6" s="453"/>
      <c r="O6" s="453"/>
      <c r="P6" s="453"/>
      <c r="Q6" s="453"/>
      <c r="R6" s="453"/>
      <c r="S6" s="453"/>
      <c r="T6" s="453"/>
      <c r="U6" s="453"/>
      <c r="V6" s="453"/>
      <c r="W6" s="453"/>
      <c r="X6" s="453"/>
      <c r="Y6" s="453"/>
      <c r="Z6" s="453"/>
      <c r="AA6" s="453"/>
      <c r="AB6" s="453"/>
      <c r="AC6" s="453"/>
      <c r="AD6" s="453"/>
      <c r="AE6" s="453"/>
      <c r="AF6" s="453"/>
      <c r="AG6" s="453"/>
      <c r="AH6" s="453"/>
      <c r="AI6" s="453"/>
      <c r="AJ6" s="453"/>
      <c r="AK6" s="453"/>
      <c r="AL6" s="453"/>
      <c r="AM6" s="453"/>
      <c r="AN6" s="453"/>
      <c r="AO6" s="453"/>
      <c r="AP6" s="453"/>
      <c r="AQ6" s="453"/>
      <c r="AR6" s="453"/>
      <c r="AS6" s="453"/>
      <c r="AT6" s="453"/>
      <c r="AU6" s="453"/>
      <c r="AV6" s="453"/>
      <c r="AW6" s="453"/>
      <c r="AX6" s="453"/>
      <c r="AY6" s="453"/>
      <c r="AZ6" s="453"/>
      <c r="BA6" s="453"/>
      <c r="BB6" s="453"/>
      <c r="BC6" s="453"/>
      <c r="BD6" s="453"/>
      <c r="BE6" s="453"/>
      <c r="BF6" s="453"/>
      <c r="BG6" s="453"/>
      <c r="BH6" s="453"/>
      <c r="BI6" s="453"/>
      <c r="BJ6" s="453"/>
      <c r="BK6" s="453"/>
      <c r="BL6" s="453"/>
      <c r="BM6" s="453"/>
      <c r="BN6" s="453"/>
      <c r="BO6" s="453"/>
      <c r="BP6" s="453"/>
      <c r="BQ6" s="453"/>
      <c r="BR6" s="453"/>
      <c r="BS6" s="453"/>
      <c r="BT6" s="453"/>
      <c r="BU6" s="453"/>
      <c r="BV6" s="453"/>
      <c r="BW6" s="453"/>
      <c r="BX6" s="453"/>
      <c r="BY6" s="453"/>
      <c r="BZ6" s="453"/>
      <c r="CA6" s="453"/>
      <c r="CB6" s="453"/>
      <c r="CC6" s="453"/>
      <c r="CD6" s="453"/>
      <c r="CE6" s="453"/>
      <c r="CF6" s="453"/>
      <c r="CG6" s="453"/>
      <c r="CH6" s="453"/>
      <c r="CI6" s="453"/>
      <c r="CJ6" s="453"/>
      <c r="CK6" s="453"/>
      <c r="CL6" s="453"/>
      <c r="CM6" s="453"/>
      <c r="CN6" s="453"/>
      <c r="CO6" s="453"/>
      <c r="CP6" s="453"/>
      <c r="CQ6" s="453"/>
      <c r="CR6" s="453"/>
      <c r="CS6" s="453"/>
      <c r="CT6" s="453"/>
      <c r="CU6" s="453"/>
      <c r="CV6" s="453"/>
      <c r="CW6" s="453"/>
      <c r="CX6" s="453"/>
      <c r="CY6" s="453"/>
      <c r="CZ6" s="453"/>
      <c r="DA6" s="453"/>
      <c r="DB6" s="453"/>
      <c r="DC6" s="453"/>
      <c r="DD6" s="453"/>
      <c r="DE6" s="453"/>
      <c r="DF6" s="453"/>
      <c r="DG6" s="453"/>
      <c r="DH6" s="453"/>
      <c r="DI6" s="453"/>
      <c r="DJ6" s="453"/>
      <c r="DK6" s="453"/>
      <c r="DL6" s="453"/>
      <c r="DM6" s="453"/>
      <c r="DN6" s="453"/>
      <c r="DO6" s="453"/>
      <c r="DP6" s="453"/>
      <c r="DQ6" s="453"/>
      <c r="DR6" s="453"/>
      <c r="DS6" s="453"/>
      <c r="DT6" s="453"/>
      <c r="DU6" s="453"/>
      <c r="DV6" s="453"/>
      <c r="DW6" s="453"/>
      <c r="DX6" s="453"/>
      <c r="DY6" s="453"/>
      <c r="DZ6" s="453"/>
      <c r="EA6" s="453"/>
      <c r="EB6" s="453"/>
      <c r="EC6" s="453"/>
      <c r="ED6" s="453"/>
      <c r="EE6" s="453"/>
      <c r="EF6" s="453"/>
      <c r="EG6" s="453"/>
      <c r="EH6" s="453"/>
      <c r="EI6" s="453"/>
      <c r="EJ6" s="453"/>
      <c r="EK6" s="453"/>
      <c r="EL6" s="453"/>
      <c r="EM6" s="453"/>
      <c r="EN6" s="453"/>
      <c r="EO6" s="453"/>
      <c r="EP6" s="453"/>
      <c r="EQ6" s="453"/>
      <c r="ER6" s="453"/>
      <c r="ES6" s="453"/>
      <c r="ET6" s="453"/>
      <c r="EU6" s="453"/>
      <c r="EV6" s="453"/>
      <c r="EW6" s="453"/>
      <c r="EX6" s="453"/>
      <c r="EY6" s="453"/>
      <c r="EZ6" s="453"/>
      <c r="FA6" s="453"/>
      <c r="FB6" s="453"/>
      <c r="FC6" s="453"/>
      <c r="FD6" s="453"/>
      <c r="FE6" s="453"/>
      <c r="FF6" s="453"/>
      <c r="FG6" s="453"/>
      <c r="FH6" s="453"/>
      <c r="FI6" s="453"/>
      <c r="FJ6" s="453"/>
      <c r="FK6" s="453"/>
      <c r="FL6" s="453"/>
      <c r="FM6" s="453"/>
      <c r="FN6" s="453"/>
      <c r="FO6" s="453"/>
      <c r="FP6" s="453"/>
      <c r="FQ6" s="453"/>
      <c r="FR6" s="453"/>
      <c r="FS6" s="453"/>
      <c r="FT6" s="453"/>
      <c r="FU6" s="453"/>
      <c r="FV6" s="453"/>
      <c r="FW6" s="453"/>
      <c r="FX6" s="453"/>
      <c r="FY6" s="453"/>
      <c r="FZ6" s="453"/>
      <c r="GA6" s="453"/>
      <c r="GB6" s="453"/>
      <c r="GC6" s="453"/>
      <c r="GD6" s="453"/>
      <c r="GE6" s="453"/>
      <c r="GF6" s="453"/>
      <c r="GG6" s="453"/>
      <c r="GH6" s="453"/>
      <c r="GI6" s="453"/>
      <c r="GJ6" s="453"/>
      <c r="GK6" s="453"/>
      <c r="GL6" s="453"/>
      <c r="GM6" s="453"/>
      <c r="GN6" s="453"/>
      <c r="GO6" s="453"/>
      <c r="GP6" s="453"/>
      <c r="GQ6" s="453"/>
      <c r="GR6" s="453"/>
      <c r="GS6" s="453"/>
      <c r="GT6" s="453"/>
      <c r="GU6" s="453"/>
      <c r="GV6" s="453"/>
      <c r="GW6" s="453"/>
      <c r="GX6" s="453"/>
      <c r="GY6" s="453"/>
      <c r="GZ6" s="453"/>
      <c r="HA6" s="453"/>
      <c r="HB6" s="453"/>
      <c r="HC6" s="453"/>
      <c r="HD6" s="453"/>
      <c r="HE6" s="453"/>
      <c r="HF6" s="453"/>
      <c r="HG6" s="453"/>
      <c r="HH6" s="453"/>
      <c r="HI6" s="453"/>
      <c r="HJ6" s="453"/>
      <c r="HK6" s="453"/>
      <c r="HL6" s="453"/>
      <c r="HM6" s="453"/>
      <c r="HN6" s="453"/>
      <c r="HO6" s="453"/>
      <c r="HP6" s="453"/>
      <c r="HQ6" s="453"/>
      <c r="HR6" s="453"/>
      <c r="HS6" s="453"/>
      <c r="HT6" s="453"/>
      <c r="HU6" s="453"/>
      <c r="HV6" s="453"/>
      <c r="HW6" s="453"/>
      <c r="HX6" s="453"/>
      <c r="HY6" s="453"/>
      <c r="HZ6" s="453"/>
      <c r="IA6" s="453"/>
      <c r="IB6" s="453"/>
      <c r="IC6" s="453"/>
      <c r="ID6" s="453"/>
      <c r="IE6" s="453"/>
      <c r="IF6" s="453"/>
      <c r="IG6" s="453"/>
      <c r="IH6" s="453"/>
      <c r="II6" s="453"/>
      <c r="IJ6" s="453"/>
      <c r="IK6" s="453"/>
      <c r="IL6" s="453"/>
      <c r="IM6" s="453"/>
      <c r="IN6" s="453"/>
      <c r="IO6" s="453"/>
      <c r="IP6" s="453"/>
      <c r="IQ6" s="453"/>
      <c r="IR6" s="453"/>
      <c r="IS6" s="453"/>
      <c r="IT6" s="453"/>
      <c r="IU6" s="453"/>
      <c r="IV6" s="453"/>
      <c r="IW6" s="453"/>
      <c r="IX6" s="453"/>
      <c r="IY6" s="453"/>
      <c r="IZ6" s="453"/>
      <c r="JA6" s="453"/>
      <c r="JB6" s="453"/>
      <c r="JC6" s="453"/>
      <c r="JD6" s="453"/>
      <c r="JE6" s="453"/>
      <c r="JF6" s="453"/>
      <c r="JG6" s="453"/>
      <c r="JH6" s="453"/>
      <c r="JI6" s="453"/>
      <c r="JJ6" s="453"/>
      <c r="JK6" s="453"/>
      <c r="JL6" s="453"/>
      <c r="JM6" s="453"/>
      <c r="JN6" s="453"/>
      <c r="JO6" s="453"/>
      <c r="JP6" s="453"/>
      <c r="JQ6" s="453"/>
      <c r="JR6" s="453"/>
      <c r="JS6" s="453"/>
      <c r="JT6" s="453"/>
      <c r="JU6" s="453"/>
      <c r="JV6" s="453"/>
      <c r="JW6" s="453"/>
      <c r="JX6" s="453"/>
      <c r="JY6" s="453"/>
      <c r="JZ6" s="453"/>
      <c r="KA6" s="453"/>
      <c r="KB6" s="453"/>
      <c r="KC6" s="453"/>
      <c r="KD6" s="453"/>
      <c r="KE6" s="453"/>
      <c r="KF6" s="453"/>
      <c r="KG6" s="453"/>
      <c r="KH6" s="453"/>
      <c r="KI6" s="453"/>
      <c r="KJ6" s="453"/>
      <c r="KK6" s="453"/>
      <c r="KL6" s="453"/>
      <c r="KM6" s="453"/>
      <c r="KN6" s="453"/>
      <c r="KO6" s="453"/>
      <c r="KP6" s="453"/>
      <c r="KQ6" s="453"/>
      <c r="KR6" s="453"/>
      <c r="KS6" s="453"/>
      <c r="KT6" s="453"/>
      <c r="KU6" s="453"/>
      <c r="KV6" s="453"/>
      <c r="KW6" s="453"/>
      <c r="KX6" s="453"/>
      <c r="KY6" s="453"/>
      <c r="KZ6" s="453"/>
      <c r="LA6" s="453"/>
      <c r="LB6" s="453"/>
      <c r="LC6" s="453"/>
      <c r="LD6" s="453"/>
      <c r="LE6" s="453"/>
      <c r="LF6" s="453"/>
      <c r="LG6" s="453"/>
      <c r="LH6" s="453"/>
      <c r="LI6" s="453"/>
      <c r="LJ6" s="453"/>
      <c r="LK6" s="453"/>
      <c r="LL6" s="453"/>
      <c r="LM6" s="453"/>
      <c r="LN6" s="453"/>
      <c r="LO6" s="453"/>
      <c r="LP6" s="453"/>
      <c r="LQ6" s="453"/>
      <c r="LR6" s="453"/>
      <c r="LS6" s="453"/>
      <c r="LT6" s="453"/>
      <c r="LU6" s="453"/>
      <c r="LV6" s="453"/>
      <c r="LW6" s="453"/>
      <c r="LX6" s="453"/>
      <c r="LY6" s="453"/>
      <c r="LZ6" s="453"/>
      <c r="MA6" s="453"/>
      <c r="MB6" s="453"/>
      <c r="MC6" s="453"/>
      <c r="MD6" s="453"/>
      <c r="ME6" s="453"/>
      <c r="MF6" s="453"/>
      <c r="MG6" s="453"/>
      <c r="MH6" s="453"/>
      <c r="MI6" s="453"/>
      <c r="MJ6" s="453"/>
      <c r="MK6" s="453"/>
      <c r="ML6" s="453"/>
      <c r="MM6" s="453"/>
      <c r="MN6" s="453"/>
      <c r="MO6" s="453"/>
      <c r="MP6" s="453"/>
      <c r="MQ6" s="453"/>
      <c r="MR6" s="453"/>
      <c r="MS6" s="453"/>
      <c r="MT6" s="453"/>
      <c r="MU6" s="453"/>
      <c r="MV6" s="453"/>
      <c r="MW6" s="453"/>
      <c r="MX6" s="453"/>
      <c r="MY6" s="453"/>
      <c r="MZ6" s="453"/>
      <c r="NA6" s="453"/>
      <c r="NB6" s="453"/>
      <c r="NC6" s="453"/>
      <c r="ND6" s="453"/>
      <c r="NE6" s="331"/>
    </row>
    <row r="7" spans="1:1017" s="295" customFormat="1" ht="6" customHeight="1" thickBot="1">
      <c r="B7" s="325"/>
      <c r="C7" s="324"/>
      <c r="D7" s="453"/>
      <c r="E7" s="453"/>
      <c r="F7" s="453"/>
      <c r="G7" s="453"/>
      <c r="H7" s="453"/>
      <c r="I7" s="453"/>
      <c r="J7" s="453"/>
      <c r="K7" s="453"/>
      <c r="L7" s="453"/>
      <c r="M7" s="453"/>
      <c r="N7" s="453"/>
      <c r="O7" s="453"/>
      <c r="P7" s="453"/>
      <c r="Q7" s="453"/>
      <c r="R7" s="453"/>
      <c r="S7" s="453"/>
      <c r="T7" s="453"/>
      <c r="U7" s="453"/>
      <c r="V7" s="453"/>
      <c r="W7" s="453"/>
      <c r="X7" s="453"/>
      <c r="Y7" s="453"/>
      <c r="Z7" s="453"/>
      <c r="AA7" s="453"/>
      <c r="AB7" s="453"/>
      <c r="AC7" s="453"/>
      <c r="AD7" s="453"/>
      <c r="AE7" s="453"/>
      <c r="AF7" s="453"/>
      <c r="AG7" s="453"/>
      <c r="AH7" s="453"/>
      <c r="AI7" s="453"/>
      <c r="AJ7" s="453"/>
      <c r="AK7" s="453"/>
      <c r="AL7" s="453"/>
      <c r="AM7" s="453"/>
      <c r="AN7" s="453"/>
      <c r="AO7" s="453"/>
      <c r="AP7" s="453"/>
      <c r="AQ7" s="453"/>
      <c r="AR7" s="453"/>
      <c r="AS7" s="453"/>
      <c r="AT7" s="453"/>
      <c r="AU7" s="453"/>
      <c r="AV7" s="453"/>
      <c r="AW7" s="453"/>
      <c r="AX7" s="453"/>
      <c r="AY7" s="453"/>
      <c r="AZ7" s="453"/>
      <c r="BA7" s="453"/>
      <c r="BB7" s="453"/>
      <c r="BC7" s="453"/>
      <c r="BD7" s="453"/>
      <c r="BE7" s="453"/>
      <c r="BF7" s="453"/>
      <c r="BG7" s="453"/>
      <c r="BH7" s="453"/>
      <c r="BI7" s="453"/>
      <c r="BJ7" s="453"/>
      <c r="BK7" s="453"/>
      <c r="BL7" s="453"/>
      <c r="BM7" s="453"/>
      <c r="BN7" s="453"/>
      <c r="BO7" s="453"/>
      <c r="BP7" s="453"/>
      <c r="BQ7" s="453"/>
      <c r="BR7" s="453"/>
      <c r="BS7" s="453"/>
      <c r="BT7" s="453"/>
      <c r="BU7" s="453"/>
      <c r="BV7" s="453"/>
      <c r="BW7" s="453"/>
      <c r="BX7" s="453"/>
      <c r="BY7" s="453"/>
      <c r="BZ7" s="453"/>
      <c r="CA7" s="453"/>
      <c r="CB7" s="453"/>
      <c r="CC7" s="453"/>
      <c r="CD7" s="453"/>
      <c r="CE7" s="453"/>
      <c r="CF7" s="453"/>
      <c r="CG7" s="453"/>
      <c r="CH7" s="453"/>
      <c r="CI7" s="453"/>
      <c r="CJ7" s="453"/>
      <c r="CK7" s="453"/>
      <c r="CL7" s="453"/>
      <c r="CM7" s="453"/>
      <c r="CN7" s="453"/>
      <c r="CO7" s="453"/>
      <c r="CP7" s="453"/>
      <c r="CQ7" s="453"/>
      <c r="CR7" s="453"/>
      <c r="CS7" s="453"/>
      <c r="CT7" s="453"/>
      <c r="CU7" s="453"/>
      <c r="CV7" s="453"/>
      <c r="CW7" s="453"/>
      <c r="CX7" s="453"/>
      <c r="CY7" s="453"/>
      <c r="CZ7" s="453"/>
      <c r="DA7" s="453"/>
      <c r="DB7" s="453"/>
      <c r="DC7" s="453"/>
      <c r="DD7" s="453"/>
      <c r="DE7" s="453"/>
      <c r="DF7" s="453"/>
      <c r="DG7" s="453"/>
      <c r="DH7" s="453"/>
      <c r="DI7" s="453"/>
      <c r="DJ7" s="453"/>
      <c r="DK7" s="453"/>
      <c r="DL7" s="453"/>
      <c r="DM7" s="453"/>
      <c r="DN7" s="453"/>
      <c r="DO7" s="453"/>
      <c r="DP7" s="453"/>
      <c r="DQ7" s="453"/>
      <c r="DR7" s="453"/>
      <c r="DS7" s="453"/>
      <c r="DT7" s="453"/>
      <c r="DU7" s="453"/>
      <c r="DV7" s="453"/>
      <c r="DW7" s="453"/>
      <c r="DX7" s="453"/>
      <c r="DY7" s="453"/>
      <c r="DZ7" s="453"/>
      <c r="EA7" s="453"/>
      <c r="EB7" s="453"/>
      <c r="EC7" s="453"/>
      <c r="ED7" s="453"/>
      <c r="EE7" s="453"/>
      <c r="EF7" s="453"/>
      <c r="EG7" s="453"/>
      <c r="EH7" s="453"/>
      <c r="EI7" s="453"/>
      <c r="EJ7" s="453"/>
      <c r="EK7" s="453"/>
      <c r="EL7" s="453"/>
      <c r="EM7" s="453"/>
      <c r="EN7" s="453"/>
      <c r="EO7" s="453"/>
      <c r="EP7" s="453"/>
      <c r="EQ7" s="453"/>
      <c r="ER7" s="453"/>
      <c r="ES7" s="453"/>
      <c r="ET7" s="453"/>
      <c r="EU7" s="453"/>
      <c r="EV7" s="453"/>
      <c r="EW7" s="453"/>
      <c r="EX7" s="453"/>
      <c r="EY7" s="453"/>
      <c r="EZ7" s="453"/>
      <c r="FA7" s="453"/>
      <c r="FB7" s="453"/>
      <c r="FC7" s="453"/>
      <c r="FD7" s="453"/>
      <c r="FE7" s="453"/>
      <c r="FF7" s="453"/>
      <c r="FG7" s="453"/>
      <c r="FH7" s="453"/>
      <c r="FI7" s="453"/>
      <c r="FJ7" s="453"/>
      <c r="FK7" s="453"/>
      <c r="FL7" s="453"/>
      <c r="FM7" s="453"/>
      <c r="FN7" s="453"/>
      <c r="FO7" s="453"/>
      <c r="FP7" s="453"/>
      <c r="FQ7" s="453"/>
      <c r="FR7" s="453"/>
      <c r="FS7" s="453"/>
      <c r="FT7" s="453"/>
      <c r="FU7" s="453"/>
      <c r="FV7" s="453"/>
      <c r="FW7" s="453"/>
      <c r="FX7" s="453"/>
      <c r="FY7" s="453"/>
      <c r="FZ7" s="453"/>
      <c r="GA7" s="453"/>
      <c r="GB7" s="453"/>
      <c r="GC7" s="453"/>
      <c r="GD7" s="453"/>
      <c r="GE7" s="453"/>
      <c r="GF7" s="453"/>
      <c r="GG7" s="453"/>
      <c r="GH7" s="453"/>
      <c r="GI7" s="453"/>
      <c r="GJ7" s="453"/>
      <c r="GK7" s="453"/>
      <c r="GL7" s="453"/>
      <c r="GM7" s="453"/>
      <c r="GN7" s="453"/>
      <c r="GO7" s="453"/>
      <c r="GP7" s="453"/>
      <c r="GQ7" s="453"/>
      <c r="GR7" s="453"/>
      <c r="GS7" s="453"/>
      <c r="GT7" s="453"/>
      <c r="GU7" s="453"/>
      <c r="GV7" s="453"/>
      <c r="GW7" s="453"/>
      <c r="GX7" s="453"/>
      <c r="GY7" s="453"/>
      <c r="GZ7" s="453"/>
      <c r="HA7" s="453"/>
      <c r="HB7" s="453"/>
      <c r="HC7" s="453"/>
      <c r="HD7" s="453"/>
      <c r="HE7" s="453"/>
      <c r="HF7" s="453"/>
      <c r="HG7" s="453"/>
      <c r="HH7" s="453"/>
      <c r="HI7" s="453"/>
      <c r="HJ7" s="453"/>
      <c r="HK7" s="453"/>
      <c r="HL7" s="453"/>
      <c r="HM7" s="453"/>
      <c r="HN7" s="453"/>
      <c r="HO7" s="453"/>
      <c r="HP7" s="453"/>
      <c r="HQ7" s="453"/>
      <c r="HR7" s="453"/>
      <c r="HS7" s="453"/>
      <c r="HT7" s="453"/>
      <c r="HU7" s="453"/>
      <c r="HV7" s="453"/>
      <c r="HW7" s="453"/>
      <c r="HX7" s="453"/>
      <c r="HY7" s="453"/>
      <c r="HZ7" s="453"/>
      <c r="IA7" s="453"/>
      <c r="IB7" s="453"/>
      <c r="IC7" s="453"/>
      <c r="ID7" s="453"/>
      <c r="IE7" s="453"/>
      <c r="IF7" s="453"/>
      <c r="IG7" s="453"/>
      <c r="IH7" s="453"/>
      <c r="II7" s="453"/>
      <c r="IJ7" s="453"/>
      <c r="IK7" s="453"/>
      <c r="IL7" s="453"/>
      <c r="IM7" s="453"/>
      <c r="IN7" s="453"/>
      <c r="IO7" s="453"/>
      <c r="IP7" s="453"/>
      <c r="IQ7" s="453"/>
      <c r="IR7" s="453"/>
      <c r="IS7" s="453"/>
      <c r="IT7" s="453"/>
      <c r="IU7" s="453"/>
      <c r="IV7" s="453"/>
      <c r="IW7" s="453"/>
      <c r="IX7" s="453"/>
      <c r="IY7" s="453"/>
      <c r="IZ7" s="453"/>
      <c r="JA7" s="453"/>
      <c r="JB7" s="453"/>
      <c r="JC7" s="453"/>
      <c r="JD7" s="453"/>
      <c r="JE7" s="453"/>
      <c r="JF7" s="453"/>
      <c r="JG7" s="453"/>
      <c r="JH7" s="453"/>
      <c r="JI7" s="453"/>
      <c r="JJ7" s="453"/>
      <c r="JK7" s="453"/>
      <c r="JL7" s="453"/>
      <c r="JM7" s="453"/>
      <c r="JN7" s="453"/>
      <c r="JO7" s="453"/>
      <c r="JP7" s="453"/>
      <c r="JQ7" s="453"/>
      <c r="JR7" s="453"/>
      <c r="JS7" s="453"/>
      <c r="JT7" s="453"/>
      <c r="JU7" s="453"/>
      <c r="JV7" s="453"/>
      <c r="JW7" s="453"/>
      <c r="JX7" s="453"/>
      <c r="JY7" s="453"/>
      <c r="JZ7" s="453"/>
      <c r="KA7" s="453"/>
      <c r="KB7" s="453"/>
      <c r="KC7" s="453"/>
      <c r="KD7" s="453"/>
      <c r="KE7" s="453"/>
      <c r="KF7" s="453"/>
      <c r="KG7" s="453"/>
      <c r="KH7" s="453"/>
      <c r="KI7" s="453"/>
      <c r="KJ7" s="453"/>
      <c r="KK7" s="453"/>
      <c r="KL7" s="453"/>
      <c r="KM7" s="453"/>
      <c r="KN7" s="453"/>
      <c r="KO7" s="453"/>
      <c r="KP7" s="453"/>
      <c r="KQ7" s="453"/>
      <c r="KR7" s="453"/>
      <c r="KS7" s="453"/>
      <c r="KT7" s="453"/>
      <c r="KU7" s="453"/>
      <c r="KV7" s="453"/>
      <c r="KW7" s="453"/>
      <c r="KX7" s="453"/>
      <c r="KY7" s="453"/>
      <c r="KZ7" s="453"/>
      <c r="LA7" s="453"/>
      <c r="LB7" s="453"/>
      <c r="LC7" s="453"/>
      <c r="LD7" s="453"/>
      <c r="LE7" s="453"/>
      <c r="LF7" s="453"/>
      <c r="LG7" s="453"/>
      <c r="LH7" s="453"/>
      <c r="LI7" s="453"/>
      <c r="LJ7" s="453"/>
      <c r="LK7" s="453"/>
      <c r="LL7" s="453"/>
      <c r="LM7" s="453"/>
      <c r="LN7" s="453"/>
      <c r="LO7" s="453"/>
      <c r="LP7" s="453"/>
      <c r="LQ7" s="453"/>
      <c r="LR7" s="453"/>
      <c r="LS7" s="453"/>
      <c r="LT7" s="453"/>
      <c r="LU7" s="453"/>
      <c r="LV7" s="453"/>
      <c r="LW7" s="453"/>
      <c r="LX7" s="453"/>
      <c r="LY7" s="453"/>
      <c r="LZ7" s="453"/>
      <c r="MA7" s="453"/>
      <c r="MB7" s="453"/>
      <c r="MC7" s="453"/>
      <c r="MD7" s="453"/>
      <c r="ME7" s="453"/>
      <c r="MF7" s="453"/>
      <c r="MG7" s="453"/>
      <c r="MH7" s="453"/>
      <c r="MI7" s="453"/>
      <c r="MJ7" s="453"/>
      <c r="MK7" s="453"/>
      <c r="ML7" s="453"/>
      <c r="MM7" s="453"/>
      <c r="MN7" s="453"/>
      <c r="MO7" s="453"/>
      <c r="MP7" s="453"/>
      <c r="MQ7" s="453"/>
      <c r="MR7" s="453"/>
      <c r="MS7" s="453"/>
      <c r="MT7" s="453"/>
      <c r="MU7" s="453"/>
      <c r="MV7" s="453"/>
      <c r="MW7" s="453"/>
      <c r="MX7" s="453"/>
      <c r="MY7" s="453"/>
      <c r="MZ7" s="453"/>
      <c r="NA7" s="453"/>
      <c r="NB7" s="453"/>
      <c r="NC7" s="453"/>
      <c r="ND7" s="453"/>
      <c r="NE7" s="331"/>
    </row>
    <row r="8" spans="1:1017" s="295" customFormat="1" ht="13.5" customHeight="1" thickBot="1">
      <c r="B8" s="311"/>
      <c r="C8" s="324" t="s">
        <v>128</v>
      </c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  <c r="O8" s="454"/>
      <c r="P8" s="454"/>
      <c r="Q8" s="454"/>
      <c r="R8" s="454"/>
      <c r="S8" s="454"/>
      <c r="T8" s="454"/>
      <c r="U8" s="454"/>
      <c r="V8" s="454"/>
      <c r="W8" s="454"/>
      <c r="X8" s="454"/>
      <c r="Y8" s="454"/>
      <c r="Z8" s="454"/>
      <c r="AA8" s="454"/>
      <c r="AB8" s="454"/>
      <c r="AC8" s="454"/>
      <c r="AD8" s="454"/>
      <c r="AE8" s="454"/>
      <c r="AF8" s="454"/>
      <c r="AG8" s="454"/>
      <c r="AH8" s="454"/>
      <c r="AI8" s="454"/>
      <c r="AJ8" s="454"/>
      <c r="AK8" s="454"/>
      <c r="AL8" s="454"/>
      <c r="AM8" s="454"/>
      <c r="AN8" s="454"/>
      <c r="AO8" s="454"/>
      <c r="AP8" s="454"/>
      <c r="AQ8" s="454"/>
      <c r="AR8" s="454"/>
      <c r="AS8" s="454"/>
      <c r="AT8" s="454"/>
      <c r="AU8" s="454"/>
      <c r="AV8" s="454"/>
      <c r="AW8" s="454"/>
      <c r="AX8" s="454"/>
      <c r="AY8" s="454"/>
      <c r="AZ8" s="454"/>
      <c r="BA8" s="454"/>
      <c r="BB8" s="454"/>
      <c r="BC8" s="454"/>
      <c r="BD8" s="454"/>
      <c r="BE8" s="454"/>
      <c r="BF8" s="454"/>
      <c r="BG8" s="454"/>
      <c r="BH8" s="454"/>
      <c r="BI8" s="454"/>
      <c r="BJ8" s="454"/>
      <c r="BK8" s="454"/>
      <c r="BL8" s="454"/>
      <c r="BM8" s="454"/>
      <c r="BN8" s="454"/>
      <c r="BO8" s="454"/>
      <c r="BP8" s="454"/>
      <c r="BQ8" s="454"/>
      <c r="BR8" s="454"/>
      <c r="BS8" s="454"/>
      <c r="BT8" s="454"/>
      <c r="BU8" s="454"/>
      <c r="BV8" s="454"/>
      <c r="BW8" s="454"/>
      <c r="BX8" s="454"/>
      <c r="BY8" s="454"/>
      <c r="BZ8" s="454"/>
      <c r="CA8" s="454"/>
      <c r="CB8" s="454"/>
      <c r="CC8" s="454"/>
      <c r="CD8" s="454"/>
      <c r="CE8" s="454"/>
      <c r="CF8" s="454"/>
      <c r="CG8" s="454"/>
      <c r="CH8" s="454"/>
      <c r="CI8" s="454"/>
      <c r="CJ8" s="454"/>
      <c r="CK8" s="454"/>
      <c r="CL8" s="454"/>
      <c r="CM8" s="454"/>
      <c r="CN8" s="454"/>
      <c r="CO8" s="454"/>
      <c r="CP8" s="454"/>
      <c r="CQ8" s="454"/>
      <c r="CR8" s="454"/>
      <c r="CS8" s="454"/>
      <c r="CT8" s="454"/>
      <c r="CU8" s="454"/>
      <c r="CV8" s="454"/>
      <c r="CW8" s="454"/>
      <c r="CX8" s="454"/>
      <c r="CY8" s="454"/>
      <c r="CZ8" s="454"/>
      <c r="DA8" s="454"/>
      <c r="DB8" s="454"/>
      <c r="DC8" s="454"/>
      <c r="DD8" s="454"/>
      <c r="DE8" s="454"/>
      <c r="DF8" s="454"/>
      <c r="DG8" s="454"/>
      <c r="DH8" s="454"/>
      <c r="DI8" s="454"/>
      <c r="DJ8" s="454"/>
      <c r="DK8" s="454"/>
      <c r="DL8" s="454"/>
      <c r="DM8" s="454"/>
      <c r="DN8" s="454"/>
      <c r="DO8" s="454"/>
      <c r="DP8" s="454"/>
      <c r="DQ8" s="454"/>
      <c r="DR8" s="454"/>
      <c r="DS8" s="454"/>
      <c r="DT8" s="454"/>
      <c r="DU8" s="454"/>
      <c r="DV8" s="454"/>
      <c r="DW8" s="454"/>
      <c r="DX8" s="454"/>
      <c r="DY8" s="454"/>
      <c r="DZ8" s="454"/>
      <c r="EA8" s="454"/>
      <c r="EB8" s="454"/>
      <c r="EC8" s="454"/>
      <c r="ED8" s="454"/>
      <c r="EE8" s="454"/>
      <c r="EF8" s="454"/>
      <c r="EG8" s="454"/>
      <c r="EH8" s="454"/>
      <c r="EI8" s="454"/>
      <c r="EJ8" s="454"/>
      <c r="EK8" s="454"/>
      <c r="EL8" s="454"/>
      <c r="EM8" s="454"/>
      <c r="EN8" s="454"/>
      <c r="EO8" s="454"/>
      <c r="EP8" s="454"/>
      <c r="EQ8" s="454"/>
      <c r="ER8" s="454"/>
      <c r="ES8" s="454"/>
      <c r="ET8" s="454"/>
      <c r="EU8" s="454"/>
      <c r="EV8" s="454"/>
      <c r="EW8" s="454"/>
      <c r="EX8" s="454"/>
      <c r="EY8" s="454"/>
      <c r="EZ8" s="454"/>
      <c r="FA8" s="454"/>
      <c r="FB8" s="454"/>
      <c r="FC8" s="454"/>
      <c r="FD8" s="454"/>
      <c r="FE8" s="454"/>
      <c r="FF8" s="454"/>
      <c r="FG8" s="454"/>
      <c r="FH8" s="454"/>
      <c r="FI8" s="454"/>
      <c r="FJ8" s="454"/>
      <c r="FK8" s="454"/>
      <c r="FL8" s="454"/>
      <c r="FM8" s="454"/>
      <c r="FN8" s="454"/>
      <c r="FO8" s="454"/>
      <c r="FP8" s="454"/>
      <c r="FQ8" s="454"/>
      <c r="FR8" s="454"/>
      <c r="FS8" s="454"/>
      <c r="FT8" s="454"/>
      <c r="FU8" s="454"/>
      <c r="FV8" s="454"/>
      <c r="FW8" s="454"/>
      <c r="FX8" s="454"/>
      <c r="FY8" s="454"/>
      <c r="FZ8" s="454"/>
      <c r="GA8" s="454"/>
      <c r="GB8" s="454"/>
      <c r="GC8" s="454"/>
      <c r="GD8" s="454"/>
      <c r="GE8" s="454"/>
      <c r="GF8" s="454"/>
      <c r="GG8" s="454"/>
      <c r="GH8" s="454"/>
      <c r="GI8" s="454"/>
      <c r="GJ8" s="454"/>
      <c r="GK8" s="454"/>
      <c r="GL8" s="454"/>
      <c r="GM8" s="454"/>
      <c r="GN8" s="454"/>
      <c r="GO8" s="454"/>
      <c r="GP8" s="454"/>
      <c r="GQ8" s="454"/>
      <c r="GR8" s="454"/>
      <c r="GS8" s="454"/>
      <c r="GT8" s="454"/>
      <c r="GU8" s="454"/>
      <c r="GV8" s="454"/>
      <c r="GW8" s="454"/>
      <c r="GX8" s="454"/>
      <c r="GY8" s="454"/>
      <c r="GZ8" s="454"/>
      <c r="HA8" s="454"/>
      <c r="HB8" s="454"/>
      <c r="HC8" s="454"/>
      <c r="HD8" s="454"/>
      <c r="HE8" s="454"/>
      <c r="HF8" s="454"/>
      <c r="HG8" s="454"/>
      <c r="HH8" s="454"/>
      <c r="HI8" s="454"/>
      <c r="HJ8" s="454"/>
      <c r="HK8" s="454"/>
      <c r="HL8" s="454"/>
      <c r="HM8" s="454"/>
      <c r="HN8" s="454"/>
      <c r="HO8" s="454"/>
      <c r="HP8" s="454"/>
      <c r="HQ8" s="454"/>
      <c r="HR8" s="454"/>
      <c r="HS8" s="454"/>
      <c r="HT8" s="454"/>
      <c r="HU8" s="454"/>
      <c r="HV8" s="454"/>
      <c r="HW8" s="454"/>
      <c r="HX8" s="454"/>
      <c r="HY8" s="454"/>
      <c r="HZ8" s="454"/>
      <c r="IA8" s="454"/>
      <c r="IB8" s="454"/>
      <c r="IC8" s="454"/>
      <c r="ID8" s="454"/>
      <c r="IE8" s="454"/>
      <c r="IF8" s="454"/>
      <c r="IG8" s="454"/>
      <c r="IH8" s="454"/>
      <c r="II8" s="454"/>
      <c r="IJ8" s="454"/>
      <c r="IK8" s="454"/>
      <c r="IL8" s="454"/>
      <c r="IM8" s="454"/>
      <c r="IN8" s="454"/>
      <c r="IO8" s="454"/>
      <c r="IP8" s="454"/>
      <c r="IQ8" s="454"/>
      <c r="IR8" s="454"/>
      <c r="IS8" s="454"/>
      <c r="IT8" s="454"/>
      <c r="IU8" s="454"/>
      <c r="IV8" s="454"/>
      <c r="IW8" s="454"/>
      <c r="IX8" s="454"/>
      <c r="IY8" s="454"/>
      <c r="IZ8" s="454"/>
      <c r="JA8" s="454"/>
      <c r="JB8" s="454"/>
      <c r="JC8" s="454"/>
      <c r="JD8" s="454"/>
      <c r="JE8" s="454"/>
      <c r="JF8" s="454"/>
      <c r="JG8" s="454"/>
      <c r="JH8" s="454"/>
      <c r="JI8" s="454"/>
      <c r="JJ8" s="454"/>
      <c r="JK8" s="454"/>
      <c r="JL8" s="454"/>
      <c r="JM8" s="454"/>
      <c r="JN8" s="454"/>
      <c r="JO8" s="454"/>
      <c r="JP8" s="454"/>
      <c r="JQ8" s="454"/>
      <c r="JR8" s="454"/>
      <c r="JS8" s="454"/>
      <c r="JT8" s="454"/>
      <c r="JU8" s="454"/>
      <c r="JV8" s="454"/>
      <c r="JW8" s="454"/>
      <c r="JX8" s="454"/>
      <c r="JY8" s="454"/>
      <c r="JZ8" s="454"/>
      <c r="KA8" s="454"/>
      <c r="KB8" s="454"/>
      <c r="KC8" s="454"/>
      <c r="KD8" s="454"/>
      <c r="KE8" s="454"/>
      <c r="KF8" s="454"/>
      <c r="KG8" s="454"/>
      <c r="KH8" s="454"/>
      <c r="KI8" s="454"/>
      <c r="KJ8" s="454"/>
      <c r="KK8" s="454"/>
      <c r="KL8" s="454"/>
      <c r="KM8" s="454"/>
      <c r="KN8" s="454"/>
      <c r="KO8" s="454"/>
      <c r="KP8" s="454"/>
      <c r="KQ8" s="454"/>
      <c r="KR8" s="454"/>
      <c r="KS8" s="454"/>
      <c r="KT8" s="454"/>
      <c r="KU8" s="454"/>
      <c r="KV8" s="454"/>
      <c r="KW8" s="454"/>
      <c r="KX8" s="454"/>
      <c r="KY8" s="454"/>
      <c r="KZ8" s="454"/>
      <c r="LA8" s="454"/>
      <c r="LB8" s="454"/>
      <c r="LC8" s="454"/>
      <c r="LD8" s="454"/>
      <c r="LE8" s="454"/>
      <c r="LF8" s="454"/>
      <c r="LG8" s="454"/>
      <c r="LH8" s="454"/>
      <c r="LI8" s="454"/>
      <c r="LJ8" s="454"/>
      <c r="LK8" s="454"/>
      <c r="LL8" s="454"/>
      <c r="LM8" s="454"/>
      <c r="LN8" s="454"/>
      <c r="LO8" s="454"/>
      <c r="LP8" s="454"/>
      <c r="LQ8" s="454"/>
      <c r="LR8" s="454"/>
      <c r="LS8" s="454"/>
      <c r="LT8" s="454"/>
      <c r="LU8" s="454"/>
      <c r="LV8" s="454"/>
      <c r="LW8" s="454"/>
      <c r="LX8" s="454"/>
      <c r="LY8" s="454"/>
      <c r="LZ8" s="454"/>
      <c r="MA8" s="454"/>
      <c r="MB8" s="454"/>
      <c r="MC8" s="454"/>
      <c r="MD8" s="454"/>
      <c r="ME8" s="454"/>
      <c r="MF8" s="454"/>
      <c r="MG8" s="454"/>
      <c r="MH8" s="454"/>
      <c r="MI8" s="454"/>
      <c r="MJ8" s="454"/>
      <c r="MK8" s="454"/>
      <c r="ML8" s="454"/>
      <c r="MM8" s="454"/>
      <c r="MN8" s="454"/>
      <c r="MO8" s="454"/>
      <c r="MP8" s="454"/>
      <c r="MQ8" s="454"/>
      <c r="MR8" s="454"/>
      <c r="MS8" s="454"/>
      <c r="MT8" s="454"/>
      <c r="MU8" s="454"/>
      <c r="MV8" s="454"/>
      <c r="MW8" s="454"/>
      <c r="MX8" s="454"/>
      <c r="MY8" s="454"/>
      <c r="MZ8" s="454"/>
      <c r="NA8" s="454"/>
      <c r="NB8" s="454"/>
      <c r="NC8" s="454"/>
      <c r="ND8" s="454"/>
      <c r="NE8" s="331"/>
    </row>
    <row r="9" spans="1:1017" s="301" customFormat="1" ht="49.5" customHeight="1">
      <c r="C9" s="320"/>
      <c r="D9" s="326">
        <v>40910</v>
      </c>
      <c r="E9" s="326">
        <v>40911</v>
      </c>
      <c r="F9" s="326">
        <v>40912</v>
      </c>
      <c r="G9" s="326">
        <v>40913</v>
      </c>
      <c r="H9" s="326">
        <v>40914</v>
      </c>
      <c r="I9" s="326">
        <v>40915</v>
      </c>
      <c r="J9" s="326">
        <v>40916</v>
      </c>
      <c r="K9" s="326">
        <v>40917</v>
      </c>
      <c r="L9" s="326">
        <v>40918</v>
      </c>
      <c r="M9" s="326">
        <v>40919</v>
      </c>
      <c r="N9" s="326">
        <v>40920</v>
      </c>
      <c r="O9" s="326">
        <v>40921</v>
      </c>
      <c r="P9" s="326">
        <v>40922</v>
      </c>
      <c r="Q9" s="326">
        <v>40923</v>
      </c>
      <c r="R9" s="326">
        <v>40924</v>
      </c>
      <c r="S9" s="326">
        <v>40925</v>
      </c>
      <c r="T9" s="326">
        <v>40926</v>
      </c>
      <c r="U9" s="326">
        <v>40927</v>
      </c>
      <c r="V9" s="326">
        <v>40928</v>
      </c>
      <c r="W9" s="326">
        <v>40929</v>
      </c>
      <c r="X9" s="326">
        <v>40930</v>
      </c>
      <c r="Y9" s="326">
        <v>40931</v>
      </c>
      <c r="Z9" s="326">
        <v>40932</v>
      </c>
      <c r="AA9" s="326">
        <v>40933</v>
      </c>
      <c r="AB9" s="326">
        <v>40934</v>
      </c>
      <c r="AC9" s="326">
        <v>40935</v>
      </c>
      <c r="AD9" s="326">
        <v>40936</v>
      </c>
      <c r="AE9" s="326">
        <v>40937</v>
      </c>
      <c r="AF9" s="326">
        <v>40938</v>
      </c>
      <c r="AG9" s="326">
        <v>40939</v>
      </c>
      <c r="AH9" s="326">
        <v>40940</v>
      </c>
      <c r="AI9" s="326">
        <v>40941</v>
      </c>
      <c r="AJ9" s="326">
        <v>40942</v>
      </c>
      <c r="AK9" s="326">
        <v>40943</v>
      </c>
      <c r="AL9" s="326">
        <v>40944</v>
      </c>
      <c r="AM9" s="326">
        <v>40945</v>
      </c>
      <c r="AN9" s="326">
        <v>40946</v>
      </c>
      <c r="AO9" s="326">
        <v>40947</v>
      </c>
      <c r="AP9" s="326">
        <v>40948</v>
      </c>
      <c r="AQ9" s="326">
        <v>40949</v>
      </c>
      <c r="AR9" s="326">
        <v>40950</v>
      </c>
      <c r="AS9" s="326">
        <v>40951</v>
      </c>
      <c r="AT9" s="326">
        <v>40952</v>
      </c>
      <c r="AU9" s="326">
        <v>40953</v>
      </c>
      <c r="AV9" s="326">
        <v>40954</v>
      </c>
      <c r="AW9" s="326">
        <v>40955</v>
      </c>
      <c r="AX9" s="326">
        <v>40956</v>
      </c>
      <c r="AY9" s="326">
        <v>40957</v>
      </c>
      <c r="AZ9" s="326">
        <v>40958</v>
      </c>
      <c r="BA9" s="326">
        <v>40959</v>
      </c>
      <c r="BB9" s="326">
        <v>40960</v>
      </c>
      <c r="BC9" s="326">
        <v>40961</v>
      </c>
      <c r="BD9" s="326">
        <v>40962</v>
      </c>
      <c r="BE9" s="326">
        <v>40963</v>
      </c>
      <c r="BF9" s="326">
        <v>40964</v>
      </c>
      <c r="BG9" s="326">
        <v>40965</v>
      </c>
      <c r="BH9" s="326">
        <v>40966</v>
      </c>
      <c r="BI9" s="326">
        <v>40967</v>
      </c>
      <c r="BJ9" s="326">
        <v>40968</v>
      </c>
      <c r="BK9" s="326">
        <v>40969</v>
      </c>
      <c r="BL9" s="326">
        <v>40970</v>
      </c>
      <c r="BM9" s="326">
        <v>40971</v>
      </c>
      <c r="BN9" s="326">
        <v>40972</v>
      </c>
      <c r="BO9" s="326">
        <v>40973</v>
      </c>
      <c r="BP9" s="326">
        <v>40974</v>
      </c>
      <c r="BQ9" s="326">
        <v>40975</v>
      </c>
      <c r="BR9" s="326">
        <v>40976</v>
      </c>
      <c r="BS9" s="326">
        <v>40977</v>
      </c>
      <c r="BT9" s="326">
        <v>40978</v>
      </c>
      <c r="BU9" s="326">
        <v>40979</v>
      </c>
      <c r="BV9" s="326">
        <v>40980</v>
      </c>
      <c r="BW9" s="326">
        <v>40981</v>
      </c>
      <c r="BX9" s="326">
        <v>40982</v>
      </c>
      <c r="BY9" s="326">
        <v>40983</v>
      </c>
      <c r="BZ9" s="326">
        <v>40984</v>
      </c>
      <c r="CA9" s="326">
        <v>40985</v>
      </c>
      <c r="CB9" s="326">
        <v>40986</v>
      </c>
      <c r="CC9" s="326">
        <v>40987</v>
      </c>
      <c r="CD9" s="326">
        <v>40988</v>
      </c>
      <c r="CE9" s="326">
        <v>40989</v>
      </c>
      <c r="CF9" s="326">
        <v>40990</v>
      </c>
      <c r="CG9" s="326">
        <v>40991</v>
      </c>
      <c r="CH9" s="326">
        <v>40992</v>
      </c>
      <c r="CI9" s="326">
        <v>40993</v>
      </c>
      <c r="CJ9" s="326">
        <v>40994</v>
      </c>
      <c r="CK9" s="326">
        <v>40995</v>
      </c>
      <c r="CL9" s="326">
        <v>40996</v>
      </c>
      <c r="CM9" s="326">
        <v>40997</v>
      </c>
      <c r="CN9" s="326">
        <v>40998</v>
      </c>
      <c r="CO9" s="326">
        <v>40999</v>
      </c>
      <c r="CP9" s="326">
        <v>41000</v>
      </c>
      <c r="CQ9" s="326">
        <v>41001</v>
      </c>
      <c r="CR9" s="326">
        <v>41002</v>
      </c>
      <c r="CS9" s="326">
        <v>41003</v>
      </c>
      <c r="CT9" s="326">
        <v>41004</v>
      </c>
      <c r="CU9" s="326">
        <v>41005</v>
      </c>
      <c r="CV9" s="326">
        <v>41006</v>
      </c>
      <c r="CW9" s="326">
        <v>41007</v>
      </c>
      <c r="CX9" s="326">
        <v>41008</v>
      </c>
      <c r="CY9" s="326">
        <v>41009</v>
      </c>
      <c r="CZ9" s="326">
        <v>41010</v>
      </c>
      <c r="DA9" s="326">
        <v>41011</v>
      </c>
      <c r="DB9" s="326">
        <v>41012</v>
      </c>
      <c r="DC9" s="326">
        <v>41013</v>
      </c>
      <c r="DD9" s="326">
        <v>41014</v>
      </c>
      <c r="DE9" s="326">
        <v>41015</v>
      </c>
      <c r="DF9" s="326">
        <v>41016</v>
      </c>
      <c r="DG9" s="326">
        <v>41017</v>
      </c>
      <c r="DH9" s="326">
        <v>41018</v>
      </c>
      <c r="DI9" s="326">
        <v>41019</v>
      </c>
      <c r="DJ9" s="326">
        <v>41020</v>
      </c>
      <c r="DK9" s="326">
        <v>41021</v>
      </c>
      <c r="DL9" s="326">
        <v>41022</v>
      </c>
      <c r="DM9" s="326">
        <v>41023</v>
      </c>
      <c r="DN9" s="326">
        <v>41024</v>
      </c>
      <c r="DO9" s="326">
        <v>41025</v>
      </c>
      <c r="DP9" s="326">
        <v>41026</v>
      </c>
      <c r="DQ9" s="326">
        <v>41027</v>
      </c>
      <c r="DR9" s="326">
        <v>41028</v>
      </c>
      <c r="DS9" s="326">
        <v>41029</v>
      </c>
      <c r="DT9" s="326">
        <v>41030</v>
      </c>
      <c r="DU9" s="326">
        <v>41031</v>
      </c>
      <c r="DV9" s="326">
        <v>41032</v>
      </c>
      <c r="DW9" s="326">
        <v>41033</v>
      </c>
      <c r="DX9" s="326">
        <v>41034</v>
      </c>
      <c r="DY9" s="326">
        <v>41035</v>
      </c>
      <c r="DZ9" s="326">
        <v>41036</v>
      </c>
      <c r="EA9" s="326">
        <v>41037</v>
      </c>
      <c r="EB9" s="326">
        <v>41038</v>
      </c>
      <c r="EC9" s="326">
        <v>41039</v>
      </c>
      <c r="ED9" s="326">
        <v>41040</v>
      </c>
      <c r="EE9" s="326">
        <v>41041</v>
      </c>
      <c r="EF9" s="326">
        <v>41042</v>
      </c>
      <c r="EG9" s="326">
        <v>41043</v>
      </c>
      <c r="EH9" s="326">
        <v>41044</v>
      </c>
      <c r="EI9" s="326">
        <v>41045</v>
      </c>
      <c r="EJ9" s="326">
        <v>41046</v>
      </c>
      <c r="EK9" s="326">
        <v>41047</v>
      </c>
      <c r="EL9" s="326">
        <v>41048</v>
      </c>
      <c r="EM9" s="326">
        <v>41049</v>
      </c>
      <c r="EN9" s="326">
        <v>41050</v>
      </c>
      <c r="EO9" s="326">
        <v>41051</v>
      </c>
      <c r="EP9" s="326">
        <v>41052</v>
      </c>
      <c r="EQ9" s="326">
        <v>41053</v>
      </c>
      <c r="ER9" s="326">
        <v>41054</v>
      </c>
      <c r="ES9" s="326">
        <v>41055</v>
      </c>
      <c r="ET9" s="326">
        <v>41056</v>
      </c>
      <c r="EU9" s="326">
        <v>41057</v>
      </c>
      <c r="EV9" s="326">
        <v>41058</v>
      </c>
      <c r="EW9" s="326">
        <v>41059</v>
      </c>
      <c r="EX9" s="326">
        <v>41060</v>
      </c>
      <c r="EY9" s="326">
        <v>41061</v>
      </c>
      <c r="EZ9" s="326">
        <v>41062</v>
      </c>
      <c r="FA9" s="326">
        <v>41063</v>
      </c>
      <c r="FB9" s="326">
        <v>41064</v>
      </c>
      <c r="FC9" s="326">
        <v>41065</v>
      </c>
      <c r="FD9" s="326">
        <v>41066</v>
      </c>
      <c r="FE9" s="326">
        <v>41067</v>
      </c>
      <c r="FF9" s="326">
        <v>41068</v>
      </c>
      <c r="FG9" s="326">
        <v>41069</v>
      </c>
      <c r="FH9" s="326">
        <v>41070</v>
      </c>
      <c r="FI9" s="326">
        <v>41071</v>
      </c>
      <c r="FJ9" s="326">
        <v>41072</v>
      </c>
      <c r="FK9" s="326">
        <v>41073</v>
      </c>
      <c r="FL9" s="326">
        <v>41074</v>
      </c>
      <c r="FM9" s="326">
        <v>41075</v>
      </c>
      <c r="FN9" s="326">
        <v>41076</v>
      </c>
      <c r="FO9" s="326">
        <v>41077</v>
      </c>
      <c r="FP9" s="326">
        <v>41078</v>
      </c>
      <c r="FQ9" s="326">
        <v>41079</v>
      </c>
      <c r="FR9" s="326">
        <v>41080</v>
      </c>
      <c r="FS9" s="326">
        <v>41081</v>
      </c>
      <c r="FT9" s="326">
        <v>41082</v>
      </c>
      <c r="FU9" s="326">
        <v>41083</v>
      </c>
      <c r="FV9" s="326">
        <v>41084</v>
      </c>
      <c r="FW9" s="326">
        <v>41085</v>
      </c>
      <c r="FX9" s="326">
        <v>41086</v>
      </c>
      <c r="FY9" s="326">
        <v>41087</v>
      </c>
      <c r="FZ9" s="326">
        <v>41088</v>
      </c>
      <c r="GA9" s="326">
        <v>41089</v>
      </c>
      <c r="GB9" s="326">
        <v>41090</v>
      </c>
      <c r="GC9" s="326">
        <v>41091</v>
      </c>
      <c r="GD9" s="326">
        <v>41092</v>
      </c>
      <c r="GE9" s="326">
        <v>41093</v>
      </c>
      <c r="GF9" s="326">
        <v>41094</v>
      </c>
      <c r="GG9" s="326">
        <v>41095</v>
      </c>
      <c r="GH9" s="326">
        <v>41096</v>
      </c>
      <c r="GI9" s="326">
        <v>41097</v>
      </c>
      <c r="GJ9" s="326">
        <v>41098</v>
      </c>
      <c r="GK9" s="326">
        <v>41099</v>
      </c>
      <c r="GL9" s="326">
        <v>41100</v>
      </c>
      <c r="GM9" s="326">
        <v>41101</v>
      </c>
      <c r="GN9" s="326">
        <v>41102</v>
      </c>
      <c r="GO9" s="326">
        <v>41103</v>
      </c>
      <c r="GP9" s="326">
        <v>41104</v>
      </c>
      <c r="GQ9" s="326">
        <v>41105</v>
      </c>
      <c r="GR9" s="326">
        <v>41106</v>
      </c>
      <c r="GS9" s="326">
        <v>41107</v>
      </c>
      <c r="GT9" s="326">
        <v>41108</v>
      </c>
      <c r="GU9" s="326">
        <v>41109</v>
      </c>
      <c r="GV9" s="326">
        <v>41110</v>
      </c>
      <c r="GW9" s="326">
        <v>41111</v>
      </c>
      <c r="GX9" s="326">
        <v>41112</v>
      </c>
      <c r="GY9" s="326">
        <v>41113</v>
      </c>
      <c r="GZ9" s="326">
        <v>41114</v>
      </c>
      <c r="HA9" s="326">
        <v>41115</v>
      </c>
      <c r="HB9" s="326">
        <v>41116</v>
      </c>
      <c r="HC9" s="326">
        <v>41117</v>
      </c>
      <c r="HD9" s="326">
        <v>41118</v>
      </c>
      <c r="HE9" s="326">
        <v>41119</v>
      </c>
      <c r="HF9" s="326">
        <v>41120</v>
      </c>
      <c r="HG9" s="326">
        <v>41121</v>
      </c>
      <c r="HH9" s="326">
        <v>41122</v>
      </c>
      <c r="HI9" s="326">
        <v>41123</v>
      </c>
      <c r="HJ9" s="326">
        <v>41124</v>
      </c>
      <c r="HK9" s="326">
        <v>41125</v>
      </c>
      <c r="HL9" s="326">
        <v>41126</v>
      </c>
      <c r="HM9" s="326">
        <v>41127</v>
      </c>
      <c r="HN9" s="326">
        <v>41128</v>
      </c>
      <c r="HO9" s="326">
        <v>41129</v>
      </c>
      <c r="HP9" s="326">
        <v>41130</v>
      </c>
      <c r="HQ9" s="326">
        <v>41131</v>
      </c>
      <c r="HR9" s="326">
        <v>41132</v>
      </c>
      <c r="HS9" s="326">
        <v>41133</v>
      </c>
      <c r="HT9" s="326">
        <v>41134</v>
      </c>
      <c r="HU9" s="326">
        <v>41135</v>
      </c>
      <c r="HV9" s="326">
        <v>41136</v>
      </c>
      <c r="HW9" s="326">
        <v>41137</v>
      </c>
      <c r="HX9" s="326">
        <v>41138</v>
      </c>
      <c r="HY9" s="326">
        <v>41139</v>
      </c>
      <c r="HZ9" s="326">
        <v>41140</v>
      </c>
      <c r="IA9" s="326">
        <v>41141</v>
      </c>
      <c r="IB9" s="326">
        <v>41142</v>
      </c>
      <c r="IC9" s="326">
        <v>41143</v>
      </c>
      <c r="ID9" s="326">
        <v>41144</v>
      </c>
      <c r="IE9" s="326">
        <v>41145</v>
      </c>
      <c r="IF9" s="326">
        <v>41146</v>
      </c>
      <c r="IG9" s="326">
        <v>41147</v>
      </c>
      <c r="IH9" s="326">
        <v>41148</v>
      </c>
      <c r="II9" s="326">
        <v>41149</v>
      </c>
      <c r="IJ9" s="326">
        <v>41150</v>
      </c>
      <c r="IK9" s="326">
        <v>41151</v>
      </c>
      <c r="IL9" s="326">
        <v>41152</v>
      </c>
      <c r="IM9" s="326">
        <v>41153</v>
      </c>
      <c r="IN9" s="326">
        <v>41154</v>
      </c>
      <c r="IO9" s="326">
        <v>41155</v>
      </c>
      <c r="IP9" s="326">
        <v>41156</v>
      </c>
      <c r="IQ9" s="326">
        <v>41157</v>
      </c>
      <c r="IR9" s="326">
        <v>41158</v>
      </c>
      <c r="IS9" s="326">
        <v>41159</v>
      </c>
      <c r="IT9" s="326">
        <v>41160</v>
      </c>
      <c r="IU9" s="326">
        <v>41161</v>
      </c>
      <c r="IV9" s="326">
        <v>41162</v>
      </c>
      <c r="IW9" s="326">
        <v>41163</v>
      </c>
      <c r="IX9" s="326">
        <v>41164</v>
      </c>
      <c r="IY9" s="326">
        <v>41165</v>
      </c>
      <c r="IZ9" s="326">
        <v>41166</v>
      </c>
      <c r="JA9" s="326">
        <v>41167</v>
      </c>
      <c r="JB9" s="326">
        <v>41168</v>
      </c>
      <c r="JC9" s="326">
        <v>41169</v>
      </c>
      <c r="JD9" s="326">
        <v>41170</v>
      </c>
      <c r="JE9" s="326">
        <v>41171</v>
      </c>
      <c r="JF9" s="326">
        <v>41172</v>
      </c>
      <c r="JG9" s="326">
        <v>41173</v>
      </c>
      <c r="JH9" s="326">
        <v>41174</v>
      </c>
      <c r="JI9" s="326">
        <v>41175</v>
      </c>
      <c r="JJ9" s="326">
        <v>41176</v>
      </c>
      <c r="JK9" s="326">
        <v>41177</v>
      </c>
      <c r="JL9" s="326">
        <v>41178</v>
      </c>
      <c r="JM9" s="326">
        <v>41179</v>
      </c>
      <c r="JN9" s="326">
        <v>41180</v>
      </c>
      <c r="JO9" s="326">
        <v>41181</v>
      </c>
      <c r="JP9" s="326">
        <v>41182</v>
      </c>
      <c r="JQ9" s="326">
        <v>41183</v>
      </c>
      <c r="JR9" s="326">
        <v>41184</v>
      </c>
      <c r="JS9" s="326">
        <v>41185</v>
      </c>
      <c r="JT9" s="326">
        <v>41186</v>
      </c>
      <c r="JU9" s="326">
        <v>41187</v>
      </c>
      <c r="JV9" s="326">
        <v>41188</v>
      </c>
      <c r="JW9" s="326">
        <v>41189</v>
      </c>
      <c r="JX9" s="326">
        <v>41190</v>
      </c>
      <c r="JY9" s="326">
        <v>41191</v>
      </c>
      <c r="JZ9" s="326">
        <v>41192</v>
      </c>
      <c r="KA9" s="326">
        <v>41193</v>
      </c>
      <c r="KB9" s="326">
        <v>41194</v>
      </c>
      <c r="KC9" s="326">
        <v>41195</v>
      </c>
      <c r="KD9" s="326">
        <v>41196</v>
      </c>
      <c r="KE9" s="326">
        <v>41197</v>
      </c>
      <c r="KF9" s="326">
        <v>41198</v>
      </c>
      <c r="KG9" s="326">
        <v>41199</v>
      </c>
      <c r="KH9" s="326">
        <v>41200</v>
      </c>
      <c r="KI9" s="326">
        <v>41201</v>
      </c>
      <c r="KJ9" s="326">
        <v>41202</v>
      </c>
      <c r="KK9" s="326">
        <v>41203</v>
      </c>
      <c r="KL9" s="326">
        <v>41204</v>
      </c>
      <c r="KM9" s="326">
        <v>41205</v>
      </c>
      <c r="KN9" s="326">
        <v>41206</v>
      </c>
      <c r="KO9" s="326">
        <v>41207</v>
      </c>
      <c r="KP9" s="326">
        <v>41208</v>
      </c>
      <c r="KQ9" s="326">
        <v>41209</v>
      </c>
      <c r="KR9" s="326">
        <v>41210</v>
      </c>
      <c r="KS9" s="326">
        <v>41211</v>
      </c>
      <c r="KT9" s="326">
        <v>41212</v>
      </c>
      <c r="KU9" s="326">
        <v>41213</v>
      </c>
      <c r="KV9" s="326">
        <v>41214</v>
      </c>
      <c r="KW9" s="326">
        <v>41215</v>
      </c>
      <c r="KX9" s="326">
        <v>41216</v>
      </c>
      <c r="KY9" s="326">
        <v>41217</v>
      </c>
      <c r="KZ9" s="326">
        <v>41218</v>
      </c>
      <c r="LA9" s="326">
        <v>41219</v>
      </c>
      <c r="LB9" s="326">
        <v>41220</v>
      </c>
      <c r="LC9" s="326">
        <v>41221</v>
      </c>
      <c r="LD9" s="326">
        <v>41222</v>
      </c>
      <c r="LE9" s="326">
        <v>41223</v>
      </c>
      <c r="LF9" s="326">
        <v>41224</v>
      </c>
      <c r="LG9" s="326">
        <v>41225</v>
      </c>
      <c r="LH9" s="326">
        <v>41226</v>
      </c>
      <c r="LI9" s="326">
        <v>41227</v>
      </c>
      <c r="LJ9" s="326">
        <v>41228</v>
      </c>
      <c r="LK9" s="326">
        <v>41229</v>
      </c>
      <c r="LL9" s="326">
        <v>41230</v>
      </c>
      <c r="LM9" s="326">
        <v>41231</v>
      </c>
      <c r="LN9" s="326">
        <v>41232</v>
      </c>
      <c r="LO9" s="326">
        <v>41233</v>
      </c>
      <c r="LP9" s="326">
        <v>41234</v>
      </c>
      <c r="LQ9" s="326">
        <v>41235</v>
      </c>
      <c r="LR9" s="326">
        <v>41236</v>
      </c>
      <c r="LS9" s="326">
        <v>41237</v>
      </c>
      <c r="LT9" s="326">
        <v>41238</v>
      </c>
      <c r="LU9" s="326">
        <v>41239</v>
      </c>
      <c r="LV9" s="326">
        <v>41240</v>
      </c>
      <c r="LW9" s="326">
        <v>41241</v>
      </c>
      <c r="LX9" s="326">
        <v>41242</v>
      </c>
      <c r="LY9" s="326">
        <v>41243</v>
      </c>
      <c r="LZ9" s="326">
        <v>41244</v>
      </c>
      <c r="MA9" s="326">
        <v>41245</v>
      </c>
      <c r="MB9" s="326">
        <v>41246</v>
      </c>
      <c r="MC9" s="326">
        <v>41247</v>
      </c>
      <c r="MD9" s="326">
        <v>41248</v>
      </c>
      <c r="ME9" s="326">
        <v>41249</v>
      </c>
      <c r="MF9" s="326">
        <v>41250</v>
      </c>
      <c r="MG9" s="326">
        <v>41251</v>
      </c>
      <c r="MH9" s="326">
        <v>41252</v>
      </c>
      <c r="MI9" s="326">
        <v>41253</v>
      </c>
      <c r="MJ9" s="326">
        <v>41254</v>
      </c>
      <c r="MK9" s="326">
        <v>41255</v>
      </c>
      <c r="ML9" s="326">
        <v>41256</v>
      </c>
      <c r="MM9" s="326">
        <v>41257</v>
      </c>
      <c r="MN9" s="326">
        <v>41258</v>
      </c>
      <c r="MO9" s="326">
        <v>41259</v>
      </c>
      <c r="MP9" s="326">
        <v>41260</v>
      </c>
      <c r="MQ9" s="326">
        <v>41261</v>
      </c>
      <c r="MR9" s="326">
        <v>41262</v>
      </c>
      <c r="MS9" s="326">
        <v>41263</v>
      </c>
      <c r="MT9" s="326">
        <v>41264</v>
      </c>
      <c r="MU9" s="326">
        <v>41265</v>
      </c>
      <c r="MV9" s="326">
        <v>41266</v>
      </c>
      <c r="MW9" s="326">
        <v>41267</v>
      </c>
      <c r="MX9" s="326">
        <v>41268</v>
      </c>
      <c r="MY9" s="326">
        <v>41269</v>
      </c>
      <c r="MZ9" s="326">
        <v>41270</v>
      </c>
      <c r="NA9" s="326">
        <v>41271</v>
      </c>
      <c r="NB9" s="326">
        <v>41272</v>
      </c>
      <c r="NC9" s="326">
        <v>41273</v>
      </c>
      <c r="ND9" s="326">
        <v>41274</v>
      </c>
      <c r="NE9" s="332"/>
    </row>
    <row r="10" spans="1:1017" s="133" customFormat="1" ht="15" customHeight="1">
      <c r="C10" s="328">
        <v>0.375</v>
      </c>
      <c r="D10" s="322">
        <f>'Kafa Sayımı Veri Girişi'!D20</f>
        <v>0</v>
      </c>
      <c r="E10" s="322">
        <f>'Kafa Sayımı Veri Girişi'!E20</f>
        <v>0</v>
      </c>
      <c r="F10" s="322">
        <f>'Kafa Sayımı Veri Girişi'!F20</f>
        <v>0</v>
      </c>
      <c r="G10" s="322">
        <f>'Kafa Sayımı Veri Girişi'!G20</f>
        <v>0</v>
      </c>
      <c r="H10" s="322">
        <f>'Kafa Sayımı Veri Girişi'!H20</f>
        <v>0</v>
      </c>
      <c r="I10" s="323"/>
      <c r="J10" s="306"/>
      <c r="K10" s="322">
        <f>'Kafa Sayımı Veri Girişi'!K20</f>
        <v>0</v>
      </c>
      <c r="L10" s="322">
        <f>'Kafa Sayımı Veri Girişi'!L20</f>
        <v>0</v>
      </c>
      <c r="M10" s="322">
        <f>'Kafa Sayımı Veri Girişi'!M20</f>
        <v>0</v>
      </c>
      <c r="N10" s="322">
        <f>'Kafa Sayımı Veri Girişi'!N20</f>
        <v>0</v>
      </c>
      <c r="O10" s="322">
        <f>'Kafa Sayımı Veri Girişi'!O20</f>
        <v>0</v>
      </c>
      <c r="P10" s="323"/>
      <c r="Q10" s="306"/>
      <c r="R10" s="322">
        <f>'Kafa Sayımı Veri Girişi'!R20</f>
        <v>0</v>
      </c>
      <c r="S10" s="322">
        <f>'Kafa Sayımı Veri Girişi'!S20</f>
        <v>0</v>
      </c>
      <c r="T10" s="322">
        <f>'Kafa Sayımı Veri Girişi'!T20</f>
        <v>0</v>
      </c>
      <c r="U10" s="322">
        <f>'Kafa Sayımı Veri Girişi'!U20</f>
        <v>0</v>
      </c>
      <c r="V10" s="322">
        <f>'Kafa Sayımı Veri Girişi'!V20</f>
        <v>0</v>
      </c>
      <c r="W10" s="323"/>
      <c r="X10" s="306"/>
      <c r="Y10" s="322">
        <f>'Kafa Sayımı Veri Girişi'!Y20</f>
        <v>0</v>
      </c>
      <c r="Z10" s="322">
        <f>'Kafa Sayımı Veri Girişi'!Z20</f>
        <v>0</v>
      </c>
      <c r="AA10" s="322">
        <f>'Kafa Sayımı Veri Girişi'!AA20</f>
        <v>0</v>
      </c>
      <c r="AB10" s="322">
        <f>'Kafa Sayımı Veri Girişi'!AB20</f>
        <v>0</v>
      </c>
      <c r="AC10" s="322">
        <f>'Kafa Sayımı Veri Girişi'!AC20</f>
        <v>0</v>
      </c>
      <c r="AD10" s="323"/>
      <c r="AE10" s="306"/>
      <c r="AF10" s="322">
        <f>'Kafa Sayımı Veri Girişi'!AF20</f>
        <v>0</v>
      </c>
      <c r="AG10" s="322">
        <f>'Kafa Sayımı Veri Girişi'!AG20</f>
        <v>0</v>
      </c>
      <c r="AH10" s="322">
        <f>'Kafa Sayımı Veri Girişi'!AH20</f>
        <v>0</v>
      </c>
      <c r="AI10" s="322">
        <f>'Kafa Sayımı Veri Girişi'!AI20</f>
        <v>0</v>
      </c>
      <c r="AJ10" s="322">
        <f>'Kafa Sayımı Veri Girişi'!AJ20</f>
        <v>0</v>
      </c>
      <c r="AK10" s="323"/>
      <c r="AL10" s="306"/>
      <c r="AM10" s="322">
        <f>'Kafa Sayımı Veri Girişi'!AM20</f>
        <v>0</v>
      </c>
      <c r="AN10" s="322">
        <f>'Kafa Sayımı Veri Girişi'!AN20</f>
        <v>0</v>
      </c>
      <c r="AO10" s="322">
        <f>'Kafa Sayımı Veri Girişi'!AO20</f>
        <v>0</v>
      </c>
      <c r="AP10" s="322">
        <f>'Kafa Sayımı Veri Girişi'!AP20</f>
        <v>0</v>
      </c>
      <c r="AQ10" s="322">
        <f>'Kafa Sayımı Veri Girişi'!AQ20</f>
        <v>0</v>
      </c>
      <c r="AR10" s="323"/>
      <c r="AS10" s="306"/>
      <c r="AT10" s="322">
        <f>'Kafa Sayımı Veri Girişi'!AT20</f>
        <v>0</v>
      </c>
      <c r="AU10" s="322">
        <f>'Kafa Sayımı Veri Girişi'!AU20</f>
        <v>0</v>
      </c>
      <c r="AV10" s="322">
        <f>'Kafa Sayımı Veri Girişi'!AV20</f>
        <v>0</v>
      </c>
      <c r="AW10" s="322">
        <f>'Kafa Sayımı Veri Girişi'!AW20</f>
        <v>0</v>
      </c>
      <c r="AX10" s="322">
        <f>'Kafa Sayımı Veri Girişi'!AX20</f>
        <v>0</v>
      </c>
      <c r="AY10" s="323"/>
      <c r="AZ10" s="306"/>
      <c r="BA10" s="322">
        <f>'Kafa Sayımı Veri Girişi'!BA20</f>
        <v>0</v>
      </c>
      <c r="BB10" s="322">
        <f>'Kafa Sayımı Veri Girişi'!BB20</f>
        <v>0</v>
      </c>
      <c r="BC10" s="322">
        <f>'Kafa Sayımı Veri Girişi'!BC20</f>
        <v>0</v>
      </c>
      <c r="BD10" s="322">
        <f>'Kafa Sayımı Veri Girişi'!BD20</f>
        <v>0</v>
      </c>
      <c r="BE10" s="322">
        <f>'Kafa Sayımı Veri Girişi'!BE20</f>
        <v>0</v>
      </c>
      <c r="BF10" s="323"/>
      <c r="BG10" s="306"/>
      <c r="BH10" s="322">
        <f>'Kafa Sayımı Veri Girişi'!BH20</f>
        <v>0</v>
      </c>
      <c r="BI10" s="322">
        <f>'Kafa Sayımı Veri Girişi'!BI20</f>
        <v>0</v>
      </c>
      <c r="BJ10" s="322">
        <f>'Kafa Sayımı Veri Girişi'!BJ20</f>
        <v>0</v>
      </c>
      <c r="BK10" s="322">
        <f>'Kafa Sayımı Veri Girişi'!BK20</f>
        <v>0</v>
      </c>
      <c r="BL10" s="322">
        <f>'Kafa Sayımı Veri Girişi'!BL20</f>
        <v>0</v>
      </c>
      <c r="BM10" s="323"/>
      <c r="BN10" s="306"/>
      <c r="BO10" s="322">
        <f>'Kafa Sayımı Veri Girişi'!BO20</f>
        <v>0</v>
      </c>
      <c r="BP10" s="322">
        <f>'Kafa Sayımı Veri Girişi'!BP20</f>
        <v>0</v>
      </c>
      <c r="BQ10" s="322">
        <f>'Kafa Sayımı Veri Girişi'!BQ20</f>
        <v>0</v>
      </c>
      <c r="BR10" s="322">
        <f>'Kafa Sayımı Veri Girişi'!BR20</f>
        <v>0</v>
      </c>
      <c r="BS10" s="322">
        <f>'Kafa Sayımı Veri Girişi'!BS20</f>
        <v>0</v>
      </c>
      <c r="BT10" s="323"/>
      <c r="BU10" s="306"/>
      <c r="BV10" s="322">
        <f>'Kafa Sayımı Veri Girişi'!BV20</f>
        <v>0</v>
      </c>
      <c r="BW10" s="322">
        <f>'Kafa Sayımı Veri Girişi'!BW20</f>
        <v>0</v>
      </c>
      <c r="BX10" s="322">
        <f>'Kafa Sayımı Veri Girişi'!BX20</f>
        <v>0</v>
      </c>
      <c r="BY10" s="322">
        <f>'Kafa Sayımı Veri Girişi'!BY20</f>
        <v>0</v>
      </c>
      <c r="BZ10" s="322">
        <f>'Kafa Sayımı Veri Girişi'!BZ20</f>
        <v>0</v>
      </c>
      <c r="CA10" s="323"/>
      <c r="CB10" s="306"/>
      <c r="CC10" s="322">
        <f>'Kafa Sayımı Veri Girişi'!CC20</f>
        <v>0</v>
      </c>
      <c r="CD10" s="322">
        <f>'Kafa Sayımı Veri Girişi'!CD20</f>
        <v>0</v>
      </c>
      <c r="CE10" s="322">
        <f>'Kafa Sayımı Veri Girişi'!CE20</f>
        <v>0</v>
      </c>
      <c r="CF10" s="322">
        <f>'Kafa Sayımı Veri Girişi'!CF20</f>
        <v>0</v>
      </c>
      <c r="CG10" s="322">
        <f>'Kafa Sayımı Veri Girişi'!CG20</f>
        <v>0</v>
      </c>
      <c r="CH10" s="323"/>
      <c r="CI10" s="306"/>
      <c r="CJ10" s="322">
        <f>'Kafa Sayımı Veri Girişi'!CJ20</f>
        <v>0</v>
      </c>
      <c r="CK10" s="322">
        <f>'Kafa Sayımı Veri Girişi'!CK20</f>
        <v>0</v>
      </c>
      <c r="CL10" s="322">
        <f>'Kafa Sayımı Veri Girişi'!CL20</f>
        <v>0</v>
      </c>
      <c r="CM10" s="322">
        <f>'Kafa Sayımı Veri Girişi'!CM20</f>
        <v>0</v>
      </c>
      <c r="CN10" s="322">
        <f>'Kafa Sayımı Veri Girişi'!CN20</f>
        <v>0</v>
      </c>
      <c r="CO10" s="323"/>
      <c r="CP10" s="306"/>
      <c r="CQ10" s="322">
        <f>'Kafa Sayımı Veri Girişi'!CQ20</f>
        <v>0</v>
      </c>
      <c r="CR10" s="322">
        <f>'Kafa Sayımı Veri Girişi'!CR20</f>
        <v>0</v>
      </c>
      <c r="CS10" s="322">
        <f>'Kafa Sayımı Veri Girişi'!CS20</f>
        <v>0</v>
      </c>
      <c r="CT10" s="322">
        <f>'Kafa Sayımı Veri Girişi'!CT20</f>
        <v>0</v>
      </c>
      <c r="CU10" s="322">
        <f>'Kafa Sayımı Veri Girişi'!CU20</f>
        <v>0</v>
      </c>
      <c r="CV10" s="323"/>
      <c r="CW10" s="306"/>
      <c r="CX10" s="322">
        <f>'Kafa Sayımı Veri Girişi'!CX20</f>
        <v>0</v>
      </c>
      <c r="CY10" s="322">
        <f>'Kafa Sayımı Veri Girişi'!CY20</f>
        <v>0</v>
      </c>
      <c r="CZ10" s="322">
        <f>'Kafa Sayımı Veri Girişi'!CZ20</f>
        <v>0</v>
      </c>
      <c r="DA10" s="322">
        <f>'Kafa Sayımı Veri Girişi'!DA20</f>
        <v>0</v>
      </c>
      <c r="DB10" s="322">
        <f>'Kafa Sayımı Veri Girişi'!DB20</f>
        <v>0</v>
      </c>
      <c r="DC10" s="323"/>
      <c r="DD10" s="306"/>
      <c r="DE10" s="322">
        <f>'Kafa Sayımı Veri Girişi'!DE20</f>
        <v>0</v>
      </c>
      <c r="DF10" s="322">
        <f>'Kafa Sayımı Veri Girişi'!DF20</f>
        <v>0</v>
      </c>
      <c r="DG10" s="322">
        <f>'Kafa Sayımı Veri Girişi'!DG20</f>
        <v>0</v>
      </c>
      <c r="DH10" s="322">
        <f>'Kafa Sayımı Veri Girişi'!DH20</f>
        <v>0</v>
      </c>
      <c r="DI10" s="322">
        <f>'Kafa Sayımı Veri Girişi'!DI20</f>
        <v>0</v>
      </c>
      <c r="DJ10" s="323"/>
      <c r="DK10" s="306"/>
      <c r="DL10" s="322">
        <f>'Kafa Sayımı Veri Girişi'!DL20</f>
        <v>0</v>
      </c>
      <c r="DM10" s="322">
        <f>'Kafa Sayımı Veri Girişi'!DM20</f>
        <v>0</v>
      </c>
      <c r="DN10" s="322">
        <f>'Kafa Sayımı Veri Girişi'!DN20</f>
        <v>0</v>
      </c>
      <c r="DO10" s="322">
        <f>'Kafa Sayımı Veri Girişi'!DO20</f>
        <v>0</v>
      </c>
      <c r="DP10" s="322">
        <f>'Kafa Sayımı Veri Girişi'!DP20</f>
        <v>0</v>
      </c>
      <c r="DQ10" s="323"/>
      <c r="DR10" s="306"/>
      <c r="DS10" s="322">
        <f>'Kafa Sayımı Veri Girişi'!DS20</f>
        <v>0</v>
      </c>
      <c r="DT10" s="322">
        <f>'Kafa Sayımı Veri Girişi'!DT20</f>
        <v>0</v>
      </c>
      <c r="DU10" s="322">
        <f>'Kafa Sayımı Veri Girişi'!DU20</f>
        <v>0</v>
      </c>
      <c r="DV10" s="322">
        <f>'Kafa Sayımı Veri Girişi'!DV20</f>
        <v>0</v>
      </c>
      <c r="DW10" s="322">
        <f>'Kafa Sayımı Veri Girişi'!DW20</f>
        <v>0</v>
      </c>
      <c r="DX10" s="323"/>
      <c r="DY10" s="306"/>
      <c r="DZ10" s="322">
        <f>'Kafa Sayımı Veri Girişi'!DZ20</f>
        <v>0</v>
      </c>
      <c r="EA10" s="322">
        <f>'Kafa Sayımı Veri Girişi'!EA20</f>
        <v>0</v>
      </c>
      <c r="EB10" s="322">
        <f>'Kafa Sayımı Veri Girişi'!EB20</f>
        <v>0</v>
      </c>
      <c r="EC10" s="322">
        <f>'Kafa Sayımı Veri Girişi'!EC20</f>
        <v>0</v>
      </c>
      <c r="ED10" s="322">
        <f>'Kafa Sayımı Veri Girişi'!ED20</f>
        <v>0</v>
      </c>
      <c r="EE10" s="323"/>
      <c r="EF10" s="306"/>
      <c r="EG10" s="322">
        <f>'Kafa Sayımı Veri Girişi'!EG20</f>
        <v>0</v>
      </c>
      <c r="EH10" s="322">
        <f>'Kafa Sayımı Veri Girişi'!EH20</f>
        <v>0</v>
      </c>
      <c r="EI10" s="322">
        <f>'Kafa Sayımı Veri Girişi'!EI20</f>
        <v>0</v>
      </c>
      <c r="EJ10" s="322">
        <f>'Kafa Sayımı Veri Girişi'!EJ20</f>
        <v>0</v>
      </c>
      <c r="EK10" s="322">
        <f>'Kafa Sayımı Veri Girişi'!EK20</f>
        <v>0</v>
      </c>
      <c r="EL10" s="323"/>
      <c r="EM10" s="306"/>
      <c r="EN10" s="322">
        <f>'Kafa Sayımı Veri Girişi'!EN20</f>
        <v>0</v>
      </c>
      <c r="EO10" s="322">
        <f>'Kafa Sayımı Veri Girişi'!EO20</f>
        <v>0</v>
      </c>
      <c r="EP10" s="322">
        <f>'Kafa Sayımı Veri Girişi'!EP20</f>
        <v>0</v>
      </c>
      <c r="EQ10" s="322">
        <f>'Kafa Sayımı Veri Girişi'!EQ20</f>
        <v>0</v>
      </c>
      <c r="ER10" s="322">
        <f>'Kafa Sayımı Veri Girişi'!ER20</f>
        <v>0</v>
      </c>
      <c r="ES10" s="323"/>
      <c r="ET10" s="306"/>
      <c r="EU10" s="322">
        <f>'Kafa Sayımı Veri Girişi'!EU20</f>
        <v>0</v>
      </c>
      <c r="EV10" s="322">
        <f>'Kafa Sayımı Veri Girişi'!EV20</f>
        <v>0</v>
      </c>
      <c r="EW10" s="322">
        <f>'Kafa Sayımı Veri Girişi'!EW20</f>
        <v>0</v>
      </c>
      <c r="EX10" s="322">
        <f>'Kafa Sayımı Veri Girişi'!EX20</f>
        <v>0</v>
      </c>
      <c r="EY10" s="322">
        <f>'Kafa Sayımı Veri Girişi'!EY20</f>
        <v>0</v>
      </c>
      <c r="EZ10" s="323"/>
      <c r="FA10" s="306"/>
      <c r="FB10" s="322">
        <f>'Kafa Sayımı Veri Girişi'!FB20</f>
        <v>0</v>
      </c>
      <c r="FC10" s="322">
        <f>'Kafa Sayımı Veri Girişi'!FC20</f>
        <v>0</v>
      </c>
      <c r="FD10" s="322">
        <f>'Kafa Sayımı Veri Girişi'!FD20</f>
        <v>0</v>
      </c>
      <c r="FE10" s="322">
        <f>'Kafa Sayımı Veri Girişi'!FE20</f>
        <v>0</v>
      </c>
      <c r="FF10" s="322">
        <f>'Kafa Sayımı Veri Girişi'!FF20</f>
        <v>0</v>
      </c>
      <c r="FG10" s="323"/>
      <c r="FH10" s="306"/>
      <c r="FI10" s="322">
        <f>'Kafa Sayımı Veri Girişi'!FI20</f>
        <v>0</v>
      </c>
      <c r="FJ10" s="322">
        <f>'Kafa Sayımı Veri Girişi'!FJ20</f>
        <v>0</v>
      </c>
      <c r="FK10" s="322">
        <f>'Kafa Sayımı Veri Girişi'!FK20</f>
        <v>0</v>
      </c>
      <c r="FL10" s="322">
        <f>'Kafa Sayımı Veri Girişi'!FL20</f>
        <v>0</v>
      </c>
      <c r="FM10" s="322">
        <f>'Kafa Sayımı Veri Girişi'!FM20</f>
        <v>0</v>
      </c>
      <c r="FN10" s="323"/>
      <c r="FO10" s="306"/>
      <c r="FP10" s="322">
        <f>'Kafa Sayımı Veri Girişi'!FP20</f>
        <v>0</v>
      </c>
      <c r="FQ10" s="322">
        <f>'Kafa Sayımı Veri Girişi'!FQ20</f>
        <v>0</v>
      </c>
      <c r="FR10" s="322">
        <f>'Kafa Sayımı Veri Girişi'!FR20</f>
        <v>0</v>
      </c>
      <c r="FS10" s="322">
        <f>'Kafa Sayımı Veri Girişi'!FS20</f>
        <v>0</v>
      </c>
      <c r="FT10" s="322">
        <f>'Kafa Sayımı Veri Girişi'!FT20</f>
        <v>0</v>
      </c>
      <c r="FU10" s="323"/>
      <c r="FV10" s="306"/>
      <c r="FW10" s="322">
        <f>'Kafa Sayımı Veri Girişi'!FW20</f>
        <v>0</v>
      </c>
      <c r="FX10" s="322">
        <f>'Kafa Sayımı Veri Girişi'!FX20</f>
        <v>0</v>
      </c>
      <c r="FY10" s="322">
        <f>'Kafa Sayımı Veri Girişi'!FY20</f>
        <v>0</v>
      </c>
      <c r="FZ10" s="322">
        <f>'Kafa Sayımı Veri Girişi'!FZ20</f>
        <v>0</v>
      </c>
      <c r="GA10" s="322">
        <f>'Kafa Sayımı Veri Girişi'!GA20</f>
        <v>0</v>
      </c>
      <c r="GB10" s="323"/>
      <c r="GC10" s="306"/>
      <c r="GD10" s="322">
        <f>'Kafa Sayımı Veri Girişi'!GD20</f>
        <v>0</v>
      </c>
      <c r="GE10" s="322">
        <f>'Kafa Sayımı Veri Girişi'!GE20</f>
        <v>0</v>
      </c>
      <c r="GF10" s="322">
        <f>'Kafa Sayımı Veri Girişi'!GF20</f>
        <v>0</v>
      </c>
      <c r="GG10" s="322">
        <f>'Kafa Sayımı Veri Girişi'!GG20</f>
        <v>0</v>
      </c>
      <c r="GH10" s="322">
        <f>'Kafa Sayımı Veri Girişi'!GH20</f>
        <v>0</v>
      </c>
      <c r="GI10" s="323"/>
      <c r="GJ10" s="306"/>
      <c r="GK10" s="322">
        <f>'Kafa Sayımı Veri Girişi'!GK20</f>
        <v>0</v>
      </c>
      <c r="GL10" s="322">
        <f>'Kafa Sayımı Veri Girişi'!GL20</f>
        <v>0</v>
      </c>
      <c r="GM10" s="322">
        <f>'Kafa Sayımı Veri Girişi'!GM20</f>
        <v>0</v>
      </c>
      <c r="GN10" s="322">
        <f>'Kafa Sayımı Veri Girişi'!GN20</f>
        <v>0</v>
      </c>
      <c r="GO10" s="322">
        <f>'Kafa Sayımı Veri Girişi'!GO20</f>
        <v>0</v>
      </c>
      <c r="GP10" s="323"/>
      <c r="GQ10" s="306"/>
      <c r="GR10" s="322">
        <f>'Kafa Sayımı Veri Girişi'!GR20</f>
        <v>0</v>
      </c>
      <c r="GS10" s="322">
        <f>'Kafa Sayımı Veri Girişi'!GS20</f>
        <v>0</v>
      </c>
      <c r="GT10" s="322">
        <f>'Kafa Sayımı Veri Girişi'!GT20</f>
        <v>0</v>
      </c>
      <c r="GU10" s="322">
        <f>'Kafa Sayımı Veri Girişi'!GU20</f>
        <v>0</v>
      </c>
      <c r="GV10" s="322">
        <f>'Kafa Sayımı Veri Girişi'!GV20</f>
        <v>0</v>
      </c>
      <c r="GW10" s="323"/>
      <c r="GX10" s="306"/>
      <c r="GY10" s="322">
        <f>'Kafa Sayımı Veri Girişi'!CJ20</f>
        <v>0</v>
      </c>
      <c r="GZ10" s="322">
        <f>'Kafa Sayımı Veri Girişi'!CK20</f>
        <v>0</v>
      </c>
      <c r="HA10" s="322">
        <f>'Kafa Sayımı Veri Girişi'!CL20</f>
        <v>0</v>
      </c>
      <c r="HB10" s="322">
        <f>'Kafa Sayımı Veri Girişi'!CM20</f>
        <v>0</v>
      </c>
      <c r="HC10" s="322">
        <f>'Kafa Sayımı Veri Girişi'!CN20</f>
        <v>0</v>
      </c>
      <c r="HD10" s="323"/>
      <c r="HE10" s="306"/>
      <c r="HF10" s="322">
        <f>'Kafa Sayımı Veri Girişi'!CQ20</f>
        <v>0</v>
      </c>
      <c r="HG10" s="322">
        <f>'Kafa Sayımı Veri Girişi'!CR20</f>
        <v>0</v>
      </c>
      <c r="HH10" s="322">
        <f>'Kafa Sayımı Veri Girişi'!CS20</f>
        <v>0</v>
      </c>
      <c r="HI10" s="322">
        <f>'Kafa Sayımı Veri Girişi'!CT20</f>
        <v>0</v>
      </c>
      <c r="HJ10" s="322">
        <f>'Kafa Sayımı Veri Girişi'!CU20</f>
        <v>0</v>
      </c>
      <c r="HK10" s="323"/>
      <c r="HL10" s="306"/>
      <c r="HM10" s="322">
        <f>'Kafa Sayımı Veri Girişi'!CX20</f>
        <v>0</v>
      </c>
      <c r="HN10" s="322">
        <f>'Kafa Sayımı Veri Girişi'!CY20</f>
        <v>0</v>
      </c>
      <c r="HO10" s="322">
        <f>'Kafa Sayımı Veri Girişi'!CZ20</f>
        <v>0</v>
      </c>
      <c r="HP10" s="322">
        <f>'Kafa Sayımı Veri Girişi'!DA20</f>
        <v>0</v>
      </c>
      <c r="HQ10" s="322">
        <f>'Kafa Sayımı Veri Girişi'!DB20</f>
        <v>0</v>
      </c>
      <c r="HR10" s="323"/>
      <c r="HS10" s="306"/>
      <c r="HT10" s="322">
        <f>'Kafa Sayımı Veri Girişi'!DE20</f>
        <v>0</v>
      </c>
      <c r="HU10" s="322">
        <f>'Kafa Sayımı Veri Girişi'!DF20</f>
        <v>0</v>
      </c>
      <c r="HV10" s="322">
        <f>'Kafa Sayımı Veri Girişi'!DG20</f>
        <v>0</v>
      </c>
      <c r="HW10" s="322">
        <f>'Kafa Sayımı Veri Girişi'!DH20</f>
        <v>0</v>
      </c>
      <c r="HX10" s="322">
        <f>'Kafa Sayımı Veri Girişi'!DI20</f>
        <v>0</v>
      </c>
      <c r="HY10" s="323"/>
      <c r="HZ10" s="306"/>
      <c r="IA10" s="322">
        <f>'Kafa Sayımı Veri Girişi'!DL20</f>
        <v>0</v>
      </c>
      <c r="IB10" s="322">
        <f>'Kafa Sayımı Veri Girişi'!DM20</f>
        <v>0</v>
      </c>
      <c r="IC10" s="322">
        <f>'Kafa Sayımı Veri Girişi'!DN20</f>
        <v>0</v>
      </c>
      <c r="ID10" s="322">
        <f>'Kafa Sayımı Veri Girişi'!DO20</f>
        <v>0</v>
      </c>
      <c r="IE10" s="322">
        <f>'Kafa Sayımı Veri Girişi'!DP20</f>
        <v>0</v>
      </c>
      <c r="IF10" s="323"/>
      <c r="IG10" s="306"/>
      <c r="IH10" s="322">
        <f>'Kafa Sayımı Veri Girişi'!DS20</f>
        <v>0</v>
      </c>
      <c r="II10" s="322">
        <f>'Kafa Sayımı Veri Girişi'!DT20</f>
        <v>0</v>
      </c>
      <c r="IJ10" s="322">
        <f>'Kafa Sayımı Veri Girişi'!DU20</f>
        <v>0</v>
      </c>
      <c r="IK10" s="322">
        <f>'Kafa Sayımı Veri Girişi'!DV20</f>
        <v>0</v>
      </c>
      <c r="IL10" s="322">
        <f>'Kafa Sayımı Veri Girişi'!DW20</f>
        <v>0</v>
      </c>
      <c r="IM10" s="323"/>
      <c r="IN10" s="306"/>
      <c r="IO10" s="322">
        <f>'Kafa Sayımı Veri Girişi'!DZ20</f>
        <v>0</v>
      </c>
      <c r="IP10" s="322">
        <f>'Kafa Sayımı Veri Girişi'!EA20</f>
        <v>0</v>
      </c>
      <c r="IQ10" s="322">
        <f>'Kafa Sayımı Veri Girişi'!EB20</f>
        <v>0</v>
      </c>
      <c r="IR10" s="322">
        <f>'Kafa Sayımı Veri Girişi'!EC20</f>
        <v>0</v>
      </c>
      <c r="IS10" s="322">
        <f>'Kafa Sayımı Veri Girişi'!ED20</f>
        <v>0</v>
      </c>
      <c r="IT10" s="323"/>
      <c r="IU10" s="306"/>
      <c r="IV10" s="322">
        <f>'Kafa Sayımı Veri Girişi'!EG20</f>
        <v>0</v>
      </c>
      <c r="IW10" s="322">
        <f>'Kafa Sayımı Veri Girişi'!EH20</f>
        <v>0</v>
      </c>
      <c r="IX10" s="322">
        <f>'Kafa Sayımı Veri Girişi'!EI20</f>
        <v>0</v>
      </c>
      <c r="IY10" s="322">
        <f>'Kafa Sayımı Veri Girişi'!EJ20</f>
        <v>0</v>
      </c>
      <c r="IZ10" s="322">
        <f>'Kafa Sayımı Veri Girişi'!EK20</f>
        <v>0</v>
      </c>
      <c r="JA10" s="323"/>
      <c r="JB10" s="306"/>
      <c r="JC10" s="322">
        <f>'Kafa Sayımı Veri Girişi'!EN20</f>
        <v>0</v>
      </c>
      <c r="JD10" s="322">
        <f>'Kafa Sayımı Veri Girişi'!EO20</f>
        <v>0</v>
      </c>
      <c r="JE10" s="322">
        <f>'Kafa Sayımı Veri Girişi'!EP20</f>
        <v>0</v>
      </c>
      <c r="JF10" s="322">
        <f>'Kafa Sayımı Veri Girişi'!EQ20</f>
        <v>0</v>
      </c>
      <c r="JG10" s="322">
        <f>'Kafa Sayımı Veri Girişi'!ER20</f>
        <v>0</v>
      </c>
      <c r="JH10" s="323"/>
      <c r="JI10" s="306"/>
      <c r="JJ10" s="322">
        <f>'Kafa Sayımı Veri Girişi'!EU20</f>
        <v>0</v>
      </c>
      <c r="JK10" s="322">
        <f>'Kafa Sayımı Veri Girişi'!EV20</f>
        <v>0</v>
      </c>
      <c r="JL10" s="322">
        <f>'Kafa Sayımı Veri Girişi'!EW20</f>
        <v>0</v>
      </c>
      <c r="JM10" s="322">
        <f>'Kafa Sayımı Veri Girişi'!EX20</f>
        <v>0</v>
      </c>
      <c r="JN10" s="322">
        <f>'Kafa Sayımı Veri Girişi'!EY20</f>
        <v>0</v>
      </c>
      <c r="JO10" s="323"/>
      <c r="JP10" s="306"/>
      <c r="JQ10" s="322">
        <f>'Kafa Sayımı Veri Girişi'!FB20</f>
        <v>0</v>
      </c>
      <c r="JR10" s="322">
        <f>'Kafa Sayımı Veri Girişi'!FC20</f>
        <v>0</v>
      </c>
      <c r="JS10" s="322">
        <f>'Kafa Sayımı Veri Girişi'!FD20</f>
        <v>0</v>
      </c>
      <c r="JT10" s="322">
        <f>'Kafa Sayımı Veri Girişi'!FE20</f>
        <v>0</v>
      </c>
      <c r="JU10" s="322">
        <f>'Kafa Sayımı Veri Girişi'!FF20</f>
        <v>0</v>
      </c>
      <c r="JV10" s="323"/>
      <c r="JW10" s="306"/>
      <c r="JX10" s="322">
        <f>'Kafa Sayımı Veri Girişi'!FI20</f>
        <v>0</v>
      </c>
      <c r="JY10" s="322">
        <f>'Kafa Sayımı Veri Girişi'!FJ20</f>
        <v>0</v>
      </c>
      <c r="JZ10" s="322">
        <f>'Kafa Sayımı Veri Girişi'!FK20</f>
        <v>0</v>
      </c>
      <c r="KA10" s="322">
        <f>'Kafa Sayımı Veri Girişi'!FL20</f>
        <v>0</v>
      </c>
      <c r="KB10" s="322">
        <f>'Kafa Sayımı Veri Girişi'!FM20</f>
        <v>0</v>
      </c>
      <c r="KC10" s="323"/>
      <c r="KD10" s="306"/>
      <c r="KE10" s="322">
        <f>'Kafa Sayımı Veri Girişi'!FP20</f>
        <v>0</v>
      </c>
      <c r="KF10" s="322">
        <f>'Kafa Sayımı Veri Girişi'!FQ20</f>
        <v>0</v>
      </c>
      <c r="KG10" s="322">
        <f>'Kafa Sayımı Veri Girişi'!FR20</f>
        <v>0</v>
      </c>
      <c r="KH10" s="322">
        <f>'Kafa Sayımı Veri Girişi'!FS20</f>
        <v>0</v>
      </c>
      <c r="KI10" s="322">
        <f>'Kafa Sayımı Veri Girişi'!FT20</f>
        <v>0</v>
      </c>
      <c r="KJ10" s="323"/>
      <c r="KK10" s="306"/>
      <c r="KL10" s="322">
        <f>'Kafa Sayımı Veri Girişi'!FW20</f>
        <v>0</v>
      </c>
      <c r="KM10" s="322">
        <f>'Kafa Sayımı Veri Girişi'!FX20</f>
        <v>0</v>
      </c>
      <c r="KN10" s="322">
        <f>'Kafa Sayımı Veri Girişi'!FY20</f>
        <v>0</v>
      </c>
      <c r="KO10" s="322">
        <f>'Kafa Sayımı Veri Girişi'!FZ20</f>
        <v>0</v>
      </c>
      <c r="KP10" s="322">
        <f>'Kafa Sayımı Veri Girişi'!GA20</f>
        <v>0</v>
      </c>
      <c r="KQ10" s="323"/>
      <c r="KR10" s="306"/>
      <c r="KS10" s="322">
        <f>'Kafa Sayımı Veri Girişi'!GD20</f>
        <v>0</v>
      </c>
      <c r="KT10" s="322">
        <f>'Kafa Sayımı Veri Girişi'!GE20</f>
        <v>0</v>
      </c>
      <c r="KU10" s="322">
        <f>'Kafa Sayımı Veri Girişi'!GF20</f>
        <v>0</v>
      </c>
      <c r="KV10" s="322">
        <f>'Kafa Sayımı Veri Girişi'!GG20</f>
        <v>0</v>
      </c>
      <c r="KW10" s="322">
        <f>'Kafa Sayımı Veri Girişi'!GH20</f>
        <v>0</v>
      </c>
      <c r="KX10" s="323"/>
      <c r="KY10" s="306"/>
      <c r="KZ10" s="322">
        <f>'Kafa Sayımı Veri Girişi'!GK20</f>
        <v>0</v>
      </c>
      <c r="LA10" s="322">
        <f>'Kafa Sayımı Veri Girişi'!GL20</f>
        <v>0</v>
      </c>
      <c r="LB10" s="322">
        <f>'Kafa Sayımı Veri Girişi'!GM20</f>
        <v>0</v>
      </c>
      <c r="LC10" s="322">
        <f>'Kafa Sayımı Veri Girişi'!GN20</f>
        <v>0</v>
      </c>
      <c r="LD10" s="322">
        <f>'Kafa Sayımı Veri Girişi'!GO20</f>
        <v>0</v>
      </c>
      <c r="LE10" s="323"/>
      <c r="LF10" s="306"/>
      <c r="LG10" s="322">
        <f>'Kafa Sayımı Veri Girişi'!GR20</f>
        <v>0</v>
      </c>
      <c r="LH10" s="322">
        <f>'Kafa Sayımı Veri Girişi'!GS20</f>
        <v>0</v>
      </c>
      <c r="LI10" s="322">
        <f>'Kafa Sayımı Veri Girişi'!GT20</f>
        <v>0</v>
      </c>
      <c r="LJ10" s="322">
        <f>'Kafa Sayımı Veri Girişi'!GU20</f>
        <v>0</v>
      </c>
      <c r="LK10" s="322">
        <f>'Kafa Sayımı Veri Girişi'!GV20</f>
        <v>0</v>
      </c>
      <c r="LL10" s="323"/>
      <c r="LM10" s="306"/>
      <c r="LN10" s="322">
        <f>'Kafa Sayımı Veri Girişi'!GY20</f>
        <v>0</v>
      </c>
      <c r="LO10" s="322">
        <f>'Kafa Sayımı Veri Girişi'!GZ20</f>
        <v>0</v>
      </c>
      <c r="LP10" s="322">
        <f>'Kafa Sayımı Veri Girişi'!HA20</f>
        <v>0</v>
      </c>
      <c r="LQ10" s="322">
        <f>'Kafa Sayımı Veri Girişi'!HB20</f>
        <v>0</v>
      </c>
      <c r="LR10" s="322">
        <f>'Kafa Sayımı Veri Girişi'!HC20</f>
        <v>0</v>
      </c>
      <c r="LS10" s="323"/>
      <c r="LT10" s="306"/>
      <c r="LU10" s="322">
        <f>'Kafa Sayımı Veri Girişi'!HF20</f>
        <v>0</v>
      </c>
      <c r="LV10" s="322">
        <f>'Kafa Sayımı Veri Girişi'!HG20</f>
        <v>0</v>
      </c>
      <c r="LW10" s="322">
        <f>'Kafa Sayımı Veri Girişi'!HH20</f>
        <v>0</v>
      </c>
      <c r="LX10" s="322">
        <f>'Kafa Sayımı Veri Girişi'!HI20</f>
        <v>0</v>
      </c>
      <c r="LY10" s="322">
        <f>'Kafa Sayımı Veri Girişi'!HJ20</f>
        <v>0</v>
      </c>
      <c r="LZ10" s="323"/>
      <c r="MA10" s="306"/>
      <c r="MB10" s="322">
        <f>'Kafa Sayımı Veri Girişi'!HM20</f>
        <v>0</v>
      </c>
      <c r="MC10" s="322">
        <f>'Kafa Sayımı Veri Girişi'!HN20</f>
        <v>0</v>
      </c>
      <c r="MD10" s="322">
        <f>'Kafa Sayımı Veri Girişi'!HO20</f>
        <v>0</v>
      </c>
      <c r="ME10" s="322">
        <f>'Kafa Sayımı Veri Girişi'!HP20</f>
        <v>0</v>
      </c>
      <c r="MF10" s="322">
        <f>'Kafa Sayımı Veri Girişi'!HQ20</f>
        <v>0</v>
      </c>
      <c r="MG10" s="323"/>
      <c r="MH10" s="306"/>
      <c r="MI10" s="322">
        <f>'Kafa Sayımı Veri Girişi'!HT20</f>
        <v>0</v>
      </c>
      <c r="MJ10" s="322">
        <f>'Kafa Sayımı Veri Girişi'!HU20</f>
        <v>0</v>
      </c>
      <c r="MK10" s="322">
        <f>'Kafa Sayımı Veri Girişi'!HV20</f>
        <v>0</v>
      </c>
      <c r="ML10" s="322">
        <f>'Kafa Sayımı Veri Girişi'!HW20</f>
        <v>0</v>
      </c>
      <c r="MM10" s="322">
        <f>'Kafa Sayımı Veri Girişi'!HX20</f>
        <v>0</v>
      </c>
      <c r="MN10" s="323"/>
      <c r="MO10" s="306"/>
      <c r="MP10" s="322">
        <f>'Kafa Sayımı Veri Girişi'!IA20</f>
        <v>0</v>
      </c>
      <c r="MQ10" s="322">
        <f>'Kafa Sayımı Veri Girişi'!IB20</f>
        <v>0</v>
      </c>
      <c r="MR10" s="322">
        <f>'Kafa Sayımı Veri Girişi'!IC20</f>
        <v>0</v>
      </c>
      <c r="MS10" s="322">
        <f>'Kafa Sayımı Veri Girişi'!ID20</f>
        <v>0</v>
      </c>
      <c r="MT10" s="322">
        <f>'Kafa Sayımı Veri Girişi'!IE20</f>
        <v>0</v>
      </c>
      <c r="MU10" s="323"/>
      <c r="MV10" s="306"/>
      <c r="MW10" s="322">
        <f>'Kafa Sayımı Veri Girişi'!IH20</f>
        <v>0</v>
      </c>
      <c r="MX10" s="322">
        <f>'Kafa Sayımı Veri Girişi'!II20</f>
        <v>0</v>
      </c>
      <c r="MY10" s="322">
        <f>'Kafa Sayımı Veri Girişi'!IJ20</f>
        <v>0</v>
      </c>
      <c r="MZ10" s="322">
        <f>'Kafa Sayımı Veri Girişi'!IK20</f>
        <v>0</v>
      </c>
      <c r="NA10" s="322">
        <f>'Kafa Sayımı Veri Girişi'!IL20</f>
        <v>0</v>
      </c>
      <c r="NB10" s="323"/>
      <c r="NC10" s="306"/>
      <c r="ND10" s="322">
        <f>'Kafa Sayımı Veri Girişi'!IO20</f>
        <v>0</v>
      </c>
      <c r="NE10" s="333">
        <f>SUM(D10:ND10)</f>
        <v>0</v>
      </c>
    </row>
    <row r="11" spans="1:1017" s="132" customFormat="1" ht="15" customHeight="1">
      <c r="C11" s="131">
        <v>0.41666666666666702</v>
      </c>
      <c r="D11" s="221">
        <f>'Kafa Sayımı Veri Girişi'!D37</f>
        <v>0</v>
      </c>
      <c r="E11" s="221">
        <f>'Kafa Sayımı Veri Girişi'!E37</f>
        <v>0</v>
      </c>
      <c r="F11" s="221">
        <f>'Kafa Sayımı Veri Girişi'!F37</f>
        <v>0</v>
      </c>
      <c r="G11" s="221">
        <f>'Kafa Sayımı Veri Girişi'!G37</f>
        <v>0</v>
      </c>
      <c r="H11" s="221">
        <f>'Kafa Sayımı Veri Girişi'!H37</f>
        <v>0</v>
      </c>
      <c r="I11" s="302"/>
      <c r="J11" s="306"/>
      <c r="K11" s="221">
        <f>'Kafa Sayımı Veri Girişi'!K37</f>
        <v>0</v>
      </c>
      <c r="L11" s="221">
        <f>'Kafa Sayımı Veri Girişi'!L37</f>
        <v>0</v>
      </c>
      <c r="M11" s="221">
        <f>'Kafa Sayımı Veri Girişi'!M37</f>
        <v>0</v>
      </c>
      <c r="N11" s="221">
        <f>'Kafa Sayımı Veri Girişi'!N37</f>
        <v>0</v>
      </c>
      <c r="O11" s="221">
        <f>'Kafa Sayımı Veri Girişi'!O37</f>
        <v>0</v>
      </c>
      <c r="P11" s="302"/>
      <c r="Q11" s="306"/>
      <c r="R11" s="221">
        <f>'Kafa Sayımı Veri Girişi'!R37</f>
        <v>0</v>
      </c>
      <c r="S11" s="221">
        <f>'Kafa Sayımı Veri Girişi'!S37</f>
        <v>0</v>
      </c>
      <c r="T11" s="221">
        <f>'Kafa Sayımı Veri Girişi'!T37</f>
        <v>0</v>
      </c>
      <c r="U11" s="221">
        <f>'Kafa Sayımı Veri Girişi'!U37</f>
        <v>0</v>
      </c>
      <c r="V11" s="221">
        <f>'Kafa Sayımı Veri Girişi'!V37</f>
        <v>0</v>
      </c>
      <c r="W11" s="302"/>
      <c r="X11" s="306"/>
      <c r="Y11" s="221">
        <f>'Kafa Sayımı Veri Girişi'!Y37</f>
        <v>0</v>
      </c>
      <c r="Z11" s="221">
        <f>'Kafa Sayımı Veri Girişi'!Z37</f>
        <v>0</v>
      </c>
      <c r="AA11" s="221">
        <f>'Kafa Sayımı Veri Girişi'!AA37</f>
        <v>0</v>
      </c>
      <c r="AB11" s="221">
        <f>'Kafa Sayımı Veri Girişi'!AB37</f>
        <v>0</v>
      </c>
      <c r="AC11" s="221">
        <f>'Kafa Sayımı Veri Girişi'!AC37</f>
        <v>0</v>
      </c>
      <c r="AD11" s="302"/>
      <c r="AE11" s="306"/>
      <c r="AF11" s="221">
        <f>'Kafa Sayımı Veri Girişi'!AF37</f>
        <v>0</v>
      </c>
      <c r="AG11" s="221">
        <f>'Kafa Sayımı Veri Girişi'!AG37</f>
        <v>0</v>
      </c>
      <c r="AH11" s="221">
        <f>'Kafa Sayımı Veri Girişi'!AH37</f>
        <v>0</v>
      </c>
      <c r="AI11" s="221">
        <f>'Kafa Sayımı Veri Girişi'!AI37</f>
        <v>0</v>
      </c>
      <c r="AJ11" s="221">
        <f>'Kafa Sayımı Veri Girişi'!AJ37</f>
        <v>0</v>
      </c>
      <c r="AK11" s="302"/>
      <c r="AL11" s="306"/>
      <c r="AM11" s="221">
        <f>'Kafa Sayımı Veri Girişi'!AM37</f>
        <v>0</v>
      </c>
      <c r="AN11" s="221">
        <f>'Kafa Sayımı Veri Girişi'!AN37</f>
        <v>0</v>
      </c>
      <c r="AO11" s="221">
        <f>'Kafa Sayımı Veri Girişi'!AO37</f>
        <v>0</v>
      </c>
      <c r="AP11" s="221">
        <f>'Kafa Sayımı Veri Girişi'!AP37</f>
        <v>0</v>
      </c>
      <c r="AQ11" s="221">
        <f>'Kafa Sayımı Veri Girişi'!AQ37</f>
        <v>0</v>
      </c>
      <c r="AR11" s="302"/>
      <c r="AS11" s="306"/>
      <c r="AT11" s="221">
        <f>'Kafa Sayımı Veri Girişi'!AT37</f>
        <v>0</v>
      </c>
      <c r="AU11" s="221">
        <f>'Kafa Sayımı Veri Girişi'!AU37</f>
        <v>0</v>
      </c>
      <c r="AV11" s="221">
        <f>'Kafa Sayımı Veri Girişi'!AV37</f>
        <v>0</v>
      </c>
      <c r="AW11" s="221">
        <f>'Kafa Sayımı Veri Girişi'!AW37</f>
        <v>0</v>
      </c>
      <c r="AX11" s="221">
        <f>'Kafa Sayımı Veri Girişi'!AX37</f>
        <v>0</v>
      </c>
      <c r="AY11" s="302"/>
      <c r="AZ11" s="306"/>
      <c r="BA11" s="221">
        <f>'Kafa Sayımı Veri Girişi'!BA37</f>
        <v>0</v>
      </c>
      <c r="BB11" s="221">
        <f>'Kafa Sayımı Veri Girişi'!BB37</f>
        <v>0</v>
      </c>
      <c r="BC11" s="221">
        <f>'Kafa Sayımı Veri Girişi'!BC37</f>
        <v>0</v>
      </c>
      <c r="BD11" s="221">
        <f>'Kafa Sayımı Veri Girişi'!BD37</f>
        <v>0</v>
      </c>
      <c r="BE11" s="221">
        <f>'Kafa Sayımı Veri Girişi'!BE37</f>
        <v>0</v>
      </c>
      <c r="BF11" s="302"/>
      <c r="BG11" s="306"/>
      <c r="BH11" s="221">
        <f>'Kafa Sayımı Veri Girişi'!BH37</f>
        <v>0</v>
      </c>
      <c r="BI11" s="221">
        <f>'Kafa Sayımı Veri Girişi'!BI37</f>
        <v>0</v>
      </c>
      <c r="BJ11" s="221">
        <f>'Kafa Sayımı Veri Girişi'!BJ37</f>
        <v>0</v>
      </c>
      <c r="BK11" s="221">
        <f>'Kafa Sayımı Veri Girişi'!BK37</f>
        <v>0</v>
      </c>
      <c r="BL11" s="221">
        <f>'Kafa Sayımı Veri Girişi'!BL37</f>
        <v>0</v>
      </c>
      <c r="BM11" s="302"/>
      <c r="BN11" s="306"/>
      <c r="BO11" s="221">
        <f>'Kafa Sayımı Veri Girişi'!BO37</f>
        <v>0</v>
      </c>
      <c r="BP11" s="221">
        <f>'Kafa Sayımı Veri Girişi'!BP37</f>
        <v>0</v>
      </c>
      <c r="BQ11" s="221">
        <f>'Kafa Sayımı Veri Girişi'!BQ37</f>
        <v>0</v>
      </c>
      <c r="BR11" s="221">
        <f>'Kafa Sayımı Veri Girişi'!BR37</f>
        <v>0</v>
      </c>
      <c r="BS11" s="221">
        <f>'Kafa Sayımı Veri Girişi'!BS37</f>
        <v>0</v>
      </c>
      <c r="BT11" s="302"/>
      <c r="BU11" s="306"/>
      <c r="BV11" s="221">
        <f>'Kafa Sayımı Veri Girişi'!BV37</f>
        <v>0</v>
      </c>
      <c r="BW11" s="221">
        <f>'Kafa Sayımı Veri Girişi'!BW37</f>
        <v>0</v>
      </c>
      <c r="BX11" s="221">
        <f>'Kafa Sayımı Veri Girişi'!BX37</f>
        <v>0</v>
      </c>
      <c r="BY11" s="221">
        <f>'Kafa Sayımı Veri Girişi'!BY37</f>
        <v>0</v>
      </c>
      <c r="BZ11" s="221">
        <f>'Kafa Sayımı Veri Girişi'!BZ37</f>
        <v>0</v>
      </c>
      <c r="CA11" s="302"/>
      <c r="CB11" s="306"/>
      <c r="CC11" s="221">
        <f>'Kafa Sayımı Veri Girişi'!CC37</f>
        <v>0</v>
      </c>
      <c r="CD11" s="221">
        <f>'Kafa Sayımı Veri Girişi'!CD37</f>
        <v>0</v>
      </c>
      <c r="CE11" s="221">
        <f>'Kafa Sayımı Veri Girişi'!CE37</f>
        <v>0</v>
      </c>
      <c r="CF11" s="221">
        <f>'Kafa Sayımı Veri Girişi'!CF37</f>
        <v>0</v>
      </c>
      <c r="CG11" s="221">
        <f>'Kafa Sayımı Veri Girişi'!CG37</f>
        <v>0</v>
      </c>
      <c r="CH11" s="302"/>
      <c r="CI11" s="306"/>
      <c r="CJ11" s="221">
        <f>'Kafa Sayımı Veri Girişi'!CJ37</f>
        <v>0</v>
      </c>
      <c r="CK11" s="221">
        <f>'Kafa Sayımı Veri Girişi'!CK37</f>
        <v>0</v>
      </c>
      <c r="CL11" s="221">
        <f>'Kafa Sayımı Veri Girişi'!CL37</f>
        <v>0</v>
      </c>
      <c r="CM11" s="221">
        <f>'Kafa Sayımı Veri Girişi'!CM37</f>
        <v>0</v>
      </c>
      <c r="CN11" s="221">
        <f>'Kafa Sayımı Veri Girişi'!CN37</f>
        <v>0</v>
      </c>
      <c r="CO11" s="302"/>
      <c r="CP11" s="306"/>
      <c r="CQ11" s="221">
        <f>'Kafa Sayımı Veri Girişi'!CQ37</f>
        <v>0</v>
      </c>
      <c r="CR11" s="221">
        <f>'Kafa Sayımı Veri Girişi'!CR37</f>
        <v>0</v>
      </c>
      <c r="CS11" s="221">
        <f>'Kafa Sayımı Veri Girişi'!CS37</f>
        <v>0</v>
      </c>
      <c r="CT11" s="221">
        <f>'Kafa Sayımı Veri Girişi'!CT37</f>
        <v>0</v>
      </c>
      <c r="CU11" s="221">
        <f>'Kafa Sayımı Veri Girişi'!CU37</f>
        <v>0</v>
      </c>
      <c r="CV11" s="302"/>
      <c r="CW11" s="306"/>
      <c r="CX11" s="221">
        <f>'Kafa Sayımı Veri Girişi'!CX37</f>
        <v>0</v>
      </c>
      <c r="CY11" s="221">
        <f>'Kafa Sayımı Veri Girişi'!CY37</f>
        <v>0</v>
      </c>
      <c r="CZ11" s="221">
        <f>'Kafa Sayımı Veri Girişi'!CZ37</f>
        <v>0</v>
      </c>
      <c r="DA11" s="221">
        <f>'Kafa Sayımı Veri Girişi'!DA37</f>
        <v>0</v>
      </c>
      <c r="DB11" s="221">
        <f>'Kafa Sayımı Veri Girişi'!DB37</f>
        <v>0</v>
      </c>
      <c r="DC11" s="302"/>
      <c r="DD11" s="306"/>
      <c r="DE11" s="221">
        <f>'Kafa Sayımı Veri Girişi'!DE37</f>
        <v>0</v>
      </c>
      <c r="DF11" s="221">
        <f>'Kafa Sayımı Veri Girişi'!DF37</f>
        <v>0</v>
      </c>
      <c r="DG11" s="221">
        <f>'Kafa Sayımı Veri Girişi'!DG37</f>
        <v>0</v>
      </c>
      <c r="DH11" s="221">
        <f>'Kafa Sayımı Veri Girişi'!DH37</f>
        <v>0</v>
      </c>
      <c r="DI11" s="221">
        <f>'Kafa Sayımı Veri Girişi'!DI37</f>
        <v>0</v>
      </c>
      <c r="DJ11" s="302"/>
      <c r="DK11" s="306"/>
      <c r="DL11" s="221">
        <f>'Kafa Sayımı Veri Girişi'!DL37</f>
        <v>0</v>
      </c>
      <c r="DM11" s="221">
        <f>'Kafa Sayımı Veri Girişi'!DM37</f>
        <v>0</v>
      </c>
      <c r="DN11" s="221">
        <f>'Kafa Sayımı Veri Girişi'!DN37</f>
        <v>0</v>
      </c>
      <c r="DO11" s="221">
        <f>'Kafa Sayımı Veri Girişi'!DO37</f>
        <v>0</v>
      </c>
      <c r="DP11" s="221">
        <f>'Kafa Sayımı Veri Girişi'!DP37</f>
        <v>0</v>
      </c>
      <c r="DQ11" s="302"/>
      <c r="DR11" s="306"/>
      <c r="DS11" s="221">
        <f>'Kafa Sayımı Veri Girişi'!DS37</f>
        <v>0</v>
      </c>
      <c r="DT11" s="221">
        <f>'Kafa Sayımı Veri Girişi'!DT37</f>
        <v>0</v>
      </c>
      <c r="DU11" s="221">
        <f>'Kafa Sayımı Veri Girişi'!DU37</f>
        <v>0</v>
      </c>
      <c r="DV11" s="221">
        <f>'Kafa Sayımı Veri Girişi'!DV37</f>
        <v>0</v>
      </c>
      <c r="DW11" s="221">
        <f>'Kafa Sayımı Veri Girişi'!DW37</f>
        <v>0</v>
      </c>
      <c r="DX11" s="302"/>
      <c r="DY11" s="306"/>
      <c r="DZ11" s="221">
        <f>'Kafa Sayımı Veri Girişi'!DZ37</f>
        <v>0</v>
      </c>
      <c r="EA11" s="221">
        <f>'Kafa Sayımı Veri Girişi'!EA37</f>
        <v>0</v>
      </c>
      <c r="EB11" s="221">
        <f>'Kafa Sayımı Veri Girişi'!EB37</f>
        <v>0</v>
      </c>
      <c r="EC11" s="221">
        <f>'Kafa Sayımı Veri Girişi'!EC37</f>
        <v>0</v>
      </c>
      <c r="ED11" s="221">
        <f>'Kafa Sayımı Veri Girişi'!ED37</f>
        <v>0</v>
      </c>
      <c r="EE11" s="302"/>
      <c r="EF11" s="306"/>
      <c r="EG11" s="221">
        <f>'Kafa Sayımı Veri Girişi'!EG37</f>
        <v>0</v>
      </c>
      <c r="EH11" s="221">
        <f>'Kafa Sayımı Veri Girişi'!EH37</f>
        <v>0</v>
      </c>
      <c r="EI11" s="221">
        <f>'Kafa Sayımı Veri Girişi'!EI37</f>
        <v>0</v>
      </c>
      <c r="EJ11" s="221">
        <f>'Kafa Sayımı Veri Girişi'!EJ37</f>
        <v>0</v>
      </c>
      <c r="EK11" s="221">
        <f>'Kafa Sayımı Veri Girişi'!EK37</f>
        <v>0</v>
      </c>
      <c r="EL11" s="302"/>
      <c r="EM11" s="306"/>
      <c r="EN11" s="221">
        <f>'Kafa Sayımı Veri Girişi'!EN37</f>
        <v>0</v>
      </c>
      <c r="EO11" s="221">
        <f>'Kafa Sayımı Veri Girişi'!EO37</f>
        <v>0</v>
      </c>
      <c r="EP11" s="221">
        <f>'Kafa Sayımı Veri Girişi'!EP37</f>
        <v>0</v>
      </c>
      <c r="EQ11" s="221">
        <f>'Kafa Sayımı Veri Girişi'!EQ37</f>
        <v>0</v>
      </c>
      <c r="ER11" s="221">
        <f>'Kafa Sayımı Veri Girişi'!ER37</f>
        <v>0</v>
      </c>
      <c r="ES11" s="302"/>
      <c r="ET11" s="306"/>
      <c r="EU11" s="221">
        <f>'Kafa Sayımı Veri Girişi'!EU37</f>
        <v>0</v>
      </c>
      <c r="EV11" s="221">
        <f>'Kafa Sayımı Veri Girişi'!EV37</f>
        <v>0</v>
      </c>
      <c r="EW11" s="221">
        <f>'Kafa Sayımı Veri Girişi'!EW37</f>
        <v>0</v>
      </c>
      <c r="EX11" s="221">
        <f>'Kafa Sayımı Veri Girişi'!EX37</f>
        <v>0</v>
      </c>
      <c r="EY11" s="221">
        <f>'Kafa Sayımı Veri Girişi'!EY37</f>
        <v>0</v>
      </c>
      <c r="EZ11" s="302"/>
      <c r="FA11" s="306"/>
      <c r="FB11" s="221">
        <f>'Kafa Sayımı Veri Girişi'!FB37</f>
        <v>0</v>
      </c>
      <c r="FC11" s="221">
        <f>'Kafa Sayımı Veri Girişi'!FC37</f>
        <v>0</v>
      </c>
      <c r="FD11" s="221">
        <f>'Kafa Sayımı Veri Girişi'!FD37</f>
        <v>0</v>
      </c>
      <c r="FE11" s="221">
        <f>'Kafa Sayımı Veri Girişi'!FE37</f>
        <v>0</v>
      </c>
      <c r="FF11" s="221">
        <f>'Kafa Sayımı Veri Girişi'!FF37</f>
        <v>0</v>
      </c>
      <c r="FG11" s="302"/>
      <c r="FH11" s="306"/>
      <c r="FI11" s="221">
        <f>'Kafa Sayımı Veri Girişi'!FI37</f>
        <v>0</v>
      </c>
      <c r="FJ11" s="221">
        <f>'Kafa Sayımı Veri Girişi'!FJ37</f>
        <v>0</v>
      </c>
      <c r="FK11" s="221">
        <f>'Kafa Sayımı Veri Girişi'!FK37</f>
        <v>0</v>
      </c>
      <c r="FL11" s="221">
        <f>'Kafa Sayımı Veri Girişi'!FL37</f>
        <v>0</v>
      </c>
      <c r="FM11" s="221">
        <f>'Kafa Sayımı Veri Girişi'!FM37</f>
        <v>0</v>
      </c>
      <c r="FN11" s="302"/>
      <c r="FO11" s="306"/>
      <c r="FP11" s="221">
        <f>'Kafa Sayımı Veri Girişi'!FP37</f>
        <v>0</v>
      </c>
      <c r="FQ11" s="221">
        <f>'Kafa Sayımı Veri Girişi'!FQ37</f>
        <v>0</v>
      </c>
      <c r="FR11" s="221">
        <f>'Kafa Sayımı Veri Girişi'!FR37</f>
        <v>0</v>
      </c>
      <c r="FS11" s="221">
        <f>'Kafa Sayımı Veri Girişi'!FS37</f>
        <v>0</v>
      </c>
      <c r="FT11" s="221">
        <f>'Kafa Sayımı Veri Girişi'!FT37</f>
        <v>0</v>
      </c>
      <c r="FU11" s="302"/>
      <c r="FV11" s="306"/>
      <c r="FW11" s="221">
        <f>'Kafa Sayımı Veri Girişi'!FW37</f>
        <v>0</v>
      </c>
      <c r="FX11" s="221">
        <f>'Kafa Sayımı Veri Girişi'!FX37</f>
        <v>0</v>
      </c>
      <c r="FY11" s="221">
        <f>'Kafa Sayımı Veri Girişi'!FY37</f>
        <v>0</v>
      </c>
      <c r="FZ11" s="221">
        <f>'Kafa Sayımı Veri Girişi'!FZ37</f>
        <v>0</v>
      </c>
      <c r="GA11" s="221">
        <f>'Kafa Sayımı Veri Girişi'!GA37</f>
        <v>0</v>
      </c>
      <c r="GB11" s="302"/>
      <c r="GC11" s="306"/>
      <c r="GD11" s="221">
        <f>'Kafa Sayımı Veri Girişi'!GD37</f>
        <v>0</v>
      </c>
      <c r="GE11" s="221">
        <f>'Kafa Sayımı Veri Girişi'!GE37</f>
        <v>0</v>
      </c>
      <c r="GF11" s="221">
        <f>'Kafa Sayımı Veri Girişi'!GF37</f>
        <v>0</v>
      </c>
      <c r="GG11" s="221">
        <f>'Kafa Sayımı Veri Girişi'!GG37</f>
        <v>0</v>
      </c>
      <c r="GH11" s="221">
        <f>'Kafa Sayımı Veri Girişi'!GH37</f>
        <v>0</v>
      </c>
      <c r="GI11" s="302"/>
      <c r="GJ11" s="306"/>
      <c r="GK11" s="221">
        <f>'Kafa Sayımı Veri Girişi'!GK37</f>
        <v>0</v>
      </c>
      <c r="GL11" s="221">
        <f>'Kafa Sayımı Veri Girişi'!GL37</f>
        <v>0</v>
      </c>
      <c r="GM11" s="221">
        <f>'Kafa Sayımı Veri Girişi'!GM37</f>
        <v>0</v>
      </c>
      <c r="GN11" s="221">
        <f>'Kafa Sayımı Veri Girişi'!GN37</f>
        <v>0</v>
      </c>
      <c r="GO11" s="221">
        <f>'Kafa Sayımı Veri Girişi'!GO37</f>
        <v>0</v>
      </c>
      <c r="GP11" s="302"/>
      <c r="GQ11" s="306"/>
      <c r="GR11" s="221">
        <f>'Kafa Sayımı Veri Girişi'!GR37</f>
        <v>0</v>
      </c>
      <c r="GS11" s="221">
        <f>'Kafa Sayımı Veri Girişi'!GS37</f>
        <v>0</v>
      </c>
      <c r="GT11" s="221">
        <f>'Kafa Sayımı Veri Girişi'!GT37</f>
        <v>0</v>
      </c>
      <c r="GU11" s="221">
        <f>'Kafa Sayımı Veri Girişi'!GU37</f>
        <v>0</v>
      </c>
      <c r="GV11" s="221">
        <f>'Kafa Sayımı Veri Girişi'!GV37</f>
        <v>0</v>
      </c>
      <c r="GW11" s="302"/>
      <c r="GX11" s="306"/>
      <c r="GY11" s="221">
        <f>'Kafa Sayımı Veri Girişi'!CJ37</f>
        <v>0</v>
      </c>
      <c r="GZ11" s="221">
        <f>'Kafa Sayımı Veri Girişi'!CK37</f>
        <v>0</v>
      </c>
      <c r="HA11" s="221">
        <f>'Kafa Sayımı Veri Girişi'!CL37</f>
        <v>0</v>
      </c>
      <c r="HB11" s="221">
        <f>'Kafa Sayımı Veri Girişi'!CM37</f>
        <v>0</v>
      </c>
      <c r="HC11" s="221">
        <f>'Kafa Sayımı Veri Girişi'!CN37</f>
        <v>0</v>
      </c>
      <c r="HD11" s="302"/>
      <c r="HE11" s="306"/>
      <c r="HF11" s="221">
        <f>'Kafa Sayımı Veri Girişi'!CQ37</f>
        <v>0</v>
      </c>
      <c r="HG11" s="221">
        <f>'Kafa Sayımı Veri Girişi'!CR37</f>
        <v>0</v>
      </c>
      <c r="HH11" s="221">
        <f>'Kafa Sayımı Veri Girişi'!CS37</f>
        <v>0</v>
      </c>
      <c r="HI11" s="221">
        <f>'Kafa Sayımı Veri Girişi'!CT37</f>
        <v>0</v>
      </c>
      <c r="HJ11" s="221">
        <f>'Kafa Sayımı Veri Girişi'!CU37</f>
        <v>0</v>
      </c>
      <c r="HK11" s="302"/>
      <c r="HL11" s="306"/>
      <c r="HM11" s="221">
        <f>'Kafa Sayımı Veri Girişi'!CX37</f>
        <v>0</v>
      </c>
      <c r="HN11" s="221">
        <f>'Kafa Sayımı Veri Girişi'!CY37</f>
        <v>0</v>
      </c>
      <c r="HO11" s="221">
        <f>'Kafa Sayımı Veri Girişi'!CZ37</f>
        <v>0</v>
      </c>
      <c r="HP11" s="221">
        <f>'Kafa Sayımı Veri Girişi'!DA37</f>
        <v>0</v>
      </c>
      <c r="HQ11" s="221">
        <f>'Kafa Sayımı Veri Girişi'!DB37</f>
        <v>0</v>
      </c>
      <c r="HR11" s="302"/>
      <c r="HS11" s="306"/>
      <c r="HT11" s="221">
        <f>'Kafa Sayımı Veri Girişi'!DE37</f>
        <v>0</v>
      </c>
      <c r="HU11" s="221">
        <f>'Kafa Sayımı Veri Girişi'!DF37</f>
        <v>0</v>
      </c>
      <c r="HV11" s="221">
        <f>'Kafa Sayımı Veri Girişi'!DG37</f>
        <v>0</v>
      </c>
      <c r="HW11" s="221">
        <f>'Kafa Sayımı Veri Girişi'!DH37</f>
        <v>0</v>
      </c>
      <c r="HX11" s="221">
        <f>'Kafa Sayımı Veri Girişi'!DI37</f>
        <v>0</v>
      </c>
      <c r="HY11" s="302"/>
      <c r="HZ11" s="306"/>
      <c r="IA11" s="221">
        <f>'Kafa Sayımı Veri Girişi'!DL37</f>
        <v>0</v>
      </c>
      <c r="IB11" s="221">
        <f>'Kafa Sayımı Veri Girişi'!DM37</f>
        <v>0</v>
      </c>
      <c r="IC11" s="221">
        <f>'Kafa Sayımı Veri Girişi'!DN37</f>
        <v>0</v>
      </c>
      <c r="ID11" s="221">
        <f>'Kafa Sayımı Veri Girişi'!DO37</f>
        <v>0</v>
      </c>
      <c r="IE11" s="221">
        <f>'Kafa Sayımı Veri Girişi'!DP37</f>
        <v>0</v>
      </c>
      <c r="IF11" s="302"/>
      <c r="IG11" s="306"/>
      <c r="IH11" s="221">
        <f>'Kafa Sayımı Veri Girişi'!DS37</f>
        <v>0</v>
      </c>
      <c r="II11" s="221">
        <f>'Kafa Sayımı Veri Girişi'!DT37</f>
        <v>0</v>
      </c>
      <c r="IJ11" s="221">
        <f>'Kafa Sayımı Veri Girişi'!DU37</f>
        <v>0</v>
      </c>
      <c r="IK11" s="221">
        <f>'Kafa Sayımı Veri Girişi'!DV37</f>
        <v>0</v>
      </c>
      <c r="IL11" s="221">
        <f>'Kafa Sayımı Veri Girişi'!DW37</f>
        <v>0</v>
      </c>
      <c r="IM11" s="302"/>
      <c r="IN11" s="306"/>
      <c r="IO11" s="221">
        <f>'Kafa Sayımı Veri Girişi'!DZ37</f>
        <v>0</v>
      </c>
      <c r="IP11" s="221">
        <f>'Kafa Sayımı Veri Girişi'!EA37</f>
        <v>0</v>
      </c>
      <c r="IQ11" s="221">
        <f>'Kafa Sayımı Veri Girişi'!EB37</f>
        <v>0</v>
      </c>
      <c r="IR11" s="221">
        <f>'Kafa Sayımı Veri Girişi'!EC37</f>
        <v>0</v>
      </c>
      <c r="IS11" s="221">
        <f>'Kafa Sayımı Veri Girişi'!ED37</f>
        <v>0</v>
      </c>
      <c r="IT11" s="302"/>
      <c r="IU11" s="306"/>
      <c r="IV11" s="221">
        <f>'Kafa Sayımı Veri Girişi'!EG37</f>
        <v>0</v>
      </c>
      <c r="IW11" s="221">
        <f>'Kafa Sayımı Veri Girişi'!EH37</f>
        <v>0</v>
      </c>
      <c r="IX11" s="221">
        <f>'Kafa Sayımı Veri Girişi'!EI37</f>
        <v>0</v>
      </c>
      <c r="IY11" s="221">
        <f>'Kafa Sayımı Veri Girişi'!EJ37</f>
        <v>0</v>
      </c>
      <c r="IZ11" s="221">
        <f>'Kafa Sayımı Veri Girişi'!EK37</f>
        <v>0</v>
      </c>
      <c r="JA11" s="302"/>
      <c r="JB11" s="306"/>
      <c r="JC11" s="221">
        <f>'Kafa Sayımı Veri Girişi'!EN37</f>
        <v>0</v>
      </c>
      <c r="JD11" s="221">
        <f>'Kafa Sayımı Veri Girişi'!EO37</f>
        <v>0</v>
      </c>
      <c r="JE11" s="221">
        <f>'Kafa Sayımı Veri Girişi'!EP37</f>
        <v>0</v>
      </c>
      <c r="JF11" s="221">
        <f>'Kafa Sayımı Veri Girişi'!EQ37</f>
        <v>0</v>
      </c>
      <c r="JG11" s="221">
        <f>'Kafa Sayımı Veri Girişi'!ER37</f>
        <v>0</v>
      </c>
      <c r="JH11" s="302"/>
      <c r="JI11" s="306"/>
      <c r="JJ11" s="221">
        <f>'Kafa Sayımı Veri Girişi'!EU37</f>
        <v>0</v>
      </c>
      <c r="JK11" s="221">
        <f>'Kafa Sayımı Veri Girişi'!EV37</f>
        <v>0</v>
      </c>
      <c r="JL11" s="221">
        <f>'Kafa Sayımı Veri Girişi'!EW37</f>
        <v>0</v>
      </c>
      <c r="JM11" s="221">
        <f>'Kafa Sayımı Veri Girişi'!EX37</f>
        <v>0</v>
      </c>
      <c r="JN11" s="221">
        <f>'Kafa Sayımı Veri Girişi'!EY37</f>
        <v>0</v>
      </c>
      <c r="JO11" s="302"/>
      <c r="JP11" s="306"/>
      <c r="JQ11" s="221">
        <f>'Kafa Sayımı Veri Girişi'!FB37</f>
        <v>0</v>
      </c>
      <c r="JR11" s="221">
        <f>'Kafa Sayımı Veri Girişi'!FC37</f>
        <v>0</v>
      </c>
      <c r="JS11" s="221">
        <f>'Kafa Sayımı Veri Girişi'!FD37</f>
        <v>0</v>
      </c>
      <c r="JT11" s="221">
        <f>'Kafa Sayımı Veri Girişi'!FE37</f>
        <v>0</v>
      </c>
      <c r="JU11" s="221">
        <f>'Kafa Sayımı Veri Girişi'!FF37</f>
        <v>0</v>
      </c>
      <c r="JV11" s="302"/>
      <c r="JW11" s="306"/>
      <c r="JX11" s="221">
        <f>'Kafa Sayımı Veri Girişi'!FI37</f>
        <v>0</v>
      </c>
      <c r="JY11" s="221">
        <f>'Kafa Sayımı Veri Girişi'!FJ37</f>
        <v>0</v>
      </c>
      <c r="JZ11" s="221">
        <f>'Kafa Sayımı Veri Girişi'!FK37</f>
        <v>0</v>
      </c>
      <c r="KA11" s="221">
        <f>'Kafa Sayımı Veri Girişi'!FL37</f>
        <v>0</v>
      </c>
      <c r="KB11" s="221">
        <f>'Kafa Sayımı Veri Girişi'!FM37</f>
        <v>0</v>
      </c>
      <c r="KC11" s="302"/>
      <c r="KD11" s="306"/>
      <c r="KE11" s="221">
        <f>'Kafa Sayımı Veri Girişi'!FP37</f>
        <v>0</v>
      </c>
      <c r="KF11" s="221">
        <f>'Kafa Sayımı Veri Girişi'!FQ37</f>
        <v>0</v>
      </c>
      <c r="KG11" s="221">
        <f>'Kafa Sayımı Veri Girişi'!FR37</f>
        <v>0</v>
      </c>
      <c r="KH11" s="221">
        <f>'Kafa Sayımı Veri Girişi'!FS37</f>
        <v>0</v>
      </c>
      <c r="KI11" s="221">
        <f>'Kafa Sayımı Veri Girişi'!FT37</f>
        <v>0</v>
      </c>
      <c r="KJ11" s="302"/>
      <c r="KK11" s="306"/>
      <c r="KL11" s="221">
        <f>'Kafa Sayımı Veri Girişi'!FW37</f>
        <v>0</v>
      </c>
      <c r="KM11" s="221">
        <f>'Kafa Sayımı Veri Girişi'!FX37</f>
        <v>0</v>
      </c>
      <c r="KN11" s="221">
        <f>'Kafa Sayımı Veri Girişi'!FY37</f>
        <v>0</v>
      </c>
      <c r="KO11" s="221">
        <f>'Kafa Sayımı Veri Girişi'!FZ37</f>
        <v>0</v>
      </c>
      <c r="KP11" s="221">
        <f>'Kafa Sayımı Veri Girişi'!GA37</f>
        <v>0</v>
      </c>
      <c r="KQ11" s="302"/>
      <c r="KR11" s="306"/>
      <c r="KS11" s="221">
        <f>'Kafa Sayımı Veri Girişi'!GD37</f>
        <v>0</v>
      </c>
      <c r="KT11" s="221">
        <f>'Kafa Sayımı Veri Girişi'!GE37</f>
        <v>0</v>
      </c>
      <c r="KU11" s="221">
        <f>'Kafa Sayımı Veri Girişi'!GF37</f>
        <v>0</v>
      </c>
      <c r="KV11" s="221">
        <f>'Kafa Sayımı Veri Girişi'!GG37</f>
        <v>0</v>
      </c>
      <c r="KW11" s="221">
        <f>'Kafa Sayımı Veri Girişi'!GH37</f>
        <v>0</v>
      </c>
      <c r="KX11" s="302"/>
      <c r="KY11" s="306"/>
      <c r="KZ11" s="221">
        <f>'Kafa Sayımı Veri Girişi'!GK37</f>
        <v>0</v>
      </c>
      <c r="LA11" s="221">
        <f>'Kafa Sayımı Veri Girişi'!GL37</f>
        <v>0</v>
      </c>
      <c r="LB11" s="221">
        <f>'Kafa Sayımı Veri Girişi'!GM37</f>
        <v>0</v>
      </c>
      <c r="LC11" s="221">
        <f>'Kafa Sayımı Veri Girişi'!GN37</f>
        <v>0</v>
      </c>
      <c r="LD11" s="221">
        <f>'Kafa Sayımı Veri Girişi'!GO37</f>
        <v>0</v>
      </c>
      <c r="LE11" s="302"/>
      <c r="LF11" s="306"/>
      <c r="LG11" s="221">
        <f>'Kafa Sayımı Veri Girişi'!GR37</f>
        <v>0</v>
      </c>
      <c r="LH11" s="221">
        <f>'Kafa Sayımı Veri Girişi'!GS37</f>
        <v>0</v>
      </c>
      <c r="LI11" s="221">
        <f>'Kafa Sayımı Veri Girişi'!GT37</f>
        <v>0</v>
      </c>
      <c r="LJ11" s="221">
        <f>'Kafa Sayımı Veri Girişi'!GU37</f>
        <v>0</v>
      </c>
      <c r="LK11" s="221">
        <f>'Kafa Sayımı Veri Girişi'!GV37</f>
        <v>0</v>
      </c>
      <c r="LL11" s="302"/>
      <c r="LM11" s="306"/>
      <c r="LN11" s="221">
        <f>'Kafa Sayımı Veri Girişi'!GY37</f>
        <v>0</v>
      </c>
      <c r="LO11" s="221">
        <f>'Kafa Sayımı Veri Girişi'!GZ37</f>
        <v>0</v>
      </c>
      <c r="LP11" s="221">
        <f>'Kafa Sayımı Veri Girişi'!HA37</f>
        <v>0</v>
      </c>
      <c r="LQ11" s="221">
        <f>'Kafa Sayımı Veri Girişi'!HB37</f>
        <v>0</v>
      </c>
      <c r="LR11" s="221">
        <f>'Kafa Sayımı Veri Girişi'!HC37</f>
        <v>0</v>
      </c>
      <c r="LS11" s="302"/>
      <c r="LT11" s="306"/>
      <c r="LU11" s="221">
        <f>'Kafa Sayımı Veri Girişi'!HF37</f>
        <v>0</v>
      </c>
      <c r="LV11" s="221">
        <f>'Kafa Sayımı Veri Girişi'!HG37</f>
        <v>0</v>
      </c>
      <c r="LW11" s="221">
        <f>'Kafa Sayımı Veri Girişi'!HH37</f>
        <v>0</v>
      </c>
      <c r="LX11" s="221">
        <f>'Kafa Sayımı Veri Girişi'!HI37</f>
        <v>0</v>
      </c>
      <c r="LY11" s="221">
        <f>'Kafa Sayımı Veri Girişi'!HJ37</f>
        <v>0</v>
      </c>
      <c r="LZ11" s="302"/>
      <c r="MA11" s="306"/>
      <c r="MB11" s="221">
        <f>'Kafa Sayımı Veri Girişi'!HM37</f>
        <v>0</v>
      </c>
      <c r="MC11" s="221">
        <f>'Kafa Sayımı Veri Girişi'!HN37</f>
        <v>0</v>
      </c>
      <c r="MD11" s="221">
        <f>'Kafa Sayımı Veri Girişi'!HO37</f>
        <v>0</v>
      </c>
      <c r="ME11" s="221">
        <f>'Kafa Sayımı Veri Girişi'!HP37</f>
        <v>0</v>
      </c>
      <c r="MF11" s="221">
        <f>'Kafa Sayımı Veri Girişi'!HQ37</f>
        <v>0</v>
      </c>
      <c r="MG11" s="302"/>
      <c r="MH11" s="306"/>
      <c r="MI11" s="221">
        <f>'Kafa Sayımı Veri Girişi'!HT37</f>
        <v>0</v>
      </c>
      <c r="MJ11" s="221">
        <f>'Kafa Sayımı Veri Girişi'!HU37</f>
        <v>0</v>
      </c>
      <c r="MK11" s="221">
        <f>'Kafa Sayımı Veri Girişi'!HV37</f>
        <v>0</v>
      </c>
      <c r="ML11" s="221">
        <f>'Kafa Sayımı Veri Girişi'!HW37</f>
        <v>0</v>
      </c>
      <c r="MM11" s="221">
        <f>'Kafa Sayımı Veri Girişi'!HX37</f>
        <v>0</v>
      </c>
      <c r="MN11" s="302"/>
      <c r="MO11" s="306"/>
      <c r="MP11" s="221">
        <f>'Kafa Sayımı Veri Girişi'!IA37</f>
        <v>0</v>
      </c>
      <c r="MQ11" s="221">
        <f>'Kafa Sayımı Veri Girişi'!IB37</f>
        <v>0</v>
      </c>
      <c r="MR11" s="221">
        <f>'Kafa Sayımı Veri Girişi'!IC37</f>
        <v>0</v>
      </c>
      <c r="MS11" s="221">
        <f>'Kafa Sayımı Veri Girişi'!ID37</f>
        <v>0</v>
      </c>
      <c r="MT11" s="221">
        <f>'Kafa Sayımı Veri Girişi'!IE37</f>
        <v>0</v>
      </c>
      <c r="MU11" s="302"/>
      <c r="MV11" s="306"/>
      <c r="MW11" s="221">
        <f>'Kafa Sayımı Veri Girişi'!IH37</f>
        <v>0</v>
      </c>
      <c r="MX11" s="221">
        <f>'Kafa Sayımı Veri Girişi'!II37</f>
        <v>0</v>
      </c>
      <c r="MY11" s="221">
        <f>'Kafa Sayımı Veri Girişi'!IJ37</f>
        <v>0</v>
      </c>
      <c r="MZ11" s="221">
        <f>'Kafa Sayımı Veri Girişi'!IK37</f>
        <v>0</v>
      </c>
      <c r="NA11" s="221">
        <f>'Kafa Sayımı Veri Girişi'!IL37</f>
        <v>0</v>
      </c>
      <c r="NB11" s="302"/>
      <c r="NC11" s="306"/>
      <c r="ND11" s="221">
        <f>'Kafa Sayımı Veri Girişi'!IO37</f>
        <v>0</v>
      </c>
      <c r="NE11" s="333">
        <f t="shared" ref="NE11:NE27" si="0">SUM(D11:ND11)</f>
        <v>0</v>
      </c>
    </row>
    <row r="12" spans="1:1017" s="133" customFormat="1" ht="15" customHeight="1">
      <c r="C12" s="131">
        <v>0.45833333333333298</v>
      </c>
      <c r="D12" s="221">
        <f>'Kafa Sayımı Veri Girişi'!D54</f>
        <v>0</v>
      </c>
      <c r="E12" s="221">
        <f>'Kafa Sayımı Veri Girişi'!E54</f>
        <v>0</v>
      </c>
      <c r="F12" s="221">
        <f>'Kafa Sayımı Veri Girişi'!F54</f>
        <v>0</v>
      </c>
      <c r="G12" s="221">
        <f>'Kafa Sayımı Veri Girişi'!G54</f>
        <v>0</v>
      </c>
      <c r="H12" s="221">
        <f>'Kafa Sayımı Veri Girişi'!H54</f>
        <v>0</v>
      </c>
      <c r="I12" s="302"/>
      <c r="J12" s="306"/>
      <c r="K12" s="221">
        <f>'Kafa Sayımı Veri Girişi'!K54</f>
        <v>0</v>
      </c>
      <c r="L12" s="221">
        <f>'Kafa Sayımı Veri Girişi'!L54</f>
        <v>0</v>
      </c>
      <c r="M12" s="221">
        <f>'Kafa Sayımı Veri Girişi'!M54</f>
        <v>0</v>
      </c>
      <c r="N12" s="221">
        <f>'Kafa Sayımı Veri Girişi'!N54</f>
        <v>0</v>
      </c>
      <c r="O12" s="221">
        <f>'Kafa Sayımı Veri Girişi'!O54</f>
        <v>0</v>
      </c>
      <c r="P12" s="302"/>
      <c r="Q12" s="306"/>
      <c r="R12" s="221">
        <f>'Kafa Sayımı Veri Girişi'!R54</f>
        <v>0</v>
      </c>
      <c r="S12" s="221">
        <f>'Kafa Sayımı Veri Girişi'!S54</f>
        <v>0</v>
      </c>
      <c r="T12" s="221">
        <f>'Kafa Sayımı Veri Girişi'!T54</f>
        <v>0</v>
      </c>
      <c r="U12" s="221">
        <f>'Kafa Sayımı Veri Girişi'!U54</f>
        <v>0</v>
      </c>
      <c r="V12" s="221">
        <f>'Kafa Sayımı Veri Girişi'!V54</f>
        <v>0</v>
      </c>
      <c r="W12" s="302"/>
      <c r="X12" s="306"/>
      <c r="Y12" s="221">
        <f>'Kafa Sayımı Veri Girişi'!Y54</f>
        <v>0</v>
      </c>
      <c r="Z12" s="221">
        <f>'Kafa Sayımı Veri Girişi'!Z54</f>
        <v>0</v>
      </c>
      <c r="AA12" s="221">
        <f>'Kafa Sayımı Veri Girişi'!AA54</f>
        <v>0</v>
      </c>
      <c r="AB12" s="221">
        <f>'Kafa Sayımı Veri Girişi'!AB54</f>
        <v>0</v>
      </c>
      <c r="AC12" s="221">
        <f>'Kafa Sayımı Veri Girişi'!AC54</f>
        <v>0</v>
      </c>
      <c r="AD12" s="302"/>
      <c r="AE12" s="306"/>
      <c r="AF12" s="221">
        <f>'Kafa Sayımı Veri Girişi'!AF54</f>
        <v>0</v>
      </c>
      <c r="AG12" s="221">
        <f>'Kafa Sayımı Veri Girişi'!AG54</f>
        <v>0</v>
      </c>
      <c r="AH12" s="221">
        <f>'Kafa Sayımı Veri Girişi'!AH54</f>
        <v>0</v>
      </c>
      <c r="AI12" s="221">
        <f>'Kafa Sayımı Veri Girişi'!AI54</f>
        <v>0</v>
      </c>
      <c r="AJ12" s="221">
        <f>'Kafa Sayımı Veri Girişi'!AJ54</f>
        <v>0</v>
      </c>
      <c r="AK12" s="302"/>
      <c r="AL12" s="306"/>
      <c r="AM12" s="221">
        <f>'Kafa Sayımı Veri Girişi'!AM54</f>
        <v>0</v>
      </c>
      <c r="AN12" s="221">
        <f>'Kafa Sayımı Veri Girişi'!AN54</f>
        <v>0</v>
      </c>
      <c r="AO12" s="221">
        <f>'Kafa Sayımı Veri Girişi'!AO54</f>
        <v>0</v>
      </c>
      <c r="AP12" s="221">
        <f>'Kafa Sayımı Veri Girişi'!AP54</f>
        <v>0</v>
      </c>
      <c r="AQ12" s="221">
        <f>'Kafa Sayımı Veri Girişi'!AQ54</f>
        <v>0</v>
      </c>
      <c r="AR12" s="302"/>
      <c r="AS12" s="306"/>
      <c r="AT12" s="221">
        <f>'Kafa Sayımı Veri Girişi'!AT54</f>
        <v>0</v>
      </c>
      <c r="AU12" s="221">
        <f>'Kafa Sayımı Veri Girişi'!AU54</f>
        <v>0</v>
      </c>
      <c r="AV12" s="221">
        <f>'Kafa Sayımı Veri Girişi'!AV54</f>
        <v>0</v>
      </c>
      <c r="AW12" s="221">
        <f>'Kafa Sayımı Veri Girişi'!AW54</f>
        <v>0</v>
      </c>
      <c r="AX12" s="221">
        <f>'Kafa Sayımı Veri Girişi'!AX54</f>
        <v>0</v>
      </c>
      <c r="AY12" s="302"/>
      <c r="AZ12" s="306"/>
      <c r="BA12" s="221">
        <f>'Kafa Sayımı Veri Girişi'!BA54</f>
        <v>0</v>
      </c>
      <c r="BB12" s="221">
        <f>'Kafa Sayımı Veri Girişi'!BB54</f>
        <v>0</v>
      </c>
      <c r="BC12" s="221">
        <f>'Kafa Sayımı Veri Girişi'!BC54</f>
        <v>0</v>
      </c>
      <c r="BD12" s="221">
        <f>'Kafa Sayımı Veri Girişi'!BD54</f>
        <v>0</v>
      </c>
      <c r="BE12" s="221">
        <f>'Kafa Sayımı Veri Girişi'!BE54</f>
        <v>0</v>
      </c>
      <c r="BF12" s="302"/>
      <c r="BG12" s="306"/>
      <c r="BH12" s="221">
        <f>'Kafa Sayımı Veri Girişi'!BH54</f>
        <v>0</v>
      </c>
      <c r="BI12" s="221">
        <f>'Kafa Sayımı Veri Girişi'!BI54</f>
        <v>0</v>
      </c>
      <c r="BJ12" s="221">
        <f>'Kafa Sayımı Veri Girişi'!BJ54</f>
        <v>0</v>
      </c>
      <c r="BK12" s="221">
        <f>'Kafa Sayımı Veri Girişi'!BK54</f>
        <v>0</v>
      </c>
      <c r="BL12" s="221">
        <f>'Kafa Sayımı Veri Girişi'!BL54</f>
        <v>0</v>
      </c>
      <c r="BM12" s="302"/>
      <c r="BN12" s="306"/>
      <c r="BO12" s="221">
        <f>'Kafa Sayımı Veri Girişi'!BO54</f>
        <v>0</v>
      </c>
      <c r="BP12" s="221">
        <f>'Kafa Sayımı Veri Girişi'!BP54</f>
        <v>0</v>
      </c>
      <c r="BQ12" s="221">
        <f>'Kafa Sayımı Veri Girişi'!BQ54</f>
        <v>0</v>
      </c>
      <c r="BR12" s="221">
        <f>'Kafa Sayımı Veri Girişi'!BR54</f>
        <v>0</v>
      </c>
      <c r="BS12" s="221">
        <f>'Kafa Sayımı Veri Girişi'!BS54</f>
        <v>0</v>
      </c>
      <c r="BT12" s="302"/>
      <c r="BU12" s="306"/>
      <c r="BV12" s="221">
        <f>'Kafa Sayımı Veri Girişi'!BV54</f>
        <v>0</v>
      </c>
      <c r="BW12" s="221">
        <f>'Kafa Sayımı Veri Girişi'!BW54</f>
        <v>0</v>
      </c>
      <c r="BX12" s="221">
        <f>'Kafa Sayımı Veri Girişi'!BX54</f>
        <v>0</v>
      </c>
      <c r="BY12" s="221">
        <f>'Kafa Sayımı Veri Girişi'!BY54</f>
        <v>0</v>
      </c>
      <c r="BZ12" s="221">
        <f>'Kafa Sayımı Veri Girişi'!BZ54</f>
        <v>0</v>
      </c>
      <c r="CA12" s="302"/>
      <c r="CB12" s="306"/>
      <c r="CC12" s="221">
        <f>'Kafa Sayımı Veri Girişi'!CC54</f>
        <v>0</v>
      </c>
      <c r="CD12" s="221">
        <f>'Kafa Sayımı Veri Girişi'!CD54</f>
        <v>0</v>
      </c>
      <c r="CE12" s="221">
        <f>'Kafa Sayımı Veri Girişi'!CE54</f>
        <v>0</v>
      </c>
      <c r="CF12" s="221">
        <f>'Kafa Sayımı Veri Girişi'!CF54</f>
        <v>0</v>
      </c>
      <c r="CG12" s="221">
        <f>'Kafa Sayımı Veri Girişi'!CG54</f>
        <v>0</v>
      </c>
      <c r="CH12" s="302"/>
      <c r="CI12" s="306"/>
      <c r="CJ12" s="221">
        <f>'Kafa Sayımı Veri Girişi'!CJ54</f>
        <v>0</v>
      </c>
      <c r="CK12" s="221">
        <f>'Kafa Sayımı Veri Girişi'!CK54</f>
        <v>0</v>
      </c>
      <c r="CL12" s="221">
        <f>'Kafa Sayımı Veri Girişi'!CL54</f>
        <v>0</v>
      </c>
      <c r="CM12" s="221">
        <f>'Kafa Sayımı Veri Girişi'!CM54</f>
        <v>0</v>
      </c>
      <c r="CN12" s="221">
        <f>'Kafa Sayımı Veri Girişi'!CN54</f>
        <v>0</v>
      </c>
      <c r="CO12" s="302"/>
      <c r="CP12" s="306"/>
      <c r="CQ12" s="221">
        <f>'Kafa Sayımı Veri Girişi'!CQ54</f>
        <v>0</v>
      </c>
      <c r="CR12" s="221">
        <f>'Kafa Sayımı Veri Girişi'!CR54</f>
        <v>0</v>
      </c>
      <c r="CS12" s="221">
        <f>'Kafa Sayımı Veri Girişi'!CS54</f>
        <v>0</v>
      </c>
      <c r="CT12" s="221">
        <f>'Kafa Sayımı Veri Girişi'!CT54</f>
        <v>0</v>
      </c>
      <c r="CU12" s="221">
        <f>'Kafa Sayımı Veri Girişi'!CU54</f>
        <v>0</v>
      </c>
      <c r="CV12" s="302"/>
      <c r="CW12" s="306"/>
      <c r="CX12" s="221">
        <f>'Kafa Sayımı Veri Girişi'!CX54</f>
        <v>0</v>
      </c>
      <c r="CY12" s="221">
        <f>'Kafa Sayımı Veri Girişi'!CY54</f>
        <v>0</v>
      </c>
      <c r="CZ12" s="221">
        <f>'Kafa Sayımı Veri Girişi'!CZ54</f>
        <v>0</v>
      </c>
      <c r="DA12" s="221">
        <f>'Kafa Sayımı Veri Girişi'!DA54</f>
        <v>0</v>
      </c>
      <c r="DB12" s="221">
        <f>'Kafa Sayımı Veri Girişi'!DB54</f>
        <v>0</v>
      </c>
      <c r="DC12" s="302"/>
      <c r="DD12" s="306"/>
      <c r="DE12" s="221">
        <f>'Kafa Sayımı Veri Girişi'!DE54</f>
        <v>0</v>
      </c>
      <c r="DF12" s="221">
        <f>'Kafa Sayımı Veri Girişi'!DF54</f>
        <v>0</v>
      </c>
      <c r="DG12" s="221">
        <f>'Kafa Sayımı Veri Girişi'!DG54</f>
        <v>0</v>
      </c>
      <c r="DH12" s="221">
        <f>'Kafa Sayımı Veri Girişi'!DH54</f>
        <v>0</v>
      </c>
      <c r="DI12" s="221">
        <f>'Kafa Sayımı Veri Girişi'!DI54</f>
        <v>0</v>
      </c>
      <c r="DJ12" s="302"/>
      <c r="DK12" s="306"/>
      <c r="DL12" s="221">
        <f>'Kafa Sayımı Veri Girişi'!DL54</f>
        <v>0</v>
      </c>
      <c r="DM12" s="221">
        <f>'Kafa Sayımı Veri Girişi'!DM54</f>
        <v>0</v>
      </c>
      <c r="DN12" s="221">
        <f>'Kafa Sayımı Veri Girişi'!DN54</f>
        <v>0</v>
      </c>
      <c r="DO12" s="221">
        <f>'Kafa Sayımı Veri Girişi'!DO54</f>
        <v>0</v>
      </c>
      <c r="DP12" s="221">
        <f>'Kafa Sayımı Veri Girişi'!DP54</f>
        <v>0</v>
      </c>
      <c r="DQ12" s="302"/>
      <c r="DR12" s="306"/>
      <c r="DS12" s="221">
        <f>'Kafa Sayımı Veri Girişi'!DS54</f>
        <v>0</v>
      </c>
      <c r="DT12" s="221">
        <f>'Kafa Sayımı Veri Girişi'!DT54</f>
        <v>0</v>
      </c>
      <c r="DU12" s="221">
        <f>'Kafa Sayımı Veri Girişi'!DU54</f>
        <v>0</v>
      </c>
      <c r="DV12" s="221">
        <f>'Kafa Sayımı Veri Girişi'!DV54</f>
        <v>0</v>
      </c>
      <c r="DW12" s="221">
        <f>'Kafa Sayımı Veri Girişi'!DW54</f>
        <v>0</v>
      </c>
      <c r="DX12" s="302"/>
      <c r="DY12" s="306"/>
      <c r="DZ12" s="221">
        <f>'Kafa Sayımı Veri Girişi'!DZ54</f>
        <v>0</v>
      </c>
      <c r="EA12" s="221">
        <f>'Kafa Sayımı Veri Girişi'!EA54</f>
        <v>0</v>
      </c>
      <c r="EB12" s="221">
        <f>'Kafa Sayımı Veri Girişi'!EB54</f>
        <v>0</v>
      </c>
      <c r="EC12" s="221">
        <f>'Kafa Sayımı Veri Girişi'!EC54</f>
        <v>0</v>
      </c>
      <c r="ED12" s="221">
        <f>'Kafa Sayımı Veri Girişi'!ED54</f>
        <v>0</v>
      </c>
      <c r="EE12" s="302"/>
      <c r="EF12" s="306"/>
      <c r="EG12" s="221">
        <f>'Kafa Sayımı Veri Girişi'!EG54</f>
        <v>0</v>
      </c>
      <c r="EH12" s="221">
        <f>'Kafa Sayımı Veri Girişi'!EH54</f>
        <v>0</v>
      </c>
      <c r="EI12" s="221">
        <f>'Kafa Sayımı Veri Girişi'!EI54</f>
        <v>0</v>
      </c>
      <c r="EJ12" s="221">
        <f>'Kafa Sayımı Veri Girişi'!EJ54</f>
        <v>0</v>
      </c>
      <c r="EK12" s="221">
        <f>'Kafa Sayımı Veri Girişi'!EK54</f>
        <v>0</v>
      </c>
      <c r="EL12" s="302"/>
      <c r="EM12" s="306"/>
      <c r="EN12" s="221">
        <f>'Kafa Sayımı Veri Girişi'!EN54</f>
        <v>0</v>
      </c>
      <c r="EO12" s="221">
        <f>'Kafa Sayımı Veri Girişi'!EO54</f>
        <v>0</v>
      </c>
      <c r="EP12" s="221">
        <f>'Kafa Sayımı Veri Girişi'!EP54</f>
        <v>0</v>
      </c>
      <c r="EQ12" s="221">
        <f>'Kafa Sayımı Veri Girişi'!EQ54</f>
        <v>0</v>
      </c>
      <c r="ER12" s="221">
        <f>'Kafa Sayımı Veri Girişi'!ER54</f>
        <v>0</v>
      </c>
      <c r="ES12" s="302"/>
      <c r="ET12" s="306"/>
      <c r="EU12" s="221">
        <f>'Kafa Sayımı Veri Girişi'!EU54</f>
        <v>0</v>
      </c>
      <c r="EV12" s="221">
        <f>'Kafa Sayımı Veri Girişi'!EV54</f>
        <v>0</v>
      </c>
      <c r="EW12" s="221">
        <f>'Kafa Sayımı Veri Girişi'!EW54</f>
        <v>0</v>
      </c>
      <c r="EX12" s="221">
        <f>'Kafa Sayımı Veri Girişi'!EX54</f>
        <v>0</v>
      </c>
      <c r="EY12" s="221">
        <f>'Kafa Sayımı Veri Girişi'!EY54</f>
        <v>0</v>
      </c>
      <c r="EZ12" s="302"/>
      <c r="FA12" s="306"/>
      <c r="FB12" s="221">
        <f>'Kafa Sayımı Veri Girişi'!FB54</f>
        <v>0</v>
      </c>
      <c r="FC12" s="221">
        <f>'Kafa Sayımı Veri Girişi'!FC54</f>
        <v>0</v>
      </c>
      <c r="FD12" s="221">
        <f>'Kafa Sayımı Veri Girişi'!FD54</f>
        <v>0</v>
      </c>
      <c r="FE12" s="221">
        <f>'Kafa Sayımı Veri Girişi'!FE54</f>
        <v>0</v>
      </c>
      <c r="FF12" s="221">
        <f>'Kafa Sayımı Veri Girişi'!FF54</f>
        <v>0</v>
      </c>
      <c r="FG12" s="302"/>
      <c r="FH12" s="306"/>
      <c r="FI12" s="221">
        <f>'Kafa Sayımı Veri Girişi'!FI54</f>
        <v>0</v>
      </c>
      <c r="FJ12" s="221">
        <f>'Kafa Sayımı Veri Girişi'!FJ54</f>
        <v>0</v>
      </c>
      <c r="FK12" s="221">
        <f>'Kafa Sayımı Veri Girişi'!FK54</f>
        <v>0</v>
      </c>
      <c r="FL12" s="221">
        <f>'Kafa Sayımı Veri Girişi'!FL54</f>
        <v>0</v>
      </c>
      <c r="FM12" s="221">
        <f>'Kafa Sayımı Veri Girişi'!FM54</f>
        <v>0</v>
      </c>
      <c r="FN12" s="302"/>
      <c r="FO12" s="306"/>
      <c r="FP12" s="221">
        <f>'Kafa Sayımı Veri Girişi'!FP54</f>
        <v>0</v>
      </c>
      <c r="FQ12" s="221">
        <f>'Kafa Sayımı Veri Girişi'!FQ54</f>
        <v>0</v>
      </c>
      <c r="FR12" s="221">
        <f>'Kafa Sayımı Veri Girişi'!FR54</f>
        <v>0</v>
      </c>
      <c r="FS12" s="221">
        <f>'Kafa Sayımı Veri Girişi'!FS54</f>
        <v>0</v>
      </c>
      <c r="FT12" s="221">
        <f>'Kafa Sayımı Veri Girişi'!FT54</f>
        <v>0</v>
      </c>
      <c r="FU12" s="302"/>
      <c r="FV12" s="306"/>
      <c r="FW12" s="221">
        <f>'Kafa Sayımı Veri Girişi'!FW54</f>
        <v>0</v>
      </c>
      <c r="FX12" s="221">
        <f>'Kafa Sayımı Veri Girişi'!FX54</f>
        <v>0</v>
      </c>
      <c r="FY12" s="221">
        <f>'Kafa Sayımı Veri Girişi'!FY54</f>
        <v>0</v>
      </c>
      <c r="FZ12" s="221">
        <f>'Kafa Sayımı Veri Girişi'!FZ54</f>
        <v>0</v>
      </c>
      <c r="GA12" s="221">
        <f>'Kafa Sayımı Veri Girişi'!GA54</f>
        <v>0</v>
      </c>
      <c r="GB12" s="302"/>
      <c r="GC12" s="306"/>
      <c r="GD12" s="221">
        <f>'Kafa Sayımı Veri Girişi'!GD54</f>
        <v>0</v>
      </c>
      <c r="GE12" s="221">
        <f>'Kafa Sayımı Veri Girişi'!GE54</f>
        <v>0</v>
      </c>
      <c r="GF12" s="221">
        <f>'Kafa Sayımı Veri Girişi'!GF54</f>
        <v>0</v>
      </c>
      <c r="GG12" s="221">
        <f>'Kafa Sayımı Veri Girişi'!GG54</f>
        <v>0</v>
      </c>
      <c r="GH12" s="221">
        <f>'Kafa Sayımı Veri Girişi'!GH54</f>
        <v>0</v>
      </c>
      <c r="GI12" s="302"/>
      <c r="GJ12" s="306"/>
      <c r="GK12" s="221">
        <f>'Kafa Sayımı Veri Girişi'!GK54</f>
        <v>0</v>
      </c>
      <c r="GL12" s="221">
        <f>'Kafa Sayımı Veri Girişi'!GL54</f>
        <v>0</v>
      </c>
      <c r="GM12" s="221">
        <f>'Kafa Sayımı Veri Girişi'!GM54</f>
        <v>0</v>
      </c>
      <c r="GN12" s="221">
        <f>'Kafa Sayımı Veri Girişi'!GN54</f>
        <v>0</v>
      </c>
      <c r="GO12" s="221">
        <f>'Kafa Sayımı Veri Girişi'!GO54</f>
        <v>0</v>
      </c>
      <c r="GP12" s="302"/>
      <c r="GQ12" s="306"/>
      <c r="GR12" s="221">
        <f>'Kafa Sayımı Veri Girişi'!GR54</f>
        <v>0</v>
      </c>
      <c r="GS12" s="221">
        <f>'Kafa Sayımı Veri Girişi'!GS54</f>
        <v>0</v>
      </c>
      <c r="GT12" s="221">
        <f>'Kafa Sayımı Veri Girişi'!GT54</f>
        <v>0</v>
      </c>
      <c r="GU12" s="221">
        <f>'Kafa Sayımı Veri Girişi'!GU54</f>
        <v>0</v>
      </c>
      <c r="GV12" s="221">
        <f>'Kafa Sayımı Veri Girişi'!GV54</f>
        <v>0</v>
      </c>
      <c r="GW12" s="302"/>
      <c r="GX12" s="306"/>
      <c r="GY12" s="221">
        <f>'Kafa Sayımı Veri Girişi'!CJ54</f>
        <v>0</v>
      </c>
      <c r="GZ12" s="221">
        <f>'Kafa Sayımı Veri Girişi'!CK54</f>
        <v>0</v>
      </c>
      <c r="HA12" s="221">
        <f>'Kafa Sayımı Veri Girişi'!CL54</f>
        <v>0</v>
      </c>
      <c r="HB12" s="221">
        <f>'Kafa Sayımı Veri Girişi'!CM54</f>
        <v>0</v>
      </c>
      <c r="HC12" s="221">
        <f>'Kafa Sayımı Veri Girişi'!CN54</f>
        <v>0</v>
      </c>
      <c r="HD12" s="302"/>
      <c r="HE12" s="306"/>
      <c r="HF12" s="221">
        <f>'Kafa Sayımı Veri Girişi'!CQ54</f>
        <v>0</v>
      </c>
      <c r="HG12" s="221">
        <f>'Kafa Sayımı Veri Girişi'!CR54</f>
        <v>0</v>
      </c>
      <c r="HH12" s="221">
        <f>'Kafa Sayımı Veri Girişi'!CS54</f>
        <v>0</v>
      </c>
      <c r="HI12" s="221">
        <f>'Kafa Sayımı Veri Girişi'!CT54</f>
        <v>0</v>
      </c>
      <c r="HJ12" s="221">
        <f>'Kafa Sayımı Veri Girişi'!CU54</f>
        <v>0</v>
      </c>
      <c r="HK12" s="302"/>
      <c r="HL12" s="306"/>
      <c r="HM12" s="221">
        <f>'Kafa Sayımı Veri Girişi'!CX54</f>
        <v>0</v>
      </c>
      <c r="HN12" s="221">
        <f>'Kafa Sayımı Veri Girişi'!CY54</f>
        <v>0</v>
      </c>
      <c r="HO12" s="221">
        <f>'Kafa Sayımı Veri Girişi'!CZ54</f>
        <v>0</v>
      </c>
      <c r="HP12" s="221">
        <f>'Kafa Sayımı Veri Girişi'!DA54</f>
        <v>0</v>
      </c>
      <c r="HQ12" s="221">
        <f>'Kafa Sayımı Veri Girişi'!DB54</f>
        <v>0</v>
      </c>
      <c r="HR12" s="302"/>
      <c r="HS12" s="306"/>
      <c r="HT12" s="221">
        <f>'Kafa Sayımı Veri Girişi'!DE54</f>
        <v>0</v>
      </c>
      <c r="HU12" s="221">
        <f>'Kafa Sayımı Veri Girişi'!DF54</f>
        <v>0</v>
      </c>
      <c r="HV12" s="221">
        <f>'Kafa Sayımı Veri Girişi'!DG54</f>
        <v>0</v>
      </c>
      <c r="HW12" s="221">
        <f>'Kafa Sayımı Veri Girişi'!DH54</f>
        <v>0</v>
      </c>
      <c r="HX12" s="221">
        <f>'Kafa Sayımı Veri Girişi'!DI54</f>
        <v>0</v>
      </c>
      <c r="HY12" s="302"/>
      <c r="HZ12" s="306"/>
      <c r="IA12" s="221">
        <f>'Kafa Sayımı Veri Girişi'!DL54</f>
        <v>0</v>
      </c>
      <c r="IB12" s="221">
        <f>'Kafa Sayımı Veri Girişi'!DM54</f>
        <v>0</v>
      </c>
      <c r="IC12" s="221">
        <f>'Kafa Sayımı Veri Girişi'!DN54</f>
        <v>0</v>
      </c>
      <c r="ID12" s="221">
        <f>'Kafa Sayımı Veri Girişi'!DO54</f>
        <v>0</v>
      </c>
      <c r="IE12" s="221">
        <f>'Kafa Sayımı Veri Girişi'!DP54</f>
        <v>0</v>
      </c>
      <c r="IF12" s="302"/>
      <c r="IG12" s="306"/>
      <c r="IH12" s="221">
        <f>'Kafa Sayımı Veri Girişi'!DS54</f>
        <v>0</v>
      </c>
      <c r="II12" s="221">
        <f>'Kafa Sayımı Veri Girişi'!DT54</f>
        <v>0</v>
      </c>
      <c r="IJ12" s="221">
        <f>'Kafa Sayımı Veri Girişi'!DU54</f>
        <v>0</v>
      </c>
      <c r="IK12" s="221">
        <f>'Kafa Sayımı Veri Girişi'!DV54</f>
        <v>0</v>
      </c>
      <c r="IL12" s="221">
        <f>'Kafa Sayımı Veri Girişi'!DW54</f>
        <v>0</v>
      </c>
      <c r="IM12" s="302"/>
      <c r="IN12" s="306"/>
      <c r="IO12" s="221">
        <f>'Kafa Sayımı Veri Girişi'!DZ54</f>
        <v>0</v>
      </c>
      <c r="IP12" s="221">
        <f>'Kafa Sayımı Veri Girişi'!EA54</f>
        <v>0</v>
      </c>
      <c r="IQ12" s="221">
        <f>'Kafa Sayımı Veri Girişi'!EB54</f>
        <v>0</v>
      </c>
      <c r="IR12" s="221">
        <f>'Kafa Sayımı Veri Girişi'!EC54</f>
        <v>0</v>
      </c>
      <c r="IS12" s="221">
        <f>'Kafa Sayımı Veri Girişi'!ED54</f>
        <v>0</v>
      </c>
      <c r="IT12" s="302"/>
      <c r="IU12" s="306"/>
      <c r="IV12" s="221">
        <f>'Kafa Sayımı Veri Girişi'!EG54</f>
        <v>0</v>
      </c>
      <c r="IW12" s="221">
        <f>'Kafa Sayımı Veri Girişi'!EH54</f>
        <v>0</v>
      </c>
      <c r="IX12" s="221">
        <f>'Kafa Sayımı Veri Girişi'!EI54</f>
        <v>0</v>
      </c>
      <c r="IY12" s="221">
        <f>'Kafa Sayımı Veri Girişi'!EJ54</f>
        <v>0</v>
      </c>
      <c r="IZ12" s="221">
        <f>'Kafa Sayımı Veri Girişi'!EK54</f>
        <v>0</v>
      </c>
      <c r="JA12" s="302"/>
      <c r="JB12" s="306"/>
      <c r="JC12" s="221">
        <f>'Kafa Sayımı Veri Girişi'!EN54</f>
        <v>0</v>
      </c>
      <c r="JD12" s="221">
        <f>'Kafa Sayımı Veri Girişi'!EO54</f>
        <v>0</v>
      </c>
      <c r="JE12" s="221">
        <f>'Kafa Sayımı Veri Girişi'!EP54</f>
        <v>0</v>
      </c>
      <c r="JF12" s="221">
        <f>'Kafa Sayımı Veri Girişi'!EQ54</f>
        <v>0</v>
      </c>
      <c r="JG12" s="221">
        <f>'Kafa Sayımı Veri Girişi'!ER54</f>
        <v>0</v>
      </c>
      <c r="JH12" s="302"/>
      <c r="JI12" s="306"/>
      <c r="JJ12" s="221">
        <f>'Kafa Sayımı Veri Girişi'!EU54</f>
        <v>0</v>
      </c>
      <c r="JK12" s="221">
        <f>'Kafa Sayımı Veri Girişi'!EV54</f>
        <v>0</v>
      </c>
      <c r="JL12" s="221">
        <f>'Kafa Sayımı Veri Girişi'!EW54</f>
        <v>0</v>
      </c>
      <c r="JM12" s="221">
        <f>'Kafa Sayımı Veri Girişi'!EX54</f>
        <v>0</v>
      </c>
      <c r="JN12" s="221">
        <f>'Kafa Sayımı Veri Girişi'!EY54</f>
        <v>0</v>
      </c>
      <c r="JO12" s="302"/>
      <c r="JP12" s="306"/>
      <c r="JQ12" s="221">
        <f>'Kafa Sayımı Veri Girişi'!FB54</f>
        <v>0</v>
      </c>
      <c r="JR12" s="221">
        <f>'Kafa Sayımı Veri Girişi'!FC54</f>
        <v>0</v>
      </c>
      <c r="JS12" s="221">
        <f>'Kafa Sayımı Veri Girişi'!FD54</f>
        <v>0</v>
      </c>
      <c r="JT12" s="221">
        <f>'Kafa Sayımı Veri Girişi'!FE54</f>
        <v>0</v>
      </c>
      <c r="JU12" s="221">
        <f>'Kafa Sayımı Veri Girişi'!FF54</f>
        <v>0</v>
      </c>
      <c r="JV12" s="302"/>
      <c r="JW12" s="306"/>
      <c r="JX12" s="221">
        <f>'Kafa Sayımı Veri Girişi'!FI54</f>
        <v>0</v>
      </c>
      <c r="JY12" s="221">
        <f>'Kafa Sayımı Veri Girişi'!FJ54</f>
        <v>0</v>
      </c>
      <c r="JZ12" s="221">
        <f>'Kafa Sayımı Veri Girişi'!FK54</f>
        <v>0</v>
      </c>
      <c r="KA12" s="221">
        <f>'Kafa Sayımı Veri Girişi'!FL54</f>
        <v>0</v>
      </c>
      <c r="KB12" s="221">
        <f>'Kafa Sayımı Veri Girişi'!FM54</f>
        <v>0</v>
      </c>
      <c r="KC12" s="302"/>
      <c r="KD12" s="306"/>
      <c r="KE12" s="221">
        <f>'Kafa Sayımı Veri Girişi'!FP54</f>
        <v>0</v>
      </c>
      <c r="KF12" s="221">
        <f>'Kafa Sayımı Veri Girişi'!FQ54</f>
        <v>0</v>
      </c>
      <c r="KG12" s="221">
        <f>'Kafa Sayımı Veri Girişi'!FR54</f>
        <v>0</v>
      </c>
      <c r="KH12" s="221">
        <f>'Kafa Sayımı Veri Girişi'!FS54</f>
        <v>0</v>
      </c>
      <c r="KI12" s="221">
        <f>'Kafa Sayımı Veri Girişi'!FT54</f>
        <v>0</v>
      </c>
      <c r="KJ12" s="302"/>
      <c r="KK12" s="306"/>
      <c r="KL12" s="221">
        <f>'Kafa Sayımı Veri Girişi'!FW54</f>
        <v>0</v>
      </c>
      <c r="KM12" s="221">
        <f>'Kafa Sayımı Veri Girişi'!FX54</f>
        <v>0</v>
      </c>
      <c r="KN12" s="221">
        <f>'Kafa Sayımı Veri Girişi'!FY54</f>
        <v>0</v>
      </c>
      <c r="KO12" s="221">
        <f>'Kafa Sayımı Veri Girişi'!FZ54</f>
        <v>0</v>
      </c>
      <c r="KP12" s="221">
        <f>'Kafa Sayımı Veri Girişi'!GA54</f>
        <v>0</v>
      </c>
      <c r="KQ12" s="302"/>
      <c r="KR12" s="306"/>
      <c r="KS12" s="221">
        <f>'Kafa Sayımı Veri Girişi'!GD54</f>
        <v>0</v>
      </c>
      <c r="KT12" s="221">
        <f>'Kafa Sayımı Veri Girişi'!GE54</f>
        <v>0</v>
      </c>
      <c r="KU12" s="221">
        <f>'Kafa Sayımı Veri Girişi'!GF54</f>
        <v>0</v>
      </c>
      <c r="KV12" s="221">
        <f>'Kafa Sayımı Veri Girişi'!GG54</f>
        <v>0</v>
      </c>
      <c r="KW12" s="221">
        <f>'Kafa Sayımı Veri Girişi'!GH54</f>
        <v>0</v>
      </c>
      <c r="KX12" s="302"/>
      <c r="KY12" s="306"/>
      <c r="KZ12" s="221">
        <f>'Kafa Sayımı Veri Girişi'!GK54</f>
        <v>0</v>
      </c>
      <c r="LA12" s="221">
        <f>'Kafa Sayımı Veri Girişi'!GL54</f>
        <v>0</v>
      </c>
      <c r="LB12" s="221">
        <f>'Kafa Sayımı Veri Girişi'!GM54</f>
        <v>0</v>
      </c>
      <c r="LC12" s="221">
        <f>'Kafa Sayımı Veri Girişi'!GN54</f>
        <v>0</v>
      </c>
      <c r="LD12" s="221">
        <f>'Kafa Sayımı Veri Girişi'!GO54</f>
        <v>0</v>
      </c>
      <c r="LE12" s="302"/>
      <c r="LF12" s="306"/>
      <c r="LG12" s="221">
        <f>'Kafa Sayımı Veri Girişi'!GR54</f>
        <v>0</v>
      </c>
      <c r="LH12" s="221">
        <f>'Kafa Sayımı Veri Girişi'!GS54</f>
        <v>0</v>
      </c>
      <c r="LI12" s="221">
        <f>'Kafa Sayımı Veri Girişi'!GT54</f>
        <v>0</v>
      </c>
      <c r="LJ12" s="221">
        <f>'Kafa Sayımı Veri Girişi'!GU54</f>
        <v>0</v>
      </c>
      <c r="LK12" s="221">
        <f>'Kafa Sayımı Veri Girişi'!GV54</f>
        <v>0</v>
      </c>
      <c r="LL12" s="302"/>
      <c r="LM12" s="306"/>
      <c r="LN12" s="221">
        <f>'Kafa Sayımı Veri Girişi'!GY54</f>
        <v>0</v>
      </c>
      <c r="LO12" s="221">
        <f>'Kafa Sayımı Veri Girişi'!GZ54</f>
        <v>0</v>
      </c>
      <c r="LP12" s="221">
        <f>'Kafa Sayımı Veri Girişi'!HA54</f>
        <v>0</v>
      </c>
      <c r="LQ12" s="221">
        <f>'Kafa Sayımı Veri Girişi'!HB54</f>
        <v>0</v>
      </c>
      <c r="LR12" s="221">
        <f>'Kafa Sayımı Veri Girişi'!HC54</f>
        <v>0</v>
      </c>
      <c r="LS12" s="302"/>
      <c r="LT12" s="306"/>
      <c r="LU12" s="221">
        <f>'Kafa Sayımı Veri Girişi'!HF54</f>
        <v>0</v>
      </c>
      <c r="LV12" s="221">
        <f>'Kafa Sayımı Veri Girişi'!HG54</f>
        <v>0</v>
      </c>
      <c r="LW12" s="221">
        <f>'Kafa Sayımı Veri Girişi'!HH54</f>
        <v>0</v>
      </c>
      <c r="LX12" s="221">
        <f>'Kafa Sayımı Veri Girişi'!HI54</f>
        <v>0</v>
      </c>
      <c r="LY12" s="221">
        <f>'Kafa Sayımı Veri Girişi'!HJ54</f>
        <v>0</v>
      </c>
      <c r="LZ12" s="302"/>
      <c r="MA12" s="306"/>
      <c r="MB12" s="221">
        <f>'Kafa Sayımı Veri Girişi'!HM54</f>
        <v>0</v>
      </c>
      <c r="MC12" s="221">
        <f>'Kafa Sayımı Veri Girişi'!HN54</f>
        <v>0</v>
      </c>
      <c r="MD12" s="221">
        <f>'Kafa Sayımı Veri Girişi'!HO54</f>
        <v>0</v>
      </c>
      <c r="ME12" s="221">
        <f>'Kafa Sayımı Veri Girişi'!HP54</f>
        <v>0</v>
      </c>
      <c r="MF12" s="221">
        <f>'Kafa Sayımı Veri Girişi'!HQ54</f>
        <v>0</v>
      </c>
      <c r="MG12" s="302"/>
      <c r="MH12" s="306"/>
      <c r="MI12" s="221">
        <f>'Kafa Sayımı Veri Girişi'!HT54</f>
        <v>0</v>
      </c>
      <c r="MJ12" s="221">
        <f>'Kafa Sayımı Veri Girişi'!HU54</f>
        <v>0</v>
      </c>
      <c r="MK12" s="221">
        <f>'Kafa Sayımı Veri Girişi'!HV54</f>
        <v>0</v>
      </c>
      <c r="ML12" s="221">
        <f>'Kafa Sayımı Veri Girişi'!HW54</f>
        <v>0</v>
      </c>
      <c r="MM12" s="221">
        <f>'Kafa Sayımı Veri Girişi'!HX54</f>
        <v>0</v>
      </c>
      <c r="MN12" s="302"/>
      <c r="MO12" s="306"/>
      <c r="MP12" s="221">
        <f>'Kafa Sayımı Veri Girişi'!IA54</f>
        <v>0</v>
      </c>
      <c r="MQ12" s="221">
        <f>'Kafa Sayımı Veri Girişi'!IB54</f>
        <v>0</v>
      </c>
      <c r="MR12" s="221">
        <f>'Kafa Sayımı Veri Girişi'!IC54</f>
        <v>0</v>
      </c>
      <c r="MS12" s="221">
        <f>'Kafa Sayımı Veri Girişi'!ID54</f>
        <v>0</v>
      </c>
      <c r="MT12" s="221">
        <f>'Kafa Sayımı Veri Girişi'!IE54</f>
        <v>0</v>
      </c>
      <c r="MU12" s="302"/>
      <c r="MV12" s="306"/>
      <c r="MW12" s="221">
        <f>'Kafa Sayımı Veri Girişi'!IH54</f>
        <v>0</v>
      </c>
      <c r="MX12" s="221">
        <f>'Kafa Sayımı Veri Girişi'!II54</f>
        <v>0</v>
      </c>
      <c r="MY12" s="221">
        <f>'Kafa Sayımı Veri Girişi'!IJ54</f>
        <v>0</v>
      </c>
      <c r="MZ12" s="221">
        <f>'Kafa Sayımı Veri Girişi'!IK54</f>
        <v>0</v>
      </c>
      <c r="NA12" s="221">
        <f>'Kafa Sayımı Veri Girişi'!IL54</f>
        <v>0</v>
      </c>
      <c r="NB12" s="302"/>
      <c r="NC12" s="306"/>
      <c r="ND12" s="221">
        <f>'Kafa Sayımı Veri Girişi'!IO54</f>
        <v>0</v>
      </c>
      <c r="NE12" s="333">
        <f t="shared" si="0"/>
        <v>0</v>
      </c>
    </row>
    <row r="13" spans="1:1017" s="134" customFormat="1" ht="15" customHeight="1" thickBot="1">
      <c r="A13" s="94"/>
      <c r="B13" s="94"/>
      <c r="C13" s="131">
        <v>0.5</v>
      </c>
      <c r="D13" s="221">
        <f>'Kafa Sayımı Veri Girişi'!D71</f>
        <v>0</v>
      </c>
      <c r="E13" s="221">
        <f>'Kafa Sayımı Veri Girişi'!E71</f>
        <v>0</v>
      </c>
      <c r="F13" s="221">
        <f>'Kafa Sayımı Veri Girişi'!F71</f>
        <v>0</v>
      </c>
      <c r="G13" s="221">
        <f>'Kafa Sayımı Veri Girişi'!G71</f>
        <v>0</v>
      </c>
      <c r="H13" s="221">
        <f>'Kafa Sayımı Veri Girişi'!H71</f>
        <v>0</v>
      </c>
      <c r="I13" s="302"/>
      <c r="J13" s="307"/>
      <c r="K13" s="221">
        <f>'Kafa Sayımı Veri Girişi'!K71</f>
        <v>0</v>
      </c>
      <c r="L13" s="221">
        <f>'Kafa Sayımı Veri Girişi'!L71</f>
        <v>0</v>
      </c>
      <c r="M13" s="221">
        <f>'Kafa Sayımı Veri Girişi'!M71</f>
        <v>0</v>
      </c>
      <c r="N13" s="221">
        <f>'Kafa Sayımı Veri Girişi'!N71</f>
        <v>0</v>
      </c>
      <c r="O13" s="221">
        <f>'Kafa Sayımı Veri Girişi'!O71</f>
        <v>0</v>
      </c>
      <c r="P13" s="302"/>
      <c r="Q13" s="307"/>
      <c r="R13" s="221">
        <f>'Kafa Sayımı Veri Girişi'!R71</f>
        <v>0</v>
      </c>
      <c r="S13" s="221">
        <f>'Kafa Sayımı Veri Girişi'!S71</f>
        <v>0</v>
      </c>
      <c r="T13" s="221">
        <f>'Kafa Sayımı Veri Girişi'!T71</f>
        <v>0</v>
      </c>
      <c r="U13" s="221">
        <f>'Kafa Sayımı Veri Girişi'!U71</f>
        <v>0</v>
      </c>
      <c r="V13" s="221">
        <f>'Kafa Sayımı Veri Girişi'!V71</f>
        <v>0</v>
      </c>
      <c r="W13" s="302"/>
      <c r="X13" s="307"/>
      <c r="Y13" s="221">
        <f>'Kafa Sayımı Veri Girişi'!Y71</f>
        <v>0</v>
      </c>
      <c r="Z13" s="221">
        <f>'Kafa Sayımı Veri Girişi'!Z71</f>
        <v>0</v>
      </c>
      <c r="AA13" s="221">
        <f>'Kafa Sayımı Veri Girişi'!AA71</f>
        <v>0</v>
      </c>
      <c r="AB13" s="221">
        <f>'Kafa Sayımı Veri Girişi'!AB71</f>
        <v>0</v>
      </c>
      <c r="AC13" s="221">
        <f>'Kafa Sayımı Veri Girişi'!AC71</f>
        <v>0</v>
      </c>
      <c r="AD13" s="302"/>
      <c r="AE13" s="307"/>
      <c r="AF13" s="221">
        <f>'Kafa Sayımı Veri Girişi'!AF71</f>
        <v>0</v>
      </c>
      <c r="AG13" s="221">
        <f>'Kafa Sayımı Veri Girişi'!AG71</f>
        <v>0</v>
      </c>
      <c r="AH13" s="221">
        <f>'Kafa Sayımı Veri Girişi'!AH71</f>
        <v>0</v>
      </c>
      <c r="AI13" s="221">
        <f>'Kafa Sayımı Veri Girişi'!AI71</f>
        <v>0</v>
      </c>
      <c r="AJ13" s="221">
        <f>'Kafa Sayımı Veri Girişi'!AJ71</f>
        <v>0</v>
      </c>
      <c r="AK13" s="302"/>
      <c r="AL13" s="307"/>
      <c r="AM13" s="221">
        <f>'Kafa Sayımı Veri Girişi'!AM71</f>
        <v>0</v>
      </c>
      <c r="AN13" s="221">
        <f>'Kafa Sayımı Veri Girişi'!AN71</f>
        <v>0</v>
      </c>
      <c r="AO13" s="221">
        <f>'Kafa Sayımı Veri Girişi'!AO71</f>
        <v>0</v>
      </c>
      <c r="AP13" s="221">
        <f>'Kafa Sayımı Veri Girişi'!AP71</f>
        <v>0</v>
      </c>
      <c r="AQ13" s="221">
        <f>'Kafa Sayımı Veri Girişi'!AQ71</f>
        <v>0</v>
      </c>
      <c r="AR13" s="302"/>
      <c r="AS13" s="307"/>
      <c r="AT13" s="221">
        <f>'Kafa Sayımı Veri Girişi'!AT71</f>
        <v>0</v>
      </c>
      <c r="AU13" s="221">
        <f>'Kafa Sayımı Veri Girişi'!AU71</f>
        <v>0</v>
      </c>
      <c r="AV13" s="221">
        <f>'Kafa Sayımı Veri Girişi'!AV71</f>
        <v>0</v>
      </c>
      <c r="AW13" s="221">
        <f>'Kafa Sayımı Veri Girişi'!AW71</f>
        <v>0</v>
      </c>
      <c r="AX13" s="221">
        <f>'Kafa Sayımı Veri Girişi'!AX71</f>
        <v>0</v>
      </c>
      <c r="AY13" s="302"/>
      <c r="AZ13" s="307"/>
      <c r="BA13" s="221">
        <f>'Kafa Sayımı Veri Girişi'!BA71</f>
        <v>0</v>
      </c>
      <c r="BB13" s="221">
        <f>'Kafa Sayımı Veri Girişi'!BB71</f>
        <v>0</v>
      </c>
      <c r="BC13" s="221">
        <f>'Kafa Sayımı Veri Girişi'!BC71</f>
        <v>0</v>
      </c>
      <c r="BD13" s="221">
        <f>'Kafa Sayımı Veri Girişi'!BD71</f>
        <v>0</v>
      </c>
      <c r="BE13" s="221">
        <f>'Kafa Sayımı Veri Girişi'!BE71</f>
        <v>0</v>
      </c>
      <c r="BF13" s="302"/>
      <c r="BG13" s="307"/>
      <c r="BH13" s="221">
        <f>'Kafa Sayımı Veri Girişi'!BH71</f>
        <v>0</v>
      </c>
      <c r="BI13" s="221">
        <f>'Kafa Sayımı Veri Girişi'!BI71</f>
        <v>0</v>
      </c>
      <c r="BJ13" s="221">
        <f>'Kafa Sayımı Veri Girişi'!BJ71</f>
        <v>0</v>
      </c>
      <c r="BK13" s="221">
        <f>'Kafa Sayımı Veri Girişi'!BK71</f>
        <v>0</v>
      </c>
      <c r="BL13" s="221">
        <f>'Kafa Sayımı Veri Girişi'!BL71</f>
        <v>0</v>
      </c>
      <c r="BM13" s="302"/>
      <c r="BN13" s="307"/>
      <c r="BO13" s="221">
        <f>'Kafa Sayımı Veri Girişi'!BO71</f>
        <v>0</v>
      </c>
      <c r="BP13" s="221">
        <f>'Kafa Sayımı Veri Girişi'!BP71</f>
        <v>0</v>
      </c>
      <c r="BQ13" s="221">
        <f>'Kafa Sayımı Veri Girişi'!BQ71</f>
        <v>0</v>
      </c>
      <c r="BR13" s="221">
        <f>'Kafa Sayımı Veri Girişi'!BR71</f>
        <v>0</v>
      </c>
      <c r="BS13" s="221">
        <f>'Kafa Sayımı Veri Girişi'!BS71</f>
        <v>0</v>
      </c>
      <c r="BT13" s="302"/>
      <c r="BU13" s="307"/>
      <c r="BV13" s="221">
        <f>'Kafa Sayımı Veri Girişi'!BV71</f>
        <v>0</v>
      </c>
      <c r="BW13" s="221">
        <f>'Kafa Sayımı Veri Girişi'!BW71</f>
        <v>0</v>
      </c>
      <c r="BX13" s="221">
        <f>'Kafa Sayımı Veri Girişi'!BX71</f>
        <v>0</v>
      </c>
      <c r="BY13" s="221">
        <f>'Kafa Sayımı Veri Girişi'!BY71</f>
        <v>0</v>
      </c>
      <c r="BZ13" s="221">
        <f>'Kafa Sayımı Veri Girişi'!BZ71</f>
        <v>0</v>
      </c>
      <c r="CA13" s="302"/>
      <c r="CB13" s="307"/>
      <c r="CC13" s="221">
        <f>'Kafa Sayımı Veri Girişi'!CC71</f>
        <v>0</v>
      </c>
      <c r="CD13" s="221">
        <f>'Kafa Sayımı Veri Girişi'!CD71</f>
        <v>0</v>
      </c>
      <c r="CE13" s="221">
        <f>'Kafa Sayımı Veri Girişi'!CE71</f>
        <v>0</v>
      </c>
      <c r="CF13" s="221">
        <f>'Kafa Sayımı Veri Girişi'!CF71</f>
        <v>0</v>
      </c>
      <c r="CG13" s="221">
        <f>'Kafa Sayımı Veri Girişi'!CG71</f>
        <v>0</v>
      </c>
      <c r="CH13" s="302"/>
      <c r="CI13" s="307"/>
      <c r="CJ13" s="221">
        <f>'Kafa Sayımı Veri Girişi'!CJ71</f>
        <v>0</v>
      </c>
      <c r="CK13" s="221">
        <f>'Kafa Sayımı Veri Girişi'!CK71</f>
        <v>0</v>
      </c>
      <c r="CL13" s="221">
        <f>'Kafa Sayımı Veri Girişi'!CL71</f>
        <v>0</v>
      </c>
      <c r="CM13" s="221">
        <f>'Kafa Sayımı Veri Girişi'!CM71</f>
        <v>0</v>
      </c>
      <c r="CN13" s="221">
        <f>'Kafa Sayımı Veri Girişi'!CN71</f>
        <v>0</v>
      </c>
      <c r="CO13" s="302"/>
      <c r="CP13" s="307"/>
      <c r="CQ13" s="221">
        <f>'Kafa Sayımı Veri Girişi'!CQ71</f>
        <v>0</v>
      </c>
      <c r="CR13" s="221">
        <f>'Kafa Sayımı Veri Girişi'!CR71</f>
        <v>0</v>
      </c>
      <c r="CS13" s="221">
        <f>'Kafa Sayımı Veri Girişi'!CS71</f>
        <v>0</v>
      </c>
      <c r="CT13" s="221">
        <f>'Kafa Sayımı Veri Girişi'!CT71</f>
        <v>0</v>
      </c>
      <c r="CU13" s="221">
        <f>'Kafa Sayımı Veri Girişi'!CU71</f>
        <v>0</v>
      </c>
      <c r="CV13" s="302"/>
      <c r="CW13" s="307"/>
      <c r="CX13" s="221">
        <f>'Kafa Sayımı Veri Girişi'!CX71</f>
        <v>0</v>
      </c>
      <c r="CY13" s="221">
        <f>'Kafa Sayımı Veri Girişi'!CY71</f>
        <v>0</v>
      </c>
      <c r="CZ13" s="221">
        <f>'Kafa Sayımı Veri Girişi'!CZ71</f>
        <v>0</v>
      </c>
      <c r="DA13" s="221">
        <f>'Kafa Sayımı Veri Girişi'!DA71</f>
        <v>0</v>
      </c>
      <c r="DB13" s="221">
        <f>'Kafa Sayımı Veri Girişi'!DB71</f>
        <v>0</v>
      </c>
      <c r="DC13" s="302"/>
      <c r="DD13" s="307"/>
      <c r="DE13" s="221">
        <f>'Kafa Sayımı Veri Girişi'!DE71</f>
        <v>0</v>
      </c>
      <c r="DF13" s="221">
        <f>'Kafa Sayımı Veri Girişi'!DF71</f>
        <v>0</v>
      </c>
      <c r="DG13" s="221">
        <f>'Kafa Sayımı Veri Girişi'!DG71</f>
        <v>0</v>
      </c>
      <c r="DH13" s="221">
        <f>'Kafa Sayımı Veri Girişi'!DH71</f>
        <v>0</v>
      </c>
      <c r="DI13" s="221">
        <f>'Kafa Sayımı Veri Girişi'!DI71</f>
        <v>0</v>
      </c>
      <c r="DJ13" s="302"/>
      <c r="DK13" s="307"/>
      <c r="DL13" s="221">
        <f>'Kafa Sayımı Veri Girişi'!DL71</f>
        <v>0</v>
      </c>
      <c r="DM13" s="221">
        <f>'Kafa Sayımı Veri Girişi'!DM71</f>
        <v>0</v>
      </c>
      <c r="DN13" s="221">
        <f>'Kafa Sayımı Veri Girişi'!DN71</f>
        <v>0</v>
      </c>
      <c r="DO13" s="221">
        <f>'Kafa Sayımı Veri Girişi'!DO71</f>
        <v>0</v>
      </c>
      <c r="DP13" s="221">
        <f>'Kafa Sayımı Veri Girişi'!DP71</f>
        <v>0</v>
      </c>
      <c r="DQ13" s="302"/>
      <c r="DR13" s="307"/>
      <c r="DS13" s="221">
        <f>'Kafa Sayımı Veri Girişi'!DS71</f>
        <v>0</v>
      </c>
      <c r="DT13" s="221">
        <f>'Kafa Sayımı Veri Girişi'!DT71</f>
        <v>0</v>
      </c>
      <c r="DU13" s="221">
        <f>'Kafa Sayımı Veri Girişi'!DU71</f>
        <v>0</v>
      </c>
      <c r="DV13" s="221">
        <f>'Kafa Sayımı Veri Girişi'!DV71</f>
        <v>0</v>
      </c>
      <c r="DW13" s="221">
        <f>'Kafa Sayımı Veri Girişi'!DW71</f>
        <v>0</v>
      </c>
      <c r="DX13" s="302"/>
      <c r="DY13" s="307"/>
      <c r="DZ13" s="221">
        <f>'Kafa Sayımı Veri Girişi'!DZ71</f>
        <v>0</v>
      </c>
      <c r="EA13" s="221">
        <f>'Kafa Sayımı Veri Girişi'!EA71</f>
        <v>0</v>
      </c>
      <c r="EB13" s="221">
        <f>'Kafa Sayımı Veri Girişi'!EB71</f>
        <v>0</v>
      </c>
      <c r="EC13" s="221">
        <f>'Kafa Sayımı Veri Girişi'!EC71</f>
        <v>0</v>
      </c>
      <c r="ED13" s="221">
        <f>'Kafa Sayımı Veri Girişi'!ED71</f>
        <v>0</v>
      </c>
      <c r="EE13" s="302"/>
      <c r="EF13" s="307"/>
      <c r="EG13" s="221">
        <f>'Kafa Sayımı Veri Girişi'!EG71</f>
        <v>0</v>
      </c>
      <c r="EH13" s="221">
        <f>'Kafa Sayımı Veri Girişi'!EH71</f>
        <v>0</v>
      </c>
      <c r="EI13" s="221">
        <f>'Kafa Sayımı Veri Girişi'!EI71</f>
        <v>0</v>
      </c>
      <c r="EJ13" s="221">
        <f>'Kafa Sayımı Veri Girişi'!EJ71</f>
        <v>0</v>
      </c>
      <c r="EK13" s="221">
        <f>'Kafa Sayımı Veri Girişi'!EK71</f>
        <v>0</v>
      </c>
      <c r="EL13" s="302"/>
      <c r="EM13" s="307"/>
      <c r="EN13" s="221">
        <f>'Kafa Sayımı Veri Girişi'!EN71</f>
        <v>0</v>
      </c>
      <c r="EO13" s="221">
        <f>'Kafa Sayımı Veri Girişi'!EO71</f>
        <v>0</v>
      </c>
      <c r="EP13" s="221">
        <f>'Kafa Sayımı Veri Girişi'!EP71</f>
        <v>0</v>
      </c>
      <c r="EQ13" s="221">
        <f>'Kafa Sayımı Veri Girişi'!EQ71</f>
        <v>0</v>
      </c>
      <c r="ER13" s="221">
        <f>'Kafa Sayımı Veri Girişi'!ER71</f>
        <v>0</v>
      </c>
      <c r="ES13" s="302"/>
      <c r="ET13" s="307"/>
      <c r="EU13" s="221">
        <f>'Kafa Sayımı Veri Girişi'!EU71</f>
        <v>0</v>
      </c>
      <c r="EV13" s="221">
        <f>'Kafa Sayımı Veri Girişi'!EV71</f>
        <v>0</v>
      </c>
      <c r="EW13" s="221">
        <f>'Kafa Sayımı Veri Girişi'!EW71</f>
        <v>0</v>
      </c>
      <c r="EX13" s="221">
        <f>'Kafa Sayımı Veri Girişi'!EX71</f>
        <v>0</v>
      </c>
      <c r="EY13" s="221">
        <f>'Kafa Sayımı Veri Girişi'!EY71</f>
        <v>0</v>
      </c>
      <c r="EZ13" s="302"/>
      <c r="FA13" s="307"/>
      <c r="FB13" s="221">
        <f>'Kafa Sayımı Veri Girişi'!FB71</f>
        <v>0</v>
      </c>
      <c r="FC13" s="221">
        <f>'Kafa Sayımı Veri Girişi'!FC71</f>
        <v>0</v>
      </c>
      <c r="FD13" s="221">
        <f>'Kafa Sayımı Veri Girişi'!FD71</f>
        <v>0</v>
      </c>
      <c r="FE13" s="221">
        <f>'Kafa Sayımı Veri Girişi'!FE71</f>
        <v>0</v>
      </c>
      <c r="FF13" s="221">
        <f>'Kafa Sayımı Veri Girişi'!FF71</f>
        <v>0</v>
      </c>
      <c r="FG13" s="302"/>
      <c r="FH13" s="307"/>
      <c r="FI13" s="221">
        <f>'Kafa Sayımı Veri Girişi'!FI71</f>
        <v>0</v>
      </c>
      <c r="FJ13" s="221">
        <f>'Kafa Sayımı Veri Girişi'!FJ71</f>
        <v>0</v>
      </c>
      <c r="FK13" s="221">
        <f>'Kafa Sayımı Veri Girişi'!FK71</f>
        <v>0</v>
      </c>
      <c r="FL13" s="221">
        <f>'Kafa Sayımı Veri Girişi'!FL71</f>
        <v>0</v>
      </c>
      <c r="FM13" s="221">
        <f>'Kafa Sayımı Veri Girişi'!FM71</f>
        <v>0</v>
      </c>
      <c r="FN13" s="302"/>
      <c r="FO13" s="307"/>
      <c r="FP13" s="221">
        <f>'Kafa Sayımı Veri Girişi'!FP71</f>
        <v>0</v>
      </c>
      <c r="FQ13" s="221">
        <f>'Kafa Sayımı Veri Girişi'!FQ71</f>
        <v>0</v>
      </c>
      <c r="FR13" s="221">
        <f>'Kafa Sayımı Veri Girişi'!FR71</f>
        <v>0</v>
      </c>
      <c r="FS13" s="221">
        <f>'Kafa Sayımı Veri Girişi'!FS71</f>
        <v>0</v>
      </c>
      <c r="FT13" s="221">
        <f>'Kafa Sayımı Veri Girişi'!FT71</f>
        <v>0</v>
      </c>
      <c r="FU13" s="302"/>
      <c r="FV13" s="307"/>
      <c r="FW13" s="221">
        <f>'Kafa Sayımı Veri Girişi'!FW71</f>
        <v>0</v>
      </c>
      <c r="FX13" s="221">
        <f>'Kafa Sayımı Veri Girişi'!FX71</f>
        <v>0</v>
      </c>
      <c r="FY13" s="221">
        <f>'Kafa Sayımı Veri Girişi'!FY71</f>
        <v>0</v>
      </c>
      <c r="FZ13" s="221">
        <f>'Kafa Sayımı Veri Girişi'!FZ71</f>
        <v>0</v>
      </c>
      <c r="GA13" s="221">
        <f>'Kafa Sayımı Veri Girişi'!GA71</f>
        <v>0</v>
      </c>
      <c r="GB13" s="302"/>
      <c r="GC13" s="307"/>
      <c r="GD13" s="221">
        <f>'Kafa Sayımı Veri Girişi'!GD71</f>
        <v>0</v>
      </c>
      <c r="GE13" s="221">
        <f>'Kafa Sayımı Veri Girişi'!GE71</f>
        <v>0</v>
      </c>
      <c r="GF13" s="221">
        <f>'Kafa Sayımı Veri Girişi'!GF71</f>
        <v>0</v>
      </c>
      <c r="GG13" s="221">
        <f>'Kafa Sayımı Veri Girişi'!GG71</f>
        <v>0</v>
      </c>
      <c r="GH13" s="221">
        <f>'Kafa Sayımı Veri Girişi'!GH71</f>
        <v>0</v>
      </c>
      <c r="GI13" s="302"/>
      <c r="GJ13" s="307"/>
      <c r="GK13" s="221">
        <f>'Kafa Sayımı Veri Girişi'!GK71</f>
        <v>0</v>
      </c>
      <c r="GL13" s="221">
        <f>'Kafa Sayımı Veri Girişi'!GL71</f>
        <v>0</v>
      </c>
      <c r="GM13" s="221">
        <f>'Kafa Sayımı Veri Girişi'!GM71</f>
        <v>0</v>
      </c>
      <c r="GN13" s="221">
        <f>'Kafa Sayımı Veri Girişi'!GN71</f>
        <v>0</v>
      </c>
      <c r="GO13" s="221">
        <f>'Kafa Sayımı Veri Girişi'!GO71</f>
        <v>0</v>
      </c>
      <c r="GP13" s="302"/>
      <c r="GQ13" s="307"/>
      <c r="GR13" s="221">
        <f>'Kafa Sayımı Veri Girişi'!GR71</f>
        <v>0</v>
      </c>
      <c r="GS13" s="221">
        <f>'Kafa Sayımı Veri Girişi'!GS71</f>
        <v>0</v>
      </c>
      <c r="GT13" s="221">
        <f>'Kafa Sayımı Veri Girişi'!GT71</f>
        <v>0</v>
      </c>
      <c r="GU13" s="221">
        <f>'Kafa Sayımı Veri Girişi'!GU71</f>
        <v>0</v>
      </c>
      <c r="GV13" s="221">
        <f>'Kafa Sayımı Veri Girişi'!GV71</f>
        <v>0</v>
      </c>
      <c r="GW13" s="302"/>
      <c r="GX13" s="307"/>
      <c r="GY13" s="221">
        <f>'Kafa Sayımı Veri Girişi'!CJ71</f>
        <v>0</v>
      </c>
      <c r="GZ13" s="221">
        <f>'Kafa Sayımı Veri Girişi'!CK71</f>
        <v>0</v>
      </c>
      <c r="HA13" s="221">
        <f>'Kafa Sayımı Veri Girişi'!CL71</f>
        <v>0</v>
      </c>
      <c r="HB13" s="221">
        <f>'Kafa Sayımı Veri Girişi'!CM71</f>
        <v>0</v>
      </c>
      <c r="HC13" s="221">
        <f>'Kafa Sayımı Veri Girişi'!CN71</f>
        <v>0</v>
      </c>
      <c r="HD13" s="302"/>
      <c r="HE13" s="307"/>
      <c r="HF13" s="221">
        <f>'Kafa Sayımı Veri Girişi'!CQ71</f>
        <v>0</v>
      </c>
      <c r="HG13" s="221">
        <f>'Kafa Sayımı Veri Girişi'!CR71</f>
        <v>0</v>
      </c>
      <c r="HH13" s="221">
        <f>'Kafa Sayımı Veri Girişi'!CS71</f>
        <v>0</v>
      </c>
      <c r="HI13" s="221">
        <f>'Kafa Sayımı Veri Girişi'!CT71</f>
        <v>0</v>
      </c>
      <c r="HJ13" s="221">
        <f>'Kafa Sayımı Veri Girişi'!CU71</f>
        <v>0</v>
      </c>
      <c r="HK13" s="302"/>
      <c r="HL13" s="307"/>
      <c r="HM13" s="221">
        <f>'Kafa Sayımı Veri Girişi'!CX71</f>
        <v>0</v>
      </c>
      <c r="HN13" s="221">
        <f>'Kafa Sayımı Veri Girişi'!CY71</f>
        <v>0</v>
      </c>
      <c r="HO13" s="221">
        <f>'Kafa Sayımı Veri Girişi'!CZ71</f>
        <v>0</v>
      </c>
      <c r="HP13" s="221">
        <f>'Kafa Sayımı Veri Girişi'!DA71</f>
        <v>0</v>
      </c>
      <c r="HQ13" s="221">
        <f>'Kafa Sayımı Veri Girişi'!DB71</f>
        <v>0</v>
      </c>
      <c r="HR13" s="302"/>
      <c r="HS13" s="307"/>
      <c r="HT13" s="221">
        <f>'Kafa Sayımı Veri Girişi'!DE71</f>
        <v>0</v>
      </c>
      <c r="HU13" s="221">
        <f>'Kafa Sayımı Veri Girişi'!DF71</f>
        <v>0</v>
      </c>
      <c r="HV13" s="221">
        <f>'Kafa Sayımı Veri Girişi'!DG71</f>
        <v>0</v>
      </c>
      <c r="HW13" s="221">
        <f>'Kafa Sayımı Veri Girişi'!DH71</f>
        <v>0</v>
      </c>
      <c r="HX13" s="221">
        <f>'Kafa Sayımı Veri Girişi'!DI71</f>
        <v>0</v>
      </c>
      <c r="HY13" s="302"/>
      <c r="HZ13" s="307"/>
      <c r="IA13" s="221">
        <f>'Kafa Sayımı Veri Girişi'!DL71</f>
        <v>0</v>
      </c>
      <c r="IB13" s="221">
        <f>'Kafa Sayımı Veri Girişi'!DM71</f>
        <v>0</v>
      </c>
      <c r="IC13" s="221">
        <f>'Kafa Sayımı Veri Girişi'!DN71</f>
        <v>0</v>
      </c>
      <c r="ID13" s="221">
        <f>'Kafa Sayımı Veri Girişi'!DO71</f>
        <v>0</v>
      </c>
      <c r="IE13" s="221">
        <f>'Kafa Sayımı Veri Girişi'!DP71</f>
        <v>0</v>
      </c>
      <c r="IF13" s="302"/>
      <c r="IG13" s="307"/>
      <c r="IH13" s="221">
        <f>'Kafa Sayımı Veri Girişi'!DS71</f>
        <v>0</v>
      </c>
      <c r="II13" s="221">
        <f>'Kafa Sayımı Veri Girişi'!DT71</f>
        <v>0</v>
      </c>
      <c r="IJ13" s="221">
        <f>'Kafa Sayımı Veri Girişi'!DU71</f>
        <v>0</v>
      </c>
      <c r="IK13" s="221">
        <f>'Kafa Sayımı Veri Girişi'!DV71</f>
        <v>0</v>
      </c>
      <c r="IL13" s="221">
        <f>'Kafa Sayımı Veri Girişi'!DW71</f>
        <v>0</v>
      </c>
      <c r="IM13" s="302"/>
      <c r="IN13" s="307"/>
      <c r="IO13" s="221">
        <f>'Kafa Sayımı Veri Girişi'!DZ71</f>
        <v>0</v>
      </c>
      <c r="IP13" s="221">
        <f>'Kafa Sayımı Veri Girişi'!EA71</f>
        <v>0</v>
      </c>
      <c r="IQ13" s="221">
        <f>'Kafa Sayımı Veri Girişi'!EB71</f>
        <v>0</v>
      </c>
      <c r="IR13" s="221">
        <f>'Kafa Sayımı Veri Girişi'!EC71</f>
        <v>0</v>
      </c>
      <c r="IS13" s="221">
        <f>'Kafa Sayımı Veri Girişi'!ED71</f>
        <v>0</v>
      </c>
      <c r="IT13" s="302"/>
      <c r="IU13" s="307"/>
      <c r="IV13" s="221">
        <f>'Kafa Sayımı Veri Girişi'!EG71</f>
        <v>0</v>
      </c>
      <c r="IW13" s="221">
        <f>'Kafa Sayımı Veri Girişi'!EH71</f>
        <v>0</v>
      </c>
      <c r="IX13" s="221">
        <f>'Kafa Sayımı Veri Girişi'!EI71</f>
        <v>0</v>
      </c>
      <c r="IY13" s="221">
        <f>'Kafa Sayımı Veri Girişi'!EJ71</f>
        <v>0</v>
      </c>
      <c r="IZ13" s="221">
        <f>'Kafa Sayımı Veri Girişi'!EK71</f>
        <v>0</v>
      </c>
      <c r="JA13" s="302"/>
      <c r="JB13" s="307"/>
      <c r="JC13" s="221">
        <f>'Kafa Sayımı Veri Girişi'!EN71</f>
        <v>0</v>
      </c>
      <c r="JD13" s="221">
        <f>'Kafa Sayımı Veri Girişi'!EO71</f>
        <v>0</v>
      </c>
      <c r="JE13" s="221">
        <f>'Kafa Sayımı Veri Girişi'!EP71</f>
        <v>0</v>
      </c>
      <c r="JF13" s="221">
        <f>'Kafa Sayımı Veri Girişi'!EQ71</f>
        <v>0</v>
      </c>
      <c r="JG13" s="221">
        <f>'Kafa Sayımı Veri Girişi'!ER71</f>
        <v>0</v>
      </c>
      <c r="JH13" s="302"/>
      <c r="JI13" s="307"/>
      <c r="JJ13" s="221">
        <f>'Kafa Sayımı Veri Girişi'!EU71</f>
        <v>0</v>
      </c>
      <c r="JK13" s="221">
        <f>'Kafa Sayımı Veri Girişi'!EV71</f>
        <v>0</v>
      </c>
      <c r="JL13" s="221">
        <f>'Kafa Sayımı Veri Girişi'!EW71</f>
        <v>0</v>
      </c>
      <c r="JM13" s="221">
        <f>'Kafa Sayımı Veri Girişi'!EX71</f>
        <v>0</v>
      </c>
      <c r="JN13" s="221">
        <f>'Kafa Sayımı Veri Girişi'!EY71</f>
        <v>0</v>
      </c>
      <c r="JO13" s="302"/>
      <c r="JP13" s="307"/>
      <c r="JQ13" s="221">
        <f>'Kafa Sayımı Veri Girişi'!FB71</f>
        <v>0</v>
      </c>
      <c r="JR13" s="221">
        <f>'Kafa Sayımı Veri Girişi'!FC71</f>
        <v>0</v>
      </c>
      <c r="JS13" s="221">
        <f>'Kafa Sayımı Veri Girişi'!FD71</f>
        <v>0</v>
      </c>
      <c r="JT13" s="221">
        <f>'Kafa Sayımı Veri Girişi'!FE71</f>
        <v>0</v>
      </c>
      <c r="JU13" s="221">
        <f>'Kafa Sayımı Veri Girişi'!FF71</f>
        <v>0</v>
      </c>
      <c r="JV13" s="302"/>
      <c r="JW13" s="307"/>
      <c r="JX13" s="221">
        <f>'Kafa Sayımı Veri Girişi'!FI71</f>
        <v>0</v>
      </c>
      <c r="JY13" s="221">
        <f>'Kafa Sayımı Veri Girişi'!FJ71</f>
        <v>0</v>
      </c>
      <c r="JZ13" s="221">
        <f>'Kafa Sayımı Veri Girişi'!FK71</f>
        <v>0</v>
      </c>
      <c r="KA13" s="221">
        <f>'Kafa Sayımı Veri Girişi'!FL71</f>
        <v>0</v>
      </c>
      <c r="KB13" s="221">
        <f>'Kafa Sayımı Veri Girişi'!FM71</f>
        <v>0</v>
      </c>
      <c r="KC13" s="302"/>
      <c r="KD13" s="307"/>
      <c r="KE13" s="221">
        <f>'Kafa Sayımı Veri Girişi'!FP71</f>
        <v>0</v>
      </c>
      <c r="KF13" s="221">
        <f>'Kafa Sayımı Veri Girişi'!FQ71</f>
        <v>0</v>
      </c>
      <c r="KG13" s="221">
        <f>'Kafa Sayımı Veri Girişi'!FR71</f>
        <v>0</v>
      </c>
      <c r="KH13" s="221">
        <f>'Kafa Sayımı Veri Girişi'!FS71</f>
        <v>0</v>
      </c>
      <c r="KI13" s="221">
        <f>'Kafa Sayımı Veri Girişi'!FT71</f>
        <v>0</v>
      </c>
      <c r="KJ13" s="302"/>
      <c r="KK13" s="307"/>
      <c r="KL13" s="221">
        <f>'Kafa Sayımı Veri Girişi'!FW71</f>
        <v>0</v>
      </c>
      <c r="KM13" s="221">
        <f>'Kafa Sayımı Veri Girişi'!FX71</f>
        <v>0</v>
      </c>
      <c r="KN13" s="221">
        <f>'Kafa Sayımı Veri Girişi'!FY71</f>
        <v>0</v>
      </c>
      <c r="KO13" s="221">
        <f>'Kafa Sayımı Veri Girişi'!FZ71</f>
        <v>0</v>
      </c>
      <c r="KP13" s="221">
        <f>'Kafa Sayımı Veri Girişi'!GA71</f>
        <v>0</v>
      </c>
      <c r="KQ13" s="302"/>
      <c r="KR13" s="307"/>
      <c r="KS13" s="221">
        <f>'Kafa Sayımı Veri Girişi'!GD71</f>
        <v>0</v>
      </c>
      <c r="KT13" s="221">
        <f>'Kafa Sayımı Veri Girişi'!GE71</f>
        <v>0</v>
      </c>
      <c r="KU13" s="221">
        <f>'Kafa Sayımı Veri Girişi'!GF71</f>
        <v>0</v>
      </c>
      <c r="KV13" s="221">
        <f>'Kafa Sayımı Veri Girişi'!GG71</f>
        <v>0</v>
      </c>
      <c r="KW13" s="221">
        <f>'Kafa Sayımı Veri Girişi'!GH71</f>
        <v>0</v>
      </c>
      <c r="KX13" s="302"/>
      <c r="KY13" s="307"/>
      <c r="KZ13" s="221">
        <f>'Kafa Sayımı Veri Girişi'!GK71</f>
        <v>0</v>
      </c>
      <c r="LA13" s="221">
        <f>'Kafa Sayımı Veri Girişi'!GL71</f>
        <v>0</v>
      </c>
      <c r="LB13" s="221">
        <f>'Kafa Sayımı Veri Girişi'!GM71</f>
        <v>0</v>
      </c>
      <c r="LC13" s="221">
        <f>'Kafa Sayımı Veri Girişi'!GN71</f>
        <v>0</v>
      </c>
      <c r="LD13" s="221">
        <f>'Kafa Sayımı Veri Girişi'!GO71</f>
        <v>0</v>
      </c>
      <c r="LE13" s="302"/>
      <c r="LF13" s="307"/>
      <c r="LG13" s="221">
        <f>'Kafa Sayımı Veri Girişi'!GR71</f>
        <v>0</v>
      </c>
      <c r="LH13" s="221">
        <f>'Kafa Sayımı Veri Girişi'!GS71</f>
        <v>0</v>
      </c>
      <c r="LI13" s="221">
        <f>'Kafa Sayımı Veri Girişi'!GT71</f>
        <v>0</v>
      </c>
      <c r="LJ13" s="221">
        <f>'Kafa Sayımı Veri Girişi'!GU71</f>
        <v>0</v>
      </c>
      <c r="LK13" s="221">
        <f>'Kafa Sayımı Veri Girişi'!GV71</f>
        <v>0</v>
      </c>
      <c r="LL13" s="302"/>
      <c r="LM13" s="307"/>
      <c r="LN13" s="221">
        <f>'Kafa Sayımı Veri Girişi'!GY71</f>
        <v>0</v>
      </c>
      <c r="LO13" s="221">
        <f>'Kafa Sayımı Veri Girişi'!GZ71</f>
        <v>0</v>
      </c>
      <c r="LP13" s="221">
        <f>'Kafa Sayımı Veri Girişi'!HA71</f>
        <v>0</v>
      </c>
      <c r="LQ13" s="221">
        <f>'Kafa Sayımı Veri Girişi'!HB71</f>
        <v>0</v>
      </c>
      <c r="LR13" s="221">
        <f>'Kafa Sayımı Veri Girişi'!HC71</f>
        <v>0</v>
      </c>
      <c r="LS13" s="302"/>
      <c r="LT13" s="307"/>
      <c r="LU13" s="221">
        <f>'Kafa Sayımı Veri Girişi'!HF71</f>
        <v>0</v>
      </c>
      <c r="LV13" s="221">
        <f>'Kafa Sayımı Veri Girişi'!HG71</f>
        <v>0</v>
      </c>
      <c r="LW13" s="221">
        <f>'Kafa Sayımı Veri Girişi'!HH71</f>
        <v>0</v>
      </c>
      <c r="LX13" s="221">
        <f>'Kafa Sayımı Veri Girişi'!HI71</f>
        <v>0</v>
      </c>
      <c r="LY13" s="221">
        <f>'Kafa Sayımı Veri Girişi'!HJ71</f>
        <v>0</v>
      </c>
      <c r="LZ13" s="302"/>
      <c r="MA13" s="307"/>
      <c r="MB13" s="221">
        <f>'Kafa Sayımı Veri Girişi'!HM71</f>
        <v>0</v>
      </c>
      <c r="MC13" s="221">
        <f>'Kafa Sayımı Veri Girişi'!HN71</f>
        <v>0</v>
      </c>
      <c r="MD13" s="221">
        <f>'Kafa Sayımı Veri Girişi'!HO71</f>
        <v>0</v>
      </c>
      <c r="ME13" s="221">
        <f>'Kafa Sayımı Veri Girişi'!HP71</f>
        <v>0</v>
      </c>
      <c r="MF13" s="221">
        <f>'Kafa Sayımı Veri Girişi'!HQ71</f>
        <v>0</v>
      </c>
      <c r="MG13" s="302"/>
      <c r="MH13" s="307"/>
      <c r="MI13" s="221">
        <f>'Kafa Sayımı Veri Girişi'!HT71</f>
        <v>0</v>
      </c>
      <c r="MJ13" s="221">
        <f>'Kafa Sayımı Veri Girişi'!HU71</f>
        <v>0</v>
      </c>
      <c r="MK13" s="221">
        <f>'Kafa Sayımı Veri Girişi'!HV71</f>
        <v>0</v>
      </c>
      <c r="ML13" s="221">
        <f>'Kafa Sayımı Veri Girişi'!HW71</f>
        <v>0</v>
      </c>
      <c r="MM13" s="221">
        <f>'Kafa Sayımı Veri Girişi'!HX71</f>
        <v>0</v>
      </c>
      <c r="MN13" s="302"/>
      <c r="MO13" s="307"/>
      <c r="MP13" s="221">
        <f>'Kafa Sayımı Veri Girişi'!IA71</f>
        <v>0</v>
      </c>
      <c r="MQ13" s="221">
        <f>'Kafa Sayımı Veri Girişi'!IB71</f>
        <v>0</v>
      </c>
      <c r="MR13" s="221">
        <f>'Kafa Sayımı Veri Girişi'!IC71</f>
        <v>0</v>
      </c>
      <c r="MS13" s="221">
        <f>'Kafa Sayımı Veri Girişi'!ID71</f>
        <v>0</v>
      </c>
      <c r="MT13" s="221">
        <f>'Kafa Sayımı Veri Girişi'!IE71</f>
        <v>0</v>
      </c>
      <c r="MU13" s="302"/>
      <c r="MV13" s="307"/>
      <c r="MW13" s="221">
        <f>'Kafa Sayımı Veri Girişi'!IH71</f>
        <v>0</v>
      </c>
      <c r="MX13" s="221">
        <f>'Kafa Sayımı Veri Girişi'!II71</f>
        <v>0</v>
      </c>
      <c r="MY13" s="221">
        <f>'Kafa Sayımı Veri Girişi'!IJ71</f>
        <v>0</v>
      </c>
      <c r="MZ13" s="221">
        <f>'Kafa Sayımı Veri Girişi'!IK71</f>
        <v>0</v>
      </c>
      <c r="NA13" s="221">
        <f>'Kafa Sayımı Veri Girişi'!IL71</f>
        <v>0</v>
      </c>
      <c r="NB13" s="302"/>
      <c r="NC13" s="307"/>
      <c r="ND13" s="221">
        <f>'Kafa Sayımı Veri Girişi'!IO71</f>
        <v>0</v>
      </c>
      <c r="NE13" s="333">
        <f t="shared" si="0"/>
        <v>0</v>
      </c>
      <c r="NF13" s="94"/>
      <c r="NG13" s="94"/>
      <c r="NH13" s="94"/>
      <c r="NI13" s="94"/>
      <c r="NJ13" s="94"/>
      <c r="NK13" s="94"/>
      <c r="NL13" s="94"/>
      <c r="NM13" s="94"/>
      <c r="NN13" s="94"/>
      <c r="NO13" s="94"/>
      <c r="NP13" s="94"/>
      <c r="NQ13" s="94"/>
      <c r="NR13" s="94"/>
      <c r="NS13" s="94"/>
      <c r="NT13" s="94"/>
      <c r="NU13" s="94"/>
      <c r="NV13" s="94"/>
      <c r="NW13" s="94"/>
      <c r="NX13" s="94"/>
      <c r="NY13" s="94"/>
      <c r="NZ13" s="94"/>
      <c r="OA13" s="94"/>
      <c r="OB13" s="94"/>
      <c r="OC13" s="94"/>
      <c r="OD13" s="94"/>
      <c r="OE13" s="94"/>
      <c r="OF13" s="94"/>
      <c r="OG13" s="94"/>
      <c r="OH13" s="94"/>
      <c r="OI13" s="94"/>
      <c r="OJ13" s="94"/>
      <c r="OK13" s="94"/>
      <c r="OL13" s="94"/>
      <c r="OM13" s="94"/>
      <c r="ON13" s="94"/>
      <c r="OO13" s="94"/>
      <c r="OP13" s="94"/>
      <c r="OQ13" s="94"/>
      <c r="OR13" s="94"/>
      <c r="OS13" s="94"/>
      <c r="OT13" s="94"/>
      <c r="OU13" s="94"/>
      <c r="OV13" s="94"/>
      <c r="OW13" s="94"/>
      <c r="OX13" s="94"/>
      <c r="OY13" s="94"/>
      <c r="OZ13" s="94"/>
      <c r="PA13" s="94"/>
      <c r="PB13" s="94"/>
      <c r="PC13" s="94"/>
      <c r="PD13" s="94"/>
      <c r="PE13" s="94"/>
      <c r="PF13" s="94"/>
      <c r="PG13" s="94"/>
      <c r="PH13" s="94"/>
      <c r="PI13" s="94"/>
      <c r="PJ13" s="94"/>
      <c r="PK13" s="94"/>
      <c r="PL13" s="94"/>
      <c r="PM13" s="94"/>
      <c r="PN13" s="94"/>
      <c r="PO13" s="94"/>
      <c r="PP13" s="94"/>
      <c r="PQ13" s="94"/>
      <c r="PR13" s="94"/>
      <c r="PS13" s="94"/>
      <c r="PT13" s="94"/>
      <c r="PU13" s="94"/>
      <c r="PV13" s="94"/>
      <c r="PW13" s="94"/>
      <c r="PX13" s="94"/>
      <c r="PY13" s="94"/>
      <c r="PZ13" s="94"/>
      <c r="QA13" s="94"/>
      <c r="QB13" s="94"/>
      <c r="QC13" s="94"/>
      <c r="QD13" s="94"/>
      <c r="QE13" s="94"/>
      <c r="QF13" s="94"/>
      <c r="QG13" s="94"/>
      <c r="QH13" s="94"/>
      <c r="QI13" s="94"/>
      <c r="QJ13" s="94"/>
      <c r="QK13" s="94"/>
      <c r="QL13" s="94"/>
      <c r="QM13" s="94"/>
      <c r="QN13" s="94"/>
      <c r="QO13" s="94"/>
      <c r="QP13" s="94"/>
      <c r="QQ13" s="94"/>
      <c r="QR13" s="94"/>
      <c r="QS13" s="94"/>
      <c r="QT13" s="94"/>
      <c r="QU13" s="94"/>
      <c r="QV13" s="94"/>
      <c r="QW13" s="94"/>
      <c r="QX13" s="94"/>
      <c r="QY13" s="94"/>
      <c r="QZ13" s="94"/>
      <c r="RA13" s="94"/>
      <c r="RB13" s="94"/>
      <c r="RC13" s="94"/>
      <c r="RD13" s="94"/>
      <c r="RE13" s="94"/>
      <c r="RF13" s="94"/>
      <c r="RG13" s="94"/>
      <c r="RH13" s="94"/>
      <c r="RI13" s="94"/>
      <c r="RJ13" s="94"/>
      <c r="RK13" s="94"/>
      <c r="RL13" s="94"/>
      <c r="RM13" s="94"/>
      <c r="RN13" s="94"/>
      <c r="RO13" s="94"/>
      <c r="RP13" s="94"/>
      <c r="RQ13" s="94"/>
      <c r="RR13" s="94"/>
      <c r="RS13" s="94"/>
      <c r="RT13" s="94"/>
      <c r="RU13" s="94"/>
      <c r="RV13" s="94"/>
      <c r="RW13" s="94"/>
      <c r="RX13" s="94"/>
      <c r="RY13" s="94"/>
      <c r="RZ13" s="94"/>
      <c r="SA13" s="94"/>
      <c r="SB13" s="94"/>
      <c r="SC13" s="94"/>
      <c r="SD13" s="94"/>
      <c r="SE13" s="94"/>
      <c r="SF13" s="94"/>
      <c r="SG13" s="94"/>
      <c r="SH13" s="94"/>
      <c r="SI13" s="94"/>
      <c r="SJ13" s="94"/>
      <c r="SK13" s="94"/>
      <c r="SL13" s="94"/>
      <c r="SM13" s="94"/>
      <c r="SN13" s="94"/>
      <c r="SO13" s="94"/>
      <c r="SP13" s="94"/>
      <c r="SQ13" s="94"/>
      <c r="SR13" s="94"/>
      <c r="SS13" s="94"/>
      <c r="ST13" s="94"/>
      <c r="SU13" s="94"/>
      <c r="SV13" s="94"/>
      <c r="SW13" s="94"/>
      <c r="SX13" s="94"/>
      <c r="SY13" s="94"/>
      <c r="SZ13" s="94"/>
      <c r="TA13" s="94"/>
      <c r="TB13" s="94"/>
      <c r="TC13" s="94"/>
      <c r="TD13" s="94"/>
      <c r="TE13" s="94"/>
      <c r="TF13" s="94"/>
      <c r="TG13" s="94"/>
      <c r="TH13" s="94"/>
      <c r="TI13" s="94"/>
      <c r="TJ13" s="94"/>
      <c r="TK13" s="94"/>
      <c r="TL13" s="94"/>
      <c r="TM13" s="94"/>
      <c r="TN13" s="94"/>
      <c r="TO13" s="94"/>
      <c r="TP13" s="94"/>
      <c r="TQ13" s="94"/>
      <c r="TR13" s="94"/>
      <c r="TS13" s="94"/>
      <c r="TT13" s="94"/>
      <c r="TU13" s="94"/>
      <c r="TV13" s="94"/>
      <c r="TW13" s="94"/>
      <c r="TX13" s="94"/>
      <c r="TY13" s="94"/>
      <c r="TZ13" s="94"/>
      <c r="UA13" s="94"/>
      <c r="UB13" s="94"/>
      <c r="UC13" s="94"/>
      <c r="UD13" s="94"/>
      <c r="UE13" s="94"/>
      <c r="UF13" s="94"/>
      <c r="UG13" s="94"/>
      <c r="UH13" s="94"/>
      <c r="UI13" s="94"/>
      <c r="UJ13" s="94"/>
      <c r="UK13" s="94"/>
      <c r="UL13" s="94"/>
      <c r="UM13" s="94"/>
      <c r="UN13" s="94"/>
      <c r="UO13" s="94"/>
      <c r="UP13" s="94"/>
      <c r="UQ13" s="94"/>
      <c r="UR13" s="94"/>
      <c r="US13" s="94"/>
      <c r="UT13" s="94"/>
      <c r="UU13" s="94"/>
      <c r="UV13" s="94"/>
      <c r="UW13" s="94"/>
      <c r="UX13" s="94"/>
      <c r="UY13" s="94"/>
      <c r="UZ13" s="94"/>
      <c r="VA13" s="94"/>
      <c r="VB13" s="94"/>
      <c r="VC13" s="94"/>
      <c r="VD13" s="94"/>
      <c r="VE13" s="94"/>
      <c r="VF13" s="94"/>
      <c r="VG13" s="94"/>
      <c r="VH13" s="94"/>
      <c r="VI13" s="94"/>
      <c r="VJ13" s="94"/>
      <c r="VK13" s="94"/>
      <c r="VL13" s="94"/>
      <c r="VM13" s="94"/>
      <c r="VN13" s="94"/>
      <c r="VO13" s="94"/>
      <c r="VP13" s="94"/>
      <c r="VQ13" s="94"/>
      <c r="VR13" s="94"/>
      <c r="VS13" s="94"/>
      <c r="VT13" s="94"/>
      <c r="VU13" s="94"/>
      <c r="VV13" s="94"/>
      <c r="VW13" s="94"/>
      <c r="VX13" s="94"/>
      <c r="VY13" s="94"/>
      <c r="VZ13" s="94"/>
      <c r="WA13" s="94"/>
      <c r="WB13" s="94"/>
      <c r="WC13" s="94"/>
      <c r="WD13" s="94"/>
      <c r="WE13" s="94"/>
      <c r="WF13" s="94"/>
      <c r="WG13" s="94"/>
      <c r="WH13" s="94"/>
      <c r="WI13" s="94"/>
      <c r="WJ13" s="94"/>
      <c r="WK13" s="94"/>
      <c r="WL13" s="94"/>
      <c r="WM13" s="94"/>
      <c r="WN13" s="94"/>
      <c r="WO13" s="94"/>
      <c r="WP13" s="94"/>
      <c r="WQ13" s="94"/>
      <c r="WR13" s="94"/>
      <c r="WS13" s="94"/>
      <c r="WT13" s="94"/>
      <c r="WU13" s="94"/>
      <c r="WV13" s="94"/>
      <c r="WW13" s="94"/>
      <c r="WX13" s="94"/>
      <c r="WY13" s="94"/>
      <c r="WZ13" s="94"/>
      <c r="XA13" s="94"/>
      <c r="XB13" s="94"/>
      <c r="XC13" s="94"/>
      <c r="XD13" s="94"/>
      <c r="XE13" s="94"/>
      <c r="XF13" s="94"/>
      <c r="XG13" s="94"/>
      <c r="XH13" s="94"/>
      <c r="XI13" s="94"/>
      <c r="XJ13" s="94"/>
      <c r="XK13" s="94"/>
      <c r="XL13" s="94"/>
      <c r="XM13" s="94"/>
      <c r="XN13" s="94"/>
      <c r="XO13" s="94"/>
      <c r="XP13" s="94"/>
      <c r="XQ13" s="94"/>
      <c r="XR13" s="94"/>
      <c r="XS13" s="94"/>
      <c r="XT13" s="94"/>
      <c r="XU13" s="94"/>
      <c r="XV13" s="94"/>
      <c r="XW13" s="94"/>
      <c r="XX13" s="94"/>
      <c r="XY13" s="94"/>
      <c r="XZ13" s="94"/>
      <c r="YA13" s="94"/>
      <c r="YB13" s="94"/>
      <c r="YC13" s="94"/>
      <c r="YD13" s="94"/>
      <c r="YE13" s="94"/>
      <c r="YF13" s="94"/>
      <c r="YG13" s="94"/>
      <c r="YH13" s="94"/>
      <c r="YI13" s="94"/>
      <c r="YJ13" s="94"/>
      <c r="YK13" s="94"/>
      <c r="YL13" s="94"/>
      <c r="YM13" s="94"/>
      <c r="YN13" s="94"/>
      <c r="YO13" s="94"/>
      <c r="YP13" s="94"/>
      <c r="YQ13" s="94"/>
      <c r="YR13" s="94"/>
      <c r="YS13" s="94"/>
      <c r="YT13" s="94"/>
      <c r="YU13" s="94"/>
      <c r="YV13" s="94"/>
      <c r="YW13" s="94"/>
      <c r="YX13" s="94"/>
      <c r="YY13" s="94"/>
      <c r="YZ13" s="94"/>
      <c r="ZA13" s="94"/>
      <c r="ZB13" s="94"/>
      <c r="ZC13" s="94"/>
      <c r="ZD13" s="94"/>
      <c r="ZE13" s="94"/>
      <c r="ZF13" s="94"/>
      <c r="ZG13" s="94"/>
      <c r="ZH13" s="94"/>
      <c r="ZI13" s="94"/>
      <c r="ZJ13" s="94"/>
      <c r="ZK13" s="94"/>
      <c r="ZL13" s="94"/>
      <c r="ZM13" s="94"/>
      <c r="ZN13" s="94"/>
      <c r="ZO13" s="94"/>
      <c r="ZP13" s="94"/>
      <c r="ZQ13" s="94"/>
      <c r="ZR13" s="94"/>
      <c r="ZS13" s="94"/>
      <c r="ZT13" s="94"/>
      <c r="ZU13" s="94"/>
      <c r="ZV13" s="94"/>
      <c r="ZW13" s="94"/>
      <c r="ZX13" s="94"/>
      <c r="ZY13" s="94"/>
      <c r="ZZ13" s="94"/>
      <c r="AAA13" s="94"/>
      <c r="AAB13" s="94"/>
      <c r="AAC13" s="94"/>
      <c r="AAD13" s="94"/>
      <c r="AAE13" s="94"/>
      <c r="AAF13" s="94"/>
      <c r="AAG13" s="94"/>
      <c r="AAH13" s="94"/>
      <c r="AAI13" s="94"/>
      <c r="AAJ13" s="94"/>
      <c r="AAK13" s="94"/>
      <c r="AAL13" s="94"/>
      <c r="AAM13" s="94"/>
      <c r="AAN13" s="94"/>
      <c r="AAO13" s="94"/>
      <c r="AAP13" s="94"/>
      <c r="AAQ13" s="94"/>
      <c r="AAR13" s="94"/>
      <c r="AAS13" s="94"/>
      <c r="AAT13" s="94"/>
      <c r="AAU13" s="94"/>
      <c r="AAV13" s="94"/>
      <c r="AAW13" s="94"/>
      <c r="AAX13" s="94"/>
      <c r="AAY13" s="94"/>
      <c r="AAZ13" s="94"/>
      <c r="ABA13" s="94"/>
      <c r="ABB13" s="94"/>
      <c r="ABC13" s="94"/>
      <c r="ABD13" s="94"/>
      <c r="ABE13" s="94"/>
      <c r="ABF13" s="94"/>
      <c r="ABG13" s="94"/>
      <c r="ABH13" s="94"/>
      <c r="ABI13" s="94"/>
      <c r="ABJ13" s="94"/>
      <c r="ABK13" s="94"/>
      <c r="ABL13" s="94"/>
      <c r="ABM13" s="94"/>
      <c r="ABN13" s="94"/>
      <c r="ABO13" s="94"/>
      <c r="ABP13" s="94"/>
      <c r="ABQ13" s="94"/>
      <c r="ABR13" s="94"/>
      <c r="ABS13" s="94"/>
      <c r="ABT13" s="94"/>
      <c r="ABU13" s="94"/>
      <c r="ABV13" s="94"/>
      <c r="ABW13" s="94"/>
      <c r="ABX13" s="94"/>
      <c r="ABY13" s="94"/>
      <c r="ABZ13" s="94"/>
      <c r="ACA13" s="94"/>
      <c r="ACB13" s="94"/>
      <c r="ACC13" s="94"/>
      <c r="ACD13" s="94"/>
      <c r="ACE13" s="94"/>
      <c r="ACF13" s="94"/>
      <c r="ACG13" s="94"/>
      <c r="ACH13" s="94"/>
      <c r="ACI13" s="94"/>
      <c r="ACJ13" s="94"/>
      <c r="ACK13" s="94"/>
      <c r="ACL13" s="94"/>
      <c r="ACM13" s="94"/>
      <c r="ACN13" s="94"/>
      <c r="ACO13" s="94"/>
      <c r="ACP13" s="94"/>
      <c r="ACQ13" s="94"/>
      <c r="ACR13" s="94"/>
      <c r="ACS13" s="94"/>
      <c r="ACT13" s="94"/>
      <c r="ACU13" s="94"/>
      <c r="ACV13" s="94"/>
      <c r="ACW13" s="94"/>
      <c r="ACX13" s="94"/>
      <c r="ACY13" s="94"/>
      <c r="ACZ13" s="94"/>
      <c r="ADA13" s="94"/>
      <c r="ADB13" s="94"/>
      <c r="ADC13" s="94"/>
      <c r="ADD13" s="94"/>
      <c r="ADE13" s="94"/>
      <c r="ADF13" s="94"/>
      <c r="ADG13" s="94"/>
      <c r="ADH13" s="94"/>
      <c r="ADI13" s="94"/>
      <c r="ADJ13" s="94"/>
      <c r="ADK13" s="94"/>
      <c r="ADL13" s="94"/>
      <c r="ADM13" s="94"/>
      <c r="ADN13" s="94"/>
      <c r="ADO13" s="94"/>
      <c r="ADP13" s="94"/>
      <c r="ADQ13" s="94"/>
      <c r="ADR13" s="94"/>
      <c r="ADS13" s="94"/>
      <c r="ADT13" s="94"/>
      <c r="ADU13" s="94"/>
      <c r="ADV13" s="94"/>
      <c r="ADW13" s="94"/>
      <c r="ADX13" s="94"/>
      <c r="ADY13" s="94"/>
      <c r="ADZ13" s="94"/>
      <c r="AEA13" s="94"/>
      <c r="AEB13" s="94"/>
      <c r="AEC13" s="94"/>
      <c r="AED13" s="94"/>
      <c r="AEE13" s="94"/>
      <c r="AEF13" s="94"/>
      <c r="AEG13" s="94"/>
      <c r="AEH13" s="94"/>
      <c r="AEI13" s="94"/>
      <c r="AEJ13" s="94"/>
      <c r="AEK13" s="94"/>
      <c r="AEL13" s="94"/>
      <c r="AEM13" s="94"/>
      <c r="AEN13" s="94"/>
      <c r="AEO13" s="94"/>
      <c r="AEP13" s="94"/>
      <c r="AEQ13" s="94"/>
      <c r="AER13" s="94"/>
      <c r="AES13" s="94"/>
      <c r="AET13" s="94"/>
      <c r="AEU13" s="94"/>
      <c r="AEV13" s="94"/>
      <c r="AEW13" s="94"/>
      <c r="AEX13" s="94"/>
      <c r="AEY13" s="94"/>
      <c r="AEZ13" s="94"/>
      <c r="AFA13" s="94"/>
      <c r="AFB13" s="94"/>
      <c r="AFC13" s="94"/>
      <c r="AFD13" s="94"/>
      <c r="AFE13" s="94"/>
      <c r="AFF13" s="94"/>
      <c r="AFG13" s="94"/>
      <c r="AFH13" s="94"/>
      <c r="AFI13" s="94"/>
      <c r="AFJ13" s="94"/>
      <c r="AFK13" s="94"/>
      <c r="AFL13" s="94"/>
      <c r="AFM13" s="94"/>
      <c r="AFN13" s="94"/>
      <c r="AFO13" s="94"/>
      <c r="AFP13" s="94"/>
      <c r="AFQ13" s="94"/>
      <c r="AFR13" s="94"/>
      <c r="AFS13" s="94"/>
      <c r="AFT13" s="94"/>
      <c r="AFU13" s="94"/>
      <c r="AFV13" s="94"/>
      <c r="AFW13" s="94"/>
      <c r="AFX13" s="94"/>
      <c r="AFY13" s="94"/>
      <c r="AFZ13" s="94"/>
      <c r="AGA13" s="94"/>
      <c r="AGB13" s="94"/>
      <c r="AGC13" s="94"/>
      <c r="AGD13" s="94"/>
      <c r="AGE13" s="94"/>
      <c r="AGF13" s="94"/>
      <c r="AGG13" s="94"/>
      <c r="AGH13" s="94"/>
      <c r="AGI13" s="94"/>
      <c r="AGJ13" s="94"/>
      <c r="AGK13" s="94"/>
      <c r="AGL13" s="94"/>
      <c r="AGM13" s="94"/>
      <c r="AGN13" s="94"/>
      <c r="AGO13" s="94"/>
      <c r="AGP13" s="94"/>
      <c r="AGQ13" s="94"/>
      <c r="AGR13" s="94"/>
      <c r="AGS13" s="94"/>
      <c r="AGT13" s="94"/>
      <c r="AGU13" s="94"/>
      <c r="AGV13" s="94"/>
      <c r="AGW13" s="94"/>
      <c r="AGX13" s="94"/>
      <c r="AGY13" s="94"/>
      <c r="AGZ13" s="94"/>
      <c r="AHA13" s="94"/>
      <c r="AHB13" s="94"/>
      <c r="AHC13" s="94"/>
      <c r="AHD13" s="94"/>
      <c r="AHE13" s="94"/>
      <c r="AHF13" s="94"/>
      <c r="AHG13" s="94"/>
      <c r="AHH13" s="94"/>
      <c r="AHI13" s="94"/>
      <c r="AHJ13" s="94"/>
      <c r="AHK13" s="94"/>
      <c r="AHL13" s="94"/>
      <c r="AHM13" s="94"/>
      <c r="AHN13" s="94"/>
      <c r="AHO13" s="94"/>
      <c r="AHP13" s="94"/>
      <c r="AHQ13" s="94"/>
      <c r="AHR13" s="94"/>
      <c r="AHS13" s="94"/>
      <c r="AHT13" s="94"/>
      <c r="AHU13" s="94"/>
      <c r="AHV13" s="94"/>
      <c r="AHW13" s="94"/>
      <c r="AHX13" s="94"/>
      <c r="AHY13" s="94"/>
      <c r="AHZ13" s="94"/>
      <c r="AIA13" s="94"/>
      <c r="AIB13" s="94"/>
      <c r="AIC13" s="94"/>
      <c r="AID13" s="94"/>
      <c r="AIE13" s="94"/>
      <c r="AIF13" s="94"/>
      <c r="AIG13" s="94"/>
      <c r="AIH13" s="94"/>
      <c r="AII13" s="94"/>
      <c r="AIJ13" s="94"/>
      <c r="AIK13" s="94"/>
      <c r="AIL13" s="94"/>
      <c r="AIM13" s="94"/>
      <c r="AIN13" s="94"/>
      <c r="AIO13" s="94"/>
      <c r="AIP13" s="94"/>
      <c r="AIQ13" s="94"/>
      <c r="AIR13" s="94"/>
      <c r="AIS13" s="94"/>
      <c r="AIT13" s="94"/>
      <c r="AIU13" s="94"/>
      <c r="AIV13" s="94"/>
      <c r="AIW13" s="94"/>
      <c r="AIX13" s="94"/>
      <c r="AIY13" s="94"/>
      <c r="AIZ13" s="94"/>
      <c r="AJA13" s="94"/>
      <c r="AJB13" s="94"/>
      <c r="AJC13" s="94"/>
      <c r="AJD13" s="94"/>
      <c r="AJE13" s="94"/>
      <c r="AJF13" s="94"/>
      <c r="AJG13" s="94"/>
      <c r="AJH13" s="94"/>
      <c r="AJI13" s="94"/>
      <c r="AJJ13" s="94"/>
      <c r="AJK13" s="94"/>
      <c r="AJL13" s="94"/>
      <c r="AJM13" s="94"/>
      <c r="AJN13" s="94"/>
      <c r="AJO13" s="94"/>
      <c r="AJP13" s="94"/>
      <c r="AJQ13" s="94"/>
      <c r="AJR13" s="94"/>
      <c r="AJS13" s="94"/>
      <c r="AJT13" s="94"/>
      <c r="AJU13" s="94"/>
      <c r="AJV13" s="94"/>
      <c r="AJW13" s="94"/>
      <c r="AJX13" s="94"/>
      <c r="AJY13" s="94"/>
      <c r="AJZ13" s="94"/>
      <c r="AKA13" s="94"/>
      <c r="AKB13" s="94"/>
      <c r="AKC13" s="94"/>
      <c r="AKD13" s="94"/>
      <c r="AKE13" s="94"/>
      <c r="AKF13" s="94"/>
      <c r="AKG13" s="94"/>
      <c r="AKH13" s="94"/>
      <c r="AKI13" s="94"/>
      <c r="AKJ13" s="94"/>
      <c r="AKK13" s="94"/>
      <c r="AKL13" s="94"/>
      <c r="AKM13" s="94"/>
      <c r="AKN13" s="94"/>
      <c r="AKO13" s="94"/>
      <c r="AKP13" s="94"/>
      <c r="AKQ13" s="94"/>
      <c r="AKR13" s="94"/>
      <c r="AKS13" s="94"/>
      <c r="AKT13" s="94"/>
      <c r="AKU13" s="94"/>
      <c r="AKV13" s="94"/>
      <c r="AKW13" s="94"/>
      <c r="AKX13" s="94"/>
      <c r="AKY13" s="94"/>
      <c r="AKZ13" s="94"/>
      <c r="ALA13" s="94"/>
      <c r="ALB13" s="94"/>
      <c r="ALC13" s="94"/>
      <c r="ALD13" s="94"/>
      <c r="ALE13" s="94"/>
      <c r="ALF13" s="94"/>
      <c r="ALG13" s="94"/>
      <c r="ALH13" s="94"/>
      <c r="ALI13" s="94"/>
      <c r="ALJ13" s="94"/>
      <c r="ALK13" s="94"/>
      <c r="ALL13" s="94"/>
      <c r="ALM13" s="94"/>
      <c r="ALN13" s="94"/>
      <c r="ALO13" s="94"/>
      <c r="ALP13" s="94"/>
      <c r="ALQ13" s="94"/>
      <c r="ALR13" s="94"/>
      <c r="ALS13" s="94"/>
      <c r="ALT13" s="94"/>
      <c r="ALU13" s="94"/>
      <c r="ALV13" s="94"/>
      <c r="ALW13" s="94"/>
      <c r="ALX13" s="94"/>
      <c r="ALY13" s="94"/>
      <c r="ALZ13" s="94"/>
      <c r="AMA13" s="94"/>
      <c r="AMB13" s="94"/>
      <c r="AMC13" s="94"/>
    </row>
    <row r="14" spans="1:1017" s="94" customFormat="1" ht="15" customHeight="1">
      <c r="C14" s="131">
        <v>0.54166666666666696</v>
      </c>
      <c r="D14" s="221">
        <f>'Kafa Sayımı Veri Girişi'!D88</f>
        <v>0</v>
      </c>
      <c r="E14" s="221">
        <f>'Kafa Sayımı Veri Girişi'!E88</f>
        <v>0</v>
      </c>
      <c r="F14" s="221">
        <f>'Kafa Sayımı Veri Girişi'!F88</f>
        <v>0</v>
      </c>
      <c r="G14" s="221">
        <f>'Kafa Sayımı Veri Girişi'!G88</f>
        <v>0</v>
      </c>
      <c r="H14" s="221">
        <f>'Kafa Sayımı Veri Girişi'!H88</f>
        <v>0</v>
      </c>
      <c r="I14" s="302"/>
      <c r="J14" s="304"/>
      <c r="K14" s="221">
        <f>'Kafa Sayımı Veri Girişi'!K88</f>
        <v>0</v>
      </c>
      <c r="L14" s="221">
        <f>'Kafa Sayımı Veri Girişi'!L88</f>
        <v>0</v>
      </c>
      <c r="M14" s="221">
        <f>'Kafa Sayımı Veri Girişi'!M88</f>
        <v>0</v>
      </c>
      <c r="N14" s="221">
        <f>'Kafa Sayımı Veri Girişi'!N88</f>
        <v>0</v>
      </c>
      <c r="O14" s="221">
        <f>'Kafa Sayımı Veri Girişi'!O88</f>
        <v>0</v>
      </c>
      <c r="P14" s="302"/>
      <c r="Q14" s="304"/>
      <c r="R14" s="221">
        <f>'Kafa Sayımı Veri Girişi'!R88</f>
        <v>0</v>
      </c>
      <c r="S14" s="221">
        <f>'Kafa Sayımı Veri Girişi'!S88</f>
        <v>0</v>
      </c>
      <c r="T14" s="221">
        <f>'Kafa Sayımı Veri Girişi'!T88</f>
        <v>0</v>
      </c>
      <c r="U14" s="221">
        <f>'Kafa Sayımı Veri Girişi'!U88</f>
        <v>0</v>
      </c>
      <c r="V14" s="221">
        <f>'Kafa Sayımı Veri Girişi'!V88</f>
        <v>0</v>
      </c>
      <c r="W14" s="302"/>
      <c r="X14" s="304"/>
      <c r="Y14" s="221">
        <f>'Kafa Sayımı Veri Girişi'!Y88</f>
        <v>0</v>
      </c>
      <c r="Z14" s="221">
        <f>'Kafa Sayımı Veri Girişi'!Z88</f>
        <v>0</v>
      </c>
      <c r="AA14" s="221">
        <f>'Kafa Sayımı Veri Girişi'!AA88</f>
        <v>0</v>
      </c>
      <c r="AB14" s="221">
        <f>'Kafa Sayımı Veri Girişi'!AB88</f>
        <v>0</v>
      </c>
      <c r="AC14" s="221">
        <f>'Kafa Sayımı Veri Girişi'!AC88</f>
        <v>0</v>
      </c>
      <c r="AD14" s="302"/>
      <c r="AE14" s="304"/>
      <c r="AF14" s="221">
        <f>'Kafa Sayımı Veri Girişi'!AF88</f>
        <v>0</v>
      </c>
      <c r="AG14" s="221">
        <f>'Kafa Sayımı Veri Girişi'!AG88</f>
        <v>0</v>
      </c>
      <c r="AH14" s="221">
        <f>'Kafa Sayımı Veri Girişi'!AH88</f>
        <v>0</v>
      </c>
      <c r="AI14" s="221">
        <f>'Kafa Sayımı Veri Girişi'!AI88</f>
        <v>0</v>
      </c>
      <c r="AJ14" s="221">
        <f>'Kafa Sayımı Veri Girişi'!AJ88</f>
        <v>0</v>
      </c>
      <c r="AK14" s="302"/>
      <c r="AL14" s="304"/>
      <c r="AM14" s="221">
        <f>'Kafa Sayımı Veri Girişi'!AM88</f>
        <v>0</v>
      </c>
      <c r="AN14" s="221">
        <f>'Kafa Sayımı Veri Girişi'!AN88</f>
        <v>0</v>
      </c>
      <c r="AO14" s="221">
        <f>'Kafa Sayımı Veri Girişi'!AO88</f>
        <v>0</v>
      </c>
      <c r="AP14" s="221">
        <f>'Kafa Sayımı Veri Girişi'!AP88</f>
        <v>0</v>
      </c>
      <c r="AQ14" s="221">
        <f>'Kafa Sayımı Veri Girişi'!AQ88</f>
        <v>0</v>
      </c>
      <c r="AR14" s="302"/>
      <c r="AS14" s="304"/>
      <c r="AT14" s="221">
        <f>'Kafa Sayımı Veri Girişi'!AT88</f>
        <v>0</v>
      </c>
      <c r="AU14" s="221">
        <f>'Kafa Sayımı Veri Girişi'!AU88</f>
        <v>0</v>
      </c>
      <c r="AV14" s="221">
        <f>'Kafa Sayımı Veri Girişi'!AV88</f>
        <v>0</v>
      </c>
      <c r="AW14" s="221">
        <f>'Kafa Sayımı Veri Girişi'!AW88</f>
        <v>0</v>
      </c>
      <c r="AX14" s="221">
        <f>'Kafa Sayımı Veri Girişi'!AX88</f>
        <v>0</v>
      </c>
      <c r="AY14" s="302"/>
      <c r="AZ14" s="304"/>
      <c r="BA14" s="221">
        <f>'Kafa Sayımı Veri Girişi'!BA88</f>
        <v>0</v>
      </c>
      <c r="BB14" s="221">
        <f>'Kafa Sayımı Veri Girişi'!BB88</f>
        <v>0</v>
      </c>
      <c r="BC14" s="221">
        <f>'Kafa Sayımı Veri Girişi'!BC88</f>
        <v>0</v>
      </c>
      <c r="BD14" s="221">
        <f>'Kafa Sayımı Veri Girişi'!BD88</f>
        <v>0</v>
      </c>
      <c r="BE14" s="221">
        <f>'Kafa Sayımı Veri Girişi'!BE88</f>
        <v>0</v>
      </c>
      <c r="BF14" s="302"/>
      <c r="BG14" s="304"/>
      <c r="BH14" s="221">
        <f>'Kafa Sayımı Veri Girişi'!BH88</f>
        <v>0</v>
      </c>
      <c r="BI14" s="221">
        <f>'Kafa Sayımı Veri Girişi'!BI88</f>
        <v>0</v>
      </c>
      <c r="BJ14" s="221">
        <f>'Kafa Sayımı Veri Girişi'!BJ88</f>
        <v>0</v>
      </c>
      <c r="BK14" s="221">
        <f>'Kafa Sayımı Veri Girişi'!BK88</f>
        <v>0</v>
      </c>
      <c r="BL14" s="221">
        <f>'Kafa Sayımı Veri Girişi'!BL88</f>
        <v>0</v>
      </c>
      <c r="BM14" s="302"/>
      <c r="BN14" s="304"/>
      <c r="BO14" s="221">
        <f>'Kafa Sayımı Veri Girişi'!BO88</f>
        <v>0</v>
      </c>
      <c r="BP14" s="221">
        <f>'Kafa Sayımı Veri Girişi'!BP88</f>
        <v>0</v>
      </c>
      <c r="BQ14" s="221">
        <f>'Kafa Sayımı Veri Girişi'!BQ88</f>
        <v>0</v>
      </c>
      <c r="BR14" s="221">
        <f>'Kafa Sayımı Veri Girişi'!BR88</f>
        <v>0</v>
      </c>
      <c r="BS14" s="221">
        <f>'Kafa Sayımı Veri Girişi'!BS88</f>
        <v>0</v>
      </c>
      <c r="BT14" s="302"/>
      <c r="BU14" s="304"/>
      <c r="BV14" s="221">
        <f>'Kafa Sayımı Veri Girişi'!BV88</f>
        <v>0</v>
      </c>
      <c r="BW14" s="221">
        <f>'Kafa Sayımı Veri Girişi'!BW88</f>
        <v>0</v>
      </c>
      <c r="BX14" s="221">
        <f>'Kafa Sayımı Veri Girişi'!BX88</f>
        <v>0</v>
      </c>
      <c r="BY14" s="221">
        <f>'Kafa Sayımı Veri Girişi'!BY88</f>
        <v>0</v>
      </c>
      <c r="BZ14" s="221">
        <f>'Kafa Sayımı Veri Girişi'!BZ88</f>
        <v>0</v>
      </c>
      <c r="CA14" s="302"/>
      <c r="CB14" s="304"/>
      <c r="CC14" s="221">
        <f>'Kafa Sayımı Veri Girişi'!CC88</f>
        <v>0</v>
      </c>
      <c r="CD14" s="221">
        <f>'Kafa Sayımı Veri Girişi'!CD88</f>
        <v>0</v>
      </c>
      <c r="CE14" s="221">
        <f>'Kafa Sayımı Veri Girişi'!CE88</f>
        <v>0</v>
      </c>
      <c r="CF14" s="221">
        <f>'Kafa Sayımı Veri Girişi'!CF88</f>
        <v>0</v>
      </c>
      <c r="CG14" s="221">
        <f>'Kafa Sayımı Veri Girişi'!CG88</f>
        <v>0</v>
      </c>
      <c r="CH14" s="302"/>
      <c r="CI14" s="304"/>
      <c r="CJ14" s="221">
        <f>'Kafa Sayımı Veri Girişi'!CJ88</f>
        <v>0</v>
      </c>
      <c r="CK14" s="221">
        <f>'Kafa Sayımı Veri Girişi'!CK88</f>
        <v>0</v>
      </c>
      <c r="CL14" s="221">
        <f>'Kafa Sayımı Veri Girişi'!CL88</f>
        <v>0</v>
      </c>
      <c r="CM14" s="221">
        <f>'Kafa Sayımı Veri Girişi'!CM88</f>
        <v>0</v>
      </c>
      <c r="CN14" s="221">
        <f>'Kafa Sayımı Veri Girişi'!CN88</f>
        <v>0</v>
      </c>
      <c r="CO14" s="302"/>
      <c r="CP14" s="304"/>
      <c r="CQ14" s="221">
        <f>'Kafa Sayımı Veri Girişi'!CQ88</f>
        <v>0</v>
      </c>
      <c r="CR14" s="221">
        <f>'Kafa Sayımı Veri Girişi'!CR88</f>
        <v>0</v>
      </c>
      <c r="CS14" s="221">
        <f>'Kafa Sayımı Veri Girişi'!CS88</f>
        <v>0</v>
      </c>
      <c r="CT14" s="221">
        <f>'Kafa Sayımı Veri Girişi'!CT88</f>
        <v>0</v>
      </c>
      <c r="CU14" s="221">
        <f>'Kafa Sayımı Veri Girişi'!CU88</f>
        <v>0</v>
      </c>
      <c r="CV14" s="302"/>
      <c r="CW14" s="304"/>
      <c r="CX14" s="221">
        <f>'Kafa Sayımı Veri Girişi'!CX88</f>
        <v>0</v>
      </c>
      <c r="CY14" s="221">
        <f>'Kafa Sayımı Veri Girişi'!CY88</f>
        <v>0</v>
      </c>
      <c r="CZ14" s="221">
        <f>'Kafa Sayımı Veri Girişi'!CZ88</f>
        <v>0</v>
      </c>
      <c r="DA14" s="221">
        <f>'Kafa Sayımı Veri Girişi'!DA88</f>
        <v>0</v>
      </c>
      <c r="DB14" s="221">
        <f>'Kafa Sayımı Veri Girişi'!DB88</f>
        <v>0</v>
      </c>
      <c r="DC14" s="302"/>
      <c r="DD14" s="304"/>
      <c r="DE14" s="221">
        <f>'Kafa Sayımı Veri Girişi'!DE88</f>
        <v>0</v>
      </c>
      <c r="DF14" s="221">
        <f>'Kafa Sayımı Veri Girişi'!DF88</f>
        <v>0</v>
      </c>
      <c r="DG14" s="221">
        <f>'Kafa Sayımı Veri Girişi'!DG88</f>
        <v>0</v>
      </c>
      <c r="DH14" s="221">
        <f>'Kafa Sayımı Veri Girişi'!DH88</f>
        <v>0</v>
      </c>
      <c r="DI14" s="221">
        <f>'Kafa Sayımı Veri Girişi'!DI88</f>
        <v>0</v>
      </c>
      <c r="DJ14" s="302"/>
      <c r="DK14" s="304"/>
      <c r="DL14" s="221">
        <f>'Kafa Sayımı Veri Girişi'!DL88</f>
        <v>0</v>
      </c>
      <c r="DM14" s="221">
        <f>'Kafa Sayımı Veri Girişi'!DM88</f>
        <v>0</v>
      </c>
      <c r="DN14" s="221">
        <f>'Kafa Sayımı Veri Girişi'!DN88</f>
        <v>0</v>
      </c>
      <c r="DO14" s="221">
        <f>'Kafa Sayımı Veri Girişi'!DO88</f>
        <v>0</v>
      </c>
      <c r="DP14" s="221">
        <f>'Kafa Sayımı Veri Girişi'!DP88</f>
        <v>0</v>
      </c>
      <c r="DQ14" s="302"/>
      <c r="DR14" s="304"/>
      <c r="DS14" s="221">
        <f>'Kafa Sayımı Veri Girişi'!DS88</f>
        <v>0</v>
      </c>
      <c r="DT14" s="221">
        <f>'Kafa Sayımı Veri Girişi'!DT88</f>
        <v>0</v>
      </c>
      <c r="DU14" s="221">
        <f>'Kafa Sayımı Veri Girişi'!DU88</f>
        <v>0</v>
      </c>
      <c r="DV14" s="221">
        <f>'Kafa Sayımı Veri Girişi'!DV88</f>
        <v>0</v>
      </c>
      <c r="DW14" s="221">
        <f>'Kafa Sayımı Veri Girişi'!DW88</f>
        <v>0</v>
      </c>
      <c r="DX14" s="302"/>
      <c r="DY14" s="304"/>
      <c r="DZ14" s="221">
        <f>'Kafa Sayımı Veri Girişi'!DZ88</f>
        <v>0</v>
      </c>
      <c r="EA14" s="221">
        <f>'Kafa Sayımı Veri Girişi'!EA88</f>
        <v>0</v>
      </c>
      <c r="EB14" s="221">
        <f>'Kafa Sayımı Veri Girişi'!EB88</f>
        <v>0</v>
      </c>
      <c r="EC14" s="221">
        <f>'Kafa Sayımı Veri Girişi'!EC88</f>
        <v>0</v>
      </c>
      <c r="ED14" s="221">
        <f>'Kafa Sayımı Veri Girişi'!ED88</f>
        <v>0</v>
      </c>
      <c r="EE14" s="302"/>
      <c r="EF14" s="304"/>
      <c r="EG14" s="221">
        <f>'Kafa Sayımı Veri Girişi'!EG88</f>
        <v>0</v>
      </c>
      <c r="EH14" s="221">
        <f>'Kafa Sayımı Veri Girişi'!EH88</f>
        <v>0</v>
      </c>
      <c r="EI14" s="221">
        <f>'Kafa Sayımı Veri Girişi'!EI88</f>
        <v>0</v>
      </c>
      <c r="EJ14" s="221">
        <f>'Kafa Sayımı Veri Girişi'!EJ88</f>
        <v>0</v>
      </c>
      <c r="EK14" s="221">
        <f>'Kafa Sayımı Veri Girişi'!EK88</f>
        <v>0</v>
      </c>
      <c r="EL14" s="302"/>
      <c r="EM14" s="304"/>
      <c r="EN14" s="221">
        <f>'Kafa Sayımı Veri Girişi'!EN88</f>
        <v>0</v>
      </c>
      <c r="EO14" s="221">
        <f>'Kafa Sayımı Veri Girişi'!EO88</f>
        <v>0</v>
      </c>
      <c r="EP14" s="221">
        <f>'Kafa Sayımı Veri Girişi'!EP88</f>
        <v>0</v>
      </c>
      <c r="EQ14" s="221">
        <f>'Kafa Sayımı Veri Girişi'!EQ88</f>
        <v>0</v>
      </c>
      <c r="ER14" s="221">
        <f>'Kafa Sayımı Veri Girişi'!ER88</f>
        <v>0</v>
      </c>
      <c r="ES14" s="302"/>
      <c r="ET14" s="304"/>
      <c r="EU14" s="221">
        <f>'Kafa Sayımı Veri Girişi'!EU88</f>
        <v>0</v>
      </c>
      <c r="EV14" s="221">
        <f>'Kafa Sayımı Veri Girişi'!EV88</f>
        <v>0</v>
      </c>
      <c r="EW14" s="221">
        <f>'Kafa Sayımı Veri Girişi'!EW88</f>
        <v>0</v>
      </c>
      <c r="EX14" s="221">
        <f>'Kafa Sayımı Veri Girişi'!EX88</f>
        <v>0</v>
      </c>
      <c r="EY14" s="221">
        <f>'Kafa Sayımı Veri Girişi'!EY88</f>
        <v>0</v>
      </c>
      <c r="EZ14" s="302"/>
      <c r="FA14" s="304"/>
      <c r="FB14" s="221">
        <f>'Kafa Sayımı Veri Girişi'!FB88</f>
        <v>0</v>
      </c>
      <c r="FC14" s="221">
        <f>'Kafa Sayımı Veri Girişi'!FC88</f>
        <v>0</v>
      </c>
      <c r="FD14" s="221">
        <f>'Kafa Sayımı Veri Girişi'!FD88</f>
        <v>0</v>
      </c>
      <c r="FE14" s="221">
        <f>'Kafa Sayımı Veri Girişi'!FE88</f>
        <v>0</v>
      </c>
      <c r="FF14" s="221">
        <f>'Kafa Sayımı Veri Girişi'!FF88</f>
        <v>0</v>
      </c>
      <c r="FG14" s="302"/>
      <c r="FH14" s="304"/>
      <c r="FI14" s="221">
        <f>'Kafa Sayımı Veri Girişi'!FI88</f>
        <v>0</v>
      </c>
      <c r="FJ14" s="221">
        <f>'Kafa Sayımı Veri Girişi'!FJ88</f>
        <v>0</v>
      </c>
      <c r="FK14" s="221">
        <f>'Kafa Sayımı Veri Girişi'!FK88</f>
        <v>0</v>
      </c>
      <c r="FL14" s="221">
        <f>'Kafa Sayımı Veri Girişi'!FL88</f>
        <v>0</v>
      </c>
      <c r="FM14" s="221">
        <f>'Kafa Sayımı Veri Girişi'!FM88</f>
        <v>0</v>
      </c>
      <c r="FN14" s="302"/>
      <c r="FO14" s="304"/>
      <c r="FP14" s="221">
        <f>'Kafa Sayımı Veri Girişi'!FP88</f>
        <v>0</v>
      </c>
      <c r="FQ14" s="221">
        <f>'Kafa Sayımı Veri Girişi'!FQ88</f>
        <v>0</v>
      </c>
      <c r="FR14" s="221">
        <f>'Kafa Sayımı Veri Girişi'!FR88</f>
        <v>0</v>
      </c>
      <c r="FS14" s="221">
        <f>'Kafa Sayımı Veri Girişi'!FS88</f>
        <v>0</v>
      </c>
      <c r="FT14" s="221">
        <f>'Kafa Sayımı Veri Girişi'!FT88</f>
        <v>0</v>
      </c>
      <c r="FU14" s="302"/>
      <c r="FV14" s="304"/>
      <c r="FW14" s="221">
        <f>'Kafa Sayımı Veri Girişi'!FW88</f>
        <v>0</v>
      </c>
      <c r="FX14" s="221">
        <f>'Kafa Sayımı Veri Girişi'!FX88</f>
        <v>0</v>
      </c>
      <c r="FY14" s="221">
        <f>'Kafa Sayımı Veri Girişi'!FY88</f>
        <v>0</v>
      </c>
      <c r="FZ14" s="221">
        <f>'Kafa Sayımı Veri Girişi'!FZ88</f>
        <v>0</v>
      </c>
      <c r="GA14" s="221">
        <f>'Kafa Sayımı Veri Girişi'!GA88</f>
        <v>0</v>
      </c>
      <c r="GB14" s="302"/>
      <c r="GC14" s="304"/>
      <c r="GD14" s="221">
        <f>'Kafa Sayımı Veri Girişi'!GD88</f>
        <v>0</v>
      </c>
      <c r="GE14" s="221">
        <f>'Kafa Sayımı Veri Girişi'!GE88</f>
        <v>0</v>
      </c>
      <c r="GF14" s="221">
        <f>'Kafa Sayımı Veri Girişi'!GF88</f>
        <v>0</v>
      </c>
      <c r="GG14" s="221">
        <f>'Kafa Sayımı Veri Girişi'!GG88</f>
        <v>0</v>
      </c>
      <c r="GH14" s="221">
        <f>'Kafa Sayımı Veri Girişi'!GH88</f>
        <v>0</v>
      </c>
      <c r="GI14" s="302"/>
      <c r="GJ14" s="304"/>
      <c r="GK14" s="221">
        <f>'Kafa Sayımı Veri Girişi'!GK88</f>
        <v>0</v>
      </c>
      <c r="GL14" s="221">
        <f>'Kafa Sayımı Veri Girişi'!GL88</f>
        <v>0</v>
      </c>
      <c r="GM14" s="221">
        <f>'Kafa Sayımı Veri Girişi'!GM88</f>
        <v>0</v>
      </c>
      <c r="GN14" s="221">
        <f>'Kafa Sayımı Veri Girişi'!GN88</f>
        <v>0</v>
      </c>
      <c r="GO14" s="221">
        <f>'Kafa Sayımı Veri Girişi'!GO88</f>
        <v>0</v>
      </c>
      <c r="GP14" s="302"/>
      <c r="GQ14" s="304"/>
      <c r="GR14" s="221">
        <f>'Kafa Sayımı Veri Girişi'!GR88</f>
        <v>0</v>
      </c>
      <c r="GS14" s="221">
        <f>'Kafa Sayımı Veri Girişi'!GS88</f>
        <v>0</v>
      </c>
      <c r="GT14" s="221">
        <f>'Kafa Sayımı Veri Girişi'!GT88</f>
        <v>0</v>
      </c>
      <c r="GU14" s="221">
        <f>'Kafa Sayımı Veri Girişi'!GU88</f>
        <v>0</v>
      </c>
      <c r="GV14" s="221">
        <f>'Kafa Sayımı Veri Girişi'!GV88</f>
        <v>0</v>
      </c>
      <c r="GW14" s="302"/>
      <c r="GX14" s="304"/>
      <c r="GY14" s="221">
        <f>'Kafa Sayımı Veri Girişi'!CJ88</f>
        <v>0</v>
      </c>
      <c r="GZ14" s="221">
        <f>'Kafa Sayımı Veri Girişi'!CK88</f>
        <v>0</v>
      </c>
      <c r="HA14" s="221">
        <f>'Kafa Sayımı Veri Girişi'!CL88</f>
        <v>0</v>
      </c>
      <c r="HB14" s="221">
        <f>'Kafa Sayımı Veri Girişi'!CM88</f>
        <v>0</v>
      </c>
      <c r="HC14" s="221">
        <f>'Kafa Sayımı Veri Girişi'!CN88</f>
        <v>0</v>
      </c>
      <c r="HD14" s="302"/>
      <c r="HE14" s="304"/>
      <c r="HF14" s="221">
        <f>'Kafa Sayımı Veri Girişi'!CQ88</f>
        <v>0</v>
      </c>
      <c r="HG14" s="221">
        <f>'Kafa Sayımı Veri Girişi'!CR88</f>
        <v>0</v>
      </c>
      <c r="HH14" s="221">
        <f>'Kafa Sayımı Veri Girişi'!CS88</f>
        <v>0</v>
      </c>
      <c r="HI14" s="221">
        <f>'Kafa Sayımı Veri Girişi'!CT88</f>
        <v>0</v>
      </c>
      <c r="HJ14" s="221">
        <f>'Kafa Sayımı Veri Girişi'!CU88</f>
        <v>0</v>
      </c>
      <c r="HK14" s="302"/>
      <c r="HL14" s="304"/>
      <c r="HM14" s="221">
        <f>'Kafa Sayımı Veri Girişi'!CX88</f>
        <v>0</v>
      </c>
      <c r="HN14" s="221">
        <f>'Kafa Sayımı Veri Girişi'!CY88</f>
        <v>0</v>
      </c>
      <c r="HO14" s="221">
        <f>'Kafa Sayımı Veri Girişi'!CZ88</f>
        <v>0</v>
      </c>
      <c r="HP14" s="221">
        <f>'Kafa Sayımı Veri Girişi'!DA88</f>
        <v>0</v>
      </c>
      <c r="HQ14" s="221">
        <f>'Kafa Sayımı Veri Girişi'!DB88</f>
        <v>0</v>
      </c>
      <c r="HR14" s="302"/>
      <c r="HS14" s="304"/>
      <c r="HT14" s="221">
        <f>'Kafa Sayımı Veri Girişi'!DE88</f>
        <v>0</v>
      </c>
      <c r="HU14" s="221">
        <f>'Kafa Sayımı Veri Girişi'!DF88</f>
        <v>0</v>
      </c>
      <c r="HV14" s="221">
        <f>'Kafa Sayımı Veri Girişi'!DG88</f>
        <v>0</v>
      </c>
      <c r="HW14" s="221">
        <f>'Kafa Sayımı Veri Girişi'!DH88</f>
        <v>0</v>
      </c>
      <c r="HX14" s="221">
        <f>'Kafa Sayımı Veri Girişi'!DI88</f>
        <v>0</v>
      </c>
      <c r="HY14" s="302"/>
      <c r="HZ14" s="304"/>
      <c r="IA14" s="221">
        <f>'Kafa Sayımı Veri Girişi'!DL88</f>
        <v>0</v>
      </c>
      <c r="IB14" s="221">
        <f>'Kafa Sayımı Veri Girişi'!DM88</f>
        <v>0</v>
      </c>
      <c r="IC14" s="221">
        <f>'Kafa Sayımı Veri Girişi'!DN88</f>
        <v>0</v>
      </c>
      <c r="ID14" s="221">
        <f>'Kafa Sayımı Veri Girişi'!DO88</f>
        <v>0</v>
      </c>
      <c r="IE14" s="221">
        <f>'Kafa Sayımı Veri Girişi'!DP88</f>
        <v>0</v>
      </c>
      <c r="IF14" s="302"/>
      <c r="IG14" s="304"/>
      <c r="IH14" s="221">
        <f>'Kafa Sayımı Veri Girişi'!DS88</f>
        <v>0</v>
      </c>
      <c r="II14" s="221">
        <f>'Kafa Sayımı Veri Girişi'!DT88</f>
        <v>0</v>
      </c>
      <c r="IJ14" s="221">
        <f>'Kafa Sayımı Veri Girişi'!DU88</f>
        <v>0</v>
      </c>
      <c r="IK14" s="221">
        <f>'Kafa Sayımı Veri Girişi'!DV88</f>
        <v>0</v>
      </c>
      <c r="IL14" s="221">
        <f>'Kafa Sayımı Veri Girişi'!DW88</f>
        <v>0</v>
      </c>
      <c r="IM14" s="302"/>
      <c r="IN14" s="304"/>
      <c r="IO14" s="221">
        <f>'Kafa Sayımı Veri Girişi'!DZ88</f>
        <v>0</v>
      </c>
      <c r="IP14" s="221">
        <f>'Kafa Sayımı Veri Girişi'!EA88</f>
        <v>0</v>
      </c>
      <c r="IQ14" s="221">
        <f>'Kafa Sayımı Veri Girişi'!EB88</f>
        <v>0</v>
      </c>
      <c r="IR14" s="221">
        <f>'Kafa Sayımı Veri Girişi'!EC88</f>
        <v>0</v>
      </c>
      <c r="IS14" s="221">
        <f>'Kafa Sayımı Veri Girişi'!ED88</f>
        <v>0</v>
      </c>
      <c r="IT14" s="302"/>
      <c r="IU14" s="304"/>
      <c r="IV14" s="221">
        <f>'Kafa Sayımı Veri Girişi'!EG88</f>
        <v>0</v>
      </c>
      <c r="IW14" s="221">
        <f>'Kafa Sayımı Veri Girişi'!EH88</f>
        <v>0</v>
      </c>
      <c r="IX14" s="221">
        <f>'Kafa Sayımı Veri Girişi'!EI88</f>
        <v>0</v>
      </c>
      <c r="IY14" s="221">
        <f>'Kafa Sayımı Veri Girişi'!EJ88</f>
        <v>0</v>
      </c>
      <c r="IZ14" s="221">
        <f>'Kafa Sayımı Veri Girişi'!EK88</f>
        <v>0</v>
      </c>
      <c r="JA14" s="302"/>
      <c r="JB14" s="304"/>
      <c r="JC14" s="221">
        <f>'Kafa Sayımı Veri Girişi'!EN88</f>
        <v>0</v>
      </c>
      <c r="JD14" s="221">
        <f>'Kafa Sayımı Veri Girişi'!EO88</f>
        <v>0</v>
      </c>
      <c r="JE14" s="221">
        <f>'Kafa Sayımı Veri Girişi'!EP88</f>
        <v>0</v>
      </c>
      <c r="JF14" s="221">
        <f>'Kafa Sayımı Veri Girişi'!EQ88</f>
        <v>0</v>
      </c>
      <c r="JG14" s="221">
        <f>'Kafa Sayımı Veri Girişi'!ER88</f>
        <v>0</v>
      </c>
      <c r="JH14" s="302"/>
      <c r="JI14" s="304"/>
      <c r="JJ14" s="221">
        <f>'Kafa Sayımı Veri Girişi'!EU88</f>
        <v>0</v>
      </c>
      <c r="JK14" s="221">
        <f>'Kafa Sayımı Veri Girişi'!EV88</f>
        <v>0</v>
      </c>
      <c r="JL14" s="221">
        <f>'Kafa Sayımı Veri Girişi'!EW88</f>
        <v>0</v>
      </c>
      <c r="JM14" s="221">
        <f>'Kafa Sayımı Veri Girişi'!EX88</f>
        <v>0</v>
      </c>
      <c r="JN14" s="221">
        <f>'Kafa Sayımı Veri Girişi'!EY88</f>
        <v>0</v>
      </c>
      <c r="JO14" s="302"/>
      <c r="JP14" s="304"/>
      <c r="JQ14" s="221">
        <f>'Kafa Sayımı Veri Girişi'!FB88</f>
        <v>0</v>
      </c>
      <c r="JR14" s="221">
        <f>'Kafa Sayımı Veri Girişi'!FC88</f>
        <v>0</v>
      </c>
      <c r="JS14" s="221">
        <f>'Kafa Sayımı Veri Girişi'!FD88</f>
        <v>0</v>
      </c>
      <c r="JT14" s="221">
        <f>'Kafa Sayımı Veri Girişi'!FE88</f>
        <v>0</v>
      </c>
      <c r="JU14" s="221">
        <f>'Kafa Sayımı Veri Girişi'!FF88</f>
        <v>0</v>
      </c>
      <c r="JV14" s="302"/>
      <c r="JW14" s="304"/>
      <c r="JX14" s="221">
        <f>'Kafa Sayımı Veri Girişi'!FI88</f>
        <v>0</v>
      </c>
      <c r="JY14" s="221">
        <f>'Kafa Sayımı Veri Girişi'!FJ88</f>
        <v>0</v>
      </c>
      <c r="JZ14" s="221">
        <f>'Kafa Sayımı Veri Girişi'!FK88</f>
        <v>0</v>
      </c>
      <c r="KA14" s="221">
        <f>'Kafa Sayımı Veri Girişi'!FL88</f>
        <v>0</v>
      </c>
      <c r="KB14" s="221">
        <f>'Kafa Sayımı Veri Girişi'!FM88</f>
        <v>0</v>
      </c>
      <c r="KC14" s="302"/>
      <c r="KD14" s="304"/>
      <c r="KE14" s="221">
        <f>'Kafa Sayımı Veri Girişi'!FP88</f>
        <v>0</v>
      </c>
      <c r="KF14" s="221">
        <f>'Kafa Sayımı Veri Girişi'!FQ88</f>
        <v>0</v>
      </c>
      <c r="KG14" s="221">
        <f>'Kafa Sayımı Veri Girişi'!FR88</f>
        <v>0</v>
      </c>
      <c r="KH14" s="221">
        <f>'Kafa Sayımı Veri Girişi'!FS88</f>
        <v>0</v>
      </c>
      <c r="KI14" s="221">
        <f>'Kafa Sayımı Veri Girişi'!FT88</f>
        <v>0</v>
      </c>
      <c r="KJ14" s="302"/>
      <c r="KK14" s="304"/>
      <c r="KL14" s="221">
        <f>'Kafa Sayımı Veri Girişi'!FW88</f>
        <v>0</v>
      </c>
      <c r="KM14" s="221">
        <f>'Kafa Sayımı Veri Girişi'!FX88</f>
        <v>0</v>
      </c>
      <c r="KN14" s="221">
        <f>'Kafa Sayımı Veri Girişi'!FY88</f>
        <v>0</v>
      </c>
      <c r="KO14" s="221">
        <f>'Kafa Sayımı Veri Girişi'!FZ88</f>
        <v>0</v>
      </c>
      <c r="KP14" s="221">
        <f>'Kafa Sayımı Veri Girişi'!GA88</f>
        <v>0</v>
      </c>
      <c r="KQ14" s="302"/>
      <c r="KR14" s="304"/>
      <c r="KS14" s="221">
        <f>'Kafa Sayımı Veri Girişi'!GD88</f>
        <v>0</v>
      </c>
      <c r="KT14" s="221">
        <f>'Kafa Sayımı Veri Girişi'!GE88</f>
        <v>0</v>
      </c>
      <c r="KU14" s="221">
        <f>'Kafa Sayımı Veri Girişi'!GF88</f>
        <v>0</v>
      </c>
      <c r="KV14" s="221">
        <f>'Kafa Sayımı Veri Girişi'!GG88</f>
        <v>0</v>
      </c>
      <c r="KW14" s="221">
        <f>'Kafa Sayımı Veri Girişi'!GH88</f>
        <v>0</v>
      </c>
      <c r="KX14" s="302"/>
      <c r="KY14" s="304"/>
      <c r="KZ14" s="221">
        <f>'Kafa Sayımı Veri Girişi'!GK88</f>
        <v>0</v>
      </c>
      <c r="LA14" s="221">
        <f>'Kafa Sayımı Veri Girişi'!GL88</f>
        <v>0</v>
      </c>
      <c r="LB14" s="221">
        <f>'Kafa Sayımı Veri Girişi'!GM88</f>
        <v>0</v>
      </c>
      <c r="LC14" s="221">
        <f>'Kafa Sayımı Veri Girişi'!GN88</f>
        <v>0</v>
      </c>
      <c r="LD14" s="221">
        <f>'Kafa Sayımı Veri Girişi'!GO88</f>
        <v>0</v>
      </c>
      <c r="LE14" s="302"/>
      <c r="LF14" s="304"/>
      <c r="LG14" s="221">
        <f>'Kafa Sayımı Veri Girişi'!GR88</f>
        <v>0</v>
      </c>
      <c r="LH14" s="221">
        <f>'Kafa Sayımı Veri Girişi'!GS88</f>
        <v>0</v>
      </c>
      <c r="LI14" s="221">
        <f>'Kafa Sayımı Veri Girişi'!GT88</f>
        <v>0</v>
      </c>
      <c r="LJ14" s="221">
        <f>'Kafa Sayımı Veri Girişi'!GU88</f>
        <v>0</v>
      </c>
      <c r="LK14" s="221">
        <f>'Kafa Sayımı Veri Girişi'!GV88</f>
        <v>0</v>
      </c>
      <c r="LL14" s="302"/>
      <c r="LM14" s="304"/>
      <c r="LN14" s="221">
        <f>'Kafa Sayımı Veri Girişi'!GY88</f>
        <v>0</v>
      </c>
      <c r="LO14" s="221">
        <f>'Kafa Sayımı Veri Girişi'!GZ88</f>
        <v>0</v>
      </c>
      <c r="LP14" s="221">
        <f>'Kafa Sayımı Veri Girişi'!HA88</f>
        <v>0</v>
      </c>
      <c r="LQ14" s="221">
        <f>'Kafa Sayımı Veri Girişi'!HB88</f>
        <v>0</v>
      </c>
      <c r="LR14" s="221">
        <f>'Kafa Sayımı Veri Girişi'!HC88</f>
        <v>0</v>
      </c>
      <c r="LS14" s="302"/>
      <c r="LT14" s="304"/>
      <c r="LU14" s="221">
        <f>'Kafa Sayımı Veri Girişi'!HF88</f>
        <v>0</v>
      </c>
      <c r="LV14" s="221">
        <f>'Kafa Sayımı Veri Girişi'!HG88</f>
        <v>0</v>
      </c>
      <c r="LW14" s="221">
        <f>'Kafa Sayımı Veri Girişi'!HH88</f>
        <v>0</v>
      </c>
      <c r="LX14" s="221">
        <f>'Kafa Sayımı Veri Girişi'!HI88</f>
        <v>0</v>
      </c>
      <c r="LY14" s="221">
        <f>'Kafa Sayımı Veri Girişi'!HJ88</f>
        <v>0</v>
      </c>
      <c r="LZ14" s="302"/>
      <c r="MA14" s="304"/>
      <c r="MB14" s="221">
        <f>'Kafa Sayımı Veri Girişi'!HM88</f>
        <v>0</v>
      </c>
      <c r="MC14" s="221">
        <f>'Kafa Sayımı Veri Girişi'!HN88</f>
        <v>0</v>
      </c>
      <c r="MD14" s="221">
        <f>'Kafa Sayımı Veri Girişi'!HO88</f>
        <v>0</v>
      </c>
      <c r="ME14" s="221">
        <f>'Kafa Sayımı Veri Girişi'!HP88</f>
        <v>0</v>
      </c>
      <c r="MF14" s="221">
        <f>'Kafa Sayımı Veri Girişi'!HQ88</f>
        <v>0</v>
      </c>
      <c r="MG14" s="302"/>
      <c r="MH14" s="304"/>
      <c r="MI14" s="221">
        <f>'Kafa Sayımı Veri Girişi'!HT88</f>
        <v>0</v>
      </c>
      <c r="MJ14" s="221">
        <f>'Kafa Sayımı Veri Girişi'!HU88</f>
        <v>0</v>
      </c>
      <c r="MK14" s="221">
        <f>'Kafa Sayımı Veri Girişi'!HV88</f>
        <v>0</v>
      </c>
      <c r="ML14" s="221">
        <f>'Kafa Sayımı Veri Girişi'!HW88</f>
        <v>0</v>
      </c>
      <c r="MM14" s="221">
        <f>'Kafa Sayımı Veri Girişi'!HX88</f>
        <v>0</v>
      </c>
      <c r="MN14" s="302"/>
      <c r="MO14" s="304"/>
      <c r="MP14" s="221">
        <f>'Kafa Sayımı Veri Girişi'!IA88</f>
        <v>0</v>
      </c>
      <c r="MQ14" s="221">
        <f>'Kafa Sayımı Veri Girişi'!IB88</f>
        <v>0</v>
      </c>
      <c r="MR14" s="221">
        <f>'Kafa Sayımı Veri Girişi'!IC88</f>
        <v>0</v>
      </c>
      <c r="MS14" s="221">
        <f>'Kafa Sayımı Veri Girişi'!ID88</f>
        <v>0</v>
      </c>
      <c r="MT14" s="221">
        <f>'Kafa Sayımı Veri Girişi'!IE88</f>
        <v>0</v>
      </c>
      <c r="MU14" s="302"/>
      <c r="MV14" s="304"/>
      <c r="MW14" s="221">
        <f>'Kafa Sayımı Veri Girişi'!IH88</f>
        <v>0</v>
      </c>
      <c r="MX14" s="221">
        <f>'Kafa Sayımı Veri Girişi'!II88</f>
        <v>0</v>
      </c>
      <c r="MY14" s="221">
        <f>'Kafa Sayımı Veri Girişi'!IJ88</f>
        <v>0</v>
      </c>
      <c r="MZ14" s="221">
        <f>'Kafa Sayımı Veri Girişi'!IK88</f>
        <v>0</v>
      </c>
      <c r="NA14" s="221">
        <f>'Kafa Sayımı Veri Girişi'!IL88</f>
        <v>0</v>
      </c>
      <c r="NB14" s="302"/>
      <c r="NC14" s="304"/>
      <c r="ND14" s="221">
        <f>'Kafa Sayımı Veri Girişi'!IO88</f>
        <v>0</v>
      </c>
      <c r="NE14" s="333">
        <f t="shared" si="0"/>
        <v>0</v>
      </c>
    </row>
    <row r="15" spans="1:1017" s="135" customFormat="1" ht="15" customHeight="1" thickBot="1">
      <c r="A15" s="303"/>
      <c r="B15" s="303"/>
      <c r="C15" s="131">
        <v>0.58333333333333304</v>
      </c>
      <c r="D15" s="221">
        <f>'Kafa Sayımı Veri Girişi'!D105</f>
        <v>0</v>
      </c>
      <c r="E15" s="221">
        <f>'Kafa Sayımı Veri Girişi'!E105</f>
        <v>0</v>
      </c>
      <c r="F15" s="221">
        <f>'Kafa Sayımı Veri Girişi'!F105</f>
        <v>0</v>
      </c>
      <c r="G15" s="221">
        <f>'Kafa Sayımı Veri Girişi'!G105</f>
        <v>0</v>
      </c>
      <c r="H15" s="221">
        <f>'Kafa Sayımı Veri Girişi'!H105</f>
        <v>0</v>
      </c>
      <c r="I15" s="302"/>
      <c r="J15" s="304"/>
      <c r="K15" s="221">
        <f>'Kafa Sayımı Veri Girişi'!K105</f>
        <v>0</v>
      </c>
      <c r="L15" s="221">
        <f>'Kafa Sayımı Veri Girişi'!L105</f>
        <v>0</v>
      </c>
      <c r="M15" s="221">
        <f>'Kafa Sayımı Veri Girişi'!M105</f>
        <v>0</v>
      </c>
      <c r="N15" s="221">
        <f>'Kafa Sayımı Veri Girişi'!N105</f>
        <v>0</v>
      </c>
      <c r="O15" s="221">
        <f>'Kafa Sayımı Veri Girişi'!O105</f>
        <v>0</v>
      </c>
      <c r="P15" s="302"/>
      <c r="Q15" s="304"/>
      <c r="R15" s="221">
        <f>'Kafa Sayımı Veri Girişi'!R105</f>
        <v>0</v>
      </c>
      <c r="S15" s="221">
        <f>'Kafa Sayımı Veri Girişi'!S105</f>
        <v>0</v>
      </c>
      <c r="T15" s="221">
        <f>'Kafa Sayımı Veri Girişi'!T105</f>
        <v>0</v>
      </c>
      <c r="U15" s="221">
        <f>'Kafa Sayımı Veri Girişi'!U105</f>
        <v>0</v>
      </c>
      <c r="V15" s="221">
        <f>'Kafa Sayımı Veri Girişi'!V105</f>
        <v>0</v>
      </c>
      <c r="W15" s="302"/>
      <c r="X15" s="304"/>
      <c r="Y15" s="221">
        <f>'Kafa Sayımı Veri Girişi'!Y105</f>
        <v>0</v>
      </c>
      <c r="Z15" s="221">
        <f>'Kafa Sayımı Veri Girişi'!Z105</f>
        <v>0</v>
      </c>
      <c r="AA15" s="221">
        <f>'Kafa Sayımı Veri Girişi'!AA105</f>
        <v>0</v>
      </c>
      <c r="AB15" s="221">
        <f>'Kafa Sayımı Veri Girişi'!AB105</f>
        <v>0</v>
      </c>
      <c r="AC15" s="221">
        <f>'Kafa Sayımı Veri Girişi'!AC105</f>
        <v>0</v>
      </c>
      <c r="AD15" s="302"/>
      <c r="AE15" s="304"/>
      <c r="AF15" s="221">
        <f>'Kafa Sayımı Veri Girişi'!AF105</f>
        <v>0</v>
      </c>
      <c r="AG15" s="221">
        <f>'Kafa Sayımı Veri Girişi'!AG105</f>
        <v>0</v>
      </c>
      <c r="AH15" s="221">
        <f>'Kafa Sayımı Veri Girişi'!AH105</f>
        <v>0</v>
      </c>
      <c r="AI15" s="221">
        <f>'Kafa Sayımı Veri Girişi'!AI105</f>
        <v>0</v>
      </c>
      <c r="AJ15" s="221">
        <f>'Kafa Sayımı Veri Girişi'!AJ105</f>
        <v>0</v>
      </c>
      <c r="AK15" s="302"/>
      <c r="AL15" s="304"/>
      <c r="AM15" s="221">
        <f>'Kafa Sayımı Veri Girişi'!AM105</f>
        <v>0</v>
      </c>
      <c r="AN15" s="221">
        <f>'Kafa Sayımı Veri Girişi'!AN105</f>
        <v>0</v>
      </c>
      <c r="AO15" s="221">
        <f>'Kafa Sayımı Veri Girişi'!AO105</f>
        <v>0</v>
      </c>
      <c r="AP15" s="221">
        <f>'Kafa Sayımı Veri Girişi'!AP105</f>
        <v>0</v>
      </c>
      <c r="AQ15" s="221">
        <f>'Kafa Sayımı Veri Girişi'!AQ105</f>
        <v>0</v>
      </c>
      <c r="AR15" s="302"/>
      <c r="AS15" s="304"/>
      <c r="AT15" s="221">
        <f>'Kafa Sayımı Veri Girişi'!AT105</f>
        <v>0</v>
      </c>
      <c r="AU15" s="221">
        <f>'Kafa Sayımı Veri Girişi'!AU105</f>
        <v>0</v>
      </c>
      <c r="AV15" s="221">
        <f>'Kafa Sayımı Veri Girişi'!AV105</f>
        <v>0</v>
      </c>
      <c r="AW15" s="221">
        <f>'Kafa Sayımı Veri Girişi'!AW105</f>
        <v>0</v>
      </c>
      <c r="AX15" s="221">
        <f>'Kafa Sayımı Veri Girişi'!AX105</f>
        <v>0</v>
      </c>
      <c r="AY15" s="302"/>
      <c r="AZ15" s="304"/>
      <c r="BA15" s="221">
        <f>'Kafa Sayımı Veri Girişi'!BA105</f>
        <v>0</v>
      </c>
      <c r="BB15" s="221">
        <f>'Kafa Sayımı Veri Girişi'!BB105</f>
        <v>0</v>
      </c>
      <c r="BC15" s="221">
        <f>'Kafa Sayımı Veri Girişi'!BC105</f>
        <v>0</v>
      </c>
      <c r="BD15" s="221">
        <f>'Kafa Sayımı Veri Girişi'!BD105</f>
        <v>0</v>
      </c>
      <c r="BE15" s="221">
        <f>'Kafa Sayımı Veri Girişi'!BE105</f>
        <v>0</v>
      </c>
      <c r="BF15" s="302"/>
      <c r="BG15" s="304"/>
      <c r="BH15" s="221">
        <f>'Kafa Sayımı Veri Girişi'!BH105</f>
        <v>0</v>
      </c>
      <c r="BI15" s="221">
        <f>'Kafa Sayımı Veri Girişi'!BI105</f>
        <v>0</v>
      </c>
      <c r="BJ15" s="221">
        <f>'Kafa Sayımı Veri Girişi'!BJ105</f>
        <v>0</v>
      </c>
      <c r="BK15" s="221">
        <f>'Kafa Sayımı Veri Girişi'!BK105</f>
        <v>0</v>
      </c>
      <c r="BL15" s="221">
        <f>'Kafa Sayımı Veri Girişi'!BL105</f>
        <v>0</v>
      </c>
      <c r="BM15" s="302"/>
      <c r="BN15" s="304"/>
      <c r="BO15" s="221">
        <f>'Kafa Sayımı Veri Girişi'!BO105</f>
        <v>0</v>
      </c>
      <c r="BP15" s="221">
        <f>'Kafa Sayımı Veri Girişi'!BP105</f>
        <v>0</v>
      </c>
      <c r="BQ15" s="221">
        <f>'Kafa Sayımı Veri Girişi'!BQ105</f>
        <v>0</v>
      </c>
      <c r="BR15" s="221">
        <f>'Kafa Sayımı Veri Girişi'!BR105</f>
        <v>0</v>
      </c>
      <c r="BS15" s="221">
        <f>'Kafa Sayımı Veri Girişi'!BS105</f>
        <v>0</v>
      </c>
      <c r="BT15" s="302"/>
      <c r="BU15" s="304"/>
      <c r="BV15" s="221">
        <f>'Kafa Sayımı Veri Girişi'!BV105</f>
        <v>0</v>
      </c>
      <c r="BW15" s="221">
        <f>'Kafa Sayımı Veri Girişi'!BW105</f>
        <v>0</v>
      </c>
      <c r="BX15" s="221">
        <f>'Kafa Sayımı Veri Girişi'!BX105</f>
        <v>0</v>
      </c>
      <c r="BY15" s="221">
        <f>'Kafa Sayımı Veri Girişi'!BY105</f>
        <v>0</v>
      </c>
      <c r="BZ15" s="221">
        <f>'Kafa Sayımı Veri Girişi'!BZ105</f>
        <v>0</v>
      </c>
      <c r="CA15" s="302"/>
      <c r="CB15" s="304"/>
      <c r="CC15" s="221">
        <f>'Kafa Sayımı Veri Girişi'!CC105</f>
        <v>0</v>
      </c>
      <c r="CD15" s="221">
        <f>'Kafa Sayımı Veri Girişi'!CD105</f>
        <v>0</v>
      </c>
      <c r="CE15" s="221">
        <f>'Kafa Sayımı Veri Girişi'!CE105</f>
        <v>0</v>
      </c>
      <c r="CF15" s="221">
        <f>'Kafa Sayımı Veri Girişi'!CF105</f>
        <v>0</v>
      </c>
      <c r="CG15" s="221">
        <f>'Kafa Sayımı Veri Girişi'!CG105</f>
        <v>0</v>
      </c>
      <c r="CH15" s="302"/>
      <c r="CI15" s="304"/>
      <c r="CJ15" s="221">
        <f>'Kafa Sayımı Veri Girişi'!CJ105</f>
        <v>0</v>
      </c>
      <c r="CK15" s="221">
        <f>'Kafa Sayımı Veri Girişi'!CK105</f>
        <v>0</v>
      </c>
      <c r="CL15" s="221">
        <f>'Kafa Sayımı Veri Girişi'!CL105</f>
        <v>0</v>
      </c>
      <c r="CM15" s="221">
        <f>'Kafa Sayımı Veri Girişi'!CM105</f>
        <v>0</v>
      </c>
      <c r="CN15" s="221">
        <f>'Kafa Sayımı Veri Girişi'!CN105</f>
        <v>0</v>
      </c>
      <c r="CO15" s="302"/>
      <c r="CP15" s="304"/>
      <c r="CQ15" s="221">
        <f>'Kafa Sayımı Veri Girişi'!CQ105</f>
        <v>0</v>
      </c>
      <c r="CR15" s="221">
        <f>'Kafa Sayımı Veri Girişi'!CR105</f>
        <v>0</v>
      </c>
      <c r="CS15" s="221">
        <f>'Kafa Sayımı Veri Girişi'!CS105</f>
        <v>0</v>
      </c>
      <c r="CT15" s="221">
        <f>'Kafa Sayımı Veri Girişi'!CT105</f>
        <v>0</v>
      </c>
      <c r="CU15" s="221">
        <f>'Kafa Sayımı Veri Girişi'!CU105</f>
        <v>0</v>
      </c>
      <c r="CV15" s="302"/>
      <c r="CW15" s="304"/>
      <c r="CX15" s="221">
        <f>'Kafa Sayımı Veri Girişi'!CX105</f>
        <v>0</v>
      </c>
      <c r="CY15" s="221">
        <f>'Kafa Sayımı Veri Girişi'!CY105</f>
        <v>0</v>
      </c>
      <c r="CZ15" s="221">
        <f>'Kafa Sayımı Veri Girişi'!CZ105</f>
        <v>0</v>
      </c>
      <c r="DA15" s="221">
        <f>'Kafa Sayımı Veri Girişi'!DA105</f>
        <v>0</v>
      </c>
      <c r="DB15" s="221">
        <f>'Kafa Sayımı Veri Girişi'!DB105</f>
        <v>0</v>
      </c>
      <c r="DC15" s="302"/>
      <c r="DD15" s="304"/>
      <c r="DE15" s="221">
        <f>'Kafa Sayımı Veri Girişi'!DE105</f>
        <v>0</v>
      </c>
      <c r="DF15" s="221">
        <f>'Kafa Sayımı Veri Girişi'!DF105</f>
        <v>0</v>
      </c>
      <c r="DG15" s="221">
        <f>'Kafa Sayımı Veri Girişi'!DG105</f>
        <v>0</v>
      </c>
      <c r="DH15" s="221">
        <f>'Kafa Sayımı Veri Girişi'!DH105</f>
        <v>0</v>
      </c>
      <c r="DI15" s="221">
        <f>'Kafa Sayımı Veri Girişi'!DI105</f>
        <v>0</v>
      </c>
      <c r="DJ15" s="302"/>
      <c r="DK15" s="304"/>
      <c r="DL15" s="221">
        <f>'Kafa Sayımı Veri Girişi'!DL105</f>
        <v>0</v>
      </c>
      <c r="DM15" s="221">
        <f>'Kafa Sayımı Veri Girişi'!DM105</f>
        <v>0</v>
      </c>
      <c r="DN15" s="221">
        <f>'Kafa Sayımı Veri Girişi'!DN105</f>
        <v>0</v>
      </c>
      <c r="DO15" s="221">
        <f>'Kafa Sayımı Veri Girişi'!DO105</f>
        <v>0</v>
      </c>
      <c r="DP15" s="221">
        <f>'Kafa Sayımı Veri Girişi'!DP105</f>
        <v>0</v>
      </c>
      <c r="DQ15" s="302"/>
      <c r="DR15" s="304"/>
      <c r="DS15" s="221">
        <f>'Kafa Sayımı Veri Girişi'!DS105</f>
        <v>0</v>
      </c>
      <c r="DT15" s="221">
        <f>'Kafa Sayımı Veri Girişi'!DT105</f>
        <v>0</v>
      </c>
      <c r="DU15" s="221">
        <f>'Kafa Sayımı Veri Girişi'!DU105</f>
        <v>0</v>
      </c>
      <c r="DV15" s="221">
        <f>'Kafa Sayımı Veri Girişi'!DV105</f>
        <v>0</v>
      </c>
      <c r="DW15" s="221">
        <f>'Kafa Sayımı Veri Girişi'!DW105</f>
        <v>0</v>
      </c>
      <c r="DX15" s="302"/>
      <c r="DY15" s="304"/>
      <c r="DZ15" s="221">
        <f>'Kafa Sayımı Veri Girişi'!DZ105</f>
        <v>0</v>
      </c>
      <c r="EA15" s="221">
        <f>'Kafa Sayımı Veri Girişi'!EA105</f>
        <v>0</v>
      </c>
      <c r="EB15" s="221">
        <f>'Kafa Sayımı Veri Girişi'!EB105</f>
        <v>0</v>
      </c>
      <c r="EC15" s="221">
        <f>'Kafa Sayımı Veri Girişi'!EC105</f>
        <v>0</v>
      </c>
      <c r="ED15" s="221">
        <f>'Kafa Sayımı Veri Girişi'!ED105</f>
        <v>0</v>
      </c>
      <c r="EE15" s="302"/>
      <c r="EF15" s="304"/>
      <c r="EG15" s="221">
        <f>'Kafa Sayımı Veri Girişi'!EG105</f>
        <v>0</v>
      </c>
      <c r="EH15" s="221">
        <f>'Kafa Sayımı Veri Girişi'!EH105</f>
        <v>0</v>
      </c>
      <c r="EI15" s="221">
        <f>'Kafa Sayımı Veri Girişi'!EI105</f>
        <v>0</v>
      </c>
      <c r="EJ15" s="221">
        <f>'Kafa Sayımı Veri Girişi'!EJ105</f>
        <v>0</v>
      </c>
      <c r="EK15" s="221">
        <f>'Kafa Sayımı Veri Girişi'!EK105</f>
        <v>0</v>
      </c>
      <c r="EL15" s="302"/>
      <c r="EM15" s="304"/>
      <c r="EN15" s="221">
        <f>'Kafa Sayımı Veri Girişi'!EN105</f>
        <v>0</v>
      </c>
      <c r="EO15" s="221">
        <f>'Kafa Sayımı Veri Girişi'!EO105</f>
        <v>0</v>
      </c>
      <c r="EP15" s="221">
        <f>'Kafa Sayımı Veri Girişi'!EP105</f>
        <v>0</v>
      </c>
      <c r="EQ15" s="221">
        <f>'Kafa Sayımı Veri Girişi'!EQ105</f>
        <v>0</v>
      </c>
      <c r="ER15" s="221">
        <f>'Kafa Sayımı Veri Girişi'!ER105</f>
        <v>0</v>
      </c>
      <c r="ES15" s="302"/>
      <c r="ET15" s="304"/>
      <c r="EU15" s="221">
        <f>'Kafa Sayımı Veri Girişi'!EU105</f>
        <v>0</v>
      </c>
      <c r="EV15" s="221">
        <f>'Kafa Sayımı Veri Girişi'!EV105</f>
        <v>0</v>
      </c>
      <c r="EW15" s="221">
        <f>'Kafa Sayımı Veri Girişi'!EW105</f>
        <v>0</v>
      </c>
      <c r="EX15" s="221">
        <f>'Kafa Sayımı Veri Girişi'!EX105</f>
        <v>0</v>
      </c>
      <c r="EY15" s="221">
        <f>'Kafa Sayımı Veri Girişi'!EY105</f>
        <v>0</v>
      </c>
      <c r="EZ15" s="302"/>
      <c r="FA15" s="304"/>
      <c r="FB15" s="221">
        <f>'Kafa Sayımı Veri Girişi'!FB105</f>
        <v>0</v>
      </c>
      <c r="FC15" s="221">
        <f>'Kafa Sayımı Veri Girişi'!FC105</f>
        <v>0</v>
      </c>
      <c r="FD15" s="221">
        <f>'Kafa Sayımı Veri Girişi'!FD105</f>
        <v>0</v>
      </c>
      <c r="FE15" s="221">
        <f>'Kafa Sayımı Veri Girişi'!FE105</f>
        <v>0</v>
      </c>
      <c r="FF15" s="221">
        <f>'Kafa Sayımı Veri Girişi'!FF105</f>
        <v>0</v>
      </c>
      <c r="FG15" s="302"/>
      <c r="FH15" s="304"/>
      <c r="FI15" s="221">
        <f>'Kafa Sayımı Veri Girişi'!FI105</f>
        <v>0</v>
      </c>
      <c r="FJ15" s="221">
        <f>'Kafa Sayımı Veri Girişi'!FJ105</f>
        <v>0</v>
      </c>
      <c r="FK15" s="221">
        <f>'Kafa Sayımı Veri Girişi'!FK105</f>
        <v>0</v>
      </c>
      <c r="FL15" s="221">
        <f>'Kafa Sayımı Veri Girişi'!FL105</f>
        <v>0</v>
      </c>
      <c r="FM15" s="221">
        <f>'Kafa Sayımı Veri Girişi'!FM105</f>
        <v>0</v>
      </c>
      <c r="FN15" s="302"/>
      <c r="FO15" s="304"/>
      <c r="FP15" s="221">
        <f>'Kafa Sayımı Veri Girişi'!FP105</f>
        <v>0</v>
      </c>
      <c r="FQ15" s="221">
        <f>'Kafa Sayımı Veri Girişi'!FQ105</f>
        <v>0</v>
      </c>
      <c r="FR15" s="221">
        <f>'Kafa Sayımı Veri Girişi'!FR105</f>
        <v>0</v>
      </c>
      <c r="FS15" s="221">
        <f>'Kafa Sayımı Veri Girişi'!FS105</f>
        <v>0</v>
      </c>
      <c r="FT15" s="221">
        <f>'Kafa Sayımı Veri Girişi'!FT105</f>
        <v>0</v>
      </c>
      <c r="FU15" s="302"/>
      <c r="FV15" s="304"/>
      <c r="FW15" s="221">
        <f>'Kafa Sayımı Veri Girişi'!FW105</f>
        <v>0</v>
      </c>
      <c r="FX15" s="221">
        <f>'Kafa Sayımı Veri Girişi'!FX105</f>
        <v>0</v>
      </c>
      <c r="FY15" s="221">
        <f>'Kafa Sayımı Veri Girişi'!FY105</f>
        <v>0</v>
      </c>
      <c r="FZ15" s="221">
        <f>'Kafa Sayımı Veri Girişi'!FZ105</f>
        <v>0</v>
      </c>
      <c r="GA15" s="221">
        <f>'Kafa Sayımı Veri Girişi'!GA105</f>
        <v>0</v>
      </c>
      <c r="GB15" s="302"/>
      <c r="GC15" s="304"/>
      <c r="GD15" s="221">
        <f>'Kafa Sayımı Veri Girişi'!GD105</f>
        <v>0</v>
      </c>
      <c r="GE15" s="221">
        <f>'Kafa Sayımı Veri Girişi'!GE105</f>
        <v>0</v>
      </c>
      <c r="GF15" s="221">
        <f>'Kafa Sayımı Veri Girişi'!GF105</f>
        <v>0</v>
      </c>
      <c r="GG15" s="221">
        <f>'Kafa Sayımı Veri Girişi'!GG105</f>
        <v>0</v>
      </c>
      <c r="GH15" s="221">
        <f>'Kafa Sayımı Veri Girişi'!GH105</f>
        <v>0</v>
      </c>
      <c r="GI15" s="302"/>
      <c r="GJ15" s="304"/>
      <c r="GK15" s="221">
        <f>'Kafa Sayımı Veri Girişi'!GK105</f>
        <v>0</v>
      </c>
      <c r="GL15" s="221">
        <f>'Kafa Sayımı Veri Girişi'!GL105</f>
        <v>0</v>
      </c>
      <c r="GM15" s="221">
        <f>'Kafa Sayımı Veri Girişi'!GM105</f>
        <v>0</v>
      </c>
      <c r="GN15" s="221">
        <f>'Kafa Sayımı Veri Girişi'!GN105</f>
        <v>0</v>
      </c>
      <c r="GO15" s="221">
        <f>'Kafa Sayımı Veri Girişi'!GO105</f>
        <v>0</v>
      </c>
      <c r="GP15" s="302"/>
      <c r="GQ15" s="304"/>
      <c r="GR15" s="221">
        <f>'Kafa Sayımı Veri Girişi'!GR105</f>
        <v>0</v>
      </c>
      <c r="GS15" s="221">
        <f>'Kafa Sayımı Veri Girişi'!GS105</f>
        <v>0</v>
      </c>
      <c r="GT15" s="221">
        <f>'Kafa Sayımı Veri Girişi'!GT105</f>
        <v>0</v>
      </c>
      <c r="GU15" s="221">
        <f>'Kafa Sayımı Veri Girişi'!GU105</f>
        <v>0</v>
      </c>
      <c r="GV15" s="221">
        <f>'Kafa Sayımı Veri Girişi'!GV105</f>
        <v>0</v>
      </c>
      <c r="GW15" s="302"/>
      <c r="GX15" s="304"/>
      <c r="GY15" s="221">
        <f>'Kafa Sayımı Veri Girişi'!CJ105</f>
        <v>0</v>
      </c>
      <c r="GZ15" s="221">
        <f>'Kafa Sayımı Veri Girişi'!CK105</f>
        <v>0</v>
      </c>
      <c r="HA15" s="221">
        <f>'Kafa Sayımı Veri Girişi'!CL105</f>
        <v>0</v>
      </c>
      <c r="HB15" s="221">
        <f>'Kafa Sayımı Veri Girişi'!CM105</f>
        <v>0</v>
      </c>
      <c r="HC15" s="221">
        <f>'Kafa Sayımı Veri Girişi'!CN105</f>
        <v>0</v>
      </c>
      <c r="HD15" s="302"/>
      <c r="HE15" s="304"/>
      <c r="HF15" s="221">
        <f>'Kafa Sayımı Veri Girişi'!CQ105</f>
        <v>0</v>
      </c>
      <c r="HG15" s="221">
        <f>'Kafa Sayımı Veri Girişi'!CR105</f>
        <v>0</v>
      </c>
      <c r="HH15" s="221">
        <f>'Kafa Sayımı Veri Girişi'!CS105</f>
        <v>0</v>
      </c>
      <c r="HI15" s="221">
        <f>'Kafa Sayımı Veri Girişi'!CT105</f>
        <v>0</v>
      </c>
      <c r="HJ15" s="221">
        <f>'Kafa Sayımı Veri Girişi'!CU105</f>
        <v>0</v>
      </c>
      <c r="HK15" s="302"/>
      <c r="HL15" s="304"/>
      <c r="HM15" s="221">
        <f>'Kafa Sayımı Veri Girişi'!CX105</f>
        <v>0</v>
      </c>
      <c r="HN15" s="221">
        <f>'Kafa Sayımı Veri Girişi'!CY105</f>
        <v>0</v>
      </c>
      <c r="HO15" s="221">
        <f>'Kafa Sayımı Veri Girişi'!CZ105</f>
        <v>0</v>
      </c>
      <c r="HP15" s="221">
        <f>'Kafa Sayımı Veri Girişi'!DA105</f>
        <v>0</v>
      </c>
      <c r="HQ15" s="221">
        <f>'Kafa Sayımı Veri Girişi'!DB105</f>
        <v>0</v>
      </c>
      <c r="HR15" s="302"/>
      <c r="HS15" s="304"/>
      <c r="HT15" s="221">
        <f>'Kafa Sayımı Veri Girişi'!DE105</f>
        <v>0</v>
      </c>
      <c r="HU15" s="221">
        <f>'Kafa Sayımı Veri Girişi'!DF105</f>
        <v>0</v>
      </c>
      <c r="HV15" s="221">
        <f>'Kafa Sayımı Veri Girişi'!DG105</f>
        <v>0</v>
      </c>
      <c r="HW15" s="221">
        <f>'Kafa Sayımı Veri Girişi'!DH105</f>
        <v>0</v>
      </c>
      <c r="HX15" s="221">
        <f>'Kafa Sayımı Veri Girişi'!DI105</f>
        <v>0</v>
      </c>
      <c r="HY15" s="302"/>
      <c r="HZ15" s="304"/>
      <c r="IA15" s="221">
        <f>'Kafa Sayımı Veri Girişi'!DL105</f>
        <v>0</v>
      </c>
      <c r="IB15" s="221">
        <f>'Kafa Sayımı Veri Girişi'!DM105</f>
        <v>0</v>
      </c>
      <c r="IC15" s="221">
        <f>'Kafa Sayımı Veri Girişi'!DN105</f>
        <v>0</v>
      </c>
      <c r="ID15" s="221">
        <f>'Kafa Sayımı Veri Girişi'!DO105</f>
        <v>0</v>
      </c>
      <c r="IE15" s="221">
        <f>'Kafa Sayımı Veri Girişi'!DP105</f>
        <v>0</v>
      </c>
      <c r="IF15" s="302"/>
      <c r="IG15" s="304"/>
      <c r="IH15" s="221">
        <f>'Kafa Sayımı Veri Girişi'!DS105</f>
        <v>0</v>
      </c>
      <c r="II15" s="221">
        <f>'Kafa Sayımı Veri Girişi'!DT105</f>
        <v>0</v>
      </c>
      <c r="IJ15" s="221">
        <f>'Kafa Sayımı Veri Girişi'!DU105</f>
        <v>0</v>
      </c>
      <c r="IK15" s="221">
        <f>'Kafa Sayımı Veri Girişi'!DV105</f>
        <v>0</v>
      </c>
      <c r="IL15" s="221">
        <f>'Kafa Sayımı Veri Girişi'!DW105</f>
        <v>0</v>
      </c>
      <c r="IM15" s="302"/>
      <c r="IN15" s="304"/>
      <c r="IO15" s="221">
        <f>'Kafa Sayımı Veri Girişi'!DZ105</f>
        <v>0</v>
      </c>
      <c r="IP15" s="221">
        <f>'Kafa Sayımı Veri Girişi'!EA105</f>
        <v>0</v>
      </c>
      <c r="IQ15" s="221">
        <f>'Kafa Sayımı Veri Girişi'!EB105</f>
        <v>0</v>
      </c>
      <c r="IR15" s="221">
        <f>'Kafa Sayımı Veri Girişi'!EC105</f>
        <v>0</v>
      </c>
      <c r="IS15" s="221">
        <f>'Kafa Sayımı Veri Girişi'!ED105</f>
        <v>0</v>
      </c>
      <c r="IT15" s="302"/>
      <c r="IU15" s="304"/>
      <c r="IV15" s="221">
        <f>'Kafa Sayımı Veri Girişi'!EG105</f>
        <v>0</v>
      </c>
      <c r="IW15" s="221">
        <f>'Kafa Sayımı Veri Girişi'!EH105</f>
        <v>0</v>
      </c>
      <c r="IX15" s="221">
        <f>'Kafa Sayımı Veri Girişi'!EI105</f>
        <v>0</v>
      </c>
      <c r="IY15" s="221">
        <f>'Kafa Sayımı Veri Girişi'!EJ105</f>
        <v>0</v>
      </c>
      <c r="IZ15" s="221">
        <f>'Kafa Sayımı Veri Girişi'!EK105</f>
        <v>0</v>
      </c>
      <c r="JA15" s="302"/>
      <c r="JB15" s="304"/>
      <c r="JC15" s="221">
        <f>'Kafa Sayımı Veri Girişi'!EN105</f>
        <v>0</v>
      </c>
      <c r="JD15" s="221">
        <f>'Kafa Sayımı Veri Girişi'!EO105</f>
        <v>0</v>
      </c>
      <c r="JE15" s="221">
        <f>'Kafa Sayımı Veri Girişi'!EP105</f>
        <v>0</v>
      </c>
      <c r="JF15" s="221">
        <f>'Kafa Sayımı Veri Girişi'!EQ105</f>
        <v>0</v>
      </c>
      <c r="JG15" s="221">
        <f>'Kafa Sayımı Veri Girişi'!ER105</f>
        <v>0</v>
      </c>
      <c r="JH15" s="302"/>
      <c r="JI15" s="304"/>
      <c r="JJ15" s="221">
        <f>'Kafa Sayımı Veri Girişi'!EU105</f>
        <v>0</v>
      </c>
      <c r="JK15" s="221">
        <f>'Kafa Sayımı Veri Girişi'!EV105</f>
        <v>0</v>
      </c>
      <c r="JL15" s="221">
        <f>'Kafa Sayımı Veri Girişi'!EW105</f>
        <v>0</v>
      </c>
      <c r="JM15" s="221">
        <f>'Kafa Sayımı Veri Girişi'!EX105</f>
        <v>0</v>
      </c>
      <c r="JN15" s="221">
        <f>'Kafa Sayımı Veri Girişi'!EY105</f>
        <v>0</v>
      </c>
      <c r="JO15" s="302"/>
      <c r="JP15" s="304"/>
      <c r="JQ15" s="221">
        <f>'Kafa Sayımı Veri Girişi'!FB105</f>
        <v>0</v>
      </c>
      <c r="JR15" s="221">
        <f>'Kafa Sayımı Veri Girişi'!FC105</f>
        <v>0</v>
      </c>
      <c r="JS15" s="221">
        <f>'Kafa Sayımı Veri Girişi'!FD105</f>
        <v>0</v>
      </c>
      <c r="JT15" s="221">
        <f>'Kafa Sayımı Veri Girişi'!FE105</f>
        <v>0</v>
      </c>
      <c r="JU15" s="221">
        <f>'Kafa Sayımı Veri Girişi'!FF105</f>
        <v>0</v>
      </c>
      <c r="JV15" s="302"/>
      <c r="JW15" s="304"/>
      <c r="JX15" s="221">
        <f>'Kafa Sayımı Veri Girişi'!FI105</f>
        <v>0</v>
      </c>
      <c r="JY15" s="221">
        <f>'Kafa Sayımı Veri Girişi'!FJ105</f>
        <v>0</v>
      </c>
      <c r="JZ15" s="221">
        <f>'Kafa Sayımı Veri Girişi'!FK105</f>
        <v>0</v>
      </c>
      <c r="KA15" s="221">
        <f>'Kafa Sayımı Veri Girişi'!FL105</f>
        <v>0</v>
      </c>
      <c r="KB15" s="221">
        <f>'Kafa Sayımı Veri Girişi'!FM105</f>
        <v>0</v>
      </c>
      <c r="KC15" s="302"/>
      <c r="KD15" s="304"/>
      <c r="KE15" s="221">
        <f>'Kafa Sayımı Veri Girişi'!FP105</f>
        <v>0</v>
      </c>
      <c r="KF15" s="221">
        <f>'Kafa Sayımı Veri Girişi'!FQ105</f>
        <v>0</v>
      </c>
      <c r="KG15" s="221">
        <f>'Kafa Sayımı Veri Girişi'!FR105</f>
        <v>0</v>
      </c>
      <c r="KH15" s="221">
        <f>'Kafa Sayımı Veri Girişi'!FS105</f>
        <v>0</v>
      </c>
      <c r="KI15" s="221">
        <f>'Kafa Sayımı Veri Girişi'!FT105</f>
        <v>0</v>
      </c>
      <c r="KJ15" s="302"/>
      <c r="KK15" s="304"/>
      <c r="KL15" s="221">
        <f>'Kafa Sayımı Veri Girişi'!FW105</f>
        <v>0</v>
      </c>
      <c r="KM15" s="221">
        <f>'Kafa Sayımı Veri Girişi'!FX105</f>
        <v>0</v>
      </c>
      <c r="KN15" s="221">
        <f>'Kafa Sayımı Veri Girişi'!FY105</f>
        <v>0</v>
      </c>
      <c r="KO15" s="221">
        <f>'Kafa Sayımı Veri Girişi'!FZ105</f>
        <v>0</v>
      </c>
      <c r="KP15" s="221">
        <f>'Kafa Sayımı Veri Girişi'!GA105</f>
        <v>0</v>
      </c>
      <c r="KQ15" s="302"/>
      <c r="KR15" s="304"/>
      <c r="KS15" s="221">
        <f>'Kafa Sayımı Veri Girişi'!GD105</f>
        <v>0</v>
      </c>
      <c r="KT15" s="221">
        <f>'Kafa Sayımı Veri Girişi'!GE105</f>
        <v>0</v>
      </c>
      <c r="KU15" s="221">
        <f>'Kafa Sayımı Veri Girişi'!GF105</f>
        <v>0</v>
      </c>
      <c r="KV15" s="221">
        <f>'Kafa Sayımı Veri Girişi'!GG105</f>
        <v>0</v>
      </c>
      <c r="KW15" s="221">
        <f>'Kafa Sayımı Veri Girişi'!GH105</f>
        <v>0</v>
      </c>
      <c r="KX15" s="302"/>
      <c r="KY15" s="304"/>
      <c r="KZ15" s="221">
        <f>'Kafa Sayımı Veri Girişi'!GK105</f>
        <v>0</v>
      </c>
      <c r="LA15" s="221">
        <f>'Kafa Sayımı Veri Girişi'!GL105</f>
        <v>0</v>
      </c>
      <c r="LB15" s="221">
        <f>'Kafa Sayımı Veri Girişi'!GM105</f>
        <v>0</v>
      </c>
      <c r="LC15" s="221">
        <f>'Kafa Sayımı Veri Girişi'!GN105</f>
        <v>0</v>
      </c>
      <c r="LD15" s="221">
        <f>'Kafa Sayımı Veri Girişi'!GO105</f>
        <v>0</v>
      </c>
      <c r="LE15" s="302"/>
      <c r="LF15" s="304"/>
      <c r="LG15" s="221">
        <f>'Kafa Sayımı Veri Girişi'!GR105</f>
        <v>0</v>
      </c>
      <c r="LH15" s="221">
        <f>'Kafa Sayımı Veri Girişi'!GS105</f>
        <v>0</v>
      </c>
      <c r="LI15" s="221">
        <f>'Kafa Sayımı Veri Girişi'!GT105</f>
        <v>0</v>
      </c>
      <c r="LJ15" s="221">
        <f>'Kafa Sayımı Veri Girişi'!GU105</f>
        <v>0</v>
      </c>
      <c r="LK15" s="221">
        <f>'Kafa Sayımı Veri Girişi'!GV105</f>
        <v>0</v>
      </c>
      <c r="LL15" s="302"/>
      <c r="LM15" s="304"/>
      <c r="LN15" s="221">
        <f>'Kafa Sayımı Veri Girişi'!GY105</f>
        <v>0</v>
      </c>
      <c r="LO15" s="221">
        <f>'Kafa Sayımı Veri Girişi'!GZ105</f>
        <v>0</v>
      </c>
      <c r="LP15" s="221">
        <f>'Kafa Sayımı Veri Girişi'!HA105</f>
        <v>0</v>
      </c>
      <c r="LQ15" s="221">
        <f>'Kafa Sayımı Veri Girişi'!HB105</f>
        <v>0</v>
      </c>
      <c r="LR15" s="221">
        <f>'Kafa Sayımı Veri Girişi'!HC105</f>
        <v>0</v>
      </c>
      <c r="LS15" s="302"/>
      <c r="LT15" s="304"/>
      <c r="LU15" s="221">
        <f>'Kafa Sayımı Veri Girişi'!HF105</f>
        <v>0</v>
      </c>
      <c r="LV15" s="221">
        <f>'Kafa Sayımı Veri Girişi'!HG105</f>
        <v>0</v>
      </c>
      <c r="LW15" s="221">
        <f>'Kafa Sayımı Veri Girişi'!HH105</f>
        <v>0</v>
      </c>
      <c r="LX15" s="221">
        <f>'Kafa Sayımı Veri Girişi'!HI105</f>
        <v>0</v>
      </c>
      <c r="LY15" s="221">
        <f>'Kafa Sayımı Veri Girişi'!HJ105</f>
        <v>0</v>
      </c>
      <c r="LZ15" s="302"/>
      <c r="MA15" s="304"/>
      <c r="MB15" s="221">
        <f>'Kafa Sayımı Veri Girişi'!HM105</f>
        <v>0</v>
      </c>
      <c r="MC15" s="221">
        <f>'Kafa Sayımı Veri Girişi'!HN105</f>
        <v>0</v>
      </c>
      <c r="MD15" s="221">
        <f>'Kafa Sayımı Veri Girişi'!HO105</f>
        <v>0</v>
      </c>
      <c r="ME15" s="221">
        <f>'Kafa Sayımı Veri Girişi'!HP105</f>
        <v>0</v>
      </c>
      <c r="MF15" s="221">
        <f>'Kafa Sayımı Veri Girişi'!HQ105</f>
        <v>0</v>
      </c>
      <c r="MG15" s="302"/>
      <c r="MH15" s="304"/>
      <c r="MI15" s="221">
        <f>'Kafa Sayımı Veri Girişi'!HT105</f>
        <v>0</v>
      </c>
      <c r="MJ15" s="221">
        <f>'Kafa Sayımı Veri Girişi'!HU105</f>
        <v>0</v>
      </c>
      <c r="MK15" s="221">
        <f>'Kafa Sayımı Veri Girişi'!HV105</f>
        <v>0</v>
      </c>
      <c r="ML15" s="221">
        <f>'Kafa Sayımı Veri Girişi'!HW105</f>
        <v>0</v>
      </c>
      <c r="MM15" s="221">
        <f>'Kafa Sayımı Veri Girişi'!HX105</f>
        <v>0</v>
      </c>
      <c r="MN15" s="302"/>
      <c r="MO15" s="304"/>
      <c r="MP15" s="221">
        <f>'Kafa Sayımı Veri Girişi'!IA105</f>
        <v>0</v>
      </c>
      <c r="MQ15" s="221">
        <f>'Kafa Sayımı Veri Girişi'!IB105</f>
        <v>0</v>
      </c>
      <c r="MR15" s="221">
        <f>'Kafa Sayımı Veri Girişi'!IC105</f>
        <v>0</v>
      </c>
      <c r="MS15" s="221">
        <f>'Kafa Sayımı Veri Girişi'!ID105</f>
        <v>0</v>
      </c>
      <c r="MT15" s="221">
        <f>'Kafa Sayımı Veri Girişi'!IE105</f>
        <v>0</v>
      </c>
      <c r="MU15" s="302"/>
      <c r="MV15" s="304"/>
      <c r="MW15" s="221">
        <f>'Kafa Sayımı Veri Girişi'!IH105</f>
        <v>0</v>
      </c>
      <c r="MX15" s="221">
        <f>'Kafa Sayımı Veri Girişi'!II105</f>
        <v>0</v>
      </c>
      <c r="MY15" s="221">
        <f>'Kafa Sayımı Veri Girişi'!IJ105</f>
        <v>0</v>
      </c>
      <c r="MZ15" s="221">
        <f>'Kafa Sayımı Veri Girişi'!IK105</f>
        <v>0</v>
      </c>
      <c r="NA15" s="221">
        <f>'Kafa Sayımı Veri Girişi'!IL105</f>
        <v>0</v>
      </c>
      <c r="NB15" s="302"/>
      <c r="NC15" s="304"/>
      <c r="ND15" s="221">
        <f>'Kafa Sayımı Veri Girişi'!IO105</f>
        <v>0</v>
      </c>
      <c r="NE15" s="333">
        <f t="shared" si="0"/>
        <v>0</v>
      </c>
      <c r="NF15" s="303"/>
      <c r="NG15" s="303"/>
      <c r="NH15" s="303"/>
      <c r="NI15" s="303"/>
      <c r="NJ15" s="303"/>
      <c r="NK15" s="303"/>
      <c r="NL15" s="303"/>
      <c r="NM15" s="303"/>
      <c r="NN15" s="303"/>
      <c r="NO15" s="303"/>
      <c r="NP15" s="303"/>
      <c r="NQ15" s="303"/>
      <c r="NR15" s="303"/>
      <c r="NS15" s="303"/>
      <c r="NT15" s="303"/>
      <c r="NU15" s="303"/>
      <c r="NV15" s="303"/>
      <c r="NW15" s="303"/>
      <c r="NX15" s="303"/>
      <c r="NY15" s="303"/>
      <c r="NZ15" s="303"/>
      <c r="OA15" s="303"/>
      <c r="OB15" s="303"/>
      <c r="OC15" s="303"/>
      <c r="OD15" s="303"/>
      <c r="OE15" s="303"/>
      <c r="OF15" s="303"/>
      <c r="OG15" s="303"/>
      <c r="OH15" s="303"/>
      <c r="OI15" s="303"/>
      <c r="OJ15" s="303"/>
      <c r="OK15" s="303"/>
      <c r="OL15" s="303"/>
      <c r="OM15" s="303"/>
      <c r="ON15" s="303"/>
      <c r="OO15" s="303"/>
      <c r="OP15" s="303"/>
      <c r="OQ15" s="303"/>
      <c r="OR15" s="303"/>
      <c r="OS15" s="303"/>
      <c r="OT15" s="303"/>
      <c r="OU15" s="303"/>
      <c r="OV15" s="303"/>
      <c r="OW15" s="303"/>
      <c r="OX15" s="303"/>
      <c r="OY15" s="303"/>
      <c r="OZ15" s="303"/>
      <c r="PA15" s="303"/>
      <c r="PB15" s="303"/>
      <c r="PC15" s="303"/>
      <c r="PD15" s="303"/>
      <c r="PE15" s="303"/>
      <c r="PF15" s="303"/>
      <c r="PG15" s="303"/>
      <c r="PH15" s="303"/>
      <c r="PI15" s="303"/>
      <c r="PJ15" s="303"/>
      <c r="PK15" s="303"/>
      <c r="PL15" s="303"/>
      <c r="PM15" s="303"/>
      <c r="PN15" s="303"/>
      <c r="PO15" s="303"/>
      <c r="PP15" s="303"/>
      <c r="PQ15" s="303"/>
      <c r="PR15" s="303"/>
      <c r="PS15" s="303"/>
      <c r="PT15" s="303"/>
      <c r="PU15" s="303"/>
      <c r="PV15" s="303"/>
      <c r="PW15" s="303"/>
      <c r="PX15" s="303"/>
      <c r="PY15" s="303"/>
      <c r="PZ15" s="303"/>
      <c r="QA15" s="303"/>
      <c r="QB15" s="303"/>
      <c r="QC15" s="303"/>
      <c r="QD15" s="303"/>
      <c r="QE15" s="303"/>
      <c r="QF15" s="303"/>
      <c r="QG15" s="303"/>
      <c r="QH15" s="303"/>
      <c r="QI15" s="303"/>
      <c r="QJ15" s="303"/>
      <c r="QK15" s="303"/>
      <c r="QL15" s="303"/>
      <c r="QM15" s="303"/>
      <c r="QN15" s="303"/>
      <c r="QO15" s="303"/>
      <c r="QP15" s="303"/>
      <c r="QQ15" s="303"/>
      <c r="QR15" s="303"/>
      <c r="QS15" s="303"/>
      <c r="QT15" s="303"/>
      <c r="QU15" s="303"/>
      <c r="QV15" s="303"/>
      <c r="QW15" s="303"/>
      <c r="QX15" s="303"/>
      <c r="QY15" s="303"/>
      <c r="QZ15" s="303"/>
      <c r="RA15" s="303"/>
      <c r="RB15" s="303"/>
      <c r="RC15" s="303"/>
      <c r="RD15" s="303"/>
      <c r="RE15" s="303"/>
      <c r="RF15" s="303"/>
      <c r="RG15" s="303"/>
      <c r="RH15" s="303"/>
      <c r="RI15" s="303"/>
      <c r="RJ15" s="303"/>
      <c r="RK15" s="303"/>
      <c r="RL15" s="303"/>
      <c r="RM15" s="303"/>
      <c r="RN15" s="303"/>
      <c r="RO15" s="303"/>
      <c r="RP15" s="303"/>
      <c r="RQ15" s="303"/>
      <c r="RR15" s="303"/>
      <c r="RS15" s="303"/>
      <c r="RT15" s="303"/>
      <c r="RU15" s="303"/>
      <c r="RV15" s="303"/>
      <c r="RW15" s="303"/>
      <c r="RX15" s="303"/>
      <c r="RY15" s="303"/>
      <c r="RZ15" s="303"/>
      <c r="SA15" s="303"/>
      <c r="SB15" s="303"/>
      <c r="SC15" s="303"/>
      <c r="SD15" s="303"/>
      <c r="SE15" s="303"/>
      <c r="SF15" s="303"/>
      <c r="SG15" s="303"/>
      <c r="SH15" s="303"/>
      <c r="SI15" s="303"/>
      <c r="SJ15" s="303"/>
      <c r="SK15" s="303"/>
      <c r="SL15" s="303"/>
      <c r="SM15" s="303"/>
      <c r="SN15" s="303"/>
      <c r="SO15" s="303"/>
      <c r="SP15" s="303"/>
      <c r="SQ15" s="303"/>
      <c r="SR15" s="303"/>
      <c r="SS15" s="303"/>
      <c r="ST15" s="303"/>
      <c r="SU15" s="303"/>
      <c r="SV15" s="303"/>
      <c r="SW15" s="303"/>
      <c r="SX15" s="303"/>
      <c r="SY15" s="303"/>
      <c r="SZ15" s="303"/>
      <c r="TA15" s="303"/>
      <c r="TB15" s="303"/>
      <c r="TC15" s="303"/>
      <c r="TD15" s="303"/>
      <c r="TE15" s="303"/>
      <c r="TF15" s="303"/>
      <c r="TG15" s="303"/>
      <c r="TH15" s="303"/>
      <c r="TI15" s="303"/>
      <c r="TJ15" s="303"/>
      <c r="TK15" s="303"/>
      <c r="TL15" s="303"/>
      <c r="TM15" s="303"/>
      <c r="TN15" s="303"/>
      <c r="TO15" s="303"/>
      <c r="TP15" s="303"/>
      <c r="TQ15" s="303"/>
      <c r="TR15" s="303"/>
      <c r="TS15" s="303"/>
      <c r="TT15" s="303"/>
      <c r="TU15" s="303"/>
      <c r="TV15" s="303"/>
      <c r="TW15" s="303"/>
      <c r="TX15" s="303"/>
      <c r="TY15" s="303"/>
      <c r="TZ15" s="303"/>
      <c r="UA15" s="303"/>
      <c r="UB15" s="303"/>
      <c r="UC15" s="303"/>
      <c r="UD15" s="303"/>
      <c r="UE15" s="303"/>
      <c r="UF15" s="303"/>
      <c r="UG15" s="303"/>
      <c r="UH15" s="303"/>
      <c r="UI15" s="303"/>
      <c r="UJ15" s="303"/>
      <c r="UK15" s="303"/>
      <c r="UL15" s="303"/>
      <c r="UM15" s="303"/>
      <c r="UN15" s="303"/>
      <c r="UO15" s="303"/>
      <c r="UP15" s="303"/>
      <c r="UQ15" s="303"/>
      <c r="UR15" s="303"/>
      <c r="US15" s="303"/>
      <c r="UT15" s="303"/>
      <c r="UU15" s="303"/>
      <c r="UV15" s="303"/>
      <c r="UW15" s="303"/>
      <c r="UX15" s="303"/>
      <c r="UY15" s="303"/>
      <c r="UZ15" s="303"/>
      <c r="VA15" s="303"/>
      <c r="VB15" s="303"/>
      <c r="VC15" s="303"/>
      <c r="VD15" s="303"/>
      <c r="VE15" s="303"/>
      <c r="VF15" s="303"/>
      <c r="VG15" s="303"/>
      <c r="VH15" s="303"/>
      <c r="VI15" s="303"/>
      <c r="VJ15" s="303"/>
      <c r="VK15" s="303"/>
      <c r="VL15" s="303"/>
      <c r="VM15" s="303"/>
      <c r="VN15" s="303"/>
      <c r="VO15" s="303"/>
      <c r="VP15" s="303"/>
      <c r="VQ15" s="303"/>
      <c r="VR15" s="303"/>
      <c r="VS15" s="303"/>
      <c r="VT15" s="303"/>
      <c r="VU15" s="303"/>
      <c r="VV15" s="303"/>
      <c r="VW15" s="303"/>
      <c r="VX15" s="303"/>
      <c r="VY15" s="303"/>
      <c r="VZ15" s="303"/>
      <c r="WA15" s="303"/>
      <c r="WB15" s="303"/>
      <c r="WC15" s="303"/>
      <c r="WD15" s="303"/>
      <c r="WE15" s="303"/>
      <c r="WF15" s="303"/>
      <c r="WG15" s="303"/>
      <c r="WH15" s="303"/>
      <c r="WI15" s="303"/>
      <c r="WJ15" s="303"/>
      <c r="WK15" s="303"/>
      <c r="WL15" s="303"/>
      <c r="WM15" s="303"/>
      <c r="WN15" s="303"/>
      <c r="WO15" s="303"/>
      <c r="WP15" s="303"/>
      <c r="WQ15" s="303"/>
      <c r="WR15" s="303"/>
      <c r="WS15" s="303"/>
      <c r="WT15" s="303"/>
      <c r="WU15" s="303"/>
      <c r="WV15" s="303"/>
      <c r="WW15" s="303"/>
      <c r="WX15" s="303"/>
      <c r="WY15" s="303"/>
      <c r="WZ15" s="303"/>
      <c r="XA15" s="303"/>
      <c r="XB15" s="303"/>
      <c r="XC15" s="303"/>
      <c r="XD15" s="303"/>
      <c r="XE15" s="303"/>
      <c r="XF15" s="303"/>
      <c r="XG15" s="303"/>
      <c r="XH15" s="303"/>
      <c r="XI15" s="303"/>
      <c r="XJ15" s="303"/>
      <c r="XK15" s="303"/>
      <c r="XL15" s="303"/>
      <c r="XM15" s="303"/>
      <c r="XN15" s="303"/>
      <c r="XO15" s="303"/>
      <c r="XP15" s="303"/>
      <c r="XQ15" s="303"/>
      <c r="XR15" s="303"/>
      <c r="XS15" s="303"/>
      <c r="XT15" s="303"/>
      <c r="XU15" s="303"/>
      <c r="XV15" s="303"/>
      <c r="XW15" s="303"/>
      <c r="XX15" s="303"/>
      <c r="XY15" s="303"/>
      <c r="XZ15" s="303"/>
      <c r="YA15" s="303"/>
      <c r="YB15" s="303"/>
      <c r="YC15" s="303"/>
      <c r="YD15" s="303"/>
      <c r="YE15" s="303"/>
      <c r="YF15" s="303"/>
      <c r="YG15" s="303"/>
      <c r="YH15" s="303"/>
      <c r="YI15" s="303"/>
      <c r="YJ15" s="303"/>
      <c r="YK15" s="303"/>
      <c r="YL15" s="303"/>
      <c r="YM15" s="303"/>
      <c r="YN15" s="303"/>
      <c r="YO15" s="303"/>
      <c r="YP15" s="303"/>
      <c r="YQ15" s="303"/>
      <c r="YR15" s="303"/>
      <c r="YS15" s="303"/>
      <c r="YT15" s="303"/>
      <c r="YU15" s="303"/>
      <c r="YV15" s="303"/>
      <c r="YW15" s="303"/>
      <c r="YX15" s="303"/>
      <c r="YY15" s="303"/>
      <c r="YZ15" s="303"/>
      <c r="ZA15" s="303"/>
      <c r="ZB15" s="303"/>
      <c r="ZC15" s="303"/>
      <c r="ZD15" s="303"/>
      <c r="ZE15" s="303"/>
      <c r="ZF15" s="303"/>
      <c r="ZG15" s="303"/>
      <c r="ZH15" s="303"/>
      <c r="ZI15" s="303"/>
      <c r="ZJ15" s="303"/>
      <c r="ZK15" s="303"/>
      <c r="ZL15" s="303"/>
      <c r="ZM15" s="303"/>
      <c r="ZN15" s="303"/>
      <c r="ZO15" s="303"/>
      <c r="ZP15" s="303"/>
      <c r="ZQ15" s="303"/>
      <c r="ZR15" s="303"/>
      <c r="ZS15" s="303"/>
      <c r="ZT15" s="303"/>
      <c r="ZU15" s="303"/>
      <c r="ZV15" s="303"/>
      <c r="ZW15" s="303"/>
      <c r="ZX15" s="303"/>
      <c r="ZY15" s="303"/>
      <c r="ZZ15" s="303"/>
      <c r="AAA15" s="303"/>
      <c r="AAB15" s="303"/>
      <c r="AAC15" s="303"/>
      <c r="AAD15" s="303"/>
      <c r="AAE15" s="303"/>
      <c r="AAF15" s="303"/>
      <c r="AAG15" s="303"/>
      <c r="AAH15" s="303"/>
      <c r="AAI15" s="303"/>
      <c r="AAJ15" s="303"/>
      <c r="AAK15" s="303"/>
      <c r="AAL15" s="303"/>
      <c r="AAM15" s="303"/>
      <c r="AAN15" s="303"/>
      <c r="AAO15" s="303"/>
      <c r="AAP15" s="303"/>
      <c r="AAQ15" s="303"/>
      <c r="AAR15" s="303"/>
      <c r="AAS15" s="303"/>
      <c r="AAT15" s="303"/>
      <c r="AAU15" s="303"/>
      <c r="AAV15" s="303"/>
      <c r="AAW15" s="303"/>
      <c r="AAX15" s="303"/>
      <c r="AAY15" s="303"/>
      <c r="AAZ15" s="303"/>
      <c r="ABA15" s="303"/>
      <c r="ABB15" s="303"/>
      <c r="ABC15" s="303"/>
      <c r="ABD15" s="303"/>
      <c r="ABE15" s="303"/>
      <c r="ABF15" s="303"/>
      <c r="ABG15" s="303"/>
      <c r="ABH15" s="303"/>
      <c r="ABI15" s="303"/>
      <c r="ABJ15" s="303"/>
      <c r="ABK15" s="303"/>
      <c r="ABL15" s="303"/>
      <c r="ABM15" s="303"/>
      <c r="ABN15" s="303"/>
      <c r="ABO15" s="303"/>
      <c r="ABP15" s="303"/>
      <c r="ABQ15" s="303"/>
      <c r="ABR15" s="303"/>
      <c r="ABS15" s="303"/>
      <c r="ABT15" s="303"/>
      <c r="ABU15" s="303"/>
      <c r="ABV15" s="303"/>
      <c r="ABW15" s="303"/>
      <c r="ABX15" s="303"/>
      <c r="ABY15" s="303"/>
      <c r="ABZ15" s="303"/>
      <c r="ACA15" s="303"/>
      <c r="ACB15" s="303"/>
      <c r="ACC15" s="303"/>
      <c r="ACD15" s="303"/>
      <c r="ACE15" s="303"/>
      <c r="ACF15" s="303"/>
      <c r="ACG15" s="303"/>
      <c r="ACH15" s="303"/>
      <c r="ACI15" s="303"/>
      <c r="ACJ15" s="303"/>
      <c r="ACK15" s="303"/>
      <c r="ACL15" s="303"/>
      <c r="ACM15" s="303"/>
      <c r="ACN15" s="303"/>
      <c r="ACO15" s="303"/>
      <c r="ACP15" s="303"/>
      <c r="ACQ15" s="303"/>
      <c r="ACR15" s="303"/>
      <c r="ACS15" s="303"/>
      <c r="ACT15" s="303"/>
      <c r="ACU15" s="303"/>
      <c r="ACV15" s="303"/>
      <c r="ACW15" s="303"/>
      <c r="ACX15" s="303"/>
      <c r="ACY15" s="303"/>
      <c r="ACZ15" s="303"/>
      <c r="ADA15" s="303"/>
      <c r="ADB15" s="303"/>
      <c r="ADC15" s="303"/>
      <c r="ADD15" s="303"/>
      <c r="ADE15" s="303"/>
      <c r="ADF15" s="303"/>
      <c r="ADG15" s="303"/>
      <c r="ADH15" s="303"/>
      <c r="ADI15" s="303"/>
      <c r="ADJ15" s="303"/>
      <c r="ADK15" s="303"/>
      <c r="ADL15" s="303"/>
      <c r="ADM15" s="303"/>
      <c r="ADN15" s="303"/>
      <c r="ADO15" s="303"/>
      <c r="ADP15" s="303"/>
      <c r="ADQ15" s="303"/>
      <c r="ADR15" s="303"/>
      <c r="ADS15" s="303"/>
      <c r="ADT15" s="303"/>
      <c r="ADU15" s="303"/>
      <c r="ADV15" s="303"/>
      <c r="ADW15" s="303"/>
      <c r="ADX15" s="303"/>
      <c r="ADY15" s="303"/>
      <c r="ADZ15" s="303"/>
      <c r="AEA15" s="303"/>
      <c r="AEB15" s="303"/>
      <c r="AEC15" s="303"/>
      <c r="AED15" s="303"/>
      <c r="AEE15" s="303"/>
      <c r="AEF15" s="303"/>
      <c r="AEG15" s="303"/>
      <c r="AEH15" s="303"/>
      <c r="AEI15" s="303"/>
      <c r="AEJ15" s="303"/>
      <c r="AEK15" s="303"/>
      <c r="AEL15" s="303"/>
      <c r="AEM15" s="303"/>
      <c r="AEN15" s="303"/>
      <c r="AEO15" s="303"/>
      <c r="AEP15" s="303"/>
      <c r="AEQ15" s="303"/>
      <c r="AER15" s="303"/>
      <c r="AES15" s="303"/>
      <c r="AET15" s="303"/>
      <c r="AEU15" s="303"/>
      <c r="AEV15" s="303"/>
      <c r="AEW15" s="303"/>
      <c r="AEX15" s="303"/>
      <c r="AEY15" s="303"/>
      <c r="AEZ15" s="303"/>
      <c r="AFA15" s="303"/>
      <c r="AFB15" s="303"/>
      <c r="AFC15" s="303"/>
      <c r="AFD15" s="303"/>
      <c r="AFE15" s="303"/>
      <c r="AFF15" s="303"/>
      <c r="AFG15" s="303"/>
      <c r="AFH15" s="303"/>
      <c r="AFI15" s="303"/>
      <c r="AFJ15" s="303"/>
      <c r="AFK15" s="303"/>
      <c r="AFL15" s="303"/>
      <c r="AFM15" s="303"/>
      <c r="AFN15" s="303"/>
      <c r="AFO15" s="303"/>
      <c r="AFP15" s="303"/>
      <c r="AFQ15" s="303"/>
      <c r="AFR15" s="303"/>
      <c r="AFS15" s="303"/>
      <c r="AFT15" s="303"/>
      <c r="AFU15" s="303"/>
      <c r="AFV15" s="303"/>
      <c r="AFW15" s="303"/>
      <c r="AFX15" s="303"/>
      <c r="AFY15" s="303"/>
      <c r="AFZ15" s="303"/>
      <c r="AGA15" s="303"/>
      <c r="AGB15" s="303"/>
      <c r="AGC15" s="303"/>
      <c r="AGD15" s="303"/>
      <c r="AGE15" s="303"/>
      <c r="AGF15" s="303"/>
      <c r="AGG15" s="303"/>
      <c r="AGH15" s="303"/>
      <c r="AGI15" s="303"/>
      <c r="AGJ15" s="303"/>
      <c r="AGK15" s="303"/>
      <c r="AGL15" s="303"/>
      <c r="AGM15" s="303"/>
      <c r="AGN15" s="303"/>
      <c r="AGO15" s="303"/>
      <c r="AGP15" s="303"/>
      <c r="AGQ15" s="303"/>
      <c r="AGR15" s="303"/>
      <c r="AGS15" s="303"/>
      <c r="AGT15" s="303"/>
      <c r="AGU15" s="303"/>
      <c r="AGV15" s="303"/>
      <c r="AGW15" s="303"/>
      <c r="AGX15" s="303"/>
      <c r="AGY15" s="303"/>
      <c r="AGZ15" s="303"/>
      <c r="AHA15" s="303"/>
      <c r="AHB15" s="303"/>
      <c r="AHC15" s="303"/>
      <c r="AHD15" s="303"/>
      <c r="AHE15" s="303"/>
      <c r="AHF15" s="303"/>
      <c r="AHG15" s="303"/>
      <c r="AHH15" s="303"/>
      <c r="AHI15" s="303"/>
      <c r="AHJ15" s="303"/>
      <c r="AHK15" s="303"/>
      <c r="AHL15" s="303"/>
      <c r="AHM15" s="303"/>
      <c r="AHN15" s="303"/>
      <c r="AHO15" s="303"/>
      <c r="AHP15" s="303"/>
      <c r="AHQ15" s="303"/>
      <c r="AHR15" s="303"/>
      <c r="AHS15" s="303"/>
      <c r="AHT15" s="303"/>
      <c r="AHU15" s="303"/>
      <c r="AHV15" s="303"/>
      <c r="AHW15" s="303"/>
      <c r="AHX15" s="303"/>
      <c r="AHY15" s="303"/>
      <c r="AHZ15" s="303"/>
      <c r="AIA15" s="303"/>
      <c r="AIB15" s="303"/>
      <c r="AIC15" s="303"/>
      <c r="AID15" s="303"/>
      <c r="AIE15" s="303"/>
      <c r="AIF15" s="303"/>
      <c r="AIG15" s="303"/>
      <c r="AIH15" s="303"/>
      <c r="AII15" s="303"/>
      <c r="AIJ15" s="303"/>
      <c r="AIK15" s="303"/>
      <c r="AIL15" s="303"/>
      <c r="AIM15" s="303"/>
      <c r="AIN15" s="303"/>
      <c r="AIO15" s="303"/>
      <c r="AIP15" s="303"/>
      <c r="AIQ15" s="303"/>
      <c r="AIR15" s="303"/>
      <c r="AIS15" s="303"/>
      <c r="AIT15" s="303"/>
      <c r="AIU15" s="303"/>
      <c r="AIV15" s="303"/>
      <c r="AIW15" s="303"/>
      <c r="AIX15" s="303"/>
      <c r="AIY15" s="303"/>
      <c r="AIZ15" s="303"/>
      <c r="AJA15" s="303"/>
      <c r="AJB15" s="303"/>
      <c r="AJC15" s="303"/>
      <c r="AJD15" s="303"/>
      <c r="AJE15" s="303"/>
      <c r="AJF15" s="303"/>
      <c r="AJG15" s="303"/>
      <c r="AJH15" s="303"/>
      <c r="AJI15" s="303"/>
      <c r="AJJ15" s="303"/>
      <c r="AJK15" s="303"/>
      <c r="AJL15" s="303"/>
      <c r="AJM15" s="303"/>
      <c r="AJN15" s="303"/>
      <c r="AJO15" s="303"/>
      <c r="AJP15" s="303"/>
      <c r="AJQ15" s="303"/>
      <c r="AJR15" s="303"/>
      <c r="AJS15" s="303"/>
      <c r="AJT15" s="303"/>
      <c r="AJU15" s="303"/>
      <c r="AJV15" s="303"/>
      <c r="AJW15" s="303"/>
      <c r="AJX15" s="303"/>
      <c r="AJY15" s="303"/>
      <c r="AJZ15" s="303"/>
      <c r="AKA15" s="303"/>
      <c r="AKB15" s="303"/>
      <c r="AKC15" s="303"/>
      <c r="AKD15" s="303"/>
      <c r="AKE15" s="303"/>
      <c r="AKF15" s="303"/>
      <c r="AKG15" s="303"/>
      <c r="AKH15" s="303"/>
      <c r="AKI15" s="303"/>
      <c r="AKJ15" s="303"/>
      <c r="AKK15" s="303"/>
      <c r="AKL15" s="303"/>
      <c r="AKM15" s="303"/>
      <c r="AKN15" s="303"/>
      <c r="AKO15" s="303"/>
      <c r="AKP15" s="303"/>
      <c r="AKQ15" s="303"/>
      <c r="AKR15" s="303"/>
      <c r="AKS15" s="303"/>
      <c r="AKT15" s="303"/>
      <c r="AKU15" s="303"/>
      <c r="AKV15" s="303"/>
      <c r="AKW15" s="303"/>
      <c r="AKX15" s="303"/>
      <c r="AKY15" s="303"/>
      <c r="AKZ15" s="303"/>
      <c r="ALA15" s="303"/>
      <c r="ALB15" s="303"/>
      <c r="ALC15" s="303"/>
      <c r="ALD15" s="303"/>
      <c r="ALE15" s="303"/>
      <c r="ALF15" s="303"/>
      <c r="ALG15" s="303"/>
      <c r="ALH15" s="303"/>
      <c r="ALI15" s="303"/>
      <c r="ALJ15" s="303"/>
      <c r="ALK15" s="303"/>
      <c r="ALL15" s="303"/>
      <c r="ALM15" s="303"/>
      <c r="ALN15" s="303"/>
      <c r="ALO15" s="303"/>
      <c r="ALP15" s="303"/>
      <c r="ALQ15" s="303"/>
      <c r="ALR15" s="303"/>
      <c r="ALS15" s="303"/>
      <c r="ALT15" s="303"/>
      <c r="ALU15" s="303"/>
      <c r="ALV15" s="303"/>
      <c r="ALW15" s="303"/>
      <c r="ALX15" s="303"/>
      <c r="ALY15" s="303"/>
      <c r="ALZ15" s="303"/>
      <c r="AMA15" s="303"/>
      <c r="AMB15" s="303"/>
      <c r="AMC15" s="303"/>
    </row>
    <row r="16" spans="1:1017" s="135" customFormat="1" ht="15" customHeight="1" thickBot="1">
      <c r="A16" s="303"/>
      <c r="B16" s="303"/>
      <c r="C16" s="131">
        <v>0.625</v>
      </c>
      <c r="D16" s="221">
        <f>'Kafa Sayımı Veri Girişi'!D122</f>
        <v>0</v>
      </c>
      <c r="E16" s="221">
        <f>'Kafa Sayımı Veri Girişi'!E122</f>
        <v>0</v>
      </c>
      <c r="F16" s="221">
        <f>'Kafa Sayımı Veri Girişi'!F122</f>
        <v>0</v>
      </c>
      <c r="G16" s="221">
        <f>'Kafa Sayımı Veri Girişi'!G122</f>
        <v>0</v>
      </c>
      <c r="H16" s="221">
        <f>'Kafa Sayımı Veri Girişi'!H122</f>
        <v>0</v>
      </c>
      <c r="I16" s="302"/>
      <c r="J16" s="304"/>
      <c r="K16" s="221">
        <f>'Kafa Sayımı Veri Girişi'!K122</f>
        <v>0</v>
      </c>
      <c r="L16" s="221">
        <f>'Kafa Sayımı Veri Girişi'!L122</f>
        <v>0</v>
      </c>
      <c r="M16" s="221">
        <f>'Kafa Sayımı Veri Girişi'!M122</f>
        <v>0</v>
      </c>
      <c r="N16" s="221">
        <f>'Kafa Sayımı Veri Girişi'!N122</f>
        <v>0</v>
      </c>
      <c r="O16" s="221">
        <f>'Kafa Sayımı Veri Girişi'!O122</f>
        <v>0</v>
      </c>
      <c r="P16" s="302"/>
      <c r="Q16" s="304"/>
      <c r="R16" s="221">
        <f>'Kafa Sayımı Veri Girişi'!R122</f>
        <v>0</v>
      </c>
      <c r="S16" s="221">
        <f>'Kafa Sayımı Veri Girişi'!S122</f>
        <v>0</v>
      </c>
      <c r="T16" s="221">
        <f>'Kafa Sayımı Veri Girişi'!T122</f>
        <v>0</v>
      </c>
      <c r="U16" s="221">
        <f>'Kafa Sayımı Veri Girişi'!U122</f>
        <v>0</v>
      </c>
      <c r="V16" s="221">
        <f>'Kafa Sayımı Veri Girişi'!V122</f>
        <v>0</v>
      </c>
      <c r="W16" s="302"/>
      <c r="X16" s="304"/>
      <c r="Y16" s="221">
        <f>'Kafa Sayımı Veri Girişi'!Y122</f>
        <v>0</v>
      </c>
      <c r="Z16" s="221">
        <f>'Kafa Sayımı Veri Girişi'!Z122</f>
        <v>0</v>
      </c>
      <c r="AA16" s="221">
        <f>'Kafa Sayımı Veri Girişi'!AA122</f>
        <v>0</v>
      </c>
      <c r="AB16" s="221">
        <f>'Kafa Sayımı Veri Girişi'!AB122</f>
        <v>0</v>
      </c>
      <c r="AC16" s="221">
        <f>'Kafa Sayımı Veri Girişi'!AC122</f>
        <v>0</v>
      </c>
      <c r="AD16" s="302"/>
      <c r="AE16" s="304"/>
      <c r="AF16" s="221">
        <f>'Kafa Sayımı Veri Girişi'!AF122</f>
        <v>0</v>
      </c>
      <c r="AG16" s="221">
        <f>'Kafa Sayımı Veri Girişi'!AG122</f>
        <v>0</v>
      </c>
      <c r="AH16" s="221">
        <f>'Kafa Sayımı Veri Girişi'!AH122</f>
        <v>0</v>
      </c>
      <c r="AI16" s="221">
        <f>'Kafa Sayımı Veri Girişi'!AI122</f>
        <v>0</v>
      </c>
      <c r="AJ16" s="221">
        <f>'Kafa Sayımı Veri Girişi'!AJ122</f>
        <v>0</v>
      </c>
      <c r="AK16" s="302"/>
      <c r="AL16" s="304"/>
      <c r="AM16" s="221">
        <f>'Kafa Sayımı Veri Girişi'!AM122</f>
        <v>0</v>
      </c>
      <c r="AN16" s="221">
        <f>'Kafa Sayımı Veri Girişi'!AN122</f>
        <v>0</v>
      </c>
      <c r="AO16" s="221">
        <f>'Kafa Sayımı Veri Girişi'!AO122</f>
        <v>0</v>
      </c>
      <c r="AP16" s="221">
        <f>'Kafa Sayımı Veri Girişi'!AP122</f>
        <v>0</v>
      </c>
      <c r="AQ16" s="221">
        <f>'Kafa Sayımı Veri Girişi'!AQ122</f>
        <v>0</v>
      </c>
      <c r="AR16" s="302"/>
      <c r="AS16" s="304"/>
      <c r="AT16" s="221">
        <f>'Kafa Sayımı Veri Girişi'!AT122</f>
        <v>0</v>
      </c>
      <c r="AU16" s="221">
        <f>'Kafa Sayımı Veri Girişi'!AU122</f>
        <v>0</v>
      </c>
      <c r="AV16" s="221">
        <f>'Kafa Sayımı Veri Girişi'!AV122</f>
        <v>0</v>
      </c>
      <c r="AW16" s="221">
        <f>'Kafa Sayımı Veri Girişi'!AW122</f>
        <v>0</v>
      </c>
      <c r="AX16" s="221">
        <f>'Kafa Sayımı Veri Girişi'!AX122</f>
        <v>0</v>
      </c>
      <c r="AY16" s="302"/>
      <c r="AZ16" s="304"/>
      <c r="BA16" s="221">
        <f>'Kafa Sayımı Veri Girişi'!BA122</f>
        <v>0</v>
      </c>
      <c r="BB16" s="221">
        <f>'Kafa Sayımı Veri Girişi'!BB122</f>
        <v>0</v>
      </c>
      <c r="BC16" s="221">
        <f>'Kafa Sayımı Veri Girişi'!BC122</f>
        <v>0</v>
      </c>
      <c r="BD16" s="221">
        <f>'Kafa Sayımı Veri Girişi'!BD122</f>
        <v>0</v>
      </c>
      <c r="BE16" s="221">
        <f>'Kafa Sayımı Veri Girişi'!BE122</f>
        <v>0</v>
      </c>
      <c r="BF16" s="302"/>
      <c r="BG16" s="304"/>
      <c r="BH16" s="221">
        <f>'Kafa Sayımı Veri Girişi'!BH122</f>
        <v>0</v>
      </c>
      <c r="BI16" s="221">
        <f>'Kafa Sayımı Veri Girişi'!BI122</f>
        <v>0</v>
      </c>
      <c r="BJ16" s="221">
        <f>'Kafa Sayımı Veri Girişi'!BJ122</f>
        <v>0</v>
      </c>
      <c r="BK16" s="221">
        <f>'Kafa Sayımı Veri Girişi'!BK122</f>
        <v>0</v>
      </c>
      <c r="BL16" s="221">
        <f>'Kafa Sayımı Veri Girişi'!BL122</f>
        <v>0</v>
      </c>
      <c r="BM16" s="302"/>
      <c r="BN16" s="304"/>
      <c r="BO16" s="221">
        <f>'Kafa Sayımı Veri Girişi'!BO122</f>
        <v>0</v>
      </c>
      <c r="BP16" s="221">
        <f>'Kafa Sayımı Veri Girişi'!BP122</f>
        <v>0</v>
      </c>
      <c r="BQ16" s="221">
        <f>'Kafa Sayımı Veri Girişi'!BQ122</f>
        <v>0</v>
      </c>
      <c r="BR16" s="221">
        <f>'Kafa Sayımı Veri Girişi'!BR122</f>
        <v>0</v>
      </c>
      <c r="BS16" s="221">
        <f>'Kafa Sayımı Veri Girişi'!BS122</f>
        <v>0</v>
      </c>
      <c r="BT16" s="302"/>
      <c r="BU16" s="304"/>
      <c r="BV16" s="221">
        <f>'Kafa Sayımı Veri Girişi'!BV122</f>
        <v>0</v>
      </c>
      <c r="BW16" s="221">
        <f>'Kafa Sayımı Veri Girişi'!BW122</f>
        <v>0</v>
      </c>
      <c r="BX16" s="221">
        <f>'Kafa Sayımı Veri Girişi'!BX122</f>
        <v>0</v>
      </c>
      <c r="BY16" s="221">
        <f>'Kafa Sayımı Veri Girişi'!BY122</f>
        <v>0</v>
      </c>
      <c r="BZ16" s="221">
        <f>'Kafa Sayımı Veri Girişi'!BZ122</f>
        <v>0</v>
      </c>
      <c r="CA16" s="302"/>
      <c r="CB16" s="304"/>
      <c r="CC16" s="221">
        <f>'Kafa Sayımı Veri Girişi'!CC122</f>
        <v>0</v>
      </c>
      <c r="CD16" s="221">
        <f>'Kafa Sayımı Veri Girişi'!CD122</f>
        <v>0</v>
      </c>
      <c r="CE16" s="221">
        <f>'Kafa Sayımı Veri Girişi'!CE122</f>
        <v>0</v>
      </c>
      <c r="CF16" s="221">
        <f>'Kafa Sayımı Veri Girişi'!CF122</f>
        <v>0</v>
      </c>
      <c r="CG16" s="221">
        <f>'Kafa Sayımı Veri Girişi'!CG122</f>
        <v>0</v>
      </c>
      <c r="CH16" s="302"/>
      <c r="CI16" s="304"/>
      <c r="CJ16" s="221">
        <f>'Kafa Sayımı Veri Girişi'!CJ122</f>
        <v>0</v>
      </c>
      <c r="CK16" s="221">
        <f>'Kafa Sayımı Veri Girişi'!CK122</f>
        <v>0</v>
      </c>
      <c r="CL16" s="221">
        <f>'Kafa Sayımı Veri Girişi'!CL122</f>
        <v>0</v>
      </c>
      <c r="CM16" s="221">
        <f>'Kafa Sayımı Veri Girişi'!CM122</f>
        <v>0</v>
      </c>
      <c r="CN16" s="221">
        <f>'Kafa Sayımı Veri Girişi'!CN122</f>
        <v>0</v>
      </c>
      <c r="CO16" s="302"/>
      <c r="CP16" s="304"/>
      <c r="CQ16" s="221">
        <f>'Kafa Sayımı Veri Girişi'!CQ122</f>
        <v>0</v>
      </c>
      <c r="CR16" s="221">
        <f>'Kafa Sayımı Veri Girişi'!CR122</f>
        <v>0</v>
      </c>
      <c r="CS16" s="221">
        <f>'Kafa Sayımı Veri Girişi'!CS122</f>
        <v>0</v>
      </c>
      <c r="CT16" s="221">
        <f>'Kafa Sayımı Veri Girişi'!CT122</f>
        <v>0</v>
      </c>
      <c r="CU16" s="221">
        <f>'Kafa Sayımı Veri Girişi'!CU122</f>
        <v>0</v>
      </c>
      <c r="CV16" s="302"/>
      <c r="CW16" s="304"/>
      <c r="CX16" s="221">
        <f>'Kafa Sayımı Veri Girişi'!CX122</f>
        <v>0</v>
      </c>
      <c r="CY16" s="221">
        <f>'Kafa Sayımı Veri Girişi'!CY122</f>
        <v>0</v>
      </c>
      <c r="CZ16" s="221">
        <f>'Kafa Sayımı Veri Girişi'!CZ122</f>
        <v>0</v>
      </c>
      <c r="DA16" s="221">
        <f>'Kafa Sayımı Veri Girişi'!DA122</f>
        <v>0</v>
      </c>
      <c r="DB16" s="221">
        <f>'Kafa Sayımı Veri Girişi'!DB122</f>
        <v>0</v>
      </c>
      <c r="DC16" s="302"/>
      <c r="DD16" s="304"/>
      <c r="DE16" s="221">
        <f>'Kafa Sayımı Veri Girişi'!DE122</f>
        <v>0</v>
      </c>
      <c r="DF16" s="221">
        <f>'Kafa Sayımı Veri Girişi'!DF122</f>
        <v>0</v>
      </c>
      <c r="DG16" s="221">
        <f>'Kafa Sayımı Veri Girişi'!DG122</f>
        <v>0</v>
      </c>
      <c r="DH16" s="221">
        <f>'Kafa Sayımı Veri Girişi'!DH122</f>
        <v>0</v>
      </c>
      <c r="DI16" s="221">
        <f>'Kafa Sayımı Veri Girişi'!DI122</f>
        <v>0</v>
      </c>
      <c r="DJ16" s="302"/>
      <c r="DK16" s="304"/>
      <c r="DL16" s="221">
        <f>'Kafa Sayımı Veri Girişi'!DL122</f>
        <v>0</v>
      </c>
      <c r="DM16" s="221">
        <f>'Kafa Sayımı Veri Girişi'!DM122</f>
        <v>0</v>
      </c>
      <c r="DN16" s="221">
        <f>'Kafa Sayımı Veri Girişi'!DN122</f>
        <v>0</v>
      </c>
      <c r="DO16" s="221">
        <f>'Kafa Sayımı Veri Girişi'!DO122</f>
        <v>0</v>
      </c>
      <c r="DP16" s="221">
        <f>'Kafa Sayımı Veri Girişi'!DP122</f>
        <v>0</v>
      </c>
      <c r="DQ16" s="302"/>
      <c r="DR16" s="304"/>
      <c r="DS16" s="221">
        <f>'Kafa Sayımı Veri Girişi'!DS122</f>
        <v>0</v>
      </c>
      <c r="DT16" s="221">
        <f>'Kafa Sayımı Veri Girişi'!DT122</f>
        <v>0</v>
      </c>
      <c r="DU16" s="221">
        <f>'Kafa Sayımı Veri Girişi'!DU122</f>
        <v>0</v>
      </c>
      <c r="DV16" s="221">
        <f>'Kafa Sayımı Veri Girişi'!DV122</f>
        <v>0</v>
      </c>
      <c r="DW16" s="221">
        <f>'Kafa Sayımı Veri Girişi'!DW122</f>
        <v>0</v>
      </c>
      <c r="DX16" s="302"/>
      <c r="DY16" s="304"/>
      <c r="DZ16" s="221">
        <f>'Kafa Sayımı Veri Girişi'!DZ122</f>
        <v>0</v>
      </c>
      <c r="EA16" s="221">
        <f>'Kafa Sayımı Veri Girişi'!EA122</f>
        <v>0</v>
      </c>
      <c r="EB16" s="221">
        <f>'Kafa Sayımı Veri Girişi'!EB122</f>
        <v>0</v>
      </c>
      <c r="EC16" s="221">
        <f>'Kafa Sayımı Veri Girişi'!EC122</f>
        <v>0</v>
      </c>
      <c r="ED16" s="221">
        <f>'Kafa Sayımı Veri Girişi'!ED122</f>
        <v>0</v>
      </c>
      <c r="EE16" s="302"/>
      <c r="EF16" s="304"/>
      <c r="EG16" s="221">
        <f>'Kafa Sayımı Veri Girişi'!EG122</f>
        <v>0</v>
      </c>
      <c r="EH16" s="221">
        <f>'Kafa Sayımı Veri Girişi'!EH122</f>
        <v>0</v>
      </c>
      <c r="EI16" s="221">
        <f>'Kafa Sayımı Veri Girişi'!EI122</f>
        <v>0</v>
      </c>
      <c r="EJ16" s="221">
        <f>'Kafa Sayımı Veri Girişi'!EJ122</f>
        <v>0</v>
      </c>
      <c r="EK16" s="221">
        <f>'Kafa Sayımı Veri Girişi'!EK122</f>
        <v>0</v>
      </c>
      <c r="EL16" s="302"/>
      <c r="EM16" s="304"/>
      <c r="EN16" s="221">
        <f>'Kafa Sayımı Veri Girişi'!EN122</f>
        <v>0</v>
      </c>
      <c r="EO16" s="221">
        <f>'Kafa Sayımı Veri Girişi'!EO122</f>
        <v>0</v>
      </c>
      <c r="EP16" s="221">
        <f>'Kafa Sayımı Veri Girişi'!EP122</f>
        <v>0</v>
      </c>
      <c r="EQ16" s="221">
        <f>'Kafa Sayımı Veri Girişi'!EQ122</f>
        <v>0</v>
      </c>
      <c r="ER16" s="221">
        <f>'Kafa Sayımı Veri Girişi'!ER122</f>
        <v>0</v>
      </c>
      <c r="ES16" s="302"/>
      <c r="ET16" s="304"/>
      <c r="EU16" s="221">
        <f>'Kafa Sayımı Veri Girişi'!EU122</f>
        <v>0</v>
      </c>
      <c r="EV16" s="221">
        <f>'Kafa Sayımı Veri Girişi'!EV122</f>
        <v>0</v>
      </c>
      <c r="EW16" s="221">
        <f>'Kafa Sayımı Veri Girişi'!EW122</f>
        <v>0</v>
      </c>
      <c r="EX16" s="221">
        <f>'Kafa Sayımı Veri Girişi'!EX122</f>
        <v>0</v>
      </c>
      <c r="EY16" s="221">
        <f>'Kafa Sayımı Veri Girişi'!EY122</f>
        <v>0</v>
      </c>
      <c r="EZ16" s="302"/>
      <c r="FA16" s="304"/>
      <c r="FB16" s="221">
        <f>'Kafa Sayımı Veri Girişi'!FB122</f>
        <v>0</v>
      </c>
      <c r="FC16" s="221">
        <f>'Kafa Sayımı Veri Girişi'!FC122</f>
        <v>0</v>
      </c>
      <c r="FD16" s="221">
        <f>'Kafa Sayımı Veri Girişi'!FD122</f>
        <v>0</v>
      </c>
      <c r="FE16" s="221">
        <f>'Kafa Sayımı Veri Girişi'!FE122</f>
        <v>0</v>
      </c>
      <c r="FF16" s="221">
        <f>'Kafa Sayımı Veri Girişi'!FF122</f>
        <v>0</v>
      </c>
      <c r="FG16" s="302"/>
      <c r="FH16" s="304"/>
      <c r="FI16" s="221">
        <f>'Kafa Sayımı Veri Girişi'!FI122</f>
        <v>0</v>
      </c>
      <c r="FJ16" s="221">
        <f>'Kafa Sayımı Veri Girişi'!FJ122</f>
        <v>0</v>
      </c>
      <c r="FK16" s="221">
        <f>'Kafa Sayımı Veri Girişi'!FK122</f>
        <v>0</v>
      </c>
      <c r="FL16" s="221">
        <f>'Kafa Sayımı Veri Girişi'!FL122</f>
        <v>0</v>
      </c>
      <c r="FM16" s="221">
        <f>'Kafa Sayımı Veri Girişi'!FM122</f>
        <v>0</v>
      </c>
      <c r="FN16" s="302"/>
      <c r="FO16" s="304"/>
      <c r="FP16" s="221">
        <f>'Kafa Sayımı Veri Girişi'!FP122</f>
        <v>0</v>
      </c>
      <c r="FQ16" s="221">
        <f>'Kafa Sayımı Veri Girişi'!FQ122</f>
        <v>0</v>
      </c>
      <c r="FR16" s="221">
        <f>'Kafa Sayımı Veri Girişi'!FR122</f>
        <v>0</v>
      </c>
      <c r="FS16" s="221">
        <f>'Kafa Sayımı Veri Girişi'!FS122</f>
        <v>0</v>
      </c>
      <c r="FT16" s="221">
        <f>'Kafa Sayımı Veri Girişi'!FT122</f>
        <v>0</v>
      </c>
      <c r="FU16" s="302"/>
      <c r="FV16" s="304"/>
      <c r="FW16" s="221">
        <f>'Kafa Sayımı Veri Girişi'!FW122</f>
        <v>0</v>
      </c>
      <c r="FX16" s="221">
        <f>'Kafa Sayımı Veri Girişi'!FX122</f>
        <v>0</v>
      </c>
      <c r="FY16" s="221">
        <f>'Kafa Sayımı Veri Girişi'!FY122</f>
        <v>0</v>
      </c>
      <c r="FZ16" s="221">
        <f>'Kafa Sayımı Veri Girişi'!FZ122</f>
        <v>0</v>
      </c>
      <c r="GA16" s="221">
        <f>'Kafa Sayımı Veri Girişi'!GA122</f>
        <v>0</v>
      </c>
      <c r="GB16" s="302"/>
      <c r="GC16" s="304"/>
      <c r="GD16" s="221">
        <f>'Kafa Sayımı Veri Girişi'!GD122</f>
        <v>0</v>
      </c>
      <c r="GE16" s="221">
        <f>'Kafa Sayımı Veri Girişi'!GE122</f>
        <v>0</v>
      </c>
      <c r="GF16" s="221">
        <f>'Kafa Sayımı Veri Girişi'!GF122</f>
        <v>0</v>
      </c>
      <c r="GG16" s="221">
        <f>'Kafa Sayımı Veri Girişi'!GG122</f>
        <v>0</v>
      </c>
      <c r="GH16" s="221">
        <f>'Kafa Sayımı Veri Girişi'!GH122</f>
        <v>0</v>
      </c>
      <c r="GI16" s="302"/>
      <c r="GJ16" s="304"/>
      <c r="GK16" s="221">
        <f>'Kafa Sayımı Veri Girişi'!GK122</f>
        <v>0</v>
      </c>
      <c r="GL16" s="221">
        <f>'Kafa Sayımı Veri Girişi'!GL122</f>
        <v>0</v>
      </c>
      <c r="GM16" s="221">
        <f>'Kafa Sayımı Veri Girişi'!GM122</f>
        <v>0</v>
      </c>
      <c r="GN16" s="221">
        <f>'Kafa Sayımı Veri Girişi'!GN122</f>
        <v>0</v>
      </c>
      <c r="GO16" s="221">
        <f>'Kafa Sayımı Veri Girişi'!GO122</f>
        <v>0</v>
      </c>
      <c r="GP16" s="302"/>
      <c r="GQ16" s="304"/>
      <c r="GR16" s="221">
        <f>'Kafa Sayımı Veri Girişi'!GR122</f>
        <v>0</v>
      </c>
      <c r="GS16" s="221">
        <f>'Kafa Sayımı Veri Girişi'!GS122</f>
        <v>0</v>
      </c>
      <c r="GT16" s="221">
        <f>'Kafa Sayımı Veri Girişi'!GT122</f>
        <v>0</v>
      </c>
      <c r="GU16" s="221">
        <f>'Kafa Sayımı Veri Girişi'!GU122</f>
        <v>0</v>
      </c>
      <c r="GV16" s="221">
        <f>'Kafa Sayımı Veri Girişi'!GV122</f>
        <v>0</v>
      </c>
      <c r="GW16" s="302"/>
      <c r="GX16" s="304"/>
      <c r="GY16" s="221">
        <f>'Kafa Sayımı Veri Girişi'!CJ122</f>
        <v>0</v>
      </c>
      <c r="GZ16" s="221">
        <f>'Kafa Sayımı Veri Girişi'!CK122</f>
        <v>0</v>
      </c>
      <c r="HA16" s="221">
        <f>'Kafa Sayımı Veri Girişi'!CL122</f>
        <v>0</v>
      </c>
      <c r="HB16" s="221">
        <f>'Kafa Sayımı Veri Girişi'!CM122</f>
        <v>0</v>
      </c>
      <c r="HC16" s="221">
        <f>'Kafa Sayımı Veri Girişi'!CN122</f>
        <v>0</v>
      </c>
      <c r="HD16" s="302"/>
      <c r="HE16" s="304"/>
      <c r="HF16" s="221">
        <f>'Kafa Sayımı Veri Girişi'!CQ122</f>
        <v>0</v>
      </c>
      <c r="HG16" s="221">
        <f>'Kafa Sayımı Veri Girişi'!CR122</f>
        <v>0</v>
      </c>
      <c r="HH16" s="221">
        <f>'Kafa Sayımı Veri Girişi'!CS122</f>
        <v>0</v>
      </c>
      <c r="HI16" s="221">
        <f>'Kafa Sayımı Veri Girişi'!CT122</f>
        <v>0</v>
      </c>
      <c r="HJ16" s="221">
        <f>'Kafa Sayımı Veri Girişi'!CU122</f>
        <v>0</v>
      </c>
      <c r="HK16" s="302"/>
      <c r="HL16" s="304"/>
      <c r="HM16" s="221">
        <f>'Kafa Sayımı Veri Girişi'!CX122</f>
        <v>0</v>
      </c>
      <c r="HN16" s="221">
        <f>'Kafa Sayımı Veri Girişi'!CY122</f>
        <v>0</v>
      </c>
      <c r="HO16" s="221">
        <f>'Kafa Sayımı Veri Girişi'!CZ122</f>
        <v>0</v>
      </c>
      <c r="HP16" s="221">
        <f>'Kafa Sayımı Veri Girişi'!DA122</f>
        <v>0</v>
      </c>
      <c r="HQ16" s="221">
        <f>'Kafa Sayımı Veri Girişi'!DB122</f>
        <v>0</v>
      </c>
      <c r="HR16" s="302"/>
      <c r="HS16" s="304"/>
      <c r="HT16" s="221">
        <f>'Kafa Sayımı Veri Girişi'!DE122</f>
        <v>0</v>
      </c>
      <c r="HU16" s="221">
        <f>'Kafa Sayımı Veri Girişi'!DF122</f>
        <v>0</v>
      </c>
      <c r="HV16" s="221">
        <f>'Kafa Sayımı Veri Girişi'!DG122</f>
        <v>0</v>
      </c>
      <c r="HW16" s="221">
        <f>'Kafa Sayımı Veri Girişi'!DH122</f>
        <v>0</v>
      </c>
      <c r="HX16" s="221">
        <f>'Kafa Sayımı Veri Girişi'!DI122</f>
        <v>0</v>
      </c>
      <c r="HY16" s="302"/>
      <c r="HZ16" s="304"/>
      <c r="IA16" s="221">
        <f>'Kafa Sayımı Veri Girişi'!DL122</f>
        <v>0</v>
      </c>
      <c r="IB16" s="221">
        <f>'Kafa Sayımı Veri Girişi'!DM122</f>
        <v>0</v>
      </c>
      <c r="IC16" s="221">
        <f>'Kafa Sayımı Veri Girişi'!DN122</f>
        <v>0</v>
      </c>
      <c r="ID16" s="221">
        <f>'Kafa Sayımı Veri Girişi'!DO122</f>
        <v>0</v>
      </c>
      <c r="IE16" s="221">
        <f>'Kafa Sayımı Veri Girişi'!DP122</f>
        <v>0</v>
      </c>
      <c r="IF16" s="302"/>
      <c r="IG16" s="304"/>
      <c r="IH16" s="221">
        <f>'Kafa Sayımı Veri Girişi'!DS122</f>
        <v>0</v>
      </c>
      <c r="II16" s="221">
        <f>'Kafa Sayımı Veri Girişi'!DT122</f>
        <v>0</v>
      </c>
      <c r="IJ16" s="221">
        <f>'Kafa Sayımı Veri Girişi'!DU122</f>
        <v>0</v>
      </c>
      <c r="IK16" s="221">
        <f>'Kafa Sayımı Veri Girişi'!DV122</f>
        <v>0</v>
      </c>
      <c r="IL16" s="221">
        <f>'Kafa Sayımı Veri Girişi'!DW122</f>
        <v>0</v>
      </c>
      <c r="IM16" s="302"/>
      <c r="IN16" s="304"/>
      <c r="IO16" s="221">
        <f>'Kafa Sayımı Veri Girişi'!DZ122</f>
        <v>0</v>
      </c>
      <c r="IP16" s="221">
        <f>'Kafa Sayımı Veri Girişi'!EA122</f>
        <v>0</v>
      </c>
      <c r="IQ16" s="221">
        <f>'Kafa Sayımı Veri Girişi'!EB122</f>
        <v>0</v>
      </c>
      <c r="IR16" s="221">
        <f>'Kafa Sayımı Veri Girişi'!EC122</f>
        <v>0</v>
      </c>
      <c r="IS16" s="221">
        <f>'Kafa Sayımı Veri Girişi'!ED122</f>
        <v>0</v>
      </c>
      <c r="IT16" s="302"/>
      <c r="IU16" s="304"/>
      <c r="IV16" s="221">
        <f>'Kafa Sayımı Veri Girişi'!EG122</f>
        <v>0</v>
      </c>
      <c r="IW16" s="221">
        <f>'Kafa Sayımı Veri Girişi'!EH122</f>
        <v>0</v>
      </c>
      <c r="IX16" s="221">
        <f>'Kafa Sayımı Veri Girişi'!EI122</f>
        <v>0</v>
      </c>
      <c r="IY16" s="221">
        <f>'Kafa Sayımı Veri Girişi'!EJ122</f>
        <v>0</v>
      </c>
      <c r="IZ16" s="221">
        <f>'Kafa Sayımı Veri Girişi'!EK122</f>
        <v>0</v>
      </c>
      <c r="JA16" s="302"/>
      <c r="JB16" s="304"/>
      <c r="JC16" s="221">
        <f>'Kafa Sayımı Veri Girişi'!EN122</f>
        <v>0</v>
      </c>
      <c r="JD16" s="221">
        <f>'Kafa Sayımı Veri Girişi'!EO122</f>
        <v>0</v>
      </c>
      <c r="JE16" s="221">
        <f>'Kafa Sayımı Veri Girişi'!EP122</f>
        <v>0</v>
      </c>
      <c r="JF16" s="221">
        <f>'Kafa Sayımı Veri Girişi'!EQ122</f>
        <v>0</v>
      </c>
      <c r="JG16" s="221">
        <f>'Kafa Sayımı Veri Girişi'!ER122</f>
        <v>0</v>
      </c>
      <c r="JH16" s="302"/>
      <c r="JI16" s="304"/>
      <c r="JJ16" s="221">
        <f>'Kafa Sayımı Veri Girişi'!EU122</f>
        <v>0</v>
      </c>
      <c r="JK16" s="221">
        <f>'Kafa Sayımı Veri Girişi'!EV122</f>
        <v>0</v>
      </c>
      <c r="JL16" s="221">
        <f>'Kafa Sayımı Veri Girişi'!EW122</f>
        <v>0</v>
      </c>
      <c r="JM16" s="221">
        <f>'Kafa Sayımı Veri Girişi'!EX122</f>
        <v>0</v>
      </c>
      <c r="JN16" s="221">
        <f>'Kafa Sayımı Veri Girişi'!EY122</f>
        <v>0</v>
      </c>
      <c r="JO16" s="302"/>
      <c r="JP16" s="304"/>
      <c r="JQ16" s="221">
        <f>'Kafa Sayımı Veri Girişi'!FB122</f>
        <v>0</v>
      </c>
      <c r="JR16" s="221">
        <f>'Kafa Sayımı Veri Girişi'!FC122</f>
        <v>0</v>
      </c>
      <c r="JS16" s="221">
        <f>'Kafa Sayımı Veri Girişi'!FD122</f>
        <v>0</v>
      </c>
      <c r="JT16" s="221">
        <f>'Kafa Sayımı Veri Girişi'!FE122</f>
        <v>0</v>
      </c>
      <c r="JU16" s="221">
        <f>'Kafa Sayımı Veri Girişi'!FF122</f>
        <v>0</v>
      </c>
      <c r="JV16" s="302"/>
      <c r="JW16" s="304"/>
      <c r="JX16" s="221">
        <f>'Kafa Sayımı Veri Girişi'!FI122</f>
        <v>0</v>
      </c>
      <c r="JY16" s="221">
        <f>'Kafa Sayımı Veri Girişi'!FJ122</f>
        <v>0</v>
      </c>
      <c r="JZ16" s="221">
        <f>'Kafa Sayımı Veri Girişi'!FK122</f>
        <v>0</v>
      </c>
      <c r="KA16" s="221">
        <f>'Kafa Sayımı Veri Girişi'!FL122</f>
        <v>0</v>
      </c>
      <c r="KB16" s="221">
        <f>'Kafa Sayımı Veri Girişi'!FM122</f>
        <v>0</v>
      </c>
      <c r="KC16" s="302"/>
      <c r="KD16" s="304"/>
      <c r="KE16" s="221">
        <f>'Kafa Sayımı Veri Girişi'!FP122</f>
        <v>0</v>
      </c>
      <c r="KF16" s="221">
        <f>'Kafa Sayımı Veri Girişi'!FQ122</f>
        <v>0</v>
      </c>
      <c r="KG16" s="221">
        <f>'Kafa Sayımı Veri Girişi'!FR122</f>
        <v>0</v>
      </c>
      <c r="KH16" s="221">
        <f>'Kafa Sayımı Veri Girişi'!FS122</f>
        <v>0</v>
      </c>
      <c r="KI16" s="221">
        <f>'Kafa Sayımı Veri Girişi'!FT122</f>
        <v>0</v>
      </c>
      <c r="KJ16" s="302"/>
      <c r="KK16" s="304"/>
      <c r="KL16" s="221">
        <f>'Kafa Sayımı Veri Girişi'!FW122</f>
        <v>0</v>
      </c>
      <c r="KM16" s="221">
        <f>'Kafa Sayımı Veri Girişi'!FX122</f>
        <v>0</v>
      </c>
      <c r="KN16" s="221">
        <f>'Kafa Sayımı Veri Girişi'!FY122</f>
        <v>0</v>
      </c>
      <c r="KO16" s="221">
        <f>'Kafa Sayımı Veri Girişi'!FZ122</f>
        <v>0</v>
      </c>
      <c r="KP16" s="221">
        <f>'Kafa Sayımı Veri Girişi'!GA122</f>
        <v>0</v>
      </c>
      <c r="KQ16" s="302"/>
      <c r="KR16" s="304"/>
      <c r="KS16" s="221">
        <f>'Kafa Sayımı Veri Girişi'!GD122</f>
        <v>0</v>
      </c>
      <c r="KT16" s="221">
        <f>'Kafa Sayımı Veri Girişi'!GE122</f>
        <v>0</v>
      </c>
      <c r="KU16" s="221">
        <f>'Kafa Sayımı Veri Girişi'!GF122</f>
        <v>0</v>
      </c>
      <c r="KV16" s="221">
        <f>'Kafa Sayımı Veri Girişi'!GG122</f>
        <v>0</v>
      </c>
      <c r="KW16" s="221">
        <f>'Kafa Sayımı Veri Girişi'!GH122</f>
        <v>0</v>
      </c>
      <c r="KX16" s="302"/>
      <c r="KY16" s="304"/>
      <c r="KZ16" s="221">
        <f>'Kafa Sayımı Veri Girişi'!GK122</f>
        <v>0</v>
      </c>
      <c r="LA16" s="221">
        <f>'Kafa Sayımı Veri Girişi'!GL122</f>
        <v>0</v>
      </c>
      <c r="LB16" s="221">
        <f>'Kafa Sayımı Veri Girişi'!GM122</f>
        <v>0</v>
      </c>
      <c r="LC16" s="221">
        <f>'Kafa Sayımı Veri Girişi'!GN122</f>
        <v>0</v>
      </c>
      <c r="LD16" s="221">
        <f>'Kafa Sayımı Veri Girişi'!GO122</f>
        <v>0</v>
      </c>
      <c r="LE16" s="302"/>
      <c r="LF16" s="304"/>
      <c r="LG16" s="221">
        <f>'Kafa Sayımı Veri Girişi'!GR122</f>
        <v>0</v>
      </c>
      <c r="LH16" s="221">
        <f>'Kafa Sayımı Veri Girişi'!GS122</f>
        <v>0</v>
      </c>
      <c r="LI16" s="221">
        <f>'Kafa Sayımı Veri Girişi'!GT122</f>
        <v>0</v>
      </c>
      <c r="LJ16" s="221">
        <f>'Kafa Sayımı Veri Girişi'!GU122</f>
        <v>0</v>
      </c>
      <c r="LK16" s="221">
        <f>'Kafa Sayımı Veri Girişi'!GV122</f>
        <v>0</v>
      </c>
      <c r="LL16" s="302"/>
      <c r="LM16" s="304"/>
      <c r="LN16" s="221">
        <f>'Kafa Sayımı Veri Girişi'!GY122</f>
        <v>0</v>
      </c>
      <c r="LO16" s="221">
        <f>'Kafa Sayımı Veri Girişi'!GZ122</f>
        <v>0</v>
      </c>
      <c r="LP16" s="221">
        <f>'Kafa Sayımı Veri Girişi'!HA122</f>
        <v>0</v>
      </c>
      <c r="LQ16" s="221">
        <f>'Kafa Sayımı Veri Girişi'!HB122</f>
        <v>0</v>
      </c>
      <c r="LR16" s="221">
        <f>'Kafa Sayımı Veri Girişi'!HC122</f>
        <v>0</v>
      </c>
      <c r="LS16" s="302"/>
      <c r="LT16" s="304"/>
      <c r="LU16" s="221">
        <f>'Kafa Sayımı Veri Girişi'!HF122</f>
        <v>0</v>
      </c>
      <c r="LV16" s="221">
        <f>'Kafa Sayımı Veri Girişi'!HG122</f>
        <v>0</v>
      </c>
      <c r="LW16" s="221">
        <f>'Kafa Sayımı Veri Girişi'!HH122</f>
        <v>0</v>
      </c>
      <c r="LX16" s="221">
        <f>'Kafa Sayımı Veri Girişi'!HI122</f>
        <v>0</v>
      </c>
      <c r="LY16" s="221">
        <f>'Kafa Sayımı Veri Girişi'!HJ122</f>
        <v>0</v>
      </c>
      <c r="LZ16" s="302"/>
      <c r="MA16" s="304"/>
      <c r="MB16" s="221">
        <f>'Kafa Sayımı Veri Girişi'!HM122</f>
        <v>0</v>
      </c>
      <c r="MC16" s="221">
        <f>'Kafa Sayımı Veri Girişi'!HN122</f>
        <v>0</v>
      </c>
      <c r="MD16" s="221">
        <f>'Kafa Sayımı Veri Girişi'!HO122</f>
        <v>0</v>
      </c>
      <c r="ME16" s="221">
        <f>'Kafa Sayımı Veri Girişi'!HP122</f>
        <v>0</v>
      </c>
      <c r="MF16" s="221">
        <f>'Kafa Sayımı Veri Girişi'!HQ122</f>
        <v>0</v>
      </c>
      <c r="MG16" s="302"/>
      <c r="MH16" s="304"/>
      <c r="MI16" s="221">
        <f>'Kafa Sayımı Veri Girişi'!HT122</f>
        <v>0</v>
      </c>
      <c r="MJ16" s="221">
        <f>'Kafa Sayımı Veri Girişi'!HU122</f>
        <v>0</v>
      </c>
      <c r="MK16" s="221">
        <f>'Kafa Sayımı Veri Girişi'!HV122</f>
        <v>0</v>
      </c>
      <c r="ML16" s="221">
        <f>'Kafa Sayımı Veri Girişi'!HW122</f>
        <v>0</v>
      </c>
      <c r="MM16" s="221">
        <f>'Kafa Sayımı Veri Girişi'!HX122</f>
        <v>0</v>
      </c>
      <c r="MN16" s="302"/>
      <c r="MO16" s="304"/>
      <c r="MP16" s="221">
        <f>'Kafa Sayımı Veri Girişi'!IA122</f>
        <v>0</v>
      </c>
      <c r="MQ16" s="221">
        <f>'Kafa Sayımı Veri Girişi'!IB122</f>
        <v>0</v>
      </c>
      <c r="MR16" s="221">
        <f>'Kafa Sayımı Veri Girişi'!IC122</f>
        <v>0</v>
      </c>
      <c r="MS16" s="221">
        <f>'Kafa Sayımı Veri Girişi'!ID122</f>
        <v>0</v>
      </c>
      <c r="MT16" s="221">
        <f>'Kafa Sayımı Veri Girişi'!IE122</f>
        <v>0</v>
      </c>
      <c r="MU16" s="302"/>
      <c r="MV16" s="304"/>
      <c r="MW16" s="221">
        <f>'Kafa Sayımı Veri Girişi'!IH122</f>
        <v>0</v>
      </c>
      <c r="MX16" s="221">
        <f>'Kafa Sayımı Veri Girişi'!II122</f>
        <v>0</v>
      </c>
      <c r="MY16" s="221">
        <f>'Kafa Sayımı Veri Girişi'!IJ122</f>
        <v>0</v>
      </c>
      <c r="MZ16" s="221">
        <f>'Kafa Sayımı Veri Girişi'!IK122</f>
        <v>0</v>
      </c>
      <c r="NA16" s="221">
        <f>'Kafa Sayımı Veri Girişi'!IL122</f>
        <v>0</v>
      </c>
      <c r="NB16" s="302"/>
      <c r="NC16" s="304"/>
      <c r="ND16" s="221">
        <f>'Kafa Sayımı Veri Girişi'!IO122</f>
        <v>0</v>
      </c>
      <c r="NE16" s="333">
        <f t="shared" si="0"/>
        <v>0</v>
      </c>
      <c r="NF16" s="303"/>
      <c r="NG16" s="303"/>
      <c r="NH16" s="303"/>
      <c r="NI16" s="303"/>
      <c r="NJ16" s="303"/>
      <c r="NK16" s="303"/>
      <c r="NL16" s="303"/>
      <c r="NM16" s="303"/>
      <c r="NN16" s="303"/>
      <c r="NO16" s="303"/>
      <c r="NP16" s="303"/>
      <c r="NQ16" s="303"/>
      <c r="NR16" s="303"/>
      <c r="NS16" s="303"/>
      <c r="NT16" s="303"/>
      <c r="NU16" s="303"/>
      <c r="NV16" s="303"/>
      <c r="NW16" s="303"/>
      <c r="NX16" s="303"/>
      <c r="NY16" s="303"/>
      <c r="NZ16" s="303"/>
      <c r="OA16" s="303"/>
      <c r="OB16" s="303"/>
      <c r="OC16" s="303"/>
      <c r="OD16" s="303"/>
      <c r="OE16" s="303"/>
      <c r="OF16" s="303"/>
      <c r="OG16" s="303"/>
      <c r="OH16" s="303"/>
      <c r="OI16" s="303"/>
      <c r="OJ16" s="303"/>
      <c r="OK16" s="303"/>
      <c r="OL16" s="303"/>
      <c r="OM16" s="303"/>
      <c r="ON16" s="303"/>
      <c r="OO16" s="303"/>
      <c r="OP16" s="303"/>
      <c r="OQ16" s="303"/>
      <c r="OR16" s="303"/>
      <c r="OS16" s="303"/>
      <c r="OT16" s="303"/>
      <c r="OU16" s="303"/>
      <c r="OV16" s="303"/>
      <c r="OW16" s="303"/>
      <c r="OX16" s="303"/>
      <c r="OY16" s="303"/>
      <c r="OZ16" s="303"/>
      <c r="PA16" s="303"/>
      <c r="PB16" s="303"/>
      <c r="PC16" s="303"/>
      <c r="PD16" s="303"/>
      <c r="PE16" s="303"/>
      <c r="PF16" s="303"/>
      <c r="PG16" s="303"/>
      <c r="PH16" s="303"/>
      <c r="PI16" s="303"/>
      <c r="PJ16" s="303"/>
      <c r="PK16" s="303"/>
      <c r="PL16" s="303"/>
      <c r="PM16" s="303"/>
      <c r="PN16" s="303"/>
      <c r="PO16" s="303"/>
      <c r="PP16" s="303"/>
      <c r="PQ16" s="303"/>
      <c r="PR16" s="303"/>
      <c r="PS16" s="303"/>
      <c r="PT16" s="303"/>
      <c r="PU16" s="303"/>
      <c r="PV16" s="303"/>
      <c r="PW16" s="303"/>
      <c r="PX16" s="303"/>
      <c r="PY16" s="303"/>
      <c r="PZ16" s="303"/>
      <c r="QA16" s="303"/>
      <c r="QB16" s="303"/>
      <c r="QC16" s="303"/>
      <c r="QD16" s="303"/>
      <c r="QE16" s="303"/>
      <c r="QF16" s="303"/>
      <c r="QG16" s="303"/>
      <c r="QH16" s="303"/>
      <c r="QI16" s="303"/>
      <c r="QJ16" s="303"/>
      <c r="QK16" s="303"/>
      <c r="QL16" s="303"/>
      <c r="QM16" s="303"/>
      <c r="QN16" s="303"/>
      <c r="QO16" s="303"/>
      <c r="QP16" s="303"/>
      <c r="QQ16" s="303"/>
      <c r="QR16" s="303"/>
      <c r="QS16" s="303"/>
      <c r="QT16" s="303"/>
      <c r="QU16" s="303"/>
      <c r="QV16" s="303"/>
      <c r="QW16" s="303"/>
      <c r="QX16" s="303"/>
      <c r="QY16" s="303"/>
      <c r="QZ16" s="303"/>
      <c r="RA16" s="303"/>
      <c r="RB16" s="303"/>
      <c r="RC16" s="303"/>
      <c r="RD16" s="303"/>
      <c r="RE16" s="303"/>
      <c r="RF16" s="303"/>
      <c r="RG16" s="303"/>
      <c r="RH16" s="303"/>
      <c r="RI16" s="303"/>
      <c r="RJ16" s="303"/>
      <c r="RK16" s="303"/>
      <c r="RL16" s="303"/>
      <c r="RM16" s="303"/>
      <c r="RN16" s="303"/>
      <c r="RO16" s="303"/>
      <c r="RP16" s="303"/>
      <c r="RQ16" s="303"/>
      <c r="RR16" s="303"/>
      <c r="RS16" s="303"/>
      <c r="RT16" s="303"/>
      <c r="RU16" s="303"/>
      <c r="RV16" s="303"/>
      <c r="RW16" s="303"/>
      <c r="RX16" s="303"/>
      <c r="RY16" s="303"/>
      <c r="RZ16" s="303"/>
      <c r="SA16" s="303"/>
      <c r="SB16" s="303"/>
      <c r="SC16" s="303"/>
      <c r="SD16" s="303"/>
      <c r="SE16" s="303"/>
      <c r="SF16" s="303"/>
      <c r="SG16" s="303"/>
      <c r="SH16" s="303"/>
      <c r="SI16" s="303"/>
      <c r="SJ16" s="303"/>
      <c r="SK16" s="303"/>
      <c r="SL16" s="303"/>
      <c r="SM16" s="303"/>
      <c r="SN16" s="303"/>
      <c r="SO16" s="303"/>
      <c r="SP16" s="303"/>
      <c r="SQ16" s="303"/>
      <c r="SR16" s="303"/>
      <c r="SS16" s="303"/>
      <c r="ST16" s="303"/>
      <c r="SU16" s="303"/>
      <c r="SV16" s="303"/>
      <c r="SW16" s="303"/>
      <c r="SX16" s="303"/>
      <c r="SY16" s="303"/>
      <c r="SZ16" s="303"/>
      <c r="TA16" s="303"/>
      <c r="TB16" s="303"/>
      <c r="TC16" s="303"/>
      <c r="TD16" s="303"/>
      <c r="TE16" s="303"/>
      <c r="TF16" s="303"/>
      <c r="TG16" s="303"/>
      <c r="TH16" s="303"/>
      <c r="TI16" s="303"/>
      <c r="TJ16" s="303"/>
      <c r="TK16" s="303"/>
      <c r="TL16" s="303"/>
      <c r="TM16" s="303"/>
      <c r="TN16" s="303"/>
      <c r="TO16" s="303"/>
      <c r="TP16" s="303"/>
      <c r="TQ16" s="303"/>
      <c r="TR16" s="303"/>
      <c r="TS16" s="303"/>
      <c r="TT16" s="303"/>
      <c r="TU16" s="303"/>
      <c r="TV16" s="303"/>
      <c r="TW16" s="303"/>
      <c r="TX16" s="303"/>
      <c r="TY16" s="303"/>
      <c r="TZ16" s="303"/>
      <c r="UA16" s="303"/>
      <c r="UB16" s="303"/>
      <c r="UC16" s="303"/>
      <c r="UD16" s="303"/>
      <c r="UE16" s="303"/>
      <c r="UF16" s="303"/>
      <c r="UG16" s="303"/>
      <c r="UH16" s="303"/>
      <c r="UI16" s="303"/>
      <c r="UJ16" s="303"/>
      <c r="UK16" s="303"/>
      <c r="UL16" s="303"/>
      <c r="UM16" s="303"/>
      <c r="UN16" s="303"/>
      <c r="UO16" s="303"/>
      <c r="UP16" s="303"/>
      <c r="UQ16" s="303"/>
      <c r="UR16" s="303"/>
      <c r="US16" s="303"/>
      <c r="UT16" s="303"/>
      <c r="UU16" s="303"/>
      <c r="UV16" s="303"/>
      <c r="UW16" s="303"/>
      <c r="UX16" s="303"/>
      <c r="UY16" s="303"/>
      <c r="UZ16" s="303"/>
      <c r="VA16" s="303"/>
      <c r="VB16" s="303"/>
      <c r="VC16" s="303"/>
      <c r="VD16" s="303"/>
      <c r="VE16" s="303"/>
      <c r="VF16" s="303"/>
      <c r="VG16" s="303"/>
      <c r="VH16" s="303"/>
      <c r="VI16" s="303"/>
      <c r="VJ16" s="303"/>
      <c r="VK16" s="303"/>
      <c r="VL16" s="303"/>
      <c r="VM16" s="303"/>
      <c r="VN16" s="303"/>
      <c r="VO16" s="303"/>
      <c r="VP16" s="303"/>
      <c r="VQ16" s="303"/>
      <c r="VR16" s="303"/>
      <c r="VS16" s="303"/>
      <c r="VT16" s="303"/>
      <c r="VU16" s="303"/>
      <c r="VV16" s="303"/>
      <c r="VW16" s="303"/>
      <c r="VX16" s="303"/>
      <c r="VY16" s="303"/>
      <c r="VZ16" s="303"/>
      <c r="WA16" s="303"/>
      <c r="WB16" s="303"/>
      <c r="WC16" s="303"/>
      <c r="WD16" s="303"/>
      <c r="WE16" s="303"/>
      <c r="WF16" s="303"/>
      <c r="WG16" s="303"/>
      <c r="WH16" s="303"/>
      <c r="WI16" s="303"/>
      <c r="WJ16" s="303"/>
      <c r="WK16" s="303"/>
      <c r="WL16" s="303"/>
      <c r="WM16" s="303"/>
      <c r="WN16" s="303"/>
      <c r="WO16" s="303"/>
      <c r="WP16" s="303"/>
      <c r="WQ16" s="303"/>
      <c r="WR16" s="303"/>
      <c r="WS16" s="303"/>
      <c r="WT16" s="303"/>
      <c r="WU16" s="303"/>
      <c r="WV16" s="303"/>
      <c r="WW16" s="303"/>
      <c r="WX16" s="303"/>
      <c r="WY16" s="303"/>
      <c r="WZ16" s="303"/>
      <c r="XA16" s="303"/>
      <c r="XB16" s="303"/>
      <c r="XC16" s="303"/>
      <c r="XD16" s="303"/>
      <c r="XE16" s="303"/>
      <c r="XF16" s="303"/>
      <c r="XG16" s="303"/>
      <c r="XH16" s="303"/>
      <c r="XI16" s="303"/>
      <c r="XJ16" s="303"/>
      <c r="XK16" s="303"/>
      <c r="XL16" s="303"/>
      <c r="XM16" s="303"/>
      <c r="XN16" s="303"/>
      <c r="XO16" s="303"/>
      <c r="XP16" s="303"/>
      <c r="XQ16" s="303"/>
      <c r="XR16" s="303"/>
      <c r="XS16" s="303"/>
      <c r="XT16" s="303"/>
      <c r="XU16" s="303"/>
      <c r="XV16" s="303"/>
      <c r="XW16" s="303"/>
      <c r="XX16" s="303"/>
      <c r="XY16" s="303"/>
      <c r="XZ16" s="303"/>
      <c r="YA16" s="303"/>
      <c r="YB16" s="303"/>
      <c r="YC16" s="303"/>
      <c r="YD16" s="303"/>
      <c r="YE16" s="303"/>
      <c r="YF16" s="303"/>
      <c r="YG16" s="303"/>
      <c r="YH16" s="303"/>
      <c r="YI16" s="303"/>
      <c r="YJ16" s="303"/>
      <c r="YK16" s="303"/>
      <c r="YL16" s="303"/>
      <c r="YM16" s="303"/>
      <c r="YN16" s="303"/>
      <c r="YO16" s="303"/>
      <c r="YP16" s="303"/>
      <c r="YQ16" s="303"/>
      <c r="YR16" s="303"/>
      <c r="YS16" s="303"/>
      <c r="YT16" s="303"/>
      <c r="YU16" s="303"/>
      <c r="YV16" s="303"/>
      <c r="YW16" s="303"/>
      <c r="YX16" s="303"/>
      <c r="YY16" s="303"/>
      <c r="YZ16" s="303"/>
      <c r="ZA16" s="303"/>
      <c r="ZB16" s="303"/>
      <c r="ZC16" s="303"/>
      <c r="ZD16" s="303"/>
      <c r="ZE16" s="303"/>
      <c r="ZF16" s="303"/>
      <c r="ZG16" s="303"/>
      <c r="ZH16" s="303"/>
      <c r="ZI16" s="303"/>
      <c r="ZJ16" s="303"/>
      <c r="ZK16" s="303"/>
      <c r="ZL16" s="303"/>
      <c r="ZM16" s="303"/>
      <c r="ZN16" s="303"/>
      <c r="ZO16" s="303"/>
      <c r="ZP16" s="303"/>
      <c r="ZQ16" s="303"/>
      <c r="ZR16" s="303"/>
      <c r="ZS16" s="303"/>
      <c r="ZT16" s="303"/>
      <c r="ZU16" s="303"/>
      <c r="ZV16" s="303"/>
      <c r="ZW16" s="303"/>
      <c r="ZX16" s="303"/>
      <c r="ZY16" s="303"/>
      <c r="ZZ16" s="303"/>
      <c r="AAA16" s="303"/>
      <c r="AAB16" s="303"/>
      <c r="AAC16" s="303"/>
      <c r="AAD16" s="303"/>
      <c r="AAE16" s="303"/>
      <c r="AAF16" s="303"/>
      <c r="AAG16" s="303"/>
      <c r="AAH16" s="303"/>
      <c r="AAI16" s="303"/>
      <c r="AAJ16" s="303"/>
      <c r="AAK16" s="303"/>
      <c r="AAL16" s="303"/>
      <c r="AAM16" s="303"/>
      <c r="AAN16" s="303"/>
      <c r="AAO16" s="303"/>
      <c r="AAP16" s="303"/>
      <c r="AAQ16" s="303"/>
      <c r="AAR16" s="303"/>
      <c r="AAS16" s="303"/>
      <c r="AAT16" s="303"/>
      <c r="AAU16" s="303"/>
      <c r="AAV16" s="303"/>
      <c r="AAW16" s="303"/>
      <c r="AAX16" s="303"/>
      <c r="AAY16" s="303"/>
      <c r="AAZ16" s="303"/>
      <c r="ABA16" s="303"/>
      <c r="ABB16" s="303"/>
      <c r="ABC16" s="303"/>
      <c r="ABD16" s="303"/>
      <c r="ABE16" s="303"/>
      <c r="ABF16" s="303"/>
      <c r="ABG16" s="303"/>
      <c r="ABH16" s="303"/>
      <c r="ABI16" s="303"/>
      <c r="ABJ16" s="303"/>
      <c r="ABK16" s="303"/>
      <c r="ABL16" s="303"/>
      <c r="ABM16" s="303"/>
      <c r="ABN16" s="303"/>
      <c r="ABO16" s="303"/>
      <c r="ABP16" s="303"/>
      <c r="ABQ16" s="303"/>
      <c r="ABR16" s="303"/>
      <c r="ABS16" s="303"/>
      <c r="ABT16" s="303"/>
      <c r="ABU16" s="303"/>
      <c r="ABV16" s="303"/>
      <c r="ABW16" s="303"/>
      <c r="ABX16" s="303"/>
      <c r="ABY16" s="303"/>
      <c r="ABZ16" s="303"/>
      <c r="ACA16" s="303"/>
      <c r="ACB16" s="303"/>
      <c r="ACC16" s="303"/>
      <c r="ACD16" s="303"/>
      <c r="ACE16" s="303"/>
      <c r="ACF16" s="303"/>
      <c r="ACG16" s="303"/>
      <c r="ACH16" s="303"/>
      <c r="ACI16" s="303"/>
      <c r="ACJ16" s="303"/>
      <c r="ACK16" s="303"/>
      <c r="ACL16" s="303"/>
      <c r="ACM16" s="303"/>
      <c r="ACN16" s="303"/>
      <c r="ACO16" s="303"/>
      <c r="ACP16" s="303"/>
      <c r="ACQ16" s="303"/>
      <c r="ACR16" s="303"/>
      <c r="ACS16" s="303"/>
      <c r="ACT16" s="303"/>
      <c r="ACU16" s="303"/>
      <c r="ACV16" s="303"/>
      <c r="ACW16" s="303"/>
      <c r="ACX16" s="303"/>
      <c r="ACY16" s="303"/>
      <c r="ACZ16" s="303"/>
      <c r="ADA16" s="303"/>
      <c r="ADB16" s="303"/>
      <c r="ADC16" s="303"/>
      <c r="ADD16" s="303"/>
      <c r="ADE16" s="303"/>
      <c r="ADF16" s="303"/>
      <c r="ADG16" s="303"/>
      <c r="ADH16" s="303"/>
      <c r="ADI16" s="303"/>
      <c r="ADJ16" s="303"/>
      <c r="ADK16" s="303"/>
      <c r="ADL16" s="303"/>
      <c r="ADM16" s="303"/>
      <c r="ADN16" s="303"/>
      <c r="ADO16" s="303"/>
      <c r="ADP16" s="303"/>
      <c r="ADQ16" s="303"/>
      <c r="ADR16" s="303"/>
      <c r="ADS16" s="303"/>
      <c r="ADT16" s="303"/>
      <c r="ADU16" s="303"/>
      <c r="ADV16" s="303"/>
      <c r="ADW16" s="303"/>
      <c r="ADX16" s="303"/>
      <c r="ADY16" s="303"/>
      <c r="ADZ16" s="303"/>
      <c r="AEA16" s="303"/>
      <c r="AEB16" s="303"/>
      <c r="AEC16" s="303"/>
      <c r="AED16" s="303"/>
      <c r="AEE16" s="303"/>
      <c r="AEF16" s="303"/>
      <c r="AEG16" s="303"/>
      <c r="AEH16" s="303"/>
      <c r="AEI16" s="303"/>
      <c r="AEJ16" s="303"/>
      <c r="AEK16" s="303"/>
      <c r="AEL16" s="303"/>
      <c r="AEM16" s="303"/>
      <c r="AEN16" s="303"/>
      <c r="AEO16" s="303"/>
      <c r="AEP16" s="303"/>
      <c r="AEQ16" s="303"/>
      <c r="AER16" s="303"/>
      <c r="AES16" s="303"/>
      <c r="AET16" s="303"/>
      <c r="AEU16" s="303"/>
      <c r="AEV16" s="303"/>
      <c r="AEW16" s="303"/>
      <c r="AEX16" s="303"/>
      <c r="AEY16" s="303"/>
      <c r="AEZ16" s="303"/>
      <c r="AFA16" s="303"/>
      <c r="AFB16" s="303"/>
      <c r="AFC16" s="303"/>
      <c r="AFD16" s="303"/>
      <c r="AFE16" s="303"/>
      <c r="AFF16" s="303"/>
      <c r="AFG16" s="303"/>
      <c r="AFH16" s="303"/>
      <c r="AFI16" s="303"/>
      <c r="AFJ16" s="303"/>
      <c r="AFK16" s="303"/>
      <c r="AFL16" s="303"/>
      <c r="AFM16" s="303"/>
      <c r="AFN16" s="303"/>
      <c r="AFO16" s="303"/>
      <c r="AFP16" s="303"/>
      <c r="AFQ16" s="303"/>
      <c r="AFR16" s="303"/>
      <c r="AFS16" s="303"/>
      <c r="AFT16" s="303"/>
      <c r="AFU16" s="303"/>
      <c r="AFV16" s="303"/>
      <c r="AFW16" s="303"/>
      <c r="AFX16" s="303"/>
      <c r="AFY16" s="303"/>
      <c r="AFZ16" s="303"/>
      <c r="AGA16" s="303"/>
      <c r="AGB16" s="303"/>
      <c r="AGC16" s="303"/>
      <c r="AGD16" s="303"/>
      <c r="AGE16" s="303"/>
      <c r="AGF16" s="303"/>
      <c r="AGG16" s="303"/>
      <c r="AGH16" s="303"/>
      <c r="AGI16" s="303"/>
      <c r="AGJ16" s="303"/>
      <c r="AGK16" s="303"/>
      <c r="AGL16" s="303"/>
      <c r="AGM16" s="303"/>
      <c r="AGN16" s="303"/>
      <c r="AGO16" s="303"/>
      <c r="AGP16" s="303"/>
      <c r="AGQ16" s="303"/>
      <c r="AGR16" s="303"/>
      <c r="AGS16" s="303"/>
      <c r="AGT16" s="303"/>
      <c r="AGU16" s="303"/>
      <c r="AGV16" s="303"/>
      <c r="AGW16" s="303"/>
      <c r="AGX16" s="303"/>
      <c r="AGY16" s="303"/>
      <c r="AGZ16" s="303"/>
      <c r="AHA16" s="303"/>
      <c r="AHB16" s="303"/>
      <c r="AHC16" s="303"/>
      <c r="AHD16" s="303"/>
      <c r="AHE16" s="303"/>
      <c r="AHF16" s="303"/>
      <c r="AHG16" s="303"/>
      <c r="AHH16" s="303"/>
      <c r="AHI16" s="303"/>
      <c r="AHJ16" s="303"/>
      <c r="AHK16" s="303"/>
      <c r="AHL16" s="303"/>
      <c r="AHM16" s="303"/>
      <c r="AHN16" s="303"/>
      <c r="AHO16" s="303"/>
      <c r="AHP16" s="303"/>
      <c r="AHQ16" s="303"/>
      <c r="AHR16" s="303"/>
      <c r="AHS16" s="303"/>
      <c r="AHT16" s="303"/>
      <c r="AHU16" s="303"/>
      <c r="AHV16" s="303"/>
      <c r="AHW16" s="303"/>
      <c r="AHX16" s="303"/>
      <c r="AHY16" s="303"/>
      <c r="AHZ16" s="303"/>
      <c r="AIA16" s="303"/>
      <c r="AIB16" s="303"/>
      <c r="AIC16" s="303"/>
      <c r="AID16" s="303"/>
      <c r="AIE16" s="303"/>
      <c r="AIF16" s="303"/>
      <c r="AIG16" s="303"/>
      <c r="AIH16" s="303"/>
      <c r="AII16" s="303"/>
      <c r="AIJ16" s="303"/>
      <c r="AIK16" s="303"/>
      <c r="AIL16" s="303"/>
      <c r="AIM16" s="303"/>
      <c r="AIN16" s="303"/>
      <c r="AIO16" s="303"/>
      <c r="AIP16" s="303"/>
      <c r="AIQ16" s="303"/>
      <c r="AIR16" s="303"/>
      <c r="AIS16" s="303"/>
      <c r="AIT16" s="303"/>
      <c r="AIU16" s="303"/>
      <c r="AIV16" s="303"/>
      <c r="AIW16" s="303"/>
      <c r="AIX16" s="303"/>
      <c r="AIY16" s="303"/>
      <c r="AIZ16" s="303"/>
      <c r="AJA16" s="303"/>
      <c r="AJB16" s="303"/>
      <c r="AJC16" s="303"/>
      <c r="AJD16" s="303"/>
      <c r="AJE16" s="303"/>
      <c r="AJF16" s="303"/>
      <c r="AJG16" s="303"/>
      <c r="AJH16" s="303"/>
      <c r="AJI16" s="303"/>
      <c r="AJJ16" s="303"/>
      <c r="AJK16" s="303"/>
      <c r="AJL16" s="303"/>
      <c r="AJM16" s="303"/>
      <c r="AJN16" s="303"/>
      <c r="AJO16" s="303"/>
      <c r="AJP16" s="303"/>
      <c r="AJQ16" s="303"/>
      <c r="AJR16" s="303"/>
      <c r="AJS16" s="303"/>
      <c r="AJT16" s="303"/>
      <c r="AJU16" s="303"/>
      <c r="AJV16" s="303"/>
      <c r="AJW16" s="303"/>
      <c r="AJX16" s="303"/>
      <c r="AJY16" s="303"/>
      <c r="AJZ16" s="303"/>
      <c r="AKA16" s="303"/>
      <c r="AKB16" s="303"/>
      <c r="AKC16" s="303"/>
      <c r="AKD16" s="303"/>
      <c r="AKE16" s="303"/>
      <c r="AKF16" s="303"/>
      <c r="AKG16" s="303"/>
      <c r="AKH16" s="303"/>
      <c r="AKI16" s="303"/>
      <c r="AKJ16" s="303"/>
      <c r="AKK16" s="303"/>
      <c r="AKL16" s="303"/>
      <c r="AKM16" s="303"/>
      <c r="AKN16" s="303"/>
      <c r="AKO16" s="303"/>
      <c r="AKP16" s="303"/>
      <c r="AKQ16" s="303"/>
      <c r="AKR16" s="303"/>
      <c r="AKS16" s="303"/>
      <c r="AKT16" s="303"/>
      <c r="AKU16" s="303"/>
      <c r="AKV16" s="303"/>
      <c r="AKW16" s="303"/>
      <c r="AKX16" s="303"/>
      <c r="AKY16" s="303"/>
      <c r="AKZ16" s="303"/>
      <c r="ALA16" s="303"/>
      <c r="ALB16" s="303"/>
      <c r="ALC16" s="303"/>
      <c r="ALD16" s="303"/>
      <c r="ALE16" s="303"/>
      <c r="ALF16" s="303"/>
      <c r="ALG16" s="303"/>
      <c r="ALH16" s="303"/>
      <c r="ALI16" s="303"/>
      <c r="ALJ16" s="303"/>
      <c r="ALK16" s="303"/>
      <c r="ALL16" s="303"/>
      <c r="ALM16" s="303"/>
      <c r="ALN16" s="303"/>
      <c r="ALO16" s="303"/>
      <c r="ALP16" s="303"/>
      <c r="ALQ16" s="303"/>
      <c r="ALR16" s="303"/>
      <c r="ALS16" s="303"/>
      <c r="ALT16" s="303"/>
      <c r="ALU16" s="303"/>
      <c r="ALV16" s="303"/>
      <c r="ALW16" s="303"/>
      <c r="ALX16" s="303"/>
      <c r="ALY16" s="303"/>
      <c r="ALZ16" s="303"/>
      <c r="AMA16" s="303"/>
      <c r="AMB16" s="303"/>
      <c r="AMC16" s="303"/>
    </row>
    <row r="17" spans="1:1017" s="136" customFormat="1" ht="15" customHeight="1">
      <c r="C17" s="131">
        <v>0.66666666666666696</v>
      </c>
      <c r="D17" s="221">
        <f>'Kafa Sayımı Veri Girişi'!D139</f>
        <v>0</v>
      </c>
      <c r="E17" s="221">
        <f>'Kafa Sayımı Veri Girişi'!E139</f>
        <v>0</v>
      </c>
      <c r="F17" s="221">
        <f>'Kafa Sayımı Veri Girişi'!F139</f>
        <v>0</v>
      </c>
      <c r="G17" s="221">
        <f>'Kafa Sayımı Veri Girişi'!G139</f>
        <v>0</v>
      </c>
      <c r="H17" s="221">
        <f>'Kafa Sayımı Veri Girişi'!H139</f>
        <v>0</v>
      </c>
      <c r="I17" s="302"/>
      <c r="J17" s="304"/>
      <c r="K17" s="221">
        <f>'Kafa Sayımı Veri Girişi'!K139</f>
        <v>0</v>
      </c>
      <c r="L17" s="221">
        <f>'Kafa Sayımı Veri Girişi'!L139</f>
        <v>0</v>
      </c>
      <c r="M17" s="221">
        <f>'Kafa Sayımı Veri Girişi'!M139</f>
        <v>0</v>
      </c>
      <c r="N17" s="221">
        <f>'Kafa Sayımı Veri Girişi'!N139</f>
        <v>0</v>
      </c>
      <c r="O17" s="221">
        <f>'Kafa Sayımı Veri Girişi'!O139</f>
        <v>0</v>
      </c>
      <c r="P17" s="302"/>
      <c r="Q17" s="304"/>
      <c r="R17" s="221">
        <f>'Kafa Sayımı Veri Girişi'!R139</f>
        <v>0</v>
      </c>
      <c r="S17" s="221">
        <f>'Kafa Sayımı Veri Girişi'!S139</f>
        <v>0</v>
      </c>
      <c r="T17" s="221">
        <f>'Kafa Sayımı Veri Girişi'!T139</f>
        <v>0</v>
      </c>
      <c r="U17" s="221">
        <f>'Kafa Sayımı Veri Girişi'!U139</f>
        <v>0</v>
      </c>
      <c r="V17" s="221">
        <f>'Kafa Sayımı Veri Girişi'!V139</f>
        <v>0</v>
      </c>
      <c r="W17" s="302"/>
      <c r="X17" s="304"/>
      <c r="Y17" s="221">
        <f>'Kafa Sayımı Veri Girişi'!Y139</f>
        <v>0</v>
      </c>
      <c r="Z17" s="221">
        <f>'Kafa Sayımı Veri Girişi'!Z139</f>
        <v>0</v>
      </c>
      <c r="AA17" s="221">
        <f>'Kafa Sayımı Veri Girişi'!AA139</f>
        <v>0</v>
      </c>
      <c r="AB17" s="221">
        <f>'Kafa Sayımı Veri Girişi'!AB139</f>
        <v>0</v>
      </c>
      <c r="AC17" s="221">
        <f>'Kafa Sayımı Veri Girişi'!AC139</f>
        <v>0</v>
      </c>
      <c r="AD17" s="302"/>
      <c r="AE17" s="304"/>
      <c r="AF17" s="221">
        <f>'Kafa Sayımı Veri Girişi'!AF139</f>
        <v>0</v>
      </c>
      <c r="AG17" s="221">
        <f>'Kafa Sayımı Veri Girişi'!AG139</f>
        <v>0</v>
      </c>
      <c r="AH17" s="221">
        <f>'Kafa Sayımı Veri Girişi'!AH139</f>
        <v>0</v>
      </c>
      <c r="AI17" s="221">
        <f>'Kafa Sayımı Veri Girişi'!AI139</f>
        <v>0</v>
      </c>
      <c r="AJ17" s="221">
        <f>'Kafa Sayımı Veri Girişi'!AJ139</f>
        <v>0</v>
      </c>
      <c r="AK17" s="302"/>
      <c r="AL17" s="304"/>
      <c r="AM17" s="221">
        <f>'Kafa Sayımı Veri Girişi'!AM139</f>
        <v>0</v>
      </c>
      <c r="AN17" s="221">
        <f>'Kafa Sayımı Veri Girişi'!AN139</f>
        <v>0</v>
      </c>
      <c r="AO17" s="221">
        <f>'Kafa Sayımı Veri Girişi'!AO139</f>
        <v>0</v>
      </c>
      <c r="AP17" s="221">
        <f>'Kafa Sayımı Veri Girişi'!AP139</f>
        <v>0</v>
      </c>
      <c r="AQ17" s="221">
        <f>'Kafa Sayımı Veri Girişi'!AQ139</f>
        <v>0</v>
      </c>
      <c r="AR17" s="302"/>
      <c r="AS17" s="304"/>
      <c r="AT17" s="221">
        <f>'Kafa Sayımı Veri Girişi'!AT139</f>
        <v>0</v>
      </c>
      <c r="AU17" s="221">
        <f>'Kafa Sayımı Veri Girişi'!AU139</f>
        <v>0</v>
      </c>
      <c r="AV17" s="221">
        <f>'Kafa Sayımı Veri Girişi'!AV139</f>
        <v>0</v>
      </c>
      <c r="AW17" s="221">
        <f>'Kafa Sayımı Veri Girişi'!AW139</f>
        <v>0</v>
      </c>
      <c r="AX17" s="221">
        <f>'Kafa Sayımı Veri Girişi'!AX139</f>
        <v>0</v>
      </c>
      <c r="AY17" s="302"/>
      <c r="AZ17" s="304"/>
      <c r="BA17" s="221">
        <f>'Kafa Sayımı Veri Girişi'!BA139</f>
        <v>0</v>
      </c>
      <c r="BB17" s="221">
        <f>'Kafa Sayımı Veri Girişi'!BB139</f>
        <v>0</v>
      </c>
      <c r="BC17" s="221">
        <f>'Kafa Sayımı Veri Girişi'!BC139</f>
        <v>0</v>
      </c>
      <c r="BD17" s="221">
        <f>'Kafa Sayımı Veri Girişi'!BD139</f>
        <v>0</v>
      </c>
      <c r="BE17" s="221">
        <f>'Kafa Sayımı Veri Girişi'!BE139</f>
        <v>0</v>
      </c>
      <c r="BF17" s="302"/>
      <c r="BG17" s="304"/>
      <c r="BH17" s="221">
        <f>'Kafa Sayımı Veri Girişi'!BH139</f>
        <v>0</v>
      </c>
      <c r="BI17" s="221">
        <f>'Kafa Sayımı Veri Girişi'!BI139</f>
        <v>0</v>
      </c>
      <c r="BJ17" s="221">
        <f>'Kafa Sayımı Veri Girişi'!BJ139</f>
        <v>0</v>
      </c>
      <c r="BK17" s="221">
        <f>'Kafa Sayımı Veri Girişi'!BK139</f>
        <v>0</v>
      </c>
      <c r="BL17" s="221">
        <f>'Kafa Sayımı Veri Girişi'!BL139</f>
        <v>0</v>
      </c>
      <c r="BM17" s="302"/>
      <c r="BN17" s="304"/>
      <c r="BO17" s="221">
        <f>'Kafa Sayımı Veri Girişi'!BO139</f>
        <v>0</v>
      </c>
      <c r="BP17" s="221">
        <f>'Kafa Sayımı Veri Girişi'!BP139</f>
        <v>0</v>
      </c>
      <c r="BQ17" s="221">
        <f>'Kafa Sayımı Veri Girişi'!BQ139</f>
        <v>0</v>
      </c>
      <c r="BR17" s="221">
        <f>'Kafa Sayımı Veri Girişi'!BR139</f>
        <v>0</v>
      </c>
      <c r="BS17" s="221">
        <f>'Kafa Sayımı Veri Girişi'!BS139</f>
        <v>0</v>
      </c>
      <c r="BT17" s="302"/>
      <c r="BU17" s="304"/>
      <c r="BV17" s="221">
        <f>'Kafa Sayımı Veri Girişi'!BV139</f>
        <v>0</v>
      </c>
      <c r="BW17" s="221">
        <f>'Kafa Sayımı Veri Girişi'!BW139</f>
        <v>0</v>
      </c>
      <c r="BX17" s="221">
        <f>'Kafa Sayımı Veri Girişi'!BX139</f>
        <v>0</v>
      </c>
      <c r="BY17" s="221">
        <f>'Kafa Sayımı Veri Girişi'!BY139</f>
        <v>0</v>
      </c>
      <c r="BZ17" s="221">
        <f>'Kafa Sayımı Veri Girişi'!BZ139</f>
        <v>0</v>
      </c>
      <c r="CA17" s="302"/>
      <c r="CB17" s="304"/>
      <c r="CC17" s="221">
        <f>'Kafa Sayımı Veri Girişi'!CC139</f>
        <v>0</v>
      </c>
      <c r="CD17" s="221">
        <f>'Kafa Sayımı Veri Girişi'!CD139</f>
        <v>0</v>
      </c>
      <c r="CE17" s="221">
        <f>'Kafa Sayımı Veri Girişi'!CE139</f>
        <v>0</v>
      </c>
      <c r="CF17" s="221">
        <f>'Kafa Sayımı Veri Girişi'!CF139</f>
        <v>0</v>
      </c>
      <c r="CG17" s="221">
        <f>'Kafa Sayımı Veri Girişi'!CG139</f>
        <v>0</v>
      </c>
      <c r="CH17" s="302"/>
      <c r="CI17" s="304"/>
      <c r="CJ17" s="221">
        <f>'Kafa Sayımı Veri Girişi'!CJ139</f>
        <v>0</v>
      </c>
      <c r="CK17" s="221">
        <f>'Kafa Sayımı Veri Girişi'!CK139</f>
        <v>0</v>
      </c>
      <c r="CL17" s="221">
        <f>'Kafa Sayımı Veri Girişi'!CL139</f>
        <v>0</v>
      </c>
      <c r="CM17" s="221">
        <f>'Kafa Sayımı Veri Girişi'!CM139</f>
        <v>0</v>
      </c>
      <c r="CN17" s="221">
        <f>'Kafa Sayımı Veri Girişi'!CN139</f>
        <v>0</v>
      </c>
      <c r="CO17" s="302"/>
      <c r="CP17" s="304"/>
      <c r="CQ17" s="221">
        <f>'Kafa Sayımı Veri Girişi'!CQ139</f>
        <v>0</v>
      </c>
      <c r="CR17" s="221">
        <f>'Kafa Sayımı Veri Girişi'!CR139</f>
        <v>0</v>
      </c>
      <c r="CS17" s="221">
        <f>'Kafa Sayımı Veri Girişi'!CS139</f>
        <v>0</v>
      </c>
      <c r="CT17" s="221">
        <f>'Kafa Sayımı Veri Girişi'!CT139</f>
        <v>0</v>
      </c>
      <c r="CU17" s="221">
        <f>'Kafa Sayımı Veri Girişi'!CU139</f>
        <v>0</v>
      </c>
      <c r="CV17" s="302"/>
      <c r="CW17" s="304"/>
      <c r="CX17" s="221">
        <f>'Kafa Sayımı Veri Girişi'!CX139</f>
        <v>0</v>
      </c>
      <c r="CY17" s="221">
        <f>'Kafa Sayımı Veri Girişi'!CY139</f>
        <v>0</v>
      </c>
      <c r="CZ17" s="221">
        <f>'Kafa Sayımı Veri Girişi'!CZ139</f>
        <v>0</v>
      </c>
      <c r="DA17" s="221">
        <f>'Kafa Sayımı Veri Girişi'!DA139</f>
        <v>0</v>
      </c>
      <c r="DB17" s="221">
        <f>'Kafa Sayımı Veri Girişi'!DB139</f>
        <v>0</v>
      </c>
      <c r="DC17" s="302"/>
      <c r="DD17" s="304"/>
      <c r="DE17" s="221">
        <f>'Kafa Sayımı Veri Girişi'!DE139</f>
        <v>0</v>
      </c>
      <c r="DF17" s="221">
        <f>'Kafa Sayımı Veri Girişi'!DF139</f>
        <v>0</v>
      </c>
      <c r="DG17" s="221">
        <f>'Kafa Sayımı Veri Girişi'!DG139</f>
        <v>0</v>
      </c>
      <c r="DH17" s="221">
        <f>'Kafa Sayımı Veri Girişi'!DH139</f>
        <v>0</v>
      </c>
      <c r="DI17" s="221">
        <f>'Kafa Sayımı Veri Girişi'!DI139</f>
        <v>0</v>
      </c>
      <c r="DJ17" s="302"/>
      <c r="DK17" s="304"/>
      <c r="DL17" s="221">
        <f>'Kafa Sayımı Veri Girişi'!DL139</f>
        <v>0</v>
      </c>
      <c r="DM17" s="221">
        <f>'Kafa Sayımı Veri Girişi'!DM139</f>
        <v>0</v>
      </c>
      <c r="DN17" s="221">
        <f>'Kafa Sayımı Veri Girişi'!DN139</f>
        <v>0</v>
      </c>
      <c r="DO17" s="221">
        <f>'Kafa Sayımı Veri Girişi'!DO139</f>
        <v>0</v>
      </c>
      <c r="DP17" s="221">
        <f>'Kafa Sayımı Veri Girişi'!DP139</f>
        <v>0</v>
      </c>
      <c r="DQ17" s="302"/>
      <c r="DR17" s="304"/>
      <c r="DS17" s="221">
        <f>'Kafa Sayımı Veri Girişi'!DS139</f>
        <v>0</v>
      </c>
      <c r="DT17" s="221">
        <f>'Kafa Sayımı Veri Girişi'!DT139</f>
        <v>0</v>
      </c>
      <c r="DU17" s="221">
        <f>'Kafa Sayımı Veri Girişi'!DU139</f>
        <v>0</v>
      </c>
      <c r="DV17" s="221">
        <f>'Kafa Sayımı Veri Girişi'!DV139</f>
        <v>0</v>
      </c>
      <c r="DW17" s="221">
        <f>'Kafa Sayımı Veri Girişi'!DW139</f>
        <v>0</v>
      </c>
      <c r="DX17" s="302"/>
      <c r="DY17" s="304"/>
      <c r="DZ17" s="221">
        <f>'Kafa Sayımı Veri Girişi'!DZ139</f>
        <v>0</v>
      </c>
      <c r="EA17" s="221">
        <f>'Kafa Sayımı Veri Girişi'!EA139</f>
        <v>0</v>
      </c>
      <c r="EB17" s="221">
        <f>'Kafa Sayımı Veri Girişi'!EB139</f>
        <v>0</v>
      </c>
      <c r="EC17" s="221">
        <f>'Kafa Sayımı Veri Girişi'!EC139</f>
        <v>0</v>
      </c>
      <c r="ED17" s="221">
        <f>'Kafa Sayımı Veri Girişi'!ED139</f>
        <v>0</v>
      </c>
      <c r="EE17" s="302"/>
      <c r="EF17" s="304"/>
      <c r="EG17" s="221">
        <f>'Kafa Sayımı Veri Girişi'!EG139</f>
        <v>0</v>
      </c>
      <c r="EH17" s="221">
        <f>'Kafa Sayımı Veri Girişi'!EH139</f>
        <v>0</v>
      </c>
      <c r="EI17" s="221">
        <f>'Kafa Sayımı Veri Girişi'!EI139</f>
        <v>0</v>
      </c>
      <c r="EJ17" s="221">
        <f>'Kafa Sayımı Veri Girişi'!EJ139</f>
        <v>0</v>
      </c>
      <c r="EK17" s="221">
        <f>'Kafa Sayımı Veri Girişi'!EK139</f>
        <v>0</v>
      </c>
      <c r="EL17" s="302"/>
      <c r="EM17" s="304"/>
      <c r="EN17" s="221">
        <f>'Kafa Sayımı Veri Girişi'!EN139</f>
        <v>0</v>
      </c>
      <c r="EO17" s="221">
        <f>'Kafa Sayımı Veri Girişi'!EO139</f>
        <v>0</v>
      </c>
      <c r="EP17" s="221">
        <f>'Kafa Sayımı Veri Girişi'!EP139</f>
        <v>0</v>
      </c>
      <c r="EQ17" s="221">
        <f>'Kafa Sayımı Veri Girişi'!EQ139</f>
        <v>0</v>
      </c>
      <c r="ER17" s="221">
        <f>'Kafa Sayımı Veri Girişi'!ER139</f>
        <v>0</v>
      </c>
      <c r="ES17" s="302"/>
      <c r="ET17" s="304"/>
      <c r="EU17" s="221">
        <f>'Kafa Sayımı Veri Girişi'!EU139</f>
        <v>0</v>
      </c>
      <c r="EV17" s="221">
        <f>'Kafa Sayımı Veri Girişi'!EV139</f>
        <v>0</v>
      </c>
      <c r="EW17" s="221">
        <f>'Kafa Sayımı Veri Girişi'!EW139</f>
        <v>0</v>
      </c>
      <c r="EX17" s="221">
        <f>'Kafa Sayımı Veri Girişi'!EX139</f>
        <v>0</v>
      </c>
      <c r="EY17" s="221">
        <f>'Kafa Sayımı Veri Girişi'!EY139</f>
        <v>0</v>
      </c>
      <c r="EZ17" s="302"/>
      <c r="FA17" s="304"/>
      <c r="FB17" s="221">
        <f>'Kafa Sayımı Veri Girişi'!FB139</f>
        <v>0</v>
      </c>
      <c r="FC17" s="221">
        <f>'Kafa Sayımı Veri Girişi'!FC139</f>
        <v>0</v>
      </c>
      <c r="FD17" s="221">
        <f>'Kafa Sayımı Veri Girişi'!FD139</f>
        <v>0</v>
      </c>
      <c r="FE17" s="221">
        <f>'Kafa Sayımı Veri Girişi'!FE139</f>
        <v>0</v>
      </c>
      <c r="FF17" s="221">
        <f>'Kafa Sayımı Veri Girişi'!FF139</f>
        <v>0</v>
      </c>
      <c r="FG17" s="302"/>
      <c r="FH17" s="304"/>
      <c r="FI17" s="221">
        <f>'Kafa Sayımı Veri Girişi'!FI139</f>
        <v>0</v>
      </c>
      <c r="FJ17" s="221">
        <f>'Kafa Sayımı Veri Girişi'!FJ139</f>
        <v>0</v>
      </c>
      <c r="FK17" s="221">
        <f>'Kafa Sayımı Veri Girişi'!FK139</f>
        <v>0</v>
      </c>
      <c r="FL17" s="221">
        <f>'Kafa Sayımı Veri Girişi'!FL139</f>
        <v>0</v>
      </c>
      <c r="FM17" s="221">
        <f>'Kafa Sayımı Veri Girişi'!FM139</f>
        <v>0</v>
      </c>
      <c r="FN17" s="302"/>
      <c r="FO17" s="304"/>
      <c r="FP17" s="221">
        <f>'Kafa Sayımı Veri Girişi'!FP139</f>
        <v>0</v>
      </c>
      <c r="FQ17" s="221">
        <f>'Kafa Sayımı Veri Girişi'!FQ139</f>
        <v>0</v>
      </c>
      <c r="FR17" s="221">
        <f>'Kafa Sayımı Veri Girişi'!FR139</f>
        <v>0</v>
      </c>
      <c r="FS17" s="221">
        <f>'Kafa Sayımı Veri Girişi'!FS139</f>
        <v>0</v>
      </c>
      <c r="FT17" s="221">
        <f>'Kafa Sayımı Veri Girişi'!FT139</f>
        <v>0</v>
      </c>
      <c r="FU17" s="302"/>
      <c r="FV17" s="304"/>
      <c r="FW17" s="221">
        <f>'Kafa Sayımı Veri Girişi'!FW139</f>
        <v>0</v>
      </c>
      <c r="FX17" s="221">
        <f>'Kafa Sayımı Veri Girişi'!FX139</f>
        <v>0</v>
      </c>
      <c r="FY17" s="221">
        <f>'Kafa Sayımı Veri Girişi'!FY139</f>
        <v>0</v>
      </c>
      <c r="FZ17" s="221">
        <f>'Kafa Sayımı Veri Girişi'!FZ139</f>
        <v>0</v>
      </c>
      <c r="GA17" s="221">
        <f>'Kafa Sayımı Veri Girişi'!GA139</f>
        <v>0</v>
      </c>
      <c r="GB17" s="302"/>
      <c r="GC17" s="304"/>
      <c r="GD17" s="221">
        <f>'Kafa Sayımı Veri Girişi'!GD139</f>
        <v>0</v>
      </c>
      <c r="GE17" s="221">
        <f>'Kafa Sayımı Veri Girişi'!GE139</f>
        <v>0</v>
      </c>
      <c r="GF17" s="221">
        <f>'Kafa Sayımı Veri Girişi'!GF139</f>
        <v>0</v>
      </c>
      <c r="GG17" s="221">
        <f>'Kafa Sayımı Veri Girişi'!GG139</f>
        <v>0</v>
      </c>
      <c r="GH17" s="221">
        <f>'Kafa Sayımı Veri Girişi'!GH139</f>
        <v>0</v>
      </c>
      <c r="GI17" s="302"/>
      <c r="GJ17" s="304"/>
      <c r="GK17" s="221">
        <f>'Kafa Sayımı Veri Girişi'!GK139</f>
        <v>0</v>
      </c>
      <c r="GL17" s="221">
        <f>'Kafa Sayımı Veri Girişi'!GL139</f>
        <v>0</v>
      </c>
      <c r="GM17" s="221">
        <f>'Kafa Sayımı Veri Girişi'!GM139</f>
        <v>0</v>
      </c>
      <c r="GN17" s="221">
        <f>'Kafa Sayımı Veri Girişi'!GN139</f>
        <v>0</v>
      </c>
      <c r="GO17" s="221">
        <f>'Kafa Sayımı Veri Girişi'!GO139</f>
        <v>0</v>
      </c>
      <c r="GP17" s="302"/>
      <c r="GQ17" s="304"/>
      <c r="GR17" s="221">
        <f>'Kafa Sayımı Veri Girişi'!GR139</f>
        <v>0</v>
      </c>
      <c r="GS17" s="221">
        <f>'Kafa Sayımı Veri Girişi'!GS139</f>
        <v>0</v>
      </c>
      <c r="GT17" s="221">
        <f>'Kafa Sayımı Veri Girişi'!GT139</f>
        <v>0</v>
      </c>
      <c r="GU17" s="221">
        <f>'Kafa Sayımı Veri Girişi'!GU139</f>
        <v>0</v>
      </c>
      <c r="GV17" s="221">
        <f>'Kafa Sayımı Veri Girişi'!GV139</f>
        <v>0</v>
      </c>
      <c r="GW17" s="302"/>
      <c r="GX17" s="304"/>
      <c r="GY17" s="221">
        <f>'Kafa Sayımı Veri Girişi'!CJ139</f>
        <v>0</v>
      </c>
      <c r="GZ17" s="221">
        <f>'Kafa Sayımı Veri Girişi'!CK139</f>
        <v>0</v>
      </c>
      <c r="HA17" s="221">
        <f>'Kafa Sayımı Veri Girişi'!CL139</f>
        <v>0</v>
      </c>
      <c r="HB17" s="221">
        <f>'Kafa Sayımı Veri Girişi'!CM139</f>
        <v>0</v>
      </c>
      <c r="HC17" s="221">
        <f>'Kafa Sayımı Veri Girişi'!CN139</f>
        <v>0</v>
      </c>
      <c r="HD17" s="302"/>
      <c r="HE17" s="304"/>
      <c r="HF17" s="221">
        <f>'Kafa Sayımı Veri Girişi'!CQ139</f>
        <v>0</v>
      </c>
      <c r="HG17" s="221">
        <f>'Kafa Sayımı Veri Girişi'!CR139</f>
        <v>0</v>
      </c>
      <c r="HH17" s="221">
        <f>'Kafa Sayımı Veri Girişi'!CS139</f>
        <v>0</v>
      </c>
      <c r="HI17" s="221">
        <f>'Kafa Sayımı Veri Girişi'!CT139</f>
        <v>0</v>
      </c>
      <c r="HJ17" s="221">
        <f>'Kafa Sayımı Veri Girişi'!CU139</f>
        <v>0</v>
      </c>
      <c r="HK17" s="302"/>
      <c r="HL17" s="304"/>
      <c r="HM17" s="221">
        <f>'Kafa Sayımı Veri Girişi'!CX139</f>
        <v>0</v>
      </c>
      <c r="HN17" s="221">
        <f>'Kafa Sayımı Veri Girişi'!CY139</f>
        <v>0</v>
      </c>
      <c r="HO17" s="221">
        <f>'Kafa Sayımı Veri Girişi'!CZ139</f>
        <v>0</v>
      </c>
      <c r="HP17" s="221">
        <f>'Kafa Sayımı Veri Girişi'!DA139</f>
        <v>0</v>
      </c>
      <c r="HQ17" s="221">
        <f>'Kafa Sayımı Veri Girişi'!DB139</f>
        <v>0</v>
      </c>
      <c r="HR17" s="302"/>
      <c r="HS17" s="304"/>
      <c r="HT17" s="221">
        <f>'Kafa Sayımı Veri Girişi'!DE139</f>
        <v>0</v>
      </c>
      <c r="HU17" s="221">
        <f>'Kafa Sayımı Veri Girişi'!DF139</f>
        <v>0</v>
      </c>
      <c r="HV17" s="221">
        <f>'Kafa Sayımı Veri Girişi'!DG139</f>
        <v>0</v>
      </c>
      <c r="HW17" s="221">
        <f>'Kafa Sayımı Veri Girişi'!DH139</f>
        <v>0</v>
      </c>
      <c r="HX17" s="221">
        <f>'Kafa Sayımı Veri Girişi'!DI139</f>
        <v>0</v>
      </c>
      <c r="HY17" s="302"/>
      <c r="HZ17" s="304"/>
      <c r="IA17" s="221">
        <f>'Kafa Sayımı Veri Girişi'!DL139</f>
        <v>0</v>
      </c>
      <c r="IB17" s="221">
        <f>'Kafa Sayımı Veri Girişi'!DM139</f>
        <v>0</v>
      </c>
      <c r="IC17" s="221">
        <f>'Kafa Sayımı Veri Girişi'!DN139</f>
        <v>0</v>
      </c>
      <c r="ID17" s="221">
        <f>'Kafa Sayımı Veri Girişi'!DO139</f>
        <v>0</v>
      </c>
      <c r="IE17" s="221">
        <f>'Kafa Sayımı Veri Girişi'!DP139</f>
        <v>0</v>
      </c>
      <c r="IF17" s="302"/>
      <c r="IG17" s="304"/>
      <c r="IH17" s="221">
        <f>'Kafa Sayımı Veri Girişi'!DS139</f>
        <v>0</v>
      </c>
      <c r="II17" s="221">
        <f>'Kafa Sayımı Veri Girişi'!DT139</f>
        <v>0</v>
      </c>
      <c r="IJ17" s="221">
        <f>'Kafa Sayımı Veri Girişi'!DU139</f>
        <v>0</v>
      </c>
      <c r="IK17" s="221">
        <f>'Kafa Sayımı Veri Girişi'!DV139</f>
        <v>0</v>
      </c>
      <c r="IL17" s="221">
        <f>'Kafa Sayımı Veri Girişi'!DW139</f>
        <v>0</v>
      </c>
      <c r="IM17" s="302"/>
      <c r="IN17" s="304"/>
      <c r="IO17" s="221">
        <f>'Kafa Sayımı Veri Girişi'!DZ139</f>
        <v>0</v>
      </c>
      <c r="IP17" s="221">
        <f>'Kafa Sayımı Veri Girişi'!EA139</f>
        <v>0</v>
      </c>
      <c r="IQ17" s="221">
        <f>'Kafa Sayımı Veri Girişi'!EB139</f>
        <v>0</v>
      </c>
      <c r="IR17" s="221">
        <f>'Kafa Sayımı Veri Girişi'!EC139</f>
        <v>0</v>
      </c>
      <c r="IS17" s="221">
        <f>'Kafa Sayımı Veri Girişi'!ED139</f>
        <v>0</v>
      </c>
      <c r="IT17" s="302"/>
      <c r="IU17" s="304"/>
      <c r="IV17" s="221">
        <f>'Kafa Sayımı Veri Girişi'!EG139</f>
        <v>0</v>
      </c>
      <c r="IW17" s="221">
        <f>'Kafa Sayımı Veri Girişi'!EH139</f>
        <v>0</v>
      </c>
      <c r="IX17" s="221">
        <f>'Kafa Sayımı Veri Girişi'!EI139</f>
        <v>0</v>
      </c>
      <c r="IY17" s="221">
        <f>'Kafa Sayımı Veri Girişi'!EJ139</f>
        <v>0</v>
      </c>
      <c r="IZ17" s="221">
        <f>'Kafa Sayımı Veri Girişi'!EK139</f>
        <v>0</v>
      </c>
      <c r="JA17" s="302"/>
      <c r="JB17" s="304"/>
      <c r="JC17" s="221">
        <f>'Kafa Sayımı Veri Girişi'!EN139</f>
        <v>0</v>
      </c>
      <c r="JD17" s="221">
        <f>'Kafa Sayımı Veri Girişi'!EO139</f>
        <v>0</v>
      </c>
      <c r="JE17" s="221">
        <f>'Kafa Sayımı Veri Girişi'!EP139</f>
        <v>0</v>
      </c>
      <c r="JF17" s="221">
        <f>'Kafa Sayımı Veri Girişi'!EQ139</f>
        <v>0</v>
      </c>
      <c r="JG17" s="221">
        <f>'Kafa Sayımı Veri Girişi'!ER139</f>
        <v>0</v>
      </c>
      <c r="JH17" s="302"/>
      <c r="JI17" s="304"/>
      <c r="JJ17" s="221">
        <f>'Kafa Sayımı Veri Girişi'!EU139</f>
        <v>0</v>
      </c>
      <c r="JK17" s="221">
        <f>'Kafa Sayımı Veri Girişi'!EV139</f>
        <v>0</v>
      </c>
      <c r="JL17" s="221">
        <f>'Kafa Sayımı Veri Girişi'!EW139</f>
        <v>0</v>
      </c>
      <c r="JM17" s="221">
        <f>'Kafa Sayımı Veri Girişi'!EX139</f>
        <v>0</v>
      </c>
      <c r="JN17" s="221">
        <f>'Kafa Sayımı Veri Girişi'!EY139</f>
        <v>0</v>
      </c>
      <c r="JO17" s="302"/>
      <c r="JP17" s="304"/>
      <c r="JQ17" s="221">
        <f>'Kafa Sayımı Veri Girişi'!FB139</f>
        <v>0</v>
      </c>
      <c r="JR17" s="221">
        <f>'Kafa Sayımı Veri Girişi'!FC139</f>
        <v>0</v>
      </c>
      <c r="JS17" s="221">
        <f>'Kafa Sayımı Veri Girişi'!FD139</f>
        <v>0</v>
      </c>
      <c r="JT17" s="221">
        <f>'Kafa Sayımı Veri Girişi'!FE139</f>
        <v>0</v>
      </c>
      <c r="JU17" s="221">
        <f>'Kafa Sayımı Veri Girişi'!FF139</f>
        <v>0</v>
      </c>
      <c r="JV17" s="302"/>
      <c r="JW17" s="304"/>
      <c r="JX17" s="221">
        <f>'Kafa Sayımı Veri Girişi'!FI139</f>
        <v>0</v>
      </c>
      <c r="JY17" s="221">
        <f>'Kafa Sayımı Veri Girişi'!FJ139</f>
        <v>0</v>
      </c>
      <c r="JZ17" s="221">
        <f>'Kafa Sayımı Veri Girişi'!FK139</f>
        <v>0</v>
      </c>
      <c r="KA17" s="221">
        <f>'Kafa Sayımı Veri Girişi'!FL139</f>
        <v>0</v>
      </c>
      <c r="KB17" s="221">
        <f>'Kafa Sayımı Veri Girişi'!FM139</f>
        <v>0</v>
      </c>
      <c r="KC17" s="302"/>
      <c r="KD17" s="304"/>
      <c r="KE17" s="221">
        <f>'Kafa Sayımı Veri Girişi'!FP139</f>
        <v>0</v>
      </c>
      <c r="KF17" s="221">
        <f>'Kafa Sayımı Veri Girişi'!FQ139</f>
        <v>0</v>
      </c>
      <c r="KG17" s="221">
        <f>'Kafa Sayımı Veri Girişi'!FR139</f>
        <v>0</v>
      </c>
      <c r="KH17" s="221">
        <f>'Kafa Sayımı Veri Girişi'!FS139</f>
        <v>0</v>
      </c>
      <c r="KI17" s="221">
        <f>'Kafa Sayımı Veri Girişi'!FT139</f>
        <v>0</v>
      </c>
      <c r="KJ17" s="302"/>
      <c r="KK17" s="304"/>
      <c r="KL17" s="221">
        <f>'Kafa Sayımı Veri Girişi'!FW139</f>
        <v>0</v>
      </c>
      <c r="KM17" s="221">
        <f>'Kafa Sayımı Veri Girişi'!FX139</f>
        <v>0</v>
      </c>
      <c r="KN17" s="221">
        <f>'Kafa Sayımı Veri Girişi'!FY139</f>
        <v>0</v>
      </c>
      <c r="KO17" s="221">
        <f>'Kafa Sayımı Veri Girişi'!FZ139</f>
        <v>0</v>
      </c>
      <c r="KP17" s="221">
        <f>'Kafa Sayımı Veri Girişi'!GA139</f>
        <v>0</v>
      </c>
      <c r="KQ17" s="302"/>
      <c r="KR17" s="304"/>
      <c r="KS17" s="221">
        <f>'Kafa Sayımı Veri Girişi'!GD139</f>
        <v>0</v>
      </c>
      <c r="KT17" s="221">
        <f>'Kafa Sayımı Veri Girişi'!GE139</f>
        <v>0</v>
      </c>
      <c r="KU17" s="221">
        <f>'Kafa Sayımı Veri Girişi'!GF139</f>
        <v>0</v>
      </c>
      <c r="KV17" s="221">
        <f>'Kafa Sayımı Veri Girişi'!GG139</f>
        <v>0</v>
      </c>
      <c r="KW17" s="221">
        <f>'Kafa Sayımı Veri Girişi'!GH139</f>
        <v>0</v>
      </c>
      <c r="KX17" s="302"/>
      <c r="KY17" s="304"/>
      <c r="KZ17" s="221">
        <f>'Kafa Sayımı Veri Girişi'!GK139</f>
        <v>0</v>
      </c>
      <c r="LA17" s="221">
        <f>'Kafa Sayımı Veri Girişi'!GL139</f>
        <v>0</v>
      </c>
      <c r="LB17" s="221">
        <f>'Kafa Sayımı Veri Girişi'!GM139</f>
        <v>0</v>
      </c>
      <c r="LC17" s="221">
        <f>'Kafa Sayımı Veri Girişi'!GN139</f>
        <v>0</v>
      </c>
      <c r="LD17" s="221">
        <f>'Kafa Sayımı Veri Girişi'!GO139</f>
        <v>0</v>
      </c>
      <c r="LE17" s="302"/>
      <c r="LF17" s="304"/>
      <c r="LG17" s="221">
        <f>'Kafa Sayımı Veri Girişi'!GR139</f>
        <v>0</v>
      </c>
      <c r="LH17" s="221">
        <f>'Kafa Sayımı Veri Girişi'!GS139</f>
        <v>0</v>
      </c>
      <c r="LI17" s="221">
        <f>'Kafa Sayımı Veri Girişi'!GT139</f>
        <v>0</v>
      </c>
      <c r="LJ17" s="221">
        <f>'Kafa Sayımı Veri Girişi'!GU139</f>
        <v>0</v>
      </c>
      <c r="LK17" s="221">
        <f>'Kafa Sayımı Veri Girişi'!GV139</f>
        <v>0</v>
      </c>
      <c r="LL17" s="302"/>
      <c r="LM17" s="304"/>
      <c r="LN17" s="221">
        <f>'Kafa Sayımı Veri Girişi'!GY139</f>
        <v>0</v>
      </c>
      <c r="LO17" s="221">
        <f>'Kafa Sayımı Veri Girişi'!GZ139</f>
        <v>0</v>
      </c>
      <c r="LP17" s="221">
        <f>'Kafa Sayımı Veri Girişi'!HA139</f>
        <v>0</v>
      </c>
      <c r="LQ17" s="221">
        <f>'Kafa Sayımı Veri Girişi'!HB139</f>
        <v>0</v>
      </c>
      <c r="LR17" s="221">
        <f>'Kafa Sayımı Veri Girişi'!HC139</f>
        <v>0</v>
      </c>
      <c r="LS17" s="302"/>
      <c r="LT17" s="304"/>
      <c r="LU17" s="221">
        <f>'Kafa Sayımı Veri Girişi'!HF139</f>
        <v>0</v>
      </c>
      <c r="LV17" s="221">
        <f>'Kafa Sayımı Veri Girişi'!HG139</f>
        <v>0</v>
      </c>
      <c r="LW17" s="221">
        <f>'Kafa Sayımı Veri Girişi'!HH139</f>
        <v>0</v>
      </c>
      <c r="LX17" s="221">
        <f>'Kafa Sayımı Veri Girişi'!HI139</f>
        <v>0</v>
      </c>
      <c r="LY17" s="221">
        <f>'Kafa Sayımı Veri Girişi'!HJ139</f>
        <v>0</v>
      </c>
      <c r="LZ17" s="302"/>
      <c r="MA17" s="304"/>
      <c r="MB17" s="221">
        <f>'Kafa Sayımı Veri Girişi'!HM139</f>
        <v>0</v>
      </c>
      <c r="MC17" s="221">
        <f>'Kafa Sayımı Veri Girişi'!HN139</f>
        <v>0</v>
      </c>
      <c r="MD17" s="221">
        <f>'Kafa Sayımı Veri Girişi'!HO139</f>
        <v>0</v>
      </c>
      <c r="ME17" s="221">
        <f>'Kafa Sayımı Veri Girişi'!HP139</f>
        <v>0</v>
      </c>
      <c r="MF17" s="221">
        <f>'Kafa Sayımı Veri Girişi'!HQ139</f>
        <v>0</v>
      </c>
      <c r="MG17" s="302"/>
      <c r="MH17" s="304"/>
      <c r="MI17" s="221">
        <f>'Kafa Sayımı Veri Girişi'!HT139</f>
        <v>0</v>
      </c>
      <c r="MJ17" s="221">
        <f>'Kafa Sayımı Veri Girişi'!HU139</f>
        <v>0</v>
      </c>
      <c r="MK17" s="221">
        <f>'Kafa Sayımı Veri Girişi'!HV139</f>
        <v>0</v>
      </c>
      <c r="ML17" s="221">
        <f>'Kafa Sayımı Veri Girişi'!HW139</f>
        <v>0</v>
      </c>
      <c r="MM17" s="221">
        <f>'Kafa Sayımı Veri Girişi'!HX139</f>
        <v>0</v>
      </c>
      <c r="MN17" s="302"/>
      <c r="MO17" s="304"/>
      <c r="MP17" s="221">
        <f>'Kafa Sayımı Veri Girişi'!IA139</f>
        <v>0</v>
      </c>
      <c r="MQ17" s="221">
        <f>'Kafa Sayımı Veri Girişi'!IB139</f>
        <v>0</v>
      </c>
      <c r="MR17" s="221">
        <f>'Kafa Sayımı Veri Girişi'!IC139</f>
        <v>0</v>
      </c>
      <c r="MS17" s="221">
        <f>'Kafa Sayımı Veri Girişi'!ID139</f>
        <v>0</v>
      </c>
      <c r="MT17" s="221">
        <f>'Kafa Sayımı Veri Girişi'!IE139</f>
        <v>0</v>
      </c>
      <c r="MU17" s="302"/>
      <c r="MV17" s="304"/>
      <c r="MW17" s="221">
        <f>'Kafa Sayımı Veri Girişi'!IH139</f>
        <v>0</v>
      </c>
      <c r="MX17" s="221">
        <f>'Kafa Sayımı Veri Girişi'!II139</f>
        <v>0</v>
      </c>
      <c r="MY17" s="221">
        <f>'Kafa Sayımı Veri Girişi'!IJ139</f>
        <v>0</v>
      </c>
      <c r="MZ17" s="221">
        <f>'Kafa Sayımı Veri Girişi'!IK139</f>
        <v>0</v>
      </c>
      <c r="NA17" s="221">
        <f>'Kafa Sayımı Veri Girişi'!IL139</f>
        <v>0</v>
      </c>
      <c r="NB17" s="302"/>
      <c r="NC17" s="304"/>
      <c r="ND17" s="221">
        <f>'Kafa Sayımı Veri Girişi'!IO139</f>
        <v>0</v>
      </c>
      <c r="NE17" s="333">
        <f t="shared" si="0"/>
        <v>0</v>
      </c>
      <c r="NF17" s="303"/>
      <c r="NG17" s="303"/>
      <c r="NH17" s="303"/>
      <c r="NI17" s="303"/>
      <c r="NJ17" s="303"/>
      <c r="NK17" s="303"/>
      <c r="NL17" s="303"/>
      <c r="NM17" s="303"/>
      <c r="NN17" s="303"/>
      <c r="NO17" s="303"/>
      <c r="NP17" s="303"/>
      <c r="NQ17" s="303"/>
      <c r="NR17" s="303"/>
      <c r="NS17" s="303"/>
      <c r="NT17" s="303"/>
      <c r="NU17" s="303"/>
      <c r="NV17" s="303"/>
      <c r="NW17" s="303"/>
      <c r="NX17" s="303"/>
      <c r="NY17" s="303"/>
      <c r="NZ17" s="303"/>
      <c r="OA17" s="303"/>
      <c r="OB17" s="303"/>
      <c r="OC17" s="303"/>
      <c r="OD17" s="303"/>
      <c r="OE17" s="303"/>
      <c r="OF17" s="303"/>
      <c r="OG17" s="303"/>
      <c r="OH17" s="303"/>
      <c r="OI17" s="303"/>
      <c r="OJ17" s="303"/>
      <c r="OK17" s="303"/>
      <c r="OL17" s="303"/>
      <c r="OM17" s="303"/>
      <c r="ON17" s="303"/>
      <c r="OO17" s="303"/>
      <c r="OP17" s="303"/>
      <c r="OQ17" s="303"/>
      <c r="OR17" s="303"/>
      <c r="OS17" s="303"/>
      <c r="OT17" s="303"/>
      <c r="OU17" s="303"/>
      <c r="OV17" s="303"/>
      <c r="OW17" s="303"/>
      <c r="OX17" s="303"/>
      <c r="OY17" s="303"/>
      <c r="OZ17" s="303"/>
      <c r="PA17" s="303"/>
      <c r="PB17" s="303"/>
      <c r="PC17" s="303"/>
      <c r="PD17" s="303"/>
      <c r="PE17" s="303"/>
      <c r="PF17" s="303"/>
      <c r="PG17" s="303"/>
      <c r="PH17" s="303"/>
      <c r="PI17" s="303"/>
      <c r="PJ17" s="303"/>
      <c r="PK17" s="303"/>
      <c r="PL17" s="303"/>
      <c r="PM17" s="303"/>
      <c r="PN17" s="303"/>
      <c r="PO17" s="303"/>
      <c r="PP17" s="303"/>
      <c r="PQ17" s="303"/>
      <c r="PR17" s="303"/>
      <c r="PS17" s="303"/>
      <c r="PT17" s="303"/>
      <c r="PU17" s="303"/>
      <c r="PV17" s="303"/>
      <c r="PW17" s="303"/>
      <c r="PX17" s="303"/>
      <c r="PY17" s="303"/>
      <c r="PZ17" s="303"/>
      <c r="QA17" s="303"/>
      <c r="QB17" s="303"/>
      <c r="QC17" s="303"/>
      <c r="QD17" s="303"/>
      <c r="QE17" s="303"/>
      <c r="QF17" s="303"/>
      <c r="QG17" s="303"/>
      <c r="QH17" s="303"/>
      <c r="QI17" s="303"/>
      <c r="QJ17" s="303"/>
      <c r="QK17" s="303"/>
      <c r="QL17" s="303"/>
      <c r="QM17" s="303"/>
      <c r="QN17" s="303"/>
      <c r="QO17" s="303"/>
      <c r="QP17" s="303"/>
      <c r="QQ17" s="303"/>
      <c r="QR17" s="303"/>
      <c r="QS17" s="303"/>
      <c r="QT17" s="303"/>
      <c r="QU17" s="303"/>
      <c r="QV17" s="303"/>
      <c r="QW17" s="303"/>
      <c r="QX17" s="303"/>
      <c r="QY17" s="303"/>
      <c r="QZ17" s="303"/>
      <c r="RA17" s="303"/>
      <c r="RB17" s="303"/>
      <c r="RC17" s="303"/>
      <c r="RD17" s="303"/>
      <c r="RE17" s="303"/>
      <c r="RF17" s="303"/>
      <c r="RG17" s="303"/>
      <c r="RH17" s="303"/>
      <c r="RI17" s="303"/>
      <c r="RJ17" s="303"/>
      <c r="RK17" s="303"/>
      <c r="RL17" s="303"/>
      <c r="RM17" s="303"/>
      <c r="RN17" s="303"/>
      <c r="RO17" s="303"/>
      <c r="RP17" s="303"/>
      <c r="RQ17" s="303"/>
      <c r="RR17" s="303"/>
      <c r="RS17" s="303"/>
      <c r="RT17" s="303"/>
      <c r="RU17" s="303"/>
      <c r="RV17" s="303"/>
      <c r="RW17" s="303"/>
      <c r="RX17" s="303"/>
      <c r="RY17" s="303"/>
      <c r="RZ17" s="303"/>
      <c r="SA17" s="303"/>
      <c r="SB17" s="303"/>
      <c r="SC17" s="303"/>
      <c r="SD17" s="303"/>
      <c r="SE17" s="303"/>
      <c r="SF17" s="303"/>
      <c r="SG17" s="303"/>
      <c r="SH17" s="303"/>
      <c r="SI17" s="303"/>
      <c r="SJ17" s="303"/>
      <c r="SK17" s="303"/>
      <c r="SL17" s="303"/>
      <c r="SM17" s="303"/>
      <c r="SN17" s="303"/>
      <c r="SO17" s="303"/>
      <c r="SP17" s="303"/>
      <c r="SQ17" s="303"/>
      <c r="SR17" s="303"/>
      <c r="SS17" s="303"/>
      <c r="ST17" s="303"/>
      <c r="SU17" s="303"/>
      <c r="SV17" s="303"/>
      <c r="SW17" s="303"/>
      <c r="SX17" s="303"/>
      <c r="SY17" s="303"/>
      <c r="SZ17" s="303"/>
      <c r="TA17" s="303"/>
      <c r="TB17" s="303"/>
      <c r="TC17" s="303"/>
      <c r="TD17" s="303"/>
      <c r="TE17" s="303"/>
      <c r="TF17" s="303"/>
      <c r="TG17" s="303"/>
      <c r="TH17" s="303"/>
      <c r="TI17" s="303"/>
      <c r="TJ17" s="303"/>
      <c r="TK17" s="303"/>
      <c r="TL17" s="303"/>
      <c r="TM17" s="303"/>
      <c r="TN17" s="303"/>
      <c r="TO17" s="303"/>
      <c r="TP17" s="303"/>
      <c r="TQ17" s="303"/>
      <c r="TR17" s="303"/>
      <c r="TS17" s="303"/>
      <c r="TT17" s="303"/>
      <c r="TU17" s="303"/>
      <c r="TV17" s="303"/>
      <c r="TW17" s="303"/>
      <c r="TX17" s="303"/>
      <c r="TY17" s="303"/>
      <c r="TZ17" s="303"/>
      <c r="UA17" s="303"/>
      <c r="UB17" s="303"/>
      <c r="UC17" s="303"/>
      <c r="UD17" s="303"/>
      <c r="UE17" s="303"/>
      <c r="UF17" s="303"/>
      <c r="UG17" s="303"/>
      <c r="UH17" s="303"/>
      <c r="UI17" s="303"/>
      <c r="UJ17" s="303"/>
      <c r="UK17" s="303"/>
      <c r="UL17" s="303"/>
      <c r="UM17" s="303"/>
      <c r="UN17" s="303"/>
      <c r="UO17" s="303"/>
      <c r="UP17" s="303"/>
      <c r="UQ17" s="303"/>
      <c r="UR17" s="303"/>
      <c r="US17" s="303"/>
      <c r="UT17" s="303"/>
      <c r="UU17" s="303"/>
      <c r="UV17" s="303"/>
      <c r="UW17" s="303"/>
      <c r="UX17" s="303"/>
      <c r="UY17" s="303"/>
      <c r="UZ17" s="303"/>
      <c r="VA17" s="303"/>
      <c r="VB17" s="303"/>
      <c r="VC17" s="303"/>
      <c r="VD17" s="303"/>
      <c r="VE17" s="303"/>
      <c r="VF17" s="303"/>
      <c r="VG17" s="303"/>
      <c r="VH17" s="303"/>
      <c r="VI17" s="303"/>
      <c r="VJ17" s="303"/>
      <c r="VK17" s="303"/>
      <c r="VL17" s="303"/>
      <c r="VM17" s="303"/>
      <c r="VN17" s="303"/>
      <c r="VO17" s="303"/>
      <c r="VP17" s="303"/>
      <c r="VQ17" s="303"/>
      <c r="VR17" s="303"/>
      <c r="VS17" s="303"/>
      <c r="VT17" s="303"/>
      <c r="VU17" s="303"/>
      <c r="VV17" s="303"/>
      <c r="VW17" s="303"/>
      <c r="VX17" s="303"/>
      <c r="VY17" s="303"/>
      <c r="VZ17" s="303"/>
      <c r="WA17" s="303"/>
      <c r="WB17" s="303"/>
      <c r="WC17" s="303"/>
      <c r="WD17" s="303"/>
      <c r="WE17" s="303"/>
      <c r="WF17" s="303"/>
      <c r="WG17" s="303"/>
      <c r="WH17" s="303"/>
      <c r="WI17" s="303"/>
      <c r="WJ17" s="303"/>
      <c r="WK17" s="303"/>
      <c r="WL17" s="303"/>
      <c r="WM17" s="303"/>
      <c r="WN17" s="303"/>
      <c r="WO17" s="303"/>
      <c r="WP17" s="303"/>
      <c r="WQ17" s="303"/>
      <c r="WR17" s="303"/>
      <c r="WS17" s="303"/>
      <c r="WT17" s="303"/>
      <c r="WU17" s="303"/>
      <c r="WV17" s="303"/>
      <c r="WW17" s="303"/>
      <c r="WX17" s="303"/>
      <c r="WY17" s="303"/>
      <c r="WZ17" s="303"/>
      <c r="XA17" s="303"/>
      <c r="XB17" s="303"/>
      <c r="XC17" s="303"/>
      <c r="XD17" s="303"/>
      <c r="XE17" s="303"/>
      <c r="XF17" s="303"/>
      <c r="XG17" s="303"/>
      <c r="XH17" s="303"/>
      <c r="XI17" s="303"/>
      <c r="XJ17" s="303"/>
      <c r="XK17" s="303"/>
      <c r="XL17" s="303"/>
      <c r="XM17" s="303"/>
      <c r="XN17" s="303"/>
      <c r="XO17" s="303"/>
      <c r="XP17" s="303"/>
      <c r="XQ17" s="303"/>
      <c r="XR17" s="303"/>
      <c r="XS17" s="303"/>
      <c r="XT17" s="303"/>
      <c r="XU17" s="303"/>
      <c r="XV17" s="303"/>
      <c r="XW17" s="303"/>
      <c r="XX17" s="303"/>
      <c r="XY17" s="303"/>
      <c r="XZ17" s="303"/>
      <c r="YA17" s="303"/>
      <c r="YB17" s="303"/>
      <c r="YC17" s="303"/>
      <c r="YD17" s="303"/>
      <c r="YE17" s="303"/>
      <c r="YF17" s="303"/>
      <c r="YG17" s="303"/>
      <c r="YH17" s="303"/>
      <c r="YI17" s="303"/>
      <c r="YJ17" s="303"/>
      <c r="YK17" s="303"/>
      <c r="YL17" s="303"/>
      <c r="YM17" s="303"/>
      <c r="YN17" s="303"/>
      <c r="YO17" s="303"/>
      <c r="YP17" s="303"/>
      <c r="YQ17" s="303"/>
      <c r="YR17" s="303"/>
      <c r="YS17" s="303"/>
      <c r="YT17" s="303"/>
      <c r="YU17" s="303"/>
      <c r="YV17" s="303"/>
      <c r="YW17" s="303"/>
      <c r="YX17" s="303"/>
      <c r="YY17" s="303"/>
      <c r="YZ17" s="303"/>
      <c r="ZA17" s="303"/>
      <c r="ZB17" s="303"/>
      <c r="ZC17" s="303"/>
      <c r="ZD17" s="303"/>
      <c r="ZE17" s="303"/>
      <c r="ZF17" s="303"/>
      <c r="ZG17" s="303"/>
      <c r="ZH17" s="303"/>
      <c r="ZI17" s="303"/>
      <c r="ZJ17" s="303"/>
      <c r="ZK17" s="303"/>
      <c r="ZL17" s="303"/>
      <c r="ZM17" s="303"/>
      <c r="ZN17" s="303"/>
      <c r="ZO17" s="303"/>
      <c r="ZP17" s="303"/>
      <c r="ZQ17" s="303"/>
      <c r="ZR17" s="303"/>
      <c r="ZS17" s="303"/>
      <c r="ZT17" s="303"/>
      <c r="ZU17" s="303"/>
      <c r="ZV17" s="303"/>
      <c r="ZW17" s="303"/>
      <c r="ZX17" s="303"/>
      <c r="ZY17" s="303"/>
      <c r="ZZ17" s="303"/>
      <c r="AAA17" s="303"/>
      <c r="AAB17" s="303"/>
      <c r="AAC17" s="303"/>
      <c r="AAD17" s="303"/>
      <c r="AAE17" s="303"/>
      <c r="AAF17" s="303"/>
      <c r="AAG17" s="303"/>
      <c r="AAH17" s="303"/>
      <c r="AAI17" s="303"/>
      <c r="AAJ17" s="303"/>
      <c r="AAK17" s="303"/>
      <c r="AAL17" s="303"/>
      <c r="AAM17" s="303"/>
      <c r="AAN17" s="303"/>
      <c r="AAO17" s="303"/>
      <c r="AAP17" s="303"/>
      <c r="AAQ17" s="303"/>
      <c r="AAR17" s="303"/>
      <c r="AAS17" s="303"/>
      <c r="AAT17" s="303"/>
      <c r="AAU17" s="303"/>
      <c r="AAV17" s="303"/>
      <c r="AAW17" s="303"/>
      <c r="AAX17" s="303"/>
      <c r="AAY17" s="303"/>
      <c r="AAZ17" s="303"/>
      <c r="ABA17" s="303"/>
      <c r="ABB17" s="303"/>
      <c r="ABC17" s="303"/>
      <c r="ABD17" s="303"/>
      <c r="ABE17" s="303"/>
      <c r="ABF17" s="303"/>
      <c r="ABG17" s="303"/>
      <c r="ABH17" s="303"/>
      <c r="ABI17" s="303"/>
      <c r="ABJ17" s="303"/>
      <c r="ABK17" s="303"/>
      <c r="ABL17" s="303"/>
      <c r="ABM17" s="303"/>
      <c r="ABN17" s="303"/>
      <c r="ABO17" s="303"/>
      <c r="ABP17" s="303"/>
      <c r="ABQ17" s="303"/>
      <c r="ABR17" s="303"/>
      <c r="ABS17" s="303"/>
      <c r="ABT17" s="303"/>
      <c r="ABU17" s="303"/>
      <c r="ABV17" s="303"/>
      <c r="ABW17" s="303"/>
      <c r="ABX17" s="303"/>
      <c r="ABY17" s="303"/>
      <c r="ABZ17" s="303"/>
      <c r="ACA17" s="303"/>
      <c r="ACB17" s="303"/>
      <c r="ACC17" s="303"/>
      <c r="ACD17" s="303"/>
      <c r="ACE17" s="303"/>
      <c r="ACF17" s="303"/>
      <c r="ACG17" s="303"/>
      <c r="ACH17" s="303"/>
      <c r="ACI17" s="303"/>
      <c r="ACJ17" s="303"/>
      <c r="ACK17" s="303"/>
      <c r="ACL17" s="303"/>
      <c r="ACM17" s="303"/>
      <c r="ACN17" s="303"/>
      <c r="ACO17" s="303"/>
      <c r="ACP17" s="303"/>
      <c r="ACQ17" s="303"/>
      <c r="ACR17" s="303"/>
      <c r="ACS17" s="303"/>
      <c r="ACT17" s="303"/>
      <c r="ACU17" s="303"/>
      <c r="ACV17" s="303"/>
      <c r="ACW17" s="303"/>
      <c r="ACX17" s="303"/>
      <c r="ACY17" s="303"/>
      <c r="ACZ17" s="303"/>
      <c r="ADA17" s="303"/>
      <c r="ADB17" s="303"/>
      <c r="ADC17" s="303"/>
      <c r="ADD17" s="303"/>
      <c r="ADE17" s="303"/>
      <c r="ADF17" s="303"/>
      <c r="ADG17" s="303"/>
      <c r="ADH17" s="303"/>
      <c r="ADI17" s="303"/>
      <c r="ADJ17" s="303"/>
      <c r="ADK17" s="303"/>
      <c r="ADL17" s="303"/>
      <c r="ADM17" s="303"/>
      <c r="ADN17" s="303"/>
      <c r="ADO17" s="303"/>
      <c r="ADP17" s="303"/>
      <c r="ADQ17" s="303"/>
      <c r="ADR17" s="303"/>
      <c r="ADS17" s="303"/>
      <c r="ADT17" s="303"/>
      <c r="ADU17" s="303"/>
      <c r="ADV17" s="303"/>
      <c r="ADW17" s="303"/>
      <c r="ADX17" s="303"/>
      <c r="ADY17" s="303"/>
      <c r="ADZ17" s="303"/>
      <c r="AEA17" s="303"/>
      <c r="AEB17" s="303"/>
      <c r="AEC17" s="303"/>
      <c r="AED17" s="303"/>
      <c r="AEE17" s="303"/>
      <c r="AEF17" s="303"/>
      <c r="AEG17" s="303"/>
      <c r="AEH17" s="303"/>
      <c r="AEI17" s="303"/>
      <c r="AEJ17" s="303"/>
      <c r="AEK17" s="303"/>
      <c r="AEL17" s="303"/>
      <c r="AEM17" s="303"/>
      <c r="AEN17" s="303"/>
      <c r="AEO17" s="303"/>
      <c r="AEP17" s="303"/>
      <c r="AEQ17" s="303"/>
      <c r="AER17" s="303"/>
      <c r="AES17" s="303"/>
      <c r="AET17" s="303"/>
      <c r="AEU17" s="303"/>
      <c r="AEV17" s="303"/>
      <c r="AEW17" s="303"/>
      <c r="AEX17" s="303"/>
      <c r="AEY17" s="303"/>
      <c r="AEZ17" s="303"/>
      <c r="AFA17" s="303"/>
      <c r="AFB17" s="303"/>
      <c r="AFC17" s="303"/>
      <c r="AFD17" s="303"/>
      <c r="AFE17" s="303"/>
      <c r="AFF17" s="303"/>
      <c r="AFG17" s="303"/>
      <c r="AFH17" s="303"/>
      <c r="AFI17" s="303"/>
      <c r="AFJ17" s="303"/>
      <c r="AFK17" s="303"/>
      <c r="AFL17" s="303"/>
      <c r="AFM17" s="303"/>
      <c r="AFN17" s="303"/>
      <c r="AFO17" s="303"/>
      <c r="AFP17" s="303"/>
      <c r="AFQ17" s="303"/>
      <c r="AFR17" s="303"/>
      <c r="AFS17" s="303"/>
      <c r="AFT17" s="303"/>
      <c r="AFU17" s="303"/>
      <c r="AFV17" s="303"/>
      <c r="AFW17" s="303"/>
      <c r="AFX17" s="303"/>
      <c r="AFY17" s="303"/>
      <c r="AFZ17" s="303"/>
      <c r="AGA17" s="303"/>
      <c r="AGB17" s="303"/>
      <c r="AGC17" s="303"/>
      <c r="AGD17" s="303"/>
      <c r="AGE17" s="303"/>
      <c r="AGF17" s="303"/>
      <c r="AGG17" s="303"/>
      <c r="AGH17" s="303"/>
      <c r="AGI17" s="303"/>
      <c r="AGJ17" s="303"/>
      <c r="AGK17" s="303"/>
      <c r="AGL17" s="303"/>
      <c r="AGM17" s="303"/>
      <c r="AGN17" s="303"/>
      <c r="AGO17" s="303"/>
      <c r="AGP17" s="303"/>
      <c r="AGQ17" s="303"/>
      <c r="AGR17" s="303"/>
      <c r="AGS17" s="303"/>
      <c r="AGT17" s="303"/>
      <c r="AGU17" s="303"/>
      <c r="AGV17" s="303"/>
      <c r="AGW17" s="303"/>
      <c r="AGX17" s="303"/>
      <c r="AGY17" s="303"/>
      <c r="AGZ17" s="303"/>
      <c r="AHA17" s="303"/>
      <c r="AHB17" s="303"/>
      <c r="AHC17" s="303"/>
      <c r="AHD17" s="303"/>
      <c r="AHE17" s="303"/>
      <c r="AHF17" s="303"/>
      <c r="AHG17" s="303"/>
      <c r="AHH17" s="303"/>
      <c r="AHI17" s="303"/>
      <c r="AHJ17" s="303"/>
      <c r="AHK17" s="303"/>
      <c r="AHL17" s="303"/>
      <c r="AHM17" s="303"/>
      <c r="AHN17" s="303"/>
      <c r="AHO17" s="303"/>
      <c r="AHP17" s="303"/>
      <c r="AHQ17" s="303"/>
      <c r="AHR17" s="303"/>
      <c r="AHS17" s="303"/>
      <c r="AHT17" s="303"/>
      <c r="AHU17" s="303"/>
      <c r="AHV17" s="303"/>
      <c r="AHW17" s="303"/>
      <c r="AHX17" s="303"/>
      <c r="AHY17" s="303"/>
      <c r="AHZ17" s="303"/>
      <c r="AIA17" s="303"/>
      <c r="AIB17" s="303"/>
      <c r="AIC17" s="303"/>
      <c r="AID17" s="303"/>
      <c r="AIE17" s="303"/>
      <c r="AIF17" s="303"/>
      <c r="AIG17" s="303"/>
      <c r="AIH17" s="303"/>
      <c r="AII17" s="303"/>
      <c r="AIJ17" s="303"/>
      <c r="AIK17" s="303"/>
      <c r="AIL17" s="303"/>
      <c r="AIM17" s="303"/>
      <c r="AIN17" s="303"/>
      <c r="AIO17" s="303"/>
      <c r="AIP17" s="303"/>
      <c r="AIQ17" s="303"/>
      <c r="AIR17" s="303"/>
      <c r="AIS17" s="303"/>
      <c r="AIT17" s="303"/>
      <c r="AIU17" s="303"/>
      <c r="AIV17" s="303"/>
      <c r="AIW17" s="303"/>
      <c r="AIX17" s="303"/>
      <c r="AIY17" s="303"/>
      <c r="AIZ17" s="303"/>
      <c r="AJA17" s="303"/>
      <c r="AJB17" s="303"/>
      <c r="AJC17" s="303"/>
      <c r="AJD17" s="303"/>
      <c r="AJE17" s="303"/>
      <c r="AJF17" s="303"/>
      <c r="AJG17" s="303"/>
      <c r="AJH17" s="303"/>
      <c r="AJI17" s="303"/>
      <c r="AJJ17" s="303"/>
      <c r="AJK17" s="303"/>
      <c r="AJL17" s="303"/>
      <c r="AJM17" s="303"/>
      <c r="AJN17" s="303"/>
      <c r="AJO17" s="303"/>
      <c r="AJP17" s="303"/>
      <c r="AJQ17" s="303"/>
      <c r="AJR17" s="303"/>
      <c r="AJS17" s="303"/>
      <c r="AJT17" s="303"/>
      <c r="AJU17" s="303"/>
      <c r="AJV17" s="303"/>
      <c r="AJW17" s="303"/>
      <c r="AJX17" s="303"/>
      <c r="AJY17" s="303"/>
      <c r="AJZ17" s="303"/>
      <c r="AKA17" s="303"/>
      <c r="AKB17" s="303"/>
      <c r="AKC17" s="303"/>
      <c r="AKD17" s="303"/>
      <c r="AKE17" s="303"/>
      <c r="AKF17" s="303"/>
      <c r="AKG17" s="303"/>
      <c r="AKH17" s="303"/>
      <c r="AKI17" s="303"/>
      <c r="AKJ17" s="303"/>
      <c r="AKK17" s="303"/>
      <c r="AKL17" s="303"/>
      <c r="AKM17" s="303"/>
      <c r="AKN17" s="303"/>
      <c r="AKO17" s="303"/>
      <c r="AKP17" s="303"/>
      <c r="AKQ17" s="303"/>
      <c r="AKR17" s="303"/>
      <c r="AKS17" s="303"/>
      <c r="AKT17" s="303"/>
      <c r="AKU17" s="303"/>
      <c r="AKV17" s="303"/>
      <c r="AKW17" s="303"/>
      <c r="AKX17" s="303"/>
      <c r="AKY17" s="303"/>
      <c r="AKZ17" s="303"/>
      <c r="ALA17" s="303"/>
      <c r="ALB17" s="303"/>
      <c r="ALC17" s="303"/>
      <c r="ALD17" s="303"/>
      <c r="ALE17" s="303"/>
      <c r="ALF17" s="303"/>
      <c r="ALG17" s="303"/>
      <c r="ALH17" s="303"/>
      <c r="ALI17" s="303"/>
      <c r="ALJ17" s="303"/>
      <c r="ALK17" s="303"/>
      <c r="ALL17" s="303"/>
      <c r="ALM17" s="303"/>
      <c r="ALN17" s="303"/>
      <c r="ALO17" s="303"/>
      <c r="ALP17" s="303"/>
      <c r="ALQ17" s="303"/>
      <c r="ALR17" s="303"/>
      <c r="ALS17" s="303"/>
      <c r="ALT17" s="303"/>
      <c r="ALU17" s="303"/>
      <c r="ALV17" s="303"/>
      <c r="ALW17" s="303"/>
      <c r="ALX17" s="303"/>
      <c r="ALY17" s="303"/>
      <c r="ALZ17" s="303"/>
      <c r="AMA17" s="303"/>
      <c r="AMB17" s="303"/>
      <c r="AMC17" s="303"/>
    </row>
    <row r="18" spans="1:1017" s="135" customFormat="1" ht="15" customHeight="1" thickBot="1">
      <c r="A18" s="303"/>
      <c r="B18" s="303"/>
      <c r="C18" s="131">
        <v>0.70833333333333304</v>
      </c>
      <c r="D18" s="304"/>
      <c r="E18" s="304"/>
      <c r="F18" s="304"/>
      <c r="G18" s="304"/>
      <c r="H18" s="312"/>
      <c r="I18" s="313"/>
      <c r="J18" s="304"/>
      <c r="K18" s="304"/>
      <c r="L18" s="304"/>
      <c r="M18" s="304"/>
      <c r="N18" s="304"/>
      <c r="O18" s="312"/>
      <c r="P18" s="313"/>
      <c r="Q18" s="304"/>
      <c r="R18" s="304"/>
      <c r="S18" s="304"/>
      <c r="T18" s="304"/>
      <c r="U18" s="304"/>
      <c r="V18" s="312"/>
      <c r="W18" s="313"/>
      <c r="X18" s="304"/>
      <c r="Y18" s="304"/>
      <c r="Z18" s="304"/>
      <c r="AA18" s="304"/>
      <c r="AB18" s="304"/>
      <c r="AC18" s="312"/>
      <c r="AD18" s="313"/>
      <c r="AE18" s="304"/>
      <c r="AF18" s="304"/>
      <c r="AG18" s="304"/>
      <c r="AH18" s="304"/>
      <c r="AI18" s="304"/>
      <c r="AJ18" s="312"/>
      <c r="AK18" s="313"/>
      <c r="AL18" s="304"/>
      <c r="AM18" s="304"/>
      <c r="AN18" s="304"/>
      <c r="AO18" s="304"/>
      <c r="AP18" s="304"/>
      <c r="AQ18" s="312"/>
      <c r="AR18" s="313"/>
      <c r="AS18" s="304"/>
      <c r="AT18" s="304"/>
      <c r="AU18" s="304"/>
      <c r="AV18" s="304"/>
      <c r="AW18" s="304"/>
      <c r="AX18" s="312"/>
      <c r="AY18" s="313"/>
      <c r="AZ18" s="304"/>
      <c r="BA18" s="304"/>
      <c r="BB18" s="304"/>
      <c r="BC18" s="304"/>
      <c r="BD18" s="304"/>
      <c r="BE18" s="312"/>
      <c r="BF18" s="313"/>
      <c r="BG18" s="304"/>
      <c r="BH18" s="304"/>
      <c r="BI18" s="304"/>
      <c r="BJ18" s="304"/>
      <c r="BK18" s="304"/>
      <c r="BL18" s="312"/>
      <c r="BM18" s="313"/>
      <c r="BN18" s="304"/>
      <c r="BO18" s="304"/>
      <c r="BP18" s="304"/>
      <c r="BQ18" s="304"/>
      <c r="BR18" s="304"/>
      <c r="BS18" s="312"/>
      <c r="BT18" s="313"/>
      <c r="BU18" s="304"/>
      <c r="BV18" s="304"/>
      <c r="BW18" s="304"/>
      <c r="BX18" s="304"/>
      <c r="BY18" s="304"/>
      <c r="BZ18" s="312"/>
      <c r="CA18" s="313"/>
      <c r="CB18" s="304"/>
      <c r="CC18" s="304"/>
      <c r="CD18" s="304"/>
      <c r="CE18" s="304"/>
      <c r="CF18" s="304"/>
      <c r="CG18" s="312"/>
      <c r="CH18" s="313"/>
      <c r="CI18" s="304"/>
      <c r="CJ18" s="304"/>
      <c r="CK18" s="304"/>
      <c r="CL18" s="304"/>
      <c r="CM18" s="304"/>
      <c r="CN18" s="312"/>
      <c r="CO18" s="313"/>
      <c r="CP18" s="304"/>
      <c r="CQ18" s="304"/>
      <c r="CR18" s="304"/>
      <c r="CS18" s="304"/>
      <c r="CT18" s="304"/>
      <c r="CU18" s="312"/>
      <c r="CV18" s="313"/>
      <c r="CW18" s="304"/>
      <c r="CX18" s="304"/>
      <c r="CY18" s="304"/>
      <c r="CZ18" s="304"/>
      <c r="DA18" s="304"/>
      <c r="DB18" s="312"/>
      <c r="DC18" s="313"/>
      <c r="DD18" s="304"/>
      <c r="DE18" s="304"/>
      <c r="DF18" s="304"/>
      <c r="DG18" s="304"/>
      <c r="DH18" s="304"/>
      <c r="DI18" s="312"/>
      <c r="DJ18" s="313"/>
      <c r="DK18" s="304"/>
      <c r="DL18" s="304"/>
      <c r="DM18" s="304"/>
      <c r="DN18" s="304"/>
      <c r="DO18" s="304"/>
      <c r="DP18" s="312"/>
      <c r="DQ18" s="313"/>
      <c r="DR18" s="304"/>
      <c r="DS18" s="304"/>
      <c r="DT18" s="304"/>
      <c r="DU18" s="304"/>
      <c r="DV18" s="304"/>
      <c r="DW18" s="312"/>
      <c r="DX18" s="313"/>
      <c r="DY18" s="304"/>
      <c r="DZ18" s="304"/>
      <c r="EA18" s="304"/>
      <c r="EB18" s="304"/>
      <c r="EC18" s="304"/>
      <c r="ED18" s="312"/>
      <c r="EE18" s="313"/>
      <c r="EF18" s="304"/>
      <c r="EG18" s="304"/>
      <c r="EH18" s="304"/>
      <c r="EI18" s="304"/>
      <c r="EJ18" s="304"/>
      <c r="EK18" s="312"/>
      <c r="EL18" s="313"/>
      <c r="EM18" s="304"/>
      <c r="EN18" s="304"/>
      <c r="EO18" s="304"/>
      <c r="EP18" s="304"/>
      <c r="EQ18" s="304"/>
      <c r="ER18" s="312"/>
      <c r="ES18" s="313"/>
      <c r="ET18" s="304"/>
      <c r="EU18" s="304"/>
      <c r="EV18" s="304"/>
      <c r="EW18" s="304"/>
      <c r="EX18" s="304"/>
      <c r="EY18" s="312"/>
      <c r="EZ18" s="313"/>
      <c r="FA18" s="304"/>
      <c r="FB18" s="304"/>
      <c r="FC18" s="304"/>
      <c r="FD18" s="304"/>
      <c r="FE18" s="304"/>
      <c r="FF18" s="312"/>
      <c r="FG18" s="313"/>
      <c r="FH18" s="304"/>
      <c r="FI18" s="304"/>
      <c r="FJ18" s="304"/>
      <c r="FK18" s="304"/>
      <c r="FL18" s="304"/>
      <c r="FM18" s="312"/>
      <c r="FN18" s="313"/>
      <c r="FO18" s="304"/>
      <c r="FP18" s="304"/>
      <c r="FQ18" s="304"/>
      <c r="FR18" s="304"/>
      <c r="FS18" s="304"/>
      <c r="FT18" s="312"/>
      <c r="FU18" s="313"/>
      <c r="FV18" s="304"/>
      <c r="FW18" s="304"/>
      <c r="FX18" s="304"/>
      <c r="FY18" s="304"/>
      <c r="FZ18" s="304"/>
      <c r="GA18" s="312"/>
      <c r="GB18" s="313"/>
      <c r="GC18" s="304"/>
      <c r="GD18" s="304"/>
      <c r="GE18" s="304"/>
      <c r="GF18" s="304"/>
      <c r="GG18" s="304"/>
      <c r="GH18" s="312"/>
      <c r="GI18" s="313"/>
      <c r="GJ18" s="304"/>
      <c r="GK18" s="304"/>
      <c r="GL18" s="304"/>
      <c r="GM18" s="304"/>
      <c r="GN18" s="304"/>
      <c r="GO18" s="312"/>
      <c r="GP18" s="313"/>
      <c r="GQ18" s="304"/>
      <c r="GR18" s="304"/>
      <c r="GS18" s="304"/>
      <c r="GT18" s="304"/>
      <c r="GU18" s="304"/>
      <c r="GV18" s="312"/>
      <c r="GW18" s="313"/>
      <c r="GX18" s="304"/>
      <c r="GY18" s="304"/>
      <c r="GZ18" s="304"/>
      <c r="HA18" s="304"/>
      <c r="HB18" s="304"/>
      <c r="HC18" s="312"/>
      <c r="HD18" s="313"/>
      <c r="HE18" s="304"/>
      <c r="HF18" s="304"/>
      <c r="HG18" s="304"/>
      <c r="HH18" s="304"/>
      <c r="HI18" s="304"/>
      <c r="HJ18" s="312"/>
      <c r="HK18" s="313"/>
      <c r="HL18" s="304"/>
      <c r="HM18" s="304"/>
      <c r="HN18" s="304"/>
      <c r="HO18" s="304"/>
      <c r="HP18" s="304"/>
      <c r="HQ18" s="312"/>
      <c r="HR18" s="313"/>
      <c r="HS18" s="304"/>
      <c r="HT18" s="304"/>
      <c r="HU18" s="304"/>
      <c r="HV18" s="304"/>
      <c r="HW18" s="304"/>
      <c r="HX18" s="312"/>
      <c r="HY18" s="313"/>
      <c r="HZ18" s="304"/>
      <c r="IA18" s="304"/>
      <c r="IB18" s="304"/>
      <c r="IC18" s="304"/>
      <c r="ID18" s="304"/>
      <c r="IE18" s="312"/>
      <c r="IF18" s="313"/>
      <c r="IG18" s="304"/>
      <c r="IH18" s="304"/>
      <c r="II18" s="304"/>
      <c r="IJ18" s="304"/>
      <c r="IK18" s="304"/>
      <c r="IL18" s="312"/>
      <c r="IM18" s="313"/>
      <c r="IN18" s="304"/>
      <c r="IO18" s="304"/>
      <c r="IP18" s="304"/>
      <c r="IQ18" s="304"/>
      <c r="IR18" s="304"/>
      <c r="IS18" s="312"/>
      <c r="IT18" s="313"/>
      <c r="IU18" s="304"/>
      <c r="IV18" s="304"/>
      <c r="IW18" s="304"/>
      <c r="IX18" s="304"/>
      <c r="IY18" s="304"/>
      <c r="IZ18" s="312"/>
      <c r="JA18" s="313"/>
      <c r="JB18" s="304"/>
      <c r="JC18" s="304"/>
      <c r="JD18" s="304"/>
      <c r="JE18" s="304"/>
      <c r="JF18" s="304"/>
      <c r="JG18" s="312"/>
      <c r="JH18" s="313"/>
      <c r="JI18" s="304"/>
      <c r="JJ18" s="304"/>
      <c r="JK18" s="304"/>
      <c r="JL18" s="304"/>
      <c r="JM18" s="304"/>
      <c r="JN18" s="312"/>
      <c r="JO18" s="313"/>
      <c r="JP18" s="304"/>
      <c r="JQ18" s="304"/>
      <c r="JR18" s="304"/>
      <c r="JS18" s="304"/>
      <c r="JT18" s="304"/>
      <c r="JU18" s="312"/>
      <c r="JV18" s="313"/>
      <c r="JW18" s="304"/>
      <c r="JX18" s="304"/>
      <c r="JY18" s="304"/>
      <c r="JZ18" s="304"/>
      <c r="KA18" s="304"/>
      <c r="KB18" s="312"/>
      <c r="KC18" s="313"/>
      <c r="KD18" s="304"/>
      <c r="KE18" s="304"/>
      <c r="KF18" s="304"/>
      <c r="KG18" s="304"/>
      <c r="KH18" s="304"/>
      <c r="KI18" s="312"/>
      <c r="KJ18" s="313"/>
      <c r="KK18" s="304"/>
      <c r="KL18" s="304"/>
      <c r="KM18" s="304"/>
      <c r="KN18" s="304"/>
      <c r="KO18" s="304"/>
      <c r="KP18" s="312"/>
      <c r="KQ18" s="313"/>
      <c r="KR18" s="304"/>
      <c r="KS18" s="304"/>
      <c r="KT18" s="304"/>
      <c r="KU18" s="304"/>
      <c r="KV18" s="304"/>
      <c r="KW18" s="312"/>
      <c r="KX18" s="313"/>
      <c r="KY18" s="304"/>
      <c r="KZ18" s="304"/>
      <c r="LA18" s="304"/>
      <c r="LB18" s="304"/>
      <c r="LC18" s="304"/>
      <c r="LD18" s="312"/>
      <c r="LE18" s="313"/>
      <c r="LF18" s="304"/>
      <c r="LG18" s="304"/>
      <c r="LH18" s="304"/>
      <c r="LI18" s="304"/>
      <c r="LJ18" s="304"/>
      <c r="LK18" s="312"/>
      <c r="LL18" s="313"/>
      <c r="LM18" s="304"/>
      <c r="LN18" s="304"/>
      <c r="LO18" s="304"/>
      <c r="LP18" s="304"/>
      <c r="LQ18" s="304"/>
      <c r="LR18" s="312"/>
      <c r="LS18" s="313"/>
      <c r="LT18" s="304"/>
      <c r="LU18" s="304"/>
      <c r="LV18" s="304"/>
      <c r="LW18" s="304"/>
      <c r="LX18" s="304"/>
      <c r="LY18" s="312"/>
      <c r="LZ18" s="313"/>
      <c r="MA18" s="304"/>
      <c r="MB18" s="304"/>
      <c r="MC18" s="304"/>
      <c r="MD18" s="304"/>
      <c r="ME18" s="304"/>
      <c r="MF18" s="312"/>
      <c r="MG18" s="313"/>
      <c r="MH18" s="304"/>
      <c r="MI18" s="304"/>
      <c r="MJ18" s="304"/>
      <c r="MK18" s="304"/>
      <c r="ML18" s="304"/>
      <c r="MM18" s="312"/>
      <c r="MN18" s="313"/>
      <c r="MO18" s="304"/>
      <c r="MP18" s="304"/>
      <c r="MQ18" s="304"/>
      <c r="MR18" s="304"/>
      <c r="MS18" s="304"/>
      <c r="MT18" s="312"/>
      <c r="MU18" s="313"/>
      <c r="MV18" s="304"/>
      <c r="MW18" s="304"/>
      <c r="MX18" s="304"/>
      <c r="MY18" s="304"/>
      <c r="MZ18" s="304"/>
      <c r="NA18" s="312"/>
      <c r="NB18" s="313"/>
      <c r="NC18" s="304"/>
      <c r="ND18" s="304"/>
      <c r="NE18" s="333">
        <f t="shared" si="0"/>
        <v>0</v>
      </c>
      <c r="NF18" s="303"/>
      <c r="NG18" s="303"/>
      <c r="NH18" s="303"/>
      <c r="NI18" s="303"/>
      <c r="NJ18" s="303"/>
      <c r="NK18" s="303"/>
      <c r="NL18" s="303"/>
      <c r="NM18" s="303"/>
      <c r="NN18" s="303"/>
      <c r="NO18" s="303"/>
      <c r="NP18" s="303"/>
      <c r="NQ18" s="303"/>
      <c r="NR18" s="303"/>
      <c r="NS18" s="303"/>
      <c r="NT18" s="303"/>
      <c r="NU18" s="303"/>
      <c r="NV18" s="303"/>
      <c r="NW18" s="303"/>
      <c r="NX18" s="303"/>
      <c r="NY18" s="303"/>
      <c r="NZ18" s="303"/>
      <c r="OA18" s="303"/>
      <c r="OB18" s="303"/>
      <c r="OC18" s="303"/>
      <c r="OD18" s="303"/>
      <c r="OE18" s="303"/>
      <c r="OF18" s="303"/>
      <c r="OG18" s="303"/>
      <c r="OH18" s="303"/>
      <c r="OI18" s="303"/>
      <c r="OJ18" s="303"/>
      <c r="OK18" s="303"/>
      <c r="OL18" s="303"/>
      <c r="OM18" s="303"/>
      <c r="ON18" s="303"/>
      <c r="OO18" s="303"/>
      <c r="OP18" s="303"/>
      <c r="OQ18" s="303"/>
      <c r="OR18" s="303"/>
      <c r="OS18" s="303"/>
      <c r="OT18" s="303"/>
      <c r="OU18" s="303"/>
      <c r="OV18" s="303"/>
      <c r="OW18" s="303"/>
      <c r="OX18" s="303"/>
      <c r="OY18" s="303"/>
      <c r="OZ18" s="303"/>
      <c r="PA18" s="303"/>
      <c r="PB18" s="303"/>
      <c r="PC18" s="303"/>
      <c r="PD18" s="303"/>
      <c r="PE18" s="303"/>
      <c r="PF18" s="303"/>
      <c r="PG18" s="303"/>
      <c r="PH18" s="303"/>
      <c r="PI18" s="303"/>
      <c r="PJ18" s="303"/>
      <c r="PK18" s="303"/>
      <c r="PL18" s="303"/>
      <c r="PM18" s="303"/>
      <c r="PN18" s="303"/>
      <c r="PO18" s="303"/>
      <c r="PP18" s="303"/>
      <c r="PQ18" s="303"/>
      <c r="PR18" s="303"/>
      <c r="PS18" s="303"/>
      <c r="PT18" s="303"/>
      <c r="PU18" s="303"/>
      <c r="PV18" s="303"/>
      <c r="PW18" s="303"/>
      <c r="PX18" s="303"/>
      <c r="PY18" s="303"/>
      <c r="PZ18" s="303"/>
      <c r="QA18" s="303"/>
      <c r="QB18" s="303"/>
      <c r="QC18" s="303"/>
      <c r="QD18" s="303"/>
      <c r="QE18" s="303"/>
      <c r="QF18" s="303"/>
      <c r="QG18" s="303"/>
      <c r="QH18" s="303"/>
      <c r="QI18" s="303"/>
      <c r="QJ18" s="303"/>
      <c r="QK18" s="303"/>
      <c r="QL18" s="303"/>
      <c r="QM18" s="303"/>
      <c r="QN18" s="303"/>
      <c r="QO18" s="303"/>
      <c r="QP18" s="303"/>
      <c r="QQ18" s="303"/>
      <c r="QR18" s="303"/>
      <c r="QS18" s="303"/>
      <c r="QT18" s="303"/>
      <c r="QU18" s="303"/>
      <c r="QV18" s="303"/>
      <c r="QW18" s="303"/>
      <c r="QX18" s="303"/>
      <c r="QY18" s="303"/>
      <c r="QZ18" s="303"/>
      <c r="RA18" s="303"/>
      <c r="RB18" s="303"/>
      <c r="RC18" s="303"/>
      <c r="RD18" s="303"/>
      <c r="RE18" s="303"/>
      <c r="RF18" s="303"/>
      <c r="RG18" s="303"/>
      <c r="RH18" s="303"/>
      <c r="RI18" s="303"/>
      <c r="RJ18" s="303"/>
      <c r="RK18" s="303"/>
      <c r="RL18" s="303"/>
      <c r="RM18" s="303"/>
      <c r="RN18" s="303"/>
      <c r="RO18" s="303"/>
      <c r="RP18" s="303"/>
      <c r="RQ18" s="303"/>
      <c r="RR18" s="303"/>
      <c r="RS18" s="303"/>
      <c r="RT18" s="303"/>
      <c r="RU18" s="303"/>
      <c r="RV18" s="303"/>
      <c r="RW18" s="303"/>
      <c r="RX18" s="303"/>
      <c r="RY18" s="303"/>
      <c r="RZ18" s="303"/>
      <c r="SA18" s="303"/>
      <c r="SB18" s="303"/>
      <c r="SC18" s="303"/>
      <c r="SD18" s="303"/>
      <c r="SE18" s="303"/>
      <c r="SF18" s="303"/>
      <c r="SG18" s="303"/>
      <c r="SH18" s="303"/>
      <c r="SI18" s="303"/>
      <c r="SJ18" s="303"/>
      <c r="SK18" s="303"/>
      <c r="SL18" s="303"/>
      <c r="SM18" s="303"/>
      <c r="SN18" s="303"/>
      <c r="SO18" s="303"/>
      <c r="SP18" s="303"/>
      <c r="SQ18" s="303"/>
      <c r="SR18" s="303"/>
      <c r="SS18" s="303"/>
      <c r="ST18" s="303"/>
      <c r="SU18" s="303"/>
      <c r="SV18" s="303"/>
      <c r="SW18" s="303"/>
      <c r="SX18" s="303"/>
      <c r="SY18" s="303"/>
      <c r="SZ18" s="303"/>
      <c r="TA18" s="303"/>
      <c r="TB18" s="303"/>
      <c r="TC18" s="303"/>
      <c r="TD18" s="303"/>
      <c r="TE18" s="303"/>
      <c r="TF18" s="303"/>
      <c r="TG18" s="303"/>
      <c r="TH18" s="303"/>
      <c r="TI18" s="303"/>
      <c r="TJ18" s="303"/>
      <c r="TK18" s="303"/>
      <c r="TL18" s="303"/>
      <c r="TM18" s="303"/>
      <c r="TN18" s="303"/>
      <c r="TO18" s="303"/>
      <c r="TP18" s="303"/>
      <c r="TQ18" s="303"/>
      <c r="TR18" s="303"/>
      <c r="TS18" s="303"/>
      <c r="TT18" s="303"/>
      <c r="TU18" s="303"/>
      <c r="TV18" s="303"/>
      <c r="TW18" s="303"/>
      <c r="TX18" s="303"/>
      <c r="TY18" s="303"/>
      <c r="TZ18" s="303"/>
      <c r="UA18" s="303"/>
      <c r="UB18" s="303"/>
      <c r="UC18" s="303"/>
      <c r="UD18" s="303"/>
      <c r="UE18" s="303"/>
      <c r="UF18" s="303"/>
      <c r="UG18" s="303"/>
      <c r="UH18" s="303"/>
      <c r="UI18" s="303"/>
      <c r="UJ18" s="303"/>
      <c r="UK18" s="303"/>
      <c r="UL18" s="303"/>
      <c r="UM18" s="303"/>
      <c r="UN18" s="303"/>
      <c r="UO18" s="303"/>
      <c r="UP18" s="303"/>
      <c r="UQ18" s="303"/>
      <c r="UR18" s="303"/>
      <c r="US18" s="303"/>
      <c r="UT18" s="303"/>
      <c r="UU18" s="303"/>
      <c r="UV18" s="303"/>
      <c r="UW18" s="303"/>
      <c r="UX18" s="303"/>
      <c r="UY18" s="303"/>
      <c r="UZ18" s="303"/>
      <c r="VA18" s="303"/>
      <c r="VB18" s="303"/>
      <c r="VC18" s="303"/>
      <c r="VD18" s="303"/>
      <c r="VE18" s="303"/>
      <c r="VF18" s="303"/>
      <c r="VG18" s="303"/>
      <c r="VH18" s="303"/>
      <c r="VI18" s="303"/>
      <c r="VJ18" s="303"/>
      <c r="VK18" s="303"/>
      <c r="VL18" s="303"/>
      <c r="VM18" s="303"/>
      <c r="VN18" s="303"/>
      <c r="VO18" s="303"/>
      <c r="VP18" s="303"/>
      <c r="VQ18" s="303"/>
      <c r="VR18" s="303"/>
      <c r="VS18" s="303"/>
      <c r="VT18" s="303"/>
      <c r="VU18" s="303"/>
      <c r="VV18" s="303"/>
      <c r="VW18" s="303"/>
      <c r="VX18" s="303"/>
      <c r="VY18" s="303"/>
      <c r="VZ18" s="303"/>
      <c r="WA18" s="303"/>
      <c r="WB18" s="303"/>
      <c r="WC18" s="303"/>
      <c r="WD18" s="303"/>
      <c r="WE18" s="303"/>
      <c r="WF18" s="303"/>
      <c r="WG18" s="303"/>
      <c r="WH18" s="303"/>
      <c r="WI18" s="303"/>
      <c r="WJ18" s="303"/>
      <c r="WK18" s="303"/>
      <c r="WL18" s="303"/>
      <c r="WM18" s="303"/>
      <c r="WN18" s="303"/>
      <c r="WO18" s="303"/>
      <c r="WP18" s="303"/>
      <c r="WQ18" s="303"/>
      <c r="WR18" s="303"/>
      <c r="WS18" s="303"/>
      <c r="WT18" s="303"/>
      <c r="WU18" s="303"/>
      <c r="WV18" s="303"/>
      <c r="WW18" s="303"/>
      <c r="WX18" s="303"/>
      <c r="WY18" s="303"/>
      <c r="WZ18" s="303"/>
      <c r="XA18" s="303"/>
      <c r="XB18" s="303"/>
      <c r="XC18" s="303"/>
      <c r="XD18" s="303"/>
      <c r="XE18" s="303"/>
      <c r="XF18" s="303"/>
      <c r="XG18" s="303"/>
      <c r="XH18" s="303"/>
      <c r="XI18" s="303"/>
      <c r="XJ18" s="303"/>
      <c r="XK18" s="303"/>
      <c r="XL18" s="303"/>
      <c r="XM18" s="303"/>
      <c r="XN18" s="303"/>
      <c r="XO18" s="303"/>
      <c r="XP18" s="303"/>
      <c r="XQ18" s="303"/>
      <c r="XR18" s="303"/>
      <c r="XS18" s="303"/>
      <c r="XT18" s="303"/>
      <c r="XU18" s="303"/>
      <c r="XV18" s="303"/>
      <c r="XW18" s="303"/>
      <c r="XX18" s="303"/>
      <c r="XY18" s="303"/>
      <c r="XZ18" s="303"/>
      <c r="YA18" s="303"/>
      <c r="YB18" s="303"/>
      <c r="YC18" s="303"/>
      <c r="YD18" s="303"/>
      <c r="YE18" s="303"/>
      <c r="YF18" s="303"/>
      <c r="YG18" s="303"/>
      <c r="YH18" s="303"/>
      <c r="YI18" s="303"/>
      <c r="YJ18" s="303"/>
      <c r="YK18" s="303"/>
      <c r="YL18" s="303"/>
      <c r="YM18" s="303"/>
      <c r="YN18" s="303"/>
      <c r="YO18" s="303"/>
      <c r="YP18" s="303"/>
      <c r="YQ18" s="303"/>
      <c r="YR18" s="303"/>
      <c r="YS18" s="303"/>
      <c r="YT18" s="303"/>
      <c r="YU18" s="303"/>
      <c r="YV18" s="303"/>
      <c r="YW18" s="303"/>
      <c r="YX18" s="303"/>
      <c r="YY18" s="303"/>
      <c r="YZ18" s="303"/>
      <c r="ZA18" s="303"/>
      <c r="ZB18" s="303"/>
      <c r="ZC18" s="303"/>
      <c r="ZD18" s="303"/>
      <c r="ZE18" s="303"/>
      <c r="ZF18" s="303"/>
      <c r="ZG18" s="303"/>
      <c r="ZH18" s="303"/>
      <c r="ZI18" s="303"/>
      <c r="ZJ18" s="303"/>
      <c r="ZK18" s="303"/>
      <c r="ZL18" s="303"/>
      <c r="ZM18" s="303"/>
      <c r="ZN18" s="303"/>
      <c r="ZO18" s="303"/>
      <c r="ZP18" s="303"/>
      <c r="ZQ18" s="303"/>
      <c r="ZR18" s="303"/>
      <c r="ZS18" s="303"/>
      <c r="ZT18" s="303"/>
      <c r="ZU18" s="303"/>
      <c r="ZV18" s="303"/>
      <c r="ZW18" s="303"/>
      <c r="ZX18" s="303"/>
      <c r="ZY18" s="303"/>
      <c r="ZZ18" s="303"/>
      <c r="AAA18" s="303"/>
      <c r="AAB18" s="303"/>
      <c r="AAC18" s="303"/>
      <c r="AAD18" s="303"/>
      <c r="AAE18" s="303"/>
      <c r="AAF18" s="303"/>
      <c r="AAG18" s="303"/>
      <c r="AAH18" s="303"/>
      <c r="AAI18" s="303"/>
      <c r="AAJ18" s="303"/>
      <c r="AAK18" s="303"/>
      <c r="AAL18" s="303"/>
      <c r="AAM18" s="303"/>
      <c r="AAN18" s="303"/>
      <c r="AAO18" s="303"/>
      <c r="AAP18" s="303"/>
      <c r="AAQ18" s="303"/>
      <c r="AAR18" s="303"/>
      <c r="AAS18" s="303"/>
      <c r="AAT18" s="303"/>
      <c r="AAU18" s="303"/>
      <c r="AAV18" s="303"/>
      <c r="AAW18" s="303"/>
      <c r="AAX18" s="303"/>
      <c r="AAY18" s="303"/>
      <c r="AAZ18" s="303"/>
      <c r="ABA18" s="303"/>
      <c r="ABB18" s="303"/>
      <c r="ABC18" s="303"/>
      <c r="ABD18" s="303"/>
      <c r="ABE18" s="303"/>
      <c r="ABF18" s="303"/>
      <c r="ABG18" s="303"/>
      <c r="ABH18" s="303"/>
      <c r="ABI18" s="303"/>
      <c r="ABJ18" s="303"/>
      <c r="ABK18" s="303"/>
      <c r="ABL18" s="303"/>
      <c r="ABM18" s="303"/>
      <c r="ABN18" s="303"/>
      <c r="ABO18" s="303"/>
      <c r="ABP18" s="303"/>
      <c r="ABQ18" s="303"/>
      <c r="ABR18" s="303"/>
      <c r="ABS18" s="303"/>
      <c r="ABT18" s="303"/>
      <c r="ABU18" s="303"/>
      <c r="ABV18" s="303"/>
      <c r="ABW18" s="303"/>
      <c r="ABX18" s="303"/>
      <c r="ABY18" s="303"/>
      <c r="ABZ18" s="303"/>
      <c r="ACA18" s="303"/>
      <c r="ACB18" s="303"/>
      <c r="ACC18" s="303"/>
      <c r="ACD18" s="303"/>
      <c r="ACE18" s="303"/>
      <c r="ACF18" s="303"/>
      <c r="ACG18" s="303"/>
      <c r="ACH18" s="303"/>
      <c r="ACI18" s="303"/>
      <c r="ACJ18" s="303"/>
      <c r="ACK18" s="303"/>
      <c r="ACL18" s="303"/>
      <c r="ACM18" s="303"/>
      <c r="ACN18" s="303"/>
      <c r="ACO18" s="303"/>
      <c r="ACP18" s="303"/>
      <c r="ACQ18" s="303"/>
      <c r="ACR18" s="303"/>
      <c r="ACS18" s="303"/>
      <c r="ACT18" s="303"/>
      <c r="ACU18" s="303"/>
      <c r="ACV18" s="303"/>
      <c r="ACW18" s="303"/>
      <c r="ACX18" s="303"/>
      <c r="ACY18" s="303"/>
      <c r="ACZ18" s="303"/>
      <c r="ADA18" s="303"/>
      <c r="ADB18" s="303"/>
      <c r="ADC18" s="303"/>
      <c r="ADD18" s="303"/>
      <c r="ADE18" s="303"/>
      <c r="ADF18" s="303"/>
      <c r="ADG18" s="303"/>
      <c r="ADH18" s="303"/>
      <c r="ADI18" s="303"/>
      <c r="ADJ18" s="303"/>
      <c r="ADK18" s="303"/>
      <c r="ADL18" s="303"/>
      <c r="ADM18" s="303"/>
      <c r="ADN18" s="303"/>
      <c r="ADO18" s="303"/>
      <c r="ADP18" s="303"/>
      <c r="ADQ18" s="303"/>
      <c r="ADR18" s="303"/>
      <c r="ADS18" s="303"/>
      <c r="ADT18" s="303"/>
      <c r="ADU18" s="303"/>
      <c r="ADV18" s="303"/>
      <c r="ADW18" s="303"/>
      <c r="ADX18" s="303"/>
      <c r="ADY18" s="303"/>
      <c r="ADZ18" s="303"/>
      <c r="AEA18" s="303"/>
      <c r="AEB18" s="303"/>
      <c r="AEC18" s="303"/>
      <c r="AED18" s="303"/>
      <c r="AEE18" s="303"/>
      <c r="AEF18" s="303"/>
      <c r="AEG18" s="303"/>
      <c r="AEH18" s="303"/>
      <c r="AEI18" s="303"/>
      <c r="AEJ18" s="303"/>
      <c r="AEK18" s="303"/>
      <c r="AEL18" s="303"/>
      <c r="AEM18" s="303"/>
      <c r="AEN18" s="303"/>
      <c r="AEO18" s="303"/>
      <c r="AEP18" s="303"/>
      <c r="AEQ18" s="303"/>
      <c r="AER18" s="303"/>
      <c r="AES18" s="303"/>
      <c r="AET18" s="303"/>
      <c r="AEU18" s="303"/>
      <c r="AEV18" s="303"/>
      <c r="AEW18" s="303"/>
      <c r="AEX18" s="303"/>
      <c r="AEY18" s="303"/>
      <c r="AEZ18" s="303"/>
      <c r="AFA18" s="303"/>
      <c r="AFB18" s="303"/>
      <c r="AFC18" s="303"/>
      <c r="AFD18" s="303"/>
      <c r="AFE18" s="303"/>
      <c r="AFF18" s="303"/>
      <c r="AFG18" s="303"/>
      <c r="AFH18" s="303"/>
      <c r="AFI18" s="303"/>
      <c r="AFJ18" s="303"/>
      <c r="AFK18" s="303"/>
      <c r="AFL18" s="303"/>
      <c r="AFM18" s="303"/>
      <c r="AFN18" s="303"/>
      <c r="AFO18" s="303"/>
      <c r="AFP18" s="303"/>
      <c r="AFQ18" s="303"/>
      <c r="AFR18" s="303"/>
      <c r="AFS18" s="303"/>
      <c r="AFT18" s="303"/>
      <c r="AFU18" s="303"/>
      <c r="AFV18" s="303"/>
      <c r="AFW18" s="303"/>
      <c r="AFX18" s="303"/>
      <c r="AFY18" s="303"/>
      <c r="AFZ18" s="303"/>
      <c r="AGA18" s="303"/>
      <c r="AGB18" s="303"/>
      <c r="AGC18" s="303"/>
      <c r="AGD18" s="303"/>
      <c r="AGE18" s="303"/>
      <c r="AGF18" s="303"/>
      <c r="AGG18" s="303"/>
      <c r="AGH18" s="303"/>
      <c r="AGI18" s="303"/>
      <c r="AGJ18" s="303"/>
      <c r="AGK18" s="303"/>
      <c r="AGL18" s="303"/>
      <c r="AGM18" s="303"/>
      <c r="AGN18" s="303"/>
      <c r="AGO18" s="303"/>
      <c r="AGP18" s="303"/>
      <c r="AGQ18" s="303"/>
      <c r="AGR18" s="303"/>
      <c r="AGS18" s="303"/>
      <c r="AGT18" s="303"/>
      <c r="AGU18" s="303"/>
      <c r="AGV18" s="303"/>
      <c r="AGW18" s="303"/>
      <c r="AGX18" s="303"/>
      <c r="AGY18" s="303"/>
      <c r="AGZ18" s="303"/>
      <c r="AHA18" s="303"/>
      <c r="AHB18" s="303"/>
      <c r="AHC18" s="303"/>
      <c r="AHD18" s="303"/>
      <c r="AHE18" s="303"/>
      <c r="AHF18" s="303"/>
      <c r="AHG18" s="303"/>
      <c r="AHH18" s="303"/>
      <c r="AHI18" s="303"/>
      <c r="AHJ18" s="303"/>
      <c r="AHK18" s="303"/>
      <c r="AHL18" s="303"/>
      <c r="AHM18" s="303"/>
      <c r="AHN18" s="303"/>
      <c r="AHO18" s="303"/>
      <c r="AHP18" s="303"/>
      <c r="AHQ18" s="303"/>
      <c r="AHR18" s="303"/>
      <c r="AHS18" s="303"/>
      <c r="AHT18" s="303"/>
      <c r="AHU18" s="303"/>
      <c r="AHV18" s="303"/>
      <c r="AHW18" s="303"/>
      <c r="AHX18" s="303"/>
      <c r="AHY18" s="303"/>
      <c r="AHZ18" s="303"/>
      <c r="AIA18" s="303"/>
      <c r="AIB18" s="303"/>
      <c r="AIC18" s="303"/>
      <c r="AID18" s="303"/>
      <c r="AIE18" s="303"/>
      <c r="AIF18" s="303"/>
      <c r="AIG18" s="303"/>
      <c r="AIH18" s="303"/>
      <c r="AII18" s="303"/>
      <c r="AIJ18" s="303"/>
      <c r="AIK18" s="303"/>
      <c r="AIL18" s="303"/>
      <c r="AIM18" s="303"/>
      <c r="AIN18" s="303"/>
      <c r="AIO18" s="303"/>
      <c r="AIP18" s="303"/>
      <c r="AIQ18" s="303"/>
      <c r="AIR18" s="303"/>
      <c r="AIS18" s="303"/>
      <c r="AIT18" s="303"/>
      <c r="AIU18" s="303"/>
      <c r="AIV18" s="303"/>
      <c r="AIW18" s="303"/>
      <c r="AIX18" s="303"/>
      <c r="AIY18" s="303"/>
      <c r="AIZ18" s="303"/>
      <c r="AJA18" s="303"/>
      <c r="AJB18" s="303"/>
      <c r="AJC18" s="303"/>
      <c r="AJD18" s="303"/>
      <c r="AJE18" s="303"/>
      <c r="AJF18" s="303"/>
      <c r="AJG18" s="303"/>
      <c r="AJH18" s="303"/>
      <c r="AJI18" s="303"/>
      <c r="AJJ18" s="303"/>
      <c r="AJK18" s="303"/>
      <c r="AJL18" s="303"/>
      <c r="AJM18" s="303"/>
      <c r="AJN18" s="303"/>
      <c r="AJO18" s="303"/>
      <c r="AJP18" s="303"/>
      <c r="AJQ18" s="303"/>
      <c r="AJR18" s="303"/>
      <c r="AJS18" s="303"/>
      <c r="AJT18" s="303"/>
      <c r="AJU18" s="303"/>
      <c r="AJV18" s="303"/>
      <c r="AJW18" s="303"/>
      <c r="AJX18" s="303"/>
      <c r="AJY18" s="303"/>
      <c r="AJZ18" s="303"/>
      <c r="AKA18" s="303"/>
      <c r="AKB18" s="303"/>
      <c r="AKC18" s="303"/>
      <c r="AKD18" s="303"/>
      <c r="AKE18" s="303"/>
      <c r="AKF18" s="303"/>
      <c r="AKG18" s="303"/>
      <c r="AKH18" s="303"/>
      <c r="AKI18" s="303"/>
      <c r="AKJ18" s="303"/>
      <c r="AKK18" s="303"/>
      <c r="AKL18" s="303"/>
      <c r="AKM18" s="303"/>
      <c r="AKN18" s="303"/>
      <c r="AKO18" s="303"/>
      <c r="AKP18" s="303"/>
      <c r="AKQ18" s="303"/>
      <c r="AKR18" s="303"/>
      <c r="AKS18" s="303"/>
      <c r="AKT18" s="303"/>
      <c r="AKU18" s="303"/>
      <c r="AKV18" s="303"/>
      <c r="AKW18" s="303"/>
      <c r="AKX18" s="303"/>
      <c r="AKY18" s="303"/>
      <c r="AKZ18" s="303"/>
      <c r="ALA18" s="303"/>
      <c r="ALB18" s="303"/>
      <c r="ALC18" s="303"/>
      <c r="ALD18" s="303"/>
      <c r="ALE18" s="303"/>
      <c r="ALF18" s="303"/>
      <c r="ALG18" s="303"/>
      <c r="ALH18" s="303"/>
      <c r="ALI18" s="303"/>
      <c r="ALJ18" s="303"/>
      <c r="ALK18" s="303"/>
      <c r="ALL18" s="303"/>
      <c r="ALM18" s="303"/>
      <c r="ALN18" s="303"/>
      <c r="ALO18" s="303"/>
      <c r="ALP18" s="303"/>
      <c r="ALQ18" s="303"/>
      <c r="ALR18" s="303"/>
      <c r="ALS18" s="303"/>
      <c r="ALT18" s="303"/>
      <c r="ALU18" s="303"/>
      <c r="ALV18" s="303"/>
      <c r="ALW18" s="303"/>
      <c r="ALX18" s="303"/>
      <c r="ALY18" s="303"/>
      <c r="ALZ18" s="303"/>
      <c r="AMA18" s="303"/>
      <c r="AMB18" s="303"/>
      <c r="AMC18" s="303"/>
    </row>
    <row r="19" spans="1:1017" s="136" customFormat="1" ht="15" customHeight="1">
      <c r="C19" s="131">
        <v>0.750000000000003</v>
      </c>
      <c r="D19" s="304"/>
      <c r="E19" s="304"/>
      <c r="F19" s="304"/>
      <c r="G19" s="304"/>
      <c r="H19" s="314"/>
      <c r="I19" s="315"/>
      <c r="J19" s="304"/>
      <c r="K19" s="304"/>
      <c r="L19" s="304"/>
      <c r="M19" s="304"/>
      <c r="N19" s="304"/>
      <c r="O19" s="314"/>
      <c r="P19" s="315"/>
      <c r="Q19" s="304"/>
      <c r="R19" s="304"/>
      <c r="S19" s="304"/>
      <c r="T19" s="304"/>
      <c r="U19" s="304"/>
      <c r="V19" s="314"/>
      <c r="W19" s="315"/>
      <c r="X19" s="304"/>
      <c r="Y19" s="304"/>
      <c r="Z19" s="304"/>
      <c r="AA19" s="304"/>
      <c r="AB19" s="304"/>
      <c r="AC19" s="314"/>
      <c r="AD19" s="315"/>
      <c r="AE19" s="304"/>
      <c r="AF19" s="304"/>
      <c r="AG19" s="304"/>
      <c r="AH19" s="304"/>
      <c r="AI19" s="304"/>
      <c r="AJ19" s="314"/>
      <c r="AK19" s="315"/>
      <c r="AL19" s="304"/>
      <c r="AM19" s="304"/>
      <c r="AN19" s="304"/>
      <c r="AO19" s="304"/>
      <c r="AP19" s="304"/>
      <c r="AQ19" s="314"/>
      <c r="AR19" s="315"/>
      <c r="AS19" s="304"/>
      <c r="AT19" s="304"/>
      <c r="AU19" s="304"/>
      <c r="AV19" s="304"/>
      <c r="AW19" s="304"/>
      <c r="AX19" s="314"/>
      <c r="AY19" s="315"/>
      <c r="AZ19" s="304"/>
      <c r="BA19" s="304"/>
      <c r="BB19" s="304"/>
      <c r="BC19" s="304"/>
      <c r="BD19" s="304"/>
      <c r="BE19" s="314"/>
      <c r="BF19" s="315"/>
      <c r="BG19" s="304"/>
      <c r="BH19" s="304"/>
      <c r="BI19" s="304"/>
      <c r="BJ19" s="304"/>
      <c r="BK19" s="304"/>
      <c r="BL19" s="314"/>
      <c r="BM19" s="315"/>
      <c r="BN19" s="304"/>
      <c r="BO19" s="304"/>
      <c r="BP19" s="304"/>
      <c r="BQ19" s="304"/>
      <c r="BR19" s="304"/>
      <c r="BS19" s="314"/>
      <c r="BT19" s="315"/>
      <c r="BU19" s="304"/>
      <c r="BV19" s="304"/>
      <c r="BW19" s="304"/>
      <c r="BX19" s="304"/>
      <c r="BY19" s="304"/>
      <c r="BZ19" s="314"/>
      <c r="CA19" s="315"/>
      <c r="CB19" s="304"/>
      <c r="CC19" s="304"/>
      <c r="CD19" s="304"/>
      <c r="CE19" s="304"/>
      <c r="CF19" s="304"/>
      <c r="CG19" s="314"/>
      <c r="CH19" s="315"/>
      <c r="CI19" s="304"/>
      <c r="CJ19" s="304"/>
      <c r="CK19" s="304"/>
      <c r="CL19" s="304"/>
      <c r="CM19" s="304"/>
      <c r="CN19" s="314"/>
      <c r="CO19" s="315"/>
      <c r="CP19" s="304"/>
      <c r="CQ19" s="304"/>
      <c r="CR19" s="304"/>
      <c r="CS19" s="304"/>
      <c r="CT19" s="304"/>
      <c r="CU19" s="314"/>
      <c r="CV19" s="315"/>
      <c r="CW19" s="304"/>
      <c r="CX19" s="304"/>
      <c r="CY19" s="304"/>
      <c r="CZ19" s="304"/>
      <c r="DA19" s="304"/>
      <c r="DB19" s="314"/>
      <c r="DC19" s="315"/>
      <c r="DD19" s="304"/>
      <c r="DE19" s="304"/>
      <c r="DF19" s="304"/>
      <c r="DG19" s="304"/>
      <c r="DH19" s="304"/>
      <c r="DI19" s="314"/>
      <c r="DJ19" s="315"/>
      <c r="DK19" s="304"/>
      <c r="DL19" s="304"/>
      <c r="DM19" s="304"/>
      <c r="DN19" s="304"/>
      <c r="DO19" s="304"/>
      <c r="DP19" s="314"/>
      <c r="DQ19" s="315"/>
      <c r="DR19" s="304"/>
      <c r="DS19" s="304"/>
      <c r="DT19" s="304"/>
      <c r="DU19" s="304"/>
      <c r="DV19" s="304"/>
      <c r="DW19" s="314"/>
      <c r="DX19" s="315"/>
      <c r="DY19" s="304"/>
      <c r="DZ19" s="304"/>
      <c r="EA19" s="304"/>
      <c r="EB19" s="304"/>
      <c r="EC19" s="304"/>
      <c r="ED19" s="314"/>
      <c r="EE19" s="315"/>
      <c r="EF19" s="304"/>
      <c r="EG19" s="304"/>
      <c r="EH19" s="304"/>
      <c r="EI19" s="304"/>
      <c r="EJ19" s="304"/>
      <c r="EK19" s="314"/>
      <c r="EL19" s="315"/>
      <c r="EM19" s="304"/>
      <c r="EN19" s="304"/>
      <c r="EO19" s="304"/>
      <c r="EP19" s="304"/>
      <c r="EQ19" s="304"/>
      <c r="ER19" s="314"/>
      <c r="ES19" s="315"/>
      <c r="ET19" s="304"/>
      <c r="EU19" s="304"/>
      <c r="EV19" s="304"/>
      <c r="EW19" s="304"/>
      <c r="EX19" s="304"/>
      <c r="EY19" s="314"/>
      <c r="EZ19" s="315"/>
      <c r="FA19" s="304"/>
      <c r="FB19" s="304"/>
      <c r="FC19" s="304"/>
      <c r="FD19" s="304"/>
      <c r="FE19" s="304"/>
      <c r="FF19" s="314"/>
      <c r="FG19" s="315"/>
      <c r="FH19" s="304"/>
      <c r="FI19" s="304"/>
      <c r="FJ19" s="304"/>
      <c r="FK19" s="304"/>
      <c r="FL19" s="304"/>
      <c r="FM19" s="314"/>
      <c r="FN19" s="315"/>
      <c r="FO19" s="304"/>
      <c r="FP19" s="304"/>
      <c r="FQ19" s="304"/>
      <c r="FR19" s="304"/>
      <c r="FS19" s="304"/>
      <c r="FT19" s="314"/>
      <c r="FU19" s="315"/>
      <c r="FV19" s="304"/>
      <c r="FW19" s="304"/>
      <c r="FX19" s="304"/>
      <c r="FY19" s="304"/>
      <c r="FZ19" s="304"/>
      <c r="GA19" s="314"/>
      <c r="GB19" s="315"/>
      <c r="GC19" s="304"/>
      <c r="GD19" s="304"/>
      <c r="GE19" s="304"/>
      <c r="GF19" s="304"/>
      <c r="GG19" s="304"/>
      <c r="GH19" s="314"/>
      <c r="GI19" s="315"/>
      <c r="GJ19" s="304"/>
      <c r="GK19" s="304"/>
      <c r="GL19" s="304"/>
      <c r="GM19" s="304"/>
      <c r="GN19" s="304"/>
      <c r="GO19" s="314"/>
      <c r="GP19" s="315"/>
      <c r="GQ19" s="304"/>
      <c r="GR19" s="304"/>
      <c r="GS19" s="304"/>
      <c r="GT19" s="304"/>
      <c r="GU19" s="304"/>
      <c r="GV19" s="314"/>
      <c r="GW19" s="315"/>
      <c r="GX19" s="304"/>
      <c r="GY19" s="304"/>
      <c r="GZ19" s="304"/>
      <c r="HA19" s="304"/>
      <c r="HB19" s="304"/>
      <c r="HC19" s="314"/>
      <c r="HD19" s="315"/>
      <c r="HE19" s="304"/>
      <c r="HF19" s="304"/>
      <c r="HG19" s="304"/>
      <c r="HH19" s="304"/>
      <c r="HI19" s="304"/>
      <c r="HJ19" s="314"/>
      <c r="HK19" s="315"/>
      <c r="HL19" s="304"/>
      <c r="HM19" s="304"/>
      <c r="HN19" s="304"/>
      <c r="HO19" s="304"/>
      <c r="HP19" s="304"/>
      <c r="HQ19" s="314"/>
      <c r="HR19" s="315"/>
      <c r="HS19" s="304"/>
      <c r="HT19" s="304"/>
      <c r="HU19" s="304"/>
      <c r="HV19" s="304"/>
      <c r="HW19" s="304"/>
      <c r="HX19" s="314"/>
      <c r="HY19" s="315"/>
      <c r="HZ19" s="304"/>
      <c r="IA19" s="304"/>
      <c r="IB19" s="304"/>
      <c r="IC19" s="304"/>
      <c r="ID19" s="304"/>
      <c r="IE19" s="314"/>
      <c r="IF19" s="315"/>
      <c r="IG19" s="304"/>
      <c r="IH19" s="304"/>
      <c r="II19" s="304"/>
      <c r="IJ19" s="304"/>
      <c r="IK19" s="304"/>
      <c r="IL19" s="314"/>
      <c r="IM19" s="315"/>
      <c r="IN19" s="304"/>
      <c r="IO19" s="304"/>
      <c r="IP19" s="304"/>
      <c r="IQ19" s="304"/>
      <c r="IR19" s="304"/>
      <c r="IS19" s="314"/>
      <c r="IT19" s="315"/>
      <c r="IU19" s="304"/>
      <c r="IV19" s="304"/>
      <c r="IW19" s="304"/>
      <c r="IX19" s="304"/>
      <c r="IY19" s="304"/>
      <c r="IZ19" s="314"/>
      <c r="JA19" s="315"/>
      <c r="JB19" s="304"/>
      <c r="JC19" s="304"/>
      <c r="JD19" s="304"/>
      <c r="JE19" s="304"/>
      <c r="JF19" s="304"/>
      <c r="JG19" s="314"/>
      <c r="JH19" s="315"/>
      <c r="JI19" s="304"/>
      <c r="JJ19" s="304"/>
      <c r="JK19" s="304"/>
      <c r="JL19" s="304"/>
      <c r="JM19" s="304"/>
      <c r="JN19" s="314"/>
      <c r="JO19" s="315"/>
      <c r="JP19" s="304"/>
      <c r="JQ19" s="304"/>
      <c r="JR19" s="304"/>
      <c r="JS19" s="304"/>
      <c r="JT19" s="304"/>
      <c r="JU19" s="314"/>
      <c r="JV19" s="315"/>
      <c r="JW19" s="304"/>
      <c r="JX19" s="304"/>
      <c r="JY19" s="304"/>
      <c r="JZ19" s="304"/>
      <c r="KA19" s="304"/>
      <c r="KB19" s="314"/>
      <c r="KC19" s="315"/>
      <c r="KD19" s="304"/>
      <c r="KE19" s="304"/>
      <c r="KF19" s="304"/>
      <c r="KG19" s="304"/>
      <c r="KH19" s="304"/>
      <c r="KI19" s="314"/>
      <c r="KJ19" s="315"/>
      <c r="KK19" s="304"/>
      <c r="KL19" s="304"/>
      <c r="KM19" s="304"/>
      <c r="KN19" s="304"/>
      <c r="KO19" s="304"/>
      <c r="KP19" s="314"/>
      <c r="KQ19" s="315"/>
      <c r="KR19" s="304"/>
      <c r="KS19" s="304"/>
      <c r="KT19" s="304"/>
      <c r="KU19" s="304"/>
      <c r="KV19" s="304"/>
      <c r="KW19" s="314"/>
      <c r="KX19" s="315"/>
      <c r="KY19" s="304"/>
      <c r="KZ19" s="304"/>
      <c r="LA19" s="304"/>
      <c r="LB19" s="304"/>
      <c r="LC19" s="304"/>
      <c r="LD19" s="314"/>
      <c r="LE19" s="315"/>
      <c r="LF19" s="304"/>
      <c r="LG19" s="304"/>
      <c r="LH19" s="304"/>
      <c r="LI19" s="304"/>
      <c r="LJ19" s="304"/>
      <c r="LK19" s="314"/>
      <c r="LL19" s="315"/>
      <c r="LM19" s="304"/>
      <c r="LN19" s="304"/>
      <c r="LO19" s="304"/>
      <c r="LP19" s="304"/>
      <c r="LQ19" s="304"/>
      <c r="LR19" s="314"/>
      <c r="LS19" s="315"/>
      <c r="LT19" s="304"/>
      <c r="LU19" s="304"/>
      <c r="LV19" s="304"/>
      <c r="LW19" s="304"/>
      <c r="LX19" s="304"/>
      <c r="LY19" s="314"/>
      <c r="LZ19" s="315"/>
      <c r="MA19" s="304"/>
      <c r="MB19" s="304"/>
      <c r="MC19" s="304"/>
      <c r="MD19" s="304"/>
      <c r="ME19" s="304"/>
      <c r="MF19" s="314"/>
      <c r="MG19" s="315"/>
      <c r="MH19" s="304"/>
      <c r="MI19" s="304"/>
      <c r="MJ19" s="304"/>
      <c r="MK19" s="304"/>
      <c r="ML19" s="304"/>
      <c r="MM19" s="314"/>
      <c r="MN19" s="315"/>
      <c r="MO19" s="304"/>
      <c r="MP19" s="304"/>
      <c r="MQ19" s="304"/>
      <c r="MR19" s="304"/>
      <c r="MS19" s="304"/>
      <c r="MT19" s="314"/>
      <c r="MU19" s="315"/>
      <c r="MV19" s="304"/>
      <c r="MW19" s="304"/>
      <c r="MX19" s="304"/>
      <c r="MY19" s="304"/>
      <c r="MZ19" s="304"/>
      <c r="NA19" s="314"/>
      <c r="NB19" s="315"/>
      <c r="NC19" s="304"/>
      <c r="ND19" s="304"/>
      <c r="NE19" s="333">
        <f t="shared" si="0"/>
        <v>0</v>
      </c>
      <c r="NF19" s="303"/>
      <c r="NG19" s="303"/>
      <c r="NH19" s="303"/>
      <c r="NI19" s="303"/>
      <c r="NJ19" s="303"/>
      <c r="NK19" s="303"/>
      <c r="NL19" s="303"/>
      <c r="NM19" s="303"/>
      <c r="NN19" s="303"/>
      <c r="NO19" s="303"/>
      <c r="NP19" s="303"/>
      <c r="NQ19" s="303"/>
      <c r="NR19" s="303"/>
      <c r="NS19" s="303"/>
      <c r="NT19" s="303"/>
      <c r="NU19" s="303"/>
      <c r="NV19" s="303"/>
      <c r="NW19" s="303"/>
      <c r="NX19" s="303"/>
      <c r="NY19" s="303"/>
      <c r="NZ19" s="303"/>
      <c r="OA19" s="303"/>
      <c r="OB19" s="303"/>
      <c r="OC19" s="303"/>
      <c r="OD19" s="303"/>
      <c r="OE19" s="303"/>
      <c r="OF19" s="303"/>
      <c r="OG19" s="303"/>
      <c r="OH19" s="303"/>
      <c r="OI19" s="303"/>
      <c r="OJ19" s="303"/>
      <c r="OK19" s="303"/>
      <c r="OL19" s="303"/>
      <c r="OM19" s="303"/>
      <c r="ON19" s="303"/>
      <c r="OO19" s="303"/>
      <c r="OP19" s="303"/>
      <c r="OQ19" s="303"/>
      <c r="OR19" s="303"/>
      <c r="OS19" s="303"/>
      <c r="OT19" s="303"/>
      <c r="OU19" s="303"/>
      <c r="OV19" s="303"/>
      <c r="OW19" s="303"/>
      <c r="OX19" s="303"/>
      <c r="OY19" s="303"/>
      <c r="OZ19" s="303"/>
      <c r="PA19" s="303"/>
      <c r="PB19" s="303"/>
      <c r="PC19" s="303"/>
      <c r="PD19" s="303"/>
      <c r="PE19" s="303"/>
      <c r="PF19" s="303"/>
      <c r="PG19" s="303"/>
      <c r="PH19" s="303"/>
      <c r="PI19" s="303"/>
      <c r="PJ19" s="303"/>
      <c r="PK19" s="303"/>
      <c r="PL19" s="303"/>
      <c r="PM19" s="303"/>
      <c r="PN19" s="303"/>
      <c r="PO19" s="303"/>
      <c r="PP19" s="303"/>
      <c r="PQ19" s="303"/>
      <c r="PR19" s="303"/>
      <c r="PS19" s="303"/>
      <c r="PT19" s="303"/>
      <c r="PU19" s="303"/>
      <c r="PV19" s="303"/>
      <c r="PW19" s="303"/>
      <c r="PX19" s="303"/>
      <c r="PY19" s="303"/>
      <c r="PZ19" s="303"/>
      <c r="QA19" s="303"/>
      <c r="QB19" s="303"/>
      <c r="QC19" s="303"/>
      <c r="QD19" s="303"/>
      <c r="QE19" s="303"/>
      <c r="QF19" s="303"/>
      <c r="QG19" s="303"/>
      <c r="QH19" s="303"/>
      <c r="QI19" s="303"/>
      <c r="QJ19" s="303"/>
      <c r="QK19" s="303"/>
      <c r="QL19" s="303"/>
      <c r="QM19" s="303"/>
      <c r="QN19" s="303"/>
      <c r="QO19" s="303"/>
      <c r="QP19" s="303"/>
      <c r="QQ19" s="303"/>
      <c r="QR19" s="303"/>
      <c r="QS19" s="303"/>
      <c r="QT19" s="303"/>
      <c r="QU19" s="303"/>
      <c r="QV19" s="303"/>
      <c r="QW19" s="303"/>
      <c r="QX19" s="303"/>
      <c r="QY19" s="303"/>
      <c r="QZ19" s="303"/>
      <c r="RA19" s="303"/>
      <c r="RB19" s="303"/>
      <c r="RC19" s="303"/>
      <c r="RD19" s="303"/>
      <c r="RE19" s="303"/>
      <c r="RF19" s="303"/>
      <c r="RG19" s="303"/>
      <c r="RH19" s="303"/>
      <c r="RI19" s="303"/>
      <c r="RJ19" s="303"/>
      <c r="RK19" s="303"/>
      <c r="RL19" s="303"/>
      <c r="RM19" s="303"/>
      <c r="RN19" s="303"/>
      <c r="RO19" s="303"/>
      <c r="RP19" s="303"/>
      <c r="RQ19" s="303"/>
      <c r="RR19" s="303"/>
      <c r="RS19" s="303"/>
      <c r="RT19" s="303"/>
      <c r="RU19" s="303"/>
      <c r="RV19" s="303"/>
      <c r="RW19" s="303"/>
      <c r="RX19" s="303"/>
      <c r="RY19" s="303"/>
      <c r="RZ19" s="303"/>
      <c r="SA19" s="303"/>
      <c r="SB19" s="303"/>
      <c r="SC19" s="303"/>
      <c r="SD19" s="303"/>
      <c r="SE19" s="303"/>
      <c r="SF19" s="303"/>
      <c r="SG19" s="303"/>
      <c r="SH19" s="303"/>
      <c r="SI19" s="303"/>
      <c r="SJ19" s="303"/>
      <c r="SK19" s="303"/>
      <c r="SL19" s="303"/>
      <c r="SM19" s="303"/>
      <c r="SN19" s="303"/>
      <c r="SO19" s="303"/>
      <c r="SP19" s="303"/>
      <c r="SQ19" s="303"/>
      <c r="SR19" s="303"/>
      <c r="SS19" s="303"/>
      <c r="ST19" s="303"/>
      <c r="SU19" s="303"/>
      <c r="SV19" s="303"/>
      <c r="SW19" s="303"/>
      <c r="SX19" s="303"/>
      <c r="SY19" s="303"/>
      <c r="SZ19" s="303"/>
      <c r="TA19" s="303"/>
      <c r="TB19" s="303"/>
      <c r="TC19" s="303"/>
      <c r="TD19" s="303"/>
      <c r="TE19" s="303"/>
      <c r="TF19" s="303"/>
      <c r="TG19" s="303"/>
      <c r="TH19" s="303"/>
      <c r="TI19" s="303"/>
      <c r="TJ19" s="303"/>
      <c r="TK19" s="303"/>
      <c r="TL19" s="303"/>
      <c r="TM19" s="303"/>
      <c r="TN19" s="303"/>
      <c r="TO19" s="303"/>
      <c r="TP19" s="303"/>
      <c r="TQ19" s="303"/>
      <c r="TR19" s="303"/>
      <c r="TS19" s="303"/>
      <c r="TT19" s="303"/>
      <c r="TU19" s="303"/>
      <c r="TV19" s="303"/>
      <c r="TW19" s="303"/>
      <c r="TX19" s="303"/>
      <c r="TY19" s="303"/>
      <c r="TZ19" s="303"/>
      <c r="UA19" s="303"/>
      <c r="UB19" s="303"/>
      <c r="UC19" s="303"/>
      <c r="UD19" s="303"/>
      <c r="UE19" s="303"/>
      <c r="UF19" s="303"/>
      <c r="UG19" s="303"/>
      <c r="UH19" s="303"/>
      <c r="UI19" s="303"/>
      <c r="UJ19" s="303"/>
      <c r="UK19" s="303"/>
      <c r="UL19" s="303"/>
      <c r="UM19" s="303"/>
      <c r="UN19" s="303"/>
      <c r="UO19" s="303"/>
      <c r="UP19" s="303"/>
      <c r="UQ19" s="303"/>
      <c r="UR19" s="303"/>
      <c r="US19" s="303"/>
      <c r="UT19" s="303"/>
      <c r="UU19" s="303"/>
      <c r="UV19" s="303"/>
      <c r="UW19" s="303"/>
      <c r="UX19" s="303"/>
      <c r="UY19" s="303"/>
      <c r="UZ19" s="303"/>
      <c r="VA19" s="303"/>
      <c r="VB19" s="303"/>
      <c r="VC19" s="303"/>
      <c r="VD19" s="303"/>
      <c r="VE19" s="303"/>
      <c r="VF19" s="303"/>
      <c r="VG19" s="303"/>
      <c r="VH19" s="303"/>
      <c r="VI19" s="303"/>
      <c r="VJ19" s="303"/>
      <c r="VK19" s="303"/>
      <c r="VL19" s="303"/>
      <c r="VM19" s="303"/>
      <c r="VN19" s="303"/>
      <c r="VO19" s="303"/>
      <c r="VP19" s="303"/>
      <c r="VQ19" s="303"/>
      <c r="VR19" s="303"/>
      <c r="VS19" s="303"/>
      <c r="VT19" s="303"/>
      <c r="VU19" s="303"/>
      <c r="VV19" s="303"/>
      <c r="VW19" s="303"/>
      <c r="VX19" s="303"/>
      <c r="VY19" s="303"/>
      <c r="VZ19" s="303"/>
      <c r="WA19" s="303"/>
      <c r="WB19" s="303"/>
      <c r="WC19" s="303"/>
      <c r="WD19" s="303"/>
      <c r="WE19" s="303"/>
      <c r="WF19" s="303"/>
      <c r="WG19" s="303"/>
      <c r="WH19" s="303"/>
      <c r="WI19" s="303"/>
      <c r="WJ19" s="303"/>
      <c r="WK19" s="303"/>
      <c r="WL19" s="303"/>
      <c r="WM19" s="303"/>
      <c r="WN19" s="303"/>
      <c r="WO19" s="303"/>
      <c r="WP19" s="303"/>
      <c r="WQ19" s="303"/>
      <c r="WR19" s="303"/>
      <c r="WS19" s="303"/>
      <c r="WT19" s="303"/>
      <c r="WU19" s="303"/>
      <c r="WV19" s="303"/>
      <c r="WW19" s="303"/>
      <c r="WX19" s="303"/>
      <c r="WY19" s="303"/>
      <c r="WZ19" s="303"/>
      <c r="XA19" s="303"/>
      <c r="XB19" s="303"/>
      <c r="XC19" s="303"/>
      <c r="XD19" s="303"/>
      <c r="XE19" s="303"/>
      <c r="XF19" s="303"/>
      <c r="XG19" s="303"/>
      <c r="XH19" s="303"/>
      <c r="XI19" s="303"/>
      <c r="XJ19" s="303"/>
      <c r="XK19" s="303"/>
      <c r="XL19" s="303"/>
      <c r="XM19" s="303"/>
      <c r="XN19" s="303"/>
      <c r="XO19" s="303"/>
      <c r="XP19" s="303"/>
      <c r="XQ19" s="303"/>
      <c r="XR19" s="303"/>
      <c r="XS19" s="303"/>
      <c r="XT19" s="303"/>
      <c r="XU19" s="303"/>
      <c r="XV19" s="303"/>
      <c r="XW19" s="303"/>
      <c r="XX19" s="303"/>
      <c r="XY19" s="303"/>
      <c r="XZ19" s="303"/>
      <c r="YA19" s="303"/>
      <c r="YB19" s="303"/>
      <c r="YC19" s="303"/>
      <c r="YD19" s="303"/>
      <c r="YE19" s="303"/>
      <c r="YF19" s="303"/>
      <c r="YG19" s="303"/>
      <c r="YH19" s="303"/>
      <c r="YI19" s="303"/>
      <c r="YJ19" s="303"/>
      <c r="YK19" s="303"/>
      <c r="YL19" s="303"/>
      <c r="YM19" s="303"/>
      <c r="YN19" s="303"/>
      <c r="YO19" s="303"/>
      <c r="YP19" s="303"/>
      <c r="YQ19" s="303"/>
      <c r="YR19" s="303"/>
      <c r="YS19" s="303"/>
      <c r="YT19" s="303"/>
      <c r="YU19" s="303"/>
      <c r="YV19" s="303"/>
      <c r="YW19" s="303"/>
      <c r="YX19" s="303"/>
      <c r="YY19" s="303"/>
      <c r="YZ19" s="303"/>
      <c r="ZA19" s="303"/>
      <c r="ZB19" s="303"/>
      <c r="ZC19" s="303"/>
      <c r="ZD19" s="303"/>
      <c r="ZE19" s="303"/>
      <c r="ZF19" s="303"/>
      <c r="ZG19" s="303"/>
      <c r="ZH19" s="303"/>
      <c r="ZI19" s="303"/>
      <c r="ZJ19" s="303"/>
      <c r="ZK19" s="303"/>
      <c r="ZL19" s="303"/>
      <c r="ZM19" s="303"/>
      <c r="ZN19" s="303"/>
      <c r="ZO19" s="303"/>
      <c r="ZP19" s="303"/>
      <c r="ZQ19" s="303"/>
      <c r="ZR19" s="303"/>
      <c r="ZS19" s="303"/>
      <c r="ZT19" s="303"/>
      <c r="ZU19" s="303"/>
      <c r="ZV19" s="303"/>
      <c r="ZW19" s="303"/>
      <c r="ZX19" s="303"/>
      <c r="ZY19" s="303"/>
      <c r="ZZ19" s="303"/>
      <c r="AAA19" s="303"/>
      <c r="AAB19" s="303"/>
      <c r="AAC19" s="303"/>
      <c r="AAD19" s="303"/>
      <c r="AAE19" s="303"/>
      <c r="AAF19" s="303"/>
      <c r="AAG19" s="303"/>
      <c r="AAH19" s="303"/>
      <c r="AAI19" s="303"/>
      <c r="AAJ19" s="303"/>
      <c r="AAK19" s="303"/>
      <c r="AAL19" s="303"/>
      <c r="AAM19" s="303"/>
      <c r="AAN19" s="303"/>
      <c r="AAO19" s="303"/>
      <c r="AAP19" s="303"/>
      <c r="AAQ19" s="303"/>
      <c r="AAR19" s="303"/>
      <c r="AAS19" s="303"/>
      <c r="AAT19" s="303"/>
      <c r="AAU19" s="303"/>
      <c r="AAV19" s="303"/>
      <c r="AAW19" s="303"/>
      <c r="AAX19" s="303"/>
      <c r="AAY19" s="303"/>
      <c r="AAZ19" s="303"/>
      <c r="ABA19" s="303"/>
      <c r="ABB19" s="303"/>
      <c r="ABC19" s="303"/>
      <c r="ABD19" s="303"/>
      <c r="ABE19" s="303"/>
      <c r="ABF19" s="303"/>
      <c r="ABG19" s="303"/>
      <c r="ABH19" s="303"/>
      <c r="ABI19" s="303"/>
      <c r="ABJ19" s="303"/>
      <c r="ABK19" s="303"/>
      <c r="ABL19" s="303"/>
      <c r="ABM19" s="303"/>
      <c r="ABN19" s="303"/>
      <c r="ABO19" s="303"/>
      <c r="ABP19" s="303"/>
      <c r="ABQ19" s="303"/>
      <c r="ABR19" s="303"/>
      <c r="ABS19" s="303"/>
      <c r="ABT19" s="303"/>
      <c r="ABU19" s="303"/>
      <c r="ABV19" s="303"/>
      <c r="ABW19" s="303"/>
      <c r="ABX19" s="303"/>
      <c r="ABY19" s="303"/>
      <c r="ABZ19" s="303"/>
      <c r="ACA19" s="303"/>
      <c r="ACB19" s="303"/>
      <c r="ACC19" s="303"/>
      <c r="ACD19" s="303"/>
      <c r="ACE19" s="303"/>
      <c r="ACF19" s="303"/>
      <c r="ACG19" s="303"/>
      <c r="ACH19" s="303"/>
      <c r="ACI19" s="303"/>
      <c r="ACJ19" s="303"/>
      <c r="ACK19" s="303"/>
      <c r="ACL19" s="303"/>
      <c r="ACM19" s="303"/>
      <c r="ACN19" s="303"/>
      <c r="ACO19" s="303"/>
      <c r="ACP19" s="303"/>
      <c r="ACQ19" s="303"/>
      <c r="ACR19" s="303"/>
      <c r="ACS19" s="303"/>
      <c r="ACT19" s="303"/>
      <c r="ACU19" s="303"/>
      <c r="ACV19" s="303"/>
      <c r="ACW19" s="303"/>
      <c r="ACX19" s="303"/>
      <c r="ACY19" s="303"/>
      <c r="ACZ19" s="303"/>
      <c r="ADA19" s="303"/>
      <c r="ADB19" s="303"/>
      <c r="ADC19" s="303"/>
      <c r="ADD19" s="303"/>
      <c r="ADE19" s="303"/>
      <c r="ADF19" s="303"/>
      <c r="ADG19" s="303"/>
      <c r="ADH19" s="303"/>
      <c r="ADI19" s="303"/>
      <c r="ADJ19" s="303"/>
      <c r="ADK19" s="303"/>
      <c r="ADL19" s="303"/>
      <c r="ADM19" s="303"/>
      <c r="ADN19" s="303"/>
      <c r="ADO19" s="303"/>
      <c r="ADP19" s="303"/>
      <c r="ADQ19" s="303"/>
      <c r="ADR19" s="303"/>
      <c r="ADS19" s="303"/>
      <c r="ADT19" s="303"/>
      <c r="ADU19" s="303"/>
      <c r="ADV19" s="303"/>
      <c r="ADW19" s="303"/>
      <c r="ADX19" s="303"/>
      <c r="ADY19" s="303"/>
      <c r="ADZ19" s="303"/>
      <c r="AEA19" s="303"/>
      <c r="AEB19" s="303"/>
      <c r="AEC19" s="303"/>
      <c r="AED19" s="303"/>
      <c r="AEE19" s="303"/>
      <c r="AEF19" s="303"/>
      <c r="AEG19" s="303"/>
      <c r="AEH19" s="303"/>
      <c r="AEI19" s="303"/>
      <c r="AEJ19" s="303"/>
      <c r="AEK19" s="303"/>
      <c r="AEL19" s="303"/>
      <c r="AEM19" s="303"/>
      <c r="AEN19" s="303"/>
      <c r="AEO19" s="303"/>
      <c r="AEP19" s="303"/>
      <c r="AEQ19" s="303"/>
      <c r="AER19" s="303"/>
      <c r="AES19" s="303"/>
      <c r="AET19" s="303"/>
      <c r="AEU19" s="303"/>
      <c r="AEV19" s="303"/>
      <c r="AEW19" s="303"/>
      <c r="AEX19" s="303"/>
      <c r="AEY19" s="303"/>
      <c r="AEZ19" s="303"/>
      <c r="AFA19" s="303"/>
      <c r="AFB19" s="303"/>
      <c r="AFC19" s="303"/>
      <c r="AFD19" s="303"/>
      <c r="AFE19" s="303"/>
      <c r="AFF19" s="303"/>
      <c r="AFG19" s="303"/>
      <c r="AFH19" s="303"/>
      <c r="AFI19" s="303"/>
      <c r="AFJ19" s="303"/>
      <c r="AFK19" s="303"/>
      <c r="AFL19" s="303"/>
      <c r="AFM19" s="303"/>
      <c r="AFN19" s="303"/>
      <c r="AFO19" s="303"/>
      <c r="AFP19" s="303"/>
      <c r="AFQ19" s="303"/>
      <c r="AFR19" s="303"/>
      <c r="AFS19" s="303"/>
      <c r="AFT19" s="303"/>
      <c r="AFU19" s="303"/>
      <c r="AFV19" s="303"/>
      <c r="AFW19" s="303"/>
      <c r="AFX19" s="303"/>
      <c r="AFY19" s="303"/>
      <c r="AFZ19" s="303"/>
      <c r="AGA19" s="303"/>
      <c r="AGB19" s="303"/>
      <c r="AGC19" s="303"/>
      <c r="AGD19" s="303"/>
      <c r="AGE19" s="303"/>
      <c r="AGF19" s="303"/>
      <c r="AGG19" s="303"/>
      <c r="AGH19" s="303"/>
      <c r="AGI19" s="303"/>
      <c r="AGJ19" s="303"/>
      <c r="AGK19" s="303"/>
      <c r="AGL19" s="303"/>
      <c r="AGM19" s="303"/>
      <c r="AGN19" s="303"/>
      <c r="AGO19" s="303"/>
      <c r="AGP19" s="303"/>
      <c r="AGQ19" s="303"/>
      <c r="AGR19" s="303"/>
      <c r="AGS19" s="303"/>
      <c r="AGT19" s="303"/>
      <c r="AGU19" s="303"/>
      <c r="AGV19" s="303"/>
      <c r="AGW19" s="303"/>
      <c r="AGX19" s="303"/>
      <c r="AGY19" s="303"/>
      <c r="AGZ19" s="303"/>
      <c r="AHA19" s="303"/>
      <c r="AHB19" s="303"/>
      <c r="AHC19" s="303"/>
      <c r="AHD19" s="303"/>
      <c r="AHE19" s="303"/>
      <c r="AHF19" s="303"/>
      <c r="AHG19" s="303"/>
      <c r="AHH19" s="303"/>
      <c r="AHI19" s="303"/>
      <c r="AHJ19" s="303"/>
      <c r="AHK19" s="303"/>
      <c r="AHL19" s="303"/>
      <c r="AHM19" s="303"/>
      <c r="AHN19" s="303"/>
      <c r="AHO19" s="303"/>
      <c r="AHP19" s="303"/>
      <c r="AHQ19" s="303"/>
      <c r="AHR19" s="303"/>
      <c r="AHS19" s="303"/>
      <c r="AHT19" s="303"/>
      <c r="AHU19" s="303"/>
      <c r="AHV19" s="303"/>
      <c r="AHW19" s="303"/>
      <c r="AHX19" s="303"/>
      <c r="AHY19" s="303"/>
      <c r="AHZ19" s="303"/>
      <c r="AIA19" s="303"/>
      <c r="AIB19" s="303"/>
      <c r="AIC19" s="303"/>
      <c r="AID19" s="303"/>
      <c r="AIE19" s="303"/>
      <c r="AIF19" s="303"/>
      <c r="AIG19" s="303"/>
      <c r="AIH19" s="303"/>
      <c r="AII19" s="303"/>
      <c r="AIJ19" s="303"/>
      <c r="AIK19" s="303"/>
      <c r="AIL19" s="303"/>
      <c r="AIM19" s="303"/>
      <c r="AIN19" s="303"/>
      <c r="AIO19" s="303"/>
      <c r="AIP19" s="303"/>
      <c r="AIQ19" s="303"/>
      <c r="AIR19" s="303"/>
      <c r="AIS19" s="303"/>
      <c r="AIT19" s="303"/>
      <c r="AIU19" s="303"/>
      <c r="AIV19" s="303"/>
      <c r="AIW19" s="303"/>
      <c r="AIX19" s="303"/>
      <c r="AIY19" s="303"/>
      <c r="AIZ19" s="303"/>
      <c r="AJA19" s="303"/>
      <c r="AJB19" s="303"/>
      <c r="AJC19" s="303"/>
      <c r="AJD19" s="303"/>
      <c r="AJE19" s="303"/>
      <c r="AJF19" s="303"/>
      <c r="AJG19" s="303"/>
      <c r="AJH19" s="303"/>
      <c r="AJI19" s="303"/>
      <c r="AJJ19" s="303"/>
      <c r="AJK19" s="303"/>
      <c r="AJL19" s="303"/>
      <c r="AJM19" s="303"/>
      <c r="AJN19" s="303"/>
      <c r="AJO19" s="303"/>
      <c r="AJP19" s="303"/>
      <c r="AJQ19" s="303"/>
      <c r="AJR19" s="303"/>
      <c r="AJS19" s="303"/>
      <c r="AJT19" s="303"/>
      <c r="AJU19" s="303"/>
      <c r="AJV19" s="303"/>
      <c r="AJW19" s="303"/>
      <c r="AJX19" s="303"/>
      <c r="AJY19" s="303"/>
      <c r="AJZ19" s="303"/>
      <c r="AKA19" s="303"/>
      <c r="AKB19" s="303"/>
      <c r="AKC19" s="303"/>
      <c r="AKD19" s="303"/>
      <c r="AKE19" s="303"/>
      <c r="AKF19" s="303"/>
      <c r="AKG19" s="303"/>
      <c r="AKH19" s="303"/>
      <c r="AKI19" s="303"/>
      <c r="AKJ19" s="303"/>
      <c r="AKK19" s="303"/>
      <c r="AKL19" s="303"/>
      <c r="AKM19" s="303"/>
      <c r="AKN19" s="303"/>
      <c r="AKO19" s="303"/>
      <c r="AKP19" s="303"/>
      <c r="AKQ19" s="303"/>
      <c r="AKR19" s="303"/>
      <c r="AKS19" s="303"/>
      <c r="AKT19" s="303"/>
      <c r="AKU19" s="303"/>
      <c r="AKV19" s="303"/>
      <c r="AKW19" s="303"/>
      <c r="AKX19" s="303"/>
      <c r="AKY19" s="303"/>
      <c r="AKZ19" s="303"/>
      <c r="ALA19" s="303"/>
      <c r="ALB19" s="303"/>
      <c r="ALC19" s="303"/>
      <c r="ALD19" s="303"/>
      <c r="ALE19" s="303"/>
      <c r="ALF19" s="303"/>
      <c r="ALG19" s="303"/>
      <c r="ALH19" s="303"/>
      <c r="ALI19" s="303"/>
      <c r="ALJ19" s="303"/>
      <c r="ALK19" s="303"/>
      <c r="ALL19" s="303"/>
      <c r="ALM19" s="303"/>
      <c r="ALN19" s="303"/>
      <c r="ALO19" s="303"/>
      <c r="ALP19" s="303"/>
      <c r="ALQ19" s="303"/>
      <c r="ALR19" s="303"/>
      <c r="ALS19" s="303"/>
      <c r="ALT19" s="303"/>
      <c r="ALU19" s="303"/>
      <c r="ALV19" s="303"/>
      <c r="ALW19" s="303"/>
      <c r="ALX19" s="303"/>
      <c r="ALY19" s="303"/>
      <c r="ALZ19" s="303"/>
      <c r="AMA19" s="303"/>
      <c r="AMB19" s="303"/>
      <c r="AMC19" s="303"/>
    </row>
    <row r="20" spans="1:1017" s="136" customFormat="1" ht="15" customHeight="1">
      <c r="C20" s="131">
        <v>0.79166666666666996</v>
      </c>
      <c r="D20" s="304"/>
      <c r="E20" s="304"/>
      <c r="F20" s="304"/>
      <c r="G20" s="304"/>
      <c r="H20" s="314"/>
      <c r="I20" s="315"/>
      <c r="J20" s="304"/>
      <c r="K20" s="304"/>
      <c r="L20" s="304"/>
      <c r="M20" s="304"/>
      <c r="N20" s="304"/>
      <c r="O20" s="314"/>
      <c r="P20" s="315"/>
      <c r="Q20" s="304"/>
      <c r="R20" s="304"/>
      <c r="S20" s="304"/>
      <c r="T20" s="304"/>
      <c r="U20" s="304"/>
      <c r="V20" s="314"/>
      <c r="W20" s="315"/>
      <c r="X20" s="304"/>
      <c r="Y20" s="304"/>
      <c r="Z20" s="304"/>
      <c r="AA20" s="304"/>
      <c r="AB20" s="304"/>
      <c r="AC20" s="314"/>
      <c r="AD20" s="315"/>
      <c r="AE20" s="304"/>
      <c r="AF20" s="304"/>
      <c r="AG20" s="304"/>
      <c r="AH20" s="304"/>
      <c r="AI20" s="304"/>
      <c r="AJ20" s="314"/>
      <c r="AK20" s="315"/>
      <c r="AL20" s="304"/>
      <c r="AM20" s="304"/>
      <c r="AN20" s="304"/>
      <c r="AO20" s="304"/>
      <c r="AP20" s="304"/>
      <c r="AQ20" s="314"/>
      <c r="AR20" s="315"/>
      <c r="AS20" s="304"/>
      <c r="AT20" s="304"/>
      <c r="AU20" s="304"/>
      <c r="AV20" s="304"/>
      <c r="AW20" s="304"/>
      <c r="AX20" s="314"/>
      <c r="AY20" s="315"/>
      <c r="AZ20" s="304"/>
      <c r="BA20" s="304"/>
      <c r="BB20" s="304"/>
      <c r="BC20" s="304"/>
      <c r="BD20" s="304"/>
      <c r="BE20" s="314"/>
      <c r="BF20" s="315"/>
      <c r="BG20" s="304"/>
      <c r="BH20" s="304"/>
      <c r="BI20" s="304"/>
      <c r="BJ20" s="304"/>
      <c r="BK20" s="304"/>
      <c r="BL20" s="314"/>
      <c r="BM20" s="315"/>
      <c r="BN20" s="304"/>
      <c r="BO20" s="304"/>
      <c r="BP20" s="304"/>
      <c r="BQ20" s="304"/>
      <c r="BR20" s="304"/>
      <c r="BS20" s="314"/>
      <c r="BT20" s="315"/>
      <c r="BU20" s="304"/>
      <c r="BV20" s="304"/>
      <c r="BW20" s="304"/>
      <c r="BX20" s="304"/>
      <c r="BY20" s="304"/>
      <c r="BZ20" s="314"/>
      <c r="CA20" s="315"/>
      <c r="CB20" s="304"/>
      <c r="CC20" s="304"/>
      <c r="CD20" s="304"/>
      <c r="CE20" s="304"/>
      <c r="CF20" s="304"/>
      <c r="CG20" s="314"/>
      <c r="CH20" s="315"/>
      <c r="CI20" s="304"/>
      <c r="CJ20" s="304"/>
      <c r="CK20" s="304"/>
      <c r="CL20" s="304"/>
      <c r="CM20" s="304"/>
      <c r="CN20" s="314"/>
      <c r="CO20" s="315"/>
      <c r="CP20" s="304"/>
      <c r="CQ20" s="304"/>
      <c r="CR20" s="304"/>
      <c r="CS20" s="304"/>
      <c r="CT20" s="304"/>
      <c r="CU20" s="314"/>
      <c r="CV20" s="315"/>
      <c r="CW20" s="304"/>
      <c r="CX20" s="304"/>
      <c r="CY20" s="304"/>
      <c r="CZ20" s="304"/>
      <c r="DA20" s="304"/>
      <c r="DB20" s="314"/>
      <c r="DC20" s="315"/>
      <c r="DD20" s="304"/>
      <c r="DE20" s="304"/>
      <c r="DF20" s="304"/>
      <c r="DG20" s="304"/>
      <c r="DH20" s="304"/>
      <c r="DI20" s="314"/>
      <c r="DJ20" s="315"/>
      <c r="DK20" s="304"/>
      <c r="DL20" s="304"/>
      <c r="DM20" s="304"/>
      <c r="DN20" s="304"/>
      <c r="DO20" s="304"/>
      <c r="DP20" s="314"/>
      <c r="DQ20" s="315"/>
      <c r="DR20" s="304"/>
      <c r="DS20" s="304"/>
      <c r="DT20" s="304"/>
      <c r="DU20" s="304"/>
      <c r="DV20" s="304"/>
      <c r="DW20" s="314"/>
      <c r="DX20" s="315"/>
      <c r="DY20" s="304"/>
      <c r="DZ20" s="304"/>
      <c r="EA20" s="304"/>
      <c r="EB20" s="304"/>
      <c r="EC20" s="304"/>
      <c r="ED20" s="314"/>
      <c r="EE20" s="315"/>
      <c r="EF20" s="304"/>
      <c r="EG20" s="304"/>
      <c r="EH20" s="304"/>
      <c r="EI20" s="304"/>
      <c r="EJ20" s="304"/>
      <c r="EK20" s="314"/>
      <c r="EL20" s="315"/>
      <c r="EM20" s="304"/>
      <c r="EN20" s="304"/>
      <c r="EO20" s="304"/>
      <c r="EP20" s="304"/>
      <c r="EQ20" s="304"/>
      <c r="ER20" s="314"/>
      <c r="ES20" s="315"/>
      <c r="ET20" s="304"/>
      <c r="EU20" s="304"/>
      <c r="EV20" s="304"/>
      <c r="EW20" s="304"/>
      <c r="EX20" s="304"/>
      <c r="EY20" s="314"/>
      <c r="EZ20" s="315"/>
      <c r="FA20" s="304"/>
      <c r="FB20" s="304"/>
      <c r="FC20" s="304"/>
      <c r="FD20" s="304"/>
      <c r="FE20" s="304"/>
      <c r="FF20" s="314"/>
      <c r="FG20" s="315"/>
      <c r="FH20" s="304"/>
      <c r="FI20" s="304"/>
      <c r="FJ20" s="304"/>
      <c r="FK20" s="304"/>
      <c r="FL20" s="304"/>
      <c r="FM20" s="314"/>
      <c r="FN20" s="315"/>
      <c r="FO20" s="304"/>
      <c r="FP20" s="304"/>
      <c r="FQ20" s="304"/>
      <c r="FR20" s="304"/>
      <c r="FS20" s="304"/>
      <c r="FT20" s="314"/>
      <c r="FU20" s="315"/>
      <c r="FV20" s="304"/>
      <c r="FW20" s="304"/>
      <c r="FX20" s="304"/>
      <c r="FY20" s="304"/>
      <c r="FZ20" s="304"/>
      <c r="GA20" s="314"/>
      <c r="GB20" s="315"/>
      <c r="GC20" s="304"/>
      <c r="GD20" s="304"/>
      <c r="GE20" s="304"/>
      <c r="GF20" s="304"/>
      <c r="GG20" s="304"/>
      <c r="GH20" s="314"/>
      <c r="GI20" s="315"/>
      <c r="GJ20" s="304"/>
      <c r="GK20" s="304"/>
      <c r="GL20" s="304"/>
      <c r="GM20" s="304"/>
      <c r="GN20" s="304"/>
      <c r="GO20" s="314"/>
      <c r="GP20" s="315"/>
      <c r="GQ20" s="304"/>
      <c r="GR20" s="304"/>
      <c r="GS20" s="304"/>
      <c r="GT20" s="304"/>
      <c r="GU20" s="304"/>
      <c r="GV20" s="314"/>
      <c r="GW20" s="315"/>
      <c r="GX20" s="304"/>
      <c r="GY20" s="304"/>
      <c r="GZ20" s="304"/>
      <c r="HA20" s="304"/>
      <c r="HB20" s="304"/>
      <c r="HC20" s="314"/>
      <c r="HD20" s="315"/>
      <c r="HE20" s="304"/>
      <c r="HF20" s="304"/>
      <c r="HG20" s="304"/>
      <c r="HH20" s="304"/>
      <c r="HI20" s="304"/>
      <c r="HJ20" s="314"/>
      <c r="HK20" s="315"/>
      <c r="HL20" s="304"/>
      <c r="HM20" s="304"/>
      <c r="HN20" s="304"/>
      <c r="HO20" s="304"/>
      <c r="HP20" s="304"/>
      <c r="HQ20" s="314"/>
      <c r="HR20" s="315"/>
      <c r="HS20" s="304"/>
      <c r="HT20" s="304"/>
      <c r="HU20" s="304"/>
      <c r="HV20" s="304"/>
      <c r="HW20" s="304"/>
      <c r="HX20" s="314"/>
      <c r="HY20" s="315"/>
      <c r="HZ20" s="304"/>
      <c r="IA20" s="304"/>
      <c r="IB20" s="304"/>
      <c r="IC20" s="304"/>
      <c r="ID20" s="304"/>
      <c r="IE20" s="314"/>
      <c r="IF20" s="315"/>
      <c r="IG20" s="304"/>
      <c r="IH20" s="304"/>
      <c r="II20" s="304"/>
      <c r="IJ20" s="304"/>
      <c r="IK20" s="304"/>
      <c r="IL20" s="314"/>
      <c r="IM20" s="315"/>
      <c r="IN20" s="304"/>
      <c r="IO20" s="304"/>
      <c r="IP20" s="304"/>
      <c r="IQ20" s="304"/>
      <c r="IR20" s="304"/>
      <c r="IS20" s="314"/>
      <c r="IT20" s="315"/>
      <c r="IU20" s="304"/>
      <c r="IV20" s="304"/>
      <c r="IW20" s="304"/>
      <c r="IX20" s="304"/>
      <c r="IY20" s="304"/>
      <c r="IZ20" s="314"/>
      <c r="JA20" s="315"/>
      <c r="JB20" s="304"/>
      <c r="JC20" s="304"/>
      <c r="JD20" s="304"/>
      <c r="JE20" s="304"/>
      <c r="JF20" s="304"/>
      <c r="JG20" s="314"/>
      <c r="JH20" s="315"/>
      <c r="JI20" s="304"/>
      <c r="JJ20" s="304"/>
      <c r="JK20" s="304"/>
      <c r="JL20" s="304"/>
      <c r="JM20" s="304"/>
      <c r="JN20" s="314"/>
      <c r="JO20" s="315"/>
      <c r="JP20" s="304"/>
      <c r="JQ20" s="304"/>
      <c r="JR20" s="304"/>
      <c r="JS20" s="304"/>
      <c r="JT20" s="304"/>
      <c r="JU20" s="314"/>
      <c r="JV20" s="315"/>
      <c r="JW20" s="304"/>
      <c r="JX20" s="304"/>
      <c r="JY20" s="304"/>
      <c r="JZ20" s="304"/>
      <c r="KA20" s="304"/>
      <c r="KB20" s="314"/>
      <c r="KC20" s="315"/>
      <c r="KD20" s="304"/>
      <c r="KE20" s="304"/>
      <c r="KF20" s="304"/>
      <c r="KG20" s="304"/>
      <c r="KH20" s="304"/>
      <c r="KI20" s="314"/>
      <c r="KJ20" s="315"/>
      <c r="KK20" s="304"/>
      <c r="KL20" s="304"/>
      <c r="KM20" s="304"/>
      <c r="KN20" s="304"/>
      <c r="KO20" s="304"/>
      <c r="KP20" s="314"/>
      <c r="KQ20" s="315"/>
      <c r="KR20" s="304"/>
      <c r="KS20" s="304"/>
      <c r="KT20" s="304"/>
      <c r="KU20" s="304"/>
      <c r="KV20" s="304"/>
      <c r="KW20" s="314"/>
      <c r="KX20" s="315"/>
      <c r="KY20" s="304"/>
      <c r="KZ20" s="304"/>
      <c r="LA20" s="304"/>
      <c r="LB20" s="304"/>
      <c r="LC20" s="304"/>
      <c r="LD20" s="314"/>
      <c r="LE20" s="315"/>
      <c r="LF20" s="304"/>
      <c r="LG20" s="304"/>
      <c r="LH20" s="304"/>
      <c r="LI20" s="304"/>
      <c r="LJ20" s="304"/>
      <c r="LK20" s="314"/>
      <c r="LL20" s="315"/>
      <c r="LM20" s="304"/>
      <c r="LN20" s="304"/>
      <c r="LO20" s="304"/>
      <c r="LP20" s="304"/>
      <c r="LQ20" s="304"/>
      <c r="LR20" s="314"/>
      <c r="LS20" s="315"/>
      <c r="LT20" s="304"/>
      <c r="LU20" s="304"/>
      <c r="LV20" s="304"/>
      <c r="LW20" s="304"/>
      <c r="LX20" s="304"/>
      <c r="LY20" s="314"/>
      <c r="LZ20" s="315"/>
      <c r="MA20" s="304"/>
      <c r="MB20" s="304"/>
      <c r="MC20" s="304"/>
      <c r="MD20" s="304"/>
      <c r="ME20" s="304"/>
      <c r="MF20" s="314"/>
      <c r="MG20" s="315"/>
      <c r="MH20" s="304"/>
      <c r="MI20" s="304"/>
      <c r="MJ20" s="304"/>
      <c r="MK20" s="304"/>
      <c r="ML20" s="304"/>
      <c r="MM20" s="314"/>
      <c r="MN20" s="315"/>
      <c r="MO20" s="304"/>
      <c r="MP20" s="304"/>
      <c r="MQ20" s="304"/>
      <c r="MR20" s="304"/>
      <c r="MS20" s="304"/>
      <c r="MT20" s="314"/>
      <c r="MU20" s="315"/>
      <c r="MV20" s="304"/>
      <c r="MW20" s="304"/>
      <c r="MX20" s="304"/>
      <c r="MY20" s="304"/>
      <c r="MZ20" s="304"/>
      <c r="NA20" s="314"/>
      <c r="NB20" s="315"/>
      <c r="NC20" s="304"/>
      <c r="ND20" s="304"/>
      <c r="NE20" s="333">
        <f t="shared" si="0"/>
        <v>0</v>
      </c>
      <c r="NF20" s="303"/>
      <c r="NG20" s="303"/>
      <c r="NH20" s="303"/>
      <c r="NI20" s="303"/>
      <c r="NJ20" s="303"/>
      <c r="NK20" s="303"/>
      <c r="NL20" s="303"/>
      <c r="NM20" s="303"/>
      <c r="NN20" s="303"/>
      <c r="NO20" s="303"/>
      <c r="NP20" s="303"/>
      <c r="NQ20" s="303"/>
      <c r="NR20" s="303"/>
      <c r="NS20" s="303"/>
      <c r="NT20" s="303"/>
      <c r="NU20" s="303"/>
      <c r="NV20" s="303"/>
      <c r="NW20" s="303"/>
      <c r="NX20" s="303"/>
      <c r="NY20" s="303"/>
      <c r="NZ20" s="303"/>
      <c r="OA20" s="303"/>
      <c r="OB20" s="303"/>
      <c r="OC20" s="303"/>
      <c r="OD20" s="303"/>
      <c r="OE20" s="303"/>
      <c r="OF20" s="303"/>
      <c r="OG20" s="303"/>
      <c r="OH20" s="303"/>
      <c r="OI20" s="303"/>
      <c r="OJ20" s="303"/>
      <c r="OK20" s="303"/>
      <c r="OL20" s="303"/>
      <c r="OM20" s="303"/>
      <c r="ON20" s="303"/>
      <c r="OO20" s="303"/>
      <c r="OP20" s="303"/>
      <c r="OQ20" s="303"/>
      <c r="OR20" s="303"/>
      <c r="OS20" s="303"/>
      <c r="OT20" s="303"/>
      <c r="OU20" s="303"/>
      <c r="OV20" s="303"/>
      <c r="OW20" s="303"/>
      <c r="OX20" s="303"/>
      <c r="OY20" s="303"/>
      <c r="OZ20" s="303"/>
      <c r="PA20" s="303"/>
      <c r="PB20" s="303"/>
      <c r="PC20" s="303"/>
      <c r="PD20" s="303"/>
      <c r="PE20" s="303"/>
      <c r="PF20" s="303"/>
      <c r="PG20" s="303"/>
      <c r="PH20" s="303"/>
      <c r="PI20" s="303"/>
      <c r="PJ20" s="303"/>
      <c r="PK20" s="303"/>
      <c r="PL20" s="303"/>
      <c r="PM20" s="303"/>
      <c r="PN20" s="303"/>
      <c r="PO20" s="303"/>
      <c r="PP20" s="303"/>
      <c r="PQ20" s="303"/>
      <c r="PR20" s="303"/>
      <c r="PS20" s="303"/>
      <c r="PT20" s="303"/>
      <c r="PU20" s="303"/>
      <c r="PV20" s="303"/>
      <c r="PW20" s="303"/>
      <c r="PX20" s="303"/>
      <c r="PY20" s="303"/>
      <c r="PZ20" s="303"/>
      <c r="QA20" s="303"/>
      <c r="QB20" s="303"/>
      <c r="QC20" s="303"/>
      <c r="QD20" s="303"/>
      <c r="QE20" s="303"/>
      <c r="QF20" s="303"/>
      <c r="QG20" s="303"/>
      <c r="QH20" s="303"/>
      <c r="QI20" s="303"/>
      <c r="QJ20" s="303"/>
      <c r="QK20" s="303"/>
      <c r="QL20" s="303"/>
      <c r="QM20" s="303"/>
      <c r="QN20" s="303"/>
      <c r="QO20" s="303"/>
      <c r="QP20" s="303"/>
      <c r="QQ20" s="303"/>
      <c r="QR20" s="303"/>
      <c r="QS20" s="303"/>
      <c r="QT20" s="303"/>
      <c r="QU20" s="303"/>
      <c r="QV20" s="303"/>
      <c r="QW20" s="303"/>
      <c r="QX20" s="303"/>
      <c r="QY20" s="303"/>
      <c r="QZ20" s="303"/>
      <c r="RA20" s="303"/>
      <c r="RB20" s="303"/>
      <c r="RC20" s="303"/>
      <c r="RD20" s="303"/>
      <c r="RE20" s="303"/>
      <c r="RF20" s="303"/>
      <c r="RG20" s="303"/>
      <c r="RH20" s="303"/>
      <c r="RI20" s="303"/>
      <c r="RJ20" s="303"/>
      <c r="RK20" s="303"/>
      <c r="RL20" s="303"/>
      <c r="RM20" s="303"/>
      <c r="RN20" s="303"/>
      <c r="RO20" s="303"/>
      <c r="RP20" s="303"/>
      <c r="RQ20" s="303"/>
      <c r="RR20" s="303"/>
      <c r="RS20" s="303"/>
      <c r="RT20" s="303"/>
      <c r="RU20" s="303"/>
      <c r="RV20" s="303"/>
      <c r="RW20" s="303"/>
      <c r="RX20" s="303"/>
      <c r="RY20" s="303"/>
      <c r="RZ20" s="303"/>
      <c r="SA20" s="303"/>
      <c r="SB20" s="303"/>
      <c r="SC20" s="303"/>
      <c r="SD20" s="303"/>
      <c r="SE20" s="303"/>
      <c r="SF20" s="303"/>
      <c r="SG20" s="303"/>
      <c r="SH20" s="303"/>
      <c r="SI20" s="303"/>
      <c r="SJ20" s="303"/>
      <c r="SK20" s="303"/>
      <c r="SL20" s="303"/>
      <c r="SM20" s="303"/>
      <c r="SN20" s="303"/>
      <c r="SO20" s="303"/>
      <c r="SP20" s="303"/>
      <c r="SQ20" s="303"/>
      <c r="SR20" s="303"/>
      <c r="SS20" s="303"/>
      <c r="ST20" s="303"/>
      <c r="SU20" s="303"/>
      <c r="SV20" s="303"/>
      <c r="SW20" s="303"/>
      <c r="SX20" s="303"/>
      <c r="SY20" s="303"/>
      <c r="SZ20" s="303"/>
      <c r="TA20" s="303"/>
      <c r="TB20" s="303"/>
      <c r="TC20" s="303"/>
      <c r="TD20" s="303"/>
      <c r="TE20" s="303"/>
      <c r="TF20" s="303"/>
      <c r="TG20" s="303"/>
      <c r="TH20" s="303"/>
      <c r="TI20" s="303"/>
      <c r="TJ20" s="303"/>
      <c r="TK20" s="303"/>
      <c r="TL20" s="303"/>
      <c r="TM20" s="303"/>
      <c r="TN20" s="303"/>
      <c r="TO20" s="303"/>
      <c r="TP20" s="303"/>
      <c r="TQ20" s="303"/>
      <c r="TR20" s="303"/>
      <c r="TS20" s="303"/>
      <c r="TT20" s="303"/>
      <c r="TU20" s="303"/>
      <c r="TV20" s="303"/>
      <c r="TW20" s="303"/>
      <c r="TX20" s="303"/>
      <c r="TY20" s="303"/>
      <c r="TZ20" s="303"/>
      <c r="UA20" s="303"/>
      <c r="UB20" s="303"/>
      <c r="UC20" s="303"/>
      <c r="UD20" s="303"/>
      <c r="UE20" s="303"/>
      <c r="UF20" s="303"/>
      <c r="UG20" s="303"/>
      <c r="UH20" s="303"/>
      <c r="UI20" s="303"/>
      <c r="UJ20" s="303"/>
      <c r="UK20" s="303"/>
      <c r="UL20" s="303"/>
      <c r="UM20" s="303"/>
      <c r="UN20" s="303"/>
      <c r="UO20" s="303"/>
      <c r="UP20" s="303"/>
      <c r="UQ20" s="303"/>
      <c r="UR20" s="303"/>
      <c r="US20" s="303"/>
      <c r="UT20" s="303"/>
      <c r="UU20" s="303"/>
      <c r="UV20" s="303"/>
      <c r="UW20" s="303"/>
      <c r="UX20" s="303"/>
      <c r="UY20" s="303"/>
      <c r="UZ20" s="303"/>
      <c r="VA20" s="303"/>
      <c r="VB20" s="303"/>
      <c r="VC20" s="303"/>
      <c r="VD20" s="303"/>
      <c r="VE20" s="303"/>
      <c r="VF20" s="303"/>
      <c r="VG20" s="303"/>
      <c r="VH20" s="303"/>
      <c r="VI20" s="303"/>
      <c r="VJ20" s="303"/>
      <c r="VK20" s="303"/>
      <c r="VL20" s="303"/>
      <c r="VM20" s="303"/>
      <c r="VN20" s="303"/>
      <c r="VO20" s="303"/>
      <c r="VP20" s="303"/>
      <c r="VQ20" s="303"/>
      <c r="VR20" s="303"/>
      <c r="VS20" s="303"/>
      <c r="VT20" s="303"/>
      <c r="VU20" s="303"/>
      <c r="VV20" s="303"/>
      <c r="VW20" s="303"/>
      <c r="VX20" s="303"/>
      <c r="VY20" s="303"/>
      <c r="VZ20" s="303"/>
      <c r="WA20" s="303"/>
      <c r="WB20" s="303"/>
      <c r="WC20" s="303"/>
      <c r="WD20" s="303"/>
      <c r="WE20" s="303"/>
      <c r="WF20" s="303"/>
      <c r="WG20" s="303"/>
      <c r="WH20" s="303"/>
      <c r="WI20" s="303"/>
      <c r="WJ20" s="303"/>
      <c r="WK20" s="303"/>
      <c r="WL20" s="303"/>
      <c r="WM20" s="303"/>
      <c r="WN20" s="303"/>
      <c r="WO20" s="303"/>
      <c r="WP20" s="303"/>
      <c r="WQ20" s="303"/>
      <c r="WR20" s="303"/>
      <c r="WS20" s="303"/>
      <c r="WT20" s="303"/>
      <c r="WU20" s="303"/>
      <c r="WV20" s="303"/>
      <c r="WW20" s="303"/>
      <c r="WX20" s="303"/>
      <c r="WY20" s="303"/>
      <c r="WZ20" s="303"/>
      <c r="XA20" s="303"/>
      <c r="XB20" s="303"/>
      <c r="XC20" s="303"/>
      <c r="XD20" s="303"/>
      <c r="XE20" s="303"/>
      <c r="XF20" s="303"/>
      <c r="XG20" s="303"/>
      <c r="XH20" s="303"/>
      <c r="XI20" s="303"/>
      <c r="XJ20" s="303"/>
      <c r="XK20" s="303"/>
      <c r="XL20" s="303"/>
      <c r="XM20" s="303"/>
      <c r="XN20" s="303"/>
      <c r="XO20" s="303"/>
      <c r="XP20" s="303"/>
      <c r="XQ20" s="303"/>
      <c r="XR20" s="303"/>
      <c r="XS20" s="303"/>
      <c r="XT20" s="303"/>
      <c r="XU20" s="303"/>
      <c r="XV20" s="303"/>
      <c r="XW20" s="303"/>
      <c r="XX20" s="303"/>
      <c r="XY20" s="303"/>
      <c r="XZ20" s="303"/>
      <c r="YA20" s="303"/>
      <c r="YB20" s="303"/>
      <c r="YC20" s="303"/>
      <c r="YD20" s="303"/>
      <c r="YE20" s="303"/>
      <c r="YF20" s="303"/>
      <c r="YG20" s="303"/>
      <c r="YH20" s="303"/>
      <c r="YI20" s="303"/>
      <c r="YJ20" s="303"/>
      <c r="YK20" s="303"/>
      <c r="YL20" s="303"/>
      <c r="YM20" s="303"/>
      <c r="YN20" s="303"/>
      <c r="YO20" s="303"/>
      <c r="YP20" s="303"/>
      <c r="YQ20" s="303"/>
      <c r="YR20" s="303"/>
      <c r="YS20" s="303"/>
      <c r="YT20" s="303"/>
      <c r="YU20" s="303"/>
      <c r="YV20" s="303"/>
      <c r="YW20" s="303"/>
      <c r="YX20" s="303"/>
      <c r="YY20" s="303"/>
      <c r="YZ20" s="303"/>
      <c r="ZA20" s="303"/>
      <c r="ZB20" s="303"/>
      <c r="ZC20" s="303"/>
      <c r="ZD20" s="303"/>
      <c r="ZE20" s="303"/>
      <c r="ZF20" s="303"/>
      <c r="ZG20" s="303"/>
      <c r="ZH20" s="303"/>
      <c r="ZI20" s="303"/>
      <c r="ZJ20" s="303"/>
      <c r="ZK20" s="303"/>
      <c r="ZL20" s="303"/>
      <c r="ZM20" s="303"/>
      <c r="ZN20" s="303"/>
      <c r="ZO20" s="303"/>
      <c r="ZP20" s="303"/>
      <c r="ZQ20" s="303"/>
      <c r="ZR20" s="303"/>
      <c r="ZS20" s="303"/>
      <c r="ZT20" s="303"/>
      <c r="ZU20" s="303"/>
      <c r="ZV20" s="303"/>
      <c r="ZW20" s="303"/>
      <c r="ZX20" s="303"/>
      <c r="ZY20" s="303"/>
      <c r="ZZ20" s="303"/>
      <c r="AAA20" s="303"/>
      <c r="AAB20" s="303"/>
      <c r="AAC20" s="303"/>
      <c r="AAD20" s="303"/>
      <c r="AAE20" s="303"/>
      <c r="AAF20" s="303"/>
      <c r="AAG20" s="303"/>
      <c r="AAH20" s="303"/>
      <c r="AAI20" s="303"/>
      <c r="AAJ20" s="303"/>
      <c r="AAK20" s="303"/>
      <c r="AAL20" s="303"/>
      <c r="AAM20" s="303"/>
      <c r="AAN20" s="303"/>
      <c r="AAO20" s="303"/>
      <c r="AAP20" s="303"/>
      <c r="AAQ20" s="303"/>
      <c r="AAR20" s="303"/>
      <c r="AAS20" s="303"/>
      <c r="AAT20" s="303"/>
      <c r="AAU20" s="303"/>
      <c r="AAV20" s="303"/>
      <c r="AAW20" s="303"/>
      <c r="AAX20" s="303"/>
      <c r="AAY20" s="303"/>
      <c r="AAZ20" s="303"/>
      <c r="ABA20" s="303"/>
      <c r="ABB20" s="303"/>
      <c r="ABC20" s="303"/>
      <c r="ABD20" s="303"/>
      <c r="ABE20" s="303"/>
      <c r="ABF20" s="303"/>
      <c r="ABG20" s="303"/>
      <c r="ABH20" s="303"/>
      <c r="ABI20" s="303"/>
      <c r="ABJ20" s="303"/>
      <c r="ABK20" s="303"/>
      <c r="ABL20" s="303"/>
      <c r="ABM20" s="303"/>
      <c r="ABN20" s="303"/>
      <c r="ABO20" s="303"/>
      <c r="ABP20" s="303"/>
      <c r="ABQ20" s="303"/>
      <c r="ABR20" s="303"/>
      <c r="ABS20" s="303"/>
      <c r="ABT20" s="303"/>
      <c r="ABU20" s="303"/>
      <c r="ABV20" s="303"/>
      <c r="ABW20" s="303"/>
      <c r="ABX20" s="303"/>
      <c r="ABY20" s="303"/>
      <c r="ABZ20" s="303"/>
      <c r="ACA20" s="303"/>
      <c r="ACB20" s="303"/>
      <c r="ACC20" s="303"/>
      <c r="ACD20" s="303"/>
      <c r="ACE20" s="303"/>
      <c r="ACF20" s="303"/>
      <c r="ACG20" s="303"/>
      <c r="ACH20" s="303"/>
      <c r="ACI20" s="303"/>
      <c r="ACJ20" s="303"/>
      <c r="ACK20" s="303"/>
      <c r="ACL20" s="303"/>
      <c r="ACM20" s="303"/>
      <c r="ACN20" s="303"/>
      <c r="ACO20" s="303"/>
      <c r="ACP20" s="303"/>
      <c r="ACQ20" s="303"/>
      <c r="ACR20" s="303"/>
      <c r="ACS20" s="303"/>
      <c r="ACT20" s="303"/>
      <c r="ACU20" s="303"/>
      <c r="ACV20" s="303"/>
      <c r="ACW20" s="303"/>
      <c r="ACX20" s="303"/>
      <c r="ACY20" s="303"/>
      <c r="ACZ20" s="303"/>
      <c r="ADA20" s="303"/>
      <c r="ADB20" s="303"/>
      <c r="ADC20" s="303"/>
      <c r="ADD20" s="303"/>
      <c r="ADE20" s="303"/>
      <c r="ADF20" s="303"/>
      <c r="ADG20" s="303"/>
      <c r="ADH20" s="303"/>
      <c r="ADI20" s="303"/>
      <c r="ADJ20" s="303"/>
      <c r="ADK20" s="303"/>
      <c r="ADL20" s="303"/>
      <c r="ADM20" s="303"/>
      <c r="ADN20" s="303"/>
      <c r="ADO20" s="303"/>
      <c r="ADP20" s="303"/>
      <c r="ADQ20" s="303"/>
      <c r="ADR20" s="303"/>
      <c r="ADS20" s="303"/>
      <c r="ADT20" s="303"/>
      <c r="ADU20" s="303"/>
      <c r="ADV20" s="303"/>
      <c r="ADW20" s="303"/>
      <c r="ADX20" s="303"/>
      <c r="ADY20" s="303"/>
      <c r="ADZ20" s="303"/>
      <c r="AEA20" s="303"/>
      <c r="AEB20" s="303"/>
      <c r="AEC20" s="303"/>
      <c r="AED20" s="303"/>
      <c r="AEE20" s="303"/>
      <c r="AEF20" s="303"/>
      <c r="AEG20" s="303"/>
      <c r="AEH20" s="303"/>
      <c r="AEI20" s="303"/>
      <c r="AEJ20" s="303"/>
      <c r="AEK20" s="303"/>
      <c r="AEL20" s="303"/>
      <c r="AEM20" s="303"/>
      <c r="AEN20" s="303"/>
      <c r="AEO20" s="303"/>
      <c r="AEP20" s="303"/>
      <c r="AEQ20" s="303"/>
      <c r="AER20" s="303"/>
      <c r="AES20" s="303"/>
      <c r="AET20" s="303"/>
      <c r="AEU20" s="303"/>
      <c r="AEV20" s="303"/>
      <c r="AEW20" s="303"/>
      <c r="AEX20" s="303"/>
      <c r="AEY20" s="303"/>
      <c r="AEZ20" s="303"/>
      <c r="AFA20" s="303"/>
      <c r="AFB20" s="303"/>
      <c r="AFC20" s="303"/>
      <c r="AFD20" s="303"/>
      <c r="AFE20" s="303"/>
      <c r="AFF20" s="303"/>
      <c r="AFG20" s="303"/>
      <c r="AFH20" s="303"/>
      <c r="AFI20" s="303"/>
      <c r="AFJ20" s="303"/>
      <c r="AFK20" s="303"/>
      <c r="AFL20" s="303"/>
      <c r="AFM20" s="303"/>
      <c r="AFN20" s="303"/>
      <c r="AFO20" s="303"/>
      <c r="AFP20" s="303"/>
      <c r="AFQ20" s="303"/>
      <c r="AFR20" s="303"/>
      <c r="AFS20" s="303"/>
      <c r="AFT20" s="303"/>
      <c r="AFU20" s="303"/>
      <c r="AFV20" s="303"/>
      <c r="AFW20" s="303"/>
      <c r="AFX20" s="303"/>
      <c r="AFY20" s="303"/>
      <c r="AFZ20" s="303"/>
      <c r="AGA20" s="303"/>
      <c r="AGB20" s="303"/>
      <c r="AGC20" s="303"/>
      <c r="AGD20" s="303"/>
      <c r="AGE20" s="303"/>
      <c r="AGF20" s="303"/>
      <c r="AGG20" s="303"/>
      <c r="AGH20" s="303"/>
      <c r="AGI20" s="303"/>
      <c r="AGJ20" s="303"/>
      <c r="AGK20" s="303"/>
      <c r="AGL20" s="303"/>
      <c r="AGM20" s="303"/>
      <c r="AGN20" s="303"/>
      <c r="AGO20" s="303"/>
      <c r="AGP20" s="303"/>
      <c r="AGQ20" s="303"/>
      <c r="AGR20" s="303"/>
      <c r="AGS20" s="303"/>
      <c r="AGT20" s="303"/>
      <c r="AGU20" s="303"/>
      <c r="AGV20" s="303"/>
      <c r="AGW20" s="303"/>
      <c r="AGX20" s="303"/>
      <c r="AGY20" s="303"/>
      <c r="AGZ20" s="303"/>
      <c r="AHA20" s="303"/>
      <c r="AHB20" s="303"/>
      <c r="AHC20" s="303"/>
      <c r="AHD20" s="303"/>
      <c r="AHE20" s="303"/>
      <c r="AHF20" s="303"/>
      <c r="AHG20" s="303"/>
      <c r="AHH20" s="303"/>
      <c r="AHI20" s="303"/>
      <c r="AHJ20" s="303"/>
      <c r="AHK20" s="303"/>
      <c r="AHL20" s="303"/>
      <c r="AHM20" s="303"/>
      <c r="AHN20" s="303"/>
      <c r="AHO20" s="303"/>
      <c r="AHP20" s="303"/>
      <c r="AHQ20" s="303"/>
      <c r="AHR20" s="303"/>
      <c r="AHS20" s="303"/>
      <c r="AHT20" s="303"/>
      <c r="AHU20" s="303"/>
      <c r="AHV20" s="303"/>
      <c r="AHW20" s="303"/>
      <c r="AHX20" s="303"/>
      <c r="AHY20" s="303"/>
      <c r="AHZ20" s="303"/>
      <c r="AIA20" s="303"/>
      <c r="AIB20" s="303"/>
      <c r="AIC20" s="303"/>
      <c r="AID20" s="303"/>
      <c r="AIE20" s="303"/>
      <c r="AIF20" s="303"/>
      <c r="AIG20" s="303"/>
      <c r="AIH20" s="303"/>
      <c r="AII20" s="303"/>
      <c r="AIJ20" s="303"/>
      <c r="AIK20" s="303"/>
      <c r="AIL20" s="303"/>
      <c r="AIM20" s="303"/>
      <c r="AIN20" s="303"/>
      <c r="AIO20" s="303"/>
      <c r="AIP20" s="303"/>
      <c r="AIQ20" s="303"/>
      <c r="AIR20" s="303"/>
      <c r="AIS20" s="303"/>
      <c r="AIT20" s="303"/>
      <c r="AIU20" s="303"/>
      <c r="AIV20" s="303"/>
      <c r="AIW20" s="303"/>
      <c r="AIX20" s="303"/>
      <c r="AIY20" s="303"/>
      <c r="AIZ20" s="303"/>
      <c r="AJA20" s="303"/>
      <c r="AJB20" s="303"/>
      <c r="AJC20" s="303"/>
      <c r="AJD20" s="303"/>
      <c r="AJE20" s="303"/>
      <c r="AJF20" s="303"/>
      <c r="AJG20" s="303"/>
      <c r="AJH20" s="303"/>
      <c r="AJI20" s="303"/>
      <c r="AJJ20" s="303"/>
      <c r="AJK20" s="303"/>
      <c r="AJL20" s="303"/>
      <c r="AJM20" s="303"/>
      <c r="AJN20" s="303"/>
      <c r="AJO20" s="303"/>
      <c r="AJP20" s="303"/>
      <c r="AJQ20" s="303"/>
      <c r="AJR20" s="303"/>
      <c r="AJS20" s="303"/>
      <c r="AJT20" s="303"/>
      <c r="AJU20" s="303"/>
      <c r="AJV20" s="303"/>
      <c r="AJW20" s="303"/>
      <c r="AJX20" s="303"/>
      <c r="AJY20" s="303"/>
      <c r="AJZ20" s="303"/>
      <c r="AKA20" s="303"/>
      <c r="AKB20" s="303"/>
      <c r="AKC20" s="303"/>
      <c r="AKD20" s="303"/>
      <c r="AKE20" s="303"/>
      <c r="AKF20" s="303"/>
      <c r="AKG20" s="303"/>
      <c r="AKH20" s="303"/>
      <c r="AKI20" s="303"/>
      <c r="AKJ20" s="303"/>
      <c r="AKK20" s="303"/>
      <c r="AKL20" s="303"/>
      <c r="AKM20" s="303"/>
      <c r="AKN20" s="303"/>
      <c r="AKO20" s="303"/>
      <c r="AKP20" s="303"/>
      <c r="AKQ20" s="303"/>
      <c r="AKR20" s="303"/>
      <c r="AKS20" s="303"/>
      <c r="AKT20" s="303"/>
      <c r="AKU20" s="303"/>
      <c r="AKV20" s="303"/>
      <c r="AKW20" s="303"/>
      <c r="AKX20" s="303"/>
      <c r="AKY20" s="303"/>
      <c r="AKZ20" s="303"/>
      <c r="ALA20" s="303"/>
      <c r="ALB20" s="303"/>
      <c r="ALC20" s="303"/>
      <c r="ALD20" s="303"/>
      <c r="ALE20" s="303"/>
      <c r="ALF20" s="303"/>
      <c r="ALG20" s="303"/>
      <c r="ALH20" s="303"/>
      <c r="ALI20" s="303"/>
      <c r="ALJ20" s="303"/>
      <c r="ALK20" s="303"/>
      <c r="ALL20" s="303"/>
      <c r="ALM20" s="303"/>
      <c r="ALN20" s="303"/>
      <c r="ALO20" s="303"/>
      <c r="ALP20" s="303"/>
      <c r="ALQ20" s="303"/>
      <c r="ALR20" s="303"/>
      <c r="ALS20" s="303"/>
      <c r="ALT20" s="303"/>
      <c r="ALU20" s="303"/>
      <c r="ALV20" s="303"/>
      <c r="ALW20" s="303"/>
      <c r="ALX20" s="303"/>
      <c r="ALY20" s="303"/>
      <c r="ALZ20" s="303"/>
      <c r="AMA20" s="303"/>
      <c r="AMB20" s="303"/>
      <c r="AMC20" s="303"/>
    </row>
    <row r="21" spans="1:1017" s="136" customFormat="1" ht="15" customHeight="1">
      <c r="C21" s="131">
        <v>0.83333333333333703</v>
      </c>
      <c r="D21" s="304"/>
      <c r="E21" s="304"/>
      <c r="F21" s="304"/>
      <c r="G21" s="304"/>
      <c r="H21" s="314"/>
      <c r="I21" s="315"/>
      <c r="J21" s="304"/>
      <c r="K21" s="304"/>
      <c r="L21" s="304"/>
      <c r="M21" s="304"/>
      <c r="N21" s="304"/>
      <c r="O21" s="314"/>
      <c r="P21" s="315"/>
      <c r="Q21" s="304"/>
      <c r="R21" s="304"/>
      <c r="S21" s="304"/>
      <c r="T21" s="304"/>
      <c r="U21" s="304"/>
      <c r="V21" s="314"/>
      <c r="W21" s="315"/>
      <c r="X21" s="304"/>
      <c r="Y21" s="304"/>
      <c r="Z21" s="304"/>
      <c r="AA21" s="304"/>
      <c r="AB21" s="304"/>
      <c r="AC21" s="314"/>
      <c r="AD21" s="315"/>
      <c r="AE21" s="304"/>
      <c r="AF21" s="304"/>
      <c r="AG21" s="304"/>
      <c r="AH21" s="304"/>
      <c r="AI21" s="304"/>
      <c r="AJ21" s="314"/>
      <c r="AK21" s="315"/>
      <c r="AL21" s="304"/>
      <c r="AM21" s="304"/>
      <c r="AN21" s="304"/>
      <c r="AO21" s="304"/>
      <c r="AP21" s="304"/>
      <c r="AQ21" s="314"/>
      <c r="AR21" s="315"/>
      <c r="AS21" s="304"/>
      <c r="AT21" s="304"/>
      <c r="AU21" s="304"/>
      <c r="AV21" s="304"/>
      <c r="AW21" s="304"/>
      <c r="AX21" s="314"/>
      <c r="AY21" s="315"/>
      <c r="AZ21" s="304"/>
      <c r="BA21" s="304"/>
      <c r="BB21" s="304"/>
      <c r="BC21" s="304"/>
      <c r="BD21" s="304"/>
      <c r="BE21" s="314"/>
      <c r="BF21" s="315"/>
      <c r="BG21" s="304"/>
      <c r="BH21" s="304"/>
      <c r="BI21" s="304"/>
      <c r="BJ21" s="304"/>
      <c r="BK21" s="304"/>
      <c r="BL21" s="314"/>
      <c r="BM21" s="315"/>
      <c r="BN21" s="304"/>
      <c r="BO21" s="304"/>
      <c r="BP21" s="304"/>
      <c r="BQ21" s="304"/>
      <c r="BR21" s="304"/>
      <c r="BS21" s="314"/>
      <c r="BT21" s="315"/>
      <c r="BU21" s="304"/>
      <c r="BV21" s="304"/>
      <c r="BW21" s="304"/>
      <c r="BX21" s="304"/>
      <c r="BY21" s="304"/>
      <c r="BZ21" s="314"/>
      <c r="CA21" s="315"/>
      <c r="CB21" s="304"/>
      <c r="CC21" s="304"/>
      <c r="CD21" s="304"/>
      <c r="CE21" s="304"/>
      <c r="CF21" s="304"/>
      <c r="CG21" s="314"/>
      <c r="CH21" s="315"/>
      <c r="CI21" s="304"/>
      <c r="CJ21" s="304"/>
      <c r="CK21" s="304"/>
      <c r="CL21" s="304"/>
      <c r="CM21" s="304"/>
      <c r="CN21" s="314"/>
      <c r="CO21" s="315"/>
      <c r="CP21" s="304"/>
      <c r="CQ21" s="304"/>
      <c r="CR21" s="304"/>
      <c r="CS21" s="304"/>
      <c r="CT21" s="304"/>
      <c r="CU21" s="314"/>
      <c r="CV21" s="315"/>
      <c r="CW21" s="304"/>
      <c r="CX21" s="304"/>
      <c r="CY21" s="304"/>
      <c r="CZ21" s="304"/>
      <c r="DA21" s="304"/>
      <c r="DB21" s="314"/>
      <c r="DC21" s="315"/>
      <c r="DD21" s="304"/>
      <c r="DE21" s="304"/>
      <c r="DF21" s="304"/>
      <c r="DG21" s="304"/>
      <c r="DH21" s="304"/>
      <c r="DI21" s="314"/>
      <c r="DJ21" s="315"/>
      <c r="DK21" s="304"/>
      <c r="DL21" s="304"/>
      <c r="DM21" s="304"/>
      <c r="DN21" s="304"/>
      <c r="DO21" s="304"/>
      <c r="DP21" s="314"/>
      <c r="DQ21" s="315"/>
      <c r="DR21" s="304"/>
      <c r="DS21" s="304"/>
      <c r="DT21" s="304"/>
      <c r="DU21" s="304"/>
      <c r="DV21" s="304"/>
      <c r="DW21" s="314"/>
      <c r="DX21" s="315"/>
      <c r="DY21" s="304"/>
      <c r="DZ21" s="304"/>
      <c r="EA21" s="304"/>
      <c r="EB21" s="304"/>
      <c r="EC21" s="304"/>
      <c r="ED21" s="314"/>
      <c r="EE21" s="315"/>
      <c r="EF21" s="304"/>
      <c r="EG21" s="304"/>
      <c r="EH21" s="304"/>
      <c r="EI21" s="304"/>
      <c r="EJ21" s="304"/>
      <c r="EK21" s="314"/>
      <c r="EL21" s="315"/>
      <c r="EM21" s="304"/>
      <c r="EN21" s="304"/>
      <c r="EO21" s="304"/>
      <c r="EP21" s="304"/>
      <c r="EQ21" s="304"/>
      <c r="ER21" s="314"/>
      <c r="ES21" s="315"/>
      <c r="ET21" s="304"/>
      <c r="EU21" s="304"/>
      <c r="EV21" s="304"/>
      <c r="EW21" s="304"/>
      <c r="EX21" s="304"/>
      <c r="EY21" s="314"/>
      <c r="EZ21" s="315"/>
      <c r="FA21" s="304"/>
      <c r="FB21" s="304"/>
      <c r="FC21" s="304"/>
      <c r="FD21" s="304"/>
      <c r="FE21" s="304"/>
      <c r="FF21" s="314"/>
      <c r="FG21" s="315"/>
      <c r="FH21" s="304"/>
      <c r="FI21" s="304"/>
      <c r="FJ21" s="304"/>
      <c r="FK21" s="304"/>
      <c r="FL21" s="304"/>
      <c r="FM21" s="314"/>
      <c r="FN21" s="315"/>
      <c r="FO21" s="304"/>
      <c r="FP21" s="304"/>
      <c r="FQ21" s="304"/>
      <c r="FR21" s="304"/>
      <c r="FS21" s="304"/>
      <c r="FT21" s="314"/>
      <c r="FU21" s="315"/>
      <c r="FV21" s="304"/>
      <c r="FW21" s="304"/>
      <c r="FX21" s="304"/>
      <c r="FY21" s="304"/>
      <c r="FZ21" s="304"/>
      <c r="GA21" s="314"/>
      <c r="GB21" s="315"/>
      <c r="GC21" s="304"/>
      <c r="GD21" s="304"/>
      <c r="GE21" s="304"/>
      <c r="GF21" s="304"/>
      <c r="GG21" s="304"/>
      <c r="GH21" s="314"/>
      <c r="GI21" s="315"/>
      <c r="GJ21" s="304"/>
      <c r="GK21" s="304"/>
      <c r="GL21" s="304"/>
      <c r="GM21" s="304"/>
      <c r="GN21" s="304"/>
      <c r="GO21" s="314"/>
      <c r="GP21" s="315"/>
      <c r="GQ21" s="304"/>
      <c r="GR21" s="304"/>
      <c r="GS21" s="304"/>
      <c r="GT21" s="304"/>
      <c r="GU21" s="304"/>
      <c r="GV21" s="314"/>
      <c r="GW21" s="315"/>
      <c r="GX21" s="304"/>
      <c r="GY21" s="304"/>
      <c r="GZ21" s="304"/>
      <c r="HA21" s="304"/>
      <c r="HB21" s="304"/>
      <c r="HC21" s="314"/>
      <c r="HD21" s="315"/>
      <c r="HE21" s="304"/>
      <c r="HF21" s="304"/>
      <c r="HG21" s="304"/>
      <c r="HH21" s="304"/>
      <c r="HI21" s="304"/>
      <c r="HJ21" s="314"/>
      <c r="HK21" s="315"/>
      <c r="HL21" s="304"/>
      <c r="HM21" s="304"/>
      <c r="HN21" s="304"/>
      <c r="HO21" s="304"/>
      <c r="HP21" s="304"/>
      <c r="HQ21" s="314"/>
      <c r="HR21" s="315"/>
      <c r="HS21" s="304"/>
      <c r="HT21" s="304"/>
      <c r="HU21" s="304"/>
      <c r="HV21" s="304"/>
      <c r="HW21" s="304"/>
      <c r="HX21" s="314"/>
      <c r="HY21" s="315"/>
      <c r="HZ21" s="304"/>
      <c r="IA21" s="304"/>
      <c r="IB21" s="304"/>
      <c r="IC21" s="304"/>
      <c r="ID21" s="304"/>
      <c r="IE21" s="314"/>
      <c r="IF21" s="315"/>
      <c r="IG21" s="304"/>
      <c r="IH21" s="304"/>
      <c r="II21" s="304"/>
      <c r="IJ21" s="304"/>
      <c r="IK21" s="304"/>
      <c r="IL21" s="314"/>
      <c r="IM21" s="315"/>
      <c r="IN21" s="304"/>
      <c r="IO21" s="304"/>
      <c r="IP21" s="304"/>
      <c r="IQ21" s="304"/>
      <c r="IR21" s="304"/>
      <c r="IS21" s="314"/>
      <c r="IT21" s="315"/>
      <c r="IU21" s="304"/>
      <c r="IV21" s="304"/>
      <c r="IW21" s="304"/>
      <c r="IX21" s="304"/>
      <c r="IY21" s="304"/>
      <c r="IZ21" s="314"/>
      <c r="JA21" s="315"/>
      <c r="JB21" s="304"/>
      <c r="JC21" s="304"/>
      <c r="JD21" s="304"/>
      <c r="JE21" s="304"/>
      <c r="JF21" s="304"/>
      <c r="JG21" s="314"/>
      <c r="JH21" s="315"/>
      <c r="JI21" s="304"/>
      <c r="JJ21" s="304"/>
      <c r="JK21" s="304"/>
      <c r="JL21" s="304"/>
      <c r="JM21" s="304"/>
      <c r="JN21" s="314"/>
      <c r="JO21" s="315"/>
      <c r="JP21" s="304"/>
      <c r="JQ21" s="304"/>
      <c r="JR21" s="304"/>
      <c r="JS21" s="304"/>
      <c r="JT21" s="304"/>
      <c r="JU21" s="314"/>
      <c r="JV21" s="315"/>
      <c r="JW21" s="304"/>
      <c r="JX21" s="304"/>
      <c r="JY21" s="304"/>
      <c r="JZ21" s="304"/>
      <c r="KA21" s="304"/>
      <c r="KB21" s="314"/>
      <c r="KC21" s="315"/>
      <c r="KD21" s="304"/>
      <c r="KE21" s="304"/>
      <c r="KF21" s="304"/>
      <c r="KG21" s="304"/>
      <c r="KH21" s="304"/>
      <c r="KI21" s="314"/>
      <c r="KJ21" s="315"/>
      <c r="KK21" s="304"/>
      <c r="KL21" s="304"/>
      <c r="KM21" s="304"/>
      <c r="KN21" s="304"/>
      <c r="KO21" s="304"/>
      <c r="KP21" s="314"/>
      <c r="KQ21" s="315"/>
      <c r="KR21" s="304"/>
      <c r="KS21" s="304"/>
      <c r="KT21" s="304"/>
      <c r="KU21" s="304"/>
      <c r="KV21" s="304"/>
      <c r="KW21" s="314"/>
      <c r="KX21" s="315"/>
      <c r="KY21" s="304"/>
      <c r="KZ21" s="304"/>
      <c r="LA21" s="304"/>
      <c r="LB21" s="304"/>
      <c r="LC21" s="304"/>
      <c r="LD21" s="314"/>
      <c r="LE21" s="315"/>
      <c r="LF21" s="304"/>
      <c r="LG21" s="304"/>
      <c r="LH21" s="304"/>
      <c r="LI21" s="304"/>
      <c r="LJ21" s="304"/>
      <c r="LK21" s="314"/>
      <c r="LL21" s="315"/>
      <c r="LM21" s="304"/>
      <c r="LN21" s="304"/>
      <c r="LO21" s="304"/>
      <c r="LP21" s="304"/>
      <c r="LQ21" s="304"/>
      <c r="LR21" s="314"/>
      <c r="LS21" s="315"/>
      <c r="LT21" s="304"/>
      <c r="LU21" s="304"/>
      <c r="LV21" s="304"/>
      <c r="LW21" s="304"/>
      <c r="LX21" s="304"/>
      <c r="LY21" s="314"/>
      <c r="LZ21" s="315"/>
      <c r="MA21" s="304"/>
      <c r="MB21" s="304"/>
      <c r="MC21" s="304"/>
      <c r="MD21" s="304"/>
      <c r="ME21" s="304"/>
      <c r="MF21" s="314"/>
      <c r="MG21" s="315"/>
      <c r="MH21" s="304"/>
      <c r="MI21" s="304"/>
      <c r="MJ21" s="304"/>
      <c r="MK21" s="304"/>
      <c r="ML21" s="304"/>
      <c r="MM21" s="314"/>
      <c r="MN21" s="315"/>
      <c r="MO21" s="304"/>
      <c r="MP21" s="304"/>
      <c r="MQ21" s="304"/>
      <c r="MR21" s="304"/>
      <c r="MS21" s="304"/>
      <c r="MT21" s="314"/>
      <c r="MU21" s="315"/>
      <c r="MV21" s="304"/>
      <c r="MW21" s="304"/>
      <c r="MX21" s="304"/>
      <c r="MY21" s="304"/>
      <c r="MZ21" s="304"/>
      <c r="NA21" s="314"/>
      <c r="NB21" s="315"/>
      <c r="NC21" s="304"/>
      <c r="ND21" s="304"/>
      <c r="NE21" s="333">
        <f t="shared" si="0"/>
        <v>0</v>
      </c>
      <c r="NF21" s="303"/>
      <c r="NG21" s="303"/>
      <c r="NH21" s="303"/>
      <c r="NI21" s="303"/>
      <c r="NJ21" s="303"/>
      <c r="NK21" s="303"/>
      <c r="NL21" s="303"/>
      <c r="NM21" s="303"/>
      <c r="NN21" s="303"/>
      <c r="NO21" s="303"/>
      <c r="NP21" s="303"/>
      <c r="NQ21" s="303"/>
      <c r="NR21" s="303"/>
      <c r="NS21" s="303"/>
      <c r="NT21" s="303"/>
      <c r="NU21" s="303"/>
      <c r="NV21" s="303"/>
      <c r="NW21" s="303"/>
      <c r="NX21" s="303"/>
      <c r="NY21" s="303"/>
      <c r="NZ21" s="303"/>
      <c r="OA21" s="303"/>
      <c r="OB21" s="303"/>
      <c r="OC21" s="303"/>
      <c r="OD21" s="303"/>
      <c r="OE21" s="303"/>
      <c r="OF21" s="303"/>
      <c r="OG21" s="303"/>
      <c r="OH21" s="303"/>
      <c r="OI21" s="303"/>
      <c r="OJ21" s="303"/>
      <c r="OK21" s="303"/>
      <c r="OL21" s="303"/>
      <c r="OM21" s="303"/>
      <c r="ON21" s="303"/>
      <c r="OO21" s="303"/>
      <c r="OP21" s="303"/>
      <c r="OQ21" s="303"/>
      <c r="OR21" s="303"/>
      <c r="OS21" s="303"/>
      <c r="OT21" s="303"/>
      <c r="OU21" s="303"/>
      <c r="OV21" s="303"/>
      <c r="OW21" s="303"/>
      <c r="OX21" s="303"/>
      <c r="OY21" s="303"/>
      <c r="OZ21" s="303"/>
      <c r="PA21" s="303"/>
      <c r="PB21" s="303"/>
      <c r="PC21" s="303"/>
      <c r="PD21" s="303"/>
      <c r="PE21" s="303"/>
      <c r="PF21" s="303"/>
      <c r="PG21" s="303"/>
      <c r="PH21" s="303"/>
      <c r="PI21" s="303"/>
      <c r="PJ21" s="303"/>
      <c r="PK21" s="303"/>
      <c r="PL21" s="303"/>
      <c r="PM21" s="303"/>
      <c r="PN21" s="303"/>
      <c r="PO21" s="303"/>
      <c r="PP21" s="303"/>
      <c r="PQ21" s="303"/>
      <c r="PR21" s="303"/>
      <c r="PS21" s="303"/>
      <c r="PT21" s="303"/>
      <c r="PU21" s="303"/>
      <c r="PV21" s="303"/>
      <c r="PW21" s="303"/>
      <c r="PX21" s="303"/>
      <c r="PY21" s="303"/>
      <c r="PZ21" s="303"/>
      <c r="QA21" s="303"/>
      <c r="QB21" s="303"/>
      <c r="QC21" s="303"/>
      <c r="QD21" s="303"/>
      <c r="QE21" s="303"/>
      <c r="QF21" s="303"/>
      <c r="QG21" s="303"/>
      <c r="QH21" s="303"/>
      <c r="QI21" s="303"/>
      <c r="QJ21" s="303"/>
      <c r="QK21" s="303"/>
      <c r="QL21" s="303"/>
      <c r="QM21" s="303"/>
      <c r="QN21" s="303"/>
      <c r="QO21" s="303"/>
      <c r="QP21" s="303"/>
      <c r="QQ21" s="303"/>
      <c r="QR21" s="303"/>
      <c r="QS21" s="303"/>
      <c r="QT21" s="303"/>
      <c r="QU21" s="303"/>
      <c r="QV21" s="303"/>
      <c r="QW21" s="303"/>
      <c r="QX21" s="303"/>
      <c r="QY21" s="303"/>
      <c r="QZ21" s="303"/>
      <c r="RA21" s="303"/>
      <c r="RB21" s="303"/>
      <c r="RC21" s="303"/>
      <c r="RD21" s="303"/>
      <c r="RE21" s="303"/>
      <c r="RF21" s="303"/>
      <c r="RG21" s="303"/>
      <c r="RH21" s="303"/>
      <c r="RI21" s="303"/>
      <c r="RJ21" s="303"/>
      <c r="RK21" s="303"/>
      <c r="RL21" s="303"/>
      <c r="RM21" s="303"/>
      <c r="RN21" s="303"/>
      <c r="RO21" s="303"/>
      <c r="RP21" s="303"/>
      <c r="RQ21" s="303"/>
      <c r="RR21" s="303"/>
      <c r="RS21" s="303"/>
      <c r="RT21" s="303"/>
      <c r="RU21" s="303"/>
      <c r="RV21" s="303"/>
      <c r="RW21" s="303"/>
      <c r="RX21" s="303"/>
      <c r="RY21" s="303"/>
      <c r="RZ21" s="303"/>
      <c r="SA21" s="303"/>
      <c r="SB21" s="303"/>
      <c r="SC21" s="303"/>
      <c r="SD21" s="303"/>
      <c r="SE21" s="303"/>
      <c r="SF21" s="303"/>
      <c r="SG21" s="303"/>
      <c r="SH21" s="303"/>
      <c r="SI21" s="303"/>
      <c r="SJ21" s="303"/>
      <c r="SK21" s="303"/>
      <c r="SL21" s="303"/>
      <c r="SM21" s="303"/>
      <c r="SN21" s="303"/>
      <c r="SO21" s="303"/>
      <c r="SP21" s="303"/>
      <c r="SQ21" s="303"/>
      <c r="SR21" s="303"/>
      <c r="SS21" s="303"/>
      <c r="ST21" s="303"/>
      <c r="SU21" s="303"/>
      <c r="SV21" s="303"/>
      <c r="SW21" s="303"/>
      <c r="SX21" s="303"/>
      <c r="SY21" s="303"/>
      <c r="SZ21" s="303"/>
      <c r="TA21" s="303"/>
      <c r="TB21" s="303"/>
      <c r="TC21" s="303"/>
      <c r="TD21" s="303"/>
      <c r="TE21" s="303"/>
      <c r="TF21" s="303"/>
      <c r="TG21" s="303"/>
      <c r="TH21" s="303"/>
      <c r="TI21" s="303"/>
      <c r="TJ21" s="303"/>
      <c r="TK21" s="303"/>
      <c r="TL21" s="303"/>
      <c r="TM21" s="303"/>
      <c r="TN21" s="303"/>
      <c r="TO21" s="303"/>
      <c r="TP21" s="303"/>
      <c r="TQ21" s="303"/>
      <c r="TR21" s="303"/>
      <c r="TS21" s="303"/>
      <c r="TT21" s="303"/>
      <c r="TU21" s="303"/>
      <c r="TV21" s="303"/>
      <c r="TW21" s="303"/>
      <c r="TX21" s="303"/>
      <c r="TY21" s="303"/>
      <c r="TZ21" s="303"/>
      <c r="UA21" s="303"/>
      <c r="UB21" s="303"/>
      <c r="UC21" s="303"/>
      <c r="UD21" s="303"/>
      <c r="UE21" s="303"/>
      <c r="UF21" s="303"/>
      <c r="UG21" s="303"/>
      <c r="UH21" s="303"/>
      <c r="UI21" s="303"/>
      <c r="UJ21" s="303"/>
      <c r="UK21" s="303"/>
      <c r="UL21" s="303"/>
      <c r="UM21" s="303"/>
      <c r="UN21" s="303"/>
      <c r="UO21" s="303"/>
      <c r="UP21" s="303"/>
      <c r="UQ21" s="303"/>
      <c r="UR21" s="303"/>
      <c r="US21" s="303"/>
      <c r="UT21" s="303"/>
      <c r="UU21" s="303"/>
      <c r="UV21" s="303"/>
      <c r="UW21" s="303"/>
      <c r="UX21" s="303"/>
      <c r="UY21" s="303"/>
      <c r="UZ21" s="303"/>
      <c r="VA21" s="303"/>
      <c r="VB21" s="303"/>
      <c r="VC21" s="303"/>
      <c r="VD21" s="303"/>
      <c r="VE21" s="303"/>
      <c r="VF21" s="303"/>
      <c r="VG21" s="303"/>
      <c r="VH21" s="303"/>
      <c r="VI21" s="303"/>
      <c r="VJ21" s="303"/>
      <c r="VK21" s="303"/>
      <c r="VL21" s="303"/>
      <c r="VM21" s="303"/>
      <c r="VN21" s="303"/>
      <c r="VO21" s="303"/>
      <c r="VP21" s="303"/>
      <c r="VQ21" s="303"/>
      <c r="VR21" s="303"/>
      <c r="VS21" s="303"/>
      <c r="VT21" s="303"/>
      <c r="VU21" s="303"/>
      <c r="VV21" s="303"/>
      <c r="VW21" s="303"/>
      <c r="VX21" s="303"/>
      <c r="VY21" s="303"/>
      <c r="VZ21" s="303"/>
      <c r="WA21" s="303"/>
      <c r="WB21" s="303"/>
      <c r="WC21" s="303"/>
      <c r="WD21" s="303"/>
      <c r="WE21" s="303"/>
      <c r="WF21" s="303"/>
      <c r="WG21" s="303"/>
      <c r="WH21" s="303"/>
      <c r="WI21" s="303"/>
      <c r="WJ21" s="303"/>
      <c r="WK21" s="303"/>
      <c r="WL21" s="303"/>
      <c r="WM21" s="303"/>
      <c r="WN21" s="303"/>
      <c r="WO21" s="303"/>
      <c r="WP21" s="303"/>
      <c r="WQ21" s="303"/>
      <c r="WR21" s="303"/>
      <c r="WS21" s="303"/>
      <c r="WT21" s="303"/>
      <c r="WU21" s="303"/>
      <c r="WV21" s="303"/>
      <c r="WW21" s="303"/>
      <c r="WX21" s="303"/>
      <c r="WY21" s="303"/>
      <c r="WZ21" s="303"/>
      <c r="XA21" s="303"/>
      <c r="XB21" s="303"/>
      <c r="XC21" s="303"/>
      <c r="XD21" s="303"/>
      <c r="XE21" s="303"/>
      <c r="XF21" s="303"/>
      <c r="XG21" s="303"/>
      <c r="XH21" s="303"/>
      <c r="XI21" s="303"/>
      <c r="XJ21" s="303"/>
      <c r="XK21" s="303"/>
      <c r="XL21" s="303"/>
      <c r="XM21" s="303"/>
      <c r="XN21" s="303"/>
      <c r="XO21" s="303"/>
      <c r="XP21" s="303"/>
      <c r="XQ21" s="303"/>
      <c r="XR21" s="303"/>
      <c r="XS21" s="303"/>
      <c r="XT21" s="303"/>
      <c r="XU21" s="303"/>
      <c r="XV21" s="303"/>
      <c r="XW21" s="303"/>
      <c r="XX21" s="303"/>
      <c r="XY21" s="303"/>
      <c r="XZ21" s="303"/>
      <c r="YA21" s="303"/>
      <c r="YB21" s="303"/>
      <c r="YC21" s="303"/>
      <c r="YD21" s="303"/>
      <c r="YE21" s="303"/>
      <c r="YF21" s="303"/>
      <c r="YG21" s="303"/>
      <c r="YH21" s="303"/>
      <c r="YI21" s="303"/>
      <c r="YJ21" s="303"/>
      <c r="YK21" s="303"/>
      <c r="YL21" s="303"/>
      <c r="YM21" s="303"/>
      <c r="YN21" s="303"/>
      <c r="YO21" s="303"/>
      <c r="YP21" s="303"/>
      <c r="YQ21" s="303"/>
      <c r="YR21" s="303"/>
      <c r="YS21" s="303"/>
      <c r="YT21" s="303"/>
      <c r="YU21" s="303"/>
      <c r="YV21" s="303"/>
      <c r="YW21" s="303"/>
      <c r="YX21" s="303"/>
      <c r="YY21" s="303"/>
      <c r="YZ21" s="303"/>
      <c r="ZA21" s="303"/>
      <c r="ZB21" s="303"/>
      <c r="ZC21" s="303"/>
      <c r="ZD21" s="303"/>
      <c r="ZE21" s="303"/>
      <c r="ZF21" s="303"/>
      <c r="ZG21" s="303"/>
      <c r="ZH21" s="303"/>
      <c r="ZI21" s="303"/>
      <c r="ZJ21" s="303"/>
      <c r="ZK21" s="303"/>
      <c r="ZL21" s="303"/>
      <c r="ZM21" s="303"/>
      <c r="ZN21" s="303"/>
      <c r="ZO21" s="303"/>
      <c r="ZP21" s="303"/>
      <c r="ZQ21" s="303"/>
      <c r="ZR21" s="303"/>
      <c r="ZS21" s="303"/>
      <c r="ZT21" s="303"/>
      <c r="ZU21" s="303"/>
      <c r="ZV21" s="303"/>
      <c r="ZW21" s="303"/>
      <c r="ZX21" s="303"/>
      <c r="ZY21" s="303"/>
      <c r="ZZ21" s="303"/>
      <c r="AAA21" s="303"/>
      <c r="AAB21" s="303"/>
      <c r="AAC21" s="303"/>
      <c r="AAD21" s="303"/>
      <c r="AAE21" s="303"/>
      <c r="AAF21" s="303"/>
      <c r="AAG21" s="303"/>
      <c r="AAH21" s="303"/>
      <c r="AAI21" s="303"/>
      <c r="AAJ21" s="303"/>
      <c r="AAK21" s="303"/>
      <c r="AAL21" s="303"/>
      <c r="AAM21" s="303"/>
      <c r="AAN21" s="303"/>
      <c r="AAO21" s="303"/>
      <c r="AAP21" s="303"/>
      <c r="AAQ21" s="303"/>
      <c r="AAR21" s="303"/>
      <c r="AAS21" s="303"/>
      <c r="AAT21" s="303"/>
      <c r="AAU21" s="303"/>
      <c r="AAV21" s="303"/>
      <c r="AAW21" s="303"/>
      <c r="AAX21" s="303"/>
      <c r="AAY21" s="303"/>
      <c r="AAZ21" s="303"/>
      <c r="ABA21" s="303"/>
      <c r="ABB21" s="303"/>
      <c r="ABC21" s="303"/>
      <c r="ABD21" s="303"/>
      <c r="ABE21" s="303"/>
      <c r="ABF21" s="303"/>
      <c r="ABG21" s="303"/>
      <c r="ABH21" s="303"/>
      <c r="ABI21" s="303"/>
      <c r="ABJ21" s="303"/>
      <c r="ABK21" s="303"/>
      <c r="ABL21" s="303"/>
      <c r="ABM21" s="303"/>
      <c r="ABN21" s="303"/>
      <c r="ABO21" s="303"/>
      <c r="ABP21" s="303"/>
      <c r="ABQ21" s="303"/>
      <c r="ABR21" s="303"/>
      <c r="ABS21" s="303"/>
      <c r="ABT21" s="303"/>
      <c r="ABU21" s="303"/>
      <c r="ABV21" s="303"/>
      <c r="ABW21" s="303"/>
      <c r="ABX21" s="303"/>
      <c r="ABY21" s="303"/>
      <c r="ABZ21" s="303"/>
      <c r="ACA21" s="303"/>
      <c r="ACB21" s="303"/>
      <c r="ACC21" s="303"/>
      <c r="ACD21" s="303"/>
      <c r="ACE21" s="303"/>
      <c r="ACF21" s="303"/>
      <c r="ACG21" s="303"/>
      <c r="ACH21" s="303"/>
      <c r="ACI21" s="303"/>
      <c r="ACJ21" s="303"/>
      <c r="ACK21" s="303"/>
      <c r="ACL21" s="303"/>
      <c r="ACM21" s="303"/>
      <c r="ACN21" s="303"/>
      <c r="ACO21" s="303"/>
      <c r="ACP21" s="303"/>
      <c r="ACQ21" s="303"/>
      <c r="ACR21" s="303"/>
      <c r="ACS21" s="303"/>
      <c r="ACT21" s="303"/>
      <c r="ACU21" s="303"/>
      <c r="ACV21" s="303"/>
      <c r="ACW21" s="303"/>
      <c r="ACX21" s="303"/>
      <c r="ACY21" s="303"/>
      <c r="ACZ21" s="303"/>
      <c r="ADA21" s="303"/>
      <c r="ADB21" s="303"/>
      <c r="ADC21" s="303"/>
      <c r="ADD21" s="303"/>
      <c r="ADE21" s="303"/>
      <c r="ADF21" s="303"/>
      <c r="ADG21" s="303"/>
      <c r="ADH21" s="303"/>
      <c r="ADI21" s="303"/>
      <c r="ADJ21" s="303"/>
      <c r="ADK21" s="303"/>
      <c r="ADL21" s="303"/>
      <c r="ADM21" s="303"/>
      <c r="ADN21" s="303"/>
      <c r="ADO21" s="303"/>
      <c r="ADP21" s="303"/>
      <c r="ADQ21" s="303"/>
      <c r="ADR21" s="303"/>
      <c r="ADS21" s="303"/>
      <c r="ADT21" s="303"/>
      <c r="ADU21" s="303"/>
      <c r="ADV21" s="303"/>
      <c r="ADW21" s="303"/>
      <c r="ADX21" s="303"/>
      <c r="ADY21" s="303"/>
      <c r="ADZ21" s="303"/>
      <c r="AEA21" s="303"/>
      <c r="AEB21" s="303"/>
      <c r="AEC21" s="303"/>
      <c r="AED21" s="303"/>
      <c r="AEE21" s="303"/>
      <c r="AEF21" s="303"/>
      <c r="AEG21" s="303"/>
      <c r="AEH21" s="303"/>
      <c r="AEI21" s="303"/>
      <c r="AEJ21" s="303"/>
      <c r="AEK21" s="303"/>
      <c r="AEL21" s="303"/>
      <c r="AEM21" s="303"/>
      <c r="AEN21" s="303"/>
      <c r="AEO21" s="303"/>
      <c r="AEP21" s="303"/>
      <c r="AEQ21" s="303"/>
      <c r="AER21" s="303"/>
      <c r="AES21" s="303"/>
      <c r="AET21" s="303"/>
      <c r="AEU21" s="303"/>
      <c r="AEV21" s="303"/>
      <c r="AEW21" s="303"/>
      <c r="AEX21" s="303"/>
      <c r="AEY21" s="303"/>
      <c r="AEZ21" s="303"/>
      <c r="AFA21" s="303"/>
      <c r="AFB21" s="303"/>
      <c r="AFC21" s="303"/>
      <c r="AFD21" s="303"/>
      <c r="AFE21" s="303"/>
      <c r="AFF21" s="303"/>
      <c r="AFG21" s="303"/>
      <c r="AFH21" s="303"/>
      <c r="AFI21" s="303"/>
      <c r="AFJ21" s="303"/>
      <c r="AFK21" s="303"/>
      <c r="AFL21" s="303"/>
      <c r="AFM21" s="303"/>
      <c r="AFN21" s="303"/>
      <c r="AFO21" s="303"/>
      <c r="AFP21" s="303"/>
      <c r="AFQ21" s="303"/>
      <c r="AFR21" s="303"/>
      <c r="AFS21" s="303"/>
      <c r="AFT21" s="303"/>
      <c r="AFU21" s="303"/>
      <c r="AFV21" s="303"/>
      <c r="AFW21" s="303"/>
      <c r="AFX21" s="303"/>
      <c r="AFY21" s="303"/>
      <c r="AFZ21" s="303"/>
      <c r="AGA21" s="303"/>
      <c r="AGB21" s="303"/>
      <c r="AGC21" s="303"/>
      <c r="AGD21" s="303"/>
      <c r="AGE21" s="303"/>
      <c r="AGF21" s="303"/>
      <c r="AGG21" s="303"/>
      <c r="AGH21" s="303"/>
      <c r="AGI21" s="303"/>
      <c r="AGJ21" s="303"/>
      <c r="AGK21" s="303"/>
      <c r="AGL21" s="303"/>
      <c r="AGM21" s="303"/>
      <c r="AGN21" s="303"/>
      <c r="AGO21" s="303"/>
      <c r="AGP21" s="303"/>
      <c r="AGQ21" s="303"/>
      <c r="AGR21" s="303"/>
      <c r="AGS21" s="303"/>
      <c r="AGT21" s="303"/>
      <c r="AGU21" s="303"/>
      <c r="AGV21" s="303"/>
      <c r="AGW21" s="303"/>
      <c r="AGX21" s="303"/>
      <c r="AGY21" s="303"/>
      <c r="AGZ21" s="303"/>
      <c r="AHA21" s="303"/>
      <c r="AHB21" s="303"/>
      <c r="AHC21" s="303"/>
      <c r="AHD21" s="303"/>
      <c r="AHE21" s="303"/>
      <c r="AHF21" s="303"/>
      <c r="AHG21" s="303"/>
      <c r="AHH21" s="303"/>
      <c r="AHI21" s="303"/>
      <c r="AHJ21" s="303"/>
      <c r="AHK21" s="303"/>
      <c r="AHL21" s="303"/>
      <c r="AHM21" s="303"/>
      <c r="AHN21" s="303"/>
      <c r="AHO21" s="303"/>
      <c r="AHP21" s="303"/>
      <c r="AHQ21" s="303"/>
      <c r="AHR21" s="303"/>
      <c r="AHS21" s="303"/>
      <c r="AHT21" s="303"/>
      <c r="AHU21" s="303"/>
      <c r="AHV21" s="303"/>
      <c r="AHW21" s="303"/>
      <c r="AHX21" s="303"/>
      <c r="AHY21" s="303"/>
      <c r="AHZ21" s="303"/>
      <c r="AIA21" s="303"/>
      <c r="AIB21" s="303"/>
      <c r="AIC21" s="303"/>
      <c r="AID21" s="303"/>
      <c r="AIE21" s="303"/>
      <c r="AIF21" s="303"/>
      <c r="AIG21" s="303"/>
      <c r="AIH21" s="303"/>
      <c r="AII21" s="303"/>
      <c r="AIJ21" s="303"/>
      <c r="AIK21" s="303"/>
      <c r="AIL21" s="303"/>
      <c r="AIM21" s="303"/>
      <c r="AIN21" s="303"/>
      <c r="AIO21" s="303"/>
      <c r="AIP21" s="303"/>
      <c r="AIQ21" s="303"/>
      <c r="AIR21" s="303"/>
      <c r="AIS21" s="303"/>
      <c r="AIT21" s="303"/>
      <c r="AIU21" s="303"/>
      <c r="AIV21" s="303"/>
      <c r="AIW21" s="303"/>
      <c r="AIX21" s="303"/>
      <c r="AIY21" s="303"/>
      <c r="AIZ21" s="303"/>
      <c r="AJA21" s="303"/>
      <c r="AJB21" s="303"/>
      <c r="AJC21" s="303"/>
      <c r="AJD21" s="303"/>
      <c r="AJE21" s="303"/>
      <c r="AJF21" s="303"/>
      <c r="AJG21" s="303"/>
      <c r="AJH21" s="303"/>
      <c r="AJI21" s="303"/>
      <c r="AJJ21" s="303"/>
      <c r="AJK21" s="303"/>
      <c r="AJL21" s="303"/>
      <c r="AJM21" s="303"/>
      <c r="AJN21" s="303"/>
      <c r="AJO21" s="303"/>
      <c r="AJP21" s="303"/>
      <c r="AJQ21" s="303"/>
      <c r="AJR21" s="303"/>
      <c r="AJS21" s="303"/>
      <c r="AJT21" s="303"/>
      <c r="AJU21" s="303"/>
      <c r="AJV21" s="303"/>
      <c r="AJW21" s="303"/>
      <c r="AJX21" s="303"/>
      <c r="AJY21" s="303"/>
      <c r="AJZ21" s="303"/>
      <c r="AKA21" s="303"/>
      <c r="AKB21" s="303"/>
      <c r="AKC21" s="303"/>
      <c r="AKD21" s="303"/>
      <c r="AKE21" s="303"/>
      <c r="AKF21" s="303"/>
      <c r="AKG21" s="303"/>
      <c r="AKH21" s="303"/>
      <c r="AKI21" s="303"/>
      <c r="AKJ21" s="303"/>
      <c r="AKK21" s="303"/>
      <c r="AKL21" s="303"/>
      <c r="AKM21" s="303"/>
      <c r="AKN21" s="303"/>
      <c r="AKO21" s="303"/>
      <c r="AKP21" s="303"/>
      <c r="AKQ21" s="303"/>
      <c r="AKR21" s="303"/>
      <c r="AKS21" s="303"/>
      <c r="AKT21" s="303"/>
      <c r="AKU21" s="303"/>
      <c r="AKV21" s="303"/>
      <c r="AKW21" s="303"/>
      <c r="AKX21" s="303"/>
      <c r="AKY21" s="303"/>
      <c r="AKZ21" s="303"/>
      <c r="ALA21" s="303"/>
      <c r="ALB21" s="303"/>
      <c r="ALC21" s="303"/>
      <c r="ALD21" s="303"/>
      <c r="ALE21" s="303"/>
      <c r="ALF21" s="303"/>
      <c r="ALG21" s="303"/>
      <c r="ALH21" s="303"/>
      <c r="ALI21" s="303"/>
      <c r="ALJ21" s="303"/>
      <c r="ALK21" s="303"/>
      <c r="ALL21" s="303"/>
      <c r="ALM21" s="303"/>
      <c r="ALN21" s="303"/>
      <c r="ALO21" s="303"/>
      <c r="ALP21" s="303"/>
      <c r="ALQ21" s="303"/>
      <c r="ALR21" s="303"/>
      <c r="ALS21" s="303"/>
      <c r="ALT21" s="303"/>
      <c r="ALU21" s="303"/>
      <c r="ALV21" s="303"/>
      <c r="ALW21" s="303"/>
      <c r="ALX21" s="303"/>
      <c r="ALY21" s="303"/>
      <c r="ALZ21" s="303"/>
      <c r="AMA21" s="303"/>
      <c r="AMB21" s="303"/>
      <c r="AMC21" s="303"/>
    </row>
    <row r="22" spans="1:1017" s="136" customFormat="1" ht="15" customHeight="1">
      <c r="C22" s="131">
        <v>0.875000000000004</v>
      </c>
      <c r="D22" s="304"/>
      <c r="E22" s="304"/>
      <c r="F22" s="304"/>
      <c r="G22" s="304"/>
      <c r="H22" s="314"/>
      <c r="I22" s="315"/>
      <c r="J22" s="304"/>
      <c r="K22" s="304"/>
      <c r="L22" s="304"/>
      <c r="M22" s="304"/>
      <c r="N22" s="304"/>
      <c r="O22" s="314"/>
      <c r="P22" s="315"/>
      <c r="Q22" s="304"/>
      <c r="R22" s="304"/>
      <c r="S22" s="304"/>
      <c r="T22" s="304"/>
      <c r="U22" s="304"/>
      <c r="V22" s="314"/>
      <c r="W22" s="315"/>
      <c r="X22" s="304"/>
      <c r="Y22" s="304"/>
      <c r="Z22" s="304"/>
      <c r="AA22" s="304"/>
      <c r="AB22" s="304"/>
      <c r="AC22" s="314"/>
      <c r="AD22" s="315"/>
      <c r="AE22" s="304"/>
      <c r="AF22" s="304"/>
      <c r="AG22" s="304"/>
      <c r="AH22" s="304"/>
      <c r="AI22" s="304"/>
      <c r="AJ22" s="314"/>
      <c r="AK22" s="315"/>
      <c r="AL22" s="304"/>
      <c r="AM22" s="304"/>
      <c r="AN22" s="304"/>
      <c r="AO22" s="304"/>
      <c r="AP22" s="304"/>
      <c r="AQ22" s="314"/>
      <c r="AR22" s="315"/>
      <c r="AS22" s="304"/>
      <c r="AT22" s="304"/>
      <c r="AU22" s="304"/>
      <c r="AV22" s="304"/>
      <c r="AW22" s="304"/>
      <c r="AX22" s="314"/>
      <c r="AY22" s="315"/>
      <c r="AZ22" s="304"/>
      <c r="BA22" s="304"/>
      <c r="BB22" s="304"/>
      <c r="BC22" s="304"/>
      <c r="BD22" s="304"/>
      <c r="BE22" s="314"/>
      <c r="BF22" s="315"/>
      <c r="BG22" s="304"/>
      <c r="BH22" s="304"/>
      <c r="BI22" s="304"/>
      <c r="BJ22" s="304"/>
      <c r="BK22" s="304"/>
      <c r="BL22" s="314"/>
      <c r="BM22" s="315"/>
      <c r="BN22" s="304"/>
      <c r="BO22" s="304"/>
      <c r="BP22" s="304"/>
      <c r="BQ22" s="304"/>
      <c r="BR22" s="304"/>
      <c r="BS22" s="314"/>
      <c r="BT22" s="315"/>
      <c r="BU22" s="304"/>
      <c r="BV22" s="304"/>
      <c r="BW22" s="304"/>
      <c r="BX22" s="304"/>
      <c r="BY22" s="304"/>
      <c r="BZ22" s="314"/>
      <c r="CA22" s="315"/>
      <c r="CB22" s="304"/>
      <c r="CC22" s="304"/>
      <c r="CD22" s="304"/>
      <c r="CE22" s="304"/>
      <c r="CF22" s="304"/>
      <c r="CG22" s="314"/>
      <c r="CH22" s="315"/>
      <c r="CI22" s="304"/>
      <c r="CJ22" s="304"/>
      <c r="CK22" s="304"/>
      <c r="CL22" s="304"/>
      <c r="CM22" s="304"/>
      <c r="CN22" s="314"/>
      <c r="CO22" s="315"/>
      <c r="CP22" s="304"/>
      <c r="CQ22" s="304"/>
      <c r="CR22" s="304"/>
      <c r="CS22" s="304"/>
      <c r="CT22" s="304"/>
      <c r="CU22" s="314"/>
      <c r="CV22" s="315"/>
      <c r="CW22" s="304"/>
      <c r="CX22" s="304"/>
      <c r="CY22" s="304"/>
      <c r="CZ22" s="304"/>
      <c r="DA22" s="304"/>
      <c r="DB22" s="314"/>
      <c r="DC22" s="315"/>
      <c r="DD22" s="304"/>
      <c r="DE22" s="304"/>
      <c r="DF22" s="304"/>
      <c r="DG22" s="304"/>
      <c r="DH22" s="304"/>
      <c r="DI22" s="314"/>
      <c r="DJ22" s="315"/>
      <c r="DK22" s="304"/>
      <c r="DL22" s="304"/>
      <c r="DM22" s="304"/>
      <c r="DN22" s="304"/>
      <c r="DO22" s="304"/>
      <c r="DP22" s="314"/>
      <c r="DQ22" s="315"/>
      <c r="DR22" s="304"/>
      <c r="DS22" s="304"/>
      <c r="DT22" s="304"/>
      <c r="DU22" s="304"/>
      <c r="DV22" s="304"/>
      <c r="DW22" s="314"/>
      <c r="DX22" s="315"/>
      <c r="DY22" s="304"/>
      <c r="DZ22" s="304"/>
      <c r="EA22" s="304"/>
      <c r="EB22" s="304"/>
      <c r="EC22" s="304"/>
      <c r="ED22" s="314"/>
      <c r="EE22" s="315"/>
      <c r="EF22" s="304"/>
      <c r="EG22" s="304"/>
      <c r="EH22" s="304"/>
      <c r="EI22" s="304"/>
      <c r="EJ22" s="304"/>
      <c r="EK22" s="314"/>
      <c r="EL22" s="315"/>
      <c r="EM22" s="304"/>
      <c r="EN22" s="304"/>
      <c r="EO22" s="304"/>
      <c r="EP22" s="304"/>
      <c r="EQ22" s="304"/>
      <c r="ER22" s="314"/>
      <c r="ES22" s="315"/>
      <c r="ET22" s="304"/>
      <c r="EU22" s="304"/>
      <c r="EV22" s="304"/>
      <c r="EW22" s="304"/>
      <c r="EX22" s="304"/>
      <c r="EY22" s="314"/>
      <c r="EZ22" s="315"/>
      <c r="FA22" s="304"/>
      <c r="FB22" s="304"/>
      <c r="FC22" s="304"/>
      <c r="FD22" s="304"/>
      <c r="FE22" s="304"/>
      <c r="FF22" s="314"/>
      <c r="FG22" s="315"/>
      <c r="FH22" s="304"/>
      <c r="FI22" s="304"/>
      <c r="FJ22" s="304"/>
      <c r="FK22" s="304"/>
      <c r="FL22" s="304"/>
      <c r="FM22" s="314"/>
      <c r="FN22" s="315"/>
      <c r="FO22" s="304"/>
      <c r="FP22" s="304"/>
      <c r="FQ22" s="304"/>
      <c r="FR22" s="304"/>
      <c r="FS22" s="304"/>
      <c r="FT22" s="314"/>
      <c r="FU22" s="315"/>
      <c r="FV22" s="304"/>
      <c r="FW22" s="304"/>
      <c r="FX22" s="304"/>
      <c r="FY22" s="304"/>
      <c r="FZ22" s="304"/>
      <c r="GA22" s="314"/>
      <c r="GB22" s="315"/>
      <c r="GC22" s="304"/>
      <c r="GD22" s="304"/>
      <c r="GE22" s="304"/>
      <c r="GF22" s="304"/>
      <c r="GG22" s="304"/>
      <c r="GH22" s="314"/>
      <c r="GI22" s="315"/>
      <c r="GJ22" s="304"/>
      <c r="GK22" s="304"/>
      <c r="GL22" s="304"/>
      <c r="GM22" s="304"/>
      <c r="GN22" s="304"/>
      <c r="GO22" s="314"/>
      <c r="GP22" s="315"/>
      <c r="GQ22" s="304"/>
      <c r="GR22" s="304"/>
      <c r="GS22" s="304"/>
      <c r="GT22" s="304"/>
      <c r="GU22" s="304"/>
      <c r="GV22" s="314"/>
      <c r="GW22" s="315"/>
      <c r="GX22" s="304"/>
      <c r="GY22" s="304"/>
      <c r="GZ22" s="304"/>
      <c r="HA22" s="304"/>
      <c r="HB22" s="304"/>
      <c r="HC22" s="314"/>
      <c r="HD22" s="315"/>
      <c r="HE22" s="304"/>
      <c r="HF22" s="304"/>
      <c r="HG22" s="304"/>
      <c r="HH22" s="304"/>
      <c r="HI22" s="304"/>
      <c r="HJ22" s="314"/>
      <c r="HK22" s="315"/>
      <c r="HL22" s="304"/>
      <c r="HM22" s="304"/>
      <c r="HN22" s="304"/>
      <c r="HO22" s="304"/>
      <c r="HP22" s="304"/>
      <c r="HQ22" s="314"/>
      <c r="HR22" s="315"/>
      <c r="HS22" s="304"/>
      <c r="HT22" s="304"/>
      <c r="HU22" s="304"/>
      <c r="HV22" s="304"/>
      <c r="HW22" s="304"/>
      <c r="HX22" s="314"/>
      <c r="HY22" s="315"/>
      <c r="HZ22" s="304"/>
      <c r="IA22" s="304"/>
      <c r="IB22" s="304"/>
      <c r="IC22" s="304"/>
      <c r="ID22" s="304"/>
      <c r="IE22" s="314"/>
      <c r="IF22" s="315"/>
      <c r="IG22" s="304"/>
      <c r="IH22" s="304"/>
      <c r="II22" s="304"/>
      <c r="IJ22" s="304"/>
      <c r="IK22" s="304"/>
      <c r="IL22" s="314"/>
      <c r="IM22" s="315"/>
      <c r="IN22" s="304"/>
      <c r="IO22" s="304"/>
      <c r="IP22" s="304"/>
      <c r="IQ22" s="304"/>
      <c r="IR22" s="304"/>
      <c r="IS22" s="314"/>
      <c r="IT22" s="315"/>
      <c r="IU22" s="304"/>
      <c r="IV22" s="304"/>
      <c r="IW22" s="304"/>
      <c r="IX22" s="304"/>
      <c r="IY22" s="304"/>
      <c r="IZ22" s="314"/>
      <c r="JA22" s="315"/>
      <c r="JB22" s="304"/>
      <c r="JC22" s="304"/>
      <c r="JD22" s="304"/>
      <c r="JE22" s="304"/>
      <c r="JF22" s="304"/>
      <c r="JG22" s="314"/>
      <c r="JH22" s="315"/>
      <c r="JI22" s="304"/>
      <c r="JJ22" s="304"/>
      <c r="JK22" s="304"/>
      <c r="JL22" s="304"/>
      <c r="JM22" s="304"/>
      <c r="JN22" s="314"/>
      <c r="JO22" s="315"/>
      <c r="JP22" s="304"/>
      <c r="JQ22" s="304"/>
      <c r="JR22" s="304"/>
      <c r="JS22" s="304"/>
      <c r="JT22" s="304"/>
      <c r="JU22" s="314"/>
      <c r="JV22" s="315"/>
      <c r="JW22" s="304"/>
      <c r="JX22" s="304"/>
      <c r="JY22" s="304"/>
      <c r="JZ22" s="304"/>
      <c r="KA22" s="304"/>
      <c r="KB22" s="314"/>
      <c r="KC22" s="315"/>
      <c r="KD22" s="304"/>
      <c r="KE22" s="304"/>
      <c r="KF22" s="304"/>
      <c r="KG22" s="304"/>
      <c r="KH22" s="304"/>
      <c r="KI22" s="314"/>
      <c r="KJ22" s="315"/>
      <c r="KK22" s="304"/>
      <c r="KL22" s="304"/>
      <c r="KM22" s="304"/>
      <c r="KN22" s="304"/>
      <c r="KO22" s="304"/>
      <c r="KP22" s="314"/>
      <c r="KQ22" s="315"/>
      <c r="KR22" s="304"/>
      <c r="KS22" s="304"/>
      <c r="KT22" s="304"/>
      <c r="KU22" s="304"/>
      <c r="KV22" s="304"/>
      <c r="KW22" s="314"/>
      <c r="KX22" s="315"/>
      <c r="KY22" s="304"/>
      <c r="KZ22" s="304"/>
      <c r="LA22" s="304"/>
      <c r="LB22" s="304"/>
      <c r="LC22" s="304"/>
      <c r="LD22" s="314"/>
      <c r="LE22" s="315"/>
      <c r="LF22" s="304"/>
      <c r="LG22" s="304"/>
      <c r="LH22" s="304"/>
      <c r="LI22" s="304"/>
      <c r="LJ22" s="304"/>
      <c r="LK22" s="314"/>
      <c r="LL22" s="315"/>
      <c r="LM22" s="304"/>
      <c r="LN22" s="304"/>
      <c r="LO22" s="304"/>
      <c r="LP22" s="304"/>
      <c r="LQ22" s="304"/>
      <c r="LR22" s="314"/>
      <c r="LS22" s="315"/>
      <c r="LT22" s="304"/>
      <c r="LU22" s="304"/>
      <c r="LV22" s="304"/>
      <c r="LW22" s="304"/>
      <c r="LX22" s="304"/>
      <c r="LY22" s="314"/>
      <c r="LZ22" s="315"/>
      <c r="MA22" s="304"/>
      <c r="MB22" s="304"/>
      <c r="MC22" s="304"/>
      <c r="MD22" s="304"/>
      <c r="ME22" s="304"/>
      <c r="MF22" s="314"/>
      <c r="MG22" s="315"/>
      <c r="MH22" s="304"/>
      <c r="MI22" s="304"/>
      <c r="MJ22" s="304"/>
      <c r="MK22" s="304"/>
      <c r="ML22" s="304"/>
      <c r="MM22" s="314"/>
      <c r="MN22" s="315"/>
      <c r="MO22" s="304"/>
      <c r="MP22" s="304"/>
      <c r="MQ22" s="304"/>
      <c r="MR22" s="304"/>
      <c r="MS22" s="304"/>
      <c r="MT22" s="314"/>
      <c r="MU22" s="315"/>
      <c r="MV22" s="304"/>
      <c r="MW22" s="304"/>
      <c r="MX22" s="304"/>
      <c r="MY22" s="304"/>
      <c r="MZ22" s="304"/>
      <c r="NA22" s="314"/>
      <c r="NB22" s="315"/>
      <c r="NC22" s="304"/>
      <c r="ND22" s="304"/>
      <c r="NE22" s="333">
        <f t="shared" si="0"/>
        <v>0</v>
      </c>
      <c r="NF22" s="303"/>
      <c r="NG22" s="303"/>
      <c r="NH22" s="303"/>
      <c r="NI22" s="303"/>
      <c r="NJ22" s="303"/>
      <c r="NK22" s="303"/>
      <c r="NL22" s="303"/>
      <c r="NM22" s="303"/>
      <c r="NN22" s="303"/>
      <c r="NO22" s="303"/>
      <c r="NP22" s="303"/>
      <c r="NQ22" s="303"/>
      <c r="NR22" s="303"/>
      <c r="NS22" s="303"/>
      <c r="NT22" s="303"/>
      <c r="NU22" s="303"/>
      <c r="NV22" s="303"/>
      <c r="NW22" s="303"/>
      <c r="NX22" s="303"/>
      <c r="NY22" s="303"/>
      <c r="NZ22" s="303"/>
      <c r="OA22" s="303"/>
      <c r="OB22" s="303"/>
      <c r="OC22" s="303"/>
      <c r="OD22" s="303"/>
      <c r="OE22" s="303"/>
      <c r="OF22" s="303"/>
      <c r="OG22" s="303"/>
      <c r="OH22" s="303"/>
      <c r="OI22" s="303"/>
      <c r="OJ22" s="303"/>
      <c r="OK22" s="303"/>
      <c r="OL22" s="303"/>
      <c r="OM22" s="303"/>
      <c r="ON22" s="303"/>
      <c r="OO22" s="303"/>
      <c r="OP22" s="303"/>
      <c r="OQ22" s="303"/>
      <c r="OR22" s="303"/>
      <c r="OS22" s="303"/>
      <c r="OT22" s="303"/>
      <c r="OU22" s="303"/>
      <c r="OV22" s="303"/>
      <c r="OW22" s="303"/>
      <c r="OX22" s="303"/>
      <c r="OY22" s="303"/>
      <c r="OZ22" s="303"/>
      <c r="PA22" s="303"/>
      <c r="PB22" s="303"/>
      <c r="PC22" s="303"/>
      <c r="PD22" s="303"/>
      <c r="PE22" s="303"/>
      <c r="PF22" s="303"/>
      <c r="PG22" s="303"/>
      <c r="PH22" s="303"/>
      <c r="PI22" s="303"/>
      <c r="PJ22" s="303"/>
      <c r="PK22" s="303"/>
      <c r="PL22" s="303"/>
      <c r="PM22" s="303"/>
      <c r="PN22" s="303"/>
      <c r="PO22" s="303"/>
      <c r="PP22" s="303"/>
      <c r="PQ22" s="303"/>
      <c r="PR22" s="303"/>
      <c r="PS22" s="303"/>
      <c r="PT22" s="303"/>
      <c r="PU22" s="303"/>
      <c r="PV22" s="303"/>
      <c r="PW22" s="303"/>
      <c r="PX22" s="303"/>
      <c r="PY22" s="303"/>
      <c r="PZ22" s="303"/>
      <c r="QA22" s="303"/>
      <c r="QB22" s="303"/>
      <c r="QC22" s="303"/>
      <c r="QD22" s="303"/>
      <c r="QE22" s="303"/>
      <c r="QF22" s="303"/>
      <c r="QG22" s="303"/>
      <c r="QH22" s="303"/>
      <c r="QI22" s="303"/>
      <c r="QJ22" s="303"/>
      <c r="QK22" s="303"/>
      <c r="QL22" s="303"/>
      <c r="QM22" s="303"/>
      <c r="QN22" s="303"/>
      <c r="QO22" s="303"/>
      <c r="QP22" s="303"/>
      <c r="QQ22" s="303"/>
      <c r="QR22" s="303"/>
      <c r="QS22" s="303"/>
      <c r="QT22" s="303"/>
      <c r="QU22" s="303"/>
      <c r="QV22" s="303"/>
      <c r="QW22" s="303"/>
      <c r="QX22" s="303"/>
      <c r="QY22" s="303"/>
      <c r="QZ22" s="303"/>
      <c r="RA22" s="303"/>
      <c r="RB22" s="303"/>
      <c r="RC22" s="303"/>
      <c r="RD22" s="303"/>
      <c r="RE22" s="303"/>
      <c r="RF22" s="303"/>
      <c r="RG22" s="303"/>
      <c r="RH22" s="303"/>
      <c r="RI22" s="303"/>
      <c r="RJ22" s="303"/>
      <c r="RK22" s="303"/>
      <c r="RL22" s="303"/>
      <c r="RM22" s="303"/>
      <c r="RN22" s="303"/>
      <c r="RO22" s="303"/>
      <c r="RP22" s="303"/>
      <c r="RQ22" s="303"/>
      <c r="RR22" s="303"/>
      <c r="RS22" s="303"/>
      <c r="RT22" s="303"/>
      <c r="RU22" s="303"/>
      <c r="RV22" s="303"/>
      <c r="RW22" s="303"/>
      <c r="RX22" s="303"/>
      <c r="RY22" s="303"/>
      <c r="RZ22" s="303"/>
      <c r="SA22" s="303"/>
      <c r="SB22" s="303"/>
      <c r="SC22" s="303"/>
      <c r="SD22" s="303"/>
      <c r="SE22" s="303"/>
      <c r="SF22" s="303"/>
      <c r="SG22" s="303"/>
      <c r="SH22" s="303"/>
      <c r="SI22" s="303"/>
      <c r="SJ22" s="303"/>
      <c r="SK22" s="303"/>
      <c r="SL22" s="303"/>
      <c r="SM22" s="303"/>
      <c r="SN22" s="303"/>
      <c r="SO22" s="303"/>
      <c r="SP22" s="303"/>
      <c r="SQ22" s="303"/>
      <c r="SR22" s="303"/>
      <c r="SS22" s="303"/>
      <c r="ST22" s="303"/>
      <c r="SU22" s="303"/>
      <c r="SV22" s="303"/>
      <c r="SW22" s="303"/>
      <c r="SX22" s="303"/>
      <c r="SY22" s="303"/>
      <c r="SZ22" s="303"/>
      <c r="TA22" s="303"/>
      <c r="TB22" s="303"/>
      <c r="TC22" s="303"/>
      <c r="TD22" s="303"/>
      <c r="TE22" s="303"/>
      <c r="TF22" s="303"/>
      <c r="TG22" s="303"/>
      <c r="TH22" s="303"/>
      <c r="TI22" s="303"/>
      <c r="TJ22" s="303"/>
      <c r="TK22" s="303"/>
      <c r="TL22" s="303"/>
      <c r="TM22" s="303"/>
      <c r="TN22" s="303"/>
      <c r="TO22" s="303"/>
      <c r="TP22" s="303"/>
      <c r="TQ22" s="303"/>
      <c r="TR22" s="303"/>
      <c r="TS22" s="303"/>
      <c r="TT22" s="303"/>
      <c r="TU22" s="303"/>
      <c r="TV22" s="303"/>
      <c r="TW22" s="303"/>
      <c r="TX22" s="303"/>
      <c r="TY22" s="303"/>
      <c r="TZ22" s="303"/>
      <c r="UA22" s="303"/>
      <c r="UB22" s="303"/>
      <c r="UC22" s="303"/>
      <c r="UD22" s="303"/>
      <c r="UE22" s="303"/>
      <c r="UF22" s="303"/>
      <c r="UG22" s="303"/>
      <c r="UH22" s="303"/>
      <c r="UI22" s="303"/>
      <c r="UJ22" s="303"/>
      <c r="UK22" s="303"/>
      <c r="UL22" s="303"/>
      <c r="UM22" s="303"/>
      <c r="UN22" s="303"/>
      <c r="UO22" s="303"/>
      <c r="UP22" s="303"/>
      <c r="UQ22" s="303"/>
      <c r="UR22" s="303"/>
      <c r="US22" s="303"/>
      <c r="UT22" s="303"/>
      <c r="UU22" s="303"/>
      <c r="UV22" s="303"/>
      <c r="UW22" s="303"/>
      <c r="UX22" s="303"/>
      <c r="UY22" s="303"/>
      <c r="UZ22" s="303"/>
      <c r="VA22" s="303"/>
      <c r="VB22" s="303"/>
      <c r="VC22" s="303"/>
      <c r="VD22" s="303"/>
      <c r="VE22" s="303"/>
      <c r="VF22" s="303"/>
      <c r="VG22" s="303"/>
      <c r="VH22" s="303"/>
      <c r="VI22" s="303"/>
      <c r="VJ22" s="303"/>
      <c r="VK22" s="303"/>
      <c r="VL22" s="303"/>
      <c r="VM22" s="303"/>
      <c r="VN22" s="303"/>
      <c r="VO22" s="303"/>
      <c r="VP22" s="303"/>
      <c r="VQ22" s="303"/>
      <c r="VR22" s="303"/>
      <c r="VS22" s="303"/>
      <c r="VT22" s="303"/>
      <c r="VU22" s="303"/>
      <c r="VV22" s="303"/>
      <c r="VW22" s="303"/>
      <c r="VX22" s="303"/>
      <c r="VY22" s="303"/>
      <c r="VZ22" s="303"/>
      <c r="WA22" s="303"/>
      <c r="WB22" s="303"/>
      <c r="WC22" s="303"/>
      <c r="WD22" s="303"/>
      <c r="WE22" s="303"/>
      <c r="WF22" s="303"/>
      <c r="WG22" s="303"/>
      <c r="WH22" s="303"/>
      <c r="WI22" s="303"/>
      <c r="WJ22" s="303"/>
      <c r="WK22" s="303"/>
      <c r="WL22" s="303"/>
      <c r="WM22" s="303"/>
      <c r="WN22" s="303"/>
      <c r="WO22" s="303"/>
      <c r="WP22" s="303"/>
      <c r="WQ22" s="303"/>
      <c r="WR22" s="303"/>
      <c r="WS22" s="303"/>
      <c r="WT22" s="303"/>
      <c r="WU22" s="303"/>
      <c r="WV22" s="303"/>
      <c r="WW22" s="303"/>
      <c r="WX22" s="303"/>
      <c r="WY22" s="303"/>
      <c r="WZ22" s="303"/>
      <c r="XA22" s="303"/>
      <c r="XB22" s="303"/>
      <c r="XC22" s="303"/>
      <c r="XD22" s="303"/>
      <c r="XE22" s="303"/>
      <c r="XF22" s="303"/>
      <c r="XG22" s="303"/>
      <c r="XH22" s="303"/>
      <c r="XI22" s="303"/>
      <c r="XJ22" s="303"/>
      <c r="XK22" s="303"/>
      <c r="XL22" s="303"/>
      <c r="XM22" s="303"/>
      <c r="XN22" s="303"/>
      <c r="XO22" s="303"/>
      <c r="XP22" s="303"/>
      <c r="XQ22" s="303"/>
      <c r="XR22" s="303"/>
      <c r="XS22" s="303"/>
      <c r="XT22" s="303"/>
      <c r="XU22" s="303"/>
      <c r="XV22" s="303"/>
      <c r="XW22" s="303"/>
      <c r="XX22" s="303"/>
      <c r="XY22" s="303"/>
      <c r="XZ22" s="303"/>
      <c r="YA22" s="303"/>
      <c r="YB22" s="303"/>
      <c r="YC22" s="303"/>
      <c r="YD22" s="303"/>
      <c r="YE22" s="303"/>
      <c r="YF22" s="303"/>
      <c r="YG22" s="303"/>
      <c r="YH22" s="303"/>
      <c r="YI22" s="303"/>
      <c r="YJ22" s="303"/>
      <c r="YK22" s="303"/>
      <c r="YL22" s="303"/>
      <c r="YM22" s="303"/>
      <c r="YN22" s="303"/>
      <c r="YO22" s="303"/>
      <c r="YP22" s="303"/>
      <c r="YQ22" s="303"/>
      <c r="YR22" s="303"/>
      <c r="YS22" s="303"/>
      <c r="YT22" s="303"/>
      <c r="YU22" s="303"/>
      <c r="YV22" s="303"/>
      <c r="YW22" s="303"/>
      <c r="YX22" s="303"/>
      <c r="YY22" s="303"/>
      <c r="YZ22" s="303"/>
      <c r="ZA22" s="303"/>
      <c r="ZB22" s="303"/>
      <c r="ZC22" s="303"/>
      <c r="ZD22" s="303"/>
      <c r="ZE22" s="303"/>
      <c r="ZF22" s="303"/>
      <c r="ZG22" s="303"/>
      <c r="ZH22" s="303"/>
      <c r="ZI22" s="303"/>
      <c r="ZJ22" s="303"/>
      <c r="ZK22" s="303"/>
      <c r="ZL22" s="303"/>
      <c r="ZM22" s="303"/>
      <c r="ZN22" s="303"/>
      <c r="ZO22" s="303"/>
      <c r="ZP22" s="303"/>
      <c r="ZQ22" s="303"/>
      <c r="ZR22" s="303"/>
      <c r="ZS22" s="303"/>
      <c r="ZT22" s="303"/>
      <c r="ZU22" s="303"/>
      <c r="ZV22" s="303"/>
      <c r="ZW22" s="303"/>
      <c r="ZX22" s="303"/>
      <c r="ZY22" s="303"/>
      <c r="ZZ22" s="303"/>
      <c r="AAA22" s="303"/>
      <c r="AAB22" s="303"/>
      <c r="AAC22" s="303"/>
      <c r="AAD22" s="303"/>
      <c r="AAE22" s="303"/>
      <c r="AAF22" s="303"/>
      <c r="AAG22" s="303"/>
      <c r="AAH22" s="303"/>
      <c r="AAI22" s="303"/>
      <c r="AAJ22" s="303"/>
      <c r="AAK22" s="303"/>
      <c r="AAL22" s="303"/>
      <c r="AAM22" s="303"/>
      <c r="AAN22" s="303"/>
      <c r="AAO22" s="303"/>
      <c r="AAP22" s="303"/>
      <c r="AAQ22" s="303"/>
      <c r="AAR22" s="303"/>
      <c r="AAS22" s="303"/>
      <c r="AAT22" s="303"/>
      <c r="AAU22" s="303"/>
      <c r="AAV22" s="303"/>
      <c r="AAW22" s="303"/>
      <c r="AAX22" s="303"/>
      <c r="AAY22" s="303"/>
      <c r="AAZ22" s="303"/>
      <c r="ABA22" s="303"/>
      <c r="ABB22" s="303"/>
      <c r="ABC22" s="303"/>
      <c r="ABD22" s="303"/>
      <c r="ABE22" s="303"/>
      <c r="ABF22" s="303"/>
      <c r="ABG22" s="303"/>
      <c r="ABH22" s="303"/>
      <c r="ABI22" s="303"/>
      <c r="ABJ22" s="303"/>
      <c r="ABK22" s="303"/>
      <c r="ABL22" s="303"/>
      <c r="ABM22" s="303"/>
      <c r="ABN22" s="303"/>
      <c r="ABO22" s="303"/>
      <c r="ABP22" s="303"/>
      <c r="ABQ22" s="303"/>
      <c r="ABR22" s="303"/>
      <c r="ABS22" s="303"/>
      <c r="ABT22" s="303"/>
      <c r="ABU22" s="303"/>
      <c r="ABV22" s="303"/>
      <c r="ABW22" s="303"/>
      <c r="ABX22" s="303"/>
      <c r="ABY22" s="303"/>
      <c r="ABZ22" s="303"/>
      <c r="ACA22" s="303"/>
      <c r="ACB22" s="303"/>
      <c r="ACC22" s="303"/>
      <c r="ACD22" s="303"/>
      <c r="ACE22" s="303"/>
      <c r="ACF22" s="303"/>
      <c r="ACG22" s="303"/>
      <c r="ACH22" s="303"/>
      <c r="ACI22" s="303"/>
      <c r="ACJ22" s="303"/>
      <c r="ACK22" s="303"/>
      <c r="ACL22" s="303"/>
      <c r="ACM22" s="303"/>
      <c r="ACN22" s="303"/>
      <c r="ACO22" s="303"/>
      <c r="ACP22" s="303"/>
      <c r="ACQ22" s="303"/>
      <c r="ACR22" s="303"/>
      <c r="ACS22" s="303"/>
      <c r="ACT22" s="303"/>
      <c r="ACU22" s="303"/>
      <c r="ACV22" s="303"/>
      <c r="ACW22" s="303"/>
      <c r="ACX22" s="303"/>
      <c r="ACY22" s="303"/>
      <c r="ACZ22" s="303"/>
      <c r="ADA22" s="303"/>
      <c r="ADB22" s="303"/>
      <c r="ADC22" s="303"/>
      <c r="ADD22" s="303"/>
      <c r="ADE22" s="303"/>
      <c r="ADF22" s="303"/>
      <c r="ADG22" s="303"/>
      <c r="ADH22" s="303"/>
      <c r="ADI22" s="303"/>
      <c r="ADJ22" s="303"/>
      <c r="ADK22" s="303"/>
      <c r="ADL22" s="303"/>
      <c r="ADM22" s="303"/>
      <c r="ADN22" s="303"/>
      <c r="ADO22" s="303"/>
      <c r="ADP22" s="303"/>
      <c r="ADQ22" s="303"/>
      <c r="ADR22" s="303"/>
      <c r="ADS22" s="303"/>
      <c r="ADT22" s="303"/>
      <c r="ADU22" s="303"/>
      <c r="ADV22" s="303"/>
      <c r="ADW22" s="303"/>
      <c r="ADX22" s="303"/>
      <c r="ADY22" s="303"/>
      <c r="ADZ22" s="303"/>
      <c r="AEA22" s="303"/>
      <c r="AEB22" s="303"/>
      <c r="AEC22" s="303"/>
      <c r="AED22" s="303"/>
      <c r="AEE22" s="303"/>
      <c r="AEF22" s="303"/>
      <c r="AEG22" s="303"/>
      <c r="AEH22" s="303"/>
      <c r="AEI22" s="303"/>
      <c r="AEJ22" s="303"/>
      <c r="AEK22" s="303"/>
      <c r="AEL22" s="303"/>
      <c r="AEM22" s="303"/>
      <c r="AEN22" s="303"/>
      <c r="AEO22" s="303"/>
      <c r="AEP22" s="303"/>
      <c r="AEQ22" s="303"/>
      <c r="AER22" s="303"/>
      <c r="AES22" s="303"/>
      <c r="AET22" s="303"/>
      <c r="AEU22" s="303"/>
      <c r="AEV22" s="303"/>
      <c r="AEW22" s="303"/>
      <c r="AEX22" s="303"/>
      <c r="AEY22" s="303"/>
      <c r="AEZ22" s="303"/>
      <c r="AFA22" s="303"/>
      <c r="AFB22" s="303"/>
      <c r="AFC22" s="303"/>
      <c r="AFD22" s="303"/>
      <c r="AFE22" s="303"/>
      <c r="AFF22" s="303"/>
      <c r="AFG22" s="303"/>
      <c r="AFH22" s="303"/>
      <c r="AFI22" s="303"/>
      <c r="AFJ22" s="303"/>
      <c r="AFK22" s="303"/>
      <c r="AFL22" s="303"/>
      <c r="AFM22" s="303"/>
      <c r="AFN22" s="303"/>
      <c r="AFO22" s="303"/>
      <c r="AFP22" s="303"/>
      <c r="AFQ22" s="303"/>
      <c r="AFR22" s="303"/>
      <c r="AFS22" s="303"/>
      <c r="AFT22" s="303"/>
      <c r="AFU22" s="303"/>
      <c r="AFV22" s="303"/>
      <c r="AFW22" s="303"/>
      <c r="AFX22" s="303"/>
      <c r="AFY22" s="303"/>
      <c r="AFZ22" s="303"/>
      <c r="AGA22" s="303"/>
      <c r="AGB22" s="303"/>
      <c r="AGC22" s="303"/>
      <c r="AGD22" s="303"/>
      <c r="AGE22" s="303"/>
      <c r="AGF22" s="303"/>
      <c r="AGG22" s="303"/>
      <c r="AGH22" s="303"/>
      <c r="AGI22" s="303"/>
      <c r="AGJ22" s="303"/>
      <c r="AGK22" s="303"/>
      <c r="AGL22" s="303"/>
      <c r="AGM22" s="303"/>
      <c r="AGN22" s="303"/>
      <c r="AGO22" s="303"/>
      <c r="AGP22" s="303"/>
      <c r="AGQ22" s="303"/>
      <c r="AGR22" s="303"/>
      <c r="AGS22" s="303"/>
      <c r="AGT22" s="303"/>
      <c r="AGU22" s="303"/>
      <c r="AGV22" s="303"/>
      <c r="AGW22" s="303"/>
      <c r="AGX22" s="303"/>
      <c r="AGY22" s="303"/>
      <c r="AGZ22" s="303"/>
      <c r="AHA22" s="303"/>
      <c r="AHB22" s="303"/>
      <c r="AHC22" s="303"/>
      <c r="AHD22" s="303"/>
      <c r="AHE22" s="303"/>
      <c r="AHF22" s="303"/>
      <c r="AHG22" s="303"/>
      <c r="AHH22" s="303"/>
      <c r="AHI22" s="303"/>
      <c r="AHJ22" s="303"/>
      <c r="AHK22" s="303"/>
      <c r="AHL22" s="303"/>
      <c r="AHM22" s="303"/>
      <c r="AHN22" s="303"/>
      <c r="AHO22" s="303"/>
      <c r="AHP22" s="303"/>
      <c r="AHQ22" s="303"/>
      <c r="AHR22" s="303"/>
      <c r="AHS22" s="303"/>
      <c r="AHT22" s="303"/>
      <c r="AHU22" s="303"/>
      <c r="AHV22" s="303"/>
      <c r="AHW22" s="303"/>
      <c r="AHX22" s="303"/>
      <c r="AHY22" s="303"/>
      <c r="AHZ22" s="303"/>
      <c r="AIA22" s="303"/>
      <c r="AIB22" s="303"/>
      <c r="AIC22" s="303"/>
      <c r="AID22" s="303"/>
      <c r="AIE22" s="303"/>
      <c r="AIF22" s="303"/>
      <c r="AIG22" s="303"/>
      <c r="AIH22" s="303"/>
      <c r="AII22" s="303"/>
      <c r="AIJ22" s="303"/>
      <c r="AIK22" s="303"/>
      <c r="AIL22" s="303"/>
      <c r="AIM22" s="303"/>
      <c r="AIN22" s="303"/>
      <c r="AIO22" s="303"/>
      <c r="AIP22" s="303"/>
      <c r="AIQ22" s="303"/>
      <c r="AIR22" s="303"/>
      <c r="AIS22" s="303"/>
      <c r="AIT22" s="303"/>
      <c r="AIU22" s="303"/>
      <c r="AIV22" s="303"/>
      <c r="AIW22" s="303"/>
      <c r="AIX22" s="303"/>
      <c r="AIY22" s="303"/>
      <c r="AIZ22" s="303"/>
      <c r="AJA22" s="303"/>
      <c r="AJB22" s="303"/>
      <c r="AJC22" s="303"/>
      <c r="AJD22" s="303"/>
      <c r="AJE22" s="303"/>
      <c r="AJF22" s="303"/>
      <c r="AJG22" s="303"/>
      <c r="AJH22" s="303"/>
      <c r="AJI22" s="303"/>
      <c r="AJJ22" s="303"/>
      <c r="AJK22" s="303"/>
      <c r="AJL22" s="303"/>
      <c r="AJM22" s="303"/>
      <c r="AJN22" s="303"/>
      <c r="AJO22" s="303"/>
      <c r="AJP22" s="303"/>
      <c r="AJQ22" s="303"/>
      <c r="AJR22" s="303"/>
      <c r="AJS22" s="303"/>
      <c r="AJT22" s="303"/>
      <c r="AJU22" s="303"/>
      <c r="AJV22" s="303"/>
      <c r="AJW22" s="303"/>
      <c r="AJX22" s="303"/>
      <c r="AJY22" s="303"/>
      <c r="AJZ22" s="303"/>
      <c r="AKA22" s="303"/>
      <c r="AKB22" s="303"/>
      <c r="AKC22" s="303"/>
      <c r="AKD22" s="303"/>
      <c r="AKE22" s="303"/>
      <c r="AKF22" s="303"/>
      <c r="AKG22" s="303"/>
      <c r="AKH22" s="303"/>
      <c r="AKI22" s="303"/>
      <c r="AKJ22" s="303"/>
      <c r="AKK22" s="303"/>
      <c r="AKL22" s="303"/>
      <c r="AKM22" s="303"/>
      <c r="AKN22" s="303"/>
      <c r="AKO22" s="303"/>
      <c r="AKP22" s="303"/>
      <c r="AKQ22" s="303"/>
      <c r="AKR22" s="303"/>
      <c r="AKS22" s="303"/>
      <c r="AKT22" s="303"/>
      <c r="AKU22" s="303"/>
      <c r="AKV22" s="303"/>
      <c r="AKW22" s="303"/>
      <c r="AKX22" s="303"/>
      <c r="AKY22" s="303"/>
      <c r="AKZ22" s="303"/>
      <c r="ALA22" s="303"/>
      <c r="ALB22" s="303"/>
      <c r="ALC22" s="303"/>
      <c r="ALD22" s="303"/>
      <c r="ALE22" s="303"/>
      <c r="ALF22" s="303"/>
      <c r="ALG22" s="303"/>
      <c r="ALH22" s="303"/>
      <c r="ALI22" s="303"/>
      <c r="ALJ22" s="303"/>
      <c r="ALK22" s="303"/>
      <c r="ALL22" s="303"/>
      <c r="ALM22" s="303"/>
      <c r="ALN22" s="303"/>
      <c r="ALO22" s="303"/>
      <c r="ALP22" s="303"/>
      <c r="ALQ22" s="303"/>
      <c r="ALR22" s="303"/>
      <c r="ALS22" s="303"/>
      <c r="ALT22" s="303"/>
      <c r="ALU22" s="303"/>
      <c r="ALV22" s="303"/>
      <c r="ALW22" s="303"/>
      <c r="ALX22" s="303"/>
      <c r="ALY22" s="303"/>
      <c r="ALZ22" s="303"/>
      <c r="AMA22" s="303"/>
      <c r="AMB22" s="303"/>
      <c r="AMC22" s="303"/>
    </row>
    <row r="23" spans="1:1017" s="136" customFormat="1" ht="15" customHeight="1">
      <c r="C23" s="131">
        <v>0.91666666666667096</v>
      </c>
      <c r="D23" s="317"/>
      <c r="E23" s="317"/>
      <c r="F23" s="317"/>
      <c r="G23" s="317"/>
      <c r="H23" s="317"/>
      <c r="I23" s="317"/>
      <c r="J23" s="313"/>
      <c r="K23" s="317"/>
      <c r="L23" s="317"/>
      <c r="M23" s="317"/>
      <c r="N23" s="317"/>
      <c r="O23" s="317"/>
      <c r="P23" s="317"/>
      <c r="Q23" s="313"/>
      <c r="R23" s="317"/>
      <c r="S23" s="317"/>
      <c r="T23" s="317"/>
      <c r="U23" s="317"/>
      <c r="V23" s="317"/>
      <c r="W23" s="317"/>
      <c r="X23" s="313"/>
      <c r="Y23" s="317"/>
      <c r="Z23" s="317"/>
      <c r="AA23" s="317"/>
      <c r="AB23" s="317"/>
      <c r="AC23" s="317"/>
      <c r="AD23" s="317"/>
      <c r="AE23" s="313"/>
      <c r="AF23" s="317"/>
      <c r="AG23" s="317"/>
      <c r="AH23" s="317"/>
      <c r="AI23" s="317"/>
      <c r="AJ23" s="317"/>
      <c r="AK23" s="317"/>
      <c r="AL23" s="313"/>
      <c r="AM23" s="317"/>
      <c r="AN23" s="317"/>
      <c r="AO23" s="317"/>
      <c r="AP23" s="317"/>
      <c r="AQ23" s="317"/>
      <c r="AR23" s="317"/>
      <c r="AS23" s="313"/>
      <c r="AT23" s="317"/>
      <c r="AU23" s="317"/>
      <c r="AV23" s="317"/>
      <c r="AW23" s="317"/>
      <c r="AX23" s="317"/>
      <c r="AY23" s="317"/>
      <c r="AZ23" s="313"/>
      <c r="BA23" s="317"/>
      <c r="BB23" s="317"/>
      <c r="BC23" s="317"/>
      <c r="BD23" s="317"/>
      <c r="BE23" s="317"/>
      <c r="BF23" s="317"/>
      <c r="BG23" s="313"/>
      <c r="BH23" s="317"/>
      <c r="BI23" s="317"/>
      <c r="BJ23" s="317"/>
      <c r="BK23" s="317"/>
      <c r="BL23" s="317"/>
      <c r="BM23" s="317"/>
      <c r="BN23" s="313"/>
      <c r="BO23" s="317"/>
      <c r="BP23" s="317"/>
      <c r="BQ23" s="317"/>
      <c r="BR23" s="317"/>
      <c r="BS23" s="317"/>
      <c r="BT23" s="317"/>
      <c r="BU23" s="313"/>
      <c r="BV23" s="317"/>
      <c r="BW23" s="317"/>
      <c r="BX23" s="317"/>
      <c r="BY23" s="317"/>
      <c r="BZ23" s="317"/>
      <c r="CA23" s="317"/>
      <c r="CB23" s="313"/>
      <c r="CC23" s="317"/>
      <c r="CD23" s="317"/>
      <c r="CE23" s="317"/>
      <c r="CF23" s="317"/>
      <c r="CG23" s="317"/>
      <c r="CH23" s="317"/>
      <c r="CI23" s="313"/>
      <c r="CJ23" s="317"/>
      <c r="CK23" s="317"/>
      <c r="CL23" s="317"/>
      <c r="CM23" s="317"/>
      <c r="CN23" s="317"/>
      <c r="CO23" s="317"/>
      <c r="CP23" s="313"/>
      <c r="CQ23" s="317"/>
      <c r="CR23" s="317"/>
      <c r="CS23" s="317"/>
      <c r="CT23" s="317"/>
      <c r="CU23" s="317"/>
      <c r="CV23" s="317"/>
      <c r="CW23" s="313"/>
      <c r="CX23" s="317"/>
      <c r="CY23" s="317"/>
      <c r="CZ23" s="317"/>
      <c r="DA23" s="317"/>
      <c r="DB23" s="317"/>
      <c r="DC23" s="317"/>
      <c r="DD23" s="313"/>
      <c r="DE23" s="317"/>
      <c r="DF23" s="317"/>
      <c r="DG23" s="317"/>
      <c r="DH23" s="317"/>
      <c r="DI23" s="317"/>
      <c r="DJ23" s="317"/>
      <c r="DK23" s="313"/>
      <c r="DL23" s="317"/>
      <c r="DM23" s="317"/>
      <c r="DN23" s="317"/>
      <c r="DO23" s="317"/>
      <c r="DP23" s="317"/>
      <c r="DQ23" s="317"/>
      <c r="DR23" s="313"/>
      <c r="DS23" s="317"/>
      <c r="DT23" s="317"/>
      <c r="DU23" s="317"/>
      <c r="DV23" s="317"/>
      <c r="DW23" s="317"/>
      <c r="DX23" s="317"/>
      <c r="DY23" s="313"/>
      <c r="DZ23" s="317"/>
      <c r="EA23" s="317"/>
      <c r="EB23" s="317"/>
      <c r="EC23" s="317"/>
      <c r="ED23" s="317"/>
      <c r="EE23" s="317"/>
      <c r="EF23" s="313"/>
      <c r="EG23" s="317"/>
      <c r="EH23" s="317"/>
      <c r="EI23" s="317"/>
      <c r="EJ23" s="317"/>
      <c r="EK23" s="317"/>
      <c r="EL23" s="317"/>
      <c r="EM23" s="313"/>
      <c r="EN23" s="317"/>
      <c r="EO23" s="317"/>
      <c r="EP23" s="317"/>
      <c r="EQ23" s="317"/>
      <c r="ER23" s="317"/>
      <c r="ES23" s="317"/>
      <c r="ET23" s="313"/>
      <c r="EU23" s="317"/>
      <c r="EV23" s="317"/>
      <c r="EW23" s="317"/>
      <c r="EX23" s="317"/>
      <c r="EY23" s="317"/>
      <c r="EZ23" s="317"/>
      <c r="FA23" s="313"/>
      <c r="FB23" s="317"/>
      <c r="FC23" s="317"/>
      <c r="FD23" s="317"/>
      <c r="FE23" s="317"/>
      <c r="FF23" s="317"/>
      <c r="FG23" s="317"/>
      <c r="FH23" s="313"/>
      <c r="FI23" s="317"/>
      <c r="FJ23" s="317"/>
      <c r="FK23" s="317"/>
      <c r="FL23" s="317"/>
      <c r="FM23" s="317"/>
      <c r="FN23" s="317"/>
      <c r="FO23" s="313"/>
      <c r="FP23" s="317"/>
      <c r="FQ23" s="317"/>
      <c r="FR23" s="317"/>
      <c r="FS23" s="317"/>
      <c r="FT23" s="317"/>
      <c r="FU23" s="317"/>
      <c r="FV23" s="313"/>
      <c r="FW23" s="317"/>
      <c r="FX23" s="317"/>
      <c r="FY23" s="317"/>
      <c r="FZ23" s="317"/>
      <c r="GA23" s="317"/>
      <c r="GB23" s="317"/>
      <c r="GC23" s="313"/>
      <c r="GD23" s="317"/>
      <c r="GE23" s="317"/>
      <c r="GF23" s="317"/>
      <c r="GG23" s="317"/>
      <c r="GH23" s="317"/>
      <c r="GI23" s="317"/>
      <c r="GJ23" s="313"/>
      <c r="GK23" s="317"/>
      <c r="GL23" s="317"/>
      <c r="GM23" s="317"/>
      <c r="GN23" s="317"/>
      <c r="GO23" s="317"/>
      <c r="GP23" s="317"/>
      <c r="GQ23" s="313"/>
      <c r="GR23" s="317"/>
      <c r="GS23" s="317"/>
      <c r="GT23" s="317"/>
      <c r="GU23" s="317"/>
      <c r="GV23" s="317"/>
      <c r="GW23" s="317"/>
      <c r="GX23" s="313"/>
      <c r="GY23" s="317"/>
      <c r="GZ23" s="317"/>
      <c r="HA23" s="317"/>
      <c r="HB23" s="317"/>
      <c r="HC23" s="317"/>
      <c r="HD23" s="317"/>
      <c r="HE23" s="313"/>
      <c r="HF23" s="317"/>
      <c r="HG23" s="317"/>
      <c r="HH23" s="317"/>
      <c r="HI23" s="317"/>
      <c r="HJ23" s="317"/>
      <c r="HK23" s="317"/>
      <c r="HL23" s="313"/>
      <c r="HM23" s="317"/>
      <c r="HN23" s="317"/>
      <c r="HO23" s="317"/>
      <c r="HP23" s="317"/>
      <c r="HQ23" s="317"/>
      <c r="HR23" s="317"/>
      <c r="HS23" s="313"/>
      <c r="HT23" s="317"/>
      <c r="HU23" s="317"/>
      <c r="HV23" s="317"/>
      <c r="HW23" s="317"/>
      <c r="HX23" s="317"/>
      <c r="HY23" s="317"/>
      <c r="HZ23" s="313"/>
      <c r="IA23" s="317"/>
      <c r="IB23" s="317"/>
      <c r="IC23" s="317"/>
      <c r="ID23" s="317"/>
      <c r="IE23" s="317"/>
      <c r="IF23" s="317"/>
      <c r="IG23" s="313"/>
      <c r="IH23" s="317"/>
      <c r="II23" s="317"/>
      <c r="IJ23" s="317"/>
      <c r="IK23" s="317"/>
      <c r="IL23" s="317"/>
      <c r="IM23" s="317"/>
      <c r="IN23" s="313"/>
      <c r="IO23" s="317"/>
      <c r="IP23" s="317"/>
      <c r="IQ23" s="317"/>
      <c r="IR23" s="317"/>
      <c r="IS23" s="317"/>
      <c r="IT23" s="317"/>
      <c r="IU23" s="313"/>
      <c r="IV23" s="317"/>
      <c r="IW23" s="317"/>
      <c r="IX23" s="317"/>
      <c r="IY23" s="317"/>
      <c r="IZ23" s="317"/>
      <c r="JA23" s="317"/>
      <c r="JB23" s="313"/>
      <c r="JC23" s="317"/>
      <c r="JD23" s="317"/>
      <c r="JE23" s="317"/>
      <c r="JF23" s="317"/>
      <c r="JG23" s="317"/>
      <c r="JH23" s="317"/>
      <c r="JI23" s="313"/>
      <c r="JJ23" s="317"/>
      <c r="JK23" s="317"/>
      <c r="JL23" s="317"/>
      <c r="JM23" s="317"/>
      <c r="JN23" s="317"/>
      <c r="JO23" s="317"/>
      <c r="JP23" s="313"/>
      <c r="JQ23" s="317"/>
      <c r="JR23" s="317"/>
      <c r="JS23" s="317"/>
      <c r="JT23" s="317"/>
      <c r="JU23" s="317"/>
      <c r="JV23" s="317"/>
      <c r="JW23" s="313"/>
      <c r="JX23" s="317"/>
      <c r="JY23" s="317"/>
      <c r="JZ23" s="317"/>
      <c r="KA23" s="317"/>
      <c r="KB23" s="317"/>
      <c r="KC23" s="317"/>
      <c r="KD23" s="313"/>
      <c r="KE23" s="317"/>
      <c r="KF23" s="317"/>
      <c r="KG23" s="317"/>
      <c r="KH23" s="317"/>
      <c r="KI23" s="317"/>
      <c r="KJ23" s="317"/>
      <c r="KK23" s="313"/>
      <c r="KL23" s="317"/>
      <c r="KM23" s="317"/>
      <c r="KN23" s="317"/>
      <c r="KO23" s="317"/>
      <c r="KP23" s="317"/>
      <c r="KQ23" s="317"/>
      <c r="KR23" s="313"/>
      <c r="KS23" s="317"/>
      <c r="KT23" s="317"/>
      <c r="KU23" s="317"/>
      <c r="KV23" s="317"/>
      <c r="KW23" s="317"/>
      <c r="KX23" s="317"/>
      <c r="KY23" s="313"/>
      <c r="KZ23" s="317"/>
      <c r="LA23" s="317"/>
      <c r="LB23" s="317"/>
      <c r="LC23" s="317"/>
      <c r="LD23" s="317"/>
      <c r="LE23" s="317"/>
      <c r="LF23" s="313"/>
      <c r="LG23" s="317"/>
      <c r="LH23" s="317"/>
      <c r="LI23" s="317"/>
      <c r="LJ23" s="317"/>
      <c r="LK23" s="317"/>
      <c r="LL23" s="317"/>
      <c r="LM23" s="313"/>
      <c r="LN23" s="317"/>
      <c r="LO23" s="317"/>
      <c r="LP23" s="317"/>
      <c r="LQ23" s="317"/>
      <c r="LR23" s="317"/>
      <c r="LS23" s="317"/>
      <c r="LT23" s="313"/>
      <c r="LU23" s="317"/>
      <c r="LV23" s="317"/>
      <c r="LW23" s="317"/>
      <c r="LX23" s="317"/>
      <c r="LY23" s="317"/>
      <c r="LZ23" s="317"/>
      <c r="MA23" s="313"/>
      <c r="MB23" s="317"/>
      <c r="MC23" s="317"/>
      <c r="MD23" s="317"/>
      <c r="ME23" s="317"/>
      <c r="MF23" s="317"/>
      <c r="MG23" s="317"/>
      <c r="MH23" s="313"/>
      <c r="MI23" s="317"/>
      <c r="MJ23" s="317"/>
      <c r="MK23" s="317"/>
      <c r="ML23" s="317"/>
      <c r="MM23" s="317"/>
      <c r="MN23" s="317"/>
      <c r="MO23" s="313"/>
      <c r="MP23" s="317"/>
      <c r="MQ23" s="317"/>
      <c r="MR23" s="317"/>
      <c r="MS23" s="317"/>
      <c r="MT23" s="317"/>
      <c r="MU23" s="317"/>
      <c r="MV23" s="313"/>
      <c r="MW23" s="317"/>
      <c r="MX23" s="317"/>
      <c r="MY23" s="317"/>
      <c r="MZ23" s="317"/>
      <c r="NA23" s="317"/>
      <c r="NB23" s="317"/>
      <c r="NC23" s="313"/>
      <c r="ND23" s="305"/>
      <c r="NE23" s="333">
        <f t="shared" si="0"/>
        <v>0</v>
      </c>
      <c r="NF23" s="303"/>
      <c r="NG23" s="303"/>
      <c r="NH23" s="303"/>
      <c r="NI23" s="303"/>
      <c r="NJ23" s="303"/>
      <c r="NK23" s="303"/>
      <c r="NL23" s="303"/>
      <c r="NM23" s="303"/>
      <c r="NN23" s="303"/>
      <c r="NO23" s="303"/>
      <c r="NP23" s="303"/>
      <c r="NQ23" s="303"/>
      <c r="NR23" s="303"/>
      <c r="NS23" s="303"/>
      <c r="NT23" s="303"/>
      <c r="NU23" s="303"/>
      <c r="NV23" s="303"/>
      <c r="NW23" s="303"/>
      <c r="NX23" s="303"/>
      <c r="NY23" s="303"/>
      <c r="NZ23" s="303"/>
      <c r="OA23" s="303"/>
      <c r="OB23" s="303"/>
      <c r="OC23" s="303"/>
      <c r="OD23" s="303"/>
      <c r="OE23" s="303"/>
      <c r="OF23" s="303"/>
      <c r="OG23" s="303"/>
      <c r="OH23" s="303"/>
      <c r="OI23" s="303"/>
      <c r="OJ23" s="303"/>
      <c r="OK23" s="303"/>
      <c r="OL23" s="303"/>
      <c r="OM23" s="303"/>
      <c r="ON23" s="303"/>
      <c r="OO23" s="303"/>
      <c r="OP23" s="303"/>
      <c r="OQ23" s="303"/>
      <c r="OR23" s="303"/>
      <c r="OS23" s="303"/>
      <c r="OT23" s="303"/>
      <c r="OU23" s="303"/>
      <c r="OV23" s="303"/>
      <c r="OW23" s="303"/>
      <c r="OX23" s="303"/>
      <c r="OY23" s="303"/>
      <c r="OZ23" s="303"/>
      <c r="PA23" s="303"/>
      <c r="PB23" s="303"/>
      <c r="PC23" s="303"/>
      <c r="PD23" s="303"/>
      <c r="PE23" s="303"/>
      <c r="PF23" s="303"/>
      <c r="PG23" s="303"/>
      <c r="PH23" s="303"/>
      <c r="PI23" s="303"/>
      <c r="PJ23" s="303"/>
      <c r="PK23" s="303"/>
      <c r="PL23" s="303"/>
      <c r="PM23" s="303"/>
      <c r="PN23" s="303"/>
      <c r="PO23" s="303"/>
      <c r="PP23" s="303"/>
      <c r="PQ23" s="303"/>
      <c r="PR23" s="303"/>
      <c r="PS23" s="303"/>
      <c r="PT23" s="303"/>
      <c r="PU23" s="303"/>
      <c r="PV23" s="303"/>
      <c r="PW23" s="303"/>
      <c r="PX23" s="303"/>
      <c r="PY23" s="303"/>
      <c r="PZ23" s="303"/>
      <c r="QA23" s="303"/>
      <c r="QB23" s="303"/>
      <c r="QC23" s="303"/>
      <c r="QD23" s="303"/>
      <c r="QE23" s="303"/>
      <c r="QF23" s="303"/>
      <c r="QG23" s="303"/>
      <c r="QH23" s="303"/>
      <c r="QI23" s="303"/>
      <c r="QJ23" s="303"/>
      <c r="QK23" s="303"/>
      <c r="QL23" s="303"/>
      <c r="QM23" s="303"/>
      <c r="QN23" s="303"/>
      <c r="QO23" s="303"/>
      <c r="QP23" s="303"/>
      <c r="QQ23" s="303"/>
      <c r="QR23" s="303"/>
      <c r="QS23" s="303"/>
      <c r="QT23" s="303"/>
      <c r="QU23" s="303"/>
      <c r="QV23" s="303"/>
      <c r="QW23" s="303"/>
      <c r="QX23" s="303"/>
      <c r="QY23" s="303"/>
      <c r="QZ23" s="303"/>
      <c r="RA23" s="303"/>
      <c r="RB23" s="303"/>
      <c r="RC23" s="303"/>
      <c r="RD23" s="303"/>
      <c r="RE23" s="303"/>
      <c r="RF23" s="303"/>
      <c r="RG23" s="303"/>
      <c r="RH23" s="303"/>
      <c r="RI23" s="303"/>
      <c r="RJ23" s="303"/>
      <c r="RK23" s="303"/>
      <c r="RL23" s="303"/>
      <c r="RM23" s="303"/>
      <c r="RN23" s="303"/>
      <c r="RO23" s="303"/>
      <c r="RP23" s="303"/>
      <c r="RQ23" s="303"/>
      <c r="RR23" s="303"/>
      <c r="RS23" s="303"/>
      <c r="RT23" s="303"/>
      <c r="RU23" s="303"/>
      <c r="RV23" s="303"/>
      <c r="RW23" s="303"/>
      <c r="RX23" s="303"/>
      <c r="RY23" s="303"/>
      <c r="RZ23" s="303"/>
      <c r="SA23" s="303"/>
      <c r="SB23" s="303"/>
      <c r="SC23" s="303"/>
      <c r="SD23" s="303"/>
      <c r="SE23" s="303"/>
      <c r="SF23" s="303"/>
      <c r="SG23" s="303"/>
      <c r="SH23" s="303"/>
      <c r="SI23" s="303"/>
      <c r="SJ23" s="303"/>
      <c r="SK23" s="303"/>
      <c r="SL23" s="303"/>
      <c r="SM23" s="303"/>
      <c r="SN23" s="303"/>
      <c r="SO23" s="303"/>
      <c r="SP23" s="303"/>
      <c r="SQ23" s="303"/>
      <c r="SR23" s="303"/>
      <c r="SS23" s="303"/>
      <c r="ST23" s="303"/>
      <c r="SU23" s="303"/>
      <c r="SV23" s="303"/>
      <c r="SW23" s="303"/>
      <c r="SX23" s="303"/>
      <c r="SY23" s="303"/>
      <c r="SZ23" s="303"/>
      <c r="TA23" s="303"/>
      <c r="TB23" s="303"/>
      <c r="TC23" s="303"/>
      <c r="TD23" s="303"/>
      <c r="TE23" s="303"/>
      <c r="TF23" s="303"/>
      <c r="TG23" s="303"/>
      <c r="TH23" s="303"/>
      <c r="TI23" s="303"/>
      <c r="TJ23" s="303"/>
      <c r="TK23" s="303"/>
      <c r="TL23" s="303"/>
      <c r="TM23" s="303"/>
      <c r="TN23" s="303"/>
      <c r="TO23" s="303"/>
      <c r="TP23" s="303"/>
      <c r="TQ23" s="303"/>
      <c r="TR23" s="303"/>
      <c r="TS23" s="303"/>
      <c r="TT23" s="303"/>
      <c r="TU23" s="303"/>
      <c r="TV23" s="303"/>
      <c r="TW23" s="303"/>
      <c r="TX23" s="303"/>
      <c r="TY23" s="303"/>
      <c r="TZ23" s="303"/>
      <c r="UA23" s="303"/>
      <c r="UB23" s="303"/>
      <c r="UC23" s="303"/>
      <c r="UD23" s="303"/>
      <c r="UE23" s="303"/>
      <c r="UF23" s="303"/>
      <c r="UG23" s="303"/>
      <c r="UH23" s="303"/>
      <c r="UI23" s="303"/>
      <c r="UJ23" s="303"/>
      <c r="UK23" s="303"/>
      <c r="UL23" s="303"/>
      <c r="UM23" s="303"/>
      <c r="UN23" s="303"/>
      <c r="UO23" s="303"/>
      <c r="UP23" s="303"/>
      <c r="UQ23" s="303"/>
      <c r="UR23" s="303"/>
      <c r="US23" s="303"/>
      <c r="UT23" s="303"/>
      <c r="UU23" s="303"/>
      <c r="UV23" s="303"/>
      <c r="UW23" s="303"/>
      <c r="UX23" s="303"/>
      <c r="UY23" s="303"/>
      <c r="UZ23" s="303"/>
      <c r="VA23" s="303"/>
      <c r="VB23" s="303"/>
      <c r="VC23" s="303"/>
      <c r="VD23" s="303"/>
      <c r="VE23" s="303"/>
      <c r="VF23" s="303"/>
      <c r="VG23" s="303"/>
      <c r="VH23" s="303"/>
      <c r="VI23" s="303"/>
      <c r="VJ23" s="303"/>
      <c r="VK23" s="303"/>
      <c r="VL23" s="303"/>
      <c r="VM23" s="303"/>
      <c r="VN23" s="303"/>
      <c r="VO23" s="303"/>
      <c r="VP23" s="303"/>
      <c r="VQ23" s="303"/>
      <c r="VR23" s="303"/>
      <c r="VS23" s="303"/>
      <c r="VT23" s="303"/>
      <c r="VU23" s="303"/>
      <c r="VV23" s="303"/>
      <c r="VW23" s="303"/>
      <c r="VX23" s="303"/>
      <c r="VY23" s="303"/>
      <c r="VZ23" s="303"/>
      <c r="WA23" s="303"/>
      <c r="WB23" s="303"/>
      <c r="WC23" s="303"/>
      <c r="WD23" s="303"/>
      <c r="WE23" s="303"/>
      <c r="WF23" s="303"/>
      <c r="WG23" s="303"/>
      <c r="WH23" s="303"/>
      <c r="WI23" s="303"/>
      <c r="WJ23" s="303"/>
      <c r="WK23" s="303"/>
      <c r="WL23" s="303"/>
      <c r="WM23" s="303"/>
      <c r="WN23" s="303"/>
      <c r="WO23" s="303"/>
      <c r="WP23" s="303"/>
      <c r="WQ23" s="303"/>
      <c r="WR23" s="303"/>
      <c r="WS23" s="303"/>
      <c r="WT23" s="303"/>
      <c r="WU23" s="303"/>
      <c r="WV23" s="303"/>
      <c r="WW23" s="303"/>
      <c r="WX23" s="303"/>
      <c r="WY23" s="303"/>
      <c r="WZ23" s="303"/>
      <c r="XA23" s="303"/>
      <c r="XB23" s="303"/>
      <c r="XC23" s="303"/>
      <c r="XD23" s="303"/>
      <c r="XE23" s="303"/>
      <c r="XF23" s="303"/>
      <c r="XG23" s="303"/>
      <c r="XH23" s="303"/>
      <c r="XI23" s="303"/>
      <c r="XJ23" s="303"/>
      <c r="XK23" s="303"/>
      <c r="XL23" s="303"/>
      <c r="XM23" s="303"/>
      <c r="XN23" s="303"/>
      <c r="XO23" s="303"/>
      <c r="XP23" s="303"/>
      <c r="XQ23" s="303"/>
      <c r="XR23" s="303"/>
      <c r="XS23" s="303"/>
      <c r="XT23" s="303"/>
      <c r="XU23" s="303"/>
      <c r="XV23" s="303"/>
      <c r="XW23" s="303"/>
      <c r="XX23" s="303"/>
      <c r="XY23" s="303"/>
      <c r="XZ23" s="303"/>
      <c r="YA23" s="303"/>
      <c r="YB23" s="303"/>
      <c r="YC23" s="303"/>
      <c r="YD23" s="303"/>
      <c r="YE23" s="303"/>
      <c r="YF23" s="303"/>
      <c r="YG23" s="303"/>
      <c r="YH23" s="303"/>
      <c r="YI23" s="303"/>
      <c r="YJ23" s="303"/>
      <c r="YK23" s="303"/>
      <c r="YL23" s="303"/>
      <c r="YM23" s="303"/>
      <c r="YN23" s="303"/>
      <c r="YO23" s="303"/>
      <c r="YP23" s="303"/>
      <c r="YQ23" s="303"/>
      <c r="YR23" s="303"/>
      <c r="YS23" s="303"/>
      <c r="YT23" s="303"/>
      <c r="YU23" s="303"/>
      <c r="YV23" s="303"/>
      <c r="YW23" s="303"/>
      <c r="YX23" s="303"/>
      <c r="YY23" s="303"/>
      <c r="YZ23" s="303"/>
      <c r="ZA23" s="303"/>
      <c r="ZB23" s="303"/>
      <c r="ZC23" s="303"/>
      <c r="ZD23" s="303"/>
      <c r="ZE23" s="303"/>
      <c r="ZF23" s="303"/>
      <c r="ZG23" s="303"/>
      <c r="ZH23" s="303"/>
      <c r="ZI23" s="303"/>
      <c r="ZJ23" s="303"/>
      <c r="ZK23" s="303"/>
      <c r="ZL23" s="303"/>
      <c r="ZM23" s="303"/>
      <c r="ZN23" s="303"/>
      <c r="ZO23" s="303"/>
      <c r="ZP23" s="303"/>
      <c r="ZQ23" s="303"/>
      <c r="ZR23" s="303"/>
      <c r="ZS23" s="303"/>
      <c r="ZT23" s="303"/>
      <c r="ZU23" s="303"/>
      <c r="ZV23" s="303"/>
      <c r="ZW23" s="303"/>
      <c r="ZX23" s="303"/>
      <c r="ZY23" s="303"/>
      <c r="ZZ23" s="303"/>
      <c r="AAA23" s="303"/>
      <c r="AAB23" s="303"/>
      <c r="AAC23" s="303"/>
      <c r="AAD23" s="303"/>
      <c r="AAE23" s="303"/>
      <c r="AAF23" s="303"/>
      <c r="AAG23" s="303"/>
      <c r="AAH23" s="303"/>
      <c r="AAI23" s="303"/>
      <c r="AAJ23" s="303"/>
      <c r="AAK23" s="303"/>
      <c r="AAL23" s="303"/>
      <c r="AAM23" s="303"/>
      <c r="AAN23" s="303"/>
      <c r="AAO23" s="303"/>
      <c r="AAP23" s="303"/>
      <c r="AAQ23" s="303"/>
      <c r="AAR23" s="303"/>
      <c r="AAS23" s="303"/>
      <c r="AAT23" s="303"/>
      <c r="AAU23" s="303"/>
      <c r="AAV23" s="303"/>
      <c r="AAW23" s="303"/>
      <c r="AAX23" s="303"/>
      <c r="AAY23" s="303"/>
      <c r="AAZ23" s="303"/>
      <c r="ABA23" s="303"/>
      <c r="ABB23" s="303"/>
      <c r="ABC23" s="303"/>
      <c r="ABD23" s="303"/>
      <c r="ABE23" s="303"/>
      <c r="ABF23" s="303"/>
      <c r="ABG23" s="303"/>
      <c r="ABH23" s="303"/>
      <c r="ABI23" s="303"/>
      <c r="ABJ23" s="303"/>
      <c r="ABK23" s="303"/>
      <c r="ABL23" s="303"/>
      <c r="ABM23" s="303"/>
      <c r="ABN23" s="303"/>
      <c r="ABO23" s="303"/>
      <c r="ABP23" s="303"/>
      <c r="ABQ23" s="303"/>
      <c r="ABR23" s="303"/>
      <c r="ABS23" s="303"/>
      <c r="ABT23" s="303"/>
      <c r="ABU23" s="303"/>
      <c r="ABV23" s="303"/>
      <c r="ABW23" s="303"/>
      <c r="ABX23" s="303"/>
      <c r="ABY23" s="303"/>
      <c r="ABZ23" s="303"/>
      <c r="ACA23" s="303"/>
      <c r="ACB23" s="303"/>
      <c r="ACC23" s="303"/>
      <c r="ACD23" s="303"/>
      <c r="ACE23" s="303"/>
      <c r="ACF23" s="303"/>
      <c r="ACG23" s="303"/>
      <c r="ACH23" s="303"/>
      <c r="ACI23" s="303"/>
      <c r="ACJ23" s="303"/>
      <c r="ACK23" s="303"/>
      <c r="ACL23" s="303"/>
      <c r="ACM23" s="303"/>
      <c r="ACN23" s="303"/>
      <c r="ACO23" s="303"/>
      <c r="ACP23" s="303"/>
      <c r="ACQ23" s="303"/>
      <c r="ACR23" s="303"/>
      <c r="ACS23" s="303"/>
      <c r="ACT23" s="303"/>
      <c r="ACU23" s="303"/>
      <c r="ACV23" s="303"/>
      <c r="ACW23" s="303"/>
      <c r="ACX23" s="303"/>
      <c r="ACY23" s="303"/>
      <c r="ACZ23" s="303"/>
      <c r="ADA23" s="303"/>
      <c r="ADB23" s="303"/>
      <c r="ADC23" s="303"/>
      <c r="ADD23" s="303"/>
      <c r="ADE23" s="303"/>
      <c r="ADF23" s="303"/>
      <c r="ADG23" s="303"/>
      <c r="ADH23" s="303"/>
      <c r="ADI23" s="303"/>
      <c r="ADJ23" s="303"/>
      <c r="ADK23" s="303"/>
      <c r="ADL23" s="303"/>
      <c r="ADM23" s="303"/>
      <c r="ADN23" s="303"/>
      <c r="ADO23" s="303"/>
      <c r="ADP23" s="303"/>
      <c r="ADQ23" s="303"/>
      <c r="ADR23" s="303"/>
      <c r="ADS23" s="303"/>
      <c r="ADT23" s="303"/>
      <c r="ADU23" s="303"/>
      <c r="ADV23" s="303"/>
      <c r="ADW23" s="303"/>
      <c r="ADX23" s="303"/>
      <c r="ADY23" s="303"/>
      <c r="ADZ23" s="303"/>
      <c r="AEA23" s="303"/>
      <c r="AEB23" s="303"/>
      <c r="AEC23" s="303"/>
      <c r="AED23" s="303"/>
      <c r="AEE23" s="303"/>
      <c r="AEF23" s="303"/>
      <c r="AEG23" s="303"/>
      <c r="AEH23" s="303"/>
      <c r="AEI23" s="303"/>
      <c r="AEJ23" s="303"/>
      <c r="AEK23" s="303"/>
      <c r="AEL23" s="303"/>
      <c r="AEM23" s="303"/>
      <c r="AEN23" s="303"/>
      <c r="AEO23" s="303"/>
      <c r="AEP23" s="303"/>
      <c r="AEQ23" s="303"/>
      <c r="AER23" s="303"/>
      <c r="AES23" s="303"/>
      <c r="AET23" s="303"/>
      <c r="AEU23" s="303"/>
      <c r="AEV23" s="303"/>
      <c r="AEW23" s="303"/>
      <c r="AEX23" s="303"/>
      <c r="AEY23" s="303"/>
      <c r="AEZ23" s="303"/>
      <c r="AFA23" s="303"/>
      <c r="AFB23" s="303"/>
      <c r="AFC23" s="303"/>
      <c r="AFD23" s="303"/>
      <c r="AFE23" s="303"/>
      <c r="AFF23" s="303"/>
      <c r="AFG23" s="303"/>
      <c r="AFH23" s="303"/>
      <c r="AFI23" s="303"/>
      <c r="AFJ23" s="303"/>
      <c r="AFK23" s="303"/>
      <c r="AFL23" s="303"/>
      <c r="AFM23" s="303"/>
      <c r="AFN23" s="303"/>
      <c r="AFO23" s="303"/>
      <c r="AFP23" s="303"/>
      <c r="AFQ23" s="303"/>
      <c r="AFR23" s="303"/>
      <c r="AFS23" s="303"/>
      <c r="AFT23" s="303"/>
      <c r="AFU23" s="303"/>
      <c r="AFV23" s="303"/>
      <c r="AFW23" s="303"/>
      <c r="AFX23" s="303"/>
      <c r="AFY23" s="303"/>
      <c r="AFZ23" s="303"/>
      <c r="AGA23" s="303"/>
      <c r="AGB23" s="303"/>
      <c r="AGC23" s="303"/>
      <c r="AGD23" s="303"/>
      <c r="AGE23" s="303"/>
      <c r="AGF23" s="303"/>
      <c r="AGG23" s="303"/>
      <c r="AGH23" s="303"/>
      <c r="AGI23" s="303"/>
      <c r="AGJ23" s="303"/>
      <c r="AGK23" s="303"/>
      <c r="AGL23" s="303"/>
      <c r="AGM23" s="303"/>
      <c r="AGN23" s="303"/>
      <c r="AGO23" s="303"/>
      <c r="AGP23" s="303"/>
      <c r="AGQ23" s="303"/>
      <c r="AGR23" s="303"/>
      <c r="AGS23" s="303"/>
      <c r="AGT23" s="303"/>
      <c r="AGU23" s="303"/>
      <c r="AGV23" s="303"/>
      <c r="AGW23" s="303"/>
      <c r="AGX23" s="303"/>
      <c r="AGY23" s="303"/>
      <c r="AGZ23" s="303"/>
      <c r="AHA23" s="303"/>
      <c r="AHB23" s="303"/>
      <c r="AHC23" s="303"/>
      <c r="AHD23" s="303"/>
      <c r="AHE23" s="303"/>
      <c r="AHF23" s="303"/>
      <c r="AHG23" s="303"/>
      <c r="AHH23" s="303"/>
      <c r="AHI23" s="303"/>
      <c r="AHJ23" s="303"/>
      <c r="AHK23" s="303"/>
      <c r="AHL23" s="303"/>
      <c r="AHM23" s="303"/>
      <c r="AHN23" s="303"/>
      <c r="AHO23" s="303"/>
      <c r="AHP23" s="303"/>
      <c r="AHQ23" s="303"/>
      <c r="AHR23" s="303"/>
      <c r="AHS23" s="303"/>
      <c r="AHT23" s="303"/>
      <c r="AHU23" s="303"/>
      <c r="AHV23" s="303"/>
      <c r="AHW23" s="303"/>
      <c r="AHX23" s="303"/>
      <c r="AHY23" s="303"/>
      <c r="AHZ23" s="303"/>
      <c r="AIA23" s="303"/>
      <c r="AIB23" s="303"/>
      <c r="AIC23" s="303"/>
      <c r="AID23" s="303"/>
      <c r="AIE23" s="303"/>
      <c r="AIF23" s="303"/>
      <c r="AIG23" s="303"/>
      <c r="AIH23" s="303"/>
      <c r="AII23" s="303"/>
      <c r="AIJ23" s="303"/>
      <c r="AIK23" s="303"/>
      <c r="AIL23" s="303"/>
      <c r="AIM23" s="303"/>
      <c r="AIN23" s="303"/>
      <c r="AIO23" s="303"/>
      <c r="AIP23" s="303"/>
      <c r="AIQ23" s="303"/>
      <c r="AIR23" s="303"/>
      <c r="AIS23" s="303"/>
      <c r="AIT23" s="303"/>
      <c r="AIU23" s="303"/>
      <c r="AIV23" s="303"/>
      <c r="AIW23" s="303"/>
      <c r="AIX23" s="303"/>
      <c r="AIY23" s="303"/>
      <c r="AIZ23" s="303"/>
      <c r="AJA23" s="303"/>
      <c r="AJB23" s="303"/>
      <c r="AJC23" s="303"/>
      <c r="AJD23" s="303"/>
      <c r="AJE23" s="303"/>
      <c r="AJF23" s="303"/>
      <c r="AJG23" s="303"/>
      <c r="AJH23" s="303"/>
      <c r="AJI23" s="303"/>
      <c r="AJJ23" s="303"/>
      <c r="AJK23" s="303"/>
      <c r="AJL23" s="303"/>
      <c r="AJM23" s="303"/>
      <c r="AJN23" s="303"/>
      <c r="AJO23" s="303"/>
      <c r="AJP23" s="303"/>
      <c r="AJQ23" s="303"/>
      <c r="AJR23" s="303"/>
      <c r="AJS23" s="303"/>
      <c r="AJT23" s="303"/>
      <c r="AJU23" s="303"/>
      <c r="AJV23" s="303"/>
      <c r="AJW23" s="303"/>
      <c r="AJX23" s="303"/>
      <c r="AJY23" s="303"/>
      <c r="AJZ23" s="303"/>
      <c r="AKA23" s="303"/>
      <c r="AKB23" s="303"/>
      <c r="AKC23" s="303"/>
      <c r="AKD23" s="303"/>
      <c r="AKE23" s="303"/>
      <c r="AKF23" s="303"/>
      <c r="AKG23" s="303"/>
      <c r="AKH23" s="303"/>
      <c r="AKI23" s="303"/>
      <c r="AKJ23" s="303"/>
      <c r="AKK23" s="303"/>
      <c r="AKL23" s="303"/>
      <c r="AKM23" s="303"/>
      <c r="AKN23" s="303"/>
      <c r="AKO23" s="303"/>
      <c r="AKP23" s="303"/>
      <c r="AKQ23" s="303"/>
      <c r="AKR23" s="303"/>
      <c r="AKS23" s="303"/>
      <c r="AKT23" s="303"/>
      <c r="AKU23" s="303"/>
      <c r="AKV23" s="303"/>
      <c r="AKW23" s="303"/>
      <c r="AKX23" s="303"/>
      <c r="AKY23" s="303"/>
      <c r="AKZ23" s="303"/>
      <c r="ALA23" s="303"/>
      <c r="ALB23" s="303"/>
      <c r="ALC23" s="303"/>
      <c r="ALD23" s="303"/>
      <c r="ALE23" s="303"/>
      <c r="ALF23" s="303"/>
      <c r="ALG23" s="303"/>
      <c r="ALH23" s="303"/>
      <c r="ALI23" s="303"/>
      <c r="ALJ23" s="303"/>
      <c r="ALK23" s="303"/>
      <c r="ALL23" s="303"/>
      <c r="ALM23" s="303"/>
      <c r="ALN23" s="303"/>
      <c r="ALO23" s="303"/>
      <c r="ALP23" s="303"/>
      <c r="ALQ23" s="303"/>
      <c r="ALR23" s="303"/>
      <c r="ALS23" s="303"/>
      <c r="ALT23" s="303"/>
      <c r="ALU23" s="303"/>
      <c r="ALV23" s="303"/>
      <c r="ALW23" s="303"/>
      <c r="ALX23" s="303"/>
      <c r="ALY23" s="303"/>
      <c r="ALZ23" s="303"/>
      <c r="AMA23" s="303"/>
      <c r="AMB23" s="303"/>
      <c r="AMC23" s="303"/>
    </row>
    <row r="24" spans="1:1017" s="75" customFormat="1" ht="18">
      <c r="C24" s="131">
        <v>0.95833333333333803</v>
      </c>
      <c r="D24" s="318"/>
      <c r="E24" s="318"/>
      <c r="F24" s="318"/>
      <c r="G24" s="318"/>
      <c r="H24" s="318"/>
      <c r="I24" s="318"/>
      <c r="J24" s="315"/>
      <c r="K24" s="318"/>
      <c r="L24" s="318"/>
      <c r="M24" s="318"/>
      <c r="N24" s="318"/>
      <c r="O24" s="318"/>
      <c r="P24" s="318"/>
      <c r="Q24" s="315"/>
      <c r="R24" s="318"/>
      <c r="S24" s="318"/>
      <c r="T24" s="318"/>
      <c r="U24" s="318"/>
      <c r="V24" s="318"/>
      <c r="W24" s="318"/>
      <c r="X24" s="315"/>
      <c r="Y24" s="318"/>
      <c r="Z24" s="318"/>
      <c r="AA24" s="318"/>
      <c r="AB24" s="318"/>
      <c r="AC24" s="318"/>
      <c r="AD24" s="318"/>
      <c r="AE24" s="315"/>
      <c r="AF24" s="318"/>
      <c r="AG24" s="318"/>
      <c r="AH24" s="318"/>
      <c r="AI24" s="318"/>
      <c r="AJ24" s="318"/>
      <c r="AK24" s="318"/>
      <c r="AL24" s="315"/>
      <c r="AM24" s="318"/>
      <c r="AN24" s="318"/>
      <c r="AO24" s="318"/>
      <c r="AP24" s="318"/>
      <c r="AQ24" s="318"/>
      <c r="AR24" s="318"/>
      <c r="AS24" s="315"/>
      <c r="AT24" s="318"/>
      <c r="AU24" s="318"/>
      <c r="AV24" s="318"/>
      <c r="AW24" s="318"/>
      <c r="AX24" s="318"/>
      <c r="AY24" s="318"/>
      <c r="AZ24" s="315"/>
      <c r="BA24" s="318"/>
      <c r="BB24" s="318"/>
      <c r="BC24" s="318"/>
      <c r="BD24" s="318"/>
      <c r="BE24" s="318"/>
      <c r="BF24" s="318"/>
      <c r="BG24" s="315"/>
      <c r="BH24" s="318"/>
      <c r="BI24" s="318"/>
      <c r="BJ24" s="318"/>
      <c r="BK24" s="318"/>
      <c r="BL24" s="318"/>
      <c r="BM24" s="318"/>
      <c r="BN24" s="315"/>
      <c r="BO24" s="318"/>
      <c r="BP24" s="318"/>
      <c r="BQ24" s="318"/>
      <c r="BR24" s="318"/>
      <c r="BS24" s="318"/>
      <c r="BT24" s="318"/>
      <c r="BU24" s="315"/>
      <c r="BV24" s="318"/>
      <c r="BW24" s="318"/>
      <c r="BX24" s="318"/>
      <c r="BY24" s="318"/>
      <c r="BZ24" s="318"/>
      <c r="CA24" s="318"/>
      <c r="CB24" s="315"/>
      <c r="CC24" s="318"/>
      <c r="CD24" s="318"/>
      <c r="CE24" s="318"/>
      <c r="CF24" s="318"/>
      <c r="CG24" s="318"/>
      <c r="CH24" s="318"/>
      <c r="CI24" s="315"/>
      <c r="CJ24" s="318"/>
      <c r="CK24" s="318"/>
      <c r="CL24" s="318"/>
      <c r="CM24" s="318"/>
      <c r="CN24" s="318"/>
      <c r="CO24" s="318"/>
      <c r="CP24" s="315"/>
      <c r="CQ24" s="318"/>
      <c r="CR24" s="318"/>
      <c r="CS24" s="318"/>
      <c r="CT24" s="318"/>
      <c r="CU24" s="318"/>
      <c r="CV24" s="318"/>
      <c r="CW24" s="315"/>
      <c r="CX24" s="318"/>
      <c r="CY24" s="318"/>
      <c r="CZ24" s="318"/>
      <c r="DA24" s="318"/>
      <c r="DB24" s="318"/>
      <c r="DC24" s="318"/>
      <c r="DD24" s="315"/>
      <c r="DE24" s="318"/>
      <c r="DF24" s="318"/>
      <c r="DG24" s="318"/>
      <c r="DH24" s="318"/>
      <c r="DI24" s="318"/>
      <c r="DJ24" s="318"/>
      <c r="DK24" s="315"/>
      <c r="DL24" s="318"/>
      <c r="DM24" s="318"/>
      <c r="DN24" s="318"/>
      <c r="DO24" s="318"/>
      <c r="DP24" s="318"/>
      <c r="DQ24" s="318"/>
      <c r="DR24" s="315"/>
      <c r="DS24" s="318"/>
      <c r="DT24" s="318"/>
      <c r="DU24" s="318"/>
      <c r="DV24" s="318"/>
      <c r="DW24" s="318"/>
      <c r="DX24" s="318"/>
      <c r="DY24" s="315"/>
      <c r="DZ24" s="318"/>
      <c r="EA24" s="318"/>
      <c r="EB24" s="318"/>
      <c r="EC24" s="318"/>
      <c r="ED24" s="318"/>
      <c r="EE24" s="318"/>
      <c r="EF24" s="315"/>
      <c r="EG24" s="318"/>
      <c r="EH24" s="318"/>
      <c r="EI24" s="318"/>
      <c r="EJ24" s="318"/>
      <c r="EK24" s="318"/>
      <c r="EL24" s="318"/>
      <c r="EM24" s="315"/>
      <c r="EN24" s="318"/>
      <c r="EO24" s="318"/>
      <c r="EP24" s="318"/>
      <c r="EQ24" s="318"/>
      <c r="ER24" s="318"/>
      <c r="ES24" s="318"/>
      <c r="ET24" s="315"/>
      <c r="EU24" s="318"/>
      <c r="EV24" s="318"/>
      <c r="EW24" s="318"/>
      <c r="EX24" s="318"/>
      <c r="EY24" s="318"/>
      <c r="EZ24" s="318"/>
      <c r="FA24" s="315"/>
      <c r="FB24" s="318"/>
      <c r="FC24" s="318"/>
      <c r="FD24" s="318"/>
      <c r="FE24" s="318"/>
      <c r="FF24" s="318"/>
      <c r="FG24" s="318"/>
      <c r="FH24" s="315"/>
      <c r="FI24" s="318"/>
      <c r="FJ24" s="318"/>
      <c r="FK24" s="318"/>
      <c r="FL24" s="318"/>
      <c r="FM24" s="318"/>
      <c r="FN24" s="318"/>
      <c r="FO24" s="315"/>
      <c r="FP24" s="318"/>
      <c r="FQ24" s="318"/>
      <c r="FR24" s="318"/>
      <c r="FS24" s="318"/>
      <c r="FT24" s="318"/>
      <c r="FU24" s="318"/>
      <c r="FV24" s="315"/>
      <c r="FW24" s="318"/>
      <c r="FX24" s="318"/>
      <c r="FY24" s="318"/>
      <c r="FZ24" s="318"/>
      <c r="GA24" s="318"/>
      <c r="GB24" s="318"/>
      <c r="GC24" s="315"/>
      <c r="GD24" s="318"/>
      <c r="GE24" s="318"/>
      <c r="GF24" s="318"/>
      <c r="GG24" s="318"/>
      <c r="GH24" s="318"/>
      <c r="GI24" s="318"/>
      <c r="GJ24" s="315"/>
      <c r="GK24" s="318"/>
      <c r="GL24" s="318"/>
      <c r="GM24" s="318"/>
      <c r="GN24" s="318"/>
      <c r="GO24" s="318"/>
      <c r="GP24" s="318"/>
      <c r="GQ24" s="315"/>
      <c r="GR24" s="318"/>
      <c r="GS24" s="318"/>
      <c r="GT24" s="318"/>
      <c r="GU24" s="318"/>
      <c r="GV24" s="318"/>
      <c r="GW24" s="318"/>
      <c r="GX24" s="315"/>
      <c r="GY24" s="318"/>
      <c r="GZ24" s="318"/>
      <c r="HA24" s="318"/>
      <c r="HB24" s="318"/>
      <c r="HC24" s="318"/>
      <c r="HD24" s="318"/>
      <c r="HE24" s="315"/>
      <c r="HF24" s="318"/>
      <c r="HG24" s="318"/>
      <c r="HH24" s="318"/>
      <c r="HI24" s="318"/>
      <c r="HJ24" s="318"/>
      <c r="HK24" s="318"/>
      <c r="HL24" s="315"/>
      <c r="HM24" s="318"/>
      <c r="HN24" s="318"/>
      <c r="HO24" s="318"/>
      <c r="HP24" s="318"/>
      <c r="HQ24" s="318"/>
      <c r="HR24" s="318"/>
      <c r="HS24" s="315"/>
      <c r="HT24" s="318"/>
      <c r="HU24" s="318"/>
      <c r="HV24" s="318"/>
      <c r="HW24" s="318"/>
      <c r="HX24" s="318"/>
      <c r="HY24" s="318"/>
      <c r="HZ24" s="315"/>
      <c r="IA24" s="318"/>
      <c r="IB24" s="318"/>
      <c r="IC24" s="318"/>
      <c r="ID24" s="318"/>
      <c r="IE24" s="318"/>
      <c r="IF24" s="318"/>
      <c r="IG24" s="315"/>
      <c r="IH24" s="318"/>
      <c r="II24" s="318"/>
      <c r="IJ24" s="318"/>
      <c r="IK24" s="318"/>
      <c r="IL24" s="318"/>
      <c r="IM24" s="318"/>
      <c r="IN24" s="315"/>
      <c r="IO24" s="318"/>
      <c r="IP24" s="318"/>
      <c r="IQ24" s="318"/>
      <c r="IR24" s="318"/>
      <c r="IS24" s="318"/>
      <c r="IT24" s="318"/>
      <c r="IU24" s="315"/>
      <c r="IV24" s="318"/>
      <c r="IW24" s="318"/>
      <c r="IX24" s="318"/>
      <c r="IY24" s="318"/>
      <c r="IZ24" s="318"/>
      <c r="JA24" s="318"/>
      <c r="JB24" s="315"/>
      <c r="JC24" s="318"/>
      <c r="JD24" s="318"/>
      <c r="JE24" s="318"/>
      <c r="JF24" s="318"/>
      <c r="JG24" s="318"/>
      <c r="JH24" s="318"/>
      <c r="JI24" s="315"/>
      <c r="JJ24" s="318"/>
      <c r="JK24" s="318"/>
      <c r="JL24" s="318"/>
      <c r="JM24" s="318"/>
      <c r="JN24" s="318"/>
      <c r="JO24" s="318"/>
      <c r="JP24" s="315"/>
      <c r="JQ24" s="318"/>
      <c r="JR24" s="318"/>
      <c r="JS24" s="318"/>
      <c r="JT24" s="318"/>
      <c r="JU24" s="318"/>
      <c r="JV24" s="318"/>
      <c r="JW24" s="315"/>
      <c r="JX24" s="318"/>
      <c r="JY24" s="318"/>
      <c r="JZ24" s="318"/>
      <c r="KA24" s="318"/>
      <c r="KB24" s="318"/>
      <c r="KC24" s="318"/>
      <c r="KD24" s="315"/>
      <c r="KE24" s="318"/>
      <c r="KF24" s="318"/>
      <c r="KG24" s="318"/>
      <c r="KH24" s="318"/>
      <c r="KI24" s="318"/>
      <c r="KJ24" s="318"/>
      <c r="KK24" s="315"/>
      <c r="KL24" s="318"/>
      <c r="KM24" s="318"/>
      <c r="KN24" s="318"/>
      <c r="KO24" s="318"/>
      <c r="KP24" s="318"/>
      <c r="KQ24" s="318"/>
      <c r="KR24" s="315"/>
      <c r="KS24" s="318"/>
      <c r="KT24" s="318"/>
      <c r="KU24" s="318"/>
      <c r="KV24" s="318"/>
      <c r="KW24" s="318"/>
      <c r="KX24" s="318"/>
      <c r="KY24" s="315"/>
      <c r="KZ24" s="318"/>
      <c r="LA24" s="318"/>
      <c r="LB24" s="318"/>
      <c r="LC24" s="318"/>
      <c r="LD24" s="318"/>
      <c r="LE24" s="318"/>
      <c r="LF24" s="315"/>
      <c r="LG24" s="318"/>
      <c r="LH24" s="318"/>
      <c r="LI24" s="318"/>
      <c r="LJ24" s="318"/>
      <c r="LK24" s="318"/>
      <c r="LL24" s="318"/>
      <c r="LM24" s="315"/>
      <c r="LN24" s="318"/>
      <c r="LO24" s="318"/>
      <c r="LP24" s="318"/>
      <c r="LQ24" s="318"/>
      <c r="LR24" s="318"/>
      <c r="LS24" s="318"/>
      <c r="LT24" s="315"/>
      <c r="LU24" s="318"/>
      <c r="LV24" s="318"/>
      <c r="LW24" s="318"/>
      <c r="LX24" s="318"/>
      <c r="LY24" s="318"/>
      <c r="LZ24" s="318"/>
      <c r="MA24" s="315"/>
      <c r="MB24" s="318"/>
      <c r="MC24" s="318"/>
      <c r="MD24" s="318"/>
      <c r="ME24" s="318"/>
      <c r="MF24" s="318"/>
      <c r="MG24" s="318"/>
      <c r="MH24" s="315"/>
      <c r="MI24" s="318"/>
      <c r="MJ24" s="318"/>
      <c r="MK24" s="318"/>
      <c r="ML24" s="318"/>
      <c r="MM24" s="318"/>
      <c r="MN24" s="318"/>
      <c r="MO24" s="315"/>
      <c r="MP24" s="318"/>
      <c r="MQ24" s="318"/>
      <c r="MR24" s="318"/>
      <c r="MS24" s="318"/>
      <c r="MT24" s="318"/>
      <c r="MU24" s="318"/>
      <c r="MV24" s="315"/>
      <c r="MW24" s="318"/>
      <c r="MX24" s="318"/>
      <c r="MY24" s="318"/>
      <c r="MZ24" s="318"/>
      <c r="NA24" s="318"/>
      <c r="NB24" s="318"/>
      <c r="NC24" s="315"/>
      <c r="ND24" s="306"/>
      <c r="NE24" s="333">
        <f t="shared" si="0"/>
        <v>0</v>
      </c>
      <c r="NF24" s="325"/>
      <c r="NG24" s="325"/>
      <c r="NH24" s="325"/>
      <c r="NI24" s="325"/>
      <c r="NJ24" s="325"/>
      <c r="NK24" s="325"/>
      <c r="NL24" s="325"/>
      <c r="NM24" s="325"/>
      <c r="NN24" s="325"/>
      <c r="NO24" s="325"/>
      <c r="NP24" s="325"/>
      <c r="NQ24" s="325"/>
      <c r="NR24" s="325"/>
      <c r="NS24" s="325"/>
      <c r="NT24" s="325"/>
      <c r="NU24" s="325"/>
      <c r="NV24" s="325"/>
      <c r="NW24" s="325"/>
      <c r="NX24" s="325"/>
      <c r="NY24" s="325"/>
      <c r="NZ24" s="325"/>
      <c r="OA24" s="325"/>
      <c r="OB24" s="325"/>
      <c r="OC24" s="325"/>
      <c r="OD24" s="325"/>
      <c r="OE24" s="325"/>
      <c r="OF24" s="325"/>
      <c r="OG24" s="325"/>
      <c r="OH24" s="325"/>
      <c r="OI24" s="325"/>
      <c r="OJ24" s="325"/>
      <c r="OK24" s="325"/>
      <c r="OL24" s="325"/>
      <c r="OM24" s="325"/>
      <c r="ON24" s="325"/>
      <c r="OO24" s="325"/>
      <c r="OP24" s="325"/>
      <c r="OQ24" s="325"/>
      <c r="OR24" s="325"/>
      <c r="OS24" s="325"/>
      <c r="OT24" s="325"/>
      <c r="OU24" s="325"/>
      <c r="OV24" s="325"/>
      <c r="OW24" s="325"/>
      <c r="OX24" s="325"/>
      <c r="OY24" s="325"/>
      <c r="OZ24" s="325"/>
      <c r="PA24" s="325"/>
      <c r="PB24" s="325"/>
      <c r="PC24" s="325"/>
      <c r="PD24" s="325"/>
      <c r="PE24" s="325"/>
      <c r="PF24" s="325"/>
      <c r="PG24" s="325"/>
      <c r="PH24" s="325"/>
      <c r="PI24" s="325"/>
      <c r="PJ24" s="325"/>
      <c r="PK24" s="325"/>
      <c r="PL24" s="325"/>
      <c r="PM24" s="325"/>
      <c r="PN24" s="325"/>
      <c r="PO24" s="325"/>
      <c r="PP24" s="325"/>
      <c r="PQ24" s="325"/>
      <c r="PR24" s="325"/>
      <c r="PS24" s="325"/>
      <c r="PT24" s="325"/>
      <c r="PU24" s="325"/>
      <c r="PV24" s="325"/>
      <c r="PW24" s="325"/>
      <c r="PX24" s="325"/>
      <c r="PY24" s="325"/>
      <c r="PZ24" s="325"/>
      <c r="QA24" s="325"/>
      <c r="QB24" s="325"/>
      <c r="QC24" s="325"/>
      <c r="QD24" s="325"/>
      <c r="QE24" s="325"/>
      <c r="QF24" s="325"/>
      <c r="QG24" s="325"/>
      <c r="QH24" s="325"/>
      <c r="QI24" s="325"/>
      <c r="QJ24" s="325"/>
      <c r="QK24" s="325"/>
      <c r="QL24" s="325"/>
      <c r="QM24" s="325"/>
      <c r="QN24" s="325"/>
      <c r="QO24" s="325"/>
      <c r="QP24" s="325"/>
      <c r="QQ24" s="325"/>
      <c r="QR24" s="325"/>
      <c r="QS24" s="325"/>
      <c r="QT24" s="325"/>
      <c r="QU24" s="325"/>
      <c r="QV24" s="325"/>
      <c r="QW24" s="325"/>
      <c r="QX24" s="325"/>
      <c r="QY24" s="325"/>
      <c r="QZ24" s="325"/>
      <c r="RA24" s="325"/>
      <c r="RB24" s="325"/>
      <c r="RC24" s="325"/>
      <c r="RD24" s="325"/>
      <c r="RE24" s="325"/>
      <c r="RF24" s="325"/>
      <c r="RG24" s="325"/>
      <c r="RH24" s="325"/>
      <c r="RI24" s="325"/>
      <c r="RJ24" s="325"/>
      <c r="RK24" s="325"/>
      <c r="RL24" s="325"/>
      <c r="RM24" s="325"/>
      <c r="RN24" s="325"/>
      <c r="RO24" s="325"/>
      <c r="RP24" s="325"/>
      <c r="RQ24" s="325"/>
      <c r="RR24" s="325"/>
      <c r="RS24" s="325"/>
      <c r="RT24" s="325"/>
      <c r="RU24" s="325"/>
      <c r="RV24" s="325"/>
      <c r="RW24" s="325"/>
      <c r="RX24" s="325"/>
      <c r="RY24" s="325"/>
      <c r="RZ24" s="325"/>
      <c r="SA24" s="325"/>
      <c r="SB24" s="325"/>
      <c r="SC24" s="325"/>
      <c r="SD24" s="325"/>
      <c r="SE24" s="325"/>
      <c r="SF24" s="325"/>
      <c r="SG24" s="325"/>
      <c r="SH24" s="325"/>
      <c r="SI24" s="325"/>
      <c r="SJ24" s="325"/>
      <c r="SK24" s="325"/>
      <c r="SL24" s="325"/>
      <c r="SM24" s="325"/>
      <c r="SN24" s="325"/>
      <c r="SO24" s="325"/>
      <c r="SP24" s="325"/>
      <c r="SQ24" s="325"/>
      <c r="SR24" s="325"/>
      <c r="SS24" s="325"/>
      <c r="ST24" s="325"/>
      <c r="SU24" s="325"/>
      <c r="SV24" s="325"/>
      <c r="SW24" s="325"/>
      <c r="SX24" s="325"/>
      <c r="SY24" s="325"/>
      <c r="SZ24" s="325"/>
      <c r="TA24" s="325"/>
      <c r="TB24" s="325"/>
      <c r="TC24" s="325"/>
      <c r="TD24" s="325"/>
      <c r="TE24" s="325"/>
      <c r="TF24" s="325"/>
      <c r="TG24" s="325"/>
      <c r="TH24" s="325"/>
      <c r="TI24" s="325"/>
      <c r="TJ24" s="325"/>
      <c r="TK24" s="325"/>
      <c r="TL24" s="325"/>
      <c r="TM24" s="325"/>
      <c r="TN24" s="325"/>
      <c r="TO24" s="325"/>
      <c r="TP24" s="325"/>
      <c r="TQ24" s="325"/>
      <c r="TR24" s="325"/>
      <c r="TS24" s="325"/>
      <c r="TT24" s="325"/>
      <c r="TU24" s="325"/>
      <c r="TV24" s="325"/>
      <c r="TW24" s="325"/>
      <c r="TX24" s="325"/>
      <c r="TY24" s="325"/>
      <c r="TZ24" s="325"/>
      <c r="UA24" s="325"/>
      <c r="UB24" s="325"/>
      <c r="UC24" s="325"/>
      <c r="UD24" s="325"/>
      <c r="UE24" s="325"/>
      <c r="UF24" s="325"/>
      <c r="UG24" s="325"/>
      <c r="UH24" s="325"/>
      <c r="UI24" s="325"/>
      <c r="UJ24" s="325"/>
      <c r="UK24" s="325"/>
      <c r="UL24" s="325"/>
      <c r="UM24" s="325"/>
      <c r="UN24" s="325"/>
      <c r="UO24" s="325"/>
      <c r="UP24" s="325"/>
      <c r="UQ24" s="325"/>
      <c r="UR24" s="325"/>
      <c r="US24" s="325"/>
      <c r="UT24" s="325"/>
      <c r="UU24" s="325"/>
      <c r="UV24" s="325"/>
      <c r="UW24" s="325"/>
      <c r="UX24" s="325"/>
      <c r="UY24" s="325"/>
      <c r="UZ24" s="325"/>
      <c r="VA24" s="325"/>
      <c r="VB24" s="325"/>
      <c r="VC24" s="325"/>
      <c r="VD24" s="325"/>
      <c r="VE24" s="325"/>
      <c r="VF24" s="325"/>
      <c r="VG24" s="325"/>
      <c r="VH24" s="325"/>
      <c r="VI24" s="325"/>
      <c r="VJ24" s="325"/>
      <c r="VK24" s="325"/>
      <c r="VL24" s="325"/>
      <c r="VM24" s="325"/>
      <c r="VN24" s="325"/>
      <c r="VO24" s="325"/>
      <c r="VP24" s="325"/>
      <c r="VQ24" s="325"/>
      <c r="VR24" s="325"/>
      <c r="VS24" s="325"/>
      <c r="VT24" s="325"/>
      <c r="VU24" s="325"/>
      <c r="VV24" s="325"/>
      <c r="VW24" s="325"/>
      <c r="VX24" s="325"/>
      <c r="VY24" s="325"/>
      <c r="VZ24" s="325"/>
      <c r="WA24" s="325"/>
      <c r="WB24" s="325"/>
      <c r="WC24" s="325"/>
      <c r="WD24" s="325"/>
      <c r="WE24" s="325"/>
      <c r="WF24" s="325"/>
      <c r="WG24" s="325"/>
      <c r="WH24" s="325"/>
      <c r="WI24" s="325"/>
      <c r="WJ24" s="325"/>
      <c r="WK24" s="325"/>
      <c r="WL24" s="325"/>
      <c r="WM24" s="325"/>
      <c r="WN24" s="325"/>
      <c r="WO24" s="325"/>
      <c r="WP24" s="325"/>
      <c r="WQ24" s="325"/>
      <c r="WR24" s="325"/>
      <c r="WS24" s="325"/>
      <c r="WT24" s="325"/>
      <c r="WU24" s="325"/>
      <c r="WV24" s="325"/>
      <c r="WW24" s="325"/>
      <c r="WX24" s="325"/>
      <c r="WY24" s="325"/>
      <c r="WZ24" s="325"/>
      <c r="XA24" s="325"/>
      <c r="XB24" s="325"/>
      <c r="XC24" s="325"/>
      <c r="XD24" s="325"/>
      <c r="XE24" s="325"/>
      <c r="XF24" s="325"/>
      <c r="XG24" s="325"/>
      <c r="XH24" s="325"/>
      <c r="XI24" s="325"/>
      <c r="XJ24" s="325"/>
      <c r="XK24" s="325"/>
      <c r="XL24" s="325"/>
      <c r="XM24" s="325"/>
      <c r="XN24" s="325"/>
      <c r="XO24" s="325"/>
      <c r="XP24" s="325"/>
      <c r="XQ24" s="325"/>
      <c r="XR24" s="325"/>
      <c r="XS24" s="325"/>
      <c r="XT24" s="325"/>
      <c r="XU24" s="325"/>
      <c r="XV24" s="325"/>
      <c r="XW24" s="325"/>
      <c r="XX24" s="325"/>
      <c r="XY24" s="325"/>
      <c r="XZ24" s="325"/>
      <c r="YA24" s="325"/>
      <c r="YB24" s="325"/>
      <c r="YC24" s="325"/>
      <c r="YD24" s="325"/>
      <c r="YE24" s="325"/>
      <c r="YF24" s="325"/>
      <c r="YG24" s="325"/>
      <c r="YH24" s="325"/>
      <c r="YI24" s="325"/>
      <c r="YJ24" s="325"/>
      <c r="YK24" s="325"/>
      <c r="YL24" s="325"/>
      <c r="YM24" s="325"/>
      <c r="YN24" s="325"/>
      <c r="YO24" s="325"/>
      <c r="YP24" s="325"/>
      <c r="YQ24" s="325"/>
      <c r="YR24" s="325"/>
      <c r="YS24" s="325"/>
      <c r="YT24" s="325"/>
      <c r="YU24" s="325"/>
      <c r="YV24" s="325"/>
      <c r="YW24" s="325"/>
      <c r="YX24" s="325"/>
      <c r="YY24" s="325"/>
      <c r="YZ24" s="325"/>
      <c r="ZA24" s="325"/>
      <c r="ZB24" s="325"/>
      <c r="ZC24" s="325"/>
      <c r="ZD24" s="325"/>
      <c r="ZE24" s="325"/>
      <c r="ZF24" s="325"/>
      <c r="ZG24" s="325"/>
      <c r="ZH24" s="325"/>
      <c r="ZI24" s="325"/>
      <c r="ZJ24" s="325"/>
      <c r="ZK24" s="325"/>
      <c r="ZL24" s="325"/>
      <c r="ZM24" s="325"/>
      <c r="ZN24" s="325"/>
      <c r="ZO24" s="325"/>
      <c r="ZP24" s="325"/>
      <c r="ZQ24" s="325"/>
      <c r="ZR24" s="325"/>
      <c r="ZS24" s="325"/>
      <c r="ZT24" s="325"/>
      <c r="ZU24" s="325"/>
      <c r="ZV24" s="325"/>
      <c r="ZW24" s="325"/>
      <c r="ZX24" s="325"/>
      <c r="ZY24" s="325"/>
      <c r="ZZ24" s="325"/>
      <c r="AAA24" s="325"/>
      <c r="AAB24" s="325"/>
      <c r="AAC24" s="325"/>
      <c r="AAD24" s="325"/>
      <c r="AAE24" s="325"/>
      <c r="AAF24" s="325"/>
      <c r="AAG24" s="325"/>
      <c r="AAH24" s="325"/>
      <c r="AAI24" s="325"/>
      <c r="AAJ24" s="325"/>
      <c r="AAK24" s="325"/>
      <c r="AAL24" s="325"/>
      <c r="AAM24" s="325"/>
      <c r="AAN24" s="325"/>
      <c r="AAO24" s="325"/>
      <c r="AAP24" s="325"/>
      <c r="AAQ24" s="325"/>
      <c r="AAR24" s="325"/>
      <c r="AAS24" s="325"/>
      <c r="AAT24" s="325"/>
      <c r="AAU24" s="325"/>
      <c r="AAV24" s="325"/>
      <c r="AAW24" s="325"/>
      <c r="AAX24" s="325"/>
      <c r="AAY24" s="325"/>
      <c r="AAZ24" s="325"/>
      <c r="ABA24" s="325"/>
      <c r="ABB24" s="325"/>
      <c r="ABC24" s="325"/>
      <c r="ABD24" s="325"/>
      <c r="ABE24" s="325"/>
      <c r="ABF24" s="325"/>
      <c r="ABG24" s="325"/>
      <c r="ABH24" s="325"/>
      <c r="ABI24" s="325"/>
      <c r="ABJ24" s="325"/>
      <c r="ABK24" s="325"/>
      <c r="ABL24" s="325"/>
      <c r="ABM24" s="325"/>
      <c r="ABN24" s="325"/>
      <c r="ABO24" s="325"/>
      <c r="ABP24" s="325"/>
      <c r="ABQ24" s="325"/>
      <c r="ABR24" s="325"/>
      <c r="ABS24" s="325"/>
      <c r="ABT24" s="325"/>
      <c r="ABU24" s="325"/>
      <c r="ABV24" s="325"/>
      <c r="ABW24" s="325"/>
      <c r="ABX24" s="325"/>
      <c r="ABY24" s="325"/>
      <c r="ABZ24" s="325"/>
      <c r="ACA24" s="325"/>
      <c r="ACB24" s="325"/>
      <c r="ACC24" s="325"/>
      <c r="ACD24" s="325"/>
      <c r="ACE24" s="325"/>
      <c r="ACF24" s="325"/>
      <c r="ACG24" s="325"/>
      <c r="ACH24" s="325"/>
      <c r="ACI24" s="325"/>
      <c r="ACJ24" s="325"/>
      <c r="ACK24" s="325"/>
      <c r="ACL24" s="325"/>
      <c r="ACM24" s="325"/>
      <c r="ACN24" s="325"/>
      <c r="ACO24" s="325"/>
      <c r="ACP24" s="325"/>
      <c r="ACQ24" s="325"/>
      <c r="ACR24" s="325"/>
      <c r="ACS24" s="325"/>
      <c r="ACT24" s="325"/>
      <c r="ACU24" s="325"/>
      <c r="ACV24" s="325"/>
      <c r="ACW24" s="325"/>
      <c r="ACX24" s="325"/>
      <c r="ACY24" s="325"/>
      <c r="ACZ24" s="325"/>
      <c r="ADA24" s="325"/>
      <c r="ADB24" s="325"/>
      <c r="ADC24" s="325"/>
      <c r="ADD24" s="325"/>
      <c r="ADE24" s="325"/>
      <c r="ADF24" s="325"/>
      <c r="ADG24" s="325"/>
      <c r="ADH24" s="325"/>
      <c r="ADI24" s="325"/>
      <c r="ADJ24" s="325"/>
      <c r="ADK24" s="325"/>
      <c r="ADL24" s="325"/>
      <c r="ADM24" s="325"/>
      <c r="ADN24" s="325"/>
      <c r="ADO24" s="325"/>
      <c r="ADP24" s="325"/>
      <c r="ADQ24" s="325"/>
      <c r="ADR24" s="325"/>
      <c r="ADS24" s="325"/>
      <c r="ADT24" s="325"/>
      <c r="ADU24" s="325"/>
      <c r="ADV24" s="325"/>
      <c r="ADW24" s="325"/>
      <c r="ADX24" s="325"/>
      <c r="ADY24" s="325"/>
      <c r="ADZ24" s="325"/>
      <c r="AEA24" s="325"/>
      <c r="AEB24" s="325"/>
      <c r="AEC24" s="325"/>
      <c r="AED24" s="325"/>
      <c r="AEE24" s="325"/>
      <c r="AEF24" s="325"/>
      <c r="AEG24" s="325"/>
      <c r="AEH24" s="325"/>
      <c r="AEI24" s="325"/>
      <c r="AEJ24" s="325"/>
      <c r="AEK24" s="325"/>
      <c r="AEL24" s="325"/>
      <c r="AEM24" s="325"/>
      <c r="AEN24" s="325"/>
      <c r="AEO24" s="325"/>
      <c r="AEP24" s="325"/>
      <c r="AEQ24" s="325"/>
      <c r="AER24" s="325"/>
      <c r="AES24" s="325"/>
      <c r="AET24" s="325"/>
      <c r="AEU24" s="325"/>
      <c r="AEV24" s="325"/>
      <c r="AEW24" s="325"/>
      <c r="AEX24" s="325"/>
      <c r="AEY24" s="325"/>
      <c r="AEZ24" s="325"/>
      <c r="AFA24" s="325"/>
      <c r="AFB24" s="325"/>
      <c r="AFC24" s="325"/>
      <c r="AFD24" s="325"/>
      <c r="AFE24" s="325"/>
      <c r="AFF24" s="325"/>
      <c r="AFG24" s="325"/>
      <c r="AFH24" s="325"/>
      <c r="AFI24" s="325"/>
      <c r="AFJ24" s="325"/>
      <c r="AFK24" s="325"/>
      <c r="AFL24" s="325"/>
      <c r="AFM24" s="325"/>
      <c r="AFN24" s="325"/>
      <c r="AFO24" s="325"/>
      <c r="AFP24" s="325"/>
      <c r="AFQ24" s="325"/>
      <c r="AFR24" s="325"/>
      <c r="AFS24" s="325"/>
      <c r="AFT24" s="325"/>
      <c r="AFU24" s="325"/>
      <c r="AFV24" s="325"/>
      <c r="AFW24" s="325"/>
      <c r="AFX24" s="325"/>
      <c r="AFY24" s="325"/>
      <c r="AFZ24" s="325"/>
      <c r="AGA24" s="325"/>
      <c r="AGB24" s="325"/>
      <c r="AGC24" s="325"/>
      <c r="AGD24" s="325"/>
      <c r="AGE24" s="325"/>
      <c r="AGF24" s="325"/>
      <c r="AGG24" s="325"/>
      <c r="AGH24" s="325"/>
      <c r="AGI24" s="325"/>
      <c r="AGJ24" s="325"/>
      <c r="AGK24" s="325"/>
      <c r="AGL24" s="325"/>
      <c r="AGM24" s="325"/>
      <c r="AGN24" s="325"/>
      <c r="AGO24" s="325"/>
      <c r="AGP24" s="325"/>
      <c r="AGQ24" s="325"/>
      <c r="AGR24" s="325"/>
      <c r="AGS24" s="325"/>
      <c r="AGT24" s="325"/>
      <c r="AGU24" s="325"/>
      <c r="AGV24" s="325"/>
      <c r="AGW24" s="325"/>
      <c r="AGX24" s="325"/>
      <c r="AGY24" s="325"/>
      <c r="AGZ24" s="325"/>
      <c r="AHA24" s="325"/>
      <c r="AHB24" s="325"/>
      <c r="AHC24" s="325"/>
      <c r="AHD24" s="325"/>
      <c r="AHE24" s="325"/>
      <c r="AHF24" s="325"/>
      <c r="AHG24" s="325"/>
      <c r="AHH24" s="325"/>
      <c r="AHI24" s="325"/>
      <c r="AHJ24" s="325"/>
      <c r="AHK24" s="325"/>
      <c r="AHL24" s="325"/>
      <c r="AHM24" s="325"/>
      <c r="AHN24" s="325"/>
      <c r="AHO24" s="325"/>
      <c r="AHP24" s="325"/>
      <c r="AHQ24" s="325"/>
      <c r="AHR24" s="325"/>
      <c r="AHS24" s="325"/>
      <c r="AHT24" s="325"/>
      <c r="AHU24" s="325"/>
      <c r="AHV24" s="325"/>
      <c r="AHW24" s="325"/>
      <c r="AHX24" s="325"/>
      <c r="AHY24" s="325"/>
      <c r="AHZ24" s="325"/>
      <c r="AIA24" s="325"/>
      <c r="AIB24" s="325"/>
      <c r="AIC24" s="325"/>
      <c r="AID24" s="325"/>
      <c r="AIE24" s="325"/>
      <c r="AIF24" s="325"/>
      <c r="AIG24" s="325"/>
      <c r="AIH24" s="325"/>
      <c r="AII24" s="325"/>
      <c r="AIJ24" s="325"/>
      <c r="AIK24" s="325"/>
      <c r="AIL24" s="325"/>
      <c r="AIM24" s="325"/>
      <c r="AIN24" s="325"/>
      <c r="AIO24" s="325"/>
      <c r="AIP24" s="325"/>
      <c r="AIQ24" s="325"/>
      <c r="AIR24" s="325"/>
      <c r="AIS24" s="325"/>
      <c r="AIT24" s="325"/>
      <c r="AIU24" s="325"/>
      <c r="AIV24" s="325"/>
      <c r="AIW24" s="325"/>
      <c r="AIX24" s="325"/>
      <c r="AIY24" s="325"/>
      <c r="AIZ24" s="325"/>
      <c r="AJA24" s="325"/>
      <c r="AJB24" s="325"/>
      <c r="AJC24" s="325"/>
      <c r="AJD24" s="325"/>
      <c r="AJE24" s="325"/>
      <c r="AJF24" s="325"/>
      <c r="AJG24" s="325"/>
      <c r="AJH24" s="325"/>
      <c r="AJI24" s="325"/>
      <c r="AJJ24" s="325"/>
      <c r="AJK24" s="325"/>
      <c r="AJL24" s="325"/>
      <c r="AJM24" s="325"/>
      <c r="AJN24" s="325"/>
      <c r="AJO24" s="325"/>
      <c r="AJP24" s="325"/>
      <c r="AJQ24" s="325"/>
      <c r="AJR24" s="325"/>
      <c r="AJS24" s="325"/>
      <c r="AJT24" s="325"/>
      <c r="AJU24" s="325"/>
      <c r="AJV24" s="325"/>
      <c r="AJW24" s="325"/>
      <c r="AJX24" s="325"/>
      <c r="AJY24" s="325"/>
      <c r="AJZ24" s="325"/>
      <c r="AKA24" s="325"/>
      <c r="AKB24" s="325"/>
      <c r="AKC24" s="325"/>
      <c r="AKD24" s="325"/>
      <c r="AKE24" s="325"/>
      <c r="AKF24" s="325"/>
      <c r="AKG24" s="325"/>
      <c r="AKH24" s="325"/>
      <c r="AKI24" s="325"/>
      <c r="AKJ24" s="325"/>
      <c r="AKK24" s="325"/>
      <c r="AKL24" s="325"/>
      <c r="AKM24" s="325"/>
      <c r="AKN24" s="325"/>
      <c r="AKO24" s="325"/>
      <c r="AKP24" s="325"/>
      <c r="AKQ24" s="325"/>
      <c r="AKR24" s="325"/>
      <c r="AKS24" s="325"/>
      <c r="AKT24" s="325"/>
      <c r="AKU24" s="325"/>
      <c r="AKV24" s="325"/>
      <c r="AKW24" s="325"/>
      <c r="AKX24" s="325"/>
      <c r="AKY24" s="325"/>
      <c r="AKZ24" s="325"/>
      <c r="ALA24" s="325"/>
      <c r="ALB24" s="325"/>
      <c r="ALC24" s="325"/>
      <c r="ALD24" s="325"/>
      <c r="ALE24" s="325"/>
      <c r="ALF24" s="325"/>
      <c r="ALG24" s="325"/>
      <c r="ALH24" s="325"/>
      <c r="ALI24" s="325"/>
      <c r="ALJ24" s="325"/>
      <c r="ALK24" s="325"/>
      <c r="ALL24" s="325"/>
      <c r="ALM24" s="325"/>
      <c r="ALN24" s="325"/>
      <c r="ALO24" s="325"/>
      <c r="ALP24" s="325"/>
      <c r="ALQ24" s="325"/>
      <c r="ALR24" s="325"/>
      <c r="ALS24" s="325"/>
      <c r="ALT24" s="325"/>
      <c r="ALU24" s="325"/>
      <c r="ALV24" s="325"/>
      <c r="ALW24" s="325"/>
      <c r="ALX24" s="325"/>
      <c r="ALY24" s="325"/>
      <c r="ALZ24" s="325"/>
      <c r="AMA24" s="325"/>
      <c r="AMB24" s="325"/>
      <c r="AMC24" s="325"/>
    </row>
    <row r="25" spans="1:1017" s="75" customFormat="1" ht="18">
      <c r="C25" s="131">
        <v>1.00000000000001</v>
      </c>
      <c r="D25" s="318"/>
      <c r="E25" s="318"/>
      <c r="F25" s="318"/>
      <c r="G25" s="318"/>
      <c r="H25" s="318"/>
      <c r="I25" s="318"/>
      <c r="J25" s="315"/>
      <c r="K25" s="318"/>
      <c r="L25" s="318"/>
      <c r="M25" s="318"/>
      <c r="N25" s="318"/>
      <c r="O25" s="318"/>
      <c r="P25" s="318"/>
      <c r="Q25" s="315"/>
      <c r="R25" s="318"/>
      <c r="S25" s="318"/>
      <c r="T25" s="318"/>
      <c r="U25" s="318"/>
      <c r="V25" s="318"/>
      <c r="W25" s="318"/>
      <c r="X25" s="315"/>
      <c r="Y25" s="318"/>
      <c r="Z25" s="318"/>
      <c r="AA25" s="318"/>
      <c r="AB25" s="318"/>
      <c r="AC25" s="318"/>
      <c r="AD25" s="318"/>
      <c r="AE25" s="315"/>
      <c r="AF25" s="318"/>
      <c r="AG25" s="318"/>
      <c r="AH25" s="318"/>
      <c r="AI25" s="318"/>
      <c r="AJ25" s="318"/>
      <c r="AK25" s="318"/>
      <c r="AL25" s="315"/>
      <c r="AM25" s="318"/>
      <c r="AN25" s="318"/>
      <c r="AO25" s="318"/>
      <c r="AP25" s="318"/>
      <c r="AQ25" s="318"/>
      <c r="AR25" s="318"/>
      <c r="AS25" s="315"/>
      <c r="AT25" s="318"/>
      <c r="AU25" s="318"/>
      <c r="AV25" s="318"/>
      <c r="AW25" s="318"/>
      <c r="AX25" s="318"/>
      <c r="AY25" s="318"/>
      <c r="AZ25" s="315"/>
      <c r="BA25" s="318"/>
      <c r="BB25" s="318"/>
      <c r="BC25" s="318"/>
      <c r="BD25" s="318"/>
      <c r="BE25" s="318"/>
      <c r="BF25" s="318"/>
      <c r="BG25" s="315"/>
      <c r="BH25" s="318"/>
      <c r="BI25" s="318"/>
      <c r="BJ25" s="318"/>
      <c r="BK25" s="318"/>
      <c r="BL25" s="318"/>
      <c r="BM25" s="318"/>
      <c r="BN25" s="315"/>
      <c r="BO25" s="318"/>
      <c r="BP25" s="318"/>
      <c r="BQ25" s="318"/>
      <c r="BR25" s="318"/>
      <c r="BS25" s="318"/>
      <c r="BT25" s="318"/>
      <c r="BU25" s="315"/>
      <c r="BV25" s="318"/>
      <c r="BW25" s="318"/>
      <c r="BX25" s="318"/>
      <c r="BY25" s="318"/>
      <c r="BZ25" s="318"/>
      <c r="CA25" s="318"/>
      <c r="CB25" s="315"/>
      <c r="CC25" s="318"/>
      <c r="CD25" s="318"/>
      <c r="CE25" s="318"/>
      <c r="CF25" s="318"/>
      <c r="CG25" s="318"/>
      <c r="CH25" s="318"/>
      <c r="CI25" s="315"/>
      <c r="CJ25" s="318"/>
      <c r="CK25" s="318"/>
      <c r="CL25" s="318"/>
      <c r="CM25" s="318"/>
      <c r="CN25" s="318"/>
      <c r="CO25" s="318"/>
      <c r="CP25" s="315"/>
      <c r="CQ25" s="318"/>
      <c r="CR25" s="318"/>
      <c r="CS25" s="318"/>
      <c r="CT25" s="318"/>
      <c r="CU25" s="318"/>
      <c r="CV25" s="318"/>
      <c r="CW25" s="315"/>
      <c r="CX25" s="318"/>
      <c r="CY25" s="318"/>
      <c r="CZ25" s="318"/>
      <c r="DA25" s="318"/>
      <c r="DB25" s="318"/>
      <c r="DC25" s="318"/>
      <c r="DD25" s="315"/>
      <c r="DE25" s="318"/>
      <c r="DF25" s="318"/>
      <c r="DG25" s="318"/>
      <c r="DH25" s="318"/>
      <c r="DI25" s="318"/>
      <c r="DJ25" s="318"/>
      <c r="DK25" s="315"/>
      <c r="DL25" s="318"/>
      <c r="DM25" s="318"/>
      <c r="DN25" s="318"/>
      <c r="DO25" s="318"/>
      <c r="DP25" s="318"/>
      <c r="DQ25" s="318"/>
      <c r="DR25" s="315"/>
      <c r="DS25" s="318"/>
      <c r="DT25" s="318"/>
      <c r="DU25" s="318"/>
      <c r="DV25" s="318"/>
      <c r="DW25" s="318"/>
      <c r="DX25" s="318"/>
      <c r="DY25" s="315"/>
      <c r="DZ25" s="318"/>
      <c r="EA25" s="318"/>
      <c r="EB25" s="318"/>
      <c r="EC25" s="318"/>
      <c r="ED25" s="318"/>
      <c r="EE25" s="318"/>
      <c r="EF25" s="315"/>
      <c r="EG25" s="318"/>
      <c r="EH25" s="318"/>
      <c r="EI25" s="318"/>
      <c r="EJ25" s="318"/>
      <c r="EK25" s="318"/>
      <c r="EL25" s="318"/>
      <c r="EM25" s="315"/>
      <c r="EN25" s="318"/>
      <c r="EO25" s="318"/>
      <c r="EP25" s="318"/>
      <c r="EQ25" s="318"/>
      <c r="ER25" s="318"/>
      <c r="ES25" s="318"/>
      <c r="ET25" s="315"/>
      <c r="EU25" s="318"/>
      <c r="EV25" s="318"/>
      <c r="EW25" s="318"/>
      <c r="EX25" s="318"/>
      <c r="EY25" s="318"/>
      <c r="EZ25" s="318"/>
      <c r="FA25" s="315"/>
      <c r="FB25" s="318"/>
      <c r="FC25" s="318"/>
      <c r="FD25" s="318"/>
      <c r="FE25" s="318"/>
      <c r="FF25" s="318"/>
      <c r="FG25" s="318"/>
      <c r="FH25" s="315"/>
      <c r="FI25" s="318"/>
      <c r="FJ25" s="318"/>
      <c r="FK25" s="318"/>
      <c r="FL25" s="318"/>
      <c r="FM25" s="318"/>
      <c r="FN25" s="318"/>
      <c r="FO25" s="315"/>
      <c r="FP25" s="318"/>
      <c r="FQ25" s="318"/>
      <c r="FR25" s="318"/>
      <c r="FS25" s="318"/>
      <c r="FT25" s="318"/>
      <c r="FU25" s="318"/>
      <c r="FV25" s="315"/>
      <c r="FW25" s="318"/>
      <c r="FX25" s="318"/>
      <c r="FY25" s="318"/>
      <c r="FZ25" s="318"/>
      <c r="GA25" s="318"/>
      <c r="GB25" s="318"/>
      <c r="GC25" s="315"/>
      <c r="GD25" s="318"/>
      <c r="GE25" s="318"/>
      <c r="GF25" s="318"/>
      <c r="GG25" s="318"/>
      <c r="GH25" s="318"/>
      <c r="GI25" s="318"/>
      <c r="GJ25" s="315"/>
      <c r="GK25" s="318"/>
      <c r="GL25" s="318"/>
      <c r="GM25" s="318"/>
      <c r="GN25" s="318"/>
      <c r="GO25" s="318"/>
      <c r="GP25" s="318"/>
      <c r="GQ25" s="315"/>
      <c r="GR25" s="318"/>
      <c r="GS25" s="318"/>
      <c r="GT25" s="318"/>
      <c r="GU25" s="318"/>
      <c r="GV25" s="318"/>
      <c r="GW25" s="318"/>
      <c r="GX25" s="315"/>
      <c r="GY25" s="318"/>
      <c r="GZ25" s="318"/>
      <c r="HA25" s="318"/>
      <c r="HB25" s="318"/>
      <c r="HC25" s="318"/>
      <c r="HD25" s="318"/>
      <c r="HE25" s="315"/>
      <c r="HF25" s="318"/>
      <c r="HG25" s="318"/>
      <c r="HH25" s="318"/>
      <c r="HI25" s="318"/>
      <c r="HJ25" s="318"/>
      <c r="HK25" s="318"/>
      <c r="HL25" s="315"/>
      <c r="HM25" s="318"/>
      <c r="HN25" s="318"/>
      <c r="HO25" s="318"/>
      <c r="HP25" s="318"/>
      <c r="HQ25" s="318"/>
      <c r="HR25" s="318"/>
      <c r="HS25" s="315"/>
      <c r="HT25" s="318"/>
      <c r="HU25" s="318"/>
      <c r="HV25" s="318"/>
      <c r="HW25" s="318"/>
      <c r="HX25" s="318"/>
      <c r="HY25" s="318"/>
      <c r="HZ25" s="315"/>
      <c r="IA25" s="318"/>
      <c r="IB25" s="318"/>
      <c r="IC25" s="318"/>
      <c r="ID25" s="318"/>
      <c r="IE25" s="318"/>
      <c r="IF25" s="318"/>
      <c r="IG25" s="315"/>
      <c r="IH25" s="318"/>
      <c r="II25" s="318"/>
      <c r="IJ25" s="318"/>
      <c r="IK25" s="318"/>
      <c r="IL25" s="318"/>
      <c r="IM25" s="318"/>
      <c r="IN25" s="315"/>
      <c r="IO25" s="318"/>
      <c r="IP25" s="318"/>
      <c r="IQ25" s="318"/>
      <c r="IR25" s="318"/>
      <c r="IS25" s="318"/>
      <c r="IT25" s="318"/>
      <c r="IU25" s="315"/>
      <c r="IV25" s="318"/>
      <c r="IW25" s="318"/>
      <c r="IX25" s="318"/>
      <c r="IY25" s="318"/>
      <c r="IZ25" s="318"/>
      <c r="JA25" s="318"/>
      <c r="JB25" s="315"/>
      <c r="JC25" s="318"/>
      <c r="JD25" s="318"/>
      <c r="JE25" s="318"/>
      <c r="JF25" s="318"/>
      <c r="JG25" s="318"/>
      <c r="JH25" s="318"/>
      <c r="JI25" s="315"/>
      <c r="JJ25" s="318"/>
      <c r="JK25" s="318"/>
      <c r="JL25" s="318"/>
      <c r="JM25" s="318"/>
      <c r="JN25" s="318"/>
      <c r="JO25" s="318"/>
      <c r="JP25" s="315"/>
      <c r="JQ25" s="318"/>
      <c r="JR25" s="318"/>
      <c r="JS25" s="318"/>
      <c r="JT25" s="318"/>
      <c r="JU25" s="318"/>
      <c r="JV25" s="318"/>
      <c r="JW25" s="315"/>
      <c r="JX25" s="318"/>
      <c r="JY25" s="318"/>
      <c r="JZ25" s="318"/>
      <c r="KA25" s="318"/>
      <c r="KB25" s="318"/>
      <c r="KC25" s="318"/>
      <c r="KD25" s="315"/>
      <c r="KE25" s="318"/>
      <c r="KF25" s="318"/>
      <c r="KG25" s="318"/>
      <c r="KH25" s="318"/>
      <c r="KI25" s="318"/>
      <c r="KJ25" s="318"/>
      <c r="KK25" s="315"/>
      <c r="KL25" s="318"/>
      <c r="KM25" s="318"/>
      <c r="KN25" s="318"/>
      <c r="KO25" s="318"/>
      <c r="KP25" s="318"/>
      <c r="KQ25" s="318"/>
      <c r="KR25" s="315"/>
      <c r="KS25" s="318"/>
      <c r="KT25" s="318"/>
      <c r="KU25" s="318"/>
      <c r="KV25" s="318"/>
      <c r="KW25" s="318"/>
      <c r="KX25" s="318"/>
      <c r="KY25" s="315"/>
      <c r="KZ25" s="318"/>
      <c r="LA25" s="318"/>
      <c r="LB25" s="318"/>
      <c r="LC25" s="318"/>
      <c r="LD25" s="318"/>
      <c r="LE25" s="318"/>
      <c r="LF25" s="315"/>
      <c r="LG25" s="318"/>
      <c r="LH25" s="318"/>
      <c r="LI25" s="318"/>
      <c r="LJ25" s="318"/>
      <c r="LK25" s="318"/>
      <c r="LL25" s="318"/>
      <c r="LM25" s="315"/>
      <c r="LN25" s="318"/>
      <c r="LO25" s="318"/>
      <c r="LP25" s="318"/>
      <c r="LQ25" s="318"/>
      <c r="LR25" s="318"/>
      <c r="LS25" s="318"/>
      <c r="LT25" s="315"/>
      <c r="LU25" s="318"/>
      <c r="LV25" s="318"/>
      <c r="LW25" s="318"/>
      <c r="LX25" s="318"/>
      <c r="LY25" s="318"/>
      <c r="LZ25" s="318"/>
      <c r="MA25" s="315"/>
      <c r="MB25" s="318"/>
      <c r="MC25" s="318"/>
      <c r="MD25" s="318"/>
      <c r="ME25" s="318"/>
      <c r="MF25" s="318"/>
      <c r="MG25" s="318"/>
      <c r="MH25" s="315"/>
      <c r="MI25" s="318"/>
      <c r="MJ25" s="318"/>
      <c r="MK25" s="318"/>
      <c r="ML25" s="318"/>
      <c r="MM25" s="318"/>
      <c r="MN25" s="318"/>
      <c r="MO25" s="315"/>
      <c r="MP25" s="318"/>
      <c r="MQ25" s="318"/>
      <c r="MR25" s="318"/>
      <c r="MS25" s="318"/>
      <c r="MT25" s="318"/>
      <c r="MU25" s="318"/>
      <c r="MV25" s="315"/>
      <c r="MW25" s="318"/>
      <c r="MX25" s="318"/>
      <c r="MY25" s="318"/>
      <c r="MZ25" s="318"/>
      <c r="NA25" s="318"/>
      <c r="NB25" s="318"/>
      <c r="NC25" s="315"/>
      <c r="ND25" s="306"/>
      <c r="NE25" s="333">
        <f t="shared" si="0"/>
        <v>0</v>
      </c>
      <c r="NF25" s="325"/>
      <c r="NG25" s="325"/>
      <c r="NH25" s="325"/>
      <c r="NI25" s="325"/>
      <c r="NJ25" s="325"/>
      <c r="NK25" s="325"/>
      <c r="NL25" s="325"/>
      <c r="NM25" s="325"/>
      <c r="NN25" s="325"/>
      <c r="NO25" s="325"/>
      <c r="NP25" s="325"/>
      <c r="NQ25" s="325"/>
      <c r="NR25" s="325"/>
      <c r="NS25" s="325"/>
      <c r="NT25" s="325"/>
      <c r="NU25" s="325"/>
      <c r="NV25" s="325"/>
      <c r="NW25" s="325"/>
      <c r="NX25" s="325"/>
      <c r="NY25" s="325"/>
      <c r="NZ25" s="325"/>
      <c r="OA25" s="325"/>
      <c r="OB25" s="325"/>
      <c r="OC25" s="325"/>
      <c r="OD25" s="325"/>
      <c r="OE25" s="325"/>
      <c r="OF25" s="325"/>
      <c r="OG25" s="325"/>
      <c r="OH25" s="325"/>
      <c r="OI25" s="325"/>
      <c r="OJ25" s="325"/>
      <c r="OK25" s="325"/>
      <c r="OL25" s="325"/>
      <c r="OM25" s="325"/>
      <c r="ON25" s="325"/>
      <c r="OO25" s="325"/>
      <c r="OP25" s="325"/>
      <c r="OQ25" s="325"/>
      <c r="OR25" s="325"/>
      <c r="OS25" s="325"/>
      <c r="OT25" s="325"/>
      <c r="OU25" s="325"/>
      <c r="OV25" s="325"/>
      <c r="OW25" s="325"/>
      <c r="OX25" s="325"/>
      <c r="OY25" s="325"/>
      <c r="OZ25" s="325"/>
      <c r="PA25" s="325"/>
      <c r="PB25" s="325"/>
      <c r="PC25" s="325"/>
      <c r="PD25" s="325"/>
      <c r="PE25" s="325"/>
      <c r="PF25" s="325"/>
      <c r="PG25" s="325"/>
      <c r="PH25" s="325"/>
      <c r="PI25" s="325"/>
      <c r="PJ25" s="325"/>
      <c r="PK25" s="325"/>
      <c r="PL25" s="325"/>
      <c r="PM25" s="325"/>
      <c r="PN25" s="325"/>
      <c r="PO25" s="325"/>
      <c r="PP25" s="325"/>
      <c r="PQ25" s="325"/>
      <c r="PR25" s="325"/>
      <c r="PS25" s="325"/>
      <c r="PT25" s="325"/>
      <c r="PU25" s="325"/>
      <c r="PV25" s="325"/>
      <c r="PW25" s="325"/>
      <c r="PX25" s="325"/>
      <c r="PY25" s="325"/>
      <c r="PZ25" s="325"/>
      <c r="QA25" s="325"/>
      <c r="QB25" s="325"/>
      <c r="QC25" s="325"/>
      <c r="QD25" s="325"/>
      <c r="QE25" s="325"/>
      <c r="QF25" s="325"/>
      <c r="QG25" s="325"/>
      <c r="QH25" s="325"/>
      <c r="QI25" s="325"/>
      <c r="QJ25" s="325"/>
      <c r="QK25" s="325"/>
      <c r="QL25" s="325"/>
      <c r="QM25" s="325"/>
      <c r="QN25" s="325"/>
      <c r="QO25" s="325"/>
      <c r="QP25" s="325"/>
      <c r="QQ25" s="325"/>
      <c r="QR25" s="325"/>
      <c r="QS25" s="325"/>
      <c r="QT25" s="325"/>
      <c r="QU25" s="325"/>
      <c r="QV25" s="325"/>
      <c r="QW25" s="325"/>
      <c r="QX25" s="325"/>
      <c r="QY25" s="325"/>
      <c r="QZ25" s="325"/>
      <c r="RA25" s="325"/>
      <c r="RB25" s="325"/>
      <c r="RC25" s="325"/>
      <c r="RD25" s="325"/>
      <c r="RE25" s="325"/>
      <c r="RF25" s="325"/>
      <c r="RG25" s="325"/>
      <c r="RH25" s="325"/>
      <c r="RI25" s="325"/>
      <c r="RJ25" s="325"/>
      <c r="RK25" s="325"/>
      <c r="RL25" s="325"/>
      <c r="RM25" s="325"/>
      <c r="RN25" s="325"/>
      <c r="RO25" s="325"/>
      <c r="RP25" s="325"/>
      <c r="RQ25" s="325"/>
      <c r="RR25" s="325"/>
      <c r="RS25" s="325"/>
      <c r="RT25" s="325"/>
      <c r="RU25" s="325"/>
      <c r="RV25" s="325"/>
      <c r="RW25" s="325"/>
      <c r="RX25" s="325"/>
      <c r="RY25" s="325"/>
      <c r="RZ25" s="325"/>
      <c r="SA25" s="325"/>
      <c r="SB25" s="325"/>
      <c r="SC25" s="325"/>
      <c r="SD25" s="325"/>
      <c r="SE25" s="325"/>
      <c r="SF25" s="325"/>
      <c r="SG25" s="325"/>
      <c r="SH25" s="325"/>
      <c r="SI25" s="325"/>
      <c r="SJ25" s="325"/>
      <c r="SK25" s="325"/>
      <c r="SL25" s="325"/>
      <c r="SM25" s="325"/>
      <c r="SN25" s="325"/>
      <c r="SO25" s="325"/>
      <c r="SP25" s="325"/>
      <c r="SQ25" s="325"/>
      <c r="SR25" s="325"/>
      <c r="SS25" s="325"/>
      <c r="ST25" s="325"/>
      <c r="SU25" s="325"/>
      <c r="SV25" s="325"/>
      <c r="SW25" s="325"/>
      <c r="SX25" s="325"/>
      <c r="SY25" s="325"/>
      <c r="SZ25" s="325"/>
      <c r="TA25" s="325"/>
      <c r="TB25" s="325"/>
      <c r="TC25" s="325"/>
      <c r="TD25" s="325"/>
      <c r="TE25" s="325"/>
      <c r="TF25" s="325"/>
      <c r="TG25" s="325"/>
      <c r="TH25" s="325"/>
      <c r="TI25" s="325"/>
      <c r="TJ25" s="325"/>
      <c r="TK25" s="325"/>
      <c r="TL25" s="325"/>
      <c r="TM25" s="325"/>
      <c r="TN25" s="325"/>
      <c r="TO25" s="325"/>
      <c r="TP25" s="325"/>
      <c r="TQ25" s="325"/>
      <c r="TR25" s="325"/>
      <c r="TS25" s="325"/>
      <c r="TT25" s="325"/>
      <c r="TU25" s="325"/>
      <c r="TV25" s="325"/>
      <c r="TW25" s="325"/>
      <c r="TX25" s="325"/>
      <c r="TY25" s="325"/>
      <c r="TZ25" s="325"/>
      <c r="UA25" s="325"/>
      <c r="UB25" s="325"/>
      <c r="UC25" s="325"/>
      <c r="UD25" s="325"/>
      <c r="UE25" s="325"/>
      <c r="UF25" s="325"/>
      <c r="UG25" s="325"/>
      <c r="UH25" s="325"/>
      <c r="UI25" s="325"/>
      <c r="UJ25" s="325"/>
      <c r="UK25" s="325"/>
      <c r="UL25" s="325"/>
      <c r="UM25" s="325"/>
      <c r="UN25" s="325"/>
      <c r="UO25" s="325"/>
      <c r="UP25" s="325"/>
      <c r="UQ25" s="325"/>
      <c r="UR25" s="325"/>
      <c r="US25" s="325"/>
      <c r="UT25" s="325"/>
      <c r="UU25" s="325"/>
      <c r="UV25" s="325"/>
      <c r="UW25" s="325"/>
      <c r="UX25" s="325"/>
      <c r="UY25" s="325"/>
      <c r="UZ25" s="325"/>
      <c r="VA25" s="325"/>
      <c r="VB25" s="325"/>
      <c r="VC25" s="325"/>
      <c r="VD25" s="325"/>
      <c r="VE25" s="325"/>
      <c r="VF25" s="325"/>
      <c r="VG25" s="325"/>
      <c r="VH25" s="325"/>
      <c r="VI25" s="325"/>
      <c r="VJ25" s="325"/>
      <c r="VK25" s="325"/>
      <c r="VL25" s="325"/>
      <c r="VM25" s="325"/>
      <c r="VN25" s="325"/>
      <c r="VO25" s="325"/>
      <c r="VP25" s="325"/>
      <c r="VQ25" s="325"/>
      <c r="VR25" s="325"/>
      <c r="VS25" s="325"/>
      <c r="VT25" s="325"/>
      <c r="VU25" s="325"/>
      <c r="VV25" s="325"/>
      <c r="VW25" s="325"/>
      <c r="VX25" s="325"/>
      <c r="VY25" s="325"/>
      <c r="VZ25" s="325"/>
      <c r="WA25" s="325"/>
      <c r="WB25" s="325"/>
      <c r="WC25" s="325"/>
      <c r="WD25" s="325"/>
      <c r="WE25" s="325"/>
      <c r="WF25" s="325"/>
      <c r="WG25" s="325"/>
      <c r="WH25" s="325"/>
      <c r="WI25" s="325"/>
      <c r="WJ25" s="325"/>
      <c r="WK25" s="325"/>
      <c r="WL25" s="325"/>
      <c r="WM25" s="325"/>
      <c r="WN25" s="325"/>
      <c r="WO25" s="325"/>
      <c r="WP25" s="325"/>
      <c r="WQ25" s="325"/>
      <c r="WR25" s="325"/>
      <c r="WS25" s="325"/>
      <c r="WT25" s="325"/>
      <c r="WU25" s="325"/>
      <c r="WV25" s="325"/>
      <c r="WW25" s="325"/>
      <c r="WX25" s="325"/>
      <c r="WY25" s="325"/>
      <c r="WZ25" s="325"/>
      <c r="XA25" s="325"/>
      <c r="XB25" s="325"/>
      <c r="XC25" s="325"/>
      <c r="XD25" s="325"/>
      <c r="XE25" s="325"/>
      <c r="XF25" s="325"/>
      <c r="XG25" s="325"/>
      <c r="XH25" s="325"/>
      <c r="XI25" s="325"/>
      <c r="XJ25" s="325"/>
      <c r="XK25" s="325"/>
      <c r="XL25" s="325"/>
      <c r="XM25" s="325"/>
      <c r="XN25" s="325"/>
      <c r="XO25" s="325"/>
      <c r="XP25" s="325"/>
      <c r="XQ25" s="325"/>
      <c r="XR25" s="325"/>
      <c r="XS25" s="325"/>
      <c r="XT25" s="325"/>
      <c r="XU25" s="325"/>
      <c r="XV25" s="325"/>
      <c r="XW25" s="325"/>
      <c r="XX25" s="325"/>
      <c r="XY25" s="325"/>
      <c r="XZ25" s="325"/>
      <c r="YA25" s="325"/>
      <c r="YB25" s="325"/>
      <c r="YC25" s="325"/>
      <c r="YD25" s="325"/>
      <c r="YE25" s="325"/>
      <c r="YF25" s="325"/>
      <c r="YG25" s="325"/>
      <c r="YH25" s="325"/>
      <c r="YI25" s="325"/>
      <c r="YJ25" s="325"/>
      <c r="YK25" s="325"/>
      <c r="YL25" s="325"/>
      <c r="YM25" s="325"/>
      <c r="YN25" s="325"/>
      <c r="YO25" s="325"/>
      <c r="YP25" s="325"/>
      <c r="YQ25" s="325"/>
      <c r="YR25" s="325"/>
      <c r="YS25" s="325"/>
      <c r="YT25" s="325"/>
      <c r="YU25" s="325"/>
      <c r="YV25" s="325"/>
      <c r="YW25" s="325"/>
      <c r="YX25" s="325"/>
      <c r="YY25" s="325"/>
      <c r="YZ25" s="325"/>
      <c r="ZA25" s="325"/>
      <c r="ZB25" s="325"/>
      <c r="ZC25" s="325"/>
      <c r="ZD25" s="325"/>
      <c r="ZE25" s="325"/>
      <c r="ZF25" s="325"/>
      <c r="ZG25" s="325"/>
      <c r="ZH25" s="325"/>
      <c r="ZI25" s="325"/>
      <c r="ZJ25" s="325"/>
      <c r="ZK25" s="325"/>
      <c r="ZL25" s="325"/>
      <c r="ZM25" s="325"/>
      <c r="ZN25" s="325"/>
      <c r="ZO25" s="325"/>
      <c r="ZP25" s="325"/>
      <c r="ZQ25" s="325"/>
      <c r="ZR25" s="325"/>
      <c r="ZS25" s="325"/>
      <c r="ZT25" s="325"/>
      <c r="ZU25" s="325"/>
      <c r="ZV25" s="325"/>
      <c r="ZW25" s="325"/>
      <c r="ZX25" s="325"/>
      <c r="ZY25" s="325"/>
      <c r="ZZ25" s="325"/>
      <c r="AAA25" s="325"/>
      <c r="AAB25" s="325"/>
      <c r="AAC25" s="325"/>
      <c r="AAD25" s="325"/>
      <c r="AAE25" s="325"/>
      <c r="AAF25" s="325"/>
      <c r="AAG25" s="325"/>
      <c r="AAH25" s="325"/>
      <c r="AAI25" s="325"/>
      <c r="AAJ25" s="325"/>
      <c r="AAK25" s="325"/>
      <c r="AAL25" s="325"/>
      <c r="AAM25" s="325"/>
      <c r="AAN25" s="325"/>
      <c r="AAO25" s="325"/>
      <c r="AAP25" s="325"/>
      <c r="AAQ25" s="325"/>
      <c r="AAR25" s="325"/>
      <c r="AAS25" s="325"/>
      <c r="AAT25" s="325"/>
      <c r="AAU25" s="325"/>
      <c r="AAV25" s="325"/>
      <c r="AAW25" s="325"/>
      <c r="AAX25" s="325"/>
      <c r="AAY25" s="325"/>
      <c r="AAZ25" s="325"/>
      <c r="ABA25" s="325"/>
      <c r="ABB25" s="325"/>
      <c r="ABC25" s="325"/>
      <c r="ABD25" s="325"/>
      <c r="ABE25" s="325"/>
      <c r="ABF25" s="325"/>
      <c r="ABG25" s="325"/>
      <c r="ABH25" s="325"/>
      <c r="ABI25" s="325"/>
      <c r="ABJ25" s="325"/>
      <c r="ABK25" s="325"/>
      <c r="ABL25" s="325"/>
      <c r="ABM25" s="325"/>
      <c r="ABN25" s="325"/>
      <c r="ABO25" s="325"/>
      <c r="ABP25" s="325"/>
      <c r="ABQ25" s="325"/>
      <c r="ABR25" s="325"/>
      <c r="ABS25" s="325"/>
      <c r="ABT25" s="325"/>
      <c r="ABU25" s="325"/>
      <c r="ABV25" s="325"/>
      <c r="ABW25" s="325"/>
      <c r="ABX25" s="325"/>
      <c r="ABY25" s="325"/>
      <c r="ABZ25" s="325"/>
      <c r="ACA25" s="325"/>
      <c r="ACB25" s="325"/>
      <c r="ACC25" s="325"/>
      <c r="ACD25" s="325"/>
      <c r="ACE25" s="325"/>
      <c r="ACF25" s="325"/>
      <c r="ACG25" s="325"/>
      <c r="ACH25" s="325"/>
      <c r="ACI25" s="325"/>
      <c r="ACJ25" s="325"/>
      <c r="ACK25" s="325"/>
      <c r="ACL25" s="325"/>
      <c r="ACM25" s="325"/>
      <c r="ACN25" s="325"/>
      <c r="ACO25" s="325"/>
      <c r="ACP25" s="325"/>
      <c r="ACQ25" s="325"/>
      <c r="ACR25" s="325"/>
      <c r="ACS25" s="325"/>
      <c r="ACT25" s="325"/>
      <c r="ACU25" s="325"/>
      <c r="ACV25" s="325"/>
      <c r="ACW25" s="325"/>
      <c r="ACX25" s="325"/>
      <c r="ACY25" s="325"/>
      <c r="ACZ25" s="325"/>
      <c r="ADA25" s="325"/>
      <c r="ADB25" s="325"/>
      <c r="ADC25" s="325"/>
      <c r="ADD25" s="325"/>
      <c r="ADE25" s="325"/>
      <c r="ADF25" s="325"/>
      <c r="ADG25" s="325"/>
      <c r="ADH25" s="325"/>
      <c r="ADI25" s="325"/>
      <c r="ADJ25" s="325"/>
      <c r="ADK25" s="325"/>
      <c r="ADL25" s="325"/>
      <c r="ADM25" s="325"/>
      <c r="ADN25" s="325"/>
      <c r="ADO25" s="325"/>
      <c r="ADP25" s="325"/>
      <c r="ADQ25" s="325"/>
      <c r="ADR25" s="325"/>
      <c r="ADS25" s="325"/>
      <c r="ADT25" s="325"/>
      <c r="ADU25" s="325"/>
      <c r="ADV25" s="325"/>
      <c r="ADW25" s="325"/>
      <c r="ADX25" s="325"/>
      <c r="ADY25" s="325"/>
      <c r="ADZ25" s="325"/>
      <c r="AEA25" s="325"/>
      <c r="AEB25" s="325"/>
      <c r="AEC25" s="325"/>
      <c r="AED25" s="325"/>
      <c r="AEE25" s="325"/>
      <c r="AEF25" s="325"/>
      <c r="AEG25" s="325"/>
      <c r="AEH25" s="325"/>
      <c r="AEI25" s="325"/>
      <c r="AEJ25" s="325"/>
      <c r="AEK25" s="325"/>
      <c r="AEL25" s="325"/>
      <c r="AEM25" s="325"/>
      <c r="AEN25" s="325"/>
      <c r="AEO25" s="325"/>
      <c r="AEP25" s="325"/>
      <c r="AEQ25" s="325"/>
      <c r="AER25" s="325"/>
      <c r="AES25" s="325"/>
      <c r="AET25" s="325"/>
      <c r="AEU25" s="325"/>
      <c r="AEV25" s="325"/>
      <c r="AEW25" s="325"/>
      <c r="AEX25" s="325"/>
      <c r="AEY25" s="325"/>
      <c r="AEZ25" s="325"/>
      <c r="AFA25" s="325"/>
      <c r="AFB25" s="325"/>
      <c r="AFC25" s="325"/>
      <c r="AFD25" s="325"/>
      <c r="AFE25" s="325"/>
      <c r="AFF25" s="325"/>
      <c r="AFG25" s="325"/>
      <c r="AFH25" s="325"/>
      <c r="AFI25" s="325"/>
      <c r="AFJ25" s="325"/>
      <c r="AFK25" s="325"/>
      <c r="AFL25" s="325"/>
      <c r="AFM25" s="325"/>
      <c r="AFN25" s="325"/>
      <c r="AFO25" s="325"/>
      <c r="AFP25" s="325"/>
      <c r="AFQ25" s="325"/>
      <c r="AFR25" s="325"/>
      <c r="AFS25" s="325"/>
      <c r="AFT25" s="325"/>
      <c r="AFU25" s="325"/>
      <c r="AFV25" s="325"/>
      <c r="AFW25" s="325"/>
      <c r="AFX25" s="325"/>
      <c r="AFY25" s="325"/>
      <c r="AFZ25" s="325"/>
      <c r="AGA25" s="325"/>
      <c r="AGB25" s="325"/>
      <c r="AGC25" s="325"/>
      <c r="AGD25" s="325"/>
      <c r="AGE25" s="325"/>
      <c r="AGF25" s="325"/>
      <c r="AGG25" s="325"/>
      <c r="AGH25" s="325"/>
      <c r="AGI25" s="325"/>
      <c r="AGJ25" s="325"/>
      <c r="AGK25" s="325"/>
      <c r="AGL25" s="325"/>
      <c r="AGM25" s="325"/>
      <c r="AGN25" s="325"/>
      <c r="AGO25" s="325"/>
      <c r="AGP25" s="325"/>
      <c r="AGQ25" s="325"/>
      <c r="AGR25" s="325"/>
      <c r="AGS25" s="325"/>
      <c r="AGT25" s="325"/>
      <c r="AGU25" s="325"/>
      <c r="AGV25" s="325"/>
      <c r="AGW25" s="325"/>
      <c r="AGX25" s="325"/>
      <c r="AGY25" s="325"/>
      <c r="AGZ25" s="325"/>
      <c r="AHA25" s="325"/>
      <c r="AHB25" s="325"/>
      <c r="AHC25" s="325"/>
      <c r="AHD25" s="325"/>
      <c r="AHE25" s="325"/>
      <c r="AHF25" s="325"/>
      <c r="AHG25" s="325"/>
      <c r="AHH25" s="325"/>
      <c r="AHI25" s="325"/>
      <c r="AHJ25" s="325"/>
      <c r="AHK25" s="325"/>
      <c r="AHL25" s="325"/>
      <c r="AHM25" s="325"/>
      <c r="AHN25" s="325"/>
      <c r="AHO25" s="325"/>
      <c r="AHP25" s="325"/>
      <c r="AHQ25" s="325"/>
      <c r="AHR25" s="325"/>
      <c r="AHS25" s="325"/>
      <c r="AHT25" s="325"/>
      <c r="AHU25" s="325"/>
      <c r="AHV25" s="325"/>
      <c r="AHW25" s="325"/>
      <c r="AHX25" s="325"/>
      <c r="AHY25" s="325"/>
      <c r="AHZ25" s="325"/>
      <c r="AIA25" s="325"/>
      <c r="AIB25" s="325"/>
      <c r="AIC25" s="325"/>
      <c r="AID25" s="325"/>
      <c r="AIE25" s="325"/>
      <c r="AIF25" s="325"/>
      <c r="AIG25" s="325"/>
      <c r="AIH25" s="325"/>
      <c r="AII25" s="325"/>
      <c r="AIJ25" s="325"/>
      <c r="AIK25" s="325"/>
      <c r="AIL25" s="325"/>
      <c r="AIM25" s="325"/>
      <c r="AIN25" s="325"/>
      <c r="AIO25" s="325"/>
      <c r="AIP25" s="325"/>
      <c r="AIQ25" s="325"/>
      <c r="AIR25" s="325"/>
      <c r="AIS25" s="325"/>
      <c r="AIT25" s="325"/>
      <c r="AIU25" s="325"/>
      <c r="AIV25" s="325"/>
      <c r="AIW25" s="325"/>
      <c r="AIX25" s="325"/>
      <c r="AIY25" s="325"/>
      <c r="AIZ25" s="325"/>
      <c r="AJA25" s="325"/>
      <c r="AJB25" s="325"/>
      <c r="AJC25" s="325"/>
      <c r="AJD25" s="325"/>
      <c r="AJE25" s="325"/>
      <c r="AJF25" s="325"/>
      <c r="AJG25" s="325"/>
      <c r="AJH25" s="325"/>
      <c r="AJI25" s="325"/>
      <c r="AJJ25" s="325"/>
      <c r="AJK25" s="325"/>
      <c r="AJL25" s="325"/>
      <c r="AJM25" s="325"/>
      <c r="AJN25" s="325"/>
      <c r="AJO25" s="325"/>
      <c r="AJP25" s="325"/>
      <c r="AJQ25" s="325"/>
      <c r="AJR25" s="325"/>
      <c r="AJS25" s="325"/>
      <c r="AJT25" s="325"/>
      <c r="AJU25" s="325"/>
      <c r="AJV25" s="325"/>
      <c r="AJW25" s="325"/>
      <c r="AJX25" s="325"/>
      <c r="AJY25" s="325"/>
      <c r="AJZ25" s="325"/>
      <c r="AKA25" s="325"/>
      <c r="AKB25" s="325"/>
      <c r="AKC25" s="325"/>
      <c r="AKD25" s="325"/>
      <c r="AKE25" s="325"/>
      <c r="AKF25" s="325"/>
      <c r="AKG25" s="325"/>
      <c r="AKH25" s="325"/>
      <c r="AKI25" s="325"/>
      <c r="AKJ25" s="325"/>
      <c r="AKK25" s="325"/>
      <c r="AKL25" s="325"/>
      <c r="AKM25" s="325"/>
      <c r="AKN25" s="325"/>
      <c r="AKO25" s="325"/>
      <c r="AKP25" s="325"/>
      <c r="AKQ25" s="325"/>
      <c r="AKR25" s="325"/>
      <c r="AKS25" s="325"/>
      <c r="AKT25" s="325"/>
      <c r="AKU25" s="325"/>
      <c r="AKV25" s="325"/>
      <c r="AKW25" s="325"/>
      <c r="AKX25" s="325"/>
      <c r="AKY25" s="325"/>
      <c r="AKZ25" s="325"/>
      <c r="ALA25" s="325"/>
      <c r="ALB25" s="325"/>
      <c r="ALC25" s="325"/>
      <c r="ALD25" s="325"/>
      <c r="ALE25" s="325"/>
      <c r="ALF25" s="325"/>
      <c r="ALG25" s="325"/>
      <c r="ALH25" s="325"/>
      <c r="ALI25" s="325"/>
      <c r="ALJ25" s="325"/>
      <c r="ALK25" s="325"/>
      <c r="ALL25" s="325"/>
      <c r="ALM25" s="325"/>
      <c r="ALN25" s="325"/>
      <c r="ALO25" s="325"/>
      <c r="ALP25" s="325"/>
      <c r="ALQ25" s="325"/>
      <c r="ALR25" s="325"/>
      <c r="ALS25" s="325"/>
      <c r="ALT25" s="325"/>
      <c r="ALU25" s="325"/>
      <c r="ALV25" s="325"/>
      <c r="ALW25" s="325"/>
      <c r="ALX25" s="325"/>
      <c r="ALY25" s="325"/>
      <c r="ALZ25" s="325"/>
      <c r="AMA25" s="325"/>
      <c r="AMB25" s="325"/>
      <c r="AMC25" s="325"/>
    </row>
    <row r="26" spans="1:1017" s="75" customFormat="1" ht="18">
      <c r="C26" s="131">
        <v>1.0416666666666701</v>
      </c>
      <c r="D26" s="318"/>
      <c r="E26" s="318"/>
      <c r="F26" s="318"/>
      <c r="G26" s="318"/>
      <c r="H26" s="318"/>
      <c r="I26" s="318"/>
      <c r="J26" s="315"/>
      <c r="K26" s="318"/>
      <c r="L26" s="318"/>
      <c r="M26" s="318"/>
      <c r="N26" s="318"/>
      <c r="O26" s="318"/>
      <c r="P26" s="318"/>
      <c r="Q26" s="315"/>
      <c r="R26" s="318"/>
      <c r="S26" s="318"/>
      <c r="T26" s="318"/>
      <c r="U26" s="318"/>
      <c r="V26" s="318"/>
      <c r="W26" s="318"/>
      <c r="X26" s="315"/>
      <c r="Y26" s="318"/>
      <c r="Z26" s="318"/>
      <c r="AA26" s="318"/>
      <c r="AB26" s="318"/>
      <c r="AC26" s="318"/>
      <c r="AD26" s="318"/>
      <c r="AE26" s="315"/>
      <c r="AF26" s="318"/>
      <c r="AG26" s="318"/>
      <c r="AH26" s="318"/>
      <c r="AI26" s="318"/>
      <c r="AJ26" s="318"/>
      <c r="AK26" s="318"/>
      <c r="AL26" s="315"/>
      <c r="AM26" s="318"/>
      <c r="AN26" s="318"/>
      <c r="AO26" s="318"/>
      <c r="AP26" s="318"/>
      <c r="AQ26" s="318"/>
      <c r="AR26" s="318"/>
      <c r="AS26" s="315"/>
      <c r="AT26" s="318"/>
      <c r="AU26" s="318"/>
      <c r="AV26" s="318"/>
      <c r="AW26" s="318"/>
      <c r="AX26" s="318"/>
      <c r="AY26" s="318"/>
      <c r="AZ26" s="315"/>
      <c r="BA26" s="318"/>
      <c r="BB26" s="318"/>
      <c r="BC26" s="318"/>
      <c r="BD26" s="318"/>
      <c r="BE26" s="318"/>
      <c r="BF26" s="318"/>
      <c r="BG26" s="315"/>
      <c r="BH26" s="318"/>
      <c r="BI26" s="318"/>
      <c r="BJ26" s="318"/>
      <c r="BK26" s="318"/>
      <c r="BL26" s="318"/>
      <c r="BM26" s="318"/>
      <c r="BN26" s="315"/>
      <c r="BO26" s="318"/>
      <c r="BP26" s="318"/>
      <c r="BQ26" s="318"/>
      <c r="BR26" s="318"/>
      <c r="BS26" s="318"/>
      <c r="BT26" s="318"/>
      <c r="BU26" s="315"/>
      <c r="BV26" s="318"/>
      <c r="BW26" s="318"/>
      <c r="BX26" s="318"/>
      <c r="BY26" s="318"/>
      <c r="BZ26" s="318"/>
      <c r="CA26" s="318"/>
      <c r="CB26" s="315"/>
      <c r="CC26" s="318"/>
      <c r="CD26" s="318"/>
      <c r="CE26" s="318"/>
      <c r="CF26" s="318"/>
      <c r="CG26" s="318"/>
      <c r="CH26" s="318"/>
      <c r="CI26" s="315"/>
      <c r="CJ26" s="318"/>
      <c r="CK26" s="318"/>
      <c r="CL26" s="318"/>
      <c r="CM26" s="318"/>
      <c r="CN26" s="318"/>
      <c r="CO26" s="318"/>
      <c r="CP26" s="315"/>
      <c r="CQ26" s="318"/>
      <c r="CR26" s="318"/>
      <c r="CS26" s="318"/>
      <c r="CT26" s="318"/>
      <c r="CU26" s="318"/>
      <c r="CV26" s="318"/>
      <c r="CW26" s="315"/>
      <c r="CX26" s="318"/>
      <c r="CY26" s="318"/>
      <c r="CZ26" s="318"/>
      <c r="DA26" s="318"/>
      <c r="DB26" s="318"/>
      <c r="DC26" s="318"/>
      <c r="DD26" s="315"/>
      <c r="DE26" s="318"/>
      <c r="DF26" s="318"/>
      <c r="DG26" s="318"/>
      <c r="DH26" s="318"/>
      <c r="DI26" s="318"/>
      <c r="DJ26" s="318"/>
      <c r="DK26" s="315"/>
      <c r="DL26" s="318"/>
      <c r="DM26" s="318"/>
      <c r="DN26" s="318"/>
      <c r="DO26" s="318"/>
      <c r="DP26" s="318"/>
      <c r="DQ26" s="318"/>
      <c r="DR26" s="315"/>
      <c r="DS26" s="318"/>
      <c r="DT26" s="318"/>
      <c r="DU26" s="318"/>
      <c r="DV26" s="318"/>
      <c r="DW26" s="318"/>
      <c r="DX26" s="318"/>
      <c r="DY26" s="315"/>
      <c r="DZ26" s="318"/>
      <c r="EA26" s="318"/>
      <c r="EB26" s="318"/>
      <c r="EC26" s="318"/>
      <c r="ED26" s="318"/>
      <c r="EE26" s="318"/>
      <c r="EF26" s="315"/>
      <c r="EG26" s="318"/>
      <c r="EH26" s="318"/>
      <c r="EI26" s="318"/>
      <c r="EJ26" s="318"/>
      <c r="EK26" s="318"/>
      <c r="EL26" s="318"/>
      <c r="EM26" s="315"/>
      <c r="EN26" s="318"/>
      <c r="EO26" s="318"/>
      <c r="EP26" s="318"/>
      <c r="EQ26" s="318"/>
      <c r="ER26" s="318"/>
      <c r="ES26" s="318"/>
      <c r="ET26" s="315"/>
      <c r="EU26" s="318"/>
      <c r="EV26" s="318"/>
      <c r="EW26" s="318"/>
      <c r="EX26" s="318"/>
      <c r="EY26" s="318"/>
      <c r="EZ26" s="318"/>
      <c r="FA26" s="315"/>
      <c r="FB26" s="318"/>
      <c r="FC26" s="318"/>
      <c r="FD26" s="318"/>
      <c r="FE26" s="318"/>
      <c r="FF26" s="318"/>
      <c r="FG26" s="318"/>
      <c r="FH26" s="315"/>
      <c r="FI26" s="318"/>
      <c r="FJ26" s="318"/>
      <c r="FK26" s="318"/>
      <c r="FL26" s="318"/>
      <c r="FM26" s="318"/>
      <c r="FN26" s="318"/>
      <c r="FO26" s="315"/>
      <c r="FP26" s="318"/>
      <c r="FQ26" s="318"/>
      <c r="FR26" s="318"/>
      <c r="FS26" s="318"/>
      <c r="FT26" s="318"/>
      <c r="FU26" s="318"/>
      <c r="FV26" s="315"/>
      <c r="FW26" s="318"/>
      <c r="FX26" s="318"/>
      <c r="FY26" s="318"/>
      <c r="FZ26" s="318"/>
      <c r="GA26" s="318"/>
      <c r="GB26" s="318"/>
      <c r="GC26" s="315"/>
      <c r="GD26" s="318"/>
      <c r="GE26" s="318"/>
      <c r="GF26" s="318"/>
      <c r="GG26" s="318"/>
      <c r="GH26" s="318"/>
      <c r="GI26" s="318"/>
      <c r="GJ26" s="315"/>
      <c r="GK26" s="318"/>
      <c r="GL26" s="318"/>
      <c r="GM26" s="318"/>
      <c r="GN26" s="318"/>
      <c r="GO26" s="318"/>
      <c r="GP26" s="318"/>
      <c r="GQ26" s="315"/>
      <c r="GR26" s="318"/>
      <c r="GS26" s="318"/>
      <c r="GT26" s="318"/>
      <c r="GU26" s="318"/>
      <c r="GV26" s="318"/>
      <c r="GW26" s="318"/>
      <c r="GX26" s="315"/>
      <c r="GY26" s="318"/>
      <c r="GZ26" s="318"/>
      <c r="HA26" s="318"/>
      <c r="HB26" s="318"/>
      <c r="HC26" s="318"/>
      <c r="HD26" s="318"/>
      <c r="HE26" s="315"/>
      <c r="HF26" s="318"/>
      <c r="HG26" s="318"/>
      <c r="HH26" s="318"/>
      <c r="HI26" s="318"/>
      <c r="HJ26" s="318"/>
      <c r="HK26" s="318"/>
      <c r="HL26" s="315"/>
      <c r="HM26" s="318"/>
      <c r="HN26" s="318"/>
      <c r="HO26" s="318"/>
      <c r="HP26" s="318"/>
      <c r="HQ26" s="318"/>
      <c r="HR26" s="318"/>
      <c r="HS26" s="315"/>
      <c r="HT26" s="318"/>
      <c r="HU26" s="318"/>
      <c r="HV26" s="318"/>
      <c r="HW26" s="318"/>
      <c r="HX26" s="318"/>
      <c r="HY26" s="318"/>
      <c r="HZ26" s="315"/>
      <c r="IA26" s="318"/>
      <c r="IB26" s="318"/>
      <c r="IC26" s="318"/>
      <c r="ID26" s="318"/>
      <c r="IE26" s="318"/>
      <c r="IF26" s="318"/>
      <c r="IG26" s="315"/>
      <c r="IH26" s="318"/>
      <c r="II26" s="318"/>
      <c r="IJ26" s="318"/>
      <c r="IK26" s="318"/>
      <c r="IL26" s="318"/>
      <c r="IM26" s="318"/>
      <c r="IN26" s="315"/>
      <c r="IO26" s="318"/>
      <c r="IP26" s="318"/>
      <c r="IQ26" s="318"/>
      <c r="IR26" s="318"/>
      <c r="IS26" s="318"/>
      <c r="IT26" s="318"/>
      <c r="IU26" s="315"/>
      <c r="IV26" s="318"/>
      <c r="IW26" s="318"/>
      <c r="IX26" s="318"/>
      <c r="IY26" s="318"/>
      <c r="IZ26" s="318"/>
      <c r="JA26" s="318"/>
      <c r="JB26" s="315"/>
      <c r="JC26" s="318"/>
      <c r="JD26" s="318"/>
      <c r="JE26" s="318"/>
      <c r="JF26" s="318"/>
      <c r="JG26" s="318"/>
      <c r="JH26" s="318"/>
      <c r="JI26" s="315"/>
      <c r="JJ26" s="318"/>
      <c r="JK26" s="318"/>
      <c r="JL26" s="318"/>
      <c r="JM26" s="318"/>
      <c r="JN26" s="318"/>
      <c r="JO26" s="318"/>
      <c r="JP26" s="315"/>
      <c r="JQ26" s="318"/>
      <c r="JR26" s="318"/>
      <c r="JS26" s="318"/>
      <c r="JT26" s="318"/>
      <c r="JU26" s="318"/>
      <c r="JV26" s="318"/>
      <c r="JW26" s="315"/>
      <c r="JX26" s="318"/>
      <c r="JY26" s="318"/>
      <c r="JZ26" s="318"/>
      <c r="KA26" s="318"/>
      <c r="KB26" s="318"/>
      <c r="KC26" s="318"/>
      <c r="KD26" s="315"/>
      <c r="KE26" s="318"/>
      <c r="KF26" s="318"/>
      <c r="KG26" s="318"/>
      <c r="KH26" s="318"/>
      <c r="KI26" s="318"/>
      <c r="KJ26" s="318"/>
      <c r="KK26" s="315"/>
      <c r="KL26" s="318"/>
      <c r="KM26" s="318"/>
      <c r="KN26" s="318"/>
      <c r="KO26" s="318"/>
      <c r="KP26" s="318"/>
      <c r="KQ26" s="318"/>
      <c r="KR26" s="315"/>
      <c r="KS26" s="318"/>
      <c r="KT26" s="318"/>
      <c r="KU26" s="318"/>
      <c r="KV26" s="318"/>
      <c r="KW26" s="318"/>
      <c r="KX26" s="318"/>
      <c r="KY26" s="315"/>
      <c r="KZ26" s="318"/>
      <c r="LA26" s="318"/>
      <c r="LB26" s="318"/>
      <c r="LC26" s="318"/>
      <c r="LD26" s="318"/>
      <c r="LE26" s="318"/>
      <c r="LF26" s="315"/>
      <c r="LG26" s="318"/>
      <c r="LH26" s="318"/>
      <c r="LI26" s="318"/>
      <c r="LJ26" s="318"/>
      <c r="LK26" s="318"/>
      <c r="LL26" s="318"/>
      <c r="LM26" s="315"/>
      <c r="LN26" s="318"/>
      <c r="LO26" s="318"/>
      <c r="LP26" s="318"/>
      <c r="LQ26" s="318"/>
      <c r="LR26" s="318"/>
      <c r="LS26" s="318"/>
      <c r="LT26" s="315"/>
      <c r="LU26" s="318"/>
      <c r="LV26" s="318"/>
      <c r="LW26" s="318"/>
      <c r="LX26" s="318"/>
      <c r="LY26" s="318"/>
      <c r="LZ26" s="318"/>
      <c r="MA26" s="315"/>
      <c r="MB26" s="318"/>
      <c r="MC26" s="318"/>
      <c r="MD26" s="318"/>
      <c r="ME26" s="318"/>
      <c r="MF26" s="318"/>
      <c r="MG26" s="318"/>
      <c r="MH26" s="315"/>
      <c r="MI26" s="318"/>
      <c r="MJ26" s="318"/>
      <c r="MK26" s="318"/>
      <c r="ML26" s="318"/>
      <c r="MM26" s="318"/>
      <c r="MN26" s="318"/>
      <c r="MO26" s="315"/>
      <c r="MP26" s="318"/>
      <c r="MQ26" s="318"/>
      <c r="MR26" s="318"/>
      <c r="MS26" s="318"/>
      <c r="MT26" s="318"/>
      <c r="MU26" s="318"/>
      <c r="MV26" s="315"/>
      <c r="MW26" s="318"/>
      <c r="MX26" s="318"/>
      <c r="MY26" s="318"/>
      <c r="MZ26" s="318"/>
      <c r="NA26" s="318"/>
      <c r="NB26" s="318"/>
      <c r="NC26" s="315"/>
      <c r="ND26" s="306"/>
      <c r="NE26" s="333">
        <f t="shared" si="0"/>
        <v>0</v>
      </c>
      <c r="NF26" s="325"/>
      <c r="NG26" s="325"/>
      <c r="NH26" s="325"/>
      <c r="NI26" s="325"/>
      <c r="NJ26" s="325"/>
      <c r="NK26" s="325"/>
      <c r="NL26" s="325"/>
      <c r="NM26" s="325"/>
      <c r="NN26" s="325"/>
      <c r="NO26" s="325"/>
      <c r="NP26" s="325"/>
      <c r="NQ26" s="325"/>
      <c r="NR26" s="325"/>
      <c r="NS26" s="325"/>
      <c r="NT26" s="325"/>
      <c r="NU26" s="325"/>
      <c r="NV26" s="325"/>
      <c r="NW26" s="325"/>
      <c r="NX26" s="325"/>
      <c r="NY26" s="325"/>
      <c r="NZ26" s="325"/>
      <c r="OA26" s="325"/>
      <c r="OB26" s="325"/>
      <c r="OC26" s="325"/>
      <c r="OD26" s="325"/>
      <c r="OE26" s="325"/>
      <c r="OF26" s="325"/>
      <c r="OG26" s="325"/>
      <c r="OH26" s="325"/>
      <c r="OI26" s="325"/>
      <c r="OJ26" s="325"/>
      <c r="OK26" s="325"/>
      <c r="OL26" s="325"/>
      <c r="OM26" s="325"/>
      <c r="ON26" s="325"/>
      <c r="OO26" s="325"/>
      <c r="OP26" s="325"/>
      <c r="OQ26" s="325"/>
      <c r="OR26" s="325"/>
      <c r="OS26" s="325"/>
      <c r="OT26" s="325"/>
      <c r="OU26" s="325"/>
      <c r="OV26" s="325"/>
      <c r="OW26" s="325"/>
      <c r="OX26" s="325"/>
      <c r="OY26" s="325"/>
      <c r="OZ26" s="325"/>
      <c r="PA26" s="325"/>
      <c r="PB26" s="325"/>
      <c r="PC26" s="325"/>
      <c r="PD26" s="325"/>
      <c r="PE26" s="325"/>
      <c r="PF26" s="325"/>
      <c r="PG26" s="325"/>
      <c r="PH26" s="325"/>
      <c r="PI26" s="325"/>
      <c r="PJ26" s="325"/>
      <c r="PK26" s="325"/>
      <c r="PL26" s="325"/>
      <c r="PM26" s="325"/>
      <c r="PN26" s="325"/>
      <c r="PO26" s="325"/>
      <c r="PP26" s="325"/>
      <c r="PQ26" s="325"/>
      <c r="PR26" s="325"/>
      <c r="PS26" s="325"/>
      <c r="PT26" s="325"/>
      <c r="PU26" s="325"/>
      <c r="PV26" s="325"/>
      <c r="PW26" s="325"/>
      <c r="PX26" s="325"/>
      <c r="PY26" s="325"/>
      <c r="PZ26" s="325"/>
      <c r="QA26" s="325"/>
      <c r="QB26" s="325"/>
      <c r="QC26" s="325"/>
      <c r="QD26" s="325"/>
      <c r="QE26" s="325"/>
      <c r="QF26" s="325"/>
      <c r="QG26" s="325"/>
      <c r="QH26" s="325"/>
      <c r="QI26" s="325"/>
      <c r="QJ26" s="325"/>
      <c r="QK26" s="325"/>
      <c r="QL26" s="325"/>
      <c r="QM26" s="325"/>
      <c r="QN26" s="325"/>
      <c r="QO26" s="325"/>
      <c r="QP26" s="325"/>
      <c r="QQ26" s="325"/>
      <c r="QR26" s="325"/>
      <c r="QS26" s="325"/>
      <c r="QT26" s="325"/>
      <c r="QU26" s="325"/>
      <c r="QV26" s="325"/>
      <c r="QW26" s="325"/>
      <c r="QX26" s="325"/>
      <c r="QY26" s="325"/>
      <c r="QZ26" s="325"/>
      <c r="RA26" s="325"/>
      <c r="RB26" s="325"/>
      <c r="RC26" s="325"/>
      <c r="RD26" s="325"/>
      <c r="RE26" s="325"/>
      <c r="RF26" s="325"/>
      <c r="RG26" s="325"/>
      <c r="RH26" s="325"/>
      <c r="RI26" s="325"/>
      <c r="RJ26" s="325"/>
      <c r="RK26" s="325"/>
      <c r="RL26" s="325"/>
      <c r="RM26" s="325"/>
      <c r="RN26" s="325"/>
      <c r="RO26" s="325"/>
      <c r="RP26" s="325"/>
      <c r="RQ26" s="325"/>
      <c r="RR26" s="325"/>
      <c r="RS26" s="325"/>
      <c r="RT26" s="325"/>
      <c r="RU26" s="325"/>
      <c r="RV26" s="325"/>
      <c r="RW26" s="325"/>
      <c r="RX26" s="325"/>
      <c r="RY26" s="325"/>
      <c r="RZ26" s="325"/>
      <c r="SA26" s="325"/>
      <c r="SB26" s="325"/>
      <c r="SC26" s="325"/>
      <c r="SD26" s="325"/>
      <c r="SE26" s="325"/>
      <c r="SF26" s="325"/>
      <c r="SG26" s="325"/>
      <c r="SH26" s="325"/>
      <c r="SI26" s="325"/>
      <c r="SJ26" s="325"/>
      <c r="SK26" s="325"/>
      <c r="SL26" s="325"/>
      <c r="SM26" s="325"/>
      <c r="SN26" s="325"/>
      <c r="SO26" s="325"/>
      <c r="SP26" s="325"/>
      <c r="SQ26" s="325"/>
      <c r="SR26" s="325"/>
      <c r="SS26" s="325"/>
      <c r="ST26" s="325"/>
      <c r="SU26" s="325"/>
      <c r="SV26" s="325"/>
      <c r="SW26" s="325"/>
      <c r="SX26" s="325"/>
      <c r="SY26" s="325"/>
      <c r="SZ26" s="325"/>
      <c r="TA26" s="325"/>
      <c r="TB26" s="325"/>
      <c r="TC26" s="325"/>
      <c r="TD26" s="325"/>
      <c r="TE26" s="325"/>
      <c r="TF26" s="325"/>
      <c r="TG26" s="325"/>
      <c r="TH26" s="325"/>
      <c r="TI26" s="325"/>
      <c r="TJ26" s="325"/>
      <c r="TK26" s="325"/>
      <c r="TL26" s="325"/>
      <c r="TM26" s="325"/>
      <c r="TN26" s="325"/>
      <c r="TO26" s="325"/>
      <c r="TP26" s="325"/>
      <c r="TQ26" s="325"/>
      <c r="TR26" s="325"/>
      <c r="TS26" s="325"/>
      <c r="TT26" s="325"/>
      <c r="TU26" s="325"/>
      <c r="TV26" s="325"/>
      <c r="TW26" s="325"/>
      <c r="TX26" s="325"/>
      <c r="TY26" s="325"/>
      <c r="TZ26" s="325"/>
      <c r="UA26" s="325"/>
      <c r="UB26" s="325"/>
      <c r="UC26" s="325"/>
      <c r="UD26" s="325"/>
      <c r="UE26" s="325"/>
      <c r="UF26" s="325"/>
      <c r="UG26" s="325"/>
      <c r="UH26" s="325"/>
      <c r="UI26" s="325"/>
      <c r="UJ26" s="325"/>
      <c r="UK26" s="325"/>
      <c r="UL26" s="325"/>
      <c r="UM26" s="325"/>
      <c r="UN26" s="325"/>
      <c r="UO26" s="325"/>
      <c r="UP26" s="325"/>
      <c r="UQ26" s="325"/>
      <c r="UR26" s="325"/>
      <c r="US26" s="325"/>
      <c r="UT26" s="325"/>
      <c r="UU26" s="325"/>
      <c r="UV26" s="325"/>
      <c r="UW26" s="325"/>
      <c r="UX26" s="325"/>
      <c r="UY26" s="325"/>
      <c r="UZ26" s="325"/>
      <c r="VA26" s="325"/>
      <c r="VB26" s="325"/>
      <c r="VC26" s="325"/>
      <c r="VD26" s="325"/>
      <c r="VE26" s="325"/>
      <c r="VF26" s="325"/>
      <c r="VG26" s="325"/>
      <c r="VH26" s="325"/>
      <c r="VI26" s="325"/>
      <c r="VJ26" s="325"/>
      <c r="VK26" s="325"/>
      <c r="VL26" s="325"/>
      <c r="VM26" s="325"/>
      <c r="VN26" s="325"/>
      <c r="VO26" s="325"/>
      <c r="VP26" s="325"/>
      <c r="VQ26" s="325"/>
      <c r="VR26" s="325"/>
      <c r="VS26" s="325"/>
      <c r="VT26" s="325"/>
      <c r="VU26" s="325"/>
      <c r="VV26" s="325"/>
      <c r="VW26" s="325"/>
      <c r="VX26" s="325"/>
      <c r="VY26" s="325"/>
      <c r="VZ26" s="325"/>
      <c r="WA26" s="325"/>
      <c r="WB26" s="325"/>
      <c r="WC26" s="325"/>
      <c r="WD26" s="325"/>
      <c r="WE26" s="325"/>
      <c r="WF26" s="325"/>
      <c r="WG26" s="325"/>
      <c r="WH26" s="325"/>
      <c r="WI26" s="325"/>
      <c r="WJ26" s="325"/>
      <c r="WK26" s="325"/>
      <c r="WL26" s="325"/>
      <c r="WM26" s="325"/>
      <c r="WN26" s="325"/>
      <c r="WO26" s="325"/>
      <c r="WP26" s="325"/>
      <c r="WQ26" s="325"/>
      <c r="WR26" s="325"/>
      <c r="WS26" s="325"/>
      <c r="WT26" s="325"/>
      <c r="WU26" s="325"/>
      <c r="WV26" s="325"/>
      <c r="WW26" s="325"/>
      <c r="WX26" s="325"/>
      <c r="WY26" s="325"/>
      <c r="WZ26" s="325"/>
      <c r="XA26" s="325"/>
      <c r="XB26" s="325"/>
      <c r="XC26" s="325"/>
      <c r="XD26" s="325"/>
      <c r="XE26" s="325"/>
      <c r="XF26" s="325"/>
      <c r="XG26" s="325"/>
      <c r="XH26" s="325"/>
      <c r="XI26" s="325"/>
      <c r="XJ26" s="325"/>
      <c r="XK26" s="325"/>
      <c r="XL26" s="325"/>
      <c r="XM26" s="325"/>
      <c r="XN26" s="325"/>
      <c r="XO26" s="325"/>
      <c r="XP26" s="325"/>
      <c r="XQ26" s="325"/>
      <c r="XR26" s="325"/>
      <c r="XS26" s="325"/>
      <c r="XT26" s="325"/>
      <c r="XU26" s="325"/>
      <c r="XV26" s="325"/>
      <c r="XW26" s="325"/>
      <c r="XX26" s="325"/>
      <c r="XY26" s="325"/>
      <c r="XZ26" s="325"/>
      <c r="YA26" s="325"/>
      <c r="YB26" s="325"/>
      <c r="YC26" s="325"/>
      <c r="YD26" s="325"/>
      <c r="YE26" s="325"/>
      <c r="YF26" s="325"/>
      <c r="YG26" s="325"/>
      <c r="YH26" s="325"/>
      <c r="YI26" s="325"/>
      <c r="YJ26" s="325"/>
      <c r="YK26" s="325"/>
      <c r="YL26" s="325"/>
      <c r="YM26" s="325"/>
      <c r="YN26" s="325"/>
      <c r="YO26" s="325"/>
      <c r="YP26" s="325"/>
      <c r="YQ26" s="325"/>
      <c r="YR26" s="325"/>
      <c r="YS26" s="325"/>
      <c r="YT26" s="325"/>
      <c r="YU26" s="325"/>
      <c r="YV26" s="325"/>
      <c r="YW26" s="325"/>
      <c r="YX26" s="325"/>
      <c r="YY26" s="325"/>
      <c r="YZ26" s="325"/>
      <c r="ZA26" s="325"/>
      <c r="ZB26" s="325"/>
      <c r="ZC26" s="325"/>
      <c r="ZD26" s="325"/>
      <c r="ZE26" s="325"/>
      <c r="ZF26" s="325"/>
      <c r="ZG26" s="325"/>
      <c r="ZH26" s="325"/>
      <c r="ZI26" s="325"/>
      <c r="ZJ26" s="325"/>
      <c r="ZK26" s="325"/>
      <c r="ZL26" s="325"/>
      <c r="ZM26" s="325"/>
      <c r="ZN26" s="325"/>
      <c r="ZO26" s="325"/>
      <c r="ZP26" s="325"/>
      <c r="ZQ26" s="325"/>
      <c r="ZR26" s="325"/>
      <c r="ZS26" s="325"/>
      <c r="ZT26" s="325"/>
      <c r="ZU26" s="325"/>
      <c r="ZV26" s="325"/>
      <c r="ZW26" s="325"/>
      <c r="ZX26" s="325"/>
      <c r="ZY26" s="325"/>
      <c r="ZZ26" s="325"/>
      <c r="AAA26" s="325"/>
      <c r="AAB26" s="325"/>
      <c r="AAC26" s="325"/>
      <c r="AAD26" s="325"/>
      <c r="AAE26" s="325"/>
      <c r="AAF26" s="325"/>
      <c r="AAG26" s="325"/>
      <c r="AAH26" s="325"/>
      <c r="AAI26" s="325"/>
      <c r="AAJ26" s="325"/>
      <c r="AAK26" s="325"/>
      <c r="AAL26" s="325"/>
      <c r="AAM26" s="325"/>
      <c r="AAN26" s="325"/>
      <c r="AAO26" s="325"/>
      <c r="AAP26" s="325"/>
      <c r="AAQ26" s="325"/>
      <c r="AAR26" s="325"/>
      <c r="AAS26" s="325"/>
      <c r="AAT26" s="325"/>
      <c r="AAU26" s="325"/>
      <c r="AAV26" s="325"/>
      <c r="AAW26" s="325"/>
      <c r="AAX26" s="325"/>
      <c r="AAY26" s="325"/>
      <c r="AAZ26" s="325"/>
      <c r="ABA26" s="325"/>
      <c r="ABB26" s="325"/>
      <c r="ABC26" s="325"/>
      <c r="ABD26" s="325"/>
      <c r="ABE26" s="325"/>
      <c r="ABF26" s="325"/>
      <c r="ABG26" s="325"/>
      <c r="ABH26" s="325"/>
      <c r="ABI26" s="325"/>
      <c r="ABJ26" s="325"/>
      <c r="ABK26" s="325"/>
      <c r="ABL26" s="325"/>
      <c r="ABM26" s="325"/>
      <c r="ABN26" s="325"/>
      <c r="ABO26" s="325"/>
      <c r="ABP26" s="325"/>
      <c r="ABQ26" s="325"/>
      <c r="ABR26" s="325"/>
      <c r="ABS26" s="325"/>
      <c r="ABT26" s="325"/>
      <c r="ABU26" s="325"/>
      <c r="ABV26" s="325"/>
      <c r="ABW26" s="325"/>
      <c r="ABX26" s="325"/>
      <c r="ABY26" s="325"/>
      <c r="ABZ26" s="325"/>
      <c r="ACA26" s="325"/>
      <c r="ACB26" s="325"/>
      <c r="ACC26" s="325"/>
      <c r="ACD26" s="325"/>
      <c r="ACE26" s="325"/>
      <c r="ACF26" s="325"/>
      <c r="ACG26" s="325"/>
      <c r="ACH26" s="325"/>
      <c r="ACI26" s="325"/>
      <c r="ACJ26" s="325"/>
      <c r="ACK26" s="325"/>
      <c r="ACL26" s="325"/>
      <c r="ACM26" s="325"/>
      <c r="ACN26" s="325"/>
      <c r="ACO26" s="325"/>
      <c r="ACP26" s="325"/>
      <c r="ACQ26" s="325"/>
      <c r="ACR26" s="325"/>
      <c r="ACS26" s="325"/>
      <c r="ACT26" s="325"/>
      <c r="ACU26" s="325"/>
      <c r="ACV26" s="325"/>
      <c r="ACW26" s="325"/>
      <c r="ACX26" s="325"/>
      <c r="ACY26" s="325"/>
      <c r="ACZ26" s="325"/>
      <c r="ADA26" s="325"/>
      <c r="ADB26" s="325"/>
      <c r="ADC26" s="325"/>
      <c r="ADD26" s="325"/>
      <c r="ADE26" s="325"/>
      <c r="ADF26" s="325"/>
      <c r="ADG26" s="325"/>
      <c r="ADH26" s="325"/>
      <c r="ADI26" s="325"/>
      <c r="ADJ26" s="325"/>
      <c r="ADK26" s="325"/>
      <c r="ADL26" s="325"/>
      <c r="ADM26" s="325"/>
      <c r="ADN26" s="325"/>
      <c r="ADO26" s="325"/>
      <c r="ADP26" s="325"/>
      <c r="ADQ26" s="325"/>
      <c r="ADR26" s="325"/>
      <c r="ADS26" s="325"/>
      <c r="ADT26" s="325"/>
      <c r="ADU26" s="325"/>
      <c r="ADV26" s="325"/>
      <c r="ADW26" s="325"/>
      <c r="ADX26" s="325"/>
      <c r="ADY26" s="325"/>
      <c r="ADZ26" s="325"/>
      <c r="AEA26" s="325"/>
      <c r="AEB26" s="325"/>
      <c r="AEC26" s="325"/>
      <c r="AED26" s="325"/>
      <c r="AEE26" s="325"/>
      <c r="AEF26" s="325"/>
      <c r="AEG26" s="325"/>
      <c r="AEH26" s="325"/>
      <c r="AEI26" s="325"/>
      <c r="AEJ26" s="325"/>
      <c r="AEK26" s="325"/>
      <c r="AEL26" s="325"/>
      <c r="AEM26" s="325"/>
      <c r="AEN26" s="325"/>
      <c r="AEO26" s="325"/>
      <c r="AEP26" s="325"/>
      <c r="AEQ26" s="325"/>
      <c r="AER26" s="325"/>
      <c r="AES26" s="325"/>
      <c r="AET26" s="325"/>
      <c r="AEU26" s="325"/>
      <c r="AEV26" s="325"/>
      <c r="AEW26" s="325"/>
      <c r="AEX26" s="325"/>
      <c r="AEY26" s="325"/>
      <c r="AEZ26" s="325"/>
      <c r="AFA26" s="325"/>
      <c r="AFB26" s="325"/>
      <c r="AFC26" s="325"/>
      <c r="AFD26" s="325"/>
      <c r="AFE26" s="325"/>
      <c r="AFF26" s="325"/>
      <c r="AFG26" s="325"/>
      <c r="AFH26" s="325"/>
      <c r="AFI26" s="325"/>
      <c r="AFJ26" s="325"/>
      <c r="AFK26" s="325"/>
      <c r="AFL26" s="325"/>
      <c r="AFM26" s="325"/>
      <c r="AFN26" s="325"/>
      <c r="AFO26" s="325"/>
      <c r="AFP26" s="325"/>
      <c r="AFQ26" s="325"/>
      <c r="AFR26" s="325"/>
      <c r="AFS26" s="325"/>
      <c r="AFT26" s="325"/>
      <c r="AFU26" s="325"/>
      <c r="AFV26" s="325"/>
      <c r="AFW26" s="325"/>
      <c r="AFX26" s="325"/>
      <c r="AFY26" s="325"/>
      <c r="AFZ26" s="325"/>
      <c r="AGA26" s="325"/>
      <c r="AGB26" s="325"/>
      <c r="AGC26" s="325"/>
      <c r="AGD26" s="325"/>
      <c r="AGE26" s="325"/>
      <c r="AGF26" s="325"/>
      <c r="AGG26" s="325"/>
      <c r="AGH26" s="325"/>
      <c r="AGI26" s="325"/>
      <c r="AGJ26" s="325"/>
      <c r="AGK26" s="325"/>
      <c r="AGL26" s="325"/>
      <c r="AGM26" s="325"/>
      <c r="AGN26" s="325"/>
      <c r="AGO26" s="325"/>
      <c r="AGP26" s="325"/>
      <c r="AGQ26" s="325"/>
      <c r="AGR26" s="325"/>
      <c r="AGS26" s="325"/>
      <c r="AGT26" s="325"/>
      <c r="AGU26" s="325"/>
      <c r="AGV26" s="325"/>
      <c r="AGW26" s="325"/>
      <c r="AGX26" s="325"/>
      <c r="AGY26" s="325"/>
      <c r="AGZ26" s="325"/>
      <c r="AHA26" s="325"/>
      <c r="AHB26" s="325"/>
      <c r="AHC26" s="325"/>
      <c r="AHD26" s="325"/>
      <c r="AHE26" s="325"/>
      <c r="AHF26" s="325"/>
      <c r="AHG26" s="325"/>
      <c r="AHH26" s="325"/>
      <c r="AHI26" s="325"/>
      <c r="AHJ26" s="325"/>
      <c r="AHK26" s="325"/>
      <c r="AHL26" s="325"/>
      <c r="AHM26" s="325"/>
      <c r="AHN26" s="325"/>
      <c r="AHO26" s="325"/>
      <c r="AHP26" s="325"/>
      <c r="AHQ26" s="325"/>
      <c r="AHR26" s="325"/>
      <c r="AHS26" s="325"/>
      <c r="AHT26" s="325"/>
      <c r="AHU26" s="325"/>
      <c r="AHV26" s="325"/>
      <c r="AHW26" s="325"/>
      <c r="AHX26" s="325"/>
      <c r="AHY26" s="325"/>
      <c r="AHZ26" s="325"/>
      <c r="AIA26" s="325"/>
      <c r="AIB26" s="325"/>
      <c r="AIC26" s="325"/>
      <c r="AID26" s="325"/>
      <c r="AIE26" s="325"/>
      <c r="AIF26" s="325"/>
      <c r="AIG26" s="325"/>
      <c r="AIH26" s="325"/>
      <c r="AII26" s="325"/>
      <c r="AIJ26" s="325"/>
      <c r="AIK26" s="325"/>
      <c r="AIL26" s="325"/>
      <c r="AIM26" s="325"/>
      <c r="AIN26" s="325"/>
      <c r="AIO26" s="325"/>
      <c r="AIP26" s="325"/>
      <c r="AIQ26" s="325"/>
      <c r="AIR26" s="325"/>
      <c r="AIS26" s="325"/>
      <c r="AIT26" s="325"/>
      <c r="AIU26" s="325"/>
      <c r="AIV26" s="325"/>
      <c r="AIW26" s="325"/>
      <c r="AIX26" s="325"/>
      <c r="AIY26" s="325"/>
      <c r="AIZ26" s="325"/>
      <c r="AJA26" s="325"/>
      <c r="AJB26" s="325"/>
      <c r="AJC26" s="325"/>
      <c r="AJD26" s="325"/>
      <c r="AJE26" s="325"/>
      <c r="AJF26" s="325"/>
      <c r="AJG26" s="325"/>
      <c r="AJH26" s="325"/>
      <c r="AJI26" s="325"/>
      <c r="AJJ26" s="325"/>
      <c r="AJK26" s="325"/>
      <c r="AJL26" s="325"/>
      <c r="AJM26" s="325"/>
      <c r="AJN26" s="325"/>
      <c r="AJO26" s="325"/>
      <c r="AJP26" s="325"/>
      <c r="AJQ26" s="325"/>
      <c r="AJR26" s="325"/>
      <c r="AJS26" s="325"/>
      <c r="AJT26" s="325"/>
      <c r="AJU26" s="325"/>
      <c r="AJV26" s="325"/>
      <c r="AJW26" s="325"/>
      <c r="AJX26" s="325"/>
      <c r="AJY26" s="325"/>
      <c r="AJZ26" s="325"/>
      <c r="AKA26" s="325"/>
      <c r="AKB26" s="325"/>
      <c r="AKC26" s="325"/>
      <c r="AKD26" s="325"/>
      <c r="AKE26" s="325"/>
      <c r="AKF26" s="325"/>
      <c r="AKG26" s="325"/>
      <c r="AKH26" s="325"/>
      <c r="AKI26" s="325"/>
      <c r="AKJ26" s="325"/>
      <c r="AKK26" s="325"/>
      <c r="AKL26" s="325"/>
      <c r="AKM26" s="325"/>
      <c r="AKN26" s="325"/>
      <c r="AKO26" s="325"/>
      <c r="AKP26" s="325"/>
      <c r="AKQ26" s="325"/>
      <c r="AKR26" s="325"/>
      <c r="AKS26" s="325"/>
      <c r="AKT26" s="325"/>
      <c r="AKU26" s="325"/>
      <c r="AKV26" s="325"/>
      <c r="AKW26" s="325"/>
      <c r="AKX26" s="325"/>
      <c r="AKY26" s="325"/>
      <c r="AKZ26" s="325"/>
      <c r="ALA26" s="325"/>
      <c r="ALB26" s="325"/>
      <c r="ALC26" s="325"/>
      <c r="ALD26" s="325"/>
      <c r="ALE26" s="325"/>
      <c r="ALF26" s="325"/>
      <c r="ALG26" s="325"/>
      <c r="ALH26" s="325"/>
      <c r="ALI26" s="325"/>
      <c r="ALJ26" s="325"/>
      <c r="ALK26" s="325"/>
      <c r="ALL26" s="325"/>
      <c r="ALM26" s="325"/>
      <c r="ALN26" s="325"/>
      <c r="ALO26" s="325"/>
      <c r="ALP26" s="325"/>
      <c r="ALQ26" s="325"/>
      <c r="ALR26" s="325"/>
      <c r="ALS26" s="325"/>
      <c r="ALT26" s="325"/>
      <c r="ALU26" s="325"/>
      <c r="ALV26" s="325"/>
      <c r="ALW26" s="325"/>
      <c r="ALX26" s="325"/>
      <c r="ALY26" s="325"/>
      <c r="ALZ26" s="325"/>
      <c r="AMA26" s="325"/>
      <c r="AMB26" s="325"/>
      <c r="AMC26" s="325"/>
    </row>
    <row r="27" spans="1:1017" s="75" customFormat="1" ht="18">
      <c r="C27" s="131">
        <v>1.0833333333333399</v>
      </c>
      <c r="D27" s="319"/>
      <c r="E27" s="319"/>
      <c r="F27" s="319"/>
      <c r="G27" s="319"/>
      <c r="H27" s="319"/>
      <c r="I27" s="319"/>
      <c r="J27" s="316"/>
      <c r="K27" s="319"/>
      <c r="L27" s="319"/>
      <c r="M27" s="319"/>
      <c r="N27" s="319"/>
      <c r="O27" s="319"/>
      <c r="P27" s="319"/>
      <c r="Q27" s="316"/>
      <c r="R27" s="319"/>
      <c r="S27" s="319"/>
      <c r="T27" s="319"/>
      <c r="U27" s="319"/>
      <c r="V27" s="319"/>
      <c r="W27" s="319"/>
      <c r="X27" s="316"/>
      <c r="Y27" s="319"/>
      <c r="Z27" s="319"/>
      <c r="AA27" s="319"/>
      <c r="AB27" s="319"/>
      <c r="AC27" s="319"/>
      <c r="AD27" s="319"/>
      <c r="AE27" s="316"/>
      <c r="AF27" s="319"/>
      <c r="AG27" s="319"/>
      <c r="AH27" s="319"/>
      <c r="AI27" s="319"/>
      <c r="AJ27" s="319"/>
      <c r="AK27" s="319"/>
      <c r="AL27" s="316"/>
      <c r="AM27" s="319"/>
      <c r="AN27" s="319"/>
      <c r="AO27" s="319"/>
      <c r="AP27" s="319"/>
      <c r="AQ27" s="319"/>
      <c r="AR27" s="319"/>
      <c r="AS27" s="316"/>
      <c r="AT27" s="319"/>
      <c r="AU27" s="319"/>
      <c r="AV27" s="319"/>
      <c r="AW27" s="319"/>
      <c r="AX27" s="319"/>
      <c r="AY27" s="319"/>
      <c r="AZ27" s="316"/>
      <c r="BA27" s="319"/>
      <c r="BB27" s="319"/>
      <c r="BC27" s="319"/>
      <c r="BD27" s="319"/>
      <c r="BE27" s="319"/>
      <c r="BF27" s="319"/>
      <c r="BG27" s="316"/>
      <c r="BH27" s="319"/>
      <c r="BI27" s="319"/>
      <c r="BJ27" s="319"/>
      <c r="BK27" s="319"/>
      <c r="BL27" s="319"/>
      <c r="BM27" s="319"/>
      <c r="BN27" s="316"/>
      <c r="BO27" s="319"/>
      <c r="BP27" s="319"/>
      <c r="BQ27" s="319"/>
      <c r="BR27" s="319"/>
      <c r="BS27" s="319"/>
      <c r="BT27" s="319"/>
      <c r="BU27" s="316"/>
      <c r="BV27" s="319"/>
      <c r="BW27" s="319"/>
      <c r="BX27" s="319"/>
      <c r="BY27" s="319"/>
      <c r="BZ27" s="319"/>
      <c r="CA27" s="319"/>
      <c r="CB27" s="316"/>
      <c r="CC27" s="319"/>
      <c r="CD27" s="319"/>
      <c r="CE27" s="319"/>
      <c r="CF27" s="319"/>
      <c r="CG27" s="319"/>
      <c r="CH27" s="319"/>
      <c r="CI27" s="316"/>
      <c r="CJ27" s="319"/>
      <c r="CK27" s="319"/>
      <c r="CL27" s="319"/>
      <c r="CM27" s="319"/>
      <c r="CN27" s="319"/>
      <c r="CO27" s="319"/>
      <c r="CP27" s="316"/>
      <c r="CQ27" s="319"/>
      <c r="CR27" s="319"/>
      <c r="CS27" s="319"/>
      <c r="CT27" s="319"/>
      <c r="CU27" s="319"/>
      <c r="CV27" s="319"/>
      <c r="CW27" s="316"/>
      <c r="CX27" s="319"/>
      <c r="CY27" s="319"/>
      <c r="CZ27" s="319"/>
      <c r="DA27" s="319"/>
      <c r="DB27" s="319"/>
      <c r="DC27" s="319"/>
      <c r="DD27" s="316"/>
      <c r="DE27" s="319"/>
      <c r="DF27" s="319"/>
      <c r="DG27" s="319"/>
      <c r="DH27" s="319"/>
      <c r="DI27" s="319"/>
      <c r="DJ27" s="319"/>
      <c r="DK27" s="316"/>
      <c r="DL27" s="319"/>
      <c r="DM27" s="319"/>
      <c r="DN27" s="319"/>
      <c r="DO27" s="319"/>
      <c r="DP27" s="319"/>
      <c r="DQ27" s="319"/>
      <c r="DR27" s="316"/>
      <c r="DS27" s="319"/>
      <c r="DT27" s="319"/>
      <c r="DU27" s="319"/>
      <c r="DV27" s="319"/>
      <c r="DW27" s="319"/>
      <c r="DX27" s="319"/>
      <c r="DY27" s="316"/>
      <c r="DZ27" s="319"/>
      <c r="EA27" s="319"/>
      <c r="EB27" s="319"/>
      <c r="EC27" s="319"/>
      <c r="ED27" s="319"/>
      <c r="EE27" s="319"/>
      <c r="EF27" s="316"/>
      <c r="EG27" s="319"/>
      <c r="EH27" s="319"/>
      <c r="EI27" s="319"/>
      <c r="EJ27" s="319"/>
      <c r="EK27" s="319"/>
      <c r="EL27" s="319"/>
      <c r="EM27" s="316"/>
      <c r="EN27" s="319"/>
      <c r="EO27" s="319"/>
      <c r="EP27" s="319"/>
      <c r="EQ27" s="319"/>
      <c r="ER27" s="319"/>
      <c r="ES27" s="319"/>
      <c r="ET27" s="316"/>
      <c r="EU27" s="319"/>
      <c r="EV27" s="319"/>
      <c r="EW27" s="319"/>
      <c r="EX27" s="319"/>
      <c r="EY27" s="319"/>
      <c r="EZ27" s="319"/>
      <c r="FA27" s="316"/>
      <c r="FB27" s="319"/>
      <c r="FC27" s="319"/>
      <c r="FD27" s="319"/>
      <c r="FE27" s="319"/>
      <c r="FF27" s="319"/>
      <c r="FG27" s="319"/>
      <c r="FH27" s="316"/>
      <c r="FI27" s="319"/>
      <c r="FJ27" s="319"/>
      <c r="FK27" s="319"/>
      <c r="FL27" s="319"/>
      <c r="FM27" s="319"/>
      <c r="FN27" s="319"/>
      <c r="FO27" s="316"/>
      <c r="FP27" s="319"/>
      <c r="FQ27" s="319"/>
      <c r="FR27" s="319"/>
      <c r="FS27" s="319"/>
      <c r="FT27" s="319"/>
      <c r="FU27" s="319"/>
      <c r="FV27" s="316"/>
      <c r="FW27" s="319"/>
      <c r="FX27" s="319"/>
      <c r="FY27" s="319"/>
      <c r="FZ27" s="319"/>
      <c r="GA27" s="319"/>
      <c r="GB27" s="319"/>
      <c r="GC27" s="316"/>
      <c r="GD27" s="319"/>
      <c r="GE27" s="319"/>
      <c r="GF27" s="319"/>
      <c r="GG27" s="319"/>
      <c r="GH27" s="319"/>
      <c r="GI27" s="319"/>
      <c r="GJ27" s="316"/>
      <c r="GK27" s="319"/>
      <c r="GL27" s="319"/>
      <c r="GM27" s="319"/>
      <c r="GN27" s="319"/>
      <c r="GO27" s="319"/>
      <c r="GP27" s="319"/>
      <c r="GQ27" s="316"/>
      <c r="GR27" s="319"/>
      <c r="GS27" s="319"/>
      <c r="GT27" s="319"/>
      <c r="GU27" s="319"/>
      <c r="GV27" s="319"/>
      <c r="GW27" s="319"/>
      <c r="GX27" s="316"/>
      <c r="GY27" s="319"/>
      <c r="GZ27" s="319"/>
      <c r="HA27" s="319"/>
      <c r="HB27" s="319"/>
      <c r="HC27" s="319"/>
      <c r="HD27" s="319"/>
      <c r="HE27" s="316"/>
      <c r="HF27" s="319"/>
      <c r="HG27" s="319"/>
      <c r="HH27" s="319"/>
      <c r="HI27" s="319"/>
      <c r="HJ27" s="319"/>
      <c r="HK27" s="319"/>
      <c r="HL27" s="316"/>
      <c r="HM27" s="319"/>
      <c r="HN27" s="319"/>
      <c r="HO27" s="319"/>
      <c r="HP27" s="319"/>
      <c r="HQ27" s="319"/>
      <c r="HR27" s="319"/>
      <c r="HS27" s="316"/>
      <c r="HT27" s="319"/>
      <c r="HU27" s="319"/>
      <c r="HV27" s="319"/>
      <c r="HW27" s="319"/>
      <c r="HX27" s="319"/>
      <c r="HY27" s="319"/>
      <c r="HZ27" s="316"/>
      <c r="IA27" s="319"/>
      <c r="IB27" s="319"/>
      <c r="IC27" s="319"/>
      <c r="ID27" s="319"/>
      <c r="IE27" s="319"/>
      <c r="IF27" s="319"/>
      <c r="IG27" s="316"/>
      <c r="IH27" s="319"/>
      <c r="II27" s="319"/>
      <c r="IJ27" s="319"/>
      <c r="IK27" s="319"/>
      <c r="IL27" s="319"/>
      <c r="IM27" s="319"/>
      <c r="IN27" s="316"/>
      <c r="IO27" s="319"/>
      <c r="IP27" s="319"/>
      <c r="IQ27" s="319"/>
      <c r="IR27" s="319"/>
      <c r="IS27" s="319"/>
      <c r="IT27" s="319"/>
      <c r="IU27" s="316"/>
      <c r="IV27" s="319"/>
      <c r="IW27" s="319"/>
      <c r="IX27" s="319"/>
      <c r="IY27" s="319"/>
      <c r="IZ27" s="319"/>
      <c r="JA27" s="319"/>
      <c r="JB27" s="316"/>
      <c r="JC27" s="319"/>
      <c r="JD27" s="319"/>
      <c r="JE27" s="319"/>
      <c r="JF27" s="319"/>
      <c r="JG27" s="319"/>
      <c r="JH27" s="319"/>
      <c r="JI27" s="316"/>
      <c r="JJ27" s="319"/>
      <c r="JK27" s="319"/>
      <c r="JL27" s="319"/>
      <c r="JM27" s="319"/>
      <c r="JN27" s="319"/>
      <c r="JO27" s="319"/>
      <c r="JP27" s="316"/>
      <c r="JQ27" s="319"/>
      <c r="JR27" s="319"/>
      <c r="JS27" s="319"/>
      <c r="JT27" s="319"/>
      <c r="JU27" s="319"/>
      <c r="JV27" s="319"/>
      <c r="JW27" s="316"/>
      <c r="JX27" s="319"/>
      <c r="JY27" s="319"/>
      <c r="JZ27" s="319"/>
      <c r="KA27" s="319"/>
      <c r="KB27" s="319"/>
      <c r="KC27" s="319"/>
      <c r="KD27" s="316"/>
      <c r="KE27" s="319"/>
      <c r="KF27" s="319"/>
      <c r="KG27" s="319"/>
      <c r="KH27" s="319"/>
      <c r="KI27" s="319"/>
      <c r="KJ27" s="319"/>
      <c r="KK27" s="316"/>
      <c r="KL27" s="319"/>
      <c r="KM27" s="319"/>
      <c r="KN27" s="319"/>
      <c r="KO27" s="319"/>
      <c r="KP27" s="319"/>
      <c r="KQ27" s="319"/>
      <c r="KR27" s="316"/>
      <c r="KS27" s="319"/>
      <c r="KT27" s="319"/>
      <c r="KU27" s="319"/>
      <c r="KV27" s="319"/>
      <c r="KW27" s="319"/>
      <c r="KX27" s="319"/>
      <c r="KY27" s="316"/>
      <c r="KZ27" s="319"/>
      <c r="LA27" s="319"/>
      <c r="LB27" s="319"/>
      <c r="LC27" s="319"/>
      <c r="LD27" s="319"/>
      <c r="LE27" s="319"/>
      <c r="LF27" s="316"/>
      <c r="LG27" s="319"/>
      <c r="LH27" s="319"/>
      <c r="LI27" s="319"/>
      <c r="LJ27" s="319"/>
      <c r="LK27" s="319"/>
      <c r="LL27" s="319"/>
      <c r="LM27" s="316"/>
      <c r="LN27" s="319"/>
      <c r="LO27" s="319"/>
      <c r="LP27" s="319"/>
      <c r="LQ27" s="319"/>
      <c r="LR27" s="319"/>
      <c r="LS27" s="319"/>
      <c r="LT27" s="316"/>
      <c r="LU27" s="319"/>
      <c r="LV27" s="319"/>
      <c r="LW27" s="319"/>
      <c r="LX27" s="319"/>
      <c r="LY27" s="319"/>
      <c r="LZ27" s="319"/>
      <c r="MA27" s="316"/>
      <c r="MB27" s="319"/>
      <c r="MC27" s="319"/>
      <c r="MD27" s="319"/>
      <c r="ME27" s="319"/>
      <c r="MF27" s="319"/>
      <c r="MG27" s="319"/>
      <c r="MH27" s="316"/>
      <c r="MI27" s="319"/>
      <c r="MJ27" s="319"/>
      <c r="MK27" s="319"/>
      <c r="ML27" s="319"/>
      <c r="MM27" s="319"/>
      <c r="MN27" s="319"/>
      <c r="MO27" s="316"/>
      <c r="MP27" s="319"/>
      <c r="MQ27" s="319"/>
      <c r="MR27" s="319"/>
      <c r="MS27" s="319"/>
      <c r="MT27" s="319"/>
      <c r="MU27" s="319"/>
      <c r="MV27" s="316"/>
      <c r="MW27" s="319"/>
      <c r="MX27" s="319"/>
      <c r="MY27" s="319"/>
      <c r="MZ27" s="319"/>
      <c r="NA27" s="319"/>
      <c r="NB27" s="319"/>
      <c r="NC27" s="316"/>
      <c r="ND27" s="307"/>
      <c r="NE27" s="333">
        <f t="shared" si="0"/>
        <v>0</v>
      </c>
      <c r="NF27" s="325"/>
      <c r="NG27" s="325"/>
      <c r="NH27" s="325"/>
      <c r="NI27" s="325"/>
      <c r="NJ27" s="325"/>
      <c r="NK27" s="325"/>
      <c r="NL27" s="325"/>
      <c r="NM27" s="325"/>
      <c r="NN27" s="325"/>
      <c r="NO27" s="325"/>
      <c r="NP27" s="325"/>
      <c r="NQ27" s="325"/>
      <c r="NR27" s="325"/>
      <c r="NS27" s="325"/>
      <c r="NT27" s="325"/>
      <c r="NU27" s="325"/>
      <c r="NV27" s="325"/>
      <c r="NW27" s="325"/>
      <c r="NX27" s="325"/>
      <c r="NY27" s="325"/>
      <c r="NZ27" s="325"/>
      <c r="OA27" s="325"/>
      <c r="OB27" s="325"/>
      <c r="OC27" s="325"/>
      <c r="OD27" s="325"/>
      <c r="OE27" s="325"/>
      <c r="OF27" s="325"/>
      <c r="OG27" s="325"/>
      <c r="OH27" s="325"/>
      <c r="OI27" s="325"/>
      <c r="OJ27" s="325"/>
      <c r="OK27" s="325"/>
      <c r="OL27" s="325"/>
      <c r="OM27" s="325"/>
      <c r="ON27" s="325"/>
      <c r="OO27" s="325"/>
      <c r="OP27" s="325"/>
      <c r="OQ27" s="325"/>
      <c r="OR27" s="325"/>
      <c r="OS27" s="325"/>
      <c r="OT27" s="325"/>
      <c r="OU27" s="325"/>
      <c r="OV27" s="325"/>
      <c r="OW27" s="325"/>
      <c r="OX27" s="325"/>
      <c r="OY27" s="325"/>
      <c r="OZ27" s="325"/>
      <c r="PA27" s="325"/>
      <c r="PB27" s="325"/>
      <c r="PC27" s="325"/>
      <c r="PD27" s="325"/>
      <c r="PE27" s="325"/>
      <c r="PF27" s="325"/>
      <c r="PG27" s="325"/>
      <c r="PH27" s="325"/>
      <c r="PI27" s="325"/>
      <c r="PJ27" s="325"/>
      <c r="PK27" s="325"/>
      <c r="PL27" s="325"/>
      <c r="PM27" s="325"/>
      <c r="PN27" s="325"/>
      <c r="PO27" s="325"/>
      <c r="PP27" s="325"/>
      <c r="PQ27" s="325"/>
      <c r="PR27" s="325"/>
      <c r="PS27" s="325"/>
      <c r="PT27" s="325"/>
      <c r="PU27" s="325"/>
      <c r="PV27" s="325"/>
      <c r="PW27" s="325"/>
      <c r="PX27" s="325"/>
      <c r="PY27" s="325"/>
      <c r="PZ27" s="325"/>
      <c r="QA27" s="325"/>
      <c r="QB27" s="325"/>
      <c r="QC27" s="325"/>
      <c r="QD27" s="325"/>
      <c r="QE27" s="325"/>
      <c r="QF27" s="325"/>
      <c r="QG27" s="325"/>
      <c r="QH27" s="325"/>
      <c r="QI27" s="325"/>
      <c r="QJ27" s="325"/>
      <c r="QK27" s="325"/>
      <c r="QL27" s="325"/>
      <c r="QM27" s="325"/>
      <c r="QN27" s="325"/>
      <c r="QO27" s="325"/>
      <c r="QP27" s="325"/>
      <c r="QQ27" s="325"/>
      <c r="QR27" s="325"/>
      <c r="QS27" s="325"/>
      <c r="QT27" s="325"/>
      <c r="QU27" s="325"/>
      <c r="QV27" s="325"/>
      <c r="QW27" s="325"/>
      <c r="QX27" s="325"/>
      <c r="QY27" s="325"/>
      <c r="QZ27" s="325"/>
      <c r="RA27" s="325"/>
      <c r="RB27" s="325"/>
      <c r="RC27" s="325"/>
      <c r="RD27" s="325"/>
      <c r="RE27" s="325"/>
      <c r="RF27" s="325"/>
      <c r="RG27" s="325"/>
      <c r="RH27" s="325"/>
      <c r="RI27" s="325"/>
      <c r="RJ27" s="325"/>
      <c r="RK27" s="325"/>
      <c r="RL27" s="325"/>
      <c r="RM27" s="325"/>
      <c r="RN27" s="325"/>
      <c r="RO27" s="325"/>
      <c r="RP27" s="325"/>
      <c r="RQ27" s="325"/>
      <c r="RR27" s="325"/>
      <c r="RS27" s="325"/>
      <c r="RT27" s="325"/>
      <c r="RU27" s="325"/>
      <c r="RV27" s="325"/>
      <c r="RW27" s="325"/>
      <c r="RX27" s="325"/>
      <c r="RY27" s="325"/>
      <c r="RZ27" s="325"/>
      <c r="SA27" s="325"/>
      <c r="SB27" s="325"/>
      <c r="SC27" s="325"/>
      <c r="SD27" s="325"/>
      <c r="SE27" s="325"/>
      <c r="SF27" s="325"/>
      <c r="SG27" s="325"/>
      <c r="SH27" s="325"/>
      <c r="SI27" s="325"/>
      <c r="SJ27" s="325"/>
      <c r="SK27" s="325"/>
      <c r="SL27" s="325"/>
      <c r="SM27" s="325"/>
      <c r="SN27" s="325"/>
      <c r="SO27" s="325"/>
      <c r="SP27" s="325"/>
      <c r="SQ27" s="325"/>
      <c r="SR27" s="325"/>
      <c r="SS27" s="325"/>
      <c r="ST27" s="325"/>
      <c r="SU27" s="325"/>
      <c r="SV27" s="325"/>
      <c r="SW27" s="325"/>
      <c r="SX27" s="325"/>
      <c r="SY27" s="325"/>
      <c r="SZ27" s="325"/>
      <c r="TA27" s="325"/>
      <c r="TB27" s="325"/>
      <c r="TC27" s="325"/>
      <c r="TD27" s="325"/>
      <c r="TE27" s="325"/>
      <c r="TF27" s="325"/>
      <c r="TG27" s="325"/>
      <c r="TH27" s="325"/>
      <c r="TI27" s="325"/>
      <c r="TJ27" s="325"/>
      <c r="TK27" s="325"/>
      <c r="TL27" s="325"/>
      <c r="TM27" s="325"/>
      <c r="TN27" s="325"/>
      <c r="TO27" s="325"/>
      <c r="TP27" s="325"/>
      <c r="TQ27" s="325"/>
      <c r="TR27" s="325"/>
      <c r="TS27" s="325"/>
      <c r="TT27" s="325"/>
      <c r="TU27" s="325"/>
      <c r="TV27" s="325"/>
      <c r="TW27" s="325"/>
      <c r="TX27" s="325"/>
      <c r="TY27" s="325"/>
      <c r="TZ27" s="325"/>
      <c r="UA27" s="325"/>
      <c r="UB27" s="325"/>
      <c r="UC27" s="325"/>
      <c r="UD27" s="325"/>
      <c r="UE27" s="325"/>
      <c r="UF27" s="325"/>
      <c r="UG27" s="325"/>
      <c r="UH27" s="325"/>
      <c r="UI27" s="325"/>
      <c r="UJ27" s="325"/>
      <c r="UK27" s="325"/>
      <c r="UL27" s="325"/>
      <c r="UM27" s="325"/>
      <c r="UN27" s="325"/>
      <c r="UO27" s="325"/>
      <c r="UP27" s="325"/>
      <c r="UQ27" s="325"/>
      <c r="UR27" s="325"/>
      <c r="US27" s="325"/>
      <c r="UT27" s="325"/>
      <c r="UU27" s="325"/>
      <c r="UV27" s="325"/>
      <c r="UW27" s="325"/>
      <c r="UX27" s="325"/>
      <c r="UY27" s="325"/>
      <c r="UZ27" s="325"/>
      <c r="VA27" s="325"/>
      <c r="VB27" s="325"/>
      <c r="VC27" s="325"/>
      <c r="VD27" s="325"/>
      <c r="VE27" s="325"/>
      <c r="VF27" s="325"/>
      <c r="VG27" s="325"/>
      <c r="VH27" s="325"/>
      <c r="VI27" s="325"/>
      <c r="VJ27" s="325"/>
      <c r="VK27" s="325"/>
      <c r="VL27" s="325"/>
      <c r="VM27" s="325"/>
      <c r="VN27" s="325"/>
      <c r="VO27" s="325"/>
      <c r="VP27" s="325"/>
      <c r="VQ27" s="325"/>
      <c r="VR27" s="325"/>
      <c r="VS27" s="325"/>
      <c r="VT27" s="325"/>
      <c r="VU27" s="325"/>
      <c r="VV27" s="325"/>
      <c r="VW27" s="325"/>
      <c r="VX27" s="325"/>
      <c r="VY27" s="325"/>
      <c r="VZ27" s="325"/>
      <c r="WA27" s="325"/>
      <c r="WB27" s="325"/>
      <c r="WC27" s="325"/>
      <c r="WD27" s="325"/>
      <c r="WE27" s="325"/>
      <c r="WF27" s="325"/>
      <c r="WG27" s="325"/>
      <c r="WH27" s="325"/>
      <c r="WI27" s="325"/>
      <c r="WJ27" s="325"/>
      <c r="WK27" s="325"/>
      <c r="WL27" s="325"/>
      <c r="WM27" s="325"/>
      <c r="WN27" s="325"/>
      <c r="WO27" s="325"/>
      <c r="WP27" s="325"/>
      <c r="WQ27" s="325"/>
      <c r="WR27" s="325"/>
      <c r="WS27" s="325"/>
      <c r="WT27" s="325"/>
      <c r="WU27" s="325"/>
      <c r="WV27" s="325"/>
      <c r="WW27" s="325"/>
      <c r="WX27" s="325"/>
      <c r="WY27" s="325"/>
      <c r="WZ27" s="325"/>
      <c r="XA27" s="325"/>
      <c r="XB27" s="325"/>
      <c r="XC27" s="325"/>
      <c r="XD27" s="325"/>
      <c r="XE27" s="325"/>
      <c r="XF27" s="325"/>
      <c r="XG27" s="325"/>
      <c r="XH27" s="325"/>
      <c r="XI27" s="325"/>
      <c r="XJ27" s="325"/>
      <c r="XK27" s="325"/>
      <c r="XL27" s="325"/>
      <c r="XM27" s="325"/>
      <c r="XN27" s="325"/>
      <c r="XO27" s="325"/>
      <c r="XP27" s="325"/>
      <c r="XQ27" s="325"/>
      <c r="XR27" s="325"/>
      <c r="XS27" s="325"/>
      <c r="XT27" s="325"/>
      <c r="XU27" s="325"/>
      <c r="XV27" s="325"/>
      <c r="XW27" s="325"/>
      <c r="XX27" s="325"/>
      <c r="XY27" s="325"/>
      <c r="XZ27" s="325"/>
      <c r="YA27" s="325"/>
      <c r="YB27" s="325"/>
      <c r="YC27" s="325"/>
      <c r="YD27" s="325"/>
      <c r="YE27" s="325"/>
      <c r="YF27" s="325"/>
      <c r="YG27" s="325"/>
      <c r="YH27" s="325"/>
      <c r="YI27" s="325"/>
      <c r="YJ27" s="325"/>
      <c r="YK27" s="325"/>
      <c r="YL27" s="325"/>
      <c r="YM27" s="325"/>
      <c r="YN27" s="325"/>
      <c r="YO27" s="325"/>
      <c r="YP27" s="325"/>
      <c r="YQ27" s="325"/>
      <c r="YR27" s="325"/>
      <c r="YS27" s="325"/>
      <c r="YT27" s="325"/>
      <c r="YU27" s="325"/>
      <c r="YV27" s="325"/>
      <c r="YW27" s="325"/>
      <c r="YX27" s="325"/>
      <c r="YY27" s="325"/>
      <c r="YZ27" s="325"/>
      <c r="ZA27" s="325"/>
      <c r="ZB27" s="325"/>
      <c r="ZC27" s="325"/>
      <c r="ZD27" s="325"/>
      <c r="ZE27" s="325"/>
      <c r="ZF27" s="325"/>
      <c r="ZG27" s="325"/>
      <c r="ZH27" s="325"/>
      <c r="ZI27" s="325"/>
      <c r="ZJ27" s="325"/>
      <c r="ZK27" s="325"/>
      <c r="ZL27" s="325"/>
      <c r="ZM27" s="325"/>
      <c r="ZN27" s="325"/>
      <c r="ZO27" s="325"/>
      <c r="ZP27" s="325"/>
      <c r="ZQ27" s="325"/>
      <c r="ZR27" s="325"/>
      <c r="ZS27" s="325"/>
      <c r="ZT27" s="325"/>
      <c r="ZU27" s="325"/>
      <c r="ZV27" s="325"/>
      <c r="ZW27" s="325"/>
      <c r="ZX27" s="325"/>
      <c r="ZY27" s="325"/>
      <c r="ZZ27" s="325"/>
      <c r="AAA27" s="325"/>
      <c r="AAB27" s="325"/>
      <c r="AAC27" s="325"/>
      <c r="AAD27" s="325"/>
      <c r="AAE27" s="325"/>
      <c r="AAF27" s="325"/>
      <c r="AAG27" s="325"/>
      <c r="AAH27" s="325"/>
      <c r="AAI27" s="325"/>
      <c r="AAJ27" s="325"/>
      <c r="AAK27" s="325"/>
      <c r="AAL27" s="325"/>
      <c r="AAM27" s="325"/>
      <c r="AAN27" s="325"/>
      <c r="AAO27" s="325"/>
      <c r="AAP27" s="325"/>
      <c r="AAQ27" s="325"/>
      <c r="AAR27" s="325"/>
      <c r="AAS27" s="325"/>
      <c r="AAT27" s="325"/>
      <c r="AAU27" s="325"/>
      <c r="AAV27" s="325"/>
      <c r="AAW27" s="325"/>
      <c r="AAX27" s="325"/>
      <c r="AAY27" s="325"/>
      <c r="AAZ27" s="325"/>
      <c r="ABA27" s="325"/>
      <c r="ABB27" s="325"/>
      <c r="ABC27" s="325"/>
      <c r="ABD27" s="325"/>
      <c r="ABE27" s="325"/>
      <c r="ABF27" s="325"/>
      <c r="ABG27" s="325"/>
      <c r="ABH27" s="325"/>
      <c r="ABI27" s="325"/>
      <c r="ABJ27" s="325"/>
      <c r="ABK27" s="325"/>
      <c r="ABL27" s="325"/>
      <c r="ABM27" s="325"/>
      <c r="ABN27" s="325"/>
      <c r="ABO27" s="325"/>
      <c r="ABP27" s="325"/>
      <c r="ABQ27" s="325"/>
      <c r="ABR27" s="325"/>
      <c r="ABS27" s="325"/>
      <c r="ABT27" s="325"/>
      <c r="ABU27" s="325"/>
      <c r="ABV27" s="325"/>
      <c r="ABW27" s="325"/>
      <c r="ABX27" s="325"/>
      <c r="ABY27" s="325"/>
      <c r="ABZ27" s="325"/>
      <c r="ACA27" s="325"/>
      <c r="ACB27" s="325"/>
      <c r="ACC27" s="325"/>
      <c r="ACD27" s="325"/>
      <c r="ACE27" s="325"/>
      <c r="ACF27" s="325"/>
      <c r="ACG27" s="325"/>
      <c r="ACH27" s="325"/>
      <c r="ACI27" s="325"/>
      <c r="ACJ27" s="325"/>
      <c r="ACK27" s="325"/>
      <c r="ACL27" s="325"/>
      <c r="ACM27" s="325"/>
      <c r="ACN27" s="325"/>
      <c r="ACO27" s="325"/>
      <c r="ACP27" s="325"/>
      <c r="ACQ27" s="325"/>
      <c r="ACR27" s="325"/>
      <c r="ACS27" s="325"/>
      <c r="ACT27" s="325"/>
      <c r="ACU27" s="325"/>
      <c r="ACV27" s="325"/>
      <c r="ACW27" s="325"/>
      <c r="ACX27" s="325"/>
      <c r="ACY27" s="325"/>
      <c r="ACZ27" s="325"/>
      <c r="ADA27" s="325"/>
      <c r="ADB27" s="325"/>
      <c r="ADC27" s="325"/>
      <c r="ADD27" s="325"/>
      <c r="ADE27" s="325"/>
      <c r="ADF27" s="325"/>
      <c r="ADG27" s="325"/>
      <c r="ADH27" s="325"/>
      <c r="ADI27" s="325"/>
      <c r="ADJ27" s="325"/>
      <c r="ADK27" s="325"/>
      <c r="ADL27" s="325"/>
      <c r="ADM27" s="325"/>
      <c r="ADN27" s="325"/>
      <c r="ADO27" s="325"/>
      <c r="ADP27" s="325"/>
      <c r="ADQ27" s="325"/>
      <c r="ADR27" s="325"/>
      <c r="ADS27" s="325"/>
      <c r="ADT27" s="325"/>
      <c r="ADU27" s="325"/>
      <c r="ADV27" s="325"/>
      <c r="ADW27" s="325"/>
      <c r="ADX27" s="325"/>
      <c r="ADY27" s="325"/>
      <c r="ADZ27" s="325"/>
      <c r="AEA27" s="325"/>
      <c r="AEB27" s="325"/>
      <c r="AEC27" s="325"/>
      <c r="AED27" s="325"/>
      <c r="AEE27" s="325"/>
      <c r="AEF27" s="325"/>
      <c r="AEG27" s="325"/>
      <c r="AEH27" s="325"/>
      <c r="AEI27" s="325"/>
      <c r="AEJ27" s="325"/>
      <c r="AEK27" s="325"/>
      <c r="AEL27" s="325"/>
      <c r="AEM27" s="325"/>
      <c r="AEN27" s="325"/>
      <c r="AEO27" s="325"/>
      <c r="AEP27" s="325"/>
      <c r="AEQ27" s="325"/>
      <c r="AER27" s="325"/>
      <c r="AES27" s="325"/>
      <c r="AET27" s="325"/>
      <c r="AEU27" s="325"/>
      <c r="AEV27" s="325"/>
      <c r="AEW27" s="325"/>
      <c r="AEX27" s="325"/>
      <c r="AEY27" s="325"/>
      <c r="AEZ27" s="325"/>
      <c r="AFA27" s="325"/>
      <c r="AFB27" s="325"/>
      <c r="AFC27" s="325"/>
      <c r="AFD27" s="325"/>
      <c r="AFE27" s="325"/>
      <c r="AFF27" s="325"/>
      <c r="AFG27" s="325"/>
      <c r="AFH27" s="325"/>
      <c r="AFI27" s="325"/>
      <c r="AFJ27" s="325"/>
      <c r="AFK27" s="325"/>
      <c r="AFL27" s="325"/>
      <c r="AFM27" s="325"/>
      <c r="AFN27" s="325"/>
      <c r="AFO27" s="325"/>
      <c r="AFP27" s="325"/>
      <c r="AFQ27" s="325"/>
      <c r="AFR27" s="325"/>
      <c r="AFS27" s="325"/>
      <c r="AFT27" s="325"/>
      <c r="AFU27" s="325"/>
      <c r="AFV27" s="325"/>
      <c r="AFW27" s="325"/>
      <c r="AFX27" s="325"/>
      <c r="AFY27" s="325"/>
      <c r="AFZ27" s="325"/>
      <c r="AGA27" s="325"/>
      <c r="AGB27" s="325"/>
      <c r="AGC27" s="325"/>
      <c r="AGD27" s="325"/>
      <c r="AGE27" s="325"/>
      <c r="AGF27" s="325"/>
      <c r="AGG27" s="325"/>
      <c r="AGH27" s="325"/>
      <c r="AGI27" s="325"/>
      <c r="AGJ27" s="325"/>
      <c r="AGK27" s="325"/>
      <c r="AGL27" s="325"/>
      <c r="AGM27" s="325"/>
      <c r="AGN27" s="325"/>
      <c r="AGO27" s="325"/>
      <c r="AGP27" s="325"/>
      <c r="AGQ27" s="325"/>
      <c r="AGR27" s="325"/>
      <c r="AGS27" s="325"/>
      <c r="AGT27" s="325"/>
      <c r="AGU27" s="325"/>
      <c r="AGV27" s="325"/>
      <c r="AGW27" s="325"/>
      <c r="AGX27" s="325"/>
      <c r="AGY27" s="325"/>
      <c r="AGZ27" s="325"/>
      <c r="AHA27" s="325"/>
      <c r="AHB27" s="325"/>
      <c r="AHC27" s="325"/>
      <c r="AHD27" s="325"/>
      <c r="AHE27" s="325"/>
      <c r="AHF27" s="325"/>
      <c r="AHG27" s="325"/>
      <c r="AHH27" s="325"/>
      <c r="AHI27" s="325"/>
      <c r="AHJ27" s="325"/>
      <c r="AHK27" s="325"/>
      <c r="AHL27" s="325"/>
      <c r="AHM27" s="325"/>
      <c r="AHN27" s="325"/>
      <c r="AHO27" s="325"/>
      <c r="AHP27" s="325"/>
      <c r="AHQ27" s="325"/>
      <c r="AHR27" s="325"/>
      <c r="AHS27" s="325"/>
      <c r="AHT27" s="325"/>
      <c r="AHU27" s="325"/>
      <c r="AHV27" s="325"/>
      <c r="AHW27" s="325"/>
      <c r="AHX27" s="325"/>
      <c r="AHY27" s="325"/>
      <c r="AHZ27" s="325"/>
      <c r="AIA27" s="325"/>
      <c r="AIB27" s="325"/>
      <c r="AIC27" s="325"/>
      <c r="AID27" s="325"/>
      <c r="AIE27" s="325"/>
      <c r="AIF27" s="325"/>
      <c r="AIG27" s="325"/>
      <c r="AIH27" s="325"/>
      <c r="AII27" s="325"/>
      <c r="AIJ27" s="325"/>
      <c r="AIK27" s="325"/>
      <c r="AIL27" s="325"/>
      <c r="AIM27" s="325"/>
      <c r="AIN27" s="325"/>
      <c r="AIO27" s="325"/>
      <c r="AIP27" s="325"/>
      <c r="AIQ27" s="325"/>
      <c r="AIR27" s="325"/>
      <c r="AIS27" s="325"/>
      <c r="AIT27" s="325"/>
      <c r="AIU27" s="325"/>
      <c r="AIV27" s="325"/>
      <c r="AIW27" s="325"/>
      <c r="AIX27" s="325"/>
      <c r="AIY27" s="325"/>
      <c r="AIZ27" s="325"/>
      <c r="AJA27" s="325"/>
      <c r="AJB27" s="325"/>
      <c r="AJC27" s="325"/>
      <c r="AJD27" s="325"/>
      <c r="AJE27" s="325"/>
      <c r="AJF27" s="325"/>
      <c r="AJG27" s="325"/>
      <c r="AJH27" s="325"/>
      <c r="AJI27" s="325"/>
      <c r="AJJ27" s="325"/>
      <c r="AJK27" s="325"/>
      <c r="AJL27" s="325"/>
      <c r="AJM27" s="325"/>
      <c r="AJN27" s="325"/>
      <c r="AJO27" s="325"/>
      <c r="AJP27" s="325"/>
      <c r="AJQ27" s="325"/>
      <c r="AJR27" s="325"/>
      <c r="AJS27" s="325"/>
      <c r="AJT27" s="325"/>
      <c r="AJU27" s="325"/>
      <c r="AJV27" s="325"/>
      <c r="AJW27" s="325"/>
      <c r="AJX27" s="325"/>
      <c r="AJY27" s="325"/>
      <c r="AJZ27" s="325"/>
      <c r="AKA27" s="325"/>
      <c r="AKB27" s="325"/>
      <c r="AKC27" s="325"/>
      <c r="AKD27" s="325"/>
      <c r="AKE27" s="325"/>
      <c r="AKF27" s="325"/>
      <c r="AKG27" s="325"/>
      <c r="AKH27" s="325"/>
      <c r="AKI27" s="325"/>
      <c r="AKJ27" s="325"/>
      <c r="AKK27" s="325"/>
      <c r="AKL27" s="325"/>
      <c r="AKM27" s="325"/>
      <c r="AKN27" s="325"/>
      <c r="AKO27" s="325"/>
      <c r="AKP27" s="325"/>
      <c r="AKQ27" s="325"/>
      <c r="AKR27" s="325"/>
      <c r="AKS27" s="325"/>
      <c r="AKT27" s="325"/>
      <c r="AKU27" s="325"/>
      <c r="AKV27" s="325"/>
      <c r="AKW27" s="325"/>
      <c r="AKX27" s="325"/>
      <c r="AKY27" s="325"/>
      <c r="AKZ27" s="325"/>
      <c r="ALA27" s="325"/>
      <c r="ALB27" s="325"/>
      <c r="ALC27" s="325"/>
      <c r="ALD27" s="325"/>
      <c r="ALE27" s="325"/>
      <c r="ALF27" s="325"/>
      <c r="ALG27" s="325"/>
      <c r="ALH27" s="325"/>
      <c r="ALI27" s="325"/>
      <c r="ALJ27" s="325"/>
      <c r="ALK27" s="325"/>
      <c r="ALL27" s="325"/>
      <c r="ALM27" s="325"/>
      <c r="ALN27" s="325"/>
      <c r="ALO27" s="325"/>
      <c r="ALP27" s="325"/>
      <c r="ALQ27" s="325"/>
      <c r="ALR27" s="325"/>
      <c r="ALS27" s="325"/>
      <c r="ALT27" s="325"/>
      <c r="ALU27" s="325"/>
      <c r="ALV27" s="325"/>
      <c r="ALW27" s="325"/>
      <c r="ALX27" s="325"/>
      <c r="ALY27" s="325"/>
      <c r="ALZ27" s="325"/>
      <c r="AMA27" s="325"/>
      <c r="AMB27" s="325"/>
      <c r="AMC27" s="325"/>
    </row>
    <row r="28" spans="1:1017" s="290" customFormat="1">
      <c r="C28" s="329" t="s">
        <v>129</v>
      </c>
      <c r="D28" s="290">
        <f>SUM(D10:D27)</f>
        <v>0</v>
      </c>
      <c r="E28" s="290">
        <f>SUM(E10:E27)</f>
        <v>0</v>
      </c>
      <c r="F28" s="290">
        <f t="shared" ref="F28:BP28" si="1">SUM(F10:F27)</f>
        <v>0</v>
      </c>
      <c r="G28" s="290">
        <f t="shared" si="1"/>
        <v>0</v>
      </c>
      <c r="H28" s="290">
        <f t="shared" si="1"/>
        <v>0</v>
      </c>
      <c r="I28" s="290">
        <f t="shared" si="1"/>
        <v>0</v>
      </c>
      <c r="J28" s="290">
        <f t="shared" si="1"/>
        <v>0</v>
      </c>
      <c r="K28" s="290">
        <f t="shared" si="1"/>
        <v>0</v>
      </c>
      <c r="L28" s="290">
        <f t="shared" si="1"/>
        <v>0</v>
      </c>
      <c r="M28" s="290">
        <f t="shared" si="1"/>
        <v>0</v>
      </c>
      <c r="N28" s="290">
        <f t="shared" si="1"/>
        <v>0</v>
      </c>
      <c r="O28" s="290">
        <f t="shared" si="1"/>
        <v>0</v>
      </c>
      <c r="P28" s="290">
        <f t="shared" si="1"/>
        <v>0</v>
      </c>
      <c r="Q28" s="290">
        <f t="shared" si="1"/>
        <v>0</v>
      </c>
      <c r="R28" s="290">
        <f t="shared" si="1"/>
        <v>0</v>
      </c>
      <c r="S28" s="290">
        <f t="shared" si="1"/>
        <v>0</v>
      </c>
      <c r="T28" s="290">
        <f t="shared" si="1"/>
        <v>0</v>
      </c>
      <c r="U28" s="290">
        <f t="shared" si="1"/>
        <v>0</v>
      </c>
      <c r="V28" s="290">
        <f t="shared" si="1"/>
        <v>0</v>
      </c>
      <c r="W28" s="290">
        <f t="shared" si="1"/>
        <v>0</v>
      </c>
      <c r="X28" s="290">
        <f t="shared" si="1"/>
        <v>0</v>
      </c>
      <c r="Y28" s="290">
        <f t="shared" si="1"/>
        <v>0</v>
      </c>
      <c r="Z28" s="290">
        <f t="shared" si="1"/>
        <v>0</v>
      </c>
      <c r="AA28" s="290">
        <f t="shared" si="1"/>
        <v>0</v>
      </c>
      <c r="AB28" s="290">
        <f t="shared" si="1"/>
        <v>0</v>
      </c>
      <c r="AC28" s="290">
        <f t="shared" si="1"/>
        <v>0</v>
      </c>
      <c r="AD28" s="290">
        <f t="shared" si="1"/>
        <v>0</v>
      </c>
      <c r="AE28" s="290">
        <f t="shared" si="1"/>
        <v>0</v>
      </c>
      <c r="AF28" s="290">
        <f t="shared" si="1"/>
        <v>0</v>
      </c>
      <c r="AG28" s="290">
        <f t="shared" si="1"/>
        <v>0</v>
      </c>
      <c r="AH28" s="290">
        <f t="shared" si="1"/>
        <v>0</v>
      </c>
      <c r="AI28" s="290">
        <f t="shared" si="1"/>
        <v>0</v>
      </c>
      <c r="AJ28" s="290">
        <f t="shared" si="1"/>
        <v>0</v>
      </c>
      <c r="AK28" s="290">
        <f t="shared" si="1"/>
        <v>0</v>
      </c>
      <c r="AL28" s="290">
        <f t="shared" si="1"/>
        <v>0</v>
      </c>
      <c r="AM28" s="290">
        <f t="shared" si="1"/>
        <v>0</v>
      </c>
      <c r="AN28" s="290">
        <f t="shared" si="1"/>
        <v>0</v>
      </c>
      <c r="AO28" s="290">
        <f t="shared" si="1"/>
        <v>0</v>
      </c>
      <c r="AP28" s="290">
        <f t="shared" si="1"/>
        <v>0</v>
      </c>
      <c r="AQ28" s="290">
        <f t="shared" si="1"/>
        <v>0</v>
      </c>
      <c r="AR28" s="290">
        <f t="shared" si="1"/>
        <v>0</v>
      </c>
      <c r="AS28" s="290">
        <f t="shared" si="1"/>
        <v>0</v>
      </c>
      <c r="AT28" s="290">
        <f t="shared" si="1"/>
        <v>0</v>
      </c>
      <c r="AU28" s="290">
        <f t="shared" si="1"/>
        <v>0</v>
      </c>
      <c r="AV28" s="290">
        <f t="shared" si="1"/>
        <v>0</v>
      </c>
      <c r="AW28" s="290">
        <f t="shared" si="1"/>
        <v>0</v>
      </c>
      <c r="AX28" s="290">
        <f t="shared" si="1"/>
        <v>0</v>
      </c>
      <c r="AY28" s="290">
        <f t="shared" si="1"/>
        <v>0</v>
      </c>
      <c r="AZ28" s="290">
        <f t="shared" si="1"/>
        <v>0</v>
      </c>
      <c r="BA28" s="290">
        <f t="shared" si="1"/>
        <v>0</v>
      </c>
      <c r="BB28" s="290">
        <f t="shared" si="1"/>
        <v>0</v>
      </c>
      <c r="BC28" s="290">
        <f t="shared" si="1"/>
        <v>0</v>
      </c>
      <c r="BD28" s="290">
        <f t="shared" si="1"/>
        <v>0</v>
      </c>
      <c r="BE28" s="290">
        <f t="shared" si="1"/>
        <v>0</v>
      </c>
      <c r="BF28" s="290">
        <f t="shared" si="1"/>
        <v>0</v>
      </c>
      <c r="BG28" s="290">
        <f t="shared" si="1"/>
        <v>0</v>
      </c>
      <c r="BH28" s="290">
        <f t="shared" si="1"/>
        <v>0</v>
      </c>
      <c r="BI28" s="290">
        <f t="shared" si="1"/>
        <v>0</v>
      </c>
      <c r="BJ28" s="290">
        <f t="shared" si="1"/>
        <v>0</v>
      </c>
      <c r="BK28" s="290">
        <f t="shared" si="1"/>
        <v>0</v>
      </c>
      <c r="BL28" s="290">
        <f t="shared" si="1"/>
        <v>0</v>
      </c>
      <c r="BM28" s="290">
        <f t="shared" si="1"/>
        <v>0</v>
      </c>
      <c r="BN28" s="290">
        <f t="shared" si="1"/>
        <v>0</v>
      </c>
      <c r="BO28" s="290">
        <f t="shared" si="1"/>
        <v>0</v>
      </c>
      <c r="BP28" s="290">
        <f t="shared" si="1"/>
        <v>0</v>
      </c>
      <c r="BQ28" s="290">
        <f t="shared" ref="BQ28:EB28" si="2">SUM(BQ10:BQ27)</f>
        <v>0</v>
      </c>
      <c r="BR28" s="290">
        <f t="shared" si="2"/>
        <v>0</v>
      </c>
      <c r="BS28" s="290">
        <f t="shared" si="2"/>
        <v>0</v>
      </c>
      <c r="BT28" s="290">
        <f t="shared" si="2"/>
        <v>0</v>
      </c>
      <c r="BU28" s="290">
        <f t="shared" si="2"/>
        <v>0</v>
      </c>
      <c r="BV28" s="290">
        <f t="shared" si="2"/>
        <v>0</v>
      </c>
      <c r="BW28" s="290">
        <f t="shared" si="2"/>
        <v>0</v>
      </c>
      <c r="BX28" s="290">
        <f t="shared" si="2"/>
        <v>0</v>
      </c>
      <c r="BY28" s="290">
        <f t="shared" si="2"/>
        <v>0</v>
      </c>
      <c r="BZ28" s="290">
        <f t="shared" si="2"/>
        <v>0</v>
      </c>
      <c r="CA28" s="290">
        <f t="shared" si="2"/>
        <v>0</v>
      </c>
      <c r="CB28" s="290">
        <f t="shared" si="2"/>
        <v>0</v>
      </c>
      <c r="CC28" s="290">
        <f t="shared" si="2"/>
        <v>0</v>
      </c>
      <c r="CD28" s="290">
        <f t="shared" si="2"/>
        <v>0</v>
      </c>
      <c r="CE28" s="290">
        <f t="shared" si="2"/>
        <v>0</v>
      </c>
      <c r="CF28" s="290">
        <f t="shared" si="2"/>
        <v>0</v>
      </c>
      <c r="CG28" s="290">
        <f t="shared" si="2"/>
        <v>0</v>
      </c>
      <c r="CH28" s="290">
        <f t="shared" si="2"/>
        <v>0</v>
      </c>
      <c r="CI28" s="290">
        <f t="shared" si="2"/>
        <v>0</v>
      </c>
      <c r="CJ28" s="290">
        <f t="shared" si="2"/>
        <v>0</v>
      </c>
      <c r="CK28" s="290">
        <f t="shared" si="2"/>
        <v>0</v>
      </c>
      <c r="CL28" s="290">
        <f t="shared" si="2"/>
        <v>0</v>
      </c>
      <c r="CM28" s="290">
        <f t="shared" si="2"/>
        <v>0</v>
      </c>
      <c r="CN28" s="290">
        <f t="shared" si="2"/>
        <v>0</v>
      </c>
      <c r="CO28" s="290">
        <f t="shared" si="2"/>
        <v>0</v>
      </c>
      <c r="CP28" s="290">
        <f t="shared" si="2"/>
        <v>0</v>
      </c>
      <c r="CQ28" s="290">
        <f t="shared" si="2"/>
        <v>0</v>
      </c>
      <c r="CR28" s="290">
        <f t="shared" si="2"/>
        <v>0</v>
      </c>
      <c r="CS28" s="290">
        <f t="shared" si="2"/>
        <v>0</v>
      </c>
      <c r="CT28" s="290">
        <f t="shared" si="2"/>
        <v>0</v>
      </c>
      <c r="CU28" s="290">
        <f t="shared" si="2"/>
        <v>0</v>
      </c>
      <c r="CV28" s="290">
        <f t="shared" si="2"/>
        <v>0</v>
      </c>
      <c r="CW28" s="290">
        <f t="shared" si="2"/>
        <v>0</v>
      </c>
      <c r="CX28" s="290">
        <f t="shared" si="2"/>
        <v>0</v>
      </c>
      <c r="CY28" s="290">
        <f t="shared" si="2"/>
        <v>0</v>
      </c>
      <c r="CZ28" s="290">
        <f t="shared" si="2"/>
        <v>0</v>
      </c>
      <c r="DA28" s="290">
        <f t="shared" si="2"/>
        <v>0</v>
      </c>
      <c r="DB28" s="290">
        <f t="shared" si="2"/>
        <v>0</v>
      </c>
      <c r="DC28" s="290">
        <f t="shared" si="2"/>
        <v>0</v>
      </c>
      <c r="DD28" s="290">
        <f t="shared" si="2"/>
        <v>0</v>
      </c>
      <c r="DE28" s="290">
        <f t="shared" si="2"/>
        <v>0</v>
      </c>
      <c r="DF28" s="290">
        <f t="shared" si="2"/>
        <v>0</v>
      </c>
      <c r="DG28" s="290">
        <f t="shared" si="2"/>
        <v>0</v>
      </c>
      <c r="DH28" s="290">
        <f t="shared" si="2"/>
        <v>0</v>
      </c>
      <c r="DI28" s="290">
        <f t="shared" si="2"/>
        <v>0</v>
      </c>
      <c r="DJ28" s="290">
        <f t="shared" si="2"/>
        <v>0</v>
      </c>
      <c r="DK28" s="290">
        <f t="shared" si="2"/>
        <v>0</v>
      </c>
      <c r="DL28" s="290">
        <f t="shared" si="2"/>
        <v>0</v>
      </c>
      <c r="DM28" s="290">
        <f t="shared" si="2"/>
        <v>0</v>
      </c>
      <c r="DN28" s="290">
        <f t="shared" si="2"/>
        <v>0</v>
      </c>
      <c r="DO28" s="290">
        <f t="shared" si="2"/>
        <v>0</v>
      </c>
      <c r="DP28" s="290">
        <f t="shared" si="2"/>
        <v>0</v>
      </c>
      <c r="DQ28" s="290">
        <f t="shared" si="2"/>
        <v>0</v>
      </c>
      <c r="DR28" s="290">
        <f t="shared" si="2"/>
        <v>0</v>
      </c>
      <c r="DS28" s="290">
        <f t="shared" si="2"/>
        <v>0</v>
      </c>
      <c r="DT28" s="290">
        <f t="shared" si="2"/>
        <v>0</v>
      </c>
      <c r="DU28" s="290">
        <f t="shared" si="2"/>
        <v>0</v>
      </c>
      <c r="DV28" s="290">
        <f t="shared" si="2"/>
        <v>0</v>
      </c>
      <c r="DW28" s="290">
        <f t="shared" si="2"/>
        <v>0</v>
      </c>
      <c r="DX28" s="290">
        <f t="shared" si="2"/>
        <v>0</v>
      </c>
      <c r="DY28" s="290">
        <f t="shared" si="2"/>
        <v>0</v>
      </c>
      <c r="DZ28" s="290">
        <f t="shared" si="2"/>
        <v>0</v>
      </c>
      <c r="EA28" s="290">
        <f t="shared" si="2"/>
        <v>0</v>
      </c>
      <c r="EB28" s="290">
        <f t="shared" si="2"/>
        <v>0</v>
      </c>
      <c r="EC28" s="290">
        <f t="shared" ref="EC28:GN28" si="3">SUM(EC10:EC27)</f>
        <v>0</v>
      </c>
      <c r="ED28" s="290">
        <f t="shared" si="3"/>
        <v>0</v>
      </c>
      <c r="EE28" s="290">
        <f t="shared" si="3"/>
        <v>0</v>
      </c>
      <c r="EF28" s="290">
        <f t="shared" si="3"/>
        <v>0</v>
      </c>
      <c r="EG28" s="290">
        <f t="shared" si="3"/>
        <v>0</v>
      </c>
      <c r="EH28" s="290">
        <f t="shared" si="3"/>
        <v>0</v>
      </c>
      <c r="EI28" s="290">
        <f t="shared" si="3"/>
        <v>0</v>
      </c>
      <c r="EJ28" s="290">
        <f t="shared" si="3"/>
        <v>0</v>
      </c>
      <c r="EK28" s="290">
        <f t="shared" si="3"/>
        <v>0</v>
      </c>
      <c r="EL28" s="290">
        <f t="shared" si="3"/>
        <v>0</v>
      </c>
      <c r="EM28" s="290">
        <f t="shared" si="3"/>
        <v>0</v>
      </c>
      <c r="EN28" s="290">
        <f t="shared" si="3"/>
        <v>0</v>
      </c>
      <c r="EO28" s="290">
        <f t="shared" si="3"/>
        <v>0</v>
      </c>
      <c r="EP28" s="290">
        <f t="shared" si="3"/>
        <v>0</v>
      </c>
      <c r="EQ28" s="290">
        <f t="shared" si="3"/>
        <v>0</v>
      </c>
      <c r="ER28" s="290">
        <f t="shared" si="3"/>
        <v>0</v>
      </c>
      <c r="ES28" s="290">
        <f t="shared" si="3"/>
        <v>0</v>
      </c>
      <c r="ET28" s="290">
        <f t="shared" si="3"/>
        <v>0</v>
      </c>
      <c r="EU28" s="290">
        <f t="shared" si="3"/>
        <v>0</v>
      </c>
      <c r="EV28" s="290">
        <f t="shared" si="3"/>
        <v>0</v>
      </c>
      <c r="EW28" s="290">
        <f t="shared" si="3"/>
        <v>0</v>
      </c>
      <c r="EX28" s="290">
        <f t="shared" si="3"/>
        <v>0</v>
      </c>
      <c r="EY28" s="290">
        <f t="shared" si="3"/>
        <v>0</v>
      </c>
      <c r="EZ28" s="290">
        <f t="shared" si="3"/>
        <v>0</v>
      </c>
      <c r="FA28" s="290">
        <f t="shared" si="3"/>
        <v>0</v>
      </c>
      <c r="FB28" s="290">
        <f t="shared" si="3"/>
        <v>0</v>
      </c>
      <c r="FC28" s="290">
        <f t="shared" si="3"/>
        <v>0</v>
      </c>
      <c r="FD28" s="290">
        <f t="shared" si="3"/>
        <v>0</v>
      </c>
      <c r="FE28" s="290">
        <f t="shared" si="3"/>
        <v>0</v>
      </c>
      <c r="FF28" s="290">
        <f t="shared" si="3"/>
        <v>0</v>
      </c>
      <c r="FG28" s="290">
        <f t="shared" si="3"/>
        <v>0</v>
      </c>
      <c r="FH28" s="290">
        <f t="shared" si="3"/>
        <v>0</v>
      </c>
      <c r="FI28" s="290">
        <f t="shared" si="3"/>
        <v>0</v>
      </c>
      <c r="FJ28" s="290">
        <f t="shared" si="3"/>
        <v>0</v>
      </c>
      <c r="FK28" s="290">
        <f t="shared" si="3"/>
        <v>0</v>
      </c>
      <c r="FL28" s="290">
        <f t="shared" si="3"/>
        <v>0</v>
      </c>
      <c r="FM28" s="290">
        <f t="shared" si="3"/>
        <v>0</v>
      </c>
      <c r="FN28" s="290">
        <f t="shared" si="3"/>
        <v>0</v>
      </c>
      <c r="FO28" s="290">
        <f t="shared" si="3"/>
        <v>0</v>
      </c>
      <c r="FP28" s="290">
        <f t="shared" si="3"/>
        <v>0</v>
      </c>
      <c r="FQ28" s="290">
        <f t="shared" si="3"/>
        <v>0</v>
      </c>
      <c r="FR28" s="290">
        <f t="shared" si="3"/>
        <v>0</v>
      </c>
      <c r="FS28" s="290">
        <f t="shared" si="3"/>
        <v>0</v>
      </c>
      <c r="FT28" s="290">
        <f t="shared" si="3"/>
        <v>0</v>
      </c>
      <c r="FU28" s="290">
        <f t="shared" si="3"/>
        <v>0</v>
      </c>
      <c r="FV28" s="290">
        <f t="shared" si="3"/>
        <v>0</v>
      </c>
      <c r="FW28" s="290">
        <f t="shared" si="3"/>
        <v>0</v>
      </c>
      <c r="FX28" s="290">
        <f t="shared" si="3"/>
        <v>0</v>
      </c>
      <c r="FY28" s="290">
        <f t="shared" si="3"/>
        <v>0</v>
      </c>
      <c r="FZ28" s="290">
        <f t="shared" si="3"/>
        <v>0</v>
      </c>
      <c r="GA28" s="290">
        <f t="shared" si="3"/>
        <v>0</v>
      </c>
      <c r="GB28" s="290">
        <f t="shared" si="3"/>
        <v>0</v>
      </c>
      <c r="GC28" s="290">
        <f t="shared" si="3"/>
        <v>0</v>
      </c>
      <c r="GD28" s="290">
        <f t="shared" si="3"/>
        <v>0</v>
      </c>
      <c r="GE28" s="290">
        <f t="shared" si="3"/>
        <v>0</v>
      </c>
      <c r="GF28" s="290">
        <f t="shared" si="3"/>
        <v>0</v>
      </c>
      <c r="GG28" s="290">
        <f t="shared" si="3"/>
        <v>0</v>
      </c>
      <c r="GH28" s="290">
        <f t="shared" si="3"/>
        <v>0</v>
      </c>
      <c r="GI28" s="290">
        <f t="shared" si="3"/>
        <v>0</v>
      </c>
      <c r="GJ28" s="290">
        <f t="shared" si="3"/>
        <v>0</v>
      </c>
      <c r="GK28" s="290">
        <f t="shared" si="3"/>
        <v>0</v>
      </c>
      <c r="GL28" s="290">
        <f t="shared" si="3"/>
        <v>0</v>
      </c>
      <c r="GM28" s="290">
        <f t="shared" si="3"/>
        <v>0</v>
      </c>
      <c r="GN28" s="290">
        <f t="shared" si="3"/>
        <v>0</v>
      </c>
      <c r="GO28" s="290">
        <f t="shared" ref="GO28:IZ28" si="4">SUM(GO10:GO27)</f>
        <v>0</v>
      </c>
      <c r="GP28" s="290">
        <f t="shared" si="4"/>
        <v>0</v>
      </c>
      <c r="GQ28" s="290">
        <f t="shared" si="4"/>
        <v>0</v>
      </c>
      <c r="GR28" s="290">
        <f t="shared" si="4"/>
        <v>0</v>
      </c>
      <c r="GS28" s="290">
        <f t="shared" si="4"/>
        <v>0</v>
      </c>
      <c r="GT28" s="290">
        <f t="shared" si="4"/>
        <v>0</v>
      </c>
      <c r="GU28" s="290">
        <f t="shared" si="4"/>
        <v>0</v>
      </c>
      <c r="GV28" s="290">
        <f t="shared" si="4"/>
        <v>0</v>
      </c>
      <c r="GW28" s="290">
        <f t="shared" si="4"/>
        <v>0</v>
      </c>
      <c r="GX28" s="290">
        <f t="shared" si="4"/>
        <v>0</v>
      </c>
      <c r="GY28" s="290">
        <f t="shared" si="4"/>
        <v>0</v>
      </c>
      <c r="GZ28" s="290">
        <f t="shared" si="4"/>
        <v>0</v>
      </c>
      <c r="HA28" s="290">
        <f t="shared" si="4"/>
        <v>0</v>
      </c>
      <c r="HB28" s="290">
        <f t="shared" si="4"/>
        <v>0</v>
      </c>
      <c r="HC28" s="290">
        <f t="shared" si="4"/>
        <v>0</v>
      </c>
      <c r="HD28" s="290">
        <f t="shared" si="4"/>
        <v>0</v>
      </c>
      <c r="HE28" s="290">
        <f t="shared" si="4"/>
        <v>0</v>
      </c>
      <c r="HF28" s="290">
        <f t="shared" si="4"/>
        <v>0</v>
      </c>
      <c r="HG28" s="290">
        <f t="shared" si="4"/>
        <v>0</v>
      </c>
      <c r="HH28" s="290">
        <f t="shared" si="4"/>
        <v>0</v>
      </c>
      <c r="HI28" s="290">
        <f t="shared" si="4"/>
        <v>0</v>
      </c>
      <c r="HJ28" s="290">
        <f t="shared" si="4"/>
        <v>0</v>
      </c>
      <c r="HK28" s="290">
        <f t="shared" si="4"/>
        <v>0</v>
      </c>
      <c r="HL28" s="290">
        <f t="shared" si="4"/>
        <v>0</v>
      </c>
      <c r="HM28" s="290">
        <f t="shared" si="4"/>
        <v>0</v>
      </c>
      <c r="HN28" s="290">
        <f t="shared" si="4"/>
        <v>0</v>
      </c>
      <c r="HO28" s="290">
        <f t="shared" si="4"/>
        <v>0</v>
      </c>
      <c r="HP28" s="290">
        <f t="shared" si="4"/>
        <v>0</v>
      </c>
      <c r="HQ28" s="290">
        <f t="shared" si="4"/>
        <v>0</v>
      </c>
      <c r="HR28" s="290">
        <f t="shared" si="4"/>
        <v>0</v>
      </c>
      <c r="HS28" s="290">
        <f t="shared" si="4"/>
        <v>0</v>
      </c>
      <c r="HT28" s="290">
        <f t="shared" si="4"/>
        <v>0</v>
      </c>
      <c r="HU28" s="290">
        <f t="shared" si="4"/>
        <v>0</v>
      </c>
      <c r="HV28" s="290">
        <f t="shared" si="4"/>
        <v>0</v>
      </c>
      <c r="HW28" s="290">
        <f t="shared" si="4"/>
        <v>0</v>
      </c>
      <c r="HX28" s="290">
        <f t="shared" si="4"/>
        <v>0</v>
      </c>
      <c r="HY28" s="290">
        <f t="shared" si="4"/>
        <v>0</v>
      </c>
      <c r="HZ28" s="290">
        <f t="shared" si="4"/>
        <v>0</v>
      </c>
      <c r="IA28" s="290">
        <f t="shared" si="4"/>
        <v>0</v>
      </c>
      <c r="IB28" s="290">
        <f t="shared" si="4"/>
        <v>0</v>
      </c>
      <c r="IC28" s="290">
        <f t="shared" si="4"/>
        <v>0</v>
      </c>
      <c r="ID28" s="290">
        <f t="shared" si="4"/>
        <v>0</v>
      </c>
      <c r="IE28" s="290">
        <f t="shared" si="4"/>
        <v>0</v>
      </c>
      <c r="IF28" s="290">
        <f t="shared" si="4"/>
        <v>0</v>
      </c>
      <c r="IG28" s="290">
        <f t="shared" si="4"/>
        <v>0</v>
      </c>
      <c r="IH28" s="290">
        <f t="shared" si="4"/>
        <v>0</v>
      </c>
      <c r="II28" s="290">
        <f t="shared" si="4"/>
        <v>0</v>
      </c>
      <c r="IJ28" s="290">
        <f t="shared" si="4"/>
        <v>0</v>
      </c>
      <c r="IK28" s="290">
        <f t="shared" si="4"/>
        <v>0</v>
      </c>
      <c r="IL28" s="290">
        <f t="shared" si="4"/>
        <v>0</v>
      </c>
      <c r="IM28" s="290">
        <f t="shared" si="4"/>
        <v>0</v>
      </c>
      <c r="IN28" s="290">
        <f t="shared" si="4"/>
        <v>0</v>
      </c>
      <c r="IO28" s="290">
        <f t="shared" si="4"/>
        <v>0</v>
      </c>
      <c r="IP28" s="290">
        <f t="shared" si="4"/>
        <v>0</v>
      </c>
      <c r="IQ28" s="290">
        <f t="shared" si="4"/>
        <v>0</v>
      </c>
      <c r="IR28" s="290">
        <f t="shared" si="4"/>
        <v>0</v>
      </c>
      <c r="IS28" s="290">
        <f t="shared" si="4"/>
        <v>0</v>
      </c>
      <c r="IT28" s="290">
        <f t="shared" si="4"/>
        <v>0</v>
      </c>
      <c r="IU28" s="290">
        <f t="shared" si="4"/>
        <v>0</v>
      </c>
      <c r="IV28" s="290">
        <f t="shared" si="4"/>
        <v>0</v>
      </c>
      <c r="IW28" s="290">
        <f t="shared" si="4"/>
        <v>0</v>
      </c>
      <c r="IX28" s="290">
        <f t="shared" si="4"/>
        <v>0</v>
      </c>
      <c r="IY28" s="290">
        <f t="shared" si="4"/>
        <v>0</v>
      </c>
      <c r="IZ28" s="290">
        <f t="shared" si="4"/>
        <v>0</v>
      </c>
      <c r="JA28" s="290">
        <f t="shared" ref="JA28:LL28" si="5">SUM(JA10:JA27)</f>
        <v>0</v>
      </c>
      <c r="JB28" s="290">
        <f t="shared" si="5"/>
        <v>0</v>
      </c>
      <c r="JC28" s="290">
        <f t="shared" si="5"/>
        <v>0</v>
      </c>
      <c r="JD28" s="290">
        <f t="shared" si="5"/>
        <v>0</v>
      </c>
      <c r="JE28" s="290">
        <f t="shared" si="5"/>
        <v>0</v>
      </c>
      <c r="JF28" s="290">
        <f t="shared" si="5"/>
        <v>0</v>
      </c>
      <c r="JG28" s="290">
        <f t="shared" si="5"/>
        <v>0</v>
      </c>
      <c r="JH28" s="290">
        <f t="shared" si="5"/>
        <v>0</v>
      </c>
      <c r="JI28" s="290">
        <f t="shared" si="5"/>
        <v>0</v>
      </c>
      <c r="JJ28" s="290">
        <f t="shared" si="5"/>
        <v>0</v>
      </c>
      <c r="JK28" s="290">
        <f t="shared" si="5"/>
        <v>0</v>
      </c>
      <c r="JL28" s="290">
        <f t="shared" si="5"/>
        <v>0</v>
      </c>
      <c r="JM28" s="290">
        <f t="shared" si="5"/>
        <v>0</v>
      </c>
      <c r="JN28" s="290">
        <f t="shared" si="5"/>
        <v>0</v>
      </c>
      <c r="JO28" s="290">
        <f t="shared" si="5"/>
        <v>0</v>
      </c>
      <c r="JP28" s="290">
        <f t="shared" si="5"/>
        <v>0</v>
      </c>
      <c r="JQ28" s="290">
        <f t="shared" si="5"/>
        <v>0</v>
      </c>
      <c r="JR28" s="290">
        <f t="shared" si="5"/>
        <v>0</v>
      </c>
      <c r="JS28" s="290">
        <f t="shared" si="5"/>
        <v>0</v>
      </c>
      <c r="JT28" s="290">
        <f t="shared" si="5"/>
        <v>0</v>
      </c>
      <c r="JU28" s="290">
        <f t="shared" si="5"/>
        <v>0</v>
      </c>
      <c r="JV28" s="290">
        <f t="shared" si="5"/>
        <v>0</v>
      </c>
      <c r="JW28" s="290">
        <f t="shared" si="5"/>
        <v>0</v>
      </c>
      <c r="JX28" s="290">
        <f t="shared" si="5"/>
        <v>0</v>
      </c>
      <c r="JY28" s="290">
        <f t="shared" si="5"/>
        <v>0</v>
      </c>
      <c r="JZ28" s="290">
        <f t="shared" si="5"/>
        <v>0</v>
      </c>
      <c r="KA28" s="290">
        <f t="shared" si="5"/>
        <v>0</v>
      </c>
      <c r="KB28" s="290">
        <f t="shared" si="5"/>
        <v>0</v>
      </c>
      <c r="KC28" s="290">
        <f t="shared" si="5"/>
        <v>0</v>
      </c>
      <c r="KD28" s="290">
        <f t="shared" si="5"/>
        <v>0</v>
      </c>
      <c r="KE28" s="290">
        <f t="shared" si="5"/>
        <v>0</v>
      </c>
      <c r="KF28" s="290">
        <f t="shared" si="5"/>
        <v>0</v>
      </c>
      <c r="KG28" s="290">
        <f t="shared" si="5"/>
        <v>0</v>
      </c>
      <c r="KH28" s="290">
        <f t="shared" si="5"/>
        <v>0</v>
      </c>
      <c r="KI28" s="290">
        <f t="shared" si="5"/>
        <v>0</v>
      </c>
      <c r="KJ28" s="290">
        <f t="shared" si="5"/>
        <v>0</v>
      </c>
      <c r="KK28" s="290">
        <f t="shared" si="5"/>
        <v>0</v>
      </c>
      <c r="KL28" s="290">
        <f t="shared" si="5"/>
        <v>0</v>
      </c>
      <c r="KM28" s="290">
        <f t="shared" si="5"/>
        <v>0</v>
      </c>
      <c r="KN28" s="290">
        <f t="shared" si="5"/>
        <v>0</v>
      </c>
      <c r="KO28" s="290">
        <f t="shared" si="5"/>
        <v>0</v>
      </c>
      <c r="KP28" s="290">
        <f t="shared" si="5"/>
        <v>0</v>
      </c>
      <c r="KQ28" s="290">
        <f t="shared" si="5"/>
        <v>0</v>
      </c>
      <c r="KR28" s="290">
        <f t="shared" si="5"/>
        <v>0</v>
      </c>
      <c r="KS28" s="290">
        <f t="shared" si="5"/>
        <v>0</v>
      </c>
      <c r="KT28" s="290">
        <f t="shared" si="5"/>
        <v>0</v>
      </c>
      <c r="KU28" s="290">
        <f t="shared" si="5"/>
        <v>0</v>
      </c>
      <c r="KV28" s="290">
        <f t="shared" si="5"/>
        <v>0</v>
      </c>
      <c r="KW28" s="290">
        <f t="shared" si="5"/>
        <v>0</v>
      </c>
      <c r="KX28" s="290">
        <f t="shared" si="5"/>
        <v>0</v>
      </c>
      <c r="KY28" s="290">
        <f t="shared" si="5"/>
        <v>0</v>
      </c>
      <c r="KZ28" s="290">
        <f t="shared" si="5"/>
        <v>0</v>
      </c>
      <c r="LA28" s="290">
        <f t="shared" si="5"/>
        <v>0</v>
      </c>
      <c r="LB28" s="290">
        <f t="shared" si="5"/>
        <v>0</v>
      </c>
      <c r="LC28" s="290">
        <f t="shared" si="5"/>
        <v>0</v>
      </c>
      <c r="LD28" s="290">
        <f t="shared" si="5"/>
        <v>0</v>
      </c>
      <c r="LE28" s="290">
        <f t="shared" si="5"/>
        <v>0</v>
      </c>
      <c r="LF28" s="290">
        <f t="shared" si="5"/>
        <v>0</v>
      </c>
      <c r="LG28" s="290">
        <f t="shared" si="5"/>
        <v>0</v>
      </c>
      <c r="LH28" s="290">
        <f t="shared" si="5"/>
        <v>0</v>
      </c>
      <c r="LI28" s="290">
        <f t="shared" si="5"/>
        <v>0</v>
      </c>
      <c r="LJ28" s="290">
        <f t="shared" si="5"/>
        <v>0</v>
      </c>
      <c r="LK28" s="290">
        <f t="shared" si="5"/>
        <v>0</v>
      </c>
      <c r="LL28" s="290">
        <f t="shared" si="5"/>
        <v>0</v>
      </c>
      <c r="LM28" s="290">
        <f t="shared" ref="LM28:ND28" si="6">SUM(LM10:LM27)</f>
        <v>0</v>
      </c>
      <c r="LN28" s="290">
        <f t="shared" si="6"/>
        <v>0</v>
      </c>
      <c r="LO28" s="290">
        <f t="shared" si="6"/>
        <v>0</v>
      </c>
      <c r="LP28" s="290">
        <f t="shared" si="6"/>
        <v>0</v>
      </c>
      <c r="LQ28" s="290">
        <f t="shared" si="6"/>
        <v>0</v>
      </c>
      <c r="LR28" s="290">
        <f t="shared" si="6"/>
        <v>0</v>
      </c>
      <c r="LS28" s="290">
        <f t="shared" si="6"/>
        <v>0</v>
      </c>
      <c r="LT28" s="290">
        <f t="shared" si="6"/>
        <v>0</v>
      </c>
      <c r="LU28" s="290">
        <f t="shared" si="6"/>
        <v>0</v>
      </c>
      <c r="LV28" s="290">
        <f t="shared" si="6"/>
        <v>0</v>
      </c>
      <c r="LW28" s="290">
        <f t="shared" si="6"/>
        <v>0</v>
      </c>
      <c r="LX28" s="290">
        <f t="shared" si="6"/>
        <v>0</v>
      </c>
      <c r="LY28" s="290">
        <f t="shared" si="6"/>
        <v>0</v>
      </c>
      <c r="LZ28" s="290">
        <f t="shared" si="6"/>
        <v>0</v>
      </c>
      <c r="MA28" s="290">
        <f t="shared" si="6"/>
        <v>0</v>
      </c>
      <c r="MB28" s="290">
        <f t="shared" si="6"/>
        <v>0</v>
      </c>
      <c r="MC28" s="290">
        <f t="shared" si="6"/>
        <v>0</v>
      </c>
      <c r="MD28" s="290">
        <f t="shared" si="6"/>
        <v>0</v>
      </c>
      <c r="ME28" s="290">
        <f t="shared" si="6"/>
        <v>0</v>
      </c>
      <c r="MF28" s="290">
        <f t="shared" si="6"/>
        <v>0</v>
      </c>
      <c r="MG28" s="290">
        <f t="shared" si="6"/>
        <v>0</v>
      </c>
      <c r="MH28" s="290">
        <f t="shared" si="6"/>
        <v>0</v>
      </c>
      <c r="MI28" s="290">
        <f t="shared" si="6"/>
        <v>0</v>
      </c>
      <c r="MJ28" s="290">
        <f t="shared" si="6"/>
        <v>0</v>
      </c>
      <c r="MK28" s="290">
        <f t="shared" si="6"/>
        <v>0</v>
      </c>
      <c r="ML28" s="290">
        <f t="shared" si="6"/>
        <v>0</v>
      </c>
      <c r="MM28" s="290">
        <f t="shared" si="6"/>
        <v>0</v>
      </c>
      <c r="MN28" s="290">
        <f t="shared" si="6"/>
        <v>0</v>
      </c>
      <c r="MO28" s="290">
        <f t="shared" si="6"/>
        <v>0</v>
      </c>
      <c r="MP28" s="290">
        <f t="shared" si="6"/>
        <v>0</v>
      </c>
      <c r="MQ28" s="290">
        <f t="shared" si="6"/>
        <v>0</v>
      </c>
      <c r="MR28" s="290">
        <f t="shared" si="6"/>
        <v>0</v>
      </c>
      <c r="MS28" s="290">
        <f t="shared" si="6"/>
        <v>0</v>
      </c>
      <c r="MT28" s="290">
        <f t="shared" si="6"/>
        <v>0</v>
      </c>
      <c r="MU28" s="290">
        <f t="shared" si="6"/>
        <v>0</v>
      </c>
      <c r="MV28" s="290">
        <f t="shared" si="6"/>
        <v>0</v>
      </c>
      <c r="MW28" s="290">
        <f t="shared" si="6"/>
        <v>0</v>
      </c>
      <c r="MX28" s="290">
        <f t="shared" si="6"/>
        <v>0</v>
      </c>
      <c r="MY28" s="290">
        <f t="shared" si="6"/>
        <v>0</v>
      </c>
      <c r="MZ28" s="290">
        <f t="shared" si="6"/>
        <v>0</v>
      </c>
      <c r="NA28" s="290">
        <f t="shared" si="6"/>
        <v>0</v>
      </c>
      <c r="NB28" s="290">
        <f t="shared" si="6"/>
        <v>0</v>
      </c>
      <c r="NC28" s="290">
        <f t="shared" si="6"/>
        <v>0</v>
      </c>
      <c r="ND28" s="290">
        <f t="shared" si="6"/>
        <v>0</v>
      </c>
      <c r="NE28" s="330"/>
      <c r="NF28" s="330"/>
      <c r="NG28" s="330"/>
      <c r="NH28" s="330"/>
      <c r="NI28" s="330"/>
      <c r="NJ28" s="330"/>
      <c r="NK28" s="330"/>
      <c r="NL28" s="330"/>
      <c r="NM28" s="330"/>
      <c r="NN28" s="330"/>
      <c r="NO28" s="330"/>
      <c r="NP28" s="330"/>
      <c r="NQ28" s="330"/>
      <c r="NR28" s="330"/>
      <c r="NS28" s="330"/>
      <c r="NT28" s="330"/>
      <c r="NU28" s="330"/>
      <c r="NV28" s="330"/>
      <c r="NW28" s="330"/>
      <c r="NX28" s="330"/>
      <c r="NY28" s="330"/>
      <c r="NZ28" s="330"/>
      <c r="OA28" s="330"/>
      <c r="OB28" s="330"/>
      <c r="OC28" s="330"/>
      <c r="OD28" s="330"/>
      <c r="OE28" s="330"/>
      <c r="OF28" s="330"/>
      <c r="OG28" s="330"/>
      <c r="OH28" s="330"/>
      <c r="OI28" s="330"/>
      <c r="OJ28" s="330"/>
      <c r="OK28" s="330"/>
      <c r="OL28" s="330"/>
      <c r="OM28" s="330"/>
      <c r="ON28" s="330"/>
      <c r="OO28" s="330"/>
      <c r="OP28" s="330"/>
      <c r="OQ28" s="330"/>
      <c r="OR28" s="330"/>
      <c r="OS28" s="330"/>
      <c r="OT28" s="330"/>
      <c r="OU28" s="330"/>
      <c r="OV28" s="330"/>
      <c r="OW28" s="330"/>
      <c r="OX28" s="330"/>
      <c r="OY28" s="330"/>
      <c r="OZ28" s="330"/>
      <c r="PA28" s="330"/>
      <c r="PB28" s="330"/>
      <c r="PC28" s="330"/>
      <c r="PD28" s="330"/>
      <c r="PE28" s="330"/>
      <c r="PF28" s="330"/>
      <c r="PG28" s="330"/>
      <c r="PH28" s="330"/>
      <c r="PI28" s="330"/>
      <c r="PJ28" s="330"/>
      <c r="PK28" s="330"/>
      <c r="PL28" s="330"/>
      <c r="PM28" s="330"/>
      <c r="PN28" s="330"/>
      <c r="PO28" s="330"/>
      <c r="PP28" s="330"/>
      <c r="PQ28" s="330"/>
      <c r="PR28" s="330"/>
      <c r="PS28" s="330"/>
      <c r="PT28" s="330"/>
      <c r="PU28" s="330"/>
      <c r="PV28" s="330"/>
      <c r="PW28" s="330"/>
      <c r="PX28" s="330"/>
      <c r="PY28" s="330"/>
      <c r="PZ28" s="330"/>
      <c r="QA28" s="330"/>
      <c r="QB28" s="330"/>
      <c r="QC28" s="330"/>
      <c r="QD28" s="330"/>
      <c r="QE28" s="330"/>
      <c r="QF28" s="330"/>
      <c r="QG28" s="330"/>
      <c r="QH28" s="330"/>
      <c r="QI28" s="330"/>
      <c r="QJ28" s="330"/>
      <c r="QK28" s="330"/>
      <c r="QL28" s="330"/>
      <c r="QM28" s="330"/>
      <c r="QN28" s="330"/>
      <c r="QO28" s="330"/>
      <c r="QP28" s="330"/>
      <c r="QQ28" s="330"/>
      <c r="QR28" s="330"/>
      <c r="QS28" s="330"/>
      <c r="QT28" s="330"/>
      <c r="QU28" s="330"/>
      <c r="QV28" s="330"/>
      <c r="QW28" s="330"/>
      <c r="QX28" s="330"/>
      <c r="QY28" s="330"/>
      <c r="QZ28" s="330"/>
      <c r="RA28" s="330"/>
      <c r="RB28" s="330"/>
      <c r="RC28" s="330"/>
      <c r="RD28" s="330"/>
      <c r="RE28" s="330"/>
      <c r="RF28" s="330"/>
      <c r="RG28" s="330"/>
      <c r="RH28" s="330"/>
      <c r="RI28" s="330"/>
      <c r="RJ28" s="330"/>
      <c r="RK28" s="330"/>
      <c r="RL28" s="330"/>
      <c r="RM28" s="330"/>
      <c r="RN28" s="330"/>
      <c r="RO28" s="330"/>
      <c r="RP28" s="330"/>
      <c r="RQ28" s="330"/>
      <c r="RR28" s="330"/>
      <c r="RS28" s="330"/>
      <c r="RT28" s="330"/>
      <c r="RU28" s="330"/>
      <c r="RV28" s="330"/>
      <c r="RW28" s="330"/>
      <c r="RX28" s="330"/>
      <c r="RY28" s="330"/>
      <c r="RZ28" s="330"/>
      <c r="SA28" s="330"/>
      <c r="SB28" s="330"/>
      <c r="SC28" s="330"/>
      <c r="SD28" s="330"/>
      <c r="SE28" s="330"/>
      <c r="SF28" s="330"/>
      <c r="SG28" s="330"/>
      <c r="SH28" s="330"/>
      <c r="SI28" s="330"/>
      <c r="SJ28" s="330"/>
      <c r="SK28" s="330"/>
      <c r="SL28" s="330"/>
      <c r="SM28" s="330"/>
      <c r="SN28" s="330"/>
      <c r="SO28" s="330"/>
      <c r="SP28" s="330"/>
      <c r="SQ28" s="330"/>
      <c r="SR28" s="330"/>
      <c r="SS28" s="330"/>
      <c r="ST28" s="330"/>
      <c r="SU28" s="330"/>
      <c r="SV28" s="330"/>
      <c r="SW28" s="330"/>
      <c r="SX28" s="330"/>
      <c r="SY28" s="330"/>
      <c r="SZ28" s="330"/>
      <c r="TA28" s="330"/>
      <c r="TB28" s="330"/>
      <c r="TC28" s="330"/>
      <c r="TD28" s="330"/>
      <c r="TE28" s="330"/>
      <c r="TF28" s="330"/>
      <c r="TG28" s="330"/>
      <c r="TH28" s="330"/>
      <c r="TI28" s="330"/>
      <c r="TJ28" s="330"/>
      <c r="TK28" s="330"/>
      <c r="TL28" s="330"/>
      <c r="TM28" s="330"/>
      <c r="TN28" s="330"/>
      <c r="TO28" s="330"/>
      <c r="TP28" s="330"/>
      <c r="TQ28" s="330"/>
      <c r="TR28" s="330"/>
      <c r="TS28" s="330"/>
      <c r="TT28" s="330"/>
      <c r="TU28" s="330"/>
      <c r="TV28" s="330"/>
      <c r="TW28" s="330"/>
      <c r="TX28" s="330"/>
      <c r="TY28" s="330"/>
      <c r="TZ28" s="330"/>
      <c r="UA28" s="330"/>
      <c r="UB28" s="330"/>
      <c r="UC28" s="330"/>
      <c r="UD28" s="330"/>
      <c r="UE28" s="330"/>
      <c r="UF28" s="330"/>
      <c r="UG28" s="330"/>
      <c r="UH28" s="330"/>
      <c r="UI28" s="330"/>
      <c r="UJ28" s="330"/>
      <c r="UK28" s="330"/>
      <c r="UL28" s="330"/>
      <c r="UM28" s="330"/>
      <c r="UN28" s="330"/>
      <c r="UO28" s="330"/>
      <c r="UP28" s="330"/>
      <c r="UQ28" s="330"/>
      <c r="UR28" s="330"/>
      <c r="US28" s="330"/>
      <c r="UT28" s="330"/>
      <c r="UU28" s="330"/>
      <c r="UV28" s="330"/>
      <c r="UW28" s="330"/>
      <c r="UX28" s="330"/>
      <c r="UY28" s="330"/>
      <c r="UZ28" s="330"/>
      <c r="VA28" s="330"/>
      <c r="VB28" s="330"/>
      <c r="VC28" s="330"/>
      <c r="VD28" s="330"/>
      <c r="VE28" s="330"/>
      <c r="VF28" s="330"/>
      <c r="VG28" s="330"/>
      <c r="VH28" s="330"/>
      <c r="VI28" s="330"/>
      <c r="VJ28" s="330"/>
      <c r="VK28" s="330"/>
      <c r="VL28" s="330"/>
      <c r="VM28" s="330"/>
      <c r="VN28" s="330"/>
      <c r="VO28" s="330"/>
      <c r="VP28" s="330"/>
      <c r="VQ28" s="330"/>
      <c r="VR28" s="330"/>
      <c r="VS28" s="330"/>
      <c r="VT28" s="330"/>
      <c r="VU28" s="330"/>
      <c r="VV28" s="330"/>
      <c r="VW28" s="330"/>
      <c r="VX28" s="330"/>
      <c r="VY28" s="330"/>
      <c r="VZ28" s="330"/>
      <c r="WA28" s="330"/>
      <c r="WB28" s="330"/>
      <c r="WC28" s="330"/>
      <c r="WD28" s="330"/>
      <c r="WE28" s="330"/>
      <c r="WF28" s="330"/>
      <c r="WG28" s="330"/>
      <c r="WH28" s="330"/>
      <c r="WI28" s="330"/>
      <c r="WJ28" s="330"/>
      <c r="WK28" s="330"/>
      <c r="WL28" s="330"/>
      <c r="WM28" s="330"/>
      <c r="WN28" s="330"/>
      <c r="WO28" s="330"/>
      <c r="WP28" s="330"/>
      <c r="WQ28" s="330"/>
      <c r="WR28" s="330"/>
      <c r="WS28" s="330"/>
      <c r="WT28" s="330"/>
      <c r="WU28" s="330"/>
      <c r="WV28" s="330"/>
      <c r="WW28" s="330"/>
      <c r="WX28" s="330"/>
      <c r="WY28" s="330"/>
      <c r="WZ28" s="330"/>
      <c r="XA28" s="330"/>
      <c r="XB28" s="330"/>
      <c r="XC28" s="330"/>
      <c r="XD28" s="330"/>
      <c r="XE28" s="330"/>
      <c r="XF28" s="330"/>
      <c r="XG28" s="330"/>
      <c r="XH28" s="330"/>
      <c r="XI28" s="330"/>
      <c r="XJ28" s="330"/>
      <c r="XK28" s="330"/>
      <c r="XL28" s="330"/>
      <c r="XM28" s="330"/>
      <c r="XN28" s="330"/>
      <c r="XO28" s="330"/>
      <c r="XP28" s="330"/>
      <c r="XQ28" s="330"/>
      <c r="XR28" s="330"/>
      <c r="XS28" s="330"/>
      <c r="XT28" s="330"/>
      <c r="XU28" s="330"/>
      <c r="XV28" s="330"/>
      <c r="XW28" s="330"/>
      <c r="XX28" s="330"/>
      <c r="XY28" s="330"/>
      <c r="XZ28" s="330"/>
      <c r="YA28" s="330"/>
      <c r="YB28" s="330"/>
      <c r="YC28" s="330"/>
      <c r="YD28" s="330"/>
      <c r="YE28" s="330"/>
      <c r="YF28" s="330"/>
      <c r="YG28" s="330"/>
      <c r="YH28" s="330"/>
      <c r="YI28" s="330"/>
      <c r="YJ28" s="330"/>
      <c r="YK28" s="330"/>
      <c r="YL28" s="330"/>
      <c r="YM28" s="330"/>
      <c r="YN28" s="330"/>
      <c r="YO28" s="330"/>
      <c r="YP28" s="330"/>
      <c r="YQ28" s="330"/>
      <c r="YR28" s="330"/>
      <c r="YS28" s="330"/>
      <c r="YT28" s="330"/>
      <c r="YU28" s="330"/>
      <c r="YV28" s="330"/>
      <c r="YW28" s="330"/>
      <c r="YX28" s="330"/>
      <c r="YY28" s="330"/>
      <c r="YZ28" s="330"/>
      <c r="ZA28" s="330"/>
      <c r="ZB28" s="330"/>
      <c r="ZC28" s="330"/>
      <c r="ZD28" s="330"/>
      <c r="ZE28" s="330"/>
      <c r="ZF28" s="330"/>
      <c r="ZG28" s="330"/>
      <c r="ZH28" s="330"/>
      <c r="ZI28" s="330"/>
      <c r="ZJ28" s="330"/>
      <c r="ZK28" s="330"/>
      <c r="ZL28" s="330"/>
      <c r="ZM28" s="330"/>
      <c r="ZN28" s="330"/>
      <c r="ZO28" s="330"/>
      <c r="ZP28" s="330"/>
      <c r="ZQ28" s="330"/>
      <c r="ZR28" s="330"/>
      <c r="ZS28" s="330"/>
      <c r="ZT28" s="330"/>
      <c r="ZU28" s="330"/>
      <c r="ZV28" s="330"/>
      <c r="ZW28" s="330"/>
      <c r="ZX28" s="330"/>
      <c r="ZY28" s="330"/>
      <c r="ZZ28" s="330"/>
      <c r="AAA28" s="330"/>
      <c r="AAB28" s="330"/>
      <c r="AAC28" s="330"/>
      <c r="AAD28" s="330"/>
      <c r="AAE28" s="330"/>
      <c r="AAF28" s="330"/>
      <c r="AAG28" s="330"/>
      <c r="AAH28" s="330"/>
      <c r="AAI28" s="330"/>
      <c r="AAJ28" s="330"/>
      <c r="AAK28" s="330"/>
      <c r="AAL28" s="330"/>
      <c r="AAM28" s="330"/>
      <c r="AAN28" s="330"/>
      <c r="AAO28" s="330"/>
      <c r="AAP28" s="330"/>
      <c r="AAQ28" s="330"/>
      <c r="AAR28" s="330"/>
      <c r="AAS28" s="330"/>
      <c r="AAT28" s="330"/>
      <c r="AAU28" s="330"/>
      <c r="AAV28" s="330"/>
      <c r="AAW28" s="330"/>
      <c r="AAX28" s="330"/>
      <c r="AAY28" s="330"/>
      <c r="AAZ28" s="330"/>
      <c r="ABA28" s="330"/>
      <c r="ABB28" s="330"/>
      <c r="ABC28" s="330"/>
      <c r="ABD28" s="330"/>
      <c r="ABE28" s="330"/>
      <c r="ABF28" s="330"/>
      <c r="ABG28" s="330"/>
      <c r="ABH28" s="330"/>
      <c r="ABI28" s="330"/>
      <c r="ABJ28" s="330"/>
      <c r="ABK28" s="330"/>
      <c r="ABL28" s="330"/>
      <c r="ABM28" s="330"/>
      <c r="ABN28" s="330"/>
      <c r="ABO28" s="330"/>
      <c r="ABP28" s="330"/>
      <c r="ABQ28" s="330"/>
      <c r="ABR28" s="330"/>
      <c r="ABS28" s="330"/>
      <c r="ABT28" s="330"/>
      <c r="ABU28" s="330"/>
      <c r="ABV28" s="330"/>
      <c r="ABW28" s="330"/>
      <c r="ABX28" s="330"/>
      <c r="ABY28" s="330"/>
      <c r="ABZ28" s="330"/>
      <c r="ACA28" s="330"/>
      <c r="ACB28" s="330"/>
      <c r="ACC28" s="330"/>
      <c r="ACD28" s="330"/>
      <c r="ACE28" s="330"/>
      <c r="ACF28" s="330"/>
      <c r="ACG28" s="330"/>
      <c r="ACH28" s="330"/>
      <c r="ACI28" s="330"/>
      <c r="ACJ28" s="330"/>
      <c r="ACK28" s="330"/>
      <c r="ACL28" s="330"/>
      <c r="ACM28" s="330"/>
      <c r="ACN28" s="330"/>
      <c r="ACO28" s="330"/>
      <c r="ACP28" s="330"/>
      <c r="ACQ28" s="330"/>
      <c r="ACR28" s="330"/>
      <c r="ACS28" s="330"/>
      <c r="ACT28" s="330"/>
      <c r="ACU28" s="330"/>
      <c r="ACV28" s="330"/>
      <c r="ACW28" s="330"/>
      <c r="ACX28" s="330"/>
      <c r="ACY28" s="330"/>
      <c r="ACZ28" s="330"/>
      <c r="ADA28" s="330"/>
      <c r="ADB28" s="330"/>
      <c r="ADC28" s="330"/>
      <c r="ADD28" s="330"/>
      <c r="ADE28" s="330"/>
      <c r="ADF28" s="330"/>
      <c r="ADG28" s="330"/>
      <c r="ADH28" s="330"/>
      <c r="ADI28" s="330"/>
      <c r="ADJ28" s="330"/>
      <c r="ADK28" s="330"/>
      <c r="ADL28" s="330"/>
      <c r="ADM28" s="330"/>
      <c r="ADN28" s="330"/>
      <c r="ADO28" s="330"/>
      <c r="ADP28" s="330"/>
      <c r="ADQ28" s="330"/>
      <c r="ADR28" s="330"/>
      <c r="ADS28" s="330"/>
      <c r="ADT28" s="330"/>
      <c r="ADU28" s="330"/>
      <c r="ADV28" s="330"/>
      <c r="ADW28" s="330"/>
      <c r="ADX28" s="330"/>
      <c r="ADY28" s="330"/>
      <c r="ADZ28" s="330"/>
      <c r="AEA28" s="330"/>
      <c r="AEB28" s="330"/>
      <c r="AEC28" s="330"/>
      <c r="AED28" s="330"/>
      <c r="AEE28" s="330"/>
      <c r="AEF28" s="330"/>
      <c r="AEG28" s="330"/>
      <c r="AEH28" s="330"/>
      <c r="AEI28" s="330"/>
      <c r="AEJ28" s="330"/>
      <c r="AEK28" s="330"/>
      <c r="AEL28" s="330"/>
      <c r="AEM28" s="330"/>
      <c r="AEN28" s="330"/>
      <c r="AEO28" s="330"/>
      <c r="AEP28" s="330"/>
      <c r="AEQ28" s="330"/>
      <c r="AER28" s="330"/>
      <c r="AES28" s="330"/>
      <c r="AET28" s="330"/>
      <c r="AEU28" s="330"/>
      <c r="AEV28" s="330"/>
      <c r="AEW28" s="330"/>
      <c r="AEX28" s="330"/>
      <c r="AEY28" s="330"/>
      <c r="AEZ28" s="330"/>
      <c r="AFA28" s="330"/>
      <c r="AFB28" s="330"/>
      <c r="AFC28" s="330"/>
      <c r="AFD28" s="330"/>
      <c r="AFE28" s="330"/>
      <c r="AFF28" s="330"/>
      <c r="AFG28" s="330"/>
      <c r="AFH28" s="330"/>
      <c r="AFI28" s="330"/>
      <c r="AFJ28" s="330"/>
      <c r="AFK28" s="330"/>
      <c r="AFL28" s="330"/>
      <c r="AFM28" s="330"/>
      <c r="AFN28" s="330"/>
      <c r="AFO28" s="330"/>
      <c r="AFP28" s="330"/>
      <c r="AFQ28" s="330"/>
      <c r="AFR28" s="330"/>
      <c r="AFS28" s="330"/>
      <c r="AFT28" s="330"/>
      <c r="AFU28" s="330"/>
      <c r="AFV28" s="330"/>
      <c r="AFW28" s="330"/>
      <c r="AFX28" s="330"/>
      <c r="AFY28" s="330"/>
      <c r="AFZ28" s="330"/>
      <c r="AGA28" s="330"/>
      <c r="AGB28" s="330"/>
      <c r="AGC28" s="330"/>
      <c r="AGD28" s="330"/>
      <c r="AGE28" s="330"/>
      <c r="AGF28" s="330"/>
      <c r="AGG28" s="330"/>
      <c r="AGH28" s="330"/>
      <c r="AGI28" s="330"/>
      <c r="AGJ28" s="330"/>
      <c r="AGK28" s="330"/>
      <c r="AGL28" s="330"/>
      <c r="AGM28" s="330"/>
      <c r="AGN28" s="330"/>
      <c r="AGO28" s="330"/>
      <c r="AGP28" s="330"/>
      <c r="AGQ28" s="330"/>
      <c r="AGR28" s="330"/>
      <c r="AGS28" s="330"/>
      <c r="AGT28" s="330"/>
      <c r="AGU28" s="330"/>
      <c r="AGV28" s="330"/>
      <c r="AGW28" s="330"/>
      <c r="AGX28" s="330"/>
      <c r="AGY28" s="330"/>
      <c r="AGZ28" s="330"/>
      <c r="AHA28" s="330"/>
      <c r="AHB28" s="330"/>
      <c r="AHC28" s="330"/>
      <c r="AHD28" s="330"/>
      <c r="AHE28" s="330"/>
      <c r="AHF28" s="330"/>
      <c r="AHG28" s="330"/>
      <c r="AHH28" s="330"/>
      <c r="AHI28" s="330"/>
      <c r="AHJ28" s="330"/>
      <c r="AHK28" s="330"/>
      <c r="AHL28" s="330"/>
      <c r="AHM28" s="330"/>
      <c r="AHN28" s="330"/>
      <c r="AHO28" s="330"/>
      <c r="AHP28" s="330"/>
      <c r="AHQ28" s="330"/>
      <c r="AHR28" s="330"/>
      <c r="AHS28" s="330"/>
      <c r="AHT28" s="330"/>
      <c r="AHU28" s="330"/>
      <c r="AHV28" s="330"/>
      <c r="AHW28" s="330"/>
      <c r="AHX28" s="330"/>
      <c r="AHY28" s="330"/>
      <c r="AHZ28" s="330"/>
      <c r="AIA28" s="330"/>
      <c r="AIB28" s="330"/>
      <c r="AIC28" s="330"/>
      <c r="AID28" s="330"/>
      <c r="AIE28" s="330"/>
      <c r="AIF28" s="330"/>
      <c r="AIG28" s="330"/>
      <c r="AIH28" s="330"/>
      <c r="AII28" s="330"/>
      <c r="AIJ28" s="330"/>
      <c r="AIK28" s="330"/>
      <c r="AIL28" s="330"/>
      <c r="AIM28" s="330"/>
      <c r="AIN28" s="330"/>
      <c r="AIO28" s="330"/>
      <c r="AIP28" s="330"/>
      <c r="AIQ28" s="330"/>
      <c r="AIR28" s="330"/>
      <c r="AIS28" s="330"/>
      <c r="AIT28" s="330"/>
      <c r="AIU28" s="330"/>
      <c r="AIV28" s="330"/>
      <c r="AIW28" s="330"/>
      <c r="AIX28" s="330"/>
      <c r="AIY28" s="330"/>
      <c r="AIZ28" s="330"/>
      <c r="AJA28" s="330"/>
      <c r="AJB28" s="330"/>
      <c r="AJC28" s="330"/>
      <c r="AJD28" s="330"/>
      <c r="AJE28" s="330"/>
      <c r="AJF28" s="330"/>
      <c r="AJG28" s="330"/>
      <c r="AJH28" s="330"/>
      <c r="AJI28" s="330"/>
      <c r="AJJ28" s="330"/>
      <c r="AJK28" s="330"/>
      <c r="AJL28" s="330"/>
      <c r="AJM28" s="330"/>
      <c r="AJN28" s="330"/>
      <c r="AJO28" s="330"/>
      <c r="AJP28" s="330"/>
      <c r="AJQ28" s="330"/>
      <c r="AJR28" s="330"/>
      <c r="AJS28" s="330"/>
      <c r="AJT28" s="330"/>
      <c r="AJU28" s="330"/>
      <c r="AJV28" s="330"/>
      <c r="AJW28" s="330"/>
      <c r="AJX28" s="330"/>
      <c r="AJY28" s="330"/>
      <c r="AJZ28" s="330"/>
      <c r="AKA28" s="330"/>
      <c r="AKB28" s="330"/>
      <c r="AKC28" s="330"/>
      <c r="AKD28" s="330"/>
      <c r="AKE28" s="330"/>
      <c r="AKF28" s="330"/>
      <c r="AKG28" s="330"/>
      <c r="AKH28" s="330"/>
      <c r="AKI28" s="330"/>
      <c r="AKJ28" s="330"/>
      <c r="AKK28" s="330"/>
      <c r="AKL28" s="330"/>
      <c r="AKM28" s="330"/>
      <c r="AKN28" s="330"/>
      <c r="AKO28" s="330"/>
      <c r="AKP28" s="330"/>
      <c r="AKQ28" s="330"/>
      <c r="AKR28" s="330"/>
      <c r="AKS28" s="330"/>
      <c r="AKT28" s="330"/>
      <c r="AKU28" s="330"/>
      <c r="AKV28" s="330"/>
      <c r="AKW28" s="330"/>
      <c r="AKX28" s="330"/>
      <c r="AKY28" s="330"/>
      <c r="AKZ28" s="330"/>
      <c r="ALA28" s="330"/>
      <c r="ALB28" s="330"/>
      <c r="ALC28" s="330"/>
      <c r="ALD28" s="330"/>
      <c r="ALE28" s="330"/>
      <c r="ALF28" s="330"/>
      <c r="ALG28" s="330"/>
      <c r="ALH28" s="330"/>
      <c r="ALI28" s="330"/>
      <c r="ALJ28" s="330"/>
      <c r="ALK28" s="330"/>
      <c r="ALL28" s="330"/>
      <c r="ALM28" s="330"/>
      <c r="ALN28" s="330"/>
      <c r="ALO28" s="330"/>
      <c r="ALP28" s="330"/>
      <c r="ALQ28" s="330"/>
      <c r="ALR28" s="330"/>
      <c r="ALS28" s="330"/>
      <c r="ALT28" s="330"/>
      <c r="ALU28" s="330"/>
      <c r="ALV28" s="330"/>
      <c r="ALW28" s="330"/>
      <c r="ALX28" s="330"/>
      <c r="ALY28" s="330"/>
      <c r="ALZ28" s="330"/>
      <c r="AMA28" s="330"/>
      <c r="AMB28" s="330"/>
      <c r="AMC28" s="330"/>
    </row>
    <row r="29" spans="1:1017" s="75" customFormat="1">
      <c r="C29" s="130"/>
      <c r="D29" s="130"/>
      <c r="CN29" s="225"/>
      <c r="CQ29" s="226"/>
      <c r="LD29" s="213"/>
      <c r="LH29" s="286"/>
      <c r="LI29" s="287"/>
      <c r="LJ29" s="124"/>
      <c r="LK29" s="124"/>
      <c r="LL29" s="124"/>
      <c r="LM29" s="124"/>
      <c r="LN29" s="124"/>
      <c r="LO29" s="124"/>
      <c r="LP29" s="124"/>
      <c r="LQ29" s="124"/>
      <c r="LR29" s="124"/>
      <c r="NE29" s="330"/>
      <c r="NF29" s="325"/>
      <c r="NG29" s="325"/>
      <c r="NH29" s="325"/>
      <c r="NI29" s="325"/>
      <c r="NJ29" s="325"/>
      <c r="NK29" s="325"/>
      <c r="NL29" s="325"/>
      <c r="NM29" s="325"/>
      <c r="NN29" s="325"/>
      <c r="NO29" s="325"/>
      <c r="NP29" s="325"/>
      <c r="NQ29" s="325"/>
      <c r="NR29" s="325"/>
      <c r="NS29" s="325"/>
      <c r="NT29" s="325"/>
      <c r="NU29" s="325"/>
      <c r="NV29" s="325"/>
      <c r="NW29" s="325"/>
      <c r="NX29" s="325"/>
      <c r="NY29" s="325"/>
      <c r="NZ29" s="325"/>
      <c r="OA29" s="325"/>
      <c r="OB29" s="325"/>
      <c r="OC29" s="325"/>
      <c r="OD29" s="325"/>
      <c r="OE29" s="325"/>
      <c r="OF29" s="325"/>
      <c r="OG29" s="325"/>
      <c r="OH29" s="325"/>
      <c r="OI29" s="325"/>
      <c r="OJ29" s="325"/>
      <c r="OK29" s="325"/>
      <c r="OL29" s="325"/>
      <c r="OM29" s="325"/>
      <c r="ON29" s="325"/>
      <c r="OO29" s="325"/>
      <c r="OP29" s="325"/>
      <c r="OQ29" s="325"/>
      <c r="OR29" s="325"/>
      <c r="OS29" s="325"/>
      <c r="OT29" s="325"/>
      <c r="OU29" s="325"/>
      <c r="OV29" s="325"/>
      <c r="OW29" s="325"/>
      <c r="OX29" s="325"/>
      <c r="OY29" s="325"/>
      <c r="OZ29" s="325"/>
      <c r="PA29" s="325"/>
      <c r="PB29" s="325"/>
      <c r="PC29" s="325"/>
      <c r="PD29" s="325"/>
      <c r="PE29" s="325"/>
      <c r="PF29" s="325"/>
      <c r="PG29" s="325"/>
      <c r="PH29" s="325"/>
      <c r="PI29" s="325"/>
      <c r="PJ29" s="325"/>
      <c r="PK29" s="325"/>
      <c r="PL29" s="325"/>
      <c r="PM29" s="325"/>
      <c r="PN29" s="325"/>
      <c r="PO29" s="325"/>
      <c r="PP29" s="325"/>
      <c r="PQ29" s="325"/>
      <c r="PR29" s="325"/>
      <c r="PS29" s="325"/>
      <c r="PT29" s="325"/>
      <c r="PU29" s="325"/>
      <c r="PV29" s="325"/>
      <c r="PW29" s="325"/>
      <c r="PX29" s="325"/>
      <c r="PY29" s="325"/>
      <c r="PZ29" s="325"/>
      <c r="QA29" s="325"/>
      <c r="QB29" s="325"/>
      <c r="QC29" s="325"/>
      <c r="QD29" s="325"/>
      <c r="QE29" s="325"/>
      <c r="QF29" s="325"/>
      <c r="QG29" s="325"/>
      <c r="QH29" s="325"/>
      <c r="QI29" s="325"/>
      <c r="QJ29" s="325"/>
      <c r="QK29" s="325"/>
      <c r="QL29" s="325"/>
      <c r="QM29" s="325"/>
      <c r="QN29" s="325"/>
      <c r="QO29" s="325"/>
      <c r="QP29" s="325"/>
      <c r="QQ29" s="325"/>
      <c r="QR29" s="325"/>
      <c r="QS29" s="325"/>
      <c r="QT29" s="325"/>
      <c r="QU29" s="325"/>
      <c r="QV29" s="325"/>
      <c r="QW29" s="325"/>
      <c r="QX29" s="325"/>
      <c r="QY29" s="325"/>
      <c r="QZ29" s="325"/>
      <c r="RA29" s="325"/>
      <c r="RB29" s="325"/>
      <c r="RC29" s="325"/>
      <c r="RD29" s="325"/>
      <c r="RE29" s="325"/>
      <c r="RF29" s="325"/>
      <c r="RG29" s="325"/>
      <c r="RH29" s="325"/>
      <c r="RI29" s="325"/>
      <c r="RJ29" s="325"/>
      <c r="RK29" s="325"/>
      <c r="RL29" s="325"/>
      <c r="RM29" s="325"/>
      <c r="RN29" s="325"/>
      <c r="RO29" s="325"/>
      <c r="RP29" s="325"/>
      <c r="RQ29" s="325"/>
      <c r="RR29" s="325"/>
      <c r="RS29" s="325"/>
      <c r="RT29" s="325"/>
      <c r="RU29" s="325"/>
      <c r="RV29" s="325"/>
      <c r="RW29" s="325"/>
      <c r="RX29" s="325"/>
      <c r="RY29" s="325"/>
      <c r="RZ29" s="325"/>
      <c r="SA29" s="325"/>
      <c r="SB29" s="325"/>
      <c r="SC29" s="325"/>
      <c r="SD29" s="325"/>
      <c r="SE29" s="325"/>
      <c r="SF29" s="325"/>
      <c r="SG29" s="325"/>
      <c r="SH29" s="325"/>
      <c r="SI29" s="325"/>
      <c r="SJ29" s="325"/>
      <c r="SK29" s="325"/>
      <c r="SL29" s="325"/>
      <c r="SM29" s="325"/>
      <c r="SN29" s="325"/>
      <c r="SO29" s="325"/>
      <c r="SP29" s="325"/>
      <c r="SQ29" s="325"/>
      <c r="SR29" s="325"/>
      <c r="SS29" s="325"/>
      <c r="ST29" s="325"/>
      <c r="SU29" s="325"/>
      <c r="SV29" s="325"/>
      <c r="SW29" s="325"/>
      <c r="SX29" s="325"/>
      <c r="SY29" s="325"/>
      <c r="SZ29" s="325"/>
      <c r="TA29" s="325"/>
      <c r="TB29" s="325"/>
      <c r="TC29" s="325"/>
      <c r="TD29" s="325"/>
      <c r="TE29" s="325"/>
      <c r="TF29" s="325"/>
      <c r="TG29" s="325"/>
      <c r="TH29" s="325"/>
      <c r="TI29" s="325"/>
      <c r="TJ29" s="325"/>
      <c r="TK29" s="325"/>
      <c r="TL29" s="325"/>
      <c r="TM29" s="325"/>
      <c r="TN29" s="325"/>
      <c r="TO29" s="325"/>
      <c r="TP29" s="325"/>
      <c r="TQ29" s="325"/>
      <c r="TR29" s="325"/>
      <c r="TS29" s="325"/>
      <c r="TT29" s="325"/>
      <c r="TU29" s="325"/>
      <c r="TV29" s="325"/>
      <c r="TW29" s="325"/>
      <c r="TX29" s="325"/>
      <c r="TY29" s="325"/>
      <c r="TZ29" s="325"/>
      <c r="UA29" s="325"/>
      <c r="UB29" s="325"/>
      <c r="UC29" s="325"/>
      <c r="UD29" s="325"/>
      <c r="UE29" s="325"/>
      <c r="UF29" s="325"/>
      <c r="UG29" s="325"/>
      <c r="UH29" s="325"/>
      <c r="UI29" s="325"/>
      <c r="UJ29" s="325"/>
      <c r="UK29" s="325"/>
      <c r="UL29" s="325"/>
      <c r="UM29" s="325"/>
      <c r="UN29" s="325"/>
      <c r="UO29" s="325"/>
      <c r="UP29" s="325"/>
      <c r="UQ29" s="325"/>
      <c r="UR29" s="325"/>
      <c r="US29" s="325"/>
      <c r="UT29" s="325"/>
      <c r="UU29" s="325"/>
      <c r="UV29" s="325"/>
      <c r="UW29" s="325"/>
      <c r="UX29" s="325"/>
      <c r="UY29" s="325"/>
      <c r="UZ29" s="325"/>
      <c r="VA29" s="325"/>
      <c r="VB29" s="325"/>
      <c r="VC29" s="325"/>
      <c r="VD29" s="325"/>
      <c r="VE29" s="325"/>
      <c r="VF29" s="325"/>
      <c r="VG29" s="325"/>
      <c r="VH29" s="325"/>
      <c r="VI29" s="325"/>
      <c r="VJ29" s="325"/>
      <c r="VK29" s="325"/>
      <c r="VL29" s="325"/>
      <c r="VM29" s="325"/>
      <c r="VN29" s="325"/>
      <c r="VO29" s="325"/>
      <c r="VP29" s="325"/>
      <c r="VQ29" s="325"/>
      <c r="VR29" s="325"/>
      <c r="VS29" s="325"/>
      <c r="VT29" s="325"/>
      <c r="VU29" s="325"/>
      <c r="VV29" s="325"/>
      <c r="VW29" s="325"/>
      <c r="VX29" s="325"/>
      <c r="VY29" s="325"/>
      <c r="VZ29" s="325"/>
      <c r="WA29" s="325"/>
      <c r="WB29" s="325"/>
      <c r="WC29" s="325"/>
      <c r="WD29" s="325"/>
      <c r="WE29" s="325"/>
      <c r="WF29" s="325"/>
      <c r="WG29" s="325"/>
      <c r="WH29" s="325"/>
      <c r="WI29" s="325"/>
      <c r="WJ29" s="325"/>
      <c r="WK29" s="325"/>
      <c r="WL29" s="325"/>
      <c r="WM29" s="325"/>
      <c r="WN29" s="325"/>
      <c r="WO29" s="325"/>
      <c r="WP29" s="325"/>
      <c r="WQ29" s="325"/>
      <c r="WR29" s="325"/>
      <c r="WS29" s="325"/>
      <c r="WT29" s="325"/>
      <c r="WU29" s="325"/>
      <c r="WV29" s="325"/>
      <c r="WW29" s="325"/>
      <c r="WX29" s="325"/>
      <c r="WY29" s="325"/>
      <c r="WZ29" s="325"/>
      <c r="XA29" s="325"/>
      <c r="XB29" s="325"/>
      <c r="XC29" s="325"/>
      <c r="XD29" s="325"/>
      <c r="XE29" s="325"/>
      <c r="XF29" s="325"/>
      <c r="XG29" s="325"/>
      <c r="XH29" s="325"/>
      <c r="XI29" s="325"/>
      <c r="XJ29" s="325"/>
      <c r="XK29" s="325"/>
      <c r="XL29" s="325"/>
      <c r="XM29" s="325"/>
      <c r="XN29" s="325"/>
      <c r="XO29" s="325"/>
      <c r="XP29" s="325"/>
      <c r="XQ29" s="325"/>
      <c r="XR29" s="325"/>
      <c r="XS29" s="325"/>
      <c r="XT29" s="325"/>
      <c r="XU29" s="325"/>
      <c r="XV29" s="325"/>
      <c r="XW29" s="325"/>
      <c r="XX29" s="325"/>
      <c r="XY29" s="325"/>
      <c r="XZ29" s="325"/>
      <c r="YA29" s="325"/>
      <c r="YB29" s="325"/>
      <c r="YC29" s="325"/>
      <c r="YD29" s="325"/>
      <c r="YE29" s="325"/>
      <c r="YF29" s="325"/>
      <c r="YG29" s="325"/>
      <c r="YH29" s="325"/>
      <c r="YI29" s="325"/>
      <c r="YJ29" s="325"/>
      <c r="YK29" s="325"/>
      <c r="YL29" s="325"/>
      <c r="YM29" s="325"/>
      <c r="YN29" s="325"/>
      <c r="YO29" s="325"/>
      <c r="YP29" s="325"/>
      <c r="YQ29" s="325"/>
      <c r="YR29" s="325"/>
      <c r="YS29" s="325"/>
      <c r="YT29" s="325"/>
      <c r="YU29" s="325"/>
      <c r="YV29" s="325"/>
      <c r="YW29" s="325"/>
      <c r="YX29" s="325"/>
      <c r="YY29" s="325"/>
      <c r="YZ29" s="325"/>
      <c r="ZA29" s="325"/>
      <c r="ZB29" s="325"/>
      <c r="ZC29" s="325"/>
      <c r="ZD29" s="325"/>
      <c r="ZE29" s="325"/>
      <c r="ZF29" s="325"/>
      <c r="ZG29" s="325"/>
      <c r="ZH29" s="325"/>
      <c r="ZI29" s="325"/>
      <c r="ZJ29" s="325"/>
      <c r="ZK29" s="325"/>
      <c r="ZL29" s="325"/>
      <c r="ZM29" s="325"/>
      <c r="ZN29" s="325"/>
      <c r="ZO29" s="325"/>
      <c r="ZP29" s="325"/>
      <c r="ZQ29" s="325"/>
      <c r="ZR29" s="325"/>
      <c r="ZS29" s="325"/>
      <c r="ZT29" s="325"/>
      <c r="ZU29" s="325"/>
      <c r="ZV29" s="325"/>
      <c r="ZW29" s="325"/>
      <c r="ZX29" s="325"/>
      <c r="ZY29" s="325"/>
      <c r="ZZ29" s="325"/>
      <c r="AAA29" s="325"/>
      <c r="AAB29" s="325"/>
      <c r="AAC29" s="325"/>
      <c r="AAD29" s="325"/>
      <c r="AAE29" s="325"/>
      <c r="AAF29" s="325"/>
      <c r="AAG29" s="325"/>
      <c r="AAH29" s="325"/>
      <c r="AAI29" s="325"/>
      <c r="AAJ29" s="325"/>
      <c r="AAK29" s="325"/>
      <c r="AAL29" s="325"/>
      <c r="AAM29" s="325"/>
      <c r="AAN29" s="325"/>
      <c r="AAO29" s="325"/>
      <c r="AAP29" s="325"/>
      <c r="AAQ29" s="325"/>
      <c r="AAR29" s="325"/>
      <c r="AAS29" s="325"/>
      <c r="AAT29" s="325"/>
      <c r="AAU29" s="325"/>
      <c r="AAV29" s="325"/>
      <c r="AAW29" s="325"/>
      <c r="AAX29" s="325"/>
      <c r="AAY29" s="325"/>
      <c r="AAZ29" s="325"/>
      <c r="ABA29" s="325"/>
      <c r="ABB29" s="325"/>
      <c r="ABC29" s="325"/>
      <c r="ABD29" s="325"/>
      <c r="ABE29" s="325"/>
      <c r="ABF29" s="325"/>
      <c r="ABG29" s="325"/>
      <c r="ABH29" s="325"/>
      <c r="ABI29" s="325"/>
      <c r="ABJ29" s="325"/>
      <c r="ABK29" s="325"/>
      <c r="ABL29" s="325"/>
      <c r="ABM29" s="325"/>
      <c r="ABN29" s="325"/>
      <c r="ABO29" s="325"/>
      <c r="ABP29" s="325"/>
      <c r="ABQ29" s="325"/>
      <c r="ABR29" s="325"/>
      <c r="ABS29" s="325"/>
      <c r="ABT29" s="325"/>
      <c r="ABU29" s="325"/>
      <c r="ABV29" s="325"/>
      <c r="ABW29" s="325"/>
      <c r="ABX29" s="325"/>
      <c r="ABY29" s="325"/>
      <c r="ABZ29" s="325"/>
      <c r="ACA29" s="325"/>
      <c r="ACB29" s="325"/>
      <c r="ACC29" s="325"/>
      <c r="ACD29" s="325"/>
      <c r="ACE29" s="325"/>
      <c r="ACF29" s="325"/>
      <c r="ACG29" s="325"/>
      <c r="ACH29" s="325"/>
      <c r="ACI29" s="325"/>
      <c r="ACJ29" s="325"/>
      <c r="ACK29" s="325"/>
      <c r="ACL29" s="325"/>
      <c r="ACM29" s="325"/>
      <c r="ACN29" s="325"/>
      <c r="ACO29" s="325"/>
      <c r="ACP29" s="325"/>
      <c r="ACQ29" s="325"/>
      <c r="ACR29" s="325"/>
      <c r="ACS29" s="325"/>
      <c r="ACT29" s="325"/>
      <c r="ACU29" s="325"/>
      <c r="ACV29" s="325"/>
      <c r="ACW29" s="325"/>
      <c r="ACX29" s="325"/>
      <c r="ACY29" s="325"/>
      <c r="ACZ29" s="325"/>
      <c r="ADA29" s="325"/>
      <c r="ADB29" s="325"/>
      <c r="ADC29" s="325"/>
      <c r="ADD29" s="325"/>
      <c r="ADE29" s="325"/>
      <c r="ADF29" s="325"/>
      <c r="ADG29" s="325"/>
      <c r="ADH29" s="325"/>
      <c r="ADI29" s="325"/>
      <c r="ADJ29" s="325"/>
      <c r="ADK29" s="325"/>
      <c r="ADL29" s="325"/>
      <c r="ADM29" s="325"/>
      <c r="ADN29" s="325"/>
      <c r="ADO29" s="325"/>
      <c r="ADP29" s="325"/>
      <c r="ADQ29" s="325"/>
      <c r="ADR29" s="325"/>
      <c r="ADS29" s="325"/>
      <c r="ADT29" s="325"/>
      <c r="ADU29" s="325"/>
      <c r="ADV29" s="325"/>
      <c r="ADW29" s="325"/>
      <c r="ADX29" s="325"/>
      <c r="ADY29" s="325"/>
      <c r="ADZ29" s="325"/>
      <c r="AEA29" s="325"/>
      <c r="AEB29" s="325"/>
      <c r="AEC29" s="325"/>
      <c r="AED29" s="325"/>
      <c r="AEE29" s="325"/>
      <c r="AEF29" s="325"/>
      <c r="AEG29" s="325"/>
      <c r="AEH29" s="325"/>
      <c r="AEI29" s="325"/>
      <c r="AEJ29" s="325"/>
      <c r="AEK29" s="325"/>
      <c r="AEL29" s="325"/>
      <c r="AEM29" s="325"/>
      <c r="AEN29" s="325"/>
      <c r="AEO29" s="325"/>
      <c r="AEP29" s="325"/>
      <c r="AEQ29" s="325"/>
      <c r="AER29" s="325"/>
      <c r="AES29" s="325"/>
      <c r="AET29" s="325"/>
      <c r="AEU29" s="325"/>
      <c r="AEV29" s="325"/>
      <c r="AEW29" s="325"/>
      <c r="AEX29" s="325"/>
      <c r="AEY29" s="325"/>
      <c r="AEZ29" s="325"/>
      <c r="AFA29" s="325"/>
      <c r="AFB29" s="325"/>
      <c r="AFC29" s="325"/>
      <c r="AFD29" s="325"/>
      <c r="AFE29" s="325"/>
      <c r="AFF29" s="325"/>
      <c r="AFG29" s="325"/>
      <c r="AFH29" s="325"/>
      <c r="AFI29" s="325"/>
      <c r="AFJ29" s="325"/>
      <c r="AFK29" s="325"/>
      <c r="AFL29" s="325"/>
      <c r="AFM29" s="325"/>
      <c r="AFN29" s="325"/>
      <c r="AFO29" s="325"/>
      <c r="AFP29" s="325"/>
      <c r="AFQ29" s="325"/>
      <c r="AFR29" s="325"/>
      <c r="AFS29" s="325"/>
      <c r="AFT29" s="325"/>
      <c r="AFU29" s="325"/>
      <c r="AFV29" s="325"/>
      <c r="AFW29" s="325"/>
      <c r="AFX29" s="325"/>
      <c r="AFY29" s="325"/>
      <c r="AFZ29" s="325"/>
      <c r="AGA29" s="325"/>
      <c r="AGB29" s="325"/>
      <c r="AGC29" s="325"/>
      <c r="AGD29" s="325"/>
      <c r="AGE29" s="325"/>
      <c r="AGF29" s="325"/>
      <c r="AGG29" s="325"/>
      <c r="AGH29" s="325"/>
      <c r="AGI29" s="325"/>
      <c r="AGJ29" s="325"/>
      <c r="AGK29" s="325"/>
      <c r="AGL29" s="325"/>
      <c r="AGM29" s="325"/>
      <c r="AGN29" s="325"/>
      <c r="AGO29" s="325"/>
      <c r="AGP29" s="325"/>
      <c r="AGQ29" s="325"/>
      <c r="AGR29" s="325"/>
      <c r="AGS29" s="325"/>
      <c r="AGT29" s="325"/>
      <c r="AGU29" s="325"/>
      <c r="AGV29" s="325"/>
      <c r="AGW29" s="325"/>
      <c r="AGX29" s="325"/>
      <c r="AGY29" s="325"/>
      <c r="AGZ29" s="325"/>
      <c r="AHA29" s="325"/>
      <c r="AHB29" s="325"/>
      <c r="AHC29" s="325"/>
      <c r="AHD29" s="325"/>
      <c r="AHE29" s="325"/>
      <c r="AHF29" s="325"/>
      <c r="AHG29" s="325"/>
      <c r="AHH29" s="325"/>
      <c r="AHI29" s="325"/>
      <c r="AHJ29" s="325"/>
      <c r="AHK29" s="325"/>
      <c r="AHL29" s="325"/>
      <c r="AHM29" s="325"/>
      <c r="AHN29" s="325"/>
      <c r="AHO29" s="325"/>
      <c r="AHP29" s="325"/>
      <c r="AHQ29" s="325"/>
      <c r="AHR29" s="325"/>
      <c r="AHS29" s="325"/>
      <c r="AHT29" s="325"/>
      <c r="AHU29" s="325"/>
      <c r="AHV29" s="325"/>
      <c r="AHW29" s="325"/>
      <c r="AHX29" s="325"/>
      <c r="AHY29" s="325"/>
      <c r="AHZ29" s="325"/>
      <c r="AIA29" s="325"/>
      <c r="AIB29" s="325"/>
      <c r="AIC29" s="325"/>
      <c r="AID29" s="325"/>
      <c r="AIE29" s="325"/>
      <c r="AIF29" s="325"/>
      <c r="AIG29" s="325"/>
      <c r="AIH29" s="325"/>
      <c r="AII29" s="325"/>
      <c r="AIJ29" s="325"/>
      <c r="AIK29" s="325"/>
      <c r="AIL29" s="325"/>
      <c r="AIM29" s="325"/>
      <c r="AIN29" s="325"/>
      <c r="AIO29" s="325"/>
      <c r="AIP29" s="325"/>
      <c r="AIQ29" s="325"/>
      <c r="AIR29" s="325"/>
      <c r="AIS29" s="325"/>
      <c r="AIT29" s="325"/>
      <c r="AIU29" s="325"/>
      <c r="AIV29" s="325"/>
      <c r="AIW29" s="325"/>
      <c r="AIX29" s="325"/>
      <c r="AIY29" s="325"/>
      <c r="AIZ29" s="325"/>
      <c r="AJA29" s="325"/>
      <c r="AJB29" s="325"/>
      <c r="AJC29" s="325"/>
      <c r="AJD29" s="325"/>
      <c r="AJE29" s="325"/>
      <c r="AJF29" s="325"/>
      <c r="AJG29" s="325"/>
      <c r="AJH29" s="325"/>
      <c r="AJI29" s="325"/>
      <c r="AJJ29" s="325"/>
      <c r="AJK29" s="325"/>
      <c r="AJL29" s="325"/>
      <c r="AJM29" s="325"/>
      <c r="AJN29" s="325"/>
      <c r="AJO29" s="325"/>
      <c r="AJP29" s="325"/>
      <c r="AJQ29" s="325"/>
      <c r="AJR29" s="325"/>
      <c r="AJS29" s="325"/>
      <c r="AJT29" s="325"/>
      <c r="AJU29" s="325"/>
      <c r="AJV29" s="325"/>
      <c r="AJW29" s="325"/>
      <c r="AJX29" s="325"/>
      <c r="AJY29" s="325"/>
      <c r="AJZ29" s="325"/>
      <c r="AKA29" s="325"/>
      <c r="AKB29" s="325"/>
      <c r="AKC29" s="325"/>
      <c r="AKD29" s="325"/>
      <c r="AKE29" s="325"/>
      <c r="AKF29" s="325"/>
      <c r="AKG29" s="325"/>
      <c r="AKH29" s="325"/>
      <c r="AKI29" s="325"/>
      <c r="AKJ29" s="325"/>
      <c r="AKK29" s="325"/>
      <c r="AKL29" s="325"/>
      <c r="AKM29" s="325"/>
      <c r="AKN29" s="325"/>
      <c r="AKO29" s="325"/>
      <c r="AKP29" s="325"/>
      <c r="AKQ29" s="325"/>
      <c r="AKR29" s="325"/>
      <c r="AKS29" s="325"/>
      <c r="AKT29" s="325"/>
      <c r="AKU29" s="325"/>
      <c r="AKV29" s="325"/>
      <c r="AKW29" s="325"/>
      <c r="AKX29" s="325"/>
      <c r="AKY29" s="325"/>
      <c r="AKZ29" s="325"/>
      <c r="ALA29" s="325"/>
      <c r="ALB29" s="325"/>
      <c r="ALC29" s="325"/>
      <c r="ALD29" s="325"/>
      <c r="ALE29" s="325"/>
      <c r="ALF29" s="325"/>
      <c r="ALG29" s="325"/>
      <c r="ALH29" s="325"/>
      <c r="ALI29" s="325"/>
      <c r="ALJ29" s="325"/>
      <c r="ALK29" s="325"/>
      <c r="ALL29" s="325"/>
      <c r="ALM29" s="325"/>
      <c r="ALN29" s="325"/>
      <c r="ALO29" s="325"/>
      <c r="ALP29" s="325"/>
      <c r="ALQ29" s="325"/>
      <c r="ALR29" s="325"/>
      <c r="ALS29" s="325"/>
      <c r="ALT29" s="325"/>
      <c r="ALU29" s="325"/>
      <c r="ALV29" s="325"/>
      <c r="ALW29" s="325"/>
      <c r="ALX29" s="325"/>
      <c r="ALY29" s="325"/>
      <c r="ALZ29" s="325"/>
      <c r="AMA29" s="325"/>
      <c r="AMB29" s="325"/>
      <c r="AMC29" s="325"/>
    </row>
    <row r="30" spans="1:1017" s="75" customFormat="1">
      <c r="C30" s="130"/>
      <c r="D30" s="130"/>
      <c r="CN30" s="225"/>
      <c r="CQ30" s="226"/>
      <c r="LD30" s="213"/>
      <c r="LH30" s="286"/>
      <c r="LI30" s="287"/>
      <c r="LJ30" s="124"/>
      <c r="LK30" s="124"/>
      <c r="LL30" s="124"/>
      <c r="LM30" s="124"/>
      <c r="LN30" s="124"/>
      <c r="LO30" s="124"/>
      <c r="LP30" s="124"/>
      <c r="LQ30" s="124"/>
      <c r="LR30" s="124"/>
      <c r="NE30" s="330"/>
      <c r="NF30" s="325"/>
      <c r="NG30" s="325"/>
      <c r="NH30" s="325"/>
      <c r="NI30" s="325"/>
      <c r="NJ30" s="325"/>
      <c r="NK30" s="325"/>
      <c r="NL30" s="325"/>
      <c r="NM30" s="325"/>
      <c r="NN30" s="325"/>
      <c r="NO30" s="325"/>
      <c r="NP30" s="325"/>
      <c r="NQ30" s="325"/>
      <c r="NR30" s="325"/>
      <c r="NS30" s="325"/>
      <c r="NT30" s="325"/>
      <c r="NU30" s="325"/>
      <c r="NV30" s="325"/>
      <c r="NW30" s="325"/>
      <c r="NX30" s="325"/>
      <c r="NY30" s="325"/>
      <c r="NZ30" s="325"/>
      <c r="OA30" s="325"/>
      <c r="OB30" s="325"/>
      <c r="OC30" s="325"/>
      <c r="OD30" s="325"/>
      <c r="OE30" s="325"/>
      <c r="OF30" s="325"/>
      <c r="OG30" s="325"/>
      <c r="OH30" s="325"/>
      <c r="OI30" s="325"/>
      <c r="OJ30" s="325"/>
      <c r="OK30" s="325"/>
      <c r="OL30" s="325"/>
      <c r="OM30" s="325"/>
      <c r="ON30" s="325"/>
      <c r="OO30" s="325"/>
      <c r="OP30" s="325"/>
      <c r="OQ30" s="325"/>
      <c r="OR30" s="325"/>
      <c r="OS30" s="325"/>
      <c r="OT30" s="325"/>
      <c r="OU30" s="325"/>
      <c r="OV30" s="325"/>
      <c r="OW30" s="325"/>
      <c r="OX30" s="325"/>
      <c r="OY30" s="325"/>
      <c r="OZ30" s="325"/>
      <c r="PA30" s="325"/>
      <c r="PB30" s="325"/>
      <c r="PC30" s="325"/>
      <c r="PD30" s="325"/>
      <c r="PE30" s="325"/>
      <c r="PF30" s="325"/>
      <c r="PG30" s="325"/>
      <c r="PH30" s="325"/>
      <c r="PI30" s="325"/>
      <c r="PJ30" s="325"/>
      <c r="PK30" s="325"/>
      <c r="PL30" s="325"/>
      <c r="PM30" s="325"/>
      <c r="PN30" s="325"/>
      <c r="PO30" s="325"/>
      <c r="PP30" s="325"/>
      <c r="PQ30" s="325"/>
      <c r="PR30" s="325"/>
      <c r="PS30" s="325"/>
      <c r="PT30" s="325"/>
      <c r="PU30" s="325"/>
      <c r="PV30" s="325"/>
      <c r="PW30" s="325"/>
      <c r="PX30" s="325"/>
      <c r="PY30" s="325"/>
      <c r="PZ30" s="325"/>
      <c r="QA30" s="325"/>
      <c r="QB30" s="325"/>
      <c r="QC30" s="325"/>
      <c r="QD30" s="325"/>
      <c r="QE30" s="325"/>
      <c r="QF30" s="325"/>
      <c r="QG30" s="325"/>
      <c r="QH30" s="325"/>
      <c r="QI30" s="325"/>
      <c r="QJ30" s="325"/>
      <c r="QK30" s="325"/>
      <c r="QL30" s="325"/>
      <c r="QM30" s="325"/>
      <c r="QN30" s="325"/>
      <c r="QO30" s="325"/>
      <c r="QP30" s="325"/>
      <c r="QQ30" s="325"/>
      <c r="QR30" s="325"/>
      <c r="QS30" s="325"/>
      <c r="QT30" s="325"/>
      <c r="QU30" s="325"/>
      <c r="QV30" s="325"/>
      <c r="QW30" s="325"/>
      <c r="QX30" s="325"/>
      <c r="QY30" s="325"/>
      <c r="QZ30" s="325"/>
      <c r="RA30" s="325"/>
      <c r="RB30" s="325"/>
      <c r="RC30" s="325"/>
      <c r="RD30" s="325"/>
      <c r="RE30" s="325"/>
      <c r="RF30" s="325"/>
      <c r="RG30" s="325"/>
      <c r="RH30" s="325"/>
      <c r="RI30" s="325"/>
      <c r="RJ30" s="325"/>
      <c r="RK30" s="325"/>
      <c r="RL30" s="325"/>
      <c r="RM30" s="325"/>
      <c r="RN30" s="325"/>
      <c r="RO30" s="325"/>
      <c r="RP30" s="325"/>
      <c r="RQ30" s="325"/>
      <c r="RR30" s="325"/>
      <c r="RS30" s="325"/>
      <c r="RT30" s="325"/>
      <c r="RU30" s="325"/>
      <c r="RV30" s="325"/>
      <c r="RW30" s="325"/>
      <c r="RX30" s="325"/>
      <c r="RY30" s="325"/>
      <c r="RZ30" s="325"/>
      <c r="SA30" s="325"/>
      <c r="SB30" s="325"/>
      <c r="SC30" s="325"/>
      <c r="SD30" s="325"/>
      <c r="SE30" s="325"/>
      <c r="SF30" s="325"/>
      <c r="SG30" s="325"/>
      <c r="SH30" s="325"/>
      <c r="SI30" s="325"/>
      <c r="SJ30" s="325"/>
      <c r="SK30" s="325"/>
      <c r="SL30" s="325"/>
      <c r="SM30" s="325"/>
      <c r="SN30" s="325"/>
      <c r="SO30" s="325"/>
      <c r="SP30" s="325"/>
      <c r="SQ30" s="325"/>
      <c r="SR30" s="325"/>
      <c r="SS30" s="325"/>
      <c r="ST30" s="325"/>
      <c r="SU30" s="325"/>
      <c r="SV30" s="325"/>
      <c r="SW30" s="325"/>
      <c r="SX30" s="325"/>
      <c r="SY30" s="325"/>
      <c r="SZ30" s="325"/>
      <c r="TA30" s="325"/>
      <c r="TB30" s="325"/>
      <c r="TC30" s="325"/>
      <c r="TD30" s="325"/>
      <c r="TE30" s="325"/>
      <c r="TF30" s="325"/>
      <c r="TG30" s="325"/>
      <c r="TH30" s="325"/>
      <c r="TI30" s="325"/>
      <c r="TJ30" s="325"/>
      <c r="TK30" s="325"/>
      <c r="TL30" s="325"/>
      <c r="TM30" s="325"/>
      <c r="TN30" s="325"/>
      <c r="TO30" s="325"/>
      <c r="TP30" s="325"/>
      <c r="TQ30" s="325"/>
      <c r="TR30" s="325"/>
      <c r="TS30" s="325"/>
      <c r="TT30" s="325"/>
      <c r="TU30" s="325"/>
      <c r="TV30" s="325"/>
      <c r="TW30" s="325"/>
      <c r="TX30" s="325"/>
      <c r="TY30" s="325"/>
      <c r="TZ30" s="325"/>
      <c r="UA30" s="325"/>
      <c r="UB30" s="325"/>
      <c r="UC30" s="325"/>
      <c r="UD30" s="325"/>
      <c r="UE30" s="325"/>
      <c r="UF30" s="325"/>
      <c r="UG30" s="325"/>
      <c r="UH30" s="325"/>
      <c r="UI30" s="325"/>
      <c r="UJ30" s="325"/>
      <c r="UK30" s="325"/>
      <c r="UL30" s="325"/>
      <c r="UM30" s="325"/>
      <c r="UN30" s="325"/>
      <c r="UO30" s="325"/>
      <c r="UP30" s="325"/>
      <c r="UQ30" s="325"/>
      <c r="UR30" s="325"/>
      <c r="US30" s="325"/>
      <c r="UT30" s="325"/>
      <c r="UU30" s="325"/>
      <c r="UV30" s="325"/>
      <c r="UW30" s="325"/>
      <c r="UX30" s="325"/>
      <c r="UY30" s="325"/>
      <c r="UZ30" s="325"/>
      <c r="VA30" s="325"/>
      <c r="VB30" s="325"/>
      <c r="VC30" s="325"/>
      <c r="VD30" s="325"/>
      <c r="VE30" s="325"/>
      <c r="VF30" s="325"/>
      <c r="VG30" s="325"/>
      <c r="VH30" s="325"/>
      <c r="VI30" s="325"/>
      <c r="VJ30" s="325"/>
      <c r="VK30" s="325"/>
      <c r="VL30" s="325"/>
      <c r="VM30" s="325"/>
      <c r="VN30" s="325"/>
      <c r="VO30" s="325"/>
      <c r="VP30" s="325"/>
      <c r="VQ30" s="325"/>
      <c r="VR30" s="325"/>
      <c r="VS30" s="325"/>
      <c r="VT30" s="325"/>
      <c r="VU30" s="325"/>
      <c r="VV30" s="325"/>
      <c r="VW30" s="325"/>
      <c r="VX30" s="325"/>
      <c r="VY30" s="325"/>
      <c r="VZ30" s="325"/>
      <c r="WA30" s="325"/>
      <c r="WB30" s="325"/>
      <c r="WC30" s="325"/>
      <c r="WD30" s="325"/>
      <c r="WE30" s="325"/>
      <c r="WF30" s="325"/>
      <c r="WG30" s="325"/>
      <c r="WH30" s="325"/>
      <c r="WI30" s="325"/>
      <c r="WJ30" s="325"/>
      <c r="WK30" s="325"/>
      <c r="WL30" s="325"/>
      <c r="WM30" s="325"/>
      <c r="WN30" s="325"/>
      <c r="WO30" s="325"/>
      <c r="WP30" s="325"/>
      <c r="WQ30" s="325"/>
      <c r="WR30" s="325"/>
      <c r="WS30" s="325"/>
      <c r="WT30" s="325"/>
      <c r="WU30" s="325"/>
      <c r="WV30" s="325"/>
      <c r="WW30" s="325"/>
      <c r="WX30" s="325"/>
      <c r="WY30" s="325"/>
      <c r="WZ30" s="325"/>
      <c r="XA30" s="325"/>
      <c r="XB30" s="325"/>
      <c r="XC30" s="325"/>
      <c r="XD30" s="325"/>
      <c r="XE30" s="325"/>
      <c r="XF30" s="325"/>
      <c r="XG30" s="325"/>
      <c r="XH30" s="325"/>
      <c r="XI30" s="325"/>
      <c r="XJ30" s="325"/>
      <c r="XK30" s="325"/>
      <c r="XL30" s="325"/>
      <c r="XM30" s="325"/>
      <c r="XN30" s="325"/>
      <c r="XO30" s="325"/>
      <c r="XP30" s="325"/>
      <c r="XQ30" s="325"/>
      <c r="XR30" s="325"/>
      <c r="XS30" s="325"/>
      <c r="XT30" s="325"/>
      <c r="XU30" s="325"/>
      <c r="XV30" s="325"/>
      <c r="XW30" s="325"/>
      <c r="XX30" s="325"/>
      <c r="XY30" s="325"/>
      <c r="XZ30" s="325"/>
      <c r="YA30" s="325"/>
      <c r="YB30" s="325"/>
      <c r="YC30" s="325"/>
      <c r="YD30" s="325"/>
      <c r="YE30" s="325"/>
      <c r="YF30" s="325"/>
      <c r="YG30" s="325"/>
      <c r="YH30" s="325"/>
      <c r="YI30" s="325"/>
      <c r="YJ30" s="325"/>
      <c r="YK30" s="325"/>
      <c r="YL30" s="325"/>
      <c r="YM30" s="325"/>
      <c r="YN30" s="325"/>
      <c r="YO30" s="325"/>
      <c r="YP30" s="325"/>
      <c r="YQ30" s="325"/>
      <c r="YR30" s="325"/>
      <c r="YS30" s="325"/>
      <c r="YT30" s="325"/>
      <c r="YU30" s="325"/>
      <c r="YV30" s="325"/>
      <c r="YW30" s="325"/>
      <c r="YX30" s="325"/>
      <c r="YY30" s="325"/>
      <c r="YZ30" s="325"/>
      <c r="ZA30" s="325"/>
      <c r="ZB30" s="325"/>
      <c r="ZC30" s="325"/>
      <c r="ZD30" s="325"/>
      <c r="ZE30" s="325"/>
      <c r="ZF30" s="325"/>
      <c r="ZG30" s="325"/>
      <c r="ZH30" s="325"/>
      <c r="ZI30" s="325"/>
      <c r="ZJ30" s="325"/>
      <c r="ZK30" s="325"/>
      <c r="ZL30" s="325"/>
      <c r="ZM30" s="325"/>
      <c r="ZN30" s="325"/>
      <c r="ZO30" s="325"/>
      <c r="ZP30" s="325"/>
      <c r="ZQ30" s="325"/>
      <c r="ZR30" s="325"/>
      <c r="ZS30" s="325"/>
      <c r="ZT30" s="325"/>
      <c r="ZU30" s="325"/>
      <c r="ZV30" s="325"/>
      <c r="ZW30" s="325"/>
      <c r="ZX30" s="325"/>
      <c r="ZY30" s="325"/>
      <c r="ZZ30" s="325"/>
      <c r="AAA30" s="325"/>
      <c r="AAB30" s="325"/>
      <c r="AAC30" s="325"/>
      <c r="AAD30" s="325"/>
      <c r="AAE30" s="325"/>
      <c r="AAF30" s="325"/>
      <c r="AAG30" s="325"/>
      <c r="AAH30" s="325"/>
      <c r="AAI30" s="325"/>
      <c r="AAJ30" s="325"/>
      <c r="AAK30" s="325"/>
      <c r="AAL30" s="325"/>
      <c r="AAM30" s="325"/>
      <c r="AAN30" s="325"/>
      <c r="AAO30" s="325"/>
      <c r="AAP30" s="325"/>
      <c r="AAQ30" s="325"/>
      <c r="AAR30" s="325"/>
      <c r="AAS30" s="325"/>
      <c r="AAT30" s="325"/>
      <c r="AAU30" s="325"/>
      <c r="AAV30" s="325"/>
      <c r="AAW30" s="325"/>
      <c r="AAX30" s="325"/>
      <c r="AAY30" s="325"/>
      <c r="AAZ30" s="325"/>
      <c r="ABA30" s="325"/>
      <c r="ABB30" s="325"/>
      <c r="ABC30" s="325"/>
      <c r="ABD30" s="325"/>
      <c r="ABE30" s="325"/>
      <c r="ABF30" s="325"/>
      <c r="ABG30" s="325"/>
      <c r="ABH30" s="325"/>
      <c r="ABI30" s="325"/>
      <c r="ABJ30" s="325"/>
      <c r="ABK30" s="325"/>
      <c r="ABL30" s="325"/>
      <c r="ABM30" s="325"/>
      <c r="ABN30" s="325"/>
      <c r="ABO30" s="325"/>
      <c r="ABP30" s="325"/>
      <c r="ABQ30" s="325"/>
      <c r="ABR30" s="325"/>
      <c r="ABS30" s="325"/>
      <c r="ABT30" s="325"/>
      <c r="ABU30" s="325"/>
      <c r="ABV30" s="325"/>
      <c r="ABW30" s="325"/>
      <c r="ABX30" s="325"/>
      <c r="ABY30" s="325"/>
      <c r="ABZ30" s="325"/>
      <c r="ACA30" s="325"/>
      <c r="ACB30" s="325"/>
      <c r="ACC30" s="325"/>
      <c r="ACD30" s="325"/>
      <c r="ACE30" s="325"/>
      <c r="ACF30" s="325"/>
      <c r="ACG30" s="325"/>
      <c r="ACH30" s="325"/>
      <c r="ACI30" s="325"/>
      <c r="ACJ30" s="325"/>
      <c r="ACK30" s="325"/>
      <c r="ACL30" s="325"/>
      <c r="ACM30" s="325"/>
      <c r="ACN30" s="325"/>
      <c r="ACO30" s="325"/>
      <c r="ACP30" s="325"/>
      <c r="ACQ30" s="325"/>
      <c r="ACR30" s="325"/>
      <c r="ACS30" s="325"/>
      <c r="ACT30" s="325"/>
      <c r="ACU30" s="325"/>
      <c r="ACV30" s="325"/>
      <c r="ACW30" s="325"/>
      <c r="ACX30" s="325"/>
      <c r="ACY30" s="325"/>
      <c r="ACZ30" s="325"/>
      <c r="ADA30" s="325"/>
      <c r="ADB30" s="325"/>
      <c r="ADC30" s="325"/>
      <c r="ADD30" s="325"/>
      <c r="ADE30" s="325"/>
      <c r="ADF30" s="325"/>
      <c r="ADG30" s="325"/>
      <c r="ADH30" s="325"/>
      <c r="ADI30" s="325"/>
      <c r="ADJ30" s="325"/>
      <c r="ADK30" s="325"/>
      <c r="ADL30" s="325"/>
      <c r="ADM30" s="325"/>
      <c r="ADN30" s="325"/>
      <c r="ADO30" s="325"/>
      <c r="ADP30" s="325"/>
      <c r="ADQ30" s="325"/>
      <c r="ADR30" s="325"/>
      <c r="ADS30" s="325"/>
      <c r="ADT30" s="325"/>
      <c r="ADU30" s="325"/>
      <c r="ADV30" s="325"/>
      <c r="ADW30" s="325"/>
      <c r="ADX30" s="325"/>
      <c r="ADY30" s="325"/>
      <c r="ADZ30" s="325"/>
      <c r="AEA30" s="325"/>
      <c r="AEB30" s="325"/>
      <c r="AEC30" s="325"/>
      <c r="AED30" s="325"/>
      <c r="AEE30" s="325"/>
      <c r="AEF30" s="325"/>
      <c r="AEG30" s="325"/>
      <c r="AEH30" s="325"/>
      <c r="AEI30" s="325"/>
      <c r="AEJ30" s="325"/>
      <c r="AEK30" s="325"/>
      <c r="AEL30" s="325"/>
      <c r="AEM30" s="325"/>
      <c r="AEN30" s="325"/>
      <c r="AEO30" s="325"/>
      <c r="AEP30" s="325"/>
      <c r="AEQ30" s="325"/>
      <c r="AER30" s="325"/>
      <c r="AES30" s="325"/>
      <c r="AET30" s="325"/>
      <c r="AEU30" s="325"/>
      <c r="AEV30" s="325"/>
      <c r="AEW30" s="325"/>
      <c r="AEX30" s="325"/>
      <c r="AEY30" s="325"/>
      <c r="AEZ30" s="325"/>
      <c r="AFA30" s="325"/>
      <c r="AFB30" s="325"/>
      <c r="AFC30" s="325"/>
      <c r="AFD30" s="325"/>
      <c r="AFE30" s="325"/>
      <c r="AFF30" s="325"/>
      <c r="AFG30" s="325"/>
      <c r="AFH30" s="325"/>
      <c r="AFI30" s="325"/>
      <c r="AFJ30" s="325"/>
      <c r="AFK30" s="325"/>
      <c r="AFL30" s="325"/>
      <c r="AFM30" s="325"/>
      <c r="AFN30" s="325"/>
      <c r="AFO30" s="325"/>
      <c r="AFP30" s="325"/>
      <c r="AFQ30" s="325"/>
      <c r="AFR30" s="325"/>
      <c r="AFS30" s="325"/>
      <c r="AFT30" s="325"/>
      <c r="AFU30" s="325"/>
      <c r="AFV30" s="325"/>
      <c r="AFW30" s="325"/>
      <c r="AFX30" s="325"/>
      <c r="AFY30" s="325"/>
      <c r="AFZ30" s="325"/>
      <c r="AGA30" s="325"/>
      <c r="AGB30" s="325"/>
      <c r="AGC30" s="325"/>
      <c r="AGD30" s="325"/>
      <c r="AGE30" s="325"/>
      <c r="AGF30" s="325"/>
      <c r="AGG30" s="325"/>
      <c r="AGH30" s="325"/>
      <c r="AGI30" s="325"/>
      <c r="AGJ30" s="325"/>
      <c r="AGK30" s="325"/>
      <c r="AGL30" s="325"/>
      <c r="AGM30" s="325"/>
      <c r="AGN30" s="325"/>
      <c r="AGO30" s="325"/>
      <c r="AGP30" s="325"/>
      <c r="AGQ30" s="325"/>
      <c r="AGR30" s="325"/>
      <c r="AGS30" s="325"/>
      <c r="AGT30" s="325"/>
      <c r="AGU30" s="325"/>
      <c r="AGV30" s="325"/>
      <c r="AGW30" s="325"/>
      <c r="AGX30" s="325"/>
      <c r="AGY30" s="325"/>
      <c r="AGZ30" s="325"/>
      <c r="AHA30" s="325"/>
      <c r="AHB30" s="325"/>
      <c r="AHC30" s="325"/>
      <c r="AHD30" s="325"/>
      <c r="AHE30" s="325"/>
      <c r="AHF30" s="325"/>
      <c r="AHG30" s="325"/>
      <c r="AHH30" s="325"/>
      <c r="AHI30" s="325"/>
      <c r="AHJ30" s="325"/>
      <c r="AHK30" s="325"/>
      <c r="AHL30" s="325"/>
      <c r="AHM30" s="325"/>
      <c r="AHN30" s="325"/>
      <c r="AHO30" s="325"/>
      <c r="AHP30" s="325"/>
      <c r="AHQ30" s="325"/>
      <c r="AHR30" s="325"/>
      <c r="AHS30" s="325"/>
      <c r="AHT30" s="325"/>
      <c r="AHU30" s="325"/>
      <c r="AHV30" s="325"/>
      <c r="AHW30" s="325"/>
      <c r="AHX30" s="325"/>
      <c r="AHY30" s="325"/>
      <c r="AHZ30" s="325"/>
      <c r="AIA30" s="325"/>
      <c r="AIB30" s="325"/>
      <c r="AIC30" s="325"/>
      <c r="AID30" s="325"/>
      <c r="AIE30" s="325"/>
      <c r="AIF30" s="325"/>
      <c r="AIG30" s="325"/>
      <c r="AIH30" s="325"/>
      <c r="AII30" s="325"/>
      <c r="AIJ30" s="325"/>
      <c r="AIK30" s="325"/>
      <c r="AIL30" s="325"/>
      <c r="AIM30" s="325"/>
      <c r="AIN30" s="325"/>
      <c r="AIO30" s="325"/>
      <c r="AIP30" s="325"/>
      <c r="AIQ30" s="325"/>
      <c r="AIR30" s="325"/>
      <c r="AIS30" s="325"/>
      <c r="AIT30" s="325"/>
      <c r="AIU30" s="325"/>
      <c r="AIV30" s="325"/>
      <c r="AIW30" s="325"/>
      <c r="AIX30" s="325"/>
      <c r="AIY30" s="325"/>
      <c r="AIZ30" s="325"/>
      <c r="AJA30" s="325"/>
      <c r="AJB30" s="325"/>
      <c r="AJC30" s="325"/>
      <c r="AJD30" s="325"/>
      <c r="AJE30" s="325"/>
      <c r="AJF30" s="325"/>
      <c r="AJG30" s="325"/>
      <c r="AJH30" s="325"/>
      <c r="AJI30" s="325"/>
      <c r="AJJ30" s="325"/>
      <c r="AJK30" s="325"/>
      <c r="AJL30" s="325"/>
      <c r="AJM30" s="325"/>
      <c r="AJN30" s="325"/>
      <c r="AJO30" s="325"/>
      <c r="AJP30" s="325"/>
      <c r="AJQ30" s="325"/>
      <c r="AJR30" s="325"/>
      <c r="AJS30" s="325"/>
      <c r="AJT30" s="325"/>
      <c r="AJU30" s="325"/>
      <c r="AJV30" s="325"/>
      <c r="AJW30" s="325"/>
      <c r="AJX30" s="325"/>
      <c r="AJY30" s="325"/>
      <c r="AJZ30" s="325"/>
      <c r="AKA30" s="325"/>
      <c r="AKB30" s="325"/>
      <c r="AKC30" s="325"/>
      <c r="AKD30" s="325"/>
      <c r="AKE30" s="325"/>
      <c r="AKF30" s="325"/>
      <c r="AKG30" s="325"/>
      <c r="AKH30" s="325"/>
      <c r="AKI30" s="325"/>
      <c r="AKJ30" s="325"/>
      <c r="AKK30" s="325"/>
      <c r="AKL30" s="325"/>
      <c r="AKM30" s="325"/>
      <c r="AKN30" s="325"/>
      <c r="AKO30" s="325"/>
      <c r="AKP30" s="325"/>
      <c r="AKQ30" s="325"/>
      <c r="AKR30" s="325"/>
      <c r="AKS30" s="325"/>
      <c r="AKT30" s="325"/>
      <c r="AKU30" s="325"/>
      <c r="AKV30" s="325"/>
      <c r="AKW30" s="325"/>
      <c r="AKX30" s="325"/>
      <c r="AKY30" s="325"/>
      <c r="AKZ30" s="325"/>
      <c r="ALA30" s="325"/>
      <c r="ALB30" s="325"/>
      <c r="ALC30" s="325"/>
      <c r="ALD30" s="325"/>
      <c r="ALE30" s="325"/>
      <c r="ALF30" s="325"/>
      <c r="ALG30" s="325"/>
      <c r="ALH30" s="325"/>
      <c r="ALI30" s="325"/>
      <c r="ALJ30" s="325"/>
      <c r="ALK30" s="325"/>
      <c r="ALL30" s="325"/>
      <c r="ALM30" s="325"/>
      <c r="ALN30" s="325"/>
      <c r="ALO30" s="325"/>
      <c r="ALP30" s="325"/>
      <c r="ALQ30" s="325"/>
      <c r="ALR30" s="325"/>
      <c r="ALS30" s="325"/>
      <c r="ALT30" s="325"/>
      <c r="ALU30" s="325"/>
      <c r="ALV30" s="325"/>
      <c r="ALW30" s="325"/>
      <c r="ALX30" s="325"/>
      <c r="ALY30" s="325"/>
      <c r="ALZ30" s="325"/>
      <c r="AMA30" s="325"/>
      <c r="AMB30" s="325"/>
      <c r="AMC30" s="325"/>
    </row>
    <row r="31" spans="1:1017" s="75" customFormat="1">
      <c r="C31" s="130"/>
      <c r="D31" s="130"/>
      <c r="CN31" s="225"/>
      <c r="CQ31" s="226"/>
      <c r="LD31" s="213"/>
      <c r="LH31" s="286"/>
      <c r="LI31" s="287"/>
      <c r="LJ31" s="124"/>
      <c r="LK31" s="124"/>
      <c r="LL31" s="124"/>
      <c r="LM31" s="124"/>
      <c r="LN31" s="124"/>
      <c r="LO31" s="124"/>
      <c r="LP31" s="124"/>
      <c r="LQ31" s="124"/>
      <c r="LR31" s="124"/>
      <c r="NE31" s="330"/>
      <c r="NF31" s="325"/>
      <c r="NG31" s="325"/>
      <c r="NH31" s="325"/>
      <c r="NI31" s="325"/>
      <c r="NJ31" s="325"/>
      <c r="NK31" s="325"/>
      <c r="NL31" s="325"/>
      <c r="NM31" s="325"/>
      <c r="NN31" s="325"/>
      <c r="NO31" s="325"/>
      <c r="NP31" s="325"/>
      <c r="NQ31" s="325"/>
      <c r="NR31" s="325"/>
      <c r="NS31" s="325"/>
      <c r="NT31" s="325"/>
      <c r="NU31" s="325"/>
      <c r="NV31" s="325"/>
      <c r="NW31" s="325"/>
      <c r="NX31" s="325"/>
      <c r="NY31" s="325"/>
      <c r="NZ31" s="325"/>
      <c r="OA31" s="325"/>
      <c r="OB31" s="325"/>
      <c r="OC31" s="325"/>
      <c r="OD31" s="325"/>
      <c r="OE31" s="325"/>
      <c r="OF31" s="325"/>
      <c r="OG31" s="325"/>
      <c r="OH31" s="325"/>
      <c r="OI31" s="325"/>
      <c r="OJ31" s="325"/>
      <c r="OK31" s="325"/>
      <c r="OL31" s="325"/>
      <c r="OM31" s="325"/>
      <c r="ON31" s="325"/>
      <c r="OO31" s="325"/>
      <c r="OP31" s="325"/>
      <c r="OQ31" s="325"/>
      <c r="OR31" s="325"/>
      <c r="OS31" s="325"/>
      <c r="OT31" s="325"/>
      <c r="OU31" s="325"/>
      <c r="OV31" s="325"/>
      <c r="OW31" s="325"/>
      <c r="OX31" s="325"/>
      <c r="OY31" s="325"/>
      <c r="OZ31" s="325"/>
      <c r="PA31" s="325"/>
      <c r="PB31" s="325"/>
      <c r="PC31" s="325"/>
      <c r="PD31" s="325"/>
      <c r="PE31" s="325"/>
      <c r="PF31" s="325"/>
      <c r="PG31" s="325"/>
      <c r="PH31" s="325"/>
      <c r="PI31" s="325"/>
      <c r="PJ31" s="325"/>
      <c r="PK31" s="325"/>
      <c r="PL31" s="325"/>
      <c r="PM31" s="325"/>
      <c r="PN31" s="325"/>
      <c r="PO31" s="325"/>
      <c r="PP31" s="325"/>
      <c r="PQ31" s="325"/>
      <c r="PR31" s="325"/>
      <c r="PS31" s="325"/>
      <c r="PT31" s="325"/>
      <c r="PU31" s="325"/>
      <c r="PV31" s="325"/>
      <c r="PW31" s="325"/>
      <c r="PX31" s="325"/>
      <c r="PY31" s="325"/>
      <c r="PZ31" s="325"/>
      <c r="QA31" s="325"/>
      <c r="QB31" s="325"/>
      <c r="QC31" s="325"/>
      <c r="QD31" s="325"/>
      <c r="QE31" s="325"/>
      <c r="QF31" s="325"/>
      <c r="QG31" s="325"/>
      <c r="QH31" s="325"/>
      <c r="QI31" s="325"/>
      <c r="QJ31" s="325"/>
      <c r="QK31" s="325"/>
      <c r="QL31" s="325"/>
      <c r="QM31" s="325"/>
      <c r="QN31" s="325"/>
      <c r="QO31" s="325"/>
      <c r="QP31" s="325"/>
      <c r="QQ31" s="325"/>
      <c r="QR31" s="325"/>
      <c r="QS31" s="325"/>
      <c r="QT31" s="325"/>
      <c r="QU31" s="325"/>
      <c r="QV31" s="325"/>
      <c r="QW31" s="325"/>
      <c r="QX31" s="325"/>
      <c r="QY31" s="325"/>
      <c r="QZ31" s="325"/>
      <c r="RA31" s="325"/>
      <c r="RB31" s="325"/>
      <c r="RC31" s="325"/>
      <c r="RD31" s="325"/>
      <c r="RE31" s="325"/>
      <c r="RF31" s="325"/>
      <c r="RG31" s="325"/>
      <c r="RH31" s="325"/>
      <c r="RI31" s="325"/>
      <c r="RJ31" s="325"/>
      <c r="RK31" s="325"/>
      <c r="RL31" s="325"/>
      <c r="RM31" s="325"/>
      <c r="RN31" s="325"/>
      <c r="RO31" s="325"/>
      <c r="RP31" s="325"/>
      <c r="RQ31" s="325"/>
      <c r="RR31" s="325"/>
      <c r="RS31" s="325"/>
      <c r="RT31" s="325"/>
      <c r="RU31" s="325"/>
      <c r="RV31" s="325"/>
      <c r="RW31" s="325"/>
      <c r="RX31" s="325"/>
      <c r="RY31" s="325"/>
      <c r="RZ31" s="325"/>
      <c r="SA31" s="325"/>
      <c r="SB31" s="325"/>
      <c r="SC31" s="325"/>
      <c r="SD31" s="325"/>
      <c r="SE31" s="325"/>
      <c r="SF31" s="325"/>
      <c r="SG31" s="325"/>
      <c r="SH31" s="325"/>
      <c r="SI31" s="325"/>
      <c r="SJ31" s="325"/>
      <c r="SK31" s="325"/>
      <c r="SL31" s="325"/>
      <c r="SM31" s="325"/>
      <c r="SN31" s="325"/>
      <c r="SO31" s="325"/>
      <c r="SP31" s="325"/>
      <c r="SQ31" s="325"/>
      <c r="SR31" s="325"/>
      <c r="SS31" s="325"/>
      <c r="ST31" s="325"/>
      <c r="SU31" s="325"/>
      <c r="SV31" s="325"/>
      <c r="SW31" s="325"/>
      <c r="SX31" s="325"/>
      <c r="SY31" s="325"/>
      <c r="SZ31" s="325"/>
      <c r="TA31" s="325"/>
      <c r="TB31" s="325"/>
      <c r="TC31" s="325"/>
      <c r="TD31" s="325"/>
      <c r="TE31" s="325"/>
      <c r="TF31" s="325"/>
      <c r="TG31" s="325"/>
      <c r="TH31" s="325"/>
      <c r="TI31" s="325"/>
      <c r="TJ31" s="325"/>
      <c r="TK31" s="325"/>
      <c r="TL31" s="325"/>
      <c r="TM31" s="325"/>
      <c r="TN31" s="325"/>
      <c r="TO31" s="325"/>
      <c r="TP31" s="325"/>
      <c r="TQ31" s="325"/>
      <c r="TR31" s="325"/>
      <c r="TS31" s="325"/>
      <c r="TT31" s="325"/>
      <c r="TU31" s="325"/>
      <c r="TV31" s="325"/>
      <c r="TW31" s="325"/>
      <c r="TX31" s="325"/>
      <c r="TY31" s="325"/>
      <c r="TZ31" s="325"/>
      <c r="UA31" s="325"/>
      <c r="UB31" s="325"/>
      <c r="UC31" s="325"/>
      <c r="UD31" s="325"/>
      <c r="UE31" s="325"/>
      <c r="UF31" s="325"/>
      <c r="UG31" s="325"/>
      <c r="UH31" s="325"/>
      <c r="UI31" s="325"/>
      <c r="UJ31" s="325"/>
      <c r="UK31" s="325"/>
      <c r="UL31" s="325"/>
      <c r="UM31" s="325"/>
      <c r="UN31" s="325"/>
      <c r="UO31" s="325"/>
      <c r="UP31" s="325"/>
      <c r="UQ31" s="325"/>
      <c r="UR31" s="325"/>
      <c r="US31" s="325"/>
      <c r="UT31" s="325"/>
      <c r="UU31" s="325"/>
      <c r="UV31" s="325"/>
      <c r="UW31" s="325"/>
      <c r="UX31" s="325"/>
      <c r="UY31" s="325"/>
      <c r="UZ31" s="325"/>
      <c r="VA31" s="325"/>
      <c r="VB31" s="325"/>
      <c r="VC31" s="325"/>
      <c r="VD31" s="325"/>
      <c r="VE31" s="325"/>
      <c r="VF31" s="325"/>
      <c r="VG31" s="325"/>
      <c r="VH31" s="325"/>
      <c r="VI31" s="325"/>
      <c r="VJ31" s="325"/>
      <c r="VK31" s="325"/>
      <c r="VL31" s="325"/>
      <c r="VM31" s="325"/>
      <c r="VN31" s="325"/>
      <c r="VO31" s="325"/>
      <c r="VP31" s="325"/>
      <c r="VQ31" s="325"/>
      <c r="VR31" s="325"/>
      <c r="VS31" s="325"/>
      <c r="VT31" s="325"/>
      <c r="VU31" s="325"/>
      <c r="VV31" s="325"/>
      <c r="VW31" s="325"/>
      <c r="VX31" s="325"/>
      <c r="VY31" s="325"/>
      <c r="VZ31" s="325"/>
      <c r="WA31" s="325"/>
      <c r="WB31" s="325"/>
      <c r="WC31" s="325"/>
      <c r="WD31" s="325"/>
      <c r="WE31" s="325"/>
      <c r="WF31" s="325"/>
      <c r="WG31" s="325"/>
      <c r="WH31" s="325"/>
      <c r="WI31" s="325"/>
      <c r="WJ31" s="325"/>
      <c r="WK31" s="325"/>
      <c r="WL31" s="325"/>
      <c r="WM31" s="325"/>
      <c r="WN31" s="325"/>
      <c r="WO31" s="325"/>
      <c r="WP31" s="325"/>
      <c r="WQ31" s="325"/>
      <c r="WR31" s="325"/>
      <c r="WS31" s="325"/>
      <c r="WT31" s="325"/>
      <c r="WU31" s="325"/>
      <c r="WV31" s="325"/>
      <c r="WW31" s="325"/>
      <c r="WX31" s="325"/>
      <c r="WY31" s="325"/>
      <c r="WZ31" s="325"/>
      <c r="XA31" s="325"/>
      <c r="XB31" s="325"/>
      <c r="XC31" s="325"/>
      <c r="XD31" s="325"/>
      <c r="XE31" s="325"/>
      <c r="XF31" s="325"/>
      <c r="XG31" s="325"/>
      <c r="XH31" s="325"/>
      <c r="XI31" s="325"/>
      <c r="XJ31" s="325"/>
      <c r="XK31" s="325"/>
      <c r="XL31" s="325"/>
      <c r="XM31" s="325"/>
      <c r="XN31" s="325"/>
      <c r="XO31" s="325"/>
      <c r="XP31" s="325"/>
      <c r="XQ31" s="325"/>
      <c r="XR31" s="325"/>
      <c r="XS31" s="325"/>
      <c r="XT31" s="325"/>
      <c r="XU31" s="325"/>
      <c r="XV31" s="325"/>
      <c r="XW31" s="325"/>
      <c r="XX31" s="325"/>
      <c r="XY31" s="325"/>
      <c r="XZ31" s="325"/>
      <c r="YA31" s="325"/>
      <c r="YB31" s="325"/>
      <c r="YC31" s="325"/>
      <c r="YD31" s="325"/>
      <c r="YE31" s="325"/>
      <c r="YF31" s="325"/>
      <c r="YG31" s="325"/>
      <c r="YH31" s="325"/>
      <c r="YI31" s="325"/>
      <c r="YJ31" s="325"/>
      <c r="YK31" s="325"/>
      <c r="YL31" s="325"/>
      <c r="YM31" s="325"/>
      <c r="YN31" s="325"/>
      <c r="YO31" s="325"/>
      <c r="YP31" s="325"/>
      <c r="YQ31" s="325"/>
      <c r="YR31" s="325"/>
      <c r="YS31" s="325"/>
      <c r="YT31" s="325"/>
      <c r="YU31" s="325"/>
      <c r="YV31" s="325"/>
      <c r="YW31" s="325"/>
      <c r="YX31" s="325"/>
      <c r="YY31" s="325"/>
      <c r="YZ31" s="325"/>
      <c r="ZA31" s="325"/>
      <c r="ZB31" s="325"/>
      <c r="ZC31" s="325"/>
      <c r="ZD31" s="325"/>
      <c r="ZE31" s="325"/>
      <c r="ZF31" s="325"/>
      <c r="ZG31" s="325"/>
      <c r="ZH31" s="325"/>
      <c r="ZI31" s="325"/>
      <c r="ZJ31" s="325"/>
      <c r="ZK31" s="325"/>
      <c r="ZL31" s="325"/>
      <c r="ZM31" s="325"/>
      <c r="ZN31" s="325"/>
      <c r="ZO31" s="325"/>
      <c r="ZP31" s="325"/>
      <c r="ZQ31" s="325"/>
      <c r="ZR31" s="325"/>
      <c r="ZS31" s="325"/>
      <c r="ZT31" s="325"/>
      <c r="ZU31" s="325"/>
      <c r="ZV31" s="325"/>
      <c r="ZW31" s="325"/>
      <c r="ZX31" s="325"/>
      <c r="ZY31" s="325"/>
      <c r="ZZ31" s="325"/>
      <c r="AAA31" s="325"/>
      <c r="AAB31" s="325"/>
      <c r="AAC31" s="325"/>
      <c r="AAD31" s="325"/>
      <c r="AAE31" s="325"/>
      <c r="AAF31" s="325"/>
      <c r="AAG31" s="325"/>
      <c r="AAH31" s="325"/>
      <c r="AAI31" s="325"/>
      <c r="AAJ31" s="325"/>
      <c r="AAK31" s="325"/>
      <c r="AAL31" s="325"/>
      <c r="AAM31" s="325"/>
      <c r="AAN31" s="325"/>
      <c r="AAO31" s="325"/>
      <c r="AAP31" s="325"/>
      <c r="AAQ31" s="325"/>
      <c r="AAR31" s="325"/>
      <c r="AAS31" s="325"/>
      <c r="AAT31" s="325"/>
      <c r="AAU31" s="325"/>
      <c r="AAV31" s="325"/>
      <c r="AAW31" s="325"/>
      <c r="AAX31" s="325"/>
      <c r="AAY31" s="325"/>
      <c r="AAZ31" s="325"/>
      <c r="ABA31" s="325"/>
      <c r="ABB31" s="325"/>
      <c r="ABC31" s="325"/>
      <c r="ABD31" s="325"/>
      <c r="ABE31" s="325"/>
      <c r="ABF31" s="325"/>
      <c r="ABG31" s="325"/>
      <c r="ABH31" s="325"/>
      <c r="ABI31" s="325"/>
      <c r="ABJ31" s="325"/>
      <c r="ABK31" s="325"/>
      <c r="ABL31" s="325"/>
      <c r="ABM31" s="325"/>
      <c r="ABN31" s="325"/>
      <c r="ABO31" s="325"/>
      <c r="ABP31" s="325"/>
      <c r="ABQ31" s="325"/>
      <c r="ABR31" s="325"/>
      <c r="ABS31" s="325"/>
      <c r="ABT31" s="325"/>
      <c r="ABU31" s="325"/>
      <c r="ABV31" s="325"/>
      <c r="ABW31" s="325"/>
      <c r="ABX31" s="325"/>
      <c r="ABY31" s="325"/>
      <c r="ABZ31" s="325"/>
      <c r="ACA31" s="325"/>
      <c r="ACB31" s="325"/>
      <c r="ACC31" s="325"/>
      <c r="ACD31" s="325"/>
      <c r="ACE31" s="325"/>
      <c r="ACF31" s="325"/>
      <c r="ACG31" s="325"/>
      <c r="ACH31" s="325"/>
      <c r="ACI31" s="325"/>
      <c r="ACJ31" s="325"/>
      <c r="ACK31" s="325"/>
      <c r="ACL31" s="325"/>
      <c r="ACM31" s="325"/>
      <c r="ACN31" s="325"/>
      <c r="ACO31" s="325"/>
      <c r="ACP31" s="325"/>
      <c r="ACQ31" s="325"/>
      <c r="ACR31" s="325"/>
      <c r="ACS31" s="325"/>
      <c r="ACT31" s="325"/>
      <c r="ACU31" s="325"/>
      <c r="ACV31" s="325"/>
      <c r="ACW31" s="325"/>
      <c r="ACX31" s="325"/>
      <c r="ACY31" s="325"/>
      <c r="ACZ31" s="325"/>
      <c r="ADA31" s="325"/>
      <c r="ADB31" s="325"/>
      <c r="ADC31" s="325"/>
      <c r="ADD31" s="325"/>
      <c r="ADE31" s="325"/>
      <c r="ADF31" s="325"/>
      <c r="ADG31" s="325"/>
      <c r="ADH31" s="325"/>
      <c r="ADI31" s="325"/>
      <c r="ADJ31" s="325"/>
      <c r="ADK31" s="325"/>
      <c r="ADL31" s="325"/>
      <c r="ADM31" s="325"/>
      <c r="ADN31" s="325"/>
      <c r="ADO31" s="325"/>
      <c r="ADP31" s="325"/>
      <c r="ADQ31" s="325"/>
      <c r="ADR31" s="325"/>
      <c r="ADS31" s="325"/>
      <c r="ADT31" s="325"/>
      <c r="ADU31" s="325"/>
      <c r="ADV31" s="325"/>
      <c r="ADW31" s="325"/>
      <c r="ADX31" s="325"/>
      <c r="ADY31" s="325"/>
      <c r="ADZ31" s="325"/>
      <c r="AEA31" s="325"/>
      <c r="AEB31" s="325"/>
      <c r="AEC31" s="325"/>
      <c r="AED31" s="325"/>
      <c r="AEE31" s="325"/>
      <c r="AEF31" s="325"/>
      <c r="AEG31" s="325"/>
      <c r="AEH31" s="325"/>
      <c r="AEI31" s="325"/>
      <c r="AEJ31" s="325"/>
      <c r="AEK31" s="325"/>
      <c r="AEL31" s="325"/>
      <c r="AEM31" s="325"/>
      <c r="AEN31" s="325"/>
      <c r="AEO31" s="325"/>
      <c r="AEP31" s="325"/>
      <c r="AEQ31" s="325"/>
      <c r="AER31" s="325"/>
      <c r="AES31" s="325"/>
      <c r="AET31" s="325"/>
      <c r="AEU31" s="325"/>
      <c r="AEV31" s="325"/>
      <c r="AEW31" s="325"/>
      <c r="AEX31" s="325"/>
      <c r="AEY31" s="325"/>
      <c r="AEZ31" s="325"/>
      <c r="AFA31" s="325"/>
      <c r="AFB31" s="325"/>
      <c r="AFC31" s="325"/>
      <c r="AFD31" s="325"/>
      <c r="AFE31" s="325"/>
      <c r="AFF31" s="325"/>
      <c r="AFG31" s="325"/>
      <c r="AFH31" s="325"/>
      <c r="AFI31" s="325"/>
      <c r="AFJ31" s="325"/>
      <c r="AFK31" s="325"/>
      <c r="AFL31" s="325"/>
      <c r="AFM31" s="325"/>
      <c r="AFN31" s="325"/>
      <c r="AFO31" s="325"/>
      <c r="AFP31" s="325"/>
      <c r="AFQ31" s="325"/>
      <c r="AFR31" s="325"/>
      <c r="AFS31" s="325"/>
      <c r="AFT31" s="325"/>
      <c r="AFU31" s="325"/>
      <c r="AFV31" s="325"/>
      <c r="AFW31" s="325"/>
      <c r="AFX31" s="325"/>
      <c r="AFY31" s="325"/>
      <c r="AFZ31" s="325"/>
      <c r="AGA31" s="325"/>
      <c r="AGB31" s="325"/>
      <c r="AGC31" s="325"/>
      <c r="AGD31" s="325"/>
      <c r="AGE31" s="325"/>
      <c r="AGF31" s="325"/>
      <c r="AGG31" s="325"/>
      <c r="AGH31" s="325"/>
      <c r="AGI31" s="325"/>
      <c r="AGJ31" s="325"/>
      <c r="AGK31" s="325"/>
      <c r="AGL31" s="325"/>
      <c r="AGM31" s="325"/>
      <c r="AGN31" s="325"/>
      <c r="AGO31" s="325"/>
      <c r="AGP31" s="325"/>
      <c r="AGQ31" s="325"/>
      <c r="AGR31" s="325"/>
      <c r="AGS31" s="325"/>
      <c r="AGT31" s="325"/>
      <c r="AGU31" s="325"/>
      <c r="AGV31" s="325"/>
      <c r="AGW31" s="325"/>
      <c r="AGX31" s="325"/>
      <c r="AGY31" s="325"/>
      <c r="AGZ31" s="325"/>
      <c r="AHA31" s="325"/>
      <c r="AHB31" s="325"/>
      <c r="AHC31" s="325"/>
      <c r="AHD31" s="325"/>
      <c r="AHE31" s="325"/>
      <c r="AHF31" s="325"/>
      <c r="AHG31" s="325"/>
      <c r="AHH31" s="325"/>
      <c r="AHI31" s="325"/>
      <c r="AHJ31" s="325"/>
      <c r="AHK31" s="325"/>
      <c r="AHL31" s="325"/>
      <c r="AHM31" s="325"/>
      <c r="AHN31" s="325"/>
      <c r="AHO31" s="325"/>
      <c r="AHP31" s="325"/>
      <c r="AHQ31" s="325"/>
      <c r="AHR31" s="325"/>
      <c r="AHS31" s="325"/>
      <c r="AHT31" s="325"/>
      <c r="AHU31" s="325"/>
      <c r="AHV31" s="325"/>
      <c r="AHW31" s="325"/>
      <c r="AHX31" s="325"/>
      <c r="AHY31" s="325"/>
      <c r="AHZ31" s="325"/>
      <c r="AIA31" s="325"/>
      <c r="AIB31" s="325"/>
      <c r="AIC31" s="325"/>
      <c r="AID31" s="325"/>
      <c r="AIE31" s="325"/>
      <c r="AIF31" s="325"/>
      <c r="AIG31" s="325"/>
      <c r="AIH31" s="325"/>
      <c r="AII31" s="325"/>
      <c r="AIJ31" s="325"/>
      <c r="AIK31" s="325"/>
      <c r="AIL31" s="325"/>
      <c r="AIM31" s="325"/>
      <c r="AIN31" s="325"/>
      <c r="AIO31" s="325"/>
      <c r="AIP31" s="325"/>
      <c r="AIQ31" s="325"/>
      <c r="AIR31" s="325"/>
      <c r="AIS31" s="325"/>
      <c r="AIT31" s="325"/>
      <c r="AIU31" s="325"/>
      <c r="AIV31" s="325"/>
      <c r="AIW31" s="325"/>
      <c r="AIX31" s="325"/>
      <c r="AIY31" s="325"/>
      <c r="AIZ31" s="325"/>
      <c r="AJA31" s="325"/>
      <c r="AJB31" s="325"/>
      <c r="AJC31" s="325"/>
      <c r="AJD31" s="325"/>
      <c r="AJE31" s="325"/>
      <c r="AJF31" s="325"/>
      <c r="AJG31" s="325"/>
      <c r="AJH31" s="325"/>
      <c r="AJI31" s="325"/>
      <c r="AJJ31" s="325"/>
      <c r="AJK31" s="325"/>
      <c r="AJL31" s="325"/>
      <c r="AJM31" s="325"/>
      <c r="AJN31" s="325"/>
      <c r="AJO31" s="325"/>
      <c r="AJP31" s="325"/>
      <c r="AJQ31" s="325"/>
      <c r="AJR31" s="325"/>
      <c r="AJS31" s="325"/>
      <c r="AJT31" s="325"/>
      <c r="AJU31" s="325"/>
      <c r="AJV31" s="325"/>
      <c r="AJW31" s="325"/>
      <c r="AJX31" s="325"/>
      <c r="AJY31" s="325"/>
      <c r="AJZ31" s="325"/>
      <c r="AKA31" s="325"/>
      <c r="AKB31" s="325"/>
      <c r="AKC31" s="325"/>
      <c r="AKD31" s="325"/>
      <c r="AKE31" s="325"/>
      <c r="AKF31" s="325"/>
      <c r="AKG31" s="325"/>
      <c r="AKH31" s="325"/>
      <c r="AKI31" s="325"/>
      <c r="AKJ31" s="325"/>
      <c r="AKK31" s="325"/>
      <c r="AKL31" s="325"/>
      <c r="AKM31" s="325"/>
      <c r="AKN31" s="325"/>
      <c r="AKO31" s="325"/>
      <c r="AKP31" s="325"/>
      <c r="AKQ31" s="325"/>
      <c r="AKR31" s="325"/>
      <c r="AKS31" s="325"/>
      <c r="AKT31" s="325"/>
      <c r="AKU31" s="325"/>
      <c r="AKV31" s="325"/>
      <c r="AKW31" s="325"/>
      <c r="AKX31" s="325"/>
      <c r="AKY31" s="325"/>
      <c r="AKZ31" s="325"/>
      <c r="ALA31" s="325"/>
      <c r="ALB31" s="325"/>
      <c r="ALC31" s="325"/>
      <c r="ALD31" s="325"/>
      <c r="ALE31" s="325"/>
      <c r="ALF31" s="325"/>
      <c r="ALG31" s="325"/>
      <c r="ALH31" s="325"/>
      <c r="ALI31" s="325"/>
      <c r="ALJ31" s="325"/>
      <c r="ALK31" s="325"/>
      <c r="ALL31" s="325"/>
      <c r="ALM31" s="325"/>
      <c r="ALN31" s="325"/>
      <c r="ALO31" s="325"/>
      <c r="ALP31" s="325"/>
      <c r="ALQ31" s="325"/>
      <c r="ALR31" s="325"/>
      <c r="ALS31" s="325"/>
      <c r="ALT31" s="325"/>
      <c r="ALU31" s="325"/>
      <c r="ALV31" s="325"/>
      <c r="ALW31" s="325"/>
      <c r="ALX31" s="325"/>
      <c r="ALY31" s="325"/>
      <c r="ALZ31" s="325"/>
      <c r="AMA31" s="325"/>
      <c r="AMB31" s="325"/>
      <c r="AMC31" s="325"/>
    </row>
    <row r="32" spans="1:1017" s="75" customFormat="1">
      <c r="C32" s="130"/>
      <c r="D32" s="130"/>
      <c r="CN32" s="225"/>
      <c r="CQ32" s="226"/>
      <c r="LD32" s="213"/>
      <c r="LH32" s="286"/>
      <c r="LI32" s="287"/>
      <c r="LJ32" s="124"/>
      <c r="LK32" s="124"/>
      <c r="LL32" s="124"/>
      <c r="LM32" s="124"/>
      <c r="LN32" s="124"/>
      <c r="LO32" s="124"/>
      <c r="LP32" s="124"/>
      <c r="LQ32" s="124"/>
      <c r="LR32" s="124"/>
      <c r="NE32" s="330"/>
      <c r="NF32" s="325"/>
      <c r="NG32" s="325"/>
      <c r="NH32" s="325"/>
      <c r="NI32" s="325"/>
      <c r="NJ32" s="325"/>
      <c r="NK32" s="325"/>
      <c r="NL32" s="325"/>
      <c r="NM32" s="325"/>
      <c r="NN32" s="325"/>
      <c r="NO32" s="325"/>
      <c r="NP32" s="325"/>
      <c r="NQ32" s="325"/>
      <c r="NR32" s="325"/>
      <c r="NS32" s="325"/>
      <c r="NT32" s="325"/>
      <c r="NU32" s="325"/>
      <c r="NV32" s="325"/>
      <c r="NW32" s="325"/>
      <c r="NX32" s="325"/>
      <c r="NY32" s="325"/>
      <c r="NZ32" s="325"/>
      <c r="OA32" s="325"/>
      <c r="OB32" s="325"/>
      <c r="OC32" s="325"/>
      <c r="OD32" s="325"/>
      <c r="OE32" s="325"/>
      <c r="OF32" s="325"/>
      <c r="OG32" s="325"/>
      <c r="OH32" s="325"/>
      <c r="OI32" s="325"/>
      <c r="OJ32" s="325"/>
      <c r="OK32" s="325"/>
      <c r="OL32" s="325"/>
      <c r="OM32" s="325"/>
      <c r="ON32" s="325"/>
      <c r="OO32" s="325"/>
      <c r="OP32" s="325"/>
      <c r="OQ32" s="325"/>
      <c r="OR32" s="325"/>
      <c r="OS32" s="325"/>
      <c r="OT32" s="325"/>
      <c r="OU32" s="325"/>
      <c r="OV32" s="325"/>
      <c r="OW32" s="325"/>
      <c r="OX32" s="325"/>
      <c r="OY32" s="325"/>
      <c r="OZ32" s="325"/>
      <c r="PA32" s="325"/>
      <c r="PB32" s="325"/>
      <c r="PC32" s="325"/>
      <c r="PD32" s="325"/>
      <c r="PE32" s="325"/>
      <c r="PF32" s="325"/>
      <c r="PG32" s="325"/>
      <c r="PH32" s="325"/>
      <c r="PI32" s="325"/>
      <c r="PJ32" s="325"/>
      <c r="PK32" s="325"/>
      <c r="PL32" s="325"/>
      <c r="PM32" s="325"/>
      <c r="PN32" s="325"/>
      <c r="PO32" s="325"/>
      <c r="PP32" s="325"/>
      <c r="PQ32" s="325"/>
      <c r="PR32" s="325"/>
      <c r="PS32" s="325"/>
      <c r="PT32" s="325"/>
      <c r="PU32" s="325"/>
      <c r="PV32" s="325"/>
      <c r="PW32" s="325"/>
      <c r="PX32" s="325"/>
      <c r="PY32" s="325"/>
      <c r="PZ32" s="325"/>
      <c r="QA32" s="325"/>
      <c r="QB32" s="325"/>
      <c r="QC32" s="325"/>
      <c r="QD32" s="325"/>
      <c r="QE32" s="325"/>
      <c r="QF32" s="325"/>
      <c r="QG32" s="325"/>
      <c r="QH32" s="325"/>
      <c r="QI32" s="325"/>
      <c r="QJ32" s="325"/>
      <c r="QK32" s="325"/>
      <c r="QL32" s="325"/>
      <c r="QM32" s="325"/>
      <c r="QN32" s="325"/>
      <c r="QO32" s="325"/>
      <c r="QP32" s="325"/>
      <c r="QQ32" s="325"/>
      <c r="QR32" s="325"/>
      <c r="QS32" s="325"/>
      <c r="QT32" s="325"/>
      <c r="QU32" s="325"/>
      <c r="QV32" s="325"/>
      <c r="QW32" s="325"/>
      <c r="QX32" s="325"/>
      <c r="QY32" s="325"/>
      <c r="QZ32" s="325"/>
      <c r="RA32" s="325"/>
      <c r="RB32" s="325"/>
      <c r="RC32" s="325"/>
      <c r="RD32" s="325"/>
      <c r="RE32" s="325"/>
      <c r="RF32" s="325"/>
      <c r="RG32" s="325"/>
      <c r="RH32" s="325"/>
      <c r="RI32" s="325"/>
      <c r="RJ32" s="325"/>
      <c r="RK32" s="325"/>
      <c r="RL32" s="325"/>
      <c r="RM32" s="325"/>
      <c r="RN32" s="325"/>
      <c r="RO32" s="325"/>
      <c r="RP32" s="325"/>
      <c r="RQ32" s="325"/>
      <c r="RR32" s="325"/>
      <c r="RS32" s="325"/>
      <c r="RT32" s="325"/>
      <c r="RU32" s="325"/>
      <c r="RV32" s="325"/>
      <c r="RW32" s="325"/>
      <c r="RX32" s="325"/>
      <c r="RY32" s="325"/>
      <c r="RZ32" s="325"/>
      <c r="SA32" s="325"/>
      <c r="SB32" s="325"/>
      <c r="SC32" s="325"/>
      <c r="SD32" s="325"/>
      <c r="SE32" s="325"/>
      <c r="SF32" s="325"/>
      <c r="SG32" s="325"/>
      <c r="SH32" s="325"/>
      <c r="SI32" s="325"/>
      <c r="SJ32" s="325"/>
      <c r="SK32" s="325"/>
      <c r="SL32" s="325"/>
      <c r="SM32" s="325"/>
      <c r="SN32" s="325"/>
      <c r="SO32" s="325"/>
      <c r="SP32" s="325"/>
      <c r="SQ32" s="325"/>
      <c r="SR32" s="325"/>
      <c r="SS32" s="325"/>
      <c r="ST32" s="325"/>
      <c r="SU32" s="325"/>
      <c r="SV32" s="325"/>
      <c r="SW32" s="325"/>
      <c r="SX32" s="325"/>
      <c r="SY32" s="325"/>
      <c r="SZ32" s="325"/>
      <c r="TA32" s="325"/>
      <c r="TB32" s="325"/>
      <c r="TC32" s="325"/>
      <c r="TD32" s="325"/>
      <c r="TE32" s="325"/>
      <c r="TF32" s="325"/>
      <c r="TG32" s="325"/>
      <c r="TH32" s="325"/>
      <c r="TI32" s="325"/>
      <c r="TJ32" s="325"/>
      <c r="TK32" s="325"/>
      <c r="TL32" s="325"/>
      <c r="TM32" s="325"/>
      <c r="TN32" s="325"/>
      <c r="TO32" s="325"/>
      <c r="TP32" s="325"/>
      <c r="TQ32" s="325"/>
      <c r="TR32" s="325"/>
      <c r="TS32" s="325"/>
      <c r="TT32" s="325"/>
      <c r="TU32" s="325"/>
      <c r="TV32" s="325"/>
      <c r="TW32" s="325"/>
      <c r="TX32" s="325"/>
      <c r="TY32" s="325"/>
      <c r="TZ32" s="325"/>
      <c r="UA32" s="325"/>
      <c r="UB32" s="325"/>
      <c r="UC32" s="325"/>
      <c r="UD32" s="325"/>
      <c r="UE32" s="325"/>
      <c r="UF32" s="325"/>
      <c r="UG32" s="325"/>
      <c r="UH32" s="325"/>
      <c r="UI32" s="325"/>
      <c r="UJ32" s="325"/>
      <c r="UK32" s="325"/>
      <c r="UL32" s="325"/>
      <c r="UM32" s="325"/>
      <c r="UN32" s="325"/>
      <c r="UO32" s="325"/>
      <c r="UP32" s="325"/>
      <c r="UQ32" s="325"/>
      <c r="UR32" s="325"/>
      <c r="US32" s="325"/>
      <c r="UT32" s="325"/>
      <c r="UU32" s="325"/>
      <c r="UV32" s="325"/>
      <c r="UW32" s="325"/>
      <c r="UX32" s="325"/>
      <c r="UY32" s="325"/>
      <c r="UZ32" s="325"/>
      <c r="VA32" s="325"/>
      <c r="VB32" s="325"/>
      <c r="VC32" s="325"/>
      <c r="VD32" s="325"/>
      <c r="VE32" s="325"/>
      <c r="VF32" s="325"/>
      <c r="VG32" s="325"/>
      <c r="VH32" s="325"/>
      <c r="VI32" s="325"/>
      <c r="VJ32" s="325"/>
      <c r="VK32" s="325"/>
      <c r="VL32" s="325"/>
      <c r="VM32" s="325"/>
      <c r="VN32" s="325"/>
      <c r="VO32" s="325"/>
      <c r="VP32" s="325"/>
      <c r="VQ32" s="325"/>
      <c r="VR32" s="325"/>
      <c r="VS32" s="325"/>
      <c r="VT32" s="325"/>
      <c r="VU32" s="325"/>
      <c r="VV32" s="325"/>
      <c r="VW32" s="325"/>
      <c r="VX32" s="325"/>
      <c r="VY32" s="325"/>
      <c r="VZ32" s="325"/>
      <c r="WA32" s="325"/>
      <c r="WB32" s="325"/>
      <c r="WC32" s="325"/>
      <c r="WD32" s="325"/>
      <c r="WE32" s="325"/>
      <c r="WF32" s="325"/>
      <c r="WG32" s="325"/>
      <c r="WH32" s="325"/>
      <c r="WI32" s="325"/>
      <c r="WJ32" s="325"/>
      <c r="WK32" s="325"/>
      <c r="WL32" s="325"/>
      <c r="WM32" s="325"/>
      <c r="WN32" s="325"/>
      <c r="WO32" s="325"/>
      <c r="WP32" s="325"/>
      <c r="WQ32" s="325"/>
      <c r="WR32" s="325"/>
      <c r="WS32" s="325"/>
      <c r="WT32" s="325"/>
      <c r="WU32" s="325"/>
      <c r="WV32" s="325"/>
      <c r="WW32" s="325"/>
      <c r="WX32" s="325"/>
      <c r="WY32" s="325"/>
      <c r="WZ32" s="325"/>
      <c r="XA32" s="325"/>
      <c r="XB32" s="325"/>
      <c r="XC32" s="325"/>
      <c r="XD32" s="325"/>
      <c r="XE32" s="325"/>
      <c r="XF32" s="325"/>
      <c r="XG32" s="325"/>
      <c r="XH32" s="325"/>
      <c r="XI32" s="325"/>
      <c r="XJ32" s="325"/>
      <c r="XK32" s="325"/>
      <c r="XL32" s="325"/>
      <c r="XM32" s="325"/>
      <c r="XN32" s="325"/>
      <c r="XO32" s="325"/>
      <c r="XP32" s="325"/>
      <c r="XQ32" s="325"/>
      <c r="XR32" s="325"/>
      <c r="XS32" s="325"/>
      <c r="XT32" s="325"/>
      <c r="XU32" s="325"/>
      <c r="XV32" s="325"/>
      <c r="XW32" s="325"/>
      <c r="XX32" s="325"/>
      <c r="XY32" s="325"/>
      <c r="XZ32" s="325"/>
      <c r="YA32" s="325"/>
      <c r="YB32" s="325"/>
      <c r="YC32" s="325"/>
      <c r="YD32" s="325"/>
      <c r="YE32" s="325"/>
      <c r="YF32" s="325"/>
      <c r="YG32" s="325"/>
      <c r="YH32" s="325"/>
      <c r="YI32" s="325"/>
      <c r="YJ32" s="325"/>
      <c r="YK32" s="325"/>
      <c r="YL32" s="325"/>
      <c r="YM32" s="325"/>
      <c r="YN32" s="325"/>
      <c r="YO32" s="325"/>
      <c r="YP32" s="325"/>
      <c r="YQ32" s="325"/>
      <c r="YR32" s="325"/>
      <c r="YS32" s="325"/>
      <c r="YT32" s="325"/>
      <c r="YU32" s="325"/>
      <c r="YV32" s="325"/>
      <c r="YW32" s="325"/>
      <c r="YX32" s="325"/>
      <c r="YY32" s="325"/>
      <c r="YZ32" s="325"/>
      <c r="ZA32" s="325"/>
      <c r="ZB32" s="325"/>
      <c r="ZC32" s="325"/>
      <c r="ZD32" s="325"/>
      <c r="ZE32" s="325"/>
      <c r="ZF32" s="325"/>
      <c r="ZG32" s="325"/>
      <c r="ZH32" s="325"/>
      <c r="ZI32" s="325"/>
      <c r="ZJ32" s="325"/>
      <c r="ZK32" s="325"/>
      <c r="ZL32" s="325"/>
      <c r="ZM32" s="325"/>
      <c r="ZN32" s="325"/>
      <c r="ZO32" s="325"/>
      <c r="ZP32" s="325"/>
      <c r="ZQ32" s="325"/>
      <c r="ZR32" s="325"/>
      <c r="ZS32" s="325"/>
      <c r="ZT32" s="325"/>
      <c r="ZU32" s="325"/>
      <c r="ZV32" s="325"/>
      <c r="ZW32" s="325"/>
      <c r="ZX32" s="325"/>
      <c r="ZY32" s="325"/>
      <c r="ZZ32" s="325"/>
      <c r="AAA32" s="325"/>
      <c r="AAB32" s="325"/>
      <c r="AAC32" s="325"/>
      <c r="AAD32" s="325"/>
      <c r="AAE32" s="325"/>
      <c r="AAF32" s="325"/>
      <c r="AAG32" s="325"/>
      <c r="AAH32" s="325"/>
      <c r="AAI32" s="325"/>
      <c r="AAJ32" s="325"/>
      <c r="AAK32" s="325"/>
      <c r="AAL32" s="325"/>
      <c r="AAM32" s="325"/>
      <c r="AAN32" s="325"/>
      <c r="AAO32" s="325"/>
      <c r="AAP32" s="325"/>
      <c r="AAQ32" s="325"/>
      <c r="AAR32" s="325"/>
      <c r="AAS32" s="325"/>
      <c r="AAT32" s="325"/>
      <c r="AAU32" s="325"/>
      <c r="AAV32" s="325"/>
      <c r="AAW32" s="325"/>
      <c r="AAX32" s="325"/>
      <c r="AAY32" s="325"/>
      <c r="AAZ32" s="325"/>
      <c r="ABA32" s="325"/>
      <c r="ABB32" s="325"/>
      <c r="ABC32" s="325"/>
      <c r="ABD32" s="325"/>
      <c r="ABE32" s="325"/>
      <c r="ABF32" s="325"/>
      <c r="ABG32" s="325"/>
      <c r="ABH32" s="325"/>
      <c r="ABI32" s="325"/>
      <c r="ABJ32" s="325"/>
      <c r="ABK32" s="325"/>
      <c r="ABL32" s="325"/>
      <c r="ABM32" s="325"/>
      <c r="ABN32" s="325"/>
      <c r="ABO32" s="325"/>
      <c r="ABP32" s="325"/>
      <c r="ABQ32" s="325"/>
      <c r="ABR32" s="325"/>
      <c r="ABS32" s="325"/>
      <c r="ABT32" s="325"/>
      <c r="ABU32" s="325"/>
      <c r="ABV32" s="325"/>
      <c r="ABW32" s="325"/>
      <c r="ABX32" s="325"/>
      <c r="ABY32" s="325"/>
      <c r="ABZ32" s="325"/>
      <c r="ACA32" s="325"/>
      <c r="ACB32" s="325"/>
      <c r="ACC32" s="325"/>
      <c r="ACD32" s="325"/>
      <c r="ACE32" s="325"/>
      <c r="ACF32" s="325"/>
      <c r="ACG32" s="325"/>
      <c r="ACH32" s="325"/>
      <c r="ACI32" s="325"/>
      <c r="ACJ32" s="325"/>
      <c r="ACK32" s="325"/>
      <c r="ACL32" s="325"/>
      <c r="ACM32" s="325"/>
      <c r="ACN32" s="325"/>
      <c r="ACO32" s="325"/>
      <c r="ACP32" s="325"/>
      <c r="ACQ32" s="325"/>
      <c r="ACR32" s="325"/>
      <c r="ACS32" s="325"/>
      <c r="ACT32" s="325"/>
      <c r="ACU32" s="325"/>
      <c r="ACV32" s="325"/>
      <c r="ACW32" s="325"/>
      <c r="ACX32" s="325"/>
      <c r="ACY32" s="325"/>
      <c r="ACZ32" s="325"/>
      <c r="ADA32" s="325"/>
      <c r="ADB32" s="325"/>
      <c r="ADC32" s="325"/>
      <c r="ADD32" s="325"/>
      <c r="ADE32" s="325"/>
      <c r="ADF32" s="325"/>
      <c r="ADG32" s="325"/>
      <c r="ADH32" s="325"/>
      <c r="ADI32" s="325"/>
      <c r="ADJ32" s="325"/>
      <c r="ADK32" s="325"/>
      <c r="ADL32" s="325"/>
      <c r="ADM32" s="325"/>
      <c r="ADN32" s="325"/>
      <c r="ADO32" s="325"/>
      <c r="ADP32" s="325"/>
      <c r="ADQ32" s="325"/>
      <c r="ADR32" s="325"/>
      <c r="ADS32" s="325"/>
      <c r="ADT32" s="325"/>
      <c r="ADU32" s="325"/>
      <c r="ADV32" s="325"/>
      <c r="ADW32" s="325"/>
      <c r="ADX32" s="325"/>
      <c r="ADY32" s="325"/>
      <c r="ADZ32" s="325"/>
      <c r="AEA32" s="325"/>
      <c r="AEB32" s="325"/>
      <c r="AEC32" s="325"/>
      <c r="AED32" s="325"/>
      <c r="AEE32" s="325"/>
      <c r="AEF32" s="325"/>
      <c r="AEG32" s="325"/>
      <c r="AEH32" s="325"/>
      <c r="AEI32" s="325"/>
      <c r="AEJ32" s="325"/>
      <c r="AEK32" s="325"/>
      <c r="AEL32" s="325"/>
      <c r="AEM32" s="325"/>
      <c r="AEN32" s="325"/>
      <c r="AEO32" s="325"/>
      <c r="AEP32" s="325"/>
      <c r="AEQ32" s="325"/>
      <c r="AER32" s="325"/>
      <c r="AES32" s="325"/>
      <c r="AET32" s="325"/>
      <c r="AEU32" s="325"/>
      <c r="AEV32" s="325"/>
      <c r="AEW32" s="325"/>
      <c r="AEX32" s="325"/>
      <c r="AEY32" s="325"/>
      <c r="AEZ32" s="325"/>
      <c r="AFA32" s="325"/>
      <c r="AFB32" s="325"/>
      <c r="AFC32" s="325"/>
      <c r="AFD32" s="325"/>
      <c r="AFE32" s="325"/>
      <c r="AFF32" s="325"/>
      <c r="AFG32" s="325"/>
      <c r="AFH32" s="325"/>
      <c r="AFI32" s="325"/>
      <c r="AFJ32" s="325"/>
      <c r="AFK32" s="325"/>
      <c r="AFL32" s="325"/>
      <c r="AFM32" s="325"/>
      <c r="AFN32" s="325"/>
      <c r="AFO32" s="325"/>
      <c r="AFP32" s="325"/>
      <c r="AFQ32" s="325"/>
      <c r="AFR32" s="325"/>
      <c r="AFS32" s="325"/>
      <c r="AFT32" s="325"/>
      <c r="AFU32" s="325"/>
      <c r="AFV32" s="325"/>
      <c r="AFW32" s="325"/>
      <c r="AFX32" s="325"/>
      <c r="AFY32" s="325"/>
      <c r="AFZ32" s="325"/>
      <c r="AGA32" s="325"/>
      <c r="AGB32" s="325"/>
      <c r="AGC32" s="325"/>
      <c r="AGD32" s="325"/>
      <c r="AGE32" s="325"/>
      <c r="AGF32" s="325"/>
      <c r="AGG32" s="325"/>
      <c r="AGH32" s="325"/>
      <c r="AGI32" s="325"/>
      <c r="AGJ32" s="325"/>
      <c r="AGK32" s="325"/>
      <c r="AGL32" s="325"/>
      <c r="AGM32" s="325"/>
      <c r="AGN32" s="325"/>
      <c r="AGO32" s="325"/>
      <c r="AGP32" s="325"/>
      <c r="AGQ32" s="325"/>
      <c r="AGR32" s="325"/>
      <c r="AGS32" s="325"/>
      <c r="AGT32" s="325"/>
      <c r="AGU32" s="325"/>
      <c r="AGV32" s="325"/>
      <c r="AGW32" s="325"/>
      <c r="AGX32" s="325"/>
      <c r="AGY32" s="325"/>
      <c r="AGZ32" s="325"/>
      <c r="AHA32" s="325"/>
      <c r="AHB32" s="325"/>
      <c r="AHC32" s="325"/>
      <c r="AHD32" s="325"/>
      <c r="AHE32" s="325"/>
      <c r="AHF32" s="325"/>
      <c r="AHG32" s="325"/>
      <c r="AHH32" s="325"/>
      <c r="AHI32" s="325"/>
      <c r="AHJ32" s="325"/>
      <c r="AHK32" s="325"/>
      <c r="AHL32" s="325"/>
      <c r="AHM32" s="325"/>
      <c r="AHN32" s="325"/>
      <c r="AHO32" s="325"/>
      <c r="AHP32" s="325"/>
      <c r="AHQ32" s="325"/>
      <c r="AHR32" s="325"/>
      <c r="AHS32" s="325"/>
      <c r="AHT32" s="325"/>
      <c r="AHU32" s="325"/>
      <c r="AHV32" s="325"/>
      <c r="AHW32" s="325"/>
      <c r="AHX32" s="325"/>
      <c r="AHY32" s="325"/>
      <c r="AHZ32" s="325"/>
      <c r="AIA32" s="325"/>
      <c r="AIB32" s="325"/>
      <c r="AIC32" s="325"/>
      <c r="AID32" s="325"/>
      <c r="AIE32" s="325"/>
      <c r="AIF32" s="325"/>
      <c r="AIG32" s="325"/>
      <c r="AIH32" s="325"/>
      <c r="AII32" s="325"/>
      <c r="AIJ32" s="325"/>
      <c r="AIK32" s="325"/>
      <c r="AIL32" s="325"/>
      <c r="AIM32" s="325"/>
      <c r="AIN32" s="325"/>
      <c r="AIO32" s="325"/>
      <c r="AIP32" s="325"/>
      <c r="AIQ32" s="325"/>
      <c r="AIR32" s="325"/>
      <c r="AIS32" s="325"/>
      <c r="AIT32" s="325"/>
      <c r="AIU32" s="325"/>
      <c r="AIV32" s="325"/>
      <c r="AIW32" s="325"/>
      <c r="AIX32" s="325"/>
      <c r="AIY32" s="325"/>
      <c r="AIZ32" s="325"/>
      <c r="AJA32" s="325"/>
      <c r="AJB32" s="325"/>
      <c r="AJC32" s="325"/>
      <c r="AJD32" s="325"/>
      <c r="AJE32" s="325"/>
      <c r="AJF32" s="325"/>
      <c r="AJG32" s="325"/>
      <c r="AJH32" s="325"/>
      <c r="AJI32" s="325"/>
      <c r="AJJ32" s="325"/>
      <c r="AJK32" s="325"/>
      <c r="AJL32" s="325"/>
      <c r="AJM32" s="325"/>
      <c r="AJN32" s="325"/>
      <c r="AJO32" s="325"/>
      <c r="AJP32" s="325"/>
      <c r="AJQ32" s="325"/>
      <c r="AJR32" s="325"/>
      <c r="AJS32" s="325"/>
      <c r="AJT32" s="325"/>
      <c r="AJU32" s="325"/>
      <c r="AJV32" s="325"/>
      <c r="AJW32" s="325"/>
      <c r="AJX32" s="325"/>
      <c r="AJY32" s="325"/>
      <c r="AJZ32" s="325"/>
      <c r="AKA32" s="325"/>
      <c r="AKB32" s="325"/>
      <c r="AKC32" s="325"/>
      <c r="AKD32" s="325"/>
      <c r="AKE32" s="325"/>
      <c r="AKF32" s="325"/>
      <c r="AKG32" s="325"/>
      <c r="AKH32" s="325"/>
      <c r="AKI32" s="325"/>
      <c r="AKJ32" s="325"/>
      <c r="AKK32" s="325"/>
      <c r="AKL32" s="325"/>
      <c r="AKM32" s="325"/>
      <c r="AKN32" s="325"/>
      <c r="AKO32" s="325"/>
      <c r="AKP32" s="325"/>
      <c r="AKQ32" s="325"/>
      <c r="AKR32" s="325"/>
      <c r="AKS32" s="325"/>
      <c r="AKT32" s="325"/>
      <c r="AKU32" s="325"/>
      <c r="AKV32" s="325"/>
      <c r="AKW32" s="325"/>
      <c r="AKX32" s="325"/>
      <c r="AKY32" s="325"/>
      <c r="AKZ32" s="325"/>
      <c r="ALA32" s="325"/>
      <c r="ALB32" s="325"/>
      <c r="ALC32" s="325"/>
      <c r="ALD32" s="325"/>
      <c r="ALE32" s="325"/>
      <c r="ALF32" s="325"/>
      <c r="ALG32" s="325"/>
      <c r="ALH32" s="325"/>
      <c r="ALI32" s="325"/>
      <c r="ALJ32" s="325"/>
      <c r="ALK32" s="325"/>
      <c r="ALL32" s="325"/>
      <c r="ALM32" s="325"/>
      <c r="ALN32" s="325"/>
      <c r="ALO32" s="325"/>
      <c r="ALP32" s="325"/>
      <c r="ALQ32" s="325"/>
      <c r="ALR32" s="325"/>
      <c r="ALS32" s="325"/>
      <c r="ALT32" s="325"/>
      <c r="ALU32" s="325"/>
      <c r="ALV32" s="325"/>
      <c r="ALW32" s="325"/>
      <c r="ALX32" s="325"/>
      <c r="ALY32" s="325"/>
      <c r="ALZ32" s="325"/>
      <c r="AMA32" s="325"/>
      <c r="AMB32" s="325"/>
      <c r="AMC32" s="325"/>
    </row>
    <row r="33" spans="3:1017" s="75" customFormat="1">
      <c r="C33" s="130"/>
      <c r="D33" s="130"/>
      <c r="CN33" s="225"/>
      <c r="CQ33" s="226"/>
      <c r="LD33" s="213"/>
      <c r="LH33" s="286"/>
      <c r="LI33" s="287"/>
      <c r="LJ33" s="124"/>
      <c r="LK33" s="124"/>
      <c r="LL33" s="124"/>
      <c r="LM33" s="124"/>
      <c r="LN33" s="124"/>
      <c r="LO33" s="124"/>
      <c r="LP33" s="124"/>
      <c r="LQ33" s="124"/>
      <c r="LR33" s="124"/>
      <c r="NE33" s="330"/>
      <c r="NF33" s="325"/>
      <c r="NG33" s="325"/>
      <c r="NH33" s="325"/>
      <c r="NI33" s="325"/>
      <c r="NJ33" s="325"/>
      <c r="NK33" s="325"/>
      <c r="NL33" s="325"/>
      <c r="NM33" s="325"/>
      <c r="NN33" s="325"/>
      <c r="NO33" s="325"/>
      <c r="NP33" s="325"/>
      <c r="NQ33" s="325"/>
      <c r="NR33" s="325"/>
      <c r="NS33" s="325"/>
      <c r="NT33" s="325"/>
      <c r="NU33" s="325"/>
      <c r="NV33" s="325"/>
      <c r="NW33" s="325"/>
      <c r="NX33" s="325"/>
      <c r="NY33" s="325"/>
      <c r="NZ33" s="325"/>
      <c r="OA33" s="325"/>
      <c r="OB33" s="325"/>
      <c r="OC33" s="325"/>
      <c r="OD33" s="325"/>
      <c r="OE33" s="325"/>
      <c r="OF33" s="325"/>
      <c r="OG33" s="325"/>
      <c r="OH33" s="325"/>
      <c r="OI33" s="325"/>
      <c r="OJ33" s="325"/>
      <c r="OK33" s="325"/>
      <c r="OL33" s="325"/>
      <c r="OM33" s="325"/>
      <c r="ON33" s="325"/>
      <c r="OO33" s="325"/>
      <c r="OP33" s="325"/>
      <c r="OQ33" s="325"/>
      <c r="OR33" s="325"/>
      <c r="OS33" s="325"/>
      <c r="OT33" s="325"/>
      <c r="OU33" s="325"/>
      <c r="OV33" s="325"/>
      <c r="OW33" s="325"/>
      <c r="OX33" s="325"/>
      <c r="OY33" s="325"/>
      <c r="OZ33" s="325"/>
      <c r="PA33" s="325"/>
      <c r="PB33" s="325"/>
      <c r="PC33" s="325"/>
      <c r="PD33" s="325"/>
      <c r="PE33" s="325"/>
      <c r="PF33" s="325"/>
      <c r="PG33" s="325"/>
      <c r="PH33" s="325"/>
      <c r="PI33" s="325"/>
      <c r="PJ33" s="325"/>
      <c r="PK33" s="325"/>
      <c r="PL33" s="325"/>
      <c r="PM33" s="325"/>
      <c r="PN33" s="325"/>
      <c r="PO33" s="325"/>
      <c r="PP33" s="325"/>
      <c r="PQ33" s="325"/>
      <c r="PR33" s="325"/>
      <c r="PS33" s="325"/>
      <c r="PT33" s="325"/>
      <c r="PU33" s="325"/>
      <c r="PV33" s="325"/>
      <c r="PW33" s="325"/>
      <c r="PX33" s="325"/>
      <c r="PY33" s="325"/>
      <c r="PZ33" s="325"/>
      <c r="QA33" s="325"/>
      <c r="QB33" s="325"/>
      <c r="QC33" s="325"/>
      <c r="QD33" s="325"/>
      <c r="QE33" s="325"/>
      <c r="QF33" s="325"/>
      <c r="QG33" s="325"/>
      <c r="QH33" s="325"/>
      <c r="QI33" s="325"/>
      <c r="QJ33" s="325"/>
      <c r="QK33" s="325"/>
      <c r="QL33" s="325"/>
      <c r="QM33" s="325"/>
      <c r="QN33" s="325"/>
      <c r="QO33" s="325"/>
      <c r="QP33" s="325"/>
      <c r="QQ33" s="325"/>
      <c r="QR33" s="325"/>
      <c r="QS33" s="325"/>
      <c r="QT33" s="325"/>
      <c r="QU33" s="325"/>
      <c r="QV33" s="325"/>
      <c r="QW33" s="325"/>
      <c r="QX33" s="325"/>
      <c r="QY33" s="325"/>
      <c r="QZ33" s="325"/>
      <c r="RA33" s="325"/>
      <c r="RB33" s="325"/>
      <c r="RC33" s="325"/>
      <c r="RD33" s="325"/>
      <c r="RE33" s="325"/>
      <c r="RF33" s="325"/>
      <c r="RG33" s="325"/>
      <c r="RH33" s="325"/>
      <c r="RI33" s="325"/>
      <c r="RJ33" s="325"/>
      <c r="RK33" s="325"/>
      <c r="RL33" s="325"/>
      <c r="RM33" s="325"/>
      <c r="RN33" s="325"/>
      <c r="RO33" s="325"/>
      <c r="RP33" s="325"/>
      <c r="RQ33" s="325"/>
      <c r="RR33" s="325"/>
      <c r="RS33" s="325"/>
      <c r="RT33" s="325"/>
      <c r="RU33" s="325"/>
      <c r="RV33" s="325"/>
      <c r="RW33" s="325"/>
      <c r="RX33" s="325"/>
      <c r="RY33" s="325"/>
      <c r="RZ33" s="325"/>
      <c r="SA33" s="325"/>
      <c r="SB33" s="325"/>
      <c r="SC33" s="325"/>
      <c r="SD33" s="325"/>
      <c r="SE33" s="325"/>
      <c r="SF33" s="325"/>
      <c r="SG33" s="325"/>
      <c r="SH33" s="325"/>
      <c r="SI33" s="325"/>
      <c r="SJ33" s="325"/>
      <c r="SK33" s="325"/>
      <c r="SL33" s="325"/>
      <c r="SM33" s="325"/>
      <c r="SN33" s="325"/>
      <c r="SO33" s="325"/>
      <c r="SP33" s="325"/>
      <c r="SQ33" s="325"/>
      <c r="SR33" s="325"/>
      <c r="SS33" s="325"/>
      <c r="ST33" s="325"/>
      <c r="SU33" s="325"/>
      <c r="SV33" s="325"/>
      <c r="SW33" s="325"/>
      <c r="SX33" s="325"/>
      <c r="SY33" s="325"/>
      <c r="SZ33" s="325"/>
      <c r="TA33" s="325"/>
      <c r="TB33" s="325"/>
      <c r="TC33" s="325"/>
      <c r="TD33" s="325"/>
      <c r="TE33" s="325"/>
      <c r="TF33" s="325"/>
      <c r="TG33" s="325"/>
      <c r="TH33" s="325"/>
      <c r="TI33" s="325"/>
      <c r="TJ33" s="325"/>
      <c r="TK33" s="325"/>
      <c r="TL33" s="325"/>
      <c r="TM33" s="325"/>
      <c r="TN33" s="325"/>
      <c r="TO33" s="325"/>
      <c r="TP33" s="325"/>
      <c r="TQ33" s="325"/>
      <c r="TR33" s="325"/>
      <c r="TS33" s="325"/>
      <c r="TT33" s="325"/>
      <c r="TU33" s="325"/>
      <c r="TV33" s="325"/>
      <c r="TW33" s="325"/>
      <c r="TX33" s="325"/>
      <c r="TY33" s="325"/>
      <c r="TZ33" s="325"/>
      <c r="UA33" s="325"/>
      <c r="UB33" s="325"/>
      <c r="UC33" s="325"/>
      <c r="UD33" s="325"/>
      <c r="UE33" s="325"/>
      <c r="UF33" s="325"/>
      <c r="UG33" s="325"/>
      <c r="UH33" s="325"/>
      <c r="UI33" s="325"/>
      <c r="UJ33" s="325"/>
      <c r="UK33" s="325"/>
      <c r="UL33" s="325"/>
      <c r="UM33" s="325"/>
      <c r="UN33" s="325"/>
      <c r="UO33" s="325"/>
      <c r="UP33" s="325"/>
      <c r="UQ33" s="325"/>
      <c r="UR33" s="325"/>
      <c r="US33" s="325"/>
      <c r="UT33" s="325"/>
      <c r="UU33" s="325"/>
      <c r="UV33" s="325"/>
      <c r="UW33" s="325"/>
      <c r="UX33" s="325"/>
      <c r="UY33" s="325"/>
      <c r="UZ33" s="325"/>
      <c r="VA33" s="325"/>
      <c r="VB33" s="325"/>
      <c r="VC33" s="325"/>
      <c r="VD33" s="325"/>
      <c r="VE33" s="325"/>
      <c r="VF33" s="325"/>
      <c r="VG33" s="325"/>
      <c r="VH33" s="325"/>
      <c r="VI33" s="325"/>
      <c r="VJ33" s="325"/>
      <c r="VK33" s="325"/>
      <c r="VL33" s="325"/>
      <c r="VM33" s="325"/>
      <c r="VN33" s="325"/>
      <c r="VO33" s="325"/>
      <c r="VP33" s="325"/>
      <c r="VQ33" s="325"/>
      <c r="VR33" s="325"/>
      <c r="VS33" s="325"/>
      <c r="VT33" s="325"/>
      <c r="VU33" s="325"/>
      <c r="VV33" s="325"/>
      <c r="VW33" s="325"/>
      <c r="VX33" s="325"/>
      <c r="VY33" s="325"/>
      <c r="VZ33" s="325"/>
      <c r="WA33" s="325"/>
      <c r="WB33" s="325"/>
      <c r="WC33" s="325"/>
      <c r="WD33" s="325"/>
      <c r="WE33" s="325"/>
      <c r="WF33" s="325"/>
      <c r="WG33" s="325"/>
      <c r="WH33" s="325"/>
      <c r="WI33" s="325"/>
      <c r="WJ33" s="325"/>
      <c r="WK33" s="325"/>
      <c r="WL33" s="325"/>
      <c r="WM33" s="325"/>
      <c r="WN33" s="325"/>
      <c r="WO33" s="325"/>
      <c r="WP33" s="325"/>
      <c r="WQ33" s="325"/>
      <c r="WR33" s="325"/>
      <c r="WS33" s="325"/>
      <c r="WT33" s="325"/>
      <c r="WU33" s="325"/>
      <c r="WV33" s="325"/>
      <c r="WW33" s="325"/>
      <c r="WX33" s="325"/>
      <c r="WY33" s="325"/>
      <c r="WZ33" s="325"/>
      <c r="XA33" s="325"/>
      <c r="XB33" s="325"/>
      <c r="XC33" s="325"/>
      <c r="XD33" s="325"/>
      <c r="XE33" s="325"/>
      <c r="XF33" s="325"/>
      <c r="XG33" s="325"/>
      <c r="XH33" s="325"/>
      <c r="XI33" s="325"/>
      <c r="XJ33" s="325"/>
      <c r="XK33" s="325"/>
      <c r="XL33" s="325"/>
      <c r="XM33" s="325"/>
      <c r="XN33" s="325"/>
      <c r="XO33" s="325"/>
      <c r="XP33" s="325"/>
      <c r="XQ33" s="325"/>
      <c r="XR33" s="325"/>
      <c r="XS33" s="325"/>
      <c r="XT33" s="325"/>
      <c r="XU33" s="325"/>
      <c r="XV33" s="325"/>
      <c r="XW33" s="325"/>
      <c r="XX33" s="325"/>
      <c r="XY33" s="325"/>
      <c r="XZ33" s="325"/>
      <c r="YA33" s="325"/>
      <c r="YB33" s="325"/>
      <c r="YC33" s="325"/>
      <c r="YD33" s="325"/>
      <c r="YE33" s="325"/>
      <c r="YF33" s="325"/>
      <c r="YG33" s="325"/>
      <c r="YH33" s="325"/>
      <c r="YI33" s="325"/>
      <c r="YJ33" s="325"/>
      <c r="YK33" s="325"/>
      <c r="YL33" s="325"/>
      <c r="YM33" s="325"/>
      <c r="YN33" s="325"/>
      <c r="YO33" s="325"/>
      <c r="YP33" s="325"/>
      <c r="YQ33" s="325"/>
      <c r="YR33" s="325"/>
      <c r="YS33" s="325"/>
      <c r="YT33" s="325"/>
      <c r="YU33" s="325"/>
      <c r="YV33" s="325"/>
      <c r="YW33" s="325"/>
      <c r="YX33" s="325"/>
      <c r="YY33" s="325"/>
      <c r="YZ33" s="325"/>
      <c r="ZA33" s="325"/>
      <c r="ZB33" s="325"/>
      <c r="ZC33" s="325"/>
      <c r="ZD33" s="325"/>
      <c r="ZE33" s="325"/>
      <c r="ZF33" s="325"/>
      <c r="ZG33" s="325"/>
      <c r="ZH33" s="325"/>
      <c r="ZI33" s="325"/>
      <c r="ZJ33" s="325"/>
      <c r="ZK33" s="325"/>
      <c r="ZL33" s="325"/>
      <c r="ZM33" s="325"/>
      <c r="ZN33" s="325"/>
      <c r="ZO33" s="325"/>
      <c r="ZP33" s="325"/>
      <c r="ZQ33" s="325"/>
      <c r="ZR33" s="325"/>
      <c r="ZS33" s="325"/>
      <c r="ZT33" s="325"/>
      <c r="ZU33" s="325"/>
      <c r="ZV33" s="325"/>
      <c r="ZW33" s="325"/>
      <c r="ZX33" s="325"/>
      <c r="ZY33" s="325"/>
      <c r="ZZ33" s="325"/>
      <c r="AAA33" s="325"/>
      <c r="AAB33" s="325"/>
      <c r="AAC33" s="325"/>
      <c r="AAD33" s="325"/>
      <c r="AAE33" s="325"/>
      <c r="AAF33" s="325"/>
      <c r="AAG33" s="325"/>
      <c r="AAH33" s="325"/>
      <c r="AAI33" s="325"/>
      <c r="AAJ33" s="325"/>
      <c r="AAK33" s="325"/>
      <c r="AAL33" s="325"/>
      <c r="AAM33" s="325"/>
      <c r="AAN33" s="325"/>
      <c r="AAO33" s="325"/>
      <c r="AAP33" s="325"/>
      <c r="AAQ33" s="325"/>
      <c r="AAR33" s="325"/>
      <c r="AAS33" s="325"/>
      <c r="AAT33" s="325"/>
      <c r="AAU33" s="325"/>
      <c r="AAV33" s="325"/>
      <c r="AAW33" s="325"/>
      <c r="AAX33" s="325"/>
      <c r="AAY33" s="325"/>
      <c r="AAZ33" s="325"/>
      <c r="ABA33" s="325"/>
      <c r="ABB33" s="325"/>
      <c r="ABC33" s="325"/>
      <c r="ABD33" s="325"/>
      <c r="ABE33" s="325"/>
      <c r="ABF33" s="325"/>
      <c r="ABG33" s="325"/>
      <c r="ABH33" s="325"/>
      <c r="ABI33" s="325"/>
      <c r="ABJ33" s="325"/>
      <c r="ABK33" s="325"/>
      <c r="ABL33" s="325"/>
      <c r="ABM33" s="325"/>
      <c r="ABN33" s="325"/>
      <c r="ABO33" s="325"/>
      <c r="ABP33" s="325"/>
      <c r="ABQ33" s="325"/>
      <c r="ABR33" s="325"/>
      <c r="ABS33" s="325"/>
      <c r="ABT33" s="325"/>
      <c r="ABU33" s="325"/>
      <c r="ABV33" s="325"/>
      <c r="ABW33" s="325"/>
      <c r="ABX33" s="325"/>
      <c r="ABY33" s="325"/>
      <c r="ABZ33" s="325"/>
      <c r="ACA33" s="325"/>
      <c r="ACB33" s="325"/>
      <c r="ACC33" s="325"/>
      <c r="ACD33" s="325"/>
      <c r="ACE33" s="325"/>
      <c r="ACF33" s="325"/>
      <c r="ACG33" s="325"/>
      <c r="ACH33" s="325"/>
      <c r="ACI33" s="325"/>
      <c r="ACJ33" s="325"/>
      <c r="ACK33" s="325"/>
      <c r="ACL33" s="325"/>
      <c r="ACM33" s="325"/>
      <c r="ACN33" s="325"/>
      <c r="ACO33" s="325"/>
      <c r="ACP33" s="325"/>
      <c r="ACQ33" s="325"/>
      <c r="ACR33" s="325"/>
      <c r="ACS33" s="325"/>
      <c r="ACT33" s="325"/>
      <c r="ACU33" s="325"/>
      <c r="ACV33" s="325"/>
      <c r="ACW33" s="325"/>
      <c r="ACX33" s="325"/>
      <c r="ACY33" s="325"/>
      <c r="ACZ33" s="325"/>
      <c r="ADA33" s="325"/>
      <c r="ADB33" s="325"/>
      <c r="ADC33" s="325"/>
      <c r="ADD33" s="325"/>
      <c r="ADE33" s="325"/>
      <c r="ADF33" s="325"/>
      <c r="ADG33" s="325"/>
      <c r="ADH33" s="325"/>
      <c r="ADI33" s="325"/>
      <c r="ADJ33" s="325"/>
      <c r="ADK33" s="325"/>
      <c r="ADL33" s="325"/>
      <c r="ADM33" s="325"/>
      <c r="ADN33" s="325"/>
      <c r="ADO33" s="325"/>
      <c r="ADP33" s="325"/>
      <c r="ADQ33" s="325"/>
      <c r="ADR33" s="325"/>
      <c r="ADS33" s="325"/>
      <c r="ADT33" s="325"/>
      <c r="ADU33" s="325"/>
      <c r="ADV33" s="325"/>
      <c r="ADW33" s="325"/>
      <c r="ADX33" s="325"/>
      <c r="ADY33" s="325"/>
      <c r="ADZ33" s="325"/>
      <c r="AEA33" s="325"/>
      <c r="AEB33" s="325"/>
      <c r="AEC33" s="325"/>
      <c r="AED33" s="325"/>
      <c r="AEE33" s="325"/>
      <c r="AEF33" s="325"/>
      <c r="AEG33" s="325"/>
      <c r="AEH33" s="325"/>
      <c r="AEI33" s="325"/>
      <c r="AEJ33" s="325"/>
      <c r="AEK33" s="325"/>
      <c r="AEL33" s="325"/>
      <c r="AEM33" s="325"/>
      <c r="AEN33" s="325"/>
      <c r="AEO33" s="325"/>
      <c r="AEP33" s="325"/>
      <c r="AEQ33" s="325"/>
      <c r="AER33" s="325"/>
      <c r="AES33" s="325"/>
      <c r="AET33" s="325"/>
      <c r="AEU33" s="325"/>
      <c r="AEV33" s="325"/>
      <c r="AEW33" s="325"/>
      <c r="AEX33" s="325"/>
      <c r="AEY33" s="325"/>
      <c r="AEZ33" s="325"/>
      <c r="AFA33" s="325"/>
      <c r="AFB33" s="325"/>
      <c r="AFC33" s="325"/>
      <c r="AFD33" s="325"/>
      <c r="AFE33" s="325"/>
      <c r="AFF33" s="325"/>
      <c r="AFG33" s="325"/>
      <c r="AFH33" s="325"/>
      <c r="AFI33" s="325"/>
      <c r="AFJ33" s="325"/>
      <c r="AFK33" s="325"/>
      <c r="AFL33" s="325"/>
      <c r="AFM33" s="325"/>
      <c r="AFN33" s="325"/>
      <c r="AFO33" s="325"/>
      <c r="AFP33" s="325"/>
      <c r="AFQ33" s="325"/>
      <c r="AFR33" s="325"/>
      <c r="AFS33" s="325"/>
      <c r="AFT33" s="325"/>
      <c r="AFU33" s="325"/>
      <c r="AFV33" s="325"/>
      <c r="AFW33" s="325"/>
      <c r="AFX33" s="325"/>
      <c r="AFY33" s="325"/>
      <c r="AFZ33" s="325"/>
      <c r="AGA33" s="325"/>
      <c r="AGB33" s="325"/>
      <c r="AGC33" s="325"/>
      <c r="AGD33" s="325"/>
      <c r="AGE33" s="325"/>
      <c r="AGF33" s="325"/>
      <c r="AGG33" s="325"/>
      <c r="AGH33" s="325"/>
      <c r="AGI33" s="325"/>
      <c r="AGJ33" s="325"/>
      <c r="AGK33" s="325"/>
      <c r="AGL33" s="325"/>
      <c r="AGM33" s="325"/>
      <c r="AGN33" s="325"/>
      <c r="AGO33" s="325"/>
      <c r="AGP33" s="325"/>
      <c r="AGQ33" s="325"/>
      <c r="AGR33" s="325"/>
      <c r="AGS33" s="325"/>
      <c r="AGT33" s="325"/>
      <c r="AGU33" s="325"/>
      <c r="AGV33" s="325"/>
      <c r="AGW33" s="325"/>
      <c r="AGX33" s="325"/>
      <c r="AGY33" s="325"/>
      <c r="AGZ33" s="325"/>
      <c r="AHA33" s="325"/>
      <c r="AHB33" s="325"/>
      <c r="AHC33" s="325"/>
      <c r="AHD33" s="325"/>
      <c r="AHE33" s="325"/>
      <c r="AHF33" s="325"/>
      <c r="AHG33" s="325"/>
      <c r="AHH33" s="325"/>
      <c r="AHI33" s="325"/>
      <c r="AHJ33" s="325"/>
      <c r="AHK33" s="325"/>
      <c r="AHL33" s="325"/>
      <c r="AHM33" s="325"/>
      <c r="AHN33" s="325"/>
      <c r="AHO33" s="325"/>
      <c r="AHP33" s="325"/>
      <c r="AHQ33" s="325"/>
      <c r="AHR33" s="325"/>
      <c r="AHS33" s="325"/>
      <c r="AHT33" s="325"/>
      <c r="AHU33" s="325"/>
      <c r="AHV33" s="325"/>
      <c r="AHW33" s="325"/>
      <c r="AHX33" s="325"/>
      <c r="AHY33" s="325"/>
      <c r="AHZ33" s="325"/>
      <c r="AIA33" s="325"/>
      <c r="AIB33" s="325"/>
      <c r="AIC33" s="325"/>
      <c r="AID33" s="325"/>
      <c r="AIE33" s="325"/>
      <c r="AIF33" s="325"/>
      <c r="AIG33" s="325"/>
      <c r="AIH33" s="325"/>
      <c r="AII33" s="325"/>
      <c r="AIJ33" s="325"/>
      <c r="AIK33" s="325"/>
      <c r="AIL33" s="325"/>
      <c r="AIM33" s="325"/>
      <c r="AIN33" s="325"/>
      <c r="AIO33" s="325"/>
      <c r="AIP33" s="325"/>
      <c r="AIQ33" s="325"/>
      <c r="AIR33" s="325"/>
      <c r="AIS33" s="325"/>
      <c r="AIT33" s="325"/>
      <c r="AIU33" s="325"/>
      <c r="AIV33" s="325"/>
      <c r="AIW33" s="325"/>
      <c r="AIX33" s="325"/>
      <c r="AIY33" s="325"/>
      <c r="AIZ33" s="325"/>
      <c r="AJA33" s="325"/>
      <c r="AJB33" s="325"/>
      <c r="AJC33" s="325"/>
      <c r="AJD33" s="325"/>
      <c r="AJE33" s="325"/>
      <c r="AJF33" s="325"/>
      <c r="AJG33" s="325"/>
      <c r="AJH33" s="325"/>
      <c r="AJI33" s="325"/>
      <c r="AJJ33" s="325"/>
      <c r="AJK33" s="325"/>
      <c r="AJL33" s="325"/>
      <c r="AJM33" s="325"/>
      <c r="AJN33" s="325"/>
      <c r="AJO33" s="325"/>
      <c r="AJP33" s="325"/>
      <c r="AJQ33" s="325"/>
      <c r="AJR33" s="325"/>
      <c r="AJS33" s="325"/>
      <c r="AJT33" s="325"/>
      <c r="AJU33" s="325"/>
      <c r="AJV33" s="325"/>
      <c r="AJW33" s="325"/>
      <c r="AJX33" s="325"/>
      <c r="AJY33" s="325"/>
      <c r="AJZ33" s="325"/>
      <c r="AKA33" s="325"/>
      <c r="AKB33" s="325"/>
      <c r="AKC33" s="325"/>
      <c r="AKD33" s="325"/>
      <c r="AKE33" s="325"/>
      <c r="AKF33" s="325"/>
      <c r="AKG33" s="325"/>
      <c r="AKH33" s="325"/>
      <c r="AKI33" s="325"/>
      <c r="AKJ33" s="325"/>
      <c r="AKK33" s="325"/>
      <c r="AKL33" s="325"/>
      <c r="AKM33" s="325"/>
      <c r="AKN33" s="325"/>
      <c r="AKO33" s="325"/>
      <c r="AKP33" s="325"/>
      <c r="AKQ33" s="325"/>
      <c r="AKR33" s="325"/>
      <c r="AKS33" s="325"/>
      <c r="AKT33" s="325"/>
      <c r="AKU33" s="325"/>
      <c r="AKV33" s="325"/>
      <c r="AKW33" s="325"/>
      <c r="AKX33" s="325"/>
      <c r="AKY33" s="325"/>
      <c r="AKZ33" s="325"/>
      <c r="ALA33" s="325"/>
      <c r="ALB33" s="325"/>
      <c r="ALC33" s="325"/>
      <c r="ALD33" s="325"/>
      <c r="ALE33" s="325"/>
      <c r="ALF33" s="325"/>
      <c r="ALG33" s="325"/>
      <c r="ALH33" s="325"/>
      <c r="ALI33" s="325"/>
      <c r="ALJ33" s="325"/>
      <c r="ALK33" s="325"/>
      <c r="ALL33" s="325"/>
      <c r="ALM33" s="325"/>
      <c r="ALN33" s="325"/>
      <c r="ALO33" s="325"/>
      <c r="ALP33" s="325"/>
      <c r="ALQ33" s="325"/>
      <c r="ALR33" s="325"/>
      <c r="ALS33" s="325"/>
      <c r="ALT33" s="325"/>
      <c r="ALU33" s="325"/>
      <c r="ALV33" s="325"/>
      <c r="ALW33" s="325"/>
      <c r="ALX33" s="325"/>
      <c r="ALY33" s="325"/>
      <c r="ALZ33" s="325"/>
      <c r="AMA33" s="325"/>
      <c r="AMB33" s="325"/>
      <c r="AMC33" s="325"/>
    </row>
    <row r="34" spans="3:1017" s="75" customFormat="1">
      <c r="C34" s="130"/>
      <c r="D34" s="130"/>
      <c r="CN34" s="225"/>
      <c r="CQ34" s="226"/>
      <c r="LD34" s="213"/>
      <c r="LH34" s="286"/>
      <c r="LI34" s="287"/>
      <c r="LJ34" s="124"/>
      <c r="LK34" s="124"/>
      <c r="LL34" s="124"/>
      <c r="LM34" s="124"/>
      <c r="LN34" s="124"/>
      <c r="LO34" s="124"/>
      <c r="LP34" s="124"/>
      <c r="LQ34" s="124"/>
      <c r="LR34" s="124"/>
      <c r="NE34" s="330"/>
      <c r="NF34" s="325"/>
      <c r="NG34" s="325"/>
      <c r="NH34" s="325"/>
      <c r="NI34" s="325"/>
      <c r="NJ34" s="325"/>
      <c r="NK34" s="325"/>
      <c r="NL34" s="325"/>
      <c r="NM34" s="325"/>
      <c r="NN34" s="325"/>
      <c r="NO34" s="325"/>
      <c r="NP34" s="325"/>
      <c r="NQ34" s="325"/>
      <c r="NR34" s="325"/>
      <c r="NS34" s="325"/>
      <c r="NT34" s="325"/>
      <c r="NU34" s="325"/>
      <c r="NV34" s="325"/>
      <c r="NW34" s="325"/>
      <c r="NX34" s="325"/>
      <c r="NY34" s="325"/>
      <c r="NZ34" s="325"/>
      <c r="OA34" s="325"/>
      <c r="OB34" s="325"/>
      <c r="OC34" s="325"/>
      <c r="OD34" s="325"/>
      <c r="OE34" s="325"/>
      <c r="OF34" s="325"/>
      <c r="OG34" s="325"/>
      <c r="OH34" s="325"/>
      <c r="OI34" s="325"/>
      <c r="OJ34" s="325"/>
      <c r="OK34" s="325"/>
      <c r="OL34" s="325"/>
      <c r="OM34" s="325"/>
      <c r="ON34" s="325"/>
      <c r="OO34" s="325"/>
      <c r="OP34" s="325"/>
      <c r="OQ34" s="325"/>
      <c r="OR34" s="325"/>
      <c r="OS34" s="325"/>
      <c r="OT34" s="325"/>
      <c r="OU34" s="325"/>
      <c r="OV34" s="325"/>
      <c r="OW34" s="325"/>
      <c r="OX34" s="325"/>
      <c r="OY34" s="325"/>
      <c r="OZ34" s="325"/>
      <c r="PA34" s="325"/>
      <c r="PB34" s="325"/>
      <c r="PC34" s="325"/>
      <c r="PD34" s="325"/>
      <c r="PE34" s="325"/>
      <c r="PF34" s="325"/>
      <c r="PG34" s="325"/>
      <c r="PH34" s="325"/>
      <c r="PI34" s="325"/>
      <c r="PJ34" s="325"/>
      <c r="PK34" s="325"/>
      <c r="PL34" s="325"/>
      <c r="PM34" s="325"/>
      <c r="PN34" s="325"/>
      <c r="PO34" s="325"/>
      <c r="PP34" s="325"/>
      <c r="PQ34" s="325"/>
      <c r="PR34" s="325"/>
      <c r="PS34" s="325"/>
      <c r="PT34" s="325"/>
      <c r="PU34" s="325"/>
      <c r="PV34" s="325"/>
      <c r="PW34" s="325"/>
      <c r="PX34" s="325"/>
      <c r="PY34" s="325"/>
      <c r="PZ34" s="325"/>
      <c r="QA34" s="325"/>
      <c r="QB34" s="325"/>
      <c r="QC34" s="325"/>
      <c r="QD34" s="325"/>
      <c r="QE34" s="325"/>
      <c r="QF34" s="325"/>
      <c r="QG34" s="325"/>
      <c r="QH34" s="325"/>
      <c r="QI34" s="325"/>
      <c r="QJ34" s="325"/>
      <c r="QK34" s="325"/>
      <c r="QL34" s="325"/>
      <c r="QM34" s="325"/>
      <c r="QN34" s="325"/>
      <c r="QO34" s="325"/>
      <c r="QP34" s="325"/>
      <c r="QQ34" s="325"/>
      <c r="QR34" s="325"/>
      <c r="QS34" s="325"/>
      <c r="QT34" s="325"/>
      <c r="QU34" s="325"/>
      <c r="QV34" s="325"/>
      <c r="QW34" s="325"/>
      <c r="QX34" s="325"/>
      <c r="QY34" s="325"/>
      <c r="QZ34" s="325"/>
      <c r="RA34" s="325"/>
      <c r="RB34" s="325"/>
      <c r="RC34" s="325"/>
      <c r="RD34" s="325"/>
      <c r="RE34" s="325"/>
      <c r="RF34" s="325"/>
      <c r="RG34" s="325"/>
      <c r="RH34" s="325"/>
      <c r="RI34" s="325"/>
      <c r="RJ34" s="325"/>
      <c r="RK34" s="325"/>
      <c r="RL34" s="325"/>
      <c r="RM34" s="325"/>
      <c r="RN34" s="325"/>
      <c r="RO34" s="325"/>
      <c r="RP34" s="325"/>
      <c r="RQ34" s="325"/>
      <c r="RR34" s="325"/>
      <c r="RS34" s="325"/>
      <c r="RT34" s="325"/>
      <c r="RU34" s="325"/>
      <c r="RV34" s="325"/>
      <c r="RW34" s="325"/>
      <c r="RX34" s="325"/>
      <c r="RY34" s="325"/>
      <c r="RZ34" s="325"/>
      <c r="SA34" s="325"/>
      <c r="SB34" s="325"/>
      <c r="SC34" s="325"/>
      <c r="SD34" s="325"/>
      <c r="SE34" s="325"/>
      <c r="SF34" s="325"/>
      <c r="SG34" s="325"/>
      <c r="SH34" s="325"/>
      <c r="SI34" s="325"/>
      <c r="SJ34" s="325"/>
      <c r="SK34" s="325"/>
      <c r="SL34" s="325"/>
      <c r="SM34" s="325"/>
      <c r="SN34" s="325"/>
      <c r="SO34" s="325"/>
      <c r="SP34" s="325"/>
      <c r="SQ34" s="325"/>
      <c r="SR34" s="325"/>
      <c r="SS34" s="325"/>
      <c r="ST34" s="325"/>
      <c r="SU34" s="325"/>
      <c r="SV34" s="325"/>
      <c r="SW34" s="325"/>
      <c r="SX34" s="325"/>
      <c r="SY34" s="325"/>
      <c r="SZ34" s="325"/>
      <c r="TA34" s="325"/>
      <c r="TB34" s="325"/>
      <c r="TC34" s="325"/>
      <c r="TD34" s="325"/>
      <c r="TE34" s="325"/>
      <c r="TF34" s="325"/>
      <c r="TG34" s="325"/>
      <c r="TH34" s="325"/>
      <c r="TI34" s="325"/>
      <c r="TJ34" s="325"/>
      <c r="TK34" s="325"/>
      <c r="TL34" s="325"/>
      <c r="TM34" s="325"/>
      <c r="TN34" s="325"/>
      <c r="TO34" s="325"/>
      <c r="TP34" s="325"/>
      <c r="TQ34" s="325"/>
      <c r="TR34" s="325"/>
      <c r="TS34" s="325"/>
      <c r="TT34" s="325"/>
      <c r="TU34" s="325"/>
      <c r="TV34" s="325"/>
      <c r="TW34" s="325"/>
      <c r="TX34" s="325"/>
      <c r="TY34" s="325"/>
      <c r="TZ34" s="325"/>
      <c r="UA34" s="325"/>
      <c r="UB34" s="325"/>
      <c r="UC34" s="325"/>
      <c r="UD34" s="325"/>
      <c r="UE34" s="325"/>
      <c r="UF34" s="325"/>
      <c r="UG34" s="325"/>
      <c r="UH34" s="325"/>
      <c r="UI34" s="325"/>
      <c r="UJ34" s="325"/>
      <c r="UK34" s="325"/>
      <c r="UL34" s="325"/>
      <c r="UM34" s="325"/>
      <c r="UN34" s="325"/>
      <c r="UO34" s="325"/>
      <c r="UP34" s="325"/>
      <c r="UQ34" s="325"/>
      <c r="UR34" s="325"/>
      <c r="US34" s="325"/>
      <c r="UT34" s="325"/>
      <c r="UU34" s="325"/>
      <c r="UV34" s="325"/>
      <c r="UW34" s="325"/>
      <c r="UX34" s="325"/>
      <c r="UY34" s="325"/>
      <c r="UZ34" s="325"/>
      <c r="VA34" s="325"/>
      <c r="VB34" s="325"/>
      <c r="VC34" s="325"/>
      <c r="VD34" s="325"/>
      <c r="VE34" s="325"/>
      <c r="VF34" s="325"/>
      <c r="VG34" s="325"/>
      <c r="VH34" s="325"/>
      <c r="VI34" s="325"/>
      <c r="VJ34" s="325"/>
      <c r="VK34" s="325"/>
      <c r="VL34" s="325"/>
      <c r="VM34" s="325"/>
      <c r="VN34" s="325"/>
      <c r="VO34" s="325"/>
      <c r="VP34" s="325"/>
      <c r="VQ34" s="325"/>
      <c r="VR34" s="325"/>
      <c r="VS34" s="325"/>
      <c r="VT34" s="325"/>
      <c r="VU34" s="325"/>
      <c r="VV34" s="325"/>
      <c r="VW34" s="325"/>
      <c r="VX34" s="325"/>
      <c r="VY34" s="325"/>
      <c r="VZ34" s="325"/>
      <c r="WA34" s="325"/>
      <c r="WB34" s="325"/>
      <c r="WC34" s="325"/>
      <c r="WD34" s="325"/>
      <c r="WE34" s="325"/>
      <c r="WF34" s="325"/>
      <c r="WG34" s="325"/>
      <c r="WH34" s="325"/>
      <c r="WI34" s="325"/>
      <c r="WJ34" s="325"/>
      <c r="WK34" s="325"/>
      <c r="WL34" s="325"/>
      <c r="WM34" s="325"/>
      <c r="WN34" s="325"/>
      <c r="WO34" s="325"/>
      <c r="WP34" s="325"/>
      <c r="WQ34" s="325"/>
      <c r="WR34" s="325"/>
      <c r="WS34" s="325"/>
      <c r="WT34" s="325"/>
      <c r="WU34" s="325"/>
      <c r="WV34" s="325"/>
      <c r="WW34" s="325"/>
      <c r="WX34" s="325"/>
      <c r="WY34" s="325"/>
      <c r="WZ34" s="325"/>
      <c r="XA34" s="325"/>
      <c r="XB34" s="325"/>
      <c r="XC34" s="325"/>
      <c r="XD34" s="325"/>
      <c r="XE34" s="325"/>
      <c r="XF34" s="325"/>
      <c r="XG34" s="325"/>
      <c r="XH34" s="325"/>
      <c r="XI34" s="325"/>
      <c r="XJ34" s="325"/>
      <c r="XK34" s="325"/>
      <c r="XL34" s="325"/>
      <c r="XM34" s="325"/>
      <c r="XN34" s="325"/>
      <c r="XO34" s="325"/>
      <c r="XP34" s="325"/>
      <c r="XQ34" s="325"/>
      <c r="XR34" s="325"/>
      <c r="XS34" s="325"/>
      <c r="XT34" s="325"/>
      <c r="XU34" s="325"/>
      <c r="XV34" s="325"/>
      <c r="XW34" s="325"/>
      <c r="XX34" s="325"/>
      <c r="XY34" s="325"/>
      <c r="XZ34" s="325"/>
      <c r="YA34" s="325"/>
      <c r="YB34" s="325"/>
      <c r="YC34" s="325"/>
      <c r="YD34" s="325"/>
      <c r="YE34" s="325"/>
      <c r="YF34" s="325"/>
      <c r="YG34" s="325"/>
      <c r="YH34" s="325"/>
      <c r="YI34" s="325"/>
      <c r="YJ34" s="325"/>
      <c r="YK34" s="325"/>
      <c r="YL34" s="325"/>
      <c r="YM34" s="325"/>
      <c r="YN34" s="325"/>
      <c r="YO34" s="325"/>
      <c r="YP34" s="325"/>
      <c r="YQ34" s="325"/>
      <c r="YR34" s="325"/>
      <c r="YS34" s="325"/>
      <c r="YT34" s="325"/>
      <c r="YU34" s="325"/>
      <c r="YV34" s="325"/>
      <c r="YW34" s="325"/>
      <c r="YX34" s="325"/>
      <c r="YY34" s="325"/>
      <c r="YZ34" s="325"/>
      <c r="ZA34" s="325"/>
      <c r="ZB34" s="325"/>
      <c r="ZC34" s="325"/>
      <c r="ZD34" s="325"/>
      <c r="ZE34" s="325"/>
      <c r="ZF34" s="325"/>
      <c r="ZG34" s="325"/>
      <c r="ZH34" s="325"/>
      <c r="ZI34" s="325"/>
      <c r="ZJ34" s="325"/>
      <c r="ZK34" s="325"/>
      <c r="ZL34" s="325"/>
      <c r="ZM34" s="325"/>
      <c r="ZN34" s="325"/>
      <c r="ZO34" s="325"/>
      <c r="ZP34" s="325"/>
      <c r="ZQ34" s="325"/>
      <c r="ZR34" s="325"/>
      <c r="ZS34" s="325"/>
      <c r="ZT34" s="325"/>
      <c r="ZU34" s="325"/>
      <c r="ZV34" s="325"/>
      <c r="ZW34" s="325"/>
      <c r="ZX34" s="325"/>
      <c r="ZY34" s="325"/>
      <c r="ZZ34" s="325"/>
      <c r="AAA34" s="325"/>
      <c r="AAB34" s="325"/>
      <c r="AAC34" s="325"/>
      <c r="AAD34" s="325"/>
      <c r="AAE34" s="325"/>
      <c r="AAF34" s="325"/>
      <c r="AAG34" s="325"/>
      <c r="AAH34" s="325"/>
      <c r="AAI34" s="325"/>
      <c r="AAJ34" s="325"/>
      <c r="AAK34" s="325"/>
      <c r="AAL34" s="325"/>
      <c r="AAM34" s="325"/>
      <c r="AAN34" s="325"/>
      <c r="AAO34" s="325"/>
      <c r="AAP34" s="325"/>
      <c r="AAQ34" s="325"/>
      <c r="AAR34" s="325"/>
      <c r="AAS34" s="325"/>
      <c r="AAT34" s="325"/>
      <c r="AAU34" s="325"/>
      <c r="AAV34" s="325"/>
      <c r="AAW34" s="325"/>
      <c r="AAX34" s="325"/>
      <c r="AAY34" s="325"/>
      <c r="AAZ34" s="325"/>
      <c r="ABA34" s="325"/>
      <c r="ABB34" s="325"/>
      <c r="ABC34" s="325"/>
      <c r="ABD34" s="325"/>
      <c r="ABE34" s="325"/>
      <c r="ABF34" s="325"/>
      <c r="ABG34" s="325"/>
      <c r="ABH34" s="325"/>
      <c r="ABI34" s="325"/>
      <c r="ABJ34" s="325"/>
      <c r="ABK34" s="325"/>
      <c r="ABL34" s="325"/>
      <c r="ABM34" s="325"/>
      <c r="ABN34" s="325"/>
      <c r="ABO34" s="325"/>
      <c r="ABP34" s="325"/>
      <c r="ABQ34" s="325"/>
      <c r="ABR34" s="325"/>
      <c r="ABS34" s="325"/>
      <c r="ABT34" s="325"/>
      <c r="ABU34" s="325"/>
      <c r="ABV34" s="325"/>
      <c r="ABW34" s="325"/>
      <c r="ABX34" s="325"/>
      <c r="ABY34" s="325"/>
      <c r="ABZ34" s="325"/>
      <c r="ACA34" s="325"/>
      <c r="ACB34" s="325"/>
      <c r="ACC34" s="325"/>
      <c r="ACD34" s="325"/>
      <c r="ACE34" s="325"/>
      <c r="ACF34" s="325"/>
      <c r="ACG34" s="325"/>
      <c r="ACH34" s="325"/>
      <c r="ACI34" s="325"/>
      <c r="ACJ34" s="325"/>
      <c r="ACK34" s="325"/>
      <c r="ACL34" s="325"/>
      <c r="ACM34" s="325"/>
      <c r="ACN34" s="325"/>
      <c r="ACO34" s="325"/>
      <c r="ACP34" s="325"/>
      <c r="ACQ34" s="325"/>
      <c r="ACR34" s="325"/>
      <c r="ACS34" s="325"/>
      <c r="ACT34" s="325"/>
      <c r="ACU34" s="325"/>
      <c r="ACV34" s="325"/>
      <c r="ACW34" s="325"/>
      <c r="ACX34" s="325"/>
      <c r="ACY34" s="325"/>
      <c r="ACZ34" s="325"/>
      <c r="ADA34" s="325"/>
      <c r="ADB34" s="325"/>
      <c r="ADC34" s="325"/>
      <c r="ADD34" s="325"/>
      <c r="ADE34" s="325"/>
      <c r="ADF34" s="325"/>
      <c r="ADG34" s="325"/>
      <c r="ADH34" s="325"/>
      <c r="ADI34" s="325"/>
      <c r="ADJ34" s="325"/>
      <c r="ADK34" s="325"/>
      <c r="ADL34" s="325"/>
      <c r="ADM34" s="325"/>
      <c r="ADN34" s="325"/>
      <c r="ADO34" s="325"/>
      <c r="ADP34" s="325"/>
      <c r="ADQ34" s="325"/>
      <c r="ADR34" s="325"/>
      <c r="ADS34" s="325"/>
      <c r="ADT34" s="325"/>
      <c r="ADU34" s="325"/>
      <c r="ADV34" s="325"/>
      <c r="ADW34" s="325"/>
      <c r="ADX34" s="325"/>
      <c r="ADY34" s="325"/>
      <c r="ADZ34" s="325"/>
      <c r="AEA34" s="325"/>
      <c r="AEB34" s="325"/>
      <c r="AEC34" s="325"/>
      <c r="AED34" s="325"/>
      <c r="AEE34" s="325"/>
      <c r="AEF34" s="325"/>
      <c r="AEG34" s="325"/>
      <c r="AEH34" s="325"/>
      <c r="AEI34" s="325"/>
      <c r="AEJ34" s="325"/>
      <c r="AEK34" s="325"/>
      <c r="AEL34" s="325"/>
      <c r="AEM34" s="325"/>
      <c r="AEN34" s="325"/>
      <c r="AEO34" s="325"/>
      <c r="AEP34" s="325"/>
      <c r="AEQ34" s="325"/>
      <c r="AER34" s="325"/>
      <c r="AES34" s="325"/>
      <c r="AET34" s="325"/>
      <c r="AEU34" s="325"/>
      <c r="AEV34" s="325"/>
      <c r="AEW34" s="325"/>
      <c r="AEX34" s="325"/>
      <c r="AEY34" s="325"/>
      <c r="AEZ34" s="325"/>
      <c r="AFA34" s="325"/>
      <c r="AFB34" s="325"/>
      <c r="AFC34" s="325"/>
      <c r="AFD34" s="325"/>
      <c r="AFE34" s="325"/>
      <c r="AFF34" s="325"/>
      <c r="AFG34" s="325"/>
      <c r="AFH34" s="325"/>
      <c r="AFI34" s="325"/>
      <c r="AFJ34" s="325"/>
      <c r="AFK34" s="325"/>
      <c r="AFL34" s="325"/>
      <c r="AFM34" s="325"/>
      <c r="AFN34" s="325"/>
      <c r="AFO34" s="325"/>
      <c r="AFP34" s="325"/>
      <c r="AFQ34" s="325"/>
      <c r="AFR34" s="325"/>
      <c r="AFS34" s="325"/>
      <c r="AFT34" s="325"/>
      <c r="AFU34" s="325"/>
      <c r="AFV34" s="325"/>
      <c r="AFW34" s="325"/>
      <c r="AFX34" s="325"/>
      <c r="AFY34" s="325"/>
      <c r="AFZ34" s="325"/>
      <c r="AGA34" s="325"/>
      <c r="AGB34" s="325"/>
      <c r="AGC34" s="325"/>
      <c r="AGD34" s="325"/>
      <c r="AGE34" s="325"/>
      <c r="AGF34" s="325"/>
      <c r="AGG34" s="325"/>
      <c r="AGH34" s="325"/>
      <c r="AGI34" s="325"/>
      <c r="AGJ34" s="325"/>
      <c r="AGK34" s="325"/>
      <c r="AGL34" s="325"/>
      <c r="AGM34" s="325"/>
      <c r="AGN34" s="325"/>
      <c r="AGO34" s="325"/>
      <c r="AGP34" s="325"/>
      <c r="AGQ34" s="325"/>
      <c r="AGR34" s="325"/>
      <c r="AGS34" s="325"/>
      <c r="AGT34" s="325"/>
      <c r="AGU34" s="325"/>
      <c r="AGV34" s="325"/>
      <c r="AGW34" s="325"/>
      <c r="AGX34" s="325"/>
      <c r="AGY34" s="325"/>
      <c r="AGZ34" s="325"/>
      <c r="AHA34" s="325"/>
      <c r="AHB34" s="325"/>
      <c r="AHC34" s="325"/>
      <c r="AHD34" s="325"/>
      <c r="AHE34" s="325"/>
      <c r="AHF34" s="325"/>
      <c r="AHG34" s="325"/>
      <c r="AHH34" s="325"/>
      <c r="AHI34" s="325"/>
      <c r="AHJ34" s="325"/>
      <c r="AHK34" s="325"/>
      <c r="AHL34" s="325"/>
      <c r="AHM34" s="325"/>
      <c r="AHN34" s="325"/>
      <c r="AHO34" s="325"/>
      <c r="AHP34" s="325"/>
      <c r="AHQ34" s="325"/>
      <c r="AHR34" s="325"/>
      <c r="AHS34" s="325"/>
      <c r="AHT34" s="325"/>
      <c r="AHU34" s="325"/>
      <c r="AHV34" s="325"/>
      <c r="AHW34" s="325"/>
      <c r="AHX34" s="325"/>
      <c r="AHY34" s="325"/>
      <c r="AHZ34" s="325"/>
      <c r="AIA34" s="325"/>
      <c r="AIB34" s="325"/>
      <c r="AIC34" s="325"/>
      <c r="AID34" s="325"/>
      <c r="AIE34" s="325"/>
      <c r="AIF34" s="325"/>
      <c r="AIG34" s="325"/>
      <c r="AIH34" s="325"/>
      <c r="AII34" s="325"/>
      <c r="AIJ34" s="325"/>
      <c r="AIK34" s="325"/>
      <c r="AIL34" s="325"/>
      <c r="AIM34" s="325"/>
      <c r="AIN34" s="325"/>
      <c r="AIO34" s="325"/>
      <c r="AIP34" s="325"/>
      <c r="AIQ34" s="325"/>
      <c r="AIR34" s="325"/>
      <c r="AIS34" s="325"/>
      <c r="AIT34" s="325"/>
      <c r="AIU34" s="325"/>
      <c r="AIV34" s="325"/>
      <c r="AIW34" s="325"/>
      <c r="AIX34" s="325"/>
      <c r="AIY34" s="325"/>
      <c r="AIZ34" s="325"/>
      <c r="AJA34" s="325"/>
      <c r="AJB34" s="325"/>
      <c r="AJC34" s="325"/>
      <c r="AJD34" s="325"/>
      <c r="AJE34" s="325"/>
      <c r="AJF34" s="325"/>
      <c r="AJG34" s="325"/>
      <c r="AJH34" s="325"/>
      <c r="AJI34" s="325"/>
      <c r="AJJ34" s="325"/>
      <c r="AJK34" s="325"/>
      <c r="AJL34" s="325"/>
      <c r="AJM34" s="325"/>
      <c r="AJN34" s="325"/>
      <c r="AJO34" s="325"/>
      <c r="AJP34" s="325"/>
      <c r="AJQ34" s="325"/>
      <c r="AJR34" s="325"/>
      <c r="AJS34" s="325"/>
      <c r="AJT34" s="325"/>
      <c r="AJU34" s="325"/>
      <c r="AJV34" s="325"/>
      <c r="AJW34" s="325"/>
      <c r="AJX34" s="325"/>
      <c r="AJY34" s="325"/>
      <c r="AJZ34" s="325"/>
      <c r="AKA34" s="325"/>
      <c r="AKB34" s="325"/>
      <c r="AKC34" s="325"/>
      <c r="AKD34" s="325"/>
      <c r="AKE34" s="325"/>
      <c r="AKF34" s="325"/>
      <c r="AKG34" s="325"/>
      <c r="AKH34" s="325"/>
      <c r="AKI34" s="325"/>
      <c r="AKJ34" s="325"/>
      <c r="AKK34" s="325"/>
      <c r="AKL34" s="325"/>
      <c r="AKM34" s="325"/>
      <c r="AKN34" s="325"/>
      <c r="AKO34" s="325"/>
      <c r="AKP34" s="325"/>
      <c r="AKQ34" s="325"/>
      <c r="AKR34" s="325"/>
      <c r="AKS34" s="325"/>
      <c r="AKT34" s="325"/>
      <c r="AKU34" s="325"/>
      <c r="AKV34" s="325"/>
      <c r="AKW34" s="325"/>
      <c r="AKX34" s="325"/>
      <c r="AKY34" s="325"/>
      <c r="AKZ34" s="325"/>
      <c r="ALA34" s="325"/>
      <c r="ALB34" s="325"/>
      <c r="ALC34" s="325"/>
      <c r="ALD34" s="325"/>
      <c r="ALE34" s="325"/>
      <c r="ALF34" s="325"/>
      <c r="ALG34" s="325"/>
      <c r="ALH34" s="325"/>
      <c r="ALI34" s="325"/>
      <c r="ALJ34" s="325"/>
      <c r="ALK34" s="325"/>
      <c r="ALL34" s="325"/>
      <c r="ALM34" s="325"/>
      <c r="ALN34" s="325"/>
      <c r="ALO34" s="325"/>
      <c r="ALP34" s="325"/>
      <c r="ALQ34" s="325"/>
      <c r="ALR34" s="325"/>
      <c r="ALS34" s="325"/>
      <c r="ALT34" s="325"/>
      <c r="ALU34" s="325"/>
      <c r="ALV34" s="325"/>
      <c r="ALW34" s="325"/>
      <c r="ALX34" s="325"/>
      <c r="ALY34" s="325"/>
      <c r="ALZ34" s="325"/>
      <c r="AMA34" s="325"/>
      <c r="AMB34" s="325"/>
      <c r="AMC34" s="325"/>
    </row>
    <row r="35" spans="3:1017" s="75" customFormat="1">
      <c r="C35" s="130"/>
      <c r="D35" s="130"/>
      <c r="CN35" s="225"/>
      <c r="CQ35" s="226"/>
      <c r="LD35" s="213"/>
      <c r="LH35" s="286"/>
      <c r="LI35" s="287"/>
      <c r="LJ35" s="124"/>
      <c r="LK35" s="124"/>
      <c r="LL35" s="124"/>
      <c r="LM35" s="124"/>
      <c r="LN35" s="124"/>
      <c r="LO35" s="124"/>
      <c r="LP35" s="124"/>
      <c r="LQ35" s="124"/>
      <c r="LR35" s="124"/>
      <c r="NE35" s="330"/>
      <c r="NF35" s="325"/>
      <c r="NG35" s="325"/>
      <c r="NH35" s="325"/>
      <c r="NI35" s="325"/>
      <c r="NJ35" s="325"/>
      <c r="NK35" s="325"/>
      <c r="NL35" s="325"/>
      <c r="NM35" s="325"/>
      <c r="NN35" s="325"/>
      <c r="NO35" s="325"/>
      <c r="NP35" s="325"/>
      <c r="NQ35" s="325"/>
      <c r="NR35" s="325"/>
      <c r="NS35" s="325"/>
      <c r="NT35" s="325"/>
      <c r="NU35" s="325"/>
      <c r="NV35" s="325"/>
      <c r="NW35" s="325"/>
      <c r="NX35" s="325"/>
      <c r="NY35" s="325"/>
      <c r="NZ35" s="325"/>
      <c r="OA35" s="325"/>
      <c r="OB35" s="325"/>
      <c r="OC35" s="325"/>
      <c r="OD35" s="325"/>
      <c r="OE35" s="325"/>
      <c r="OF35" s="325"/>
      <c r="OG35" s="325"/>
      <c r="OH35" s="325"/>
      <c r="OI35" s="325"/>
      <c r="OJ35" s="325"/>
      <c r="OK35" s="325"/>
      <c r="OL35" s="325"/>
      <c r="OM35" s="325"/>
      <c r="ON35" s="325"/>
      <c r="OO35" s="325"/>
      <c r="OP35" s="325"/>
      <c r="OQ35" s="325"/>
      <c r="OR35" s="325"/>
      <c r="OS35" s="325"/>
      <c r="OT35" s="325"/>
      <c r="OU35" s="325"/>
      <c r="OV35" s="325"/>
      <c r="OW35" s="325"/>
      <c r="OX35" s="325"/>
      <c r="OY35" s="325"/>
      <c r="OZ35" s="325"/>
      <c r="PA35" s="325"/>
      <c r="PB35" s="325"/>
      <c r="PC35" s="325"/>
      <c r="PD35" s="325"/>
      <c r="PE35" s="325"/>
      <c r="PF35" s="325"/>
      <c r="PG35" s="325"/>
      <c r="PH35" s="325"/>
      <c r="PI35" s="325"/>
      <c r="PJ35" s="325"/>
      <c r="PK35" s="325"/>
      <c r="PL35" s="325"/>
      <c r="PM35" s="325"/>
      <c r="PN35" s="325"/>
      <c r="PO35" s="325"/>
      <c r="PP35" s="325"/>
      <c r="PQ35" s="325"/>
      <c r="PR35" s="325"/>
      <c r="PS35" s="325"/>
      <c r="PT35" s="325"/>
      <c r="PU35" s="325"/>
      <c r="PV35" s="325"/>
      <c r="PW35" s="325"/>
      <c r="PX35" s="325"/>
      <c r="PY35" s="325"/>
      <c r="PZ35" s="325"/>
      <c r="QA35" s="325"/>
      <c r="QB35" s="325"/>
      <c r="QC35" s="325"/>
      <c r="QD35" s="325"/>
      <c r="QE35" s="325"/>
      <c r="QF35" s="325"/>
      <c r="QG35" s="325"/>
      <c r="QH35" s="325"/>
      <c r="QI35" s="325"/>
      <c r="QJ35" s="325"/>
      <c r="QK35" s="325"/>
      <c r="QL35" s="325"/>
      <c r="QM35" s="325"/>
      <c r="QN35" s="325"/>
      <c r="QO35" s="325"/>
      <c r="QP35" s="325"/>
      <c r="QQ35" s="325"/>
      <c r="QR35" s="325"/>
      <c r="QS35" s="325"/>
      <c r="QT35" s="325"/>
      <c r="QU35" s="325"/>
      <c r="QV35" s="325"/>
      <c r="QW35" s="325"/>
      <c r="QX35" s="325"/>
      <c r="QY35" s="325"/>
      <c r="QZ35" s="325"/>
      <c r="RA35" s="325"/>
      <c r="RB35" s="325"/>
      <c r="RC35" s="325"/>
      <c r="RD35" s="325"/>
      <c r="RE35" s="325"/>
      <c r="RF35" s="325"/>
      <c r="RG35" s="325"/>
      <c r="RH35" s="325"/>
      <c r="RI35" s="325"/>
      <c r="RJ35" s="325"/>
      <c r="RK35" s="325"/>
      <c r="RL35" s="325"/>
      <c r="RM35" s="325"/>
      <c r="RN35" s="325"/>
      <c r="RO35" s="325"/>
      <c r="RP35" s="325"/>
      <c r="RQ35" s="325"/>
      <c r="RR35" s="325"/>
      <c r="RS35" s="325"/>
      <c r="RT35" s="325"/>
      <c r="RU35" s="325"/>
      <c r="RV35" s="325"/>
      <c r="RW35" s="325"/>
      <c r="RX35" s="325"/>
      <c r="RY35" s="325"/>
      <c r="RZ35" s="325"/>
      <c r="SA35" s="325"/>
      <c r="SB35" s="325"/>
      <c r="SC35" s="325"/>
      <c r="SD35" s="325"/>
      <c r="SE35" s="325"/>
      <c r="SF35" s="325"/>
      <c r="SG35" s="325"/>
      <c r="SH35" s="325"/>
      <c r="SI35" s="325"/>
      <c r="SJ35" s="325"/>
      <c r="SK35" s="325"/>
      <c r="SL35" s="325"/>
      <c r="SM35" s="325"/>
      <c r="SN35" s="325"/>
      <c r="SO35" s="325"/>
      <c r="SP35" s="325"/>
      <c r="SQ35" s="325"/>
      <c r="SR35" s="325"/>
      <c r="SS35" s="325"/>
      <c r="ST35" s="325"/>
      <c r="SU35" s="325"/>
      <c r="SV35" s="325"/>
      <c r="SW35" s="325"/>
      <c r="SX35" s="325"/>
      <c r="SY35" s="325"/>
      <c r="SZ35" s="325"/>
      <c r="TA35" s="325"/>
      <c r="TB35" s="325"/>
      <c r="TC35" s="325"/>
      <c r="TD35" s="325"/>
      <c r="TE35" s="325"/>
      <c r="TF35" s="325"/>
      <c r="TG35" s="325"/>
      <c r="TH35" s="325"/>
      <c r="TI35" s="325"/>
      <c r="TJ35" s="325"/>
      <c r="TK35" s="325"/>
      <c r="TL35" s="325"/>
      <c r="TM35" s="325"/>
      <c r="TN35" s="325"/>
      <c r="TO35" s="325"/>
      <c r="TP35" s="325"/>
      <c r="TQ35" s="325"/>
      <c r="TR35" s="325"/>
      <c r="TS35" s="325"/>
      <c r="TT35" s="325"/>
      <c r="TU35" s="325"/>
      <c r="TV35" s="325"/>
      <c r="TW35" s="325"/>
      <c r="TX35" s="325"/>
      <c r="TY35" s="325"/>
      <c r="TZ35" s="325"/>
      <c r="UA35" s="325"/>
      <c r="UB35" s="325"/>
      <c r="UC35" s="325"/>
      <c r="UD35" s="325"/>
      <c r="UE35" s="325"/>
      <c r="UF35" s="325"/>
      <c r="UG35" s="325"/>
      <c r="UH35" s="325"/>
      <c r="UI35" s="325"/>
      <c r="UJ35" s="325"/>
      <c r="UK35" s="325"/>
      <c r="UL35" s="325"/>
      <c r="UM35" s="325"/>
      <c r="UN35" s="325"/>
      <c r="UO35" s="325"/>
      <c r="UP35" s="325"/>
      <c r="UQ35" s="325"/>
      <c r="UR35" s="325"/>
      <c r="US35" s="325"/>
      <c r="UT35" s="325"/>
      <c r="UU35" s="325"/>
      <c r="UV35" s="325"/>
      <c r="UW35" s="325"/>
      <c r="UX35" s="325"/>
      <c r="UY35" s="325"/>
      <c r="UZ35" s="325"/>
      <c r="VA35" s="325"/>
      <c r="VB35" s="325"/>
      <c r="VC35" s="325"/>
      <c r="VD35" s="325"/>
      <c r="VE35" s="325"/>
      <c r="VF35" s="325"/>
      <c r="VG35" s="325"/>
      <c r="VH35" s="325"/>
      <c r="VI35" s="325"/>
      <c r="VJ35" s="325"/>
      <c r="VK35" s="325"/>
      <c r="VL35" s="325"/>
      <c r="VM35" s="325"/>
      <c r="VN35" s="325"/>
      <c r="VO35" s="325"/>
      <c r="VP35" s="325"/>
      <c r="VQ35" s="325"/>
      <c r="VR35" s="325"/>
      <c r="VS35" s="325"/>
      <c r="VT35" s="325"/>
      <c r="VU35" s="325"/>
      <c r="VV35" s="325"/>
      <c r="VW35" s="325"/>
      <c r="VX35" s="325"/>
      <c r="VY35" s="325"/>
      <c r="VZ35" s="325"/>
      <c r="WA35" s="325"/>
      <c r="WB35" s="325"/>
      <c r="WC35" s="325"/>
      <c r="WD35" s="325"/>
      <c r="WE35" s="325"/>
      <c r="WF35" s="325"/>
      <c r="WG35" s="325"/>
      <c r="WH35" s="325"/>
      <c r="WI35" s="325"/>
      <c r="WJ35" s="325"/>
      <c r="WK35" s="325"/>
      <c r="WL35" s="325"/>
      <c r="WM35" s="325"/>
      <c r="WN35" s="325"/>
      <c r="WO35" s="325"/>
      <c r="WP35" s="325"/>
      <c r="WQ35" s="325"/>
      <c r="WR35" s="325"/>
      <c r="WS35" s="325"/>
      <c r="WT35" s="325"/>
      <c r="WU35" s="325"/>
      <c r="WV35" s="325"/>
      <c r="WW35" s="325"/>
      <c r="WX35" s="325"/>
      <c r="WY35" s="325"/>
      <c r="WZ35" s="325"/>
      <c r="XA35" s="325"/>
      <c r="XB35" s="325"/>
      <c r="XC35" s="325"/>
      <c r="XD35" s="325"/>
      <c r="XE35" s="325"/>
      <c r="XF35" s="325"/>
      <c r="XG35" s="325"/>
      <c r="XH35" s="325"/>
      <c r="XI35" s="325"/>
      <c r="XJ35" s="325"/>
      <c r="XK35" s="325"/>
      <c r="XL35" s="325"/>
      <c r="XM35" s="325"/>
      <c r="XN35" s="325"/>
      <c r="XO35" s="325"/>
      <c r="XP35" s="325"/>
      <c r="XQ35" s="325"/>
      <c r="XR35" s="325"/>
      <c r="XS35" s="325"/>
      <c r="XT35" s="325"/>
      <c r="XU35" s="325"/>
      <c r="XV35" s="325"/>
      <c r="XW35" s="325"/>
      <c r="XX35" s="325"/>
      <c r="XY35" s="325"/>
      <c r="XZ35" s="325"/>
      <c r="YA35" s="325"/>
      <c r="YB35" s="325"/>
      <c r="YC35" s="325"/>
      <c r="YD35" s="325"/>
      <c r="YE35" s="325"/>
      <c r="YF35" s="325"/>
      <c r="YG35" s="325"/>
      <c r="YH35" s="325"/>
      <c r="YI35" s="325"/>
      <c r="YJ35" s="325"/>
      <c r="YK35" s="325"/>
      <c r="YL35" s="325"/>
      <c r="YM35" s="325"/>
      <c r="YN35" s="325"/>
      <c r="YO35" s="325"/>
      <c r="YP35" s="325"/>
      <c r="YQ35" s="325"/>
      <c r="YR35" s="325"/>
      <c r="YS35" s="325"/>
      <c r="YT35" s="325"/>
      <c r="YU35" s="325"/>
      <c r="YV35" s="325"/>
      <c r="YW35" s="325"/>
      <c r="YX35" s="325"/>
      <c r="YY35" s="325"/>
      <c r="YZ35" s="325"/>
      <c r="ZA35" s="325"/>
      <c r="ZB35" s="325"/>
      <c r="ZC35" s="325"/>
      <c r="ZD35" s="325"/>
      <c r="ZE35" s="325"/>
      <c r="ZF35" s="325"/>
      <c r="ZG35" s="325"/>
      <c r="ZH35" s="325"/>
      <c r="ZI35" s="325"/>
      <c r="ZJ35" s="325"/>
      <c r="ZK35" s="325"/>
      <c r="ZL35" s="325"/>
      <c r="ZM35" s="325"/>
      <c r="ZN35" s="325"/>
      <c r="ZO35" s="325"/>
      <c r="ZP35" s="325"/>
      <c r="ZQ35" s="325"/>
      <c r="ZR35" s="325"/>
      <c r="ZS35" s="325"/>
      <c r="ZT35" s="325"/>
      <c r="ZU35" s="325"/>
      <c r="ZV35" s="325"/>
      <c r="ZW35" s="325"/>
      <c r="ZX35" s="325"/>
      <c r="ZY35" s="325"/>
      <c r="ZZ35" s="325"/>
      <c r="AAA35" s="325"/>
      <c r="AAB35" s="325"/>
      <c r="AAC35" s="325"/>
      <c r="AAD35" s="325"/>
      <c r="AAE35" s="325"/>
      <c r="AAF35" s="325"/>
      <c r="AAG35" s="325"/>
      <c r="AAH35" s="325"/>
      <c r="AAI35" s="325"/>
      <c r="AAJ35" s="325"/>
      <c r="AAK35" s="325"/>
      <c r="AAL35" s="325"/>
      <c r="AAM35" s="325"/>
      <c r="AAN35" s="325"/>
      <c r="AAO35" s="325"/>
      <c r="AAP35" s="325"/>
      <c r="AAQ35" s="325"/>
      <c r="AAR35" s="325"/>
      <c r="AAS35" s="325"/>
      <c r="AAT35" s="325"/>
      <c r="AAU35" s="325"/>
      <c r="AAV35" s="325"/>
      <c r="AAW35" s="325"/>
      <c r="AAX35" s="325"/>
      <c r="AAY35" s="325"/>
      <c r="AAZ35" s="325"/>
      <c r="ABA35" s="325"/>
      <c r="ABB35" s="325"/>
      <c r="ABC35" s="325"/>
      <c r="ABD35" s="325"/>
      <c r="ABE35" s="325"/>
      <c r="ABF35" s="325"/>
      <c r="ABG35" s="325"/>
      <c r="ABH35" s="325"/>
      <c r="ABI35" s="325"/>
      <c r="ABJ35" s="325"/>
      <c r="ABK35" s="325"/>
      <c r="ABL35" s="325"/>
      <c r="ABM35" s="325"/>
      <c r="ABN35" s="325"/>
      <c r="ABO35" s="325"/>
      <c r="ABP35" s="325"/>
      <c r="ABQ35" s="325"/>
      <c r="ABR35" s="325"/>
      <c r="ABS35" s="325"/>
      <c r="ABT35" s="325"/>
      <c r="ABU35" s="325"/>
      <c r="ABV35" s="325"/>
      <c r="ABW35" s="325"/>
      <c r="ABX35" s="325"/>
      <c r="ABY35" s="325"/>
      <c r="ABZ35" s="325"/>
      <c r="ACA35" s="325"/>
      <c r="ACB35" s="325"/>
      <c r="ACC35" s="325"/>
      <c r="ACD35" s="325"/>
      <c r="ACE35" s="325"/>
      <c r="ACF35" s="325"/>
      <c r="ACG35" s="325"/>
      <c r="ACH35" s="325"/>
      <c r="ACI35" s="325"/>
      <c r="ACJ35" s="325"/>
      <c r="ACK35" s="325"/>
      <c r="ACL35" s="325"/>
      <c r="ACM35" s="325"/>
      <c r="ACN35" s="325"/>
      <c r="ACO35" s="325"/>
      <c r="ACP35" s="325"/>
      <c r="ACQ35" s="325"/>
      <c r="ACR35" s="325"/>
      <c r="ACS35" s="325"/>
      <c r="ACT35" s="325"/>
      <c r="ACU35" s="325"/>
      <c r="ACV35" s="325"/>
      <c r="ACW35" s="325"/>
      <c r="ACX35" s="325"/>
      <c r="ACY35" s="325"/>
      <c r="ACZ35" s="325"/>
      <c r="ADA35" s="325"/>
      <c r="ADB35" s="325"/>
      <c r="ADC35" s="325"/>
      <c r="ADD35" s="325"/>
      <c r="ADE35" s="325"/>
      <c r="ADF35" s="325"/>
      <c r="ADG35" s="325"/>
      <c r="ADH35" s="325"/>
      <c r="ADI35" s="325"/>
      <c r="ADJ35" s="325"/>
      <c r="ADK35" s="325"/>
      <c r="ADL35" s="325"/>
      <c r="ADM35" s="325"/>
      <c r="ADN35" s="325"/>
      <c r="ADO35" s="325"/>
      <c r="ADP35" s="325"/>
      <c r="ADQ35" s="325"/>
      <c r="ADR35" s="325"/>
      <c r="ADS35" s="325"/>
      <c r="ADT35" s="325"/>
      <c r="ADU35" s="325"/>
      <c r="ADV35" s="325"/>
      <c r="ADW35" s="325"/>
      <c r="ADX35" s="325"/>
      <c r="ADY35" s="325"/>
      <c r="ADZ35" s="325"/>
      <c r="AEA35" s="325"/>
      <c r="AEB35" s="325"/>
      <c r="AEC35" s="325"/>
      <c r="AED35" s="325"/>
      <c r="AEE35" s="325"/>
      <c r="AEF35" s="325"/>
      <c r="AEG35" s="325"/>
      <c r="AEH35" s="325"/>
      <c r="AEI35" s="325"/>
      <c r="AEJ35" s="325"/>
      <c r="AEK35" s="325"/>
      <c r="AEL35" s="325"/>
      <c r="AEM35" s="325"/>
      <c r="AEN35" s="325"/>
      <c r="AEO35" s="325"/>
      <c r="AEP35" s="325"/>
      <c r="AEQ35" s="325"/>
      <c r="AER35" s="325"/>
      <c r="AES35" s="325"/>
      <c r="AET35" s="325"/>
      <c r="AEU35" s="325"/>
      <c r="AEV35" s="325"/>
      <c r="AEW35" s="325"/>
      <c r="AEX35" s="325"/>
      <c r="AEY35" s="325"/>
      <c r="AEZ35" s="325"/>
      <c r="AFA35" s="325"/>
      <c r="AFB35" s="325"/>
      <c r="AFC35" s="325"/>
      <c r="AFD35" s="325"/>
      <c r="AFE35" s="325"/>
      <c r="AFF35" s="325"/>
      <c r="AFG35" s="325"/>
      <c r="AFH35" s="325"/>
      <c r="AFI35" s="325"/>
      <c r="AFJ35" s="325"/>
      <c r="AFK35" s="325"/>
      <c r="AFL35" s="325"/>
      <c r="AFM35" s="325"/>
      <c r="AFN35" s="325"/>
      <c r="AFO35" s="325"/>
      <c r="AFP35" s="325"/>
      <c r="AFQ35" s="325"/>
      <c r="AFR35" s="325"/>
      <c r="AFS35" s="325"/>
      <c r="AFT35" s="325"/>
      <c r="AFU35" s="325"/>
      <c r="AFV35" s="325"/>
      <c r="AFW35" s="325"/>
      <c r="AFX35" s="325"/>
      <c r="AFY35" s="325"/>
      <c r="AFZ35" s="325"/>
      <c r="AGA35" s="325"/>
      <c r="AGB35" s="325"/>
      <c r="AGC35" s="325"/>
      <c r="AGD35" s="325"/>
      <c r="AGE35" s="325"/>
      <c r="AGF35" s="325"/>
      <c r="AGG35" s="325"/>
      <c r="AGH35" s="325"/>
      <c r="AGI35" s="325"/>
      <c r="AGJ35" s="325"/>
      <c r="AGK35" s="325"/>
      <c r="AGL35" s="325"/>
      <c r="AGM35" s="325"/>
      <c r="AGN35" s="325"/>
      <c r="AGO35" s="325"/>
      <c r="AGP35" s="325"/>
      <c r="AGQ35" s="325"/>
      <c r="AGR35" s="325"/>
      <c r="AGS35" s="325"/>
      <c r="AGT35" s="325"/>
      <c r="AGU35" s="325"/>
      <c r="AGV35" s="325"/>
      <c r="AGW35" s="325"/>
      <c r="AGX35" s="325"/>
      <c r="AGY35" s="325"/>
      <c r="AGZ35" s="325"/>
      <c r="AHA35" s="325"/>
      <c r="AHB35" s="325"/>
      <c r="AHC35" s="325"/>
      <c r="AHD35" s="325"/>
      <c r="AHE35" s="325"/>
      <c r="AHF35" s="325"/>
      <c r="AHG35" s="325"/>
      <c r="AHH35" s="325"/>
      <c r="AHI35" s="325"/>
      <c r="AHJ35" s="325"/>
      <c r="AHK35" s="325"/>
      <c r="AHL35" s="325"/>
      <c r="AHM35" s="325"/>
      <c r="AHN35" s="325"/>
      <c r="AHO35" s="325"/>
      <c r="AHP35" s="325"/>
      <c r="AHQ35" s="325"/>
      <c r="AHR35" s="325"/>
      <c r="AHS35" s="325"/>
      <c r="AHT35" s="325"/>
      <c r="AHU35" s="325"/>
      <c r="AHV35" s="325"/>
      <c r="AHW35" s="325"/>
      <c r="AHX35" s="325"/>
      <c r="AHY35" s="325"/>
      <c r="AHZ35" s="325"/>
      <c r="AIA35" s="325"/>
      <c r="AIB35" s="325"/>
      <c r="AIC35" s="325"/>
      <c r="AID35" s="325"/>
      <c r="AIE35" s="325"/>
      <c r="AIF35" s="325"/>
      <c r="AIG35" s="325"/>
      <c r="AIH35" s="325"/>
      <c r="AII35" s="325"/>
      <c r="AIJ35" s="325"/>
      <c r="AIK35" s="325"/>
      <c r="AIL35" s="325"/>
      <c r="AIM35" s="325"/>
      <c r="AIN35" s="325"/>
      <c r="AIO35" s="325"/>
      <c r="AIP35" s="325"/>
      <c r="AIQ35" s="325"/>
      <c r="AIR35" s="325"/>
      <c r="AIS35" s="325"/>
      <c r="AIT35" s="325"/>
      <c r="AIU35" s="325"/>
      <c r="AIV35" s="325"/>
      <c r="AIW35" s="325"/>
      <c r="AIX35" s="325"/>
      <c r="AIY35" s="325"/>
      <c r="AIZ35" s="325"/>
      <c r="AJA35" s="325"/>
      <c r="AJB35" s="325"/>
      <c r="AJC35" s="325"/>
      <c r="AJD35" s="325"/>
      <c r="AJE35" s="325"/>
      <c r="AJF35" s="325"/>
      <c r="AJG35" s="325"/>
      <c r="AJH35" s="325"/>
      <c r="AJI35" s="325"/>
      <c r="AJJ35" s="325"/>
      <c r="AJK35" s="325"/>
      <c r="AJL35" s="325"/>
      <c r="AJM35" s="325"/>
      <c r="AJN35" s="325"/>
      <c r="AJO35" s="325"/>
      <c r="AJP35" s="325"/>
      <c r="AJQ35" s="325"/>
      <c r="AJR35" s="325"/>
      <c r="AJS35" s="325"/>
      <c r="AJT35" s="325"/>
      <c r="AJU35" s="325"/>
      <c r="AJV35" s="325"/>
      <c r="AJW35" s="325"/>
      <c r="AJX35" s="325"/>
      <c r="AJY35" s="325"/>
      <c r="AJZ35" s="325"/>
      <c r="AKA35" s="325"/>
      <c r="AKB35" s="325"/>
      <c r="AKC35" s="325"/>
      <c r="AKD35" s="325"/>
      <c r="AKE35" s="325"/>
      <c r="AKF35" s="325"/>
      <c r="AKG35" s="325"/>
      <c r="AKH35" s="325"/>
      <c r="AKI35" s="325"/>
      <c r="AKJ35" s="325"/>
      <c r="AKK35" s="325"/>
      <c r="AKL35" s="325"/>
      <c r="AKM35" s="325"/>
      <c r="AKN35" s="325"/>
      <c r="AKO35" s="325"/>
      <c r="AKP35" s="325"/>
      <c r="AKQ35" s="325"/>
      <c r="AKR35" s="325"/>
      <c r="AKS35" s="325"/>
      <c r="AKT35" s="325"/>
      <c r="AKU35" s="325"/>
      <c r="AKV35" s="325"/>
      <c r="AKW35" s="325"/>
      <c r="AKX35" s="325"/>
      <c r="AKY35" s="325"/>
      <c r="AKZ35" s="325"/>
      <c r="ALA35" s="325"/>
      <c r="ALB35" s="325"/>
      <c r="ALC35" s="325"/>
      <c r="ALD35" s="325"/>
      <c r="ALE35" s="325"/>
      <c r="ALF35" s="325"/>
      <c r="ALG35" s="325"/>
      <c r="ALH35" s="325"/>
      <c r="ALI35" s="325"/>
      <c r="ALJ35" s="325"/>
      <c r="ALK35" s="325"/>
      <c r="ALL35" s="325"/>
      <c r="ALM35" s="325"/>
      <c r="ALN35" s="325"/>
      <c r="ALO35" s="325"/>
      <c r="ALP35" s="325"/>
      <c r="ALQ35" s="325"/>
      <c r="ALR35" s="325"/>
      <c r="ALS35" s="325"/>
      <c r="ALT35" s="325"/>
      <c r="ALU35" s="325"/>
      <c r="ALV35" s="325"/>
      <c r="ALW35" s="325"/>
      <c r="ALX35" s="325"/>
      <c r="ALY35" s="325"/>
      <c r="ALZ35" s="325"/>
      <c r="AMA35" s="325"/>
      <c r="AMB35" s="325"/>
      <c r="AMC35" s="325"/>
    </row>
    <row r="36" spans="3:1017" s="75" customFormat="1">
      <c r="C36" s="130"/>
      <c r="D36" s="130"/>
      <c r="CN36" s="225"/>
      <c r="CQ36" s="226"/>
      <c r="LD36" s="213"/>
      <c r="LH36" s="286"/>
      <c r="LI36" s="287"/>
      <c r="LJ36" s="124"/>
      <c r="LK36" s="124"/>
      <c r="LL36" s="124"/>
      <c r="LM36" s="124"/>
      <c r="LN36" s="124"/>
      <c r="LO36" s="124"/>
      <c r="LP36" s="124"/>
      <c r="LQ36" s="124"/>
      <c r="LR36" s="124"/>
      <c r="NE36" s="330"/>
      <c r="NF36" s="325"/>
      <c r="NG36" s="325"/>
      <c r="NH36" s="325"/>
      <c r="NI36" s="325"/>
      <c r="NJ36" s="325"/>
      <c r="NK36" s="325"/>
      <c r="NL36" s="325"/>
      <c r="NM36" s="325"/>
      <c r="NN36" s="325"/>
      <c r="NO36" s="325"/>
      <c r="NP36" s="325"/>
      <c r="NQ36" s="325"/>
      <c r="NR36" s="325"/>
      <c r="NS36" s="325"/>
      <c r="NT36" s="325"/>
      <c r="NU36" s="325"/>
      <c r="NV36" s="325"/>
      <c r="NW36" s="325"/>
      <c r="NX36" s="325"/>
      <c r="NY36" s="325"/>
      <c r="NZ36" s="325"/>
      <c r="OA36" s="325"/>
      <c r="OB36" s="325"/>
      <c r="OC36" s="325"/>
      <c r="OD36" s="325"/>
      <c r="OE36" s="325"/>
      <c r="OF36" s="325"/>
      <c r="OG36" s="325"/>
      <c r="OH36" s="325"/>
      <c r="OI36" s="325"/>
      <c r="OJ36" s="325"/>
      <c r="OK36" s="325"/>
      <c r="OL36" s="325"/>
      <c r="OM36" s="325"/>
      <c r="ON36" s="325"/>
      <c r="OO36" s="325"/>
      <c r="OP36" s="325"/>
      <c r="OQ36" s="325"/>
      <c r="OR36" s="325"/>
      <c r="OS36" s="325"/>
      <c r="OT36" s="325"/>
      <c r="OU36" s="325"/>
      <c r="OV36" s="325"/>
      <c r="OW36" s="325"/>
      <c r="OX36" s="325"/>
      <c r="OY36" s="325"/>
      <c r="OZ36" s="325"/>
      <c r="PA36" s="325"/>
      <c r="PB36" s="325"/>
      <c r="PC36" s="325"/>
      <c r="PD36" s="325"/>
      <c r="PE36" s="325"/>
      <c r="PF36" s="325"/>
      <c r="PG36" s="325"/>
      <c r="PH36" s="325"/>
      <c r="PI36" s="325"/>
      <c r="PJ36" s="325"/>
      <c r="PK36" s="325"/>
      <c r="PL36" s="325"/>
      <c r="PM36" s="325"/>
      <c r="PN36" s="325"/>
      <c r="PO36" s="325"/>
      <c r="PP36" s="325"/>
      <c r="PQ36" s="325"/>
      <c r="PR36" s="325"/>
      <c r="PS36" s="325"/>
      <c r="PT36" s="325"/>
      <c r="PU36" s="325"/>
      <c r="PV36" s="325"/>
      <c r="PW36" s="325"/>
      <c r="PX36" s="325"/>
      <c r="PY36" s="325"/>
      <c r="PZ36" s="325"/>
      <c r="QA36" s="325"/>
      <c r="QB36" s="325"/>
      <c r="QC36" s="325"/>
      <c r="QD36" s="325"/>
      <c r="QE36" s="325"/>
      <c r="QF36" s="325"/>
      <c r="QG36" s="325"/>
      <c r="QH36" s="325"/>
      <c r="QI36" s="325"/>
      <c r="QJ36" s="325"/>
      <c r="QK36" s="325"/>
      <c r="QL36" s="325"/>
      <c r="QM36" s="325"/>
      <c r="QN36" s="325"/>
      <c r="QO36" s="325"/>
      <c r="QP36" s="325"/>
      <c r="QQ36" s="325"/>
      <c r="QR36" s="325"/>
      <c r="QS36" s="325"/>
      <c r="QT36" s="325"/>
      <c r="QU36" s="325"/>
      <c r="QV36" s="325"/>
      <c r="QW36" s="325"/>
      <c r="QX36" s="325"/>
      <c r="QY36" s="325"/>
      <c r="QZ36" s="325"/>
      <c r="RA36" s="325"/>
      <c r="RB36" s="325"/>
      <c r="RC36" s="325"/>
      <c r="RD36" s="325"/>
      <c r="RE36" s="325"/>
      <c r="RF36" s="325"/>
      <c r="RG36" s="325"/>
      <c r="RH36" s="325"/>
      <c r="RI36" s="325"/>
      <c r="RJ36" s="325"/>
      <c r="RK36" s="325"/>
      <c r="RL36" s="325"/>
      <c r="RM36" s="325"/>
      <c r="RN36" s="325"/>
      <c r="RO36" s="325"/>
      <c r="RP36" s="325"/>
      <c r="RQ36" s="325"/>
      <c r="RR36" s="325"/>
      <c r="RS36" s="325"/>
      <c r="RT36" s="325"/>
      <c r="RU36" s="325"/>
      <c r="RV36" s="325"/>
      <c r="RW36" s="325"/>
      <c r="RX36" s="325"/>
      <c r="RY36" s="325"/>
      <c r="RZ36" s="325"/>
      <c r="SA36" s="325"/>
      <c r="SB36" s="325"/>
      <c r="SC36" s="325"/>
      <c r="SD36" s="325"/>
      <c r="SE36" s="325"/>
      <c r="SF36" s="325"/>
      <c r="SG36" s="325"/>
      <c r="SH36" s="325"/>
      <c r="SI36" s="325"/>
      <c r="SJ36" s="325"/>
      <c r="SK36" s="325"/>
      <c r="SL36" s="325"/>
      <c r="SM36" s="325"/>
      <c r="SN36" s="325"/>
      <c r="SO36" s="325"/>
      <c r="SP36" s="325"/>
      <c r="SQ36" s="325"/>
      <c r="SR36" s="325"/>
      <c r="SS36" s="325"/>
      <c r="ST36" s="325"/>
      <c r="SU36" s="325"/>
      <c r="SV36" s="325"/>
      <c r="SW36" s="325"/>
      <c r="SX36" s="325"/>
      <c r="SY36" s="325"/>
      <c r="SZ36" s="325"/>
      <c r="TA36" s="325"/>
      <c r="TB36" s="325"/>
      <c r="TC36" s="325"/>
      <c r="TD36" s="325"/>
      <c r="TE36" s="325"/>
      <c r="TF36" s="325"/>
      <c r="TG36" s="325"/>
      <c r="TH36" s="325"/>
      <c r="TI36" s="325"/>
      <c r="TJ36" s="325"/>
      <c r="TK36" s="325"/>
      <c r="TL36" s="325"/>
      <c r="TM36" s="325"/>
      <c r="TN36" s="325"/>
      <c r="TO36" s="325"/>
      <c r="TP36" s="325"/>
      <c r="TQ36" s="325"/>
      <c r="TR36" s="325"/>
      <c r="TS36" s="325"/>
      <c r="TT36" s="325"/>
      <c r="TU36" s="325"/>
      <c r="TV36" s="325"/>
      <c r="TW36" s="325"/>
      <c r="TX36" s="325"/>
      <c r="TY36" s="325"/>
      <c r="TZ36" s="325"/>
      <c r="UA36" s="325"/>
      <c r="UB36" s="325"/>
      <c r="UC36" s="325"/>
      <c r="UD36" s="325"/>
      <c r="UE36" s="325"/>
      <c r="UF36" s="325"/>
      <c r="UG36" s="325"/>
      <c r="UH36" s="325"/>
      <c r="UI36" s="325"/>
      <c r="UJ36" s="325"/>
      <c r="UK36" s="325"/>
      <c r="UL36" s="325"/>
      <c r="UM36" s="325"/>
      <c r="UN36" s="325"/>
      <c r="UO36" s="325"/>
      <c r="UP36" s="325"/>
      <c r="UQ36" s="325"/>
      <c r="UR36" s="325"/>
      <c r="US36" s="325"/>
      <c r="UT36" s="325"/>
      <c r="UU36" s="325"/>
      <c r="UV36" s="325"/>
      <c r="UW36" s="325"/>
      <c r="UX36" s="325"/>
      <c r="UY36" s="325"/>
      <c r="UZ36" s="325"/>
      <c r="VA36" s="325"/>
      <c r="VB36" s="325"/>
      <c r="VC36" s="325"/>
      <c r="VD36" s="325"/>
      <c r="VE36" s="325"/>
      <c r="VF36" s="325"/>
      <c r="VG36" s="325"/>
      <c r="VH36" s="325"/>
      <c r="VI36" s="325"/>
      <c r="VJ36" s="325"/>
      <c r="VK36" s="325"/>
      <c r="VL36" s="325"/>
      <c r="VM36" s="325"/>
      <c r="VN36" s="325"/>
      <c r="VO36" s="325"/>
      <c r="VP36" s="325"/>
      <c r="VQ36" s="325"/>
      <c r="VR36" s="325"/>
      <c r="VS36" s="325"/>
      <c r="VT36" s="325"/>
      <c r="VU36" s="325"/>
      <c r="VV36" s="325"/>
      <c r="VW36" s="325"/>
      <c r="VX36" s="325"/>
      <c r="VY36" s="325"/>
      <c r="VZ36" s="325"/>
      <c r="WA36" s="325"/>
      <c r="WB36" s="325"/>
      <c r="WC36" s="325"/>
      <c r="WD36" s="325"/>
      <c r="WE36" s="325"/>
      <c r="WF36" s="325"/>
      <c r="WG36" s="325"/>
      <c r="WH36" s="325"/>
      <c r="WI36" s="325"/>
      <c r="WJ36" s="325"/>
      <c r="WK36" s="325"/>
      <c r="WL36" s="325"/>
      <c r="WM36" s="325"/>
      <c r="WN36" s="325"/>
      <c r="WO36" s="325"/>
      <c r="WP36" s="325"/>
      <c r="WQ36" s="325"/>
      <c r="WR36" s="325"/>
      <c r="WS36" s="325"/>
      <c r="WT36" s="325"/>
      <c r="WU36" s="325"/>
      <c r="WV36" s="325"/>
      <c r="WW36" s="325"/>
      <c r="WX36" s="325"/>
      <c r="WY36" s="325"/>
      <c r="WZ36" s="325"/>
      <c r="XA36" s="325"/>
      <c r="XB36" s="325"/>
      <c r="XC36" s="325"/>
      <c r="XD36" s="325"/>
      <c r="XE36" s="325"/>
      <c r="XF36" s="325"/>
      <c r="XG36" s="325"/>
      <c r="XH36" s="325"/>
      <c r="XI36" s="325"/>
      <c r="XJ36" s="325"/>
      <c r="XK36" s="325"/>
      <c r="XL36" s="325"/>
      <c r="XM36" s="325"/>
      <c r="XN36" s="325"/>
      <c r="XO36" s="325"/>
      <c r="XP36" s="325"/>
      <c r="XQ36" s="325"/>
      <c r="XR36" s="325"/>
      <c r="XS36" s="325"/>
      <c r="XT36" s="325"/>
      <c r="XU36" s="325"/>
      <c r="XV36" s="325"/>
      <c r="XW36" s="325"/>
      <c r="XX36" s="325"/>
      <c r="XY36" s="325"/>
      <c r="XZ36" s="325"/>
      <c r="YA36" s="325"/>
      <c r="YB36" s="325"/>
      <c r="YC36" s="325"/>
      <c r="YD36" s="325"/>
      <c r="YE36" s="325"/>
      <c r="YF36" s="325"/>
      <c r="YG36" s="325"/>
      <c r="YH36" s="325"/>
      <c r="YI36" s="325"/>
      <c r="YJ36" s="325"/>
      <c r="YK36" s="325"/>
      <c r="YL36" s="325"/>
      <c r="YM36" s="325"/>
      <c r="YN36" s="325"/>
      <c r="YO36" s="325"/>
      <c r="YP36" s="325"/>
      <c r="YQ36" s="325"/>
      <c r="YR36" s="325"/>
      <c r="YS36" s="325"/>
      <c r="YT36" s="325"/>
      <c r="YU36" s="325"/>
      <c r="YV36" s="325"/>
      <c r="YW36" s="325"/>
      <c r="YX36" s="325"/>
      <c r="YY36" s="325"/>
      <c r="YZ36" s="325"/>
      <c r="ZA36" s="325"/>
      <c r="ZB36" s="325"/>
      <c r="ZC36" s="325"/>
      <c r="ZD36" s="325"/>
      <c r="ZE36" s="325"/>
      <c r="ZF36" s="325"/>
      <c r="ZG36" s="325"/>
      <c r="ZH36" s="325"/>
      <c r="ZI36" s="325"/>
      <c r="ZJ36" s="325"/>
      <c r="ZK36" s="325"/>
      <c r="ZL36" s="325"/>
      <c r="ZM36" s="325"/>
      <c r="ZN36" s="325"/>
      <c r="ZO36" s="325"/>
      <c r="ZP36" s="325"/>
      <c r="ZQ36" s="325"/>
      <c r="ZR36" s="325"/>
      <c r="ZS36" s="325"/>
      <c r="ZT36" s="325"/>
      <c r="ZU36" s="325"/>
      <c r="ZV36" s="325"/>
      <c r="ZW36" s="325"/>
      <c r="ZX36" s="325"/>
      <c r="ZY36" s="325"/>
      <c r="ZZ36" s="325"/>
      <c r="AAA36" s="325"/>
      <c r="AAB36" s="325"/>
      <c r="AAC36" s="325"/>
      <c r="AAD36" s="325"/>
      <c r="AAE36" s="325"/>
      <c r="AAF36" s="325"/>
      <c r="AAG36" s="325"/>
      <c r="AAH36" s="325"/>
      <c r="AAI36" s="325"/>
      <c r="AAJ36" s="325"/>
      <c r="AAK36" s="325"/>
      <c r="AAL36" s="325"/>
      <c r="AAM36" s="325"/>
      <c r="AAN36" s="325"/>
      <c r="AAO36" s="325"/>
      <c r="AAP36" s="325"/>
      <c r="AAQ36" s="325"/>
      <c r="AAR36" s="325"/>
      <c r="AAS36" s="325"/>
      <c r="AAT36" s="325"/>
      <c r="AAU36" s="325"/>
      <c r="AAV36" s="325"/>
      <c r="AAW36" s="325"/>
      <c r="AAX36" s="325"/>
      <c r="AAY36" s="325"/>
      <c r="AAZ36" s="325"/>
      <c r="ABA36" s="325"/>
      <c r="ABB36" s="325"/>
      <c r="ABC36" s="325"/>
      <c r="ABD36" s="325"/>
      <c r="ABE36" s="325"/>
      <c r="ABF36" s="325"/>
      <c r="ABG36" s="325"/>
      <c r="ABH36" s="325"/>
      <c r="ABI36" s="325"/>
      <c r="ABJ36" s="325"/>
      <c r="ABK36" s="325"/>
      <c r="ABL36" s="325"/>
      <c r="ABM36" s="325"/>
      <c r="ABN36" s="325"/>
      <c r="ABO36" s="325"/>
      <c r="ABP36" s="325"/>
      <c r="ABQ36" s="325"/>
      <c r="ABR36" s="325"/>
      <c r="ABS36" s="325"/>
      <c r="ABT36" s="325"/>
      <c r="ABU36" s="325"/>
      <c r="ABV36" s="325"/>
      <c r="ABW36" s="325"/>
      <c r="ABX36" s="325"/>
      <c r="ABY36" s="325"/>
      <c r="ABZ36" s="325"/>
      <c r="ACA36" s="325"/>
      <c r="ACB36" s="325"/>
      <c r="ACC36" s="325"/>
      <c r="ACD36" s="325"/>
      <c r="ACE36" s="325"/>
      <c r="ACF36" s="325"/>
      <c r="ACG36" s="325"/>
      <c r="ACH36" s="325"/>
      <c r="ACI36" s="325"/>
      <c r="ACJ36" s="325"/>
      <c r="ACK36" s="325"/>
      <c r="ACL36" s="325"/>
      <c r="ACM36" s="325"/>
      <c r="ACN36" s="325"/>
      <c r="ACO36" s="325"/>
      <c r="ACP36" s="325"/>
      <c r="ACQ36" s="325"/>
      <c r="ACR36" s="325"/>
      <c r="ACS36" s="325"/>
      <c r="ACT36" s="325"/>
      <c r="ACU36" s="325"/>
      <c r="ACV36" s="325"/>
      <c r="ACW36" s="325"/>
      <c r="ACX36" s="325"/>
      <c r="ACY36" s="325"/>
      <c r="ACZ36" s="325"/>
      <c r="ADA36" s="325"/>
      <c r="ADB36" s="325"/>
      <c r="ADC36" s="325"/>
      <c r="ADD36" s="325"/>
      <c r="ADE36" s="325"/>
      <c r="ADF36" s="325"/>
      <c r="ADG36" s="325"/>
      <c r="ADH36" s="325"/>
      <c r="ADI36" s="325"/>
      <c r="ADJ36" s="325"/>
      <c r="ADK36" s="325"/>
      <c r="ADL36" s="325"/>
      <c r="ADM36" s="325"/>
      <c r="ADN36" s="325"/>
      <c r="ADO36" s="325"/>
      <c r="ADP36" s="325"/>
      <c r="ADQ36" s="325"/>
      <c r="ADR36" s="325"/>
      <c r="ADS36" s="325"/>
      <c r="ADT36" s="325"/>
      <c r="ADU36" s="325"/>
      <c r="ADV36" s="325"/>
      <c r="ADW36" s="325"/>
      <c r="ADX36" s="325"/>
      <c r="ADY36" s="325"/>
      <c r="ADZ36" s="325"/>
      <c r="AEA36" s="325"/>
      <c r="AEB36" s="325"/>
      <c r="AEC36" s="325"/>
      <c r="AED36" s="325"/>
      <c r="AEE36" s="325"/>
      <c r="AEF36" s="325"/>
      <c r="AEG36" s="325"/>
      <c r="AEH36" s="325"/>
      <c r="AEI36" s="325"/>
      <c r="AEJ36" s="325"/>
      <c r="AEK36" s="325"/>
      <c r="AEL36" s="325"/>
      <c r="AEM36" s="325"/>
      <c r="AEN36" s="325"/>
      <c r="AEO36" s="325"/>
      <c r="AEP36" s="325"/>
      <c r="AEQ36" s="325"/>
      <c r="AER36" s="325"/>
      <c r="AES36" s="325"/>
      <c r="AET36" s="325"/>
      <c r="AEU36" s="325"/>
      <c r="AEV36" s="325"/>
      <c r="AEW36" s="325"/>
      <c r="AEX36" s="325"/>
      <c r="AEY36" s="325"/>
      <c r="AEZ36" s="325"/>
      <c r="AFA36" s="325"/>
      <c r="AFB36" s="325"/>
      <c r="AFC36" s="325"/>
      <c r="AFD36" s="325"/>
      <c r="AFE36" s="325"/>
      <c r="AFF36" s="325"/>
      <c r="AFG36" s="325"/>
      <c r="AFH36" s="325"/>
      <c r="AFI36" s="325"/>
      <c r="AFJ36" s="325"/>
      <c r="AFK36" s="325"/>
      <c r="AFL36" s="325"/>
      <c r="AFM36" s="325"/>
      <c r="AFN36" s="325"/>
      <c r="AFO36" s="325"/>
      <c r="AFP36" s="325"/>
      <c r="AFQ36" s="325"/>
      <c r="AFR36" s="325"/>
      <c r="AFS36" s="325"/>
      <c r="AFT36" s="325"/>
      <c r="AFU36" s="325"/>
      <c r="AFV36" s="325"/>
      <c r="AFW36" s="325"/>
      <c r="AFX36" s="325"/>
      <c r="AFY36" s="325"/>
      <c r="AFZ36" s="325"/>
      <c r="AGA36" s="325"/>
      <c r="AGB36" s="325"/>
      <c r="AGC36" s="325"/>
      <c r="AGD36" s="325"/>
      <c r="AGE36" s="325"/>
      <c r="AGF36" s="325"/>
      <c r="AGG36" s="325"/>
      <c r="AGH36" s="325"/>
      <c r="AGI36" s="325"/>
      <c r="AGJ36" s="325"/>
      <c r="AGK36" s="325"/>
      <c r="AGL36" s="325"/>
      <c r="AGM36" s="325"/>
      <c r="AGN36" s="325"/>
      <c r="AGO36" s="325"/>
      <c r="AGP36" s="325"/>
      <c r="AGQ36" s="325"/>
      <c r="AGR36" s="325"/>
      <c r="AGS36" s="325"/>
      <c r="AGT36" s="325"/>
      <c r="AGU36" s="325"/>
      <c r="AGV36" s="325"/>
      <c r="AGW36" s="325"/>
      <c r="AGX36" s="325"/>
      <c r="AGY36" s="325"/>
      <c r="AGZ36" s="325"/>
      <c r="AHA36" s="325"/>
      <c r="AHB36" s="325"/>
      <c r="AHC36" s="325"/>
      <c r="AHD36" s="325"/>
      <c r="AHE36" s="325"/>
      <c r="AHF36" s="325"/>
      <c r="AHG36" s="325"/>
      <c r="AHH36" s="325"/>
      <c r="AHI36" s="325"/>
      <c r="AHJ36" s="325"/>
      <c r="AHK36" s="325"/>
      <c r="AHL36" s="325"/>
      <c r="AHM36" s="325"/>
      <c r="AHN36" s="325"/>
      <c r="AHO36" s="325"/>
      <c r="AHP36" s="325"/>
      <c r="AHQ36" s="325"/>
      <c r="AHR36" s="325"/>
      <c r="AHS36" s="325"/>
      <c r="AHT36" s="325"/>
      <c r="AHU36" s="325"/>
      <c r="AHV36" s="325"/>
      <c r="AHW36" s="325"/>
      <c r="AHX36" s="325"/>
      <c r="AHY36" s="325"/>
      <c r="AHZ36" s="325"/>
      <c r="AIA36" s="325"/>
      <c r="AIB36" s="325"/>
      <c r="AIC36" s="325"/>
      <c r="AID36" s="325"/>
      <c r="AIE36" s="325"/>
      <c r="AIF36" s="325"/>
      <c r="AIG36" s="325"/>
      <c r="AIH36" s="325"/>
      <c r="AII36" s="325"/>
      <c r="AIJ36" s="325"/>
      <c r="AIK36" s="325"/>
      <c r="AIL36" s="325"/>
      <c r="AIM36" s="325"/>
      <c r="AIN36" s="325"/>
      <c r="AIO36" s="325"/>
      <c r="AIP36" s="325"/>
      <c r="AIQ36" s="325"/>
      <c r="AIR36" s="325"/>
      <c r="AIS36" s="325"/>
      <c r="AIT36" s="325"/>
      <c r="AIU36" s="325"/>
      <c r="AIV36" s="325"/>
      <c r="AIW36" s="325"/>
      <c r="AIX36" s="325"/>
      <c r="AIY36" s="325"/>
      <c r="AIZ36" s="325"/>
      <c r="AJA36" s="325"/>
      <c r="AJB36" s="325"/>
      <c r="AJC36" s="325"/>
      <c r="AJD36" s="325"/>
      <c r="AJE36" s="325"/>
      <c r="AJF36" s="325"/>
      <c r="AJG36" s="325"/>
      <c r="AJH36" s="325"/>
      <c r="AJI36" s="325"/>
      <c r="AJJ36" s="325"/>
      <c r="AJK36" s="325"/>
      <c r="AJL36" s="325"/>
      <c r="AJM36" s="325"/>
      <c r="AJN36" s="325"/>
      <c r="AJO36" s="325"/>
      <c r="AJP36" s="325"/>
      <c r="AJQ36" s="325"/>
      <c r="AJR36" s="325"/>
      <c r="AJS36" s="325"/>
      <c r="AJT36" s="325"/>
      <c r="AJU36" s="325"/>
      <c r="AJV36" s="325"/>
      <c r="AJW36" s="325"/>
      <c r="AJX36" s="325"/>
      <c r="AJY36" s="325"/>
      <c r="AJZ36" s="325"/>
      <c r="AKA36" s="325"/>
      <c r="AKB36" s="325"/>
      <c r="AKC36" s="325"/>
      <c r="AKD36" s="325"/>
      <c r="AKE36" s="325"/>
      <c r="AKF36" s="325"/>
      <c r="AKG36" s="325"/>
      <c r="AKH36" s="325"/>
      <c r="AKI36" s="325"/>
      <c r="AKJ36" s="325"/>
      <c r="AKK36" s="325"/>
      <c r="AKL36" s="325"/>
      <c r="AKM36" s="325"/>
      <c r="AKN36" s="325"/>
      <c r="AKO36" s="325"/>
      <c r="AKP36" s="325"/>
      <c r="AKQ36" s="325"/>
      <c r="AKR36" s="325"/>
      <c r="AKS36" s="325"/>
      <c r="AKT36" s="325"/>
      <c r="AKU36" s="325"/>
      <c r="AKV36" s="325"/>
      <c r="AKW36" s="325"/>
      <c r="AKX36" s="325"/>
      <c r="AKY36" s="325"/>
      <c r="AKZ36" s="325"/>
      <c r="ALA36" s="325"/>
      <c r="ALB36" s="325"/>
      <c r="ALC36" s="325"/>
      <c r="ALD36" s="325"/>
      <c r="ALE36" s="325"/>
      <c r="ALF36" s="325"/>
      <c r="ALG36" s="325"/>
      <c r="ALH36" s="325"/>
      <c r="ALI36" s="325"/>
      <c r="ALJ36" s="325"/>
      <c r="ALK36" s="325"/>
      <c r="ALL36" s="325"/>
      <c r="ALM36" s="325"/>
      <c r="ALN36" s="325"/>
      <c r="ALO36" s="325"/>
      <c r="ALP36" s="325"/>
      <c r="ALQ36" s="325"/>
      <c r="ALR36" s="325"/>
      <c r="ALS36" s="325"/>
      <c r="ALT36" s="325"/>
      <c r="ALU36" s="325"/>
      <c r="ALV36" s="325"/>
      <c r="ALW36" s="325"/>
      <c r="ALX36" s="325"/>
      <c r="ALY36" s="325"/>
      <c r="ALZ36" s="325"/>
      <c r="AMA36" s="325"/>
      <c r="AMB36" s="325"/>
      <c r="AMC36" s="325"/>
    </row>
    <row r="37" spans="3:1017" s="75" customFormat="1">
      <c r="C37" s="130"/>
      <c r="D37" s="130"/>
      <c r="CN37" s="225"/>
      <c r="CQ37" s="226"/>
      <c r="LD37" s="213"/>
      <c r="LH37" s="286"/>
      <c r="LI37" s="287"/>
      <c r="LJ37" s="124"/>
      <c r="LK37" s="124"/>
      <c r="LL37" s="124"/>
      <c r="LM37" s="124"/>
      <c r="LN37" s="124"/>
      <c r="LO37" s="124"/>
      <c r="LP37" s="124"/>
      <c r="LQ37" s="124"/>
      <c r="LR37" s="124"/>
      <c r="NE37" s="330"/>
      <c r="NF37" s="325"/>
      <c r="NG37" s="325"/>
      <c r="NH37" s="325"/>
      <c r="NI37" s="325"/>
      <c r="NJ37" s="325"/>
      <c r="NK37" s="325"/>
      <c r="NL37" s="325"/>
      <c r="NM37" s="325"/>
      <c r="NN37" s="325"/>
      <c r="NO37" s="325"/>
      <c r="NP37" s="325"/>
      <c r="NQ37" s="325"/>
      <c r="NR37" s="325"/>
      <c r="NS37" s="325"/>
      <c r="NT37" s="325"/>
      <c r="NU37" s="325"/>
      <c r="NV37" s="325"/>
      <c r="NW37" s="325"/>
      <c r="NX37" s="325"/>
      <c r="NY37" s="325"/>
      <c r="NZ37" s="325"/>
      <c r="OA37" s="325"/>
      <c r="OB37" s="325"/>
      <c r="OC37" s="325"/>
      <c r="OD37" s="325"/>
      <c r="OE37" s="325"/>
      <c r="OF37" s="325"/>
      <c r="OG37" s="325"/>
      <c r="OH37" s="325"/>
      <c r="OI37" s="325"/>
      <c r="OJ37" s="325"/>
      <c r="OK37" s="325"/>
      <c r="OL37" s="325"/>
      <c r="OM37" s="325"/>
      <c r="ON37" s="325"/>
      <c r="OO37" s="325"/>
      <c r="OP37" s="325"/>
      <c r="OQ37" s="325"/>
      <c r="OR37" s="325"/>
      <c r="OS37" s="325"/>
      <c r="OT37" s="325"/>
      <c r="OU37" s="325"/>
      <c r="OV37" s="325"/>
      <c r="OW37" s="325"/>
      <c r="OX37" s="325"/>
      <c r="OY37" s="325"/>
      <c r="OZ37" s="325"/>
      <c r="PA37" s="325"/>
      <c r="PB37" s="325"/>
      <c r="PC37" s="325"/>
      <c r="PD37" s="325"/>
      <c r="PE37" s="325"/>
      <c r="PF37" s="325"/>
      <c r="PG37" s="325"/>
      <c r="PH37" s="325"/>
      <c r="PI37" s="325"/>
      <c r="PJ37" s="325"/>
      <c r="PK37" s="325"/>
      <c r="PL37" s="325"/>
      <c r="PM37" s="325"/>
      <c r="PN37" s="325"/>
      <c r="PO37" s="325"/>
      <c r="PP37" s="325"/>
      <c r="PQ37" s="325"/>
      <c r="PR37" s="325"/>
      <c r="PS37" s="325"/>
      <c r="PT37" s="325"/>
      <c r="PU37" s="325"/>
      <c r="PV37" s="325"/>
      <c r="PW37" s="325"/>
      <c r="PX37" s="325"/>
      <c r="PY37" s="325"/>
      <c r="PZ37" s="325"/>
      <c r="QA37" s="325"/>
      <c r="QB37" s="325"/>
      <c r="QC37" s="325"/>
      <c r="QD37" s="325"/>
      <c r="QE37" s="325"/>
      <c r="QF37" s="325"/>
      <c r="QG37" s="325"/>
      <c r="QH37" s="325"/>
      <c r="QI37" s="325"/>
      <c r="QJ37" s="325"/>
      <c r="QK37" s="325"/>
      <c r="QL37" s="325"/>
      <c r="QM37" s="325"/>
      <c r="QN37" s="325"/>
      <c r="QO37" s="325"/>
      <c r="QP37" s="325"/>
      <c r="QQ37" s="325"/>
      <c r="QR37" s="325"/>
      <c r="QS37" s="325"/>
      <c r="QT37" s="325"/>
      <c r="QU37" s="325"/>
      <c r="QV37" s="325"/>
      <c r="QW37" s="325"/>
      <c r="QX37" s="325"/>
      <c r="QY37" s="325"/>
      <c r="QZ37" s="325"/>
      <c r="RA37" s="325"/>
      <c r="RB37" s="325"/>
      <c r="RC37" s="325"/>
      <c r="RD37" s="325"/>
      <c r="RE37" s="325"/>
      <c r="RF37" s="325"/>
      <c r="RG37" s="325"/>
      <c r="RH37" s="325"/>
      <c r="RI37" s="325"/>
      <c r="RJ37" s="325"/>
      <c r="RK37" s="325"/>
      <c r="RL37" s="325"/>
      <c r="RM37" s="325"/>
      <c r="RN37" s="325"/>
      <c r="RO37" s="325"/>
      <c r="RP37" s="325"/>
      <c r="RQ37" s="325"/>
      <c r="RR37" s="325"/>
      <c r="RS37" s="325"/>
      <c r="RT37" s="325"/>
      <c r="RU37" s="325"/>
      <c r="RV37" s="325"/>
      <c r="RW37" s="325"/>
      <c r="RX37" s="325"/>
      <c r="RY37" s="325"/>
      <c r="RZ37" s="325"/>
      <c r="SA37" s="325"/>
      <c r="SB37" s="325"/>
      <c r="SC37" s="325"/>
      <c r="SD37" s="325"/>
      <c r="SE37" s="325"/>
      <c r="SF37" s="325"/>
      <c r="SG37" s="325"/>
      <c r="SH37" s="325"/>
      <c r="SI37" s="325"/>
      <c r="SJ37" s="325"/>
      <c r="SK37" s="325"/>
      <c r="SL37" s="325"/>
      <c r="SM37" s="325"/>
      <c r="SN37" s="325"/>
      <c r="SO37" s="325"/>
      <c r="SP37" s="325"/>
      <c r="SQ37" s="325"/>
      <c r="SR37" s="325"/>
      <c r="SS37" s="325"/>
      <c r="ST37" s="325"/>
      <c r="SU37" s="325"/>
      <c r="SV37" s="325"/>
      <c r="SW37" s="325"/>
      <c r="SX37" s="325"/>
      <c r="SY37" s="325"/>
      <c r="SZ37" s="325"/>
      <c r="TA37" s="325"/>
      <c r="TB37" s="325"/>
      <c r="TC37" s="325"/>
      <c r="TD37" s="325"/>
      <c r="TE37" s="325"/>
      <c r="TF37" s="325"/>
      <c r="TG37" s="325"/>
      <c r="TH37" s="325"/>
      <c r="TI37" s="325"/>
      <c r="TJ37" s="325"/>
      <c r="TK37" s="325"/>
      <c r="TL37" s="325"/>
      <c r="TM37" s="325"/>
      <c r="TN37" s="325"/>
      <c r="TO37" s="325"/>
      <c r="TP37" s="325"/>
      <c r="TQ37" s="325"/>
      <c r="TR37" s="325"/>
      <c r="TS37" s="325"/>
      <c r="TT37" s="325"/>
      <c r="TU37" s="325"/>
      <c r="TV37" s="325"/>
      <c r="TW37" s="325"/>
      <c r="TX37" s="325"/>
      <c r="TY37" s="325"/>
      <c r="TZ37" s="325"/>
      <c r="UA37" s="325"/>
      <c r="UB37" s="325"/>
      <c r="UC37" s="325"/>
      <c r="UD37" s="325"/>
      <c r="UE37" s="325"/>
      <c r="UF37" s="325"/>
      <c r="UG37" s="325"/>
      <c r="UH37" s="325"/>
      <c r="UI37" s="325"/>
      <c r="UJ37" s="325"/>
      <c r="UK37" s="325"/>
      <c r="UL37" s="325"/>
      <c r="UM37" s="325"/>
      <c r="UN37" s="325"/>
      <c r="UO37" s="325"/>
      <c r="UP37" s="325"/>
      <c r="UQ37" s="325"/>
      <c r="UR37" s="325"/>
      <c r="US37" s="325"/>
      <c r="UT37" s="325"/>
      <c r="UU37" s="325"/>
      <c r="UV37" s="325"/>
      <c r="UW37" s="325"/>
      <c r="UX37" s="325"/>
      <c r="UY37" s="325"/>
      <c r="UZ37" s="325"/>
      <c r="VA37" s="325"/>
      <c r="VB37" s="325"/>
      <c r="VC37" s="325"/>
      <c r="VD37" s="325"/>
      <c r="VE37" s="325"/>
      <c r="VF37" s="325"/>
      <c r="VG37" s="325"/>
      <c r="VH37" s="325"/>
      <c r="VI37" s="325"/>
      <c r="VJ37" s="325"/>
      <c r="VK37" s="325"/>
      <c r="VL37" s="325"/>
      <c r="VM37" s="325"/>
      <c r="VN37" s="325"/>
      <c r="VO37" s="325"/>
      <c r="VP37" s="325"/>
      <c r="VQ37" s="325"/>
      <c r="VR37" s="325"/>
      <c r="VS37" s="325"/>
      <c r="VT37" s="325"/>
      <c r="VU37" s="325"/>
      <c r="VV37" s="325"/>
      <c r="VW37" s="325"/>
      <c r="VX37" s="325"/>
      <c r="VY37" s="325"/>
      <c r="VZ37" s="325"/>
      <c r="WA37" s="325"/>
      <c r="WB37" s="325"/>
      <c r="WC37" s="325"/>
      <c r="WD37" s="325"/>
      <c r="WE37" s="325"/>
      <c r="WF37" s="325"/>
      <c r="WG37" s="325"/>
      <c r="WH37" s="325"/>
      <c r="WI37" s="325"/>
      <c r="WJ37" s="325"/>
      <c r="WK37" s="325"/>
      <c r="WL37" s="325"/>
      <c r="WM37" s="325"/>
      <c r="WN37" s="325"/>
      <c r="WO37" s="325"/>
      <c r="WP37" s="325"/>
      <c r="WQ37" s="325"/>
      <c r="WR37" s="325"/>
      <c r="WS37" s="325"/>
      <c r="WT37" s="325"/>
      <c r="WU37" s="325"/>
      <c r="WV37" s="325"/>
      <c r="WW37" s="325"/>
      <c r="WX37" s="325"/>
      <c r="WY37" s="325"/>
      <c r="WZ37" s="325"/>
      <c r="XA37" s="325"/>
      <c r="XB37" s="325"/>
      <c r="XC37" s="325"/>
      <c r="XD37" s="325"/>
      <c r="XE37" s="325"/>
      <c r="XF37" s="325"/>
      <c r="XG37" s="325"/>
      <c r="XH37" s="325"/>
      <c r="XI37" s="325"/>
      <c r="XJ37" s="325"/>
      <c r="XK37" s="325"/>
      <c r="XL37" s="325"/>
      <c r="XM37" s="325"/>
      <c r="XN37" s="325"/>
      <c r="XO37" s="325"/>
      <c r="XP37" s="325"/>
      <c r="XQ37" s="325"/>
      <c r="XR37" s="325"/>
      <c r="XS37" s="325"/>
      <c r="XT37" s="325"/>
      <c r="XU37" s="325"/>
      <c r="XV37" s="325"/>
      <c r="XW37" s="325"/>
      <c r="XX37" s="325"/>
      <c r="XY37" s="325"/>
      <c r="XZ37" s="325"/>
      <c r="YA37" s="325"/>
      <c r="YB37" s="325"/>
      <c r="YC37" s="325"/>
      <c r="YD37" s="325"/>
      <c r="YE37" s="325"/>
      <c r="YF37" s="325"/>
      <c r="YG37" s="325"/>
      <c r="YH37" s="325"/>
      <c r="YI37" s="325"/>
      <c r="YJ37" s="325"/>
      <c r="YK37" s="325"/>
      <c r="YL37" s="325"/>
      <c r="YM37" s="325"/>
      <c r="YN37" s="325"/>
      <c r="YO37" s="325"/>
      <c r="YP37" s="325"/>
      <c r="YQ37" s="325"/>
      <c r="YR37" s="325"/>
      <c r="YS37" s="325"/>
      <c r="YT37" s="325"/>
      <c r="YU37" s="325"/>
      <c r="YV37" s="325"/>
      <c r="YW37" s="325"/>
      <c r="YX37" s="325"/>
      <c r="YY37" s="325"/>
      <c r="YZ37" s="325"/>
      <c r="ZA37" s="325"/>
      <c r="ZB37" s="325"/>
      <c r="ZC37" s="325"/>
      <c r="ZD37" s="325"/>
      <c r="ZE37" s="325"/>
      <c r="ZF37" s="325"/>
      <c r="ZG37" s="325"/>
      <c r="ZH37" s="325"/>
      <c r="ZI37" s="325"/>
      <c r="ZJ37" s="325"/>
      <c r="ZK37" s="325"/>
      <c r="ZL37" s="325"/>
      <c r="ZM37" s="325"/>
      <c r="ZN37" s="325"/>
      <c r="ZO37" s="325"/>
      <c r="ZP37" s="325"/>
      <c r="ZQ37" s="325"/>
      <c r="ZR37" s="325"/>
      <c r="ZS37" s="325"/>
      <c r="ZT37" s="325"/>
      <c r="ZU37" s="325"/>
      <c r="ZV37" s="325"/>
      <c r="ZW37" s="325"/>
      <c r="ZX37" s="325"/>
      <c r="ZY37" s="325"/>
      <c r="ZZ37" s="325"/>
      <c r="AAA37" s="325"/>
      <c r="AAB37" s="325"/>
      <c r="AAC37" s="325"/>
      <c r="AAD37" s="325"/>
      <c r="AAE37" s="325"/>
      <c r="AAF37" s="325"/>
      <c r="AAG37" s="325"/>
      <c r="AAH37" s="325"/>
      <c r="AAI37" s="325"/>
      <c r="AAJ37" s="325"/>
      <c r="AAK37" s="325"/>
      <c r="AAL37" s="325"/>
      <c r="AAM37" s="325"/>
      <c r="AAN37" s="325"/>
      <c r="AAO37" s="325"/>
      <c r="AAP37" s="325"/>
      <c r="AAQ37" s="325"/>
      <c r="AAR37" s="325"/>
      <c r="AAS37" s="325"/>
      <c r="AAT37" s="325"/>
      <c r="AAU37" s="325"/>
      <c r="AAV37" s="325"/>
      <c r="AAW37" s="325"/>
      <c r="AAX37" s="325"/>
      <c r="AAY37" s="325"/>
      <c r="AAZ37" s="325"/>
      <c r="ABA37" s="325"/>
      <c r="ABB37" s="325"/>
      <c r="ABC37" s="325"/>
      <c r="ABD37" s="325"/>
      <c r="ABE37" s="325"/>
      <c r="ABF37" s="325"/>
      <c r="ABG37" s="325"/>
      <c r="ABH37" s="325"/>
      <c r="ABI37" s="325"/>
      <c r="ABJ37" s="325"/>
      <c r="ABK37" s="325"/>
      <c r="ABL37" s="325"/>
      <c r="ABM37" s="325"/>
      <c r="ABN37" s="325"/>
      <c r="ABO37" s="325"/>
      <c r="ABP37" s="325"/>
      <c r="ABQ37" s="325"/>
      <c r="ABR37" s="325"/>
      <c r="ABS37" s="325"/>
      <c r="ABT37" s="325"/>
      <c r="ABU37" s="325"/>
      <c r="ABV37" s="325"/>
      <c r="ABW37" s="325"/>
      <c r="ABX37" s="325"/>
      <c r="ABY37" s="325"/>
      <c r="ABZ37" s="325"/>
      <c r="ACA37" s="325"/>
      <c r="ACB37" s="325"/>
      <c r="ACC37" s="325"/>
      <c r="ACD37" s="325"/>
      <c r="ACE37" s="325"/>
      <c r="ACF37" s="325"/>
      <c r="ACG37" s="325"/>
      <c r="ACH37" s="325"/>
      <c r="ACI37" s="325"/>
      <c r="ACJ37" s="325"/>
      <c r="ACK37" s="325"/>
      <c r="ACL37" s="325"/>
      <c r="ACM37" s="325"/>
      <c r="ACN37" s="325"/>
      <c r="ACO37" s="325"/>
      <c r="ACP37" s="325"/>
      <c r="ACQ37" s="325"/>
      <c r="ACR37" s="325"/>
      <c r="ACS37" s="325"/>
      <c r="ACT37" s="325"/>
      <c r="ACU37" s="325"/>
      <c r="ACV37" s="325"/>
      <c r="ACW37" s="325"/>
      <c r="ACX37" s="325"/>
      <c r="ACY37" s="325"/>
      <c r="ACZ37" s="325"/>
      <c r="ADA37" s="325"/>
      <c r="ADB37" s="325"/>
      <c r="ADC37" s="325"/>
      <c r="ADD37" s="325"/>
      <c r="ADE37" s="325"/>
      <c r="ADF37" s="325"/>
      <c r="ADG37" s="325"/>
      <c r="ADH37" s="325"/>
      <c r="ADI37" s="325"/>
      <c r="ADJ37" s="325"/>
      <c r="ADK37" s="325"/>
      <c r="ADL37" s="325"/>
      <c r="ADM37" s="325"/>
      <c r="ADN37" s="325"/>
      <c r="ADO37" s="325"/>
      <c r="ADP37" s="325"/>
      <c r="ADQ37" s="325"/>
      <c r="ADR37" s="325"/>
      <c r="ADS37" s="325"/>
      <c r="ADT37" s="325"/>
      <c r="ADU37" s="325"/>
      <c r="ADV37" s="325"/>
      <c r="ADW37" s="325"/>
      <c r="ADX37" s="325"/>
      <c r="ADY37" s="325"/>
      <c r="ADZ37" s="325"/>
      <c r="AEA37" s="325"/>
      <c r="AEB37" s="325"/>
      <c r="AEC37" s="325"/>
      <c r="AED37" s="325"/>
      <c r="AEE37" s="325"/>
      <c r="AEF37" s="325"/>
      <c r="AEG37" s="325"/>
      <c r="AEH37" s="325"/>
      <c r="AEI37" s="325"/>
      <c r="AEJ37" s="325"/>
      <c r="AEK37" s="325"/>
      <c r="AEL37" s="325"/>
      <c r="AEM37" s="325"/>
      <c r="AEN37" s="325"/>
      <c r="AEO37" s="325"/>
      <c r="AEP37" s="325"/>
      <c r="AEQ37" s="325"/>
      <c r="AER37" s="325"/>
      <c r="AES37" s="325"/>
      <c r="AET37" s="325"/>
      <c r="AEU37" s="325"/>
      <c r="AEV37" s="325"/>
      <c r="AEW37" s="325"/>
      <c r="AEX37" s="325"/>
      <c r="AEY37" s="325"/>
      <c r="AEZ37" s="325"/>
      <c r="AFA37" s="325"/>
      <c r="AFB37" s="325"/>
      <c r="AFC37" s="325"/>
      <c r="AFD37" s="325"/>
      <c r="AFE37" s="325"/>
      <c r="AFF37" s="325"/>
      <c r="AFG37" s="325"/>
      <c r="AFH37" s="325"/>
      <c r="AFI37" s="325"/>
      <c r="AFJ37" s="325"/>
      <c r="AFK37" s="325"/>
      <c r="AFL37" s="325"/>
      <c r="AFM37" s="325"/>
      <c r="AFN37" s="325"/>
      <c r="AFO37" s="325"/>
      <c r="AFP37" s="325"/>
      <c r="AFQ37" s="325"/>
      <c r="AFR37" s="325"/>
      <c r="AFS37" s="325"/>
      <c r="AFT37" s="325"/>
      <c r="AFU37" s="325"/>
      <c r="AFV37" s="325"/>
      <c r="AFW37" s="325"/>
      <c r="AFX37" s="325"/>
      <c r="AFY37" s="325"/>
      <c r="AFZ37" s="325"/>
      <c r="AGA37" s="325"/>
      <c r="AGB37" s="325"/>
      <c r="AGC37" s="325"/>
      <c r="AGD37" s="325"/>
      <c r="AGE37" s="325"/>
      <c r="AGF37" s="325"/>
      <c r="AGG37" s="325"/>
      <c r="AGH37" s="325"/>
      <c r="AGI37" s="325"/>
      <c r="AGJ37" s="325"/>
      <c r="AGK37" s="325"/>
      <c r="AGL37" s="325"/>
      <c r="AGM37" s="325"/>
      <c r="AGN37" s="325"/>
      <c r="AGO37" s="325"/>
      <c r="AGP37" s="325"/>
      <c r="AGQ37" s="325"/>
      <c r="AGR37" s="325"/>
      <c r="AGS37" s="325"/>
      <c r="AGT37" s="325"/>
      <c r="AGU37" s="325"/>
      <c r="AGV37" s="325"/>
      <c r="AGW37" s="325"/>
      <c r="AGX37" s="325"/>
      <c r="AGY37" s="325"/>
      <c r="AGZ37" s="325"/>
      <c r="AHA37" s="325"/>
      <c r="AHB37" s="325"/>
      <c r="AHC37" s="325"/>
      <c r="AHD37" s="325"/>
      <c r="AHE37" s="325"/>
      <c r="AHF37" s="325"/>
      <c r="AHG37" s="325"/>
      <c r="AHH37" s="325"/>
      <c r="AHI37" s="325"/>
      <c r="AHJ37" s="325"/>
      <c r="AHK37" s="325"/>
      <c r="AHL37" s="325"/>
      <c r="AHM37" s="325"/>
      <c r="AHN37" s="325"/>
      <c r="AHO37" s="325"/>
      <c r="AHP37" s="325"/>
      <c r="AHQ37" s="325"/>
      <c r="AHR37" s="325"/>
      <c r="AHS37" s="325"/>
      <c r="AHT37" s="325"/>
      <c r="AHU37" s="325"/>
      <c r="AHV37" s="325"/>
      <c r="AHW37" s="325"/>
      <c r="AHX37" s="325"/>
      <c r="AHY37" s="325"/>
      <c r="AHZ37" s="325"/>
      <c r="AIA37" s="325"/>
      <c r="AIB37" s="325"/>
      <c r="AIC37" s="325"/>
      <c r="AID37" s="325"/>
      <c r="AIE37" s="325"/>
      <c r="AIF37" s="325"/>
      <c r="AIG37" s="325"/>
      <c r="AIH37" s="325"/>
      <c r="AII37" s="325"/>
      <c r="AIJ37" s="325"/>
      <c r="AIK37" s="325"/>
      <c r="AIL37" s="325"/>
      <c r="AIM37" s="325"/>
      <c r="AIN37" s="325"/>
      <c r="AIO37" s="325"/>
      <c r="AIP37" s="325"/>
      <c r="AIQ37" s="325"/>
      <c r="AIR37" s="325"/>
      <c r="AIS37" s="325"/>
      <c r="AIT37" s="325"/>
      <c r="AIU37" s="325"/>
      <c r="AIV37" s="325"/>
      <c r="AIW37" s="325"/>
      <c r="AIX37" s="325"/>
      <c r="AIY37" s="325"/>
      <c r="AIZ37" s="325"/>
      <c r="AJA37" s="325"/>
      <c r="AJB37" s="325"/>
      <c r="AJC37" s="325"/>
      <c r="AJD37" s="325"/>
      <c r="AJE37" s="325"/>
      <c r="AJF37" s="325"/>
      <c r="AJG37" s="325"/>
      <c r="AJH37" s="325"/>
      <c r="AJI37" s="325"/>
      <c r="AJJ37" s="325"/>
      <c r="AJK37" s="325"/>
      <c r="AJL37" s="325"/>
      <c r="AJM37" s="325"/>
      <c r="AJN37" s="325"/>
      <c r="AJO37" s="325"/>
      <c r="AJP37" s="325"/>
      <c r="AJQ37" s="325"/>
      <c r="AJR37" s="325"/>
      <c r="AJS37" s="325"/>
      <c r="AJT37" s="325"/>
      <c r="AJU37" s="325"/>
      <c r="AJV37" s="325"/>
      <c r="AJW37" s="325"/>
      <c r="AJX37" s="325"/>
      <c r="AJY37" s="325"/>
      <c r="AJZ37" s="325"/>
      <c r="AKA37" s="325"/>
      <c r="AKB37" s="325"/>
      <c r="AKC37" s="325"/>
      <c r="AKD37" s="325"/>
      <c r="AKE37" s="325"/>
      <c r="AKF37" s="325"/>
      <c r="AKG37" s="325"/>
      <c r="AKH37" s="325"/>
      <c r="AKI37" s="325"/>
      <c r="AKJ37" s="325"/>
      <c r="AKK37" s="325"/>
      <c r="AKL37" s="325"/>
      <c r="AKM37" s="325"/>
      <c r="AKN37" s="325"/>
      <c r="AKO37" s="325"/>
      <c r="AKP37" s="325"/>
      <c r="AKQ37" s="325"/>
      <c r="AKR37" s="325"/>
      <c r="AKS37" s="325"/>
      <c r="AKT37" s="325"/>
      <c r="AKU37" s="325"/>
      <c r="AKV37" s="325"/>
      <c r="AKW37" s="325"/>
      <c r="AKX37" s="325"/>
      <c r="AKY37" s="325"/>
      <c r="AKZ37" s="325"/>
      <c r="ALA37" s="325"/>
      <c r="ALB37" s="325"/>
      <c r="ALC37" s="325"/>
      <c r="ALD37" s="325"/>
      <c r="ALE37" s="325"/>
      <c r="ALF37" s="325"/>
      <c r="ALG37" s="325"/>
      <c r="ALH37" s="325"/>
      <c r="ALI37" s="325"/>
      <c r="ALJ37" s="325"/>
      <c r="ALK37" s="325"/>
      <c r="ALL37" s="325"/>
      <c r="ALM37" s="325"/>
      <c r="ALN37" s="325"/>
      <c r="ALO37" s="325"/>
      <c r="ALP37" s="325"/>
      <c r="ALQ37" s="325"/>
      <c r="ALR37" s="325"/>
      <c r="ALS37" s="325"/>
      <c r="ALT37" s="325"/>
      <c r="ALU37" s="325"/>
      <c r="ALV37" s="325"/>
      <c r="ALW37" s="325"/>
      <c r="ALX37" s="325"/>
      <c r="ALY37" s="325"/>
      <c r="ALZ37" s="325"/>
      <c r="AMA37" s="325"/>
      <c r="AMB37" s="325"/>
      <c r="AMC37" s="325"/>
    </row>
    <row r="38" spans="3:1017" s="75" customFormat="1">
      <c r="C38" s="130"/>
      <c r="D38" s="130"/>
      <c r="CN38" s="225"/>
      <c r="CQ38" s="226"/>
      <c r="LD38" s="213"/>
      <c r="LH38" s="286"/>
      <c r="LI38" s="287"/>
      <c r="LJ38" s="124"/>
      <c r="LK38" s="124"/>
      <c r="LL38" s="124"/>
      <c r="LM38" s="124"/>
      <c r="LN38" s="124"/>
      <c r="LO38" s="124"/>
      <c r="LP38" s="124"/>
      <c r="LQ38" s="124"/>
      <c r="LR38" s="124"/>
      <c r="NE38" s="330"/>
      <c r="NF38" s="325"/>
      <c r="NG38" s="325"/>
      <c r="NH38" s="325"/>
      <c r="NI38" s="325"/>
      <c r="NJ38" s="325"/>
      <c r="NK38" s="325"/>
      <c r="NL38" s="325"/>
      <c r="NM38" s="325"/>
      <c r="NN38" s="325"/>
      <c r="NO38" s="325"/>
      <c r="NP38" s="325"/>
      <c r="NQ38" s="325"/>
      <c r="NR38" s="325"/>
      <c r="NS38" s="325"/>
      <c r="NT38" s="325"/>
      <c r="NU38" s="325"/>
      <c r="NV38" s="325"/>
      <c r="NW38" s="325"/>
      <c r="NX38" s="325"/>
      <c r="NY38" s="325"/>
      <c r="NZ38" s="325"/>
      <c r="OA38" s="325"/>
      <c r="OB38" s="325"/>
      <c r="OC38" s="325"/>
      <c r="OD38" s="325"/>
      <c r="OE38" s="325"/>
      <c r="OF38" s="325"/>
      <c r="OG38" s="325"/>
      <c r="OH38" s="325"/>
      <c r="OI38" s="325"/>
      <c r="OJ38" s="325"/>
      <c r="OK38" s="325"/>
      <c r="OL38" s="325"/>
      <c r="OM38" s="325"/>
      <c r="ON38" s="325"/>
      <c r="OO38" s="325"/>
      <c r="OP38" s="325"/>
      <c r="OQ38" s="325"/>
      <c r="OR38" s="325"/>
      <c r="OS38" s="325"/>
      <c r="OT38" s="325"/>
      <c r="OU38" s="325"/>
      <c r="OV38" s="325"/>
      <c r="OW38" s="325"/>
      <c r="OX38" s="325"/>
      <c r="OY38" s="325"/>
      <c r="OZ38" s="325"/>
      <c r="PA38" s="325"/>
      <c r="PB38" s="325"/>
      <c r="PC38" s="325"/>
      <c r="PD38" s="325"/>
      <c r="PE38" s="325"/>
      <c r="PF38" s="325"/>
      <c r="PG38" s="325"/>
      <c r="PH38" s="325"/>
      <c r="PI38" s="325"/>
      <c r="PJ38" s="325"/>
      <c r="PK38" s="325"/>
      <c r="PL38" s="325"/>
      <c r="PM38" s="325"/>
      <c r="PN38" s="325"/>
      <c r="PO38" s="325"/>
      <c r="PP38" s="325"/>
      <c r="PQ38" s="325"/>
      <c r="PR38" s="325"/>
      <c r="PS38" s="325"/>
      <c r="PT38" s="325"/>
      <c r="PU38" s="325"/>
      <c r="PV38" s="325"/>
      <c r="PW38" s="325"/>
      <c r="PX38" s="325"/>
      <c r="PY38" s="325"/>
      <c r="PZ38" s="325"/>
      <c r="QA38" s="325"/>
      <c r="QB38" s="325"/>
      <c r="QC38" s="325"/>
      <c r="QD38" s="325"/>
      <c r="QE38" s="325"/>
      <c r="QF38" s="325"/>
      <c r="QG38" s="325"/>
      <c r="QH38" s="325"/>
      <c r="QI38" s="325"/>
      <c r="QJ38" s="325"/>
      <c r="QK38" s="325"/>
      <c r="QL38" s="325"/>
      <c r="QM38" s="325"/>
      <c r="QN38" s="325"/>
      <c r="QO38" s="325"/>
      <c r="QP38" s="325"/>
      <c r="QQ38" s="325"/>
      <c r="QR38" s="325"/>
      <c r="QS38" s="325"/>
      <c r="QT38" s="325"/>
      <c r="QU38" s="325"/>
      <c r="QV38" s="325"/>
      <c r="QW38" s="325"/>
      <c r="QX38" s="325"/>
      <c r="QY38" s="325"/>
      <c r="QZ38" s="325"/>
      <c r="RA38" s="325"/>
      <c r="RB38" s="325"/>
      <c r="RC38" s="325"/>
      <c r="RD38" s="325"/>
      <c r="RE38" s="325"/>
      <c r="RF38" s="325"/>
      <c r="RG38" s="325"/>
      <c r="RH38" s="325"/>
      <c r="RI38" s="325"/>
      <c r="RJ38" s="325"/>
      <c r="RK38" s="325"/>
      <c r="RL38" s="325"/>
      <c r="RM38" s="325"/>
      <c r="RN38" s="325"/>
      <c r="RO38" s="325"/>
      <c r="RP38" s="325"/>
      <c r="RQ38" s="325"/>
      <c r="RR38" s="325"/>
      <c r="RS38" s="325"/>
      <c r="RT38" s="325"/>
      <c r="RU38" s="325"/>
      <c r="RV38" s="325"/>
      <c r="RW38" s="325"/>
      <c r="RX38" s="325"/>
      <c r="RY38" s="325"/>
      <c r="RZ38" s="325"/>
      <c r="SA38" s="325"/>
      <c r="SB38" s="325"/>
      <c r="SC38" s="325"/>
      <c r="SD38" s="325"/>
      <c r="SE38" s="325"/>
      <c r="SF38" s="325"/>
      <c r="SG38" s="325"/>
      <c r="SH38" s="325"/>
      <c r="SI38" s="325"/>
      <c r="SJ38" s="325"/>
      <c r="SK38" s="325"/>
      <c r="SL38" s="325"/>
      <c r="SM38" s="325"/>
      <c r="SN38" s="325"/>
      <c r="SO38" s="325"/>
      <c r="SP38" s="325"/>
      <c r="SQ38" s="325"/>
      <c r="SR38" s="325"/>
      <c r="SS38" s="325"/>
      <c r="ST38" s="325"/>
      <c r="SU38" s="325"/>
      <c r="SV38" s="325"/>
      <c r="SW38" s="325"/>
      <c r="SX38" s="325"/>
      <c r="SY38" s="325"/>
      <c r="SZ38" s="325"/>
      <c r="TA38" s="325"/>
      <c r="TB38" s="325"/>
      <c r="TC38" s="325"/>
      <c r="TD38" s="325"/>
      <c r="TE38" s="325"/>
      <c r="TF38" s="325"/>
      <c r="TG38" s="325"/>
      <c r="TH38" s="325"/>
      <c r="TI38" s="325"/>
      <c r="TJ38" s="325"/>
      <c r="TK38" s="325"/>
      <c r="TL38" s="325"/>
      <c r="TM38" s="325"/>
      <c r="TN38" s="325"/>
      <c r="TO38" s="325"/>
      <c r="TP38" s="325"/>
      <c r="TQ38" s="325"/>
      <c r="TR38" s="325"/>
      <c r="TS38" s="325"/>
      <c r="TT38" s="325"/>
      <c r="TU38" s="325"/>
      <c r="TV38" s="325"/>
      <c r="TW38" s="325"/>
      <c r="TX38" s="325"/>
      <c r="TY38" s="325"/>
      <c r="TZ38" s="325"/>
      <c r="UA38" s="325"/>
      <c r="UB38" s="325"/>
      <c r="UC38" s="325"/>
      <c r="UD38" s="325"/>
      <c r="UE38" s="325"/>
      <c r="UF38" s="325"/>
      <c r="UG38" s="325"/>
      <c r="UH38" s="325"/>
      <c r="UI38" s="325"/>
      <c r="UJ38" s="325"/>
      <c r="UK38" s="325"/>
      <c r="UL38" s="325"/>
      <c r="UM38" s="325"/>
      <c r="UN38" s="325"/>
      <c r="UO38" s="325"/>
      <c r="UP38" s="325"/>
      <c r="UQ38" s="325"/>
      <c r="UR38" s="325"/>
      <c r="US38" s="325"/>
      <c r="UT38" s="325"/>
      <c r="UU38" s="325"/>
      <c r="UV38" s="325"/>
      <c r="UW38" s="325"/>
      <c r="UX38" s="325"/>
      <c r="UY38" s="325"/>
      <c r="UZ38" s="325"/>
      <c r="VA38" s="325"/>
      <c r="VB38" s="325"/>
      <c r="VC38" s="325"/>
      <c r="VD38" s="325"/>
      <c r="VE38" s="325"/>
      <c r="VF38" s="325"/>
      <c r="VG38" s="325"/>
      <c r="VH38" s="325"/>
      <c r="VI38" s="325"/>
      <c r="VJ38" s="325"/>
      <c r="VK38" s="325"/>
      <c r="VL38" s="325"/>
      <c r="VM38" s="325"/>
      <c r="VN38" s="325"/>
      <c r="VO38" s="325"/>
      <c r="VP38" s="325"/>
      <c r="VQ38" s="325"/>
      <c r="VR38" s="325"/>
      <c r="VS38" s="325"/>
      <c r="VT38" s="325"/>
      <c r="VU38" s="325"/>
      <c r="VV38" s="325"/>
      <c r="VW38" s="325"/>
      <c r="VX38" s="325"/>
      <c r="VY38" s="325"/>
      <c r="VZ38" s="325"/>
      <c r="WA38" s="325"/>
      <c r="WB38" s="325"/>
      <c r="WC38" s="325"/>
      <c r="WD38" s="325"/>
      <c r="WE38" s="325"/>
      <c r="WF38" s="325"/>
      <c r="WG38" s="325"/>
      <c r="WH38" s="325"/>
      <c r="WI38" s="325"/>
      <c r="WJ38" s="325"/>
      <c r="WK38" s="325"/>
      <c r="WL38" s="325"/>
      <c r="WM38" s="325"/>
      <c r="WN38" s="325"/>
      <c r="WO38" s="325"/>
      <c r="WP38" s="325"/>
      <c r="WQ38" s="325"/>
      <c r="WR38" s="325"/>
      <c r="WS38" s="325"/>
      <c r="WT38" s="325"/>
      <c r="WU38" s="325"/>
      <c r="WV38" s="325"/>
      <c r="WW38" s="325"/>
      <c r="WX38" s="325"/>
      <c r="WY38" s="325"/>
      <c r="WZ38" s="325"/>
      <c r="XA38" s="325"/>
      <c r="XB38" s="325"/>
      <c r="XC38" s="325"/>
      <c r="XD38" s="325"/>
      <c r="XE38" s="325"/>
      <c r="XF38" s="325"/>
      <c r="XG38" s="325"/>
      <c r="XH38" s="325"/>
      <c r="XI38" s="325"/>
      <c r="XJ38" s="325"/>
      <c r="XK38" s="325"/>
      <c r="XL38" s="325"/>
      <c r="XM38" s="325"/>
      <c r="XN38" s="325"/>
      <c r="XO38" s="325"/>
      <c r="XP38" s="325"/>
      <c r="XQ38" s="325"/>
      <c r="XR38" s="325"/>
      <c r="XS38" s="325"/>
      <c r="XT38" s="325"/>
      <c r="XU38" s="325"/>
      <c r="XV38" s="325"/>
      <c r="XW38" s="325"/>
      <c r="XX38" s="325"/>
      <c r="XY38" s="325"/>
      <c r="XZ38" s="325"/>
      <c r="YA38" s="325"/>
      <c r="YB38" s="325"/>
      <c r="YC38" s="325"/>
      <c r="YD38" s="325"/>
      <c r="YE38" s="325"/>
      <c r="YF38" s="325"/>
      <c r="YG38" s="325"/>
      <c r="YH38" s="325"/>
      <c r="YI38" s="325"/>
      <c r="YJ38" s="325"/>
      <c r="YK38" s="325"/>
      <c r="YL38" s="325"/>
      <c r="YM38" s="325"/>
      <c r="YN38" s="325"/>
      <c r="YO38" s="325"/>
      <c r="YP38" s="325"/>
      <c r="YQ38" s="325"/>
      <c r="YR38" s="325"/>
      <c r="YS38" s="325"/>
      <c r="YT38" s="325"/>
      <c r="YU38" s="325"/>
      <c r="YV38" s="325"/>
      <c r="YW38" s="325"/>
      <c r="YX38" s="325"/>
      <c r="YY38" s="325"/>
      <c r="YZ38" s="325"/>
      <c r="ZA38" s="325"/>
      <c r="ZB38" s="325"/>
      <c r="ZC38" s="325"/>
      <c r="ZD38" s="325"/>
      <c r="ZE38" s="325"/>
      <c r="ZF38" s="325"/>
      <c r="ZG38" s="325"/>
      <c r="ZH38" s="325"/>
      <c r="ZI38" s="325"/>
      <c r="ZJ38" s="325"/>
      <c r="ZK38" s="325"/>
      <c r="ZL38" s="325"/>
      <c r="ZM38" s="325"/>
      <c r="ZN38" s="325"/>
      <c r="ZO38" s="325"/>
      <c r="ZP38" s="325"/>
      <c r="ZQ38" s="325"/>
      <c r="ZR38" s="325"/>
      <c r="ZS38" s="325"/>
      <c r="ZT38" s="325"/>
      <c r="ZU38" s="325"/>
      <c r="ZV38" s="325"/>
      <c r="ZW38" s="325"/>
      <c r="ZX38" s="325"/>
      <c r="ZY38" s="325"/>
      <c r="ZZ38" s="325"/>
      <c r="AAA38" s="325"/>
      <c r="AAB38" s="325"/>
      <c r="AAC38" s="325"/>
      <c r="AAD38" s="325"/>
      <c r="AAE38" s="325"/>
      <c r="AAF38" s="325"/>
      <c r="AAG38" s="325"/>
      <c r="AAH38" s="325"/>
      <c r="AAI38" s="325"/>
      <c r="AAJ38" s="325"/>
      <c r="AAK38" s="325"/>
      <c r="AAL38" s="325"/>
      <c r="AAM38" s="325"/>
      <c r="AAN38" s="325"/>
      <c r="AAO38" s="325"/>
      <c r="AAP38" s="325"/>
      <c r="AAQ38" s="325"/>
      <c r="AAR38" s="325"/>
      <c r="AAS38" s="325"/>
      <c r="AAT38" s="325"/>
      <c r="AAU38" s="325"/>
      <c r="AAV38" s="325"/>
      <c r="AAW38" s="325"/>
      <c r="AAX38" s="325"/>
      <c r="AAY38" s="325"/>
      <c r="AAZ38" s="325"/>
      <c r="ABA38" s="325"/>
      <c r="ABB38" s="325"/>
      <c r="ABC38" s="325"/>
      <c r="ABD38" s="325"/>
      <c r="ABE38" s="325"/>
      <c r="ABF38" s="325"/>
      <c r="ABG38" s="325"/>
      <c r="ABH38" s="325"/>
      <c r="ABI38" s="325"/>
      <c r="ABJ38" s="325"/>
      <c r="ABK38" s="325"/>
      <c r="ABL38" s="325"/>
      <c r="ABM38" s="325"/>
      <c r="ABN38" s="325"/>
      <c r="ABO38" s="325"/>
      <c r="ABP38" s="325"/>
      <c r="ABQ38" s="325"/>
      <c r="ABR38" s="325"/>
      <c r="ABS38" s="325"/>
      <c r="ABT38" s="325"/>
      <c r="ABU38" s="325"/>
      <c r="ABV38" s="325"/>
      <c r="ABW38" s="325"/>
      <c r="ABX38" s="325"/>
      <c r="ABY38" s="325"/>
      <c r="ABZ38" s="325"/>
      <c r="ACA38" s="325"/>
      <c r="ACB38" s="325"/>
      <c r="ACC38" s="325"/>
      <c r="ACD38" s="325"/>
      <c r="ACE38" s="325"/>
      <c r="ACF38" s="325"/>
      <c r="ACG38" s="325"/>
      <c r="ACH38" s="325"/>
      <c r="ACI38" s="325"/>
      <c r="ACJ38" s="325"/>
      <c r="ACK38" s="325"/>
      <c r="ACL38" s="325"/>
      <c r="ACM38" s="325"/>
      <c r="ACN38" s="325"/>
      <c r="ACO38" s="325"/>
      <c r="ACP38" s="325"/>
      <c r="ACQ38" s="325"/>
      <c r="ACR38" s="325"/>
      <c r="ACS38" s="325"/>
      <c r="ACT38" s="325"/>
      <c r="ACU38" s="325"/>
      <c r="ACV38" s="325"/>
      <c r="ACW38" s="325"/>
      <c r="ACX38" s="325"/>
      <c r="ACY38" s="325"/>
      <c r="ACZ38" s="325"/>
      <c r="ADA38" s="325"/>
      <c r="ADB38" s="325"/>
      <c r="ADC38" s="325"/>
      <c r="ADD38" s="325"/>
      <c r="ADE38" s="325"/>
      <c r="ADF38" s="325"/>
      <c r="ADG38" s="325"/>
      <c r="ADH38" s="325"/>
      <c r="ADI38" s="325"/>
      <c r="ADJ38" s="325"/>
      <c r="ADK38" s="325"/>
      <c r="ADL38" s="325"/>
      <c r="ADM38" s="325"/>
      <c r="ADN38" s="325"/>
      <c r="ADO38" s="325"/>
      <c r="ADP38" s="325"/>
      <c r="ADQ38" s="325"/>
      <c r="ADR38" s="325"/>
      <c r="ADS38" s="325"/>
      <c r="ADT38" s="325"/>
      <c r="ADU38" s="325"/>
      <c r="ADV38" s="325"/>
      <c r="ADW38" s="325"/>
      <c r="ADX38" s="325"/>
      <c r="ADY38" s="325"/>
      <c r="ADZ38" s="325"/>
      <c r="AEA38" s="325"/>
      <c r="AEB38" s="325"/>
      <c r="AEC38" s="325"/>
      <c r="AED38" s="325"/>
      <c r="AEE38" s="325"/>
      <c r="AEF38" s="325"/>
      <c r="AEG38" s="325"/>
      <c r="AEH38" s="325"/>
      <c r="AEI38" s="325"/>
      <c r="AEJ38" s="325"/>
      <c r="AEK38" s="325"/>
      <c r="AEL38" s="325"/>
      <c r="AEM38" s="325"/>
      <c r="AEN38" s="325"/>
      <c r="AEO38" s="325"/>
      <c r="AEP38" s="325"/>
      <c r="AEQ38" s="325"/>
      <c r="AER38" s="325"/>
      <c r="AES38" s="325"/>
      <c r="AET38" s="325"/>
      <c r="AEU38" s="325"/>
      <c r="AEV38" s="325"/>
      <c r="AEW38" s="325"/>
      <c r="AEX38" s="325"/>
      <c r="AEY38" s="325"/>
      <c r="AEZ38" s="325"/>
      <c r="AFA38" s="325"/>
      <c r="AFB38" s="325"/>
      <c r="AFC38" s="325"/>
      <c r="AFD38" s="325"/>
      <c r="AFE38" s="325"/>
      <c r="AFF38" s="325"/>
      <c r="AFG38" s="325"/>
      <c r="AFH38" s="325"/>
      <c r="AFI38" s="325"/>
      <c r="AFJ38" s="325"/>
      <c r="AFK38" s="325"/>
      <c r="AFL38" s="325"/>
      <c r="AFM38" s="325"/>
      <c r="AFN38" s="325"/>
      <c r="AFO38" s="325"/>
      <c r="AFP38" s="325"/>
      <c r="AFQ38" s="325"/>
      <c r="AFR38" s="325"/>
      <c r="AFS38" s="325"/>
      <c r="AFT38" s="325"/>
      <c r="AFU38" s="325"/>
      <c r="AFV38" s="325"/>
      <c r="AFW38" s="325"/>
      <c r="AFX38" s="325"/>
      <c r="AFY38" s="325"/>
      <c r="AFZ38" s="325"/>
      <c r="AGA38" s="325"/>
      <c r="AGB38" s="325"/>
      <c r="AGC38" s="325"/>
      <c r="AGD38" s="325"/>
      <c r="AGE38" s="325"/>
      <c r="AGF38" s="325"/>
      <c r="AGG38" s="325"/>
      <c r="AGH38" s="325"/>
      <c r="AGI38" s="325"/>
      <c r="AGJ38" s="325"/>
      <c r="AGK38" s="325"/>
      <c r="AGL38" s="325"/>
      <c r="AGM38" s="325"/>
      <c r="AGN38" s="325"/>
      <c r="AGO38" s="325"/>
      <c r="AGP38" s="325"/>
      <c r="AGQ38" s="325"/>
      <c r="AGR38" s="325"/>
      <c r="AGS38" s="325"/>
      <c r="AGT38" s="325"/>
      <c r="AGU38" s="325"/>
      <c r="AGV38" s="325"/>
      <c r="AGW38" s="325"/>
      <c r="AGX38" s="325"/>
      <c r="AGY38" s="325"/>
      <c r="AGZ38" s="325"/>
      <c r="AHA38" s="325"/>
      <c r="AHB38" s="325"/>
      <c r="AHC38" s="325"/>
      <c r="AHD38" s="325"/>
      <c r="AHE38" s="325"/>
      <c r="AHF38" s="325"/>
      <c r="AHG38" s="325"/>
      <c r="AHH38" s="325"/>
      <c r="AHI38" s="325"/>
      <c r="AHJ38" s="325"/>
      <c r="AHK38" s="325"/>
      <c r="AHL38" s="325"/>
      <c r="AHM38" s="325"/>
      <c r="AHN38" s="325"/>
      <c r="AHO38" s="325"/>
      <c r="AHP38" s="325"/>
      <c r="AHQ38" s="325"/>
      <c r="AHR38" s="325"/>
      <c r="AHS38" s="325"/>
      <c r="AHT38" s="325"/>
      <c r="AHU38" s="325"/>
      <c r="AHV38" s="325"/>
      <c r="AHW38" s="325"/>
      <c r="AHX38" s="325"/>
      <c r="AHY38" s="325"/>
      <c r="AHZ38" s="325"/>
      <c r="AIA38" s="325"/>
      <c r="AIB38" s="325"/>
      <c r="AIC38" s="325"/>
      <c r="AID38" s="325"/>
      <c r="AIE38" s="325"/>
      <c r="AIF38" s="325"/>
      <c r="AIG38" s="325"/>
      <c r="AIH38" s="325"/>
      <c r="AII38" s="325"/>
      <c r="AIJ38" s="325"/>
      <c r="AIK38" s="325"/>
      <c r="AIL38" s="325"/>
      <c r="AIM38" s="325"/>
      <c r="AIN38" s="325"/>
      <c r="AIO38" s="325"/>
      <c r="AIP38" s="325"/>
      <c r="AIQ38" s="325"/>
      <c r="AIR38" s="325"/>
      <c r="AIS38" s="325"/>
      <c r="AIT38" s="325"/>
      <c r="AIU38" s="325"/>
      <c r="AIV38" s="325"/>
      <c r="AIW38" s="325"/>
      <c r="AIX38" s="325"/>
      <c r="AIY38" s="325"/>
      <c r="AIZ38" s="325"/>
      <c r="AJA38" s="325"/>
      <c r="AJB38" s="325"/>
      <c r="AJC38" s="325"/>
      <c r="AJD38" s="325"/>
      <c r="AJE38" s="325"/>
      <c r="AJF38" s="325"/>
      <c r="AJG38" s="325"/>
      <c r="AJH38" s="325"/>
      <c r="AJI38" s="325"/>
      <c r="AJJ38" s="325"/>
      <c r="AJK38" s="325"/>
      <c r="AJL38" s="325"/>
      <c r="AJM38" s="325"/>
      <c r="AJN38" s="325"/>
      <c r="AJO38" s="325"/>
      <c r="AJP38" s="325"/>
      <c r="AJQ38" s="325"/>
      <c r="AJR38" s="325"/>
      <c r="AJS38" s="325"/>
      <c r="AJT38" s="325"/>
      <c r="AJU38" s="325"/>
      <c r="AJV38" s="325"/>
      <c r="AJW38" s="325"/>
      <c r="AJX38" s="325"/>
      <c r="AJY38" s="325"/>
      <c r="AJZ38" s="325"/>
      <c r="AKA38" s="325"/>
      <c r="AKB38" s="325"/>
      <c r="AKC38" s="325"/>
      <c r="AKD38" s="325"/>
      <c r="AKE38" s="325"/>
      <c r="AKF38" s="325"/>
      <c r="AKG38" s="325"/>
      <c r="AKH38" s="325"/>
      <c r="AKI38" s="325"/>
      <c r="AKJ38" s="325"/>
      <c r="AKK38" s="325"/>
      <c r="AKL38" s="325"/>
      <c r="AKM38" s="325"/>
      <c r="AKN38" s="325"/>
      <c r="AKO38" s="325"/>
      <c r="AKP38" s="325"/>
      <c r="AKQ38" s="325"/>
      <c r="AKR38" s="325"/>
      <c r="AKS38" s="325"/>
      <c r="AKT38" s="325"/>
      <c r="AKU38" s="325"/>
      <c r="AKV38" s="325"/>
      <c r="AKW38" s="325"/>
      <c r="AKX38" s="325"/>
      <c r="AKY38" s="325"/>
      <c r="AKZ38" s="325"/>
      <c r="ALA38" s="325"/>
      <c r="ALB38" s="325"/>
      <c r="ALC38" s="325"/>
      <c r="ALD38" s="325"/>
      <c r="ALE38" s="325"/>
      <c r="ALF38" s="325"/>
      <c r="ALG38" s="325"/>
      <c r="ALH38" s="325"/>
      <c r="ALI38" s="325"/>
      <c r="ALJ38" s="325"/>
      <c r="ALK38" s="325"/>
      <c r="ALL38" s="325"/>
      <c r="ALM38" s="325"/>
      <c r="ALN38" s="325"/>
      <c r="ALO38" s="325"/>
      <c r="ALP38" s="325"/>
      <c r="ALQ38" s="325"/>
      <c r="ALR38" s="325"/>
      <c r="ALS38" s="325"/>
      <c r="ALT38" s="325"/>
      <c r="ALU38" s="325"/>
      <c r="ALV38" s="325"/>
      <c r="ALW38" s="325"/>
      <c r="ALX38" s="325"/>
      <c r="ALY38" s="325"/>
      <c r="ALZ38" s="325"/>
      <c r="AMA38" s="325"/>
      <c r="AMB38" s="325"/>
      <c r="AMC38" s="325"/>
    </row>
    <row r="39" spans="3:1017" s="75" customFormat="1">
      <c r="C39" s="130"/>
      <c r="D39" s="130"/>
      <c r="CN39" s="225"/>
      <c r="CQ39" s="226"/>
      <c r="LD39" s="213"/>
      <c r="LH39" s="286"/>
      <c r="LI39" s="287"/>
      <c r="LJ39" s="124"/>
      <c r="LK39" s="124"/>
      <c r="LL39" s="124"/>
      <c r="LM39" s="124"/>
      <c r="LN39" s="124"/>
      <c r="LO39" s="124"/>
      <c r="LP39" s="124"/>
      <c r="LQ39" s="124"/>
      <c r="LR39" s="124"/>
      <c r="NE39" s="330"/>
      <c r="NF39" s="325"/>
      <c r="NG39" s="325"/>
      <c r="NH39" s="325"/>
      <c r="NI39" s="325"/>
      <c r="NJ39" s="325"/>
      <c r="NK39" s="325"/>
      <c r="NL39" s="325"/>
      <c r="NM39" s="325"/>
      <c r="NN39" s="325"/>
      <c r="NO39" s="325"/>
      <c r="NP39" s="325"/>
      <c r="NQ39" s="325"/>
      <c r="NR39" s="325"/>
      <c r="NS39" s="325"/>
      <c r="NT39" s="325"/>
      <c r="NU39" s="325"/>
      <c r="NV39" s="325"/>
      <c r="NW39" s="325"/>
      <c r="NX39" s="325"/>
      <c r="NY39" s="325"/>
      <c r="NZ39" s="325"/>
      <c r="OA39" s="325"/>
      <c r="OB39" s="325"/>
      <c r="OC39" s="325"/>
      <c r="OD39" s="325"/>
      <c r="OE39" s="325"/>
      <c r="OF39" s="325"/>
      <c r="OG39" s="325"/>
      <c r="OH39" s="325"/>
      <c r="OI39" s="325"/>
      <c r="OJ39" s="325"/>
      <c r="OK39" s="325"/>
      <c r="OL39" s="325"/>
      <c r="OM39" s="325"/>
      <c r="ON39" s="325"/>
      <c r="OO39" s="325"/>
      <c r="OP39" s="325"/>
      <c r="OQ39" s="325"/>
      <c r="OR39" s="325"/>
      <c r="OS39" s="325"/>
      <c r="OT39" s="325"/>
      <c r="OU39" s="325"/>
      <c r="OV39" s="325"/>
      <c r="OW39" s="325"/>
      <c r="OX39" s="325"/>
      <c r="OY39" s="325"/>
      <c r="OZ39" s="325"/>
      <c r="PA39" s="325"/>
      <c r="PB39" s="325"/>
      <c r="PC39" s="325"/>
      <c r="PD39" s="325"/>
      <c r="PE39" s="325"/>
      <c r="PF39" s="325"/>
      <c r="PG39" s="325"/>
      <c r="PH39" s="325"/>
      <c r="PI39" s="325"/>
      <c r="PJ39" s="325"/>
      <c r="PK39" s="325"/>
      <c r="PL39" s="325"/>
      <c r="PM39" s="325"/>
      <c r="PN39" s="325"/>
      <c r="PO39" s="325"/>
      <c r="PP39" s="325"/>
      <c r="PQ39" s="325"/>
      <c r="PR39" s="325"/>
      <c r="PS39" s="325"/>
      <c r="PT39" s="325"/>
      <c r="PU39" s="325"/>
      <c r="PV39" s="325"/>
      <c r="PW39" s="325"/>
      <c r="PX39" s="325"/>
      <c r="PY39" s="325"/>
      <c r="PZ39" s="325"/>
      <c r="QA39" s="325"/>
      <c r="QB39" s="325"/>
      <c r="QC39" s="325"/>
      <c r="QD39" s="325"/>
      <c r="QE39" s="325"/>
      <c r="QF39" s="325"/>
      <c r="QG39" s="325"/>
      <c r="QH39" s="325"/>
      <c r="QI39" s="325"/>
      <c r="QJ39" s="325"/>
      <c r="QK39" s="325"/>
      <c r="QL39" s="325"/>
      <c r="QM39" s="325"/>
      <c r="QN39" s="325"/>
      <c r="QO39" s="325"/>
      <c r="QP39" s="325"/>
      <c r="QQ39" s="325"/>
      <c r="QR39" s="325"/>
      <c r="QS39" s="325"/>
      <c r="QT39" s="325"/>
      <c r="QU39" s="325"/>
      <c r="QV39" s="325"/>
      <c r="QW39" s="325"/>
      <c r="QX39" s="325"/>
      <c r="QY39" s="325"/>
      <c r="QZ39" s="325"/>
      <c r="RA39" s="325"/>
      <c r="RB39" s="325"/>
      <c r="RC39" s="325"/>
      <c r="RD39" s="325"/>
      <c r="RE39" s="325"/>
      <c r="RF39" s="325"/>
      <c r="RG39" s="325"/>
      <c r="RH39" s="325"/>
      <c r="RI39" s="325"/>
      <c r="RJ39" s="325"/>
      <c r="RK39" s="325"/>
      <c r="RL39" s="325"/>
      <c r="RM39" s="325"/>
      <c r="RN39" s="325"/>
      <c r="RO39" s="325"/>
      <c r="RP39" s="325"/>
      <c r="RQ39" s="325"/>
      <c r="RR39" s="325"/>
      <c r="RS39" s="325"/>
      <c r="RT39" s="325"/>
      <c r="RU39" s="325"/>
      <c r="RV39" s="325"/>
      <c r="RW39" s="325"/>
      <c r="RX39" s="325"/>
      <c r="RY39" s="325"/>
      <c r="RZ39" s="325"/>
      <c r="SA39" s="325"/>
      <c r="SB39" s="325"/>
      <c r="SC39" s="325"/>
      <c r="SD39" s="325"/>
      <c r="SE39" s="325"/>
      <c r="SF39" s="325"/>
      <c r="SG39" s="325"/>
      <c r="SH39" s="325"/>
      <c r="SI39" s="325"/>
      <c r="SJ39" s="325"/>
      <c r="SK39" s="325"/>
      <c r="SL39" s="325"/>
      <c r="SM39" s="325"/>
      <c r="SN39" s="325"/>
      <c r="SO39" s="325"/>
      <c r="SP39" s="325"/>
      <c r="SQ39" s="325"/>
      <c r="SR39" s="325"/>
      <c r="SS39" s="325"/>
      <c r="ST39" s="325"/>
      <c r="SU39" s="325"/>
      <c r="SV39" s="325"/>
      <c r="SW39" s="325"/>
      <c r="SX39" s="325"/>
      <c r="SY39" s="325"/>
      <c r="SZ39" s="325"/>
      <c r="TA39" s="325"/>
      <c r="TB39" s="325"/>
      <c r="TC39" s="325"/>
      <c r="TD39" s="325"/>
      <c r="TE39" s="325"/>
      <c r="TF39" s="325"/>
      <c r="TG39" s="325"/>
      <c r="TH39" s="325"/>
      <c r="TI39" s="325"/>
      <c r="TJ39" s="325"/>
      <c r="TK39" s="325"/>
      <c r="TL39" s="325"/>
      <c r="TM39" s="325"/>
      <c r="TN39" s="325"/>
      <c r="TO39" s="325"/>
      <c r="TP39" s="325"/>
      <c r="TQ39" s="325"/>
      <c r="TR39" s="325"/>
      <c r="TS39" s="325"/>
      <c r="TT39" s="325"/>
      <c r="TU39" s="325"/>
      <c r="TV39" s="325"/>
      <c r="TW39" s="325"/>
      <c r="TX39" s="325"/>
      <c r="TY39" s="325"/>
      <c r="TZ39" s="325"/>
      <c r="UA39" s="325"/>
      <c r="UB39" s="325"/>
      <c r="UC39" s="325"/>
      <c r="UD39" s="325"/>
      <c r="UE39" s="325"/>
      <c r="UF39" s="325"/>
      <c r="UG39" s="325"/>
      <c r="UH39" s="325"/>
      <c r="UI39" s="325"/>
      <c r="UJ39" s="325"/>
      <c r="UK39" s="325"/>
      <c r="UL39" s="325"/>
      <c r="UM39" s="325"/>
      <c r="UN39" s="325"/>
      <c r="UO39" s="325"/>
      <c r="UP39" s="325"/>
      <c r="UQ39" s="325"/>
      <c r="UR39" s="325"/>
      <c r="US39" s="325"/>
      <c r="UT39" s="325"/>
      <c r="UU39" s="325"/>
      <c r="UV39" s="325"/>
      <c r="UW39" s="325"/>
      <c r="UX39" s="325"/>
      <c r="UY39" s="325"/>
      <c r="UZ39" s="325"/>
      <c r="VA39" s="325"/>
      <c r="VB39" s="325"/>
      <c r="VC39" s="325"/>
      <c r="VD39" s="325"/>
      <c r="VE39" s="325"/>
      <c r="VF39" s="325"/>
      <c r="VG39" s="325"/>
      <c r="VH39" s="325"/>
      <c r="VI39" s="325"/>
      <c r="VJ39" s="325"/>
      <c r="VK39" s="325"/>
      <c r="VL39" s="325"/>
      <c r="VM39" s="325"/>
      <c r="VN39" s="325"/>
      <c r="VO39" s="325"/>
      <c r="VP39" s="325"/>
      <c r="VQ39" s="325"/>
      <c r="VR39" s="325"/>
      <c r="VS39" s="325"/>
      <c r="VT39" s="325"/>
      <c r="VU39" s="325"/>
      <c r="VV39" s="325"/>
      <c r="VW39" s="325"/>
      <c r="VX39" s="325"/>
      <c r="VY39" s="325"/>
      <c r="VZ39" s="325"/>
      <c r="WA39" s="325"/>
      <c r="WB39" s="325"/>
      <c r="WC39" s="325"/>
      <c r="WD39" s="325"/>
      <c r="WE39" s="325"/>
      <c r="WF39" s="325"/>
      <c r="WG39" s="325"/>
      <c r="WH39" s="325"/>
      <c r="WI39" s="325"/>
      <c r="WJ39" s="325"/>
      <c r="WK39" s="325"/>
      <c r="WL39" s="325"/>
      <c r="WM39" s="325"/>
      <c r="WN39" s="325"/>
      <c r="WO39" s="325"/>
      <c r="WP39" s="325"/>
      <c r="WQ39" s="325"/>
      <c r="WR39" s="325"/>
      <c r="WS39" s="325"/>
      <c r="WT39" s="325"/>
      <c r="WU39" s="325"/>
      <c r="WV39" s="325"/>
      <c r="WW39" s="325"/>
      <c r="WX39" s="325"/>
      <c r="WY39" s="325"/>
      <c r="WZ39" s="325"/>
      <c r="XA39" s="325"/>
      <c r="XB39" s="325"/>
      <c r="XC39" s="325"/>
      <c r="XD39" s="325"/>
      <c r="XE39" s="325"/>
      <c r="XF39" s="325"/>
      <c r="XG39" s="325"/>
      <c r="XH39" s="325"/>
      <c r="XI39" s="325"/>
      <c r="XJ39" s="325"/>
      <c r="XK39" s="325"/>
      <c r="XL39" s="325"/>
      <c r="XM39" s="325"/>
      <c r="XN39" s="325"/>
      <c r="XO39" s="325"/>
      <c r="XP39" s="325"/>
      <c r="XQ39" s="325"/>
      <c r="XR39" s="325"/>
      <c r="XS39" s="325"/>
      <c r="XT39" s="325"/>
      <c r="XU39" s="325"/>
      <c r="XV39" s="325"/>
      <c r="XW39" s="325"/>
      <c r="XX39" s="325"/>
      <c r="XY39" s="325"/>
      <c r="XZ39" s="325"/>
      <c r="YA39" s="325"/>
      <c r="YB39" s="325"/>
      <c r="YC39" s="325"/>
      <c r="YD39" s="325"/>
      <c r="YE39" s="325"/>
      <c r="YF39" s="325"/>
      <c r="YG39" s="325"/>
      <c r="YH39" s="325"/>
      <c r="YI39" s="325"/>
      <c r="YJ39" s="325"/>
      <c r="YK39" s="325"/>
      <c r="YL39" s="325"/>
      <c r="YM39" s="325"/>
      <c r="YN39" s="325"/>
      <c r="YO39" s="325"/>
      <c r="YP39" s="325"/>
      <c r="YQ39" s="325"/>
      <c r="YR39" s="325"/>
      <c r="YS39" s="325"/>
      <c r="YT39" s="325"/>
      <c r="YU39" s="325"/>
      <c r="YV39" s="325"/>
      <c r="YW39" s="325"/>
      <c r="YX39" s="325"/>
      <c r="YY39" s="325"/>
      <c r="YZ39" s="325"/>
      <c r="ZA39" s="325"/>
      <c r="ZB39" s="325"/>
      <c r="ZC39" s="325"/>
      <c r="ZD39" s="325"/>
      <c r="ZE39" s="325"/>
      <c r="ZF39" s="325"/>
      <c r="ZG39" s="325"/>
      <c r="ZH39" s="325"/>
      <c r="ZI39" s="325"/>
      <c r="ZJ39" s="325"/>
      <c r="ZK39" s="325"/>
      <c r="ZL39" s="325"/>
      <c r="ZM39" s="325"/>
      <c r="ZN39" s="325"/>
      <c r="ZO39" s="325"/>
      <c r="ZP39" s="325"/>
      <c r="ZQ39" s="325"/>
      <c r="ZR39" s="325"/>
      <c r="ZS39" s="325"/>
      <c r="ZT39" s="325"/>
      <c r="ZU39" s="325"/>
      <c r="ZV39" s="325"/>
      <c r="ZW39" s="325"/>
      <c r="ZX39" s="325"/>
      <c r="ZY39" s="325"/>
      <c r="ZZ39" s="325"/>
      <c r="AAA39" s="325"/>
      <c r="AAB39" s="325"/>
      <c r="AAC39" s="325"/>
      <c r="AAD39" s="325"/>
      <c r="AAE39" s="325"/>
      <c r="AAF39" s="325"/>
      <c r="AAG39" s="325"/>
      <c r="AAH39" s="325"/>
      <c r="AAI39" s="325"/>
      <c r="AAJ39" s="325"/>
      <c r="AAK39" s="325"/>
      <c r="AAL39" s="325"/>
      <c r="AAM39" s="325"/>
      <c r="AAN39" s="325"/>
      <c r="AAO39" s="325"/>
      <c r="AAP39" s="325"/>
      <c r="AAQ39" s="325"/>
      <c r="AAR39" s="325"/>
      <c r="AAS39" s="325"/>
      <c r="AAT39" s="325"/>
      <c r="AAU39" s="325"/>
      <c r="AAV39" s="325"/>
      <c r="AAW39" s="325"/>
      <c r="AAX39" s="325"/>
      <c r="AAY39" s="325"/>
      <c r="AAZ39" s="325"/>
      <c r="ABA39" s="325"/>
      <c r="ABB39" s="325"/>
      <c r="ABC39" s="325"/>
      <c r="ABD39" s="325"/>
      <c r="ABE39" s="325"/>
      <c r="ABF39" s="325"/>
      <c r="ABG39" s="325"/>
      <c r="ABH39" s="325"/>
      <c r="ABI39" s="325"/>
      <c r="ABJ39" s="325"/>
      <c r="ABK39" s="325"/>
      <c r="ABL39" s="325"/>
      <c r="ABM39" s="325"/>
      <c r="ABN39" s="325"/>
      <c r="ABO39" s="325"/>
      <c r="ABP39" s="325"/>
      <c r="ABQ39" s="325"/>
      <c r="ABR39" s="325"/>
      <c r="ABS39" s="325"/>
      <c r="ABT39" s="325"/>
      <c r="ABU39" s="325"/>
      <c r="ABV39" s="325"/>
      <c r="ABW39" s="325"/>
      <c r="ABX39" s="325"/>
      <c r="ABY39" s="325"/>
      <c r="ABZ39" s="325"/>
      <c r="ACA39" s="325"/>
      <c r="ACB39" s="325"/>
      <c r="ACC39" s="325"/>
      <c r="ACD39" s="325"/>
      <c r="ACE39" s="325"/>
      <c r="ACF39" s="325"/>
      <c r="ACG39" s="325"/>
      <c r="ACH39" s="325"/>
      <c r="ACI39" s="325"/>
      <c r="ACJ39" s="325"/>
      <c r="ACK39" s="325"/>
      <c r="ACL39" s="325"/>
      <c r="ACM39" s="325"/>
      <c r="ACN39" s="325"/>
      <c r="ACO39" s="325"/>
      <c r="ACP39" s="325"/>
      <c r="ACQ39" s="325"/>
      <c r="ACR39" s="325"/>
      <c r="ACS39" s="325"/>
      <c r="ACT39" s="325"/>
      <c r="ACU39" s="325"/>
      <c r="ACV39" s="325"/>
      <c r="ACW39" s="325"/>
      <c r="ACX39" s="325"/>
      <c r="ACY39" s="325"/>
      <c r="ACZ39" s="325"/>
      <c r="ADA39" s="325"/>
      <c r="ADB39" s="325"/>
      <c r="ADC39" s="325"/>
      <c r="ADD39" s="325"/>
      <c r="ADE39" s="325"/>
      <c r="ADF39" s="325"/>
      <c r="ADG39" s="325"/>
      <c r="ADH39" s="325"/>
      <c r="ADI39" s="325"/>
      <c r="ADJ39" s="325"/>
      <c r="ADK39" s="325"/>
      <c r="ADL39" s="325"/>
      <c r="ADM39" s="325"/>
      <c r="ADN39" s="325"/>
      <c r="ADO39" s="325"/>
      <c r="ADP39" s="325"/>
      <c r="ADQ39" s="325"/>
      <c r="ADR39" s="325"/>
      <c r="ADS39" s="325"/>
      <c r="ADT39" s="325"/>
      <c r="ADU39" s="325"/>
      <c r="ADV39" s="325"/>
      <c r="ADW39" s="325"/>
      <c r="ADX39" s="325"/>
      <c r="ADY39" s="325"/>
      <c r="ADZ39" s="325"/>
      <c r="AEA39" s="325"/>
      <c r="AEB39" s="325"/>
      <c r="AEC39" s="325"/>
      <c r="AED39" s="325"/>
      <c r="AEE39" s="325"/>
      <c r="AEF39" s="325"/>
      <c r="AEG39" s="325"/>
      <c r="AEH39" s="325"/>
      <c r="AEI39" s="325"/>
      <c r="AEJ39" s="325"/>
      <c r="AEK39" s="325"/>
      <c r="AEL39" s="325"/>
      <c r="AEM39" s="325"/>
      <c r="AEN39" s="325"/>
      <c r="AEO39" s="325"/>
      <c r="AEP39" s="325"/>
      <c r="AEQ39" s="325"/>
      <c r="AER39" s="325"/>
      <c r="AES39" s="325"/>
      <c r="AET39" s="325"/>
      <c r="AEU39" s="325"/>
      <c r="AEV39" s="325"/>
      <c r="AEW39" s="325"/>
      <c r="AEX39" s="325"/>
      <c r="AEY39" s="325"/>
      <c r="AEZ39" s="325"/>
      <c r="AFA39" s="325"/>
      <c r="AFB39" s="325"/>
      <c r="AFC39" s="325"/>
      <c r="AFD39" s="325"/>
      <c r="AFE39" s="325"/>
      <c r="AFF39" s="325"/>
      <c r="AFG39" s="325"/>
      <c r="AFH39" s="325"/>
      <c r="AFI39" s="325"/>
      <c r="AFJ39" s="325"/>
      <c r="AFK39" s="325"/>
      <c r="AFL39" s="325"/>
      <c r="AFM39" s="325"/>
      <c r="AFN39" s="325"/>
      <c r="AFO39" s="325"/>
      <c r="AFP39" s="325"/>
      <c r="AFQ39" s="325"/>
      <c r="AFR39" s="325"/>
      <c r="AFS39" s="325"/>
      <c r="AFT39" s="325"/>
      <c r="AFU39" s="325"/>
      <c r="AFV39" s="325"/>
      <c r="AFW39" s="325"/>
      <c r="AFX39" s="325"/>
      <c r="AFY39" s="325"/>
      <c r="AFZ39" s="325"/>
      <c r="AGA39" s="325"/>
      <c r="AGB39" s="325"/>
      <c r="AGC39" s="325"/>
      <c r="AGD39" s="325"/>
      <c r="AGE39" s="325"/>
      <c r="AGF39" s="325"/>
      <c r="AGG39" s="325"/>
      <c r="AGH39" s="325"/>
      <c r="AGI39" s="325"/>
      <c r="AGJ39" s="325"/>
      <c r="AGK39" s="325"/>
      <c r="AGL39" s="325"/>
      <c r="AGM39" s="325"/>
      <c r="AGN39" s="325"/>
      <c r="AGO39" s="325"/>
      <c r="AGP39" s="325"/>
      <c r="AGQ39" s="325"/>
      <c r="AGR39" s="325"/>
      <c r="AGS39" s="325"/>
      <c r="AGT39" s="325"/>
      <c r="AGU39" s="325"/>
      <c r="AGV39" s="325"/>
      <c r="AGW39" s="325"/>
      <c r="AGX39" s="325"/>
      <c r="AGY39" s="325"/>
      <c r="AGZ39" s="325"/>
      <c r="AHA39" s="325"/>
      <c r="AHB39" s="325"/>
      <c r="AHC39" s="325"/>
      <c r="AHD39" s="325"/>
      <c r="AHE39" s="325"/>
      <c r="AHF39" s="325"/>
      <c r="AHG39" s="325"/>
      <c r="AHH39" s="325"/>
      <c r="AHI39" s="325"/>
      <c r="AHJ39" s="325"/>
      <c r="AHK39" s="325"/>
      <c r="AHL39" s="325"/>
      <c r="AHM39" s="325"/>
      <c r="AHN39" s="325"/>
      <c r="AHO39" s="325"/>
      <c r="AHP39" s="325"/>
      <c r="AHQ39" s="325"/>
      <c r="AHR39" s="325"/>
      <c r="AHS39" s="325"/>
      <c r="AHT39" s="325"/>
      <c r="AHU39" s="325"/>
      <c r="AHV39" s="325"/>
      <c r="AHW39" s="325"/>
      <c r="AHX39" s="325"/>
      <c r="AHY39" s="325"/>
      <c r="AHZ39" s="325"/>
      <c r="AIA39" s="325"/>
      <c r="AIB39" s="325"/>
      <c r="AIC39" s="325"/>
      <c r="AID39" s="325"/>
      <c r="AIE39" s="325"/>
      <c r="AIF39" s="325"/>
      <c r="AIG39" s="325"/>
      <c r="AIH39" s="325"/>
      <c r="AII39" s="325"/>
      <c r="AIJ39" s="325"/>
      <c r="AIK39" s="325"/>
      <c r="AIL39" s="325"/>
      <c r="AIM39" s="325"/>
      <c r="AIN39" s="325"/>
      <c r="AIO39" s="325"/>
      <c r="AIP39" s="325"/>
      <c r="AIQ39" s="325"/>
      <c r="AIR39" s="325"/>
      <c r="AIS39" s="325"/>
      <c r="AIT39" s="325"/>
      <c r="AIU39" s="325"/>
      <c r="AIV39" s="325"/>
      <c r="AIW39" s="325"/>
      <c r="AIX39" s="325"/>
      <c r="AIY39" s="325"/>
      <c r="AIZ39" s="325"/>
      <c r="AJA39" s="325"/>
      <c r="AJB39" s="325"/>
      <c r="AJC39" s="325"/>
      <c r="AJD39" s="325"/>
      <c r="AJE39" s="325"/>
      <c r="AJF39" s="325"/>
      <c r="AJG39" s="325"/>
      <c r="AJH39" s="325"/>
      <c r="AJI39" s="325"/>
      <c r="AJJ39" s="325"/>
      <c r="AJK39" s="325"/>
      <c r="AJL39" s="325"/>
      <c r="AJM39" s="325"/>
      <c r="AJN39" s="325"/>
      <c r="AJO39" s="325"/>
      <c r="AJP39" s="325"/>
      <c r="AJQ39" s="325"/>
      <c r="AJR39" s="325"/>
      <c r="AJS39" s="325"/>
      <c r="AJT39" s="325"/>
      <c r="AJU39" s="325"/>
      <c r="AJV39" s="325"/>
      <c r="AJW39" s="325"/>
      <c r="AJX39" s="325"/>
      <c r="AJY39" s="325"/>
      <c r="AJZ39" s="325"/>
      <c r="AKA39" s="325"/>
      <c r="AKB39" s="325"/>
      <c r="AKC39" s="325"/>
      <c r="AKD39" s="325"/>
      <c r="AKE39" s="325"/>
      <c r="AKF39" s="325"/>
      <c r="AKG39" s="325"/>
      <c r="AKH39" s="325"/>
      <c r="AKI39" s="325"/>
      <c r="AKJ39" s="325"/>
      <c r="AKK39" s="325"/>
      <c r="AKL39" s="325"/>
      <c r="AKM39" s="325"/>
      <c r="AKN39" s="325"/>
      <c r="AKO39" s="325"/>
      <c r="AKP39" s="325"/>
      <c r="AKQ39" s="325"/>
      <c r="AKR39" s="325"/>
      <c r="AKS39" s="325"/>
      <c r="AKT39" s="325"/>
      <c r="AKU39" s="325"/>
      <c r="AKV39" s="325"/>
      <c r="AKW39" s="325"/>
      <c r="AKX39" s="325"/>
      <c r="AKY39" s="325"/>
      <c r="AKZ39" s="325"/>
      <c r="ALA39" s="325"/>
      <c r="ALB39" s="325"/>
      <c r="ALC39" s="325"/>
      <c r="ALD39" s="325"/>
      <c r="ALE39" s="325"/>
      <c r="ALF39" s="325"/>
      <c r="ALG39" s="325"/>
      <c r="ALH39" s="325"/>
      <c r="ALI39" s="325"/>
      <c r="ALJ39" s="325"/>
      <c r="ALK39" s="325"/>
      <c r="ALL39" s="325"/>
      <c r="ALM39" s="325"/>
      <c r="ALN39" s="325"/>
      <c r="ALO39" s="325"/>
      <c r="ALP39" s="325"/>
      <c r="ALQ39" s="325"/>
      <c r="ALR39" s="325"/>
      <c r="ALS39" s="325"/>
      <c r="ALT39" s="325"/>
      <c r="ALU39" s="325"/>
      <c r="ALV39" s="325"/>
      <c r="ALW39" s="325"/>
      <c r="ALX39" s="325"/>
      <c r="ALY39" s="325"/>
      <c r="ALZ39" s="325"/>
      <c r="AMA39" s="325"/>
      <c r="AMB39" s="325"/>
      <c r="AMC39" s="325"/>
    </row>
    <row r="40" spans="3:1017" s="75" customFormat="1">
      <c r="C40" s="130"/>
      <c r="D40" s="130"/>
      <c r="CN40" s="225"/>
      <c r="CQ40" s="226"/>
      <c r="LD40" s="213"/>
      <c r="LH40" s="286"/>
      <c r="LI40" s="287"/>
      <c r="LJ40" s="124"/>
      <c r="LK40" s="124"/>
      <c r="LL40" s="124"/>
      <c r="LM40" s="124"/>
      <c r="LN40" s="124"/>
      <c r="LO40" s="124"/>
      <c r="LP40" s="124"/>
      <c r="LQ40" s="124"/>
      <c r="LR40" s="124"/>
      <c r="NE40" s="330"/>
      <c r="NF40" s="325"/>
      <c r="NG40" s="325"/>
      <c r="NH40" s="325"/>
      <c r="NI40" s="325"/>
      <c r="NJ40" s="325"/>
      <c r="NK40" s="325"/>
      <c r="NL40" s="325"/>
      <c r="NM40" s="325"/>
      <c r="NN40" s="325"/>
      <c r="NO40" s="325"/>
      <c r="NP40" s="325"/>
      <c r="NQ40" s="325"/>
      <c r="NR40" s="325"/>
      <c r="NS40" s="325"/>
      <c r="NT40" s="325"/>
      <c r="NU40" s="325"/>
      <c r="NV40" s="325"/>
      <c r="NW40" s="325"/>
      <c r="NX40" s="325"/>
      <c r="NY40" s="325"/>
      <c r="NZ40" s="325"/>
      <c r="OA40" s="325"/>
      <c r="OB40" s="325"/>
      <c r="OC40" s="325"/>
      <c r="OD40" s="325"/>
      <c r="OE40" s="325"/>
      <c r="OF40" s="325"/>
      <c r="OG40" s="325"/>
      <c r="OH40" s="325"/>
      <c r="OI40" s="325"/>
      <c r="OJ40" s="325"/>
      <c r="OK40" s="325"/>
      <c r="OL40" s="325"/>
      <c r="OM40" s="325"/>
      <c r="ON40" s="325"/>
      <c r="OO40" s="325"/>
      <c r="OP40" s="325"/>
      <c r="OQ40" s="325"/>
      <c r="OR40" s="325"/>
      <c r="OS40" s="325"/>
      <c r="OT40" s="325"/>
      <c r="OU40" s="325"/>
      <c r="OV40" s="325"/>
      <c r="OW40" s="325"/>
      <c r="OX40" s="325"/>
      <c r="OY40" s="325"/>
      <c r="OZ40" s="325"/>
      <c r="PA40" s="325"/>
      <c r="PB40" s="325"/>
      <c r="PC40" s="325"/>
      <c r="PD40" s="325"/>
      <c r="PE40" s="325"/>
      <c r="PF40" s="325"/>
      <c r="PG40" s="325"/>
      <c r="PH40" s="325"/>
      <c r="PI40" s="325"/>
      <c r="PJ40" s="325"/>
      <c r="PK40" s="325"/>
      <c r="PL40" s="325"/>
      <c r="PM40" s="325"/>
      <c r="PN40" s="325"/>
      <c r="PO40" s="325"/>
      <c r="PP40" s="325"/>
      <c r="PQ40" s="325"/>
      <c r="PR40" s="325"/>
      <c r="PS40" s="325"/>
      <c r="PT40" s="325"/>
      <c r="PU40" s="325"/>
      <c r="PV40" s="325"/>
      <c r="PW40" s="325"/>
      <c r="PX40" s="325"/>
      <c r="PY40" s="325"/>
      <c r="PZ40" s="325"/>
      <c r="QA40" s="325"/>
      <c r="QB40" s="325"/>
      <c r="QC40" s="325"/>
      <c r="QD40" s="325"/>
      <c r="QE40" s="325"/>
      <c r="QF40" s="325"/>
      <c r="QG40" s="325"/>
      <c r="QH40" s="325"/>
      <c r="QI40" s="325"/>
      <c r="QJ40" s="325"/>
      <c r="QK40" s="325"/>
      <c r="QL40" s="325"/>
      <c r="QM40" s="325"/>
      <c r="QN40" s="325"/>
      <c r="QO40" s="325"/>
      <c r="QP40" s="325"/>
      <c r="QQ40" s="325"/>
      <c r="QR40" s="325"/>
      <c r="QS40" s="325"/>
      <c r="QT40" s="325"/>
      <c r="QU40" s="325"/>
      <c r="QV40" s="325"/>
      <c r="QW40" s="325"/>
      <c r="QX40" s="325"/>
      <c r="QY40" s="325"/>
      <c r="QZ40" s="325"/>
      <c r="RA40" s="325"/>
      <c r="RB40" s="325"/>
      <c r="RC40" s="325"/>
      <c r="RD40" s="325"/>
      <c r="RE40" s="325"/>
      <c r="RF40" s="325"/>
      <c r="RG40" s="325"/>
      <c r="RH40" s="325"/>
      <c r="RI40" s="325"/>
      <c r="RJ40" s="325"/>
      <c r="RK40" s="325"/>
      <c r="RL40" s="325"/>
      <c r="RM40" s="325"/>
      <c r="RN40" s="325"/>
      <c r="RO40" s="325"/>
      <c r="RP40" s="325"/>
      <c r="RQ40" s="325"/>
      <c r="RR40" s="325"/>
      <c r="RS40" s="325"/>
      <c r="RT40" s="325"/>
      <c r="RU40" s="325"/>
      <c r="RV40" s="325"/>
      <c r="RW40" s="325"/>
      <c r="RX40" s="325"/>
      <c r="RY40" s="325"/>
      <c r="RZ40" s="325"/>
      <c r="SA40" s="325"/>
      <c r="SB40" s="325"/>
      <c r="SC40" s="325"/>
      <c r="SD40" s="325"/>
      <c r="SE40" s="325"/>
      <c r="SF40" s="325"/>
      <c r="SG40" s="325"/>
      <c r="SH40" s="325"/>
      <c r="SI40" s="325"/>
      <c r="SJ40" s="325"/>
      <c r="SK40" s="325"/>
      <c r="SL40" s="325"/>
      <c r="SM40" s="325"/>
      <c r="SN40" s="325"/>
      <c r="SO40" s="325"/>
      <c r="SP40" s="325"/>
      <c r="SQ40" s="325"/>
      <c r="SR40" s="325"/>
      <c r="SS40" s="325"/>
      <c r="ST40" s="325"/>
      <c r="SU40" s="325"/>
      <c r="SV40" s="325"/>
      <c r="SW40" s="325"/>
      <c r="SX40" s="325"/>
      <c r="SY40" s="325"/>
      <c r="SZ40" s="325"/>
      <c r="TA40" s="325"/>
      <c r="TB40" s="325"/>
      <c r="TC40" s="325"/>
      <c r="TD40" s="325"/>
      <c r="TE40" s="325"/>
      <c r="TF40" s="325"/>
      <c r="TG40" s="325"/>
      <c r="TH40" s="325"/>
      <c r="TI40" s="325"/>
      <c r="TJ40" s="325"/>
      <c r="TK40" s="325"/>
      <c r="TL40" s="325"/>
      <c r="TM40" s="325"/>
      <c r="TN40" s="325"/>
      <c r="TO40" s="325"/>
      <c r="TP40" s="325"/>
      <c r="TQ40" s="325"/>
      <c r="TR40" s="325"/>
      <c r="TS40" s="325"/>
      <c r="TT40" s="325"/>
      <c r="TU40" s="325"/>
      <c r="TV40" s="325"/>
      <c r="TW40" s="325"/>
      <c r="TX40" s="325"/>
      <c r="TY40" s="325"/>
      <c r="TZ40" s="325"/>
      <c r="UA40" s="325"/>
      <c r="UB40" s="325"/>
      <c r="UC40" s="325"/>
      <c r="UD40" s="325"/>
      <c r="UE40" s="325"/>
      <c r="UF40" s="325"/>
      <c r="UG40" s="325"/>
      <c r="UH40" s="325"/>
      <c r="UI40" s="325"/>
      <c r="UJ40" s="325"/>
      <c r="UK40" s="325"/>
      <c r="UL40" s="325"/>
      <c r="UM40" s="325"/>
      <c r="UN40" s="325"/>
      <c r="UO40" s="325"/>
      <c r="UP40" s="325"/>
      <c r="UQ40" s="325"/>
      <c r="UR40" s="325"/>
      <c r="US40" s="325"/>
      <c r="UT40" s="325"/>
      <c r="UU40" s="325"/>
      <c r="UV40" s="325"/>
      <c r="UW40" s="325"/>
      <c r="UX40" s="325"/>
      <c r="UY40" s="325"/>
      <c r="UZ40" s="325"/>
      <c r="VA40" s="325"/>
      <c r="VB40" s="325"/>
      <c r="VC40" s="325"/>
      <c r="VD40" s="325"/>
      <c r="VE40" s="325"/>
      <c r="VF40" s="325"/>
      <c r="VG40" s="325"/>
      <c r="VH40" s="325"/>
      <c r="VI40" s="325"/>
      <c r="VJ40" s="325"/>
      <c r="VK40" s="325"/>
      <c r="VL40" s="325"/>
      <c r="VM40" s="325"/>
      <c r="VN40" s="325"/>
      <c r="VO40" s="325"/>
      <c r="VP40" s="325"/>
      <c r="VQ40" s="325"/>
      <c r="VR40" s="325"/>
      <c r="VS40" s="325"/>
      <c r="VT40" s="325"/>
      <c r="VU40" s="325"/>
      <c r="VV40" s="325"/>
      <c r="VW40" s="325"/>
      <c r="VX40" s="325"/>
      <c r="VY40" s="325"/>
      <c r="VZ40" s="325"/>
      <c r="WA40" s="325"/>
      <c r="WB40" s="325"/>
      <c r="WC40" s="325"/>
      <c r="WD40" s="325"/>
      <c r="WE40" s="325"/>
      <c r="WF40" s="325"/>
      <c r="WG40" s="325"/>
      <c r="WH40" s="325"/>
      <c r="WI40" s="325"/>
      <c r="WJ40" s="325"/>
      <c r="WK40" s="325"/>
      <c r="WL40" s="325"/>
      <c r="WM40" s="325"/>
      <c r="WN40" s="325"/>
      <c r="WO40" s="325"/>
      <c r="WP40" s="325"/>
      <c r="WQ40" s="325"/>
      <c r="WR40" s="325"/>
      <c r="WS40" s="325"/>
      <c r="WT40" s="325"/>
      <c r="WU40" s="325"/>
      <c r="WV40" s="325"/>
      <c r="WW40" s="325"/>
      <c r="WX40" s="325"/>
      <c r="WY40" s="325"/>
      <c r="WZ40" s="325"/>
      <c r="XA40" s="325"/>
      <c r="XB40" s="325"/>
      <c r="XC40" s="325"/>
      <c r="XD40" s="325"/>
      <c r="XE40" s="325"/>
      <c r="XF40" s="325"/>
      <c r="XG40" s="325"/>
      <c r="XH40" s="325"/>
      <c r="XI40" s="325"/>
      <c r="XJ40" s="325"/>
      <c r="XK40" s="325"/>
      <c r="XL40" s="325"/>
      <c r="XM40" s="325"/>
      <c r="XN40" s="325"/>
      <c r="XO40" s="325"/>
      <c r="XP40" s="325"/>
      <c r="XQ40" s="325"/>
      <c r="XR40" s="325"/>
      <c r="XS40" s="325"/>
      <c r="XT40" s="325"/>
      <c r="XU40" s="325"/>
      <c r="XV40" s="325"/>
      <c r="XW40" s="325"/>
      <c r="XX40" s="325"/>
      <c r="XY40" s="325"/>
      <c r="XZ40" s="325"/>
      <c r="YA40" s="325"/>
      <c r="YB40" s="325"/>
      <c r="YC40" s="325"/>
      <c r="YD40" s="325"/>
      <c r="YE40" s="325"/>
      <c r="YF40" s="325"/>
      <c r="YG40" s="325"/>
      <c r="YH40" s="325"/>
      <c r="YI40" s="325"/>
      <c r="YJ40" s="325"/>
      <c r="YK40" s="325"/>
      <c r="YL40" s="325"/>
      <c r="YM40" s="325"/>
      <c r="YN40" s="325"/>
      <c r="YO40" s="325"/>
      <c r="YP40" s="325"/>
      <c r="YQ40" s="325"/>
      <c r="YR40" s="325"/>
      <c r="YS40" s="325"/>
      <c r="YT40" s="325"/>
      <c r="YU40" s="325"/>
      <c r="YV40" s="325"/>
      <c r="YW40" s="325"/>
      <c r="YX40" s="325"/>
      <c r="YY40" s="325"/>
      <c r="YZ40" s="325"/>
      <c r="ZA40" s="325"/>
      <c r="ZB40" s="325"/>
      <c r="ZC40" s="325"/>
      <c r="ZD40" s="325"/>
      <c r="ZE40" s="325"/>
      <c r="ZF40" s="325"/>
      <c r="ZG40" s="325"/>
      <c r="ZH40" s="325"/>
      <c r="ZI40" s="325"/>
      <c r="ZJ40" s="325"/>
      <c r="ZK40" s="325"/>
      <c r="ZL40" s="325"/>
      <c r="ZM40" s="325"/>
      <c r="ZN40" s="325"/>
      <c r="ZO40" s="325"/>
      <c r="ZP40" s="325"/>
      <c r="ZQ40" s="325"/>
      <c r="ZR40" s="325"/>
      <c r="ZS40" s="325"/>
      <c r="ZT40" s="325"/>
      <c r="ZU40" s="325"/>
      <c r="ZV40" s="325"/>
      <c r="ZW40" s="325"/>
      <c r="ZX40" s="325"/>
      <c r="ZY40" s="325"/>
      <c r="ZZ40" s="325"/>
      <c r="AAA40" s="325"/>
      <c r="AAB40" s="325"/>
      <c r="AAC40" s="325"/>
      <c r="AAD40" s="325"/>
      <c r="AAE40" s="325"/>
      <c r="AAF40" s="325"/>
      <c r="AAG40" s="325"/>
      <c r="AAH40" s="325"/>
      <c r="AAI40" s="325"/>
      <c r="AAJ40" s="325"/>
      <c r="AAK40" s="325"/>
      <c r="AAL40" s="325"/>
      <c r="AAM40" s="325"/>
      <c r="AAN40" s="325"/>
      <c r="AAO40" s="325"/>
      <c r="AAP40" s="325"/>
      <c r="AAQ40" s="325"/>
      <c r="AAR40" s="325"/>
      <c r="AAS40" s="325"/>
      <c r="AAT40" s="325"/>
      <c r="AAU40" s="325"/>
      <c r="AAV40" s="325"/>
      <c r="AAW40" s="325"/>
      <c r="AAX40" s="325"/>
      <c r="AAY40" s="325"/>
      <c r="AAZ40" s="325"/>
      <c r="ABA40" s="325"/>
      <c r="ABB40" s="325"/>
      <c r="ABC40" s="325"/>
      <c r="ABD40" s="325"/>
      <c r="ABE40" s="325"/>
      <c r="ABF40" s="325"/>
      <c r="ABG40" s="325"/>
      <c r="ABH40" s="325"/>
      <c r="ABI40" s="325"/>
      <c r="ABJ40" s="325"/>
      <c r="ABK40" s="325"/>
      <c r="ABL40" s="325"/>
      <c r="ABM40" s="325"/>
      <c r="ABN40" s="325"/>
      <c r="ABO40" s="325"/>
      <c r="ABP40" s="325"/>
      <c r="ABQ40" s="325"/>
      <c r="ABR40" s="325"/>
      <c r="ABS40" s="325"/>
      <c r="ABT40" s="325"/>
      <c r="ABU40" s="325"/>
      <c r="ABV40" s="325"/>
      <c r="ABW40" s="325"/>
      <c r="ABX40" s="325"/>
      <c r="ABY40" s="325"/>
      <c r="ABZ40" s="325"/>
      <c r="ACA40" s="325"/>
      <c r="ACB40" s="325"/>
      <c r="ACC40" s="325"/>
      <c r="ACD40" s="325"/>
      <c r="ACE40" s="325"/>
      <c r="ACF40" s="325"/>
      <c r="ACG40" s="325"/>
      <c r="ACH40" s="325"/>
      <c r="ACI40" s="325"/>
      <c r="ACJ40" s="325"/>
      <c r="ACK40" s="325"/>
      <c r="ACL40" s="325"/>
      <c r="ACM40" s="325"/>
      <c r="ACN40" s="325"/>
      <c r="ACO40" s="325"/>
      <c r="ACP40" s="325"/>
      <c r="ACQ40" s="325"/>
      <c r="ACR40" s="325"/>
      <c r="ACS40" s="325"/>
      <c r="ACT40" s="325"/>
      <c r="ACU40" s="325"/>
      <c r="ACV40" s="325"/>
      <c r="ACW40" s="325"/>
      <c r="ACX40" s="325"/>
      <c r="ACY40" s="325"/>
      <c r="ACZ40" s="325"/>
      <c r="ADA40" s="325"/>
      <c r="ADB40" s="325"/>
      <c r="ADC40" s="325"/>
      <c r="ADD40" s="325"/>
      <c r="ADE40" s="325"/>
      <c r="ADF40" s="325"/>
      <c r="ADG40" s="325"/>
      <c r="ADH40" s="325"/>
      <c r="ADI40" s="325"/>
      <c r="ADJ40" s="325"/>
      <c r="ADK40" s="325"/>
      <c r="ADL40" s="325"/>
      <c r="ADM40" s="325"/>
      <c r="ADN40" s="325"/>
      <c r="ADO40" s="325"/>
      <c r="ADP40" s="325"/>
      <c r="ADQ40" s="325"/>
      <c r="ADR40" s="325"/>
      <c r="ADS40" s="325"/>
      <c r="ADT40" s="325"/>
      <c r="ADU40" s="325"/>
      <c r="ADV40" s="325"/>
      <c r="ADW40" s="325"/>
      <c r="ADX40" s="325"/>
      <c r="ADY40" s="325"/>
      <c r="ADZ40" s="325"/>
      <c r="AEA40" s="325"/>
      <c r="AEB40" s="325"/>
      <c r="AEC40" s="325"/>
      <c r="AED40" s="325"/>
      <c r="AEE40" s="325"/>
      <c r="AEF40" s="325"/>
      <c r="AEG40" s="325"/>
      <c r="AEH40" s="325"/>
      <c r="AEI40" s="325"/>
      <c r="AEJ40" s="325"/>
      <c r="AEK40" s="325"/>
      <c r="AEL40" s="325"/>
      <c r="AEM40" s="325"/>
      <c r="AEN40" s="325"/>
      <c r="AEO40" s="325"/>
      <c r="AEP40" s="325"/>
      <c r="AEQ40" s="325"/>
      <c r="AER40" s="325"/>
      <c r="AES40" s="325"/>
      <c r="AET40" s="325"/>
      <c r="AEU40" s="325"/>
      <c r="AEV40" s="325"/>
      <c r="AEW40" s="325"/>
      <c r="AEX40" s="325"/>
      <c r="AEY40" s="325"/>
      <c r="AEZ40" s="325"/>
      <c r="AFA40" s="325"/>
      <c r="AFB40" s="325"/>
      <c r="AFC40" s="325"/>
      <c r="AFD40" s="325"/>
      <c r="AFE40" s="325"/>
      <c r="AFF40" s="325"/>
      <c r="AFG40" s="325"/>
      <c r="AFH40" s="325"/>
      <c r="AFI40" s="325"/>
      <c r="AFJ40" s="325"/>
      <c r="AFK40" s="325"/>
      <c r="AFL40" s="325"/>
      <c r="AFM40" s="325"/>
      <c r="AFN40" s="325"/>
      <c r="AFO40" s="325"/>
      <c r="AFP40" s="325"/>
      <c r="AFQ40" s="325"/>
      <c r="AFR40" s="325"/>
      <c r="AFS40" s="325"/>
      <c r="AFT40" s="325"/>
      <c r="AFU40" s="325"/>
      <c r="AFV40" s="325"/>
      <c r="AFW40" s="325"/>
      <c r="AFX40" s="325"/>
      <c r="AFY40" s="325"/>
      <c r="AFZ40" s="325"/>
      <c r="AGA40" s="325"/>
      <c r="AGB40" s="325"/>
      <c r="AGC40" s="325"/>
      <c r="AGD40" s="325"/>
      <c r="AGE40" s="325"/>
      <c r="AGF40" s="325"/>
      <c r="AGG40" s="325"/>
      <c r="AGH40" s="325"/>
      <c r="AGI40" s="325"/>
      <c r="AGJ40" s="325"/>
      <c r="AGK40" s="325"/>
      <c r="AGL40" s="325"/>
      <c r="AGM40" s="325"/>
      <c r="AGN40" s="325"/>
      <c r="AGO40" s="325"/>
      <c r="AGP40" s="325"/>
      <c r="AGQ40" s="325"/>
      <c r="AGR40" s="325"/>
      <c r="AGS40" s="325"/>
      <c r="AGT40" s="325"/>
      <c r="AGU40" s="325"/>
      <c r="AGV40" s="325"/>
      <c r="AGW40" s="325"/>
      <c r="AGX40" s="325"/>
      <c r="AGY40" s="325"/>
      <c r="AGZ40" s="325"/>
      <c r="AHA40" s="325"/>
      <c r="AHB40" s="325"/>
      <c r="AHC40" s="325"/>
      <c r="AHD40" s="325"/>
      <c r="AHE40" s="325"/>
      <c r="AHF40" s="325"/>
      <c r="AHG40" s="325"/>
      <c r="AHH40" s="325"/>
      <c r="AHI40" s="325"/>
      <c r="AHJ40" s="325"/>
      <c r="AHK40" s="325"/>
      <c r="AHL40" s="325"/>
      <c r="AHM40" s="325"/>
      <c r="AHN40" s="325"/>
      <c r="AHO40" s="325"/>
      <c r="AHP40" s="325"/>
      <c r="AHQ40" s="325"/>
      <c r="AHR40" s="325"/>
      <c r="AHS40" s="325"/>
      <c r="AHT40" s="325"/>
      <c r="AHU40" s="325"/>
      <c r="AHV40" s="325"/>
      <c r="AHW40" s="325"/>
      <c r="AHX40" s="325"/>
      <c r="AHY40" s="325"/>
      <c r="AHZ40" s="325"/>
      <c r="AIA40" s="325"/>
      <c r="AIB40" s="325"/>
      <c r="AIC40" s="325"/>
      <c r="AID40" s="325"/>
      <c r="AIE40" s="325"/>
      <c r="AIF40" s="325"/>
      <c r="AIG40" s="325"/>
      <c r="AIH40" s="325"/>
      <c r="AII40" s="325"/>
      <c r="AIJ40" s="325"/>
      <c r="AIK40" s="325"/>
      <c r="AIL40" s="325"/>
      <c r="AIM40" s="325"/>
      <c r="AIN40" s="325"/>
      <c r="AIO40" s="325"/>
      <c r="AIP40" s="325"/>
      <c r="AIQ40" s="325"/>
      <c r="AIR40" s="325"/>
      <c r="AIS40" s="325"/>
      <c r="AIT40" s="325"/>
      <c r="AIU40" s="325"/>
      <c r="AIV40" s="325"/>
      <c r="AIW40" s="325"/>
      <c r="AIX40" s="325"/>
      <c r="AIY40" s="325"/>
      <c r="AIZ40" s="325"/>
      <c r="AJA40" s="325"/>
      <c r="AJB40" s="325"/>
      <c r="AJC40" s="325"/>
      <c r="AJD40" s="325"/>
      <c r="AJE40" s="325"/>
      <c r="AJF40" s="325"/>
      <c r="AJG40" s="325"/>
      <c r="AJH40" s="325"/>
      <c r="AJI40" s="325"/>
      <c r="AJJ40" s="325"/>
      <c r="AJK40" s="325"/>
      <c r="AJL40" s="325"/>
      <c r="AJM40" s="325"/>
      <c r="AJN40" s="325"/>
      <c r="AJO40" s="325"/>
      <c r="AJP40" s="325"/>
      <c r="AJQ40" s="325"/>
      <c r="AJR40" s="325"/>
      <c r="AJS40" s="325"/>
      <c r="AJT40" s="325"/>
      <c r="AJU40" s="325"/>
      <c r="AJV40" s="325"/>
      <c r="AJW40" s="325"/>
      <c r="AJX40" s="325"/>
      <c r="AJY40" s="325"/>
      <c r="AJZ40" s="325"/>
      <c r="AKA40" s="325"/>
      <c r="AKB40" s="325"/>
      <c r="AKC40" s="325"/>
      <c r="AKD40" s="325"/>
      <c r="AKE40" s="325"/>
      <c r="AKF40" s="325"/>
      <c r="AKG40" s="325"/>
      <c r="AKH40" s="325"/>
      <c r="AKI40" s="325"/>
      <c r="AKJ40" s="325"/>
      <c r="AKK40" s="325"/>
      <c r="AKL40" s="325"/>
      <c r="AKM40" s="325"/>
      <c r="AKN40" s="325"/>
      <c r="AKO40" s="325"/>
      <c r="AKP40" s="325"/>
      <c r="AKQ40" s="325"/>
      <c r="AKR40" s="325"/>
      <c r="AKS40" s="325"/>
      <c r="AKT40" s="325"/>
      <c r="AKU40" s="325"/>
      <c r="AKV40" s="325"/>
      <c r="AKW40" s="325"/>
      <c r="AKX40" s="325"/>
      <c r="AKY40" s="325"/>
      <c r="AKZ40" s="325"/>
      <c r="ALA40" s="325"/>
      <c r="ALB40" s="325"/>
      <c r="ALC40" s="325"/>
      <c r="ALD40" s="325"/>
      <c r="ALE40" s="325"/>
      <c r="ALF40" s="325"/>
      <c r="ALG40" s="325"/>
      <c r="ALH40" s="325"/>
      <c r="ALI40" s="325"/>
      <c r="ALJ40" s="325"/>
      <c r="ALK40" s="325"/>
      <c r="ALL40" s="325"/>
      <c r="ALM40" s="325"/>
      <c r="ALN40" s="325"/>
      <c r="ALO40" s="325"/>
      <c r="ALP40" s="325"/>
      <c r="ALQ40" s="325"/>
      <c r="ALR40" s="325"/>
      <c r="ALS40" s="325"/>
      <c r="ALT40" s="325"/>
      <c r="ALU40" s="325"/>
      <c r="ALV40" s="325"/>
      <c r="ALW40" s="325"/>
      <c r="ALX40" s="325"/>
      <c r="ALY40" s="325"/>
      <c r="ALZ40" s="325"/>
      <c r="AMA40" s="325"/>
      <c r="AMB40" s="325"/>
      <c r="AMC40" s="325"/>
    </row>
    <row r="41" spans="3:1017" s="75" customFormat="1">
      <c r="C41" s="130"/>
      <c r="D41" s="130"/>
      <c r="CN41" s="225"/>
      <c r="CQ41" s="226"/>
      <c r="LD41" s="213"/>
      <c r="LH41" s="286"/>
      <c r="LI41" s="287"/>
      <c r="LJ41" s="124"/>
      <c r="LK41" s="124"/>
      <c r="LL41" s="124"/>
      <c r="LM41" s="124"/>
      <c r="LN41" s="124"/>
      <c r="LO41" s="124"/>
      <c r="LP41" s="124"/>
      <c r="LQ41" s="124"/>
      <c r="LR41" s="124"/>
      <c r="NE41" s="330"/>
      <c r="NF41" s="325"/>
      <c r="NG41" s="325"/>
      <c r="NH41" s="325"/>
      <c r="NI41" s="325"/>
      <c r="NJ41" s="325"/>
      <c r="NK41" s="325"/>
      <c r="NL41" s="325"/>
      <c r="NM41" s="325"/>
      <c r="NN41" s="325"/>
      <c r="NO41" s="325"/>
      <c r="NP41" s="325"/>
      <c r="NQ41" s="325"/>
      <c r="NR41" s="325"/>
      <c r="NS41" s="325"/>
      <c r="NT41" s="325"/>
      <c r="NU41" s="325"/>
      <c r="NV41" s="325"/>
      <c r="NW41" s="325"/>
      <c r="NX41" s="325"/>
      <c r="NY41" s="325"/>
      <c r="NZ41" s="325"/>
      <c r="OA41" s="325"/>
      <c r="OB41" s="325"/>
      <c r="OC41" s="325"/>
      <c r="OD41" s="325"/>
      <c r="OE41" s="325"/>
      <c r="OF41" s="325"/>
      <c r="OG41" s="325"/>
      <c r="OH41" s="325"/>
      <c r="OI41" s="325"/>
      <c r="OJ41" s="325"/>
      <c r="OK41" s="325"/>
      <c r="OL41" s="325"/>
      <c r="OM41" s="325"/>
      <c r="ON41" s="325"/>
      <c r="OO41" s="325"/>
      <c r="OP41" s="325"/>
      <c r="OQ41" s="325"/>
      <c r="OR41" s="325"/>
      <c r="OS41" s="325"/>
      <c r="OT41" s="325"/>
      <c r="OU41" s="325"/>
      <c r="OV41" s="325"/>
      <c r="OW41" s="325"/>
      <c r="OX41" s="325"/>
      <c r="OY41" s="325"/>
      <c r="OZ41" s="325"/>
      <c r="PA41" s="325"/>
      <c r="PB41" s="325"/>
      <c r="PC41" s="325"/>
      <c r="PD41" s="325"/>
      <c r="PE41" s="325"/>
      <c r="PF41" s="325"/>
      <c r="PG41" s="325"/>
      <c r="PH41" s="325"/>
      <c r="PI41" s="325"/>
      <c r="PJ41" s="325"/>
      <c r="PK41" s="325"/>
      <c r="PL41" s="325"/>
      <c r="PM41" s="325"/>
      <c r="PN41" s="325"/>
      <c r="PO41" s="325"/>
      <c r="PP41" s="325"/>
      <c r="PQ41" s="325"/>
      <c r="PR41" s="325"/>
      <c r="PS41" s="325"/>
      <c r="PT41" s="325"/>
      <c r="PU41" s="325"/>
      <c r="PV41" s="325"/>
      <c r="PW41" s="325"/>
      <c r="PX41" s="325"/>
      <c r="PY41" s="325"/>
      <c r="PZ41" s="325"/>
      <c r="QA41" s="325"/>
      <c r="QB41" s="325"/>
      <c r="QC41" s="325"/>
      <c r="QD41" s="325"/>
      <c r="QE41" s="325"/>
      <c r="QF41" s="325"/>
      <c r="QG41" s="325"/>
      <c r="QH41" s="325"/>
      <c r="QI41" s="325"/>
      <c r="QJ41" s="325"/>
      <c r="QK41" s="325"/>
      <c r="QL41" s="325"/>
      <c r="QM41" s="325"/>
      <c r="QN41" s="325"/>
      <c r="QO41" s="325"/>
      <c r="QP41" s="325"/>
      <c r="QQ41" s="325"/>
      <c r="QR41" s="325"/>
      <c r="QS41" s="325"/>
      <c r="QT41" s="325"/>
      <c r="QU41" s="325"/>
      <c r="QV41" s="325"/>
      <c r="QW41" s="325"/>
      <c r="QX41" s="325"/>
      <c r="QY41" s="325"/>
      <c r="QZ41" s="325"/>
      <c r="RA41" s="325"/>
      <c r="RB41" s="325"/>
      <c r="RC41" s="325"/>
      <c r="RD41" s="325"/>
      <c r="RE41" s="325"/>
      <c r="RF41" s="325"/>
      <c r="RG41" s="325"/>
      <c r="RH41" s="325"/>
      <c r="RI41" s="325"/>
      <c r="RJ41" s="325"/>
      <c r="RK41" s="325"/>
      <c r="RL41" s="325"/>
      <c r="RM41" s="325"/>
      <c r="RN41" s="325"/>
      <c r="RO41" s="325"/>
      <c r="RP41" s="325"/>
      <c r="RQ41" s="325"/>
      <c r="RR41" s="325"/>
      <c r="RS41" s="325"/>
      <c r="RT41" s="325"/>
      <c r="RU41" s="325"/>
      <c r="RV41" s="325"/>
      <c r="RW41" s="325"/>
      <c r="RX41" s="325"/>
      <c r="RY41" s="325"/>
      <c r="RZ41" s="325"/>
      <c r="SA41" s="325"/>
      <c r="SB41" s="325"/>
      <c r="SC41" s="325"/>
      <c r="SD41" s="325"/>
      <c r="SE41" s="325"/>
      <c r="SF41" s="325"/>
      <c r="SG41" s="325"/>
      <c r="SH41" s="325"/>
      <c r="SI41" s="325"/>
      <c r="SJ41" s="325"/>
      <c r="SK41" s="325"/>
      <c r="SL41" s="325"/>
      <c r="SM41" s="325"/>
      <c r="SN41" s="325"/>
      <c r="SO41" s="325"/>
      <c r="SP41" s="325"/>
      <c r="SQ41" s="325"/>
      <c r="SR41" s="325"/>
      <c r="SS41" s="325"/>
      <c r="ST41" s="325"/>
      <c r="SU41" s="325"/>
      <c r="SV41" s="325"/>
      <c r="SW41" s="325"/>
      <c r="SX41" s="325"/>
      <c r="SY41" s="325"/>
      <c r="SZ41" s="325"/>
      <c r="TA41" s="325"/>
      <c r="TB41" s="325"/>
      <c r="TC41" s="325"/>
      <c r="TD41" s="325"/>
      <c r="TE41" s="325"/>
      <c r="TF41" s="325"/>
      <c r="TG41" s="325"/>
      <c r="TH41" s="325"/>
      <c r="TI41" s="325"/>
      <c r="TJ41" s="325"/>
      <c r="TK41" s="325"/>
      <c r="TL41" s="325"/>
      <c r="TM41" s="325"/>
      <c r="TN41" s="325"/>
      <c r="TO41" s="325"/>
      <c r="TP41" s="325"/>
      <c r="TQ41" s="325"/>
      <c r="TR41" s="325"/>
      <c r="TS41" s="325"/>
      <c r="TT41" s="325"/>
      <c r="TU41" s="325"/>
      <c r="TV41" s="325"/>
      <c r="TW41" s="325"/>
      <c r="TX41" s="325"/>
      <c r="TY41" s="325"/>
      <c r="TZ41" s="325"/>
      <c r="UA41" s="325"/>
      <c r="UB41" s="325"/>
      <c r="UC41" s="325"/>
      <c r="UD41" s="325"/>
      <c r="UE41" s="325"/>
      <c r="UF41" s="325"/>
      <c r="UG41" s="325"/>
      <c r="UH41" s="325"/>
      <c r="UI41" s="325"/>
      <c r="UJ41" s="325"/>
      <c r="UK41" s="325"/>
      <c r="UL41" s="325"/>
      <c r="UM41" s="325"/>
      <c r="UN41" s="325"/>
      <c r="UO41" s="325"/>
      <c r="UP41" s="325"/>
      <c r="UQ41" s="325"/>
      <c r="UR41" s="325"/>
      <c r="US41" s="325"/>
      <c r="UT41" s="325"/>
      <c r="UU41" s="325"/>
      <c r="UV41" s="325"/>
      <c r="UW41" s="325"/>
      <c r="UX41" s="325"/>
      <c r="UY41" s="325"/>
      <c r="UZ41" s="325"/>
      <c r="VA41" s="325"/>
      <c r="VB41" s="325"/>
      <c r="VC41" s="325"/>
      <c r="VD41" s="325"/>
      <c r="VE41" s="325"/>
      <c r="VF41" s="325"/>
      <c r="VG41" s="325"/>
      <c r="VH41" s="325"/>
      <c r="VI41" s="325"/>
      <c r="VJ41" s="325"/>
      <c r="VK41" s="325"/>
      <c r="VL41" s="325"/>
      <c r="VM41" s="325"/>
      <c r="VN41" s="325"/>
      <c r="VO41" s="325"/>
      <c r="VP41" s="325"/>
      <c r="VQ41" s="325"/>
      <c r="VR41" s="325"/>
      <c r="VS41" s="325"/>
      <c r="VT41" s="325"/>
      <c r="VU41" s="325"/>
      <c r="VV41" s="325"/>
      <c r="VW41" s="325"/>
      <c r="VX41" s="325"/>
      <c r="VY41" s="325"/>
      <c r="VZ41" s="325"/>
      <c r="WA41" s="325"/>
      <c r="WB41" s="325"/>
      <c r="WC41" s="325"/>
      <c r="WD41" s="325"/>
      <c r="WE41" s="325"/>
      <c r="WF41" s="325"/>
      <c r="WG41" s="325"/>
      <c r="WH41" s="325"/>
      <c r="WI41" s="325"/>
      <c r="WJ41" s="325"/>
      <c r="WK41" s="325"/>
      <c r="WL41" s="325"/>
      <c r="WM41" s="325"/>
      <c r="WN41" s="325"/>
      <c r="WO41" s="325"/>
      <c r="WP41" s="325"/>
      <c r="WQ41" s="325"/>
      <c r="WR41" s="325"/>
      <c r="WS41" s="325"/>
      <c r="WT41" s="325"/>
      <c r="WU41" s="325"/>
      <c r="WV41" s="325"/>
      <c r="WW41" s="325"/>
      <c r="WX41" s="325"/>
      <c r="WY41" s="325"/>
      <c r="WZ41" s="325"/>
      <c r="XA41" s="325"/>
      <c r="XB41" s="325"/>
      <c r="XC41" s="325"/>
      <c r="XD41" s="325"/>
      <c r="XE41" s="325"/>
      <c r="XF41" s="325"/>
      <c r="XG41" s="325"/>
      <c r="XH41" s="325"/>
      <c r="XI41" s="325"/>
      <c r="XJ41" s="325"/>
      <c r="XK41" s="325"/>
      <c r="XL41" s="325"/>
      <c r="XM41" s="325"/>
      <c r="XN41" s="325"/>
      <c r="XO41" s="325"/>
      <c r="XP41" s="325"/>
      <c r="XQ41" s="325"/>
      <c r="XR41" s="325"/>
      <c r="XS41" s="325"/>
      <c r="XT41" s="325"/>
      <c r="XU41" s="325"/>
      <c r="XV41" s="325"/>
      <c r="XW41" s="325"/>
      <c r="XX41" s="325"/>
      <c r="XY41" s="325"/>
      <c r="XZ41" s="325"/>
      <c r="YA41" s="325"/>
      <c r="YB41" s="325"/>
      <c r="YC41" s="325"/>
      <c r="YD41" s="325"/>
      <c r="YE41" s="325"/>
      <c r="YF41" s="325"/>
      <c r="YG41" s="325"/>
      <c r="YH41" s="325"/>
      <c r="YI41" s="325"/>
      <c r="YJ41" s="325"/>
      <c r="YK41" s="325"/>
      <c r="YL41" s="325"/>
      <c r="YM41" s="325"/>
      <c r="YN41" s="325"/>
      <c r="YO41" s="325"/>
      <c r="YP41" s="325"/>
      <c r="YQ41" s="325"/>
      <c r="YR41" s="325"/>
      <c r="YS41" s="325"/>
      <c r="YT41" s="325"/>
      <c r="YU41" s="325"/>
      <c r="YV41" s="325"/>
      <c r="YW41" s="325"/>
      <c r="YX41" s="325"/>
      <c r="YY41" s="325"/>
      <c r="YZ41" s="325"/>
      <c r="ZA41" s="325"/>
      <c r="ZB41" s="325"/>
      <c r="ZC41" s="325"/>
      <c r="ZD41" s="325"/>
      <c r="ZE41" s="325"/>
      <c r="ZF41" s="325"/>
      <c r="ZG41" s="325"/>
      <c r="ZH41" s="325"/>
      <c r="ZI41" s="325"/>
      <c r="ZJ41" s="325"/>
      <c r="ZK41" s="325"/>
      <c r="ZL41" s="325"/>
      <c r="ZM41" s="325"/>
      <c r="ZN41" s="325"/>
      <c r="ZO41" s="325"/>
      <c r="ZP41" s="325"/>
      <c r="ZQ41" s="325"/>
      <c r="ZR41" s="325"/>
      <c r="ZS41" s="325"/>
      <c r="ZT41" s="325"/>
      <c r="ZU41" s="325"/>
      <c r="ZV41" s="325"/>
      <c r="ZW41" s="325"/>
      <c r="ZX41" s="325"/>
      <c r="ZY41" s="325"/>
      <c r="ZZ41" s="325"/>
      <c r="AAA41" s="325"/>
      <c r="AAB41" s="325"/>
      <c r="AAC41" s="325"/>
      <c r="AAD41" s="325"/>
      <c r="AAE41" s="325"/>
      <c r="AAF41" s="325"/>
      <c r="AAG41" s="325"/>
      <c r="AAH41" s="325"/>
      <c r="AAI41" s="325"/>
      <c r="AAJ41" s="325"/>
      <c r="AAK41" s="325"/>
      <c r="AAL41" s="325"/>
      <c r="AAM41" s="325"/>
      <c r="AAN41" s="325"/>
      <c r="AAO41" s="325"/>
      <c r="AAP41" s="325"/>
      <c r="AAQ41" s="325"/>
      <c r="AAR41" s="325"/>
      <c r="AAS41" s="325"/>
      <c r="AAT41" s="325"/>
      <c r="AAU41" s="325"/>
      <c r="AAV41" s="325"/>
      <c r="AAW41" s="325"/>
      <c r="AAX41" s="325"/>
      <c r="AAY41" s="325"/>
      <c r="AAZ41" s="325"/>
      <c r="ABA41" s="325"/>
      <c r="ABB41" s="325"/>
      <c r="ABC41" s="325"/>
      <c r="ABD41" s="325"/>
      <c r="ABE41" s="325"/>
      <c r="ABF41" s="325"/>
      <c r="ABG41" s="325"/>
      <c r="ABH41" s="325"/>
      <c r="ABI41" s="325"/>
      <c r="ABJ41" s="325"/>
      <c r="ABK41" s="325"/>
      <c r="ABL41" s="325"/>
      <c r="ABM41" s="325"/>
      <c r="ABN41" s="325"/>
      <c r="ABO41" s="325"/>
      <c r="ABP41" s="325"/>
      <c r="ABQ41" s="325"/>
      <c r="ABR41" s="325"/>
      <c r="ABS41" s="325"/>
      <c r="ABT41" s="325"/>
      <c r="ABU41" s="325"/>
      <c r="ABV41" s="325"/>
      <c r="ABW41" s="325"/>
      <c r="ABX41" s="325"/>
      <c r="ABY41" s="325"/>
      <c r="ABZ41" s="325"/>
      <c r="ACA41" s="325"/>
      <c r="ACB41" s="325"/>
      <c r="ACC41" s="325"/>
      <c r="ACD41" s="325"/>
      <c r="ACE41" s="325"/>
      <c r="ACF41" s="325"/>
      <c r="ACG41" s="325"/>
      <c r="ACH41" s="325"/>
      <c r="ACI41" s="325"/>
      <c r="ACJ41" s="325"/>
      <c r="ACK41" s="325"/>
      <c r="ACL41" s="325"/>
      <c r="ACM41" s="325"/>
      <c r="ACN41" s="325"/>
      <c r="ACO41" s="325"/>
      <c r="ACP41" s="325"/>
      <c r="ACQ41" s="325"/>
      <c r="ACR41" s="325"/>
      <c r="ACS41" s="325"/>
      <c r="ACT41" s="325"/>
      <c r="ACU41" s="325"/>
      <c r="ACV41" s="325"/>
      <c r="ACW41" s="325"/>
      <c r="ACX41" s="325"/>
      <c r="ACY41" s="325"/>
      <c r="ACZ41" s="325"/>
      <c r="ADA41" s="325"/>
      <c r="ADB41" s="325"/>
      <c r="ADC41" s="325"/>
      <c r="ADD41" s="325"/>
      <c r="ADE41" s="325"/>
      <c r="ADF41" s="325"/>
      <c r="ADG41" s="325"/>
      <c r="ADH41" s="325"/>
      <c r="ADI41" s="325"/>
      <c r="ADJ41" s="325"/>
      <c r="ADK41" s="325"/>
      <c r="ADL41" s="325"/>
      <c r="ADM41" s="325"/>
      <c r="ADN41" s="325"/>
      <c r="ADO41" s="325"/>
      <c r="ADP41" s="325"/>
      <c r="ADQ41" s="325"/>
      <c r="ADR41" s="325"/>
      <c r="ADS41" s="325"/>
      <c r="ADT41" s="325"/>
      <c r="ADU41" s="325"/>
      <c r="ADV41" s="325"/>
      <c r="ADW41" s="325"/>
      <c r="ADX41" s="325"/>
      <c r="ADY41" s="325"/>
      <c r="ADZ41" s="325"/>
      <c r="AEA41" s="325"/>
      <c r="AEB41" s="325"/>
      <c r="AEC41" s="325"/>
      <c r="AED41" s="325"/>
      <c r="AEE41" s="325"/>
      <c r="AEF41" s="325"/>
      <c r="AEG41" s="325"/>
      <c r="AEH41" s="325"/>
      <c r="AEI41" s="325"/>
      <c r="AEJ41" s="325"/>
      <c r="AEK41" s="325"/>
      <c r="AEL41" s="325"/>
      <c r="AEM41" s="325"/>
      <c r="AEN41" s="325"/>
      <c r="AEO41" s="325"/>
      <c r="AEP41" s="325"/>
      <c r="AEQ41" s="325"/>
      <c r="AER41" s="325"/>
      <c r="AES41" s="325"/>
      <c r="AET41" s="325"/>
      <c r="AEU41" s="325"/>
      <c r="AEV41" s="325"/>
      <c r="AEW41" s="325"/>
      <c r="AEX41" s="325"/>
      <c r="AEY41" s="325"/>
      <c r="AEZ41" s="325"/>
      <c r="AFA41" s="325"/>
      <c r="AFB41" s="325"/>
      <c r="AFC41" s="325"/>
      <c r="AFD41" s="325"/>
      <c r="AFE41" s="325"/>
      <c r="AFF41" s="325"/>
      <c r="AFG41" s="325"/>
      <c r="AFH41" s="325"/>
      <c r="AFI41" s="325"/>
      <c r="AFJ41" s="325"/>
      <c r="AFK41" s="325"/>
      <c r="AFL41" s="325"/>
      <c r="AFM41" s="325"/>
      <c r="AFN41" s="325"/>
      <c r="AFO41" s="325"/>
      <c r="AFP41" s="325"/>
      <c r="AFQ41" s="325"/>
      <c r="AFR41" s="325"/>
      <c r="AFS41" s="325"/>
      <c r="AFT41" s="325"/>
      <c r="AFU41" s="325"/>
      <c r="AFV41" s="325"/>
      <c r="AFW41" s="325"/>
      <c r="AFX41" s="325"/>
      <c r="AFY41" s="325"/>
      <c r="AFZ41" s="325"/>
      <c r="AGA41" s="325"/>
      <c r="AGB41" s="325"/>
      <c r="AGC41" s="325"/>
      <c r="AGD41" s="325"/>
      <c r="AGE41" s="325"/>
      <c r="AGF41" s="325"/>
      <c r="AGG41" s="325"/>
      <c r="AGH41" s="325"/>
      <c r="AGI41" s="325"/>
      <c r="AGJ41" s="325"/>
      <c r="AGK41" s="325"/>
      <c r="AGL41" s="325"/>
      <c r="AGM41" s="325"/>
      <c r="AGN41" s="325"/>
      <c r="AGO41" s="325"/>
      <c r="AGP41" s="325"/>
      <c r="AGQ41" s="325"/>
      <c r="AGR41" s="325"/>
      <c r="AGS41" s="325"/>
      <c r="AGT41" s="325"/>
      <c r="AGU41" s="325"/>
      <c r="AGV41" s="325"/>
      <c r="AGW41" s="325"/>
      <c r="AGX41" s="325"/>
      <c r="AGY41" s="325"/>
      <c r="AGZ41" s="325"/>
      <c r="AHA41" s="325"/>
      <c r="AHB41" s="325"/>
      <c r="AHC41" s="325"/>
      <c r="AHD41" s="325"/>
      <c r="AHE41" s="325"/>
      <c r="AHF41" s="325"/>
      <c r="AHG41" s="325"/>
      <c r="AHH41" s="325"/>
      <c r="AHI41" s="325"/>
      <c r="AHJ41" s="325"/>
      <c r="AHK41" s="325"/>
      <c r="AHL41" s="325"/>
      <c r="AHM41" s="325"/>
      <c r="AHN41" s="325"/>
      <c r="AHO41" s="325"/>
      <c r="AHP41" s="325"/>
      <c r="AHQ41" s="325"/>
      <c r="AHR41" s="325"/>
      <c r="AHS41" s="325"/>
      <c r="AHT41" s="325"/>
      <c r="AHU41" s="325"/>
      <c r="AHV41" s="325"/>
      <c r="AHW41" s="325"/>
      <c r="AHX41" s="325"/>
      <c r="AHY41" s="325"/>
      <c r="AHZ41" s="325"/>
      <c r="AIA41" s="325"/>
      <c r="AIB41" s="325"/>
      <c r="AIC41" s="325"/>
      <c r="AID41" s="325"/>
      <c r="AIE41" s="325"/>
      <c r="AIF41" s="325"/>
      <c r="AIG41" s="325"/>
      <c r="AIH41" s="325"/>
      <c r="AII41" s="325"/>
      <c r="AIJ41" s="325"/>
      <c r="AIK41" s="325"/>
      <c r="AIL41" s="325"/>
      <c r="AIM41" s="325"/>
      <c r="AIN41" s="325"/>
      <c r="AIO41" s="325"/>
      <c r="AIP41" s="325"/>
      <c r="AIQ41" s="325"/>
      <c r="AIR41" s="325"/>
      <c r="AIS41" s="325"/>
      <c r="AIT41" s="325"/>
      <c r="AIU41" s="325"/>
      <c r="AIV41" s="325"/>
      <c r="AIW41" s="325"/>
      <c r="AIX41" s="325"/>
      <c r="AIY41" s="325"/>
      <c r="AIZ41" s="325"/>
      <c r="AJA41" s="325"/>
      <c r="AJB41" s="325"/>
      <c r="AJC41" s="325"/>
      <c r="AJD41" s="325"/>
      <c r="AJE41" s="325"/>
      <c r="AJF41" s="325"/>
      <c r="AJG41" s="325"/>
      <c r="AJH41" s="325"/>
      <c r="AJI41" s="325"/>
      <c r="AJJ41" s="325"/>
      <c r="AJK41" s="325"/>
      <c r="AJL41" s="325"/>
      <c r="AJM41" s="325"/>
      <c r="AJN41" s="325"/>
      <c r="AJO41" s="325"/>
      <c r="AJP41" s="325"/>
      <c r="AJQ41" s="325"/>
      <c r="AJR41" s="325"/>
      <c r="AJS41" s="325"/>
      <c r="AJT41" s="325"/>
      <c r="AJU41" s="325"/>
      <c r="AJV41" s="325"/>
      <c r="AJW41" s="325"/>
      <c r="AJX41" s="325"/>
      <c r="AJY41" s="325"/>
      <c r="AJZ41" s="325"/>
      <c r="AKA41" s="325"/>
      <c r="AKB41" s="325"/>
      <c r="AKC41" s="325"/>
      <c r="AKD41" s="325"/>
      <c r="AKE41" s="325"/>
      <c r="AKF41" s="325"/>
      <c r="AKG41" s="325"/>
      <c r="AKH41" s="325"/>
      <c r="AKI41" s="325"/>
      <c r="AKJ41" s="325"/>
      <c r="AKK41" s="325"/>
      <c r="AKL41" s="325"/>
      <c r="AKM41" s="325"/>
      <c r="AKN41" s="325"/>
      <c r="AKO41" s="325"/>
      <c r="AKP41" s="325"/>
      <c r="AKQ41" s="325"/>
      <c r="AKR41" s="325"/>
      <c r="AKS41" s="325"/>
      <c r="AKT41" s="325"/>
      <c r="AKU41" s="325"/>
      <c r="AKV41" s="325"/>
      <c r="AKW41" s="325"/>
      <c r="AKX41" s="325"/>
      <c r="AKY41" s="325"/>
      <c r="AKZ41" s="325"/>
      <c r="ALA41" s="325"/>
      <c r="ALB41" s="325"/>
      <c r="ALC41" s="325"/>
      <c r="ALD41" s="325"/>
      <c r="ALE41" s="325"/>
      <c r="ALF41" s="325"/>
      <c r="ALG41" s="325"/>
      <c r="ALH41" s="325"/>
      <c r="ALI41" s="325"/>
      <c r="ALJ41" s="325"/>
      <c r="ALK41" s="325"/>
      <c r="ALL41" s="325"/>
      <c r="ALM41" s="325"/>
      <c r="ALN41" s="325"/>
      <c r="ALO41" s="325"/>
      <c r="ALP41" s="325"/>
      <c r="ALQ41" s="325"/>
      <c r="ALR41" s="325"/>
      <c r="ALS41" s="325"/>
      <c r="ALT41" s="325"/>
      <c r="ALU41" s="325"/>
      <c r="ALV41" s="325"/>
      <c r="ALW41" s="325"/>
      <c r="ALX41" s="325"/>
      <c r="ALY41" s="325"/>
      <c r="ALZ41" s="325"/>
      <c r="AMA41" s="325"/>
      <c r="AMB41" s="325"/>
      <c r="AMC41" s="325"/>
    </row>
    <row r="42" spans="3:1017" s="75" customFormat="1">
      <c r="C42" s="130"/>
      <c r="D42" s="130"/>
      <c r="CN42" s="225"/>
      <c r="CQ42" s="226"/>
      <c r="LD42" s="213"/>
      <c r="LH42" s="286"/>
      <c r="LI42" s="287"/>
      <c r="LJ42" s="124"/>
      <c r="LK42" s="124"/>
      <c r="LL42" s="124"/>
      <c r="LM42" s="124"/>
      <c r="LN42" s="124"/>
      <c r="LO42" s="124"/>
      <c r="LP42" s="124"/>
      <c r="LQ42" s="124"/>
      <c r="LR42" s="124"/>
      <c r="NE42" s="330"/>
      <c r="NF42" s="325"/>
      <c r="NG42" s="325"/>
      <c r="NH42" s="325"/>
      <c r="NI42" s="325"/>
      <c r="NJ42" s="325"/>
      <c r="NK42" s="325"/>
      <c r="NL42" s="325"/>
      <c r="NM42" s="325"/>
      <c r="NN42" s="325"/>
      <c r="NO42" s="325"/>
      <c r="NP42" s="325"/>
      <c r="NQ42" s="325"/>
      <c r="NR42" s="325"/>
      <c r="NS42" s="325"/>
      <c r="NT42" s="325"/>
      <c r="NU42" s="325"/>
      <c r="NV42" s="325"/>
      <c r="NW42" s="325"/>
      <c r="NX42" s="325"/>
      <c r="NY42" s="325"/>
      <c r="NZ42" s="325"/>
      <c r="OA42" s="325"/>
      <c r="OB42" s="325"/>
      <c r="OC42" s="325"/>
      <c r="OD42" s="325"/>
      <c r="OE42" s="325"/>
      <c r="OF42" s="325"/>
      <c r="OG42" s="325"/>
      <c r="OH42" s="325"/>
      <c r="OI42" s="325"/>
      <c r="OJ42" s="325"/>
      <c r="OK42" s="325"/>
      <c r="OL42" s="325"/>
      <c r="OM42" s="325"/>
      <c r="ON42" s="325"/>
      <c r="OO42" s="325"/>
      <c r="OP42" s="325"/>
      <c r="OQ42" s="325"/>
      <c r="OR42" s="325"/>
      <c r="OS42" s="325"/>
      <c r="OT42" s="325"/>
      <c r="OU42" s="325"/>
      <c r="OV42" s="325"/>
      <c r="OW42" s="325"/>
      <c r="OX42" s="325"/>
      <c r="OY42" s="325"/>
      <c r="OZ42" s="325"/>
      <c r="PA42" s="325"/>
      <c r="PB42" s="325"/>
      <c r="PC42" s="325"/>
      <c r="PD42" s="325"/>
      <c r="PE42" s="325"/>
      <c r="PF42" s="325"/>
      <c r="PG42" s="325"/>
      <c r="PH42" s="325"/>
      <c r="PI42" s="325"/>
      <c r="PJ42" s="325"/>
      <c r="PK42" s="325"/>
      <c r="PL42" s="325"/>
      <c r="PM42" s="325"/>
      <c r="PN42" s="325"/>
      <c r="PO42" s="325"/>
      <c r="PP42" s="325"/>
      <c r="PQ42" s="325"/>
      <c r="PR42" s="325"/>
      <c r="PS42" s="325"/>
      <c r="PT42" s="325"/>
      <c r="PU42" s="325"/>
      <c r="PV42" s="325"/>
      <c r="PW42" s="325"/>
      <c r="PX42" s="325"/>
      <c r="PY42" s="325"/>
      <c r="PZ42" s="325"/>
      <c r="QA42" s="325"/>
      <c r="QB42" s="325"/>
      <c r="QC42" s="325"/>
      <c r="QD42" s="325"/>
      <c r="QE42" s="325"/>
      <c r="QF42" s="325"/>
      <c r="QG42" s="325"/>
      <c r="QH42" s="325"/>
      <c r="QI42" s="325"/>
      <c r="QJ42" s="325"/>
      <c r="QK42" s="325"/>
      <c r="QL42" s="325"/>
      <c r="QM42" s="325"/>
      <c r="QN42" s="325"/>
      <c r="QO42" s="325"/>
      <c r="QP42" s="325"/>
      <c r="QQ42" s="325"/>
      <c r="QR42" s="325"/>
      <c r="QS42" s="325"/>
      <c r="QT42" s="325"/>
      <c r="QU42" s="325"/>
      <c r="QV42" s="325"/>
      <c r="QW42" s="325"/>
      <c r="QX42" s="325"/>
      <c r="QY42" s="325"/>
      <c r="QZ42" s="325"/>
      <c r="RA42" s="325"/>
      <c r="RB42" s="325"/>
      <c r="RC42" s="325"/>
      <c r="RD42" s="325"/>
      <c r="RE42" s="325"/>
      <c r="RF42" s="325"/>
      <c r="RG42" s="325"/>
      <c r="RH42" s="325"/>
      <c r="RI42" s="325"/>
      <c r="RJ42" s="325"/>
      <c r="RK42" s="325"/>
      <c r="RL42" s="325"/>
      <c r="RM42" s="325"/>
      <c r="RN42" s="325"/>
      <c r="RO42" s="325"/>
      <c r="RP42" s="325"/>
      <c r="RQ42" s="325"/>
      <c r="RR42" s="325"/>
      <c r="RS42" s="325"/>
      <c r="RT42" s="325"/>
      <c r="RU42" s="325"/>
      <c r="RV42" s="325"/>
      <c r="RW42" s="325"/>
      <c r="RX42" s="325"/>
      <c r="RY42" s="325"/>
      <c r="RZ42" s="325"/>
      <c r="SA42" s="325"/>
      <c r="SB42" s="325"/>
      <c r="SC42" s="325"/>
      <c r="SD42" s="325"/>
      <c r="SE42" s="325"/>
      <c r="SF42" s="325"/>
      <c r="SG42" s="325"/>
      <c r="SH42" s="325"/>
      <c r="SI42" s="325"/>
      <c r="SJ42" s="325"/>
      <c r="SK42" s="325"/>
      <c r="SL42" s="325"/>
      <c r="SM42" s="325"/>
      <c r="SN42" s="325"/>
      <c r="SO42" s="325"/>
      <c r="SP42" s="325"/>
      <c r="SQ42" s="325"/>
      <c r="SR42" s="325"/>
      <c r="SS42" s="325"/>
      <c r="ST42" s="325"/>
      <c r="SU42" s="325"/>
      <c r="SV42" s="325"/>
      <c r="SW42" s="325"/>
      <c r="SX42" s="325"/>
      <c r="SY42" s="325"/>
      <c r="SZ42" s="325"/>
      <c r="TA42" s="325"/>
      <c r="TB42" s="325"/>
      <c r="TC42" s="325"/>
      <c r="TD42" s="325"/>
      <c r="TE42" s="325"/>
      <c r="TF42" s="325"/>
      <c r="TG42" s="325"/>
      <c r="TH42" s="325"/>
      <c r="TI42" s="325"/>
      <c r="TJ42" s="325"/>
      <c r="TK42" s="325"/>
      <c r="TL42" s="325"/>
      <c r="TM42" s="325"/>
      <c r="TN42" s="325"/>
      <c r="TO42" s="325"/>
      <c r="TP42" s="325"/>
      <c r="TQ42" s="325"/>
      <c r="TR42" s="325"/>
      <c r="TS42" s="325"/>
      <c r="TT42" s="325"/>
      <c r="TU42" s="325"/>
      <c r="TV42" s="325"/>
      <c r="TW42" s="325"/>
      <c r="TX42" s="325"/>
      <c r="TY42" s="325"/>
      <c r="TZ42" s="325"/>
      <c r="UA42" s="325"/>
      <c r="UB42" s="325"/>
      <c r="UC42" s="325"/>
      <c r="UD42" s="325"/>
      <c r="UE42" s="325"/>
      <c r="UF42" s="325"/>
      <c r="UG42" s="325"/>
      <c r="UH42" s="325"/>
      <c r="UI42" s="325"/>
      <c r="UJ42" s="325"/>
      <c r="UK42" s="325"/>
      <c r="UL42" s="325"/>
      <c r="UM42" s="325"/>
      <c r="UN42" s="325"/>
      <c r="UO42" s="325"/>
      <c r="UP42" s="325"/>
      <c r="UQ42" s="325"/>
      <c r="UR42" s="325"/>
      <c r="US42" s="325"/>
      <c r="UT42" s="325"/>
      <c r="UU42" s="325"/>
      <c r="UV42" s="325"/>
      <c r="UW42" s="325"/>
      <c r="UX42" s="325"/>
      <c r="UY42" s="325"/>
      <c r="UZ42" s="325"/>
      <c r="VA42" s="325"/>
      <c r="VB42" s="325"/>
      <c r="VC42" s="325"/>
      <c r="VD42" s="325"/>
      <c r="VE42" s="325"/>
      <c r="VF42" s="325"/>
      <c r="VG42" s="325"/>
      <c r="VH42" s="325"/>
      <c r="VI42" s="325"/>
      <c r="VJ42" s="325"/>
      <c r="VK42" s="325"/>
      <c r="VL42" s="325"/>
      <c r="VM42" s="325"/>
      <c r="VN42" s="325"/>
      <c r="VO42" s="325"/>
      <c r="VP42" s="325"/>
      <c r="VQ42" s="325"/>
      <c r="VR42" s="325"/>
      <c r="VS42" s="325"/>
      <c r="VT42" s="325"/>
      <c r="VU42" s="325"/>
      <c r="VV42" s="325"/>
      <c r="VW42" s="325"/>
      <c r="VX42" s="325"/>
      <c r="VY42" s="325"/>
      <c r="VZ42" s="325"/>
      <c r="WA42" s="325"/>
      <c r="WB42" s="325"/>
      <c r="WC42" s="325"/>
      <c r="WD42" s="325"/>
      <c r="WE42" s="325"/>
      <c r="WF42" s="325"/>
      <c r="WG42" s="325"/>
      <c r="WH42" s="325"/>
      <c r="WI42" s="325"/>
      <c r="WJ42" s="325"/>
      <c r="WK42" s="325"/>
      <c r="WL42" s="325"/>
      <c r="WM42" s="325"/>
      <c r="WN42" s="325"/>
      <c r="WO42" s="325"/>
      <c r="WP42" s="325"/>
      <c r="WQ42" s="325"/>
      <c r="WR42" s="325"/>
      <c r="WS42" s="325"/>
      <c r="WT42" s="325"/>
      <c r="WU42" s="325"/>
      <c r="WV42" s="325"/>
      <c r="WW42" s="325"/>
      <c r="WX42" s="325"/>
      <c r="WY42" s="325"/>
      <c r="WZ42" s="325"/>
      <c r="XA42" s="325"/>
      <c r="XB42" s="325"/>
      <c r="XC42" s="325"/>
      <c r="XD42" s="325"/>
      <c r="XE42" s="325"/>
      <c r="XF42" s="325"/>
      <c r="XG42" s="325"/>
      <c r="XH42" s="325"/>
      <c r="XI42" s="325"/>
      <c r="XJ42" s="325"/>
      <c r="XK42" s="325"/>
      <c r="XL42" s="325"/>
      <c r="XM42" s="325"/>
      <c r="XN42" s="325"/>
      <c r="XO42" s="325"/>
      <c r="XP42" s="325"/>
      <c r="XQ42" s="325"/>
      <c r="XR42" s="325"/>
      <c r="XS42" s="325"/>
      <c r="XT42" s="325"/>
      <c r="XU42" s="325"/>
      <c r="XV42" s="325"/>
      <c r="XW42" s="325"/>
      <c r="XX42" s="325"/>
      <c r="XY42" s="325"/>
      <c r="XZ42" s="325"/>
      <c r="YA42" s="325"/>
      <c r="YB42" s="325"/>
      <c r="YC42" s="325"/>
      <c r="YD42" s="325"/>
      <c r="YE42" s="325"/>
      <c r="YF42" s="325"/>
      <c r="YG42" s="325"/>
      <c r="YH42" s="325"/>
      <c r="YI42" s="325"/>
      <c r="YJ42" s="325"/>
      <c r="YK42" s="325"/>
      <c r="YL42" s="325"/>
      <c r="YM42" s="325"/>
      <c r="YN42" s="325"/>
      <c r="YO42" s="325"/>
      <c r="YP42" s="325"/>
      <c r="YQ42" s="325"/>
      <c r="YR42" s="325"/>
      <c r="YS42" s="325"/>
      <c r="YT42" s="325"/>
      <c r="YU42" s="325"/>
      <c r="YV42" s="325"/>
      <c r="YW42" s="325"/>
      <c r="YX42" s="325"/>
      <c r="YY42" s="325"/>
      <c r="YZ42" s="325"/>
      <c r="ZA42" s="325"/>
      <c r="ZB42" s="325"/>
      <c r="ZC42" s="325"/>
      <c r="ZD42" s="325"/>
      <c r="ZE42" s="325"/>
      <c r="ZF42" s="325"/>
      <c r="ZG42" s="325"/>
      <c r="ZH42" s="325"/>
      <c r="ZI42" s="325"/>
      <c r="ZJ42" s="325"/>
      <c r="ZK42" s="325"/>
      <c r="ZL42" s="325"/>
      <c r="ZM42" s="325"/>
      <c r="ZN42" s="325"/>
      <c r="ZO42" s="325"/>
      <c r="ZP42" s="325"/>
      <c r="ZQ42" s="325"/>
      <c r="ZR42" s="325"/>
      <c r="ZS42" s="325"/>
      <c r="ZT42" s="325"/>
      <c r="ZU42" s="325"/>
      <c r="ZV42" s="325"/>
      <c r="ZW42" s="325"/>
      <c r="ZX42" s="325"/>
      <c r="ZY42" s="325"/>
      <c r="ZZ42" s="325"/>
      <c r="AAA42" s="325"/>
      <c r="AAB42" s="325"/>
      <c r="AAC42" s="325"/>
      <c r="AAD42" s="325"/>
      <c r="AAE42" s="325"/>
      <c r="AAF42" s="325"/>
      <c r="AAG42" s="325"/>
      <c r="AAH42" s="325"/>
      <c r="AAI42" s="325"/>
      <c r="AAJ42" s="325"/>
      <c r="AAK42" s="325"/>
      <c r="AAL42" s="325"/>
      <c r="AAM42" s="325"/>
      <c r="AAN42" s="325"/>
      <c r="AAO42" s="325"/>
      <c r="AAP42" s="325"/>
      <c r="AAQ42" s="325"/>
      <c r="AAR42" s="325"/>
      <c r="AAS42" s="325"/>
      <c r="AAT42" s="325"/>
      <c r="AAU42" s="325"/>
      <c r="AAV42" s="325"/>
      <c r="AAW42" s="325"/>
      <c r="AAX42" s="325"/>
      <c r="AAY42" s="325"/>
      <c r="AAZ42" s="325"/>
      <c r="ABA42" s="325"/>
      <c r="ABB42" s="325"/>
      <c r="ABC42" s="325"/>
      <c r="ABD42" s="325"/>
      <c r="ABE42" s="325"/>
      <c r="ABF42" s="325"/>
      <c r="ABG42" s="325"/>
      <c r="ABH42" s="325"/>
      <c r="ABI42" s="325"/>
      <c r="ABJ42" s="325"/>
      <c r="ABK42" s="325"/>
      <c r="ABL42" s="325"/>
      <c r="ABM42" s="325"/>
      <c r="ABN42" s="325"/>
      <c r="ABO42" s="325"/>
      <c r="ABP42" s="325"/>
      <c r="ABQ42" s="325"/>
      <c r="ABR42" s="325"/>
      <c r="ABS42" s="325"/>
      <c r="ABT42" s="325"/>
      <c r="ABU42" s="325"/>
      <c r="ABV42" s="325"/>
      <c r="ABW42" s="325"/>
      <c r="ABX42" s="325"/>
      <c r="ABY42" s="325"/>
      <c r="ABZ42" s="325"/>
      <c r="ACA42" s="325"/>
      <c r="ACB42" s="325"/>
      <c r="ACC42" s="325"/>
      <c r="ACD42" s="325"/>
      <c r="ACE42" s="325"/>
      <c r="ACF42" s="325"/>
      <c r="ACG42" s="325"/>
      <c r="ACH42" s="325"/>
      <c r="ACI42" s="325"/>
      <c r="ACJ42" s="325"/>
      <c r="ACK42" s="325"/>
      <c r="ACL42" s="325"/>
      <c r="ACM42" s="325"/>
      <c r="ACN42" s="325"/>
      <c r="ACO42" s="325"/>
      <c r="ACP42" s="325"/>
      <c r="ACQ42" s="325"/>
      <c r="ACR42" s="325"/>
      <c r="ACS42" s="325"/>
      <c r="ACT42" s="325"/>
      <c r="ACU42" s="325"/>
      <c r="ACV42" s="325"/>
      <c r="ACW42" s="325"/>
      <c r="ACX42" s="325"/>
      <c r="ACY42" s="325"/>
      <c r="ACZ42" s="325"/>
      <c r="ADA42" s="325"/>
      <c r="ADB42" s="325"/>
      <c r="ADC42" s="325"/>
      <c r="ADD42" s="325"/>
      <c r="ADE42" s="325"/>
      <c r="ADF42" s="325"/>
      <c r="ADG42" s="325"/>
      <c r="ADH42" s="325"/>
      <c r="ADI42" s="325"/>
      <c r="ADJ42" s="325"/>
      <c r="ADK42" s="325"/>
      <c r="ADL42" s="325"/>
      <c r="ADM42" s="325"/>
      <c r="ADN42" s="325"/>
      <c r="ADO42" s="325"/>
      <c r="ADP42" s="325"/>
      <c r="ADQ42" s="325"/>
      <c r="ADR42" s="325"/>
      <c r="ADS42" s="325"/>
      <c r="ADT42" s="325"/>
      <c r="ADU42" s="325"/>
      <c r="ADV42" s="325"/>
      <c r="ADW42" s="325"/>
      <c r="ADX42" s="325"/>
      <c r="ADY42" s="325"/>
      <c r="ADZ42" s="325"/>
      <c r="AEA42" s="325"/>
      <c r="AEB42" s="325"/>
      <c r="AEC42" s="325"/>
      <c r="AED42" s="325"/>
      <c r="AEE42" s="325"/>
      <c r="AEF42" s="325"/>
      <c r="AEG42" s="325"/>
      <c r="AEH42" s="325"/>
      <c r="AEI42" s="325"/>
      <c r="AEJ42" s="325"/>
      <c r="AEK42" s="325"/>
      <c r="AEL42" s="325"/>
      <c r="AEM42" s="325"/>
      <c r="AEN42" s="325"/>
      <c r="AEO42" s="325"/>
      <c r="AEP42" s="325"/>
      <c r="AEQ42" s="325"/>
      <c r="AER42" s="325"/>
      <c r="AES42" s="325"/>
      <c r="AET42" s="325"/>
      <c r="AEU42" s="325"/>
      <c r="AEV42" s="325"/>
      <c r="AEW42" s="325"/>
      <c r="AEX42" s="325"/>
      <c r="AEY42" s="325"/>
      <c r="AEZ42" s="325"/>
      <c r="AFA42" s="325"/>
      <c r="AFB42" s="325"/>
      <c r="AFC42" s="325"/>
      <c r="AFD42" s="325"/>
      <c r="AFE42" s="325"/>
      <c r="AFF42" s="325"/>
      <c r="AFG42" s="325"/>
      <c r="AFH42" s="325"/>
      <c r="AFI42" s="325"/>
      <c r="AFJ42" s="325"/>
      <c r="AFK42" s="325"/>
      <c r="AFL42" s="325"/>
      <c r="AFM42" s="325"/>
      <c r="AFN42" s="325"/>
      <c r="AFO42" s="325"/>
      <c r="AFP42" s="325"/>
      <c r="AFQ42" s="325"/>
      <c r="AFR42" s="325"/>
      <c r="AFS42" s="325"/>
      <c r="AFT42" s="325"/>
      <c r="AFU42" s="325"/>
      <c r="AFV42" s="325"/>
      <c r="AFW42" s="325"/>
      <c r="AFX42" s="325"/>
      <c r="AFY42" s="325"/>
      <c r="AFZ42" s="325"/>
      <c r="AGA42" s="325"/>
      <c r="AGB42" s="325"/>
      <c r="AGC42" s="325"/>
      <c r="AGD42" s="325"/>
      <c r="AGE42" s="325"/>
      <c r="AGF42" s="325"/>
      <c r="AGG42" s="325"/>
      <c r="AGH42" s="325"/>
      <c r="AGI42" s="325"/>
      <c r="AGJ42" s="325"/>
      <c r="AGK42" s="325"/>
      <c r="AGL42" s="325"/>
      <c r="AGM42" s="325"/>
      <c r="AGN42" s="325"/>
      <c r="AGO42" s="325"/>
      <c r="AGP42" s="325"/>
      <c r="AGQ42" s="325"/>
      <c r="AGR42" s="325"/>
      <c r="AGS42" s="325"/>
      <c r="AGT42" s="325"/>
      <c r="AGU42" s="325"/>
      <c r="AGV42" s="325"/>
      <c r="AGW42" s="325"/>
      <c r="AGX42" s="325"/>
      <c r="AGY42" s="325"/>
      <c r="AGZ42" s="325"/>
      <c r="AHA42" s="325"/>
      <c r="AHB42" s="325"/>
      <c r="AHC42" s="325"/>
      <c r="AHD42" s="325"/>
      <c r="AHE42" s="325"/>
      <c r="AHF42" s="325"/>
      <c r="AHG42" s="325"/>
      <c r="AHH42" s="325"/>
      <c r="AHI42" s="325"/>
      <c r="AHJ42" s="325"/>
      <c r="AHK42" s="325"/>
      <c r="AHL42" s="325"/>
      <c r="AHM42" s="325"/>
      <c r="AHN42" s="325"/>
      <c r="AHO42" s="325"/>
      <c r="AHP42" s="325"/>
      <c r="AHQ42" s="325"/>
      <c r="AHR42" s="325"/>
      <c r="AHS42" s="325"/>
      <c r="AHT42" s="325"/>
      <c r="AHU42" s="325"/>
      <c r="AHV42" s="325"/>
      <c r="AHW42" s="325"/>
      <c r="AHX42" s="325"/>
      <c r="AHY42" s="325"/>
      <c r="AHZ42" s="325"/>
      <c r="AIA42" s="325"/>
      <c r="AIB42" s="325"/>
      <c r="AIC42" s="325"/>
      <c r="AID42" s="325"/>
      <c r="AIE42" s="325"/>
      <c r="AIF42" s="325"/>
      <c r="AIG42" s="325"/>
      <c r="AIH42" s="325"/>
      <c r="AII42" s="325"/>
      <c r="AIJ42" s="325"/>
      <c r="AIK42" s="325"/>
      <c r="AIL42" s="325"/>
      <c r="AIM42" s="325"/>
      <c r="AIN42" s="325"/>
      <c r="AIO42" s="325"/>
      <c r="AIP42" s="325"/>
      <c r="AIQ42" s="325"/>
      <c r="AIR42" s="325"/>
      <c r="AIS42" s="325"/>
      <c r="AIT42" s="325"/>
      <c r="AIU42" s="325"/>
      <c r="AIV42" s="325"/>
      <c r="AIW42" s="325"/>
      <c r="AIX42" s="325"/>
      <c r="AIY42" s="325"/>
      <c r="AIZ42" s="325"/>
      <c r="AJA42" s="325"/>
      <c r="AJB42" s="325"/>
      <c r="AJC42" s="325"/>
      <c r="AJD42" s="325"/>
      <c r="AJE42" s="325"/>
      <c r="AJF42" s="325"/>
      <c r="AJG42" s="325"/>
      <c r="AJH42" s="325"/>
      <c r="AJI42" s="325"/>
      <c r="AJJ42" s="325"/>
      <c r="AJK42" s="325"/>
      <c r="AJL42" s="325"/>
      <c r="AJM42" s="325"/>
      <c r="AJN42" s="325"/>
      <c r="AJO42" s="325"/>
      <c r="AJP42" s="325"/>
      <c r="AJQ42" s="325"/>
      <c r="AJR42" s="325"/>
      <c r="AJS42" s="325"/>
      <c r="AJT42" s="325"/>
      <c r="AJU42" s="325"/>
      <c r="AJV42" s="325"/>
      <c r="AJW42" s="325"/>
      <c r="AJX42" s="325"/>
      <c r="AJY42" s="325"/>
      <c r="AJZ42" s="325"/>
      <c r="AKA42" s="325"/>
      <c r="AKB42" s="325"/>
      <c r="AKC42" s="325"/>
      <c r="AKD42" s="325"/>
      <c r="AKE42" s="325"/>
      <c r="AKF42" s="325"/>
      <c r="AKG42" s="325"/>
      <c r="AKH42" s="325"/>
      <c r="AKI42" s="325"/>
      <c r="AKJ42" s="325"/>
      <c r="AKK42" s="325"/>
      <c r="AKL42" s="325"/>
      <c r="AKM42" s="325"/>
      <c r="AKN42" s="325"/>
      <c r="AKO42" s="325"/>
      <c r="AKP42" s="325"/>
      <c r="AKQ42" s="325"/>
      <c r="AKR42" s="325"/>
      <c r="AKS42" s="325"/>
      <c r="AKT42" s="325"/>
      <c r="AKU42" s="325"/>
      <c r="AKV42" s="325"/>
      <c r="AKW42" s="325"/>
      <c r="AKX42" s="325"/>
      <c r="AKY42" s="325"/>
      <c r="AKZ42" s="325"/>
      <c r="ALA42" s="325"/>
      <c r="ALB42" s="325"/>
      <c r="ALC42" s="325"/>
      <c r="ALD42" s="325"/>
      <c r="ALE42" s="325"/>
      <c r="ALF42" s="325"/>
      <c r="ALG42" s="325"/>
      <c r="ALH42" s="325"/>
      <c r="ALI42" s="325"/>
      <c r="ALJ42" s="325"/>
      <c r="ALK42" s="325"/>
      <c r="ALL42" s="325"/>
      <c r="ALM42" s="325"/>
      <c r="ALN42" s="325"/>
      <c r="ALO42" s="325"/>
      <c r="ALP42" s="325"/>
      <c r="ALQ42" s="325"/>
      <c r="ALR42" s="325"/>
      <c r="ALS42" s="325"/>
      <c r="ALT42" s="325"/>
      <c r="ALU42" s="325"/>
      <c r="ALV42" s="325"/>
      <c r="ALW42" s="325"/>
      <c r="ALX42" s="325"/>
      <c r="ALY42" s="325"/>
      <c r="ALZ42" s="325"/>
      <c r="AMA42" s="325"/>
      <c r="AMB42" s="325"/>
      <c r="AMC42" s="325"/>
    </row>
    <row r="43" spans="3:1017" s="75" customFormat="1">
      <c r="C43" s="130"/>
      <c r="D43" s="130"/>
      <c r="CN43" s="225"/>
      <c r="CQ43" s="226"/>
      <c r="LD43" s="213"/>
      <c r="LH43" s="286"/>
      <c r="LI43" s="287"/>
      <c r="LJ43" s="124"/>
      <c r="LK43" s="124"/>
      <c r="LL43" s="124"/>
      <c r="LM43" s="124"/>
      <c r="LN43" s="124"/>
      <c r="LO43" s="124"/>
      <c r="LP43" s="124"/>
      <c r="LQ43" s="124"/>
      <c r="LR43" s="124"/>
      <c r="NE43" s="330"/>
      <c r="NF43" s="325"/>
      <c r="NG43" s="325"/>
      <c r="NH43" s="325"/>
      <c r="NI43" s="325"/>
      <c r="NJ43" s="325"/>
      <c r="NK43" s="325"/>
      <c r="NL43" s="325"/>
      <c r="NM43" s="325"/>
      <c r="NN43" s="325"/>
      <c r="NO43" s="325"/>
      <c r="NP43" s="325"/>
      <c r="NQ43" s="325"/>
      <c r="NR43" s="325"/>
      <c r="NS43" s="325"/>
      <c r="NT43" s="325"/>
      <c r="NU43" s="325"/>
      <c r="NV43" s="325"/>
      <c r="NW43" s="325"/>
      <c r="NX43" s="325"/>
      <c r="NY43" s="325"/>
      <c r="NZ43" s="325"/>
      <c r="OA43" s="325"/>
      <c r="OB43" s="325"/>
      <c r="OC43" s="325"/>
      <c r="OD43" s="325"/>
      <c r="OE43" s="325"/>
      <c r="OF43" s="325"/>
      <c r="OG43" s="325"/>
      <c r="OH43" s="325"/>
      <c r="OI43" s="325"/>
      <c r="OJ43" s="325"/>
      <c r="OK43" s="325"/>
      <c r="OL43" s="325"/>
      <c r="OM43" s="325"/>
      <c r="ON43" s="325"/>
      <c r="OO43" s="325"/>
      <c r="OP43" s="325"/>
      <c r="OQ43" s="325"/>
      <c r="OR43" s="325"/>
      <c r="OS43" s="325"/>
      <c r="OT43" s="325"/>
      <c r="OU43" s="325"/>
      <c r="OV43" s="325"/>
      <c r="OW43" s="325"/>
      <c r="OX43" s="325"/>
      <c r="OY43" s="325"/>
      <c r="OZ43" s="325"/>
      <c r="PA43" s="325"/>
      <c r="PB43" s="325"/>
      <c r="PC43" s="325"/>
      <c r="PD43" s="325"/>
      <c r="PE43" s="325"/>
      <c r="PF43" s="325"/>
      <c r="PG43" s="325"/>
      <c r="PH43" s="325"/>
      <c r="PI43" s="325"/>
      <c r="PJ43" s="325"/>
      <c r="PK43" s="325"/>
      <c r="PL43" s="325"/>
      <c r="PM43" s="325"/>
      <c r="PN43" s="325"/>
      <c r="PO43" s="325"/>
      <c r="PP43" s="325"/>
      <c r="PQ43" s="325"/>
      <c r="PR43" s="325"/>
      <c r="PS43" s="325"/>
      <c r="PT43" s="325"/>
      <c r="PU43" s="325"/>
      <c r="PV43" s="325"/>
      <c r="PW43" s="325"/>
      <c r="PX43" s="325"/>
      <c r="PY43" s="325"/>
      <c r="PZ43" s="325"/>
      <c r="QA43" s="325"/>
      <c r="QB43" s="325"/>
      <c r="QC43" s="325"/>
      <c r="QD43" s="325"/>
      <c r="QE43" s="325"/>
      <c r="QF43" s="325"/>
      <c r="QG43" s="325"/>
      <c r="QH43" s="325"/>
      <c r="QI43" s="325"/>
      <c r="QJ43" s="325"/>
      <c r="QK43" s="325"/>
      <c r="QL43" s="325"/>
      <c r="QM43" s="325"/>
      <c r="QN43" s="325"/>
      <c r="QO43" s="325"/>
      <c r="QP43" s="325"/>
      <c r="QQ43" s="325"/>
      <c r="QR43" s="325"/>
      <c r="QS43" s="325"/>
      <c r="QT43" s="325"/>
      <c r="QU43" s="325"/>
      <c r="QV43" s="325"/>
      <c r="QW43" s="325"/>
      <c r="QX43" s="325"/>
      <c r="QY43" s="325"/>
      <c r="QZ43" s="325"/>
      <c r="RA43" s="325"/>
      <c r="RB43" s="325"/>
      <c r="RC43" s="325"/>
      <c r="RD43" s="325"/>
      <c r="RE43" s="325"/>
      <c r="RF43" s="325"/>
      <c r="RG43" s="325"/>
      <c r="RH43" s="325"/>
      <c r="RI43" s="325"/>
      <c r="RJ43" s="325"/>
      <c r="RK43" s="325"/>
      <c r="RL43" s="325"/>
      <c r="RM43" s="325"/>
      <c r="RN43" s="325"/>
      <c r="RO43" s="325"/>
      <c r="RP43" s="325"/>
      <c r="RQ43" s="325"/>
      <c r="RR43" s="325"/>
      <c r="RS43" s="325"/>
      <c r="RT43" s="325"/>
      <c r="RU43" s="325"/>
      <c r="RV43" s="325"/>
      <c r="RW43" s="325"/>
      <c r="RX43" s="325"/>
      <c r="RY43" s="325"/>
      <c r="RZ43" s="325"/>
      <c r="SA43" s="325"/>
      <c r="SB43" s="325"/>
      <c r="SC43" s="325"/>
      <c r="SD43" s="325"/>
      <c r="SE43" s="325"/>
      <c r="SF43" s="325"/>
      <c r="SG43" s="325"/>
      <c r="SH43" s="325"/>
      <c r="SI43" s="325"/>
      <c r="SJ43" s="325"/>
      <c r="SK43" s="325"/>
      <c r="SL43" s="325"/>
      <c r="SM43" s="325"/>
      <c r="SN43" s="325"/>
      <c r="SO43" s="325"/>
      <c r="SP43" s="325"/>
      <c r="SQ43" s="325"/>
      <c r="SR43" s="325"/>
      <c r="SS43" s="325"/>
      <c r="ST43" s="325"/>
      <c r="SU43" s="325"/>
      <c r="SV43" s="325"/>
      <c r="SW43" s="325"/>
      <c r="SX43" s="325"/>
      <c r="SY43" s="325"/>
      <c r="SZ43" s="325"/>
      <c r="TA43" s="325"/>
      <c r="TB43" s="325"/>
      <c r="TC43" s="325"/>
      <c r="TD43" s="325"/>
      <c r="TE43" s="325"/>
      <c r="TF43" s="325"/>
      <c r="TG43" s="325"/>
      <c r="TH43" s="325"/>
      <c r="TI43" s="325"/>
      <c r="TJ43" s="325"/>
      <c r="TK43" s="325"/>
      <c r="TL43" s="325"/>
      <c r="TM43" s="325"/>
      <c r="TN43" s="325"/>
      <c r="TO43" s="325"/>
      <c r="TP43" s="325"/>
      <c r="TQ43" s="325"/>
      <c r="TR43" s="325"/>
      <c r="TS43" s="325"/>
      <c r="TT43" s="325"/>
      <c r="TU43" s="325"/>
      <c r="TV43" s="325"/>
      <c r="TW43" s="325"/>
      <c r="TX43" s="325"/>
      <c r="TY43" s="325"/>
      <c r="TZ43" s="325"/>
      <c r="UA43" s="325"/>
      <c r="UB43" s="325"/>
      <c r="UC43" s="325"/>
      <c r="UD43" s="325"/>
      <c r="UE43" s="325"/>
      <c r="UF43" s="325"/>
      <c r="UG43" s="325"/>
      <c r="UH43" s="325"/>
      <c r="UI43" s="325"/>
      <c r="UJ43" s="325"/>
      <c r="UK43" s="325"/>
      <c r="UL43" s="325"/>
      <c r="UM43" s="325"/>
      <c r="UN43" s="325"/>
      <c r="UO43" s="325"/>
      <c r="UP43" s="325"/>
      <c r="UQ43" s="325"/>
      <c r="UR43" s="325"/>
      <c r="US43" s="325"/>
      <c r="UT43" s="325"/>
      <c r="UU43" s="325"/>
      <c r="UV43" s="325"/>
      <c r="UW43" s="325"/>
      <c r="UX43" s="325"/>
      <c r="UY43" s="325"/>
      <c r="UZ43" s="325"/>
      <c r="VA43" s="325"/>
      <c r="VB43" s="325"/>
      <c r="VC43" s="325"/>
      <c r="VD43" s="325"/>
      <c r="VE43" s="325"/>
      <c r="VF43" s="325"/>
      <c r="VG43" s="325"/>
      <c r="VH43" s="325"/>
      <c r="VI43" s="325"/>
      <c r="VJ43" s="325"/>
      <c r="VK43" s="325"/>
      <c r="VL43" s="325"/>
      <c r="VM43" s="325"/>
      <c r="VN43" s="325"/>
      <c r="VO43" s="325"/>
      <c r="VP43" s="325"/>
      <c r="VQ43" s="325"/>
      <c r="VR43" s="325"/>
      <c r="VS43" s="325"/>
      <c r="VT43" s="325"/>
      <c r="VU43" s="325"/>
      <c r="VV43" s="325"/>
      <c r="VW43" s="325"/>
      <c r="VX43" s="325"/>
      <c r="VY43" s="325"/>
      <c r="VZ43" s="325"/>
      <c r="WA43" s="325"/>
      <c r="WB43" s="325"/>
      <c r="WC43" s="325"/>
      <c r="WD43" s="325"/>
      <c r="WE43" s="325"/>
      <c r="WF43" s="325"/>
      <c r="WG43" s="325"/>
      <c r="WH43" s="325"/>
      <c r="WI43" s="325"/>
      <c r="WJ43" s="325"/>
      <c r="WK43" s="325"/>
      <c r="WL43" s="325"/>
      <c r="WM43" s="325"/>
      <c r="WN43" s="325"/>
      <c r="WO43" s="325"/>
      <c r="WP43" s="325"/>
      <c r="WQ43" s="325"/>
      <c r="WR43" s="325"/>
      <c r="WS43" s="325"/>
      <c r="WT43" s="325"/>
      <c r="WU43" s="325"/>
      <c r="WV43" s="325"/>
      <c r="WW43" s="325"/>
      <c r="WX43" s="325"/>
      <c r="WY43" s="325"/>
      <c r="WZ43" s="325"/>
      <c r="XA43" s="325"/>
      <c r="XB43" s="325"/>
      <c r="XC43" s="325"/>
      <c r="XD43" s="325"/>
      <c r="XE43" s="325"/>
      <c r="XF43" s="325"/>
      <c r="XG43" s="325"/>
      <c r="XH43" s="325"/>
      <c r="XI43" s="325"/>
      <c r="XJ43" s="325"/>
      <c r="XK43" s="325"/>
      <c r="XL43" s="325"/>
      <c r="XM43" s="325"/>
      <c r="XN43" s="325"/>
      <c r="XO43" s="325"/>
      <c r="XP43" s="325"/>
      <c r="XQ43" s="325"/>
      <c r="XR43" s="325"/>
      <c r="XS43" s="325"/>
      <c r="XT43" s="325"/>
      <c r="XU43" s="325"/>
      <c r="XV43" s="325"/>
      <c r="XW43" s="325"/>
      <c r="XX43" s="325"/>
      <c r="XY43" s="325"/>
      <c r="XZ43" s="325"/>
      <c r="YA43" s="325"/>
      <c r="YB43" s="325"/>
      <c r="YC43" s="325"/>
      <c r="YD43" s="325"/>
      <c r="YE43" s="325"/>
      <c r="YF43" s="325"/>
      <c r="YG43" s="325"/>
      <c r="YH43" s="325"/>
      <c r="YI43" s="325"/>
      <c r="YJ43" s="325"/>
      <c r="YK43" s="325"/>
      <c r="YL43" s="325"/>
      <c r="YM43" s="325"/>
      <c r="YN43" s="325"/>
      <c r="YO43" s="325"/>
      <c r="YP43" s="325"/>
      <c r="YQ43" s="325"/>
      <c r="YR43" s="325"/>
      <c r="YS43" s="325"/>
      <c r="YT43" s="325"/>
      <c r="YU43" s="325"/>
      <c r="YV43" s="325"/>
      <c r="YW43" s="325"/>
      <c r="YX43" s="325"/>
      <c r="YY43" s="325"/>
      <c r="YZ43" s="325"/>
      <c r="ZA43" s="325"/>
      <c r="ZB43" s="325"/>
      <c r="ZC43" s="325"/>
      <c r="ZD43" s="325"/>
      <c r="ZE43" s="325"/>
      <c r="ZF43" s="325"/>
      <c r="ZG43" s="325"/>
      <c r="ZH43" s="325"/>
      <c r="ZI43" s="325"/>
      <c r="ZJ43" s="325"/>
      <c r="ZK43" s="325"/>
      <c r="ZL43" s="325"/>
      <c r="ZM43" s="325"/>
      <c r="ZN43" s="325"/>
      <c r="ZO43" s="325"/>
      <c r="ZP43" s="325"/>
      <c r="ZQ43" s="325"/>
      <c r="ZR43" s="325"/>
      <c r="ZS43" s="325"/>
      <c r="ZT43" s="325"/>
      <c r="ZU43" s="325"/>
      <c r="ZV43" s="325"/>
      <c r="ZW43" s="325"/>
      <c r="ZX43" s="325"/>
      <c r="ZY43" s="325"/>
      <c r="ZZ43" s="325"/>
      <c r="AAA43" s="325"/>
      <c r="AAB43" s="325"/>
      <c r="AAC43" s="325"/>
      <c r="AAD43" s="325"/>
      <c r="AAE43" s="325"/>
      <c r="AAF43" s="325"/>
      <c r="AAG43" s="325"/>
      <c r="AAH43" s="325"/>
      <c r="AAI43" s="325"/>
      <c r="AAJ43" s="325"/>
      <c r="AAK43" s="325"/>
      <c r="AAL43" s="325"/>
      <c r="AAM43" s="325"/>
      <c r="AAN43" s="325"/>
      <c r="AAO43" s="325"/>
      <c r="AAP43" s="325"/>
      <c r="AAQ43" s="325"/>
      <c r="AAR43" s="325"/>
      <c r="AAS43" s="325"/>
      <c r="AAT43" s="325"/>
      <c r="AAU43" s="325"/>
      <c r="AAV43" s="325"/>
      <c r="AAW43" s="325"/>
      <c r="AAX43" s="325"/>
      <c r="AAY43" s="325"/>
      <c r="AAZ43" s="325"/>
      <c r="ABA43" s="325"/>
      <c r="ABB43" s="325"/>
      <c r="ABC43" s="325"/>
      <c r="ABD43" s="325"/>
      <c r="ABE43" s="325"/>
      <c r="ABF43" s="325"/>
      <c r="ABG43" s="325"/>
      <c r="ABH43" s="325"/>
      <c r="ABI43" s="325"/>
      <c r="ABJ43" s="325"/>
      <c r="ABK43" s="325"/>
      <c r="ABL43" s="325"/>
      <c r="ABM43" s="325"/>
      <c r="ABN43" s="325"/>
      <c r="ABO43" s="325"/>
      <c r="ABP43" s="325"/>
      <c r="ABQ43" s="325"/>
      <c r="ABR43" s="325"/>
      <c r="ABS43" s="325"/>
      <c r="ABT43" s="325"/>
      <c r="ABU43" s="325"/>
      <c r="ABV43" s="325"/>
      <c r="ABW43" s="325"/>
      <c r="ABX43" s="325"/>
      <c r="ABY43" s="325"/>
      <c r="ABZ43" s="325"/>
      <c r="ACA43" s="325"/>
      <c r="ACB43" s="325"/>
      <c r="ACC43" s="325"/>
      <c r="ACD43" s="325"/>
      <c r="ACE43" s="325"/>
      <c r="ACF43" s="325"/>
      <c r="ACG43" s="325"/>
      <c r="ACH43" s="325"/>
      <c r="ACI43" s="325"/>
      <c r="ACJ43" s="325"/>
      <c r="ACK43" s="325"/>
      <c r="ACL43" s="325"/>
      <c r="ACM43" s="325"/>
      <c r="ACN43" s="325"/>
      <c r="ACO43" s="325"/>
      <c r="ACP43" s="325"/>
      <c r="ACQ43" s="325"/>
      <c r="ACR43" s="325"/>
      <c r="ACS43" s="325"/>
      <c r="ACT43" s="325"/>
      <c r="ACU43" s="325"/>
      <c r="ACV43" s="325"/>
      <c r="ACW43" s="325"/>
      <c r="ACX43" s="325"/>
      <c r="ACY43" s="325"/>
      <c r="ACZ43" s="325"/>
      <c r="ADA43" s="325"/>
      <c r="ADB43" s="325"/>
      <c r="ADC43" s="325"/>
      <c r="ADD43" s="325"/>
      <c r="ADE43" s="325"/>
      <c r="ADF43" s="325"/>
      <c r="ADG43" s="325"/>
      <c r="ADH43" s="325"/>
      <c r="ADI43" s="325"/>
      <c r="ADJ43" s="325"/>
      <c r="ADK43" s="325"/>
      <c r="ADL43" s="325"/>
      <c r="ADM43" s="325"/>
      <c r="ADN43" s="325"/>
      <c r="ADO43" s="325"/>
      <c r="ADP43" s="325"/>
      <c r="ADQ43" s="325"/>
      <c r="ADR43" s="325"/>
      <c r="ADS43" s="325"/>
      <c r="ADT43" s="325"/>
      <c r="ADU43" s="325"/>
      <c r="ADV43" s="325"/>
      <c r="ADW43" s="325"/>
      <c r="ADX43" s="325"/>
      <c r="ADY43" s="325"/>
      <c r="ADZ43" s="325"/>
      <c r="AEA43" s="325"/>
      <c r="AEB43" s="325"/>
      <c r="AEC43" s="325"/>
      <c r="AED43" s="325"/>
      <c r="AEE43" s="325"/>
      <c r="AEF43" s="325"/>
      <c r="AEG43" s="325"/>
      <c r="AEH43" s="325"/>
      <c r="AEI43" s="325"/>
      <c r="AEJ43" s="325"/>
      <c r="AEK43" s="325"/>
      <c r="AEL43" s="325"/>
      <c r="AEM43" s="325"/>
      <c r="AEN43" s="325"/>
      <c r="AEO43" s="325"/>
      <c r="AEP43" s="325"/>
      <c r="AEQ43" s="325"/>
      <c r="AER43" s="325"/>
      <c r="AES43" s="325"/>
      <c r="AET43" s="325"/>
      <c r="AEU43" s="325"/>
      <c r="AEV43" s="325"/>
      <c r="AEW43" s="325"/>
      <c r="AEX43" s="325"/>
      <c r="AEY43" s="325"/>
      <c r="AEZ43" s="325"/>
      <c r="AFA43" s="325"/>
      <c r="AFB43" s="325"/>
      <c r="AFC43" s="325"/>
      <c r="AFD43" s="325"/>
      <c r="AFE43" s="325"/>
      <c r="AFF43" s="325"/>
      <c r="AFG43" s="325"/>
      <c r="AFH43" s="325"/>
      <c r="AFI43" s="325"/>
      <c r="AFJ43" s="325"/>
      <c r="AFK43" s="325"/>
      <c r="AFL43" s="325"/>
      <c r="AFM43" s="325"/>
      <c r="AFN43" s="325"/>
      <c r="AFO43" s="325"/>
      <c r="AFP43" s="325"/>
      <c r="AFQ43" s="325"/>
      <c r="AFR43" s="325"/>
      <c r="AFS43" s="325"/>
      <c r="AFT43" s="325"/>
      <c r="AFU43" s="325"/>
      <c r="AFV43" s="325"/>
      <c r="AFW43" s="325"/>
      <c r="AFX43" s="325"/>
      <c r="AFY43" s="325"/>
      <c r="AFZ43" s="325"/>
      <c r="AGA43" s="325"/>
      <c r="AGB43" s="325"/>
      <c r="AGC43" s="325"/>
      <c r="AGD43" s="325"/>
      <c r="AGE43" s="325"/>
      <c r="AGF43" s="325"/>
      <c r="AGG43" s="325"/>
      <c r="AGH43" s="325"/>
      <c r="AGI43" s="325"/>
      <c r="AGJ43" s="325"/>
      <c r="AGK43" s="325"/>
      <c r="AGL43" s="325"/>
      <c r="AGM43" s="325"/>
      <c r="AGN43" s="325"/>
      <c r="AGO43" s="325"/>
      <c r="AGP43" s="325"/>
      <c r="AGQ43" s="325"/>
      <c r="AGR43" s="325"/>
      <c r="AGS43" s="325"/>
      <c r="AGT43" s="325"/>
      <c r="AGU43" s="325"/>
      <c r="AGV43" s="325"/>
      <c r="AGW43" s="325"/>
      <c r="AGX43" s="325"/>
      <c r="AGY43" s="325"/>
      <c r="AGZ43" s="325"/>
      <c r="AHA43" s="325"/>
      <c r="AHB43" s="325"/>
      <c r="AHC43" s="325"/>
      <c r="AHD43" s="325"/>
      <c r="AHE43" s="325"/>
      <c r="AHF43" s="325"/>
      <c r="AHG43" s="325"/>
      <c r="AHH43" s="325"/>
      <c r="AHI43" s="325"/>
      <c r="AHJ43" s="325"/>
      <c r="AHK43" s="325"/>
      <c r="AHL43" s="325"/>
      <c r="AHM43" s="325"/>
      <c r="AHN43" s="325"/>
      <c r="AHO43" s="325"/>
      <c r="AHP43" s="325"/>
      <c r="AHQ43" s="325"/>
      <c r="AHR43" s="325"/>
      <c r="AHS43" s="325"/>
      <c r="AHT43" s="325"/>
      <c r="AHU43" s="325"/>
      <c r="AHV43" s="325"/>
      <c r="AHW43" s="325"/>
      <c r="AHX43" s="325"/>
      <c r="AHY43" s="325"/>
      <c r="AHZ43" s="325"/>
      <c r="AIA43" s="325"/>
      <c r="AIB43" s="325"/>
      <c r="AIC43" s="325"/>
      <c r="AID43" s="325"/>
      <c r="AIE43" s="325"/>
      <c r="AIF43" s="325"/>
      <c r="AIG43" s="325"/>
      <c r="AIH43" s="325"/>
      <c r="AII43" s="325"/>
      <c r="AIJ43" s="325"/>
      <c r="AIK43" s="325"/>
      <c r="AIL43" s="325"/>
      <c r="AIM43" s="325"/>
      <c r="AIN43" s="325"/>
      <c r="AIO43" s="325"/>
      <c r="AIP43" s="325"/>
      <c r="AIQ43" s="325"/>
      <c r="AIR43" s="325"/>
      <c r="AIS43" s="325"/>
      <c r="AIT43" s="325"/>
      <c r="AIU43" s="325"/>
      <c r="AIV43" s="325"/>
      <c r="AIW43" s="325"/>
      <c r="AIX43" s="325"/>
      <c r="AIY43" s="325"/>
      <c r="AIZ43" s="325"/>
      <c r="AJA43" s="325"/>
      <c r="AJB43" s="325"/>
      <c r="AJC43" s="325"/>
      <c r="AJD43" s="325"/>
      <c r="AJE43" s="325"/>
      <c r="AJF43" s="325"/>
      <c r="AJG43" s="325"/>
      <c r="AJH43" s="325"/>
      <c r="AJI43" s="325"/>
      <c r="AJJ43" s="325"/>
      <c r="AJK43" s="325"/>
      <c r="AJL43" s="325"/>
      <c r="AJM43" s="325"/>
      <c r="AJN43" s="325"/>
      <c r="AJO43" s="325"/>
      <c r="AJP43" s="325"/>
      <c r="AJQ43" s="325"/>
      <c r="AJR43" s="325"/>
      <c r="AJS43" s="325"/>
      <c r="AJT43" s="325"/>
      <c r="AJU43" s="325"/>
      <c r="AJV43" s="325"/>
      <c r="AJW43" s="325"/>
      <c r="AJX43" s="325"/>
      <c r="AJY43" s="325"/>
      <c r="AJZ43" s="325"/>
      <c r="AKA43" s="325"/>
      <c r="AKB43" s="325"/>
      <c r="AKC43" s="325"/>
      <c r="AKD43" s="325"/>
      <c r="AKE43" s="325"/>
      <c r="AKF43" s="325"/>
      <c r="AKG43" s="325"/>
      <c r="AKH43" s="325"/>
      <c r="AKI43" s="325"/>
      <c r="AKJ43" s="325"/>
      <c r="AKK43" s="325"/>
      <c r="AKL43" s="325"/>
      <c r="AKM43" s="325"/>
      <c r="AKN43" s="325"/>
      <c r="AKO43" s="325"/>
      <c r="AKP43" s="325"/>
      <c r="AKQ43" s="325"/>
      <c r="AKR43" s="325"/>
      <c r="AKS43" s="325"/>
      <c r="AKT43" s="325"/>
      <c r="AKU43" s="325"/>
      <c r="AKV43" s="325"/>
      <c r="AKW43" s="325"/>
      <c r="AKX43" s="325"/>
      <c r="AKY43" s="325"/>
      <c r="AKZ43" s="325"/>
      <c r="ALA43" s="325"/>
      <c r="ALB43" s="325"/>
      <c r="ALC43" s="325"/>
      <c r="ALD43" s="325"/>
      <c r="ALE43" s="325"/>
      <c r="ALF43" s="325"/>
      <c r="ALG43" s="325"/>
      <c r="ALH43" s="325"/>
      <c r="ALI43" s="325"/>
      <c r="ALJ43" s="325"/>
      <c r="ALK43" s="325"/>
      <c r="ALL43" s="325"/>
      <c r="ALM43" s="325"/>
      <c r="ALN43" s="325"/>
      <c r="ALO43" s="325"/>
      <c r="ALP43" s="325"/>
      <c r="ALQ43" s="325"/>
      <c r="ALR43" s="325"/>
      <c r="ALS43" s="325"/>
      <c r="ALT43" s="325"/>
      <c r="ALU43" s="325"/>
      <c r="ALV43" s="325"/>
      <c r="ALW43" s="325"/>
      <c r="ALX43" s="325"/>
      <c r="ALY43" s="325"/>
      <c r="ALZ43" s="325"/>
      <c r="AMA43" s="325"/>
      <c r="AMB43" s="325"/>
      <c r="AMC43" s="325"/>
    </row>
    <row r="44" spans="3:1017" s="75" customFormat="1">
      <c r="C44" s="130"/>
      <c r="D44" s="130"/>
      <c r="CN44" s="225"/>
      <c r="CQ44" s="226"/>
      <c r="LD44" s="213"/>
      <c r="LH44" s="286"/>
      <c r="LI44" s="287"/>
      <c r="LJ44" s="124"/>
      <c r="LK44" s="124"/>
      <c r="LL44" s="124"/>
      <c r="LM44" s="124"/>
      <c r="LN44" s="124"/>
      <c r="LO44" s="124"/>
      <c r="LP44" s="124"/>
      <c r="LQ44" s="124"/>
      <c r="LR44" s="124"/>
      <c r="NE44" s="330"/>
      <c r="NF44" s="325"/>
      <c r="NG44" s="325"/>
      <c r="NH44" s="325"/>
      <c r="NI44" s="325"/>
      <c r="NJ44" s="325"/>
      <c r="NK44" s="325"/>
      <c r="NL44" s="325"/>
      <c r="NM44" s="325"/>
      <c r="NN44" s="325"/>
      <c r="NO44" s="325"/>
      <c r="NP44" s="325"/>
      <c r="NQ44" s="325"/>
      <c r="NR44" s="325"/>
      <c r="NS44" s="325"/>
      <c r="NT44" s="325"/>
      <c r="NU44" s="325"/>
      <c r="NV44" s="325"/>
      <c r="NW44" s="325"/>
      <c r="NX44" s="325"/>
      <c r="NY44" s="325"/>
      <c r="NZ44" s="325"/>
      <c r="OA44" s="325"/>
      <c r="OB44" s="325"/>
      <c r="OC44" s="325"/>
      <c r="OD44" s="325"/>
      <c r="OE44" s="325"/>
      <c r="OF44" s="325"/>
      <c r="OG44" s="325"/>
      <c r="OH44" s="325"/>
      <c r="OI44" s="325"/>
      <c r="OJ44" s="325"/>
      <c r="OK44" s="325"/>
      <c r="OL44" s="325"/>
      <c r="OM44" s="325"/>
      <c r="ON44" s="325"/>
      <c r="OO44" s="325"/>
      <c r="OP44" s="325"/>
      <c r="OQ44" s="325"/>
      <c r="OR44" s="325"/>
      <c r="OS44" s="325"/>
      <c r="OT44" s="325"/>
      <c r="OU44" s="325"/>
      <c r="OV44" s="325"/>
      <c r="OW44" s="325"/>
      <c r="OX44" s="325"/>
      <c r="OY44" s="325"/>
      <c r="OZ44" s="325"/>
      <c r="PA44" s="325"/>
      <c r="PB44" s="325"/>
      <c r="PC44" s="325"/>
      <c r="PD44" s="325"/>
      <c r="PE44" s="325"/>
      <c r="PF44" s="325"/>
      <c r="PG44" s="325"/>
      <c r="PH44" s="325"/>
      <c r="PI44" s="325"/>
      <c r="PJ44" s="325"/>
      <c r="PK44" s="325"/>
      <c r="PL44" s="325"/>
      <c r="PM44" s="325"/>
      <c r="PN44" s="325"/>
      <c r="PO44" s="325"/>
      <c r="PP44" s="325"/>
      <c r="PQ44" s="325"/>
      <c r="PR44" s="325"/>
      <c r="PS44" s="325"/>
      <c r="PT44" s="325"/>
      <c r="PU44" s="325"/>
      <c r="PV44" s="325"/>
      <c r="PW44" s="325"/>
      <c r="PX44" s="325"/>
      <c r="PY44" s="325"/>
      <c r="PZ44" s="325"/>
      <c r="QA44" s="325"/>
      <c r="QB44" s="325"/>
      <c r="QC44" s="325"/>
      <c r="QD44" s="325"/>
      <c r="QE44" s="325"/>
      <c r="QF44" s="325"/>
      <c r="QG44" s="325"/>
      <c r="QH44" s="325"/>
      <c r="QI44" s="325"/>
      <c r="QJ44" s="325"/>
      <c r="QK44" s="325"/>
      <c r="QL44" s="325"/>
      <c r="QM44" s="325"/>
      <c r="QN44" s="325"/>
      <c r="QO44" s="325"/>
      <c r="QP44" s="325"/>
      <c r="QQ44" s="325"/>
      <c r="QR44" s="325"/>
      <c r="QS44" s="325"/>
      <c r="QT44" s="325"/>
      <c r="QU44" s="325"/>
      <c r="QV44" s="325"/>
      <c r="QW44" s="325"/>
      <c r="QX44" s="325"/>
      <c r="QY44" s="325"/>
      <c r="QZ44" s="325"/>
      <c r="RA44" s="325"/>
      <c r="RB44" s="325"/>
      <c r="RC44" s="325"/>
      <c r="RD44" s="325"/>
      <c r="RE44" s="325"/>
      <c r="RF44" s="325"/>
      <c r="RG44" s="325"/>
      <c r="RH44" s="325"/>
      <c r="RI44" s="325"/>
      <c r="RJ44" s="325"/>
      <c r="RK44" s="325"/>
      <c r="RL44" s="325"/>
      <c r="RM44" s="325"/>
      <c r="RN44" s="325"/>
      <c r="RO44" s="325"/>
      <c r="RP44" s="325"/>
      <c r="RQ44" s="325"/>
      <c r="RR44" s="325"/>
      <c r="RS44" s="325"/>
      <c r="RT44" s="325"/>
      <c r="RU44" s="325"/>
      <c r="RV44" s="325"/>
      <c r="RW44" s="325"/>
      <c r="RX44" s="325"/>
      <c r="RY44" s="325"/>
      <c r="RZ44" s="325"/>
      <c r="SA44" s="325"/>
      <c r="SB44" s="325"/>
      <c r="SC44" s="325"/>
      <c r="SD44" s="325"/>
      <c r="SE44" s="325"/>
      <c r="SF44" s="325"/>
      <c r="SG44" s="325"/>
      <c r="SH44" s="325"/>
      <c r="SI44" s="325"/>
      <c r="SJ44" s="325"/>
      <c r="SK44" s="325"/>
      <c r="SL44" s="325"/>
      <c r="SM44" s="325"/>
      <c r="SN44" s="325"/>
      <c r="SO44" s="325"/>
      <c r="SP44" s="325"/>
      <c r="SQ44" s="325"/>
      <c r="SR44" s="325"/>
      <c r="SS44" s="325"/>
      <c r="ST44" s="325"/>
      <c r="SU44" s="325"/>
      <c r="SV44" s="325"/>
      <c r="SW44" s="325"/>
      <c r="SX44" s="325"/>
      <c r="SY44" s="325"/>
      <c r="SZ44" s="325"/>
      <c r="TA44" s="325"/>
      <c r="TB44" s="325"/>
      <c r="TC44" s="325"/>
      <c r="TD44" s="325"/>
      <c r="TE44" s="325"/>
      <c r="TF44" s="325"/>
      <c r="TG44" s="325"/>
      <c r="TH44" s="325"/>
      <c r="TI44" s="325"/>
      <c r="TJ44" s="325"/>
      <c r="TK44" s="325"/>
      <c r="TL44" s="325"/>
      <c r="TM44" s="325"/>
      <c r="TN44" s="325"/>
      <c r="TO44" s="325"/>
      <c r="TP44" s="325"/>
      <c r="TQ44" s="325"/>
      <c r="TR44" s="325"/>
      <c r="TS44" s="325"/>
      <c r="TT44" s="325"/>
      <c r="TU44" s="325"/>
      <c r="TV44" s="325"/>
      <c r="TW44" s="325"/>
      <c r="TX44" s="325"/>
      <c r="TY44" s="325"/>
      <c r="TZ44" s="325"/>
      <c r="UA44" s="325"/>
      <c r="UB44" s="325"/>
      <c r="UC44" s="325"/>
      <c r="UD44" s="325"/>
      <c r="UE44" s="325"/>
      <c r="UF44" s="325"/>
      <c r="UG44" s="325"/>
      <c r="UH44" s="325"/>
      <c r="UI44" s="325"/>
      <c r="UJ44" s="325"/>
      <c r="UK44" s="325"/>
      <c r="UL44" s="325"/>
      <c r="UM44" s="325"/>
      <c r="UN44" s="325"/>
      <c r="UO44" s="325"/>
      <c r="UP44" s="325"/>
      <c r="UQ44" s="325"/>
      <c r="UR44" s="325"/>
      <c r="US44" s="325"/>
      <c r="UT44" s="325"/>
      <c r="UU44" s="325"/>
      <c r="UV44" s="325"/>
      <c r="UW44" s="325"/>
      <c r="UX44" s="325"/>
      <c r="UY44" s="325"/>
      <c r="UZ44" s="325"/>
      <c r="VA44" s="325"/>
      <c r="VB44" s="325"/>
      <c r="VC44" s="325"/>
      <c r="VD44" s="325"/>
      <c r="VE44" s="325"/>
      <c r="VF44" s="325"/>
      <c r="VG44" s="325"/>
      <c r="VH44" s="325"/>
      <c r="VI44" s="325"/>
      <c r="VJ44" s="325"/>
      <c r="VK44" s="325"/>
      <c r="VL44" s="325"/>
      <c r="VM44" s="325"/>
      <c r="VN44" s="325"/>
      <c r="VO44" s="325"/>
      <c r="VP44" s="325"/>
      <c r="VQ44" s="325"/>
      <c r="VR44" s="325"/>
      <c r="VS44" s="325"/>
      <c r="VT44" s="325"/>
      <c r="VU44" s="325"/>
      <c r="VV44" s="325"/>
      <c r="VW44" s="325"/>
      <c r="VX44" s="325"/>
      <c r="VY44" s="325"/>
      <c r="VZ44" s="325"/>
      <c r="WA44" s="325"/>
      <c r="WB44" s="325"/>
      <c r="WC44" s="325"/>
      <c r="WD44" s="325"/>
      <c r="WE44" s="325"/>
      <c r="WF44" s="325"/>
      <c r="WG44" s="325"/>
      <c r="WH44" s="325"/>
      <c r="WI44" s="325"/>
      <c r="WJ44" s="325"/>
      <c r="WK44" s="325"/>
      <c r="WL44" s="325"/>
      <c r="WM44" s="325"/>
      <c r="WN44" s="325"/>
      <c r="WO44" s="325"/>
      <c r="WP44" s="325"/>
      <c r="WQ44" s="325"/>
      <c r="WR44" s="325"/>
      <c r="WS44" s="325"/>
      <c r="WT44" s="325"/>
      <c r="WU44" s="325"/>
      <c r="WV44" s="325"/>
      <c r="WW44" s="325"/>
      <c r="WX44" s="325"/>
      <c r="WY44" s="325"/>
      <c r="WZ44" s="325"/>
      <c r="XA44" s="325"/>
      <c r="XB44" s="325"/>
      <c r="XC44" s="325"/>
      <c r="XD44" s="325"/>
      <c r="XE44" s="325"/>
      <c r="XF44" s="325"/>
      <c r="XG44" s="325"/>
      <c r="XH44" s="325"/>
      <c r="XI44" s="325"/>
      <c r="XJ44" s="325"/>
      <c r="XK44" s="325"/>
      <c r="XL44" s="325"/>
      <c r="XM44" s="325"/>
      <c r="XN44" s="325"/>
      <c r="XO44" s="325"/>
      <c r="XP44" s="325"/>
      <c r="XQ44" s="325"/>
      <c r="XR44" s="325"/>
      <c r="XS44" s="325"/>
      <c r="XT44" s="325"/>
      <c r="XU44" s="325"/>
      <c r="XV44" s="325"/>
      <c r="XW44" s="325"/>
      <c r="XX44" s="325"/>
      <c r="XY44" s="325"/>
      <c r="XZ44" s="325"/>
      <c r="YA44" s="325"/>
      <c r="YB44" s="325"/>
      <c r="YC44" s="325"/>
      <c r="YD44" s="325"/>
      <c r="YE44" s="325"/>
      <c r="YF44" s="325"/>
      <c r="YG44" s="325"/>
      <c r="YH44" s="325"/>
      <c r="YI44" s="325"/>
      <c r="YJ44" s="325"/>
      <c r="YK44" s="325"/>
      <c r="YL44" s="325"/>
      <c r="YM44" s="325"/>
      <c r="YN44" s="325"/>
      <c r="YO44" s="325"/>
      <c r="YP44" s="325"/>
      <c r="YQ44" s="325"/>
      <c r="YR44" s="325"/>
      <c r="YS44" s="325"/>
      <c r="YT44" s="325"/>
      <c r="YU44" s="325"/>
      <c r="YV44" s="325"/>
      <c r="YW44" s="325"/>
      <c r="YX44" s="325"/>
      <c r="YY44" s="325"/>
      <c r="YZ44" s="325"/>
      <c r="ZA44" s="325"/>
      <c r="ZB44" s="325"/>
      <c r="ZC44" s="325"/>
      <c r="ZD44" s="325"/>
      <c r="ZE44" s="325"/>
      <c r="ZF44" s="325"/>
      <c r="ZG44" s="325"/>
      <c r="ZH44" s="325"/>
      <c r="ZI44" s="325"/>
      <c r="ZJ44" s="325"/>
      <c r="ZK44" s="325"/>
      <c r="ZL44" s="325"/>
      <c r="ZM44" s="325"/>
      <c r="ZN44" s="325"/>
      <c r="ZO44" s="325"/>
      <c r="ZP44" s="325"/>
      <c r="ZQ44" s="325"/>
      <c r="ZR44" s="325"/>
      <c r="ZS44" s="325"/>
      <c r="ZT44" s="325"/>
      <c r="ZU44" s="325"/>
      <c r="ZV44" s="325"/>
      <c r="ZW44" s="325"/>
      <c r="ZX44" s="325"/>
      <c r="ZY44" s="325"/>
      <c r="ZZ44" s="325"/>
      <c r="AAA44" s="325"/>
      <c r="AAB44" s="325"/>
      <c r="AAC44" s="325"/>
      <c r="AAD44" s="325"/>
      <c r="AAE44" s="325"/>
      <c r="AAF44" s="325"/>
      <c r="AAG44" s="325"/>
      <c r="AAH44" s="325"/>
      <c r="AAI44" s="325"/>
      <c r="AAJ44" s="325"/>
      <c r="AAK44" s="325"/>
      <c r="AAL44" s="325"/>
      <c r="AAM44" s="325"/>
      <c r="AAN44" s="325"/>
      <c r="AAO44" s="325"/>
      <c r="AAP44" s="325"/>
      <c r="AAQ44" s="325"/>
      <c r="AAR44" s="325"/>
      <c r="AAS44" s="325"/>
      <c r="AAT44" s="325"/>
      <c r="AAU44" s="325"/>
      <c r="AAV44" s="325"/>
      <c r="AAW44" s="325"/>
      <c r="AAX44" s="325"/>
      <c r="AAY44" s="325"/>
      <c r="AAZ44" s="325"/>
      <c r="ABA44" s="325"/>
      <c r="ABB44" s="325"/>
      <c r="ABC44" s="325"/>
      <c r="ABD44" s="325"/>
      <c r="ABE44" s="325"/>
      <c r="ABF44" s="325"/>
      <c r="ABG44" s="325"/>
      <c r="ABH44" s="325"/>
      <c r="ABI44" s="325"/>
      <c r="ABJ44" s="325"/>
      <c r="ABK44" s="325"/>
      <c r="ABL44" s="325"/>
      <c r="ABM44" s="325"/>
      <c r="ABN44" s="325"/>
      <c r="ABO44" s="325"/>
      <c r="ABP44" s="325"/>
      <c r="ABQ44" s="325"/>
      <c r="ABR44" s="325"/>
      <c r="ABS44" s="325"/>
      <c r="ABT44" s="325"/>
      <c r="ABU44" s="325"/>
      <c r="ABV44" s="325"/>
      <c r="ABW44" s="325"/>
      <c r="ABX44" s="325"/>
      <c r="ABY44" s="325"/>
      <c r="ABZ44" s="325"/>
      <c r="ACA44" s="325"/>
      <c r="ACB44" s="325"/>
      <c r="ACC44" s="325"/>
      <c r="ACD44" s="325"/>
      <c r="ACE44" s="325"/>
      <c r="ACF44" s="325"/>
      <c r="ACG44" s="325"/>
      <c r="ACH44" s="325"/>
      <c r="ACI44" s="325"/>
      <c r="ACJ44" s="325"/>
      <c r="ACK44" s="325"/>
      <c r="ACL44" s="325"/>
      <c r="ACM44" s="325"/>
      <c r="ACN44" s="325"/>
      <c r="ACO44" s="325"/>
      <c r="ACP44" s="325"/>
      <c r="ACQ44" s="325"/>
      <c r="ACR44" s="325"/>
      <c r="ACS44" s="325"/>
      <c r="ACT44" s="325"/>
      <c r="ACU44" s="325"/>
      <c r="ACV44" s="325"/>
      <c r="ACW44" s="325"/>
      <c r="ACX44" s="325"/>
      <c r="ACY44" s="325"/>
      <c r="ACZ44" s="325"/>
      <c r="ADA44" s="325"/>
      <c r="ADB44" s="325"/>
      <c r="ADC44" s="325"/>
      <c r="ADD44" s="325"/>
      <c r="ADE44" s="325"/>
      <c r="ADF44" s="325"/>
      <c r="ADG44" s="325"/>
      <c r="ADH44" s="325"/>
      <c r="ADI44" s="325"/>
      <c r="ADJ44" s="325"/>
      <c r="ADK44" s="325"/>
      <c r="ADL44" s="325"/>
      <c r="ADM44" s="325"/>
      <c r="ADN44" s="325"/>
      <c r="ADO44" s="325"/>
      <c r="ADP44" s="325"/>
      <c r="ADQ44" s="325"/>
      <c r="ADR44" s="325"/>
      <c r="ADS44" s="325"/>
      <c r="ADT44" s="325"/>
      <c r="ADU44" s="325"/>
      <c r="ADV44" s="325"/>
      <c r="ADW44" s="325"/>
      <c r="ADX44" s="325"/>
      <c r="ADY44" s="325"/>
      <c r="ADZ44" s="325"/>
      <c r="AEA44" s="325"/>
      <c r="AEB44" s="325"/>
      <c r="AEC44" s="325"/>
      <c r="AED44" s="325"/>
      <c r="AEE44" s="325"/>
      <c r="AEF44" s="325"/>
      <c r="AEG44" s="325"/>
      <c r="AEH44" s="325"/>
      <c r="AEI44" s="325"/>
      <c r="AEJ44" s="325"/>
      <c r="AEK44" s="325"/>
      <c r="AEL44" s="325"/>
      <c r="AEM44" s="325"/>
      <c r="AEN44" s="325"/>
      <c r="AEO44" s="325"/>
      <c r="AEP44" s="325"/>
      <c r="AEQ44" s="325"/>
      <c r="AER44" s="325"/>
      <c r="AES44" s="325"/>
      <c r="AET44" s="325"/>
      <c r="AEU44" s="325"/>
      <c r="AEV44" s="325"/>
      <c r="AEW44" s="325"/>
      <c r="AEX44" s="325"/>
      <c r="AEY44" s="325"/>
      <c r="AEZ44" s="325"/>
      <c r="AFA44" s="325"/>
      <c r="AFB44" s="325"/>
      <c r="AFC44" s="325"/>
      <c r="AFD44" s="325"/>
      <c r="AFE44" s="325"/>
      <c r="AFF44" s="325"/>
      <c r="AFG44" s="325"/>
      <c r="AFH44" s="325"/>
      <c r="AFI44" s="325"/>
      <c r="AFJ44" s="325"/>
      <c r="AFK44" s="325"/>
      <c r="AFL44" s="325"/>
      <c r="AFM44" s="325"/>
      <c r="AFN44" s="325"/>
      <c r="AFO44" s="325"/>
      <c r="AFP44" s="325"/>
      <c r="AFQ44" s="325"/>
      <c r="AFR44" s="325"/>
      <c r="AFS44" s="325"/>
      <c r="AFT44" s="325"/>
      <c r="AFU44" s="325"/>
      <c r="AFV44" s="325"/>
      <c r="AFW44" s="325"/>
      <c r="AFX44" s="325"/>
      <c r="AFY44" s="325"/>
      <c r="AFZ44" s="325"/>
      <c r="AGA44" s="325"/>
      <c r="AGB44" s="325"/>
      <c r="AGC44" s="325"/>
      <c r="AGD44" s="325"/>
      <c r="AGE44" s="325"/>
      <c r="AGF44" s="325"/>
      <c r="AGG44" s="325"/>
      <c r="AGH44" s="325"/>
      <c r="AGI44" s="325"/>
      <c r="AGJ44" s="325"/>
      <c r="AGK44" s="325"/>
      <c r="AGL44" s="325"/>
      <c r="AGM44" s="325"/>
      <c r="AGN44" s="325"/>
      <c r="AGO44" s="325"/>
      <c r="AGP44" s="325"/>
      <c r="AGQ44" s="325"/>
      <c r="AGR44" s="325"/>
      <c r="AGS44" s="325"/>
      <c r="AGT44" s="325"/>
      <c r="AGU44" s="325"/>
      <c r="AGV44" s="325"/>
      <c r="AGW44" s="325"/>
      <c r="AGX44" s="325"/>
      <c r="AGY44" s="325"/>
      <c r="AGZ44" s="325"/>
      <c r="AHA44" s="325"/>
      <c r="AHB44" s="325"/>
      <c r="AHC44" s="325"/>
      <c r="AHD44" s="325"/>
      <c r="AHE44" s="325"/>
      <c r="AHF44" s="325"/>
      <c r="AHG44" s="325"/>
      <c r="AHH44" s="325"/>
      <c r="AHI44" s="325"/>
      <c r="AHJ44" s="325"/>
      <c r="AHK44" s="325"/>
      <c r="AHL44" s="325"/>
      <c r="AHM44" s="325"/>
      <c r="AHN44" s="325"/>
      <c r="AHO44" s="325"/>
      <c r="AHP44" s="325"/>
      <c r="AHQ44" s="325"/>
      <c r="AHR44" s="325"/>
      <c r="AHS44" s="325"/>
      <c r="AHT44" s="325"/>
      <c r="AHU44" s="325"/>
      <c r="AHV44" s="325"/>
      <c r="AHW44" s="325"/>
      <c r="AHX44" s="325"/>
      <c r="AHY44" s="325"/>
      <c r="AHZ44" s="325"/>
      <c r="AIA44" s="325"/>
      <c r="AIB44" s="325"/>
      <c r="AIC44" s="325"/>
      <c r="AID44" s="325"/>
      <c r="AIE44" s="325"/>
      <c r="AIF44" s="325"/>
      <c r="AIG44" s="325"/>
      <c r="AIH44" s="325"/>
      <c r="AII44" s="325"/>
      <c r="AIJ44" s="325"/>
      <c r="AIK44" s="325"/>
      <c r="AIL44" s="325"/>
      <c r="AIM44" s="325"/>
      <c r="AIN44" s="325"/>
      <c r="AIO44" s="325"/>
      <c r="AIP44" s="325"/>
      <c r="AIQ44" s="325"/>
      <c r="AIR44" s="325"/>
      <c r="AIS44" s="325"/>
      <c r="AIT44" s="325"/>
      <c r="AIU44" s="325"/>
      <c r="AIV44" s="325"/>
      <c r="AIW44" s="325"/>
      <c r="AIX44" s="325"/>
      <c r="AIY44" s="325"/>
      <c r="AIZ44" s="325"/>
      <c r="AJA44" s="325"/>
      <c r="AJB44" s="325"/>
      <c r="AJC44" s="325"/>
      <c r="AJD44" s="325"/>
      <c r="AJE44" s="325"/>
      <c r="AJF44" s="325"/>
      <c r="AJG44" s="325"/>
      <c r="AJH44" s="325"/>
      <c r="AJI44" s="325"/>
      <c r="AJJ44" s="325"/>
      <c r="AJK44" s="325"/>
      <c r="AJL44" s="325"/>
      <c r="AJM44" s="325"/>
      <c r="AJN44" s="325"/>
      <c r="AJO44" s="325"/>
      <c r="AJP44" s="325"/>
      <c r="AJQ44" s="325"/>
      <c r="AJR44" s="325"/>
      <c r="AJS44" s="325"/>
      <c r="AJT44" s="325"/>
      <c r="AJU44" s="325"/>
      <c r="AJV44" s="325"/>
      <c r="AJW44" s="325"/>
      <c r="AJX44" s="325"/>
      <c r="AJY44" s="325"/>
      <c r="AJZ44" s="325"/>
      <c r="AKA44" s="325"/>
      <c r="AKB44" s="325"/>
      <c r="AKC44" s="325"/>
      <c r="AKD44" s="325"/>
      <c r="AKE44" s="325"/>
      <c r="AKF44" s="325"/>
      <c r="AKG44" s="325"/>
      <c r="AKH44" s="325"/>
      <c r="AKI44" s="325"/>
      <c r="AKJ44" s="325"/>
      <c r="AKK44" s="325"/>
      <c r="AKL44" s="325"/>
      <c r="AKM44" s="325"/>
      <c r="AKN44" s="325"/>
      <c r="AKO44" s="325"/>
      <c r="AKP44" s="325"/>
      <c r="AKQ44" s="325"/>
      <c r="AKR44" s="325"/>
      <c r="AKS44" s="325"/>
      <c r="AKT44" s="325"/>
      <c r="AKU44" s="325"/>
      <c r="AKV44" s="325"/>
      <c r="AKW44" s="325"/>
      <c r="AKX44" s="325"/>
      <c r="AKY44" s="325"/>
      <c r="AKZ44" s="325"/>
      <c r="ALA44" s="325"/>
      <c r="ALB44" s="325"/>
      <c r="ALC44" s="325"/>
      <c r="ALD44" s="325"/>
      <c r="ALE44" s="325"/>
      <c r="ALF44" s="325"/>
      <c r="ALG44" s="325"/>
      <c r="ALH44" s="325"/>
      <c r="ALI44" s="325"/>
      <c r="ALJ44" s="325"/>
      <c r="ALK44" s="325"/>
      <c r="ALL44" s="325"/>
      <c r="ALM44" s="325"/>
      <c r="ALN44" s="325"/>
      <c r="ALO44" s="325"/>
      <c r="ALP44" s="325"/>
      <c r="ALQ44" s="325"/>
      <c r="ALR44" s="325"/>
      <c r="ALS44" s="325"/>
      <c r="ALT44" s="325"/>
      <c r="ALU44" s="325"/>
      <c r="ALV44" s="325"/>
      <c r="ALW44" s="325"/>
      <c r="ALX44" s="325"/>
      <c r="ALY44" s="325"/>
      <c r="ALZ44" s="325"/>
      <c r="AMA44" s="325"/>
      <c r="AMB44" s="325"/>
      <c r="AMC44" s="325"/>
    </row>
    <row r="45" spans="3:1017" s="75" customFormat="1">
      <c r="C45" s="130"/>
      <c r="D45" s="130"/>
      <c r="CN45" s="225"/>
      <c r="CQ45" s="226"/>
      <c r="LD45" s="213"/>
      <c r="LH45" s="286"/>
      <c r="LI45" s="287"/>
      <c r="LJ45" s="124"/>
      <c r="LK45" s="124"/>
      <c r="LL45" s="124"/>
      <c r="LM45" s="124"/>
      <c r="LN45" s="124"/>
      <c r="LO45" s="124"/>
      <c r="LP45" s="124"/>
      <c r="LQ45" s="124"/>
      <c r="LR45" s="124"/>
      <c r="NE45" s="330"/>
      <c r="NF45" s="325"/>
      <c r="NG45" s="325"/>
      <c r="NH45" s="325"/>
      <c r="NI45" s="325"/>
      <c r="NJ45" s="325"/>
      <c r="NK45" s="325"/>
      <c r="NL45" s="325"/>
      <c r="NM45" s="325"/>
      <c r="NN45" s="325"/>
      <c r="NO45" s="325"/>
      <c r="NP45" s="325"/>
      <c r="NQ45" s="325"/>
      <c r="NR45" s="325"/>
      <c r="NS45" s="325"/>
      <c r="NT45" s="325"/>
      <c r="NU45" s="325"/>
      <c r="NV45" s="325"/>
      <c r="NW45" s="325"/>
      <c r="NX45" s="325"/>
      <c r="NY45" s="325"/>
      <c r="NZ45" s="325"/>
      <c r="OA45" s="325"/>
      <c r="OB45" s="325"/>
      <c r="OC45" s="325"/>
      <c r="OD45" s="325"/>
      <c r="OE45" s="325"/>
      <c r="OF45" s="325"/>
      <c r="OG45" s="325"/>
      <c r="OH45" s="325"/>
      <c r="OI45" s="325"/>
      <c r="OJ45" s="325"/>
      <c r="OK45" s="325"/>
      <c r="OL45" s="325"/>
      <c r="OM45" s="325"/>
      <c r="ON45" s="325"/>
      <c r="OO45" s="325"/>
      <c r="OP45" s="325"/>
      <c r="OQ45" s="325"/>
      <c r="OR45" s="325"/>
      <c r="OS45" s="325"/>
      <c r="OT45" s="325"/>
      <c r="OU45" s="325"/>
      <c r="OV45" s="325"/>
      <c r="OW45" s="325"/>
      <c r="OX45" s="325"/>
      <c r="OY45" s="325"/>
      <c r="OZ45" s="325"/>
      <c r="PA45" s="325"/>
      <c r="PB45" s="325"/>
      <c r="PC45" s="325"/>
      <c r="PD45" s="325"/>
      <c r="PE45" s="325"/>
      <c r="PF45" s="325"/>
      <c r="PG45" s="325"/>
      <c r="PH45" s="325"/>
      <c r="PI45" s="325"/>
      <c r="PJ45" s="325"/>
      <c r="PK45" s="325"/>
      <c r="PL45" s="325"/>
      <c r="PM45" s="325"/>
      <c r="PN45" s="325"/>
      <c r="PO45" s="325"/>
      <c r="PP45" s="325"/>
      <c r="PQ45" s="325"/>
      <c r="PR45" s="325"/>
      <c r="PS45" s="325"/>
      <c r="PT45" s="325"/>
      <c r="PU45" s="325"/>
      <c r="PV45" s="325"/>
      <c r="PW45" s="325"/>
      <c r="PX45" s="325"/>
      <c r="PY45" s="325"/>
      <c r="PZ45" s="325"/>
      <c r="QA45" s="325"/>
      <c r="QB45" s="325"/>
      <c r="QC45" s="325"/>
      <c r="QD45" s="325"/>
      <c r="QE45" s="325"/>
      <c r="QF45" s="325"/>
      <c r="QG45" s="325"/>
      <c r="QH45" s="325"/>
      <c r="QI45" s="325"/>
      <c r="QJ45" s="325"/>
      <c r="QK45" s="325"/>
      <c r="QL45" s="325"/>
      <c r="QM45" s="325"/>
      <c r="QN45" s="325"/>
      <c r="QO45" s="325"/>
      <c r="QP45" s="325"/>
      <c r="QQ45" s="325"/>
      <c r="QR45" s="325"/>
      <c r="QS45" s="325"/>
      <c r="QT45" s="325"/>
      <c r="QU45" s="325"/>
      <c r="QV45" s="325"/>
      <c r="QW45" s="325"/>
      <c r="QX45" s="325"/>
      <c r="QY45" s="325"/>
      <c r="QZ45" s="325"/>
      <c r="RA45" s="325"/>
      <c r="RB45" s="325"/>
      <c r="RC45" s="325"/>
      <c r="RD45" s="325"/>
      <c r="RE45" s="325"/>
      <c r="RF45" s="325"/>
      <c r="RG45" s="325"/>
      <c r="RH45" s="325"/>
      <c r="RI45" s="325"/>
      <c r="RJ45" s="325"/>
      <c r="RK45" s="325"/>
      <c r="RL45" s="325"/>
      <c r="RM45" s="325"/>
      <c r="RN45" s="325"/>
      <c r="RO45" s="325"/>
      <c r="RP45" s="325"/>
      <c r="RQ45" s="325"/>
      <c r="RR45" s="325"/>
      <c r="RS45" s="325"/>
      <c r="RT45" s="325"/>
      <c r="RU45" s="325"/>
      <c r="RV45" s="325"/>
      <c r="RW45" s="325"/>
      <c r="RX45" s="325"/>
      <c r="RY45" s="325"/>
      <c r="RZ45" s="325"/>
      <c r="SA45" s="325"/>
      <c r="SB45" s="325"/>
      <c r="SC45" s="325"/>
      <c r="SD45" s="325"/>
      <c r="SE45" s="325"/>
      <c r="SF45" s="325"/>
      <c r="SG45" s="325"/>
      <c r="SH45" s="325"/>
      <c r="SI45" s="325"/>
      <c r="SJ45" s="325"/>
      <c r="SK45" s="325"/>
      <c r="SL45" s="325"/>
      <c r="SM45" s="325"/>
      <c r="SN45" s="325"/>
      <c r="SO45" s="325"/>
      <c r="SP45" s="325"/>
      <c r="SQ45" s="325"/>
      <c r="SR45" s="325"/>
      <c r="SS45" s="325"/>
      <c r="ST45" s="325"/>
      <c r="SU45" s="325"/>
      <c r="SV45" s="325"/>
      <c r="SW45" s="325"/>
      <c r="SX45" s="325"/>
      <c r="SY45" s="325"/>
      <c r="SZ45" s="325"/>
      <c r="TA45" s="325"/>
      <c r="TB45" s="325"/>
      <c r="TC45" s="325"/>
      <c r="TD45" s="325"/>
      <c r="TE45" s="325"/>
      <c r="TF45" s="325"/>
      <c r="TG45" s="325"/>
      <c r="TH45" s="325"/>
      <c r="TI45" s="325"/>
      <c r="TJ45" s="325"/>
      <c r="TK45" s="325"/>
      <c r="TL45" s="325"/>
      <c r="TM45" s="325"/>
      <c r="TN45" s="325"/>
      <c r="TO45" s="325"/>
      <c r="TP45" s="325"/>
      <c r="TQ45" s="325"/>
      <c r="TR45" s="325"/>
      <c r="TS45" s="325"/>
      <c r="TT45" s="325"/>
      <c r="TU45" s="325"/>
      <c r="TV45" s="325"/>
      <c r="TW45" s="325"/>
      <c r="TX45" s="325"/>
      <c r="TY45" s="325"/>
      <c r="TZ45" s="325"/>
      <c r="UA45" s="325"/>
      <c r="UB45" s="325"/>
      <c r="UC45" s="325"/>
      <c r="UD45" s="325"/>
      <c r="UE45" s="325"/>
      <c r="UF45" s="325"/>
      <c r="UG45" s="325"/>
      <c r="UH45" s="325"/>
      <c r="UI45" s="325"/>
      <c r="UJ45" s="325"/>
      <c r="UK45" s="325"/>
      <c r="UL45" s="325"/>
      <c r="UM45" s="325"/>
      <c r="UN45" s="325"/>
      <c r="UO45" s="325"/>
      <c r="UP45" s="325"/>
      <c r="UQ45" s="325"/>
      <c r="UR45" s="325"/>
      <c r="US45" s="325"/>
      <c r="UT45" s="325"/>
      <c r="UU45" s="325"/>
      <c r="UV45" s="325"/>
      <c r="UW45" s="325"/>
      <c r="UX45" s="325"/>
      <c r="UY45" s="325"/>
      <c r="UZ45" s="325"/>
      <c r="VA45" s="325"/>
      <c r="VB45" s="325"/>
      <c r="VC45" s="325"/>
      <c r="VD45" s="325"/>
      <c r="VE45" s="325"/>
      <c r="VF45" s="325"/>
      <c r="VG45" s="325"/>
      <c r="VH45" s="325"/>
      <c r="VI45" s="325"/>
      <c r="VJ45" s="325"/>
      <c r="VK45" s="325"/>
      <c r="VL45" s="325"/>
      <c r="VM45" s="325"/>
      <c r="VN45" s="325"/>
      <c r="VO45" s="325"/>
      <c r="VP45" s="325"/>
      <c r="VQ45" s="325"/>
      <c r="VR45" s="325"/>
      <c r="VS45" s="325"/>
      <c r="VT45" s="325"/>
      <c r="VU45" s="325"/>
      <c r="VV45" s="325"/>
      <c r="VW45" s="325"/>
      <c r="VX45" s="325"/>
      <c r="VY45" s="325"/>
      <c r="VZ45" s="325"/>
      <c r="WA45" s="325"/>
      <c r="WB45" s="325"/>
      <c r="WC45" s="325"/>
      <c r="WD45" s="325"/>
      <c r="WE45" s="325"/>
      <c r="WF45" s="325"/>
      <c r="WG45" s="325"/>
      <c r="WH45" s="325"/>
      <c r="WI45" s="325"/>
      <c r="WJ45" s="325"/>
      <c r="WK45" s="325"/>
      <c r="WL45" s="325"/>
      <c r="WM45" s="325"/>
      <c r="WN45" s="325"/>
      <c r="WO45" s="325"/>
      <c r="WP45" s="325"/>
      <c r="WQ45" s="325"/>
      <c r="WR45" s="325"/>
      <c r="WS45" s="325"/>
      <c r="WT45" s="325"/>
      <c r="WU45" s="325"/>
      <c r="WV45" s="325"/>
      <c r="WW45" s="325"/>
      <c r="WX45" s="325"/>
      <c r="WY45" s="325"/>
      <c r="WZ45" s="325"/>
      <c r="XA45" s="325"/>
      <c r="XB45" s="325"/>
      <c r="XC45" s="325"/>
      <c r="XD45" s="325"/>
      <c r="XE45" s="325"/>
      <c r="XF45" s="325"/>
      <c r="XG45" s="325"/>
      <c r="XH45" s="325"/>
      <c r="XI45" s="325"/>
      <c r="XJ45" s="325"/>
      <c r="XK45" s="325"/>
      <c r="XL45" s="325"/>
      <c r="XM45" s="325"/>
      <c r="XN45" s="325"/>
      <c r="XO45" s="325"/>
      <c r="XP45" s="325"/>
      <c r="XQ45" s="325"/>
      <c r="XR45" s="325"/>
      <c r="XS45" s="325"/>
      <c r="XT45" s="325"/>
      <c r="XU45" s="325"/>
      <c r="XV45" s="325"/>
      <c r="XW45" s="325"/>
      <c r="XX45" s="325"/>
      <c r="XY45" s="325"/>
      <c r="XZ45" s="325"/>
      <c r="YA45" s="325"/>
      <c r="YB45" s="325"/>
      <c r="YC45" s="325"/>
      <c r="YD45" s="325"/>
      <c r="YE45" s="325"/>
      <c r="YF45" s="325"/>
      <c r="YG45" s="325"/>
      <c r="YH45" s="325"/>
      <c r="YI45" s="325"/>
      <c r="YJ45" s="325"/>
      <c r="YK45" s="325"/>
      <c r="YL45" s="325"/>
      <c r="YM45" s="325"/>
      <c r="YN45" s="325"/>
      <c r="YO45" s="325"/>
      <c r="YP45" s="325"/>
      <c r="YQ45" s="325"/>
      <c r="YR45" s="325"/>
      <c r="YS45" s="325"/>
      <c r="YT45" s="325"/>
      <c r="YU45" s="325"/>
      <c r="YV45" s="325"/>
      <c r="YW45" s="325"/>
      <c r="YX45" s="325"/>
      <c r="YY45" s="325"/>
      <c r="YZ45" s="325"/>
      <c r="ZA45" s="325"/>
      <c r="ZB45" s="325"/>
      <c r="ZC45" s="325"/>
      <c r="ZD45" s="325"/>
      <c r="ZE45" s="325"/>
      <c r="ZF45" s="325"/>
      <c r="ZG45" s="325"/>
      <c r="ZH45" s="325"/>
      <c r="ZI45" s="325"/>
      <c r="ZJ45" s="325"/>
      <c r="ZK45" s="325"/>
      <c r="ZL45" s="325"/>
      <c r="ZM45" s="325"/>
      <c r="ZN45" s="325"/>
      <c r="ZO45" s="325"/>
      <c r="ZP45" s="325"/>
      <c r="ZQ45" s="325"/>
      <c r="ZR45" s="325"/>
      <c r="ZS45" s="325"/>
      <c r="ZT45" s="325"/>
      <c r="ZU45" s="325"/>
      <c r="ZV45" s="325"/>
      <c r="ZW45" s="325"/>
      <c r="ZX45" s="325"/>
      <c r="ZY45" s="325"/>
      <c r="ZZ45" s="325"/>
      <c r="AAA45" s="325"/>
      <c r="AAB45" s="325"/>
      <c r="AAC45" s="325"/>
      <c r="AAD45" s="325"/>
      <c r="AAE45" s="325"/>
      <c r="AAF45" s="325"/>
      <c r="AAG45" s="325"/>
      <c r="AAH45" s="325"/>
      <c r="AAI45" s="325"/>
      <c r="AAJ45" s="325"/>
      <c r="AAK45" s="325"/>
      <c r="AAL45" s="325"/>
      <c r="AAM45" s="325"/>
      <c r="AAN45" s="325"/>
      <c r="AAO45" s="325"/>
      <c r="AAP45" s="325"/>
      <c r="AAQ45" s="325"/>
      <c r="AAR45" s="325"/>
      <c r="AAS45" s="325"/>
      <c r="AAT45" s="325"/>
      <c r="AAU45" s="325"/>
      <c r="AAV45" s="325"/>
      <c r="AAW45" s="325"/>
      <c r="AAX45" s="325"/>
      <c r="AAY45" s="325"/>
      <c r="AAZ45" s="325"/>
      <c r="ABA45" s="325"/>
      <c r="ABB45" s="325"/>
      <c r="ABC45" s="325"/>
      <c r="ABD45" s="325"/>
      <c r="ABE45" s="325"/>
      <c r="ABF45" s="325"/>
      <c r="ABG45" s="325"/>
      <c r="ABH45" s="325"/>
      <c r="ABI45" s="325"/>
      <c r="ABJ45" s="325"/>
      <c r="ABK45" s="325"/>
      <c r="ABL45" s="325"/>
      <c r="ABM45" s="325"/>
      <c r="ABN45" s="325"/>
      <c r="ABO45" s="325"/>
      <c r="ABP45" s="325"/>
      <c r="ABQ45" s="325"/>
      <c r="ABR45" s="325"/>
      <c r="ABS45" s="325"/>
      <c r="ABT45" s="325"/>
      <c r="ABU45" s="325"/>
      <c r="ABV45" s="325"/>
      <c r="ABW45" s="325"/>
      <c r="ABX45" s="325"/>
      <c r="ABY45" s="325"/>
      <c r="ABZ45" s="325"/>
      <c r="ACA45" s="325"/>
      <c r="ACB45" s="325"/>
      <c r="ACC45" s="325"/>
      <c r="ACD45" s="325"/>
      <c r="ACE45" s="325"/>
      <c r="ACF45" s="325"/>
      <c r="ACG45" s="325"/>
      <c r="ACH45" s="325"/>
      <c r="ACI45" s="325"/>
      <c r="ACJ45" s="325"/>
      <c r="ACK45" s="325"/>
      <c r="ACL45" s="325"/>
      <c r="ACM45" s="325"/>
      <c r="ACN45" s="325"/>
      <c r="ACO45" s="325"/>
      <c r="ACP45" s="325"/>
      <c r="ACQ45" s="325"/>
      <c r="ACR45" s="325"/>
      <c r="ACS45" s="325"/>
      <c r="ACT45" s="325"/>
      <c r="ACU45" s="325"/>
      <c r="ACV45" s="325"/>
      <c r="ACW45" s="325"/>
      <c r="ACX45" s="325"/>
      <c r="ACY45" s="325"/>
      <c r="ACZ45" s="325"/>
      <c r="ADA45" s="325"/>
      <c r="ADB45" s="325"/>
      <c r="ADC45" s="325"/>
      <c r="ADD45" s="325"/>
      <c r="ADE45" s="325"/>
      <c r="ADF45" s="325"/>
      <c r="ADG45" s="325"/>
      <c r="ADH45" s="325"/>
      <c r="ADI45" s="325"/>
      <c r="ADJ45" s="325"/>
      <c r="ADK45" s="325"/>
      <c r="ADL45" s="325"/>
      <c r="ADM45" s="325"/>
      <c r="ADN45" s="325"/>
      <c r="ADO45" s="325"/>
      <c r="ADP45" s="325"/>
      <c r="ADQ45" s="325"/>
      <c r="ADR45" s="325"/>
      <c r="ADS45" s="325"/>
      <c r="ADT45" s="325"/>
      <c r="ADU45" s="325"/>
      <c r="ADV45" s="325"/>
      <c r="ADW45" s="325"/>
      <c r="ADX45" s="325"/>
      <c r="ADY45" s="325"/>
      <c r="ADZ45" s="325"/>
      <c r="AEA45" s="325"/>
      <c r="AEB45" s="325"/>
      <c r="AEC45" s="325"/>
      <c r="AED45" s="325"/>
      <c r="AEE45" s="325"/>
      <c r="AEF45" s="325"/>
      <c r="AEG45" s="325"/>
      <c r="AEH45" s="325"/>
      <c r="AEI45" s="325"/>
      <c r="AEJ45" s="325"/>
      <c r="AEK45" s="325"/>
      <c r="AEL45" s="325"/>
      <c r="AEM45" s="325"/>
      <c r="AEN45" s="325"/>
      <c r="AEO45" s="325"/>
      <c r="AEP45" s="325"/>
      <c r="AEQ45" s="325"/>
      <c r="AER45" s="325"/>
      <c r="AES45" s="325"/>
      <c r="AET45" s="325"/>
      <c r="AEU45" s="325"/>
      <c r="AEV45" s="325"/>
      <c r="AEW45" s="325"/>
      <c r="AEX45" s="325"/>
      <c r="AEY45" s="325"/>
      <c r="AEZ45" s="325"/>
      <c r="AFA45" s="325"/>
      <c r="AFB45" s="325"/>
      <c r="AFC45" s="325"/>
      <c r="AFD45" s="325"/>
      <c r="AFE45" s="325"/>
      <c r="AFF45" s="325"/>
      <c r="AFG45" s="325"/>
      <c r="AFH45" s="325"/>
      <c r="AFI45" s="325"/>
      <c r="AFJ45" s="325"/>
      <c r="AFK45" s="325"/>
      <c r="AFL45" s="325"/>
      <c r="AFM45" s="325"/>
      <c r="AFN45" s="325"/>
      <c r="AFO45" s="325"/>
      <c r="AFP45" s="325"/>
      <c r="AFQ45" s="325"/>
      <c r="AFR45" s="325"/>
      <c r="AFS45" s="325"/>
      <c r="AFT45" s="325"/>
      <c r="AFU45" s="325"/>
      <c r="AFV45" s="325"/>
      <c r="AFW45" s="325"/>
      <c r="AFX45" s="325"/>
      <c r="AFY45" s="325"/>
      <c r="AFZ45" s="325"/>
      <c r="AGA45" s="325"/>
      <c r="AGB45" s="325"/>
      <c r="AGC45" s="325"/>
      <c r="AGD45" s="325"/>
      <c r="AGE45" s="325"/>
      <c r="AGF45" s="325"/>
      <c r="AGG45" s="325"/>
      <c r="AGH45" s="325"/>
      <c r="AGI45" s="325"/>
      <c r="AGJ45" s="325"/>
      <c r="AGK45" s="325"/>
      <c r="AGL45" s="325"/>
      <c r="AGM45" s="325"/>
      <c r="AGN45" s="325"/>
      <c r="AGO45" s="325"/>
      <c r="AGP45" s="325"/>
      <c r="AGQ45" s="325"/>
      <c r="AGR45" s="325"/>
      <c r="AGS45" s="325"/>
      <c r="AGT45" s="325"/>
      <c r="AGU45" s="325"/>
      <c r="AGV45" s="325"/>
      <c r="AGW45" s="325"/>
      <c r="AGX45" s="325"/>
      <c r="AGY45" s="325"/>
      <c r="AGZ45" s="325"/>
      <c r="AHA45" s="325"/>
      <c r="AHB45" s="325"/>
      <c r="AHC45" s="325"/>
      <c r="AHD45" s="325"/>
      <c r="AHE45" s="325"/>
      <c r="AHF45" s="325"/>
      <c r="AHG45" s="325"/>
      <c r="AHH45" s="325"/>
      <c r="AHI45" s="325"/>
      <c r="AHJ45" s="325"/>
      <c r="AHK45" s="325"/>
      <c r="AHL45" s="325"/>
      <c r="AHM45" s="325"/>
      <c r="AHN45" s="325"/>
      <c r="AHO45" s="325"/>
      <c r="AHP45" s="325"/>
      <c r="AHQ45" s="325"/>
      <c r="AHR45" s="325"/>
      <c r="AHS45" s="325"/>
      <c r="AHT45" s="325"/>
      <c r="AHU45" s="325"/>
      <c r="AHV45" s="325"/>
      <c r="AHW45" s="325"/>
      <c r="AHX45" s="325"/>
      <c r="AHY45" s="325"/>
      <c r="AHZ45" s="325"/>
      <c r="AIA45" s="325"/>
      <c r="AIB45" s="325"/>
      <c r="AIC45" s="325"/>
      <c r="AID45" s="325"/>
      <c r="AIE45" s="325"/>
      <c r="AIF45" s="325"/>
      <c r="AIG45" s="325"/>
      <c r="AIH45" s="325"/>
      <c r="AII45" s="325"/>
      <c r="AIJ45" s="325"/>
      <c r="AIK45" s="325"/>
      <c r="AIL45" s="325"/>
      <c r="AIM45" s="325"/>
      <c r="AIN45" s="325"/>
      <c r="AIO45" s="325"/>
      <c r="AIP45" s="325"/>
      <c r="AIQ45" s="325"/>
      <c r="AIR45" s="325"/>
      <c r="AIS45" s="325"/>
      <c r="AIT45" s="325"/>
      <c r="AIU45" s="325"/>
      <c r="AIV45" s="325"/>
      <c r="AIW45" s="325"/>
      <c r="AIX45" s="325"/>
      <c r="AIY45" s="325"/>
      <c r="AIZ45" s="325"/>
      <c r="AJA45" s="325"/>
      <c r="AJB45" s="325"/>
      <c r="AJC45" s="325"/>
      <c r="AJD45" s="325"/>
      <c r="AJE45" s="325"/>
      <c r="AJF45" s="325"/>
      <c r="AJG45" s="325"/>
      <c r="AJH45" s="325"/>
      <c r="AJI45" s="325"/>
      <c r="AJJ45" s="325"/>
      <c r="AJK45" s="325"/>
      <c r="AJL45" s="325"/>
      <c r="AJM45" s="325"/>
      <c r="AJN45" s="325"/>
      <c r="AJO45" s="325"/>
      <c r="AJP45" s="325"/>
      <c r="AJQ45" s="325"/>
      <c r="AJR45" s="325"/>
      <c r="AJS45" s="325"/>
      <c r="AJT45" s="325"/>
      <c r="AJU45" s="325"/>
      <c r="AJV45" s="325"/>
      <c r="AJW45" s="325"/>
      <c r="AJX45" s="325"/>
      <c r="AJY45" s="325"/>
      <c r="AJZ45" s="325"/>
      <c r="AKA45" s="325"/>
      <c r="AKB45" s="325"/>
      <c r="AKC45" s="325"/>
      <c r="AKD45" s="325"/>
      <c r="AKE45" s="325"/>
      <c r="AKF45" s="325"/>
      <c r="AKG45" s="325"/>
      <c r="AKH45" s="325"/>
      <c r="AKI45" s="325"/>
      <c r="AKJ45" s="325"/>
      <c r="AKK45" s="325"/>
      <c r="AKL45" s="325"/>
      <c r="AKM45" s="325"/>
      <c r="AKN45" s="325"/>
      <c r="AKO45" s="325"/>
      <c r="AKP45" s="325"/>
      <c r="AKQ45" s="325"/>
      <c r="AKR45" s="325"/>
      <c r="AKS45" s="325"/>
      <c r="AKT45" s="325"/>
      <c r="AKU45" s="325"/>
      <c r="AKV45" s="325"/>
      <c r="AKW45" s="325"/>
      <c r="AKX45" s="325"/>
      <c r="AKY45" s="325"/>
      <c r="AKZ45" s="325"/>
      <c r="ALA45" s="325"/>
      <c r="ALB45" s="325"/>
      <c r="ALC45" s="325"/>
      <c r="ALD45" s="325"/>
      <c r="ALE45" s="325"/>
      <c r="ALF45" s="325"/>
      <c r="ALG45" s="325"/>
      <c r="ALH45" s="325"/>
      <c r="ALI45" s="325"/>
      <c r="ALJ45" s="325"/>
      <c r="ALK45" s="325"/>
      <c r="ALL45" s="325"/>
      <c r="ALM45" s="325"/>
      <c r="ALN45" s="325"/>
      <c r="ALO45" s="325"/>
      <c r="ALP45" s="325"/>
      <c r="ALQ45" s="325"/>
      <c r="ALR45" s="325"/>
      <c r="ALS45" s="325"/>
      <c r="ALT45" s="325"/>
      <c r="ALU45" s="325"/>
      <c r="ALV45" s="325"/>
      <c r="ALW45" s="325"/>
      <c r="ALX45" s="325"/>
      <c r="ALY45" s="325"/>
      <c r="ALZ45" s="325"/>
      <c r="AMA45" s="325"/>
      <c r="AMB45" s="325"/>
      <c r="AMC45" s="325"/>
    </row>
    <row r="46" spans="3:1017" s="75" customFormat="1">
      <c r="C46" s="130"/>
      <c r="D46" s="130"/>
      <c r="CN46" s="225"/>
      <c r="CQ46" s="226"/>
      <c r="LD46" s="213"/>
      <c r="LH46" s="286"/>
      <c r="LI46" s="287"/>
      <c r="LJ46" s="124"/>
      <c r="LK46" s="124"/>
      <c r="LL46" s="124"/>
      <c r="LM46" s="124"/>
      <c r="LN46" s="124"/>
      <c r="LO46" s="124"/>
      <c r="LP46" s="124"/>
      <c r="LQ46" s="124"/>
      <c r="LR46" s="124"/>
      <c r="NE46" s="330"/>
      <c r="NF46" s="325"/>
      <c r="NG46" s="325"/>
      <c r="NH46" s="325"/>
      <c r="NI46" s="325"/>
      <c r="NJ46" s="325"/>
      <c r="NK46" s="325"/>
      <c r="NL46" s="325"/>
      <c r="NM46" s="325"/>
      <c r="NN46" s="325"/>
      <c r="NO46" s="325"/>
      <c r="NP46" s="325"/>
      <c r="NQ46" s="325"/>
      <c r="NR46" s="325"/>
      <c r="NS46" s="325"/>
      <c r="NT46" s="325"/>
      <c r="NU46" s="325"/>
      <c r="NV46" s="325"/>
      <c r="NW46" s="325"/>
      <c r="NX46" s="325"/>
      <c r="NY46" s="325"/>
      <c r="NZ46" s="325"/>
      <c r="OA46" s="325"/>
      <c r="OB46" s="325"/>
      <c r="OC46" s="325"/>
      <c r="OD46" s="325"/>
      <c r="OE46" s="325"/>
      <c r="OF46" s="325"/>
      <c r="OG46" s="325"/>
      <c r="OH46" s="325"/>
      <c r="OI46" s="325"/>
      <c r="OJ46" s="325"/>
      <c r="OK46" s="325"/>
      <c r="OL46" s="325"/>
      <c r="OM46" s="325"/>
      <c r="ON46" s="325"/>
      <c r="OO46" s="325"/>
      <c r="OP46" s="325"/>
      <c r="OQ46" s="325"/>
      <c r="OR46" s="325"/>
      <c r="OS46" s="325"/>
      <c r="OT46" s="325"/>
      <c r="OU46" s="325"/>
      <c r="OV46" s="325"/>
      <c r="OW46" s="325"/>
      <c r="OX46" s="325"/>
      <c r="OY46" s="325"/>
      <c r="OZ46" s="325"/>
      <c r="PA46" s="325"/>
      <c r="PB46" s="325"/>
      <c r="PC46" s="325"/>
      <c r="PD46" s="325"/>
      <c r="PE46" s="325"/>
      <c r="PF46" s="325"/>
      <c r="PG46" s="325"/>
      <c r="PH46" s="325"/>
      <c r="PI46" s="325"/>
      <c r="PJ46" s="325"/>
      <c r="PK46" s="325"/>
      <c r="PL46" s="325"/>
      <c r="PM46" s="325"/>
      <c r="PN46" s="325"/>
      <c r="PO46" s="325"/>
      <c r="PP46" s="325"/>
      <c r="PQ46" s="325"/>
      <c r="PR46" s="325"/>
      <c r="PS46" s="325"/>
      <c r="PT46" s="325"/>
      <c r="PU46" s="325"/>
      <c r="PV46" s="325"/>
      <c r="PW46" s="325"/>
      <c r="PX46" s="325"/>
      <c r="PY46" s="325"/>
      <c r="PZ46" s="325"/>
      <c r="QA46" s="325"/>
      <c r="QB46" s="325"/>
      <c r="QC46" s="325"/>
      <c r="QD46" s="325"/>
      <c r="QE46" s="325"/>
      <c r="QF46" s="325"/>
      <c r="QG46" s="325"/>
      <c r="QH46" s="325"/>
      <c r="QI46" s="325"/>
      <c r="QJ46" s="325"/>
      <c r="QK46" s="325"/>
      <c r="QL46" s="325"/>
      <c r="QM46" s="325"/>
      <c r="QN46" s="325"/>
      <c r="QO46" s="325"/>
      <c r="QP46" s="325"/>
      <c r="QQ46" s="325"/>
      <c r="QR46" s="325"/>
      <c r="QS46" s="325"/>
      <c r="QT46" s="325"/>
      <c r="QU46" s="325"/>
      <c r="QV46" s="325"/>
      <c r="QW46" s="325"/>
      <c r="QX46" s="325"/>
      <c r="QY46" s="325"/>
      <c r="QZ46" s="325"/>
      <c r="RA46" s="325"/>
      <c r="RB46" s="325"/>
      <c r="RC46" s="325"/>
      <c r="RD46" s="325"/>
      <c r="RE46" s="325"/>
      <c r="RF46" s="325"/>
      <c r="RG46" s="325"/>
      <c r="RH46" s="325"/>
      <c r="RI46" s="325"/>
      <c r="RJ46" s="325"/>
      <c r="RK46" s="325"/>
      <c r="RL46" s="325"/>
      <c r="RM46" s="325"/>
      <c r="RN46" s="325"/>
      <c r="RO46" s="325"/>
      <c r="RP46" s="325"/>
      <c r="RQ46" s="325"/>
      <c r="RR46" s="325"/>
      <c r="RS46" s="325"/>
      <c r="RT46" s="325"/>
      <c r="RU46" s="325"/>
      <c r="RV46" s="325"/>
      <c r="RW46" s="325"/>
      <c r="RX46" s="325"/>
      <c r="RY46" s="325"/>
      <c r="RZ46" s="325"/>
      <c r="SA46" s="325"/>
      <c r="SB46" s="325"/>
      <c r="SC46" s="325"/>
      <c r="SD46" s="325"/>
      <c r="SE46" s="325"/>
      <c r="SF46" s="325"/>
      <c r="SG46" s="325"/>
      <c r="SH46" s="325"/>
      <c r="SI46" s="325"/>
      <c r="SJ46" s="325"/>
      <c r="SK46" s="325"/>
      <c r="SL46" s="325"/>
      <c r="SM46" s="325"/>
      <c r="SN46" s="325"/>
      <c r="SO46" s="325"/>
      <c r="SP46" s="325"/>
      <c r="SQ46" s="325"/>
      <c r="SR46" s="325"/>
      <c r="SS46" s="325"/>
      <c r="ST46" s="325"/>
      <c r="SU46" s="325"/>
      <c r="SV46" s="325"/>
      <c r="SW46" s="325"/>
      <c r="SX46" s="325"/>
      <c r="SY46" s="325"/>
      <c r="SZ46" s="325"/>
      <c r="TA46" s="325"/>
      <c r="TB46" s="325"/>
      <c r="TC46" s="325"/>
      <c r="TD46" s="325"/>
      <c r="TE46" s="325"/>
      <c r="TF46" s="325"/>
      <c r="TG46" s="325"/>
      <c r="TH46" s="325"/>
      <c r="TI46" s="325"/>
      <c r="TJ46" s="325"/>
      <c r="TK46" s="325"/>
      <c r="TL46" s="325"/>
      <c r="TM46" s="325"/>
      <c r="TN46" s="325"/>
      <c r="TO46" s="325"/>
      <c r="TP46" s="325"/>
      <c r="TQ46" s="325"/>
      <c r="TR46" s="325"/>
      <c r="TS46" s="325"/>
      <c r="TT46" s="325"/>
      <c r="TU46" s="325"/>
      <c r="TV46" s="325"/>
      <c r="TW46" s="325"/>
      <c r="TX46" s="325"/>
      <c r="TY46" s="325"/>
      <c r="TZ46" s="325"/>
      <c r="UA46" s="325"/>
      <c r="UB46" s="325"/>
      <c r="UC46" s="325"/>
      <c r="UD46" s="325"/>
      <c r="UE46" s="325"/>
      <c r="UF46" s="325"/>
      <c r="UG46" s="325"/>
      <c r="UH46" s="325"/>
      <c r="UI46" s="325"/>
      <c r="UJ46" s="325"/>
      <c r="UK46" s="325"/>
      <c r="UL46" s="325"/>
      <c r="UM46" s="325"/>
      <c r="UN46" s="325"/>
      <c r="UO46" s="325"/>
      <c r="UP46" s="325"/>
      <c r="UQ46" s="325"/>
      <c r="UR46" s="325"/>
      <c r="US46" s="325"/>
      <c r="UT46" s="325"/>
      <c r="UU46" s="325"/>
      <c r="UV46" s="325"/>
      <c r="UW46" s="325"/>
      <c r="UX46" s="325"/>
      <c r="UY46" s="325"/>
      <c r="UZ46" s="325"/>
      <c r="VA46" s="325"/>
      <c r="VB46" s="325"/>
      <c r="VC46" s="325"/>
      <c r="VD46" s="325"/>
      <c r="VE46" s="325"/>
      <c r="VF46" s="325"/>
      <c r="VG46" s="325"/>
      <c r="VH46" s="325"/>
      <c r="VI46" s="325"/>
      <c r="VJ46" s="325"/>
      <c r="VK46" s="325"/>
      <c r="VL46" s="325"/>
      <c r="VM46" s="325"/>
      <c r="VN46" s="325"/>
      <c r="VO46" s="325"/>
      <c r="VP46" s="325"/>
      <c r="VQ46" s="325"/>
      <c r="VR46" s="325"/>
      <c r="VS46" s="325"/>
      <c r="VT46" s="325"/>
      <c r="VU46" s="325"/>
      <c r="VV46" s="325"/>
      <c r="VW46" s="325"/>
      <c r="VX46" s="325"/>
      <c r="VY46" s="325"/>
      <c r="VZ46" s="325"/>
      <c r="WA46" s="325"/>
      <c r="WB46" s="325"/>
      <c r="WC46" s="325"/>
      <c r="WD46" s="325"/>
      <c r="WE46" s="325"/>
      <c r="WF46" s="325"/>
      <c r="WG46" s="325"/>
      <c r="WH46" s="325"/>
      <c r="WI46" s="325"/>
      <c r="WJ46" s="325"/>
      <c r="WK46" s="325"/>
      <c r="WL46" s="325"/>
      <c r="WM46" s="325"/>
      <c r="WN46" s="325"/>
      <c r="WO46" s="325"/>
      <c r="WP46" s="325"/>
      <c r="WQ46" s="325"/>
      <c r="WR46" s="325"/>
      <c r="WS46" s="325"/>
      <c r="WT46" s="325"/>
      <c r="WU46" s="325"/>
      <c r="WV46" s="325"/>
      <c r="WW46" s="325"/>
      <c r="WX46" s="325"/>
      <c r="WY46" s="325"/>
      <c r="WZ46" s="325"/>
      <c r="XA46" s="325"/>
      <c r="XB46" s="325"/>
      <c r="XC46" s="325"/>
      <c r="XD46" s="325"/>
      <c r="XE46" s="325"/>
      <c r="XF46" s="325"/>
      <c r="XG46" s="325"/>
      <c r="XH46" s="325"/>
      <c r="XI46" s="325"/>
      <c r="XJ46" s="325"/>
      <c r="XK46" s="325"/>
      <c r="XL46" s="325"/>
      <c r="XM46" s="325"/>
      <c r="XN46" s="325"/>
      <c r="XO46" s="325"/>
      <c r="XP46" s="325"/>
      <c r="XQ46" s="325"/>
      <c r="XR46" s="325"/>
      <c r="XS46" s="325"/>
      <c r="XT46" s="325"/>
      <c r="XU46" s="325"/>
      <c r="XV46" s="325"/>
      <c r="XW46" s="325"/>
      <c r="XX46" s="325"/>
      <c r="XY46" s="325"/>
      <c r="XZ46" s="325"/>
      <c r="YA46" s="325"/>
      <c r="YB46" s="325"/>
      <c r="YC46" s="325"/>
      <c r="YD46" s="325"/>
      <c r="YE46" s="325"/>
      <c r="YF46" s="325"/>
      <c r="YG46" s="325"/>
      <c r="YH46" s="325"/>
      <c r="YI46" s="325"/>
      <c r="YJ46" s="325"/>
      <c r="YK46" s="325"/>
      <c r="YL46" s="325"/>
      <c r="YM46" s="325"/>
      <c r="YN46" s="325"/>
      <c r="YO46" s="325"/>
      <c r="YP46" s="325"/>
      <c r="YQ46" s="325"/>
      <c r="YR46" s="325"/>
      <c r="YS46" s="325"/>
      <c r="YT46" s="325"/>
      <c r="YU46" s="325"/>
      <c r="YV46" s="325"/>
      <c r="YW46" s="325"/>
      <c r="YX46" s="325"/>
      <c r="YY46" s="325"/>
      <c r="YZ46" s="325"/>
      <c r="ZA46" s="325"/>
      <c r="ZB46" s="325"/>
      <c r="ZC46" s="325"/>
      <c r="ZD46" s="325"/>
      <c r="ZE46" s="325"/>
      <c r="ZF46" s="325"/>
      <c r="ZG46" s="325"/>
      <c r="ZH46" s="325"/>
      <c r="ZI46" s="325"/>
      <c r="ZJ46" s="325"/>
      <c r="ZK46" s="325"/>
      <c r="ZL46" s="325"/>
      <c r="ZM46" s="325"/>
      <c r="ZN46" s="325"/>
      <c r="ZO46" s="325"/>
      <c r="ZP46" s="325"/>
      <c r="ZQ46" s="325"/>
      <c r="ZR46" s="325"/>
      <c r="ZS46" s="325"/>
      <c r="ZT46" s="325"/>
      <c r="ZU46" s="325"/>
      <c r="ZV46" s="325"/>
      <c r="ZW46" s="325"/>
      <c r="ZX46" s="325"/>
      <c r="ZY46" s="325"/>
      <c r="ZZ46" s="325"/>
      <c r="AAA46" s="325"/>
      <c r="AAB46" s="325"/>
      <c r="AAC46" s="325"/>
      <c r="AAD46" s="325"/>
      <c r="AAE46" s="325"/>
      <c r="AAF46" s="325"/>
      <c r="AAG46" s="325"/>
      <c r="AAH46" s="325"/>
      <c r="AAI46" s="325"/>
      <c r="AAJ46" s="325"/>
      <c r="AAK46" s="325"/>
      <c r="AAL46" s="325"/>
      <c r="AAM46" s="325"/>
      <c r="AAN46" s="325"/>
      <c r="AAO46" s="325"/>
      <c r="AAP46" s="325"/>
      <c r="AAQ46" s="325"/>
      <c r="AAR46" s="325"/>
      <c r="AAS46" s="325"/>
      <c r="AAT46" s="325"/>
      <c r="AAU46" s="325"/>
      <c r="AAV46" s="325"/>
      <c r="AAW46" s="325"/>
      <c r="AAX46" s="325"/>
      <c r="AAY46" s="325"/>
      <c r="AAZ46" s="325"/>
      <c r="ABA46" s="325"/>
      <c r="ABB46" s="325"/>
      <c r="ABC46" s="325"/>
      <c r="ABD46" s="325"/>
      <c r="ABE46" s="325"/>
      <c r="ABF46" s="325"/>
      <c r="ABG46" s="325"/>
      <c r="ABH46" s="325"/>
      <c r="ABI46" s="325"/>
      <c r="ABJ46" s="325"/>
      <c r="ABK46" s="325"/>
      <c r="ABL46" s="325"/>
      <c r="ABM46" s="325"/>
      <c r="ABN46" s="325"/>
      <c r="ABO46" s="325"/>
      <c r="ABP46" s="325"/>
      <c r="ABQ46" s="325"/>
      <c r="ABR46" s="325"/>
      <c r="ABS46" s="325"/>
      <c r="ABT46" s="325"/>
      <c r="ABU46" s="325"/>
      <c r="ABV46" s="325"/>
      <c r="ABW46" s="325"/>
      <c r="ABX46" s="325"/>
      <c r="ABY46" s="325"/>
      <c r="ABZ46" s="325"/>
      <c r="ACA46" s="325"/>
      <c r="ACB46" s="325"/>
      <c r="ACC46" s="325"/>
      <c r="ACD46" s="325"/>
      <c r="ACE46" s="325"/>
      <c r="ACF46" s="325"/>
      <c r="ACG46" s="325"/>
      <c r="ACH46" s="325"/>
      <c r="ACI46" s="325"/>
      <c r="ACJ46" s="325"/>
      <c r="ACK46" s="325"/>
      <c r="ACL46" s="325"/>
      <c r="ACM46" s="325"/>
      <c r="ACN46" s="325"/>
      <c r="ACO46" s="325"/>
      <c r="ACP46" s="325"/>
      <c r="ACQ46" s="325"/>
      <c r="ACR46" s="325"/>
      <c r="ACS46" s="325"/>
      <c r="ACT46" s="325"/>
      <c r="ACU46" s="325"/>
      <c r="ACV46" s="325"/>
      <c r="ACW46" s="325"/>
      <c r="ACX46" s="325"/>
      <c r="ACY46" s="325"/>
      <c r="ACZ46" s="325"/>
      <c r="ADA46" s="325"/>
      <c r="ADB46" s="325"/>
      <c r="ADC46" s="325"/>
      <c r="ADD46" s="325"/>
      <c r="ADE46" s="325"/>
      <c r="ADF46" s="325"/>
      <c r="ADG46" s="325"/>
      <c r="ADH46" s="325"/>
      <c r="ADI46" s="325"/>
      <c r="ADJ46" s="325"/>
      <c r="ADK46" s="325"/>
      <c r="ADL46" s="325"/>
      <c r="ADM46" s="325"/>
      <c r="ADN46" s="325"/>
      <c r="ADO46" s="325"/>
      <c r="ADP46" s="325"/>
      <c r="ADQ46" s="325"/>
      <c r="ADR46" s="325"/>
      <c r="ADS46" s="325"/>
      <c r="ADT46" s="325"/>
      <c r="ADU46" s="325"/>
      <c r="ADV46" s="325"/>
      <c r="ADW46" s="325"/>
      <c r="ADX46" s="325"/>
      <c r="ADY46" s="325"/>
      <c r="ADZ46" s="325"/>
      <c r="AEA46" s="325"/>
      <c r="AEB46" s="325"/>
      <c r="AEC46" s="325"/>
      <c r="AED46" s="325"/>
      <c r="AEE46" s="325"/>
      <c r="AEF46" s="325"/>
      <c r="AEG46" s="325"/>
      <c r="AEH46" s="325"/>
      <c r="AEI46" s="325"/>
      <c r="AEJ46" s="325"/>
      <c r="AEK46" s="325"/>
      <c r="AEL46" s="325"/>
      <c r="AEM46" s="325"/>
      <c r="AEN46" s="325"/>
      <c r="AEO46" s="325"/>
      <c r="AEP46" s="325"/>
      <c r="AEQ46" s="325"/>
      <c r="AER46" s="325"/>
      <c r="AES46" s="325"/>
      <c r="AET46" s="325"/>
      <c r="AEU46" s="325"/>
      <c r="AEV46" s="325"/>
      <c r="AEW46" s="325"/>
      <c r="AEX46" s="325"/>
      <c r="AEY46" s="325"/>
      <c r="AEZ46" s="325"/>
      <c r="AFA46" s="325"/>
      <c r="AFB46" s="325"/>
      <c r="AFC46" s="325"/>
      <c r="AFD46" s="325"/>
      <c r="AFE46" s="325"/>
      <c r="AFF46" s="325"/>
      <c r="AFG46" s="325"/>
      <c r="AFH46" s="325"/>
      <c r="AFI46" s="325"/>
      <c r="AFJ46" s="325"/>
      <c r="AFK46" s="325"/>
      <c r="AFL46" s="325"/>
      <c r="AFM46" s="325"/>
      <c r="AFN46" s="325"/>
      <c r="AFO46" s="325"/>
      <c r="AFP46" s="325"/>
      <c r="AFQ46" s="325"/>
      <c r="AFR46" s="325"/>
      <c r="AFS46" s="325"/>
      <c r="AFT46" s="325"/>
      <c r="AFU46" s="325"/>
      <c r="AFV46" s="325"/>
      <c r="AFW46" s="325"/>
      <c r="AFX46" s="325"/>
      <c r="AFY46" s="325"/>
      <c r="AFZ46" s="325"/>
      <c r="AGA46" s="325"/>
      <c r="AGB46" s="325"/>
      <c r="AGC46" s="325"/>
      <c r="AGD46" s="325"/>
      <c r="AGE46" s="325"/>
      <c r="AGF46" s="325"/>
      <c r="AGG46" s="325"/>
      <c r="AGH46" s="325"/>
      <c r="AGI46" s="325"/>
      <c r="AGJ46" s="325"/>
      <c r="AGK46" s="325"/>
      <c r="AGL46" s="325"/>
      <c r="AGM46" s="325"/>
      <c r="AGN46" s="325"/>
      <c r="AGO46" s="325"/>
      <c r="AGP46" s="325"/>
      <c r="AGQ46" s="325"/>
      <c r="AGR46" s="325"/>
      <c r="AGS46" s="325"/>
      <c r="AGT46" s="325"/>
      <c r="AGU46" s="325"/>
      <c r="AGV46" s="325"/>
      <c r="AGW46" s="325"/>
      <c r="AGX46" s="325"/>
      <c r="AGY46" s="325"/>
      <c r="AGZ46" s="325"/>
      <c r="AHA46" s="325"/>
      <c r="AHB46" s="325"/>
      <c r="AHC46" s="325"/>
      <c r="AHD46" s="325"/>
      <c r="AHE46" s="325"/>
      <c r="AHF46" s="325"/>
      <c r="AHG46" s="325"/>
      <c r="AHH46" s="325"/>
      <c r="AHI46" s="325"/>
      <c r="AHJ46" s="325"/>
      <c r="AHK46" s="325"/>
      <c r="AHL46" s="325"/>
      <c r="AHM46" s="325"/>
      <c r="AHN46" s="325"/>
      <c r="AHO46" s="325"/>
      <c r="AHP46" s="325"/>
      <c r="AHQ46" s="325"/>
      <c r="AHR46" s="325"/>
      <c r="AHS46" s="325"/>
      <c r="AHT46" s="325"/>
      <c r="AHU46" s="325"/>
      <c r="AHV46" s="325"/>
      <c r="AHW46" s="325"/>
      <c r="AHX46" s="325"/>
      <c r="AHY46" s="325"/>
      <c r="AHZ46" s="325"/>
      <c r="AIA46" s="325"/>
      <c r="AIB46" s="325"/>
      <c r="AIC46" s="325"/>
      <c r="AID46" s="325"/>
      <c r="AIE46" s="325"/>
      <c r="AIF46" s="325"/>
      <c r="AIG46" s="325"/>
      <c r="AIH46" s="325"/>
      <c r="AII46" s="325"/>
      <c r="AIJ46" s="325"/>
      <c r="AIK46" s="325"/>
      <c r="AIL46" s="325"/>
      <c r="AIM46" s="325"/>
      <c r="AIN46" s="325"/>
      <c r="AIO46" s="325"/>
      <c r="AIP46" s="325"/>
      <c r="AIQ46" s="325"/>
      <c r="AIR46" s="325"/>
      <c r="AIS46" s="325"/>
      <c r="AIT46" s="325"/>
      <c r="AIU46" s="325"/>
      <c r="AIV46" s="325"/>
      <c r="AIW46" s="325"/>
      <c r="AIX46" s="325"/>
      <c r="AIY46" s="325"/>
      <c r="AIZ46" s="325"/>
      <c r="AJA46" s="325"/>
      <c r="AJB46" s="325"/>
      <c r="AJC46" s="325"/>
      <c r="AJD46" s="325"/>
      <c r="AJE46" s="325"/>
      <c r="AJF46" s="325"/>
      <c r="AJG46" s="325"/>
      <c r="AJH46" s="325"/>
      <c r="AJI46" s="325"/>
      <c r="AJJ46" s="325"/>
      <c r="AJK46" s="325"/>
      <c r="AJL46" s="325"/>
      <c r="AJM46" s="325"/>
      <c r="AJN46" s="325"/>
      <c r="AJO46" s="325"/>
      <c r="AJP46" s="325"/>
      <c r="AJQ46" s="325"/>
      <c r="AJR46" s="325"/>
      <c r="AJS46" s="325"/>
      <c r="AJT46" s="325"/>
      <c r="AJU46" s="325"/>
      <c r="AJV46" s="325"/>
      <c r="AJW46" s="325"/>
      <c r="AJX46" s="325"/>
      <c r="AJY46" s="325"/>
      <c r="AJZ46" s="325"/>
      <c r="AKA46" s="325"/>
      <c r="AKB46" s="325"/>
      <c r="AKC46" s="325"/>
      <c r="AKD46" s="325"/>
      <c r="AKE46" s="325"/>
      <c r="AKF46" s="325"/>
      <c r="AKG46" s="325"/>
      <c r="AKH46" s="325"/>
      <c r="AKI46" s="325"/>
      <c r="AKJ46" s="325"/>
      <c r="AKK46" s="325"/>
      <c r="AKL46" s="325"/>
      <c r="AKM46" s="325"/>
      <c r="AKN46" s="325"/>
      <c r="AKO46" s="325"/>
      <c r="AKP46" s="325"/>
      <c r="AKQ46" s="325"/>
      <c r="AKR46" s="325"/>
      <c r="AKS46" s="325"/>
      <c r="AKT46" s="325"/>
      <c r="AKU46" s="325"/>
      <c r="AKV46" s="325"/>
      <c r="AKW46" s="325"/>
      <c r="AKX46" s="325"/>
      <c r="AKY46" s="325"/>
      <c r="AKZ46" s="325"/>
      <c r="ALA46" s="325"/>
      <c r="ALB46" s="325"/>
      <c r="ALC46" s="325"/>
      <c r="ALD46" s="325"/>
      <c r="ALE46" s="325"/>
      <c r="ALF46" s="325"/>
      <c r="ALG46" s="325"/>
      <c r="ALH46" s="325"/>
      <c r="ALI46" s="325"/>
      <c r="ALJ46" s="325"/>
      <c r="ALK46" s="325"/>
      <c r="ALL46" s="325"/>
      <c r="ALM46" s="325"/>
      <c r="ALN46" s="325"/>
      <c r="ALO46" s="325"/>
      <c r="ALP46" s="325"/>
      <c r="ALQ46" s="325"/>
      <c r="ALR46" s="325"/>
      <c r="ALS46" s="325"/>
      <c r="ALT46" s="325"/>
      <c r="ALU46" s="325"/>
      <c r="ALV46" s="325"/>
      <c r="ALW46" s="325"/>
      <c r="ALX46" s="325"/>
      <c r="ALY46" s="325"/>
      <c r="ALZ46" s="325"/>
      <c r="AMA46" s="325"/>
      <c r="AMB46" s="325"/>
      <c r="AMC46" s="325"/>
    </row>
    <row r="47" spans="3:1017" s="75" customFormat="1">
      <c r="C47" s="130"/>
      <c r="D47" s="130"/>
      <c r="CN47" s="225"/>
      <c r="CQ47" s="226"/>
      <c r="LD47" s="213"/>
      <c r="LH47" s="286"/>
      <c r="LI47" s="287"/>
      <c r="LJ47" s="124"/>
      <c r="LK47" s="124"/>
      <c r="LL47" s="124"/>
      <c r="LM47" s="124"/>
      <c r="LN47" s="124"/>
      <c r="LO47" s="124"/>
      <c r="LP47" s="124"/>
      <c r="LQ47" s="124"/>
      <c r="LR47" s="124"/>
      <c r="NE47" s="330"/>
      <c r="NF47" s="325"/>
      <c r="NG47" s="325"/>
      <c r="NH47" s="325"/>
      <c r="NI47" s="325"/>
      <c r="NJ47" s="325"/>
      <c r="NK47" s="325"/>
      <c r="NL47" s="325"/>
      <c r="NM47" s="325"/>
      <c r="NN47" s="325"/>
      <c r="NO47" s="325"/>
      <c r="NP47" s="325"/>
      <c r="NQ47" s="325"/>
      <c r="NR47" s="325"/>
      <c r="NS47" s="325"/>
      <c r="NT47" s="325"/>
      <c r="NU47" s="325"/>
      <c r="NV47" s="325"/>
      <c r="NW47" s="325"/>
      <c r="NX47" s="325"/>
      <c r="NY47" s="325"/>
      <c r="NZ47" s="325"/>
      <c r="OA47" s="325"/>
      <c r="OB47" s="325"/>
      <c r="OC47" s="325"/>
      <c r="OD47" s="325"/>
      <c r="OE47" s="325"/>
      <c r="OF47" s="325"/>
      <c r="OG47" s="325"/>
      <c r="OH47" s="325"/>
      <c r="OI47" s="325"/>
      <c r="OJ47" s="325"/>
      <c r="OK47" s="325"/>
      <c r="OL47" s="325"/>
      <c r="OM47" s="325"/>
      <c r="ON47" s="325"/>
      <c r="OO47" s="325"/>
      <c r="OP47" s="325"/>
      <c r="OQ47" s="325"/>
      <c r="OR47" s="325"/>
      <c r="OS47" s="325"/>
      <c r="OT47" s="325"/>
      <c r="OU47" s="325"/>
      <c r="OV47" s="325"/>
      <c r="OW47" s="325"/>
      <c r="OX47" s="325"/>
      <c r="OY47" s="325"/>
      <c r="OZ47" s="325"/>
      <c r="PA47" s="325"/>
      <c r="PB47" s="325"/>
      <c r="PC47" s="325"/>
      <c r="PD47" s="325"/>
      <c r="PE47" s="325"/>
      <c r="PF47" s="325"/>
      <c r="PG47" s="325"/>
      <c r="PH47" s="325"/>
      <c r="PI47" s="325"/>
      <c r="PJ47" s="325"/>
      <c r="PK47" s="325"/>
      <c r="PL47" s="325"/>
      <c r="PM47" s="325"/>
      <c r="PN47" s="325"/>
      <c r="PO47" s="325"/>
      <c r="PP47" s="325"/>
      <c r="PQ47" s="325"/>
      <c r="PR47" s="325"/>
      <c r="PS47" s="325"/>
      <c r="PT47" s="325"/>
      <c r="PU47" s="325"/>
      <c r="PV47" s="325"/>
      <c r="PW47" s="325"/>
      <c r="PX47" s="325"/>
      <c r="PY47" s="325"/>
      <c r="PZ47" s="325"/>
      <c r="QA47" s="325"/>
      <c r="QB47" s="325"/>
      <c r="QC47" s="325"/>
      <c r="QD47" s="325"/>
      <c r="QE47" s="325"/>
      <c r="QF47" s="325"/>
      <c r="QG47" s="325"/>
      <c r="QH47" s="325"/>
      <c r="QI47" s="325"/>
      <c r="QJ47" s="325"/>
      <c r="QK47" s="325"/>
      <c r="QL47" s="325"/>
      <c r="QM47" s="325"/>
      <c r="QN47" s="325"/>
      <c r="QO47" s="325"/>
      <c r="QP47" s="325"/>
      <c r="QQ47" s="325"/>
      <c r="QR47" s="325"/>
      <c r="QS47" s="325"/>
      <c r="QT47" s="325"/>
      <c r="QU47" s="325"/>
      <c r="QV47" s="325"/>
      <c r="QW47" s="325"/>
      <c r="QX47" s="325"/>
      <c r="QY47" s="325"/>
      <c r="QZ47" s="325"/>
      <c r="RA47" s="325"/>
      <c r="RB47" s="325"/>
      <c r="RC47" s="325"/>
      <c r="RD47" s="325"/>
      <c r="RE47" s="325"/>
      <c r="RF47" s="325"/>
      <c r="RG47" s="325"/>
      <c r="RH47" s="325"/>
      <c r="RI47" s="325"/>
      <c r="RJ47" s="325"/>
      <c r="RK47" s="325"/>
      <c r="RL47" s="325"/>
      <c r="RM47" s="325"/>
      <c r="RN47" s="325"/>
      <c r="RO47" s="325"/>
      <c r="RP47" s="325"/>
      <c r="RQ47" s="325"/>
      <c r="RR47" s="325"/>
      <c r="RS47" s="325"/>
      <c r="RT47" s="325"/>
      <c r="RU47" s="325"/>
      <c r="RV47" s="325"/>
      <c r="RW47" s="325"/>
      <c r="RX47" s="325"/>
      <c r="RY47" s="325"/>
      <c r="RZ47" s="325"/>
      <c r="SA47" s="325"/>
      <c r="SB47" s="325"/>
      <c r="SC47" s="325"/>
      <c r="SD47" s="325"/>
      <c r="SE47" s="325"/>
      <c r="SF47" s="325"/>
      <c r="SG47" s="325"/>
      <c r="SH47" s="325"/>
      <c r="SI47" s="325"/>
      <c r="SJ47" s="325"/>
      <c r="SK47" s="325"/>
      <c r="SL47" s="325"/>
      <c r="SM47" s="325"/>
      <c r="SN47" s="325"/>
      <c r="SO47" s="325"/>
      <c r="SP47" s="325"/>
      <c r="SQ47" s="325"/>
      <c r="SR47" s="325"/>
      <c r="SS47" s="325"/>
      <c r="ST47" s="325"/>
      <c r="SU47" s="325"/>
      <c r="SV47" s="325"/>
      <c r="SW47" s="325"/>
      <c r="SX47" s="325"/>
      <c r="SY47" s="325"/>
      <c r="SZ47" s="325"/>
      <c r="TA47" s="325"/>
      <c r="TB47" s="325"/>
      <c r="TC47" s="325"/>
      <c r="TD47" s="325"/>
      <c r="TE47" s="325"/>
      <c r="TF47" s="325"/>
      <c r="TG47" s="325"/>
      <c r="TH47" s="325"/>
      <c r="TI47" s="325"/>
      <c r="TJ47" s="325"/>
      <c r="TK47" s="325"/>
      <c r="TL47" s="325"/>
      <c r="TM47" s="325"/>
      <c r="TN47" s="325"/>
      <c r="TO47" s="325"/>
      <c r="TP47" s="325"/>
      <c r="TQ47" s="325"/>
      <c r="TR47" s="325"/>
      <c r="TS47" s="325"/>
      <c r="TT47" s="325"/>
      <c r="TU47" s="325"/>
      <c r="TV47" s="325"/>
      <c r="TW47" s="325"/>
      <c r="TX47" s="325"/>
      <c r="TY47" s="325"/>
      <c r="TZ47" s="325"/>
      <c r="UA47" s="325"/>
      <c r="UB47" s="325"/>
      <c r="UC47" s="325"/>
      <c r="UD47" s="325"/>
      <c r="UE47" s="325"/>
      <c r="UF47" s="325"/>
      <c r="UG47" s="325"/>
      <c r="UH47" s="325"/>
      <c r="UI47" s="325"/>
      <c r="UJ47" s="325"/>
      <c r="UK47" s="325"/>
      <c r="UL47" s="325"/>
      <c r="UM47" s="325"/>
      <c r="UN47" s="325"/>
      <c r="UO47" s="325"/>
      <c r="UP47" s="325"/>
      <c r="UQ47" s="325"/>
      <c r="UR47" s="325"/>
      <c r="US47" s="325"/>
      <c r="UT47" s="325"/>
      <c r="UU47" s="325"/>
      <c r="UV47" s="325"/>
      <c r="UW47" s="325"/>
      <c r="UX47" s="325"/>
      <c r="UY47" s="325"/>
      <c r="UZ47" s="325"/>
      <c r="VA47" s="325"/>
      <c r="VB47" s="325"/>
      <c r="VC47" s="325"/>
      <c r="VD47" s="325"/>
      <c r="VE47" s="325"/>
      <c r="VF47" s="325"/>
      <c r="VG47" s="325"/>
      <c r="VH47" s="325"/>
      <c r="VI47" s="325"/>
      <c r="VJ47" s="325"/>
      <c r="VK47" s="325"/>
      <c r="VL47" s="325"/>
      <c r="VM47" s="325"/>
      <c r="VN47" s="325"/>
      <c r="VO47" s="325"/>
      <c r="VP47" s="325"/>
      <c r="VQ47" s="325"/>
      <c r="VR47" s="325"/>
      <c r="VS47" s="325"/>
      <c r="VT47" s="325"/>
      <c r="VU47" s="325"/>
      <c r="VV47" s="325"/>
      <c r="VW47" s="325"/>
      <c r="VX47" s="325"/>
      <c r="VY47" s="325"/>
      <c r="VZ47" s="325"/>
      <c r="WA47" s="325"/>
      <c r="WB47" s="325"/>
      <c r="WC47" s="325"/>
      <c r="WD47" s="325"/>
      <c r="WE47" s="325"/>
      <c r="WF47" s="325"/>
      <c r="WG47" s="325"/>
      <c r="WH47" s="325"/>
      <c r="WI47" s="325"/>
      <c r="WJ47" s="325"/>
      <c r="WK47" s="325"/>
      <c r="WL47" s="325"/>
      <c r="WM47" s="325"/>
      <c r="WN47" s="325"/>
      <c r="WO47" s="325"/>
      <c r="WP47" s="325"/>
      <c r="WQ47" s="325"/>
      <c r="WR47" s="325"/>
      <c r="WS47" s="325"/>
      <c r="WT47" s="325"/>
      <c r="WU47" s="325"/>
      <c r="WV47" s="325"/>
      <c r="WW47" s="325"/>
      <c r="WX47" s="325"/>
      <c r="WY47" s="325"/>
      <c r="WZ47" s="325"/>
      <c r="XA47" s="325"/>
      <c r="XB47" s="325"/>
      <c r="XC47" s="325"/>
      <c r="XD47" s="325"/>
      <c r="XE47" s="325"/>
      <c r="XF47" s="325"/>
      <c r="XG47" s="325"/>
      <c r="XH47" s="325"/>
      <c r="XI47" s="325"/>
      <c r="XJ47" s="325"/>
      <c r="XK47" s="325"/>
      <c r="XL47" s="325"/>
      <c r="XM47" s="325"/>
      <c r="XN47" s="325"/>
      <c r="XO47" s="325"/>
      <c r="XP47" s="325"/>
      <c r="XQ47" s="325"/>
      <c r="XR47" s="325"/>
      <c r="XS47" s="325"/>
      <c r="XT47" s="325"/>
      <c r="XU47" s="325"/>
      <c r="XV47" s="325"/>
      <c r="XW47" s="325"/>
      <c r="XX47" s="325"/>
      <c r="XY47" s="325"/>
      <c r="XZ47" s="325"/>
      <c r="YA47" s="325"/>
      <c r="YB47" s="325"/>
      <c r="YC47" s="325"/>
      <c r="YD47" s="325"/>
      <c r="YE47" s="325"/>
      <c r="YF47" s="325"/>
      <c r="YG47" s="325"/>
      <c r="YH47" s="325"/>
      <c r="YI47" s="325"/>
      <c r="YJ47" s="325"/>
      <c r="YK47" s="325"/>
      <c r="YL47" s="325"/>
      <c r="YM47" s="325"/>
      <c r="YN47" s="325"/>
      <c r="YO47" s="325"/>
      <c r="YP47" s="325"/>
      <c r="YQ47" s="325"/>
      <c r="YR47" s="325"/>
      <c r="YS47" s="325"/>
      <c r="YT47" s="325"/>
      <c r="YU47" s="325"/>
      <c r="YV47" s="325"/>
      <c r="YW47" s="325"/>
      <c r="YX47" s="325"/>
      <c r="YY47" s="325"/>
      <c r="YZ47" s="325"/>
      <c r="ZA47" s="325"/>
      <c r="ZB47" s="325"/>
      <c r="ZC47" s="325"/>
      <c r="ZD47" s="325"/>
      <c r="ZE47" s="325"/>
      <c r="ZF47" s="325"/>
      <c r="ZG47" s="325"/>
      <c r="ZH47" s="325"/>
      <c r="ZI47" s="325"/>
      <c r="ZJ47" s="325"/>
      <c r="ZK47" s="325"/>
      <c r="ZL47" s="325"/>
      <c r="ZM47" s="325"/>
      <c r="ZN47" s="325"/>
      <c r="ZO47" s="325"/>
      <c r="ZP47" s="325"/>
      <c r="ZQ47" s="325"/>
      <c r="ZR47" s="325"/>
      <c r="ZS47" s="325"/>
      <c r="ZT47" s="325"/>
      <c r="ZU47" s="325"/>
      <c r="ZV47" s="325"/>
      <c r="ZW47" s="325"/>
      <c r="ZX47" s="325"/>
      <c r="ZY47" s="325"/>
      <c r="ZZ47" s="325"/>
      <c r="AAA47" s="325"/>
      <c r="AAB47" s="325"/>
      <c r="AAC47" s="325"/>
      <c r="AAD47" s="325"/>
      <c r="AAE47" s="325"/>
      <c r="AAF47" s="325"/>
      <c r="AAG47" s="325"/>
      <c r="AAH47" s="325"/>
      <c r="AAI47" s="325"/>
      <c r="AAJ47" s="325"/>
      <c r="AAK47" s="325"/>
      <c r="AAL47" s="325"/>
      <c r="AAM47" s="325"/>
      <c r="AAN47" s="325"/>
      <c r="AAO47" s="325"/>
      <c r="AAP47" s="325"/>
      <c r="AAQ47" s="325"/>
      <c r="AAR47" s="325"/>
      <c r="AAS47" s="325"/>
      <c r="AAT47" s="325"/>
      <c r="AAU47" s="325"/>
      <c r="AAV47" s="325"/>
      <c r="AAW47" s="325"/>
      <c r="AAX47" s="325"/>
      <c r="AAY47" s="325"/>
      <c r="AAZ47" s="325"/>
      <c r="ABA47" s="325"/>
      <c r="ABB47" s="325"/>
      <c r="ABC47" s="325"/>
      <c r="ABD47" s="325"/>
      <c r="ABE47" s="325"/>
      <c r="ABF47" s="325"/>
      <c r="ABG47" s="325"/>
      <c r="ABH47" s="325"/>
      <c r="ABI47" s="325"/>
      <c r="ABJ47" s="325"/>
      <c r="ABK47" s="325"/>
      <c r="ABL47" s="325"/>
      <c r="ABM47" s="325"/>
      <c r="ABN47" s="325"/>
      <c r="ABO47" s="325"/>
      <c r="ABP47" s="325"/>
      <c r="ABQ47" s="325"/>
      <c r="ABR47" s="325"/>
      <c r="ABS47" s="325"/>
      <c r="ABT47" s="325"/>
      <c r="ABU47" s="325"/>
      <c r="ABV47" s="325"/>
      <c r="ABW47" s="325"/>
      <c r="ABX47" s="325"/>
      <c r="ABY47" s="325"/>
      <c r="ABZ47" s="325"/>
      <c r="ACA47" s="325"/>
      <c r="ACB47" s="325"/>
      <c r="ACC47" s="325"/>
      <c r="ACD47" s="325"/>
      <c r="ACE47" s="325"/>
      <c r="ACF47" s="325"/>
      <c r="ACG47" s="325"/>
      <c r="ACH47" s="325"/>
      <c r="ACI47" s="325"/>
      <c r="ACJ47" s="325"/>
      <c r="ACK47" s="325"/>
      <c r="ACL47" s="325"/>
      <c r="ACM47" s="325"/>
      <c r="ACN47" s="325"/>
      <c r="ACO47" s="325"/>
      <c r="ACP47" s="325"/>
      <c r="ACQ47" s="325"/>
      <c r="ACR47" s="325"/>
      <c r="ACS47" s="325"/>
      <c r="ACT47" s="325"/>
      <c r="ACU47" s="325"/>
      <c r="ACV47" s="325"/>
      <c r="ACW47" s="325"/>
      <c r="ACX47" s="325"/>
      <c r="ACY47" s="325"/>
      <c r="ACZ47" s="325"/>
      <c r="ADA47" s="325"/>
      <c r="ADB47" s="325"/>
      <c r="ADC47" s="325"/>
      <c r="ADD47" s="325"/>
      <c r="ADE47" s="325"/>
      <c r="ADF47" s="325"/>
      <c r="ADG47" s="325"/>
      <c r="ADH47" s="325"/>
      <c r="ADI47" s="325"/>
      <c r="ADJ47" s="325"/>
      <c r="ADK47" s="325"/>
      <c r="ADL47" s="325"/>
      <c r="ADM47" s="325"/>
      <c r="ADN47" s="325"/>
      <c r="ADO47" s="325"/>
      <c r="ADP47" s="325"/>
      <c r="ADQ47" s="325"/>
      <c r="ADR47" s="325"/>
      <c r="ADS47" s="325"/>
      <c r="ADT47" s="325"/>
      <c r="ADU47" s="325"/>
      <c r="ADV47" s="325"/>
      <c r="ADW47" s="325"/>
      <c r="ADX47" s="325"/>
      <c r="ADY47" s="325"/>
      <c r="ADZ47" s="325"/>
      <c r="AEA47" s="325"/>
      <c r="AEB47" s="325"/>
      <c r="AEC47" s="325"/>
      <c r="AED47" s="325"/>
      <c r="AEE47" s="325"/>
      <c r="AEF47" s="325"/>
      <c r="AEG47" s="325"/>
      <c r="AEH47" s="325"/>
      <c r="AEI47" s="325"/>
      <c r="AEJ47" s="325"/>
      <c r="AEK47" s="325"/>
      <c r="AEL47" s="325"/>
      <c r="AEM47" s="325"/>
      <c r="AEN47" s="325"/>
      <c r="AEO47" s="325"/>
      <c r="AEP47" s="325"/>
      <c r="AEQ47" s="325"/>
      <c r="AER47" s="325"/>
      <c r="AES47" s="325"/>
      <c r="AET47" s="325"/>
      <c r="AEU47" s="325"/>
      <c r="AEV47" s="325"/>
      <c r="AEW47" s="325"/>
      <c r="AEX47" s="325"/>
      <c r="AEY47" s="325"/>
      <c r="AEZ47" s="325"/>
      <c r="AFA47" s="325"/>
      <c r="AFB47" s="325"/>
      <c r="AFC47" s="325"/>
      <c r="AFD47" s="325"/>
      <c r="AFE47" s="325"/>
      <c r="AFF47" s="325"/>
      <c r="AFG47" s="325"/>
      <c r="AFH47" s="325"/>
      <c r="AFI47" s="325"/>
      <c r="AFJ47" s="325"/>
      <c r="AFK47" s="325"/>
      <c r="AFL47" s="325"/>
      <c r="AFM47" s="325"/>
      <c r="AFN47" s="325"/>
      <c r="AFO47" s="325"/>
      <c r="AFP47" s="325"/>
      <c r="AFQ47" s="325"/>
      <c r="AFR47" s="325"/>
      <c r="AFS47" s="325"/>
      <c r="AFT47" s="325"/>
      <c r="AFU47" s="325"/>
      <c r="AFV47" s="325"/>
      <c r="AFW47" s="325"/>
      <c r="AFX47" s="325"/>
      <c r="AFY47" s="325"/>
      <c r="AFZ47" s="325"/>
      <c r="AGA47" s="325"/>
      <c r="AGB47" s="325"/>
      <c r="AGC47" s="325"/>
      <c r="AGD47" s="325"/>
      <c r="AGE47" s="325"/>
      <c r="AGF47" s="325"/>
      <c r="AGG47" s="325"/>
      <c r="AGH47" s="325"/>
      <c r="AGI47" s="325"/>
      <c r="AGJ47" s="325"/>
      <c r="AGK47" s="325"/>
      <c r="AGL47" s="325"/>
      <c r="AGM47" s="325"/>
      <c r="AGN47" s="325"/>
      <c r="AGO47" s="325"/>
      <c r="AGP47" s="325"/>
      <c r="AGQ47" s="325"/>
      <c r="AGR47" s="325"/>
      <c r="AGS47" s="325"/>
      <c r="AGT47" s="325"/>
      <c r="AGU47" s="325"/>
      <c r="AGV47" s="325"/>
      <c r="AGW47" s="325"/>
      <c r="AGX47" s="325"/>
      <c r="AGY47" s="325"/>
      <c r="AGZ47" s="325"/>
      <c r="AHA47" s="325"/>
      <c r="AHB47" s="325"/>
      <c r="AHC47" s="325"/>
      <c r="AHD47" s="325"/>
      <c r="AHE47" s="325"/>
      <c r="AHF47" s="325"/>
      <c r="AHG47" s="325"/>
      <c r="AHH47" s="325"/>
      <c r="AHI47" s="325"/>
      <c r="AHJ47" s="325"/>
      <c r="AHK47" s="325"/>
      <c r="AHL47" s="325"/>
      <c r="AHM47" s="325"/>
      <c r="AHN47" s="325"/>
      <c r="AHO47" s="325"/>
      <c r="AHP47" s="325"/>
      <c r="AHQ47" s="325"/>
      <c r="AHR47" s="325"/>
      <c r="AHS47" s="325"/>
      <c r="AHT47" s="325"/>
      <c r="AHU47" s="325"/>
      <c r="AHV47" s="325"/>
      <c r="AHW47" s="325"/>
      <c r="AHX47" s="325"/>
      <c r="AHY47" s="325"/>
      <c r="AHZ47" s="325"/>
      <c r="AIA47" s="325"/>
      <c r="AIB47" s="325"/>
      <c r="AIC47" s="325"/>
      <c r="AID47" s="325"/>
      <c r="AIE47" s="325"/>
      <c r="AIF47" s="325"/>
      <c r="AIG47" s="325"/>
      <c r="AIH47" s="325"/>
      <c r="AII47" s="325"/>
      <c r="AIJ47" s="325"/>
      <c r="AIK47" s="325"/>
      <c r="AIL47" s="325"/>
      <c r="AIM47" s="325"/>
      <c r="AIN47" s="325"/>
      <c r="AIO47" s="325"/>
      <c r="AIP47" s="325"/>
      <c r="AIQ47" s="325"/>
      <c r="AIR47" s="325"/>
      <c r="AIS47" s="325"/>
      <c r="AIT47" s="325"/>
      <c r="AIU47" s="325"/>
      <c r="AIV47" s="325"/>
      <c r="AIW47" s="325"/>
      <c r="AIX47" s="325"/>
      <c r="AIY47" s="325"/>
      <c r="AIZ47" s="325"/>
      <c r="AJA47" s="325"/>
      <c r="AJB47" s="325"/>
      <c r="AJC47" s="325"/>
      <c r="AJD47" s="325"/>
      <c r="AJE47" s="325"/>
      <c r="AJF47" s="325"/>
      <c r="AJG47" s="325"/>
      <c r="AJH47" s="325"/>
      <c r="AJI47" s="325"/>
      <c r="AJJ47" s="325"/>
      <c r="AJK47" s="325"/>
      <c r="AJL47" s="325"/>
      <c r="AJM47" s="325"/>
      <c r="AJN47" s="325"/>
      <c r="AJO47" s="325"/>
      <c r="AJP47" s="325"/>
      <c r="AJQ47" s="325"/>
      <c r="AJR47" s="325"/>
      <c r="AJS47" s="325"/>
      <c r="AJT47" s="325"/>
      <c r="AJU47" s="325"/>
      <c r="AJV47" s="325"/>
      <c r="AJW47" s="325"/>
      <c r="AJX47" s="325"/>
      <c r="AJY47" s="325"/>
      <c r="AJZ47" s="325"/>
      <c r="AKA47" s="325"/>
      <c r="AKB47" s="325"/>
      <c r="AKC47" s="325"/>
      <c r="AKD47" s="325"/>
      <c r="AKE47" s="325"/>
      <c r="AKF47" s="325"/>
      <c r="AKG47" s="325"/>
      <c r="AKH47" s="325"/>
      <c r="AKI47" s="325"/>
      <c r="AKJ47" s="325"/>
      <c r="AKK47" s="325"/>
      <c r="AKL47" s="325"/>
      <c r="AKM47" s="325"/>
      <c r="AKN47" s="325"/>
      <c r="AKO47" s="325"/>
      <c r="AKP47" s="325"/>
      <c r="AKQ47" s="325"/>
      <c r="AKR47" s="325"/>
      <c r="AKS47" s="325"/>
      <c r="AKT47" s="325"/>
      <c r="AKU47" s="325"/>
      <c r="AKV47" s="325"/>
      <c r="AKW47" s="325"/>
      <c r="AKX47" s="325"/>
      <c r="AKY47" s="325"/>
      <c r="AKZ47" s="325"/>
      <c r="ALA47" s="325"/>
      <c r="ALB47" s="325"/>
      <c r="ALC47" s="325"/>
      <c r="ALD47" s="325"/>
      <c r="ALE47" s="325"/>
      <c r="ALF47" s="325"/>
      <c r="ALG47" s="325"/>
      <c r="ALH47" s="325"/>
      <c r="ALI47" s="325"/>
      <c r="ALJ47" s="325"/>
      <c r="ALK47" s="325"/>
      <c r="ALL47" s="325"/>
      <c r="ALM47" s="325"/>
      <c r="ALN47" s="325"/>
      <c r="ALO47" s="325"/>
      <c r="ALP47" s="325"/>
      <c r="ALQ47" s="325"/>
      <c r="ALR47" s="325"/>
      <c r="ALS47" s="325"/>
      <c r="ALT47" s="325"/>
      <c r="ALU47" s="325"/>
      <c r="ALV47" s="325"/>
      <c r="ALW47" s="325"/>
      <c r="ALX47" s="325"/>
      <c r="ALY47" s="325"/>
      <c r="ALZ47" s="325"/>
      <c r="AMA47" s="325"/>
      <c r="AMB47" s="325"/>
      <c r="AMC47" s="325"/>
    </row>
    <row r="48" spans="3:1017" s="75" customFormat="1">
      <c r="C48" s="130"/>
      <c r="D48" s="130"/>
      <c r="CN48" s="225"/>
      <c r="CQ48" s="226"/>
      <c r="LD48" s="213"/>
      <c r="LH48" s="286"/>
      <c r="LI48" s="287"/>
      <c r="LJ48" s="124"/>
      <c r="LK48" s="124"/>
      <c r="LL48" s="124"/>
      <c r="LM48" s="124"/>
      <c r="LN48" s="124"/>
      <c r="LO48" s="124"/>
      <c r="LP48" s="124"/>
      <c r="LQ48" s="124"/>
      <c r="LR48" s="124"/>
      <c r="NE48" s="330"/>
      <c r="NF48" s="325"/>
      <c r="NG48" s="325"/>
      <c r="NH48" s="325"/>
      <c r="NI48" s="325"/>
      <c r="NJ48" s="325"/>
      <c r="NK48" s="325"/>
      <c r="NL48" s="325"/>
      <c r="NM48" s="325"/>
      <c r="NN48" s="325"/>
      <c r="NO48" s="325"/>
      <c r="NP48" s="325"/>
      <c r="NQ48" s="325"/>
      <c r="NR48" s="325"/>
      <c r="NS48" s="325"/>
      <c r="NT48" s="325"/>
      <c r="NU48" s="325"/>
      <c r="NV48" s="325"/>
      <c r="NW48" s="325"/>
      <c r="NX48" s="325"/>
      <c r="NY48" s="325"/>
      <c r="NZ48" s="325"/>
      <c r="OA48" s="325"/>
      <c r="OB48" s="325"/>
      <c r="OC48" s="325"/>
      <c r="OD48" s="325"/>
      <c r="OE48" s="325"/>
      <c r="OF48" s="325"/>
      <c r="OG48" s="325"/>
      <c r="OH48" s="325"/>
      <c r="OI48" s="325"/>
      <c r="OJ48" s="325"/>
      <c r="OK48" s="325"/>
      <c r="OL48" s="325"/>
      <c r="OM48" s="325"/>
      <c r="ON48" s="325"/>
      <c r="OO48" s="325"/>
      <c r="OP48" s="325"/>
      <c r="OQ48" s="325"/>
      <c r="OR48" s="325"/>
      <c r="OS48" s="325"/>
      <c r="OT48" s="325"/>
      <c r="OU48" s="325"/>
      <c r="OV48" s="325"/>
      <c r="OW48" s="325"/>
      <c r="OX48" s="325"/>
      <c r="OY48" s="325"/>
      <c r="OZ48" s="325"/>
      <c r="PA48" s="325"/>
      <c r="PB48" s="325"/>
      <c r="PC48" s="325"/>
      <c r="PD48" s="325"/>
      <c r="PE48" s="325"/>
      <c r="PF48" s="325"/>
      <c r="PG48" s="325"/>
      <c r="PH48" s="325"/>
      <c r="PI48" s="325"/>
      <c r="PJ48" s="325"/>
      <c r="PK48" s="325"/>
      <c r="PL48" s="325"/>
      <c r="PM48" s="325"/>
      <c r="PN48" s="325"/>
      <c r="PO48" s="325"/>
      <c r="PP48" s="325"/>
      <c r="PQ48" s="325"/>
      <c r="PR48" s="325"/>
      <c r="PS48" s="325"/>
      <c r="PT48" s="325"/>
      <c r="PU48" s="325"/>
      <c r="PV48" s="325"/>
      <c r="PW48" s="325"/>
      <c r="PX48" s="325"/>
      <c r="PY48" s="325"/>
      <c r="PZ48" s="325"/>
      <c r="QA48" s="325"/>
      <c r="QB48" s="325"/>
      <c r="QC48" s="325"/>
      <c r="QD48" s="325"/>
      <c r="QE48" s="325"/>
      <c r="QF48" s="325"/>
      <c r="QG48" s="325"/>
      <c r="QH48" s="325"/>
      <c r="QI48" s="325"/>
      <c r="QJ48" s="325"/>
      <c r="QK48" s="325"/>
      <c r="QL48" s="325"/>
      <c r="QM48" s="325"/>
      <c r="QN48" s="325"/>
      <c r="QO48" s="325"/>
      <c r="QP48" s="325"/>
      <c r="QQ48" s="325"/>
      <c r="QR48" s="325"/>
      <c r="QS48" s="325"/>
      <c r="QT48" s="325"/>
      <c r="QU48" s="325"/>
      <c r="QV48" s="325"/>
      <c r="QW48" s="325"/>
      <c r="QX48" s="325"/>
      <c r="QY48" s="325"/>
      <c r="QZ48" s="325"/>
      <c r="RA48" s="325"/>
      <c r="RB48" s="325"/>
      <c r="RC48" s="325"/>
      <c r="RD48" s="325"/>
      <c r="RE48" s="325"/>
      <c r="RF48" s="325"/>
      <c r="RG48" s="325"/>
      <c r="RH48" s="325"/>
      <c r="RI48" s="325"/>
      <c r="RJ48" s="325"/>
      <c r="RK48" s="325"/>
      <c r="RL48" s="325"/>
      <c r="RM48" s="325"/>
      <c r="RN48" s="325"/>
      <c r="RO48" s="325"/>
      <c r="RP48" s="325"/>
      <c r="RQ48" s="325"/>
      <c r="RR48" s="325"/>
      <c r="RS48" s="325"/>
      <c r="RT48" s="325"/>
      <c r="RU48" s="325"/>
      <c r="RV48" s="325"/>
      <c r="RW48" s="325"/>
      <c r="RX48" s="325"/>
      <c r="RY48" s="325"/>
      <c r="RZ48" s="325"/>
      <c r="SA48" s="325"/>
      <c r="SB48" s="325"/>
      <c r="SC48" s="325"/>
      <c r="SD48" s="325"/>
      <c r="SE48" s="325"/>
      <c r="SF48" s="325"/>
      <c r="SG48" s="325"/>
      <c r="SH48" s="325"/>
      <c r="SI48" s="325"/>
      <c r="SJ48" s="325"/>
      <c r="SK48" s="325"/>
      <c r="SL48" s="325"/>
      <c r="SM48" s="325"/>
      <c r="SN48" s="325"/>
      <c r="SO48" s="325"/>
      <c r="SP48" s="325"/>
      <c r="SQ48" s="325"/>
      <c r="SR48" s="325"/>
      <c r="SS48" s="325"/>
      <c r="ST48" s="325"/>
      <c r="SU48" s="325"/>
      <c r="SV48" s="325"/>
      <c r="SW48" s="325"/>
      <c r="SX48" s="325"/>
      <c r="SY48" s="325"/>
      <c r="SZ48" s="325"/>
      <c r="TA48" s="325"/>
      <c r="TB48" s="325"/>
      <c r="TC48" s="325"/>
      <c r="TD48" s="325"/>
      <c r="TE48" s="325"/>
      <c r="TF48" s="325"/>
      <c r="TG48" s="325"/>
      <c r="TH48" s="325"/>
      <c r="TI48" s="325"/>
      <c r="TJ48" s="325"/>
      <c r="TK48" s="325"/>
      <c r="TL48" s="325"/>
      <c r="TM48" s="325"/>
      <c r="TN48" s="325"/>
      <c r="TO48" s="325"/>
      <c r="TP48" s="325"/>
      <c r="TQ48" s="325"/>
      <c r="TR48" s="325"/>
      <c r="TS48" s="325"/>
      <c r="TT48" s="325"/>
      <c r="TU48" s="325"/>
      <c r="TV48" s="325"/>
      <c r="TW48" s="325"/>
      <c r="TX48" s="325"/>
      <c r="TY48" s="325"/>
      <c r="TZ48" s="325"/>
      <c r="UA48" s="325"/>
      <c r="UB48" s="325"/>
      <c r="UC48" s="325"/>
      <c r="UD48" s="325"/>
      <c r="UE48" s="325"/>
      <c r="UF48" s="325"/>
      <c r="UG48" s="325"/>
      <c r="UH48" s="325"/>
      <c r="UI48" s="325"/>
      <c r="UJ48" s="325"/>
      <c r="UK48" s="325"/>
      <c r="UL48" s="325"/>
      <c r="UM48" s="325"/>
      <c r="UN48" s="325"/>
      <c r="UO48" s="325"/>
      <c r="UP48" s="325"/>
      <c r="UQ48" s="325"/>
      <c r="UR48" s="325"/>
      <c r="US48" s="325"/>
      <c r="UT48" s="325"/>
      <c r="UU48" s="325"/>
      <c r="UV48" s="325"/>
      <c r="UW48" s="325"/>
      <c r="UX48" s="325"/>
      <c r="UY48" s="325"/>
      <c r="UZ48" s="325"/>
      <c r="VA48" s="325"/>
      <c r="VB48" s="325"/>
      <c r="VC48" s="325"/>
      <c r="VD48" s="325"/>
      <c r="VE48" s="325"/>
      <c r="VF48" s="325"/>
      <c r="VG48" s="325"/>
      <c r="VH48" s="325"/>
      <c r="VI48" s="325"/>
      <c r="VJ48" s="325"/>
      <c r="VK48" s="325"/>
      <c r="VL48" s="325"/>
      <c r="VM48" s="325"/>
      <c r="VN48" s="325"/>
      <c r="VO48" s="325"/>
      <c r="VP48" s="325"/>
      <c r="VQ48" s="325"/>
      <c r="VR48" s="325"/>
      <c r="VS48" s="325"/>
      <c r="VT48" s="325"/>
      <c r="VU48" s="325"/>
      <c r="VV48" s="325"/>
      <c r="VW48" s="325"/>
      <c r="VX48" s="325"/>
      <c r="VY48" s="325"/>
      <c r="VZ48" s="325"/>
      <c r="WA48" s="325"/>
      <c r="WB48" s="325"/>
      <c r="WC48" s="325"/>
      <c r="WD48" s="325"/>
      <c r="WE48" s="325"/>
      <c r="WF48" s="325"/>
      <c r="WG48" s="325"/>
      <c r="WH48" s="325"/>
      <c r="WI48" s="325"/>
      <c r="WJ48" s="325"/>
      <c r="WK48" s="325"/>
      <c r="WL48" s="325"/>
      <c r="WM48" s="325"/>
      <c r="WN48" s="325"/>
      <c r="WO48" s="325"/>
      <c r="WP48" s="325"/>
      <c r="WQ48" s="325"/>
      <c r="WR48" s="325"/>
      <c r="WS48" s="325"/>
      <c r="WT48" s="325"/>
      <c r="WU48" s="325"/>
      <c r="WV48" s="325"/>
      <c r="WW48" s="325"/>
      <c r="WX48" s="325"/>
      <c r="WY48" s="325"/>
      <c r="WZ48" s="325"/>
      <c r="XA48" s="325"/>
      <c r="XB48" s="325"/>
      <c r="XC48" s="325"/>
      <c r="XD48" s="325"/>
      <c r="XE48" s="325"/>
      <c r="XF48" s="325"/>
      <c r="XG48" s="325"/>
      <c r="XH48" s="325"/>
      <c r="XI48" s="325"/>
      <c r="XJ48" s="325"/>
      <c r="XK48" s="325"/>
      <c r="XL48" s="325"/>
      <c r="XM48" s="325"/>
      <c r="XN48" s="325"/>
      <c r="XO48" s="325"/>
      <c r="XP48" s="325"/>
      <c r="XQ48" s="325"/>
      <c r="XR48" s="325"/>
      <c r="XS48" s="325"/>
      <c r="XT48" s="325"/>
      <c r="XU48" s="325"/>
      <c r="XV48" s="325"/>
      <c r="XW48" s="325"/>
      <c r="XX48" s="325"/>
      <c r="XY48" s="325"/>
      <c r="XZ48" s="325"/>
      <c r="YA48" s="325"/>
      <c r="YB48" s="325"/>
      <c r="YC48" s="325"/>
      <c r="YD48" s="325"/>
      <c r="YE48" s="325"/>
      <c r="YF48" s="325"/>
      <c r="YG48" s="325"/>
      <c r="YH48" s="325"/>
      <c r="YI48" s="325"/>
      <c r="YJ48" s="325"/>
      <c r="YK48" s="325"/>
      <c r="YL48" s="325"/>
      <c r="YM48" s="325"/>
      <c r="YN48" s="325"/>
      <c r="YO48" s="325"/>
      <c r="YP48" s="325"/>
      <c r="YQ48" s="325"/>
      <c r="YR48" s="325"/>
      <c r="YS48" s="325"/>
      <c r="YT48" s="325"/>
      <c r="YU48" s="325"/>
      <c r="YV48" s="325"/>
      <c r="YW48" s="325"/>
      <c r="YX48" s="325"/>
      <c r="YY48" s="325"/>
      <c r="YZ48" s="325"/>
      <c r="ZA48" s="325"/>
      <c r="ZB48" s="325"/>
      <c r="ZC48" s="325"/>
      <c r="ZD48" s="325"/>
      <c r="ZE48" s="325"/>
      <c r="ZF48" s="325"/>
      <c r="ZG48" s="325"/>
      <c r="ZH48" s="325"/>
      <c r="ZI48" s="325"/>
      <c r="ZJ48" s="325"/>
      <c r="ZK48" s="325"/>
      <c r="ZL48" s="325"/>
      <c r="ZM48" s="325"/>
      <c r="ZN48" s="325"/>
      <c r="ZO48" s="325"/>
      <c r="ZP48" s="325"/>
      <c r="ZQ48" s="325"/>
      <c r="ZR48" s="325"/>
      <c r="ZS48" s="325"/>
      <c r="ZT48" s="325"/>
      <c r="ZU48" s="325"/>
      <c r="ZV48" s="325"/>
      <c r="ZW48" s="325"/>
      <c r="ZX48" s="325"/>
      <c r="ZY48" s="325"/>
      <c r="ZZ48" s="325"/>
      <c r="AAA48" s="325"/>
      <c r="AAB48" s="325"/>
      <c r="AAC48" s="325"/>
      <c r="AAD48" s="325"/>
      <c r="AAE48" s="325"/>
      <c r="AAF48" s="325"/>
      <c r="AAG48" s="325"/>
      <c r="AAH48" s="325"/>
      <c r="AAI48" s="325"/>
      <c r="AAJ48" s="325"/>
      <c r="AAK48" s="325"/>
      <c r="AAL48" s="325"/>
      <c r="AAM48" s="325"/>
      <c r="AAN48" s="325"/>
      <c r="AAO48" s="325"/>
      <c r="AAP48" s="325"/>
      <c r="AAQ48" s="325"/>
      <c r="AAR48" s="325"/>
      <c r="AAS48" s="325"/>
      <c r="AAT48" s="325"/>
      <c r="AAU48" s="325"/>
      <c r="AAV48" s="325"/>
      <c r="AAW48" s="325"/>
      <c r="AAX48" s="325"/>
      <c r="AAY48" s="325"/>
      <c r="AAZ48" s="325"/>
      <c r="ABA48" s="325"/>
      <c r="ABB48" s="325"/>
      <c r="ABC48" s="325"/>
      <c r="ABD48" s="325"/>
      <c r="ABE48" s="325"/>
      <c r="ABF48" s="325"/>
      <c r="ABG48" s="325"/>
      <c r="ABH48" s="325"/>
      <c r="ABI48" s="325"/>
      <c r="ABJ48" s="325"/>
      <c r="ABK48" s="325"/>
      <c r="ABL48" s="325"/>
      <c r="ABM48" s="325"/>
      <c r="ABN48" s="325"/>
      <c r="ABO48" s="325"/>
      <c r="ABP48" s="325"/>
      <c r="ABQ48" s="325"/>
      <c r="ABR48" s="325"/>
      <c r="ABS48" s="325"/>
      <c r="ABT48" s="325"/>
      <c r="ABU48" s="325"/>
      <c r="ABV48" s="325"/>
      <c r="ABW48" s="325"/>
      <c r="ABX48" s="325"/>
      <c r="ABY48" s="325"/>
      <c r="ABZ48" s="325"/>
      <c r="ACA48" s="325"/>
      <c r="ACB48" s="325"/>
      <c r="ACC48" s="325"/>
      <c r="ACD48" s="325"/>
      <c r="ACE48" s="325"/>
      <c r="ACF48" s="325"/>
      <c r="ACG48" s="325"/>
      <c r="ACH48" s="325"/>
      <c r="ACI48" s="325"/>
      <c r="ACJ48" s="325"/>
      <c r="ACK48" s="325"/>
      <c r="ACL48" s="325"/>
      <c r="ACM48" s="325"/>
      <c r="ACN48" s="325"/>
      <c r="ACO48" s="325"/>
      <c r="ACP48" s="325"/>
      <c r="ACQ48" s="325"/>
      <c r="ACR48" s="325"/>
      <c r="ACS48" s="325"/>
      <c r="ACT48" s="325"/>
      <c r="ACU48" s="325"/>
      <c r="ACV48" s="325"/>
      <c r="ACW48" s="325"/>
      <c r="ACX48" s="325"/>
      <c r="ACY48" s="325"/>
      <c r="ACZ48" s="325"/>
      <c r="ADA48" s="325"/>
      <c r="ADB48" s="325"/>
      <c r="ADC48" s="325"/>
      <c r="ADD48" s="325"/>
      <c r="ADE48" s="325"/>
      <c r="ADF48" s="325"/>
      <c r="ADG48" s="325"/>
      <c r="ADH48" s="325"/>
      <c r="ADI48" s="325"/>
      <c r="ADJ48" s="325"/>
      <c r="ADK48" s="325"/>
      <c r="ADL48" s="325"/>
      <c r="ADM48" s="325"/>
      <c r="ADN48" s="325"/>
      <c r="ADO48" s="325"/>
      <c r="ADP48" s="325"/>
      <c r="ADQ48" s="325"/>
      <c r="ADR48" s="325"/>
      <c r="ADS48" s="325"/>
      <c r="ADT48" s="325"/>
      <c r="ADU48" s="325"/>
      <c r="ADV48" s="325"/>
      <c r="ADW48" s="325"/>
      <c r="ADX48" s="325"/>
      <c r="ADY48" s="325"/>
      <c r="ADZ48" s="325"/>
      <c r="AEA48" s="325"/>
      <c r="AEB48" s="325"/>
      <c r="AEC48" s="325"/>
      <c r="AED48" s="325"/>
      <c r="AEE48" s="325"/>
      <c r="AEF48" s="325"/>
      <c r="AEG48" s="325"/>
      <c r="AEH48" s="325"/>
      <c r="AEI48" s="325"/>
      <c r="AEJ48" s="325"/>
      <c r="AEK48" s="325"/>
      <c r="AEL48" s="325"/>
      <c r="AEM48" s="325"/>
      <c r="AEN48" s="325"/>
      <c r="AEO48" s="325"/>
      <c r="AEP48" s="325"/>
      <c r="AEQ48" s="325"/>
      <c r="AER48" s="325"/>
      <c r="AES48" s="325"/>
      <c r="AET48" s="325"/>
      <c r="AEU48" s="325"/>
      <c r="AEV48" s="325"/>
      <c r="AEW48" s="325"/>
      <c r="AEX48" s="325"/>
      <c r="AEY48" s="325"/>
      <c r="AEZ48" s="325"/>
      <c r="AFA48" s="325"/>
      <c r="AFB48" s="325"/>
      <c r="AFC48" s="325"/>
      <c r="AFD48" s="325"/>
      <c r="AFE48" s="325"/>
      <c r="AFF48" s="325"/>
      <c r="AFG48" s="325"/>
      <c r="AFH48" s="325"/>
      <c r="AFI48" s="325"/>
      <c r="AFJ48" s="325"/>
      <c r="AFK48" s="325"/>
      <c r="AFL48" s="325"/>
      <c r="AFM48" s="325"/>
      <c r="AFN48" s="325"/>
      <c r="AFO48" s="325"/>
      <c r="AFP48" s="325"/>
      <c r="AFQ48" s="325"/>
      <c r="AFR48" s="325"/>
      <c r="AFS48" s="325"/>
      <c r="AFT48" s="325"/>
      <c r="AFU48" s="325"/>
      <c r="AFV48" s="325"/>
      <c r="AFW48" s="325"/>
      <c r="AFX48" s="325"/>
      <c r="AFY48" s="325"/>
      <c r="AFZ48" s="325"/>
      <c r="AGA48" s="325"/>
      <c r="AGB48" s="325"/>
      <c r="AGC48" s="325"/>
      <c r="AGD48" s="325"/>
      <c r="AGE48" s="325"/>
      <c r="AGF48" s="325"/>
      <c r="AGG48" s="325"/>
      <c r="AGH48" s="325"/>
      <c r="AGI48" s="325"/>
      <c r="AGJ48" s="325"/>
      <c r="AGK48" s="325"/>
      <c r="AGL48" s="325"/>
      <c r="AGM48" s="325"/>
      <c r="AGN48" s="325"/>
      <c r="AGO48" s="325"/>
      <c r="AGP48" s="325"/>
      <c r="AGQ48" s="325"/>
      <c r="AGR48" s="325"/>
      <c r="AGS48" s="325"/>
      <c r="AGT48" s="325"/>
      <c r="AGU48" s="325"/>
      <c r="AGV48" s="325"/>
      <c r="AGW48" s="325"/>
      <c r="AGX48" s="325"/>
      <c r="AGY48" s="325"/>
      <c r="AGZ48" s="325"/>
      <c r="AHA48" s="325"/>
      <c r="AHB48" s="325"/>
      <c r="AHC48" s="325"/>
      <c r="AHD48" s="325"/>
      <c r="AHE48" s="325"/>
      <c r="AHF48" s="325"/>
      <c r="AHG48" s="325"/>
      <c r="AHH48" s="325"/>
      <c r="AHI48" s="325"/>
      <c r="AHJ48" s="325"/>
      <c r="AHK48" s="325"/>
      <c r="AHL48" s="325"/>
      <c r="AHM48" s="325"/>
      <c r="AHN48" s="325"/>
      <c r="AHO48" s="325"/>
      <c r="AHP48" s="325"/>
      <c r="AHQ48" s="325"/>
      <c r="AHR48" s="325"/>
      <c r="AHS48" s="325"/>
      <c r="AHT48" s="325"/>
      <c r="AHU48" s="325"/>
      <c r="AHV48" s="325"/>
      <c r="AHW48" s="325"/>
      <c r="AHX48" s="325"/>
      <c r="AHY48" s="325"/>
      <c r="AHZ48" s="325"/>
      <c r="AIA48" s="325"/>
      <c r="AIB48" s="325"/>
      <c r="AIC48" s="325"/>
      <c r="AID48" s="325"/>
      <c r="AIE48" s="325"/>
      <c r="AIF48" s="325"/>
      <c r="AIG48" s="325"/>
      <c r="AIH48" s="325"/>
      <c r="AII48" s="325"/>
      <c r="AIJ48" s="325"/>
      <c r="AIK48" s="325"/>
      <c r="AIL48" s="325"/>
      <c r="AIM48" s="325"/>
      <c r="AIN48" s="325"/>
      <c r="AIO48" s="325"/>
      <c r="AIP48" s="325"/>
      <c r="AIQ48" s="325"/>
      <c r="AIR48" s="325"/>
      <c r="AIS48" s="325"/>
      <c r="AIT48" s="325"/>
      <c r="AIU48" s="325"/>
      <c r="AIV48" s="325"/>
      <c r="AIW48" s="325"/>
      <c r="AIX48" s="325"/>
      <c r="AIY48" s="325"/>
      <c r="AIZ48" s="325"/>
      <c r="AJA48" s="325"/>
      <c r="AJB48" s="325"/>
      <c r="AJC48" s="325"/>
      <c r="AJD48" s="325"/>
      <c r="AJE48" s="325"/>
      <c r="AJF48" s="325"/>
      <c r="AJG48" s="325"/>
      <c r="AJH48" s="325"/>
      <c r="AJI48" s="325"/>
      <c r="AJJ48" s="325"/>
      <c r="AJK48" s="325"/>
      <c r="AJL48" s="325"/>
      <c r="AJM48" s="325"/>
      <c r="AJN48" s="325"/>
      <c r="AJO48" s="325"/>
      <c r="AJP48" s="325"/>
      <c r="AJQ48" s="325"/>
      <c r="AJR48" s="325"/>
      <c r="AJS48" s="325"/>
      <c r="AJT48" s="325"/>
      <c r="AJU48" s="325"/>
      <c r="AJV48" s="325"/>
      <c r="AJW48" s="325"/>
      <c r="AJX48" s="325"/>
      <c r="AJY48" s="325"/>
      <c r="AJZ48" s="325"/>
      <c r="AKA48" s="325"/>
      <c r="AKB48" s="325"/>
      <c r="AKC48" s="325"/>
      <c r="AKD48" s="325"/>
      <c r="AKE48" s="325"/>
      <c r="AKF48" s="325"/>
      <c r="AKG48" s="325"/>
      <c r="AKH48" s="325"/>
      <c r="AKI48" s="325"/>
      <c r="AKJ48" s="325"/>
      <c r="AKK48" s="325"/>
      <c r="AKL48" s="325"/>
      <c r="AKM48" s="325"/>
      <c r="AKN48" s="325"/>
      <c r="AKO48" s="325"/>
      <c r="AKP48" s="325"/>
      <c r="AKQ48" s="325"/>
      <c r="AKR48" s="325"/>
      <c r="AKS48" s="325"/>
      <c r="AKT48" s="325"/>
      <c r="AKU48" s="325"/>
      <c r="AKV48" s="325"/>
      <c r="AKW48" s="325"/>
      <c r="AKX48" s="325"/>
      <c r="AKY48" s="325"/>
      <c r="AKZ48" s="325"/>
      <c r="ALA48" s="325"/>
      <c r="ALB48" s="325"/>
      <c r="ALC48" s="325"/>
      <c r="ALD48" s="325"/>
      <c r="ALE48" s="325"/>
      <c r="ALF48" s="325"/>
      <c r="ALG48" s="325"/>
      <c r="ALH48" s="325"/>
      <c r="ALI48" s="325"/>
      <c r="ALJ48" s="325"/>
      <c r="ALK48" s="325"/>
      <c r="ALL48" s="325"/>
      <c r="ALM48" s="325"/>
      <c r="ALN48" s="325"/>
      <c r="ALO48" s="325"/>
      <c r="ALP48" s="325"/>
      <c r="ALQ48" s="325"/>
      <c r="ALR48" s="325"/>
      <c r="ALS48" s="325"/>
      <c r="ALT48" s="325"/>
      <c r="ALU48" s="325"/>
      <c r="ALV48" s="325"/>
      <c r="ALW48" s="325"/>
      <c r="ALX48" s="325"/>
      <c r="ALY48" s="325"/>
      <c r="ALZ48" s="325"/>
      <c r="AMA48" s="325"/>
      <c r="AMB48" s="325"/>
      <c r="AMC48" s="325"/>
    </row>
    <row r="49" spans="3:1017" s="75" customFormat="1">
      <c r="C49" s="130"/>
      <c r="D49" s="130"/>
      <c r="CN49" s="225"/>
      <c r="CQ49" s="226"/>
      <c r="LD49" s="213"/>
      <c r="LH49" s="286"/>
      <c r="LI49" s="287"/>
      <c r="LJ49" s="124"/>
      <c r="LK49" s="124"/>
      <c r="LL49" s="124"/>
      <c r="LM49" s="124"/>
      <c r="LN49" s="124"/>
      <c r="LO49" s="124"/>
      <c r="LP49" s="124"/>
      <c r="LQ49" s="124"/>
      <c r="LR49" s="124"/>
      <c r="NE49" s="330"/>
      <c r="NF49" s="325"/>
      <c r="NG49" s="325"/>
      <c r="NH49" s="325"/>
      <c r="NI49" s="325"/>
      <c r="NJ49" s="325"/>
      <c r="NK49" s="325"/>
      <c r="NL49" s="325"/>
      <c r="NM49" s="325"/>
      <c r="NN49" s="325"/>
      <c r="NO49" s="325"/>
      <c r="NP49" s="325"/>
      <c r="NQ49" s="325"/>
      <c r="NR49" s="325"/>
      <c r="NS49" s="325"/>
      <c r="NT49" s="325"/>
      <c r="NU49" s="325"/>
      <c r="NV49" s="325"/>
      <c r="NW49" s="325"/>
      <c r="NX49" s="325"/>
      <c r="NY49" s="325"/>
      <c r="NZ49" s="325"/>
      <c r="OA49" s="325"/>
      <c r="OB49" s="325"/>
      <c r="OC49" s="325"/>
      <c r="OD49" s="325"/>
      <c r="OE49" s="325"/>
      <c r="OF49" s="325"/>
      <c r="OG49" s="325"/>
      <c r="OH49" s="325"/>
      <c r="OI49" s="325"/>
      <c r="OJ49" s="325"/>
      <c r="OK49" s="325"/>
      <c r="OL49" s="325"/>
      <c r="OM49" s="325"/>
      <c r="ON49" s="325"/>
      <c r="OO49" s="325"/>
      <c r="OP49" s="325"/>
      <c r="OQ49" s="325"/>
      <c r="OR49" s="325"/>
      <c r="OS49" s="325"/>
      <c r="OT49" s="325"/>
      <c r="OU49" s="325"/>
      <c r="OV49" s="325"/>
      <c r="OW49" s="325"/>
      <c r="OX49" s="325"/>
      <c r="OY49" s="325"/>
      <c r="OZ49" s="325"/>
      <c r="PA49" s="325"/>
      <c r="PB49" s="325"/>
      <c r="PC49" s="325"/>
      <c r="PD49" s="325"/>
      <c r="PE49" s="325"/>
      <c r="PF49" s="325"/>
      <c r="PG49" s="325"/>
      <c r="PH49" s="325"/>
      <c r="PI49" s="325"/>
      <c r="PJ49" s="325"/>
      <c r="PK49" s="325"/>
      <c r="PL49" s="325"/>
      <c r="PM49" s="325"/>
      <c r="PN49" s="325"/>
      <c r="PO49" s="325"/>
      <c r="PP49" s="325"/>
      <c r="PQ49" s="325"/>
      <c r="PR49" s="325"/>
      <c r="PS49" s="325"/>
      <c r="PT49" s="325"/>
      <c r="PU49" s="325"/>
      <c r="PV49" s="325"/>
      <c r="PW49" s="325"/>
      <c r="PX49" s="325"/>
      <c r="PY49" s="325"/>
      <c r="PZ49" s="325"/>
      <c r="QA49" s="325"/>
      <c r="QB49" s="325"/>
      <c r="QC49" s="325"/>
      <c r="QD49" s="325"/>
      <c r="QE49" s="325"/>
      <c r="QF49" s="325"/>
      <c r="QG49" s="325"/>
      <c r="QH49" s="325"/>
      <c r="QI49" s="325"/>
      <c r="QJ49" s="325"/>
      <c r="QK49" s="325"/>
      <c r="QL49" s="325"/>
      <c r="QM49" s="325"/>
      <c r="QN49" s="325"/>
      <c r="QO49" s="325"/>
      <c r="QP49" s="325"/>
      <c r="QQ49" s="325"/>
      <c r="QR49" s="325"/>
      <c r="QS49" s="325"/>
      <c r="QT49" s="325"/>
      <c r="QU49" s="325"/>
      <c r="QV49" s="325"/>
      <c r="QW49" s="325"/>
      <c r="QX49" s="325"/>
      <c r="QY49" s="325"/>
      <c r="QZ49" s="325"/>
      <c r="RA49" s="325"/>
      <c r="RB49" s="325"/>
      <c r="RC49" s="325"/>
      <c r="RD49" s="325"/>
      <c r="RE49" s="325"/>
      <c r="RF49" s="325"/>
      <c r="RG49" s="325"/>
      <c r="RH49" s="325"/>
      <c r="RI49" s="325"/>
      <c r="RJ49" s="325"/>
      <c r="RK49" s="325"/>
      <c r="RL49" s="325"/>
      <c r="RM49" s="325"/>
      <c r="RN49" s="325"/>
      <c r="RO49" s="325"/>
      <c r="RP49" s="325"/>
      <c r="RQ49" s="325"/>
      <c r="RR49" s="325"/>
      <c r="RS49" s="325"/>
      <c r="RT49" s="325"/>
      <c r="RU49" s="325"/>
      <c r="RV49" s="325"/>
      <c r="RW49" s="325"/>
      <c r="RX49" s="325"/>
      <c r="RY49" s="325"/>
      <c r="RZ49" s="325"/>
      <c r="SA49" s="325"/>
      <c r="SB49" s="325"/>
      <c r="SC49" s="325"/>
      <c r="SD49" s="325"/>
      <c r="SE49" s="325"/>
      <c r="SF49" s="325"/>
      <c r="SG49" s="325"/>
      <c r="SH49" s="325"/>
      <c r="SI49" s="325"/>
      <c r="SJ49" s="325"/>
      <c r="SK49" s="325"/>
      <c r="SL49" s="325"/>
      <c r="SM49" s="325"/>
      <c r="SN49" s="325"/>
      <c r="SO49" s="325"/>
      <c r="SP49" s="325"/>
      <c r="SQ49" s="325"/>
      <c r="SR49" s="325"/>
      <c r="SS49" s="325"/>
      <c r="ST49" s="325"/>
      <c r="SU49" s="325"/>
      <c r="SV49" s="325"/>
      <c r="SW49" s="325"/>
      <c r="SX49" s="325"/>
      <c r="SY49" s="325"/>
      <c r="SZ49" s="325"/>
      <c r="TA49" s="325"/>
      <c r="TB49" s="325"/>
      <c r="TC49" s="325"/>
      <c r="TD49" s="325"/>
      <c r="TE49" s="325"/>
      <c r="TF49" s="325"/>
      <c r="TG49" s="325"/>
      <c r="TH49" s="325"/>
      <c r="TI49" s="325"/>
      <c r="TJ49" s="325"/>
      <c r="TK49" s="325"/>
      <c r="TL49" s="325"/>
      <c r="TM49" s="325"/>
      <c r="TN49" s="325"/>
      <c r="TO49" s="325"/>
      <c r="TP49" s="325"/>
      <c r="TQ49" s="325"/>
      <c r="TR49" s="325"/>
      <c r="TS49" s="325"/>
      <c r="TT49" s="325"/>
      <c r="TU49" s="325"/>
      <c r="TV49" s="325"/>
      <c r="TW49" s="325"/>
      <c r="TX49" s="325"/>
      <c r="TY49" s="325"/>
      <c r="TZ49" s="325"/>
      <c r="UA49" s="325"/>
      <c r="UB49" s="325"/>
      <c r="UC49" s="325"/>
      <c r="UD49" s="325"/>
      <c r="UE49" s="325"/>
      <c r="UF49" s="325"/>
      <c r="UG49" s="325"/>
      <c r="UH49" s="325"/>
      <c r="UI49" s="325"/>
      <c r="UJ49" s="325"/>
      <c r="UK49" s="325"/>
      <c r="UL49" s="325"/>
      <c r="UM49" s="325"/>
      <c r="UN49" s="325"/>
      <c r="UO49" s="325"/>
      <c r="UP49" s="325"/>
      <c r="UQ49" s="325"/>
      <c r="UR49" s="325"/>
      <c r="US49" s="325"/>
      <c r="UT49" s="325"/>
      <c r="UU49" s="325"/>
      <c r="UV49" s="325"/>
      <c r="UW49" s="325"/>
      <c r="UX49" s="325"/>
      <c r="UY49" s="325"/>
      <c r="UZ49" s="325"/>
      <c r="VA49" s="325"/>
      <c r="VB49" s="325"/>
      <c r="VC49" s="325"/>
      <c r="VD49" s="325"/>
      <c r="VE49" s="325"/>
      <c r="VF49" s="325"/>
      <c r="VG49" s="325"/>
      <c r="VH49" s="325"/>
      <c r="VI49" s="325"/>
      <c r="VJ49" s="325"/>
      <c r="VK49" s="325"/>
      <c r="VL49" s="325"/>
      <c r="VM49" s="325"/>
      <c r="VN49" s="325"/>
      <c r="VO49" s="325"/>
      <c r="VP49" s="325"/>
      <c r="VQ49" s="325"/>
      <c r="VR49" s="325"/>
      <c r="VS49" s="325"/>
      <c r="VT49" s="325"/>
      <c r="VU49" s="325"/>
      <c r="VV49" s="325"/>
      <c r="VW49" s="325"/>
      <c r="VX49" s="325"/>
      <c r="VY49" s="325"/>
      <c r="VZ49" s="325"/>
      <c r="WA49" s="325"/>
      <c r="WB49" s="325"/>
      <c r="WC49" s="325"/>
      <c r="WD49" s="325"/>
      <c r="WE49" s="325"/>
      <c r="WF49" s="325"/>
      <c r="WG49" s="325"/>
      <c r="WH49" s="325"/>
      <c r="WI49" s="325"/>
      <c r="WJ49" s="325"/>
      <c r="WK49" s="325"/>
      <c r="WL49" s="325"/>
      <c r="WM49" s="325"/>
      <c r="WN49" s="325"/>
      <c r="WO49" s="325"/>
      <c r="WP49" s="325"/>
      <c r="WQ49" s="325"/>
      <c r="WR49" s="325"/>
      <c r="WS49" s="325"/>
      <c r="WT49" s="325"/>
      <c r="WU49" s="325"/>
      <c r="WV49" s="325"/>
      <c r="WW49" s="325"/>
      <c r="WX49" s="325"/>
      <c r="WY49" s="325"/>
      <c r="WZ49" s="325"/>
      <c r="XA49" s="325"/>
      <c r="XB49" s="325"/>
      <c r="XC49" s="325"/>
      <c r="XD49" s="325"/>
      <c r="XE49" s="325"/>
      <c r="XF49" s="325"/>
      <c r="XG49" s="325"/>
      <c r="XH49" s="325"/>
      <c r="XI49" s="325"/>
      <c r="XJ49" s="325"/>
      <c r="XK49" s="325"/>
      <c r="XL49" s="325"/>
      <c r="XM49" s="325"/>
      <c r="XN49" s="325"/>
      <c r="XO49" s="325"/>
      <c r="XP49" s="325"/>
      <c r="XQ49" s="325"/>
      <c r="XR49" s="325"/>
      <c r="XS49" s="325"/>
      <c r="XT49" s="325"/>
      <c r="XU49" s="325"/>
      <c r="XV49" s="325"/>
      <c r="XW49" s="325"/>
      <c r="XX49" s="325"/>
      <c r="XY49" s="325"/>
      <c r="XZ49" s="325"/>
      <c r="YA49" s="325"/>
      <c r="YB49" s="325"/>
      <c r="YC49" s="325"/>
      <c r="YD49" s="325"/>
      <c r="YE49" s="325"/>
      <c r="YF49" s="325"/>
      <c r="YG49" s="325"/>
      <c r="YH49" s="325"/>
      <c r="YI49" s="325"/>
      <c r="YJ49" s="325"/>
      <c r="YK49" s="325"/>
      <c r="YL49" s="325"/>
      <c r="YM49" s="325"/>
      <c r="YN49" s="325"/>
      <c r="YO49" s="325"/>
      <c r="YP49" s="325"/>
      <c r="YQ49" s="325"/>
      <c r="YR49" s="325"/>
      <c r="YS49" s="325"/>
      <c r="YT49" s="325"/>
      <c r="YU49" s="325"/>
      <c r="YV49" s="325"/>
      <c r="YW49" s="325"/>
      <c r="YX49" s="325"/>
      <c r="YY49" s="325"/>
      <c r="YZ49" s="325"/>
      <c r="ZA49" s="325"/>
      <c r="ZB49" s="325"/>
      <c r="ZC49" s="325"/>
      <c r="ZD49" s="325"/>
      <c r="ZE49" s="325"/>
      <c r="ZF49" s="325"/>
      <c r="ZG49" s="325"/>
      <c r="ZH49" s="325"/>
      <c r="ZI49" s="325"/>
      <c r="ZJ49" s="325"/>
      <c r="ZK49" s="325"/>
      <c r="ZL49" s="325"/>
      <c r="ZM49" s="325"/>
      <c r="ZN49" s="325"/>
      <c r="ZO49" s="325"/>
      <c r="ZP49" s="325"/>
      <c r="ZQ49" s="325"/>
      <c r="ZR49" s="325"/>
      <c r="ZS49" s="325"/>
      <c r="ZT49" s="325"/>
      <c r="ZU49" s="325"/>
      <c r="ZV49" s="325"/>
      <c r="ZW49" s="325"/>
      <c r="ZX49" s="325"/>
      <c r="ZY49" s="325"/>
      <c r="ZZ49" s="325"/>
      <c r="AAA49" s="325"/>
      <c r="AAB49" s="325"/>
      <c r="AAC49" s="325"/>
      <c r="AAD49" s="325"/>
      <c r="AAE49" s="325"/>
      <c r="AAF49" s="325"/>
      <c r="AAG49" s="325"/>
      <c r="AAH49" s="325"/>
      <c r="AAI49" s="325"/>
      <c r="AAJ49" s="325"/>
      <c r="AAK49" s="325"/>
      <c r="AAL49" s="325"/>
      <c r="AAM49" s="325"/>
      <c r="AAN49" s="325"/>
      <c r="AAO49" s="325"/>
      <c r="AAP49" s="325"/>
      <c r="AAQ49" s="325"/>
      <c r="AAR49" s="325"/>
      <c r="AAS49" s="325"/>
      <c r="AAT49" s="325"/>
      <c r="AAU49" s="325"/>
      <c r="AAV49" s="325"/>
      <c r="AAW49" s="325"/>
      <c r="AAX49" s="325"/>
      <c r="AAY49" s="325"/>
      <c r="AAZ49" s="325"/>
      <c r="ABA49" s="325"/>
      <c r="ABB49" s="325"/>
      <c r="ABC49" s="325"/>
      <c r="ABD49" s="325"/>
      <c r="ABE49" s="325"/>
      <c r="ABF49" s="325"/>
      <c r="ABG49" s="325"/>
      <c r="ABH49" s="325"/>
      <c r="ABI49" s="325"/>
      <c r="ABJ49" s="325"/>
      <c r="ABK49" s="325"/>
      <c r="ABL49" s="325"/>
      <c r="ABM49" s="325"/>
      <c r="ABN49" s="325"/>
      <c r="ABO49" s="325"/>
      <c r="ABP49" s="325"/>
      <c r="ABQ49" s="325"/>
      <c r="ABR49" s="325"/>
      <c r="ABS49" s="325"/>
      <c r="ABT49" s="325"/>
      <c r="ABU49" s="325"/>
      <c r="ABV49" s="325"/>
      <c r="ABW49" s="325"/>
      <c r="ABX49" s="325"/>
      <c r="ABY49" s="325"/>
      <c r="ABZ49" s="325"/>
      <c r="ACA49" s="325"/>
      <c r="ACB49" s="325"/>
      <c r="ACC49" s="325"/>
      <c r="ACD49" s="325"/>
      <c r="ACE49" s="325"/>
      <c r="ACF49" s="325"/>
      <c r="ACG49" s="325"/>
      <c r="ACH49" s="325"/>
      <c r="ACI49" s="325"/>
      <c r="ACJ49" s="325"/>
      <c r="ACK49" s="325"/>
      <c r="ACL49" s="325"/>
      <c r="ACM49" s="325"/>
      <c r="ACN49" s="325"/>
      <c r="ACO49" s="325"/>
      <c r="ACP49" s="325"/>
      <c r="ACQ49" s="325"/>
      <c r="ACR49" s="325"/>
      <c r="ACS49" s="325"/>
      <c r="ACT49" s="325"/>
      <c r="ACU49" s="325"/>
      <c r="ACV49" s="325"/>
      <c r="ACW49" s="325"/>
      <c r="ACX49" s="325"/>
      <c r="ACY49" s="325"/>
      <c r="ACZ49" s="325"/>
      <c r="ADA49" s="325"/>
      <c r="ADB49" s="325"/>
      <c r="ADC49" s="325"/>
      <c r="ADD49" s="325"/>
      <c r="ADE49" s="325"/>
      <c r="ADF49" s="325"/>
      <c r="ADG49" s="325"/>
      <c r="ADH49" s="325"/>
      <c r="ADI49" s="325"/>
      <c r="ADJ49" s="325"/>
      <c r="ADK49" s="325"/>
      <c r="ADL49" s="325"/>
      <c r="ADM49" s="325"/>
      <c r="ADN49" s="325"/>
      <c r="ADO49" s="325"/>
      <c r="ADP49" s="325"/>
      <c r="ADQ49" s="325"/>
      <c r="ADR49" s="325"/>
      <c r="ADS49" s="325"/>
      <c r="ADT49" s="325"/>
      <c r="ADU49" s="325"/>
      <c r="ADV49" s="325"/>
      <c r="ADW49" s="325"/>
      <c r="ADX49" s="325"/>
      <c r="ADY49" s="325"/>
      <c r="ADZ49" s="325"/>
      <c r="AEA49" s="325"/>
      <c r="AEB49" s="325"/>
      <c r="AEC49" s="325"/>
      <c r="AED49" s="325"/>
      <c r="AEE49" s="325"/>
      <c r="AEF49" s="325"/>
      <c r="AEG49" s="325"/>
      <c r="AEH49" s="325"/>
      <c r="AEI49" s="325"/>
      <c r="AEJ49" s="325"/>
      <c r="AEK49" s="325"/>
      <c r="AEL49" s="325"/>
      <c r="AEM49" s="325"/>
      <c r="AEN49" s="325"/>
      <c r="AEO49" s="325"/>
      <c r="AEP49" s="325"/>
      <c r="AEQ49" s="325"/>
      <c r="AER49" s="325"/>
      <c r="AES49" s="325"/>
      <c r="AET49" s="325"/>
      <c r="AEU49" s="325"/>
      <c r="AEV49" s="325"/>
      <c r="AEW49" s="325"/>
      <c r="AEX49" s="325"/>
      <c r="AEY49" s="325"/>
      <c r="AEZ49" s="325"/>
      <c r="AFA49" s="325"/>
      <c r="AFB49" s="325"/>
      <c r="AFC49" s="325"/>
      <c r="AFD49" s="325"/>
      <c r="AFE49" s="325"/>
      <c r="AFF49" s="325"/>
      <c r="AFG49" s="325"/>
      <c r="AFH49" s="325"/>
      <c r="AFI49" s="325"/>
      <c r="AFJ49" s="325"/>
      <c r="AFK49" s="325"/>
      <c r="AFL49" s="325"/>
      <c r="AFM49" s="325"/>
      <c r="AFN49" s="325"/>
      <c r="AFO49" s="325"/>
      <c r="AFP49" s="325"/>
      <c r="AFQ49" s="325"/>
      <c r="AFR49" s="325"/>
      <c r="AFS49" s="325"/>
      <c r="AFT49" s="325"/>
      <c r="AFU49" s="325"/>
      <c r="AFV49" s="325"/>
      <c r="AFW49" s="325"/>
      <c r="AFX49" s="325"/>
      <c r="AFY49" s="325"/>
      <c r="AFZ49" s="325"/>
      <c r="AGA49" s="325"/>
      <c r="AGB49" s="325"/>
      <c r="AGC49" s="325"/>
      <c r="AGD49" s="325"/>
      <c r="AGE49" s="325"/>
      <c r="AGF49" s="325"/>
      <c r="AGG49" s="325"/>
      <c r="AGH49" s="325"/>
      <c r="AGI49" s="325"/>
      <c r="AGJ49" s="325"/>
      <c r="AGK49" s="325"/>
      <c r="AGL49" s="325"/>
      <c r="AGM49" s="325"/>
      <c r="AGN49" s="325"/>
      <c r="AGO49" s="325"/>
      <c r="AGP49" s="325"/>
      <c r="AGQ49" s="325"/>
      <c r="AGR49" s="325"/>
      <c r="AGS49" s="325"/>
      <c r="AGT49" s="325"/>
      <c r="AGU49" s="325"/>
      <c r="AGV49" s="325"/>
      <c r="AGW49" s="325"/>
      <c r="AGX49" s="325"/>
      <c r="AGY49" s="325"/>
      <c r="AGZ49" s="325"/>
      <c r="AHA49" s="325"/>
      <c r="AHB49" s="325"/>
      <c r="AHC49" s="325"/>
      <c r="AHD49" s="325"/>
      <c r="AHE49" s="325"/>
      <c r="AHF49" s="325"/>
      <c r="AHG49" s="325"/>
      <c r="AHH49" s="325"/>
      <c r="AHI49" s="325"/>
      <c r="AHJ49" s="325"/>
      <c r="AHK49" s="325"/>
      <c r="AHL49" s="325"/>
      <c r="AHM49" s="325"/>
      <c r="AHN49" s="325"/>
      <c r="AHO49" s="325"/>
      <c r="AHP49" s="325"/>
      <c r="AHQ49" s="325"/>
      <c r="AHR49" s="325"/>
      <c r="AHS49" s="325"/>
      <c r="AHT49" s="325"/>
      <c r="AHU49" s="325"/>
      <c r="AHV49" s="325"/>
      <c r="AHW49" s="325"/>
      <c r="AHX49" s="325"/>
      <c r="AHY49" s="325"/>
      <c r="AHZ49" s="325"/>
      <c r="AIA49" s="325"/>
      <c r="AIB49" s="325"/>
      <c r="AIC49" s="325"/>
      <c r="AID49" s="325"/>
      <c r="AIE49" s="325"/>
      <c r="AIF49" s="325"/>
      <c r="AIG49" s="325"/>
      <c r="AIH49" s="325"/>
      <c r="AII49" s="325"/>
      <c r="AIJ49" s="325"/>
      <c r="AIK49" s="325"/>
      <c r="AIL49" s="325"/>
      <c r="AIM49" s="325"/>
      <c r="AIN49" s="325"/>
      <c r="AIO49" s="325"/>
      <c r="AIP49" s="325"/>
      <c r="AIQ49" s="325"/>
      <c r="AIR49" s="325"/>
      <c r="AIS49" s="325"/>
      <c r="AIT49" s="325"/>
      <c r="AIU49" s="325"/>
      <c r="AIV49" s="325"/>
      <c r="AIW49" s="325"/>
      <c r="AIX49" s="325"/>
      <c r="AIY49" s="325"/>
      <c r="AIZ49" s="325"/>
      <c r="AJA49" s="325"/>
      <c r="AJB49" s="325"/>
      <c r="AJC49" s="325"/>
      <c r="AJD49" s="325"/>
      <c r="AJE49" s="325"/>
      <c r="AJF49" s="325"/>
      <c r="AJG49" s="325"/>
      <c r="AJH49" s="325"/>
      <c r="AJI49" s="325"/>
      <c r="AJJ49" s="325"/>
      <c r="AJK49" s="325"/>
      <c r="AJL49" s="325"/>
      <c r="AJM49" s="325"/>
      <c r="AJN49" s="325"/>
      <c r="AJO49" s="325"/>
      <c r="AJP49" s="325"/>
      <c r="AJQ49" s="325"/>
      <c r="AJR49" s="325"/>
      <c r="AJS49" s="325"/>
      <c r="AJT49" s="325"/>
      <c r="AJU49" s="325"/>
      <c r="AJV49" s="325"/>
      <c r="AJW49" s="325"/>
      <c r="AJX49" s="325"/>
      <c r="AJY49" s="325"/>
      <c r="AJZ49" s="325"/>
      <c r="AKA49" s="325"/>
      <c r="AKB49" s="325"/>
      <c r="AKC49" s="325"/>
      <c r="AKD49" s="325"/>
      <c r="AKE49" s="325"/>
      <c r="AKF49" s="325"/>
      <c r="AKG49" s="325"/>
      <c r="AKH49" s="325"/>
      <c r="AKI49" s="325"/>
      <c r="AKJ49" s="325"/>
      <c r="AKK49" s="325"/>
      <c r="AKL49" s="325"/>
      <c r="AKM49" s="325"/>
      <c r="AKN49" s="325"/>
      <c r="AKO49" s="325"/>
      <c r="AKP49" s="325"/>
      <c r="AKQ49" s="325"/>
      <c r="AKR49" s="325"/>
      <c r="AKS49" s="325"/>
      <c r="AKT49" s="325"/>
      <c r="AKU49" s="325"/>
      <c r="AKV49" s="325"/>
      <c r="AKW49" s="325"/>
      <c r="AKX49" s="325"/>
      <c r="AKY49" s="325"/>
      <c r="AKZ49" s="325"/>
      <c r="ALA49" s="325"/>
      <c r="ALB49" s="325"/>
      <c r="ALC49" s="325"/>
      <c r="ALD49" s="325"/>
      <c r="ALE49" s="325"/>
      <c r="ALF49" s="325"/>
      <c r="ALG49" s="325"/>
      <c r="ALH49" s="325"/>
      <c r="ALI49" s="325"/>
      <c r="ALJ49" s="325"/>
      <c r="ALK49" s="325"/>
      <c r="ALL49" s="325"/>
      <c r="ALM49" s="325"/>
      <c r="ALN49" s="325"/>
      <c r="ALO49" s="325"/>
      <c r="ALP49" s="325"/>
      <c r="ALQ49" s="325"/>
      <c r="ALR49" s="325"/>
      <c r="ALS49" s="325"/>
      <c r="ALT49" s="325"/>
      <c r="ALU49" s="325"/>
      <c r="ALV49" s="325"/>
      <c r="ALW49" s="325"/>
      <c r="ALX49" s="325"/>
      <c r="ALY49" s="325"/>
      <c r="ALZ49" s="325"/>
      <c r="AMA49" s="325"/>
      <c r="AMB49" s="325"/>
      <c r="AMC49" s="325"/>
    </row>
    <row r="50" spans="3:1017" s="75" customFormat="1">
      <c r="C50" s="130"/>
      <c r="D50" s="130"/>
      <c r="CN50" s="225"/>
      <c r="CQ50" s="226"/>
      <c r="LD50" s="213"/>
      <c r="LH50" s="286"/>
      <c r="LI50" s="287"/>
      <c r="LJ50" s="124"/>
      <c r="LK50" s="124"/>
      <c r="LL50" s="124"/>
      <c r="LM50" s="124"/>
      <c r="LN50" s="124"/>
      <c r="LO50" s="124"/>
      <c r="LP50" s="124"/>
      <c r="LQ50" s="124"/>
      <c r="LR50" s="124"/>
      <c r="NE50" s="330"/>
      <c r="NF50" s="325"/>
      <c r="NG50" s="325"/>
      <c r="NH50" s="325"/>
      <c r="NI50" s="325"/>
      <c r="NJ50" s="325"/>
      <c r="NK50" s="325"/>
      <c r="NL50" s="325"/>
      <c r="NM50" s="325"/>
      <c r="NN50" s="325"/>
      <c r="NO50" s="325"/>
      <c r="NP50" s="325"/>
      <c r="NQ50" s="325"/>
      <c r="NR50" s="325"/>
      <c r="NS50" s="325"/>
      <c r="NT50" s="325"/>
      <c r="NU50" s="325"/>
      <c r="NV50" s="325"/>
      <c r="NW50" s="325"/>
      <c r="NX50" s="325"/>
      <c r="NY50" s="325"/>
      <c r="NZ50" s="325"/>
      <c r="OA50" s="325"/>
      <c r="OB50" s="325"/>
      <c r="OC50" s="325"/>
      <c r="OD50" s="325"/>
      <c r="OE50" s="325"/>
      <c r="OF50" s="325"/>
      <c r="OG50" s="325"/>
      <c r="OH50" s="325"/>
      <c r="OI50" s="325"/>
      <c r="OJ50" s="325"/>
      <c r="OK50" s="325"/>
      <c r="OL50" s="325"/>
      <c r="OM50" s="325"/>
      <c r="ON50" s="325"/>
      <c r="OO50" s="325"/>
      <c r="OP50" s="325"/>
      <c r="OQ50" s="325"/>
      <c r="OR50" s="325"/>
      <c r="OS50" s="325"/>
      <c r="OT50" s="325"/>
      <c r="OU50" s="325"/>
      <c r="OV50" s="325"/>
      <c r="OW50" s="325"/>
      <c r="OX50" s="325"/>
      <c r="OY50" s="325"/>
      <c r="OZ50" s="325"/>
      <c r="PA50" s="325"/>
      <c r="PB50" s="325"/>
      <c r="PC50" s="325"/>
      <c r="PD50" s="325"/>
      <c r="PE50" s="325"/>
      <c r="PF50" s="325"/>
      <c r="PG50" s="325"/>
      <c r="PH50" s="325"/>
      <c r="PI50" s="325"/>
      <c r="PJ50" s="325"/>
      <c r="PK50" s="325"/>
      <c r="PL50" s="325"/>
      <c r="PM50" s="325"/>
      <c r="PN50" s="325"/>
      <c r="PO50" s="325"/>
      <c r="PP50" s="325"/>
      <c r="PQ50" s="325"/>
      <c r="PR50" s="325"/>
      <c r="PS50" s="325"/>
      <c r="PT50" s="325"/>
      <c r="PU50" s="325"/>
      <c r="PV50" s="325"/>
      <c r="PW50" s="325"/>
      <c r="PX50" s="325"/>
      <c r="PY50" s="325"/>
      <c r="PZ50" s="325"/>
      <c r="QA50" s="325"/>
      <c r="QB50" s="325"/>
      <c r="QC50" s="325"/>
      <c r="QD50" s="325"/>
      <c r="QE50" s="325"/>
      <c r="QF50" s="325"/>
      <c r="QG50" s="325"/>
      <c r="QH50" s="325"/>
      <c r="QI50" s="325"/>
      <c r="QJ50" s="325"/>
      <c r="QK50" s="325"/>
      <c r="QL50" s="325"/>
      <c r="QM50" s="325"/>
      <c r="QN50" s="325"/>
      <c r="QO50" s="325"/>
      <c r="QP50" s="325"/>
      <c r="QQ50" s="325"/>
      <c r="QR50" s="325"/>
      <c r="QS50" s="325"/>
      <c r="QT50" s="325"/>
      <c r="QU50" s="325"/>
      <c r="QV50" s="325"/>
      <c r="QW50" s="325"/>
      <c r="QX50" s="325"/>
      <c r="QY50" s="325"/>
      <c r="QZ50" s="325"/>
      <c r="RA50" s="325"/>
      <c r="RB50" s="325"/>
      <c r="RC50" s="325"/>
      <c r="RD50" s="325"/>
      <c r="RE50" s="325"/>
      <c r="RF50" s="325"/>
      <c r="RG50" s="325"/>
      <c r="RH50" s="325"/>
      <c r="RI50" s="325"/>
      <c r="RJ50" s="325"/>
      <c r="RK50" s="325"/>
      <c r="RL50" s="325"/>
      <c r="RM50" s="325"/>
      <c r="RN50" s="325"/>
      <c r="RO50" s="325"/>
      <c r="RP50" s="325"/>
      <c r="RQ50" s="325"/>
      <c r="RR50" s="325"/>
      <c r="RS50" s="325"/>
      <c r="RT50" s="325"/>
      <c r="RU50" s="325"/>
      <c r="RV50" s="325"/>
      <c r="RW50" s="325"/>
      <c r="RX50" s="325"/>
      <c r="RY50" s="325"/>
      <c r="RZ50" s="325"/>
      <c r="SA50" s="325"/>
      <c r="SB50" s="325"/>
      <c r="SC50" s="325"/>
      <c r="SD50" s="325"/>
      <c r="SE50" s="325"/>
      <c r="SF50" s="325"/>
      <c r="SG50" s="325"/>
      <c r="SH50" s="325"/>
      <c r="SI50" s="325"/>
      <c r="SJ50" s="325"/>
      <c r="SK50" s="325"/>
      <c r="SL50" s="325"/>
      <c r="SM50" s="325"/>
      <c r="SN50" s="325"/>
      <c r="SO50" s="325"/>
      <c r="SP50" s="325"/>
      <c r="SQ50" s="325"/>
      <c r="SR50" s="325"/>
      <c r="SS50" s="325"/>
      <c r="ST50" s="325"/>
      <c r="SU50" s="325"/>
      <c r="SV50" s="325"/>
      <c r="SW50" s="325"/>
      <c r="SX50" s="325"/>
      <c r="SY50" s="325"/>
      <c r="SZ50" s="325"/>
      <c r="TA50" s="325"/>
      <c r="TB50" s="325"/>
      <c r="TC50" s="325"/>
      <c r="TD50" s="325"/>
      <c r="TE50" s="325"/>
      <c r="TF50" s="325"/>
      <c r="TG50" s="325"/>
      <c r="TH50" s="325"/>
      <c r="TI50" s="325"/>
      <c r="TJ50" s="325"/>
      <c r="TK50" s="325"/>
      <c r="TL50" s="325"/>
      <c r="TM50" s="325"/>
      <c r="TN50" s="325"/>
      <c r="TO50" s="325"/>
      <c r="TP50" s="325"/>
      <c r="TQ50" s="325"/>
      <c r="TR50" s="325"/>
      <c r="TS50" s="325"/>
      <c r="TT50" s="325"/>
      <c r="TU50" s="325"/>
      <c r="TV50" s="325"/>
      <c r="TW50" s="325"/>
      <c r="TX50" s="325"/>
      <c r="TY50" s="325"/>
      <c r="TZ50" s="325"/>
      <c r="UA50" s="325"/>
      <c r="UB50" s="325"/>
      <c r="UC50" s="325"/>
      <c r="UD50" s="325"/>
      <c r="UE50" s="325"/>
      <c r="UF50" s="325"/>
      <c r="UG50" s="325"/>
      <c r="UH50" s="325"/>
      <c r="UI50" s="325"/>
      <c r="UJ50" s="325"/>
      <c r="UK50" s="325"/>
      <c r="UL50" s="325"/>
      <c r="UM50" s="325"/>
      <c r="UN50" s="325"/>
      <c r="UO50" s="325"/>
      <c r="UP50" s="325"/>
      <c r="UQ50" s="325"/>
      <c r="UR50" s="325"/>
      <c r="US50" s="325"/>
      <c r="UT50" s="325"/>
      <c r="UU50" s="325"/>
      <c r="UV50" s="325"/>
      <c r="UW50" s="325"/>
      <c r="UX50" s="325"/>
      <c r="UY50" s="325"/>
      <c r="UZ50" s="325"/>
      <c r="VA50" s="325"/>
      <c r="VB50" s="325"/>
      <c r="VC50" s="325"/>
      <c r="VD50" s="325"/>
      <c r="VE50" s="325"/>
      <c r="VF50" s="325"/>
      <c r="VG50" s="325"/>
      <c r="VH50" s="325"/>
      <c r="VI50" s="325"/>
      <c r="VJ50" s="325"/>
      <c r="VK50" s="325"/>
      <c r="VL50" s="325"/>
      <c r="VM50" s="325"/>
      <c r="VN50" s="325"/>
      <c r="VO50" s="325"/>
      <c r="VP50" s="325"/>
      <c r="VQ50" s="325"/>
      <c r="VR50" s="325"/>
      <c r="VS50" s="325"/>
      <c r="VT50" s="325"/>
      <c r="VU50" s="325"/>
      <c r="VV50" s="325"/>
      <c r="VW50" s="325"/>
      <c r="VX50" s="325"/>
      <c r="VY50" s="325"/>
      <c r="VZ50" s="325"/>
      <c r="WA50" s="325"/>
      <c r="WB50" s="325"/>
      <c r="WC50" s="325"/>
      <c r="WD50" s="325"/>
      <c r="WE50" s="325"/>
      <c r="WF50" s="325"/>
      <c r="WG50" s="325"/>
      <c r="WH50" s="325"/>
      <c r="WI50" s="325"/>
      <c r="WJ50" s="325"/>
      <c r="WK50" s="325"/>
      <c r="WL50" s="325"/>
      <c r="WM50" s="325"/>
      <c r="WN50" s="325"/>
      <c r="WO50" s="325"/>
      <c r="WP50" s="325"/>
      <c r="WQ50" s="325"/>
      <c r="WR50" s="325"/>
      <c r="WS50" s="325"/>
      <c r="WT50" s="325"/>
      <c r="WU50" s="325"/>
      <c r="WV50" s="325"/>
      <c r="WW50" s="325"/>
      <c r="WX50" s="325"/>
      <c r="WY50" s="325"/>
      <c r="WZ50" s="325"/>
      <c r="XA50" s="325"/>
      <c r="XB50" s="325"/>
      <c r="XC50" s="325"/>
      <c r="XD50" s="325"/>
      <c r="XE50" s="325"/>
      <c r="XF50" s="325"/>
      <c r="XG50" s="325"/>
      <c r="XH50" s="325"/>
      <c r="XI50" s="325"/>
      <c r="XJ50" s="325"/>
      <c r="XK50" s="325"/>
      <c r="XL50" s="325"/>
      <c r="XM50" s="325"/>
      <c r="XN50" s="325"/>
      <c r="XO50" s="325"/>
      <c r="XP50" s="325"/>
      <c r="XQ50" s="325"/>
      <c r="XR50" s="325"/>
      <c r="XS50" s="325"/>
      <c r="XT50" s="325"/>
      <c r="XU50" s="325"/>
      <c r="XV50" s="325"/>
      <c r="XW50" s="325"/>
      <c r="XX50" s="325"/>
      <c r="XY50" s="325"/>
      <c r="XZ50" s="325"/>
      <c r="YA50" s="325"/>
      <c r="YB50" s="325"/>
      <c r="YC50" s="325"/>
      <c r="YD50" s="325"/>
      <c r="YE50" s="325"/>
      <c r="YF50" s="325"/>
      <c r="YG50" s="325"/>
      <c r="YH50" s="325"/>
      <c r="YI50" s="325"/>
      <c r="YJ50" s="325"/>
      <c r="YK50" s="325"/>
      <c r="YL50" s="325"/>
      <c r="YM50" s="325"/>
      <c r="YN50" s="325"/>
      <c r="YO50" s="325"/>
      <c r="YP50" s="325"/>
      <c r="YQ50" s="325"/>
      <c r="YR50" s="325"/>
      <c r="YS50" s="325"/>
      <c r="YT50" s="325"/>
      <c r="YU50" s="325"/>
      <c r="YV50" s="325"/>
      <c r="YW50" s="325"/>
      <c r="YX50" s="325"/>
      <c r="YY50" s="325"/>
      <c r="YZ50" s="325"/>
      <c r="ZA50" s="325"/>
      <c r="ZB50" s="325"/>
      <c r="ZC50" s="325"/>
      <c r="ZD50" s="325"/>
      <c r="ZE50" s="325"/>
      <c r="ZF50" s="325"/>
      <c r="ZG50" s="325"/>
      <c r="ZH50" s="325"/>
      <c r="ZI50" s="325"/>
      <c r="ZJ50" s="325"/>
      <c r="ZK50" s="325"/>
      <c r="ZL50" s="325"/>
      <c r="ZM50" s="325"/>
      <c r="ZN50" s="325"/>
      <c r="ZO50" s="325"/>
      <c r="ZP50" s="325"/>
      <c r="ZQ50" s="325"/>
      <c r="ZR50" s="325"/>
      <c r="ZS50" s="325"/>
      <c r="ZT50" s="325"/>
      <c r="ZU50" s="325"/>
      <c r="ZV50" s="325"/>
      <c r="ZW50" s="325"/>
      <c r="ZX50" s="325"/>
      <c r="ZY50" s="325"/>
      <c r="ZZ50" s="325"/>
      <c r="AAA50" s="325"/>
      <c r="AAB50" s="325"/>
      <c r="AAC50" s="325"/>
      <c r="AAD50" s="325"/>
      <c r="AAE50" s="325"/>
      <c r="AAF50" s="325"/>
      <c r="AAG50" s="325"/>
      <c r="AAH50" s="325"/>
      <c r="AAI50" s="325"/>
      <c r="AAJ50" s="325"/>
      <c r="AAK50" s="325"/>
      <c r="AAL50" s="325"/>
      <c r="AAM50" s="325"/>
      <c r="AAN50" s="325"/>
      <c r="AAO50" s="325"/>
      <c r="AAP50" s="325"/>
      <c r="AAQ50" s="325"/>
      <c r="AAR50" s="325"/>
      <c r="AAS50" s="325"/>
      <c r="AAT50" s="325"/>
      <c r="AAU50" s="325"/>
      <c r="AAV50" s="325"/>
      <c r="AAW50" s="325"/>
      <c r="AAX50" s="325"/>
      <c r="AAY50" s="325"/>
      <c r="AAZ50" s="325"/>
      <c r="ABA50" s="325"/>
      <c r="ABB50" s="325"/>
      <c r="ABC50" s="325"/>
      <c r="ABD50" s="325"/>
      <c r="ABE50" s="325"/>
      <c r="ABF50" s="325"/>
      <c r="ABG50" s="325"/>
      <c r="ABH50" s="325"/>
      <c r="ABI50" s="325"/>
      <c r="ABJ50" s="325"/>
      <c r="ABK50" s="325"/>
      <c r="ABL50" s="325"/>
      <c r="ABM50" s="325"/>
      <c r="ABN50" s="325"/>
      <c r="ABO50" s="325"/>
      <c r="ABP50" s="325"/>
      <c r="ABQ50" s="325"/>
      <c r="ABR50" s="325"/>
      <c r="ABS50" s="325"/>
      <c r="ABT50" s="325"/>
      <c r="ABU50" s="325"/>
      <c r="ABV50" s="325"/>
      <c r="ABW50" s="325"/>
      <c r="ABX50" s="325"/>
      <c r="ABY50" s="325"/>
      <c r="ABZ50" s="325"/>
      <c r="ACA50" s="325"/>
      <c r="ACB50" s="325"/>
      <c r="ACC50" s="325"/>
      <c r="ACD50" s="325"/>
      <c r="ACE50" s="325"/>
      <c r="ACF50" s="325"/>
      <c r="ACG50" s="325"/>
      <c r="ACH50" s="325"/>
      <c r="ACI50" s="325"/>
      <c r="ACJ50" s="325"/>
      <c r="ACK50" s="325"/>
      <c r="ACL50" s="325"/>
      <c r="ACM50" s="325"/>
      <c r="ACN50" s="325"/>
      <c r="ACO50" s="325"/>
      <c r="ACP50" s="325"/>
      <c r="ACQ50" s="325"/>
      <c r="ACR50" s="325"/>
      <c r="ACS50" s="325"/>
      <c r="ACT50" s="325"/>
      <c r="ACU50" s="325"/>
      <c r="ACV50" s="325"/>
      <c r="ACW50" s="325"/>
      <c r="ACX50" s="325"/>
      <c r="ACY50" s="325"/>
      <c r="ACZ50" s="325"/>
      <c r="ADA50" s="325"/>
      <c r="ADB50" s="325"/>
      <c r="ADC50" s="325"/>
      <c r="ADD50" s="325"/>
      <c r="ADE50" s="325"/>
      <c r="ADF50" s="325"/>
      <c r="ADG50" s="325"/>
      <c r="ADH50" s="325"/>
      <c r="ADI50" s="325"/>
      <c r="ADJ50" s="325"/>
      <c r="ADK50" s="325"/>
      <c r="ADL50" s="325"/>
      <c r="ADM50" s="325"/>
      <c r="ADN50" s="325"/>
      <c r="ADO50" s="325"/>
      <c r="ADP50" s="325"/>
      <c r="ADQ50" s="325"/>
      <c r="ADR50" s="325"/>
      <c r="ADS50" s="325"/>
      <c r="ADT50" s="325"/>
      <c r="ADU50" s="325"/>
      <c r="ADV50" s="325"/>
      <c r="ADW50" s="325"/>
      <c r="ADX50" s="325"/>
      <c r="ADY50" s="325"/>
      <c r="ADZ50" s="325"/>
      <c r="AEA50" s="325"/>
      <c r="AEB50" s="325"/>
      <c r="AEC50" s="325"/>
      <c r="AED50" s="325"/>
      <c r="AEE50" s="325"/>
      <c r="AEF50" s="325"/>
      <c r="AEG50" s="325"/>
      <c r="AEH50" s="325"/>
      <c r="AEI50" s="325"/>
      <c r="AEJ50" s="325"/>
      <c r="AEK50" s="325"/>
      <c r="AEL50" s="325"/>
      <c r="AEM50" s="325"/>
      <c r="AEN50" s="325"/>
      <c r="AEO50" s="325"/>
      <c r="AEP50" s="325"/>
      <c r="AEQ50" s="325"/>
      <c r="AER50" s="325"/>
      <c r="AES50" s="325"/>
      <c r="AET50" s="325"/>
      <c r="AEU50" s="325"/>
      <c r="AEV50" s="325"/>
      <c r="AEW50" s="325"/>
      <c r="AEX50" s="325"/>
      <c r="AEY50" s="325"/>
      <c r="AEZ50" s="325"/>
      <c r="AFA50" s="325"/>
      <c r="AFB50" s="325"/>
      <c r="AFC50" s="325"/>
      <c r="AFD50" s="325"/>
      <c r="AFE50" s="325"/>
      <c r="AFF50" s="325"/>
      <c r="AFG50" s="325"/>
      <c r="AFH50" s="325"/>
      <c r="AFI50" s="325"/>
      <c r="AFJ50" s="325"/>
      <c r="AFK50" s="325"/>
      <c r="AFL50" s="325"/>
      <c r="AFM50" s="325"/>
      <c r="AFN50" s="325"/>
      <c r="AFO50" s="325"/>
      <c r="AFP50" s="325"/>
      <c r="AFQ50" s="325"/>
      <c r="AFR50" s="325"/>
      <c r="AFS50" s="325"/>
      <c r="AFT50" s="325"/>
      <c r="AFU50" s="325"/>
      <c r="AFV50" s="325"/>
      <c r="AFW50" s="325"/>
      <c r="AFX50" s="325"/>
      <c r="AFY50" s="325"/>
      <c r="AFZ50" s="325"/>
      <c r="AGA50" s="325"/>
      <c r="AGB50" s="325"/>
      <c r="AGC50" s="325"/>
      <c r="AGD50" s="325"/>
      <c r="AGE50" s="325"/>
      <c r="AGF50" s="325"/>
      <c r="AGG50" s="325"/>
      <c r="AGH50" s="325"/>
      <c r="AGI50" s="325"/>
      <c r="AGJ50" s="325"/>
      <c r="AGK50" s="325"/>
      <c r="AGL50" s="325"/>
      <c r="AGM50" s="325"/>
      <c r="AGN50" s="325"/>
      <c r="AGO50" s="325"/>
      <c r="AGP50" s="325"/>
      <c r="AGQ50" s="325"/>
      <c r="AGR50" s="325"/>
      <c r="AGS50" s="325"/>
      <c r="AGT50" s="325"/>
      <c r="AGU50" s="325"/>
      <c r="AGV50" s="325"/>
      <c r="AGW50" s="325"/>
      <c r="AGX50" s="325"/>
      <c r="AGY50" s="325"/>
      <c r="AGZ50" s="325"/>
      <c r="AHA50" s="325"/>
      <c r="AHB50" s="325"/>
      <c r="AHC50" s="325"/>
      <c r="AHD50" s="325"/>
      <c r="AHE50" s="325"/>
      <c r="AHF50" s="325"/>
      <c r="AHG50" s="325"/>
      <c r="AHH50" s="325"/>
      <c r="AHI50" s="325"/>
      <c r="AHJ50" s="325"/>
      <c r="AHK50" s="325"/>
      <c r="AHL50" s="325"/>
      <c r="AHM50" s="325"/>
      <c r="AHN50" s="325"/>
      <c r="AHO50" s="325"/>
      <c r="AHP50" s="325"/>
      <c r="AHQ50" s="325"/>
      <c r="AHR50" s="325"/>
      <c r="AHS50" s="325"/>
      <c r="AHT50" s="325"/>
      <c r="AHU50" s="325"/>
      <c r="AHV50" s="325"/>
      <c r="AHW50" s="325"/>
      <c r="AHX50" s="325"/>
      <c r="AHY50" s="325"/>
      <c r="AHZ50" s="325"/>
      <c r="AIA50" s="325"/>
      <c r="AIB50" s="325"/>
      <c r="AIC50" s="325"/>
      <c r="AID50" s="325"/>
      <c r="AIE50" s="325"/>
      <c r="AIF50" s="325"/>
      <c r="AIG50" s="325"/>
      <c r="AIH50" s="325"/>
      <c r="AII50" s="325"/>
      <c r="AIJ50" s="325"/>
      <c r="AIK50" s="325"/>
      <c r="AIL50" s="325"/>
      <c r="AIM50" s="325"/>
      <c r="AIN50" s="325"/>
      <c r="AIO50" s="325"/>
      <c r="AIP50" s="325"/>
      <c r="AIQ50" s="325"/>
      <c r="AIR50" s="325"/>
      <c r="AIS50" s="325"/>
      <c r="AIT50" s="325"/>
      <c r="AIU50" s="325"/>
      <c r="AIV50" s="325"/>
      <c r="AIW50" s="325"/>
      <c r="AIX50" s="325"/>
      <c r="AIY50" s="325"/>
      <c r="AIZ50" s="325"/>
      <c r="AJA50" s="325"/>
      <c r="AJB50" s="325"/>
      <c r="AJC50" s="325"/>
      <c r="AJD50" s="325"/>
      <c r="AJE50" s="325"/>
      <c r="AJF50" s="325"/>
      <c r="AJG50" s="325"/>
      <c r="AJH50" s="325"/>
      <c r="AJI50" s="325"/>
      <c r="AJJ50" s="325"/>
      <c r="AJK50" s="325"/>
      <c r="AJL50" s="325"/>
      <c r="AJM50" s="325"/>
      <c r="AJN50" s="325"/>
      <c r="AJO50" s="325"/>
      <c r="AJP50" s="325"/>
      <c r="AJQ50" s="325"/>
      <c r="AJR50" s="325"/>
      <c r="AJS50" s="325"/>
      <c r="AJT50" s="325"/>
      <c r="AJU50" s="325"/>
      <c r="AJV50" s="325"/>
      <c r="AJW50" s="325"/>
      <c r="AJX50" s="325"/>
      <c r="AJY50" s="325"/>
      <c r="AJZ50" s="325"/>
      <c r="AKA50" s="325"/>
      <c r="AKB50" s="325"/>
      <c r="AKC50" s="325"/>
      <c r="AKD50" s="325"/>
      <c r="AKE50" s="325"/>
      <c r="AKF50" s="325"/>
      <c r="AKG50" s="325"/>
      <c r="AKH50" s="325"/>
      <c r="AKI50" s="325"/>
      <c r="AKJ50" s="325"/>
      <c r="AKK50" s="325"/>
      <c r="AKL50" s="325"/>
      <c r="AKM50" s="325"/>
      <c r="AKN50" s="325"/>
      <c r="AKO50" s="325"/>
      <c r="AKP50" s="325"/>
      <c r="AKQ50" s="325"/>
      <c r="AKR50" s="325"/>
      <c r="AKS50" s="325"/>
      <c r="AKT50" s="325"/>
      <c r="AKU50" s="325"/>
      <c r="AKV50" s="325"/>
      <c r="AKW50" s="325"/>
      <c r="AKX50" s="325"/>
      <c r="AKY50" s="325"/>
      <c r="AKZ50" s="325"/>
      <c r="ALA50" s="325"/>
      <c r="ALB50" s="325"/>
      <c r="ALC50" s="325"/>
      <c r="ALD50" s="325"/>
      <c r="ALE50" s="325"/>
      <c r="ALF50" s="325"/>
      <c r="ALG50" s="325"/>
      <c r="ALH50" s="325"/>
      <c r="ALI50" s="325"/>
      <c r="ALJ50" s="325"/>
      <c r="ALK50" s="325"/>
      <c r="ALL50" s="325"/>
      <c r="ALM50" s="325"/>
      <c r="ALN50" s="325"/>
      <c r="ALO50" s="325"/>
      <c r="ALP50" s="325"/>
      <c r="ALQ50" s="325"/>
      <c r="ALR50" s="325"/>
      <c r="ALS50" s="325"/>
      <c r="ALT50" s="325"/>
      <c r="ALU50" s="325"/>
      <c r="ALV50" s="325"/>
      <c r="ALW50" s="325"/>
      <c r="ALX50" s="325"/>
      <c r="ALY50" s="325"/>
      <c r="ALZ50" s="325"/>
      <c r="AMA50" s="325"/>
      <c r="AMB50" s="325"/>
      <c r="AMC50" s="325"/>
    </row>
    <row r="51" spans="3:1017" s="75" customFormat="1">
      <c r="C51" s="130"/>
      <c r="D51" s="130"/>
      <c r="CN51" s="225"/>
      <c r="CQ51" s="226"/>
      <c r="LD51" s="213"/>
      <c r="LH51" s="286"/>
      <c r="LI51" s="287"/>
      <c r="LJ51" s="124"/>
      <c r="LK51" s="124"/>
      <c r="LL51" s="124"/>
      <c r="LM51" s="124"/>
      <c r="LN51" s="124"/>
      <c r="LO51" s="124"/>
      <c r="LP51" s="124"/>
      <c r="LQ51" s="124"/>
      <c r="LR51" s="124"/>
      <c r="NE51" s="330"/>
      <c r="NF51" s="325"/>
      <c r="NG51" s="325"/>
      <c r="NH51" s="325"/>
      <c r="NI51" s="325"/>
      <c r="NJ51" s="325"/>
      <c r="NK51" s="325"/>
      <c r="NL51" s="325"/>
      <c r="NM51" s="325"/>
      <c r="NN51" s="325"/>
      <c r="NO51" s="325"/>
      <c r="NP51" s="325"/>
      <c r="NQ51" s="325"/>
      <c r="NR51" s="325"/>
      <c r="NS51" s="325"/>
      <c r="NT51" s="325"/>
      <c r="NU51" s="325"/>
      <c r="NV51" s="325"/>
      <c r="NW51" s="325"/>
      <c r="NX51" s="325"/>
      <c r="NY51" s="325"/>
      <c r="NZ51" s="325"/>
      <c r="OA51" s="325"/>
      <c r="OB51" s="325"/>
      <c r="OC51" s="325"/>
      <c r="OD51" s="325"/>
      <c r="OE51" s="325"/>
      <c r="OF51" s="325"/>
      <c r="OG51" s="325"/>
      <c r="OH51" s="325"/>
      <c r="OI51" s="325"/>
      <c r="OJ51" s="325"/>
      <c r="OK51" s="325"/>
      <c r="OL51" s="325"/>
      <c r="OM51" s="325"/>
      <c r="ON51" s="325"/>
      <c r="OO51" s="325"/>
      <c r="OP51" s="325"/>
      <c r="OQ51" s="325"/>
      <c r="OR51" s="325"/>
      <c r="OS51" s="325"/>
      <c r="OT51" s="325"/>
      <c r="OU51" s="325"/>
      <c r="OV51" s="325"/>
      <c r="OW51" s="325"/>
      <c r="OX51" s="325"/>
      <c r="OY51" s="325"/>
      <c r="OZ51" s="325"/>
      <c r="PA51" s="325"/>
      <c r="PB51" s="325"/>
      <c r="PC51" s="325"/>
      <c r="PD51" s="325"/>
      <c r="PE51" s="325"/>
      <c r="PF51" s="325"/>
      <c r="PG51" s="325"/>
      <c r="PH51" s="325"/>
      <c r="PI51" s="325"/>
      <c r="PJ51" s="325"/>
      <c r="PK51" s="325"/>
      <c r="PL51" s="325"/>
      <c r="PM51" s="325"/>
      <c r="PN51" s="325"/>
      <c r="PO51" s="325"/>
      <c r="PP51" s="325"/>
      <c r="PQ51" s="325"/>
      <c r="PR51" s="325"/>
      <c r="PS51" s="325"/>
      <c r="PT51" s="325"/>
      <c r="PU51" s="325"/>
      <c r="PV51" s="325"/>
      <c r="PW51" s="325"/>
      <c r="PX51" s="325"/>
      <c r="PY51" s="325"/>
      <c r="PZ51" s="325"/>
      <c r="QA51" s="325"/>
      <c r="QB51" s="325"/>
      <c r="QC51" s="325"/>
      <c r="QD51" s="325"/>
      <c r="QE51" s="325"/>
      <c r="QF51" s="325"/>
      <c r="QG51" s="325"/>
      <c r="QH51" s="325"/>
      <c r="QI51" s="325"/>
      <c r="QJ51" s="325"/>
      <c r="QK51" s="325"/>
      <c r="QL51" s="325"/>
      <c r="QM51" s="325"/>
      <c r="QN51" s="325"/>
      <c r="QO51" s="325"/>
      <c r="QP51" s="325"/>
      <c r="QQ51" s="325"/>
      <c r="QR51" s="325"/>
      <c r="QS51" s="325"/>
      <c r="QT51" s="325"/>
      <c r="QU51" s="325"/>
      <c r="QV51" s="325"/>
      <c r="QW51" s="325"/>
      <c r="QX51" s="325"/>
      <c r="QY51" s="325"/>
      <c r="QZ51" s="325"/>
      <c r="RA51" s="325"/>
      <c r="RB51" s="325"/>
      <c r="RC51" s="325"/>
      <c r="RD51" s="325"/>
      <c r="RE51" s="325"/>
      <c r="RF51" s="325"/>
      <c r="RG51" s="325"/>
      <c r="RH51" s="325"/>
      <c r="RI51" s="325"/>
      <c r="RJ51" s="325"/>
      <c r="RK51" s="325"/>
      <c r="RL51" s="325"/>
      <c r="RM51" s="325"/>
      <c r="RN51" s="325"/>
      <c r="RO51" s="325"/>
      <c r="RP51" s="325"/>
      <c r="RQ51" s="325"/>
      <c r="RR51" s="325"/>
      <c r="RS51" s="325"/>
      <c r="RT51" s="325"/>
      <c r="RU51" s="325"/>
      <c r="RV51" s="325"/>
      <c r="RW51" s="325"/>
      <c r="RX51" s="325"/>
      <c r="RY51" s="325"/>
      <c r="RZ51" s="325"/>
      <c r="SA51" s="325"/>
      <c r="SB51" s="325"/>
      <c r="SC51" s="325"/>
      <c r="SD51" s="325"/>
      <c r="SE51" s="325"/>
      <c r="SF51" s="325"/>
      <c r="SG51" s="325"/>
      <c r="SH51" s="325"/>
      <c r="SI51" s="325"/>
      <c r="SJ51" s="325"/>
      <c r="SK51" s="325"/>
      <c r="SL51" s="325"/>
      <c r="SM51" s="325"/>
      <c r="SN51" s="325"/>
      <c r="SO51" s="325"/>
      <c r="SP51" s="325"/>
      <c r="SQ51" s="325"/>
      <c r="SR51" s="325"/>
      <c r="SS51" s="325"/>
      <c r="ST51" s="325"/>
      <c r="SU51" s="325"/>
      <c r="SV51" s="325"/>
      <c r="SW51" s="325"/>
      <c r="SX51" s="325"/>
      <c r="SY51" s="325"/>
      <c r="SZ51" s="325"/>
      <c r="TA51" s="325"/>
      <c r="TB51" s="325"/>
      <c r="TC51" s="325"/>
      <c r="TD51" s="325"/>
      <c r="TE51" s="325"/>
      <c r="TF51" s="325"/>
      <c r="TG51" s="325"/>
      <c r="TH51" s="325"/>
      <c r="TI51" s="325"/>
      <c r="TJ51" s="325"/>
      <c r="TK51" s="325"/>
      <c r="TL51" s="325"/>
      <c r="TM51" s="325"/>
      <c r="TN51" s="325"/>
      <c r="TO51" s="325"/>
      <c r="TP51" s="325"/>
      <c r="TQ51" s="325"/>
      <c r="TR51" s="325"/>
      <c r="TS51" s="325"/>
      <c r="TT51" s="325"/>
      <c r="TU51" s="325"/>
      <c r="TV51" s="325"/>
      <c r="TW51" s="325"/>
      <c r="TX51" s="325"/>
      <c r="TY51" s="325"/>
      <c r="TZ51" s="325"/>
      <c r="UA51" s="325"/>
      <c r="UB51" s="325"/>
      <c r="UC51" s="325"/>
      <c r="UD51" s="325"/>
      <c r="UE51" s="325"/>
      <c r="UF51" s="325"/>
      <c r="UG51" s="325"/>
      <c r="UH51" s="325"/>
      <c r="UI51" s="325"/>
      <c r="UJ51" s="325"/>
      <c r="UK51" s="325"/>
      <c r="UL51" s="325"/>
      <c r="UM51" s="325"/>
      <c r="UN51" s="325"/>
      <c r="UO51" s="325"/>
      <c r="UP51" s="325"/>
      <c r="UQ51" s="325"/>
      <c r="UR51" s="325"/>
      <c r="US51" s="325"/>
      <c r="UT51" s="325"/>
      <c r="UU51" s="325"/>
      <c r="UV51" s="325"/>
      <c r="UW51" s="325"/>
      <c r="UX51" s="325"/>
      <c r="UY51" s="325"/>
      <c r="UZ51" s="325"/>
      <c r="VA51" s="325"/>
      <c r="VB51" s="325"/>
      <c r="VC51" s="325"/>
      <c r="VD51" s="325"/>
      <c r="VE51" s="325"/>
      <c r="VF51" s="325"/>
      <c r="VG51" s="325"/>
      <c r="VH51" s="325"/>
      <c r="VI51" s="325"/>
      <c r="VJ51" s="325"/>
      <c r="VK51" s="325"/>
      <c r="VL51" s="325"/>
      <c r="VM51" s="325"/>
      <c r="VN51" s="325"/>
      <c r="VO51" s="325"/>
      <c r="VP51" s="325"/>
      <c r="VQ51" s="325"/>
      <c r="VR51" s="325"/>
      <c r="VS51" s="325"/>
      <c r="VT51" s="325"/>
      <c r="VU51" s="325"/>
      <c r="VV51" s="325"/>
      <c r="VW51" s="325"/>
      <c r="VX51" s="325"/>
      <c r="VY51" s="325"/>
      <c r="VZ51" s="325"/>
      <c r="WA51" s="325"/>
      <c r="WB51" s="325"/>
      <c r="WC51" s="325"/>
      <c r="WD51" s="325"/>
      <c r="WE51" s="325"/>
      <c r="WF51" s="325"/>
      <c r="WG51" s="325"/>
      <c r="WH51" s="325"/>
      <c r="WI51" s="325"/>
      <c r="WJ51" s="325"/>
      <c r="WK51" s="325"/>
      <c r="WL51" s="325"/>
      <c r="WM51" s="325"/>
      <c r="WN51" s="325"/>
      <c r="WO51" s="325"/>
      <c r="WP51" s="325"/>
      <c r="WQ51" s="325"/>
      <c r="WR51" s="325"/>
      <c r="WS51" s="325"/>
      <c r="WT51" s="325"/>
      <c r="WU51" s="325"/>
      <c r="WV51" s="325"/>
      <c r="WW51" s="325"/>
      <c r="WX51" s="325"/>
      <c r="WY51" s="325"/>
      <c r="WZ51" s="325"/>
      <c r="XA51" s="325"/>
      <c r="XB51" s="325"/>
      <c r="XC51" s="325"/>
      <c r="XD51" s="325"/>
      <c r="XE51" s="325"/>
      <c r="XF51" s="325"/>
      <c r="XG51" s="325"/>
      <c r="XH51" s="325"/>
      <c r="XI51" s="325"/>
      <c r="XJ51" s="325"/>
      <c r="XK51" s="325"/>
      <c r="XL51" s="325"/>
      <c r="XM51" s="325"/>
      <c r="XN51" s="325"/>
      <c r="XO51" s="325"/>
      <c r="XP51" s="325"/>
      <c r="XQ51" s="325"/>
      <c r="XR51" s="325"/>
      <c r="XS51" s="325"/>
      <c r="XT51" s="325"/>
      <c r="XU51" s="325"/>
      <c r="XV51" s="325"/>
      <c r="XW51" s="325"/>
      <c r="XX51" s="325"/>
      <c r="XY51" s="325"/>
      <c r="XZ51" s="325"/>
      <c r="YA51" s="325"/>
      <c r="YB51" s="325"/>
      <c r="YC51" s="325"/>
      <c r="YD51" s="325"/>
      <c r="YE51" s="325"/>
      <c r="YF51" s="325"/>
      <c r="YG51" s="325"/>
      <c r="YH51" s="325"/>
      <c r="YI51" s="325"/>
      <c r="YJ51" s="325"/>
      <c r="YK51" s="325"/>
      <c r="YL51" s="325"/>
      <c r="YM51" s="325"/>
      <c r="YN51" s="325"/>
      <c r="YO51" s="325"/>
      <c r="YP51" s="325"/>
      <c r="YQ51" s="325"/>
      <c r="YR51" s="325"/>
      <c r="YS51" s="325"/>
      <c r="YT51" s="325"/>
      <c r="YU51" s="325"/>
      <c r="YV51" s="325"/>
      <c r="YW51" s="325"/>
      <c r="YX51" s="325"/>
      <c r="YY51" s="325"/>
      <c r="YZ51" s="325"/>
      <c r="ZA51" s="325"/>
      <c r="ZB51" s="325"/>
      <c r="ZC51" s="325"/>
      <c r="ZD51" s="325"/>
      <c r="ZE51" s="325"/>
      <c r="ZF51" s="325"/>
      <c r="ZG51" s="325"/>
      <c r="ZH51" s="325"/>
      <c r="ZI51" s="325"/>
      <c r="ZJ51" s="325"/>
      <c r="ZK51" s="325"/>
      <c r="ZL51" s="325"/>
      <c r="ZM51" s="325"/>
      <c r="ZN51" s="325"/>
      <c r="ZO51" s="325"/>
      <c r="ZP51" s="325"/>
      <c r="ZQ51" s="325"/>
      <c r="ZR51" s="325"/>
      <c r="ZS51" s="325"/>
      <c r="ZT51" s="325"/>
      <c r="ZU51" s="325"/>
      <c r="ZV51" s="325"/>
      <c r="ZW51" s="325"/>
      <c r="ZX51" s="325"/>
      <c r="ZY51" s="325"/>
      <c r="ZZ51" s="325"/>
      <c r="AAA51" s="325"/>
      <c r="AAB51" s="325"/>
      <c r="AAC51" s="325"/>
      <c r="AAD51" s="325"/>
      <c r="AAE51" s="325"/>
      <c r="AAF51" s="325"/>
      <c r="AAG51" s="325"/>
      <c r="AAH51" s="325"/>
      <c r="AAI51" s="325"/>
      <c r="AAJ51" s="325"/>
      <c r="AAK51" s="325"/>
      <c r="AAL51" s="325"/>
      <c r="AAM51" s="325"/>
      <c r="AAN51" s="325"/>
      <c r="AAO51" s="325"/>
      <c r="AAP51" s="325"/>
      <c r="AAQ51" s="325"/>
      <c r="AAR51" s="325"/>
      <c r="AAS51" s="325"/>
      <c r="AAT51" s="325"/>
      <c r="AAU51" s="325"/>
      <c r="AAV51" s="325"/>
      <c r="AAW51" s="325"/>
      <c r="AAX51" s="325"/>
      <c r="AAY51" s="325"/>
      <c r="AAZ51" s="325"/>
      <c r="ABA51" s="325"/>
      <c r="ABB51" s="325"/>
      <c r="ABC51" s="325"/>
      <c r="ABD51" s="325"/>
      <c r="ABE51" s="325"/>
      <c r="ABF51" s="325"/>
      <c r="ABG51" s="325"/>
      <c r="ABH51" s="325"/>
      <c r="ABI51" s="325"/>
      <c r="ABJ51" s="325"/>
      <c r="ABK51" s="325"/>
      <c r="ABL51" s="325"/>
      <c r="ABM51" s="325"/>
      <c r="ABN51" s="325"/>
      <c r="ABO51" s="325"/>
      <c r="ABP51" s="325"/>
      <c r="ABQ51" s="325"/>
      <c r="ABR51" s="325"/>
      <c r="ABS51" s="325"/>
      <c r="ABT51" s="325"/>
      <c r="ABU51" s="325"/>
      <c r="ABV51" s="325"/>
      <c r="ABW51" s="325"/>
      <c r="ABX51" s="325"/>
      <c r="ABY51" s="325"/>
      <c r="ABZ51" s="325"/>
      <c r="ACA51" s="325"/>
      <c r="ACB51" s="325"/>
      <c r="ACC51" s="325"/>
      <c r="ACD51" s="325"/>
      <c r="ACE51" s="325"/>
      <c r="ACF51" s="325"/>
      <c r="ACG51" s="325"/>
      <c r="ACH51" s="325"/>
      <c r="ACI51" s="325"/>
      <c r="ACJ51" s="325"/>
      <c r="ACK51" s="325"/>
      <c r="ACL51" s="325"/>
      <c r="ACM51" s="325"/>
      <c r="ACN51" s="325"/>
      <c r="ACO51" s="325"/>
      <c r="ACP51" s="325"/>
      <c r="ACQ51" s="325"/>
      <c r="ACR51" s="325"/>
      <c r="ACS51" s="325"/>
      <c r="ACT51" s="325"/>
      <c r="ACU51" s="325"/>
      <c r="ACV51" s="325"/>
      <c r="ACW51" s="325"/>
      <c r="ACX51" s="325"/>
      <c r="ACY51" s="325"/>
      <c r="ACZ51" s="325"/>
      <c r="ADA51" s="325"/>
      <c r="ADB51" s="325"/>
      <c r="ADC51" s="325"/>
      <c r="ADD51" s="325"/>
      <c r="ADE51" s="325"/>
      <c r="ADF51" s="325"/>
      <c r="ADG51" s="325"/>
      <c r="ADH51" s="325"/>
      <c r="ADI51" s="325"/>
      <c r="ADJ51" s="325"/>
      <c r="ADK51" s="325"/>
      <c r="ADL51" s="325"/>
      <c r="ADM51" s="325"/>
      <c r="ADN51" s="325"/>
      <c r="ADO51" s="325"/>
      <c r="ADP51" s="325"/>
      <c r="ADQ51" s="325"/>
      <c r="ADR51" s="325"/>
      <c r="ADS51" s="325"/>
      <c r="ADT51" s="325"/>
      <c r="ADU51" s="325"/>
      <c r="ADV51" s="325"/>
      <c r="ADW51" s="325"/>
      <c r="ADX51" s="325"/>
      <c r="ADY51" s="325"/>
      <c r="ADZ51" s="325"/>
      <c r="AEA51" s="325"/>
      <c r="AEB51" s="325"/>
      <c r="AEC51" s="325"/>
      <c r="AED51" s="325"/>
      <c r="AEE51" s="325"/>
      <c r="AEF51" s="325"/>
      <c r="AEG51" s="325"/>
      <c r="AEH51" s="325"/>
      <c r="AEI51" s="325"/>
      <c r="AEJ51" s="325"/>
      <c r="AEK51" s="325"/>
      <c r="AEL51" s="325"/>
      <c r="AEM51" s="325"/>
      <c r="AEN51" s="325"/>
      <c r="AEO51" s="325"/>
      <c r="AEP51" s="325"/>
      <c r="AEQ51" s="325"/>
      <c r="AER51" s="325"/>
      <c r="AES51" s="325"/>
      <c r="AET51" s="325"/>
      <c r="AEU51" s="325"/>
      <c r="AEV51" s="325"/>
      <c r="AEW51" s="325"/>
      <c r="AEX51" s="325"/>
      <c r="AEY51" s="325"/>
      <c r="AEZ51" s="325"/>
      <c r="AFA51" s="325"/>
      <c r="AFB51" s="325"/>
      <c r="AFC51" s="325"/>
      <c r="AFD51" s="325"/>
      <c r="AFE51" s="325"/>
      <c r="AFF51" s="325"/>
      <c r="AFG51" s="325"/>
      <c r="AFH51" s="325"/>
      <c r="AFI51" s="325"/>
      <c r="AFJ51" s="325"/>
      <c r="AFK51" s="325"/>
      <c r="AFL51" s="325"/>
      <c r="AFM51" s="325"/>
      <c r="AFN51" s="325"/>
      <c r="AFO51" s="325"/>
      <c r="AFP51" s="325"/>
      <c r="AFQ51" s="325"/>
      <c r="AFR51" s="325"/>
      <c r="AFS51" s="325"/>
      <c r="AFT51" s="325"/>
      <c r="AFU51" s="325"/>
      <c r="AFV51" s="325"/>
      <c r="AFW51" s="325"/>
      <c r="AFX51" s="325"/>
      <c r="AFY51" s="325"/>
      <c r="AFZ51" s="325"/>
      <c r="AGA51" s="325"/>
      <c r="AGB51" s="325"/>
      <c r="AGC51" s="325"/>
      <c r="AGD51" s="325"/>
      <c r="AGE51" s="325"/>
      <c r="AGF51" s="325"/>
      <c r="AGG51" s="325"/>
      <c r="AGH51" s="325"/>
      <c r="AGI51" s="325"/>
      <c r="AGJ51" s="325"/>
      <c r="AGK51" s="325"/>
      <c r="AGL51" s="325"/>
      <c r="AGM51" s="325"/>
      <c r="AGN51" s="325"/>
      <c r="AGO51" s="325"/>
      <c r="AGP51" s="325"/>
      <c r="AGQ51" s="325"/>
      <c r="AGR51" s="325"/>
      <c r="AGS51" s="325"/>
      <c r="AGT51" s="325"/>
      <c r="AGU51" s="325"/>
      <c r="AGV51" s="325"/>
      <c r="AGW51" s="325"/>
      <c r="AGX51" s="325"/>
      <c r="AGY51" s="325"/>
      <c r="AGZ51" s="325"/>
      <c r="AHA51" s="325"/>
      <c r="AHB51" s="325"/>
      <c r="AHC51" s="325"/>
      <c r="AHD51" s="325"/>
      <c r="AHE51" s="325"/>
      <c r="AHF51" s="325"/>
      <c r="AHG51" s="325"/>
      <c r="AHH51" s="325"/>
      <c r="AHI51" s="325"/>
      <c r="AHJ51" s="325"/>
      <c r="AHK51" s="325"/>
      <c r="AHL51" s="325"/>
      <c r="AHM51" s="325"/>
      <c r="AHN51" s="325"/>
      <c r="AHO51" s="325"/>
      <c r="AHP51" s="325"/>
      <c r="AHQ51" s="325"/>
      <c r="AHR51" s="325"/>
      <c r="AHS51" s="325"/>
      <c r="AHT51" s="325"/>
      <c r="AHU51" s="325"/>
      <c r="AHV51" s="325"/>
      <c r="AHW51" s="325"/>
      <c r="AHX51" s="325"/>
      <c r="AHY51" s="325"/>
      <c r="AHZ51" s="325"/>
      <c r="AIA51" s="325"/>
      <c r="AIB51" s="325"/>
      <c r="AIC51" s="325"/>
      <c r="AID51" s="325"/>
      <c r="AIE51" s="325"/>
      <c r="AIF51" s="325"/>
      <c r="AIG51" s="325"/>
      <c r="AIH51" s="325"/>
      <c r="AII51" s="325"/>
      <c r="AIJ51" s="325"/>
      <c r="AIK51" s="325"/>
      <c r="AIL51" s="325"/>
      <c r="AIM51" s="325"/>
      <c r="AIN51" s="325"/>
      <c r="AIO51" s="325"/>
      <c r="AIP51" s="325"/>
      <c r="AIQ51" s="325"/>
      <c r="AIR51" s="325"/>
      <c r="AIS51" s="325"/>
      <c r="AIT51" s="325"/>
      <c r="AIU51" s="325"/>
      <c r="AIV51" s="325"/>
      <c r="AIW51" s="325"/>
      <c r="AIX51" s="325"/>
      <c r="AIY51" s="325"/>
      <c r="AIZ51" s="325"/>
      <c r="AJA51" s="325"/>
      <c r="AJB51" s="325"/>
      <c r="AJC51" s="325"/>
      <c r="AJD51" s="325"/>
      <c r="AJE51" s="325"/>
      <c r="AJF51" s="325"/>
      <c r="AJG51" s="325"/>
      <c r="AJH51" s="325"/>
      <c r="AJI51" s="325"/>
      <c r="AJJ51" s="325"/>
      <c r="AJK51" s="325"/>
      <c r="AJL51" s="325"/>
      <c r="AJM51" s="325"/>
      <c r="AJN51" s="325"/>
      <c r="AJO51" s="325"/>
      <c r="AJP51" s="325"/>
      <c r="AJQ51" s="325"/>
      <c r="AJR51" s="325"/>
      <c r="AJS51" s="325"/>
      <c r="AJT51" s="325"/>
      <c r="AJU51" s="325"/>
      <c r="AJV51" s="325"/>
      <c r="AJW51" s="325"/>
      <c r="AJX51" s="325"/>
      <c r="AJY51" s="325"/>
      <c r="AJZ51" s="325"/>
      <c r="AKA51" s="325"/>
      <c r="AKB51" s="325"/>
      <c r="AKC51" s="325"/>
      <c r="AKD51" s="325"/>
      <c r="AKE51" s="325"/>
      <c r="AKF51" s="325"/>
      <c r="AKG51" s="325"/>
      <c r="AKH51" s="325"/>
      <c r="AKI51" s="325"/>
      <c r="AKJ51" s="325"/>
      <c r="AKK51" s="325"/>
      <c r="AKL51" s="325"/>
      <c r="AKM51" s="325"/>
      <c r="AKN51" s="325"/>
      <c r="AKO51" s="325"/>
      <c r="AKP51" s="325"/>
      <c r="AKQ51" s="325"/>
      <c r="AKR51" s="325"/>
      <c r="AKS51" s="325"/>
      <c r="AKT51" s="325"/>
      <c r="AKU51" s="325"/>
      <c r="AKV51" s="325"/>
      <c r="AKW51" s="325"/>
      <c r="AKX51" s="325"/>
      <c r="AKY51" s="325"/>
      <c r="AKZ51" s="325"/>
      <c r="ALA51" s="325"/>
      <c r="ALB51" s="325"/>
      <c r="ALC51" s="325"/>
      <c r="ALD51" s="325"/>
      <c r="ALE51" s="325"/>
      <c r="ALF51" s="325"/>
      <c r="ALG51" s="325"/>
      <c r="ALH51" s="325"/>
      <c r="ALI51" s="325"/>
      <c r="ALJ51" s="325"/>
      <c r="ALK51" s="325"/>
      <c r="ALL51" s="325"/>
      <c r="ALM51" s="325"/>
      <c r="ALN51" s="325"/>
      <c r="ALO51" s="325"/>
      <c r="ALP51" s="325"/>
      <c r="ALQ51" s="325"/>
      <c r="ALR51" s="325"/>
      <c r="ALS51" s="325"/>
      <c r="ALT51" s="325"/>
      <c r="ALU51" s="325"/>
      <c r="ALV51" s="325"/>
      <c r="ALW51" s="325"/>
      <c r="ALX51" s="325"/>
      <c r="ALY51" s="325"/>
      <c r="ALZ51" s="325"/>
      <c r="AMA51" s="325"/>
      <c r="AMB51" s="325"/>
      <c r="AMC51" s="325"/>
    </row>
    <row r="52" spans="3:1017" s="75" customFormat="1">
      <c r="C52" s="130"/>
      <c r="D52" s="130"/>
      <c r="CN52" s="225"/>
      <c r="CQ52" s="226"/>
      <c r="LD52" s="213"/>
      <c r="LH52" s="286"/>
      <c r="LI52" s="287"/>
      <c r="LJ52" s="124"/>
      <c r="LK52" s="124"/>
      <c r="LL52" s="124"/>
      <c r="LM52" s="124"/>
      <c r="LN52" s="124"/>
      <c r="LO52" s="124"/>
      <c r="LP52" s="124"/>
      <c r="LQ52" s="124"/>
      <c r="LR52" s="124"/>
      <c r="NE52" s="330"/>
      <c r="NF52" s="325"/>
      <c r="NG52" s="325"/>
      <c r="NH52" s="325"/>
      <c r="NI52" s="325"/>
      <c r="NJ52" s="325"/>
      <c r="NK52" s="325"/>
      <c r="NL52" s="325"/>
      <c r="NM52" s="325"/>
      <c r="NN52" s="325"/>
      <c r="NO52" s="325"/>
      <c r="NP52" s="325"/>
      <c r="NQ52" s="325"/>
      <c r="NR52" s="325"/>
      <c r="NS52" s="325"/>
      <c r="NT52" s="325"/>
      <c r="NU52" s="325"/>
      <c r="NV52" s="325"/>
      <c r="NW52" s="325"/>
      <c r="NX52" s="325"/>
      <c r="NY52" s="325"/>
      <c r="NZ52" s="325"/>
      <c r="OA52" s="325"/>
      <c r="OB52" s="325"/>
      <c r="OC52" s="325"/>
      <c r="OD52" s="325"/>
      <c r="OE52" s="325"/>
      <c r="OF52" s="325"/>
      <c r="OG52" s="325"/>
      <c r="OH52" s="325"/>
      <c r="OI52" s="325"/>
      <c r="OJ52" s="325"/>
      <c r="OK52" s="325"/>
      <c r="OL52" s="325"/>
      <c r="OM52" s="325"/>
      <c r="ON52" s="325"/>
      <c r="OO52" s="325"/>
      <c r="OP52" s="325"/>
      <c r="OQ52" s="325"/>
      <c r="OR52" s="325"/>
      <c r="OS52" s="325"/>
      <c r="OT52" s="325"/>
      <c r="OU52" s="325"/>
      <c r="OV52" s="325"/>
      <c r="OW52" s="325"/>
      <c r="OX52" s="325"/>
      <c r="OY52" s="325"/>
      <c r="OZ52" s="325"/>
      <c r="PA52" s="325"/>
      <c r="PB52" s="325"/>
      <c r="PC52" s="325"/>
      <c r="PD52" s="325"/>
      <c r="PE52" s="325"/>
      <c r="PF52" s="325"/>
      <c r="PG52" s="325"/>
      <c r="PH52" s="325"/>
      <c r="PI52" s="325"/>
      <c r="PJ52" s="325"/>
      <c r="PK52" s="325"/>
      <c r="PL52" s="325"/>
      <c r="PM52" s="325"/>
      <c r="PN52" s="325"/>
      <c r="PO52" s="325"/>
      <c r="PP52" s="325"/>
      <c r="PQ52" s="325"/>
      <c r="PR52" s="325"/>
      <c r="PS52" s="325"/>
      <c r="PT52" s="325"/>
      <c r="PU52" s="325"/>
      <c r="PV52" s="325"/>
      <c r="PW52" s="325"/>
      <c r="PX52" s="325"/>
      <c r="PY52" s="325"/>
      <c r="PZ52" s="325"/>
      <c r="QA52" s="325"/>
      <c r="QB52" s="325"/>
      <c r="QC52" s="325"/>
      <c r="QD52" s="325"/>
      <c r="QE52" s="325"/>
      <c r="QF52" s="325"/>
      <c r="QG52" s="325"/>
      <c r="QH52" s="325"/>
      <c r="QI52" s="325"/>
      <c r="QJ52" s="325"/>
      <c r="QK52" s="325"/>
      <c r="QL52" s="325"/>
      <c r="QM52" s="325"/>
      <c r="QN52" s="325"/>
      <c r="QO52" s="325"/>
      <c r="QP52" s="325"/>
      <c r="QQ52" s="325"/>
      <c r="QR52" s="325"/>
      <c r="QS52" s="325"/>
      <c r="QT52" s="325"/>
      <c r="QU52" s="325"/>
      <c r="QV52" s="325"/>
      <c r="QW52" s="325"/>
      <c r="QX52" s="325"/>
      <c r="QY52" s="325"/>
      <c r="QZ52" s="325"/>
      <c r="RA52" s="325"/>
      <c r="RB52" s="325"/>
      <c r="RC52" s="325"/>
      <c r="RD52" s="325"/>
      <c r="RE52" s="325"/>
      <c r="RF52" s="325"/>
      <c r="RG52" s="325"/>
      <c r="RH52" s="325"/>
      <c r="RI52" s="325"/>
      <c r="RJ52" s="325"/>
      <c r="RK52" s="325"/>
      <c r="RL52" s="325"/>
      <c r="RM52" s="325"/>
      <c r="RN52" s="325"/>
      <c r="RO52" s="325"/>
      <c r="RP52" s="325"/>
      <c r="RQ52" s="325"/>
      <c r="RR52" s="325"/>
      <c r="RS52" s="325"/>
      <c r="RT52" s="325"/>
      <c r="RU52" s="325"/>
      <c r="RV52" s="325"/>
      <c r="RW52" s="325"/>
      <c r="RX52" s="325"/>
      <c r="RY52" s="325"/>
      <c r="RZ52" s="325"/>
      <c r="SA52" s="325"/>
      <c r="SB52" s="325"/>
      <c r="SC52" s="325"/>
      <c r="SD52" s="325"/>
      <c r="SE52" s="325"/>
      <c r="SF52" s="325"/>
      <c r="SG52" s="325"/>
      <c r="SH52" s="325"/>
      <c r="SI52" s="325"/>
      <c r="SJ52" s="325"/>
      <c r="SK52" s="325"/>
      <c r="SL52" s="325"/>
      <c r="SM52" s="325"/>
      <c r="SN52" s="325"/>
      <c r="SO52" s="325"/>
      <c r="SP52" s="325"/>
      <c r="SQ52" s="325"/>
      <c r="SR52" s="325"/>
      <c r="SS52" s="325"/>
      <c r="ST52" s="325"/>
      <c r="SU52" s="325"/>
      <c r="SV52" s="325"/>
      <c r="SW52" s="325"/>
      <c r="SX52" s="325"/>
      <c r="SY52" s="325"/>
      <c r="SZ52" s="325"/>
      <c r="TA52" s="325"/>
      <c r="TB52" s="325"/>
      <c r="TC52" s="325"/>
      <c r="TD52" s="325"/>
      <c r="TE52" s="325"/>
      <c r="TF52" s="325"/>
      <c r="TG52" s="325"/>
      <c r="TH52" s="325"/>
      <c r="TI52" s="325"/>
      <c r="TJ52" s="325"/>
      <c r="TK52" s="325"/>
      <c r="TL52" s="325"/>
      <c r="TM52" s="325"/>
      <c r="TN52" s="325"/>
      <c r="TO52" s="325"/>
      <c r="TP52" s="325"/>
      <c r="TQ52" s="325"/>
      <c r="TR52" s="325"/>
      <c r="TS52" s="325"/>
      <c r="TT52" s="325"/>
      <c r="TU52" s="325"/>
      <c r="TV52" s="325"/>
      <c r="TW52" s="325"/>
      <c r="TX52" s="325"/>
      <c r="TY52" s="325"/>
      <c r="TZ52" s="325"/>
      <c r="UA52" s="325"/>
      <c r="UB52" s="325"/>
      <c r="UC52" s="325"/>
      <c r="UD52" s="325"/>
      <c r="UE52" s="325"/>
      <c r="UF52" s="325"/>
      <c r="UG52" s="325"/>
      <c r="UH52" s="325"/>
      <c r="UI52" s="325"/>
      <c r="UJ52" s="325"/>
      <c r="UK52" s="325"/>
      <c r="UL52" s="325"/>
      <c r="UM52" s="325"/>
      <c r="UN52" s="325"/>
      <c r="UO52" s="325"/>
      <c r="UP52" s="325"/>
      <c r="UQ52" s="325"/>
      <c r="UR52" s="325"/>
      <c r="US52" s="325"/>
      <c r="UT52" s="325"/>
      <c r="UU52" s="325"/>
      <c r="UV52" s="325"/>
      <c r="UW52" s="325"/>
      <c r="UX52" s="325"/>
      <c r="UY52" s="325"/>
      <c r="UZ52" s="325"/>
      <c r="VA52" s="325"/>
      <c r="VB52" s="325"/>
      <c r="VC52" s="325"/>
      <c r="VD52" s="325"/>
      <c r="VE52" s="325"/>
      <c r="VF52" s="325"/>
      <c r="VG52" s="325"/>
      <c r="VH52" s="325"/>
      <c r="VI52" s="325"/>
      <c r="VJ52" s="325"/>
      <c r="VK52" s="325"/>
      <c r="VL52" s="325"/>
      <c r="VM52" s="325"/>
      <c r="VN52" s="325"/>
      <c r="VO52" s="325"/>
      <c r="VP52" s="325"/>
      <c r="VQ52" s="325"/>
      <c r="VR52" s="325"/>
      <c r="VS52" s="325"/>
      <c r="VT52" s="325"/>
      <c r="VU52" s="325"/>
      <c r="VV52" s="325"/>
      <c r="VW52" s="325"/>
      <c r="VX52" s="325"/>
      <c r="VY52" s="325"/>
      <c r="VZ52" s="325"/>
      <c r="WA52" s="325"/>
      <c r="WB52" s="325"/>
      <c r="WC52" s="325"/>
      <c r="WD52" s="325"/>
      <c r="WE52" s="325"/>
      <c r="WF52" s="325"/>
      <c r="WG52" s="325"/>
      <c r="WH52" s="325"/>
      <c r="WI52" s="325"/>
      <c r="WJ52" s="325"/>
      <c r="WK52" s="325"/>
      <c r="WL52" s="325"/>
      <c r="WM52" s="325"/>
      <c r="WN52" s="325"/>
      <c r="WO52" s="325"/>
      <c r="WP52" s="325"/>
      <c r="WQ52" s="325"/>
      <c r="WR52" s="325"/>
      <c r="WS52" s="325"/>
      <c r="WT52" s="325"/>
      <c r="WU52" s="325"/>
      <c r="WV52" s="325"/>
      <c r="WW52" s="325"/>
      <c r="WX52" s="325"/>
      <c r="WY52" s="325"/>
      <c r="WZ52" s="325"/>
      <c r="XA52" s="325"/>
      <c r="XB52" s="325"/>
      <c r="XC52" s="325"/>
      <c r="XD52" s="325"/>
      <c r="XE52" s="325"/>
      <c r="XF52" s="325"/>
      <c r="XG52" s="325"/>
      <c r="XH52" s="325"/>
      <c r="XI52" s="325"/>
      <c r="XJ52" s="325"/>
      <c r="XK52" s="325"/>
      <c r="XL52" s="325"/>
      <c r="XM52" s="325"/>
      <c r="XN52" s="325"/>
      <c r="XO52" s="325"/>
      <c r="XP52" s="325"/>
      <c r="XQ52" s="325"/>
      <c r="XR52" s="325"/>
      <c r="XS52" s="325"/>
      <c r="XT52" s="325"/>
      <c r="XU52" s="325"/>
      <c r="XV52" s="325"/>
      <c r="XW52" s="325"/>
      <c r="XX52" s="325"/>
      <c r="XY52" s="325"/>
      <c r="XZ52" s="325"/>
      <c r="YA52" s="325"/>
      <c r="YB52" s="325"/>
      <c r="YC52" s="325"/>
      <c r="YD52" s="325"/>
      <c r="YE52" s="325"/>
      <c r="YF52" s="325"/>
      <c r="YG52" s="325"/>
      <c r="YH52" s="325"/>
      <c r="YI52" s="325"/>
      <c r="YJ52" s="325"/>
      <c r="YK52" s="325"/>
      <c r="YL52" s="325"/>
      <c r="YM52" s="325"/>
      <c r="YN52" s="325"/>
      <c r="YO52" s="325"/>
      <c r="YP52" s="325"/>
      <c r="YQ52" s="325"/>
      <c r="YR52" s="325"/>
      <c r="YS52" s="325"/>
      <c r="YT52" s="325"/>
      <c r="YU52" s="325"/>
      <c r="YV52" s="325"/>
      <c r="YW52" s="325"/>
      <c r="YX52" s="325"/>
      <c r="YY52" s="325"/>
      <c r="YZ52" s="325"/>
      <c r="ZA52" s="325"/>
      <c r="ZB52" s="325"/>
      <c r="ZC52" s="325"/>
      <c r="ZD52" s="325"/>
      <c r="ZE52" s="325"/>
      <c r="ZF52" s="325"/>
      <c r="ZG52" s="325"/>
      <c r="ZH52" s="325"/>
      <c r="ZI52" s="325"/>
      <c r="ZJ52" s="325"/>
      <c r="ZK52" s="325"/>
      <c r="ZL52" s="325"/>
      <c r="ZM52" s="325"/>
      <c r="ZN52" s="325"/>
      <c r="ZO52" s="325"/>
      <c r="ZP52" s="325"/>
      <c r="ZQ52" s="325"/>
      <c r="ZR52" s="325"/>
      <c r="ZS52" s="325"/>
      <c r="ZT52" s="325"/>
      <c r="ZU52" s="325"/>
      <c r="ZV52" s="325"/>
      <c r="ZW52" s="325"/>
      <c r="ZX52" s="325"/>
      <c r="ZY52" s="325"/>
      <c r="ZZ52" s="325"/>
      <c r="AAA52" s="325"/>
      <c r="AAB52" s="325"/>
      <c r="AAC52" s="325"/>
      <c r="AAD52" s="325"/>
      <c r="AAE52" s="325"/>
      <c r="AAF52" s="325"/>
      <c r="AAG52" s="325"/>
      <c r="AAH52" s="325"/>
      <c r="AAI52" s="325"/>
      <c r="AAJ52" s="325"/>
      <c r="AAK52" s="325"/>
      <c r="AAL52" s="325"/>
      <c r="AAM52" s="325"/>
      <c r="AAN52" s="325"/>
      <c r="AAO52" s="325"/>
      <c r="AAP52" s="325"/>
      <c r="AAQ52" s="325"/>
      <c r="AAR52" s="325"/>
      <c r="AAS52" s="325"/>
      <c r="AAT52" s="325"/>
      <c r="AAU52" s="325"/>
      <c r="AAV52" s="325"/>
      <c r="AAW52" s="325"/>
      <c r="AAX52" s="325"/>
      <c r="AAY52" s="325"/>
      <c r="AAZ52" s="325"/>
      <c r="ABA52" s="325"/>
      <c r="ABB52" s="325"/>
      <c r="ABC52" s="325"/>
      <c r="ABD52" s="325"/>
      <c r="ABE52" s="325"/>
      <c r="ABF52" s="325"/>
      <c r="ABG52" s="325"/>
      <c r="ABH52" s="325"/>
      <c r="ABI52" s="325"/>
      <c r="ABJ52" s="325"/>
      <c r="ABK52" s="325"/>
      <c r="ABL52" s="325"/>
      <c r="ABM52" s="325"/>
      <c r="ABN52" s="325"/>
      <c r="ABO52" s="325"/>
      <c r="ABP52" s="325"/>
      <c r="ABQ52" s="325"/>
      <c r="ABR52" s="325"/>
      <c r="ABS52" s="325"/>
      <c r="ABT52" s="325"/>
      <c r="ABU52" s="325"/>
      <c r="ABV52" s="325"/>
      <c r="ABW52" s="325"/>
      <c r="ABX52" s="325"/>
      <c r="ABY52" s="325"/>
      <c r="ABZ52" s="325"/>
      <c r="ACA52" s="325"/>
      <c r="ACB52" s="325"/>
      <c r="ACC52" s="325"/>
      <c r="ACD52" s="325"/>
      <c r="ACE52" s="325"/>
      <c r="ACF52" s="325"/>
      <c r="ACG52" s="325"/>
      <c r="ACH52" s="325"/>
      <c r="ACI52" s="325"/>
      <c r="ACJ52" s="325"/>
      <c r="ACK52" s="325"/>
      <c r="ACL52" s="325"/>
      <c r="ACM52" s="325"/>
      <c r="ACN52" s="325"/>
      <c r="ACO52" s="325"/>
      <c r="ACP52" s="325"/>
      <c r="ACQ52" s="325"/>
      <c r="ACR52" s="325"/>
      <c r="ACS52" s="325"/>
      <c r="ACT52" s="325"/>
      <c r="ACU52" s="325"/>
      <c r="ACV52" s="325"/>
      <c r="ACW52" s="325"/>
      <c r="ACX52" s="325"/>
      <c r="ACY52" s="325"/>
      <c r="ACZ52" s="325"/>
      <c r="ADA52" s="325"/>
      <c r="ADB52" s="325"/>
      <c r="ADC52" s="325"/>
      <c r="ADD52" s="325"/>
      <c r="ADE52" s="325"/>
      <c r="ADF52" s="325"/>
      <c r="ADG52" s="325"/>
      <c r="ADH52" s="325"/>
      <c r="ADI52" s="325"/>
      <c r="ADJ52" s="325"/>
      <c r="ADK52" s="325"/>
      <c r="ADL52" s="325"/>
      <c r="ADM52" s="325"/>
      <c r="ADN52" s="325"/>
      <c r="ADO52" s="325"/>
      <c r="ADP52" s="325"/>
      <c r="ADQ52" s="325"/>
      <c r="ADR52" s="325"/>
      <c r="ADS52" s="325"/>
      <c r="ADT52" s="325"/>
      <c r="ADU52" s="325"/>
      <c r="ADV52" s="325"/>
      <c r="ADW52" s="325"/>
      <c r="ADX52" s="325"/>
      <c r="ADY52" s="325"/>
      <c r="ADZ52" s="325"/>
      <c r="AEA52" s="325"/>
      <c r="AEB52" s="325"/>
      <c r="AEC52" s="325"/>
      <c r="AED52" s="325"/>
      <c r="AEE52" s="325"/>
      <c r="AEF52" s="325"/>
      <c r="AEG52" s="325"/>
      <c r="AEH52" s="325"/>
      <c r="AEI52" s="325"/>
      <c r="AEJ52" s="325"/>
      <c r="AEK52" s="325"/>
      <c r="AEL52" s="325"/>
      <c r="AEM52" s="325"/>
      <c r="AEN52" s="325"/>
      <c r="AEO52" s="325"/>
      <c r="AEP52" s="325"/>
      <c r="AEQ52" s="325"/>
      <c r="AER52" s="325"/>
      <c r="AES52" s="325"/>
      <c r="AET52" s="325"/>
      <c r="AEU52" s="325"/>
      <c r="AEV52" s="325"/>
      <c r="AEW52" s="325"/>
      <c r="AEX52" s="325"/>
      <c r="AEY52" s="325"/>
      <c r="AEZ52" s="325"/>
      <c r="AFA52" s="325"/>
      <c r="AFB52" s="325"/>
      <c r="AFC52" s="325"/>
      <c r="AFD52" s="325"/>
      <c r="AFE52" s="325"/>
      <c r="AFF52" s="325"/>
      <c r="AFG52" s="325"/>
      <c r="AFH52" s="325"/>
      <c r="AFI52" s="325"/>
      <c r="AFJ52" s="325"/>
      <c r="AFK52" s="325"/>
      <c r="AFL52" s="325"/>
      <c r="AFM52" s="325"/>
      <c r="AFN52" s="325"/>
      <c r="AFO52" s="325"/>
      <c r="AFP52" s="325"/>
      <c r="AFQ52" s="325"/>
      <c r="AFR52" s="325"/>
      <c r="AFS52" s="325"/>
      <c r="AFT52" s="325"/>
      <c r="AFU52" s="325"/>
      <c r="AFV52" s="325"/>
      <c r="AFW52" s="325"/>
      <c r="AFX52" s="325"/>
      <c r="AFY52" s="325"/>
      <c r="AFZ52" s="325"/>
      <c r="AGA52" s="325"/>
      <c r="AGB52" s="325"/>
      <c r="AGC52" s="325"/>
      <c r="AGD52" s="325"/>
      <c r="AGE52" s="325"/>
      <c r="AGF52" s="325"/>
      <c r="AGG52" s="325"/>
      <c r="AGH52" s="325"/>
      <c r="AGI52" s="325"/>
      <c r="AGJ52" s="325"/>
      <c r="AGK52" s="325"/>
      <c r="AGL52" s="325"/>
      <c r="AGM52" s="325"/>
      <c r="AGN52" s="325"/>
      <c r="AGO52" s="325"/>
      <c r="AGP52" s="325"/>
      <c r="AGQ52" s="325"/>
      <c r="AGR52" s="325"/>
      <c r="AGS52" s="325"/>
      <c r="AGT52" s="325"/>
      <c r="AGU52" s="325"/>
      <c r="AGV52" s="325"/>
      <c r="AGW52" s="325"/>
      <c r="AGX52" s="325"/>
      <c r="AGY52" s="325"/>
      <c r="AGZ52" s="325"/>
      <c r="AHA52" s="325"/>
      <c r="AHB52" s="325"/>
      <c r="AHC52" s="325"/>
      <c r="AHD52" s="325"/>
      <c r="AHE52" s="325"/>
      <c r="AHF52" s="325"/>
      <c r="AHG52" s="325"/>
      <c r="AHH52" s="325"/>
      <c r="AHI52" s="325"/>
      <c r="AHJ52" s="325"/>
      <c r="AHK52" s="325"/>
      <c r="AHL52" s="325"/>
      <c r="AHM52" s="325"/>
      <c r="AHN52" s="325"/>
      <c r="AHO52" s="325"/>
      <c r="AHP52" s="325"/>
      <c r="AHQ52" s="325"/>
      <c r="AHR52" s="325"/>
      <c r="AHS52" s="325"/>
      <c r="AHT52" s="325"/>
      <c r="AHU52" s="325"/>
      <c r="AHV52" s="325"/>
      <c r="AHW52" s="325"/>
      <c r="AHX52" s="325"/>
      <c r="AHY52" s="325"/>
      <c r="AHZ52" s="325"/>
      <c r="AIA52" s="325"/>
      <c r="AIB52" s="325"/>
      <c r="AIC52" s="325"/>
      <c r="AID52" s="325"/>
      <c r="AIE52" s="325"/>
      <c r="AIF52" s="325"/>
      <c r="AIG52" s="325"/>
      <c r="AIH52" s="325"/>
      <c r="AII52" s="325"/>
      <c r="AIJ52" s="325"/>
      <c r="AIK52" s="325"/>
      <c r="AIL52" s="325"/>
      <c r="AIM52" s="325"/>
      <c r="AIN52" s="325"/>
      <c r="AIO52" s="325"/>
      <c r="AIP52" s="325"/>
      <c r="AIQ52" s="325"/>
      <c r="AIR52" s="325"/>
      <c r="AIS52" s="325"/>
      <c r="AIT52" s="325"/>
      <c r="AIU52" s="325"/>
      <c r="AIV52" s="325"/>
      <c r="AIW52" s="325"/>
      <c r="AIX52" s="325"/>
      <c r="AIY52" s="325"/>
      <c r="AIZ52" s="325"/>
      <c r="AJA52" s="325"/>
      <c r="AJB52" s="325"/>
      <c r="AJC52" s="325"/>
      <c r="AJD52" s="325"/>
      <c r="AJE52" s="325"/>
      <c r="AJF52" s="325"/>
      <c r="AJG52" s="325"/>
      <c r="AJH52" s="325"/>
      <c r="AJI52" s="325"/>
      <c r="AJJ52" s="325"/>
      <c r="AJK52" s="325"/>
      <c r="AJL52" s="325"/>
      <c r="AJM52" s="325"/>
      <c r="AJN52" s="325"/>
      <c r="AJO52" s="325"/>
      <c r="AJP52" s="325"/>
      <c r="AJQ52" s="325"/>
      <c r="AJR52" s="325"/>
      <c r="AJS52" s="325"/>
      <c r="AJT52" s="325"/>
      <c r="AJU52" s="325"/>
      <c r="AJV52" s="325"/>
      <c r="AJW52" s="325"/>
      <c r="AJX52" s="325"/>
      <c r="AJY52" s="325"/>
      <c r="AJZ52" s="325"/>
      <c r="AKA52" s="325"/>
      <c r="AKB52" s="325"/>
      <c r="AKC52" s="325"/>
      <c r="AKD52" s="325"/>
      <c r="AKE52" s="325"/>
      <c r="AKF52" s="325"/>
      <c r="AKG52" s="325"/>
      <c r="AKH52" s="325"/>
      <c r="AKI52" s="325"/>
      <c r="AKJ52" s="325"/>
      <c r="AKK52" s="325"/>
      <c r="AKL52" s="325"/>
      <c r="AKM52" s="325"/>
      <c r="AKN52" s="325"/>
      <c r="AKO52" s="325"/>
      <c r="AKP52" s="325"/>
      <c r="AKQ52" s="325"/>
      <c r="AKR52" s="325"/>
      <c r="AKS52" s="325"/>
      <c r="AKT52" s="325"/>
      <c r="AKU52" s="325"/>
      <c r="AKV52" s="325"/>
      <c r="AKW52" s="325"/>
      <c r="AKX52" s="325"/>
      <c r="AKY52" s="325"/>
      <c r="AKZ52" s="325"/>
      <c r="ALA52" s="325"/>
      <c r="ALB52" s="325"/>
      <c r="ALC52" s="325"/>
      <c r="ALD52" s="325"/>
      <c r="ALE52" s="325"/>
      <c r="ALF52" s="325"/>
      <c r="ALG52" s="325"/>
      <c r="ALH52" s="325"/>
      <c r="ALI52" s="325"/>
      <c r="ALJ52" s="325"/>
      <c r="ALK52" s="325"/>
      <c r="ALL52" s="325"/>
      <c r="ALM52" s="325"/>
      <c r="ALN52" s="325"/>
      <c r="ALO52" s="325"/>
      <c r="ALP52" s="325"/>
      <c r="ALQ52" s="325"/>
      <c r="ALR52" s="325"/>
      <c r="ALS52" s="325"/>
      <c r="ALT52" s="325"/>
      <c r="ALU52" s="325"/>
      <c r="ALV52" s="325"/>
      <c r="ALW52" s="325"/>
      <c r="ALX52" s="325"/>
      <c r="ALY52" s="325"/>
      <c r="ALZ52" s="325"/>
      <c r="AMA52" s="325"/>
      <c r="AMB52" s="325"/>
      <c r="AMC52" s="325"/>
    </row>
    <row r="53" spans="3:1017" s="75" customFormat="1">
      <c r="C53" s="130"/>
      <c r="D53" s="130"/>
      <c r="CN53" s="225"/>
      <c r="CQ53" s="226"/>
      <c r="LD53" s="213"/>
      <c r="LH53" s="286"/>
      <c r="LI53" s="287"/>
      <c r="LJ53" s="124"/>
      <c r="LK53" s="124"/>
      <c r="LL53" s="124"/>
      <c r="LM53" s="124"/>
      <c r="LN53" s="124"/>
      <c r="LO53" s="124"/>
      <c r="LP53" s="124"/>
      <c r="LQ53" s="124"/>
      <c r="LR53" s="124"/>
      <c r="NE53" s="330"/>
      <c r="NF53" s="325"/>
      <c r="NG53" s="325"/>
      <c r="NH53" s="325"/>
      <c r="NI53" s="325"/>
      <c r="NJ53" s="325"/>
      <c r="NK53" s="325"/>
      <c r="NL53" s="325"/>
      <c r="NM53" s="325"/>
      <c r="NN53" s="325"/>
      <c r="NO53" s="325"/>
      <c r="NP53" s="325"/>
      <c r="NQ53" s="325"/>
      <c r="NR53" s="325"/>
      <c r="NS53" s="325"/>
      <c r="NT53" s="325"/>
      <c r="NU53" s="325"/>
      <c r="NV53" s="325"/>
      <c r="NW53" s="325"/>
      <c r="NX53" s="325"/>
      <c r="NY53" s="325"/>
      <c r="NZ53" s="325"/>
      <c r="OA53" s="325"/>
      <c r="OB53" s="325"/>
      <c r="OC53" s="325"/>
      <c r="OD53" s="325"/>
      <c r="OE53" s="325"/>
      <c r="OF53" s="325"/>
      <c r="OG53" s="325"/>
      <c r="OH53" s="325"/>
      <c r="OI53" s="325"/>
      <c r="OJ53" s="325"/>
      <c r="OK53" s="325"/>
      <c r="OL53" s="325"/>
      <c r="OM53" s="325"/>
      <c r="ON53" s="325"/>
      <c r="OO53" s="325"/>
      <c r="OP53" s="325"/>
      <c r="OQ53" s="325"/>
      <c r="OR53" s="325"/>
      <c r="OS53" s="325"/>
      <c r="OT53" s="325"/>
      <c r="OU53" s="325"/>
      <c r="OV53" s="325"/>
      <c r="OW53" s="325"/>
      <c r="OX53" s="325"/>
      <c r="OY53" s="325"/>
      <c r="OZ53" s="325"/>
      <c r="PA53" s="325"/>
      <c r="PB53" s="325"/>
      <c r="PC53" s="325"/>
      <c r="PD53" s="325"/>
      <c r="PE53" s="325"/>
      <c r="PF53" s="325"/>
      <c r="PG53" s="325"/>
      <c r="PH53" s="325"/>
      <c r="PI53" s="325"/>
      <c r="PJ53" s="325"/>
      <c r="PK53" s="325"/>
      <c r="PL53" s="325"/>
      <c r="PM53" s="325"/>
      <c r="PN53" s="325"/>
      <c r="PO53" s="325"/>
      <c r="PP53" s="325"/>
      <c r="PQ53" s="325"/>
      <c r="PR53" s="325"/>
      <c r="PS53" s="325"/>
      <c r="PT53" s="325"/>
      <c r="PU53" s="325"/>
      <c r="PV53" s="325"/>
      <c r="PW53" s="325"/>
      <c r="PX53" s="325"/>
      <c r="PY53" s="325"/>
      <c r="PZ53" s="325"/>
      <c r="QA53" s="325"/>
      <c r="QB53" s="325"/>
      <c r="QC53" s="325"/>
      <c r="QD53" s="325"/>
      <c r="QE53" s="325"/>
      <c r="QF53" s="325"/>
      <c r="QG53" s="325"/>
      <c r="QH53" s="325"/>
      <c r="QI53" s="325"/>
      <c r="QJ53" s="325"/>
      <c r="QK53" s="325"/>
      <c r="QL53" s="325"/>
      <c r="QM53" s="325"/>
      <c r="QN53" s="325"/>
      <c r="QO53" s="325"/>
      <c r="QP53" s="325"/>
      <c r="QQ53" s="325"/>
      <c r="QR53" s="325"/>
      <c r="QS53" s="325"/>
      <c r="QT53" s="325"/>
      <c r="QU53" s="325"/>
      <c r="QV53" s="325"/>
      <c r="QW53" s="325"/>
      <c r="QX53" s="325"/>
      <c r="QY53" s="325"/>
      <c r="QZ53" s="325"/>
      <c r="RA53" s="325"/>
      <c r="RB53" s="325"/>
      <c r="RC53" s="325"/>
      <c r="RD53" s="325"/>
      <c r="RE53" s="325"/>
      <c r="RF53" s="325"/>
      <c r="RG53" s="325"/>
      <c r="RH53" s="325"/>
      <c r="RI53" s="325"/>
      <c r="RJ53" s="325"/>
      <c r="RK53" s="325"/>
      <c r="RL53" s="325"/>
      <c r="RM53" s="325"/>
      <c r="RN53" s="325"/>
      <c r="RO53" s="325"/>
      <c r="RP53" s="325"/>
      <c r="RQ53" s="325"/>
      <c r="RR53" s="325"/>
      <c r="RS53" s="325"/>
      <c r="RT53" s="325"/>
      <c r="RU53" s="325"/>
      <c r="RV53" s="325"/>
      <c r="RW53" s="325"/>
      <c r="RX53" s="325"/>
      <c r="RY53" s="325"/>
      <c r="RZ53" s="325"/>
      <c r="SA53" s="325"/>
      <c r="SB53" s="325"/>
      <c r="SC53" s="325"/>
      <c r="SD53" s="325"/>
      <c r="SE53" s="325"/>
      <c r="SF53" s="325"/>
      <c r="SG53" s="325"/>
      <c r="SH53" s="325"/>
      <c r="SI53" s="325"/>
      <c r="SJ53" s="325"/>
      <c r="SK53" s="325"/>
      <c r="SL53" s="325"/>
      <c r="SM53" s="325"/>
      <c r="SN53" s="325"/>
      <c r="SO53" s="325"/>
      <c r="SP53" s="325"/>
      <c r="SQ53" s="325"/>
      <c r="SR53" s="325"/>
      <c r="SS53" s="325"/>
      <c r="ST53" s="325"/>
      <c r="SU53" s="325"/>
      <c r="SV53" s="325"/>
      <c r="SW53" s="325"/>
      <c r="SX53" s="325"/>
      <c r="SY53" s="325"/>
      <c r="SZ53" s="325"/>
      <c r="TA53" s="325"/>
      <c r="TB53" s="325"/>
      <c r="TC53" s="325"/>
      <c r="TD53" s="325"/>
      <c r="TE53" s="325"/>
      <c r="TF53" s="325"/>
      <c r="TG53" s="325"/>
      <c r="TH53" s="325"/>
      <c r="TI53" s="325"/>
      <c r="TJ53" s="325"/>
      <c r="TK53" s="325"/>
      <c r="TL53" s="325"/>
      <c r="TM53" s="325"/>
      <c r="TN53" s="325"/>
      <c r="TO53" s="325"/>
      <c r="TP53" s="325"/>
      <c r="TQ53" s="325"/>
      <c r="TR53" s="325"/>
      <c r="TS53" s="325"/>
      <c r="TT53" s="325"/>
      <c r="TU53" s="325"/>
      <c r="TV53" s="325"/>
      <c r="TW53" s="325"/>
      <c r="TX53" s="325"/>
      <c r="TY53" s="325"/>
      <c r="TZ53" s="325"/>
      <c r="UA53" s="325"/>
      <c r="UB53" s="325"/>
      <c r="UC53" s="325"/>
      <c r="UD53" s="325"/>
      <c r="UE53" s="325"/>
      <c r="UF53" s="325"/>
      <c r="UG53" s="325"/>
      <c r="UH53" s="325"/>
      <c r="UI53" s="325"/>
      <c r="UJ53" s="325"/>
      <c r="UK53" s="325"/>
      <c r="UL53" s="325"/>
      <c r="UM53" s="325"/>
      <c r="UN53" s="325"/>
      <c r="UO53" s="325"/>
      <c r="UP53" s="325"/>
      <c r="UQ53" s="325"/>
      <c r="UR53" s="325"/>
      <c r="US53" s="325"/>
      <c r="UT53" s="325"/>
      <c r="UU53" s="325"/>
      <c r="UV53" s="325"/>
      <c r="UW53" s="325"/>
      <c r="UX53" s="325"/>
      <c r="UY53" s="325"/>
      <c r="UZ53" s="325"/>
      <c r="VA53" s="325"/>
      <c r="VB53" s="325"/>
      <c r="VC53" s="325"/>
      <c r="VD53" s="325"/>
      <c r="VE53" s="325"/>
      <c r="VF53" s="325"/>
      <c r="VG53" s="325"/>
      <c r="VH53" s="325"/>
      <c r="VI53" s="325"/>
      <c r="VJ53" s="325"/>
      <c r="VK53" s="325"/>
      <c r="VL53" s="325"/>
      <c r="VM53" s="325"/>
      <c r="VN53" s="325"/>
      <c r="VO53" s="325"/>
      <c r="VP53" s="325"/>
      <c r="VQ53" s="325"/>
      <c r="VR53" s="325"/>
      <c r="VS53" s="325"/>
      <c r="VT53" s="325"/>
      <c r="VU53" s="325"/>
      <c r="VV53" s="325"/>
      <c r="VW53" s="325"/>
      <c r="VX53" s="325"/>
      <c r="VY53" s="325"/>
      <c r="VZ53" s="325"/>
      <c r="WA53" s="325"/>
      <c r="WB53" s="325"/>
      <c r="WC53" s="325"/>
      <c r="WD53" s="325"/>
      <c r="WE53" s="325"/>
      <c r="WF53" s="325"/>
      <c r="WG53" s="325"/>
      <c r="WH53" s="325"/>
      <c r="WI53" s="325"/>
      <c r="WJ53" s="325"/>
      <c r="WK53" s="325"/>
      <c r="WL53" s="325"/>
      <c r="WM53" s="325"/>
      <c r="WN53" s="325"/>
      <c r="WO53" s="325"/>
      <c r="WP53" s="325"/>
      <c r="WQ53" s="325"/>
      <c r="WR53" s="325"/>
      <c r="WS53" s="325"/>
      <c r="WT53" s="325"/>
      <c r="WU53" s="325"/>
      <c r="WV53" s="325"/>
      <c r="WW53" s="325"/>
      <c r="WX53" s="325"/>
      <c r="WY53" s="325"/>
      <c r="WZ53" s="325"/>
      <c r="XA53" s="325"/>
      <c r="XB53" s="325"/>
      <c r="XC53" s="325"/>
      <c r="XD53" s="325"/>
      <c r="XE53" s="325"/>
      <c r="XF53" s="325"/>
      <c r="XG53" s="325"/>
      <c r="XH53" s="325"/>
      <c r="XI53" s="325"/>
      <c r="XJ53" s="325"/>
      <c r="XK53" s="325"/>
      <c r="XL53" s="325"/>
      <c r="XM53" s="325"/>
      <c r="XN53" s="325"/>
      <c r="XO53" s="325"/>
      <c r="XP53" s="325"/>
      <c r="XQ53" s="325"/>
      <c r="XR53" s="325"/>
      <c r="XS53" s="325"/>
      <c r="XT53" s="325"/>
      <c r="XU53" s="325"/>
      <c r="XV53" s="325"/>
      <c r="XW53" s="325"/>
      <c r="XX53" s="325"/>
      <c r="XY53" s="325"/>
      <c r="XZ53" s="325"/>
      <c r="YA53" s="325"/>
      <c r="YB53" s="325"/>
      <c r="YC53" s="325"/>
      <c r="YD53" s="325"/>
      <c r="YE53" s="325"/>
      <c r="YF53" s="325"/>
      <c r="YG53" s="325"/>
      <c r="YH53" s="325"/>
      <c r="YI53" s="325"/>
      <c r="YJ53" s="325"/>
      <c r="YK53" s="325"/>
      <c r="YL53" s="325"/>
      <c r="YM53" s="325"/>
      <c r="YN53" s="325"/>
      <c r="YO53" s="325"/>
      <c r="YP53" s="325"/>
      <c r="YQ53" s="325"/>
      <c r="YR53" s="325"/>
      <c r="YS53" s="325"/>
      <c r="YT53" s="325"/>
      <c r="YU53" s="325"/>
      <c r="YV53" s="325"/>
      <c r="YW53" s="325"/>
      <c r="YX53" s="325"/>
      <c r="YY53" s="325"/>
      <c r="YZ53" s="325"/>
      <c r="ZA53" s="325"/>
      <c r="ZB53" s="325"/>
      <c r="ZC53" s="325"/>
      <c r="ZD53" s="325"/>
      <c r="ZE53" s="325"/>
      <c r="ZF53" s="325"/>
      <c r="ZG53" s="325"/>
      <c r="ZH53" s="325"/>
      <c r="ZI53" s="325"/>
      <c r="ZJ53" s="325"/>
      <c r="ZK53" s="325"/>
      <c r="ZL53" s="325"/>
      <c r="ZM53" s="325"/>
      <c r="ZN53" s="325"/>
      <c r="ZO53" s="325"/>
      <c r="ZP53" s="325"/>
      <c r="ZQ53" s="325"/>
      <c r="ZR53" s="325"/>
      <c r="ZS53" s="325"/>
      <c r="ZT53" s="325"/>
      <c r="ZU53" s="325"/>
      <c r="ZV53" s="325"/>
      <c r="ZW53" s="325"/>
      <c r="ZX53" s="325"/>
      <c r="ZY53" s="325"/>
      <c r="ZZ53" s="325"/>
      <c r="AAA53" s="325"/>
      <c r="AAB53" s="325"/>
      <c r="AAC53" s="325"/>
      <c r="AAD53" s="325"/>
      <c r="AAE53" s="325"/>
      <c r="AAF53" s="325"/>
      <c r="AAG53" s="325"/>
      <c r="AAH53" s="325"/>
      <c r="AAI53" s="325"/>
      <c r="AAJ53" s="325"/>
      <c r="AAK53" s="325"/>
      <c r="AAL53" s="325"/>
      <c r="AAM53" s="325"/>
      <c r="AAN53" s="325"/>
      <c r="AAO53" s="325"/>
      <c r="AAP53" s="325"/>
      <c r="AAQ53" s="325"/>
      <c r="AAR53" s="325"/>
      <c r="AAS53" s="325"/>
      <c r="AAT53" s="325"/>
      <c r="AAU53" s="325"/>
      <c r="AAV53" s="325"/>
      <c r="AAW53" s="325"/>
      <c r="AAX53" s="325"/>
      <c r="AAY53" s="325"/>
      <c r="AAZ53" s="325"/>
      <c r="ABA53" s="325"/>
      <c r="ABB53" s="325"/>
      <c r="ABC53" s="325"/>
      <c r="ABD53" s="325"/>
      <c r="ABE53" s="325"/>
      <c r="ABF53" s="325"/>
      <c r="ABG53" s="325"/>
      <c r="ABH53" s="325"/>
      <c r="ABI53" s="325"/>
      <c r="ABJ53" s="325"/>
      <c r="ABK53" s="325"/>
      <c r="ABL53" s="325"/>
      <c r="ABM53" s="325"/>
      <c r="ABN53" s="325"/>
      <c r="ABO53" s="325"/>
      <c r="ABP53" s="325"/>
      <c r="ABQ53" s="325"/>
      <c r="ABR53" s="325"/>
      <c r="ABS53" s="325"/>
      <c r="ABT53" s="325"/>
      <c r="ABU53" s="325"/>
      <c r="ABV53" s="325"/>
      <c r="ABW53" s="325"/>
      <c r="ABX53" s="325"/>
      <c r="ABY53" s="325"/>
      <c r="ABZ53" s="325"/>
      <c r="ACA53" s="325"/>
      <c r="ACB53" s="325"/>
      <c r="ACC53" s="325"/>
      <c r="ACD53" s="325"/>
      <c r="ACE53" s="325"/>
      <c r="ACF53" s="325"/>
      <c r="ACG53" s="325"/>
      <c r="ACH53" s="325"/>
      <c r="ACI53" s="325"/>
      <c r="ACJ53" s="325"/>
      <c r="ACK53" s="325"/>
      <c r="ACL53" s="325"/>
      <c r="ACM53" s="325"/>
      <c r="ACN53" s="325"/>
      <c r="ACO53" s="325"/>
      <c r="ACP53" s="325"/>
      <c r="ACQ53" s="325"/>
      <c r="ACR53" s="325"/>
      <c r="ACS53" s="325"/>
      <c r="ACT53" s="325"/>
      <c r="ACU53" s="325"/>
      <c r="ACV53" s="325"/>
      <c r="ACW53" s="325"/>
      <c r="ACX53" s="325"/>
      <c r="ACY53" s="325"/>
      <c r="ACZ53" s="325"/>
      <c r="ADA53" s="325"/>
      <c r="ADB53" s="325"/>
      <c r="ADC53" s="325"/>
      <c r="ADD53" s="325"/>
      <c r="ADE53" s="325"/>
      <c r="ADF53" s="325"/>
      <c r="ADG53" s="325"/>
      <c r="ADH53" s="325"/>
      <c r="ADI53" s="325"/>
      <c r="ADJ53" s="325"/>
      <c r="ADK53" s="325"/>
      <c r="ADL53" s="325"/>
      <c r="ADM53" s="325"/>
      <c r="ADN53" s="325"/>
      <c r="ADO53" s="325"/>
      <c r="ADP53" s="325"/>
      <c r="ADQ53" s="325"/>
      <c r="ADR53" s="325"/>
      <c r="ADS53" s="325"/>
      <c r="ADT53" s="325"/>
      <c r="ADU53" s="325"/>
      <c r="ADV53" s="325"/>
      <c r="ADW53" s="325"/>
      <c r="ADX53" s="325"/>
      <c r="ADY53" s="325"/>
      <c r="ADZ53" s="325"/>
      <c r="AEA53" s="325"/>
      <c r="AEB53" s="325"/>
      <c r="AEC53" s="325"/>
      <c r="AED53" s="325"/>
      <c r="AEE53" s="325"/>
      <c r="AEF53" s="325"/>
      <c r="AEG53" s="325"/>
      <c r="AEH53" s="325"/>
      <c r="AEI53" s="325"/>
      <c r="AEJ53" s="325"/>
      <c r="AEK53" s="325"/>
      <c r="AEL53" s="325"/>
      <c r="AEM53" s="325"/>
      <c r="AEN53" s="325"/>
      <c r="AEO53" s="325"/>
      <c r="AEP53" s="325"/>
      <c r="AEQ53" s="325"/>
      <c r="AER53" s="325"/>
      <c r="AES53" s="325"/>
      <c r="AET53" s="325"/>
      <c r="AEU53" s="325"/>
      <c r="AEV53" s="325"/>
      <c r="AEW53" s="325"/>
      <c r="AEX53" s="325"/>
      <c r="AEY53" s="325"/>
      <c r="AEZ53" s="325"/>
      <c r="AFA53" s="325"/>
      <c r="AFB53" s="325"/>
      <c r="AFC53" s="325"/>
      <c r="AFD53" s="325"/>
      <c r="AFE53" s="325"/>
      <c r="AFF53" s="325"/>
      <c r="AFG53" s="325"/>
      <c r="AFH53" s="325"/>
      <c r="AFI53" s="325"/>
      <c r="AFJ53" s="325"/>
      <c r="AFK53" s="325"/>
      <c r="AFL53" s="325"/>
      <c r="AFM53" s="325"/>
      <c r="AFN53" s="325"/>
      <c r="AFO53" s="325"/>
      <c r="AFP53" s="325"/>
      <c r="AFQ53" s="325"/>
      <c r="AFR53" s="325"/>
      <c r="AFS53" s="325"/>
      <c r="AFT53" s="325"/>
      <c r="AFU53" s="325"/>
      <c r="AFV53" s="325"/>
      <c r="AFW53" s="325"/>
      <c r="AFX53" s="325"/>
      <c r="AFY53" s="325"/>
      <c r="AFZ53" s="325"/>
      <c r="AGA53" s="325"/>
      <c r="AGB53" s="325"/>
      <c r="AGC53" s="325"/>
      <c r="AGD53" s="325"/>
      <c r="AGE53" s="325"/>
      <c r="AGF53" s="325"/>
      <c r="AGG53" s="325"/>
      <c r="AGH53" s="325"/>
      <c r="AGI53" s="325"/>
      <c r="AGJ53" s="325"/>
      <c r="AGK53" s="325"/>
      <c r="AGL53" s="325"/>
      <c r="AGM53" s="325"/>
      <c r="AGN53" s="325"/>
      <c r="AGO53" s="325"/>
      <c r="AGP53" s="325"/>
      <c r="AGQ53" s="325"/>
      <c r="AGR53" s="325"/>
      <c r="AGS53" s="325"/>
      <c r="AGT53" s="325"/>
      <c r="AGU53" s="325"/>
      <c r="AGV53" s="325"/>
      <c r="AGW53" s="325"/>
      <c r="AGX53" s="325"/>
      <c r="AGY53" s="325"/>
      <c r="AGZ53" s="325"/>
      <c r="AHA53" s="325"/>
      <c r="AHB53" s="325"/>
      <c r="AHC53" s="325"/>
      <c r="AHD53" s="325"/>
      <c r="AHE53" s="325"/>
      <c r="AHF53" s="325"/>
      <c r="AHG53" s="325"/>
      <c r="AHH53" s="325"/>
      <c r="AHI53" s="325"/>
      <c r="AHJ53" s="325"/>
      <c r="AHK53" s="325"/>
      <c r="AHL53" s="325"/>
      <c r="AHM53" s="325"/>
      <c r="AHN53" s="325"/>
      <c r="AHO53" s="325"/>
      <c r="AHP53" s="325"/>
      <c r="AHQ53" s="325"/>
      <c r="AHR53" s="325"/>
      <c r="AHS53" s="325"/>
      <c r="AHT53" s="325"/>
      <c r="AHU53" s="325"/>
      <c r="AHV53" s="325"/>
      <c r="AHW53" s="325"/>
      <c r="AHX53" s="325"/>
      <c r="AHY53" s="325"/>
      <c r="AHZ53" s="325"/>
      <c r="AIA53" s="325"/>
      <c r="AIB53" s="325"/>
      <c r="AIC53" s="325"/>
      <c r="AID53" s="325"/>
      <c r="AIE53" s="325"/>
      <c r="AIF53" s="325"/>
      <c r="AIG53" s="325"/>
      <c r="AIH53" s="325"/>
      <c r="AII53" s="325"/>
      <c r="AIJ53" s="325"/>
      <c r="AIK53" s="325"/>
      <c r="AIL53" s="325"/>
      <c r="AIM53" s="325"/>
      <c r="AIN53" s="325"/>
      <c r="AIO53" s="325"/>
      <c r="AIP53" s="325"/>
      <c r="AIQ53" s="325"/>
      <c r="AIR53" s="325"/>
      <c r="AIS53" s="325"/>
      <c r="AIT53" s="325"/>
      <c r="AIU53" s="325"/>
      <c r="AIV53" s="325"/>
      <c r="AIW53" s="325"/>
      <c r="AIX53" s="325"/>
      <c r="AIY53" s="325"/>
      <c r="AIZ53" s="325"/>
      <c r="AJA53" s="325"/>
      <c r="AJB53" s="325"/>
      <c r="AJC53" s="325"/>
      <c r="AJD53" s="325"/>
      <c r="AJE53" s="325"/>
      <c r="AJF53" s="325"/>
      <c r="AJG53" s="325"/>
      <c r="AJH53" s="325"/>
      <c r="AJI53" s="325"/>
      <c r="AJJ53" s="325"/>
      <c r="AJK53" s="325"/>
      <c r="AJL53" s="325"/>
      <c r="AJM53" s="325"/>
      <c r="AJN53" s="325"/>
      <c r="AJO53" s="325"/>
      <c r="AJP53" s="325"/>
      <c r="AJQ53" s="325"/>
      <c r="AJR53" s="325"/>
      <c r="AJS53" s="325"/>
      <c r="AJT53" s="325"/>
      <c r="AJU53" s="325"/>
      <c r="AJV53" s="325"/>
      <c r="AJW53" s="325"/>
      <c r="AJX53" s="325"/>
      <c r="AJY53" s="325"/>
      <c r="AJZ53" s="325"/>
      <c r="AKA53" s="325"/>
      <c r="AKB53" s="325"/>
      <c r="AKC53" s="325"/>
      <c r="AKD53" s="325"/>
      <c r="AKE53" s="325"/>
      <c r="AKF53" s="325"/>
      <c r="AKG53" s="325"/>
      <c r="AKH53" s="325"/>
      <c r="AKI53" s="325"/>
      <c r="AKJ53" s="325"/>
      <c r="AKK53" s="325"/>
      <c r="AKL53" s="325"/>
      <c r="AKM53" s="325"/>
      <c r="AKN53" s="325"/>
      <c r="AKO53" s="325"/>
      <c r="AKP53" s="325"/>
      <c r="AKQ53" s="325"/>
      <c r="AKR53" s="325"/>
      <c r="AKS53" s="325"/>
      <c r="AKT53" s="325"/>
      <c r="AKU53" s="325"/>
      <c r="AKV53" s="325"/>
      <c r="AKW53" s="325"/>
      <c r="AKX53" s="325"/>
      <c r="AKY53" s="325"/>
      <c r="AKZ53" s="325"/>
      <c r="ALA53" s="325"/>
      <c r="ALB53" s="325"/>
      <c r="ALC53" s="325"/>
      <c r="ALD53" s="325"/>
      <c r="ALE53" s="325"/>
      <c r="ALF53" s="325"/>
      <c r="ALG53" s="325"/>
      <c r="ALH53" s="325"/>
      <c r="ALI53" s="325"/>
      <c r="ALJ53" s="325"/>
      <c r="ALK53" s="325"/>
      <c r="ALL53" s="325"/>
      <c r="ALM53" s="325"/>
      <c r="ALN53" s="325"/>
      <c r="ALO53" s="325"/>
      <c r="ALP53" s="325"/>
      <c r="ALQ53" s="325"/>
      <c r="ALR53" s="325"/>
      <c r="ALS53" s="325"/>
      <c r="ALT53" s="325"/>
      <c r="ALU53" s="325"/>
      <c r="ALV53" s="325"/>
      <c r="ALW53" s="325"/>
      <c r="ALX53" s="325"/>
      <c r="ALY53" s="325"/>
      <c r="ALZ53" s="325"/>
      <c r="AMA53" s="325"/>
      <c r="AMB53" s="325"/>
      <c r="AMC53" s="325"/>
    </row>
    <row r="54" spans="3:1017" s="75" customFormat="1">
      <c r="C54" s="130"/>
      <c r="D54" s="130"/>
      <c r="CN54" s="225"/>
      <c r="CQ54" s="226"/>
      <c r="LD54" s="213"/>
      <c r="LH54" s="286"/>
      <c r="LI54" s="287"/>
      <c r="LJ54" s="124"/>
      <c r="LK54" s="124"/>
      <c r="LL54" s="124"/>
      <c r="LM54" s="124"/>
      <c r="LN54" s="124"/>
      <c r="LO54" s="124"/>
      <c r="LP54" s="124"/>
      <c r="LQ54" s="124"/>
      <c r="LR54" s="124"/>
      <c r="NE54" s="330"/>
      <c r="NF54" s="325"/>
      <c r="NG54" s="325"/>
      <c r="NH54" s="325"/>
      <c r="NI54" s="325"/>
      <c r="NJ54" s="325"/>
      <c r="NK54" s="325"/>
      <c r="NL54" s="325"/>
      <c r="NM54" s="325"/>
      <c r="NN54" s="325"/>
      <c r="NO54" s="325"/>
      <c r="NP54" s="325"/>
      <c r="NQ54" s="325"/>
      <c r="NR54" s="325"/>
      <c r="NS54" s="325"/>
      <c r="NT54" s="325"/>
      <c r="NU54" s="325"/>
      <c r="NV54" s="325"/>
      <c r="NW54" s="325"/>
      <c r="NX54" s="325"/>
      <c r="NY54" s="325"/>
      <c r="NZ54" s="325"/>
      <c r="OA54" s="325"/>
      <c r="OB54" s="325"/>
      <c r="OC54" s="325"/>
      <c r="OD54" s="325"/>
      <c r="OE54" s="325"/>
      <c r="OF54" s="325"/>
      <c r="OG54" s="325"/>
      <c r="OH54" s="325"/>
      <c r="OI54" s="325"/>
      <c r="OJ54" s="325"/>
      <c r="OK54" s="325"/>
      <c r="OL54" s="325"/>
      <c r="OM54" s="325"/>
      <c r="ON54" s="325"/>
      <c r="OO54" s="325"/>
      <c r="OP54" s="325"/>
      <c r="OQ54" s="325"/>
      <c r="OR54" s="325"/>
      <c r="OS54" s="325"/>
      <c r="OT54" s="325"/>
      <c r="OU54" s="325"/>
      <c r="OV54" s="325"/>
      <c r="OW54" s="325"/>
      <c r="OX54" s="325"/>
      <c r="OY54" s="325"/>
      <c r="OZ54" s="325"/>
      <c r="PA54" s="325"/>
      <c r="PB54" s="325"/>
      <c r="PC54" s="325"/>
      <c r="PD54" s="325"/>
      <c r="PE54" s="325"/>
      <c r="PF54" s="325"/>
      <c r="PG54" s="325"/>
      <c r="PH54" s="325"/>
      <c r="PI54" s="325"/>
      <c r="PJ54" s="325"/>
      <c r="PK54" s="325"/>
      <c r="PL54" s="325"/>
      <c r="PM54" s="325"/>
      <c r="PN54" s="325"/>
      <c r="PO54" s="325"/>
      <c r="PP54" s="325"/>
      <c r="PQ54" s="325"/>
      <c r="PR54" s="325"/>
      <c r="PS54" s="325"/>
      <c r="PT54" s="325"/>
      <c r="PU54" s="325"/>
      <c r="PV54" s="325"/>
      <c r="PW54" s="325"/>
      <c r="PX54" s="325"/>
      <c r="PY54" s="325"/>
      <c r="PZ54" s="325"/>
      <c r="QA54" s="325"/>
      <c r="QB54" s="325"/>
      <c r="QC54" s="325"/>
      <c r="QD54" s="325"/>
      <c r="QE54" s="325"/>
      <c r="QF54" s="325"/>
      <c r="QG54" s="325"/>
      <c r="QH54" s="325"/>
      <c r="QI54" s="325"/>
      <c r="QJ54" s="325"/>
      <c r="QK54" s="325"/>
      <c r="QL54" s="325"/>
      <c r="QM54" s="325"/>
      <c r="QN54" s="325"/>
      <c r="QO54" s="325"/>
      <c r="QP54" s="325"/>
      <c r="QQ54" s="325"/>
      <c r="QR54" s="325"/>
      <c r="QS54" s="325"/>
      <c r="QT54" s="325"/>
      <c r="QU54" s="325"/>
      <c r="QV54" s="325"/>
      <c r="QW54" s="325"/>
      <c r="QX54" s="325"/>
      <c r="QY54" s="325"/>
      <c r="QZ54" s="325"/>
      <c r="RA54" s="325"/>
      <c r="RB54" s="325"/>
      <c r="RC54" s="325"/>
      <c r="RD54" s="325"/>
      <c r="RE54" s="325"/>
      <c r="RF54" s="325"/>
      <c r="RG54" s="325"/>
      <c r="RH54" s="325"/>
      <c r="RI54" s="325"/>
      <c r="RJ54" s="325"/>
      <c r="RK54" s="325"/>
      <c r="RL54" s="325"/>
      <c r="RM54" s="325"/>
      <c r="RN54" s="325"/>
      <c r="RO54" s="325"/>
      <c r="RP54" s="325"/>
      <c r="RQ54" s="325"/>
      <c r="RR54" s="325"/>
      <c r="RS54" s="325"/>
      <c r="RT54" s="325"/>
      <c r="RU54" s="325"/>
      <c r="RV54" s="325"/>
      <c r="RW54" s="325"/>
      <c r="RX54" s="325"/>
      <c r="RY54" s="325"/>
      <c r="RZ54" s="325"/>
      <c r="SA54" s="325"/>
      <c r="SB54" s="325"/>
      <c r="SC54" s="325"/>
      <c r="SD54" s="325"/>
      <c r="SE54" s="325"/>
      <c r="SF54" s="325"/>
      <c r="SG54" s="325"/>
      <c r="SH54" s="325"/>
      <c r="SI54" s="325"/>
      <c r="SJ54" s="325"/>
      <c r="SK54" s="325"/>
      <c r="SL54" s="325"/>
      <c r="SM54" s="325"/>
      <c r="SN54" s="325"/>
      <c r="SO54" s="325"/>
      <c r="SP54" s="325"/>
      <c r="SQ54" s="325"/>
      <c r="SR54" s="325"/>
      <c r="SS54" s="325"/>
      <c r="ST54" s="325"/>
      <c r="SU54" s="325"/>
      <c r="SV54" s="325"/>
      <c r="SW54" s="325"/>
      <c r="SX54" s="325"/>
      <c r="SY54" s="325"/>
      <c r="SZ54" s="325"/>
      <c r="TA54" s="325"/>
      <c r="TB54" s="325"/>
      <c r="TC54" s="325"/>
      <c r="TD54" s="325"/>
      <c r="TE54" s="325"/>
      <c r="TF54" s="325"/>
      <c r="TG54" s="325"/>
      <c r="TH54" s="325"/>
      <c r="TI54" s="325"/>
      <c r="TJ54" s="325"/>
      <c r="TK54" s="325"/>
      <c r="TL54" s="325"/>
      <c r="TM54" s="325"/>
      <c r="TN54" s="325"/>
      <c r="TO54" s="325"/>
      <c r="TP54" s="325"/>
      <c r="TQ54" s="325"/>
      <c r="TR54" s="325"/>
      <c r="TS54" s="325"/>
      <c r="TT54" s="325"/>
      <c r="TU54" s="325"/>
      <c r="TV54" s="325"/>
      <c r="TW54" s="325"/>
      <c r="TX54" s="325"/>
      <c r="TY54" s="325"/>
      <c r="TZ54" s="325"/>
      <c r="UA54" s="325"/>
      <c r="UB54" s="325"/>
      <c r="UC54" s="325"/>
      <c r="UD54" s="325"/>
      <c r="UE54" s="325"/>
      <c r="UF54" s="325"/>
      <c r="UG54" s="325"/>
      <c r="UH54" s="325"/>
      <c r="UI54" s="325"/>
      <c r="UJ54" s="325"/>
      <c r="UK54" s="325"/>
      <c r="UL54" s="325"/>
      <c r="UM54" s="325"/>
      <c r="UN54" s="325"/>
      <c r="UO54" s="325"/>
      <c r="UP54" s="325"/>
      <c r="UQ54" s="325"/>
      <c r="UR54" s="325"/>
      <c r="US54" s="325"/>
      <c r="UT54" s="325"/>
      <c r="UU54" s="325"/>
      <c r="UV54" s="325"/>
      <c r="UW54" s="325"/>
      <c r="UX54" s="325"/>
      <c r="UY54" s="325"/>
      <c r="UZ54" s="325"/>
      <c r="VA54" s="325"/>
      <c r="VB54" s="325"/>
      <c r="VC54" s="325"/>
      <c r="VD54" s="325"/>
      <c r="VE54" s="325"/>
      <c r="VF54" s="325"/>
      <c r="VG54" s="325"/>
      <c r="VH54" s="325"/>
      <c r="VI54" s="325"/>
      <c r="VJ54" s="325"/>
      <c r="VK54" s="325"/>
      <c r="VL54" s="325"/>
      <c r="VM54" s="325"/>
      <c r="VN54" s="325"/>
      <c r="VO54" s="325"/>
      <c r="VP54" s="325"/>
      <c r="VQ54" s="325"/>
      <c r="VR54" s="325"/>
      <c r="VS54" s="325"/>
      <c r="VT54" s="325"/>
      <c r="VU54" s="325"/>
      <c r="VV54" s="325"/>
      <c r="VW54" s="325"/>
      <c r="VX54" s="325"/>
      <c r="VY54" s="325"/>
      <c r="VZ54" s="325"/>
      <c r="WA54" s="325"/>
      <c r="WB54" s="325"/>
      <c r="WC54" s="325"/>
      <c r="WD54" s="325"/>
      <c r="WE54" s="325"/>
      <c r="WF54" s="325"/>
      <c r="WG54" s="325"/>
      <c r="WH54" s="325"/>
      <c r="WI54" s="325"/>
      <c r="WJ54" s="325"/>
      <c r="WK54" s="325"/>
      <c r="WL54" s="325"/>
      <c r="WM54" s="325"/>
      <c r="WN54" s="325"/>
      <c r="WO54" s="325"/>
      <c r="WP54" s="325"/>
      <c r="WQ54" s="325"/>
      <c r="WR54" s="325"/>
      <c r="WS54" s="325"/>
      <c r="WT54" s="325"/>
      <c r="WU54" s="325"/>
      <c r="WV54" s="325"/>
      <c r="WW54" s="325"/>
      <c r="WX54" s="325"/>
      <c r="WY54" s="325"/>
      <c r="WZ54" s="325"/>
      <c r="XA54" s="325"/>
      <c r="XB54" s="325"/>
      <c r="XC54" s="325"/>
      <c r="XD54" s="325"/>
      <c r="XE54" s="325"/>
      <c r="XF54" s="325"/>
      <c r="XG54" s="325"/>
      <c r="XH54" s="325"/>
      <c r="XI54" s="325"/>
      <c r="XJ54" s="325"/>
      <c r="XK54" s="325"/>
      <c r="XL54" s="325"/>
      <c r="XM54" s="325"/>
      <c r="XN54" s="325"/>
      <c r="XO54" s="325"/>
      <c r="XP54" s="325"/>
      <c r="XQ54" s="325"/>
      <c r="XR54" s="325"/>
      <c r="XS54" s="325"/>
      <c r="XT54" s="325"/>
      <c r="XU54" s="325"/>
      <c r="XV54" s="325"/>
      <c r="XW54" s="325"/>
      <c r="XX54" s="325"/>
      <c r="XY54" s="325"/>
      <c r="XZ54" s="325"/>
      <c r="YA54" s="325"/>
      <c r="YB54" s="325"/>
      <c r="YC54" s="325"/>
      <c r="YD54" s="325"/>
      <c r="YE54" s="325"/>
      <c r="YF54" s="325"/>
      <c r="YG54" s="325"/>
      <c r="YH54" s="325"/>
      <c r="YI54" s="325"/>
      <c r="YJ54" s="325"/>
      <c r="YK54" s="325"/>
      <c r="YL54" s="325"/>
      <c r="YM54" s="325"/>
      <c r="YN54" s="325"/>
      <c r="YO54" s="325"/>
      <c r="YP54" s="325"/>
      <c r="YQ54" s="325"/>
      <c r="YR54" s="325"/>
      <c r="YS54" s="325"/>
      <c r="YT54" s="325"/>
      <c r="YU54" s="325"/>
      <c r="YV54" s="325"/>
      <c r="YW54" s="325"/>
      <c r="YX54" s="325"/>
      <c r="YY54" s="325"/>
      <c r="YZ54" s="325"/>
      <c r="ZA54" s="325"/>
      <c r="ZB54" s="325"/>
      <c r="ZC54" s="325"/>
      <c r="ZD54" s="325"/>
      <c r="ZE54" s="325"/>
      <c r="ZF54" s="325"/>
      <c r="ZG54" s="325"/>
      <c r="ZH54" s="325"/>
      <c r="ZI54" s="325"/>
      <c r="ZJ54" s="325"/>
      <c r="ZK54" s="325"/>
      <c r="ZL54" s="325"/>
      <c r="ZM54" s="325"/>
      <c r="ZN54" s="325"/>
      <c r="ZO54" s="325"/>
      <c r="ZP54" s="325"/>
      <c r="ZQ54" s="325"/>
      <c r="ZR54" s="325"/>
      <c r="ZS54" s="325"/>
      <c r="ZT54" s="325"/>
      <c r="ZU54" s="325"/>
      <c r="ZV54" s="325"/>
      <c r="ZW54" s="325"/>
      <c r="ZX54" s="325"/>
      <c r="ZY54" s="325"/>
      <c r="ZZ54" s="325"/>
      <c r="AAA54" s="325"/>
      <c r="AAB54" s="325"/>
      <c r="AAC54" s="325"/>
      <c r="AAD54" s="325"/>
      <c r="AAE54" s="325"/>
      <c r="AAF54" s="325"/>
      <c r="AAG54" s="325"/>
      <c r="AAH54" s="325"/>
      <c r="AAI54" s="325"/>
      <c r="AAJ54" s="325"/>
      <c r="AAK54" s="325"/>
      <c r="AAL54" s="325"/>
      <c r="AAM54" s="325"/>
      <c r="AAN54" s="325"/>
      <c r="AAO54" s="325"/>
      <c r="AAP54" s="325"/>
      <c r="AAQ54" s="325"/>
      <c r="AAR54" s="325"/>
      <c r="AAS54" s="325"/>
      <c r="AAT54" s="325"/>
      <c r="AAU54" s="325"/>
      <c r="AAV54" s="325"/>
      <c r="AAW54" s="325"/>
      <c r="AAX54" s="325"/>
      <c r="AAY54" s="325"/>
      <c r="AAZ54" s="325"/>
      <c r="ABA54" s="325"/>
      <c r="ABB54" s="325"/>
      <c r="ABC54" s="325"/>
      <c r="ABD54" s="325"/>
      <c r="ABE54" s="325"/>
      <c r="ABF54" s="325"/>
      <c r="ABG54" s="325"/>
      <c r="ABH54" s="325"/>
      <c r="ABI54" s="325"/>
      <c r="ABJ54" s="325"/>
      <c r="ABK54" s="325"/>
      <c r="ABL54" s="325"/>
      <c r="ABM54" s="325"/>
      <c r="ABN54" s="325"/>
      <c r="ABO54" s="325"/>
      <c r="ABP54" s="325"/>
      <c r="ABQ54" s="325"/>
      <c r="ABR54" s="325"/>
      <c r="ABS54" s="325"/>
      <c r="ABT54" s="325"/>
      <c r="ABU54" s="325"/>
      <c r="ABV54" s="325"/>
      <c r="ABW54" s="325"/>
      <c r="ABX54" s="325"/>
      <c r="ABY54" s="325"/>
      <c r="ABZ54" s="325"/>
      <c r="ACA54" s="325"/>
      <c r="ACB54" s="325"/>
      <c r="ACC54" s="325"/>
      <c r="ACD54" s="325"/>
      <c r="ACE54" s="325"/>
      <c r="ACF54" s="325"/>
      <c r="ACG54" s="325"/>
      <c r="ACH54" s="325"/>
      <c r="ACI54" s="325"/>
      <c r="ACJ54" s="325"/>
      <c r="ACK54" s="325"/>
      <c r="ACL54" s="325"/>
      <c r="ACM54" s="325"/>
      <c r="ACN54" s="325"/>
      <c r="ACO54" s="325"/>
      <c r="ACP54" s="325"/>
      <c r="ACQ54" s="325"/>
      <c r="ACR54" s="325"/>
      <c r="ACS54" s="325"/>
      <c r="ACT54" s="325"/>
      <c r="ACU54" s="325"/>
      <c r="ACV54" s="325"/>
      <c r="ACW54" s="325"/>
      <c r="ACX54" s="325"/>
      <c r="ACY54" s="325"/>
      <c r="ACZ54" s="325"/>
      <c r="ADA54" s="325"/>
      <c r="ADB54" s="325"/>
      <c r="ADC54" s="325"/>
      <c r="ADD54" s="325"/>
      <c r="ADE54" s="325"/>
      <c r="ADF54" s="325"/>
      <c r="ADG54" s="325"/>
      <c r="ADH54" s="325"/>
      <c r="ADI54" s="325"/>
      <c r="ADJ54" s="325"/>
      <c r="ADK54" s="325"/>
      <c r="ADL54" s="325"/>
      <c r="ADM54" s="325"/>
      <c r="ADN54" s="325"/>
      <c r="ADO54" s="325"/>
      <c r="ADP54" s="325"/>
      <c r="ADQ54" s="325"/>
      <c r="ADR54" s="325"/>
      <c r="ADS54" s="325"/>
      <c r="ADT54" s="325"/>
      <c r="ADU54" s="325"/>
      <c r="ADV54" s="325"/>
      <c r="ADW54" s="325"/>
      <c r="ADX54" s="325"/>
      <c r="ADY54" s="325"/>
      <c r="ADZ54" s="325"/>
      <c r="AEA54" s="325"/>
      <c r="AEB54" s="325"/>
      <c r="AEC54" s="325"/>
      <c r="AED54" s="325"/>
      <c r="AEE54" s="325"/>
      <c r="AEF54" s="325"/>
      <c r="AEG54" s="325"/>
      <c r="AEH54" s="325"/>
      <c r="AEI54" s="325"/>
      <c r="AEJ54" s="325"/>
      <c r="AEK54" s="325"/>
      <c r="AEL54" s="325"/>
      <c r="AEM54" s="325"/>
      <c r="AEN54" s="325"/>
      <c r="AEO54" s="325"/>
      <c r="AEP54" s="325"/>
      <c r="AEQ54" s="325"/>
      <c r="AER54" s="325"/>
      <c r="AES54" s="325"/>
      <c r="AET54" s="325"/>
      <c r="AEU54" s="325"/>
      <c r="AEV54" s="325"/>
      <c r="AEW54" s="325"/>
      <c r="AEX54" s="325"/>
      <c r="AEY54" s="325"/>
      <c r="AEZ54" s="325"/>
      <c r="AFA54" s="325"/>
      <c r="AFB54" s="325"/>
      <c r="AFC54" s="325"/>
      <c r="AFD54" s="325"/>
      <c r="AFE54" s="325"/>
      <c r="AFF54" s="325"/>
      <c r="AFG54" s="325"/>
      <c r="AFH54" s="325"/>
      <c r="AFI54" s="325"/>
      <c r="AFJ54" s="325"/>
      <c r="AFK54" s="325"/>
      <c r="AFL54" s="325"/>
      <c r="AFM54" s="325"/>
      <c r="AFN54" s="325"/>
      <c r="AFO54" s="325"/>
      <c r="AFP54" s="325"/>
      <c r="AFQ54" s="325"/>
      <c r="AFR54" s="325"/>
      <c r="AFS54" s="325"/>
      <c r="AFT54" s="325"/>
      <c r="AFU54" s="325"/>
      <c r="AFV54" s="325"/>
      <c r="AFW54" s="325"/>
      <c r="AFX54" s="325"/>
      <c r="AFY54" s="325"/>
      <c r="AFZ54" s="325"/>
      <c r="AGA54" s="325"/>
      <c r="AGB54" s="325"/>
      <c r="AGC54" s="325"/>
      <c r="AGD54" s="325"/>
      <c r="AGE54" s="325"/>
      <c r="AGF54" s="325"/>
      <c r="AGG54" s="325"/>
      <c r="AGH54" s="325"/>
      <c r="AGI54" s="325"/>
      <c r="AGJ54" s="325"/>
      <c r="AGK54" s="325"/>
      <c r="AGL54" s="325"/>
      <c r="AGM54" s="325"/>
      <c r="AGN54" s="325"/>
      <c r="AGO54" s="325"/>
      <c r="AGP54" s="325"/>
      <c r="AGQ54" s="325"/>
      <c r="AGR54" s="325"/>
      <c r="AGS54" s="325"/>
      <c r="AGT54" s="325"/>
      <c r="AGU54" s="325"/>
      <c r="AGV54" s="325"/>
      <c r="AGW54" s="325"/>
      <c r="AGX54" s="325"/>
      <c r="AGY54" s="325"/>
      <c r="AGZ54" s="325"/>
      <c r="AHA54" s="325"/>
      <c r="AHB54" s="325"/>
      <c r="AHC54" s="325"/>
      <c r="AHD54" s="325"/>
      <c r="AHE54" s="325"/>
      <c r="AHF54" s="325"/>
      <c r="AHG54" s="325"/>
      <c r="AHH54" s="325"/>
      <c r="AHI54" s="325"/>
      <c r="AHJ54" s="325"/>
      <c r="AHK54" s="325"/>
      <c r="AHL54" s="325"/>
      <c r="AHM54" s="325"/>
      <c r="AHN54" s="325"/>
      <c r="AHO54" s="325"/>
      <c r="AHP54" s="325"/>
      <c r="AHQ54" s="325"/>
      <c r="AHR54" s="325"/>
      <c r="AHS54" s="325"/>
      <c r="AHT54" s="325"/>
      <c r="AHU54" s="325"/>
      <c r="AHV54" s="325"/>
      <c r="AHW54" s="325"/>
      <c r="AHX54" s="325"/>
      <c r="AHY54" s="325"/>
      <c r="AHZ54" s="325"/>
      <c r="AIA54" s="325"/>
      <c r="AIB54" s="325"/>
      <c r="AIC54" s="325"/>
      <c r="AID54" s="325"/>
      <c r="AIE54" s="325"/>
      <c r="AIF54" s="325"/>
      <c r="AIG54" s="325"/>
      <c r="AIH54" s="325"/>
      <c r="AII54" s="325"/>
      <c r="AIJ54" s="325"/>
      <c r="AIK54" s="325"/>
      <c r="AIL54" s="325"/>
      <c r="AIM54" s="325"/>
      <c r="AIN54" s="325"/>
      <c r="AIO54" s="325"/>
      <c r="AIP54" s="325"/>
      <c r="AIQ54" s="325"/>
      <c r="AIR54" s="325"/>
      <c r="AIS54" s="325"/>
      <c r="AIT54" s="325"/>
      <c r="AIU54" s="325"/>
      <c r="AIV54" s="325"/>
      <c r="AIW54" s="325"/>
      <c r="AIX54" s="325"/>
      <c r="AIY54" s="325"/>
      <c r="AIZ54" s="325"/>
      <c r="AJA54" s="325"/>
      <c r="AJB54" s="325"/>
      <c r="AJC54" s="325"/>
      <c r="AJD54" s="325"/>
      <c r="AJE54" s="325"/>
      <c r="AJF54" s="325"/>
      <c r="AJG54" s="325"/>
      <c r="AJH54" s="325"/>
      <c r="AJI54" s="325"/>
      <c r="AJJ54" s="325"/>
      <c r="AJK54" s="325"/>
      <c r="AJL54" s="325"/>
      <c r="AJM54" s="325"/>
      <c r="AJN54" s="325"/>
      <c r="AJO54" s="325"/>
      <c r="AJP54" s="325"/>
      <c r="AJQ54" s="325"/>
      <c r="AJR54" s="325"/>
      <c r="AJS54" s="325"/>
      <c r="AJT54" s="325"/>
      <c r="AJU54" s="325"/>
      <c r="AJV54" s="325"/>
      <c r="AJW54" s="325"/>
      <c r="AJX54" s="325"/>
      <c r="AJY54" s="325"/>
      <c r="AJZ54" s="325"/>
      <c r="AKA54" s="325"/>
      <c r="AKB54" s="325"/>
      <c r="AKC54" s="325"/>
      <c r="AKD54" s="325"/>
      <c r="AKE54" s="325"/>
      <c r="AKF54" s="325"/>
      <c r="AKG54" s="325"/>
      <c r="AKH54" s="325"/>
      <c r="AKI54" s="325"/>
      <c r="AKJ54" s="325"/>
      <c r="AKK54" s="325"/>
      <c r="AKL54" s="325"/>
      <c r="AKM54" s="325"/>
      <c r="AKN54" s="325"/>
      <c r="AKO54" s="325"/>
      <c r="AKP54" s="325"/>
      <c r="AKQ54" s="325"/>
      <c r="AKR54" s="325"/>
      <c r="AKS54" s="325"/>
      <c r="AKT54" s="325"/>
      <c r="AKU54" s="325"/>
      <c r="AKV54" s="325"/>
      <c r="AKW54" s="325"/>
      <c r="AKX54" s="325"/>
      <c r="AKY54" s="325"/>
      <c r="AKZ54" s="325"/>
      <c r="ALA54" s="325"/>
      <c r="ALB54" s="325"/>
      <c r="ALC54" s="325"/>
      <c r="ALD54" s="325"/>
      <c r="ALE54" s="325"/>
      <c r="ALF54" s="325"/>
      <c r="ALG54" s="325"/>
      <c r="ALH54" s="325"/>
      <c r="ALI54" s="325"/>
      <c r="ALJ54" s="325"/>
      <c r="ALK54" s="325"/>
      <c r="ALL54" s="325"/>
      <c r="ALM54" s="325"/>
      <c r="ALN54" s="325"/>
      <c r="ALO54" s="325"/>
      <c r="ALP54" s="325"/>
      <c r="ALQ54" s="325"/>
      <c r="ALR54" s="325"/>
      <c r="ALS54" s="325"/>
      <c r="ALT54" s="325"/>
      <c r="ALU54" s="325"/>
      <c r="ALV54" s="325"/>
      <c r="ALW54" s="325"/>
      <c r="ALX54" s="325"/>
      <c r="ALY54" s="325"/>
      <c r="ALZ54" s="325"/>
      <c r="AMA54" s="325"/>
      <c r="AMB54" s="325"/>
      <c r="AMC54" s="325"/>
    </row>
    <row r="55" spans="3:1017" s="75" customFormat="1">
      <c r="C55" s="130"/>
      <c r="D55" s="130"/>
      <c r="CN55" s="225"/>
      <c r="CQ55" s="226"/>
      <c r="LD55" s="213"/>
      <c r="LH55" s="286"/>
      <c r="LI55" s="287"/>
      <c r="LJ55" s="124"/>
      <c r="LK55" s="124"/>
      <c r="LL55" s="124"/>
      <c r="LM55" s="124"/>
      <c r="LN55" s="124"/>
      <c r="LO55" s="124"/>
      <c r="LP55" s="124"/>
      <c r="LQ55" s="124"/>
      <c r="LR55" s="124"/>
      <c r="NE55" s="330"/>
      <c r="NF55" s="325"/>
      <c r="NG55" s="325"/>
      <c r="NH55" s="325"/>
      <c r="NI55" s="325"/>
      <c r="NJ55" s="325"/>
      <c r="NK55" s="325"/>
      <c r="NL55" s="325"/>
      <c r="NM55" s="325"/>
      <c r="NN55" s="325"/>
      <c r="NO55" s="325"/>
      <c r="NP55" s="325"/>
      <c r="NQ55" s="325"/>
      <c r="NR55" s="325"/>
      <c r="NS55" s="325"/>
      <c r="NT55" s="325"/>
      <c r="NU55" s="325"/>
      <c r="NV55" s="325"/>
      <c r="NW55" s="325"/>
      <c r="NX55" s="325"/>
      <c r="NY55" s="325"/>
      <c r="NZ55" s="325"/>
      <c r="OA55" s="325"/>
      <c r="OB55" s="325"/>
      <c r="OC55" s="325"/>
      <c r="OD55" s="325"/>
      <c r="OE55" s="325"/>
      <c r="OF55" s="325"/>
      <c r="OG55" s="325"/>
      <c r="OH55" s="325"/>
      <c r="OI55" s="325"/>
      <c r="OJ55" s="325"/>
      <c r="OK55" s="325"/>
      <c r="OL55" s="325"/>
      <c r="OM55" s="325"/>
      <c r="ON55" s="325"/>
      <c r="OO55" s="325"/>
      <c r="OP55" s="325"/>
      <c r="OQ55" s="325"/>
      <c r="OR55" s="325"/>
      <c r="OS55" s="325"/>
      <c r="OT55" s="325"/>
      <c r="OU55" s="325"/>
      <c r="OV55" s="325"/>
      <c r="OW55" s="325"/>
      <c r="OX55" s="325"/>
      <c r="OY55" s="325"/>
      <c r="OZ55" s="325"/>
      <c r="PA55" s="325"/>
      <c r="PB55" s="325"/>
      <c r="PC55" s="325"/>
      <c r="PD55" s="325"/>
      <c r="PE55" s="325"/>
      <c r="PF55" s="325"/>
      <c r="PG55" s="325"/>
      <c r="PH55" s="325"/>
      <c r="PI55" s="325"/>
      <c r="PJ55" s="325"/>
      <c r="PK55" s="325"/>
      <c r="PL55" s="325"/>
      <c r="PM55" s="325"/>
      <c r="PN55" s="325"/>
      <c r="PO55" s="325"/>
      <c r="PP55" s="325"/>
      <c r="PQ55" s="325"/>
      <c r="PR55" s="325"/>
      <c r="PS55" s="325"/>
      <c r="PT55" s="325"/>
      <c r="PU55" s="325"/>
      <c r="PV55" s="325"/>
      <c r="PW55" s="325"/>
      <c r="PX55" s="325"/>
      <c r="PY55" s="325"/>
      <c r="PZ55" s="325"/>
      <c r="QA55" s="325"/>
      <c r="QB55" s="325"/>
      <c r="QC55" s="325"/>
      <c r="QD55" s="325"/>
      <c r="QE55" s="325"/>
      <c r="QF55" s="325"/>
      <c r="QG55" s="325"/>
      <c r="QH55" s="325"/>
      <c r="QI55" s="325"/>
      <c r="QJ55" s="325"/>
      <c r="QK55" s="325"/>
      <c r="QL55" s="325"/>
      <c r="QM55" s="325"/>
      <c r="QN55" s="325"/>
      <c r="QO55" s="325"/>
      <c r="QP55" s="325"/>
      <c r="QQ55" s="325"/>
      <c r="QR55" s="325"/>
      <c r="QS55" s="325"/>
      <c r="QT55" s="325"/>
      <c r="QU55" s="325"/>
      <c r="QV55" s="325"/>
      <c r="QW55" s="325"/>
      <c r="QX55" s="325"/>
      <c r="QY55" s="325"/>
      <c r="QZ55" s="325"/>
      <c r="RA55" s="325"/>
      <c r="RB55" s="325"/>
      <c r="RC55" s="325"/>
      <c r="RD55" s="325"/>
      <c r="RE55" s="325"/>
      <c r="RF55" s="325"/>
      <c r="RG55" s="325"/>
      <c r="RH55" s="325"/>
      <c r="RI55" s="325"/>
      <c r="RJ55" s="325"/>
      <c r="RK55" s="325"/>
      <c r="RL55" s="325"/>
      <c r="RM55" s="325"/>
      <c r="RN55" s="325"/>
      <c r="RO55" s="325"/>
      <c r="RP55" s="325"/>
      <c r="RQ55" s="325"/>
      <c r="RR55" s="325"/>
      <c r="RS55" s="325"/>
      <c r="RT55" s="325"/>
      <c r="RU55" s="325"/>
      <c r="RV55" s="325"/>
      <c r="RW55" s="325"/>
      <c r="RX55" s="325"/>
      <c r="RY55" s="325"/>
      <c r="RZ55" s="325"/>
      <c r="SA55" s="325"/>
      <c r="SB55" s="325"/>
      <c r="SC55" s="325"/>
      <c r="SD55" s="325"/>
      <c r="SE55" s="325"/>
      <c r="SF55" s="325"/>
      <c r="SG55" s="325"/>
      <c r="SH55" s="325"/>
      <c r="SI55" s="325"/>
      <c r="SJ55" s="325"/>
      <c r="SK55" s="325"/>
      <c r="SL55" s="325"/>
      <c r="SM55" s="325"/>
      <c r="SN55" s="325"/>
      <c r="SO55" s="325"/>
      <c r="SP55" s="325"/>
      <c r="SQ55" s="325"/>
      <c r="SR55" s="325"/>
      <c r="SS55" s="325"/>
      <c r="ST55" s="325"/>
      <c r="SU55" s="325"/>
      <c r="SV55" s="325"/>
      <c r="SW55" s="325"/>
      <c r="SX55" s="325"/>
      <c r="SY55" s="325"/>
      <c r="SZ55" s="325"/>
      <c r="TA55" s="325"/>
      <c r="TB55" s="325"/>
      <c r="TC55" s="325"/>
      <c r="TD55" s="325"/>
      <c r="TE55" s="325"/>
      <c r="TF55" s="325"/>
      <c r="TG55" s="325"/>
      <c r="TH55" s="325"/>
      <c r="TI55" s="325"/>
      <c r="TJ55" s="325"/>
      <c r="TK55" s="325"/>
      <c r="TL55" s="325"/>
      <c r="TM55" s="325"/>
      <c r="TN55" s="325"/>
      <c r="TO55" s="325"/>
      <c r="TP55" s="325"/>
      <c r="TQ55" s="325"/>
      <c r="TR55" s="325"/>
      <c r="TS55" s="325"/>
      <c r="TT55" s="325"/>
      <c r="TU55" s="325"/>
      <c r="TV55" s="325"/>
      <c r="TW55" s="325"/>
      <c r="TX55" s="325"/>
      <c r="TY55" s="325"/>
      <c r="TZ55" s="325"/>
      <c r="UA55" s="325"/>
      <c r="UB55" s="325"/>
      <c r="UC55" s="325"/>
      <c r="UD55" s="325"/>
      <c r="UE55" s="325"/>
      <c r="UF55" s="325"/>
      <c r="UG55" s="325"/>
      <c r="UH55" s="325"/>
      <c r="UI55" s="325"/>
      <c r="UJ55" s="325"/>
      <c r="UK55" s="325"/>
      <c r="UL55" s="325"/>
      <c r="UM55" s="325"/>
      <c r="UN55" s="325"/>
      <c r="UO55" s="325"/>
      <c r="UP55" s="325"/>
      <c r="UQ55" s="325"/>
      <c r="UR55" s="325"/>
      <c r="US55" s="325"/>
      <c r="UT55" s="325"/>
      <c r="UU55" s="325"/>
      <c r="UV55" s="325"/>
      <c r="UW55" s="325"/>
      <c r="UX55" s="325"/>
      <c r="UY55" s="325"/>
      <c r="UZ55" s="325"/>
      <c r="VA55" s="325"/>
      <c r="VB55" s="325"/>
      <c r="VC55" s="325"/>
      <c r="VD55" s="325"/>
      <c r="VE55" s="325"/>
      <c r="VF55" s="325"/>
      <c r="VG55" s="325"/>
      <c r="VH55" s="325"/>
      <c r="VI55" s="325"/>
      <c r="VJ55" s="325"/>
      <c r="VK55" s="325"/>
      <c r="VL55" s="325"/>
      <c r="VM55" s="325"/>
      <c r="VN55" s="325"/>
      <c r="VO55" s="325"/>
      <c r="VP55" s="325"/>
      <c r="VQ55" s="325"/>
      <c r="VR55" s="325"/>
      <c r="VS55" s="325"/>
      <c r="VT55" s="325"/>
      <c r="VU55" s="325"/>
      <c r="VV55" s="325"/>
      <c r="VW55" s="325"/>
      <c r="VX55" s="325"/>
      <c r="VY55" s="325"/>
      <c r="VZ55" s="325"/>
      <c r="WA55" s="325"/>
      <c r="WB55" s="325"/>
      <c r="WC55" s="325"/>
      <c r="WD55" s="325"/>
      <c r="WE55" s="325"/>
      <c r="WF55" s="325"/>
      <c r="WG55" s="325"/>
      <c r="WH55" s="325"/>
      <c r="WI55" s="325"/>
      <c r="WJ55" s="325"/>
      <c r="WK55" s="325"/>
      <c r="WL55" s="325"/>
      <c r="WM55" s="325"/>
      <c r="WN55" s="325"/>
      <c r="WO55" s="325"/>
      <c r="WP55" s="325"/>
      <c r="WQ55" s="325"/>
      <c r="WR55" s="325"/>
      <c r="WS55" s="325"/>
      <c r="WT55" s="325"/>
      <c r="WU55" s="325"/>
      <c r="WV55" s="325"/>
      <c r="WW55" s="325"/>
      <c r="WX55" s="325"/>
      <c r="WY55" s="325"/>
      <c r="WZ55" s="325"/>
      <c r="XA55" s="325"/>
      <c r="XB55" s="325"/>
      <c r="XC55" s="325"/>
      <c r="XD55" s="325"/>
      <c r="XE55" s="325"/>
      <c r="XF55" s="325"/>
      <c r="XG55" s="325"/>
      <c r="XH55" s="325"/>
      <c r="XI55" s="325"/>
      <c r="XJ55" s="325"/>
      <c r="XK55" s="325"/>
      <c r="XL55" s="325"/>
      <c r="XM55" s="325"/>
      <c r="XN55" s="325"/>
      <c r="XO55" s="325"/>
      <c r="XP55" s="325"/>
      <c r="XQ55" s="325"/>
      <c r="XR55" s="325"/>
      <c r="XS55" s="325"/>
      <c r="XT55" s="325"/>
      <c r="XU55" s="325"/>
      <c r="XV55" s="325"/>
      <c r="XW55" s="325"/>
      <c r="XX55" s="325"/>
      <c r="XY55" s="325"/>
      <c r="XZ55" s="325"/>
      <c r="YA55" s="325"/>
      <c r="YB55" s="325"/>
      <c r="YC55" s="325"/>
      <c r="YD55" s="325"/>
      <c r="YE55" s="325"/>
      <c r="YF55" s="325"/>
      <c r="YG55" s="325"/>
      <c r="YH55" s="325"/>
      <c r="YI55" s="325"/>
      <c r="YJ55" s="325"/>
      <c r="YK55" s="325"/>
      <c r="YL55" s="325"/>
      <c r="YM55" s="325"/>
      <c r="YN55" s="325"/>
      <c r="YO55" s="325"/>
      <c r="YP55" s="325"/>
      <c r="YQ55" s="325"/>
      <c r="YR55" s="325"/>
      <c r="YS55" s="325"/>
      <c r="YT55" s="325"/>
      <c r="YU55" s="325"/>
      <c r="YV55" s="325"/>
      <c r="YW55" s="325"/>
      <c r="YX55" s="325"/>
      <c r="YY55" s="325"/>
      <c r="YZ55" s="325"/>
      <c r="ZA55" s="325"/>
      <c r="ZB55" s="325"/>
      <c r="ZC55" s="325"/>
      <c r="ZD55" s="325"/>
      <c r="ZE55" s="325"/>
      <c r="ZF55" s="325"/>
      <c r="ZG55" s="325"/>
      <c r="ZH55" s="325"/>
      <c r="ZI55" s="325"/>
      <c r="ZJ55" s="325"/>
      <c r="ZK55" s="325"/>
      <c r="ZL55" s="325"/>
      <c r="ZM55" s="325"/>
      <c r="ZN55" s="325"/>
      <c r="ZO55" s="325"/>
      <c r="ZP55" s="325"/>
      <c r="ZQ55" s="325"/>
      <c r="ZR55" s="325"/>
      <c r="ZS55" s="325"/>
      <c r="ZT55" s="325"/>
      <c r="ZU55" s="325"/>
      <c r="ZV55" s="325"/>
      <c r="ZW55" s="325"/>
      <c r="ZX55" s="325"/>
      <c r="ZY55" s="325"/>
      <c r="ZZ55" s="325"/>
      <c r="AAA55" s="325"/>
      <c r="AAB55" s="325"/>
      <c r="AAC55" s="325"/>
      <c r="AAD55" s="325"/>
      <c r="AAE55" s="325"/>
      <c r="AAF55" s="325"/>
      <c r="AAG55" s="325"/>
      <c r="AAH55" s="325"/>
      <c r="AAI55" s="325"/>
      <c r="AAJ55" s="325"/>
      <c r="AAK55" s="325"/>
      <c r="AAL55" s="325"/>
      <c r="AAM55" s="325"/>
      <c r="AAN55" s="325"/>
      <c r="AAO55" s="325"/>
      <c r="AAP55" s="325"/>
      <c r="AAQ55" s="325"/>
      <c r="AAR55" s="325"/>
      <c r="AAS55" s="325"/>
      <c r="AAT55" s="325"/>
      <c r="AAU55" s="325"/>
      <c r="AAV55" s="325"/>
      <c r="AAW55" s="325"/>
      <c r="AAX55" s="325"/>
      <c r="AAY55" s="325"/>
      <c r="AAZ55" s="325"/>
      <c r="ABA55" s="325"/>
      <c r="ABB55" s="325"/>
      <c r="ABC55" s="325"/>
      <c r="ABD55" s="325"/>
      <c r="ABE55" s="325"/>
      <c r="ABF55" s="325"/>
      <c r="ABG55" s="325"/>
      <c r="ABH55" s="325"/>
      <c r="ABI55" s="325"/>
      <c r="ABJ55" s="325"/>
      <c r="ABK55" s="325"/>
      <c r="ABL55" s="325"/>
      <c r="ABM55" s="325"/>
      <c r="ABN55" s="325"/>
      <c r="ABO55" s="325"/>
      <c r="ABP55" s="325"/>
      <c r="ABQ55" s="325"/>
      <c r="ABR55" s="325"/>
      <c r="ABS55" s="325"/>
      <c r="ABT55" s="325"/>
      <c r="ABU55" s="325"/>
      <c r="ABV55" s="325"/>
      <c r="ABW55" s="325"/>
      <c r="ABX55" s="325"/>
      <c r="ABY55" s="325"/>
      <c r="ABZ55" s="325"/>
      <c r="ACA55" s="325"/>
      <c r="ACB55" s="325"/>
      <c r="ACC55" s="325"/>
      <c r="ACD55" s="325"/>
      <c r="ACE55" s="325"/>
      <c r="ACF55" s="325"/>
      <c r="ACG55" s="325"/>
      <c r="ACH55" s="325"/>
      <c r="ACI55" s="325"/>
      <c r="ACJ55" s="325"/>
      <c r="ACK55" s="325"/>
      <c r="ACL55" s="325"/>
      <c r="ACM55" s="325"/>
      <c r="ACN55" s="325"/>
      <c r="ACO55" s="325"/>
      <c r="ACP55" s="325"/>
      <c r="ACQ55" s="325"/>
      <c r="ACR55" s="325"/>
      <c r="ACS55" s="325"/>
      <c r="ACT55" s="325"/>
      <c r="ACU55" s="325"/>
      <c r="ACV55" s="325"/>
      <c r="ACW55" s="325"/>
      <c r="ACX55" s="325"/>
      <c r="ACY55" s="325"/>
      <c r="ACZ55" s="325"/>
      <c r="ADA55" s="325"/>
      <c r="ADB55" s="325"/>
      <c r="ADC55" s="325"/>
      <c r="ADD55" s="325"/>
      <c r="ADE55" s="325"/>
      <c r="ADF55" s="325"/>
      <c r="ADG55" s="325"/>
      <c r="ADH55" s="325"/>
      <c r="ADI55" s="325"/>
      <c r="ADJ55" s="325"/>
      <c r="ADK55" s="325"/>
      <c r="ADL55" s="325"/>
      <c r="ADM55" s="325"/>
      <c r="ADN55" s="325"/>
      <c r="ADO55" s="325"/>
      <c r="ADP55" s="325"/>
      <c r="ADQ55" s="325"/>
      <c r="ADR55" s="325"/>
      <c r="ADS55" s="325"/>
      <c r="ADT55" s="325"/>
      <c r="ADU55" s="325"/>
      <c r="ADV55" s="325"/>
      <c r="ADW55" s="325"/>
      <c r="ADX55" s="325"/>
      <c r="ADY55" s="325"/>
      <c r="ADZ55" s="325"/>
      <c r="AEA55" s="325"/>
      <c r="AEB55" s="325"/>
      <c r="AEC55" s="325"/>
      <c r="AED55" s="325"/>
      <c r="AEE55" s="325"/>
      <c r="AEF55" s="325"/>
      <c r="AEG55" s="325"/>
      <c r="AEH55" s="325"/>
      <c r="AEI55" s="325"/>
      <c r="AEJ55" s="325"/>
      <c r="AEK55" s="325"/>
      <c r="AEL55" s="325"/>
      <c r="AEM55" s="325"/>
      <c r="AEN55" s="325"/>
      <c r="AEO55" s="325"/>
      <c r="AEP55" s="325"/>
      <c r="AEQ55" s="325"/>
      <c r="AER55" s="325"/>
      <c r="AES55" s="325"/>
      <c r="AET55" s="325"/>
      <c r="AEU55" s="325"/>
      <c r="AEV55" s="325"/>
      <c r="AEW55" s="325"/>
      <c r="AEX55" s="325"/>
      <c r="AEY55" s="325"/>
      <c r="AEZ55" s="325"/>
      <c r="AFA55" s="325"/>
      <c r="AFB55" s="325"/>
      <c r="AFC55" s="325"/>
      <c r="AFD55" s="325"/>
      <c r="AFE55" s="325"/>
      <c r="AFF55" s="325"/>
      <c r="AFG55" s="325"/>
      <c r="AFH55" s="325"/>
      <c r="AFI55" s="325"/>
      <c r="AFJ55" s="325"/>
      <c r="AFK55" s="325"/>
      <c r="AFL55" s="325"/>
      <c r="AFM55" s="325"/>
      <c r="AFN55" s="325"/>
      <c r="AFO55" s="325"/>
      <c r="AFP55" s="325"/>
      <c r="AFQ55" s="325"/>
      <c r="AFR55" s="325"/>
      <c r="AFS55" s="325"/>
      <c r="AFT55" s="325"/>
      <c r="AFU55" s="325"/>
      <c r="AFV55" s="325"/>
      <c r="AFW55" s="325"/>
      <c r="AFX55" s="325"/>
      <c r="AFY55" s="325"/>
      <c r="AFZ55" s="325"/>
      <c r="AGA55" s="325"/>
      <c r="AGB55" s="325"/>
      <c r="AGC55" s="325"/>
      <c r="AGD55" s="325"/>
      <c r="AGE55" s="325"/>
      <c r="AGF55" s="325"/>
      <c r="AGG55" s="325"/>
      <c r="AGH55" s="325"/>
      <c r="AGI55" s="325"/>
      <c r="AGJ55" s="325"/>
      <c r="AGK55" s="325"/>
      <c r="AGL55" s="325"/>
      <c r="AGM55" s="325"/>
      <c r="AGN55" s="325"/>
      <c r="AGO55" s="325"/>
      <c r="AGP55" s="325"/>
      <c r="AGQ55" s="325"/>
      <c r="AGR55" s="325"/>
      <c r="AGS55" s="325"/>
      <c r="AGT55" s="325"/>
      <c r="AGU55" s="325"/>
      <c r="AGV55" s="325"/>
      <c r="AGW55" s="325"/>
      <c r="AGX55" s="325"/>
      <c r="AGY55" s="325"/>
      <c r="AGZ55" s="325"/>
      <c r="AHA55" s="325"/>
      <c r="AHB55" s="325"/>
      <c r="AHC55" s="325"/>
      <c r="AHD55" s="325"/>
      <c r="AHE55" s="325"/>
      <c r="AHF55" s="325"/>
      <c r="AHG55" s="325"/>
      <c r="AHH55" s="325"/>
      <c r="AHI55" s="325"/>
      <c r="AHJ55" s="325"/>
      <c r="AHK55" s="325"/>
      <c r="AHL55" s="325"/>
      <c r="AHM55" s="325"/>
      <c r="AHN55" s="325"/>
      <c r="AHO55" s="325"/>
      <c r="AHP55" s="325"/>
      <c r="AHQ55" s="325"/>
      <c r="AHR55" s="325"/>
      <c r="AHS55" s="325"/>
      <c r="AHT55" s="325"/>
      <c r="AHU55" s="325"/>
      <c r="AHV55" s="325"/>
      <c r="AHW55" s="325"/>
      <c r="AHX55" s="325"/>
      <c r="AHY55" s="325"/>
      <c r="AHZ55" s="325"/>
      <c r="AIA55" s="325"/>
      <c r="AIB55" s="325"/>
      <c r="AIC55" s="325"/>
      <c r="AID55" s="325"/>
      <c r="AIE55" s="325"/>
      <c r="AIF55" s="325"/>
      <c r="AIG55" s="325"/>
      <c r="AIH55" s="325"/>
      <c r="AII55" s="325"/>
      <c r="AIJ55" s="325"/>
      <c r="AIK55" s="325"/>
      <c r="AIL55" s="325"/>
      <c r="AIM55" s="325"/>
      <c r="AIN55" s="325"/>
      <c r="AIO55" s="325"/>
      <c r="AIP55" s="325"/>
      <c r="AIQ55" s="325"/>
      <c r="AIR55" s="325"/>
      <c r="AIS55" s="325"/>
      <c r="AIT55" s="325"/>
      <c r="AIU55" s="325"/>
      <c r="AIV55" s="325"/>
      <c r="AIW55" s="325"/>
      <c r="AIX55" s="325"/>
      <c r="AIY55" s="325"/>
      <c r="AIZ55" s="325"/>
      <c r="AJA55" s="325"/>
      <c r="AJB55" s="325"/>
      <c r="AJC55" s="325"/>
      <c r="AJD55" s="325"/>
      <c r="AJE55" s="325"/>
      <c r="AJF55" s="325"/>
      <c r="AJG55" s="325"/>
      <c r="AJH55" s="325"/>
      <c r="AJI55" s="325"/>
      <c r="AJJ55" s="325"/>
      <c r="AJK55" s="325"/>
      <c r="AJL55" s="325"/>
      <c r="AJM55" s="325"/>
      <c r="AJN55" s="325"/>
      <c r="AJO55" s="325"/>
      <c r="AJP55" s="325"/>
      <c r="AJQ55" s="325"/>
      <c r="AJR55" s="325"/>
      <c r="AJS55" s="325"/>
      <c r="AJT55" s="325"/>
      <c r="AJU55" s="325"/>
      <c r="AJV55" s="325"/>
      <c r="AJW55" s="325"/>
      <c r="AJX55" s="325"/>
      <c r="AJY55" s="325"/>
      <c r="AJZ55" s="325"/>
      <c r="AKA55" s="325"/>
      <c r="AKB55" s="325"/>
      <c r="AKC55" s="325"/>
      <c r="AKD55" s="325"/>
      <c r="AKE55" s="325"/>
      <c r="AKF55" s="325"/>
      <c r="AKG55" s="325"/>
      <c r="AKH55" s="325"/>
      <c r="AKI55" s="325"/>
      <c r="AKJ55" s="325"/>
      <c r="AKK55" s="325"/>
      <c r="AKL55" s="325"/>
      <c r="AKM55" s="325"/>
      <c r="AKN55" s="325"/>
      <c r="AKO55" s="325"/>
      <c r="AKP55" s="325"/>
      <c r="AKQ55" s="325"/>
      <c r="AKR55" s="325"/>
      <c r="AKS55" s="325"/>
      <c r="AKT55" s="325"/>
      <c r="AKU55" s="325"/>
      <c r="AKV55" s="325"/>
      <c r="AKW55" s="325"/>
      <c r="AKX55" s="325"/>
      <c r="AKY55" s="325"/>
      <c r="AKZ55" s="325"/>
      <c r="ALA55" s="325"/>
      <c r="ALB55" s="325"/>
      <c r="ALC55" s="325"/>
      <c r="ALD55" s="325"/>
      <c r="ALE55" s="325"/>
      <c r="ALF55" s="325"/>
      <c r="ALG55" s="325"/>
      <c r="ALH55" s="325"/>
      <c r="ALI55" s="325"/>
      <c r="ALJ55" s="325"/>
      <c r="ALK55" s="325"/>
      <c r="ALL55" s="325"/>
      <c r="ALM55" s="325"/>
      <c r="ALN55" s="325"/>
      <c r="ALO55" s="325"/>
      <c r="ALP55" s="325"/>
      <c r="ALQ55" s="325"/>
      <c r="ALR55" s="325"/>
      <c r="ALS55" s="325"/>
      <c r="ALT55" s="325"/>
      <c r="ALU55" s="325"/>
      <c r="ALV55" s="325"/>
      <c r="ALW55" s="325"/>
      <c r="ALX55" s="325"/>
      <c r="ALY55" s="325"/>
      <c r="ALZ55" s="325"/>
      <c r="AMA55" s="325"/>
      <c r="AMB55" s="325"/>
      <c r="AMC55" s="325"/>
    </row>
    <row r="56" spans="3:1017" s="75" customFormat="1">
      <c r="C56" s="130"/>
      <c r="D56" s="130"/>
      <c r="CN56" s="225"/>
      <c r="CQ56" s="226"/>
      <c r="LD56" s="213"/>
      <c r="LH56" s="286"/>
      <c r="LI56" s="287"/>
      <c r="LJ56" s="124"/>
      <c r="LK56" s="124"/>
      <c r="LL56" s="124"/>
      <c r="LM56" s="124"/>
      <c r="LN56" s="124"/>
      <c r="LO56" s="124"/>
      <c r="LP56" s="124"/>
      <c r="LQ56" s="124"/>
      <c r="LR56" s="124"/>
      <c r="NE56" s="330"/>
      <c r="NF56" s="325"/>
      <c r="NG56" s="325"/>
      <c r="NH56" s="325"/>
      <c r="NI56" s="325"/>
      <c r="NJ56" s="325"/>
      <c r="NK56" s="325"/>
      <c r="NL56" s="325"/>
      <c r="NM56" s="325"/>
      <c r="NN56" s="325"/>
      <c r="NO56" s="325"/>
      <c r="NP56" s="325"/>
      <c r="NQ56" s="325"/>
      <c r="NR56" s="325"/>
      <c r="NS56" s="325"/>
      <c r="NT56" s="325"/>
      <c r="NU56" s="325"/>
      <c r="NV56" s="325"/>
      <c r="NW56" s="325"/>
      <c r="NX56" s="325"/>
      <c r="NY56" s="325"/>
      <c r="NZ56" s="325"/>
      <c r="OA56" s="325"/>
      <c r="OB56" s="325"/>
      <c r="OC56" s="325"/>
      <c r="OD56" s="325"/>
      <c r="OE56" s="325"/>
      <c r="OF56" s="325"/>
      <c r="OG56" s="325"/>
      <c r="OH56" s="325"/>
      <c r="OI56" s="325"/>
      <c r="OJ56" s="325"/>
      <c r="OK56" s="325"/>
      <c r="OL56" s="325"/>
      <c r="OM56" s="325"/>
      <c r="ON56" s="325"/>
      <c r="OO56" s="325"/>
      <c r="OP56" s="325"/>
      <c r="OQ56" s="325"/>
      <c r="OR56" s="325"/>
      <c r="OS56" s="325"/>
      <c r="OT56" s="325"/>
      <c r="OU56" s="325"/>
      <c r="OV56" s="325"/>
      <c r="OW56" s="325"/>
      <c r="OX56" s="325"/>
      <c r="OY56" s="325"/>
      <c r="OZ56" s="325"/>
      <c r="PA56" s="325"/>
      <c r="PB56" s="325"/>
      <c r="PC56" s="325"/>
      <c r="PD56" s="325"/>
      <c r="PE56" s="325"/>
      <c r="PF56" s="325"/>
      <c r="PG56" s="325"/>
      <c r="PH56" s="325"/>
      <c r="PI56" s="325"/>
      <c r="PJ56" s="325"/>
      <c r="PK56" s="325"/>
      <c r="PL56" s="325"/>
      <c r="PM56" s="325"/>
      <c r="PN56" s="325"/>
      <c r="PO56" s="325"/>
      <c r="PP56" s="325"/>
      <c r="PQ56" s="325"/>
      <c r="PR56" s="325"/>
      <c r="PS56" s="325"/>
      <c r="PT56" s="325"/>
      <c r="PU56" s="325"/>
      <c r="PV56" s="325"/>
      <c r="PW56" s="325"/>
      <c r="PX56" s="325"/>
      <c r="PY56" s="325"/>
      <c r="PZ56" s="325"/>
      <c r="QA56" s="325"/>
      <c r="QB56" s="325"/>
      <c r="QC56" s="325"/>
      <c r="QD56" s="325"/>
      <c r="QE56" s="325"/>
      <c r="QF56" s="325"/>
      <c r="QG56" s="325"/>
      <c r="QH56" s="325"/>
      <c r="QI56" s="325"/>
      <c r="QJ56" s="325"/>
      <c r="QK56" s="325"/>
      <c r="QL56" s="325"/>
      <c r="QM56" s="325"/>
      <c r="QN56" s="325"/>
      <c r="QO56" s="325"/>
      <c r="QP56" s="325"/>
      <c r="QQ56" s="325"/>
      <c r="QR56" s="325"/>
      <c r="QS56" s="325"/>
      <c r="QT56" s="325"/>
      <c r="QU56" s="325"/>
      <c r="QV56" s="325"/>
      <c r="QW56" s="325"/>
      <c r="QX56" s="325"/>
      <c r="QY56" s="325"/>
      <c r="QZ56" s="325"/>
      <c r="RA56" s="325"/>
      <c r="RB56" s="325"/>
      <c r="RC56" s="325"/>
      <c r="RD56" s="325"/>
      <c r="RE56" s="325"/>
      <c r="RF56" s="325"/>
      <c r="RG56" s="325"/>
      <c r="RH56" s="325"/>
      <c r="RI56" s="325"/>
      <c r="RJ56" s="325"/>
      <c r="RK56" s="325"/>
      <c r="RL56" s="325"/>
      <c r="RM56" s="325"/>
      <c r="RN56" s="325"/>
      <c r="RO56" s="325"/>
      <c r="RP56" s="325"/>
      <c r="RQ56" s="325"/>
      <c r="RR56" s="325"/>
      <c r="RS56" s="325"/>
      <c r="RT56" s="325"/>
      <c r="RU56" s="325"/>
      <c r="RV56" s="325"/>
      <c r="RW56" s="325"/>
      <c r="RX56" s="325"/>
      <c r="RY56" s="325"/>
      <c r="RZ56" s="325"/>
      <c r="SA56" s="325"/>
      <c r="SB56" s="325"/>
      <c r="SC56" s="325"/>
      <c r="SD56" s="325"/>
      <c r="SE56" s="325"/>
      <c r="SF56" s="325"/>
      <c r="SG56" s="325"/>
      <c r="SH56" s="325"/>
      <c r="SI56" s="325"/>
      <c r="SJ56" s="325"/>
      <c r="SK56" s="325"/>
      <c r="SL56" s="325"/>
      <c r="SM56" s="325"/>
      <c r="SN56" s="325"/>
      <c r="SO56" s="325"/>
      <c r="SP56" s="325"/>
      <c r="SQ56" s="325"/>
      <c r="SR56" s="325"/>
      <c r="SS56" s="325"/>
      <c r="ST56" s="325"/>
      <c r="SU56" s="325"/>
      <c r="SV56" s="325"/>
      <c r="SW56" s="325"/>
      <c r="SX56" s="325"/>
      <c r="SY56" s="325"/>
      <c r="SZ56" s="325"/>
      <c r="TA56" s="325"/>
      <c r="TB56" s="325"/>
      <c r="TC56" s="325"/>
      <c r="TD56" s="325"/>
      <c r="TE56" s="325"/>
      <c r="TF56" s="325"/>
      <c r="TG56" s="325"/>
      <c r="TH56" s="325"/>
      <c r="TI56" s="325"/>
      <c r="TJ56" s="325"/>
      <c r="TK56" s="325"/>
      <c r="TL56" s="325"/>
      <c r="TM56" s="325"/>
      <c r="TN56" s="325"/>
      <c r="TO56" s="325"/>
      <c r="TP56" s="325"/>
      <c r="TQ56" s="325"/>
      <c r="TR56" s="325"/>
      <c r="TS56" s="325"/>
      <c r="TT56" s="325"/>
      <c r="TU56" s="325"/>
      <c r="TV56" s="325"/>
      <c r="TW56" s="325"/>
      <c r="TX56" s="325"/>
      <c r="TY56" s="325"/>
      <c r="TZ56" s="325"/>
      <c r="UA56" s="325"/>
      <c r="UB56" s="325"/>
      <c r="UC56" s="325"/>
      <c r="UD56" s="325"/>
      <c r="UE56" s="325"/>
      <c r="UF56" s="325"/>
      <c r="UG56" s="325"/>
      <c r="UH56" s="325"/>
      <c r="UI56" s="325"/>
      <c r="UJ56" s="325"/>
      <c r="UK56" s="325"/>
      <c r="UL56" s="325"/>
      <c r="UM56" s="325"/>
      <c r="UN56" s="325"/>
      <c r="UO56" s="325"/>
      <c r="UP56" s="325"/>
      <c r="UQ56" s="325"/>
      <c r="UR56" s="325"/>
      <c r="US56" s="325"/>
      <c r="UT56" s="325"/>
      <c r="UU56" s="325"/>
      <c r="UV56" s="325"/>
      <c r="UW56" s="325"/>
      <c r="UX56" s="325"/>
      <c r="UY56" s="325"/>
      <c r="UZ56" s="325"/>
      <c r="VA56" s="325"/>
      <c r="VB56" s="325"/>
      <c r="VC56" s="325"/>
      <c r="VD56" s="325"/>
      <c r="VE56" s="325"/>
      <c r="VF56" s="325"/>
      <c r="VG56" s="325"/>
      <c r="VH56" s="325"/>
      <c r="VI56" s="325"/>
      <c r="VJ56" s="325"/>
      <c r="VK56" s="325"/>
      <c r="VL56" s="325"/>
      <c r="VM56" s="325"/>
      <c r="VN56" s="325"/>
      <c r="VO56" s="325"/>
      <c r="VP56" s="325"/>
      <c r="VQ56" s="325"/>
      <c r="VR56" s="325"/>
      <c r="VS56" s="325"/>
      <c r="VT56" s="325"/>
      <c r="VU56" s="325"/>
      <c r="VV56" s="325"/>
      <c r="VW56" s="325"/>
      <c r="VX56" s="325"/>
      <c r="VY56" s="325"/>
      <c r="VZ56" s="325"/>
      <c r="WA56" s="325"/>
      <c r="WB56" s="325"/>
      <c r="WC56" s="325"/>
      <c r="WD56" s="325"/>
      <c r="WE56" s="325"/>
      <c r="WF56" s="325"/>
      <c r="WG56" s="325"/>
      <c r="WH56" s="325"/>
      <c r="WI56" s="325"/>
      <c r="WJ56" s="325"/>
      <c r="WK56" s="325"/>
      <c r="WL56" s="325"/>
      <c r="WM56" s="325"/>
      <c r="WN56" s="325"/>
      <c r="WO56" s="325"/>
      <c r="WP56" s="325"/>
      <c r="WQ56" s="325"/>
      <c r="WR56" s="325"/>
      <c r="WS56" s="325"/>
      <c r="WT56" s="325"/>
      <c r="WU56" s="325"/>
      <c r="WV56" s="325"/>
      <c r="WW56" s="325"/>
      <c r="WX56" s="325"/>
      <c r="WY56" s="325"/>
      <c r="WZ56" s="325"/>
      <c r="XA56" s="325"/>
      <c r="XB56" s="325"/>
      <c r="XC56" s="325"/>
      <c r="XD56" s="325"/>
      <c r="XE56" s="325"/>
      <c r="XF56" s="325"/>
      <c r="XG56" s="325"/>
      <c r="XH56" s="325"/>
      <c r="XI56" s="325"/>
      <c r="XJ56" s="325"/>
      <c r="XK56" s="325"/>
      <c r="XL56" s="325"/>
      <c r="XM56" s="325"/>
      <c r="XN56" s="325"/>
      <c r="XO56" s="325"/>
      <c r="XP56" s="325"/>
      <c r="XQ56" s="325"/>
      <c r="XR56" s="325"/>
      <c r="XS56" s="325"/>
      <c r="XT56" s="325"/>
      <c r="XU56" s="325"/>
      <c r="XV56" s="325"/>
      <c r="XW56" s="325"/>
      <c r="XX56" s="325"/>
      <c r="XY56" s="325"/>
      <c r="XZ56" s="325"/>
      <c r="YA56" s="325"/>
      <c r="YB56" s="325"/>
      <c r="YC56" s="325"/>
      <c r="YD56" s="325"/>
      <c r="YE56" s="325"/>
      <c r="YF56" s="325"/>
      <c r="YG56" s="325"/>
      <c r="YH56" s="325"/>
      <c r="YI56" s="325"/>
      <c r="YJ56" s="325"/>
      <c r="YK56" s="325"/>
      <c r="YL56" s="325"/>
      <c r="YM56" s="325"/>
      <c r="YN56" s="325"/>
      <c r="YO56" s="325"/>
      <c r="YP56" s="325"/>
      <c r="YQ56" s="325"/>
      <c r="YR56" s="325"/>
      <c r="YS56" s="325"/>
      <c r="YT56" s="325"/>
      <c r="YU56" s="325"/>
      <c r="YV56" s="325"/>
      <c r="YW56" s="325"/>
      <c r="YX56" s="325"/>
      <c r="YY56" s="325"/>
      <c r="YZ56" s="325"/>
      <c r="ZA56" s="325"/>
      <c r="ZB56" s="325"/>
      <c r="ZC56" s="325"/>
      <c r="ZD56" s="325"/>
      <c r="ZE56" s="325"/>
      <c r="ZF56" s="325"/>
      <c r="ZG56" s="325"/>
      <c r="ZH56" s="325"/>
      <c r="ZI56" s="325"/>
      <c r="ZJ56" s="325"/>
      <c r="ZK56" s="325"/>
      <c r="ZL56" s="325"/>
      <c r="ZM56" s="325"/>
      <c r="ZN56" s="325"/>
      <c r="ZO56" s="325"/>
      <c r="ZP56" s="325"/>
      <c r="ZQ56" s="325"/>
      <c r="ZR56" s="325"/>
      <c r="ZS56" s="325"/>
      <c r="ZT56" s="325"/>
      <c r="ZU56" s="325"/>
      <c r="ZV56" s="325"/>
      <c r="ZW56" s="325"/>
      <c r="ZX56" s="325"/>
      <c r="ZY56" s="325"/>
      <c r="ZZ56" s="325"/>
      <c r="AAA56" s="325"/>
      <c r="AAB56" s="325"/>
      <c r="AAC56" s="325"/>
      <c r="AAD56" s="325"/>
      <c r="AAE56" s="325"/>
      <c r="AAF56" s="325"/>
      <c r="AAG56" s="325"/>
      <c r="AAH56" s="325"/>
      <c r="AAI56" s="325"/>
      <c r="AAJ56" s="325"/>
      <c r="AAK56" s="325"/>
      <c r="AAL56" s="325"/>
      <c r="AAM56" s="325"/>
      <c r="AAN56" s="325"/>
      <c r="AAO56" s="325"/>
      <c r="AAP56" s="325"/>
      <c r="AAQ56" s="325"/>
      <c r="AAR56" s="325"/>
      <c r="AAS56" s="325"/>
      <c r="AAT56" s="325"/>
      <c r="AAU56" s="325"/>
      <c r="AAV56" s="325"/>
      <c r="AAW56" s="325"/>
      <c r="AAX56" s="325"/>
      <c r="AAY56" s="325"/>
      <c r="AAZ56" s="325"/>
      <c r="ABA56" s="325"/>
      <c r="ABB56" s="325"/>
      <c r="ABC56" s="325"/>
      <c r="ABD56" s="325"/>
      <c r="ABE56" s="325"/>
      <c r="ABF56" s="325"/>
      <c r="ABG56" s="325"/>
      <c r="ABH56" s="325"/>
      <c r="ABI56" s="325"/>
      <c r="ABJ56" s="325"/>
      <c r="ABK56" s="325"/>
      <c r="ABL56" s="325"/>
      <c r="ABM56" s="325"/>
      <c r="ABN56" s="325"/>
      <c r="ABO56" s="325"/>
      <c r="ABP56" s="325"/>
      <c r="ABQ56" s="325"/>
      <c r="ABR56" s="325"/>
      <c r="ABS56" s="325"/>
      <c r="ABT56" s="325"/>
      <c r="ABU56" s="325"/>
      <c r="ABV56" s="325"/>
      <c r="ABW56" s="325"/>
      <c r="ABX56" s="325"/>
      <c r="ABY56" s="325"/>
      <c r="ABZ56" s="325"/>
      <c r="ACA56" s="325"/>
      <c r="ACB56" s="325"/>
      <c r="ACC56" s="325"/>
      <c r="ACD56" s="325"/>
      <c r="ACE56" s="325"/>
      <c r="ACF56" s="325"/>
      <c r="ACG56" s="325"/>
      <c r="ACH56" s="325"/>
      <c r="ACI56" s="325"/>
      <c r="ACJ56" s="325"/>
      <c r="ACK56" s="325"/>
      <c r="ACL56" s="325"/>
      <c r="ACM56" s="325"/>
      <c r="ACN56" s="325"/>
      <c r="ACO56" s="325"/>
      <c r="ACP56" s="325"/>
      <c r="ACQ56" s="325"/>
      <c r="ACR56" s="325"/>
      <c r="ACS56" s="325"/>
      <c r="ACT56" s="325"/>
      <c r="ACU56" s="325"/>
      <c r="ACV56" s="325"/>
      <c r="ACW56" s="325"/>
      <c r="ACX56" s="325"/>
      <c r="ACY56" s="325"/>
      <c r="ACZ56" s="325"/>
      <c r="ADA56" s="325"/>
      <c r="ADB56" s="325"/>
      <c r="ADC56" s="325"/>
      <c r="ADD56" s="325"/>
      <c r="ADE56" s="325"/>
      <c r="ADF56" s="325"/>
      <c r="ADG56" s="325"/>
      <c r="ADH56" s="325"/>
      <c r="ADI56" s="325"/>
      <c r="ADJ56" s="325"/>
      <c r="ADK56" s="325"/>
      <c r="ADL56" s="325"/>
      <c r="ADM56" s="325"/>
      <c r="ADN56" s="325"/>
      <c r="ADO56" s="325"/>
      <c r="ADP56" s="325"/>
      <c r="ADQ56" s="325"/>
      <c r="ADR56" s="325"/>
      <c r="ADS56" s="325"/>
      <c r="ADT56" s="325"/>
      <c r="ADU56" s="325"/>
      <c r="ADV56" s="325"/>
      <c r="ADW56" s="325"/>
      <c r="ADX56" s="325"/>
      <c r="ADY56" s="325"/>
      <c r="ADZ56" s="325"/>
      <c r="AEA56" s="325"/>
      <c r="AEB56" s="325"/>
      <c r="AEC56" s="325"/>
      <c r="AED56" s="325"/>
      <c r="AEE56" s="325"/>
      <c r="AEF56" s="325"/>
      <c r="AEG56" s="325"/>
      <c r="AEH56" s="325"/>
      <c r="AEI56" s="325"/>
      <c r="AEJ56" s="325"/>
      <c r="AEK56" s="325"/>
      <c r="AEL56" s="325"/>
      <c r="AEM56" s="325"/>
      <c r="AEN56" s="325"/>
      <c r="AEO56" s="325"/>
      <c r="AEP56" s="325"/>
      <c r="AEQ56" s="325"/>
      <c r="AER56" s="325"/>
      <c r="AES56" s="325"/>
      <c r="AET56" s="325"/>
      <c r="AEU56" s="325"/>
      <c r="AEV56" s="325"/>
      <c r="AEW56" s="325"/>
      <c r="AEX56" s="325"/>
      <c r="AEY56" s="325"/>
      <c r="AEZ56" s="325"/>
      <c r="AFA56" s="325"/>
      <c r="AFB56" s="325"/>
      <c r="AFC56" s="325"/>
      <c r="AFD56" s="325"/>
      <c r="AFE56" s="325"/>
      <c r="AFF56" s="325"/>
      <c r="AFG56" s="325"/>
      <c r="AFH56" s="325"/>
      <c r="AFI56" s="325"/>
      <c r="AFJ56" s="325"/>
      <c r="AFK56" s="325"/>
      <c r="AFL56" s="325"/>
      <c r="AFM56" s="325"/>
      <c r="AFN56" s="325"/>
      <c r="AFO56" s="325"/>
      <c r="AFP56" s="325"/>
      <c r="AFQ56" s="325"/>
      <c r="AFR56" s="325"/>
      <c r="AFS56" s="325"/>
      <c r="AFT56" s="325"/>
      <c r="AFU56" s="325"/>
      <c r="AFV56" s="325"/>
      <c r="AFW56" s="325"/>
      <c r="AFX56" s="325"/>
      <c r="AFY56" s="325"/>
      <c r="AFZ56" s="325"/>
      <c r="AGA56" s="325"/>
      <c r="AGB56" s="325"/>
      <c r="AGC56" s="325"/>
      <c r="AGD56" s="325"/>
      <c r="AGE56" s="325"/>
      <c r="AGF56" s="325"/>
      <c r="AGG56" s="325"/>
      <c r="AGH56" s="325"/>
      <c r="AGI56" s="325"/>
      <c r="AGJ56" s="325"/>
      <c r="AGK56" s="325"/>
      <c r="AGL56" s="325"/>
      <c r="AGM56" s="325"/>
      <c r="AGN56" s="325"/>
      <c r="AGO56" s="325"/>
      <c r="AGP56" s="325"/>
      <c r="AGQ56" s="325"/>
      <c r="AGR56" s="325"/>
      <c r="AGS56" s="325"/>
      <c r="AGT56" s="325"/>
      <c r="AGU56" s="325"/>
      <c r="AGV56" s="325"/>
      <c r="AGW56" s="325"/>
      <c r="AGX56" s="325"/>
      <c r="AGY56" s="325"/>
      <c r="AGZ56" s="325"/>
      <c r="AHA56" s="325"/>
      <c r="AHB56" s="325"/>
      <c r="AHC56" s="325"/>
      <c r="AHD56" s="325"/>
      <c r="AHE56" s="325"/>
      <c r="AHF56" s="325"/>
      <c r="AHG56" s="325"/>
      <c r="AHH56" s="325"/>
      <c r="AHI56" s="325"/>
      <c r="AHJ56" s="325"/>
      <c r="AHK56" s="325"/>
      <c r="AHL56" s="325"/>
      <c r="AHM56" s="325"/>
      <c r="AHN56" s="325"/>
      <c r="AHO56" s="325"/>
      <c r="AHP56" s="325"/>
      <c r="AHQ56" s="325"/>
      <c r="AHR56" s="325"/>
      <c r="AHS56" s="325"/>
      <c r="AHT56" s="325"/>
      <c r="AHU56" s="325"/>
      <c r="AHV56" s="325"/>
      <c r="AHW56" s="325"/>
      <c r="AHX56" s="325"/>
      <c r="AHY56" s="325"/>
      <c r="AHZ56" s="325"/>
      <c r="AIA56" s="325"/>
      <c r="AIB56" s="325"/>
      <c r="AIC56" s="325"/>
      <c r="AID56" s="325"/>
      <c r="AIE56" s="325"/>
      <c r="AIF56" s="325"/>
      <c r="AIG56" s="325"/>
      <c r="AIH56" s="325"/>
      <c r="AII56" s="325"/>
      <c r="AIJ56" s="325"/>
      <c r="AIK56" s="325"/>
      <c r="AIL56" s="325"/>
      <c r="AIM56" s="325"/>
      <c r="AIN56" s="325"/>
      <c r="AIO56" s="325"/>
      <c r="AIP56" s="325"/>
      <c r="AIQ56" s="325"/>
      <c r="AIR56" s="325"/>
      <c r="AIS56" s="325"/>
      <c r="AIT56" s="325"/>
      <c r="AIU56" s="325"/>
      <c r="AIV56" s="325"/>
      <c r="AIW56" s="325"/>
      <c r="AIX56" s="325"/>
      <c r="AIY56" s="325"/>
      <c r="AIZ56" s="325"/>
      <c r="AJA56" s="325"/>
      <c r="AJB56" s="325"/>
      <c r="AJC56" s="325"/>
      <c r="AJD56" s="325"/>
      <c r="AJE56" s="325"/>
      <c r="AJF56" s="325"/>
      <c r="AJG56" s="325"/>
      <c r="AJH56" s="325"/>
      <c r="AJI56" s="325"/>
      <c r="AJJ56" s="325"/>
      <c r="AJK56" s="325"/>
      <c r="AJL56" s="325"/>
      <c r="AJM56" s="325"/>
      <c r="AJN56" s="325"/>
      <c r="AJO56" s="325"/>
      <c r="AJP56" s="325"/>
      <c r="AJQ56" s="325"/>
      <c r="AJR56" s="325"/>
      <c r="AJS56" s="325"/>
      <c r="AJT56" s="325"/>
      <c r="AJU56" s="325"/>
      <c r="AJV56" s="325"/>
      <c r="AJW56" s="325"/>
      <c r="AJX56" s="325"/>
      <c r="AJY56" s="325"/>
      <c r="AJZ56" s="325"/>
      <c r="AKA56" s="325"/>
      <c r="AKB56" s="325"/>
      <c r="AKC56" s="325"/>
      <c r="AKD56" s="325"/>
      <c r="AKE56" s="325"/>
      <c r="AKF56" s="325"/>
      <c r="AKG56" s="325"/>
      <c r="AKH56" s="325"/>
      <c r="AKI56" s="325"/>
      <c r="AKJ56" s="325"/>
      <c r="AKK56" s="325"/>
      <c r="AKL56" s="325"/>
      <c r="AKM56" s="325"/>
      <c r="AKN56" s="325"/>
      <c r="AKO56" s="325"/>
      <c r="AKP56" s="325"/>
      <c r="AKQ56" s="325"/>
      <c r="AKR56" s="325"/>
      <c r="AKS56" s="325"/>
      <c r="AKT56" s="325"/>
      <c r="AKU56" s="325"/>
      <c r="AKV56" s="325"/>
      <c r="AKW56" s="325"/>
      <c r="AKX56" s="325"/>
      <c r="AKY56" s="325"/>
      <c r="AKZ56" s="325"/>
      <c r="ALA56" s="325"/>
      <c r="ALB56" s="325"/>
      <c r="ALC56" s="325"/>
      <c r="ALD56" s="325"/>
      <c r="ALE56" s="325"/>
      <c r="ALF56" s="325"/>
      <c r="ALG56" s="325"/>
      <c r="ALH56" s="325"/>
      <c r="ALI56" s="325"/>
      <c r="ALJ56" s="325"/>
      <c r="ALK56" s="325"/>
      <c r="ALL56" s="325"/>
      <c r="ALM56" s="325"/>
      <c r="ALN56" s="325"/>
      <c r="ALO56" s="325"/>
      <c r="ALP56" s="325"/>
      <c r="ALQ56" s="325"/>
      <c r="ALR56" s="325"/>
      <c r="ALS56" s="325"/>
      <c r="ALT56" s="325"/>
      <c r="ALU56" s="325"/>
      <c r="ALV56" s="325"/>
      <c r="ALW56" s="325"/>
      <c r="ALX56" s="325"/>
      <c r="ALY56" s="325"/>
      <c r="ALZ56" s="325"/>
      <c r="AMA56" s="325"/>
      <c r="AMB56" s="325"/>
      <c r="AMC56" s="325"/>
    </row>
    <row r="57" spans="3:1017" s="75" customFormat="1">
      <c r="C57" s="130"/>
      <c r="D57" s="130"/>
      <c r="CN57" s="225"/>
      <c r="CQ57" s="226"/>
      <c r="LD57" s="213"/>
      <c r="LH57" s="286"/>
      <c r="LI57" s="287"/>
      <c r="LJ57" s="124"/>
      <c r="LK57" s="124"/>
      <c r="LL57" s="124"/>
      <c r="LM57" s="124"/>
      <c r="LN57" s="124"/>
      <c r="LO57" s="124"/>
      <c r="LP57" s="124"/>
      <c r="LQ57" s="124"/>
      <c r="LR57" s="124"/>
      <c r="NE57" s="330"/>
      <c r="NF57" s="325"/>
      <c r="NG57" s="325"/>
      <c r="NH57" s="325"/>
      <c r="NI57" s="325"/>
      <c r="NJ57" s="325"/>
      <c r="NK57" s="325"/>
      <c r="NL57" s="325"/>
      <c r="NM57" s="325"/>
      <c r="NN57" s="325"/>
      <c r="NO57" s="325"/>
      <c r="NP57" s="325"/>
      <c r="NQ57" s="325"/>
      <c r="NR57" s="325"/>
      <c r="NS57" s="325"/>
      <c r="NT57" s="325"/>
      <c r="NU57" s="325"/>
      <c r="NV57" s="325"/>
      <c r="NW57" s="325"/>
      <c r="NX57" s="325"/>
      <c r="NY57" s="325"/>
      <c r="NZ57" s="325"/>
      <c r="OA57" s="325"/>
      <c r="OB57" s="325"/>
      <c r="OC57" s="325"/>
      <c r="OD57" s="325"/>
      <c r="OE57" s="325"/>
      <c r="OF57" s="325"/>
      <c r="OG57" s="325"/>
      <c r="OH57" s="325"/>
      <c r="OI57" s="325"/>
      <c r="OJ57" s="325"/>
      <c r="OK57" s="325"/>
      <c r="OL57" s="325"/>
      <c r="OM57" s="325"/>
      <c r="ON57" s="325"/>
      <c r="OO57" s="325"/>
      <c r="OP57" s="325"/>
      <c r="OQ57" s="325"/>
      <c r="OR57" s="325"/>
      <c r="OS57" s="325"/>
      <c r="OT57" s="325"/>
      <c r="OU57" s="325"/>
      <c r="OV57" s="325"/>
      <c r="OW57" s="325"/>
      <c r="OX57" s="325"/>
      <c r="OY57" s="325"/>
      <c r="OZ57" s="325"/>
      <c r="PA57" s="325"/>
      <c r="PB57" s="325"/>
      <c r="PC57" s="325"/>
      <c r="PD57" s="325"/>
      <c r="PE57" s="325"/>
      <c r="PF57" s="325"/>
      <c r="PG57" s="325"/>
      <c r="PH57" s="325"/>
      <c r="PI57" s="325"/>
      <c r="PJ57" s="325"/>
      <c r="PK57" s="325"/>
      <c r="PL57" s="325"/>
      <c r="PM57" s="325"/>
      <c r="PN57" s="325"/>
      <c r="PO57" s="325"/>
      <c r="PP57" s="325"/>
      <c r="PQ57" s="325"/>
      <c r="PR57" s="325"/>
      <c r="PS57" s="325"/>
      <c r="PT57" s="325"/>
      <c r="PU57" s="325"/>
      <c r="PV57" s="325"/>
      <c r="PW57" s="325"/>
      <c r="PX57" s="325"/>
      <c r="PY57" s="325"/>
      <c r="PZ57" s="325"/>
      <c r="QA57" s="325"/>
      <c r="QB57" s="325"/>
      <c r="QC57" s="325"/>
      <c r="QD57" s="325"/>
      <c r="QE57" s="325"/>
      <c r="QF57" s="325"/>
      <c r="QG57" s="325"/>
      <c r="QH57" s="325"/>
      <c r="QI57" s="325"/>
      <c r="QJ57" s="325"/>
      <c r="QK57" s="325"/>
      <c r="QL57" s="325"/>
      <c r="QM57" s="325"/>
      <c r="QN57" s="325"/>
      <c r="QO57" s="325"/>
      <c r="QP57" s="325"/>
      <c r="QQ57" s="325"/>
      <c r="QR57" s="325"/>
      <c r="QS57" s="325"/>
      <c r="QT57" s="325"/>
      <c r="QU57" s="325"/>
      <c r="QV57" s="325"/>
      <c r="QW57" s="325"/>
      <c r="QX57" s="325"/>
      <c r="QY57" s="325"/>
      <c r="QZ57" s="325"/>
      <c r="RA57" s="325"/>
      <c r="RB57" s="325"/>
      <c r="RC57" s="325"/>
      <c r="RD57" s="325"/>
      <c r="RE57" s="325"/>
      <c r="RF57" s="325"/>
      <c r="RG57" s="325"/>
      <c r="RH57" s="325"/>
      <c r="RI57" s="325"/>
      <c r="RJ57" s="325"/>
      <c r="RK57" s="325"/>
      <c r="RL57" s="325"/>
      <c r="RM57" s="325"/>
      <c r="RN57" s="325"/>
      <c r="RO57" s="325"/>
      <c r="RP57" s="325"/>
      <c r="RQ57" s="325"/>
      <c r="RR57" s="325"/>
      <c r="RS57" s="325"/>
      <c r="RT57" s="325"/>
      <c r="RU57" s="325"/>
      <c r="RV57" s="325"/>
      <c r="RW57" s="325"/>
      <c r="RX57" s="325"/>
      <c r="RY57" s="325"/>
      <c r="RZ57" s="325"/>
      <c r="SA57" s="325"/>
      <c r="SB57" s="325"/>
      <c r="SC57" s="325"/>
      <c r="SD57" s="325"/>
      <c r="SE57" s="325"/>
      <c r="SF57" s="325"/>
      <c r="SG57" s="325"/>
      <c r="SH57" s="325"/>
      <c r="SI57" s="325"/>
      <c r="SJ57" s="325"/>
      <c r="SK57" s="325"/>
      <c r="SL57" s="325"/>
      <c r="SM57" s="325"/>
      <c r="SN57" s="325"/>
      <c r="SO57" s="325"/>
      <c r="SP57" s="325"/>
      <c r="SQ57" s="325"/>
      <c r="SR57" s="325"/>
      <c r="SS57" s="325"/>
      <c r="ST57" s="325"/>
      <c r="SU57" s="325"/>
      <c r="SV57" s="325"/>
      <c r="SW57" s="325"/>
      <c r="SX57" s="325"/>
      <c r="SY57" s="325"/>
      <c r="SZ57" s="325"/>
      <c r="TA57" s="325"/>
      <c r="TB57" s="325"/>
      <c r="TC57" s="325"/>
      <c r="TD57" s="325"/>
      <c r="TE57" s="325"/>
      <c r="TF57" s="325"/>
      <c r="TG57" s="325"/>
      <c r="TH57" s="325"/>
      <c r="TI57" s="325"/>
      <c r="TJ57" s="325"/>
      <c r="TK57" s="325"/>
      <c r="TL57" s="325"/>
      <c r="TM57" s="325"/>
      <c r="TN57" s="325"/>
      <c r="TO57" s="325"/>
      <c r="TP57" s="325"/>
      <c r="TQ57" s="325"/>
      <c r="TR57" s="325"/>
      <c r="TS57" s="325"/>
      <c r="TT57" s="325"/>
      <c r="TU57" s="325"/>
      <c r="TV57" s="325"/>
      <c r="TW57" s="325"/>
      <c r="TX57" s="325"/>
      <c r="TY57" s="325"/>
      <c r="TZ57" s="325"/>
      <c r="UA57" s="325"/>
      <c r="UB57" s="325"/>
      <c r="UC57" s="325"/>
      <c r="UD57" s="325"/>
      <c r="UE57" s="325"/>
      <c r="UF57" s="325"/>
      <c r="UG57" s="325"/>
      <c r="UH57" s="325"/>
      <c r="UI57" s="325"/>
      <c r="UJ57" s="325"/>
      <c r="UK57" s="325"/>
      <c r="UL57" s="325"/>
      <c r="UM57" s="325"/>
      <c r="UN57" s="325"/>
      <c r="UO57" s="325"/>
      <c r="UP57" s="325"/>
      <c r="UQ57" s="325"/>
      <c r="UR57" s="325"/>
      <c r="US57" s="325"/>
      <c r="UT57" s="325"/>
      <c r="UU57" s="325"/>
      <c r="UV57" s="325"/>
      <c r="UW57" s="325"/>
      <c r="UX57" s="325"/>
      <c r="UY57" s="325"/>
      <c r="UZ57" s="325"/>
      <c r="VA57" s="325"/>
      <c r="VB57" s="325"/>
      <c r="VC57" s="325"/>
      <c r="VD57" s="325"/>
      <c r="VE57" s="325"/>
      <c r="VF57" s="325"/>
      <c r="VG57" s="325"/>
      <c r="VH57" s="325"/>
      <c r="VI57" s="325"/>
      <c r="VJ57" s="325"/>
      <c r="VK57" s="325"/>
      <c r="VL57" s="325"/>
      <c r="VM57" s="325"/>
      <c r="VN57" s="325"/>
      <c r="VO57" s="325"/>
      <c r="VP57" s="325"/>
      <c r="VQ57" s="325"/>
      <c r="VR57" s="325"/>
      <c r="VS57" s="325"/>
      <c r="VT57" s="325"/>
      <c r="VU57" s="325"/>
      <c r="VV57" s="325"/>
      <c r="VW57" s="325"/>
      <c r="VX57" s="325"/>
      <c r="VY57" s="325"/>
      <c r="VZ57" s="325"/>
      <c r="WA57" s="325"/>
      <c r="WB57" s="325"/>
      <c r="WC57" s="325"/>
      <c r="WD57" s="325"/>
      <c r="WE57" s="325"/>
      <c r="WF57" s="325"/>
      <c r="WG57" s="325"/>
      <c r="WH57" s="325"/>
      <c r="WI57" s="325"/>
      <c r="WJ57" s="325"/>
      <c r="WK57" s="325"/>
      <c r="WL57" s="325"/>
      <c r="WM57" s="325"/>
      <c r="WN57" s="325"/>
      <c r="WO57" s="325"/>
      <c r="WP57" s="325"/>
      <c r="WQ57" s="325"/>
      <c r="WR57" s="325"/>
      <c r="WS57" s="325"/>
      <c r="WT57" s="325"/>
      <c r="WU57" s="325"/>
      <c r="WV57" s="325"/>
      <c r="WW57" s="325"/>
      <c r="WX57" s="325"/>
      <c r="WY57" s="325"/>
      <c r="WZ57" s="325"/>
      <c r="XA57" s="325"/>
      <c r="XB57" s="325"/>
      <c r="XC57" s="325"/>
      <c r="XD57" s="325"/>
      <c r="XE57" s="325"/>
      <c r="XF57" s="325"/>
      <c r="XG57" s="325"/>
      <c r="XH57" s="325"/>
      <c r="XI57" s="325"/>
      <c r="XJ57" s="325"/>
      <c r="XK57" s="325"/>
      <c r="XL57" s="325"/>
      <c r="XM57" s="325"/>
      <c r="XN57" s="325"/>
      <c r="XO57" s="325"/>
      <c r="XP57" s="325"/>
      <c r="XQ57" s="325"/>
      <c r="XR57" s="325"/>
      <c r="XS57" s="325"/>
      <c r="XT57" s="325"/>
      <c r="XU57" s="325"/>
      <c r="XV57" s="325"/>
      <c r="XW57" s="325"/>
      <c r="XX57" s="325"/>
      <c r="XY57" s="325"/>
      <c r="XZ57" s="325"/>
      <c r="YA57" s="325"/>
      <c r="YB57" s="325"/>
      <c r="YC57" s="325"/>
      <c r="YD57" s="325"/>
      <c r="YE57" s="325"/>
      <c r="YF57" s="325"/>
      <c r="YG57" s="325"/>
      <c r="YH57" s="325"/>
      <c r="YI57" s="325"/>
      <c r="YJ57" s="325"/>
      <c r="YK57" s="325"/>
      <c r="YL57" s="325"/>
      <c r="YM57" s="325"/>
      <c r="YN57" s="325"/>
      <c r="YO57" s="325"/>
      <c r="YP57" s="325"/>
      <c r="YQ57" s="325"/>
      <c r="YR57" s="325"/>
      <c r="YS57" s="325"/>
      <c r="YT57" s="325"/>
      <c r="YU57" s="325"/>
      <c r="YV57" s="325"/>
      <c r="YW57" s="325"/>
      <c r="YX57" s="325"/>
      <c r="YY57" s="325"/>
      <c r="YZ57" s="325"/>
      <c r="ZA57" s="325"/>
      <c r="ZB57" s="325"/>
      <c r="ZC57" s="325"/>
      <c r="ZD57" s="325"/>
      <c r="ZE57" s="325"/>
      <c r="ZF57" s="325"/>
      <c r="ZG57" s="325"/>
      <c r="ZH57" s="325"/>
      <c r="ZI57" s="325"/>
      <c r="ZJ57" s="325"/>
      <c r="ZK57" s="325"/>
      <c r="ZL57" s="325"/>
      <c r="ZM57" s="325"/>
      <c r="ZN57" s="325"/>
      <c r="ZO57" s="325"/>
      <c r="ZP57" s="325"/>
      <c r="ZQ57" s="325"/>
      <c r="ZR57" s="325"/>
      <c r="ZS57" s="325"/>
      <c r="ZT57" s="325"/>
      <c r="ZU57" s="325"/>
      <c r="ZV57" s="325"/>
      <c r="ZW57" s="325"/>
      <c r="ZX57" s="325"/>
      <c r="ZY57" s="325"/>
      <c r="ZZ57" s="325"/>
      <c r="AAA57" s="325"/>
      <c r="AAB57" s="325"/>
      <c r="AAC57" s="325"/>
      <c r="AAD57" s="325"/>
      <c r="AAE57" s="325"/>
      <c r="AAF57" s="325"/>
      <c r="AAG57" s="325"/>
      <c r="AAH57" s="325"/>
      <c r="AAI57" s="325"/>
      <c r="AAJ57" s="325"/>
      <c r="AAK57" s="325"/>
      <c r="AAL57" s="325"/>
      <c r="AAM57" s="325"/>
      <c r="AAN57" s="325"/>
      <c r="AAO57" s="325"/>
      <c r="AAP57" s="325"/>
      <c r="AAQ57" s="325"/>
      <c r="AAR57" s="325"/>
      <c r="AAS57" s="325"/>
      <c r="AAT57" s="325"/>
      <c r="AAU57" s="325"/>
      <c r="AAV57" s="325"/>
      <c r="AAW57" s="325"/>
      <c r="AAX57" s="325"/>
      <c r="AAY57" s="325"/>
      <c r="AAZ57" s="325"/>
      <c r="ABA57" s="325"/>
      <c r="ABB57" s="325"/>
      <c r="ABC57" s="325"/>
      <c r="ABD57" s="325"/>
      <c r="ABE57" s="325"/>
      <c r="ABF57" s="325"/>
      <c r="ABG57" s="325"/>
      <c r="ABH57" s="325"/>
      <c r="ABI57" s="325"/>
      <c r="ABJ57" s="325"/>
      <c r="ABK57" s="325"/>
      <c r="ABL57" s="325"/>
      <c r="ABM57" s="325"/>
      <c r="ABN57" s="325"/>
      <c r="ABO57" s="325"/>
      <c r="ABP57" s="325"/>
      <c r="ABQ57" s="325"/>
      <c r="ABR57" s="325"/>
      <c r="ABS57" s="325"/>
      <c r="ABT57" s="325"/>
      <c r="ABU57" s="325"/>
      <c r="ABV57" s="325"/>
      <c r="ABW57" s="325"/>
      <c r="ABX57" s="325"/>
      <c r="ABY57" s="325"/>
      <c r="ABZ57" s="325"/>
      <c r="ACA57" s="325"/>
      <c r="ACB57" s="325"/>
      <c r="ACC57" s="325"/>
      <c r="ACD57" s="325"/>
      <c r="ACE57" s="325"/>
      <c r="ACF57" s="325"/>
      <c r="ACG57" s="325"/>
      <c r="ACH57" s="325"/>
      <c r="ACI57" s="325"/>
      <c r="ACJ57" s="325"/>
      <c r="ACK57" s="325"/>
      <c r="ACL57" s="325"/>
      <c r="ACM57" s="325"/>
      <c r="ACN57" s="325"/>
      <c r="ACO57" s="325"/>
      <c r="ACP57" s="325"/>
      <c r="ACQ57" s="325"/>
      <c r="ACR57" s="325"/>
      <c r="ACS57" s="325"/>
      <c r="ACT57" s="325"/>
      <c r="ACU57" s="325"/>
      <c r="ACV57" s="325"/>
      <c r="ACW57" s="325"/>
      <c r="ACX57" s="325"/>
      <c r="ACY57" s="325"/>
      <c r="ACZ57" s="325"/>
      <c r="ADA57" s="325"/>
      <c r="ADB57" s="325"/>
      <c r="ADC57" s="325"/>
      <c r="ADD57" s="325"/>
      <c r="ADE57" s="325"/>
      <c r="ADF57" s="325"/>
      <c r="ADG57" s="325"/>
      <c r="ADH57" s="325"/>
      <c r="ADI57" s="325"/>
      <c r="ADJ57" s="325"/>
      <c r="ADK57" s="325"/>
      <c r="ADL57" s="325"/>
      <c r="ADM57" s="325"/>
      <c r="ADN57" s="325"/>
      <c r="ADO57" s="325"/>
      <c r="ADP57" s="325"/>
      <c r="ADQ57" s="325"/>
      <c r="ADR57" s="325"/>
      <c r="ADS57" s="325"/>
      <c r="ADT57" s="325"/>
      <c r="ADU57" s="325"/>
      <c r="ADV57" s="325"/>
      <c r="ADW57" s="325"/>
      <c r="ADX57" s="325"/>
      <c r="ADY57" s="325"/>
      <c r="ADZ57" s="325"/>
      <c r="AEA57" s="325"/>
      <c r="AEB57" s="325"/>
      <c r="AEC57" s="325"/>
      <c r="AED57" s="325"/>
      <c r="AEE57" s="325"/>
      <c r="AEF57" s="325"/>
      <c r="AEG57" s="325"/>
      <c r="AEH57" s="325"/>
      <c r="AEI57" s="325"/>
      <c r="AEJ57" s="325"/>
      <c r="AEK57" s="325"/>
      <c r="AEL57" s="325"/>
      <c r="AEM57" s="325"/>
      <c r="AEN57" s="325"/>
      <c r="AEO57" s="325"/>
      <c r="AEP57" s="325"/>
      <c r="AEQ57" s="325"/>
      <c r="AER57" s="325"/>
      <c r="AES57" s="325"/>
      <c r="AET57" s="325"/>
      <c r="AEU57" s="325"/>
      <c r="AEV57" s="325"/>
      <c r="AEW57" s="325"/>
      <c r="AEX57" s="325"/>
      <c r="AEY57" s="325"/>
      <c r="AEZ57" s="325"/>
      <c r="AFA57" s="325"/>
      <c r="AFB57" s="325"/>
      <c r="AFC57" s="325"/>
      <c r="AFD57" s="325"/>
      <c r="AFE57" s="325"/>
      <c r="AFF57" s="325"/>
      <c r="AFG57" s="325"/>
      <c r="AFH57" s="325"/>
      <c r="AFI57" s="325"/>
      <c r="AFJ57" s="325"/>
      <c r="AFK57" s="325"/>
      <c r="AFL57" s="325"/>
      <c r="AFM57" s="325"/>
      <c r="AFN57" s="325"/>
      <c r="AFO57" s="325"/>
      <c r="AFP57" s="325"/>
      <c r="AFQ57" s="325"/>
      <c r="AFR57" s="325"/>
      <c r="AFS57" s="325"/>
      <c r="AFT57" s="325"/>
      <c r="AFU57" s="325"/>
      <c r="AFV57" s="325"/>
      <c r="AFW57" s="325"/>
      <c r="AFX57" s="325"/>
      <c r="AFY57" s="325"/>
      <c r="AFZ57" s="325"/>
      <c r="AGA57" s="325"/>
      <c r="AGB57" s="325"/>
      <c r="AGC57" s="325"/>
      <c r="AGD57" s="325"/>
      <c r="AGE57" s="325"/>
      <c r="AGF57" s="325"/>
      <c r="AGG57" s="325"/>
      <c r="AGH57" s="325"/>
      <c r="AGI57" s="325"/>
      <c r="AGJ57" s="325"/>
      <c r="AGK57" s="325"/>
      <c r="AGL57" s="325"/>
      <c r="AGM57" s="325"/>
      <c r="AGN57" s="325"/>
      <c r="AGO57" s="325"/>
      <c r="AGP57" s="325"/>
      <c r="AGQ57" s="325"/>
      <c r="AGR57" s="325"/>
      <c r="AGS57" s="325"/>
      <c r="AGT57" s="325"/>
      <c r="AGU57" s="325"/>
      <c r="AGV57" s="325"/>
      <c r="AGW57" s="325"/>
      <c r="AGX57" s="325"/>
      <c r="AGY57" s="325"/>
      <c r="AGZ57" s="325"/>
      <c r="AHA57" s="325"/>
      <c r="AHB57" s="325"/>
      <c r="AHC57" s="325"/>
      <c r="AHD57" s="325"/>
      <c r="AHE57" s="325"/>
      <c r="AHF57" s="325"/>
      <c r="AHG57" s="325"/>
      <c r="AHH57" s="325"/>
      <c r="AHI57" s="325"/>
      <c r="AHJ57" s="325"/>
      <c r="AHK57" s="325"/>
      <c r="AHL57" s="325"/>
      <c r="AHM57" s="325"/>
      <c r="AHN57" s="325"/>
      <c r="AHO57" s="325"/>
      <c r="AHP57" s="325"/>
      <c r="AHQ57" s="325"/>
      <c r="AHR57" s="325"/>
      <c r="AHS57" s="325"/>
      <c r="AHT57" s="325"/>
      <c r="AHU57" s="325"/>
      <c r="AHV57" s="325"/>
      <c r="AHW57" s="325"/>
      <c r="AHX57" s="325"/>
      <c r="AHY57" s="325"/>
      <c r="AHZ57" s="325"/>
      <c r="AIA57" s="325"/>
      <c r="AIB57" s="325"/>
      <c r="AIC57" s="325"/>
      <c r="AID57" s="325"/>
      <c r="AIE57" s="325"/>
      <c r="AIF57" s="325"/>
      <c r="AIG57" s="325"/>
      <c r="AIH57" s="325"/>
      <c r="AII57" s="325"/>
      <c r="AIJ57" s="325"/>
      <c r="AIK57" s="325"/>
      <c r="AIL57" s="325"/>
      <c r="AIM57" s="325"/>
      <c r="AIN57" s="325"/>
      <c r="AIO57" s="325"/>
      <c r="AIP57" s="325"/>
      <c r="AIQ57" s="325"/>
      <c r="AIR57" s="325"/>
      <c r="AIS57" s="325"/>
      <c r="AIT57" s="325"/>
      <c r="AIU57" s="325"/>
      <c r="AIV57" s="325"/>
      <c r="AIW57" s="325"/>
      <c r="AIX57" s="325"/>
      <c r="AIY57" s="325"/>
      <c r="AIZ57" s="325"/>
      <c r="AJA57" s="325"/>
      <c r="AJB57" s="325"/>
      <c r="AJC57" s="325"/>
      <c r="AJD57" s="325"/>
      <c r="AJE57" s="325"/>
      <c r="AJF57" s="325"/>
      <c r="AJG57" s="325"/>
      <c r="AJH57" s="325"/>
      <c r="AJI57" s="325"/>
      <c r="AJJ57" s="325"/>
      <c r="AJK57" s="325"/>
      <c r="AJL57" s="325"/>
      <c r="AJM57" s="325"/>
      <c r="AJN57" s="325"/>
      <c r="AJO57" s="325"/>
      <c r="AJP57" s="325"/>
      <c r="AJQ57" s="325"/>
      <c r="AJR57" s="325"/>
      <c r="AJS57" s="325"/>
      <c r="AJT57" s="325"/>
      <c r="AJU57" s="325"/>
      <c r="AJV57" s="325"/>
      <c r="AJW57" s="325"/>
      <c r="AJX57" s="325"/>
      <c r="AJY57" s="325"/>
      <c r="AJZ57" s="325"/>
      <c r="AKA57" s="325"/>
      <c r="AKB57" s="325"/>
      <c r="AKC57" s="325"/>
      <c r="AKD57" s="325"/>
      <c r="AKE57" s="325"/>
      <c r="AKF57" s="325"/>
      <c r="AKG57" s="325"/>
      <c r="AKH57" s="325"/>
      <c r="AKI57" s="325"/>
      <c r="AKJ57" s="325"/>
      <c r="AKK57" s="325"/>
      <c r="AKL57" s="325"/>
      <c r="AKM57" s="325"/>
      <c r="AKN57" s="325"/>
      <c r="AKO57" s="325"/>
      <c r="AKP57" s="325"/>
      <c r="AKQ57" s="325"/>
      <c r="AKR57" s="325"/>
      <c r="AKS57" s="325"/>
      <c r="AKT57" s="325"/>
      <c r="AKU57" s="325"/>
      <c r="AKV57" s="325"/>
      <c r="AKW57" s="325"/>
      <c r="AKX57" s="325"/>
      <c r="AKY57" s="325"/>
      <c r="AKZ57" s="325"/>
      <c r="ALA57" s="325"/>
      <c r="ALB57" s="325"/>
      <c r="ALC57" s="325"/>
      <c r="ALD57" s="325"/>
      <c r="ALE57" s="325"/>
      <c r="ALF57" s="325"/>
      <c r="ALG57" s="325"/>
      <c r="ALH57" s="325"/>
      <c r="ALI57" s="325"/>
      <c r="ALJ57" s="325"/>
      <c r="ALK57" s="325"/>
      <c r="ALL57" s="325"/>
      <c r="ALM57" s="325"/>
      <c r="ALN57" s="325"/>
      <c r="ALO57" s="325"/>
      <c r="ALP57" s="325"/>
      <c r="ALQ57" s="325"/>
      <c r="ALR57" s="325"/>
      <c r="ALS57" s="325"/>
      <c r="ALT57" s="325"/>
      <c r="ALU57" s="325"/>
      <c r="ALV57" s="325"/>
      <c r="ALW57" s="325"/>
      <c r="ALX57" s="325"/>
      <c r="ALY57" s="325"/>
      <c r="ALZ57" s="325"/>
      <c r="AMA57" s="325"/>
      <c r="AMB57" s="325"/>
      <c r="AMC57" s="325"/>
    </row>
    <row r="58" spans="3:1017" s="75" customFormat="1">
      <c r="C58" s="130"/>
      <c r="D58" s="130"/>
      <c r="CN58" s="225"/>
      <c r="CQ58" s="226"/>
      <c r="LD58" s="213"/>
      <c r="LH58" s="286"/>
      <c r="LI58" s="287"/>
      <c r="LJ58" s="124"/>
      <c r="LK58" s="124"/>
      <c r="LL58" s="124"/>
      <c r="LM58" s="124"/>
      <c r="LN58" s="124"/>
      <c r="LO58" s="124"/>
      <c r="LP58" s="124"/>
      <c r="LQ58" s="124"/>
      <c r="LR58" s="124"/>
      <c r="NE58" s="330"/>
      <c r="NF58" s="325"/>
      <c r="NG58" s="325"/>
      <c r="NH58" s="325"/>
      <c r="NI58" s="325"/>
      <c r="NJ58" s="325"/>
      <c r="NK58" s="325"/>
      <c r="NL58" s="325"/>
      <c r="NM58" s="325"/>
      <c r="NN58" s="325"/>
      <c r="NO58" s="325"/>
      <c r="NP58" s="325"/>
      <c r="NQ58" s="325"/>
      <c r="NR58" s="325"/>
      <c r="NS58" s="325"/>
      <c r="NT58" s="325"/>
      <c r="NU58" s="325"/>
      <c r="NV58" s="325"/>
      <c r="NW58" s="325"/>
      <c r="NX58" s="325"/>
      <c r="NY58" s="325"/>
      <c r="NZ58" s="325"/>
      <c r="OA58" s="325"/>
      <c r="OB58" s="325"/>
      <c r="OC58" s="325"/>
      <c r="OD58" s="325"/>
      <c r="OE58" s="325"/>
      <c r="OF58" s="325"/>
      <c r="OG58" s="325"/>
      <c r="OH58" s="325"/>
      <c r="OI58" s="325"/>
      <c r="OJ58" s="325"/>
      <c r="OK58" s="325"/>
      <c r="OL58" s="325"/>
      <c r="OM58" s="325"/>
      <c r="ON58" s="325"/>
      <c r="OO58" s="325"/>
      <c r="OP58" s="325"/>
      <c r="OQ58" s="325"/>
      <c r="OR58" s="325"/>
      <c r="OS58" s="325"/>
      <c r="OT58" s="325"/>
      <c r="OU58" s="325"/>
      <c r="OV58" s="325"/>
      <c r="OW58" s="325"/>
      <c r="OX58" s="325"/>
      <c r="OY58" s="325"/>
      <c r="OZ58" s="325"/>
      <c r="PA58" s="325"/>
      <c r="PB58" s="325"/>
      <c r="PC58" s="325"/>
      <c r="PD58" s="325"/>
      <c r="PE58" s="325"/>
      <c r="PF58" s="325"/>
      <c r="PG58" s="325"/>
      <c r="PH58" s="325"/>
      <c r="PI58" s="325"/>
      <c r="PJ58" s="325"/>
      <c r="PK58" s="325"/>
      <c r="PL58" s="325"/>
      <c r="PM58" s="325"/>
      <c r="PN58" s="325"/>
      <c r="PO58" s="325"/>
      <c r="PP58" s="325"/>
      <c r="PQ58" s="325"/>
      <c r="PR58" s="325"/>
      <c r="PS58" s="325"/>
      <c r="PT58" s="325"/>
      <c r="PU58" s="325"/>
      <c r="PV58" s="325"/>
      <c r="PW58" s="325"/>
      <c r="PX58" s="325"/>
      <c r="PY58" s="325"/>
      <c r="PZ58" s="325"/>
      <c r="QA58" s="325"/>
      <c r="QB58" s="325"/>
      <c r="QC58" s="325"/>
      <c r="QD58" s="325"/>
      <c r="QE58" s="325"/>
      <c r="QF58" s="325"/>
      <c r="QG58" s="325"/>
      <c r="QH58" s="325"/>
      <c r="QI58" s="325"/>
      <c r="QJ58" s="325"/>
      <c r="QK58" s="325"/>
      <c r="QL58" s="325"/>
      <c r="QM58" s="325"/>
      <c r="QN58" s="325"/>
      <c r="QO58" s="325"/>
      <c r="QP58" s="325"/>
      <c r="QQ58" s="325"/>
      <c r="QR58" s="325"/>
      <c r="QS58" s="325"/>
      <c r="QT58" s="325"/>
      <c r="QU58" s="325"/>
      <c r="QV58" s="325"/>
      <c r="QW58" s="325"/>
      <c r="QX58" s="325"/>
      <c r="QY58" s="325"/>
      <c r="QZ58" s="325"/>
      <c r="RA58" s="325"/>
      <c r="RB58" s="325"/>
      <c r="RC58" s="325"/>
      <c r="RD58" s="325"/>
      <c r="RE58" s="325"/>
      <c r="RF58" s="325"/>
      <c r="RG58" s="325"/>
      <c r="RH58" s="325"/>
      <c r="RI58" s="325"/>
      <c r="RJ58" s="325"/>
      <c r="RK58" s="325"/>
      <c r="RL58" s="325"/>
      <c r="RM58" s="325"/>
      <c r="RN58" s="325"/>
      <c r="RO58" s="325"/>
      <c r="RP58" s="325"/>
      <c r="RQ58" s="325"/>
      <c r="RR58" s="325"/>
      <c r="RS58" s="325"/>
      <c r="RT58" s="325"/>
      <c r="RU58" s="325"/>
      <c r="RV58" s="325"/>
      <c r="RW58" s="325"/>
      <c r="RX58" s="325"/>
      <c r="RY58" s="325"/>
      <c r="RZ58" s="325"/>
      <c r="SA58" s="325"/>
      <c r="SB58" s="325"/>
      <c r="SC58" s="325"/>
      <c r="SD58" s="325"/>
      <c r="SE58" s="325"/>
      <c r="SF58" s="325"/>
      <c r="SG58" s="325"/>
      <c r="SH58" s="325"/>
      <c r="SI58" s="325"/>
      <c r="SJ58" s="325"/>
      <c r="SK58" s="325"/>
      <c r="SL58" s="325"/>
      <c r="SM58" s="325"/>
      <c r="SN58" s="325"/>
      <c r="SO58" s="325"/>
      <c r="SP58" s="325"/>
      <c r="SQ58" s="325"/>
      <c r="SR58" s="325"/>
      <c r="SS58" s="325"/>
      <c r="ST58" s="325"/>
      <c r="SU58" s="325"/>
      <c r="SV58" s="325"/>
      <c r="SW58" s="325"/>
      <c r="SX58" s="325"/>
      <c r="SY58" s="325"/>
      <c r="SZ58" s="325"/>
      <c r="TA58" s="325"/>
      <c r="TB58" s="325"/>
      <c r="TC58" s="325"/>
      <c r="TD58" s="325"/>
      <c r="TE58" s="325"/>
      <c r="TF58" s="325"/>
      <c r="TG58" s="325"/>
      <c r="TH58" s="325"/>
      <c r="TI58" s="325"/>
      <c r="TJ58" s="325"/>
      <c r="TK58" s="325"/>
      <c r="TL58" s="325"/>
      <c r="TM58" s="325"/>
      <c r="TN58" s="325"/>
      <c r="TO58" s="325"/>
      <c r="TP58" s="325"/>
      <c r="TQ58" s="325"/>
      <c r="TR58" s="325"/>
      <c r="TS58" s="325"/>
      <c r="TT58" s="325"/>
      <c r="TU58" s="325"/>
      <c r="TV58" s="325"/>
      <c r="TW58" s="325"/>
      <c r="TX58" s="325"/>
      <c r="TY58" s="325"/>
      <c r="TZ58" s="325"/>
      <c r="UA58" s="325"/>
      <c r="UB58" s="325"/>
      <c r="UC58" s="325"/>
      <c r="UD58" s="325"/>
      <c r="UE58" s="325"/>
      <c r="UF58" s="325"/>
      <c r="UG58" s="325"/>
      <c r="UH58" s="325"/>
      <c r="UI58" s="325"/>
      <c r="UJ58" s="325"/>
      <c r="UK58" s="325"/>
      <c r="UL58" s="325"/>
      <c r="UM58" s="325"/>
      <c r="UN58" s="325"/>
      <c r="UO58" s="325"/>
      <c r="UP58" s="325"/>
      <c r="UQ58" s="325"/>
      <c r="UR58" s="325"/>
      <c r="US58" s="325"/>
      <c r="UT58" s="325"/>
      <c r="UU58" s="325"/>
      <c r="UV58" s="325"/>
      <c r="UW58" s="325"/>
      <c r="UX58" s="325"/>
      <c r="UY58" s="325"/>
      <c r="UZ58" s="325"/>
      <c r="VA58" s="325"/>
      <c r="VB58" s="325"/>
      <c r="VC58" s="325"/>
      <c r="VD58" s="325"/>
      <c r="VE58" s="325"/>
      <c r="VF58" s="325"/>
      <c r="VG58" s="325"/>
      <c r="VH58" s="325"/>
      <c r="VI58" s="325"/>
      <c r="VJ58" s="325"/>
      <c r="VK58" s="325"/>
      <c r="VL58" s="325"/>
      <c r="VM58" s="325"/>
      <c r="VN58" s="325"/>
      <c r="VO58" s="325"/>
      <c r="VP58" s="325"/>
      <c r="VQ58" s="325"/>
      <c r="VR58" s="325"/>
      <c r="VS58" s="325"/>
      <c r="VT58" s="325"/>
      <c r="VU58" s="325"/>
      <c r="VV58" s="325"/>
      <c r="VW58" s="325"/>
      <c r="VX58" s="325"/>
      <c r="VY58" s="325"/>
      <c r="VZ58" s="325"/>
      <c r="WA58" s="325"/>
      <c r="WB58" s="325"/>
      <c r="WC58" s="325"/>
      <c r="WD58" s="325"/>
      <c r="WE58" s="325"/>
      <c r="WF58" s="325"/>
      <c r="WG58" s="325"/>
      <c r="WH58" s="325"/>
      <c r="WI58" s="325"/>
      <c r="WJ58" s="325"/>
      <c r="WK58" s="325"/>
      <c r="WL58" s="325"/>
      <c r="WM58" s="325"/>
      <c r="WN58" s="325"/>
      <c r="WO58" s="325"/>
      <c r="WP58" s="325"/>
      <c r="WQ58" s="325"/>
      <c r="WR58" s="325"/>
      <c r="WS58" s="325"/>
      <c r="WT58" s="325"/>
      <c r="WU58" s="325"/>
      <c r="WV58" s="325"/>
      <c r="WW58" s="325"/>
      <c r="WX58" s="325"/>
      <c r="WY58" s="325"/>
      <c r="WZ58" s="325"/>
      <c r="XA58" s="325"/>
      <c r="XB58" s="325"/>
      <c r="XC58" s="325"/>
      <c r="XD58" s="325"/>
      <c r="XE58" s="325"/>
      <c r="XF58" s="325"/>
      <c r="XG58" s="325"/>
      <c r="XH58" s="325"/>
      <c r="XI58" s="325"/>
      <c r="XJ58" s="325"/>
      <c r="XK58" s="325"/>
      <c r="XL58" s="325"/>
      <c r="XM58" s="325"/>
      <c r="XN58" s="325"/>
      <c r="XO58" s="325"/>
      <c r="XP58" s="325"/>
      <c r="XQ58" s="325"/>
      <c r="XR58" s="325"/>
      <c r="XS58" s="325"/>
      <c r="XT58" s="325"/>
      <c r="XU58" s="325"/>
      <c r="XV58" s="325"/>
      <c r="XW58" s="325"/>
      <c r="XX58" s="325"/>
      <c r="XY58" s="325"/>
      <c r="XZ58" s="325"/>
      <c r="YA58" s="325"/>
      <c r="YB58" s="325"/>
      <c r="YC58" s="325"/>
      <c r="YD58" s="325"/>
      <c r="YE58" s="325"/>
      <c r="YF58" s="325"/>
      <c r="YG58" s="325"/>
      <c r="YH58" s="325"/>
      <c r="YI58" s="325"/>
      <c r="YJ58" s="325"/>
      <c r="YK58" s="325"/>
      <c r="YL58" s="325"/>
      <c r="YM58" s="325"/>
      <c r="YN58" s="325"/>
      <c r="YO58" s="325"/>
      <c r="YP58" s="325"/>
      <c r="YQ58" s="325"/>
      <c r="YR58" s="325"/>
      <c r="YS58" s="325"/>
      <c r="YT58" s="325"/>
      <c r="YU58" s="325"/>
      <c r="YV58" s="325"/>
      <c r="YW58" s="325"/>
      <c r="YX58" s="325"/>
      <c r="YY58" s="325"/>
      <c r="YZ58" s="325"/>
      <c r="ZA58" s="325"/>
      <c r="ZB58" s="325"/>
      <c r="ZC58" s="325"/>
      <c r="ZD58" s="325"/>
      <c r="ZE58" s="325"/>
      <c r="ZF58" s="325"/>
      <c r="ZG58" s="325"/>
      <c r="ZH58" s="325"/>
      <c r="ZI58" s="325"/>
      <c r="ZJ58" s="325"/>
      <c r="ZK58" s="325"/>
      <c r="ZL58" s="325"/>
      <c r="ZM58" s="325"/>
      <c r="ZN58" s="325"/>
      <c r="ZO58" s="325"/>
      <c r="ZP58" s="325"/>
      <c r="ZQ58" s="325"/>
      <c r="ZR58" s="325"/>
      <c r="ZS58" s="325"/>
      <c r="ZT58" s="325"/>
      <c r="ZU58" s="325"/>
      <c r="ZV58" s="325"/>
      <c r="ZW58" s="325"/>
      <c r="ZX58" s="325"/>
      <c r="ZY58" s="325"/>
      <c r="ZZ58" s="325"/>
      <c r="AAA58" s="325"/>
      <c r="AAB58" s="325"/>
      <c r="AAC58" s="325"/>
      <c r="AAD58" s="325"/>
      <c r="AAE58" s="325"/>
      <c r="AAF58" s="325"/>
      <c r="AAG58" s="325"/>
      <c r="AAH58" s="325"/>
      <c r="AAI58" s="325"/>
      <c r="AAJ58" s="325"/>
      <c r="AAK58" s="325"/>
      <c r="AAL58" s="325"/>
      <c r="AAM58" s="325"/>
      <c r="AAN58" s="325"/>
      <c r="AAO58" s="325"/>
      <c r="AAP58" s="325"/>
      <c r="AAQ58" s="325"/>
      <c r="AAR58" s="325"/>
      <c r="AAS58" s="325"/>
      <c r="AAT58" s="325"/>
      <c r="AAU58" s="325"/>
      <c r="AAV58" s="325"/>
      <c r="AAW58" s="325"/>
      <c r="AAX58" s="325"/>
      <c r="AAY58" s="325"/>
      <c r="AAZ58" s="325"/>
      <c r="ABA58" s="325"/>
      <c r="ABB58" s="325"/>
      <c r="ABC58" s="325"/>
      <c r="ABD58" s="325"/>
      <c r="ABE58" s="325"/>
      <c r="ABF58" s="325"/>
      <c r="ABG58" s="325"/>
      <c r="ABH58" s="325"/>
      <c r="ABI58" s="325"/>
      <c r="ABJ58" s="325"/>
      <c r="ABK58" s="325"/>
      <c r="ABL58" s="325"/>
      <c r="ABM58" s="325"/>
      <c r="ABN58" s="325"/>
      <c r="ABO58" s="325"/>
      <c r="ABP58" s="325"/>
      <c r="ABQ58" s="325"/>
      <c r="ABR58" s="325"/>
      <c r="ABS58" s="325"/>
      <c r="ABT58" s="325"/>
      <c r="ABU58" s="325"/>
      <c r="ABV58" s="325"/>
      <c r="ABW58" s="325"/>
      <c r="ABX58" s="325"/>
      <c r="ABY58" s="325"/>
      <c r="ABZ58" s="325"/>
      <c r="ACA58" s="325"/>
      <c r="ACB58" s="325"/>
      <c r="ACC58" s="325"/>
      <c r="ACD58" s="325"/>
      <c r="ACE58" s="325"/>
      <c r="ACF58" s="325"/>
      <c r="ACG58" s="325"/>
      <c r="ACH58" s="325"/>
      <c r="ACI58" s="325"/>
      <c r="ACJ58" s="325"/>
      <c r="ACK58" s="325"/>
      <c r="ACL58" s="325"/>
      <c r="ACM58" s="325"/>
      <c r="ACN58" s="325"/>
      <c r="ACO58" s="325"/>
      <c r="ACP58" s="325"/>
      <c r="ACQ58" s="325"/>
      <c r="ACR58" s="325"/>
      <c r="ACS58" s="325"/>
      <c r="ACT58" s="325"/>
      <c r="ACU58" s="325"/>
      <c r="ACV58" s="325"/>
      <c r="ACW58" s="325"/>
      <c r="ACX58" s="325"/>
      <c r="ACY58" s="325"/>
      <c r="ACZ58" s="325"/>
      <c r="ADA58" s="325"/>
      <c r="ADB58" s="325"/>
      <c r="ADC58" s="325"/>
      <c r="ADD58" s="325"/>
      <c r="ADE58" s="325"/>
      <c r="ADF58" s="325"/>
      <c r="ADG58" s="325"/>
      <c r="ADH58" s="325"/>
      <c r="ADI58" s="325"/>
      <c r="ADJ58" s="325"/>
      <c r="ADK58" s="325"/>
      <c r="ADL58" s="325"/>
      <c r="ADM58" s="325"/>
      <c r="ADN58" s="325"/>
      <c r="ADO58" s="325"/>
      <c r="ADP58" s="325"/>
      <c r="ADQ58" s="325"/>
      <c r="ADR58" s="325"/>
      <c r="ADS58" s="325"/>
      <c r="ADT58" s="325"/>
      <c r="ADU58" s="325"/>
      <c r="ADV58" s="325"/>
      <c r="ADW58" s="325"/>
      <c r="ADX58" s="325"/>
      <c r="ADY58" s="325"/>
      <c r="ADZ58" s="325"/>
      <c r="AEA58" s="325"/>
      <c r="AEB58" s="325"/>
      <c r="AEC58" s="325"/>
      <c r="AED58" s="325"/>
      <c r="AEE58" s="325"/>
      <c r="AEF58" s="325"/>
      <c r="AEG58" s="325"/>
      <c r="AEH58" s="325"/>
      <c r="AEI58" s="325"/>
      <c r="AEJ58" s="325"/>
      <c r="AEK58" s="325"/>
      <c r="AEL58" s="325"/>
      <c r="AEM58" s="325"/>
      <c r="AEN58" s="325"/>
      <c r="AEO58" s="325"/>
      <c r="AEP58" s="325"/>
      <c r="AEQ58" s="325"/>
      <c r="AER58" s="325"/>
      <c r="AES58" s="325"/>
      <c r="AET58" s="325"/>
      <c r="AEU58" s="325"/>
      <c r="AEV58" s="325"/>
      <c r="AEW58" s="325"/>
      <c r="AEX58" s="325"/>
      <c r="AEY58" s="325"/>
      <c r="AEZ58" s="325"/>
      <c r="AFA58" s="325"/>
      <c r="AFB58" s="325"/>
      <c r="AFC58" s="325"/>
      <c r="AFD58" s="325"/>
      <c r="AFE58" s="325"/>
      <c r="AFF58" s="325"/>
      <c r="AFG58" s="325"/>
      <c r="AFH58" s="325"/>
      <c r="AFI58" s="325"/>
      <c r="AFJ58" s="325"/>
      <c r="AFK58" s="325"/>
      <c r="AFL58" s="325"/>
      <c r="AFM58" s="325"/>
      <c r="AFN58" s="325"/>
      <c r="AFO58" s="325"/>
      <c r="AFP58" s="325"/>
      <c r="AFQ58" s="325"/>
      <c r="AFR58" s="325"/>
      <c r="AFS58" s="325"/>
      <c r="AFT58" s="325"/>
      <c r="AFU58" s="325"/>
      <c r="AFV58" s="325"/>
      <c r="AFW58" s="325"/>
      <c r="AFX58" s="325"/>
      <c r="AFY58" s="325"/>
      <c r="AFZ58" s="325"/>
      <c r="AGA58" s="325"/>
      <c r="AGB58" s="325"/>
      <c r="AGC58" s="325"/>
      <c r="AGD58" s="325"/>
      <c r="AGE58" s="325"/>
      <c r="AGF58" s="325"/>
      <c r="AGG58" s="325"/>
      <c r="AGH58" s="325"/>
      <c r="AGI58" s="325"/>
      <c r="AGJ58" s="325"/>
      <c r="AGK58" s="325"/>
      <c r="AGL58" s="325"/>
      <c r="AGM58" s="325"/>
      <c r="AGN58" s="325"/>
      <c r="AGO58" s="325"/>
      <c r="AGP58" s="325"/>
      <c r="AGQ58" s="325"/>
      <c r="AGR58" s="325"/>
      <c r="AGS58" s="325"/>
      <c r="AGT58" s="325"/>
      <c r="AGU58" s="325"/>
      <c r="AGV58" s="325"/>
      <c r="AGW58" s="325"/>
      <c r="AGX58" s="325"/>
      <c r="AGY58" s="325"/>
      <c r="AGZ58" s="325"/>
      <c r="AHA58" s="325"/>
      <c r="AHB58" s="325"/>
      <c r="AHC58" s="325"/>
      <c r="AHD58" s="325"/>
      <c r="AHE58" s="325"/>
      <c r="AHF58" s="325"/>
      <c r="AHG58" s="325"/>
      <c r="AHH58" s="325"/>
      <c r="AHI58" s="325"/>
      <c r="AHJ58" s="325"/>
      <c r="AHK58" s="325"/>
      <c r="AHL58" s="325"/>
      <c r="AHM58" s="325"/>
      <c r="AHN58" s="325"/>
      <c r="AHO58" s="325"/>
      <c r="AHP58" s="325"/>
      <c r="AHQ58" s="325"/>
      <c r="AHR58" s="325"/>
      <c r="AHS58" s="325"/>
      <c r="AHT58" s="325"/>
      <c r="AHU58" s="325"/>
      <c r="AHV58" s="325"/>
      <c r="AHW58" s="325"/>
      <c r="AHX58" s="325"/>
      <c r="AHY58" s="325"/>
      <c r="AHZ58" s="325"/>
      <c r="AIA58" s="325"/>
      <c r="AIB58" s="325"/>
      <c r="AIC58" s="325"/>
      <c r="AID58" s="325"/>
      <c r="AIE58" s="325"/>
      <c r="AIF58" s="325"/>
      <c r="AIG58" s="325"/>
      <c r="AIH58" s="325"/>
      <c r="AII58" s="325"/>
      <c r="AIJ58" s="325"/>
      <c r="AIK58" s="325"/>
      <c r="AIL58" s="325"/>
      <c r="AIM58" s="325"/>
      <c r="AIN58" s="325"/>
      <c r="AIO58" s="325"/>
      <c r="AIP58" s="325"/>
      <c r="AIQ58" s="325"/>
      <c r="AIR58" s="325"/>
      <c r="AIS58" s="325"/>
      <c r="AIT58" s="325"/>
      <c r="AIU58" s="325"/>
      <c r="AIV58" s="325"/>
      <c r="AIW58" s="325"/>
      <c r="AIX58" s="325"/>
      <c r="AIY58" s="325"/>
      <c r="AIZ58" s="325"/>
      <c r="AJA58" s="325"/>
      <c r="AJB58" s="325"/>
      <c r="AJC58" s="325"/>
      <c r="AJD58" s="325"/>
      <c r="AJE58" s="325"/>
      <c r="AJF58" s="325"/>
      <c r="AJG58" s="325"/>
      <c r="AJH58" s="325"/>
      <c r="AJI58" s="325"/>
      <c r="AJJ58" s="325"/>
      <c r="AJK58" s="325"/>
      <c r="AJL58" s="325"/>
      <c r="AJM58" s="325"/>
      <c r="AJN58" s="325"/>
      <c r="AJO58" s="325"/>
      <c r="AJP58" s="325"/>
      <c r="AJQ58" s="325"/>
      <c r="AJR58" s="325"/>
      <c r="AJS58" s="325"/>
      <c r="AJT58" s="325"/>
      <c r="AJU58" s="325"/>
      <c r="AJV58" s="325"/>
      <c r="AJW58" s="325"/>
      <c r="AJX58" s="325"/>
      <c r="AJY58" s="325"/>
      <c r="AJZ58" s="325"/>
      <c r="AKA58" s="325"/>
      <c r="AKB58" s="325"/>
      <c r="AKC58" s="325"/>
      <c r="AKD58" s="325"/>
      <c r="AKE58" s="325"/>
      <c r="AKF58" s="325"/>
      <c r="AKG58" s="325"/>
      <c r="AKH58" s="325"/>
      <c r="AKI58" s="325"/>
      <c r="AKJ58" s="325"/>
      <c r="AKK58" s="325"/>
      <c r="AKL58" s="325"/>
      <c r="AKM58" s="325"/>
      <c r="AKN58" s="325"/>
      <c r="AKO58" s="325"/>
      <c r="AKP58" s="325"/>
      <c r="AKQ58" s="325"/>
      <c r="AKR58" s="325"/>
      <c r="AKS58" s="325"/>
      <c r="AKT58" s="325"/>
      <c r="AKU58" s="325"/>
      <c r="AKV58" s="325"/>
      <c r="AKW58" s="325"/>
      <c r="AKX58" s="325"/>
      <c r="AKY58" s="325"/>
      <c r="AKZ58" s="325"/>
      <c r="ALA58" s="325"/>
      <c r="ALB58" s="325"/>
      <c r="ALC58" s="325"/>
      <c r="ALD58" s="325"/>
      <c r="ALE58" s="325"/>
      <c r="ALF58" s="325"/>
      <c r="ALG58" s="325"/>
      <c r="ALH58" s="325"/>
      <c r="ALI58" s="325"/>
      <c r="ALJ58" s="325"/>
      <c r="ALK58" s="325"/>
      <c r="ALL58" s="325"/>
      <c r="ALM58" s="325"/>
      <c r="ALN58" s="325"/>
      <c r="ALO58" s="325"/>
      <c r="ALP58" s="325"/>
      <c r="ALQ58" s="325"/>
      <c r="ALR58" s="325"/>
      <c r="ALS58" s="325"/>
      <c r="ALT58" s="325"/>
      <c r="ALU58" s="325"/>
      <c r="ALV58" s="325"/>
      <c r="ALW58" s="325"/>
      <c r="ALX58" s="325"/>
      <c r="ALY58" s="325"/>
      <c r="ALZ58" s="325"/>
      <c r="AMA58" s="325"/>
      <c r="AMB58" s="325"/>
      <c r="AMC58" s="325"/>
    </row>
    <row r="59" spans="3:1017" s="75" customFormat="1">
      <c r="C59" s="130"/>
      <c r="D59" s="130"/>
      <c r="CN59" s="225"/>
      <c r="CQ59" s="226"/>
      <c r="LD59" s="213"/>
      <c r="LH59" s="286"/>
      <c r="LI59" s="287"/>
      <c r="LJ59" s="124"/>
      <c r="LK59" s="124"/>
      <c r="LL59" s="124"/>
      <c r="LM59" s="124"/>
      <c r="LN59" s="124"/>
      <c r="LO59" s="124"/>
      <c r="LP59" s="124"/>
      <c r="LQ59" s="124"/>
      <c r="LR59" s="124"/>
      <c r="NE59" s="330"/>
      <c r="NF59" s="325"/>
      <c r="NG59" s="325"/>
      <c r="NH59" s="325"/>
      <c r="NI59" s="325"/>
      <c r="NJ59" s="325"/>
      <c r="NK59" s="325"/>
      <c r="NL59" s="325"/>
      <c r="NM59" s="325"/>
      <c r="NN59" s="325"/>
      <c r="NO59" s="325"/>
      <c r="NP59" s="325"/>
      <c r="NQ59" s="325"/>
      <c r="NR59" s="325"/>
      <c r="NS59" s="325"/>
      <c r="NT59" s="325"/>
      <c r="NU59" s="325"/>
      <c r="NV59" s="325"/>
      <c r="NW59" s="325"/>
      <c r="NX59" s="325"/>
      <c r="NY59" s="325"/>
      <c r="NZ59" s="325"/>
      <c r="OA59" s="325"/>
      <c r="OB59" s="325"/>
      <c r="OC59" s="325"/>
      <c r="OD59" s="325"/>
      <c r="OE59" s="325"/>
      <c r="OF59" s="325"/>
      <c r="OG59" s="325"/>
      <c r="OH59" s="325"/>
      <c r="OI59" s="325"/>
      <c r="OJ59" s="325"/>
      <c r="OK59" s="325"/>
      <c r="OL59" s="325"/>
      <c r="OM59" s="325"/>
      <c r="ON59" s="325"/>
      <c r="OO59" s="325"/>
      <c r="OP59" s="325"/>
      <c r="OQ59" s="325"/>
      <c r="OR59" s="325"/>
      <c r="OS59" s="325"/>
      <c r="OT59" s="325"/>
      <c r="OU59" s="325"/>
      <c r="OV59" s="325"/>
      <c r="OW59" s="325"/>
      <c r="OX59" s="325"/>
      <c r="OY59" s="325"/>
      <c r="OZ59" s="325"/>
      <c r="PA59" s="325"/>
      <c r="PB59" s="325"/>
      <c r="PC59" s="325"/>
      <c r="PD59" s="325"/>
      <c r="PE59" s="325"/>
      <c r="PF59" s="325"/>
      <c r="PG59" s="325"/>
      <c r="PH59" s="325"/>
      <c r="PI59" s="325"/>
      <c r="PJ59" s="325"/>
      <c r="PK59" s="325"/>
      <c r="PL59" s="325"/>
      <c r="PM59" s="325"/>
      <c r="PN59" s="325"/>
      <c r="PO59" s="325"/>
      <c r="PP59" s="325"/>
      <c r="PQ59" s="325"/>
      <c r="PR59" s="325"/>
      <c r="PS59" s="325"/>
      <c r="PT59" s="325"/>
      <c r="PU59" s="325"/>
      <c r="PV59" s="325"/>
      <c r="PW59" s="325"/>
      <c r="PX59" s="325"/>
      <c r="PY59" s="325"/>
      <c r="PZ59" s="325"/>
      <c r="QA59" s="325"/>
      <c r="QB59" s="325"/>
      <c r="QC59" s="325"/>
      <c r="QD59" s="325"/>
      <c r="QE59" s="325"/>
      <c r="QF59" s="325"/>
      <c r="QG59" s="325"/>
      <c r="QH59" s="325"/>
      <c r="QI59" s="325"/>
      <c r="QJ59" s="325"/>
      <c r="QK59" s="325"/>
      <c r="QL59" s="325"/>
      <c r="QM59" s="325"/>
      <c r="QN59" s="325"/>
      <c r="QO59" s="325"/>
      <c r="QP59" s="325"/>
      <c r="QQ59" s="325"/>
      <c r="QR59" s="325"/>
      <c r="QS59" s="325"/>
      <c r="QT59" s="325"/>
      <c r="QU59" s="325"/>
      <c r="QV59" s="325"/>
      <c r="QW59" s="325"/>
      <c r="QX59" s="325"/>
      <c r="QY59" s="325"/>
      <c r="QZ59" s="325"/>
      <c r="RA59" s="325"/>
      <c r="RB59" s="325"/>
      <c r="RC59" s="325"/>
      <c r="RD59" s="325"/>
      <c r="RE59" s="325"/>
      <c r="RF59" s="325"/>
      <c r="RG59" s="325"/>
      <c r="RH59" s="325"/>
      <c r="RI59" s="325"/>
      <c r="RJ59" s="325"/>
      <c r="RK59" s="325"/>
      <c r="RL59" s="325"/>
      <c r="RM59" s="325"/>
      <c r="RN59" s="325"/>
      <c r="RO59" s="325"/>
      <c r="RP59" s="325"/>
      <c r="RQ59" s="325"/>
      <c r="RR59" s="325"/>
      <c r="RS59" s="325"/>
      <c r="RT59" s="325"/>
      <c r="RU59" s="325"/>
      <c r="RV59" s="325"/>
      <c r="RW59" s="325"/>
      <c r="RX59" s="325"/>
      <c r="RY59" s="325"/>
      <c r="RZ59" s="325"/>
      <c r="SA59" s="325"/>
      <c r="SB59" s="325"/>
      <c r="SC59" s="325"/>
      <c r="SD59" s="325"/>
      <c r="SE59" s="325"/>
      <c r="SF59" s="325"/>
      <c r="SG59" s="325"/>
      <c r="SH59" s="325"/>
      <c r="SI59" s="325"/>
      <c r="SJ59" s="325"/>
      <c r="SK59" s="325"/>
      <c r="SL59" s="325"/>
      <c r="SM59" s="325"/>
      <c r="SN59" s="325"/>
      <c r="SO59" s="325"/>
      <c r="SP59" s="325"/>
      <c r="SQ59" s="325"/>
      <c r="SR59" s="325"/>
      <c r="SS59" s="325"/>
      <c r="ST59" s="325"/>
      <c r="SU59" s="325"/>
      <c r="SV59" s="325"/>
      <c r="SW59" s="325"/>
      <c r="SX59" s="325"/>
      <c r="SY59" s="325"/>
      <c r="SZ59" s="325"/>
      <c r="TA59" s="325"/>
      <c r="TB59" s="325"/>
      <c r="TC59" s="325"/>
      <c r="TD59" s="325"/>
      <c r="TE59" s="325"/>
      <c r="TF59" s="325"/>
      <c r="TG59" s="325"/>
      <c r="TH59" s="325"/>
      <c r="TI59" s="325"/>
      <c r="TJ59" s="325"/>
      <c r="TK59" s="325"/>
      <c r="TL59" s="325"/>
      <c r="TM59" s="325"/>
      <c r="TN59" s="325"/>
      <c r="TO59" s="325"/>
      <c r="TP59" s="325"/>
      <c r="TQ59" s="325"/>
      <c r="TR59" s="325"/>
      <c r="TS59" s="325"/>
      <c r="TT59" s="325"/>
      <c r="TU59" s="325"/>
      <c r="TV59" s="325"/>
      <c r="TW59" s="325"/>
      <c r="TX59" s="325"/>
      <c r="TY59" s="325"/>
      <c r="TZ59" s="325"/>
      <c r="UA59" s="325"/>
      <c r="UB59" s="325"/>
      <c r="UC59" s="325"/>
      <c r="UD59" s="325"/>
      <c r="UE59" s="325"/>
      <c r="UF59" s="325"/>
      <c r="UG59" s="325"/>
      <c r="UH59" s="325"/>
      <c r="UI59" s="325"/>
      <c r="UJ59" s="325"/>
      <c r="UK59" s="325"/>
      <c r="UL59" s="325"/>
      <c r="UM59" s="325"/>
      <c r="UN59" s="325"/>
      <c r="UO59" s="325"/>
      <c r="UP59" s="325"/>
      <c r="UQ59" s="325"/>
      <c r="UR59" s="325"/>
      <c r="US59" s="325"/>
      <c r="UT59" s="325"/>
      <c r="UU59" s="325"/>
      <c r="UV59" s="325"/>
      <c r="UW59" s="325"/>
      <c r="UX59" s="325"/>
      <c r="UY59" s="325"/>
      <c r="UZ59" s="325"/>
      <c r="VA59" s="325"/>
      <c r="VB59" s="325"/>
      <c r="VC59" s="325"/>
      <c r="VD59" s="325"/>
      <c r="VE59" s="325"/>
      <c r="VF59" s="325"/>
      <c r="VG59" s="325"/>
      <c r="VH59" s="325"/>
      <c r="VI59" s="325"/>
      <c r="VJ59" s="325"/>
      <c r="VK59" s="325"/>
      <c r="VL59" s="325"/>
      <c r="VM59" s="325"/>
      <c r="VN59" s="325"/>
      <c r="VO59" s="325"/>
      <c r="VP59" s="325"/>
      <c r="VQ59" s="325"/>
      <c r="VR59" s="325"/>
      <c r="VS59" s="325"/>
      <c r="VT59" s="325"/>
      <c r="VU59" s="325"/>
      <c r="VV59" s="325"/>
      <c r="VW59" s="325"/>
      <c r="VX59" s="325"/>
      <c r="VY59" s="325"/>
      <c r="VZ59" s="325"/>
      <c r="WA59" s="325"/>
      <c r="WB59" s="325"/>
      <c r="WC59" s="325"/>
      <c r="WD59" s="325"/>
      <c r="WE59" s="325"/>
      <c r="WF59" s="325"/>
      <c r="WG59" s="325"/>
      <c r="WH59" s="325"/>
      <c r="WI59" s="325"/>
      <c r="WJ59" s="325"/>
      <c r="WK59" s="325"/>
      <c r="WL59" s="325"/>
      <c r="WM59" s="325"/>
      <c r="WN59" s="325"/>
      <c r="WO59" s="325"/>
      <c r="WP59" s="325"/>
      <c r="WQ59" s="325"/>
      <c r="WR59" s="325"/>
      <c r="WS59" s="325"/>
      <c r="WT59" s="325"/>
      <c r="WU59" s="325"/>
      <c r="WV59" s="325"/>
      <c r="WW59" s="325"/>
      <c r="WX59" s="325"/>
      <c r="WY59" s="325"/>
      <c r="WZ59" s="325"/>
      <c r="XA59" s="325"/>
      <c r="XB59" s="325"/>
      <c r="XC59" s="325"/>
      <c r="XD59" s="325"/>
      <c r="XE59" s="325"/>
      <c r="XF59" s="325"/>
      <c r="XG59" s="325"/>
      <c r="XH59" s="325"/>
      <c r="XI59" s="325"/>
      <c r="XJ59" s="325"/>
      <c r="XK59" s="325"/>
      <c r="XL59" s="325"/>
      <c r="XM59" s="325"/>
      <c r="XN59" s="325"/>
      <c r="XO59" s="325"/>
      <c r="XP59" s="325"/>
      <c r="XQ59" s="325"/>
      <c r="XR59" s="325"/>
      <c r="XS59" s="325"/>
      <c r="XT59" s="325"/>
      <c r="XU59" s="325"/>
      <c r="XV59" s="325"/>
      <c r="XW59" s="325"/>
      <c r="XX59" s="325"/>
      <c r="XY59" s="325"/>
      <c r="XZ59" s="325"/>
      <c r="YA59" s="325"/>
      <c r="YB59" s="325"/>
      <c r="YC59" s="325"/>
      <c r="YD59" s="325"/>
      <c r="YE59" s="325"/>
      <c r="YF59" s="325"/>
      <c r="YG59" s="325"/>
      <c r="YH59" s="325"/>
      <c r="YI59" s="325"/>
      <c r="YJ59" s="325"/>
      <c r="YK59" s="325"/>
      <c r="YL59" s="325"/>
      <c r="YM59" s="325"/>
      <c r="YN59" s="325"/>
      <c r="YO59" s="325"/>
      <c r="YP59" s="325"/>
      <c r="YQ59" s="325"/>
      <c r="YR59" s="325"/>
      <c r="YS59" s="325"/>
      <c r="YT59" s="325"/>
      <c r="YU59" s="325"/>
      <c r="YV59" s="325"/>
      <c r="YW59" s="325"/>
      <c r="YX59" s="325"/>
      <c r="YY59" s="325"/>
      <c r="YZ59" s="325"/>
      <c r="ZA59" s="325"/>
      <c r="ZB59" s="325"/>
      <c r="ZC59" s="325"/>
      <c r="ZD59" s="325"/>
      <c r="ZE59" s="325"/>
      <c r="ZF59" s="325"/>
      <c r="ZG59" s="325"/>
      <c r="ZH59" s="325"/>
      <c r="ZI59" s="325"/>
      <c r="ZJ59" s="325"/>
      <c r="ZK59" s="325"/>
      <c r="ZL59" s="325"/>
      <c r="ZM59" s="325"/>
      <c r="ZN59" s="325"/>
      <c r="ZO59" s="325"/>
      <c r="ZP59" s="325"/>
      <c r="ZQ59" s="325"/>
      <c r="ZR59" s="325"/>
      <c r="ZS59" s="325"/>
      <c r="ZT59" s="325"/>
      <c r="ZU59" s="325"/>
      <c r="ZV59" s="325"/>
      <c r="ZW59" s="325"/>
      <c r="ZX59" s="325"/>
      <c r="ZY59" s="325"/>
      <c r="ZZ59" s="325"/>
      <c r="AAA59" s="325"/>
      <c r="AAB59" s="325"/>
      <c r="AAC59" s="325"/>
      <c r="AAD59" s="325"/>
      <c r="AAE59" s="325"/>
      <c r="AAF59" s="325"/>
      <c r="AAG59" s="325"/>
      <c r="AAH59" s="325"/>
      <c r="AAI59" s="325"/>
      <c r="AAJ59" s="325"/>
      <c r="AAK59" s="325"/>
      <c r="AAL59" s="325"/>
      <c r="AAM59" s="325"/>
      <c r="AAN59" s="325"/>
      <c r="AAO59" s="325"/>
      <c r="AAP59" s="325"/>
      <c r="AAQ59" s="325"/>
      <c r="AAR59" s="325"/>
      <c r="AAS59" s="325"/>
      <c r="AAT59" s="325"/>
      <c r="AAU59" s="325"/>
      <c r="AAV59" s="325"/>
      <c r="AAW59" s="325"/>
      <c r="AAX59" s="325"/>
      <c r="AAY59" s="325"/>
      <c r="AAZ59" s="325"/>
      <c r="ABA59" s="325"/>
      <c r="ABB59" s="325"/>
      <c r="ABC59" s="325"/>
      <c r="ABD59" s="325"/>
      <c r="ABE59" s="325"/>
      <c r="ABF59" s="325"/>
      <c r="ABG59" s="325"/>
      <c r="ABH59" s="325"/>
      <c r="ABI59" s="325"/>
      <c r="ABJ59" s="325"/>
      <c r="ABK59" s="325"/>
      <c r="ABL59" s="325"/>
      <c r="ABM59" s="325"/>
      <c r="ABN59" s="325"/>
      <c r="ABO59" s="325"/>
      <c r="ABP59" s="325"/>
      <c r="ABQ59" s="325"/>
      <c r="ABR59" s="325"/>
      <c r="ABS59" s="325"/>
      <c r="ABT59" s="325"/>
      <c r="ABU59" s="325"/>
      <c r="ABV59" s="325"/>
      <c r="ABW59" s="325"/>
      <c r="ABX59" s="325"/>
      <c r="ABY59" s="325"/>
      <c r="ABZ59" s="325"/>
      <c r="ACA59" s="325"/>
      <c r="ACB59" s="325"/>
      <c r="ACC59" s="325"/>
      <c r="ACD59" s="325"/>
      <c r="ACE59" s="325"/>
      <c r="ACF59" s="325"/>
      <c r="ACG59" s="325"/>
      <c r="ACH59" s="325"/>
      <c r="ACI59" s="325"/>
      <c r="ACJ59" s="325"/>
      <c r="ACK59" s="325"/>
      <c r="ACL59" s="325"/>
      <c r="ACM59" s="325"/>
      <c r="ACN59" s="325"/>
      <c r="ACO59" s="325"/>
      <c r="ACP59" s="325"/>
      <c r="ACQ59" s="325"/>
      <c r="ACR59" s="325"/>
      <c r="ACS59" s="325"/>
      <c r="ACT59" s="325"/>
      <c r="ACU59" s="325"/>
      <c r="ACV59" s="325"/>
      <c r="ACW59" s="325"/>
      <c r="ACX59" s="325"/>
      <c r="ACY59" s="325"/>
      <c r="ACZ59" s="325"/>
      <c r="ADA59" s="325"/>
      <c r="ADB59" s="325"/>
      <c r="ADC59" s="325"/>
      <c r="ADD59" s="325"/>
      <c r="ADE59" s="325"/>
      <c r="ADF59" s="325"/>
      <c r="ADG59" s="325"/>
      <c r="ADH59" s="325"/>
      <c r="ADI59" s="325"/>
      <c r="ADJ59" s="325"/>
      <c r="ADK59" s="325"/>
      <c r="ADL59" s="325"/>
      <c r="ADM59" s="325"/>
      <c r="ADN59" s="325"/>
      <c r="ADO59" s="325"/>
      <c r="ADP59" s="325"/>
      <c r="ADQ59" s="325"/>
      <c r="ADR59" s="325"/>
      <c r="ADS59" s="325"/>
      <c r="ADT59" s="325"/>
      <c r="ADU59" s="325"/>
      <c r="ADV59" s="325"/>
      <c r="ADW59" s="325"/>
      <c r="ADX59" s="325"/>
      <c r="ADY59" s="325"/>
      <c r="ADZ59" s="325"/>
      <c r="AEA59" s="325"/>
      <c r="AEB59" s="325"/>
      <c r="AEC59" s="325"/>
      <c r="AED59" s="325"/>
      <c r="AEE59" s="325"/>
      <c r="AEF59" s="325"/>
      <c r="AEG59" s="325"/>
      <c r="AEH59" s="325"/>
      <c r="AEI59" s="325"/>
      <c r="AEJ59" s="325"/>
      <c r="AEK59" s="325"/>
      <c r="AEL59" s="325"/>
      <c r="AEM59" s="325"/>
      <c r="AEN59" s="325"/>
      <c r="AEO59" s="325"/>
      <c r="AEP59" s="325"/>
      <c r="AEQ59" s="325"/>
      <c r="AER59" s="325"/>
      <c r="AES59" s="325"/>
      <c r="AET59" s="325"/>
      <c r="AEU59" s="325"/>
      <c r="AEV59" s="325"/>
      <c r="AEW59" s="325"/>
      <c r="AEX59" s="325"/>
      <c r="AEY59" s="325"/>
      <c r="AEZ59" s="325"/>
      <c r="AFA59" s="325"/>
      <c r="AFB59" s="325"/>
      <c r="AFC59" s="325"/>
      <c r="AFD59" s="325"/>
      <c r="AFE59" s="325"/>
      <c r="AFF59" s="325"/>
      <c r="AFG59" s="325"/>
      <c r="AFH59" s="325"/>
      <c r="AFI59" s="325"/>
      <c r="AFJ59" s="325"/>
      <c r="AFK59" s="325"/>
      <c r="AFL59" s="325"/>
      <c r="AFM59" s="325"/>
      <c r="AFN59" s="325"/>
      <c r="AFO59" s="325"/>
      <c r="AFP59" s="325"/>
      <c r="AFQ59" s="325"/>
      <c r="AFR59" s="325"/>
      <c r="AFS59" s="325"/>
      <c r="AFT59" s="325"/>
      <c r="AFU59" s="325"/>
      <c r="AFV59" s="325"/>
      <c r="AFW59" s="325"/>
      <c r="AFX59" s="325"/>
      <c r="AFY59" s="325"/>
      <c r="AFZ59" s="325"/>
      <c r="AGA59" s="325"/>
      <c r="AGB59" s="325"/>
      <c r="AGC59" s="325"/>
      <c r="AGD59" s="325"/>
      <c r="AGE59" s="325"/>
      <c r="AGF59" s="325"/>
      <c r="AGG59" s="325"/>
      <c r="AGH59" s="325"/>
      <c r="AGI59" s="325"/>
      <c r="AGJ59" s="325"/>
      <c r="AGK59" s="325"/>
      <c r="AGL59" s="325"/>
      <c r="AGM59" s="325"/>
      <c r="AGN59" s="325"/>
      <c r="AGO59" s="325"/>
      <c r="AGP59" s="325"/>
      <c r="AGQ59" s="325"/>
      <c r="AGR59" s="325"/>
      <c r="AGS59" s="325"/>
      <c r="AGT59" s="325"/>
      <c r="AGU59" s="325"/>
      <c r="AGV59" s="325"/>
      <c r="AGW59" s="325"/>
      <c r="AGX59" s="325"/>
      <c r="AGY59" s="325"/>
      <c r="AGZ59" s="325"/>
      <c r="AHA59" s="325"/>
      <c r="AHB59" s="325"/>
      <c r="AHC59" s="325"/>
      <c r="AHD59" s="325"/>
      <c r="AHE59" s="325"/>
      <c r="AHF59" s="325"/>
      <c r="AHG59" s="325"/>
      <c r="AHH59" s="325"/>
      <c r="AHI59" s="325"/>
      <c r="AHJ59" s="325"/>
      <c r="AHK59" s="325"/>
      <c r="AHL59" s="325"/>
      <c r="AHM59" s="325"/>
      <c r="AHN59" s="325"/>
      <c r="AHO59" s="325"/>
      <c r="AHP59" s="325"/>
      <c r="AHQ59" s="325"/>
      <c r="AHR59" s="325"/>
      <c r="AHS59" s="325"/>
      <c r="AHT59" s="325"/>
      <c r="AHU59" s="325"/>
      <c r="AHV59" s="325"/>
      <c r="AHW59" s="325"/>
      <c r="AHX59" s="325"/>
      <c r="AHY59" s="325"/>
      <c r="AHZ59" s="325"/>
      <c r="AIA59" s="325"/>
      <c r="AIB59" s="325"/>
      <c r="AIC59" s="325"/>
      <c r="AID59" s="325"/>
      <c r="AIE59" s="325"/>
      <c r="AIF59" s="325"/>
      <c r="AIG59" s="325"/>
      <c r="AIH59" s="325"/>
      <c r="AII59" s="325"/>
      <c r="AIJ59" s="325"/>
      <c r="AIK59" s="325"/>
      <c r="AIL59" s="325"/>
      <c r="AIM59" s="325"/>
      <c r="AIN59" s="325"/>
      <c r="AIO59" s="325"/>
      <c r="AIP59" s="325"/>
      <c r="AIQ59" s="325"/>
      <c r="AIR59" s="325"/>
      <c r="AIS59" s="325"/>
      <c r="AIT59" s="325"/>
      <c r="AIU59" s="325"/>
      <c r="AIV59" s="325"/>
      <c r="AIW59" s="325"/>
      <c r="AIX59" s="325"/>
      <c r="AIY59" s="325"/>
      <c r="AIZ59" s="325"/>
      <c r="AJA59" s="325"/>
      <c r="AJB59" s="325"/>
      <c r="AJC59" s="325"/>
      <c r="AJD59" s="325"/>
      <c r="AJE59" s="325"/>
      <c r="AJF59" s="325"/>
      <c r="AJG59" s="325"/>
      <c r="AJH59" s="325"/>
      <c r="AJI59" s="325"/>
      <c r="AJJ59" s="325"/>
      <c r="AJK59" s="325"/>
      <c r="AJL59" s="325"/>
      <c r="AJM59" s="325"/>
      <c r="AJN59" s="325"/>
      <c r="AJO59" s="325"/>
      <c r="AJP59" s="325"/>
      <c r="AJQ59" s="325"/>
      <c r="AJR59" s="325"/>
      <c r="AJS59" s="325"/>
      <c r="AJT59" s="325"/>
      <c r="AJU59" s="325"/>
      <c r="AJV59" s="325"/>
      <c r="AJW59" s="325"/>
      <c r="AJX59" s="325"/>
      <c r="AJY59" s="325"/>
      <c r="AJZ59" s="325"/>
      <c r="AKA59" s="325"/>
      <c r="AKB59" s="325"/>
      <c r="AKC59" s="325"/>
      <c r="AKD59" s="325"/>
      <c r="AKE59" s="325"/>
      <c r="AKF59" s="325"/>
      <c r="AKG59" s="325"/>
      <c r="AKH59" s="325"/>
      <c r="AKI59" s="325"/>
      <c r="AKJ59" s="325"/>
      <c r="AKK59" s="325"/>
      <c r="AKL59" s="325"/>
      <c r="AKM59" s="325"/>
      <c r="AKN59" s="325"/>
      <c r="AKO59" s="325"/>
      <c r="AKP59" s="325"/>
      <c r="AKQ59" s="325"/>
      <c r="AKR59" s="325"/>
      <c r="AKS59" s="325"/>
      <c r="AKT59" s="325"/>
      <c r="AKU59" s="325"/>
      <c r="AKV59" s="325"/>
      <c r="AKW59" s="325"/>
      <c r="AKX59" s="325"/>
      <c r="AKY59" s="325"/>
      <c r="AKZ59" s="325"/>
      <c r="ALA59" s="325"/>
      <c r="ALB59" s="325"/>
      <c r="ALC59" s="325"/>
      <c r="ALD59" s="325"/>
      <c r="ALE59" s="325"/>
      <c r="ALF59" s="325"/>
      <c r="ALG59" s="325"/>
      <c r="ALH59" s="325"/>
      <c r="ALI59" s="325"/>
      <c r="ALJ59" s="325"/>
      <c r="ALK59" s="325"/>
      <c r="ALL59" s="325"/>
      <c r="ALM59" s="325"/>
      <c r="ALN59" s="325"/>
      <c r="ALO59" s="325"/>
      <c r="ALP59" s="325"/>
      <c r="ALQ59" s="325"/>
      <c r="ALR59" s="325"/>
      <c r="ALS59" s="325"/>
      <c r="ALT59" s="325"/>
      <c r="ALU59" s="325"/>
      <c r="ALV59" s="325"/>
      <c r="ALW59" s="325"/>
      <c r="ALX59" s="325"/>
      <c r="ALY59" s="325"/>
      <c r="ALZ59" s="325"/>
      <c r="AMA59" s="325"/>
      <c r="AMB59" s="325"/>
      <c r="AMC59" s="325"/>
    </row>
    <row r="60" spans="3:1017" s="75" customFormat="1">
      <c r="C60" s="130"/>
      <c r="D60" s="130"/>
      <c r="CN60" s="225"/>
      <c r="CQ60" s="226"/>
      <c r="LD60" s="213"/>
      <c r="LH60" s="286"/>
      <c r="LI60" s="287"/>
      <c r="LJ60" s="124"/>
      <c r="LK60" s="124"/>
      <c r="LL60" s="124"/>
      <c r="LM60" s="124"/>
      <c r="LN60" s="124"/>
      <c r="LO60" s="124"/>
      <c r="LP60" s="124"/>
      <c r="LQ60" s="124"/>
      <c r="LR60" s="124"/>
      <c r="NE60" s="330"/>
      <c r="NF60" s="325"/>
      <c r="NG60" s="325"/>
      <c r="NH60" s="325"/>
      <c r="NI60" s="325"/>
      <c r="NJ60" s="325"/>
      <c r="NK60" s="325"/>
      <c r="NL60" s="325"/>
      <c r="NM60" s="325"/>
      <c r="NN60" s="325"/>
      <c r="NO60" s="325"/>
      <c r="NP60" s="325"/>
      <c r="NQ60" s="325"/>
      <c r="NR60" s="325"/>
      <c r="NS60" s="325"/>
      <c r="NT60" s="325"/>
      <c r="NU60" s="325"/>
      <c r="NV60" s="325"/>
      <c r="NW60" s="325"/>
      <c r="NX60" s="325"/>
      <c r="NY60" s="325"/>
      <c r="NZ60" s="325"/>
      <c r="OA60" s="325"/>
      <c r="OB60" s="325"/>
      <c r="OC60" s="325"/>
      <c r="OD60" s="325"/>
      <c r="OE60" s="325"/>
      <c r="OF60" s="325"/>
      <c r="OG60" s="325"/>
      <c r="OH60" s="325"/>
      <c r="OI60" s="325"/>
      <c r="OJ60" s="325"/>
      <c r="OK60" s="325"/>
      <c r="OL60" s="325"/>
      <c r="OM60" s="325"/>
      <c r="ON60" s="325"/>
      <c r="OO60" s="325"/>
      <c r="OP60" s="325"/>
      <c r="OQ60" s="325"/>
      <c r="OR60" s="325"/>
      <c r="OS60" s="325"/>
      <c r="OT60" s="325"/>
      <c r="OU60" s="325"/>
      <c r="OV60" s="325"/>
      <c r="OW60" s="325"/>
      <c r="OX60" s="325"/>
      <c r="OY60" s="325"/>
      <c r="OZ60" s="325"/>
      <c r="PA60" s="325"/>
      <c r="PB60" s="325"/>
      <c r="PC60" s="325"/>
      <c r="PD60" s="325"/>
      <c r="PE60" s="325"/>
      <c r="PF60" s="325"/>
      <c r="PG60" s="325"/>
      <c r="PH60" s="325"/>
      <c r="PI60" s="325"/>
      <c r="PJ60" s="325"/>
      <c r="PK60" s="325"/>
      <c r="PL60" s="325"/>
      <c r="PM60" s="325"/>
      <c r="PN60" s="325"/>
      <c r="PO60" s="325"/>
      <c r="PP60" s="325"/>
      <c r="PQ60" s="325"/>
      <c r="PR60" s="325"/>
      <c r="PS60" s="325"/>
      <c r="PT60" s="325"/>
      <c r="PU60" s="325"/>
      <c r="PV60" s="325"/>
      <c r="PW60" s="325"/>
      <c r="PX60" s="325"/>
      <c r="PY60" s="325"/>
      <c r="PZ60" s="325"/>
      <c r="QA60" s="325"/>
      <c r="QB60" s="325"/>
      <c r="QC60" s="325"/>
      <c r="QD60" s="325"/>
      <c r="QE60" s="325"/>
      <c r="QF60" s="325"/>
      <c r="QG60" s="325"/>
      <c r="QH60" s="325"/>
      <c r="QI60" s="325"/>
      <c r="QJ60" s="325"/>
      <c r="QK60" s="325"/>
      <c r="QL60" s="325"/>
      <c r="QM60" s="325"/>
      <c r="QN60" s="325"/>
      <c r="QO60" s="325"/>
      <c r="QP60" s="325"/>
      <c r="QQ60" s="325"/>
      <c r="QR60" s="325"/>
      <c r="QS60" s="325"/>
      <c r="QT60" s="325"/>
      <c r="QU60" s="325"/>
      <c r="QV60" s="325"/>
      <c r="QW60" s="325"/>
      <c r="QX60" s="325"/>
      <c r="QY60" s="325"/>
      <c r="QZ60" s="325"/>
      <c r="RA60" s="325"/>
      <c r="RB60" s="325"/>
      <c r="RC60" s="325"/>
      <c r="RD60" s="325"/>
      <c r="RE60" s="325"/>
      <c r="RF60" s="325"/>
      <c r="RG60" s="325"/>
      <c r="RH60" s="325"/>
      <c r="RI60" s="325"/>
      <c r="RJ60" s="325"/>
      <c r="RK60" s="325"/>
      <c r="RL60" s="325"/>
      <c r="RM60" s="325"/>
      <c r="RN60" s="325"/>
      <c r="RO60" s="325"/>
      <c r="RP60" s="325"/>
      <c r="RQ60" s="325"/>
      <c r="RR60" s="325"/>
      <c r="RS60" s="325"/>
      <c r="RT60" s="325"/>
      <c r="RU60" s="325"/>
      <c r="RV60" s="325"/>
      <c r="RW60" s="325"/>
      <c r="RX60" s="325"/>
      <c r="RY60" s="325"/>
      <c r="RZ60" s="325"/>
      <c r="SA60" s="325"/>
      <c r="SB60" s="325"/>
      <c r="SC60" s="325"/>
      <c r="SD60" s="325"/>
      <c r="SE60" s="325"/>
      <c r="SF60" s="325"/>
      <c r="SG60" s="325"/>
      <c r="SH60" s="325"/>
      <c r="SI60" s="325"/>
      <c r="SJ60" s="325"/>
      <c r="SK60" s="325"/>
      <c r="SL60" s="325"/>
      <c r="SM60" s="325"/>
      <c r="SN60" s="325"/>
      <c r="SO60" s="325"/>
      <c r="SP60" s="325"/>
      <c r="SQ60" s="325"/>
      <c r="SR60" s="325"/>
      <c r="SS60" s="325"/>
      <c r="ST60" s="325"/>
      <c r="SU60" s="325"/>
      <c r="SV60" s="325"/>
      <c r="SW60" s="325"/>
      <c r="SX60" s="325"/>
      <c r="SY60" s="325"/>
      <c r="SZ60" s="325"/>
      <c r="TA60" s="325"/>
      <c r="TB60" s="325"/>
      <c r="TC60" s="325"/>
      <c r="TD60" s="325"/>
      <c r="TE60" s="325"/>
      <c r="TF60" s="325"/>
      <c r="TG60" s="325"/>
      <c r="TH60" s="325"/>
      <c r="TI60" s="325"/>
      <c r="TJ60" s="325"/>
      <c r="TK60" s="325"/>
      <c r="TL60" s="325"/>
      <c r="TM60" s="325"/>
      <c r="TN60" s="325"/>
      <c r="TO60" s="325"/>
      <c r="TP60" s="325"/>
      <c r="TQ60" s="325"/>
      <c r="TR60" s="325"/>
      <c r="TS60" s="325"/>
      <c r="TT60" s="325"/>
      <c r="TU60" s="325"/>
      <c r="TV60" s="325"/>
      <c r="TW60" s="325"/>
      <c r="TX60" s="325"/>
      <c r="TY60" s="325"/>
      <c r="TZ60" s="325"/>
      <c r="UA60" s="325"/>
      <c r="UB60" s="325"/>
      <c r="UC60" s="325"/>
      <c r="UD60" s="325"/>
      <c r="UE60" s="325"/>
      <c r="UF60" s="325"/>
      <c r="UG60" s="325"/>
      <c r="UH60" s="325"/>
      <c r="UI60" s="325"/>
      <c r="UJ60" s="325"/>
      <c r="UK60" s="325"/>
      <c r="UL60" s="325"/>
      <c r="UM60" s="325"/>
      <c r="UN60" s="325"/>
      <c r="UO60" s="325"/>
      <c r="UP60" s="325"/>
      <c r="UQ60" s="325"/>
      <c r="UR60" s="325"/>
      <c r="US60" s="325"/>
      <c r="UT60" s="325"/>
      <c r="UU60" s="325"/>
      <c r="UV60" s="325"/>
      <c r="UW60" s="325"/>
      <c r="UX60" s="325"/>
      <c r="UY60" s="325"/>
      <c r="UZ60" s="325"/>
      <c r="VA60" s="325"/>
      <c r="VB60" s="325"/>
      <c r="VC60" s="325"/>
      <c r="VD60" s="325"/>
      <c r="VE60" s="325"/>
      <c r="VF60" s="325"/>
      <c r="VG60" s="325"/>
      <c r="VH60" s="325"/>
      <c r="VI60" s="325"/>
      <c r="VJ60" s="325"/>
      <c r="VK60" s="325"/>
      <c r="VL60" s="325"/>
      <c r="VM60" s="325"/>
      <c r="VN60" s="325"/>
      <c r="VO60" s="325"/>
      <c r="VP60" s="325"/>
      <c r="VQ60" s="325"/>
      <c r="VR60" s="325"/>
      <c r="VS60" s="325"/>
      <c r="VT60" s="325"/>
      <c r="VU60" s="325"/>
      <c r="VV60" s="325"/>
      <c r="VW60" s="325"/>
      <c r="VX60" s="325"/>
      <c r="VY60" s="325"/>
      <c r="VZ60" s="325"/>
      <c r="WA60" s="325"/>
      <c r="WB60" s="325"/>
      <c r="WC60" s="325"/>
      <c r="WD60" s="325"/>
      <c r="WE60" s="325"/>
      <c r="WF60" s="325"/>
      <c r="WG60" s="325"/>
      <c r="WH60" s="325"/>
      <c r="WI60" s="325"/>
      <c r="WJ60" s="325"/>
      <c r="WK60" s="325"/>
      <c r="WL60" s="325"/>
      <c r="WM60" s="325"/>
      <c r="WN60" s="325"/>
      <c r="WO60" s="325"/>
      <c r="WP60" s="325"/>
      <c r="WQ60" s="325"/>
      <c r="WR60" s="325"/>
      <c r="WS60" s="325"/>
      <c r="WT60" s="325"/>
      <c r="WU60" s="325"/>
      <c r="WV60" s="325"/>
      <c r="WW60" s="325"/>
      <c r="WX60" s="325"/>
      <c r="WY60" s="325"/>
      <c r="WZ60" s="325"/>
      <c r="XA60" s="325"/>
      <c r="XB60" s="325"/>
      <c r="XC60" s="325"/>
      <c r="XD60" s="325"/>
      <c r="XE60" s="325"/>
      <c r="XF60" s="325"/>
      <c r="XG60" s="325"/>
      <c r="XH60" s="325"/>
      <c r="XI60" s="325"/>
      <c r="XJ60" s="325"/>
      <c r="XK60" s="325"/>
      <c r="XL60" s="325"/>
      <c r="XM60" s="325"/>
      <c r="XN60" s="325"/>
      <c r="XO60" s="325"/>
      <c r="XP60" s="325"/>
      <c r="XQ60" s="325"/>
      <c r="XR60" s="325"/>
      <c r="XS60" s="325"/>
      <c r="XT60" s="325"/>
      <c r="XU60" s="325"/>
      <c r="XV60" s="325"/>
      <c r="XW60" s="325"/>
      <c r="XX60" s="325"/>
      <c r="XY60" s="325"/>
      <c r="XZ60" s="325"/>
      <c r="YA60" s="325"/>
      <c r="YB60" s="325"/>
      <c r="YC60" s="325"/>
      <c r="YD60" s="325"/>
      <c r="YE60" s="325"/>
      <c r="YF60" s="325"/>
      <c r="YG60" s="325"/>
      <c r="YH60" s="325"/>
      <c r="YI60" s="325"/>
      <c r="YJ60" s="325"/>
      <c r="YK60" s="325"/>
      <c r="YL60" s="325"/>
      <c r="YM60" s="325"/>
      <c r="YN60" s="325"/>
      <c r="YO60" s="325"/>
      <c r="YP60" s="325"/>
      <c r="YQ60" s="325"/>
      <c r="YR60" s="325"/>
      <c r="YS60" s="325"/>
      <c r="YT60" s="325"/>
      <c r="YU60" s="325"/>
      <c r="YV60" s="325"/>
      <c r="YW60" s="325"/>
      <c r="YX60" s="325"/>
      <c r="YY60" s="325"/>
      <c r="YZ60" s="325"/>
      <c r="ZA60" s="325"/>
      <c r="ZB60" s="325"/>
      <c r="ZC60" s="325"/>
      <c r="ZD60" s="325"/>
      <c r="ZE60" s="325"/>
      <c r="ZF60" s="325"/>
      <c r="ZG60" s="325"/>
      <c r="ZH60" s="325"/>
      <c r="ZI60" s="325"/>
      <c r="ZJ60" s="325"/>
      <c r="ZK60" s="325"/>
      <c r="ZL60" s="325"/>
      <c r="ZM60" s="325"/>
      <c r="ZN60" s="325"/>
      <c r="ZO60" s="325"/>
      <c r="ZP60" s="325"/>
      <c r="ZQ60" s="325"/>
      <c r="ZR60" s="325"/>
      <c r="ZS60" s="325"/>
      <c r="ZT60" s="325"/>
      <c r="ZU60" s="325"/>
      <c r="ZV60" s="325"/>
      <c r="ZW60" s="325"/>
      <c r="ZX60" s="325"/>
      <c r="ZY60" s="325"/>
      <c r="ZZ60" s="325"/>
      <c r="AAA60" s="325"/>
      <c r="AAB60" s="325"/>
      <c r="AAC60" s="325"/>
      <c r="AAD60" s="325"/>
      <c r="AAE60" s="325"/>
      <c r="AAF60" s="325"/>
      <c r="AAG60" s="325"/>
      <c r="AAH60" s="325"/>
      <c r="AAI60" s="325"/>
      <c r="AAJ60" s="325"/>
      <c r="AAK60" s="325"/>
      <c r="AAL60" s="325"/>
      <c r="AAM60" s="325"/>
      <c r="AAN60" s="325"/>
      <c r="AAO60" s="325"/>
      <c r="AAP60" s="325"/>
      <c r="AAQ60" s="325"/>
      <c r="AAR60" s="325"/>
      <c r="AAS60" s="325"/>
      <c r="AAT60" s="325"/>
      <c r="AAU60" s="325"/>
      <c r="AAV60" s="325"/>
      <c r="AAW60" s="325"/>
      <c r="AAX60" s="325"/>
      <c r="AAY60" s="325"/>
      <c r="AAZ60" s="325"/>
      <c r="ABA60" s="325"/>
      <c r="ABB60" s="325"/>
      <c r="ABC60" s="325"/>
      <c r="ABD60" s="325"/>
      <c r="ABE60" s="325"/>
      <c r="ABF60" s="325"/>
      <c r="ABG60" s="325"/>
      <c r="ABH60" s="325"/>
      <c r="ABI60" s="325"/>
      <c r="ABJ60" s="325"/>
      <c r="ABK60" s="325"/>
      <c r="ABL60" s="325"/>
      <c r="ABM60" s="325"/>
      <c r="ABN60" s="325"/>
      <c r="ABO60" s="325"/>
      <c r="ABP60" s="325"/>
      <c r="ABQ60" s="325"/>
      <c r="ABR60" s="325"/>
      <c r="ABS60" s="325"/>
      <c r="ABT60" s="325"/>
      <c r="ABU60" s="325"/>
      <c r="ABV60" s="325"/>
      <c r="ABW60" s="325"/>
      <c r="ABX60" s="325"/>
      <c r="ABY60" s="325"/>
      <c r="ABZ60" s="325"/>
      <c r="ACA60" s="325"/>
      <c r="ACB60" s="325"/>
      <c r="ACC60" s="325"/>
      <c r="ACD60" s="325"/>
      <c r="ACE60" s="325"/>
      <c r="ACF60" s="325"/>
      <c r="ACG60" s="325"/>
      <c r="ACH60" s="325"/>
      <c r="ACI60" s="325"/>
      <c r="ACJ60" s="325"/>
      <c r="ACK60" s="325"/>
      <c r="ACL60" s="325"/>
      <c r="ACM60" s="325"/>
      <c r="ACN60" s="325"/>
      <c r="ACO60" s="325"/>
      <c r="ACP60" s="325"/>
      <c r="ACQ60" s="325"/>
      <c r="ACR60" s="325"/>
      <c r="ACS60" s="325"/>
      <c r="ACT60" s="325"/>
      <c r="ACU60" s="325"/>
      <c r="ACV60" s="325"/>
      <c r="ACW60" s="325"/>
      <c r="ACX60" s="325"/>
      <c r="ACY60" s="325"/>
      <c r="ACZ60" s="325"/>
      <c r="ADA60" s="325"/>
      <c r="ADB60" s="325"/>
      <c r="ADC60" s="325"/>
      <c r="ADD60" s="325"/>
      <c r="ADE60" s="325"/>
      <c r="ADF60" s="325"/>
      <c r="ADG60" s="325"/>
      <c r="ADH60" s="325"/>
      <c r="ADI60" s="325"/>
      <c r="ADJ60" s="325"/>
      <c r="ADK60" s="325"/>
      <c r="ADL60" s="325"/>
      <c r="ADM60" s="325"/>
      <c r="ADN60" s="325"/>
      <c r="ADO60" s="325"/>
      <c r="ADP60" s="325"/>
      <c r="ADQ60" s="325"/>
      <c r="ADR60" s="325"/>
      <c r="ADS60" s="325"/>
      <c r="ADT60" s="325"/>
      <c r="ADU60" s="325"/>
      <c r="ADV60" s="325"/>
      <c r="ADW60" s="325"/>
      <c r="ADX60" s="325"/>
      <c r="ADY60" s="325"/>
      <c r="ADZ60" s="325"/>
      <c r="AEA60" s="325"/>
      <c r="AEB60" s="325"/>
      <c r="AEC60" s="325"/>
      <c r="AED60" s="325"/>
      <c r="AEE60" s="325"/>
      <c r="AEF60" s="325"/>
      <c r="AEG60" s="325"/>
      <c r="AEH60" s="325"/>
      <c r="AEI60" s="325"/>
      <c r="AEJ60" s="325"/>
      <c r="AEK60" s="325"/>
      <c r="AEL60" s="325"/>
      <c r="AEM60" s="325"/>
      <c r="AEN60" s="325"/>
      <c r="AEO60" s="325"/>
      <c r="AEP60" s="325"/>
      <c r="AEQ60" s="325"/>
      <c r="AER60" s="325"/>
      <c r="AES60" s="325"/>
      <c r="AET60" s="325"/>
      <c r="AEU60" s="325"/>
      <c r="AEV60" s="325"/>
      <c r="AEW60" s="325"/>
      <c r="AEX60" s="325"/>
      <c r="AEY60" s="325"/>
      <c r="AEZ60" s="325"/>
      <c r="AFA60" s="325"/>
      <c r="AFB60" s="325"/>
      <c r="AFC60" s="325"/>
      <c r="AFD60" s="325"/>
      <c r="AFE60" s="325"/>
      <c r="AFF60" s="325"/>
      <c r="AFG60" s="325"/>
      <c r="AFH60" s="325"/>
      <c r="AFI60" s="325"/>
      <c r="AFJ60" s="325"/>
      <c r="AFK60" s="325"/>
      <c r="AFL60" s="325"/>
      <c r="AFM60" s="325"/>
      <c r="AFN60" s="325"/>
      <c r="AFO60" s="325"/>
      <c r="AFP60" s="325"/>
      <c r="AFQ60" s="325"/>
      <c r="AFR60" s="325"/>
      <c r="AFS60" s="325"/>
      <c r="AFT60" s="325"/>
      <c r="AFU60" s="325"/>
      <c r="AFV60" s="325"/>
      <c r="AFW60" s="325"/>
      <c r="AFX60" s="325"/>
      <c r="AFY60" s="325"/>
      <c r="AFZ60" s="325"/>
      <c r="AGA60" s="325"/>
      <c r="AGB60" s="325"/>
      <c r="AGC60" s="325"/>
      <c r="AGD60" s="325"/>
      <c r="AGE60" s="325"/>
      <c r="AGF60" s="325"/>
      <c r="AGG60" s="325"/>
      <c r="AGH60" s="325"/>
      <c r="AGI60" s="325"/>
      <c r="AGJ60" s="325"/>
      <c r="AGK60" s="325"/>
      <c r="AGL60" s="325"/>
      <c r="AGM60" s="325"/>
      <c r="AGN60" s="325"/>
      <c r="AGO60" s="325"/>
      <c r="AGP60" s="325"/>
      <c r="AGQ60" s="325"/>
      <c r="AGR60" s="325"/>
      <c r="AGS60" s="325"/>
      <c r="AGT60" s="325"/>
      <c r="AGU60" s="325"/>
      <c r="AGV60" s="325"/>
      <c r="AGW60" s="325"/>
      <c r="AGX60" s="325"/>
      <c r="AGY60" s="325"/>
      <c r="AGZ60" s="325"/>
      <c r="AHA60" s="325"/>
      <c r="AHB60" s="325"/>
      <c r="AHC60" s="325"/>
      <c r="AHD60" s="325"/>
      <c r="AHE60" s="325"/>
      <c r="AHF60" s="325"/>
      <c r="AHG60" s="325"/>
      <c r="AHH60" s="325"/>
      <c r="AHI60" s="325"/>
      <c r="AHJ60" s="325"/>
      <c r="AHK60" s="325"/>
      <c r="AHL60" s="325"/>
      <c r="AHM60" s="325"/>
      <c r="AHN60" s="325"/>
      <c r="AHO60" s="325"/>
      <c r="AHP60" s="325"/>
      <c r="AHQ60" s="325"/>
      <c r="AHR60" s="325"/>
      <c r="AHS60" s="325"/>
      <c r="AHT60" s="325"/>
      <c r="AHU60" s="325"/>
      <c r="AHV60" s="325"/>
      <c r="AHW60" s="325"/>
      <c r="AHX60" s="325"/>
      <c r="AHY60" s="325"/>
      <c r="AHZ60" s="325"/>
      <c r="AIA60" s="325"/>
      <c r="AIB60" s="325"/>
      <c r="AIC60" s="325"/>
      <c r="AID60" s="325"/>
      <c r="AIE60" s="325"/>
      <c r="AIF60" s="325"/>
      <c r="AIG60" s="325"/>
      <c r="AIH60" s="325"/>
      <c r="AII60" s="325"/>
      <c r="AIJ60" s="325"/>
      <c r="AIK60" s="325"/>
      <c r="AIL60" s="325"/>
      <c r="AIM60" s="325"/>
      <c r="AIN60" s="325"/>
      <c r="AIO60" s="325"/>
      <c r="AIP60" s="325"/>
      <c r="AIQ60" s="325"/>
      <c r="AIR60" s="325"/>
      <c r="AIS60" s="325"/>
      <c r="AIT60" s="325"/>
      <c r="AIU60" s="325"/>
      <c r="AIV60" s="325"/>
      <c r="AIW60" s="325"/>
      <c r="AIX60" s="325"/>
      <c r="AIY60" s="325"/>
      <c r="AIZ60" s="325"/>
      <c r="AJA60" s="325"/>
      <c r="AJB60" s="325"/>
      <c r="AJC60" s="325"/>
      <c r="AJD60" s="325"/>
      <c r="AJE60" s="325"/>
      <c r="AJF60" s="325"/>
      <c r="AJG60" s="325"/>
      <c r="AJH60" s="325"/>
      <c r="AJI60" s="325"/>
      <c r="AJJ60" s="325"/>
      <c r="AJK60" s="325"/>
      <c r="AJL60" s="325"/>
      <c r="AJM60" s="325"/>
      <c r="AJN60" s="325"/>
      <c r="AJO60" s="325"/>
      <c r="AJP60" s="325"/>
      <c r="AJQ60" s="325"/>
      <c r="AJR60" s="325"/>
      <c r="AJS60" s="325"/>
      <c r="AJT60" s="325"/>
      <c r="AJU60" s="325"/>
      <c r="AJV60" s="325"/>
      <c r="AJW60" s="325"/>
      <c r="AJX60" s="325"/>
      <c r="AJY60" s="325"/>
      <c r="AJZ60" s="325"/>
      <c r="AKA60" s="325"/>
      <c r="AKB60" s="325"/>
      <c r="AKC60" s="325"/>
      <c r="AKD60" s="325"/>
      <c r="AKE60" s="325"/>
      <c r="AKF60" s="325"/>
      <c r="AKG60" s="325"/>
      <c r="AKH60" s="325"/>
      <c r="AKI60" s="325"/>
      <c r="AKJ60" s="325"/>
      <c r="AKK60" s="325"/>
      <c r="AKL60" s="325"/>
      <c r="AKM60" s="325"/>
      <c r="AKN60" s="325"/>
      <c r="AKO60" s="325"/>
      <c r="AKP60" s="325"/>
      <c r="AKQ60" s="325"/>
      <c r="AKR60" s="325"/>
      <c r="AKS60" s="325"/>
      <c r="AKT60" s="325"/>
      <c r="AKU60" s="325"/>
      <c r="AKV60" s="325"/>
      <c r="AKW60" s="325"/>
      <c r="AKX60" s="325"/>
      <c r="AKY60" s="325"/>
      <c r="AKZ60" s="325"/>
      <c r="ALA60" s="325"/>
      <c r="ALB60" s="325"/>
      <c r="ALC60" s="325"/>
      <c r="ALD60" s="325"/>
      <c r="ALE60" s="325"/>
      <c r="ALF60" s="325"/>
      <c r="ALG60" s="325"/>
      <c r="ALH60" s="325"/>
      <c r="ALI60" s="325"/>
      <c r="ALJ60" s="325"/>
      <c r="ALK60" s="325"/>
      <c r="ALL60" s="325"/>
      <c r="ALM60" s="325"/>
      <c r="ALN60" s="325"/>
      <c r="ALO60" s="325"/>
      <c r="ALP60" s="325"/>
      <c r="ALQ60" s="325"/>
      <c r="ALR60" s="325"/>
      <c r="ALS60" s="325"/>
      <c r="ALT60" s="325"/>
      <c r="ALU60" s="325"/>
      <c r="ALV60" s="325"/>
      <c r="ALW60" s="325"/>
      <c r="ALX60" s="325"/>
      <c r="ALY60" s="325"/>
      <c r="ALZ60" s="325"/>
      <c r="AMA60" s="325"/>
      <c r="AMB60" s="325"/>
      <c r="AMC60" s="325"/>
    </row>
    <row r="61" spans="3:1017" s="75" customFormat="1">
      <c r="C61" s="130"/>
      <c r="D61" s="130"/>
      <c r="CN61" s="225"/>
      <c r="CQ61" s="226"/>
      <c r="LD61" s="213"/>
      <c r="LH61" s="286"/>
      <c r="LI61" s="287"/>
      <c r="LJ61" s="124"/>
      <c r="LK61" s="124"/>
      <c r="LL61" s="124"/>
      <c r="LM61" s="124"/>
      <c r="LN61" s="124"/>
      <c r="LO61" s="124"/>
      <c r="LP61" s="124"/>
      <c r="LQ61" s="124"/>
      <c r="LR61" s="124"/>
      <c r="NE61" s="330"/>
      <c r="NF61" s="325"/>
      <c r="NG61" s="325"/>
      <c r="NH61" s="325"/>
      <c r="NI61" s="325"/>
      <c r="NJ61" s="325"/>
      <c r="NK61" s="325"/>
      <c r="NL61" s="325"/>
      <c r="NM61" s="325"/>
      <c r="NN61" s="325"/>
      <c r="NO61" s="325"/>
      <c r="NP61" s="325"/>
      <c r="NQ61" s="325"/>
      <c r="NR61" s="325"/>
      <c r="NS61" s="325"/>
      <c r="NT61" s="325"/>
      <c r="NU61" s="325"/>
      <c r="NV61" s="325"/>
      <c r="NW61" s="325"/>
      <c r="NX61" s="325"/>
      <c r="NY61" s="325"/>
      <c r="NZ61" s="325"/>
      <c r="OA61" s="325"/>
      <c r="OB61" s="325"/>
      <c r="OC61" s="325"/>
      <c r="OD61" s="325"/>
      <c r="OE61" s="325"/>
      <c r="OF61" s="325"/>
      <c r="OG61" s="325"/>
      <c r="OH61" s="325"/>
      <c r="OI61" s="325"/>
      <c r="OJ61" s="325"/>
      <c r="OK61" s="325"/>
      <c r="OL61" s="325"/>
      <c r="OM61" s="325"/>
      <c r="ON61" s="325"/>
      <c r="OO61" s="325"/>
      <c r="OP61" s="325"/>
      <c r="OQ61" s="325"/>
      <c r="OR61" s="325"/>
      <c r="OS61" s="325"/>
      <c r="OT61" s="325"/>
      <c r="OU61" s="325"/>
      <c r="OV61" s="325"/>
      <c r="OW61" s="325"/>
      <c r="OX61" s="325"/>
      <c r="OY61" s="325"/>
      <c r="OZ61" s="325"/>
      <c r="PA61" s="325"/>
      <c r="PB61" s="325"/>
      <c r="PC61" s="325"/>
      <c r="PD61" s="325"/>
      <c r="PE61" s="325"/>
      <c r="PF61" s="325"/>
      <c r="PG61" s="325"/>
      <c r="PH61" s="325"/>
      <c r="PI61" s="325"/>
      <c r="PJ61" s="325"/>
      <c r="PK61" s="325"/>
      <c r="PL61" s="325"/>
      <c r="PM61" s="325"/>
      <c r="PN61" s="325"/>
      <c r="PO61" s="325"/>
      <c r="PP61" s="325"/>
      <c r="PQ61" s="325"/>
      <c r="PR61" s="325"/>
      <c r="PS61" s="325"/>
      <c r="PT61" s="325"/>
      <c r="PU61" s="325"/>
      <c r="PV61" s="325"/>
      <c r="PW61" s="325"/>
      <c r="PX61" s="325"/>
      <c r="PY61" s="325"/>
      <c r="PZ61" s="325"/>
      <c r="QA61" s="325"/>
      <c r="QB61" s="325"/>
      <c r="QC61" s="325"/>
      <c r="QD61" s="325"/>
      <c r="QE61" s="325"/>
      <c r="QF61" s="325"/>
      <c r="QG61" s="325"/>
      <c r="QH61" s="325"/>
      <c r="QI61" s="325"/>
      <c r="QJ61" s="325"/>
      <c r="QK61" s="325"/>
      <c r="QL61" s="325"/>
      <c r="QM61" s="325"/>
      <c r="QN61" s="325"/>
      <c r="QO61" s="325"/>
      <c r="QP61" s="325"/>
      <c r="QQ61" s="325"/>
      <c r="QR61" s="325"/>
      <c r="QS61" s="325"/>
      <c r="QT61" s="325"/>
      <c r="QU61" s="325"/>
      <c r="QV61" s="325"/>
      <c r="QW61" s="325"/>
      <c r="QX61" s="325"/>
      <c r="QY61" s="325"/>
      <c r="QZ61" s="325"/>
      <c r="RA61" s="325"/>
      <c r="RB61" s="325"/>
      <c r="RC61" s="325"/>
      <c r="RD61" s="325"/>
      <c r="RE61" s="325"/>
      <c r="RF61" s="325"/>
      <c r="RG61" s="325"/>
      <c r="RH61" s="325"/>
      <c r="RI61" s="325"/>
      <c r="RJ61" s="325"/>
      <c r="RK61" s="325"/>
      <c r="RL61" s="325"/>
      <c r="RM61" s="325"/>
      <c r="RN61" s="325"/>
      <c r="RO61" s="325"/>
      <c r="RP61" s="325"/>
      <c r="RQ61" s="325"/>
      <c r="RR61" s="325"/>
      <c r="RS61" s="325"/>
      <c r="RT61" s="325"/>
      <c r="RU61" s="325"/>
      <c r="RV61" s="325"/>
      <c r="RW61" s="325"/>
      <c r="RX61" s="325"/>
      <c r="RY61" s="325"/>
      <c r="RZ61" s="325"/>
      <c r="SA61" s="325"/>
      <c r="SB61" s="325"/>
      <c r="SC61" s="325"/>
      <c r="SD61" s="325"/>
      <c r="SE61" s="325"/>
      <c r="SF61" s="325"/>
      <c r="SG61" s="325"/>
      <c r="SH61" s="325"/>
      <c r="SI61" s="325"/>
      <c r="SJ61" s="325"/>
      <c r="SK61" s="325"/>
      <c r="SL61" s="325"/>
      <c r="SM61" s="325"/>
      <c r="SN61" s="325"/>
      <c r="SO61" s="325"/>
      <c r="SP61" s="325"/>
      <c r="SQ61" s="325"/>
      <c r="SR61" s="325"/>
      <c r="SS61" s="325"/>
      <c r="ST61" s="325"/>
      <c r="SU61" s="325"/>
      <c r="SV61" s="325"/>
      <c r="SW61" s="325"/>
      <c r="SX61" s="325"/>
      <c r="SY61" s="325"/>
      <c r="SZ61" s="325"/>
      <c r="TA61" s="325"/>
      <c r="TB61" s="325"/>
      <c r="TC61" s="325"/>
      <c r="TD61" s="325"/>
      <c r="TE61" s="325"/>
      <c r="TF61" s="325"/>
      <c r="TG61" s="325"/>
      <c r="TH61" s="325"/>
      <c r="TI61" s="325"/>
      <c r="TJ61" s="325"/>
      <c r="TK61" s="325"/>
      <c r="TL61" s="325"/>
      <c r="TM61" s="325"/>
      <c r="TN61" s="325"/>
      <c r="TO61" s="325"/>
      <c r="TP61" s="325"/>
      <c r="TQ61" s="325"/>
      <c r="TR61" s="325"/>
      <c r="TS61" s="325"/>
      <c r="TT61" s="325"/>
      <c r="TU61" s="325"/>
      <c r="TV61" s="325"/>
      <c r="TW61" s="325"/>
      <c r="TX61" s="325"/>
      <c r="TY61" s="325"/>
      <c r="TZ61" s="325"/>
      <c r="UA61" s="325"/>
      <c r="UB61" s="325"/>
      <c r="UC61" s="325"/>
      <c r="UD61" s="325"/>
      <c r="UE61" s="325"/>
      <c r="UF61" s="325"/>
      <c r="UG61" s="325"/>
      <c r="UH61" s="325"/>
      <c r="UI61" s="325"/>
      <c r="UJ61" s="325"/>
      <c r="UK61" s="325"/>
      <c r="UL61" s="325"/>
      <c r="UM61" s="325"/>
      <c r="UN61" s="325"/>
      <c r="UO61" s="325"/>
      <c r="UP61" s="325"/>
      <c r="UQ61" s="325"/>
      <c r="UR61" s="325"/>
      <c r="US61" s="325"/>
      <c r="UT61" s="325"/>
      <c r="UU61" s="325"/>
      <c r="UV61" s="325"/>
      <c r="UW61" s="325"/>
      <c r="UX61" s="325"/>
      <c r="UY61" s="325"/>
      <c r="UZ61" s="325"/>
      <c r="VA61" s="325"/>
      <c r="VB61" s="325"/>
      <c r="VC61" s="325"/>
      <c r="VD61" s="325"/>
      <c r="VE61" s="325"/>
      <c r="VF61" s="325"/>
      <c r="VG61" s="325"/>
      <c r="VH61" s="325"/>
      <c r="VI61" s="325"/>
      <c r="VJ61" s="325"/>
      <c r="VK61" s="325"/>
      <c r="VL61" s="325"/>
      <c r="VM61" s="325"/>
      <c r="VN61" s="325"/>
      <c r="VO61" s="325"/>
      <c r="VP61" s="325"/>
      <c r="VQ61" s="325"/>
      <c r="VR61" s="325"/>
      <c r="VS61" s="325"/>
      <c r="VT61" s="325"/>
      <c r="VU61" s="325"/>
      <c r="VV61" s="325"/>
      <c r="VW61" s="325"/>
      <c r="VX61" s="325"/>
      <c r="VY61" s="325"/>
      <c r="VZ61" s="325"/>
      <c r="WA61" s="325"/>
      <c r="WB61" s="325"/>
      <c r="WC61" s="325"/>
      <c r="WD61" s="325"/>
      <c r="WE61" s="325"/>
      <c r="WF61" s="325"/>
      <c r="WG61" s="325"/>
      <c r="WH61" s="325"/>
      <c r="WI61" s="325"/>
      <c r="WJ61" s="325"/>
      <c r="WK61" s="325"/>
      <c r="WL61" s="325"/>
      <c r="WM61" s="325"/>
      <c r="WN61" s="325"/>
      <c r="WO61" s="325"/>
      <c r="WP61" s="325"/>
      <c r="WQ61" s="325"/>
      <c r="WR61" s="325"/>
      <c r="WS61" s="325"/>
      <c r="WT61" s="325"/>
      <c r="WU61" s="325"/>
      <c r="WV61" s="325"/>
      <c r="WW61" s="325"/>
      <c r="WX61" s="325"/>
      <c r="WY61" s="325"/>
      <c r="WZ61" s="325"/>
      <c r="XA61" s="325"/>
      <c r="XB61" s="325"/>
      <c r="XC61" s="325"/>
      <c r="XD61" s="325"/>
      <c r="XE61" s="325"/>
      <c r="XF61" s="325"/>
      <c r="XG61" s="325"/>
      <c r="XH61" s="325"/>
      <c r="XI61" s="325"/>
      <c r="XJ61" s="325"/>
      <c r="XK61" s="325"/>
      <c r="XL61" s="325"/>
      <c r="XM61" s="325"/>
      <c r="XN61" s="325"/>
      <c r="XO61" s="325"/>
      <c r="XP61" s="325"/>
      <c r="XQ61" s="325"/>
      <c r="XR61" s="325"/>
      <c r="XS61" s="325"/>
      <c r="XT61" s="325"/>
      <c r="XU61" s="325"/>
      <c r="XV61" s="325"/>
      <c r="XW61" s="325"/>
      <c r="XX61" s="325"/>
      <c r="XY61" s="325"/>
      <c r="XZ61" s="325"/>
      <c r="YA61" s="325"/>
      <c r="YB61" s="325"/>
      <c r="YC61" s="325"/>
      <c r="YD61" s="325"/>
      <c r="YE61" s="325"/>
      <c r="YF61" s="325"/>
      <c r="YG61" s="325"/>
      <c r="YH61" s="325"/>
      <c r="YI61" s="325"/>
      <c r="YJ61" s="325"/>
      <c r="YK61" s="325"/>
      <c r="YL61" s="325"/>
      <c r="YM61" s="325"/>
      <c r="YN61" s="325"/>
      <c r="YO61" s="325"/>
      <c r="YP61" s="325"/>
      <c r="YQ61" s="325"/>
      <c r="YR61" s="325"/>
      <c r="YS61" s="325"/>
      <c r="YT61" s="325"/>
      <c r="YU61" s="325"/>
      <c r="YV61" s="325"/>
      <c r="YW61" s="325"/>
      <c r="YX61" s="325"/>
      <c r="YY61" s="325"/>
      <c r="YZ61" s="325"/>
      <c r="ZA61" s="325"/>
      <c r="ZB61" s="325"/>
      <c r="ZC61" s="325"/>
      <c r="ZD61" s="325"/>
      <c r="ZE61" s="325"/>
      <c r="ZF61" s="325"/>
      <c r="ZG61" s="325"/>
      <c r="ZH61" s="325"/>
      <c r="ZI61" s="325"/>
      <c r="ZJ61" s="325"/>
      <c r="ZK61" s="325"/>
      <c r="ZL61" s="325"/>
      <c r="ZM61" s="325"/>
      <c r="ZN61" s="325"/>
      <c r="ZO61" s="325"/>
      <c r="ZP61" s="325"/>
      <c r="ZQ61" s="325"/>
      <c r="ZR61" s="325"/>
      <c r="ZS61" s="325"/>
      <c r="ZT61" s="325"/>
      <c r="ZU61" s="325"/>
      <c r="ZV61" s="325"/>
      <c r="ZW61" s="325"/>
      <c r="ZX61" s="325"/>
      <c r="ZY61" s="325"/>
      <c r="ZZ61" s="325"/>
      <c r="AAA61" s="325"/>
      <c r="AAB61" s="325"/>
      <c r="AAC61" s="325"/>
      <c r="AAD61" s="325"/>
      <c r="AAE61" s="325"/>
      <c r="AAF61" s="325"/>
      <c r="AAG61" s="325"/>
      <c r="AAH61" s="325"/>
      <c r="AAI61" s="325"/>
      <c r="AAJ61" s="325"/>
      <c r="AAK61" s="325"/>
      <c r="AAL61" s="325"/>
      <c r="AAM61" s="325"/>
      <c r="AAN61" s="325"/>
      <c r="AAO61" s="325"/>
      <c r="AAP61" s="325"/>
      <c r="AAQ61" s="325"/>
      <c r="AAR61" s="325"/>
      <c r="AAS61" s="325"/>
      <c r="AAT61" s="325"/>
      <c r="AAU61" s="325"/>
      <c r="AAV61" s="325"/>
      <c r="AAW61" s="325"/>
      <c r="AAX61" s="325"/>
      <c r="AAY61" s="325"/>
      <c r="AAZ61" s="325"/>
      <c r="ABA61" s="325"/>
      <c r="ABB61" s="325"/>
      <c r="ABC61" s="325"/>
      <c r="ABD61" s="325"/>
      <c r="ABE61" s="325"/>
      <c r="ABF61" s="325"/>
      <c r="ABG61" s="325"/>
      <c r="ABH61" s="325"/>
      <c r="ABI61" s="325"/>
      <c r="ABJ61" s="325"/>
      <c r="ABK61" s="325"/>
      <c r="ABL61" s="325"/>
      <c r="ABM61" s="325"/>
      <c r="ABN61" s="325"/>
      <c r="ABO61" s="325"/>
      <c r="ABP61" s="325"/>
      <c r="ABQ61" s="325"/>
      <c r="ABR61" s="325"/>
      <c r="ABS61" s="325"/>
      <c r="ABT61" s="325"/>
      <c r="ABU61" s="325"/>
      <c r="ABV61" s="325"/>
      <c r="ABW61" s="325"/>
      <c r="ABX61" s="325"/>
      <c r="ABY61" s="325"/>
      <c r="ABZ61" s="325"/>
      <c r="ACA61" s="325"/>
      <c r="ACB61" s="325"/>
      <c r="ACC61" s="325"/>
      <c r="ACD61" s="325"/>
      <c r="ACE61" s="325"/>
      <c r="ACF61" s="325"/>
      <c r="ACG61" s="325"/>
      <c r="ACH61" s="325"/>
      <c r="ACI61" s="325"/>
      <c r="ACJ61" s="325"/>
      <c r="ACK61" s="325"/>
      <c r="ACL61" s="325"/>
      <c r="ACM61" s="325"/>
      <c r="ACN61" s="325"/>
      <c r="ACO61" s="325"/>
      <c r="ACP61" s="325"/>
      <c r="ACQ61" s="325"/>
      <c r="ACR61" s="325"/>
      <c r="ACS61" s="325"/>
      <c r="ACT61" s="325"/>
      <c r="ACU61" s="325"/>
      <c r="ACV61" s="325"/>
      <c r="ACW61" s="325"/>
      <c r="ACX61" s="325"/>
      <c r="ACY61" s="325"/>
      <c r="ACZ61" s="325"/>
      <c r="ADA61" s="325"/>
      <c r="ADB61" s="325"/>
      <c r="ADC61" s="325"/>
      <c r="ADD61" s="325"/>
      <c r="ADE61" s="325"/>
      <c r="ADF61" s="325"/>
      <c r="ADG61" s="325"/>
      <c r="ADH61" s="325"/>
      <c r="ADI61" s="325"/>
      <c r="ADJ61" s="325"/>
      <c r="ADK61" s="325"/>
      <c r="ADL61" s="325"/>
      <c r="ADM61" s="325"/>
      <c r="ADN61" s="325"/>
      <c r="ADO61" s="325"/>
      <c r="ADP61" s="325"/>
      <c r="ADQ61" s="325"/>
      <c r="ADR61" s="325"/>
      <c r="ADS61" s="325"/>
      <c r="ADT61" s="325"/>
      <c r="ADU61" s="325"/>
      <c r="ADV61" s="325"/>
      <c r="ADW61" s="325"/>
      <c r="ADX61" s="325"/>
      <c r="ADY61" s="325"/>
      <c r="ADZ61" s="325"/>
      <c r="AEA61" s="325"/>
      <c r="AEB61" s="325"/>
      <c r="AEC61" s="325"/>
      <c r="AED61" s="325"/>
      <c r="AEE61" s="325"/>
      <c r="AEF61" s="325"/>
      <c r="AEG61" s="325"/>
      <c r="AEH61" s="325"/>
      <c r="AEI61" s="325"/>
      <c r="AEJ61" s="325"/>
      <c r="AEK61" s="325"/>
      <c r="AEL61" s="325"/>
      <c r="AEM61" s="325"/>
      <c r="AEN61" s="325"/>
      <c r="AEO61" s="325"/>
      <c r="AEP61" s="325"/>
      <c r="AEQ61" s="325"/>
      <c r="AER61" s="325"/>
      <c r="AES61" s="325"/>
      <c r="AET61" s="325"/>
      <c r="AEU61" s="325"/>
      <c r="AEV61" s="325"/>
      <c r="AEW61" s="325"/>
      <c r="AEX61" s="325"/>
      <c r="AEY61" s="325"/>
      <c r="AEZ61" s="325"/>
      <c r="AFA61" s="325"/>
      <c r="AFB61" s="325"/>
      <c r="AFC61" s="325"/>
      <c r="AFD61" s="325"/>
      <c r="AFE61" s="325"/>
      <c r="AFF61" s="325"/>
      <c r="AFG61" s="325"/>
      <c r="AFH61" s="325"/>
      <c r="AFI61" s="325"/>
      <c r="AFJ61" s="325"/>
      <c r="AFK61" s="325"/>
      <c r="AFL61" s="325"/>
      <c r="AFM61" s="325"/>
      <c r="AFN61" s="325"/>
      <c r="AFO61" s="325"/>
      <c r="AFP61" s="325"/>
      <c r="AFQ61" s="325"/>
      <c r="AFR61" s="325"/>
      <c r="AFS61" s="325"/>
      <c r="AFT61" s="325"/>
      <c r="AFU61" s="325"/>
      <c r="AFV61" s="325"/>
      <c r="AFW61" s="325"/>
      <c r="AFX61" s="325"/>
      <c r="AFY61" s="325"/>
      <c r="AFZ61" s="325"/>
      <c r="AGA61" s="325"/>
      <c r="AGB61" s="325"/>
      <c r="AGC61" s="325"/>
      <c r="AGD61" s="325"/>
      <c r="AGE61" s="325"/>
      <c r="AGF61" s="325"/>
      <c r="AGG61" s="325"/>
      <c r="AGH61" s="325"/>
      <c r="AGI61" s="325"/>
      <c r="AGJ61" s="325"/>
      <c r="AGK61" s="325"/>
      <c r="AGL61" s="325"/>
      <c r="AGM61" s="325"/>
      <c r="AGN61" s="325"/>
      <c r="AGO61" s="325"/>
      <c r="AGP61" s="325"/>
      <c r="AGQ61" s="325"/>
      <c r="AGR61" s="325"/>
      <c r="AGS61" s="325"/>
      <c r="AGT61" s="325"/>
      <c r="AGU61" s="325"/>
      <c r="AGV61" s="325"/>
      <c r="AGW61" s="325"/>
      <c r="AGX61" s="325"/>
      <c r="AGY61" s="325"/>
      <c r="AGZ61" s="325"/>
      <c r="AHA61" s="325"/>
      <c r="AHB61" s="325"/>
      <c r="AHC61" s="325"/>
      <c r="AHD61" s="325"/>
      <c r="AHE61" s="325"/>
      <c r="AHF61" s="325"/>
      <c r="AHG61" s="325"/>
      <c r="AHH61" s="325"/>
      <c r="AHI61" s="325"/>
      <c r="AHJ61" s="325"/>
      <c r="AHK61" s="325"/>
      <c r="AHL61" s="325"/>
      <c r="AHM61" s="325"/>
      <c r="AHN61" s="325"/>
      <c r="AHO61" s="325"/>
      <c r="AHP61" s="325"/>
      <c r="AHQ61" s="325"/>
      <c r="AHR61" s="325"/>
      <c r="AHS61" s="325"/>
      <c r="AHT61" s="325"/>
      <c r="AHU61" s="325"/>
      <c r="AHV61" s="325"/>
      <c r="AHW61" s="325"/>
      <c r="AHX61" s="325"/>
      <c r="AHY61" s="325"/>
      <c r="AHZ61" s="325"/>
      <c r="AIA61" s="325"/>
      <c r="AIB61" s="325"/>
      <c r="AIC61" s="325"/>
      <c r="AID61" s="325"/>
      <c r="AIE61" s="325"/>
      <c r="AIF61" s="325"/>
      <c r="AIG61" s="325"/>
      <c r="AIH61" s="325"/>
      <c r="AII61" s="325"/>
      <c r="AIJ61" s="325"/>
      <c r="AIK61" s="325"/>
      <c r="AIL61" s="325"/>
      <c r="AIM61" s="325"/>
      <c r="AIN61" s="325"/>
      <c r="AIO61" s="325"/>
      <c r="AIP61" s="325"/>
      <c r="AIQ61" s="325"/>
      <c r="AIR61" s="325"/>
      <c r="AIS61" s="325"/>
      <c r="AIT61" s="325"/>
      <c r="AIU61" s="325"/>
      <c r="AIV61" s="325"/>
      <c r="AIW61" s="325"/>
      <c r="AIX61" s="325"/>
      <c r="AIY61" s="325"/>
      <c r="AIZ61" s="325"/>
      <c r="AJA61" s="325"/>
      <c r="AJB61" s="325"/>
      <c r="AJC61" s="325"/>
      <c r="AJD61" s="325"/>
      <c r="AJE61" s="325"/>
      <c r="AJF61" s="325"/>
      <c r="AJG61" s="325"/>
      <c r="AJH61" s="325"/>
      <c r="AJI61" s="325"/>
      <c r="AJJ61" s="325"/>
      <c r="AJK61" s="325"/>
      <c r="AJL61" s="325"/>
      <c r="AJM61" s="325"/>
      <c r="AJN61" s="325"/>
      <c r="AJO61" s="325"/>
      <c r="AJP61" s="325"/>
      <c r="AJQ61" s="325"/>
      <c r="AJR61" s="325"/>
      <c r="AJS61" s="325"/>
      <c r="AJT61" s="325"/>
      <c r="AJU61" s="325"/>
      <c r="AJV61" s="325"/>
      <c r="AJW61" s="325"/>
      <c r="AJX61" s="325"/>
      <c r="AJY61" s="325"/>
      <c r="AJZ61" s="325"/>
      <c r="AKA61" s="325"/>
      <c r="AKB61" s="325"/>
      <c r="AKC61" s="325"/>
      <c r="AKD61" s="325"/>
      <c r="AKE61" s="325"/>
      <c r="AKF61" s="325"/>
      <c r="AKG61" s="325"/>
      <c r="AKH61" s="325"/>
      <c r="AKI61" s="325"/>
      <c r="AKJ61" s="325"/>
      <c r="AKK61" s="325"/>
      <c r="AKL61" s="325"/>
      <c r="AKM61" s="325"/>
      <c r="AKN61" s="325"/>
      <c r="AKO61" s="325"/>
      <c r="AKP61" s="325"/>
      <c r="AKQ61" s="325"/>
      <c r="AKR61" s="325"/>
      <c r="AKS61" s="325"/>
      <c r="AKT61" s="325"/>
      <c r="AKU61" s="325"/>
      <c r="AKV61" s="325"/>
      <c r="AKW61" s="325"/>
      <c r="AKX61" s="325"/>
      <c r="AKY61" s="325"/>
      <c r="AKZ61" s="325"/>
      <c r="ALA61" s="325"/>
      <c r="ALB61" s="325"/>
      <c r="ALC61" s="325"/>
      <c r="ALD61" s="325"/>
      <c r="ALE61" s="325"/>
      <c r="ALF61" s="325"/>
      <c r="ALG61" s="325"/>
      <c r="ALH61" s="325"/>
      <c r="ALI61" s="325"/>
      <c r="ALJ61" s="325"/>
      <c r="ALK61" s="325"/>
      <c r="ALL61" s="325"/>
      <c r="ALM61" s="325"/>
      <c r="ALN61" s="325"/>
      <c r="ALO61" s="325"/>
      <c r="ALP61" s="325"/>
      <c r="ALQ61" s="325"/>
      <c r="ALR61" s="325"/>
      <c r="ALS61" s="325"/>
      <c r="ALT61" s="325"/>
      <c r="ALU61" s="325"/>
      <c r="ALV61" s="325"/>
      <c r="ALW61" s="325"/>
      <c r="ALX61" s="325"/>
      <c r="ALY61" s="325"/>
      <c r="ALZ61" s="325"/>
      <c r="AMA61" s="325"/>
      <c r="AMB61" s="325"/>
      <c r="AMC61" s="325"/>
    </row>
    <row r="62" spans="3:1017" s="75" customFormat="1">
      <c r="C62" s="130"/>
      <c r="D62" s="130"/>
      <c r="CN62" s="225"/>
      <c r="CQ62" s="226"/>
      <c r="LD62" s="213"/>
      <c r="LH62" s="286"/>
      <c r="LI62" s="287"/>
      <c r="LJ62" s="124"/>
      <c r="LK62" s="124"/>
      <c r="LL62" s="124"/>
      <c r="LM62" s="124"/>
      <c r="LN62" s="124"/>
      <c r="LO62" s="124"/>
      <c r="LP62" s="124"/>
      <c r="LQ62" s="124"/>
      <c r="LR62" s="124"/>
      <c r="NE62" s="330"/>
      <c r="NF62" s="325"/>
      <c r="NG62" s="325"/>
      <c r="NH62" s="325"/>
      <c r="NI62" s="325"/>
      <c r="NJ62" s="325"/>
      <c r="NK62" s="325"/>
      <c r="NL62" s="325"/>
      <c r="NM62" s="325"/>
      <c r="NN62" s="325"/>
      <c r="NO62" s="325"/>
      <c r="NP62" s="325"/>
      <c r="NQ62" s="325"/>
      <c r="NR62" s="325"/>
      <c r="NS62" s="325"/>
      <c r="NT62" s="325"/>
      <c r="NU62" s="325"/>
      <c r="NV62" s="325"/>
      <c r="NW62" s="325"/>
      <c r="NX62" s="325"/>
      <c r="NY62" s="325"/>
      <c r="NZ62" s="325"/>
      <c r="OA62" s="325"/>
      <c r="OB62" s="325"/>
      <c r="OC62" s="325"/>
      <c r="OD62" s="325"/>
      <c r="OE62" s="325"/>
      <c r="OF62" s="325"/>
      <c r="OG62" s="325"/>
      <c r="OH62" s="325"/>
      <c r="OI62" s="325"/>
      <c r="OJ62" s="325"/>
      <c r="OK62" s="325"/>
      <c r="OL62" s="325"/>
      <c r="OM62" s="325"/>
      <c r="ON62" s="325"/>
      <c r="OO62" s="325"/>
      <c r="OP62" s="325"/>
      <c r="OQ62" s="325"/>
      <c r="OR62" s="325"/>
      <c r="OS62" s="325"/>
      <c r="OT62" s="325"/>
      <c r="OU62" s="325"/>
      <c r="OV62" s="325"/>
      <c r="OW62" s="325"/>
      <c r="OX62" s="325"/>
      <c r="OY62" s="325"/>
      <c r="OZ62" s="325"/>
      <c r="PA62" s="325"/>
      <c r="PB62" s="325"/>
      <c r="PC62" s="325"/>
      <c r="PD62" s="325"/>
      <c r="PE62" s="325"/>
      <c r="PF62" s="325"/>
      <c r="PG62" s="325"/>
      <c r="PH62" s="325"/>
      <c r="PI62" s="325"/>
      <c r="PJ62" s="325"/>
      <c r="PK62" s="325"/>
      <c r="PL62" s="325"/>
      <c r="PM62" s="325"/>
      <c r="PN62" s="325"/>
      <c r="PO62" s="325"/>
      <c r="PP62" s="325"/>
      <c r="PQ62" s="325"/>
      <c r="PR62" s="325"/>
      <c r="PS62" s="325"/>
      <c r="PT62" s="325"/>
      <c r="PU62" s="325"/>
      <c r="PV62" s="325"/>
      <c r="PW62" s="325"/>
      <c r="PX62" s="325"/>
      <c r="PY62" s="325"/>
      <c r="PZ62" s="325"/>
      <c r="QA62" s="325"/>
      <c r="QB62" s="325"/>
      <c r="QC62" s="325"/>
      <c r="QD62" s="325"/>
      <c r="QE62" s="325"/>
      <c r="QF62" s="325"/>
      <c r="QG62" s="325"/>
      <c r="QH62" s="325"/>
      <c r="QI62" s="325"/>
      <c r="QJ62" s="325"/>
      <c r="QK62" s="325"/>
      <c r="QL62" s="325"/>
      <c r="QM62" s="325"/>
      <c r="QN62" s="325"/>
      <c r="QO62" s="325"/>
      <c r="QP62" s="325"/>
      <c r="QQ62" s="325"/>
      <c r="QR62" s="325"/>
      <c r="QS62" s="325"/>
      <c r="QT62" s="325"/>
      <c r="QU62" s="325"/>
      <c r="QV62" s="325"/>
      <c r="QW62" s="325"/>
      <c r="QX62" s="325"/>
      <c r="QY62" s="325"/>
      <c r="QZ62" s="325"/>
      <c r="RA62" s="325"/>
      <c r="RB62" s="325"/>
      <c r="RC62" s="325"/>
      <c r="RD62" s="325"/>
      <c r="RE62" s="325"/>
      <c r="RF62" s="325"/>
      <c r="RG62" s="325"/>
      <c r="RH62" s="325"/>
      <c r="RI62" s="325"/>
      <c r="RJ62" s="325"/>
      <c r="RK62" s="325"/>
      <c r="RL62" s="325"/>
      <c r="RM62" s="325"/>
      <c r="RN62" s="325"/>
      <c r="RO62" s="325"/>
      <c r="RP62" s="325"/>
      <c r="RQ62" s="325"/>
      <c r="RR62" s="325"/>
      <c r="RS62" s="325"/>
      <c r="RT62" s="325"/>
      <c r="RU62" s="325"/>
      <c r="RV62" s="325"/>
      <c r="RW62" s="325"/>
      <c r="RX62" s="325"/>
      <c r="RY62" s="325"/>
      <c r="RZ62" s="325"/>
      <c r="SA62" s="325"/>
      <c r="SB62" s="325"/>
      <c r="SC62" s="325"/>
      <c r="SD62" s="325"/>
      <c r="SE62" s="325"/>
      <c r="SF62" s="325"/>
      <c r="SG62" s="325"/>
      <c r="SH62" s="325"/>
      <c r="SI62" s="325"/>
      <c r="SJ62" s="325"/>
      <c r="SK62" s="325"/>
      <c r="SL62" s="325"/>
      <c r="SM62" s="325"/>
      <c r="SN62" s="325"/>
      <c r="SO62" s="325"/>
      <c r="SP62" s="325"/>
      <c r="SQ62" s="325"/>
      <c r="SR62" s="325"/>
      <c r="SS62" s="325"/>
      <c r="ST62" s="325"/>
      <c r="SU62" s="325"/>
      <c r="SV62" s="325"/>
      <c r="SW62" s="325"/>
      <c r="SX62" s="325"/>
      <c r="SY62" s="325"/>
      <c r="SZ62" s="325"/>
      <c r="TA62" s="325"/>
      <c r="TB62" s="325"/>
      <c r="TC62" s="325"/>
      <c r="TD62" s="325"/>
      <c r="TE62" s="325"/>
      <c r="TF62" s="325"/>
      <c r="TG62" s="325"/>
      <c r="TH62" s="325"/>
      <c r="TI62" s="325"/>
      <c r="TJ62" s="325"/>
      <c r="TK62" s="325"/>
      <c r="TL62" s="325"/>
      <c r="TM62" s="325"/>
      <c r="TN62" s="325"/>
      <c r="TO62" s="325"/>
      <c r="TP62" s="325"/>
      <c r="TQ62" s="325"/>
      <c r="TR62" s="325"/>
      <c r="TS62" s="325"/>
      <c r="TT62" s="325"/>
      <c r="TU62" s="325"/>
      <c r="TV62" s="325"/>
      <c r="TW62" s="325"/>
      <c r="TX62" s="325"/>
      <c r="TY62" s="325"/>
      <c r="TZ62" s="325"/>
      <c r="UA62" s="325"/>
      <c r="UB62" s="325"/>
      <c r="UC62" s="325"/>
      <c r="UD62" s="325"/>
      <c r="UE62" s="325"/>
      <c r="UF62" s="325"/>
      <c r="UG62" s="325"/>
      <c r="UH62" s="325"/>
      <c r="UI62" s="325"/>
      <c r="UJ62" s="325"/>
      <c r="UK62" s="325"/>
      <c r="UL62" s="325"/>
      <c r="UM62" s="325"/>
      <c r="UN62" s="325"/>
      <c r="UO62" s="325"/>
      <c r="UP62" s="325"/>
      <c r="UQ62" s="325"/>
      <c r="UR62" s="325"/>
      <c r="US62" s="325"/>
      <c r="UT62" s="325"/>
      <c r="UU62" s="325"/>
      <c r="UV62" s="325"/>
      <c r="UW62" s="325"/>
      <c r="UX62" s="325"/>
      <c r="UY62" s="325"/>
      <c r="UZ62" s="325"/>
      <c r="VA62" s="325"/>
      <c r="VB62" s="325"/>
      <c r="VC62" s="325"/>
      <c r="VD62" s="325"/>
      <c r="VE62" s="325"/>
      <c r="VF62" s="325"/>
      <c r="VG62" s="325"/>
      <c r="VH62" s="325"/>
      <c r="VI62" s="325"/>
      <c r="VJ62" s="325"/>
      <c r="VK62" s="325"/>
      <c r="VL62" s="325"/>
      <c r="VM62" s="325"/>
      <c r="VN62" s="325"/>
      <c r="VO62" s="325"/>
      <c r="VP62" s="325"/>
      <c r="VQ62" s="325"/>
      <c r="VR62" s="325"/>
      <c r="VS62" s="325"/>
      <c r="VT62" s="325"/>
      <c r="VU62" s="325"/>
      <c r="VV62" s="325"/>
      <c r="VW62" s="325"/>
      <c r="VX62" s="325"/>
      <c r="VY62" s="325"/>
      <c r="VZ62" s="325"/>
      <c r="WA62" s="325"/>
      <c r="WB62" s="325"/>
      <c r="WC62" s="325"/>
      <c r="WD62" s="325"/>
      <c r="WE62" s="325"/>
      <c r="WF62" s="325"/>
      <c r="WG62" s="325"/>
      <c r="WH62" s="325"/>
      <c r="WI62" s="325"/>
      <c r="WJ62" s="325"/>
      <c r="WK62" s="325"/>
      <c r="WL62" s="325"/>
      <c r="WM62" s="325"/>
      <c r="WN62" s="325"/>
      <c r="WO62" s="325"/>
      <c r="WP62" s="325"/>
      <c r="WQ62" s="325"/>
      <c r="WR62" s="325"/>
      <c r="WS62" s="325"/>
      <c r="WT62" s="325"/>
      <c r="WU62" s="325"/>
      <c r="WV62" s="325"/>
      <c r="WW62" s="325"/>
      <c r="WX62" s="325"/>
      <c r="WY62" s="325"/>
      <c r="WZ62" s="325"/>
      <c r="XA62" s="325"/>
      <c r="XB62" s="325"/>
      <c r="XC62" s="325"/>
      <c r="XD62" s="325"/>
      <c r="XE62" s="325"/>
      <c r="XF62" s="325"/>
      <c r="XG62" s="325"/>
      <c r="XH62" s="325"/>
      <c r="XI62" s="325"/>
      <c r="XJ62" s="325"/>
      <c r="XK62" s="325"/>
      <c r="XL62" s="325"/>
      <c r="XM62" s="325"/>
      <c r="XN62" s="325"/>
      <c r="XO62" s="325"/>
      <c r="XP62" s="325"/>
      <c r="XQ62" s="325"/>
      <c r="XR62" s="325"/>
      <c r="XS62" s="325"/>
      <c r="XT62" s="325"/>
      <c r="XU62" s="325"/>
      <c r="XV62" s="325"/>
      <c r="XW62" s="325"/>
      <c r="XX62" s="325"/>
      <c r="XY62" s="325"/>
      <c r="XZ62" s="325"/>
      <c r="YA62" s="325"/>
      <c r="YB62" s="325"/>
      <c r="YC62" s="325"/>
      <c r="YD62" s="325"/>
      <c r="YE62" s="325"/>
      <c r="YF62" s="325"/>
      <c r="YG62" s="325"/>
      <c r="YH62" s="325"/>
      <c r="YI62" s="325"/>
      <c r="YJ62" s="325"/>
      <c r="YK62" s="325"/>
      <c r="YL62" s="325"/>
      <c r="YM62" s="325"/>
      <c r="YN62" s="325"/>
      <c r="YO62" s="325"/>
      <c r="YP62" s="325"/>
      <c r="YQ62" s="325"/>
      <c r="YR62" s="325"/>
      <c r="YS62" s="325"/>
      <c r="YT62" s="325"/>
      <c r="YU62" s="325"/>
      <c r="YV62" s="325"/>
      <c r="YW62" s="325"/>
      <c r="YX62" s="325"/>
      <c r="YY62" s="325"/>
      <c r="YZ62" s="325"/>
      <c r="ZA62" s="325"/>
      <c r="ZB62" s="325"/>
      <c r="ZC62" s="325"/>
      <c r="ZD62" s="325"/>
      <c r="ZE62" s="325"/>
      <c r="ZF62" s="325"/>
      <c r="ZG62" s="325"/>
      <c r="ZH62" s="325"/>
      <c r="ZI62" s="325"/>
      <c r="ZJ62" s="325"/>
      <c r="ZK62" s="325"/>
      <c r="ZL62" s="325"/>
      <c r="ZM62" s="325"/>
      <c r="ZN62" s="325"/>
      <c r="ZO62" s="325"/>
      <c r="ZP62" s="325"/>
      <c r="ZQ62" s="325"/>
      <c r="ZR62" s="325"/>
      <c r="ZS62" s="325"/>
      <c r="ZT62" s="325"/>
      <c r="ZU62" s="325"/>
      <c r="ZV62" s="325"/>
      <c r="ZW62" s="325"/>
      <c r="ZX62" s="325"/>
      <c r="ZY62" s="325"/>
      <c r="ZZ62" s="325"/>
      <c r="AAA62" s="325"/>
      <c r="AAB62" s="325"/>
      <c r="AAC62" s="325"/>
      <c r="AAD62" s="325"/>
      <c r="AAE62" s="325"/>
      <c r="AAF62" s="325"/>
      <c r="AAG62" s="325"/>
      <c r="AAH62" s="325"/>
      <c r="AAI62" s="325"/>
      <c r="AAJ62" s="325"/>
      <c r="AAK62" s="325"/>
      <c r="AAL62" s="325"/>
      <c r="AAM62" s="325"/>
      <c r="AAN62" s="325"/>
      <c r="AAO62" s="325"/>
      <c r="AAP62" s="325"/>
      <c r="AAQ62" s="325"/>
      <c r="AAR62" s="325"/>
      <c r="AAS62" s="325"/>
      <c r="AAT62" s="325"/>
      <c r="AAU62" s="325"/>
      <c r="AAV62" s="325"/>
      <c r="AAW62" s="325"/>
      <c r="AAX62" s="325"/>
      <c r="AAY62" s="325"/>
      <c r="AAZ62" s="325"/>
      <c r="ABA62" s="325"/>
      <c r="ABB62" s="325"/>
      <c r="ABC62" s="325"/>
      <c r="ABD62" s="325"/>
      <c r="ABE62" s="325"/>
      <c r="ABF62" s="325"/>
      <c r="ABG62" s="325"/>
      <c r="ABH62" s="325"/>
      <c r="ABI62" s="325"/>
      <c r="ABJ62" s="325"/>
      <c r="ABK62" s="325"/>
      <c r="ABL62" s="325"/>
      <c r="ABM62" s="325"/>
      <c r="ABN62" s="325"/>
      <c r="ABO62" s="325"/>
      <c r="ABP62" s="325"/>
      <c r="ABQ62" s="325"/>
      <c r="ABR62" s="325"/>
      <c r="ABS62" s="325"/>
      <c r="ABT62" s="325"/>
      <c r="ABU62" s="325"/>
      <c r="ABV62" s="325"/>
      <c r="ABW62" s="325"/>
      <c r="ABX62" s="325"/>
      <c r="ABY62" s="325"/>
      <c r="ABZ62" s="325"/>
      <c r="ACA62" s="325"/>
      <c r="ACB62" s="325"/>
      <c r="ACC62" s="325"/>
      <c r="ACD62" s="325"/>
      <c r="ACE62" s="325"/>
      <c r="ACF62" s="325"/>
      <c r="ACG62" s="325"/>
      <c r="ACH62" s="325"/>
      <c r="ACI62" s="325"/>
      <c r="ACJ62" s="325"/>
      <c r="ACK62" s="325"/>
      <c r="ACL62" s="325"/>
      <c r="ACM62" s="325"/>
      <c r="ACN62" s="325"/>
      <c r="ACO62" s="325"/>
      <c r="ACP62" s="325"/>
      <c r="ACQ62" s="325"/>
      <c r="ACR62" s="325"/>
      <c r="ACS62" s="325"/>
      <c r="ACT62" s="325"/>
      <c r="ACU62" s="325"/>
      <c r="ACV62" s="325"/>
      <c r="ACW62" s="325"/>
      <c r="ACX62" s="325"/>
      <c r="ACY62" s="325"/>
      <c r="ACZ62" s="325"/>
      <c r="ADA62" s="325"/>
      <c r="ADB62" s="325"/>
      <c r="ADC62" s="325"/>
      <c r="ADD62" s="325"/>
      <c r="ADE62" s="325"/>
      <c r="ADF62" s="325"/>
      <c r="ADG62" s="325"/>
      <c r="ADH62" s="325"/>
      <c r="ADI62" s="325"/>
      <c r="ADJ62" s="325"/>
      <c r="ADK62" s="325"/>
      <c r="ADL62" s="325"/>
      <c r="ADM62" s="325"/>
      <c r="ADN62" s="325"/>
      <c r="ADO62" s="325"/>
      <c r="ADP62" s="325"/>
      <c r="ADQ62" s="325"/>
      <c r="ADR62" s="325"/>
      <c r="ADS62" s="325"/>
      <c r="ADT62" s="325"/>
      <c r="ADU62" s="325"/>
      <c r="ADV62" s="325"/>
      <c r="ADW62" s="325"/>
      <c r="ADX62" s="325"/>
      <c r="ADY62" s="325"/>
      <c r="ADZ62" s="325"/>
      <c r="AEA62" s="325"/>
      <c r="AEB62" s="325"/>
      <c r="AEC62" s="325"/>
      <c r="AED62" s="325"/>
      <c r="AEE62" s="325"/>
      <c r="AEF62" s="325"/>
      <c r="AEG62" s="325"/>
      <c r="AEH62" s="325"/>
      <c r="AEI62" s="325"/>
      <c r="AEJ62" s="325"/>
      <c r="AEK62" s="325"/>
      <c r="AEL62" s="325"/>
      <c r="AEM62" s="325"/>
      <c r="AEN62" s="325"/>
      <c r="AEO62" s="325"/>
      <c r="AEP62" s="325"/>
      <c r="AEQ62" s="325"/>
      <c r="AER62" s="325"/>
      <c r="AES62" s="325"/>
      <c r="AET62" s="325"/>
      <c r="AEU62" s="325"/>
      <c r="AEV62" s="325"/>
      <c r="AEW62" s="325"/>
      <c r="AEX62" s="325"/>
      <c r="AEY62" s="325"/>
      <c r="AEZ62" s="325"/>
      <c r="AFA62" s="325"/>
      <c r="AFB62" s="325"/>
      <c r="AFC62" s="325"/>
      <c r="AFD62" s="325"/>
      <c r="AFE62" s="325"/>
      <c r="AFF62" s="325"/>
      <c r="AFG62" s="325"/>
      <c r="AFH62" s="325"/>
      <c r="AFI62" s="325"/>
      <c r="AFJ62" s="325"/>
      <c r="AFK62" s="325"/>
      <c r="AFL62" s="325"/>
      <c r="AFM62" s="325"/>
      <c r="AFN62" s="325"/>
      <c r="AFO62" s="325"/>
      <c r="AFP62" s="325"/>
      <c r="AFQ62" s="325"/>
      <c r="AFR62" s="325"/>
      <c r="AFS62" s="325"/>
      <c r="AFT62" s="325"/>
      <c r="AFU62" s="325"/>
      <c r="AFV62" s="325"/>
      <c r="AFW62" s="325"/>
      <c r="AFX62" s="325"/>
      <c r="AFY62" s="325"/>
      <c r="AFZ62" s="325"/>
      <c r="AGA62" s="325"/>
      <c r="AGB62" s="325"/>
      <c r="AGC62" s="325"/>
      <c r="AGD62" s="325"/>
      <c r="AGE62" s="325"/>
      <c r="AGF62" s="325"/>
      <c r="AGG62" s="325"/>
      <c r="AGH62" s="325"/>
      <c r="AGI62" s="325"/>
      <c r="AGJ62" s="325"/>
      <c r="AGK62" s="325"/>
      <c r="AGL62" s="325"/>
      <c r="AGM62" s="325"/>
      <c r="AGN62" s="325"/>
      <c r="AGO62" s="325"/>
      <c r="AGP62" s="325"/>
      <c r="AGQ62" s="325"/>
      <c r="AGR62" s="325"/>
      <c r="AGS62" s="325"/>
      <c r="AGT62" s="325"/>
      <c r="AGU62" s="325"/>
      <c r="AGV62" s="325"/>
      <c r="AGW62" s="325"/>
      <c r="AGX62" s="325"/>
      <c r="AGY62" s="325"/>
      <c r="AGZ62" s="325"/>
      <c r="AHA62" s="325"/>
      <c r="AHB62" s="325"/>
      <c r="AHC62" s="325"/>
      <c r="AHD62" s="325"/>
      <c r="AHE62" s="325"/>
      <c r="AHF62" s="325"/>
      <c r="AHG62" s="325"/>
      <c r="AHH62" s="325"/>
      <c r="AHI62" s="325"/>
      <c r="AHJ62" s="325"/>
      <c r="AHK62" s="325"/>
      <c r="AHL62" s="325"/>
      <c r="AHM62" s="325"/>
      <c r="AHN62" s="325"/>
      <c r="AHO62" s="325"/>
      <c r="AHP62" s="325"/>
      <c r="AHQ62" s="325"/>
      <c r="AHR62" s="325"/>
      <c r="AHS62" s="325"/>
      <c r="AHT62" s="325"/>
      <c r="AHU62" s="325"/>
      <c r="AHV62" s="325"/>
      <c r="AHW62" s="325"/>
      <c r="AHX62" s="325"/>
      <c r="AHY62" s="325"/>
      <c r="AHZ62" s="325"/>
      <c r="AIA62" s="325"/>
      <c r="AIB62" s="325"/>
      <c r="AIC62" s="325"/>
      <c r="AID62" s="325"/>
      <c r="AIE62" s="325"/>
      <c r="AIF62" s="325"/>
      <c r="AIG62" s="325"/>
      <c r="AIH62" s="325"/>
      <c r="AII62" s="325"/>
      <c r="AIJ62" s="325"/>
      <c r="AIK62" s="325"/>
      <c r="AIL62" s="325"/>
      <c r="AIM62" s="325"/>
      <c r="AIN62" s="325"/>
      <c r="AIO62" s="325"/>
      <c r="AIP62" s="325"/>
      <c r="AIQ62" s="325"/>
      <c r="AIR62" s="325"/>
      <c r="AIS62" s="325"/>
      <c r="AIT62" s="325"/>
      <c r="AIU62" s="325"/>
      <c r="AIV62" s="325"/>
      <c r="AIW62" s="325"/>
      <c r="AIX62" s="325"/>
      <c r="AIY62" s="325"/>
      <c r="AIZ62" s="325"/>
      <c r="AJA62" s="325"/>
      <c r="AJB62" s="325"/>
      <c r="AJC62" s="325"/>
      <c r="AJD62" s="325"/>
      <c r="AJE62" s="325"/>
      <c r="AJF62" s="325"/>
      <c r="AJG62" s="325"/>
      <c r="AJH62" s="325"/>
      <c r="AJI62" s="325"/>
      <c r="AJJ62" s="325"/>
      <c r="AJK62" s="325"/>
      <c r="AJL62" s="325"/>
      <c r="AJM62" s="325"/>
      <c r="AJN62" s="325"/>
      <c r="AJO62" s="325"/>
      <c r="AJP62" s="325"/>
      <c r="AJQ62" s="325"/>
      <c r="AJR62" s="325"/>
      <c r="AJS62" s="325"/>
      <c r="AJT62" s="325"/>
      <c r="AJU62" s="325"/>
      <c r="AJV62" s="325"/>
      <c r="AJW62" s="325"/>
      <c r="AJX62" s="325"/>
      <c r="AJY62" s="325"/>
      <c r="AJZ62" s="325"/>
      <c r="AKA62" s="325"/>
      <c r="AKB62" s="325"/>
      <c r="AKC62" s="325"/>
      <c r="AKD62" s="325"/>
      <c r="AKE62" s="325"/>
      <c r="AKF62" s="325"/>
      <c r="AKG62" s="325"/>
      <c r="AKH62" s="325"/>
      <c r="AKI62" s="325"/>
      <c r="AKJ62" s="325"/>
      <c r="AKK62" s="325"/>
      <c r="AKL62" s="325"/>
      <c r="AKM62" s="325"/>
      <c r="AKN62" s="325"/>
      <c r="AKO62" s="325"/>
      <c r="AKP62" s="325"/>
      <c r="AKQ62" s="325"/>
      <c r="AKR62" s="325"/>
      <c r="AKS62" s="325"/>
      <c r="AKT62" s="325"/>
      <c r="AKU62" s="325"/>
      <c r="AKV62" s="325"/>
      <c r="AKW62" s="325"/>
      <c r="AKX62" s="325"/>
      <c r="AKY62" s="325"/>
      <c r="AKZ62" s="325"/>
      <c r="ALA62" s="325"/>
      <c r="ALB62" s="325"/>
      <c r="ALC62" s="325"/>
      <c r="ALD62" s="325"/>
      <c r="ALE62" s="325"/>
      <c r="ALF62" s="325"/>
      <c r="ALG62" s="325"/>
      <c r="ALH62" s="325"/>
      <c r="ALI62" s="325"/>
      <c r="ALJ62" s="325"/>
      <c r="ALK62" s="325"/>
      <c r="ALL62" s="325"/>
      <c r="ALM62" s="325"/>
      <c r="ALN62" s="325"/>
      <c r="ALO62" s="325"/>
      <c r="ALP62" s="325"/>
      <c r="ALQ62" s="325"/>
      <c r="ALR62" s="325"/>
      <c r="ALS62" s="325"/>
      <c r="ALT62" s="325"/>
      <c r="ALU62" s="325"/>
      <c r="ALV62" s="325"/>
      <c r="ALW62" s="325"/>
      <c r="ALX62" s="325"/>
      <c r="ALY62" s="325"/>
      <c r="ALZ62" s="325"/>
      <c r="AMA62" s="325"/>
      <c r="AMB62" s="325"/>
      <c r="AMC62" s="325"/>
    </row>
    <row r="63" spans="3:1017" s="75" customFormat="1">
      <c r="C63" s="130"/>
      <c r="D63" s="130"/>
      <c r="CN63" s="225"/>
      <c r="CQ63" s="226"/>
      <c r="LD63" s="213"/>
      <c r="LH63" s="286"/>
      <c r="LI63" s="287"/>
      <c r="LJ63" s="124"/>
      <c r="LK63" s="124"/>
      <c r="LL63" s="124"/>
      <c r="LM63" s="124"/>
      <c r="LN63" s="124"/>
      <c r="LO63" s="124"/>
      <c r="LP63" s="124"/>
      <c r="LQ63" s="124"/>
      <c r="LR63" s="124"/>
      <c r="NE63" s="330"/>
      <c r="NF63" s="325"/>
      <c r="NG63" s="325"/>
      <c r="NH63" s="325"/>
      <c r="NI63" s="325"/>
      <c r="NJ63" s="325"/>
      <c r="NK63" s="325"/>
      <c r="NL63" s="325"/>
      <c r="NM63" s="325"/>
      <c r="NN63" s="325"/>
      <c r="NO63" s="325"/>
      <c r="NP63" s="325"/>
      <c r="NQ63" s="325"/>
      <c r="NR63" s="325"/>
      <c r="NS63" s="325"/>
      <c r="NT63" s="325"/>
      <c r="NU63" s="325"/>
      <c r="NV63" s="325"/>
      <c r="NW63" s="325"/>
      <c r="NX63" s="325"/>
      <c r="NY63" s="325"/>
      <c r="NZ63" s="325"/>
      <c r="OA63" s="325"/>
      <c r="OB63" s="325"/>
      <c r="OC63" s="325"/>
      <c r="OD63" s="325"/>
      <c r="OE63" s="325"/>
      <c r="OF63" s="325"/>
      <c r="OG63" s="325"/>
      <c r="OH63" s="325"/>
      <c r="OI63" s="325"/>
      <c r="OJ63" s="325"/>
      <c r="OK63" s="325"/>
      <c r="OL63" s="325"/>
      <c r="OM63" s="325"/>
      <c r="ON63" s="325"/>
      <c r="OO63" s="325"/>
      <c r="OP63" s="325"/>
      <c r="OQ63" s="325"/>
      <c r="OR63" s="325"/>
      <c r="OS63" s="325"/>
      <c r="OT63" s="325"/>
      <c r="OU63" s="325"/>
      <c r="OV63" s="325"/>
      <c r="OW63" s="325"/>
      <c r="OX63" s="325"/>
      <c r="OY63" s="325"/>
      <c r="OZ63" s="325"/>
      <c r="PA63" s="325"/>
      <c r="PB63" s="325"/>
      <c r="PC63" s="325"/>
      <c r="PD63" s="325"/>
      <c r="PE63" s="325"/>
      <c r="PF63" s="325"/>
      <c r="PG63" s="325"/>
      <c r="PH63" s="325"/>
      <c r="PI63" s="325"/>
      <c r="PJ63" s="325"/>
      <c r="PK63" s="325"/>
      <c r="PL63" s="325"/>
      <c r="PM63" s="325"/>
      <c r="PN63" s="325"/>
      <c r="PO63" s="325"/>
      <c r="PP63" s="325"/>
      <c r="PQ63" s="325"/>
      <c r="PR63" s="325"/>
      <c r="PS63" s="325"/>
      <c r="PT63" s="325"/>
      <c r="PU63" s="325"/>
      <c r="PV63" s="325"/>
      <c r="PW63" s="325"/>
      <c r="PX63" s="325"/>
      <c r="PY63" s="325"/>
      <c r="PZ63" s="325"/>
      <c r="QA63" s="325"/>
      <c r="QB63" s="325"/>
      <c r="QC63" s="325"/>
      <c r="QD63" s="325"/>
      <c r="QE63" s="325"/>
      <c r="QF63" s="325"/>
      <c r="QG63" s="325"/>
      <c r="QH63" s="325"/>
      <c r="QI63" s="325"/>
      <c r="QJ63" s="325"/>
      <c r="QK63" s="325"/>
      <c r="QL63" s="325"/>
      <c r="QM63" s="325"/>
      <c r="QN63" s="325"/>
      <c r="QO63" s="325"/>
      <c r="QP63" s="325"/>
      <c r="QQ63" s="325"/>
      <c r="QR63" s="325"/>
      <c r="QS63" s="325"/>
      <c r="QT63" s="325"/>
      <c r="QU63" s="325"/>
      <c r="QV63" s="325"/>
      <c r="QW63" s="325"/>
      <c r="QX63" s="325"/>
      <c r="QY63" s="325"/>
      <c r="QZ63" s="325"/>
      <c r="RA63" s="325"/>
      <c r="RB63" s="325"/>
      <c r="RC63" s="325"/>
      <c r="RD63" s="325"/>
      <c r="RE63" s="325"/>
      <c r="RF63" s="325"/>
      <c r="RG63" s="325"/>
      <c r="RH63" s="325"/>
      <c r="RI63" s="325"/>
      <c r="RJ63" s="325"/>
      <c r="RK63" s="325"/>
      <c r="RL63" s="325"/>
      <c r="RM63" s="325"/>
      <c r="RN63" s="325"/>
      <c r="RO63" s="325"/>
      <c r="RP63" s="325"/>
      <c r="RQ63" s="325"/>
      <c r="RR63" s="325"/>
      <c r="RS63" s="325"/>
      <c r="RT63" s="325"/>
      <c r="RU63" s="325"/>
      <c r="RV63" s="325"/>
      <c r="RW63" s="325"/>
      <c r="RX63" s="325"/>
      <c r="RY63" s="325"/>
      <c r="RZ63" s="325"/>
      <c r="SA63" s="325"/>
      <c r="SB63" s="325"/>
      <c r="SC63" s="325"/>
      <c r="SD63" s="325"/>
      <c r="SE63" s="325"/>
      <c r="SF63" s="325"/>
      <c r="SG63" s="325"/>
      <c r="SH63" s="325"/>
      <c r="SI63" s="325"/>
      <c r="SJ63" s="325"/>
      <c r="SK63" s="325"/>
      <c r="SL63" s="325"/>
      <c r="SM63" s="325"/>
      <c r="SN63" s="325"/>
      <c r="SO63" s="325"/>
      <c r="SP63" s="325"/>
      <c r="SQ63" s="325"/>
      <c r="SR63" s="325"/>
      <c r="SS63" s="325"/>
      <c r="ST63" s="325"/>
      <c r="SU63" s="325"/>
      <c r="SV63" s="325"/>
      <c r="SW63" s="325"/>
      <c r="SX63" s="325"/>
      <c r="SY63" s="325"/>
      <c r="SZ63" s="325"/>
      <c r="TA63" s="325"/>
      <c r="TB63" s="325"/>
      <c r="TC63" s="325"/>
      <c r="TD63" s="325"/>
      <c r="TE63" s="325"/>
      <c r="TF63" s="325"/>
      <c r="TG63" s="325"/>
      <c r="TH63" s="325"/>
      <c r="TI63" s="325"/>
      <c r="TJ63" s="325"/>
      <c r="TK63" s="325"/>
      <c r="TL63" s="325"/>
      <c r="TM63" s="325"/>
      <c r="TN63" s="325"/>
      <c r="TO63" s="325"/>
      <c r="TP63" s="325"/>
      <c r="TQ63" s="325"/>
      <c r="TR63" s="325"/>
      <c r="TS63" s="325"/>
      <c r="TT63" s="325"/>
      <c r="TU63" s="325"/>
      <c r="TV63" s="325"/>
      <c r="TW63" s="325"/>
      <c r="TX63" s="325"/>
      <c r="TY63" s="325"/>
      <c r="TZ63" s="325"/>
      <c r="UA63" s="325"/>
      <c r="UB63" s="325"/>
      <c r="UC63" s="325"/>
      <c r="UD63" s="325"/>
      <c r="UE63" s="325"/>
      <c r="UF63" s="325"/>
      <c r="UG63" s="325"/>
      <c r="UH63" s="325"/>
      <c r="UI63" s="325"/>
      <c r="UJ63" s="325"/>
      <c r="UK63" s="325"/>
      <c r="UL63" s="325"/>
      <c r="UM63" s="325"/>
      <c r="UN63" s="325"/>
      <c r="UO63" s="325"/>
      <c r="UP63" s="325"/>
      <c r="UQ63" s="325"/>
      <c r="UR63" s="325"/>
      <c r="US63" s="325"/>
      <c r="UT63" s="325"/>
      <c r="UU63" s="325"/>
      <c r="UV63" s="325"/>
      <c r="UW63" s="325"/>
      <c r="UX63" s="325"/>
      <c r="UY63" s="325"/>
      <c r="UZ63" s="325"/>
      <c r="VA63" s="325"/>
      <c r="VB63" s="325"/>
      <c r="VC63" s="325"/>
      <c r="VD63" s="325"/>
      <c r="VE63" s="325"/>
      <c r="VF63" s="325"/>
      <c r="VG63" s="325"/>
      <c r="VH63" s="325"/>
      <c r="VI63" s="325"/>
      <c r="VJ63" s="325"/>
      <c r="VK63" s="325"/>
      <c r="VL63" s="325"/>
      <c r="VM63" s="325"/>
      <c r="VN63" s="325"/>
      <c r="VO63" s="325"/>
      <c r="VP63" s="325"/>
      <c r="VQ63" s="325"/>
      <c r="VR63" s="325"/>
      <c r="VS63" s="325"/>
      <c r="VT63" s="325"/>
      <c r="VU63" s="325"/>
      <c r="VV63" s="325"/>
      <c r="VW63" s="325"/>
      <c r="VX63" s="325"/>
      <c r="VY63" s="325"/>
      <c r="VZ63" s="325"/>
      <c r="WA63" s="325"/>
      <c r="WB63" s="325"/>
      <c r="WC63" s="325"/>
      <c r="WD63" s="325"/>
      <c r="WE63" s="325"/>
      <c r="WF63" s="325"/>
      <c r="WG63" s="325"/>
      <c r="WH63" s="325"/>
      <c r="WI63" s="325"/>
      <c r="WJ63" s="325"/>
      <c r="WK63" s="325"/>
      <c r="WL63" s="325"/>
      <c r="WM63" s="325"/>
      <c r="WN63" s="325"/>
      <c r="WO63" s="325"/>
      <c r="WP63" s="325"/>
      <c r="WQ63" s="325"/>
      <c r="WR63" s="325"/>
      <c r="WS63" s="325"/>
      <c r="WT63" s="325"/>
      <c r="WU63" s="325"/>
      <c r="WV63" s="325"/>
      <c r="WW63" s="325"/>
      <c r="WX63" s="325"/>
      <c r="WY63" s="325"/>
      <c r="WZ63" s="325"/>
      <c r="XA63" s="325"/>
      <c r="XB63" s="325"/>
      <c r="XC63" s="325"/>
      <c r="XD63" s="325"/>
      <c r="XE63" s="325"/>
      <c r="XF63" s="325"/>
      <c r="XG63" s="325"/>
      <c r="XH63" s="325"/>
      <c r="XI63" s="325"/>
      <c r="XJ63" s="325"/>
      <c r="XK63" s="325"/>
      <c r="XL63" s="325"/>
      <c r="XM63" s="325"/>
      <c r="XN63" s="325"/>
      <c r="XO63" s="325"/>
      <c r="XP63" s="325"/>
      <c r="XQ63" s="325"/>
      <c r="XR63" s="325"/>
      <c r="XS63" s="325"/>
      <c r="XT63" s="325"/>
      <c r="XU63" s="325"/>
      <c r="XV63" s="325"/>
      <c r="XW63" s="325"/>
      <c r="XX63" s="325"/>
      <c r="XY63" s="325"/>
      <c r="XZ63" s="325"/>
      <c r="YA63" s="325"/>
      <c r="YB63" s="325"/>
      <c r="YC63" s="325"/>
      <c r="YD63" s="325"/>
      <c r="YE63" s="325"/>
      <c r="YF63" s="325"/>
      <c r="YG63" s="325"/>
      <c r="YH63" s="325"/>
      <c r="YI63" s="325"/>
      <c r="YJ63" s="325"/>
      <c r="YK63" s="325"/>
      <c r="YL63" s="325"/>
      <c r="YM63" s="325"/>
      <c r="YN63" s="325"/>
      <c r="YO63" s="325"/>
      <c r="YP63" s="325"/>
      <c r="YQ63" s="325"/>
      <c r="YR63" s="325"/>
      <c r="YS63" s="325"/>
      <c r="YT63" s="325"/>
      <c r="YU63" s="325"/>
      <c r="YV63" s="325"/>
      <c r="YW63" s="325"/>
      <c r="YX63" s="325"/>
      <c r="YY63" s="325"/>
      <c r="YZ63" s="325"/>
      <c r="ZA63" s="325"/>
      <c r="ZB63" s="325"/>
      <c r="ZC63" s="325"/>
      <c r="ZD63" s="325"/>
      <c r="ZE63" s="325"/>
      <c r="ZF63" s="325"/>
      <c r="ZG63" s="325"/>
      <c r="ZH63" s="325"/>
      <c r="ZI63" s="325"/>
      <c r="ZJ63" s="325"/>
      <c r="ZK63" s="325"/>
      <c r="ZL63" s="325"/>
      <c r="ZM63" s="325"/>
      <c r="ZN63" s="325"/>
      <c r="ZO63" s="325"/>
      <c r="ZP63" s="325"/>
      <c r="ZQ63" s="325"/>
      <c r="ZR63" s="325"/>
      <c r="ZS63" s="325"/>
      <c r="ZT63" s="325"/>
      <c r="ZU63" s="325"/>
      <c r="ZV63" s="325"/>
      <c r="ZW63" s="325"/>
      <c r="ZX63" s="325"/>
      <c r="ZY63" s="325"/>
      <c r="ZZ63" s="325"/>
      <c r="AAA63" s="325"/>
      <c r="AAB63" s="325"/>
      <c r="AAC63" s="325"/>
      <c r="AAD63" s="325"/>
      <c r="AAE63" s="325"/>
      <c r="AAF63" s="325"/>
      <c r="AAG63" s="325"/>
      <c r="AAH63" s="325"/>
      <c r="AAI63" s="325"/>
      <c r="AAJ63" s="325"/>
      <c r="AAK63" s="325"/>
      <c r="AAL63" s="325"/>
      <c r="AAM63" s="325"/>
      <c r="AAN63" s="325"/>
      <c r="AAO63" s="325"/>
      <c r="AAP63" s="325"/>
      <c r="AAQ63" s="325"/>
      <c r="AAR63" s="325"/>
      <c r="AAS63" s="325"/>
      <c r="AAT63" s="325"/>
      <c r="AAU63" s="325"/>
      <c r="AAV63" s="325"/>
      <c r="AAW63" s="325"/>
      <c r="AAX63" s="325"/>
      <c r="AAY63" s="325"/>
      <c r="AAZ63" s="325"/>
      <c r="ABA63" s="325"/>
      <c r="ABB63" s="325"/>
      <c r="ABC63" s="325"/>
      <c r="ABD63" s="325"/>
      <c r="ABE63" s="325"/>
      <c r="ABF63" s="325"/>
      <c r="ABG63" s="325"/>
      <c r="ABH63" s="325"/>
      <c r="ABI63" s="325"/>
      <c r="ABJ63" s="325"/>
      <c r="ABK63" s="325"/>
      <c r="ABL63" s="325"/>
      <c r="ABM63" s="325"/>
      <c r="ABN63" s="325"/>
      <c r="ABO63" s="325"/>
      <c r="ABP63" s="325"/>
      <c r="ABQ63" s="325"/>
      <c r="ABR63" s="325"/>
      <c r="ABS63" s="325"/>
      <c r="ABT63" s="325"/>
      <c r="ABU63" s="325"/>
      <c r="ABV63" s="325"/>
      <c r="ABW63" s="325"/>
      <c r="ABX63" s="325"/>
      <c r="ABY63" s="325"/>
      <c r="ABZ63" s="325"/>
      <c r="ACA63" s="325"/>
      <c r="ACB63" s="325"/>
      <c r="ACC63" s="325"/>
      <c r="ACD63" s="325"/>
      <c r="ACE63" s="325"/>
      <c r="ACF63" s="325"/>
      <c r="ACG63" s="325"/>
      <c r="ACH63" s="325"/>
      <c r="ACI63" s="325"/>
      <c r="ACJ63" s="325"/>
      <c r="ACK63" s="325"/>
      <c r="ACL63" s="325"/>
      <c r="ACM63" s="325"/>
      <c r="ACN63" s="325"/>
      <c r="ACO63" s="325"/>
      <c r="ACP63" s="325"/>
      <c r="ACQ63" s="325"/>
      <c r="ACR63" s="325"/>
      <c r="ACS63" s="325"/>
      <c r="ACT63" s="325"/>
      <c r="ACU63" s="325"/>
      <c r="ACV63" s="325"/>
      <c r="ACW63" s="325"/>
      <c r="ACX63" s="325"/>
      <c r="ACY63" s="325"/>
      <c r="ACZ63" s="325"/>
      <c r="ADA63" s="325"/>
      <c r="ADB63" s="325"/>
      <c r="ADC63" s="325"/>
      <c r="ADD63" s="325"/>
      <c r="ADE63" s="325"/>
      <c r="ADF63" s="325"/>
      <c r="ADG63" s="325"/>
      <c r="ADH63" s="325"/>
      <c r="ADI63" s="325"/>
      <c r="ADJ63" s="325"/>
      <c r="ADK63" s="325"/>
      <c r="ADL63" s="325"/>
      <c r="ADM63" s="325"/>
      <c r="ADN63" s="325"/>
      <c r="ADO63" s="325"/>
      <c r="ADP63" s="325"/>
      <c r="ADQ63" s="325"/>
      <c r="ADR63" s="325"/>
      <c r="ADS63" s="325"/>
      <c r="ADT63" s="325"/>
      <c r="ADU63" s="325"/>
      <c r="ADV63" s="325"/>
      <c r="ADW63" s="325"/>
      <c r="ADX63" s="325"/>
      <c r="ADY63" s="325"/>
      <c r="ADZ63" s="325"/>
      <c r="AEA63" s="325"/>
      <c r="AEB63" s="325"/>
      <c r="AEC63" s="325"/>
      <c r="AED63" s="325"/>
      <c r="AEE63" s="325"/>
      <c r="AEF63" s="325"/>
      <c r="AEG63" s="325"/>
      <c r="AEH63" s="325"/>
      <c r="AEI63" s="325"/>
      <c r="AEJ63" s="325"/>
      <c r="AEK63" s="325"/>
      <c r="AEL63" s="325"/>
      <c r="AEM63" s="325"/>
      <c r="AEN63" s="325"/>
      <c r="AEO63" s="325"/>
      <c r="AEP63" s="325"/>
      <c r="AEQ63" s="325"/>
      <c r="AER63" s="325"/>
      <c r="AES63" s="325"/>
      <c r="AET63" s="325"/>
      <c r="AEU63" s="325"/>
      <c r="AEV63" s="325"/>
      <c r="AEW63" s="325"/>
      <c r="AEX63" s="325"/>
      <c r="AEY63" s="325"/>
      <c r="AEZ63" s="325"/>
      <c r="AFA63" s="325"/>
      <c r="AFB63" s="325"/>
      <c r="AFC63" s="325"/>
      <c r="AFD63" s="325"/>
      <c r="AFE63" s="325"/>
      <c r="AFF63" s="325"/>
      <c r="AFG63" s="325"/>
      <c r="AFH63" s="325"/>
      <c r="AFI63" s="325"/>
      <c r="AFJ63" s="325"/>
      <c r="AFK63" s="325"/>
      <c r="AFL63" s="325"/>
      <c r="AFM63" s="325"/>
      <c r="AFN63" s="325"/>
      <c r="AFO63" s="325"/>
      <c r="AFP63" s="325"/>
      <c r="AFQ63" s="325"/>
      <c r="AFR63" s="325"/>
      <c r="AFS63" s="325"/>
      <c r="AFT63" s="325"/>
      <c r="AFU63" s="325"/>
      <c r="AFV63" s="325"/>
      <c r="AFW63" s="325"/>
      <c r="AFX63" s="325"/>
      <c r="AFY63" s="325"/>
      <c r="AFZ63" s="325"/>
      <c r="AGA63" s="325"/>
      <c r="AGB63" s="325"/>
      <c r="AGC63" s="325"/>
      <c r="AGD63" s="325"/>
      <c r="AGE63" s="325"/>
      <c r="AGF63" s="325"/>
      <c r="AGG63" s="325"/>
      <c r="AGH63" s="325"/>
      <c r="AGI63" s="325"/>
      <c r="AGJ63" s="325"/>
      <c r="AGK63" s="325"/>
      <c r="AGL63" s="325"/>
      <c r="AGM63" s="325"/>
      <c r="AGN63" s="325"/>
      <c r="AGO63" s="325"/>
      <c r="AGP63" s="325"/>
      <c r="AGQ63" s="325"/>
      <c r="AGR63" s="325"/>
      <c r="AGS63" s="325"/>
      <c r="AGT63" s="325"/>
      <c r="AGU63" s="325"/>
      <c r="AGV63" s="325"/>
      <c r="AGW63" s="325"/>
      <c r="AGX63" s="325"/>
      <c r="AGY63" s="325"/>
      <c r="AGZ63" s="325"/>
      <c r="AHA63" s="325"/>
      <c r="AHB63" s="325"/>
      <c r="AHC63" s="325"/>
      <c r="AHD63" s="325"/>
      <c r="AHE63" s="325"/>
      <c r="AHF63" s="325"/>
      <c r="AHG63" s="325"/>
      <c r="AHH63" s="325"/>
      <c r="AHI63" s="325"/>
      <c r="AHJ63" s="325"/>
      <c r="AHK63" s="325"/>
      <c r="AHL63" s="325"/>
      <c r="AHM63" s="325"/>
      <c r="AHN63" s="325"/>
      <c r="AHO63" s="325"/>
      <c r="AHP63" s="325"/>
      <c r="AHQ63" s="325"/>
      <c r="AHR63" s="325"/>
      <c r="AHS63" s="325"/>
      <c r="AHT63" s="325"/>
      <c r="AHU63" s="325"/>
      <c r="AHV63" s="325"/>
      <c r="AHW63" s="325"/>
      <c r="AHX63" s="325"/>
      <c r="AHY63" s="325"/>
      <c r="AHZ63" s="325"/>
      <c r="AIA63" s="325"/>
      <c r="AIB63" s="325"/>
      <c r="AIC63" s="325"/>
      <c r="AID63" s="325"/>
      <c r="AIE63" s="325"/>
      <c r="AIF63" s="325"/>
      <c r="AIG63" s="325"/>
      <c r="AIH63" s="325"/>
      <c r="AII63" s="325"/>
      <c r="AIJ63" s="325"/>
      <c r="AIK63" s="325"/>
      <c r="AIL63" s="325"/>
      <c r="AIM63" s="325"/>
      <c r="AIN63" s="325"/>
      <c r="AIO63" s="325"/>
      <c r="AIP63" s="325"/>
      <c r="AIQ63" s="325"/>
      <c r="AIR63" s="325"/>
      <c r="AIS63" s="325"/>
      <c r="AIT63" s="325"/>
      <c r="AIU63" s="325"/>
      <c r="AIV63" s="325"/>
      <c r="AIW63" s="325"/>
      <c r="AIX63" s="325"/>
      <c r="AIY63" s="325"/>
      <c r="AIZ63" s="325"/>
      <c r="AJA63" s="325"/>
      <c r="AJB63" s="325"/>
      <c r="AJC63" s="325"/>
      <c r="AJD63" s="325"/>
      <c r="AJE63" s="325"/>
      <c r="AJF63" s="325"/>
      <c r="AJG63" s="325"/>
      <c r="AJH63" s="325"/>
      <c r="AJI63" s="325"/>
      <c r="AJJ63" s="325"/>
      <c r="AJK63" s="325"/>
      <c r="AJL63" s="325"/>
      <c r="AJM63" s="325"/>
      <c r="AJN63" s="325"/>
      <c r="AJO63" s="325"/>
      <c r="AJP63" s="325"/>
      <c r="AJQ63" s="325"/>
      <c r="AJR63" s="325"/>
      <c r="AJS63" s="325"/>
      <c r="AJT63" s="325"/>
      <c r="AJU63" s="325"/>
      <c r="AJV63" s="325"/>
      <c r="AJW63" s="325"/>
      <c r="AJX63" s="325"/>
      <c r="AJY63" s="325"/>
      <c r="AJZ63" s="325"/>
      <c r="AKA63" s="325"/>
      <c r="AKB63" s="325"/>
      <c r="AKC63" s="325"/>
      <c r="AKD63" s="325"/>
      <c r="AKE63" s="325"/>
      <c r="AKF63" s="325"/>
      <c r="AKG63" s="325"/>
      <c r="AKH63" s="325"/>
      <c r="AKI63" s="325"/>
      <c r="AKJ63" s="325"/>
      <c r="AKK63" s="325"/>
      <c r="AKL63" s="325"/>
      <c r="AKM63" s="325"/>
      <c r="AKN63" s="325"/>
      <c r="AKO63" s="325"/>
      <c r="AKP63" s="325"/>
      <c r="AKQ63" s="325"/>
      <c r="AKR63" s="325"/>
      <c r="AKS63" s="325"/>
      <c r="AKT63" s="325"/>
      <c r="AKU63" s="325"/>
      <c r="AKV63" s="325"/>
      <c r="AKW63" s="325"/>
      <c r="AKX63" s="325"/>
      <c r="AKY63" s="325"/>
      <c r="AKZ63" s="325"/>
      <c r="ALA63" s="325"/>
      <c r="ALB63" s="325"/>
      <c r="ALC63" s="325"/>
      <c r="ALD63" s="325"/>
      <c r="ALE63" s="325"/>
      <c r="ALF63" s="325"/>
      <c r="ALG63" s="325"/>
      <c r="ALH63" s="325"/>
      <c r="ALI63" s="325"/>
      <c r="ALJ63" s="325"/>
      <c r="ALK63" s="325"/>
      <c r="ALL63" s="325"/>
      <c r="ALM63" s="325"/>
      <c r="ALN63" s="325"/>
      <c r="ALO63" s="325"/>
      <c r="ALP63" s="325"/>
      <c r="ALQ63" s="325"/>
      <c r="ALR63" s="325"/>
      <c r="ALS63" s="325"/>
      <c r="ALT63" s="325"/>
      <c r="ALU63" s="325"/>
      <c r="ALV63" s="325"/>
      <c r="ALW63" s="325"/>
      <c r="ALX63" s="325"/>
      <c r="ALY63" s="325"/>
      <c r="ALZ63" s="325"/>
      <c r="AMA63" s="325"/>
      <c r="AMB63" s="325"/>
      <c r="AMC63" s="325"/>
    </row>
    <row r="64" spans="3:1017" s="75" customFormat="1">
      <c r="C64" s="130"/>
      <c r="D64" s="130"/>
      <c r="CN64" s="225"/>
      <c r="CQ64" s="226"/>
      <c r="LD64" s="213"/>
      <c r="LH64" s="286"/>
      <c r="LI64" s="287"/>
      <c r="LJ64" s="124"/>
      <c r="LK64" s="124"/>
      <c r="LL64" s="124"/>
      <c r="LM64" s="124"/>
      <c r="LN64" s="124"/>
      <c r="LO64" s="124"/>
      <c r="LP64" s="124"/>
      <c r="LQ64" s="124"/>
      <c r="LR64" s="124"/>
      <c r="NE64" s="330"/>
      <c r="NF64" s="325"/>
      <c r="NG64" s="325"/>
      <c r="NH64" s="325"/>
      <c r="NI64" s="325"/>
      <c r="NJ64" s="325"/>
      <c r="NK64" s="325"/>
      <c r="NL64" s="325"/>
      <c r="NM64" s="325"/>
      <c r="NN64" s="325"/>
      <c r="NO64" s="325"/>
      <c r="NP64" s="325"/>
      <c r="NQ64" s="325"/>
      <c r="NR64" s="325"/>
      <c r="NS64" s="325"/>
      <c r="NT64" s="325"/>
      <c r="NU64" s="325"/>
      <c r="NV64" s="325"/>
      <c r="NW64" s="325"/>
      <c r="NX64" s="325"/>
      <c r="NY64" s="325"/>
      <c r="NZ64" s="325"/>
      <c r="OA64" s="325"/>
      <c r="OB64" s="325"/>
      <c r="OC64" s="325"/>
      <c r="OD64" s="325"/>
      <c r="OE64" s="325"/>
      <c r="OF64" s="325"/>
      <c r="OG64" s="325"/>
      <c r="OH64" s="325"/>
      <c r="OI64" s="325"/>
      <c r="OJ64" s="325"/>
      <c r="OK64" s="325"/>
      <c r="OL64" s="325"/>
      <c r="OM64" s="325"/>
      <c r="ON64" s="325"/>
      <c r="OO64" s="325"/>
      <c r="OP64" s="325"/>
      <c r="OQ64" s="325"/>
      <c r="OR64" s="325"/>
      <c r="OS64" s="325"/>
      <c r="OT64" s="325"/>
      <c r="OU64" s="325"/>
      <c r="OV64" s="325"/>
      <c r="OW64" s="325"/>
      <c r="OX64" s="325"/>
      <c r="OY64" s="325"/>
      <c r="OZ64" s="325"/>
      <c r="PA64" s="325"/>
      <c r="PB64" s="325"/>
      <c r="PC64" s="325"/>
      <c r="PD64" s="325"/>
      <c r="PE64" s="325"/>
      <c r="PF64" s="325"/>
      <c r="PG64" s="325"/>
      <c r="PH64" s="325"/>
      <c r="PI64" s="325"/>
      <c r="PJ64" s="325"/>
      <c r="PK64" s="325"/>
      <c r="PL64" s="325"/>
      <c r="PM64" s="325"/>
      <c r="PN64" s="325"/>
      <c r="PO64" s="325"/>
      <c r="PP64" s="325"/>
      <c r="PQ64" s="325"/>
      <c r="PR64" s="325"/>
      <c r="PS64" s="325"/>
      <c r="PT64" s="325"/>
      <c r="PU64" s="325"/>
      <c r="PV64" s="325"/>
      <c r="PW64" s="325"/>
      <c r="PX64" s="325"/>
      <c r="PY64" s="325"/>
      <c r="PZ64" s="325"/>
      <c r="QA64" s="325"/>
      <c r="QB64" s="325"/>
      <c r="QC64" s="325"/>
      <c r="QD64" s="325"/>
      <c r="QE64" s="325"/>
      <c r="QF64" s="325"/>
      <c r="QG64" s="325"/>
      <c r="QH64" s="325"/>
      <c r="QI64" s="325"/>
      <c r="QJ64" s="325"/>
      <c r="QK64" s="325"/>
      <c r="QL64" s="325"/>
      <c r="QM64" s="325"/>
      <c r="QN64" s="325"/>
      <c r="QO64" s="325"/>
      <c r="QP64" s="325"/>
      <c r="QQ64" s="325"/>
      <c r="QR64" s="325"/>
      <c r="QS64" s="325"/>
      <c r="QT64" s="325"/>
      <c r="QU64" s="325"/>
      <c r="QV64" s="325"/>
      <c r="QW64" s="325"/>
      <c r="QX64" s="325"/>
      <c r="QY64" s="325"/>
      <c r="QZ64" s="325"/>
      <c r="RA64" s="325"/>
      <c r="RB64" s="325"/>
      <c r="RC64" s="325"/>
      <c r="RD64" s="325"/>
      <c r="RE64" s="325"/>
      <c r="RF64" s="325"/>
      <c r="RG64" s="325"/>
      <c r="RH64" s="325"/>
      <c r="RI64" s="325"/>
      <c r="RJ64" s="325"/>
      <c r="RK64" s="325"/>
      <c r="RL64" s="325"/>
      <c r="RM64" s="325"/>
      <c r="RN64" s="325"/>
      <c r="RO64" s="325"/>
      <c r="RP64" s="325"/>
      <c r="RQ64" s="325"/>
      <c r="RR64" s="325"/>
      <c r="RS64" s="325"/>
      <c r="RT64" s="325"/>
      <c r="RU64" s="325"/>
      <c r="RV64" s="325"/>
      <c r="RW64" s="325"/>
      <c r="RX64" s="325"/>
      <c r="RY64" s="325"/>
      <c r="RZ64" s="325"/>
      <c r="SA64" s="325"/>
      <c r="SB64" s="325"/>
      <c r="SC64" s="325"/>
      <c r="SD64" s="325"/>
      <c r="SE64" s="325"/>
      <c r="SF64" s="325"/>
      <c r="SG64" s="325"/>
      <c r="SH64" s="325"/>
      <c r="SI64" s="325"/>
      <c r="SJ64" s="325"/>
      <c r="SK64" s="325"/>
      <c r="SL64" s="325"/>
      <c r="SM64" s="325"/>
      <c r="SN64" s="325"/>
      <c r="SO64" s="325"/>
      <c r="SP64" s="325"/>
      <c r="SQ64" s="325"/>
      <c r="SR64" s="325"/>
      <c r="SS64" s="325"/>
      <c r="ST64" s="325"/>
      <c r="SU64" s="325"/>
      <c r="SV64" s="325"/>
      <c r="SW64" s="325"/>
      <c r="SX64" s="325"/>
      <c r="SY64" s="325"/>
      <c r="SZ64" s="325"/>
      <c r="TA64" s="325"/>
      <c r="TB64" s="325"/>
      <c r="TC64" s="325"/>
      <c r="TD64" s="325"/>
      <c r="TE64" s="325"/>
      <c r="TF64" s="325"/>
      <c r="TG64" s="325"/>
      <c r="TH64" s="325"/>
      <c r="TI64" s="325"/>
      <c r="TJ64" s="325"/>
      <c r="TK64" s="325"/>
      <c r="TL64" s="325"/>
      <c r="TM64" s="325"/>
      <c r="TN64" s="325"/>
      <c r="TO64" s="325"/>
      <c r="TP64" s="325"/>
      <c r="TQ64" s="325"/>
      <c r="TR64" s="325"/>
      <c r="TS64" s="325"/>
      <c r="TT64" s="325"/>
      <c r="TU64" s="325"/>
      <c r="TV64" s="325"/>
      <c r="TW64" s="325"/>
      <c r="TX64" s="325"/>
      <c r="TY64" s="325"/>
      <c r="TZ64" s="325"/>
      <c r="UA64" s="325"/>
      <c r="UB64" s="325"/>
      <c r="UC64" s="325"/>
      <c r="UD64" s="325"/>
      <c r="UE64" s="325"/>
      <c r="UF64" s="325"/>
      <c r="UG64" s="325"/>
      <c r="UH64" s="325"/>
      <c r="UI64" s="325"/>
      <c r="UJ64" s="325"/>
      <c r="UK64" s="325"/>
      <c r="UL64" s="325"/>
      <c r="UM64" s="325"/>
      <c r="UN64" s="325"/>
      <c r="UO64" s="325"/>
      <c r="UP64" s="325"/>
      <c r="UQ64" s="325"/>
      <c r="UR64" s="325"/>
      <c r="US64" s="325"/>
      <c r="UT64" s="325"/>
      <c r="UU64" s="325"/>
      <c r="UV64" s="325"/>
      <c r="UW64" s="325"/>
      <c r="UX64" s="325"/>
      <c r="UY64" s="325"/>
      <c r="UZ64" s="325"/>
      <c r="VA64" s="325"/>
      <c r="VB64" s="325"/>
      <c r="VC64" s="325"/>
      <c r="VD64" s="325"/>
      <c r="VE64" s="325"/>
      <c r="VF64" s="325"/>
      <c r="VG64" s="325"/>
      <c r="VH64" s="325"/>
      <c r="VI64" s="325"/>
      <c r="VJ64" s="325"/>
      <c r="VK64" s="325"/>
      <c r="VL64" s="325"/>
      <c r="VM64" s="325"/>
      <c r="VN64" s="325"/>
      <c r="VO64" s="325"/>
      <c r="VP64" s="325"/>
      <c r="VQ64" s="325"/>
      <c r="VR64" s="325"/>
      <c r="VS64" s="325"/>
      <c r="VT64" s="325"/>
      <c r="VU64" s="325"/>
      <c r="VV64" s="325"/>
      <c r="VW64" s="325"/>
      <c r="VX64" s="325"/>
      <c r="VY64" s="325"/>
      <c r="VZ64" s="325"/>
      <c r="WA64" s="325"/>
      <c r="WB64" s="325"/>
      <c r="WC64" s="325"/>
      <c r="WD64" s="325"/>
      <c r="WE64" s="325"/>
      <c r="WF64" s="325"/>
      <c r="WG64" s="325"/>
      <c r="WH64" s="325"/>
      <c r="WI64" s="325"/>
      <c r="WJ64" s="325"/>
      <c r="WK64" s="325"/>
      <c r="WL64" s="325"/>
      <c r="WM64" s="325"/>
      <c r="WN64" s="325"/>
      <c r="WO64" s="325"/>
      <c r="WP64" s="325"/>
      <c r="WQ64" s="325"/>
      <c r="WR64" s="325"/>
      <c r="WS64" s="325"/>
      <c r="WT64" s="325"/>
      <c r="WU64" s="325"/>
      <c r="WV64" s="325"/>
      <c r="WW64" s="325"/>
      <c r="WX64" s="325"/>
      <c r="WY64" s="325"/>
      <c r="WZ64" s="325"/>
      <c r="XA64" s="325"/>
      <c r="XB64" s="325"/>
      <c r="XC64" s="325"/>
      <c r="XD64" s="325"/>
      <c r="XE64" s="325"/>
      <c r="XF64" s="325"/>
      <c r="XG64" s="325"/>
      <c r="XH64" s="325"/>
      <c r="XI64" s="325"/>
      <c r="XJ64" s="325"/>
      <c r="XK64" s="325"/>
      <c r="XL64" s="325"/>
      <c r="XM64" s="325"/>
      <c r="XN64" s="325"/>
      <c r="XO64" s="325"/>
      <c r="XP64" s="325"/>
      <c r="XQ64" s="325"/>
      <c r="XR64" s="325"/>
      <c r="XS64" s="325"/>
      <c r="XT64" s="325"/>
      <c r="XU64" s="325"/>
      <c r="XV64" s="325"/>
      <c r="XW64" s="325"/>
      <c r="XX64" s="325"/>
      <c r="XY64" s="325"/>
      <c r="XZ64" s="325"/>
      <c r="YA64" s="325"/>
      <c r="YB64" s="325"/>
      <c r="YC64" s="325"/>
      <c r="YD64" s="325"/>
      <c r="YE64" s="325"/>
      <c r="YF64" s="325"/>
      <c r="YG64" s="325"/>
      <c r="YH64" s="325"/>
      <c r="YI64" s="325"/>
      <c r="YJ64" s="325"/>
      <c r="YK64" s="325"/>
      <c r="YL64" s="325"/>
      <c r="YM64" s="325"/>
      <c r="YN64" s="325"/>
      <c r="YO64" s="325"/>
      <c r="YP64" s="325"/>
      <c r="YQ64" s="325"/>
      <c r="YR64" s="325"/>
      <c r="YS64" s="325"/>
      <c r="YT64" s="325"/>
      <c r="YU64" s="325"/>
      <c r="YV64" s="325"/>
      <c r="YW64" s="325"/>
      <c r="YX64" s="325"/>
      <c r="YY64" s="325"/>
      <c r="YZ64" s="325"/>
      <c r="ZA64" s="325"/>
      <c r="ZB64" s="325"/>
      <c r="ZC64" s="325"/>
      <c r="ZD64" s="325"/>
      <c r="ZE64" s="325"/>
      <c r="ZF64" s="325"/>
      <c r="ZG64" s="325"/>
      <c r="ZH64" s="325"/>
      <c r="ZI64" s="325"/>
      <c r="ZJ64" s="325"/>
      <c r="ZK64" s="325"/>
      <c r="ZL64" s="325"/>
      <c r="ZM64" s="325"/>
      <c r="ZN64" s="325"/>
      <c r="ZO64" s="325"/>
      <c r="ZP64" s="325"/>
      <c r="ZQ64" s="325"/>
      <c r="ZR64" s="325"/>
      <c r="ZS64" s="325"/>
      <c r="ZT64" s="325"/>
      <c r="ZU64" s="325"/>
      <c r="ZV64" s="325"/>
      <c r="ZW64" s="325"/>
      <c r="ZX64" s="325"/>
      <c r="ZY64" s="325"/>
      <c r="ZZ64" s="325"/>
      <c r="AAA64" s="325"/>
      <c r="AAB64" s="325"/>
      <c r="AAC64" s="325"/>
      <c r="AAD64" s="325"/>
      <c r="AAE64" s="325"/>
      <c r="AAF64" s="325"/>
      <c r="AAG64" s="325"/>
      <c r="AAH64" s="325"/>
      <c r="AAI64" s="325"/>
      <c r="AAJ64" s="325"/>
      <c r="AAK64" s="325"/>
      <c r="AAL64" s="325"/>
      <c r="AAM64" s="325"/>
      <c r="AAN64" s="325"/>
      <c r="AAO64" s="325"/>
      <c r="AAP64" s="325"/>
      <c r="AAQ64" s="325"/>
      <c r="AAR64" s="325"/>
      <c r="AAS64" s="325"/>
      <c r="AAT64" s="325"/>
      <c r="AAU64" s="325"/>
      <c r="AAV64" s="325"/>
      <c r="AAW64" s="325"/>
      <c r="AAX64" s="325"/>
      <c r="AAY64" s="325"/>
      <c r="AAZ64" s="325"/>
      <c r="ABA64" s="325"/>
      <c r="ABB64" s="325"/>
      <c r="ABC64" s="325"/>
      <c r="ABD64" s="325"/>
      <c r="ABE64" s="325"/>
      <c r="ABF64" s="325"/>
      <c r="ABG64" s="325"/>
      <c r="ABH64" s="325"/>
      <c r="ABI64" s="325"/>
      <c r="ABJ64" s="325"/>
      <c r="ABK64" s="325"/>
      <c r="ABL64" s="325"/>
      <c r="ABM64" s="325"/>
      <c r="ABN64" s="325"/>
      <c r="ABO64" s="325"/>
      <c r="ABP64" s="325"/>
      <c r="ABQ64" s="325"/>
      <c r="ABR64" s="325"/>
      <c r="ABS64" s="325"/>
      <c r="ABT64" s="325"/>
      <c r="ABU64" s="325"/>
      <c r="ABV64" s="325"/>
      <c r="ABW64" s="325"/>
      <c r="ABX64" s="325"/>
      <c r="ABY64" s="325"/>
      <c r="ABZ64" s="325"/>
      <c r="ACA64" s="325"/>
      <c r="ACB64" s="325"/>
      <c r="ACC64" s="325"/>
      <c r="ACD64" s="325"/>
      <c r="ACE64" s="325"/>
      <c r="ACF64" s="325"/>
      <c r="ACG64" s="325"/>
      <c r="ACH64" s="325"/>
      <c r="ACI64" s="325"/>
      <c r="ACJ64" s="325"/>
      <c r="ACK64" s="325"/>
      <c r="ACL64" s="325"/>
      <c r="ACM64" s="325"/>
      <c r="ACN64" s="325"/>
      <c r="ACO64" s="325"/>
      <c r="ACP64" s="325"/>
      <c r="ACQ64" s="325"/>
      <c r="ACR64" s="325"/>
      <c r="ACS64" s="325"/>
      <c r="ACT64" s="325"/>
      <c r="ACU64" s="325"/>
      <c r="ACV64" s="325"/>
      <c r="ACW64" s="325"/>
      <c r="ACX64" s="325"/>
      <c r="ACY64" s="325"/>
      <c r="ACZ64" s="325"/>
      <c r="ADA64" s="325"/>
      <c r="ADB64" s="325"/>
      <c r="ADC64" s="325"/>
      <c r="ADD64" s="325"/>
      <c r="ADE64" s="325"/>
      <c r="ADF64" s="325"/>
      <c r="ADG64" s="325"/>
      <c r="ADH64" s="325"/>
      <c r="ADI64" s="325"/>
      <c r="ADJ64" s="325"/>
      <c r="ADK64" s="325"/>
      <c r="ADL64" s="325"/>
      <c r="ADM64" s="325"/>
      <c r="ADN64" s="325"/>
      <c r="ADO64" s="325"/>
      <c r="ADP64" s="325"/>
      <c r="ADQ64" s="325"/>
      <c r="ADR64" s="325"/>
      <c r="ADS64" s="325"/>
      <c r="ADT64" s="325"/>
      <c r="ADU64" s="325"/>
      <c r="ADV64" s="325"/>
      <c r="ADW64" s="325"/>
      <c r="ADX64" s="325"/>
      <c r="ADY64" s="325"/>
      <c r="ADZ64" s="325"/>
      <c r="AEA64" s="325"/>
      <c r="AEB64" s="325"/>
      <c r="AEC64" s="325"/>
      <c r="AED64" s="325"/>
      <c r="AEE64" s="325"/>
      <c r="AEF64" s="325"/>
      <c r="AEG64" s="325"/>
      <c r="AEH64" s="325"/>
      <c r="AEI64" s="325"/>
      <c r="AEJ64" s="325"/>
      <c r="AEK64" s="325"/>
      <c r="AEL64" s="325"/>
      <c r="AEM64" s="325"/>
      <c r="AEN64" s="325"/>
      <c r="AEO64" s="325"/>
      <c r="AEP64" s="325"/>
      <c r="AEQ64" s="325"/>
      <c r="AER64" s="325"/>
      <c r="AES64" s="325"/>
      <c r="AET64" s="325"/>
      <c r="AEU64" s="325"/>
      <c r="AEV64" s="325"/>
      <c r="AEW64" s="325"/>
      <c r="AEX64" s="325"/>
      <c r="AEY64" s="325"/>
      <c r="AEZ64" s="325"/>
      <c r="AFA64" s="325"/>
      <c r="AFB64" s="325"/>
      <c r="AFC64" s="325"/>
      <c r="AFD64" s="325"/>
      <c r="AFE64" s="325"/>
      <c r="AFF64" s="325"/>
      <c r="AFG64" s="325"/>
      <c r="AFH64" s="325"/>
      <c r="AFI64" s="325"/>
      <c r="AFJ64" s="325"/>
      <c r="AFK64" s="325"/>
      <c r="AFL64" s="325"/>
      <c r="AFM64" s="325"/>
      <c r="AFN64" s="325"/>
      <c r="AFO64" s="325"/>
      <c r="AFP64" s="325"/>
      <c r="AFQ64" s="325"/>
      <c r="AFR64" s="325"/>
      <c r="AFS64" s="325"/>
      <c r="AFT64" s="325"/>
      <c r="AFU64" s="325"/>
      <c r="AFV64" s="325"/>
      <c r="AFW64" s="325"/>
      <c r="AFX64" s="325"/>
      <c r="AFY64" s="325"/>
      <c r="AFZ64" s="325"/>
      <c r="AGA64" s="325"/>
      <c r="AGB64" s="325"/>
      <c r="AGC64" s="325"/>
      <c r="AGD64" s="325"/>
      <c r="AGE64" s="325"/>
      <c r="AGF64" s="325"/>
      <c r="AGG64" s="325"/>
      <c r="AGH64" s="325"/>
      <c r="AGI64" s="325"/>
      <c r="AGJ64" s="325"/>
      <c r="AGK64" s="325"/>
      <c r="AGL64" s="325"/>
      <c r="AGM64" s="325"/>
      <c r="AGN64" s="325"/>
      <c r="AGO64" s="325"/>
      <c r="AGP64" s="325"/>
      <c r="AGQ64" s="325"/>
      <c r="AGR64" s="325"/>
      <c r="AGS64" s="325"/>
      <c r="AGT64" s="325"/>
      <c r="AGU64" s="325"/>
      <c r="AGV64" s="325"/>
      <c r="AGW64" s="325"/>
      <c r="AGX64" s="325"/>
      <c r="AGY64" s="325"/>
      <c r="AGZ64" s="325"/>
      <c r="AHA64" s="325"/>
      <c r="AHB64" s="325"/>
      <c r="AHC64" s="325"/>
      <c r="AHD64" s="325"/>
      <c r="AHE64" s="325"/>
      <c r="AHF64" s="325"/>
      <c r="AHG64" s="325"/>
      <c r="AHH64" s="325"/>
      <c r="AHI64" s="325"/>
      <c r="AHJ64" s="325"/>
      <c r="AHK64" s="325"/>
      <c r="AHL64" s="325"/>
      <c r="AHM64" s="325"/>
      <c r="AHN64" s="325"/>
      <c r="AHO64" s="325"/>
      <c r="AHP64" s="325"/>
      <c r="AHQ64" s="325"/>
      <c r="AHR64" s="325"/>
      <c r="AHS64" s="325"/>
      <c r="AHT64" s="325"/>
      <c r="AHU64" s="325"/>
      <c r="AHV64" s="325"/>
      <c r="AHW64" s="325"/>
      <c r="AHX64" s="325"/>
      <c r="AHY64" s="325"/>
      <c r="AHZ64" s="325"/>
      <c r="AIA64" s="325"/>
      <c r="AIB64" s="325"/>
      <c r="AIC64" s="325"/>
      <c r="AID64" s="325"/>
      <c r="AIE64" s="325"/>
      <c r="AIF64" s="325"/>
      <c r="AIG64" s="325"/>
      <c r="AIH64" s="325"/>
      <c r="AII64" s="325"/>
      <c r="AIJ64" s="325"/>
      <c r="AIK64" s="325"/>
      <c r="AIL64" s="325"/>
      <c r="AIM64" s="325"/>
      <c r="AIN64" s="325"/>
      <c r="AIO64" s="325"/>
      <c r="AIP64" s="325"/>
      <c r="AIQ64" s="325"/>
      <c r="AIR64" s="325"/>
      <c r="AIS64" s="325"/>
      <c r="AIT64" s="325"/>
      <c r="AIU64" s="325"/>
      <c r="AIV64" s="325"/>
      <c r="AIW64" s="325"/>
      <c r="AIX64" s="325"/>
      <c r="AIY64" s="325"/>
      <c r="AIZ64" s="325"/>
      <c r="AJA64" s="325"/>
      <c r="AJB64" s="325"/>
      <c r="AJC64" s="325"/>
      <c r="AJD64" s="325"/>
      <c r="AJE64" s="325"/>
      <c r="AJF64" s="325"/>
      <c r="AJG64" s="325"/>
      <c r="AJH64" s="325"/>
      <c r="AJI64" s="325"/>
      <c r="AJJ64" s="325"/>
      <c r="AJK64" s="325"/>
      <c r="AJL64" s="325"/>
      <c r="AJM64" s="325"/>
      <c r="AJN64" s="325"/>
      <c r="AJO64" s="325"/>
      <c r="AJP64" s="325"/>
      <c r="AJQ64" s="325"/>
      <c r="AJR64" s="325"/>
      <c r="AJS64" s="325"/>
      <c r="AJT64" s="325"/>
      <c r="AJU64" s="325"/>
      <c r="AJV64" s="325"/>
      <c r="AJW64" s="325"/>
      <c r="AJX64" s="325"/>
      <c r="AJY64" s="325"/>
      <c r="AJZ64" s="325"/>
      <c r="AKA64" s="325"/>
      <c r="AKB64" s="325"/>
      <c r="AKC64" s="325"/>
      <c r="AKD64" s="325"/>
      <c r="AKE64" s="325"/>
      <c r="AKF64" s="325"/>
      <c r="AKG64" s="325"/>
      <c r="AKH64" s="325"/>
      <c r="AKI64" s="325"/>
      <c r="AKJ64" s="325"/>
      <c r="AKK64" s="325"/>
      <c r="AKL64" s="325"/>
      <c r="AKM64" s="325"/>
      <c r="AKN64" s="325"/>
      <c r="AKO64" s="325"/>
      <c r="AKP64" s="325"/>
      <c r="AKQ64" s="325"/>
      <c r="AKR64" s="325"/>
      <c r="AKS64" s="325"/>
      <c r="AKT64" s="325"/>
      <c r="AKU64" s="325"/>
      <c r="AKV64" s="325"/>
      <c r="AKW64" s="325"/>
      <c r="AKX64" s="325"/>
      <c r="AKY64" s="325"/>
      <c r="AKZ64" s="325"/>
      <c r="ALA64" s="325"/>
      <c r="ALB64" s="325"/>
      <c r="ALC64" s="325"/>
      <c r="ALD64" s="325"/>
      <c r="ALE64" s="325"/>
      <c r="ALF64" s="325"/>
      <c r="ALG64" s="325"/>
      <c r="ALH64" s="325"/>
      <c r="ALI64" s="325"/>
      <c r="ALJ64" s="325"/>
      <c r="ALK64" s="325"/>
      <c r="ALL64" s="325"/>
      <c r="ALM64" s="325"/>
      <c r="ALN64" s="325"/>
      <c r="ALO64" s="325"/>
      <c r="ALP64" s="325"/>
      <c r="ALQ64" s="325"/>
      <c r="ALR64" s="325"/>
      <c r="ALS64" s="325"/>
      <c r="ALT64" s="325"/>
      <c r="ALU64" s="325"/>
      <c r="ALV64" s="325"/>
      <c r="ALW64" s="325"/>
      <c r="ALX64" s="325"/>
      <c r="ALY64" s="325"/>
      <c r="ALZ64" s="325"/>
      <c r="AMA64" s="325"/>
      <c r="AMB64" s="325"/>
      <c r="AMC64" s="325"/>
    </row>
    <row r="65" spans="3:1017" s="75" customFormat="1">
      <c r="C65" s="130"/>
      <c r="D65" s="130"/>
      <c r="CN65" s="225"/>
      <c r="CQ65" s="226"/>
      <c r="LD65" s="213"/>
      <c r="LH65" s="286"/>
      <c r="LI65" s="287"/>
      <c r="LJ65" s="124"/>
      <c r="LK65" s="124"/>
      <c r="LL65" s="124"/>
      <c r="LM65" s="124"/>
      <c r="LN65" s="124"/>
      <c r="LO65" s="124"/>
      <c r="LP65" s="124"/>
      <c r="LQ65" s="124"/>
      <c r="LR65" s="124"/>
      <c r="NE65" s="330"/>
      <c r="NF65" s="325"/>
      <c r="NG65" s="325"/>
      <c r="NH65" s="325"/>
      <c r="NI65" s="325"/>
      <c r="NJ65" s="325"/>
      <c r="NK65" s="325"/>
      <c r="NL65" s="325"/>
      <c r="NM65" s="325"/>
      <c r="NN65" s="325"/>
      <c r="NO65" s="325"/>
      <c r="NP65" s="325"/>
      <c r="NQ65" s="325"/>
      <c r="NR65" s="325"/>
      <c r="NS65" s="325"/>
      <c r="NT65" s="325"/>
      <c r="NU65" s="325"/>
      <c r="NV65" s="325"/>
      <c r="NW65" s="325"/>
      <c r="NX65" s="325"/>
      <c r="NY65" s="325"/>
      <c r="NZ65" s="325"/>
      <c r="OA65" s="325"/>
      <c r="OB65" s="325"/>
      <c r="OC65" s="325"/>
      <c r="OD65" s="325"/>
      <c r="OE65" s="325"/>
      <c r="OF65" s="325"/>
      <c r="OG65" s="325"/>
      <c r="OH65" s="325"/>
      <c r="OI65" s="325"/>
      <c r="OJ65" s="325"/>
      <c r="OK65" s="325"/>
      <c r="OL65" s="325"/>
      <c r="OM65" s="325"/>
      <c r="ON65" s="325"/>
      <c r="OO65" s="325"/>
      <c r="OP65" s="325"/>
      <c r="OQ65" s="325"/>
      <c r="OR65" s="325"/>
      <c r="OS65" s="325"/>
      <c r="OT65" s="325"/>
      <c r="OU65" s="325"/>
      <c r="OV65" s="325"/>
      <c r="OW65" s="325"/>
      <c r="OX65" s="325"/>
      <c r="OY65" s="325"/>
      <c r="OZ65" s="325"/>
      <c r="PA65" s="325"/>
      <c r="PB65" s="325"/>
      <c r="PC65" s="325"/>
      <c r="PD65" s="325"/>
      <c r="PE65" s="325"/>
      <c r="PF65" s="325"/>
      <c r="PG65" s="325"/>
      <c r="PH65" s="325"/>
      <c r="PI65" s="325"/>
      <c r="PJ65" s="325"/>
      <c r="PK65" s="325"/>
      <c r="PL65" s="325"/>
      <c r="PM65" s="325"/>
      <c r="PN65" s="325"/>
      <c r="PO65" s="325"/>
      <c r="PP65" s="325"/>
      <c r="PQ65" s="325"/>
      <c r="PR65" s="325"/>
      <c r="PS65" s="325"/>
      <c r="PT65" s="325"/>
      <c r="PU65" s="325"/>
      <c r="PV65" s="325"/>
      <c r="PW65" s="325"/>
      <c r="PX65" s="325"/>
      <c r="PY65" s="325"/>
      <c r="PZ65" s="325"/>
      <c r="QA65" s="325"/>
      <c r="QB65" s="325"/>
      <c r="QC65" s="325"/>
      <c r="QD65" s="325"/>
      <c r="QE65" s="325"/>
      <c r="QF65" s="325"/>
      <c r="QG65" s="325"/>
      <c r="QH65" s="325"/>
      <c r="QI65" s="325"/>
      <c r="QJ65" s="325"/>
      <c r="QK65" s="325"/>
      <c r="QL65" s="325"/>
      <c r="QM65" s="325"/>
      <c r="QN65" s="325"/>
      <c r="QO65" s="325"/>
      <c r="QP65" s="325"/>
      <c r="QQ65" s="325"/>
      <c r="QR65" s="325"/>
      <c r="QS65" s="325"/>
      <c r="QT65" s="325"/>
      <c r="QU65" s="325"/>
      <c r="QV65" s="325"/>
      <c r="QW65" s="325"/>
      <c r="QX65" s="325"/>
      <c r="QY65" s="325"/>
      <c r="QZ65" s="325"/>
      <c r="RA65" s="325"/>
      <c r="RB65" s="325"/>
      <c r="RC65" s="325"/>
      <c r="RD65" s="325"/>
      <c r="RE65" s="325"/>
      <c r="RF65" s="325"/>
      <c r="RG65" s="325"/>
      <c r="RH65" s="325"/>
      <c r="RI65" s="325"/>
      <c r="RJ65" s="325"/>
      <c r="RK65" s="325"/>
      <c r="RL65" s="325"/>
      <c r="RM65" s="325"/>
      <c r="RN65" s="325"/>
      <c r="RO65" s="325"/>
      <c r="RP65" s="325"/>
      <c r="RQ65" s="325"/>
      <c r="RR65" s="325"/>
      <c r="RS65" s="325"/>
      <c r="RT65" s="325"/>
      <c r="RU65" s="325"/>
      <c r="RV65" s="325"/>
      <c r="RW65" s="325"/>
      <c r="RX65" s="325"/>
      <c r="RY65" s="325"/>
      <c r="RZ65" s="325"/>
      <c r="SA65" s="325"/>
      <c r="SB65" s="325"/>
      <c r="SC65" s="325"/>
      <c r="SD65" s="325"/>
      <c r="SE65" s="325"/>
      <c r="SF65" s="325"/>
      <c r="SG65" s="325"/>
      <c r="SH65" s="325"/>
      <c r="SI65" s="325"/>
      <c r="SJ65" s="325"/>
      <c r="SK65" s="325"/>
      <c r="SL65" s="325"/>
      <c r="SM65" s="325"/>
      <c r="SN65" s="325"/>
      <c r="SO65" s="325"/>
      <c r="SP65" s="325"/>
      <c r="SQ65" s="325"/>
      <c r="SR65" s="325"/>
      <c r="SS65" s="325"/>
      <c r="ST65" s="325"/>
      <c r="SU65" s="325"/>
      <c r="SV65" s="325"/>
      <c r="SW65" s="325"/>
      <c r="SX65" s="325"/>
      <c r="SY65" s="325"/>
      <c r="SZ65" s="325"/>
      <c r="TA65" s="325"/>
      <c r="TB65" s="325"/>
      <c r="TC65" s="325"/>
      <c r="TD65" s="325"/>
      <c r="TE65" s="325"/>
      <c r="TF65" s="325"/>
      <c r="TG65" s="325"/>
      <c r="TH65" s="325"/>
      <c r="TI65" s="325"/>
      <c r="TJ65" s="325"/>
      <c r="TK65" s="325"/>
      <c r="TL65" s="325"/>
      <c r="TM65" s="325"/>
      <c r="TN65" s="325"/>
      <c r="TO65" s="325"/>
      <c r="TP65" s="325"/>
      <c r="TQ65" s="325"/>
      <c r="TR65" s="325"/>
      <c r="TS65" s="325"/>
      <c r="TT65" s="325"/>
      <c r="TU65" s="325"/>
      <c r="TV65" s="325"/>
      <c r="TW65" s="325"/>
      <c r="TX65" s="325"/>
      <c r="TY65" s="325"/>
      <c r="TZ65" s="325"/>
      <c r="UA65" s="325"/>
      <c r="UB65" s="325"/>
      <c r="UC65" s="325"/>
      <c r="UD65" s="325"/>
      <c r="UE65" s="325"/>
      <c r="UF65" s="325"/>
      <c r="UG65" s="325"/>
      <c r="UH65" s="325"/>
      <c r="UI65" s="325"/>
      <c r="UJ65" s="325"/>
      <c r="UK65" s="325"/>
      <c r="UL65" s="325"/>
      <c r="UM65" s="325"/>
      <c r="UN65" s="325"/>
      <c r="UO65" s="325"/>
      <c r="UP65" s="325"/>
      <c r="UQ65" s="325"/>
      <c r="UR65" s="325"/>
      <c r="US65" s="325"/>
      <c r="UT65" s="325"/>
      <c r="UU65" s="325"/>
      <c r="UV65" s="325"/>
      <c r="UW65" s="325"/>
      <c r="UX65" s="325"/>
      <c r="UY65" s="325"/>
      <c r="UZ65" s="325"/>
      <c r="VA65" s="325"/>
      <c r="VB65" s="325"/>
      <c r="VC65" s="325"/>
      <c r="VD65" s="325"/>
      <c r="VE65" s="325"/>
      <c r="VF65" s="325"/>
      <c r="VG65" s="325"/>
      <c r="VH65" s="325"/>
      <c r="VI65" s="325"/>
      <c r="VJ65" s="325"/>
      <c r="VK65" s="325"/>
      <c r="VL65" s="325"/>
      <c r="VM65" s="325"/>
      <c r="VN65" s="325"/>
      <c r="VO65" s="325"/>
      <c r="VP65" s="325"/>
      <c r="VQ65" s="325"/>
      <c r="VR65" s="325"/>
      <c r="VS65" s="325"/>
      <c r="VT65" s="325"/>
      <c r="VU65" s="325"/>
      <c r="VV65" s="325"/>
      <c r="VW65" s="325"/>
      <c r="VX65" s="325"/>
      <c r="VY65" s="325"/>
      <c r="VZ65" s="325"/>
      <c r="WA65" s="325"/>
      <c r="WB65" s="325"/>
      <c r="WC65" s="325"/>
      <c r="WD65" s="325"/>
      <c r="WE65" s="325"/>
      <c r="WF65" s="325"/>
      <c r="WG65" s="325"/>
      <c r="WH65" s="325"/>
      <c r="WI65" s="325"/>
      <c r="WJ65" s="325"/>
      <c r="WK65" s="325"/>
      <c r="WL65" s="325"/>
      <c r="WM65" s="325"/>
      <c r="WN65" s="325"/>
      <c r="WO65" s="325"/>
      <c r="WP65" s="325"/>
      <c r="WQ65" s="325"/>
      <c r="WR65" s="325"/>
      <c r="WS65" s="325"/>
      <c r="WT65" s="325"/>
      <c r="WU65" s="325"/>
      <c r="WV65" s="325"/>
      <c r="WW65" s="325"/>
      <c r="WX65" s="325"/>
      <c r="WY65" s="325"/>
      <c r="WZ65" s="325"/>
      <c r="XA65" s="325"/>
      <c r="XB65" s="325"/>
      <c r="XC65" s="325"/>
      <c r="XD65" s="325"/>
      <c r="XE65" s="325"/>
      <c r="XF65" s="325"/>
      <c r="XG65" s="325"/>
      <c r="XH65" s="325"/>
      <c r="XI65" s="325"/>
      <c r="XJ65" s="325"/>
      <c r="XK65" s="325"/>
      <c r="XL65" s="325"/>
      <c r="XM65" s="325"/>
      <c r="XN65" s="325"/>
      <c r="XO65" s="325"/>
      <c r="XP65" s="325"/>
      <c r="XQ65" s="325"/>
      <c r="XR65" s="325"/>
      <c r="XS65" s="325"/>
      <c r="XT65" s="325"/>
      <c r="XU65" s="325"/>
      <c r="XV65" s="325"/>
      <c r="XW65" s="325"/>
      <c r="XX65" s="325"/>
      <c r="XY65" s="325"/>
      <c r="XZ65" s="325"/>
      <c r="YA65" s="325"/>
      <c r="YB65" s="325"/>
      <c r="YC65" s="325"/>
      <c r="YD65" s="325"/>
      <c r="YE65" s="325"/>
      <c r="YF65" s="325"/>
      <c r="YG65" s="325"/>
      <c r="YH65" s="325"/>
      <c r="YI65" s="325"/>
      <c r="YJ65" s="325"/>
      <c r="YK65" s="325"/>
      <c r="YL65" s="325"/>
      <c r="YM65" s="325"/>
      <c r="YN65" s="325"/>
      <c r="YO65" s="325"/>
      <c r="YP65" s="325"/>
      <c r="YQ65" s="325"/>
      <c r="YR65" s="325"/>
      <c r="YS65" s="325"/>
      <c r="YT65" s="325"/>
      <c r="YU65" s="325"/>
      <c r="YV65" s="325"/>
      <c r="YW65" s="325"/>
      <c r="YX65" s="325"/>
      <c r="YY65" s="325"/>
      <c r="YZ65" s="325"/>
      <c r="ZA65" s="325"/>
      <c r="ZB65" s="325"/>
      <c r="ZC65" s="325"/>
      <c r="ZD65" s="325"/>
      <c r="ZE65" s="325"/>
      <c r="ZF65" s="325"/>
      <c r="ZG65" s="325"/>
      <c r="ZH65" s="325"/>
      <c r="ZI65" s="325"/>
      <c r="ZJ65" s="325"/>
      <c r="ZK65" s="325"/>
      <c r="ZL65" s="325"/>
      <c r="ZM65" s="325"/>
      <c r="ZN65" s="325"/>
      <c r="ZO65" s="325"/>
      <c r="ZP65" s="325"/>
      <c r="ZQ65" s="325"/>
      <c r="ZR65" s="325"/>
      <c r="ZS65" s="325"/>
      <c r="ZT65" s="325"/>
      <c r="ZU65" s="325"/>
      <c r="ZV65" s="325"/>
      <c r="ZW65" s="325"/>
      <c r="ZX65" s="325"/>
      <c r="ZY65" s="325"/>
      <c r="ZZ65" s="325"/>
      <c r="AAA65" s="325"/>
      <c r="AAB65" s="325"/>
      <c r="AAC65" s="325"/>
      <c r="AAD65" s="325"/>
      <c r="AAE65" s="325"/>
      <c r="AAF65" s="325"/>
      <c r="AAG65" s="325"/>
      <c r="AAH65" s="325"/>
      <c r="AAI65" s="325"/>
      <c r="AAJ65" s="325"/>
      <c r="AAK65" s="325"/>
      <c r="AAL65" s="325"/>
      <c r="AAM65" s="325"/>
      <c r="AAN65" s="325"/>
      <c r="AAO65" s="325"/>
      <c r="AAP65" s="325"/>
      <c r="AAQ65" s="325"/>
      <c r="AAR65" s="325"/>
      <c r="AAS65" s="325"/>
      <c r="AAT65" s="325"/>
      <c r="AAU65" s="325"/>
      <c r="AAV65" s="325"/>
      <c r="AAW65" s="325"/>
      <c r="AAX65" s="325"/>
      <c r="AAY65" s="325"/>
      <c r="AAZ65" s="325"/>
      <c r="ABA65" s="325"/>
      <c r="ABB65" s="325"/>
      <c r="ABC65" s="325"/>
      <c r="ABD65" s="325"/>
      <c r="ABE65" s="325"/>
      <c r="ABF65" s="325"/>
      <c r="ABG65" s="325"/>
      <c r="ABH65" s="325"/>
      <c r="ABI65" s="325"/>
      <c r="ABJ65" s="325"/>
      <c r="ABK65" s="325"/>
      <c r="ABL65" s="325"/>
      <c r="ABM65" s="325"/>
      <c r="ABN65" s="325"/>
      <c r="ABO65" s="325"/>
      <c r="ABP65" s="325"/>
      <c r="ABQ65" s="325"/>
      <c r="ABR65" s="325"/>
      <c r="ABS65" s="325"/>
      <c r="ABT65" s="325"/>
      <c r="ABU65" s="325"/>
      <c r="ABV65" s="325"/>
      <c r="ABW65" s="325"/>
      <c r="ABX65" s="325"/>
      <c r="ABY65" s="325"/>
      <c r="ABZ65" s="325"/>
      <c r="ACA65" s="325"/>
      <c r="ACB65" s="325"/>
      <c r="ACC65" s="325"/>
      <c r="ACD65" s="325"/>
      <c r="ACE65" s="325"/>
      <c r="ACF65" s="325"/>
      <c r="ACG65" s="325"/>
      <c r="ACH65" s="325"/>
      <c r="ACI65" s="325"/>
      <c r="ACJ65" s="325"/>
      <c r="ACK65" s="325"/>
      <c r="ACL65" s="325"/>
      <c r="ACM65" s="325"/>
      <c r="ACN65" s="325"/>
      <c r="ACO65" s="325"/>
      <c r="ACP65" s="325"/>
      <c r="ACQ65" s="325"/>
      <c r="ACR65" s="325"/>
      <c r="ACS65" s="325"/>
      <c r="ACT65" s="325"/>
      <c r="ACU65" s="325"/>
      <c r="ACV65" s="325"/>
      <c r="ACW65" s="325"/>
      <c r="ACX65" s="325"/>
      <c r="ACY65" s="325"/>
      <c r="ACZ65" s="325"/>
      <c r="ADA65" s="325"/>
      <c r="ADB65" s="325"/>
      <c r="ADC65" s="325"/>
      <c r="ADD65" s="325"/>
      <c r="ADE65" s="325"/>
      <c r="ADF65" s="325"/>
      <c r="ADG65" s="325"/>
      <c r="ADH65" s="325"/>
      <c r="ADI65" s="325"/>
      <c r="ADJ65" s="325"/>
      <c r="ADK65" s="325"/>
      <c r="ADL65" s="325"/>
      <c r="ADM65" s="325"/>
      <c r="ADN65" s="325"/>
      <c r="ADO65" s="325"/>
      <c r="ADP65" s="325"/>
      <c r="ADQ65" s="325"/>
      <c r="ADR65" s="325"/>
      <c r="ADS65" s="325"/>
      <c r="ADT65" s="325"/>
      <c r="ADU65" s="325"/>
      <c r="ADV65" s="325"/>
      <c r="ADW65" s="325"/>
      <c r="ADX65" s="325"/>
      <c r="ADY65" s="325"/>
      <c r="ADZ65" s="325"/>
      <c r="AEA65" s="325"/>
      <c r="AEB65" s="325"/>
      <c r="AEC65" s="325"/>
      <c r="AED65" s="325"/>
      <c r="AEE65" s="325"/>
      <c r="AEF65" s="325"/>
      <c r="AEG65" s="325"/>
      <c r="AEH65" s="325"/>
      <c r="AEI65" s="325"/>
      <c r="AEJ65" s="325"/>
      <c r="AEK65" s="325"/>
      <c r="AEL65" s="325"/>
      <c r="AEM65" s="325"/>
      <c r="AEN65" s="325"/>
      <c r="AEO65" s="325"/>
      <c r="AEP65" s="325"/>
      <c r="AEQ65" s="325"/>
      <c r="AER65" s="325"/>
      <c r="AES65" s="325"/>
      <c r="AET65" s="325"/>
      <c r="AEU65" s="325"/>
      <c r="AEV65" s="325"/>
      <c r="AEW65" s="325"/>
      <c r="AEX65" s="325"/>
      <c r="AEY65" s="325"/>
      <c r="AEZ65" s="325"/>
      <c r="AFA65" s="325"/>
      <c r="AFB65" s="325"/>
      <c r="AFC65" s="325"/>
      <c r="AFD65" s="325"/>
      <c r="AFE65" s="325"/>
      <c r="AFF65" s="325"/>
      <c r="AFG65" s="325"/>
      <c r="AFH65" s="325"/>
      <c r="AFI65" s="325"/>
      <c r="AFJ65" s="325"/>
      <c r="AFK65" s="325"/>
      <c r="AFL65" s="325"/>
      <c r="AFM65" s="325"/>
      <c r="AFN65" s="325"/>
      <c r="AFO65" s="325"/>
      <c r="AFP65" s="325"/>
      <c r="AFQ65" s="325"/>
      <c r="AFR65" s="325"/>
      <c r="AFS65" s="325"/>
      <c r="AFT65" s="325"/>
      <c r="AFU65" s="325"/>
      <c r="AFV65" s="325"/>
      <c r="AFW65" s="325"/>
      <c r="AFX65" s="325"/>
      <c r="AFY65" s="325"/>
      <c r="AFZ65" s="325"/>
      <c r="AGA65" s="325"/>
      <c r="AGB65" s="325"/>
      <c r="AGC65" s="325"/>
      <c r="AGD65" s="325"/>
      <c r="AGE65" s="325"/>
      <c r="AGF65" s="325"/>
      <c r="AGG65" s="325"/>
      <c r="AGH65" s="325"/>
      <c r="AGI65" s="325"/>
      <c r="AGJ65" s="325"/>
      <c r="AGK65" s="325"/>
      <c r="AGL65" s="325"/>
      <c r="AGM65" s="325"/>
      <c r="AGN65" s="325"/>
      <c r="AGO65" s="325"/>
      <c r="AGP65" s="325"/>
      <c r="AGQ65" s="325"/>
      <c r="AGR65" s="325"/>
      <c r="AGS65" s="325"/>
      <c r="AGT65" s="325"/>
      <c r="AGU65" s="325"/>
      <c r="AGV65" s="325"/>
      <c r="AGW65" s="325"/>
      <c r="AGX65" s="325"/>
      <c r="AGY65" s="325"/>
      <c r="AGZ65" s="325"/>
      <c r="AHA65" s="325"/>
      <c r="AHB65" s="325"/>
      <c r="AHC65" s="325"/>
      <c r="AHD65" s="325"/>
      <c r="AHE65" s="325"/>
      <c r="AHF65" s="325"/>
      <c r="AHG65" s="325"/>
      <c r="AHH65" s="325"/>
      <c r="AHI65" s="325"/>
      <c r="AHJ65" s="325"/>
      <c r="AHK65" s="325"/>
      <c r="AHL65" s="325"/>
      <c r="AHM65" s="325"/>
      <c r="AHN65" s="325"/>
      <c r="AHO65" s="325"/>
      <c r="AHP65" s="325"/>
      <c r="AHQ65" s="325"/>
      <c r="AHR65" s="325"/>
      <c r="AHS65" s="325"/>
      <c r="AHT65" s="325"/>
      <c r="AHU65" s="325"/>
      <c r="AHV65" s="325"/>
      <c r="AHW65" s="325"/>
      <c r="AHX65" s="325"/>
      <c r="AHY65" s="325"/>
      <c r="AHZ65" s="325"/>
      <c r="AIA65" s="325"/>
      <c r="AIB65" s="325"/>
      <c r="AIC65" s="325"/>
      <c r="AID65" s="325"/>
      <c r="AIE65" s="325"/>
      <c r="AIF65" s="325"/>
      <c r="AIG65" s="325"/>
      <c r="AIH65" s="325"/>
      <c r="AII65" s="325"/>
      <c r="AIJ65" s="325"/>
      <c r="AIK65" s="325"/>
      <c r="AIL65" s="325"/>
      <c r="AIM65" s="325"/>
      <c r="AIN65" s="325"/>
      <c r="AIO65" s="325"/>
      <c r="AIP65" s="325"/>
      <c r="AIQ65" s="325"/>
      <c r="AIR65" s="325"/>
      <c r="AIS65" s="325"/>
      <c r="AIT65" s="325"/>
      <c r="AIU65" s="325"/>
      <c r="AIV65" s="325"/>
      <c r="AIW65" s="325"/>
      <c r="AIX65" s="325"/>
      <c r="AIY65" s="325"/>
      <c r="AIZ65" s="325"/>
      <c r="AJA65" s="325"/>
      <c r="AJB65" s="325"/>
      <c r="AJC65" s="325"/>
      <c r="AJD65" s="325"/>
      <c r="AJE65" s="325"/>
      <c r="AJF65" s="325"/>
      <c r="AJG65" s="325"/>
      <c r="AJH65" s="325"/>
      <c r="AJI65" s="325"/>
      <c r="AJJ65" s="325"/>
      <c r="AJK65" s="325"/>
      <c r="AJL65" s="325"/>
      <c r="AJM65" s="325"/>
      <c r="AJN65" s="325"/>
      <c r="AJO65" s="325"/>
      <c r="AJP65" s="325"/>
      <c r="AJQ65" s="325"/>
      <c r="AJR65" s="325"/>
      <c r="AJS65" s="325"/>
      <c r="AJT65" s="325"/>
      <c r="AJU65" s="325"/>
      <c r="AJV65" s="325"/>
      <c r="AJW65" s="325"/>
      <c r="AJX65" s="325"/>
      <c r="AJY65" s="325"/>
      <c r="AJZ65" s="325"/>
      <c r="AKA65" s="325"/>
      <c r="AKB65" s="325"/>
      <c r="AKC65" s="325"/>
      <c r="AKD65" s="325"/>
      <c r="AKE65" s="325"/>
      <c r="AKF65" s="325"/>
      <c r="AKG65" s="325"/>
      <c r="AKH65" s="325"/>
      <c r="AKI65" s="325"/>
      <c r="AKJ65" s="325"/>
      <c r="AKK65" s="325"/>
      <c r="AKL65" s="325"/>
      <c r="AKM65" s="325"/>
      <c r="AKN65" s="325"/>
      <c r="AKO65" s="325"/>
      <c r="AKP65" s="325"/>
      <c r="AKQ65" s="325"/>
      <c r="AKR65" s="325"/>
      <c r="AKS65" s="325"/>
      <c r="AKT65" s="325"/>
      <c r="AKU65" s="325"/>
      <c r="AKV65" s="325"/>
      <c r="AKW65" s="325"/>
      <c r="AKX65" s="325"/>
      <c r="AKY65" s="325"/>
      <c r="AKZ65" s="325"/>
      <c r="ALA65" s="325"/>
      <c r="ALB65" s="325"/>
      <c r="ALC65" s="325"/>
      <c r="ALD65" s="325"/>
      <c r="ALE65" s="325"/>
      <c r="ALF65" s="325"/>
      <c r="ALG65" s="325"/>
      <c r="ALH65" s="325"/>
      <c r="ALI65" s="325"/>
      <c r="ALJ65" s="325"/>
      <c r="ALK65" s="325"/>
      <c r="ALL65" s="325"/>
      <c r="ALM65" s="325"/>
      <c r="ALN65" s="325"/>
      <c r="ALO65" s="325"/>
      <c r="ALP65" s="325"/>
      <c r="ALQ65" s="325"/>
      <c r="ALR65" s="325"/>
      <c r="ALS65" s="325"/>
      <c r="ALT65" s="325"/>
      <c r="ALU65" s="325"/>
      <c r="ALV65" s="325"/>
      <c r="ALW65" s="325"/>
      <c r="ALX65" s="325"/>
      <c r="ALY65" s="325"/>
      <c r="ALZ65" s="325"/>
      <c r="AMA65" s="325"/>
      <c r="AMB65" s="325"/>
      <c r="AMC65" s="325"/>
    </row>
    <row r="66" spans="3:1017" s="75" customFormat="1">
      <c r="C66" s="130"/>
      <c r="D66" s="130"/>
      <c r="CN66" s="225"/>
      <c r="CQ66" s="226"/>
      <c r="LD66" s="213"/>
      <c r="LH66" s="286"/>
      <c r="LI66" s="287"/>
      <c r="LJ66" s="124"/>
      <c r="LK66" s="124"/>
      <c r="LL66" s="124"/>
      <c r="LM66" s="124"/>
      <c r="LN66" s="124"/>
      <c r="LO66" s="124"/>
      <c r="LP66" s="124"/>
      <c r="LQ66" s="124"/>
      <c r="LR66" s="124"/>
      <c r="NE66" s="330"/>
      <c r="NF66" s="325"/>
      <c r="NG66" s="325"/>
      <c r="NH66" s="325"/>
      <c r="NI66" s="325"/>
      <c r="NJ66" s="325"/>
      <c r="NK66" s="325"/>
      <c r="NL66" s="325"/>
      <c r="NM66" s="325"/>
      <c r="NN66" s="325"/>
      <c r="NO66" s="325"/>
      <c r="NP66" s="325"/>
      <c r="NQ66" s="325"/>
      <c r="NR66" s="325"/>
      <c r="NS66" s="325"/>
      <c r="NT66" s="325"/>
      <c r="NU66" s="325"/>
      <c r="NV66" s="325"/>
      <c r="NW66" s="325"/>
      <c r="NX66" s="325"/>
      <c r="NY66" s="325"/>
      <c r="NZ66" s="325"/>
      <c r="OA66" s="325"/>
      <c r="OB66" s="325"/>
      <c r="OC66" s="325"/>
      <c r="OD66" s="325"/>
      <c r="OE66" s="325"/>
      <c r="OF66" s="325"/>
      <c r="OG66" s="325"/>
      <c r="OH66" s="325"/>
      <c r="OI66" s="325"/>
      <c r="OJ66" s="325"/>
      <c r="OK66" s="325"/>
      <c r="OL66" s="325"/>
      <c r="OM66" s="325"/>
      <c r="ON66" s="325"/>
      <c r="OO66" s="325"/>
      <c r="OP66" s="325"/>
      <c r="OQ66" s="325"/>
      <c r="OR66" s="325"/>
      <c r="OS66" s="325"/>
      <c r="OT66" s="325"/>
      <c r="OU66" s="325"/>
      <c r="OV66" s="325"/>
      <c r="OW66" s="325"/>
      <c r="OX66" s="325"/>
      <c r="OY66" s="325"/>
      <c r="OZ66" s="325"/>
      <c r="PA66" s="325"/>
      <c r="PB66" s="325"/>
      <c r="PC66" s="325"/>
      <c r="PD66" s="325"/>
      <c r="PE66" s="325"/>
      <c r="PF66" s="325"/>
      <c r="PG66" s="325"/>
      <c r="PH66" s="325"/>
      <c r="PI66" s="325"/>
      <c r="PJ66" s="325"/>
      <c r="PK66" s="325"/>
      <c r="PL66" s="325"/>
      <c r="PM66" s="325"/>
      <c r="PN66" s="325"/>
      <c r="PO66" s="325"/>
      <c r="PP66" s="325"/>
      <c r="PQ66" s="325"/>
      <c r="PR66" s="325"/>
      <c r="PS66" s="325"/>
      <c r="PT66" s="325"/>
      <c r="PU66" s="325"/>
      <c r="PV66" s="325"/>
      <c r="PW66" s="325"/>
      <c r="PX66" s="325"/>
      <c r="PY66" s="325"/>
      <c r="PZ66" s="325"/>
      <c r="QA66" s="325"/>
      <c r="QB66" s="325"/>
      <c r="QC66" s="325"/>
      <c r="QD66" s="325"/>
      <c r="QE66" s="325"/>
      <c r="QF66" s="325"/>
      <c r="QG66" s="325"/>
      <c r="QH66" s="325"/>
      <c r="QI66" s="325"/>
      <c r="QJ66" s="325"/>
      <c r="QK66" s="325"/>
      <c r="QL66" s="325"/>
      <c r="QM66" s="325"/>
      <c r="QN66" s="325"/>
      <c r="QO66" s="325"/>
      <c r="QP66" s="325"/>
      <c r="QQ66" s="325"/>
      <c r="QR66" s="325"/>
      <c r="QS66" s="325"/>
      <c r="QT66" s="325"/>
      <c r="QU66" s="325"/>
      <c r="QV66" s="325"/>
      <c r="QW66" s="325"/>
      <c r="QX66" s="325"/>
      <c r="QY66" s="325"/>
      <c r="QZ66" s="325"/>
      <c r="RA66" s="325"/>
      <c r="RB66" s="325"/>
      <c r="RC66" s="325"/>
      <c r="RD66" s="325"/>
      <c r="RE66" s="325"/>
      <c r="RF66" s="325"/>
      <c r="RG66" s="325"/>
      <c r="RH66" s="325"/>
      <c r="RI66" s="325"/>
      <c r="RJ66" s="325"/>
      <c r="RK66" s="325"/>
      <c r="RL66" s="325"/>
      <c r="RM66" s="325"/>
      <c r="RN66" s="325"/>
      <c r="RO66" s="325"/>
      <c r="RP66" s="325"/>
      <c r="RQ66" s="325"/>
      <c r="RR66" s="325"/>
      <c r="RS66" s="325"/>
      <c r="RT66" s="325"/>
      <c r="RU66" s="325"/>
      <c r="RV66" s="325"/>
      <c r="RW66" s="325"/>
      <c r="RX66" s="325"/>
      <c r="RY66" s="325"/>
      <c r="RZ66" s="325"/>
      <c r="SA66" s="325"/>
      <c r="SB66" s="325"/>
      <c r="SC66" s="325"/>
      <c r="SD66" s="325"/>
      <c r="SE66" s="325"/>
      <c r="SF66" s="325"/>
      <c r="SG66" s="325"/>
      <c r="SH66" s="325"/>
      <c r="SI66" s="325"/>
      <c r="SJ66" s="325"/>
      <c r="SK66" s="325"/>
      <c r="SL66" s="325"/>
      <c r="SM66" s="325"/>
      <c r="SN66" s="325"/>
      <c r="SO66" s="325"/>
      <c r="SP66" s="325"/>
      <c r="SQ66" s="325"/>
      <c r="SR66" s="325"/>
      <c r="SS66" s="325"/>
      <c r="ST66" s="325"/>
      <c r="SU66" s="325"/>
      <c r="SV66" s="325"/>
      <c r="SW66" s="325"/>
      <c r="SX66" s="325"/>
      <c r="SY66" s="325"/>
      <c r="SZ66" s="325"/>
      <c r="TA66" s="325"/>
      <c r="TB66" s="325"/>
      <c r="TC66" s="325"/>
      <c r="TD66" s="325"/>
      <c r="TE66" s="325"/>
      <c r="TF66" s="325"/>
      <c r="TG66" s="325"/>
      <c r="TH66" s="325"/>
      <c r="TI66" s="325"/>
      <c r="TJ66" s="325"/>
      <c r="TK66" s="325"/>
      <c r="TL66" s="325"/>
      <c r="TM66" s="325"/>
      <c r="TN66" s="325"/>
      <c r="TO66" s="325"/>
      <c r="TP66" s="325"/>
      <c r="TQ66" s="325"/>
      <c r="TR66" s="325"/>
      <c r="TS66" s="325"/>
      <c r="TT66" s="325"/>
      <c r="TU66" s="325"/>
      <c r="TV66" s="325"/>
      <c r="TW66" s="325"/>
      <c r="TX66" s="325"/>
      <c r="TY66" s="325"/>
      <c r="TZ66" s="325"/>
      <c r="UA66" s="325"/>
      <c r="UB66" s="325"/>
      <c r="UC66" s="325"/>
      <c r="UD66" s="325"/>
      <c r="UE66" s="325"/>
      <c r="UF66" s="325"/>
      <c r="UG66" s="325"/>
      <c r="UH66" s="325"/>
      <c r="UI66" s="325"/>
      <c r="UJ66" s="325"/>
      <c r="UK66" s="325"/>
      <c r="UL66" s="325"/>
      <c r="UM66" s="325"/>
      <c r="UN66" s="325"/>
      <c r="UO66" s="325"/>
      <c r="UP66" s="325"/>
      <c r="UQ66" s="325"/>
      <c r="UR66" s="325"/>
      <c r="US66" s="325"/>
      <c r="UT66" s="325"/>
      <c r="UU66" s="325"/>
      <c r="UV66" s="325"/>
      <c r="UW66" s="325"/>
      <c r="UX66" s="325"/>
      <c r="UY66" s="325"/>
      <c r="UZ66" s="325"/>
      <c r="VA66" s="325"/>
      <c r="VB66" s="325"/>
      <c r="VC66" s="325"/>
      <c r="VD66" s="325"/>
      <c r="VE66" s="325"/>
      <c r="VF66" s="325"/>
      <c r="VG66" s="325"/>
      <c r="VH66" s="325"/>
      <c r="VI66" s="325"/>
      <c r="VJ66" s="325"/>
      <c r="VK66" s="325"/>
      <c r="VL66" s="325"/>
      <c r="VM66" s="325"/>
      <c r="VN66" s="325"/>
      <c r="VO66" s="325"/>
      <c r="VP66" s="325"/>
      <c r="VQ66" s="325"/>
      <c r="VR66" s="325"/>
      <c r="VS66" s="325"/>
      <c r="VT66" s="325"/>
      <c r="VU66" s="325"/>
      <c r="VV66" s="325"/>
      <c r="VW66" s="325"/>
      <c r="VX66" s="325"/>
      <c r="VY66" s="325"/>
      <c r="VZ66" s="325"/>
      <c r="WA66" s="325"/>
      <c r="WB66" s="325"/>
      <c r="WC66" s="325"/>
      <c r="WD66" s="325"/>
      <c r="WE66" s="325"/>
      <c r="WF66" s="325"/>
      <c r="WG66" s="325"/>
      <c r="WH66" s="325"/>
      <c r="WI66" s="325"/>
      <c r="WJ66" s="325"/>
      <c r="WK66" s="325"/>
      <c r="WL66" s="325"/>
      <c r="WM66" s="325"/>
      <c r="WN66" s="325"/>
      <c r="WO66" s="325"/>
      <c r="WP66" s="325"/>
      <c r="WQ66" s="325"/>
      <c r="WR66" s="325"/>
      <c r="WS66" s="325"/>
      <c r="WT66" s="325"/>
      <c r="WU66" s="325"/>
      <c r="WV66" s="325"/>
      <c r="WW66" s="325"/>
      <c r="WX66" s="325"/>
      <c r="WY66" s="325"/>
      <c r="WZ66" s="325"/>
      <c r="XA66" s="325"/>
      <c r="XB66" s="325"/>
      <c r="XC66" s="325"/>
      <c r="XD66" s="325"/>
      <c r="XE66" s="325"/>
      <c r="XF66" s="325"/>
      <c r="XG66" s="325"/>
      <c r="XH66" s="325"/>
      <c r="XI66" s="325"/>
      <c r="XJ66" s="325"/>
      <c r="XK66" s="325"/>
      <c r="XL66" s="325"/>
      <c r="XM66" s="325"/>
      <c r="XN66" s="325"/>
      <c r="XO66" s="325"/>
      <c r="XP66" s="325"/>
      <c r="XQ66" s="325"/>
      <c r="XR66" s="325"/>
      <c r="XS66" s="325"/>
      <c r="XT66" s="325"/>
      <c r="XU66" s="325"/>
      <c r="XV66" s="325"/>
      <c r="XW66" s="325"/>
      <c r="XX66" s="325"/>
      <c r="XY66" s="325"/>
      <c r="XZ66" s="325"/>
      <c r="YA66" s="325"/>
      <c r="YB66" s="325"/>
      <c r="YC66" s="325"/>
      <c r="YD66" s="325"/>
      <c r="YE66" s="325"/>
      <c r="YF66" s="325"/>
      <c r="YG66" s="325"/>
      <c r="YH66" s="325"/>
      <c r="YI66" s="325"/>
      <c r="YJ66" s="325"/>
      <c r="YK66" s="325"/>
      <c r="YL66" s="325"/>
      <c r="YM66" s="325"/>
      <c r="YN66" s="325"/>
      <c r="YO66" s="325"/>
      <c r="YP66" s="325"/>
      <c r="YQ66" s="325"/>
      <c r="YR66" s="325"/>
      <c r="YS66" s="325"/>
      <c r="YT66" s="325"/>
      <c r="YU66" s="325"/>
      <c r="YV66" s="325"/>
      <c r="YW66" s="325"/>
      <c r="YX66" s="325"/>
      <c r="YY66" s="325"/>
      <c r="YZ66" s="325"/>
      <c r="ZA66" s="325"/>
      <c r="ZB66" s="325"/>
      <c r="ZC66" s="325"/>
      <c r="ZD66" s="325"/>
      <c r="ZE66" s="325"/>
      <c r="ZF66" s="325"/>
      <c r="ZG66" s="325"/>
      <c r="ZH66" s="325"/>
      <c r="ZI66" s="325"/>
      <c r="ZJ66" s="325"/>
      <c r="ZK66" s="325"/>
      <c r="ZL66" s="325"/>
      <c r="ZM66" s="325"/>
      <c r="ZN66" s="325"/>
      <c r="ZO66" s="325"/>
      <c r="ZP66" s="325"/>
      <c r="ZQ66" s="325"/>
      <c r="ZR66" s="325"/>
      <c r="ZS66" s="325"/>
      <c r="ZT66" s="325"/>
      <c r="ZU66" s="325"/>
      <c r="ZV66" s="325"/>
      <c r="ZW66" s="325"/>
      <c r="ZX66" s="325"/>
      <c r="ZY66" s="325"/>
      <c r="ZZ66" s="325"/>
      <c r="AAA66" s="325"/>
      <c r="AAB66" s="325"/>
      <c r="AAC66" s="325"/>
      <c r="AAD66" s="325"/>
      <c r="AAE66" s="325"/>
      <c r="AAF66" s="325"/>
      <c r="AAG66" s="325"/>
      <c r="AAH66" s="325"/>
      <c r="AAI66" s="325"/>
      <c r="AAJ66" s="325"/>
      <c r="AAK66" s="325"/>
      <c r="AAL66" s="325"/>
      <c r="AAM66" s="325"/>
      <c r="AAN66" s="325"/>
      <c r="AAO66" s="325"/>
      <c r="AAP66" s="325"/>
      <c r="AAQ66" s="325"/>
      <c r="AAR66" s="325"/>
      <c r="AAS66" s="325"/>
      <c r="AAT66" s="325"/>
      <c r="AAU66" s="325"/>
      <c r="AAV66" s="325"/>
      <c r="AAW66" s="325"/>
      <c r="AAX66" s="325"/>
      <c r="AAY66" s="325"/>
      <c r="AAZ66" s="325"/>
      <c r="ABA66" s="325"/>
      <c r="ABB66" s="325"/>
      <c r="ABC66" s="325"/>
      <c r="ABD66" s="325"/>
      <c r="ABE66" s="325"/>
      <c r="ABF66" s="325"/>
      <c r="ABG66" s="325"/>
      <c r="ABH66" s="325"/>
      <c r="ABI66" s="325"/>
      <c r="ABJ66" s="325"/>
      <c r="ABK66" s="325"/>
      <c r="ABL66" s="325"/>
      <c r="ABM66" s="325"/>
      <c r="ABN66" s="325"/>
      <c r="ABO66" s="325"/>
      <c r="ABP66" s="325"/>
      <c r="ABQ66" s="325"/>
      <c r="ABR66" s="325"/>
      <c r="ABS66" s="325"/>
      <c r="ABT66" s="325"/>
      <c r="ABU66" s="325"/>
      <c r="ABV66" s="325"/>
      <c r="ABW66" s="325"/>
      <c r="ABX66" s="325"/>
      <c r="ABY66" s="325"/>
      <c r="ABZ66" s="325"/>
      <c r="ACA66" s="325"/>
      <c r="ACB66" s="325"/>
      <c r="ACC66" s="325"/>
      <c r="ACD66" s="325"/>
      <c r="ACE66" s="325"/>
      <c r="ACF66" s="325"/>
      <c r="ACG66" s="325"/>
      <c r="ACH66" s="325"/>
      <c r="ACI66" s="325"/>
      <c r="ACJ66" s="325"/>
      <c r="ACK66" s="325"/>
      <c r="ACL66" s="325"/>
      <c r="ACM66" s="325"/>
      <c r="ACN66" s="325"/>
      <c r="ACO66" s="325"/>
      <c r="ACP66" s="325"/>
      <c r="ACQ66" s="325"/>
      <c r="ACR66" s="325"/>
      <c r="ACS66" s="325"/>
      <c r="ACT66" s="325"/>
      <c r="ACU66" s="325"/>
      <c r="ACV66" s="325"/>
      <c r="ACW66" s="325"/>
      <c r="ACX66" s="325"/>
      <c r="ACY66" s="325"/>
      <c r="ACZ66" s="325"/>
      <c r="ADA66" s="325"/>
      <c r="ADB66" s="325"/>
      <c r="ADC66" s="325"/>
      <c r="ADD66" s="325"/>
      <c r="ADE66" s="325"/>
      <c r="ADF66" s="325"/>
      <c r="ADG66" s="325"/>
      <c r="ADH66" s="325"/>
      <c r="ADI66" s="325"/>
      <c r="ADJ66" s="325"/>
      <c r="ADK66" s="325"/>
      <c r="ADL66" s="325"/>
      <c r="ADM66" s="325"/>
      <c r="ADN66" s="325"/>
      <c r="ADO66" s="325"/>
      <c r="ADP66" s="325"/>
      <c r="ADQ66" s="325"/>
      <c r="ADR66" s="325"/>
      <c r="ADS66" s="325"/>
      <c r="ADT66" s="325"/>
      <c r="ADU66" s="325"/>
      <c r="ADV66" s="325"/>
      <c r="ADW66" s="325"/>
      <c r="ADX66" s="325"/>
      <c r="ADY66" s="325"/>
      <c r="ADZ66" s="325"/>
      <c r="AEA66" s="325"/>
      <c r="AEB66" s="325"/>
      <c r="AEC66" s="325"/>
      <c r="AED66" s="325"/>
      <c r="AEE66" s="325"/>
      <c r="AEF66" s="325"/>
      <c r="AEG66" s="325"/>
      <c r="AEH66" s="325"/>
      <c r="AEI66" s="325"/>
      <c r="AEJ66" s="325"/>
      <c r="AEK66" s="325"/>
      <c r="AEL66" s="325"/>
      <c r="AEM66" s="325"/>
      <c r="AEN66" s="325"/>
      <c r="AEO66" s="325"/>
      <c r="AEP66" s="325"/>
      <c r="AEQ66" s="325"/>
      <c r="AER66" s="325"/>
      <c r="AES66" s="325"/>
      <c r="AET66" s="325"/>
      <c r="AEU66" s="325"/>
      <c r="AEV66" s="325"/>
      <c r="AEW66" s="325"/>
      <c r="AEX66" s="325"/>
      <c r="AEY66" s="325"/>
      <c r="AEZ66" s="325"/>
      <c r="AFA66" s="325"/>
      <c r="AFB66" s="325"/>
      <c r="AFC66" s="325"/>
      <c r="AFD66" s="325"/>
      <c r="AFE66" s="325"/>
      <c r="AFF66" s="325"/>
      <c r="AFG66" s="325"/>
      <c r="AFH66" s="325"/>
      <c r="AFI66" s="325"/>
      <c r="AFJ66" s="325"/>
      <c r="AFK66" s="325"/>
      <c r="AFL66" s="325"/>
      <c r="AFM66" s="325"/>
      <c r="AFN66" s="325"/>
      <c r="AFO66" s="325"/>
      <c r="AFP66" s="325"/>
      <c r="AFQ66" s="325"/>
      <c r="AFR66" s="325"/>
      <c r="AFS66" s="325"/>
      <c r="AFT66" s="325"/>
      <c r="AFU66" s="325"/>
      <c r="AFV66" s="325"/>
      <c r="AFW66" s="325"/>
      <c r="AFX66" s="325"/>
      <c r="AFY66" s="325"/>
      <c r="AFZ66" s="325"/>
      <c r="AGA66" s="325"/>
      <c r="AGB66" s="325"/>
      <c r="AGC66" s="325"/>
      <c r="AGD66" s="325"/>
      <c r="AGE66" s="325"/>
      <c r="AGF66" s="325"/>
      <c r="AGG66" s="325"/>
      <c r="AGH66" s="325"/>
      <c r="AGI66" s="325"/>
      <c r="AGJ66" s="325"/>
      <c r="AGK66" s="325"/>
      <c r="AGL66" s="325"/>
      <c r="AGM66" s="325"/>
      <c r="AGN66" s="325"/>
      <c r="AGO66" s="325"/>
      <c r="AGP66" s="325"/>
      <c r="AGQ66" s="325"/>
      <c r="AGR66" s="325"/>
      <c r="AGS66" s="325"/>
      <c r="AGT66" s="325"/>
      <c r="AGU66" s="325"/>
      <c r="AGV66" s="325"/>
      <c r="AGW66" s="325"/>
      <c r="AGX66" s="325"/>
      <c r="AGY66" s="325"/>
      <c r="AGZ66" s="325"/>
      <c r="AHA66" s="325"/>
      <c r="AHB66" s="325"/>
      <c r="AHC66" s="325"/>
      <c r="AHD66" s="325"/>
      <c r="AHE66" s="325"/>
      <c r="AHF66" s="325"/>
      <c r="AHG66" s="325"/>
      <c r="AHH66" s="325"/>
      <c r="AHI66" s="325"/>
      <c r="AHJ66" s="325"/>
      <c r="AHK66" s="325"/>
      <c r="AHL66" s="325"/>
      <c r="AHM66" s="325"/>
      <c r="AHN66" s="325"/>
      <c r="AHO66" s="325"/>
      <c r="AHP66" s="325"/>
      <c r="AHQ66" s="325"/>
      <c r="AHR66" s="325"/>
      <c r="AHS66" s="325"/>
      <c r="AHT66" s="325"/>
      <c r="AHU66" s="325"/>
      <c r="AHV66" s="325"/>
      <c r="AHW66" s="325"/>
      <c r="AHX66" s="325"/>
      <c r="AHY66" s="325"/>
      <c r="AHZ66" s="325"/>
      <c r="AIA66" s="325"/>
      <c r="AIB66" s="325"/>
      <c r="AIC66" s="325"/>
      <c r="AID66" s="325"/>
      <c r="AIE66" s="325"/>
      <c r="AIF66" s="325"/>
      <c r="AIG66" s="325"/>
      <c r="AIH66" s="325"/>
      <c r="AII66" s="325"/>
      <c r="AIJ66" s="325"/>
      <c r="AIK66" s="325"/>
      <c r="AIL66" s="325"/>
      <c r="AIM66" s="325"/>
      <c r="AIN66" s="325"/>
      <c r="AIO66" s="325"/>
      <c r="AIP66" s="325"/>
      <c r="AIQ66" s="325"/>
      <c r="AIR66" s="325"/>
      <c r="AIS66" s="325"/>
      <c r="AIT66" s="325"/>
      <c r="AIU66" s="325"/>
      <c r="AIV66" s="325"/>
      <c r="AIW66" s="325"/>
      <c r="AIX66" s="325"/>
      <c r="AIY66" s="325"/>
      <c r="AIZ66" s="325"/>
      <c r="AJA66" s="325"/>
      <c r="AJB66" s="325"/>
      <c r="AJC66" s="325"/>
      <c r="AJD66" s="325"/>
      <c r="AJE66" s="325"/>
      <c r="AJF66" s="325"/>
      <c r="AJG66" s="325"/>
      <c r="AJH66" s="325"/>
      <c r="AJI66" s="325"/>
      <c r="AJJ66" s="325"/>
      <c r="AJK66" s="325"/>
      <c r="AJL66" s="325"/>
      <c r="AJM66" s="325"/>
      <c r="AJN66" s="325"/>
      <c r="AJO66" s="325"/>
      <c r="AJP66" s="325"/>
      <c r="AJQ66" s="325"/>
      <c r="AJR66" s="325"/>
      <c r="AJS66" s="325"/>
      <c r="AJT66" s="325"/>
      <c r="AJU66" s="325"/>
      <c r="AJV66" s="325"/>
      <c r="AJW66" s="325"/>
      <c r="AJX66" s="325"/>
      <c r="AJY66" s="325"/>
      <c r="AJZ66" s="325"/>
      <c r="AKA66" s="325"/>
      <c r="AKB66" s="325"/>
      <c r="AKC66" s="325"/>
      <c r="AKD66" s="325"/>
      <c r="AKE66" s="325"/>
      <c r="AKF66" s="325"/>
      <c r="AKG66" s="325"/>
      <c r="AKH66" s="325"/>
      <c r="AKI66" s="325"/>
      <c r="AKJ66" s="325"/>
      <c r="AKK66" s="325"/>
      <c r="AKL66" s="325"/>
      <c r="AKM66" s="325"/>
      <c r="AKN66" s="325"/>
      <c r="AKO66" s="325"/>
      <c r="AKP66" s="325"/>
      <c r="AKQ66" s="325"/>
      <c r="AKR66" s="325"/>
      <c r="AKS66" s="325"/>
      <c r="AKT66" s="325"/>
      <c r="AKU66" s="325"/>
      <c r="AKV66" s="325"/>
      <c r="AKW66" s="325"/>
      <c r="AKX66" s="325"/>
      <c r="AKY66" s="325"/>
      <c r="AKZ66" s="325"/>
      <c r="ALA66" s="325"/>
      <c r="ALB66" s="325"/>
      <c r="ALC66" s="325"/>
      <c r="ALD66" s="325"/>
      <c r="ALE66" s="325"/>
      <c r="ALF66" s="325"/>
      <c r="ALG66" s="325"/>
      <c r="ALH66" s="325"/>
      <c r="ALI66" s="325"/>
      <c r="ALJ66" s="325"/>
      <c r="ALK66" s="325"/>
      <c r="ALL66" s="325"/>
      <c r="ALM66" s="325"/>
      <c r="ALN66" s="325"/>
      <c r="ALO66" s="325"/>
      <c r="ALP66" s="325"/>
      <c r="ALQ66" s="325"/>
      <c r="ALR66" s="325"/>
      <c r="ALS66" s="325"/>
      <c r="ALT66" s="325"/>
      <c r="ALU66" s="325"/>
      <c r="ALV66" s="325"/>
      <c r="ALW66" s="325"/>
      <c r="ALX66" s="325"/>
      <c r="ALY66" s="325"/>
      <c r="ALZ66" s="325"/>
      <c r="AMA66" s="325"/>
      <c r="AMB66" s="325"/>
      <c r="AMC66" s="325"/>
    </row>
    <row r="67" spans="3:1017" s="75" customFormat="1">
      <c r="C67" s="130"/>
      <c r="D67" s="130"/>
      <c r="CN67" s="225"/>
      <c r="CQ67" s="226"/>
      <c r="LD67" s="213"/>
      <c r="LH67" s="286"/>
      <c r="LI67" s="287"/>
      <c r="LJ67" s="124"/>
      <c r="LK67" s="124"/>
      <c r="LL67" s="124"/>
      <c r="LM67" s="124"/>
      <c r="LN67" s="124"/>
      <c r="LO67" s="124"/>
      <c r="LP67" s="124"/>
      <c r="LQ67" s="124"/>
      <c r="LR67" s="124"/>
      <c r="NE67" s="330"/>
      <c r="NF67" s="325"/>
      <c r="NG67" s="325"/>
      <c r="NH67" s="325"/>
      <c r="NI67" s="325"/>
      <c r="NJ67" s="325"/>
      <c r="NK67" s="325"/>
      <c r="NL67" s="325"/>
      <c r="NM67" s="325"/>
      <c r="NN67" s="325"/>
      <c r="NO67" s="325"/>
      <c r="NP67" s="325"/>
      <c r="NQ67" s="325"/>
      <c r="NR67" s="325"/>
      <c r="NS67" s="325"/>
      <c r="NT67" s="325"/>
      <c r="NU67" s="325"/>
      <c r="NV67" s="325"/>
      <c r="NW67" s="325"/>
      <c r="NX67" s="325"/>
      <c r="NY67" s="325"/>
      <c r="NZ67" s="325"/>
      <c r="OA67" s="325"/>
      <c r="OB67" s="325"/>
      <c r="OC67" s="325"/>
      <c r="OD67" s="325"/>
      <c r="OE67" s="325"/>
      <c r="OF67" s="325"/>
      <c r="OG67" s="325"/>
      <c r="OH67" s="325"/>
      <c r="OI67" s="325"/>
      <c r="OJ67" s="325"/>
      <c r="OK67" s="325"/>
      <c r="OL67" s="325"/>
      <c r="OM67" s="325"/>
      <c r="ON67" s="325"/>
      <c r="OO67" s="325"/>
      <c r="OP67" s="325"/>
      <c r="OQ67" s="325"/>
      <c r="OR67" s="325"/>
      <c r="OS67" s="325"/>
      <c r="OT67" s="325"/>
      <c r="OU67" s="325"/>
      <c r="OV67" s="325"/>
      <c r="OW67" s="325"/>
      <c r="OX67" s="325"/>
      <c r="OY67" s="325"/>
      <c r="OZ67" s="325"/>
      <c r="PA67" s="325"/>
      <c r="PB67" s="325"/>
      <c r="PC67" s="325"/>
      <c r="PD67" s="325"/>
      <c r="PE67" s="325"/>
      <c r="PF67" s="325"/>
      <c r="PG67" s="325"/>
      <c r="PH67" s="325"/>
      <c r="PI67" s="325"/>
      <c r="PJ67" s="325"/>
      <c r="PK67" s="325"/>
      <c r="PL67" s="325"/>
      <c r="PM67" s="325"/>
      <c r="PN67" s="325"/>
      <c r="PO67" s="325"/>
      <c r="PP67" s="325"/>
      <c r="PQ67" s="325"/>
      <c r="PR67" s="325"/>
      <c r="PS67" s="325"/>
      <c r="PT67" s="325"/>
      <c r="PU67" s="325"/>
      <c r="PV67" s="325"/>
      <c r="PW67" s="325"/>
      <c r="PX67" s="325"/>
      <c r="PY67" s="325"/>
      <c r="PZ67" s="325"/>
      <c r="QA67" s="325"/>
      <c r="QB67" s="325"/>
      <c r="QC67" s="325"/>
      <c r="QD67" s="325"/>
      <c r="QE67" s="325"/>
      <c r="QF67" s="325"/>
      <c r="QG67" s="325"/>
      <c r="QH67" s="325"/>
      <c r="QI67" s="325"/>
      <c r="QJ67" s="325"/>
      <c r="QK67" s="325"/>
      <c r="QL67" s="325"/>
      <c r="QM67" s="325"/>
      <c r="QN67" s="325"/>
      <c r="QO67" s="325"/>
      <c r="QP67" s="325"/>
      <c r="QQ67" s="325"/>
      <c r="QR67" s="325"/>
      <c r="QS67" s="325"/>
      <c r="QT67" s="325"/>
      <c r="QU67" s="325"/>
      <c r="QV67" s="325"/>
      <c r="QW67" s="325"/>
      <c r="QX67" s="325"/>
      <c r="QY67" s="325"/>
      <c r="QZ67" s="325"/>
      <c r="RA67" s="325"/>
      <c r="RB67" s="325"/>
      <c r="RC67" s="325"/>
      <c r="RD67" s="325"/>
      <c r="RE67" s="325"/>
      <c r="RF67" s="325"/>
      <c r="RG67" s="325"/>
      <c r="RH67" s="325"/>
      <c r="RI67" s="325"/>
      <c r="RJ67" s="325"/>
      <c r="RK67" s="325"/>
      <c r="RL67" s="325"/>
      <c r="RM67" s="325"/>
      <c r="RN67" s="325"/>
      <c r="RO67" s="325"/>
      <c r="RP67" s="325"/>
      <c r="RQ67" s="325"/>
      <c r="RR67" s="325"/>
      <c r="RS67" s="325"/>
      <c r="RT67" s="325"/>
      <c r="RU67" s="325"/>
      <c r="RV67" s="325"/>
      <c r="RW67" s="325"/>
      <c r="RX67" s="325"/>
      <c r="RY67" s="325"/>
      <c r="RZ67" s="325"/>
      <c r="SA67" s="325"/>
      <c r="SB67" s="325"/>
      <c r="SC67" s="325"/>
      <c r="SD67" s="325"/>
      <c r="SE67" s="325"/>
      <c r="SF67" s="325"/>
      <c r="SG67" s="325"/>
      <c r="SH67" s="325"/>
      <c r="SI67" s="325"/>
      <c r="SJ67" s="325"/>
      <c r="SK67" s="325"/>
      <c r="SL67" s="325"/>
      <c r="SM67" s="325"/>
      <c r="SN67" s="325"/>
      <c r="SO67" s="325"/>
      <c r="SP67" s="325"/>
      <c r="SQ67" s="325"/>
      <c r="SR67" s="325"/>
      <c r="SS67" s="325"/>
      <c r="ST67" s="325"/>
      <c r="SU67" s="325"/>
      <c r="SV67" s="325"/>
      <c r="SW67" s="325"/>
      <c r="SX67" s="325"/>
      <c r="SY67" s="325"/>
      <c r="SZ67" s="325"/>
      <c r="TA67" s="325"/>
      <c r="TB67" s="325"/>
      <c r="TC67" s="325"/>
      <c r="TD67" s="325"/>
      <c r="TE67" s="325"/>
      <c r="TF67" s="325"/>
      <c r="TG67" s="325"/>
      <c r="TH67" s="325"/>
      <c r="TI67" s="325"/>
      <c r="TJ67" s="325"/>
      <c r="TK67" s="325"/>
      <c r="TL67" s="325"/>
      <c r="TM67" s="325"/>
      <c r="TN67" s="325"/>
      <c r="TO67" s="325"/>
      <c r="TP67" s="325"/>
      <c r="TQ67" s="325"/>
      <c r="TR67" s="325"/>
      <c r="TS67" s="325"/>
      <c r="TT67" s="325"/>
      <c r="TU67" s="325"/>
      <c r="TV67" s="325"/>
      <c r="TW67" s="325"/>
      <c r="TX67" s="325"/>
      <c r="TY67" s="325"/>
      <c r="TZ67" s="325"/>
      <c r="UA67" s="325"/>
      <c r="UB67" s="325"/>
      <c r="UC67" s="325"/>
      <c r="UD67" s="325"/>
      <c r="UE67" s="325"/>
      <c r="UF67" s="325"/>
      <c r="UG67" s="325"/>
      <c r="UH67" s="325"/>
      <c r="UI67" s="325"/>
      <c r="UJ67" s="325"/>
      <c r="UK67" s="325"/>
      <c r="UL67" s="325"/>
      <c r="UM67" s="325"/>
      <c r="UN67" s="325"/>
      <c r="UO67" s="325"/>
      <c r="UP67" s="325"/>
      <c r="UQ67" s="325"/>
      <c r="UR67" s="325"/>
      <c r="US67" s="325"/>
      <c r="UT67" s="325"/>
      <c r="UU67" s="325"/>
      <c r="UV67" s="325"/>
      <c r="UW67" s="325"/>
      <c r="UX67" s="325"/>
      <c r="UY67" s="325"/>
      <c r="UZ67" s="325"/>
      <c r="VA67" s="325"/>
      <c r="VB67" s="325"/>
      <c r="VC67" s="325"/>
      <c r="VD67" s="325"/>
      <c r="VE67" s="325"/>
      <c r="VF67" s="325"/>
      <c r="VG67" s="325"/>
      <c r="VH67" s="325"/>
      <c r="VI67" s="325"/>
      <c r="VJ67" s="325"/>
      <c r="VK67" s="325"/>
      <c r="VL67" s="325"/>
      <c r="VM67" s="325"/>
      <c r="VN67" s="325"/>
      <c r="VO67" s="325"/>
      <c r="VP67" s="325"/>
      <c r="VQ67" s="325"/>
      <c r="VR67" s="325"/>
      <c r="VS67" s="325"/>
      <c r="VT67" s="325"/>
      <c r="VU67" s="325"/>
      <c r="VV67" s="325"/>
      <c r="VW67" s="325"/>
      <c r="VX67" s="325"/>
      <c r="VY67" s="325"/>
      <c r="VZ67" s="325"/>
      <c r="WA67" s="325"/>
      <c r="WB67" s="325"/>
      <c r="WC67" s="325"/>
      <c r="WD67" s="325"/>
      <c r="WE67" s="325"/>
      <c r="WF67" s="325"/>
      <c r="WG67" s="325"/>
      <c r="WH67" s="325"/>
      <c r="WI67" s="325"/>
      <c r="WJ67" s="325"/>
      <c r="WK67" s="325"/>
      <c r="WL67" s="325"/>
      <c r="WM67" s="325"/>
      <c r="WN67" s="325"/>
      <c r="WO67" s="325"/>
      <c r="WP67" s="325"/>
      <c r="WQ67" s="325"/>
      <c r="WR67" s="325"/>
      <c r="WS67" s="325"/>
      <c r="WT67" s="325"/>
      <c r="WU67" s="325"/>
      <c r="WV67" s="325"/>
      <c r="WW67" s="325"/>
      <c r="WX67" s="325"/>
      <c r="WY67" s="325"/>
      <c r="WZ67" s="325"/>
      <c r="XA67" s="325"/>
      <c r="XB67" s="325"/>
      <c r="XC67" s="325"/>
      <c r="XD67" s="325"/>
      <c r="XE67" s="325"/>
      <c r="XF67" s="325"/>
      <c r="XG67" s="325"/>
      <c r="XH67" s="325"/>
      <c r="XI67" s="325"/>
      <c r="XJ67" s="325"/>
      <c r="XK67" s="325"/>
      <c r="XL67" s="325"/>
      <c r="XM67" s="325"/>
      <c r="XN67" s="325"/>
      <c r="XO67" s="325"/>
      <c r="XP67" s="325"/>
      <c r="XQ67" s="325"/>
      <c r="XR67" s="325"/>
      <c r="XS67" s="325"/>
      <c r="XT67" s="325"/>
      <c r="XU67" s="325"/>
      <c r="XV67" s="325"/>
      <c r="XW67" s="325"/>
      <c r="XX67" s="325"/>
      <c r="XY67" s="325"/>
      <c r="XZ67" s="325"/>
      <c r="YA67" s="325"/>
      <c r="YB67" s="325"/>
      <c r="YC67" s="325"/>
      <c r="YD67" s="325"/>
      <c r="YE67" s="325"/>
      <c r="YF67" s="325"/>
      <c r="YG67" s="325"/>
      <c r="YH67" s="325"/>
      <c r="YI67" s="325"/>
      <c r="YJ67" s="325"/>
      <c r="YK67" s="325"/>
      <c r="YL67" s="325"/>
      <c r="YM67" s="325"/>
      <c r="YN67" s="325"/>
      <c r="YO67" s="325"/>
      <c r="YP67" s="325"/>
      <c r="YQ67" s="325"/>
      <c r="YR67" s="325"/>
      <c r="YS67" s="325"/>
      <c r="YT67" s="325"/>
      <c r="YU67" s="325"/>
      <c r="YV67" s="325"/>
      <c r="YW67" s="325"/>
      <c r="YX67" s="325"/>
      <c r="YY67" s="325"/>
      <c r="YZ67" s="325"/>
      <c r="ZA67" s="325"/>
      <c r="ZB67" s="325"/>
      <c r="ZC67" s="325"/>
      <c r="ZD67" s="325"/>
      <c r="ZE67" s="325"/>
      <c r="ZF67" s="325"/>
      <c r="ZG67" s="325"/>
      <c r="ZH67" s="325"/>
      <c r="ZI67" s="325"/>
      <c r="ZJ67" s="325"/>
      <c r="ZK67" s="325"/>
      <c r="ZL67" s="325"/>
      <c r="ZM67" s="325"/>
      <c r="ZN67" s="325"/>
      <c r="ZO67" s="325"/>
      <c r="ZP67" s="325"/>
      <c r="ZQ67" s="325"/>
      <c r="ZR67" s="325"/>
      <c r="ZS67" s="325"/>
      <c r="ZT67" s="325"/>
      <c r="ZU67" s="325"/>
      <c r="ZV67" s="325"/>
      <c r="ZW67" s="325"/>
      <c r="ZX67" s="325"/>
      <c r="ZY67" s="325"/>
      <c r="ZZ67" s="325"/>
      <c r="AAA67" s="325"/>
      <c r="AAB67" s="325"/>
      <c r="AAC67" s="325"/>
      <c r="AAD67" s="325"/>
      <c r="AAE67" s="325"/>
      <c r="AAF67" s="325"/>
      <c r="AAG67" s="325"/>
      <c r="AAH67" s="325"/>
      <c r="AAI67" s="325"/>
      <c r="AAJ67" s="325"/>
      <c r="AAK67" s="325"/>
      <c r="AAL67" s="325"/>
      <c r="AAM67" s="325"/>
      <c r="AAN67" s="325"/>
      <c r="AAO67" s="325"/>
      <c r="AAP67" s="325"/>
      <c r="AAQ67" s="325"/>
      <c r="AAR67" s="325"/>
      <c r="AAS67" s="325"/>
      <c r="AAT67" s="325"/>
      <c r="AAU67" s="325"/>
      <c r="AAV67" s="325"/>
      <c r="AAW67" s="325"/>
      <c r="AAX67" s="325"/>
      <c r="AAY67" s="325"/>
      <c r="AAZ67" s="325"/>
      <c r="ABA67" s="325"/>
      <c r="ABB67" s="325"/>
      <c r="ABC67" s="325"/>
      <c r="ABD67" s="325"/>
      <c r="ABE67" s="325"/>
      <c r="ABF67" s="325"/>
      <c r="ABG67" s="325"/>
      <c r="ABH67" s="325"/>
      <c r="ABI67" s="325"/>
      <c r="ABJ67" s="325"/>
      <c r="ABK67" s="325"/>
      <c r="ABL67" s="325"/>
      <c r="ABM67" s="325"/>
      <c r="ABN67" s="325"/>
      <c r="ABO67" s="325"/>
      <c r="ABP67" s="325"/>
      <c r="ABQ67" s="325"/>
      <c r="ABR67" s="325"/>
      <c r="ABS67" s="325"/>
      <c r="ABT67" s="325"/>
      <c r="ABU67" s="325"/>
      <c r="ABV67" s="325"/>
      <c r="ABW67" s="325"/>
      <c r="ABX67" s="325"/>
      <c r="ABY67" s="325"/>
      <c r="ABZ67" s="325"/>
      <c r="ACA67" s="325"/>
      <c r="ACB67" s="325"/>
      <c r="ACC67" s="325"/>
      <c r="ACD67" s="325"/>
      <c r="ACE67" s="325"/>
      <c r="ACF67" s="325"/>
      <c r="ACG67" s="325"/>
      <c r="ACH67" s="325"/>
      <c r="ACI67" s="325"/>
      <c r="ACJ67" s="325"/>
      <c r="ACK67" s="325"/>
      <c r="ACL67" s="325"/>
      <c r="ACM67" s="325"/>
      <c r="ACN67" s="325"/>
      <c r="ACO67" s="325"/>
      <c r="ACP67" s="325"/>
      <c r="ACQ67" s="325"/>
      <c r="ACR67" s="325"/>
      <c r="ACS67" s="325"/>
      <c r="ACT67" s="325"/>
      <c r="ACU67" s="325"/>
      <c r="ACV67" s="325"/>
      <c r="ACW67" s="325"/>
      <c r="ACX67" s="325"/>
      <c r="ACY67" s="325"/>
      <c r="ACZ67" s="325"/>
      <c r="ADA67" s="325"/>
      <c r="ADB67" s="325"/>
      <c r="ADC67" s="325"/>
      <c r="ADD67" s="325"/>
      <c r="ADE67" s="325"/>
      <c r="ADF67" s="325"/>
      <c r="ADG67" s="325"/>
      <c r="ADH67" s="325"/>
      <c r="ADI67" s="325"/>
      <c r="ADJ67" s="325"/>
      <c r="ADK67" s="325"/>
      <c r="ADL67" s="325"/>
      <c r="ADM67" s="325"/>
      <c r="ADN67" s="325"/>
      <c r="ADO67" s="325"/>
      <c r="ADP67" s="325"/>
      <c r="ADQ67" s="325"/>
      <c r="ADR67" s="325"/>
      <c r="ADS67" s="325"/>
      <c r="ADT67" s="325"/>
      <c r="ADU67" s="325"/>
      <c r="ADV67" s="325"/>
      <c r="ADW67" s="325"/>
      <c r="ADX67" s="325"/>
      <c r="ADY67" s="325"/>
      <c r="ADZ67" s="325"/>
      <c r="AEA67" s="325"/>
      <c r="AEB67" s="325"/>
      <c r="AEC67" s="325"/>
      <c r="AED67" s="325"/>
      <c r="AEE67" s="325"/>
      <c r="AEF67" s="325"/>
      <c r="AEG67" s="325"/>
      <c r="AEH67" s="325"/>
      <c r="AEI67" s="325"/>
      <c r="AEJ67" s="325"/>
      <c r="AEK67" s="325"/>
      <c r="AEL67" s="325"/>
      <c r="AEM67" s="325"/>
      <c r="AEN67" s="325"/>
      <c r="AEO67" s="325"/>
      <c r="AEP67" s="325"/>
      <c r="AEQ67" s="325"/>
      <c r="AER67" s="325"/>
      <c r="AES67" s="325"/>
      <c r="AET67" s="325"/>
      <c r="AEU67" s="325"/>
      <c r="AEV67" s="325"/>
      <c r="AEW67" s="325"/>
      <c r="AEX67" s="325"/>
      <c r="AEY67" s="325"/>
      <c r="AEZ67" s="325"/>
      <c r="AFA67" s="325"/>
      <c r="AFB67" s="325"/>
      <c r="AFC67" s="325"/>
      <c r="AFD67" s="325"/>
      <c r="AFE67" s="325"/>
      <c r="AFF67" s="325"/>
      <c r="AFG67" s="325"/>
      <c r="AFH67" s="325"/>
      <c r="AFI67" s="325"/>
      <c r="AFJ67" s="325"/>
      <c r="AFK67" s="325"/>
      <c r="AFL67" s="325"/>
      <c r="AFM67" s="325"/>
      <c r="AFN67" s="325"/>
      <c r="AFO67" s="325"/>
      <c r="AFP67" s="325"/>
      <c r="AFQ67" s="325"/>
      <c r="AFR67" s="325"/>
      <c r="AFS67" s="325"/>
      <c r="AFT67" s="325"/>
      <c r="AFU67" s="325"/>
      <c r="AFV67" s="325"/>
      <c r="AFW67" s="325"/>
      <c r="AFX67" s="325"/>
      <c r="AFY67" s="325"/>
      <c r="AFZ67" s="325"/>
      <c r="AGA67" s="325"/>
      <c r="AGB67" s="325"/>
      <c r="AGC67" s="325"/>
      <c r="AGD67" s="325"/>
      <c r="AGE67" s="325"/>
      <c r="AGF67" s="325"/>
      <c r="AGG67" s="325"/>
      <c r="AGH67" s="325"/>
      <c r="AGI67" s="325"/>
      <c r="AGJ67" s="325"/>
      <c r="AGK67" s="325"/>
      <c r="AGL67" s="325"/>
      <c r="AGM67" s="325"/>
      <c r="AGN67" s="325"/>
      <c r="AGO67" s="325"/>
      <c r="AGP67" s="325"/>
      <c r="AGQ67" s="325"/>
      <c r="AGR67" s="325"/>
      <c r="AGS67" s="325"/>
      <c r="AGT67" s="325"/>
      <c r="AGU67" s="325"/>
      <c r="AGV67" s="325"/>
      <c r="AGW67" s="325"/>
      <c r="AGX67" s="325"/>
      <c r="AGY67" s="325"/>
      <c r="AGZ67" s="325"/>
      <c r="AHA67" s="325"/>
      <c r="AHB67" s="325"/>
      <c r="AHC67" s="325"/>
      <c r="AHD67" s="325"/>
      <c r="AHE67" s="325"/>
      <c r="AHF67" s="325"/>
      <c r="AHG67" s="325"/>
      <c r="AHH67" s="325"/>
      <c r="AHI67" s="325"/>
      <c r="AHJ67" s="325"/>
      <c r="AHK67" s="325"/>
      <c r="AHL67" s="325"/>
      <c r="AHM67" s="325"/>
      <c r="AHN67" s="325"/>
      <c r="AHO67" s="325"/>
      <c r="AHP67" s="325"/>
      <c r="AHQ67" s="325"/>
      <c r="AHR67" s="325"/>
      <c r="AHS67" s="325"/>
      <c r="AHT67" s="325"/>
      <c r="AHU67" s="325"/>
      <c r="AHV67" s="325"/>
      <c r="AHW67" s="325"/>
      <c r="AHX67" s="325"/>
      <c r="AHY67" s="325"/>
      <c r="AHZ67" s="325"/>
      <c r="AIA67" s="325"/>
      <c r="AIB67" s="325"/>
      <c r="AIC67" s="325"/>
      <c r="AID67" s="325"/>
      <c r="AIE67" s="325"/>
      <c r="AIF67" s="325"/>
      <c r="AIG67" s="325"/>
      <c r="AIH67" s="325"/>
      <c r="AII67" s="325"/>
      <c r="AIJ67" s="325"/>
      <c r="AIK67" s="325"/>
      <c r="AIL67" s="325"/>
      <c r="AIM67" s="325"/>
      <c r="AIN67" s="325"/>
      <c r="AIO67" s="325"/>
      <c r="AIP67" s="325"/>
      <c r="AIQ67" s="325"/>
      <c r="AIR67" s="325"/>
      <c r="AIS67" s="325"/>
      <c r="AIT67" s="325"/>
      <c r="AIU67" s="325"/>
      <c r="AIV67" s="325"/>
      <c r="AIW67" s="325"/>
      <c r="AIX67" s="325"/>
      <c r="AIY67" s="325"/>
      <c r="AIZ67" s="325"/>
      <c r="AJA67" s="325"/>
      <c r="AJB67" s="325"/>
      <c r="AJC67" s="325"/>
      <c r="AJD67" s="325"/>
      <c r="AJE67" s="325"/>
      <c r="AJF67" s="325"/>
      <c r="AJG67" s="325"/>
      <c r="AJH67" s="325"/>
      <c r="AJI67" s="325"/>
      <c r="AJJ67" s="325"/>
      <c r="AJK67" s="325"/>
      <c r="AJL67" s="325"/>
      <c r="AJM67" s="325"/>
      <c r="AJN67" s="325"/>
      <c r="AJO67" s="325"/>
      <c r="AJP67" s="325"/>
      <c r="AJQ67" s="325"/>
      <c r="AJR67" s="325"/>
      <c r="AJS67" s="325"/>
      <c r="AJT67" s="325"/>
      <c r="AJU67" s="325"/>
      <c r="AJV67" s="325"/>
      <c r="AJW67" s="325"/>
      <c r="AJX67" s="325"/>
      <c r="AJY67" s="325"/>
      <c r="AJZ67" s="325"/>
      <c r="AKA67" s="325"/>
      <c r="AKB67" s="325"/>
      <c r="AKC67" s="325"/>
      <c r="AKD67" s="325"/>
      <c r="AKE67" s="325"/>
      <c r="AKF67" s="325"/>
      <c r="AKG67" s="325"/>
      <c r="AKH67" s="325"/>
      <c r="AKI67" s="325"/>
      <c r="AKJ67" s="325"/>
      <c r="AKK67" s="325"/>
      <c r="AKL67" s="325"/>
      <c r="AKM67" s="325"/>
      <c r="AKN67" s="325"/>
      <c r="AKO67" s="325"/>
      <c r="AKP67" s="325"/>
      <c r="AKQ67" s="325"/>
      <c r="AKR67" s="325"/>
      <c r="AKS67" s="325"/>
      <c r="AKT67" s="325"/>
      <c r="AKU67" s="325"/>
      <c r="AKV67" s="325"/>
      <c r="AKW67" s="325"/>
      <c r="AKX67" s="325"/>
      <c r="AKY67" s="325"/>
      <c r="AKZ67" s="325"/>
      <c r="ALA67" s="325"/>
      <c r="ALB67" s="325"/>
      <c r="ALC67" s="325"/>
      <c r="ALD67" s="325"/>
      <c r="ALE67" s="325"/>
      <c r="ALF67" s="325"/>
      <c r="ALG67" s="325"/>
      <c r="ALH67" s="325"/>
      <c r="ALI67" s="325"/>
      <c r="ALJ67" s="325"/>
      <c r="ALK67" s="325"/>
      <c r="ALL67" s="325"/>
      <c r="ALM67" s="325"/>
      <c r="ALN67" s="325"/>
      <c r="ALO67" s="325"/>
      <c r="ALP67" s="325"/>
      <c r="ALQ67" s="325"/>
      <c r="ALR67" s="325"/>
      <c r="ALS67" s="325"/>
      <c r="ALT67" s="325"/>
      <c r="ALU67" s="325"/>
      <c r="ALV67" s="325"/>
      <c r="ALW67" s="325"/>
      <c r="ALX67" s="325"/>
      <c r="ALY67" s="325"/>
      <c r="ALZ67" s="325"/>
      <c r="AMA67" s="325"/>
      <c r="AMB67" s="325"/>
      <c r="AMC67" s="325"/>
    </row>
    <row r="68" spans="3:1017" s="75" customFormat="1">
      <c r="C68" s="130"/>
      <c r="D68" s="130"/>
      <c r="CN68" s="225"/>
      <c r="CQ68" s="226"/>
      <c r="LD68" s="213"/>
      <c r="LH68" s="286"/>
      <c r="LI68" s="287"/>
      <c r="LJ68" s="124"/>
      <c r="LK68" s="124"/>
      <c r="LL68" s="124"/>
      <c r="LM68" s="124"/>
      <c r="LN68" s="124"/>
      <c r="LO68" s="124"/>
      <c r="LP68" s="124"/>
      <c r="LQ68" s="124"/>
      <c r="LR68" s="124"/>
      <c r="NE68" s="330"/>
      <c r="NF68" s="325"/>
      <c r="NG68" s="325"/>
      <c r="NH68" s="325"/>
      <c r="NI68" s="325"/>
      <c r="NJ68" s="325"/>
      <c r="NK68" s="325"/>
      <c r="NL68" s="325"/>
      <c r="NM68" s="325"/>
      <c r="NN68" s="325"/>
      <c r="NO68" s="325"/>
      <c r="NP68" s="325"/>
      <c r="NQ68" s="325"/>
      <c r="NR68" s="325"/>
      <c r="NS68" s="325"/>
      <c r="NT68" s="325"/>
      <c r="NU68" s="325"/>
      <c r="NV68" s="325"/>
      <c r="NW68" s="325"/>
      <c r="NX68" s="325"/>
      <c r="NY68" s="325"/>
      <c r="NZ68" s="325"/>
      <c r="OA68" s="325"/>
      <c r="OB68" s="325"/>
      <c r="OC68" s="325"/>
      <c r="OD68" s="325"/>
      <c r="OE68" s="325"/>
      <c r="OF68" s="325"/>
      <c r="OG68" s="325"/>
      <c r="OH68" s="325"/>
      <c r="OI68" s="325"/>
      <c r="OJ68" s="325"/>
      <c r="OK68" s="325"/>
      <c r="OL68" s="325"/>
      <c r="OM68" s="325"/>
      <c r="ON68" s="325"/>
      <c r="OO68" s="325"/>
      <c r="OP68" s="325"/>
      <c r="OQ68" s="325"/>
      <c r="OR68" s="325"/>
      <c r="OS68" s="325"/>
      <c r="OT68" s="325"/>
      <c r="OU68" s="325"/>
      <c r="OV68" s="325"/>
      <c r="OW68" s="325"/>
      <c r="OX68" s="325"/>
      <c r="OY68" s="325"/>
      <c r="OZ68" s="325"/>
      <c r="PA68" s="325"/>
      <c r="PB68" s="325"/>
      <c r="PC68" s="325"/>
      <c r="PD68" s="325"/>
      <c r="PE68" s="325"/>
      <c r="PF68" s="325"/>
      <c r="PG68" s="325"/>
      <c r="PH68" s="325"/>
      <c r="PI68" s="325"/>
      <c r="PJ68" s="325"/>
      <c r="PK68" s="325"/>
      <c r="PL68" s="325"/>
      <c r="PM68" s="325"/>
      <c r="PN68" s="325"/>
      <c r="PO68" s="325"/>
      <c r="PP68" s="325"/>
      <c r="PQ68" s="325"/>
      <c r="PR68" s="325"/>
      <c r="PS68" s="325"/>
      <c r="PT68" s="325"/>
      <c r="PU68" s="325"/>
      <c r="PV68" s="325"/>
      <c r="PW68" s="325"/>
      <c r="PX68" s="325"/>
      <c r="PY68" s="325"/>
      <c r="PZ68" s="325"/>
      <c r="QA68" s="325"/>
      <c r="QB68" s="325"/>
      <c r="QC68" s="325"/>
      <c r="QD68" s="325"/>
      <c r="QE68" s="325"/>
      <c r="QF68" s="325"/>
      <c r="QG68" s="325"/>
      <c r="QH68" s="325"/>
      <c r="QI68" s="325"/>
      <c r="QJ68" s="325"/>
      <c r="QK68" s="325"/>
      <c r="QL68" s="325"/>
      <c r="QM68" s="325"/>
      <c r="QN68" s="325"/>
      <c r="QO68" s="325"/>
      <c r="QP68" s="325"/>
      <c r="QQ68" s="325"/>
      <c r="QR68" s="325"/>
      <c r="QS68" s="325"/>
      <c r="QT68" s="325"/>
      <c r="QU68" s="325"/>
      <c r="QV68" s="325"/>
      <c r="QW68" s="325"/>
      <c r="QX68" s="325"/>
      <c r="QY68" s="325"/>
      <c r="QZ68" s="325"/>
      <c r="RA68" s="325"/>
      <c r="RB68" s="325"/>
      <c r="RC68" s="325"/>
      <c r="RD68" s="325"/>
      <c r="RE68" s="325"/>
      <c r="RF68" s="325"/>
      <c r="RG68" s="325"/>
      <c r="RH68" s="325"/>
      <c r="RI68" s="325"/>
      <c r="RJ68" s="325"/>
      <c r="RK68" s="325"/>
      <c r="RL68" s="325"/>
      <c r="RM68" s="325"/>
      <c r="RN68" s="325"/>
      <c r="RO68" s="325"/>
      <c r="RP68" s="325"/>
      <c r="RQ68" s="325"/>
      <c r="RR68" s="325"/>
      <c r="RS68" s="325"/>
      <c r="RT68" s="325"/>
      <c r="RU68" s="325"/>
      <c r="RV68" s="325"/>
      <c r="RW68" s="325"/>
      <c r="RX68" s="325"/>
      <c r="RY68" s="325"/>
      <c r="RZ68" s="325"/>
      <c r="SA68" s="325"/>
      <c r="SB68" s="325"/>
      <c r="SC68" s="325"/>
      <c r="SD68" s="325"/>
      <c r="SE68" s="325"/>
      <c r="SF68" s="325"/>
      <c r="SG68" s="325"/>
      <c r="SH68" s="325"/>
      <c r="SI68" s="325"/>
      <c r="SJ68" s="325"/>
      <c r="SK68" s="325"/>
      <c r="SL68" s="325"/>
      <c r="SM68" s="325"/>
      <c r="SN68" s="325"/>
      <c r="SO68" s="325"/>
      <c r="SP68" s="325"/>
      <c r="SQ68" s="325"/>
      <c r="SR68" s="325"/>
      <c r="SS68" s="325"/>
      <c r="ST68" s="325"/>
      <c r="SU68" s="325"/>
      <c r="SV68" s="325"/>
      <c r="SW68" s="325"/>
      <c r="SX68" s="325"/>
      <c r="SY68" s="325"/>
      <c r="SZ68" s="325"/>
      <c r="TA68" s="325"/>
      <c r="TB68" s="325"/>
      <c r="TC68" s="325"/>
      <c r="TD68" s="325"/>
      <c r="TE68" s="325"/>
      <c r="TF68" s="325"/>
      <c r="TG68" s="325"/>
      <c r="TH68" s="325"/>
      <c r="TI68" s="325"/>
      <c r="TJ68" s="325"/>
      <c r="TK68" s="325"/>
      <c r="TL68" s="325"/>
      <c r="TM68" s="325"/>
      <c r="TN68" s="325"/>
      <c r="TO68" s="325"/>
      <c r="TP68" s="325"/>
      <c r="TQ68" s="325"/>
      <c r="TR68" s="325"/>
      <c r="TS68" s="325"/>
      <c r="TT68" s="325"/>
      <c r="TU68" s="325"/>
      <c r="TV68" s="325"/>
      <c r="TW68" s="325"/>
      <c r="TX68" s="325"/>
      <c r="TY68" s="325"/>
      <c r="TZ68" s="325"/>
      <c r="UA68" s="325"/>
      <c r="UB68" s="325"/>
      <c r="UC68" s="325"/>
      <c r="UD68" s="325"/>
      <c r="UE68" s="325"/>
      <c r="UF68" s="325"/>
      <c r="UG68" s="325"/>
      <c r="UH68" s="325"/>
      <c r="UI68" s="325"/>
      <c r="UJ68" s="325"/>
      <c r="UK68" s="325"/>
      <c r="UL68" s="325"/>
      <c r="UM68" s="325"/>
      <c r="UN68" s="325"/>
      <c r="UO68" s="325"/>
      <c r="UP68" s="325"/>
      <c r="UQ68" s="325"/>
      <c r="UR68" s="325"/>
      <c r="US68" s="325"/>
      <c r="UT68" s="325"/>
      <c r="UU68" s="325"/>
      <c r="UV68" s="325"/>
      <c r="UW68" s="325"/>
      <c r="UX68" s="325"/>
      <c r="UY68" s="325"/>
      <c r="UZ68" s="325"/>
      <c r="VA68" s="325"/>
      <c r="VB68" s="325"/>
      <c r="VC68" s="325"/>
      <c r="VD68" s="325"/>
      <c r="VE68" s="325"/>
      <c r="VF68" s="325"/>
      <c r="VG68" s="325"/>
      <c r="VH68" s="325"/>
      <c r="VI68" s="325"/>
      <c r="VJ68" s="325"/>
      <c r="VK68" s="325"/>
      <c r="VL68" s="325"/>
      <c r="VM68" s="325"/>
      <c r="VN68" s="325"/>
      <c r="VO68" s="325"/>
      <c r="VP68" s="325"/>
      <c r="VQ68" s="325"/>
      <c r="VR68" s="325"/>
      <c r="VS68" s="325"/>
      <c r="VT68" s="325"/>
      <c r="VU68" s="325"/>
      <c r="VV68" s="325"/>
      <c r="VW68" s="325"/>
      <c r="VX68" s="325"/>
      <c r="VY68" s="325"/>
      <c r="VZ68" s="325"/>
      <c r="WA68" s="325"/>
      <c r="WB68" s="325"/>
      <c r="WC68" s="325"/>
      <c r="WD68" s="325"/>
      <c r="WE68" s="325"/>
      <c r="WF68" s="325"/>
      <c r="WG68" s="325"/>
      <c r="WH68" s="325"/>
      <c r="WI68" s="325"/>
      <c r="WJ68" s="325"/>
      <c r="WK68" s="325"/>
      <c r="WL68" s="325"/>
      <c r="WM68" s="325"/>
      <c r="WN68" s="325"/>
      <c r="WO68" s="325"/>
      <c r="WP68" s="325"/>
      <c r="WQ68" s="325"/>
      <c r="WR68" s="325"/>
      <c r="WS68" s="325"/>
      <c r="WT68" s="325"/>
      <c r="WU68" s="325"/>
      <c r="WV68" s="325"/>
      <c r="WW68" s="325"/>
      <c r="WX68" s="325"/>
      <c r="WY68" s="325"/>
      <c r="WZ68" s="325"/>
      <c r="XA68" s="325"/>
      <c r="XB68" s="325"/>
      <c r="XC68" s="325"/>
      <c r="XD68" s="325"/>
      <c r="XE68" s="325"/>
      <c r="XF68" s="325"/>
      <c r="XG68" s="325"/>
      <c r="XH68" s="325"/>
      <c r="XI68" s="325"/>
      <c r="XJ68" s="325"/>
      <c r="XK68" s="325"/>
      <c r="XL68" s="325"/>
      <c r="XM68" s="325"/>
      <c r="XN68" s="325"/>
      <c r="XO68" s="325"/>
      <c r="XP68" s="325"/>
      <c r="XQ68" s="325"/>
      <c r="XR68" s="325"/>
      <c r="XS68" s="325"/>
      <c r="XT68" s="325"/>
      <c r="XU68" s="325"/>
      <c r="XV68" s="325"/>
      <c r="XW68" s="325"/>
      <c r="XX68" s="325"/>
      <c r="XY68" s="325"/>
      <c r="XZ68" s="325"/>
      <c r="YA68" s="325"/>
      <c r="YB68" s="325"/>
      <c r="YC68" s="325"/>
      <c r="YD68" s="325"/>
      <c r="YE68" s="325"/>
      <c r="YF68" s="325"/>
      <c r="YG68" s="325"/>
      <c r="YH68" s="325"/>
      <c r="YI68" s="325"/>
      <c r="YJ68" s="325"/>
      <c r="YK68" s="325"/>
      <c r="YL68" s="325"/>
      <c r="YM68" s="325"/>
      <c r="YN68" s="325"/>
      <c r="YO68" s="325"/>
      <c r="YP68" s="325"/>
      <c r="YQ68" s="325"/>
      <c r="YR68" s="325"/>
      <c r="YS68" s="325"/>
      <c r="YT68" s="325"/>
      <c r="YU68" s="325"/>
      <c r="YV68" s="325"/>
      <c r="YW68" s="325"/>
      <c r="YX68" s="325"/>
      <c r="YY68" s="325"/>
      <c r="YZ68" s="325"/>
      <c r="ZA68" s="325"/>
      <c r="ZB68" s="325"/>
      <c r="ZC68" s="325"/>
      <c r="ZD68" s="325"/>
      <c r="ZE68" s="325"/>
      <c r="ZF68" s="325"/>
      <c r="ZG68" s="325"/>
      <c r="ZH68" s="325"/>
      <c r="ZI68" s="325"/>
      <c r="ZJ68" s="325"/>
      <c r="ZK68" s="325"/>
      <c r="ZL68" s="325"/>
      <c r="ZM68" s="325"/>
      <c r="ZN68" s="325"/>
      <c r="ZO68" s="325"/>
      <c r="ZP68" s="325"/>
      <c r="ZQ68" s="325"/>
      <c r="ZR68" s="325"/>
      <c r="ZS68" s="325"/>
      <c r="ZT68" s="325"/>
      <c r="ZU68" s="325"/>
      <c r="ZV68" s="325"/>
      <c r="ZW68" s="325"/>
      <c r="ZX68" s="325"/>
      <c r="ZY68" s="325"/>
      <c r="ZZ68" s="325"/>
      <c r="AAA68" s="325"/>
      <c r="AAB68" s="325"/>
      <c r="AAC68" s="325"/>
      <c r="AAD68" s="325"/>
      <c r="AAE68" s="325"/>
      <c r="AAF68" s="325"/>
      <c r="AAG68" s="325"/>
      <c r="AAH68" s="325"/>
      <c r="AAI68" s="325"/>
      <c r="AAJ68" s="325"/>
      <c r="AAK68" s="325"/>
      <c r="AAL68" s="325"/>
      <c r="AAM68" s="325"/>
      <c r="AAN68" s="325"/>
      <c r="AAO68" s="325"/>
      <c r="AAP68" s="325"/>
      <c r="AAQ68" s="325"/>
      <c r="AAR68" s="325"/>
      <c r="AAS68" s="325"/>
      <c r="AAT68" s="325"/>
      <c r="AAU68" s="325"/>
      <c r="AAV68" s="325"/>
      <c r="AAW68" s="325"/>
      <c r="AAX68" s="325"/>
      <c r="AAY68" s="325"/>
      <c r="AAZ68" s="325"/>
      <c r="ABA68" s="325"/>
      <c r="ABB68" s="325"/>
      <c r="ABC68" s="325"/>
      <c r="ABD68" s="325"/>
      <c r="ABE68" s="325"/>
      <c r="ABF68" s="325"/>
      <c r="ABG68" s="325"/>
      <c r="ABH68" s="325"/>
      <c r="ABI68" s="325"/>
      <c r="ABJ68" s="325"/>
      <c r="ABK68" s="325"/>
      <c r="ABL68" s="325"/>
      <c r="ABM68" s="325"/>
      <c r="ABN68" s="325"/>
      <c r="ABO68" s="325"/>
      <c r="ABP68" s="325"/>
      <c r="ABQ68" s="325"/>
      <c r="ABR68" s="325"/>
      <c r="ABS68" s="325"/>
      <c r="ABT68" s="325"/>
      <c r="ABU68" s="325"/>
      <c r="ABV68" s="325"/>
      <c r="ABW68" s="325"/>
      <c r="ABX68" s="325"/>
      <c r="ABY68" s="325"/>
      <c r="ABZ68" s="325"/>
      <c r="ACA68" s="325"/>
      <c r="ACB68" s="325"/>
      <c r="ACC68" s="325"/>
      <c r="ACD68" s="325"/>
      <c r="ACE68" s="325"/>
      <c r="ACF68" s="325"/>
      <c r="ACG68" s="325"/>
      <c r="ACH68" s="325"/>
      <c r="ACI68" s="325"/>
      <c r="ACJ68" s="325"/>
      <c r="ACK68" s="325"/>
      <c r="ACL68" s="325"/>
      <c r="ACM68" s="325"/>
      <c r="ACN68" s="325"/>
      <c r="ACO68" s="325"/>
      <c r="ACP68" s="325"/>
      <c r="ACQ68" s="325"/>
      <c r="ACR68" s="325"/>
      <c r="ACS68" s="325"/>
      <c r="ACT68" s="325"/>
      <c r="ACU68" s="325"/>
      <c r="ACV68" s="325"/>
      <c r="ACW68" s="325"/>
      <c r="ACX68" s="325"/>
      <c r="ACY68" s="325"/>
      <c r="ACZ68" s="325"/>
      <c r="ADA68" s="325"/>
      <c r="ADB68" s="325"/>
      <c r="ADC68" s="325"/>
      <c r="ADD68" s="325"/>
      <c r="ADE68" s="325"/>
      <c r="ADF68" s="325"/>
      <c r="ADG68" s="325"/>
      <c r="ADH68" s="325"/>
      <c r="ADI68" s="325"/>
      <c r="ADJ68" s="325"/>
      <c r="ADK68" s="325"/>
      <c r="ADL68" s="325"/>
      <c r="ADM68" s="325"/>
      <c r="ADN68" s="325"/>
      <c r="ADO68" s="325"/>
      <c r="ADP68" s="325"/>
      <c r="ADQ68" s="325"/>
      <c r="ADR68" s="325"/>
      <c r="ADS68" s="325"/>
      <c r="ADT68" s="325"/>
      <c r="ADU68" s="325"/>
      <c r="ADV68" s="325"/>
      <c r="ADW68" s="325"/>
      <c r="ADX68" s="325"/>
      <c r="ADY68" s="325"/>
      <c r="ADZ68" s="325"/>
      <c r="AEA68" s="325"/>
      <c r="AEB68" s="325"/>
      <c r="AEC68" s="325"/>
      <c r="AED68" s="325"/>
      <c r="AEE68" s="325"/>
      <c r="AEF68" s="325"/>
      <c r="AEG68" s="325"/>
      <c r="AEH68" s="325"/>
      <c r="AEI68" s="325"/>
      <c r="AEJ68" s="325"/>
      <c r="AEK68" s="325"/>
      <c r="AEL68" s="325"/>
      <c r="AEM68" s="325"/>
      <c r="AEN68" s="325"/>
      <c r="AEO68" s="325"/>
      <c r="AEP68" s="325"/>
      <c r="AEQ68" s="325"/>
      <c r="AER68" s="325"/>
      <c r="AES68" s="325"/>
      <c r="AET68" s="325"/>
      <c r="AEU68" s="325"/>
      <c r="AEV68" s="325"/>
      <c r="AEW68" s="325"/>
      <c r="AEX68" s="325"/>
      <c r="AEY68" s="325"/>
      <c r="AEZ68" s="325"/>
      <c r="AFA68" s="325"/>
      <c r="AFB68" s="325"/>
      <c r="AFC68" s="325"/>
      <c r="AFD68" s="325"/>
      <c r="AFE68" s="325"/>
      <c r="AFF68" s="325"/>
      <c r="AFG68" s="325"/>
      <c r="AFH68" s="325"/>
      <c r="AFI68" s="325"/>
      <c r="AFJ68" s="325"/>
      <c r="AFK68" s="325"/>
      <c r="AFL68" s="325"/>
      <c r="AFM68" s="325"/>
      <c r="AFN68" s="325"/>
      <c r="AFO68" s="325"/>
      <c r="AFP68" s="325"/>
      <c r="AFQ68" s="325"/>
      <c r="AFR68" s="325"/>
      <c r="AFS68" s="325"/>
      <c r="AFT68" s="325"/>
      <c r="AFU68" s="325"/>
      <c r="AFV68" s="325"/>
      <c r="AFW68" s="325"/>
      <c r="AFX68" s="325"/>
      <c r="AFY68" s="325"/>
      <c r="AFZ68" s="325"/>
      <c r="AGA68" s="325"/>
      <c r="AGB68" s="325"/>
      <c r="AGC68" s="325"/>
      <c r="AGD68" s="325"/>
      <c r="AGE68" s="325"/>
      <c r="AGF68" s="325"/>
      <c r="AGG68" s="325"/>
      <c r="AGH68" s="325"/>
      <c r="AGI68" s="325"/>
      <c r="AGJ68" s="325"/>
      <c r="AGK68" s="325"/>
      <c r="AGL68" s="325"/>
      <c r="AGM68" s="325"/>
      <c r="AGN68" s="325"/>
      <c r="AGO68" s="325"/>
      <c r="AGP68" s="325"/>
      <c r="AGQ68" s="325"/>
      <c r="AGR68" s="325"/>
      <c r="AGS68" s="325"/>
      <c r="AGT68" s="325"/>
      <c r="AGU68" s="325"/>
      <c r="AGV68" s="325"/>
      <c r="AGW68" s="325"/>
      <c r="AGX68" s="325"/>
      <c r="AGY68" s="325"/>
      <c r="AGZ68" s="325"/>
      <c r="AHA68" s="325"/>
      <c r="AHB68" s="325"/>
      <c r="AHC68" s="325"/>
      <c r="AHD68" s="325"/>
      <c r="AHE68" s="325"/>
      <c r="AHF68" s="325"/>
      <c r="AHG68" s="325"/>
      <c r="AHH68" s="325"/>
      <c r="AHI68" s="325"/>
      <c r="AHJ68" s="325"/>
      <c r="AHK68" s="325"/>
      <c r="AHL68" s="325"/>
      <c r="AHM68" s="325"/>
      <c r="AHN68" s="325"/>
      <c r="AHO68" s="325"/>
      <c r="AHP68" s="325"/>
      <c r="AHQ68" s="325"/>
      <c r="AHR68" s="325"/>
      <c r="AHS68" s="325"/>
      <c r="AHT68" s="325"/>
      <c r="AHU68" s="325"/>
      <c r="AHV68" s="325"/>
      <c r="AHW68" s="325"/>
      <c r="AHX68" s="325"/>
      <c r="AHY68" s="325"/>
      <c r="AHZ68" s="325"/>
      <c r="AIA68" s="325"/>
      <c r="AIB68" s="325"/>
      <c r="AIC68" s="325"/>
      <c r="AID68" s="325"/>
      <c r="AIE68" s="325"/>
      <c r="AIF68" s="325"/>
      <c r="AIG68" s="325"/>
      <c r="AIH68" s="325"/>
      <c r="AII68" s="325"/>
      <c r="AIJ68" s="325"/>
      <c r="AIK68" s="325"/>
      <c r="AIL68" s="325"/>
      <c r="AIM68" s="325"/>
      <c r="AIN68" s="325"/>
      <c r="AIO68" s="325"/>
      <c r="AIP68" s="325"/>
      <c r="AIQ68" s="325"/>
      <c r="AIR68" s="325"/>
      <c r="AIS68" s="325"/>
      <c r="AIT68" s="325"/>
      <c r="AIU68" s="325"/>
      <c r="AIV68" s="325"/>
      <c r="AIW68" s="325"/>
      <c r="AIX68" s="325"/>
      <c r="AIY68" s="325"/>
      <c r="AIZ68" s="325"/>
      <c r="AJA68" s="325"/>
      <c r="AJB68" s="325"/>
      <c r="AJC68" s="325"/>
      <c r="AJD68" s="325"/>
      <c r="AJE68" s="325"/>
      <c r="AJF68" s="325"/>
      <c r="AJG68" s="325"/>
      <c r="AJH68" s="325"/>
      <c r="AJI68" s="325"/>
      <c r="AJJ68" s="325"/>
      <c r="AJK68" s="325"/>
      <c r="AJL68" s="325"/>
      <c r="AJM68" s="325"/>
      <c r="AJN68" s="325"/>
      <c r="AJO68" s="325"/>
      <c r="AJP68" s="325"/>
      <c r="AJQ68" s="325"/>
      <c r="AJR68" s="325"/>
      <c r="AJS68" s="325"/>
      <c r="AJT68" s="325"/>
      <c r="AJU68" s="325"/>
      <c r="AJV68" s="325"/>
      <c r="AJW68" s="325"/>
      <c r="AJX68" s="325"/>
      <c r="AJY68" s="325"/>
      <c r="AJZ68" s="325"/>
      <c r="AKA68" s="325"/>
      <c r="AKB68" s="325"/>
      <c r="AKC68" s="325"/>
      <c r="AKD68" s="325"/>
      <c r="AKE68" s="325"/>
      <c r="AKF68" s="325"/>
      <c r="AKG68" s="325"/>
      <c r="AKH68" s="325"/>
      <c r="AKI68" s="325"/>
      <c r="AKJ68" s="325"/>
      <c r="AKK68" s="325"/>
      <c r="AKL68" s="325"/>
      <c r="AKM68" s="325"/>
      <c r="AKN68" s="325"/>
      <c r="AKO68" s="325"/>
      <c r="AKP68" s="325"/>
      <c r="AKQ68" s="325"/>
      <c r="AKR68" s="325"/>
      <c r="AKS68" s="325"/>
      <c r="AKT68" s="325"/>
      <c r="AKU68" s="325"/>
      <c r="AKV68" s="325"/>
      <c r="AKW68" s="325"/>
      <c r="AKX68" s="325"/>
      <c r="AKY68" s="325"/>
      <c r="AKZ68" s="325"/>
      <c r="ALA68" s="325"/>
      <c r="ALB68" s="325"/>
      <c r="ALC68" s="325"/>
      <c r="ALD68" s="325"/>
      <c r="ALE68" s="325"/>
      <c r="ALF68" s="325"/>
      <c r="ALG68" s="325"/>
      <c r="ALH68" s="325"/>
      <c r="ALI68" s="325"/>
      <c r="ALJ68" s="325"/>
      <c r="ALK68" s="325"/>
      <c r="ALL68" s="325"/>
      <c r="ALM68" s="325"/>
      <c r="ALN68" s="325"/>
      <c r="ALO68" s="325"/>
      <c r="ALP68" s="325"/>
      <c r="ALQ68" s="325"/>
      <c r="ALR68" s="325"/>
      <c r="ALS68" s="325"/>
      <c r="ALT68" s="325"/>
      <c r="ALU68" s="325"/>
      <c r="ALV68" s="325"/>
      <c r="ALW68" s="325"/>
      <c r="ALX68" s="325"/>
      <c r="ALY68" s="325"/>
      <c r="ALZ68" s="325"/>
      <c r="AMA68" s="325"/>
      <c r="AMB68" s="325"/>
      <c r="AMC68" s="325"/>
    </row>
    <row r="69" spans="3:1017" s="75" customFormat="1">
      <c r="C69" s="130"/>
      <c r="D69" s="130"/>
      <c r="CN69" s="225"/>
      <c r="CQ69" s="226"/>
      <c r="LD69" s="213"/>
      <c r="LH69" s="286"/>
      <c r="LI69" s="287"/>
      <c r="LJ69" s="124"/>
      <c r="LK69" s="124"/>
      <c r="LL69" s="124"/>
      <c r="LM69" s="124"/>
      <c r="LN69" s="124"/>
      <c r="LO69" s="124"/>
      <c r="LP69" s="124"/>
      <c r="LQ69" s="124"/>
      <c r="LR69" s="124"/>
      <c r="NE69" s="330"/>
      <c r="NF69" s="325"/>
      <c r="NG69" s="325"/>
      <c r="NH69" s="325"/>
      <c r="NI69" s="325"/>
      <c r="NJ69" s="325"/>
      <c r="NK69" s="325"/>
      <c r="NL69" s="325"/>
      <c r="NM69" s="325"/>
      <c r="NN69" s="325"/>
      <c r="NO69" s="325"/>
      <c r="NP69" s="325"/>
      <c r="NQ69" s="325"/>
      <c r="NR69" s="325"/>
      <c r="NS69" s="325"/>
      <c r="NT69" s="325"/>
      <c r="NU69" s="325"/>
      <c r="NV69" s="325"/>
      <c r="NW69" s="325"/>
      <c r="NX69" s="325"/>
      <c r="NY69" s="325"/>
      <c r="NZ69" s="325"/>
      <c r="OA69" s="325"/>
      <c r="OB69" s="325"/>
      <c r="OC69" s="325"/>
      <c r="OD69" s="325"/>
      <c r="OE69" s="325"/>
      <c r="OF69" s="325"/>
      <c r="OG69" s="325"/>
      <c r="OH69" s="325"/>
      <c r="OI69" s="325"/>
      <c r="OJ69" s="325"/>
      <c r="OK69" s="325"/>
      <c r="OL69" s="325"/>
      <c r="OM69" s="325"/>
      <c r="ON69" s="325"/>
      <c r="OO69" s="325"/>
      <c r="OP69" s="325"/>
      <c r="OQ69" s="325"/>
      <c r="OR69" s="325"/>
      <c r="OS69" s="325"/>
      <c r="OT69" s="325"/>
      <c r="OU69" s="325"/>
      <c r="OV69" s="325"/>
      <c r="OW69" s="325"/>
      <c r="OX69" s="325"/>
      <c r="OY69" s="325"/>
      <c r="OZ69" s="325"/>
      <c r="PA69" s="325"/>
      <c r="PB69" s="325"/>
      <c r="PC69" s="325"/>
      <c r="PD69" s="325"/>
      <c r="PE69" s="325"/>
      <c r="PF69" s="325"/>
      <c r="PG69" s="325"/>
      <c r="PH69" s="325"/>
      <c r="PI69" s="325"/>
      <c r="PJ69" s="325"/>
      <c r="PK69" s="325"/>
      <c r="PL69" s="325"/>
      <c r="PM69" s="325"/>
      <c r="PN69" s="325"/>
      <c r="PO69" s="325"/>
      <c r="PP69" s="325"/>
      <c r="PQ69" s="325"/>
      <c r="PR69" s="325"/>
      <c r="PS69" s="325"/>
      <c r="PT69" s="325"/>
      <c r="PU69" s="325"/>
      <c r="PV69" s="325"/>
      <c r="PW69" s="325"/>
      <c r="PX69" s="325"/>
      <c r="PY69" s="325"/>
      <c r="PZ69" s="325"/>
      <c r="QA69" s="325"/>
      <c r="QB69" s="325"/>
      <c r="QC69" s="325"/>
      <c r="QD69" s="325"/>
      <c r="QE69" s="325"/>
      <c r="QF69" s="325"/>
      <c r="QG69" s="325"/>
      <c r="QH69" s="325"/>
      <c r="QI69" s="325"/>
      <c r="QJ69" s="325"/>
      <c r="QK69" s="325"/>
      <c r="QL69" s="325"/>
      <c r="QM69" s="325"/>
      <c r="QN69" s="325"/>
      <c r="QO69" s="325"/>
      <c r="QP69" s="325"/>
      <c r="QQ69" s="325"/>
      <c r="QR69" s="325"/>
      <c r="QS69" s="325"/>
      <c r="QT69" s="325"/>
      <c r="QU69" s="325"/>
      <c r="QV69" s="325"/>
      <c r="QW69" s="325"/>
      <c r="QX69" s="325"/>
      <c r="QY69" s="325"/>
      <c r="QZ69" s="325"/>
      <c r="RA69" s="325"/>
      <c r="RB69" s="325"/>
      <c r="RC69" s="325"/>
      <c r="RD69" s="325"/>
      <c r="RE69" s="325"/>
      <c r="RF69" s="325"/>
      <c r="RG69" s="325"/>
      <c r="RH69" s="325"/>
      <c r="RI69" s="325"/>
      <c r="RJ69" s="325"/>
      <c r="RK69" s="325"/>
      <c r="RL69" s="325"/>
      <c r="RM69" s="325"/>
      <c r="RN69" s="325"/>
      <c r="RO69" s="325"/>
      <c r="RP69" s="325"/>
      <c r="RQ69" s="325"/>
      <c r="RR69" s="325"/>
      <c r="RS69" s="325"/>
      <c r="RT69" s="325"/>
      <c r="RU69" s="325"/>
      <c r="RV69" s="325"/>
      <c r="RW69" s="325"/>
      <c r="RX69" s="325"/>
      <c r="RY69" s="325"/>
      <c r="RZ69" s="325"/>
      <c r="SA69" s="325"/>
      <c r="SB69" s="325"/>
      <c r="SC69" s="325"/>
      <c r="SD69" s="325"/>
      <c r="SE69" s="325"/>
      <c r="SF69" s="325"/>
      <c r="SG69" s="325"/>
      <c r="SH69" s="325"/>
      <c r="SI69" s="325"/>
      <c r="SJ69" s="325"/>
      <c r="SK69" s="325"/>
      <c r="SL69" s="325"/>
      <c r="SM69" s="325"/>
      <c r="SN69" s="325"/>
      <c r="SO69" s="325"/>
      <c r="SP69" s="325"/>
      <c r="SQ69" s="325"/>
      <c r="SR69" s="325"/>
      <c r="SS69" s="325"/>
      <c r="ST69" s="325"/>
      <c r="SU69" s="325"/>
      <c r="SV69" s="325"/>
      <c r="SW69" s="325"/>
      <c r="SX69" s="325"/>
      <c r="SY69" s="325"/>
      <c r="SZ69" s="325"/>
      <c r="TA69" s="325"/>
      <c r="TB69" s="325"/>
      <c r="TC69" s="325"/>
      <c r="TD69" s="325"/>
      <c r="TE69" s="325"/>
      <c r="TF69" s="325"/>
      <c r="TG69" s="325"/>
      <c r="TH69" s="325"/>
      <c r="TI69" s="325"/>
      <c r="TJ69" s="325"/>
      <c r="TK69" s="325"/>
      <c r="TL69" s="325"/>
      <c r="TM69" s="325"/>
      <c r="TN69" s="325"/>
      <c r="TO69" s="325"/>
      <c r="TP69" s="325"/>
      <c r="TQ69" s="325"/>
      <c r="TR69" s="325"/>
      <c r="TS69" s="325"/>
      <c r="TT69" s="325"/>
      <c r="TU69" s="325"/>
      <c r="TV69" s="325"/>
      <c r="TW69" s="325"/>
      <c r="TX69" s="325"/>
      <c r="TY69" s="325"/>
      <c r="TZ69" s="325"/>
      <c r="UA69" s="325"/>
      <c r="UB69" s="325"/>
      <c r="UC69" s="325"/>
      <c r="UD69" s="325"/>
      <c r="UE69" s="325"/>
      <c r="UF69" s="325"/>
      <c r="UG69" s="325"/>
      <c r="UH69" s="325"/>
      <c r="UI69" s="325"/>
      <c r="UJ69" s="325"/>
      <c r="UK69" s="325"/>
      <c r="UL69" s="325"/>
      <c r="UM69" s="325"/>
      <c r="UN69" s="325"/>
      <c r="UO69" s="325"/>
      <c r="UP69" s="325"/>
      <c r="UQ69" s="325"/>
      <c r="UR69" s="325"/>
      <c r="US69" s="325"/>
      <c r="UT69" s="325"/>
      <c r="UU69" s="325"/>
      <c r="UV69" s="325"/>
      <c r="UW69" s="325"/>
      <c r="UX69" s="325"/>
      <c r="UY69" s="325"/>
      <c r="UZ69" s="325"/>
      <c r="VA69" s="325"/>
      <c r="VB69" s="325"/>
      <c r="VC69" s="325"/>
      <c r="VD69" s="325"/>
      <c r="VE69" s="325"/>
      <c r="VF69" s="325"/>
      <c r="VG69" s="325"/>
      <c r="VH69" s="325"/>
      <c r="VI69" s="325"/>
      <c r="VJ69" s="325"/>
      <c r="VK69" s="325"/>
      <c r="VL69" s="325"/>
      <c r="VM69" s="325"/>
      <c r="VN69" s="325"/>
      <c r="VO69" s="325"/>
      <c r="VP69" s="325"/>
      <c r="VQ69" s="325"/>
      <c r="VR69" s="325"/>
      <c r="VS69" s="325"/>
      <c r="VT69" s="325"/>
      <c r="VU69" s="325"/>
      <c r="VV69" s="325"/>
      <c r="VW69" s="325"/>
      <c r="VX69" s="325"/>
      <c r="VY69" s="325"/>
      <c r="VZ69" s="325"/>
      <c r="WA69" s="325"/>
      <c r="WB69" s="325"/>
      <c r="WC69" s="325"/>
      <c r="WD69" s="325"/>
      <c r="WE69" s="325"/>
      <c r="WF69" s="325"/>
      <c r="WG69" s="325"/>
      <c r="WH69" s="325"/>
      <c r="WI69" s="325"/>
      <c r="WJ69" s="325"/>
      <c r="WK69" s="325"/>
      <c r="WL69" s="325"/>
      <c r="WM69" s="325"/>
      <c r="WN69" s="325"/>
      <c r="WO69" s="325"/>
      <c r="WP69" s="325"/>
      <c r="WQ69" s="325"/>
      <c r="WR69" s="325"/>
      <c r="WS69" s="325"/>
      <c r="WT69" s="325"/>
      <c r="WU69" s="325"/>
      <c r="WV69" s="325"/>
      <c r="WW69" s="325"/>
      <c r="WX69" s="325"/>
      <c r="WY69" s="325"/>
      <c r="WZ69" s="325"/>
      <c r="XA69" s="325"/>
      <c r="XB69" s="325"/>
      <c r="XC69" s="325"/>
      <c r="XD69" s="325"/>
      <c r="XE69" s="325"/>
      <c r="XF69" s="325"/>
      <c r="XG69" s="325"/>
      <c r="XH69" s="325"/>
      <c r="XI69" s="325"/>
      <c r="XJ69" s="325"/>
      <c r="XK69" s="325"/>
      <c r="XL69" s="325"/>
      <c r="XM69" s="325"/>
      <c r="XN69" s="325"/>
      <c r="XO69" s="325"/>
      <c r="XP69" s="325"/>
      <c r="XQ69" s="325"/>
      <c r="XR69" s="325"/>
      <c r="XS69" s="325"/>
      <c r="XT69" s="325"/>
      <c r="XU69" s="325"/>
      <c r="XV69" s="325"/>
      <c r="XW69" s="325"/>
      <c r="XX69" s="325"/>
      <c r="XY69" s="325"/>
      <c r="XZ69" s="325"/>
      <c r="YA69" s="325"/>
      <c r="YB69" s="325"/>
      <c r="YC69" s="325"/>
      <c r="YD69" s="325"/>
      <c r="YE69" s="325"/>
      <c r="YF69" s="325"/>
      <c r="YG69" s="325"/>
      <c r="YH69" s="325"/>
      <c r="YI69" s="325"/>
      <c r="YJ69" s="325"/>
      <c r="YK69" s="325"/>
      <c r="YL69" s="325"/>
      <c r="YM69" s="325"/>
      <c r="YN69" s="325"/>
      <c r="YO69" s="325"/>
      <c r="YP69" s="325"/>
      <c r="YQ69" s="325"/>
      <c r="YR69" s="325"/>
      <c r="YS69" s="325"/>
      <c r="YT69" s="325"/>
      <c r="YU69" s="325"/>
      <c r="YV69" s="325"/>
      <c r="YW69" s="325"/>
      <c r="YX69" s="325"/>
      <c r="YY69" s="325"/>
      <c r="YZ69" s="325"/>
      <c r="ZA69" s="325"/>
      <c r="ZB69" s="325"/>
      <c r="ZC69" s="325"/>
      <c r="ZD69" s="325"/>
      <c r="ZE69" s="325"/>
      <c r="ZF69" s="325"/>
      <c r="ZG69" s="325"/>
      <c r="ZH69" s="325"/>
      <c r="ZI69" s="325"/>
      <c r="ZJ69" s="325"/>
      <c r="ZK69" s="325"/>
      <c r="ZL69" s="325"/>
      <c r="ZM69" s="325"/>
      <c r="ZN69" s="325"/>
      <c r="ZO69" s="325"/>
      <c r="ZP69" s="325"/>
      <c r="ZQ69" s="325"/>
      <c r="ZR69" s="325"/>
      <c r="ZS69" s="325"/>
      <c r="ZT69" s="325"/>
      <c r="ZU69" s="325"/>
      <c r="ZV69" s="325"/>
      <c r="ZW69" s="325"/>
      <c r="ZX69" s="325"/>
      <c r="ZY69" s="325"/>
      <c r="ZZ69" s="325"/>
      <c r="AAA69" s="325"/>
      <c r="AAB69" s="325"/>
      <c r="AAC69" s="325"/>
      <c r="AAD69" s="325"/>
      <c r="AAE69" s="325"/>
      <c r="AAF69" s="325"/>
      <c r="AAG69" s="325"/>
      <c r="AAH69" s="325"/>
      <c r="AAI69" s="325"/>
      <c r="AAJ69" s="325"/>
      <c r="AAK69" s="325"/>
      <c r="AAL69" s="325"/>
      <c r="AAM69" s="325"/>
      <c r="AAN69" s="325"/>
      <c r="AAO69" s="325"/>
      <c r="AAP69" s="325"/>
      <c r="AAQ69" s="325"/>
      <c r="AAR69" s="325"/>
      <c r="AAS69" s="325"/>
      <c r="AAT69" s="325"/>
      <c r="AAU69" s="325"/>
      <c r="AAV69" s="325"/>
      <c r="AAW69" s="325"/>
      <c r="AAX69" s="325"/>
      <c r="AAY69" s="325"/>
      <c r="AAZ69" s="325"/>
      <c r="ABA69" s="325"/>
      <c r="ABB69" s="325"/>
      <c r="ABC69" s="325"/>
      <c r="ABD69" s="325"/>
      <c r="ABE69" s="325"/>
      <c r="ABF69" s="325"/>
      <c r="ABG69" s="325"/>
      <c r="ABH69" s="325"/>
      <c r="ABI69" s="325"/>
      <c r="ABJ69" s="325"/>
      <c r="ABK69" s="325"/>
      <c r="ABL69" s="325"/>
      <c r="ABM69" s="325"/>
      <c r="ABN69" s="325"/>
      <c r="ABO69" s="325"/>
      <c r="ABP69" s="325"/>
      <c r="ABQ69" s="325"/>
      <c r="ABR69" s="325"/>
      <c r="ABS69" s="325"/>
      <c r="ABT69" s="325"/>
      <c r="ABU69" s="325"/>
      <c r="ABV69" s="325"/>
      <c r="ABW69" s="325"/>
      <c r="ABX69" s="325"/>
      <c r="ABY69" s="325"/>
      <c r="ABZ69" s="325"/>
      <c r="ACA69" s="325"/>
      <c r="ACB69" s="325"/>
      <c r="ACC69" s="325"/>
      <c r="ACD69" s="325"/>
      <c r="ACE69" s="325"/>
      <c r="ACF69" s="325"/>
      <c r="ACG69" s="325"/>
      <c r="ACH69" s="325"/>
      <c r="ACI69" s="325"/>
      <c r="ACJ69" s="325"/>
      <c r="ACK69" s="325"/>
      <c r="ACL69" s="325"/>
      <c r="ACM69" s="325"/>
      <c r="ACN69" s="325"/>
      <c r="ACO69" s="325"/>
      <c r="ACP69" s="325"/>
      <c r="ACQ69" s="325"/>
      <c r="ACR69" s="325"/>
      <c r="ACS69" s="325"/>
      <c r="ACT69" s="325"/>
      <c r="ACU69" s="325"/>
      <c r="ACV69" s="325"/>
      <c r="ACW69" s="325"/>
      <c r="ACX69" s="325"/>
      <c r="ACY69" s="325"/>
      <c r="ACZ69" s="325"/>
      <c r="ADA69" s="325"/>
      <c r="ADB69" s="325"/>
      <c r="ADC69" s="325"/>
      <c r="ADD69" s="325"/>
      <c r="ADE69" s="325"/>
      <c r="ADF69" s="325"/>
      <c r="ADG69" s="325"/>
      <c r="ADH69" s="325"/>
      <c r="ADI69" s="325"/>
      <c r="ADJ69" s="325"/>
      <c r="ADK69" s="325"/>
      <c r="ADL69" s="325"/>
      <c r="ADM69" s="325"/>
      <c r="ADN69" s="325"/>
      <c r="ADO69" s="325"/>
      <c r="ADP69" s="325"/>
      <c r="ADQ69" s="325"/>
      <c r="ADR69" s="325"/>
      <c r="ADS69" s="325"/>
      <c r="ADT69" s="325"/>
      <c r="ADU69" s="325"/>
      <c r="ADV69" s="325"/>
      <c r="ADW69" s="325"/>
      <c r="ADX69" s="325"/>
      <c r="ADY69" s="325"/>
      <c r="ADZ69" s="325"/>
      <c r="AEA69" s="325"/>
      <c r="AEB69" s="325"/>
      <c r="AEC69" s="325"/>
      <c r="AED69" s="325"/>
      <c r="AEE69" s="325"/>
      <c r="AEF69" s="325"/>
      <c r="AEG69" s="325"/>
      <c r="AEH69" s="325"/>
      <c r="AEI69" s="325"/>
      <c r="AEJ69" s="325"/>
      <c r="AEK69" s="325"/>
      <c r="AEL69" s="325"/>
      <c r="AEM69" s="325"/>
      <c r="AEN69" s="325"/>
      <c r="AEO69" s="325"/>
      <c r="AEP69" s="325"/>
      <c r="AEQ69" s="325"/>
      <c r="AER69" s="325"/>
      <c r="AES69" s="325"/>
      <c r="AET69" s="325"/>
      <c r="AEU69" s="325"/>
      <c r="AEV69" s="325"/>
      <c r="AEW69" s="325"/>
      <c r="AEX69" s="325"/>
      <c r="AEY69" s="325"/>
      <c r="AEZ69" s="325"/>
      <c r="AFA69" s="325"/>
      <c r="AFB69" s="325"/>
      <c r="AFC69" s="325"/>
      <c r="AFD69" s="325"/>
      <c r="AFE69" s="325"/>
      <c r="AFF69" s="325"/>
      <c r="AFG69" s="325"/>
      <c r="AFH69" s="325"/>
      <c r="AFI69" s="325"/>
      <c r="AFJ69" s="325"/>
      <c r="AFK69" s="325"/>
      <c r="AFL69" s="325"/>
      <c r="AFM69" s="325"/>
      <c r="AFN69" s="325"/>
      <c r="AFO69" s="325"/>
      <c r="AFP69" s="325"/>
      <c r="AFQ69" s="325"/>
      <c r="AFR69" s="325"/>
      <c r="AFS69" s="325"/>
      <c r="AFT69" s="325"/>
      <c r="AFU69" s="325"/>
      <c r="AFV69" s="325"/>
      <c r="AFW69" s="325"/>
      <c r="AFX69" s="325"/>
      <c r="AFY69" s="325"/>
      <c r="AFZ69" s="325"/>
      <c r="AGA69" s="325"/>
      <c r="AGB69" s="325"/>
      <c r="AGC69" s="325"/>
      <c r="AGD69" s="325"/>
      <c r="AGE69" s="325"/>
      <c r="AGF69" s="325"/>
      <c r="AGG69" s="325"/>
      <c r="AGH69" s="325"/>
      <c r="AGI69" s="325"/>
      <c r="AGJ69" s="325"/>
      <c r="AGK69" s="325"/>
      <c r="AGL69" s="325"/>
      <c r="AGM69" s="325"/>
      <c r="AGN69" s="325"/>
      <c r="AGO69" s="325"/>
      <c r="AGP69" s="325"/>
      <c r="AGQ69" s="325"/>
      <c r="AGR69" s="325"/>
      <c r="AGS69" s="325"/>
      <c r="AGT69" s="325"/>
      <c r="AGU69" s="325"/>
      <c r="AGV69" s="325"/>
      <c r="AGW69" s="325"/>
      <c r="AGX69" s="325"/>
      <c r="AGY69" s="325"/>
      <c r="AGZ69" s="325"/>
      <c r="AHA69" s="325"/>
      <c r="AHB69" s="325"/>
      <c r="AHC69" s="325"/>
      <c r="AHD69" s="325"/>
      <c r="AHE69" s="325"/>
      <c r="AHF69" s="325"/>
      <c r="AHG69" s="325"/>
      <c r="AHH69" s="325"/>
      <c r="AHI69" s="325"/>
      <c r="AHJ69" s="325"/>
      <c r="AHK69" s="325"/>
      <c r="AHL69" s="325"/>
      <c r="AHM69" s="325"/>
      <c r="AHN69" s="325"/>
      <c r="AHO69" s="325"/>
      <c r="AHP69" s="325"/>
      <c r="AHQ69" s="325"/>
      <c r="AHR69" s="325"/>
      <c r="AHS69" s="325"/>
      <c r="AHT69" s="325"/>
      <c r="AHU69" s="325"/>
      <c r="AHV69" s="325"/>
      <c r="AHW69" s="325"/>
      <c r="AHX69" s="325"/>
      <c r="AHY69" s="325"/>
      <c r="AHZ69" s="325"/>
      <c r="AIA69" s="325"/>
      <c r="AIB69" s="325"/>
      <c r="AIC69" s="325"/>
      <c r="AID69" s="325"/>
      <c r="AIE69" s="325"/>
      <c r="AIF69" s="325"/>
      <c r="AIG69" s="325"/>
      <c r="AIH69" s="325"/>
      <c r="AII69" s="325"/>
      <c r="AIJ69" s="325"/>
      <c r="AIK69" s="325"/>
      <c r="AIL69" s="325"/>
      <c r="AIM69" s="325"/>
      <c r="AIN69" s="325"/>
      <c r="AIO69" s="325"/>
      <c r="AIP69" s="325"/>
      <c r="AIQ69" s="325"/>
      <c r="AIR69" s="325"/>
      <c r="AIS69" s="325"/>
      <c r="AIT69" s="325"/>
      <c r="AIU69" s="325"/>
      <c r="AIV69" s="325"/>
      <c r="AIW69" s="325"/>
      <c r="AIX69" s="325"/>
      <c r="AIY69" s="325"/>
      <c r="AIZ69" s="325"/>
      <c r="AJA69" s="325"/>
      <c r="AJB69" s="325"/>
      <c r="AJC69" s="325"/>
      <c r="AJD69" s="325"/>
      <c r="AJE69" s="325"/>
      <c r="AJF69" s="325"/>
      <c r="AJG69" s="325"/>
      <c r="AJH69" s="325"/>
      <c r="AJI69" s="325"/>
      <c r="AJJ69" s="325"/>
      <c r="AJK69" s="325"/>
      <c r="AJL69" s="325"/>
      <c r="AJM69" s="325"/>
      <c r="AJN69" s="325"/>
      <c r="AJO69" s="325"/>
      <c r="AJP69" s="325"/>
      <c r="AJQ69" s="325"/>
      <c r="AJR69" s="325"/>
      <c r="AJS69" s="325"/>
      <c r="AJT69" s="325"/>
      <c r="AJU69" s="325"/>
      <c r="AJV69" s="325"/>
      <c r="AJW69" s="325"/>
      <c r="AJX69" s="325"/>
      <c r="AJY69" s="325"/>
      <c r="AJZ69" s="325"/>
      <c r="AKA69" s="325"/>
      <c r="AKB69" s="325"/>
      <c r="AKC69" s="325"/>
      <c r="AKD69" s="325"/>
      <c r="AKE69" s="325"/>
      <c r="AKF69" s="325"/>
      <c r="AKG69" s="325"/>
      <c r="AKH69" s="325"/>
      <c r="AKI69" s="325"/>
      <c r="AKJ69" s="325"/>
      <c r="AKK69" s="325"/>
      <c r="AKL69" s="325"/>
      <c r="AKM69" s="325"/>
      <c r="AKN69" s="325"/>
      <c r="AKO69" s="325"/>
      <c r="AKP69" s="325"/>
      <c r="AKQ69" s="325"/>
      <c r="AKR69" s="325"/>
      <c r="AKS69" s="325"/>
      <c r="AKT69" s="325"/>
      <c r="AKU69" s="325"/>
      <c r="AKV69" s="325"/>
      <c r="AKW69" s="325"/>
      <c r="AKX69" s="325"/>
      <c r="AKY69" s="325"/>
      <c r="AKZ69" s="325"/>
      <c r="ALA69" s="325"/>
      <c r="ALB69" s="325"/>
      <c r="ALC69" s="325"/>
      <c r="ALD69" s="325"/>
      <c r="ALE69" s="325"/>
      <c r="ALF69" s="325"/>
      <c r="ALG69" s="325"/>
      <c r="ALH69" s="325"/>
      <c r="ALI69" s="325"/>
      <c r="ALJ69" s="325"/>
      <c r="ALK69" s="325"/>
      <c r="ALL69" s="325"/>
      <c r="ALM69" s="325"/>
      <c r="ALN69" s="325"/>
      <c r="ALO69" s="325"/>
      <c r="ALP69" s="325"/>
      <c r="ALQ69" s="325"/>
      <c r="ALR69" s="325"/>
      <c r="ALS69" s="325"/>
      <c r="ALT69" s="325"/>
      <c r="ALU69" s="325"/>
      <c r="ALV69" s="325"/>
      <c r="ALW69" s="325"/>
      <c r="ALX69" s="325"/>
      <c r="ALY69" s="325"/>
      <c r="ALZ69" s="325"/>
      <c r="AMA69" s="325"/>
      <c r="AMB69" s="325"/>
      <c r="AMC69" s="325"/>
    </row>
    <row r="70" spans="3:1017" s="75" customFormat="1">
      <c r="C70" s="130"/>
      <c r="D70" s="130"/>
      <c r="CN70" s="225"/>
      <c r="CQ70" s="226"/>
      <c r="LD70" s="213"/>
      <c r="LH70" s="286"/>
      <c r="LI70" s="287"/>
      <c r="LJ70" s="124"/>
      <c r="LK70" s="124"/>
      <c r="LL70" s="124"/>
      <c r="LM70" s="124"/>
      <c r="LN70" s="124"/>
      <c r="LO70" s="124"/>
      <c r="LP70" s="124"/>
      <c r="LQ70" s="124"/>
      <c r="LR70" s="124"/>
      <c r="NE70" s="330"/>
      <c r="NF70" s="325"/>
      <c r="NG70" s="325"/>
      <c r="NH70" s="325"/>
      <c r="NI70" s="325"/>
      <c r="NJ70" s="325"/>
      <c r="NK70" s="325"/>
      <c r="NL70" s="325"/>
      <c r="NM70" s="325"/>
      <c r="NN70" s="325"/>
      <c r="NO70" s="325"/>
      <c r="NP70" s="325"/>
      <c r="NQ70" s="325"/>
      <c r="NR70" s="325"/>
      <c r="NS70" s="325"/>
      <c r="NT70" s="325"/>
      <c r="NU70" s="325"/>
      <c r="NV70" s="325"/>
      <c r="NW70" s="325"/>
      <c r="NX70" s="325"/>
      <c r="NY70" s="325"/>
      <c r="NZ70" s="325"/>
      <c r="OA70" s="325"/>
      <c r="OB70" s="325"/>
      <c r="OC70" s="325"/>
      <c r="OD70" s="325"/>
      <c r="OE70" s="325"/>
      <c r="OF70" s="325"/>
      <c r="OG70" s="325"/>
      <c r="OH70" s="325"/>
      <c r="OI70" s="325"/>
      <c r="OJ70" s="325"/>
      <c r="OK70" s="325"/>
      <c r="OL70" s="325"/>
      <c r="OM70" s="325"/>
      <c r="ON70" s="325"/>
      <c r="OO70" s="325"/>
      <c r="OP70" s="325"/>
      <c r="OQ70" s="325"/>
      <c r="OR70" s="325"/>
      <c r="OS70" s="325"/>
      <c r="OT70" s="325"/>
      <c r="OU70" s="325"/>
      <c r="OV70" s="325"/>
      <c r="OW70" s="325"/>
      <c r="OX70" s="325"/>
      <c r="OY70" s="325"/>
      <c r="OZ70" s="325"/>
      <c r="PA70" s="325"/>
      <c r="PB70" s="325"/>
      <c r="PC70" s="325"/>
      <c r="PD70" s="325"/>
      <c r="PE70" s="325"/>
      <c r="PF70" s="325"/>
      <c r="PG70" s="325"/>
      <c r="PH70" s="325"/>
      <c r="PI70" s="325"/>
      <c r="PJ70" s="325"/>
      <c r="PK70" s="325"/>
      <c r="PL70" s="325"/>
      <c r="PM70" s="325"/>
      <c r="PN70" s="325"/>
      <c r="PO70" s="325"/>
      <c r="PP70" s="325"/>
      <c r="PQ70" s="325"/>
      <c r="PR70" s="325"/>
      <c r="PS70" s="325"/>
      <c r="PT70" s="325"/>
      <c r="PU70" s="325"/>
      <c r="PV70" s="325"/>
      <c r="PW70" s="325"/>
      <c r="PX70" s="325"/>
      <c r="PY70" s="325"/>
      <c r="PZ70" s="325"/>
      <c r="QA70" s="325"/>
      <c r="QB70" s="325"/>
      <c r="QC70" s="325"/>
      <c r="QD70" s="325"/>
      <c r="QE70" s="325"/>
      <c r="QF70" s="325"/>
      <c r="QG70" s="325"/>
      <c r="QH70" s="325"/>
      <c r="QI70" s="325"/>
      <c r="QJ70" s="325"/>
      <c r="QK70" s="325"/>
      <c r="QL70" s="325"/>
      <c r="QM70" s="325"/>
      <c r="QN70" s="325"/>
      <c r="QO70" s="325"/>
      <c r="QP70" s="325"/>
      <c r="QQ70" s="325"/>
      <c r="QR70" s="325"/>
      <c r="QS70" s="325"/>
      <c r="QT70" s="325"/>
      <c r="QU70" s="325"/>
      <c r="QV70" s="325"/>
      <c r="QW70" s="325"/>
      <c r="QX70" s="325"/>
      <c r="QY70" s="325"/>
      <c r="QZ70" s="325"/>
      <c r="RA70" s="325"/>
      <c r="RB70" s="325"/>
      <c r="RC70" s="325"/>
      <c r="RD70" s="325"/>
      <c r="RE70" s="325"/>
      <c r="RF70" s="325"/>
      <c r="RG70" s="325"/>
      <c r="RH70" s="325"/>
      <c r="RI70" s="325"/>
      <c r="RJ70" s="325"/>
      <c r="RK70" s="325"/>
      <c r="RL70" s="325"/>
      <c r="RM70" s="325"/>
      <c r="RN70" s="325"/>
      <c r="RO70" s="325"/>
      <c r="RP70" s="325"/>
      <c r="RQ70" s="325"/>
      <c r="RR70" s="325"/>
      <c r="RS70" s="325"/>
      <c r="RT70" s="325"/>
      <c r="RU70" s="325"/>
      <c r="RV70" s="325"/>
      <c r="RW70" s="325"/>
      <c r="RX70" s="325"/>
      <c r="RY70" s="325"/>
      <c r="RZ70" s="325"/>
      <c r="SA70" s="325"/>
      <c r="SB70" s="325"/>
      <c r="SC70" s="325"/>
      <c r="SD70" s="325"/>
      <c r="SE70" s="325"/>
      <c r="SF70" s="325"/>
      <c r="SG70" s="325"/>
      <c r="SH70" s="325"/>
      <c r="SI70" s="325"/>
      <c r="SJ70" s="325"/>
      <c r="SK70" s="325"/>
      <c r="SL70" s="325"/>
      <c r="SM70" s="325"/>
      <c r="SN70" s="325"/>
      <c r="SO70" s="325"/>
      <c r="SP70" s="325"/>
      <c r="SQ70" s="325"/>
      <c r="SR70" s="325"/>
      <c r="SS70" s="325"/>
      <c r="ST70" s="325"/>
      <c r="SU70" s="325"/>
      <c r="SV70" s="325"/>
      <c r="SW70" s="325"/>
      <c r="SX70" s="325"/>
      <c r="SY70" s="325"/>
      <c r="SZ70" s="325"/>
      <c r="TA70" s="325"/>
      <c r="TB70" s="325"/>
      <c r="TC70" s="325"/>
      <c r="TD70" s="325"/>
      <c r="TE70" s="325"/>
      <c r="TF70" s="325"/>
      <c r="TG70" s="325"/>
      <c r="TH70" s="325"/>
      <c r="TI70" s="325"/>
      <c r="TJ70" s="325"/>
      <c r="TK70" s="325"/>
      <c r="TL70" s="325"/>
      <c r="TM70" s="325"/>
      <c r="TN70" s="325"/>
      <c r="TO70" s="325"/>
      <c r="TP70" s="325"/>
      <c r="TQ70" s="325"/>
      <c r="TR70" s="325"/>
      <c r="TS70" s="325"/>
      <c r="TT70" s="325"/>
      <c r="TU70" s="325"/>
      <c r="TV70" s="325"/>
      <c r="TW70" s="325"/>
      <c r="TX70" s="325"/>
      <c r="TY70" s="325"/>
      <c r="TZ70" s="325"/>
      <c r="UA70" s="325"/>
      <c r="UB70" s="325"/>
      <c r="UC70" s="325"/>
      <c r="UD70" s="325"/>
      <c r="UE70" s="325"/>
      <c r="UF70" s="325"/>
      <c r="UG70" s="325"/>
      <c r="UH70" s="325"/>
      <c r="UI70" s="325"/>
      <c r="UJ70" s="325"/>
      <c r="UK70" s="325"/>
      <c r="UL70" s="325"/>
      <c r="UM70" s="325"/>
      <c r="UN70" s="325"/>
      <c r="UO70" s="325"/>
      <c r="UP70" s="325"/>
      <c r="UQ70" s="325"/>
      <c r="UR70" s="325"/>
      <c r="US70" s="325"/>
      <c r="UT70" s="325"/>
      <c r="UU70" s="325"/>
      <c r="UV70" s="325"/>
      <c r="UW70" s="325"/>
      <c r="UX70" s="325"/>
      <c r="UY70" s="325"/>
      <c r="UZ70" s="325"/>
      <c r="VA70" s="325"/>
      <c r="VB70" s="325"/>
      <c r="VC70" s="325"/>
      <c r="VD70" s="325"/>
      <c r="VE70" s="325"/>
      <c r="VF70" s="325"/>
      <c r="VG70" s="325"/>
      <c r="VH70" s="325"/>
      <c r="VI70" s="325"/>
      <c r="VJ70" s="325"/>
      <c r="VK70" s="325"/>
      <c r="VL70" s="325"/>
      <c r="VM70" s="325"/>
      <c r="VN70" s="325"/>
      <c r="VO70" s="325"/>
      <c r="VP70" s="325"/>
      <c r="VQ70" s="325"/>
      <c r="VR70" s="325"/>
      <c r="VS70" s="325"/>
      <c r="VT70" s="325"/>
      <c r="VU70" s="325"/>
      <c r="VV70" s="325"/>
      <c r="VW70" s="325"/>
      <c r="VX70" s="325"/>
      <c r="VY70" s="325"/>
      <c r="VZ70" s="325"/>
      <c r="WA70" s="325"/>
      <c r="WB70" s="325"/>
      <c r="WC70" s="325"/>
      <c r="WD70" s="325"/>
      <c r="WE70" s="325"/>
      <c r="WF70" s="325"/>
      <c r="WG70" s="325"/>
      <c r="WH70" s="325"/>
      <c r="WI70" s="325"/>
      <c r="WJ70" s="325"/>
      <c r="WK70" s="325"/>
      <c r="WL70" s="325"/>
      <c r="WM70" s="325"/>
      <c r="WN70" s="325"/>
      <c r="WO70" s="325"/>
      <c r="WP70" s="325"/>
      <c r="WQ70" s="325"/>
      <c r="WR70" s="325"/>
      <c r="WS70" s="325"/>
      <c r="WT70" s="325"/>
      <c r="WU70" s="325"/>
      <c r="WV70" s="325"/>
      <c r="WW70" s="325"/>
      <c r="WX70" s="325"/>
      <c r="WY70" s="325"/>
      <c r="WZ70" s="325"/>
      <c r="XA70" s="325"/>
      <c r="XB70" s="325"/>
      <c r="XC70" s="325"/>
      <c r="XD70" s="325"/>
      <c r="XE70" s="325"/>
      <c r="XF70" s="325"/>
      <c r="XG70" s="325"/>
      <c r="XH70" s="325"/>
      <c r="XI70" s="325"/>
      <c r="XJ70" s="325"/>
      <c r="XK70" s="325"/>
      <c r="XL70" s="325"/>
      <c r="XM70" s="325"/>
      <c r="XN70" s="325"/>
      <c r="XO70" s="325"/>
      <c r="XP70" s="325"/>
      <c r="XQ70" s="325"/>
      <c r="XR70" s="325"/>
      <c r="XS70" s="325"/>
      <c r="XT70" s="325"/>
      <c r="XU70" s="325"/>
      <c r="XV70" s="325"/>
      <c r="XW70" s="325"/>
      <c r="XX70" s="325"/>
      <c r="XY70" s="325"/>
      <c r="XZ70" s="325"/>
      <c r="YA70" s="325"/>
      <c r="YB70" s="325"/>
      <c r="YC70" s="325"/>
      <c r="YD70" s="325"/>
      <c r="YE70" s="325"/>
      <c r="YF70" s="325"/>
      <c r="YG70" s="325"/>
      <c r="YH70" s="325"/>
      <c r="YI70" s="325"/>
      <c r="YJ70" s="325"/>
      <c r="YK70" s="325"/>
      <c r="YL70" s="325"/>
      <c r="YM70" s="325"/>
      <c r="YN70" s="325"/>
      <c r="YO70" s="325"/>
      <c r="YP70" s="325"/>
      <c r="YQ70" s="325"/>
      <c r="YR70" s="325"/>
      <c r="YS70" s="325"/>
      <c r="YT70" s="325"/>
      <c r="YU70" s="325"/>
      <c r="YV70" s="325"/>
      <c r="YW70" s="325"/>
      <c r="YX70" s="325"/>
      <c r="YY70" s="325"/>
      <c r="YZ70" s="325"/>
      <c r="ZA70" s="325"/>
      <c r="ZB70" s="325"/>
      <c r="ZC70" s="325"/>
      <c r="ZD70" s="325"/>
      <c r="ZE70" s="325"/>
      <c r="ZF70" s="325"/>
      <c r="ZG70" s="325"/>
      <c r="ZH70" s="325"/>
      <c r="ZI70" s="325"/>
      <c r="ZJ70" s="325"/>
      <c r="ZK70" s="325"/>
      <c r="ZL70" s="325"/>
      <c r="ZM70" s="325"/>
      <c r="ZN70" s="325"/>
      <c r="ZO70" s="325"/>
      <c r="ZP70" s="325"/>
      <c r="ZQ70" s="325"/>
      <c r="ZR70" s="325"/>
      <c r="ZS70" s="325"/>
      <c r="ZT70" s="325"/>
      <c r="ZU70" s="325"/>
      <c r="ZV70" s="325"/>
      <c r="ZW70" s="325"/>
      <c r="ZX70" s="325"/>
      <c r="ZY70" s="325"/>
      <c r="ZZ70" s="325"/>
      <c r="AAA70" s="325"/>
      <c r="AAB70" s="325"/>
      <c r="AAC70" s="325"/>
      <c r="AAD70" s="325"/>
      <c r="AAE70" s="325"/>
      <c r="AAF70" s="325"/>
      <c r="AAG70" s="325"/>
      <c r="AAH70" s="325"/>
      <c r="AAI70" s="325"/>
      <c r="AAJ70" s="325"/>
      <c r="AAK70" s="325"/>
      <c r="AAL70" s="325"/>
      <c r="AAM70" s="325"/>
      <c r="AAN70" s="325"/>
      <c r="AAO70" s="325"/>
      <c r="AAP70" s="325"/>
      <c r="AAQ70" s="325"/>
      <c r="AAR70" s="325"/>
      <c r="AAS70" s="325"/>
      <c r="AAT70" s="325"/>
      <c r="AAU70" s="325"/>
      <c r="AAV70" s="325"/>
      <c r="AAW70" s="325"/>
      <c r="AAX70" s="325"/>
      <c r="AAY70" s="325"/>
      <c r="AAZ70" s="325"/>
      <c r="ABA70" s="325"/>
      <c r="ABB70" s="325"/>
      <c r="ABC70" s="325"/>
      <c r="ABD70" s="325"/>
      <c r="ABE70" s="325"/>
      <c r="ABF70" s="325"/>
      <c r="ABG70" s="325"/>
      <c r="ABH70" s="325"/>
      <c r="ABI70" s="325"/>
      <c r="ABJ70" s="325"/>
      <c r="ABK70" s="325"/>
      <c r="ABL70" s="325"/>
      <c r="ABM70" s="325"/>
      <c r="ABN70" s="325"/>
      <c r="ABO70" s="325"/>
      <c r="ABP70" s="325"/>
      <c r="ABQ70" s="325"/>
      <c r="ABR70" s="325"/>
      <c r="ABS70" s="325"/>
      <c r="ABT70" s="325"/>
      <c r="ABU70" s="325"/>
      <c r="ABV70" s="325"/>
      <c r="ABW70" s="325"/>
      <c r="ABX70" s="325"/>
      <c r="ABY70" s="325"/>
      <c r="ABZ70" s="325"/>
      <c r="ACA70" s="325"/>
      <c r="ACB70" s="325"/>
      <c r="ACC70" s="325"/>
      <c r="ACD70" s="325"/>
      <c r="ACE70" s="325"/>
      <c r="ACF70" s="325"/>
      <c r="ACG70" s="325"/>
      <c r="ACH70" s="325"/>
      <c r="ACI70" s="325"/>
      <c r="ACJ70" s="325"/>
      <c r="ACK70" s="325"/>
      <c r="ACL70" s="325"/>
      <c r="ACM70" s="325"/>
      <c r="ACN70" s="325"/>
      <c r="ACO70" s="325"/>
      <c r="ACP70" s="325"/>
      <c r="ACQ70" s="325"/>
      <c r="ACR70" s="325"/>
      <c r="ACS70" s="325"/>
      <c r="ACT70" s="325"/>
      <c r="ACU70" s="325"/>
      <c r="ACV70" s="325"/>
      <c r="ACW70" s="325"/>
      <c r="ACX70" s="325"/>
      <c r="ACY70" s="325"/>
      <c r="ACZ70" s="325"/>
      <c r="ADA70" s="325"/>
      <c r="ADB70" s="325"/>
      <c r="ADC70" s="325"/>
      <c r="ADD70" s="325"/>
      <c r="ADE70" s="325"/>
      <c r="ADF70" s="325"/>
      <c r="ADG70" s="325"/>
      <c r="ADH70" s="325"/>
      <c r="ADI70" s="325"/>
      <c r="ADJ70" s="325"/>
      <c r="ADK70" s="325"/>
      <c r="ADL70" s="325"/>
      <c r="ADM70" s="325"/>
      <c r="ADN70" s="325"/>
      <c r="ADO70" s="325"/>
      <c r="ADP70" s="325"/>
      <c r="ADQ70" s="325"/>
      <c r="ADR70" s="325"/>
      <c r="ADS70" s="325"/>
      <c r="ADT70" s="325"/>
      <c r="ADU70" s="325"/>
      <c r="ADV70" s="325"/>
      <c r="ADW70" s="325"/>
      <c r="ADX70" s="325"/>
      <c r="ADY70" s="325"/>
      <c r="ADZ70" s="325"/>
      <c r="AEA70" s="325"/>
      <c r="AEB70" s="325"/>
      <c r="AEC70" s="325"/>
      <c r="AED70" s="325"/>
      <c r="AEE70" s="325"/>
      <c r="AEF70" s="325"/>
      <c r="AEG70" s="325"/>
      <c r="AEH70" s="325"/>
      <c r="AEI70" s="325"/>
      <c r="AEJ70" s="325"/>
      <c r="AEK70" s="325"/>
      <c r="AEL70" s="325"/>
      <c r="AEM70" s="325"/>
      <c r="AEN70" s="325"/>
      <c r="AEO70" s="325"/>
      <c r="AEP70" s="325"/>
      <c r="AEQ70" s="325"/>
      <c r="AER70" s="325"/>
      <c r="AES70" s="325"/>
      <c r="AET70" s="325"/>
      <c r="AEU70" s="325"/>
      <c r="AEV70" s="325"/>
      <c r="AEW70" s="325"/>
      <c r="AEX70" s="325"/>
      <c r="AEY70" s="325"/>
      <c r="AEZ70" s="325"/>
      <c r="AFA70" s="325"/>
      <c r="AFB70" s="325"/>
      <c r="AFC70" s="325"/>
      <c r="AFD70" s="325"/>
      <c r="AFE70" s="325"/>
      <c r="AFF70" s="325"/>
      <c r="AFG70" s="325"/>
      <c r="AFH70" s="325"/>
      <c r="AFI70" s="325"/>
      <c r="AFJ70" s="325"/>
      <c r="AFK70" s="325"/>
      <c r="AFL70" s="325"/>
      <c r="AFM70" s="325"/>
      <c r="AFN70" s="325"/>
      <c r="AFO70" s="325"/>
      <c r="AFP70" s="325"/>
      <c r="AFQ70" s="325"/>
      <c r="AFR70" s="325"/>
      <c r="AFS70" s="325"/>
      <c r="AFT70" s="325"/>
      <c r="AFU70" s="325"/>
      <c r="AFV70" s="325"/>
      <c r="AFW70" s="325"/>
      <c r="AFX70" s="325"/>
      <c r="AFY70" s="325"/>
      <c r="AFZ70" s="325"/>
      <c r="AGA70" s="325"/>
      <c r="AGB70" s="325"/>
      <c r="AGC70" s="325"/>
      <c r="AGD70" s="325"/>
      <c r="AGE70" s="325"/>
      <c r="AGF70" s="325"/>
      <c r="AGG70" s="325"/>
      <c r="AGH70" s="325"/>
      <c r="AGI70" s="325"/>
      <c r="AGJ70" s="325"/>
      <c r="AGK70" s="325"/>
      <c r="AGL70" s="325"/>
      <c r="AGM70" s="325"/>
      <c r="AGN70" s="325"/>
      <c r="AGO70" s="325"/>
      <c r="AGP70" s="325"/>
      <c r="AGQ70" s="325"/>
      <c r="AGR70" s="325"/>
      <c r="AGS70" s="325"/>
      <c r="AGT70" s="325"/>
      <c r="AGU70" s="325"/>
      <c r="AGV70" s="325"/>
      <c r="AGW70" s="325"/>
      <c r="AGX70" s="325"/>
      <c r="AGY70" s="325"/>
      <c r="AGZ70" s="325"/>
      <c r="AHA70" s="325"/>
      <c r="AHB70" s="325"/>
      <c r="AHC70" s="325"/>
      <c r="AHD70" s="325"/>
      <c r="AHE70" s="325"/>
      <c r="AHF70" s="325"/>
      <c r="AHG70" s="325"/>
      <c r="AHH70" s="325"/>
      <c r="AHI70" s="325"/>
      <c r="AHJ70" s="325"/>
      <c r="AHK70" s="325"/>
      <c r="AHL70" s="325"/>
      <c r="AHM70" s="325"/>
      <c r="AHN70" s="325"/>
      <c r="AHO70" s="325"/>
      <c r="AHP70" s="325"/>
      <c r="AHQ70" s="325"/>
      <c r="AHR70" s="325"/>
      <c r="AHS70" s="325"/>
      <c r="AHT70" s="325"/>
      <c r="AHU70" s="325"/>
      <c r="AHV70" s="325"/>
      <c r="AHW70" s="325"/>
      <c r="AHX70" s="325"/>
      <c r="AHY70" s="325"/>
      <c r="AHZ70" s="325"/>
      <c r="AIA70" s="325"/>
      <c r="AIB70" s="325"/>
      <c r="AIC70" s="325"/>
      <c r="AID70" s="325"/>
      <c r="AIE70" s="325"/>
      <c r="AIF70" s="325"/>
      <c r="AIG70" s="325"/>
      <c r="AIH70" s="325"/>
      <c r="AII70" s="325"/>
      <c r="AIJ70" s="325"/>
      <c r="AIK70" s="325"/>
      <c r="AIL70" s="325"/>
      <c r="AIM70" s="325"/>
      <c r="AIN70" s="325"/>
      <c r="AIO70" s="325"/>
      <c r="AIP70" s="325"/>
      <c r="AIQ70" s="325"/>
      <c r="AIR70" s="325"/>
      <c r="AIS70" s="325"/>
      <c r="AIT70" s="325"/>
      <c r="AIU70" s="325"/>
      <c r="AIV70" s="325"/>
      <c r="AIW70" s="325"/>
      <c r="AIX70" s="325"/>
      <c r="AIY70" s="325"/>
      <c r="AIZ70" s="325"/>
      <c r="AJA70" s="325"/>
      <c r="AJB70" s="325"/>
      <c r="AJC70" s="325"/>
      <c r="AJD70" s="325"/>
      <c r="AJE70" s="325"/>
      <c r="AJF70" s="325"/>
      <c r="AJG70" s="325"/>
      <c r="AJH70" s="325"/>
      <c r="AJI70" s="325"/>
      <c r="AJJ70" s="325"/>
      <c r="AJK70" s="325"/>
      <c r="AJL70" s="325"/>
      <c r="AJM70" s="325"/>
      <c r="AJN70" s="325"/>
      <c r="AJO70" s="325"/>
      <c r="AJP70" s="325"/>
      <c r="AJQ70" s="325"/>
      <c r="AJR70" s="325"/>
      <c r="AJS70" s="325"/>
      <c r="AJT70" s="325"/>
      <c r="AJU70" s="325"/>
      <c r="AJV70" s="325"/>
      <c r="AJW70" s="325"/>
      <c r="AJX70" s="325"/>
      <c r="AJY70" s="325"/>
      <c r="AJZ70" s="325"/>
      <c r="AKA70" s="325"/>
      <c r="AKB70" s="325"/>
      <c r="AKC70" s="325"/>
      <c r="AKD70" s="325"/>
      <c r="AKE70" s="325"/>
      <c r="AKF70" s="325"/>
      <c r="AKG70" s="325"/>
      <c r="AKH70" s="325"/>
      <c r="AKI70" s="325"/>
      <c r="AKJ70" s="325"/>
      <c r="AKK70" s="325"/>
      <c r="AKL70" s="325"/>
      <c r="AKM70" s="325"/>
      <c r="AKN70" s="325"/>
      <c r="AKO70" s="325"/>
      <c r="AKP70" s="325"/>
      <c r="AKQ70" s="325"/>
      <c r="AKR70" s="325"/>
      <c r="AKS70" s="325"/>
      <c r="AKT70" s="325"/>
      <c r="AKU70" s="325"/>
      <c r="AKV70" s="325"/>
      <c r="AKW70" s="325"/>
      <c r="AKX70" s="325"/>
      <c r="AKY70" s="325"/>
      <c r="AKZ70" s="325"/>
      <c r="ALA70" s="325"/>
      <c r="ALB70" s="325"/>
      <c r="ALC70" s="325"/>
      <c r="ALD70" s="325"/>
      <c r="ALE70" s="325"/>
      <c r="ALF70" s="325"/>
      <c r="ALG70" s="325"/>
      <c r="ALH70" s="325"/>
      <c r="ALI70" s="325"/>
      <c r="ALJ70" s="325"/>
      <c r="ALK70" s="325"/>
      <c r="ALL70" s="325"/>
      <c r="ALM70" s="325"/>
      <c r="ALN70" s="325"/>
      <c r="ALO70" s="325"/>
      <c r="ALP70" s="325"/>
      <c r="ALQ70" s="325"/>
      <c r="ALR70" s="325"/>
      <c r="ALS70" s="325"/>
      <c r="ALT70" s="325"/>
      <c r="ALU70" s="325"/>
      <c r="ALV70" s="325"/>
      <c r="ALW70" s="325"/>
      <c r="ALX70" s="325"/>
      <c r="ALY70" s="325"/>
      <c r="ALZ70" s="325"/>
      <c r="AMA70" s="325"/>
      <c r="AMB70" s="325"/>
      <c r="AMC70" s="325"/>
    </row>
    <row r="71" spans="3:1017" s="75" customFormat="1">
      <c r="C71" s="130"/>
      <c r="D71" s="130"/>
      <c r="CN71" s="225"/>
      <c r="CQ71" s="226"/>
      <c r="LD71" s="213"/>
      <c r="LH71" s="286"/>
      <c r="LI71" s="287"/>
      <c r="LJ71" s="124"/>
      <c r="LK71" s="124"/>
      <c r="LL71" s="124"/>
      <c r="LM71" s="124"/>
      <c r="LN71" s="124"/>
      <c r="LO71" s="124"/>
      <c r="LP71" s="124"/>
      <c r="LQ71" s="124"/>
      <c r="LR71" s="124"/>
      <c r="NE71" s="330"/>
      <c r="NF71" s="325"/>
      <c r="NG71" s="325"/>
      <c r="NH71" s="325"/>
      <c r="NI71" s="325"/>
      <c r="NJ71" s="325"/>
      <c r="NK71" s="325"/>
      <c r="NL71" s="325"/>
      <c r="NM71" s="325"/>
      <c r="NN71" s="325"/>
      <c r="NO71" s="325"/>
      <c r="NP71" s="325"/>
      <c r="NQ71" s="325"/>
      <c r="NR71" s="325"/>
      <c r="NS71" s="325"/>
      <c r="NT71" s="325"/>
      <c r="NU71" s="325"/>
      <c r="NV71" s="325"/>
      <c r="NW71" s="325"/>
      <c r="NX71" s="325"/>
      <c r="NY71" s="325"/>
      <c r="NZ71" s="325"/>
      <c r="OA71" s="325"/>
      <c r="OB71" s="325"/>
      <c r="OC71" s="325"/>
      <c r="OD71" s="325"/>
      <c r="OE71" s="325"/>
      <c r="OF71" s="325"/>
      <c r="OG71" s="325"/>
      <c r="OH71" s="325"/>
      <c r="OI71" s="325"/>
      <c r="OJ71" s="325"/>
      <c r="OK71" s="325"/>
      <c r="OL71" s="325"/>
      <c r="OM71" s="325"/>
      <c r="ON71" s="325"/>
      <c r="OO71" s="325"/>
      <c r="OP71" s="325"/>
      <c r="OQ71" s="325"/>
      <c r="OR71" s="325"/>
      <c r="OS71" s="325"/>
      <c r="OT71" s="325"/>
      <c r="OU71" s="325"/>
      <c r="OV71" s="325"/>
      <c r="OW71" s="325"/>
      <c r="OX71" s="325"/>
      <c r="OY71" s="325"/>
      <c r="OZ71" s="325"/>
      <c r="PA71" s="325"/>
      <c r="PB71" s="325"/>
      <c r="PC71" s="325"/>
      <c r="PD71" s="325"/>
      <c r="PE71" s="325"/>
      <c r="PF71" s="325"/>
      <c r="PG71" s="325"/>
      <c r="PH71" s="325"/>
      <c r="PI71" s="325"/>
      <c r="PJ71" s="325"/>
      <c r="PK71" s="325"/>
      <c r="PL71" s="325"/>
      <c r="PM71" s="325"/>
      <c r="PN71" s="325"/>
      <c r="PO71" s="325"/>
      <c r="PP71" s="325"/>
      <c r="PQ71" s="325"/>
      <c r="PR71" s="325"/>
      <c r="PS71" s="325"/>
      <c r="PT71" s="325"/>
      <c r="PU71" s="325"/>
      <c r="PV71" s="325"/>
      <c r="PW71" s="325"/>
      <c r="PX71" s="325"/>
      <c r="PY71" s="325"/>
      <c r="PZ71" s="325"/>
      <c r="QA71" s="325"/>
      <c r="QB71" s="325"/>
      <c r="QC71" s="325"/>
      <c r="QD71" s="325"/>
      <c r="QE71" s="325"/>
      <c r="QF71" s="325"/>
      <c r="QG71" s="325"/>
      <c r="QH71" s="325"/>
      <c r="QI71" s="325"/>
      <c r="QJ71" s="325"/>
      <c r="QK71" s="325"/>
      <c r="QL71" s="325"/>
      <c r="QM71" s="325"/>
      <c r="QN71" s="325"/>
      <c r="QO71" s="325"/>
      <c r="QP71" s="325"/>
      <c r="QQ71" s="325"/>
      <c r="QR71" s="325"/>
      <c r="QS71" s="325"/>
      <c r="QT71" s="325"/>
      <c r="QU71" s="325"/>
      <c r="QV71" s="325"/>
      <c r="QW71" s="325"/>
      <c r="QX71" s="325"/>
      <c r="QY71" s="325"/>
      <c r="QZ71" s="325"/>
      <c r="RA71" s="325"/>
      <c r="RB71" s="325"/>
      <c r="RC71" s="325"/>
      <c r="RD71" s="325"/>
      <c r="RE71" s="325"/>
      <c r="RF71" s="325"/>
      <c r="RG71" s="325"/>
      <c r="RH71" s="325"/>
      <c r="RI71" s="325"/>
      <c r="RJ71" s="325"/>
      <c r="RK71" s="325"/>
      <c r="RL71" s="325"/>
      <c r="RM71" s="325"/>
      <c r="RN71" s="325"/>
      <c r="RO71" s="325"/>
      <c r="RP71" s="325"/>
      <c r="RQ71" s="325"/>
      <c r="RR71" s="325"/>
      <c r="RS71" s="325"/>
      <c r="RT71" s="325"/>
      <c r="RU71" s="325"/>
      <c r="RV71" s="325"/>
      <c r="RW71" s="325"/>
      <c r="RX71" s="325"/>
      <c r="RY71" s="325"/>
      <c r="RZ71" s="325"/>
      <c r="SA71" s="325"/>
      <c r="SB71" s="325"/>
      <c r="SC71" s="325"/>
      <c r="SD71" s="325"/>
      <c r="SE71" s="325"/>
      <c r="SF71" s="325"/>
      <c r="SG71" s="325"/>
      <c r="SH71" s="325"/>
      <c r="SI71" s="325"/>
      <c r="SJ71" s="325"/>
      <c r="SK71" s="325"/>
      <c r="SL71" s="325"/>
      <c r="SM71" s="325"/>
      <c r="SN71" s="325"/>
      <c r="SO71" s="325"/>
      <c r="SP71" s="325"/>
      <c r="SQ71" s="325"/>
      <c r="SR71" s="325"/>
      <c r="SS71" s="325"/>
      <c r="ST71" s="325"/>
      <c r="SU71" s="325"/>
      <c r="SV71" s="325"/>
      <c r="SW71" s="325"/>
      <c r="SX71" s="325"/>
      <c r="SY71" s="325"/>
      <c r="SZ71" s="325"/>
      <c r="TA71" s="325"/>
      <c r="TB71" s="325"/>
      <c r="TC71" s="325"/>
      <c r="TD71" s="325"/>
      <c r="TE71" s="325"/>
      <c r="TF71" s="325"/>
      <c r="TG71" s="325"/>
      <c r="TH71" s="325"/>
      <c r="TI71" s="325"/>
      <c r="TJ71" s="325"/>
      <c r="TK71" s="325"/>
      <c r="TL71" s="325"/>
      <c r="TM71" s="325"/>
      <c r="TN71" s="325"/>
      <c r="TO71" s="325"/>
      <c r="TP71" s="325"/>
      <c r="TQ71" s="325"/>
      <c r="TR71" s="325"/>
      <c r="TS71" s="325"/>
      <c r="TT71" s="325"/>
      <c r="TU71" s="325"/>
      <c r="TV71" s="325"/>
      <c r="TW71" s="325"/>
      <c r="TX71" s="325"/>
      <c r="TY71" s="325"/>
      <c r="TZ71" s="325"/>
      <c r="UA71" s="325"/>
      <c r="UB71" s="325"/>
      <c r="UC71" s="325"/>
      <c r="UD71" s="325"/>
      <c r="UE71" s="325"/>
      <c r="UF71" s="325"/>
      <c r="UG71" s="325"/>
      <c r="UH71" s="325"/>
      <c r="UI71" s="325"/>
      <c r="UJ71" s="325"/>
      <c r="UK71" s="325"/>
      <c r="UL71" s="325"/>
      <c r="UM71" s="325"/>
      <c r="UN71" s="325"/>
      <c r="UO71" s="325"/>
      <c r="UP71" s="325"/>
      <c r="UQ71" s="325"/>
      <c r="UR71" s="325"/>
      <c r="US71" s="325"/>
      <c r="UT71" s="325"/>
      <c r="UU71" s="325"/>
      <c r="UV71" s="325"/>
      <c r="UW71" s="325"/>
      <c r="UX71" s="325"/>
      <c r="UY71" s="325"/>
      <c r="UZ71" s="325"/>
      <c r="VA71" s="325"/>
      <c r="VB71" s="325"/>
      <c r="VC71" s="325"/>
      <c r="VD71" s="325"/>
      <c r="VE71" s="325"/>
      <c r="VF71" s="325"/>
      <c r="VG71" s="325"/>
      <c r="VH71" s="325"/>
      <c r="VI71" s="325"/>
      <c r="VJ71" s="325"/>
      <c r="VK71" s="325"/>
      <c r="VL71" s="325"/>
      <c r="VM71" s="325"/>
      <c r="VN71" s="325"/>
      <c r="VO71" s="325"/>
      <c r="VP71" s="325"/>
      <c r="VQ71" s="325"/>
      <c r="VR71" s="325"/>
      <c r="VS71" s="325"/>
      <c r="VT71" s="325"/>
      <c r="VU71" s="325"/>
      <c r="VV71" s="325"/>
      <c r="VW71" s="325"/>
      <c r="VX71" s="325"/>
      <c r="VY71" s="325"/>
      <c r="VZ71" s="325"/>
      <c r="WA71" s="325"/>
      <c r="WB71" s="325"/>
      <c r="WC71" s="325"/>
      <c r="WD71" s="325"/>
      <c r="WE71" s="325"/>
      <c r="WF71" s="325"/>
      <c r="WG71" s="325"/>
      <c r="WH71" s="325"/>
      <c r="WI71" s="325"/>
      <c r="WJ71" s="325"/>
      <c r="WK71" s="325"/>
      <c r="WL71" s="325"/>
      <c r="WM71" s="325"/>
      <c r="WN71" s="325"/>
      <c r="WO71" s="325"/>
      <c r="WP71" s="325"/>
      <c r="WQ71" s="325"/>
      <c r="WR71" s="325"/>
      <c r="WS71" s="325"/>
      <c r="WT71" s="325"/>
      <c r="WU71" s="325"/>
      <c r="WV71" s="325"/>
      <c r="WW71" s="325"/>
      <c r="WX71" s="325"/>
      <c r="WY71" s="325"/>
      <c r="WZ71" s="325"/>
      <c r="XA71" s="325"/>
      <c r="XB71" s="325"/>
      <c r="XC71" s="325"/>
      <c r="XD71" s="325"/>
      <c r="XE71" s="325"/>
      <c r="XF71" s="325"/>
      <c r="XG71" s="325"/>
      <c r="XH71" s="325"/>
      <c r="XI71" s="325"/>
      <c r="XJ71" s="325"/>
      <c r="XK71" s="325"/>
      <c r="XL71" s="325"/>
      <c r="XM71" s="325"/>
      <c r="XN71" s="325"/>
      <c r="XO71" s="325"/>
      <c r="XP71" s="325"/>
      <c r="XQ71" s="325"/>
      <c r="XR71" s="325"/>
      <c r="XS71" s="325"/>
      <c r="XT71" s="325"/>
      <c r="XU71" s="325"/>
      <c r="XV71" s="325"/>
      <c r="XW71" s="325"/>
      <c r="XX71" s="325"/>
      <c r="XY71" s="325"/>
      <c r="XZ71" s="325"/>
      <c r="YA71" s="325"/>
      <c r="YB71" s="325"/>
      <c r="YC71" s="325"/>
      <c r="YD71" s="325"/>
      <c r="YE71" s="325"/>
      <c r="YF71" s="325"/>
      <c r="YG71" s="325"/>
      <c r="YH71" s="325"/>
      <c r="YI71" s="325"/>
      <c r="YJ71" s="325"/>
      <c r="YK71" s="325"/>
      <c r="YL71" s="325"/>
      <c r="YM71" s="325"/>
      <c r="YN71" s="325"/>
      <c r="YO71" s="325"/>
      <c r="YP71" s="325"/>
      <c r="YQ71" s="325"/>
      <c r="YR71" s="325"/>
      <c r="YS71" s="325"/>
      <c r="YT71" s="325"/>
      <c r="YU71" s="325"/>
      <c r="YV71" s="325"/>
      <c r="YW71" s="325"/>
      <c r="YX71" s="325"/>
      <c r="YY71" s="325"/>
      <c r="YZ71" s="325"/>
      <c r="ZA71" s="325"/>
      <c r="ZB71" s="325"/>
      <c r="ZC71" s="325"/>
      <c r="ZD71" s="325"/>
      <c r="ZE71" s="325"/>
      <c r="ZF71" s="325"/>
      <c r="ZG71" s="325"/>
      <c r="ZH71" s="325"/>
      <c r="ZI71" s="325"/>
      <c r="ZJ71" s="325"/>
      <c r="ZK71" s="325"/>
      <c r="ZL71" s="325"/>
      <c r="ZM71" s="325"/>
      <c r="ZN71" s="325"/>
      <c r="ZO71" s="325"/>
      <c r="ZP71" s="325"/>
      <c r="ZQ71" s="325"/>
      <c r="ZR71" s="325"/>
      <c r="ZS71" s="325"/>
      <c r="ZT71" s="325"/>
      <c r="ZU71" s="325"/>
      <c r="ZV71" s="325"/>
      <c r="ZW71" s="325"/>
      <c r="ZX71" s="325"/>
      <c r="ZY71" s="325"/>
      <c r="ZZ71" s="325"/>
      <c r="AAA71" s="325"/>
      <c r="AAB71" s="325"/>
      <c r="AAC71" s="325"/>
      <c r="AAD71" s="325"/>
      <c r="AAE71" s="325"/>
      <c r="AAF71" s="325"/>
      <c r="AAG71" s="325"/>
      <c r="AAH71" s="325"/>
      <c r="AAI71" s="325"/>
      <c r="AAJ71" s="325"/>
      <c r="AAK71" s="325"/>
      <c r="AAL71" s="325"/>
      <c r="AAM71" s="325"/>
      <c r="AAN71" s="325"/>
      <c r="AAO71" s="325"/>
      <c r="AAP71" s="325"/>
      <c r="AAQ71" s="325"/>
      <c r="AAR71" s="325"/>
      <c r="AAS71" s="325"/>
      <c r="AAT71" s="325"/>
      <c r="AAU71" s="325"/>
      <c r="AAV71" s="325"/>
      <c r="AAW71" s="325"/>
      <c r="AAX71" s="325"/>
      <c r="AAY71" s="325"/>
      <c r="AAZ71" s="325"/>
      <c r="ABA71" s="325"/>
      <c r="ABB71" s="325"/>
      <c r="ABC71" s="325"/>
      <c r="ABD71" s="325"/>
      <c r="ABE71" s="325"/>
      <c r="ABF71" s="325"/>
      <c r="ABG71" s="325"/>
      <c r="ABH71" s="325"/>
      <c r="ABI71" s="325"/>
      <c r="ABJ71" s="325"/>
      <c r="ABK71" s="325"/>
      <c r="ABL71" s="325"/>
      <c r="ABM71" s="325"/>
      <c r="ABN71" s="325"/>
      <c r="ABO71" s="325"/>
      <c r="ABP71" s="325"/>
      <c r="ABQ71" s="325"/>
      <c r="ABR71" s="325"/>
      <c r="ABS71" s="325"/>
      <c r="ABT71" s="325"/>
      <c r="ABU71" s="325"/>
      <c r="ABV71" s="325"/>
      <c r="ABW71" s="325"/>
      <c r="ABX71" s="325"/>
      <c r="ABY71" s="325"/>
      <c r="ABZ71" s="325"/>
      <c r="ACA71" s="325"/>
      <c r="ACB71" s="325"/>
      <c r="ACC71" s="325"/>
      <c r="ACD71" s="325"/>
      <c r="ACE71" s="325"/>
      <c r="ACF71" s="325"/>
      <c r="ACG71" s="325"/>
      <c r="ACH71" s="325"/>
      <c r="ACI71" s="325"/>
      <c r="ACJ71" s="325"/>
      <c r="ACK71" s="325"/>
      <c r="ACL71" s="325"/>
      <c r="ACM71" s="325"/>
      <c r="ACN71" s="325"/>
      <c r="ACO71" s="325"/>
      <c r="ACP71" s="325"/>
      <c r="ACQ71" s="325"/>
      <c r="ACR71" s="325"/>
      <c r="ACS71" s="325"/>
      <c r="ACT71" s="325"/>
      <c r="ACU71" s="325"/>
      <c r="ACV71" s="325"/>
      <c r="ACW71" s="325"/>
      <c r="ACX71" s="325"/>
      <c r="ACY71" s="325"/>
      <c r="ACZ71" s="325"/>
      <c r="ADA71" s="325"/>
      <c r="ADB71" s="325"/>
      <c r="ADC71" s="325"/>
      <c r="ADD71" s="325"/>
      <c r="ADE71" s="325"/>
      <c r="ADF71" s="325"/>
      <c r="ADG71" s="325"/>
      <c r="ADH71" s="325"/>
      <c r="ADI71" s="325"/>
      <c r="ADJ71" s="325"/>
      <c r="ADK71" s="325"/>
      <c r="ADL71" s="325"/>
      <c r="ADM71" s="325"/>
      <c r="ADN71" s="325"/>
      <c r="ADO71" s="325"/>
      <c r="ADP71" s="325"/>
      <c r="ADQ71" s="325"/>
      <c r="ADR71" s="325"/>
      <c r="ADS71" s="325"/>
      <c r="ADT71" s="325"/>
      <c r="ADU71" s="325"/>
      <c r="ADV71" s="325"/>
      <c r="ADW71" s="325"/>
      <c r="ADX71" s="325"/>
      <c r="ADY71" s="325"/>
      <c r="ADZ71" s="325"/>
      <c r="AEA71" s="325"/>
      <c r="AEB71" s="325"/>
      <c r="AEC71" s="325"/>
      <c r="AED71" s="325"/>
      <c r="AEE71" s="325"/>
      <c r="AEF71" s="325"/>
      <c r="AEG71" s="325"/>
      <c r="AEH71" s="325"/>
      <c r="AEI71" s="325"/>
      <c r="AEJ71" s="325"/>
      <c r="AEK71" s="325"/>
      <c r="AEL71" s="325"/>
      <c r="AEM71" s="325"/>
      <c r="AEN71" s="325"/>
      <c r="AEO71" s="325"/>
      <c r="AEP71" s="325"/>
      <c r="AEQ71" s="325"/>
      <c r="AER71" s="325"/>
      <c r="AES71" s="325"/>
      <c r="AET71" s="325"/>
      <c r="AEU71" s="325"/>
      <c r="AEV71" s="325"/>
      <c r="AEW71" s="325"/>
      <c r="AEX71" s="325"/>
      <c r="AEY71" s="325"/>
      <c r="AEZ71" s="325"/>
      <c r="AFA71" s="325"/>
      <c r="AFB71" s="325"/>
      <c r="AFC71" s="325"/>
      <c r="AFD71" s="325"/>
      <c r="AFE71" s="325"/>
      <c r="AFF71" s="325"/>
      <c r="AFG71" s="325"/>
      <c r="AFH71" s="325"/>
      <c r="AFI71" s="325"/>
      <c r="AFJ71" s="325"/>
      <c r="AFK71" s="325"/>
      <c r="AFL71" s="325"/>
      <c r="AFM71" s="325"/>
      <c r="AFN71" s="325"/>
      <c r="AFO71" s="325"/>
      <c r="AFP71" s="325"/>
      <c r="AFQ71" s="325"/>
      <c r="AFR71" s="325"/>
      <c r="AFS71" s="325"/>
      <c r="AFT71" s="325"/>
      <c r="AFU71" s="325"/>
      <c r="AFV71" s="325"/>
      <c r="AFW71" s="325"/>
      <c r="AFX71" s="325"/>
      <c r="AFY71" s="325"/>
      <c r="AFZ71" s="325"/>
      <c r="AGA71" s="325"/>
      <c r="AGB71" s="325"/>
      <c r="AGC71" s="325"/>
      <c r="AGD71" s="325"/>
      <c r="AGE71" s="325"/>
      <c r="AGF71" s="325"/>
      <c r="AGG71" s="325"/>
      <c r="AGH71" s="325"/>
      <c r="AGI71" s="325"/>
      <c r="AGJ71" s="325"/>
      <c r="AGK71" s="325"/>
      <c r="AGL71" s="325"/>
      <c r="AGM71" s="325"/>
      <c r="AGN71" s="325"/>
      <c r="AGO71" s="325"/>
      <c r="AGP71" s="325"/>
      <c r="AGQ71" s="325"/>
      <c r="AGR71" s="325"/>
      <c r="AGS71" s="325"/>
      <c r="AGT71" s="325"/>
      <c r="AGU71" s="325"/>
      <c r="AGV71" s="325"/>
      <c r="AGW71" s="325"/>
      <c r="AGX71" s="325"/>
      <c r="AGY71" s="325"/>
      <c r="AGZ71" s="325"/>
      <c r="AHA71" s="325"/>
      <c r="AHB71" s="325"/>
      <c r="AHC71" s="325"/>
      <c r="AHD71" s="325"/>
      <c r="AHE71" s="325"/>
      <c r="AHF71" s="325"/>
      <c r="AHG71" s="325"/>
      <c r="AHH71" s="325"/>
      <c r="AHI71" s="325"/>
      <c r="AHJ71" s="325"/>
      <c r="AHK71" s="325"/>
      <c r="AHL71" s="325"/>
      <c r="AHM71" s="325"/>
      <c r="AHN71" s="325"/>
      <c r="AHO71" s="325"/>
      <c r="AHP71" s="325"/>
      <c r="AHQ71" s="325"/>
      <c r="AHR71" s="325"/>
      <c r="AHS71" s="325"/>
      <c r="AHT71" s="325"/>
      <c r="AHU71" s="325"/>
      <c r="AHV71" s="325"/>
      <c r="AHW71" s="325"/>
      <c r="AHX71" s="325"/>
      <c r="AHY71" s="325"/>
      <c r="AHZ71" s="325"/>
      <c r="AIA71" s="325"/>
      <c r="AIB71" s="325"/>
      <c r="AIC71" s="325"/>
      <c r="AID71" s="325"/>
      <c r="AIE71" s="325"/>
      <c r="AIF71" s="325"/>
      <c r="AIG71" s="325"/>
      <c r="AIH71" s="325"/>
      <c r="AII71" s="325"/>
      <c r="AIJ71" s="325"/>
      <c r="AIK71" s="325"/>
      <c r="AIL71" s="325"/>
      <c r="AIM71" s="325"/>
      <c r="AIN71" s="325"/>
      <c r="AIO71" s="325"/>
      <c r="AIP71" s="325"/>
      <c r="AIQ71" s="325"/>
      <c r="AIR71" s="325"/>
      <c r="AIS71" s="325"/>
      <c r="AIT71" s="325"/>
      <c r="AIU71" s="325"/>
      <c r="AIV71" s="325"/>
      <c r="AIW71" s="325"/>
      <c r="AIX71" s="325"/>
      <c r="AIY71" s="325"/>
      <c r="AIZ71" s="325"/>
      <c r="AJA71" s="325"/>
      <c r="AJB71" s="325"/>
      <c r="AJC71" s="325"/>
      <c r="AJD71" s="325"/>
      <c r="AJE71" s="325"/>
      <c r="AJF71" s="325"/>
      <c r="AJG71" s="325"/>
      <c r="AJH71" s="325"/>
      <c r="AJI71" s="325"/>
      <c r="AJJ71" s="325"/>
      <c r="AJK71" s="325"/>
      <c r="AJL71" s="325"/>
      <c r="AJM71" s="325"/>
      <c r="AJN71" s="325"/>
      <c r="AJO71" s="325"/>
      <c r="AJP71" s="325"/>
      <c r="AJQ71" s="325"/>
      <c r="AJR71" s="325"/>
      <c r="AJS71" s="325"/>
      <c r="AJT71" s="325"/>
      <c r="AJU71" s="325"/>
      <c r="AJV71" s="325"/>
      <c r="AJW71" s="325"/>
      <c r="AJX71" s="325"/>
      <c r="AJY71" s="325"/>
      <c r="AJZ71" s="325"/>
      <c r="AKA71" s="325"/>
      <c r="AKB71" s="325"/>
      <c r="AKC71" s="325"/>
      <c r="AKD71" s="325"/>
      <c r="AKE71" s="325"/>
      <c r="AKF71" s="325"/>
      <c r="AKG71" s="325"/>
      <c r="AKH71" s="325"/>
      <c r="AKI71" s="325"/>
      <c r="AKJ71" s="325"/>
      <c r="AKK71" s="325"/>
      <c r="AKL71" s="325"/>
      <c r="AKM71" s="325"/>
      <c r="AKN71" s="325"/>
      <c r="AKO71" s="325"/>
      <c r="AKP71" s="325"/>
      <c r="AKQ71" s="325"/>
      <c r="AKR71" s="325"/>
      <c r="AKS71" s="325"/>
      <c r="AKT71" s="325"/>
      <c r="AKU71" s="325"/>
      <c r="AKV71" s="325"/>
      <c r="AKW71" s="325"/>
      <c r="AKX71" s="325"/>
      <c r="AKY71" s="325"/>
      <c r="AKZ71" s="325"/>
      <c r="ALA71" s="325"/>
      <c r="ALB71" s="325"/>
      <c r="ALC71" s="325"/>
      <c r="ALD71" s="325"/>
      <c r="ALE71" s="325"/>
      <c r="ALF71" s="325"/>
      <c r="ALG71" s="325"/>
      <c r="ALH71" s="325"/>
      <c r="ALI71" s="325"/>
      <c r="ALJ71" s="325"/>
      <c r="ALK71" s="325"/>
      <c r="ALL71" s="325"/>
      <c r="ALM71" s="325"/>
      <c r="ALN71" s="325"/>
      <c r="ALO71" s="325"/>
      <c r="ALP71" s="325"/>
      <c r="ALQ71" s="325"/>
      <c r="ALR71" s="325"/>
      <c r="ALS71" s="325"/>
      <c r="ALT71" s="325"/>
      <c r="ALU71" s="325"/>
      <c r="ALV71" s="325"/>
      <c r="ALW71" s="325"/>
      <c r="ALX71" s="325"/>
      <c r="ALY71" s="325"/>
      <c r="ALZ71" s="325"/>
      <c r="AMA71" s="325"/>
      <c r="AMB71" s="325"/>
      <c r="AMC71" s="325"/>
    </row>
    <row r="72" spans="3:1017" s="75" customFormat="1">
      <c r="C72" s="130"/>
      <c r="D72" s="130"/>
      <c r="CN72" s="225"/>
      <c r="CQ72" s="226"/>
      <c r="LD72" s="213"/>
      <c r="LH72" s="286"/>
      <c r="LI72" s="287"/>
      <c r="LJ72" s="124"/>
      <c r="LK72" s="124"/>
      <c r="LL72" s="124"/>
      <c r="LM72" s="124"/>
      <c r="LN72" s="124"/>
      <c r="LO72" s="124"/>
      <c r="LP72" s="124"/>
      <c r="LQ72" s="124"/>
      <c r="LR72" s="124"/>
      <c r="NE72" s="330"/>
      <c r="NF72" s="325"/>
      <c r="NG72" s="325"/>
      <c r="NH72" s="325"/>
      <c r="NI72" s="325"/>
      <c r="NJ72" s="325"/>
      <c r="NK72" s="325"/>
      <c r="NL72" s="325"/>
      <c r="NM72" s="325"/>
      <c r="NN72" s="325"/>
      <c r="NO72" s="325"/>
      <c r="NP72" s="325"/>
      <c r="NQ72" s="325"/>
      <c r="NR72" s="325"/>
      <c r="NS72" s="325"/>
      <c r="NT72" s="325"/>
      <c r="NU72" s="325"/>
      <c r="NV72" s="325"/>
      <c r="NW72" s="325"/>
      <c r="NX72" s="325"/>
      <c r="NY72" s="325"/>
      <c r="NZ72" s="325"/>
      <c r="OA72" s="325"/>
      <c r="OB72" s="325"/>
      <c r="OC72" s="325"/>
      <c r="OD72" s="325"/>
      <c r="OE72" s="325"/>
      <c r="OF72" s="325"/>
      <c r="OG72" s="325"/>
      <c r="OH72" s="325"/>
      <c r="OI72" s="325"/>
      <c r="OJ72" s="325"/>
      <c r="OK72" s="325"/>
      <c r="OL72" s="325"/>
      <c r="OM72" s="325"/>
      <c r="ON72" s="325"/>
      <c r="OO72" s="325"/>
      <c r="OP72" s="325"/>
      <c r="OQ72" s="325"/>
      <c r="OR72" s="325"/>
      <c r="OS72" s="325"/>
      <c r="OT72" s="325"/>
      <c r="OU72" s="325"/>
      <c r="OV72" s="325"/>
      <c r="OW72" s="325"/>
      <c r="OX72" s="325"/>
      <c r="OY72" s="325"/>
      <c r="OZ72" s="325"/>
      <c r="PA72" s="325"/>
      <c r="PB72" s="325"/>
      <c r="PC72" s="325"/>
      <c r="PD72" s="325"/>
      <c r="PE72" s="325"/>
      <c r="PF72" s="325"/>
      <c r="PG72" s="325"/>
      <c r="PH72" s="325"/>
      <c r="PI72" s="325"/>
      <c r="PJ72" s="325"/>
      <c r="PK72" s="325"/>
      <c r="PL72" s="325"/>
      <c r="PM72" s="325"/>
      <c r="PN72" s="325"/>
      <c r="PO72" s="325"/>
      <c r="PP72" s="325"/>
      <c r="PQ72" s="325"/>
      <c r="PR72" s="325"/>
      <c r="PS72" s="325"/>
      <c r="PT72" s="325"/>
      <c r="PU72" s="325"/>
      <c r="PV72" s="325"/>
      <c r="PW72" s="325"/>
      <c r="PX72" s="325"/>
      <c r="PY72" s="325"/>
      <c r="PZ72" s="325"/>
      <c r="QA72" s="325"/>
      <c r="QB72" s="325"/>
      <c r="QC72" s="325"/>
      <c r="QD72" s="325"/>
      <c r="QE72" s="325"/>
      <c r="QF72" s="325"/>
      <c r="QG72" s="325"/>
      <c r="QH72" s="325"/>
      <c r="QI72" s="325"/>
      <c r="QJ72" s="325"/>
      <c r="QK72" s="325"/>
      <c r="QL72" s="325"/>
      <c r="QM72" s="325"/>
      <c r="QN72" s="325"/>
      <c r="QO72" s="325"/>
      <c r="QP72" s="325"/>
      <c r="QQ72" s="325"/>
      <c r="QR72" s="325"/>
      <c r="QS72" s="325"/>
      <c r="QT72" s="325"/>
      <c r="QU72" s="325"/>
      <c r="QV72" s="325"/>
      <c r="QW72" s="325"/>
      <c r="QX72" s="325"/>
      <c r="QY72" s="325"/>
      <c r="QZ72" s="325"/>
      <c r="RA72" s="325"/>
      <c r="RB72" s="325"/>
      <c r="RC72" s="325"/>
      <c r="RD72" s="325"/>
      <c r="RE72" s="325"/>
      <c r="RF72" s="325"/>
      <c r="RG72" s="325"/>
      <c r="RH72" s="325"/>
      <c r="RI72" s="325"/>
      <c r="RJ72" s="325"/>
      <c r="RK72" s="325"/>
      <c r="RL72" s="325"/>
      <c r="RM72" s="325"/>
      <c r="RN72" s="325"/>
      <c r="RO72" s="325"/>
      <c r="RP72" s="325"/>
      <c r="RQ72" s="325"/>
      <c r="RR72" s="325"/>
      <c r="RS72" s="325"/>
      <c r="RT72" s="325"/>
      <c r="RU72" s="325"/>
      <c r="RV72" s="325"/>
      <c r="RW72" s="325"/>
      <c r="RX72" s="325"/>
      <c r="RY72" s="325"/>
      <c r="RZ72" s="325"/>
      <c r="SA72" s="325"/>
      <c r="SB72" s="325"/>
      <c r="SC72" s="325"/>
      <c r="SD72" s="325"/>
      <c r="SE72" s="325"/>
      <c r="SF72" s="325"/>
      <c r="SG72" s="325"/>
      <c r="SH72" s="325"/>
      <c r="SI72" s="325"/>
      <c r="SJ72" s="325"/>
      <c r="SK72" s="325"/>
      <c r="SL72" s="325"/>
      <c r="SM72" s="325"/>
      <c r="SN72" s="325"/>
      <c r="SO72" s="325"/>
      <c r="SP72" s="325"/>
      <c r="SQ72" s="325"/>
      <c r="SR72" s="325"/>
      <c r="SS72" s="325"/>
      <c r="ST72" s="325"/>
      <c r="SU72" s="325"/>
      <c r="SV72" s="325"/>
      <c r="SW72" s="325"/>
      <c r="SX72" s="325"/>
      <c r="SY72" s="325"/>
      <c r="SZ72" s="325"/>
      <c r="TA72" s="325"/>
      <c r="TB72" s="325"/>
      <c r="TC72" s="325"/>
      <c r="TD72" s="325"/>
      <c r="TE72" s="325"/>
      <c r="TF72" s="325"/>
      <c r="TG72" s="325"/>
      <c r="TH72" s="325"/>
      <c r="TI72" s="325"/>
      <c r="TJ72" s="325"/>
      <c r="TK72" s="325"/>
      <c r="TL72" s="325"/>
      <c r="TM72" s="325"/>
      <c r="TN72" s="325"/>
      <c r="TO72" s="325"/>
      <c r="TP72" s="325"/>
      <c r="TQ72" s="325"/>
      <c r="TR72" s="325"/>
      <c r="TS72" s="325"/>
      <c r="TT72" s="325"/>
      <c r="TU72" s="325"/>
      <c r="TV72" s="325"/>
      <c r="TW72" s="325"/>
      <c r="TX72" s="325"/>
      <c r="TY72" s="325"/>
      <c r="TZ72" s="325"/>
      <c r="UA72" s="325"/>
      <c r="UB72" s="325"/>
      <c r="UC72" s="325"/>
      <c r="UD72" s="325"/>
      <c r="UE72" s="325"/>
      <c r="UF72" s="325"/>
      <c r="UG72" s="325"/>
      <c r="UH72" s="325"/>
      <c r="UI72" s="325"/>
      <c r="UJ72" s="325"/>
      <c r="UK72" s="325"/>
      <c r="UL72" s="325"/>
      <c r="UM72" s="325"/>
      <c r="UN72" s="325"/>
      <c r="UO72" s="325"/>
      <c r="UP72" s="325"/>
      <c r="UQ72" s="325"/>
      <c r="UR72" s="325"/>
      <c r="US72" s="325"/>
      <c r="UT72" s="325"/>
      <c r="UU72" s="325"/>
      <c r="UV72" s="325"/>
      <c r="UW72" s="325"/>
      <c r="UX72" s="325"/>
      <c r="UY72" s="325"/>
      <c r="UZ72" s="325"/>
      <c r="VA72" s="325"/>
      <c r="VB72" s="325"/>
      <c r="VC72" s="325"/>
      <c r="VD72" s="325"/>
      <c r="VE72" s="325"/>
      <c r="VF72" s="325"/>
      <c r="VG72" s="325"/>
      <c r="VH72" s="325"/>
      <c r="VI72" s="325"/>
      <c r="VJ72" s="325"/>
      <c r="VK72" s="325"/>
      <c r="VL72" s="325"/>
      <c r="VM72" s="325"/>
      <c r="VN72" s="325"/>
      <c r="VO72" s="325"/>
      <c r="VP72" s="325"/>
      <c r="VQ72" s="325"/>
      <c r="VR72" s="325"/>
      <c r="VS72" s="325"/>
      <c r="VT72" s="325"/>
      <c r="VU72" s="325"/>
      <c r="VV72" s="325"/>
      <c r="VW72" s="325"/>
      <c r="VX72" s="325"/>
      <c r="VY72" s="325"/>
      <c r="VZ72" s="325"/>
      <c r="WA72" s="325"/>
      <c r="WB72" s="325"/>
      <c r="WC72" s="325"/>
      <c r="WD72" s="325"/>
      <c r="WE72" s="325"/>
      <c r="WF72" s="325"/>
      <c r="WG72" s="325"/>
      <c r="WH72" s="325"/>
      <c r="WI72" s="325"/>
      <c r="WJ72" s="325"/>
      <c r="WK72" s="325"/>
      <c r="WL72" s="325"/>
      <c r="WM72" s="325"/>
      <c r="WN72" s="325"/>
      <c r="WO72" s="325"/>
      <c r="WP72" s="325"/>
      <c r="WQ72" s="325"/>
      <c r="WR72" s="325"/>
      <c r="WS72" s="325"/>
      <c r="WT72" s="325"/>
      <c r="WU72" s="325"/>
      <c r="WV72" s="325"/>
      <c r="WW72" s="325"/>
      <c r="WX72" s="325"/>
      <c r="WY72" s="325"/>
      <c r="WZ72" s="325"/>
      <c r="XA72" s="325"/>
      <c r="XB72" s="325"/>
      <c r="XC72" s="325"/>
      <c r="XD72" s="325"/>
      <c r="XE72" s="325"/>
      <c r="XF72" s="325"/>
      <c r="XG72" s="325"/>
      <c r="XH72" s="325"/>
      <c r="XI72" s="325"/>
      <c r="XJ72" s="325"/>
      <c r="XK72" s="325"/>
      <c r="XL72" s="325"/>
      <c r="XM72" s="325"/>
      <c r="XN72" s="325"/>
      <c r="XO72" s="325"/>
      <c r="XP72" s="325"/>
      <c r="XQ72" s="325"/>
      <c r="XR72" s="325"/>
      <c r="XS72" s="325"/>
      <c r="XT72" s="325"/>
      <c r="XU72" s="325"/>
      <c r="XV72" s="325"/>
      <c r="XW72" s="325"/>
      <c r="XX72" s="325"/>
      <c r="XY72" s="325"/>
      <c r="XZ72" s="325"/>
      <c r="YA72" s="325"/>
      <c r="YB72" s="325"/>
      <c r="YC72" s="325"/>
      <c r="YD72" s="325"/>
      <c r="YE72" s="325"/>
      <c r="YF72" s="325"/>
      <c r="YG72" s="325"/>
      <c r="YH72" s="325"/>
      <c r="YI72" s="325"/>
      <c r="YJ72" s="325"/>
      <c r="YK72" s="325"/>
      <c r="YL72" s="325"/>
      <c r="YM72" s="325"/>
      <c r="YN72" s="325"/>
      <c r="YO72" s="325"/>
      <c r="YP72" s="325"/>
      <c r="YQ72" s="325"/>
      <c r="YR72" s="325"/>
      <c r="YS72" s="325"/>
      <c r="YT72" s="325"/>
      <c r="YU72" s="325"/>
      <c r="YV72" s="325"/>
      <c r="YW72" s="325"/>
      <c r="YX72" s="325"/>
      <c r="YY72" s="325"/>
      <c r="YZ72" s="325"/>
      <c r="ZA72" s="325"/>
      <c r="ZB72" s="325"/>
      <c r="ZC72" s="325"/>
      <c r="ZD72" s="325"/>
      <c r="ZE72" s="325"/>
      <c r="ZF72" s="325"/>
      <c r="ZG72" s="325"/>
      <c r="ZH72" s="325"/>
      <c r="ZI72" s="325"/>
      <c r="ZJ72" s="325"/>
      <c r="ZK72" s="325"/>
      <c r="ZL72" s="325"/>
      <c r="ZM72" s="325"/>
      <c r="ZN72" s="325"/>
      <c r="ZO72" s="325"/>
      <c r="ZP72" s="325"/>
      <c r="ZQ72" s="325"/>
      <c r="ZR72" s="325"/>
      <c r="ZS72" s="325"/>
      <c r="ZT72" s="325"/>
      <c r="ZU72" s="325"/>
      <c r="ZV72" s="325"/>
      <c r="ZW72" s="325"/>
      <c r="ZX72" s="325"/>
      <c r="ZY72" s="325"/>
      <c r="ZZ72" s="325"/>
      <c r="AAA72" s="325"/>
      <c r="AAB72" s="325"/>
      <c r="AAC72" s="325"/>
      <c r="AAD72" s="325"/>
      <c r="AAE72" s="325"/>
      <c r="AAF72" s="325"/>
      <c r="AAG72" s="325"/>
      <c r="AAH72" s="325"/>
      <c r="AAI72" s="325"/>
      <c r="AAJ72" s="325"/>
      <c r="AAK72" s="325"/>
      <c r="AAL72" s="325"/>
      <c r="AAM72" s="325"/>
      <c r="AAN72" s="325"/>
      <c r="AAO72" s="325"/>
      <c r="AAP72" s="325"/>
      <c r="AAQ72" s="325"/>
      <c r="AAR72" s="325"/>
      <c r="AAS72" s="325"/>
      <c r="AAT72" s="325"/>
      <c r="AAU72" s="325"/>
      <c r="AAV72" s="325"/>
      <c r="AAW72" s="325"/>
      <c r="AAX72" s="325"/>
      <c r="AAY72" s="325"/>
      <c r="AAZ72" s="325"/>
      <c r="ABA72" s="325"/>
      <c r="ABB72" s="325"/>
      <c r="ABC72" s="325"/>
      <c r="ABD72" s="325"/>
      <c r="ABE72" s="325"/>
      <c r="ABF72" s="325"/>
      <c r="ABG72" s="325"/>
      <c r="ABH72" s="325"/>
      <c r="ABI72" s="325"/>
      <c r="ABJ72" s="325"/>
      <c r="ABK72" s="325"/>
      <c r="ABL72" s="325"/>
      <c r="ABM72" s="325"/>
      <c r="ABN72" s="325"/>
      <c r="ABO72" s="325"/>
      <c r="ABP72" s="325"/>
      <c r="ABQ72" s="325"/>
      <c r="ABR72" s="325"/>
      <c r="ABS72" s="325"/>
      <c r="ABT72" s="325"/>
      <c r="ABU72" s="325"/>
      <c r="ABV72" s="325"/>
      <c r="ABW72" s="325"/>
      <c r="ABX72" s="325"/>
      <c r="ABY72" s="325"/>
      <c r="ABZ72" s="325"/>
      <c r="ACA72" s="325"/>
      <c r="ACB72" s="325"/>
      <c r="ACC72" s="325"/>
      <c r="ACD72" s="325"/>
      <c r="ACE72" s="325"/>
      <c r="ACF72" s="325"/>
      <c r="ACG72" s="325"/>
      <c r="ACH72" s="325"/>
      <c r="ACI72" s="325"/>
      <c r="ACJ72" s="325"/>
      <c r="ACK72" s="325"/>
      <c r="ACL72" s="325"/>
      <c r="ACM72" s="325"/>
      <c r="ACN72" s="325"/>
      <c r="ACO72" s="325"/>
      <c r="ACP72" s="325"/>
      <c r="ACQ72" s="325"/>
      <c r="ACR72" s="325"/>
      <c r="ACS72" s="325"/>
      <c r="ACT72" s="325"/>
      <c r="ACU72" s="325"/>
      <c r="ACV72" s="325"/>
      <c r="ACW72" s="325"/>
      <c r="ACX72" s="325"/>
      <c r="ACY72" s="325"/>
      <c r="ACZ72" s="325"/>
      <c r="ADA72" s="325"/>
      <c r="ADB72" s="325"/>
      <c r="ADC72" s="325"/>
      <c r="ADD72" s="325"/>
      <c r="ADE72" s="325"/>
      <c r="ADF72" s="325"/>
      <c r="ADG72" s="325"/>
      <c r="ADH72" s="325"/>
      <c r="ADI72" s="325"/>
      <c r="ADJ72" s="325"/>
      <c r="ADK72" s="325"/>
      <c r="ADL72" s="325"/>
      <c r="ADM72" s="325"/>
      <c r="ADN72" s="325"/>
      <c r="ADO72" s="325"/>
      <c r="ADP72" s="325"/>
      <c r="ADQ72" s="325"/>
      <c r="ADR72" s="325"/>
      <c r="ADS72" s="325"/>
      <c r="ADT72" s="325"/>
      <c r="ADU72" s="325"/>
      <c r="ADV72" s="325"/>
      <c r="ADW72" s="325"/>
      <c r="ADX72" s="325"/>
      <c r="ADY72" s="325"/>
      <c r="ADZ72" s="325"/>
      <c r="AEA72" s="325"/>
      <c r="AEB72" s="325"/>
      <c r="AEC72" s="325"/>
      <c r="AED72" s="325"/>
      <c r="AEE72" s="325"/>
      <c r="AEF72" s="325"/>
      <c r="AEG72" s="325"/>
      <c r="AEH72" s="325"/>
      <c r="AEI72" s="325"/>
      <c r="AEJ72" s="325"/>
      <c r="AEK72" s="325"/>
      <c r="AEL72" s="325"/>
      <c r="AEM72" s="325"/>
      <c r="AEN72" s="325"/>
      <c r="AEO72" s="325"/>
      <c r="AEP72" s="325"/>
      <c r="AEQ72" s="325"/>
      <c r="AER72" s="325"/>
      <c r="AES72" s="325"/>
      <c r="AET72" s="325"/>
      <c r="AEU72" s="325"/>
      <c r="AEV72" s="325"/>
      <c r="AEW72" s="325"/>
      <c r="AEX72" s="325"/>
      <c r="AEY72" s="325"/>
      <c r="AEZ72" s="325"/>
      <c r="AFA72" s="325"/>
      <c r="AFB72" s="325"/>
      <c r="AFC72" s="325"/>
      <c r="AFD72" s="325"/>
      <c r="AFE72" s="325"/>
      <c r="AFF72" s="325"/>
      <c r="AFG72" s="325"/>
      <c r="AFH72" s="325"/>
      <c r="AFI72" s="325"/>
      <c r="AFJ72" s="325"/>
      <c r="AFK72" s="325"/>
      <c r="AFL72" s="325"/>
      <c r="AFM72" s="325"/>
      <c r="AFN72" s="325"/>
      <c r="AFO72" s="325"/>
      <c r="AFP72" s="325"/>
      <c r="AFQ72" s="325"/>
      <c r="AFR72" s="325"/>
      <c r="AFS72" s="325"/>
      <c r="AFT72" s="325"/>
      <c r="AFU72" s="325"/>
      <c r="AFV72" s="325"/>
      <c r="AFW72" s="325"/>
      <c r="AFX72" s="325"/>
      <c r="AFY72" s="325"/>
      <c r="AFZ72" s="325"/>
      <c r="AGA72" s="325"/>
      <c r="AGB72" s="325"/>
      <c r="AGC72" s="325"/>
      <c r="AGD72" s="325"/>
      <c r="AGE72" s="325"/>
      <c r="AGF72" s="325"/>
      <c r="AGG72" s="325"/>
      <c r="AGH72" s="325"/>
      <c r="AGI72" s="325"/>
      <c r="AGJ72" s="325"/>
      <c r="AGK72" s="325"/>
      <c r="AGL72" s="325"/>
      <c r="AGM72" s="325"/>
      <c r="AGN72" s="325"/>
      <c r="AGO72" s="325"/>
      <c r="AGP72" s="325"/>
      <c r="AGQ72" s="325"/>
      <c r="AGR72" s="325"/>
      <c r="AGS72" s="325"/>
      <c r="AGT72" s="325"/>
      <c r="AGU72" s="325"/>
      <c r="AGV72" s="325"/>
      <c r="AGW72" s="325"/>
      <c r="AGX72" s="325"/>
      <c r="AGY72" s="325"/>
      <c r="AGZ72" s="325"/>
      <c r="AHA72" s="325"/>
      <c r="AHB72" s="325"/>
      <c r="AHC72" s="325"/>
      <c r="AHD72" s="325"/>
      <c r="AHE72" s="325"/>
      <c r="AHF72" s="325"/>
      <c r="AHG72" s="325"/>
      <c r="AHH72" s="325"/>
      <c r="AHI72" s="325"/>
      <c r="AHJ72" s="325"/>
      <c r="AHK72" s="325"/>
      <c r="AHL72" s="325"/>
      <c r="AHM72" s="325"/>
      <c r="AHN72" s="325"/>
      <c r="AHO72" s="325"/>
      <c r="AHP72" s="325"/>
      <c r="AHQ72" s="325"/>
      <c r="AHR72" s="325"/>
      <c r="AHS72" s="325"/>
      <c r="AHT72" s="325"/>
      <c r="AHU72" s="325"/>
      <c r="AHV72" s="325"/>
      <c r="AHW72" s="325"/>
      <c r="AHX72" s="325"/>
      <c r="AHY72" s="325"/>
      <c r="AHZ72" s="325"/>
      <c r="AIA72" s="325"/>
      <c r="AIB72" s="325"/>
      <c r="AIC72" s="325"/>
      <c r="AID72" s="325"/>
      <c r="AIE72" s="325"/>
      <c r="AIF72" s="325"/>
      <c r="AIG72" s="325"/>
      <c r="AIH72" s="325"/>
      <c r="AII72" s="325"/>
      <c r="AIJ72" s="325"/>
      <c r="AIK72" s="325"/>
      <c r="AIL72" s="325"/>
      <c r="AIM72" s="325"/>
      <c r="AIN72" s="325"/>
      <c r="AIO72" s="325"/>
      <c r="AIP72" s="325"/>
      <c r="AIQ72" s="325"/>
      <c r="AIR72" s="325"/>
      <c r="AIS72" s="325"/>
      <c r="AIT72" s="325"/>
      <c r="AIU72" s="325"/>
      <c r="AIV72" s="325"/>
      <c r="AIW72" s="325"/>
      <c r="AIX72" s="325"/>
      <c r="AIY72" s="325"/>
      <c r="AIZ72" s="325"/>
      <c r="AJA72" s="325"/>
      <c r="AJB72" s="325"/>
      <c r="AJC72" s="325"/>
      <c r="AJD72" s="325"/>
      <c r="AJE72" s="325"/>
      <c r="AJF72" s="325"/>
      <c r="AJG72" s="325"/>
      <c r="AJH72" s="325"/>
      <c r="AJI72" s="325"/>
      <c r="AJJ72" s="325"/>
      <c r="AJK72" s="325"/>
      <c r="AJL72" s="325"/>
      <c r="AJM72" s="325"/>
      <c r="AJN72" s="325"/>
      <c r="AJO72" s="325"/>
      <c r="AJP72" s="325"/>
      <c r="AJQ72" s="325"/>
      <c r="AJR72" s="325"/>
      <c r="AJS72" s="325"/>
      <c r="AJT72" s="325"/>
      <c r="AJU72" s="325"/>
      <c r="AJV72" s="325"/>
      <c r="AJW72" s="325"/>
      <c r="AJX72" s="325"/>
      <c r="AJY72" s="325"/>
      <c r="AJZ72" s="325"/>
      <c r="AKA72" s="325"/>
      <c r="AKB72" s="325"/>
      <c r="AKC72" s="325"/>
      <c r="AKD72" s="325"/>
      <c r="AKE72" s="325"/>
      <c r="AKF72" s="325"/>
      <c r="AKG72" s="325"/>
      <c r="AKH72" s="325"/>
      <c r="AKI72" s="325"/>
      <c r="AKJ72" s="325"/>
      <c r="AKK72" s="325"/>
      <c r="AKL72" s="325"/>
      <c r="AKM72" s="325"/>
      <c r="AKN72" s="325"/>
      <c r="AKO72" s="325"/>
      <c r="AKP72" s="325"/>
      <c r="AKQ72" s="325"/>
      <c r="AKR72" s="325"/>
      <c r="AKS72" s="325"/>
      <c r="AKT72" s="325"/>
      <c r="AKU72" s="325"/>
      <c r="AKV72" s="325"/>
      <c r="AKW72" s="325"/>
      <c r="AKX72" s="325"/>
      <c r="AKY72" s="325"/>
      <c r="AKZ72" s="325"/>
      <c r="ALA72" s="325"/>
      <c r="ALB72" s="325"/>
      <c r="ALC72" s="325"/>
      <c r="ALD72" s="325"/>
      <c r="ALE72" s="325"/>
      <c r="ALF72" s="325"/>
      <c r="ALG72" s="325"/>
      <c r="ALH72" s="325"/>
      <c r="ALI72" s="325"/>
      <c r="ALJ72" s="325"/>
      <c r="ALK72" s="325"/>
      <c r="ALL72" s="325"/>
      <c r="ALM72" s="325"/>
      <c r="ALN72" s="325"/>
      <c r="ALO72" s="325"/>
      <c r="ALP72" s="325"/>
      <c r="ALQ72" s="325"/>
      <c r="ALR72" s="325"/>
      <c r="ALS72" s="325"/>
      <c r="ALT72" s="325"/>
      <c r="ALU72" s="325"/>
      <c r="ALV72" s="325"/>
      <c r="ALW72" s="325"/>
      <c r="ALX72" s="325"/>
      <c r="ALY72" s="325"/>
      <c r="ALZ72" s="325"/>
      <c r="AMA72" s="325"/>
      <c r="AMB72" s="325"/>
      <c r="AMC72" s="325"/>
    </row>
    <row r="73" spans="3:1017" s="75" customFormat="1">
      <c r="C73" s="130"/>
      <c r="D73" s="130"/>
      <c r="CN73" s="225"/>
      <c r="CQ73" s="226"/>
      <c r="LD73" s="213"/>
      <c r="LH73" s="286"/>
      <c r="LI73" s="287"/>
      <c r="LJ73" s="124"/>
      <c r="LK73" s="124"/>
      <c r="LL73" s="124"/>
      <c r="LM73" s="124"/>
      <c r="LN73" s="124"/>
      <c r="LO73" s="124"/>
      <c r="LP73" s="124"/>
      <c r="LQ73" s="124"/>
      <c r="LR73" s="124"/>
      <c r="NE73" s="330"/>
      <c r="NF73" s="325"/>
      <c r="NG73" s="325"/>
      <c r="NH73" s="325"/>
      <c r="NI73" s="325"/>
      <c r="NJ73" s="325"/>
      <c r="NK73" s="325"/>
      <c r="NL73" s="325"/>
      <c r="NM73" s="325"/>
      <c r="NN73" s="325"/>
      <c r="NO73" s="325"/>
      <c r="NP73" s="325"/>
      <c r="NQ73" s="325"/>
      <c r="NR73" s="325"/>
      <c r="NS73" s="325"/>
      <c r="NT73" s="325"/>
      <c r="NU73" s="325"/>
      <c r="NV73" s="325"/>
      <c r="NW73" s="325"/>
      <c r="NX73" s="325"/>
      <c r="NY73" s="325"/>
      <c r="NZ73" s="325"/>
      <c r="OA73" s="325"/>
      <c r="OB73" s="325"/>
      <c r="OC73" s="325"/>
      <c r="OD73" s="325"/>
      <c r="OE73" s="325"/>
      <c r="OF73" s="325"/>
      <c r="OG73" s="325"/>
      <c r="OH73" s="325"/>
      <c r="OI73" s="325"/>
      <c r="OJ73" s="325"/>
      <c r="OK73" s="325"/>
      <c r="OL73" s="325"/>
      <c r="OM73" s="325"/>
      <c r="ON73" s="325"/>
      <c r="OO73" s="325"/>
      <c r="OP73" s="325"/>
      <c r="OQ73" s="325"/>
      <c r="OR73" s="325"/>
      <c r="OS73" s="325"/>
      <c r="OT73" s="325"/>
      <c r="OU73" s="325"/>
      <c r="OV73" s="325"/>
      <c r="OW73" s="325"/>
      <c r="OX73" s="325"/>
      <c r="OY73" s="325"/>
      <c r="OZ73" s="325"/>
      <c r="PA73" s="325"/>
      <c r="PB73" s="325"/>
      <c r="PC73" s="325"/>
      <c r="PD73" s="325"/>
      <c r="PE73" s="325"/>
      <c r="PF73" s="325"/>
      <c r="PG73" s="325"/>
      <c r="PH73" s="325"/>
      <c r="PI73" s="325"/>
      <c r="PJ73" s="325"/>
      <c r="PK73" s="325"/>
      <c r="PL73" s="325"/>
      <c r="PM73" s="325"/>
      <c r="PN73" s="325"/>
      <c r="PO73" s="325"/>
      <c r="PP73" s="325"/>
      <c r="PQ73" s="325"/>
      <c r="PR73" s="325"/>
      <c r="PS73" s="325"/>
      <c r="PT73" s="325"/>
      <c r="PU73" s="325"/>
      <c r="PV73" s="325"/>
      <c r="PW73" s="325"/>
      <c r="PX73" s="325"/>
      <c r="PY73" s="325"/>
      <c r="PZ73" s="325"/>
      <c r="QA73" s="325"/>
      <c r="QB73" s="325"/>
      <c r="QC73" s="325"/>
      <c r="QD73" s="325"/>
      <c r="QE73" s="325"/>
      <c r="QF73" s="325"/>
      <c r="QG73" s="325"/>
      <c r="QH73" s="325"/>
      <c r="QI73" s="325"/>
      <c r="QJ73" s="325"/>
      <c r="QK73" s="325"/>
      <c r="QL73" s="325"/>
      <c r="QM73" s="325"/>
      <c r="QN73" s="325"/>
      <c r="QO73" s="325"/>
      <c r="QP73" s="325"/>
      <c r="QQ73" s="325"/>
      <c r="QR73" s="325"/>
      <c r="QS73" s="325"/>
      <c r="QT73" s="325"/>
      <c r="QU73" s="325"/>
      <c r="QV73" s="325"/>
      <c r="QW73" s="325"/>
      <c r="QX73" s="325"/>
      <c r="QY73" s="325"/>
      <c r="QZ73" s="325"/>
      <c r="RA73" s="325"/>
      <c r="RB73" s="325"/>
      <c r="RC73" s="325"/>
      <c r="RD73" s="325"/>
      <c r="RE73" s="325"/>
      <c r="RF73" s="325"/>
      <c r="RG73" s="325"/>
      <c r="RH73" s="325"/>
      <c r="RI73" s="325"/>
      <c r="RJ73" s="325"/>
      <c r="RK73" s="325"/>
      <c r="RL73" s="325"/>
      <c r="RM73" s="325"/>
      <c r="RN73" s="325"/>
      <c r="RO73" s="325"/>
      <c r="RP73" s="325"/>
      <c r="RQ73" s="325"/>
      <c r="RR73" s="325"/>
      <c r="RS73" s="325"/>
      <c r="RT73" s="325"/>
      <c r="RU73" s="325"/>
      <c r="RV73" s="325"/>
      <c r="RW73" s="325"/>
      <c r="RX73" s="325"/>
      <c r="RY73" s="325"/>
      <c r="RZ73" s="325"/>
      <c r="SA73" s="325"/>
      <c r="SB73" s="325"/>
      <c r="SC73" s="325"/>
      <c r="SD73" s="325"/>
      <c r="SE73" s="325"/>
      <c r="SF73" s="325"/>
      <c r="SG73" s="325"/>
      <c r="SH73" s="325"/>
      <c r="SI73" s="325"/>
      <c r="SJ73" s="325"/>
      <c r="SK73" s="325"/>
      <c r="SL73" s="325"/>
      <c r="SM73" s="325"/>
      <c r="SN73" s="325"/>
      <c r="SO73" s="325"/>
      <c r="SP73" s="325"/>
      <c r="SQ73" s="325"/>
      <c r="SR73" s="325"/>
      <c r="SS73" s="325"/>
      <c r="ST73" s="325"/>
      <c r="SU73" s="325"/>
      <c r="SV73" s="325"/>
      <c r="SW73" s="325"/>
      <c r="SX73" s="325"/>
      <c r="SY73" s="325"/>
      <c r="SZ73" s="325"/>
      <c r="TA73" s="325"/>
      <c r="TB73" s="325"/>
      <c r="TC73" s="325"/>
      <c r="TD73" s="325"/>
      <c r="TE73" s="325"/>
      <c r="TF73" s="325"/>
      <c r="TG73" s="325"/>
      <c r="TH73" s="325"/>
      <c r="TI73" s="325"/>
      <c r="TJ73" s="325"/>
      <c r="TK73" s="325"/>
      <c r="TL73" s="325"/>
      <c r="TM73" s="325"/>
      <c r="TN73" s="325"/>
      <c r="TO73" s="325"/>
      <c r="TP73" s="325"/>
      <c r="TQ73" s="325"/>
      <c r="TR73" s="325"/>
      <c r="TS73" s="325"/>
      <c r="TT73" s="325"/>
      <c r="TU73" s="325"/>
      <c r="TV73" s="325"/>
      <c r="TW73" s="325"/>
      <c r="TX73" s="325"/>
      <c r="TY73" s="325"/>
      <c r="TZ73" s="325"/>
      <c r="UA73" s="325"/>
      <c r="UB73" s="325"/>
      <c r="UC73" s="325"/>
      <c r="UD73" s="325"/>
      <c r="UE73" s="325"/>
      <c r="UF73" s="325"/>
      <c r="UG73" s="325"/>
      <c r="UH73" s="325"/>
      <c r="UI73" s="325"/>
      <c r="UJ73" s="325"/>
      <c r="UK73" s="325"/>
      <c r="UL73" s="325"/>
      <c r="UM73" s="325"/>
      <c r="UN73" s="325"/>
      <c r="UO73" s="325"/>
      <c r="UP73" s="325"/>
      <c r="UQ73" s="325"/>
      <c r="UR73" s="325"/>
      <c r="US73" s="325"/>
      <c r="UT73" s="325"/>
      <c r="UU73" s="325"/>
      <c r="UV73" s="325"/>
      <c r="UW73" s="325"/>
      <c r="UX73" s="325"/>
      <c r="UY73" s="325"/>
      <c r="UZ73" s="325"/>
      <c r="VA73" s="325"/>
      <c r="VB73" s="325"/>
      <c r="VC73" s="325"/>
      <c r="VD73" s="325"/>
      <c r="VE73" s="325"/>
      <c r="VF73" s="325"/>
      <c r="VG73" s="325"/>
      <c r="VH73" s="325"/>
      <c r="VI73" s="325"/>
      <c r="VJ73" s="325"/>
      <c r="VK73" s="325"/>
      <c r="VL73" s="325"/>
      <c r="VM73" s="325"/>
      <c r="VN73" s="325"/>
      <c r="VO73" s="325"/>
      <c r="VP73" s="325"/>
      <c r="VQ73" s="325"/>
      <c r="VR73" s="325"/>
      <c r="VS73" s="325"/>
      <c r="VT73" s="325"/>
      <c r="VU73" s="325"/>
      <c r="VV73" s="325"/>
      <c r="VW73" s="325"/>
      <c r="VX73" s="325"/>
      <c r="VY73" s="325"/>
      <c r="VZ73" s="325"/>
      <c r="WA73" s="325"/>
      <c r="WB73" s="325"/>
      <c r="WC73" s="325"/>
      <c r="WD73" s="325"/>
      <c r="WE73" s="325"/>
      <c r="WF73" s="325"/>
      <c r="WG73" s="325"/>
      <c r="WH73" s="325"/>
      <c r="WI73" s="325"/>
      <c r="WJ73" s="325"/>
      <c r="WK73" s="325"/>
      <c r="WL73" s="325"/>
      <c r="WM73" s="325"/>
      <c r="WN73" s="325"/>
      <c r="WO73" s="325"/>
      <c r="WP73" s="325"/>
      <c r="WQ73" s="325"/>
      <c r="WR73" s="325"/>
      <c r="WS73" s="325"/>
      <c r="WT73" s="325"/>
      <c r="WU73" s="325"/>
      <c r="WV73" s="325"/>
      <c r="WW73" s="325"/>
      <c r="WX73" s="325"/>
      <c r="WY73" s="325"/>
      <c r="WZ73" s="325"/>
      <c r="XA73" s="325"/>
      <c r="XB73" s="325"/>
      <c r="XC73" s="325"/>
      <c r="XD73" s="325"/>
      <c r="XE73" s="325"/>
      <c r="XF73" s="325"/>
      <c r="XG73" s="325"/>
      <c r="XH73" s="325"/>
      <c r="XI73" s="325"/>
      <c r="XJ73" s="325"/>
      <c r="XK73" s="325"/>
      <c r="XL73" s="325"/>
      <c r="XM73" s="325"/>
      <c r="XN73" s="325"/>
      <c r="XO73" s="325"/>
      <c r="XP73" s="325"/>
      <c r="XQ73" s="325"/>
      <c r="XR73" s="325"/>
      <c r="XS73" s="325"/>
      <c r="XT73" s="325"/>
      <c r="XU73" s="325"/>
      <c r="XV73" s="325"/>
      <c r="XW73" s="325"/>
      <c r="XX73" s="325"/>
      <c r="XY73" s="325"/>
      <c r="XZ73" s="325"/>
      <c r="YA73" s="325"/>
      <c r="YB73" s="325"/>
      <c r="YC73" s="325"/>
      <c r="YD73" s="325"/>
      <c r="YE73" s="325"/>
      <c r="YF73" s="325"/>
      <c r="YG73" s="325"/>
      <c r="YH73" s="325"/>
      <c r="YI73" s="325"/>
      <c r="YJ73" s="325"/>
      <c r="YK73" s="325"/>
      <c r="YL73" s="325"/>
      <c r="YM73" s="325"/>
      <c r="YN73" s="325"/>
      <c r="YO73" s="325"/>
      <c r="YP73" s="325"/>
      <c r="YQ73" s="325"/>
      <c r="YR73" s="325"/>
      <c r="YS73" s="325"/>
      <c r="YT73" s="325"/>
      <c r="YU73" s="325"/>
      <c r="YV73" s="325"/>
      <c r="YW73" s="325"/>
      <c r="YX73" s="325"/>
      <c r="YY73" s="325"/>
      <c r="YZ73" s="325"/>
      <c r="ZA73" s="325"/>
      <c r="ZB73" s="325"/>
      <c r="ZC73" s="325"/>
      <c r="ZD73" s="325"/>
      <c r="ZE73" s="325"/>
      <c r="ZF73" s="325"/>
      <c r="ZG73" s="325"/>
      <c r="ZH73" s="325"/>
      <c r="ZI73" s="325"/>
      <c r="ZJ73" s="325"/>
      <c r="ZK73" s="325"/>
      <c r="ZL73" s="325"/>
      <c r="ZM73" s="325"/>
      <c r="ZN73" s="325"/>
      <c r="ZO73" s="325"/>
      <c r="ZP73" s="325"/>
      <c r="ZQ73" s="325"/>
      <c r="ZR73" s="325"/>
      <c r="ZS73" s="325"/>
      <c r="ZT73" s="325"/>
      <c r="ZU73" s="325"/>
      <c r="ZV73" s="325"/>
      <c r="ZW73" s="325"/>
      <c r="ZX73" s="325"/>
      <c r="ZY73" s="325"/>
      <c r="ZZ73" s="325"/>
      <c r="AAA73" s="325"/>
      <c r="AAB73" s="325"/>
      <c r="AAC73" s="325"/>
      <c r="AAD73" s="325"/>
      <c r="AAE73" s="325"/>
      <c r="AAF73" s="325"/>
      <c r="AAG73" s="325"/>
      <c r="AAH73" s="325"/>
      <c r="AAI73" s="325"/>
      <c r="AAJ73" s="325"/>
      <c r="AAK73" s="325"/>
      <c r="AAL73" s="325"/>
      <c r="AAM73" s="325"/>
      <c r="AAN73" s="325"/>
      <c r="AAO73" s="325"/>
      <c r="AAP73" s="325"/>
      <c r="AAQ73" s="325"/>
      <c r="AAR73" s="325"/>
      <c r="AAS73" s="325"/>
      <c r="AAT73" s="325"/>
      <c r="AAU73" s="325"/>
      <c r="AAV73" s="325"/>
      <c r="AAW73" s="325"/>
      <c r="AAX73" s="325"/>
      <c r="AAY73" s="325"/>
      <c r="AAZ73" s="325"/>
      <c r="ABA73" s="325"/>
      <c r="ABB73" s="325"/>
      <c r="ABC73" s="325"/>
      <c r="ABD73" s="325"/>
      <c r="ABE73" s="325"/>
      <c r="ABF73" s="325"/>
      <c r="ABG73" s="325"/>
      <c r="ABH73" s="325"/>
      <c r="ABI73" s="325"/>
      <c r="ABJ73" s="325"/>
      <c r="ABK73" s="325"/>
      <c r="ABL73" s="325"/>
      <c r="ABM73" s="325"/>
      <c r="ABN73" s="325"/>
      <c r="ABO73" s="325"/>
      <c r="ABP73" s="325"/>
      <c r="ABQ73" s="325"/>
      <c r="ABR73" s="325"/>
      <c r="ABS73" s="325"/>
      <c r="ABT73" s="325"/>
      <c r="ABU73" s="325"/>
      <c r="ABV73" s="325"/>
      <c r="ABW73" s="325"/>
      <c r="ABX73" s="325"/>
      <c r="ABY73" s="325"/>
      <c r="ABZ73" s="325"/>
      <c r="ACA73" s="325"/>
      <c r="ACB73" s="325"/>
      <c r="ACC73" s="325"/>
      <c r="ACD73" s="325"/>
      <c r="ACE73" s="325"/>
      <c r="ACF73" s="325"/>
      <c r="ACG73" s="325"/>
      <c r="ACH73" s="325"/>
      <c r="ACI73" s="325"/>
      <c r="ACJ73" s="325"/>
      <c r="ACK73" s="325"/>
      <c r="ACL73" s="325"/>
      <c r="ACM73" s="325"/>
      <c r="ACN73" s="325"/>
      <c r="ACO73" s="325"/>
      <c r="ACP73" s="325"/>
      <c r="ACQ73" s="325"/>
      <c r="ACR73" s="325"/>
      <c r="ACS73" s="325"/>
      <c r="ACT73" s="325"/>
      <c r="ACU73" s="325"/>
      <c r="ACV73" s="325"/>
      <c r="ACW73" s="325"/>
      <c r="ACX73" s="325"/>
      <c r="ACY73" s="325"/>
      <c r="ACZ73" s="325"/>
      <c r="ADA73" s="325"/>
      <c r="ADB73" s="325"/>
      <c r="ADC73" s="325"/>
      <c r="ADD73" s="325"/>
      <c r="ADE73" s="325"/>
      <c r="ADF73" s="325"/>
      <c r="ADG73" s="325"/>
      <c r="ADH73" s="325"/>
      <c r="ADI73" s="325"/>
      <c r="ADJ73" s="325"/>
      <c r="ADK73" s="325"/>
      <c r="ADL73" s="325"/>
      <c r="ADM73" s="325"/>
      <c r="ADN73" s="325"/>
      <c r="ADO73" s="325"/>
      <c r="ADP73" s="325"/>
      <c r="ADQ73" s="325"/>
      <c r="ADR73" s="325"/>
      <c r="ADS73" s="325"/>
      <c r="ADT73" s="325"/>
      <c r="ADU73" s="325"/>
      <c r="ADV73" s="325"/>
      <c r="ADW73" s="325"/>
      <c r="ADX73" s="325"/>
      <c r="ADY73" s="325"/>
      <c r="ADZ73" s="325"/>
      <c r="AEA73" s="325"/>
      <c r="AEB73" s="325"/>
      <c r="AEC73" s="325"/>
      <c r="AED73" s="325"/>
      <c r="AEE73" s="325"/>
      <c r="AEF73" s="325"/>
      <c r="AEG73" s="325"/>
      <c r="AEH73" s="325"/>
      <c r="AEI73" s="325"/>
      <c r="AEJ73" s="325"/>
      <c r="AEK73" s="325"/>
      <c r="AEL73" s="325"/>
      <c r="AEM73" s="325"/>
      <c r="AEN73" s="325"/>
      <c r="AEO73" s="325"/>
      <c r="AEP73" s="325"/>
      <c r="AEQ73" s="325"/>
      <c r="AER73" s="325"/>
      <c r="AES73" s="325"/>
      <c r="AET73" s="325"/>
      <c r="AEU73" s="325"/>
      <c r="AEV73" s="325"/>
      <c r="AEW73" s="325"/>
      <c r="AEX73" s="325"/>
      <c r="AEY73" s="325"/>
      <c r="AEZ73" s="325"/>
      <c r="AFA73" s="325"/>
      <c r="AFB73" s="325"/>
      <c r="AFC73" s="325"/>
      <c r="AFD73" s="325"/>
      <c r="AFE73" s="325"/>
      <c r="AFF73" s="325"/>
      <c r="AFG73" s="325"/>
      <c r="AFH73" s="325"/>
      <c r="AFI73" s="325"/>
      <c r="AFJ73" s="325"/>
      <c r="AFK73" s="325"/>
      <c r="AFL73" s="325"/>
      <c r="AFM73" s="325"/>
      <c r="AFN73" s="325"/>
      <c r="AFO73" s="325"/>
      <c r="AFP73" s="325"/>
      <c r="AFQ73" s="325"/>
      <c r="AFR73" s="325"/>
      <c r="AFS73" s="325"/>
      <c r="AFT73" s="325"/>
      <c r="AFU73" s="325"/>
      <c r="AFV73" s="325"/>
      <c r="AFW73" s="325"/>
      <c r="AFX73" s="325"/>
      <c r="AFY73" s="325"/>
      <c r="AFZ73" s="325"/>
      <c r="AGA73" s="325"/>
      <c r="AGB73" s="325"/>
      <c r="AGC73" s="325"/>
      <c r="AGD73" s="325"/>
      <c r="AGE73" s="325"/>
      <c r="AGF73" s="325"/>
      <c r="AGG73" s="325"/>
      <c r="AGH73" s="325"/>
      <c r="AGI73" s="325"/>
      <c r="AGJ73" s="325"/>
      <c r="AGK73" s="325"/>
      <c r="AGL73" s="325"/>
      <c r="AGM73" s="325"/>
      <c r="AGN73" s="325"/>
      <c r="AGO73" s="325"/>
      <c r="AGP73" s="325"/>
      <c r="AGQ73" s="325"/>
      <c r="AGR73" s="325"/>
      <c r="AGS73" s="325"/>
      <c r="AGT73" s="325"/>
      <c r="AGU73" s="325"/>
      <c r="AGV73" s="325"/>
      <c r="AGW73" s="325"/>
      <c r="AGX73" s="325"/>
      <c r="AGY73" s="325"/>
      <c r="AGZ73" s="325"/>
      <c r="AHA73" s="325"/>
      <c r="AHB73" s="325"/>
      <c r="AHC73" s="325"/>
      <c r="AHD73" s="325"/>
      <c r="AHE73" s="325"/>
      <c r="AHF73" s="325"/>
      <c r="AHG73" s="325"/>
      <c r="AHH73" s="325"/>
      <c r="AHI73" s="325"/>
      <c r="AHJ73" s="325"/>
      <c r="AHK73" s="325"/>
      <c r="AHL73" s="325"/>
      <c r="AHM73" s="325"/>
      <c r="AHN73" s="325"/>
      <c r="AHO73" s="325"/>
      <c r="AHP73" s="325"/>
      <c r="AHQ73" s="325"/>
      <c r="AHR73" s="325"/>
      <c r="AHS73" s="325"/>
      <c r="AHT73" s="325"/>
      <c r="AHU73" s="325"/>
      <c r="AHV73" s="325"/>
      <c r="AHW73" s="325"/>
      <c r="AHX73" s="325"/>
      <c r="AHY73" s="325"/>
      <c r="AHZ73" s="325"/>
      <c r="AIA73" s="325"/>
      <c r="AIB73" s="325"/>
      <c r="AIC73" s="325"/>
      <c r="AID73" s="325"/>
      <c r="AIE73" s="325"/>
      <c r="AIF73" s="325"/>
      <c r="AIG73" s="325"/>
      <c r="AIH73" s="325"/>
      <c r="AII73" s="325"/>
      <c r="AIJ73" s="325"/>
      <c r="AIK73" s="325"/>
      <c r="AIL73" s="325"/>
      <c r="AIM73" s="325"/>
      <c r="AIN73" s="325"/>
      <c r="AIO73" s="325"/>
      <c r="AIP73" s="325"/>
      <c r="AIQ73" s="325"/>
      <c r="AIR73" s="325"/>
      <c r="AIS73" s="325"/>
      <c r="AIT73" s="325"/>
      <c r="AIU73" s="325"/>
      <c r="AIV73" s="325"/>
      <c r="AIW73" s="325"/>
      <c r="AIX73" s="325"/>
      <c r="AIY73" s="325"/>
      <c r="AIZ73" s="325"/>
      <c r="AJA73" s="325"/>
      <c r="AJB73" s="325"/>
      <c r="AJC73" s="325"/>
      <c r="AJD73" s="325"/>
      <c r="AJE73" s="325"/>
      <c r="AJF73" s="325"/>
      <c r="AJG73" s="325"/>
      <c r="AJH73" s="325"/>
      <c r="AJI73" s="325"/>
      <c r="AJJ73" s="325"/>
      <c r="AJK73" s="325"/>
      <c r="AJL73" s="325"/>
      <c r="AJM73" s="325"/>
      <c r="AJN73" s="325"/>
      <c r="AJO73" s="325"/>
      <c r="AJP73" s="325"/>
      <c r="AJQ73" s="325"/>
      <c r="AJR73" s="325"/>
      <c r="AJS73" s="325"/>
      <c r="AJT73" s="325"/>
      <c r="AJU73" s="325"/>
      <c r="AJV73" s="325"/>
      <c r="AJW73" s="325"/>
      <c r="AJX73" s="325"/>
      <c r="AJY73" s="325"/>
      <c r="AJZ73" s="325"/>
      <c r="AKA73" s="325"/>
      <c r="AKB73" s="325"/>
      <c r="AKC73" s="325"/>
      <c r="AKD73" s="325"/>
      <c r="AKE73" s="325"/>
      <c r="AKF73" s="325"/>
      <c r="AKG73" s="325"/>
      <c r="AKH73" s="325"/>
      <c r="AKI73" s="325"/>
      <c r="AKJ73" s="325"/>
      <c r="AKK73" s="325"/>
      <c r="AKL73" s="325"/>
      <c r="AKM73" s="325"/>
      <c r="AKN73" s="325"/>
      <c r="AKO73" s="325"/>
      <c r="AKP73" s="325"/>
      <c r="AKQ73" s="325"/>
      <c r="AKR73" s="325"/>
      <c r="AKS73" s="325"/>
      <c r="AKT73" s="325"/>
      <c r="AKU73" s="325"/>
      <c r="AKV73" s="325"/>
      <c r="AKW73" s="325"/>
      <c r="AKX73" s="325"/>
      <c r="AKY73" s="325"/>
      <c r="AKZ73" s="325"/>
      <c r="ALA73" s="325"/>
      <c r="ALB73" s="325"/>
      <c r="ALC73" s="325"/>
      <c r="ALD73" s="325"/>
      <c r="ALE73" s="325"/>
      <c r="ALF73" s="325"/>
      <c r="ALG73" s="325"/>
      <c r="ALH73" s="325"/>
      <c r="ALI73" s="325"/>
      <c r="ALJ73" s="325"/>
      <c r="ALK73" s="325"/>
      <c r="ALL73" s="325"/>
      <c r="ALM73" s="325"/>
      <c r="ALN73" s="325"/>
      <c r="ALO73" s="325"/>
      <c r="ALP73" s="325"/>
      <c r="ALQ73" s="325"/>
      <c r="ALR73" s="325"/>
      <c r="ALS73" s="325"/>
      <c r="ALT73" s="325"/>
      <c r="ALU73" s="325"/>
      <c r="ALV73" s="325"/>
      <c r="ALW73" s="325"/>
      <c r="ALX73" s="325"/>
      <c r="ALY73" s="325"/>
      <c r="ALZ73" s="325"/>
      <c r="AMA73" s="325"/>
      <c r="AMB73" s="325"/>
      <c r="AMC73" s="325"/>
    </row>
    <row r="74" spans="3:1017" s="75" customFormat="1">
      <c r="C74" s="130"/>
      <c r="D74" s="130"/>
      <c r="CN74" s="225"/>
      <c r="CQ74" s="226"/>
      <c r="LD74" s="213"/>
      <c r="LH74" s="286"/>
      <c r="LI74" s="287"/>
      <c r="LJ74" s="124"/>
      <c r="LK74" s="124"/>
      <c r="LL74" s="124"/>
      <c r="LM74" s="124"/>
      <c r="LN74" s="124"/>
      <c r="LO74" s="124"/>
      <c r="LP74" s="124"/>
      <c r="LQ74" s="124"/>
      <c r="LR74" s="124"/>
      <c r="NE74" s="330"/>
      <c r="NF74" s="325"/>
      <c r="NG74" s="325"/>
      <c r="NH74" s="325"/>
      <c r="NI74" s="325"/>
      <c r="NJ74" s="325"/>
      <c r="NK74" s="325"/>
      <c r="NL74" s="325"/>
      <c r="NM74" s="325"/>
      <c r="NN74" s="325"/>
      <c r="NO74" s="325"/>
      <c r="NP74" s="325"/>
      <c r="NQ74" s="325"/>
      <c r="NR74" s="325"/>
      <c r="NS74" s="325"/>
      <c r="NT74" s="325"/>
      <c r="NU74" s="325"/>
      <c r="NV74" s="325"/>
      <c r="NW74" s="325"/>
      <c r="NX74" s="325"/>
      <c r="NY74" s="325"/>
      <c r="NZ74" s="325"/>
      <c r="OA74" s="325"/>
      <c r="OB74" s="325"/>
      <c r="OC74" s="325"/>
      <c r="OD74" s="325"/>
      <c r="OE74" s="325"/>
      <c r="OF74" s="325"/>
      <c r="OG74" s="325"/>
      <c r="OH74" s="325"/>
      <c r="OI74" s="325"/>
      <c r="OJ74" s="325"/>
      <c r="OK74" s="325"/>
      <c r="OL74" s="325"/>
      <c r="OM74" s="325"/>
      <c r="ON74" s="325"/>
      <c r="OO74" s="325"/>
      <c r="OP74" s="325"/>
      <c r="OQ74" s="325"/>
      <c r="OR74" s="325"/>
      <c r="OS74" s="325"/>
      <c r="OT74" s="325"/>
      <c r="OU74" s="325"/>
      <c r="OV74" s="325"/>
      <c r="OW74" s="325"/>
      <c r="OX74" s="325"/>
      <c r="OY74" s="325"/>
      <c r="OZ74" s="325"/>
      <c r="PA74" s="325"/>
      <c r="PB74" s="325"/>
      <c r="PC74" s="325"/>
      <c r="PD74" s="325"/>
      <c r="PE74" s="325"/>
      <c r="PF74" s="325"/>
      <c r="PG74" s="325"/>
      <c r="PH74" s="325"/>
      <c r="PI74" s="325"/>
      <c r="PJ74" s="325"/>
      <c r="PK74" s="325"/>
      <c r="PL74" s="325"/>
      <c r="PM74" s="325"/>
      <c r="PN74" s="325"/>
      <c r="PO74" s="325"/>
      <c r="PP74" s="325"/>
      <c r="PQ74" s="325"/>
      <c r="PR74" s="325"/>
      <c r="PS74" s="325"/>
      <c r="PT74" s="325"/>
      <c r="PU74" s="325"/>
      <c r="PV74" s="325"/>
      <c r="PW74" s="325"/>
      <c r="PX74" s="325"/>
      <c r="PY74" s="325"/>
      <c r="PZ74" s="325"/>
      <c r="QA74" s="325"/>
      <c r="QB74" s="325"/>
      <c r="QC74" s="325"/>
      <c r="QD74" s="325"/>
      <c r="QE74" s="325"/>
      <c r="QF74" s="325"/>
      <c r="QG74" s="325"/>
      <c r="QH74" s="325"/>
      <c r="QI74" s="325"/>
      <c r="QJ74" s="325"/>
      <c r="QK74" s="325"/>
      <c r="QL74" s="325"/>
      <c r="QM74" s="325"/>
      <c r="QN74" s="325"/>
      <c r="QO74" s="325"/>
      <c r="QP74" s="325"/>
      <c r="QQ74" s="325"/>
      <c r="QR74" s="325"/>
      <c r="QS74" s="325"/>
      <c r="QT74" s="325"/>
      <c r="QU74" s="325"/>
      <c r="QV74" s="325"/>
      <c r="QW74" s="325"/>
      <c r="QX74" s="325"/>
      <c r="QY74" s="325"/>
      <c r="QZ74" s="325"/>
      <c r="RA74" s="325"/>
      <c r="RB74" s="325"/>
      <c r="RC74" s="325"/>
      <c r="RD74" s="325"/>
      <c r="RE74" s="325"/>
      <c r="RF74" s="325"/>
      <c r="RG74" s="325"/>
      <c r="RH74" s="325"/>
      <c r="RI74" s="325"/>
      <c r="RJ74" s="325"/>
      <c r="RK74" s="325"/>
      <c r="RL74" s="325"/>
      <c r="RM74" s="325"/>
      <c r="RN74" s="325"/>
      <c r="RO74" s="325"/>
      <c r="RP74" s="325"/>
      <c r="RQ74" s="325"/>
      <c r="RR74" s="325"/>
      <c r="RS74" s="325"/>
      <c r="RT74" s="325"/>
      <c r="RU74" s="325"/>
      <c r="RV74" s="325"/>
      <c r="RW74" s="325"/>
      <c r="RX74" s="325"/>
      <c r="RY74" s="325"/>
      <c r="RZ74" s="325"/>
      <c r="SA74" s="325"/>
      <c r="SB74" s="325"/>
      <c r="SC74" s="325"/>
      <c r="SD74" s="325"/>
      <c r="SE74" s="325"/>
      <c r="SF74" s="325"/>
      <c r="SG74" s="325"/>
      <c r="SH74" s="325"/>
      <c r="SI74" s="325"/>
      <c r="SJ74" s="325"/>
      <c r="SK74" s="325"/>
      <c r="SL74" s="325"/>
      <c r="SM74" s="325"/>
      <c r="SN74" s="325"/>
      <c r="SO74" s="325"/>
      <c r="SP74" s="325"/>
      <c r="SQ74" s="325"/>
      <c r="SR74" s="325"/>
      <c r="SS74" s="325"/>
      <c r="ST74" s="325"/>
      <c r="SU74" s="325"/>
      <c r="SV74" s="325"/>
      <c r="SW74" s="325"/>
      <c r="SX74" s="325"/>
      <c r="SY74" s="325"/>
      <c r="SZ74" s="325"/>
      <c r="TA74" s="325"/>
      <c r="TB74" s="325"/>
      <c r="TC74" s="325"/>
      <c r="TD74" s="325"/>
      <c r="TE74" s="325"/>
      <c r="TF74" s="325"/>
      <c r="TG74" s="325"/>
      <c r="TH74" s="325"/>
      <c r="TI74" s="325"/>
      <c r="TJ74" s="325"/>
      <c r="TK74" s="325"/>
      <c r="TL74" s="325"/>
      <c r="TM74" s="325"/>
      <c r="TN74" s="325"/>
      <c r="TO74" s="325"/>
      <c r="TP74" s="325"/>
      <c r="TQ74" s="325"/>
      <c r="TR74" s="325"/>
      <c r="TS74" s="325"/>
      <c r="TT74" s="325"/>
      <c r="TU74" s="325"/>
      <c r="TV74" s="325"/>
      <c r="TW74" s="325"/>
      <c r="TX74" s="325"/>
      <c r="TY74" s="325"/>
      <c r="TZ74" s="325"/>
      <c r="UA74" s="325"/>
      <c r="UB74" s="325"/>
      <c r="UC74" s="325"/>
      <c r="UD74" s="325"/>
      <c r="UE74" s="325"/>
      <c r="UF74" s="325"/>
      <c r="UG74" s="325"/>
      <c r="UH74" s="325"/>
      <c r="UI74" s="325"/>
      <c r="UJ74" s="325"/>
      <c r="UK74" s="325"/>
      <c r="UL74" s="325"/>
      <c r="UM74" s="325"/>
      <c r="UN74" s="325"/>
      <c r="UO74" s="325"/>
      <c r="UP74" s="325"/>
      <c r="UQ74" s="325"/>
      <c r="UR74" s="325"/>
      <c r="US74" s="325"/>
      <c r="UT74" s="325"/>
      <c r="UU74" s="325"/>
      <c r="UV74" s="325"/>
      <c r="UW74" s="325"/>
      <c r="UX74" s="325"/>
      <c r="UY74" s="325"/>
      <c r="UZ74" s="325"/>
      <c r="VA74" s="325"/>
      <c r="VB74" s="325"/>
      <c r="VC74" s="325"/>
      <c r="VD74" s="325"/>
      <c r="VE74" s="325"/>
      <c r="VF74" s="325"/>
      <c r="VG74" s="325"/>
      <c r="VH74" s="325"/>
      <c r="VI74" s="325"/>
      <c r="VJ74" s="325"/>
      <c r="VK74" s="325"/>
      <c r="VL74" s="325"/>
      <c r="VM74" s="325"/>
      <c r="VN74" s="325"/>
      <c r="VO74" s="325"/>
      <c r="VP74" s="325"/>
      <c r="VQ74" s="325"/>
      <c r="VR74" s="325"/>
      <c r="VS74" s="325"/>
      <c r="VT74" s="325"/>
      <c r="VU74" s="325"/>
      <c r="VV74" s="325"/>
      <c r="VW74" s="325"/>
      <c r="VX74" s="325"/>
      <c r="VY74" s="325"/>
      <c r="VZ74" s="325"/>
      <c r="WA74" s="325"/>
      <c r="WB74" s="325"/>
      <c r="WC74" s="325"/>
      <c r="WD74" s="325"/>
      <c r="WE74" s="325"/>
      <c r="WF74" s="325"/>
      <c r="WG74" s="325"/>
      <c r="WH74" s="325"/>
      <c r="WI74" s="325"/>
      <c r="WJ74" s="325"/>
      <c r="WK74" s="325"/>
      <c r="WL74" s="325"/>
      <c r="WM74" s="325"/>
      <c r="WN74" s="325"/>
      <c r="WO74" s="325"/>
      <c r="WP74" s="325"/>
      <c r="WQ74" s="325"/>
      <c r="WR74" s="325"/>
      <c r="WS74" s="325"/>
      <c r="WT74" s="325"/>
      <c r="WU74" s="325"/>
      <c r="WV74" s="325"/>
      <c r="WW74" s="325"/>
      <c r="WX74" s="325"/>
      <c r="WY74" s="325"/>
      <c r="WZ74" s="325"/>
      <c r="XA74" s="325"/>
      <c r="XB74" s="325"/>
      <c r="XC74" s="325"/>
      <c r="XD74" s="325"/>
      <c r="XE74" s="325"/>
      <c r="XF74" s="325"/>
      <c r="XG74" s="325"/>
      <c r="XH74" s="325"/>
      <c r="XI74" s="325"/>
      <c r="XJ74" s="325"/>
      <c r="XK74" s="325"/>
      <c r="XL74" s="325"/>
      <c r="XM74" s="325"/>
      <c r="XN74" s="325"/>
      <c r="XO74" s="325"/>
      <c r="XP74" s="325"/>
      <c r="XQ74" s="325"/>
      <c r="XR74" s="325"/>
      <c r="XS74" s="325"/>
      <c r="XT74" s="325"/>
      <c r="XU74" s="325"/>
      <c r="XV74" s="325"/>
      <c r="XW74" s="325"/>
      <c r="XX74" s="325"/>
      <c r="XY74" s="325"/>
      <c r="XZ74" s="325"/>
      <c r="YA74" s="325"/>
      <c r="YB74" s="325"/>
      <c r="YC74" s="325"/>
      <c r="YD74" s="325"/>
      <c r="YE74" s="325"/>
      <c r="YF74" s="325"/>
      <c r="YG74" s="325"/>
      <c r="YH74" s="325"/>
      <c r="YI74" s="325"/>
      <c r="YJ74" s="325"/>
      <c r="YK74" s="325"/>
      <c r="YL74" s="325"/>
      <c r="YM74" s="325"/>
      <c r="YN74" s="325"/>
      <c r="YO74" s="325"/>
      <c r="YP74" s="325"/>
      <c r="YQ74" s="325"/>
      <c r="YR74" s="325"/>
      <c r="YS74" s="325"/>
      <c r="YT74" s="325"/>
      <c r="YU74" s="325"/>
      <c r="YV74" s="325"/>
      <c r="YW74" s="325"/>
      <c r="YX74" s="325"/>
      <c r="YY74" s="325"/>
      <c r="YZ74" s="325"/>
      <c r="ZA74" s="325"/>
      <c r="ZB74" s="325"/>
      <c r="ZC74" s="325"/>
      <c r="ZD74" s="325"/>
      <c r="ZE74" s="325"/>
      <c r="ZF74" s="325"/>
      <c r="ZG74" s="325"/>
      <c r="ZH74" s="325"/>
      <c r="ZI74" s="325"/>
      <c r="ZJ74" s="325"/>
      <c r="ZK74" s="325"/>
      <c r="ZL74" s="325"/>
      <c r="ZM74" s="325"/>
      <c r="ZN74" s="325"/>
      <c r="ZO74" s="325"/>
      <c r="ZP74" s="325"/>
      <c r="ZQ74" s="325"/>
      <c r="ZR74" s="325"/>
      <c r="ZS74" s="325"/>
      <c r="ZT74" s="325"/>
      <c r="ZU74" s="325"/>
      <c r="ZV74" s="325"/>
      <c r="ZW74" s="325"/>
      <c r="ZX74" s="325"/>
      <c r="ZY74" s="325"/>
      <c r="ZZ74" s="325"/>
      <c r="AAA74" s="325"/>
      <c r="AAB74" s="325"/>
      <c r="AAC74" s="325"/>
      <c r="AAD74" s="325"/>
      <c r="AAE74" s="325"/>
      <c r="AAF74" s="325"/>
      <c r="AAG74" s="325"/>
      <c r="AAH74" s="325"/>
      <c r="AAI74" s="325"/>
      <c r="AAJ74" s="325"/>
      <c r="AAK74" s="325"/>
      <c r="AAL74" s="325"/>
      <c r="AAM74" s="325"/>
      <c r="AAN74" s="325"/>
      <c r="AAO74" s="325"/>
      <c r="AAP74" s="325"/>
      <c r="AAQ74" s="325"/>
      <c r="AAR74" s="325"/>
      <c r="AAS74" s="325"/>
      <c r="AAT74" s="325"/>
      <c r="AAU74" s="325"/>
      <c r="AAV74" s="325"/>
      <c r="AAW74" s="325"/>
      <c r="AAX74" s="325"/>
      <c r="AAY74" s="325"/>
      <c r="AAZ74" s="325"/>
      <c r="ABA74" s="325"/>
      <c r="ABB74" s="325"/>
      <c r="ABC74" s="325"/>
      <c r="ABD74" s="325"/>
      <c r="ABE74" s="325"/>
      <c r="ABF74" s="325"/>
      <c r="ABG74" s="325"/>
      <c r="ABH74" s="325"/>
      <c r="ABI74" s="325"/>
      <c r="ABJ74" s="325"/>
      <c r="ABK74" s="325"/>
      <c r="ABL74" s="325"/>
      <c r="ABM74" s="325"/>
      <c r="ABN74" s="325"/>
      <c r="ABO74" s="325"/>
      <c r="ABP74" s="325"/>
      <c r="ABQ74" s="325"/>
      <c r="ABR74" s="325"/>
      <c r="ABS74" s="325"/>
      <c r="ABT74" s="325"/>
      <c r="ABU74" s="325"/>
      <c r="ABV74" s="325"/>
      <c r="ABW74" s="325"/>
      <c r="ABX74" s="325"/>
      <c r="ABY74" s="325"/>
      <c r="ABZ74" s="325"/>
      <c r="ACA74" s="325"/>
      <c r="ACB74" s="325"/>
      <c r="ACC74" s="325"/>
      <c r="ACD74" s="325"/>
      <c r="ACE74" s="325"/>
      <c r="ACF74" s="325"/>
      <c r="ACG74" s="325"/>
      <c r="ACH74" s="325"/>
      <c r="ACI74" s="325"/>
      <c r="ACJ74" s="325"/>
      <c r="ACK74" s="325"/>
      <c r="ACL74" s="325"/>
      <c r="ACM74" s="325"/>
      <c r="ACN74" s="325"/>
      <c r="ACO74" s="325"/>
      <c r="ACP74" s="325"/>
      <c r="ACQ74" s="325"/>
      <c r="ACR74" s="325"/>
      <c r="ACS74" s="325"/>
      <c r="ACT74" s="325"/>
      <c r="ACU74" s="325"/>
      <c r="ACV74" s="325"/>
      <c r="ACW74" s="325"/>
      <c r="ACX74" s="325"/>
      <c r="ACY74" s="325"/>
      <c r="ACZ74" s="325"/>
      <c r="ADA74" s="325"/>
      <c r="ADB74" s="325"/>
      <c r="ADC74" s="325"/>
      <c r="ADD74" s="325"/>
      <c r="ADE74" s="325"/>
      <c r="ADF74" s="325"/>
      <c r="ADG74" s="325"/>
      <c r="ADH74" s="325"/>
      <c r="ADI74" s="325"/>
      <c r="ADJ74" s="325"/>
      <c r="ADK74" s="325"/>
      <c r="ADL74" s="325"/>
      <c r="ADM74" s="325"/>
      <c r="ADN74" s="325"/>
      <c r="ADO74" s="325"/>
      <c r="ADP74" s="325"/>
      <c r="ADQ74" s="325"/>
      <c r="ADR74" s="325"/>
      <c r="ADS74" s="325"/>
      <c r="ADT74" s="325"/>
      <c r="ADU74" s="325"/>
      <c r="ADV74" s="325"/>
      <c r="ADW74" s="325"/>
      <c r="ADX74" s="325"/>
      <c r="ADY74" s="325"/>
      <c r="ADZ74" s="325"/>
      <c r="AEA74" s="325"/>
      <c r="AEB74" s="325"/>
      <c r="AEC74" s="325"/>
      <c r="AED74" s="325"/>
      <c r="AEE74" s="325"/>
      <c r="AEF74" s="325"/>
      <c r="AEG74" s="325"/>
      <c r="AEH74" s="325"/>
      <c r="AEI74" s="325"/>
      <c r="AEJ74" s="325"/>
      <c r="AEK74" s="325"/>
      <c r="AEL74" s="325"/>
      <c r="AEM74" s="325"/>
      <c r="AEN74" s="325"/>
      <c r="AEO74" s="325"/>
      <c r="AEP74" s="325"/>
      <c r="AEQ74" s="325"/>
      <c r="AER74" s="325"/>
      <c r="AES74" s="325"/>
      <c r="AET74" s="325"/>
      <c r="AEU74" s="325"/>
      <c r="AEV74" s="325"/>
      <c r="AEW74" s="325"/>
      <c r="AEX74" s="325"/>
      <c r="AEY74" s="325"/>
      <c r="AEZ74" s="325"/>
      <c r="AFA74" s="325"/>
      <c r="AFB74" s="325"/>
      <c r="AFC74" s="325"/>
      <c r="AFD74" s="325"/>
      <c r="AFE74" s="325"/>
      <c r="AFF74" s="325"/>
      <c r="AFG74" s="325"/>
      <c r="AFH74" s="325"/>
      <c r="AFI74" s="325"/>
      <c r="AFJ74" s="325"/>
      <c r="AFK74" s="325"/>
      <c r="AFL74" s="325"/>
      <c r="AFM74" s="325"/>
      <c r="AFN74" s="325"/>
      <c r="AFO74" s="325"/>
      <c r="AFP74" s="325"/>
      <c r="AFQ74" s="325"/>
      <c r="AFR74" s="325"/>
      <c r="AFS74" s="325"/>
      <c r="AFT74" s="325"/>
      <c r="AFU74" s="325"/>
      <c r="AFV74" s="325"/>
      <c r="AFW74" s="325"/>
      <c r="AFX74" s="325"/>
      <c r="AFY74" s="325"/>
      <c r="AFZ74" s="325"/>
      <c r="AGA74" s="325"/>
      <c r="AGB74" s="325"/>
      <c r="AGC74" s="325"/>
      <c r="AGD74" s="325"/>
      <c r="AGE74" s="325"/>
      <c r="AGF74" s="325"/>
      <c r="AGG74" s="325"/>
      <c r="AGH74" s="325"/>
      <c r="AGI74" s="325"/>
      <c r="AGJ74" s="325"/>
      <c r="AGK74" s="325"/>
      <c r="AGL74" s="325"/>
      <c r="AGM74" s="325"/>
      <c r="AGN74" s="325"/>
      <c r="AGO74" s="325"/>
      <c r="AGP74" s="325"/>
      <c r="AGQ74" s="325"/>
      <c r="AGR74" s="325"/>
      <c r="AGS74" s="325"/>
      <c r="AGT74" s="325"/>
      <c r="AGU74" s="325"/>
      <c r="AGV74" s="325"/>
      <c r="AGW74" s="325"/>
      <c r="AGX74" s="325"/>
      <c r="AGY74" s="325"/>
      <c r="AGZ74" s="325"/>
      <c r="AHA74" s="325"/>
      <c r="AHB74" s="325"/>
      <c r="AHC74" s="325"/>
      <c r="AHD74" s="325"/>
      <c r="AHE74" s="325"/>
      <c r="AHF74" s="325"/>
      <c r="AHG74" s="325"/>
      <c r="AHH74" s="325"/>
      <c r="AHI74" s="325"/>
      <c r="AHJ74" s="325"/>
      <c r="AHK74" s="325"/>
      <c r="AHL74" s="325"/>
      <c r="AHM74" s="325"/>
      <c r="AHN74" s="325"/>
      <c r="AHO74" s="325"/>
      <c r="AHP74" s="325"/>
      <c r="AHQ74" s="325"/>
      <c r="AHR74" s="325"/>
      <c r="AHS74" s="325"/>
      <c r="AHT74" s="325"/>
      <c r="AHU74" s="325"/>
      <c r="AHV74" s="325"/>
      <c r="AHW74" s="325"/>
      <c r="AHX74" s="325"/>
      <c r="AHY74" s="325"/>
      <c r="AHZ74" s="325"/>
      <c r="AIA74" s="325"/>
      <c r="AIB74" s="325"/>
      <c r="AIC74" s="325"/>
      <c r="AID74" s="325"/>
      <c r="AIE74" s="325"/>
      <c r="AIF74" s="325"/>
      <c r="AIG74" s="325"/>
      <c r="AIH74" s="325"/>
      <c r="AII74" s="325"/>
      <c r="AIJ74" s="325"/>
      <c r="AIK74" s="325"/>
      <c r="AIL74" s="325"/>
      <c r="AIM74" s="325"/>
      <c r="AIN74" s="325"/>
      <c r="AIO74" s="325"/>
      <c r="AIP74" s="325"/>
      <c r="AIQ74" s="325"/>
      <c r="AIR74" s="325"/>
      <c r="AIS74" s="325"/>
      <c r="AIT74" s="325"/>
      <c r="AIU74" s="325"/>
      <c r="AIV74" s="325"/>
      <c r="AIW74" s="325"/>
      <c r="AIX74" s="325"/>
      <c r="AIY74" s="325"/>
      <c r="AIZ74" s="325"/>
      <c r="AJA74" s="325"/>
      <c r="AJB74" s="325"/>
      <c r="AJC74" s="325"/>
      <c r="AJD74" s="325"/>
      <c r="AJE74" s="325"/>
      <c r="AJF74" s="325"/>
      <c r="AJG74" s="325"/>
      <c r="AJH74" s="325"/>
      <c r="AJI74" s="325"/>
      <c r="AJJ74" s="325"/>
      <c r="AJK74" s="325"/>
      <c r="AJL74" s="325"/>
      <c r="AJM74" s="325"/>
      <c r="AJN74" s="325"/>
      <c r="AJO74" s="325"/>
      <c r="AJP74" s="325"/>
      <c r="AJQ74" s="325"/>
      <c r="AJR74" s="325"/>
      <c r="AJS74" s="325"/>
      <c r="AJT74" s="325"/>
      <c r="AJU74" s="325"/>
      <c r="AJV74" s="325"/>
      <c r="AJW74" s="325"/>
      <c r="AJX74" s="325"/>
      <c r="AJY74" s="325"/>
      <c r="AJZ74" s="325"/>
      <c r="AKA74" s="325"/>
      <c r="AKB74" s="325"/>
      <c r="AKC74" s="325"/>
      <c r="AKD74" s="325"/>
      <c r="AKE74" s="325"/>
      <c r="AKF74" s="325"/>
      <c r="AKG74" s="325"/>
      <c r="AKH74" s="325"/>
      <c r="AKI74" s="325"/>
      <c r="AKJ74" s="325"/>
      <c r="AKK74" s="325"/>
      <c r="AKL74" s="325"/>
      <c r="AKM74" s="325"/>
      <c r="AKN74" s="325"/>
      <c r="AKO74" s="325"/>
      <c r="AKP74" s="325"/>
      <c r="AKQ74" s="325"/>
      <c r="AKR74" s="325"/>
      <c r="AKS74" s="325"/>
      <c r="AKT74" s="325"/>
      <c r="AKU74" s="325"/>
      <c r="AKV74" s="325"/>
      <c r="AKW74" s="325"/>
      <c r="AKX74" s="325"/>
      <c r="AKY74" s="325"/>
      <c r="AKZ74" s="325"/>
      <c r="ALA74" s="325"/>
      <c r="ALB74" s="325"/>
      <c r="ALC74" s="325"/>
      <c r="ALD74" s="325"/>
      <c r="ALE74" s="325"/>
      <c r="ALF74" s="325"/>
      <c r="ALG74" s="325"/>
      <c r="ALH74" s="325"/>
      <c r="ALI74" s="325"/>
      <c r="ALJ74" s="325"/>
      <c r="ALK74" s="325"/>
      <c r="ALL74" s="325"/>
      <c r="ALM74" s="325"/>
      <c r="ALN74" s="325"/>
      <c r="ALO74" s="325"/>
      <c r="ALP74" s="325"/>
      <c r="ALQ74" s="325"/>
      <c r="ALR74" s="325"/>
      <c r="ALS74" s="325"/>
      <c r="ALT74" s="325"/>
      <c r="ALU74" s="325"/>
      <c r="ALV74" s="325"/>
      <c r="ALW74" s="325"/>
      <c r="ALX74" s="325"/>
      <c r="ALY74" s="325"/>
      <c r="ALZ74" s="325"/>
      <c r="AMA74" s="325"/>
      <c r="AMB74" s="325"/>
      <c r="AMC74" s="325"/>
    </row>
    <row r="75" spans="3:1017" s="75" customFormat="1">
      <c r="C75" s="130"/>
      <c r="D75" s="130"/>
      <c r="CN75" s="225"/>
      <c r="CQ75" s="226"/>
      <c r="LD75" s="213"/>
      <c r="LH75" s="286"/>
      <c r="LI75" s="287"/>
      <c r="LJ75" s="124"/>
      <c r="LK75" s="124"/>
      <c r="LL75" s="124"/>
      <c r="LM75" s="124"/>
      <c r="LN75" s="124"/>
      <c r="LO75" s="124"/>
      <c r="LP75" s="124"/>
      <c r="LQ75" s="124"/>
      <c r="LR75" s="124"/>
      <c r="NE75" s="330"/>
      <c r="NF75" s="325"/>
      <c r="NG75" s="325"/>
      <c r="NH75" s="325"/>
      <c r="NI75" s="325"/>
      <c r="NJ75" s="325"/>
      <c r="NK75" s="325"/>
      <c r="NL75" s="325"/>
      <c r="NM75" s="325"/>
      <c r="NN75" s="325"/>
      <c r="NO75" s="325"/>
      <c r="NP75" s="325"/>
      <c r="NQ75" s="325"/>
      <c r="NR75" s="325"/>
      <c r="NS75" s="325"/>
      <c r="NT75" s="325"/>
      <c r="NU75" s="325"/>
      <c r="NV75" s="325"/>
      <c r="NW75" s="325"/>
      <c r="NX75" s="325"/>
      <c r="NY75" s="325"/>
      <c r="NZ75" s="325"/>
      <c r="OA75" s="325"/>
      <c r="OB75" s="325"/>
      <c r="OC75" s="325"/>
      <c r="OD75" s="325"/>
      <c r="OE75" s="325"/>
      <c r="OF75" s="325"/>
      <c r="OG75" s="325"/>
      <c r="OH75" s="325"/>
      <c r="OI75" s="325"/>
      <c r="OJ75" s="325"/>
      <c r="OK75" s="325"/>
      <c r="OL75" s="325"/>
      <c r="OM75" s="325"/>
      <c r="ON75" s="325"/>
      <c r="OO75" s="325"/>
      <c r="OP75" s="325"/>
      <c r="OQ75" s="325"/>
      <c r="OR75" s="325"/>
      <c r="OS75" s="325"/>
      <c r="OT75" s="325"/>
      <c r="OU75" s="325"/>
      <c r="OV75" s="325"/>
      <c r="OW75" s="325"/>
      <c r="OX75" s="325"/>
      <c r="OY75" s="325"/>
      <c r="OZ75" s="325"/>
      <c r="PA75" s="325"/>
      <c r="PB75" s="325"/>
      <c r="PC75" s="325"/>
      <c r="PD75" s="325"/>
      <c r="PE75" s="325"/>
      <c r="PF75" s="325"/>
      <c r="PG75" s="325"/>
      <c r="PH75" s="325"/>
      <c r="PI75" s="325"/>
      <c r="PJ75" s="325"/>
      <c r="PK75" s="325"/>
      <c r="PL75" s="325"/>
      <c r="PM75" s="325"/>
      <c r="PN75" s="325"/>
      <c r="PO75" s="325"/>
      <c r="PP75" s="325"/>
      <c r="PQ75" s="325"/>
      <c r="PR75" s="325"/>
      <c r="PS75" s="325"/>
      <c r="PT75" s="325"/>
      <c r="PU75" s="325"/>
      <c r="PV75" s="325"/>
      <c r="PW75" s="325"/>
      <c r="PX75" s="325"/>
      <c r="PY75" s="325"/>
      <c r="PZ75" s="325"/>
      <c r="QA75" s="325"/>
      <c r="QB75" s="325"/>
      <c r="QC75" s="325"/>
      <c r="QD75" s="325"/>
      <c r="QE75" s="325"/>
      <c r="QF75" s="325"/>
      <c r="QG75" s="325"/>
      <c r="QH75" s="325"/>
      <c r="QI75" s="325"/>
      <c r="QJ75" s="325"/>
      <c r="QK75" s="325"/>
      <c r="QL75" s="325"/>
      <c r="QM75" s="325"/>
      <c r="QN75" s="325"/>
      <c r="QO75" s="325"/>
      <c r="QP75" s="325"/>
      <c r="QQ75" s="325"/>
      <c r="QR75" s="325"/>
      <c r="QS75" s="325"/>
      <c r="QT75" s="325"/>
      <c r="QU75" s="325"/>
      <c r="QV75" s="325"/>
      <c r="QW75" s="325"/>
      <c r="QX75" s="325"/>
      <c r="QY75" s="325"/>
      <c r="QZ75" s="325"/>
      <c r="RA75" s="325"/>
      <c r="RB75" s="325"/>
      <c r="RC75" s="325"/>
      <c r="RD75" s="325"/>
      <c r="RE75" s="325"/>
      <c r="RF75" s="325"/>
      <c r="RG75" s="325"/>
      <c r="RH75" s="325"/>
      <c r="RI75" s="325"/>
      <c r="RJ75" s="325"/>
      <c r="RK75" s="325"/>
      <c r="RL75" s="325"/>
      <c r="RM75" s="325"/>
      <c r="RN75" s="325"/>
      <c r="RO75" s="325"/>
      <c r="RP75" s="325"/>
      <c r="RQ75" s="325"/>
      <c r="RR75" s="325"/>
      <c r="RS75" s="325"/>
      <c r="RT75" s="325"/>
      <c r="RU75" s="325"/>
      <c r="RV75" s="325"/>
      <c r="RW75" s="325"/>
      <c r="RX75" s="325"/>
      <c r="RY75" s="325"/>
      <c r="RZ75" s="325"/>
      <c r="SA75" s="325"/>
      <c r="SB75" s="325"/>
      <c r="SC75" s="325"/>
      <c r="SD75" s="325"/>
      <c r="SE75" s="325"/>
      <c r="SF75" s="325"/>
      <c r="SG75" s="325"/>
      <c r="SH75" s="325"/>
      <c r="SI75" s="325"/>
      <c r="SJ75" s="325"/>
      <c r="SK75" s="325"/>
      <c r="SL75" s="325"/>
      <c r="SM75" s="325"/>
      <c r="SN75" s="325"/>
      <c r="SO75" s="325"/>
      <c r="SP75" s="325"/>
      <c r="SQ75" s="325"/>
      <c r="SR75" s="325"/>
      <c r="SS75" s="325"/>
      <c r="ST75" s="325"/>
      <c r="SU75" s="325"/>
      <c r="SV75" s="325"/>
      <c r="SW75" s="325"/>
      <c r="SX75" s="325"/>
      <c r="SY75" s="325"/>
      <c r="SZ75" s="325"/>
      <c r="TA75" s="325"/>
      <c r="TB75" s="325"/>
      <c r="TC75" s="325"/>
      <c r="TD75" s="325"/>
      <c r="TE75" s="325"/>
      <c r="TF75" s="325"/>
      <c r="TG75" s="325"/>
      <c r="TH75" s="325"/>
      <c r="TI75" s="325"/>
      <c r="TJ75" s="325"/>
      <c r="TK75" s="325"/>
      <c r="TL75" s="325"/>
      <c r="TM75" s="325"/>
      <c r="TN75" s="325"/>
      <c r="TO75" s="325"/>
      <c r="TP75" s="325"/>
      <c r="TQ75" s="325"/>
      <c r="TR75" s="325"/>
      <c r="TS75" s="325"/>
      <c r="TT75" s="325"/>
      <c r="TU75" s="325"/>
      <c r="TV75" s="325"/>
      <c r="TW75" s="325"/>
      <c r="TX75" s="325"/>
      <c r="TY75" s="325"/>
      <c r="TZ75" s="325"/>
      <c r="UA75" s="325"/>
      <c r="UB75" s="325"/>
      <c r="UC75" s="325"/>
      <c r="UD75" s="325"/>
      <c r="UE75" s="325"/>
      <c r="UF75" s="325"/>
      <c r="UG75" s="325"/>
      <c r="UH75" s="325"/>
      <c r="UI75" s="325"/>
      <c r="UJ75" s="325"/>
      <c r="UK75" s="325"/>
      <c r="UL75" s="325"/>
      <c r="UM75" s="325"/>
      <c r="UN75" s="325"/>
      <c r="UO75" s="325"/>
      <c r="UP75" s="325"/>
      <c r="UQ75" s="325"/>
      <c r="UR75" s="325"/>
      <c r="US75" s="325"/>
      <c r="UT75" s="325"/>
      <c r="UU75" s="325"/>
      <c r="UV75" s="325"/>
      <c r="UW75" s="325"/>
      <c r="UX75" s="325"/>
      <c r="UY75" s="325"/>
      <c r="UZ75" s="325"/>
      <c r="VA75" s="325"/>
      <c r="VB75" s="325"/>
      <c r="VC75" s="325"/>
      <c r="VD75" s="325"/>
      <c r="VE75" s="325"/>
      <c r="VF75" s="325"/>
      <c r="VG75" s="325"/>
      <c r="VH75" s="325"/>
      <c r="VI75" s="325"/>
      <c r="VJ75" s="325"/>
      <c r="VK75" s="325"/>
      <c r="VL75" s="325"/>
      <c r="VM75" s="325"/>
      <c r="VN75" s="325"/>
      <c r="VO75" s="325"/>
      <c r="VP75" s="325"/>
      <c r="VQ75" s="325"/>
      <c r="VR75" s="325"/>
      <c r="VS75" s="325"/>
      <c r="VT75" s="325"/>
      <c r="VU75" s="325"/>
      <c r="VV75" s="325"/>
      <c r="VW75" s="325"/>
      <c r="VX75" s="325"/>
      <c r="VY75" s="325"/>
      <c r="VZ75" s="325"/>
      <c r="WA75" s="325"/>
      <c r="WB75" s="325"/>
      <c r="WC75" s="325"/>
      <c r="WD75" s="325"/>
      <c r="WE75" s="325"/>
      <c r="WF75" s="325"/>
      <c r="WG75" s="325"/>
      <c r="WH75" s="325"/>
      <c r="WI75" s="325"/>
      <c r="WJ75" s="325"/>
      <c r="WK75" s="325"/>
      <c r="WL75" s="325"/>
      <c r="WM75" s="325"/>
      <c r="WN75" s="325"/>
      <c r="WO75" s="325"/>
      <c r="WP75" s="325"/>
      <c r="WQ75" s="325"/>
      <c r="WR75" s="325"/>
      <c r="WS75" s="325"/>
      <c r="WT75" s="325"/>
      <c r="WU75" s="325"/>
      <c r="WV75" s="325"/>
      <c r="WW75" s="325"/>
      <c r="WX75" s="325"/>
      <c r="WY75" s="325"/>
      <c r="WZ75" s="325"/>
      <c r="XA75" s="325"/>
      <c r="XB75" s="325"/>
      <c r="XC75" s="325"/>
      <c r="XD75" s="325"/>
      <c r="XE75" s="325"/>
      <c r="XF75" s="325"/>
      <c r="XG75" s="325"/>
      <c r="XH75" s="325"/>
      <c r="XI75" s="325"/>
      <c r="XJ75" s="325"/>
      <c r="XK75" s="325"/>
      <c r="XL75" s="325"/>
      <c r="XM75" s="325"/>
      <c r="XN75" s="325"/>
      <c r="XO75" s="325"/>
      <c r="XP75" s="325"/>
      <c r="XQ75" s="325"/>
      <c r="XR75" s="325"/>
      <c r="XS75" s="325"/>
      <c r="XT75" s="325"/>
      <c r="XU75" s="325"/>
      <c r="XV75" s="325"/>
      <c r="XW75" s="325"/>
      <c r="XX75" s="325"/>
      <c r="XY75" s="325"/>
      <c r="XZ75" s="325"/>
      <c r="YA75" s="325"/>
      <c r="YB75" s="325"/>
      <c r="YC75" s="325"/>
      <c r="YD75" s="325"/>
      <c r="YE75" s="325"/>
      <c r="YF75" s="325"/>
      <c r="YG75" s="325"/>
      <c r="YH75" s="325"/>
      <c r="YI75" s="325"/>
      <c r="YJ75" s="325"/>
      <c r="YK75" s="325"/>
      <c r="YL75" s="325"/>
      <c r="YM75" s="325"/>
      <c r="YN75" s="325"/>
      <c r="YO75" s="325"/>
      <c r="YP75" s="325"/>
      <c r="YQ75" s="325"/>
      <c r="YR75" s="325"/>
      <c r="YS75" s="325"/>
      <c r="YT75" s="325"/>
      <c r="YU75" s="325"/>
      <c r="YV75" s="325"/>
      <c r="YW75" s="325"/>
      <c r="YX75" s="325"/>
      <c r="YY75" s="325"/>
      <c r="YZ75" s="325"/>
      <c r="ZA75" s="325"/>
      <c r="ZB75" s="325"/>
      <c r="ZC75" s="325"/>
      <c r="ZD75" s="325"/>
      <c r="ZE75" s="325"/>
      <c r="ZF75" s="325"/>
      <c r="ZG75" s="325"/>
      <c r="ZH75" s="325"/>
      <c r="ZI75" s="325"/>
      <c r="ZJ75" s="325"/>
      <c r="ZK75" s="325"/>
      <c r="ZL75" s="325"/>
      <c r="ZM75" s="325"/>
      <c r="ZN75" s="325"/>
      <c r="ZO75" s="325"/>
      <c r="ZP75" s="325"/>
      <c r="ZQ75" s="325"/>
      <c r="ZR75" s="325"/>
      <c r="ZS75" s="325"/>
      <c r="ZT75" s="325"/>
      <c r="ZU75" s="325"/>
      <c r="ZV75" s="325"/>
      <c r="ZW75" s="325"/>
      <c r="ZX75" s="325"/>
      <c r="ZY75" s="325"/>
      <c r="ZZ75" s="325"/>
      <c r="AAA75" s="325"/>
      <c r="AAB75" s="325"/>
      <c r="AAC75" s="325"/>
      <c r="AAD75" s="325"/>
      <c r="AAE75" s="325"/>
      <c r="AAF75" s="325"/>
      <c r="AAG75" s="325"/>
      <c r="AAH75" s="325"/>
      <c r="AAI75" s="325"/>
      <c r="AAJ75" s="325"/>
      <c r="AAK75" s="325"/>
      <c r="AAL75" s="325"/>
      <c r="AAM75" s="325"/>
      <c r="AAN75" s="325"/>
      <c r="AAO75" s="325"/>
      <c r="AAP75" s="325"/>
      <c r="AAQ75" s="325"/>
      <c r="AAR75" s="325"/>
      <c r="AAS75" s="325"/>
      <c r="AAT75" s="325"/>
      <c r="AAU75" s="325"/>
      <c r="AAV75" s="325"/>
      <c r="AAW75" s="325"/>
      <c r="AAX75" s="325"/>
      <c r="AAY75" s="325"/>
      <c r="AAZ75" s="325"/>
      <c r="ABA75" s="325"/>
      <c r="ABB75" s="325"/>
      <c r="ABC75" s="325"/>
      <c r="ABD75" s="325"/>
      <c r="ABE75" s="325"/>
      <c r="ABF75" s="325"/>
      <c r="ABG75" s="325"/>
      <c r="ABH75" s="325"/>
      <c r="ABI75" s="325"/>
      <c r="ABJ75" s="325"/>
      <c r="ABK75" s="325"/>
      <c r="ABL75" s="325"/>
      <c r="ABM75" s="325"/>
      <c r="ABN75" s="325"/>
      <c r="ABO75" s="325"/>
      <c r="ABP75" s="325"/>
      <c r="ABQ75" s="325"/>
      <c r="ABR75" s="325"/>
      <c r="ABS75" s="325"/>
      <c r="ABT75" s="325"/>
      <c r="ABU75" s="325"/>
      <c r="ABV75" s="325"/>
      <c r="ABW75" s="325"/>
      <c r="ABX75" s="325"/>
      <c r="ABY75" s="325"/>
      <c r="ABZ75" s="325"/>
      <c r="ACA75" s="325"/>
      <c r="ACB75" s="325"/>
      <c r="ACC75" s="325"/>
      <c r="ACD75" s="325"/>
      <c r="ACE75" s="325"/>
      <c r="ACF75" s="325"/>
      <c r="ACG75" s="325"/>
      <c r="ACH75" s="325"/>
      <c r="ACI75" s="325"/>
      <c r="ACJ75" s="325"/>
      <c r="ACK75" s="325"/>
      <c r="ACL75" s="325"/>
      <c r="ACM75" s="325"/>
      <c r="ACN75" s="325"/>
      <c r="ACO75" s="325"/>
      <c r="ACP75" s="325"/>
      <c r="ACQ75" s="325"/>
      <c r="ACR75" s="325"/>
      <c r="ACS75" s="325"/>
      <c r="ACT75" s="325"/>
      <c r="ACU75" s="325"/>
      <c r="ACV75" s="325"/>
      <c r="ACW75" s="325"/>
      <c r="ACX75" s="325"/>
      <c r="ACY75" s="325"/>
      <c r="ACZ75" s="325"/>
      <c r="ADA75" s="325"/>
      <c r="ADB75" s="325"/>
      <c r="ADC75" s="325"/>
      <c r="ADD75" s="325"/>
      <c r="ADE75" s="325"/>
      <c r="ADF75" s="325"/>
      <c r="ADG75" s="325"/>
      <c r="ADH75" s="325"/>
      <c r="ADI75" s="325"/>
      <c r="ADJ75" s="325"/>
      <c r="ADK75" s="325"/>
      <c r="ADL75" s="325"/>
      <c r="ADM75" s="325"/>
      <c r="ADN75" s="325"/>
      <c r="ADO75" s="325"/>
      <c r="ADP75" s="325"/>
      <c r="ADQ75" s="325"/>
      <c r="ADR75" s="325"/>
      <c r="ADS75" s="325"/>
      <c r="ADT75" s="325"/>
      <c r="ADU75" s="325"/>
      <c r="ADV75" s="325"/>
      <c r="ADW75" s="325"/>
      <c r="ADX75" s="325"/>
      <c r="ADY75" s="325"/>
      <c r="ADZ75" s="325"/>
      <c r="AEA75" s="325"/>
      <c r="AEB75" s="325"/>
      <c r="AEC75" s="325"/>
      <c r="AED75" s="325"/>
      <c r="AEE75" s="325"/>
      <c r="AEF75" s="325"/>
      <c r="AEG75" s="325"/>
      <c r="AEH75" s="325"/>
      <c r="AEI75" s="325"/>
      <c r="AEJ75" s="325"/>
      <c r="AEK75" s="325"/>
      <c r="AEL75" s="325"/>
      <c r="AEM75" s="325"/>
      <c r="AEN75" s="325"/>
      <c r="AEO75" s="325"/>
      <c r="AEP75" s="325"/>
      <c r="AEQ75" s="325"/>
      <c r="AER75" s="325"/>
      <c r="AES75" s="325"/>
      <c r="AET75" s="325"/>
      <c r="AEU75" s="325"/>
      <c r="AEV75" s="325"/>
      <c r="AEW75" s="325"/>
      <c r="AEX75" s="325"/>
      <c r="AEY75" s="325"/>
      <c r="AEZ75" s="325"/>
      <c r="AFA75" s="325"/>
      <c r="AFB75" s="325"/>
      <c r="AFC75" s="325"/>
      <c r="AFD75" s="325"/>
      <c r="AFE75" s="325"/>
      <c r="AFF75" s="325"/>
      <c r="AFG75" s="325"/>
      <c r="AFH75" s="325"/>
      <c r="AFI75" s="325"/>
      <c r="AFJ75" s="325"/>
      <c r="AFK75" s="325"/>
      <c r="AFL75" s="325"/>
      <c r="AFM75" s="325"/>
      <c r="AFN75" s="325"/>
      <c r="AFO75" s="325"/>
      <c r="AFP75" s="325"/>
      <c r="AFQ75" s="325"/>
      <c r="AFR75" s="325"/>
      <c r="AFS75" s="325"/>
      <c r="AFT75" s="325"/>
      <c r="AFU75" s="325"/>
      <c r="AFV75" s="325"/>
      <c r="AFW75" s="325"/>
      <c r="AFX75" s="325"/>
      <c r="AFY75" s="325"/>
      <c r="AFZ75" s="325"/>
      <c r="AGA75" s="325"/>
      <c r="AGB75" s="325"/>
      <c r="AGC75" s="325"/>
      <c r="AGD75" s="325"/>
      <c r="AGE75" s="325"/>
      <c r="AGF75" s="325"/>
      <c r="AGG75" s="325"/>
      <c r="AGH75" s="325"/>
      <c r="AGI75" s="325"/>
      <c r="AGJ75" s="325"/>
      <c r="AGK75" s="325"/>
      <c r="AGL75" s="325"/>
      <c r="AGM75" s="325"/>
      <c r="AGN75" s="325"/>
      <c r="AGO75" s="325"/>
      <c r="AGP75" s="325"/>
      <c r="AGQ75" s="325"/>
      <c r="AGR75" s="325"/>
      <c r="AGS75" s="325"/>
      <c r="AGT75" s="325"/>
      <c r="AGU75" s="325"/>
      <c r="AGV75" s="325"/>
      <c r="AGW75" s="325"/>
      <c r="AGX75" s="325"/>
      <c r="AGY75" s="325"/>
      <c r="AGZ75" s="325"/>
      <c r="AHA75" s="325"/>
      <c r="AHB75" s="325"/>
      <c r="AHC75" s="325"/>
      <c r="AHD75" s="325"/>
      <c r="AHE75" s="325"/>
      <c r="AHF75" s="325"/>
      <c r="AHG75" s="325"/>
      <c r="AHH75" s="325"/>
      <c r="AHI75" s="325"/>
      <c r="AHJ75" s="325"/>
      <c r="AHK75" s="325"/>
      <c r="AHL75" s="325"/>
      <c r="AHM75" s="325"/>
      <c r="AHN75" s="325"/>
      <c r="AHO75" s="325"/>
      <c r="AHP75" s="325"/>
      <c r="AHQ75" s="325"/>
      <c r="AHR75" s="325"/>
      <c r="AHS75" s="325"/>
      <c r="AHT75" s="325"/>
      <c r="AHU75" s="325"/>
      <c r="AHV75" s="325"/>
      <c r="AHW75" s="325"/>
      <c r="AHX75" s="325"/>
      <c r="AHY75" s="325"/>
      <c r="AHZ75" s="325"/>
      <c r="AIA75" s="325"/>
      <c r="AIB75" s="325"/>
      <c r="AIC75" s="325"/>
      <c r="AID75" s="325"/>
      <c r="AIE75" s="325"/>
      <c r="AIF75" s="325"/>
      <c r="AIG75" s="325"/>
      <c r="AIH75" s="325"/>
      <c r="AII75" s="325"/>
      <c r="AIJ75" s="325"/>
      <c r="AIK75" s="325"/>
      <c r="AIL75" s="325"/>
      <c r="AIM75" s="325"/>
      <c r="AIN75" s="325"/>
      <c r="AIO75" s="325"/>
      <c r="AIP75" s="325"/>
      <c r="AIQ75" s="325"/>
      <c r="AIR75" s="325"/>
      <c r="AIS75" s="325"/>
      <c r="AIT75" s="325"/>
      <c r="AIU75" s="325"/>
      <c r="AIV75" s="325"/>
      <c r="AIW75" s="325"/>
      <c r="AIX75" s="325"/>
      <c r="AIY75" s="325"/>
      <c r="AIZ75" s="325"/>
      <c r="AJA75" s="325"/>
      <c r="AJB75" s="325"/>
      <c r="AJC75" s="325"/>
      <c r="AJD75" s="325"/>
      <c r="AJE75" s="325"/>
      <c r="AJF75" s="325"/>
      <c r="AJG75" s="325"/>
      <c r="AJH75" s="325"/>
      <c r="AJI75" s="325"/>
      <c r="AJJ75" s="325"/>
      <c r="AJK75" s="325"/>
      <c r="AJL75" s="325"/>
      <c r="AJM75" s="325"/>
      <c r="AJN75" s="325"/>
      <c r="AJO75" s="325"/>
      <c r="AJP75" s="325"/>
      <c r="AJQ75" s="325"/>
      <c r="AJR75" s="325"/>
      <c r="AJS75" s="325"/>
      <c r="AJT75" s="325"/>
      <c r="AJU75" s="325"/>
      <c r="AJV75" s="325"/>
      <c r="AJW75" s="325"/>
      <c r="AJX75" s="325"/>
      <c r="AJY75" s="325"/>
      <c r="AJZ75" s="325"/>
      <c r="AKA75" s="325"/>
      <c r="AKB75" s="325"/>
      <c r="AKC75" s="325"/>
      <c r="AKD75" s="325"/>
      <c r="AKE75" s="325"/>
      <c r="AKF75" s="325"/>
      <c r="AKG75" s="325"/>
      <c r="AKH75" s="325"/>
      <c r="AKI75" s="325"/>
      <c r="AKJ75" s="325"/>
      <c r="AKK75" s="325"/>
      <c r="AKL75" s="325"/>
      <c r="AKM75" s="325"/>
      <c r="AKN75" s="325"/>
      <c r="AKO75" s="325"/>
      <c r="AKP75" s="325"/>
      <c r="AKQ75" s="325"/>
      <c r="AKR75" s="325"/>
      <c r="AKS75" s="325"/>
      <c r="AKT75" s="325"/>
      <c r="AKU75" s="325"/>
      <c r="AKV75" s="325"/>
      <c r="AKW75" s="325"/>
      <c r="AKX75" s="325"/>
      <c r="AKY75" s="325"/>
      <c r="AKZ75" s="325"/>
      <c r="ALA75" s="325"/>
      <c r="ALB75" s="325"/>
      <c r="ALC75" s="325"/>
      <c r="ALD75" s="325"/>
      <c r="ALE75" s="325"/>
      <c r="ALF75" s="325"/>
      <c r="ALG75" s="325"/>
      <c r="ALH75" s="325"/>
      <c r="ALI75" s="325"/>
      <c r="ALJ75" s="325"/>
      <c r="ALK75" s="325"/>
      <c r="ALL75" s="325"/>
      <c r="ALM75" s="325"/>
      <c r="ALN75" s="325"/>
      <c r="ALO75" s="325"/>
      <c r="ALP75" s="325"/>
      <c r="ALQ75" s="325"/>
      <c r="ALR75" s="325"/>
      <c r="ALS75" s="325"/>
      <c r="ALT75" s="325"/>
      <c r="ALU75" s="325"/>
      <c r="ALV75" s="325"/>
      <c r="ALW75" s="325"/>
      <c r="ALX75" s="325"/>
      <c r="ALY75" s="325"/>
      <c r="ALZ75" s="325"/>
      <c r="AMA75" s="325"/>
      <c r="AMB75" s="325"/>
      <c r="AMC75" s="325"/>
    </row>
    <row r="76" spans="3:1017" s="75" customFormat="1">
      <c r="C76" s="130"/>
      <c r="D76" s="130"/>
      <c r="CN76" s="225"/>
      <c r="CQ76" s="226"/>
      <c r="LD76" s="213"/>
      <c r="LH76" s="286"/>
      <c r="LI76" s="287"/>
      <c r="LJ76" s="124"/>
      <c r="LK76" s="124"/>
      <c r="LL76" s="124"/>
      <c r="LM76" s="124"/>
      <c r="LN76" s="124"/>
      <c r="LO76" s="124"/>
      <c r="LP76" s="124"/>
      <c r="LQ76" s="124"/>
      <c r="LR76" s="124"/>
      <c r="NE76" s="330"/>
      <c r="NF76" s="325"/>
      <c r="NG76" s="325"/>
      <c r="NH76" s="325"/>
      <c r="NI76" s="325"/>
      <c r="NJ76" s="325"/>
      <c r="NK76" s="325"/>
      <c r="NL76" s="325"/>
      <c r="NM76" s="325"/>
      <c r="NN76" s="325"/>
      <c r="NO76" s="325"/>
      <c r="NP76" s="325"/>
      <c r="NQ76" s="325"/>
      <c r="NR76" s="325"/>
      <c r="NS76" s="325"/>
      <c r="NT76" s="325"/>
      <c r="NU76" s="325"/>
      <c r="NV76" s="325"/>
      <c r="NW76" s="325"/>
      <c r="NX76" s="325"/>
      <c r="NY76" s="325"/>
      <c r="NZ76" s="325"/>
      <c r="OA76" s="325"/>
      <c r="OB76" s="325"/>
      <c r="OC76" s="325"/>
      <c r="OD76" s="325"/>
      <c r="OE76" s="325"/>
      <c r="OF76" s="325"/>
      <c r="OG76" s="325"/>
      <c r="OH76" s="325"/>
      <c r="OI76" s="325"/>
      <c r="OJ76" s="325"/>
      <c r="OK76" s="325"/>
      <c r="OL76" s="325"/>
      <c r="OM76" s="325"/>
      <c r="ON76" s="325"/>
      <c r="OO76" s="325"/>
      <c r="OP76" s="325"/>
      <c r="OQ76" s="325"/>
      <c r="OR76" s="325"/>
      <c r="OS76" s="325"/>
      <c r="OT76" s="325"/>
      <c r="OU76" s="325"/>
      <c r="OV76" s="325"/>
      <c r="OW76" s="325"/>
      <c r="OX76" s="325"/>
      <c r="OY76" s="325"/>
      <c r="OZ76" s="325"/>
      <c r="PA76" s="325"/>
      <c r="PB76" s="325"/>
      <c r="PC76" s="325"/>
      <c r="PD76" s="325"/>
      <c r="PE76" s="325"/>
      <c r="PF76" s="325"/>
      <c r="PG76" s="325"/>
      <c r="PH76" s="325"/>
      <c r="PI76" s="325"/>
      <c r="PJ76" s="325"/>
      <c r="PK76" s="325"/>
      <c r="PL76" s="325"/>
      <c r="PM76" s="325"/>
      <c r="PN76" s="325"/>
      <c r="PO76" s="325"/>
      <c r="PP76" s="325"/>
      <c r="PQ76" s="325"/>
      <c r="PR76" s="325"/>
      <c r="PS76" s="325"/>
      <c r="PT76" s="325"/>
      <c r="PU76" s="325"/>
      <c r="PV76" s="325"/>
      <c r="PW76" s="325"/>
      <c r="PX76" s="325"/>
      <c r="PY76" s="325"/>
      <c r="PZ76" s="325"/>
      <c r="QA76" s="325"/>
      <c r="QB76" s="325"/>
      <c r="QC76" s="325"/>
      <c r="QD76" s="325"/>
      <c r="QE76" s="325"/>
      <c r="QF76" s="325"/>
      <c r="QG76" s="325"/>
      <c r="QH76" s="325"/>
      <c r="QI76" s="325"/>
      <c r="QJ76" s="325"/>
      <c r="QK76" s="325"/>
      <c r="QL76" s="325"/>
      <c r="QM76" s="325"/>
      <c r="QN76" s="325"/>
      <c r="QO76" s="325"/>
      <c r="QP76" s="325"/>
      <c r="QQ76" s="325"/>
      <c r="QR76" s="325"/>
      <c r="QS76" s="325"/>
      <c r="QT76" s="325"/>
      <c r="QU76" s="325"/>
      <c r="QV76" s="325"/>
      <c r="QW76" s="325"/>
      <c r="QX76" s="325"/>
      <c r="QY76" s="325"/>
      <c r="QZ76" s="325"/>
      <c r="RA76" s="325"/>
      <c r="RB76" s="325"/>
      <c r="RC76" s="325"/>
      <c r="RD76" s="325"/>
      <c r="RE76" s="325"/>
      <c r="RF76" s="325"/>
      <c r="RG76" s="325"/>
      <c r="RH76" s="325"/>
      <c r="RI76" s="325"/>
      <c r="RJ76" s="325"/>
      <c r="RK76" s="325"/>
      <c r="RL76" s="325"/>
      <c r="RM76" s="325"/>
      <c r="RN76" s="325"/>
      <c r="RO76" s="325"/>
      <c r="RP76" s="325"/>
      <c r="RQ76" s="325"/>
      <c r="RR76" s="325"/>
      <c r="RS76" s="325"/>
      <c r="RT76" s="325"/>
      <c r="RU76" s="325"/>
      <c r="RV76" s="325"/>
      <c r="RW76" s="325"/>
      <c r="RX76" s="325"/>
      <c r="RY76" s="325"/>
      <c r="RZ76" s="325"/>
      <c r="SA76" s="325"/>
      <c r="SB76" s="325"/>
      <c r="SC76" s="325"/>
      <c r="SD76" s="325"/>
      <c r="SE76" s="325"/>
      <c r="SF76" s="325"/>
      <c r="SG76" s="325"/>
      <c r="SH76" s="325"/>
      <c r="SI76" s="325"/>
      <c r="SJ76" s="325"/>
      <c r="SK76" s="325"/>
      <c r="SL76" s="325"/>
      <c r="SM76" s="325"/>
      <c r="SN76" s="325"/>
      <c r="SO76" s="325"/>
      <c r="SP76" s="325"/>
      <c r="SQ76" s="325"/>
      <c r="SR76" s="325"/>
      <c r="SS76" s="325"/>
      <c r="ST76" s="325"/>
      <c r="SU76" s="325"/>
      <c r="SV76" s="325"/>
      <c r="SW76" s="325"/>
      <c r="SX76" s="325"/>
      <c r="SY76" s="325"/>
      <c r="SZ76" s="325"/>
      <c r="TA76" s="325"/>
      <c r="TB76" s="325"/>
      <c r="TC76" s="325"/>
      <c r="TD76" s="325"/>
      <c r="TE76" s="325"/>
      <c r="TF76" s="325"/>
      <c r="TG76" s="325"/>
      <c r="TH76" s="325"/>
      <c r="TI76" s="325"/>
      <c r="TJ76" s="325"/>
      <c r="TK76" s="325"/>
      <c r="TL76" s="325"/>
      <c r="TM76" s="325"/>
      <c r="TN76" s="325"/>
      <c r="TO76" s="325"/>
      <c r="TP76" s="325"/>
      <c r="TQ76" s="325"/>
      <c r="TR76" s="325"/>
      <c r="TS76" s="325"/>
      <c r="TT76" s="325"/>
      <c r="TU76" s="325"/>
      <c r="TV76" s="325"/>
      <c r="TW76" s="325"/>
      <c r="TX76" s="325"/>
      <c r="TY76" s="325"/>
      <c r="TZ76" s="325"/>
      <c r="UA76" s="325"/>
      <c r="UB76" s="325"/>
      <c r="UC76" s="325"/>
      <c r="UD76" s="325"/>
      <c r="UE76" s="325"/>
      <c r="UF76" s="325"/>
      <c r="UG76" s="325"/>
      <c r="UH76" s="325"/>
      <c r="UI76" s="325"/>
      <c r="UJ76" s="325"/>
      <c r="UK76" s="325"/>
      <c r="UL76" s="325"/>
      <c r="UM76" s="325"/>
      <c r="UN76" s="325"/>
      <c r="UO76" s="325"/>
      <c r="UP76" s="325"/>
      <c r="UQ76" s="325"/>
      <c r="UR76" s="325"/>
      <c r="US76" s="325"/>
      <c r="UT76" s="325"/>
      <c r="UU76" s="325"/>
      <c r="UV76" s="325"/>
      <c r="UW76" s="325"/>
      <c r="UX76" s="325"/>
      <c r="UY76" s="325"/>
      <c r="UZ76" s="325"/>
      <c r="VA76" s="325"/>
      <c r="VB76" s="325"/>
      <c r="VC76" s="325"/>
      <c r="VD76" s="325"/>
      <c r="VE76" s="325"/>
      <c r="VF76" s="325"/>
      <c r="VG76" s="325"/>
      <c r="VH76" s="325"/>
      <c r="VI76" s="325"/>
      <c r="VJ76" s="325"/>
      <c r="VK76" s="325"/>
      <c r="VL76" s="325"/>
      <c r="VM76" s="325"/>
      <c r="VN76" s="325"/>
      <c r="VO76" s="325"/>
      <c r="VP76" s="325"/>
      <c r="VQ76" s="325"/>
      <c r="VR76" s="325"/>
      <c r="VS76" s="325"/>
      <c r="VT76" s="325"/>
      <c r="VU76" s="325"/>
      <c r="VV76" s="325"/>
      <c r="VW76" s="325"/>
      <c r="VX76" s="325"/>
      <c r="VY76" s="325"/>
      <c r="VZ76" s="325"/>
      <c r="WA76" s="325"/>
      <c r="WB76" s="325"/>
      <c r="WC76" s="325"/>
      <c r="WD76" s="325"/>
      <c r="WE76" s="325"/>
      <c r="WF76" s="325"/>
      <c r="WG76" s="325"/>
      <c r="WH76" s="325"/>
      <c r="WI76" s="325"/>
      <c r="WJ76" s="325"/>
      <c r="WK76" s="325"/>
      <c r="WL76" s="325"/>
      <c r="WM76" s="325"/>
      <c r="WN76" s="325"/>
      <c r="WO76" s="325"/>
      <c r="WP76" s="325"/>
      <c r="WQ76" s="325"/>
      <c r="WR76" s="325"/>
      <c r="WS76" s="325"/>
      <c r="WT76" s="325"/>
      <c r="WU76" s="325"/>
      <c r="WV76" s="325"/>
      <c r="WW76" s="325"/>
      <c r="WX76" s="325"/>
      <c r="WY76" s="325"/>
      <c r="WZ76" s="325"/>
      <c r="XA76" s="325"/>
      <c r="XB76" s="325"/>
      <c r="XC76" s="325"/>
      <c r="XD76" s="325"/>
      <c r="XE76" s="325"/>
      <c r="XF76" s="325"/>
      <c r="XG76" s="325"/>
      <c r="XH76" s="325"/>
      <c r="XI76" s="325"/>
      <c r="XJ76" s="325"/>
      <c r="XK76" s="325"/>
      <c r="XL76" s="325"/>
      <c r="XM76" s="325"/>
      <c r="XN76" s="325"/>
      <c r="XO76" s="325"/>
      <c r="XP76" s="325"/>
      <c r="XQ76" s="325"/>
      <c r="XR76" s="325"/>
      <c r="XS76" s="325"/>
      <c r="XT76" s="325"/>
      <c r="XU76" s="325"/>
      <c r="XV76" s="325"/>
      <c r="XW76" s="325"/>
      <c r="XX76" s="325"/>
      <c r="XY76" s="325"/>
      <c r="XZ76" s="325"/>
      <c r="YA76" s="325"/>
      <c r="YB76" s="325"/>
      <c r="YC76" s="325"/>
      <c r="YD76" s="325"/>
      <c r="YE76" s="325"/>
      <c r="YF76" s="325"/>
      <c r="YG76" s="325"/>
      <c r="YH76" s="325"/>
      <c r="YI76" s="325"/>
      <c r="YJ76" s="325"/>
      <c r="YK76" s="325"/>
      <c r="YL76" s="325"/>
      <c r="YM76" s="325"/>
      <c r="YN76" s="325"/>
      <c r="YO76" s="325"/>
      <c r="YP76" s="325"/>
      <c r="YQ76" s="325"/>
      <c r="YR76" s="325"/>
      <c r="YS76" s="325"/>
      <c r="YT76" s="325"/>
      <c r="YU76" s="325"/>
      <c r="YV76" s="325"/>
      <c r="YW76" s="325"/>
      <c r="YX76" s="325"/>
      <c r="YY76" s="325"/>
      <c r="YZ76" s="325"/>
      <c r="ZA76" s="325"/>
      <c r="ZB76" s="325"/>
      <c r="ZC76" s="325"/>
      <c r="ZD76" s="325"/>
      <c r="ZE76" s="325"/>
      <c r="ZF76" s="325"/>
      <c r="ZG76" s="325"/>
      <c r="ZH76" s="325"/>
      <c r="ZI76" s="325"/>
      <c r="ZJ76" s="325"/>
      <c r="ZK76" s="325"/>
      <c r="ZL76" s="325"/>
      <c r="ZM76" s="325"/>
      <c r="ZN76" s="325"/>
      <c r="ZO76" s="325"/>
      <c r="ZP76" s="325"/>
      <c r="ZQ76" s="325"/>
      <c r="ZR76" s="325"/>
      <c r="ZS76" s="325"/>
      <c r="ZT76" s="325"/>
      <c r="ZU76" s="325"/>
      <c r="ZV76" s="325"/>
      <c r="ZW76" s="325"/>
      <c r="ZX76" s="325"/>
      <c r="ZY76" s="325"/>
      <c r="ZZ76" s="325"/>
      <c r="AAA76" s="325"/>
      <c r="AAB76" s="325"/>
      <c r="AAC76" s="325"/>
      <c r="AAD76" s="325"/>
      <c r="AAE76" s="325"/>
      <c r="AAF76" s="325"/>
      <c r="AAG76" s="325"/>
      <c r="AAH76" s="325"/>
      <c r="AAI76" s="325"/>
      <c r="AAJ76" s="325"/>
      <c r="AAK76" s="325"/>
      <c r="AAL76" s="325"/>
      <c r="AAM76" s="325"/>
      <c r="AAN76" s="325"/>
      <c r="AAO76" s="325"/>
      <c r="AAP76" s="325"/>
      <c r="AAQ76" s="325"/>
      <c r="AAR76" s="325"/>
      <c r="AAS76" s="325"/>
      <c r="AAT76" s="325"/>
      <c r="AAU76" s="325"/>
      <c r="AAV76" s="325"/>
      <c r="AAW76" s="325"/>
      <c r="AAX76" s="325"/>
      <c r="AAY76" s="325"/>
      <c r="AAZ76" s="325"/>
      <c r="ABA76" s="325"/>
      <c r="ABB76" s="325"/>
      <c r="ABC76" s="325"/>
      <c r="ABD76" s="325"/>
      <c r="ABE76" s="325"/>
      <c r="ABF76" s="325"/>
      <c r="ABG76" s="325"/>
      <c r="ABH76" s="325"/>
      <c r="ABI76" s="325"/>
      <c r="ABJ76" s="325"/>
      <c r="ABK76" s="325"/>
      <c r="ABL76" s="325"/>
      <c r="ABM76" s="325"/>
      <c r="ABN76" s="325"/>
      <c r="ABO76" s="325"/>
      <c r="ABP76" s="325"/>
      <c r="ABQ76" s="325"/>
      <c r="ABR76" s="325"/>
      <c r="ABS76" s="325"/>
      <c r="ABT76" s="325"/>
      <c r="ABU76" s="325"/>
      <c r="ABV76" s="325"/>
      <c r="ABW76" s="325"/>
      <c r="ABX76" s="325"/>
      <c r="ABY76" s="325"/>
      <c r="ABZ76" s="325"/>
      <c r="ACA76" s="325"/>
      <c r="ACB76" s="325"/>
      <c r="ACC76" s="325"/>
      <c r="ACD76" s="325"/>
      <c r="ACE76" s="325"/>
      <c r="ACF76" s="325"/>
      <c r="ACG76" s="325"/>
      <c r="ACH76" s="325"/>
      <c r="ACI76" s="325"/>
      <c r="ACJ76" s="325"/>
      <c r="ACK76" s="325"/>
      <c r="ACL76" s="325"/>
      <c r="ACM76" s="325"/>
      <c r="ACN76" s="325"/>
      <c r="ACO76" s="325"/>
      <c r="ACP76" s="325"/>
      <c r="ACQ76" s="325"/>
      <c r="ACR76" s="325"/>
      <c r="ACS76" s="325"/>
      <c r="ACT76" s="325"/>
      <c r="ACU76" s="325"/>
      <c r="ACV76" s="325"/>
      <c r="ACW76" s="325"/>
      <c r="ACX76" s="325"/>
      <c r="ACY76" s="325"/>
      <c r="ACZ76" s="325"/>
      <c r="ADA76" s="325"/>
      <c r="ADB76" s="325"/>
      <c r="ADC76" s="325"/>
      <c r="ADD76" s="325"/>
      <c r="ADE76" s="325"/>
      <c r="ADF76" s="325"/>
      <c r="ADG76" s="325"/>
      <c r="ADH76" s="325"/>
      <c r="ADI76" s="325"/>
      <c r="ADJ76" s="325"/>
      <c r="ADK76" s="325"/>
      <c r="ADL76" s="325"/>
      <c r="ADM76" s="325"/>
      <c r="ADN76" s="325"/>
      <c r="ADO76" s="325"/>
      <c r="ADP76" s="325"/>
      <c r="ADQ76" s="325"/>
      <c r="ADR76" s="325"/>
      <c r="ADS76" s="325"/>
      <c r="ADT76" s="325"/>
      <c r="ADU76" s="325"/>
      <c r="ADV76" s="325"/>
      <c r="ADW76" s="325"/>
      <c r="ADX76" s="325"/>
      <c r="ADY76" s="325"/>
      <c r="ADZ76" s="325"/>
      <c r="AEA76" s="325"/>
      <c r="AEB76" s="325"/>
      <c r="AEC76" s="325"/>
      <c r="AED76" s="325"/>
      <c r="AEE76" s="325"/>
      <c r="AEF76" s="325"/>
      <c r="AEG76" s="325"/>
      <c r="AEH76" s="325"/>
      <c r="AEI76" s="325"/>
      <c r="AEJ76" s="325"/>
      <c r="AEK76" s="325"/>
      <c r="AEL76" s="325"/>
      <c r="AEM76" s="325"/>
      <c r="AEN76" s="325"/>
      <c r="AEO76" s="325"/>
      <c r="AEP76" s="325"/>
      <c r="AEQ76" s="325"/>
      <c r="AER76" s="325"/>
      <c r="AES76" s="325"/>
      <c r="AET76" s="325"/>
      <c r="AEU76" s="325"/>
      <c r="AEV76" s="325"/>
      <c r="AEW76" s="325"/>
      <c r="AEX76" s="325"/>
      <c r="AEY76" s="325"/>
      <c r="AEZ76" s="325"/>
      <c r="AFA76" s="325"/>
      <c r="AFB76" s="325"/>
      <c r="AFC76" s="325"/>
      <c r="AFD76" s="325"/>
      <c r="AFE76" s="325"/>
      <c r="AFF76" s="325"/>
      <c r="AFG76" s="325"/>
      <c r="AFH76" s="325"/>
      <c r="AFI76" s="325"/>
      <c r="AFJ76" s="325"/>
      <c r="AFK76" s="325"/>
      <c r="AFL76" s="325"/>
      <c r="AFM76" s="325"/>
      <c r="AFN76" s="325"/>
      <c r="AFO76" s="325"/>
      <c r="AFP76" s="325"/>
      <c r="AFQ76" s="325"/>
      <c r="AFR76" s="325"/>
      <c r="AFS76" s="325"/>
      <c r="AFT76" s="325"/>
      <c r="AFU76" s="325"/>
      <c r="AFV76" s="325"/>
      <c r="AFW76" s="325"/>
      <c r="AFX76" s="325"/>
      <c r="AFY76" s="325"/>
      <c r="AFZ76" s="325"/>
      <c r="AGA76" s="325"/>
      <c r="AGB76" s="325"/>
      <c r="AGC76" s="325"/>
      <c r="AGD76" s="325"/>
      <c r="AGE76" s="325"/>
      <c r="AGF76" s="325"/>
      <c r="AGG76" s="325"/>
      <c r="AGH76" s="325"/>
      <c r="AGI76" s="325"/>
      <c r="AGJ76" s="325"/>
      <c r="AGK76" s="325"/>
      <c r="AGL76" s="325"/>
      <c r="AGM76" s="325"/>
      <c r="AGN76" s="325"/>
      <c r="AGO76" s="325"/>
      <c r="AGP76" s="325"/>
      <c r="AGQ76" s="325"/>
      <c r="AGR76" s="325"/>
      <c r="AGS76" s="325"/>
      <c r="AGT76" s="325"/>
      <c r="AGU76" s="325"/>
      <c r="AGV76" s="325"/>
      <c r="AGW76" s="325"/>
      <c r="AGX76" s="325"/>
      <c r="AGY76" s="325"/>
      <c r="AGZ76" s="325"/>
      <c r="AHA76" s="325"/>
      <c r="AHB76" s="325"/>
      <c r="AHC76" s="325"/>
      <c r="AHD76" s="325"/>
      <c r="AHE76" s="325"/>
      <c r="AHF76" s="325"/>
      <c r="AHG76" s="325"/>
      <c r="AHH76" s="325"/>
      <c r="AHI76" s="325"/>
      <c r="AHJ76" s="325"/>
      <c r="AHK76" s="325"/>
      <c r="AHL76" s="325"/>
      <c r="AHM76" s="325"/>
      <c r="AHN76" s="325"/>
      <c r="AHO76" s="325"/>
      <c r="AHP76" s="325"/>
      <c r="AHQ76" s="325"/>
      <c r="AHR76" s="325"/>
      <c r="AHS76" s="325"/>
      <c r="AHT76" s="325"/>
      <c r="AHU76" s="325"/>
      <c r="AHV76" s="325"/>
      <c r="AHW76" s="325"/>
      <c r="AHX76" s="325"/>
      <c r="AHY76" s="325"/>
      <c r="AHZ76" s="325"/>
      <c r="AIA76" s="325"/>
      <c r="AIB76" s="325"/>
      <c r="AIC76" s="325"/>
      <c r="AID76" s="325"/>
      <c r="AIE76" s="325"/>
      <c r="AIF76" s="325"/>
      <c r="AIG76" s="325"/>
      <c r="AIH76" s="325"/>
      <c r="AII76" s="325"/>
      <c r="AIJ76" s="325"/>
      <c r="AIK76" s="325"/>
      <c r="AIL76" s="325"/>
      <c r="AIM76" s="325"/>
      <c r="AIN76" s="325"/>
      <c r="AIO76" s="325"/>
      <c r="AIP76" s="325"/>
      <c r="AIQ76" s="325"/>
      <c r="AIR76" s="325"/>
      <c r="AIS76" s="325"/>
      <c r="AIT76" s="325"/>
      <c r="AIU76" s="325"/>
      <c r="AIV76" s="325"/>
      <c r="AIW76" s="325"/>
      <c r="AIX76" s="325"/>
      <c r="AIY76" s="325"/>
      <c r="AIZ76" s="325"/>
      <c r="AJA76" s="325"/>
      <c r="AJB76" s="325"/>
      <c r="AJC76" s="325"/>
      <c r="AJD76" s="325"/>
      <c r="AJE76" s="325"/>
      <c r="AJF76" s="325"/>
      <c r="AJG76" s="325"/>
      <c r="AJH76" s="325"/>
      <c r="AJI76" s="325"/>
      <c r="AJJ76" s="325"/>
      <c r="AJK76" s="325"/>
      <c r="AJL76" s="325"/>
      <c r="AJM76" s="325"/>
      <c r="AJN76" s="325"/>
      <c r="AJO76" s="325"/>
      <c r="AJP76" s="325"/>
      <c r="AJQ76" s="325"/>
      <c r="AJR76" s="325"/>
      <c r="AJS76" s="325"/>
      <c r="AJT76" s="325"/>
      <c r="AJU76" s="325"/>
      <c r="AJV76" s="325"/>
      <c r="AJW76" s="325"/>
      <c r="AJX76" s="325"/>
      <c r="AJY76" s="325"/>
      <c r="AJZ76" s="325"/>
      <c r="AKA76" s="325"/>
      <c r="AKB76" s="325"/>
      <c r="AKC76" s="325"/>
      <c r="AKD76" s="325"/>
      <c r="AKE76" s="325"/>
      <c r="AKF76" s="325"/>
      <c r="AKG76" s="325"/>
      <c r="AKH76" s="325"/>
      <c r="AKI76" s="325"/>
      <c r="AKJ76" s="325"/>
      <c r="AKK76" s="325"/>
      <c r="AKL76" s="325"/>
      <c r="AKM76" s="325"/>
      <c r="AKN76" s="325"/>
      <c r="AKO76" s="325"/>
      <c r="AKP76" s="325"/>
      <c r="AKQ76" s="325"/>
      <c r="AKR76" s="325"/>
      <c r="AKS76" s="325"/>
      <c r="AKT76" s="325"/>
      <c r="AKU76" s="325"/>
      <c r="AKV76" s="325"/>
      <c r="AKW76" s="325"/>
      <c r="AKX76" s="325"/>
      <c r="AKY76" s="325"/>
      <c r="AKZ76" s="325"/>
      <c r="ALA76" s="325"/>
      <c r="ALB76" s="325"/>
      <c r="ALC76" s="325"/>
      <c r="ALD76" s="325"/>
      <c r="ALE76" s="325"/>
      <c r="ALF76" s="325"/>
      <c r="ALG76" s="325"/>
      <c r="ALH76" s="325"/>
      <c r="ALI76" s="325"/>
      <c r="ALJ76" s="325"/>
      <c r="ALK76" s="325"/>
      <c r="ALL76" s="325"/>
      <c r="ALM76" s="325"/>
      <c r="ALN76" s="325"/>
      <c r="ALO76" s="325"/>
      <c r="ALP76" s="325"/>
      <c r="ALQ76" s="325"/>
      <c r="ALR76" s="325"/>
      <c r="ALS76" s="325"/>
      <c r="ALT76" s="325"/>
      <c r="ALU76" s="325"/>
      <c r="ALV76" s="325"/>
      <c r="ALW76" s="325"/>
      <c r="ALX76" s="325"/>
      <c r="ALY76" s="325"/>
      <c r="ALZ76" s="325"/>
      <c r="AMA76" s="325"/>
      <c r="AMB76" s="325"/>
      <c r="AMC76" s="325"/>
    </row>
    <row r="77" spans="3:1017" s="75" customFormat="1">
      <c r="C77" s="130"/>
      <c r="D77" s="130"/>
      <c r="CN77" s="225"/>
      <c r="CQ77" s="226"/>
      <c r="LD77" s="213"/>
      <c r="LH77" s="286"/>
      <c r="LI77" s="287"/>
      <c r="LJ77" s="124"/>
      <c r="LK77" s="124"/>
      <c r="LL77" s="124"/>
      <c r="LM77" s="124"/>
      <c r="LN77" s="124"/>
      <c r="LO77" s="124"/>
      <c r="LP77" s="124"/>
      <c r="LQ77" s="124"/>
      <c r="LR77" s="124"/>
      <c r="NE77" s="330"/>
      <c r="NF77" s="325"/>
      <c r="NG77" s="325"/>
      <c r="NH77" s="325"/>
      <c r="NI77" s="325"/>
      <c r="NJ77" s="325"/>
      <c r="NK77" s="325"/>
      <c r="NL77" s="325"/>
      <c r="NM77" s="325"/>
      <c r="NN77" s="325"/>
      <c r="NO77" s="325"/>
      <c r="NP77" s="325"/>
      <c r="NQ77" s="325"/>
      <c r="NR77" s="325"/>
      <c r="NS77" s="325"/>
      <c r="NT77" s="325"/>
      <c r="NU77" s="325"/>
      <c r="NV77" s="325"/>
      <c r="NW77" s="325"/>
      <c r="NX77" s="325"/>
      <c r="NY77" s="325"/>
      <c r="NZ77" s="325"/>
      <c r="OA77" s="325"/>
      <c r="OB77" s="325"/>
      <c r="OC77" s="325"/>
      <c r="OD77" s="325"/>
      <c r="OE77" s="325"/>
      <c r="OF77" s="325"/>
      <c r="OG77" s="325"/>
      <c r="OH77" s="325"/>
      <c r="OI77" s="325"/>
      <c r="OJ77" s="325"/>
      <c r="OK77" s="325"/>
      <c r="OL77" s="325"/>
      <c r="OM77" s="325"/>
      <c r="ON77" s="325"/>
      <c r="OO77" s="325"/>
      <c r="OP77" s="325"/>
      <c r="OQ77" s="325"/>
      <c r="OR77" s="325"/>
      <c r="OS77" s="325"/>
      <c r="OT77" s="325"/>
      <c r="OU77" s="325"/>
      <c r="OV77" s="325"/>
      <c r="OW77" s="325"/>
      <c r="OX77" s="325"/>
      <c r="OY77" s="325"/>
      <c r="OZ77" s="325"/>
      <c r="PA77" s="325"/>
      <c r="PB77" s="325"/>
      <c r="PC77" s="325"/>
      <c r="PD77" s="325"/>
      <c r="PE77" s="325"/>
      <c r="PF77" s="325"/>
      <c r="PG77" s="325"/>
      <c r="PH77" s="325"/>
      <c r="PI77" s="325"/>
      <c r="PJ77" s="325"/>
      <c r="PK77" s="325"/>
      <c r="PL77" s="325"/>
      <c r="PM77" s="325"/>
      <c r="PN77" s="325"/>
      <c r="PO77" s="325"/>
      <c r="PP77" s="325"/>
      <c r="PQ77" s="325"/>
      <c r="PR77" s="325"/>
      <c r="PS77" s="325"/>
      <c r="PT77" s="325"/>
      <c r="PU77" s="325"/>
      <c r="PV77" s="325"/>
      <c r="PW77" s="325"/>
      <c r="PX77" s="325"/>
      <c r="PY77" s="325"/>
      <c r="PZ77" s="325"/>
      <c r="QA77" s="325"/>
      <c r="QB77" s="325"/>
      <c r="QC77" s="325"/>
      <c r="QD77" s="325"/>
      <c r="QE77" s="325"/>
      <c r="QF77" s="325"/>
      <c r="QG77" s="325"/>
      <c r="QH77" s="325"/>
      <c r="QI77" s="325"/>
      <c r="QJ77" s="325"/>
      <c r="QK77" s="325"/>
      <c r="QL77" s="325"/>
      <c r="QM77" s="325"/>
      <c r="QN77" s="325"/>
      <c r="QO77" s="325"/>
      <c r="QP77" s="325"/>
      <c r="QQ77" s="325"/>
      <c r="QR77" s="325"/>
      <c r="QS77" s="325"/>
      <c r="QT77" s="325"/>
      <c r="QU77" s="325"/>
      <c r="QV77" s="325"/>
      <c r="QW77" s="325"/>
      <c r="QX77" s="325"/>
      <c r="QY77" s="325"/>
      <c r="QZ77" s="325"/>
      <c r="RA77" s="325"/>
      <c r="RB77" s="325"/>
      <c r="RC77" s="325"/>
      <c r="RD77" s="325"/>
      <c r="RE77" s="325"/>
      <c r="RF77" s="325"/>
      <c r="RG77" s="325"/>
      <c r="RH77" s="325"/>
      <c r="RI77" s="325"/>
      <c r="RJ77" s="325"/>
      <c r="RK77" s="325"/>
      <c r="RL77" s="325"/>
      <c r="RM77" s="325"/>
      <c r="RN77" s="325"/>
      <c r="RO77" s="325"/>
      <c r="RP77" s="325"/>
      <c r="RQ77" s="325"/>
      <c r="RR77" s="325"/>
      <c r="RS77" s="325"/>
      <c r="RT77" s="325"/>
      <c r="RU77" s="325"/>
      <c r="RV77" s="325"/>
      <c r="RW77" s="325"/>
      <c r="RX77" s="325"/>
      <c r="RY77" s="325"/>
      <c r="RZ77" s="325"/>
      <c r="SA77" s="325"/>
      <c r="SB77" s="325"/>
      <c r="SC77" s="325"/>
      <c r="SD77" s="325"/>
      <c r="SE77" s="325"/>
      <c r="SF77" s="325"/>
      <c r="SG77" s="325"/>
      <c r="SH77" s="325"/>
      <c r="SI77" s="325"/>
      <c r="SJ77" s="325"/>
      <c r="SK77" s="325"/>
      <c r="SL77" s="325"/>
      <c r="SM77" s="325"/>
      <c r="SN77" s="325"/>
      <c r="SO77" s="325"/>
      <c r="SP77" s="325"/>
      <c r="SQ77" s="325"/>
      <c r="SR77" s="325"/>
      <c r="SS77" s="325"/>
      <c r="ST77" s="325"/>
      <c r="SU77" s="325"/>
      <c r="SV77" s="325"/>
      <c r="SW77" s="325"/>
      <c r="SX77" s="325"/>
      <c r="SY77" s="325"/>
      <c r="SZ77" s="325"/>
      <c r="TA77" s="325"/>
      <c r="TB77" s="325"/>
      <c r="TC77" s="325"/>
      <c r="TD77" s="325"/>
      <c r="TE77" s="325"/>
      <c r="TF77" s="325"/>
      <c r="TG77" s="325"/>
      <c r="TH77" s="325"/>
      <c r="TI77" s="325"/>
      <c r="TJ77" s="325"/>
      <c r="TK77" s="325"/>
      <c r="TL77" s="325"/>
      <c r="TM77" s="325"/>
      <c r="TN77" s="325"/>
      <c r="TO77" s="325"/>
      <c r="TP77" s="325"/>
      <c r="TQ77" s="325"/>
      <c r="TR77" s="325"/>
      <c r="TS77" s="325"/>
      <c r="TT77" s="325"/>
      <c r="TU77" s="325"/>
      <c r="TV77" s="325"/>
      <c r="TW77" s="325"/>
      <c r="TX77" s="325"/>
      <c r="TY77" s="325"/>
      <c r="TZ77" s="325"/>
      <c r="UA77" s="325"/>
      <c r="UB77" s="325"/>
      <c r="UC77" s="325"/>
      <c r="UD77" s="325"/>
      <c r="UE77" s="325"/>
      <c r="UF77" s="325"/>
      <c r="UG77" s="325"/>
      <c r="UH77" s="325"/>
      <c r="UI77" s="325"/>
      <c r="UJ77" s="325"/>
      <c r="UK77" s="325"/>
      <c r="UL77" s="325"/>
      <c r="UM77" s="325"/>
      <c r="UN77" s="325"/>
      <c r="UO77" s="325"/>
      <c r="UP77" s="325"/>
      <c r="UQ77" s="325"/>
      <c r="UR77" s="325"/>
      <c r="US77" s="325"/>
      <c r="UT77" s="325"/>
      <c r="UU77" s="325"/>
      <c r="UV77" s="325"/>
      <c r="UW77" s="325"/>
      <c r="UX77" s="325"/>
      <c r="UY77" s="325"/>
      <c r="UZ77" s="325"/>
      <c r="VA77" s="325"/>
      <c r="VB77" s="325"/>
      <c r="VC77" s="325"/>
      <c r="VD77" s="325"/>
      <c r="VE77" s="325"/>
      <c r="VF77" s="325"/>
      <c r="VG77" s="325"/>
      <c r="VH77" s="325"/>
      <c r="VI77" s="325"/>
      <c r="VJ77" s="325"/>
      <c r="VK77" s="325"/>
      <c r="VL77" s="325"/>
      <c r="VM77" s="325"/>
      <c r="VN77" s="325"/>
      <c r="VO77" s="325"/>
      <c r="VP77" s="325"/>
      <c r="VQ77" s="325"/>
      <c r="VR77" s="325"/>
      <c r="VS77" s="325"/>
      <c r="VT77" s="325"/>
      <c r="VU77" s="325"/>
      <c r="VV77" s="325"/>
      <c r="VW77" s="325"/>
      <c r="VX77" s="325"/>
      <c r="VY77" s="325"/>
      <c r="VZ77" s="325"/>
      <c r="WA77" s="325"/>
      <c r="WB77" s="325"/>
      <c r="WC77" s="325"/>
      <c r="WD77" s="325"/>
      <c r="WE77" s="325"/>
      <c r="WF77" s="325"/>
      <c r="WG77" s="325"/>
      <c r="WH77" s="325"/>
      <c r="WI77" s="325"/>
      <c r="WJ77" s="325"/>
      <c r="WK77" s="325"/>
      <c r="WL77" s="325"/>
      <c r="WM77" s="325"/>
      <c r="WN77" s="325"/>
      <c r="WO77" s="325"/>
      <c r="WP77" s="325"/>
      <c r="WQ77" s="325"/>
      <c r="WR77" s="325"/>
      <c r="WS77" s="325"/>
      <c r="WT77" s="325"/>
      <c r="WU77" s="325"/>
      <c r="WV77" s="325"/>
      <c r="WW77" s="325"/>
      <c r="WX77" s="325"/>
      <c r="WY77" s="325"/>
      <c r="WZ77" s="325"/>
      <c r="XA77" s="325"/>
      <c r="XB77" s="325"/>
      <c r="XC77" s="325"/>
      <c r="XD77" s="325"/>
      <c r="XE77" s="325"/>
      <c r="XF77" s="325"/>
      <c r="XG77" s="325"/>
      <c r="XH77" s="325"/>
      <c r="XI77" s="325"/>
      <c r="XJ77" s="325"/>
      <c r="XK77" s="325"/>
      <c r="XL77" s="325"/>
      <c r="XM77" s="325"/>
      <c r="XN77" s="325"/>
      <c r="XO77" s="325"/>
      <c r="XP77" s="325"/>
      <c r="XQ77" s="325"/>
      <c r="XR77" s="325"/>
      <c r="XS77" s="325"/>
      <c r="XT77" s="325"/>
      <c r="XU77" s="325"/>
      <c r="XV77" s="325"/>
      <c r="XW77" s="325"/>
      <c r="XX77" s="325"/>
      <c r="XY77" s="325"/>
      <c r="XZ77" s="325"/>
      <c r="YA77" s="325"/>
      <c r="YB77" s="325"/>
      <c r="YC77" s="325"/>
      <c r="YD77" s="325"/>
      <c r="YE77" s="325"/>
      <c r="YF77" s="325"/>
      <c r="YG77" s="325"/>
      <c r="YH77" s="325"/>
      <c r="YI77" s="325"/>
      <c r="YJ77" s="325"/>
      <c r="YK77" s="325"/>
      <c r="YL77" s="325"/>
      <c r="YM77" s="325"/>
      <c r="YN77" s="325"/>
      <c r="YO77" s="325"/>
      <c r="YP77" s="325"/>
      <c r="YQ77" s="325"/>
      <c r="YR77" s="325"/>
      <c r="YS77" s="325"/>
      <c r="YT77" s="325"/>
      <c r="YU77" s="325"/>
      <c r="YV77" s="325"/>
      <c r="YW77" s="325"/>
      <c r="YX77" s="325"/>
      <c r="YY77" s="325"/>
      <c r="YZ77" s="325"/>
      <c r="ZA77" s="325"/>
      <c r="ZB77" s="325"/>
      <c r="ZC77" s="325"/>
      <c r="ZD77" s="325"/>
      <c r="ZE77" s="325"/>
      <c r="ZF77" s="325"/>
      <c r="ZG77" s="325"/>
      <c r="ZH77" s="325"/>
      <c r="ZI77" s="325"/>
      <c r="ZJ77" s="325"/>
      <c r="ZK77" s="325"/>
      <c r="ZL77" s="325"/>
      <c r="ZM77" s="325"/>
      <c r="ZN77" s="325"/>
      <c r="ZO77" s="325"/>
      <c r="ZP77" s="325"/>
      <c r="ZQ77" s="325"/>
      <c r="ZR77" s="325"/>
      <c r="ZS77" s="325"/>
      <c r="ZT77" s="325"/>
      <c r="ZU77" s="325"/>
      <c r="ZV77" s="325"/>
      <c r="ZW77" s="325"/>
      <c r="ZX77" s="325"/>
      <c r="ZY77" s="325"/>
      <c r="ZZ77" s="325"/>
      <c r="AAA77" s="325"/>
      <c r="AAB77" s="325"/>
      <c r="AAC77" s="325"/>
      <c r="AAD77" s="325"/>
      <c r="AAE77" s="325"/>
      <c r="AAF77" s="325"/>
      <c r="AAG77" s="325"/>
      <c r="AAH77" s="325"/>
      <c r="AAI77" s="325"/>
      <c r="AAJ77" s="325"/>
      <c r="AAK77" s="325"/>
      <c r="AAL77" s="325"/>
      <c r="AAM77" s="325"/>
      <c r="AAN77" s="325"/>
      <c r="AAO77" s="325"/>
      <c r="AAP77" s="325"/>
      <c r="AAQ77" s="325"/>
      <c r="AAR77" s="325"/>
      <c r="AAS77" s="325"/>
      <c r="AAT77" s="325"/>
      <c r="AAU77" s="325"/>
      <c r="AAV77" s="325"/>
      <c r="AAW77" s="325"/>
      <c r="AAX77" s="325"/>
      <c r="AAY77" s="325"/>
      <c r="AAZ77" s="325"/>
      <c r="ABA77" s="325"/>
      <c r="ABB77" s="325"/>
      <c r="ABC77" s="325"/>
      <c r="ABD77" s="325"/>
      <c r="ABE77" s="325"/>
      <c r="ABF77" s="325"/>
      <c r="ABG77" s="325"/>
      <c r="ABH77" s="325"/>
      <c r="ABI77" s="325"/>
      <c r="ABJ77" s="325"/>
      <c r="ABK77" s="325"/>
      <c r="ABL77" s="325"/>
      <c r="ABM77" s="325"/>
      <c r="ABN77" s="325"/>
      <c r="ABO77" s="325"/>
      <c r="ABP77" s="325"/>
      <c r="ABQ77" s="325"/>
      <c r="ABR77" s="325"/>
      <c r="ABS77" s="325"/>
      <c r="ABT77" s="325"/>
      <c r="ABU77" s="325"/>
      <c r="ABV77" s="325"/>
      <c r="ABW77" s="325"/>
      <c r="ABX77" s="325"/>
      <c r="ABY77" s="325"/>
      <c r="ABZ77" s="325"/>
      <c r="ACA77" s="325"/>
      <c r="ACB77" s="325"/>
      <c r="ACC77" s="325"/>
      <c r="ACD77" s="325"/>
      <c r="ACE77" s="325"/>
      <c r="ACF77" s="325"/>
      <c r="ACG77" s="325"/>
      <c r="ACH77" s="325"/>
      <c r="ACI77" s="325"/>
      <c r="ACJ77" s="325"/>
      <c r="ACK77" s="325"/>
      <c r="ACL77" s="325"/>
      <c r="ACM77" s="325"/>
      <c r="ACN77" s="325"/>
      <c r="ACO77" s="325"/>
      <c r="ACP77" s="325"/>
      <c r="ACQ77" s="325"/>
      <c r="ACR77" s="325"/>
      <c r="ACS77" s="325"/>
      <c r="ACT77" s="325"/>
      <c r="ACU77" s="325"/>
      <c r="ACV77" s="325"/>
      <c r="ACW77" s="325"/>
      <c r="ACX77" s="325"/>
      <c r="ACY77" s="325"/>
      <c r="ACZ77" s="325"/>
      <c r="ADA77" s="325"/>
      <c r="ADB77" s="325"/>
      <c r="ADC77" s="325"/>
      <c r="ADD77" s="325"/>
      <c r="ADE77" s="325"/>
      <c r="ADF77" s="325"/>
      <c r="ADG77" s="325"/>
      <c r="ADH77" s="325"/>
      <c r="ADI77" s="325"/>
      <c r="ADJ77" s="325"/>
      <c r="ADK77" s="325"/>
      <c r="ADL77" s="325"/>
      <c r="ADM77" s="325"/>
      <c r="ADN77" s="325"/>
      <c r="ADO77" s="325"/>
      <c r="ADP77" s="325"/>
      <c r="ADQ77" s="325"/>
      <c r="ADR77" s="325"/>
      <c r="ADS77" s="325"/>
      <c r="ADT77" s="325"/>
      <c r="ADU77" s="325"/>
      <c r="ADV77" s="325"/>
      <c r="ADW77" s="325"/>
      <c r="ADX77" s="325"/>
      <c r="ADY77" s="325"/>
      <c r="ADZ77" s="325"/>
      <c r="AEA77" s="325"/>
      <c r="AEB77" s="325"/>
      <c r="AEC77" s="325"/>
      <c r="AED77" s="325"/>
      <c r="AEE77" s="325"/>
      <c r="AEF77" s="325"/>
      <c r="AEG77" s="325"/>
      <c r="AEH77" s="325"/>
      <c r="AEI77" s="325"/>
      <c r="AEJ77" s="325"/>
      <c r="AEK77" s="325"/>
      <c r="AEL77" s="325"/>
      <c r="AEM77" s="325"/>
      <c r="AEN77" s="325"/>
      <c r="AEO77" s="325"/>
      <c r="AEP77" s="325"/>
      <c r="AEQ77" s="325"/>
      <c r="AER77" s="325"/>
      <c r="AES77" s="325"/>
      <c r="AET77" s="325"/>
      <c r="AEU77" s="325"/>
      <c r="AEV77" s="325"/>
      <c r="AEW77" s="325"/>
      <c r="AEX77" s="325"/>
      <c r="AEY77" s="325"/>
      <c r="AEZ77" s="325"/>
      <c r="AFA77" s="325"/>
      <c r="AFB77" s="325"/>
      <c r="AFC77" s="325"/>
      <c r="AFD77" s="325"/>
      <c r="AFE77" s="325"/>
      <c r="AFF77" s="325"/>
      <c r="AFG77" s="325"/>
      <c r="AFH77" s="325"/>
      <c r="AFI77" s="325"/>
      <c r="AFJ77" s="325"/>
      <c r="AFK77" s="325"/>
      <c r="AFL77" s="325"/>
      <c r="AFM77" s="325"/>
      <c r="AFN77" s="325"/>
      <c r="AFO77" s="325"/>
      <c r="AFP77" s="325"/>
      <c r="AFQ77" s="325"/>
      <c r="AFR77" s="325"/>
      <c r="AFS77" s="325"/>
      <c r="AFT77" s="325"/>
      <c r="AFU77" s="325"/>
      <c r="AFV77" s="325"/>
      <c r="AFW77" s="325"/>
      <c r="AFX77" s="325"/>
      <c r="AFY77" s="325"/>
      <c r="AFZ77" s="325"/>
      <c r="AGA77" s="325"/>
      <c r="AGB77" s="325"/>
      <c r="AGC77" s="325"/>
      <c r="AGD77" s="325"/>
      <c r="AGE77" s="325"/>
      <c r="AGF77" s="325"/>
      <c r="AGG77" s="325"/>
      <c r="AGH77" s="325"/>
      <c r="AGI77" s="325"/>
      <c r="AGJ77" s="325"/>
      <c r="AGK77" s="325"/>
      <c r="AGL77" s="325"/>
      <c r="AGM77" s="325"/>
      <c r="AGN77" s="325"/>
      <c r="AGO77" s="325"/>
      <c r="AGP77" s="325"/>
      <c r="AGQ77" s="325"/>
      <c r="AGR77" s="325"/>
      <c r="AGS77" s="325"/>
      <c r="AGT77" s="325"/>
      <c r="AGU77" s="325"/>
      <c r="AGV77" s="325"/>
      <c r="AGW77" s="325"/>
      <c r="AGX77" s="325"/>
      <c r="AGY77" s="325"/>
      <c r="AGZ77" s="325"/>
      <c r="AHA77" s="325"/>
      <c r="AHB77" s="325"/>
      <c r="AHC77" s="325"/>
      <c r="AHD77" s="325"/>
      <c r="AHE77" s="325"/>
      <c r="AHF77" s="325"/>
      <c r="AHG77" s="325"/>
      <c r="AHH77" s="325"/>
      <c r="AHI77" s="325"/>
      <c r="AHJ77" s="325"/>
      <c r="AHK77" s="325"/>
      <c r="AHL77" s="325"/>
      <c r="AHM77" s="325"/>
      <c r="AHN77" s="325"/>
      <c r="AHO77" s="325"/>
      <c r="AHP77" s="325"/>
      <c r="AHQ77" s="325"/>
      <c r="AHR77" s="325"/>
      <c r="AHS77" s="325"/>
      <c r="AHT77" s="325"/>
      <c r="AHU77" s="325"/>
      <c r="AHV77" s="325"/>
      <c r="AHW77" s="325"/>
      <c r="AHX77" s="325"/>
      <c r="AHY77" s="325"/>
      <c r="AHZ77" s="325"/>
      <c r="AIA77" s="325"/>
      <c r="AIB77" s="325"/>
      <c r="AIC77" s="325"/>
      <c r="AID77" s="325"/>
      <c r="AIE77" s="325"/>
      <c r="AIF77" s="325"/>
      <c r="AIG77" s="325"/>
      <c r="AIH77" s="325"/>
      <c r="AII77" s="325"/>
      <c r="AIJ77" s="325"/>
      <c r="AIK77" s="325"/>
      <c r="AIL77" s="325"/>
      <c r="AIM77" s="325"/>
      <c r="AIN77" s="325"/>
      <c r="AIO77" s="325"/>
      <c r="AIP77" s="325"/>
      <c r="AIQ77" s="325"/>
      <c r="AIR77" s="325"/>
      <c r="AIS77" s="325"/>
      <c r="AIT77" s="325"/>
      <c r="AIU77" s="325"/>
      <c r="AIV77" s="325"/>
      <c r="AIW77" s="325"/>
      <c r="AIX77" s="325"/>
      <c r="AIY77" s="325"/>
      <c r="AIZ77" s="325"/>
      <c r="AJA77" s="325"/>
      <c r="AJB77" s="325"/>
      <c r="AJC77" s="325"/>
      <c r="AJD77" s="325"/>
      <c r="AJE77" s="325"/>
      <c r="AJF77" s="325"/>
      <c r="AJG77" s="325"/>
      <c r="AJH77" s="325"/>
      <c r="AJI77" s="325"/>
      <c r="AJJ77" s="325"/>
      <c r="AJK77" s="325"/>
      <c r="AJL77" s="325"/>
      <c r="AJM77" s="325"/>
      <c r="AJN77" s="325"/>
      <c r="AJO77" s="325"/>
      <c r="AJP77" s="325"/>
      <c r="AJQ77" s="325"/>
      <c r="AJR77" s="325"/>
      <c r="AJS77" s="325"/>
      <c r="AJT77" s="325"/>
      <c r="AJU77" s="325"/>
      <c r="AJV77" s="325"/>
      <c r="AJW77" s="325"/>
      <c r="AJX77" s="325"/>
      <c r="AJY77" s="325"/>
      <c r="AJZ77" s="325"/>
      <c r="AKA77" s="325"/>
      <c r="AKB77" s="325"/>
      <c r="AKC77" s="325"/>
      <c r="AKD77" s="325"/>
      <c r="AKE77" s="325"/>
      <c r="AKF77" s="325"/>
      <c r="AKG77" s="325"/>
      <c r="AKH77" s="325"/>
      <c r="AKI77" s="325"/>
      <c r="AKJ77" s="325"/>
      <c r="AKK77" s="325"/>
      <c r="AKL77" s="325"/>
      <c r="AKM77" s="325"/>
      <c r="AKN77" s="325"/>
      <c r="AKO77" s="325"/>
      <c r="AKP77" s="325"/>
      <c r="AKQ77" s="325"/>
      <c r="AKR77" s="325"/>
      <c r="AKS77" s="325"/>
      <c r="AKT77" s="325"/>
      <c r="AKU77" s="325"/>
      <c r="AKV77" s="325"/>
      <c r="AKW77" s="325"/>
      <c r="AKX77" s="325"/>
      <c r="AKY77" s="325"/>
      <c r="AKZ77" s="325"/>
      <c r="ALA77" s="325"/>
      <c r="ALB77" s="325"/>
      <c r="ALC77" s="325"/>
      <c r="ALD77" s="325"/>
      <c r="ALE77" s="325"/>
      <c r="ALF77" s="325"/>
      <c r="ALG77" s="325"/>
      <c r="ALH77" s="325"/>
      <c r="ALI77" s="325"/>
      <c r="ALJ77" s="325"/>
      <c r="ALK77" s="325"/>
      <c r="ALL77" s="325"/>
      <c r="ALM77" s="325"/>
      <c r="ALN77" s="325"/>
      <c r="ALO77" s="325"/>
      <c r="ALP77" s="325"/>
      <c r="ALQ77" s="325"/>
      <c r="ALR77" s="325"/>
      <c r="ALS77" s="325"/>
      <c r="ALT77" s="325"/>
      <c r="ALU77" s="325"/>
      <c r="ALV77" s="325"/>
      <c r="ALW77" s="325"/>
      <c r="ALX77" s="325"/>
      <c r="ALY77" s="325"/>
      <c r="ALZ77" s="325"/>
      <c r="AMA77" s="325"/>
      <c r="AMB77" s="325"/>
      <c r="AMC77" s="325"/>
    </row>
    <row r="78" spans="3:1017" s="75" customFormat="1">
      <c r="C78" s="130"/>
      <c r="D78" s="130"/>
      <c r="CN78" s="225"/>
      <c r="CQ78" s="226"/>
      <c r="LD78" s="213"/>
      <c r="LH78" s="286"/>
      <c r="LI78" s="287"/>
      <c r="LJ78" s="124"/>
      <c r="LK78" s="124"/>
      <c r="LL78" s="124"/>
      <c r="LM78" s="124"/>
      <c r="LN78" s="124"/>
      <c r="LO78" s="124"/>
      <c r="LP78" s="124"/>
      <c r="LQ78" s="124"/>
      <c r="LR78" s="124"/>
      <c r="NE78" s="330"/>
      <c r="NF78" s="325"/>
      <c r="NG78" s="325"/>
      <c r="NH78" s="325"/>
      <c r="NI78" s="325"/>
      <c r="NJ78" s="325"/>
      <c r="NK78" s="325"/>
      <c r="NL78" s="325"/>
      <c r="NM78" s="325"/>
      <c r="NN78" s="325"/>
      <c r="NO78" s="325"/>
      <c r="NP78" s="325"/>
      <c r="NQ78" s="325"/>
      <c r="NR78" s="325"/>
      <c r="NS78" s="325"/>
      <c r="NT78" s="325"/>
      <c r="NU78" s="325"/>
      <c r="NV78" s="325"/>
      <c r="NW78" s="325"/>
      <c r="NX78" s="325"/>
      <c r="NY78" s="325"/>
      <c r="NZ78" s="325"/>
      <c r="OA78" s="325"/>
      <c r="OB78" s="325"/>
      <c r="OC78" s="325"/>
      <c r="OD78" s="325"/>
      <c r="OE78" s="325"/>
      <c r="OF78" s="325"/>
      <c r="OG78" s="325"/>
      <c r="OH78" s="325"/>
      <c r="OI78" s="325"/>
      <c r="OJ78" s="325"/>
      <c r="OK78" s="325"/>
      <c r="OL78" s="325"/>
      <c r="OM78" s="325"/>
      <c r="ON78" s="325"/>
      <c r="OO78" s="325"/>
      <c r="OP78" s="325"/>
      <c r="OQ78" s="325"/>
      <c r="OR78" s="325"/>
      <c r="OS78" s="325"/>
      <c r="OT78" s="325"/>
      <c r="OU78" s="325"/>
      <c r="OV78" s="325"/>
      <c r="OW78" s="325"/>
      <c r="OX78" s="325"/>
      <c r="OY78" s="325"/>
      <c r="OZ78" s="325"/>
      <c r="PA78" s="325"/>
      <c r="PB78" s="325"/>
      <c r="PC78" s="325"/>
      <c r="PD78" s="325"/>
      <c r="PE78" s="325"/>
      <c r="PF78" s="325"/>
      <c r="PG78" s="325"/>
      <c r="PH78" s="325"/>
      <c r="PI78" s="325"/>
      <c r="PJ78" s="325"/>
      <c r="PK78" s="325"/>
      <c r="PL78" s="325"/>
      <c r="PM78" s="325"/>
      <c r="PN78" s="325"/>
      <c r="PO78" s="325"/>
      <c r="PP78" s="325"/>
      <c r="PQ78" s="325"/>
      <c r="PR78" s="325"/>
      <c r="PS78" s="325"/>
      <c r="PT78" s="325"/>
      <c r="PU78" s="325"/>
      <c r="PV78" s="325"/>
      <c r="PW78" s="325"/>
      <c r="PX78" s="325"/>
      <c r="PY78" s="325"/>
      <c r="PZ78" s="325"/>
      <c r="QA78" s="325"/>
      <c r="QB78" s="325"/>
      <c r="QC78" s="325"/>
      <c r="QD78" s="325"/>
      <c r="QE78" s="325"/>
      <c r="QF78" s="325"/>
      <c r="QG78" s="325"/>
      <c r="QH78" s="325"/>
      <c r="QI78" s="325"/>
      <c r="QJ78" s="325"/>
      <c r="QK78" s="325"/>
      <c r="QL78" s="325"/>
      <c r="QM78" s="325"/>
      <c r="QN78" s="325"/>
      <c r="QO78" s="325"/>
      <c r="QP78" s="325"/>
      <c r="QQ78" s="325"/>
      <c r="QR78" s="325"/>
      <c r="QS78" s="325"/>
      <c r="QT78" s="325"/>
      <c r="QU78" s="325"/>
      <c r="QV78" s="325"/>
      <c r="QW78" s="325"/>
      <c r="QX78" s="325"/>
      <c r="QY78" s="325"/>
      <c r="QZ78" s="325"/>
      <c r="RA78" s="325"/>
      <c r="RB78" s="325"/>
      <c r="RC78" s="325"/>
      <c r="RD78" s="325"/>
      <c r="RE78" s="325"/>
      <c r="RF78" s="325"/>
      <c r="RG78" s="325"/>
      <c r="RH78" s="325"/>
      <c r="RI78" s="325"/>
      <c r="RJ78" s="325"/>
      <c r="RK78" s="325"/>
      <c r="RL78" s="325"/>
      <c r="RM78" s="325"/>
      <c r="RN78" s="325"/>
      <c r="RO78" s="325"/>
      <c r="RP78" s="325"/>
      <c r="RQ78" s="325"/>
      <c r="RR78" s="325"/>
      <c r="RS78" s="325"/>
      <c r="RT78" s="325"/>
      <c r="RU78" s="325"/>
      <c r="RV78" s="325"/>
      <c r="RW78" s="325"/>
      <c r="RX78" s="325"/>
      <c r="RY78" s="325"/>
      <c r="RZ78" s="325"/>
      <c r="SA78" s="325"/>
      <c r="SB78" s="325"/>
      <c r="SC78" s="325"/>
      <c r="SD78" s="325"/>
      <c r="SE78" s="325"/>
      <c r="SF78" s="325"/>
      <c r="SG78" s="325"/>
      <c r="SH78" s="325"/>
      <c r="SI78" s="325"/>
      <c r="SJ78" s="325"/>
      <c r="SK78" s="325"/>
      <c r="SL78" s="325"/>
      <c r="SM78" s="325"/>
      <c r="SN78" s="325"/>
      <c r="SO78" s="325"/>
      <c r="SP78" s="325"/>
      <c r="SQ78" s="325"/>
      <c r="SR78" s="325"/>
      <c r="SS78" s="325"/>
      <c r="ST78" s="325"/>
      <c r="SU78" s="325"/>
      <c r="SV78" s="325"/>
      <c r="SW78" s="325"/>
      <c r="SX78" s="325"/>
      <c r="SY78" s="325"/>
      <c r="SZ78" s="325"/>
      <c r="TA78" s="325"/>
      <c r="TB78" s="325"/>
      <c r="TC78" s="325"/>
      <c r="TD78" s="325"/>
      <c r="TE78" s="325"/>
      <c r="TF78" s="325"/>
      <c r="TG78" s="325"/>
      <c r="TH78" s="325"/>
      <c r="TI78" s="325"/>
      <c r="TJ78" s="325"/>
      <c r="TK78" s="325"/>
      <c r="TL78" s="325"/>
      <c r="TM78" s="325"/>
      <c r="TN78" s="325"/>
      <c r="TO78" s="325"/>
      <c r="TP78" s="325"/>
      <c r="TQ78" s="325"/>
      <c r="TR78" s="325"/>
      <c r="TS78" s="325"/>
      <c r="TT78" s="325"/>
      <c r="TU78" s="325"/>
      <c r="TV78" s="325"/>
      <c r="TW78" s="325"/>
      <c r="TX78" s="325"/>
      <c r="TY78" s="325"/>
      <c r="TZ78" s="325"/>
      <c r="UA78" s="325"/>
      <c r="UB78" s="325"/>
      <c r="UC78" s="325"/>
      <c r="UD78" s="325"/>
      <c r="UE78" s="325"/>
      <c r="UF78" s="325"/>
      <c r="UG78" s="325"/>
      <c r="UH78" s="325"/>
      <c r="UI78" s="325"/>
      <c r="UJ78" s="325"/>
      <c r="UK78" s="325"/>
      <c r="UL78" s="325"/>
      <c r="UM78" s="325"/>
      <c r="UN78" s="325"/>
      <c r="UO78" s="325"/>
      <c r="UP78" s="325"/>
      <c r="UQ78" s="325"/>
      <c r="UR78" s="325"/>
      <c r="US78" s="325"/>
      <c r="UT78" s="325"/>
      <c r="UU78" s="325"/>
      <c r="UV78" s="325"/>
      <c r="UW78" s="325"/>
      <c r="UX78" s="325"/>
      <c r="UY78" s="325"/>
      <c r="UZ78" s="325"/>
      <c r="VA78" s="325"/>
      <c r="VB78" s="325"/>
      <c r="VC78" s="325"/>
      <c r="VD78" s="325"/>
      <c r="VE78" s="325"/>
      <c r="VF78" s="325"/>
      <c r="VG78" s="325"/>
      <c r="VH78" s="325"/>
      <c r="VI78" s="325"/>
      <c r="VJ78" s="325"/>
      <c r="VK78" s="325"/>
      <c r="VL78" s="325"/>
      <c r="VM78" s="325"/>
      <c r="VN78" s="325"/>
      <c r="VO78" s="325"/>
      <c r="VP78" s="325"/>
      <c r="VQ78" s="325"/>
      <c r="VR78" s="325"/>
      <c r="VS78" s="325"/>
      <c r="VT78" s="325"/>
      <c r="VU78" s="325"/>
      <c r="VV78" s="325"/>
      <c r="VW78" s="325"/>
      <c r="VX78" s="325"/>
      <c r="VY78" s="325"/>
      <c r="VZ78" s="325"/>
      <c r="WA78" s="325"/>
      <c r="WB78" s="325"/>
      <c r="WC78" s="325"/>
      <c r="WD78" s="325"/>
      <c r="WE78" s="325"/>
      <c r="WF78" s="325"/>
      <c r="WG78" s="325"/>
      <c r="WH78" s="325"/>
      <c r="WI78" s="325"/>
      <c r="WJ78" s="325"/>
      <c r="WK78" s="325"/>
      <c r="WL78" s="325"/>
      <c r="WM78" s="325"/>
      <c r="WN78" s="325"/>
      <c r="WO78" s="325"/>
      <c r="WP78" s="325"/>
      <c r="WQ78" s="325"/>
      <c r="WR78" s="325"/>
      <c r="WS78" s="325"/>
      <c r="WT78" s="325"/>
      <c r="WU78" s="325"/>
      <c r="WV78" s="325"/>
      <c r="WW78" s="325"/>
      <c r="WX78" s="325"/>
      <c r="WY78" s="325"/>
      <c r="WZ78" s="325"/>
      <c r="XA78" s="325"/>
      <c r="XB78" s="325"/>
      <c r="XC78" s="325"/>
      <c r="XD78" s="325"/>
      <c r="XE78" s="325"/>
      <c r="XF78" s="325"/>
      <c r="XG78" s="325"/>
      <c r="XH78" s="325"/>
      <c r="XI78" s="325"/>
      <c r="XJ78" s="325"/>
      <c r="XK78" s="325"/>
      <c r="XL78" s="325"/>
      <c r="XM78" s="325"/>
      <c r="XN78" s="325"/>
      <c r="XO78" s="325"/>
      <c r="XP78" s="325"/>
      <c r="XQ78" s="325"/>
      <c r="XR78" s="325"/>
      <c r="XS78" s="325"/>
      <c r="XT78" s="325"/>
      <c r="XU78" s="325"/>
      <c r="XV78" s="325"/>
      <c r="XW78" s="325"/>
      <c r="XX78" s="325"/>
      <c r="XY78" s="325"/>
      <c r="XZ78" s="325"/>
      <c r="YA78" s="325"/>
      <c r="YB78" s="325"/>
      <c r="YC78" s="325"/>
      <c r="YD78" s="325"/>
      <c r="YE78" s="325"/>
      <c r="YF78" s="325"/>
      <c r="YG78" s="325"/>
      <c r="YH78" s="325"/>
      <c r="YI78" s="325"/>
      <c r="YJ78" s="325"/>
      <c r="YK78" s="325"/>
      <c r="YL78" s="325"/>
      <c r="YM78" s="325"/>
      <c r="YN78" s="325"/>
      <c r="YO78" s="325"/>
      <c r="YP78" s="325"/>
      <c r="YQ78" s="325"/>
      <c r="YR78" s="325"/>
      <c r="YS78" s="325"/>
      <c r="YT78" s="325"/>
      <c r="YU78" s="325"/>
      <c r="YV78" s="325"/>
      <c r="YW78" s="325"/>
      <c r="YX78" s="325"/>
      <c r="YY78" s="325"/>
      <c r="YZ78" s="325"/>
      <c r="ZA78" s="325"/>
      <c r="ZB78" s="325"/>
      <c r="ZC78" s="325"/>
      <c r="ZD78" s="325"/>
      <c r="ZE78" s="325"/>
      <c r="ZF78" s="325"/>
      <c r="ZG78" s="325"/>
      <c r="ZH78" s="325"/>
      <c r="ZI78" s="325"/>
      <c r="ZJ78" s="325"/>
      <c r="ZK78" s="325"/>
      <c r="ZL78" s="325"/>
      <c r="ZM78" s="325"/>
      <c r="ZN78" s="325"/>
      <c r="ZO78" s="325"/>
      <c r="ZP78" s="325"/>
      <c r="ZQ78" s="325"/>
      <c r="ZR78" s="325"/>
      <c r="ZS78" s="325"/>
      <c r="ZT78" s="325"/>
      <c r="ZU78" s="325"/>
      <c r="ZV78" s="325"/>
      <c r="ZW78" s="325"/>
      <c r="ZX78" s="325"/>
      <c r="ZY78" s="325"/>
      <c r="ZZ78" s="325"/>
      <c r="AAA78" s="325"/>
      <c r="AAB78" s="325"/>
      <c r="AAC78" s="325"/>
      <c r="AAD78" s="325"/>
      <c r="AAE78" s="325"/>
      <c r="AAF78" s="325"/>
      <c r="AAG78" s="325"/>
      <c r="AAH78" s="325"/>
      <c r="AAI78" s="325"/>
      <c r="AAJ78" s="325"/>
      <c r="AAK78" s="325"/>
      <c r="AAL78" s="325"/>
      <c r="AAM78" s="325"/>
      <c r="AAN78" s="325"/>
      <c r="AAO78" s="325"/>
      <c r="AAP78" s="325"/>
      <c r="AAQ78" s="325"/>
      <c r="AAR78" s="325"/>
      <c r="AAS78" s="325"/>
      <c r="AAT78" s="325"/>
      <c r="AAU78" s="325"/>
      <c r="AAV78" s="325"/>
      <c r="AAW78" s="325"/>
      <c r="AAX78" s="325"/>
      <c r="AAY78" s="325"/>
      <c r="AAZ78" s="325"/>
      <c r="ABA78" s="325"/>
      <c r="ABB78" s="325"/>
      <c r="ABC78" s="325"/>
      <c r="ABD78" s="325"/>
      <c r="ABE78" s="325"/>
      <c r="ABF78" s="325"/>
      <c r="ABG78" s="325"/>
      <c r="ABH78" s="325"/>
      <c r="ABI78" s="325"/>
      <c r="ABJ78" s="325"/>
      <c r="ABK78" s="325"/>
      <c r="ABL78" s="325"/>
      <c r="ABM78" s="325"/>
      <c r="ABN78" s="325"/>
      <c r="ABO78" s="325"/>
      <c r="ABP78" s="325"/>
      <c r="ABQ78" s="325"/>
      <c r="ABR78" s="325"/>
      <c r="ABS78" s="325"/>
      <c r="ABT78" s="325"/>
      <c r="ABU78" s="325"/>
      <c r="ABV78" s="325"/>
      <c r="ABW78" s="325"/>
      <c r="ABX78" s="325"/>
      <c r="ABY78" s="325"/>
      <c r="ABZ78" s="325"/>
      <c r="ACA78" s="325"/>
      <c r="ACB78" s="325"/>
      <c r="ACC78" s="325"/>
      <c r="ACD78" s="325"/>
      <c r="ACE78" s="325"/>
      <c r="ACF78" s="325"/>
      <c r="ACG78" s="325"/>
      <c r="ACH78" s="325"/>
      <c r="ACI78" s="325"/>
      <c r="ACJ78" s="325"/>
      <c r="ACK78" s="325"/>
      <c r="ACL78" s="325"/>
      <c r="ACM78" s="325"/>
      <c r="ACN78" s="325"/>
      <c r="ACO78" s="325"/>
      <c r="ACP78" s="325"/>
      <c r="ACQ78" s="325"/>
      <c r="ACR78" s="325"/>
      <c r="ACS78" s="325"/>
      <c r="ACT78" s="325"/>
      <c r="ACU78" s="325"/>
      <c r="ACV78" s="325"/>
      <c r="ACW78" s="325"/>
      <c r="ACX78" s="325"/>
      <c r="ACY78" s="325"/>
      <c r="ACZ78" s="325"/>
      <c r="ADA78" s="325"/>
      <c r="ADB78" s="325"/>
      <c r="ADC78" s="325"/>
      <c r="ADD78" s="325"/>
      <c r="ADE78" s="325"/>
      <c r="ADF78" s="325"/>
      <c r="ADG78" s="325"/>
      <c r="ADH78" s="325"/>
      <c r="ADI78" s="325"/>
      <c r="ADJ78" s="325"/>
      <c r="ADK78" s="325"/>
      <c r="ADL78" s="325"/>
      <c r="ADM78" s="325"/>
      <c r="ADN78" s="325"/>
      <c r="ADO78" s="325"/>
      <c r="ADP78" s="325"/>
      <c r="ADQ78" s="325"/>
      <c r="ADR78" s="325"/>
      <c r="ADS78" s="325"/>
      <c r="ADT78" s="325"/>
      <c r="ADU78" s="325"/>
      <c r="ADV78" s="325"/>
      <c r="ADW78" s="325"/>
      <c r="ADX78" s="325"/>
      <c r="ADY78" s="325"/>
      <c r="ADZ78" s="325"/>
      <c r="AEA78" s="325"/>
      <c r="AEB78" s="325"/>
      <c r="AEC78" s="325"/>
      <c r="AED78" s="325"/>
      <c r="AEE78" s="325"/>
      <c r="AEF78" s="325"/>
      <c r="AEG78" s="325"/>
      <c r="AEH78" s="325"/>
      <c r="AEI78" s="325"/>
      <c r="AEJ78" s="325"/>
      <c r="AEK78" s="325"/>
      <c r="AEL78" s="325"/>
      <c r="AEM78" s="325"/>
      <c r="AEN78" s="325"/>
      <c r="AEO78" s="325"/>
      <c r="AEP78" s="325"/>
      <c r="AEQ78" s="325"/>
      <c r="AER78" s="325"/>
      <c r="AES78" s="325"/>
      <c r="AET78" s="325"/>
      <c r="AEU78" s="325"/>
      <c r="AEV78" s="325"/>
      <c r="AEW78" s="325"/>
      <c r="AEX78" s="325"/>
      <c r="AEY78" s="325"/>
      <c r="AEZ78" s="325"/>
      <c r="AFA78" s="325"/>
      <c r="AFB78" s="325"/>
      <c r="AFC78" s="325"/>
      <c r="AFD78" s="325"/>
      <c r="AFE78" s="325"/>
      <c r="AFF78" s="325"/>
      <c r="AFG78" s="325"/>
      <c r="AFH78" s="325"/>
      <c r="AFI78" s="325"/>
      <c r="AFJ78" s="325"/>
      <c r="AFK78" s="325"/>
      <c r="AFL78" s="325"/>
      <c r="AFM78" s="325"/>
      <c r="AFN78" s="325"/>
      <c r="AFO78" s="325"/>
      <c r="AFP78" s="325"/>
      <c r="AFQ78" s="325"/>
      <c r="AFR78" s="325"/>
      <c r="AFS78" s="325"/>
      <c r="AFT78" s="325"/>
      <c r="AFU78" s="325"/>
      <c r="AFV78" s="325"/>
      <c r="AFW78" s="325"/>
      <c r="AFX78" s="325"/>
      <c r="AFY78" s="325"/>
      <c r="AFZ78" s="325"/>
      <c r="AGA78" s="325"/>
      <c r="AGB78" s="325"/>
      <c r="AGC78" s="325"/>
      <c r="AGD78" s="325"/>
      <c r="AGE78" s="325"/>
      <c r="AGF78" s="325"/>
      <c r="AGG78" s="325"/>
      <c r="AGH78" s="325"/>
      <c r="AGI78" s="325"/>
      <c r="AGJ78" s="325"/>
      <c r="AGK78" s="325"/>
      <c r="AGL78" s="325"/>
      <c r="AGM78" s="325"/>
      <c r="AGN78" s="325"/>
      <c r="AGO78" s="325"/>
      <c r="AGP78" s="325"/>
      <c r="AGQ78" s="325"/>
      <c r="AGR78" s="325"/>
      <c r="AGS78" s="325"/>
      <c r="AGT78" s="325"/>
      <c r="AGU78" s="325"/>
      <c r="AGV78" s="325"/>
      <c r="AGW78" s="325"/>
      <c r="AGX78" s="325"/>
      <c r="AGY78" s="325"/>
      <c r="AGZ78" s="325"/>
      <c r="AHA78" s="325"/>
      <c r="AHB78" s="325"/>
      <c r="AHC78" s="325"/>
      <c r="AHD78" s="325"/>
      <c r="AHE78" s="325"/>
      <c r="AHF78" s="325"/>
      <c r="AHG78" s="325"/>
      <c r="AHH78" s="325"/>
      <c r="AHI78" s="325"/>
      <c r="AHJ78" s="325"/>
      <c r="AHK78" s="325"/>
      <c r="AHL78" s="325"/>
      <c r="AHM78" s="325"/>
      <c r="AHN78" s="325"/>
      <c r="AHO78" s="325"/>
      <c r="AHP78" s="325"/>
      <c r="AHQ78" s="325"/>
      <c r="AHR78" s="325"/>
      <c r="AHS78" s="325"/>
      <c r="AHT78" s="325"/>
      <c r="AHU78" s="325"/>
      <c r="AHV78" s="325"/>
      <c r="AHW78" s="325"/>
      <c r="AHX78" s="325"/>
      <c r="AHY78" s="325"/>
      <c r="AHZ78" s="325"/>
      <c r="AIA78" s="325"/>
      <c r="AIB78" s="325"/>
      <c r="AIC78" s="325"/>
      <c r="AID78" s="325"/>
      <c r="AIE78" s="325"/>
      <c r="AIF78" s="325"/>
      <c r="AIG78" s="325"/>
      <c r="AIH78" s="325"/>
      <c r="AII78" s="325"/>
      <c r="AIJ78" s="325"/>
      <c r="AIK78" s="325"/>
      <c r="AIL78" s="325"/>
      <c r="AIM78" s="325"/>
      <c r="AIN78" s="325"/>
      <c r="AIO78" s="325"/>
      <c r="AIP78" s="325"/>
      <c r="AIQ78" s="325"/>
      <c r="AIR78" s="325"/>
      <c r="AIS78" s="325"/>
      <c r="AIT78" s="325"/>
      <c r="AIU78" s="325"/>
      <c r="AIV78" s="325"/>
      <c r="AIW78" s="325"/>
      <c r="AIX78" s="325"/>
      <c r="AIY78" s="325"/>
      <c r="AIZ78" s="325"/>
      <c r="AJA78" s="325"/>
      <c r="AJB78" s="325"/>
      <c r="AJC78" s="325"/>
      <c r="AJD78" s="325"/>
      <c r="AJE78" s="325"/>
      <c r="AJF78" s="325"/>
      <c r="AJG78" s="325"/>
      <c r="AJH78" s="325"/>
      <c r="AJI78" s="325"/>
      <c r="AJJ78" s="325"/>
      <c r="AJK78" s="325"/>
      <c r="AJL78" s="325"/>
      <c r="AJM78" s="325"/>
      <c r="AJN78" s="325"/>
      <c r="AJO78" s="325"/>
      <c r="AJP78" s="325"/>
      <c r="AJQ78" s="325"/>
      <c r="AJR78" s="325"/>
      <c r="AJS78" s="325"/>
      <c r="AJT78" s="325"/>
      <c r="AJU78" s="325"/>
      <c r="AJV78" s="325"/>
      <c r="AJW78" s="325"/>
      <c r="AJX78" s="325"/>
      <c r="AJY78" s="325"/>
      <c r="AJZ78" s="325"/>
      <c r="AKA78" s="325"/>
      <c r="AKB78" s="325"/>
      <c r="AKC78" s="325"/>
      <c r="AKD78" s="325"/>
      <c r="AKE78" s="325"/>
      <c r="AKF78" s="325"/>
      <c r="AKG78" s="325"/>
      <c r="AKH78" s="325"/>
      <c r="AKI78" s="325"/>
      <c r="AKJ78" s="325"/>
      <c r="AKK78" s="325"/>
      <c r="AKL78" s="325"/>
      <c r="AKM78" s="325"/>
      <c r="AKN78" s="325"/>
      <c r="AKO78" s="325"/>
      <c r="AKP78" s="325"/>
      <c r="AKQ78" s="325"/>
      <c r="AKR78" s="325"/>
      <c r="AKS78" s="325"/>
      <c r="AKT78" s="325"/>
      <c r="AKU78" s="325"/>
      <c r="AKV78" s="325"/>
      <c r="AKW78" s="325"/>
      <c r="AKX78" s="325"/>
      <c r="AKY78" s="325"/>
      <c r="AKZ78" s="325"/>
      <c r="ALA78" s="325"/>
      <c r="ALB78" s="325"/>
      <c r="ALC78" s="325"/>
      <c r="ALD78" s="325"/>
      <c r="ALE78" s="325"/>
      <c r="ALF78" s="325"/>
      <c r="ALG78" s="325"/>
      <c r="ALH78" s="325"/>
      <c r="ALI78" s="325"/>
      <c r="ALJ78" s="325"/>
      <c r="ALK78" s="325"/>
      <c r="ALL78" s="325"/>
      <c r="ALM78" s="325"/>
      <c r="ALN78" s="325"/>
      <c r="ALO78" s="325"/>
      <c r="ALP78" s="325"/>
      <c r="ALQ78" s="325"/>
      <c r="ALR78" s="325"/>
      <c r="ALS78" s="325"/>
      <c r="ALT78" s="325"/>
      <c r="ALU78" s="325"/>
      <c r="ALV78" s="325"/>
      <c r="ALW78" s="325"/>
      <c r="ALX78" s="325"/>
      <c r="ALY78" s="325"/>
      <c r="ALZ78" s="325"/>
      <c r="AMA78" s="325"/>
      <c r="AMB78" s="325"/>
      <c r="AMC78" s="325"/>
    </row>
    <row r="79" spans="3:1017" s="75" customFormat="1">
      <c r="C79" s="130"/>
      <c r="D79" s="130"/>
      <c r="CN79" s="225"/>
      <c r="CQ79" s="226"/>
      <c r="LD79" s="213"/>
      <c r="LH79" s="286"/>
      <c r="LI79" s="287"/>
      <c r="LJ79" s="124"/>
      <c r="LK79" s="124"/>
      <c r="LL79" s="124"/>
      <c r="LM79" s="124"/>
      <c r="LN79" s="124"/>
      <c r="LO79" s="124"/>
      <c r="LP79" s="124"/>
      <c r="LQ79" s="124"/>
      <c r="LR79" s="124"/>
      <c r="NE79" s="330"/>
      <c r="NF79" s="325"/>
      <c r="NG79" s="325"/>
      <c r="NH79" s="325"/>
      <c r="NI79" s="325"/>
      <c r="NJ79" s="325"/>
      <c r="NK79" s="325"/>
      <c r="NL79" s="325"/>
      <c r="NM79" s="325"/>
      <c r="NN79" s="325"/>
      <c r="NO79" s="325"/>
      <c r="NP79" s="325"/>
      <c r="NQ79" s="325"/>
      <c r="NR79" s="325"/>
      <c r="NS79" s="325"/>
      <c r="NT79" s="325"/>
      <c r="NU79" s="325"/>
      <c r="NV79" s="325"/>
      <c r="NW79" s="325"/>
      <c r="NX79" s="325"/>
      <c r="NY79" s="325"/>
      <c r="NZ79" s="325"/>
      <c r="OA79" s="325"/>
      <c r="OB79" s="325"/>
      <c r="OC79" s="325"/>
      <c r="OD79" s="325"/>
      <c r="OE79" s="325"/>
      <c r="OF79" s="325"/>
      <c r="OG79" s="325"/>
      <c r="OH79" s="325"/>
      <c r="OI79" s="325"/>
      <c r="OJ79" s="325"/>
      <c r="OK79" s="325"/>
      <c r="OL79" s="325"/>
      <c r="OM79" s="325"/>
      <c r="ON79" s="325"/>
      <c r="OO79" s="325"/>
      <c r="OP79" s="325"/>
      <c r="OQ79" s="325"/>
      <c r="OR79" s="325"/>
      <c r="OS79" s="325"/>
      <c r="OT79" s="325"/>
      <c r="OU79" s="325"/>
      <c r="OV79" s="325"/>
      <c r="OW79" s="325"/>
      <c r="OX79" s="325"/>
      <c r="OY79" s="325"/>
      <c r="OZ79" s="325"/>
      <c r="PA79" s="325"/>
      <c r="PB79" s="325"/>
      <c r="PC79" s="325"/>
      <c r="PD79" s="325"/>
      <c r="PE79" s="325"/>
      <c r="PF79" s="325"/>
      <c r="PG79" s="325"/>
      <c r="PH79" s="325"/>
      <c r="PI79" s="325"/>
      <c r="PJ79" s="325"/>
      <c r="PK79" s="325"/>
      <c r="PL79" s="325"/>
      <c r="PM79" s="325"/>
      <c r="PN79" s="325"/>
      <c r="PO79" s="325"/>
      <c r="PP79" s="325"/>
      <c r="PQ79" s="325"/>
      <c r="PR79" s="325"/>
      <c r="PS79" s="325"/>
      <c r="PT79" s="325"/>
      <c r="PU79" s="325"/>
      <c r="PV79" s="325"/>
      <c r="PW79" s="325"/>
      <c r="PX79" s="325"/>
      <c r="PY79" s="325"/>
      <c r="PZ79" s="325"/>
      <c r="QA79" s="325"/>
      <c r="QB79" s="325"/>
      <c r="QC79" s="325"/>
      <c r="QD79" s="325"/>
      <c r="QE79" s="325"/>
      <c r="QF79" s="325"/>
      <c r="QG79" s="325"/>
      <c r="QH79" s="325"/>
      <c r="QI79" s="325"/>
      <c r="QJ79" s="325"/>
      <c r="QK79" s="325"/>
      <c r="QL79" s="325"/>
      <c r="QM79" s="325"/>
      <c r="QN79" s="325"/>
      <c r="QO79" s="325"/>
      <c r="QP79" s="325"/>
      <c r="QQ79" s="325"/>
      <c r="QR79" s="325"/>
      <c r="QS79" s="325"/>
      <c r="QT79" s="325"/>
      <c r="QU79" s="325"/>
      <c r="QV79" s="325"/>
      <c r="QW79" s="325"/>
      <c r="QX79" s="325"/>
      <c r="QY79" s="325"/>
      <c r="QZ79" s="325"/>
      <c r="RA79" s="325"/>
      <c r="RB79" s="325"/>
      <c r="RC79" s="325"/>
      <c r="RD79" s="325"/>
      <c r="RE79" s="325"/>
      <c r="RF79" s="325"/>
      <c r="RG79" s="325"/>
      <c r="RH79" s="325"/>
      <c r="RI79" s="325"/>
      <c r="RJ79" s="325"/>
      <c r="RK79" s="325"/>
      <c r="RL79" s="325"/>
      <c r="RM79" s="325"/>
      <c r="RN79" s="325"/>
      <c r="RO79" s="325"/>
      <c r="RP79" s="325"/>
      <c r="RQ79" s="325"/>
      <c r="RR79" s="325"/>
      <c r="RS79" s="325"/>
      <c r="RT79" s="325"/>
      <c r="RU79" s="325"/>
      <c r="RV79" s="325"/>
      <c r="RW79" s="325"/>
      <c r="RX79" s="325"/>
      <c r="RY79" s="325"/>
      <c r="RZ79" s="325"/>
      <c r="SA79" s="325"/>
      <c r="SB79" s="325"/>
      <c r="SC79" s="325"/>
      <c r="SD79" s="325"/>
      <c r="SE79" s="325"/>
      <c r="SF79" s="325"/>
      <c r="SG79" s="325"/>
      <c r="SH79" s="325"/>
      <c r="SI79" s="325"/>
      <c r="SJ79" s="325"/>
      <c r="SK79" s="325"/>
      <c r="SL79" s="325"/>
      <c r="SM79" s="325"/>
      <c r="SN79" s="325"/>
      <c r="SO79" s="325"/>
      <c r="SP79" s="325"/>
      <c r="SQ79" s="325"/>
      <c r="SR79" s="325"/>
      <c r="SS79" s="325"/>
      <c r="ST79" s="325"/>
      <c r="SU79" s="325"/>
      <c r="SV79" s="325"/>
      <c r="SW79" s="325"/>
      <c r="SX79" s="325"/>
      <c r="SY79" s="325"/>
      <c r="SZ79" s="325"/>
      <c r="TA79" s="325"/>
      <c r="TB79" s="325"/>
      <c r="TC79" s="325"/>
      <c r="TD79" s="325"/>
      <c r="TE79" s="325"/>
      <c r="TF79" s="325"/>
      <c r="TG79" s="325"/>
      <c r="TH79" s="325"/>
      <c r="TI79" s="325"/>
      <c r="TJ79" s="325"/>
      <c r="TK79" s="325"/>
      <c r="TL79" s="325"/>
      <c r="TM79" s="325"/>
      <c r="TN79" s="325"/>
      <c r="TO79" s="325"/>
      <c r="TP79" s="325"/>
      <c r="TQ79" s="325"/>
      <c r="TR79" s="325"/>
      <c r="TS79" s="325"/>
      <c r="TT79" s="325"/>
      <c r="TU79" s="325"/>
      <c r="TV79" s="325"/>
      <c r="TW79" s="325"/>
      <c r="TX79" s="325"/>
      <c r="TY79" s="325"/>
      <c r="TZ79" s="325"/>
      <c r="UA79" s="325"/>
      <c r="UB79" s="325"/>
      <c r="UC79" s="325"/>
      <c r="UD79" s="325"/>
      <c r="UE79" s="325"/>
      <c r="UF79" s="325"/>
      <c r="UG79" s="325"/>
      <c r="UH79" s="325"/>
      <c r="UI79" s="325"/>
      <c r="UJ79" s="325"/>
      <c r="UK79" s="325"/>
      <c r="UL79" s="325"/>
      <c r="UM79" s="325"/>
      <c r="UN79" s="325"/>
      <c r="UO79" s="325"/>
      <c r="UP79" s="325"/>
      <c r="UQ79" s="325"/>
      <c r="UR79" s="325"/>
      <c r="US79" s="325"/>
      <c r="UT79" s="325"/>
      <c r="UU79" s="325"/>
      <c r="UV79" s="325"/>
      <c r="UW79" s="325"/>
      <c r="UX79" s="325"/>
      <c r="UY79" s="325"/>
      <c r="UZ79" s="325"/>
      <c r="VA79" s="325"/>
      <c r="VB79" s="325"/>
      <c r="VC79" s="325"/>
      <c r="VD79" s="325"/>
      <c r="VE79" s="325"/>
      <c r="VF79" s="325"/>
      <c r="VG79" s="325"/>
      <c r="VH79" s="325"/>
      <c r="VI79" s="325"/>
      <c r="VJ79" s="325"/>
      <c r="VK79" s="325"/>
      <c r="VL79" s="325"/>
      <c r="VM79" s="325"/>
      <c r="VN79" s="325"/>
      <c r="VO79" s="325"/>
      <c r="VP79" s="325"/>
      <c r="VQ79" s="325"/>
      <c r="VR79" s="325"/>
      <c r="VS79" s="325"/>
      <c r="VT79" s="325"/>
      <c r="VU79" s="325"/>
      <c r="VV79" s="325"/>
      <c r="VW79" s="325"/>
      <c r="VX79" s="325"/>
      <c r="VY79" s="325"/>
      <c r="VZ79" s="325"/>
      <c r="WA79" s="325"/>
      <c r="WB79" s="325"/>
      <c r="WC79" s="325"/>
      <c r="WD79" s="325"/>
      <c r="WE79" s="325"/>
      <c r="WF79" s="325"/>
      <c r="WG79" s="325"/>
      <c r="WH79" s="325"/>
      <c r="WI79" s="325"/>
      <c r="WJ79" s="325"/>
      <c r="WK79" s="325"/>
      <c r="WL79" s="325"/>
      <c r="WM79" s="325"/>
      <c r="WN79" s="325"/>
      <c r="WO79" s="325"/>
      <c r="WP79" s="325"/>
      <c r="WQ79" s="325"/>
      <c r="WR79" s="325"/>
      <c r="WS79" s="325"/>
      <c r="WT79" s="325"/>
      <c r="WU79" s="325"/>
      <c r="WV79" s="325"/>
      <c r="WW79" s="325"/>
      <c r="WX79" s="325"/>
      <c r="WY79" s="325"/>
      <c r="WZ79" s="325"/>
      <c r="XA79" s="325"/>
      <c r="XB79" s="325"/>
      <c r="XC79" s="325"/>
      <c r="XD79" s="325"/>
      <c r="XE79" s="325"/>
      <c r="XF79" s="325"/>
      <c r="XG79" s="325"/>
      <c r="XH79" s="325"/>
      <c r="XI79" s="325"/>
      <c r="XJ79" s="325"/>
      <c r="XK79" s="325"/>
      <c r="XL79" s="325"/>
      <c r="XM79" s="325"/>
      <c r="XN79" s="325"/>
      <c r="XO79" s="325"/>
      <c r="XP79" s="325"/>
      <c r="XQ79" s="325"/>
      <c r="XR79" s="325"/>
      <c r="XS79" s="325"/>
      <c r="XT79" s="325"/>
      <c r="XU79" s="325"/>
      <c r="XV79" s="325"/>
      <c r="XW79" s="325"/>
      <c r="XX79" s="325"/>
      <c r="XY79" s="325"/>
      <c r="XZ79" s="325"/>
      <c r="YA79" s="325"/>
      <c r="YB79" s="325"/>
      <c r="YC79" s="325"/>
      <c r="YD79" s="325"/>
      <c r="YE79" s="325"/>
      <c r="YF79" s="325"/>
      <c r="YG79" s="325"/>
      <c r="YH79" s="325"/>
      <c r="YI79" s="325"/>
      <c r="YJ79" s="325"/>
      <c r="YK79" s="325"/>
      <c r="YL79" s="325"/>
      <c r="YM79" s="325"/>
      <c r="YN79" s="325"/>
      <c r="YO79" s="325"/>
      <c r="YP79" s="325"/>
      <c r="YQ79" s="325"/>
      <c r="YR79" s="325"/>
      <c r="YS79" s="325"/>
      <c r="YT79" s="325"/>
      <c r="YU79" s="325"/>
      <c r="YV79" s="325"/>
      <c r="YW79" s="325"/>
      <c r="YX79" s="325"/>
      <c r="YY79" s="325"/>
      <c r="YZ79" s="325"/>
      <c r="ZA79" s="325"/>
      <c r="ZB79" s="325"/>
      <c r="ZC79" s="325"/>
      <c r="ZD79" s="325"/>
      <c r="ZE79" s="325"/>
      <c r="ZF79" s="325"/>
      <c r="ZG79" s="325"/>
      <c r="ZH79" s="325"/>
      <c r="ZI79" s="325"/>
      <c r="ZJ79" s="325"/>
      <c r="ZK79" s="325"/>
      <c r="ZL79" s="325"/>
      <c r="ZM79" s="325"/>
      <c r="ZN79" s="325"/>
      <c r="ZO79" s="325"/>
      <c r="ZP79" s="325"/>
      <c r="ZQ79" s="325"/>
      <c r="ZR79" s="325"/>
      <c r="ZS79" s="325"/>
      <c r="ZT79" s="325"/>
      <c r="ZU79" s="325"/>
      <c r="ZV79" s="325"/>
      <c r="ZW79" s="325"/>
      <c r="ZX79" s="325"/>
      <c r="ZY79" s="325"/>
      <c r="ZZ79" s="325"/>
      <c r="AAA79" s="325"/>
      <c r="AAB79" s="325"/>
      <c r="AAC79" s="325"/>
      <c r="AAD79" s="325"/>
      <c r="AAE79" s="325"/>
      <c r="AAF79" s="325"/>
      <c r="AAG79" s="325"/>
      <c r="AAH79" s="325"/>
      <c r="AAI79" s="325"/>
      <c r="AAJ79" s="325"/>
      <c r="AAK79" s="325"/>
      <c r="AAL79" s="325"/>
      <c r="AAM79" s="325"/>
      <c r="AAN79" s="325"/>
      <c r="AAO79" s="325"/>
      <c r="AAP79" s="325"/>
      <c r="AAQ79" s="325"/>
      <c r="AAR79" s="325"/>
      <c r="AAS79" s="325"/>
      <c r="AAT79" s="325"/>
      <c r="AAU79" s="325"/>
      <c r="AAV79" s="325"/>
      <c r="AAW79" s="325"/>
      <c r="AAX79" s="325"/>
      <c r="AAY79" s="325"/>
      <c r="AAZ79" s="325"/>
      <c r="ABA79" s="325"/>
      <c r="ABB79" s="325"/>
      <c r="ABC79" s="325"/>
      <c r="ABD79" s="325"/>
      <c r="ABE79" s="325"/>
      <c r="ABF79" s="325"/>
      <c r="ABG79" s="325"/>
      <c r="ABH79" s="325"/>
      <c r="ABI79" s="325"/>
      <c r="ABJ79" s="325"/>
      <c r="ABK79" s="325"/>
      <c r="ABL79" s="325"/>
      <c r="ABM79" s="325"/>
      <c r="ABN79" s="325"/>
      <c r="ABO79" s="325"/>
      <c r="ABP79" s="325"/>
      <c r="ABQ79" s="325"/>
      <c r="ABR79" s="325"/>
      <c r="ABS79" s="325"/>
      <c r="ABT79" s="325"/>
      <c r="ABU79" s="325"/>
      <c r="ABV79" s="325"/>
      <c r="ABW79" s="325"/>
      <c r="ABX79" s="325"/>
      <c r="ABY79" s="325"/>
      <c r="ABZ79" s="325"/>
      <c r="ACA79" s="325"/>
      <c r="ACB79" s="325"/>
      <c r="ACC79" s="325"/>
      <c r="ACD79" s="325"/>
      <c r="ACE79" s="325"/>
      <c r="ACF79" s="325"/>
      <c r="ACG79" s="325"/>
      <c r="ACH79" s="325"/>
      <c r="ACI79" s="325"/>
      <c r="ACJ79" s="325"/>
      <c r="ACK79" s="325"/>
      <c r="ACL79" s="325"/>
      <c r="ACM79" s="325"/>
      <c r="ACN79" s="325"/>
      <c r="ACO79" s="325"/>
      <c r="ACP79" s="325"/>
      <c r="ACQ79" s="325"/>
      <c r="ACR79" s="325"/>
      <c r="ACS79" s="325"/>
      <c r="ACT79" s="325"/>
      <c r="ACU79" s="325"/>
      <c r="ACV79" s="325"/>
      <c r="ACW79" s="325"/>
      <c r="ACX79" s="325"/>
      <c r="ACY79" s="325"/>
      <c r="ACZ79" s="325"/>
      <c r="ADA79" s="325"/>
      <c r="ADB79" s="325"/>
      <c r="ADC79" s="325"/>
      <c r="ADD79" s="325"/>
      <c r="ADE79" s="325"/>
      <c r="ADF79" s="325"/>
      <c r="ADG79" s="325"/>
      <c r="ADH79" s="325"/>
      <c r="ADI79" s="325"/>
      <c r="ADJ79" s="325"/>
      <c r="ADK79" s="325"/>
      <c r="ADL79" s="325"/>
      <c r="ADM79" s="325"/>
      <c r="ADN79" s="325"/>
      <c r="ADO79" s="325"/>
      <c r="ADP79" s="325"/>
      <c r="ADQ79" s="325"/>
      <c r="ADR79" s="325"/>
      <c r="ADS79" s="325"/>
      <c r="ADT79" s="325"/>
      <c r="ADU79" s="325"/>
      <c r="ADV79" s="325"/>
      <c r="ADW79" s="325"/>
      <c r="ADX79" s="325"/>
      <c r="ADY79" s="325"/>
      <c r="ADZ79" s="325"/>
      <c r="AEA79" s="325"/>
      <c r="AEB79" s="325"/>
      <c r="AEC79" s="325"/>
      <c r="AED79" s="325"/>
      <c r="AEE79" s="325"/>
      <c r="AEF79" s="325"/>
      <c r="AEG79" s="325"/>
      <c r="AEH79" s="325"/>
      <c r="AEI79" s="325"/>
      <c r="AEJ79" s="325"/>
      <c r="AEK79" s="325"/>
      <c r="AEL79" s="325"/>
      <c r="AEM79" s="325"/>
      <c r="AEN79" s="325"/>
      <c r="AEO79" s="325"/>
      <c r="AEP79" s="325"/>
      <c r="AEQ79" s="325"/>
      <c r="AER79" s="325"/>
      <c r="AES79" s="325"/>
      <c r="AET79" s="325"/>
      <c r="AEU79" s="325"/>
      <c r="AEV79" s="325"/>
      <c r="AEW79" s="325"/>
      <c r="AEX79" s="325"/>
      <c r="AEY79" s="325"/>
      <c r="AEZ79" s="325"/>
      <c r="AFA79" s="325"/>
      <c r="AFB79" s="325"/>
      <c r="AFC79" s="325"/>
      <c r="AFD79" s="325"/>
      <c r="AFE79" s="325"/>
      <c r="AFF79" s="325"/>
      <c r="AFG79" s="325"/>
      <c r="AFH79" s="325"/>
      <c r="AFI79" s="325"/>
      <c r="AFJ79" s="325"/>
      <c r="AFK79" s="325"/>
      <c r="AFL79" s="325"/>
      <c r="AFM79" s="325"/>
      <c r="AFN79" s="325"/>
      <c r="AFO79" s="325"/>
      <c r="AFP79" s="325"/>
      <c r="AFQ79" s="325"/>
      <c r="AFR79" s="325"/>
      <c r="AFS79" s="325"/>
      <c r="AFT79" s="325"/>
      <c r="AFU79" s="325"/>
      <c r="AFV79" s="325"/>
      <c r="AFW79" s="325"/>
      <c r="AFX79" s="325"/>
      <c r="AFY79" s="325"/>
      <c r="AFZ79" s="325"/>
      <c r="AGA79" s="325"/>
      <c r="AGB79" s="325"/>
      <c r="AGC79" s="325"/>
      <c r="AGD79" s="325"/>
      <c r="AGE79" s="325"/>
      <c r="AGF79" s="325"/>
      <c r="AGG79" s="325"/>
      <c r="AGH79" s="325"/>
      <c r="AGI79" s="325"/>
      <c r="AGJ79" s="325"/>
      <c r="AGK79" s="325"/>
      <c r="AGL79" s="325"/>
      <c r="AGM79" s="325"/>
      <c r="AGN79" s="325"/>
      <c r="AGO79" s="325"/>
      <c r="AGP79" s="325"/>
      <c r="AGQ79" s="325"/>
      <c r="AGR79" s="325"/>
      <c r="AGS79" s="325"/>
      <c r="AGT79" s="325"/>
      <c r="AGU79" s="325"/>
      <c r="AGV79" s="325"/>
      <c r="AGW79" s="325"/>
      <c r="AGX79" s="325"/>
      <c r="AGY79" s="325"/>
      <c r="AGZ79" s="325"/>
      <c r="AHA79" s="325"/>
      <c r="AHB79" s="325"/>
      <c r="AHC79" s="325"/>
      <c r="AHD79" s="325"/>
      <c r="AHE79" s="325"/>
      <c r="AHF79" s="325"/>
      <c r="AHG79" s="325"/>
      <c r="AHH79" s="325"/>
      <c r="AHI79" s="325"/>
      <c r="AHJ79" s="325"/>
      <c r="AHK79" s="325"/>
      <c r="AHL79" s="325"/>
      <c r="AHM79" s="325"/>
      <c r="AHN79" s="325"/>
      <c r="AHO79" s="325"/>
      <c r="AHP79" s="325"/>
      <c r="AHQ79" s="325"/>
      <c r="AHR79" s="325"/>
      <c r="AHS79" s="325"/>
      <c r="AHT79" s="325"/>
      <c r="AHU79" s="325"/>
      <c r="AHV79" s="325"/>
      <c r="AHW79" s="325"/>
      <c r="AHX79" s="325"/>
      <c r="AHY79" s="325"/>
      <c r="AHZ79" s="325"/>
      <c r="AIA79" s="325"/>
      <c r="AIB79" s="325"/>
      <c r="AIC79" s="325"/>
      <c r="AID79" s="325"/>
      <c r="AIE79" s="325"/>
      <c r="AIF79" s="325"/>
      <c r="AIG79" s="325"/>
      <c r="AIH79" s="325"/>
      <c r="AII79" s="325"/>
      <c r="AIJ79" s="325"/>
      <c r="AIK79" s="325"/>
      <c r="AIL79" s="325"/>
      <c r="AIM79" s="325"/>
      <c r="AIN79" s="325"/>
      <c r="AIO79" s="325"/>
      <c r="AIP79" s="325"/>
      <c r="AIQ79" s="325"/>
      <c r="AIR79" s="325"/>
      <c r="AIS79" s="325"/>
      <c r="AIT79" s="325"/>
      <c r="AIU79" s="325"/>
      <c r="AIV79" s="325"/>
      <c r="AIW79" s="325"/>
      <c r="AIX79" s="325"/>
      <c r="AIY79" s="325"/>
      <c r="AIZ79" s="325"/>
      <c r="AJA79" s="325"/>
      <c r="AJB79" s="325"/>
      <c r="AJC79" s="325"/>
      <c r="AJD79" s="325"/>
      <c r="AJE79" s="325"/>
      <c r="AJF79" s="325"/>
      <c r="AJG79" s="325"/>
      <c r="AJH79" s="325"/>
      <c r="AJI79" s="325"/>
      <c r="AJJ79" s="325"/>
      <c r="AJK79" s="325"/>
      <c r="AJL79" s="325"/>
      <c r="AJM79" s="325"/>
      <c r="AJN79" s="325"/>
      <c r="AJO79" s="325"/>
      <c r="AJP79" s="325"/>
      <c r="AJQ79" s="325"/>
      <c r="AJR79" s="325"/>
      <c r="AJS79" s="325"/>
      <c r="AJT79" s="325"/>
      <c r="AJU79" s="325"/>
      <c r="AJV79" s="325"/>
      <c r="AJW79" s="325"/>
      <c r="AJX79" s="325"/>
      <c r="AJY79" s="325"/>
      <c r="AJZ79" s="325"/>
      <c r="AKA79" s="325"/>
      <c r="AKB79" s="325"/>
      <c r="AKC79" s="325"/>
      <c r="AKD79" s="325"/>
      <c r="AKE79" s="325"/>
      <c r="AKF79" s="325"/>
      <c r="AKG79" s="325"/>
      <c r="AKH79" s="325"/>
      <c r="AKI79" s="325"/>
      <c r="AKJ79" s="325"/>
      <c r="AKK79" s="325"/>
      <c r="AKL79" s="325"/>
      <c r="AKM79" s="325"/>
      <c r="AKN79" s="325"/>
      <c r="AKO79" s="325"/>
      <c r="AKP79" s="325"/>
      <c r="AKQ79" s="325"/>
      <c r="AKR79" s="325"/>
      <c r="AKS79" s="325"/>
      <c r="AKT79" s="325"/>
      <c r="AKU79" s="325"/>
      <c r="AKV79" s="325"/>
      <c r="AKW79" s="325"/>
      <c r="AKX79" s="325"/>
      <c r="AKY79" s="325"/>
      <c r="AKZ79" s="325"/>
      <c r="ALA79" s="325"/>
      <c r="ALB79" s="325"/>
      <c r="ALC79" s="325"/>
      <c r="ALD79" s="325"/>
      <c r="ALE79" s="325"/>
      <c r="ALF79" s="325"/>
      <c r="ALG79" s="325"/>
      <c r="ALH79" s="325"/>
      <c r="ALI79" s="325"/>
      <c r="ALJ79" s="325"/>
      <c r="ALK79" s="325"/>
      <c r="ALL79" s="325"/>
      <c r="ALM79" s="325"/>
      <c r="ALN79" s="325"/>
      <c r="ALO79" s="325"/>
      <c r="ALP79" s="325"/>
      <c r="ALQ79" s="325"/>
      <c r="ALR79" s="325"/>
      <c r="ALS79" s="325"/>
      <c r="ALT79" s="325"/>
      <c r="ALU79" s="325"/>
      <c r="ALV79" s="325"/>
      <c r="ALW79" s="325"/>
      <c r="ALX79" s="325"/>
      <c r="ALY79" s="325"/>
      <c r="ALZ79" s="325"/>
      <c r="AMA79" s="325"/>
      <c r="AMB79" s="325"/>
      <c r="AMC79" s="325"/>
    </row>
    <row r="80" spans="3:1017" s="75" customFormat="1">
      <c r="C80" s="130"/>
      <c r="D80" s="130"/>
      <c r="CN80" s="225"/>
      <c r="CQ80" s="226"/>
      <c r="LD80" s="213"/>
      <c r="LH80" s="286"/>
      <c r="LI80" s="287"/>
      <c r="LJ80" s="124"/>
      <c r="LK80" s="124"/>
      <c r="LL80" s="124"/>
      <c r="LM80" s="124"/>
      <c r="LN80" s="124"/>
      <c r="LO80" s="124"/>
      <c r="LP80" s="124"/>
      <c r="LQ80" s="124"/>
      <c r="LR80" s="124"/>
      <c r="NE80" s="330"/>
      <c r="NF80" s="325"/>
      <c r="NG80" s="325"/>
      <c r="NH80" s="325"/>
      <c r="NI80" s="325"/>
      <c r="NJ80" s="325"/>
      <c r="NK80" s="325"/>
      <c r="NL80" s="325"/>
      <c r="NM80" s="325"/>
      <c r="NN80" s="325"/>
      <c r="NO80" s="325"/>
      <c r="NP80" s="325"/>
      <c r="NQ80" s="325"/>
      <c r="NR80" s="325"/>
      <c r="NS80" s="325"/>
      <c r="NT80" s="325"/>
      <c r="NU80" s="325"/>
      <c r="NV80" s="325"/>
      <c r="NW80" s="325"/>
      <c r="NX80" s="325"/>
      <c r="NY80" s="325"/>
      <c r="NZ80" s="325"/>
      <c r="OA80" s="325"/>
      <c r="OB80" s="325"/>
      <c r="OC80" s="325"/>
      <c r="OD80" s="325"/>
      <c r="OE80" s="325"/>
      <c r="OF80" s="325"/>
      <c r="OG80" s="325"/>
      <c r="OH80" s="325"/>
      <c r="OI80" s="325"/>
      <c r="OJ80" s="325"/>
      <c r="OK80" s="325"/>
      <c r="OL80" s="325"/>
      <c r="OM80" s="325"/>
      <c r="ON80" s="325"/>
      <c r="OO80" s="325"/>
      <c r="OP80" s="325"/>
      <c r="OQ80" s="325"/>
      <c r="OR80" s="325"/>
      <c r="OS80" s="325"/>
      <c r="OT80" s="325"/>
      <c r="OU80" s="325"/>
      <c r="OV80" s="325"/>
      <c r="OW80" s="325"/>
      <c r="OX80" s="325"/>
      <c r="OY80" s="325"/>
      <c r="OZ80" s="325"/>
      <c r="PA80" s="325"/>
      <c r="PB80" s="325"/>
      <c r="PC80" s="325"/>
      <c r="PD80" s="325"/>
      <c r="PE80" s="325"/>
      <c r="PF80" s="325"/>
      <c r="PG80" s="325"/>
      <c r="PH80" s="325"/>
      <c r="PI80" s="325"/>
      <c r="PJ80" s="325"/>
      <c r="PK80" s="325"/>
      <c r="PL80" s="325"/>
      <c r="PM80" s="325"/>
      <c r="PN80" s="325"/>
      <c r="PO80" s="325"/>
      <c r="PP80" s="325"/>
      <c r="PQ80" s="325"/>
      <c r="PR80" s="325"/>
      <c r="PS80" s="325"/>
      <c r="PT80" s="325"/>
      <c r="PU80" s="325"/>
      <c r="PV80" s="325"/>
      <c r="PW80" s="325"/>
      <c r="PX80" s="325"/>
      <c r="PY80" s="325"/>
      <c r="PZ80" s="325"/>
      <c r="QA80" s="325"/>
      <c r="QB80" s="325"/>
      <c r="QC80" s="325"/>
      <c r="QD80" s="325"/>
      <c r="QE80" s="325"/>
      <c r="QF80" s="325"/>
      <c r="QG80" s="325"/>
      <c r="QH80" s="325"/>
      <c r="QI80" s="325"/>
      <c r="QJ80" s="325"/>
      <c r="QK80" s="325"/>
      <c r="QL80" s="325"/>
      <c r="QM80" s="325"/>
      <c r="QN80" s="325"/>
      <c r="QO80" s="325"/>
      <c r="QP80" s="325"/>
      <c r="QQ80" s="325"/>
      <c r="QR80" s="325"/>
      <c r="QS80" s="325"/>
      <c r="QT80" s="325"/>
      <c r="QU80" s="325"/>
      <c r="QV80" s="325"/>
      <c r="QW80" s="325"/>
      <c r="QX80" s="325"/>
      <c r="QY80" s="325"/>
      <c r="QZ80" s="325"/>
      <c r="RA80" s="325"/>
      <c r="RB80" s="325"/>
      <c r="RC80" s="325"/>
      <c r="RD80" s="325"/>
      <c r="RE80" s="325"/>
      <c r="RF80" s="325"/>
      <c r="RG80" s="325"/>
      <c r="RH80" s="325"/>
      <c r="RI80" s="325"/>
      <c r="RJ80" s="325"/>
      <c r="RK80" s="325"/>
      <c r="RL80" s="325"/>
      <c r="RM80" s="325"/>
      <c r="RN80" s="325"/>
      <c r="RO80" s="325"/>
      <c r="RP80" s="325"/>
      <c r="RQ80" s="325"/>
      <c r="RR80" s="325"/>
      <c r="RS80" s="325"/>
      <c r="RT80" s="325"/>
      <c r="RU80" s="325"/>
      <c r="RV80" s="325"/>
      <c r="RW80" s="325"/>
      <c r="RX80" s="325"/>
      <c r="RY80" s="325"/>
      <c r="RZ80" s="325"/>
      <c r="SA80" s="325"/>
      <c r="SB80" s="325"/>
      <c r="SC80" s="325"/>
      <c r="SD80" s="325"/>
      <c r="SE80" s="325"/>
      <c r="SF80" s="325"/>
      <c r="SG80" s="325"/>
      <c r="SH80" s="325"/>
      <c r="SI80" s="325"/>
      <c r="SJ80" s="325"/>
      <c r="SK80" s="325"/>
      <c r="SL80" s="325"/>
      <c r="SM80" s="325"/>
      <c r="SN80" s="325"/>
      <c r="SO80" s="325"/>
      <c r="SP80" s="325"/>
      <c r="SQ80" s="325"/>
      <c r="SR80" s="325"/>
      <c r="SS80" s="325"/>
      <c r="ST80" s="325"/>
      <c r="SU80" s="325"/>
      <c r="SV80" s="325"/>
      <c r="SW80" s="325"/>
      <c r="SX80" s="325"/>
      <c r="SY80" s="325"/>
      <c r="SZ80" s="325"/>
      <c r="TA80" s="325"/>
      <c r="TB80" s="325"/>
      <c r="TC80" s="325"/>
      <c r="TD80" s="325"/>
      <c r="TE80" s="325"/>
      <c r="TF80" s="325"/>
      <c r="TG80" s="325"/>
      <c r="TH80" s="325"/>
      <c r="TI80" s="325"/>
      <c r="TJ80" s="325"/>
      <c r="TK80" s="325"/>
      <c r="TL80" s="325"/>
      <c r="TM80" s="325"/>
      <c r="TN80" s="325"/>
      <c r="TO80" s="325"/>
      <c r="TP80" s="325"/>
      <c r="TQ80" s="325"/>
      <c r="TR80" s="325"/>
      <c r="TS80" s="325"/>
      <c r="TT80" s="325"/>
      <c r="TU80" s="325"/>
      <c r="TV80" s="325"/>
      <c r="TW80" s="325"/>
      <c r="TX80" s="325"/>
      <c r="TY80" s="325"/>
      <c r="TZ80" s="325"/>
      <c r="UA80" s="325"/>
      <c r="UB80" s="325"/>
      <c r="UC80" s="325"/>
      <c r="UD80" s="325"/>
      <c r="UE80" s="325"/>
      <c r="UF80" s="325"/>
      <c r="UG80" s="325"/>
      <c r="UH80" s="325"/>
      <c r="UI80" s="325"/>
      <c r="UJ80" s="325"/>
      <c r="UK80" s="325"/>
      <c r="UL80" s="325"/>
      <c r="UM80" s="325"/>
      <c r="UN80" s="325"/>
      <c r="UO80" s="325"/>
      <c r="UP80" s="325"/>
      <c r="UQ80" s="325"/>
      <c r="UR80" s="325"/>
      <c r="US80" s="325"/>
      <c r="UT80" s="325"/>
      <c r="UU80" s="325"/>
      <c r="UV80" s="325"/>
      <c r="UW80" s="325"/>
      <c r="UX80" s="325"/>
      <c r="UY80" s="325"/>
      <c r="UZ80" s="325"/>
      <c r="VA80" s="325"/>
      <c r="VB80" s="325"/>
      <c r="VC80" s="325"/>
      <c r="VD80" s="325"/>
      <c r="VE80" s="325"/>
      <c r="VF80" s="325"/>
      <c r="VG80" s="325"/>
      <c r="VH80" s="325"/>
      <c r="VI80" s="325"/>
      <c r="VJ80" s="325"/>
      <c r="VK80" s="325"/>
      <c r="VL80" s="325"/>
      <c r="VM80" s="325"/>
      <c r="VN80" s="325"/>
      <c r="VO80" s="325"/>
      <c r="VP80" s="325"/>
      <c r="VQ80" s="325"/>
      <c r="VR80" s="325"/>
      <c r="VS80" s="325"/>
      <c r="VT80" s="325"/>
      <c r="VU80" s="325"/>
      <c r="VV80" s="325"/>
      <c r="VW80" s="325"/>
      <c r="VX80" s="325"/>
      <c r="VY80" s="325"/>
      <c r="VZ80" s="325"/>
      <c r="WA80" s="325"/>
      <c r="WB80" s="325"/>
      <c r="WC80" s="325"/>
      <c r="WD80" s="325"/>
      <c r="WE80" s="325"/>
      <c r="WF80" s="325"/>
      <c r="WG80" s="325"/>
      <c r="WH80" s="325"/>
      <c r="WI80" s="325"/>
      <c r="WJ80" s="325"/>
      <c r="WK80" s="325"/>
      <c r="WL80" s="325"/>
      <c r="WM80" s="325"/>
      <c r="WN80" s="325"/>
      <c r="WO80" s="325"/>
      <c r="WP80" s="325"/>
      <c r="WQ80" s="325"/>
      <c r="WR80" s="325"/>
      <c r="WS80" s="325"/>
      <c r="WT80" s="325"/>
      <c r="WU80" s="325"/>
      <c r="WV80" s="325"/>
      <c r="WW80" s="325"/>
      <c r="WX80" s="325"/>
      <c r="WY80" s="325"/>
      <c r="WZ80" s="325"/>
      <c r="XA80" s="325"/>
      <c r="XB80" s="325"/>
      <c r="XC80" s="325"/>
      <c r="XD80" s="325"/>
      <c r="XE80" s="325"/>
      <c r="XF80" s="325"/>
      <c r="XG80" s="325"/>
      <c r="XH80" s="325"/>
      <c r="XI80" s="325"/>
      <c r="XJ80" s="325"/>
      <c r="XK80" s="325"/>
      <c r="XL80" s="325"/>
      <c r="XM80" s="325"/>
      <c r="XN80" s="325"/>
      <c r="XO80" s="325"/>
      <c r="XP80" s="325"/>
      <c r="XQ80" s="325"/>
      <c r="XR80" s="325"/>
      <c r="XS80" s="325"/>
      <c r="XT80" s="325"/>
      <c r="XU80" s="325"/>
      <c r="XV80" s="325"/>
      <c r="XW80" s="325"/>
      <c r="XX80" s="325"/>
      <c r="XY80" s="325"/>
      <c r="XZ80" s="325"/>
      <c r="YA80" s="325"/>
      <c r="YB80" s="325"/>
      <c r="YC80" s="325"/>
      <c r="YD80" s="325"/>
      <c r="YE80" s="325"/>
      <c r="YF80" s="325"/>
      <c r="YG80" s="325"/>
      <c r="YH80" s="325"/>
      <c r="YI80" s="325"/>
      <c r="YJ80" s="325"/>
      <c r="YK80" s="325"/>
      <c r="YL80" s="325"/>
      <c r="YM80" s="325"/>
      <c r="YN80" s="325"/>
      <c r="YO80" s="325"/>
      <c r="YP80" s="325"/>
      <c r="YQ80" s="325"/>
      <c r="YR80" s="325"/>
      <c r="YS80" s="325"/>
      <c r="YT80" s="325"/>
      <c r="YU80" s="325"/>
      <c r="YV80" s="325"/>
      <c r="YW80" s="325"/>
      <c r="YX80" s="325"/>
      <c r="YY80" s="325"/>
      <c r="YZ80" s="325"/>
      <c r="ZA80" s="325"/>
      <c r="ZB80" s="325"/>
      <c r="ZC80" s="325"/>
      <c r="ZD80" s="325"/>
      <c r="ZE80" s="325"/>
      <c r="ZF80" s="325"/>
      <c r="ZG80" s="325"/>
      <c r="ZH80" s="325"/>
      <c r="ZI80" s="325"/>
      <c r="ZJ80" s="325"/>
      <c r="ZK80" s="325"/>
      <c r="ZL80" s="325"/>
      <c r="ZM80" s="325"/>
      <c r="ZN80" s="325"/>
      <c r="ZO80" s="325"/>
      <c r="ZP80" s="325"/>
      <c r="ZQ80" s="325"/>
      <c r="ZR80" s="325"/>
      <c r="ZS80" s="325"/>
      <c r="ZT80" s="325"/>
      <c r="ZU80" s="325"/>
      <c r="ZV80" s="325"/>
      <c r="ZW80" s="325"/>
      <c r="ZX80" s="325"/>
      <c r="ZY80" s="325"/>
      <c r="ZZ80" s="325"/>
      <c r="AAA80" s="325"/>
      <c r="AAB80" s="325"/>
      <c r="AAC80" s="325"/>
      <c r="AAD80" s="325"/>
      <c r="AAE80" s="325"/>
      <c r="AAF80" s="325"/>
      <c r="AAG80" s="325"/>
      <c r="AAH80" s="325"/>
      <c r="AAI80" s="325"/>
      <c r="AAJ80" s="325"/>
      <c r="AAK80" s="325"/>
      <c r="AAL80" s="325"/>
      <c r="AAM80" s="325"/>
      <c r="AAN80" s="325"/>
      <c r="AAO80" s="325"/>
      <c r="AAP80" s="325"/>
      <c r="AAQ80" s="325"/>
      <c r="AAR80" s="325"/>
      <c r="AAS80" s="325"/>
      <c r="AAT80" s="325"/>
      <c r="AAU80" s="325"/>
      <c r="AAV80" s="325"/>
      <c r="AAW80" s="325"/>
      <c r="AAX80" s="325"/>
      <c r="AAY80" s="325"/>
      <c r="AAZ80" s="325"/>
      <c r="ABA80" s="325"/>
      <c r="ABB80" s="325"/>
      <c r="ABC80" s="325"/>
      <c r="ABD80" s="325"/>
      <c r="ABE80" s="325"/>
      <c r="ABF80" s="325"/>
      <c r="ABG80" s="325"/>
      <c r="ABH80" s="325"/>
      <c r="ABI80" s="325"/>
      <c r="ABJ80" s="325"/>
      <c r="ABK80" s="325"/>
      <c r="ABL80" s="325"/>
      <c r="ABM80" s="325"/>
      <c r="ABN80" s="325"/>
      <c r="ABO80" s="325"/>
      <c r="ABP80" s="325"/>
      <c r="ABQ80" s="325"/>
      <c r="ABR80" s="325"/>
      <c r="ABS80" s="325"/>
      <c r="ABT80" s="325"/>
      <c r="ABU80" s="325"/>
      <c r="ABV80" s="325"/>
      <c r="ABW80" s="325"/>
      <c r="ABX80" s="325"/>
      <c r="ABY80" s="325"/>
      <c r="ABZ80" s="325"/>
      <c r="ACA80" s="325"/>
      <c r="ACB80" s="325"/>
      <c r="ACC80" s="325"/>
      <c r="ACD80" s="325"/>
      <c r="ACE80" s="325"/>
      <c r="ACF80" s="325"/>
      <c r="ACG80" s="325"/>
      <c r="ACH80" s="325"/>
      <c r="ACI80" s="325"/>
      <c r="ACJ80" s="325"/>
      <c r="ACK80" s="325"/>
      <c r="ACL80" s="325"/>
      <c r="ACM80" s="325"/>
      <c r="ACN80" s="325"/>
      <c r="ACO80" s="325"/>
      <c r="ACP80" s="325"/>
      <c r="ACQ80" s="325"/>
      <c r="ACR80" s="325"/>
      <c r="ACS80" s="325"/>
      <c r="ACT80" s="325"/>
      <c r="ACU80" s="325"/>
      <c r="ACV80" s="325"/>
      <c r="ACW80" s="325"/>
      <c r="ACX80" s="325"/>
      <c r="ACY80" s="325"/>
      <c r="ACZ80" s="325"/>
      <c r="ADA80" s="325"/>
      <c r="ADB80" s="325"/>
      <c r="ADC80" s="325"/>
      <c r="ADD80" s="325"/>
      <c r="ADE80" s="325"/>
      <c r="ADF80" s="325"/>
      <c r="ADG80" s="325"/>
      <c r="ADH80" s="325"/>
      <c r="ADI80" s="325"/>
      <c r="ADJ80" s="325"/>
      <c r="ADK80" s="325"/>
      <c r="ADL80" s="325"/>
      <c r="ADM80" s="325"/>
      <c r="ADN80" s="325"/>
      <c r="ADO80" s="325"/>
      <c r="ADP80" s="325"/>
      <c r="ADQ80" s="325"/>
      <c r="ADR80" s="325"/>
      <c r="ADS80" s="325"/>
      <c r="ADT80" s="325"/>
      <c r="ADU80" s="325"/>
      <c r="ADV80" s="325"/>
      <c r="ADW80" s="325"/>
      <c r="ADX80" s="325"/>
      <c r="ADY80" s="325"/>
      <c r="ADZ80" s="325"/>
      <c r="AEA80" s="325"/>
      <c r="AEB80" s="325"/>
      <c r="AEC80" s="325"/>
      <c r="AED80" s="325"/>
      <c r="AEE80" s="325"/>
      <c r="AEF80" s="325"/>
      <c r="AEG80" s="325"/>
      <c r="AEH80" s="325"/>
      <c r="AEI80" s="325"/>
      <c r="AEJ80" s="325"/>
      <c r="AEK80" s="325"/>
      <c r="AEL80" s="325"/>
      <c r="AEM80" s="325"/>
      <c r="AEN80" s="325"/>
      <c r="AEO80" s="325"/>
      <c r="AEP80" s="325"/>
      <c r="AEQ80" s="325"/>
      <c r="AER80" s="325"/>
      <c r="AES80" s="325"/>
      <c r="AET80" s="325"/>
      <c r="AEU80" s="325"/>
      <c r="AEV80" s="325"/>
      <c r="AEW80" s="325"/>
      <c r="AEX80" s="325"/>
      <c r="AEY80" s="325"/>
      <c r="AEZ80" s="325"/>
      <c r="AFA80" s="325"/>
      <c r="AFB80" s="325"/>
      <c r="AFC80" s="325"/>
      <c r="AFD80" s="325"/>
      <c r="AFE80" s="325"/>
      <c r="AFF80" s="325"/>
      <c r="AFG80" s="325"/>
      <c r="AFH80" s="325"/>
      <c r="AFI80" s="325"/>
      <c r="AFJ80" s="325"/>
      <c r="AFK80" s="325"/>
      <c r="AFL80" s="325"/>
      <c r="AFM80" s="325"/>
      <c r="AFN80" s="325"/>
      <c r="AFO80" s="325"/>
      <c r="AFP80" s="325"/>
      <c r="AFQ80" s="325"/>
      <c r="AFR80" s="325"/>
      <c r="AFS80" s="325"/>
      <c r="AFT80" s="325"/>
      <c r="AFU80" s="325"/>
      <c r="AFV80" s="325"/>
      <c r="AFW80" s="325"/>
      <c r="AFX80" s="325"/>
      <c r="AFY80" s="325"/>
      <c r="AFZ80" s="325"/>
      <c r="AGA80" s="325"/>
      <c r="AGB80" s="325"/>
      <c r="AGC80" s="325"/>
      <c r="AGD80" s="325"/>
      <c r="AGE80" s="325"/>
      <c r="AGF80" s="325"/>
      <c r="AGG80" s="325"/>
      <c r="AGH80" s="325"/>
      <c r="AGI80" s="325"/>
      <c r="AGJ80" s="325"/>
      <c r="AGK80" s="325"/>
      <c r="AGL80" s="325"/>
      <c r="AGM80" s="325"/>
      <c r="AGN80" s="325"/>
      <c r="AGO80" s="325"/>
      <c r="AGP80" s="325"/>
      <c r="AGQ80" s="325"/>
      <c r="AGR80" s="325"/>
      <c r="AGS80" s="325"/>
      <c r="AGT80" s="325"/>
      <c r="AGU80" s="325"/>
      <c r="AGV80" s="325"/>
      <c r="AGW80" s="325"/>
      <c r="AGX80" s="325"/>
      <c r="AGY80" s="325"/>
      <c r="AGZ80" s="325"/>
      <c r="AHA80" s="325"/>
      <c r="AHB80" s="325"/>
      <c r="AHC80" s="325"/>
      <c r="AHD80" s="325"/>
      <c r="AHE80" s="325"/>
      <c r="AHF80" s="325"/>
      <c r="AHG80" s="325"/>
      <c r="AHH80" s="325"/>
      <c r="AHI80" s="325"/>
      <c r="AHJ80" s="325"/>
      <c r="AHK80" s="325"/>
      <c r="AHL80" s="325"/>
      <c r="AHM80" s="325"/>
      <c r="AHN80" s="325"/>
      <c r="AHO80" s="325"/>
      <c r="AHP80" s="325"/>
      <c r="AHQ80" s="325"/>
      <c r="AHR80" s="325"/>
      <c r="AHS80" s="325"/>
      <c r="AHT80" s="325"/>
      <c r="AHU80" s="325"/>
      <c r="AHV80" s="325"/>
      <c r="AHW80" s="325"/>
      <c r="AHX80" s="325"/>
      <c r="AHY80" s="325"/>
      <c r="AHZ80" s="325"/>
      <c r="AIA80" s="325"/>
      <c r="AIB80" s="325"/>
      <c r="AIC80" s="325"/>
      <c r="AID80" s="325"/>
      <c r="AIE80" s="325"/>
      <c r="AIF80" s="325"/>
      <c r="AIG80" s="325"/>
      <c r="AIH80" s="325"/>
      <c r="AII80" s="325"/>
      <c r="AIJ80" s="325"/>
      <c r="AIK80" s="325"/>
      <c r="AIL80" s="325"/>
      <c r="AIM80" s="325"/>
      <c r="AIN80" s="325"/>
      <c r="AIO80" s="325"/>
      <c r="AIP80" s="325"/>
      <c r="AIQ80" s="325"/>
      <c r="AIR80" s="325"/>
      <c r="AIS80" s="325"/>
      <c r="AIT80" s="325"/>
      <c r="AIU80" s="325"/>
      <c r="AIV80" s="325"/>
      <c r="AIW80" s="325"/>
      <c r="AIX80" s="325"/>
      <c r="AIY80" s="325"/>
      <c r="AIZ80" s="325"/>
      <c r="AJA80" s="325"/>
      <c r="AJB80" s="325"/>
      <c r="AJC80" s="325"/>
      <c r="AJD80" s="325"/>
      <c r="AJE80" s="325"/>
      <c r="AJF80" s="325"/>
      <c r="AJG80" s="325"/>
      <c r="AJH80" s="325"/>
      <c r="AJI80" s="325"/>
      <c r="AJJ80" s="325"/>
      <c r="AJK80" s="325"/>
      <c r="AJL80" s="325"/>
      <c r="AJM80" s="325"/>
      <c r="AJN80" s="325"/>
      <c r="AJO80" s="325"/>
      <c r="AJP80" s="325"/>
      <c r="AJQ80" s="325"/>
      <c r="AJR80" s="325"/>
      <c r="AJS80" s="325"/>
      <c r="AJT80" s="325"/>
      <c r="AJU80" s="325"/>
      <c r="AJV80" s="325"/>
      <c r="AJW80" s="325"/>
      <c r="AJX80" s="325"/>
      <c r="AJY80" s="325"/>
      <c r="AJZ80" s="325"/>
      <c r="AKA80" s="325"/>
      <c r="AKB80" s="325"/>
      <c r="AKC80" s="325"/>
      <c r="AKD80" s="325"/>
      <c r="AKE80" s="325"/>
      <c r="AKF80" s="325"/>
      <c r="AKG80" s="325"/>
      <c r="AKH80" s="325"/>
      <c r="AKI80" s="325"/>
      <c r="AKJ80" s="325"/>
      <c r="AKK80" s="325"/>
      <c r="AKL80" s="325"/>
      <c r="AKM80" s="325"/>
      <c r="AKN80" s="325"/>
      <c r="AKO80" s="325"/>
      <c r="AKP80" s="325"/>
      <c r="AKQ80" s="325"/>
      <c r="AKR80" s="325"/>
      <c r="AKS80" s="325"/>
      <c r="AKT80" s="325"/>
      <c r="AKU80" s="325"/>
      <c r="AKV80" s="325"/>
      <c r="AKW80" s="325"/>
      <c r="AKX80" s="325"/>
      <c r="AKY80" s="325"/>
      <c r="AKZ80" s="325"/>
      <c r="ALA80" s="325"/>
      <c r="ALB80" s="325"/>
      <c r="ALC80" s="325"/>
      <c r="ALD80" s="325"/>
      <c r="ALE80" s="325"/>
      <c r="ALF80" s="325"/>
      <c r="ALG80" s="325"/>
      <c r="ALH80" s="325"/>
      <c r="ALI80" s="325"/>
      <c r="ALJ80" s="325"/>
      <c r="ALK80" s="325"/>
      <c r="ALL80" s="325"/>
      <c r="ALM80" s="325"/>
      <c r="ALN80" s="325"/>
      <c r="ALO80" s="325"/>
      <c r="ALP80" s="325"/>
      <c r="ALQ80" s="325"/>
      <c r="ALR80" s="325"/>
      <c r="ALS80" s="325"/>
      <c r="ALT80" s="325"/>
      <c r="ALU80" s="325"/>
      <c r="ALV80" s="325"/>
      <c r="ALW80" s="325"/>
      <c r="ALX80" s="325"/>
      <c r="ALY80" s="325"/>
      <c r="ALZ80" s="325"/>
      <c r="AMA80" s="325"/>
      <c r="AMB80" s="325"/>
      <c r="AMC80" s="325"/>
    </row>
    <row r="81" spans="3:1017" s="75" customFormat="1">
      <c r="C81" s="130"/>
      <c r="D81" s="130"/>
      <c r="CN81" s="225"/>
      <c r="CQ81" s="226"/>
      <c r="LD81" s="213"/>
      <c r="LH81" s="286"/>
      <c r="LI81" s="287"/>
      <c r="LJ81" s="124"/>
      <c r="LK81" s="124"/>
      <c r="LL81" s="124"/>
      <c r="LM81" s="124"/>
      <c r="LN81" s="124"/>
      <c r="LO81" s="124"/>
      <c r="LP81" s="124"/>
      <c r="LQ81" s="124"/>
      <c r="LR81" s="124"/>
      <c r="NE81" s="330"/>
      <c r="NF81" s="325"/>
      <c r="NG81" s="325"/>
      <c r="NH81" s="325"/>
      <c r="NI81" s="325"/>
      <c r="NJ81" s="325"/>
      <c r="NK81" s="325"/>
      <c r="NL81" s="325"/>
      <c r="NM81" s="325"/>
      <c r="NN81" s="325"/>
      <c r="NO81" s="325"/>
      <c r="NP81" s="325"/>
      <c r="NQ81" s="325"/>
      <c r="NR81" s="325"/>
      <c r="NS81" s="325"/>
      <c r="NT81" s="325"/>
      <c r="NU81" s="325"/>
      <c r="NV81" s="325"/>
      <c r="NW81" s="325"/>
      <c r="NX81" s="325"/>
      <c r="NY81" s="325"/>
      <c r="NZ81" s="325"/>
      <c r="OA81" s="325"/>
      <c r="OB81" s="325"/>
      <c r="OC81" s="325"/>
      <c r="OD81" s="325"/>
      <c r="OE81" s="325"/>
      <c r="OF81" s="325"/>
      <c r="OG81" s="325"/>
      <c r="OH81" s="325"/>
      <c r="OI81" s="325"/>
      <c r="OJ81" s="325"/>
      <c r="OK81" s="325"/>
      <c r="OL81" s="325"/>
      <c r="OM81" s="325"/>
      <c r="ON81" s="325"/>
      <c r="OO81" s="325"/>
      <c r="OP81" s="325"/>
      <c r="OQ81" s="325"/>
      <c r="OR81" s="325"/>
      <c r="OS81" s="325"/>
      <c r="OT81" s="325"/>
      <c r="OU81" s="325"/>
      <c r="OV81" s="325"/>
      <c r="OW81" s="325"/>
      <c r="OX81" s="325"/>
      <c r="OY81" s="325"/>
      <c r="OZ81" s="325"/>
      <c r="PA81" s="325"/>
      <c r="PB81" s="325"/>
      <c r="PC81" s="325"/>
      <c r="PD81" s="325"/>
      <c r="PE81" s="325"/>
      <c r="PF81" s="325"/>
      <c r="PG81" s="325"/>
      <c r="PH81" s="325"/>
      <c r="PI81" s="325"/>
      <c r="PJ81" s="325"/>
      <c r="PK81" s="325"/>
      <c r="PL81" s="325"/>
      <c r="PM81" s="325"/>
      <c r="PN81" s="325"/>
      <c r="PO81" s="325"/>
      <c r="PP81" s="325"/>
      <c r="PQ81" s="325"/>
      <c r="PR81" s="325"/>
      <c r="PS81" s="325"/>
      <c r="PT81" s="325"/>
      <c r="PU81" s="325"/>
      <c r="PV81" s="325"/>
      <c r="PW81" s="325"/>
      <c r="PX81" s="325"/>
      <c r="PY81" s="325"/>
      <c r="PZ81" s="325"/>
      <c r="QA81" s="325"/>
      <c r="QB81" s="325"/>
      <c r="QC81" s="325"/>
      <c r="QD81" s="325"/>
      <c r="QE81" s="325"/>
      <c r="QF81" s="325"/>
      <c r="QG81" s="325"/>
      <c r="QH81" s="325"/>
      <c r="QI81" s="325"/>
      <c r="QJ81" s="325"/>
      <c r="QK81" s="325"/>
      <c r="QL81" s="325"/>
      <c r="QM81" s="325"/>
      <c r="QN81" s="325"/>
      <c r="QO81" s="325"/>
      <c r="QP81" s="325"/>
      <c r="QQ81" s="325"/>
      <c r="QR81" s="325"/>
      <c r="QS81" s="325"/>
      <c r="QT81" s="325"/>
      <c r="QU81" s="325"/>
      <c r="QV81" s="325"/>
      <c r="QW81" s="325"/>
      <c r="QX81" s="325"/>
      <c r="QY81" s="325"/>
      <c r="QZ81" s="325"/>
      <c r="RA81" s="325"/>
      <c r="RB81" s="325"/>
      <c r="RC81" s="325"/>
      <c r="RD81" s="325"/>
      <c r="RE81" s="325"/>
      <c r="RF81" s="325"/>
      <c r="RG81" s="325"/>
      <c r="RH81" s="325"/>
      <c r="RI81" s="325"/>
      <c r="RJ81" s="325"/>
      <c r="RK81" s="325"/>
      <c r="RL81" s="325"/>
      <c r="RM81" s="325"/>
      <c r="RN81" s="325"/>
      <c r="RO81" s="325"/>
      <c r="RP81" s="325"/>
      <c r="RQ81" s="325"/>
      <c r="RR81" s="325"/>
      <c r="RS81" s="325"/>
      <c r="RT81" s="325"/>
      <c r="RU81" s="325"/>
      <c r="RV81" s="325"/>
      <c r="RW81" s="325"/>
      <c r="RX81" s="325"/>
      <c r="RY81" s="325"/>
      <c r="RZ81" s="325"/>
      <c r="SA81" s="325"/>
      <c r="SB81" s="325"/>
      <c r="SC81" s="325"/>
      <c r="SD81" s="325"/>
      <c r="SE81" s="325"/>
      <c r="SF81" s="325"/>
      <c r="SG81" s="325"/>
      <c r="SH81" s="325"/>
      <c r="SI81" s="325"/>
      <c r="SJ81" s="325"/>
      <c r="SK81" s="325"/>
      <c r="SL81" s="325"/>
      <c r="SM81" s="325"/>
      <c r="SN81" s="325"/>
      <c r="SO81" s="325"/>
      <c r="SP81" s="325"/>
      <c r="SQ81" s="325"/>
      <c r="SR81" s="325"/>
      <c r="SS81" s="325"/>
      <c r="ST81" s="325"/>
      <c r="SU81" s="325"/>
      <c r="SV81" s="325"/>
      <c r="SW81" s="325"/>
      <c r="SX81" s="325"/>
      <c r="SY81" s="325"/>
      <c r="SZ81" s="325"/>
      <c r="TA81" s="325"/>
      <c r="TB81" s="325"/>
      <c r="TC81" s="325"/>
      <c r="TD81" s="325"/>
      <c r="TE81" s="325"/>
      <c r="TF81" s="325"/>
      <c r="TG81" s="325"/>
      <c r="TH81" s="325"/>
      <c r="TI81" s="325"/>
      <c r="TJ81" s="325"/>
      <c r="TK81" s="325"/>
      <c r="TL81" s="325"/>
      <c r="TM81" s="325"/>
      <c r="TN81" s="325"/>
      <c r="TO81" s="325"/>
      <c r="TP81" s="325"/>
      <c r="TQ81" s="325"/>
      <c r="TR81" s="325"/>
      <c r="TS81" s="325"/>
      <c r="TT81" s="325"/>
      <c r="TU81" s="325"/>
      <c r="TV81" s="325"/>
      <c r="TW81" s="325"/>
      <c r="TX81" s="325"/>
      <c r="TY81" s="325"/>
      <c r="TZ81" s="325"/>
      <c r="UA81" s="325"/>
      <c r="UB81" s="325"/>
      <c r="UC81" s="325"/>
      <c r="UD81" s="325"/>
      <c r="UE81" s="325"/>
      <c r="UF81" s="325"/>
      <c r="UG81" s="325"/>
      <c r="UH81" s="325"/>
      <c r="UI81" s="325"/>
      <c r="UJ81" s="325"/>
      <c r="UK81" s="325"/>
      <c r="UL81" s="325"/>
      <c r="UM81" s="325"/>
      <c r="UN81" s="325"/>
      <c r="UO81" s="325"/>
      <c r="UP81" s="325"/>
      <c r="UQ81" s="325"/>
      <c r="UR81" s="325"/>
      <c r="US81" s="325"/>
      <c r="UT81" s="325"/>
      <c r="UU81" s="325"/>
      <c r="UV81" s="325"/>
      <c r="UW81" s="325"/>
      <c r="UX81" s="325"/>
      <c r="UY81" s="325"/>
      <c r="UZ81" s="325"/>
      <c r="VA81" s="325"/>
      <c r="VB81" s="325"/>
      <c r="VC81" s="325"/>
      <c r="VD81" s="325"/>
      <c r="VE81" s="325"/>
      <c r="VF81" s="325"/>
      <c r="VG81" s="325"/>
      <c r="VH81" s="325"/>
      <c r="VI81" s="325"/>
      <c r="VJ81" s="325"/>
      <c r="VK81" s="325"/>
      <c r="VL81" s="325"/>
      <c r="VM81" s="325"/>
      <c r="VN81" s="325"/>
      <c r="VO81" s="325"/>
      <c r="VP81" s="325"/>
      <c r="VQ81" s="325"/>
      <c r="VR81" s="325"/>
      <c r="VS81" s="325"/>
      <c r="VT81" s="325"/>
      <c r="VU81" s="325"/>
      <c r="VV81" s="325"/>
      <c r="VW81" s="325"/>
      <c r="VX81" s="325"/>
      <c r="VY81" s="325"/>
      <c r="VZ81" s="325"/>
      <c r="WA81" s="325"/>
      <c r="WB81" s="325"/>
      <c r="WC81" s="325"/>
      <c r="WD81" s="325"/>
      <c r="WE81" s="325"/>
      <c r="WF81" s="325"/>
      <c r="WG81" s="325"/>
      <c r="WH81" s="325"/>
      <c r="WI81" s="325"/>
      <c r="WJ81" s="325"/>
      <c r="WK81" s="325"/>
      <c r="WL81" s="325"/>
      <c r="WM81" s="325"/>
      <c r="WN81" s="325"/>
      <c r="WO81" s="325"/>
      <c r="WP81" s="325"/>
      <c r="WQ81" s="325"/>
      <c r="WR81" s="325"/>
      <c r="WS81" s="325"/>
      <c r="WT81" s="325"/>
      <c r="WU81" s="325"/>
      <c r="WV81" s="325"/>
      <c r="WW81" s="325"/>
      <c r="WX81" s="325"/>
      <c r="WY81" s="325"/>
      <c r="WZ81" s="325"/>
      <c r="XA81" s="325"/>
      <c r="XB81" s="325"/>
      <c r="XC81" s="325"/>
      <c r="XD81" s="325"/>
      <c r="XE81" s="325"/>
      <c r="XF81" s="325"/>
      <c r="XG81" s="325"/>
      <c r="XH81" s="325"/>
      <c r="XI81" s="325"/>
      <c r="XJ81" s="325"/>
      <c r="XK81" s="325"/>
      <c r="XL81" s="325"/>
      <c r="XM81" s="325"/>
      <c r="XN81" s="325"/>
      <c r="XO81" s="325"/>
      <c r="XP81" s="325"/>
      <c r="XQ81" s="325"/>
      <c r="XR81" s="325"/>
      <c r="XS81" s="325"/>
      <c r="XT81" s="325"/>
      <c r="XU81" s="325"/>
      <c r="XV81" s="325"/>
      <c r="XW81" s="325"/>
      <c r="XX81" s="325"/>
      <c r="XY81" s="325"/>
      <c r="XZ81" s="325"/>
      <c r="YA81" s="325"/>
      <c r="YB81" s="325"/>
      <c r="YC81" s="325"/>
      <c r="YD81" s="325"/>
      <c r="YE81" s="325"/>
      <c r="YF81" s="325"/>
      <c r="YG81" s="325"/>
      <c r="YH81" s="325"/>
      <c r="YI81" s="325"/>
      <c r="YJ81" s="325"/>
      <c r="YK81" s="325"/>
      <c r="YL81" s="325"/>
      <c r="YM81" s="325"/>
      <c r="YN81" s="325"/>
      <c r="YO81" s="325"/>
      <c r="YP81" s="325"/>
      <c r="YQ81" s="325"/>
      <c r="YR81" s="325"/>
      <c r="YS81" s="325"/>
      <c r="YT81" s="325"/>
      <c r="YU81" s="325"/>
      <c r="YV81" s="325"/>
      <c r="YW81" s="325"/>
      <c r="YX81" s="325"/>
      <c r="YY81" s="325"/>
      <c r="YZ81" s="325"/>
      <c r="ZA81" s="325"/>
      <c r="ZB81" s="325"/>
      <c r="ZC81" s="325"/>
      <c r="ZD81" s="325"/>
      <c r="ZE81" s="325"/>
      <c r="ZF81" s="325"/>
      <c r="ZG81" s="325"/>
      <c r="ZH81" s="325"/>
      <c r="ZI81" s="325"/>
      <c r="ZJ81" s="325"/>
      <c r="ZK81" s="325"/>
      <c r="ZL81" s="325"/>
      <c r="ZM81" s="325"/>
      <c r="ZN81" s="325"/>
      <c r="ZO81" s="325"/>
      <c r="ZP81" s="325"/>
      <c r="ZQ81" s="325"/>
      <c r="ZR81" s="325"/>
      <c r="ZS81" s="325"/>
      <c r="ZT81" s="325"/>
      <c r="ZU81" s="325"/>
      <c r="ZV81" s="325"/>
      <c r="ZW81" s="325"/>
      <c r="ZX81" s="325"/>
      <c r="ZY81" s="325"/>
      <c r="ZZ81" s="325"/>
      <c r="AAA81" s="325"/>
      <c r="AAB81" s="325"/>
      <c r="AAC81" s="325"/>
      <c r="AAD81" s="325"/>
      <c r="AAE81" s="325"/>
      <c r="AAF81" s="325"/>
      <c r="AAG81" s="325"/>
      <c r="AAH81" s="325"/>
      <c r="AAI81" s="325"/>
      <c r="AAJ81" s="325"/>
      <c r="AAK81" s="325"/>
      <c r="AAL81" s="325"/>
      <c r="AAM81" s="325"/>
      <c r="AAN81" s="325"/>
      <c r="AAO81" s="325"/>
      <c r="AAP81" s="325"/>
      <c r="AAQ81" s="325"/>
      <c r="AAR81" s="325"/>
      <c r="AAS81" s="325"/>
      <c r="AAT81" s="325"/>
      <c r="AAU81" s="325"/>
      <c r="AAV81" s="325"/>
      <c r="AAW81" s="325"/>
      <c r="AAX81" s="325"/>
      <c r="AAY81" s="325"/>
      <c r="AAZ81" s="325"/>
      <c r="ABA81" s="325"/>
      <c r="ABB81" s="325"/>
      <c r="ABC81" s="325"/>
      <c r="ABD81" s="325"/>
      <c r="ABE81" s="325"/>
      <c r="ABF81" s="325"/>
      <c r="ABG81" s="325"/>
      <c r="ABH81" s="325"/>
      <c r="ABI81" s="325"/>
      <c r="ABJ81" s="325"/>
      <c r="ABK81" s="325"/>
      <c r="ABL81" s="325"/>
      <c r="ABM81" s="325"/>
      <c r="ABN81" s="325"/>
      <c r="ABO81" s="325"/>
      <c r="ABP81" s="325"/>
      <c r="ABQ81" s="325"/>
      <c r="ABR81" s="325"/>
      <c r="ABS81" s="325"/>
      <c r="ABT81" s="325"/>
      <c r="ABU81" s="325"/>
      <c r="ABV81" s="325"/>
      <c r="ABW81" s="325"/>
      <c r="ABX81" s="325"/>
      <c r="ABY81" s="325"/>
      <c r="ABZ81" s="325"/>
      <c r="ACA81" s="325"/>
      <c r="ACB81" s="325"/>
      <c r="ACC81" s="325"/>
      <c r="ACD81" s="325"/>
      <c r="ACE81" s="325"/>
      <c r="ACF81" s="325"/>
      <c r="ACG81" s="325"/>
      <c r="ACH81" s="325"/>
      <c r="ACI81" s="325"/>
      <c r="ACJ81" s="325"/>
      <c r="ACK81" s="325"/>
      <c r="ACL81" s="325"/>
      <c r="ACM81" s="325"/>
      <c r="ACN81" s="325"/>
      <c r="ACO81" s="325"/>
      <c r="ACP81" s="325"/>
      <c r="ACQ81" s="325"/>
      <c r="ACR81" s="325"/>
      <c r="ACS81" s="325"/>
      <c r="ACT81" s="325"/>
      <c r="ACU81" s="325"/>
      <c r="ACV81" s="325"/>
      <c r="ACW81" s="325"/>
      <c r="ACX81" s="325"/>
      <c r="ACY81" s="325"/>
      <c r="ACZ81" s="325"/>
      <c r="ADA81" s="325"/>
      <c r="ADB81" s="325"/>
      <c r="ADC81" s="325"/>
      <c r="ADD81" s="325"/>
      <c r="ADE81" s="325"/>
      <c r="ADF81" s="325"/>
      <c r="ADG81" s="325"/>
      <c r="ADH81" s="325"/>
      <c r="ADI81" s="325"/>
      <c r="ADJ81" s="325"/>
      <c r="ADK81" s="325"/>
      <c r="ADL81" s="325"/>
      <c r="ADM81" s="325"/>
      <c r="ADN81" s="325"/>
      <c r="ADO81" s="325"/>
      <c r="ADP81" s="325"/>
      <c r="ADQ81" s="325"/>
      <c r="ADR81" s="325"/>
      <c r="ADS81" s="325"/>
      <c r="ADT81" s="325"/>
      <c r="ADU81" s="325"/>
      <c r="ADV81" s="325"/>
      <c r="ADW81" s="325"/>
      <c r="ADX81" s="325"/>
      <c r="ADY81" s="325"/>
      <c r="ADZ81" s="325"/>
      <c r="AEA81" s="325"/>
      <c r="AEB81" s="325"/>
      <c r="AEC81" s="325"/>
      <c r="AED81" s="325"/>
      <c r="AEE81" s="325"/>
      <c r="AEF81" s="325"/>
      <c r="AEG81" s="325"/>
      <c r="AEH81" s="325"/>
      <c r="AEI81" s="325"/>
      <c r="AEJ81" s="325"/>
      <c r="AEK81" s="325"/>
      <c r="AEL81" s="325"/>
      <c r="AEM81" s="325"/>
      <c r="AEN81" s="325"/>
      <c r="AEO81" s="325"/>
      <c r="AEP81" s="325"/>
      <c r="AEQ81" s="325"/>
      <c r="AER81" s="325"/>
      <c r="AES81" s="325"/>
      <c r="AET81" s="325"/>
      <c r="AEU81" s="325"/>
      <c r="AEV81" s="325"/>
      <c r="AEW81" s="325"/>
      <c r="AEX81" s="325"/>
      <c r="AEY81" s="325"/>
      <c r="AEZ81" s="325"/>
      <c r="AFA81" s="325"/>
      <c r="AFB81" s="325"/>
      <c r="AFC81" s="325"/>
      <c r="AFD81" s="325"/>
      <c r="AFE81" s="325"/>
      <c r="AFF81" s="325"/>
      <c r="AFG81" s="325"/>
      <c r="AFH81" s="325"/>
      <c r="AFI81" s="325"/>
      <c r="AFJ81" s="325"/>
      <c r="AFK81" s="325"/>
      <c r="AFL81" s="325"/>
      <c r="AFM81" s="325"/>
      <c r="AFN81" s="325"/>
      <c r="AFO81" s="325"/>
      <c r="AFP81" s="325"/>
      <c r="AFQ81" s="325"/>
      <c r="AFR81" s="325"/>
      <c r="AFS81" s="325"/>
      <c r="AFT81" s="325"/>
      <c r="AFU81" s="325"/>
      <c r="AFV81" s="325"/>
      <c r="AFW81" s="325"/>
      <c r="AFX81" s="325"/>
      <c r="AFY81" s="325"/>
      <c r="AFZ81" s="325"/>
      <c r="AGA81" s="325"/>
      <c r="AGB81" s="325"/>
      <c r="AGC81" s="325"/>
      <c r="AGD81" s="325"/>
      <c r="AGE81" s="325"/>
      <c r="AGF81" s="325"/>
      <c r="AGG81" s="325"/>
      <c r="AGH81" s="325"/>
      <c r="AGI81" s="325"/>
      <c r="AGJ81" s="325"/>
      <c r="AGK81" s="325"/>
      <c r="AGL81" s="325"/>
      <c r="AGM81" s="325"/>
      <c r="AGN81" s="325"/>
      <c r="AGO81" s="325"/>
      <c r="AGP81" s="325"/>
      <c r="AGQ81" s="325"/>
      <c r="AGR81" s="325"/>
      <c r="AGS81" s="325"/>
      <c r="AGT81" s="325"/>
      <c r="AGU81" s="325"/>
      <c r="AGV81" s="325"/>
      <c r="AGW81" s="325"/>
      <c r="AGX81" s="325"/>
      <c r="AGY81" s="325"/>
      <c r="AGZ81" s="325"/>
      <c r="AHA81" s="325"/>
      <c r="AHB81" s="325"/>
      <c r="AHC81" s="325"/>
      <c r="AHD81" s="325"/>
      <c r="AHE81" s="325"/>
      <c r="AHF81" s="325"/>
      <c r="AHG81" s="325"/>
      <c r="AHH81" s="325"/>
      <c r="AHI81" s="325"/>
      <c r="AHJ81" s="325"/>
      <c r="AHK81" s="325"/>
      <c r="AHL81" s="325"/>
      <c r="AHM81" s="325"/>
      <c r="AHN81" s="325"/>
      <c r="AHO81" s="325"/>
      <c r="AHP81" s="325"/>
      <c r="AHQ81" s="325"/>
      <c r="AHR81" s="325"/>
      <c r="AHS81" s="325"/>
      <c r="AHT81" s="325"/>
      <c r="AHU81" s="325"/>
      <c r="AHV81" s="325"/>
      <c r="AHW81" s="325"/>
      <c r="AHX81" s="325"/>
      <c r="AHY81" s="325"/>
      <c r="AHZ81" s="325"/>
      <c r="AIA81" s="325"/>
      <c r="AIB81" s="325"/>
      <c r="AIC81" s="325"/>
      <c r="AID81" s="325"/>
      <c r="AIE81" s="325"/>
      <c r="AIF81" s="325"/>
      <c r="AIG81" s="325"/>
      <c r="AIH81" s="325"/>
      <c r="AII81" s="325"/>
      <c r="AIJ81" s="325"/>
      <c r="AIK81" s="325"/>
      <c r="AIL81" s="325"/>
      <c r="AIM81" s="325"/>
      <c r="AIN81" s="325"/>
      <c r="AIO81" s="325"/>
      <c r="AIP81" s="325"/>
      <c r="AIQ81" s="325"/>
      <c r="AIR81" s="325"/>
      <c r="AIS81" s="325"/>
      <c r="AIT81" s="325"/>
      <c r="AIU81" s="325"/>
      <c r="AIV81" s="325"/>
      <c r="AIW81" s="325"/>
      <c r="AIX81" s="325"/>
      <c r="AIY81" s="325"/>
      <c r="AIZ81" s="325"/>
      <c r="AJA81" s="325"/>
      <c r="AJB81" s="325"/>
      <c r="AJC81" s="325"/>
      <c r="AJD81" s="325"/>
      <c r="AJE81" s="325"/>
      <c r="AJF81" s="325"/>
      <c r="AJG81" s="325"/>
      <c r="AJH81" s="325"/>
      <c r="AJI81" s="325"/>
      <c r="AJJ81" s="325"/>
      <c r="AJK81" s="325"/>
      <c r="AJL81" s="325"/>
      <c r="AJM81" s="325"/>
      <c r="AJN81" s="325"/>
      <c r="AJO81" s="325"/>
      <c r="AJP81" s="325"/>
      <c r="AJQ81" s="325"/>
      <c r="AJR81" s="325"/>
      <c r="AJS81" s="325"/>
      <c r="AJT81" s="325"/>
      <c r="AJU81" s="325"/>
      <c r="AJV81" s="325"/>
      <c r="AJW81" s="325"/>
      <c r="AJX81" s="325"/>
      <c r="AJY81" s="325"/>
      <c r="AJZ81" s="325"/>
      <c r="AKA81" s="325"/>
      <c r="AKB81" s="325"/>
      <c r="AKC81" s="325"/>
      <c r="AKD81" s="325"/>
      <c r="AKE81" s="325"/>
      <c r="AKF81" s="325"/>
      <c r="AKG81" s="325"/>
      <c r="AKH81" s="325"/>
      <c r="AKI81" s="325"/>
      <c r="AKJ81" s="325"/>
      <c r="AKK81" s="325"/>
      <c r="AKL81" s="325"/>
      <c r="AKM81" s="325"/>
      <c r="AKN81" s="325"/>
      <c r="AKO81" s="325"/>
      <c r="AKP81" s="325"/>
      <c r="AKQ81" s="325"/>
      <c r="AKR81" s="325"/>
      <c r="AKS81" s="325"/>
      <c r="AKT81" s="325"/>
      <c r="AKU81" s="325"/>
      <c r="AKV81" s="325"/>
      <c r="AKW81" s="325"/>
      <c r="AKX81" s="325"/>
      <c r="AKY81" s="325"/>
      <c r="AKZ81" s="325"/>
      <c r="ALA81" s="325"/>
      <c r="ALB81" s="325"/>
      <c r="ALC81" s="325"/>
      <c r="ALD81" s="325"/>
      <c r="ALE81" s="325"/>
      <c r="ALF81" s="325"/>
      <c r="ALG81" s="325"/>
      <c r="ALH81" s="325"/>
      <c r="ALI81" s="325"/>
      <c r="ALJ81" s="325"/>
      <c r="ALK81" s="325"/>
      <c r="ALL81" s="325"/>
      <c r="ALM81" s="325"/>
      <c r="ALN81" s="325"/>
      <c r="ALO81" s="325"/>
      <c r="ALP81" s="325"/>
      <c r="ALQ81" s="325"/>
      <c r="ALR81" s="325"/>
      <c r="ALS81" s="325"/>
      <c r="ALT81" s="325"/>
      <c r="ALU81" s="325"/>
      <c r="ALV81" s="325"/>
      <c r="ALW81" s="325"/>
      <c r="ALX81" s="325"/>
      <c r="ALY81" s="325"/>
      <c r="ALZ81" s="325"/>
      <c r="AMA81" s="325"/>
      <c r="AMB81" s="325"/>
      <c r="AMC81" s="325"/>
    </row>
    <row r="82" spans="3:1017" s="75" customFormat="1">
      <c r="C82" s="130"/>
      <c r="D82" s="130"/>
      <c r="CN82" s="225"/>
      <c r="CQ82" s="226"/>
      <c r="LD82" s="213"/>
      <c r="LH82" s="286"/>
      <c r="LI82" s="287"/>
      <c r="LJ82" s="124"/>
      <c r="LK82" s="124"/>
      <c r="LL82" s="124"/>
      <c r="LM82" s="124"/>
      <c r="LN82" s="124"/>
      <c r="LO82" s="124"/>
      <c r="LP82" s="124"/>
      <c r="LQ82" s="124"/>
      <c r="LR82" s="124"/>
      <c r="NE82" s="330"/>
      <c r="NF82" s="325"/>
      <c r="NG82" s="325"/>
      <c r="NH82" s="325"/>
      <c r="NI82" s="325"/>
      <c r="NJ82" s="325"/>
      <c r="NK82" s="325"/>
      <c r="NL82" s="325"/>
      <c r="NM82" s="325"/>
      <c r="NN82" s="325"/>
      <c r="NO82" s="325"/>
      <c r="NP82" s="325"/>
      <c r="NQ82" s="325"/>
      <c r="NR82" s="325"/>
      <c r="NS82" s="325"/>
      <c r="NT82" s="325"/>
      <c r="NU82" s="325"/>
      <c r="NV82" s="325"/>
      <c r="NW82" s="325"/>
      <c r="NX82" s="325"/>
      <c r="NY82" s="325"/>
      <c r="NZ82" s="325"/>
      <c r="OA82" s="325"/>
      <c r="OB82" s="325"/>
      <c r="OC82" s="325"/>
      <c r="OD82" s="325"/>
      <c r="OE82" s="325"/>
      <c r="OF82" s="325"/>
      <c r="OG82" s="325"/>
      <c r="OH82" s="325"/>
      <c r="OI82" s="325"/>
      <c r="OJ82" s="325"/>
      <c r="OK82" s="325"/>
      <c r="OL82" s="325"/>
      <c r="OM82" s="325"/>
      <c r="ON82" s="325"/>
      <c r="OO82" s="325"/>
      <c r="OP82" s="325"/>
      <c r="OQ82" s="325"/>
      <c r="OR82" s="325"/>
      <c r="OS82" s="325"/>
      <c r="OT82" s="325"/>
      <c r="OU82" s="325"/>
      <c r="OV82" s="325"/>
      <c r="OW82" s="325"/>
      <c r="OX82" s="325"/>
      <c r="OY82" s="325"/>
      <c r="OZ82" s="325"/>
      <c r="PA82" s="325"/>
      <c r="PB82" s="325"/>
      <c r="PC82" s="325"/>
      <c r="PD82" s="325"/>
      <c r="PE82" s="325"/>
      <c r="PF82" s="325"/>
      <c r="PG82" s="325"/>
      <c r="PH82" s="325"/>
      <c r="PI82" s="325"/>
      <c r="PJ82" s="325"/>
      <c r="PK82" s="325"/>
      <c r="PL82" s="325"/>
      <c r="PM82" s="325"/>
      <c r="PN82" s="325"/>
      <c r="PO82" s="325"/>
      <c r="PP82" s="325"/>
      <c r="PQ82" s="325"/>
      <c r="PR82" s="325"/>
      <c r="PS82" s="325"/>
      <c r="PT82" s="325"/>
      <c r="PU82" s="325"/>
      <c r="PV82" s="325"/>
      <c r="PW82" s="325"/>
      <c r="PX82" s="325"/>
      <c r="PY82" s="325"/>
      <c r="PZ82" s="325"/>
      <c r="QA82" s="325"/>
      <c r="QB82" s="325"/>
      <c r="QC82" s="325"/>
      <c r="QD82" s="325"/>
      <c r="QE82" s="325"/>
      <c r="QF82" s="325"/>
      <c r="QG82" s="325"/>
      <c r="QH82" s="325"/>
      <c r="QI82" s="325"/>
      <c r="QJ82" s="325"/>
      <c r="QK82" s="325"/>
      <c r="QL82" s="325"/>
      <c r="QM82" s="325"/>
      <c r="QN82" s="325"/>
      <c r="QO82" s="325"/>
      <c r="QP82" s="325"/>
      <c r="QQ82" s="325"/>
      <c r="QR82" s="325"/>
      <c r="QS82" s="325"/>
      <c r="QT82" s="325"/>
      <c r="QU82" s="325"/>
      <c r="QV82" s="325"/>
      <c r="QW82" s="325"/>
      <c r="QX82" s="325"/>
      <c r="QY82" s="325"/>
      <c r="QZ82" s="325"/>
      <c r="RA82" s="325"/>
      <c r="RB82" s="325"/>
      <c r="RC82" s="325"/>
      <c r="RD82" s="325"/>
      <c r="RE82" s="325"/>
      <c r="RF82" s="325"/>
      <c r="RG82" s="325"/>
      <c r="RH82" s="325"/>
      <c r="RI82" s="325"/>
      <c r="RJ82" s="325"/>
      <c r="RK82" s="325"/>
      <c r="RL82" s="325"/>
      <c r="RM82" s="325"/>
      <c r="RN82" s="325"/>
      <c r="RO82" s="325"/>
      <c r="RP82" s="325"/>
      <c r="RQ82" s="325"/>
      <c r="RR82" s="325"/>
      <c r="RS82" s="325"/>
      <c r="RT82" s="325"/>
      <c r="RU82" s="325"/>
      <c r="RV82" s="325"/>
      <c r="RW82" s="325"/>
      <c r="RX82" s="325"/>
      <c r="RY82" s="325"/>
      <c r="RZ82" s="325"/>
      <c r="SA82" s="325"/>
      <c r="SB82" s="325"/>
      <c r="SC82" s="325"/>
      <c r="SD82" s="325"/>
      <c r="SE82" s="325"/>
      <c r="SF82" s="325"/>
      <c r="SG82" s="325"/>
      <c r="SH82" s="325"/>
      <c r="SI82" s="325"/>
      <c r="SJ82" s="325"/>
      <c r="SK82" s="325"/>
      <c r="SL82" s="325"/>
      <c r="SM82" s="325"/>
      <c r="SN82" s="325"/>
      <c r="SO82" s="325"/>
      <c r="SP82" s="325"/>
      <c r="SQ82" s="325"/>
      <c r="SR82" s="325"/>
      <c r="SS82" s="325"/>
      <c r="ST82" s="325"/>
      <c r="SU82" s="325"/>
      <c r="SV82" s="325"/>
      <c r="SW82" s="325"/>
      <c r="SX82" s="325"/>
      <c r="SY82" s="325"/>
      <c r="SZ82" s="325"/>
      <c r="TA82" s="325"/>
      <c r="TB82" s="325"/>
      <c r="TC82" s="325"/>
      <c r="TD82" s="325"/>
      <c r="TE82" s="325"/>
      <c r="TF82" s="325"/>
      <c r="TG82" s="325"/>
      <c r="TH82" s="325"/>
      <c r="TI82" s="325"/>
      <c r="TJ82" s="325"/>
      <c r="TK82" s="325"/>
      <c r="TL82" s="325"/>
      <c r="TM82" s="325"/>
      <c r="TN82" s="325"/>
      <c r="TO82" s="325"/>
      <c r="TP82" s="325"/>
      <c r="TQ82" s="325"/>
      <c r="TR82" s="325"/>
      <c r="TS82" s="325"/>
      <c r="TT82" s="325"/>
      <c r="TU82" s="325"/>
      <c r="TV82" s="325"/>
      <c r="TW82" s="325"/>
      <c r="TX82" s="325"/>
      <c r="TY82" s="325"/>
      <c r="TZ82" s="325"/>
      <c r="UA82" s="325"/>
      <c r="UB82" s="325"/>
      <c r="UC82" s="325"/>
      <c r="UD82" s="325"/>
      <c r="UE82" s="325"/>
      <c r="UF82" s="325"/>
      <c r="UG82" s="325"/>
      <c r="UH82" s="325"/>
      <c r="UI82" s="325"/>
      <c r="UJ82" s="325"/>
      <c r="UK82" s="325"/>
      <c r="UL82" s="325"/>
      <c r="UM82" s="325"/>
      <c r="UN82" s="325"/>
      <c r="UO82" s="325"/>
      <c r="UP82" s="325"/>
      <c r="UQ82" s="325"/>
      <c r="UR82" s="325"/>
      <c r="US82" s="325"/>
      <c r="UT82" s="325"/>
      <c r="UU82" s="325"/>
      <c r="UV82" s="325"/>
      <c r="UW82" s="325"/>
      <c r="UX82" s="325"/>
      <c r="UY82" s="325"/>
      <c r="UZ82" s="325"/>
      <c r="VA82" s="325"/>
      <c r="VB82" s="325"/>
      <c r="VC82" s="325"/>
      <c r="VD82" s="325"/>
      <c r="VE82" s="325"/>
      <c r="VF82" s="325"/>
      <c r="VG82" s="325"/>
      <c r="VH82" s="325"/>
      <c r="VI82" s="325"/>
      <c r="VJ82" s="325"/>
      <c r="VK82" s="325"/>
      <c r="VL82" s="325"/>
      <c r="VM82" s="325"/>
      <c r="VN82" s="325"/>
      <c r="VO82" s="325"/>
      <c r="VP82" s="325"/>
      <c r="VQ82" s="325"/>
      <c r="VR82" s="325"/>
      <c r="VS82" s="325"/>
      <c r="VT82" s="325"/>
      <c r="VU82" s="325"/>
      <c r="VV82" s="325"/>
      <c r="VW82" s="325"/>
      <c r="VX82" s="325"/>
      <c r="VY82" s="325"/>
      <c r="VZ82" s="325"/>
      <c r="WA82" s="325"/>
      <c r="WB82" s="325"/>
      <c r="WC82" s="325"/>
      <c r="WD82" s="325"/>
      <c r="WE82" s="325"/>
      <c r="WF82" s="325"/>
      <c r="WG82" s="325"/>
      <c r="WH82" s="325"/>
      <c r="WI82" s="325"/>
      <c r="WJ82" s="325"/>
      <c r="WK82" s="325"/>
      <c r="WL82" s="325"/>
      <c r="WM82" s="325"/>
      <c r="WN82" s="325"/>
      <c r="WO82" s="325"/>
      <c r="WP82" s="325"/>
      <c r="WQ82" s="325"/>
      <c r="WR82" s="325"/>
      <c r="WS82" s="325"/>
      <c r="WT82" s="325"/>
      <c r="WU82" s="325"/>
      <c r="WV82" s="325"/>
      <c r="WW82" s="325"/>
      <c r="WX82" s="325"/>
      <c r="WY82" s="325"/>
      <c r="WZ82" s="325"/>
      <c r="XA82" s="325"/>
      <c r="XB82" s="325"/>
      <c r="XC82" s="325"/>
      <c r="XD82" s="325"/>
      <c r="XE82" s="325"/>
      <c r="XF82" s="325"/>
      <c r="XG82" s="325"/>
      <c r="XH82" s="325"/>
      <c r="XI82" s="325"/>
      <c r="XJ82" s="325"/>
      <c r="XK82" s="325"/>
      <c r="XL82" s="325"/>
      <c r="XM82" s="325"/>
      <c r="XN82" s="325"/>
      <c r="XO82" s="325"/>
      <c r="XP82" s="325"/>
      <c r="XQ82" s="325"/>
      <c r="XR82" s="325"/>
      <c r="XS82" s="325"/>
      <c r="XT82" s="325"/>
      <c r="XU82" s="325"/>
      <c r="XV82" s="325"/>
      <c r="XW82" s="325"/>
      <c r="XX82" s="325"/>
      <c r="XY82" s="325"/>
      <c r="XZ82" s="325"/>
      <c r="YA82" s="325"/>
      <c r="YB82" s="325"/>
      <c r="YC82" s="325"/>
      <c r="YD82" s="325"/>
      <c r="YE82" s="325"/>
      <c r="YF82" s="325"/>
      <c r="YG82" s="325"/>
      <c r="YH82" s="325"/>
      <c r="YI82" s="325"/>
      <c r="YJ82" s="325"/>
      <c r="YK82" s="325"/>
      <c r="YL82" s="325"/>
      <c r="YM82" s="325"/>
      <c r="YN82" s="325"/>
      <c r="YO82" s="325"/>
      <c r="YP82" s="325"/>
      <c r="YQ82" s="325"/>
      <c r="YR82" s="325"/>
      <c r="YS82" s="325"/>
      <c r="YT82" s="325"/>
      <c r="YU82" s="325"/>
      <c r="YV82" s="325"/>
      <c r="YW82" s="325"/>
      <c r="YX82" s="325"/>
      <c r="YY82" s="325"/>
      <c r="YZ82" s="325"/>
      <c r="ZA82" s="325"/>
      <c r="ZB82" s="325"/>
      <c r="ZC82" s="325"/>
      <c r="ZD82" s="325"/>
      <c r="ZE82" s="325"/>
      <c r="ZF82" s="325"/>
      <c r="ZG82" s="325"/>
      <c r="ZH82" s="325"/>
      <c r="ZI82" s="325"/>
      <c r="ZJ82" s="325"/>
      <c r="ZK82" s="325"/>
      <c r="ZL82" s="325"/>
      <c r="ZM82" s="325"/>
      <c r="ZN82" s="325"/>
      <c r="ZO82" s="325"/>
      <c r="ZP82" s="325"/>
      <c r="ZQ82" s="325"/>
      <c r="ZR82" s="325"/>
      <c r="ZS82" s="325"/>
      <c r="ZT82" s="325"/>
      <c r="ZU82" s="325"/>
      <c r="ZV82" s="325"/>
      <c r="ZW82" s="325"/>
      <c r="ZX82" s="325"/>
      <c r="ZY82" s="325"/>
      <c r="ZZ82" s="325"/>
      <c r="AAA82" s="325"/>
      <c r="AAB82" s="325"/>
      <c r="AAC82" s="325"/>
      <c r="AAD82" s="325"/>
      <c r="AAE82" s="325"/>
      <c r="AAF82" s="325"/>
      <c r="AAG82" s="325"/>
      <c r="AAH82" s="325"/>
      <c r="AAI82" s="325"/>
      <c r="AAJ82" s="325"/>
      <c r="AAK82" s="325"/>
      <c r="AAL82" s="325"/>
      <c r="AAM82" s="325"/>
      <c r="AAN82" s="325"/>
      <c r="AAO82" s="325"/>
      <c r="AAP82" s="325"/>
      <c r="AAQ82" s="325"/>
      <c r="AAR82" s="325"/>
      <c r="AAS82" s="325"/>
      <c r="AAT82" s="325"/>
      <c r="AAU82" s="325"/>
      <c r="AAV82" s="325"/>
      <c r="AAW82" s="325"/>
      <c r="AAX82" s="325"/>
      <c r="AAY82" s="325"/>
      <c r="AAZ82" s="325"/>
      <c r="ABA82" s="325"/>
      <c r="ABB82" s="325"/>
      <c r="ABC82" s="325"/>
      <c r="ABD82" s="325"/>
      <c r="ABE82" s="325"/>
      <c r="ABF82" s="325"/>
      <c r="ABG82" s="325"/>
      <c r="ABH82" s="325"/>
      <c r="ABI82" s="325"/>
      <c r="ABJ82" s="325"/>
      <c r="ABK82" s="325"/>
      <c r="ABL82" s="325"/>
      <c r="ABM82" s="325"/>
      <c r="ABN82" s="325"/>
      <c r="ABO82" s="325"/>
      <c r="ABP82" s="325"/>
      <c r="ABQ82" s="325"/>
      <c r="ABR82" s="325"/>
      <c r="ABS82" s="325"/>
      <c r="ABT82" s="325"/>
      <c r="ABU82" s="325"/>
      <c r="ABV82" s="325"/>
      <c r="ABW82" s="325"/>
      <c r="ABX82" s="325"/>
      <c r="ABY82" s="325"/>
      <c r="ABZ82" s="325"/>
      <c r="ACA82" s="325"/>
      <c r="ACB82" s="325"/>
      <c r="ACC82" s="325"/>
      <c r="ACD82" s="325"/>
      <c r="ACE82" s="325"/>
      <c r="ACF82" s="325"/>
      <c r="ACG82" s="325"/>
      <c r="ACH82" s="325"/>
      <c r="ACI82" s="325"/>
      <c r="ACJ82" s="325"/>
      <c r="ACK82" s="325"/>
      <c r="ACL82" s="325"/>
      <c r="ACM82" s="325"/>
      <c r="ACN82" s="325"/>
      <c r="ACO82" s="325"/>
      <c r="ACP82" s="325"/>
      <c r="ACQ82" s="325"/>
      <c r="ACR82" s="325"/>
      <c r="ACS82" s="325"/>
      <c r="ACT82" s="325"/>
      <c r="ACU82" s="325"/>
      <c r="ACV82" s="325"/>
      <c r="ACW82" s="325"/>
      <c r="ACX82" s="325"/>
      <c r="ACY82" s="325"/>
      <c r="ACZ82" s="325"/>
      <c r="ADA82" s="325"/>
      <c r="ADB82" s="325"/>
      <c r="ADC82" s="325"/>
      <c r="ADD82" s="325"/>
      <c r="ADE82" s="325"/>
      <c r="ADF82" s="325"/>
      <c r="ADG82" s="325"/>
      <c r="ADH82" s="325"/>
      <c r="ADI82" s="325"/>
      <c r="ADJ82" s="325"/>
      <c r="ADK82" s="325"/>
      <c r="ADL82" s="325"/>
      <c r="ADM82" s="325"/>
      <c r="ADN82" s="325"/>
      <c r="ADO82" s="325"/>
      <c r="ADP82" s="325"/>
      <c r="ADQ82" s="325"/>
      <c r="ADR82" s="325"/>
      <c r="ADS82" s="325"/>
      <c r="ADT82" s="325"/>
      <c r="ADU82" s="325"/>
      <c r="ADV82" s="325"/>
      <c r="ADW82" s="325"/>
      <c r="ADX82" s="325"/>
      <c r="ADY82" s="325"/>
      <c r="ADZ82" s="325"/>
      <c r="AEA82" s="325"/>
      <c r="AEB82" s="325"/>
      <c r="AEC82" s="325"/>
      <c r="AED82" s="325"/>
      <c r="AEE82" s="325"/>
      <c r="AEF82" s="325"/>
      <c r="AEG82" s="325"/>
      <c r="AEH82" s="325"/>
      <c r="AEI82" s="325"/>
      <c r="AEJ82" s="325"/>
      <c r="AEK82" s="325"/>
      <c r="AEL82" s="325"/>
      <c r="AEM82" s="325"/>
      <c r="AEN82" s="325"/>
      <c r="AEO82" s="325"/>
      <c r="AEP82" s="325"/>
      <c r="AEQ82" s="325"/>
      <c r="AER82" s="325"/>
      <c r="AES82" s="325"/>
      <c r="AET82" s="325"/>
      <c r="AEU82" s="325"/>
      <c r="AEV82" s="325"/>
      <c r="AEW82" s="325"/>
      <c r="AEX82" s="325"/>
      <c r="AEY82" s="325"/>
      <c r="AEZ82" s="325"/>
      <c r="AFA82" s="325"/>
      <c r="AFB82" s="325"/>
      <c r="AFC82" s="325"/>
      <c r="AFD82" s="325"/>
      <c r="AFE82" s="325"/>
      <c r="AFF82" s="325"/>
      <c r="AFG82" s="325"/>
      <c r="AFH82" s="325"/>
      <c r="AFI82" s="325"/>
      <c r="AFJ82" s="325"/>
      <c r="AFK82" s="325"/>
      <c r="AFL82" s="325"/>
      <c r="AFM82" s="325"/>
      <c r="AFN82" s="325"/>
      <c r="AFO82" s="325"/>
      <c r="AFP82" s="325"/>
      <c r="AFQ82" s="325"/>
      <c r="AFR82" s="325"/>
      <c r="AFS82" s="325"/>
      <c r="AFT82" s="325"/>
      <c r="AFU82" s="325"/>
      <c r="AFV82" s="325"/>
      <c r="AFW82" s="325"/>
      <c r="AFX82" s="325"/>
      <c r="AFY82" s="325"/>
      <c r="AFZ82" s="325"/>
      <c r="AGA82" s="325"/>
      <c r="AGB82" s="325"/>
      <c r="AGC82" s="325"/>
      <c r="AGD82" s="325"/>
      <c r="AGE82" s="325"/>
      <c r="AGF82" s="325"/>
      <c r="AGG82" s="325"/>
      <c r="AGH82" s="325"/>
      <c r="AGI82" s="325"/>
      <c r="AGJ82" s="325"/>
      <c r="AGK82" s="325"/>
      <c r="AGL82" s="325"/>
      <c r="AGM82" s="325"/>
      <c r="AGN82" s="325"/>
      <c r="AGO82" s="325"/>
      <c r="AGP82" s="325"/>
      <c r="AGQ82" s="325"/>
      <c r="AGR82" s="325"/>
      <c r="AGS82" s="325"/>
      <c r="AGT82" s="325"/>
      <c r="AGU82" s="325"/>
      <c r="AGV82" s="325"/>
      <c r="AGW82" s="325"/>
      <c r="AGX82" s="325"/>
      <c r="AGY82" s="325"/>
      <c r="AGZ82" s="325"/>
      <c r="AHA82" s="325"/>
      <c r="AHB82" s="325"/>
      <c r="AHC82" s="325"/>
      <c r="AHD82" s="325"/>
      <c r="AHE82" s="325"/>
      <c r="AHF82" s="325"/>
      <c r="AHG82" s="325"/>
      <c r="AHH82" s="325"/>
      <c r="AHI82" s="325"/>
      <c r="AHJ82" s="325"/>
      <c r="AHK82" s="325"/>
      <c r="AHL82" s="325"/>
      <c r="AHM82" s="325"/>
      <c r="AHN82" s="325"/>
      <c r="AHO82" s="325"/>
      <c r="AHP82" s="325"/>
      <c r="AHQ82" s="325"/>
      <c r="AHR82" s="325"/>
      <c r="AHS82" s="325"/>
      <c r="AHT82" s="325"/>
      <c r="AHU82" s="325"/>
      <c r="AHV82" s="325"/>
      <c r="AHW82" s="325"/>
      <c r="AHX82" s="325"/>
      <c r="AHY82" s="325"/>
      <c r="AHZ82" s="325"/>
      <c r="AIA82" s="325"/>
      <c r="AIB82" s="325"/>
      <c r="AIC82" s="325"/>
      <c r="AID82" s="325"/>
      <c r="AIE82" s="325"/>
      <c r="AIF82" s="325"/>
      <c r="AIG82" s="325"/>
      <c r="AIH82" s="325"/>
      <c r="AII82" s="325"/>
      <c r="AIJ82" s="325"/>
      <c r="AIK82" s="325"/>
      <c r="AIL82" s="325"/>
      <c r="AIM82" s="325"/>
      <c r="AIN82" s="325"/>
      <c r="AIO82" s="325"/>
      <c r="AIP82" s="325"/>
      <c r="AIQ82" s="325"/>
      <c r="AIR82" s="325"/>
      <c r="AIS82" s="325"/>
      <c r="AIT82" s="325"/>
      <c r="AIU82" s="325"/>
      <c r="AIV82" s="325"/>
      <c r="AIW82" s="325"/>
      <c r="AIX82" s="325"/>
      <c r="AIY82" s="325"/>
      <c r="AIZ82" s="325"/>
      <c r="AJA82" s="325"/>
      <c r="AJB82" s="325"/>
      <c r="AJC82" s="325"/>
      <c r="AJD82" s="325"/>
      <c r="AJE82" s="325"/>
      <c r="AJF82" s="325"/>
      <c r="AJG82" s="325"/>
      <c r="AJH82" s="325"/>
      <c r="AJI82" s="325"/>
      <c r="AJJ82" s="325"/>
      <c r="AJK82" s="325"/>
      <c r="AJL82" s="325"/>
      <c r="AJM82" s="325"/>
      <c r="AJN82" s="325"/>
      <c r="AJO82" s="325"/>
      <c r="AJP82" s="325"/>
      <c r="AJQ82" s="325"/>
      <c r="AJR82" s="325"/>
      <c r="AJS82" s="325"/>
      <c r="AJT82" s="325"/>
      <c r="AJU82" s="325"/>
      <c r="AJV82" s="325"/>
      <c r="AJW82" s="325"/>
      <c r="AJX82" s="325"/>
      <c r="AJY82" s="325"/>
      <c r="AJZ82" s="325"/>
      <c r="AKA82" s="325"/>
      <c r="AKB82" s="325"/>
      <c r="AKC82" s="325"/>
      <c r="AKD82" s="325"/>
      <c r="AKE82" s="325"/>
      <c r="AKF82" s="325"/>
      <c r="AKG82" s="325"/>
      <c r="AKH82" s="325"/>
      <c r="AKI82" s="325"/>
      <c r="AKJ82" s="325"/>
      <c r="AKK82" s="325"/>
      <c r="AKL82" s="325"/>
      <c r="AKM82" s="325"/>
      <c r="AKN82" s="325"/>
      <c r="AKO82" s="325"/>
      <c r="AKP82" s="325"/>
      <c r="AKQ82" s="325"/>
      <c r="AKR82" s="325"/>
      <c r="AKS82" s="325"/>
      <c r="AKT82" s="325"/>
      <c r="AKU82" s="325"/>
      <c r="AKV82" s="325"/>
      <c r="AKW82" s="325"/>
      <c r="AKX82" s="325"/>
      <c r="AKY82" s="325"/>
      <c r="AKZ82" s="325"/>
      <c r="ALA82" s="325"/>
      <c r="ALB82" s="325"/>
      <c r="ALC82" s="325"/>
      <c r="ALD82" s="325"/>
      <c r="ALE82" s="325"/>
      <c r="ALF82" s="325"/>
      <c r="ALG82" s="325"/>
      <c r="ALH82" s="325"/>
      <c r="ALI82" s="325"/>
      <c r="ALJ82" s="325"/>
      <c r="ALK82" s="325"/>
      <c r="ALL82" s="325"/>
      <c r="ALM82" s="325"/>
      <c r="ALN82" s="325"/>
      <c r="ALO82" s="325"/>
      <c r="ALP82" s="325"/>
      <c r="ALQ82" s="325"/>
      <c r="ALR82" s="325"/>
      <c r="ALS82" s="325"/>
      <c r="ALT82" s="325"/>
      <c r="ALU82" s="325"/>
      <c r="ALV82" s="325"/>
      <c r="ALW82" s="325"/>
      <c r="ALX82" s="325"/>
      <c r="ALY82" s="325"/>
      <c r="ALZ82" s="325"/>
      <c r="AMA82" s="325"/>
      <c r="AMB82" s="325"/>
      <c r="AMC82" s="325"/>
    </row>
    <row r="83" spans="3:1017" s="75" customFormat="1">
      <c r="C83" s="130"/>
      <c r="D83" s="130"/>
      <c r="CN83" s="225"/>
      <c r="CQ83" s="226"/>
      <c r="LD83" s="213"/>
      <c r="LH83" s="286"/>
      <c r="LI83" s="287"/>
      <c r="LJ83" s="124"/>
      <c r="LK83" s="124"/>
      <c r="LL83" s="124"/>
      <c r="LM83" s="124"/>
      <c r="LN83" s="124"/>
      <c r="LO83" s="124"/>
      <c r="LP83" s="124"/>
      <c r="LQ83" s="124"/>
      <c r="LR83" s="124"/>
      <c r="NE83" s="330"/>
      <c r="NF83" s="325"/>
      <c r="NG83" s="325"/>
      <c r="NH83" s="325"/>
      <c r="NI83" s="325"/>
      <c r="NJ83" s="325"/>
      <c r="NK83" s="325"/>
      <c r="NL83" s="325"/>
      <c r="NM83" s="325"/>
      <c r="NN83" s="325"/>
      <c r="NO83" s="325"/>
      <c r="NP83" s="325"/>
      <c r="NQ83" s="325"/>
      <c r="NR83" s="325"/>
      <c r="NS83" s="325"/>
      <c r="NT83" s="325"/>
      <c r="NU83" s="325"/>
      <c r="NV83" s="325"/>
      <c r="NW83" s="325"/>
      <c r="NX83" s="325"/>
      <c r="NY83" s="325"/>
      <c r="NZ83" s="325"/>
      <c r="OA83" s="325"/>
      <c r="OB83" s="325"/>
      <c r="OC83" s="325"/>
      <c r="OD83" s="325"/>
      <c r="OE83" s="325"/>
      <c r="OF83" s="325"/>
      <c r="OG83" s="325"/>
      <c r="OH83" s="325"/>
      <c r="OI83" s="325"/>
      <c r="OJ83" s="325"/>
      <c r="OK83" s="325"/>
      <c r="OL83" s="325"/>
      <c r="OM83" s="325"/>
      <c r="ON83" s="325"/>
      <c r="OO83" s="325"/>
      <c r="OP83" s="325"/>
      <c r="OQ83" s="325"/>
      <c r="OR83" s="325"/>
      <c r="OS83" s="325"/>
      <c r="OT83" s="325"/>
      <c r="OU83" s="325"/>
      <c r="OV83" s="325"/>
      <c r="OW83" s="325"/>
      <c r="OX83" s="325"/>
      <c r="OY83" s="325"/>
      <c r="OZ83" s="325"/>
      <c r="PA83" s="325"/>
      <c r="PB83" s="325"/>
      <c r="PC83" s="325"/>
      <c r="PD83" s="325"/>
      <c r="PE83" s="325"/>
      <c r="PF83" s="325"/>
      <c r="PG83" s="325"/>
      <c r="PH83" s="325"/>
      <c r="PI83" s="325"/>
      <c r="PJ83" s="325"/>
      <c r="PK83" s="325"/>
      <c r="PL83" s="325"/>
      <c r="PM83" s="325"/>
      <c r="PN83" s="325"/>
      <c r="PO83" s="325"/>
      <c r="PP83" s="325"/>
      <c r="PQ83" s="325"/>
      <c r="PR83" s="325"/>
      <c r="PS83" s="325"/>
      <c r="PT83" s="325"/>
      <c r="PU83" s="325"/>
      <c r="PV83" s="325"/>
      <c r="PW83" s="325"/>
      <c r="PX83" s="325"/>
      <c r="PY83" s="325"/>
      <c r="PZ83" s="325"/>
      <c r="QA83" s="325"/>
      <c r="QB83" s="325"/>
      <c r="QC83" s="325"/>
      <c r="QD83" s="325"/>
      <c r="QE83" s="325"/>
      <c r="QF83" s="325"/>
      <c r="QG83" s="325"/>
      <c r="QH83" s="325"/>
      <c r="QI83" s="325"/>
      <c r="QJ83" s="325"/>
      <c r="QK83" s="325"/>
      <c r="QL83" s="325"/>
      <c r="QM83" s="325"/>
      <c r="QN83" s="325"/>
      <c r="QO83" s="325"/>
      <c r="QP83" s="325"/>
      <c r="QQ83" s="325"/>
      <c r="QR83" s="325"/>
      <c r="QS83" s="325"/>
      <c r="QT83" s="325"/>
      <c r="QU83" s="325"/>
      <c r="QV83" s="325"/>
      <c r="QW83" s="325"/>
      <c r="QX83" s="325"/>
      <c r="QY83" s="325"/>
      <c r="QZ83" s="325"/>
      <c r="RA83" s="325"/>
      <c r="RB83" s="325"/>
      <c r="RC83" s="325"/>
      <c r="RD83" s="325"/>
      <c r="RE83" s="325"/>
      <c r="RF83" s="325"/>
      <c r="RG83" s="325"/>
      <c r="RH83" s="325"/>
      <c r="RI83" s="325"/>
      <c r="RJ83" s="325"/>
      <c r="RK83" s="325"/>
      <c r="RL83" s="325"/>
      <c r="RM83" s="325"/>
      <c r="RN83" s="325"/>
      <c r="RO83" s="325"/>
      <c r="RP83" s="325"/>
      <c r="RQ83" s="325"/>
      <c r="RR83" s="325"/>
      <c r="RS83" s="325"/>
      <c r="RT83" s="325"/>
      <c r="RU83" s="325"/>
      <c r="RV83" s="325"/>
      <c r="RW83" s="325"/>
      <c r="RX83" s="325"/>
      <c r="RY83" s="325"/>
      <c r="RZ83" s="325"/>
      <c r="SA83" s="325"/>
      <c r="SB83" s="325"/>
      <c r="SC83" s="325"/>
      <c r="SD83" s="325"/>
      <c r="SE83" s="325"/>
      <c r="SF83" s="325"/>
      <c r="SG83" s="325"/>
      <c r="SH83" s="325"/>
      <c r="SI83" s="325"/>
      <c r="SJ83" s="325"/>
      <c r="SK83" s="325"/>
      <c r="SL83" s="325"/>
      <c r="SM83" s="325"/>
      <c r="SN83" s="325"/>
      <c r="SO83" s="325"/>
      <c r="SP83" s="325"/>
      <c r="SQ83" s="325"/>
      <c r="SR83" s="325"/>
      <c r="SS83" s="325"/>
      <c r="ST83" s="325"/>
      <c r="SU83" s="325"/>
      <c r="SV83" s="325"/>
      <c r="SW83" s="325"/>
      <c r="SX83" s="325"/>
      <c r="SY83" s="325"/>
      <c r="SZ83" s="325"/>
      <c r="TA83" s="325"/>
      <c r="TB83" s="325"/>
      <c r="TC83" s="325"/>
      <c r="TD83" s="325"/>
      <c r="TE83" s="325"/>
      <c r="TF83" s="325"/>
      <c r="TG83" s="325"/>
      <c r="TH83" s="325"/>
      <c r="TI83" s="325"/>
      <c r="TJ83" s="325"/>
      <c r="TK83" s="325"/>
      <c r="TL83" s="325"/>
      <c r="TM83" s="325"/>
      <c r="TN83" s="325"/>
      <c r="TO83" s="325"/>
      <c r="TP83" s="325"/>
      <c r="TQ83" s="325"/>
      <c r="TR83" s="325"/>
      <c r="TS83" s="325"/>
      <c r="TT83" s="325"/>
      <c r="TU83" s="325"/>
      <c r="TV83" s="325"/>
      <c r="TW83" s="325"/>
      <c r="TX83" s="325"/>
      <c r="TY83" s="325"/>
      <c r="TZ83" s="325"/>
      <c r="UA83" s="325"/>
      <c r="UB83" s="325"/>
      <c r="UC83" s="325"/>
      <c r="UD83" s="325"/>
      <c r="UE83" s="325"/>
      <c r="UF83" s="325"/>
      <c r="UG83" s="325"/>
      <c r="UH83" s="325"/>
      <c r="UI83" s="325"/>
      <c r="UJ83" s="325"/>
      <c r="UK83" s="325"/>
      <c r="UL83" s="325"/>
      <c r="UM83" s="325"/>
      <c r="UN83" s="325"/>
      <c r="UO83" s="325"/>
      <c r="UP83" s="325"/>
      <c r="UQ83" s="325"/>
      <c r="UR83" s="325"/>
      <c r="US83" s="325"/>
      <c r="UT83" s="325"/>
      <c r="UU83" s="325"/>
      <c r="UV83" s="325"/>
      <c r="UW83" s="325"/>
      <c r="UX83" s="325"/>
      <c r="UY83" s="325"/>
      <c r="UZ83" s="325"/>
      <c r="VA83" s="325"/>
      <c r="VB83" s="325"/>
      <c r="VC83" s="325"/>
      <c r="VD83" s="325"/>
      <c r="VE83" s="325"/>
      <c r="VF83" s="325"/>
      <c r="VG83" s="325"/>
      <c r="VH83" s="325"/>
      <c r="VI83" s="325"/>
      <c r="VJ83" s="325"/>
      <c r="VK83" s="325"/>
      <c r="VL83" s="325"/>
      <c r="VM83" s="325"/>
      <c r="VN83" s="325"/>
      <c r="VO83" s="325"/>
      <c r="VP83" s="325"/>
      <c r="VQ83" s="325"/>
      <c r="VR83" s="325"/>
      <c r="VS83" s="325"/>
      <c r="VT83" s="325"/>
      <c r="VU83" s="325"/>
      <c r="VV83" s="325"/>
      <c r="VW83" s="325"/>
      <c r="VX83" s="325"/>
      <c r="VY83" s="325"/>
      <c r="VZ83" s="325"/>
      <c r="WA83" s="325"/>
      <c r="WB83" s="325"/>
      <c r="WC83" s="325"/>
      <c r="WD83" s="325"/>
      <c r="WE83" s="325"/>
      <c r="WF83" s="325"/>
      <c r="WG83" s="325"/>
      <c r="WH83" s="325"/>
      <c r="WI83" s="325"/>
      <c r="WJ83" s="325"/>
      <c r="WK83" s="325"/>
      <c r="WL83" s="325"/>
      <c r="WM83" s="325"/>
      <c r="WN83" s="325"/>
      <c r="WO83" s="325"/>
      <c r="WP83" s="325"/>
      <c r="WQ83" s="325"/>
      <c r="WR83" s="325"/>
      <c r="WS83" s="325"/>
      <c r="WT83" s="325"/>
      <c r="WU83" s="325"/>
      <c r="WV83" s="325"/>
      <c r="WW83" s="325"/>
      <c r="WX83" s="325"/>
      <c r="WY83" s="325"/>
      <c r="WZ83" s="325"/>
      <c r="XA83" s="325"/>
      <c r="XB83" s="325"/>
      <c r="XC83" s="325"/>
      <c r="XD83" s="325"/>
      <c r="XE83" s="325"/>
      <c r="XF83" s="325"/>
      <c r="XG83" s="325"/>
      <c r="XH83" s="325"/>
      <c r="XI83" s="325"/>
      <c r="XJ83" s="325"/>
      <c r="XK83" s="325"/>
      <c r="XL83" s="325"/>
      <c r="XM83" s="325"/>
      <c r="XN83" s="325"/>
      <c r="XO83" s="325"/>
      <c r="XP83" s="325"/>
      <c r="XQ83" s="325"/>
      <c r="XR83" s="325"/>
      <c r="XS83" s="325"/>
      <c r="XT83" s="325"/>
      <c r="XU83" s="325"/>
      <c r="XV83" s="325"/>
      <c r="XW83" s="325"/>
      <c r="XX83" s="325"/>
      <c r="XY83" s="325"/>
      <c r="XZ83" s="325"/>
      <c r="YA83" s="325"/>
      <c r="YB83" s="325"/>
      <c r="YC83" s="325"/>
      <c r="YD83" s="325"/>
      <c r="YE83" s="325"/>
      <c r="YF83" s="325"/>
      <c r="YG83" s="325"/>
      <c r="YH83" s="325"/>
      <c r="YI83" s="325"/>
      <c r="YJ83" s="325"/>
      <c r="YK83" s="325"/>
      <c r="YL83" s="325"/>
      <c r="YM83" s="325"/>
      <c r="YN83" s="325"/>
      <c r="YO83" s="325"/>
      <c r="YP83" s="325"/>
      <c r="YQ83" s="325"/>
      <c r="YR83" s="325"/>
      <c r="YS83" s="325"/>
      <c r="YT83" s="325"/>
      <c r="YU83" s="325"/>
      <c r="YV83" s="325"/>
      <c r="YW83" s="325"/>
      <c r="YX83" s="325"/>
      <c r="YY83" s="325"/>
      <c r="YZ83" s="325"/>
      <c r="ZA83" s="325"/>
      <c r="ZB83" s="325"/>
      <c r="ZC83" s="325"/>
      <c r="ZD83" s="325"/>
      <c r="ZE83" s="325"/>
      <c r="ZF83" s="325"/>
      <c r="ZG83" s="325"/>
      <c r="ZH83" s="325"/>
      <c r="ZI83" s="325"/>
      <c r="ZJ83" s="325"/>
      <c r="ZK83" s="325"/>
      <c r="ZL83" s="325"/>
      <c r="ZM83" s="325"/>
      <c r="ZN83" s="325"/>
      <c r="ZO83" s="325"/>
      <c r="ZP83" s="325"/>
      <c r="ZQ83" s="325"/>
      <c r="ZR83" s="325"/>
      <c r="ZS83" s="325"/>
      <c r="ZT83" s="325"/>
      <c r="ZU83" s="325"/>
      <c r="ZV83" s="325"/>
      <c r="ZW83" s="325"/>
      <c r="ZX83" s="325"/>
      <c r="ZY83" s="325"/>
      <c r="ZZ83" s="325"/>
      <c r="AAA83" s="325"/>
      <c r="AAB83" s="325"/>
      <c r="AAC83" s="325"/>
      <c r="AAD83" s="325"/>
      <c r="AAE83" s="325"/>
      <c r="AAF83" s="325"/>
      <c r="AAG83" s="325"/>
      <c r="AAH83" s="325"/>
      <c r="AAI83" s="325"/>
      <c r="AAJ83" s="325"/>
      <c r="AAK83" s="325"/>
      <c r="AAL83" s="325"/>
      <c r="AAM83" s="325"/>
      <c r="AAN83" s="325"/>
      <c r="AAO83" s="325"/>
      <c r="AAP83" s="325"/>
      <c r="AAQ83" s="325"/>
      <c r="AAR83" s="325"/>
      <c r="AAS83" s="325"/>
      <c r="AAT83" s="325"/>
      <c r="AAU83" s="325"/>
      <c r="AAV83" s="325"/>
      <c r="AAW83" s="325"/>
      <c r="AAX83" s="325"/>
      <c r="AAY83" s="325"/>
      <c r="AAZ83" s="325"/>
      <c r="ABA83" s="325"/>
      <c r="ABB83" s="325"/>
      <c r="ABC83" s="325"/>
      <c r="ABD83" s="325"/>
      <c r="ABE83" s="325"/>
      <c r="ABF83" s="325"/>
      <c r="ABG83" s="325"/>
      <c r="ABH83" s="325"/>
      <c r="ABI83" s="325"/>
      <c r="ABJ83" s="325"/>
      <c r="ABK83" s="325"/>
      <c r="ABL83" s="325"/>
      <c r="ABM83" s="325"/>
      <c r="ABN83" s="325"/>
      <c r="ABO83" s="325"/>
      <c r="ABP83" s="325"/>
      <c r="ABQ83" s="325"/>
      <c r="ABR83" s="325"/>
      <c r="ABS83" s="325"/>
      <c r="ABT83" s="325"/>
      <c r="ABU83" s="325"/>
      <c r="ABV83" s="325"/>
      <c r="ABW83" s="325"/>
      <c r="ABX83" s="325"/>
      <c r="ABY83" s="325"/>
      <c r="ABZ83" s="325"/>
      <c r="ACA83" s="325"/>
      <c r="ACB83" s="325"/>
      <c r="ACC83" s="325"/>
      <c r="ACD83" s="325"/>
      <c r="ACE83" s="325"/>
      <c r="ACF83" s="325"/>
      <c r="ACG83" s="325"/>
      <c r="ACH83" s="325"/>
      <c r="ACI83" s="325"/>
      <c r="ACJ83" s="325"/>
      <c r="ACK83" s="325"/>
      <c r="ACL83" s="325"/>
      <c r="ACM83" s="325"/>
      <c r="ACN83" s="325"/>
      <c r="ACO83" s="325"/>
      <c r="ACP83" s="325"/>
      <c r="ACQ83" s="325"/>
      <c r="ACR83" s="325"/>
      <c r="ACS83" s="325"/>
      <c r="ACT83" s="325"/>
      <c r="ACU83" s="325"/>
      <c r="ACV83" s="325"/>
      <c r="ACW83" s="325"/>
      <c r="ACX83" s="325"/>
      <c r="ACY83" s="325"/>
      <c r="ACZ83" s="325"/>
      <c r="ADA83" s="325"/>
      <c r="ADB83" s="325"/>
      <c r="ADC83" s="325"/>
      <c r="ADD83" s="325"/>
      <c r="ADE83" s="325"/>
      <c r="ADF83" s="325"/>
      <c r="ADG83" s="325"/>
      <c r="ADH83" s="325"/>
      <c r="ADI83" s="325"/>
      <c r="ADJ83" s="325"/>
      <c r="ADK83" s="325"/>
      <c r="ADL83" s="325"/>
      <c r="ADM83" s="325"/>
      <c r="ADN83" s="325"/>
      <c r="ADO83" s="325"/>
      <c r="ADP83" s="325"/>
      <c r="ADQ83" s="325"/>
      <c r="ADR83" s="325"/>
      <c r="ADS83" s="325"/>
      <c r="ADT83" s="325"/>
      <c r="ADU83" s="325"/>
      <c r="ADV83" s="325"/>
      <c r="ADW83" s="325"/>
      <c r="ADX83" s="325"/>
      <c r="ADY83" s="325"/>
      <c r="ADZ83" s="325"/>
      <c r="AEA83" s="325"/>
      <c r="AEB83" s="325"/>
      <c r="AEC83" s="325"/>
      <c r="AED83" s="325"/>
      <c r="AEE83" s="325"/>
      <c r="AEF83" s="325"/>
      <c r="AEG83" s="325"/>
      <c r="AEH83" s="325"/>
      <c r="AEI83" s="325"/>
      <c r="AEJ83" s="325"/>
      <c r="AEK83" s="325"/>
      <c r="AEL83" s="325"/>
      <c r="AEM83" s="325"/>
      <c r="AEN83" s="325"/>
      <c r="AEO83" s="325"/>
      <c r="AEP83" s="325"/>
      <c r="AEQ83" s="325"/>
      <c r="AER83" s="325"/>
      <c r="AES83" s="325"/>
      <c r="AET83" s="325"/>
      <c r="AEU83" s="325"/>
      <c r="AEV83" s="325"/>
      <c r="AEW83" s="325"/>
      <c r="AEX83" s="325"/>
      <c r="AEY83" s="325"/>
      <c r="AEZ83" s="325"/>
      <c r="AFA83" s="325"/>
      <c r="AFB83" s="325"/>
      <c r="AFC83" s="325"/>
      <c r="AFD83" s="325"/>
      <c r="AFE83" s="325"/>
      <c r="AFF83" s="325"/>
      <c r="AFG83" s="325"/>
      <c r="AFH83" s="325"/>
      <c r="AFI83" s="325"/>
      <c r="AFJ83" s="325"/>
      <c r="AFK83" s="325"/>
      <c r="AFL83" s="325"/>
      <c r="AFM83" s="325"/>
      <c r="AFN83" s="325"/>
      <c r="AFO83" s="325"/>
      <c r="AFP83" s="325"/>
      <c r="AFQ83" s="325"/>
      <c r="AFR83" s="325"/>
      <c r="AFS83" s="325"/>
      <c r="AFT83" s="325"/>
      <c r="AFU83" s="325"/>
      <c r="AFV83" s="325"/>
      <c r="AFW83" s="325"/>
      <c r="AFX83" s="325"/>
      <c r="AFY83" s="325"/>
      <c r="AFZ83" s="325"/>
      <c r="AGA83" s="325"/>
      <c r="AGB83" s="325"/>
      <c r="AGC83" s="325"/>
      <c r="AGD83" s="325"/>
      <c r="AGE83" s="325"/>
      <c r="AGF83" s="325"/>
      <c r="AGG83" s="325"/>
      <c r="AGH83" s="325"/>
      <c r="AGI83" s="325"/>
      <c r="AGJ83" s="325"/>
      <c r="AGK83" s="325"/>
      <c r="AGL83" s="325"/>
      <c r="AGM83" s="325"/>
      <c r="AGN83" s="325"/>
      <c r="AGO83" s="325"/>
      <c r="AGP83" s="325"/>
      <c r="AGQ83" s="325"/>
      <c r="AGR83" s="325"/>
      <c r="AGS83" s="325"/>
      <c r="AGT83" s="325"/>
      <c r="AGU83" s="325"/>
      <c r="AGV83" s="325"/>
      <c r="AGW83" s="325"/>
      <c r="AGX83" s="325"/>
      <c r="AGY83" s="325"/>
      <c r="AGZ83" s="325"/>
      <c r="AHA83" s="325"/>
      <c r="AHB83" s="325"/>
      <c r="AHC83" s="325"/>
      <c r="AHD83" s="325"/>
      <c r="AHE83" s="325"/>
      <c r="AHF83" s="325"/>
      <c r="AHG83" s="325"/>
      <c r="AHH83" s="325"/>
      <c r="AHI83" s="325"/>
      <c r="AHJ83" s="325"/>
      <c r="AHK83" s="325"/>
      <c r="AHL83" s="325"/>
      <c r="AHM83" s="325"/>
      <c r="AHN83" s="325"/>
      <c r="AHO83" s="325"/>
      <c r="AHP83" s="325"/>
      <c r="AHQ83" s="325"/>
      <c r="AHR83" s="325"/>
      <c r="AHS83" s="325"/>
      <c r="AHT83" s="325"/>
      <c r="AHU83" s="325"/>
      <c r="AHV83" s="325"/>
      <c r="AHW83" s="325"/>
      <c r="AHX83" s="325"/>
      <c r="AHY83" s="325"/>
      <c r="AHZ83" s="325"/>
      <c r="AIA83" s="325"/>
      <c r="AIB83" s="325"/>
      <c r="AIC83" s="325"/>
      <c r="AID83" s="325"/>
      <c r="AIE83" s="325"/>
      <c r="AIF83" s="325"/>
      <c r="AIG83" s="325"/>
      <c r="AIH83" s="325"/>
      <c r="AII83" s="325"/>
      <c r="AIJ83" s="325"/>
      <c r="AIK83" s="325"/>
      <c r="AIL83" s="325"/>
      <c r="AIM83" s="325"/>
      <c r="AIN83" s="325"/>
      <c r="AIO83" s="325"/>
      <c r="AIP83" s="325"/>
      <c r="AIQ83" s="325"/>
      <c r="AIR83" s="325"/>
      <c r="AIS83" s="325"/>
      <c r="AIT83" s="325"/>
      <c r="AIU83" s="325"/>
      <c r="AIV83" s="325"/>
      <c r="AIW83" s="325"/>
      <c r="AIX83" s="325"/>
      <c r="AIY83" s="325"/>
      <c r="AIZ83" s="325"/>
      <c r="AJA83" s="325"/>
      <c r="AJB83" s="325"/>
      <c r="AJC83" s="325"/>
      <c r="AJD83" s="325"/>
      <c r="AJE83" s="325"/>
      <c r="AJF83" s="325"/>
      <c r="AJG83" s="325"/>
      <c r="AJH83" s="325"/>
      <c r="AJI83" s="325"/>
      <c r="AJJ83" s="325"/>
      <c r="AJK83" s="325"/>
      <c r="AJL83" s="325"/>
      <c r="AJM83" s="325"/>
      <c r="AJN83" s="325"/>
      <c r="AJO83" s="325"/>
      <c r="AJP83" s="325"/>
      <c r="AJQ83" s="325"/>
      <c r="AJR83" s="325"/>
      <c r="AJS83" s="325"/>
      <c r="AJT83" s="325"/>
      <c r="AJU83" s="325"/>
      <c r="AJV83" s="325"/>
      <c r="AJW83" s="325"/>
      <c r="AJX83" s="325"/>
      <c r="AJY83" s="325"/>
      <c r="AJZ83" s="325"/>
      <c r="AKA83" s="325"/>
      <c r="AKB83" s="325"/>
      <c r="AKC83" s="325"/>
      <c r="AKD83" s="325"/>
      <c r="AKE83" s="325"/>
      <c r="AKF83" s="325"/>
      <c r="AKG83" s="325"/>
      <c r="AKH83" s="325"/>
      <c r="AKI83" s="325"/>
      <c r="AKJ83" s="325"/>
      <c r="AKK83" s="325"/>
      <c r="AKL83" s="325"/>
      <c r="AKM83" s="325"/>
      <c r="AKN83" s="325"/>
      <c r="AKO83" s="325"/>
      <c r="AKP83" s="325"/>
      <c r="AKQ83" s="325"/>
      <c r="AKR83" s="325"/>
      <c r="AKS83" s="325"/>
      <c r="AKT83" s="325"/>
      <c r="AKU83" s="325"/>
      <c r="AKV83" s="325"/>
      <c r="AKW83" s="325"/>
      <c r="AKX83" s="325"/>
      <c r="AKY83" s="325"/>
      <c r="AKZ83" s="325"/>
      <c r="ALA83" s="325"/>
      <c r="ALB83" s="325"/>
      <c r="ALC83" s="325"/>
      <c r="ALD83" s="325"/>
      <c r="ALE83" s="325"/>
      <c r="ALF83" s="325"/>
      <c r="ALG83" s="325"/>
      <c r="ALH83" s="325"/>
      <c r="ALI83" s="325"/>
      <c r="ALJ83" s="325"/>
      <c r="ALK83" s="325"/>
      <c r="ALL83" s="325"/>
      <c r="ALM83" s="325"/>
      <c r="ALN83" s="325"/>
      <c r="ALO83" s="325"/>
      <c r="ALP83" s="325"/>
      <c r="ALQ83" s="325"/>
      <c r="ALR83" s="325"/>
      <c r="ALS83" s="325"/>
      <c r="ALT83" s="325"/>
      <c r="ALU83" s="325"/>
      <c r="ALV83" s="325"/>
      <c r="ALW83" s="325"/>
      <c r="ALX83" s="325"/>
      <c r="ALY83" s="325"/>
      <c r="ALZ83" s="325"/>
      <c r="AMA83" s="325"/>
      <c r="AMB83" s="325"/>
      <c r="AMC83" s="325"/>
    </row>
    <row r="84" spans="3:1017" s="75" customFormat="1">
      <c r="C84" s="130"/>
      <c r="D84" s="130"/>
      <c r="CN84" s="225"/>
      <c r="CQ84" s="226"/>
      <c r="LD84" s="213"/>
      <c r="LH84" s="286"/>
      <c r="LI84" s="287"/>
      <c r="LJ84" s="124"/>
      <c r="LK84" s="124"/>
      <c r="LL84" s="124"/>
      <c r="LM84" s="124"/>
      <c r="LN84" s="124"/>
      <c r="LO84" s="124"/>
      <c r="LP84" s="124"/>
      <c r="LQ84" s="124"/>
      <c r="LR84" s="124"/>
      <c r="NE84" s="330"/>
      <c r="NF84" s="325"/>
      <c r="NG84" s="325"/>
      <c r="NH84" s="325"/>
      <c r="NI84" s="325"/>
      <c r="NJ84" s="325"/>
      <c r="NK84" s="325"/>
      <c r="NL84" s="325"/>
      <c r="NM84" s="325"/>
      <c r="NN84" s="325"/>
      <c r="NO84" s="325"/>
      <c r="NP84" s="325"/>
      <c r="NQ84" s="325"/>
      <c r="NR84" s="325"/>
      <c r="NS84" s="325"/>
      <c r="NT84" s="325"/>
      <c r="NU84" s="325"/>
      <c r="NV84" s="325"/>
      <c r="NW84" s="325"/>
      <c r="NX84" s="325"/>
      <c r="NY84" s="325"/>
      <c r="NZ84" s="325"/>
      <c r="OA84" s="325"/>
      <c r="OB84" s="325"/>
      <c r="OC84" s="325"/>
      <c r="OD84" s="325"/>
      <c r="OE84" s="325"/>
      <c r="OF84" s="325"/>
      <c r="OG84" s="325"/>
      <c r="OH84" s="325"/>
      <c r="OI84" s="325"/>
      <c r="OJ84" s="325"/>
      <c r="OK84" s="325"/>
      <c r="OL84" s="325"/>
      <c r="OM84" s="325"/>
      <c r="ON84" s="325"/>
      <c r="OO84" s="325"/>
      <c r="OP84" s="325"/>
      <c r="OQ84" s="325"/>
      <c r="OR84" s="325"/>
      <c r="OS84" s="325"/>
      <c r="OT84" s="325"/>
      <c r="OU84" s="325"/>
      <c r="OV84" s="325"/>
      <c r="OW84" s="325"/>
      <c r="OX84" s="325"/>
      <c r="OY84" s="325"/>
      <c r="OZ84" s="325"/>
      <c r="PA84" s="325"/>
      <c r="PB84" s="325"/>
      <c r="PC84" s="325"/>
      <c r="PD84" s="325"/>
      <c r="PE84" s="325"/>
      <c r="PF84" s="325"/>
      <c r="PG84" s="325"/>
      <c r="PH84" s="325"/>
      <c r="PI84" s="325"/>
      <c r="PJ84" s="325"/>
      <c r="PK84" s="325"/>
      <c r="PL84" s="325"/>
      <c r="PM84" s="325"/>
      <c r="PN84" s="325"/>
      <c r="PO84" s="325"/>
      <c r="PP84" s="325"/>
      <c r="PQ84" s="325"/>
      <c r="PR84" s="325"/>
      <c r="PS84" s="325"/>
      <c r="PT84" s="325"/>
      <c r="PU84" s="325"/>
      <c r="PV84" s="325"/>
      <c r="PW84" s="325"/>
      <c r="PX84" s="325"/>
      <c r="PY84" s="325"/>
      <c r="PZ84" s="325"/>
      <c r="QA84" s="325"/>
      <c r="QB84" s="325"/>
      <c r="QC84" s="325"/>
      <c r="QD84" s="325"/>
      <c r="QE84" s="325"/>
      <c r="QF84" s="325"/>
      <c r="QG84" s="325"/>
      <c r="QH84" s="325"/>
      <c r="QI84" s="325"/>
      <c r="QJ84" s="325"/>
      <c r="QK84" s="325"/>
      <c r="QL84" s="325"/>
      <c r="QM84" s="325"/>
      <c r="QN84" s="325"/>
      <c r="QO84" s="325"/>
      <c r="QP84" s="325"/>
      <c r="QQ84" s="325"/>
      <c r="QR84" s="325"/>
      <c r="QS84" s="325"/>
      <c r="QT84" s="325"/>
      <c r="QU84" s="325"/>
      <c r="QV84" s="325"/>
      <c r="QW84" s="325"/>
      <c r="QX84" s="325"/>
      <c r="QY84" s="325"/>
      <c r="QZ84" s="325"/>
      <c r="RA84" s="325"/>
      <c r="RB84" s="325"/>
      <c r="RC84" s="325"/>
      <c r="RD84" s="325"/>
      <c r="RE84" s="325"/>
      <c r="RF84" s="325"/>
      <c r="RG84" s="325"/>
      <c r="RH84" s="325"/>
      <c r="RI84" s="325"/>
      <c r="RJ84" s="325"/>
      <c r="RK84" s="325"/>
      <c r="RL84" s="325"/>
      <c r="RM84" s="325"/>
      <c r="RN84" s="325"/>
      <c r="RO84" s="325"/>
      <c r="RP84" s="325"/>
      <c r="RQ84" s="325"/>
      <c r="RR84" s="325"/>
      <c r="RS84" s="325"/>
      <c r="RT84" s="325"/>
      <c r="RU84" s="325"/>
      <c r="RV84" s="325"/>
      <c r="RW84" s="325"/>
      <c r="RX84" s="325"/>
      <c r="RY84" s="325"/>
      <c r="RZ84" s="325"/>
      <c r="SA84" s="325"/>
      <c r="SB84" s="325"/>
      <c r="SC84" s="325"/>
      <c r="SD84" s="325"/>
      <c r="SE84" s="325"/>
      <c r="SF84" s="325"/>
      <c r="SG84" s="325"/>
      <c r="SH84" s="325"/>
      <c r="SI84" s="325"/>
      <c r="SJ84" s="325"/>
      <c r="SK84" s="325"/>
      <c r="SL84" s="325"/>
      <c r="SM84" s="325"/>
      <c r="SN84" s="325"/>
      <c r="SO84" s="325"/>
      <c r="SP84" s="325"/>
      <c r="SQ84" s="325"/>
      <c r="SR84" s="325"/>
      <c r="SS84" s="325"/>
      <c r="ST84" s="325"/>
      <c r="SU84" s="325"/>
      <c r="SV84" s="325"/>
      <c r="SW84" s="325"/>
      <c r="SX84" s="325"/>
      <c r="SY84" s="325"/>
      <c r="SZ84" s="325"/>
      <c r="TA84" s="325"/>
      <c r="TB84" s="325"/>
      <c r="TC84" s="325"/>
      <c r="TD84" s="325"/>
      <c r="TE84" s="325"/>
      <c r="TF84" s="325"/>
      <c r="TG84" s="325"/>
      <c r="TH84" s="325"/>
      <c r="TI84" s="325"/>
      <c r="TJ84" s="325"/>
      <c r="TK84" s="325"/>
      <c r="TL84" s="325"/>
      <c r="TM84" s="325"/>
      <c r="TN84" s="325"/>
      <c r="TO84" s="325"/>
      <c r="TP84" s="325"/>
      <c r="TQ84" s="325"/>
      <c r="TR84" s="325"/>
      <c r="TS84" s="325"/>
      <c r="TT84" s="325"/>
      <c r="TU84" s="325"/>
      <c r="TV84" s="325"/>
      <c r="TW84" s="325"/>
      <c r="TX84" s="325"/>
      <c r="TY84" s="325"/>
      <c r="TZ84" s="325"/>
      <c r="UA84" s="325"/>
      <c r="UB84" s="325"/>
      <c r="UC84" s="325"/>
      <c r="UD84" s="325"/>
      <c r="UE84" s="325"/>
      <c r="UF84" s="325"/>
      <c r="UG84" s="325"/>
      <c r="UH84" s="325"/>
      <c r="UI84" s="325"/>
      <c r="UJ84" s="325"/>
      <c r="UK84" s="325"/>
      <c r="UL84" s="325"/>
      <c r="UM84" s="325"/>
      <c r="UN84" s="325"/>
      <c r="UO84" s="325"/>
      <c r="UP84" s="325"/>
      <c r="UQ84" s="325"/>
      <c r="UR84" s="325"/>
      <c r="US84" s="325"/>
      <c r="UT84" s="325"/>
      <c r="UU84" s="325"/>
      <c r="UV84" s="325"/>
      <c r="UW84" s="325"/>
      <c r="UX84" s="325"/>
      <c r="UY84" s="325"/>
      <c r="UZ84" s="325"/>
      <c r="VA84" s="325"/>
      <c r="VB84" s="325"/>
      <c r="VC84" s="325"/>
      <c r="VD84" s="325"/>
      <c r="VE84" s="325"/>
      <c r="VF84" s="325"/>
      <c r="VG84" s="325"/>
      <c r="VH84" s="325"/>
      <c r="VI84" s="325"/>
      <c r="VJ84" s="325"/>
      <c r="VK84" s="325"/>
      <c r="VL84" s="325"/>
      <c r="VM84" s="325"/>
      <c r="VN84" s="325"/>
      <c r="VO84" s="325"/>
      <c r="VP84" s="325"/>
      <c r="VQ84" s="325"/>
      <c r="VR84" s="325"/>
      <c r="VS84" s="325"/>
      <c r="VT84" s="325"/>
      <c r="VU84" s="325"/>
      <c r="VV84" s="325"/>
      <c r="VW84" s="325"/>
      <c r="VX84" s="325"/>
      <c r="VY84" s="325"/>
      <c r="VZ84" s="325"/>
      <c r="WA84" s="325"/>
      <c r="WB84" s="325"/>
      <c r="WC84" s="325"/>
      <c r="WD84" s="325"/>
      <c r="WE84" s="325"/>
      <c r="WF84" s="325"/>
      <c r="WG84" s="325"/>
      <c r="WH84" s="325"/>
      <c r="WI84" s="325"/>
      <c r="WJ84" s="325"/>
      <c r="WK84" s="325"/>
      <c r="WL84" s="325"/>
      <c r="WM84" s="325"/>
      <c r="WN84" s="325"/>
      <c r="WO84" s="325"/>
      <c r="WP84" s="325"/>
      <c r="WQ84" s="325"/>
      <c r="WR84" s="325"/>
      <c r="WS84" s="325"/>
      <c r="WT84" s="325"/>
      <c r="WU84" s="325"/>
      <c r="WV84" s="325"/>
      <c r="WW84" s="325"/>
      <c r="WX84" s="325"/>
      <c r="WY84" s="325"/>
      <c r="WZ84" s="325"/>
      <c r="XA84" s="325"/>
      <c r="XB84" s="325"/>
      <c r="XC84" s="325"/>
      <c r="XD84" s="325"/>
      <c r="XE84" s="325"/>
      <c r="XF84" s="325"/>
      <c r="XG84" s="325"/>
      <c r="XH84" s="325"/>
      <c r="XI84" s="325"/>
      <c r="XJ84" s="325"/>
      <c r="XK84" s="325"/>
      <c r="XL84" s="325"/>
      <c r="XM84" s="325"/>
      <c r="XN84" s="325"/>
      <c r="XO84" s="325"/>
      <c r="XP84" s="325"/>
      <c r="XQ84" s="325"/>
      <c r="XR84" s="325"/>
      <c r="XS84" s="325"/>
      <c r="XT84" s="325"/>
      <c r="XU84" s="325"/>
      <c r="XV84" s="325"/>
      <c r="XW84" s="325"/>
      <c r="XX84" s="325"/>
      <c r="XY84" s="325"/>
      <c r="XZ84" s="325"/>
      <c r="YA84" s="325"/>
      <c r="YB84" s="325"/>
      <c r="YC84" s="325"/>
      <c r="YD84" s="325"/>
      <c r="YE84" s="325"/>
      <c r="YF84" s="325"/>
      <c r="YG84" s="325"/>
      <c r="YH84" s="325"/>
      <c r="YI84" s="325"/>
      <c r="YJ84" s="325"/>
      <c r="YK84" s="325"/>
      <c r="YL84" s="325"/>
      <c r="YM84" s="325"/>
      <c r="YN84" s="325"/>
      <c r="YO84" s="325"/>
      <c r="YP84" s="325"/>
      <c r="YQ84" s="325"/>
      <c r="YR84" s="325"/>
      <c r="YS84" s="325"/>
      <c r="YT84" s="325"/>
      <c r="YU84" s="325"/>
      <c r="YV84" s="325"/>
      <c r="YW84" s="325"/>
      <c r="YX84" s="325"/>
      <c r="YY84" s="325"/>
      <c r="YZ84" s="325"/>
      <c r="ZA84" s="325"/>
      <c r="ZB84" s="325"/>
      <c r="ZC84" s="325"/>
      <c r="ZD84" s="325"/>
      <c r="ZE84" s="325"/>
      <c r="ZF84" s="325"/>
      <c r="ZG84" s="325"/>
      <c r="ZH84" s="325"/>
      <c r="ZI84" s="325"/>
      <c r="ZJ84" s="325"/>
      <c r="ZK84" s="325"/>
      <c r="ZL84" s="325"/>
      <c r="ZM84" s="325"/>
      <c r="ZN84" s="325"/>
      <c r="ZO84" s="325"/>
      <c r="ZP84" s="325"/>
      <c r="ZQ84" s="325"/>
      <c r="ZR84" s="325"/>
      <c r="ZS84" s="325"/>
      <c r="ZT84" s="325"/>
      <c r="ZU84" s="325"/>
      <c r="ZV84" s="325"/>
      <c r="ZW84" s="325"/>
      <c r="ZX84" s="325"/>
      <c r="ZY84" s="325"/>
      <c r="ZZ84" s="325"/>
      <c r="AAA84" s="325"/>
      <c r="AAB84" s="325"/>
      <c r="AAC84" s="325"/>
      <c r="AAD84" s="325"/>
      <c r="AAE84" s="325"/>
      <c r="AAF84" s="325"/>
      <c r="AAG84" s="325"/>
      <c r="AAH84" s="325"/>
      <c r="AAI84" s="325"/>
      <c r="AAJ84" s="325"/>
      <c r="AAK84" s="325"/>
      <c r="AAL84" s="325"/>
      <c r="AAM84" s="325"/>
      <c r="AAN84" s="325"/>
      <c r="AAO84" s="325"/>
      <c r="AAP84" s="325"/>
      <c r="AAQ84" s="325"/>
      <c r="AAR84" s="325"/>
      <c r="AAS84" s="325"/>
      <c r="AAT84" s="325"/>
      <c r="AAU84" s="325"/>
      <c r="AAV84" s="325"/>
      <c r="AAW84" s="325"/>
      <c r="AAX84" s="325"/>
      <c r="AAY84" s="325"/>
      <c r="AAZ84" s="325"/>
      <c r="ABA84" s="325"/>
      <c r="ABB84" s="325"/>
      <c r="ABC84" s="325"/>
      <c r="ABD84" s="325"/>
      <c r="ABE84" s="325"/>
      <c r="ABF84" s="325"/>
      <c r="ABG84" s="325"/>
      <c r="ABH84" s="325"/>
      <c r="ABI84" s="325"/>
      <c r="ABJ84" s="325"/>
      <c r="ABK84" s="325"/>
      <c r="ABL84" s="325"/>
      <c r="ABM84" s="325"/>
      <c r="ABN84" s="325"/>
      <c r="ABO84" s="325"/>
      <c r="ABP84" s="325"/>
      <c r="ABQ84" s="325"/>
      <c r="ABR84" s="325"/>
      <c r="ABS84" s="325"/>
      <c r="ABT84" s="325"/>
      <c r="ABU84" s="325"/>
      <c r="ABV84" s="325"/>
      <c r="ABW84" s="325"/>
      <c r="ABX84" s="325"/>
      <c r="ABY84" s="325"/>
      <c r="ABZ84" s="325"/>
      <c r="ACA84" s="325"/>
      <c r="ACB84" s="325"/>
      <c r="ACC84" s="325"/>
      <c r="ACD84" s="325"/>
      <c r="ACE84" s="325"/>
      <c r="ACF84" s="325"/>
      <c r="ACG84" s="325"/>
      <c r="ACH84" s="325"/>
      <c r="ACI84" s="325"/>
      <c r="ACJ84" s="325"/>
      <c r="ACK84" s="325"/>
      <c r="ACL84" s="325"/>
      <c r="ACM84" s="325"/>
      <c r="ACN84" s="325"/>
      <c r="ACO84" s="325"/>
      <c r="ACP84" s="325"/>
      <c r="ACQ84" s="325"/>
      <c r="ACR84" s="325"/>
      <c r="ACS84" s="325"/>
      <c r="ACT84" s="325"/>
      <c r="ACU84" s="325"/>
      <c r="ACV84" s="325"/>
      <c r="ACW84" s="325"/>
      <c r="ACX84" s="325"/>
      <c r="ACY84" s="325"/>
      <c r="ACZ84" s="325"/>
      <c r="ADA84" s="325"/>
      <c r="ADB84" s="325"/>
      <c r="ADC84" s="325"/>
      <c r="ADD84" s="325"/>
      <c r="ADE84" s="325"/>
      <c r="ADF84" s="325"/>
      <c r="ADG84" s="325"/>
      <c r="ADH84" s="325"/>
      <c r="ADI84" s="325"/>
      <c r="ADJ84" s="325"/>
      <c r="ADK84" s="325"/>
      <c r="ADL84" s="325"/>
      <c r="ADM84" s="325"/>
      <c r="ADN84" s="325"/>
      <c r="ADO84" s="325"/>
      <c r="ADP84" s="325"/>
      <c r="ADQ84" s="325"/>
      <c r="ADR84" s="325"/>
      <c r="ADS84" s="325"/>
      <c r="ADT84" s="325"/>
      <c r="ADU84" s="325"/>
      <c r="ADV84" s="325"/>
      <c r="ADW84" s="325"/>
      <c r="ADX84" s="325"/>
      <c r="ADY84" s="325"/>
      <c r="ADZ84" s="325"/>
      <c r="AEA84" s="325"/>
      <c r="AEB84" s="325"/>
      <c r="AEC84" s="325"/>
      <c r="AED84" s="325"/>
      <c r="AEE84" s="325"/>
      <c r="AEF84" s="325"/>
      <c r="AEG84" s="325"/>
      <c r="AEH84" s="325"/>
      <c r="AEI84" s="325"/>
      <c r="AEJ84" s="325"/>
      <c r="AEK84" s="325"/>
      <c r="AEL84" s="325"/>
      <c r="AEM84" s="325"/>
      <c r="AEN84" s="325"/>
      <c r="AEO84" s="325"/>
      <c r="AEP84" s="325"/>
      <c r="AEQ84" s="325"/>
      <c r="AER84" s="325"/>
      <c r="AES84" s="325"/>
      <c r="AET84" s="325"/>
      <c r="AEU84" s="325"/>
      <c r="AEV84" s="325"/>
      <c r="AEW84" s="325"/>
      <c r="AEX84" s="325"/>
      <c r="AEY84" s="325"/>
      <c r="AEZ84" s="325"/>
      <c r="AFA84" s="325"/>
      <c r="AFB84" s="325"/>
      <c r="AFC84" s="325"/>
      <c r="AFD84" s="325"/>
      <c r="AFE84" s="325"/>
      <c r="AFF84" s="325"/>
      <c r="AFG84" s="325"/>
      <c r="AFH84" s="325"/>
      <c r="AFI84" s="325"/>
      <c r="AFJ84" s="325"/>
      <c r="AFK84" s="325"/>
      <c r="AFL84" s="325"/>
      <c r="AFM84" s="325"/>
      <c r="AFN84" s="325"/>
      <c r="AFO84" s="325"/>
      <c r="AFP84" s="325"/>
      <c r="AFQ84" s="325"/>
      <c r="AFR84" s="325"/>
      <c r="AFS84" s="325"/>
      <c r="AFT84" s="325"/>
      <c r="AFU84" s="325"/>
      <c r="AFV84" s="325"/>
      <c r="AFW84" s="325"/>
      <c r="AFX84" s="325"/>
      <c r="AFY84" s="325"/>
      <c r="AFZ84" s="325"/>
      <c r="AGA84" s="325"/>
      <c r="AGB84" s="325"/>
      <c r="AGC84" s="325"/>
      <c r="AGD84" s="325"/>
      <c r="AGE84" s="325"/>
      <c r="AGF84" s="325"/>
      <c r="AGG84" s="325"/>
      <c r="AGH84" s="325"/>
      <c r="AGI84" s="325"/>
      <c r="AGJ84" s="325"/>
      <c r="AGK84" s="325"/>
      <c r="AGL84" s="325"/>
      <c r="AGM84" s="325"/>
      <c r="AGN84" s="325"/>
      <c r="AGO84" s="325"/>
      <c r="AGP84" s="325"/>
      <c r="AGQ84" s="325"/>
      <c r="AGR84" s="325"/>
      <c r="AGS84" s="325"/>
      <c r="AGT84" s="325"/>
      <c r="AGU84" s="325"/>
      <c r="AGV84" s="325"/>
      <c r="AGW84" s="325"/>
      <c r="AGX84" s="325"/>
      <c r="AGY84" s="325"/>
      <c r="AGZ84" s="325"/>
      <c r="AHA84" s="325"/>
      <c r="AHB84" s="325"/>
      <c r="AHC84" s="325"/>
      <c r="AHD84" s="325"/>
      <c r="AHE84" s="325"/>
      <c r="AHF84" s="325"/>
      <c r="AHG84" s="325"/>
      <c r="AHH84" s="325"/>
      <c r="AHI84" s="325"/>
      <c r="AHJ84" s="325"/>
      <c r="AHK84" s="325"/>
      <c r="AHL84" s="325"/>
      <c r="AHM84" s="325"/>
      <c r="AHN84" s="325"/>
      <c r="AHO84" s="325"/>
      <c r="AHP84" s="325"/>
      <c r="AHQ84" s="325"/>
      <c r="AHR84" s="325"/>
      <c r="AHS84" s="325"/>
      <c r="AHT84" s="325"/>
      <c r="AHU84" s="325"/>
      <c r="AHV84" s="325"/>
      <c r="AHW84" s="325"/>
      <c r="AHX84" s="325"/>
      <c r="AHY84" s="325"/>
      <c r="AHZ84" s="325"/>
      <c r="AIA84" s="325"/>
      <c r="AIB84" s="325"/>
      <c r="AIC84" s="325"/>
      <c r="AID84" s="325"/>
      <c r="AIE84" s="325"/>
      <c r="AIF84" s="325"/>
      <c r="AIG84" s="325"/>
      <c r="AIH84" s="325"/>
      <c r="AII84" s="325"/>
      <c r="AIJ84" s="325"/>
      <c r="AIK84" s="325"/>
      <c r="AIL84" s="325"/>
      <c r="AIM84" s="325"/>
      <c r="AIN84" s="325"/>
      <c r="AIO84" s="325"/>
      <c r="AIP84" s="325"/>
      <c r="AIQ84" s="325"/>
      <c r="AIR84" s="325"/>
      <c r="AIS84" s="325"/>
      <c r="AIT84" s="325"/>
      <c r="AIU84" s="325"/>
      <c r="AIV84" s="325"/>
      <c r="AIW84" s="325"/>
      <c r="AIX84" s="325"/>
      <c r="AIY84" s="325"/>
      <c r="AIZ84" s="325"/>
      <c r="AJA84" s="325"/>
      <c r="AJB84" s="325"/>
      <c r="AJC84" s="325"/>
      <c r="AJD84" s="325"/>
      <c r="AJE84" s="325"/>
      <c r="AJF84" s="325"/>
      <c r="AJG84" s="325"/>
      <c r="AJH84" s="325"/>
      <c r="AJI84" s="325"/>
      <c r="AJJ84" s="325"/>
      <c r="AJK84" s="325"/>
      <c r="AJL84" s="325"/>
      <c r="AJM84" s="325"/>
      <c r="AJN84" s="325"/>
      <c r="AJO84" s="325"/>
      <c r="AJP84" s="325"/>
      <c r="AJQ84" s="325"/>
      <c r="AJR84" s="325"/>
      <c r="AJS84" s="325"/>
      <c r="AJT84" s="325"/>
      <c r="AJU84" s="325"/>
      <c r="AJV84" s="325"/>
      <c r="AJW84" s="325"/>
      <c r="AJX84" s="325"/>
      <c r="AJY84" s="325"/>
      <c r="AJZ84" s="325"/>
      <c r="AKA84" s="325"/>
      <c r="AKB84" s="325"/>
      <c r="AKC84" s="325"/>
      <c r="AKD84" s="325"/>
      <c r="AKE84" s="325"/>
      <c r="AKF84" s="325"/>
      <c r="AKG84" s="325"/>
      <c r="AKH84" s="325"/>
      <c r="AKI84" s="325"/>
      <c r="AKJ84" s="325"/>
      <c r="AKK84" s="325"/>
      <c r="AKL84" s="325"/>
      <c r="AKM84" s="325"/>
      <c r="AKN84" s="325"/>
      <c r="AKO84" s="325"/>
      <c r="AKP84" s="325"/>
      <c r="AKQ84" s="325"/>
      <c r="AKR84" s="325"/>
      <c r="AKS84" s="325"/>
      <c r="AKT84" s="325"/>
      <c r="AKU84" s="325"/>
      <c r="AKV84" s="325"/>
      <c r="AKW84" s="325"/>
      <c r="AKX84" s="325"/>
      <c r="AKY84" s="325"/>
      <c r="AKZ84" s="325"/>
      <c r="ALA84" s="325"/>
      <c r="ALB84" s="325"/>
      <c r="ALC84" s="325"/>
      <c r="ALD84" s="325"/>
      <c r="ALE84" s="325"/>
      <c r="ALF84" s="325"/>
      <c r="ALG84" s="325"/>
      <c r="ALH84" s="325"/>
      <c r="ALI84" s="325"/>
      <c r="ALJ84" s="325"/>
      <c r="ALK84" s="325"/>
      <c r="ALL84" s="325"/>
      <c r="ALM84" s="325"/>
      <c r="ALN84" s="325"/>
      <c r="ALO84" s="325"/>
      <c r="ALP84" s="325"/>
      <c r="ALQ84" s="325"/>
      <c r="ALR84" s="325"/>
      <c r="ALS84" s="325"/>
      <c r="ALT84" s="325"/>
      <c r="ALU84" s="325"/>
      <c r="ALV84" s="325"/>
      <c r="ALW84" s="325"/>
      <c r="ALX84" s="325"/>
      <c r="ALY84" s="325"/>
      <c r="ALZ84" s="325"/>
      <c r="AMA84" s="325"/>
      <c r="AMB84" s="325"/>
      <c r="AMC84" s="325"/>
    </row>
    <row r="85" spans="3:1017" s="75" customFormat="1">
      <c r="C85" s="130"/>
      <c r="D85" s="130"/>
      <c r="CN85" s="225"/>
      <c r="CQ85" s="226"/>
      <c r="LD85" s="213"/>
      <c r="LH85" s="286"/>
      <c r="LI85" s="287"/>
      <c r="LJ85" s="124"/>
      <c r="LK85" s="124"/>
      <c r="LL85" s="124"/>
      <c r="LM85" s="124"/>
      <c r="LN85" s="124"/>
      <c r="LO85" s="124"/>
      <c r="LP85" s="124"/>
      <c r="LQ85" s="124"/>
      <c r="LR85" s="124"/>
      <c r="NE85" s="330"/>
      <c r="NF85" s="325"/>
      <c r="NG85" s="325"/>
      <c r="NH85" s="325"/>
      <c r="NI85" s="325"/>
      <c r="NJ85" s="325"/>
      <c r="NK85" s="325"/>
      <c r="NL85" s="325"/>
      <c r="NM85" s="325"/>
      <c r="NN85" s="325"/>
      <c r="NO85" s="325"/>
      <c r="NP85" s="325"/>
      <c r="NQ85" s="325"/>
      <c r="NR85" s="325"/>
      <c r="NS85" s="325"/>
      <c r="NT85" s="325"/>
      <c r="NU85" s="325"/>
      <c r="NV85" s="325"/>
      <c r="NW85" s="325"/>
      <c r="NX85" s="325"/>
      <c r="NY85" s="325"/>
      <c r="NZ85" s="325"/>
      <c r="OA85" s="325"/>
      <c r="OB85" s="325"/>
      <c r="OC85" s="325"/>
      <c r="OD85" s="325"/>
      <c r="OE85" s="325"/>
      <c r="OF85" s="325"/>
      <c r="OG85" s="325"/>
      <c r="OH85" s="325"/>
      <c r="OI85" s="325"/>
      <c r="OJ85" s="325"/>
      <c r="OK85" s="325"/>
      <c r="OL85" s="325"/>
      <c r="OM85" s="325"/>
      <c r="ON85" s="325"/>
      <c r="OO85" s="325"/>
      <c r="OP85" s="325"/>
      <c r="OQ85" s="325"/>
      <c r="OR85" s="325"/>
      <c r="OS85" s="325"/>
      <c r="OT85" s="325"/>
      <c r="OU85" s="325"/>
      <c r="OV85" s="325"/>
      <c r="OW85" s="325"/>
      <c r="OX85" s="325"/>
      <c r="OY85" s="325"/>
      <c r="OZ85" s="325"/>
      <c r="PA85" s="325"/>
      <c r="PB85" s="325"/>
      <c r="PC85" s="325"/>
      <c r="PD85" s="325"/>
      <c r="PE85" s="325"/>
      <c r="PF85" s="325"/>
      <c r="PG85" s="325"/>
      <c r="PH85" s="325"/>
      <c r="PI85" s="325"/>
      <c r="PJ85" s="325"/>
      <c r="PK85" s="325"/>
      <c r="PL85" s="325"/>
      <c r="PM85" s="325"/>
      <c r="PN85" s="325"/>
      <c r="PO85" s="325"/>
      <c r="PP85" s="325"/>
      <c r="PQ85" s="325"/>
      <c r="PR85" s="325"/>
      <c r="PS85" s="325"/>
      <c r="PT85" s="325"/>
      <c r="PU85" s="325"/>
      <c r="PV85" s="325"/>
      <c r="PW85" s="325"/>
      <c r="PX85" s="325"/>
      <c r="PY85" s="325"/>
      <c r="PZ85" s="325"/>
      <c r="QA85" s="325"/>
      <c r="QB85" s="325"/>
      <c r="QC85" s="325"/>
      <c r="QD85" s="325"/>
      <c r="QE85" s="325"/>
      <c r="QF85" s="325"/>
      <c r="QG85" s="325"/>
      <c r="QH85" s="325"/>
      <c r="QI85" s="325"/>
      <c r="QJ85" s="325"/>
      <c r="QK85" s="325"/>
      <c r="QL85" s="325"/>
      <c r="QM85" s="325"/>
      <c r="QN85" s="325"/>
      <c r="QO85" s="325"/>
      <c r="QP85" s="325"/>
      <c r="QQ85" s="325"/>
      <c r="QR85" s="325"/>
      <c r="QS85" s="325"/>
      <c r="QT85" s="325"/>
      <c r="QU85" s="325"/>
      <c r="QV85" s="325"/>
      <c r="QW85" s="325"/>
      <c r="QX85" s="325"/>
      <c r="QY85" s="325"/>
      <c r="QZ85" s="325"/>
      <c r="RA85" s="325"/>
      <c r="RB85" s="325"/>
      <c r="RC85" s="325"/>
      <c r="RD85" s="325"/>
      <c r="RE85" s="325"/>
      <c r="RF85" s="325"/>
      <c r="RG85" s="325"/>
      <c r="RH85" s="325"/>
      <c r="RI85" s="325"/>
      <c r="RJ85" s="325"/>
      <c r="RK85" s="325"/>
      <c r="RL85" s="325"/>
      <c r="RM85" s="325"/>
      <c r="RN85" s="325"/>
      <c r="RO85" s="325"/>
      <c r="RP85" s="325"/>
      <c r="RQ85" s="325"/>
      <c r="RR85" s="325"/>
      <c r="RS85" s="325"/>
      <c r="RT85" s="325"/>
      <c r="RU85" s="325"/>
      <c r="RV85" s="325"/>
      <c r="RW85" s="325"/>
      <c r="RX85" s="325"/>
      <c r="RY85" s="325"/>
      <c r="RZ85" s="325"/>
      <c r="SA85" s="325"/>
      <c r="SB85" s="325"/>
      <c r="SC85" s="325"/>
      <c r="SD85" s="325"/>
      <c r="SE85" s="325"/>
      <c r="SF85" s="325"/>
      <c r="SG85" s="325"/>
      <c r="SH85" s="325"/>
      <c r="SI85" s="325"/>
      <c r="SJ85" s="325"/>
      <c r="SK85" s="325"/>
      <c r="SL85" s="325"/>
      <c r="SM85" s="325"/>
      <c r="SN85" s="325"/>
      <c r="SO85" s="325"/>
      <c r="SP85" s="325"/>
      <c r="SQ85" s="325"/>
      <c r="SR85" s="325"/>
      <c r="SS85" s="325"/>
      <c r="ST85" s="325"/>
      <c r="SU85" s="325"/>
      <c r="SV85" s="325"/>
      <c r="SW85" s="325"/>
      <c r="SX85" s="325"/>
      <c r="SY85" s="325"/>
      <c r="SZ85" s="325"/>
      <c r="TA85" s="325"/>
      <c r="TB85" s="325"/>
      <c r="TC85" s="325"/>
      <c r="TD85" s="325"/>
      <c r="TE85" s="325"/>
      <c r="TF85" s="325"/>
      <c r="TG85" s="325"/>
      <c r="TH85" s="325"/>
      <c r="TI85" s="325"/>
      <c r="TJ85" s="325"/>
      <c r="TK85" s="325"/>
      <c r="TL85" s="325"/>
      <c r="TM85" s="325"/>
      <c r="TN85" s="325"/>
      <c r="TO85" s="325"/>
      <c r="TP85" s="325"/>
      <c r="TQ85" s="325"/>
      <c r="TR85" s="325"/>
      <c r="TS85" s="325"/>
      <c r="TT85" s="325"/>
      <c r="TU85" s="325"/>
      <c r="TV85" s="325"/>
      <c r="TW85" s="325"/>
      <c r="TX85" s="325"/>
      <c r="TY85" s="325"/>
      <c r="TZ85" s="325"/>
      <c r="UA85" s="325"/>
      <c r="UB85" s="325"/>
      <c r="UC85" s="325"/>
      <c r="UD85" s="325"/>
      <c r="UE85" s="325"/>
      <c r="UF85" s="325"/>
      <c r="UG85" s="325"/>
      <c r="UH85" s="325"/>
      <c r="UI85" s="325"/>
      <c r="UJ85" s="325"/>
      <c r="UK85" s="325"/>
      <c r="UL85" s="325"/>
      <c r="UM85" s="325"/>
      <c r="UN85" s="325"/>
      <c r="UO85" s="325"/>
      <c r="UP85" s="325"/>
      <c r="UQ85" s="325"/>
      <c r="UR85" s="325"/>
      <c r="US85" s="325"/>
      <c r="UT85" s="325"/>
      <c r="UU85" s="325"/>
      <c r="UV85" s="325"/>
      <c r="UW85" s="325"/>
      <c r="UX85" s="325"/>
      <c r="UY85" s="325"/>
      <c r="UZ85" s="325"/>
      <c r="VA85" s="325"/>
      <c r="VB85" s="325"/>
      <c r="VC85" s="325"/>
      <c r="VD85" s="325"/>
      <c r="VE85" s="325"/>
      <c r="VF85" s="325"/>
      <c r="VG85" s="325"/>
      <c r="VH85" s="325"/>
      <c r="VI85" s="325"/>
      <c r="VJ85" s="325"/>
      <c r="VK85" s="325"/>
      <c r="VL85" s="325"/>
      <c r="VM85" s="325"/>
      <c r="VN85" s="325"/>
      <c r="VO85" s="325"/>
      <c r="VP85" s="325"/>
      <c r="VQ85" s="325"/>
      <c r="VR85" s="325"/>
      <c r="VS85" s="325"/>
      <c r="VT85" s="325"/>
      <c r="VU85" s="325"/>
      <c r="VV85" s="325"/>
      <c r="VW85" s="325"/>
      <c r="VX85" s="325"/>
      <c r="VY85" s="325"/>
      <c r="VZ85" s="325"/>
      <c r="WA85" s="325"/>
      <c r="WB85" s="325"/>
      <c r="WC85" s="325"/>
      <c r="WD85" s="325"/>
      <c r="WE85" s="325"/>
      <c r="WF85" s="325"/>
      <c r="WG85" s="325"/>
      <c r="WH85" s="325"/>
      <c r="WI85" s="325"/>
      <c r="WJ85" s="325"/>
      <c r="WK85" s="325"/>
      <c r="WL85" s="325"/>
      <c r="WM85" s="325"/>
      <c r="WN85" s="325"/>
      <c r="WO85" s="325"/>
      <c r="WP85" s="325"/>
      <c r="WQ85" s="325"/>
      <c r="WR85" s="325"/>
      <c r="WS85" s="325"/>
      <c r="WT85" s="325"/>
      <c r="WU85" s="325"/>
      <c r="WV85" s="325"/>
      <c r="WW85" s="325"/>
      <c r="WX85" s="325"/>
      <c r="WY85" s="325"/>
      <c r="WZ85" s="325"/>
      <c r="XA85" s="325"/>
      <c r="XB85" s="325"/>
      <c r="XC85" s="325"/>
      <c r="XD85" s="325"/>
      <c r="XE85" s="325"/>
      <c r="XF85" s="325"/>
      <c r="XG85" s="325"/>
      <c r="XH85" s="325"/>
      <c r="XI85" s="325"/>
      <c r="XJ85" s="325"/>
      <c r="XK85" s="325"/>
      <c r="XL85" s="325"/>
      <c r="XM85" s="325"/>
      <c r="XN85" s="325"/>
      <c r="XO85" s="325"/>
      <c r="XP85" s="325"/>
      <c r="XQ85" s="325"/>
      <c r="XR85" s="325"/>
      <c r="XS85" s="325"/>
      <c r="XT85" s="325"/>
      <c r="XU85" s="325"/>
      <c r="XV85" s="325"/>
      <c r="XW85" s="325"/>
      <c r="XX85" s="325"/>
      <c r="XY85" s="325"/>
      <c r="XZ85" s="325"/>
      <c r="YA85" s="325"/>
      <c r="YB85" s="325"/>
      <c r="YC85" s="325"/>
      <c r="YD85" s="325"/>
      <c r="YE85" s="325"/>
      <c r="YF85" s="325"/>
      <c r="YG85" s="325"/>
      <c r="YH85" s="325"/>
      <c r="YI85" s="325"/>
      <c r="YJ85" s="325"/>
      <c r="YK85" s="325"/>
      <c r="YL85" s="325"/>
      <c r="YM85" s="325"/>
      <c r="YN85" s="325"/>
      <c r="YO85" s="325"/>
      <c r="YP85" s="325"/>
      <c r="YQ85" s="325"/>
      <c r="YR85" s="325"/>
      <c r="YS85" s="325"/>
      <c r="YT85" s="325"/>
      <c r="YU85" s="325"/>
      <c r="YV85" s="325"/>
      <c r="YW85" s="325"/>
      <c r="YX85" s="325"/>
      <c r="YY85" s="325"/>
      <c r="YZ85" s="325"/>
      <c r="ZA85" s="325"/>
      <c r="ZB85" s="325"/>
      <c r="ZC85" s="325"/>
      <c r="ZD85" s="325"/>
      <c r="ZE85" s="325"/>
      <c r="ZF85" s="325"/>
      <c r="ZG85" s="325"/>
      <c r="ZH85" s="325"/>
      <c r="ZI85" s="325"/>
      <c r="ZJ85" s="325"/>
      <c r="ZK85" s="325"/>
      <c r="ZL85" s="325"/>
      <c r="ZM85" s="325"/>
      <c r="ZN85" s="325"/>
      <c r="ZO85" s="325"/>
      <c r="ZP85" s="325"/>
      <c r="ZQ85" s="325"/>
      <c r="ZR85" s="325"/>
      <c r="ZS85" s="325"/>
      <c r="ZT85" s="325"/>
      <c r="ZU85" s="325"/>
      <c r="ZV85" s="325"/>
      <c r="ZW85" s="325"/>
      <c r="ZX85" s="325"/>
      <c r="ZY85" s="325"/>
      <c r="ZZ85" s="325"/>
      <c r="AAA85" s="325"/>
      <c r="AAB85" s="325"/>
      <c r="AAC85" s="325"/>
      <c r="AAD85" s="325"/>
      <c r="AAE85" s="325"/>
      <c r="AAF85" s="325"/>
      <c r="AAG85" s="325"/>
      <c r="AAH85" s="325"/>
      <c r="AAI85" s="325"/>
      <c r="AAJ85" s="325"/>
      <c r="AAK85" s="325"/>
      <c r="AAL85" s="325"/>
      <c r="AAM85" s="325"/>
      <c r="AAN85" s="325"/>
      <c r="AAO85" s="325"/>
      <c r="AAP85" s="325"/>
      <c r="AAQ85" s="325"/>
      <c r="AAR85" s="325"/>
      <c r="AAS85" s="325"/>
      <c r="AAT85" s="325"/>
      <c r="AAU85" s="325"/>
      <c r="AAV85" s="325"/>
      <c r="AAW85" s="325"/>
      <c r="AAX85" s="325"/>
      <c r="AAY85" s="325"/>
      <c r="AAZ85" s="325"/>
      <c r="ABA85" s="325"/>
      <c r="ABB85" s="325"/>
      <c r="ABC85" s="325"/>
      <c r="ABD85" s="325"/>
      <c r="ABE85" s="325"/>
      <c r="ABF85" s="325"/>
      <c r="ABG85" s="325"/>
      <c r="ABH85" s="325"/>
      <c r="ABI85" s="325"/>
      <c r="ABJ85" s="325"/>
      <c r="ABK85" s="325"/>
      <c r="ABL85" s="325"/>
      <c r="ABM85" s="325"/>
      <c r="ABN85" s="325"/>
      <c r="ABO85" s="325"/>
      <c r="ABP85" s="325"/>
      <c r="ABQ85" s="325"/>
      <c r="ABR85" s="325"/>
      <c r="ABS85" s="325"/>
      <c r="ABT85" s="325"/>
      <c r="ABU85" s="325"/>
      <c r="ABV85" s="325"/>
      <c r="ABW85" s="325"/>
      <c r="ABX85" s="325"/>
      <c r="ABY85" s="325"/>
      <c r="ABZ85" s="325"/>
      <c r="ACA85" s="325"/>
      <c r="ACB85" s="325"/>
      <c r="ACC85" s="325"/>
      <c r="ACD85" s="325"/>
      <c r="ACE85" s="325"/>
      <c r="ACF85" s="325"/>
      <c r="ACG85" s="325"/>
      <c r="ACH85" s="325"/>
      <c r="ACI85" s="325"/>
      <c r="ACJ85" s="325"/>
      <c r="ACK85" s="325"/>
      <c r="ACL85" s="325"/>
      <c r="ACM85" s="325"/>
      <c r="ACN85" s="325"/>
      <c r="ACO85" s="325"/>
      <c r="ACP85" s="325"/>
      <c r="ACQ85" s="325"/>
      <c r="ACR85" s="325"/>
      <c r="ACS85" s="325"/>
      <c r="ACT85" s="325"/>
      <c r="ACU85" s="325"/>
      <c r="ACV85" s="325"/>
      <c r="ACW85" s="325"/>
      <c r="ACX85" s="325"/>
      <c r="ACY85" s="325"/>
      <c r="ACZ85" s="325"/>
      <c r="ADA85" s="325"/>
      <c r="ADB85" s="325"/>
      <c r="ADC85" s="325"/>
      <c r="ADD85" s="325"/>
      <c r="ADE85" s="325"/>
      <c r="ADF85" s="325"/>
      <c r="ADG85" s="325"/>
      <c r="ADH85" s="325"/>
      <c r="ADI85" s="325"/>
      <c r="ADJ85" s="325"/>
      <c r="ADK85" s="325"/>
      <c r="ADL85" s="325"/>
      <c r="ADM85" s="325"/>
      <c r="ADN85" s="325"/>
      <c r="ADO85" s="325"/>
      <c r="ADP85" s="325"/>
      <c r="ADQ85" s="325"/>
      <c r="ADR85" s="325"/>
      <c r="ADS85" s="325"/>
      <c r="ADT85" s="325"/>
      <c r="ADU85" s="325"/>
      <c r="ADV85" s="325"/>
      <c r="ADW85" s="325"/>
      <c r="ADX85" s="325"/>
      <c r="ADY85" s="325"/>
      <c r="ADZ85" s="325"/>
      <c r="AEA85" s="325"/>
      <c r="AEB85" s="325"/>
      <c r="AEC85" s="325"/>
      <c r="AED85" s="325"/>
      <c r="AEE85" s="325"/>
      <c r="AEF85" s="325"/>
      <c r="AEG85" s="325"/>
      <c r="AEH85" s="325"/>
      <c r="AEI85" s="325"/>
      <c r="AEJ85" s="325"/>
      <c r="AEK85" s="325"/>
      <c r="AEL85" s="325"/>
      <c r="AEM85" s="325"/>
      <c r="AEN85" s="325"/>
      <c r="AEO85" s="325"/>
      <c r="AEP85" s="325"/>
      <c r="AEQ85" s="325"/>
      <c r="AER85" s="325"/>
      <c r="AES85" s="325"/>
      <c r="AET85" s="325"/>
      <c r="AEU85" s="325"/>
      <c r="AEV85" s="325"/>
      <c r="AEW85" s="325"/>
      <c r="AEX85" s="325"/>
      <c r="AEY85" s="325"/>
      <c r="AEZ85" s="325"/>
      <c r="AFA85" s="325"/>
      <c r="AFB85" s="325"/>
      <c r="AFC85" s="325"/>
      <c r="AFD85" s="325"/>
      <c r="AFE85" s="325"/>
      <c r="AFF85" s="325"/>
      <c r="AFG85" s="325"/>
      <c r="AFH85" s="325"/>
      <c r="AFI85" s="325"/>
      <c r="AFJ85" s="325"/>
      <c r="AFK85" s="325"/>
      <c r="AFL85" s="325"/>
      <c r="AFM85" s="325"/>
      <c r="AFN85" s="325"/>
      <c r="AFO85" s="325"/>
      <c r="AFP85" s="325"/>
      <c r="AFQ85" s="325"/>
      <c r="AFR85" s="325"/>
      <c r="AFS85" s="325"/>
      <c r="AFT85" s="325"/>
      <c r="AFU85" s="325"/>
      <c r="AFV85" s="325"/>
      <c r="AFW85" s="325"/>
      <c r="AFX85" s="325"/>
      <c r="AFY85" s="325"/>
      <c r="AFZ85" s="325"/>
      <c r="AGA85" s="325"/>
      <c r="AGB85" s="325"/>
      <c r="AGC85" s="325"/>
      <c r="AGD85" s="325"/>
      <c r="AGE85" s="325"/>
      <c r="AGF85" s="325"/>
      <c r="AGG85" s="325"/>
      <c r="AGH85" s="325"/>
      <c r="AGI85" s="325"/>
      <c r="AGJ85" s="325"/>
      <c r="AGK85" s="325"/>
      <c r="AGL85" s="325"/>
      <c r="AGM85" s="325"/>
      <c r="AGN85" s="325"/>
      <c r="AGO85" s="325"/>
      <c r="AGP85" s="325"/>
      <c r="AGQ85" s="325"/>
      <c r="AGR85" s="325"/>
      <c r="AGS85" s="325"/>
      <c r="AGT85" s="325"/>
      <c r="AGU85" s="325"/>
      <c r="AGV85" s="325"/>
      <c r="AGW85" s="325"/>
      <c r="AGX85" s="325"/>
      <c r="AGY85" s="325"/>
      <c r="AGZ85" s="325"/>
      <c r="AHA85" s="325"/>
      <c r="AHB85" s="325"/>
      <c r="AHC85" s="325"/>
      <c r="AHD85" s="325"/>
      <c r="AHE85" s="325"/>
      <c r="AHF85" s="325"/>
      <c r="AHG85" s="325"/>
      <c r="AHH85" s="325"/>
      <c r="AHI85" s="325"/>
      <c r="AHJ85" s="325"/>
      <c r="AHK85" s="325"/>
      <c r="AHL85" s="325"/>
      <c r="AHM85" s="325"/>
      <c r="AHN85" s="325"/>
      <c r="AHO85" s="325"/>
      <c r="AHP85" s="325"/>
      <c r="AHQ85" s="325"/>
      <c r="AHR85" s="325"/>
      <c r="AHS85" s="325"/>
      <c r="AHT85" s="325"/>
      <c r="AHU85" s="325"/>
      <c r="AHV85" s="325"/>
      <c r="AHW85" s="325"/>
      <c r="AHX85" s="325"/>
      <c r="AHY85" s="325"/>
      <c r="AHZ85" s="325"/>
      <c r="AIA85" s="325"/>
      <c r="AIB85" s="325"/>
      <c r="AIC85" s="325"/>
      <c r="AID85" s="325"/>
      <c r="AIE85" s="325"/>
      <c r="AIF85" s="325"/>
      <c r="AIG85" s="325"/>
      <c r="AIH85" s="325"/>
      <c r="AII85" s="325"/>
      <c r="AIJ85" s="325"/>
      <c r="AIK85" s="325"/>
      <c r="AIL85" s="325"/>
      <c r="AIM85" s="325"/>
      <c r="AIN85" s="325"/>
      <c r="AIO85" s="325"/>
      <c r="AIP85" s="325"/>
      <c r="AIQ85" s="325"/>
      <c r="AIR85" s="325"/>
      <c r="AIS85" s="325"/>
      <c r="AIT85" s="325"/>
      <c r="AIU85" s="325"/>
      <c r="AIV85" s="325"/>
      <c r="AIW85" s="325"/>
      <c r="AIX85" s="325"/>
      <c r="AIY85" s="325"/>
      <c r="AIZ85" s="325"/>
      <c r="AJA85" s="325"/>
      <c r="AJB85" s="325"/>
      <c r="AJC85" s="325"/>
      <c r="AJD85" s="325"/>
      <c r="AJE85" s="325"/>
      <c r="AJF85" s="325"/>
      <c r="AJG85" s="325"/>
      <c r="AJH85" s="325"/>
      <c r="AJI85" s="325"/>
      <c r="AJJ85" s="325"/>
      <c r="AJK85" s="325"/>
      <c r="AJL85" s="325"/>
      <c r="AJM85" s="325"/>
      <c r="AJN85" s="325"/>
      <c r="AJO85" s="325"/>
      <c r="AJP85" s="325"/>
      <c r="AJQ85" s="325"/>
      <c r="AJR85" s="325"/>
      <c r="AJS85" s="325"/>
      <c r="AJT85" s="325"/>
      <c r="AJU85" s="325"/>
      <c r="AJV85" s="325"/>
      <c r="AJW85" s="325"/>
      <c r="AJX85" s="325"/>
      <c r="AJY85" s="325"/>
      <c r="AJZ85" s="325"/>
      <c r="AKA85" s="325"/>
      <c r="AKB85" s="325"/>
      <c r="AKC85" s="325"/>
      <c r="AKD85" s="325"/>
      <c r="AKE85" s="325"/>
      <c r="AKF85" s="325"/>
      <c r="AKG85" s="325"/>
      <c r="AKH85" s="325"/>
      <c r="AKI85" s="325"/>
      <c r="AKJ85" s="325"/>
      <c r="AKK85" s="325"/>
      <c r="AKL85" s="325"/>
      <c r="AKM85" s="325"/>
      <c r="AKN85" s="325"/>
      <c r="AKO85" s="325"/>
      <c r="AKP85" s="325"/>
      <c r="AKQ85" s="325"/>
      <c r="AKR85" s="325"/>
      <c r="AKS85" s="325"/>
      <c r="AKT85" s="325"/>
      <c r="AKU85" s="325"/>
      <c r="AKV85" s="325"/>
      <c r="AKW85" s="325"/>
      <c r="AKX85" s="325"/>
      <c r="AKY85" s="325"/>
      <c r="AKZ85" s="325"/>
      <c r="ALA85" s="325"/>
      <c r="ALB85" s="325"/>
      <c r="ALC85" s="325"/>
      <c r="ALD85" s="325"/>
      <c r="ALE85" s="325"/>
      <c r="ALF85" s="325"/>
      <c r="ALG85" s="325"/>
      <c r="ALH85" s="325"/>
      <c r="ALI85" s="325"/>
      <c r="ALJ85" s="325"/>
      <c r="ALK85" s="325"/>
      <c r="ALL85" s="325"/>
      <c r="ALM85" s="325"/>
      <c r="ALN85" s="325"/>
      <c r="ALO85" s="325"/>
      <c r="ALP85" s="325"/>
      <c r="ALQ85" s="325"/>
      <c r="ALR85" s="325"/>
      <c r="ALS85" s="325"/>
      <c r="ALT85" s="325"/>
      <c r="ALU85" s="325"/>
      <c r="ALV85" s="325"/>
      <c r="ALW85" s="325"/>
      <c r="ALX85" s="325"/>
      <c r="ALY85" s="325"/>
      <c r="ALZ85" s="325"/>
      <c r="AMA85" s="325"/>
      <c r="AMB85" s="325"/>
      <c r="AMC85" s="325"/>
    </row>
    <row r="86" spans="3:1017" s="75" customFormat="1">
      <c r="C86" s="130"/>
      <c r="D86" s="130"/>
      <c r="CN86" s="225"/>
      <c r="CQ86" s="226"/>
      <c r="LD86" s="213"/>
      <c r="LH86" s="286"/>
      <c r="LI86" s="287"/>
      <c r="LJ86" s="124"/>
      <c r="LK86" s="124"/>
      <c r="LL86" s="124"/>
      <c r="LM86" s="124"/>
      <c r="LN86" s="124"/>
      <c r="LO86" s="124"/>
      <c r="LP86" s="124"/>
      <c r="LQ86" s="124"/>
      <c r="LR86" s="124"/>
      <c r="NE86" s="330"/>
      <c r="NF86" s="325"/>
      <c r="NG86" s="325"/>
      <c r="NH86" s="325"/>
      <c r="NI86" s="325"/>
      <c r="NJ86" s="325"/>
      <c r="NK86" s="325"/>
      <c r="NL86" s="325"/>
      <c r="NM86" s="325"/>
      <c r="NN86" s="325"/>
      <c r="NO86" s="325"/>
      <c r="NP86" s="325"/>
      <c r="NQ86" s="325"/>
      <c r="NR86" s="325"/>
      <c r="NS86" s="325"/>
      <c r="NT86" s="325"/>
      <c r="NU86" s="325"/>
      <c r="NV86" s="325"/>
      <c r="NW86" s="325"/>
      <c r="NX86" s="325"/>
      <c r="NY86" s="325"/>
      <c r="NZ86" s="325"/>
      <c r="OA86" s="325"/>
      <c r="OB86" s="325"/>
      <c r="OC86" s="325"/>
      <c r="OD86" s="325"/>
      <c r="OE86" s="325"/>
      <c r="OF86" s="325"/>
      <c r="OG86" s="325"/>
      <c r="OH86" s="325"/>
      <c r="OI86" s="325"/>
      <c r="OJ86" s="325"/>
      <c r="OK86" s="325"/>
      <c r="OL86" s="325"/>
      <c r="OM86" s="325"/>
      <c r="ON86" s="325"/>
      <c r="OO86" s="325"/>
      <c r="OP86" s="325"/>
      <c r="OQ86" s="325"/>
      <c r="OR86" s="325"/>
      <c r="OS86" s="325"/>
      <c r="OT86" s="325"/>
      <c r="OU86" s="325"/>
      <c r="OV86" s="325"/>
      <c r="OW86" s="325"/>
      <c r="OX86" s="325"/>
      <c r="OY86" s="325"/>
      <c r="OZ86" s="325"/>
      <c r="PA86" s="325"/>
      <c r="PB86" s="325"/>
      <c r="PC86" s="325"/>
      <c r="PD86" s="325"/>
      <c r="PE86" s="325"/>
      <c r="PF86" s="325"/>
      <c r="PG86" s="325"/>
      <c r="PH86" s="325"/>
      <c r="PI86" s="325"/>
      <c r="PJ86" s="325"/>
      <c r="PK86" s="325"/>
      <c r="PL86" s="325"/>
      <c r="PM86" s="325"/>
      <c r="PN86" s="325"/>
      <c r="PO86" s="325"/>
      <c r="PP86" s="325"/>
      <c r="PQ86" s="325"/>
      <c r="PR86" s="325"/>
      <c r="PS86" s="325"/>
      <c r="PT86" s="325"/>
      <c r="PU86" s="325"/>
      <c r="PV86" s="325"/>
      <c r="PW86" s="325"/>
      <c r="PX86" s="325"/>
      <c r="PY86" s="325"/>
      <c r="PZ86" s="325"/>
      <c r="QA86" s="325"/>
      <c r="QB86" s="325"/>
      <c r="QC86" s="325"/>
      <c r="QD86" s="325"/>
      <c r="QE86" s="325"/>
      <c r="QF86" s="325"/>
      <c r="QG86" s="325"/>
      <c r="QH86" s="325"/>
      <c r="QI86" s="325"/>
      <c r="QJ86" s="325"/>
      <c r="QK86" s="325"/>
      <c r="QL86" s="325"/>
      <c r="QM86" s="325"/>
      <c r="QN86" s="325"/>
      <c r="QO86" s="325"/>
      <c r="QP86" s="325"/>
      <c r="QQ86" s="325"/>
      <c r="QR86" s="325"/>
      <c r="QS86" s="325"/>
      <c r="QT86" s="325"/>
      <c r="QU86" s="325"/>
      <c r="QV86" s="325"/>
      <c r="QW86" s="325"/>
      <c r="QX86" s="325"/>
      <c r="QY86" s="325"/>
      <c r="QZ86" s="325"/>
      <c r="RA86" s="325"/>
      <c r="RB86" s="325"/>
      <c r="RC86" s="325"/>
      <c r="RD86" s="325"/>
      <c r="RE86" s="325"/>
      <c r="RF86" s="325"/>
      <c r="RG86" s="325"/>
      <c r="RH86" s="325"/>
      <c r="RI86" s="325"/>
      <c r="RJ86" s="325"/>
      <c r="RK86" s="325"/>
      <c r="RL86" s="325"/>
      <c r="RM86" s="325"/>
      <c r="RN86" s="325"/>
      <c r="RO86" s="325"/>
      <c r="RP86" s="325"/>
      <c r="RQ86" s="325"/>
      <c r="RR86" s="325"/>
      <c r="RS86" s="325"/>
      <c r="RT86" s="325"/>
      <c r="RU86" s="325"/>
      <c r="RV86" s="325"/>
      <c r="RW86" s="325"/>
      <c r="RX86" s="325"/>
      <c r="RY86" s="325"/>
      <c r="RZ86" s="325"/>
      <c r="SA86" s="325"/>
      <c r="SB86" s="325"/>
      <c r="SC86" s="325"/>
      <c r="SD86" s="325"/>
      <c r="SE86" s="325"/>
      <c r="SF86" s="325"/>
      <c r="SG86" s="325"/>
      <c r="SH86" s="325"/>
      <c r="SI86" s="325"/>
      <c r="SJ86" s="325"/>
      <c r="SK86" s="325"/>
      <c r="SL86" s="325"/>
      <c r="SM86" s="325"/>
      <c r="SN86" s="325"/>
      <c r="SO86" s="325"/>
      <c r="SP86" s="325"/>
      <c r="SQ86" s="325"/>
      <c r="SR86" s="325"/>
      <c r="SS86" s="325"/>
      <c r="ST86" s="325"/>
      <c r="SU86" s="325"/>
      <c r="SV86" s="325"/>
      <c r="SW86" s="325"/>
      <c r="SX86" s="325"/>
      <c r="SY86" s="325"/>
      <c r="SZ86" s="325"/>
      <c r="TA86" s="325"/>
      <c r="TB86" s="325"/>
      <c r="TC86" s="325"/>
      <c r="TD86" s="325"/>
      <c r="TE86" s="325"/>
      <c r="TF86" s="325"/>
      <c r="TG86" s="325"/>
      <c r="TH86" s="325"/>
      <c r="TI86" s="325"/>
      <c r="TJ86" s="325"/>
      <c r="TK86" s="325"/>
      <c r="TL86" s="325"/>
      <c r="TM86" s="325"/>
      <c r="TN86" s="325"/>
      <c r="TO86" s="325"/>
      <c r="TP86" s="325"/>
      <c r="TQ86" s="325"/>
      <c r="TR86" s="325"/>
      <c r="TS86" s="325"/>
      <c r="TT86" s="325"/>
      <c r="TU86" s="325"/>
      <c r="TV86" s="325"/>
      <c r="TW86" s="325"/>
      <c r="TX86" s="325"/>
      <c r="TY86" s="325"/>
      <c r="TZ86" s="325"/>
      <c r="UA86" s="325"/>
      <c r="UB86" s="325"/>
      <c r="UC86" s="325"/>
      <c r="UD86" s="325"/>
      <c r="UE86" s="325"/>
      <c r="UF86" s="325"/>
      <c r="UG86" s="325"/>
      <c r="UH86" s="325"/>
      <c r="UI86" s="325"/>
      <c r="UJ86" s="325"/>
      <c r="UK86" s="325"/>
      <c r="UL86" s="325"/>
      <c r="UM86" s="325"/>
      <c r="UN86" s="325"/>
      <c r="UO86" s="325"/>
      <c r="UP86" s="325"/>
      <c r="UQ86" s="325"/>
      <c r="UR86" s="325"/>
      <c r="US86" s="325"/>
      <c r="UT86" s="325"/>
      <c r="UU86" s="325"/>
      <c r="UV86" s="325"/>
      <c r="UW86" s="325"/>
      <c r="UX86" s="325"/>
      <c r="UY86" s="325"/>
      <c r="UZ86" s="325"/>
      <c r="VA86" s="325"/>
      <c r="VB86" s="325"/>
      <c r="VC86" s="325"/>
      <c r="VD86" s="325"/>
      <c r="VE86" s="325"/>
      <c r="VF86" s="325"/>
      <c r="VG86" s="325"/>
      <c r="VH86" s="325"/>
      <c r="VI86" s="325"/>
      <c r="VJ86" s="325"/>
      <c r="VK86" s="325"/>
      <c r="VL86" s="325"/>
      <c r="VM86" s="325"/>
      <c r="VN86" s="325"/>
      <c r="VO86" s="325"/>
      <c r="VP86" s="325"/>
      <c r="VQ86" s="325"/>
      <c r="VR86" s="325"/>
      <c r="VS86" s="325"/>
      <c r="VT86" s="325"/>
      <c r="VU86" s="325"/>
      <c r="VV86" s="325"/>
      <c r="VW86" s="325"/>
      <c r="VX86" s="325"/>
      <c r="VY86" s="325"/>
      <c r="VZ86" s="325"/>
      <c r="WA86" s="325"/>
      <c r="WB86" s="325"/>
      <c r="WC86" s="325"/>
      <c r="WD86" s="325"/>
      <c r="WE86" s="325"/>
      <c r="WF86" s="325"/>
      <c r="WG86" s="325"/>
      <c r="WH86" s="325"/>
      <c r="WI86" s="325"/>
      <c r="WJ86" s="325"/>
      <c r="WK86" s="325"/>
      <c r="WL86" s="325"/>
      <c r="WM86" s="325"/>
      <c r="WN86" s="325"/>
      <c r="WO86" s="325"/>
      <c r="WP86" s="325"/>
      <c r="WQ86" s="325"/>
      <c r="WR86" s="325"/>
      <c r="WS86" s="325"/>
      <c r="WT86" s="325"/>
      <c r="WU86" s="325"/>
      <c r="WV86" s="325"/>
      <c r="WW86" s="325"/>
      <c r="WX86" s="325"/>
      <c r="WY86" s="325"/>
      <c r="WZ86" s="325"/>
      <c r="XA86" s="325"/>
      <c r="XB86" s="325"/>
      <c r="XC86" s="325"/>
      <c r="XD86" s="325"/>
      <c r="XE86" s="325"/>
      <c r="XF86" s="325"/>
      <c r="XG86" s="325"/>
      <c r="XH86" s="325"/>
      <c r="XI86" s="325"/>
      <c r="XJ86" s="325"/>
      <c r="XK86" s="325"/>
      <c r="XL86" s="325"/>
      <c r="XM86" s="325"/>
      <c r="XN86" s="325"/>
      <c r="XO86" s="325"/>
      <c r="XP86" s="325"/>
      <c r="XQ86" s="325"/>
      <c r="XR86" s="325"/>
      <c r="XS86" s="325"/>
      <c r="XT86" s="325"/>
      <c r="XU86" s="325"/>
      <c r="XV86" s="325"/>
      <c r="XW86" s="325"/>
      <c r="XX86" s="325"/>
      <c r="XY86" s="325"/>
      <c r="XZ86" s="325"/>
      <c r="YA86" s="325"/>
      <c r="YB86" s="325"/>
      <c r="YC86" s="325"/>
      <c r="YD86" s="325"/>
      <c r="YE86" s="325"/>
      <c r="YF86" s="325"/>
      <c r="YG86" s="325"/>
      <c r="YH86" s="325"/>
      <c r="YI86" s="325"/>
      <c r="YJ86" s="325"/>
      <c r="YK86" s="325"/>
      <c r="YL86" s="325"/>
      <c r="YM86" s="325"/>
      <c r="YN86" s="325"/>
      <c r="YO86" s="325"/>
      <c r="YP86" s="325"/>
      <c r="YQ86" s="325"/>
      <c r="YR86" s="325"/>
      <c r="YS86" s="325"/>
      <c r="YT86" s="325"/>
      <c r="YU86" s="325"/>
      <c r="YV86" s="325"/>
      <c r="YW86" s="325"/>
      <c r="YX86" s="325"/>
      <c r="YY86" s="325"/>
      <c r="YZ86" s="325"/>
      <c r="ZA86" s="325"/>
      <c r="ZB86" s="325"/>
      <c r="ZC86" s="325"/>
      <c r="ZD86" s="325"/>
      <c r="ZE86" s="325"/>
      <c r="ZF86" s="325"/>
      <c r="ZG86" s="325"/>
      <c r="ZH86" s="325"/>
      <c r="ZI86" s="325"/>
      <c r="ZJ86" s="325"/>
      <c r="ZK86" s="325"/>
      <c r="ZL86" s="325"/>
      <c r="ZM86" s="325"/>
      <c r="ZN86" s="325"/>
      <c r="ZO86" s="325"/>
      <c r="ZP86" s="325"/>
      <c r="ZQ86" s="325"/>
      <c r="ZR86" s="325"/>
      <c r="ZS86" s="325"/>
      <c r="ZT86" s="325"/>
      <c r="ZU86" s="325"/>
      <c r="ZV86" s="325"/>
      <c r="ZW86" s="325"/>
      <c r="ZX86" s="325"/>
      <c r="ZY86" s="325"/>
      <c r="ZZ86" s="325"/>
      <c r="AAA86" s="325"/>
      <c r="AAB86" s="325"/>
      <c r="AAC86" s="325"/>
      <c r="AAD86" s="325"/>
      <c r="AAE86" s="325"/>
      <c r="AAF86" s="325"/>
      <c r="AAG86" s="325"/>
      <c r="AAH86" s="325"/>
      <c r="AAI86" s="325"/>
      <c r="AAJ86" s="325"/>
      <c r="AAK86" s="325"/>
      <c r="AAL86" s="325"/>
      <c r="AAM86" s="325"/>
      <c r="AAN86" s="325"/>
      <c r="AAO86" s="325"/>
      <c r="AAP86" s="325"/>
      <c r="AAQ86" s="325"/>
      <c r="AAR86" s="325"/>
      <c r="AAS86" s="325"/>
      <c r="AAT86" s="325"/>
      <c r="AAU86" s="325"/>
      <c r="AAV86" s="325"/>
      <c r="AAW86" s="325"/>
      <c r="AAX86" s="325"/>
      <c r="AAY86" s="325"/>
      <c r="AAZ86" s="325"/>
      <c r="ABA86" s="325"/>
      <c r="ABB86" s="325"/>
      <c r="ABC86" s="325"/>
      <c r="ABD86" s="325"/>
      <c r="ABE86" s="325"/>
      <c r="ABF86" s="325"/>
      <c r="ABG86" s="325"/>
      <c r="ABH86" s="325"/>
      <c r="ABI86" s="325"/>
      <c r="ABJ86" s="325"/>
      <c r="ABK86" s="325"/>
      <c r="ABL86" s="325"/>
      <c r="ABM86" s="325"/>
      <c r="ABN86" s="325"/>
      <c r="ABO86" s="325"/>
      <c r="ABP86" s="325"/>
      <c r="ABQ86" s="325"/>
      <c r="ABR86" s="325"/>
      <c r="ABS86" s="325"/>
      <c r="ABT86" s="325"/>
      <c r="ABU86" s="325"/>
      <c r="ABV86" s="325"/>
      <c r="ABW86" s="325"/>
      <c r="ABX86" s="325"/>
      <c r="ABY86" s="325"/>
      <c r="ABZ86" s="325"/>
      <c r="ACA86" s="325"/>
      <c r="ACB86" s="325"/>
      <c r="ACC86" s="325"/>
      <c r="ACD86" s="325"/>
      <c r="ACE86" s="325"/>
      <c r="ACF86" s="325"/>
      <c r="ACG86" s="325"/>
      <c r="ACH86" s="325"/>
      <c r="ACI86" s="325"/>
      <c r="ACJ86" s="325"/>
      <c r="ACK86" s="325"/>
      <c r="ACL86" s="325"/>
      <c r="ACM86" s="325"/>
      <c r="ACN86" s="325"/>
      <c r="ACO86" s="325"/>
      <c r="ACP86" s="325"/>
      <c r="ACQ86" s="325"/>
      <c r="ACR86" s="325"/>
      <c r="ACS86" s="325"/>
      <c r="ACT86" s="325"/>
      <c r="ACU86" s="325"/>
      <c r="ACV86" s="325"/>
      <c r="ACW86" s="325"/>
      <c r="ACX86" s="325"/>
      <c r="ACY86" s="325"/>
      <c r="ACZ86" s="325"/>
      <c r="ADA86" s="325"/>
      <c r="ADB86" s="325"/>
      <c r="ADC86" s="325"/>
      <c r="ADD86" s="325"/>
      <c r="ADE86" s="325"/>
      <c r="ADF86" s="325"/>
      <c r="ADG86" s="325"/>
      <c r="ADH86" s="325"/>
      <c r="ADI86" s="325"/>
      <c r="ADJ86" s="325"/>
      <c r="ADK86" s="325"/>
      <c r="ADL86" s="325"/>
      <c r="ADM86" s="325"/>
      <c r="ADN86" s="325"/>
      <c r="ADO86" s="325"/>
      <c r="ADP86" s="325"/>
      <c r="ADQ86" s="325"/>
      <c r="ADR86" s="325"/>
      <c r="ADS86" s="325"/>
      <c r="ADT86" s="325"/>
      <c r="ADU86" s="325"/>
      <c r="ADV86" s="325"/>
      <c r="ADW86" s="325"/>
      <c r="ADX86" s="325"/>
      <c r="ADY86" s="325"/>
      <c r="ADZ86" s="325"/>
      <c r="AEA86" s="325"/>
      <c r="AEB86" s="325"/>
      <c r="AEC86" s="325"/>
      <c r="AED86" s="325"/>
      <c r="AEE86" s="325"/>
      <c r="AEF86" s="325"/>
      <c r="AEG86" s="325"/>
      <c r="AEH86" s="325"/>
      <c r="AEI86" s="325"/>
      <c r="AEJ86" s="325"/>
      <c r="AEK86" s="325"/>
      <c r="AEL86" s="325"/>
      <c r="AEM86" s="325"/>
      <c r="AEN86" s="325"/>
      <c r="AEO86" s="325"/>
      <c r="AEP86" s="325"/>
      <c r="AEQ86" s="325"/>
      <c r="AER86" s="325"/>
      <c r="AES86" s="325"/>
      <c r="AET86" s="325"/>
      <c r="AEU86" s="325"/>
      <c r="AEV86" s="325"/>
      <c r="AEW86" s="325"/>
      <c r="AEX86" s="325"/>
      <c r="AEY86" s="325"/>
      <c r="AEZ86" s="325"/>
      <c r="AFA86" s="325"/>
      <c r="AFB86" s="325"/>
      <c r="AFC86" s="325"/>
      <c r="AFD86" s="325"/>
      <c r="AFE86" s="325"/>
      <c r="AFF86" s="325"/>
      <c r="AFG86" s="325"/>
      <c r="AFH86" s="325"/>
      <c r="AFI86" s="325"/>
      <c r="AFJ86" s="325"/>
      <c r="AFK86" s="325"/>
      <c r="AFL86" s="325"/>
      <c r="AFM86" s="325"/>
      <c r="AFN86" s="325"/>
      <c r="AFO86" s="325"/>
      <c r="AFP86" s="325"/>
      <c r="AFQ86" s="325"/>
      <c r="AFR86" s="325"/>
      <c r="AFS86" s="325"/>
      <c r="AFT86" s="325"/>
      <c r="AFU86" s="325"/>
      <c r="AFV86" s="325"/>
      <c r="AFW86" s="325"/>
      <c r="AFX86" s="325"/>
      <c r="AFY86" s="325"/>
      <c r="AFZ86" s="325"/>
      <c r="AGA86" s="325"/>
      <c r="AGB86" s="325"/>
      <c r="AGC86" s="325"/>
      <c r="AGD86" s="325"/>
      <c r="AGE86" s="325"/>
      <c r="AGF86" s="325"/>
      <c r="AGG86" s="325"/>
      <c r="AGH86" s="325"/>
      <c r="AGI86" s="325"/>
      <c r="AGJ86" s="325"/>
      <c r="AGK86" s="325"/>
      <c r="AGL86" s="325"/>
      <c r="AGM86" s="325"/>
      <c r="AGN86" s="325"/>
      <c r="AGO86" s="325"/>
      <c r="AGP86" s="325"/>
      <c r="AGQ86" s="325"/>
      <c r="AGR86" s="325"/>
      <c r="AGS86" s="325"/>
      <c r="AGT86" s="325"/>
      <c r="AGU86" s="325"/>
      <c r="AGV86" s="325"/>
      <c r="AGW86" s="325"/>
      <c r="AGX86" s="325"/>
      <c r="AGY86" s="325"/>
      <c r="AGZ86" s="325"/>
      <c r="AHA86" s="325"/>
      <c r="AHB86" s="325"/>
      <c r="AHC86" s="325"/>
      <c r="AHD86" s="325"/>
      <c r="AHE86" s="325"/>
      <c r="AHF86" s="325"/>
      <c r="AHG86" s="325"/>
      <c r="AHH86" s="325"/>
      <c r="AHI86" s="325"/>
      <c r="AHJ86" s="325"/>
      <c r="AHK86" s="325"/>
      <c r="AHL86" s="325"/>
      <c r="AHM86" s="325"/>
      <c r="AHN86" s="325"/>
      <c r="AHO86" s="325"/>
      <c r="AHP86" s="325"/>
      <c r="AHQ86" s="325"/>
      <c r="AHR86" s="325"/>
      <c r="AHS86" s="325"/>
      <c r="AHT86" s="325"/>
      <c r="AHU86" s="325"/>
      <c r="AHV86" s="325"/>
      <c r="AHW86" s="325"/>
      <c r="AHX86" s="325"/>
      <c r="AHY86" s="325"/>
      <c r="AHZ86" s="325"/>
      <c r="AIA86" s="325"/>
      <c r="AIB86" s="325"/>
      <c r="AIC86" s="325"/>
      <c r="AID86" s="325"/>
      <c r="AIE86" s="325"/>
      <c r="AIF86" s="325"/>
      <c r="AIG86" s="325"/>
      <c r="AIH86" s="325"/>
      <c r="AII86" s="325"/>
      <c r="AIJ86" s="325"/>
      <c r="AIK86" s="325"/>
      <c r="AIL86" s="325"/>
      <c r="AIM86" s="325"/>
      <c r="AIN86" s="325"/>
      <c r="AIO86" s="325"/>
      <c r="AIP86" s="325"/>
      <c r="AIQ86" s="325"/>
      <c r="AIR86" s="325"/>
      <c r="AIS86" s="325"/>
      <c r="AIT86" s="325"/>
      <c r="AIU86" s="325"/>
      <c r="AIV86" s="325"/>
      <c r="AIW86" s="325"/>
      <c r="AIX86" s="325"/>
      <c r="AIY86" s="325"/>
      <c r="AIZ86" s="325"/>
      <c r="AJA86" s="325"/>
      <c r="AJB86" s="325"/>
      <c r="AJC86" s="325"/>
      <c r="AJD86" s="325"/>
      <c r="AJE86" s="325"/>
      <c r="AJF86" s="325"/>
      <c r="AJG86" s="325"/>
      <c r="AJH86" s="325"/>
      <c r="AJI86" s="325"/>
      <c r="AJJ86" s="325"/>
      <c r="AJK86" s="325"/>
      <c r="AJL86" s="325"/>
      <c r="AJM86" s="325"/>
      <c r="AJN86" s="325"/>
      <c r="AJO86" s="325"/>
      <c r="AJP86" s="325"/>
      <c r="AJQ86" s="325"/>
      <c r="AJR86" s="325"/>
      <c r="AJS86" s="325"/>
      <c r="AJT86" s="325"/>
      <c r="AJU86" s="325"/>
      <c r="AJV86" s="325"/>
      <c r="AJW86" s="325"/>
      <c r="AJX86" s="325"/>
      <c r="AJY86" s="325"/>
      <c r="AJZ86" s="325"/>
      <c r="AKA86" s="325"/>
      <c r="AKB86" s="325"/>
      <c r="AKC86" s="325"/>
      <c r="AKD86" s="325"/>
      <c r="AKE86" s="325"/>
      <c r="AKF86" s="325"/>
      <c r="AKG86" s="325"/>
      <c r="AKH86" s="325"/>
      <c r="AKI86" s="325"/>
      <c r="AKJ86" s="325"/>
      <c r="AKK86" s="325"/>
      <c r="AKL86" s="325"/>
      <c r="AKM86" s="325"/>
      <c r="AKN86" s="325"/>
      <c r="AKO86" s="325"/>
      <c r="AKP86" s="325"/>
      <c r="AKQ86" s="325"/>
      <c r="AKR86" s="325"/>
      <c r="AKS86" s="325"/>
      <c r="AKT86" s="325"/>
      <c r="AKU86" s="325"/>
      <c r="AKV86" s="325"/>
      <c r="AKW86" s="325"/>
      <c r="AKX86" s="325"/>
      <c r="AKY86" s="325"/>
      <c r="AKZ86" s="325"/>
      <c r="ALA86" s="325"/>
      <c r="ALB86" s="325"/>
      <c r="ALC86" s="325"/>
      <c r="ALD86" s="325"/>
      <c r="ALE86" s="325"/>
      <c r="ALF86" s="325"/>
      <c r="ALG86" s="325"/>
      <c r="ALH86" s="325"/>
      <c r="ALI86" s="325"/>
      <c r="ALJ86" s="325"/>
      <c r="ALK86" s="325"/>
      <c r="ALL86" s="325"/>
      <c r="ALM86" s="325"/>
      <c r="ALN86" s="325"/>
      <c r="ALO86" s="325"/>
      <c r="ALP86" s="325"/>
      <c r="ALQ86" s="325"/>
      <c r="ALR86" s="325"/>
      <c r="ALS86" s="325"/>
      <c r="ALT86" s="325"/>
      <c r="ALU86" s="325"/>
      <c r="ALV86" s="325"/>
      <c r="ALW86" s="325"/>
      <c r="ALX86" s="325"/>
      <c r="ALY86" s="325"/>
      <c r="ALZ86" s="325"/>
      <c r="AMA86" s="325"/>
      <c r="AMB86" s="325"/>
      <c r="AMC86" s="325"/>
    </row>
    <row r="87" spans="3:1017" s="75" customFormat="1">
      <c r="C87" s="130"/>
      <c r="D87" s="130"/>
      <c r="CN87" s="225"/>
      <c r="CQ87" s="226"/>
      <c r="LD87" s="213"/>
      <c r="LH87" s="286"/>
      <c r="LI87" s="287"/>
      <c r="LJ87" s="124"/>
      <c r="LK87" s="124"/>
      <c r="LL87" s="124"/>
      <c r="LM87" s="124"/>
      <c r="LN87" s="124"/>
      <c r="LO87" s="124"/>
      <c r="LP87" s="124"/>
      <c r="LQ87" s="124"/>
      <c r="LR87" s="124"/>
      <c r="NE87" s="330"/>
      <c r="NF87" s="325"/>
      <c r="NG87" s="325"/>
      <c r="NH87" s="325"/>
      <c r="NI87" s="325"/>
      <c r="NJ87" s="325"/>
      <c r="NK87" s="325"/>
      <c r="NL87" s="325"/>
      <c r="NM87" s="325"/>
      <c r="NN87" s="325"/>
      <c r="NO87" s="325"/>
      <c r="NP87" s="325"/>
      <c r="NQ87" s="325"/>
      <c r="NR87" s="325"/>
      <c r="NS87" s="325"/>
      <c r="NT87" s="325"/>
      <c r="NU87" s="325"/>
      <c r="NV87" s="325"/>
      <c r="NW87" s="325"/>
      <c r="NX87" s="325"/>
      <c r="NY87" s="325"/>
      <c r="NZ87" s="325"/>
      <c r="OA87" s="325"/>
      <c r="OB87" s="325"/>
      <c r="OC87" s="325"/>
      <c r="OD87" s="325"/>
      <c r="OE87" s="325"/>
      <c r="OF87" s="325"/>
      <c r="OG87" s="325"/>
      <c r="OH87" s="325"/>
      <c r="OI87" s="325"/>
      <c r="OJ87" s="325"/>
      <c r="OK87" s="325"/>
      <c r="OL87" s="325"/>
      <c r="OM87" s="325"/>
      <c r="ON87" s="325"/>
      <c r="OO87" s="325"/>
      <c r="OP87" s="325"/>
      <c r="OQ87" s="325"/>
      <c r="OR87" s="325"/>
      <c r="OS87" s="325"/>
      <c r="OT87" s="325"/>
      <c r="OU87" s="325"/>
      <c r="OV87" s="325"/>
      <c r="OW87" s="325"/>
      <c r="OX87" s="325"/>
      <c r="OY87" s="325"/>
      <c r="OZ87" s="325"/>
      <c r="PA87" s="325"/>
      <c r="PB87" s="325"/>
      <c r="PC87" s="325"/>
      <c r="PD87" s="325"/>
      <c r="PE87" s="325"/>
      <c r="PF87" s="325"/>
      <c r="PG87" s="325"/>
      <c r="PH87" s="325"/>
      <c r="PI87" s="325"/>
      <c r="PJ87" s="325"/>
      <c r="PK87" s="325"/>
      <c r="PL87" s="325"/>
      <c r="PM87" s="325"/>
      <c r="PN87" s="325"/>
      <c r="PO87" s="325"/>
      <c r="PP87" s="325"/>
      <c r="PQ87" s="325"/>
      <c r="PR87" s="325"/>
      <c r="PS87" s="325"/>
      <c r="PT87" s="325"/>
      <c r="PU87" s="325"/>
      <c r="PV87" s="325"/>
      <c r="PW87" s="325"/>
      <c r="PX87" s="325"/>
      <c r="PY87" s="325"/>
      <c r="PZ87" s="325"/>
      <c r="QA87" s="325"/>
      <c r="QB87" s="325"/>
      <c r="QC87" s="325"/>
      <c r="QD87" s="325"/>
      <c r="QE87" s="325"/>
      <c r="QF87" s="325"/>
      <c r="QG87" s="325"/>
      <c r="QH87" s="325"/>
      <c r="QI87" s="325"/>
      <c r="QJ87" s="325"/>
      <c r="QK87" s="325"/>
      <c r="QL87" s="325"/>
      <c r="QM87" s="325"/>
      <c r="QN87" s="325"/>
      <c r="QO87" s="325"/>
      <c r="QP87" s="325"/>
      <c r="QQ87" s="325"/>
      <c r="QR87" s="325"/>
      <c r="QS87" s="325"/>
      <c r="QT87" s="325"/>
      <c r="QU87" s="325"/>
      <c r="QV87" s="325"/>
      <c r="QW87" s="325"/>
      <c r="QX87" s="325"/>
      <c r="QY87" s="325"/>
      <c r="QZ87" s="325"/>
      <c r="RA87" s="325"/>
      <c r="RB87" s="325"/>
      <c r="RC87" s="325"/>
      <c r="RD87" s="325"/>
      <c r="RE87" s="325"/>
      <c r="RF87" s="325"/>
      <c r="RG87" s="325"/>
      <c r="RH87" s="325"/>
      <c r="RI87" s="325"/>
      <c r="RJ87" s="325"/>
      <c r="RK87" s="325"/>
      <c r="RL87" s="325"/>
      <c r="RM87" s="325"/>
      <c r="RN87" s="325"/>
      <c r="RO87" s="325"/>
      <c r="RP87" s="325"/>
      <c r="RQ87" s="325"/>
      <c r="RR87" s="325"/>
      <c r="RS87" s="325"/>
      <c r="RT87" s="325"/>
      <c r="RU87" s="325"/>
      <c r="RV87" s="325"/>
      <c r="RW87" s="325"/>
      <c r="RX87" s="325"/>
      <c r="RY87" s="325"/>
      <c r="RZ87" s="325"/>
      <c r="SA87" s="325"/>
      <c r="SB87" s="325"/>
      <c r="SC87" s="325"/>
      <c r="SD87" s="325"/>
      <c r="SE87" s="325"/>
      <c r="SF87" s="325"/>
      <c r="SG87" s="325"/>
      <c r="SH87" s="325"/>
      <c r="SI87" s="325"/>
      <c r="SJ87" s="325"/>
      <c r="SK87" s="325"/>
      <c r="SL87" s="325"/>
      <c r="SM87" s="325"/>
      <c r="SN87" s="325"/>
      <c r="SO87" s="325"/>
      <c r="SP87" s="325"/>
      <c r="SQ87" s="325"/>
      <c r="SR87" s="325"/>
      <c r="SS87" s="325"/>
      <c r="ST87" s="325"/>
      <c r="SU87" s="325"/>
      <c r="SV87" s="325"/>
      <c r="SW87" s="325"/>
      <c r="SX87" s="325"/>
      <c r="SY87" s="325"/>
      <c r="SZ87" s="325"/>
      <c r="TA87" s="325"/>
      <c r="TB87" s="325"/>
      <c r="TC87" s="325"/>
      <c r="TD87" s="325"/>
      <c r="TE87" s="325"/>
      <c r="TF87" s="325"/>
      <c r="TG87" s="325"/>
      <c r="TH87" s="325"/>
      <c r="TI87" s="325"/>
      <c r="TJ87" s="325"/>
      <c r="TK87" s="325"/>
      <c r="TL87" s="325"/>
      <c r="TM87" s="325"/>
      <c r="TN87" s="325"/>
      <c r="TO87" s="325"/>
      <c r="TP87" s="325"/>
      <c r="TQ87" s="325"/>
      <c r="TR87" s="325"/>
      <c r="TS87" s="325"/>
      <c r="TT87" s="325"/>
      <c r="TU87" s="325"/>
      <c r="TV87" s="325"/>
      <c r="TW87" s="325"/>
      <c r="TX87" s="325"/>
      <c r="TY87" s="325"/>
      <c r="TZ87" s="325"/>
      <c r="UA87" s="325"/>
      <c r="UB87" s="325"/>
      <c r="UC87" s="325"/>
      <c r="UD87" s="325"/>
      <c r="UE87" s="325"/>
      <c r="UF87" s="325"/>
      <c r="UG87" s="325"/>
      <c r="UH87" s="325"/>
      <c r="UI87" s="325"/>
      <c r="UJ87" s="325"/>
      <c r="UK87" s="325"/>
      <c r="UL87" s="325"/>
      <c r="UM87" s="325"/>
      <c r="UN87" s="325"/>
      <c r="UO87" s="325"/>
      <c r="UP87" s="325"/>
      <c r="UQ87" s="325"/>
      <c r="UR87" s="325"/>
      <c r="US87" s="325"/>
      <c r="UT87" s="325"/>
      <c r="UU87" s="325"/>
      <c r="UV87" s="325"/>
      <c r="UW87" s="325"/>
      <c r="UX87" s="325"/>
      <c r="UY87" s="325"/>
      <c r="UZ87" s="325"/>
      <c r="VA87" s="325"/>
      <c r="VB87" s="325"/>
      <c r="VC87" s="325"/>
      <c r="VD87" s="325"/>
      <c r="VE87" s="325"/>
      <c r="VF87" s="325"/>
      <c r="VG87" s="325"/>
      <c r="VH87" s="325"/>
      <c r="VI87" s="325"/>
      <c r="VJ87" s="325"/>
      <c r="VK87" s="325"/>
      <c r="VL87" s="325"/>
      <c r="VM87" s="325"/>
      <c r="VN87" s="325"/>
      <c r="VO87" s="325"/>
      <c r="VP87" s="325"/>
      <c r="VQ87" s="325"/>
      <c r="VR87" s="325"/>
      <c r="VS87" s="325"/>
      <c r="VT87" s="325"/>
      <c r="VU87" s="325"/>
      <c r="VV87" s="325"/>
      <c r="VW87" s="325"/>
      <c r="VX87" s="325"/>
      <c r="VY87" s="325"/>
      <c r="VZ87" s="325"/>
      <c r="WA87" s="325"/>
      <c r="WB87" s="325"/>
      <c r="WC87" s="325"/>
      <c r="WD87" s="325"/>
      <c r="WE87" s="325"/>
      <c r="WF87" s="325"/>
      <c r="WG87" s="325"/>
      <c r="WH87" s="325"/>
      <c r="WI87" s="325"/>
      <c r="WJ87" s="325"/>
      <c r="WK87" s="325"/>
      <c r="WL87" s="325"/>
      <c r="WM87" s="325"/>
      <c r="WN87" s="325"/>
      <c r="WO87" s="325"/>
      <c r="WP87" s="325"/>
      <c r="WQ87" s="325"/>
      <c r="WR87" s="325"/>
      <c r="WS87" s="325"/>
      <c r="WT87" s="325"/>
      <c r="WU87" s="325"/>
      <c r="WV87" s="325"/>
      <c r="WW87" s="325"/>
      <c r="WX87" s="325"/>
      <c r="WY87" s="325"/>
      <c r="WZ87" s="325"/>
      <c r="XA87" s="325"/>
      <c r="XB87" s="325"/>
      <c r="XC87" s="325"/>
      <c r="XD87" s="325"/>
      <c r="XE87" s="325"/>
      <c r="XF87" s="325"/>
      <c r="XG87" s="325"/>
      <c r="XH87" s="325"/>
      <c r="XI87" s="325"/>
      <c r="XJ87" s="325"/>
      <c r="XK87" s="325"/>
      <c r="XL87" s="325"/>
      <c r="XM87" s="325"/>
      <c r="XN87" s="325"/>
      <c r="XO87" s="325"/>
      <c r="XP87" s="325"/>
      <c r="XQ87" s="325"/>
      <c r="XR87" s="325"/>
      <c r="XS87" s="325"/>
      <c r="XT87" s="325"/>
      <c r="XU87" s="325"/>
      <c r="XV87" s="325"/>
      <c r="XW87" s="325"/>
      <c r="XX87" s="325"/>
      <c r="XY87" s="325"/>
      <c r="XZ87" s="325"/>
      <c r="YA87" s="325"/>
      <c r="YB87" s="325"/>
      <c r="YC87" s="325"/>
      <c r="YD87" s="325"/>
      <c r="YE87" s="325"/>
      <c r="YF87" s="325"/>
      <c r="YG87" s="325"/>
      <c r="YH87" s="325"/>
      <c r="YI87" s="325"/>
      <c r="YJ87" s="325"/>
      <c r="YK87" s="325"/>
      <c r="YL87" s="325"/>
      <c r="YM87" s="325"/>
      <c r="YN87" s="325"/>
      <c r="YO87" s="325"/>
      <c r="YP87" s="325"/>
      <c r="YQ87" s="325"/>
      <c r="YR87" s="325"/>
      <c r="YS87" s="325"/>
      <c r="YT87" s="325"/>
      <c r="YU87" s="325"/>
      <c r="YV87" s="325"/>
      <c r="YW87" s="325"/>
      <c r="YX87" s="325"/>
      <c r="YY87" s="325"/>
      <c r="YZ87" s="325"/>
      <c r="ZA87" s="325"/>
      <c r="ZB87" s="325"/>
      <c r="ZC87" s="325"/>
      <c r="ZD87" s="325"/>
      <c r="ZE87" s="325"/>
      <c r="ZF87" s="325"/>
      <c r="ZG87" s="325"/>
      <c r="ZH87" s="325"/>
      <c r="ZI87" s="325"/>
      <c r="ZJ87" s="325"/>
      <c r="ZK87" s="325"/>
      <c r="ZL87" s="325"/>
      <c r="ZM87" s="325"/>
      <c r="ZN87" s="325"/>
      <c r="ZO87" s="325"/>
      <c r="ZP87" s="325"/>
      <c r="ZQ87" s="325"/>
      <c r="ZR87" s="325"/>
      <c r="ZS87" s="325"/>
      <c r="ZT87" s="325"/>
      <c r="ZU87" s="325"/>
      <c r="ZV87" s="325"/>
      <c r="ZW87" s="325"/>
      <c r="ZX87" s="325"/>
      <c r="ZY87" s="325"/>
      <c r="ZZ87" s="325"/>
      <c r="AAA87" s="325"/>
      <c r="AAB87" s="325"/>
      <c r="AAC87" s="325"/>
      <c r="AAD87" s="325"/>
      <c r="AAE87" s="325"/>
      <c r="AAF87" s="325"/>
      <c r="AAG87" s="325"/>
      <c r="AAH87" s="325"/>
      <c r="AAI87" s="325"/>
      <c r="AAJ87" s="325"/>
      <c r="AAK87" s="325"/>
      <c r="AAL87" s="325"/>
      <c r="AAM87" s="325"/>
      <c r="AAN87" s="325"/>
      <c r="AAO87" s="325"/>
      <c r="AAP87" s="325"/>
      <c r="AAQ87" s="325"/>
      <c r="AAR87" s="325"/>
      <c r="AAS87" s="325"/>
      <c r="AAT87" s="325"/>
      <c r="AAU87" s="325"/>
      <c r="AAV87" s="325"/>
      <c r="AAW87" s="325"/>
      <c r="AAX87" s="325"/>
      <c r="AAY87" s="325"/>
      <c r="AAZ87" s="325"/>
      <c r="ABA87" s="325"/>
      <c r="ABB87" s="325"/>
      <c r="ABC87" s="325"/>
      <c r="ABD87" s="325"/>
      <c r="ABE87" s="325"/>
      <c r="ABF87" s="325"/>
      <c r="ABG87" s="325"/>
      <c r="ABH87" s="325"/>
      <c r="ABI87" s="325"/>
      <c r="ABJ87" s="325"/>
      <c r="ABK87" s="325"/>
      <c r="ABL87" s="325"/>
      <c r="ABM87" s="325"/>
      <c r="ABN87" s="325"/>
      <c r="ABO87" s="325"/>
      <c r="ABP87" s="325"/>
      <c r="ABQ87" s="325"/>
      <c r="ABR87" s="325"/>
      <c r="ABS87" s="325"/>
      <c r="ABT87" s="325"/>
      <c r="ABU87" s="325"/>
      <c r="ABV87" s="325"/>
      <c r="ABW87" s="325"/>
      <c r="ABX87" s="325"/>
      <c r="ABY87" s="325"/>
      <c r="ABZ87" s="325"/>
      <c r="ACA87" s="325"/>
      <c r="ACB87" s="325"/>
      <c r="ACC87" s="325"/>
      <c r="ACD87" s="325"/>
      <c r="ACE87" s="325"/>
      <c r="ACF87" s="325"/>
      <c r="ACG87" s="325"/>
      <c r="ACH87" s="325"/>
      <c r="ACI87" s="325"/>
      <c r="ACJ87" s="325"/>
      <c r="ACK87" s="325"/>
      <c r="ACL87" s="325"/>
      <c r="ACM87" s="325"/>
      <c r="ACN87" s="325"/>
      <c r="ACO87" s="325"/>
      <c r="ACP87" s="325"/>
      <c r="ACQ87" s="325"/>
      <c r="ACR87" s="325"/>
      <c r="ACS87" s="325"/>
      <c r="ACT87" s="325"/>
      <c r="ACU87" s="325"/>
      <c r="ACV87" s="325"/>
      <c r="ACW87" s="325"/>
      <c r="ACX87" s="325"/>
      <c r="ACY87" s="325"/>
      <c r="ACZ87" s="325"/>
      <c r="ADA87" s="325"/>
      <c r="ADB87" s="325"/>
      <c r="ADC87" s="325"/>
      <c r="ADD87" s="325"/>
      <c r="ADE87" s="325"/>
      <c r="ADF87" s="325"/>
      <c r="ADG87" s="325"/>
      <c r="ADH87" s="325"/>
      <c r="ADI87" s="325"/>
      <c r="ADJ87" s="325"/>
      <c r="ADK87" s="325"/>
      <c r="ADL87" s="325"/>
      <c r="ADM87" s="325"/>
      <c r="ADN87" s="325"/>
      <c r="ADO87" s="325"/>
      <c r="ADP87" s="325"/>
      <c r="ADQ87" s="325"/>
      <c r="ADR87" s="325"/>
      <c r="ADS87" s="325"/>
      <c r="ADT87" s="325"/>
      <c r="ADU87" s="325"/>
      <c r="ADV87" s="325"/>
      <c r="ADW87" s="325"/>
      <c r="ADX87" s="325"/>
      <c r="ADY87" s="325"/>
      <c r="ADZ87" s="325"/>
      <c r="AEA87" s="325"/>
      <c r="AEB87" s="325"/>
      <c r="AEC87" s="325"/>
      <c r="AED87" s="325"/>
      <c r="AEE87" s="325"/>
      <c r="AEF87" s="325"/>
      <c r="AEG87" s="325"/>
      <c r="AEH87" s="325"/>
      <c r="AEI87" s="325"/>
      <c r="AEJ87" s="325"/>
      <c r="AEK87" s="325"/>
      <c r="AEL87" s="325"/>
      <c r="AEM87" s="325"/>
      <c r="AEN87" s="325"/>
      <c r="AEO87" s="325"/>
      <c r="AEP87" s="325"/>
      <c r="AEQ87" s="325"/>
      <c r="AER87" s="325"/>
      <c r="AES87" s="325"/>
      <c r="AET87" s="325"/>
      <c r="AEU87" s="325"/>
      <c r="AEV87" s="325"/>
      <c r="AEW87" s="325"/>
      <c r="AEX87" s="325"/>
      <c r="AEY87" s="325"/>
      <c r="AEZ87" s="325"/>
      <c r="AFA87" s="325"/>
      <c r="AFB87" s="325"/>
      <c r="AFC87" s="325"/>
      <c r="AFD87" s="325"/>
      <c r="AFE87" s="325"/>
      <c r="AFF87" s="325"/>
      <c r="AFG87" s="325"/>
      <c r="AFH87" s="325"/>
      <c r="AFI87" s="325"/>
      <c r="AFJ87" s="325"/>
      <c r="AFK87" s="325"/>
      <c r="AFL87" s="325"/>
      <c r="AFM87" s="325"/>
      <c r="AFN87" s="325"/>
      <c r="AFO87" s="325"/>
      <c r="AFP87" s="325"/>
      <c r="AFQ87" s="325"/>
      <c r="AFR87" s="325"/>
      <c r="AFS87" s="325"/>
      <c r="AFT87" s="325"/>
      <c r="AFU87" s="325"/>
      <c r="AFV87" s="325"/>
      <c r="AFW87" s="325"/>
      <c r="AFX87" s="325"/>
      <c r="AFY87" s="325"/>
      <c r="AFZ87" s="325"/>
      <c r="AGA87" s="325"/>
      <c r="AGB87" s="325"/>
      <c r="AGC87" s="325"/>
      <c r="AGD87" s="325"/>
      <c r="AGE87" s="325"/>
      <c r="AGF87" s="325"/>
      <c r="AGG87" s="325"/>
      <c r="AGH87" s="325"/>
      <c r="AGI87" s="325"/>
      <c r="AGJ87" s="325"/>
      <c r="AGK87" s="325"/>
      <c r="AGL87" s="325"/>
      <c r="AGM87" s="325"/>
      <c r="AGN87" s="325"/>
      <c r="AGO87" s="325"/>
      <c r="AGP87" s="325"/>
      <c r="AGQ87" s="325"/>
      <c r="AGR87" s="325"/>
      <c r="AGS87" s="325"/>
      <c r="AGT87" s="325"/>
      <c r="AGU87" s="325"/>
      <c r="AGV87" s="325"/>
      <c r="AGW87" s="325"/>
      <c r="AGX87" s="325"/>
      <c r="AGY87" s="325"/>
      <c r="AGZ87" s="325"/>
      <c r="AHA87" s="325"/>
      <c r="AHB87" s="325"/>
      <c r="AHC87" s="325"/>
      <c r="AHD87" s="325"/>
      <c r="AHE87" s="325"/>
      <c r="AHF87" s="325"/>
      <c r="AHG87" s="325"/>
      <c r="AHH87" s="325"/>
      <c r="AHI87" s="325"/>
      <c r="AHJ87" s="325"/>
      <c r="AHK87" s="325"/>
      <c r="AHL87" s="325"/>
      <c r="AHM87" s="325"/>
      <c r="AHN87" s="325"/>
      <c r="AHO87" s="325"/>
      <c r="AHP87" s="325"/>
      <c r="AHQ87" s="325"/>
      <c r="AHR87" s="325"/>
      <c r="AHS87" s="325"/>
      <c r="AHT87" s="325"/>
      <c r="AHU87" s="325"/>
      <c r="AHV87" s="325"/>
      <c r="AHW87" s="325"/>
      <c r="AHX87" s="325"/>
      <c r="AHY87" s="325"/>
      <c r="AHZ87" s="325"/>
      <c r="AIA87" s="325"/>
      <c r="AIB87" s="325"/>
      <c r="AIC87" s="325"/>
      <c r="AID87" s="325"/>
      <c r="AIE87" s="325"/>
      <c r="AIF87" s="325"/>
      <c r="AIG87" s="325"/>
      <c r="AIH87" s="325"/>
      <c r="AII87" s="325"/>
      <c r="AIJ87" s="325"/>
      <c r="AIK87" s="325"/>
      <c r="AIL87" s="325"/>
      <c r="AIM87" s="325"/>
      <c r="AIN87" s="325"/>
      <c r="AIO87" s="325"/>
      <c r="AIP87" s="325"/>
      <c r="AIQ87" s="325"/>
      <c r="AIR87" s="325"/>
      <c r="AIS87" s="325"/>
      <c r="AIT87" s="325"/>
      <c r="AIU87" s="325"/>
      <c r="AIV87" s="325"/>
      <c r="AIW87" s="325"/>
      <c r="AIX87" s="325"/>
      <c r="AIY87" s="325"/>
      <c r="AIZ87" s="325"/>
      <c r="AJA87" s="325"/>
      <c r="AJB87" s="325"/>
      <c r="AJC87" s="325"/>
      <c r="AJD87" s="325"/>
      <c r="AJE87" s="325"/>
      <c r="AJF87" s="325"/>
      <c r="AJG87" s="325"/>
      <c r="AJH87" s="325"/>
      <c r="AJI87" s="325"/>
      <c r="AJJ87" s="325"/>
      <c r="AJK87" s="325"/>
      <c r="AJL87" s="325"/>
      <c r="AJM87" s="325"/>
      <c r="AJN87" s="325"/>
      <c r="AJO87" s="325"/>
      <c r="AJP87" s="325"/>
      <c r="AJQ87" s="325"/>
      <c r="AJR87" s="325"/>
      <c r="AJS87" s="325"/>
      <c r="AJT87" s="325"/>
      <c r="AJU87" s="325"/>
      <c r="AJV87" s="325"/>
      <c r="AJW87" s="325"/>
      <c r="AJX87" s="325"/>
      <c r="AJY87" s="325"/>
      <c r="AJZ87" s="325"/>
      <c r="AKA87" s="325"/>
      <c r="AKB87" s="325"/>
      <c r="AKC87" s="325"/>
      <c r="AKD87" s="325"/>
      <c r="AKE87" s="325"/>
      <c r="AKF87" s="325"/>
      <c r="AKG87" s="325"/>
      <c r="AKH87" s="325"/>
      <c r="AKI87" s="325"/>
      <c r="AKJ87" s="325"/>
      <c r="AKK87" s="325"/>
      <c r="AKL87" s="325"/>
      <c r="AKM87" s="325"/>
      <c r="AKN87" s="325"/>
      <c r="AKO87" s="325"/>
      <c r="AKP87" s="325"/>
      <c r="AKQ87" s="325"/>
      <c r="AKR87" s="325"/>
      <c r="AKS87" s="325"/>
      <c r="AKT87" s="325"/>
      <c r="AKU87" s="325"/>
      <c r="AKV87" s="325"/>
      <c r="AKW87" s="325"/>
      <c r="AKX87" s="325"/>
      <c r="AKY87" s="325"/>
      <c r="AKZ87" s="325"/>
      <c r="ALA87" s="325"/>
      <c r="ALB87" s="325"/>
      <c r="ALC87" s="325"/>
      <c r="ALD87" s="325"/>
      <c r="ALE87" s="325"/>
      <c r="ALF87" s="325"/>
      <c r="ALG87" s="325"/>
      <c r="ALH87" s="325"/>
      <c r="ALI87" s="325"/>
      <c r="ALJ87" s="325"/>
      <c r="ALK87" s="325"/>
      <c r="ALL87" s="325"/>
      <c r="ALM87" s="325"/>
      <c r="ALN87" s="325"/>
      <c r="ALO87" s="325"/>
      <c r="ALP87" s="325"/>
      <c r="ALQ87" s="325"/>
      <c r="ALR87" s="325"/>
      <c r="ALS87" s="325"/>
      <c r="ALT87" s="325"/>
      <c r="ALU87" s="325"/>
      <c r="ALV87" s="325"/>
      <c r="ALW87" s="325"/>
      <c r="ALX87" s="325"/>
      <c r="ALY87" s="325"/>
      <c r="ALZ87" s="325"/>
      <c r="AMA87" s="325"/>
      <c r="AMB87" s="325"/>
      <c r="AMC87" s="325"/>
    </row>
    <row r="88" spans="3:1017" s="75" customFormat="1">
      <c r="C88" s="130"/>
      <c r="D88" s="130"/>
      <c r="CN88" s="225"/>
      <c r="CQ88" s="226"/>
      <c r="LD88" s="213"/>
      <c r="LH88" s="286"/>
      <c r="LI88" s="287"/>
      <c r="LJ88" s="124"/>
      <c r="LK88" s="124"/>
      <c r="LL88" s="124"/>
      <c r="LM88" s="124"/>
      <c r="LN88" s="124"/>
      <c r="LO88" s="124"/>
      <c r="LP88" s="124"/>
      <c r="LQ88" s="124"/>
      <c r="LR88" s="124"/>
      <c r="NE88" s="330"/>
      <c r="NF88" s="325"/>
      <c r="NG88" s="325"/>
      <c r="NH88" s="325"/>
      <c r="NI88" s="325"/>
      <c r="NJ88" s="325"/>
      <c r="NK88" s="325"/>
      <c r="NL88" s="325"/>
      <c r="NM88" s="325"/>
      <c r="NN88" s="325"/>
      <c r="NO88" s="325"/>
      <c r="NP88" s="325"/>
      <c r="NQ88" s="325"/>
      <c r="NR88" s="325"/>
      <c r="NS88" s="325"/>
      <c r="NT88" s="325"/>
      <c r="NU88" s="325"/>
      <c r="NV88" s="325"/>
      <c r="NW88" s="325"/>
      <c r="NX88" s="325"/>
      <c r="NY88" s="325"/>
      <c r="NZ88" s="325"/>
      <c r="OA88" s="325"/>
      <c r="OB88" s="325"/>
      <c r="OC88" s="325"/>
      <c r="OD88" s="325"/>
      <c r="OE88" s="325"/>
      <c r="OF88" s="325"/>
      <c r="OG88" s="325"/>
      <c r="OH88" s="325"/>
      <c r="OI88" s="325"/>
      <c r="OJ88" s="325"/>
      <c r="OK88" s="325"/>
      <c r="OL88" s="325"/>
      <c r="OM88" s="325"/>
      <c r="ON88" s="325"/>
      <c r="OO88" s="325"/>
      <c r="OP88" s="325"/>
      <c r="OQ88" s="325"/>
      <c r="OR88" s="325"/>
      <c r="OS88" s="325"/>
      <c r="OT88" s="325"/>
      <c r="OU88" s="325"/>
      <c r="OV88" s="325"/>
      <c r="OW88" s="325"/>
      <c r="OX88" s="325"/>
      <c r="OY88" s="325"/>
      <c r="OZ88" s="325"/>
      <c r="PA88" s="325"/>
      <c r="PB88" s="325"/>
      <c r="PC88" s="325"/>
      <c r="PD88" s="325"/>
      <c r="PE88" s="325"/>
      <c r="PF88" s="325"/>
      <c r="PG88" s="325"/>
      <c r="PH88" s="325"/>
      <c r="PI88" s="325"/>
      <c r="PJ88" s="325"/>
      <c r="PK88" s="325"/>
      <c r="PL88" s="325"/>
      <c r="PM88" s="325"/>
      <c r="PN88" s="325"/>
      <c r="PO88" s="325"/>
      <c r="PP88" s="325"/>
      <c r="PQ88" s="325"/>
      <c r="PR88" s="325"/>
      <c r="PS88" s="325"/>
      <c r="PT88" s="325"/>
      <c r="PU88" s="325"/>
      <c r="PV88" s="325"/>
      <c r="PW88" s="325"/>
      <c r="PX88" s="325"/>
      <c r="PY88" s="325"/>
      <c r="PZ88" s="325"/>
      <c r="QA88" s="325"/>
      <c r="QB88" s="325"/>
      <c r="QC88" s="325"/>
      <c r="QD88" s="325"/>
      <c r="QE88" s="325"/>
      <c r="QF88" s="325"/>
      <c r="QG88" s="325"/>
      <c r="QH88" s="325"/>
      <c r="QI88" s="325"/>
      <c r="QJ88" s="325"/>
      <c r="QK88" s="325"/>
      <c r="QL88" s="325"/>
      <c r="QM88" s="325"/>
      <c r="QN88" s="325"/>
      <c r="QO88" s="325"/>
      <c r="QP88" s="325"/>
      <c r="QQ88" s="325"/>
      <c r="QR88" s="325"/>
      <c r="QS88" s="325"/>
      <c r="QT88" s="325"/>
      <c r="QU88" s="325"/>
      <c r="QV88" s="325"/>
      <c r="QW88" s="325"/>
      <c r="QX88" s="325"/>
      <c r="QY88" s="325"/>
      <c r="QZ88" s="325"/>
      <c r="RA88" s="325"/>
      <c r="RB88" s="325"/>
      <c r="RC88" s="325"/>
      <c r="RD88" s="325"/>
      <c r="RE88" s="325"/>
      <c r="RF88" s="325"/>
      <c r="RG88" s="325"/>
      <c r="RH88" s="325"/>
      <c r="RI88" s="325"/>
      <c r="RJ88" s="325"/>
      <c r="RK88" s="325"/>
      <c r="RL88" s="325"/>
      <c r="RM88" s="325"/>
      <c r="RN88" s="325"/>
      <c r="RO88" s="325"/>
      <c r="RP88" s="325"/>
      <c r="RQ88" s="325"/>
      <c r="RR88" s="325"/>
      <c r="RS88" s="325"/>
      <c r="RT88" s="325"/>
      <c r="RU88" s="325"/>
      <c r="RV88" s="325"/>
      <c r="RW88" s="325"/>
      <c r="RX88" s="325"/>
      <c r="RY88" s="325"/>
      <c r="RZ88" s="325"/>
      <c r="SA88" s="325"/>
      <c r="SB88" s="325"/>
      <c r="SC88" s="325"/>
      <c r="SD88" s="325"/>
      <c r="SE88" s="325"/>
      <c r="SF88" s="325"/>
      <c r="SG88" s="325"/>
      <c r="SH88" s="325"/>
      <c r="SI88" s="325"/>
      <c r="SJ88" s="325"/>
      <c r="SK88" s="325"/>
      <c r="SL88" s="325"/>
      <c r="SM88" s="325"/>
      <c r="SN88" s="325"/>
      <c r="SO88" s="325"/>
      <c r="SP88" s="325"/>
      <c r="SQ88" s="325"/>
      <c r="SR88" s="325"/>
      <c r="SS88" s="325"/>
      <c r="ST88" s="325"/>
      <c r="SU88" s="325"/>
      <c r="SV88" s="325"/>
      <c r="SW88" s="325"/>
      <c r="SX88" s="325"/>
      <c r="SY88" s="325"/>
      <c r="SZ88" s="325"/>
      <c r="TA88" s="325"/>
      <c r="TB88" s="325"/>
      <c r="TC88" s="325"/>
      <c r="TD88" s="325"/>
      <c r="TE88" s="325"/>
      <c r="TF88" s="325"/>
      <c r="TG88" s="325"/>
      <c r="TH88" s="325"/>
      <c r="TI88" s="325"/>
      <c r="TJ88" s="325"/>
      <c r="TK88" s="325"/>
      <c r="TL88" s="325"/>
      <c r="TM88" s="325"/>
      <c r="TN88" s="325"/>
      <c r="TO88" s="325"/>
      <c r="TP88" s="325"/>
      <c r="TQ88" s="325"/>
      <c r="TR88" s="325"/>
      <c r="TS88" s="325"/>
      <c r="TT88" s="325"/>
      <c r="TU88" s="325"/>
      <c r="TV88" s="325"/>
      <c r="TW88" s="325"/>
      <c r="TX88" s="325"/>
      <c r="TY88" s="325"/>
      <c r="TZ88" s="325"/>
      <c r="UA88" s="325"/>
      <c r="UB88" s="325"/>
      <c r="UC88" s="325"/>
      <c r="UD88" s="325"/>
      <c r="UE88" s="325"/>
      <c r="UF88" s="325"/>
      <c r="UG88" s="325"/>
      <c r="UH88" s="325"/>
      <c r="UI88" s="325"/>
      <c r="UJ88" s="325"/>
      <c r="UK88" s="325"/>
      <c r="UL88" s="325"/>
      <c r="UM88" s="325"/>
      <c r="UN88" s="325"/>
      <c r="UO88" s="325"/>
      <c r="UP88" s="325"/>
      <c r="UQ88" s="325"/>
      <c r="UR88" s="325"/>
      <c r="US88" s="325"/>
      <c r="UT88" s="325"/>
      <c r="UU88" s="325"/>
      <c r="UV88" s="325"/>
      <c r="UW88" s="325"/>
      <c r="UX88" s="325"/>
      <c r="UY88" s="325"/>
      <c r="UZ88" s="325"/>
      <c r="VA88" s="325"/>
      <c r="VB88" s="325"/>
      <c r="VC88" s="325"/>
      <c r="VD88" s="325"/>
      <c r="VE88" s="325"/>
      <c r="VF88" s="325"/>
      <c r="VG88" s="325"/>
      <c r="VH88" s="325"/>
      <c r="VI88" s="325"/>
      <c r="VJ88" s="325"/>
      <c r="VK88" s="325"/>
      <c r="VL88" s="325"/>
      <c r="VM88" s="325"/>
      <c r="VN88" s="325"/>
      <c r="VO88" s="325"/>
      <c r="VP88" s="325"/>
      <c r="VQ88" s="325"/>
      <c r="VR88" s="325"/>
      <c r="VS88" s="325"/>
      <c r="VT88" s="325"/>
      <c r="VU88" s="325"/>
      <c r="VV88" s="325"/>
      <c r="VW88" s="325"/>
      <c r="VX88" s="325"/>
      <c r="VY88" s="325"/>
      <c r="VZ88" s="325"/>
      <c r="WA88" s="325"/>
      <c r="WB88" s="325"/>
      <c r="WC88" s="325"/>
      <c r="WD88" s="325"/>
      <c r="WE88" s="325"/>
      <c r="WF88" s="325"/>
      <c r="WG88" s="325"/>
      <c r="WH88" s="325"/>
      <c r="WI88" s="325"/>
      <c r="WJ88" s="325"/>
      <c r="WK88" s="325"/>
      <c r="WL88" s="325"/>
      <c r="WM88" s="325"/>
      <c r="WN88" s="325"/>
      <c r="WO88" s="325"/>
      <c r="WP88" s="325"/>
      <c r="WQ88" s="325"/>
      <c r="WR88" s="325"/>
      <c r="WS88" s="325"/>
      <c r="WT88" s="325"/>
      <c r="WU88" s="325"/>
      <c r="WV88" s="325"/>
      <c r="WW88" s="325"/>
      <c r="WX88" s="325"/>
      <c r="WY88" s="325"/>
      <c r="WZ88" s="325"/>
      <c r="XA88" s="325"/>
      <c r="XB88" s="325"/>
      <c r="XC88" s="325"/>
      <c r="XD88" s="325"/>
      <c r="XE88" s="325"/>
      <c r="XF88" s="325"/>
      <c r="XG88" s="325"/>
      <c r="XH88" s="325"/>
      <c r="XI88" s="325"/>
      <c r="XJ88" s="325"/>
      <c r="XK88" s="325"/>
      <c r="XL88" s="325"/>
      <c r="XM88" s="325"/>
      <c r="XN88" s="325"/>
      <c r="XO88" s="325"/>
      <c r="XP88" s="325"/>
      <c r="XQ88" s="325"/>
      <c r="XR88" s="325"/>
      <c r="XS88" s="325"/>
      <c r="XT88" s="325"/>
      <c r="XU88" s="325"/>
      <c r="XV88" s="325"/>
      <c r="XW88" s="325"/>
      <c r="XX88" s="325"/>
      <c r="XY88" s="325"/>
      <c r="XZ88" s="325"/>
      <c r="YA88" s="325"/>
      <c r="YB88" s="325"/>
      <c r="YC88" s="325"/>
      <c r="YD88" s="325"/>
      <c r="YE88" s="325"/>
      <c r="YF88" s="325"/>
      <c r="YG88" s="325"/>
      <c r="YH88" s="325"/>
      <c r="YI88" s="325"/>
      <c r="YJ88" s="325"/>
      <c r="YK88" s="325"/>
      <c r="YL88" s="325"/>
      <c r="YM88" s="325"/>
      <c r="YN88" s="325"/>
      <c r="YO88" s="325"/>
      <c r="YP88" s="325"/>
      <c r="YQ88" s="325"/>
      <c r="YR88" s="325"/>
      <c r="YS88" s="325"/>
      <c r="YT88" s="325"/>
      <c r="YU88" s="325"/>
      <c r="YV88" s="325"/>
      <c r="YW88" s="325"/>
      <c r="YX88" s="325"/>
      <c r="YY88" s="325"/>
      <c r="YZ88" s="325"/>
      <c r="ZA88" s="325"/>
      <c r="ZB88" s="325"/>
      <c r="ZC88" s="325"/>
      <c r="ZD88" s="325"/>
      <c r="ZE88" s="325"/>
      <c r="ZF88" s="325"/>
      <c r="ZG88" s="325"/>
      <c r="ZH88" s="325"/>
      <c r="ZI88" s="325"/>
      <c r="ZJ88" s="325"/>
      <c r="ZK88" s="325"/>
      <c r="ZL88" s="325"/>
      <c r="ZM88" s="325"/>
      <c r="ZN88" s="325"/>
      <c r="ZO88" s="325"/>
      <c r="ZP88" s="325"/>
      <c r="ZQ88" s="325"/>
      <c r="ZR88" s="325"/>
      <c r="ZS88" s="325"/>
      <c r="ZT88" s="325"/>
      <c r="ZU88" s="325"/>
      <c r="ZV88" s="325"/>
      <c r="ZW88" s="325"/>
      <c r="ZX88" s="325"/>
      <c r="ZY88" s="325"/>
      <c r="ZZ88" s="325"/>
      <c r="AAA88" s="325"/>
      <c r="AAB88" s="325"/>
      <c r="AAC88" s="325"/>
      <c r="AAD88" s="325"/>
      <c r="AAE88" s="325"/>
      <c r="AAF88" s="325"/>
      <c r="AAG88" s="325"/>
      <c r="AAH88" s="325"/>
      <c r="AAI88" s="325"/>
      <c r="AAJ88" s="325"/>
      <c r="AAK88" s="325"/>
      <c r="AAL88" s="325"/>
      <c r="AAM88" s="325"/>
      <c r="AAN88" s="325"/>
      <c r="AAO88" s="325"/>
      <c r="AAP88" s="325"/>
      <c r="AAQ88" s="325"/>
      <c r="AAR88" s="325"/>
      <c r="AAS88" s="325"/>
      <c r="AAT88" s="325"/>
      <c r="AAU88" s="325"/>
      <c r="AAV88" s="325"/>
      <c r="AAW88" s="325"/>
      <c r="AAX88" s="325"/>
      <c r="AAY88" s="325"/>
      <c r="AAZ88" s="325"/>
      <c r="ABA88" s="325"/>
      <c r="ABB88" s="325"/>
      <c r="ABC88" s="325"/>
      <c r="ABD88" s="325"/>
      <c r="ABE88" s="325"/>
      <c r="ABF88" s="325"/>
      <c r="ABG88" s="325"/>
      <c r="ABH88" s="325"/>
      <c r="ABI88" s="325"/>
      <c r="ABJ88" s="325"/>
      <c r="ABK88" s="325"/>
      <c r="ABL88" s="325"/>
      <c r="ABM88" s="325"/>
      <c r="ABN88" s="325"/>
      <c r="ABO88" s="325"/>
      <c r="ABP88" s="325"/>
      <c r="ABQ88" s="325"/>
      <c r="ABR88" s="325"/>
      <c r="ABS88" s="325"/>
      <c r="ABT88" s="325"/>
      <c r="ABU88" s="325"/>
      <c r="ABV88" s="325"/>
      <c r="ABW88" s="325"/>
      <c r="ABX88" s="325"/>
      <c r="ABY88" s="325"/>
      <c r="ABZ88" s="325"/>
      <c r="ACA88" s="325"/>
      <c r="ACB88" s="325"/>
      <c r="ACC88" s="325"/>
      <c r="ACD88" s="325"/>
      <c r="ACE88" s="325"/>
      <c r="ACF88" s="325"/>
      <c r="ACG88" s="325"/>
      <c r="ACH88" s="325"/>
      <c r="ACI88" s="325"/>
      <c r="ACJ88" s="325"/>
      <c r="ACK88" s="325"/>
      <c r="ACL88" s="325"/>
      <c r="ACM88" s="325"/>
      <c r="ACN88" s="325"/>
      <c r="ACO88" s="325"/>
      <c r="ACP88" s="325"/>
      <c r="ACQ88" s="325"/>
      <c r="ACR88" s="325"/>
      <c r="ACS88" s="325"/>
      <c r="ACT88" s="325"/>
      <c r="ACU88" s="325"/>
      <c r="ACV88" s="325"/>
      <c r="ACW88" s="325"/>
      <c r="ACX88" s="325"/>
      <c r="ACY88" s="325"/>
      <c r="ACZ88" s="325"/>
      <c r="ADA88" s="325"/>
      <c r="ADB88" s="325"/>
      <c r="ADC88" s="325"/>
      <c r="ADD88" s="325"/>
      <c r="ADE88" s="325"/>
      <c r="ADF88" s="325"/>
      <c r="ADG88" s="325"/>
      <c r="ADH88" s="325"/>
      <c r="ADI88" s="325"/>
      <c r="ADJ88" s="325"/>
      <c r="ADK88" s="325"/>
      <c r="ADL88" s="325"/>
      <c r="ADM88" s="325"/>
      <c r="ADN88" s="325"/>
      <c r="ADO88" s="325"/>
      <c r="ADP88" s="325"/>
      <c r="ADQ88" s="325"/>
      <c r="ADR88" s="325"/>
      <c r="ADS88" s="325"/>
      <c r="ADT88" s="325"/>
      <c r="ADU88" s="325"/>
      <c r="ADV88" s="325"/>
      <c r="ADW88" s="325"/>
      <c r="ADX88" s="325"/>
      <c r="ADY88" s="325"/>
      <c r="ADZ88" s="325"/>
      <c r="AEA88" s="325"/>
      <c r="AEB88" s="325"/>
      <c r="AEC88" s="325"/>
      <c r="AED88" s="325"/>
      <c r="AEE88" s="325"/>
      <c r="AEF88" s="325"/>
      <c r="AEG88" s="325"/>
      <c r="AEH88" s="325"/>
      <c r="AEI88" s="325"/>
      <c r="AEJ88" s="325"/>
      <c r="AEK88" s="325"/>
      <c r="AEL88" s="325"/>
      <c r="AEM88" s="325"/>
      <c r="AEN88" s="325"/>
      <c r="AEO88" s="325"/>
      <c r="AEP88" s="325"/>
      <c r="AEQ88" s="325"/>
      <c r="AER88" s="325"/>
      <c r="AES88" s="325"/>
      <c r="AET88" s="325"/>
      <c r="AEU88" s="325"/>
      <c r="AEV88" s="325"/>
      <c r="AEW88" s="325"/>
      <c r="AEX88" s="325"/>
      <c r="AEY88" s="325"/>
      <c r="AEZ88" s="325"/>
      <c r="AFA88" s="325"/>
      <c r="AFB88" s="325"/>
      <c r="AFC88" s="325"/>
      <c r="AFD88" s="325"/>
      <c r="AFE88" s="325"/>
      <c r="AFF88" s="325"/>
      <c r="AFG88" s="325"/>
      <c r="AFH88" s="325"/>
      <c r="AFI88" s="325"/>
      <c r="AFJ88" s="325"/>
      <c r="AFK88" s="325"/>
      <c r="AFL88" s="325"/>
      <c r="AFM88" s="325"/>
      <c r="AFN88" s="325"/>
      <c r="AFO88" s="325"/>
      <c r="AFP88" s="325"/>
      <c r="AFQ88" s="325"/>
      <c r="AFR88" s="325"/>
      <c r="AFS88" s="325"/>
      <c r="AFT88" s="325"/>
      <c r="AFU88" s="325"/>
      <c r="AFV88" s="325"/>
      <c r="AFW88" s="325"/>
      <c r="AFX88" s="325"/>
      <c r="AFY88" s="325"/>
      <c r="AFZ88" s="325"/>
      <c r="AGA88" s="325"/>
      <c r="AGB88" s="325"/>
      <c r="AGC88" s="325"/>
      <c r="AGD88" s="325"/>
      <c r="AGE88" s="325"/>
      <c r="AGF88" s="325"/>
      <c r="AGG88" s="325"/>
      <c r="AGH88" s="325"/>
      <c r="AGI88" s="325"/>
      <c r="AGJ88" s="325"/>
      <c r="AGK88" s="325"/>
      <c r="AGL88" s="325"/>
      <c r="AGM88" s="325"/>
      <c r="AGN88" s="325"/>
      <c r="AGO88" s="325"/>
      <c r="AGP88" s="325"/>
      <c r="AGQ88" s="325"/>
      <c r="AGR88" s="325"/>
      <c r="AGS88" s="325"/>
      <c r="AGT88" s="325"/>
      <c r="AGU88" s="325"/>
      <c r="AGV88" s="325"/>
      <c r="AGW88" s="325"/>
      <c r="AGX88" s="325"/>
      <c r="AGY88" s="325"/>
      <c r="AGZ88" s="325"/>
      <c r="AHA88" s="325"/>
      <c r="AHB88" s="325"/>
      <c r="AHC88" s="325"/>
      <c r="AHD88" s="325"/>
      <c r="AHE88" s="325"/>
      <c r="AHF88" s="325"/>
      <c r="AHG88" s="325"/>
      <c r="AHH88" s="325"/>
      <c r="AHI88" s="325"/>
      <c r="AHJ88" s="325"/>
      <c r="AHK88" s="325"/>
      <c r="AHL88" s="325"/>
      <c r="AHM88" s="325"/>
      <c r="AHN88" s="325"/>
      <c r="AHO88" s="325"/>
      <c r="AHP88" s="325"/>
      <c r="AHQ88" s="325"/>
      <c r="AHR88" s="325"/>
      <c r="AHS88" s="325"/>
      <c r="AHT88" s="325"/>
      <c r="AHU88" s="325"/>
      <c r="AHV88" s="325"/>
      <c r="AHW88" s="325"/>
      <c r="AHX88" s="325"/>
      <c r="AHY88" s="325"/>
      <c r="AHZ88" s="325"/>
      <c r="AIA88" s="325"/>
      <c r="AIB88" s="325"/>
      <c r="AIC88" s="325"/>
      <c r="AID88" s="325"/>
      <c r="AIE88" s="325"/>
      <c r="AIF88" s="325"/>
      <c r="AIG88" s="325"/>
      <c r="AIH88" s="325"/>
      <c r="AII88" s="325"/>
      <c r="AIJ88" s="325"/>
      <c r="AIK88" s="325"/>
      <c r="AIL88" s="325"/>
      <c r="AIM88" s="325"/>
      <c r="AIN88" s="325"/>
      <c r="AIO88" s="325"/>
      <c r="AIP88" s="325"/>
      <c r="AIQ88" s="325"/>
      <c r="AIR88" s="325"/>
      <c r="AIS88" s="325"/>
      <c r="AIT88" s="325"/>
      <c r="AIU88" s="325"/>
      <c r="AIV88" s="325"/>
      <c r="AIW88" s="325"/>
      <c r="AIX88" s="325"/>
      <c r="AIY88" s="325"/>
      <c r="AIZ88" s="325"/>
      <c r="AJA88" s="325"/>
      <c r="AJB88" s="325"/>
      <c r="AJC88" s="325"/>
      <c r="AJD88" s="325"/>
      <c r="AJE88" s="325"/>
      <c r="AJF88" s="325"/>
      <c r="AJG88" s="325"/>
      <c r="AJH88" s="325"/>
      <c r="AJI88" s="325"/>
      <c r="AJJ88" s="325"/>
      <c r="AJK88" s="325"/>
      <c r="AJL88" s="325"/>
      <c r="AJM88" s="325"/>
      <c r="AJN88" s="325"/>
      <c r="AJO88" s="325"/>
      <c r="AJP88" s="325"/>
      <c r="AJQ88" s="325"/>
      <c r="AJR88" s="325"/>
      <c r="AJS88" s="325"/>
      <c r="AJT88" s="325"/>
      <c r="AJU88" s="325"/>
      <c r="AJV88" s="325"/>
      <c r="AJW88" s="325"/>
      <c r="AJX88" s="325"/>
      <c r="AJY88" s="325"/>
      <c r="AJZ88" s="325"/>
      <c r="AKA88" s="325"/>
      <c r="AKB88" s="325"/>
      <c r="AKC88" s="325"/>
      <c r="AKD88" s="325"/>
      <c r="AKE88" s="325"/>
      <c r="AKF88" s="325"/>
      <c r="AKG88" s="325"/>
      <c r="AKH88" s="325"/>
      <c r="AKI88" s="325"/>
      <c r="AKJ88" s="325"/>
      <c r="AKK88" s="325"/>
      <c r="AKL88" s="325"/>
      <c r="AKM88" s="325"/>
      <c r="AKN88" s="325"/>
      <c r="AKO88" s="325"/>
      <c r="AKP88" s="325"/>
      <c r="AKQ88" s="325"/>
      <c r="AKR88" s="325"/>
      <c r="AKS88" s="325"/>
      <c r="AKT88" s="325"/>
      <c r="AKU88" s="325"/>
      <c r="AKV88" s="325"/>
      <c r="AKW88" s="325"/>
      <c r="AKX88" s="325"/>
      <c r="AKY88" s="325"/>
      <c r="AKZ88" s="325"/>
      <c r="ALA88" s="325"/>
      <c r="ALB88" s="325"/>
      <c r="ALC88" s="325"/>
      <c r="ALD88" s="325"/>
      <c r="ALE88" s="325"/>
      <c r="ALF88" s="325"/>
      <c r="ALG88" s="325"/>
      <c r="ALH88" s="325"/>
      <c r="ALI88" s="325"/>
      <c r="ALJ88" s="325"/>
      <c r="ALK88" s="325"/>
      <c r="ALL88" s="325"/>
      <c r="ALM88" s="325"/>
      <c r="ALN88" s="325"/>
      <c r="ALO88" s="325"/>
      <c r="ALP88" s="325"/>
      <c r="ALQ88" s="325"/>
      <c r="ALR88" s="325"/>
      <c r="ALS88" s="325"/>
      <c r="ALT88" s="325"/>
      <c r="ALU88" s="325"/>
      <c r="ALV88" s="325"/>
      <c r="ALW88" s="325"/>
      <c r="ALX88" s="325"/>
      <c r="ALY88" s="325"/>
      <c r="ALZ88" s="325"/>
      <c r="AMA88" s="325"/>
      <c r="AMB88" s="325"/>
      <c r="AMC88" s="325"/>
    </row>
    <row r="89" spans="3:1017" s="75" customFormat="1">
      <c r="C89" s="130"/>
      <c r="D89" s="130"/>
      <c r="CN89" s="225"/>
      <c r="CQ89" s="226"/>
      <c r="LD89" s="213"/>
      <c r="LH89" s="286"/>
      <c r="LI89" s="287"/>
      <c r="LJ89" s="124"/>
      <c r="LK89" s="124"/>
      <c r="LL89" s="124"/>
      <c r="LM89" s="124"/>
      <c r="LN89" s="124"/>
      <c r="LO89" s="124"/>
      <c r="LP89" s="124"/>
      <c r="LQ89" s="124"/>
      <c r="LR89" s="124"/>
      <c r="NE89" s="330"/>
      <c r="NF89" s="325"/>
      <c r="NG89" s="325"/>
      <c r="NH89" s="325"/>
      <c r="NI89" s="325"/>
      <c r="NJ89" s="325"/>
      <c r="NK89" s="325"/>
      <c r="NL89" s="325"/>
      <c r="NM89" s="325"/>
      <c r="NN89" s="325"/>
      <c r="NO89" s="325"/>
      <c r="NP89" s="325"/>
      <c r="NQ89" s="325"/>
      <c r="NR89" s="325"/>
      <c r="NS89" s="325"/>
      <c r="NT89" s="325"/>
      <c r="NU89" s="325"/>
      <c r="NV89" s="325"/>
      <c r="NW89" s="325"/>
      <c r="NX89" s="325"/>
      <c r="NY89" s="325"/>
      <c r="NZ89" s="325"/>
      <c r="OA89" s="325"/>
      <c r="OB89" s="325"/>
      <c r="OC89" s="325"/>
      <c r="OD89" s="325"/>
      <c r="OE89" s="325"/>
      <c r="OF89" s="325"/>
      <c r="OG89" s="325"/>
      <c r="OH89" s="325"/>
      <c r="OI89" s="325"/>
      <c r="OJ89" s="325"/>
      <c r="OK89" s="325"/>
      <c r="OL89" s="325"/>
      <c r="OM89" s="325"/>
      <c r="ON89" s="325"/>
      <c r="OO89" s="325"/>
      <c r="OP89" s="325"/>
      <c r="OQ89" s="325"/>
      <c r="OR89" s="325"/>
      <c r="OS89" s="325"/>
      <c r="OT89" s="325"/>
      <c r="OU89" s="325"/>
      <c r="OV89" s="325"/>
      <c r="OW89" s="325"/>
      <c r="OX89" s="325"/>
      <c r="OY89" s="325"/>
      <c r="OZ89" s="325"/>
      <c r="PA89" s="325"/>
      <c r="PB89" s="325"/>
      <c r="PC89" s="325"/>
      <c r="PD89" s="325"/>
      <c r="PE89" s="325"/>
      <c r="PF89" s="325"/>
      <c r="PG89" s="325"/>
      <c r="PH89" s="325"/>
      <c r="PI89" s="325"/>
      <c r="PJ89" s="325"/>
      <c r="PK89" s="325"/>
      <c r="PL89" s="325"/>
      <c r="PM89" s="325"/>
      <c r="PN89" s="325"/>
      <c r="PO89" s="325"/>
      <c r="PP89" s="325"/>
      <c r="PQ89" s="325"/>
      <c r="PR89" s="325"/>
      <c r="PS89" s="325"/>
      <c r="PT89" s="325"/>
      <c r="PU89" s="325"/>
      <c r="PV89" s="325"/>
      <c r="PW89" s="325"/>
      <c r="PX89" s="325"/>
      <c r="PY89" s="325"/>
      <c r="PZ89" s="325"/>
      <c r="QA89" s="325"/>
      <c r="QB89" s="325"/>
      <c r="QC89" s="325"/>
      <c r="QD89" s="325"/>
      <c r="QE89" s="325"/>
      <c r="QF89" s="325"/>
      <c r="QG89" s="325"/>
      <c r="QH89" s="325"/>
      <c r="QI89" s="325"/>
      <c r="QJ89" s="325"/>
      <c r="QK89" s="325"/>
      <c r="QL89" s="325"/>
      <c r="QM89" s="325"/>
      <c r="QN89" s="325"/>
      <c r="QO89" s="325"/>
      <c r="QP89" s="325"/>
      <c r="QQ89" s="325"/>
      <c r="QR89" s="325"/>
      <c r="QS89" s="325"/>
      <c r="QT89" s="325"/>
      <c r="QU89" s="325"/>
      <c r="QV89" s="325"/>
      <c r="QW89" s="325"/>
      <c r="QX89" s="325"/>
      <c r="QY89" s="325"/>
      <c r="QZ89" s="325"/>
      <c r="RA89" s="325"/>
      <c r="RB89" s="325"/>
      <c r="RC89" s="325"/>
      <c r="RD89" s="325"/>
      <c r="RE89" s="325"/>
      <c r="RF89" s="325"/>
      <c r="RG89" s="325"/>
      <c r="RH89" s="325"/>
      <c r="RI89" s="325"/>
      <c r="RJ89" s="325"/>
      <c r="RK89" s="325"/>
      <c r="RL89" s="325"/>
      <c r="RM89" s="325"/>
      <c r="RN89" s="325"/>
      <c r="RO89" s="325"/>
      <c r="RP89" s="325"/>
      <c r="RQ89" s="325"/>
      <c r="RR89" s="325"/>
      <c r="RS89" s="325"/>
      <c r="RT89" s="325"/>
      <c r="RU89" s="325"/>
      <c r="RV89" s="325"/>
      <c r="RW89" s="325"/>
      <c r="RX89" s="325"/>
      <c r="RY89" s="325"/>
      <c r="RZ89" s="325"/>
      <c r="SA89" s="325"/>
      <c r="SB89" s="325"/>
      <c r="SC89" s="325"/>
      <c r="SD89" s="325"/>
      <c r="SE89" s="325"/>
      <c r="SF89" s="325"/>
      <c r="SG89" s="325"/>
      <c r="SH89" s="325"/>
      <c r="SI89" s="325"/>
      <c r="SJ89" s="325"/>
      <c r="SK89" s="325"/>
      <c r="SL89" s="325"/>
      <c r="SM89" s="325"/>
      <c r="SN89" s="325"/>
      <c r="SO89" s="325"/>
      <c r="SP89" s="325"/>
      <c r="SQ89" s="325"/>
      <c r="SR89" s="325"/>
      <c r="SS89" s="325"/>
      <c r="ST89" s="325"/>
      <c r="SU89" s="325"/>
      <c r="SV89" s="325"/>
      <c r="SW89" s="325"/>
      <c r="SX89" s="325"/>
      <c r="SY89" s="325"/>
      <c r="SZ89" s="325"/>
      <c r="TA89" s="325"/>
      <c r="TB89" s="325"/>
      <c r="TC89" s="325"/>
      <c r="TD89" s="325"/>
      <c r="TE89" s="325"/>
      <c r="TF89" s="325"/>
      <c r="TG89" s="325"/>
      <c r="TH89" s="325"/>
      <c r="TI89" s="325"/>
      <c r="TJ89" s="325"/>
      <c r="TK89" s="325"/>
      <c r="TL89" s="325"/>
      <c r="TM89" s="325"/>
      <c r="TN89" s="325"/>
      <c r="TO89" s="325"/>
      <c r="TP89" s="325"/>
      <c r="TQ89" s="325"/>
      <c r="TR89" s="325"/>
      <c r="TS89" s="325"/>
      <c r="TT89" s="325"/>
      <c r="TU89" s="325"/>
      <c r="TV89" s="325"/>
      <c r="TW89" s="325"/>
      <c r="TX89" s="325"/>
      <c r="TY89" s="325"/>
      <c r="TZ89" s="325"/>
      <c r="UA89" s="325"/>
      <c r="UB89" s="325"/>
      <c r="UC89" s="325"/>
      <c r="UD89" s="325"/>
      <c r="UE89" s="325"/>
      <c r="UF89" s="325"/>
      <c r="UG89" s="325"/>
      <c r="UH89" s="325"/>
      <c r="UI89" s="325"/>
      <c r="UJ89" s="325"/>
      <c r="UK89" s="325"/>
      <c r="UL89" s="325"/>
      <c r="UM89" s="325"/>
      <c r="UN89" s="325"/>
      <c r="UO89" s="325"/>
      <c r="UP89" s="325"/>
      <c r="UQ89" s="325"/>
      <c r="UR89" s="325"/>
      <c r="US89" s="325"/>
      <c r="UT89" s="325"/>
      <c r="UU89" s="325"/>
      <c r="UV89" s="325"/>
      <c r="UW89" s="325"/>
      <c r="UX89" s="325"/>
      <c r="UY89" s="325"/>
      <c r="UZ89" s="325"/>
      <c r="VA89" s="325"/>
      <c r="VB89" s="325"/>
      <c r="VC89" s="325"/>
      <c r="VD89" s="325"/>
      <c r="VE89" s="325"/>
      <c r="VF89" s="325"/>
      <c r="VG89" s="325"/>
      <c r="VH89" s="325"/>
      <c r="VI89" s="325"/>
      <c r="VJ89" s="325"/>
      <c r="VK89" s="325"/>
      <c r="VL89" s="325"/>
      <c r="VM89" s="325"/>
      <c r="VN89" s="325"/>
      <c r="VO89" s="325"/>
      <c r="VP89" s="325"/>
      <c r="VQ89" s="325"/>
      <c r="VR89" s="325"/>
      <c r="VS89" s="325"/>
      <c r="VT89" s="325"/>
      <c r="VU89" s="325"/>
      <c r="VV89" s="325"/>
      <c r="VW89" s="325"/>
      <c r="VX89" s="325"/>
      <c r="VY89" s="325"/>
      <c r="VZ89" s="325"/>
      <c r="WA89" s="325"/>
      <c r="WB89" s="325"/>
      <c r="WC89" s="325"/>
      <c r="WD89" s="325"/>
      <c r="WE89" s="325"/>
      <c r="WF89" s="325"/>
      <c r="WG89" s="325"/>
      <c r="WH89" s="325"/>
      <c r="WI89" s="325"/>
      <c r="WJ89" s="325"/>
      <c r="WK89" s="325"/>
      <c r="WL89" s="325"/>
      <c r="WM89" s="325"/>
      <c r="WN89" s="325"/>
      <c r="WO89" s="325"/>
      <c r="WP89" s="325"/>
      <c r="WQ89" s="325"/>
      <c r="WR89" s="325"/>
      <c r="WS89" s="325"/>
      <c r="WT89" s="325"/>
      <c r="WU89" s="325"/>
      <c r="WV89" s="325"/>
      <c r="WW89" s="325"/>
      <c r="WX89" s="325"/>
      <c r="WY89" s="325"/>
      <c r="WZ89" s="325"/>
      <c r="XA89" s="325"/>
      <c r="XB89" s="325"/>
      <c r="XC89" s="325"/>
      <c r="XD89" s="325"/>
      <c r="XE89" s="325"/>
      <c r="XF89" s="325"/>
      <c r="XG89" s="325"/>
      <c r="XH89" s="325"/>
      <c r="XI89" s="325"/>
      <c r="XJ89" s="325"/>
      <c r="XK89" s="325"/>
      <c r="XL89" s="325"/>
      <c r="XM89" s="325"/>
      <c r="XN89" s="325"/>
      <c r="XO89" s="325"/>
      <c r="XP89" s="325"/>
      <c r="XQ89" s="325"/>
      <c r="XR89" s="325"/>
      <c r="XS89" s="325"/>
      <c r="XT89" s="325"/>
      <c r="XU89" s="325"/>
      <c r="XV89" s="325"/>
      <c r="XW89" s="325"/>
      <c r="XX89" s="325"/>
      <c r="XY89" s="325"/>
      <c r="XZ89" s="325"/>
      <c r="YA89" s="325"/>
      <c r="YB89" s="325"/>
      <c r="YC89" s="325"/>
      <c r="YD89" s="325"/>
      <c r="YE89" s="325"/>
      <c r="YF89" s="325"/>
      <c r="YG89" s="325"/>
      <c r="YH89" s="325"/>
      <c r="YI89" s="325"/>
      <c r="YJ89" s="325"/>
      <c r="YK89" s="325"/>
      <c r="YL89" s="325"/>
      <c r="YM89" s="325"/>
      <c r="YN89" s="325"/>
      <c r="YO89" s="325"/>
      <c r="YP89" s="325"/>
      <c r="YQ89" s="325"/>
      <c r="YR89" s="325"/>
      <c r="YS89" s="325"/>
      <c r="YT89" s="325"/>
      <c r="YU89" s="325"/>
      <c r="YV89" s="325"/>
      <c r="YW89" s="325"/>
      <c r="YX89" s="325"/>
      <c r="YY89" s="325"/>
      <c r="YZ89" s="325"/>
      <c r="ZA89" s="325"/>
      <c r="ZB89" s="325"/>
      <c r="ZC89" s="325"/>
      <c r="ZD89" s="325"/>
      <c r="ZE89" s="325"/>
      <c r="ZF89" s="325"/>
      <c r="ZG89" s="325"/>
      <c r="ZH89" s="325"/>
      <c r="ZI89" s="325"/>
      <c r="ZJ89" s="325"/>
      <c r="ZK89" s="325"/>
      <c r="ZL89" s="325"/>
      <c r="ZM89" s="325"/>
      <c r="ZN89" s="325"/>
      <c r="ZO89" s="325"/>
      <c r="ZP89" s="325"/>
      <c r="ZQ89" s="325"/>
      <c r="ZR89" s="325"/>
      <c r="ZS89" s="325"/>
      <c r="ZT89" s="325"/>
      <c r="ZU89" s="325"/>
      <c r="ZV89" s="325"/>
      <c r="ZW89" s="325"/>
      <c r="ZX89" s="325"/>
      <c r="ZY89" s="325"/>
      <c r="ZZ89" s="325"/>
      <c r="AAA89" s="325"/>
      <c r="AAB89" s="325"/>
      <c r="AAC89" s="325"/>
      <c r="AAD89" s="325"/>
      <c r="AAE89" s="325"/>
      <c r="AAF89" s="325"/>
      <c r="AAG89" s="325"/>
      <c r="AAH89" s="325"/>
      <c r="AAI89" s="325"/>
      <c r="AAJ89" s="325"/>
      <c r="AAK89" s="325"/>
      <c r="AAL89" s="325"/>
      <c r="AAM89" s="325"/>
      <c r="AAN89" s="325"/>
      <c r="AAO89" s="325"/>
      <c r="AAP89" s="325"/>
      <c r="AAQ89" s="325"/>
      <c r="AAR89" s="325"/>
      <c r="AAS89" s="325"/>
      <c r="AAT89" s="325"/>
      <c r="AAU89" s="325"/>
      <c r="AAV89" s="325"/>
      <c r="AAW89" s="325"/>
      <c r="AAX89" s="325"/>
      <c r="AAY89" s="325"/>
      <c r="AAZ89" s="325"/>
      <c r="ABA89" s="325"/>
      <c r="ABB89" s="325"/>
      <c r="ABC89" s="325"/>
      <c r="ABD89" s="325"/>
      <c r="ABE89" s="325"/>
      <c r="ABF89" s="325"/>
      <c r="ABG89" s="325"/>
      <c r="ABH89" s="325"/>
      <c r="ABI89" s="325"/>
      <c r="ABJ89" s="325"/>
      <c r="ABK89" s="325"/>
      <c r="ABL89" s="325"/>
      <c r="ABM89" s="325"/>
      <c r="ABN89" s="325"/>
      <c r="ABO89" s="325"/>
      <c r="ABP89" s="325"/>
      <c r="ABQ89" s="325"/>
      <c r="ABR89" s="325"/>
      <c r="ABS89" s="325"/>
      <c r="ABT89" s="325"/>
      <c r="ABU89" s="325"/>
      <c r="ABV89" s="325"/>
      <c r="ABW89" s="325"/>
      <c r="ABX89" s="325"/>
      <c r="ABY89" s="325"/>
      <c r="ABZ89" s="325"/>
      <c r="ACA89" s="325"/>
      <c r="ACB89" s="325"/>
      <c r="ACC89" s="325"/>
      <c r="ACD89" s="325"/>
      <c r="ACE89" s="325"/>
      <c r="ACF89" s="325"/>
      <c r="ACG89" s="325"/>
      <c r="ACH89" s="325"/>
      <c r="ACI89" s="325"/>
      <c r="ACJ89" s="325"/>
      <c r="ACK89" s="325"/>
      <c r="ACL89" s="325"/>
      <c r="ACM89" s="325"/>
      <c r="ACN89" s="325"/>
      <c r="ACO89" s="325"/>
      <c r="ACP89" s="325"/>
      <c r="ACQ89" s="325"/>
      <c r="ACR89" s="325"/>
      <c r="ACS89" s="325"/>
      <c r="ACT89" s="325"/>
      <c r="ACU89" s="325"/>
      <c r="ACV89" s="325"/>
      <c r="ACW89" s="325"/>
      <c r="ACX89" s="325"/>
      <c r="ACY89" s="325"/>
      <c r="ACZ89" s="325"/>
      <c r="ADA89" s="325"/>
      <c r="ADB89" s="325"/>
      <c r="ADC89" s="325"/>
      <c r="ADD89" s="325"/>
      <c r="ADE89" s="325"/>
      <c r="ADF89" s="325"/>
      <c r="ADG89" s="325"/>
      <c r="ADH89" s="325"/>
      <c r="ADI89" s="325"/>
      <c r="ADJ89" s="325"/>
      <c r="ADK89" s="325"/>
      <c r="ADL89" s="325"/>
      <c r="ADM89" s="325"/>
      <c r="ADN89" s="325"/>
      <c r="ADO89" s="325"/>
      <c r="ADP89" s="325"/>
      <c r="ADQ89" s="325"/>
      <c r="ADR89" s="325"/>
      <c r="ADS89" s="325"/>
      <c r="ADT89" s="325"/>
      <c r="ADU89" s="325"/>
      <c r="ADV89" s="325"/>
      <c r="ADW89" s="325"/>
      <c r="ADX89" s="325"/>
      <c r="ADY89" s="325"/>
      <c r="ADZ89" s="325"/>
      <c r="AEA89" s="325"/>
      <c r="AEB89" s="325"/>
      <c r="AEC89" s="325"/>
      <c r="AED89" s="325"/>
      <c r="AEE89" s="325"/>
      <c r="AEF89" s="325"/>
      <c r="AEG89" s="325"/>
      <c r="AEH89" s="325"/>
      <c r="AEI89" s="325"/>
      <c r="AEJ89" s="325"/>
      <c r="AEK89" s="325"/>
      <c r="AEL89" s="325"/>
      <c r="AEM89" s="325"/>
      <c r="AEN89" s="325"/>
      <c r="AEO89" s="325"/>
      <c r="AEP89" s="325"/>
      <c r="AEQ89" s="325"/>
      <c r="AER89" s="325"/>
      <c r="AES89" s="325"/>
      <c r="AET89" s="325"/>
      <c r="AEU89" s="325"/>
      <c r="AEV89" s="325"/>
      <c r="AEW89" s="325"/>
      <c r="AEX89" s="325"/>
      <c r="AEY89" s="325"/>
      <c r="AEZ89" s="325"/>
      <c r="AFA89" s="325"/>
      <c r="AFB89" s="325"/>
      <c r="AFC89" s="325"/>
      <c r="AFD89" s="325"/>
      <c r="AFE89" s="325"/>
      <c r="AFF89" s="325"/>
      <c r="AFG89" s="325"/>
      <c r="AFH89" s="325"/>
      <c r="AFI89" s="325"/>
      <c r="AFJ89" s="325"/>
      <c r="AFK89" s="325"/>
      <c r="AFL89" s="325"/>
      <c r="AFM89" s="325"/>
      <c r="AFN89" s="325"/>
      <c r="AFO89" s="325"/>
      <c r="AFP89" s="325"/>
      <c r="AFQ89" s="325"/>
      <c r="AFR89" s="325"/>
      <c r="AFS89" s="325"/>
      <c r="AFT89" s="325"/>
      <c r="AFU89" s="325"/>
      <c r="AFV89" s="325"/>
      <c r="AFW89" s="325"/>
      <c r="AFX89" s="325"/>
      <c r="AFY89" s="325"/>
      <c r="AFZ89" s="325"/>
      <c r="AGA89" s="325"/>
      <c r="AGB89" s="325"/>
      <c r="AGC89" s="325"/>
      <c r="AGD89" s="325"/>
      <c r="AGE89" s="325"/>
      <c r="AGF89" s="325"/>
      <c r="AGG89" s="325"/>
      <c r="AGH89" s="325"/>
      <c r="AGI89" s="325"/>
      <c r="AGJ89" s="325"/>
      <c r="AGK89" s="325"/>
      <c r="AGL89" s="325"/>
      <c r="AGM89" s="325"/>
      <c r="AGN89" s="325"/>
      <c r="AGO89" s="325"/>
      <c r="AGP89" s="325"/>
      <c r="AGQ89" s="325"/>
      <c r="AGR89" s="325"/>
      <c r="AGS89" s="325"/>
      <c r="AGT89" s="325"/>
      <c r="AGU89" s="325"/>
      <c r="AGV89" s="325"/>
      <c r="AGW89" s="325"/>
      <c r="AGX89" s="325"/>
      <c r="AGY89" s="325"/>
      <c r="AGZ89" s="325"/>
      <c r="AHA89" s="325"/>
      <c r="AHB89" s="325"/>
      <c r="AHC89" s="325"/>
      <c r="AHD89" s="325"/>
      <c r="AHE89" s="325"/>
      <c r="AHF89" s="325"/>
      <c r="AHG89" s="325"/>
      <c r="AHH89" s="325"/>
      <c r="AHI89" s="325"/>
      <c r="AHJ89" s="325"/>
      <c r="AHK89" s="325"/>
      <c r="AHL89" s="325"/>
      <c r="AHM89" s="325"/>
      <c r="AHN89" s="325"/>
      <c r="AHO89" s="325"/>
      <c r="AHP89" s="325"/>
      <c r="AHQ89" s="325"/>
      <c r="AHR89" s="325"/>
      <c r="AHS89" s="325"/>
      <c r="AHT89" s="325"/>
      <c r="AHU89" s="325"/>
      <c r="AHV89" s="325"/>
      <c r="AHW89" s="325"/>
      <c r="AHX89" s="325"/>
      <c r="AHY89" s="325"/>
      <c r="AHZ89" s="325"/>
      <c r="AIA89" s="325"/>
      <c r="AIB89" s="325"/>
      <c r="AIC89" s="325"/>
      <c r="AID89" s="325"/>
      <c r="AIE89" s="325"/>
      <c r="AIF89" s="325"/>
      <c r="AIG89" s="325"/>
      <c r="AIH89" s="325"/>
      <c r="AII89" s="325"/>
      <c r="AIJ89" s="325"/>
      <c r="AIK89" s="325"/>
      <c r="AIL89" s="325"/>
      <c r="AIM89" s="325"/>
      <c r="AIN89" s="325"/>
      <c r="AIO89" s="325"/>
      <c r="AIP89" s="325"/>
      <c r="AIQ89" s="325"/>
      <c r="AIR89" s="325"/>
      <c r="AIS89" s="325"/>
      <c r="AIT89" s="325"/>
      <c r="AIU89" s="325"/>
      <c r="AIV89" s="325"/>
      <c r="AIW89" s="325"/>
      <c r="AIX89" s="325"/>
      <c r="AIY89" s="325"/>
      <c r="AIZ89" s="325"/>
      <c r="AJA89" s="325"/>
      <c r="AJB89" s="325"/>
      <c r="AJC89" s="325"/>
      <c r="AJD89" s="325"/>
      <c r="AJE89" s="325"/>
      <c r="AJF89" s="325"/>
      <c r="AJG89" s="325"/>
      <c r="AJH89" s="325"/>
      <c r="AJI89" s="325"/>
      <c r="AJJ89" s="325"/>
      <c r="AJK89" s="325"/>
      <c r="AJL89" s="325"/>
      <c r="AJM89" s="325"/>
      <c r="AJN89" s="325"/>
      <c r="AJO89" s="325"/>
      <c r="AJP89" s="325"/>
      <c r="AJQ89" s="325"/>
      <c r="AJR89" s="325"/>
      <c r="AJS89" s="325"/>
      <c r="AJT89" s="325"/>
      <c r="AJU89" s="325"/>
      <c r="AJV89" s="325"/>
      <c r="AJW89" s="325"/>
      <c r="AJX89" s="325"/>
      <c r="AJY89" s="325"/>
      <c r="AJZ89" s="325"/>
      <c r="AKA89" s="325"/>
      <c r="AKB89" s="325"/>
      <c r="AKC89" s="325"/>
      <c r="AKD89" s="325"/>
      <c r="AKE89" s="325"/>
      <c r="AKF89" s="325"/>
      <c r="AKG89" s="325"/>
      <c r="AKH89" s="325"/>
      <c r="AKI89" s="325"/>
      <c r="AKJ89" s="325"/>
      <c r="AKK89" s="325"/>
      <c r="AKL89" s="325"/>
      <c r="AKM89" s="325"/>
      <c r="AKN89" s="325"/>
      <c r="AKO89" s="325"/>
      <c r="AKP89" s="325"/>
      <c r="AKQ89" s="325"/>
      <c r="AKR89" s="325"/>
      <c r="AKS89" s="325"/>
      <c r="AKT89" s="325"/>
      <c r="AKU89" s="325"/>
      <c r="AKV89" s="325"/>
      <c r="AKW89" s="325"/>
      <c r="AKX89" s="325"/>
      <c r="AKY89" s="325"/>
      <c r="AKZ89" s="325"/>
      <c r="ALA89" s="325"/>
      <c r="ALB89" s="325"/>
      <c r="ALC89" s="325"/>
      <c r="ALD89" s="325"/>
      <c r="ALE89" s="325"/>
      <c r="ALF89" s="325"/>
      <c r="ALG89" s="325"/>
      <c r="ALH89" s="325"/>
      <c r="ALI89" s="325"/>
      <c r="ALJ89" s="325"/>
      <c r="ALK89" s="325"/>
      <c r="ALL89" s="325"/>
      <c r="ALM89" s="325"/>
      <c r="ALN89" s="325"/>
      <c r="ALO89" s="325"/>
      <c r="ALP89" s="325"/>
      <c r="ALQ89" s="325"/>
      <c r="ALR89" s="325"/>
      <c r="ALS89" s="325"/>
      <c r="ALT89" s="325"/>
      <c r="ALU89" s="325"/>
      <c r="ALV89" s="325"/>
      <c r="ALW89" s="325"/>
      <c r="ALX89" s="325"/>
      <c r="ALY89" s="325"/>
      <c r="ALZ89" s="325"/>
      <c r="AMA89" s="325"/>
      <c r="AMB89" s="325"/>
      <c r="AMC89" s="325"/>
    </row>
    <row r="90" spans="3:1017" s="75" customFormat="1">
      <c r="C90" s="130"/>
      <c r="D90" s="130"/>
      <c r="CN90" s="225"/>
      <c r="CQ90" s="226"/>
      <c r="LD90" s="213"/>
      <c r="LH90" s="286"/>
      <c r="LI90" s="287"/>
      <c r="LJ90" s="124"/>
      <c r="LK90" s="124"/>
      <c r="LL90" s="124"/>
      <c r="LM90" s="124"/>
      <c r="LN90" s="124"/>
      <c r="LO90" s="124"/>
      <c r="LP90" s="124"/>
      <c r="LQ90" s="124"/>
      <c r="LR90" s="124"/>
      <c r="NE90" s="330"/>
      <c r="NF90" s="325"/>
      <c r="NG90" s="325"/>
      <c r="NH90" s="325"/>
      <c r="NI90" s="325"/>
      <c r="NJ90" s="325"/>
      <c r="NK90" s="325"/>
      <c r="NL90" s="325"/>
      <c r="NM90" s="325"/>
      <c r="NN90" s="325"/>
      <c r="NO90" s="325"/>
      <c r="NP90" s="325"/>
      <c r="NQ90" s="325"/>
      <c r="NR90" s="325"/>
      <c r="NS90" s="325"/>
      <c r="NT90" s="325"/>
      <c r="NU90" s="325"/>
      <c r="NV90" s="325"/>
      <c r="NW90" s="325"/>
      <c r="NX90" s="325"/>
      <c r="NY90" s="325"/>
      <c r="NZ90" s="325"/>
      <c r="OA90" s="325"/>
      <c r="OB90" s="325"/>
      <c r="OC90" s="325"/>
      <c r="OD90" s="325"/>
      <c r="OE90" s="325"/>
      <c r="OF90" s="325"/>
      <c r="OG90" s="325"/>
      <c r="OH90" s="325"/>
      <c r="OI90" s="325"/>
      <c r="OJ90" s="325"/>
      <c r="OK90" s="325"/>
      <c r="OL90" s="325"/>
      <c r="OM90" s="325"/>
      <c r="ON90" s="325"/>
      <c r="OO90" s="325"/>
      <c r="OP90" s="325"/>
      <c r="OQ90" s="325"/>
      <c r="OR90" s="325"/>
      <c r="OS90" s="325"/>
      <c r="OT90" s="325"/>
      <c r="OU90" s="325"/>
      <c r="OV90" s="325"/>
      <c r="OW90" s="325"/>
      <c r="OX90" s="325"/>
      <c r="OY90" s="325"/>
      <c r="OZ90" s="325"/>
      <c r="PA90" s="325"/>
      <c r="PB90" s="325"/>
      <c r="PC90" s="325"/>
      <c r="PD90" s="325"/>
      <c r="PE90" s="325"/>
      <c r="PF90" s="325"/>
      <c r="PG90" s="325"/>
      <c r="PH90" s="325"/>
      <c r="PI90" s="325"/>
      <c r="PJ90" s="325"/>
      <c r="PK90" s="325"/>
      <c r="PL90" s="325"/>
      <c r="PM90" s="325"/>
      <c r="PN90" s="325"/>
      <c r="PO90" s="325"/>
      <c r="PP90" s="325"/>
      <c r="PQ90" s="325"/>
      <c r="PR90" s="325"/>
      <c r="PS90" s="325"/>
      <c r="PT90" s="325"/>
      <c r="PU90" s="325"/>
      <c r="PV90" s="325"/>
      <c r="PW90" s="325"/>
      <c r="PX90" s="325"/>
      <c r="PY90" s="325"/>
      <c r="PZ90" s="325"/>
      <c r="QA90" s="325"/>
      <c r="QB90" s="325"/>
      <c r="QC90" s="325"/>
      <c r="QD90" s="325"/>
      <c r="QE90" s="325"/>
      <c r="QF90" s="325"/>
      <c r="QG90" s="325"/>
      <c r="QH90" s="325"/>
      <c r="QI90" s="325"/>
      <c r="QJ90" s="325"/>
      <c r="QK90" s="325"/>
      <c r="QL90" s="325"/>
      <c r="QM90" s="325"/>
      <c r="QN90" s="325"/>
      <c r="QO90" s="325"/>
      <c r="QP90" s="325"/>
      <c r="QQ90" s="325"/>
      <c r="QR90" s="325"/>
      <c r="QS90" s="325"/>
      <c r="QT90" s="325"/>
      <c r="QU90" s="325"/>
      <c r="QV90" s="325"/>
      <c r="QW90" s="325"/>
      <c r="QX90" s="325"/>
      <c r="QY90" s="325"/>
      <c r="QZ90" s="325"/>
      <c r="RA90" s="325"/>
      <c r="RB90" s="325"/>
      <c r="RC90" s="325"/>
      <c r="RD90" s="325"/>
      <c r="RE90" s="325"/>
      <c r="RF90" s="325"/>
      <c r="RG90" s="325"/>
      <c r="RH90" s="325"/>
      <c r="RI90" s="325"/>
      <c r="RJ90" s="325"/>
      <c r="RK90" s="325"/>
      <c r="RL90" s="325"/>
      <c r="RM90" s="325"/>
      <c r="RN90" s="325"/>
      <c r="RO90" s="325"/>
      <c r="RP90" s="325"/>
      <c r="RQ90" s="325"/>
      <c r="RR90" s="325"/>
      <c r="RS90" s="325"/>
      <c r="RT90" s="325"/>
      <c r="RU90" s="325"/>
      <c r="RV90" s="325"/>
      <c r="RW90" s="325"/>
      <c r="RX90" s="325"/>
      <c r="RY90" s="325"/>
      <c r="RZ90" s="325"/>
      <c r="SA90" s="325"/>
      <c r="SB90" s="325"/>
      <c r="SC90" s="325"/>
      <c r="SD90" s="325"/>
      <c r="SE90" s="325"/>
      <c r="SF90" s="325"/>
      <c r="SG90" s="325"/>
      <c r="SH90" s="325"/>
      <c r="SI90" s="325"/>
      <c r="SJ90" s="325"/>
      <c r="SK90" s="325"/>
      <c r="SL90" s="325"/>
      <c r="SM90" s="325"/>
      <c r="SN90" s="325"/>
      <c r="SO90" s="325"/>
      <c r="SP90" s="325"/>
      <c r="SQ90" s="325"/>
      <c r="SR90" s="325"/>
      <c r="SS90" s="325"/>
      <c r="ST90" s="325"/>
      <c r="SU90" s="325"/>
      <c r="SV90" s="325"/>
      <c r="SW90" s="325"/>
      <c r="SX90" s="325"/>
      <c r="SY90" s="325"/>
      <c r="SZ90" s="325"/>
      <c r="TA90" s="325"/>
      <c r="TB90" s="325"/>
      <c r="TC90" s="325"/>
      <c r="TD90" s="325"/>
      <c r="TE90" s="325"/>
      <c r="TF90" s="325"/>
      <c r="TG90" s="325"/>
      <c r="TH90" s="325"/>
      <c r="TI90" s="325"/>
      <c r="TJ90" s="325"/>
      <c r="TK90" s="325"/>
      <c r="TL90" s="325"/>
      <c r="TM90" s="325"/>
      <c r="TN90" s="325"/>
      <c r="TO90" s="325"/>
      <c r="TP90" s="325"/>
      <c r="TQ90" s="325"/>
      <c r="TR90" s="325"/>
      <c r="TS90" s="325"/>
      <c r="TT90" s="325"/>
      <c r="TU90" s="325"/>
      <c r="TV90" s="325"/>
      <c r="TW90" s="325"/>
      <c r="TX90" s="325"/>
      <c r="TY90" s="325"/>
      <c r="TZ90" s="325"/>
      <c r="UA90" s="325"/>
      <c r="UB90" s="325"/>
      <c r="UC90" s="325"/>
      <c r="UD90" s="325"/>
      <c r="UE90" s="325"/>
      <c r="UF90" s="325"/>
      <c r="UG90" s="325"/>
      <c r="UH90" s="325"/>
      <c r="UI90" s="325"/>
      <c r="UJ90" s="325"/>
      <c r="UK90" s="325"/>
      <c r="UL90" s="325"/>
      <c r="UM90" s="325"/>
      <c r="UN90" s="325"/>
      <c r="UO90" s="325"/>
      <c r="UP90" s="325"/>
      <c r="UQ90" s="325"/>
      <c r="UR90" s="325"/>
      <c r="US90" s="325"/>
      <c r="UT90" s="325"/>
      <c r="UU90" s="325"/>
      <c r="UV90" s="325"/>
      <c r="UW90" s="325"/>
      <c r="UX90" s="325"/>
      <c r="UY90" s="325"/>
      <c r="UZ90" s="325"/>
      <c r="VA90" s="325"/>
      <c r="VB90" s="325"/>
      <c r="VC90" s="325"/>
      <c r="VD90" s="325"/>
      <c r="VE90" s="325"/>
      <c r="VF90" s="325"/>
      <c r="VG90" s="325"/>
      <c r="VH90" s="325"/>
      <c r="VI90" s="325"/>
      <c r="VJ90" s="325"/>
      <c r="VK90" s="325"/>
      <c r="VL90" s="325"/>
      <c r="VM90" s="325"/>
      <c r="VN90" s="325"/>
      <c r="VO90" s="325"/>
      <c r="VP90" s="325"/>
      <c r="VQ90" s="325"/>
      <c r="VR90" s="325"/>
      <c r="VS90" s="325"/>
      <c r="VT90" s="325"/>
      <c r="VU90" s="325"/>
      <c r="VV90" s="325"/>
      <c r="VW90" s="325"/>
      <c r="VX90" s="325"/>
      <c r="VY90" s="325"/>
      <c r="VZ90" s="325"/>
      <c r="WA90" s="325"/>
      <c r="WB90" s="325"/>
      <c r="WC90" s="325"/>
      <c r="WD90" s="325"/>
      <c r="WE90" s="325"/>
      <c r="WF90" s="325"/>
      <c r="WG90" s="325"/>
      <c r="WH90" s="325"/>
      <c r="WI90" s="325"/>
      <c r="WJ90" s="325"/>
      <c r="WK90" s="325"/>
      <c r="WL90" s="325"/>
      <c r="WM90" s="325"/>
      <c r="WN90" s="325"/>
      <c r="WO90" s="325"/>
      <c r="WP90" s="325"/>
      <c r="WQ90" s="325"/>
      <c r="WR90" s="325"/>
      <c r="WS90" s="325"/>
      <c r="WT90" s="325"/>
      <c r="WU90" s="325"/>
      <c r="WV90" s="325"/>
      <c r="WW90" s="325"/>
      <c r="WX90" s="325"/>
      <c r="WY90" s="325"/>
      <c r="WZ90" s="325"/>
      <c r="XA90" s="325"/>
      <c r="XB90" s="325"/>
      <c r="XC90" s="325"/>
      <c r="XD90" s="325"/>
      <c r="XE90" s="325"/>
      <c r="XF90" s="325"/>
      <c r="XG90" s="325"/>
      <c r="XH90" s="325"/>
      <c r="XI90" s="325"/>
      <c r="XJ90" s="325"/>
      <c r="XK90" s="325"/>
      <c r="XL90" s="325"/>
      <c r="XM90" s="325"/>
      <c r="XN90" s="325"/>
      <c r="XO90" s="325"/>
      <c r="XP90" s="325"/>
      <c r="XQ90" s="325"/>
      <c r="XR90" s="325"/>
      <c r="XS90" s="325"/>
      <c r="XT90" s="325"/>
      <c r="XU90" s="325"/>
      <c r="XV90" s="325"/>
      <c r="XW90" s="325"/>
      <c r="XX90" s="325"/>
      <c r="XY90" s="325"/>
      <c r="XZ90" s="325"/>
      <c r="YA90" s="325"/>
      <c r="YB90" s="325"/>
      <c r="YC90" s="325"/>
      <c r="YD90" s="325"/>
      <c r="YE90" s="325"/>
      <c r="YF90" s="325"/>
      <c r="YG90" s="325"/>
      <c r="YH90" s="325"/>
      <c r="YI90" s="325"/>
      <c r="YJ90" s="325"/>
      <c r="YK90" s="325"/>
      <c r="YL90" s="325"/>
      <c r="YM90" s="325"/>
      <c r="YN90" s="325"/>
      <c r="YO90" s="325"/>
      <c r="YP90" s="325"/>
      <c r="YQ90" s="325"/>
      <c r="YR90" s="325"/>
      <c r="YS90" s="325"/>
      <c r="YT90" s="325"/>
      <c r="YU90" s="325"/>
      <c r="YV90" s="325"/>
      <c r="YW90" s="325"/>
      <c r="YX90" s="325"/>
      <c r="YY90" s="325"/>
      <c r="YZ90" s="325"/>
      <c r="ZA90" s="325"/>
      <c r="ZB90" s="325"/>
      <c r="ZC90" s="325"/>
      <c r="ZD90" s="325"/>
      <c r="ZE90" s="325"/>
      <c r="ZF90" s="325"/>
      <c r="ZG90" s="325"/>
      <c r="ZH90" s="325"/>
      <c r="ZI90" s="325"/>
      <c r="ZJ90" s="325"/>
      <c r="ZK90" s="325"/>
      <c r="ZL90" s="325"/>
      <c r="ZM90" s="325"/>
      <c r="ZN90" s="325"/>
      <c r="ZO90" s="325"/>
      <c r="ZP90" s="325"/>
      <c r="ZQ90" s="325"/>
      <c r="ZR90" s="325"/>
      <c r="ZS90" s="325"/>
      <c r="ZT90" s="325"/>
      <c r="ZU90" s="325"/>
      <c r="ZV90" s="325"/>
      <c r="ZW90" s="325"/>
      <c r="ZX90" s="325"/>
      <c r="ZY90" s="325"/>
      <c r="ZZ90" s="325"/>
      <c r="AAA90" s="325"/>
      <c r="AAB90" s="325"/>
      <c r="AAC90" s="325"/>
      <c r="AAD90" s="325"/>
      <c r="AAE90" s="325"/>
      <c r="AAF90" s="325"/>
      <c r="AAG90" s="325"/>
      <c r="AAH90" s="325"/>
      <c r="AAI90" s="325"/>
      <c r="AAJ90" s="325"/>
      <c r="AAK90" s="325"/>
      <c r="AAL90" s="325"/>
      <c r="AAM90" s="325"/>
      <c r="AAN90" s="325"/>
      <c r="AAO90" s="325"/>
      <c r="AAP90" s="325"/>
      <c r="AAQ90" s="325"/>
      <c r="AAR90" s="325"/>
      <c r="AAS90" s="325"/>
      <c r="AAT90" s="325"/>
      <c r="AAU90" s="325"/>
      <c r="AAV90" s="325"/>
      <c r="AAW90" s="325"/>
      <c r="AAX90" s="325"/>
      <c r="AAY90" s="325"/>
      <c r="AAZ90" s="325"/>
      <c r="ABA90" s="325"/>
      <c r="ABB90" s="325"/>
      <c r="ABC90" s="325"/>
      <c r="ABD90" s="325"/>
      <c r="ABE90" s="325"/>
      <c r="ABF90" s="325"/>
      <c r="ABG90" s="325"/>
      <c r="ABH90" s="325"/>
      <c r="ABI90" s="325"/>
      <c r="ABJ90" s="325"/>
      <c r="ABK90" s="325"/>
      <c r="ABL90" s="325"/>
      <c r="ABM90" s="325"/>
      <c r="ABN90" s="325"/>
      <c r="ABO90" s="325"/>
      <c r="ABP90" s="325"/>
      <c r="ABQ90" s="325"/>
      <c r="ABR90" s="325"/>
      <c r="ABS90" s="325"/>
      <c r="ABT90" s="325"/>
      <c r="ABU90" s="325"/>
      <c r="ABV90" s="325"/>
      <c r="ABW90" s="325"/>
      <c r="ABX90" s="325"/>
      <c r="ABY90" s="325"/>
      <c r="ABZ90" s="325"/>
      <c r="ACA90" s="325"/>
      <c r="ACB90" s="325"/>
      <c r="ACC90" s="325"/>
      <c r="ACD90" s="325"/>
      <c r="ACE90" s="325"/>
      <c r="ACF90" s="325"/>
      <c r="ACG90" s="325"/>
      <c r="ACH90" s="325"/>
      <c r="ACI90" s="325"/>
      <c r="ACJ90" s="325"/>
      <c r="ACK90" s="325"/>
      <c r="ACL90" s="325"/>
      <c r="ACM90" s="325"/>
      <c r="ACN90" s="325"/>
      <c r="ACO90" s="325"/>
      <c r="ACP90" s="325"/>
      <c r="ACQ90" s="325"/>
      <c r="ACR90" s="325"/>
      <c r="ACS90" s="325"/>
      <c r="ACT90" s="325"/>
      <c r="ACU90" s="325"/>
      <c r="ACV90" s="325"/>
      <c r="ACW90" s="325"/>
      <c r="ACX90" s="325"/>
      <c r="ACY90" s="325"/>
      <c r="ACZ90" s="325"/>
      <c r="ADA90" s="325"/>
      <c r="ADB90" s="325"/>
      <c r="ADC90" s="325"/>
      <c r="ADD90" s="325"/>
      <c r="ADE90" s="325"/>
      <c r="ADF90" s="325"/>
      <c r="ADG90" s="325"/>
      <c r="ADH90" s="325"/>
      <c r="ADI90" s="325"/>
      <c r="ADJ90" s="325"/>
      <c r="ADK90" s="325"/>
      <c r="ADL90" s="325"/>
      <c r="ADM90" s="325"/>
      <c r="ADN90" s="325"/>
      <c r="ADO90" s="325"/>
      <c r="ADP90" s="325"/>
      <c r="ADQ90" s="325"/>
      <c r="ADR90" s="325"/>
      <c r="ADS90" s="325"/>
      <c r="ADT90" s="325"/>
      <c r="ADU90" s="325"/>
      <c r="ADV90" s="325"/>
      <c r="ADW90" s="325"/>
      <c r="ADX90" s="325"/>
      <c r="ADY90" s="325"/>
      <c r="ADZ90" s="325"/>
      <c r="AEA90" s="325"/>
      <c r="AEB90" s="325"/>
      <c r="AEC90" s="325"/>
      <c r="AED90" s="325"/>
      <c r="AEE90" s="325"/>
      <c r="AEF90" s="325"/>
      <c r="AEG90" s="325"/>
      <c r="AEH90" s="325"/>
      <c r="AEI90" s="325"/>
      <c r="AEJ90" s="325"/>
      <c r="AEK90" s="325"/>
      <c r="AEL90" s="325"/>
      <c r="AEM90" s="325"/>
      <c r="AEN90" s="325"/>
      <c r="AEO90" s="325"/>
      <c r="AEP90" s="325"/>
      <c r="AEQ90" s="325"/>
      <c r="AER90" s="325"/>
      <c r="AES90" s="325"/>
      <c r="AET90" s="325"/>
      <c r="AEU90" s="325"/>
      <c r="AEV90" s="325"/>
      <c r="AEW90" s="325"/>
      <c r="AEX90" s="325"/>
      <c r="AEY90" s="325"/>
      <c r="AEZ90" s="325"/>
      <c r="AFA90" s="325"/>
      <c r="AFB90" s="325"/>
      <c r="AFC90" s="325"/>
      <c r="AFD90" s="325"/>
      <c r="AFE90" s="325"/>
      <c r="AFF90" s="325"/>
      <c r="AFG90" s="325"/>
      <c r="AFH90" s="325"/>
      <c r="AFI90" s="325"/>
      <c r="AFJ90" s="325"/>
      <c r="AFK90" s="325"/>
      <c r="AFL90" s="325"/>
      <c r="AFM90" s="325"/>
      <c r="AFN90" s="325"/>
      <c r="AFO90" s="325"/>
      <c r="AFP90" s="325"/>
      <c r="AFQ90" s="325"/>
      <c r="AFR90" s="325"/>
      <c r="AFS90" s="325"/>
      <c r="AFT90" s="325"/>
      <c r="AFU90" s="325"/>
      <c r="AFV90" s="325"/>
      <c r="AFW90" s="325"/>
      <c r="AFX90" s="325"/>
      <c r="AFY90" s="325"/>
      <c r="AFZ90" s="325"/>
      <c r="AGA90" s="325"/>
      <c r="AGB90" s="325"/>
      <c r="AGC90" s="325"/>
      <c r="AGD90" s="325"/>
      <c r="AGE90" s="325"/>
      <c r="AGF90" s="325"/>
      <c r="AGG90" s="325"/>
      <c r="AGH90" s="325"/>
      <c r="AGI90" s="325"/>
      <c r="AGJ90" s="325"/>
      <c r="AGK90" s="325"/>
      <c r="AGL90" s="325"/>
      <c r="AGM90" s="325"/>
      <c r="AGN90" s="325"/>
      <c r="AGO90" s="325"/>
      <c r="AGP90" s="325"/>
      <c r="AGQ90" s="325"/>
      <c r="AGR90" s="325"/>
      <c r="AGS90" s="325"/>
      <c r="AGT90" s="325"/>
      <c r="AGU90" s="325"/>
      <c r="AGV90" s="325"/>
      <c r="AGW90" s="325"/>
      <c r="AGX90" s="325"/>
      <c r="AGY90" s="325"/>
      <c r="AGZ90" s="325"/>
      <c r="AHA90" s="325"/>
      <c r="AHB90" s="325"/>
      <c r="AHC90" s="325"/>
      <c r="AHD90" s="325"/>
      <c r="AHE90" s="325"/>
      <c r="AHF90" s="325"/>
      <c r="AHG90" s="325"/>
      <c r="AHH90" s="325"/>
      <c r="AHI90" s="325"/>
      <c r="AHJ90" s="325"/>
      <c r="AHK90" s="325"/>
      <c r="AHL90" s="325"/>
      <c r="AHM90" s="325"/>
      <c r="AHN90" s="325"/>
      <c r="AHO90" s="325"/>
      <c r="AHP90" s="325"/>
      <c r="AHQ90" s="325"/>
      <c r="AHR90" s="325"/>
      <c r="AHS90" s="325"/>
      <c r="AHT90" s="325"/>
      <c r="AHU90" s="325"/>
      <c r="AHV90" s="325"/>
      <c r="AHW90" s="325"/>
      <c r="AHX90" s="325"/>
      <c r="AHY90" s="325"/>
      <c r="AHZ90" s="325"/>
      <c r="AIA90" s="325"/>
      <c r="AIB90" s="325"/>
      <c r="AIC90" s="325"/>
      <c r="AID90" s="325"/>
      <c r="AIE90" s="325"/>
      <c r="AIF90" s="325"/>
      <c r="AIG90" s="325"/>
      <c r="AIH90" s="325"/>
      <c r="AII90" s="325"/>
      <c r="AIJ90" s="325"/>
      <c r="AIK90" s="325"/>
      <c r="AIL90" s="325"/>
      <c r="AIM90" s="325"/>
      <c r="AIN90" s="325"/>
      <c r="AIO90" s="325"/>
      <c r="AIP90" s="325"/>
      <c r="AIQ90" s="325"/>
      <c r="AIR90" s="325"/>
      <c r="AIS90" s="325"/>
      <c r="AIT90" s="325"/>
      <c r="AIU90" s="325"/>
      <c r="AIV90" s="325"/>
      <c r="AIW90" s="325"/>
      <c r="AIX90" s="325"/>
      <c r="AIY90" s="325"/>
      <c r="AIZ90" s="325"/>
      <c r="AJA90" s="325"/>
      <c r="AJB90" s="325"/>
      <c r="AJC90" s="325"/>
      <c r="AJD90" s="325"/>
      <c r="AJE90" s="325"/>
      <c r="AJF90" s="325"/>
      <c r="AJG90" s="325"/>
      <c r="AJH90" s="325"/>
      <c r="AJI90" s="325"/>
      <c r="AJJ90" s="325"/>
      <c r="AJK90" s="325"/>
      <c r="AJL90" s="325"/>
      <c r="AJM90" s="325"/>
      <c r="AJN90" s="325"/>
      <c r="AJO90" s="325"/>
      <c r="AJP90" s="325"/>
      <c r="AJQ90" s="325"/>
      <c r="AJR90" s="325"/>
      <c r="AJS90" s="325"/>
      <c r="AJT90" s="325"/>
      <c r="AJU90" s="325"/>
      <c r="AJV90" s="325"/>
      <c r="AJW90" s="325"/>
      <c r="AJX90" s="325"/>
      <c r="AJY90" s="325"/>
      <c r="AJZ90" s="325"/>
      <c r="AKA90" s="325"/>
      <c r="AKB90" s="325"/>
      <c r="AKC90" s="325"/>
      <c r="AKD90" s="325"/>
      <c r="AKE90" s="325"/>
      <c r="AKF90" s="325"/>
      <c r="AKG90" s="325"/>
      <c r="AKH90" s="325"/>
      <c r="AKI90" s="325"/>
      <c r="AKJ90" s="325"/>
      <c r="AKK90" s="325"/>
      <c r="AKL90" s="325"/>
      <c r="AKM90" s="325"/>
      <c r="AKN90" s="325"/>
      <c r="AKO90" s="325"/>
      <c r="AKP90" s="325"/>
      <c r="AKQ90" s="325"/>
      <c r="AKR90" s="325"/>
      <c r="AKS90" s="325"/>
      <c r="AKT90" s="325"/>
      <c r="AKU90" s="325"/>
      <c r="AKV90" s="325"/>
      <c r="AKW90" s="325"/>
      <c r="AKX90" s="325"/>
      <c r="AKY90" s="325"/>
      <c r="AKZ90" s="325"/>
      <c r="ALA90" s="325"/>
      <c r="ALB90" s="325"/>
      <c r="ALC90" s="325"/>
      <c r="ALD90" s="325"/>
      <c r="ALE90" s="325"/>
      <c r="ALF90" s="325"/>
      <c r="ALG90" s="325"/>
      <c r="ALH90" s="325"/>
      <c r="ALI90" s="325"/>
      <c r="ALJ90" s="325"/>
      <c r="ALK90" s="325"/>
      <c r="ALL90" s="325"/>
      <c r="ALM90" s="325"/>
      <c r="ALN90" s="325"/>
      <c r="ALO90" s="325"/>
      <c r="ALP90" s="325"/>
      <c r="ALQ90" s="325"/>
      <c r="ALR90" s="325"/>
      <c r="ALS90" s="325"/>
      <c r="ALT90" s="325"/>
      <c r="ALU90" s="325"/>
      <c r="ALV90" s="325"/>
      <c r="ALW90" s="325"/>
      <c r="ALX90" s="325"/>
      <c r="ALY90" s="325"/>
      <c r="ALZ90" s="325"/>
      <c r="AMA90" s="325"/>
      <c r="AMB90" s="325"/>
      <c r="AMC90" s="325"/>
    </row>
    <row r="91" spans="3:1017" s="75" customFormat="1">
      <c r="C91" s="130"/>
      <c r="D91" s="130"/>
      <c r="CN91" s="225"/>
      <c r="CQ91" s="226"/>
      <c r="LD91" s="213"/>
      <c r="LH91" s="286"/>
      <c r="LI91" s="287"/>
      <c r="LJ91" s="124"/>
      <c r="LK91" s="124"/>
      <c r="LL91" s="124"/>
      <c r="LM91" s="124"/>
      <c r="LN91" s="124"/>
      <c r="LO91" s="124"/>
      <c r="LP91" s="124"/>
      <c r="LQ91" s="124"/>
      <c r="LR91" s="124"/>
      <c r="NE91" s="330"/>
      <c r="NF91" s="325"/>
      <c r="NG91" s="325"/>
      <c r="NH91" s="325"/>
      <c r="NI91" s="325"/>
      <c r="NJ91" s="325"/>
      <c r="NK91" s="325"/>
      <c r="NL91" s="325"/>
      <c r="NM91" s="325"/>
      <c r="NN91" s="325"/>
      <c r="NO91" s="325"/>
      <c r="NP91" s="325"/>
      <c r="NQ91" s="325"/>
      <c r="NR91" s="325"/>
      <c r="NS91" s="325"/>
      <c r="NT91" s="325"/>
      <c r="NU91" s="325"/>
      <c r="NV91" s="325"/>
      <c r="NW91" s="325"/>
      <c r="NX91" s="325"/>
      <c r="NY91" s="325"/>
      <c r="NZ91" s="325"/>
      <c r="OA91" s="325"/>
      <c r="OB91" s="325"/>
      <c r="OC91" s="325"/>
      <c r="OD91" s="325"/>
      <c r="OE91" s="325"/>
      <c r="OF91" s="325"/>
      <c r="OG91" s="325"/>
      <c r="OH91" s="325"/>
      <c r="OI91" s="325"/>
      <c r="OJ91" s="325"/>
      <c r="OK91" s="325"/>
      <c r="OL91" s="325"/>
      <c r="OM91" s="325"/>
      <c r="ON91" s="325"/>
      <c r="OO91" s="325"/>
      <c r="OP91" s="325"/>
      <c r="OQ91" s="325"/>
      <c r="OR91" s="325"/>
      <c r="OS91" s="325"/>
      <c r="OT91" s="325"/>
      <c r="OU91" s="325"/>
      <c r="OV91" s="325"/>
      <c r="OW91" s="325"/>
      <c r="OX91" s="325"/>
      <c r="OY91" s="325"/>
      <c r="OZ91" s="325"/>
      <c r="PA91" s="325"/>
      <c r="PB91" s="325"/>
      <c r="PC91" s="325"/>
      <c r="PD91" s="325"/>
      <c r="PE91" s="325"/>
      <c r="PF91" s="325"/>
      <c r="PG91" s="325"/>
      <c r="PH91" s="325"/>
      <c r="PI91" s="325"/>
      <c r="PJ91" s="325"/>
      <c r="PK91" s="325"/>
      <c r="PL91" s="325"/>
      <c r="PM91" s="325"/>
      <c r="PN91" s="325"/>
      <c r="PO91" s="325"/>
      <c r="PP91" s="325"/>
      <c r="PQ91" s="325"/>
      <c r="PR91" s="325"/>
      <c r="PS91" s="325"/>
      <c r="PT91" s="325"/>
      <c r="PU91" s="325"/>
      <c r="PV91" s="325"/>
      <c r="PW91" s="325"/>
      <c r="PX91" s="325"/>
      <c r="PY91" s="325"/>
      <c r="PZ91" s="325"/>
      <c r="QA91" s="325"/>
      <c r="QB91" s="325"/>
      <c r="QC91" s="325"/>
      <c r="QD91" s="325"/>
      <c r="QE91" s="325"/>
      <c r="QF91" s="325"/>
      <c r="QG91" s="325"/>
      <c r="QH91" s="325"/>
      <c r="QI91" s="325"/>
      <c r="QJ91" s="325"/>
      <c r="QK91" s="325"/>
      <c r="QL91" s="325"/>
      <c r="QM91" s="325"/>
      <c r="QN91" s="325"/>
      <c r="QO91" s="325"/>
      <c r="QP91" s="325"/>
      <c r="QQ91" s="325"/>
      <c r="QR91" s="325"/>
      <c r="QS91" s="325"/>
      <c r="QT91" s="325"/>
      <c r="QU91" s="325"/>
      <c r="QV91" s="325"/>
      <c r="QW91" s="325"/>
      <c r="QX91" s="325"/>
      <c r="QY91" s="325"/>
      <c r="QZ91" s="325"/>
      <c r="RA91" s="325"/>
      <c r="RB91" s="325"/>
      <c r="RC91" s="325"/>
      <c r="RD91" s="325"/>
      <c r="RE91" s="325"/>
      <c r="RF91" s="325"/>
      <c r="RG91" s="325"/>
      <c r="RH91" s="325"/>
      <c r="RI91" s="325"/>
      <c r="RJ91" s="325"/>
      <c r="RK91" s="325"/>
      <c r="RL91" s="325"/>
      <c r="RM91" s="325"/>
      <c r="RN91" s="325"/>
      <c r="RO91" s="325"/>
      <c r="RP91" s="325"/>
      <c r="RQ91" s="325"/>
      <c r="RR91" s="325"/>
      <c r="RS91" s="325"/>
      <c r="RT91" s="325"/>
      <c r="RU91" s="325"/>
      <c r="RV91" s="325"/>
      <c r="RW91" s="325"/>
      <c r="RX91" s="325"/>
      <c r="RY91" s="325"/>
      <c r="RZ91" s="325"/>
      <c r="SA91" s="325"/>
      <c r="SB91" s="325"/>
      <c r="SC91" s="325"/>
      <c r="SD91" s="325"/>
      <c r="SE91" s="325"/>
      <c r="SF91" s="325"/>
      <c r="SG91" s="325"/>
      <c r="SH91" s="325"/>
      <c r="SI91" s="325"/>
      <c r="SJ91" s="325"/>
      <c r="SK91" s="325"/>
      <c r="SL91" s="325"/>
      <c r="SM91" s="325"/>
      <c r="SN91" s="325"/>
      <c r="SO91" s="325"/>
      <c r="SP91" s="325"/>
      <c r="SQ91" s="325"/>
      <c r="SR91" s="325"/>
      <c r="SS91" s="325"/>
      <c r="ST91" s="325"/>
      <c r="SU91" s="325"/>
      <c r="SV91" s="325"/>
      <c r="SW91" s="325"/>
      <c r="SX91" s="325"/>
      <c r="SY91" s="325"/>
      <c r="SZ91" s="325"/>
      <c r="TA91" s="325"/>
      <c r="TB91" s="325"/>
      <c r="TC91" s="325"/>
      <c r="TD91" s="325"/>
      <c r="TE91" s="325"/>
      <c r="TF91" s="325"/>
      <c r="TG91" s="325"/>
      <c r="TH91" s="325"/>
      <c r="TI91" s="325"/>
      <c r="TJ91" s="325"/>
      <c r="TK91" s="325"/>
      <c r="TL91" s="325"/>
      <c r="TM91" s="325"/>
      <c r="TN91" s="325"/>
      <c r="TO91" s="325"/>
      <c r="TP91" s="325"/>
      <c r="TQ91" s="325"/>
      <c r="TR91" s="325"/>
      <c r="TS91" s="325"/>
      <c r="TT91" s="325"/>
      <c r="TU91" s="325"/>
      <c r="TV91" s="325"/>
      <c r="TW91" s="325"/>
      <c r="TX91" s="325"/>
      <c r="TY91" s="325"/>
      <c r="TZ91" s="325"/>
      <c r="UA91" s="325"/>
      <c r="UB91" s="325"/>
      <c r="UC91" s="325"/>
      <c r="UD91" s="325"/>
      <c r="UE91" s="325"/>
      <c r="UF91" s="325"/>
      <c r="UG91" s="325"/>
      <c r="UH91" s="325"/>
      <c r="UI91" s="325"/>
      <c r="UJ91" s="325"/>
      <c r="UK91" s="325"/>
      <c r="UL91" s="325"/>
      <c r="UM91" s="325"/>
      <c r="UN91" s="325"/>
      <c r="UO91" s="325"/>
      <c r="UP91" s="325"/>
      <c r="UQ91" s="325"/>
      <c r="UR91" s="325"/>
      <c r="US91" s="325"/>
      <c r="UT91" s="325"/>
      <c r="UU91" s="325"/>
      <c r="UV91" s="325"/>
      <c r="UW91" s="325"/>
      <c r="UX91" s="325"/>
      <c r="UY91" s="325"/>
      <c r="UZ91" s="325"/>
      <c r="VA91" s="325"/>
      <c r="VB91" s="325"/>
      <c r="VC91" s="325"/>
      <c r="VD91" s="325"/>
      <c r="VE91" s="325"/>
      <c r="VF91" s="325"/>
      <c r="VG91" s="325"/>
      <c r="VH91" s="325"/>
      <c r="VI91" s="325"/>
      <c r="VJ91" s="325"/>
      <c r="VK91" s="325"/>
      <c r="VL91" s="325"/>
      <c r="VM91" s="325"/>
      <c r="VN91" s="325"/>
      <c r="VO91" s="325"/>
      <c r="VP91" s="325"/>
      <c r="VQ91" s="325"/>
      <c r="VR91" s="325"/>
      <c r="VS91" s="325"/>
      <c r="VT91" s="325"/>
      <c r="VU91" s="325"/>
      <c r="VV91" s="325"/>
      <c r="VW91" s="325"/>
      <c r="VX91" s="325"/>
      <c r="VY91" s="325"/>
      <c r="VZ91" s="325"/>
      <c r="WA91" s="325"/>
      <c r="WB91" s="325"/>
      <c r="WC91" s="325"/>
      <c r="WD91" s="325"/>
      <c r="WE91" s="325"/>
      <c r="WF91" s="325"/>
      <c r="WG91" s="325"/>
      <c r="WH91" s="325"/>
      <c r="WI91" s="325"/>
      <c r="WJ91" s="325"/>
      <c r="WK91" s="325"/>
      <c r="WL91" s="325"/>
      <c r="WM91" s="325"/>
      <c r="WN91" s="325"/>
      <c r="WO91" s="325"/>
      <c r="WP91" s="325"/>
      <c r="WQ91" s="325"/>
      <c r="WR91" s="325"/>
      <c r="WS91" s="325"/>
      <c r="WT91" s="325"/>
      <c r="WU91" s="325"/>
      <c r="WV91" s="325"/>
      <c r="WW91" s="325"/>
      <c r="WX91" s="325"/>
      <c r="WY91" s="325"/>
      <c r="WZ91" s="325"/>
      <c r="XA91" s="325"/>
      <c r="XB91" s="325"/>
      <c r="XC91" s="325"/>
      <c r="XD91" s="325"/>
      <c r="XE91" s="325"/>
      <c r="XF91" s="325"/>
      <c r="XG91" s="325"/>
      <c r="XH91" s="325"/>
      <c r="XI91" s="325"/>
      <c r="XJ91" s="325"/>
      <c r="XK91" s="325"/>
      <c r="XL91" s="325"/>
      <c r="XM91" s="325"/>
      <c r="XN91" s="325"/>
      <c r="XO91" s="325"/>
      <c r="XP91" s="325"/>
      <c r="XQ91" s="325"/>
      <c r="XR91" s="325"/>
      <c r="XS91" s="325"/>
      <c r="XT91" s="325"/>
      <c r="XU91" s="325"/>
      <c r="XV91" s="325"/>
      <c r="XW91" s="325"/>
      <c r="XX91" s="325"/>
      <c r="XY91" s="325"/>
      <c r="XZ91" s="325"/>
      <c r="YA91" s="325"/>
      <c r="YB91" s="325"/>
      <c r="YC91" s="325"/>
      <c r="YD91" s="325"/>
      <c r="YE91" s="325"/>
      <c r="YF91" s="325"/>
      <c r="YG91" s="325"/>
      <c r="YH91" s="325"/>
      <c r="YI91" s="325"/>
      <c r="YJ91" s="325"/>
      <c r="YK91" s="325"/>
      <c r="YL91" s="325"/>
      <c r="YM91" s="325"/>
      <c r="YN91" s="325"/>
      <c r="YO91" s="325"/>
      <c r="YP91" s="325"/>
      <c r="YQ91" s="325"/>
      <c r="YR91" s="325"/>
      <c r="YS91" s="325"/>
      <c r="YT91" s="325"/>
      <c r="YU91" s="325"/>
      <c r="YV91" s="325"/>
      <c r="YW91" s="325"/>
      <c r="YX91" s="325"/>
      <c r="YY91" s="325"/>
      <c r="YZ91" s="325"/>
      <c r="ZA91" s="325"/>
      <c r="ZB91" s="325"/>
      <c r="ZC91" s="325"/>
      <c r="ZD91" s="325"/>
      <c r="ZE91" s="325"/>
      <c r="ZF91" s="325"/>
      <c r="ZG91" s="325"/>
      <c r="ZH91" s="325"/>
      <c r="ZI91" s="325"/>
      <c r="ZJ91" s="325"/>
      <c r="ZK91" s="325"/>
      <c r="ZL91" s="325"/>
      <c r="ZM91" s="325"/>
      <c r="ZN91" s="325"/>
      <c r="ZO91" s="325"/>
      <c r="ZP91" s="325"/>
      <c r="ZQ91" s="325"/>
      <c r="ZR91" s="325"/>
      <c r="ZS91" s="325"/>
      <c r="ZT91" s="325"/>
      <c r="ZU91" s="325"/>
      <c r="ZV91" s="325"/>
      <c r="ZW91" s="325"/>
      <c r="ZX91" s="325"/>
      <c r="ZY91" s="325"/>
      <c r="ZZ91" s="325"/>
      <c r="AAA91" s="325"/>
      <c r="AAB91" s="325"/>
      <c r="AAC91" s="325"/>
      <c r="AAD91" s="325"/>
      <c r="AAE91" s="325"/>
      <c r="AAF91" s="325"/>
      <c r="AAG91" s="325"/>
      <c r="AAH91" s="325"/>
      <c r="AAI91" s="325"/>
      <c r="AAJ91" s="325"/>
      <c r="AAK91" s="325"/>
      <c r="AAL91" s="325"/>
      <c r="AAM91" s="325"/>
      <c r="AAN91" s="325"/>
      <c r="AAO91" s="325"/>
      <c r="AAP91" s="325"/>
      <c r="AAQ91" s="325"/>
      <c r="AAR91" s="325"/>
      <c r="AAS91" s="325"/>
      <c r="AAT91" s="325"/>
      <c r="AAU91" s="325"/>
      <c r="AAV91" s="325"/>
      <c r="AAW91" s="325"/>
      <c r="AAX91" s="325"/>
      <c r="AAY91" s="325"/>
      <c r="AAZ91" s="325"/>
      <c r="ABA91" s="325"/>
      <c r="ABB91" s="325"/>
      <c r="ABC91" s="325"/>
      <c r="ABD91" s="325"/>
      <c r="ABE91" s="325"/>
      <c r="ABF91" s="325"/>
      <c r="ABG91" s="325"/>
      <c r="ABH91" s="325"/>
      <c r="ABI91" s="325"/>
      <c r="ABJ91" s="325"/>
      <c r="ABK91" s="325"/>
      <c r="ABL91" s="325"/>
      <c r="ABM91" s="325"/>
      <c r="ABN91" s="325"/>
      <c r="ABO91" s="325"/>
      <c r="ABP91" s="325"/>
      <c r="ABQ91" s="325"/>
      <c r="ABR91" s="325"/>
      <c r="ABS91" s="325"/>
      <c r="ABT91" s="325"/>
      <c r="ABU91" s="325"/>
      <c r="ABV91" s="325"/>
      <c r="ABW91" s="325"/>
      <c r="ABX91" s="325"/>
      <c r="ABY91" s="325"/>
      <c r="ABZ91" s="325"/>
      <c r="ACA91" s="325"/>
      <c r="ACB91" s="325"/>
      <c r="ACC91" s="325"/>
      <c r="ACD91" s="325"/>
      <c r="ACE91" s="325"/>
      <c r="ACF91" s="325"/>
      <c r="ACG91" s="325"/>
      <c r="ACH91" s="325"/>
      <c r="ACI91" s="325"/>
      <c r="ACJ91" s="325"/>
      <c r="ACK91" s="325"/>
      <c r="ACL91" s="325"/>
      <c r="ACM91" s="325"/>
      <c r="ACN91" s="325"/>
      <c r="ACO91" s="325"/>
      <c r="ACP91" s="325"/>
      <c r="ACQ91" s="325"/>
      <c r="ACR91" s="325"/>
      <c r="ACS91" s="325"/>
      <c r="ACT91" s="325"/>
      <c r="ACU91" s="325"/>
      <c r="ACV91" s="325"/>
      <c r="ACW91" s="325"/>
      <c r="ACX91" s="325"/>
      <c r="ACY91" s="325"/>
      <c r="ACZ91" s="325"/>
      <c r="ADA91" s="325"/>
      <c r="ADB91" s="325"/>
      <c r="ADC91" s="325"/>
      <c r="ADD91" s="325"/>
      <c r="ADE91" s="325"/>
      <c r="ADF91" s="325"/>
      <c r="ADG91" s="325"/>
      <c r="ADH91" s="325"/>
      <c r="ADI91" s="325"/>
      <c r="ADJ91" s="325"/>
      <c r="ADK91" s="325"/>
      <c r="ADL91" s="325"/>
      <c r="ADM91" s="325"/>
      <c r="ADN91" s="325"/>
      <c r="ADO91" s="325"/>
      <c r="ADP91" s="325"/>
      <c r="ADQ91" s="325"/>
      <c r="ADR91" s="325"/>
      <c r="ADS91" s="325"/>
      <c r="ADT91" s="325"/>
      <c r="ADU91" s="325"/>
      <c r="ADV91" s="325"/>
      <c r="ADW91" s="325"/>
      <c r="ADX91" s="325"/>
      <c r="ADY91" s="325"/>
      <c r="ADZ91" s="325"/>
      <c r="AEA91" s="325"/>
      <c r="AEB91" s="325"/>
      <c r="AEC91" s="325"/>
      <c r="AED91" s="325"/>
      <c r="AEE91" s="325"/>
      <c r="AEF91" s="325"/>
      <c r="AEG91" s="325"/>
      <c r="AEH91" s="325"/>
      <c r="AEI91" s="325"/>
      <c r="AEJ91" s="325"/>
      <c r="AEK91" s="325"/>
      <c r="AEL91" s="325"/>
      <c r="AEM91" s="325"/>
      <c r="AEN91" s="325"/>
      <c r="AEO91" s="325"/>
      <c r="AEP91" s="325"/>
      <c r="AEQ91" s="325"/>
      <c r="AER91" s="325"/>
      <c r="AES91" s="325"/>
      <c r="AET91" s="325"/>
      <c r="AEU91" s="325"/>
      <c r="AEV91" s="325"/>
      <c r="AEW91" s="325"/>
      <c r="AEX91" s="325"/>
      <c r="AEY91" s="325"/>
      <c r="AEZ91" s="325"/>
      <c r="AFA91" s="325"/>
      <c r="AFB91" s="325"/>
      <c r="AFC91" s="325"/>
      <c r="AFD91" s="325"/>
      <c r="AFE91" s="325"/>
      <c r="AFF91" s="325"/>
      <c r="AFG91" s="325"/>
      <c r="AFH91" s="325"/>
      <c r="AFI91" s="325"/>
      <c r="AFJ91" s="325"/>
      <c r="AFK91" s="325"/>
      <c r="AFL91" s="325"/>
      <c r="AFM91" s="325"/>
      <c r="AFN91" s="325"/>
      <c r="AFO91" s="325"/>
      <c r="AFP91" s="325"/>
      <c r="AFQ91" s="325"/>
      <c r="AFR91" s="325"/>
      <c r="AFS91" s="325"/>
      <c r="AFT91" s="325"/>
      <c r="AFU91" s="325"/>
      <c r="AFV91" s="325"/>
      <c r="AFW91" s="325"/>
      <c r="AFX91" s="325"/>
      <c r="AFY91" s="325"/>
      <c r="AFZ91" s="325"/>
      <c r="AGA91" s="325"/>
      <c r="AGB91" s="325"/>
      <c r="AGC91" s="325"/>
      <c r="AGD91" s="325"/>
      <c r="AGE91" s="325"/>
      <c r="AGF91" s="325"/>
      <c r="AGG91" s="325"/>
      <c r="AGH91" s="325"/>
      <c r="AGI91" s="325"/>
      <c r="AGJ91" s="325"/>
      <c r="AGK91" s="325"/>
      <c r="AGL91" s="325"/>
      <c r="AGM91" s="325"/>
      <c r="AGN91" s="325"/>
      <c r="AGO91" s="325"/>
      <c r="AGP91" s="325"/>
      <c r="AGQ91" s="325"/>
      <c r="AGR91" s="325"/>
      <c r="AGS91" s="325"/>
      <c r="AGT91" s="325"/>
      <c r="AGU91" s="325"/>
      <c r="AGV91" s="325"/>
      <c r="AGW91" s="325"/>
      <c r="AGX91" s="325"/>
      <c r="AGY91" s="325"/>
      <c r="AGZ91" s="325"/>
      <c r="AHA91" s="325"/>
      <c r="AHB91" s="325"/>
      <c r="AHC91" s="325"/>
      <c r="AHD91" s="325"/>
      <c r="AHE91" s="325"/>
      <c r="AHF91" s="325"/>
      <c r="AHG91" s="325"/>
      <c r="AHH91" s="325"/>
      <c r="AHI91" s="325"/>
      <c r="AHJ91" s="325"/>
      <c r="AHK91" s="325"/>
      <c r="AHL91" s="325"/>
      <c r="AHM91" s="325"/>
      <c r="AHN91" s="325"/>
      <c r="AHO91" s="325"/>
      <c r="AHP91" s="325"/>
      <c r="AHQ91" s="325"/>
      <c r="AHR91" s="325"/>
      <c r="AHS91" s="325"/>
      <c r="AHT91" s="325"/>
      <c r="AHU91" s="325"/>
      <c r="AHV91" s="325"/>
      <c r="AHW91" s="325"/>
      <c r="AHX91" s="325"/>
      <c r="AHY91" s="325"/>
      <c r="AHZ91" s="325"/>
      <c r="AIA91" s="325"/>
      <c r="AIB91" s="325"/>
      <c r="AIC91" s="325"/>
      <c r="AID91" s="325"/>
      <c r="AIE91" s="325"/>
      <c r="AIF91" s="325"/>
      <c r="AIG91" s="325"/>
      <c r="AIH91" s="325"/>
      <c r="AII91" s="325"/>
      <c r="AIJ91" s="325"/>
      <c r="AIK91" s="325"/>
      <c r="AIL91" s="325"/>
      <c r="AIM91" s="325"/>
      <c r="AIN91" s="325"/>
      <c r="AIO91" s="325"/>
      <c r="AIP91" s="325"/>
      <c r="AIQ91" s="325"/>
      <c r="AIR91" s="325"/>
      <c r="AIS91" s="325"/>
      <c r="AIT91" s="325"/>
      <c r="AIU91" s="325"/>
      <c r="AIV91" s="325"/>
      <c r="AIW91" s="325"/>
      <c r="AIX91" s="325"/>
      <c r="AIY91" s="325"/>
      <c r="AIZ91" s="325"/>
      <c r="AJA91" s="325"/>
      <c r="AJB91" s="325"/>
      <c r="AJC91" s="325"/>
      <c r="AJD91" s="325"/>
      <c r="AJE91" s="325"/>
      <c r="AJF91" s="325"/>
      <c r="AJG91" s="325"/>
      <c r="AJH91" s="325"/>
      <c r="AJI91" s="325"/>
      <c r="AJJ91" s="325"/>
      <c r="AJK91" s="325"/>
      <c r="AJL91" s="325"/>
      <c r="AJM91" s="325"/>
      <c r="AJN91" s="325"/>
      <c r="AJO91" s="325"/>
      <c r="AJP91" s="325"/>
      <c r="AJQ91" s="325"/>
      <c r="AJR91" s="325"/>
      <c r="AJS91" s="325"/>
      <c r="AJT91" s="325"/>
      <c r="AJU91" s="325"/>
      <c r="AJV91" s="325"/>
      <c r="AJW91" s="325"/>
      <c r="AJX91" s="325"/>
      <c r="AJY91" s="325"/>
      <c r="AJZ91" s="325"/>
      <c r="AKA91" s="325"/>
      <c r="AKB91" s="325"/>
      <c r="AKC91" s="325"/>
      <c r="AKD91" s="325"/>
      <c r="AKE91" s="325"/>
      <c r="AKF91" s="325"/>
      <c r="AKG91" s="325"/>
      <c r="AKH91" s="325"/>
      <c r="AKI91" s="325"/>
      <c r="AKJ91" s="325"/>
      <c r="AKK91" s="325"/>
      <c r="AKL91" s="325"/>
      <c r="AKM91" s="325"/>
      <c r="AKN91" s="325"/>
      <c r="AKO91" s="325"/>
      <c r="AKP91" s="325"/>
      <c r="AKQ91" s="325"/>
      <c r="AKR91" s="325"/>
      <c r="AKS91" s="325"/>
      <c r="AKT91" s="325"/>
      <c r="AKU91" s="325"/>
      <c r="AKV91" s="325"/>
      <c r="AKW91" s="325"/>
      <c r="AKX91" s="325"/>
      <c r="AKY91" s="325"/>
      <c r="AKZ91" s="325"/>
      <c r="ALA91" s="325"/>
      <c r="ALB91" s="325"/>
      <c r="ALC91" s="325"/>
      <c r="ALD91" s="325"/>
      <c r="ALE91" s="325"/>
      <c r="ALF91" s="325"/>
      <c r="ALG91" s="325"/>
      <c r="ALH91" s="325"/>
      <c r="ALI91" s="325"/>
      <c r="ALJ91" s="325"/>
      <c r="ALK91" s="325"/>
      <c r="ALL91" s="325"/>
      <c r="ALM91" s="325"/>
      <c r="ALN91" s="325"/>
      <c r="ALO91" s="325"/>
      <c r="ALP91" s="325"/>
      <c r="ALQ91" s="325"/>
      <c r="ALR91" s="325"/>
      <c r="ALS91" s="325"/>
      <c r="ALT91" s="325"/>
      <c r="ALU91" s="325"/>
      <c r="ALV91" s="325"/>
      <c r="ALW91" s="325"/>
      <c r="ALX91" s="325"/>
      <c r="ALY91" s="325"/>
      <c r="ALZ91" s="325"/>
      <c r="AMA91" s="325"/>
      <c r="AMB91" s="325"/>
      <c r="AMC91" s="325"/>
    </row>
    <row r="92" spans="3:1017" s="75" customFormat="1">
      <c r="C92" s="130"/>
      <c r="D92" s="130"/>
      <c r="CN92" s="225"/>
      <c r="CQ92" s="226"/>
      <c r="LD92" s="213"/>
      <c r="LH92" s="286"/>
      <c r="LI92" s="287"/>
      <c r="LJ92" s="124"/>
      <c r="LK92" s="124"/>
      <c r="LL92" s="124"/>
      <c r="LM92" s="124"/>
      <c r="LN92" s="124"/>
      <c r="LO92" s="124"/>
      <c r="LP92" s="124"/>
      <c r="LQ92" s="124"/>
      <c r="LR92" s="124"/>
      <c r="NE92" s="330"/>
      <c r="NF92" s="325"/>
      <c r="NG92" s="325"/>
      <c r="NH92" s="325"/>
      <c r="NI92" s="325"/>
      <c r="NJ92" s="325"/>
      <c r="NK92" s="325"/>
      <c r="NL92" s="325"/>
      <c r="NM92" s="325"/>
      <c r="NN92" s="325"/>
      <c r="NO92" s="325"/>
      <c r="NP92" s="325"/>
      <c r="NQ92" s="325"/>
      <c r="NR92" s="325"/>
      <c r="NS92" s="325"/>
      <c r="NT92" s="325"/>
      <c r="NU92" s="325"/>
      <c r="NV92" s="325"/>
      <c r="NW92" s="325"/>
      <c r="NX92" s="325"/>
      <c r="NY92" s="325"/>
      <c r="NZ92" s="325"/>
      <c r="OA92" s="325"/>
      <c r="OB92" s="325"/>
      <c r="OC92" s="325"/>
      <c r="OD92" s="325"/>
      <c r="OE92" s="325"/>
      <c r="OF92" s="325"/>
      <c r="OG92" s="325"/>
      <c r="OH92" s="325"/>
      <c r="OI92" s="325"/>
      <c r="OJ92" s="325"/>
      <c r="OK92" s="325"/>
      <c r="OL92" s="325"/>
      <c r="OM92" s="325"/>
      <c r="ON92" s="325"/>
      <c r="OO92" s="325"/>
      <c r="OP92" s="325"/>
      <c r="OQ92" s="325"/>
      <c r="OR92" s="325"/>
      <c r="OS92" s="325"/>
      <c r="OT92" s="325"/>
      <c r="OU92" s="325"/>
      <c r="OV92" s="325"/>
      <c r="OW92" s="325"/>
      <c r="OX92" s="325"/>
      <c r="OY92" s="325"/>
      <c r="OZ92" s="325"/>
      <c r="PA92" s="325"/>
      <c r="PB92" s="325"/>
      <c r="PC92" s="325"/>
      <c r="PD92" s="325"/>
      <c r="PE92" s="325"/>
      <c r="PF92" s="325"/>
      <c r="PG92" s="325"/>
      <c r="PH92" s="325"/>
      <c r="PI92" s="325"/>
      <c r="PJ92" s="325"/>
      <c r="PK92" s="325"/>
      <c r="PL92" s="325"/>
      <c r="PM92" s="325"/>
      <c r="PN92" s="325"/>
      <c r="PO92" s="325"/>
      <c r="PP92" s="325"/>
      <c r="PQ92" s="325"/>
      <c r="PR92" s="325"/>
      <c r="PS92" s="325"/>
      <c r="PT92" s="325"/>
      <c r="PU92" s="325"/>
      <c r="PV92" s="325"/>
      <c r="PW92" s="325"/>
      <c r="PX92" s="325"/>
      <c r="PY92" s="325"/>
      <c r="PZ92" s="325"/>
      <c r="QA92" s="325"/>
      <c r="QB92" s="325"/>
      <c r="QC92" s="325"/>
      <c r="QD92" s="325"/>
      <c r="QE92" s="325"/>
      <c r="QF92" s="325"/>
      <c r="QG92" s="325"/>
      <c r="QH92" s="325"/>
      <c r="QI92" s="325"/>
      <c r="QJ92" s="325"/>
      <c r="QK92" s="325"/>
      <c r="QL92" s="325"/>
      <c r="QM92" s="325"/>
      <c r="QN92" s="325"/>
      <c r="QO92" s="325"/>
      <c r="QP92" s="325"/>
      <c r="QQ92" s="325"/>
      <c r="QR92" s="325"/>
      <c r="QS92" s="325"/>
      <c r="QT92" s="325"/>
      <c r="QU92" s="325"/>
      <c r="QV92" s="325"/>
      <c r="QW92" s="325"/>
      <c r="QX92" s="325"/>
      <c r="QY92" s="325"/>
      <c r="QZ92" s="325"/>
      <c r="RA92" s="325"/>
      <c r="RB92" s="325"/>
      <c r="RC92" s="325"/>
      <c r="RD92" s="325"/>
      <c r="RE92" s="325"/>
      <c r="RF92" s="325"/>
      <c r="RG92" s="325"/>
      <c r="RH92" s="325"/>
      <c r="RI92" s="325"/>
      <c r="RJ92" s="325"/>
      <c r="RK92" s="325"/>
      <c r="RL92" s="325"/>
      <c r="RM92" s="325"/>
      <c r="RN92" s="325"/>
      <c r="RO92" s="325"/>
      <c r="RP92" s="325"/>
      <c r="RQ92" s="325"/>
      <c r="RR92" s="325"/>
      <c r="RS92" s="325"/>
      <c r="RT92" s="325"/>
      <c r="RU92" s="325"/>
      <c r="RV92" s="325"/>
      <c r="RW92" s="325"/>
      <c r="RX92" s="325"/>
      <c r="RY92" s="325"/>
      <c r="RZ92" s="325"/>
      <c r="SA92" s="325"/>
      <c r="SB92" s="325"/>
      <c r="SC92" s="325"/>
      <c r="SD92" s="325"/>
      <c r="SE92" s="325"/>
      <c r="SF92" s="325"/>
      <c r="SG92" s="325"/>
      <c r="SH92" s="325"/>
      <c r="SI92" s="325"/>
      <c r="SJ92" s="325"/>
      <c r="SK92" s="325"/>
      <c r="SL92" s="325"/>
      <c r="SM92" s="325"/>
      <c r="SN92" s="325"/>
      <c r="SO92" s="325"/>
      <c r="SP92" s="325"/>
      <c r="SQ92" s="325"/>
      <c r="SR92" s="325"/>
      <c r="SS92" s="325"/>
      <c r="ST92" s="325"/>
      <c r="SU92" s="325"/>
      <c r="SV92" s="325"/>
      <c r="SW92" s="325"/>
      <c r="SX92" s="325"/>
      <c r="SY92" s="325"/>
      <c r="SZ92" s="325"/>
      <c r="TA92" s="325"/>
      <c r="TB92" s="325"/>
      <c r="TC92" s="325"/>
      <c r="TD92" s="325"/>
      <c r="TE92" s="325"/>
      <c r="TF92" s="325"/>
      <c r="TG92" s="325"/>
      <c r="TH92" s="325"/>
      <c r="TI92" s="325"/>
      <c r="TJ92" s="325"/>
      <c r="TK92" s="325"/>
      <c r="TL92" s="325"/>
      <c r="TM92" s="325"/>
      <c r="TN92" s="325"/>
      <c r="TO92" s="325"/>
      <c r="TP92" s="325"/>
      <c r="TQ92" s="325"/>
      <c r="TR92" s="325"/>
      <c r="TS92" s="325"/>
      <c r="TT92" s="325"/>
      <c r="TU92" s="325"/>
      <c r="TV92" s="325"/>
      <c r="TW92" s="325"/>
      <c r="TX92" s="325"/>
      <c r="TY92" s="325"/>
      <c r="TZ92" s="325"/>
      <c r="UA92" s="325"/>
      <c r="UB92" s="325"/>
      <c r="UC92" s="325"/>
      <c r="UD92" s="325"/>
      <c r="UE92" s="325"/>
      <c r="UF92" s="325"/>
      <c r="UG92" s="325"/>
      <c r="UH92" s="325"/>
      <c r="UI92" s="325"/>
      <c r="UJ92" s="325"/>
      <c r="UK92" s="325"/>
      <c r="UL92" s="325"/>
      <c r="UM92" s="325"/>
      <c r="UN92" s="325"/>
      <c r="UO92" s="325"/>
      <c r="UP92" s="325"/>
      <c r="UQ92" s="325"/>
      <c r="UR92" s="325"/>
      <c r="US92" s="325"/>
      <c r="UT92" s="325"/>
      <c r="UU92" s="325"/>
      <c r="UV92" s="325"/>
      <c r="UW92" s="325"/>
      <c r="UX92" s="325"/>
      <c r="UY92" s="325"/>
      <c r="UZ92" s="325"/>
      <c r="VA92" s="325"/>
      <c r="VB92" s="325"/>
      <c r="VC92" s="325"/>
      <c r="VD92" s="325"/>
      <c r="VE92" s="325"/>
      <c r="VF92" s="325"/>
      <c r="VG92" s="325"/>
      <c r="VH92" s="325"/>
      <c r="VI92" s="325"/>
      <c r="VJ92" s="325"/>
      <c r="VK92" s="325"/>
      <c r="VL92" s="325"/>
      <c r="VM92" s="325"/>
      <c r="VN92" s="325"/>
      <c r="VO92" s="325"/>
      <c r="VP92" s="325"/>
      <c r="VQ92" s="325"/>
      <c r="VR92" s="325"/>
      <c r="VS92" s="325"/>
      <c r="VT92" s="325"/>
      <c r="VU92" s="325"/>
      <c r="VV92" s="325"/>
      <c r="VW92" s="325"/>
      <c r="VX92" s="325"/>
      <c r="VY92" s="325"/>
      <c r="VZ92" s="325"/>
      <c r="WA92" s="325"/>
      <c r="WB92" s="325"/>
      <c r="WC92" s="325"/>
      <c r="WD92" s="325"/>
      <c r="WE92" s="325"/>
      <c r="WF92" s="325"/>
      <c r="WG92" s="325"/>
      <c r="WH92" s="325"/>
      <c r="WI92" s="325"/>
      <c r="WJ92" s="325"/>
      <c r="WK92" s="325"/>
      <c r="WL92" s="325"/>
      <c r="WM92" s="325"/>
      <c r="WN92" s="325"/>
      <c r="WO92" s="325"/>
      <c r="WP92" s="325"/>
      <c r="WQ92" s="325"/>
      <c r="WR92" s="325"/>
      <c r="WS92" s="325"/>
      <c r="WT92" s="325"/>
      <c r="WU92" s="325"/>
      <c r="WV92" s="325"/>
      <c r="WW92" s="325"/>
      <c r="WX92" s="325"/>
      <c r="WY92" s="325"/>
      <c r="WZ92" s="325"/>
      <c r="XA92" s="325"/>
      <c r="XB92" s="325"/>
      <c r="XC92" s="325"/>
      <c r="XD92" s="325"/>
      <c r="XE92" s="325"/>
      <c r="XF92" s="325"/>
      <c r="XG92" s="325"/>
      <c r="XH92" s="325"/>
      <c r="XI92" s="325"/>
      <c r="XJ92" s="325"/>
      <c r="XK92" s="325"/>
      <c r="XL92" s="325"/>
      <c r="XM92" s="325"/>
      <c r="XN92" s="325"/>
      <c r="XO92" s="325"/>
      <c r="XP92" s="325"/>
      <c r="XQ92" s="325"/>
      <c r="XR92" s="325"/>
      <c r="XS92" s="325"/>
      <c r="XT92" s="325"/>
      <c r="XU92" s="325"/>
      <c r="XV92" s="325"/>
      <c r="XW92" s="325"/>
      <c r="XX92" s="325"/>
      <c r="XY92" s="325"/>
      <c r="XZ92" s="325"/>
      <c r="YA92" s="325"/>
      <c r="YB92" s="325"/>
      <c r="YC92" s="325"/>
      <c r="YD92" s="325"/>
      <c r="YE92" s="325"/>
      <c r="YF92" s="325"/>
      <c r="YG92" s="325"/>
      <c r="YH92" s="325"/>
      <c r="YI92" s="325"/>
      <c r="YJ92" s="325"/>
      <c r="YK92" s="325"/>
      <c r="YL92" s="325"/>
      <c r="YM92" s="325"/>
      <c r="YN92" s="325"/>
      <c r="YO92" s="325"/>
      <c r="YP92" s="325"/>
      <c r="YQ92" s="325"/>
      <c r="YR92" s="325"/>
      <c r="YS92" s="325"/>
      <c r="YT92" s="325"/>
      <c r="YU92" s="325"/>
      <c r="YV92" s="325"/>
      <c r="YW92" s="325"/>
      <c r="YX92" s="325"/>
      <c r="YY92" s="325"/>
      <c r="YZ92" s="325"/>
      <c r="ZA92" s="325"/>
      <c r="ZB92" s="325"/>
      <c r="ZC92" s="325"/>
      <c r="ZD92" s="325"/>
      <c r="ZE92" s="325"/>
      <c r="ZF92" s="325"/>
      <c r="ZG92" s="325"/>
      <c r="ZH92" s="325"/>
      <c r="ZI92" s="325"/>
      <c r="ZJ92" s="325"/>
      <c r="ZK92" s="325"/>
      <c r="ZL92" s="325"/>
      <c r="ZM92" s="325"/>
      <c r="ZN92" s="325"/>
      <c r="ZO92" s="325"/>
      <c r="ZP92" s="325"/>
      <c r="ZQ92" s="325"/>
      <c r="ZR92" s="325"/>
      <c r="ZS92" s="325"/>
      <c r="ZT92" s="325"/>
      <c r="ZU92" s="325"/>
      <c r="ZV92" s="325"/>
      <c r="ZW92" s="325"/>
      <c r="ZX92" s="325"/>
      <c r="ZY92" s="325"/>
      <c r="ZZ92" s="325"/>
      <c r="AAA92" s="325"/>
      <c r="AAB92" s="325"/>
      <c r="AAC92" s="325"/>
      <c r="AAD92" s="325"/>
      <c r="AAE92" s="325"/>
      <c r="AAF92" s="325"/>
      <c r="AAG92" s="325"/>
      <c r="AAH92" s="325"/>
      <c r="AAI92" s="325"/>
      <c r="AAJ92" s="325"/>
      <c r="AAK92" s="325"/>
      <c r="AAL92" s="325"/>
      <c r="AAM92" s="325"/>
      <c r="AAN92" s="325"/>
      <c r="AAO92" s="325"/>
      <c r="AAP92" s="325"/>
      <c r="AAQ92" s="325"/>
      <c r="AAR92" s="325"/>
      <c r="AAS92" s="325"/>
      <c r="AAT92" s="325"/>
      <c r="AAU92" s="325"/>
      <c r="AAV92" s="325"/>
      <c r="AAW92" s="325"/>
      <c r="AAX92" s="325"/>
      <c r="AAY92" s="325"/>
      <c r="AAZ92" s="325"/>
      <c r="ABA92" s="325"/>
      <c r="ABB92" s="325"/>
      <c r="ABC92" s="325"/>
      <c r="ABD92" s="325"/>
      <c r="ABE92" s="325"/>
      <c r="ABF92" s="325"/>
      <c r="ABG92" s="325"/>
      <c r="ABH92" s="325"/>
      <c r="ABI92" s="325"/>
      <c r="ABJ92" s="325"/>
      <c r="ABK92" s="325"/>
      <c r="ABL92" s="325"/>
      <c r="ABM92" s="325"/>
      <c r="ABN92" s="325"/>
      <c r="ABO92" s="325"/>
      <c r="ABP92" s="325"/>
      <c r="ABQ92" s="325"/>
      <c r="ABR92" s="325"/>
      <c r="ABS92" s="325"/>
      <c r="ABT92" s="325"/>
      <c r="ABU92" s="325"/>
      <c r="ABV92" s="325"/>
      <c r="ABW92" s="325"/>
      <c r="ABX92" s="325"/>
      <c r="ABY92" s="325"/>
      <c r="ABZ92" s="325"/>
      <c r="ACA92" s="325"/>
      <c r="ACB92" s="325"/>
      <c r="ACC92" s="325"/>
      <c r="ACD92" s="325"/>
      <c r="ACE92" s="325"/>
      <c r="ACF92" s="325"/>
      <c r="ACG92" s="325"/>
      <c r="ACH92" s="325"/>
      <c r="ACI92" s="325"/>
      <c r="ACJ92" s="325"/>
      <c r="ACK92" s="325"/>
      <c r="ACL92" s="325"/>
      <c r="ACM92" s="325"/>
      <c r="ACN92" s="325"/>
      <c r="ACO92" s="325"/>
      <c r="ACP92" s="325"/>
      <c r="ACQ92" s="325"/>
      <c r="ACR92" s="325"/>
      <c r="ACS92" s="325"/>
      <c r="ACT92" s="325"/>
      <c r="ACU92" s="325"/>
      <c r="ACV92" s="325"/>
      <c r="ACW92" s="325"/>
      <c r="ACX92" s="325"/>
      <c r="ACY92" s="325"/>
      <c r="ACZ92" s="325"/>
      <c r="ADA92" s="325"/>
      <c r="ADB92" s="325"/>
      <c r="ADC92" s="325"/>
      <c r="ADD92" s="325"/>
      <c r="ADE92" s="325"/>
      <c r="ADF92" s="325"/>
      <c r="ADG92" s="325"/>
      <c r="ADH92" s="325"/>
      <c r="ADI92" s="325"/>
      <c r="ADJ92" s="325"/>
      <c r="ADK92" s="325"/>
      <c r="ADL92" s="325"/>
      <c r="ADM92" s="325"/>
      <c r="ADN92" s="325"/>
      <c r="ADO92" s="325"/>
      <c r="ADP92" s="325"/>
      <c r="ADQ92" s="325"/>
      <c r="ADR92" s="325"/>
      <c r="ADS92" s="325"/>
      <c r="ADT92" s="325"/>
      <c r="ADU92" s="325"/>
      <c r="ADV92" s="325"/>
      <c r="ADW92" s="325"/>
      <c r="ADX92" s="325"/>
      <c r="ADY92" s="325"/>
      <c r="ADZ92" s="325"/>
      <c r="AEA92" s="325"/>
      <c r="AEB92" s="325"/>
      <c r="AEC92" s="325"/>
      <c r="AED92" s="325"/>
      <c r="AEE92" s="325"/>
      <c r="AEF92" s="325"/>
      <c r="AEG92" s="325"/>
      <c r="AEH92" s="325"/>
      <c r="AEI92" s="325"/>
      <c r="AEJ92" s="325"/>
      <c r="AEK92" s="325"/>
      <c r="AEL92" s="325"/>
      <c r="AEM92" s="325"/>
      <c r="AEN92" s="325"/>
      <c r="AEO92" s="325"/>
      <c r="AEP92" s="325"/>
      <c r="AEQ92" s="325"/>
      <c r="AER92" s="325"/>
      <c r="AES92" s="325"/>
      <c r="AET92" s="325"/>
      <c r="AEU92" s="325"/>
      <c r="AEV92" s="325"/>
      <c r="AEW92" s="325"/>
      <c r="AEX92" s="325"/>
      <c r="AEY92" s="325"/>
      <c r="AEZ92" s="325"/>
      <c r="AFA92" s="325"/>
      <c r="AFB92" s="325"/>
      <c r="AFC92" s="325"/>
      <c r="AFD92" s="325"/>
      <c r="AFE92" s="325"/>
      <c r="AFF92" s="325"/>
      <c r="AFG92" s="325"/>
      <c r="AFH92" s="325"/>
      <c r="AFI92" s="325"/>
      <c r="AFJ92" s="325"/>
      <c r="AFK92" s="325"/>
      <c r="AFL92" s="325"/>
      <c r="AFM92" s="325"/>
      <c r="AFN92" s="325"/>
      <c r="AFO92" s="325"/>
      <c r="AFP92" s="325"/>
      <c r="AFQ92" s="325"/>
      <c r="AFR92" s="325"/>
      <c r="AFS92" s="325"/>
      <c r="AFT92" s="325"/>
      <c r="AFU92" s="325"/>
      <c r="AFV92" s="325"/>
      <c r="AFW92" s="325"/>
      <c r="AFX92" s="325"/>
      <c r="AFY92" s="325"/>
      <c r="AFZ92" s="325"/>
      <c r="AGA92" s="325"/>
      <c r="AGB92" s="325"/>
      <c r="AGC92" s="325"/>
      <c r="AGD92" s="325"/>
      <c r="AGE92" s="325"/>
      <c r="AGF92" s="325"/>
      <c r="AGG92" s="325"/>
      <c r="AGH92" s="325"/>
      <c r="AGI92" s="325"/>
      <c r="AGJ92" s="325"/>
      <c r="AGK92" s="325"/>
      <c r="AGL92" s="325"/>
      <c r="AGM92" s="325"/>
      <c r="AGN92" s="325"/>
      <c r="AGO92" s="325"/>
      <c r="AGP92" s="325"/>
      <c r="AGQ92" s="325"/>
      <c r="AGR92" s="325"/>
      <c r="AGS92" s="325"/>
      <c r="AGT92" s="325"/>
      <c r="AGU92" s="325"/>
      <c r="AGV92" s="325"/>
      <c r="AGW92" s="325"/>
      <c r="AGX92" s="325"/>
      <c r="AGY92" s="325"/>
      <c r="AGZ92" s="325"/>
      <c r="AHA92" s="325"/>
      <c r="AHB92" s="325"/>
      <c r="AHC92" s="325"/>
      <c r="AHD92" s="325"/>
      <c r="AHE92" s="325"/>
      <c r="AHF92" s="325"/>
      <c r="AHG92" s="325"/>
      <c r="AHH92" s="325"/>
      <c r="AHI92" s="325"/>
      <c r="AHJ92" s="325"/>
      <c r="AHK92" s="325"/>
      <c r="AHL92" s="325"/>
      <c r="AHM92" s="325"/>
      <c r="AHN92" s="325"/>
      <c r="AHO92" s="325"/>
      <c r="AHP92" s="325"/>
      <c r="AHQ92" s="325"/>
      <c r="AHR92" s="325"/>
      <c r="AHS92" s="325"/>
      <c r="AHT92" s="325"/>
      <c r="AHU92" s="325"/>
      <c r="AHV92" s="325"/>
      <c r="AHW92" s="325"/>
      <c r="AHX92" s="325"/>
      <c r="AHY92" s="325"/>
      <c r="AHZ92" s="325"/>
      <c r="AIA92" s="325"/>
      <c r="AIB92" s="325"/>
      <c r="AIC92" s="325"/>
      <c r="AID92" s="325"/>
      <c r="AIE92" s="325"/>
      <c r="AIF92" s="325"/>
      <c r="AIG92" s="325"/>
      <c r="AIH92" s="325"/>
      <c r="AII92" s="325"/>
      <c r="AIJ92" s="325"/>
      <c r="AIK92" s="325"/>
      <c r="AIL92" s="325"/>
      <c r="AIM92" s="325"/>
      <c r="AIN92" s="325"/>
      <c r="AIO92" s="325"/>
      <c r="AIP92" s="325"/>
      <c r="AIQ92" s="325"/>
      <c r="AIR92" s="325"/>
      <c r="AIS92" s="325"/>
      <c r="AIT92" s="325"/>
      <c r="AIU92" s="325"/>
      <c r="AIV92" s="325"/>
      <c r="AIW92" s="325"/>
      <c r="AIX92" s="325"/>
      <c r="AIY92" s="325"/>
      <c r="AIZ92" s="325"/>
      <c r="AJA92" s="325"/>
      <c r="AJB92" s="325"/>
      <c r="AJC92" s="325"/>
      <c r="AJD92" s="325"/>
      <c r="AJE92" s="325"/>
      <c r="AJF92" s="325"/>
      <c r="AJG92" s="325"/>
      <c r="AJH92" s="325"/>
      <c r="AJI92" s="325"/>
      <c r="AJJ92" s="325"/>
      <c r="AJK92" s="325"/>
      <c r="AJL92" s="325"/>
      <c r="AJM92" s="325"/>
      <c r="AJN92" s="325"/>
      <c r="AJO92" s="325"/>
      <c r="AJP92" s="325"/>
      <c r="AJQ92" s="325"/>
      <c r="AJR92" s="325"/>
      <c r="AJS92" s="325"/>
      <c r="AJT92" s="325"/>
      <c r="AJU92" s="325"/>
      <c r="AJV92" s="325"/>
      <c r="AJW92" s="325"/>
      <c r="AJX92" s="325"/>
      <c r="AJY92" s="325"/>
      <c r="AJZ92" s="325"/>
      <c r="AKA92" s="325"/>
      <c r="AKB92" s="325"/>
      <c r="AKC92" s="325"/>
      <c r="AKD92" s="325"/>
      <c r="AKE92" s="325"/>
      <c r="AKF92" s="325"/>
      <c r="AKG92" s="325"/>
      <c r="AKH92" s="325"/>
      <c r="AKI92" s="325"/>
      <c r="AKJ92" s="325"/>
      <c r="AKK92" s="325"/>
      <c r="AKL92" s="325"/>
      <c r="AKM92" s="325"/>
      <c r="AKN92" s="325"/>
      <c r="AKO92" s="325"/>
      <c r="AKP92" s="325"/>
      <c r="AKQ92" s="325"/>
      <c r="AKR92" s="325"/>
      <c r="AKS92" s="325"/>
      <c r="AKT92" s="325"/>
      <c r="AKU92" s="325"/>
      <c r="AKV92" s="325"/>
      <c r="AKW92" s="325"/>
      <c r="AKX92" s="325"/>
      <c r="AKY92" s="325"/>
      <c r="AKZ92" s="325"/>
      <c r="ALA92" s="325"/>
      <c r="ALB92" s="325"/>
      <c r="ALC92" s="325"/>
      <c r="ALD92" s="325"/>
      <c r="ALE92" s="325"/>
      <c r="ALF92" s="325"/>
      <c r="ALG92" s="325"/>
      <c r="ALH92" s="325"/>
      <c r="ALI92" s="325"/>
      <c r="ALJ92" s="325"/>
      <c r="ALK92" s="325"/>
      <c r="ALL92" s="325"/>
      <c r="ALM92" s="325"/>
      <c r="ALN92" s="325"/>
      <c r="ALO92" s="325"/>
      <c r="ALP92" s="325"/>
      <c r="ALQ92" s="325"/>
      <c r="ALR92" s="325"/>
      <c r="ALS92" s="325"/>
      <c r="ALT92" s="325"/>
      <c r="ALU92" s="325"/>
      <c r="ALV92" s="325"/>
      <c r="ALW92" s="325"/>
      <c r="ALX92" s="325"/>
      <c r="ALY92" s="325"/>
      <c r="ALZ92" s="325"/>
      <c r="AMA92" s="325"/>
      <c r="AMB92" s="325"/>
      <c r="AMC92" s="325"/>
    </row>
    <row r="93" spans="3:1017" s="75" customFormat="1">
      <c r="C93" s="130"/>
      <c r="D93" s="130"/>
      <c r="CN93" s="225"/>
      <c r="CQ93" s="226"/>
      <c r="LD93" s="213"/>
      <c r="LH93" s="286"/>
      <c r="LI93" s="287"/>
      <c r="LJ93" s="124"/>
      <c r="LK93" s="124"/>
      <c r="LL93" s="124"/>
      <c r="LM93" s="124"/>
      <c r="LN93" s="124"/>
      <c r="LO93" s="124"/>
      <c r="LP93" s="124"/>
      <c r="LQ93" s="124"/>
      <c r="LR93" s="124"/>
      <c r="NE93" s="330"/>
      <c r="NF93" s="325"/>
      <c r="NG93" s="325"/>
      <c r="NH93" s="325"/>
      <c r="NI93" s="325"/>
      <c r="NJ93" s="325"/>
      <c r="NK93" s="325"/>
      <c r="NL93" s="325"/>
      <c r="NM93" s="325"/>
      <c r="NN93" s="325"/>
      <c r="NO93" s="325"/>
      <c r="NP93" s="325"/>
      <c r="NQ93" s="325"/>
      <c r="NR93" s="325"/>
      <c r="NS93" s="325"/>
      <c r="NT93" s="325"/>
      <c r="NU93" s="325"/>
      <c r="NV93" s="325"/>
      <c r="NW93" s="325"/>
      <c r="NX93" s="325"/>
      <c r="NY93" s="325"/>
      <c r="NZ93" s="325"/>
      <c r="OA93" s="325"/>
      <c r="OB93" s="325"/>
      <c r="OC93" s="325"/>
      <c r="OD93" s="325"/>
      <c r="OE93" s="325"/>
      <c r="OF93" s="325"/>
      <c r="OG93" s="325"/>
      <c r="OH93" s="325"/>
      <c r="OI93" s="325"/>
      <c r="OJ93" s="325"/>
      <c r="OK93" s="325"/>
      <c r="OL93" s="325"/>
      <c r="OM93" s="325"/>
      <c r="ON93" s="325"/>
      <c r="OO93" s="325"/>
      <c r="OP93" s="325"/>
      <c r="OQ93" s="325"/>
      <c r="OR93" s="325"/>
      <c r="OS93" s="325"/>
      <c r="OT93" s="325"/>
      <c r="OU93" s="325"/>
      <c r="OV93" s="325"/>
      <c r="OW93" s="325"/>
      <c r="OX93" s="325"/>
      <c r="OY93" s="325"/>
      <c r="OZ93" s="325"/>
      <c r="PA93" s="325"/>
      <c r="PB93" s="325"/>
      <c r="PC93" s="325"/>
      <c r="PD93" s="325"/>
      <c r="PE93" s="325"/>
      <c r="PF93" s="325"/>
      <c r="PG93" s="325"/>
      <c r="PH93" s="325"/>
      <c r="PI93" s="325"/>
      <c r="PJ93" s="325"/>
      <c r="PK93" s="325"/>
      <c r="PL93" s="325"/>
      <c r="PM93" s="325"/>
      <c r="PN93" s="325"/>
      <c r="PO93" s="325"/>
      <c r="PP93" s="325"/>
      <c r="PQ93" s="325"/>
      <c r="PR93" s="325"/>
      <c r="PS93" s="325"/>
      <c r="PT93" s="325"/>
      <c r="PU93" s="325"/>
      <c r="PV93" s="325"/>
      <c r="PW93" s="325"/>
      <c r="PX93" s="325"/>
      <c r="PY93" s="325"/>
      <c r="PZ93" s="325"/>
      <c r="QA93" s="325"/>
      <c r="QB93" s="325"/>
      <c r="QC93" s="325"/>
      <c r="QD93" s="325"/>
      <c r="QE93" s="325"/>
      <c r="QF93" s="325"/>
      <c r="QG93" s="325"/>
      <c r="QH93" s="325"/>
      <c r="QI93" s="325"/>
      <c r="QJ93" s="325"/>
      <c r="QK93" s="325"/>
      <c r="QL93" s="325"/>
      <c r="QM93" s="325"/>
      <c r="QN93" s="325"/>
      <c r="QO93" s="325"/>
      <c r="QP93" s="325"/>
      <c r="QQ93" s="325"/>
      <c r="QR93" s="325"/>
      <c r="QS93" s="325"/>
      <c r="QT93" s="325"/>
      <c r="QU93" s="325"/>
      <c r="QV93" s="325"/>
      <c r="QW93" s="325"/>
      <c r="QX93" s="325"/>
      <c r="QY93" s="325"/>
      <c r="QZ93" s="325"/>
      <c r="RA93" s="325"/>
      <c r="RB93" s="325"/>
      <c r="RC93" s="325"/>
      <c r="RD93" s="325"/>
      <c r="RE93" s="325"/>
      <c r="RF93" s="325"/>
      <c r="RG93" s="325"/>
      <c r="RH93" s="325"/>
      <c r="RI93" s="325"/>
      <c r="RJ93" s="325"/>
      <c r="RK93" s="325"/>
      <c r="RL93" s="325"/>
      <c r="RM93" s="325"/>
      <c r="RN93" s="325"/>
      <c r="RO93" s="325"/>
      <c r="RP93" s="325"/>
      <c r="RQ93" s="325"/>
      <c r="RR93" s="325"/>
      <c r="RS93" s="325"/>
      <c r="RT93" s="325"/>
      <c r="RU93" s="325"/>
      <c r="RV93" s="325"/>
      <c r="RW93" s="325"/>
      <c r="RX93" s="325"/>
      <c r="RY93" s="325"/>
      <c r="RZ93" s="325"/>
      <c r="SA93" s="325"/>
      <c r="SB93" s="325"/>
      <c r="SC93" s="325"/>
      <c r="SD93" s="325"/>
      <c r="SE93" s="325"/>
      <c r="SF93" s="325"/>
      <c r="SG93" s="325"/>
      <c r="SH93" s="325"/>
      <c r="SI93" s="325"/>
      <c r="SJ93" s="325"/>
      <c r="SK93" s="325"/>
      <c r="SL93" s="325"/>
      <c r="SM93" s="325"/>
      <c r="SN93" s="325"/>
      <c r="SO93" s="325"/>
      <c r="SP93" s="325"/>
      <c r="SQ93" s="325"/>
      <c r="SR93" s="325"/>
      <c r="SS93" s="325"/>
      <c r="ST93" s="325"/>
      <c r="SU93" s="325"/>
      <c r="SV93" s="325"/>
      <c r="SW93" s="325"/>
      <c r="SX93" s="325"/>
      <c r="SY93" s="325"/>
      <c r="SZ93" s="325"/>
      <c r="TA93" s="325"/>
      <c r="TB93" s="325"/>
      <c r="TC93" s="325"/>
      <c r="TD93" s="325"/>
      <c r="TE93" s="325"/>
      <c r="TF93" s="325"/>
      <c r="TG93" s="325"/>
      <c r="TH93" s="325"/>
      <c r="TI93" s="325"/>
      <c r="TJ93" s="325"/>
      <c r="TK93" s="325"/>
      <c r="TL93" s="325"/>
      <c r="TM93" s="325"/>
      <c r="TN93" s="325"/>
      <c r="TO93" s="325"/>
      <c r="TP93" s="325"/>
      <c r="TQ93" s="325"/>
      <c r="TR93" s="325"/>
      <c r="TS93" s="325"/>
      <c r="TT93" s="325"/>
      <c r="TU93" s="325"/>
      <c r="TV93" s="325"/>
      <c r="TW93" s="325"/>
      <c r="TX93" s="325"/>
      <c r="TY93" s="325"/>
      <c r="TZ93" s="325"/>
      <c r="UA93" s="325"/>
      <c r="UB93" s="325"/>
      <c r="UC93" s="325"/>
      <c r="UD93" s="325"/>
      <c r="UE93" s="325"/>
      <c r="UF93" s="325"/>
      <c r="UG93" s="325"/>
      <c r="UH93" s="325"/>
      <c r="UI93" s="325"/>
      <c r="UJ93" s="325"/>
      <c r="UK93" s="325"/>
      <c r="UL93" s="325"/>
      <c r="UM93" s="325"/>
      <c r="UN93" s="325"/>
      <c r="UO93" s="325"/>
      <c r="UP93" s="325"/>
      <c r="UQ93" s="325"/>
      <c r="UR93" s="325"/>
      <c r="US93" s="325"/>
      <c r="UT93" s="325"/>
      <c r="UU93" s="325"/>
      <c r="UV93" s="325"/>
      <c r="UW93" s="325"/>
      <c r="UX93" s="325"/>
      <c r="UY93" s="325"/>
      <c r="UZ93" s="325"/>
      <c r="VA93" s="325"/>
      <c r="VB93" s="325"/>
      <c r="VC93" s="325"/>
      <c r="VD93" s="325"/>
      <c r="VE93" s="325"/>
      <c r="VF93" s="325"/>
      <c r="VG93" s="325"/>
      <c r="VH93" s="325"/>
      <c r="VI93" s="325"/>
      <c r="VJ93" s="325"/>
      <c r="VK93" s="325"/>
      <c r="VL93" s="325"/>
      <c r="VM93" s="325"/>
      <c r="VN93" s="325"/>
      <c r="VO93" s="325"/>
      <c r="VP93" s="325"/>
      <c r="VQ93" s="325"/>
      <c r="VR93" s="325"/>
      <c r="VS93" s="325"/>
      <c r="VT93" s="325"/>
      <c r="VU93" s="325"/>
      <c r="VV93" s="325"/>
      <c r="VW93" s="325"/>
      <c r="VX93" s="325"/>
      <c r="VY93" s="325"/>
      <c r="VZ93" s="325"/>
      <c r="WA93" s="325"/>
      <c r="WB93" s="325"/>
      <c r="WC93" s="325"/>
      <c r="WD93" s="325"/>
      <c r="WE93" s="325"/>
      <c r="WF93" s="325"/>
      <c r="WG93" s="325"/>
      <c r="WH93" s="325"/>
      <c r="WI93" s="325"/>
      <c r="WJ93" s="325"/>
      <c r="WK93" s="325"/>
      <c r="WL93" s="325"/>
      <c r="WM93" s="325"/>
      <c r="WN93" s="325"/>
      <c r="WO93" s="325"/>
      <c r="WP93" s="325"/>
      <c r="WQ93" s="325"/>
      <c r="WR93" s="325"/>
      <c r="WS93" s="325"/>
      <c r="WT93" s="325"/>
      <c r="WU93" s="325"/>
      <c r="WV93" s="325"/>
      <c r="WW93" s="325"/>
      <c r="WX93" s="325"/>
      <c r="WY93" s="325"/>
      <c r="WZ93" s="325"/>
      <c r="XA93" s="325"/>
      <c r="XB93" s="325"/>
      <c r="XC93" s="325"/>
      <c r="XD93" s="325"/>
      <c r="XE93" s="325"/>
      <c r="XF93" s="325"/>
      <c r="XG93" s="325"/>
      <c r="XH93" s="325"/>
      <c r="XI93" s="325"/>
      <c r="XJ93" s="325"/>
      <c r="XK93" s="325"/>
      <c r="XL93" s="325"/>
      <c r="XM93" s="325"/>
      <c r="XN93" s="325"/>
      <c r="XO93" s="325"/>
      <c r="XP93" s="325"/>
      <c r="XQ93" s="325"/>
      <c r="XR93" s="325"/>
      <c r="XS93" s="325"/>
      <c r="XT93" s="325"/>
      <c r="XU93" s="325"/>
      <c r="XV93" s="325"/>
      <c r="XW93" s="325"/>
      <c r="XX93" s="325"/>
      <c r="XY93" s="325"/>
      <c r="XZ93" s="325"/>
      <c r="YA93" s="325"/>
      <c r="YB93" s="325"/>
      <c r="YC93" s="325"/>
      <c r="YD93" s="325"/>
      <c r="YE93" s="325"/>
      <c r="YF93" s="325"/>
      <c r="YG93" s="325"/>
      <c r="YH93" s="325"/>
      <c r="YI93" s="325"/>
      <c r="YJ93" s="325"/>
      <c r="YK93" s="325"/>
      <c r="YL93" s="325"/>
      <c r="YM93" s="325"/>
      <c r="YN93" s="325"/>
      <c r="YO93" s="325"/>
      <c r="YP93" s="325"/>
      <c r="YQ93" s="325"/>
      <c r="YR93" s="325"/>
      <c r="YS93" s="325"/>
      <c r="YT93" s="325"/>
      <c r="YU93" s="325"/>
      <c r="YV93" s="325"/>
      <c r="YW93" s="325"/>
      <c r="YX93" s="325"/>
      <c r="YY93" s="325"/>
      <c r="YZ93" s="325"/>
      <c r="ZA93" s="325"/>
      <c r="ZB93" s="325"/>
      <c r="ZC93" s="325"/>
      <c r="ZD93" s="325"/>
      <c r="ZE93" s="325"/>
      <c r="ZF93" s="325"/>
      <c r="ZG93" s="325"/>
      <c r="ZH93" s="325"/>
      <c r="ZI93" s="325"/>
      <c r="ZJ93" s="325"/>
      <c r="ZK93" s="325"/>
      <c r="ZL93" s="325"/>
      <c r="ZM93" s="325"/>
      <c r="ZN93" s="325"/>
      <c r="ZO93" s="325"/>
      <c r="ZP93" s="325"/>
      <c r="ZQ93" s="325"/>
      <c r="ZR93" s="325"/>
      <c r="ZS93" s="325"/>
      <c r="ZT93" s="325"/>
      <c r="ZU93" s="325"/>
      <c r="ZV93" s="325"/>
      <c r="ZW93" s="325"/>
      <c r="ZX93" s="325"/>
      <c r="ZY93" s="325"/>
      <c r="ZZ93" s="325"/>
      <c r="AAA93" s="325"/>
      <c r="AAB93" s="325"/>
      <c r="AAC93" s="325"/>
      <c r="AAD93" s="325"/>
      <c r="AAE93" s="325"/>
      <c r="AAF93" s="325"/>
      <c r="AAG93" s="325"/>
      <c r="AAH93" s="325"/>
      <c r="AAI93" s="325"/>
      <c r="AAJ93" s="325"/>
      <c r="AAK93" s="325"/>
      <c r="AAL93" s="325"/>
      <c r="AAM93" s="325"/>
      <c r="AAN93" s="325"/>
      <c r="AAO93" s="325"/>
      <c r="AAP93" s="325"/>
      <c r="AAQ93" s="325"/>
      <c r="AAR93" s="325"/>
      <c r="AAS93" s="325"/>
      <c r="AAT93" s="325"/>
      <c r="AAU93" s="325"/>
      <c r="AAV93" s="325"/>
      <c r="AAW93" s="325"/>
      <c r="AAX93" s="325"/>
      <c r="AAY93" s="325"/>
      <c r="AAZ93" s="325"/>
      <c r="ABA93" s="325"/>
      <c r="ABB93" s="325"/>
      <c r="ABC93" s="325"/>
      <c r="ABD93" s="325"/>
      <c r="ABE93" s="325"/>
      <c r="ABF93" s="325"/>
      <c r="ABG93" s="325"/>
      <c r="ABH93" s="325"/>
      <c r="ABI93" s="325"/>
      <c r="ABJ93" s="325"/>
      <c r="ABK93" s="325"/>
      <c r="ABL93" s="325"/>
      <c r="ABM93" s="325"/>
      <c r="ABN93" s="325"/>
      <c r="ABO93" s="325"/>
      <c r="ABP93" s="325"/>
      <c r="ABQ93" s="325"/>
      <c r="ABR93" s="325"/>
      <c r="ABS93" s="325"/>
      <c r="ABT93" s="325"/>
      <c r="ABU93" s="325"/>
      <c r="ABV93" s="325"/>
      <c r="ABW93" s="325"/>
      <c r="ABX93" s="325"/>
      <c r="ABY93" s="325"/>
      <c r="ABZ93" s="325"/>
      <c r="ACA93" s="325"/>
      <c r="ACB93" s="325"/>
      <c r="ACC93" s="325"/>
      <c r="ACD93" s="325"/>
      <c r="ACE93" s="325"/>
      <c r="ACF93" s="325"/>
      <c r="ACG93" s="325"/>
      <c r="ACH93" s="325"/>
      <c r="ACI93" s="325"/>
      <c r="ACJ93" s="325"/>
      <c r="ACK93" s="325"/>
      <c r="ACL93" s="325"/>
      <c r="ACM93" s="325"/>
      <c r="ACN93" s="325"/>
      <c r="ACO93" s="325"/>
      <c r="ACP93" s="325"/>
      <c r="ACQ93" s="325"/>
      <c r="ACR93" s="325"/>
      <c r="ACS93" s="325"/>
      <c r="ACT93" s="325"/>
      <c r="ACU93" s="325"/>
      <c r="ACV93" s="325"/>
      <c r="ACW93" s="325"/>
      <c r="ACX93" s="325"/>
      <c r="ACY93" s="325"/>
      <c r="ACZ93" s="325"/>
      <c r="ADA93" s="325"/>
      <c r="ADB93" s="325"/>
      <c r="ADC93" s="325"/>
      <c r="ADD93" s="325"/>
      <c r="ADE93" s="325"/>
      <c r="ADF93" s="325"/>
      <c r="ADG93" s="325"/>
      <c r="ADH93" s="325"/>
      <c r="ADI93" s="325"/>
      <c r="ADJ93" s="325"/>
      <c r="ADK93" s="325"/>
      <c r="ADL93" s="325"/>
      <c r="ADM93" s="325"/>
      <c r="ADN93" s="325"/>
      <c r="ADO93" s="325"/>
      <c r="ADP93" s="325"/>
      <c r="ADQ93" s="325"/>
      <c r="ADR93" s="325"/>
      <c r="ADS93" s="325"/>
      <c r="ADT93" s="325"/>
      <c r="ADU93" s="325"/>
      <c r="ADV93" s="325"/>
      <c r="ADW93" s="325"/>
      <c r="ADX93" s="325"/>
      <c r="ADY93" s="325"/>
      <c r="ADZ93" s="325"/>
      <c r="AEA93" s="325"/>
      <c r="AEB93" s="325"/>
      <c r="AEC93" s="325"/>
      <c r="AED93" s="325"/>
      <c r="AEE93" s="325"/>
      <c r="AEF93" s="325"/>
      <c r="AEG93" s="325"/>
      <c r="AEH93" s="325"/>
      <c r="AEI93" s="325"/>
      <c r="AEJ93" s="325"/>
      <c r="AEK93" s="325"/>
      <c r="AEL93" s="325"/>
      <c r="AEM93" s="325"/>
      <c r="AEN93" s="325"/>
      <c r="AEO93" s="325"/>
      <c r="AEP93" s="325"/>
      <c r="AEQ93" s="325"/>
      <c r="AER93" s="325"/>
      <c r="AES93" s="325"/>
      <c r="AET93" s="325"/>
      <c r="AEU93" s="325"/>
      <c r="AEV93" s="325"/>
      <c r="AEW93" s="325"/>
      <c r="AEX93" s="325"/>
      <c r="AEY93" s="325"/>
      <c r="AEZ93" s="325"/>
      <c r="AFA93" s="325"/>
      <c r="AFB93" s="325"/>
      <c r="AFC93" s="325"/>
      <c r="AFD93" s="325"/>
      <c r="AFE93" s="325"/>
      <c r="AFF93" s="325"/>
      <c r="AFG93" s="325"/>
      <c r="AFH93" s="325"/>
      <c r="AFI93" s="325"/>
      <c r="AFJ93" s="325"/>
      <c r="AFK93" s="325"/>
      <c r="AFL93" s="325"/>
      <c r="AFM93" s="325"/>
      <c r="AFN93" s="325"/>
      <c r="AFO93" s="325"/>
      <c r="AFP93" s="325"/>
      <c r="AFQ93" s="325"/>
      <c r="AFR93" s="325"/>
      <c r="AFS93" s="325"/>
      <c r="AFT93" s="325"/>
      <c r="AFU93" s="325"/>
      <c r="AFV93" s="325"/>
      <c r="AFW93" s="325"/>
      <c r="AFX93" s="325"/>
      <c r="AFY93" s="325"/>
      <c r="AFZ93" s="325"/>
      <c r="AGA93" s="325"/>
      <c r="AGB93" s="325"/>
      <c r="AGC93" s="325"/>
      <c r="AGD93" s="325"/>
      <c r="AGE93" s="325"/>
      <c r="AGF93" s="325"/>
      <c r="AGG93" s="325"/>
      <c r="AGH93" s="325"/>
      <c r="AGI93" s="325"/>
      <c r="AGJ93" s="325"/>
      <c r="AGK93" s="325"/>
      <c r="AGL93" s="325"/>
      <c r="AGM93" s="325"/>
      <c r="AGN93" s="325"/>
      <c r="AGO93" s="325"/>
      <c r="AGP93" s="325"/>
      <c r="AGQ93" s="325"/>
      <c r="AGR93" s="325"/>
      <c r="AGS93" s="325"/>
      <c r="AGT93" s="325"/>
      <c r="AGU93" s="325"/>
      <c r="AGV93" s="325"/>
      <c r="AGW93" s="325"/>
      <c r="AGX93" s="325"/>
      <c r="AGY93" s="325"/>
      <c r="AGZ93" s="325"/>
      <c r="AHA93" s="325"/>
      <c r="AHB93" s="325"/>
      <c r="AHC93" s="325"/>
      <c r="AHD93" s="325"/>
      <c r="AHE93" s="325"/>
      <c r="AHF93" s="325"/>
      <c r="AHG93" s="325"/>
      <c r="AHH93" s="325"/>
      <c r="AHI93" s="325"/>
      <c r="AHJ93" s="325"/>
      <c r="AHK93" s="325"/>
      <c r="AHL93" s="325"/>
      <c r="AHM93" s="325"/>
      <c r="AHN93" s="325"/>
      <c r="AHO93" s="325"/>
      <c r="AHP93" s="325"/>
      <c r="AHQ93" s="325"/>
      <c r="AHR93" s="325"/>
      <c r="AHS93" s="325"/>
      <c r="AHT93" s="325"/>
      <c r="AHU93" s="325"/>
      <c r="AHV93" s="325"/>
      <c r="AHW93" s="325"/>
      <c r="AHX93" s="325"/>
      <c r="AHY93" s="325"/>
      <c r="AHZ93" s="325"/>
      <c r="AIA93" s="325"/>
      <c r="AIB93" s="325"/>
      <c r="AIC93" s="325"/>
      <c r="AID93" s="325"/>
      <c r="AIE93" s="325"/>
      <c r="AIF93" s="325"/>
      <c r="AIG93" s="325"/>
      <c r="AIH93" s="325"/>
      <c r="AII93" s="325"/>
      <c r="AIJ93" s="325"/>
      <c r="AIK93" s="325"/>
      <c r="AIL93" s="325"/>
      <c r="AIM93" s="325"/>
      <c r="AIN93" s="325"/>
      <c r="AIO93" s="325"/>
      <c r="AIP93" s="325"/>
      <c r="AIQ93" s="325"/>
      <c r="AIR93" s="325"/>
      <c r="AIS93" s="325"/>
      <c r="AIT93" s="325"/>
      <c r="AIU93" s="325"/>
      <c r="AIV93" s="325"/>
      <c r="AIW93" s="325"/>
      <c r="AIX93" s="325"/>
      <c r="AIY93" s="325"/>
      <c r="AIZ93" s="325"/>
      <c r="AJA93" s="325"/>
      <c r="AJB93" s="325"/>
      <c r="AJC93" s="325"/>
      <c r="AJD93" s="325"/>
      <c r="AJE93" s="325"/>
      <c r="AJF93" s="325"/>
      <c r="AJG93" s="325"/>
      <c r="AJH93" s="325"/>
      <c r="AJI93" s="325"/>
      <c r="AJJ93" s="325"/>
      <c r="AJK93" s="325"/>
      <c r="AJL93" s="325"/>
      <c r="AJM93" s="325"/>
      <c r="AJN93" s="325"/>
      <c r="AJO93" s="325"/>
      <c r="AJP93" s="325"/>
      <c r="AJQ93" s="325"/>
      <c r="AJR93" s="325"/>
      <c r="AJS93" s="325"/>
      <c r="AJT93" s="325"/>
      <c r="AJU93" s="325"/>
      <c r="AJV93" s="325"/>
      <c r="AJW93" s="325"/>
      <c r="AJX93" s="325"/>
      <c r="AJY93" s="325"/>
      <c r="AJZ93" s="325"/>
      <c r="AKA93" s="325"/>
      <c r="AKB93" s="325"/>
      <c r="AKC93" s="325"/>
      <c r="AKD93" s="325"/>
      <c r="AKE93" s="325"/>
      <c r="AKF93" s="325"/>
      <c r="AKG93" s="325"/>
      <c r="AKH93" s="325"/>
      <c r="AKI93" s="325"/>
      <c r="AKJ93" s="325"/>
      <c r="AKK93" s="325"/>
      <c r="AKL93" s="325"/>
      <c r="AKM93" s="325"/>
      <c r="AKN93" s="325"/>
      <c r="AKO93" s="325"/>
      <c r="AKP93" s="325"/>
      <c r="AKQ93" s="325"/>
      <c r="AKR93" s="325"/>
      <c r="AKS93" s="325"/>
      <c r="AKT93" s="325"/>
      <c r="AKU93" s="325"/>
      <c r="AKV93" s="325"/>
      <c r="AKW93" s="325"/>
      <c r="AKX93" s="325"/>
      <c r="AKY93" s="325"/>
      <c r="AKZ93" s="325"/>
      <c r="ALA93" s="325"/>
      <c r="ALB93" s="325"/>
      <c r="ALC93" s="325"/>
      <c r="ALD93" s="325"/>
      <c r="ALE93" s="325"/>
      <c r="ALF93" s="325"/>
      <c r="ALG93" s="325"/>
      <c r="ALH93" s="325"/>
      <c r="ALI93" s="325"/>
      <c r="ALJ93" s="325"/>
      <c r="ALK93" s="325"/>
      <c r="ALL93" s="325"/>
      <c r="ALM93" s="325"/>
      <c r="ALN93" s="325"/>
      <c r="ALO93" s="325"/>
      <c r="ALP93" s="325"/>
      <c r="ALQ93" s="325"/>
      <c r="ALR93" s="325"/>
      <c r="ALS93" s="325"/>
      <c r="ALT93" s="325"/>
      <c r="ALU93" s="325"/>
      <c r="ALV93" s="325"/>
      <c r="ALW93" s="325"/>
      <c r="ALX93" s="325"/>
      <c r="ALY93" s="325"/>
      <c r="ALZ93" s="325"/>
      <c r="AMA93" s="325"/>
      <c r="AMB93" s="325"/>
      <c r="AMC93" s="325"/>
    </row>
    <row r="94" spans="3:1017" s="75" customFormat="1">
      <c r="C94" s="130"/>
      <c r="D94" s="130"/>
      <c r="CN94" s="225"/>
      <c r="CQ94" s="226"/>
      <c r="LD94" s="213"/>
      <c r="LH94" s="286"/>
      <c r="LI94" s="287"/>
      <c r="LJ94" s="124"/>
      <c r="LK94" s="124"/>
      <c r="LL94" s="124"/>
      <c r="LM94" s="124"/>
      <c r="LN94" s="124"/>
      <c r="LO94" s="124"/>
      <c r="LP94" s="124"/>
      <c r="LQ94" s="124"/>
      <c r="LR94" s="124"/>
      <c r="NE94" s="330"/>
      <c r="NF94" s="325"/>
      <c r="NG94" s="325"/>
      <c r="NH94" s="325"/>
      <c r="NI94" s="325"/>
      <c r="NJ94" s="325"/>
      <c r="NK94" s="325"/>
      <c r="NL94" s="325"/>
      <c r="NM94" s="325"/>
      <c r="NN94" s="325"/>
      <c r="NO94" s="325"/>
      <c r="NP94" s="325"/>
      <c r="NQ94" s="325"/>
      <c r="NR94" s="325"/>
      <c r="NS94" s="325"/>
      <c r="NT94" s="325"/>
      <c r="NU94" s="325"/>
      <c r="NV94" s="325"/>
      <c r="NW94" s="325"/>
      <c r="NX94" s="325"/>
      <c r="NY94" s="325"/>
      <c r="NZ94" s="325"/>
      <c r="OA94" s="325"/>
      <c r="OB94" s="325"/>
      <c r="OC94" s="325"/>
      <c r="OD94" s="325"/>
      <c r="OE94" s="325"/>
      <c r="OF94" s="325"/>
      <c r="OG94" s="325"/>
      <c r="OH94" s="325"/>
      <c r="OI94" s="325"/>
      <c r="OJ94" s="325"/>
      <c r="OK94" s="325"/>
      <c r="OL94" s="325"/>
      <c r="OM94" s="325"/>
      <c r="ON94" s="325"/>
      <c r="OO94" s="325"/>
      <c r="OP94" s="325"/>
      <c r="OQ94" s="325"/>
      <c r="OR94" s="325"/>
      <c r="OS94" s="325"/>
      <c r="OT94" s="325"/>
      <c r="OU94" s="325"/>
      <c r="OV94" s="325"/>
      <c r="OW94" s="325"/>
      <c r="OX94" s="325"/>
      <c r="OY94" s="325"/>
      <c r="OZ94" s="325"/>
      <c r="PA94" s="325"/>
      <c r="PB94" s="325"/>
      <c r="PC94" s="325"/>
      <c r="PD94" s="325"/>
      <c r="PE94" s="325"/>
      <c r="PF94" s="325"/>
      <c r="PG94" s="325"/>
      <c r="PH94" s="325"/>
      <c r="PI94" s="325"/>
      <c r="PJ94" s="325"/>
      <c r="PK94" s="325"/>
      <c r="PL94" s="325"/>
      <c r="PM94" s="325"/>
      <c r="PN94" s="325"/>
      <c r="PO94" s="325"/>
      <c r="PP94" s="325"/>
      <c r="PQ94" s="325"/>
      <c r="PR94" s="325"/>
      <c r="PS94" s="325"/>
      <c r="PT94" s="325"/>
      <c r="PU94" s="325"/>
      <c r="PV94" s="325"/>
      <c r="PW94" s="325"/>
      <c r="PX94" s="325"/>
      <c r="PY94" s="325"/>
      <c r="PZ94" s="325"/>
      <c r="QA94" s="325"/>
      <c r="QB94" s="325"/>
      <c r="QC94" s="325"/>
      <c r="QD94" s="325"/>
      <c r="QE94" s="325"/>
      <c r="QF94" s="325"/>
      <c r="QG94" s="325"/>
      <c r="QH94" s="325"/>
      <c r="QI94" s="325"/>
      <c r="QJ94" s="325"/>
      <c r="QK94" s="325"/>
      <c r="QL94" s="325"/>
      <c r="QM94" s="325"/>
      <c r="QN94" s="325"/>
      <c r="QO94" s="325"/>
      <c r="QP94" s="325"/>
      <c r="QQ94" s="325"/>
      <c r="QR94" s="325"/>
      <c r="QS94" s="325"/>
      <c r="QT94" s="325"/>
      <c r="QU94" s="325"/>
      <c r="QV94" s="325"/>
      <c r="QW94" s="325"/>
      <c r="QX94" s="325"/>
      <c r="QY94" s="325"/>
      <c r="QZ94" s="325"/>
      <c r="RA94" s="325"/>
      <c r="RB94" s="325"/>
      <c r="RC94" s="325"/>
      <c r="RD94" s="325"/>
      <c r="RE94" s="325"/>
      <c r="RF94" s="325"/>
      <c r="RG94" s="325"/>
      <c r="RH94" s="325"/>
      <c r="RI94" s="325"/>
      <c r="RJ94" s="325"/>
      <c r="RK94" s="325"/>
      <c r="RL94" s="325"/>
      <c r="RM94" s="325"/>
      <c r="RN94" s="325"/>
      <c r="RO94" s="325"/>
      <c r="RP94" s="325"/>
      <c r="RQ94" s="325"/>
      <c r="RR94" s="325"/>
      <c r="RS94" s="325"/>
      <c r="RT94" s="325"/>
      <c r="RU94" s="325"/>
      <c r="RV94" s="325"/>
      <c r="RW94" s="325"/>
      <c r="RX94" s="325"/>
      <c r="RY94" s="325"/>
      <c r="RZ94" s="325"/>
      <c r="SA94" s="325"/>
      <c r="SB94" s="325"/>
      <c r="SC94" s="325"/>
      <c r="SD94" s="325"/>
      <c r="SE94" s="325"/>
      <c r="SF94" s="325"/>
      <c r="SG94" s="325"/>
      <c r="SH94" s="325"/>
      <c r="SI94" s="325"/>
      <c r="SJ94" s="325"/>
      <c r="SK94" s="325"/>
      <c r="SL94" s="325"/>
      <c r="SM94" s="325"/>
      <c r="SN94" s="325"/>
      <c r="SO94" s="325"/>
      <c r="SP94" s="325"/>
      <c r="SQ94" s="325"/>
      <c r="SR94" s="325"/>
      <c r="SS94" s="325"/>
      <c r="ST94" s="325"/>
      <c r="SU94" s="325"/>
      <c r="SV94" s="325"/>
      <c r="SW94" s="325"/>
      <c r="SX94" s="325"/>
      <c r="SY94" s="325"/>
      <c r="SZ94" s="325"/>
      <c r="TA94" s="325"/>
      <c r="TB94" s="325"/>
      <c r="TC94" s="325"/>
      <c r="TD94" s="325"/>
      <c r="TE94" s="325"/>
      <c r="TF94" s="325"/>
      <c r="TG94" s="325"/>
      <c r="TH94" s="325"/>
      <c r="TI94" s="325"/>
      <c r="TJ94" s="325"/>
      <c r="TK94" s="325"/>
      <c r="TL94" s="325"/>
      <c r="TM94" s="325"/>
      <c r="TN94" s="325"/>
      <c r="TO94" s="325"/>
      <c r="TP94" s="325"/>
      <c r="TQ94" s="325"/>
      <c r="TR94" s="325"/>
      <c r="TS94" s="325"/>
      <c r="TT94" s="325"/>
      <c r="TU94" s="325"/>
      <c r="TV94" s="325"/>
      <c r="TW94" s="325"/>
      <c r="TX94" s="325"/>
      <c r="TY94" s="325"/>
      <c r="TZ94" s="325"/>
      <c r="UA94" s="325"/>
      <c r="UB94" s="325"/>
      <c r="UC94" s="325"/>
      <c r="UD94" s="325"/>
      <c r="UE94" s="325"/>
      <c r="UF94" s="325"/>
      <c r="UG94" s="325"/>
      <c r="UH94" s="325"/>
      <c r="UI94" s="325"/>
      <c r="UJ94" s="325"/>
      <c r="UK94" s="325"/>
      <c r="UL94" s="325"/>
      <c r="UM94" s="325"/>
      <c r="UN94" s="325"/>
      <c r="UO94" s="325"/>
      <c r="UP94" s="325"/>
      <c r="UQ94" s="325"/>
      <c r="UR94" s="325"/>
      <c r="US94" s="325"/>
      <c r="UT94" s="325"/>
      <c r="UU94" s="325"/>
      <c r="UV94" s="325"/>
      <c r="UW94" s="325"/>
      <c r="UX94" s="325"/>
      <c r="UY94" s="325"/>
      <c r="UZ94" s="325"/>
      <c r="VA94" s="325"/>
      <c r="VB94" s="325"/>
      <c r="VC94" s="325"/>
      <c r="VD94" s="325"/>
      <c r="VE94" s="325"/>
      <c r="VF94" s="325"/>
      <c r="VG94" s="325"/>
      <c r="VH94" s="325"/>
      <c r="VI94" s="325"/>
      <c r="VJ94" s="325"/>
      <c r="VK94" s="325"/>
      <c r="VL94" s="325"/>
      <c r="VM94" s="325"/>
      <c r="VN94" s="325"/>
      <c r="VO94" s="325"/>
      <c r="VP94" s="325"/>
      <c r="VQ94" s="325"/>
      <c r="VR94" s="325"/>
      <c r="VS94" s="325"/>
      <c r="VT94" s="325"/>
      <c r="VU94" s="325"/>
      <c r="VV94" s="325"/>
      <c r="VW94" s="325"/>
      <c r="VX94" s="325"/>
      <c r="VY94" s="325"/>
      <c r="VZ94" s="325"/>
      <c r="WA94" s="325"/>
      <c r="WB94" s="325"/>
      <c r="WC94" s="325"/>
      <c r="WD94" s="325"/>
      <c r="WE94" s="325"/>
      <c r="WF94" s="325"/>
      <c r="WG94" s="325"/>
      <c r="WH94" s="325"/>
      <c r="WI94" s="325"/>
      <c r="WJ94" s="325"/>
      <c r="WK94" s="325"/>
      <c r="WL94" s="325"/>
      <c r="WM94" s="325"/>
      <c r="WN94" s="325"/>
      <c r="WO94" s="325"/>
      <c r="WP94" s="325"/>
      <c r="WQ94" s="325"/>
      <c r="WR94" s="325"/>
      <c r="WS94" s="325"/>
      <c r="WT94" s="325"/>
      <c r="WU94" s="325"/>
      <c r="WV94" s="325"/>
      <c r="WW94" s="325"/>
      <c r="WX94" s="325"/>
      <c r="WY94" s="325"/>
      <c r="WZ94" s="325"/>
      <c r="XA94" s="325"/>
      <c r="XB94" s="325"/>
      <c r="XC94" s="325"/>
      <c r="XD94" s="325"/>
      <c r="XE94" s="325"/>
      <c r="XF94" s="325"/>
      <c r="XG94" s="325"/>
      <c r="XH94" s="325"/>
      <c r="XI94" s="325"/>
      <c r="XJ94" s="325"/>
      <c r="XK94" s="325"/>
      <c r="XL94" s="325"/>
      <c r="XM94" s="325"/>
      <c r="XN94" s="325"/>
      <c r="XO94" s="325"/>
      <c r="XP94" s="325"/>
      <c r="XQ94" s="325"/>
      <c r="XR94" s="325"/>
      <c r="XS94" s="325"/>
      <c r="XT94" s="325"/>
      <c r="XU94" s="325"/>
      <c r="XV94" s="325"/>
      <c r="XW94" s="325"/>
      <c r="XX94" s="325"/>
      <c r="XY94" s="325"/>
      <c r="XZ94" s="325"/>
      <c r="YA94" s="325"/>
      <c r="YB94" s="325"/>
      <c r="YC94" s="325"/>
      <c r="YD94" s="325"/>
      <c r="YE94" s="325"/>
      <c r="YF94" s="325"/>
      <c r="YG94" s="325"/>
      <c r="YH94" s="325"/>
      <c r="YI94" s="325"/>
      <c r="YJ94" s="325"/>
      <c r="YK94" s="325"/>
      <c r="YL94" s="325"/>
      <c r="YM94" s="325"/>
      <c r="YN94" s="325"/>
      <c r="YO94" s="325"/>
      <c r="YP94" s="325"/>
      <c r="YQ94" s="325"/>
      <c r="YR94" s="325"/>
      <c r="YS94" s="325"/>
      <c r="YT94" s="325"/>
      <c r="YU94" s="325"/>
      <c r="YV94" s="325"/>
      <c r="YW94" s="325"/>
      <c r="YX94" s="325"/>
      <c r="YY94" s="325"/>
      <c r="YZ94" s="325"/>
      <c r="ZA94" s="325"/>
      <c r="ZB94" s="325"/>
      <c r="ZC94" s="325"/>
      <c r="ZD94" s="325"/>
      <c r="ZE94" s="325"/>
      <c r="ZF94" s="325"/>
      <c r="ZG94" s="325"/>
      <c r="ZH94" s="325"/>
      <c r="ZI94" s="325"/>
      <c r="ZJ94" s="325"/>
      <c r="ZK94" s="325"/>
      <c r="ZL94" s="325"/>
      <c r="ZM94" s="325"/>
      <c r="ZN94" s="325"/>
      <c r="ZO94" s="325"/>
      <c r="ZP94" s="325"/>
      <c r="ZQ94" s="325"/>
      <c r="ZR94" s="325"/>
      <c r="ZS94" s="325"/>
      <c r="ZT94" s="325"/>
      <c r="ZU94" s="325"/>
      <c r="ZV94" s="325"/>
      <c r="ZW94" s="325"/>
      <c r="ZX94" s="325"/>
      <c r="ZY94" s="325"/>
      <c r="ZZ94" s="325"/>
      <c r="AAA94" s="325"/>
      <c r="AAB94" s="325"/>
      <c r="AAC94" s="325"/>
      <c r="AAD94" s="325"/>
      <c r="AAE94" s="325"/>
      <c r="AAF94" s="325"/>
      <c r="AAG94" s="325"/>
      <c r="AAH94" s="325"/>
      <c r="AAI94" s="325"/>
      <c r="AAJ94" s="325"/>
      <c r="AAK94" s="325"/>
      <c r="AAL94" s="325"/>
      <c r="AAM94" s="325"/>
      <c r="AAN94" s="325"/>
      <c r="AAO94" s="325"/>
      <c r="AAP94" s="325"/>
      <c r="AAQ94" s="325"/>
      <c r="AAR94" s="325"/>
      <c r="AAS94" s="325"/>
      <c r="AAT94" s="325"/>
      <c r="AAU94" s="325"/>
      <c r="AAV94" s="325"/>
      <c r="AAW94" s="325"/>
      <c r="AAX94" s="325"/>
      <c r="AAY94" s="325"/>
      <c r="AAZ94" s="325"/>
      <c r="ABA94" s="325"/>
      <c r="ABB94" s="325"/>
      <c r="ABC94" s="325"/>
      <c r="ABD94" s="325"/>
      <c r="ABE94" s="325"/>
      <c r="ABF94" s="325"/>
      <c r="ABG94" s="325"/>
      <c r="ABH94" s="325"/>
      <c r="ABI94" s="325"/>
      <c r="ABJ94" s="325"/>
      <c r="ABK94" s="325"/>
      <c r="ABL94" s="325"/>
      <c r="ABM94" s="325"/>
      <c r="ABN94" s="325"/>
      <c r="ABO94" s="325"/>
      <c r="ABP94" s="325"/>
      <c r="ABQ94" s="325"/>
      <c r="ABR94" s="325"/>
      <c r="ABS94" s="325"/>
      <c r="ABT94" s="325"/>
      <c r="ABU94" s="325"/>
      <c r="ABV94" s="325"/>
      <c r="ABW94" s="325"/>
      <c r="ABX94" s="325"/>
      <c r="ABY94" s="325"/>
      <c r="ABZ94" s="325"/>
      <c r="ACA94" s="325"/>
      <c r="ACB94" s="325"/>
      <c r="ACC94" s="325"/>
      <c r="ACD94" s="325"/>
      <c r="ACE94" s="325"/>
      <c r="ACF94" s="325"/>
      <c r="ACG94" s="325"/>
      <c r="ACH94" s="325"/>
      <c r="ACI94" s="325"/>
      <c r="ACJ94" s="325"/>
      <c r="ACK94" s="325"/>
      <c r="ACL94" s="325"/>
      <c r="ACM94" s="325"/>
      <c r="ACN94" s="325"/>
      <c r="ACO94" s="325"/>
      <c r="ACP94" s="325"/>
      <c r="ACQ94" s="325"/>
      <c r="ACR94" s="325"/>
      <c r="ACS94" s="325"/>
      <c r="ACT94" s="325"/>
      <c r="ACU94" s="325"/>
      <c r="ACV94" s="325"/>
      <c r="ACW94" s="325"/>
      <c r="ACX94" s="325"/>
      <c r="ACY94" s="325"/>
      <c r="ACZ94" s="325"/>
      <c r="ADA94" s="325"/>
      <c r="ADB94" s="325"/>
      <c r="ADC94" s="325"/>
      <c r="ADD94" s="325"/>
      <c r="ADE94" s="325"/>
      <c r="ADF94" s="325"/>
      <c r="ADG94" s="325"/>
      <c r="ADH94" s="325"/>
      <c r="ADI94" s="325"/>
      <c r="ADJ94" s="325"/>
      <c r="ADK94" s="325"/>
      <c r="ADL94" s="325"/>
      <c r="ADM94" s="325"/>
      <c r="ADN94" s="325"/>
      <c r="ADO94" s="325"/>
      <c r="ADP94" s="325"/>
      <c r="ADQ94" s="325"/>
      <c r="ADR94" s="325"/>
      <c r="ADS94" s="325"/>
      <c r="ADT94" s="325"/>
      <c r="ADU94" s="325"/>
      <c r="ADV94" s="325"/>
      <c r="ADW94" s="325"/>
      <c r="ADX94" s="325"/>
      <c r="ADY94" s="325"/>
      <c r="ADZ94" s="325"/>
      <c r="AEA94" s="325"/>
      <c r="AEB94" s="325"/>
      <c r="AEC94" s="325"/>
      <c r="AED94" s="325"/>
      <c r="AEE94" s="325"/>
      <c r="AEF94" s="325"/>
      <c r="AEG94" s="325"/>
      <c r="AEH94" s="325"/>
      <c r="AEI94" s="325"/>
      <c r="AEJ94" s="325"/>
      <c r="AEK94" s="325"/>
      <c r="AEL94" s="325"/>
      <c r="AEM94" s="325"/>
      <c r="AEN94" s="325"/>
      <c r="AEO94" s="325"/>
      <c r="AEP94" s="325"/>
      <c r="AEQ94" s="325"/>
      <c r="AER94" s="325"/>
      <c r="AES94" s="325"/>
      <c r="AET94" s="325"/>
      <c r="AEU94" s="325"/>
      <c r="AEV94" s="325"/>
      <c r="AEW94" s="325"/>
      <c r="AEX94" s="325"/>
      <c r="AEY94" s="325"/>
      <c r="AEZ94" s="325"/>
      <c r="AFA94" s="325"/>
      <c r="AFB94" s="325"/>
      <c r="AFC94" s="325"/>
      <c r="AFD94" s="325"/>
      <c r="AFE94" s="325"/>
      <c r="AFF94" s="325"/>
      <c r="AFG94" s="325"/>
      <c r="AFH94" s="325"/>
      <c r="AFI94" s="325"/>
      <c r="AFJ94" s="325"/>
      <c r="AFK94" s="325"/>
      <c r="AFL94" s="325"/>
      <c r="AFM94" s="325"/>
      <c r="AFN94" s="325"/>
      <c r="AFO94" s="325"/>
      <c r="AFP94" s="325"/>
      <c r="AFQ94" s="325"/>
      <c r="AFR94" s="325"/>
      <c r="AFS94" s="325"/>
      <c r="AFT94" s="325"/>
      <c r="AFU94" s="325"/>
      <c r="AFV94" s="325"/>
      <c r="AFW94" s="325"/>
      <c r="AFX94" s="325"/>
      <c r="AFY94" s="325"/>
      <c r="AFZ94" s="325"/>
      <c r="AGA94" s="325"/>
      <c r="AGB94" s="325"/>
      <c r="AGC94" s="325"/>
      <c r="AGD94" s="325"/>
      <c r="AGE94" s="325"/>
      <c r="AGF94" s="325"/>
      <c r="AGG94" s="325"/>
      <c r="AGH94" s="325"/>
      <c r="AGI94" s="325"/>
      <c r="AGJ94" s="325"/>
      <c r="AGK94" s="325"/>
      <c r="AGL94" s="325"/>
      <c r="AGM94" s="325"/>
      <c r="AGN94" s="325"/>
      <c r="AGO94" s="325"/>
      <c r="AGP94" s="325"/>
      <c r="AGQ94" s="325"/>
      <c r="AGR94" s="325"/>
      <c r="AGS94" s="325"/>
      <c r="AGT94" s="325"/>
      <c r="AGU94" s="325"/>
      <c r="AGV94" s="325"/>
      <c r="AGW94" s="325"/>
      <c r="AGX94" s="325"/>
      <c r="AGY94" s="325"/>
      <c r="AGZ94" s="325"/>
      <c r="AHA94" s="325"/>
      <c r="AHB94" s="325"/>
      <c r="AHC94" s="325"/>
      <c r="AHD94" s="325"/>
      <c r="AHE94" s="325"/>
      <c r="AHF94" s="325"/>
      <c r="AHG94" s="325"/>
      <c r="AHH94" s="325"/>
      <c r="AHI94" s="325"/>
      <c r="AHJ94" s="325"/>
      <c r="AHK94" s="325"/>
      <c r="AHL94" s="325"/>
      <c r="AHM94" s="325"/>
      <c r="AHN94" s="325"/>
      <c r="AHO94" s="325"/>
      <c r="AHP94" s="325"/>
      <c r="AHQ94" s="325"/>
      <c r="AHR94" s="325"/>
      <c r="AHS94" s="325"/>
      <c r="AHT94" s="325"/>
      <c r="AHU94" s="325"/>
      <c r="AHV94" s="325"/>
      <c r="AHW94" s="325"/>
      <c r="AHX94" s="325"/>
      <c r="AHY94" s="325"/>
      <c r="AHZ94" s="325"/>
      <c r="AIA94" s="325"/>
      <c r="AIB94" s="325"/>
      <c r="AIC94" s="325"/>
      <c r="AID94" s="325"/>
      <c r="AIE94" s="325"/>
      <c r="AIF94" s="325"/>
      <c r="AIG94" s="325"/>
      <c r="AIH94" s="325"/>
      <c r="AII94" s="325"/>
      <c r="AIJ94" s="325"/>
      <c r="AIK94" s="325"/>
      <c r="AIL94" s="325"/>
      <c r="AIM94" s="325"/>
      <c r="AIN94" s="325"/>
      <c r="AIO94" s="325"/>
      <c r="AIP94" s="325"/>
      <c r="AIQ94" s="325"/>
      <c r="AIR94" s="325"/>
      <c r="AIS94" s="325"/>
      <c r="AIT94" s="325"/>
      <c r="AIU94" s="325"/>
      <c r="AIV94" s="325"/>
      <c r="AIW94" s="325"/>
      <c r="AIX94" s="325"/>
      <c r="AIY94" s="325"/>
      <c r="AIZ94" s="325"/>
      <c r="AJA94" s="325"/>
      <c r="AJB94" s="325"/>
      <c r="AJC94" s="325"/>
      <c r="AJD94" s="325"/>
      <c r="AJE94" s="325"/>
      <c r="AJF94" s="325"/>
      <c r="AJG94" s="325"/>
      <c r="AJH94" s="325"/>
      <c r="AJI94" s="325"/>
      <c r="AJJ94" s="325"/>
      <c r="AJK94" s="325"/>
      <c r="AJL94" s="325"/>
      <c r="AJM94" s="325"/>
      <c r="AJN94" s="325"/>
      <c r="AJO94" s="325"/>
      <c r="AJP94" s="325"/>
      <c r="AJQ94" s="325"/>
      <c r="AJR94" s="325"/>
      <c r="AJS94" s="325"/>
      <c r="AJT94" s="325"/>
      <c r="AJU94" s="325"/>
      <c r="AJV94" s="325"/>
      <c r="AJW94" s="325"/>
      <c r="AJX94" s="325"/>
      <c r="AJY94" s="325"/>
      <c r="AJZ94" s="325"/>
      <c r="AKA94" s="325"/>
      <c r="AKB94" s="325"/>
      <c r="AKC94" s="325"/>
      <c r="AKD94" s="325"/>
      <c r="AKE94" s="325"/>
      <c r="AKF94" s="325"/>
      <c r="AKG94" s="325"/>
      <c r="AKH94" s="325"/>
      <c r="AKI94" s="325"/>
      <c r="AKJ94" s="325"/>
      <c r="AKK94" s="325"/>
      <c r="AKL94" s="325"/>
      <c r="AKM94" s="325"/>
      <c r="AKN94" s="325"/>
      <c r="AKO94" s="325"/>
      <c r="AKP94" s="325"/>
      <c r="AKQ94" s="325"/>
      <c r="AKR94" s="325"/>
      <c r="AKS94" s="325"/>
      <c r="AKT94" s="325"/>
      <c r="AKU94" s="325"/>
      <c r="AKV94" s="325"/>
      <c r="AKW94" s="325"/>
      <c r="AKX94" s="325"/>
      <c r="AKY94" s="325"/>
      <c r="AKZ94" s="325"/>
      <c r="ALA94" s="325"/>
      <c r="ALB94" s="325"/>
      <c r="ALC94" s="325"/>
      <c r="ALD94" s="325"/>
      <c r="ALE94" s="325"/>
      <c r="ALF94" s="325"/>
      <c r="ALG94" s="325"/>
      <c r="ALH94" s="325"/>
      <c r="ALI94" s="325"/>
      <c r="ALJ94" s="325"/>
      <c r="ALK94" s="325"/>
      <c r="ALL94" s="325"/>
      <c r="ALM94" s="325"/>
      <c r="ALN94" s="325"/>
      <c r="ALO94" s="325"/>
      <c r="ALP94" s="325"/>
      <c r="ALQ94" s="325"/>
      <c r="ALR94" s="325"/>
      <c r="ALS94" s="325"/>
      <c r="ALT94" s="325"/>
      <c r="ALU94" s="325"/>
      <c r="ALV94" s="325"/>
      <c r="ALW94" s="325"/>
      <c r="ALX94" s="325"/>
      <c r="ALY94" s="325"/>
      <c r="ALZ94" s="325"/>
      <c r="AMA94" s="325"/>
      <c r="AMB94" s="325"/>
      <c r="AMC94" s="325"/>
    </row>
    <row r="95" spans="3:1017" s="75" customFormat="1">
      <c r="C95" s="130"/>
      <c r="D95" s="130"/>
      <c r="CN95" s="225"/>
      <c r="CQ95" s="226"/>
      <c r="LD95" s="213"/>
      <c r="LH95" s="286"/>
      <c r="LI95" s="287"/>
      <c r="LJ95" s="124"/>
      <c r="LK95" s="124"/>
      <c r="LL95" s="124"/>
      <c r="LM95" s="124"/>
      <c r="LN95" s="124"/>
      <c r="LO95" s="124"/>
      <c r="LP95" s="124"/>
      <c r="LQ95" s="124"/>
      <c r="LR95" s="124"/>
      <c r="NE95" s="330"/>
      <c r="NF95" s="325"/>
      <c r="NG95" s="325"/>
      <c r="NH95" s="325"/>
      <c r="NI95" s="325"/>
      <c r="NJ95" s="325"/>
      <c r="NK95" s="325"/>
      <c r="NL95" s="325"/>
      <c r="NM95" s="325"/>
      <c r="NN95" s="325"/>
      <c r="NO95" s="325"/>
      <c r="NP95" s="325"/>
      <c r="NQ95" s="325"/>
      <c r="NR95" s="325"/>
      <c r="NS95" s="325"/>
      <c r="NT95" s="325"/>
      <c r="NU95" s="325"/>
      <c r="NV95" s="325"/>
      <c r="NW95" s="325"/>
      <c r="NX95" s="325"/>
      <c r="NY95" s="325"/>
      <c r="NZ95" s="325"/>
      <c r="OA95" s="325"/>
      <c r="OB95" s="325"/>
      <c r="OC95" s="325"/>
      <c r="OD95" s="325"/>
      <c r="OE95" s="325"/>
      <c r="OF95" s="325"/>
      <c r="OG95" s="325"/>
      <c r="OH95" s="325"/>
      <c r="OI95" s="325"/>
      <c r="OJ95" s="325"/>
      <c r="OK95" s="325"/>
      <c r="OL95" s="325"/>
      <c r="OM95" s="325"/>
      <c r="ON95" s="325"/>
      <c r="OO95" s="325"/>
      <c r="OP95" s="325"/>
      <c r="OQ95" s="325"/>
      <c r="OR95" s="325"/>
      <c r="OS95" s="325"/>
      <c r="OT95" s="325"/>
      <c r="OU95" s="325"/>
      <c r="OV95" s="325"/>
      <c r="OW95" s="325"/>
      <c r="OX95" s="325"/>
      <c r="OY95" s="325"/>
      <c r="OZ95" s="325"/>
      <c r="PA95" s="325"/>
      <c r="PB95" s="325"/>
      <c r="PC95" s="325"/>
      <c r="PD95" s="325"/>
      <c r="PE95" s="325"/>
      <c r="PF95" s="325"/>
      <c r="PG95" s="325"/>
      <c r="PH95" s="325"/>
      <c r="PI95" s="325"/>
      <c r="PJ95" s="325"/>
      <c r="PK95" s="325"/>
      <c r="PL95" s="325"/>
      <c r="PM95" s="325"/>
      <c r="PN95" s="325"/>
      <c r="PO95" s="325"/>
      <c r="PP95" s="325"/>
      <c r="PQ95" s="325"/>
      <c r="PR95" s="325"/>
      <c r="PS95" s="325"/>
      <c r="PT95" s="325"/>
      <c r="PU95" s="325"/>
      <c r="PV95" s="325"/>
      <c r="PW95" s="325"/>
      <c r="PX95" s="325"/>
      <c r="PY95" s="325"/>
      <c r="PZ95" s="325"/>
      <c r="QA95" s="325"/>
      <c r="QB95" s="325"/>
      <c r="QC95" s="325"/>
      <c r="QD95" s="325"/>
      <c r="QE95" s="325"/>
      <c r="QF95" s="325"/>
      <c r="QG95" s="325"/>
      <c r="QH95" s="325"/>
      <c r="QI95" s="325"/>
      <c r="QJ95" s="325"/>
      <c r="QK95" s="325"/>
      <c r="QL95" s="325"/>
      <c r="QM95" s="325"/>
      <c r="QN95" s="325"/>
      <c r="QO95" s="325"/>
      <c r="QP95" s="325"/>
      <c r="QQ95" s="325"/>
      <c r="QR95" s="325"/>
      <c r="QS95" s="325"/>
      <c r="QT95" s="325"/>
      <c r="QU95" s="325"/>
      <c r="QV95" s="325"/>
      <c r="QW95" s="325"/>
      <c r="QX95" s="325"/>
      <c r="QY95" s="325"/>
      <c r="QZ95" s="325"/>
      <c r="RA95" s="325"/>
      <c r="RB95" s="325"/>
      <c r="RC95" s="325"/>
      <c r="RD95" s="325"/>
      <c r="RE95" s="325"/>
      <c r="RF95" s="325"/>
      <c r="RG95" s="325"/>
      <c r="RH95" s="325"/>
      <c r="RI95" s="325"/>
      <c r="RJ95" s="325"/>
      <c r="RK95" s="325"/>
      <c r="RL95" s="325"/>
      <c r="RM95" s="325"/>
      <c r="RN95" s="325"/>
      <c r="RO95" s="325"/>
      <c r="RP95" s="325"/>
      <c r="RQ95" s="325"/>
      <c r="RR95" s="325"/>
      <c r="RS95" s="325"/>
      <c r="RT95" s="325"/>
      <c r="RU95" s="325"/>
      <c r="RV95" s="325"/>
      <c r="RW95" s="325"/>
      <c r="RX95" s="325"/>
      <c r="RY95" s="325"/>
      <c r="RZ95" s="325"/>
      <c r="SA95" s="325"/>
      <c r="SB95" s="325"/>
      <c r="SC95" s="325"/>
      <c r="SD95" s="325"/>
      <c r="SE95" s="325"/>
      <c r="SF95" s="325"/>
      <c r="SG95" s="325"/>
      <c r="SH95" s="325"/>
      <c r="SI95" s="325"/>
      <c r="SJ95" s="325"/>
      <c r="SK95" s="325"/>
      <c r="SL95" s="325"/>
      <c r="SM95" s="325"/>
      <c r="SN95" s="325"/>
      <c r="SO95" s="325"/>
      <c r="SP95" s="325"/>
      <c r="SQ95" s="325"/>
      <c r="SR95" s="325"/>
      <c r="SS95" s="325"/>
      <c r="ST95" s="325"/>
      <c r="SU95" s="325"/>
      <c r="SV95" s="325"/>
      <c r="SW95" s="325"/>
      <c r="SX95" s="325"/>
      <c r="SY95" s="325"/>
      <c r="SZ95" s="325"/>
      <c r="TA95" s="325"/>
      <c r="TB95" s="325"/>
      <c r="TC95" s="325"/>
      <c r="TD95" s="325"/>
      <c r="TE95" s="325"/>
      <c r="TF95" s="325"/>
      <c r="TG95" s="325"/>
      <c r="TH95" s="325"/>
      <c r="TI95" s="325"/>
      <c r="TJ95" s="325"/>
      <c r="TK95" s="325"/>
      <c r="TL95" s="325"/>
      <c r="TM95" s="325"/>
      <c r="TN95" s="325"/>
      <c r="TO95" s="325"/>
      <c r="TP95" s="325"/>
      <c r="TQ95" s="325"/>
      <c r="TR95" s="325"/>
      <c r="TS95" s="325"/>
      <c r="TT95" s="325"/>
      <c r="TU95" s="325"/>
      <c r="TV95" s="325"/>
      <c r="TW95" s="325"/>
      <c r="TX95" s="325"/>
      <c r="TY95" s="325"/>
      <c r="TZ95" s="325"/>
      <c r="UA95" s="325"/>
      <c r="UB95" s="325"/>
      <c r="UC95" s="325"/>
      <c r="UD95" s="325"/>
      <c r="UE95" s="325"/>
      <c r="UF95" s="325"/>
      <c r="UG95" s="325"/>
      <c r="UH95" s="325"/>
      <c r="UI95" s="325"/>
      <c r="UJ95" s="325"/>
      <c r="UK95" s="325"/>
      <c r="UL95" s="325"/>
      <c r="UM95" s="325"/>
      <c r="UN95" s="325"/>
      <c r="UO95" s="325"/>
      <c r="UP95" s="325"/>
      <c r="UQ95" s="325"/>
      <c r="UR95" s="325"/>
      <c r="US95" s="325"/>
      <c r="UT95" s="325"/>
      <c r="UU95" s="325"/>
      <c r="UV95" s="325"/>
      <c r="UW95" s="325"/>
      <c r="UX95" s="325"/>
      <c r="UY95" s="325"/>
      <c r="UZ95" s="325"/>
      <c r="VA95" s="325"/>
      <c r="VB95" s="325"/>
      <c r="VC95" s="325"/>
      <c r="VD95" s="325"/>
      <c r="VE95" s="325"/>
      <c r="VF95" s="325"/>
      <c r="VG95" s="325"/>
      <c r="VH95" s="325"/>
      <c r="VI95" s="325"/>
      <c r="VJ95" s="325"/>
      <c r="VK95" s="325"/>
      <c r="VL95" s="325"/>
      <c r="VM95" s="325"/>
      <c r="VN95" s="325"/>
      <c r="VO95" s="325"/>
      <c r="VP95" s="325"/>
      <c r="VQ95" s="325"/>
      <c r="VR95" s="325"/>
      <c r="VS95" s="325"/>
      <c r="VT95" s="325"/>
      <c r="VU95" s="325"/>
      <c r="VV95" s="325"/>
      <c r="VW95" s="325"/>
      <c r="VX95" s="325"/>
      <c r="VY95" s="325"/>
      <c r="VZ95" s="325"/>
      <c r="WA95" s="325"/>
      <c r="WB95" s="325"/>
      <c r="WC95" s="325"/>
      <c r="WD95" s="325"/>
      <c r="WE95" s="325"/>
      <c r="WF95" s="325"/>
      <c r="WG95" s="325"/>
      <c r="WH95" s="325"/>
      <c r="WI95" s="325"/>
      <c r="WJ95" s="325"/>
      <c r="WK95" s="325"/>
      <c r="WL95" s="325"/>
      <c r="WM95" s="325"/>
      <c r="WN95" s="325"/>
      <c r="WO95" s="325"/>
      <c r="WP95" s="325"/>
      <c r="WQ95" s="325"/>
      <c r="WR95" s="325"/>
      <c r="WS95" s="325"/>
      <c r="WT95" s="325"/>
      <c r="WU95" s="325"/>
      <c r="WV95" s="325"/>
      <c r="WW95" s="325"/>
      <c r="WX95" s="325"/>
      <c r="WY95" s="325"/>
      <c r="WZ95" s="325"/>
      <c r="XA95" s="325"/>
      <c r="XB95" s="325"/>
      <c r="XC95" s="325"/>
      <c r="XD95" s="325"/>
      <c r="XE95" s="325"/>
      <c r="XF95" s="325"/>
      <c r="XG95" s="325"/>
      <c r="XH95" s="325"/>
      <c r="XI95" s="325"/>
      <c r="XJ95" s="325"/>
      <c r="XK95" s="325"/>
      <c r="XL95" s="325"/>
      <c r="XM95" s="325"/>
      <c r="XN95" s="325"/>
      <c r="XO95" s="325"/>
      <c r="XP95" s="325"/>
      <c r="XQ95" s="325"/>
      <c r="XR95" s="325"/>
      <c r="XS95" s="325"/>
      <c r="XT95" s="325"/>
      <c r="XU95" s="325"/>
      <c r="XV95" s="325"/>
      <c r="XW95" s="325"/>
      <c r="XX95" s="325"/>
      <c r="XY95" s="325"/>
      <c r="XZ95" s="325"/>
      <c r="YA95" s="325"/>
      <c r="YB95" s="325"/>
      <c r="YC95" s="325"/>
      <c r="YD95" s="325"/>
      <c r="YE95" s="325"/>
      <c r="YF95" s="325"/>
      <c r="YG95" s="325"/>
      <c r="YH95" s="325"/>
      <c r="YI95" s="325"/>
      <c r="YJ95" s="325"/>
      <c r="YK95" s="325"/>
      <c r="YL95" s="325"/>
      <c r="YM95" s="325"/>
      <c r="YN95" s="325"/>
      <c r="YO95" s="325"/>
      <c r="YP95" s="325"/>
      <c r="YQ95" s="325"/>
      <c r="YR95" s="325"/>
      <c r="YS95" s="325"/>
      <c r="YT95" s="325"/>
      <c r="YU95" s="325"/>
      <c r="YV95" s="325"/>
      <c r="YW95" s="325"/>
      <c r="YX95" s="325"/>
      <c r="YY95" s="325"/>
      <c r="YZ95" s="325"/>
      <c r="ZA95" s="325"/>
      <c r="ZB95" s="325"/>
      <c r="ZC95" s="325"/>
      <c r="ZD95" s="325"/>
      <c r="ZE95" s="325"/>
      <c r="ZF95" s="325"/>
      <c r="ZG95" s="325"/>
      <c r="ZH95" s="325"/>
      <c r="ZI95" s="325"/>
      <c r="ZJ95" s="325"/>
      <c r="ZK95" s="325"/>
      <c r="ZL95" s="325"/>
      <c r="ZM95" s="325"/>
      <c r="ZN95" s="325"/>
      <c r="ZO95" s="325"/>
      <c r="ZP95" s="325"/>
      <c r="ZQ95" s="325"/>
      <c r="ZR95" s="325"/>
      <c r="ZS95" s="325"/>
      <c r="ZT95" s="325"/>
      <c r="ZU95" s="325"/>
      <c r="ZV95" s="325"/>
      <c r="ZW95" s="325"/>
      <c r="ZX95" s="325"/>
      <c r="ZY95" s="325"/>
      <c r="ZZ95" s="325"/>
      <c r="AAA95" s="325"/>
      <c r="AAB95" s="325"/>
      <c r="AAC95" s="325"/>
      <c r="AAD95" s="325"/>
      <c r="AAE95" s="325"/>
      <c r="AAF95" s="325"/>
      <c r="AAG95" s="325"/>
      <c r="AAH95" s="325"/>
      <c r="AAI95" s="325"/>
      <c r="AAJ95" s="325"/>
      <c r="AAK95" s="325"/>
      <c r="AAL95" s="325"/>
      <c r="AAM95" s="325"/>
      <c r="AAN95" s="325"/>
      <c r="AAO95" s="325"/>
      <c r="AAP95" s="325"/>
      <c r="AAQ95" s="325"/>
      <c r="AAR95" s="325"/>
      <c r="AAS95" s="325"/>
      <c r="AAT95" s="325"/>
      <c r="AAU95" s="325"/>
      <c r="AAV95" s="325"/>
      <c r="AAW95" s="325"/>
      <c r="AAX95" s="325"/>
      <c r="AAY95" s="325"/>
      <c r="AAZ95" s="325"/>
      <c r="ABA95" s="325"/>
      <c r="ABB95" s="325"/>
      <c r="ABC95" s="325"/>
      <c r="ABD95" s="325"/>
      <c r="ABE95" s="325"/>
      <c r="ABF95" s="325"/>
      <c r="ABG95" s="325"/>
      <c r="ABH95" s="325"/>
      <c r="ABI95" s="325"/>
      <c r="ABJ95" s="325"/>
      <c r="ABK95" s="325"/>
      <c r="ABL95" s="325"/>
      <c r="ABM95" s="325"/>
      <c r="ABN95" s="325"/>
      <c r="ABO95" s="325"/>
      <c r="ABP95" s="325"/>
      <c r="ABQ95" s="325"/>
      <c r="ABR95" s="325"/>
      <c r="ABS95" s="325"/>
      <c r="ABT95" s="325"/>
      <c r="ABU95" s="325"/>
      <c r="ABV95" s="325"/>
      <c r="ABW95" s="325"/>
      <c r="ABX95" s="325"/>
      <c r="ABY95" s="325"/>
      <c r="ABZ95" s="325"/>
      <c r="ACA95" s="325"/>
      <c r="ACB95" s="325"/>
      <c r="ACC95" s="325"/>
      <c r="ACD95" s="325"/>
      <c r="ACE95" s="325"/>
      <c r="ACF95" s="325"/>
      <c r="ACG95" s="325"/>
      <c r="ACH95" s="325"/>
      <c r="ACI95" s="325"/>
      <c r="ACJ95" s="325"/>
      <c r="ACK95" s="325"/>
      <c r="ACL95" s="325"/>
      <c r="ACM95" s="325"/>
      <c r="ACN95" s="325"/>
      <c r="ACO95" s="325"/>
      <c r="ACP95" s="325"/>
      <c r="ACQ95" s="325"/>
      <c r="ACR95" s="325"/>
      <c r="ACS95" s="325"/>
      <c r="ACT95" s="325"/>
      <c r="ACU95" s="325"/>
      <c r="ACV95" s="325"/>
      <c r="ACW95" s="325"/>
      <c r="ACX95" s="325"/>
      <c r="ACY95" s="325"/>
      <c r="ACZ95" s="325"/>
      <c r="ADA95" s="325"/>
      <c r="ADB95" s="325"/>
      <c r="ADC95" s="325"/>
      <c r="ADD95" s="325"/>
      <c r="ADE95" s="325"/>
      <c r="ADF95" s="325"/>
      <c r="ADG95" s="325"/>
      <c r="ADH95" s="325"/>
      <c r="ADI95" s="325"/>
      <c r="ADJ95" s="325"/>
      <c r="ADK95" s="325"/>
      <c r="ADL95" s="325"/>
      <c r="ADM95" s="325"/>
      <c r="ADN95" s="325"/>
      <c r="ADO95" s="325"/>
      <c r="ADP95" s="325"/>
      <c r="ADQ95" s="325"/>
      <c r="ADR95" s="325"/>
      <c r="ADS95" s="325"/>
      <c r="ADT95" s="325"/>
      <c r="ADU95" s="325"/>
      <c r="ADV95" s="325"/>
      <c r="ADW95" s="325"/>
      <c r="ADX95" s="325"/>
      <c r="ADY95" s="325"/>
      <c r="ADZ95" s="325"/>
      <c r="AEA95" s="325"/>
      <c r="AEB95" s="325"/>
      <c r="AEC95" s="325"/>
      <c r="AED95" s="325"/>
      <c r="AEE95" s="325"/>
      <c r="AEF95" s="325"/>
      <c r="AEG95" s="325"/>
      <c r="AEH95" s="325"/>
      <c r="AEI95" s="325"/>
      <c r="AEJ95" s="325"/>
      <c r="AEK95" s="325"/>
      <c r="AEL95" s="325"/>
      <c r="AEM95" s="325"/>
      <c r="AEN95" s="325"/>
      <c r="AEO95" s="325"/>
      <c r="AEP95" s="325"/>
      <c r="AEQ95" s="325"/>
      <c r="AER95" s="325"/>
      <c r="AES95" s="325"/>
      <c r="AET95" s="325"/>
      <c r="AEU95" s="325"/>
      <c r="AEV95" s="325"/>
      <c r="AEW95" s="325"/>
      <c r="AEX95" s="325"/>
      <c r="AEY95" s="325"/>
      <c r="AEZ95" s="325"/>
      <c r="AFA95" s="325"/>
      <c r="AFB95" s="325"/>
      <c r="AFC95" s="325"/>
      <c r="AFD95" s="325"/>
      <c r="AFE95" s="325"/>
      <c r="AFF95" s="325"/>
      <c r="AFG95" s="325"/>
      <c r="AFH95" s="325"/>
      <c r="AFI95" s="325"/>
      <c r="AFJ95" s="325"/>
      <c r="AFK95" s="325"/>
      <c r="AFL95" s="325"/>
      <c r="AFM95" s="325"/>
      <c r="AFN95" s="325"/>
      <c r="AFO95" s="325"/>
      <c r="AFP95" s="325"/>
      <c r="AFQ95" s="325"/>
      <c r="AFR95" s="325"/>
      <c r="AFS95" s="325"/>
      <c r="AFT95" s="325"/>
      <c r="AFU95" s="325"/>
      <c r="AFV95" s="325"/>
      <c r="AFW95" s="325"/>
      <c r="AFX95" s="325"/>
      <c r="AFY95" s="325"/>
      <c r="AFZ95" s="325"/>
      <c r="AGA95" s="325"/>
      <c r="AGB95" s="325"/>
      <c r="AGC95" s="325"/>
      <c r="AGD95" s="325"/>
      <c r="AGE95" s="325"/>
      <c r="AGF95" s="325"/>
      <c r="AGG95" s="325"/>
      <c r="AGH95" s="325"/>
      <c r="AGI95" s="325"/>
      <c r="AGJ95" s="325"/>
      <c r="AGK95" s="325"/>
      <c r="AGL95" s="325"/>
      <c r="AGM95" s="325"/>
      <c r="AGN95" s="325"/>
      <c r="AGO95" s="325"/>
      <c r="AGP95" s="325"/>
      <c r="AGQ95" s="325"/>
      <c r="AGR95" s="325"/>
      <c r="AGS95" s="325"/>
      <c r="AGT95" s="325"/>
      <c r="AGU95" s="325"/>
      <c r="AGV95" s="325"/>
      <c r="AGW95" s="325"/>
      <c r="AGX95" s="325"/>
      <c r="AGY95" s="325"/>
      <c r="AGZ95" s="325"/>
      <c r="AHA95" s="325"/>
      <c r="AHB95" s="325"/>
      <c r="AHC95" s="325"/>
      <c r="AHD95" s="325"/>
      <c r="AHE95" s="325"/>
      <c r="AHF95" s="325"/>
      <c r="AHG95" s="325"/>
      <c r="AHH95" s="325"/>
      <c r="AHI95" s="325"/>
      <c r="AHJ95" s="325"/>
      <c r="AHK95" s="325"/>
      <c r="AHL95" s="325"/>
      <c r="AHM95" s="325"/>
      <c r="AHN95" s="325"/>
      <c r="AHO95" s="325"/>
      <c r="AHP95" s="325"/>
      <c r="AHQ95" s="325"/>
      <c r="AHR95" s="325"/>
      <c r="AHS95" s="325"/>
      <c r="AHT95" s="325"/>
      <c r="AHU95" s="325"/>
      <c r="AHV95" s="325"/>
      <c r="AHW95" s="325"/>
      <c r="AHX95" s="325"/>
      <c r="AHY95" s="325"/>
      <c r="AHZ95" s="325"/>
      <c r="AIA95" s="325"/>
      <c r="AIB95" s="325"/>
      <c r="AIC95" s="325"/>
      <c r="AID95" s="325"/>
      <c r="AIE95" s="325"/>
      <c r="AIF95" s="325"/>
      <c r="AIG95" s="325"/>
      <c r="AIH95" s="325"/>
      <c r="AII95" s="325"/>
      <c r="AIJ95" s="325"/>
      <c r="AIK95" s="325"/>
      <c r="AIL95" s="325"/>
      <c r="AIM95" s="325"/>
      <c r="AIN95" s="325"/>
      <c r="AIO95" s="325"/>
      <c r="AIP95" s="325"/>
      <c r="AIQ95" s="325"/>
      <c r="AIR95" s="325"/>
      <c r="AIS95" s="325"/>
      <c r="AIT95" s="325"/>
      <c r="AIU95" s="325"/>
      <c r="AIV95" s="325"/>
      <c r="AIW95" s="325"/>
      <c r="AIX95" s="325"/>
      <c r="AIY95" s="325"/>
      <c r="AIZ95" s="325"/>
      <c r="AJA95" s="325"/>
      <c r="AJB95" s="325"/>
      <c r="AJC95" s="325"/>
      <c r="AJD95" s="325"/>
      <c r="AJE95" s="325"/>
      <c r="AJF95" s="325"/>
      <c r="AJG95" s="325"/>
      <c r="AJH95" s="325"/>
      <c r="AJI95" s="325"/>
      <c r="AJJ95" s="325"/>
      <c r="AJK95" s="325"/>
      <c r="AJL95" s="325"/>
      <c r="AJM95" s="325"/>
      <c r="AJN95" s="325"/>
      <c r="AJO95" s="325"/>
      <c r="AJP95" s="325"/>
      <c r="AJQ95" s="325"/>
      <c r="AJR95" s="325"/>
      <c r="AJS95" s="325"/>
      <c r="AJT95" s="325"/>
      <c r="AJU95" s="325"/>
      <c r="AJV95" s="325"/>
      <c r="AJW95" s="325"/>
      <c r="AJX95" s="325"/>
      <c r="AJY95" s="325"/>
      <c r="AJZ95" s="325"/>
      <c r="AKA95" s="325"/>
      <c r="AKB95" s="325"/>
      <c r="AKC95" s="325"/>
      <c r="AKD95" s="325"/>
      <c r="AKE95" s="325"/>
      <c r="AKF95" s="325"/>
      <c r="AKG95" s="325"/>
      <c r="AKH95" s="325"/>
      <c r="AKI95" s="325"/>
      <c r="AKJ95" s="325"/>
      <c r="AKK95" s="325"/>
      <c r="AKL95" s="325"/>
      <c r="AKM95" s="325"/>
      <c r="AKN95" s="325"/>
      <c r="AKO95" s="325"/>
      <c r="AKP95" s="325"/>
      <c r="AKQ95" s="325"/>
      <c r="AKR95" s="325"/>
      <c r="AKS95" s="325"/>
      <c r="AKT95" s="325"/>
      <c r="AKU95" s="325"/>
      <c r="AKV95" s="325"/>
      <c r="AKW95" s="325"/>
      <c r="AKX95" s="325"/>
      <c r="AKY95" s="325"/>
      <c r="AKZ95" s="325"/>
      <c r="ALA95" s="325"/>
      <c r="ALB95" s="325"/>
      <c r="ALC95" s="325"/>
      <c r="ALD95" s="325"/>
      <c r="ALE95" s="325"/>
      <c r="ALF95" s="325"/>
      <c r="ALG95" s="325"/>
      <c r="ALH95" s="325"/>
      <c r="ALI95" s="325"/>
      <c r="ALJ95" s="325"/>
      <c r="ALK95" s="325"/>
      <c r="ALL95" s="325"/>
      <c r="ALM95" s="325"/>
      <c r="ALN95" s="325"/>
      <c r="ALO95" s="325"/>
      <c r="ALP95" s="325"/>
      <c r="ALQ95" s="325"/>
      <c r="ALR95" s="325"/>
      <c r="ALS95" s="325"/>
      <c r="ALT95" s="325"/>
      <c r="ALU95" s="325"/>
      <c r="ALV95" s="325"/>
      <c r="ALW95" s="325"/>
      <c r="ALX95" s="325"/>
      <c r="ALY95" s="325"/>
      <c r="ALZ95" s="325"/>
      <c r="AMA95" s="325"/>
      <c r="AMB95" s="325"/>
      <c r="AMC95" s="325"/>
    </row>
  </sheetData>
  <mergeCells count="365">
    <mergeCell ref="N2:N8"/>
    <mergeCell ref="O2:O8"/>
    <mergeCell ref="P2:P8"/>
    <mergeCell ref="Q2:Q8"/>
    <mergeCell ref="R2:R8"/>
    <mergeCell ref="S2:S8"/>
    <mergeCell ref="T2:T8"/>
    <mergeCell ref="U2:U8"/>
    <mergeCell ref="V2:V8"/>
    <mergeCell ref="I2:I8"/>
    <mergeCell ref="J2:J8"/>
    <mergeCell ref="K2:K8"/>
    <mergeCell ref="L2:L8"/>
    <mergeCell ref="M2:M8"/>
    <mergeCell ref="D2:D8"/>
    <mergeCell ref="E2:E8"/>
    <mergeCell ref="F2:F8"/>
    <mergeCell ref="G2:G8"/>
    <mergeCell ref="H2:H8"/>
    <mergeCell ref="AF2:AF8"/>
    <mergeCell ref="AG2:AG8"/>
    <mergeCell ref="AH2:AH8"/>
    <mergeCell ref="AI2:AI8"/>
    <mergeCell ref="AJ2:AJ8"/>
    <mergeCell ref="W2:W8"/>
    <mergeCell ref="X2:X8"/>
    <mergeCell ref="Y2:Y8"/>
    <mergeCell ref="Z2:Z8"/>
    <mergeCell ref="AA2:AA8"/>
    <mergeCell ref="AB2:AB8"/>
    <mergeCell ref="AC2:AC8"/>
    <mergeCell ref="AD2:AD8"/>
    <mergeCell ref="AE2:AE8"/>
    <mergeCell ref="AP2:AP8"/>
    <mergeCell ref="AQ2:AQ8"/>
    <mergeCell ref="AR2:AR8"/>
    <mergeCell ref="AS2:AS8"/>
    <mergeCell ref="AT2:AT8"/>
    <mergeCell ref="AK2:AK8"/>
    <mergeCell ref="AL2:AL8"/>
    <mergeCell ref="AM2:AM8"/>
    <mergeCell ref="AN2:AN8"/>
    <mergeCell ref="AO2:AO8"/>
    <mergeCell ref="AZ2:AZ8"/>
    <mergeCell ref="BA2:BA8"/>
    <mergeCell ref="BB2:BB8"/>
    <mergeCell ref="BC2:BC8"/>
    <mergeCell ref="BD2:BD8"/>
    <mergeCell ref="AU2:AU8"/>
    <mergeCell ref="AV2:AV8"/>
    <mergeCell ref="AW2:AW8"/>
    <mergeCell ref="AX2:AX8"/>
    <mergeCell ref="AY2:AY8"/>
    <mergeCell ref="BJ2:BJ8"/>
    <mergeCell ref="BK2:BK8"/>
    <mergeCell ref="BL2:BL8"/>
    <mergeCell ref="BM2:BM8"/>
    <mergeCell ref="BN2:BN8"/>
    <mergeCell ref="BE2:BE8"/>
    <mergeCell ref="BF2:BF8"/>
    <mergeCell ref="BG2:BG8"/>
    <mergeCell ref="BH2:BH8"/>
    <mergeCell ref="BI2:BI8"/>
    <mergeCell ref="BT2:BT8"/>
    <mergeCell ref="BU2:BU8"/>
    <mergeCell ref="BV2:BV8"/>
    <mergeCell ref="BW2:BW8"/>
    <mergeCell ref="BX2:BX8"/>
    <mergeCell ref="BO2:BO8"/>
    <mergeCell ref="BP2:BP8"/>
    <mergeCell ref="BQ2:BQ8"/>
    <mergeCell ref="BR2:BR8"/>
    <mergeCell ref="BS2:BS8"/>
    <mergeCell ref="CD2:CD8"/>
    <mergeCell ref="CE2:CE8"/>
    <mergeCell ref="CF2:CF8"/>
    <mergeCell ref="CG2:CG8"/>
    <mergeCell ref="CH2:CH8"/>
    <mergeCell ref="BY2:BY8"/>
    <mergeCell ref="BZ2:BZ8"/>
    <mergeCell ref="CA2:CA8"/>
    <mergeCell ref="CB2:CB8"/>
    <mergeCell ref="CC2:CC8"/>
    <mergeCell ref="CN2:CN8"/>
    <mergeCell ref="CO2:CO8"/>
    <mergeCell ref="CP2:CP8"/>
    <mergeCell ref="CQ2:CQ8"/>
    <mergeCell ref="CR2:CR8"/>
    <mergeCell ref="CI2:CI8"/>
    <mergeCell ref="CJ2:CJ8"/>
    <mergeCell ref="CK2:CK8"/>
    <mergeCell ref="CL2:CL8"/>
    <mergeCell ref="CM2:CM8"/>
    <mergeCell ref="CX2:CX8"/>
    <mergeCell ref="CY2:CY8"/>
    <mergeCell ref="CZ2:CZ8"/>
    <mergeCell ref="DA2:DA8"/>
    <mergeCell ref="DB2:DB8"/>
    <mergeCell ref="CS2:CS8"/>
    <mergeCell ref="CT2:CT8"/>
    <mergeCell ref="CU2:CU8"/>
    <mergeCell ref="CV2:CV8"/>
    <mergeCell ref="CW2:CW8"/>
    <mergeCell ref="DH2:DH8"/>
    <mergeCell ref="DI2:DI8"/>
    <mergeCell ref="DJ2:DJ8"/>
    <mergeCell ref="DK2:DK8"/>
    <mergeCell ref="DL2:DL8"/>
    <mergeCell ref="DC2:DC8"/>
    <mergeCell ref="DD2:DD8"/>
    <mergeCell ref="DE2:DE8"/>
    <mergeCell ref="DF2:DF8"/>
    <mergeCell ref="DG2:DG8"/>
    <mergeCell ref="DR2:DR8"/>
    <mergeCell ref="DS2:DS8"/>
    <mergeCell ref="DT2:DT8"/>
    <mergeCell ref="DU2:DU8"/>
    <mergeCell ref="DV2:DV8"/>
    <mergeCell ref="DM2:DM8"/>
    <mergeCell ref="DN2:DN8"/>
    <mergeCell ref="DO2:DO8"/>
    <mergeCell ref="DP2:DP8"/>
    <mergeCell ref="DQ2:DQ8"/>
    <mergeCell ref="EB2:EB8"/>
    <mergeCell ref="EC2:EC8"/>
    <mergeCell ref="ED2:ED8"/>
    <mergeCell ref="EE2:EE8"/>
    <mergeCell ref="EF2:EF8"/>
    <mergeCell ref="DW2:DW8"/>
    <mergeCell ref="DX2:DX8"/>
    <mergeCell ref="DY2:DY8"/>
    <mergeCell ref="DZ2:DZ8"/>
    <mergeCell ref="EA2:EA8"/>
    <mergeCell ref="EL2:EL8"/>
    <mergeCell ref="EM2:EM8"/>
    <mergeCell ref="EN2:EN8"/>
    <mergeCell ref="EO2:EO8"/>
    <mergeCell ref="EP2:EP8"/>
    <mergeCell ref="EG2:EG8"/>
    <mergeCell ref="EH2:EH8"/>
    <mergeCell ref="EI2:EI8"/>
    <mergeCell ref="EJ2:EJ8"/>
    <mergeCell ref="EK2:EK8"/>
    <mergeCell ref="EV2:EV8"/>
    <mergeCell ref="EW2:EW8"/>
    <mergeCell ref="EX2:EX8"/>
    <mergeCell ref="EY2:EY8"/>
    <mergeCell ref="EZ2:EZ8"/>
    <mergeCell ref="EQ2:EQ8"/>
    <mergeCell ref="ER2:ER8"/>
    <mergeCell ref="ES2:ES8"/>
    <mergeCell ref="ET2:ET8"/>
    <mergeCell ref="EU2:EU8"/>
    <mergeCell ref="FF2:FF8"/>
    <mergeCell ref="FG2:FG8"/>
    <mergeCell ref="FH2:FH8"/>
    <mergeCell ref="FI2:FI8"/>
    <mergeCell ref="FJ2:FJ8"/>
    <mergeCell ref="FA2:FA8"/>
    <mergeCell ref="FB2:FB8"/>
    <mergeCell ref="FC2:FC8"/>
    <mergeCell ref="FD2:FD8"/>
    <mergeCell ref="FE2:FE8"/>
    <mergeCell ref="FP2:FP8"/>
    <mergeCell ref="FQ2:FQ8"/>
    <mergeCell ref="FR2:FR8"/>
    <mergeCell ref="FS2:FS8"/>
    <mergeCell ref="FT2:FT8"/>
    <mergeCell ref="FK2:FK8"/>
    <mergeCell ref="FL2:FL8"/>
    <mergeCell ref="FM2:FM8"/>
    <mergeCell ref="FN2:FN8"/>
    <mergeCell ref="FO2:FO8"/>
    <mergeCell ref="FZ2:FZ8"/>
    <mergeCell ref="GA2:GA8"/>
    <mergeCell ref="GB2:GB8"/>
    <mergeCell ref="GC2:GC8"/>
    <mergeCell ref="GD2:GD8"/>
    <mergeCell ref="FU2:FU8"/>
    <mergeCell ref="FV2:FV8"/>
    <mergeCell ref="FW2:FW8"/>
    <mergeCell ref="FX2:FX8"/>
    <mergeCell ref="FY2:FY8"/>
    <mergeCell ref="GJ2:GJ8"/>
    <mergeCell ref="GK2:GK8"/>
    <mergeCell ref="GL2:GL8"/>
    <mergeCell ref="GM2:GM8"/>
    <mergeCell ref="GN2:GN8"/>
    <mergeCell ref="GE2:GE8"/>
    <mergeCell ref="GF2:GF8"/>
    <mergeCell ref="GG2:GG8"/>
    <mergeCell ref="GH2:GH8"/>
    <mergeCell ref="GI2:GI8"/>
    <mergeCell ref="GT2:GT8"/>
    <mergeCell ref="GU2:GU8"/>
    <mergeCell ref="GV2:GV8"/>
    <mergeCell ref="GW2:GW8"/>
    <mergeCell ref="GX2:GX8"/>
    <mergeCell ref="GO2:GO8"/>
    <mergeCell ref="GP2:GP8"/>
    <mergeCell ref="GQ2:GQ8"/>
    <mergeCell ref="GR2:GR8"/>
    <mergeCell ref="GS2:GS8"/>
    <mergeCell ref="HD2:HD8"/>
    <mergeCell ref="HE2:HE8"/>
    <mergeCell ref="HF2:HF8"/>
    <mergeCell ref="HG2:HG8"/>
    <mergeCell ref="HH2:HH8"/>
    <mergeCell ref="GY2:GY8"/>
    <mergeCell ref="GZ2:GZ8"/>
    <mergeCell ref="HA2:HA8"/>
    <mergeCell ref="HB2:HB8"/>
    <mergeCell ref="HC2:HC8"/>
    <mergeCell ref="HN2:HN8"/>
    <mergeCell ref="HO2:HO8"/>
    <mergeCell ref="HP2:HP8"/>
    <mergeCell ref="HQ2:HQ8"/>
    <mergeCell ref="HR2:HR8"/>
    <mergeCell ref="HI2:HI8"/>
    <mergeCell ref="HJ2:HJ8"/>
    <mergeCell ref="HK2:HK8"/>
    <mergeCell ref="HL2:HL8"/>
    <mergeCell ref="HM2:HM8"/>
    <mergeCell ref="HX2:HX8"/>
    <mergeCell ref="HY2:HY8"/>
    <mergeCell ref="HZ2:HZ8"/>
    <mergeCell ref="IA2:IA8"/>
    <mergeCell ref="IB2:IB8"/>
    <mergeCell ref="HS2:HS8"/>
    <mergeCell ref="HT2:HT8"/>
    <mergeCell ref="HU2:HU8"/>
    <mergeCell ref="HV2:HV8"/>
    <mergeCell ref="HW2:HW8"/>
    <mergeCell ref="IH2:IH8"/>
    <mergeCell ref="II2:II8"/>
    <mergeCell ref="IJ2:IJ8"/>
    <mergeCell ref="IK2:IK8"/>
    <mergeCell ref="IL2:IL8"/>
    <mergeCell ref="IC2:IC8"/>
    <mergeCell ref="ID2:ID8"/>
    <mergeCell ref="IE2:IE8"/>
    <mergeCell ref="IF2:IF8"/>
    <mergeCell ref="IG2:IG8"/>
    <mergeCell ref="IR2:IR8"/>
    <mergeCell ref="IS2:IS8"/>
    <mergeCell ref="IT2:IT8"/>
    <mergeCell ref="IU2:IU8"/>
    <mergeCell ref="IV2:IV8"/>
    <mergeCell ref="IM2:IM8"/>
    <mergeCell ref="IN2:IN8"/>
    <mergeCell ref="IO2:IO8"/>
    <mergeCell ref="IP2:IP8"/>
    <mergeCell ref="IQ2:IQ8"/>
    <mergeCell ref="JB2:JB8"/>
    <mergeCell ref="JC2:JC8"/>
    <mergeCell ref="JD2:JD8"/>
    <mergeCell ref="JE2:JE8"/>
    <mergeCell ref="JF2:JF8"/>
    <mergeCell ref="IW2:IW8"/>
    <mergeCell ref="IX2:IX8"/>
    <mergeCell ref="IY2:IY8"/>
    <mergeCell ref="IZ2:IZ8"/>
    <mergeCell ref="JA2:JA8"/>
    <mergeCell ref="JL2:JL8"/>
    <mergeCell ref="JM2:JM8"/>
    <mergeCell ref="JN2:JN8"/>
    <mergeCell ref="JO2:JO8"/>
    <mergeCell ref="JP2:JP8"/>
    <mergeCell ref="JG2:JG8"/>
    <mergeCell ref="JH2:JH8"/>
    <mergeCell ref="JI2:JI8"/>
    <mergeCell ref="JJ2:JJ8"/>
    <mergeCell ref="JK2:JK8"/>
    <mergeCell ref="JV2:JV8"/>
    <mergeCell ref="JW2:JW8"/>
    <mergeCell ref="JX2:JX8"/>
    <mergeCell ref="JY2:JY8"/>
    <mergeCell ref="JZ2:JZ8"/>
    <mergeCell ref="JQ2:JQ8"/>
    <mergeCell ref="JR2:JR8"/>
    <mergeCell ref="JS2:JS8"/>
    <mergeCell ref="JT2:JT8"/>
    <mergeCell ref="JU2:JU8"/>
    <mergeCell ref="KF2:KF8"/>
    <mergeCell ref="KG2:KG8"/>
    <mergeCell ref="KH2:KH8"/>
    <mergeCell ref="KI2:KI8"/>
    <mergeCell ref="KJ2:KJ8"/>
    <mergeCell ref="KA2:KA8"/>
    <mergeCell ref="KB2:KB8"/>
    <mergeCell ref="KC2:KC8"/>
    <mergeCell ref="KD2:KD8"/>
    <mergeCell ref="KE2:KE8"/>
    <mergeCell ref="KP2:KP8"/>
    <mergeCell ref="KQ2:KQ8"/>
    <mergeCell ref="KR2:KR8"/>
    <mergeCell ref="KS2:KS8"/>
    <mergeCell ref="KT2:KT8"/>
    <mergeCell ref="KK2:KK8"/>
    <mergeCell ref="KL2:KL8"/>
    <mergeCell ref="KM2:KM8"/>
    <mergeCell ref="KN2:KN8"/>
    <mergeCell ref="KO2:KO8"/>
    <mergeCell ref="KZ2:KZ8"/>
    <mergeCell ref="LA2:LA8"/>
    <mergeCell ref="LB2:LB8"/>
    <mergeCell ref="LC2:LC8"/>
    <mergeCell ref="LD2:LD8"/>
    <mergeCell ref="KU2:KU8"/>
    <mergeCell ref="KV2:KV8"/>
    <mergeCell ref="KW2:KW8"/>
    <mergeCell ref="KX2:KX8"/>
    <mergeCell ref="KY2:KY8"/>
    <mergeCell ref="LJ2:LJ8"/>
    <mergeCell ref="LK2:LK8"/>
    <mergeCell ref="LL2:LL8"/>
    <mergeCell ref="LM2:LM8"/>
    <mergeCell ref="LN2:LN8"/>
    <mergeCell ref="LE2:LE8"/>
    <mergeCell ref="LF2:LF8"/>
    <mergeCell ref="LG2:LG8"/>
    <mergeCell ref="LH2:LH8"/>
    <mergeCell ref="LI2:LI8"/>
    <mergeCell ref="LT2:LT8"/>
    <mergeCell ref="LU2:LU8"/>
    <mergeCell ref="LV2:LV8"/>
    <mergeCell ref="LW2:LW8"/>
    <mergeCell ref="LX2:LX8"/>
    <mergeCell ref="LO2:LO8"/>
    <mergeCell ref="LP2:LP8"/>
    <mergeCell ref="LQ2:LQ8"/>
    <mergeCell ref="LR2:LR8"/>
    <mergeCell ref="LS2:LS8"/>
    <mergeCell ref="MD2:MD8"/>
    <mergeCell ref="ME2:ME8"/>
    <mergeCell ref="MF2:MF8"/>
    <mergeCell ref="MG2:MG8"/>
    <mergeCell ref="MH2:MH8"/>
    <mergeCell ref="LY2:LY8"/>
    <mergeCell ref="LZ2:LZ8"/>
    <mergeCell ref="MA2:MA8"/>
    <mergeCell ref="MB2:MB8"/>
    <mergeCell ref="MC2:MC8"/>
    <mergeCell ref="MN2:MN8"/>
    <mergeCell ref="MO2:MO8"/>
    <mergeCell ref="MP2:MP8"/>
    <mergeCell ref="MQ2:MQ8"/>
    <mergeCell ref="MR2:MR8"/>
    <mergeCell ref="MI2:MI8"/>
    <mergeCell ref="MJ2:MJ8"/>
    <mergeCell ref="MK2:MK8"/>
    <mergeCell ref="ML2:ML8"/>
    <mergeCell ref="MM2:MM8"/>
    <mergeCell ref="NC2:NC8"/>
    <mergeCell ref="ND2:ND8"/>
    <mergeCell ref="MX2:MX8"/>
    <mergeCell ref="MY2:MY8"/>
    <mergeCell ref="MZ2:MZ8"/>
    <mergeCell ref="NA2:NA8"/>
    <mergeCell ref="NB2:NB8"/>
    <mergeCell ref="MS2:MS8"/>
    <mergeCell ref="MT2:MT8"/>
    <mergeCell ref="MU2:MU8"/>
    <mergeCell ref="MV2:MV8"/>
    <mergeCell ref="MW2:MW8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5">
    <tabColor indexed="34"/>
  </sheetPr>
  <dimension ref="A1:ND222"/>
  <sheetViews>
    <sheetView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5" sqref="E5"/>
    </sheetView>
  </sheetViews>
  <sheetFormatPr defaultColWidth="13" defaultRowHeight="12.75"/>
  <cols>
    <col min="1" max="1" width="17.5703125" style="130" customWidth="1"/>
    <col min="2" max="2" width="10.42578125" style="78" bestFit="1" customWidth="1"/>
    <col min="3" max="3" width="14.5703125" style="169" bestFit="1" customWidth="1"/>
    <col min="4" max="368" width="4.28515625" style="78" bestFit="1" customWidth="1"/>
    <col min="369" max="16384" width="13" style="78"/>
  </cols>
  <sheetData>
    <row r="1" spans="1:368" s="75" customFormat="1" ht="34.5" thickBot="1">
      <c r="A1" s="236" t="s">
        <v>124</v>
      </c>
      <c r="B1" s="236"/>
      <c r="C1" s="236"/>
      <c r="E1" s="237"/>
      <c r="F1" s="237"/>
      <c r="G1" s="237"/>
      <c r="H1" s="237"/>
      <c r="I1" s="237"/>
      <c r="K1" s="237"/>
      <c r="L1" s="237"/>
      <c r="M1" s="237"/>
      <c r="N1" s="237"/>
      <c r="O1" s="237"/>
      <c r="Q1" s="455"/>
      <c r="R1" s="455"/>
      <c r="S1" s="455"/>
      <c r="T1" s="455"/>
      <c r="U1" s="455"/>
      <c r="W1" s="455"/>
      <c r="X1" s="455"/>
      <c r="Y1" s="455"/>
      <c r="Z1" s="455"/>
      <c r="AA1" s="455"/>
    </row>
    <row r="2" spans="1:368" s="299" customFormat="1" ht="79.5">
      <c r="A2" s="463"/>
      <c r="B2" s="464"/>
      <c r="C2" s="465"/>
      <c r="D2" s="300" t="s">
        <v>4</v>
      </c>
      <c r="E2" s="300" t="s">
        <v>5</v>
      </c>
      <c r="F2" s="300" t="s">
        <v>6</v>
      </c>
      <c r="G2" s="300" t="s">
        <v>1</v>
      </c>
      <c r="H2" s="300" t="s">
        <v>2</v>
      </c>
      <c r="I2" s="300" t="s">
        <v>123</v>
      </c>
      <c r="J2" s="300" t="s">
        <v>3</v>
      </c>
      <c r="K2" s="300" t="s">
        <v>122</v>
      </c>
      <c r="L2" s="300" t="s">
        <v>5</v>
      </c>
      <c r="M2" s="300" t="s">
        <v>6</v>
      </c>
      <c r="N2" s="300" t="s">
        <v>1</v>
      </c>
      <c r="O2" s="300" t="s">
        <v>2</v>
      </c>
      <c r="P2" s="300" t="s">
        <v>123</v>
      </c>
      <c r="Q2" s="300" t="s">
        <v>3</v>
      </c>
      <c r="R2" s="300" t="s">
        <v>122</v>
      </c>
      <c r="S2" s="300" t="s">
        <v>5</v>
      </c>
      <c r="T2" s="300" t="s">
        <v>6</v>
      </c>
      <c r="U2" s="300" t="s">
        <v>1</v>
      </c>
      <c r="V2" s="300" t="s">
        <v>2</v>
      </c>
      <c r="W2" s="300" t="s">
        <v>123</v>
      </c>
      <c r="X2" s="300" t="s">
        <v>3</v>
      </c>
      <c r="Y2" s="300" t="s">
        <v>122</v>
      </c>
      <c r="Z2" s="300" t="s">
        <v>5</v>
      </c>
      <c r="AA2" s="300" t="s">
        <v>6</v>
      </c>
      <c r="AB2" s="300" t="s">
        <v>1</v>
      </c>
      <c r="AC2" s="300" t="s">
        <v>2</v>
      </c>
      <c r="AD2" s="300" t="s">
        <v>123</v>
      </c>
      <c r="AE2" s="300" t="s">
        <v>3</v>
      </c>
      <c r="AF2" s="300" t="s">
        <v>122</v>
      </c>
      <c r="AG2" s="300" t="s">
        <v>5</v>
      </c>
      <c r="AH2" s="300" t="s">
        <v>6</v>
      </c>
      <c r="AI2" s="300" t="s">
        <v>1</v>
      </c>
      <c r="AJ2" s="300" t="s">
        <v>2</v>
      </c>
      <c r="AK2" s="300" t="s">
        <v>123</v>
      </c>
      <c r="AL2" s="300" t="s">
        <v>3</v>
      </c>
      <c r="AM2" s="300" t="s">
        <v>122</v>
      </c>
      <c r="AN2" s="300" t="s">
        <v>5</v>
      </c>
      <c r="AO2" s="300" t="s">
        <v>6</v>
      </c>
      <c r="AP2" s="300" t="s">
        <v>1</v>
      </c>
      <c r="AQ2" s="300" t="s">
        <v>2</v>
      </c>
      <c r="AR2" s="300" t="s">
        <v>123</v>
      </c>
      <c r="AS2" s="300" t="s">
        <v>3</v>
      </c>
      <c r="AT2" s="300" t="s">
        <v>122</v>
      </c>
      <c r="AU2" s="300" t="s">
        <v>5</v>
      </c>
      <c r="AV2" s="300" t="s">
        <v>6</v>
      </c>
      <c r="AW2" s="300" t="s">
        <v>1</v>
      </c>
      <c r="AX2" s="300" t="s">
        <v>2</v>
      </c>
      <c r="AY2" s="300" t="s">
        <v>123</v>
      </c>
      <c r="AZ2" s="300" t="s">
        <v>3</v>
      </c>
      <c r="BA2" s="300" t="s">
        <v>122</v>
      </c>
      <c r="BB2" s="300" t="s">
        <v>5</v>
      </c>
      <c r="BC2" s="300" t="s">
        <v>6</v>
      </c>
      <c r="BD2" s="300" t="s">
        <v>1</v>
      </c>
      <c r="BE2" s="300" t="s">
        <v>2</v>
      </c>
      <c r="BF2" s="300" t="s">
        <v>123</v>
      </c>
      <c r="BG2" s="300" t="s">
        <v>3</v>
      </c>
      <c r="BH2" s="300" t="s">
        <v>122</v>
      </c>
      <c r="BI2" s="300" t="s">
        <v>5</v>
      </c>
      <c r="BJ2" s="300" t="s">
        <v>6</v>
      </c>
      <c r="BK2" s="300" t="s">
        <v>1</v>
      </c>
      <c r="BL2" s="300" t="s">
        <v>2</v>
      </c>
      <c r="BM2" s="300" t="s">
        <v>123</v>
      </c>
      <c r="BN2" s="300" t="s">
        <v>3</v>
      </c>
      <c r="BO2" s="300" t="s">
        <v>122</v>
      </c>
      <c r="BP2" s="300" t="s">
        <v>5</v>
      </c>
      <c r="BQ2" s="300" t="s">
        <v>6</v>
      </c>
      <c r="BR2" s="300" t="s">
        <v>1</v>
      </c>
      <c r="BS2" s="300" t="s">
        <v>2</v>
      </c>
      <c r="BT2" s="300" t="s">
        <v>123</v>
      </c>
      <c r="BU2" s="300" t="s">
        <v>3</v>
      </c>
      <c r="BV2" s="300" t="s">
        <v>122</v>
      </c>
      <c r="BW2" s="300" t="s">
        <v>5</v>
      </c>
      <c r="BX2" s="300" t="s">
        <v>6</v>
      </c>
      <c r="BY2" s="300" t="s">
        <v>1</v>
      </c>
      <c r="BZ2" s="300" t="s">
        <v>2</v>
      </c>
      <c r="CA2" s="300" t="s">
        <v>123</v>
      </c>
      <c r="CB2" s="300" t="s">
        <v>3</v>
      </c>
      <c r="CC2" s="300" t="s">
        <v>122</v>
      </c>
      <c r="CD2" s="300" t="s">
        <v>5</v>
      </c>
      <c r="CE2" s="300" t="s">
        <v>6</v>
      </c>
      <c r="CF2" s="300" t="s">
        <v>1</v>
      </c>
      <c r="CG2" s="300" t="s">
        <v>2</v>
      </c>
      <c r="CH2" s="300" t="s">
        <v>123</v>
      </c>
      <c r="CI2" s="300" t="s">
        <v>3</v>
      </c>
      <c r="CJ2" s="300" t="s">
        <v>122</v>
      </c>
      <c r="CK2" s="300" t="s">
        <v>5</v>
      </c>
      <c r="CL2" s="300" t="s">
        <v>6</v>
      </c>
      <c r="CM2" s="300" t="s">
        <v>1</v>
      </c>
      <c r="CN2" s="300" t="s">
        <v>2</v>
      </c>
      <c r="CO2" s="300" t="s">
        <v>123</v>
      </c>
      <c r="CP2" s="300" t="s">
        <v>3</v>
      </c>
      <c r="CQ2" s="300" t="s">
        <v>122</v>
      </c>
      <c r="CR2" s="300" t="s">
        <v>5</v>
      </c>
      <c r="CS2" s="300" t="s">
        <v>6</v>
      </c>
      <c r="CT2" s="300" t="s">
        <v>1</v>
      </c>
      <c r="CU2" s="300" t="s">
        <v>2</v>
      </c>
      <c r="CV2" s="300" t="s">
        <v>123</v>
      </c>
      <c r="CW2" s="300" t="s">
        <v>3</v>
      </c>
      <c r="CX2" s="300" t="s">
        <v>122</v>
      </c>
      <c r="CY2" s="300" t="s">
        <v>5</v>
      </c>
      <c r="CZ2" s="300" t="s">
        <v>6</v>
      </c>
      <c r="DA2" s="300" t="s">
        <v>1</v>
      </c>
      <c r="DB2" s="300" t="s">
        <v>2</v>
      </c>
      <c r="DC2" s="300" t="s">
        <v>123</v>
      </c>
      <c r="DD2" s="300" t="s">
        <v>3</v>
      </c>
      <c r="DE2" s="300" t="s">
        <v>122</v>
      </c>
      <c r="DF2" s="300" t="s">
        <v>5</v>
      </c>
      <c r="DG2" s="300" t="s">
        <v>6</v>
      </c>
      <c r="DH2" s="300" t="s">
        <v>1</v>
      </c>
      <c r="DI2" s="300" t="s">
        <v>2</v>
      </c>
      <c r="DJ2" s="300" t="s">
        <v>123</v>
      </c>
      <c r="DK2" s="300" t="s">
        <v>3</v>
      </c>
      <c r="DL2" s="300" t="s">
        <v>122</v>
      </c>
      <c r="DM2" s="300" t="s">
        <v>5</v>
      </c>
      <c r="DN2" s="300" t="s">
        <v>6</v>
      </c>
      <c r="DO2" s="300" t="s">
        <v>1</v>
      </c>
      <c r="DP2" s="300" t="s">
        <v>2</v>
      </c>
      <c r="DQ2" s="300" t="s">
        <v>123</v>
      </c>
      <c r="DR2" s="300" t="s">
        <v>3</v>
      </c>
      <c r="DS2" s="300" t="s">
        <v>122</v>
      </c>
      <c r="DT2" s="300" t="s">
        <v>5</v>
      </c>
      <c r="DU2" s="300" t="s">
        <v>6</v>
      </c>
      <c r="DV2" s="300" t="s">
        <v>1</v>
      </c>
      <c r="DW2" s="300" t="s">
        <v>2</v>
      </c>
      <c r="DX2" s="300" t="s">
        <v>123</v>
      </c>
      <c r="DY2" s="300" t="s">
        <v>3</v>
      </c>
      <c r="DZ2" s="300" t="s">
        <v>122</v>
      </c>
      <c r="EA2" s="300" t="s">
        <v>5</v>
      </c>
      <c r="EB2" s="300" t="s">
        <v>6</v>
      </c>
      <c r="EC2" s="300" t="s">
        <v>1</v>
      </c>
      <c r="ED2" s="300" t="s">
        <v>2</v>
      </c>
      <c r="EE2" s="300" t="s">
        <v>123</v>
      </c>
      <c r="EF2" s="300" t="s">
        <v>3</v>
      </c>
      <c r="EG2" s="300" t="s">
        <v>122</v>
      </c>
      <c r="EH2" s="300" t="s">
        <v>5</v>
      </c>
      <c r="EI2" s="300" t="s">
        <v>6</v>
      </c>
      <c r="EJ2" s="300" t="s">
        <v>1</v>
      </c>
      <c r="EK2" s="300" t="s">
        <v>2</v>
      </c>
      <c r="EL2" s="300" t="s">
        <v>123</v>
      </c>
      <c r="EM2" s="300" t="s">
        <v>3</v>
      </c>
      <c r="EN2" s="300" t="s">
        <v>122</v>
      </c>
      <c r="EO2" s="300" t="s">
        <v>5</v>
      </c>
      <c r="EP2" s="300" t="s">
        <v>6</v>
      </c>
      <c r="EQ2" s="300" t="s">
        <v>1</v>
      </c>
      <c r="ER2" s="300" t="s">
        <v>2</v>
      </c>
      <c r="ES2" s="300" t="s">
        <v>123</v>
      </c>
      <c r="ET2" s="300" t="s">
        <v>3</v>
      </c>
      <c r="EU2" s="300" t="s">
        <v>122</v>
      </c>
      <c r="EV2" s="300" t="s">
        <v>5</v>
      </c>
      <c r="EW2" s="300" t="s">
        <v>6</v>
      </c>
      <c r="EX2" s="300" t="s">
        <v>1</v>
      </c>
      <c r="EY2" s="300" t="s">
        <v>2</v>
      </c>
      <c r="EZ2" s="300" t="s">
        <v>123</v>
      </c>
      <c r="FA2" s="300" t="s">
        <v>3</v>
      </c>
      <c r="FB2" s="300" t="s">
        <v>122</v>
      </c>
      <c r="FC2" s="300" t="s">
        <v>5</v>
      </c>
      <c r="FD2" s="300" t="s">
        <v>6</v>
      </c>
      <c r="FE2" s="300" t="s">
        <v>1</v>
      </c>
      <c r="FF2" s="300" t="s">
        <v>2</v>
      </c>
      <c r="FG2" s="300" t="s">
        <v>123</v>
      </c>
      <c r="FH2" s="300" t="s">
        <v>3</v>
      </c>
      <c r="FI2" s="300" t="s">
        <v>122</v>
      </c>
      <c r="FJ2" s="300" t="s">
        <v>5</v>
      </c>
      <c r="FK2" s="300" t="s">
        <v>6</v>
      </c>
      <c r="FL2" s="300" t="s">
        <v>1</v>
      </c>
      <c r="FM2" s="300" t="s">
        <v>2</v>
      </c>
      <c r="FN2" s="300" t="s">
        <v>123</v>
      </c>
      <c r="FO2" s="300" t="s">
        <v>3</v>
      </c>
      <c r="FP2" s="300" t="s">
        <v>122</v>
      </c>
      <c r="FQ2" s="300" t="s">
        <v>5</v>
      </c>
      <c r="FR2" s="300" t="s">
        <v>6</v>
      </c>
      <c r="FS2" s="300" t="s">
        <v>1</v>
      </c>
      <c r="FT2" s="300" t="s">
        <v>2</v>
      </c>
      <c r="FU2" s="300" t="s">
        <v>123</v>
      </c>
      <c r="FV2" s="300" t="s">
        <v>3</v>
      </c>
      <c r="FW2" s="300" t="s">
        <v>122</v>
      </c>
      <c r="FX2" s="300" t="s">
        <v>5</v>
      </c>
      <c r="FY2" s="300" t="s">
        <v>6</v>
      </c>
      <c r="FZ2" s="300" t="s">
        <v>1</v>
      </c>
      <c r="GA2" s="300" t="s">
        <v>2</v>
      </c>
      <c r="GB2" s="300" t="s">
        <v>123</v>
      </c>
      <c r="GC2" s="300" t="s">
        <v>3</v>
      </c>
      <c r="GD2" s="300" t="s">
        <v>122</v>
      </c>
      <c r="GE2" s="300" t="s">
        <v>5</v>
      </c>
      <c r="GF2" s="300" t="s">
        <v>6</v>
      </c>
      <c r="GG2" s="300" t="s">
        <v>1</v>
      </c>
      <c r="GH2" s="300" t="s">
        <v>2</v>
      </c>
      <c r="GI2" s="300" t="s">
        <v>123</v>
      </c>
      <c r="GJ2" s="300" t="s">
        <v>3</v>
      </c>
      <c r="GK2" s="300" t="s">
        <v>122</v>
      </c>
      <c r="GL2" s="300" t="s">
        <v>5</v>
      </c>
      <c r="GM2" s="300" t="s">
        <v>6</v>
      </c>
      <c r="GN2" s="300" t="s">
        <v>1</v>
      </c>
      <c r="GO2" s="300" t="s">
        <v>2</v>
      </c>
      <c r="GP2" s="300" t="s">
        <v>123</v>
      </c>
      <c r="GQ2" s="300" t="s">
        <v>3</v>
      </c>
      <c r="GR2" s="300" t="s">
        <v>122</v>
      </c>
      <c r="GS2" s="300" t="s">
        <v>5</v>
      </c>
      <c r="GT2" s="300" t="s">
        <v>6</v>
      </c>
      <c r="GU2" s="300" t="s">
        <v>1</v>
      </c>
      <c r="GV2" s="300" t="s">
        <v>2</v>
      </c>
      <c r="GW2" s="300" t="s">
        <v>123</v>
      </c>
      <c r="GX2" s="300" t="s">
        <v>3</v>
      </c>
      <c r="GY2" s="300" t="s">
        <v>122</v>
      </c>
      <c r="GZ2" s="300" t="s">
        <v>5</v>
      </c>
      <c r="HA2" s="300" t="s">
        <v>6</v>
      </c>
      <c r="HB2" s="300" t="s">
        <v>1</v>
      </c>
      <c r="HC2" s="300" t="s">
        <v>2</v>
      </c>
      <c r="HD2" s="300" t="s">
        <v>123</v>
      </c>
      <c r="HE2" s="300" t="s">
        <v>3</v>
      </c>
      <c r="HF2" s="300" t="s">
        <v>122</v>
      </c>
      <c r="HG2" s="300" t="s">
        <v>5</v>
      </c>
      <c r="HH2" s="300" t="s">
        <v>6</v>
      </c>
      <c r="HI2" s="300" t="s">
        <v>1</v>
      </c>
      <c r="HJ2" s="300" t="s">
        <v>2</v>
      </c>
      <c r="HK2" s="300" t="s">
        <v>123</v>
      </c>
      <c r="HL2" s="300" t="s">
        <v>3</v>
      </c>
      <c r="HM2" s="300" t="s">
        <v>122</v>
      </c>
      <c r="HN2" s="300" t="s">
        <v>5</v>
      </c>
      <c r="HO2" s="300" t="s">
        <v>6</v>
      </c>
      <c r="HP2" s="300" t="s">
        <v>1</v>
      </c>
      <c r="HQ2" s="300" t="s">
        <v>2</v>
      </c>
      <c r="HR2" s="300" t="s">
        <v>123</v>
      </c>
      <c r="HS2" s="300" t="s">
        <v>3</v>
      </c>
      <c r="HT2" s="300" t="s">
        <v>122</v>
      </c>
      <c r="HU2" s="300" t="s">
        <v>5</v>
      </c>
      <c r="HV2" s="300" t="s">
        <v>6</v>
      </c>
      <c r="HW2" s="300" t="s">
        <v>1</v>
      </c>
      <c r="HX2" s="300" t="s">
        <v>2</v>
      </c>
      <c r="HY2" s="300" t="s">
        <v>123</v>
      </c>
      <c r="HZ2" s="300" t="s">
        <v>3</v>
      </c>
      <c r="IA2" s="300" t="s">
        <v>122</v>
      </c>
      <c r="IB2" s="300" t="s">
        <v>5</v>
      </c>
      <c r="IC2" s="300" t="s">
        <v>6</v>
      </c>
      <c r="ID2" s="300" t="s">
        <v>1</v>
      </c>
      <c r="IE2" s="300" t="s">
        <v>2</v>
      </c>
      <c r="IF2" s="300" t="s">
        <v>123</v>
      </c>
      <c r="IG2" s="300" t="s">
        <v>3</v>
      </c>
      <c r="IH2" s="300" t="s">
        <v>122</v>
      </c>
      <c r="II2" s="300" t="s">
        <v>5</v>
      </c>
      <c r="IJ2" s="300" t="s">
        <v>6</v>
      </c>
      <c r="IK2" s="300" t="s">
        <v>1</v>
      </c>
      <c r="IL2" s="300" t="s">
        <v>2</v>
      </c>
      <c r="IM2" s="300" t="s">
        <v>123</v>
      </c>
      <c r="IN2" s="300" t="s">
        <v>3</v>
      </c>
      <c r="IO2" s="300" t="s">
        <v>122</v>
      </c>
      <c r="IP2" s="300" t="s">
        <v>5</v>
      </c>
      <c r="IQ2" s="300" t="s">
        <v>6</v>
      </c>
      <c r="IR2" s="300" t="s">
        <v>1</v>
      </c>
      <c r="IS2" s="300" t="s">
        <v>2</v>
      </c>
      <c r="IT2" s="300" t="s">
        <v>123</v>
      </c>
      <c r="IU2" s="300" t="s">
        <v>3</v>
      </c>
      <c r="IV2" s="300" t="s">
        <v>122</v>
      </c>
      <c r="IW2" s="300" t="s">
        <v>5</v>
      </c>
      <c r="IX2" s="300" t="s">
        <v>6</v>
      </c>
      <c r="IY2" s="300" t="s">
        <v>1</v>
      </c>
      <c r="IZ2" s="300" t="s">
        <v>2</v>
      </c>
      <c r="JA2" s="300" t="s">
        <v>123</v>
      </c>
      <c r="JB2" s="300" t="s">
        <v>3</v>
      </c>
      <c r="JC2" s="300" t="s">
        <v>122</v>
      </c>
      <c r="JD2" s="300" t="s">
        <v>5</v>
      </c>
      <c r="JE2" s="300" t="s">
        <v>6</v>
      </c>
      <c r="JF2" s="300" t="s">
        <v>1</v>
      </c>
      <c r="JG2" s="300" t="s">
        <v>2</v>
      </c>
      <c r="JH2" s="300" t="s">
        <v>123</v>
      </c>
      <c r="JI2" s="300" t="s">
        <v>3</v>
      </c>
      <c r="JJ2" s="300" t="s">
        <v>122</v>
      </c>
      <c r="JK2" s="300" t="s">
        <v>5</v>
      </c>
      <c r="JL2" s="300" t="s">
        <v>6</v>
      </c>
      <c r="JM2" s="300" t="s">
        <v>1</v>
      </c>
      <c r="JN2" s="300" t="s">
        <v>2</v>
      </c>
      <c r="JO2" s="300" t="s">
        <v>123</v>
      </c>
      <c r="JP2" s="300" t="s">
        <v>3</v>
      </c>
      <c r="JQ2" s="300" t="s">
        <v>122</v>
      </c>
      <c r="JR2" s="300" t="s">
        <v>5</v>
      </c>
      <c r="JS2" s="300" t="s">
        <v>6</v>
      </c>
      <c r="JT2" s="300" t="s">
        <v>1</v>
      </c>
      <c r="JU2" s="300" t="s">
        <v>2</v>
      </c>
      <c r="JV2" s="300" t="s">
        <v>123</v>
      </c>
      <c r="JW2" s="300" t="s">
        <v>3</v>
      </c>
      <c r="JX2" s="300" t="s">
        <v>122</v>
      </c>
      <c r="JY2" s="300" t="s">
        <v>5</v>
      </c>
      <c r="JZ2" s="300" t="s">
        <v>6</v>
      </c>
      <c r="KA2" s="300" t="s">
        <v>1</v>
      </c>
      <c r="KB2" s="300" t="s">
        <v>2</v>
      </c>
      <c r="KC2" s="300" t="s">
        <v>123</v>
      </c>
      <c r="KD2" s="300" t="s">
        <v>3</v>
      </c>
      <c r="KE2" s="300" t="s">
        <v>122</v>
      </c>
      <c r="KF2" s="300" t="s">
        <v>5</v>
      </c>
      <c r="KG2" s="300" t="s">
        <v>6</v>
      </c>
      <c r="KH2" s="300" t="s">
        <v>1</v>
      </c>
      <c r="KI2" s="300" t="s">
        <v>2</v>
      </c>
      <c r="KJ2" s="300" t="s">
        <v>123</v>
      </c>
      <c r="KK2" s="300" t="s">
        <v>3</v>
      </c>
      <c r="KL2" s="300" t="s">
        <v>122</v>
      </c>
      <c r="KM2" s="300" t="s">
        <v>5</v>
      </c>
      <c r="KN2" s="300" t="s">
        <v>6</v>
      </c>
      <c r="KO2" s="300" t="s">
        <v>1</v>
      </c>
      <c r="KP2" s="300" t="s">
        <v>2</v>
      </c>
      <c r="KQ2" s="300" t="s">
        <v>123</v>
      </c>
      <c r="KR2" s="300" t="s">
        <v>3</v>
      </c>
      <c r="KS2" s="300" t="s">
        <v>122</v>
      </c>
      <c r="KT2" s="300" t="s">
        <v>5</v>
      </c>
      <c r="KU2" s="300" t="s">
        <v>6</v>
      </c>
      <c r="KV2" s="300" t="s">
        <v>1</v>
      </c>
      <c r="KW2" s="300" t="s">
        <v>2</v>
      </c>
      <c r="KX2" s="300" t="s">
        <v>123</v>
      </c>
      <c r="KY2" s="300" t="s">
        <v>3</v>
      </c>
      <c r="KZ2" s="300" t="s">
        <v>122</v>
      </c>
      <c r="LA2" s="300" t="s">
        <v>5</v>
      </c>
      <c r="LB2" s="300" t="s">
        <v>6</v>
      </c>
      <c r="LC2" s="300" t="s">
        <v>1</v>
      </c>
      <c r="LD2" s="300" t="s">
        <v>2</v>
      </c>
      <c r="LE2" s="300" t="s">
        <v>123</v>
      </c>
      <c r="LF2" s="300" t="s">
        <v>3</v>
      </c>
      <c r="LG2" s="300" t="s">
        <v>122</v>
      </c>
      <c r="LH2" s="300" t="s">
        <v>5</v>
      </c>
      <c r="LI2" s="300" t="s">
        <v>6</v>
      </c>
      <c r="LJ2" s="300" t="s">
        <v>1</v>
      </c>
      <c r="LK2" s="300" t="s">
        <v>2</v>
      </c>
      <c r="LL2" s="300" t="s">
        <v>123</v>
      </c>
      <c r="LM2" s="300" t="s">
        <v>3</v>
      </c>
      <c r="LN2" s="300" t="s">
        <v>122</v>
      </c>
      <c r="LO2" s="300" t="s">
        <v>5</v>
      </c>
      <c r="LP2" s="300" t="s">
        <v>6</v>
      </c>
      <c r="LQ2" s="300" t="s">
        <v>1</v>
      </c>
      <c r="LR2" s="300" t="s">
        <v>2</v>
      </c>
      <c r="LS2" s="300" t="s">
        <v>123</v>
      </c>
      <c r="LT2" s="300" t="s">
        <v>3</v>
      </c>
      <c r="LU2" s="300" t="s">
        <v>122</v>
      </c>
      <c r="LV2" s="300" t="s">
        <v>5</v>
      </c>
      <c r="LW2" s="300" t="s">
        <v>6</v>
      </c>
      <c r="LX2" s="300" t="s">
        <v>1</v>
      </c>
      <c r="LY2" s="300" t="s">
        <v>2</v>
      </c>
      <c r="LZ2" s="300" t="s">
        <v>123</v>
      </c>
      <c r="MA2" s="300" t="s">
        <v>3</v>
      </c>
      <c r="MB2" s="300" t="s">
        <v>122</v>
      </c>
      <c r="MC2" s="300" t="s">
        <v>5</v>
      </c>
      <c r="MD2" s="300" t="s">
        <v>6</v>
      </c>
      <c r="ME2" s="300" t="s">
        <v>1</v>
      </c>
      <c r="MF2" s="300" t="s">
        <v>2</v>
      </c>
      <c r="MG2" s="300" t="s">
        <v>123</v>
      </c>
      <c r="MH2" s="300" t="s">
        <v>3</v>
      </c>
      <c r="MI2" s="300" t="s">
        <v>122</v>
      </c>
      <c r="MJ2" s="300" t="s">
        <v>5</v>
      </c>
      <c r="MK2" s="300" t="s">
        <v>6</v>
      </c>
      <c r="ML2" s="300" t="s">
        <v>1</v>
      </c>
      <c r="MM2" s="300" t="s">
        <v>2</v>
      </c>
      <c r="MN2" s="300" t="s">
        <v>123</v>
      </c>
      <c r="MO2" s="300" t="s">
        <v>3</v>
      </c>
      <c r="MP2" s="300" t="s">
        <v>122</v>
      </c>
      <c r="MQ2" s="300" t="s">
        <v>5</v>
      </c>
      <c r="MR2" s="300" t="s">
        <v>6</v>
      </c>
      <c r="MS2" s="300" t="s">
        <v>1</v>
      </c>
      <c r="MT2" s="300" t="s">
        <v>2</v>
      </c>
      <c r="MU2" s="300" t="s">
        <v>123</v>
      </c>
      <c r="MV2" s="300" t="s">
        <v>3</v>
      </c>
      <c r="MW2" s="300" t="s">
        <v>122</v>
      </c>
      <c r="MX2" s="300" t="s">
        <v>5</v>
      </c>
      <c r="MY2" s="300" t="s">
        <v>6</v>
      </c>
      <c r="MZ2" s="300" t="s">
        <v>1</v>
      </c>
      <c r="NA2" s="300" t="s">
        <v>2</v>
      </c>
      <c r="NB2" s="300" t="s">
        <v>123</v>
      </c>
      <c r="NC2" s="300" t="s">
        <v>3</v>
      </c>
      <c r="ND2" s="300" t="s">
        <v>122</v>
      </c>
    </row>
    <row r="3" spans="1:368" s="298" customFormat="1" ht="37.5" thickBot="1">
      <c r="A3" s="466"/>
      <c r="B3" s="467"/>
      <c r="C3" s="468"/>
      <c r="D3" s="297">
        <v>40910</v>
      </c>
      <c r="E3" s="297">
        <v>40911</v>
      </c>
      <c r="F3" s="297">
        <v>40912</v>
      </c>
      <c r="G3" s="297">
        <v>40913</v>
      </c>
      <c r="H3" s="297">
        <v>40914</v>
      </c>
      <c r="I3" s="297">
        <v>40915</v>
      </c>
      <c r="J3" s="297">
        <v>40916</v>
      </c>
      <c r="K3" s="297">
        <v>40917</v>
      </c>
      <c r="L3" s="297">
        <v>40918</v>
      </c>
      <c r="M3" s="297">
        <v>40919</v>
      </c>
      <c r="N3" s="297">
        <v>40920</v>
      </c>
      <c r="O3" s="297">
        <v>40921</v>
      </c>
      <c r="P3" s="297">
        <v>40922</v>
      </c>
      <c r="Q3" s="297">
        <v>40923</v>
      </c>
      <c r="R3" s="297">
        <v>40924</v>
      </c>
      <c r="S3" s="297">
        <v>40925</v>
      </c>
      <c r="T3" s="297">
        <v>40926</v>
      </c>
      <c r="U3" s="297">
        <v>40927</v>
      </c>
      <c r="V3" s="297">
        <v>40928</v>
      </c>
      <c r="W3" s="297">
        <v>40929</v>
      </c>
      <c r="X3" s="297">
        <v>40930</v>
      </c>
      <c r="Y3" s="297">
        <v>40931</v>
      </c>
      <c r="Z3" s="297">
        <v>40932</v>
      </c>
      <c r="AA3" s="297">
        <v>40933</v>
      </c>
      <c r="AB3" s="297">
        <v>40934</v>
      </c>
      <c r="AC3" s="297">
        <v>40935</v>
      </c>
      <c r="AD3" s="297">
        <v>40936</v>
      </c>
      <c r="AE3" s="297">
        <v>40937</v>
      </c>
      <c r="AF3" s="297">
        <v>40938</v>
      </c>
      <c r="AG3" s="297">
        <v>40939</v>
      </c>
      <c r="AH3" s="297">
        <v>40940</v>
      </c>
      <c r="AI3" s="297">
        <v>40941</v>
      </c>
      <c r="AJ3" s="297">
        <v>40942</v>
      </c>
      <c r="AK3" s="297">
        <v>40943</v>
      </c>
      <c r="AL3" s="297">
        <v>40944</v>
      </c>
      <c r="AM3" s="297">
        <v>40945</v>
      </c>
      <c r="AN3" s="297">
        <v>40946</v>
      </c>
      <c r="AO3" s="297">
        <v>40947</v>
      </c>
      <c r="AP3" s="297">
        <v>40948</v>
      </c>
      <c r="AQ3" s="297">
        <v>40949</v>
      </c>
      <c r="AR3" s="297">
        <v>40950</v>
      </c>
      <c r="AS3" s="297">
        <v>40951</v>
      </c>
      <c r="AT3" s="297">
        <v>40952</v>
      </c>
      <c r="AU3" s="297">
        <v>40953</v>
      </c>
      <c r="AV3" s="297">
        <v>40954</v>
      </c>
      <c r="AW3" s="297">
        <v>40955</v>
      </c>
      <c r="AX3" s="297">
        <v>40956</v>
      </c>
      <c r="AY3" s="297">
        <v>40957</v>
      </c>
      <c r="AZ3" s="297">
        <v>40958</v>
      </c>
      <c r="BA3" s="297">
        <v>40959</v>
      </c>
      <c r="BB3" s="297">
        <v>40960</v>
      </c>
      <c r="BC3" s="297">
        <v>40961</v>
      </c>
      <c r="BD3" s="297">
        <v>40962</v>
      </c>
      <c r="BE3" s="297">
        <v>40963</v>
      </c>
      <c r="BF3" s="297">
        <v>40964</v>
      </c>
      <c r="BG3" s="297">
        <v>40965</v>
      </c>
      <c r="BH3" s="297">
        <v>40966</v>
      </c>
      <c r="BI3" s="297">
        <v>40967</v>
      </c>
      <c r="BJ3" s="297">
        <v>40968</v>
      </c>
      <c r="BK3" s="297">
        <v>40969</v>
      </c>
      <c r="BL3" s="297">
        <v>40970</v>
      </c>
      <c r="BM3" s="297">
        <v>40971</v>
      </c>
      <c r="BN3" s="297">
        <v>40972</v>
      </c>
      <c r="BO3" s="297">
        <v>40973</v>
      </c>
      <c r="BP3" s="297">
        <v>40974</v>
      </c>
      <c r="BQ3" s="297">
        <v>40975</v>
      </c>
      <c r="BR3" s="297">
        <v>40976</v>
      </c>
      <c r="BS3" s="297">
        <v>40977</v>
      </c>
      <c r="BT3" s="297">
        <v>40978</v>
      </c>
      <c r="BU3" s="297">
        <v>40979</v>
      </c>
      <c r="BV3" s="297">
        <v>40980</v>
      </c>
      <c r="BW3" s="297">
        <v>40981</v>
      </c>
      <c r="BX3" s="297">
        <v>40982</v>
      </c>
      <c r="BY3" s="297">
        <v>40983</v>
      </c>
      <c r="BZ3" s="297">
        <v>40984</v>
      </c>
      <c r="CA3" s="297">
        <v>40985</v>
      </c>
      <c r="CB3" s="297">
        <v>40986</v>
      </c>
      <c r="CC3" s="297">
        <v>40987</v>
      </c>
      <c r="CD3" s="297">
        <v>40988</v>
      </c>
      <c r="CE3" s="297">
        <v>40989</v>
      </c>
      <c r="CF3" s="297">
        <v>40990</v>
      </c>
      <c r="CG3" s="297">
        <v>40991</v>
      </c>
      <c r="CH3" s="297">
        <v>40992</v>
      </c>
      <c r="CI3" s="297">
        <v>40993</v>
      </c>
      <c r="CJ3" s="297">
        <v>40994</v>
      </c>
      <c r="CK3" s="297">
        <v>40995</v>
      </c>
      <c r="CL3" s="297">
        <v>40996</v>
      </c>
      <c r="CM3" s="297">
        <v>40997</v>
      </c>
      <c r="CN3" s="297">
        <v>40998</v>
      </c>
      <c r="CO3" s="297">
        <v>40999</v>
      </c>
      <c r="CP3" s="297">
        <v>41000</v>
      </c>
      <c r="CQ3" s="297">
        <v>41001</v>
      </c>
      <c r="CR3" s="297">
        <v>41002</v>
      </c>
      <c r="CS3" s="297">
        <v>41003</v>
      </c>
      <c r="CT3" s="297">
        <v>41004</v>
      </c>
      <c r="CU3" s="297">
        <v>41005</v>
      </c>
      <c r="CV3" s="297">
        <v>41006</v>
      </c>
      <c r="CW3" s="297">
        <v>41007</v>
      </c>
      <c r="CX3" s="297">
        <v>41008</v>
      </c>
      <c r="CY3" s="297">
        <v>41009</v>
      </c>
      <c r="CZ3" s="297">
        <v>41010</v>
      </c>
      <c r="DA3" s="297">
        <v>41011</v>
      </c>
      <c r="DB3" s="297">
        <v>41012</v>
      </c>
      <c r="DC3" s="297">
        <v>41013</v>
      </c>
      <c r="DD3" s="297">
        <v>41014</v>
      </c>
      <c r="DE3" s="297">
        <v>41015</v>
      </c>
      <c r="DF3" s="297">
        <v>41016</v>
      </c>
      <c r="DG3" s="297">
        <v>41017</v>
      </c>
      <c r="DH3" s="297">
        <v>41018</v>
      </c>
      <c r="DI3" s="297">
        <v>41019</v>
      </c>
      <c r="DJ3" s="297">
        <v>41020</v>
      </c>
      <c r="DK3" s="297">
        <v>41021</v>
      </c>
      <c r="DL3" s="297">
        <v>41022</v>
      </c>
      <c r="DM3" s="297">
        <v>41023</v>
      </c>
      <c r="DN3" s="297">
        <v>41024</v>
      </c>
      <c r="DO3" s="297">
        <v>41025</v>
      </c>
      <c r="DP3" s="297">
        <v>41026</v>
      </c>
      <c r="DQ3" s="297">
        <v>41027</v>
      </c>
      <c r="DR3" s="297">
        <v>41028</v>
      </c>
      <c r="DS3" s="297">
        <v>41029</v>
      </c>
      <c r="DT3" s="297">
        <v>41030</v>
      </c>
      <c r="DU3" s="297">
        <v>41031</v>
      </c>
      <c r="DV3" s="297">
        <v>41032</v>
      </c>
      <c r="DW3" s="297">
        <v>41033</v>
      </c>
      <c r="DX3" s="297">
        <v>41034</v>
      </c>
      <c r="DY3" s="297">
        <v>41035</v>
      </c>
      <c r="DZ3" s="297">
        <v>41036</v>
      </c>
      <c r="EA3" s="297">
        <v>41037</v>
      </c>
      <c r="EB3" s="297">
        <v>41038</v>
      </c>
      <c r="EC3" s="297">
        <v>41039</v>
      </c>
      <c r="ED3" s="297">
        <v>41040</v>
      </c>
      <c r="EE3" s="297">
        <v>41041</v>
      </c>
      <c r="EF3" s="297">
        <v>41042</v>
      </c>
      <c r="EG3" s="297">
        <v>41043</v>
      </c>
      <c r="EH3" s="297">
        <v>41044</v>
      </c>
      <c r="EI3" s="297">
        <v>41045</v>
      </c>
      <c r="EJ3" s="297">
        <v>41046</v>
      </c>
      <c r="EK3" s="297">
        <v>41047</v>
      </c>
      <c r="EL3" s="297">
        <v>41048</v>
      </c>
      <c r="EM3" s="297">
        <v>41049</v>
      </c>
      <c r="EN3" s="297">
        <v>41050</v>
      </c>
      <c r="EO3" s="297">
        <v>41051</v>
      </c>
      <c r="EP3" s="297">
        <v>41052</v>
      </c>
      <c r="EQ3" s="297">
        <v>41053</v>
      </c>
      <c r="ER3" s="297">
        <v>41054</v>
      </c>
      <c r="ES3" s="297">
        <v>41055</v>
      </c>
      <c r="ET3" s="297">
        <v>41056</v>
      </c>
      <c r="EU3" s="297">
        <v>41057</v>
      </c>
      <c r="EV3" s="297">
        <v>41058</v>
      </c>
      <c r="EW3" s="297">
        <v>41059</v>
      </c>
      <c r="EX3" s="297">
        <v>41060</v>
      </c>
      <c r="EY3" s="297">
        <v>41061</v>
      </c>
      <c r="EZ3" s="297">
        <v>41062</v>
      </c>
      <c r="FA3" s="297">
        <v>41063</v>
      </c>
      <c r="FB3" s="297">
        <v>41064</v>
      </c>
      <c r="FC3" s="297">
        <v>41065</v>
      </c>
      <c r="FD3" s="297">
        <v>41066</v>
      </c>
      <c r="FE3" s="297">
        <v>41067</v>
      </c>
      <c r="FF3" s="297">
        <v>41068</v>
      </c>
      <c r="FG3" s="297">
        <v>41069</v>
      </c>
      <c r="FH3" s="297">
        <v>41070</v>
      </c>
      <c r="FI3" s="297">
        <v>41071</v>
      </c>
      <c r="FJ3" s="297">
        <v>41072</v>
      </c>
      <c r="FK3" s="297">
        <v>41073</v>
      </c>
      <c r="FL3" s="297">
        <v>41074</v>
      </c>
      <c r="FM3" s="297">
        <v>41075</v>
      </c>
      <c r="FN3" s="297">
        <v>41076</v>
      </c>
      <c r="FO3" s="297">
        <v>41077</v>
      </c>
      <c r="FP3" s="297">
        <v>41078</v>
      </c>
      <c r="FQ3" s="297">
        <v>41079</v>
      </c>
      <c r="FR3" s="297">
        <v>41080</v>
      </c>
      <c r="FS3" s="297">
        <v>41081</v>
      </c>
      <c r="FT3" s="297">
        <v>41082</v>
      </c>
      <c r="FU3" s="297">
        <v>41083</v>
      </c>
      <c r="FV3" s="297">
        <v>41084</v>
      </c>
      <c r="FW3" s="297">
        <v>41085</v>
      </c>
      <c r="FX3" s="297">
        <v>41086</v>
      </c>
      <c r="FY3" s="297">
        <v>41087</v>
      </c>
      <c r="FZ3" s="297">
        <v>41088</v>
      </c>
      <c r="GA3" s="297">
        <v>41089</v>
      </c>
      <c r="GB3" s="297">
        <v>41090</v>
      </c>
      <c r="GC3" s="297">
        <v>41091</v>
      </c>
      <c r="GD3" s="297">
        <v>41092</v>
      </c>
      <c r="GE3" s="297">
        <v>41093</v>
      </c>
      <c r="GF3" s="297">
        <v>41094</v>
      </c>
      <c r="GG3" s="297">
        <v>41095</v>
      </c>
      <c r="GH3" s="297">
        <v>41096</v>
      </c>
      <c r="GI3" s="297">
        <v>41097</v>
      </c>
      <c r="GJ3" s="297">
        <v>41098</v>
      </c>
      <c r="GK3" s="297">
        <v>41099</v>
      </c>
      <c r="GL3" s="297">
        <v>41100</v>
      </c>
      <c r="GM3" s="297">
        <v>41101</v>
      </c>
      <c r="GN3" s="297">
        <v>41102</v>
      </c>
      <c r="GO3" s="297">
        <v>41103</v>
      </c>
      <c r="GP3" s="297">
        <v>41104</v>
      </c>
      <c r="GQ3" s="297">
        <v>41105</v>
      </c>
      <c r="GR3" s="297">
        <v>41106</v>
      </c>
      <c r="GS3" s="297">
        <v>41107</v>
      </c>
      <c r="GT3" s="297">
        <v>41108</v>
      </c>
      <c r="GU3" s="297">
        <v>41109</v>
      </c>
      <c r="GV3" s="297">
        <v>41110</v>
      </c>
      <c r="GW3" s="297">
        <v>41111</v>
      </c>
      <c r="GX3" s="297">
        <v>41112</v>
      </c>
      <c r="GY3" s="297">
        <v>41113</v>
      </c>
      <c r="GZ3" s="297">
        <v>41114</v>
      </c>
      <c r="HA3" s="297">
        <v>41115</v>
      </c>
      <c r="HB3" s="297">
        <v>41116</v>
      </c>
      <c r="HC3" s="297">
        <v>41117</v>
      </c>
      <c r="HD3" s="297">
        <v>41118</v>
      </c>
      <c r="HE3" s="297">
        <v>41119</v>
      </c>
      <c r="HF3" s="297">
        <v>41120</v>
      </c>
      <c r="HG3" s="297">
        <v>41121</v>
      </c>
      <c r="HH3" s="297">
        <v>41122</v>
      </c>
      <c r="HI3" s="297">
        <v>41123</v>
      </c>
      <c r="HJ3" s="297">
        <v>41124</v>
      </c>
      <c r="HK3" s="297">
        <v>41125</v>
      </c>
      <c r="HL3" s="297">
        <v>41126</v>
      </c>
      <c r="HM3" s="297">
        <v>41127</v>
      </c>
      <c r="HN3" s="297">
        <v>41128</v>
      </c>
      <c r="HO3" s="297">
        <v>41129</v>
      </c>
      <c r="HP3" s="297">
        <v>41130</v>
      </c>
      <c r="HQ3" s="297">
        <v>41131</v>
      </c>
      <c r="HR3" s="297">
        <v>41132</v>
      </c>
      <c r="HS3" s="297">
        <v>41133</v>
      </c>
      <c r="HT3" s="297">
        <v>41134</v>
      </c>
      <c r="HU3" s="297">
        <v>41135</v>
      </c>
      <c r="HV3" s="297">
        <v>41136</v>
      </c>
      <c r="HW3" s="297">
        <v>41137</v>
      </c>
      <c r="HX3" s="297">
        <v>41138</v>
      </c>
      <c r="HY3" s="297">
        <v>41139</v>
      </c>
      <c r="HZ3" s="297">
        <v>41140</v>
      </c>
      <c r="IA3" s="297">
        <v>41141</v>
      </c>
      <c r="IB3" s="297">
        <v>41142</v>
      </c>
      <c r="IC3" s="297">
        <v>41143</v>
      </c>
      <c r="ID3" s="297">
        <v>41144</v>
      </c>
      <c r="IE3" s="297">
        <v>41145</v>
      </c>
      <c r="IF3" s="297">
        <v>41146</v>
      </c>
      <c r="IG3" s="297">
        <v>41147</v>
      </c>
      <c r="IH3" s="297">
        <v>41148</v>
      </c>
      <c r="II3" s="297">
        <v>41149</v>
      </c>
      <c r="IJ3" s="297">
        <v>41150</v>
      </c>
      <c r="IK3" s="297">
        <v>41151</v>
      </c>
      <c r="IL3" s="297">
        <v>41152</v>
      </c>
      <c r="IM3" s="297">
        <v>41153</v>
      </c>
      <c r="IN3" s="297">
        <v>41154</v>
      </c>
      <c r="IO3" s="297">
        <v>41155</v>
      </c>
      <c r="IP3" s="297">
        <v>41156</v>
      </c>
      <c r="IQ3" s="297">
        <v>41157</v>
      </c>
      <c r="IR3" s="297">
        <v>41158</v>
      </c>
      <c r="IS3" s="297">
        <v>41159</v>
      </c>
      <c r="IT3" s="297">
        <v>41160</v>
      </c>
      <c r="IU3" s="297">
        <v>41161</v>
      </c>
      <c r="IV3" s="297">
        <v>41162</v>
      </c>
      <c r="IW3" s="297">
        <v>41163</v>
      </c>
      <c r="IX3" s="297">
        <v>41164</v>
      </c>
      <c r="IY3" s="297">
        <v>41165</v>
      </c>
      <c r="IZ3" s="297">
        <v>41166</v>
      </c>
      <c r="JA3" s="297">
        <v>41167</v>
      </c>
      <c r="JB3" s="297">
        <v>41168</v>
      </c>
      <c r="JC3" s="297">
        <v>41169</v>
      </c>
      <c r="JD3" s="297">
        <v>41170</v>
      </c>
      <c r="JE3" s="297">
        <v>41171</v>
      </c>
      <c r="JF3" s="297">
        <v>41172</v>
      </c>
      <c r="JG3" s="297">
        <v>41173</v>
      </c>
      <c r="JH3" s="297">
        <v>41174</v>
      </c>
      <c r="JI3" s="297">
        <v>41175</v>
      </c>
      <c r="JJ3" s="297">
        <v>41176</v>
      </c>
      <c r="JK3" s="297">
        <v>41177</v>
      </c>
      <c r="JL3" s="297">
        <v>41178</v>
      </c>
      <c r="JM3" s="297">
        <v>41179</v>
      </c>
      <c r="JN3" s="297">
        <v>41180</v>
      </c>
      <c r="JO3" s="297">
        <v>41181</v>
      </c>
      <c r="JP3" s="297">
        <v>41182</v>
      </c>
      <c r="JQ3" s="297">
        <v>41183</v>
      </c>
      <c r="JR3" s="297">
        <v>41184</v>
      </c>
      <c r="JS3" s="297">
        <v>41185</v>
      </c>
      <c r="JT3" s="297">
        <v>41186</v>
      </c>
      <c r="JU3" s="297">
        <v>41187</v>
      </c>
      <c r="JV3" s="297">
        <v>41188</v>
      </c>
      <c r="JW3" s="297">
        <v>41189</v>
      </c>
      <c r="JX3" s="297">
        <v>41190</v>
      </c>
      <c r="JY3" s="297">
        <v>41191</v>
      </c>
      <c r="JZ3" s="297">
        <v>41192</v>
      </c>
      <c r="KA3" s="297">
        <v>41193</v>
      </c>
      <c r="KB3" s="297">
        <v>41194</v>
      </c>
      <c r="KC3" s="297">
        <v>41195</v>
      </c>
      <c r="KD3" s="297">
        <v>41196</v>
      </c>
      <c r="KE3" s="297">
        <v>41197</v>
      </c>
      <c r="KF3" s="297">
        <v>41198</v>
      </c>
      <c r="KG3" s="297">
        <v>41199</v>
      </c>
      <c r="KH3" s="297">
        <v>41200</v>
      </c>
      <c r="KI3" s="297">
        <v>41201</v>
      </c>
      <c r="KJ3" s="297">
        <v>41202</v>
      </c>
      <c r="KK3" s="297">
        <v>41203</v>
      </c>
      <c r="KL3" s="297">
        <v>41204</v>
      </c>
      <c r="KM3" s="297">
        <v>41205</v>
      </c>
      <c r="KN3" s="297">
        <v>41206</v>
      </c>
      <c r="KO3" s="297">
        <v>41207</v>
      </c>
      <c r="KP3" s="297">
        <v>41208</v>
      </c>
      <c r="KQ3" s="297">
        <v>41209</v>
      </c>
      <c r="KR3" s="297">
        <v>41210</v>
      </c>
      <c r="KS3" s="297">
        <v>41211</v>
      </c>
      <c r="KT3" s="297">
        <v>41212</v>
      </c>
      <c r="KU3" s="297">
        <v>41213</v>
      </c>
      <c r="KV3" s="297">
        <v>41214</v>
      </c>
      <c r="KW3" s="297">
        <v>41215</v>
      </c>
      <c r="KX3" s="297">
        <v>41216</v>
      </c>
      <c r="KY3" s="297">
        <v>41217</v>
      </c>
      <c r="KZ3" s="297">
        <v>41218</v>
      </c>
      <c r="LA3" s="297">
        <v>41219</v>
      </c>
      <c r="LB3" s="297">
        <v>41220</v>
      </c>
      <c r="LC3" s="297">
        <v>41221</v>
      </c>
      <c r="LD3" s="297">
        <v>41222</v>
      </c>
      <c r="LE3" s="297">
        <v>41223</v>
      </c>
      <c r="LF3" s="297">
        <v>41224</v>
      </c>
      <c r="LG3" s="297">
        <v>41225</v>
      </c>
      <c r="LH3" s="297">
        <v>41226</v>
      </c>
      <c r="LI3" s="297">
        <v>41227</v>
      </c>
      <c r="LJ3" s="297">
        <v>41228</v>
      </c>
      <c r="LK3" s="297">
        <v>41229</v>
      </c>
      <c r="LL3" s="297">
        <v>41230</v>
      </c>
      <c r="LM3" s="297">
        <v>41231</v>
      </c>
      <c r="LN3" s="297">
        <v>41232</v>
      </c>
      <c r="LO3" s="297">
        <v>41233</v>
      </c>
      <c r="LP3" s="297">
        <v>41234</v>
      </c>
      <c r="LQ3" s="297">
        <v>41235</v>
      </c>
      <c r="LR3" s="297">
        <v>41236</v>
      </c>
      <c r="LS3" s="297">
        <v>41237</v>
      </c>
      <c r="LT3" s="297">
        <v>41238</v>
      </c>
      <c r="LU3" s="297">
        <v>41239</v>
      </c>
      <c r="LV3" s="297">
        <v>41240</v>
      </c>
      <c r="LW3" s="297">
        <v>41241</v>
      </c>
      <c r="LX3" s="297">
        <v>41242</v>
      </c>
      <c r="LY3" s="297">
        <v>41243</v>
      </c>
      <c r="LZ3" s="297">
        <v>41244</v>
      </c>
      <c r="MA3" s="297">
        <v>41245</v>
      </c>
      <c r="MB3" s="297">
        <v>41246</v>
      </c>
      <c r="MC3" s="297">
        <v>41247</v>
      </c>
      <c r="MD3" s="297">
        <v>41248</v>
      </c>
      <c r="ME3" s="297">
        <v>41249</v>
      </c>
      <c r="MF3" s="297">
        <v>41250</v>
      </c>
      <c r="MG3" s="297">
        <v>41251</v>
      </c>
      <c r="MH3" s="297">
        <v>41252</v>
      </c>
      <c r="MI3" s="297">
        <v>41253</v>
      </c>
      <c r="MJ3" s="297">
        <v>41254</v>
      </c>
      <c r="MK3" s="297">
        <v>41255</v>
      </c>
      <c r="ML3" s="297">
        <v>41256</v>
      </c>
      <c r="MM3" s="297">
        <v>41257</v>
      </c>
      <c r="MN3" s="297">
        <v>41258</v>
      </c>
      <c r="MO3" s="297">
        <v>41259</v>
      </c>
      <c r="MP3" s="297">
        <v>41260</v>
      </c>
      <c r="MQ3" s="297">
        <v>41261</v>
      </c>
      <c r="MR3" s="297">
        <v>41262</v>
      </c>
      <c r="MS3" s="297">
        <v>41263</v>
      </c>
      <c r="MT3" s="297">
        <v>41264</v>
      </c>
      <c r="MU3" s="297">
        <v>41265</v>
      </c>
      <c r="MV3" s="297">
        <v>41266</v>
      </c>
      <c r="MW3" s="297">
        <v>41267</v>
      </c>
      <c r="MX3" s="297">
        <v>41268</v>
      </c>
      <c r="MY3" s="297">
        <v>41269</v>
      </c>
      <c r="MZ3" s="297">
        <v>41270</v>
      </c>
      <c r="NA3" s="297">
        <v>41271</v>
      </c>
      <c r="NB3" s="297">
        <v>41272</v>
      </c>
      <c r="NC3" s="297">
        <v>41273</v>
      </c>
      <c r="ND3" s="297">
        <v>41274</v>
      </c>
    </row>
    <row r="4" spans="1:368" s="138" customFormat="1" ht="15" customHeight="1">
      <c r="A4" s="469">
        <v>0.375</v>
      </c>
      <c r="B4" s="460" t="s">
        <v>7</v>
      </c>
      <c r="C4" s="163" t="s">
        <v>10</v>
      </c>
      <c r="D4" s="256"/>
      <c r="E4" s="137"/>
      <c r="F4" s="137"/>
      <c r="G4" s="137"/>
      <c r="H4" s="257"/>
      <c r="I4" s="191"/>
      <c r="J4" s="191"/>
      <c r="K4" s="256"/>
      <c r="L4" s="137"/>
      <c r="M4" s="137"/>
      <c r="N4" s="137"/>
      <c r="O4" s="257"/>
      <c r="P4" s="191"/>
      <c r="Q4" s="191"/>
      <c r="R4" s="256"/>
      <c r="S4" s="137"/>
      <c r="T4" s="137"/>
      <c r="U4" s="137"/>
      <c r="V4" s="257"/>
      <c r="W4" s="191"/>
      <c r="X4" s="191"/>
      <c r="Y4" s="256"/>
      <c r="Z4" s="137"/>
      <c r="AA4" s="137"/>
      <c r="AB4" s="137"/>
      <c r="AC4" s="257"/>
      <c r="AD4" s="191"/>
      <c r="AE4" s="191"/>
      <c r="AF4" s="256"/>
      <c r="AG4" s="137"/>
      <c r="AH4" s="137"/>
      <c r="AI4" s="137"/>
      <c r="AJ4" s="257"/>
      <c r="AK4" s="191"/>
      <c r="AL4" s="191"/>
      <c r="AM4" s="256"/>
      <c r="AN4" s="137"/>
      <c r="AO4" s="137"/>
      <c r="AP4" s="137"/>
      <c r="AQ4" s="257"/>
      <c r="AR4" s="191"/>
      <c r="AS4" s="191"/>
      <c r="AT4" s="256"/>
      <c r="AU4" s="137"/>
      <c r="AV4" s="137"/>
      <c r="AW4" s="137"/>
      <c r="AX4" s="257"/>
      <c r="AY4" s="191"/>
      <c r="AZ4" s="191"/>
      <c r="BA4" s="256"/>
      <c r="BB4" s="137"/>
      <c r="BC4" s="137"/>
      <c r="BD4" s="137"/>
      <c r="BE4" s="257"/>
      <c r="BF4" s="191"/>
      <c r="BG4" s="191"/>
      <c r="BH4" s="256"/>
      <c r="BI4" s="137"/>
      <c r="BJ4" s="137"/>
      <c r="BK4" s="137"/>
      <c r="BL4" s="257"/>
      <c r="BM4" s="191"/>
      <c r="BN4" s="191"/>
      <c r="BO4" s="256"/>
      <c r="BP4" s="137"/>
      <c r="BQ4" s="137"/>
      <c r="BR4" s="137"/>
      <c r="BS4" s="257"/>
      <c r="BT4" s="191"/>
      <c r="BU4" s="191"/>
      <c r="BV4" s="256"/>
      <c r="BW4" s="137"/>
      <c r="BX4" s="137"/>
      <c r="BY4" s="137"/>
      <c r="BZ4" s="257"/>
      <c r="CA4" s="191"/>
      <c r="CB4" s="191"/>
      <c r="CC4" s="256"/>
      <c r="CD4" s="137"/>
      <c r="CE4" s="137"/>
      <c r="CF4" s="137"/>
      <c r="CG4" s="257"/>
      <c r="CH4" s="191"/>
      <c r="CI4" s="191"/>
      <c r="CJ4" s="256"/>
      <c r="CK4" s="137"/>
      <c r="CL4" s="137"/>
      <c r="CM4" s="137"/>
      <c r="CN4" s="257"/>
      <c r="CO4" s="191"/>
      <c r="CP4" s="191"/>
      <c r="CQ4" s="256"/>
      <c r="CR4" s="137"/>
      <c r="CS4" s="137"/>
      <c r="CT4" s="137"/>
      <c r="CU4" s="257"/>
      <c r="CV4" s="191"/>
      <c r="CW4" s="191"/>
      <c r="CX4" s="256"/>
      <c r="CY4" s="137"/>
      <c r="CZ4" s="137"/>
      <c r="DA4" s="137"/>
      <c r="DB4" s="257"/>
      <c r="DC4" s="191"/>
      <c r="DD4" s="191"/>
      <c r="DE4" s="256"/>
      <c r="DF4" s="137"/>
      <c r="DG4" s="137"/>
      <c r="DH4" s="137"/>
      <c r="DI4" s="257"/>
      <c r="DJ4" s="191"/>
      <c r="DK4" s="191"/>
      <c r="DL4" s="256"/>
      <c r="DM4" s="137"/>
      <c r="DN4" s="137"/>
      <c r="DO4" s="137"/>
      <c r="DP4" s="257"/>
      <c r="DQ4" s="191"/>
      <c r="DR4" s="191"/>
      <c r="DS4" s="256"/>
      <c r="DT4" s="137"/>
      <c r="DU4" s="137"/>
      <c r="DV4" s="137"/>
      <c r="DW4" s="257"/>
      <c r="DX4" s="191"/>
      <c r="DY4" s="191"/>
      <c r="DZ4" s="256"/>
      <c r="EA4" s="137"/>
      <c r="EB4" s="137"/>
      <c r="EC4" s="137"/>
      <c r="ED4" s="257"/>
      <c r="EE4" s="191"/>
      <c r="EF4" s="191"/>
      <c r="EG4" s="256"/>
      <c r="EH4" s="137"/>
      <c r="EI4" s="137"/>
      <c r="EJ4" s="137"/>
      <c r="EK4" s="257"/>
      <c r="EL4" s="191"/>
      <c r="EM4" s="191"/>
      <c r="EN4" s="256"/>
      <c r="EO4" s="137"/>
      <c r="EP4" s="137"/>
      <c r="EQ4" s="137"/>
      <c r="ER4" s="257"/>
      <c r="ES4" s="191"/>
      <c r="ET4" s="191"/>
      <c r="EU4" s="256"/>
      <c r="EV4" s="137"/>
      <c r="EW4" s="137"/>
      <c r="EX4" s="137"/>
      <c r="EY4" s="257"/>
      <c r="EZ4" s="191"/>
      <c r="FA4" s="191"/>
      <c r="FB4" s="256"/>
      <c r="FC4" s="137"/>
      <c r="FD4" s="137"/>
      <c r="FE4" s="137"/>
      <c r="FF4" s="257"/>
      <c r="FG4" s="191"/>
      <c r="FH4" s="191"/>
      <c r="FI4" s="256"/>
      <c r="FJ4" s="137"/>
      <c r="FK4" s="137"/>
      <c r="FL4" s="137"/>
      <c r="FM4" s="257"/>
      <c r="FN4" s="191"/>
      <c r="FO4" s="191"/>
      <c r="FP4" s="256"/>
      <c r="FQ4" s="137"/>
      <c r="FR4" s="137"/>
      <c r="FS4" s="137"/>
      <c r="FT4" s="257"/>
      <c r="FU4" s="191"/>
      <c r="FV4" s="191"/>
      <c r="FW4" s="256"/>
      <c r="FX4" s="137"/>
      <c r="FY4" s="137"/>
      <c r="FZ4" s="137"/>
      <c r="GA4" s="257"/>
      <c r="GB4" s="191"/>
      <c r="GC4" s="191"/>
      <c r="GD4" s="137"/>
      <c r="GE4" s="137"/>
      <c r="GF4" s="137"/>
      <c r="GG4" s="137"/>
      <c r="GH4" s="137"/>
      <c r="GI4" s="191"/>
      <c r="GJ4" s="191"/>
      <c r="GK4" s="137"/>
      <c r="GL4" s="137"/>
      <c r="GM4" s="137"/>
      <c r="GN4" s="137"/>
      <c r="GO4" s="137"/>
      <c r="GP4" s="207"/>
      <c r="GQ4" s="207"/>
      <c r="GR4" s="137"/>
      <c r="GS4" s="137"/>
      <c r="GT4" s="137"/>
      <c r="GU4" s="137"/>
      <c r="GV4" s="137"/>
      <c r="GW4" s="207"/>
      <c r="GX4" s="207"/>
      <c r="GY4" s="137"/>
      <c r="GZ4" s="137"/>
      <c r="HA4" s="137"/>
      <c r="HB4" s="137"/>
      <c r="HC4" s="137"/>
      <c r="HD4" s="207"/>
      <c r="HE4" s="207"/>
      <c r="HF4" s="137"/>
      <c r="HG4" s="137"/>
      <c r="HH4" s="137"/>
      <c r="HI4" s="137"/>
      <c r="HJ4" s="137"/>
      <c r="HK4" s="207"/>
      <c r="HL4" s="207"/>
      <c r="HM4" s="137"/>
      <c r="HN4" s="137"/>
      <c r="HO4" s="137"/>
      <c r="HP4" s="137"/>
      <c r="HQ4" s="137"/>
      <c r="HR4" s="137"/>
      <c r="HS4" s="137"/>
      <c r="HT4" s="206"/>
      <c r="HU4" s="206"/>
      <c r="HV4" s="206"/>
      <c r="HW4" s="206"/>
      <c r="HX4" s="206"/>
      <c r="HY4" s="201"/>
      <c r="HZ4" s="201"/>
      <c r="IA4" s="137"/>
      <c r="IB4" s="206"/>
      <c r="IC4" s="206"/>
      <c r="ID4" s="206"/>
      <c r="IE4" s="206"/>
      <c r="IF4" s="201"/>
      <c r="IG4" s="201"/>
      <c r="IH4" s="206"/>
      <c r="II4" s="206"/>
      <c r="IJ4" s="206"/>
      <c r="IK4" s="206"/>
      <c r="IL4" s="206"/>
      <c r="IM4" s="201"/>
      <c r="IN4" s="201"/>
      <c r="IO4" s="137"/>
      <c r="IP4" s="137"/>
      <c r="IQ4" s="229"/>
      <c r="IR4" s="229"/>
      <c r="IS4" s="229"/>
      <c r="IT4" s="201"/>
      <c r="IU4" s="201"/>
      <c r="IV4" s="137"/>
      <c r="IW4" s="137"/>
      <c r="IX4" s="137"/>
      <c r="IY4" s="137"/>
      <c r="IZ4" s="137"/>
      <c r="JA4" s="201"/>
      <c r="JB4" s="201"/>
      <c r="JC4" s="229"/>
      <c r="JD4" s="229"/>
      <c r="JE4" s="137"/>
      <c r="JF4" s="137"/>
      <c r="JG4" s="137"/>
      <c r="JH4" s="201"/>
      <c r="JI4" s="201"/>
      <c r="JJ4" s="137"/>
      <c r="JK4" s="137"/>
      <c r="JL4" s="137"/>
      <c r="JM4" s="137"/>
      <c r="JN4" s="137"/>
      <c r="JO4" s="201"/>
      <c r="JP4" s="201"/>
      <c r="JQ4" s="137"/>
      <c r="JR4" s="137"/>
      <c r="JS4" s="137"/>
      <c r="JT4" s="137"/>
      <c r="JU4" s="137"/>
      <c r="JV4" s="201"/>
      <c r="JW4" s="201"/>
      <c r="JX4" s="137"/>
      <c r="JY4" s="137"/>
      <c r="JZ4" s="137"/>
      <c r="KA4" s="137"/>
      <c r="KB4" s="137"/>
      <c r="KC4" s="201"/>
      <c r="KD4" s="201"/>
      <c r="KE4" s="137"/>
      <c r="KF4" s="137"/>
      <c r="KG4" s="137"/>
      <c r="KH4" s="137"/>
      <c r="KI4" s="137"/>
      <c r="KJ4" s="191"/>
      <c r="KK4" s="191"/>
      <c r="KL4" s="137"/>
      <c r="KM4" s="137"/>
      <c r="KN4" s="137"/>
      <c r="KO4" s="137"/>
      <c r="KP4" s="229"/>
      <c r="KQ4" s="191"/>
      <c r="KR4" s="191"/>
      <c r="KS4" s="137"/>
      <c r="KT4" s="137"/>
      <c r="KU4" s="137"/>
      <c r="KV4" s="137"/>
      <c r="KW4" s="137"/>
      <c r="KX4" s="207"/>
      <c r="KY4" s="207"/>
      <c r="KZ4" s="191"/>
      <c r="LA4" s="191"/>
      <c r="LB4" s="191"/>
      <c r="LC4" s="191"/>
      <c r="LD4" s="191"/>
      <c r="LE4" s="207"/>
      <c r="LF4" s="207"/>
      <c r="LG4" s="229"/>
      <c r="LH4" s="229"/>
      <c r="LI4" s="229"/>
      <c r="LJ4" s="229"/>
      <c r="LK4" s="229"/>
      <c r="LL4" s="229"/>
      <c r="LM4" s="207"/>
      <c r="LN4" s="137"/>
      <c r="LO4" s="229"/>
      <c r="LP4" s="229"/>
      <c r="LQ4" s="229"/>
      <c r="LR4" s="229"/>
      <c r="LS4" s="207"/>
      <c r="LT4" s="207"/>
      <c r="LU4" s="229"/>
      <c r="LV4" s="137"/>
      <c r="LW4" s="137"/>
      <c r="LX4" s="137"/>
      <c r="LY4" s="137"/>
      <c r="LZ4" s="201"/>
      <c r="MA4" s="201"/>
      <c r="MB4" s="137"/>
      <c r="MC4" s="137"/>
      <c r="MD4" s="137"/>
      <c r="ME4" s="137"/>
      <c r="MF4" s="137"/>
      <c r="MG4" s="201"/>
      <c r="MH4" s="201"/>
      <c r="MI4" s="137"/>
      <c r="MJ4" s="137"/>
      <c r="MK4" s="137"/>
      <c r="ML4" s="137"/>
      <c r="MM4" s="137"/>
      <c r="MN4" s="201"/>
      <c r="MO4" s="201"/>
      <c r="MP4" s="137"/>
      <c r="MQ4" s="137"/>
      <c r="MR4" s="137"/>
      <c r="MS4" s="137"/>
      <c r="MT4" s="137"/>
      <c r="MU4" s="201"/>
      <c r="MV4" s="201"/>
      <c r="MW4" s="137"/>
      <c r="MX4" s="137"/>
      <c r="MY4" s="137"/>
      <c r="MZ4" s="137"/>
      <c r="NA4" s="137"/>
      <c r="NB4" s="137"/>
      <c r="NC4" s="137"/>
      <c r="ND4" s="137"/>
    </row>
    <row r="5" spans="1:368" s="140" customFormat="1" ht="15" customHeight="1">
      <c r="A5" s="472"/>
      <c r="B5" s="461"/>
      <c r="C5" s="164" t="s">
        <v>11</v>
      </c>
      <c r="D5" s="258"/>
      <c r="E5" s="139"/>
      <c r="F5" s="139"/>
      <c r="G5" s="139"/>
      <c r="H5" s="259"/>
      <c r="I5" s="192"/>
      <c r="J5" s="192"/>
      <c r="K5" s="258"/>
      <c r="L5" s="139"/>
      <c r="M5" s="139"/>
      <c r="N5" s="139"/>
      <c r="O5" s="259"/>
      <c r="P5" s="192"/>
      <c r="Q5" s="192"/>
      <c r="R5" s="258"/>
      <c r="S5" s="139"/>
      <c r="T5" s="139"/>
      <c r="U5" s="139"/>
      <c r="V5" s="259"/>
      <c r="W5" s="192"/>
      <c r="X5" s="192"/>
      <c r="Y5" s="258"/>
      <c r="Z5" s="139"/>
      <c r="AA5" s="139"/>
      <c r="AB5" s="139"/>
      <c r="AC5" s="259"/>
      <c r="AD5" s="192"/>
      <c r="AE5" s="192"/>
      <c r="AF5" s="258"/>
      <c r="AG5" s="139"/>
      <c r="AH5" s="139"/>
      <c r="AI5" s="139"/>
      <c r="AJ5" s="259"/>
      <c r="AK5" s="192"/>
      <c r="AL5" s="192"/>
      <c r="AM5" s="258"/>
      <c r="AN5" s="139"/>
      <c r="AO5" s="139"/>
      <c r="AP5" s="139"/>
      <c r="AQ5" s="259"/>
      <c r="AR5" s="192"/>
      <c r="AS5" s="192"/>
      <c r="AT5" s="258"/>
      <c r="AU5" s="139"/>
      <c r="AV5" s="139"/>
      <c r="AW5" s="139"/>
      <c r="AX5" s="259"/>
      <c r="AY5" s="192"/>
      <c r="AZ5" s="192"/>
      <c r="BA5" s="258"/>
      <c r="BB5" s="139"/>
      <c r="BC5" s="139"/>
      <c r="BD5" s="139"/>
      <c r="BE5" s="259"/>
      <c r="BF5" s="192"/>
      <c r="BG5" s="192"/>
      <c r="BH5" s="258"/>
      <c r="BI5" s="139"/>
      <c r="BJ5" s="139"/>
      <c r="BK5" s="139"/>
      <c r="BL5" s="259"/>
      <c r="BM5" s="192"/>
      <c r="BN5" s="192"/>
      <c r="BO5" s="258"/>
      <c r="BP5" s="139"/>
      <c r="BQ5" s="139"/>
      <c r="BR5" s="139"/>
      <c r="BS5" s="259"/>
      <c r="BT5" s="192"/>
      <c r="BU5" s="192"/>
      <c r="BV5" s="258"/>
      <c r="BW5" s="139"/>
      <c r="BX5" s="139"/>
      <c r="BY5" s="139"/>
      <c r="BZ5" s="259"/>
      <c r="CA5" s="192"/>
      <c r="CB5" s="192"/>
      <c r="CC5" s="258"/>
      <c r="CD5" s="139"/>
      <c r="CE5" s="139"/>
      <c r="CF5" s="139"/>
      <c r="CG5" s="259"/>
      <c r="CH5" s="192"/>
      <c r="CI5" s="192"/>
      <c r="CJ5" s="258"/>
      <c r="CK5" s="139"/>
      <c r="CL5" s="139"/>
      <c r="CM5" s="139"/>
      <c r="CN5" s="259"/>
      <c r="CO5" s="192"/>
      <c r="CP5" s="192"/>
      <c r="CQ5" s="258"/>
      <c r="CR5" s="139"/>
      <c r="CS5" s="139"/>
      <c r="CT5" s="139"/>
      <c r="CU5" s="259"/>
      <c r="CV5" s="192"/>
      <c r="CW5" s="192"/>
      <c r="CX5" s="258"/>
      <c r="CY5" s="139"/>
      <c r="CZ5" s="139"/>
      <c r="DA5" s="139"/>
      <c r="DB5" s="259"/>
      <c r="DC5" s="192"/>
      <c r="DD5" s="192"/>
      <c r="DE5" s="258"/>
      <c r="DF5" s="139"/>
      <c r="DG5" s="139"/>
      <c r="DH5" s="139"/>
      <c r="DI5" s="259"/>
      <c r="DJ5" s="192"/>
      <c r="DK5" s="192"/>
      <c r="DL5" s="258"/>
      <c r="DM5" s="139"/>
      <c r="DN5" s="139"/>
      <c r="DO5" s="139"/>
      <c r="DP5" s="259"/>
      <c r="DQ5" s="192"/>
      <c r="DR5" s="192"/>
      <c r="DS5" s="258"/>
      <c r="DT5" s="139"/>
      <c r="DU5" s="139"/>
      <c r="DV5" s="139"/>
      <c r="DW5" s="259"/>
      <c r="DX5" s="192"/>
      <c r="DY5" s="192"/>
      <c r="DZ5" s="258"/>
      <c r="EA5" s="139"/>
      <c r="EB5" s="139"/>
      <c r="EC5" s="139"/>
      <c r="ED5" s="259"/>
      <c r="EE5" s="192"/>
      <c r="EF5" s="192"/>
      <c r="EG5" s="258"/>
      <c r="EH5" s="139"/>
      <c r="EI5" s="139"/>
      <c r="EJ5" s="139"/>
      <c r="EK5" s="259"/>
      <c r="EL5" s="192"/>
      <c r="EM5" s="192"/>
      <c r="EN5" s="258"/>
      <c r="EO5" s="139"/>
      <c r="EP5" s="139"/>
      <c r="EQ5" s="139"/>
      <c r="ER5" s="259"/>
      <c r="ES5" s="192"/>
      <c r="ET5" s="192"/>
      <c r="EU5" s="258"/>
      <c r="EV5" s="139"/>
      <c r="EW5" s="139"/>
      <c r="EX5" s="139"/>
      <c r="EY5" s="259"/>
      <c r="EZ5" s="192"/>
      <c r="FA5" s="192"/>
      <c r="FB5" s="258"/>
      <c r="FC5" s="139"/>
      <c r="FD5" s="139"/>
      <c r="FE5" s="139"/>
      <c r="FF5" s="259"/>
      <c r="FG5" s="192"/>
      <c r="FH5" s="192"/>
      <c r="FI5" s="258"/>
      <c r="FJ5" s="139"/>
      <c r="FK5" s="139"/>
      <c r="FL5" s="139"/>
      <c r="FM5" s="259"/>
      <c r="FN5" s="192"/>
      <c r="FO5" s="192"/>
      <c r="FP5" s="258"/>
      <c r="FQ5" s="139"/>
      <c r="FR5" s="139"/>
      <c r="FS5" s="139"/>
      <c r="FT5" s="259"/>
      <c r="FU5" s="192"/>
      <c r="FV5" s="192"/>
      <c r="FW5" s="258"/>
      <c r="FX5" s="139"/>
      <c r="FY5" s="139"/>
      <c r="FZ5" s="139"/>
      <c r="GA5" s="259"/>
      <c r="GB5" s="192"/>
      <c r="GC5" s="192"/>
      <c r="GD5" s="139"/>
      <c r="GE5" s="139"/>
      <c r="GF5" s="139"/>
      <c r="GG5" s="139"/>
      <c r="GH5" s="139"/>
      <c r="GI5" s="192"/>
      <c r="GJ5" s="192"/>
      <c r="GK5" s="139"/>
      <c r="GL5" s="139"/>
      <c r="GM5" s="139"/>
      <c r="GN5" s="139"/>
      <c r="GO5" s="139"/>
      <c r="GP5" s="208"/>
      <c r="GQ5" s="208"/>
      <c r="GR5" s="139"/>
      <c r="GS5" s="139"/>
      <c r="GT5" s="139"/>
      <c r="GU5" s="139"/>
      <c r="GV5" s="139"/>
      <c r="GW5" s="208"/>
      <c r="GX5" s="208"/>
      <c r="GY5" s="139"/>
      <c r="GZ5" s="139"/>
      <c r="HA5" s="139"/>
      <c r="HB5" s="139"/>
      <c r="HC5" s="139"/>
      <c r="HD5" s="208"/>
      <c r="HE5" s="208"/>
      <c r="HF5" s="139"/>
      <c r="HG5" s="139"/>
      <c r="HH5" s="139"/>
      <c r="HI5" s="139"/>
      <c r="HJ5" s="139"/>
      <c r="HK5" s="208"/>
      <c r="HL5" s="208"/>
      <c r="HM5" s="139"/>
      <c r="HN5" s="139"/>
      <c r="HO5" s="139"/>
      <c r="HP5" s="139"/>
      <c r="HQ5" s="139"/>
      <c r="HR5" s="139"/>
      <c r="HS5" s="139"/>
      <c r="HT5" s="206"/>
      <c r="HU5" s="206"/>
      <c r="HV5" s="206"/>
      <c r="HW5" s="206"/>
      <c r="HX5" s="206"/>
      <c r="HY5" s="202"/>
      <c r="HZ5" s="202"/>
      <c r="IA5" s="139"/>
      <c r="IB5" s="206"/>
      <c r="IC5" s="206"/>
      <c r="ID5" s="206"/>
      <c r="IE5" s="206"/>
      <c r="IF5" s="202"/>
      <c r="IG5" s="202"/>
      <c r="IH5" s="206"/>
      <c r="II5" s="206"/>
      <c r="IJ5" s="206"/>
      <c r="IK5" s="206"/>
      <c r="IL5" s="206"/>
      <c r="IM5" s="202"/>
      <c r="IN5" s="202"/>
      <c r="IO5" s="139"/>
      <c r="IP5" s="139"/>
      <c r="IQ5" s="228"/>
      <c r="IR5" s="228"/>
      <c r="IS5" s="228"/>
      <c r="IT5" s="202"/>
      <c r="IU5" s="202"/>
      <c r="IV5" s="139"/>
      <c r="IW5" s="139"/>
      <c r="IX5" s="139"/>
      <c r="IY5" s="139"/>
      <c r="IZ5" s="139"/>
      <c r="JA5" s="202"/>
      <c r="JB5" s="202"/>
      <c r="JC5" s="228"/>
      <c r="JD5" s="228"/>
      <c r="JE5" s="139"/>
      <c r="JF5" s="139"/>
      <c r="JG5" s="139"/>
      <c r="JH5" s="202"/>
      <c r="JI5" s="202"/>
      <c r="JJ5" s="139"/>
      <c r="JK5" s="139"/>
      <c r="JL5" s="139"/>
      <c r="JM5" s="139"/>
      <c r="JN5" s="139"/>
      <c r="JO5" s="202"/>
      <c r="JP5" s="202"/>
      <c r="JQ5" s="139"/>
      <c r="JR5" s="139"/>
      <c r="JS5" s="139"/>
      <c r="JT5" s="139"/>
      <c r="JU5" s="139"/>
      <c r="JV5" s="202"/>
      <c r="JW5" s="202"/>
      <c r="JX5" s="139"/>
      <c r="JY5" s="139"/>
      <c r="JZ5" s="139"/>
      <c r="KA5" s="139"/>
      <c r="KB5" s="139"/>
      <c r="KC5" s="202"/>
      <c r="KD5" s="202"/>
      <c r="KE5" s="139"/>
      <c r="KF5" s="139"/>
      <c r="KG5" s="139"/>
      <c r="KH5" s="139"/>
      <c r="KI5" s="139"/>
      <c r="KJ5" s="192"/>
      <c r="KK5" s="192"/>
      <c r="KL5" s="139"/>
      <c r="KM5" s="139"/>
      <c r="KN5" s="139"/>
      <c r="KO5" s="139"/>
      <c r="KP5" s="228"/>
      <c r="KQ5" s="192"/>
      <c r="KR5" s="192"/>
      <c r="KS5" s="139"/>
      <c r="KT5" s="139"/>
      <c r="KU5" s="139"/>
      <c r="KV5" s="139"/>
      <c r="KW5" s="139"/>
      <c r="KX5" s="208"/>
      <c r="KY5" s="208"/>
      <c r="KZ5" s="192"/>
      <c r="LA5" s="192"/>
      <c r="LB5" s="192"/>
      <c r="LC5" s="192"/>
      <c r="LD5" s="192"/>
      <c r="LE5" s="208"/>
      <c r="LF5" s="208"/>
      <c r="LG5" s="228"/>
      <c r="LH5" s="228"/>
      <c r="LI5" s="228"/>
      <c r="LJ5" s="228"/>
      <c r="LK5" s="228"/>
      <c r="LL5" s="228"/>
      <c r="LM5" s="208"/>
      <c r="LN5" s="139"/>
      <c r="LO5" s="228"/>
      <c r="LP5" s="228"/>
      <c r="LQ5" s="228"/>
      <c r="LR5" s="228"/>
      <c r="LS5" s="208"/>
      <c r="LT5" s="208"/>
      <c r="LU5" s="228"/>
      <c r="LV5" s="139"/>
      <c r="LW5" s="139"/>
      <c r="LX5" s="139"/>
      <c r="LY5" s="139"/>
      <c r="LZ5" s="202"/>
      <c r="MA5" s="202"/>
      <c r="MB5" s="139"/>
      <c r="MC5" s="139"/>
      <c r="MD5" s="139"/>
      <c r="ME5" s="139"/>
      <c r="MF5" s="139"/>
      <c r="MG5" s="202"/>
      <c r="MH5" s="202"/>
      <c r="MI5" s="139"/>
      <c r="MJ5" s="139"/>
      <c r="MK5" s="139"/>
      <c r="ML5" s="139"/>
      <c r="MM5" s="139"/>
      <c r="MN5" s="202"/>
      <c r="MO5" s="202"/>
      <c r="MP5" s="139"/>
      <c r="MQ5" s="139"/>
      <c r="MR5" s="139"/>
      <c r="MS5" s="139"/>
      <c r="MT5" s="139"/>
      <c r="MU5" s="202"/>
      <c r="MV5" s="202"/>
      <c r="MW5" s="139"/>
      <c r="MX5" s="139"/>
      <c r="MY5" s="139"/>
      <c r="MZ5" s="139"/>
      <c r="NA5" s="139"/>
      <c r="NB5" s="139"/>
      <c r="NC5" s="139"/>
      <c r="ND5" s="139"/>
    </row>
    <row r="6" spans="1:368" s="140" customFormat="1" ht="15" customHeight="1">
      <c r="A6" s="472"/>
      <c r="B6" s="461"/>
      <c r="C6" s="164" t="s">
        <v>12</v>
      </c>
      <c r="D6" s="258"/>
      <c r="E6" s="139"/>
      <c r="F6" s="139"/>
      <c r="G6" s="139"/>
      <c r="H6" s="259"/>
      <c r="I6" s="192"/>
      <c r="J6" s="192"/>
      <c r="K6" s="258"/>
      <c r="L6" s="139"/>
      <c r="M6" s="139"/>
      <c r="N6" s="139"/>
      <c r="O6" s="259"/>
      <c r="P6" s="192"/>
      <c r="Q6" s="192"/>
      <c r="R6" s="258"/>
      <c r="S6" s="139"/>
      <c r="T6" s="139"/>
      <c r="U6" s="139"/>
      <c r="V6" s="259"/>
      <c r="W6" s="192"/>
      <c r="X6" s="192"/>
      <c r="Y6" s="258"/>
      <c r="Z6" s="139"/>
      <c r="AA6" s="139"/>
      <c r="AB6" s="139"/>
      <c r="AC6" s="259"/>
      <c r="AD6" s="192"/>
      <c r="AE6" s="192"/>
      <c r="AF6" s="258"/>
      <c r="AG6" s="139"/>
      <c r="AH6" s="139"/>
      <c r="AI6" s="139"/>
      <c r="AJ6" s="259"/>
      <c r="AK6" s="192"/>
      <c r="AL6" s="192"/>
      <c r="AM6" s="258"/>
      <c r="AN6" s="139"/>
      <c r="AO6" s="139"/>
      <c r="AP6" s="139"/>
      <c r="AQ6" s="259"/>
      <c r="AR6" s="192"/>
      <c r="AS6" s="192"/>
      <c r="AT6" s="258"/>
      <c r="AU6" s="139"/>
      <c r="AV6" s="139"/>
      <c r="AW6" s="139"/>
      <c r="AX6" s="259"/>
      <c r="AY6" s="192"/>
      <c r="AZ6" s="192"/>
      <c r="BA6" s="258"/>
      <c r="BB6" s="139"/>
      <c r="BC6" s="139"/>
      <c r="BD6" s="139"/>
      <c r="BE6" s="259"/>
      <c r="BF6" s="192"/>
      <c r="BG6" s="192"/>
      <c r="BH6" s="258"/>
      <c r="BI6" s="139"/>
      <c r="BJ6" s="139"/>
      <c r="BK6" s="139"/>
      <c r="BL6" s="259"/>
      <c r="BM6" s="192"/>
      <c r="BN6" s="192"/>
      <c r="BO6" s="258"/>
      <c r="BP6" s="139"/>
      <c r="BQ6" s="139"/>
      <c r="BR6" s="139"/>
      <c r="BS6" s="259"/>
      <c r="BT6" s="192"/>
      <c r="BU6" s="192"/>
      <c r="BV6" s="258"/>
      <c r="BW6" s="139"/>
      <c r="BX6" s="139"/>
      <c r="BY6" s="139"/>
      <c r="BZ6" s="259"/>
      <c r="CA6" s="192"/>
      <c r="CB6" s="192"/>
      <c r="CC6" s="258"/>
      <c r="CD6" s="139"/>
      <c r="CE6" s="139"/>
      <c r="CF6" s="139"/>
      <c r="CG6" s="259"/>
      <c r="CH6" s="192"/>
      <c r="CI6" s="192"/>
      <c r="CJ6" s="258"/>
      <c r="CK6" s="139"/>
      <c r="CL6" s="139"/>
      <c r="CM6" s="139"/>
      <c r="CN6" s="259"/>
      <c r="CO6" s="192"/>
      <c r="CP6" s="192"/>
      <c r="CQ6" s="258"/>
      <c r="CR6" s="139"/>
      <c r="CS6" s="139"/>
      <c r="CT6" s="139"/>
      <c r="CU6" s="259"/>
      <c r="CV6" s="192"/>
      <c r="CW6" s="192"/>
      <c r="CX6" s="258"/>
      <c r="CY6" s="139"/>
      <c r="CZ6" s="139"/>
      <c r="DA6" s="139"/>
      <c r="DB6" s="259"/>
      <c r="DC6" s="192"/>
      <c r="DD6" s="192"/>
      <c r="DE6" s="258"/>
      <c r="DF6" s="139"/>
      <c r="DG6" s="139"/>
      <c r="DH6" s="139"/>
      <c r="DI6" s="259"/>
      <c r="DJ6" s="192"/>
      <c r="DK6" s="192"/>
      <c r="DL6" s="258"/>
      <c r="DM6" s="139"/>
      <c r="DN6" s="139"/>
      <c r="DO6" s="139"/>
      <c r="DP6" s="259"/>
      <c r="DQ6" s="192"/>
      <c r="DR6" s="192"/>
      <c r="DS6" s="258"/>
      <c r="DT6" s="139"/>
      <c r="DU6" s="139"/>
      <c r="DV6" s="139"/>
      <c r="DW6" s="259"/>
      <c r="DX6" s="192"/>
      <c r="DY6" s="192"/>
      <c r="DZ6" s="258"/>
      <c r="EA6" s="139"/>
      <c r="EB6" s="139"/>
      <c r="EC6" s="139"/>
      <c r="ED6" s="259"/>
      <c r="EE6" s="192"/>
      <c r="EF6" s="192"/>
      <c r="EG6" s="258"/>
      <c r="EH6" s="139"/>
      <c r="EI6" s="139"/>
      <c r="EJ6" s="139"/>
      <c r="EK6" s="259"/>
      <c r="EL6" s="192"/>
      <c r="EM6" s="192"/>
      <c r="EN6" s="258"/>
      <c r="EO6" s="139"/>
      <c r="EP6" s="139"/>
      <c r="EQ6" s="139"/>
      <c r="ER6" s="259"/>
      <c r="ES6" s="192"/>
      <c r="ET6" s="192"/>
      <c r="EU6" s="258"/>
      <c r="EV6" s="139"/>
      <c r="EW6" s="139"/>
      <c r="EX6" s="139"/>
      <c r="EY6" s="259"/>
      <c r="EZ6" s="192"/>
      <c r="FA6" s="192"/>
      <c r="FB6" s="258"/>
      <c r="FC6" s="139"/>
      <c r="FD6" s="139"/>
      <c r="FE6" s="139"/>
      <c r="FF6" s="259"/>
      <c r="FG6" s="192"/>
      <c r="FH6" s="192"/>
      <c r="FI6" s="258"/>
      <c r="FJ6" s="139"/>
      <c r="FK6" s="139"/>
      <c r="FL6" s="139"/>
      <c r="FM6" s="259"/>
      <c r="FN6" s="192"/>
      <c r="FO6" s="192"/>
      <c r="FP6" s="258"/>
      <c r="FQ6" s="139"/>
      <c r="FR6" s="139"/>
      <c r="FS6" s="139"/>
      <c r="FT6" s="259"/>
      <c r="FU6" s="192"/>
      <c r="FV6" s="192"/>
      <c r="FW6" s="258"/>
      <c r="FX6" s="139"/>
      <c r="FY6" s="139"/>
      <c r="FZ6" s="139"/>
      <c r="GA6" s="259"/>
      <c r="GB6" s="192"/>
      <c r="GC6" s="192"/>
      <c r="GD6" s="139"/>
      <c r="GE6" s="139"/>
      <c r="GF6" s="139"/>
      <c r="GG6" s="139"/>
      <c r="GH6" s="139"/>
      <c r="GI6" s="192"/>
      <c r="GJ6" s="192"/>
      <c r="GK6" s="139"/>
      <c r="GL6" s="139"/>
      <c r="GM6" s="139"/>
      <c r="GN6" s="139"/>
      <c r="GO6" s="139"/>
      <c r="GP6" s="208"/>
      <c r="GQ6" s="208"/>
      <c r="GR6" s="139"/>
      <c r="GS6" s="139"/>
      <c r="GT6" s="139"/>
      <c r="GU6" s="139"/>
      <c r="GV6" s="139"/>
      <c r="GW6" s="208"/>
      <c r="GX6" s="208"/>
      <c r="GY6" s="139"/>
      <c r="GZ6" s="139"/>
      <c r="HA6" s="139"/>
      <c r="HB6" s="139"/>
      <c r="HC6" s="139"/>
      <c r="HD6" s="208"/>
      <c r="HE6" s="208"/>
      <c r="HF6" s="139"/>
      <c r="HG6" s="139"/>
      <c r="HH6" s="139"/>
      <c r="HI6" s="139"/>
      <c r="HJ6" s="139"/>
      <c r="HK6" s="208"/>
      <c r="HL6" s="208"/>
      <c r="HM6" s="139"/>
      <c r="HN6" s="139"/>
      <c r="HO6" s="139"/>
      <c r="HP6" s="139"/>
      <c r="HQ6" s="139"/>
      <c r="HR6" s="139"/>
      <c r="HS6" s="139"/>
      <c r="HT6" s="206"/>
      <c r="HU6" s="206"/>
      <c r="HV6" s="206"/>
      <c r="HW6" s="206"/>
      <c r="HX6" s="206"/>
      <c r="HY6" s="202"/>
      <c r="HZ6" s="202"/>
      <c r="IA6" s="139"/>
      <c r="IB6" s="206"/>
      <c r="IC6" s="206"/>
      <c r="ID6" s="206"/>
      <c r="IE6" s="206"/>
      <c r="IF6" s="202"/>
      <c r="IG6" s="202"/>
      <c r="IH6" s="206"/>
      <c r="II6" s="206"/>
      <c r="IJ6" s="206"/>
      <c r="IK6" s="206"/>
      <c r="IL6" s="206"/>
      <c r="IM6" s="202"/>
      <c r="IN6" s="202"/>
      <c r="IO6" s="139"/>
      <c r="IP6" s="139"/>
      <c r="IQ6" s="228"/>
      <c r="IR6" s="228"/>
      <c r="IS6" s="228"/>
      <c r="IT6" s="202"/>
      <c r="IU6" s="202"/>
      <c r="IV6" s="139"/>
      <c r="IW6" s="139"/>
      <c r="IX6" s="139"/>
      <c r="IY6" s="139"/>
      <c r="IZ6" s="139"/>
      <c r="JA6" s="202"/>
      <c r="JB6" s="202"/>
      <c r="JC6" s="228"/>
      <c r="JD6" s="228"/>
      <c r="JE6" s="139"/>
      <c r="JF6" s="139"/>
      <c r="JG6" s="139"/>
      <c r="JH6" s="202"/>
      <c r="JI6" s="202"/>
      <c r="JJ6" s="139"/>
      <c r="JK6" s="139"/>
      <c r="JL6" s="139"/>
      <c r="JM6" s="139"/>
      <c r="JN6" s="139"/>
      <c r="JO6" s="202"/>
      <c r="JP6" s="202"/>
      <c r="JQ6" s="139"/>
      <c r="JR6" s="139"/>
      <c r="JS6" s="139"/>
      <c r="JT6" s="139"/>
      <c r="JU6" s="139"/>
      <c r="JV6" s="202"/>
      <c r="JW6" s="202"/>
      <c r="JX6" s="139"/>
      <c r="JY6" s="139"/>
      <c r="JZ6" s="139"/>
      <c r="KA6" s="139"/>
      <c r="KB6" s="139"/>
      <c r="KC6" s="202"/>
      <c r="KD6" s="202"/>
      <c r="KE6" s="139"/>
      <c r="KF6" s="139"/>
      <c r="KG6" s="139"/>
      <c r="KH6" s="139"/>
      <c r="KI6" s="139"/>
      <c r="KJ6" s="192"/>
      <c r="KK6" s="192"/>
      <c r="KL6" s="139"/>
      <c r="KM6" s="139"/>
      <c r="KN6" s="139"/>
      <c r="KO6" s="139"/>
      <c r="KP6" s="228"/>
      <c r="KQ6" s="192"/>
      <c r="KR6" s="192"/>
      <c r="KS6" s="139"/>
      <c r="KT6" s="139"/>
      <c r="KU6" s="139"/>
      <c r="KV6" s="139"/>
      <c r="KW6" s="139"/>
      <c r="KX6" s="208"/>
      <c r="KY6" s="208"/>
      <c r="KZ6" s="192"/>
      <c r="LA6" s="192"/>
      <c r="LB6" s="192"/>
      <c r="LC6" s="192"/>
      <c r="LD6" s="192"/>
      <c r="LE6" s="208"/>
      <c r="LF6" s="208"/>
      <c r="LG6" s="228"/>
      <c r="LH6" s="228"/>
      <c r="LI6" s="228"/>
      <c r="LJ6" s="228"/>
      <c r="LK6" s="228"/>
      <c r="LL6" s="228"/>
      <c r="LM6" s="208"/>
      <c r="LN6" s="139"/>
      <c r="LO6" s="228"/>
      <c r="LP6" s="228"/>
      <c r="LQ6" s="228"/>
      <c r="LR6" s="228"/>
      <c r="LS6" s="208"/>
      <c r="LT6" s="208"/>
      <c r="LU6" s="228"/>
      <c r="LV6" s="139"/>
      <c r="LW6" s="139"/>
      <c r="LX6" s="139"/>
      <c r="LY6" s="139"/>
      <c r="LZ6" s="202"/>
      <c r="MA6" s="202"/>
      <c r="MB6" s="139"/>
      <c r="MC6" s="139"/>
      <c r="MD6" s="139"/>
      <c r="ME6" s="139"/>
      <c r="MF6" s="139"/>
      <c r="MG6" s="202"/>
      <c r="MH6" s="202"/>
      <c r="MI6" s="139"/>
      <c r="MJ6" s="139"/>
      <c r="MK6" s="139"/>
      <c r="ML6" s="139"/>
      <c r="MM6" s="139"/>
      <c r="MN6" s="202"/>
      <c r="MO6" s="202"/>
      <c r="MP6" s="139"/>
      <c r="MQ6" s="139"/>
      <c r="MR6" s="139"/>
      <c r="MS6" s="139"/>
      <c r="MT6" s="139"/>
      <c r="MU6" s="202"/>
      <c r="MV6" s="202"/>
      <c r="MW6" s="139"/>
      <c r="MX6" s="139"/>
      <c r="MY6" s="139"/>
      <c r="MZ6" s="139"/>
      <c r="NA6" s="139"/>
      <c r="NB6" s="139"/>
      <c r="NC6" s="139"/>
      <c r="ND6" s="139"/>
    </row>
    <row r="7" spans="1:368" s="140" customFormat="1" ht="15" customHeight="1" thickBot="1">
      <c r="A7" s="472"/>
      <c r="B7" s="461"/>
      <c r="C7" s="164" t="s">
        <v>13</v>
      </c>
      <c r="D7" s="260"/>
      <c r="E7" s="261"/>
      <c r="F7" s="261"/>
      <c r="G7" s="261"/>
      <c r="H7" s="262"/>
      <c r="I7" s="192"/>
      <c r="J7" s="192"/>
      <c r="K7" s="260"/>
      <c r="L7" s="261"/>
      <c r="M7" s="261"/>
      <c r="N7" s="261"/>
      <c r="O7" s="262"/>
      <c r="P7" s="192"/>
      <c r="Q7" s="192"/>
      <c r="R7" s="260"/>
      <c r="S7" s="261"/>
      <c r="T7" s="261"/>
      <c r="U7" s="261"/>
      <c r="V7" s="262"/>
      <c r="W7" s="192"/>
      <c r="X7" s="192"/>
      <c r="Y7" s="260"/>
      <c r="Z7" s="261"/>
      <c r="AA7" s="261"/>
      <c r="AB7" s="261"/>
      <c r="AC7" s="262"/>
      <c r="AD7" s="192"/>
      <c r="AE7" s="192"/>
      <c r="AF7" s="260"/>
      <c r="AG7" s="261"/>
      <c r="AH7" s="261"/>
      <c r="AI7" s="261"/>
      <c r="AJ7" s="262"/>
      <c r="AK7" s="192"/>
      <c r="AL7" s="192"/>
      <c r="AM7" s="260"/>
      <c r="AN7" s="261"/>
      <c r="AO7" s="261"/>
      <c r="AP7" s="261"/>
      <c r="AQ7" s="262"/>
      <c r="AR7" s="192"/>
      <c r="AS7" s="192"/>
      <c r="AT7" s="260"/>
      <c r="AU7" s="261"/>
      <c r="AV7" s="261"/>
      <c r="AW7" s="261"/>
      <c r="AX7" s="262"/>
      <c r="AY7" s="192"/>
      <c r="AZ7" s="192"/>
      <c r="BA7" s="260"/>
      <c r="BB7" s="261"/>
      <c r="BC7" s="261"/>
      <c r="BD7" s="261"/>
      <c r="BE7" s="262"/>
      <c r="BF7" s="192"/>
      <c r="BG7" s="192"/>
      <c r="BH7" s="260"/>
      <c r="BI7" s="261"/>
      <c r="BJ7" s="261"/>
      <c r="BK7" s="261"/>
      <c r="BL7" s="262"/>
      <c r="BM7" s="192"/>
      <c r="BN7" s="192"/>
      <c r="BO7" s="260"/>
      <c r="BP7" s="261"/>
      <c r="BQ7" s="261"/>
      <c r="BR7" s="261"/>
      <c r="BS7" s="262"/>
      <c r="BT7" s="192"/>
      <c r="BU7" s="192"/>
      <c r="BV7" s="260"/>
      <c r="BW7" s="261"/>
      <c r="BX7" s="261"/>
      <c r="BY7" s="261"/>
      <c r="BZ7" s="262"/>
      <c r="CA7" s="192"/>
      <c r="CB7" s="192"/>
      <c r="CC7" s="260"/>
      <c r="CD7" s="261"/>
      <c r="CE7" s="261"/>
      <c r="CF7" s="261"/>
      <c r="CG7" s="262"/>
      <c r="CH7" s="192"/>
      <c r="CI7" s="192"/>
      <c r="CJ7" s="260"/>
      <c r="CK7" s="261"/>
      <c r="CL7" s="261"/>
      <c r="CM7" s="261"/>
      <c r="CN7" s="262"/>
      <c r="CO7" s="192"/>
      <c r="CP7" s="192"/>
      <c r="CQ7" s="260"/>
      <c r="CR7" s="261"/>
      <c r="CS7" s="261"/>
      <c r="CT7" s="261"/>
      <c r="CU7" s="262"/>
      <c r="CV7" s="192"/>
      <c r="CW7" s="192"/>
      <c r="CX7" s="260"/>
      <c r="CY7" s="261"/>
      <c r="CZ7" s="261"/>
      <c r="DA7" s="261"/>
      <c r="DB7" s="262"/>
      <c r="DC7" s="192"/>
      <c r="DD7" s="192"/>
      <c r="DE7" s="260"/>
      <c r="DF7" s="261"/>
      <c r="DG7" s="261"/>
      <c r="DH7" s="261"/>
      <c r="DI7" s="262"/>
      <c r="DJ7" s="192"/>
      <c r="DK7" s="192"/>
      <c r="DL7" s="260"/>
      <c r="DM7" s="261"/>
      <c r="DN7" s="261"/>
      <c r="DO7" s="261"/>
      <c r="DP7" s="262"/>
      <c r="DQ7" s="192"/>
      <c r="DR7" s="192"/>
      <c r="DS7" s="260"/>
      <c r="DT7" s="261"/>
      <c r="DU7" s="261"/>
      <c r="DV7" s="261"/>
      <c r="DW7" s="262"/>
      <c r="DX7" s="192"/>
      <c r="DY7" s="192"/>
      <c r="DZ7" s="260"/>
      <c r="EA7" s="261"/>
      <c r="EB7" s="261"/>
      <c r="EC7" s="261"/>
      <c r="ED7" s="262"/>
      <c r="EE7" s="192"/>
      <c r="EF7" s="192"/>
      <c r="EG7" s="260"/>
      <c r="EH7" s="261"/>
      <c r="EI7" s="261"/>
      <c r="EJ7" s="261"/>
      <c r="EK7" s="262"/>
      <c r="EL7" s="192"/>
      <c r="EM7" s="192"/>
      <c r="EN7" s="260"/>
      <c r="EO7" s="261"/>
      <c r="EP7" s="261"/>
      <c r="EQ7" s="261"/>
      <c r="ER7" s="262"/>
      <c r="ES7" s="192"/>
      <c r="ET7" s="192"/>
      <c r="EU7" s="260"/>
      <c r="EV7" s="261"/>
      <c r="EW7" s="261"/>
      <c r="EX7" s="261"/>
      <c r="EY7" s="262"/>
      <c r="EZ7" s="192"/>
      <c r="FA7" s="192"/>
      <c r="FB7" s="260"/>
      <c r="FC7" s="261"/>
      <c r="FD7" s="261"/>
      <c r="FE7" s="261"/>
      <c r="FF7" s="262"/>
      <c r="FG7" s="192"/>
      <c r="FH7" s="192"/>
      <c r="FI7" s="260"/>
      <c r="FJ7" s="261"/>
      <c r="FK7" s="261"/>
      <c r="FL7" s="261"/>
      <c r="FM7" s="262"/>
      <c r="FN7" s="192"/>
      <c r="FO7" s="192"/>
      <c r="FP7" s="260"/>
      <c r="FQ7" s="261"/>
      <c r="FR7" s="261"/>
      <c r="FS7" s="261"/>
      <c r="FT7" s="262"/>
      <c r="FU7" s="192"/>
      <c r="FV7" s="192"/>
      <c r="FW7" s="260"/>
      <c r="FX7" s="261"/>
      <c r="FY7" s="261"/>
      <c r="FZ7" s="261"/>
      <c r="GA7" s="262"/>
      <c r="GB7" s="192"/>
      <c r="GC7" s="192"/>
      <c r="GD7" s="139"/>
      <c r="GE7" s="139"/>
      <c r="GF7" s="139"/>
      <c r="GG7" s="139"/>
      <c r="GH7" s="139"/>
      <c r="GI7" s="192"/>
      <c r="GJ7" s="192"/>
      <c r="GK7" s="139"/>
      <c r="GL7" s="139"/>
      <c r="GM7" s="139"/>
      <c r="GN7" s="139"/>
      <c r="GO7" s="139"/>
      <c r="GP7" s="208"/>
      <c r="GQ7" s="208"/>
      <c r="GR7" s="139"/>
      <c r="GS7" s="139"/>
      <c r="GT7" s="139"/>
      <c r="GU7" s="139"/>
      <c r="GV7" s="139"/>
      <c r="GW7" s="208"/>
      <c r="GX7" s="208"/>
      <c r="GY7" s="139"/>
      <c r="GZ7" s="139"/>
      <c r="HA7" s="139"/>
      <c r="HB7" s="139"/>
      <c r="HC7" s="139"/>
      <c r="HD7" s="208"/>
      <c r="HE7" s="208"/>
      <c r="HF7" s="139"/>
      <c r="HG7" s="139"/>
      <c r="HH7" s="139"/>
      <c r="HI7" s="139"/>
      <c r="HJ7" s="139"/>
      <c r="HK7" s="208"/>
      <c r="HL7" s="208"/>
      <c r="HM7" s="139"/>
      <c r="HN7" s="139"/>
      <c r="HO7" s="139"/>
      <c r="HP7" s="139"/>
      <c r="HQ7" s="139"/>
      <c r="HR7" s="139"/>
      <c r="HS7" s="139"/>
      <c r="HT7" s="206"/>
      <c r="HU7" s="206"/>
      <c r="HV7" s="206"/>
      <c r="HW7" s="206"/>
      <c r="HX7" s="206"/>
      <c r="HY7" s="202"/>
      <c r="HZ7" s="202"/>
      <c r="IA7" s="139"/>
      <c r="IB7" s="206"/>
      <c r="IC7" s="206"/>
      <c r="ID7" s="206"/>
      <c r="IE7" s="206"/>
      <c r="IF7" s="202"/>
      <c r="IG7" s="202"/>
      <c r="IH7" s="206"/>
      <c r="II7" s="206"/>
      <c r="IJ7" s="206"/>
      <c r="IK7" s="206"/>
      <c r="IL7" s="206"/>
      <c r="IM7" s="202"/>
      <c r="IN7" s="202"/>
      <c r="IO7" s="139"/>
      <c r="IP7" s="139"/>
      <c r="IQ7" s="228"/>
      <c r="IR7" s="228"/>
      <c r="IS7" s="228"/>
      <c r="IT7" s="202"/>
      <c r="IU7" s="202"/>
      <c r="IV7" s="139"/>
      <c r="IW7" s="139"/>
      <c r="IX7" s="139"/>
      <c r="IY7" s="139"/>
      <c r="IZ7" s="139"/>
      <c r="JA7" s="202"/>
      <c r="JB7" s="202"/>
      <c r="JC7" s="228"/>
      <c r="JD7" s="228"/>
      <c r="JE7" s="139"/>
      <c r="JF7" s="139"/>
      <c r="JG7" s="139"/>
      <c r="JH7" s="202"/>
      <c r="JI7" s="202"/>
      <c r="JJ7" s="139"/>
      <c r="JK7" s="139"/>
      <c r="JL7" s="139"/>
      <c r="JM7" s="139"/>
      <c r="JN7" s="139"/>
      <c r="JO7" s="202"/>
      <c r="JP7" s="202"/>
      <c r="JQ7" s="139"/>
      <c r="JR7" s="139"/>
      <c r="JS7" s="139"/>
      <c r="JT7" s="139"/>
      <c r="JU7" s="139"/>
      <c r="JV7" s="202"/>
      <c r="JW7" s="202"/>
      <c r="JX7" s="139"/>
      <c r="JY7" s="139"/>
      <c r="JZ7" s="139"/>
      <c r="KA7" s="139"/>
      <c r="KB7" s="139"/>
      <c r="KC7" s="202"/>
      <c r="KD7" s="202"/>
      <c r="KE7" s="139"/>
      <c r="KF7" s="139"/>
      <c r="KG7" s="139"/>
      <c r="KH7" s="139"/>
      <c r="KI7" s="139"/>
      <c r="KJ7" s="192"/>
      <c r="KK7" s="192"/>
      <c r="KL7" s="139"/>
      <c r="KM7" s="139"/>
      <c r="KN7" s="139"/>
      <c r="KO7" s="139"/>
      <c r="KP7" s="228"/>
      <c r="KQ7" s="192"/>
      <c r="KR7" s="192"/>
      <c r="KS7" s="139"/>
      <c r="KT7" s="139"/>
      <c r="KU7" s="139"/>
      <c r="KV7" s="139"/>
      <c r="KW7" s="139"/>
      <c r="KX7" s="208"/>
      <c r="KY7" s="208"/>
      <c r="KZ7" s="192"/>
      <c r="LA7" s="192"/>
      <c r="LB7" s="192"/>
      <c r="LC7" s="192"/>
      <c r="LD7" s="192"/>
      <c r="LE7" s="208"/>
      <c r="LF7" s="208"/>
      <c r="LG7" s="228"/>
      <c r="LH7" s="228"/>
      <c r="LI7" s="228"/>
      <c r="LJ7" s="228"/>
      <c r="LK7" s="228"/>
      <c r="LL7" s="228"/>
      <c r="LM7" s="208"/>
      <c r="LN7" s="139"/>
      <c r="LO7" s="228"/>
      <c r="LP7" s="228"/>
      <c r="LQ7" s="228"/>
      <c r="LR7" s="228"/>
      <c r="LS7" s="208"/>
      <c r="LT7" s="208"/>
      <c r="LU7" s="228"/>
      <c r="LV7" s="139"/>
      <c r="LW7" s="139"/>
      <c r="LX7" s="139"/>
      <c r="LY7" s="139"/>
      <c r="LZ7" s="202"/>
      <c r="MA7" s="202"/>
      <c r="MB7" s="139"/>
      <c r="MC7" s="139"/>
      <c r="MD7" s="139"/>
      <c r="ME7" s="139"/>
      <c r="MF7" s="139"/>
      <c r="MG7" s="202"/>
      <c r="MH7" s="202"/>
      <c r="MI7" s="139"/>
      <c r="MJ7" s="139"/>
      <c r="MK7" s="139"/>
      <c r="ML7" s="139"/>
      <c r="MM7" s="139"/>
      <c r="MN7" s="202"/>
      <c r="MO7" s="202"/>
      <c r="MP7" s="139"/>
      <c r="MQ7" s="139"/>
      <c r="MR7" s="139"/>
      <c r="MS7" s="139"/>
      <c r="MT7" s="139"/>
      <c r="MU7" s="202"/>
      <c r="MV7" s="202"/>
      <c r="MW7" s="139"/>
      <c r="MX7" s="139"/>
      <c r="MY7" s="139"/>
      <c r="MZ7" s="139"/>
      <c r="NA7" s="139"/>
      <c r="NB7" s="139"/>
      <c r="NC7" s="139"/>
      <c r="ND7" s="139"/>
    </row>
    <row r="8" spans="1:368" s="151" customFormat="1" ht="15" hidden="1" customHeight="1" thickBot="1">
      <c r="A8" s="472"/>
      <c r="B8" s="462"/>
      <c r="C8" s="165" t="s">
        <v>93</v>
      </c>
      <c r="D8" s="263"/>
      <c r="E8" s="263"/>
      <c r="F8" s="263"/>
      <c r="G8" s="263"/>
      <c r="H8" s="263"/>
      <c r="I8" s="192"/>
      <c r="J8" s="192"/>
      <c r="K8" s="263"/>
      <c r="L8" s="263"/>
      <c r="M8" s="263"/>
      <c r="N8" s="263"/>
      <c r="O8" s="263"/>
      <c r="P8" s="192"/>
      <c r="Q8" s="192"/>
      <c r="R8" s="263"/>
      <c r="S8" s="263"/>
      <c r="T8" s="263"/>
      <c r="U8" s="263"/>
      <c r="V8" s="263"/>
      <c r="W8" s="192"/>
      <c r="X8" s="192"/>
      <c r="Y8" s="263"/>
      <c r="Z8" s="263"/>
      <c r="AA8" s="263"/>
      <c r="AB8" s="263"/>
      <c r="AC8" s="263"/>
      <c r="AD8" s="192"/>
      <c r="AE8" s="192"/>
      <c r="AF8" s="263"/>
      <c r="AG8" s="263"/>
      <c r="AH8" s="263"/>
      <c r="AI8" s="263"/>
      <c r="AJ8" s="263"/>
      <c r="AK8" s="192"/>
      <c r="AL8" s="192"/>
      <c r="AM8" s="263"/>
      <c r="AN8" s="263"/>
      <c r="AO8" s="263"/>
      <c r="AP8" s="263"/>
      <c r="AQ8" s="263"/>
      <c r="AR8" s="192"/>
      <c r="AS8" s="192"/>
      <c r="AT8" s="263"/>
      <c r="AU8" s="263"/>
      <c r="AV8" s="263"/>
      <c r="AW8" s="263"/>
      <c r="AX8" s="263"/>
      <c r="AY8" s="192"/>
      <c r="AZ8" s="192"/>
      <c r="BA8" s="263"/>
      <c r="BB8" s="263"/>
      <c r="BC8" s="263"/>
      <c r="BD8" s="263"/>
      <c r="BE8" s="263"/>
      <c r="BF8" s="192"/>
      <c r="BG8" s="192"/>
      <c r="BH8" s="263"/>
      <c r="BI8" s="263"/>
      <c r="BJ8" s="263"/>
      <c r="BK8" s="263"/>
      <c r="BL8" s="263"/>
      <c r="BM8" s="192"/>
      <c r="BN8" s="192"/>
      <c r="BO8" s="263"/>
      <c r="BP8" s="263"/>
      <c r="BQ8" s="263"/>
      <c r="BR8" s="263"/>
      <c r="BS8" s="263"/>
      <c r="BT8" s="192"/>
      <c r="BU8" s="192"/>
      <c r="BV8" s="263"/>
      <c r="BW8" s="263"/>
      <c r="BX8" s="263"/>
      <c r="BY8" s="263"/>
      <c r="BZ8" s="263"/>
      <c r="CA8" s="192"/>
      <c r="CB8" s="192"/>
      <c r="CC8" s="263"/>
      <c r="CD8" s="263"/>
      <c r="CE8" s="263"/>
      <c r="CF8" s="263"/>
      <c r="CG8" s="263"/>
      <c r="CH8" s="192"/>
      <c r="CI8" s="192"/>
      <c r="CJ8" s="263"/>
      <c r="CK8" s="263"/>
      <c r="CL8" s="263"/>
      <c r="CM8" s="263"/>
      <c r="CN8" s="263"/>
      <c r="CO8" s="192"/>
      <c r="CP8" s="192"/>
      <c r="CQ8" s="263"/>
      <c r="CR8" s="263"/>
      <c r="CS8" s="263"/>
      <c r="CT8" s="263"/>
      <c r="CU8" s="263"/>
      <c r="CV8" s="192"/>
      <c r="CW8" s="192"/>
      <c r="CX8" s="263"/>
      <c r="CY8" s="263"/>
      <c r="CZ8" s="263"/>
      <c r="DA8" s="263"/>
      <c r="DB8" s="263"/>
      <c r="DC8" s="192"/>
      <c r="DD8" s="192"/>
      <c r="DE8" s="263"/>
      <c r="DF8" s="263"/>
      <c r="DG8" s="263"/>
      <c r="DH8" s="263"/>
      <c r="DI8" s="263"/>
      <c r="DJ8" s="192"/>
      <c r="DK8" s="192"/>
      <c r="DL8" s="263"/>
      <c r="DM8" s="263"/>
      <c r="DN8" s="263"/>
      <c r="DO8" s="263"/>
      <c r="DP8" s="263"/>
      <c r="DQ8" s="192"/>
      <c r="DR8" s="192"/>
      <c r="DS8" s="263"/>
      <c r="DT8" s="263"/>
      <c r="DU8" s="263"/>
      <c r="DV8" s="263"/>
      <c r="DW8" s="263"/>
      <c r="DX8" s="192"/>
      <c r="DY8" s="192"/>
      <c r="DZ8" s="263"/>
      <c r="EA8" s="263"/>
      <c r="EB8" s="263"/>
      <c r="EC8" s="263"/>
      <c r="ED8" s="263"/>
      <c r="EE8" s="192"/>
      <c r="EF8" s="192"/>
      <c r="EG8" s="263"/>
      <c r="EH8" s="263"/>
      <c r="EI8" s="263"/>
      <c r="EJ8" s="263"/>
      <c r="EK8" s="263"/>
      <c r="EL8" s="192"/>
      <c r="EM8" s="192"/>
      <c r="EN8" s="263"/>
      <c r="EO8" s="263"/>
      <c r="EP8" s="263"/>
      <c r="EQ8" s="263"/>
      <c r="ER8" s="263"/>
      <c r="ES8" s="192"/>
      <c r="ET8" s="192"/>
      <c r="EU8" s="263"/>
      <c r="EV8" s="263"/>
      <c r="EW8" s="263"/>
      <c r="EX8" s="263"/>
      <c r="EY8" s="263"/>
      <c r="EZ8" s="192"/>
      <c r="FA8" s="192"/>
      <c r="FB8" s="263"/>
      <c r="FC8" s="263"/>
      <c r="FD8" s="263"/>
      <c r="FE8" s="263"/>
      <c r="FF8" s="263"/>
      <c r="FG8" s="192"/>
      <c r="FH8" s="192"/>
      <c r="FI8" s="263"/>
      <c r="FJ8" s="263"/>
      <c r="FK8" s="263"/>
      <c r="FL8" s="263"/>
      <c r="FM8" s="263"/>
      <c r="FN8" s="192"/>
      <c r="FO8" s="192"/>
      <c r="FP8" s="263"/>
      <c r="FQ8" s="263"/>
      <c r="FR8" s="263"/>
      <c r="FS8" s="263"/>
      <c r="FT8" s="263"/>
      <c r="FU8" s="192"/>
      <c r="FV8" s="192"/>
      <c r="FW8" s="263"/>
      <c r="FX8" s="263"/>
      <c r="FY8" s="263"/>
      <c r="FZ8" s="263"/>
      <c r="GA8" s="263"/>
      <c r="GB8" s="192"/>
      <c r="GC8" s="192"/>
      <c r="GD8" s="150"/>
      <c r="GE8" s="150"/>
      <c r="GF8" s="150"/>
      <c r="GG8" s="150"/>
      <c r="GH8" s="150"/>
      <c r="GI8" s="192"/>
      <c r="GJ8" s="192"/>
      <c r="GK8" s="150"/>
      <c r="GL8" s="150"/>
      <c r="GM8" s="150"/>
      <c r="GN8" s="150"/>
      <c r="GO8" s="150"/>
      <c r="GP8" s="208"/>
      <c r="GQ8" s="208"/>
      <c r="GR8" s="150"/>
      <c r="GS8" s="150"/>
      <c r="GT8" s="150"/>
      <c r="GU8" s="150"/>
      <c r="GV8" s="150"/>
      <c r="GW8" s="208"/>
      <c r="GX8" s="208"/>
      <c r="GY8" s="150"/>
      <c r="GZ8" s="150"/>
      <c r="HA8" s="150"/>
      <c r="HB8" s="150"/>
      <c r="HC8" s="150"/>
      <c r="HD8" s="208"/>
      <c r="HE8" s="208"/>
      <c r="HF8" s="150"/>
      <c r="HG8" s="150"/>
      <c r="HH8" s="150"/>
      <c r="HI8" s="150"/>
      <c r="HJ8" s="150"/>
      <c r="HK8" s="208"/>
      <c r="HL8" s="208"/>
      <c r="HM8" s="150"/>
      <c r="HN8" s="150"/>
      <c r="HO8" s="150"/>
      <c r="HP8" s="150"/>
      <c r="HQ8" s="150"/>
      <c r="HR8" s="150"/>
      <c r="HS8" s="150"/>
      <c r="HT8" s="248"/>
      <c r="HU8" s="248"/>
      <c r="HV8" s="248"/>
      <c r="HW8" s="248"/>
      <c r="HX8" s="248"/>
      <c r="HY8" s="202"/>
      <c r="HZ8" s="202"/>
      <c r="IA8" s="150"/>
      <c r="IB8" s="248"/>
      <c r="IC8" s="248"/>
      <c r="ID8" s="248"/>
      <c r="IE8" s="248"/>
      <c r="IF8" s="202"/>
      <c r="IG8" s="202"/>
      <c r="IH8" s="150"/>
      <c r="II8" s="150"/>
      <c r="IJ8" s="150"/>
      <c r="IK8" s="150"/>
      <c r="IL8" s="248"/>
      <c r="IM8" s="202"/>
      <c r="IN8" s="202"/>
      <c r="IO8" s="150"/>
      <c r="IP8" s="150"/>
      <c r="IQ8" s="228"/>
      <c r="IR8" s="228"/>
      <c r="IS8" s="228"/>
      <c r="IT8" s="202"/>
      <c r="IU8" s="202"/>
      <c r="IV8" s="150"/>
      <c r="IW8" s="150"/>
      <c r="IX8" s="150"/>
      <c r="IY8" s="150"/>
      <c r="IZ8" s="150"/>
      <c r="JA8" s="202"/>
      <c r="JB8" s="202"/>
      <c r="JC8" s="231"/>
      <c r="JD8" s="231"/>
      <c r="JE8" s="150"/>
      <c r="JF8" s="150"/>
      <c r="JG8" s="150"/>
      <c r="JH8" s="202"/>
      <c r="JI8" s="202"/>
      <c r="JJ8" s="150"/>
      <c r="JK8" s="150"/>
      <c r="JL8" s="150"/>
      <c r="JM8" s="150"/>
      <c r="JN8" s="150"/>
      <c r="JO8" s="202"/>
      <c r="JP8" s="202"/>
      <c r="JQ8" s="150"/>
      <c r="JR8" s="150"/>
      <c r="JS8" s="150"/>
      <c r="JT8" s="150"/>
      <c r="JU8" s="150"/>
      <c r="JV8" s="202"/>
      <c r="JW8" s="202"/>
      <c r="JX8" s="150"/>
      <c r="JY8" s="150"/>
      <c r="JZ8" s="150"/>
      <c r="KA8" s="150"/>
      <c r="KB8" s="150"/>
      <c r="KC8" s="202"/>
      <c r="KD8" s="202"/>
      <c r="KE8" s="150"/>
      <c r="KF8" s="150"/>
      <c r="KG8" s="150"/>
      <c r="KH8" s="150"/>
      <c r="KI8" s="150"/>
      <c r="KJ8" s="192"/>
      <c r="KK8" s="192"/>
      <c r="KL8" s="150"/>
      <c r="KM8" s="150"/>
      <c r="KN8" s="150"/>
      <c r="KO8" s="150"/>
      <c r="KP8" s="228"/>
      <c r="KQ8" s="192"/>
      <c r="KR8" s="192"/>
      <c r="KS8" s="150"/>
      <c r="KT8" s="150"/>
      <c r="KU8" s="150"/>
      <c r="KV8" s="150"/>
      <c r="KW8" s="150"/>
      <c r="KX8" s="208"/>
      <c r="KY8" s="208"/>
      <c r="KZ8" s="192"/>
      <c r="LA8" s="192"/>
      <c r="LB8" s="192"/>
      <c r="LC8" s="192"/>
      <c r="LD8" s="192"/>
      <c r="LE8" s="208"/>
      <c r="LF8" s="208"/>
      <c r="LG8" s="228"/>
      <c r="LH8" s="228"/>
      <c r="LI8" s="228"/>
      <c r="LJ8" s="228"/>
      <c r="LK8" s="228"/>
      <c r="LL8" s="228"/>
      <c r="LM8" s="208"/>
      <c r="LN8" s="231"/>
      <c r="LO8" s="231"/>
      <c r="LP8" s="231"/>
      <c r="LQ8" s="231"/>
      <c r="LR8" s="231"/>
      <c r="LS8" s="208"/>
      <c r="LT8" s="208"/>
      <c r="LU8" s="231"/>
      <c r="LV8" s="150"/>
      <c r="LW8" s="150"/>
      <c r="LX8" s="150"/>
      <c r="LY8" s="150"/>
      <c r="LZ8" s="202"/>
      <c r="MA8" s="202"/>
      <c r="MB8" s="150"/>
      <c r="MC8" s="150"/>
      <c r="MD8" s="150"/>
      <c r="ME8" s="150"/>
      <c r="MF8" s="150"/>
      <c r="MG8" s="202"/>
      <c r="MH8" s="202"/>
      <c r="MI8" s="150"/>
      <c r="MJ8" s="150"/>
      <c r="MK8" s="150"/>
      <c r="ML8" s="150"/>
      <c r="MM8" s="150"/>
      <c r="MN8" s="202"/>
      <c r="MO8" s="202"/>
      <c r="MP8" s="150"/>
      <c r="MQ8" s="150"/>
      <c r="MR8" s="150"/>
      <c r="MS8" s="150"/>
      <c r="MT8" s="150"/>
      <c r="MU8" s="202"/>
      <c r="MV8" s="202"/>
      <c r="MW8" s="150"/>
      <c r="MX8" s="150"/>
      <c r="MY8" s="150"/>
      <c r="MZ8" s="150"/>
      <c r="NA8" s="150"/>
      <c r="NB8" s="150"/>
      <c r="NC8" s="150"/>
      <c r="ND8" s="150"/>
    </row>
    <row r="9" spans="1:368" s="140" customFormat="1" ht="15" customHeight="1">
      <c r="A9" s="472"/>
      <c r="B9" s="460" t="s">
        <v>8</v>
      </c>
      <c r="C9" s="163" t="s">
        <v>10</v>
      </c>
      <c r="D9" s="256"/>
      <c r="E9" s="137"/>
      <c r="F9" s="137"/>
      <c r="G9" s="137"/>
      <c r="H9" s="257"/>
      <c r="I9" s="192"/>
      <c r="J9" s="192"/>
      <c r="K9" s="256"/>
      <c r="L9" s="137"/>
      <c r="M9" s="137"/>
      <c r="N9" s="137"/>
      <c r="O9" s="257"/>
      <c r="P9" s="192"/>
      <c r="Q9" s="192"/>
      <c r="R9" s="256"/>
      <c r="S9" s="137"/>
      <c r="T9" s="137"/>
      <c r="U9" s="137"/>
      <c r="V9" s="257"/>
      <c r="W9" s="192"/>
      <c r="X9" s="192"/>
      <c r="Y9" s="256"/>
      <c r="Z9" s="137"/>
      <c r="AA9" s="137"/>
      <c r="AB9" s="137"/>
      <c r="AC9" s="257"/>
      <c r="AD9" s="192"/>
      <c r="AE9" s="192"/>
      <c r="AF9" s="256"/>
      <c r="AG9" s="137"/>
      <c r="AH9" s="137"/>
      <c r="AI9" s="137"/>
      <c r="AJ9" s="257"/>
      <c r="AK9" s="192"/>
      <c r="AL9" s="192"/>
      <c r="AM9" s="256"/>
      <c r="AN9" s="137"/>
      <c r="AO9" s="137"/>
      <c r="AP9" s="137"/>
      <c r="AQ9" s="257"/>
      <c r="AR9" s="192"/>
      <c r="AS9" s="192"/>
      <c r="AT9" s="256"/>
      <c r="AU9" s="137"/>
      <c r="AV9" s="137"/>
      <c r="AW9" s="137"/>
      <c r="AX9" s="257"/>
      <c r="AY9" s="192"/>
      <c r="AZ9" s="192"/>
      <c r="BA9" s="256"/>
      <c r="BB9" s="137"/>
      <c r="BC9" s="137"/>
      <c r="BD9" s="137"/>
      <c r="BE9" s="257"/>
      <c r="BF9" s="192"/>
      <c r="BG9" s="192"/>
      <c r="BH9" s="256"/>
      <c r="BI9" s="137"/>
      <c r="BJ9" s="137"/>
      <c r="BK9" s="137"/>
      <c r="BL9" s="257"/>
      <c r="BM9" s="192"/>
      <c r="BN9" s="192"/>
      <c r="BO9" s="256"/>
      <c r="BP9" s="137"/>
      <c r="BQ9" s="137"/>
      <c r="BR9" s="137"/>
      <c r="BS9" s="257"/>
      <c r="BT9" s="192"/>
      <c r="BU9" s="192"/>
      <c r="BV9" s="256"/>
      <c r="BW9" s="137"/>
      <c r="BX9" s="137"/>
      <c r="BY9" s="137"/>
      <c r="BZ9" s="257"/>
      <c r="CA9" s="192"/>
      <c r="CB9" s="192"/>
      <c r="CC9" s="256"/>
      <c r="CD9" s="137"/>
      <c r="CE9" s="137"/>
      <c r="CF9" s="137"/>
      <c r="CG9" s="257"/>
      <c r="CH9" s="192"/>
      <c r="CI9" s="192"/>
      <c r="CJ9" s="256"/>
      <c r="CK9" s="137"/>
      <c r="CL9" s="137"/>
      <c r="CM9" s="137"/>
      <c r="CN9" s="257"/>
      <c r="CO9" s="192"/>
      <c r="CP9" s="192"/>
      <c r="CQ9" s="256"/>
      <c r="CR9" s="137"/>
      <c r="CS9" s="137"/>
      <c r="CT9" s="137"/>
      <c r="CU9" s="257"/>
      <c r="CV9" s="192"/>
      <c r="CW9" s="192"/>
      <c r="CX9" s="256"/>
      <c r="CY9" s="137"/>
      <c r="CZ9" s="137"/>
      <c r="DA9" s="137"/>
      <c r="DB9" s="257"/>
      <c r="DC9" s="192"/>
      <c r="DD9" s="192"/>
      <c r="DE9" s="256"/>
      <c r="DF9" s="137"/>
      <c r="DG9" s="137"/>
      <c r="DH9" s="137"/>
      <c r="DI9" s="257"/>
      <c r="DJ9" s="192"/>
      <c r="DK9" s="192"/>
      <c r="DL9" s="256"/>
      <c r="DM9" s="137"/>
      <c r="DN9" s="137"/>
      <c r="DO9" s="137"/>
      <c r="DP9" s="257"/>
      <c r="DQ9" s="192"/>
      <c r="DR9" s="192"/>
      <c r="DS9" s="256"/>
      <c r="DT9" s="137"/>
      <c r="DU9" s="137"/>
      <c r="DV9" s="137"/>
      <c r="DW9" s="257"/>
      <c r="DX9" s="192"/>
      <c r="DY9" s="192"/>
      <c r="DZ9" s="256"/>
      <c r="EA9" s="137"/>
      <c r="EB9" s="137"/>
      <c r="EC9" s="137"/>
      <c r="ED9" s="257"/>
      <c r="EE9" s="192"/>
      <c r="EF9" s="192"/>
      <c r="EG9" s="256"/>
      <c r="EH9" s="137"/>
      <c r="EI9" s="137"/>
      <c r="EJ9" s="137"/>
      <c r="EK9" s="257"/>
      <c r="EL9" s="192"/>
      <c r="EM9" s="192"/>
      <c r="EN9" s="256"/>
      <c r="EO9" s="137"/>
      <c r="EP9" s="137"/>
      <c r="EQ9" s="137"/>
      <c r="ER9" s="257"/>
      <c r="ES9" s="192"/>
      <c r="ET9" s="192"/>
      <c r="EU9" s="256"/>
      <c r="EV9" s="137"/>
      <c r="EW9" s="137"/>
      <c r="EX9" s="137"/>
      <c r="EY9" s="257"/>
      <c r="EZ9" s="192"/>
      <c r="FA9" s="192"/>
      <c r="FB9" s="256"/>
      <c r="FC9" s="137"/>
      <c r="FD9" s="137"/>
      <c r="FE9" s="137"/>
      <c r="FF9" s="257"/>
      <c r="FG9" s="192"/>
      <c r="FH9" s="192"/>
      <c r="FI9" s="256"/>
      <c r="FJ9" s="137"/>
      <c r="FK9" s="137"/>
      <c r="FL9" s="137"/>
      <c r="FM9" s="257"/>
      <c r="FN9" s="192"/>
      <c r="FO9" s="192"/>
      <c r="FP9" s="256"/>
      <c r="FQ9" s="137"/>
      <c r="FR9" s="137"/>
      <c r="FS9" s="137"/>
      <c r="FT9" s="257"/>
      <c r="FU9" s="192"/>
      <c r="FV9" s="192"/>
      <c r="FW9" s="256"/>
      <c r="FX9" s="137"/>
      <c r="FY9" s="137"/>
      <c r="FZ9" s="137"/>
      <c r="GA9" s="257"/>
      <c r="GB9" s="192"/>
      <c r="GC9" s="192"/>
      <c r="GD9" s="139"/>
      <c r="GE9" s="139"/>
      <c r="GF9" s="139"/>
      <c r="GG9" s="139"/>
      <c r="GH9" s="139"/>
      <c r="GI9" s="192"/>
      <c r="GJ9" s="192"/>
      <c r="GK9" s="139"/>
      <c r="GL9" s="139"/>
      <c r="GM9" s="139"/>
      <c r="GN9" s="139"/>
      <c r="GO9" s="139"/>
      <c r="GP9" s="208"/>
      <c r="GQ9" s="208"/>
      <c r="GR9" s="139"/>
      <c r="GS9" s="139"/>
      <c r="GT9" s="139"/>
      <c r="GU9" s="139"/>
      <c r="GV9" s="139"/>
      <c r="GW9" s="208"/>
      <c r="GX9" s="208"/>
      <c r="GY9" s="139"/>
      <c r="GZ9" s="139"/>
      <c r="HA9" s="139"/>
      <c r="HB9" s="139"/>
      <c r="HC9" s="139"/>
      <c r="HD9" s="208"/>
      <c r="HE9" s="208"/>
      <c r="HF9" s="139"/>
      <c r="HG9" s="139"/>
      <c r="HH9" s="139"/>
      <c r="HI9" s="139"/>
      <c r="HJ9" s="139"/>
      <c r="HK9" s="208"/>
      <c r="HL9" s="208"/>
      <c r="HM9" s="139"/>
      <c r="HN9" s="139"/>
      <c r="HO9" s="139"/>
      <c r="HP9" s="139"/>
      <c r="HQ9" s="139"/>
      <c r="HR9" s="139"/>
      <c r="HS9" s="139"/>
      <c r="HT9" s="206"/>
      <c r="HU9" s="206"/>
      <c r="HV9" s="206"/>
      <c r="HW9" s="206"/>
      <c r="HX9" s="206"/>
      <c r="HY9" s="202"/>
      <c r="HZ9" s="202"/>
      <c r="IA9" s="139"/>
      <c r="IB9" s="206"/>
      <c r="IC9" s="206"/>
      <c r="ID9" s="206"/>
      <c r="IE9" s="206"/>
      <c r="IF9" s="202"/>
      <c r="IG9" s="202"/>
      <c r="IH9" s="139"/>
      <c r="II9" s="139"/>
      <c r="IJ9" s="139"/>
      <c r="IK9" s="139"/>
      <c r="IL9" s="206"/>
      <c r="IM9" s="202"/>
      <c r="IN9" s="202"/>
      <c r="IO9" s="139"/>
      <c r="IP9" s="139"/>
      <c r="IQ9" s="228"/>
      <c r="IR9" s="228"/>
      <c r="IS9" s="228"/>
      <c r="IT9" s="202"/>
      <c r="IU9" s="202"/>
      <c r="IV9" s="139"/>
      <c r="IW9" s="139"/>
      <c r="IX9" s="139"/>
      <c r="IY9" s="139"/>
      <c r="IZ9" s="139"/>
      <c r="JA9" s="202"/>
      <c r="JB9" s="202"/>
      <c r="JC9" s="228"/>
      <c r="JD9" s="228"/>
      <c r="JE9" s="139"/>
      <c r="JF9" s="139"/>
      <c r="JG9" s="139"/>
      <c r="JH9" s="202"/>
      <c r="JI9" s="202"/>
      <c r="JJ9" s="139"/>
      <c r="JK9" s="139"/>
      <c r="JL9" s="139"/>
      <c r="JM9" s="139"/>
      <c r="JN9" s="139"/>
      <c r="JO9" s="202"/>
      <c r="JP9" s="202"/>
      <c r="JQ9" s="139"/>
      <c r="JR9" s="139"/>
      <c r="JS9" s="139"/>
      <c r="JT9" s="139"/>
      <c r="JU9" s="139"/>
      <c r="JV9" s="202"/>
      <c r="JW9" s="202"/>
      <c r="JX9" s="139"/>
      <c r="JY9" s="139"/>
      <c r="JZ9" s="139"/>
      <c r="KA9" s="139"/>
      <c r="KB9" s="139"/>
      <c r="KC9" s="202"/>
      <c r="KD9" s="202"/>
      <c r="KE9" s="139"/>
      <c r="KF9" s="139"/>
      <c r="KG9" s="139"/>
      <c r="KH9" s="139"/>
      <c r="KI9" s="139"/>
      <c r="KJ9" s="192"/>
      <c r="KK9" s="192"/>
      <c r="KL9" s="139"/>
      <c r="KM9" s="139"/>
      <c r="KN9" s="139"/>
      <c r="KO9" s="139"/>
      <c r="KP9" s="228"/>
      <c r="KQ9" s="192"/>
      <c r="KR9" s="192"/>
      <c r="KS9" s="139"/>
      <c r="KT9" s="139"/>
      <c r="KU9" s="139"/>
      <c r="KV9" s="139"/>
      <c r="KW9" s="139"/>
      <c r="KX9" s="208"/>
      <c r="KY9" s="208"/>
      <c r="KZ9" s="192"/>
      <c r="LA9" s="192"/>
      <c r="LB9" s="192"/>
      <c r="LC9" s="192"/>
      <c r="LD9" s="192"/>
      <c r="LE9" s="208"/>
      <c r="LF9" s="208"/>
      <c r="LG9" s="228"/>
      <c r="LH9" s="228"/>
      <c r="LI9" s="228"/>
      <c r="LJ9" s="228"/>
      <c r="LK9" s="228"/>
      <c r="LL9" s="228"/>
      <c r="LM9" s="208"/>
      <c r="LN9" s="228"/>
      <c r="LO9" s="228"/>
      <c r="LP9" s="228"/>
      <c r="LQ9" s="228"/>
      <c r="LR9" s="228"/>
      <c r="LS9" s="208"/>
      <c r="LT9" s="208"/>
      <c r="LU9" s="228"/>
      <c r="LV9" s="139"/>
      <c r="LW9" s="139"/>
      <c r="LX9" s="139"/>
      <c r="LY9" s="139"/>
      <c r="LZ9" s="202"/>
      <c r="MA9" s="202"/>
      <c r="MB9" s="139"/>
      <c r="MC9" s="139"/>
      <c r="MD9" s="139"/>
      <c r="ME9" s="139"/>
      <c r="MF9" s="139"/>
      <c r="MG9" s="202"/>
      <c r="MH9" s="202"/>
      <c r="MI9" s="139"/>
      <c r="MJ9" s="139"/>
      <c r="MK9" s="139"/>
      <c r="ML9" s="139"/>
      <c r="MM9" s="139"/>
      <c r="MN9" s="202"/>
      <c r="MO9" s="202"/>
      <c r="MP9" s="139"/>
      <c r="MQ9" s="139"/>
      <c r="MR9" s="139"/>
      <c r="MS9" s="139"/>
      <c r="MT9" s="139"/>
      <c r="MU9" s="202"/>
      <c r="MV9" s="202"/>
      <c r="MW9" s="139"/>
      <c r="MX9" s="139"/>
      <c r="MY9" s="139"/>
      <c r="MZ9" s="139"/>
      <c r="NA9" s="139"/>
      <c r="NB9" s="139"/>
      <c r="NC9" s="139"/>
      <c r="ND9" s="139"/>
    </row>
    <row r="10" spans="1:368" s="140" customFormat="1" ht="15" customHeight="1">
      <c r="A10" s="472"/>
      <c r="B10" s="461"/>
      <c r="C10" s="164" t="s">
        <v>11</v>
      </c>
      <c r="D10" s="258"/>
      <c r="E10" s="139"/>
      <c r="F10" s="139"/>
      <c r="G10" s="139"/>
      <c r="H10" s="259"/>
      <c r="I10" s="192"/>
      <c r="J10" s="192"/>
      <c r="K10" s="258"/>
      <c r="L10" s="139"/>
      <c r="M10" s="139"/>
      <c r="N10" s="139"/>
      <c r="O10" s="259"/>
      <c r="P10" s="192"/>
      <c r="Q10" s="192"/>
      <c r="R10" s="258"/>
      <c r="S10" s="139"/>
      <c r="T10" s="139"/>
      <c r="U10" s="139"/>
      <c r="V10" s="259"/>
      <c r="W10" s="192"/>
      <c r="X10" s="192"/>
      <c r="Y10" s="258"/>
      <c r="Z10" s="139"/>
      <c r="AA10" s="139"/>
      <c r="AB10" s="139"/>
      <c r="AC10" s="259"/>
      <c r="AD10" s="192"/>
      <c r="AE10" s="192"/>
      <c r="AF10" s="258"/>
      <c r="AG10" s="139"/>
      <c r="AH10" s="139"/>
      <c r="AI10" s="139"/>
      <c r="AJ10" s="259"/>
      <c r="AK10" s="192"/>
      <c r="AL10" s="192"/>
      <c r="AM10" s="258"/>
      <c r="AN10" s="139"/>
      <c r="AO10" s="139"/>
      <c r="AP10" s="139"/>
      <c r="AQ10" s="259"/>
      <c r="AR10" s="192"/>
      <c r="AS10" s="192"/>
      <c r="AT10" s="258"/>
      <c r="AU10" s="139"/>
      <c r="AV10" s="139"/>
      <c r="AW10" s="139"/>
      <c r="AX10" s="259"/>
      <c r="AY10" s="192"/>
      <c r="AZ10" s="192"/>
      <c r="BA10" s="258"/>
      <c r="BB10" s="139"/>
      <c r="BC10" s="139"/>
      <c r="BD10" s="139"/>
      <c r="BE10" s="259"/>
      <c r="BF10" s="192"/>
      <c r="BG10" s="192"/>
      <c r="BH10" s="258"/>
      <c r="BI10" s="139"/>
      <c r="BJ10" s="139"/>
      <c r="BK10" s="139"/>
      <c r="BL10" s="259"/>
      <c r="BM10" s="192"/>
      <c r="BN10" s="192"/>
      <c r="BO10" s="258"/>
      <c r="BP10" s="139"/>
      <c r="BQ10" s="139"/>
      <c r="BR10" s="139"/>
      <c r="BS10" s="259"/>
      <c r="BT10" s="192"/>
      <c r="BU10" s="192"/>
      <c r="BV10" s="258"/>
      <c r="BW10" s="139"/>
      <c r="BX10" s="139"/>
      <c r="BY10" s="139"/>
      <c r="BZ10" s="259"/>
      <c r="CA10" s="192"/>
      <c r="CB10" s="192"/>
      <c r="CC10" s="258"/>
      <c r="CD10" s="139"/>
      <c r="CE10" s="139"/>
      <c r="CF10" s="139"/>
      <c r="CG10" s="259"/>
      <c r="CH10" s="192"/>
      <c r="CI10" s="192"/>
      <c r="CJ10" s="258"/>
      <c r="CK10" s="139"/>
      <c r="CL10" s="139"/>
      <c r="CM10" s="139"/>
      <c r="CN10" s="259"/>
      <c r="CO10" s="192"/>
      <c r="CP10" s="192"/>
      <c r="CQ10" s="258"/>
      <c r="CR10" s="139"/>
      <c r="CS10" s="139"/>
      <c r="CT10" s="139"/>
      <c r="CU10" s="259"/>
      <c r="CV10" s="192"/>
      <c r="CW10" s="192"/>
      <c r="CX10" s="258"/>
      <c r="CY10" s="139"/>
      <c r="CZ10" s="139"/>
      <c r="DA10" s="139"/>
      <c r="DB10" s="259"/>
      <c r="DC10" s="192"/>
      <c r="DD10" s="192"/>
      <c r="DE10" s="258"/>
      <c r="DF10" s="139"/>
      <c r="DG10" s="139"/>
      <c r="DH10" s="139"/>
      <c r="DI10" s="259"/>
      <c r="DJ10" s="192"/>
      <c r="DK10" s="192"/>
      <c r="DL10" s="258"/>
      <c r="DM10" s="139"/>
      <c r="DN10" s="139"/>
      <c r="DO10" s="139"/>
      <c r="DP10" s="259"/>
      <c r="DQ10" s="192"/>
      <c r="DR10" s="192"/>
      <c r="DS10" s="258"/>
      <c r="DT10" s="139"/>
      <c r="DU10" s="139"/>
      <c r="DV10" s="139"/>
      <c r="DW10" s="259"/>
      <c r="DX10" s="192"/>
      <c r="DY10" s="192"/>
      <c r="DZ10" s="258"/>
      <c r="EA10" s="139"/>
      <c r="EB10" s="139"/>
      <c r="EC10" s="139"/>
      <c r="ED10" s="259"/>
      <c r="EE10" s="192"/>
      <c r="EF10" s="192"/>
      <c r="EG10" s="258"/>
      <c r="EH10" s="139"/>
      <c r="EI10" s="139"/>
      <c r="EJ10" s="139"/>
      <c r="EK10" s="259"/>
      <c r="EL10" s="192"/>
      <c r="EM10" s="192"/>
      <c r="EN10" s="258"/>
      <c r="EO10" s="139"/>
      <c r="EP10" s="139"/>
      <c r="EQ10" s="139"/>
      <c r="ER10" s="259"/>
      <c r="ES10" s="192"/>
      <c r="ET10" s="192"/>
      <c r="EU10" s="258"/>
      <c r="EV10" s="139"/>
      <c r="EW10" s="139"/>
      <c r="EX10" s="139"/>
      <c r="EY10" s="259"/>
      <c r="EZ10" s="192"/>
      <c r="FA10" s="192"/>
      <c r="FB10" s="258"/>
      <c r="FC10" s="139"/>
      <c r="FD10" s="139"/>
      <c r="FE10" s="139"/>
      <c r="FF10" s="259"/>
      <c r="FG10" s="192"/>
      <c r="FH10" s="192"/>
      <c r="FI10" s="258"/>
      <c r="FJ10" s="139"/>
      <c r="FK10" s="139"/>
      <c r="FL10" s="139"/>
      <c r="FM10" s="259"/>
      <c r="FN10" s="192"/>
      <c r="FO10" s="192"/>
      <c r="FP10" s="258"/>
      <c r="FQ10" s="139"/>
      <c r="FR10" s="139"/>
      <c r="FS10" s="139"/>
      <c r="FT10" s="259"/>
      <c r="FU10" s="192"/>
      <c r="FV10" s="192"/>
      <c r="FW10" s="258"/>
      <c r="FX10" s="139"/>
      <c r="FY10" s="139"/>
      <c r="FZ10" s="139"/>
      <c r="GA10" s="259"/>
      <c r="GB10" s="192"/>
      <c r="GC10" s="192"/>
      <c r="GD10" s="139"/>
      <c r="GE10" s="139"/>
      <c r="GF10" s="139"/>
      <c r="GG10" s="139"/>
      <c r="GH10" s="139"/>
      <c r="GI10" s="192"/>
      <c r="GJ10" s="192"/>
      <c r="GK10" s="139"/>
      <c r="GL10" s="139"/>
      <c r="GM10" s="139"/>
      <c r="GN10" s="139"/>
      <c r="GO10" s="139"/>
      <c r="GP10" s="208"/>
      <c r="GQ10" s="208"/>
      <c r="GR10" s="139"/>
      <c r="GS10" s="139"/>
      <c r="GT10" s="139"/>
      <c r="GU10" s="139"/>
      <c r="GV10" s="139"/>
      <c r="GW10" s="208"/>
      <c r="GX10" s="208"/>
      <c r="GY10" s="139"/>
      <c r="GZ10" s="139"/>
      <c r="HA10" s="139"/>
      <c r="HB10" s="139"/>
      <c r="HC10" s="139"/>
      <c r="HD10" s="208"/>
      <c r="HE10" s="208"/>
      <c r="HF10" s="139"/>
      <c r="HG10" s="139"/>
      <c r="HH10" s="139"/>
      <c r="HI10" s="139"/>
      <c r="HJ10" s="139"/>
      <c r="HK10" s="208"/>
      <c r="HL10" s="208"/>
      <c r="HM10" s="139"/>
      <c r="HN10" s="139"/>
      <c r="HO10" s="139"/>
      <c r="HP10" s="139"/>
      <c r="HQ10" s="139"/>
      <c r="HR10" s="139"/>
      <c r="HS10" s="139"/>
      <c r="HT10" s="206"/>
      <c r="HU10" s="206"/>
      <c r="HV10" s="206"/>
      <c r="HW10" s="206"/>
      <c r="HX10" s="206"/>
      <c r="HY10" s="202"/>
      <c r="HZ10" s="202"/>
      <c r="IA10" s="139"/>
      <c r="IB10" s="206"/>
      <c r="IC10" s="206"/>
      <c r="ID10" s="206"/>
      <c r="IE10" s="206"/>
      <c r="IF10" s="202"/>
      <c r="IG10" s="202"/>
      <c r="IH10" s="139"/>
      <c r="II10" s="139"/>
      <c r="IJ10" s="139"/>
      <c r="IK10" s="139"/>
      <c r="IL10" s="139"/>
      <c r="IM10" s="202"/>
      <c r="IN10" s="202"/>
      <c r="IO10" s="139"/>
      <c r="IP10" s="139"/>
      <c r="IQ10" s="228"/>
      <c r="IR10" s="228"/>
      <c r="IS10" s="228"/>
      <c r="IT10" s="202"/>
      <c r="IU10" s="202"/>
      <c r="IV10" s="139"/>
      <c r="IW10" s="139"/>
      <c r="IX10" s="139"/>
      <c r="IY10" s="139"/>
      <c r="IZ10" s="139"/>
      <c r="JA10" s="202"/>
      <c r="JB10" s="202"/>
      <c r="JC10" s="228"/>
      <c r="JD10" s="228"/>
      <c r="JE10" s="139"/>
      <c r="JF10" s="139"/>
      <c r="JG10" s="139"/>
      <c r="JH10" s="202"/>
      <c r="JI10" s="202"/>
      <c r="JJ10" s="139"/>
      <c r="JK10" s="139"/>
      <c r="JL10" s="139"/>
      <c r="JM10" s="139"/>
      <c r="JN10" s="139"/>
      <c r="JO10" s="202"/>
      <c r="JP10" s="202"/>
      <c r="JQ10" s="139"/>
      <c r="JR10" s="139"/>
      <c r="JS10" s="139"/>
      <c r="JT10" s="139"/>
      <c r="JU10" s="139"/>
      <c r="JV10" s="202"/>
      <c r="JW10" s="202"/>
      <c r="JX10" s="139"/>
      <c r="JY10" s="139"/>
      <c r="JZ10" s="139"/>
      <c r="KA10" s="139"/>
      <c r="KB10" s="139"/>
      <c r="KC10" s="202"/>
      <c r="KD10" s="202"/>
      <c r="KE10" s="139"/>
      <c r="KF10" s="139"/>
      <c r="KG10" s="139"/>
      <c r="KH10" s="139"/>
      <c r="KI10" s="139"/>
      <c r="KJ10" s="192"/>
      <c r="KK10" s="192"/>
      <c r="KL10" s="139"/>
      <c r="KM10" s="139"/>
      <c r="KN10" s="139"/>
      <c r="KO10" s="139"/>
      <c r="KP10" s="228"/>
      <c r="KQ10" s="192"/>
      <c r="KR10" s="192"/>
      <c r="KS10" s="139"/>
      <c r="KT10" s="139"/>
      <c r="KU10" s="139"/>
      <c r="KV10" s="139"/>
      <c r="KW10" s="139"/>
      <c r="KX10" s="208"/>
      <c r="KY10" s="208"/>
      <c r="KZ10" s="192"/>
      <c r="LA10" s="192"/>
      <c r="LB10" s="192"/>
      <c r="LC10" s="192"/>
      <c r="LD10" s="192"/>
      <c r="LE10" s="208"/>
      <c r="LF10" s="208"/>
      <c r="LG10" s="228"/>
      <c r="LH10" s="228"/>
      <c r="LI10" s="228"/>
      <c r="LJ10" s="228"/>
      <c r="LK10" s="228"/>
      <c r="LL10" s="228"/>
      <c r="LM10" s="208"/>
      <c r="LN10" s="228"/>
      <c r="LO10" s="228"/>
      <c r="LP10" s="228"/>
      <c r="LQ10" s="228"/>
      <c r="LR10" s="228"/>
      <c r="LS10" s="208"/>
      <c r="LT10" s="208"/>
      <c r="LU10" s="228"/>
      <c r="LV10" s="139"/>
      <c r="LW10" s="139"/>
      <c r="LX10" s="139"/>
      <c r="LY10" s="139"/>
      <c r="LZ10" s="202"/>
      <c r="MA10" s="202"/>
      <c r="MB10" s="139"/>
      <c r="MC10" s="139"/>
      <c r="MD10" s="139"/>
      <c r="ME10" s="139"/>
      <c r="MF10" s="139"/>
      <c r="MG10" s="202"/>
      <c r="MH10" s="202"/>
      <c r="MI10" s="139"/>
      <c r="MJ10" s="139"/>
      <c r="MK10" s="139"/>
      <c r="ML10" s="139"/>
      <c r="MM10" s="139"/>
      <c r="MN10" s="202"/>
      <c r="MO10" s="202"/>
      <c r="MP10" s="139"/>
      <c r="MQ10" s="139"/>
      <c r="MR10" s="139"/>
      <c r="MS10" s="139"/>
      <c r="MT10" s="139"/>
      <c r="MU10" s="202"/>
      <c r="MV10" s="202"/>
      <c r="MW10" s="139"/>
      <c r="MX10" s="139"/>
      <c r="MY10" s="139"/>
      <c r="MZ10" s="139"/>
      <c r="NA10" s="139"/>
      <c r="NB10" s="139"/>
      <c r="NC10" s="139"/>
      <c r="ND10" s="139"/>
    </row>
    <row r="11" spans="1:368" s="140" customFormat="1" ht="15" customHeight="1">
      <c r="A11" s="472"/>
      <c r="B11" s="461"/>
      <c r="C11" s="164" t="s">
        <v>12</v>
      </c>
      <c r="D11" s="258"/>
      <c r="E11" s="139"/>
      <c r="F11" s="139"/>
      <c r="G11" s="139"/>
      <c r="H11" s="259"/>
      <c r="I11" s="192"/>
      <c r="J11" s="192"/>
      <c r="K11" s="258"/>
      <c r="L11" s="139"/>
      <c r="M11" s="139"/>
      <c r="N11" s="139"/>
      <c r="O11" s="259"/>
      <c r="P11" s="192"/>
      <c r="Q11" s="192"/>
      <c r="R11" s="258"/>
      <c r="S11" s="139"/>
      <c r="T11" s="139"/>
      <c r="U11" s="139"/>
      <c r="V11" s="259"/>
      <c r="W11" s="192"/>
      <c r="X11" s="192"/>
      <c r="Y11" s="258"/>
      <c r="Z11" s="139"/>
      <c r="AA11" s="139"/>
      <c r="AB11" s="139"/>
      <c r="AC11" s="259"/>
      <c r="AD11" s="192"/>
      <c r="AE11" s="192"/>
      <c r="AF11" s="258"/>
      <c r="AG11" s="139"/>
      <c r="AH11" s="139"/>
      <c r="AI11" s="139"/>
      <c r="AJ11" s="259"/>
      <c r="AK11" s="192"/>
      <c r="AL11" s="192"/>
      <c r="AM11" s="258"/>
      <c r="AN11" s="139"/>
      <c r="AO11" s="139"/>
      <c r="AP11" s="139"/>
      <c r="AQ11" s="259"/>
      <c r="AR11" s="192"/>
      <c r="AS11" s="192"/>
      <c r="AT11" s="258"/>
      <c r="AU11" s="139"/>
      <c r="AV11" s="139"/>
      <c r="AW11" s="139"/>
      <c r="AX11" s="259"/>
      <c r="AY11" s="192"/>
      <c r="AZ11" s="192"/>
      <c r="BA11" s="258"/>
      <c r="BB11" s="139"/>
      <c r="BC11" s="139"/>
      <c r="BD11" s="139"/>
      <c r="BE11" s="259"/>
      <c r="BF11" s="192"/>
      <c r="BG11" s="192"/>
      <c r="BH11" s="258"/>
      <c r="BI11" s="139"/>
      <c r="BJ11" s="139"/>
      <c r="BK11" s="139"/>
      <c r="BL11" s="259"/>
      <c r="BM11" s="192"/>
      <c r="BN11" s="192"/>
      <c r="BO11" s="258"/>
      <c r="BP11" s="139"/>
      <c r="BQ11" s="139"/>
      <c r="BR11" s="139"/>
      <c r="BS11" s="259"/>
      <c r="BT11" s="192"/>
      <c r="BU11" s="192"/>
      <c r="BV11" s="258"/>
      <c r="BW11" s="139"/>
      <c r="BX11" s="139"/>
      <c r="BY11" s="139"/>
      <c r="BZ11" s="259"/>
      <c r="CA11" s="192"/>
      <c r="CB11" s="192"/>
      <c r="CC11" s="258"/>
      <c r="CD11" s="139"/>
      <c r="CE11" s="139"/>
      <c r="CF11" s="139"/>
      <c r="CG11" s="259"/>
      <c r="CH11" s="192"/>
      <c r="CI11" s="192"/>
      <c r="CJ11" s="258"/>
      <c r="CK11" s="139"/>
      <c r="CL11" s="139"/>
      <c r="CM11" s="139"/>
      <c r="CN11" s="259"/>
      <c r="CO11" s="192"/>
      <c r="CP11" s="192"/>
      <c r="CQ11" s="258"/>
      <c r="CR11" s="139"/>
      <c r="CS11" s="139"/>
      <c r="CT11" s="139"/>
      <c r="CU11" s="259"/>
      <c r="CV11" s="192"/>
      <c r="CW11" s="192"/>
      <c r="CX11" s="258"/>
      <c r="CY11" s="139"/>
      <c r="CZ11" s="139"/>
      <c r="DA11" s="139"/>
      <c r="DB11" s="259"/>
      <c r="DC11" s="192"/>
      <c r="DD11" s="192"/>
      <c r="DE11" s="258"/>
      <c r="DF11" s="139"/>
      <c r="DG11" s="139"/>
      <c r="DH11" s="139"/>
      <c r="DI11" s="259"/>
      <c r="DJ11" s="192"/>
      <c r="DK11" s="192"/>
      <c r="DL11" s="258"/>
      <c r="DM11" s="139"/>
      <c r="DN11" s="139"/>
      <c r="DO11" s="139"/>
      <c r="DP11" s="259"/>
      <c r="DQ11" s="192"/>
      <c r="DR11" s="192"/>
      <c r="DS11" s="258"/>
      <c r="DT11" s="139"/>
      <c r="DU11" s="139"/>
      <c r="DV11" s="139"/>
      <c r="DW11" s="259"/>
      <c r="DX11" s="192"/>
      <c r="DY11" s="192"/>
      <c r="DZ11" s="258"/>
      <c r="EA11" s="139"/>
      <c r="EB11" s="139"/>
      <c r="EC11" s="139"/>
      <c r="ED11" s="259"/>
      <c r="EE11" s="192"/>
      <c r="EF11" s="192"/>
      <c r="EG11" s="258"/>
      <c r="EH11" s="139"/>
      <c r="EI11" s="139"/>
      <c r="EJ11" s="139"/>
      <c r="EK11" s="259"/>
      <c r="EL11" s="192"/>
      <c r="EM11" s="192"/>
      <c r="EN11" s="258"/>
      <c r="EO11" s="139"/>
      <c r="EP11" s="139"/>
      <c r="EQ11" s="139"/>
      <c r="ER11" s="259"/>
      <c r="ES11" s="192"/>
      <c r="ET11" s="192"/>
      <c r="EU11" s="258"/>
      <c r="EV11" s="139"/>
      <c r="EW11" s="139"/>
      <c r="EX11" s="139"/>
      <c r="EY11" s="259"/>
      <c r="EZ11" s="192"/>
      <c r="FA11" s="192"/>
      <c r="FB11" s="258"/>
      <c r="FC11" s="139"/>
      <c r="FD11" s="139"/>
      <c r="FE11" s="139"/>
      <c r="FF11" s="259"/>
      <c r="FG11" s="192"/>
      <c r="FH11" s="192"/>
      <c r="FI11" s="258"/>
      <c r="FJ11" s="139"/>
      <c r="FK11" s="139"/>
      <c r="FL11" s="139"/>
      <c r="FM11" s="259"/>
      <c r="FN11" s="192"/>
      <c r="FO11" s="192"/>
      <c r="FP11" s="258"/>
      <c r="FQ11" s="139"/>
      <c r="FR11" s="139"/>
      <c r="FS11" s="139"/>
      <c r="FT11" s="259"/>
      <c r="FU11" s="192"/>
      <c r="FV11" s="192"/>
      <c r="FW11" s="258"/>
      <c r="FX11" s="139"/>
      <c r="FY11" s="139"/>
      <c r="FZ11" s="139"/>
      <c r="GA11" s="259"/>
      <c r="GB11" s="192"/>
      <c r="GC11" s="192"/>
      <c r="GD11" s="139"/>
      <c r="GE11" s="139"/>
      <c r="GF11" s="139"/>
      <c r="GG11" s="139"/>
      <c r="GH11" s="139"/>
      <c r="GI11" s="192"/>
      <c r="GJ11" s="192"/>
      <c r="GK11" s="139"/>
      <c r="GL11" s="139"/>
      <c r="GM11" s="139"/>
      <c r="GN11" s="139"/>
      <c r="GO11" s="139"/>
      <c r="GP11" s="208"/>
      <c r="GQ11" s="208"/>
      <c r="GR11" s="139"/>
      <c r="GS11" s="139"/>
      <c r="GT11" s="139"/>
      <c r="GU11" s="139"/>
      <c r="GV11" s="139"/>
      <c r="GW11" s="208"/>
      <c r="GX11" s="208"/>
      <c r="GY11" s="139"/>
      <c r="GZ11" s="139"/>
      <c r="HA11" s="139"/>
      <c r="HB11" s="139"/>
      <c r="HC11" s="139"/>
      <c r="HD11" s="208"/>
      <c r="HE11" s="208"/>
      <c r="HF11" s="139"/>
      <c r="HG11" s="139"/>
      <c r="HH11" s="139"/>
      <c r="HI11" s="139"/>
      <c r="HJ11" s="139"/>
      <c r="HK11" s="208"/>
      <c r="HL11" s="208"/>
      <c r="HM11" s="139"/>
      <c r="HN11" s="139"/>
      <c r="HO11" s="139"/>
      <c r="HP11" s="139"/>
      <c r="HQ11" s="139"/>
      <c r="HR11" s="139"/>
      <c r="HS11" s="139"/>
      <c r="HT11" s="206"/>
      <c r="HU11" s="206"/>
      <c r="HV11" s="206"/>
      <c r="HW11" s="206"/>
      <c r="HX11" s="206"/>
      <c r="HY11" s="202"/>
      <c r="HZ11" s="202"/>
      <c r="IA11" s="139"/>
      <c r="IB11" s="206"/>
      <c r="IC11" s="206"/>
      <c r="ID11" s="206"/>
      <c r="IE11" s="206"/>
      <c r="IF11" s="202"/>
      <c r="IG11" s="202"/>
      <c r="IH11" s="139"/>
      <c r="II11" s="139"/>
      <c r="IJ11" s="139"/>
      <c r="IK11" s="139"/>
      <c r="IL11" s="139"/>
      <c r="IM11" s="202"/>
      <c r="IN11" s="202"/>
      <c r="IO11" s="139"/>
      <c r="IP11" s="139"/>
      <c r="IQ11" s="228"/>
      <c r="IR11" s="228"/>
      <c r="IS11" s="228"/>
      <c r="IT11" s="202"/>
      <c r="IU11" s="202"/>
      <c r="IV11" s="139"/>
      <c r="IW11" s="139"/>
      <c r="IX11" s="139"/>
      <c r="IY11" s="139"/>
      <c r="IZ11" s="139"/>
      <c r="JA11" s="202"/>
      <c r="JB11" s="202"/>
      <c r="JC11" s="228"/>
      <c r="JD11" s="228"/>
      <c r="JE11" s="139"/>
      <c r="JF11" s="139"/>
      <c r="JG11" s="139"/>
      <c r="JH11" s="202"/>
      <c r="JI11" s="202"/>
      <c r="JJ11" s="139"/>
      <c r="JK11" s="139"/>
      <c r="JL11" s="139"/>
      <c r="JM11" s="139"/>
      <c r="JN11" s="139"/>
      <c r="JO11" s="202"/>
      <c r="JP11" s="202"/>
      <c r="JQ11" s="139"/>
      <c r="JR11" s="139"/>
      <c r="JS11" s="139"/>
      <c r="JT11" s="139"/>
      <c r="JU11" s="139"/>
      <c r="JV11" s="202"/>
      <c r="JW11" s="202"/>
      <c r="JX11" s="139"/>
      <c r="JY11" s="139"/>
      <c r="JZ11" s="139"/>
      <c r="KA11" s="139"/>
      <c r="KB11" s="139"/>
      <c r="KC11" s="202"/>
      <c r="KD11" s="202"/>
      <c r="KE11" s="139"/>
      <c r="KF11" s="139"/>
      <c r="KG11" s="139"/>
      <c r="KH11" s="139"/>
      <c r="KI11" s="139"/>
      <c r="KJ11" s="192"/>
      <c r="KK11" s="192"/>
      <c r="KL11" s="139"/>
      <c r="KM11" s="139"/>
      <c r="KN11" s="139"/>
      <c r="KO11" s="139"/>
      <c r="KP11" s="228"/>
      <c r="KQ11" s="192"/>
      <c r="KR11" s="192"/>
      <c r="KS11" s="139"/>
      <c r="KT11" s="139"/>
      <c r="KU11" s="139"/>
      <c r="KV11" s="139"/>
      <c r="KW11" s="139"/>
      <c r="KX11" s="208"/>
      <c r="KY11" s="208"/>
      <c r="KZ11" s="192"/>
      <c r="LA11" s="192"/>
      <c r="LB11" s="192"/>
      <c r="LC11" s="192"/>
      <c r="LD11" s="192"/>
      <c r="LE11" s="208"/>
      <c r="LF11" s="208"/>
      <c r="LG11" s="228"/>
      <c r="LH11" s="228"/>
      <c r="LI11" s="228"/>
      <c r="LJ11" s="228"/>
      <c r="LK11" s="228"/>
      <c r="LL11" s="228"/>
      <c r="LM11" s="208"/>
      <c r="LN11" s="228"/>
      <c r="LO11" s="228"/>
      <c r="LP11" s="228"/>
      <c r="LQ11" s="228"/>
      <c r="LR11" s="228"/>
      <c r="LS11" s="208"/>
      <c r="LT11" s="208"/>
      <c r="LU11" s="228"/>
      <c r="LV11" s="139"/>
      <c r="LW11" s="139"/>
      <c r="LX11" s="139"/>
      <c r="LY11" s="139"/>
      <c r="LZ11" s="202"/>
      <c r="MA11" s="202"/>
      <c r="MB11" s="139"/>
      <c r="MC11" s="139"/>
      <c r="MD11" s="139"/>
      <c r="ME11" s="139"/>
      <c r="MF11" s="139"/>
      <c r="MG11" s="202"/>
      <c r="MH11" s="202"/>
      <c r="MI11" s="139"/>
      <c r="MJ11" s="139"/>
      <c r="MK11" s="139"/>
      <c r="ML11" s="139"/>
      <c r="MM11" s="139"/>
      <c r="MN11" s="202"/>
      <c r="MO11" s="202"/>
      <c r="MP11" s="139"/>
      <c r="MQ11" s="139"/>
      <c r="MR11" s="139"/>
      <c r="MS11" s="139"/>
      <c r="MT11" s="139"/>
      <c r="MU11" s="202"/>
      <c r="MV11" s="202"/>
      <c r="MW11" s="139"/>
      <c r="MX11" s="139"/>
      <c r="MY11" s="139"/>
      <c r="MZ11" s="139"/>
      <c r="NA11" s="139"/>
      <c r="NB11" s="139"/>
      <c r="NC11" s="139"/>
      <c r="ND11" s="139"/>
    </row>
    <row r="12" spans="1:368" s="140" customFormat="1" ht="15" customHeight="1">
      <c r="A12" s="472"/>
      <c r="B12" s="461"/>
      <c r="C12" s="220" t="s">
        <v>13</v>
      </c>
      <c r="D12" s="258"/>
      <c r="E12" s="139"/>
      <c r="F12" s="139"/>
      <c r="G12" s="139"/>
      <c r="H12" s="259"/>
      <c r="I12" s="192"/>
      <c r="J12" s="192"/>
      <c r="K12" s="258"/>
      <c r="L12" s="139"/>
      <c r="M12" s="139"/>
      <c r="N12" s="139"/>
      <c r="O12" s="259"/>
      <c r="P12" s="192"/>
      <c r="Q12" s="192"/>
      <c r="R12" s="258"/>
      <c r="S12" s="139"/>
      <c r="T12" s="139"/>
      <c r="U12" s="139"/>
      <c r="V12" s="259"/>
      <c r="W12" s="192"/>
      <c r="X12" s="192"/>
      <c r="Y12" s="258"/>
      <c r="Z12" s="139"/>
      <c r="AA12" s="139"/>
      <c r="AB12" s="139"/>
      <c r="AC12" s="259"/>
      <c r="AD12" s="192"/>
      <c r="AE12" s="192"/>
      <c r="AF12" s="258"/>
      <c r="AG12" s="139"/>
      <c r="AH12" s="139"/>
      <c r="AI12" s="139"/>
      <c r="AJ12" s="259"/>
      <c r="AK12" s="192"/>
      <c r="AL12" s="192"/>
      <c r="AM12" s="258"/>
      <c r="AN12" s="139"/>
      <c r="AO12" s="139"/>
      <c r="AP12" s="139"/>
      <c r="AQ12" s="259"/>
      <c r="AR12" s="192"/>
      <c r="AS12" s="192"/>
      <c r="AT12" s="258"/>
      <c r="AU12" s="139"/>
      <c r="AV12" s="139"/>
      <c r="AW12" s="139"/>
      <c r="AX12" s="259"/>
      <c r="AY12" s="192"/>
      <c r="AZ12" s="192"/>
      <c r="BA12" s="258"/>
      <c r="BB12" s="139"/>
      <c r="BC12" s="139"/>
      <c r="BD12" s="139"/>
      <c r="BE12" s="259"/>
      <c r="BF12" s="192"/>
      <c r="BG12" s="192"/>
      <c r="BH12" s="258"/>
      <c r="BI12" s="139"/>
      <c r="BJ12" s="139"/>
      <c r="BK12" s="139"/>
      <c r="BL12" s="259"/>
      <c r="BM12" s="192"/>
      <c r="BN12" s="192"/>
      <c r="BO12" s="258"/>
      <c r="BP12" s="139"/>
      <c r="BQ12" s="139"/>
      <c r="BR12" s="139"/>
      <c r="BS12" s="259"/>
      <c r="BT12" s="192"/>
      <c r="BU12" s="192"/>
      <c r="BV12" s="258"/>
      <c r="BW12" s="139"/>
      <c r="BX12" s="139"/>
      <c r="BY12" s="139"/>
      <c r="BZ12" s="259"/>
      <c r="CA12" s="192"/>
      <c r="CB12" s="192"/>
      <c r="CC12" s="258"/>
      <c r="CD12" s="139"/>
      <c r="CE12" s="139"/>
      <c r="CF12" s="139"/>
      <c r="CG12" s="259"/>
      <c r="CH12" s="192"/>
      <c r="CI12" s="192"/>
      <c r="CJ12" s="258"/>
      <c r="CK12" s="139"/>
      <c r="CL12" s="139"/>
      <c r="CM12" s="139"/>
      <c r="CN12" s="259"/>
      <c r="CO12" s="192"/>
      <c r="CP12" s="192"/>
      <c r="CQ12" s="258"/>
      <c r="CR12" s="139"/>
      <c r="CS12" s="139"/>
      <c r="CT12" s="139"/>
      <c r="CU12" s="259"/>
      <c r="CV12" s="192"/>
      <c r="CW12" s="192"/>
      <c r="CX12" s="258"/>
      <c r="CY12" s="139"/>
      <c r="CZ12" s="139"/>
      <c r="DA12" s="139"/>
      <c r="DB12" s="259"/>
      <c r="DC12" s="192"/>
      <c r="DD12" s="192"/>
      <c r="DE12" s="258"/>
      <c r="DF12" s="139"/>
      <c r="DG12" s="139"/>
      <c r="DH12" s="139"/>
      <c r="DI12" s="259"/>
      <c r="DJ12" s="192"/>
      <c r="DK12" s="192"/>
      <c r="DL12" s="258"/>
      <c r="DM12" s="139"/>
      <c r="DN12" s="139"/>
      <c r="DO12" s="139"/>
      <c r="DP12" s="259"/>
      <c r="DQ12" s="192"/>
      <c r="DR12" s="192"/>
      <c r="DS12" s="258"/>
      <c r="DT12" s="139"/>
      <c r="DU12" s="139"/>
      <c r="DV12" s="139"/>
      <c r="DW12" s="259"/>
      <c r="DX12" s="192"/>
      <c r="DY12" s="192"/>
      <c r="DZ12" s="258"/>
      <c r="EA12" s="139"/>
      <c r="EB12" s="139"/>
      <c r="EC12" s="139"/>
      <c r="ED12" s="259"/>
      <c r="EE12" s="192"/>
      <c r="EF12" s="192"/>
      <c r="EG12" s="258"/>
      <c r="EH12" s="139"/>
      <c r="EI12" s="139"/>
      <c r="EJ12" s="139"/>
      <c r="EK12" s="259"/>
      <c r="EL12" s="192"/>
      <c r="EM12" s="192"/>
      <c r="EN12" s="258"/>
      <c r="EO12" s="139"/>
      <c r="EP12" s="139"/>
      <c r="EQ12" s="139"/>
      <c r="ER12" s="259"/>
      <c r="ES12" s="192"/>
      <c r="ET12" s="192"/>
      <c r="EU12" s="258"/>
      <c r="EV12" s="139"/>
      <c r="EW12" s="139"/>
      <c r="EX12" s="139"/>
      <c r="EY12" s="259"/>
      <c r="EZ12" s="192"/>
      <c r="FA12" s="192"/>
      <c r="FB12" s="258"/>
      <c r="FC12" s="139"/>
      <c r="FD12" s="139"/>
      <c r="FE12" s="139"/>
      <c r="FF12" s="259"/>
      <c r="FG12" s="192"/>
      <c r="FH12" s="192"/>
      <c r="FI12" s="258"/>
      <c r="FJ12" s="139"/>
      <c r="FK12" s="139"/>
      <c r="FL12" s="139"/>
      <c r="FM12" s="259"/>
      <c r="FN12" s="192"/>
      <c r="FO12" s="192"/>
      <c r="FP12" s="258"/>
      <c r="FQ12" s="139"/>
      <c r="FR12" s="139"/>
      <c r="FS12" s="139"/>
      <c r="FT12" s="259"/>
      <c r="FU12" s="192"/>
      <c r="FV12" s="192"/>
      <c r="FW12" s="258"/>
      <c r="FX12" s="139"/>
      <c r="FY12" s="139"/>
      <c r="FZ12" s="139"/>
      <c r="GA12" s="259"/>
      <c r="GB12" s="192"/>
      <c r="GC12" s="192"/>
      <c r="GD12" s="139"/>
      <c r="GE12" s="139"/>
      <c r="GF12" s="139"/>
      <c r="GG12" s="139"/>
      <c r="GH12" s="139"/>
      <c r="GI12" s="192"/>
      <c r="GJ12" s="192"/>
      <c r="GK12" s="139"/>
      <c r="GL12" s="139"/>
      <c r="GM12" s="139"/>
      <c r="GN12" s="139"/>
      <c r="GO12" s="139"/>
      <c r="GP12" s="208"/>
      <c r="GQ12" s="208"/>
      <c r="GR12" s="139"/>
      <c r="GS12" s="139"/>
      <c r="GT12" s="139"/>
      <c r="GU12" s="139"/>
      <c r="GV12" s="139"/>
      <c r="GW12" s="208"/>
      <c r="GX12" s="208"/>
      <c r="GY12" s="139"/>
      <c r="GZ12" s="139"/>
      <c r="HA12" s="139"/>
      <c r="HB12" s="139"/>
      <c r="HC12" s="139"/>
      <c r="HD12" s="208"/>
      <c r="HE12" s="208"/>
      <c r="HF12" s="139"/>
      <c r="HG12" s="139"/>
      <c r="HH12" s="139"/>
      <c r="HI12" s="139"/>
      <c r="HJ12" s="139"/>
      <c r="HK12" s="208"/>
      <c r="HL12" s="208"/>
      <c r="HM12" s="139"/>
      <c r="HN12" s="139"/>
      <c r="HO12" s="139"/>
      <c r="HP12" s="139"/>
      <c r="HQ12" s="139"/>
      <c r="HR12" s="139"/>
      <c r="HS12" s="139"/>
      <c r="HT12" s="206"/>
      <c r="HU12" s="206"/>
      <c r="HV12" s="206"/>
      <c r="HW12" s="206"/>
      <c r="HX12" s="206"/>
      <c r="HY12" s="202"/>
      <c r="HZ12" s="202"/>
      <c r="IA12" s="139"/>
      <c r="IB12" s="206"/>
      <c r="IC12" s="206"/>
      <c r="ID12" s="206"/>
      <c r="IE12" s="206"/>
      <c r="IF12" s="202"/>
      <c r="IG12" s="202"/>
      <c r="IH12" s="139"/>
      <c r="II12" s="139"/>
      <c r="IJ12" s="139"/>
      <c r="IK12" s="139"/>
      <c r="IL12" s="139"/>
      <c r="IM12" s="202"/>
      <c r="IN12" s="202"/>
      <c r="IO12" s="139"/>
      <c r="IP12" s="139"/>
      <c r="IQ12" s="228"/>
      <c r="IR12" s="228"/>
      <c r="IS12" s="228"/>
      <c r="IT12" s="202"/>
      <c r="IU12" s="202"/>
      <c r="IV12" s="139"/>
      <c r="IW12" s="139"/>
      <c r="IX12" s="139"/>
      <c r="IY12" s="139"/>
      <c r="IZ12" s="139"/>
      <c r="JA12" s="202"/>
      <c r="JB12" s="202"/>
      <c r="JC12" s="228"/>
      <c r="JD12" s="228"/>
      <c r="JE12" s="139"/>
      <c r="JF12" s="139"/>
      <c r="JG12" s="139"/>
      <c r="JH12" s="202"/>
      <c r="JI12" s="202"/>
      <c r="JJ12" s="139"/>
      <c r="JK12" s="139"/>
      <c r="JL12" s="139"/>
      <c r="JM12" s="139"/>
      <c r="JN12" s="139"/>
      <c r="JO12" s="202"/>
      <c r="JP12" s="202"/>
      <c r="JQ12" s="139"/>
      <c r="JR12" s="139"/>
      <c r="JS12" s="139"/>
      <c r="JT12" s="139"/>
      <c r="JU12" s="139"/>
      <c r="JV12" s="202"/>
      <c r="JW12" s="202"/>
      <c r="JX12" s="139"/>
      <c r="JY12" s="139"/>
      <c r="JZ12" s="139"/>
      <c r="KA12" s="139"/>
      <c r="KB12" s="139"/>
      <c r="KC12" s="202"/>
      <c r="KD12" s="202"/>
      <c r="KE12" s="139"/>
      <c r="KF12" s="139"/>
      <c r="KG12" s="139"/>
      <c r="KH12" s="139"/>
      <c r="KI12" s="139"/>
      <c r="KJ12" s="192"/>
      <c r="KK12" s="192"/>
      <c r="KL12" s="139"/>
      <c r="KM12" s="139"/>
      <c r="KN12" s="139"/>
      <c r="KO12" s="139"/>
      <c r="KP12" s="228"/>
      <c r="KQ12" s="192"/>
      <c r="KR12" s="192"/>
      <c r="KS12" s="139"/>
      <c r="KT12" s="139"/>
      <c r="KU12" s="139"/>
      <c r="KV12" s="139"/>
      <c r="KW12" s="139"/>
      <c r="KX12" s="208"/>
      <c r="KY12" s="208"/>
      <c r="KZ12" s="192"/>
      <c r="LA12" s="192"/>
      <c r="LB12" s="192"/>
      <c r="LC12" s="192"/>
      <c r="LD12" s="192"/>
      <c r="LE12" s="208"/>
      <c r="LF12" s="208"/>
      <c r="LG12" s="228"/>
      <c r="LH12" s="228"/>
      <c r="LI12" s="228"/>
      <c r="LJ12" s="228"/>
      <c r="LK12" s="228"/>
      <c r="LL12" s="228"/>
      <c r="LM12" s="208"/>
      <c r="LN12" s="228"/>
      <c r="LO12" s="228"/>
      <c r="LP12" s="228"/>
      <c r="LQ12" s="228"/>
      <c r="LR12" s="228"/>
      <c r="LS12" s="208"/>
      <c r="LT12" s="208"/>
      <c r="LU12" s="228"/>
      <c r="LV12" s="139"/>
      <c r="LW12" s="139"/>
      <c r="LX12" s="139"/>
      <c r="LY12" s="139"/>
      <c r="LZ12" s="202"/>
      <c r="MA12" s="202"/>
      <c r="MB12" s="139"/>
      <c r="MC12" s="139"/>
      <c r="MD12" s="139"/>
      <c r="ME12" s="139"/>
      <c r="MF12" s="139"/>
      <c r="MG12" s="202"/>
      <c r="MH12" s="202"/>
      <c r="MI12" s="139"/>
      <c r="MJ12" s="139"/>
      <c r="MK12" s="139"/>
      <c r="ML12" s="139"/>
      <c r="MM12" s="139"/>
      <c r="MN12" s="202"/>
      <c r="MO12" s="202"/>
      <c r="MP12" s="139"/>
      <c r="MQ12" s="139"/>
      <c r="MR12" s="139"/>
      <c r="MS12" s="139"/>
      <c r="MT12" s="139"/>
      <c r="MU12" s="202"/>
      <c r="MV12" s="202"/>
      <c r="MW12" s="139"/>
      <c r="MX12" s="139"/>
      <c r="MY12" s="139"/>
      <c r="MZ12" s="139"/>
      <c r="NA12" s="139"/>
      <c r="NB12" s="139"/>
      <c r="NC12" s="139"/>
      <c r="ND12" s="139"/>
    </row>
    <row r="13" spans="1:368" s="140" customFormat="1" ht="15" customHeight="1" thickBot="1">
      <c r="A13" s="472"/>
      <c r="B13" s="461"/>
      <c r="C13" s="162" t="s">
        <v>98</v>
      </c>
      <c r="D13" s="260"/>
      <c r="E13" s="261"/>
      <c r="F13" s="261"/>
      <c r="G13" s="261"/>
      <c r="H13" s="262"/>
      <c r="I13" s="192"/>
      <c r="J13" s="192"/>
      <c r="K13" s="260"/>
      <c r="L13" s="261"/>
      <c r="M13" s="261"/>
      <c r="N13" s="261"/>
      <c r="O13" s="262"/>
      <c r="P13" s="192"/>
      <c r="Q13" s="192"/>
      <c r="R13" s="260"/>
      <c r="S13" s="261"/>
      <c r="T13" s="261"/>
      <c r="U13" s="261"/>
      <c r="V13" s="262"/>
      <c r="W13" s="192"/>
      <c r="X13" s="192"/>
      <c r="Y13" s="260"/>
      <c r="Z13" s="261"/>
      <c r="AA13" s="261"/>
      <c r="AB13" s="261"/>
      <c r="AC13" s="262"/>
      <c r="AD13" s="192"/>
      <c r="AE13" s="192"/>
      <c r="AF13" s="260"/>
      <c r="AG13" s="261"/>
      <c r="AH13" s="261"/>
      <c r="AI13" s="261"/>
      <c r="AJ13" s="262"/>
      <c r="AK13" s="192"/>
      <c r="AL13" s="192"/>
      <c r="AM13" s="260"/>
      <c r="AN13" s="261"/>
      <c r="AO13" s="261"/>
      <c r="AP13" s="261"/>
      <c r="AQ13" s="262"/>
      <c r="AR13" s="192"/>
      <c r="AS13" s="192"/>
      <c r="AT13" s="260"/>
      <c r="AU13" s="261"/>
      <c r="AV13" s="261"/>
      <c r="AW13" s="261"/>
      <c r="AX13" s="262"/>
      <c r="AY13" s="192"/>
      <c r="AZ13" s="192"/>
      <c r="BA13" s="260"/>
      <c r="BB13" s="261"/>
      <c r="BC13" s="261"/>
      <c r="BD13" s="261"/>
      <c r="BE13" s="262"/>
      <c r="BF13" s="192"/>
      <c r="BG13" s="192"/>
      <c r="BH13" s="260"/>
      <c r="BI13" s="261"/>
      <c r="BJ13" s="261"/>
      <c r="BK13" s="261"/>
      <c r="BL13" s="262"/>
      <c r="BM13" s="192"/>
      <c r="BN13" s="192"/>
      <c r="BO13" s="260"/>
      <c r="BP13" s="261"/>
      <c r="BQ13" s="261"/>
      <c r="BR13" s="261"/>
      <c r="BS13" s="262"/>
      <c r="BT13" s="192"/>
      <c r="BU13" s="192"/>
      <c r="BV13" s="260"/>
      <c r="BW13" s="261"/>
      <c r="BX13" s="261"/>
      <c r="BY13" s="261"/>
      <c r="BZ13" s="262"/>
      <c r="CA13" s="192"/>
      <c r="CB13" s="192"/>
      <c r="CC13" s="260"/>
      <c r="CD13" s="261"/>
      <c r="CE13" s="261"/>
      <c r="CF13" s="261"/>
      <c r="CG13" s="262"/>
      <c r="CH13" s="192"/>
      <c r="CI13" s="192"/>
      <c r="CJ13" s="260"/>
      <c r="CK13" s="261"/>
      <c r="CL13" s="261"/>
      <c r="CM13" s="261"/>
      <c r="CN13" s="262"/>
      <c r="CO13" s="192"/>
      <c r="CP13" s="192"/>
      <c r="CQ13" s="260"/>
      <c r="CR13" s="261"/>
      <c r="CS13" s="261"/>
      <c r="CT13" s="261"/>
      <c r="CU13" s="262"/>
      <c r="CV13" s="192"/>
      <c r="CW13" s="192"/>
      <c r="CX13" s="260"/>
      <c r="CY13" s="261"/>
      <c r="CZ13" s="261"/>
      <c r="DA13" s="261"/>
      <c r="DB13" s="262"/>
      <c r="DC13" s="192"/>
      <c r="DD13" s="192"/>
      <c r="DE13" s="260"/>
      <c r="DF13" s="261"/>
      <c r="DG13" s="261"/>
      <c r="DH13" s="261"/>
      <c r="DI13" s="262"/>
      <c r="DJ13" s="192"/>
      <c r="DK13" s="192"/>
      <c r="DL13" s="260"/>
      <c r="DM13" s="261"/>
      <c r="DN13" s="261"/>
      <c r="DO13" s="261"/>
      <c r="DP13" s="262"/>
      <c r="DQ13" s="192"/>
      <c r="DR13" s="192"/>
      <c r="DS13" s="260"/>
      <c r="DT13" s="261"/>
      <c r="DU13" s="261"/>
      <c r="DV13" s="261"/>
      <c r="DW13" s="262"/>
      <c r="DX13" s="192"/>
      <c r="DY13" s="192"/>
      <c r="DZ13" s="260"/>
      <c r="EA13" s="261"/>
      <c r="EB13" s="261"/>
      <c r="EC13" s="261"/>
      <c r="ED13" s="262"/>
      <c r="EE13" s="192"/>
      <c r="EF13" s="192"/>
      <c r="EG13" s="260"/>
      <c r="EH13" s="261"/>
      <c r="EI13" s="261"/>
      <c r="EJ13" s="261"/>
      <c r="EK13" s="262"/>
      <c r="EL13" s="192"/>
      <c r="EM13" s="192"/>
      <c r="EN13" s="260"/>
      <c r="EO13" s="261"/>
      <c r="EP13" s="261"/>
      <c r="EQ13" s="261"/>
      <c r="ER13" s="262"/>
      <c r="ES13" s="192"/>
      <c r="ET13" s="192"/>
      <c r="EU13" s="260"/>
      <c r="EV13" s="261"/>
      <c r="EW13" s="261"/>
      <c r="EX13" s="261"/>
      <c r="EY13" s="262"/>
      <c r="EZ13" s="192"/>
      <c r="FA13" s="192"/>
      <c r="FB13" s="260"/>
      <c r="FC13" s="261"/>
      <c r="FD13" s="261"/>
      <c r="FE13" s="261"/>
      <c r="FF13" s="262"/>
      <c r="FG13" s="192"/>
      <c r="FH13" s="192"/>
      <c r="FI13" s="260"/>
      <c r="FJ13" s="261"/>
      <c r="FK13" s="261"/>
      <c r="FL13" s="261"/>
      <c r="FM13" s="262"/>
      <c r="FN13" s="192"/>
      <c r="FO13" s="192"/>
      <c r="FP13" s="260"/>
      <c r="FQ13" s="261"/>
      <c r="FR13" s="261"/>
      <c r="FS13" s="261"/>
      <c r="FT13" s="262"/>
      <c r="FU13" s="192"/>
      <c r="FV13" s="192"/>
      <c r="FW13" s="260"/>
      <c r="FX13" s="261"/>
      <c r="FY13" s="261"/>
      <c r="FZ13" s="261"/>
      <c r="GA13" s="262"/>
      <c r="GB13" s="192"/>
      <c r="GC13" s="192"/>
      <c r="GD13" s="139"/>
      <c r="GE13" s="139"/>
      <c r="GF13" s="139"/>
      <c r="GG13" s="139"/>
      <c r="GH13" s="139"/>
      <c r="GI13" s="192"/>
      <c r="GJ13" s="192"/>
      <c r="GK13" s="139"/>
      <c r="GL13" s="139"/>
      <c r="GM13" s="139"/>
      <c r="GN13" s="139"/>
      <c r="GO13" s="139"/>
      <c r="GP13" s="208"/>
      <c r="GQ13" s="208"/>
      <c r="GR13" s="139"/>
      <c r="GS13" s="139"/>
      <c r="GT13" s="139"/>
      <c r="GU13" s="139"/>
      <c r="GV13" s="139"/>
      <c r="GW13" s="208"/>
      <c r="GX13" s="208"/>
      <c r="GY13" s="139"/>
      <c r="GZ13" s="139"/>
      <c r="HA13" s="139"/>
      <c r="HB13" s="139"/>
      <c r="HC13" s="139"/>
      <c r="HD13" s="208"/>
      <c r="HE13" s="208"/>
      <c r="HF13" s="139"/>
      <c r="HG13" s="139"/>
      <c r="HH13" s="139"/>
      <c r="HI13" s="139"/>
      <c r="HJ13" s="139"/>
      <c r="HK13" s="208"/>
      <c r="HL13" s="208"/>
      <c r="HM13" s="139"/>
      <c r="HN13" s="139"/>
      <c r="HO13" s="139"/>
      <c r="HP13" s="139"/>
      <c r="HQ13" s="139"/>
      <c r="HR13" s="139"/>
      <c r="HS13" s="139"/>
      <c r="HT13" s="206"/>
      <c r="HU13" s="206"/>
      <c r="HV13" s="206"/>
      <c r="HW13" s="206"/>
      <c r="HX13" s="206"/>
      <c r="HY13" s="202"/>
      <c r="HZ13" s="202"/>
      <c r="IA13" s="139"/>
      <c r="IB13" s="206"/>
      <c r="IC13" s="206"/>
      <c r="ID13" s="206"/>
      <c r="IE13" s="206"/>
      <c r="IF13" s="202"/>
      <c r="IG13" s="202"/>
      <c r="IH13" s="139"/>
      <c r="II13" s="139"/>
      <c r="IJ13" s="139"/>
      <c r="IK13" s="139"/>
      <c r="IL13" s="139"/>
      <c r="IM13" s="202"/>
      <c r="IN13" s="202"/>
      <c r="IO13" s="139"/>
      <c r="IP13" s="139"/>
      <c r="IQ13" s="228"/>
      <c r="IR13" s="228"/>
      <c r="IS13" s="228"/>
      <c r="IT13" s="202"/>
      <c r="IU13" s="202"/>
      <c r="IV13" s="139"/>
      <c r="IW13" s="139"/>
      <c r="IX13" s="139"/>
      <c r="IY13" s="139"/>
      <c r="IZ13" s="139"/>
      <c r="JA13" s="202"/>
      <c r="JB13" s="202"/>
      <c r="JC13" s="228"/>
      <c r="JD13" s="228"/>
      <c r="JE13" s="139"/>
      <c r="JF13" s="139"/>
      <c r="JG13" s="139"/>
      <c r="JH13" s="202"/>
      <c r="JI13" s="202"/>
      <c r="JJ13" s="139"/>
      <c r="JK13" s="139"/>
      <c r="JL13" s="139"/>
      <c r="JM13" s="139"/>
      <c r="JN13" s="139"/>
      <c r="JO13" s="202"/>
      <c r="JP13" s="202"/>
      <c r="JQ13" s="139"/>
      <c r="JR13" s="139"/>
      <c r="JS13" s="139"/>
      <c r="JT13" s="139"/>
      <c r="JU13" s="139"/>
      <c r="JV13" s="202"/>
      <c r="JW13" s="202"/>
      <c r="JX13" s="139"/>
      <c r="JY13" s="139"/>
      <c r="JZ13" s="139"/>
      <c r="KA13" s="139"/>
      <c r="KB13" s="139"/>
      <c r="KC13" s="202"/>
      <c r="KD13" s="202"/>
      <c r="KE13" s="139"/>
      <c r="KF13" s="139"/>
      <c r="KG13" s="139"/>
      <c r="KH13" s="139"/>
      <c r="KI13" s="139"/>
      <c r="KJ13" s="192"/>
      <c r="KK13" s="192"/>
      <c r="KL13" s="139"/>
      <c r="KM13" s="139"/>
      <c r="KN13" s="139"/>
      <c r="KO13" s="139"/>
      <c r="KP13" s="228"/>
      <c r="KQ13" s="192"/>
      <c r="KR13" s="192"/>
      <c r="KS13" s="139"/>
      <c r="KT13" s="139"/>
      <c r="KU13" s="139"/>
      <c r="KV13" s="139"/>
      <c r="KW13" s="139"/>
      <c r="KX13" s="208"/>
      <c r="KY13" s="208"/>
      <c r="KZ13" s="192"/>
      <c r="LA13" s="192"/>
      <c r="LB13" s="192"/>
      <c r="LC13" s="192"/>
      <c r="LD13" s="192"/>
      <c r="LE13" s="208"/>
      <c r="LF13" s="208"/>
      <c r="LG13" s="228"/>
      <c r="LH13" s="228"/>
      <c r="LI13" s="228"/>
      <c r="LJ13" s="228"/>
      <c r="LK13" s="228"/>
      <c r="LL13" s="228"/>
      <c r="LM13" s="208"/>
      <c r="LN13" s="228"/>
      <c r="LO13" s="228"/>
      <c r="LP13" s="228"/>
      <c r="LQ13" s="228"/>
      <c r="LR13" s="228"/>
      <c r="LS13" s="208"/>
      <c r="LT13" s="208"/>
      <c r="LU13" s="228"/>
      <c r="LV13" s="139"/>
      <c r="LW13" s="139"/>
      <c r="LX13" s="139"/>
      <c r="LY13" s="139"/>
      <c r="LZ13" s="202"/>
      <c r="MA13" s="202"/>
      <c r="MB13" s="139"/>
      <c r="MC13" s="139"/>
      <c r="MD13" s="139"/>
      <c r="ME13" s="139"/>
      <c r="MF13" s="139"/>
      <c r="MG13" s="202"/>
      <c r="MH13" s="202"/>
      <c r="MI13" s="139"/>
      <c r="MJ13" s="139"/>
      <c r="MK13" s="139"/>
      <c r="ML13" s="139"/>
      <c r="MM13" s="139"/>
      <c r="MN13" s="202"/>
      <c r="MO13" s="202"/>
      <c r="MP13" s="139"/>
      <c r="MQ13" s="139"/>
      <c r="MR13" s="139"/>
      <c r="MS13" s="139"/>
      <c r="MT13" s="139"/>
      <c r="MU13" s="202"/>
      <c r="MV13" s="202"/>
      <c r="MW13" s="139"/>
      <c r="MX13" s="139"/>
      <c r="MY13" s="139"/>
      <c r="MZ13" s="139"/>
      <c r="NA13" s="139"/>
      <c r="NB13" s="139"/>
      <c r="NC13" s="139"/>
      <c r="ND13" s="139"/>
    </row>
    <row r="14" spans="1:368" s="151" customFormat="1" ht="15" hidden="1" customHeight="1" thickBot="1">
      <c r="A14" s="472"/>
      <c r="B14" s="462"/>
      <c r="C14" s="167" t="s">
        <v>93</v>
      </c>
      <c r="D14" s="263"/>
      <c r="E14" s="263"/>
      <c r="F14" s="263"/>
      <c r="G14" s="263"/>
      <c r="H14" s="263"/>
      <c r="I14" s="192"/>
      <c r="J14" s="192"/>
      <c r="K14" s="263"/>
      <c r="L14" s="263"/>
      <c r="M14" s="263"/>
      <c r="N14" s="263"/>
      <c r="O14" s="263"/>
      <c r="P14" s="192"/>
      <c r="Q14" s="192"/>
      <c r="R14" s="263"/>
      <c r="S14" s="263"/>
      <c r="T14" s="263"/>
      <c r="U14" s="263"/>
      <c r="V14" s="263"/>
      <c r="W14" s="192"/>
      <c r="X14" s="192"/>
      <c r="Y14" s="263"/>
      <c r="Z14" s="263"/>
      <c r="AA14" s="263"/>
      <c r="AB14" s="263"/>
      <c r="AC14" s="263"/>
      <c r="AD14" s="192"/>
      <c r="AE14" s="192"/>
      <c r="AF14" s="263"/>
      <c r="AG14" s="263"/>
      <c r="AH14" s="263"/>
      <c r="AI14" s="263"/>
      <c r="AJ14" s="263"/>
      <c r="AK14" s="192"/>
      <c r="AL14" s="192"/>
      <c r="AM14" s="263"/>
      <c r="AN14" s="263"/>
      <c r="AO14" s="263"/>
      <c r="AP14" s="263"/>
      <c r="AQ14" s="263"/>
      <c r="AR14" s="192"/>
      <c r="AS14" s="192"/>
      <c r="AT14" s="263"/>
      <c r="AU14" s="263"/>
      <c r="AV14" s="263"/>
      <c r="AW14" s="263"/>
      <c r="AX14" s="263"/>
      <c r="AY14" s="192"/>
      <c r="AZ14" s="192"/>
      <c r="BA14" s="263"/>
      <c r="BB14" s="263"/>
      <c r="BC14" s="263"/>
      <c r="BD14" s="263"/>
      <c r="BE14" s="263"/>
      <c r="BF14" s="192"/>
      <c r="BG14" s="192"/>
      <c r="BH14" s="263"/>
      <c r="BI14" s="263"/>
      <c r="BJ14" s="263"/>
      <c r="BK14" s="263"/>
      <c r="BL14" s="263"/>
      <c r="BM14" s="192"/>
      <c r="BN14" s="192"/>
      <c r="BO14" s="263"/>
      <c r="BP14" s="263"/>
      <c r="BQ14" s="263"/>
      <c r="BR14" s="263"/>
      <c r="BS14" s="263"/>
      <c r="BT14" s="192"/>
      <c r="BU14" s="192"/>
      <c r="BV14" s="263"/>
      <c r="BW14" s="263"/>
      <c r="BX14" s="263"/>
      <c r="BY14" s="263"/>
      <c r="BZ14" s="263"/>
      <c r="CA14" s="192"/>
      <c r="CB14" s="192"/>
      <c r="CC14" s="263"/>
      <c r="CD14" s="263"/>
      <c r="CE14" s="263"/>
      <c r="CF14" s="263"/>
      <c r="CG14" s="263"/>
      <c r="CH14" s="192"/>
      <c r="CI14" s="192"/>
      <c r="CJ14" s="263"/>
      <c r="CK14" s="263"/>
      <c r="CL14" s="263"/>
      <c r="CM14" s="263"/>
      <c r="CN14" s="263"/>
      <c r="CO14" s="192"/>
      <c r="CP14" s="192"/>
      <c r="CQ14" s="263"/>
      <c r="CR14" s="263"/>
      <c r="CS14" s="263"/>
      <c r="CT14" s="263"/>
      <c r="CU14" s="263"/>
      <c r="CV14" s="192"/>
      <c r="CW14" s="192"/>
      <c r="CX14" s="263"/>
      <c r="CY14" s="263"/>
      <c r="CZ14" s="263"/>
      <c r="DA14" s="263"/>
      <c r="DB14" s="263"/>
      <c r="DC14" s="192"/>
      <c r="DD14" s="192"/>
      <c r="DE14" s="263"/>
      <c r="DF14" s="263"/>
      <c r="DG14" s="263"/>
      <c r="DH14" s="263"/>
      <c r="DI14" s="263"/>
      <c r="DJ14" s="192"/>
      <c r="DK14" s="192"/>
      <c r="DL14" s="263"/>
      <c r="DM14" s="263"/>
      <c r="DN14" s="263"/>
      <c r="DO14" s="263"/>
      <c r="DP14" s="263"/>
      <c r="DQ14" s="192"/>
      <c r="DR14" s="192"/>
      <c r="DS14" s="263"/>
      <c r="DT14" s="263"/>
      <c r="DU14" s="263"/>
      <c r="DV14" s="263"/>
      <c r="DW14" s="263"/>
      <c r="DX14" s="192"/>
      <c r="DY14" s="192"/>
      <c r="DZ14" s="263"/>
      <c r="EA14" s="263"/>
      <c r="EB14" s="263"/>
      <c r="EC14" s="263"/>
      <c r="ED14" s="263"/>
      <c r="EE14" s="192"/>
      <c r="EF14" s="192"/>
      <c r="EG14" s="263"/>
      <c r="EH14" s="263"/>
      <c r="EI14" s="263"/>
      <c r="EJ14" s="263"/>
      <c r="EK14" s="263"/>
      <c r="EL14" s="192"/>
      <c r="EM14" s="192"/>
      <c r="EN14" s="263"/>
      <c r="EO14" s="263"/>
      <c r="EP14" s="263"/>
      <c r="EQ14" s="263"/>
      <c r="ER14" s="263"/>
      <c r="ES14" s="192"/>
      <c r="ET14" s="192"/>
      <c r="EU14" s="263"/>
      <c r="EV14" s="263"/>
      <c r="EW14" s="263"/>
      <c r="EX14" s="263"/>
      <c r="EY14" s="263"/>
      <c r="EZ14" s="192"/>
      <c r="FA14" s="192"/>
      <c r="FB14" s="263"/>
      <c r="FC14" s="263"/>
      <c r="FD14" s="263"/>
      <c r="FE14" s="263"/>
      <c r="FF14" s="263"/>
      <c r="FG14" s="192"/>
      <c r="FH14" s="192"/>
      <c r="FI14" s="263"/>
      <c r="FJ14" s="263"/>
      <c r="FK14" s="263"/>
      <c r="FL14" s="263"/>
      <c r="FM14" s="263"/>
      <c r="FN14" s="192"/>
      <c r="FO14" s="192"/>
      <c r="FP14" s="263"/>
      <c r="FQ14" s="263"/>
      <c r="FR14" s="263"/>
      <c r="FS14" s="263"/>
      <c r="FT14" s="263"/>
      <c r="FU14" s="192"/>
      <c r="FV14" s="192"/>
      <c r="FW14" s="263"/>
      <c r="FX14" s="263"/>
      <c r="FY14" s="263"/>
      <c r="FZ14" s="263"/>
      <c r="GA14" s="263"/>
      <c r="GB14" s="192"/>
      <c r="GC14" s="192"/>
      <c r="GD14" s="150"/>
      <c r="GE14" s="150"/>
      <c r="GF14" s="150"/>
      <c r="GG14" s="150"/>
      <c r="GH14" s="150"/>
      <c r="GI14" s="192"/>
      <c r="GJ14" s="192"/>
      <c r="GK14" s="150"/>
      <c r="GL14" s="150"/>
      <c r="GM14" s="150"/>
      <c r="GN14" s="150"/>
      <c r="GO14" s="150"/>
      <c r="GP14" s="208"/>
      <c r="GQ14" s="208"/>
      <c r="GR14" s="150"/>
      <c r="GS14" s="150"/>
      <c r="GT14" s="150"/>
      <c r="GU14" s="150"/>
      <c r="GV14" s="150"/>
      <c r="GW14" s="208"/>
      <c r="GX14" s="208"/>
      <c r="GY14" s="150"/>
      <c r="GZ14" s="150"/>
      <c r="HA14" s="150"/>
      <c r="HB14" s="150"/>
      <c r="HC14" s="150"/>
      <c r="HD14" s="208"/>
      <c r="HE14" s="208"/>
      <c r="HF14" s="150"/>
      <c r="HG14" s="150"/>
      <c r="HH14" s="150"/>
      <c r="HI14" s="150"/>
      <c r="HJ14" s="150"/>
      <c r="HK14" s="208"/>
      <c r="HL14" s="208"/>
      <c r="HM14" s="150"/>
      <c r="HN14" s="150"/>
      <c r="HO14" s="150"/>
      <c r="HP14" s="150"/>
      <c r="HQ14" s="150"/>
      <c r="HR14" s="150"/>
      <c r="HS14" s="150"/>
      <c r="HT14" s="248"/>
      <c r="HU14" s="248"/>
      <c r="HV14" s="248"/>
      <c r="HW14" s="248"/>
      <c r="HX14" s="248"/>
      <c r="HY14" s="202"/>
      <c r="HZ14" s="202"/>
      <c r="IA14" s="150"/>
      <c r="IB14" s="150"/>
      <c r="IC14" s="150"/>
      <c r="ID14" s="150"/>
      <c r="IE14" s="150"/>
      <c r="IF14" s="202"/>
      <c r="IG14" s="202"/>
      <c r="IH14" s="150"/>
      <c r="II14" s="150"/>
      <c r="IJ14" s="150"/>
      <c r="IK14" s="150"/>
      <c r="IL14" s="150"/>
      <c r="IM14" s="202"/>
      <c r="IN14" s="202"/>
      <c r="IO14" s="150"/>
      <c r="IP14" s="150"/>
      <c r="IQ14" s="228"/>
      <c r="IR14" s="228"/>
      <c r="IS14" s="228"/>
      <c r="IT14" s="202"/>
      <c r="IU14" s="202"/>
      <c r="IV14" s="150"/>
      <c r="IW14" s="150"/>
      <c r="IX14" s="150"/>
      <c r="IY14" s="150"/>
      <c r="IZ14" s="150"/>
      <c r="JA14" s="202"/>
      <c r="JB14" s="202"/>
      <c r="JC14" s="231"/>
      <c r="JD14" s="231"/>
      <c r="JE14" s="150"/>
      <c r="JF14" s="150"/>
      <c r="JG14" s="150"/>
      <c r="JH14" s="202"/>
      <c r="JI14" s="202"/>
      <c r="JJ14" s="150"/>
      <c r="JK14" s="150"/>
      <c r="JL14" s="150"/>
      <c r="JM14" s="150"/>
      <c r="JN14" s="150"/>
      <c r="JO14" s="202"/>
      <c r="JP14" s="202"/>
      <c r="JQ14" s="150"/>
      <c r="JR14" s="150"/>
      <c r="JS14" s="150"/>
      <c r="JT14" s="150"/>
      <c r="JU14" s="150"/>
      <c r="JV14" s="202"/>
      <c r="JW14" s="202"/>
      <c r="JX14" s="150"/>
      <c r="JY14" s="150"/>
      <c r="JZ14" s="150"/>
      <c r="KA14" s="150"/>
      <c r="KB14" s="150"/>
      <c r="KC14" s="202"/>
      <c r="KD14" s="202"/>
      <c r="KE14" s="150"/>
      <c r="KF14" s="150"/>
      <c r="KG14" s="150"/>
      <c r="KH14" s="150"/>
      <c r="KI14" s="150"/>
      <c r="KJ14" s="192"/>
      <c r="KK14" s="192"/>
      <c r="KL14" s="150"/>
      <c r="KM14" s="150"/>
      <c r="KN14" s="150"/>
      <c r="KO14" s="150"/>
      <c r="KP14" s="228"/>
      <c r="KQ14" s="192"/>
      <c r="KR14" s="192"/>
      <c r="KS14" s="150"/>
      <c r="KT14" s="150"/>
      <c r="KU14" s="150"/>
      <c r="KV14" s="150"/>
      <c r="KW14" s="150"/>
      <c r="KX14" s="208"/>
      <c r="KY14" s="208"/>
      <c r="KZ14" s="192"/>
      <c r="LA14" s="192"/>
      <c r="LB14" s="192"/>
      <c r="LC14" s="192"/>
      <c r="LD14" s="192"/>
      <c r="LE14" s="208"/>
      <c r="LF14" s="208"/>
      <c r="LG14" s="228"/>
      <c r="LH14" s="228"/>
      <c r="LI14" s="228"/>
      <c r="LJ14" s="228"/>
      <c r="LK14" s="228"/>
      <c r="LL14" s="228"/>
      <c r="LM14" s="208"/>
      <c r="LN14" s="231"/>
      <c r="LO14" s="231"/>
      <c r="LP14" s="231"/>
      <c r="LQ14" s="231"/>
      <c r="LR14" s="231"/>
      <c r="LS14" s="208"/>
      <c r="LT14" s="208"/>
      <c r="LU14" s="231"/>
      <c r="LV14" s="150"/>
      <c r="LW14" s="150"/>
      <c r="LX14" s="150"/>
      <c r="LY14" s="150"/>
      <c r="LZ14" s="202"/>
      <c r="MA14" s="202"/>
      <c r="MB14" s="150"/>
      <c r="MC14" s="150"/>
      <c r="MD14" s="150"/>
      <c r="ME14" s="150"/>
      <c r="MF14" s="150"/>
      <c r="MG14" s="202"/>
      <c r="MH14" s="202"/>
      <c r="MI14" s="150"/>
      <c r="MJ14" s="150"/>
      <c r="MK14" s="150"/>
      <c r="ML14" s="150"/>
      <c r="MM14" s="150"/>
      <c r="MN14" s="202"/>
      <c r="MO14" s="202"/>
      <c r="MP14" s="150"/>
      <c r="MQ14" s="150"/>
      <c r="MR14" s="150"/>
      <c r="MS14" s="150"/>
      <c r="MT14" s="150"/>
      <c r="MU14" s="202"/>
      <c r="MV14" s="202"/>
      <c r="MW14" s="150"/>
      <c r="MX14" s="150"/>
      <c r="MY14" s="150"/>
      <c r="MZ14" s="150"/>
      <c r="NA14" s="150"/>
      <c r="NB14" s="150"/>
      <c r="NC14" s="150"/>
      <c r="ND14" s="150"/>
    </row>
    <row r="15" spans="1:368" s="140" customFormat="1" ht="15" customHeight="1">
      <c r="A15" s="472"/>
      <c r="B15" s="460" t="s">
        <v>9</v>
      </c>
      <c r="C15" s="163" t="s">
        <v>10</v>
      </c>
      <c r="D15" s="256"/>
      <c r="E15" s="137"/>
      <c r="F15" s="137"/>
      <c r="G15" s="137"/>
      <c r="H15" s="257"/>
      <c r="I15" s="192"/>
      <c r="J15" s="192"/>
      <c r="K15" s="256"/>
      <c r="L15" s="137"/>
      <c r="M15" s="137"/>
      <c r="N15" s="137"/>
      <c r="O15" s="257"/>
      <c r="P15" s="192"/>
      <c r="Q15" s="192"/>
      <c r="R15" s="256"/>
      <c r="S15" s="137"/>
      <c r="T15" s="137"/>
      <c r="U15" s="137"/>
      <c r="V15" s="257"/>
      <c r="W15" s="192"/>
      <c r="X15" s="192"/>
      <c r="Y15" s="256"/>
      <c r="Z15" s="137"/>
      <c r="AA15" s="137"/>
      <c r="AB15" s="137"/>
      <c r="AC15" s="257"/>
      <c r="AD15" s="192"/>
      <c r="AE15" s="192"/>
      <c r="AF15" s="256"/>
      <c r="AG15" s="137"/>
      <c r="AH15" s="137"/>
      <c r="AI15" s="137"/>
      <c r="AJ15" s="257"/>
      <c r="AK15" s="192"/>
      <c r="AL15" s="192"/>
      <c r="AM15" s="256"/>
      <c r="AN15" s="137"/>
      <c r="AO15" s="137"/>
      <c r="AP15" s="137"/>
      <c r="AQ15" s="257"/>
      <c r="AR15" s="192"/>
      <c r="AS15" s="192"/>
      <c r="AT15" s="256"/>
      <c r="AU15" s="137"/>
      <c r="AV15" s="137"/>
      <c r="AW15" s="137"/>
      <c r="AX15" s="257"/>
      <c r="AY15" s="192"/>
      <c r="AZ15" s="192"/>
      <c r="BA15" s="256"/>
      <c r="BB15" s="137"/>
      <c r="BC15" s="137"/>
      <c r="BD15" s="137"/>
      <c r="BE15" s="257"/>
      <c r="BF15" s="192"/>
      <c r="BG15" s="192"/>
      <c r="BH15" s="256"/>
      <c r="BI15" s="137"/>
      <c r="BJ15" s="137"/>
      <c r="BK15" s="137"/>
      <c r="BL15" s="257"/>
      <c r="BM15" s="192"/>
      <c r="BN15" s="192"/>
      <c r="BO15" s="256"/>
      <c r="BP15" s="137"/>
      <c r="BQ15" s="137"/>
      <c r="BR15" s="137"/>
      <c r="BS15" s="257"/>
      <c r="BT15" s="192"/>
      <c r="BU15" s="192"/>
      <c r="BV15" s="256"/>
      <c r="BW15" s="137"/>
      <c r="BX15" s="137"/>
      <c r="BY15" s="137"/>
      <c r="BZ15" s="257"/>
      <c r="CA15" s="192"/>
      <c r="CB15" s="192"/>
      <c r="CC15" s="256"/>
      <c r="CD15" s="137"/>
      <c r="CE15" s="137"/>
      <c r="CF15" s="137"/>
      <c r="CG15" s="257"/>
      <c r="CH15" s="192"/>
      <c r="CI15" s="192"/>
      <c r="CJ15" s="256"/>
      <c r="CK15" s="137"/>
      <c r="CL15" s="137"/>
      <c r="CM15" s="137"/>
      <c r="CN15" s="257"/>
      <c r="CO15" s="192"/>
      <c r="CP15" s="192"/>
      <c r="CQ15" s="256"/>
      <c r="CR15" s="137"/>
      <c r="CS15" s="137"/>
      <c r="CT15" s="137"/>
      <c r="CU15" s="257"/>
      <c r="CV15" s="192"/>
      <c r="CW15" s="192"/>
      <c r="CX15" s="256"/>
      <c r="CY15" s="137"/>
      <c r="CZ15" s="137"/>
      <c r="DA15" s="137"/>
      <c r="DB15" s="257"/>
      <c r="DC15" s="192"/>
      <c r="DD15" s="192"/>
      <c r="DE15" s="256"/>
      <c r="DF15" s="137"/>
      <c r="DG15" s="137"/>
      <c r="DH15" s="137"/>
      <c r="DI15" s="257"/>
      <c r="DJ15" s="192"/>
      <c r="DK15" s="192"/>
      <c r="DL15" s="256"/>
      <c r="DM15" s="137"/>
      <c r="DN15" s="137"/>
      <c r="DO15" s="137"/>
      <c r="DP15" s="257"/>
      <c r="DQ15" s="192"/>
      <c r="DR15" s="192"/>
      <c r="DS15" s="256"/>
      <c r="DT15" s="137"/>
      <c r="DU15" s="137"/>
      <c r="DV15" s="137"/>
      <c r="DW15" s="257"/>
      <c r="DX15" s="192"/>
      <c r="DY15" s="192"/>
      <c r="DZ15" s="256"/>
      <c r="EA15" s="137"/>
      <c r="EB15" s="137"/>
      <c r="EC15" s="137"/>
      <c r="ED15" s="257"/>
      <c r="EE15" s="192"/>
      <c r="EF15" s="192"/>
      <c r="EG15" s="256"/>
      <c r="EH15" s="137"/>
      <c r="EI15" s="137"/>
      <c r="EJ15" s="137"/>
      <c r="EK15" s="257"/>
      <c r="EL15" s="192"/>
      <c r="EM15" s="192"/>
      <c r="EN15" s="256"/>
      <c r="EO15" s="137"/>
      <c r="EP15" s="137"/>
      <c r="EQ15" s="137"/>
      <c r="ER15" s="257"/>
      <c r="ES15" s="192"/>
      <c r="ET15" s="192"/>
      <c r="EU15" s="256"/>
      <c r="EV15" s="137"/>
      <c r="EW15" s="137"/>
      <c r="EX15" s="137"/>
      <c r="EY15" s="257"/>
      <c r="EZ15" s="192"/>
      <c r="FA15" s="192"/>
      <c r="FB15" s="256"/>
      <c r="FC15" s="137"/>
      <c r="FD15" s="137"/>
      <c r="FE15" s="137"/>
      <c r="FF15" s="257"/>
      <c r="FG15" s="192"/>
      <c r="FH15" s="192"/>
      <c r="FI15" s="256"/>
      <c r="FJ15" s="137"/>
      <c r="FK15" s="137"/>
      <c r="FL15" s="137"/>
      <c r="FM15" s="257"/>
      <c r="FN15" s="192"/>
      <c r="FO15" s="192"/>
      <c r="FP15" s="256"/>
      <c r="FQ15" s="137"/>
      <c r="FR15" s="137"/>
      <c r="FS15" s="137"/>
      <c r="FT15" s="257"/>
      <c r="FU15" s="192"/>
      <c r="FV15" s="192"/>
      <c r="FW15" s="256"/>
      <c r="FX15" s="137"/>
      <c r="FY15" s="137"/>
      <c r="FZ15" s="137"/>
      <c r="GA15" s="257"/>
      <c r="GB15" s="192"/>
      <c r="GC15" s="192"/>
      <c r="GD15" s="139"/>
      <c r="GE15" s="139"/>
      <c r="GF15" s="139"/>
      <c r="GG15" s="139"/>
      <c r="GH15" s="139"/>
      <c r="GI15" s="192"/>
      <c r="GJ15" s="192"/>
      <c r="GK15" s="137"/>
      <c r="GL15" s="137"/>
      <c r="GM15" s="137"/>
      <c r="GN15" s="137"/>
      <c r="GO15" s="139"/>
      <c r="GP15" s="208"/>
      <c r="GQ15" s="208"/>
      <c r="GR15" s="137"/>
      <c r="GS15" s="137"/>
      <c r="GT15" s="137"/>
      <c r="GU15" s="137"/>
      <c r="GV15" s="137"/>
      <c r="GW15" s="208"/>
      <c r="GX15" s="208"/>
      <c r="GY15" s="139"/>
      <c r="GZ15" s="139"/>
      <c r="HA15" s="139"/>
      <c r="HB15" s="139"/>
      <c r="HC15" s="139"/>
      <c r="HD15" s="208"/>
      <c r="HE15" s="208"/>
      <c r="HF15" s="139"/>
      <c r="HG15" s="139"/>
      <c r="HH15" s="139"/>
      <c r="HI15" s="139"/>
      <c r="HJ15" s="139"/>
      <c r="HK15" s="208"/>
      <c r="HL15" s="208"/>
      <c r="HM15" s="139"/>
      <c r="HN15" s="139"/>
      <c r="HO15" s="139"/>
      <c r="HP15" s="139"/>
      <c r="HQ15" s="139"/>
      <c r="HR15" s="139"/>
      <c r="HS15" s="139"/>
      <c r="HT15" s="206"/>
      <c r="HU15" s="206"/>
      <c r="HV15" s="206"/>
      <c r="HW15" s="206"/>
      <c r="HX15" s="206"/>
      <c r="HY15" s="202"/>
      <c r="HZ15" s="202"/>
      <c r="IA15" s="139"/>
      <c r="IB15" s="139"/>
      <c r="IC15" s="139"/>
      <c r="ID15" s="139"/>
      <c r="IE15" s="139"/>
      <c r="IF15" s="202"/>
      <c r="IG15" s="202"/>
      <c r="IH15" s="139"/>
      <c r="II15" s="139"/>
      <c r="IJ15" s="139"/>
      <c r="IK15" s="139"/>
      <c r="IL15" s="139"/>
      <c r="IM15" s="202"/>
      <c r="IN15" s="202"/>
      <c r="IO15" s="139"/>
      <c r="IP15" s="139"/>
      <c r="IQ15" s="228"/>
      <c r="IR15" s="228"/>
      <c r="IS15" s="228"/>
      <c r="IT15" s="202"/>
      <c r="IU15" s="202"/>
      <c r="IV15" s="139"/>
      <c r="IW15" s="139"/>
      <c r="IX15" s="139"/>
      <c r="IY15" s="139"/>
      <c r="IZ15" s="139"/>
      <c r="JA15" s="202"/>
      <c r="JB15" s="202"/>
      <c r="JC15" s="228"/>
      <c r="JD15" s="228"/>
      <c r="JE15" s="139"/>
      <c r="JF15" s="139"/>
      <c r="JG15" s="139"/>
      <c r="JH15" s="202"/>
      <c r="JI15" s="202"/>
      <c r="JJ15" s="139"/>
      <c r="JK15" s="139"/>
      <c r="JL15" s="139"/>
      <c r="JM15" s="139"/>
      <c r="JN15" s="139"/>
      <c r="JO15" s="202"/>
      <c r="JP15" s="202"/>
      <c r="JQ15" s="139"/>
      <c r="JR15" s="139"/>
      <c r="JS15" s="139"/>
      <c r="JT15" s="139"/>
      <c r="JU15" s="139"/>
      <c r="JV15" s="202"/>
      <c r="JW15" s="202"/>
      <c r="JX15" s="139"/>
      <c r="JY15" s="139"/>
      <c r="JZ15" s="139"/>
      <c r="KA15" s="139"/>
      <c r="KB15" s="139"/>
      <c r="KC15" s="202"/>
      <c r="KD15" s="202"/>
      <c r="KE15" s="139"/>
      <c r="KF15" s="139"/>
      <c r="KG15" s="139"/>
      <c r="KH15" s="139"/>
      <c r="KI15" s="139"/>
      <c r="KJ15" s="192"/>
      <c r="KK15" s="192"/>
      <c r="KL15" s="139"/>
      <c r="KM15" s="139"/>
      <c r="KN15" s="139"/>
      <c r="KO15" s="139"/>
      <c r="KP15" s="228"/>
      <c r="KQ15" s="192"/>
      <c r="KR15" s="192"/>
      <c r="KS15" s="139"/>
      <c r="KT15" s="139"/>
      <c r="KU15" s="139"/>
      <c r="KV15" s="139"/>
      <c r="KW15" s="139"/>
      <c r="KX15" s="208"/>
      <c r="KY15" s="208"/>
      <c r="KZ15" s="192"/>
      <c r="LA15" s="192"/>
      <c r="LB15" s="192"/>
      <c r="LC15" s="192"/>
      <c r="LD15" s="192"/>
      <c r="LE15" s="208"/>
      <c r="LF15" s="208"/>
      <c r="LG15" s="228"/>
      <c r="LH15" s="228"/>
      <c r="LI15" s="228"/>
      <c r="LJ15" s="228"/>
      <c r="LK15" s="228"/>
      <c r="LL15" s="228"/>
      <c r="LM15" s="208"/>
      <c r="LN15" s="228"/>
      <c r="LO15" s="228"/>
      <c r="LP15" s="228"/>
      <c r="LQ15" s="228"/>
      <c r="LR15" s="228"/>
      <c r="LS15" s="208"/>
      <c r="LT15" s="208"/>
      <c r="LU15" s="228"/>
      <c r="LV15" s="139"/>
      <c r="LW15" s="139"/>
      <c r="LX15" s="139"/>
      <c r="LY15" s="139"/>
      <c r="LZ15" s="202"/>
      <c r="MA15" s="202"/>
      <c r="MB15" s="139"/>
      <c r="MC15" s="139"/>
      <c r="MD15" s="139"/>
      <c r="ME15" s="139"/>
      <c r="MF15" s="139"/>
      <c r="MG15" s="202"/>
      <c r="MH15" s="202"/>
      <c r="MI15" s="139"/>
      <c r="MJ15" s="139"/>
      <c r="MK15" s="139"/>
      <c r="ML15" s="139"/>
      <c r="MM15" s="139"/>
      <c r="MN15" s="202"/>
      <c r="MO15" s="202"/>
      <c r="MP15" s="139"/>
      <c r="MQ15" s="139"/>
      <c r="MR15" s="139"/>
      <c r="MS15" s="139"/>
      <c r="MT15" s="139"/>
      <c r="MU15" s="202"/>
      <c r="MV15" s="202"/>
      <c r="MW15" s="139"/>
      <c r="MX15" s="139"/>
      <c r="MY15" s="139"/>
      <c r="MZ15" s="139"/>
      <c r="NA15" s="139"/>
      <c r="NB15" s="139"/>
      <c r="NC15" s="139"/>
      <c r="ND15" s="139"/>
    </row>
    <row r="16" spans="1:368" s="140" customFormat="1" ht="15" customHeight="1">
      <c r="A16" s="472"/>
      <c r="B16" s="461"/>
      <c r="C16" s="164" t="s">
        <v>11</v>
      </c>
      <c r="D16" s="258"/>
      <c r="E16" s="139"/>
      <c r="F16" s="139"/>
      <c r="G16" s="139"/>
      <c r="H16" s="259"/>
      <c r="I16" s="192"/>
      <c r="J16" s="192"/>
      <c r="K16" s="258"/>
      <c r="L16" s="139"/>
      <c r="M16" s="139"/>
      <c r="N16" s="139"/>
      <c r="O16" s="259"/>
      <c r="P16" s="192"/>
      <c r="Q16" s="192"/>
      <c r="R16" s="258"/>
      <c r="S16" s="139"/>
      <c r="T16" s="139"/>
      <c r="U16" s="139"/>
      <c r="V16" s="259"/>
      <c r="W16" s="192"/>
      <c r="X16" s="192"/>
      <c r="Y16" s="258"/>
      <c r="Z16" s="139"/>
      <c r="AA16" s="139"/>
      <c r="AB16" s="139"/>
      <c r="AC16" s="259"/>
      <c r="AD16" s="192"/>
      <c r="AE16" s="192"/>
      <c r="AF16" s="258"/>
      <c r="AG16" s="139"/>
      <c r="AH16" s="139"/>
      <c r="AI16" s="139"/>
      <c r="AJ16" s="259"/>
      <c r="AK16" s="192"/>
      <c r="AL16" s="192"/>
      <c r="AM16" s="258"/>
      <c r="AN16" s="139"/>
      <c r="AO16" s="139"/>
      <c r="AP16" s="139"/>
      <c r="AQ16" s="259"/>
      <c r="AR16" s="192"/>
      <c r="AS16" s="192"/>
      <c r="AT16" s="258"/>
      <c r="AU16" s="139"/>
      <c r="AV16" s="139"/>
      <c r="AW16" s="139"/>
      <c r="AX16" s="259"/>
      <c r="AY16" s="192"/>
      <c r="AZ16" s="192"/>
      <c r="BA16" s="258"/>
      <c r="BB16" s="139"/>
      <c r="BC16" s="139"/>
      <c r="BD16" s="139"/>
      <c r="BE16" s="259"/>
      <c r="BF16" s="192"/>
      <c r="BG16" s="192"/>
      <c r="BH16" s="258"/>
      <c r="BI16" s="139"/>
      <c r="BJ16" s="139"/>
      <c r="BK16" s="139"/>
      <c r="BL16" s="259"/>
      <c r="BM16" s="192"/>
      <c r="BN16" s="192"/>
      <c r="BO16" s="258"/>
      <c r="BP16" s="139"/>
      <c r="BQ16" s="139"/>
      <c r="BR16" s="139"/>
      <c r="BS16" s="259"/>
      <c r="BT16" s="192"/>
      <c r="BU16" s="192"/>
      <c r="BV16" s="258"/>
      <c r="BW16" s="139"/>
      <c r="BX16" s="139"/>
      <c r="BY16" s="139"/>
      <c r="BZ16" s="259"/>
      <c r="CA16" s="192"/>
      <c r="CB16" s="192"/>
      <c r="CC16" s="258"/>
      <c r="CD16" s="139"/>
      <c r="CE16" s="139"/>
      <c r="CF16" s="139"/>
      <c r="CG16" s="259"/>
      <c r="CH16" s="192"/>
      <c r="CI16" s="192"/>
      <c r="CJ16" s="258"/>
      <c r="CK16" s="139"/>
      <c r="CL16" s="139"/>
      <c r="CM16" s="139"/>
      <c r="CN16" s="259"/>
      <c r="CO16" s="192"/>
      <c r="CP16" s="192"/>
      <c r="CQ16" s="258"/>
      <c r="CR16" s="139"/>
      <c r="CS16" s="139"/>
      <c r="CT16" s="139"/>
      <c r="CU16" s="259"/>
      <c r="CV16" s="192"/>
      <c r="CW16" s="192"/>
      <c r="CX16" s="258"/>
      <c r="CY16" s="139"/>
      <c r="CZ16" s="139"/>
      <c r="DA16" s="139"/>
      <c r="DB16" s="259"/>
      <c r="DC16" s="192"/>
      <c r="DD16" s="192"/>
      <c r="DE16" s="258"/>
      <c r="DF16" s="139"/>
      <c r="DG16" s="139"/>
      <c r="DH16" s="139"/>
      <c r="DI16" s="259"/>
      <c r="DJ16" s="192"/>
      <c r="DK16" s="192"/>
      <c r="DL16" s="258"/>
      <c r="DM16" s="139"/>
      <c r="DN16" s="139"/>
      <c r="DO16" s="139"/>
      <c r="DP16" s="259"/>
      <c r="DQ16" s="192"/>
      <c r="DR16" s="192"/>
      <c r="DS16" s="258"/>
      <c r="DT16" s="139"/>
      <c r="DU16" s="139"/>
      <c r="DV16" s="139"/>
      <c r="DW16" s="259"/>
      <c r="DX16" s="192"/>
      <c r="DY16" s="192"/>
      <c r="DZ16" s="258"/>
      <c r="EA16" s="139"/>
      <c r="EB16" s="139"/>
      <c r="EC16" s="139"/>
      <c r="ED16" s="259"/>
      <c r="EE16" s="192"/>
      <c r="EF16" s="192"/>
      <c r="EG16" s="258"/>
      <c r="EH16" s="139"/>
      <c r="EI16" s="139"/>
      <c r="EJ16" s="139"/>
      <c r="EK16" s="259"/>
      <c r="EL16" s="192"/>
      <c r="EM16" s="192"/>
      <c r="EN16" s="258"/>
      <c r="EO16" s="139"/>
      <c r="EP16" s="139"/>
      <c r="EQ16" s="139"/>
      <c r="ER16" s="259"/>
      <c r="ES16" s="192"/>
      <c r="ET16" s="192"/>
      <c r="EU16" s="258"/>
      <c r="EV16" s="139"/>
      <c r="EW16" s="139"/>
      <c r="EX16" s="139"/>
      <c r="EY16" s="259"/>
      <c r="EZ16" s="192"/>
      <c r="FA16" s="192"/>
      <c r="FB16" s="258"/>
      <c r="FC16" s="139"/>
      <c r="FD16" s="139"/>
      <c r="FE16" s="139"/>
      <c r="FF16" s="259"/>
      <c r="FG16" s="192"/>
      <c r="FH16" s="192"/>
      <c r="FI16" s="258"/>
      <c r="FJ16" s="139"/>
      <c r="FK16" s="139"/>
      <c r="FL16" s="139"/>
      <c r="FM16" s="259"/>
      <c r="FN16" s="192"/>
      <c r="FO16" s="192"/>
      <c r="FP16" s="258"/>
      <c r="FQ16" s="139"/>
      <c r="FR16" s="139"/>
      <c r="FS16" s="139"/>
      <c r="FT16" s="259"/>
      <c r="FU16" s="192"/>
      <c r="FV16" s="192"/>
      <c r="FW16" s="258"/>
      <c r="FX16" s="139"/>
      <c r="FY16" s="139"/>
      <c r="FZ16" s="139"/>
      <c r="GA16" s="259"/>
      <c r="GB16" s="192"/>
      <c r="GC16" s="192"/>
      <c r="GD16" s="139"/>
      <c r="GE16" s="139"/>
      <c r="GF16" s="139"/>
      <c r="GG16" s="139"/>
      <c r="GH16" s="139"/>
      <c r="GI16" s="192"/>
      <c r="GJ16" s="192"/>
      <c r="GK16" s="139"/>
      <c r="GL16" s="139"/>
      <c r="GM16" s="139"/>
      <c r="GN16" s="139"/>
      <c r="GO16" s="139"/>
      <c r="GP16" s="208"/>
      <c r="GQ16" s="208"/>
      <c r="GR16" s="139"/>
      <c r="GS16" s="139"/>
      <c r="GT16" s="139"/>
      <c r="GU16" s="139"/>
      <c r="GV16" s="139"/>
      <c r="GW16" s="208"/>
      <c r="GX16" s="208"/>
      <c r="GY16" s="139"/>
      <c r="GZ16" s="139"/>
      <c r="HA16" s="139"/>
      <c r="HB16" s="139"/>
      <c r="HC16" s="139"/>
      <c r="HD16" s="208"/>
      <c r="HE16" s="208"/>
      <c r="HF16" s="139"/>
      <c r="HG16" s="139"/>
      <c r="HH16" s="139"/>
      <c r="HI16" s="139"/>
      <c r="HJ16" s="139"/>
      <c r="HK16" s="208"/>
      <c r="HL16" s="208"/>
      <c r="HM16" s="139"/>
      <c r="HN16" s="139"/>
      <c r="HO16" s="139"/>
      <c r="HP16" s="139"/>
      <c r="HQ16" s="139"/>
      <c r="HR16" s="139"/>
      <c r="HS16" s="139"/>
      <c r="HT16" s="206"/>
      <c r="HU16" s="206"/>
      <c r="HV16" s="206"/>
      <c r="HW16" s="206"/>
      <c r="HX16" s="206"/>
      <c r="HY16" s="202"/>
      <c r="HZ16" s="202"/>
      <c r="IA16" s="139"/>
      <c r="IB16" s="139"/>
      <c r="IC16" s="139"/>
      <c r="ID16" s="139"/>
      <c r="IE16" s="139"/>
      <c r="IF16" s="202"/>
      <c r="IG16" s="202"/>
      <c r="IH16" s="139"/>
      <c r="II16" s="139"/>
      <c r="IJ16" s="139"/>
      <c r="IK16" s="139"/>
      <c r="IL16" s="139"/>
      <c r="IM16" s="202"/>
      <c r="IN16" s="202"/>
      <c r="IO16" s="139"/>
      <c r="IP16" s="139"/>
      <c r="IQ16" s="228"/>
      <c r="IR16" s="228"/>
      <c r="IS16" s="228"/>
      <c r="IT16" s="202"/>
      <c r="IU16" s="202"/>
      <c r="IV16" s="139"/>
      <c r="IW16" s="139"/>
      <c r="IX16" s="139"/>
      <c r="IY16" s="139"/>
      <c r="IZ16" s="139"/>
      <c r="JA16" s="202"/>
      <c r="JB16" s="202"/>
      <c r="JC16" s="228"/>
      <c r="JD16" s="228"/>
      <c r="JE16" s="139"/>
      <c r="JF16" s="139"/>
      <c r="JG16" s="139"/>
      <c r="JH16" s="202"/>
      <c r="JI16" s="202"/>
      <c r="JJ16" s="139"/>
      <c r="JK16" s="139"/>
      <c r="JL16" s="139"/>
      <c r="JM16" s="139"/>
      <c r="JN16" s="139"/>
      <c r="JO16" s="202"/>
      <c r="JP16" s="202"/>
      <c r="JQ16" s="139"/>
      <c r="JR16" s="139"/>
      <c r="JS16" s="139"/>
      <c r="JT16" s="139"/>
      <c r="JU16" s="139"/>
      <c r="JV16" s="202"/>
      <c r="JW16" s="202"/>
      <c r="JX16" s="139"/>
      <c r="JY16" s="139"/>
      <c r="JZ16" s="139"/>
      <c r="KA16" s="139"/>
      <c r="KB16" s="139"/>
      <c r="KC16" s="202"/>
      <c r="KD16" s="202"/>
      <c r="KE16" s="139"/>
      <c r="KF16" s="139"/>
      <c r="KG16" s="139"/>
      <c r="KH16" s="139"/>
      <c r="KI16" s="139"/>
      <c r="KJ16" s="192"/>
      <c r="KK16" s="192"/>
      <c r="KL16" s="139"/>
      <c r="KM16" s="139"/>
      <c r="KN16" s="139"/>
      <c r="KO16" s="139"/>
      <c r="KP16" s="228"/>
      <c r="KQ16" s="192"/>
      <c r="KR16" s="192"/>
      <c r="KS16" s="139"/>
      <c r="KT16" s="139"/>
      <c r="KU16" s="139"/>
      <c r="KV16" s="139"/>
      <c r="KW16" s="139"/>
      <c r="KX16" s="208"/>
      <c r="KY16" s="208"/>
      <c r="KZ16" s="192"/>
      <c r="LA16" s="192"/>
      <c r="LB16" s="192"/>
      <c r="LC16" s="192"/>
      <c r="LD16" s="192"/>
      <c r="LE16" s="208"/>
      <c r="LF16" s="208"/>
      <c r="LG16" s="228"/>
      <c r="LH16" s="228"/>
      <c r="LI16" s="228"/>
      <c r="LJ16" s="228"/>
      <c r="LK16" s="228"/>
      <c r="LL16" s="228"/>
      <c r="LM16" s="208"/>
      <c r="LN16" s="228"/>
      <c r="LO16" s="228"/>
      <c r="LP16" s="228"/>
      <c r="LQ16" s="228"/>
      <c r="LR16" s="228"/>
      <c r="LS16" s="208"/>
      <c r="LT16" s="208"/>
      <c r="LU16" s="228"/>
      <c r="LV16" s="139"/>
      <c r="LW16" s="139"/>
      <c r="LX16" s="139"/>
      <c r="LY16" s="139"/>
      <c r="LZ16" s="202"/>
      <c r="MA16" s="202"/>
      <c r="MB16" s="139"/>
      <c r="MC16" s="139"/>
      <c r="MD16" s="139"/>
      <c r="ME16" s="139"/>
      <c r="MF16" s="139"/>
      <c r="MG16" s="202"/>
      <c r="MH16" s="202"/>
      <c r="MI16" s="139"/>
      <c r="MJ16" s="139"/>
      <c r="MK16" s="139"/>
      <c r="ML16" s="139"/>
      <c r="MM16" s="139"/>
      <c r="MN16" s="202"/>
      <c r="MO16" s="202"/>
      <c r="MP16" s="139"/>
      <c r="MQ16" s="139"/>
      <c r="MR16" s="139"/>
      <c r="MS16" s="139"/>
      <c r="MT16" s="139"/>
      <c r="MU16" s="202"/>
      <c r="MV16" s="202"/>
      <c r="MW16" s="139"/>
      <c r="MX16" s="139"/>
      <c r="MY16" s="139"/>
      <c r="MZ16" s="139"/>
      <c r="NA16" s="139"/>
      <c r="NB16" s="139"/>
      <c r="NC16" s="139"/>
      <c r="ND16" s="139"/>
    </row>
    <row r="17" spans="1:368" s="140" customFormat="1" ht="15" customHeight="1">
      <c r="A17" s="472"/>
      <c r="B17" s="461"/>
      <c r="C17" s="164" t="s">
        <v>12</v>
      </c>
      <c r="D17" s="258"/>
      <c r="E17" s="139"/>
      <c r="F17" s="139"/>
      <c r="G17" s="139"/>
      <c r="H17" s="259"/>
      <c r="I17" s="192"/>
      <c r="J17" s="192"/>
      <c r="K17" s="258"/>
      <c r="L17" s="139"/>
      <c r="M17" s="139"/>
      <c r="N17" s="139"/>
      <c r="O17" s="259"/>
      <c r="P17" s="192"/>
      <c r="Q17" s="192"/>
      <c r="R17" s="258"/>
      <c r="S17" s="139"/>
      <c r="T17" s="139"/>
      <c r="U17" s="139"/>
      <c r="V17" s="259"/>
      <c r="W17" s="192"/>
      <c r="X17" s="192"/>
      <c r="Y17" s="258"/>
      <c r="Z17" s="139"/>
      <c r="AA17" s="139"/>
      <c r="AB17" s="139"/>
      <c r="AC17" s="259"/>
      <c r="AD17" s="192"/>
      <c r="AE17" s="192"/>
      <c r="AF17" s="258"/>
      <c r="AG17" s="139"/>
      <c r="AH17" s="139"/>
      <c r="AI17" s="139"/>
      <c r="AJ17" s="259"/>
      <c r="AK17" s="192"/>
      <c r="AL17" s="192"/>
      <c r="AM17" s="258"/>
      <c r="AN17" s="139"/>
      <c r="AO17" s="139"/>
      <c r="AP17" s="139"/>
      <c r="AQ17" s="259"/>
      <c r="AR17" s="192"/>
      <c r="AS17" s="192"/>
      <c r="AT17" s="258"/>
      <c r="AU17" s="139"/>
      <c r="AV17" s="139"/>
      <c r="AW17" s="139"/>
      <c r="AX17" s="259"/>
      <c r="AY17" s="192"/>
      <c r="AZ17" s="192"/>
      <c r="BA17" s="258"/>
      <c r="BB17" s="139"/>
      <c r="BC17" s="139"/>
      <c r="BD17" s="139"/>
      <c r="BE17" s="259"/>
      <c r="BF17" s="192"/>
      <c r="BG17" s="192"/>
      <c r="BH17" s="258"/>
      <c r="BI17" s="139"/>
      <c r="BJ17" s="139"/>
      <c r="BK17" s="139"/>
      <c r="BL17" s="259"/>
      <c r="BM17" s="192"/>
      <c r="BN17" s="192"/>
      <c r="BO17" s="258"/>
      <c r="BP17" s="139"/>
      <c r="BQ17" s="139"/>
      <c r="BR17" s="139"/>
      <c r="BS17" s="259"/>
      <c r="BT17" s="192"/>
      <c r="BU17" s="192"/>
      <c r="BV17" s="258"/>
      <c r="BW17" s="139"/>
      <c r="BX17" s="139"/>
      <c r="BY17" s="139"/>
      <c r="BZ17" s="259"/>
      <c r="CA17" s="192"/>
      <c r="CB17" s="192"/>
      <c r="CC17" s="258"/>
      <c r="CD17" s="139"/>
      <c r="CE17" s="139"/>
      <c r="CF17" s="139"/>
      <c r="CG17" s="259"/>
      <c r="CH17" s="192"/>
      <c r="CI17" s="192"/>
      <c r="CJ17" s="258"/>
      <c r="CK17" s="139"/>
      <c r="CL17" s="139"/>
      <c r="CM17" s="139"/>
      <c r="CN17" s="259"/>
      <c r="CO17" s="192"/>
      <c r="CP17" s="192"/>
      <c r="CQ17" s="258"/>
      <c r="CR17" s="139"/>
      <c r="CS17" s="139"/>
      <c r="CT17" s="139"/>
      <c r="CU17" s="259"/>
      <c r="CV17" s="192"/>
      <c r="CW17" s="192"/>
      <c r="CX17" s="258"/>
      <c r="CY17" s="139"/>
      <c r="CZ17" s="139"/>
      <c r="DA17" s="139"/>
      <c r="DB17" s="259"/>
      <c r="DC17" s="192"/>
      <c r="DD17" s="192"/>
      <c r="DE17" s="258"/>
      <c r="DF17" s="139"/>
      <c r="DG17" s="139"/>
      <c r="DH17" s="139"/>
      <c r="DI17" s="259"/>
      <c r="DJ17" s="192"/>
      <c r="DK17" s="192"/>
      <c r="DL17" s="258"/>
      <c r="DM17" s="139"/>
      <c r="DN17" s="139"/>
      <c r="DO17" s="139"/>
      <c r="DP17" s="259"/>
      <c r="DQ17" s="192"/>
      <c r="DR17" s="192"/>
      <c r="DS17" s="258"/>
      <c r="DT17" s="139"/>
      <c r="DU17" s="139"/>
      <c r="DV17" s="139"/>
      <c r="DW17" s="259"/>
      <c r="DX17" s="192"/>
      <c r="DY17" s="192"/>
      <c r="DZ17" s="258"/>
      <c r="EA17" s="139"/>
      <c r="EB17" s="139"/>
      <c r="EC17" s="139"/>
      <c r="ED17" s="259"/>
      <c r="EE17" s="192"/>
      <c r="EF17" s="192"/>
      <c r="EG17" s="258"/>
      <c r="EH17" s="139"/>
      <c r="EI17" s="139"/>
      <c r="EJ17" s="139"/>
      <c r="EK17" s="259"/>
      <c r="EL17" s="192"/>
      <c r="EM17" s="192"/>
      <c r="EN17" s="258"/>
      <c r="EO17" s="139"/>
      <c r="EP17" s="139"/>
      <c r="EQ17" s="139"/>
      <c r="ER17" s="259"/>
      <c r="ES17" s="192"/>
      <c r="ET17" s="192"/>
      <c r="EU17" s="258"/>
      <c r="EV17" s="139"/>
      <c r="EW17" s="139"/>
      <c r="EX17" s="139"/>
      <c r="EY17" s="259"/>
      <c r="EZ17" s="192"/>
      <c r="FA17" s="192"/>
      <c r="FB17" s="258"/>
      <c r="FC17" s="139"/>
      <c r="FD17" s="139"/>
      <c r="FE17" s="139"/>
      <c r="FF17" s="259"/>
      <c r="FG17" s="192"/>
      <c r="FH17" s="192"/>
      <c r="FI17" s="258"/>
      <c r="FJ17" s="139"/>
      <c r="FK17" s="139"/>
      <c r="FL17" s="139"/>
      <c r="FM17" s="259"/>
      <c r="FN17" s="192"/>
      <c r="FO17" s="192"/>
      <c r="FP17" s="258"/>
      <c r="FQ17" s="139"/>
      <c r="FR17" s="139"/>
      <c r="FS17" s="139"/>
      <c r="FT17" s="259"/>
      <c r="FU17" s="192"/>
      <c r="FV17" s="192"/>
      <c r="FW17" s="258"/>
      <c r="FX17" s="139"/>
      <c r="FY17" s="139"/>
      <c r="FZ17" s="139"/>
      <c r="GA17" s="259"/>
      <c r="GB17" s="192"/>
      <c r="GC17" s="192"/>
      <c r="GD17" s="139"/>
      <c r="GE17" s="139"/>
      <c r="GF17" s="139"/>
      <c r="GG17" s="139"/>
      <c r="GH17" s="139"/>
      <c r="GI17" s="192"/>
      <c r="GJ17" s="192"/>
      <c r="GK17" s="139"/>
      <c r="GL17" s="139"/>
      <c r="GM17" s="139"/>
      <c r="GN17" s="139"/>
      <c r="GO17" s="139"/>
      <c r="GP17" s="208"/>
      <c r="GQ17" s="208"/>
      <c r="GR17" s="139"/>
      <c r="GS17" s="139"/>
      <c r="GT17" s="139"/>
      <c r="GU17" s="139"/>
      <c r="GV17" s="139"/>
      <c r="GW17" s="208"/>
      <c r="GX17" s="208"/>
      <c r="GY17" s="139"/>
      <c r="GZ17" s="139"/>
      <c r="HA17" s="139"/>
      <c r="HB17" s="139"/>
      <c r="HC17" s="139"/>
      <c r="HD17" s="208"/>
      <c r="HE17" s="208"/>
      <c r="HF17" s="139"/>
      <c r="HG17" s="139"/>
      <c r="HH17" s="139"/>
      <c r="HI17" s="139"/>
      <c r="HJ17" s="139"/>
      <c r="HK17" s="208"/>
      <c r="HL17" s="208"/>
      <c r="HM17" s="139"/>
      <c r="HN17" s="139"/>
      <c r="HO17" s="139"/>
      <c r="HP17" s="139"/>
      <c r="HQ17" s="139"/>
      <c r="HR17" s="139"/>
      <c r="HS17" s="139"/>
      <c r="HT17" s="206"/>
      <c r="HU17" s="206"/>
      <c r="HV17" s="206"/>
      <c r="HW17" s="206"/>
      <c r="HX17" s="206"/>
      <c r="HY17" s="202"/>
      <c r="HZ17" s="202"/>
      <c r="IA17" s="139"/>
      <c r="IB17" s="139"/>
      <c r="IC17" s="139"/>
      <c r="ID17" s="139"/>
      <c r="IE17" s="139"/>
      <c r="IF17" s="202"/>
      <c r="IG17" s="202"/>
      <c r="IH17" s="139"/>
      <c r="II17" s="139"/>
      <c r="IJ17" s="139"/>
      <c r="IK17" s="139"/>
      <c r="IL17" s="139"/>
      <c r="IM17" s="202"/>
      <c r="IN17" s="202"/>
      <c r="IO17" s="139"/>
      <c r="IP17" s="139"/>
      <c r="IQ17" s="228"/>
      <c r="IR17" s="228"/>
      <c r="IS17" s="228"/>
      <c r="IT17" s="202"/>
      <c r="IU17" s="202"/>
      <c r="IV17" s="139"/>
      <c r="IW17" s="139"/>
      <c r="IX17" s="139"/>
      <c r="IY17" s="139"/>
      <c r="IZ17" s="139"/>
      <c r="JA17" s="202"/>
      <c r="JB17" s="202"/>
      <c r="JC17" s="228"/>
      <c r="JD17" s="228"/>
      <c r="JE17" s="139"/>
      <c r="JF17" s="139"/>
      <c r="JG17" s="139"/>
      <c r="JH17" s="202"/>
      <c r="JI17" s="202"/>
      <c r="JJ17" s="139"/>
      <c r="JK17" s="139"/>
      <c r="JL17" s="139"/>
      <c r="JM17" s="139"/>
      <c r="JN17" s="139"/>
      <c r="JO17" s="202"/>
      <c r="JP17" s="202"/>
      <c r="JQ17" s="139"/>
      <c r="JR17" s="139"/>
      <c r="JS17" s="139"/>
      <c r="JT17" s="139"/>
      <c r="JU17" s="139"/>
      <c r="JV17" s="202"/>
      <c r="JW17" s="202"/>
      <c r="JX17" s="139"/>
      <c r="JY17" s="139"/>
      <c r="JZ17" s="139"/>
      <c r="KA17" s="139"/>
      <c r="KB17" s="139"/>
      <c r="KC17" s="202"/>
      <c r="KD17" s="202"/>
      <c r="KE17" s="139"/>
      <c r="KF17" s="139"/>
      <c r="KG17" s="139"/>
      <c r="KH17" s="139"/>
      <c r="KI17" s="139"/>
      <c r="KJ17" s="192"/>
      <c r="KK17" s="192"/>
      <c r="KL17" s="139"/>
      <c r="KM17" s="139"/>
      <c r="KN17" s="139"/>
      <c r="KO17" s="139"/>
      <c r="KP17" s="228"/>
      <c r="KQ17" s="192"/>
      <c r="KR17" s="192"/>
      <c r="KS17" s="139"/>
      <c r="KT17" s="139"/>
      <c r="KU17" s="139"/>
      <c r="KV17" s="139"/>
      <c r="KW17" s="139"/>
      <c r="KX17" s="208"/>
      <c r="KY17" s="208"/>
      <c r="KZ17" s="192"/>
      <c r="LA17" s="192"/>
      <c r="LB17" s="192"/>
      <c r="LC17" s="192"/>
      <c r="LD17" s="192"/>
      <c r="LE17" s="208"/>
      <c r="LF17" s="208"/>
      <c r="LG17" s="228"/>
      <c r="LH17" s="228"/>
      <c r="LI17" s="228"/>
      <c r="LJ17" s="228"/>
      <c r="LK17" s="228"/>
      <c r="LL17" s="228"/>
      <c r="LM17" s="208"/>
      <c r="LN17" s="228"/>
      <c r="LO17" s="228"/>
      <c r="LP17" s="228"/>
      <c r="LQ17" s="228"/>
      <c r="LR17" s="228"/>
      <c r="LS17" s="208"/>
      <c r="LT17" s="208"/>
      <c r="LU17" s="228"/>
      <c r="LV17" s="139"/>
      <c r="LW17" s="139"/>
      <c r="LX17" s="139"/>
      <c r="LY17" s="139"/>
      <c r="LZ17" s="202"/>
      <c r="MA17" s="202"/>
      <c r="MB17" s="139"/>
      <c r="MC17" s="139"/>
      <c r="MD17" s="139"/>
      <c r="ME17" s="139"/>
      <c r="MF17" s="139"/>
      <c r="MG17" s="202"/>
      <c r="MH17" s="202"/>
      <c r="MI17" s="139"/>
      <c r="MJ17" s="139"/>
      <c r="MK17" s="139"/>
      <c r="ML17" s="139"/>
      <c r="MM17" s="139"/>
      <c r="MN17" s="202"/>
      <c r="MO17" s="202"/>
      <c r="MP17" s="139"/>
      <c r="MQ17" s="139"/>
      <c r="MR17" s="139"/>
      <c r="MS17" s="139"/>
      <c r="MT17" s="139"/>
      <c r="MU17" s="202"/>
      <c r="MV17" s="202"/>
      <c r="MW17" s="139"/>
      <c r="MX17" s="139"/>
      <c r="MY17" s="139"/>
      <c r="MZ17" s="139"/>
      <c r="NA17" s="139"/>
      <c r="NB17" s="139"/>
      <c r="NC17" s="139"/>
      <c r="ND17" s="139"/>
    </row>
    <row r="18" spans="1:368" s="140" customFormat="1" ht="15" customHeight="1" thickBot="1">
      <c r="A18" s="472"/>
      <c r="B18" s="461"/>
      <c r="C18" s="164" t="s">
        <v>13</v>
      </c>
      <c r="D18" s="260"/>
      <c r="E18" s="261"/>
      <c r="F18" s="261"/>
      <c r="G18" s="261"/>
      <c r="H18" s="262"/>
      <c r="I18" s="192"/>
      <c r="J18" s="192"/>
      <c r="K18" s="260"/>
      <c r="L18" s="261"/>
      <c r="M18" s="261"/>
      <c r="N18" s="261"/>
      <c r="O18" s="262"/>
      <c r="P18" s="192"/>
      <c r="Q18" s="192"/>
      <c r="R18" s="260"/>
      <c r="S18" s="261"/>
      <c r="T18" s="261"/>
      <c r="U18" s="261"/>
      <c r="V18" s="262"/>
      <c r="W18" s="192"/>
      <c r="X18" s="192"/>
      <c r="Y18" s="260"/>
      <c r="Z18" s="261"/>
      <c r="AA18" s="261"/>
      <c r="AB18" s="261"/>
      <c r="AC18" s="262"/>
      <c r="AD18" s="192"/>
      <c r="AE18" s="192"/>
      <c r="AF18" s="260"/>
      <c r="AG18" s="261"/>
      <c r="AH18" s="261"/>
      <c r="AI18" s="261"/>
      <c r="AJ18" s="262"/>
      <c r="AK18" s="192"/>
      <c r="AL18" s="192"/>
      <c r="AM18" s="260"/>
      <c r="AN18" s="261"/>
      <c r="AO18" s="261"/>
      <c r="AP18" s="261"/>
      <c r="AQ18" s="262"/>
      <c r="AR18" s="192"/>
      <c r="AS18" s="192"/>
      <c r="AT18" s="260"/>
      <c r="AU18" s="261"/>
      <c r="AV18" s="261"/>
      <c r="AW18" s="261"/>
      <c r="AX18" s="262"/>
      <c r="AY18" s="192"/>
      <c r="AZ18" s="192"/>
      <c r="BA18" s="260"/>
      <c r="BB18" s="261"/>
      <c r="BC18" s="261"/>
      <c r="BD18" s="261"/>
      <c r="BE18" s="262"/>
      <c r="BF18" s="192"/>
      <c r="BG18" s="192"/>
      <c r="BH18" s="260"/>
      <c r="BI18" s="261"/>
      <c r="BJ18" s="261"/>
      <c r="BK18" s="261"/>
      <c r="BL18" s="262"/>
      <c r="BM18" s="192"/>
      <c r="BN18" s="192"/>
      <c r="BO18" s="260"/>
      <c r="BP18" s="261"/>
      <c r="BQ18" s="261"/>
      <c r="BR18" s="261"/>
      <c r="BS18" s="262"/>
      <c r="BT18" s="192"/>
      <c r="BU18" s="192"/>
      <c r="BV18" s="260"/>
      <c r="BW18" s="261"/>
      <c r="BX18" s="261"/>
      <c r="BY18" s="261"/>
      <c r="BZ18" s="262"/>
      <c r="CA18" s="192"/>
      <c r="CB18" s="192"/>
      <c r="CC18" s="260"/>
      <c r="CD18" s="261"/>
      <c r="CE18" s="261"/>
      <c r="CF18" s="261"/>
      <c r="CG18" s="262"/>
      <c r="CH18" s="192"/>
      <c r="CI18" s="192"/>
      <c r="CJ18" s="260"/>
      <c r="CK18" s="261"/>
      <c r="CL18" s="261"/>
      <c r="CM18" s="261"/>
      <c r="CN18" s="262"/>
      <c r="CO18" s="192"/>
      <c r="CP18" s="192"/>
      <c r="CQ18" s="260"/>
      <c r="CR18" s="261"/>
      <c r="CS18" s="261"/>
      <c r="CT18" s="261"/>
      <c r="CU18" s="262"/>
      <c r="CV18" s="192"/>
      <c r="CW18" s="192"/>
      <c r="CX18" s="260"/>
      <c r="CY18" s="261"/>
      <c r="CZ18" s="261"/>
      <c r="DA18" s="261"/>
      <c r="DB18" s="262"/>
      <c r="DC18" s="192"/>
      <c r="DD18" s="192"/>
      <c r="DE18" s="260"/>
      <c r="DF18" s="261"/>
      <c r="DG18" s="261"/>
      <c r="DH18" s="261"/>
      <c r="DI18" s="262"/>
      <c r="DJ18" s="192"/>
      <c r="DK18" s="192"/>
      <c r="DL18" s="260"/>
      <c r="DM18" s="261"/>
      <c r="DN18" s="261"/>
      <c r="DO18" s="261"/>
      <c r="DP18" s="262"/>
      <c r="DQ18" s="192"/>
      <c r="DR18" s="192"/>
      <c r="DS18" s="260"/>
      <c r="DT18" s="261"/>
      <c r="DU18" s="261"/>
      <c r="DV18" s="261"/>
      <c r="DW18" s="262"/>
      <c r="DX18" s="192"/>
      <c r="DY18" s="192"/>
      <c r="DZ18" s="260"/>
      <c r="EA18" s="261"/>
      <c r="EB18" s="261"/>
      <c r="EC18" s="261"/>
      <c r="ED18" s="262"/>
      <c r="EE18" s="192"/>
      <c r="EF18" s="192"/>
      <c r="EG18" s="260"/>
      <c r="EH18" s="261"/>
      <c r="EI18" s="261"/>
      <c r="EJ18" s="261"/>
      <c r="EK18" s="262"/>
      <c r="EL18" s="192"/>
      <c r="EM18" s="192"/>
      <c r="EN18" s="260"/>
      <c r="EO18" s="261"/>
      <c r="EP18" s="261"/>
      <c r="EQ18" s="261"/>
      <c r="ER18" s="262"/>
      <c r="ES18" s="192"/>
      <c r="ET18" s="192"/>
      <c r="EU18" s="260"/>
      <c r="EV18" s="261"/>
      <c r="EW18" s="261"/>
      <c r="EX18" s="261"/>
      <c r="EY18" s="262"/>
      <c r="EZ18" s="192"/>
      <c r="FA18" s="192"/>
      <c r="FB18" s="260"/>
      <c r="FC18" s="261"/>
      <c r="FD18" s="261"/>
      <c r="FE18" s="261"/>
      <c r="FF18" s="262"/>
      <c r="FG18" s="192"/>
      <c r="FH18" s="192"/>
      <c r="FI18" s="260"/>
      <c r="FJ18" s="261"/>
      <c r="FK18" s="261"/>
      <c r="FL18" s="261"/>
      <c r="FM18" s="262"/>
      <c r="FN18" s="192"/>
      <c r="FO18" s="192"/>
      <c r="FP18" s="260"/>
      <c r="FQ18" s="261"/>
      <c r="FR18" s="261"/>
      <c r="FS18" s="261"/>
      <c r="FT18" s="262"/>
      <c r="FU18" s="192"/>
      <c r="FV18" s="192"/>
      <c r="FW18" s="260"/>
      <c r="FX18" s="261"/>
      <c r="FY18" s="261"/>
      <c r="FZ18" s="261"/>
      <c r="GA18" s="262"/>
      <c r="GB18" s="192"/>
      <c r="GC18" s="192"/>
      <c r="GD18" s="139"/>
      <c r="GE18" s="139"/>
      <c r="GF18" s="139"/>
      <c r="GG18" s="139"/>
      <c r="GH18" s="139"/>
      <c r="GI18" s="192"/>
      <c r="GJ18" s="192"/>
      <c r="GK18" s="139"/>
      <c r="GL18" s="139"/>
      <c r="GM18" s="139"/>
      <c r="GN18" s="139"/>
      <c r="GO18" s="139"/>
      <c r="GP18" s="208"/>
      <c r="GQ18" s="208"/>
      <c r="GR18" s="139"/>
      <c r="GS18" s="139"/>
      <c r="GT18" s="139"/>
      <c r="GU18" s="139"/>
      <c r="GV18" s="139"/>
      <c r="GW18" s="208"/>
      <c r="GX18" s="208"/>
      <c r="GY18" s="139"/>
      <c r="GZ18" s="139"/>
      <c r="HA18" s="139"/>
      <c r="HB18" s="139"/>
      <c r="HC18" s="139"/>
      <c r="HD18" s="208"/>
      <c r="HE18" s="208"/>
      <c r="HF18" s="139"/>
      <c r="HG18" s="139"/>
      <c r="HH18" s="139"/>
      <c r="HI18" s="139"/>
      <c r="HJ18" s="139"/>
      <c r="HK18" s="208"/>
      <c r="HL18" s="208"/>
      <c r="HM18" s="139"/>
      <c r="HN18" s="139"/>
      <c r="HO18" s="139"/>
      <c r="HP18" s="139"/>
      <c r="HQ18" s="139"/>
      <c r="HR18" s="139"/>
      <c r="HS18" s="139"/>
      <c r="HT18" s="206"/>
      <c r="HU18" s="206"/>
      <c r="HV18" s="206"/>
      <c r="HW18" s="206"/>
      <c r="HX18" s="206"/>
      <c r="HY18" s="202"/>
      <c r="HZ18" s="202"/>
      <c r="IA18" s="139"/>
      <c r="IB18" s="139"/>
      <c r="IC18" s="139"/>
      <c r="ID18" s="139"/>
      <c r="IE18" s="139"/>
      <c r="IF18" s="202"/>
      <c r="IG18" s="202"/>
      <c r="IH18" s="139"/>
      <c r="II18" s="139"/>
      <c r="IJ18" s="139"/>
      <c r="IK18" s="139"/>
      <c r="IL18" s="139"/>
      <c r="IM18" s="202"/>
      <c r="IN18" s="202"/>
      <c r="IO18" s="139"/>
      <c r="IP18" s="139"/>
      <c r="IQ18" s="228"/>
      <c r="IR18" s="228"/>
      <c r="IS18" s="228"/>
      <c r="IT18" s="202"/>
      <c r="IU18" s="202"/>
      <c r="IV18" s="139"/>
      <c r="IW18" s="139"/>
      <c r="IX18" s="139"/>
      <c r="IY18" s="139"/>
      <c r="IZ18" s="139"/>
      <c r="JA18" s="202"/>
      <c r="JB18" s="202"/>
      <c r="JC18" s="228"/>
      <c r="JD18" s="228"/>
      <c r="JE18" s="139"/>
      <c r="JF18" s="139"/>
      <c r="JG18" s="139"/>
      <c r="JH18" s="202"/>
      <c r="JI18" s="202"/>
      <c r="JJ18" s="139"/>
      <c r="JK18" s="139"/>
      <c r="JL18" s="139"/>
      <c r="JM18" s="139"/>
      <c r="JN18" s="139"/>
      <c r="JO18" s="202"/>
      <c r="JP18" s="202"/>
      <c r="JQ18" s="139"/>
      <c r="JR18" s="139"/>
      <c r="JS18" s="139"/>
      <c r="JT18" s="139"/>
      <c r="JU18" s="139"/>
      <c r="JV18" s="202"/>
      <c r="JW18" s="202"/>
      <c r="JX18" s="139"/>
      <c r="JY18" s="139"/>
      <c r="JZ18" s="139"/>
      <c r="KA18" s="139"/>
      <c r="KB18" s="139"/>
      <c r="KC18" s="202"/>
      <c r="KD18" s="202"/>
      <c r="KE18" s="139"/>
      <c r="KF18" s="139"/>
      <c r="KG18" s="139"/>
      <c r="KH18" s="139"/>
      <c r="KI18" s="139"/>
      <c r="KJ18" s="192"/>
      <c r="KK18" s="192"/>
      <c r="KL18" s="139"/>
      <c r="KM18" s="139"/>
      <c r="KN18" s="139"/>
      <c r="KO18" s="139"/>
      <c r="KP18" s="228"/>
      <c r="KQ18" s="192"/>
      <c r="KR18" s="192"/>
      <c r="KS18" s="139"/>
      <c r="KT18" s="139"/>
      <c r="KU18" s="139"/>
      <c r="KV18" s="139"/>
      <c r="KW18" s="139"/>
      <c r="KX18" s="208"/>
      <c r="KY18" s="208"/>
      <c r="KZ18" s="192"/>
      <c r="LA18" s="192"/>
      <c r="LB18" s="192"/>
      <c r="LC18" s="192"/>
      <c r="LD18" s="192"/>
      <c r="LE18" s="208"/>
      <c r="LF18" s="208"/>
      <c r="LG18" s="228"/>
      <c r="LH18" s="228"/>
      <c r="LI18" s="228"/>
      <c r="LJ18" s="228"/>
      <c r="LK18" s="228"/>
      <c r="LL18" s="228"/>
      <c r="LM18" s="208"/>
      <c r="LN18" s="228"/>
      <c r="LO18" s="228"/>
      <c r="LP18" s="228"/>
      <c r="LQ18" s="228"/>
      <c r="LR18" s="228"/>
      <c r="LS18" s="208"/>
      <c r="LT18" s="208"/>
      <c r="LU18" s="228"/>
      <c r="LV18" s="139"/>
      <c r="LW18" s="139"/>
      <c r="LX18" s="139"/>
      <c r="LY18" s="139"/>
      <c r="LZ18" s="202"/>
      <c r="MA18" s="202"/>
      <c r="MB18" s="139"/>
      <c r="MC18" s="139"/>
      <c r="MD18" s="139"/>
      <c r="ME18" s="139"/>
      <c r="MF18" s="139"/>
      <c r="MG18" s="202"/>
      <c r="MH18" s="202"/>
      <c r="MI18" s="139"/>
      <c r="MJ18" s="139"/>
      <c r="MK18" s="139"/>
      <c r="ML18" s="139"/>
      <c r="MM18" s="139"/>
      <c r="MN18" s="202"/>
      <c r="MO18" s="202"/>
      <c r="MP18" s="139"/>
      <c r="MQ18" s="139"/>
      <c r="MR18" s="139"/>
      <c r="MS18" s="139"/>
      <c r="MT18" s="139"/>
      <c r="MU18" s="202"/>
      <c r="MV18" s="202"/>
      <c r="MW18" s="139"/>
      <c r="MX18" s="139"/>
      <c r="MY18" s="139"/>
      <c r="MZ18" s="139"/>
      <c r="NA18" s="139"/>
      <c r="NB18" s="139"/>
      <c r="NC18" s="139"/>
      <c r="ND18" s="139"/>
    </row>
    <row r="19" spans="1:368" s="151" customFormat="1" ht="15" hidden="1" customHeight="1" thickBot="1">
      <c r="A19" s="472"/>
      <c r="B19" s="462"/>
      <c r="C19" s="166" t="s">
        <v>93</v>
      </c>
      <c r="D19" s="150"/>
      <c r="E19" s="150"/>
      <c r="F19" s="150"/>
      <c r="G19" s="150"/>
      <c r="H19" s="150"/>
      <c r="I19" s="192"/>
      <c r="J19" s="192"/>
      <c r="K19" s="150"/>
      <c r="L19" s="150"/>
      <c r="M19" s="150"/>
      <c r="N19" s="150"/>
      <c r="O19" s="150"/>
      <c r="P19" s="192"/>
      <c r="Q19" s="192"/>
      <c r="R19" s="150"/>
      <c r="S19" s="150"/>
      <c r="T19" s="150"/>
      <c r="U19" s="150"/>
      <c r="V19" s="150"/>
      <c r="W19" s="192"/>
      <c r="X19" s="192"/>
      <c r="Y19" s="150"/>
      <c r="Z19" s="150"/>
      <c r="AA19" s="150"/>
      <c r="AB19" s="150"/>
      <c r="AC19" s="150"/>
      <c r="AD19" s="192"/>
      <c r="AE19" s="192"/>
      <c r="AF19" s="150"/>
      <c r="AG19" s="150"/>
      <c r="AH19" s="150"/>
      <c r="AI19" s="150"/>
      <c r="AJ19" s="150"/>
      <c r="AK19" s="192"/>
      <c r="AL19" s="192"/>
      <c r="AM19" s="150"/>
      <c r="AN19" s="150"/>
      <c r="AO19" s="150"/>
      <c r="AP19" s="150"/>
      <c r="AQ19" s="150"/>
      <c r="AR19" s="192"/>
      <c r="AS19" s="192"/>
      <c r="AT19" s="150"/>
      <c r="AU19" s="150"/>
      <c r="AV19" s="150"/>
      <c r="AW19" s="150"/>
      <c r="AX19" s="150"/>
      <c r="AY19" s="192"/>
      <c r="AZ19" s="192"/>
      <c r="BA19" s="150"/>
      <c r="BB19" s="150"/>
      <c r="BC19" s="150"/>
      <c r="BD19" s="150"/>
      <c r="BE19" s="150"/>
      <c r="BF19" s="192"/>
      <c r="BG19" s="192"/>
      <c r="BH19" s="150"/>
      <c r="BI19" s="150"/>
      <c r="BJ19" s="150"/>
      <c r="BK19" s="150"/>
      <c r="BL19" s="150"/>
      <c r="BM19" s="192"/>
      <c r="BN19" s="192"/>
      <c r="BO19" s="150"/>
      <c r="BP19" s="150"/>
      <c r="BQ19" s="150"/>
      <c r="BR19" s="150"/>
      <c r="BS19" s="150"/>
      <c r="BT19" s="192"/>
      <c r="BU19" s="192"/>
      <c r="BV19" s="150"/>
      <c r="BW19" s="150"/>
      <c r="BX19" s="150"/>
      <c r="BY19" s="150"/>
      <c r="BZ19" s="150"/>
      <c r="CA19" s="192"/>
      <c r="CB19" s="192"/>
      <c r="CC19" s="150"/>
      <c r="CD19" s="150"/>
      <c r="CE19" s="150"/>
      <c r="CF19" s="150"/>
      <c r="CG19" s="150"/>
      <c r="CH19" s="192"/>
      <c r="CI19" s="192"/>
      <c r="CJ19" s="150"/>
      <c r="CK19" s="150"/>
      <c r="CL19" s="150"/>
      <c r="CM19" s="150"/>
      <c r="CN19" s="150"/>
      <c r="CO19" s="192"/>
      <c r="CP19" s="192"/>
      <c r="CQ19" s="150"/>
      <c r="CR19" s="150"/>
      <c r="CS19" s="150"/>
      <c r="CT19" s="150"/>
      <c r="CU19" s="150"/>
      <c r="CV19" s="192"/>
      <c r="CW19" s="192"/>
      <c r="CX19" s="150"/>
      <c r="CY19" s="150"/>
      <c r="CZ19" s="150"/>
      <c r="DA19" s="150"/>
      <c r="DB19" s="150"/>
      <c r="DC19" s="192"/>
      <c r="DD19" s="192"/>
      <c r="DE19" s="150"/>
      <c r="DF19" s="150"/>
      <c r="DG19" s="150"/>
      <c r="DH19" s="150"/>
      <c r="DI19" s="150"/>
      <c r="DJ19" s="192"/>
      <c r="DK19" s="192"/>
      <c r="DL19" s="150"/>
      <c r="DM19" s="150"/>
      <c r="DN19" s="150"/>
      <c r="DO19" s="150"/>
      <c r="DP19" s="150"/>
      <c r="DQ19" s="192"/>
      <c r="DR19" s="192"/>
      <c r="DS19" s="150"/>
      <c r="DT19" s="150"/>
      <c r="DU19" s="150"/>
      <c r="DV19" s="150"/>
      <c r="DW19" s="150"/>
      <c r="DX19" s="192"/>
      <c r="DY19" s="192"/>
      <c r="DZ19" s="150"/>
      <c r="EA19" s="150"/>
      <c r="EB19" s="150"/>
      <c r="EC19" s="150"/>
      <c r="ED19" s="150"/>
      <c r="EE19" s="192"/>
      <c r="EF19" s="192"/>
      <c r="EG19" s="150"/>
      <c r="EH19" s="150"/>
      <c r="EI19" s="150"/>
      <c r="EJ19" s="150"/>
      <c r="EK19" s="150"/>
      <c r="EL19" s="192"/>
      <c r="EM19" s="192"/>
      <c r="EN19" s="150"/>
      <c r="EO19" s="150"/>
      <c r="EP19" s="150"/>
      <c r="EQ19" s="150"/>
      <c r="ER19" s="150"/>
      <c r="ES19" s="192"/>
      <c r="ET19" s="192"/>
      <c r="EU19" s="150"/>
      <c r="EV19" s="150"/>
      <c r="EW19" s="150"/>
      <c r="EX19" s="150"/>
      <c r="EY19" s="150"/>
      <c r="EZ19" s="192"/>
      <c r="FA19" s="192"/>
      <c r="FB19" s="150"/>
      <c r="FC19" s="150"/>
      <c r="FD19" s="150"/>
      <c r="FE19" s="150"/>
      <c r="FF19" s="150"/>
      <c r="FG19" s="192"/>
      <c r="FH19" s="192"/>
      <c r="FI19" s="150"/>
      <c r="FJ19" s="150"/>
      <c r="FK19" s="150"/>
      <c r="FL19" s="150"/>
      <c r="FM19" s="150"/>
      <c r="FN19" s="192"/>
      <c r="FO19" s="192"/>
      <c r="FP19" s="150"/>
      <c r="FQ19" s="150"/>
      <c r="FR19" s="150"/>
      <c r="FS19" s="150"/>
      <c r="FT19" s="150"/>
      <c r="FU19" s="192"/>
      <c r="FV19" s="192"/>
      <c r="FW19" s="150"/>
      <c r="FX19" s="150"/>
      <c r="FY19" s="150"/>
      <c r="FZ19" s="150"/>
      <c r="GA19" s="150"/>
      <c r="GB19" s="192"/>
      <c r="GC19" s="192"/>
      <c r="GD19" s="150"/>
      <c r="GE19" s="150"/>
      <c r="GF19" s="150"/>
      <c r="GG19" s="150"/>
      <c r="GH19" s="150"/>
      <c r="GI19" s="192"/>
      <c r="GJ19" s="192"/>
      <c r="GK19" s="150"/>
      <c r="GL19" s="150"/>
      <c r="GM19" s="150"/>
      <c r="GN19" s="150"/>
      <c r="GO19" s="150"/>
      <c r="GP19" s="208"/>
      <c r="GQ19" s="208"/>
      <c r="GR19" s="150"/>
      <c r="GS19" s="150"/>
      <c r="GT19" s="150"/>
      <c r="GU19" s="150"/>
      <c r="GV19" s="150"/>
      <c r="GW19" s="208"/>
      <c r="GX19" s="208"/>
      <c r="GY19" s="150"/>
      <c r="GZ19" s="150"/>
      <c r="HA19" s="150"/>
      <c r="HB19" s="150"/>
      <c r="HC19" s="150"/>
      <c r="HD19" s="208"/>
      <c r="HE19" s="208"/>
      <c r="HF19" s="150"/>
      <c r="HG19" s="150"/>
      <c r="HH19" s="150"/>
      <c r="HI19" s="150"/>
      <c r="HJ19" s="150"/>
      <c r="HK19" s="208"/>
      <c r="HL19" s="208"/>
      <c r="HM19" s="150"/>
      <c r="HN19" s="150"/>
      <c r="HO19" s="150"/>
      <c r="HP19" s="150"/>
      <c r="HQ19" s="150"/>
      <c r="HR19" s="150"/>
      <c r="HS19" s="150"/>
      <c r="HT19" s="150"/>
      <c r="HU19" s="150"/>
      <c r="HV19" s="150"/>
      <c r="HW19" s="150"/>
      <c r="HX19" s="150"/>
      <c r="HY19" s="202"/>
      <c r="HZ19" s="202"/>
      <c r="IA19" s="150"/>
      <c r="IB19" s="150"/>
      <c r="IC19" s="150"/>
      <c r="ID19" s="150"/>
      <c r="IE19" s="150"/>
      <c r="IF19" s="202"/>
      <c r="IG19" s="202"/>
      <c r="IH19" s="150"/>
      <c r="II19" s="150"/>
      <c r="IJ19" s="150"/>
      <c r="IK19" s="150"/>
      <c r="IL19" s="150"/>
      <c r="IM19" s="202"/>
      <c r="IN19" s="202"/>
      <c r="IO19" s="150"/>
      <c r="IP19" s="150"/>
      <c r="IQ19" s="228"/>
      <c r="IR19" s="228"/>
      <c r="IS19" s="228"/>
      <c r="IT19" s="202"/>
      <c r="IU19" s="202"/>
      <c r="IV19" s="150"/>
      <c r="IW19" s="150"/>
      <c r="IX19" s="150"/>
      <c r="IY19" s="150"/>
      <c r="IZ19" s="150"/>
      <c r="JA19" s="202"/>
      <c r="JB19" s="202"/>
      <c r="JC19" s="231"/>
      <c r="JD19" s="231"/>
      <c r="JE19" s="150"/>
      <c r="JF19" s="150"/>
      <c r="JG19" s="150"/>
      <c r="JH19" s="202"/>
      <c r="JI19" s="202"/>
      <c r="JJ19" s="150"/>
      <c r="JK19" s="150"/>
      <c r="JL19" s="150"/>
      <c r="JM19" s="150"/>
      <c r="JN19" s="150"/>
      <c r="JO19" s="202"/>
      <c r="JP19" s="202"/>
      <c r="JQ19" s="150"/>
      <c r="JR19" s="150"/>
      <c r="JS19" s="150"/>
      <c r="JT19" s="150"/>
      <c r="JU19" s="150"/>
      <c r="JV19" s="202"/>
      <c r="JW19" s="202"/>
      <c r="JX19" s="150"/>
      <c r="JY19" s="150"/>
      <c r="JZ19" s="150"/>
      <c r="KA19" s="150"/>
      <c r="KB19" s="150"/>
      <c r="KC19" s="202"/>
      <c r="KD19" s="202"/>
      <c r="KE19" s="150"/>
      <c r="KF19" s="150"/>
      <c r="KG19" s="150"/>
      <c r="KH19" s="150"/>
      <c r="KI19" s="150"/>
      <c r="KJ19" s="192"/>
      <c r="KK19" s="192"/>
      <c r="KL19" s="150"/>
      <c r="KM19" s="150"/>
      <c r="KN19" s="150"/>
      <c r="KO19" s="150"/>
      <c r="KP19" s="192"/>
      <c r="KQ19" s="192"/>
      <c r="KR19" s="192"/>
      <c r="KS19" s="150"/>
      <c r="KT19" s="150"/>
      <c r="KU19" s="150"/>
      <c r="KV19" s="150"/>
      <c r="KW19" s="150"/>
      <c r="KX19" s="208"/>
      <c r="KY19" s="208"/>
      <c r="KZ19" s="192"/>
      <c r="LA19" s="192"/>
      <c r="LB19" s="192"/>
      <c r="LC19" s="192"/>
      <c r="LD19" s="192"/>
      <c r="LE19" s="208"/>
      <c r="LF19" s="208"/>
      <c r="LG19" s="228"/>
      <c r="LH19" s="228"/>
      <c r="LI19" s="228"/>
      <c r="LJ19" s="228"/>
      <c r="LK19" s="228"/>
      <c r="LL19" s="228"/>
      <c r="LM19" s="208"/>
      <c r="LN19" s="231"/>
      <c r="LO19" s="231"/>
      <c r="LP19" s="231"/>
      <c r="LQ19" s="231"/>
      <c r="LR19" s="231"/>
      <c r="LS19" s="208"/>
      <c r="LT19" s="208"/>
      <c r="LU19" s="231"/>
      <c r="LV19" s="150"/>
      <c r="LW19" s="150"/>
      <c r="LX19" s="150"/>
      <c r="LY19" s="150"/>
      <c r="LZ19" s="202"/>
      <c r="MA19" s="202"/>
      <c r="MB19" s="150"/>
      <c r="MC19" s="150"/>
      <c r="MD19" s="150"/>
      <c r="ME19" s="150"/>
      <c r="MF19" s="150"/>
      <c r="MG19" s="202"/>
      <c r="MH19" s="202"/>
      <c r="MI19" s="150"/>
      <c r="MJ19" s="150"/>
      <c r="MK19" s="150"/>
      <c r="ML19" s="150"/>
      <c r="MM19" s="150"/>
      <c r="MN19" s="202"/>
      <c r="MO19" s="202"/>
      <c r="MP19" s="150"/>
      <c r="MQ19" s="150"/>
      <c r="MR19" s="150"/>
      <c r="MS19" s="150"/>
      <c r="MT19" s="150"/>
      <c r="MU19" s="202"/>
      <c r="MV19" s="202"/>
      <c r="MW19" s="150"/>
      <c r="MX19" s="150"/>
      <c r="MY19" s="150"/>
      <c r="MZ19" s="150"/>
      <c r="NA19" s="150"/>
      <c r="NB19" s="150"/>
      <c r="NC19" s="150"/>
      <c r="ND19" s="150"/>
    </row>
    <row r="20" spans="1:368" s="142" customFormat="1" ht="15" customHeight="1" thickBot="1">
      <c r="A20" s="471"/>
      <c r="B20" s="456" t="s">
        <v>92</v>
      </c>
      <c r="C20" s="457"/>
      <c r="D20" s="141">
        <f t="shared" ref="D20:H20" si="0">SUM(D4:D19)</f>
        <v>0</v>
      </c>
      <c r="E20" s="141">
        <f t="shared" si="0"/>
        <v>0</v>
      </c>
      <c r="F20" s="141">
        <f t="shared" si="0"/>
        <v>0</v>
      </c>
      <c r="G20" s="141">
        <f t="shared" si="0"/>
        <v>0</v>
      </c>
      <c r="H20" s="141">
        <f t="shared" si="0"/>
        <v>0</v>
      </c>
      <c r="I20" s="193"/>
      <c r="J20" s="193"/>
      <c r="K20" s="141">
        <f t="shared" ref="K20:O20" si="1">SUM(K4:K19)</f>
        <v>0</v>
      </c>
      <c r="L20" s="141">
        <f t="shared" si="1"/>
        <v>0</v>
      </c>
      <c r="M20" s="141">
        <f t="shared" si="1"/>
        <v>0</v>
      </c>
      <c r="N20" s="141">
        <f t="shared" si="1"/>
        <v>0</v>
      </c>
      <c r="O20" s="141">
        <f t="shared" si="1"/>
        <v>0</v>
      </c>
      <c r="P20" s="193"/>
      <c r="Q20" s="193"/>
      <c r="R20" s="141">
        <f t="shared" ref="R20:V20" si="2">SUM(R4:R19)</f>
        <v>0</v>
      </c>
      <c r="S20" s="141">
        <f t="shared" si="2"/>
        <v>0</v>
      </c>
      <c r="T20" s="141">
        <f t="shared" si="2"/>
        <v>0</v>
      </c>
      <c r="U20" s="141">
        <f t="shared" si="2"/>
        <v>0</v>
      </c>
      <c r="V20" s="141">
        <f t="shared" si="2"/>
        <v>0</v>
      </c>
      <c r="W20" s="193"/>
      <c r="X20" s="193"/>
      <c r="Y20" s="141">
        <f t="shared" ref="Y20:AC20" si="3">SUM(Y4:Y19)</f>
        <v>0</v>
      </c>
      <c r="Z20" s="141">
        <f t="shared" si="3"/>
        <v>0</v>
      </c>
      <c r="AA20" s="141">
        <f t="shared" si="3"/>
        <v>0</v>
      </c>
      <c r="AB20" s="141">
        <f t="shared" si="3"/>
        <v>0</v>
      </c>
      <c r="AC20" s="141">
        <f t="shared" si="3"/>
        <v>0</v>
      </c>
      <c r="AD20" s="193"/>
      <c r="AE20" s="193"/>
      <c r="AF20" s="141">
        <f t="shared" ref="AF20:AJ20" si="4">SUM(AF4:AF19)</f>
        <v>0</v>
      </c>
      <c r="AG20" s="141">
        <f t="shared" si="4"/>
        <v>0</v>
      </c>
      <c r="AH20" s="141">
        <f t="shared" si="4"/>
        <v>0</v>
      </c>
      <c r="AI20" s="141">
        <f t="shared" si="4"/>
        <v>0</v>
      </c>
      <c r="AJ20" s="141">
        <f t="shared" si="4"/>
        <v>0</v>
      </c>
      <c r="AK20" s="193"/>
      <c r="AL20" s="193"/>
      <c r="AM20" s="141">
        <f t="shared" ref="AM20:AQ20" si="5">SUM(AM4:AM19)</f>
        <v>0</v>
      </c>
      <c r="AN20" s="141">
        <f t="shared" si="5"/>
        <v>0</v>
      </c>
      <c r="AO20" s="141">
        <f t="shared" si="5"/>
        <v>0</v>
      </c>
      <c r="AP20" s="141">
        <f t="shared" si="5"/>
        <v>0</v>
      </c>
      <c r="AQ20" s="141">
        <f t="shared" si="5"/>
        <v>0</v>
      </c>
      <c r="AR20" s="193"/>
      <c r="AS20" s="193"/>
      <c r="AT20" s="141">
        <f t="shared" ref="AT20:AX20" si="6">SUM(AT4:AT19)</f>
        <v>0</v>
      </c>
      <c r="AU20" s="141">
        <f t="shared" si="6"/>
        <v>0</v>
      </c>
      <c r="AV20" s="141">
        <f t="shared" si="6"/>
        <v>0</v>
      </c>
      <c r="AW20" s="141">
        <f t="shared" si="6"/>
        <v>0</v>
      </c>
      <c r="AX20" s="141">
        <f t="shared" si="6"/>
        <v>0</v>
      </c>
      <c r="AY20" s="193"/>
      <c r="AZ20" s="193"/>
      <c r="BA20" s="141">
        <f t="shared" ref="BA20:BE20" si="7">SUM(BA4:BA19)</f>
        <v>0</v>
      </c>
      <c r="BB20" s="141">
        <f t="shared" si="7"/>
        <v>0</v>
      </c>
      <c r="BC20" s="141">
        <f t="shared" si="7"/>
        <v>0</v>
      </c>
      <c r="BD20" s="141">
        <f t="shared" si="7"/>
        <v>0</v>
      </c>
      <c r="BE20" s="141">
        <f t="shared" si="7"/>
        <v>0</v>
      </c>
      <c r="BF20" s="193"/>
      <c r="BG20" s="193"/>
      <c r="BH20" s="141">
        <f t="shared" ref="BH20:BL20" si="8">SUM(BH4:BH19)</f>
        <v>0</v>
      </c>
      <c r="BI20" s="141">
        <f t="shared" si="8"/>
        <v>0</v>
      </c>
      <c r="BJ20" s="141">
        <f t="shared" si="8"/>
        <v>0</v>
      </c>
      <c r="BK20" s="141">
        <f t="shared" si="8"/>
        <v>0</v>
      </c>
      <c r="BL20" s="141">
        <f t="shared" si="8"/>
        <v>0</v>
      </c>
      <c r="BM20" s="193"/>
      <c r="BN20" s="193"/>
      <c r="BO20" s="141">
        <f t="shared" ref="BO20:BS20" si="9">SUM(BO4:BO19)</f>
        <v>0</v>
      </c>
      <c r="BP20" s="141">
        <f t="shared" si="9"/>
        <v>0</v>
      </c>
      <c r="BQ20" s="141">
        <f t="shared" si="9"/>
        <v>0</v>
      </c>
      <c r="BR20" s="141">
        <f t="shared" si="9"/>
        <v>0</v>
      </c>
      <c r="BS20" s="141">
        <f t="shared" si="9"/>
        <v>0</v>
      </c>
      <c r="BT20" s="193"/>
      <c r="BU20" s="193"/>
      <c r="BV20" s="141">
        <f t="shared" ref="BV20:BZ20" si="10">SUM(BV4:BV19)</f>
        <v>0</v>
      </c>
      <c r="BW20" s="141">
        <f t="shared" si="10"/>
        <v>0</v>
      </c>
      <c r="BX20" s="141">
        <f t="shared" si="10"/>
        <v>0</v>
      </c>
      <c r="BY20" s="141">
        <f t="shared" si="10"/>
        <v>0</v>
      </c>
      <c r="BZ20" s="141">
        <f t="shared" si="10"/>
        <v>0</v>
      </c>
      <c r="CA20" s="193"/>
      <c r="CB20" s="193"/>
      <c r="CC20" s="141">
        <f t="shared" ref="CC20:CG20" si="11">SUM(CC4:CC19)</f>
        <v>0</v>
      </c>
      <c r="CD20" s="141">
        <f t="shared" si="11"/>
        <v>0</v>
      </c>
      <c r="CE20" s="141">
        <f t="shared" si="11"/>
        <v>0</v>
      </c>
      <c r="CF20" s="141">
        <f t="shared" si="11"/>
        <v>0</v>
      </c>
      <c r="CG20" s="141">
        <f t="shared" si="11"/>
        <v>0</v>
      </c>
      <c r="CH20" s="193"/>
      <c r="CI20" s="193"/>
      <c r="CJ20" s="141">
        <f t="shared" ref="CJ20:CN20" si="12">SUM(CJ4:CJ19)</f>
        <v>0</v>
      </c>
      <c r="CK20" s="141">
        <f t="shared" si="12"/>
        <v>0</v>
      </c>
      <c r="CL20" s="141">
        <f t="shared" si="12"/>
        <v>0</v>
      </c>
      <c r="CM20" s="141">
        <f t="shared" si="12"/>
        <v>0</v>
      </c>
      <c r="CN20" s="141">
        <f t="shared" si="12"/>
        <v>0</v>
      </c>
      <c r="CO20" s="193"/>
      <c r="CP20" s="193"/>
      <c r="CQ20" s="141">
        <f t="shared" ref="CQ20:CU20" si="13">SUM(CQ4:CQ19)</f>
        <v>0</v>
      </c>
      <c r="CR20" s="141">
        <f t="shared" si="13"/>
        <v>0</v>
      </c>
      <c r="CS20" s="141">
        <f t="shared" si="13"/>
        <v>0</v>
      </c>
      <c r="CT20" s="141">
        <f t="shared" si="13"/>
        <v>0</v>
      </c>
      <c r="CU20" s="141">
        <f t="shared" si="13"/>
        <v>0</v>
      </c>
      <c r="CV20" s="193"/>
      <c r="CW20" s="193"/>
      <c r="CX20" s="141">
        <f t="shared" ref="CX20:DB20" si="14">SUM(CX4:CX19)</f>
        <v>0</v>
      </c>
      <c r="CY20" s="141">
        <f t="shared" si="14"/>
        <v>0</v>
      </c>
      <c r="CZ20" s="141">
        <f t="shared" si="14"/>
        <v>0</v>
      </c>
      <c r="DA20" s="141">
        <f t="shared" si="14"/>
        <v>0</v>
      </c>
      <c r="DB20" s="141">
        <f t="shared" si="14"/>
        <v>0</v>
      </c>
      <c r="DC20" s="193"/>
      <c r="DD20" s="193"/>
      <c r="DE20" s="141">
        <f t="shared" ref="DE20:DI20" si="15">SUM(DE4:DE19)</f>
        <v>0</v>
      </c>
      <c r="DF20" s="141">
        <f t="shared" si="15"/>
        <v>0</v>
      </c>
      <c r="DG20" s="141">
        <f t="shared" si="15"/>
        <v>0</v>
      </c>
      <c r="DH20" s="141">
        <f t="shared" si="15"/>
        <v>0</v>
      </c>
      <c r="DI20" s="141">
        <f t="shared" si="15"/>
        <v>0</v>
      </c>
      <c r="DJ20" s="193"/>
      <c r="DK20" s="193"/>
      <c r="DL20" s="141">
        <f t="shared" ref="DL20:DP20" si="16">SUM(DL4:DL19)</f>
        <v>0</v>
      </c>
      <c r="DM20" s="141">
        <f t="shared" si="16"/>
        <v>0</v>
      </c>
      <c r="DN20" s="141">
        <f t="shared" si="16"/>
        <v>0</v>
      </c>
      <c r="DO20" s="141">
        <f t="shared" si="16"/>
        <v>0</v>
      </c>
      <c r="DP20" s="141">
        <f t="shared" si="16"/>
        <v>0</v>
      </c>
      <c r="DQ20" s="193"/>
      <c r="DR20" s="193"/>
      <c r="DS20" s="141">
        <f t="shared" ref="DS20:DW20" si="17">SUM(DS4:DS19)</f>
        <v>0</v>
      </c>
      <c r="DT20" s="141">
        <f t="shared" si="17"/>
        <v>0</v>
      </c>
      <c r="DU20" s="141">
        <f t="shared" si="17"/>
        <v>0</v>
      </c>
      <c r="DV20" s="141">
        <f t="shared" si="17"/>
        <v>0</v>
      </c>
      <c r="DW20" s="141">
        <f t="shared" si="17"/>
        <v>0</v>
      </c>
      <c r="DX20" s="193"/>
      <c r="DY20" s="193"/>
      <c r="DZ20" s="141">
        <f t="shared" ref="DZ20:ED20" si="18">SUM(DZ4:DZ19)</f>
        <v>0</v>
      </c>
      <c r="EA20" s="141">
        <f t="shared" si="18"/>
        <v>0</v>
      </c>
      <c r="EB20" s="141">
        <f t="shared" si="18"/>
        <v>0</v>
      </c>
      <c r="EC20" s="141">
        <f t="shared" si="18"/>
        <v>0</v>
      </c>
      <c r="ED20" s="141">
        <f t="shared" si="18"/>
        <v>0</v>
      </c>
      <c r="EE20" s="193"/>
      <c r="EF20" s="193"/>
      <c r="EG20" s="141">
        <f t="shared" ref="EG20:EK20" si="19">SUM(EG4:EG19)</f>
        <v>0</v>
      </c>
      <c r="EH20" s="141">
        <f t="shared" si="19"/>
        <v>0</v>
      </c>
      <c r="EI20" s="141">
        <f t="shared" si="19"/>
        <v>0</v>
      </c>
      <c r="EJ20" s="141">
        <f t="shared" si="19"/>
        <v>0</v>
      </c>
      <c r="EK20" s="141">
        <f t="shared" si="19"/>
        <v>0</v>
      </c>
      <c r="EL20" s="193"/>
      <c r="EM20" s="193"/>
      <c r="EN20" s="141">
        <f t="shared" ref="EN20:ER20" si="20">SUM(EN4:EN19)</f>
        <v>0</v>
      </c>
      <c r="EO20" s="141">
        <f t="shared" si="20"/>
        <v>0</v>
      </c>
      <c r="EP20" s="141">
        <f t="shared" si="20"/>
        <v>0</v>
      </c>
      <c r="EQ20" s="141">
        <f t="shared" si="20"/>
        <v>0</v>
      </c>
      <c r="ER20" s="141">
        <f t="shared" si="20"/>
        <v>0</v>
      </c>
      <c r="ES20" s="193"/>
      <c r="ET20" s="193"/>
      <c r="EU20" s="141">
        <f t="shared" ref="EU20:EY20" si="21">SUM(EU4:EU19)</f>
        <v>0</v>
      </c>
      <c r="EV20" s="141">
        <f t="shared" si="21"/>
        <v>0</v>
      </c>
      <c r="EW20" s="141">
        <f t="shared" si="21"/>
        <v>0</v>
      </c>
      <c r="EX20" s="141">
        <f t="shared" si="21"/>
        <v>0</v>
      </c>
      <c r="EY20" s="141">
        <f t="shared" si="21"/>
        <v>0</v>
      </c>
      <c r="EZ20" s="193"/>
      <c r="FA20" s="193"/>
      <c r="FB20" s="141">
        <f t="shared" ref="FB20:FF20" si="22">SUM(FB4:FB19)</f>
        <v>0</v>
      </c>
      <c r="FC20" s="141">
        <f t="shared" si="22"/>
        <v>0</v>
      </c>
      <c r="FD20" s="141">
        <f t="shared" si="22"/>
        <v>0</v>
      </c>
      <c r="FE20" s="141">
        <f t="shared" si="22"/>
        <v>0</v>
      </c>
      <c r="FF20" s="141">
        <f t="shared" si="22"/>
        <v>0</v>
      </c>
      <c r="FG20" s="193"/>
      <c r="FH20" s="193"/>
      <c r="FI20" s="141">
        <f t="shared" ref="FI20:FM20" si="23">SUM(FI4:FI19)</f>
        <v>0</v>
      </c>
      <c r="FJ20" s="141">
        <f t="shared" si="23"/>
        <v>0</v>
      </c>
      <c r="FK20" s="141">
        <f t="shared" si="23"/>
        <v>0</v>
      </c>
      <c r="FL20" s="141">
        <f t="shared" si="23"/>
        <v>0</v>
      </c>
      <c r="FM20" s="141">
        <f t="shared" si="23"/>
        <v>0</v>
      </c>
      <c r="FN20" s="193"/>
      <c r="FO20" s="193"/>
      <c r="FP20" s="141">
        <f t="shared" ref="FP20:FT20" si="24">SUM(FP4:FP19)</f>
        <v>0</v>
      </c>
      <c r="FQ20" s="141">
        <f t="shared" si="24"/>
        <v>0</v>
      </c>
      <c r="FR20" s="141">
        <f t="shared" si="24"/>
        <v>0</v>
      </c>
      <c r="FS20" s="141">
        <f t="shared" si="24"/>
        <v>0</v>
      </c>
      <c r="FT20" s="141">
        <f t="shared" si="24"/>
        <v>0</v>
      </c>
      <c r="FU20" s="193"/>
      <c r="FV20" s="193"/>
      <c r="FW20" s="141">
        <f t="shared" ref="FW20:GG20" si="25">SUM(FW4:FW19)</f>
        <v>0</v>
      </c>
      <c r="FX20" s="141">
        <f t="shared" si="25"/>
        <v>0</v>
      </c>
      <c r="FY20" s="141">
        <f t="shared" si="25"/>
        <v>0</v>
      </c>
      <c r="FZ20" s="141">
        <f t="shared" si="25"/>
        <v>0</v>
      </c>
      <c r="GA20" s="141">
        <f t="shared" si="25"/>
        <v>0</v>
      </c>
      <c r="GB20" s="141">
        <f t="shared" si="25"/>
        <v>0</v>
      </c>
      <c r="GC20" s="141">
        <f t="shared" si="25"/>
        <v>0</v>
      </c>
      <c r="GD20" s="141">
        <f t="shared" si="25"/>
        <v>0</v>
      </c>
      <c r="GE20" s="141">
        <f t="shared" si="25"/>
        <v>0</v>
      </c>
      <c r="GF20" s="141">
        <f t="shared" si="25"/>
        <v>0</v>
      </c>
      <c r="GG20" s="141">
        <f t="shared" si="25"/>
        <v>0</v>
      </c>
      <c r="GH20" s="141">
        <f>SUM(GH4:GH19)</f>
        <v>0</v>
      </c>
      <c r="GI20" s="193">
        <f t="shared" ref="GI20:HI20" si="26">SUM(GI4:GI19)</f>
        <v>0</v>
      </c>
      <c r="GJ20" s="193">
        <f t="shared" si="26"/>
        <v>0</v>
      </c>
      <c r="GK20" s="141">
        <f t="shared" si="26"/>
        <v>0</v>
      </c>
      <c r="GL20" s="141">
        <f t="shared" si="26"/>
        <v>0</v>
      </c>
      <c r="GM20" s="141">
        <f t="shared" si="26"/>
        <v>0</v>
      </c>
      <c r="GN20" s="141">
        <f t="shared" si="26"/>
        <v>0</v>
      </c>
      <c r="GO20" s="141">
        <f t="shared" si="26"/>
        <v>0</v>
      </c>
      <c r="GP20" s="209">
        <f t="shared" si="26"/>
        <v>0</v>
      </c>
      <c r="GQ20" s="209">
        <f t="shared" si="26"/>
        <v>0</v>
      </c>
      <c r="GR20" s="141">
        <f t="shared" si="26"/>
        <v>0</v>
      </c>
      <c r="GS20" s="141">
        <f t="shared" si="26"/>
        <v>0</v>
      </c>
      <c r="GT20" s="141">
        <f t="shared" si="26"/>
        <v>0</v>
      </c>
      <c r="GU20" s="141">
        <f t="shared" si="26"/>
        <v>0</v>
      </c>
      <c r="GV20" s="141">
        <f t="shared" si="26"/>
        <v>0</v>
      </c>
      <c r="GW20" s="209">
        <f t="shared" si="26"/>
        <v>0</v>
      </c>
      <c r="GX20" s="209">
        <f t="shared" si="26"/>
        <v>0</v>
      </c>
      <c r="GY20" s="141">
        <f t="shared" si="26"/>
        <v>0</v>
      </c>
      <c r="GZ20" s="141">
        <f t="shared" si="26"/>
        <v>0</v>
      </c>
      <c r="HA20" s="141">
        <f t="shared" si="26"/>
        <v>0</v>
      </c>
      <c r="HB20" s="141">
        <f t="shared" si="26"/>
        <v>0</v>
      </c>
      <c r="HC20" s="141">
        <f t="shared" si="26"/>
        <v>0</v>
      </c>
      <c r="HD20" s="209">
        <f t="shared" si="26"/>
        <v>0</v>
      </c>
      <c r="HE20" s="209">
        <f t="shared" si="26"/>
        <v>0</v>
      </c>
      <c r="HF20" s="141">
        <f t="shared" si="26"/>
        <v>0</v>
      </c>
      <c r="HG20" s="141">
        <f t="shared" si="26"/>
        <v>0</v>
      </c>
      <c r="HH20" s="141">
        <f t="shared" si="26"/>
        <v>0</v>
      </c>
      <c r="HI20" s="141">
        <f t="shared" si="26"/>
        <v>0</v>
      </c>
      <c r="HJ20" s="141"/>
      <c r="HK20" s="209"/>
      <c r="HL20" s="209"/>
      <c r="HM20" s="141">
        <f>SUM(HM4:HM18)</f>
        <v>0</v>
      </c>
      <c r="HN20" s="141">
        <f t="shared" ref="HN20:JY20" si="27">SUM(HN4:HN18)</f>
        <v>0</v>
      </c>
      <c r="HO20" s="141">
        <f t="shared" si="27"/>
        <v>0</v>
      </c>
      <c r="HP20" s="141">
        <f t="shared" si="27"/>
        <v>0</v>
      </c>
      <c r="HQ20" s="141">
        <f t="shared" si="27"/>
        <v>0</v>
      </c>
      <c r="HR20" s="141">
        <f t="shared" si="27"/>
        <v>0</v>
      </c>
      <c r="HS20" s="141">
        <f t="shared" si="27"/>
        <v>0</v>
      </c>
      <c r="HT20" s="141">
        <f t="shared" si="27"/>
        <v>0</v>
      </c>
      <c r="HU20" s="141">
        <f t="shared" si="27"/>
        <v>0</v>
      </c>
      <c r="HV20" s="141">
        <f t="shared" si="27"/>
        <v>0</v>
      </c>
      <c r="HW20" s="141">
        <f t="shared" si="27"/>
        <v>0</v>
      </c>
      <c r="HX20" s="141">
        <f t="shared" si="27"/>
        <v>0</v>
      </c>
      <c r="HY20" s="141">
        <f t="shared" si="27"/>
        <v>0</v>
      </c>
      <c r="HZ20" s="141">
        <f t="shared" si="27"/>
        <v>0</v>
      </c>
      <c r="IA20" s="141">
        <f t="shared" si="27"/>
        <v>0</v>
      </c>
      <c r="IB20" s="141">
        <f t="shared" si="27"/>
        <v>0</v>
      </c>
      <c r="IC20" s="141">
        <f t="shared" si="27"/>
        <v>0</v>
      </c>
      <c r="ID20" s="141">
        <f t="shared" si="27"/>
        <v>0</v>
      </c>
      <c r="IE20" s="141">
        <f t="shared" si="27"/>
        <v>0</v>
      </c>
      <c r="IF20" s="141">
        <f t="shared" si="27"/>
        <v>0</v>
      </c>
      <c r="IG20" s="141">
        <f t="shared" si="27"/>
        <v>0</v>
      </c>
      <c r="IH20" s="141">
        <f t="shared" si="27"/>
        <v>0</v>
      </c>
      <c r="II20" s="141">
        <f t="shared" si="27"/>
        <v>0</v>
      </c>
      <c r="IJ20" s="141">
        <f t="shared" si="27"/>
        <v>0</v>
      </c>
      <c r="IK20" s="141">
        <f t="shared" si="27"/>
        <v>0</v>
      </c>
      <c r="IL20" s="141">
        <f t="shared" si="27"/>
        <v>0</v>
      </c>
      <c r="IM20" s="141">
        <f t="shared" si="27"/>
        <v>0</v>
      </c>
      <c r="IN20" s="141">
        <f t="shared" si="27"/>
        <v>0</v>
      </c>
      <c r="IO20" s="141">
        <f t="shared" si="27"/>
        <v>0</v>
      </c>
      <c r="IP20" s="141">
        <f t="shared" si="27"/>
        <v>0</v>
      </c>
      <c r="IQ20" s="141">
        <f t="shared" si="27"/>
        <v>0</v>
      </c>
      <c r="IR20" s="141">
        <f t="shared" si="27"/>
        <v>0</v>
      </c>
      <c r="IS20" s="141">
        <f t="shared" si="27"/>
        <v>0</v>
      </c>
      <c r="IT20" s="141">
        <f t="shared" si="27"/>
        <v>0</v>
      </c>
      <c r="IU20" s="141">
        <f t="shared" si="27"/>
        <v>0</v>
      </c>
      <c r="IV20" s="141">
        <f t="shared" si="27"/>
        <v>0</v>
      </c>
      <c r="IW20" s="141">
        <f t="shared" si="27"/>
        <v>0</v>
      </c>
      <c r="IX20" s="141">
        <f t="shared" si="27"/>
        <v>0</v>
      </c>
      <c r="IY20" s="141">
        <f t="shared" si="27"/>
        <v>0</v>
      </c>
      <c r="IZ20" s="141">
        <f t="shared" si="27"/>
        <v>0</v>
      </c>
      <c r="JA20" s="141">
        <f t="shared" si="27"/>
        <v>0</v>
      </c>
      <c r="JB20" s="141">
        <f t="shared" si="27"/>
        <v>0</v>
      </c>
      <c r="JC20" s="141">
        <f t="shared" si="27"/>
        <v>0</v>
      </c>
      <c r="JD20" s="141">
        <f t="shared" si="27"/>
        <v>0</v>
      </c>
      <c r="JE20" s="141">
        <f t="shared" si="27"/>
        <v>0</v>
      </c>
      <c r="JF20" s="141">
        <f t="shared" si="27"/>
        <v>0</v>
      </c>
      <c r="JG20" s="141">
        <f t="shared" si="27"/>
        <v>0</v>
      </c>
      <c r="JH20" s="141">
        <f t="shared" si="27"/>
        <v>0</v>
      </c>
      <c r="JI20" s="141">
        <f t="shared" si="27"/>
        <v>0</v>
      </c>
      <c r="JJ20" s="141">
        <f t="shared" si="27"/>
        <v>0</v>
      </c>
      <c r="JK20" s="141">
        <f t="shared" si="27"/>
        <v>0</v>
      </c>
      <c r="JL20" s="141">
        <f t="shared" si="27"/>
        <v>0</v>
      </c>
      <c r="JM20" s="141">
        <f t="shared" si="27"/>
        <v>0</v>
      </c>
      <c r="JN20" s="141">
        <f t="shared" si="27"/>
        <v>0</v>
      </c>
      <c r="JO20" s="141">
        <f t="shared" si="27"/>
        <v>0</v>
      </c>
      <c r="JP20" s="141">
        <f t="shared" si="27"/>
        <v>0</v>
      </c>
      <c r="JQ20" s="141">
        <f t="shared" si="27"/>
        <v>0</v>
      </c>
      <c r="JR20" s="141">
        <f t="shared" si="27"/>
        <v>0</v>
      </c>
      <c r="JS20" s="141">
        <f t="shared" si="27"/>
        <v>0</v>
      </c>
      <c r="JT20" s="141">
        <f t="shared" si="27"/>
        <v>0</v>
      </c>
      <c r="JU20" s="141">
        <f t="shared" si="27"/>
        <v>0</v>
      </c>
      <c r="JV20" s="141">
        <f t="shared" si="27"/>
        <v>0</v>
      </c>
      <c r="JW20" s="141">
        <f t="shared" si="27"/>
        <v>0</v>
      </c>
      <c r="JX20" s="141">
        <f t="shared" si="27"/>
        <v>0</v>
      </c>
      <c r="JY20" s="141">
        <f t="shared" si="27"/>
        <v>0</v>
      </c>
      <c r="JZ20" s="141">
        <f t="shared" ref="JZ20:MK20" si="28">SUM(JZ4:JZ18)</f>
        <v>0</v>
      </c>
      <c r="KA20" s="141">
        <f t="shared" si="28"/>
        <v>0</v>
      </c>
      <c r="KB20" s="141">
        <f t="shared" si="28"/>
        <v>0</v>
      </c>
      <c r="KC20" s="141">
        <f t="shared" si="28"/>
        <v>0</v>
      </c>
      <c r="KD20" s="141">
        <f t="shared" si="28"/>
        <v>0</v>
      </c>
      <c r="KE20" s="141">
        <f t="shared" si="28"/>
        <v>0</v>
      </c>
      <c r="KF20" s="141">
        <f t="shared" si="28"/>
        <v>0</v>
      </c>
      <c r="KG20" s="141">
        <f t="shared" si="28"/>
        <v>0</v>
      </c>
      <c r="KH20" s="141">
        <f t="shared" si="28"/>
        <v>0</v>
      </c>
      <c r="KI20" s="141">
        <f t="shared" si="28"/>
        <v>0</v>
      </c>
      <c r="KJ20" s="141">
        <f t="shared" si="28"/>
        <v>0</v>
      </c>
      <c r="KK20" s="141">
        <f t="shared" si="28"/>
        <v>0</v>
      </c>
      <c r="KL20" s="141">
        <f t="shared" si="28"/>
        <v>0</v>
      </c>
      <c r="KM20" s="141">
        <f t="shared" si="28"/>
        <v>0</v>
      </c>
      <c r="KN20" s="141">
        <f t="shared" si="28"/>
        <v>0</v>
      </c>
      <c r="KO20" s="141">
        <f t="shared" si="28"/>
        <v>0</v>
      </c>
      <c r="KP20" s="141">
        <f t="shared" si="28"/>
        <v>0</v>
      </c>
      <c r="KQ20" s="141">
        <f t="shared" si="28"/>
        <v>0</v>
      </c>
      <c r="KR20" s="141">
        <f t="shared" si="28"/>
        <v>0</v>
      </c>
      <c r="KS20" s="141">
        <f t="shared" si="28"/>
        <v>0</v>
      </c>
      <c r="KT20" s="141">
        <f t="shared" si="28"/>
        <v>0</v>
      </c>
      <c r="KU20" s="141">
        <f t="shared" si="28"/>
        <v>0</v>
      </c>
      <c r="KV20" s="141">
        <f t="shared" si="28"/>
        <v>0</v>
      </c>
      <c r="KW20" s="141">
        <f t="shared" si="28"/>
        <v>0</v>
      </c>
      <c r="KX20" s="141">
        <f t="shared" si="28"/>
        <v>0</v>
      </c>
      <c r="KY20" s="141">
        <f t="shared" si="28"/>
        <v>0</v>
      </c>
      <c r="KZ20" s="193">
        <f t="shared" si="28"/>
        <v>0</v>
      </c>
      <c r="LA20" s="193">
        <f t="shared" si="28"/>
        <v>0</v>
      </c>
      <c r="LB20" s="193">
        <f t="shared" si="28"/>
        <v>0</v>
      </c>
      <c r="LC20" s="193">
        <f t="shared" si="28"/>
        <v>0</v>
      </c>
      <c r="LD20" s="193">
        <f t="shared" si="28"/>
        <v>0</v>
      </c>
      <c r="LE20" s="141">
        <f t="shared" si="28"/>
        <v>0</v>
      </c>
      <c r="LF20" s="141">
        <f t="shared" si="28"/>
        <v>0</v>
      </c>
      <c r="LG20" s="209">
        <f t="shared" si="28"/>
        <v>0</v>
      </c>
      <c r="LH20" s="209">
        <f t="shared" si="28"/>
        <v>0</v>
      </c>
      <c r="LI20" s="209">
        <f t="shared" si="28"/>
        <v>0</v>
      </c>
      <c r="LJ20" s="209">
        <f t="shared" si="28"/>
        <v>0</v>
      </c>
      <c r="LK20" s="209">
        <f t="shared" si="28"/>
        <v>0</v>
      </c>
      <c r="LL20" s="209">
        <f t="shared" si="28"/>
        <v>0</v>
      </c>
      <c r="LM20" s="209">
        <f t="shared" si="28"/>
        <v>0</v>
      </c>
      <c r="LN20" s="141">
        <f t="shared" si="28"/>
        <v>0</v>
      </c>
      <c r="LO20" s="141">
        <f t="shared" si="28"/>
        <v>0</v>
      </c>
      <c r="LP20" s="141">
        <f t="shared" si="28"/>
        <v>0</v>
      </c>
      <c r="LQ20" s="141">
        <f t="shared" si="28"/>
        <v>0</v>
      </c>
      <c r="LR20" s="141">
        <f t="shared" si="28"/>
        <v>0</v>
      </c>
      <c r="LS20" s="209">
        <f t="shared" si="28"/>
        <v>0</v>
      </c>
      <c r="LT20" s="209">
        <f t="shared" si="28"/>
        <v>0</v>
      </c>
      <c r="LU20" s="141">
        <f t="shared" si="28"/>
        <v>0</v>
      </c>
      <c r="LV20" s="141">
        <f t="shared" si="28"/>
        <v>0</v>
      </c>
      <c r="LW20" s="141">
        <f t="shared" si="28"/>
        <v>0</v>
      </c>
      <c r="LX20" s="141">
        <f t="shared" si="28"/>
        <v>0</v>
      </c>
      <c r="LY20" s="141">
        <f t="shared" si="28"/>
        <v>0</v>
      </c>
      <c r="LZ20" s="141">
        <f t="shared" si="28"/>
        <v>0</v>
      </c>
      <c r="MA20" s="141">
        <f t="shared" si="28"/>
        <v>0</v>
      </c>
      <c r="MB20" s="141">
        <f t="shared" si="28"/>
        <v>0</v>
      </c>
      <c r="MC20" s="141">
        <f t="shared" si="28"/>
        <v>0</v>
      </c>
      <c r="MD20" s="141">
        <f t="shared" si="28"/>
        <v>0</v>
      </c>
      <c r="ME20" s="141">
        <f t="shared" si="28"/>
        <v>0</v>
      </c>
      <c r="MF20" s="141">
        <f t="shared" si="28"/>
        <v>0</v>
      </c>
      <c r="MG20" s="141">
        <f t="shared" si="28"/>
        <v>0</v>
      </c>
      <c r="MH20" s="141">
        <f t="shared" si="28"/>
        <v>0</v>
      </c>
      <c r="MI20" s="141">
        <f t="shared" si="28"/>
        <v>0</v>
      </c>
      <c r="MJ20" s="141">
        <f t="shared" si="28"/>
        <v>0</v>
      </c>
      <c r="MK20" s="141">
        <f t="shared" si="28"/>
        <v>0</v>
      </c>
      <c r="ML20" s="141">
        <f t="shared" ref="ML20:NA20" si="29">SUM(ML4:ML18)</f>
        <v>0</v>
      </c>
      <c r="MM20" s="141">
        <f t="shared" si="29"/>
        <v>0</v>
      </c>
      <c r="MN20" s="141">
        <f t="shared" si="29"/>
        <v>0</v>
      </c>
      <c r="MO20" s="141">
        <f t="shared" si="29"/>
        <v>0</v>
      </c>
      <c r="MP20" s="141">
        <f t="shared" si="29"/>
        <v>0</v>
      </c>
      <c r="MQ20" s="141">
        <f t="shared" si="29"/>
        <v>0</v>
      </c>
      <c r="MR20" s="141">
        <f t="shared" si="29"/>
        <v>0</v>
      </c>
      <c r="MS20" s="141">
        <f t="shared" si="29"/>
        <v>0</v>
      </c>
      <c r="MT20" s="141">
        <f t="shared" si="29"/>
        <v>0</v>
      </c>
      <c r="MU20" s="141">
        <f t="shared" si="29"/>
        <v>0</v>
      </c>
      <c r="MV20" s="141">
        <f t="shared" si="29"/>
        <v>0</v>
      </c>
      <c r="MW20" s="141">
        <f t="shared" si="29"/>
        <v>0</v>
      </c>
      <c r="MX20" s="141">
        <f t="shared" si="29"/>
        <v>0</v>
      </c>
      <c r="MY20" s="141">
        <f t="shared" si="29"/>
        <v>0</v>
      </c>
      <c r="MZ20" s="141">
        <f t="shared" si="29"/>
        <v>0</v>
      </c>
      <c r="NA20" s="141">
        <f t="shared" si="29"/>
        <v>0</v>
      </c>
    </row>
    <row r="21" spans="1:368" s="140" customFormat="1" ht="15" customHeight="1">
      <c r="A21" s="469">
        <v>0.41666666666666702</v>
      </c>
      <c r="B21" s="460" t="s">
        <v>7</v>
      </c>
      <c r="C21" s="163" t="s">
        <v>10</v>
      </c>
      <c r="D21" s="265"/>
      <c r="E21" s="266"/>
      <c r="F21" s="266"/>
      <c r="G21" s="266"/>
      <c r="H21" s="267"/>
      <c r="I21" s="194"/>
      <c r="J21" s="194"/>
      <c r="K21" s="265"/>
      <c r="L21" s="266"/>
      <c r="M21" s="266"/>
      <c r="N21" s="266"/>
      <c r="O21" s="267"/>
      <c r="P21" s="194"/>
      <c r="Q21" s="194"/>
      <c r="R21" s="265"/>
      <c r="S21" s="266"/>
      <c r="T21" s="266"/>
      <c r="U21" s="266"/>
      <c r="V21" s="267"/>
      <c r="W21" s="194"/>
      <c r="X21" s="194"/>
      <c r="Y21" s="265"/>
      <c r="Z21" s="266"/>
      <c r="AA21" s="266"/>
      <c r="AB21" s="266"/>
      <c r="AC21" s="267"/>
      <c r="AD21" s="194"/>
      <c r="AE21" s="194"/>
      <c r="AF21" s="265"/>
      <c r="AG21" s="266"/>
      <c r="AH21" s="266"/>
      <c r="AI21" s="266"/>
      <c r="AJ21" s="267"/>
      <c r="AK21" s="194"/>
      <c r="AL21" s="194"/>
      <c r="AM21" s="265"/>
      <c r="AN21" s="266"/>
      <c r="AO21" s="266"/>
      <c r="AP21" s="266"/>
      <c r="AQ21" s="267"/>
      <c r="AR21" s="194"/>
      <c r="AS21" s="194"/>
      <c r="AT21" s="265"/>
      <c r="AU21" s="266"/>
      <c r="AV21" s="266"/>
      <c r="AW21" s="266"/>
      <c r="AX21" s="267"/>
      <c r="AY21" s="194"/>
      <c r="AZ21" s="194"/>
      <c r="BA21" s="265"/>
      <c r="BB21" s="266"/>
      <c r="BC21" s="266"/>
      <c r="BD21" s="266"/>
      <c r="BE21" s="267"/>
      <c r="BF21" s="194"/>
      <c r="BG21" s="194"/>
      <c r="BH21" s="265"/>
      <c r="BI21" s="266"/>
      <c r="BJ21" s="266"/>
      <c r="BK21" s="266"/>
      <c r="BL21" s="267"/>
      <c r="BM21" s="194"/>
      <c r="BN21" s="194"/>
      <c r="BO21" s="265"/>
      <c r="BP21" s="266"/>
      <c r="BQ21" s="266"/>
      <c r="BR21" s="266"/>
      <c r="BS21" s="267"/>
      <c r="BT21" s="194"/>
      <c r="BU21" s="194"/>
      <c r="BV21" s="265"/>
      <c r="BW21" s="266"/>
      <c r="BX21" s="266"/>
      <c r="BY21" s="266"/>
      <c r="BZ21" s="267"/>
      <c r="CA21" s="194"/>
      <c r="CB21" s="194"/>
      <c r="CC21" s="265"/>
      <c r="CD21" s="266"/>
      <c r="CE21" s="266"/>
      <c r="CF21" s="266"/>
      <c r="CG21" s="267"/>
      <c r="CH21" s="194"/>
      <c r="CI21" s="194"/>
      <c r="CJ21" s="265"/>
      <c r="CK21" s="266"/>
      <c r="CL21" s="266"/>
      <c r="CM21" s="266"/>
      <c r="CN21" s="267"/>
      <c r="CO21" s="194"/>
      <c r="CP21" s="194"/>
      <c r="CQ21" s="265"/>
      <c r="CR21" s="266"/>
      <c r="CS21" s="266"/>
      <c r="CT21" s="266"/>
      <c r="CU21" s="267"/>
      <c r="CV21" s="194"/>
      <c r="CW21" s="194"/>
      <c r="CX21" s="265"/>
      <c r="CY21" s="266"/>
      <c r="CZ21" s="266"/>
      <c r="DA21" s="266"/>
      <c r="DB21" s="267"/>
      <c r="DC21" s="194"/>
      <c r="DD21" s="194"/>
      <c r="DE21" s="265"/>
      <c r="DF21" s="266"/>
      <c r="DG21" s="266"/>
      <c r="DH21" s="266"/>
      <c r="DI21" s="267"/>
      <c r="DJ21" s="194"/>
      <c r="DK21" s="194"/>
      <c r="DL21" s="265"/>
      <c r="DM21" s="266"/>
      <c r="DN21" s="266"/>
      <c r="DO21" s="266"/>
      <c r="DP21" s="267"/>
      <c r="DQ21" s="194"/>
      <c r="DR21" s="194"/>
      <c r="DS21" s="265"/>
      <c r="DT21" s="266"/>
      <c r="DU21" s="266"/>
      <c r="DV21" s="266"/>
      <c r="DW21" s="267"/>
      <c r="DX21" s="194"/>
      <c r="DY21" s="194"/>
      <c r="DZ21" s="265"/>
      <c r="EA21" s="266"/>
      <c r="EB21" s="266"/>
      <c r="EC21" s="266"/>
      <c r="ED21" s="267"/>
      <c r="EE21" s="194"/>
      <c r="EF21" s="194"/>
      <c r="EG21" s="265"/>
      <c r="EH21" s="266"/>
      <c r="EI21" s="266"/>
      <c r="EJ21" s="266"/>
      <c r="EK21" s="267"/>
      <c r="EL21" s="194"/>
      <c r="EM21" s="194"/>
      <c r="EN21" s="265"/>
      <c r="EO21" s="266"/>
      <c r="EP21" s="266"/>
      <c r="EQ21" s="266"/>
      <c r="ER21" s="267"/>
      <c r="ES21" s="194"/>
      <c r="ET21" s="194"/>
      <c r="EU21" s="265"/>
      <c r="EV21" s="266"/>
      <c r="EW21" s="266"/>
      <c r="EX21" s="266"/>
      <c r="EY21" s="267"/>
      <c r="EZ21" s="194"/>
      <c r="FA21" s="194"/>
      <c r="FB21" s="265"/>
      <c r="FC21" s="266"/>
      <c r="FD21" s="266"/>
      <c r="FE21" s="266"/>
      <c r="FF21" s="267"/>
      <c r="FG21" s="194"/>
      <c r="FH21" s="194"/>
      <c r="FI21" s="265"/>
      <c r="FJ21" s="266"/>
      <c r="FK21" s="266"/>
      <c r="FL21" s="266"/>
      <c r="FM21" s="267"/>
      <c r="FN21" s="194"/>
      <c r="FO21" s="194"/>
      <c r="FP21" s="265"/>
      <c r="FQ21" s="266"/>
      <c r="FR21" s="266"/>
      <c r="FS21" s="266"/>
      <c r="FT21" s="267"/>
      <c r="FU21" s="194"/>
      <c r="FV21" s="194"/>
      <c r="FW21" s="265"/>
      <c r="FX21" s="266"/>
      <c r="FY21" s="266"/>
      <c r="FZ21" s="266"/>
      <c r="GA21" s="267"/>
      <c r="GB21" s="194"/>
      <c r="GC21" s="194"/>
      <c r="GD21" s="143"/>
      <c r="GE21" s="143"/>
      <c r="GF21" s="143"/>
      <c r="GG21" s="143"/>
      <c r="GH21" s="143"/>
      <c r="GI21" s="194"/>
      <c r="GJ21" s="194"/>
      <c r="GK21" s="143"/>
      <c r="GL21" s="143"/>
      <c r="GM21" s="143"/>
      <c r="GN21" s="143"/>
      <c r="GO21" s="143"/>
      <c r="GP21" s="210"/>
      <c r="GQ21" s="210"/>
      <c r="GR21" s="143"/>
      <c r="GS21" s="143"/>
      <c r="GT21" s="143"/>
      <c r="GU21" s="143"/>
      <c r="GV21" s="143"/>
      <c r="GW21" s="210"/>
      <c r="GX21" s="210"/>
      <c r="GY21" s="143"/>
      <c r="GZ21" s="143"/>
      <c r="HA21" s="143"/>
      <c r="HB21" s="143"/>
      <c r="HC21" s="143"/>
      <c r="HD21" s="210"/>
      <c r="HE21" s="210"/>
      <c r="HF21" s="143"/>
      <c r="HG21" s="143"/>
      <c r="HH21" s="143"/>
      <c r="HI21" s="143"/>
      <c r="HJ21" s="143"/>
      <c r="HK21" s="210"/>
      <c r="HL21" s="210"/>
      <c r="HM21" s="143"/>
      <c r="HN21" s="143"/>
      <c r="HO21" s="143"/>
      <c r="HP21" s="143"/>
      <c r="HQ21" s="143"/>
      <c r="HR21" s="143"/>
      <c r="HS21" s="143"/>
      <c r="HT21" s="143"/>
      <c r="HU21" s="143"/>
      <c r="HV21" s="143"/>
      <c r="HW21" s="143"/>
      <c r="HX21" s="143"/>
      <c r="HY21" s="203"/>
      <c r="HZ21" s="203"/>
      <c r="IA21" s="143"/>
      <c r="IB21" s="143"/>
      <c r="IC21" s="143"/>
      <c r="ID21" s="143"/>
      <c r="IE21" s="143"/>
      <c r="IF21" s="203"/>
      <c r="IG21" s="203"/>
      <c r="IH21" s="143"/>
      <c r="II21" s="143"/>
      <c r="IJ21" s="143"/>
      <c r="IK21" s="143"/>
      <c r="IL21" s="143"/>
      <c r="IM21" s="203"/>
      <c r="IN21" s="203"/>
      <c r="IO21" s="143"/>
      <c r="IP21" s="143"/>
      <c r="IQ21" s="227"/>
      <c r="IR21" s="227"/>
      <c r="IS21" s="227"/>
      <c r="IT21" s="203"/>
      <c r="IU21" s="203"/>
      <c r="IV21" s="143"/>
      <c r="IW21" s="143"/>
      <c r="IX21" s="143"/>
      <c r="IY21" s="143"/>
      <c r="IZ21" s="143"/>
      <c r="JA21" s="203"/>
      <c r="JB21" s="203"/>
      <c r="JC21" s="227"/>
      <c r="JD21" s="227"/>
      <c r="JE21" s="143"/>
      <c r="JF21" s="143"/>
      <c r="JG21" s="143"/>
      <c r="JH21" s="203"/>
      <c r="JI21" s="203"/>
      <c r="JJ21" s="143"/>
      <c r="JK21" s="143"/>
      <c r="JL21" s="143"/>
      <c r="JM21" s="143"/>
      <c r="JN21" s="143"/>
      <c r="JO21" s="203"/>
      <c r="JP21" s="203"/>
      <c r="JQ21" s="143"/>
      <c r="JR21" s="143"/>
      <c r="JS21" s="143"/>
      <c r="JT21" s="143"/>
      <c r="JU21" s="143"/>
      <c r="JV21" s="203"/>
      <c r="JW21" s="203"/>
      <c r="JX21" s="143"/>
      <c r="JY21" s="143"/>
      <c r="JZ21" s="143"/>
      <c r="KA21" s="143"/>
      <c r="KB21" s="143"/>
      <c r="KC21" s="203"/>
      <c r="KD21" s="203"/>
      <c r="KE21" s="143"/>
      <c r="KF21" s="143"/>
      <c r="KG21" s="143"/>
      <c r="KH21" s="143"/>
      <c r="KI21" s="143"/>
      <c r="KJ21" s="194"/>
      <c r="KK21" s="194"/>
      <c r="KL21" s="143"/>
      <c r="KM21" s="143"/>
      <c r="KN21" s="143"/>
      <c r="KO21" s="143"/>
      <c r="KP21" s="227"/>
      <c r="KQ21" s="194"/>
      <c r="KR21" s="194"/>
      <c r="KS21" s="143"/>
      <c r="KT21" s="143"/>
      <c r="KU21" s="143"/>
      <c r="KV21" s="143"/>
      <c r="KW21" s="143"/>
      <c r="KX21" s="210"/>
      <c r="KY21" s="210"/>
      <c r="KZ21" s="194"/>
      <c r="LA21" s="194"/>
      <c r="LB21" s="194"/>
      <c r="LC21" s="194"/>
      <c r="LD21" s="194"/>
      <c r="LE21" s="210"/>
      <c r="LF21" s="210"/>
      <c r="LG21" s="227"/>
      <c r="LH21" s="227"/>
      <c r="LI21" s="227"/>
      <c r="LJ21" s="227"/>
      <c r="LK21" s="227"/>
      <c r="LL21" s="227"/>
      <c r="LM21" s="210"/>
      <c r="LN21" s="143"/>
      <c r="LO21" s="227"/>
      <c r="LP21" s="227"/>
      <c r="LQ21" s="227"/>
      <c r="LR21" s="227"/>
      <c r="LS21" s="210"/>
      <c r="LT21" s="210"/>
      <c r="LU21" s="227"/>
      <c r="LV21" s="143"/>
      <c r="LW21" s="143"/>
      <c r="LX21" s="143"/>
      <c r="LY21" s="143"/>
      <c r="LZ21" s="203"/>
      <c r="MA21" s="203"/>
      <c r="MB21" s="143"/>
      <c r="MC21" s="143"/>
      <c r="MD21" s="143"/>
      <c r="ME21" s="143"/>
      <c r="MF21" s="143"/>
      <c r="MG21" s="203"/>
      <c r="MH21" s="203"/>
      <c r="MI21" s="143"/>
      <c r="MJ21" s="143"/>
      <c r="MK21" s="143"/>
      <c r="ML21" s="143"/>
      <c r="MM21" s="143"/>
      <c r="MN21" s="203"/>
      <c r="MO21" s="203"/>
      <c r="MP21" s="143"/>
      <c r="MQ21" s="143"/>
      <c r="MR21" s="143"/>
      <c r="MS21" s="143"/>
      <c r="MT21" s="143"/>
      <c r="MU21" s="203"/>
      <c r="MV21" s="203"/>
      <c r="MW21" s="143"/>
      <c r="MX21" s="143"/>
      <c r="MY21" s="143"/>
      <c r="MZ21" s="143"/>
      <c r="NA21" s="143"/>
      <c r="NB21" s="143"/>
      <c r="NC21" s="143"/>
      <c r="ND21" s="143"/>
    </row>
    <row r="22" spans="1:368" s="140" customFormat="1" ht="15" customHeight="1">
      <c r="A22" s="470"/>
      <c r="B22" s="461"/>
      <c r="C22" s="164" t="s">
        <v>11</v>
      </c>
      <c r="D22" s="268"/>
      <c r="E22" s="143"/>
      <c r="F22" s="143"/>
      <c r="G22" s="143"/>
      <c r="H22" s="269"/>
      <c r="I22" s="194"/>
      <c r="J22" s="194"/>
      <c r="K22" s="268"/>
      <c r="L22" s="143"/>
      <c r="M22" s="143"/>
      <c r="N22" s="143"/>
      <c r="O22" s="269"/>
      <c r="P22" s="194"/>
      <c r="Q22" s="194"/>
      <c r="R22" s="268"/>
      <c r="S22" s="143"/>
      <c r="T22" s="143"/>
      <c r="U22" s="143"/>
      <c r="V22" s="269"/>
      <c r="W22" s="194"/>
      <c r="X22" s="194"/>
      <c r="Y22" s="268"/>
      <c r="Z22" s="143"/>
      <c r="AA22" s="143"/>
      <c r="AB22" s="143"/>
      <c r="AC22" s="269"/>
      <c r="AD22" s="194"/>
      <c r="AE22" s="194"/>
      <c r="AF22" s="268"/>
      <c r="AG22" s="143"/>
      <c r="AH22" s="143"/>
      <c r="AI22" s="143"/>
      <c r="AJ22" s="269"/>
      <c r="AK22" s="194"/>
      <c r="AL22" s="194"/>
      <c r="AM22" s="268"/>
      <c r="AN22" s="143"/>
      <c r="AO22" s="143"/>
      <c r="AP22" s="143"/>
      <c r="AQ22" s="269"/>
      <c r="AR22" s="194"/>
      <c r="AS22" s="194"/>
      <c r="AT22" s="268"/>
      <c r="AU22" s="143"/>
      <c r="AV22" s="143"/>
      <c r="AW22" s="143"/>
      <c r="AX22" s="269"/>
      <c r="AY22" s="194"/>
      <c r="AZ22" s="194"/>
      <c r="BA22" s="268"/>
      <c r="BB22" s="143"/>
      <c r="BC22" s="143"/>
      <c r="BD22" s="143"/>
      <c r="BE22" s="269"/>
      <c r="BF22" s="194"/>
      <c r="BG22" s="194"/>
      <c r="BH22" s="268"/>
      <c r="BI22" s="143"/>
      <c r="BJ22" s="143"/>
      <c r="BK22" s="143"/>
      <c r="BL22" s="269"/>
      <c r="BM22" s="194"/>
      <c r="BN22" s="194"/>
      <c r="BO22" s="268"/>
      <c r="BP22" s="143"/>
      <c r="BQ22" s="143"/>
      <c r="BR22" s="143"/>
      <c r="BS22" s="269"/>
      <c r="BT22" s="194"/>
      <c r="BU22" s="194"/>
      <c r="BV22" s="268"/>
      <c r="BW22" s="143"/>
      <c r="BX22" s="143"/>
      <c r="BY22" s="143"/>
      <c r="BZ22" s="269"/>
      <c r="CA22" s="194"/>
      <c r="CB22" s="194"/>
      <c r="CC22" s="268"/>
      <c r="CD22" s="143"/>
      <c r="CE22" s="143"/>
      <c r="CF22" s="143"/>
      <c r="CG22" s="269"/>
      <c r="CH22" s="194"/>
      <c r="CI22" s="194"/>
      <c r="CJ22" s="268"/>
      <c r="CK22" s="143"/>
      <c r="CL22" s="143"/>
      <c r="CM22" s="143"/>
      <c r="CN22" s="269"/>
      <c r="CO22" s="194"/>
      <c r="CP22" s="194"/>
      <c r="CQ22" s="268"/>
      <c r="CR22" s="143"/>
      <c r="CS22" s="143"/>
      <c r="CT22" s="143"/>
      <c r="CU22" s="269"/>
      <c r="CV22" s="194"/>
      <c r="CW22" s="194"/>
      <c r="CX22" s="268"/>
      <c r="CY22" s="143"/>
      <c r="CZ22" s="143"/>
      <c r="DA22" s="143"/>
      <c r="DB22" s="269"/>
      <c r="DC22" s="194"/>
      <c r="DD22" s="194"/>
      <c r="DE22" s="268"/>
      <c r="DF22" s="143"/>
      <c r="DG22" s="143"/>
      <c r="DH22" s="143"/>
      <c r="DI22" s="269"/>
      <c r="DJ22" s="194"/>
      <c r="DK22" s="194"/>
      <c r="DL22" s="268"/>
      <c r="DM22" s="143"/>
      <c r="DN22" s="143"/>
      <c r="DO22" s="143"/>
      <c r="DP22" s="269"/>
      <c r="DQ22" s="194"/>
      <c r="DR22" s="194"/>
      <c r="DS22" s="268"/>
      <c r="DT22" s="143"/>
      <c r="DU22" s="143"/>
      <c r="DV22" s="143"/>
      <c r="DW22" s="269"/>
      <c r="DX22" s="194"/>
      <c r="DY22" s="194"/>
      <c r="DZ22" s="268"/>
      <c r="EA22" s="143"/>
      <c r="EB22" s="143"/>
      <c r="EC22" s="143"/>
      <c r="ED22" s="269"/>
      <c r="EE22" s="194"/>
      <c r="EF22" s="194"/>
      <c r="EG22" s="268"/>
      <c r="EH22" s="143"/>
      <c r="EI22" s="143"/>
      <c r="EJ22" s="143"/>
      <c r="EK22" s="269"/>
      <c r="EL22" s="194"/>
      <c r="EM22" s="194"/>
      <c r="EN22" s="268"/>
      <c r="EO22" s="143"/>
      <c r="EP22" s="143"/>
      <c r="EQ22" s="143"/>
      <c r="ER22" s="269"/>
      <c r="ES22" s="194"/>
      <c r="ET22" s="194"/>
      <c r="EU22" s="268"/>
      <c r="EV22" s="143"/>
      <c r="EW22" s="143"/>
      <c r="EX22" s="143"/>
      <c r="EY22" s="269"/>
      <c r="EZ22" s="194"/>
      <c r="FA22" s="194"/>
      <c r="FB22" s="268"/>
      <c r="FC22" s="143"/>
      <c r="FD22" s="143"/>
      <c r="FE22" s="143"/>
      <c r="FF22" s="269"/>
      <c r="FG22" s="194"/>
      <c r="FH22" s="194"/>
      <c r="FI22" s="268"/>
      <c r="FJ22" s="143"/>
      <c r="FK22" s="143"/>
      <c r="FL22" s="143"/>
      <c r="FM22" s="269"/>
      <c r="FN22" s="194"/>
      <c r="FO22" s="194"/>
      <c r="FP22" s="268"/>
      <c r="FQ22" s="143"/>
      <c r="FR22" s="143"/>
      <c r="FS22" s="143"/>
      <c r="FT22" s="269"/>
      <c r="FU22" s="194"/>
      <c r="FV22" s="194"/>
      <c r="FW22" s="268"/>
      <c r="FX22" s="143"/>
      <c r="FY22" s="143"/>
      <c r="FZ22" s="143"/>
      <c r="GA22" s="269"/>
      <c r="GB22" s="194"/>
      <c r="GC22" s="194"/>
      <c r="GD22" s="143"/>
      <c r="GE22" s="143"/>
      <c r="GF22" s="143"/>
      <c r="GG22" s="143"/>
      <c r="GH22" s="143"/>
      <c r="GI22" s="194"/>
      <c r="GJ22" s="194"/>
      <c r="GK22" s="143"/>
      <c r="GL22" s="143"/>
      <c r="GM22" s="143"/>
      <c r="GN22" s="143"/>
      <c r="GO22" s="143"/>
      <c r="GP22" s="210"/>
      <c r="GQ22" s="210"/>
      <c r="GR22" s="143"/>
      <c r="GS22" s="143"/>
      <c r="GT22" s="143"/>
      <c r="GU22" s="143"/>
      <c r="GV22" s="143"/>
      <c r="GW22" s="210"/>
      <c r="GX22" s="210"/>
      <c r="GY22" s="143"/>
      <c r="GZ22" s="143"/>
      <c r="HA22" s="143"/>
      <c r="HB22" s="143"/>
      <c r="HC22" s="143"/>
      <c r="HD22" s="210"/>
      <c r="HE22" s="210"/>
      <c r="HF22" s="143"/>
      <c r="HG22" s="143"/>
      <c r="HH22" s="143"/>
      <c r="HI22" s="143"/>
      <c r="HJ22" s="143"/>
      <c r="HK22" s="210"/>
      <c r="HL22" s="210"/>
      <c r="HM22" s="143"/>
      <c r="HN22" s="143"/>
      <c r="HO22" s="143"/>
      <c r="HP22" s="143"/>
      <c r="HQ22" s="143"/>
      <c r="HR22" s="143"/>
      <c r="HS22" s="143"/>
      <c r="HT22" s="143"/>
      <c r="HU22" s="143"/>
      <c r="HV22" s="143"/>
      <c r="HW22" s="143"/>
      <c r="HX22" s="143"/>
      <c r="HY22" s="203"/>
      <c r="HZ22" s="203"/>
      <c r="IA22" s="143"/>
      <c r="IB22" s="143"/>
      <c r="IC22" s="143"/>
      <c r="ID22" s="143"/>
      <c r="IE22" s="143"/>
      <c r="IF22" s="203"/>
      <c r="IG22" s="203"/>
      <c r="IH22" s="206"/>
      <c r="II22" s="206"/>
      <c r="IJ22" s="206"/>
      <c r="IK22" s="206"/>
      <c r="IL22" s="143"/>
      <c r="IM22" s="203"/>
      <c r="IN22" s="203"/>
      <c r="IO22" s="143"/>
      <c r="IP22" s="143"/>
      <c r="IQ22" s="227"/>
      <c r="IR22" s="227"/>
      <c r="IS22" s="227"/>
      <c r="IT22" s="203"/>
      <c r="IU22" s="203"/>
      <c r="IV22" s="143"/>
      <c r="IW22" s="143"/>
      <c r="IX22" s="143"/>
      <c r="IY22" s="143"/>
      <c r="IZ22" s="143"/>
      <c r="JA22" s="203"/>
      <c r="JB22" s="203"/>
      <c r="JC22" s="227"/>
      <c r="JD22" s="227"/>
      <c r="JE22" s="143"/>
      <c r="JF22" s="143"/>
      <c r="JG22" s="143"/>
      <c r="JH22" s="203"/>
      <c r="JI22" s="203"/>
      <c r="JJ22" s="143"/>
      <c r="JK22" s="143"/>
      <c r="JL22" s="143"/>
      <c r="JM22" s="143"/>
      <c r="JN22" s="143"/>
      <c r="JO22" s="203"/>
      <c r="JP22" s="203"/>
      <c r="JQ22" s="143"/>
      <c r="JR22" s="143"/>
      <c r="JS22" s="143"/>
      <c r="JT22" s="143"/>
      <c r="JU22" s="143"/>
      <c r="JV22" s="203"/>
      <c r="JW22" s="203"/>
      <c r="JX22" s="143"/>
      <c r="JY22" s="143"/>
      <c r="JZ22" s="143"/>
      <c r="KA22" s="143"/>
      <c r="KB22" s="143"/>
      <c r="KC22" s="203"/>
      <c r="KD22" s="203"/>
      <c r="KE22" s="143"/>
      <c r="KF22" s="143"/>
      <c r="KG22" s="143"/>
      <c r="KH22" s="143"/>
      <c r="KI22" s="143"/>
      <c r="KJ22" s="194"/>
      <c r="KK22" s="194"/>
      <c r="KL22" s="143"/>
      <c r="KM22" s="143"/>
      <c r="KN22" s="143"/>
      <c r="KO22" s="143"/>
      <c r="KP22" s="227"/>
      <c r="KQ22" s="194"/>
      <c r="KR22" s="194"/>
      <c r="KS22" s="143"/>
      <c r="KT22" s="143"/>
      <c r="KU22" s="143"/>
      <c r="KV22" s="143"/>
      <c r="KW22" s="143"/>
      <c r="KX22" s="210"/>
      <c r="KY22" s="210"/>
      <c r="KZ22" s="194"/>
      <c r="LA22" s="194"/>
      <c r="LB22" s="194"/>
      <c r="LC22" s="194"/>
      <c r="LD22" s="194"/>
      <c r="LE22" s="210"/>
      <c r="LF22" s="210"/>
      <c r="LG22" s="227"/>
      <c r="LH22" s="227"/>
      <c r="LI22" s="227"/>
      <c r="LJ22" s="227"/>
      <c r="LK22" s="227"/>
      <c r="LL22" s="227"/>
      <c r="LM22" s="210"/>
      <c r="LN22" s="143"/>
      <c r="LO22" s="227"/>
      <c r="LP22" s="227"/>
      <c r="LQ22" s="227"/>
      <c r="LR22" s="227"/>
      <c r="LS22" s="210"/>
      <c r="LT22" s="210"/>
      <c r="LU22" s="227"/>
      <c r="LV22" s="143"/>
      <c r="LW22" s="143"/>
      <c r="LX22" s="143"/>
      <c r="LY22" s="143"/>
      <c r="LZ22" s="203"/>
      <c r="MA22" s="203"/>
      <c r="MB22" s="143"/>
      <c r="MC22" s="143"/>
      <c r="MD22" s="143"/>
      <c r="ME22" s="143"/>
      <c r="MF22" s="143"/>
      <c r="MG22" s="203"/>
      <c r="MH22" s="203"/>
      <c r="MI22" s="143"/>
      <c r="MJ22" s="143"/>
      <c r="MK22" s="143"/>
      <c r="ML22" s="143"/>
      <c r="MM22" s="143"/>
      <c r="MN22" s="203"/>
      <c r="MO22" s="203"/>
      <c r="MP22" s="143"/>
      <c r="MQ22" s="143"/>
      <c r="MR22" s="143"/>
      <c r="MS22" s="143"/>
      <c r="MT22" s="143"/>
      <c r="MU22" s="203"/>
      <c r="MV22" s="203"/>
      <c r="MW22" s="143"/>
      <c r="MX22" s="143"/>
      <c r="MY22" s="143"/>
      <c r="MZ22" s="143"/>
      <c r="NA22" s="143"/>
      <c r="NB22" s="143"/>
      <c r="NC22" s="143"/>
      <c r="ND22" s="143"/>
    </row>
    <row r="23" spans="1:368" s="140" customFormat="1" ht="15" customHeight="1">
      <c r="A23" s="470"/>
      <c r="B23" s="461"/>
      <c r="C23" s="164" t="s">
        <v>12</v>
      </c>
      <c r="D23" s="268"/>
      <c r="E23" s="143"/>
      <c r="F23" s="143"/>
      <c r="G23" s="143"/>
      <c r="H23" s="269"/>
      <c r="I23" s="194"/>
      <c r="J23" s="194"/>
      <c r="K23" s="268"/>
      <c r="L23" s="143"/>
      <c r="M23" s="143"/>
      <c r="N23" s="143"/>
      <c r="O23" s="269"/>
      <c r="P23" s="194"/>
      <c r="Q23" s="194"/>
      <c r="R23" s="268"/>
      <c r="S23" s="143"/>
      <c r="T23" s="143"/>
      <c r="U23" s="143"/>
      <c r="V23" s="269"/>
      <c r="W23" s="194"/>
      <c r="X23" s="194"/>
      <c r="Y23" s="268"/>
      <c r="Z23" s="143"/>
      <c r="AA23" s="143"/>
      <c r="AB23" s="143"/>
      <c r="AC23" s="269"/>
      <c r="AD23" s="194"/>
      <c r="AE23" s="194"/>
      <c r="AF23" s="268"/>
      <c r="AG23" s="143"/>
      <c r="AH23" s="143"/>
      <c r="AI23" s="143"/>
      <c r="AJ23" s="269"/>
      <c r="AK23" s="194"/>
      <c r="AL23" s="194"/>
      <c r="AM23" s="268"/>
      <c r="AN23" s="143"/>
      <c r="AO23" s="143"/>
      <c r="AP23" s="143"/>
      <c r="AQ23" s="269"/>
      <c r="AR23" s="194"/>
      <c r="AS23" s="194"/>
      <c r="AT23" s="268"/>
      <c r="AU23" s="143"/>
      <c r="AV23" s="143"/>
      <c r="AW23" s="143"/>
      <c r="AX23" s="269"/>
      <c r="AY23" s="194"/>
      <c r="AZ23" s="194"/>
      <c r="BA23" s="268"/>
      <c r="BB23" s="143"/>
      <c r="BC23" s="143"/>
      <c r="BD23" s="143"/>
      <c r="BE23" s="269"/>
      <c r="BF23" s="194"/>
      <c r="BG23" s="194"/>
      <c r="BH23" s="268"/>
      <c r="BI23" s="143"/>
      <c r="BJ23" s="143"/>
      <c r="BK23" s="143"/>
      <c r="BL23" s="269"/>
      <c r="BM23" s="194"/>
      <c r="BN23" s="194"/>
      <c r="BO23" s="268"/>
      <c r="BP23" s="143"/>
      <c r="BQ23" s="143"/>
      <c r="BR23" s="143"/>
      <c r="BS23" s="269"/>
      <c r="BT23" s="194"/>
      <c r="BU23" s="194"/>
      <c r="BV23" s="268"/>
      <c r="BW23" s="143"/>
      <c r="BX23" s="143"/>
      <c r="BY23" s="143"/>
      <c r="BZ23" s="269"/>
      <c r="CA23" s="194"/>
      <c r="CB23" s="194"/>
      <c r="CC23" s="268"/>
      <c r="CD23" s="143"/>
      <c r="CE23" s="143"/>
      <c r="CF23" s="143"/>
      <c r="CG23" s="269"/>
      <c r="CH23" s="194"/>
      <c r="CI23" s="194"/>
      <c r="CJ23" s="268"/>
      <c r="CK23" s="143"/>
      <c r="CL23" s="143"/>
      <c r="CM23" s="143"/>
      <c r="CN23" s="269"/>
      <c r="CO23" s="194"/>
      <c r="CP23" s="194"/>
      <c r="CQ23" s="268"/>
      <c r="CR23" s="143"/>
      <c r="CS23" s="143"/>
      <c r="CT23" s="143"/>
      <c r="CU23" s="269"/>
      <c r="CV23" s="194"/>
      <c r="CW23" s="194"/>
      <c r="CX23" s="268"/>
      <c r="CY23" s="143"/>
      <c r="CZ23" s="143"/>
      <c r="DA23" s="143"/>
      <c r="DB23" s="269"/>
      <c r="DC23" s="194"/>
      <c r="DD23" s="194"/>
      <c r="DE23" s="268"/>
      <c r="DF23" s="143"/>
      <c r="DG23" s="143"/>
      <c r="DH23" s="143"/>
      <c r="DI23" s="269"/>
      <c r="DJ23" s="194"/>
      <c r="DK23" s="194"/>
      <c r="DL23" s="268"/>
      <c r="DM23" s="143"/>
      <c r="DN23" s="143"/>
      <c r="DO23" s="143"/>
      <c r="DP23" s="269"/>
      <c r="DQ23" s="194"/>
      <c r="DR23" s="194"/>
      <c r="DS23" s="268"/>
      <c r="DT23" s="143"/>
      <c r="DU23" s="143"/>
      <c r="DV23" s="143"/>
      <c r="DW23" s="269"/>
      <c r="DX23" s="194"/>
      <c r="DY23" s="194"/>
      <c r="DZ23" s="268"/>
      <c r="EA23" s="143"/>
      <c r="EB23" s="143"/>
      <c r="EC23" s="143"/>
      <c r="ED23" s="269"/>
      <c r="EE23" s="194"/>
      <c r="EF23" s="194"/>
      <c r="EG23" s="268"/>
      <c r="EH23" s="143"/>
      <c r="EI23" s="143"/>
      <c r="EJ23" s="143"/>
      <c r="EK23" s="269"/>
      <c r="EL23" s="194"/>
      <c r="EM23" s="194"/>
      <c r="EN23" s="268"/>
      <c r="EO23" s="143"/>
      <c r="EP23" s="143"/>
      <c r="EQ23" s="143"/>
      <c r="ER23" s="269"/>
      <c r="ES23" s="194"/>
      <c r="ET23" s="194"/>
      <c r="EU23" s="268"/>
      <c r="EV23" s="143"/>
      <c r="EW23" s="143"/>
      <c r="EX23" s="143"/>
      <c r="EY23" s="269"/>
      <c r="EZ23" s="194"/>
      <c r="FA23" s="194"/>
      <c r="FB23" s="268"/>
      <c r="FC23" s="143"/>
      <c r="FD23" s="143"/>
      <c r="FE23" s="143"/>
      <c r="FF23" s="269"/>
      <c r="FG23" s="194"/>
      <c r="FH23" s="194"/>
      <c r="FI23" s="268"/>
      <c r="FJ23" s="143"/>
      <c r="FK23" s="143"/>
      <c r="FL23" s="143"/>
      <c r="FM23" s="269"/>
      <c r="FN23" s="194"/>
      <c r="FO23" s="194"/>
      <c r="FP23" s="268"/>
      <c r="FQ23" s="143"/>
      <c r="FR23" s="143"/>
      <c r="FS23" s="143"/>
      <c r="FT23" s="269"/>
      <c r="FU23" s="194"/>
      <c r="FV23" s="194"/>
      <c r="FW23" s="268"/>
      <c r="FX23" s="143"/>
      <c r="FY23" s="143"/>
      <c r="FZ23" s="143"/>
      <c r="GA23" s="269"/>
      <c r="GB23" s="194"/>
      <c r="GC23" s="194"/>
      <c r="GD23" s="143"/>
      <c r="GE23" s="143"/>
      <c r="GF23" s="143"/>
      <c r="GG23" s="143"/>
      <c r="GH23" s="143"/>
      <c r="GI23" s="194"/>
      <c r="GJ23" s="194"/>
      <c r="GK23" s="143"/>
      <c r="GL23" s="143"/>
      <c r="GM23" s="143"/>
      <c r="GN23" s="143"/>
      <c r="GO23" s="143"/>
      <c r="GP23" s="210"/>
      <c r="GQ23" s="210"/>
      <c r="GR23" s="143"/>
      <c r="GS23" s="143"/>
      <c r="GT23" s="143"/>
      <c r="GU23" s="143"/>
      <c r="GV23" s="143"/>
      <c r="GW23" s="210"/>
      <c r="GX23" s="210"/>
      <c r="GY23" s="143"/>
      <c r="GZ23" s="143"/>
      <c r="HA23" s="143"/>
      <c r="HB23" s="143"/>
      <c r="HC23" s="143"/>
      <c r="HD23" s="210"/>
      <c r="HE23" s="210"/>
      <c r="HF23" s="143"/>
      <c r="HG23" s="143"/>
      <c r="HH23" s="143"/>
      <c r="HI23" s="143"/>
      <c r="HJ23" s="143"/>
      <c r="HK23" s="210"/>
      <c r="HL23" s="210"/>
      <c r="HM23" s="143"/>
      <c r="HN23" s="143"/>
      <c r="HO23" s="143"/>
      <c r="HP23" s="143"/>
      <c r="HQ23" s="143"/>
      <c r="HR23" s="143"/>
      <c r="HS23" s="143"/>
      <c r="HT23" s="143"/>
      <c r="HU23" s="143"/>
      <c r="HV23" s="143"/>
      <c r="HW23" s="143"/>
      <c r="HX23" s="143"/>
      <c r="HY23" s="203"/>
      <c r="HZ23" s="203"/>
      <c r="IA23" s="143"/>
      <c r="IB23" s="143"/>
      <c r="IC23" s="143"/>
      <c r="ID23" s="143"/>
      <c r="IE23" s="143"/>
      <c r="IF23" s="203"/>
      <c r="IG23" s="203"/>
      <c r="IH23" s="206"/>
      <c r="II23" s="206"/>
      <c r="IJ23" s="206"/>
      <c r="IK23" s="206"/>
      <c r="IL23" s="143"/>
      <c r="IM23" s="203"/>
      <c r="IN23" s="203"/>
      <c r="IO23" s="143"/>
      <c r="IP23" s="143"/>
      <c r="IQ23" s="227"/>
      <c r="IR23" s="227"/>
      <c r="IS23" s="227"/>
      <c r="IT23" s="203"/>
      <c r="IU23" s="203"/>
      <c r="IV23" s="143"/>
      <c r="IW23" s="143"/>
      <c r="IX23" s="143"/>
      <c r="IY23" s="143"/>
      <c r="IZ23" s="143"/>
      <c r="JA23" s="203"/>
      <c r="JB23" s="203"/>
      <c r="JC23" s="227"/>
      <c r="JD23" s="227"/>
      <c r="JE23" s="143"/>
      <c r="JF23" s="143"/>
      <c r="JG23" s="143"/>
      <c r="JH23" s="203"/>
      <c r="JI23" s="203"/>
      <c r="JJ23" s="143"/>
      <c r="JK23" s="143"/>
      <c r="JL23" s="143"/>
      <c r="JM23" s="143"/>
      <c r="JN23" s="143"/>
      <c r="JO23" s="203"/>
      <c r="JP23" s="203"/>
      <c r="JQ23" s="143"/>
      <c r="JR23" s="143"/>
      <c r="JS23" s="143"/>
      <c r="JT23" s="143"/>
      <c r="JU23" s="143"/>
      <c r="JV23" s="203"/>
      <c r="JW23" s="203"/>
      <c r="JX23" s="143"/>
      <c r="JY23" s="143"/>
      <c r="JZ23" s="143"/>
      <c r="KA23" s="143"/>
      <c r="KB23" s="143"/>
      <c r="KC23" s="203"/>
      <c r="KD23" s="203"/>
      <c r="KE23" s="143"/>
      <c r="KF23" s="143"/>
      <c r="KG23" s="143"/>
      <c r="KH23" s="143"/>
      <c r="KI23" s="143"/>
      <c r="KJ23" s="194"/>
      <c r="KK23" s="194"/>
      <c r="KL23" s="143"/>
      <c r="KM23" s="143"/>
      <c r="KN23" s="143"/>
      <c r="KO23" s="143"/>
      <c r="KP23" s="227"/>
      <c r="KQ23" s="194"/>
      <c r="KR23" s="194"/>
      <c r="KS23" s="143"/>
      <c r="KT23" s="143"/>
      <c r="KU23" s="143"/>
      <c r="KV23" s="143"/>
      <c r="KW23" s="143"/>
      <c r="KX23" s="210"/>
      <c r="KY23" s="210"/>
      <c r="KZ23" s="194"/>
      <c r="LA23" s="194"/>
      <c r="LB23" s="194"/>
      <c r="LC23" s="194"/>
      <c r="LD23" s="194"/>
      <c r="LE23" s="210"/>
      <c r="LF23" s="210"/>
      <c r="LG23" s="227"/>
      <c r="LH23" s="227"/>
      <c r="LI23" s="227"/>
      <c r="LJ23" s="227"/>
      <c r="LK23" s="227"/>
      <c r="LL23" s="227"/>
      <c r="LM23" s="210"/>
      <c r="LN23" s="143"/>
      <c r="LO23" s="227"/>
      <c r="LP23" s="227"/>
      <c r="LQ23" s="227"/>
      <c r="LR23" s="227"/>
      <c r="LS23" s="210"/>
      <c r="LT23" s="210"/>
      <c r="LU23" s="227"/>
      <c r="LV23" s="143"/>
      <c r="LW23" s="143"/>
      <c r="LX23" s="143"/>
      <c r="LY23" s="143"/>
      <c r="LZ23" s="203"/>
      <c r="MA23" s="203"/>
      <c r="MB23" s="143"/>
      <c r="MC23" s="143"/>
      <c r="MD23" s="143"/>
      <c r="ME23" s="143"/>
      <c r="MF23" s="143"/>
      <c r="MG23" s="203"/>
      <c r="MH23" s="203"/>
      <c r="MI23" s="143"/>
      <c r="MJ23" s="143"/>
      <c r="MK23" s="143"/>
      <c r="ML23" s="143"/>
      <c r="MM23" s="143"/>
      <c r="MN23" s="203"/>
      <c r="MO23" s="203"/>
      <c r="MP23" s="143"/>
      <c r="MQ23" s="143"/>
      <c r="MR23" s="143"/>
      <c r="MS23" s="143"/>
      <c r="MT23" s="143"/>
      <c r="MU23" s="203"/>
      <c r="MV23" s="203"/>
      <c r="MW23" s="143"/>
      <c r="MX23" s="143"/>
      <c r="MY23" s="143"/>
      <c r="MZ23" s="143"/>
      <c r="NA23" s="143"/>
      <c r="NB23" s="143"/>
      <c r="NC23" s="143"/>
      <c r="ND23" s="143"/>
    </row>
    <row r="24" spans="1:368" s="140" customFormat="1" ht="15" customHeight="1" thickBot="1">
      <c r="A24" s="470"/>
      <c r="B24" s="461"/>
      <c r="C24" s="164" t="s">
        <v>13</v>
      </c>
      <c r="D24" s="268"/>
      <c r="E24" s="143"/>
      <c r="F24" s="143"/>
      <c r="G24" s="143"/>
      <c r="H24" s="269"/>
      <c r="I24" s="194"/>
      <c r="J24" s="194"/>
      <c r="K24" s="268"/>
      <c r="L24" s="143"/>
      <c r="M24" s="143"/>
      <c r="N24" s="143"/>
      <c r="O24" s="269"/>
      <c r="P24" s="194"/>
      <c r="Q24" s="194"/>
      <c r="R24" s="268"/>
      <c r="S24" s="143"/>
      <c r="T24" s="143"/>
      <c r="U24" s="143"/>
      <c r="V24" s="269"/>
      <c r="W24" s="194"/>
      <c r="X24" s="194"/>
      <c r="Y24" s="268"/>
      <c r="Z24" s="143"/>
      <c r="AA24" s="143"/>
      <c r="AB24" s="143"/>
      <c r="AC24" s="269"/>
      <c r="AD24" s="194"/>
      <c r="AE24" s="194"/>
      <c r="AF24" s="268"/>
      <c r="AG24" s="143"/>
      <c r="AH24" s="143"/>
      <c r="AI24" s="143"/>
      <c r="AJ24" s="269"/>
      <c r="AK24" s="194"/>
      <c r="AL24" s="194"/>
      <c r="AM24" s="268"/>
      <c r="AN24" s="143"/>
      <c r="AO24" s="143"/>
      <c r="AP24" s="143"/>
      <c r="AQ24" s="269"/>
      <c r="AR24" s="194"/>
      <c r="AS24" s="194"/>
      <c r="AT24" s="268"/>
      <c r="AU24" s="143"/>
      <c r="AV24" s="143"/>
      <c r="AW24" s="143"/>
      <c r="AX24" s="269"/>
      <c r="AY24" s="194"/>
      <c r="AZ24" s="194"/>
      <c r="BA24" s="268"/>
      <c r="BB24" s="143"/>
      <c r="BC24" s="143"/>
      <c r="BD24" s="143"/>
      <c r="BE24" s="269"/>
      <c r="BF24" s="194"/>
      <c r="BG24" s="194"/>
      <c r="BH24" s="268"/>
      <c r="BI24" s="143"/>
      <c r="BJ24" s="143"/>
      <c r="BK24" s="143"/>
      <c r="BL24" s="269"/>
      <c r="BM24" s="194"/>
      <c r="BN24" s="194"/>
      <c r="BO24" s="268"/>
      <c r="BP24" s="143"/>
      <c r="BQ24" s="143"/>
      <c r="BR24" s="143"/>
      <c r="BS24" s="269"/>
      <c r="BT24" s="194"/>
      <c r="BU24" s="194"/>
      <c r="BV24" s="268"/>
      <c r="BW24" s="143"/>
      <c r="BX24" s="143"/>
      <c r="BY24" s="143"/>
      <c r="BZ24" s="269"/>
      <c r="CA24" s="194"/>
      <c r="CB24" s="194"/>
      <c r="CC24" s="268"/>
      <c r="CD24" s="143"/>
      <c r="CE24" s="143"/>
      <c r="CF24" s="143"/>
      <c r="CG24" s="269"/>
      <c r="CH24" s="194"/>
      <c r="CI24" s="194"/>
      <c r="CJ24" s="268"/>
      <c r="CK24" s="143"/>
      <c r="CL24" s="143"/>
      <c r="CM24" s="143"/>
      <c r="CN24" s="269"/>
      <c r="CO24" s="194"/>
      <c r="CP24" s="194"/>
      <c r="CQ24" s="268"/>
      <c r="CR24" s="143"/>
      <c r="CS24" s="143"/>
      <c r="CT24" s="143"/>
      <c r="CU24" s="269"/>
      <c r="CV24" s="194"/>
      <c r="CW24" s="194"/>
      <c r="CX24" s="268"/>
      <c r="CY24" s="143"/>
      <c r="CZ24" s="143"/>
      <c r="DA24" s="143"/>
      <c r="DB24" s="269"/>
      <c r="DC24" s="194"/>
      <c r="DD24" s="194"/>
      <c r="DE24" s="268"/>
      <c r="DF24" s="143"/>
      <c r="DG24" s="143"/>
      <c r="DH24" s="143"/>
      <c r="DI24" s="269"/>
      <c r="DJ24" s="194"/>
      <c r="DK24" s="194"/>
      <c r="DL24" s="268"/>
      <c r="DM24" s="143"/>
      <c r="DN24" s="143"/>
      <c r="DO24" s="143"/>
      <c r="DP24" s="269"/>
      <c r="DQ24" s="194"/>
      <c r="DR24" s="194"/>
      <c r="DS24" s="268"/>
      <c r="DT24" s="143"/>
      <c r="DU24" s="143"/>
      <c r="DV24" s="143"/>
      <c r="DW24" s="269"/>
      <c r="DX24" s="194"/>
      <c r="DY24" s="194"/>
      <c r="DZ24" s="268"/>
      <c r="EA24" s="143"/>
      <c r="EB24" s="143"/>
      <c r="EC24" s="143"/>
      <c r="ED24" s="269"/>
      <c r="EE24" s="194"/>
      <c r="EF24" s="194"/>
      <c r="EG24" s="268"/>
      <c r="EH24" s="143"/>
      <c r="EI24" s="143"/>
      <c r="EJ24" s="143"/>
      <c r="EK24" s="269"/>
      <c r="EL24" s="194"/>
      <c r="EM24" s="194"/>
      <c r="EN24" s="268"/>
      <c r="EO24" s="143"/>
      <c r="EP24" s="143"/>
      <c r="EQ24" s="143"/>
      <c r="ER24" s="269"/>
      <c r="ES24" s="194"/>
      <c r="ET24" s="194"/>
      <c r="EU24" s="268"/>
      <c r="EV24" s="143"/>
      <c r="EW24" s="143"/>
      <c r="EX24" s="143"/>
      <c r="EY24" s="269"/>
      <c r="EZ24" s="194"/>
      <c r="FA24" s="194"/>
      <c r="FB24" s="268"/>
      <c r="FC24" s="143"/>
      <c r="FD24" s="143"/>
      <c r="FE24" s="143"/>
      <c r="FF24" s="269"/>
      <c r="FG24" s="194"/>
      <c r="FH24" s="194"/>
      <c r="FI24" s="268"/>
      <c r="FJ24" s="143"/>
      <c r="FK24" s="143"/>
      <c r="FL24" s="143"/>
      <c r="FM24" s="269"/>
      <c r="FN24" s="194"/>
      <c r="FO24" s="194"/>
      <c r="FP24" s="268"/>
      <c r="FQ24" s="143"/>
      <c r="FR24" s="143"/>
      <c r="FS24" s="143"/>
      <c r="FT24" s="269"/>
      <c r="FU24" s="194"/>
      <c r="FV24" s="194"/>
      <c r="FW24" s="268"/>
      <c r="FX24" s="143"/>
      <c r="FY24" s="143"/>
      <c r="FZ24" s="143"/>
      <c r="GA24" s="269"/>
      <c r="GB24" s="194"/>
      <c r="GC24" s="194"/>
      <c r="GD24" s="143"/>
      <c r="GE24" s="143"/>
      <c r="GF24" s="143"/>
      <c r="GG24" s="143"/>
      <c r="GH24" s="143"/>
      <c r="GI24" s="194"/>
      <c r="GJ24" s="194"/>
      <c r="GK24" s="143"/>
      <c r="GL24" s="143"/>
      <c r="GM24" s="143"/>
      <c r="GN24" s="143"/>
      <c r="GO24" s="143"/>
      <c r="GP24" s="210"/>
      <c r="GQ24" s="210"/>
      <c r="GR24" s="143"/>
      <c r="GS24" s="143"/>
      <c r="GT24" s="143"/>
      <c r="GU24" s="143"/>
      <c r="GV24" s="143"/>
      <c r="GW24" s="210"/>
      <c r="GX24" s="210"/>
      <c r="GY24" s="143"/>
      <c r="GZ24" s="143"/>
      <c r="HA24" s="143"/>
      <c r="HB24" s="143"/>
      <c r="HC24" s="143"/>
      <c r="HD24" s="210"/>
      <c r="HE24" s="210"/>
      <c r="HF24" s="143"/>
      <c r="HG24" s="143"/>
      <c r="HH24" s="143"/>
      <c r="HI24" s="143"/>
      <c r="HJ24" s="143"/>
      <c r="HK24" s="210"/>
      <c r="HL24" s="210"/>
      <c r="HM24" s="143"/>
      <c r="HN24" s="143"/>
      <c r="HO24" s="143"/>
      <c r="HP24" s="143"/>
      <c r="HQ24" s="143"/>
      <c r="HR24" s="143"/>
      <c r="HS24" s="143"/>
      <c r="HT24" s="143"/>
      <c r="HU24" s="143"/>
      <c r="HV24" s="143"/>
      <c r="HW24" s="143"/>
      <c r="HX24" s="143"/>
      <c r="HY24" s="203"/>
      <c r="HZ24" s="203"/>
      <c r="IA24" s="143"/>
      <c r="IB24" s="143"/>
      <c r="IC24" s="143"/>
      <c r="ID24" s="143"/>
      <c r="IE24" s="143"/>
      <c r="IF24" s="203"/>
      <c r="IG24" s="203"/>
      <c r="IH24" s="206"/>
      <c r="II24" s="206"/>
      <c r="IJ24" s="206"/>
      <c r="IK24" s="206"/>
      <c r="IL24" s="143"/>
      <c r="IM24" s="203"/>
      <c r="IN24" s="203"/>
      <c r="IO24" s="143"/>
      <c r="IP24" s="143"/>
      <c r="IQ24" s="227"/>
      <c r="IR24" s="227"/>
      <c r="IS24" s="227"/>
      <c r="IT24" s="203"/>
      <c r="IU24" s="203"/>
      <c r="IV24" s="143"/>
      <c r="IW24" s="143"/>
      <c r="IX24" s="143"/>
      <c r="IY24" s="143"/>
      <c r="IZ24" s="143"/>
      <c r="JA24" s="203"/>
      <c r="JB24" s="203"/>
      <c r="JC24" s="227"/>
      <c r="JD24" s="227"/>
      <c r="JE24" s="143"/>
      <c r="JF24" s="143"/>
      <c r="JG24" s="143"/>
      <c r="JH24" s="203"/>
      <c r="JI24" s="203"/>
      <c r="JJ24" s="143"/>
      <c r="JK24" s="143"/>
      <c r="JL24" s="143"/>
      <c r="JM24" s="143"/>
      <c r="JN24" s="143"/>
      <c r="JO24" s="203"/>
      <c r="JP24" s="203"/>
      <c r="JQ24" s="143"/>
      <c r="JR24" s="143"/>
      <c r="JS24" s="143"/>
      <c r="JT24" s="143"/>
      <c r="JU24" s="143"/>
      <c r="JV24" s="203"/>
      <c r="JW24" s="203"/>
      <c r="JX24" s="143"/>
      <c r="JY24" s="143"/>
      <c r="JZ24" s="143"/>
      <c r="KA24" s="143"/>
      <c r="KB24" s="143"/>
      <c r="KC24" s="203"/>
      <c r="KD24" s="203"/>
      <c r="KE24" s="143"/>
      <c r="KF24" s="143"/>
      <c r="KG24" s="143"/>
      <c r="KH24" s="143"/>
      <c r="KI24" s="143"/>
      <c r="KJ24" s="194"/>
      <c r="KK24" s="194"/>
      <c r="KL24" s="143"/>
      <c r="KM24" s="143"/>
      <c r="KN24" s="143"/>
      <c r="KO24" s="143"/>
      <c r="KP24" s="227"/>
      <c r="KQ24" s="194"/>
      <c r="KR24" s="194"/>
      <c r="KS24" s="143"/>
      <c r="KT24" s="143"/>
      <c r="KU24" s="143"/>
      <c r="KV24" s="143"/>
      <c r="KW24" s="143"/>
      <c r="KX24" s="210"/>
      <c r="KY24" s="210"/>
      <c r="KZ24" s="194"/>
      <c r="LA24" s="194"/>
      <c r="LB24" s="194"/>
      <c r="LC24" s="194"/>
      <c r="LD24" s="194"/>
      <c r="LE24" s="210"/>
      <c r="LF24" s="210"/>
      <c r="LG24" s="227"/>
      <c r="LH24" s="227"/>
      <c r="LI24" s="227"/>
      <c r="LJ24" s="227"/>
      <c r="LK24" s="227"/>
      <c r="LL24" s="227"/>
      <c r="LM24" s="210"/>
      <c r="LN24" s="143"/>
      <c r="LO24" s="227"/>
      <c r="LP24" s="227"/>
      <c r="LQ24" s="227"/>
      <c r="LR24" s="227"/>
      <c r="LS24" s="210"/>
      <c r="LT24" s="210"/>
      <c r="LU24" s="227"/>
      <c r="LV24" s="143"/>
      <c r="LW24" s="143"/>
      <c r="LX24" s="143"/>
      <c r="LY24" s="143"/>
      <c r="LZ24" s="203"/>
      <c r="MA24" s="203"/>
      <c r="MB24" s="143"/>
      <c r="MC24" s="143"/>
      <c r="MD24" s="143"/>
      <c r="ME24" s="143"/>
      <c r="MF24" s="143"/>
      <c r="MG24" s="203"/>
      <c r="MH24" s="203"/>
      <c r="MI24" s="143"/>
      <c r="MJ24" s="143"/>
      <c r="MK24" s="143"/>
      <c r="ML24" s="143"/>
      <c r="MM24" s="143"/>
      <c r="MN24" s="203"/>
      <c r="MO24" s="203"/>
      <c r="MP24" s="143"/>
      <c r="MQ24" s="143"/>
      <c r="MR24" s="143"/>
      <c r="MS24" s="143"/>
      <c r="MT24" s="143"/>
      <c r="MU24" s="203"/>
      <c r="MV24" s="203"/>
      <c r="MW24" s="143"/>
      <c r="MX24" s="143"/>
      <c r="MY24" s="143"/>
      <c r="MZ24" s="143"/>
      <c r="NA24" s="143"/>
      <c r="NB24" s="143"/>
      <c r="NC24" s="143"/>
      <c r="ND24" s="143"/>
    </row>
    <row r="25" spans="1:368" s="151" customFormat="1" ht="15" hidden="1" customHeight="1" thickBot="1">
      <c r="A25" s="470"/>
      <c r="B25" s="474"/>
      <c r="C25" s="165" t="s">
        <v>93</v>
      </c>
      <c r="D25" s="270"/>
      <c r="E25" s="264"/>
      <c r="F25" s="264"/>
      <c r="G25" s="264"/>
      <c r="H25" s="271"/>
      <c r="I25" s="194"/>
      <c r="J25" s="194"/>
      <c r="K25" s="270"/>
      <c r="L25" s="264"/>
      <c r="M25" s="264"/>
      <c r="N25" s="264"/>
      <c r="O25" s="271"/>
      <c r="P25" s="194"/>
      <c r="Q25" s="194"/>
      <c r="R25" s="270"/>
      <c r="S25" s="264"/>
      <c r="T25" s="264"/>
      <c r="U25" s="264"/>
      <c r="V25" s="271"/>
      <c r="W25" s="194"/>
      <c r="X25" s="194"/>
      <c r="Y25" s="270"/>
      <c r="Z25" s="264"/>
      <c r="AA25" s="264"/>
      <c r="AB25" s="264"/>
      <c r="AC25" s="271"/>
      <c r="AD25" s="194"/>
      <c r="AE25" s="194"/>
      <c r="AF25" s="270"/>
      <c r="AG25" s="264"/>
      <c r="AH25" s="264"/>
      <c r="AI25" s="264"/>
      <c r="AJ25" s="271"/>
      <c r="AK25" s="194"/>
      <c r="AL25" s="194"/>
      <c r="AM25" s="270"/>
      <c r="AN25" s="264"/>
      <c r="AO25" s="264"/>
      <c r="AP25" s="264"/>
      <c r="AQ25" s="271"/>
      <c r="AR25" s="194"/>
      <c r="AS25" s="194"/>
      <c r="AT25" s="270"/>
      <c r="AU25" s="264"/>
      <c r="AV25" s="264"/>
      <c r="AW25" s="264"/>
      <c r="AX25" s="271"/>
      <c r="AY25" s="194"/>
      <c r="AZ25" s="194"/>
      <c r="BA25" s="270"/>
      <c r="BB25" s="264"/>
      <c r="BC25" s="264"/>
      <c r="BD25" s="264"/>
      <c r="BE25" s="271"/>
      <c r="BF25" s="194"/>
      <c r="BG25" s="194"/>
      <c r="BH25" s="270"/>
      <c r="BI25" s="264"/>
      <c r="BJ25" s="264"/>
      <c r="BK25" s="264"/>
      <c r="BL25" s="271"/>
      <c r="BM25" s="194"/>
      <c r="BN25" s="194"/>
      <c r="BO25" s="270"/>
      <c r="BP25" s="264"/>
      <c r="BQ25" s="264"/>
      <c r="BR25" s="264"/>
      <c r="BS25" s="271"/>
      <c r="BT25" s="194"/>
      <c r="BU25" s="194"/>
      <c r="BV25" s="270"/>
      <c r="BW25" s="264"/>
      <c r="BX25" s="264"/>
      <c r="BY25" s="264"/>
      <c r="BZ25" s="271"/>
      <c r="CA25" s="194"/>
      <c r="CB25" s="194"/>
      <c r="CC25" s="270"/>
      <c r="CD25" s="264"/>
      <c r="CE25" s="264"/>
      <c r="CF25" s="264"/>
      <c r="CG25" s="271"/>
      <c r="CH25" s="194"/>
      <c r="CI25" s="194"/>
      <c r="CJ25" s="270"/>
      <c r="CK25" s="264"/>
      <c r="CL25" s="264"/>
      <c r="CM25" s="264"/>
      <c r="CN25" s="271"/>
      <c r="CO25" s="194"/>
      <c r="CP25" s="194"/>
      <c r="CQ25" s="270"/>
      <c r="CR25" s="264"/>
      <c r="CS25" s="264"/>
      <c r="CT25" s="264"/>
      <c r="CU25" s="271"/>
      <c r="CV25" s="194"/>
      <c r="CW25" s="194"/>
      <c r="CX25" s="270"/>
      <c r="CY25" s="264"/>
      <c r="CZ25" s="264"/>
      <c r="DA25" s="264"/>
      <c r="DB25" s="271"/>
      <c r="DC25" s="194"/>
      <c r="DD25" s="194"/>
      <c r="DE25" s="270"/>
      <c r="DF25" s="264"/>
      <c r="DG25" s="264"/>
      <c r="DH25" s="264"/>
      <c r="DI25" s="271"/>
      <c r="DJ25" s="194"/>
      <c r="DK25" s="194"/>
      <c r="DL25" s="270"/>
      <c r="DM25" s="264"/>
      <c r="DN25" s="264"/>
      <c r="DO25" s="264"/>
      <c r="DP25" s="271"/>
      <c r="DQ25" s="194"/>
      <c r="DR25" s="194"/>
      <c r="DS25" s="270"/>
      <c r="DT25" s="264"/>
      <c r="DU25" s="264"/>
      <c r="DV25" s="264"/>
      <c r="DW25" s="271"/>
      <c r="DX25" s="194"/>
      <c r="DY25" s="194"/>
      <c r="DZ25" s="270"/>
      <c r="EA25" s="264"/>
      <c r="EB25" s="264"/>
      <c r="EC25" s="264"/>
      <c r="ED25" s="271"/>
      <c r="EE25" s="194"/>
      <c r="EF25" s="194"/>
      <c r="EG25" s="270"/>
      <c r="EH25" s="264"/>
      <c r="EI25" s="264"/>
      <c r="EJ25" s="264"/>
      <c r="EK25" s="271"/>
      <c r="EL25" s="194"/>
      <c r="EM25" s="194"/>
      <c r="EN25" s="270"/>
      <c r="EO25" s="264"/>
      <c r="EP25" s="264"/>
      <c r="EQ25" s="264"/>
      <c r="ER25" s="271"/>
      <c r="ES25" s="194"/>
      <c r="ET25" s="194"/>
      <c r="EU25" s="270"/>
      <c r="EV25" s="264"/>
      <c r="EW25" s="264"/>
      <c r="EX25" s="264"/>
      <c r="EY25" s="271"/>
      <c r="EZ25" s="194"/>
      <c r="FA25" s="194"/>
      <c r="FB25" s="270"/>
      <c r="FC25" s="264"/>
      <c r="FD25" s="264"/>
      <c r="FE25" s="264"/>
      <c r="FF25" s="271"/>
      <c r="FG25" s="194"/>
      <c r="FH25" s="194"/>
      <c r="FI25" s="270"/>
      <c r="FJ25" s="264"/>
      <c r="FK25" s="264"/>
      <c r="FL25" s="264"/>
      <c r="FM25" s="271"/>
      <c r="FN25" s="194"/>
      <c r="FO25" s="194"/>
      <c r="FP25" s="270"/>
      <c r="FQ25" s="264"/>
      <c r="FR25" s="264"/>
      <c r="FS25" s="264"/>
      <c r="FT25" s="271"/>
      <c r="FU25" s="194"/>
      <c r="FV25" s="194"/>
      <c r="FW25" s="270"/>
      <c r="FX25" s="264"/>
      <c r="FY25" s="264"/>
      <c r="FZ25" s="264"/>
      <c r="GA25" s="271"/>
      <c r="GB25" s="194"/>
      <c r="GC25" s="194"/>
      <c r="GD25" s="264"/>
      <c r="GE25" s="264"/>
      <c r="GF25" s="264"/>
      <c r="GG25" s="264"/>
      <c r="GH25" s="264"/>
      <c r="GI25" s="279"/>
      <c r="GJ25" s="279"/>
      <c r="GK25" s="152"/>
      <c r="GL25" s="152"/>
      <c r="GM25" s="152"/>
      <c r="GN25" s="152"/>
      <c r="GO25" s="152"/>
      <c r="GP25" s="210"/>
      <c r="GQ25" s="210"/>
      <c r="GR25" s="152"/>
      <c r="GS25" s="152"/>
      <c r="GT25" s="152"/>
      <c r="GU25" s="152"/>
      <c r="GV25" s="152"/>
      <c r="GW25" s="210"/>
      <c r="GX25" s="210"/>
      <c r="GY25" s="152"/>
      <c r="GZ25" s="152"/>
      <c r="HA25" s="152"/>
      <c r="HB25" s="152"/>
      <c r="HC25" s="152"/>
      <c r="HD25" s="210"/>
      <c r="HE25" s="210"/>
      <c r="HF25" s="152"/>
      <c r="HG25" s="152"/>
      <c r="HH25" s="152"/>
      <c r="HI25" s="152"/>
      <c r="HJ25" s="152"/>
      <c r="HK25" s="210"/>
      <c r="HL25" s="210"/>
      <c r="HM25" s="152"/>
      <c r="HN25" s="152"/>
      <c r="HO25" s="152"/>
      <c r="HP25" s="152"/>
      <c r="HQ25" s="152"/>
      <c r="HR25" s="152"/>
      <c r="HS25" s="152"/>
      <c r="HT25" s="152"/>
      <c r="HU25" s="152"/>
      <c r="HV25" s="152"/>
      <c r="HW25" s="152"/>
      <c r="HX25" s="152"/>
      <c r="HY25" s="203"/>
      <c r="HZ25" s="203"/>
      <c r="IA25" s="152"/>
      <c r="IB25" s="152"/>
      <c r="IC25" s="152"/>
      <c r="ID25" s="152"/>
      <c r="IE25" s="152"/>
      <c r="IF25" s="203"/>
      <c r="IG25" s="203"/>
      <c r="IH25" s="152"/>
      <c r="II25" s="152"/>
      <c r="IJ25" s="152"/>
      <c r="IK25" s="152"/>
      <c r="IL25" s="152"/>
      <c r="IM25" s="203"/>
      <c r="IN25" s="203"/>
      <c r="IO25" s="152"/>
      <c r="IP25" s="152"/>
      <c r="IQ25" s="227"/>
      <c r="IR25" s="227"/>
      <c r="IS25" s="227"/>
      <c r="IT25" s="203"/>
      <c r="IU25" s="203"/>
      <c r="IV25" s="152"/>
      <c r="IW25" s="152"/>
      <c r="IX25" s="152"/>
      <c r="IY25" s="152"/>
      <c r="IZ25" s="152"/>
      <c r="JA25" s="203"/>
      <c r="JB25" s="203"/>
      <c r="JC25" s="232"/>
      <c r="JD25" s="232"/>
      <c r="JE25" s="152"/>
      <c r="JF25" s="152"/>
      <c r="JG25" s="152"/>
      <c r="JH25" s="203"/>
      <c r="JI25" s="203"/>
      <c r="JJ25" s="152"/>
      <c r="JK25" s="152"/>
      <c r="JL25" s="152"/>
      <c r="JM25" s="152"/>
      <c r="JN25" s="152"/>
      <c r="JO25" s="203"/>
      <c r="JP25" s="203"/>
      <c r="JQ25" s="152"/>
      <c r="JR25" s="152"/>
      <c r="JS25" s="152"/>
      <c r="JT25" s="152"/>
      <c r="JU25" s="152"/>
      <c r="JV25" s="203"/>
      <c r="JW25" s="203"/>
      <c r="JX25" s="152"/>
      <c r="JY25" s="152"/>
      <c r="JZ25" s="152"/>
      <c r="KA25" s="152"/>
      <c r="KB25" s="152"/>
      <c r="KC25" s="203"/>
      <c r="KD25" s="203"/>
      <c r="KE25" s="152"/>
      <c r="KF25" s="152"/>
      <c r="KG25" s="152"/>
      <c r="KH25" s="152"/>
      <c r="KI25" s="152"/>
      <c r="KJ25" s="194"/>
      <c r="KK25" s="194"/>
      <c r="KL25" s="152"/>
      <c r="KM25" s="152"/>
      <c r="KN25" s="152"/>
      <c r="KO25" s="152"/>
      <c r="KP25" s="227"/>
      <c r="KQ25" s="194"/>
      <c r="KR25" s="194"/>
      <c r="KS25" s="152"/>
      <c r="KT25" s="152"/>
      <c r="KU25" s="152"/>
      <c r="KV25" s="152"/>
      <c r="KW25" s="152"/>
      <c r="KX25" s="210"/>
      <c r="KY25" s="210"/>
      <c r="KZ25" s="194"/>
      <c r="LA25" s="194"/>
      <c r="LB25" s="194"/>
      <c r="LC25" s="194"/>
      <c r="LD25" s="194"/>
      <c r="LE25" s="210"/>
      <c r="LF25" s="210"/>
      <c r="LG25" s="227"/>
      <c r="LH25" s="227"/>
      <c r="LI25" s="227"/>
      <c r="LJ25" s="227"/>
      <c r="LK25" s="227"/>
      <c r="LL25" s="227"/>
      <c r="LM25" s="210"/>
      <c r="LN25" s="232"/>
      <c r="LO25" s="232"/>
      <c r="LP25" s="232"/>
      <c r="LQ25" s="232"/>
      <c r="LR25" s="232"/>
      <c r="LS25" s="210"/>
      <c r="LT25" s="210"/>
      <c r="LU25" s="232"/>
      <c r="LV25" s="152"/>
      <c r="LW25" s="152"/>
      <c r="LX25" s="152"/>
      <c r="LY25" s="152"/>
      <c r="LZ25" s="203"/>
      <c r="MA25" s="203"/>
      <c r="MB25" s="152"/>
      <c r="MC25" s="152"/>
      <c r="MD25" s="152"/>
      <c r="ME25" s="152"/>
      <c r="MF25" s="152"/>
      <c r="MG25" s="203"/>
      <c r="MH25" s="203"/>
      <c r="MI25" s="152"/>
      <c r="MJ25" s="152"/>
      <c r="MK25" s="152"/>
      <c r="ML25" s="152"/>
      <c r="MM25" s="152"/>
      <c r="MN25" s="203"/>
      <c r="MO25" s="203"/>
      <c r="MP25" s="152"/>
      <c r="MQ25" s="152"/>
      <c r="MR25" s="152"/>
      <c r="MS25" s="152"/>
      <c r="MT25" s="152"/>
      <c r="MU25" s="203"/>
      <c r="MV25" s="203"/>
      <c r="MW25" s="152"/>
      <c r="MX25" s="152"/>
      <c r="MY25" s="152"/>
      <c r="MZ25" s="152"/>
      <c r="NA25" s="152"/>
      <c r="NB25" s="152"/>
      <c r="NC25" s="152"/>
      <c r="ND25" s="152"/>
    </row>
    <row r="26" spans="1:368" s="140" customFormat="1" ht="15" customHeight="1">
      <c r="A26" s="470"/>
      <c r="B26" s="473" t="s">
        <v>8</v>
      </c>
      <c r="C26" s="163" t="s">
        <v>10</v>
      </c>
      <c r="D26" s="265"/>
      <c r="E26" s="266"/>
      <c r="F26" s="266"/>
      <c r="G26" s="266"/>
      <c r="H26" s="267"/>
      <c r="I26" s="194"/>
      <c r="J26" s="194"/>
      <c r="K26" s="265"/>
      <c r="L26" s="266"/>
      <c r="M26" s="266"/>
      <c r="N26" s="266"/>
      <c r="O26" s="267"/>
      <c r="P26" s="194"/>
      <c r="Q26" s="194"/>
      <c r="R26" s="265"/>
      <c r="S26" s="266"/>
      <c r="T26" s="266"/>
      <c r="U26" s="266"/>
      <c r="V26" s="267"/>
      <c r="W26" s="194"/>
      <c r="X26" s="194"/>
      <c r="Y26" s="265"/>
      <c r="Z26" s="266"/>
      <c r="AA26" s="266"/>
      <c r="AB26" s="266"/>
      <c r="AC26" s="267"/>
      <c r="AD26" s="194"/>
      <c r="AE26" s="194"/>
      <c r="AF26" s="265"/>
      <c r="AG26" s="266"/>
      <c r="AH26" s="266"/>
      <c r="AI26" s="266"/>
      <c r="AJ26" s="267"/>
      <c r="AK26" s="194"/>
      <c r="AL26" s="194"/>
      <c r="AM26" s="265"/>
      <c r="AN26" s="266"/>
      <c r="AO26" s="266"/>
      <c r="AP26" s="266"/>
      <c r="AQ26" s="267"/>
      <c r="AR26" s="194"/>
      <c r="AS26" s="194"/>
      <c r="AT26" s="265"/>
      <c r="AU26" s="266"/>
      <c r="AV26" s="266"/>
      <c r="AW26" s="266"/>
      <c r="AX26" s="267"/>
      <c r="AY26" s="194"/>
      <c r="AZ26" s="194"/>
      <c r="BA26" s="265"/>
      <c r="BB26" s="266"/>
      <c r="BC26" s="266"/>
      <c r="BD26" s="266"/>
      <c r="BE26" s="267"/>
      <c r="BF26" s="194"/>
      <c r="BG26" s="194"/>
      <c r="BH26" s="265"/>
      <c r="BI26" s="266"/>
      <c r="BJ26" s="266"/>
      <c r="BK26" s="266"/>
      <c r="BL26" s="267"/>
      <c r="BM26" s="194"/>
      <c r="BN26" s="194"/>
      <c r="BO26" s="265"/>
      <c r="BP26" s="266"/>
      <c r="BQ26" s="266"/>
      <c r="BR26" s="266"/>
      <c r="BS26" s="267"/>
      <c r="BT26" s="194"/>
      <c r="BU26" s="194"/>
      <c r="BV26" s="265"/>
      <c r="BW26" s="266"/>
      <c r="BX26" s="266"/>
      <c r="BY26" s="266"/>
      <c r="BZ26" s="267"/>
      <c r="CA26" s="194"/>
      <c r="CB26" s="194"/>
      <c r="CC26" s="265"/>
      <c r="CD26" s="266"/>
      <c r="CE26" s="266"/>
      <c r="CF26" s="266"/>
      <c r="CG26" s="267"/>
      <c r="CH26" s="194"/>
      <c r="CI26" s="194"/>
      <c r="CJ26" s="265"/>
      <c r="CK26" s="266"/>
      <c r="CL26" s="266"/>
      <c r="CM26" s="266"/>
      <c r="CN26" s="267"/>
      <c r="CO26" s="194"/>
      <c r="CP26" s="194"/>
      <c r="CQ26" s="265"/>
      <c r="CR26" s="266"/>
      <c r="CS26" s="266"/>
      <c r="CT26" s="266"/>
      <c r="CU26" s="267"/>
      <c r="CV26" s="194"/>
      <c r="CW26" s="194"/>
      <c r="CX26" s="265"/>
      <c r="CY26" s="266"/>
      <c r="CZ26" s="266"/>
      <c r="DA26" s="266"/>
      <c r="DB26" s="267"/>
      <c r="DC26" s="194"/>
      <c r="DD26" s="194"/>
      <c r="DE26" s="265"/>
      <c r="DF26" s="266"/>
      <c r="DG26" s="266"/>
      <c r="DH26" s="266"/>
      <c r="DI26" s="267"/>
      <c r="DJ26" s="194"/>
      <c r="DK26" s="194"/>
      <c r="DL26" s="265"/>
      <c r="DM26" s="266"/>
      <c r="DN26" s="266"/>
      <c r="DO26" s="266"/>
      <c r="DP26" s="267"/>
      <c r="DQ26" s="194"/>
      <c r="DR26" s="194"/>
      <c r="DS26" s="265"/>
      <c r="DT26" s="266"/>
      <c r="DU26" s="266"/>
      <c r="DV26" s="266"/>
      <c r="DW26" s="267"/>
      <c r="DX26" s="194"/>
      <c r="DY26" s="194"/>
      <c r="DZ26" s="265"/>
      <c r="EA26" s="266"/>
      <c r="EB26" s="266"/>
      <c r="EC26" s="266"/>
      <c r="ED26" s="267"/>
      <c r="EE26" s="194"/>
      <c r="EF26" s="194"/>
      <c r="EG26" s="265"/>
      <c r="EH26" s="266"/>
      <c r="EI26" s="266"/>
      <c r="EJ26" s="266"/>
      <c r="EK26" s="267"/>
      <c r="EL26" s="194"/>
      <c r="EM26" s="194"/>
      <c r="EN26" s="265"/>
      <c r="EO26" s="266"/>
      <c r="EP26" s="266"/>
      <c r="EQ26" s="266"/>
      <c r="ER26" s="267"/>
      <c r="ES26" s="194"/>
      <c r="ET26" s="194"/>
      <c r="EU26" s="265"/>
      <c r="EV26" s="266"/>
      <c r="EW26" s="266"/>
      <c r="EX26" s="266"/>
      <c r="EY26" s="267"/>
      <c r="EZ26" s="194"/>
      <c r="FA26" s="194"/>
      <c r="FB26" s="265"/>
      <c r="FC26" s="266"/>
      <c r="FD26" s="266"/>
      <c r="FE26" s="266"/>
      <c r="FF26" s="267"/>
      <c r="FG26" s="194"/>
      <c r="FH26" s="194"/>
      <c r="FI26" s="265"/>
      <c r="FJ26" s="266"/>
      <c r="FK26" s="266"/>
      <c r="FL26" s="266"/>
      <c r="FM26" s="267"/>
      <c r="FN26" s="194"/>
      <c r="FO26" s="194"/>
      <c r="FP26" s="265"/>
      <c r="FQ26" s="266"/>
      <c r="FR26" s="266"/>
      <c r="FS26" s="266"/>
      <c r="FT26" s="267"/>
      <c r="FU26" s="194"/>
      <c r="FV26" s="194"/>
      <c r="FW26" s="265"/>
      <c r="FX26" s="266"/>
      <c r="FY26" s="266"/>
      <c r="FZ26" s="266"/>
      <c r="GA26" s="267"/>
      <c r="GB26" s="194"/>
      <c r="GC26" s="277"/>
      <c r="GD26" s="265"/>
      <c r="GE26" s="266"/>
      <c r="GF26" s="266"/>
      <c r="GG26" s="266"/>
      <c r="GH26" s="266"/>
      <c r="GI26" s="280"/>
      <c r="GJ26" s="281"/>
      <c r="GK26" s="143"/>
      <c r="GL26" s="143"/>
      <c r="GM26" s="143"/>
      <c r="GN26" s="143"/>
      <c r="GO26" s="143"/>
      <c r="GP26" s="210"/>
      <c r="GQ26" s="210"/>
      <c r="GR26" s="143"/>
      <c r="GS26" s="143"/>
      <c r="GT26" s="143"/>
      <c r="GU26" s="143"/>
      <c r="GV26" s="143"/>
      <c r="GW26" s="210"/>
      <c r="GX26" s="210"/>
      <c r="GY26" s="143"/>
      <c r="GZ26" s="143"/>
      <c r="HA26" s="143"/>
      <c r="HB26" s="143"/>
      <c r="HC26" s="143"/>
      <c r="HD26" s="210"/>
      <c r="HE26" s="210"/>
      <c r="HF26" s="143"/>
      <c r="HG26" s="143"/>
      <c r="HH26" s="143"/>
      <c r="HI26" s="143"/>
      <c r="HJ26" s="143"/>
      <c r="HK26" s="210"/>
      <c r="HL26" s="210"/>
      <c r="HM26" s="143"/>
      <c r="HN26" s="143"/>
      <c r="HO26" s="143"/>
      <c r="HP26" s="143"/>
      <c r="HQ26" s="143"/>
      <c r="HR26" s="143"/>
      <c r="HS26" s="143"/>
      <c r="HT26" s="143"/>
      <c r="HU26" s="143"/>
      <c r="HV26" s="143"/>
      <c r="HW26" s="143"/>
      <c r="HX26" s="143"/>
      <c r="HY26" s="203"/>
      <c r="HZ26" s="203"/>
      <c r="IA26" s="143"/>
      <c r="IB26" s="143"/>
      <c r="IC26" s="143"/>
      <c r="ID26" s="143"/>
      <c r="IE26" s="143"/>
      <c r="IF26" s="203"/>
      <c r="IG26" s="203"/>
      <c r="IH26" s="143"/>
      <c r="II26" s="143"/>
      <c r="IJ26" s="143"/>
      <c r="IK26" s="143"/>
      <c r="IL26" s="143"/>
      <c r="IM26" s="203"/>
      <c r="IN26" s="203"/>
      <c r="IO26" s="143"/>
      <c r="IP26" s="143"/>
      <c r="IQ26" s="227"/>
      <c r="IR26" s="227"/>
      <c r="IS26" s="227"/>
      <c r="IT26" s="203"/>
      <c r="IU26" s="203"/>
      <c r="IV26" s="143"/>
      <c r="IW26" s="143"/>
      <c r="IX26" s="143"/>
      <c r="IY26" s="143"/>
      <c r="IZ26" s="143"/>
      <c r="JA26" s="203"/>
      <c r="JB26" s="203"/>
      <c r="JC26" s="227"/>
      <c r="JD26" s="227"/>
      <c r="JE26" s="143"/>
      <c r="JF26" s="143"/>
      <c r="JG26" s="143"/>
      <c r="JH26" s="203"/>
      <c r="JI26" s="203"/>
      <c r="JJ26" s="143"/>
      <c r="JK26" s="143"/>
      <c r="JL26" s="143"/>
      <c r="JM26" s="143"/>
      <c r="JN26" s="143"/>
      <c r="JO26" s="203"/>
      <c r="JP26" s="203"/>
      <c r="JQ26" s="143"/>
      <c r="JR26" s="143"/>
      <c r="JS26" s="143"/>
      <c r="JT26" s="143"/>
      <c r="JU26" s="143"/>
      <c r="JV26" s="203"/>
      <c r="JW26" s="203"/>
      <c r="JX26" s="143"/>
      <c r="JY26" s="143"/>
      <c r="JZ26" s="143"/>
      <c r="KA26" s="143"/>
      <c r="KB26" s="143"/>
      <c r="KC26" s="203"/>
      <c r="KD26" s="203"/>
      <c r="KE26" s="143"/>
      <c r="KF26" s="143"/>
      <c r="KG26" s="143"/>
      <c r="KH26" s="143"/>
      <c r="KI26" s="143"/>
      <c r="KJ26" s="194"/>
      <c r="KK26" s="194"/>
      <c r="KL26" s="143"/>
      <c r="KM26" s="143"/>
      <c r="KN26" s="143"/>
      <c r="KO26" s="143"/>
      <c r="KP26" s="227"/>
      <c r="KQ26" s="194"/>
      <c r="KR26" s="194"/>
      <c r="KS26" s="143"/>
      <c r="KT26" s="143"/>
      <c r="KU26" s="143"/>
      <c r="KV26" s="143"/>
      <c r="KW26" s="143"/>
      <c r="KX26" s="210"/>
      <c r="KY26" s="210"/>
      <c r="KZ26" s="194"/>
      <c r="LA26" s="194"/>
      <c r="LB26" s="194"/>
      <c r="LC26" s="194"/>
      <c r="LD26" s="194"/>
      <c r="LE26" s="210"/>
      <c r="LF26" s="210"/>
      <c r="LG26" s="227"/>
      <c r="LH26" s="227"/>
      <c r="LI26" s="227"/>
      <c r="LJ26" s="227"/>
      <c r="LK26" s="227"/>
      <c r="LL26" s="227"/>
      <c r="LM26" s="210"/>
      <c r="LN26" s="227"/>
      <c r="LO26" s="227"/>
      <c r="LP26" s="227"/>
      <c r="LQ26" s="227"/>
      <c r="LR26" s="227"/>
      <c r="LS26" s="210"/>
      <c r="LT26" s="210"/>
      <c r="LU26" s="227"/>
      <c r="LV26" s="143"/>
      <c r="LW26" s="143"/>
      <c r="LX26" s="143"/>
      <c r="LY26" s="143"/>
      <c r="LZ26" s="203"/>
      <c r="MA26" s="203"/>
      <c r="MB26" s="143"/>
      <c r="MC26" s="143"/>
      <c r="MD26" s="143"/>
      <c r="ME26" s="143"/>
      <c r="MF26" s="143"/>
      <c r="MG26" s="203"/>
      <c r="MH26" s="203"/>
      <c r="MI26" s="143"/>
      <c r="MJ26" s="143"/>
      <c r="MK26" s="143"/>
      <c r="ML26" s="143"/>
      <c r="MM26" s="143"/>
      <c r="MN26" s="203"/>
      <c r="MO26" s="203"/>
      <c r="MP26" s="143"/>
      <c r="MQ26" s="143"/>
      <c r="MR26" s="143"/>
      <c r="MS26" s="143"/>
      <c r="MT26" s="143"/>
      <c r="MU26" s="203"/>
      <c r="MV26" s="203"/>
      <c r="MW26" s="143"/>
      <c r="MX26" s="143"/>
      <c r="MY26" s="143"/>
      <c r="MZ26" s="143"/>
      <c r="NA26" s="143"/>
      <c r="NB26" s="143"/>
      <c r="NC26" s="143"/>
      <c r="ND26" s="143"/>
    </row>
    <row r="27" spans="1:368" s="140" customFormat="1" ht="15" customHeight="1">
      <c r="A27" s="470"/>
      <c r="B27" s="461"/>
      <c r="C27" s="164" t="s">
        <v>11</v>
      </c>
      <c r="D27" s="268"/>
      <c r="E27" s="143"/>
      <c r="F27" s="143"/>
      <c r="G27" s="143"/>
      <c r="H27" s="269"/>
      <c r="I27" s="194"/>
      <c r="J27" s="194"/>
      <c r="K27" s="268"/>
      <c r="L27" s="143"/>
      <c r="M27" s="143"/>
      <c r="N27" s="143"/>
      <c r="O27" s="269"/>
      <c r="P27" s="194"/>
      <c r="Q27" s="194"/>
      <c r="R27" s="268"/>
      <c r="S27" s="143"/>
      <c r="T27" s="143"/>
      <c r="U27" s="143"/>
      <c r="V27" s="269"/>
      <c r="W27" s="194"/>
      <c r="X27" s="194"/>
      <c r="Y27" s="268"/>
      <c r="Z27" s="143"/>
      <c r="AA27" s="143"/>
      <c r="AB27" s="143"/>
      <c r="AC27" s="269"/>
      <c r="AD27" s="194"/>
      <c r="AE27" s="194"/>
      <c r="AF27" s="268"/>
      <c r="AG27" s="143"/>
      <c r="AH27" s="143"/>
      <c r="AI27" s="143"/>
      <c r="AJ27" s="269"/>
      <c r="AK27" s="194"/>
      <c r="AL27" s="194"/>
      <c r="AM27" s="268"/>
      <c r="AN27" s="143"/>
      <c r="AO27" s="143"/>
      <c r="AP27" s="143"/>
      <c r="AQ27" s="269"/>
      <c r="AR27" s="194"/>
      <c r="AS27" s="194"/>
      <c r="AT27" s="268"/>
      <c r="AU27" s="143"/>
      <c r="AV27" s="143"/>
      <c r="AW27" s="143"/>
      <c r="AX27" s="269"/>
      <c r="AY27" s="194"/>
      <c r="AZ27" s="194"/>
      <c r="BA27" s="268"/>
      <c r="BB27" s="143"/>
      <c r="BC27" s="143"/>
      <c r="BD27" s="143"/>
      <c r="BE27" s="269"/>
      <c r="BF27" s="194"/>
      <c r="BG27" s="194"/>
      <c r="BH27" s="268"/>
      <c r="BI27" s="143"/>
      <c r="BJ27" s="143"/>
      <c r="BK27" s="143"/>
      <c r="BL27" s="269"/>
      <c r="BM27" s="194"/>
      <c r="BN27" s="194"/>
      <c r="BO27" s="268"/>
      <c r="BP27" s="143"/>
      <c r="BQ27" s="143"/>
      <c r="BR27" s="143"/>
      <c r="BS27" s="269"/>
      <c r="BT27" s="194"/>
      <c r="BU27" s="194"/>
      <c r="BV27" s="268"/>
      <c r="BW27" s="143"/>
      <c r="BX27" s="143"/>
      <c r="BY27" s="143"/>
      <c r="BZ27" s="269"/>
      <c r="CA27" s="194"/>
      <c r="CB27" s="194"/>
      <c r="CC27" s="268"/>
      <c r="CD27" s="143"/>
      <c r="CE27" s="143"/>
      <c r="CF27" s="143"/>
      <c r="CG27" s="269"/>
      <c r="CH27" s="194"/>
      <c r="CI27" s="194"/>
      <c r="CJ27" s="268"/>
      <c r="CK27" s="143"/>
      <c r="CL27" s="143"/>
      <c r="CM27" s="143"/>
      <c r="CN27" s="269"/>
      <c r="CO27" s="194"/>
      <c r="CP27" s="194"/>
      <c r="CQ27" s="268"/>
      <c r="CR27" s="143"/>
      <c r="CS27" s="143"/>
      <c r="CT27" s="143"/>
      <c r="CU27" s="269"/>
      <c r="CV27" s="194"/>
      <c r="CW27" s="194"/>
      <c r="CX27" s="268"/>
      <c r="CY27" s="143"/>
      <c r="CZ27" s="143"/>
      <c r="DA27" s="143"/>
      <c r="DB27" s="269"/>
      <c r="DC27" s="194"/>
      <c r="DD27" s="194"/>
      <c r="DE27" s="268"/>
      <c r="DF27" s="143"/>
      <c r="DG27" s="143"/>
      <c r="DH27" s="143"/>
      <c r="DI27" s="269"/>
      <c r="DJ27" s="194"/>
      <c r="DK27" s="194"/>
      <c r="DL27" s="268"/>
      <c r="DM27" s="143"/>
      <c r="DN27" s="143"/>
      <c r="DO27" s="143"/>
      <c r="DP27" s="269"/>
      <c r="DQ27" s="194"/>
      <c r="DR27" s="194"/>
      <c r="DS27" s="268"/>
      <c r="DT27" s="143"/>
      <c r="DU27" s="143"/>
      <c r="DV27" s="143"/>
      <c r="DW27" s="269"/>
      <c r="DX27" s="194"/>
      <c r="DY27" s="194"/>
      <c r="DZ27" s="268"/>
      <c r="EA27" s="143"/>
      <c r="EB27" s="143"/>
      <c r="EC27" s="143"/>
      <c r="ED27" s="269"/>
      <c r="EE27" s="194"/>
      <c r="EF27" s="194"/>
      <c r="EG27" s="268"/>
      <c r="EH27" s="143"/>
      <c r="EI27" s="143"/>
      <c r="EJ27" s="143"/>
      <c r="EK27" s="269"/>
      <c r="EL27" s="194"/>
      <c r="EM27" s="194"/>
      <c r="EN27" s="268"/>
      <c r="EO27" s="143"/>
      <c r="EP27" s="143"/>
      <c r="EQ27" s="143"/>
      <c r="ER27" s="269"/>
      <c r="ES27" s="194"/>
      <c r="ET27" s="194"/>
      <c r="EU27" s="268"/>
      <c r="EV27" s="143"/>
      <c r="EW27" s="143"/>
      <c r="EX27" s="143"/>
      <c r="EY27" s="269"/>
      <c r="EZ27" s="194"/>
      <c r="FA27" s="194"/>
      <c r="FB27" s="268"/>
      <c r="FC27" s="143"/>
      <c r="FD27" s="143"/>
      <c r="FE27" s="143"/>
      <c r="FF27" s="269"/>
      <c r="FG27" s="194"/>
      <c r="FH27" s="194"/>
      <c r="FI27" s="268"/>
      <c r="FJ27" s="143"/>
      <c r="FK27" s="143"/>
      <c r="FL27" s="143"/>
      <c r="FM27" s="269"/>
      <c r="FN27" s="194"/>
      <c r="FO27" s="194"/>
      <c r="FP27" s="268"/>
      <c r="FQ27" s="143"/>
      <c r="FR27" s="143"/>
      <c r="FS27" s="143"/>
      <c r="FT27" s="269"/>
      <c r="FU27" s="194"/>
      <c r="FV27" s="194"/>
      <c r="FW27" s="268"/>
      <c r="FX27" s="143"/>
      <c r="FY27" s="143"/>
      <c r="FZ27" s="143"/>
      <c r="GA27" s="269"/>
      <c r="GB27" s="194"/>
      <c r="GC27" s="277"/>
      <c r="GD27" s="268"/>
      <c r="GE27" s="143"/>
      <c r="GF27" s="143"/>
      <c r="GG27" s="143"/>
      <c r="GH27" s="143"/>
      <c r="GI27" s="194"/>
      <c r="GJ27" s="282"/>
      <c r="GK27" s="143"/>
      <c r="GL27" s="143"/>
      <c r="GM27" s="143"/>
      <c r="GN27" s="143"/>
      <c r="GO27" s="143"/>
      <c r="GP27" s="210"/>
      <c r="GQ27" s="210"/>
      <c r="GR27" s="143"/>
      <c r="GS27" s="143"/>
      <c r="GT27" s="143"/>
      <c r="GU27" s="143"/>
      <c r="GV27" s="143"/>
      <c r="GW27" s="210"/>
      <c r="GX27" s="210"/>
      <c r="GY27" s="143"/>
      <c r="GZ27" s="143"/>
      <c r="HA27" s="143"/>
      <c r="HB27" s="143"/>
      <c r="HC27" s="143"/>
      <c r="HD27" s="210"/>
      <c r="HE27" s="210"/>
      <c r="HF27" s="143"/>
      <c r="HG27" s="143"/>
      <c r="HH27" s="143"/>
      <c r="HI27" s="143"/>
      <c r="HJ27" s="143"/>
      <c r="HK27" s="210"/>
      <c r="HL27" s="210"/>
      <c r="HM27" s="143"/>
      <c r="HN27" s="143"/>
      <c r="HO27" s="143"/>
      <c r="HP27" s="143"/>
      <c r="HQ27" s="143"/>
      <c r="HR27" s="143"/>
      <c r="HS27" s="143"/>
      <c r="HT27" s="143"/>
      <c r="HU27" s="143"/>
      <c r="HV27" s="143"/>
      <c r="HW27" s="143"/>
      <c r="HX27" s="143"/>
      <c r="HY27" s="203"/>
      <c r="HZ27" s="203"/>
      <c r="IA27" s="143"/>
      <c r="IB27" s="143"/>
      <c r="IC27" s="143"/>
      <c r="ID27" s="143"/>
      <c r="IE27" s="143"/>
      <c r="IF27" s="203"/>
      <c r="IG27" s="203"/>
      <c r="IH27" s="143"/>
      <c r="II27" s="143"/>
      <c r="IJ27" s="143"/>
      <c r="IK27" s="143"/>
      <c r="IL27" s="143"/>
      <c r="IM27" s="203"/>
      <c r="IN27" s="203"/>
      <c r="IO27" s="143"/>
      <c r="IP27" s="143"/>
      <c r="IQ27" s="227"/>
      <c r="IR27" s="227"/>
      <c r="IS27" s="227"/>
      <c r="IT27" s="203"/>
      <c r="IU27" s="203"/>
      <c r="IV27" s="143"/>
      <c r="IW27" s="143"/>
      <c r="IX27" s="143"/>
      <c r="IY27" s="143"/>
      <c r="IZ27" s="143"/>
      <c r="JA27" s="203"/>
      <c r="JB27" s="203"/>
      <c r="JC27" s="227"/>
      <c r="JD27" s="227"/>
      <c r="JE27" s="143"/>
      <c r="JF27" s="143"/>
      <c r="JG27" s="143"/>
      <c r="JH27" s="203"/>
      <c r="JI27" s="203"/>
      <c r="JJ27" s="143"/>
      <c r="JK27" s="143"/>
      <c r="JL27" s="143"/>
      <c r="JM27" s="143"/>
      <c r="JN27" s="143"/>
      <c r="JO27" s="203"/>
      <c r="JP27" s="203"/>
      <c r="JQ27" s="143"/>
      <c r="JR27" s="143"/>
      <c r="JS27" s="143"/>
      <c r="JT27" s="143"/>
      <c r="JU27" s="143"/>
      <c r="JV27" s="203"/>
      <c r="JW27" s="203"/>
      <c r="JX27" s="143"/>
      <c r="JY27" s="143"/>
      <c r="JZ27" s="143"/>
      <c r="KA27" s="143"/>
      <c r="KB27" s="143"/>
      <c r="KC27" s="203"/>
      <c r="KD27" s="203"/>
      <c r="KE27" s="143"/>
      <c r="KF27" s="143"/>
      <c r="KG27" s="143"/>
      <c r="KH27" s="143"/>
      <c r="KI27" s="143"/>
      <c r="KJ27" s="194"/>
      <c r="KK27" s="194"/>
      <c r="KL27" s="143"/>
      <c r="KM27" s="143"/>
      <c r="KN27" s="143"/>
      <c r="KO27" s="143"/>
      <c r="KP27" s="227"/>
      <c r="KQ27" s="194"/>
      <c r="KR27" s="194"/>
      <c r="KS27" s="143"/>
      <c r="KT27" s="143"/>
      <c r="KU27" s="143"/>
      <c r="KV27" s="143"/>
      <c r="KW27" s="143"/>
      <c r="KX27" s="210"/>
      <c r="KY27" s="210"/>
      <c r="KZ27" s="194"/>
      <c r="LA27" s="194"/>
      <c r="LB27" s="194"/>
      <c r="LC27" s="194"/>
      <c r="LD27" s="194"/>
      <c r="LE27" s="210"/>
      <c r="LF27" s="210"/>
      <c r="LG27" s="227"/>
      <c r="LH27" s="227"/>
      <c r="LI27" s="227"/>
      <c r="LJ27" s="227"/>
      <c r="LK27" s="227"/>
      <c r="LL27" s="227"/>
      <c r="LM27" s="210"/>
      <c r="LN27" s="227"/>
      <c r="LO27" s="227"/>
      <c r="LP27" s="227"/>
      <c r="LQ27" s="227"/>
      <c r="LR27" s="227"/>
      <c r="LS27" s="210"/>
      <c r="LT27" s="210"/>
      <c r="LU27" s="227"/>
      <c r="LV27" s="143"/>
      <c r="LW27" s="143"/>
      <c r="LX27" s="143"/>
      <c r="LY27" s="143"/>
      <c r="LZ27" s="203"/>
      <c r="MA27" s="203"/>
      <c r="MB27" s="143"/>
      <c r="MC27" s="143"/>
      <c r="MD27" s="143"/>
      <c r="ME27" s="143"/>
      <c r="MF27" s="143"/>
      <c r="MG27" s="203"/>
      <c r="MH27" s="203"/>
      <c r="MI27" s="143"/>
      <c r="MJ27" s="143"/>
      <c r="MK27" s="143"/>
      <c r="ML27" s="143"/>
      <c r="MM27" s="143"/>
      <c r="MN27" s="203"/>
      <c r="MO27" s="203"/>
      <c r="MP27" s="143"/>
      <c r="MQ27" s="143"/>
      <c r="MR27" s="143"/>
      <c r="MS27" s="143"/>
      <c r="MT27" s="143"/>
      <c r="MU27" s="203"/>
      <c r="MV27" s="203"/>
      <c r="MW27" s="143"/>
      <c r="MX27" s="143"/>
      <c r="MY27" s="143"/>
      <c r="MZ27" s="143"/>
      <c r="NA27" s="143"/>
      <c r="NB27" s="143"/>
      <c r="NC27" s="143"/>
      <c r="ND27" s="143"/>
    </row>
    <row r="28" spans="1:368" s="140" customFormat="1" ht="15" customHeight="1">
      <c r="A28" s="470"/>
      <c r="B28" s="461"/>
      <c r="C28" s="164" t="s">
        <v>12</v>
      </c>
      <c r="D28" s="268"/>
      <c r="E28" s="143"/>
      <c r="F28" s="143"/>
      <c r="G28" s="143"/>
      <c r="H28" s="269"/>
      <c r="I28" s="194"/>
      <c r="J28" s="194"/>
      <c r="K28" s="268"/>
      <c r="L28" s="143"/>
      <c r="M28" s="143"/>
      <c r="N28" s="143"/>
      <c r="O28" s="269"/>
      <c r="P28" s="194"/>
      <c r="Q28" s="194"/>
      <c r="R28" s="268"/>
      <c r="S28" s="143"/>
      <c r="T28" s="143"/>
      <c r="U28" s="143"/>
      <c r="V28" s="269"/>
      <c r="W28" s="194"/>
      <c r="X28" s="194"/>
      <c r="Y28" s="268"/>
      <c r="Z28" s="143"/>
      <c r="AA28" s="143"/>
      <c r="AB28" s="143"/>
      <c r="AC28" s="269"/>
      <c r="AD28" s="194"/>
      <c r="AE28" s="194"/>
      <c r="AF28" s="268"/>
      <c r="AG28" s="143"/>
      <c r="AH28" s="143"/>
      <c r="AI28" s="143"/>
      <c r="AJ28" s="269"/>
      <c r="AK28" s="194"/>
      <c r="AL28" s="194"/>
      <c r="AM28" s="268"/>
      <c r="AN28" s="143"/>
      <c r="AO28" s="143"/>
      <c r="AP28" s="143"/>
      <c r="AQ28" s="269"/>
      <c r="AR28" s="194"/>
      <c r="AS28" s="194"/>
      <c r="AT28" s="268"/>
      <c r="AU28" s="143"/>
      <c r="AV28" s="143"/>
      <c r="AW28" s="143"/>
      <c r="AX28" s="269"/>
      <c r="AY28" s="194"/>
      <c r="AZ28" s="194"/>
      <c r="BA28" s="268"/>
      <c r="BB28" s="143"/>
      <c r="BC28" s="143"/>
      <c r="BD28" s="143"/>
      <c r="BE28" s="269"/>
      <c r="BF28" s="194"/>
      <c r="BG28" s="194"/>
      <c r="BH28" s="268"/>
      <c r="BI28" s="143"/>
      <c r="BJ28" s="143"/>
      <c r="BK28" s="143"/>
      <c r="BL28" s="269"/>
      <c r="BM28" s="194"/>
      <c r="BN28" s="194"/>
      <c r="BO28" s="268"/>
      <c r="BP28" s="143"/>
      <c r="BQ28" s="143"/>
      <c r="BR28" s="143"/>
      <c r="BS28" s="269"/>
      <c r="BT28" s="194"/>
      <c r="BU28" s="194"/>
      <c r="BV28" s="268"/>
      <c r="BW28" s="143"/>
      <c r="BX28" s="143"/>
      <c r="BY28" s="143"/>
      <c r="BZ28" s="269"/>
      <c r="CA28" s="194"/>
      <c r="CB28" s="194"/>
      <c r="CC28" s="268"/>
      <c r="CD28" s="143"/>
      <c r="CE28" s="143"/>
      <c r="CF28" s="143"/>
      <c r="CG28" s="269"/>
      <c r="CH28" s="194"/>
      <c r="CI28" s="194"/>
      <c r="CJ28" s="268"/>
      <c r="CK28" s="143"/>
      <c r="CL28" s="143"/>
      <c r="CM28" s="143"/>
      <c r="CN28" s="269"/>
      <c r="CO28" s="194"/>
      <c r="CP28" s="194"/>
      <c r="CQ28" s="268"/>
      <c r="CR28" s="143"/>
      <c r="CS28" s="143"/>
      <c r="CT28" s="143"/>
      <c r="CU28" s="269"/>
      <c r="CV28" s="194"/>
      <c r="CW28" s="194"/>
      <c r="CX28" s="268"/>
      <c r="CY28" s="143"/>
      <c r="CZ28" s="143"/>
      <c r="DA28" s="143"/>
      <c r="DB28" s="269"/>
      <c r="DC28" s="194"/>
      <c r="DD28" s="194"/>
      <c r="DE28" s="268"/>
      <c r="DF28" s="143"/>
      <c r="DG28" s="143"/>
      <c r="DH28" s="143"/>
      <c r="DI28" s="269"/>
      <c r="DJ28" s="194"/>
      <c r="DK28" s="194"/>
      <c r="DL28" s="268"/>
      <c r="DM28" s="143"/>
      <c r="DN28" s="143"/>
      <c r="DO28" s="143"/>
      <c r="DP28" s="269"/>
      <c r="DQ28" s="194"/>
      <c r="DR28" s="194"/>
      <c r="DS28" s="268"/>
      <c r="DT28" s="143"/>
      <c r="DU28" s="143"/>
      <c r="DV28" s="143"/>
      <c r="DW28" s="269"/>
      <c r="DX28" s="194"/>
      <c r="DY28" s="194"/>
      <c r="DZ28" s="268"/>
      <c r="EA28" s="143"/>
      <c r="EB28" s="143"/>
      <c r="EC28" s="143"/>
      <c r="ED28" s="269"/>
      <c r="EE28" s="194"/>
      <c r="EF28" s="194"/>
      <c r="EG28" s="268"/>
      <c r="EH28" s="143"/>
      <c r="EI28" s="143"/>
      <c r="EJ28" s="143"/>
      <c r="EK28" s="269"/>
      <c r="EL28" s="194"/>
      <c r="EM28" s="194"/>
      <c r="EN28" s="268"/>
      <c r="EO28" s="143"/>
      <c r="EP28" s="143"/>
      <c r="EQ28" s="143"/>
      <c r="ER28" s="269"/>
      <c r="ES28" s="194"/>
      <c r="ET28" s="194"/>
      <c r="EU28" s="268"/>
      <c r="EV28" s="143"/>
      <c r="EW28" s="143"/>
      <c r="EX28" s="143"/>
      <c r="EY28" s="269"/>
      <c r="EZ28" s="194"/>
      <c r="FA28" s="194"/>
      <c r="FB28" s="268"/>
      <c r="FC28" s="143"/>
      <c r="FD28" s="143"/>
      <c r="FE28" s="143"/>
      <c r="FF28" s="269"/>
      <c r="FG28" s="194"/>
      <c r="FH28" s="194"/>
      <c r="FI28" s="268"/>
      <c r="FJ28" s="143"/>
      <c r="FK28" s="143"/>
      <c r="FL28" s="143"/>
      <c r="FM28" s="269"/>
      <c r="FN28" s="194"/>
      <c r="FO28" s="194"/>
      <c r="FP28" s="268"/>
      <c r="FQ28" s="143"/>
      <c r="FR28" s="143"/>
      <c r="FS28" s="143"/>
      <c r="FT28" s="269"/>
      <c r="FU28" s="194"/>
      <c r="FV28" s="194"/>
      <c r="FW28" s="268"/>
      <c r="FX28" s="143"/>
      <c r="FY28" s="143"/>
      <c r="FZ28" s="143"/>
      <c r="GA28" s="269"/>
      <c r="GB28" s="194"/>
      <c r="GC28" s="277"/>
      <c r="GD28" s="268"/>
      <c r="GE28" s="143"/>
      <c r="GF28" s="143"/>
      <c r="GG28" s="143"/>
      <c r="GH28" s="143"/>
      <c r="GI28" s="194"/>
      <c r="GJ28" s="282"/>
      <c r="GK28" s="143"/>
      <c r="GL28" s="143"/>
      <c r="GM28" s="143"/>
      <c r="GN28" s="143"/>
      <c r="GO28" s="143"/>
      <c r="GP28" s="210"/>
      <c r="GQ28" s="210"/>
      <c r="GR28" s="143"/>
      <c r="GS28" s="143"/>
      <c r="GT28" s="143"/>
      <c r="GU28" s="143"/>
      <c r="GV28" s="143"/>
      <c r="GW28" s="210"/>
      <c r="GX28" s="210"/>
      <c r="GY28" s="143"/>
      <c r="GZ28" s="143"/>
      <c r="HA28" s="143"/>
      <c r="HB28" s="143"/>
      <c r="HC28" s="143"/>
      <c r="HD28" s="210"/>
      <c r="HE28" s="210"/>
      <c r="HF28" s="143"/>
      <c r="HG28" s="143"/>
      <c r="HH28" s="143"/>
      <c r="HI28" s="143"/>
      <c r="HJ28" s="143"/>
      <c r="HK28" s="210"/>
      <c r="HL28" s="210"/>
      <c r="HM28" s="143"/>
      <c r="HN28" s="143"/>
      <c r="HO28" s="143"/>
      <c r="HP28" s="143"/>
      <c r="HQ28" s="143"/>
      <c r="HR28" s="143"/>
      <c r="HS28" s="143"/>
      <c r="HT28" s="143"/>
      <c r="HU28" s="143"/>
      <c r="HV28" s="143"/>
      <c r="HW28" s="143"/>
      <c r="HX28" s="143"/>
      <c r="HY28" s="203"/>
      <c r="HZ28" s="203"/>
      <c r="IA28" s="143"/>
      <c r="IB28" s="143"/>
      <c r="IC28" s="143"/>
      <c r="ID28" s="143"/>
      <c r="IE28" s="143"/>
      <c r="IF28" s="203"/>
      <c r="IG28" s="203"/>
      <c r="IH28" s="143"/>
      <c r="II28" s="143"/>
      <c r="IJ28" s="143"/>
      <c r="IK28" s="143"/>
      <c r="IL28" s="143"/>
      <c r="IM28" s="203"/>
      <c r="IN28" s="203"/>
      <c r="IO28" s="143"/>
      <c r="IP28" s="143"/>
      <c r="IQ28" s="227"/>
      <c r="IR28" s="227"/>
      <c r="IS28" s="227"/>
      <c r="IT28" s="203"/>
      <c r="IU28" s="203"/>
      <c r="IV28" s="143"/>
      <c r="IW28" s="143"/>
      <c r="IX28" s="143"/>
      <c r="IY28" s="143"/>
      <c r="IZ28" s="143"/>
      <c r="JA28" s="203"/>
      <c r="JB28" s="203"/>
      <c r="JC28" s="227"/>
      <c r="JD28" s="227"/>
      <c r="JE28" s="143"/>
      <c r="JF28" s="143"/>
      <c r="JG28" s="143"/>
      <c r="JH28" s="203"/>
      <c r="JI28" s="203"/>
      <c r="JJ28" s="143"/>
      <c r="JK28" s="143"/>
      <c r="JL28" s="143"/>
      <c r="JM28" s="143"/>
      <c r="JN28" s="143"/>
      <c r="JO28" s="203"/>
      <c r="JP28" s="203"/>
      <c r="JQ28" s="143"/>
      <c r="JR28" s="143"/>
      <c r="JS28" s="143"/>
      <c r="JT28" s="143"/>
      <c r="JU28" s="143"/>
      <c r="JV28" s="203"/>
      <c r="JW28" s="203"/>
      <c r="JX28" s="143"/>
      <c r="JY28" s="143"/>
      <c r="JZ28" s="143"/>
      <c r="KA28" s="143"/>
      <c r="KB28" s="143"/>
      <c r="KC28" s="203"/>
      <c r="KD28" s="203"/>
      <c r="KE28" s="143"/>
      <c r="KF28" s="143"/>
      <c r="KG28" s="143"/>
      <c r="KH28" s="143"/>
      <c r="KI28" s="143"/>
      <c r="KJ28" s="194"/>
      <c r="KK28" s="194"/>
      <c r="KL28" s="143"/>
      <c r="KM28" s="143"/>
      <c r="KN28" s="143"/>
      <c r="KO28" s="143"/>
      <c r="KP28" s="227"/>
      <c r="KQ28" s="194"/>
      <c r="KR28" s="194"/>
      <c r="KS28" s="143"/>
      <c r="KT28" s="143"/>
      <c r="KU28" s="143"/>
      <c r="KV28" s="143"/>
      <c r="KW28" s="143"/>
      <c r="KX28" s="210"/>
      <c r="KY28" s="210"/>
      <c r="KZ28" s="194"/>
      <c r="LA28" s="194"/>
      <c r="LB28" s="194"/>
      <c r="LC28" s="194"/>
      <c r="LD28" s="194"/>
      <c r="LE28" s="210"/>
      <c r="LF28" s="210"/>
      <c r="LG28" s="227"/>
      <c r="LH28" s="227"/>
      <c r="LI28" s="227"/>
      <c r="LJ28" s="227"/>
      <c r="LK28" s="227"/>
      <c r="LL28" s="227"/>
      <c r="LM28" s="210"/>
      <c r="LN28" s="227"/>
      <c r="LO28" s="227"/>
      <c r="LP28" s="227"/>
      <c r="LQ28" s="227"/>
      <c r="LR28" s="227"/>
      <c r="LS28" s="210"/>
      <c r="LT28" s="210"/>
      <c r="LU28" s="227"/>
      <c r="LV28" s="143"/>
      <c r="LW28" s="143"/>
      <c r="LX28" s="143"/>
      <c r="LY28" s="143"/>
      <c r="LZ28" s="203"/>
      <c r="MA28" s="203"/>
      <c r="MB28" s="143"/>
      <c r="MC28" s="143"/>
      <c r="MD28" s="143"/>
      <c r="ME28" s="143"/>
      <c r="MF28" s="143"/>
      <c r="MG28" s="203"/>
      <c r="MH28" s="203"/>
      <c r="MI28" s="143"/>
      <c r="MJ28" s="143"/>
      <c r="MK28" s="143"/>
      <c r="ML28" s="143"/>
      <c r="MM28" s="143"/>
      <c r="MN28" s="203"/>
      <c r="MO28" s="203"/>
      <c r="MP28" s="143"/>
      <c r="MQ28" s="143"/>
      <c r="MR28" s="143"/>
      <c r="MS28" s="143"/>
      <c r="MT28" s="143"/>
      <c r="MU28" s="203"/>
      <c r="MV28" s="203"/>
      <c r="MW28" s="143"/>
      <c r="MX28" s="143"/>
      <c r="MY28" s="143"/>
      <c r="MZ28" s="143"/>
      <c r="NA28" s="143"/>
      <c r="NB28" s="143"/>
      <c r="NC28" s="143"/>
      <c r="ND28" s="143"/>
    </row>
    <row r="29" spans="1:368" s="140" customFormat="1" ht="15" customHeight="1">
      <c r="A29" s="470"/>
      <c r="B29" s="461"/>
      <c r="C29" s="164" t="s">
        <v>13</v>
      </c>
      <c r="D29" s="268"/>
      <c r="E29" s="143"/>
      <c r="F29" s="143"/>
      <c r="G29" s="143"/>
      <c r="H29" s="269"/>
      <c r="I29" s="194"/>
      <c r="J29" s="194"/>
      <c r="K29" s="268"/>
      <c r="L29" s="143"/>
      <c r="M29" s="143"/>
      <c r="N29" s="143"/>
      <c r="O29" s="269"/>
      <c r="P29" s="194"/>
      <c r="Q29" s="194"/>
      <c r="R29" s="268"/>
      <c r="S29" s="143"/>
      <c r="T29" s="143"/>
      <c r="U29" s="143"/>
      <c r="V29" s="269"/>
      <c r="W29" s="194"/>
      <c r="X29" s="194"/>
      <c r="Y29" s="268"/>
      <c r="Z29" s="143"/>
      <c r="AA29" s="143"/>
      <c r="AB29" s="143"/>
      <c r="AC29" s="269"/>
      <c r="AD29" s="194"/>
      <c r="AE29" s="194"/>
      <c r="AF29" s="268"/>
      <c r="AG29" s="143"/>
      <c r="AH29" s="143"/>
      <c r="AI29" s="143"/>
      <c r="AJ29" s="269"/>
      <c r="AK29" s="194"/>
      <c r="AL29" s="194"/>
      <c r="AM29" s="268"/>
      <c r="AN29" s="143"/>
      <c r="AO29" s="143"/>
      <c r="AP29" s="143"/>
      <c r="AQ29" s="269"/>
      <c r="AR29" s="194"/>
      <c r="AS29" s="194"/>
      <c r="AT29" s="268"/>
      <c r="AU29" s="143"/>
      <c r="AV29" s="143"/>
      <c r="AW29" s="143"/>
      <c r="AX29" s="269"/>
      <c r="AY29" s="194"/>
      <c r="AZ29" s="194"/>
      <c r="BA29" s="268"/>
      <c r="BB29" s="143"/>
      <c r="BC29" s="143"/>
      <c r="BD29" s="143"/>
      <c r="BE29" s="269"/>
      <c r="BF29" s="194"/>
      <c r="BG29" s="194"/>
      <c r="BH29" s="268"/>
      <c r="BI29" s="143"/>
      <c r="BJ29" s="143"/>
      <c r="BK29" s="143"/>
      <c r="BL29" s="269"/>
      <c r="BM29" s="194"/>
      <c r="BN29" s="194"/>
      <c r="BO29" s="268"/>
      <c r="BP29" s="143"/>
      <c r="BQ29" s="143"/>
      <c r="BR29" s="143"/>
      <c r="BS29" s="269"/>
      <c r="BT29" s="194"/>
      <c r="BU29" s="194"/>
      <c r="BV29" s="268"/>
      <c r="BW29" s="143"/>
      <c r="BX29" s="143"/>
      <c r="BY29" s="143"/>
      <c r="BZ29" s="269"/>
      <c r="CA29" s="194"/>
      <c r="CB29" s="194"/>
      <c r="CC29" s="268"/>
      <c r="CD29" s="143"/>
      <c r="CE29" s="143"/>
      <c r="CF29" s="143"/>
      <c r="CG29" s="269"/>
      <c r="CH29" s="194"/>
      <c r="CI29" s="194"/>
      <c r="CJ29" s="268"/>
      <c r="CK29" s="143"/>
      <c r="CL29" s="143"/>
      <c r="CM29" s="143"/>
      <c r="CN29" s="269"/>
      <c r="CO29" s="194"/>
      <c r="CP29" s="194"/>
      <c r="CQ29" s="268"/>
      <c r="CR29" s="143"/>
      <c r="CS29" s="143"/>
      <c r="CT29" s="143"/>
      <c r="CU29" s="269"/>
      <c r="CV29" s="194"/>
      <c r="CW29" s="194"/>
      <c r="CX29" s="268"/>
      <c r="CY29" s="143"/>
      <c r="CZ29" s="143"/>
      <c r="DA29" s="143"/>
      <c r="DB29" s="269"/>
      <c r="DC29" s="194"/>
      <c r="DD29" s="194"/>
      <c r="DE29" s="268"/>
      <c r="DF29" s="143"/>
      <c r="DG29" s="143"/>
      <c r="DH29" s="143"/>
      <c r="DI29" s="269"/>
      <c r="DJ29" s="194"/>
      <c r="DK29" s="194"/>
      <c r="DL29" s="268"/>
      <c r="DM29" s="143"/>
      <c r="DN29" s="143"/>
      <c r="DO29" s="143"/>
      <c r="DP29" s="269"/>
      <c r="DQ29" s="194"/>
      <c r="DR29" s="194"/>
      <c r="DS29" s="268"/>
      <c r="DT29" s="143"/>
      <c r="DU29" s="143"/>
      <c r="DV29" s="143"/>
      <c r="DW29" s="269"/>
      <c r="DX29" s="194"/>
      <c r="DY29" s="194"/>
      <c r="DZ29" s="268"/>
      <c r="EA29" s="143"/>
      <c r="EB29" s="143"/>
      <c r="EC29" s="143"/>
      <c r="ED29" s="269"/>
      <c r="EE29" s="194"/>
      <c r="EF29" s="194"/>
      <c r="EG29" s="268"/>
      <c r="EH29" s="143"/>
      <c r="EI29" s="143"/>
      <c r="EJ29" s="143"/>
      <c r="EK29" s="269"/>
      <c r="EL29" s="194"/>
      <c r="EM29" s="194"/>
      <c r="EN29" s="268"/>
      <c r="EO29" s="143"/>
      <c r="EP29" s="143"/>
      <c r="EQ29" s="143"/>
      <c r="ER29" s="269"/>
      <c r="ES29" s="194"/>
      <c r="ET29" s="194"/>
      <c r="EU29" s="268"/>
      <c r="EV29" s="143"/>
      <c r="EW29" s="143"/>
      <c r="EX29" s="143"/>
      <c r="EY29" s="269"/>
      <c r="EZ29" s="194"/>
      <c r="FA29" s="194"/>
      <c r="FB29" s="268"/>
      <c r="FC29" s="143"/>
      <c r="FD29" s="143"/>
      <c r="FE29" s="143"/>
      <c r="FF29" s="269"/>
      <c r="FG29" s="194"/>
      <c r="FH29" s="194"/>
      <c r="FI29" s="268"/>
      <c r="FJ29" s="143"/>
      <c r="FK29" s="143"/>
      <c r="FL29" s="143"/>
      <c r="FM29" s="269"/>
      <c r="FN29" s="194"/>
      <c r="FO29" s="194"/>
      <c r="FP29" s="268"/>
      <c r="FQ29" s="143"/>
      <c r="FR29" s="143"/>
      <c r="FS29" s="143"/>
      <c r="FT29" s="269"/>
      <c r="FU29" s="194"/>
      <c r="FV29" s="194"/>
      <c r="FW29" s="268"/>
      <c r="FX29" s="143"/>
      <c r="FY29" s="143"/>
      <c r="FZ29" s="143"/>
      <c r="GA29" s="269"/>
      <c r="GB29" s="194"/>
      <c r="GC29" s="277"/>
      <c r="GD29" s="268"/>
      <c r="GE29" s="143"/>
      <c r="GF29" s="143"/>
      <c r="GG29" s="143"/>
      <c r="GH29" s="143"/>
      <c r="GI29" s="194"/>
      <c r="GJ29" s="282"/>
      <c r="GK29" s="143"/>
      <c r="GL29" s="143"/>
      <c r="GM29" s="143"/>
      <c r="GN29" s="143"/>
      <c r="GO29" s="143"/>
      <c r="GP29" s="210"/>
      <c r="GQ29" s="210"/>
      <c r="GR29" s="143"/>
      <c r="GS29" s="143"/>
      <c r="GT29" s="143"/>
      <c r="GU29" s="143"/>
      <c r="GV29" s="143"/>
      <c r="GW29" s="210"/>
      <c r="GX29" s="210"/>
      <c r="GY29" s="143"/>
      <c r="GZ29" s="143"/>
      <c r="HA29" s="143"/>
      <c r="HB29" s="143"/>
      <c r="HC29" s="143"/>
      <c r="HD29" s="210"/>
      <c r="HE29" s="210"/>
      <c r="HF29" s="143"/>
      <c r="HG29" s="143"/>
      <c r="HH29" s="143"/>
      <c r="HI29" s="143"/>
      <c r="HJ29" s="143"/>
      <c r="HK29" s="210"/>
      <c r="HL29" s="210"/>
      <c r="HM29" s="143"/>
      <c r="HN29" s="143"/>
      <c r="HO29" s="143"/>
      <c r="HP29" s="143"/>
      <c r="HQ29" s="143"/>
      <c r="HR29" s="143"/>
      <c r="HS29" s="143"/>
      <c r="HT29" s="143"/>
      <c r="HU29" s="143"/>
      <c r="HV29" s="143"/>
      <c r="HW29" s="143"/>
      <c r="HX29" s="143"/>
      <c r="HY29" s="203"/>
      <c r="HZ29" s="203"/>
      <c r="IA29" s="143"/>
      <c r="IB29" s="143"/>
      <c r="IC29" s="143"/>
      <c r="ID29" s="143"/>
      <c r="IE29" s="143"/>
      <c r="IF29" s="203"/>
      <c r="IG29" s="203"/>
      <c r="IH29" s="143"/>
      <c r="II29" s="143"/>
      <c r="IJ29" s="143"/>
      <c r="IK29" s="143"/>
      <c r="IL29" s="143"/>
      <c r="IM29" s="203"/>
      <c r="IN29" s="203"/>
      <c r="IO29" s="143"/>
      <c r="IP29" s="143"/>
      <c r="IQ29" s="227"/>
      <c r="IR29" s="227"/>
      <c r="IS29" s="227"/>
      <c r="IT29" s="203"/>
      <c r="IU29" s="203"/>
      <c r="IV29" s="143"/>
      <c r="IW29" s="143"/>
      <c r="IX29" s="143"/>
      <c r="IY29" s="143"/>
      <c r="IZ29" s="143"/>
      <c r="JA29" s="203"/>
      <c r="JB29" s="203"/>
      <c r="JC29" s="227"/>
      <c r="JD29" s="227"/>
      <c r="JE29" s="143"/>
      <c r="JF29" s="143"/>
      <c r="JG29" s="143"/>
      <c r="JH29" s="203"/>
      <c r="JI29" s="203"/>
      <c r="JJ29" s="143"/>
      <c r="JK29" s="143"/>
      <c r="JL29" s="143"/>
      <c r="JM29" s="143"/>
      <c r="JN29" s="143"/>
      <c r="JO29" s="203"/>
      <c r="JP29" s="203"/>
      <c r="JQ29" s="143"/>
      <c r="JR29" s="143"/>
      <c r="JS29" s="143"/>
      <c r="JT29" s="143"/>
      <c r="JU29" s="143"/>
      <c r="JV29" s="203"/>
      <c r="JW29" s="203"/>
      <c r="JX29" s="143"/>
      <c r="JY29" s="143"/>
      <c r="JZ29" s="143"/>
      <c r="KA29" s="143"/>
      <c r="KB29" s="143"/>
      <c r="KC29" s="203"/>
      <c r="KD29" s="203"/>
      <c r="KE29" s="143"/>
      <c r="KF29" s="143"/>
      <c r="KG29" s="143"/>
      <c r="KH29" s="143"/>
      <c r="KI29" s="143"/>
      <c r="KJ29" s="194"/>
      <c r="KK29" s="194"/>
      <c r="KL29" s="143"/>
      <c r="KM29" s="143"/>
      <c r="KN29" s="143"/>
      <c r="KO29" s="143"/>
      <c r="KP29" s="227"/>
      <c r="KQ29" s="194"/>
      <c r="KR29" s="194"/>
      <c r="KS29" s="143"/>
      <c r="KT29" s="143"/>
      <c r="KU29" s="143"/>
      <c r="KV29" s="143"/>
      <c r="KW29" s="143"/>
      <c r="KX29" s="210"/>
      <c r="KY29" s="210"/>
      <c r="KZ29" s="194"/>
      <c r="LA29" s="194"/>
      <c r="LB29" s="194"/>
      <c r="LC29" s="194"/>
      <c r="LD29" s="194"/>
      <c r="LE29" s="210"/>
      <c r="LF29" s="210"/>
      <c r="LG29" s="227"/>
      <c r="LH29" s="227"/>
      <c r="LI29" s="227"/>
      <c r="LJ29" s="227"/>
      <c r="LK29" s="227"/>
      <c r="LL29" s="227"/>
      <c r="LM29" s="210"/>
      <c r="LN29" s="227"/>
      <c r="LO29" s="227"/>
      <c r="LP29" s="227"/>
      <c r="LQ29" s="227"/>
      <c r="LR29" s="227"/>
      <c r="LS29" s="210"/>
      <c r="LT29" s="210"/>
      <c r="LU29" s="227"/>
      <c r="LV29" s="143"/>
      <c r="LW29" s="143"/>
      <c r="LX29" s="143"/>
      <c r="LY29" s="143"/>
      <c r="LZ29" s="203"/>
      <c r="MA29" s="203"/>
      <c r="MB29" s="143"/>
      <c r="MC29" s="143"/>
      <c r="MD29" s="143"/>
      <c r="ME29" s="143"/>
      <c r="MF29" s="143"/>
      <c r="MG29" s="203"/>
      <c r="MH29" s="203"/>
      <c r="MI29" s="143"/>
      <c r="MJ29" s="143"/>
      <c r="MK29" s="143"/>
      <c r="ML29" s="143"/>
      <c r="MM29" s="143"/>
      <c r="MN29" s="203"/>
      <c r="MO29" s="203"/>
      <c r="MP29" s="143"/>
      <c r="MQ29" s="143"/>
      <c r="MR29" s="143"/>
      <c r="MS29" s="143"/>
      <c r="MT29" s="143"/>
      <c r="MU29" s="203"/>
      <c r="MV29" s="203"/>
      <c r="MW29" s="143"/>
      <c r="MX29" s="143"/>
      <c r="MY29" s="143"/>
      <c r="MZ29" s="143"/>
      <c r="NA29" s="143"/>
      <c r="NB29" s="143"/>
      <c r="NC29" s="143"/>
      <c r="ND29" s="143"/>
    </row>
    <row r="30" spans="1:368" s="140" customFormat="1" ht="15" customHeight="1" thickBot="1">
      <c r="A30" s="470"/>
      <c r="B30" s="461"/>
      <c r="C30" s="162" t="s">
        <v>98</v>
      </c>
      <c r="D30" s="260"/>
      <c r="E30" s="261"/>
      <c r="F30" s="261"/>
      <c r="G30" s="261"/>
      <c r="H30" s="262"/>
      <c r="I30" s="192"/>
      <c r="J30" s="192"/>
      <c r="K30" s="260"/>
      <c r="L30" s="261"/>
      <c r="M30" s="261"/>
      <c r="N30" s="261"/>
      <c r="O30" s="262"/>
      <c r="P30" s="192"/>
      <c r="Q30" s="192"/>
      <c r="R30" s="260"/>
      <c r="S30" s="261"/>
      <c r="T30" s="261"/>
      <c r="U30" s="261"/>
      <c r="V30" s="262"/>
      <c r="W30" s="192"/>
      <c r="X30" s="192"/>
      <c r="Y30" s="260"/>
      <c r="Z30" s="261"/>
      <c r="AA30" s="261"/>
      <c r="AB30" s="261"/>
      <c r="AC30" s="262"/>
      <c r="AD30" s="192"/>
      <c r="AE30" s="192"/>
      <c r="AF30" s="260"/>
      <c r="AG30" s="261"/>
      <c r="AH30" s="261"/>
      <c r="AI30" s="261"/>
      <c r="AJ30" s="262"/>
      <c r="AK30" s="192"/>
      <c r="AL30" s="192"/>
      <c r="AM30" s="260"/>
      <c r="AN30" s="261"/>
      <c r="AO30" s="261"/>
      <c r="AP30" s="261"/>
      <c r="AQ30" s="262"/>
      <c r="AR30" s="192"/>
      <c r="AS30" s="192"/>
      <c r="AT30" s="260"/>
      <c r="AU30" s="261"/>
      <c r="AV30" s="261"/>
      <c r="AW30" s="261"/>
      <c r="AX30" s="262"/>
      <c r="AY30" s="192"/>
      <c r="AZ30" s="192"/>
      <c r="BA30" s="260"/>
      <c r="BB30" s="261"/>
      <c r="BC30" s="261"/>
      <c r="BD30" s="261"/>
      <c r="BE30" s="262"/>
      <c r="BF30" s="192"/>
      <c r="BG30" s="192"/>
      <c r="BH30" s="260"/>
      <c r="BI30" s="261"/>
      <c r="BJ30" s="261"/>
      <c r="BK30" s="261"/>
      <c r="BL30" s="262"/>
      <c r="BM30" s="192"/>
      <c r="BN30" s="192"/>
      <c r="BO30" s="260"/>
      <c r="BP30" s="261"/>
      <c r="BQ30" s="261"/>
      <c r="BR30" s="261"/>
      <c r="BS30" s="262"/>
      <c r="BT30" s="192"/>
      <c r="BU30" s="192"/>
      <c r="BV30" s="260"/>
      <c r="BW30" s="261"/>
      <c r="BX30" s="261"/>
      <c r="BY30" s="261"/>
      <c r="BZ30" s="262"/>
      <c r="CA30" s="192"/>
      <c r="CB30" s="192"/>
      <c r="CC30" s="260"/>
      <c r="CD30" s="261"/>
      <c r="CE30" s="261"/>
      <c r="CF30" s="261"/>
      <c r="CG30" s="262"/>
      <c r="CH30" s="192"/>
      <c r="CI30" s="192"/>
      <c r="CJ30" s="260"/>
      <c r="CK30" s="261"/>
      <c r="CL30" s="261"/>
      <c r="CM30" s="261"/>
      <c r="CN30" s="262"/>
      <c r="CO30" s="192"/>
      <c r="CP30" s="192"/>
      <c r="CQ30" s="260"/>
      <c r="CR30" s="261"/>
      <c r="CS30" s="261"/>
      <c r="CT30" s="261"/>
      <c r="CU30" s="262"/>
      <c r="CV30" s="192"/>
      <c r="CW30" s="192"/>
      <c r="CX30" s="260"/>
      <c r="CY30" s="261"/>
      <c r="CZ30" s="261"/>
      <c r="DA30" s="261"/>
      <c r="DB30" s="262"/>
      <c r="DC30" s="192"/>
      <c r="DD30" s="192"/>
      <c r="DE30" s="260"/>
      <c r="DF30" s="261"/>
      <c r="DG30" s="261"/>
      <c r="DH30" s="261"/>
      <c r="DI30" s="262"/>
      <c r="DJ30" s="192"/>
      <c r="DK30" s="192"/>
      <c r="DL30" s="260"/>
      <c r="DM30" s="261"/>
      <c r="DN30" s="261"/>
      <c r="DO30" s="261"/>
      <c r="DP30" s="262"/>
      <c r="DQ30" s="192"/>
      <c r="DR30" s="192"/>
      <c r="DS30" s="260"/>
      <c r="DT30" s="261"/>
      <c r="DU30" s="261"/>
      <c r="DV30" s="261"/>
      <c r="DW30" s="262"/>
      <c r="DX30" s="192"/>
      <c r="DY30" s="192"/>
      <c r="DZ30" s="260"/>
      <c r="EA30" s="261"/>
      <c r="EB30" s="261"/>
      <c r="EC30" s="261"/>
      <c r="ED30" s="262"/>
      <c r="EE30" s="192"/>
      <c r="EF30" s="192"/>
      <c r="EG30" s="260"/>
      <c r="EH30" s="261"/>
      <c r="EI30" s="261"/>
      <c r="EJ30" s="261"/>
      <c r="EK30" s="262"/>
      <c r="EL30" s="192"/>
      <c r="EM30" s="192"/>
      <c r="EN30" s="260"/>
      <c r="EO30" s="261"/>
      <c r="EP30" s="261"/>
      <c r="EQ30" s="261"/>
      <c r="ER30" s="262"/>
      <c r="ES30" s="192"/>
      <c r="ET30" s="192"/>
      <c r="EU30" s="260"/>
      <c r="EV30" s="261"/>
      <c r="EW30" s="261"/>
      <c r="EX30" s="261"/>
      <c r="EY30" s="262"/>
      <c r="EZ30" s="192"/>
      <c r="FA30" s="192"/>
      <c r="FB30" s="260"/>
      <c r="FC30" s="261"/>
      <c r="FD30" s="261"/>
      <c r="FE30" s="261"/>
      <c r="FF30" s="262"/>
      <c r="FG30" s="192"/>
      <c r="FH30" s="192"/>
      <c r="FI30" s="260"/>
      <c r="FJ30" s="261"/>
      <c r="FK30" s="261"/>
      <c r="FL30" s="261"/>
      <c r="FM30" s="262"/>
      <c r="FN30" s="192"/>
      <c r="FO30" s="192"/>
      <c r="FP30" s="260"/>
      <c r="FQ30" s="261"/>
      <c r="FR30" s="261"/>
      <c r="FS30" s="261"/>
      <c r="FT30" s="262"/>
      <c r="FU30" s="192"/>
      <c r="FV30" s="192"/>
      <c r="FW30" s="260"/>
      <c r="FX30" s="261"/>
      <c r="FY30" s="261"/>
      <c r="FZ30" s="261"/>
      <c r="GA30" s="262"/>
      <c r="GB30" s="192"/>
      <c r="GC30" s="278"/>
      <c r="GD30" s="260"/>
      <c r="GE30" s="261"/>
      <c r="GF30" s="261"/>
      <c r="GG30" s="261"/>
      <c r="GH30" s="261"/>
      <c r="GI30" s="283"/>
      <c r="GJ30" s="284"/>
      <c r="GK30" s="139"/>
      <c r="GL30" s="139"/>
      <c r="GM30" s="139"/>
      <c r="GN30" s="139"/>
      <c r="GO30" s="139"/>
      <c r="GP30" s="208"/>
      <c r="GQ30" s="208"/>
      <c r="GR30" s="139"/>
      <c r="GS30" s="139"/>
      <c r="GT30" s="139"/>
      <c r="GU30" s="139"/>
      <c r="GV30" s="139"/>
      <c r="GW30" s="208"/>
      <c r="GX30" s="208"/>
      <c r="GY30" s="139"/>
      <c r="GZ30" s="139"/>
      <c r="HA30" s="139"/>
      <c r="HB30" s="139"/>
      <c r="HC30" s="139"/>
      <c r="HD30" s="208"/>
      <c r="HE30" s="208"/>
      <c r="HF30" s="139"/>
      <c r="HG30" s="139"/>
      <c r="HH30" s="139"/>
      <c r="HI30" s="139"/>
      <c r="HJ30" s="139"/>
      <c r="HK30" s="208"/>
      <c r="HL30" s="208"/>
      <c r="HM30" s="139"/>
      <c r="HN30" s="139"/>
      <c r="HO30" s="139"/>
      <c r="HP30" s="139"/>
      <c r="HQ30" s="139"/>
      <c r="HR30" s="139"/>
      <c r="HS30" s="139"/>
      <c r="HT30" s="139"/>
      <c r="HU30" s="139"/>
      <c r="HV30" s="139"/>
      <c r="HW30" s="139"/>
      <c r="HX30" s="139"/>
      <c r="HY30" s="202"/>
      <c r="HZ30" s="202"/>
      <c r="IA30" s="139"/>
      <c r="IB30" s="139"/>
      <c r="IC30" s="139"/>
      <c r="ID30" s="139"/>
      <c r="IE30" s="139"/>
      <c r="IF30" s="202"/>
      <c r="IG30" s="202"/>
      <c r="IH30" s="139"/>
      <c r="II30" s="139"/>
      <c r="IJ30" s="139"/>
      <c r="IK30" s="139"/>
      <c r="IL30" s="139"/>
      <c r="IM30" s="202"/>
      <c r="IN30" s="202"/>
      <c r="IO30" s="139"/>
      <c r="IP30" s="139"/>
      <c r="IQ30" s="228"/>
      <c r="IR30" s="228"/>
      <c r="IS30" s="228"/>
      <c r="IT30" s="202"/>
      <c r="IU30" s="202"/>
      <c r="IV30" s="139"/>
      <c r="IW30" s="139"/>
      <c r="IX30" s="143"/>
      <c r="IY30" s="139"/>
      <c r="IZ30" s="139"/>
      <c r="JA30" s="202"/>
      <c r="JB30" s="202"/>
      <c r="JC30" s="228"/>
      <c r="JD30" s="228"/>
      <c r="JE30" s="139"/>
      <c r="JF30" s="139"/>
      <c r="JG30" s="139"/>
      <c r="JH30" s="202"/>
      <c r="JI30" s="202"/>
      <c r="JJ30" s="139"/>
      <c r="JK30" s="139"/>
      <c r="JL30" s="139"/>
      <c r="JM30" s="139"/>
      <c r="JN30" s="139"/>
      <c r="JO30" s="202"/>
      <c r="JP30" s="202"/>
      <c r="JQ30" s="139"/>
      <c r="JR30" s="139"/>
      <c r="JS30" s="139"/>
      <c r="JT30" s="139"/>
      <c r="JU30" s="139"/>
      <c r="JV30" s="202"/>
      <c r="JW30" s="202"/>
      <c r="JX30" s="139"/>
      <c r="JY30" s="139"/>
      <c r="JZ30" s="139"/>
      <c r="KA30" s="139"/>
      <c r="KB30" s="139"/>
      <c r="KC30" s="202"/>
      <c r="KD30" s="202"/>
      <c r="KE30" s="139"/>
      <c r="KF30" s="139"/>
      <c r="KG30" s="139"/>
      <c r="KH30" s="139"/>
      <c r="KI30" s="139"/>
      <c r="KJ30" s="192"/>
      <c r="KK30" s="192"/>
      <c r="KL30" s="139"/>
      <c r="KM30" s="139"/>
      <c r="KN30" s="139"/>
      <c r="KO30" s="139"/>
      <c r="KP30" s="228"/>
      <c r="KQ30" s="192"/>
      <c r="KR30" s="192"/>
      <c r="KS30" s="139"/>
      <c r="KT30" s="139"/>
      <c r="KU30" s="139"/>
      <c r="KV30" s="139"/>
      <c r="KW30" s="139"/>
      <c r="KX30" s="208"/>
      <c r="KY30" s="208"/>
      <c r="KZ30" s="192"/>
      <c r="LA30" s="192"/>
      <c r="LB30" s="192"/>
      <c r="LC30" s="192"/>
      <c r="LD30" s="192"/>
      <c r="LE30" s="208"/>
      <c r="LF30" s="208"/>
      <c r="LG30" s="228"/>
      <c r="LH30" s="228"/>
      <c r="LI30" s="228"/>
      <c r="LJ30" s="228"/>
      <c r="LK30" s="228"/>
      <c r="LL30" s="228"/>
      <c r="LM30" s="208"/>
      <c r="LN30" s="228"/>
      <c r="LO30" s="228"/>
      <c r="LP30" s="228"/>
      <c r="LQ30" s="228"/>
      <c r="LR30" s="228"/>
      <c r="LS30" s="208"/>
      <c r="LT30" s="208"/>
      <c r="LU30" s="228"/>
      <c r="LV30" s="139"/>
      <c r="LW30" s="139"/>
      <c r="LX30" s="139"/>
      <c r="LY30" s="139"/>
      <c r="LZ30" s="202"/>
      <c r="MA30" s="202"/>
      <c r="MB30" s="139"/>
      <c r="MC30" s="139"/>
      <c r="MD30" s="139"/>
      <c r="ME30" s="139"/>
      <c r="MF30" s="139"/>
      <c r="MG30" s="202"/>
      <c r="MH30" s="202"/>
      <c r="MI30" s="139"/>
      <c r="MJ30" s="139"/>
      <c r="MK30" s="139"/>
      <c r="ML30" s="139"/>
      <c r="MM30" s="139"/>
      <c r="MN30" s="202"/>
      <c r="MO30" s="202"/>
      <c r="MP30" s="139"/>
      <c r="MQ30" s="139"/>
      <c r="MR30" s="139"/>
      <c r="MS30" s="139"/>
      <c r="MT30" s="139"/>
      <c r="MU30" s="202"/>
      <c r="MV30" s="202"/>
      <c r="MW30" s="139"/>
      <c r="MX30" s="139"/>
      <c r="MY30" s="139"/>
      <c r="MZ30" s="139"/>
      <c r="NA30" s="139"/>
      <c r="NB30" s="139"/>
      <c r="NC30" s="139"/>
      <c r="ND30" s="139"/>
    </row>
    <row r="31" spans="1:368" s="151" customFormat="1" ht="15" hidden="1" customHeight="1" thickBot="1">
      <c r="A31" s="470"/>
      <c r="B31" s="474"/>
      <c r="C31" s="165" t="s">
        <v>93</v>
      </c>
      <c r="D31" s="272"/>
      <c r="E31" s="152"/>
      <c r="F31" s="152"/>
      <c r="G31" s="152"/>
      <c r="H31" s="273"/>
      <c r="I31" s="194"/>
      <c r="J31" s="194"/>
      <c r="K31" s="272"/>
      <c r="L31" s="152"/>
      <c r="M31" s="152"/>
      <c r="N31" s="152"/>
      <c r="O31" s="273"/>
      <c r="P31" s="194"/>
      <c r="Q31" s="194"/>
      <c r="R31" s="272"/>
      <c r="S31" s="152"/>
      <c r="T31" s="152"/>
      <c r="U31" s="152"/>
      <c r="V31" s="273"/>
      <c r="W31" s="194"/>
      <c r="X31" s="194"/>
      <c r="Y31" s="272"/>
      <c r="Z31" s="152"/>
      <c r="AA31" s="152"/>
      <c r="AB31" s="152"/>
      <c r="AC31" s="273"/>
      <c r="AD31" s="194"/>
      <c r="AE31" s="194"/>
      <c r="AF31" s="272"/>
      <c r="AG31" s="152"/>
      <c r="AH31" s="152"/>
      <c r="AI31" s="152"/>
      <c r="AJ31" s="273"/>
      <c r="AK31" s="194"/>
      <c r="AL31" s="194"/>
      <c r="AM31" s="272"/>
      <c r="AN31" s="152"/>
      <c r="AO31" s="152"/>
      <c r="AP31" s="152"/>
      <c r="AQ31" s="273"/>
      <c r="AR31" s="194"/>
      <c r="AS31" s="194"/>
      <c r="AT31" s="272"/>
      <c r="AU31" s="152"/>
      <c r="AV31" s="152"/>
      <c r="AW31" s="152"/>
      <c r="AX31" s="273"/>
      <c r="AY31" s="194"/>
      <c r="AZ31" s="194"/>
      <c r="BA31" s="272"/>
      <c r="BB31" s="152"/>
      <c r="BC31" s="152"/>
      <c r="BD31" s="152"/>
      <c r="BE31" s="273"/>
      <c r="BF31" s="194"/>
      <c r="BG31" s="194"/>
      <c r="BH31" s="272"/>
      <c r="BI31" s="152"/>
      <c r="BJ31" s="152"/>
      <c r="BK31" s="152"/>
      <c r="BL31" s="273"/>
      <c r="BM31" s="194"/>
      <c r="BN31" s="194"/>
      <c r="BO31" s="272"/>
      <c r="BP31" s="152"/>
      <c r="BQ31" s="152"/>
      <c r="BR31" s="152"/>
      <c r="BS31" s="273"/>
      <c r="BT31" s="194"/>
      <c r="BU31" s="194"/>
      <c r="BV31" s="272"/>
      <c r="BW31" s="152"/>
      <c r="BX31" s="152"/>
      <c r="BY31" s="152"/>
      <c r="BZ31" s="273"/>
      <c r="CA31" s="194"/>
      <c r="CB31" s="194"/>
      <c r="CC31" s="272"/>
      <c r="CD31" s="152"/>
      <c r="CE31" s="152"/>
      <c r="CF31" s="152"/>
      <c r="CG31" s="273"/>
      <c r="CH31" s="194"/>
      <c r="CI31" s="194"/>
      <c r="CJ31" s="272"/>
      <c r="CK31" s="152"/>
      <c r="CL31" s="152"/>
      <c r="CM31" s="152"/>
      <c r="CN31" s="273"/>
      <c r="CO31" s="194"/>
      <c r="CP31" s="194"/>
      <c r="CQ31" s="272"/>
      <c r="CR31" s="152"/>
      <c r="CS31" s="152"/>
      <c r="CT31" s="152"/>
      <c r="CU31" s="273"/>
      <c r="CV31" s="194"/>
      <c r="CW31" s="194"/>
      <c r="CX31" s="272"/>
      <c r="CY31" s="152"/>
      <c r="CZ31" s="152"/>
      <c r="DA31" s="152"/>
      <c r="DB31" s="273"/>
      <c r="DC31" s="194"/>
      <c r="DD31" s="194"/>
      <c r="DE31" s="272"/>
      <c r="DF31" s="152"/>
      <c r="DG31" s="152"/>
      <c r="DH31" s="152"/>
      <c r="DI31" s="273"/>
      <c r="DJ31" s="194"/>
      <c r="DK31" s="194"/>
      <c r="DL31" s="272"/>
      <c r="DM31" s="152"/>
      <c r="DN31" s="152"/>
      <c r="DO31" s="152"/>
      <c r="DP31" s="273"/>
      <c r="DQ31" s="194"/>
      <c r="DR31" s="194"/>
      <c r="DS31" s="272"/>
      <c r="DT31" s="152"/>
      <c r="DU31" s="152"/>
      <c r="DV31" s="152"/>
      <c r="DW31" s="273"/>
      <c r="DX31" s="194"/>
      <c r="DY31" s="194"/>
      <c r="DZ31" s="272"/>
      <c r="EA31" s="152"/>
      <c r="EB31" s="152"/>
      <c r="EC31" s="152"/>
      <c r="ED31" s="273"/>
      <c r="EE31" s="194"/>
      <c r="EF31" s="194"/>
      <c r="EG31" s="272"/>
      <c r="EH31" s="152"/>
      <c r="EI31" s="152"/>
      <c r="EJ31" s="152"/>
      <c r="EK31" s="273"/>
      <c r="EL31" s="194"/>
      <c r="EM31" s="194"/>
      <c r="EN31" s="272"/>
      <c r="EO31" s="152"/>
      <c r="EP31" s="152"/>
      <c r="EQ31" s="152"/>
      <c r="ER31" s="273"/>
      <c r="ES31" s="194"/>
      <c r="ET31" s="194"/>
      <c r="EU31" s="272"/>
      <c r="EV31" s="152"/>
      <c r="EW31" s="152"/>
      <c r="EX31" s="152"/>
      <c r="EY31" s="273"/>
      <c r="EZ31" s="194"/>
      <c r="FA31" s="194"/>
      <c r="FB31" s="272"/>
      <c r="FC31" s="152"/>
      <c r="FD31" s="152"/>
      <c r="FE31" s="152"/>
      <c r="FF31" s="273"/>
      <c r="FG31" s="194"/>
      <c r="FH31" s="194"/>
      <c r="FI31" s="272"/>
      <c r="FJ31" s="152"/>
      <c r="FK31" s="152"/>
      <c r="FL31" s="152"/>
      <c r="FM31" s="273"/>
      <c r="FN31" s="194"/>
      <c r="FO31" s="194"/>
      <c r="FP31" s="272"/>
      <c r="FQ31" s="152"/>
      <c r="FR31" s="152"/>
      <c r="FS31" s="152"/>
      <c r="FT31" s="273"/>
      <c r="FU31" s="194"/>
      <c r="FV31" s="194"/>
      <c r="FW31" s="272"/>
      <c r="FX31" s="152"/>
      <c r="FY31" s="152"/>
      <c r="FZ31" s="152"/>
      <c r="GA31" s="273"/>
      <c r="GB31" s="194"/>
      <c r="GC31" s="194"/>
      <c r="GD31" s="152"/>
      <c r="GE31" s="152"/>
      <c r="GF31" s="152"/>
      <c r="GG31" s="152"/>
      <c r="GH31" s="152"/>
      <c r="GI31" s="194"/>
      <c r="GJ31" s="194"/>
      <c r="GK31" s="152"/>
      <c r="GL31" s="152"/>
      <c r="GM31" s="152"/>
      <c r="GN31" s="152"/>
      <c r="GO31" s="152"/>
      <c r="GP31" s="210"/>
      <c r="GQ31" s="210"/>
      <c r="GR31" s="152"/>
      <c r="GS31" s="152"/>
      <c r="GT31" s="152"/>
      <c r="GU31" s="152"/>
      <c r="GV31" s="152"/>
      <c r="GW31" s="210"/>
      <c r="GX31" s="210"/>
      <c r="GY31" s="152"/>
      <c r="GZ31" s="152"/>
      <c r="HA31" s="152"/>
      <c r="HB31" s="152"/>
      <c r="HC31" s="152"/>
      <c r="HD31" s="210"/>
      <c r="HE31" s="210"/>
      <c r="HF31" s="152"/>
      <c r="HG31" s="152"/>
      <c r="HH31" s="152"/>
      <c r="HI31" s="152"/>
      <c r="HJ31" s="152"/>
      <c r="HK31" s="210"/>
      <c r="HL31" s="210"/>
      <c r="HM31" s="152"/>
      <c r="HN31" s="152"/>
      <c r="HO31" s="152"/>
      <c r="HP31" s="152"/>
      <c r="HQ31" s="152"/>
      <c r="HR31" s="152"/>
      <c r="HS31" s="152"/>
      <c r="HT31" s="152"/>
      <c r="HU31" s="152"/>
      <c r="HV31" s="152"/>
      <c r="HW31" s="152"/>
      <c r="HX31" s="152"/>
      <c r="HY31" s="203"/>
      <c r="HZ31" s="203"/>
      <c r="IA31" s="152"/>
      <c r="IB31" s="152"/>
      <c r="IC31" s="152"/>
      <c r="ID31" s="152"/>
      <c r="IE31" s="152"/>
      <c r="IF31" s="203"/>
      <c r="IG31" s="203"/>
      <c r="IH31" s="152"/>
      <c r="II31" s="152"/>
      <c r="IJ31" s="152"/>
      <c r="IK31" s="152"/>
      <c r="IL31" s="152"/>
      <c r="IM31" s="203"/>
      <c r="IN31" s="203"/>
      <c r="IO31" s="152"/>
      <c r="IP31" s="152"/>
      <c r="IQ31" s="227"/>
      <c r="IR31" s="227"/>
      <c r="IS31" s="227"/>
      <c r="IT31" s="203"/>
      <c r="IU31" s="203"/>
      <c r="IV31" s="152"/>
      <c r="IW31" s="152"/>
      <c r="IX31" s="152"/>
      <c r="IY31" s="152"/>
      <c r="IZ31" s="152"/>
      <c r="JA31" s="203"/>
      <c r="JB31" s="203"/>
      <c r="JC31" s="232"/>
      <c r="JD31" s="232"/>
      <c r="JE31" s="152"/>
      <c r="JF31" s="152"/>
      <c r="JG31" s="152"/>
      <c r="JH31" s="203"/>
      <c r="JI31" s="203"/>
      <c r="JJ31" s="152"/>
      <c r="JK31" s="152"/>
      <c r="JL31" s="152"/>
      <c r="JM31" s="152"/>
      <c r="JN31" s="152"/>
      <c r="JO31" s="203"/>
      <c r="JP31" s="203"/>
      <c r="JQ31" s="152"/>
      <c r="JR31" s="152"/>
      <c r="JS31" s="152"/>
      <c r="JT31" s="152"/>
      <c r="JU31" s="152"/>
      <c r="JV31" s="203"/>
      <c r="JW31" s="203"/>
      <c r="JX31" s="152"/>
      <c r="JY31" s="152"/>
      <c r="JZ31" s="152"/>
      <c r="KA31" s="152"/>
      <c r="KB31" s="152"/>
      <c r="KC31" s="203"/>
      <c r="KD31" s="203"/>
      <c r="KE31" s="152"/>
      <c r="KF31" s="152"/>
      <c r="KG31" s="152"/>
      <c r="KH31" s="152"/>
      <c r="KI31" s="152"/>
      <c r="KJ31" s="194"/>
      <c r="KK31" s="194"/>
      <c r="KL31" s="152"/>
      <c r="KM31" s="152"/>
      <c r="KN31" s="152"/>
      <c r="KO31" s="152"/>
      <c r="KP31" s="227"/>
      <c r="KQ31" s="194"/>
      <c r="KR31" s="194"/>
      <c r="KS31" s="152"/>
      <c r="KT31" s="152"/>
      <c r="KU31" s="152"/>
      <c r="KV31" s="152"/>
      <c r="KW31" s="152"/>
      <c r="KX31" s="210"/>
      <c r="KY31" s="210"/>
      <c r="KZ31" s="194"/>
      <c r="LA31" s="194"/>
      <c r="LB31" s="194"/>
      <c r="LC31" s="194"/>
      <c r="LD31" s="194"/>
      <c r="LE31" s="210"/>
      <c r="LF31" s="210"/>
      <c r="LG31" s="227"/>
      <c r="LH31" s="227"/>
      <c r="LI31" s="227"/>
      <c r="LJ31" s="227"/>
      <c r="LK31" s="227"/>
      <c r="LL31" s="227"/>
      <c r="LM31" s="210"/>
      <c r="LN31" s="232"/>
      <c r="LO31" s="232"/>
      <c r="LP31" s="232"/>
      <c r="LQ31" s="232"/>
      <c r="LR31" s="232"/>
      <c r="LS31" s="210"/>
      <c r="LT31" s="210"/>
      <c r="LU31" s="232"/>
      <c r="LV31" s="152"/>
      <c r="LW31" s="152"/>
      <c r="LX31" s="152"/>
      <c r="LY31" s="152"/>
      <c r="LZ31" s="203"/>
      <c r="MA31" s="203"/>
      <c r="MB31" s="152"/>
      <c r="MC31" s="152"/>
      <c r="MD31" s="152"/>
      <c r="ME31" s="152"/>
      <c r="MF31" s="152"/>
      <c r="MG31" s="203"/>
      <c r="MH31" s="203"/>
      <c r="MI31" s="152"/>
      <c r="MJ31" s="152"/>
      <c r="MK31" s="152"/>
      <c r="ML31" s="152"/>
      <c r="MM31" s="152"/>
      <c r="MN31" s="203"/>
      <c r="MO31" s="203"/>
      <c r="MP31" s="152"/>
      <c r="MQ31" s="152"/>
      <c r="MR31" s="152"/>
      <c r="MS31" s="152"/>
      <c r="MT31" s="152"/>
      <c r="MU31" s="203"/>
      <c r="MV31" s="203"/>
      <c r="MW31" s="152"/>
      <c r="MX31" s="152"/>
      <c r="MY31" s="152"/>
      <c r="MZ31" s="152"/>
      <c r="NA31" s="152"/>
      <c r="NB31" s="152"/>
      <c r="NC31" s="152"/>
      <c r="ND31" s="152"/>
    </row>
    <row r="32" spans="1:368" s="140" customFormat="1" ht="15" customHeight="1">
      <c r="A32" s="470"/>
      <c r="B32" s="473" t="s">
        <v>9</v>
      </c>
      <c r="C32" s="163" t="s">
        <v>10</v>
      </c>
      <c r="D32" s="268"/>
      <c r="E32" s="143"/>
      <c r="F32" s="143"/>
      <c r="G32" s="143"/>
      <c r="H32" s="269"/>
      <c r="I32" s="194"/>
      <c r="J32" s="194"/>
      <c r="K32" s="268"/>
      <c r="L32" s="143"/>
      <c r="M32" s="143"/>
      <c r="N32" s="143"/>
      <c r="O32" s="269"/>
      <c r="P32" s="194"/>
      <c r="Q32" s="194"/>
      <c r="R32" s="268"/>
      <c r="S32" s="143"/>
      <c r="T32" s="143"/>
      <c r="U32" s="143"/>
      <c r="V32" s="269"/>
      <c r="W32" s="194"/>
      <c r="X32" s="194"/>
      <c r="Y32" s="268"/>
      <c r="Z32" s="143"/>
      <c r="AA32" s="143"/>
      <c r="AB32" s="143"/>
      <c r="AC32" s="269"/>
      <c r="AD32" s="194"/>
      <c r="AE32" s="194"/>
      <c r="AF32" s="268"/>
      <c r="AG32" s="143"/>
      <c r="AH32" s="143"/>
      <c r="AI32" s="143"/>
      <c r="AJ32" s="269"/>
      <c r="AK32" s="194"/>
      <c r="AL32" s="194"/>
      <c r="AM32" s="268"/>
      <c r="AN32" s="143"/>
      <c r="AO32" s="143"/>
      <c r="AP32" s="143"/>
      <c r="AQ32" s="269"/>
      <c r="AR32" s="194"/>
      <c r="AS32" s="194"/>
      <c r="AT32" s="268"/>
      <c r="AU32" s="143"/>
      <c r="AV32" s="143"/>
      <c r="AW32" s="143"/>
      <c r="AX32" s="269"/>
      <c r="AY32" s="194"/>
      <c r="AZ32" s="194"/>
      <c r="BA32" s="268"/>
      <c r="BB32" s="143"/>
      <c r="BC32" s="143"/>
      <c r="BD32" s="143"/>
      <c r="BE32" s="269"/>
      <c r="BF32" s="194"/>
      <c r="BG32" s="194"/>
      <c r="BH32" s="268"/>
      <c r="BI32" s="143"/>
      <c r="BJ32" s="143"/>
      <c r="BK32" s="143"/>
      <c r="BL32" s="269"/>
      <c r="BM32" s="194"/>
      <c r="BN32" s="194"/>
      <c r="BO32" s="268"/>
      <c r="BP32" s="143"/>
      <c r="BQ32" s="143"/>
      <c r="BR32" s="143"/>
      <c r="BS32" s="269"/>
      <c r="BT32" s="194"/>
      <c r="BU32" s="194"/>
      <c r="BV32" s="268"/>
      <c r="BW32" s="143"/>
      <c r="BX32" s="143"/>
      <c r="BY32" s="143"/>
      <c r="BZ32" s="269"/>
      <c r="CA32" s="194"/>
      <c r="CB32" s="194"/>
      <c r="CC32" s="268"/>
      <c r="CD32" s="143"/>
      <c r="CE32" s="143"/>
      <c r="CF32" s="143"/>
      <c r="CG32" s="269"/>
      <c r="CH32" s="194"/>
      <c r="CI32" s="194"/>
      <c r="CJ32" s="268"/>
      <c r="CK32" s="143"/>
      <c r="CL32" s="143"/>
      <c r="CM32" s="143"/>
      <c r="CN32" s="269"/>
      <c r="CO32" s="194"/>
      <c r="CP32" s="194"/>
      <c r="CQ32" s="268"/>
      <c r="CR32" s="143"/>
      <c r="CS32" s="143"/>
      <c r="CT32" s="143"/>
      <c r="CU32" s="269"/>
      <c r="CV32" s="194"/>
      <c r="CW32" s="194"/>
      <c r="CX32" s="268"/>
      <c r="CY32" s="143"/>
      <c r="CZ32" s="143"/>
      <c r="DA32" s="143"/>
      <c r="DB32" s="269"/>
      <c r="DC32" s="194"/>
      <c r="DD32" s="194"/>
      <c r="DE32" s="268"/>
      <c r="DF32" s="143"/>
      <c r="DG32" s="143"/>
      <c r="DH32" s="143"/>
      <c r="DI32" s="269"/>
      <c r="DJ32" s="194"/>
      <c r="DK32" s="194"/>
      <c r="DL32" s="268"/>
      <c r="DM32" s="143"/>
      <c r="DN32" s="143"/>
      <c r="DO32" s="143"/>
      <c r="DP32" s="269"/>
      <c r="DQ32" s="194"/>
      <c r="DR32" s="194"/>
      <c r="DS32" s="268"/>
      <c r="DT32" s="143"/>
      <c r="DU32" s="143"/>
      <c r="DV32" s="143"/>
      <c r="DW32" s="269"/>
      <c r="DX32" s="194"/>
      <c r="DY32" s="194"/>
      <c r="DZ32" s="268"/>
      <c r="EA32" s="143"/>
      <c r="EB32" s="143"/>
      <c r="EC32" s="143"/>
      <c r="ED32" s="269"/>
      <c r="EE32" s="194"/>
      <c r="EF32" s="194"/>
      <c r="EG32" s="268"/>
      <c r="EH32" s="143"/>
      <c r="EI32" s="143"/>
      <c r="EJ32" s="143"/>
      <c r="EK32" s="269"/>
      <c r="EL32" s="194"/>
      <c r="EM32" s="194"/>
      <c r="EN32" s="268"/>
      <c r="EO32" s="143"/>
      <c r="EP32" s="143"/>
      <c r="EQ32" s="143"/>
      <c r="ER32" s="269"/>
      <c r="ES32" s="194"/>
      <c r="ET32" s="194"/>
      <c r="EU32" s="268"/>
      <c r="EV32" s="143"/>
      <c r="EW32" s="143"/>
      <c r="EX32" s="143"/>
      <c r="EY32" s="269"/>
      <c r="EZ32" s="194"/>
      <c r="FA32" s="194"/>
      <c r="FB32" s="268"/>
      <c r="FC32" s="143"/>
      <c r="FD32" s="143"/>
      <c r="FE32" s="143"/>
      <c r="FF32" s="269"/>
      <c r="FG32" s="194"/>
      <c r="FH32" s="194"/>
      <c r="FI32" s="268"/>
      <c r="FJ32" s="143"/>
      <c r="FK32" s="143"/>
      <c r="FL32" s="143"/>
      <c r="FM32" s="269"/>
      <c r="FN32" s="194"/>
      <c r="FO32" s="194"/>
      <c r="FP32" s="268"/>
      <c r="FQ32" s="143"/>
      <c r="FR32" s="143"/>
      <c r="FS32" s="143"/>
      <c r="FT32" s="269"/>
      <c r="FU32" s="194"/>
      <c r="FV32" s="194"/>
      <c r="FW32" s="268"/>
      <c r="FX32" s="143"/>
      <c r="FY32" s="143"/>
      <c r="FZ32" s="143"/>
      <c r="GA32" s="269"/>
      <c r="GB32" s="194"/>
      <c r="GC32" s="194"/>
      <c r="GD32" s="143"/>
      <c r="GE32" s="143"/>
      <c r="GF32" s="143"/>
      <c r="GG32" s="143"/>
      <c r="GH32" s="143"/>
      <c r="GI32" s="194"/>
      <c r="GJ32" s="194"/>
      <c r="GK32" s="137"/>
      <c r="GL32" s="137"/>
      <c r="GM32" s="137"/>
      <c r="GN32" s="137"/>
      <c r="GO32" s="139"/>
      <c r="GP32" s="210"/>
      <c r="GQ32" s="210"/>
      <c r="GR32" s="137"/>
      <c r="GS32" s="137"/>
      <c r="GT32" s="137"/>
      <c r="GU32" s="137"/>
      <c r="GV32" s="137"/>
      <c r="GW32" s="210"/>
      <c r="GX32" s="210"/>
      <c r="GY32" s="139"/>
      <c r="GZ32" s="139"/>
      <c r="HA32" s="139"/>
      <c r="HB32" s="139"/>
      <c r="HC32" s="139"/>
      <c r="HD32" s="210"/>
      <c r="HE32" s="210"/>
      <c r="HF32" s="143"/>
      <c r="HG32" s="143"/>
      <c r="HH32" s="143"/>
      <c r="HI32" s="143"/>
      <c r="HJ32" s="143"/>
      <c r="HK32" s="210"/>
      <c r="HL32" s="210"/>
      <c r="HM32" s="143"/>
      <c r="HN32" s="143"/>
      <c r="HO32" s="143"/>
      <c r="HP32" s="143"/>
      <c r="HQ32" s="143"/>
      <c r="HR32" s="143"/>
      <c r="HS32" s="143"/>
      <c r="HT32" s="143"/>
      <c r="HU32" s="143"/>
      <c r="HV32" s="143"/>
      <c r="HW32" s="143"/>
      <c r="HX32" s="143"/>
      <c r="HY32" s="203"/>
      <c r="HZ32" s="203"/>
      <c r="IA32" s="143"/>
      <c r="IB32" s="143"/>
      <c r="IC32" s="143"/>
      <c r="ID32" s="143"/>
      <c r="IE32" s="143"/>
      <c r="IF32" s="203"/>
      <c r="IG32" s="203"/>
      <c r="IH32" s="143"/>
      <c r="II32" s="143"/>
      <c r="IJ32" s="143"/>
      <c r="IK32" s="143"/>
      <c r="IL32" s="143"/>
      <c r="IM32" s="203"/>
      <c r="IN32" s="203"/>
      <c r="IO32" s="143"/>
      <c r="IP32" s="143"/>
      <c r="IQ32" s="227"/>
      <c r="IR32" s="227"/>
      <c r="IS32" s="227"/>
      <c r="IT32" s="203"/>
      <c r="IU32" s="203"/>
      <c r="IV32" s="143"/>
      <c r="IW32" s="143"/>
      <c r="IX32" s="143"/>
      <c r="IY32" s="143"/>
      <c r="IZ32" s="143"/>
      <c r="JA32" s="203"/>
      <c r="JB32" s="203"/>
      <c r="JC32" s="227"/>
      <c r="JD32" s="227"/>
      <c r="JE32" s="143"/>
      <c r="JF32" s="143"/>
      <c r="JG32" s="143"/>
      <c r="JH32" s="203"/>
      <c r="JI32" s="203"/>
      <c r="JJ32" s="143"/>
      <c r="JK32" s="143"/>
      <c r="JL32" s="143"/>
      <c r="JM32" s="143"/>
      <c r="JN32" s="143"/>
      <c r="JO32" s="203"/>
      <c r="JP32" s="203"/>
      <c r="JQ32" s="143"/>
      <c r="JR32" s="143"/>
      <c r="JS32" s="143"/>
      <c r="JT32" s="143"/>
      <c r="JU32" s="143"/>
      <c r="JV32" s="203"/>
      <c r="JW32" s="203"/>
      <c r="JX32" s="143"/>
      <c r="JY32" s="143"/>
      <c r="JZ32" s="143"/>
      <c r="KA32" s="143"/>
      <c r="KB32" s="143"/>
      <c r="KC32" s="203"/>
      <c r="KD32" s="203"/>
      <c r="KE32" s="143"/>
      <c r="KF32" s="143"/>
      <c r="KG32" s="143"/>
      <c r="KH32" s="143"/>
      <c r="KI32" s="143"/>
      <c r="KJ32" s="194"/>
      <c r="KK32" s="194"/>
      <c r="KL32" s="143"/>
      <c r="KM32" s="143"/>
      <c r="KN32" s="143"/>
      <c r="KO32" s="143"/>
      <c r="KP32" s="227"/>
      <c r="KQ32" s="194"/>
      <c r="KR32" s="194"/>
      <c r="KS32" s="143"/>
      <c r="KT32" s="143"/>
      <c r="KU32" s="143"/>
      <c r="KV32" s="143"/>
      <c r="KW32" s="143"/>
      <c r="KX32" s="210"/>
      <c r="KY32" s="210"/>
      <c r="KZ32" s="194"/>
      <c r="LA32" s="194"/>
      <c r="LB32" s="194"/>
      <c r="LC32" s="194"/>
      <c r="LD32" s="194"/>
      <c r="LE32" s="210"/>
      <c r="LF32" s="210"/>
      <c r="LG32" s="227"/>
      <c r="LH32" s="227"/>
      <c r="LI32" s="227"/>
      <c r="LJ32" s="227"/>
      <c r="LK32" s="227"/>
      <c r="LL32" s="227"/>
      <c r="LM32" s="210"/>
      <c r="LN32" s="227"/>
      <c r="LO32" s="227"/>
      <c r="LP32" s="227"/>
      <c r="LQ32" s="227"/>
      <c r="LR32" s="227"/>
      <c r="LS32" s="210"/>
      <c r="LT32" s="210"/>
      <c r="LU32" s="227"/>
      <c r="LV32" s="143"/>
      <c r="LW32" s="143"/>
      <c r="LX32" s="143"/>
      <c r="LY32" s="143"/>
      <c r="LZ32" s="203"/>
      <c r="MA32" s="203"/>
      <c r="MB32" s="143"/>
      <c r="MC32" s="143"/>
      <c r="MD32" s="143"/>
      <c r="ME32" s="143"/>
      <c r="MF32" s="143"/>
      <c r="MG32" s="203"/>
      <c r="MH32" s="203"/>
      <c r="MI32" s="143"/>
      <c r="MJ32" s="143"/>
      <c r="MK32" s="143"/>
      <c r="ML32" s="143"/>
      <c r="MM32" s="143"/>
      <c r="MN32" s="203"/>
      <c r="MO32" s="203"/>
      <c r="MP32" s="143"/>
      <c r="MQ32" s="143"/>
      <c r="MR32" s="143"/>
      <c r="MS32" s="143"/>
      <c r="MT32" s="143"/>
      <c r="MU32" s="203"/>
      <c r="MV32" s="203"/>
      <c r="MW32" s="143"/>
      <c r="MX32" s="143"/>
      <c r="MY32" s="143"/>
      <c r="MZ32" s="143"/>
      <c r="NA32" s="143"/>
      <c r="NB32" s="143"/>
      <c r="NC32" s="143"/>
      <c r="ND32" s="143"/>
    </row>
    <row r="33" spans="1:368" s="140" customFormat="1" ht="15" customHeight="1">
      <c r="A33" s="470"/>
      <c r="B33" s="461"/>
      <c r="C33" s="164" t="s">
        <v>11</v>
      </c>
      <c r="D33" s="268"/>
      <c r="E33" s="143"/>
      <c r="F33" s="143"/>
      <c r="G33" s="143"/>
      <c r="H33" s="269"/>
      <c r="I33" s="194"/>
      <c r="J33" s="194"/>
      <c r="K33" s="268"/>
      <c r="L33" s="143"/>
      <c r="M33" s="143"/>
      <c r="N33" s="143"/>
      <c r="O33" s="269"/>
      <c r="P33" s="194"/>
      <c r="Q33" s="194"/>
      <c r="R33" s="268"/>
      <c r="S33" s="143"/>
      <c r="T33" s="143"/>
      <c r="U33" s="143"/>
      <c r="V33" s="269"/>
      <c r="W33" s="194"/>
      <c r="X33" s="194"/>
      <c r="Y33" s="268"/>
      <c r="Z33" s="143"/>
      <c r="AA33" s="143"/>
      <c r="AB33" s="143"/>
      <c r="AC33" s="269"/>
      <c r="AD33" s="194"/>
      <c r="AE33" s="194"/>
      <c r="AF33" s="268"/>
      <c r="AG33" s="143"/>
      <c r="AH33" s="143"/>
      <c r="AI33" s="143"/>
      <c r="AJ33" s="269"/>
      <c r="AK33" s="194"/>
      <c r="AL33" s="194"/>
      <c r="AM33" s="268"/>
      <c r="AN33" s="143"/>
      <c r="AO33" s="143"/>
      <c r="AP33" s="143"/>
      <c r="AQ33" s="269"/>
      <c r="AR33" s="194"/>
      <c r="AS33" s="194"/>
      <c r="AT33" s="268"/>
      <c r="AU33" s="143"/>
      <c r="AV33" s="143"/>
      <c r="AW33" s="143"/>
      <c r="AX33" s="269"/>
      <c r="AY33" s="194"/>
      <c r="AZ33" s="194"/>
      <c r="BA33" s="268"/>
      <c r="BB33" s="143"/>
      <c r="BC33" s="143"/>
      <c r="BD33" s="143"/>
      <c r="BE33" s="269"/>
      <c r="BF33" s="194"/>
      <c r="BG33" s="194"/>
      <c r="BH33" s="268"/>
      <c r="BI33" s="143"/>
      <c r="BJ33" s="143"/>
      <c r="BK33" s="143"/>
      <c r="BL33" s="269"/>
      <c r="BM33" s="194"/>
      <c r="BN33" s="194"/>
      <c r="BO33" s="268"/>
      <c r="BP33" s="143"/>
      <c r="BQ33" s="143"/>
      <c r="BR33" s="143"/>
      <c r="BS33" s="269"/>
      <c r="BT33" s="194"/>
      <c r="BU33" s="194"/>
      <c r="BV33" s="268"/>
      <c r="BW33" s="143"/>
      <c r="BX33" s="143"/>
      <c r="BY33" s="143"/>
      <c r="BZ33" s="269"/>
      <c r="CA33" s="194"/>
      <c r="CB33" s="194"/>
      <c r="CC33" s="268"/>
      <c r="CD33" s="143"/>
      <c r="CE33" s="143"/>
      <c r="CF33" s="143"/>
      <c r="CG33" s="269"/>
      <c r="CH33" s="194"/>
      <c r="CI33" s="194"/>
      <c r="CJ33" s="268"/>
      <c r="CK33" s="143"/>
      <c r="CL33" s="143"/>
      <c r="CM33" s="143"/>
      <c r="CN33" s="269"/>
      <c r="CO33" s="194"/>
      <c r="CP33" s="194"/>
      <c r="CQ33" s="268"/>
      <c r="CR33" s="143"/>
      <c r="CS33" s="143"/>
      <c r="CT33" s="143"/>
      <c r="CU33" s="269"/>
      <c r="CV33" s="194"/>
      <c r="CW33" s="194"/>
      <c r="CX33" s="268"/>
      <c r="CY33" s="143"/>
      <c r="CZ33" s="143"/>
      <c r="DA33" s="143"/>
      <c r="DB33" s="269"/>
      <c r="DC33" s="194"/>
      <c r="DD33" s="194"/>
      <c r="DE33" s="268"/>
      <c r="DF33" s="143"/>
      <c r="DG33" s="143"/>
      <c r="DH33" s="143"/>
      <c r="DI33" s="269"/>
      <c r="DJ33" s="194"/>
      <c r="DK33" s="194"/>
      <c r="DL33" s="268"/>
      <c r="DM33" s="143"/>
      <c r="DN33" s="143"/>
      <c r="DO33" s="143"/>
      <c r="DP33" s="269"/>
      <c r="DQ33" s="194"/>
      <c r="DR33" s="194"/>
      <c r="DS33" s="268"/>
      <c r="DT33" s="143"/>
      <c r="DU33" s="143"/>
      <c r="DV33" s="143"/>
      <c r="DW33" s="269"/>
      <c r="DX33" s="194"/>
      <c r="DY33" s="194"/>
      <c r="DZ33" s="268"/>
      <c r="EA33" s="143"/>
      <c r="EB33" s="143"/>
      <c r="EC33" s="143"/>
      <c r="ED33" s="269"/>
      <c r="EE33" s="194"/>
      <c r="EF33" s="194"/>
      <c r="EG33" s="268"/>
      <c r="EH33" s="143"/>
      <c r="EI33" s="143"/>
      <c r="EJ33" s="143"/>
      <c r="EK33" s="269"/>
      <c r="EL33" s="194"/>
      <c r="EM33" s="194"/>
      <c r="EN33" s="268"/>
      <c r="EO33" s="143"/>
      <c r="EP33" s="143"/>
      <c r="EQ33" s="143"/>
      <c r="ER33" s="269"/>
      <c r="ES33" s="194"/>
      <c r="ET33" s="194"/>
      <c r="EU33" s="268"/>
      <c r="EV33" s="143"/>
      <c r="EW33" s="143"/>
      <c r="EX33" s="143"/>
      <c r="EY33" s="269"/>
      <c r="EZ33" s="194"/>
      <c r="FA33" s="194"/>
      <c r="FB33" s="268"/>
      <c r="FC33" s="143"/>
      <c r="FD33" s="143"/>
      <c r="FE33" s="143"/>
      <c r="FF33" s="269"/>
      <c r="FG33" s="194"/>
      <c r="FH33" s="194"/>
      <c r="FI33" s="268"/>
      <c r="FJ33" s="143"/>
      <c r="FK33" s="143"/>
      <c r="FL33" s="143"/>
      <c r="FM33" s="269"/>
      <c r="FN33" s="194"/>
      <c r="FO33" s="194"/>
      <c r="FP33" s="268"/>
      <c r="FQ33" s="143"/>
      <c r="FR33" s="143"/>
      <c r="FS33" s="143"/>
      <c r="FT33" s="269"/>
      <c r="FU33" s="194"/>
      <c r="FV33" s="194"/>
      <c r="FW33" s="268"/>
      <c r="FX33" s="143"/>
      <c r="FY33" s="143"/>
      <c r="FZ33" s="143"/>
      <c r="GA33" s="269"/>
      <c r="GB33" s="194"/>
      <c r="GC33" s="194"/>
      <c r="GD33" s="143"/>
      <c r="GE33" s="143"/>
      <c r="GF33" s="143"/>
      <c r="GG33" s="143"/>
      <c r="GH33" s="143"/>
      <c r="GI33" s="194"/>
      <c r="GJ33" s="194"/>
      <c r="GK33" s="139"/>
      <c r="GL33" s="139"/>
      <c r="GM33" s="139"/>
      <c r="GN33" s="139"/>
      <c r="GO33" s="139"/>
      <c r="GP33" s="210"/>
      <c r="GQ33" s="210"/>
      <c r="GR33" s="139"/>
      <c r="GS33" s="139"/>
      <c r="GT33" s="139"/>
      <c r="GU33" s="139"/>
      <c r="GV33" s="139"/>
      <c r="GW33" s="210"/>
      <c r="GX33" s="210"/>
      <c r="GY33" s="139"/>
      <c r="GZ33" s="139"/>
      <c r="HA33" s="139"/>
      <c r="HB33" s="139"/>
      <c r="HC33" s="139"/>
      <c r="HD33" s="210"/>
      <c r="HE33" s="210"/>
      <c r="HF33" s="143"/>
      <c r="HG33" s="143"/>
      <c r="HH33" s="143"/>
      <c r="HI33" s="143"/>
      <c r="HJ33" s="143"/>
      <c r="HK33" s="210"/>
      <c r="HL33" s="210"/>
      <c r="HM33" s="143"/>
      <c r="HN33" s="143"/>
      <c r="HO33" s="143"/>
      <c r="HP33" s="143"/>
      <c r="HQ33" s="143"/>
      <c r="HR33" s="143"/>
      <c r="HS33" s="143"/>
      <c r="HT33" s="143"/>
      <c r="HU33" s="143"/>
      <c r="HV33" s="143"/>
      <c r="HW33" s="143"/>
      <c r="HX33" s="143"/>
      <c r="HY33" s="203"/>
      <c r="HZ33" s="203"/>
      <c r="IA33" s="143"/>
      <c r="IB33" s="143"/>
      <c r="IC33" s="143"/>
      <c r="ID33" s="143"/>
      <c r="IE33" s="143"/>
      <c r="IF33" s="203"/>
      <c r="IG33" s="203"/>
      <c r="IH33" s="143"/>
      <c r="II33" s="143"/>
      <c r="IJ33" s="143"/>
      <c r="IK33" s="143"/>
      <c r="IL33" s="143"/>
      <c r="IM33" s="203"/>
      <c r="IN33" s="203"/>
      <c r="IO33" s="143"/>
      <c r="IP33" s="143"/>
      <c r="IQ33" s="227"/>
      <c r="IR33" s="227"/>
      <c r="IS33" s="227"/>
      <c r="IT33" s="203"/>
      <c r="IU33" s="203"/>
      <c r="IV33" s="143"/>
      <c r="IW33" s="143"/>
      <c r="IX33" s="143"/>
      <c r="IY33" s="143"/>
      <c r="IZ33" s="143"/>
      <c r="JA33" s="203"/>
      <c r="JB33" s="203"/>
      <c r="JC33" s="227"/>
      <c r="JD33" s="227"/>
      <c r="JE33" s="143"/>
      <c r="JF33" s="143"/>
      <c r="JG33" s="143"/>
      <c r="JH33" s="203"/>
      <c r="JI33" s="203"/>
      <c r="JJ33" s="143"/>
      <c r="JK33" s="143"/>
      <c r="JL33" s="143"/>
      <c r="JM33" s="143"/>
      <c r="JN33" s="143"/>
      <c r="JO33" s="203"/>
      <c r="JP33" s="203"/>
      <c r="JQ33" s="143"/>
      <c r="JR33" s="143"/>
      <c r="JS33" s="143"/>
      <c r="JT33" s="143"/>
      <c r="JU33" s="143"/>
      <c r="JV33" s="203"/>
      <c r="JW33" s="203"/>
      <c r="JX33" s="143"/>
      <c r="JY33" s="143"/>
      <c r="JZ33" s="143"/>
      <c r="KA33" s="143"/>
      <c r="KB33" s="143"/>
      <c r="KC33" s="203"/>
      <c r="KD33" s="203"/>
      <c r="KE33" s="143"/>
      <c r="KF33" s="143"/>
      <c r="KG33" s="143"/>
      <c r="KH33" s="143"/>
      <c r="KI33" s="143"/>
      <c r="KJ33" s="194"/>
      <c r="KK33" s="194"/>
      <c r="KL33" s="143"/>
      <c r="KM33" s="143"/>
      <c r="KN33" s="143"/>
      <c r="KO33" s="143"/>
      <c r="KP33" s="227"/>
      <c r="KQ33" s="194"/>
      <c r="KR33" s="194"/>
      <c r="KS33" s="143"/>
      <c r="KT33" s="143"/>
      <c r="KU33" s="143"/>
      <c r="KV33" s="143"/>
      <c r="KW33" s="143"/>
      <c r="KX33" s="210"/>
      <c r="KY33" s="210"/>
      <c r="KZ33" s="194"/>
      <c r="LA33" s="194"/>
      <c r="LB33" s="194"/>
      <c r="LC33" s="194"/>
      <c r="LD33" s="194"/>
      <c r="LE33" s="210"/>
      <c r="LF33" s="210"/>
      <c r="LG33" s="227"/>
      <c r="LH33" s="227"/>
      <c r="LI33" s="227"/>
      <c r="LJ33" s="227"/>
      <c r="LK33" s="227"/>
      <c r="LL33" s="227"/>
      <c r="LM33" s="210"/>
      <c r="LN33" s="227"/>
      <c r="LO33" s="227"/>
      <c r="LP33" s="227"/>
      <c r="LQ33" s="227"/>
      <c r="LR33" s="227"/>
      <c r="LS33" s="210"/>
      <c r="LT33" s="210"/>
      <c r="LU33" s="227"/>
      <c r="LV33" s="143"/>
      <c r="LW33" s="143"/>
      <c r="LX33" s="143"/>
      <c r="LY33" s="143"/>
      <c r="LZ33" s="203"/>
      <c r="MA33" s="203"/>
      <c r="MB33" s="143"/>
      <c r="MC33" s="143"/>
      <c r="MD33" s="143"/>
      <c r="ME33" s="143"/>
      <c r="MF33" s="143"/>
      <c r="MG33" s="203"/>
      <c r="MH33" s="203"/>
      <c r="MI33" s="143"/>
      <c r="MJ33" s="143"/>
      <c r="MK33" s="143"/>
      <c r="ML33" s="143"/>
      <c r="MM33" s="143"/>
      <c r="MN33" s="203"/>
      <c r="MO33" s="203"/>
      <c r="MP33" s="143"/>
      <c r="MQ33" s="143"/>
      <c r="MR33" s="143"/>
      <c r="MS33" s="143"/>
      <c r="MT33" s="143"/>
      <c r="MU33" s="203"/>
      <c r="MV33" s="203"/>
      <c r="MW33" s="143"/>
      <c r="MX33" s="143"/>
      <c r="MY33" s="143"/>
      <c r="MZ33" s="143"/>
      <c r="NA33" s="143"/>
      <c r="NB33" s="143"/>
      <c r="NC33" s="143"/>
      <c r="ND33" s="143"/>
    </row>
    <row r="34" spans="1:368" s="140" customFormat="1" ht="15" customHeight="1">
      <c r="A34" s="470"/>
      <c r="B34" s="461"/>
      <c r="C34" s="164" t="s">
        <v>12</v>
      </c>
      <c r="D34" s="268"/>
      <c r="E34" s="143"/>
      <c r="F34" s="143"/>
      <c r="G34" s="143"/>
      <c r="H34" s="269"/>
      <c r="I34" s="194"/>
      <c r="J34" s="194"/>
      <c r="K34" s="268"/>
      <c r="L34" s="143"/>
      <c r="M34" s="143"/>
      <c r="N34" s="143"/>
      <c r="O34" s="269"/>
      <c r="P34" s="194"/>
      <c r="Q34" s="194"/>
      <c r="R34" s="268"/>
      <c r="S34" s="143"/>
      <c r="T34" s="143"/>
      <c r="U34" s="143"/>
      <c r="V34" s="269"/>
      <c r="W34" s="194"/>
      <c r="X34" s="194"/>
      <c r="Y34" s="268"/>
      <c r="Z34" s="143"/>
      <c r="AA34" s="143"/>
      <c r="AB34" s="143"/>
      <c r="AC34" s="269"/>
      <c r="AD34" s="194"/>
      <c r="AE34" s="194"/>
      <c r="AF34" s="268"/>
      <c r="AG34" s="143"/>
      <c r="AH34" s="143"/>
      <c r="AI34" s="143"/>
      <c r="AJ34" s="269"/>
      <c r="AK34" s="194"/>
      <c r="AL34" s="194"/>
      <c r="AM34" s="268"/>
      <c r="AN34" s="143"/>
      <c r="AO34" s="143"/>
      <c r="AP34" s="143"/>
      <c r="AQ34" s="269"/>
      <c r="AR34" s="194"/>
      <c r="AS34" s="194"/>
      <c r="AT34" s="268"/>
      <c r="AU34" s="143"/>
      <c r="AV34" s="143"/>
      <c r="AW34" s="143"/>
      <c r="AX34" s="269"/>
      <c r="AY34" s="194"/>
      <c r="AZ34" s="194"/>
      <c r="BA34" s="268"/>
      <c r="BB34" s="143"/>
      <c r="BC34" s="143"/>
      <c r="BD34" s="143"/>
      <c r="BE34" s="269"/>
      <c r="BF34" s="194"/>
      <c r="BG34" s="194"/>
      <c r="BH34" s="268"/>
      <c r="BI34" s="143"/>
      <c r="BJ34" s="143"/>
      <c r="BK34" s="143"/>
      <c r="BL34" s="269"/>
      <c r="BM34" s="194"/>
      <c r="BN34" s="194"/>
      <c r="BO34" s="268"/>
      <c r="BP34" s="143"/>
      <c r="BQ34" s="143"/>
      <c r="BR34" s="143"/>
      <c r="BS34" s="269"/>
      <c r="BT34" s="194"/>
      <c r="BU34" s="194"/>
      <c r="BV34" s="268"/>
      <c r="BW34" s="143"/>
      <c r="BX34" s="143"/>
      <c r="BY34" s="143"/>
      <c r="BZ34" s="269"/>
      <c r="CA34" s="194"/>
      <c r="CB34" s="194"/>
      <c r="CC34" s="268"/>
      <c r="CD34" s="143"/>
      <c r="CE34" s="143"/>
      <c r="CF34" s="143"/>
      <c r="CG34" s="269"/>
      <c r="CH34" s="194"/>
      <c r="CI34" s="194"/>
      <c r="CJ34" s="268"/>
      <c r="CK34" s="143"/>
      <c r="CL34" s="143"/>
      <c r="CM34" s="143"/>
      <c r="CN34" s="269"/>
      <c r="CO34" s="194"/>
      <c r="CP34" s="194"/>
      <c r="CQ34" s="268"/>
      <c r="CR34" s="143"/>
      <c r="CS34" s="143"/>
      <c r="CT34" s="143"/>
      <c r="CU34" s="269"/>
      <c r="CV34" s="194"/>
      <c r="CW34" s="194"/>
      <c r="CX34" s="268"/>
      <c r="CY34" s="143"/>
      <c r="CZ34" s="143"/>
      <c r="DA34" s="143"/>
      <c r="DB34" s="269"/>
      <c r="DC34" s="194"/>
      <c r="DD34" s="194"/>
      <c r="DE34" s="268"/>
      <c r="DF34" s="143"/>
      <c r="DG34" s="143"/>
      <c r="DH34" s="143"/>
      <c r="DI34" s="269"/>
      <c r="DJ34" s="194"/>
      <c r="DK34" s="194"/>
      <c r="DL34" s="268"/>
      <c r="DM34" s="143"/>
      <c r="DN34" s="143"/>
      <c r="DO34" s="143"/>
      <c r="DP34" s="269"/>
      <c r="DQ34" s="194"/>
      <c r="DR34" s="194"/>
      <c r="DS34" s="268"/>
      <c r="DT34" s="143"/>
      <c r="DU34" s="143"/>
      <c r="DV34" s="143"/>
      <c r="DW34" s="269"/>
      <c r="DX34" s="194"/>
      <c r="DY34" s="194"/>
      <c r="DZ34" s="268"/>
      <c r="EA34" s="143"/>
      <c r="EB34" s="143"/>
      <c r="EC34" s="143"/>
      <c r="ED34" s="269"/>
      <c r="EE34" s="194"/>
      <c r="EF34" s="194"/>
      <c r="EG34" s="268"/>
      <c r="EH34" s="143"/>
      <c r="EI34" s="143"/>
      <c r="EJ34" s="143"/>
      <c r="EK34" s="269"/>
      <c r="EL34" s="194"/>
      <c r="EM34" s="194"/>
      <c r="EN34" s="268"/>
      <c r="EO34" s="143"/>
      <c r="EP34" s="143"/>
      <c r="EQ34" s="143"/>
      <c r="ER34" s="269"/>
      <c r="ES34" s="194"/>
      <c r="ET34" s="194"/>
      <c r="EU34" s="268"/>
      <c r="EV34" s="143"/>
      <c r="EW34" s="143"/>
      <c r="EX34" s="143"/>
      <c r="EY34" s="269"/>
      <c r="EZ34" s="194"/>
      <c r="FA34" s="194"/>
      <c r="FB34" s="268"/>
      <c r="FC34" s="143"/>
      <c r="FD34" s="143"/>
      <c r="FE34" s="143"/>
      <c r="FF34" s="269"/>
      <c r="FG34" s="194"/>
      <c r="FH34" s="194"/>
      <c r="FI34" s="268"/>
      <c r="FJ34" s="143"/>
      <c r="FK34" s="143"/>
      <c r="FL34" s="143"/>
      <c r="FM34" s="269"/>
      <c r="FN34" s="194"/>
      <c r="FO34" s="194"/>
      <c r="FP34" s="268"/>
      <c r="FQ34" s="143"/>
      <c r="FR34" s="143"/>
      <c r="FS34" s="143"/>
      <c r="FT34" s="269"/>
      <c r="FU34" s="194"/>
      <c r="FV34" s="194"/>
      <c r="FW34" s="268"/>
      <c r="FX34" s="143"/>
      <c r="FY34" s="143"/>
      <c r="FZ34" s="143"/>
      <c r="GA34" s="269"/>
      <c r="GB34" s="194"/>
      <c r="GC34" s="194"/>
      <c r="GD34" s="143"/>
      <c r="GE34" s="143"/>
      <c r="GF34" s="143"/>
      <c r="GG34" s="143"/>
      <c r="GH34" s="143"/>
      <c r="GI34" s="194"/>
      <c r="GJ34" s="194"/>
      <c r="GK34" s="139"/>
      <c r="GL34" s="139"/>
      <c r="GM34" s="139"/>
      <c r="GN34" s="139"/>
      <c r="GO34" s="139"/>
      <c r="GP34" s="210"/>
      <c r="GQ34" s="210"/>
      <c r="GR34" s="139"/>
      <c r="GS34" s="139"/>
      <c r="GT34" s="139"/>
      <c r="GU34" s="139"/>
      <c r="GV34" s="139"/>
      <c r="GW34" s="210"/>
      <c r="GX34" s="210"/>
      <c r="GY34" s="139"/>
      <c r="GZ34" s="139"/>
      <c r="HA34" s="139"/>
      <c r="HB34" s="139"/>
      <c r="HC34" s="139"/>
      <c r="HD34" s="210"/>
      <c r="HE34" s="210"/>
      <c r="HF34" s="143"/>
      <c r="HG34" s="143"/>
      <c r="HH34" s="143"/>
      <c r="HI34" s="143"/>
      <c r="HJ34" s="143"/>
      <c r="HK34" s="210"/>
      <c r="HL34" s="210"/>
      <c r="HM34" s="143"/>
      <c r="HN34" s="143"/>
      <c r="HO34" s="143"/>
      <c r="HP34" s="143"/>
      <c r="HQ34" s="143"/>
      <c r="HR34" s="143"/>
      <c r="HS34" s="143"/>
      <c r="HT34" s="143"/>
      <c r="HU34" s="143"/>
      <c r="HV34" s="143"/>
      <c r="HW34" s="143"/>
      <c r="HX34" s="143"/>
      <c r="HY34" s="203"/>
      <c r="HZ34" s="203"/>
      <c r="IA34" s="143"/>
      <c r="IB34" s="143"/>
      <c r="IC34" s="143"/>
      <c r="ID34" s="143"/>
      <c r="IE34" s="143"/>
      <c r="IF34" s="203"/>
      <c r="IG34" s="203"/>
      <c r="IH34" s="143"/>
      <c r="II34" s="143"/>
      <c r="IJ34" s="143"/>
      <c r="IK34" s="143"/>
      <c r="IL34" s="143"/>
      <c r="IM34" s="203"/>
      <c r="IN34" s="203"/>
      <c r="IO34" s="143"/>
      <c r="IP34" s="143"/>
      <c r="IQ34" s="227"/>
      <c r="IR34" s="227"/>
      <c r="IS34" s="227"/>
      <c r="IT34" s="203"/>
      <c r="IU34" s="203"/>
      <c r="IV34" s="143"/>
      <c r="IW34" s="143"/>
      <c r="IX34" s="143"/>
      <c r="IY34" s="143"/>
      <c r="IZ34" s="143"/>
      <c r="JA34" s="203"/>
      <c r="JB34" s="203"/>
      <c r="JC34" s="227"/>
      <c r="JD34" s="227"/>
      <c r="JE34" s="143"/>
      <c r="JF34" s="143"/>
      <c r="JG34" s="143"/>
      <c r="JH34" s="203"/>
      <c r="JI34" s="203"/>
      <c r="JJ34" s="143"/>
      <c r="JK34" s="143"/>
      <c r="JL34" s="143"/>
      <c r="JM34" s="143"/>
      <c r="JN34" s="143"/>
      <c r="JO34" s="203"/>
      <c r="JP34" s="203"/>
      <c r="JQ34" s="143"/>
      <c r="JR34" s="143"/>
      <c r="JS34" s="143"/>
      <c r="JT34" s="143"/>
      <c r="JU34" s="143"/>
      <c r="JV34" s="203"/>
      <c r="JW34" s="203"/>
      <c r="JX34" s="143"/>
      <c r="JY34" s="143"/>
      <c r="JZ34" s="143"/>
      <c r="KA34" s="143"/>
      <c r="KB34" s="143"/>
      <c r="KC34" s="203"/>
      <c r="KD34" s="203"/>
      <c r="KE34" s="143"/>
      <c r="KF34" s="143"/>
      <c r="KG34" s="143"/>
      <c r="KH34" s="143"/>
      <c r="KI34" s="143"/>
      <c r="KJ34" s="194"/>
      <c r="KK34" s="194"/>
      <c r="KL34" s="143"/>
      <c r="KM34" s="143"/>
      <c r="KN34" s="143"/>
      <c r="KO34" s="143"/>
      <c r="KP34" s="227"/>
      <c r="KQ34" s="194"/>
      <c r="KR34" s="194"/>
      <c r="KS34" s="143"/>
      <c r="KT34" s="143"/>
      <c r="KU34" s="143"/>
      <c r="KV34" s="143"/>
      <c r="KW34" s="143"/>
      <c r="KX34" s="210"/>
      <c r="KY34" s="210"/>
      <c r="KZ34" s="194"/>
      <c r="LA34" s="194"/>
      <c r="LB34" s="194"/>
      <c r="LC34" s="194"/>
      <c r="LD34" s="194"/>
      <c r="LE34" s="210"/>
      <c r="LF34" s="210"/>
      <c r="LG34" s="227"/>
      <c r="LH34" s="227"/>
      <c r="LI34" s="227"/>
      <c r="LJ34" s="227"/>
      <c r="LK34" s="227"/>
      <c r="LL34" s="227"/>
      <c r="LM34" s="210"/>
      <c r="LN34" s="227"/>
      <c r="LO34" s="227"/>
      <c r="LP34" s="227"/>
      <c r="LQ34" s="227"/>
      <c r="LR34" s="227"/>
      <c r="LS34" s="210"/>
      <c r="LT34" s="210"/>
      <c r="LU34" s="227"/>
      <c r="LV34" s="143"/>
      <c r="LW34" s="143"/>
      <c r="LX34" s="143"/>
      <c r="LY34" s="143"/>
      <c r="LZ34" s="203"/>
      <c r="MA34" s="203"/>
      <c r="MB34" s="143"/>
      <c r="MC34" s="143"/>
      <c r="MD34" s="143"/>
      <c r="ME34" s="143"/>
      <c r="MF34" s="143"/>
      <c r="MG34" s="203"/>
      <c r="MH34" s="203"/>
      <c r="MI34" s="143"/>
      <c r="MJ34" s="143"/>
      <c r="MK34" s="143"/>
      <c r="ML34" s="143"/>
      <c r="MM34" s="143"/>
      <c r="MN34" s="203"/>
      <c r="MO34" s="203"/>
      <c r="MP34" s="143"/>
      <c r="MQ34" s="143"/>
      <c r="MR34" s="143"/>
      <c r="MS34" s="143"/>
      <c r="MT34" s="143"/>
      <c r="MU34" s="203"/>
      <c r="MV34" s="203"/>
      <c r="MW34" s="143"/>
      <c r="MX34" s="143"/>
      <c r="MY34" s="143"/>
      <c r="MZ34" s="143"/>
      <c r="NA34" s="143"/>
      <c r="NB34" s="143"/>
      <c r="NC34" s="143"/>
      <c r="ND34" s="143"/>
    </row>
    <row r="35" spans="1:368" s="140" customFormat="1" ht="15" customHeight="1" thickBot="1">
      <c r="A35" s="470"/>
      <c r="B35" s="461"/>
      <c r="C35" s="164" t="s">
        <v>13</v>
      </c>
      <c r="D35" s="274"/>
      <c r="E35" s="275"/>
      <c r="F35" s="275"/>
      <c r="G35" s="275"/>
      <c r="H35" s="276"/>
      <c r="I35" s="195"/>
      <c r="J35" s="195"/>
      <c r="K35" s="274"/>
      <c r="L35" s="275"/>
      <c r="M35" s="275"/>
      <c r="N35" s="275"/>
      <c r="O35" s="276"/>
      <c r="P35" s="195"/>
      <c r="Q35" s="195"/>
      <c r="R35" s="274"/>
      <c r="S35" s="275"/>
      <c r="T35" s="275"/>
      <c r="U35" s="275"/>
      <c r="V35" s="276"/>
      <c r="W35" s="195"/>
      <c r="X35" s="195"/>
      <c r="Y35" s="274"/>
      <c r="Z35" s="275"/>
      <c r="AA35" s="275"/>
      <c r="AB35" s="275"/>
      <c r="AC35" s="276"/>
      <c r="AD35" s="195"/>
      <c r="AE35" s="195"/>
      <c r="AF35" s="274"/>
      <c r="AG35" s="275"/>
      <c r="AH35" s="275"/>
      <c r="AI35" s="275"/>
      <c r="AJ35" s="276"/>
      <c r="AK35" s="195"/>
      <c r="AL35" s="195"/>
      <c r="AM35" s="274"/>
      <c r="AN35" s="275"/>
      <c r="AO35" s="275"/>
      <c r="AP35" s="275"/>
      <c r="AQ35" s="276"/>
      <c r="AR35" s="195"/>
      <c r="AS35" s="195"/>
      <c r="AT35" s="274"/>
      <c r="AU35" s="275"/>
      <c r="AV35" s="275"/>
      <c r="AW35" s="275"/>
      <c r="AX35" s="276"/>
      <c r="AY35" s="195"/>
      <c r="AZ35" s="195"/>
      <c r="BA35" s="274"/>
      <c r="BB35" s="275"/>
      <c r="BC35" s="275"/>
      <c r="BD35" s="275"/>
      <c r="BE35" s="276"/>
      <c r="BF35" s="195"/>
      <c r="BG35" s="195"/>
      <c r="BH35" s="274"/>
      <c r="BI35" s="275"/>
      <c r="BJ35" s="275"/>
      <c r="BK35" s="275"/>
      <c r="BL35" s="276"/>
      <c r="BM35" s="195"/>
      <c r="BN35" s="195"/>
      <c r="BO35" s="274"/>
      <c r="BP35" s="275"/>
      <c r="BQ35" s="275"/>
      <c r="BR35" s="275"/>
      <c r="BS35" s="276"/>
      <c r="BT35" s="195"/>
      <c r="BU35" s="195"/>
      <c r="BV35" s="274"/>
      <c r="BW35" s="275"/>
      <c r="BX35" s="275"/>
      <c r="BY35" s="275"/>
      <c r="BZ35" s="276"/>
      <c r="CA35" s="195"/>
      <c r="CB35" s="195"/>
      <c r="CC35" s="274"/>
      <c r="CD35" s="275"/>
      <c r="CE35" s="275"/>
      <c r="CF35" s="275"/>
      <c r="CG35" s="276"/>
      <c r="CH35" s="195"/>
      <c r="CI35" s="195"/>
      <c r="CJ35" s="274"/>
      <c r="CK35" s="275"/>
      <c r="CL35" s="275"/>
      <c r="CM35" s="275"/>
      <c r="CN35" s="276"/>
      <c r="CO35" s="195"/>
      <c r="CP35" s="195"/>
      <c r="CQ35" s="274"/>
      <c r="CR35" s="275"/>
      <c r="CS35" s="275"/>
      <c r="CT35" s="275"/>
      <c r="CU35" s="276"/>
      <c r="CV35" s="195"/>
      <c r="CW35" s="195"/>
      <c r="CX35" s="274"/>
      <c r="CY35" s="275"/>
      <c r="CZ35" s="275"/>
      <c r="DA35" s="275"/>
      <c r="DB35" s="276"/>
      <c r="DC35" s="195"/>
      <c r="DD35" s="195"/>
      <c r="DE35" s="274"/>
      <c r="DF35" s="275"/>
      <c r="DG35" s="275"/>
      <c r="DH35" s="275"/>
      <c r="DI35" s="276"/>
      <c r="DJ35" s="195"/>
      <c r="DK35" s="195"/>
      <c r="DL35" s="274"/>
      <c r="DM35" s="275"/>
      <c r="DN35" s="275"/>
      <c r="DO35" s="275"/>
      <c r="DP35" s="276"/>
      <c r="DQ35" s="195"/>
      <c r="DR35" s="195"/>
      <c r="DS35" s="274"/>
      <c r="DT35" s="275"/>
      <c r="DU35" s="275"/>
      <c r="DV35" s="275"/>
      <c r="DW35" s="276"/>
      <c r="DX35" s="195"/>
      <c r="DY35" s="195"/>
      <c r="DZ35" s="274"/>
      <c r="EA35" s="275"/>
      <c r="EB35" s="275"/>
      <c r="EC35" s="275"/>
      <c r="ED35" s="276"/>
      <c r="EE35" s="195"/>
      <c r="EF35" s="195"/>
      <c r="EG35" s="274"/>
      <c r="EH35" s="275"/>
      <c r="EI35" s="275"/>
      <c r="EJ35" s="275"/>
      <c r="EK35" s="276"/>
      <c r="EL35" s="195"/>
      <c r="EM35" s="195"/>
      <c r="EN35" s="274"/>
      <c r="EO35" s="275"/>
      <c r="EP35" s="275"/>
      <c r="EQ35" s="275"/>
      <c r="ER35" s="276"/>
      <c r="ES35" s="195"/>
      <c r="ET35" s="195"/>
      <c r="EU35" s="274"/>
      <c r="EV35" s="275"/>
      <c r="EW35" s="275"/>
      <c r="EX35" s="275"/>
      <c r="EY35" s="276"/>
      <c r="EZ35" s="195"/>
      <c r="FA35" s="195"/>
      <c r="FB35" s="274"/>
      <c r="FC35" s="275"/>
      <c r="FD35" s="275"/>
      <c r="FE35" s="275"/>
      <c r="FF35" s="276"/>
      <c r="FG35" s="195"/>
      <c r="FH35" s="195"/>
      <c r="FI35" s="274"/>
      <c r="FJ35" s="275"/>
      <c r="FK35" s="275"/>
      <c r="FL35" s="275"/>
      <c r="FM35" s="276"/>
      <c r="FN35" s="195"/>
      <c r="FO35" s="195"/>
      <c r="FP35" s="274"/>
      <c r="FQ35" s="275"/>
      <c r="FR35" s="275"/>
      <c r="FS35" s="275"/>
      <c r="FT35" s="276"/>
      <c r="FU35" s="195"/>
      <c r="FV35" s="195"/>
      <c r="FW35" s="274"/>
      <c r="FX35" s="275"/>
      <c r="FY35" s="275"/>
      <c r="FZ35" s="275"/>
      <c r="GA35" s="276"/>
      <c r="GB35" s="195"/>
      <c r="GC35" s="195"/>
      <c r="GD35" s="144"/>
      <c r="GE35" s="144"/>
      <c r="GF35" s="144"/>
      <c r="GG35" s="144"/>
      <c r="GH35" s="144"/>
      <c r="GI35" s="195"/>
      <c r="GJ35" s="195"/>
      <c r="GK35" s="139"/>
      <c r="GL35" s="139"/>
      <c r="GM35" s="139"/>
      <c r="GN35" s="139"/>
      <c r="GO35" s="139"/>
      <c r="GP35" s="211"/>
      <c r="GQ35" s="211"/>
      <c r="GR35" s="139"/>
      <c r="GS35" s="139"/>
      <c r="GT35" s="139"/>
      <c r="GU35" s="139"/>
      <c r="GV35" s="139"/>
      <c r="GW35" s="211"/>
      <c r="GX35" s="211"/>
      <c r="GY35" s="139"/>
      <c r="GZ35" s="139"/>
      <c r="HA35" s="139"/>
      <c r="HB35" s="139"/>
      <c r="HC35" s="139"/>
      <c r="HD35" s="211"/>
      <c r="HE35" s="211"/>
      <c r="HF35" s="144"/>
      <c r="HG35" s="144"/>
      <c r="HH35" s="144"/>
      <c r="HI35" s="144"/>
      <c r="HJ35" s="144"/>
      <c r="HK35" s="211"/>
      <c r="HL35" s="211"/>
      <c r="HM35" s="144"/>
      <c r="HN35" s="144"/>
      <c r="HO35" s="144"/>
      <c r="HP35" s="144"/>
      <c r="HQ35" s="144"/>
      <c r="HR35" s="144"/>
      <c r="HS35" s="144"/>
      <c r="HT35" s="144"/>
      <c r="HU35" s="144"/>
      <c r="HV35" s="144"/>
      <c r="HW35" s="144"/>
      <c r="HX35" s="144"/>
      <c r="HY35" s="204"/>
      <c r="HZ35" s="204"/>
      <c r="IA35" s="144"/>
      <c r="IB35" s="144"/>
      <c r="IC35" s="144"/>
      <c r="ID35" s="144"/>
      <c r="IE35" s="144"/>
      <c r="IF35" s="204"/>
      <c r="IG35" s="204"/>
      <c r="IH35" s="144"/>
      <c r="II35" s="144"/>
      <c r="IJ35" s="144"/>
      <c r="IK35" s="144"/>
      <c r="IL35" s="144"/>
      <c r="IM35" s="204"/>
      <c r="IN35" s="204"/>
      <c r="IO35" s="144"/>
      <c r="IP35" s="144"/>
      <c r="IQ35" s="230"/>
      <c r="IR35" s="230"/>
      <c r="IS35" s="230"/>
      <c r="IT35" s="204"/>
      <c r="IU35" s="204"/>
      <c r="IV35" s="144"/>
      <c r="IW35" s="144"/>
      <c r="IX35" s="144"/>
      <c r="IY35" s="144"/>
      <c r="IZ35" s="144"/>
      <c r="JA35" s="204"/>
      <c r="JB35" s="204"/>
      <c r="JC35" s="230"/>
      <c r="JD35" s="230"/>
      <c r="JE35" s="144"/>
      <c r="JF35" s="144"/>
      <c r="JG35" s="144"/>
      <c r="JH35" s="204"/>
      <c r="JI35" s="204"/>
      <c r="JJ35" s="144"/>
      <c r="JK35" s="144"/>
      <c r="JL35" s="144"/>
      <c r="JM35" s="144"/>
      <c r="JN35" s="144"/>
      <c r="JO35" s="204"/>
      <c r="JP35" s="204"/>
      <c r="JQ35" s="144"/>
      <c r="JR35" s="144"/>
      <c r="JS35" s="144"/>
      <c r="JT35" s="144"/>
      <c r="JU35" s="144"/>
      <c r="JV35" s="204"/>
      <c r="JW35" s="204"/>
      <c r="JX35" s="144"/>
      <c r="JY35" s="144"/>
      <c r="JZ35" s="144"/>
      <c r="KA35" s="144"/>
      <c r="KB35" s="144"/>
      <c r="KC35" s="204"/>
      <c r="KD35" s="204"/>
      <c r="KE35" s="144"/>
      <c r="KF35" s="144"/>
      <c r="KG35" s="144"/>
      <c r="KH35" s="144"/>
      <c r="KI35" s="144"/>
      <c r="KJ35" s="195"/>
      <c r="KK35" s="195"/>
      <c r="KL35" s="144"/>
      <c r="KM35" s="144"/>
      <c r="KN35" s="144"/>
      <c r="KO35" s="144"/>
      <c r="KP35" s="230"/>
      <c r="KQ35" s="195"/>
      <c r="KR35" s="195"/>
      <c r="KS35" s="144"/>
      <c r="KT35" s="144"/>
      <c r="KU35" s="144"/>
      <c r="KV35" s="144"/>
      <c r="KW35" s="144"/>
      <c r="KX35" s="211"/>
      <c r="KY35" s="211"/>
      <c r="KZ35" s="195"/>
      <c r="LA35" s="195"/>
      <c r="LB35" s="195"/>
      <c r="LC35" s="195"/>
      <c r="LD35" s="195"/>
      <c r="LE35" s="211"/>
      <c r="LF35" s="211"/>
      <c r="LG35" s="230"/>
      <c r="LH35" s="230"/>
      <c r="LI35" s="230"/>
      <c r="LJ35" s="230"/>
      <c r="LK35" s="230"/>
      <c r="LL35" s="230"/>
      <c r="LM35" s="211"/>
      <c r="LN35" s="230"/>
      <c r="LO35" s="230"/>
      <c r="LP35" s="230"/>
      <c r="LQ35" s="230"/>
      <c r="LR35" s="230"/>
      <c r="LS35" s="211"/>
      <c r="LT35" s="211"/>
      <c r="LU35" s="230"/>
      <c r="LV35" s="144"/>
      <c r="LW35" s="144"/>
      <c r="LX35" s="144"/>
      <c r="LY35" s="144"/>
      <c r="LZ35" s="204"/>
      <c r="MA35" s="204"/>
      <c r="MB35" s="144"/>
      <c r="MC35" s="144"/>
      <c r="MD35" s="144"/>
      <c r="ME35" s="144"/>
      <c r="MF35" s="144"/>
      <c r="MG35" s="204"/>
      <c r="MH35" s="204"/>
      <c r="MI35" s="144"/>
      <c r="MJ35" s="144"/>
      <c r="MK35" s="144"/>
      <c r="ML35" s="144"/>
      <c r="MM35" s="144"/>
      <c r="MN35" s="204"/>
      <c r="MO35" s="204"/>
      <c r="MP35" s="144"/>
      <c r="MQ35" s="144"/>
      <c r="MR35" s="144"/>
      <c r="MS35" s="144"/>
      <c r="MT35" s="144"/>
      <c r="MU35" s="204"/>
      <c r="MV35" s="204"/>
      <c r="MW35" s="144"/>
      <c r="MX35" s="144"/>
      <c r="MY35" s="144"/>
      <c r="MZ35" s="144"/>
      <c r="NA35" s="144"/>
      <c r="NB35" s="144"/>
      <c r="NC35" s="144"/>
      <c r="ND35" s="144"/>
    </row>
    <row r="36" spans="1:368" s="151" customFormat="1" ht="15" hidden="1" customHeight="1" thickBot="1">
      <c r="A36" s="470"/>
      <c r="B36" s="461"/>
      <c r="C36" s="167" t="s">
        <v>93</v>
      </c>
      <c r="D36" s="152"/>
      <c r="E36" s="152"/>
      <c r="F36" s="152"/>
      <c r="G36" s="152"/>
      <c r="H36" s="152"/>
      <c r="I36" s="195"/>
      <c r="J36" s="195"/>
      <c r="K36" s="152"/>
      <c r="L36" s="152"/>
      <c r="M36" s="152"/>
      <c r="N36" s="152"/>
      <c r="O36" s="152"/>
      <c r="P36" s="195"/>
      <c r="Q36" s="195"/>
      <c r="R36" s="152"/>
      <c r="S36" s="152"/>
      <c r="T36" s="152"/>
      <c r="U36" s="152"/>
      <c r="V36" s="152"/>
      <c r="W36" s="195"/>
      <c r="X36" s="195"/>
      <c r="Y36" s="152"/>
      <c r="Z36" s="152"/>
      <c r="AA36" s="152"/>
      <c r="AB36" s="152"/>
      <c r="AC36" s="152"/>
      <c r="AD36" s="195"/>
      <c r="AE36" s="195"/>
      <c r="AF36" s="152"/>
      <c r="AG36" s="152"/>
      <c r="AH36" s="152"/>
      <c r="AI36" s="152"/>
      <c r="AJ36" s="152"/>
      <c r="AK36" s="195"/>
      <c r="AL36" s="195"/>
      <c r="AM36" s="152"/>
      <c r="AN36" s="152"/>
      <c r="AO36" s="152"/>
      <c r="AP36" s="152"/>
      <c r="AQ36" s="152"/>
      <c r="AR36" s="195"/>
      <c r="AS36" s="195"/>
      <c r="AT36" s="152"/>
      <c r="AU36" s="152"/>
      <c r="AV36" s="152"/>
      <c r="AW36" s="152"/>
      <c r="AX36" s="152"/>
      <c r="AY36" s="195"/>
      <c r="AZ36" s="195"/>
      <c r="BA36" s="152"/>
      <c r="BB36" s="152"/>
      <c r="BC36" s="152"/>
      <c r="BD36" s="152"/>
      <c r="BE36" s="152"/>
      <c r="BF36" s="195"/>
      <c r="BG36" s="195"/>
      <c r="BH36" s="152"/>
      <c r="BI36" s="152"/>
      <c r="BJ36" s="152"/>
      <c r="BK36" s="152"/>
      <c r="BL36" s="152"/>
      <c r="BM36" s="195"/>
      <c r="BN36" s="195"/>
      <c r="BO36" s="152"/>
      <c r="BP36" s="152"/>
      <c r="BQ36" s="152"/>
      <c r="BR36" s="152"/>
      <c r="BS36" s="152"/>
      <c r="BT36" s="195"/>
      <c r="BU36" s="195"/>
      <c r="BV36" s="152"/>
      <c r="BW36" s="152"/>
      <c r="BX36" s="152"/>
      <c r="BY36" s="152"/>
      <c r="BZ36" s="152"/>
      <c r="CA36" s="195"/>
      <c r="CB36" s="195"/>
      <c r="CC36" s="152"/>
      <c r="CD36" s="152"/>
      <c r="CE36" s="152"/>
      <c r="CF36" s="152"/>
      <c r="CG36" s="152"/>
      <c r="CH36" s="195"/>
      <c r="CI36" s="195"/>
      <c r="CJ36" s="152"/>
      <c r="CK36" s="152"/>
      <c r="CL36" s="152"/>
      <c r="CM36" s="152"/>
      <c r="CN36" s="152"/>
      <c r="CO36" s="195"/>
      <c r="CP36" s="195"/>
      <c r="CQ36" s="152"/>
      <c r="CR36" s="152"/>
      <c r="CS36" s="152"/>
      <c r="CT36" s="152"/>
      <c r="CU36" s="152"/>
      <c r="CV36" s="195"/>
      <c r="CW36" s="195"/>
      <c r="CX36" s="152"/>
      <c r="CY36" s="152"/>
      <c r="CZ36" s="152"/>
      <c r="DA36" s="152"/>
      <c r="DB36" s="152"/>
      <c r="DC36" s="195"/>
      <c r="DD36" s="195"/>
      <c r="DE36" s="152"/>
      <c r="DF36" s="152"/>
      <c r="DG36" s="152"/>
      <c r="DH36" s="152"/>
      <c r="DI36" s="152"/>
      <c r="DJ36" s="195"/>
      <c r="DK36" s="195"/>
      <c r="DL36" s="152"/>
      <c r="DM36" s="152"/>
      <c r="DN36" s="152"/>
      <c r="DO36" s="152"/>
      <c r="DP36" s="152"/>
      <c r="DQ36" s="195"/>
      <c r="DR36" s="195"/>
      <c r="DS36" s="152"/>
      <c r="DT36" s="152"/>
      <c r="DU36" s="152"/>
      <c r="DV36" s="152"/>
      <c r="DW36" s="152"/>
      <c r="DX36" s="195"/>
      <c r="DY36" s="195"/>
      <c r="DZ36" s="152"/>
      <c r="EA36" s="152"/>
      <c r="EB36" s="152"/>
      <c r="EC36" s="152"/>
      <c r="ED36" s="152"/>
      <c r="EE36" s="195"/>
      <c r="EF36" s="195"/>
      <c r="EG36" s="152"/>
      <c r="EH36" s="152"/>
      <c r="EI36" s="152"/>
      <c r="EJ36" s="152"/>
      <c r="EK36" s="152"/>
      <c r="EL36" s="195"/>
      <c r="EM36" s="195"/>
      <c r="EN36" s="152"/>
      <c r="EO36" s="152"/>
      <c r="EP36" s="152"/>
      <c r="EQ36" s="152"/>
      <c r="ER36" s="152"/>
      <c r="ES36" s="195"/>
      <c r="ET36" s="195"/>
      <c r="EU36" s="152"/>
      <c r="EV36" s="152"/>
      <c r="EW36" s="152"/>
      <c r="EX36" s="152"/>
      <c r="EY36" s="152"/>
      <c r="EZ36" s="195"/>
      <c r="FA36" s="195"/>
      <c r="FB36" s="152"/>
      <c r="FC36" s="152"/>
      <c r="FD36" s="152"/>
      <c r="FE36" s="152"/>
      <c r="FF36" s="152"/>
      <c r="FG36" s="195"/>
      <c r="FH36" s="195"/>
      <c r="FI36" s="152"/>
      <c r="FJ36" s="152"/>
      <c r="FK36" s="152"/>
      <c r="FL36" s="152"/>
      <c r="FM36" s="152"/>
      <c r="FN36" s="195"/>
      <c r="FO36" s="195"/>
      <c r="FP36" s="152"/>
      <c r="FQ36" s="152"/>
      <c r="FR36" s="152"/>
      <c r="FS36" s="152"/>
      <c r="FT36" s="152"/>
      <c r="FU36" s="195"/>
      <c r="FV36" s="195"/>
      <c r="FW36" s="152"/>
      <c r="FX36" s="152"/>
      <c r="FY36" s="152"/>
      <c r="FZ36" s="152"/>
      <c r="GA36" s="152"/>
      <c r="GB36" s="195"/>
      <c r="GC36" s="195"/>
      <c r="GD36" s="153"/>
      <c r="GE36" s="153"/>
      <c r="GF36" s="153"/>
      <c r="GG36" s="153"/>
      <c r="GH36" s="153"/>
      <c r="GI36" s="195"/>
      <c r="GJ36" s="195"/>
      <c r="GK36" s="153"/>
      <c r="GL36" s="153"/>
      <c r="GM36" s="153"/>
      <c r="GN36" s="153"/>
      <c r="GO36" s="153"/>
      <c r="GP36" s="211"/>
      <c r="GQ36" s="211"/>
      <c r="GR36" s="153"/>
      <c r="GS36" s="153"/>
      <c r="GT36" s="153"/>
      <c r="GU36" s="153"/>
      <c r="GV36" s="153"/>
      <c r="GW36" s="211"/>
      <c r="GX36" s="211"/>
      <c r="GY36" s="153"/>
      <c r="GZ36" s="153"/>
      <c r="HA36" s="153"/>
      <c r="HB36" s="153"/>
      <c r="HC36" s="153"/>
      <c r="HD36" s="211"/>
      <c r="HE36" s="211"/>
      <c r="HF36" s="153"/>
      <c r="HG36" s="153"/>
      <c r="HH36" s="153"/>
      <c r="HI36" s="153"/>
      <c r="HJ36" s="153"/>
      <c r="HK36" s="211"/>
      <c r="HL36" s="211"/>
      <c r="HM36" s="153"/>
      <c r="HN36" s="153"/>
      <c r="HO36" s="153"/>
      <c r="HP36" s="153"/>
      <c r="HQ36" s="153"/>
      <c r="HR36" s="153"/>
      <c r="HS36" s="153"/>
      <c r="HT36" s="153"/>
      <c r="HU36" s="153"/>
      <c r="HV36" s="153"/>
      <c r="HW36" s="153"/>
      <c r="HX36" s="153"/>
      <c r="HY36" s="204"/>
      <c r="HZ36" s="204"/>
      <c r="IA36" s="153"/>
      <c r="IB36" s="153"/>
      <c r="IC36" s="153"/>
      <c r="ID36" s="153"/>
      <c r="IE36" s="153"/>
      <c r="IF36" s="204"/>
      <c r="IG36" s="204"/>
      <c r="IH36" s="153"/>
      <c r="II36" s="153"/>
      <c r="IJ36" s="153"/>
      <c r="IK36" s="153"/>
      <c r="IL36" s="153"/>
      <c r="IM36" s="204"/>
      <c r="IN36" s="204"/>
      <c r="IO36" s="153"/>
      <c r="IP36" s="153"/>
      <c r="IQ36" s="230"/>
      <c r="IR36" s="230"/>
      <c r="IS36" s="230"/>
      <c r="IT36" s="204"/>
      <c r="IU36" s="204"/>
      <c r="IV36" s="153"/>
      <c r="IW36" s="153"/>
      <c r="IX36" s="153"/>
      <c r="IY36" s="153"/>
      <c r="IZ36" s="153"/>
      <c r="JA36" s="204"/>
      <c r="JB36" s="204"/>
      <c r="JC36" s="233"/>
      <c r="JD36" s="233"/>
      <c r="JE36" s="153"/>
      <c r="JF36" s="153"/>
      <c r="JG36" s="153"/>
      <c r="JH36" s="204"/>
      <c r="JI36" s="204"/>
      <c r="JJ36" s="153"/>
      <c r="JK36" s="153"/>
      <c r="JL36" s="153"/>
      <c r="JM36" s="153"/>
      <c r="JN36" s="153"/>
      <c r="JO36" s="204"/>
      <c r="JP36" s="204"/>
      <c r="JQ36" s="153"/>
      <c r="JR36" s="153"/>
      <c r="JS36" s="153"/>
      <c r="JT36" s="153"/>
      <c r="JU36" s="153"/>
      <c r="JV36" s="204"/>
      <c r="JW36" s="204"/>
      <c r="JX36" s="153"/>
      <c r="JY36" s="153"/>
      <c r="JZ36" s="153"/>
      <c r="KA36" s="153"/>
      <c r="KB36" s="153"/>
      <c r="KC36" s="204"/>
      <c r="KD36" s="204"/>
      <c r="KE36" s="153"/>
      <c r="KF36" s="153"/>
      <c r="KG36" s="153"/>
      <c r="KH36" s="153"/>
      <c r="KI36" s="153"/>
      <c r="KJ36" s="195"/>
      <c r="KK36" s="195"/>
      <c r="KL36" s="153"/>
      <c r="KM36" s="153"/>
      <c r="KN36" s="153"/>
      <c r="KO36" s="153"/>
      <c r="KP36" s="195"/>
      <c r="KQ36" s="195"/>
      <c r="KR36" s="195"/>
      <c r="KS36" s="153"/>
      <c r="KT36" s="153"/>
      <c r="KU36" s="153"/>
      <c r="KV36" s="153"/>
      <c r="KW36" s="153"/>
      <c r="KX36" s="211"/>
      <c r="KY36" s="211"/>
      <c r="KZ36" s="195"/>
      <c r="LA36" s="195"/>
      <c r="LB36" s="195"/>
      <c r="LC36" s="195"/>
      <c r="LD36" s="195"/>
      <c r="LE36" s="211"/>
      <c r="LF36" s="211"/>
      <c r="LG36" s="230"/>
      <c r="LH36" s="230"/>
      <c r="LI36" s="230"/>
      <c r="LJ36" s="230"/>
      <c r="LK36" s="230"/>
      <c r="LL36" s="230"/>
      <c r="LM36" s="211"/>
      <c r="LN36" s="233"/>
      <c r="LO36" s="233"/>
      <c r="LP36" s="233"/>
      <c r="LQ36" s="233"/>
      <c r="LR36" s="233"/>
      <c r="LS36" s="211"/>
      <c r="LT36" s="211"/>
      <c r="LU36" s="233"/>
      <c r="LV36" s="153"/>
      <c r="LW36" s="153"/>
      <c r="LX36" s="153"/>
      <c r="LY36" s="153"/>
      <c r="LZ36" s="204"/>
      <c r="MA36" s="204"/>
      <c r="MB36" s="153"/>
      <c r="MC36" s="153"/>
      <c r="MD36" s="153"/>
      <c r="ME36" s="153"/>
      <c r="MF36" s="153"/>
      <c r="MG36" s="204"/>
      <c r="MH36" s="204"/>
      <c r="MI36" s="153"/>
      <c r="MJ36" s="153"/>
      <c r="MK36" s="153"/>
      <c r="ML36" s="153"/>
      <c r="MM36" s="153"/>
      <c r="MN36" s="204"/>
      <c r="MO36" s="204"/>
      <c r="MP36" s="153"/>
      <c r="MQ36" s="153"/>
      <c r="MR36" s="153"/>
      <c r="MS36" s="153"/>
      <c r="MT36" s="153"/>
      <c r="MU36" s="204"/>
      <c r="MV36" s="204"/>
      <c r="MW36" s="153"/>
      <c r="MX36" s="153"/>
      <c r="MY36" s="153"/>
      <c r="MZ36" s="153"/>
      <c r="NA36" s="153"/>
      <c r="NB36" s="153"/>
      <c r="NC36" s="153"/>
      <c r="ND36" s="153"/>
    </row>
    <row r="37" spans="1:368" s="146" customFormat="1" ht="15" customHeight="1" thickBot="1">
      <c r="A37" s="471"/>
      <c r="B37" s="458" t="s">
        <v>92</v>
      </c>
      <c r="C37" s="459"/>
      <c r="D37" s="155">
        <f t="shared" ref="D37:H37" si="30">SUM(D21:D35)</f>
        <v>0</v>
      </c>
      <c r="E37" s="155">
        <f t="shared" si="30"/>
        <v>0</v>
      </c>
      <c r="F37" s="155">
        <f t="shared" si="30"/>
        <v>0</v>
      </c>
      <c r="G37" s="155">
        <f t="shared" si="30"/>
        <v>0</v>
      </c>
      <c r="H37" s="155">
        <f t="shared" si="30"/>
        <v>0</v>
      </c>
      <c r="I37" s="195"/>
      <c r="J37" s="195"/>
      <c r="K37" s="155">
        <f t="shared" ref="K37:O37" si="31">SUM(K21:K35)</f>
        <v>0</v>
      </c>
      <c r="L37" s="155">
        <f t="shared" si="31"/>
        <v>0</v>
      </c>
      <c r="M37" s="155">
        <f t="shared" si="31"/>
        <v>0</v>
      </c>
      <c r="N37" s="155">
        <f t="shared" si="31"/>
        <v>0</v>
      </c>
      <c r="O37" s="155">
        <f t="shared" si="31"/>
        <v>0</v>
      </c>
      <c r="P37" s="195"/>
      <c r="Q37" s="195"/>
      <c r="R37" s="155">
        <f t="shared" ref="R37:V37" si="32">SUM(R21:R35)</f>
        <v>0</v>
      </c>
      <c r="S37" s="155">
        <f t="shared" si="32"/>
        <v>0</v>
      </c>
      <c r="T37" s="155">
        <f t="shared" si="32"/>
        <v>0</v>
      </c>
      <c r="U37" s="155">
        <f t="shared" si="32"/>
        <v>0</v>
      </c>
      <c r="V37" s="155">
        <f t="shared" si="32"/>
        <v>0</v>
      </c>
      <c r="W37" s="195"/>
      <c r="X37" s="195"/>
      <c r="Y37" s="155">
        <f t="shared" ref="Y37:AC37" si="33">SUM(Y21:Y35)</f>
        <v>0</v>
      </c>
      <c r="Z37" s="155">
        <f t="shared" si="33"/>
        <v>0</v>
      </c>
      <c r="AA37" s="155">
        <f t="shared" si="33"/>
        <v>0</v>
      </c>
      <c r="AB37" s="155">
        <f t="shared" si="33"/>
        <v>0</v>
      </c>
      <c r="AC37" s="155">
        <f t="shared" si="33"/>
        <v>0</v>
      </c>
      <c r="AD37" s="195"/>
      <c r="AE37" s="195"/>
      <c r="AF37" s="155">
        <f t="shared" ref="AF37:AJ37" si="34">SUM(AF21:AF35)</f>
        <v>0</v>
      </c>
      <c r="AG37" s="155">
        <f t="shared" si="34"/>
        <v>0</v>
      </c>
      <c r="AH37" s="155">
        <f t="shared" si="34"/>
        <v>0</v>
      </c>
      <c r="AI37" s="155">
        <f t="shared" si="34"/>
        <v>0</v>
      </c>
      <c r="AJ37" s="155">
        <f t="shared" si="34"/>
        <v>0</v>
      </c>
      <c r="AK37" s="195"/>
      <c r="AL37" s="195"/>
      <c r="AM37" s="155">
        <f t="shared" ref="AM37:AQ37" si="35">SUM(AM21:AM35)</f>
        <v>0</v>
      </c>
      <c r="AN37" s="155">
        <f t="shared" si="35"/>
        <v>0</v>
      </c>
      <c r="AO37" s="155">
        <f t="shared" si="35"/>
        <v>0</v>
      </c>
      <c r="AP37" s="155">
        <f t="shared" si="35"/>
        <v>0</v>
      </c>
      <c r="AQ37" s="155">
        <f t="shared" si="35"/>
        <v>0</v>
      </c>
      <c r="AR37" s="195"/>
      <c r="AS37" s="195"/>
      <c r="AT37" s="155">
        <f t="shared" ref="AT37:AX37" si="36">SUM(AT21:AT35)</f>
        <v>0</v>
      </c>
      <c r="AU37" s="155">
        <f t="shared" si="36"/>
        <v>0</v>
      </c>
      <c r="AV37" s="155">
        <f t="shared" si="36"/>
        <v>0</v>
      </c>
      <c r="AW37" s="155">
        <f t="shared" si="36"/>
        <v>0</v>
      </c>
      <c r="AX37" s="155">
        <f t="shared" si="36"/>
        <v>0</v>
      </c>
      <c r="AY37" s="195"/>
      <c r="AZ37" s="195"/>
      <c r="BA37" s="155">
        <f t="shared" ref="BA37:BE37" si="37">SUM(BA21:BA35)</f>
        <v>0</v>
      </c>
      <c r="BB37" s="155">
        <f t="shared" si="37"/>
        <v>0</v>
      </c>
      <c r="BC37" s="155">
        <f t="shared" si="37"/>
        <v>0</v>
      </c>
      <c r="BD37" s="155">
        <f t="shared" si="37"/>
        <v>0</v>
      </c>
      <c r="BE37" s="155">
        <f t="shared" si="37"/>
        <v>0</v>
      </c>
      <c r="BF37" s="195"/>
      <c r="BG37" s="195"/>
      <c r="BH37" s="155">
        <f t="shared" ref="BH37:BL37" si="38">SUM(BH21:BH35)</f>
        <v>0</v>
      </c>
      <c r="BI37" s="155">
        <f t="shared" si="38"/>
        <v>0</v>
      </c>
      <c r="BJ37" s="155">
        <f t="shared" si="38"/>
        <v>0</v>
      </c>
      <c r="BK37" s="155">
        <f t="shared" si="38"/>
        <v>0</v>
      </c>
      <c r="BL37" s="155">
        <f t="shared" si="38"/>
        <v>0</v>
      </c>
      <c r="BM37" s="195"/>
      <c r="BN37" s="195"/>
      <c r="BO37" s="155">
        <f t="shared" ref="BO37:BS37" si="39">SUM(BO21:BO35)</f>
        <v>0</v>
      </c>
      <c r="BP37" s="155">
        <f t="shared" si="39"/>
        <v>0</v>
      </c>
      <c r="BQ37" s="155">
        <f t="shared" si="39"/>
        <v>0</v>
      </c>
      <c r="BR37" s="155">
        <f t="shared" si="39"/>
        <v>0</v>
      </c>
      <c r="BS37" s="155">
        <f t="shared" si="39"/>
        <v>0</v>
      </c>
      <c r="BT37" s="195"/>
      <c r="BU37" s="195"/>
      <c r="BV37" s="155">
        <f t="shared" ref="BV37:BZ37" si="40">SUM(BV21:BV35)</f>
        <v>0</v>
      </c>
      <c r="BW37" s="155">
        <f t="shared" si="40"/>
        <v>0</v>
      </c>
      <c r="BX37" s="155">
        <f t="shared" si="40"/>
        <v>0</v>
      </c>
      <c r="BY37" s="155">
        <f t="shared" si="40"/>
        <v>0</v>
      </c>
      <c r="BZ37" s="155">
        <f t="shared" si="40"/>
        <v>0</v>
      </c>
      <c r="CA37" s="195"/>
      <c r="CB37" s="195"/>
      <c r="CC37" s="155">
        <f t="shared" ref="CC37:CG37" si="41">SUM(CC21:CC35)</f>
        <v>0</v>
      </c>
      <c r="CD37" s="155">
        <f t="shared" si="41"/>
        <v>0</v>
      </c>
      <c r="CE37" s="155">
        <f t="shared" si="41"/>
        <v>0</v>
      </c>
      <c r="CF37" s="155">
        <f t="shared" si="41"/>
        <v>0</v>
      </c>
      <c r="CG37" s="155">
        <f t="shared" si="41"/>
        <v>0</v>
      </c>
      <c r="CH37" s="195"/>
      <c r="CI37" s="195"/>
      <c r="CJ37" s="155">
        <f t="shared" ref="CJ37:CN37" si="42">SUM(CJ21:CJ35)</f>
        <v>0</v>
      </c>
      <c r="CK37" s="155">
        <f t="shared" si="42"/>
        <v>0</v>
      </c>
      <c r="CL37" s="155">
        <f t="shared" si="42"/>
        <v>0</v>
      </c>
      <c r="CM37" s="155">
        <f t="shared" si="42"/>
        <v>0</v>
      </c>
      <c r="CN37" s="155">
        <f t="shared" si="42"/>
        <v>0</v>
      </c>
      <c r="CO37" s="195"/>
      <c r="CP37" s="195"/>
      <c r="CQ37" s="155">
        <f t="shared" ref="CQ37:CU37" si="43">SUM(CQ21:CQ35)</f>
        <v>0</v>
      </c>
      <c r="CR37" s="155">
        <f t="shared" si="43"/>
        <v>0</v>
      </c>
      <c r="CS37" s="155">
        <f t="shared" si="43"/>
        <v>0</v>
      </c>
      <c r="CT37" s="155">
        <f t="shared" si="43"/>
        <v>0</v>
      </c>
      <c r="CU37" s="155">
        <f t="shared" si="43"/>
        <v>0</v>
      </c>
      <c r="CV37" s="195"/>
      <c r="CW37" s="195"/>
      <c r="CX37" s="155">
        <f t="shared" ref="CX37:DB37" si="44">SUM(CX21:CX35)</f>
        <v>0</v>
      </c>
      <c r="CY37" s="155">
        <f t="shared" si="44"/>
        <v>0</v>
      </c>
      <c r="CZ37" s="155">
        <f t="shared" si="44"/>
        <v>0</v>
      </c>
      <c r="DA37" s="155">
        <f t="shared" si="44"/>
        <v>0</v>
      </c>
      <c r="DB37" s="155">
        <f t="shared" si="44"/>
        <v>0</v>
      </c>
      <c r="DC37" s="195"/>
      <c r="DD37" s="195"/>
      <c r="DE37" s="155">
        <f t="shared" ref="DE37:DI37" si="45">SUM(DE21:DE35)</f>
        <v>0</v>
      </c>
      <c r="DF37" s="155">
        <f t="shared" si="45"/>
        <v>0</v>
      </c>
      <c r="DG37" s="155">
        <f t="shared" si="45"/>
        <v>0</v>
      </c>
      <c r="DH37" s="155">
        <f t="shared" si="45"/>
        <v>0</v>
      </c>
      <c r="DI37" s="155">
        <f t="shared" si="45"/>
        <v>0</v>
      </c>
      <c r="DJ37" s="195"/>
      <c r="DK37" s="195"/>
      <c r="DL37" s="155">
        <f t="shared" ref="DL37:DP37" si="46">SUM(DL21:DL35)</f>
        <v>0</v>
      </c>
      <c r="DM37" s="155">
        <f t="shared" si="46"/>
        <v>0</v>
      </c>
      <c r="DN37" s="155">
        <f t="shared" si="46"/>
        <v>0</v>
      </c>
      <c r="DO37" s="155">
        <f t="shared" si="46"/>
        <v>0</v>
      </c>
      <c r="DP37" s="155">
        <f t="shared" si="46"/>
        <v>0</v>
      </c>
      <c r="DQ37" s="195"/>
      <c r="DR37" s="195"/>
      <c r="DS37" s="155">
        <f t="shared" ref="DS37:DW37" si="47">SUM(DS21:DS35)</f>
        <v>0</v>
      </c>
      <c r="DT37" s="155">
        <f t="shared" si="47"/>
        <v>0</v>
      </c>
      <c r="DU37" s="155">
        <f t="shared" si="47"/>
        <v>0</v>
      </c>
      <c r="DV37" s="155">
        <f t="shared" si="47"/>
        <v>0</v>
      </c>
      <c r="DW37" s="155">
        <f t="shared" si="47"/>
        <v>0</v>
      </c>
      <c r="DX37" s="195"/>
      <c r="DY37" s="195"/>
      <c r="DZ37" s="155">
        <f t="shared" ref="DZ37:ED37" si="48">SUM(DZ21:DZ35)</f>
        <v>0</v>
      </c>
      <c r="EA37" s="155">
        <f t="shared" si="48"/>
        <v>0</v>
      </c>
      <c r="EB37" s="155">
        <f t="shared" si="48"/>
        <v>0</v>
      </c>
      <c r="EC37" s="155">
        <f t="shared" si="48"/>
        <v>0</v>
      </c>
      <c r="ED37" s="155">
        <f t="shared" si="48"/>
        <v>0</v>
      </c>
      <c r="EE37" s="195"/>
      <c r="EF37" s="195"/>
      <c r="EG37" s="155">
        <f t="shared" ref="EG37:EK37" si="49">SUM(EG21:EG35)</f>
        <v>0</v>
      </c>
      <c r="EH37" s="155">
        <f t="shared" si="49"/>
        <v>0</v>
      </c>
      <c r="EI37" s="155">
        <f t="shared" si="49"/>
        <v>0</v>
      </c>
      <c r="EJ37" s="155">
        <f t="shared" si="49"/>
        <v>0</v>
      </c>
      <c r="EK37" s="155">
        <f t="shared" si="49"/>
        <v>0</v>
      </c>
      <c r="EL37" s="195"/>
      <c r="EM37" s="195"/>
      <c r="EN37" s="155">
        <f t="shared" ref="EN37:ER37" si="50">SUM(EN21:EN35)</f>
        <v>0</v>
      </c>
      <c r="EO37" s="155">
        <f t="shared" si="50"/>
        <v>0</v>
      </c>
      <c r="EP37" s="155">
        <f t="shared" si="50"/>
        <v>0</v>
      </c>
      <c r="EQ37" s="155">
        <f t="shared" si="50"/>
        <v>0</v>
      </c>
      <c r="ER37" s="155">
        <f t="shared" si="50"/>
        <v>0</v>
      </c>
      <c r="ES37" s="195"/>
      <c r="ET37" s="195"/>
      <c r="EU37" s="155">
        <f t="shared" ref="EU37:EY37" si="51">SUM(EU21:EU35)</f>
        <v>0</v>
      </c>
      <c r="EV37" s="155">
        <f t="shared" si="51"/>
        <v>0</v>
      </c>
      <c r="EW37" s="155">
        <f t="shared" si="51"/>
        <v>0</v>
      </c>
      <c r="EX37" s="155">
        <f t="shared" si="51"/>
        <v>0</v>
      </c>
      <c r="EY37" s="155">
        <f t="shared" si="51"/>
        <v>0</v>
      </c>
      <c r="EZ37" s="195"/>
      <c r="FA37" s="195"/>
      <c r="FB37" s="155">
        <f t="shared" ref="FB37:FF37" si="52">SUM(FB21:FB35)</f>
        <v>0</v>
      </c>
      <c r="FC37" s="155">
        <f t="shared" si="52"/>
        <v>0</v>
      </c>
      <c r="FD37" s="155">
        <f t="shared" si="52"/>
        <v>0</v>
      </c>
      <c r="FE37" s="155">
        <f t="shared" si="52"/>
        <v>0</v>
      </c>
      <c r="FF37" s="155">
        <f t="shared" si="52"/>
        <v>0</v>
      </c>
      <c r="FG37" s="195"/>
      <c r="FH37" s="195"/>
      <c r="FI37" s="155">
        <f t="shared" ref="FI37:FM37" si="53">SUM(FI21:FI35)</f>
        <v>0</v>
      </c>
      <c r="FJ37" s="155">
        <f t="shared" si="53"/>
        <v>0</v>
      </c>
      <c r="FK37" s="155">
        <f t="shared" si="53"/>
        <v>0</v>
      </c>
      <c r="FL37" s="155">
        <f t="shared" si="53"/>
        <v>0</v>
      </c>
      <c r="FM37" s="155">
        <f t="shared" si="53"/>
        <v>0</v>
      </c>
      <c r="FN37" s="195"/>
      <c r="FO37" s="195"/>
      <c r="FP37" s="155">
        <f t="shared" ref="FP37:FT37" si="54">SUM(FP21:FP35)</f>
        <v>0</v>
      </c>
      <c r="FQ37" s="155">
        <f t="shared" si="54"/>
        <v>0</v>
      </c>
      <c r="FR37" s="155">
        <f t="shared" si="54"/>
        <v>0</v>
      </c>
      <c r="FS37" s="155">
        <f t="shared" si="54"/>
        <v>0</v>
      </c>
      <c r="FT37" s="155">
        <f t="shared" si="54"/>
        <v>0</v>
      </c>
      <c r="FU37" s="195"/>
      <c r="FV37" s="195"/>
      <c r="FW37" s="155">
        <f t="shared" ref="FW37:HJ37" si="55">SUM(FW21:FW35)</f>
        <v>0</v>
      </c>
      <c r="FX37" s="155">
        <f t="shared" si="55"/>
        <v>0</v>
      </c>
      <c r="FY37" s="155">
        <f t="shared" si="55"/>
        <v>0</v>
      </c>
      <c r="FZ37" s="155">
        <f t="shared" si="55"/>
        <v>0</v>
      </c>
      <c r="GA37" s="155">
        <f t="shared" si="55"/>
        <v>0</v>
      </c>
      <c r="GB37" s="155">
        <f t="shared" si="55"/>
        <v>0</v>
      </c>
      <c r="GC37" s="155">
        <f t="shared" si="55"/>
        <v>0</v>
      </c>
      <c r="GD37" s="155">
        <f t="shared" si="55"/>
        <v>0</v>
      </c>
      <c r="GE37" s="155">
        <f t="shared" si="55"/>
        <v>0</v>
      </c>
      <c r="GF37" s="155">
        <f t="shared" si="55"/>
        <v>0</v>
      </c>
      <c r="GG37" s="155">
        <f t="shared" si="55"/>
        <v>0</v>
      </c>
      <c r="GH37" s="155">
        <f t="shared" si="55"/>
        <v>0</v>
      </c>
      <c r="GI37" s="196">
        <f t="shared" si="55"/>
        <v>0</v>
      </c>
      <c r="GJ37" s="196">
        <f t="shared" si="55"/>
        <v>0</v>
      </c>
      <c r="GK37" s="155">
        <f t="shared" si="55"/>
        <v>0</v>
      </c>
      <c r="GL37" s="155">
        <f t="shared" si="55"/>
        <v>0</v>
      </c>
      <c r="GM37" s="155">
        <f t="shared" si="55"/>
        <v>0</v>
      </c>
      <c r="GN37" s="155">
        <f t="shared" si="55"/>
        <v>0</v>
      </c>
      <c r="GO37" s="155">
        <f t="shared" si="55"/>
        <v>0</v>
      </c>
      <c r="GP37" s="212">
        <f t="shared" si="55"/>
        <v>0</v>
      </c>
      <c r="GQ37" s="212">
        <f t="shared" si="55"/>
        <v>0</v>
      </c>
      <c r="GR37" s="155">
        <f t="shared" si="55"/>
        <v>0</v>
      </c>
      <c r="GS37" s="155">
        <f t="shared" si="55"/>
        <v>0</v>
      </c>
      <c r="GT37" s="155">
        <f t="shared" si="55"/>
        <v>0</v>
      </c>
      <c r="GU37" s="155">
        <f t="shared" si="55"/>
        <v>0</v>
      </c>
      <c r="GV37" s="155">
        <f t="shared" si="55"/>
        <v>0</v>
      </c>
      <c r="GW37" s="212">
        <f t="shared" si="55"/>
        <v>0</v>
      </c>
      <c r="GX37" s="212">
        <f t="shared" si="55"/>
        <v>0</v>
      </c>
      <c r="GY37" s="155">
        <f t="shared" si="55"/>
        <v>0</v>
      </c>
      <c r="GZ37" s="155">
        <f t="shared" si="55"/>
        <v>0</v>
      </c>
      <c r="HA37" s="155">
        <f t="shared" si="55"/>
        <v>0</v>
      </c>
      <c r="HB37" s="155">
        <f t="shared" si="55"/>
        <v>0</v>
      </c>
      <c r="HC37" s="155">
        <f t="shared" si="55"/>
        <v>0</v>
      </c>
      <c r="HD37" s="212">
        <f t="shared" si="55"/>
        <v>0</v>
      </c>
      <c r="HE37" s="212">
        <f t="shared" si="55"/>
        <v>0</v>
      </c>
      <c r="HF37" s="155">
        <f t="shared" si="55"/>
        <v>0</v>
      </c>
      <c r="HG37" s="155">
        <f t="shared" si="55"/>
        <v>0</v>
      </c>
      <c r="HH37" s="155">
        <f t="shared" si="55"/>
        <v>0</v>
      </c>
      <c r="HI37" s="155">
        <f t="shared" si="55"/>
        <v>0</v>
      </c>
      <c r="HJ37" s="155">
        <f t="shared" si="55"/>
        <v>0</v>
      </c>
      <c r="HK37" s="211"/>
      <c r="HL37" s="211"/>
      <c r="HM37" s="145">
        <f>SUM(HM21:HM35)</f>
        <v>0</v>
      </c>
      <c r="HN37" s="145">
        <f t="shared" ref="HN37:JY37" si="56">SUM(HN21:HN35)</f>
        <v>0</v>
      </c>
      <c r="HO37" s="145">
        <f t="shared" si="56"/>
        <v>0</v>
      </c>
      <c r="HP37" s="145">
        <f t="shared" si="56"/>
        <v>0</v>
      </c>
      <c r="HQ37" s="145">
        <f t="shared" si="56"/>
        <v>0</v>
      </c>
      <c r="HR37" s="145">
        <f t="shared" si="56"/>
        <v>0</v>
      </c>
      <c r="HS37" s="145">
        <f t="shared" si="56"/>
        <v>0</v>
      </c>
      <c r="HT37" s="145">
        <f t="shared" si="56"/>
        <v>0</v>
      </c>
      <c r="HU37" s="145">
        <f t="shared" si="56"/>
        <v>0</v>
      </c>
      <c r="HV37" s="145">
        <f t="shared" si="56"/>
        <v>0</v>
      </c>
      <c r="HW37" s="145">
        <f t="shared" si="56"/>
        <v>0</v>
      </c>
      <c r="HX37" s="145">
        <f t="shared" si="56"/>
        <v>0</v>
      </c>
      <c r="HY37" s="145">
        <f t="shared" si="56"/>
        <v>0</v>
      </c>
      <c r="HZ37" s="145">
        <f t="shared" si="56"/>
        <v>0</v>
      </c>
      <c r="IA37" s="145">
        <f t="shared" si="56"/>
        <v>0</v>
      </c>
      <c r="IB37" s="145">
        <f t="shared" si="56"/>
        <v>0</v>
      </c>
      <c r="IC37" s="145">
        <f t="shared" si="56"/>
        <v>0</v>
      </c>
      <c r="ID37" s="145">
        <f t="shared" si="56"/>
        <v>0</v>
      </c>
      <c r="IE37" s="145">
        <f t="shared" si="56"/>
        <v>0</v>
      </c>
      <c r="IF37" s="145">
        <f t="shared" si="56"/>
        <v>0</v>
      </c>
      <c r="IG37" s="145">
        <f t="shared" si="56"/>
        <v>0</v>
      </c>
      <c r="IH37" s="145">
        <f t="shared" si="56"/>
        <v>0</v>
      </c>
      <c r="II37" s="145">
        <f t="shared" si="56"/>
        <v>0</v>
      </c>
      <c r="IJ37" s="145">
        <f t="shared" si="56"/>
        <v>0</v>
      </c>
      <c r="IK37" s="145">
        <f t="shared" si="56"/>
        <v>0</v>
      </c>
      <c r="IL37" s="145">
        <f t="shared" si="56"/>
        <v>0</v>
      </c>
      <c r="IM37" s="145">
        <f t="shared" si="56"/>
        <v>0</v>
      </c>
      <c r="IN37" s="145">
        <f t="shared" si="56"/>
        <v>0</v>
      </c>
      <c r="IO37" s="145">
        <f t="shared" si="56"/>
        <v>0</v>
      </c>
      <c r="IP37" s="145">
        <f t="shared" si="56"/>
        <v>0</v>
      </c>
      <c r="IQ37" s="145">
        <f t="shared" si="56"/>
        <v>0</v>
      </c>
      <c r="IR37" s="145">
        <f t="shared" si="56"/>
        <v>0</v>
      </c>
      <c r="IS37" s="145">
        <f t="shared" si="56"/>
        <v>0</v>
      </c>
      <c r="IT37" s="145">
        <f t="shared" si="56"/>
        <v>0</v>
      </c>
      <c r="IU37" s="145">
        <f t="shared" si="56"/>
        <v>0</v>
      </c>
      <c r="IV37" s="145">
        <f t="shared" si="56"/>
        <v>0</v>
      </c>
      <c r="IW37" s="145">
        <f t="shared" si="56"/>
        <v>0</v>
      </c>
      <c r="IX37" s="145">
        <f t="shared" si="56"/>
        <v>0</v>
      </c>
      <c r="IY37" s="145">
        <f t="shared" si="56"/>
        <v>0</v>
      </c>
      <c r="IZ37" s="145">
        <f t="shared" si="56"/>
        <v>0</v>
      </c>
      <c r="JA37" s="145">
        <f t="shared" si="56"/>
        <v>0</v>
      </c>
      <c r="JB37" s="145">
        <f t="shared" si="56"/>
        <v>0</v>
      </c>
      <c r="JC37" s="145">
        <f t="shared" si="56"/>
        <v>0</v>
      </c>
      <c r="JD37" s="145">
        <f t="shared" si="56"/>
        <v>0</v>
      </c>
      <c r="JE37" s="145">
        <f t="shared" si="56"/>
        <v>0</v>
      </c>
      <c r="JF37" s="145">
        <f t="shared" si="56"/>
        <v>0</v>
      </c>
      <c r="JG37" s="145">
        <f t="shared" si="56"/>
        <v>0</v>
      </c>
      <c r="JH37" s="145">
        <f t="shared" si="56"/>
        <v>0</v>
      </c>
      <c r="JI37" s="145">
        <f t="shared" si="56"/>
        <v>0</v>
      </c>
      <c r="JJ37" s="145">
        <f t="shared" si="56"/>
        <v>0</v>
      </c>
      <c r="JK37" s="145">
        <f t="shared" si="56"/>
        <v>0</v>
      </c>
      <c r="JL37" s="145">
        <f t="shared" si="56"/>
        <v>0</v>
      </c>
      <c r="JM37" s="145">
        <f t="shared" si="56"/>
        <v>0</v>
      </c>
      <c r="JN37" s="145">
        <f t="shared" si="56"/>
        <v>0</v>
      </c>
      <c r="JO37" s="145">
        <f t="shared" si="56"/>
        <v>0</v>
      </c>
      <c r="JP37" s="145">
        <f t="shared" si="56"/>
        <v>0</v>
      </c>
      <c r="JQ37" s="145">
        <f t="shared" si="56"/>
        <v>0</v>
      </c>
      <c r="JR37" s="145">
        <f t="shared" si="56"/>
        <v>0</v>
      </c>
      <c r="JS37" s="145">
        <f t="shared" si="56"/>
        <v>0</v>
      </c>
      <c r="JT37" s="145">
        <f t="shared" si="56"/>
        <v>0</v>
      </c>
      <c r="JU37" s="145">
        <f t="shared" si="56"/>
        <v>0</v>
      </c>
      <c r="JV37" s="145">
        <f t="shared" si="56"/>
        <v>0</v>
      </c>
      <c r="JW37" s="145">
        <f t="shared" si="56"/>
        <v>0</v>
      </c>
      <c r="JX37" s="145">
        <f t="shared" si="56"/>
        <v>0</v>
      </c>
      <c r="JY37" s="145">
        <f t="shared" si="56"/>
        <v>0</v>
      </c>
      <c r="JZ37" s="145">
        <f t="shared" ref="JZ37:MK37" si="57">SUM(JZ21:JZ35)</f>
        <v>0</v>
      </c>
      <c r="KA37" s="145">
        <f t="shared" si="57"/>
        <v>0</v>
      </c>
      <c r="KB37" s="145">
        <f t="shared" si="57"/>
        <v>0</v>
      </c>
      <c r="KC37" s="145">
        <f t="shared" si="57"/>
        <v>0</v>
      </c>
      <c r="KD37" s="145">
        <f t="shared" si="57"/>
        <v>0</v>
      </c>
      <c r="KE37" s="145">
        <f t="shared" si="57"/>
        <v>0</v>
      </c>
      <c r="KF37" s="145">
        <f t="shared" si="57"/>
        <v>0</v>
      </c>
      <c r="KG37" s="145">
        <f t="shared" si="57"/>
        <v>0</v>
      </c>
      <c r="KH37" s="145">
        <f t="shared" si="57"/>
        <v>0</v>
      </c>
      <c r="KI37" s="145">
        <f t="shared" si="57"/>
        <v>0</v>
      </c>
      <c r="KJ37" s="145">
        <f t="shared" si="57"/>
        <v>0</v>
      </c>
      <c r="KK37" s="145">
        <f t="shared" si="57"/>
        <v>0</v>
      </c>
      <c r="KL37" s="145">
        <f t="shared" si="57"/>
        <v>0</v>
      </c>
      <c r="KM37" s="145">
        <f t="shared" si="57"/>
        <v>0</v>
      </c>
      <c r="KN37" s="145">
        <f t="shared" si="57"/>
        <v>0</v>
      </c>
      <c r="KO37" s="145">
        <f t="shared" si="57"/>
        <v>0</v>
      </c>
      <c r="KP37" s="145">
        <f t="shared" si="57"/>
        <v>0</v>
      </c>
      <c r="KQ37" s="145">
        <f t="shared" si="57"/>
        <v>0</v>
      </c>
      <c r="KR37" s="145">
        <f t="shared" si="57"/>
        <v>0</v>
      </c>
      <c r="KS37" s="145">
        <f t="shared" si="57"/>
        <v>0</v>
      </c>
      <c r="KT37" s="145">
        <f t="shared" si="57"/>
        <v>0</v>
      </c>
      <c r="KU37" s="145">
        <f t="shared" si="57"/>
        <v>0</v>
      </c>
      <c r="KV37" s="145">
        <f t="shared" si="57"/>
        <v>0</v>
      </c>
      <c r="KW37" s="145">
        <f t="shared" si="57"/>
        <v>0</v>
      </c>
      <c r="KX37" s="145">
        <f t="shared" si="57"/>
        <v>0</v>
      </c>
      <c r="KY37" s="145">
        <f t="shared" si="57"/>
        <v>0</v>
      </c>
      <c r="KZ37" s="195">
        <f t="shared" si="57"/>
        <v>0</v>
      </c>
      <c r="LA37" s="195">
        <f t="shared" si="57"/>
        <v>0</v>
      </c>
      <c r="LB37" s="195">
        <f t="shared" si="57"/>
        <v>0</v>
      </c>
      <c r="LC37" s="195">
        <f t="shared" si="57"/>
        <v>0</v>
      </c>
      <c r="LD37" s="195">
        <f t="shared" si="57"/>
        <v>0</v>
      </c>
      <c r="LE37" s="145">
        <f t="shared" si="57"/>
        <v>0</v>
      </c>
      <c r="LF37" s="145">
        <f t="shared" si="57"/>
        <v>0</v>
      </c>
      <c r="LG37" s="211">
        <f t="shared" si="57"/>
        <v>0</v>
      </c>
      <c r="LH37" s="211">
        <f t="shared" si="57"/>
        <v>0</v>
      </c>
      <c r="LI37" s="211">
        <f t="shared" si="57"/>
        <v>0</v>
      </c>
      <c r="LJ37" s="211">
        <f t="shared" si="57"/>
        <v>0</v>
      </c>
      <c r="LK37" s="211">
        <f t="shared" si="57"/>
        <v>0</v>
      </c>
      <c r="LL37" s="211">
        <f t="shared" si="57"/>
        <v>0</v>
      </c>
      <c r="LM37" s="211">
        <f t="shared" si="57"/>
        <v>0</v>
      </c>
      <c r="LN37" s="145">
        <f t="shared" si="57"/>
        <v>0</v>
      </c>
      <c r="LO37" s="145">
        <f t="shared" si="57"/>
        <v>0</v>
      </c>
      <c r="LP37" s="145">
        <f t="shared" si="57"/>
        <v>0</v>
      </c>
      <c r="LQ37" s="145">
        <f t="shared" si="57"/>
        <v>0</v>
      </c>
      <c r="LR37" s="145">
        <f t="shared" si="57"/>
        <v>0</v>
      </c>
      <c r="LS37" s="211">
        <f t="shared" si="57"/>
        <v>0</v>
      </c>
      <c r="LT37" s="211">
        <f t="shared" si="57"/>
        <v>0</v>
      </c>
      <c r="LU37" s="145">
        <f t="shared" si="57"/>
        <v>0</v>
      </c>
      <c r="LV37" s="145">
        <f t="shared" si="57"/>
        <v>0</v>
      </c>
      <c r="LW37" s="145">
        <f t="shared" si="57"/>
        <v>0</v>
      </c>
      <c r="LX37" s="145">
        <f t="shared" si="57"/>
        <v>0</v>
      </c>
      <c r="LY37" s="145">
        <f t="shared" si="57"/>
        <v>0</v>
      </c>
      <c r="LZ37" s="145">
        <f t="shared" si="57"/>
        <v>0</v>
      </c>
      <c r="MA37" s="145">
        <f t="shared" si="57"/>
        <v>0</v>
      </c>
      <c r="MB37" s="145">
        <f t="shared" si="57"/>
        <v>0</v>
      </c>
      <c r="MC37" s="145">
        <f t="shared" si="57"/>
        <v>0</v>
      </c>
      <c r="MD37" s="145">
        <f t="shared" si="57"/>
        <v>0</v>
      </c>
      <c r="ME37" s="145">
        <f t="shared" si="57"/>
        <v>0</v>
      </c>
      <c r="MF37" s="145">
        <f t="shared" si="57"/>
        <v>0</v>
      </c>
      <c r="MG37" s="145">
        <f t="shared" si="57"/>
        <v>0</v>
      </c>
      <c r="MH37" s="145">
        <f t="shared" si="57"/>
        <v>0</v>
      </c>
      <c r="MI37" s="145">
        <f t="shared" si="57"/>
        <v>0</v>
      </c>
      <c r="MJ37" s="145">
        <f t="shared" si="57"/>
        <v>0</v>
      </c>
      <c r="MK37" s="145">
        <f t="shared" si="57"/>
        <v>0</v>
      </c>
      <c r="ML37" s="145">
        <f t="shared" ref="ML37:NA37" si="58">SUM(ML21:ML35)</f>
        <v>0</v>
      </c>
      <c r="MM37" s="145">
        <f t="shared" si="58"/>
        <v>0</v>
      </c>
      <c r="MN37" s="145">
        <f t="shared" si="58"/>
        <v>0</v>
      </c>
      <c r="MO37" s="145">
        <f t="shared" si="58"/>
        <v>0</v>
      </c>
      <c r="MP37" s="145">
        <f t="shared" si="58"/>
        <v>0</v>
      </c>
      <c r="MQ37" s="145">
        <f t="shared" si="58"/>
        <v>0</v>
      </c>
      <c r="MR37" s="145">
        <f t="shared" si="58"/>
        <v>0</v>
      </c>
      <c r="MS37" s="145">
        <f t="shared" si="58"/>
        <v>0</v>
      </c>
      <c r="MT37" s="145">
        <f t="shared" si="58"/>
        <v>0</v>
      </c>
      <c r="MU37" s="145">
        <f t="shared" si="58"/>
        <v>0</v>
      </c>
      <c r="MV37" s="145">
        <f t="shared" si="58"/>
        <v>0</v>
      </c>
      <c r="MW37" s="145">
        <f t="shared" si="58"/>
        <v>0</v>
      </c>
      <c r="MX37" s="145">
        <f t="shared" si="58"/>
        <v>0</v>
      </c>
      <c r="MY37" s="145">
        <f t="shared" si="58"/>
        <v>0</v>
      </c>
      <c r="MZ37" s="145">
        <f t="shared" si="58"/>
        <v>0</v>
      </c>
      <c r="NA37" s="145">
        <f t="shared" si="58"/>
        <v>0</v>
      </c>
    </row>
    <row r="38" spans="1:368" s="140" customFormat="1" ht="15" customHeight="1">
      <c r="A38" s="472">
        <v>0.45833333333333298</v>
      </c>
      <c r="B38" s="461" t="s">
        <v>7</v>
      </c>
      <c r="C38" s="164" t="s">
        <v>10</v>
      </c>
      <c r="D38" s="265"/>
      <c r="E38" s="266"/>
      <c r="F38" s="266"/>
      <c r="G38" s="266"/>
      <c r="H38" s="267"/>
      <c r="I38" s="194"/>
      <c r="J38" s="194"/>
      <c r="K38" s="265"/>
      <c r="L38" s="266"/>
      <c r="M38" s="266"/>
      <c r="N38" s="266"/>
      <c r="O38" s="267"/>
      <c r="P38" s="194"/>
      <c r="Q38" s="194"/>
      <c r="R38" s="265"/>
      <c r="S38" s="266"/>
      <c r="T38" s="266"/>
      <c r="U38" s="266"/>
      <c r="V38" s="267"/>
      <c r="W38" s="194"/>
      <c r="X38" s="194"/>
      <c r="Y38" s="265"/>
      <c r="Z38" s="266"/>
      <c r="AA38" s="266"/>
      <c r="AB38" s="266"/>
      <c r="AC38" s="267"/>
      <c r="AD38" s="194"/>
      <c r="AE38" s="194"/>
      <c r="AF38" s="265"/>
      <c r="AG38" s="266"/>
      <c r="AH38" s="266"/>
      <c r="AI38" s="266"/>
      <c r="AJ38" s="267"/>
      <c r="AK38" s="194"/>
      <c r="AL38" s="194"/>
      <c r="AM38" s="265"/>
      <c r="AN38" s="266"/>
      <c r="AO38" s="266"/>
      <c r="AP38" s="266"/>
      <c r="AQ38" s="267"/>
      <c r="AR38" s="194"/>
      <c r="AS38" s="194"/>
      <c r="AT38" s="265"/>
      <c r="AU38" s="266"/>
      <c r="AV38" s="266"/>
      <c r="AW38" s="266"/>
      <c r="AX38" s="267"/>
      <c r="AY38" s="194"/>
      <c r="AZ38" s="194"/>
      <c r="BA38" s="265"/>
      <c r="BB38" s="266"/>
      <c r="BC38" s="266"/>
      <c r="BD38" s="266"/>
      <c r="BE38" s="267"/>
      <c r="BF38" s="194"/>
      <c r="BG38" s="194"/>
      <c r="BH38" s="265"/>
      <c r="BI38" s="266"/>
      <c r="BJ38" s="266"/>
      <c r="BK38" s="266"/>
      <c r="BL38" s="267"/>
      <c r="BM38" s="194"/>
      <c r="BN38" s="194"/>
      <c r="BO38" s="265"/>
      <c r="BP38" s="266"/>
      <c r="BQ38" s="266"/>
      <c r="BR38" s="266"/>
      <c r="BS38" s="267"/>
      <c r="BT38" s="194"/>
      <c r="BU38" s="194"/>
      <c r="BV38" s="265"/>
      <c r="BW38" s="266"/>
      <c r="BX38" s="266"/>
      <c r="BY38" s="266"/>
      <c r="BZ38" s="267"/>
      <c r="CA38" s="194"/>
      <c r="CB38" s="194"/>
      <c r="CC38" s="265"/>
      <c r="CD38" s="266"/>
      <c r="CE38" s="266"/>
      <c r="CF38" s="266"/>
      <c r="CG38" s="267"/>
      <c r="CH38" s="194"/>
      <c r="CI38" s="194"/>
      <c r="CJ38" s="265"/>
      <c r="CK38" s="266"/>
      <c r="CL38" s="266"/>
      <c r="CM38" s="266"/>
      <c r="CN38" s="267"/>
      <c r="CO38" s="194"/>
      <c r="CP38" s="194"/>
      <c r="CQ38" s="265"/>
      <c r="CR38" s="266"/>
      <c r="CS38" s="266"/>
      <c r="CT38" s="266"/>
      <c r="CU38" s="267"/>
      <c r="CV38" s="194"/>
      <c r="CW38" s="194"/>
      <c r="CX38" s="265"/>
      <c r="CY38" s="266"/>
      <c r="CZ38" s="266"/>
      <c r="DA38" s="266"/>
      <c r="DB38" s="267"/>
      <c r="DC38" s="194"/>
      <c r="DD38" s="194"/>
      <c r="DE38" s="265"/>
      <c r="DF38" s="266"/>
      <c r="DG38" s="266"/>
      <c r="DH38" s="266"/>
      <c r="DI38" s="267"/>
      <c r="DJ38" s="194"/>
      <c r="DK38" s="194"/>
      <c r="DL38" s="265"/>
      <c r="DM38" s="266"/>
      <c r="DN38" s="266"/>
      <c r="DO38" s="266"/>
      <c r="DP38" s="267"/>
      <c r="DQ38" s="194"/>
      <c r="DR38" s="194"/>
      <c r="DS38" s="265"/>
      <c r="DT38" s="266"/>
      <c r="DU38" s="266"/>
      <c r="DV38" s="266"/>
      <c r="DW38" s="267"/>
      <c r="DX38" s="194"/>
      <c r="DY38" s="194"/>
      <c r="DZ38" s="265"/>
      <c r="EA38" s="266"/>
      <c r="EB38" s="266"/>
      <c r="EC38" s="266"/>
      <c r="ED38" s="267"/>
      <c r="EE38" s="194"/>
      <c r="EF38" s="194"/>
      <c r="EG38" s="265"/>
      <c r="EH38" s="266"/>
      <c r="EI38" s="266"/>
      <c r="EJ38" s="266"/>
      <c r="EK38" s="267"/>
      <c r="EL38" s="194"/>
      <c r="EM38" s="194"/>
      <c r="EN38" s="265"/>
      <c r="EO38" s="266"/>
      <c r="EP38" s="266"/>
      <c r="EQ38" s="266"/>
      <c r="ER38" s="267"/>
      <c r="ES38" s="194"/>
      <c r="ET38" s="194"/>
      <c r="EU38" s="265"/>
      <c r="EV38" s="266"/>
      <c r="EW38" s="266"/>
      <c r="EX38" s="266"/>
      <c r="EY38" s="267"/>
      <c r="EZ38" s="194"/>
      <c r="FA38" s="194"/>
      <c r="FB38" s="265"/>
      <c r="FC38" s="266"/>
      <c r="FD38" s="266"/>
      <c r="FE38" s="266"/>
      <c r="FF38" s="267"/>
      <c r="FG38" s="194"/>
      <c r="FH38" s="194"/>
      <c r="FI38" s="265"/>
      <c r="FJ38" s="266"/>
      <c r="FK38" s="266"/>
      <c r="FL38" s="266"/>
      <c r="FM38" s="267"/>
      <c r="FN38" s="194"/>
      <c r="FO38" s="194"/>
      <c r="FP38" s="265"/>
      <c r="FQ38" s="266"/>
      <c r="FR38" s="266"/>
      <c r="FS38" s="266"/>
      <c r="FT38" s="267"/>
      <c r="FU38" s="194"/>
      <c r="FV38" s="194"/>
      <c r="FW38" s="265"/>
      <c r="FX38" s="266"/>
      <c r="FY38" s="266"/>
      <c r="FZ38" s="266"/>
      <c r="GA38" s="267"/>
      <c r="GB38" s="194"/>
      <c r="GC38" s="194"/>
      <c r="GD38" s="143"/>
      <c r="GE38" s="143"/>
      <c r="GF38" s="143"/>
      <c r="GG38" s="143"/>
      <c r="GH38" s="143"/>
      <c r="GI38" s="194"/>
      <c r="GJ38" s="194"/>
      <c r="GK38" s="143"/>
      <c r="GL38" s="143"/>
      <c r="GM38" s="143"/>
      <c r="GN38" s="143"/>
      <c r="GO38" s="143"/>
      <c r="GP38" s="210"/>
      <c r="GQ38" s="210"/>
      <c r="GR38" s="143"/>
      <c r="GS38" s="143"/>
      <c r="GT38" s="143"/>
      <c r="GU38" s="143"/>
      <c r="GV38" s="143"/>
      <c r="GW38" s="210"/>
      <c r="GX38" s="210"/>
      <c r="GY38" s="143"/>
      <c r="GZ38" s="143"/>
      <c r="HA38" s="143"/>
      <c r="HB38" s="143"/>
      <c r="HC38" s="143"/>
      <c r="HD38" s="210"/>
      <c r="HE38" s="210"/>
      <c r="HF38" s="143"/>
      <c r="HG38" s="143"/>
      <c r="HH38" s="143"/>
      <c r="HI38" s="143"/>
      <c r="HJ38" s="143"/>
      <c r="HK38" s="210"/>
      <c r="HL38" s="210"/>
      <c r="HM38" s="143"/>
      <c r="HN38" s="143"/>
      <c r="HO38" s="143"/>
      <c r="HP38" s="143"/>
      <c r="HQ38" s="143"/>
      <c r="HR38" s="143"/>
      <c r="HS38" s="143"/>
      <c r="HT38" s="143"/>
      <c r="HU38" s="143"/>
      <c r="HV38" s="143"/>
      <c r="HW38" s="143"/>
      <c r="HX38" s="143"/>
      <c r="HY38" s="203"/>
      <c r="HZ38" s="203"/>
      <c r="IA38" s="143"/>
      <c r="IB38" s="143"/>
      <c r="IC38" s="143"/>
      <c r="ID38" s="143"/>
      <c r="IE38" s="143"/>
      <c r="IF38" s="203"/>
      <c r="IG38" s="203"/>
      <c r="IH38" s="143"/>
      <c r="II38" s="143"/>
      <c r="IJ38" s="143"/>
      <c r="IK38" s="143"/>
      <c r="IL38" s="143"/>
      <c r="IM38" s="203"/>
      <c r="IN38" s="203"/>
      <c r="IO38" s="143"/>
      <c r="IP38" s="143"/>
      <c r="IQ38" s="227"/>
      <c r="IR38" s="227"/>
      <c r="IS38" s="227"/>
      <c r="IT38" s="203"/>
      <c r="IU38" s="203"/>
      <c r="IV38" s="143"/>
      <c r="IW38" s="143"/>
      <c r="IX38" s="143"/>
      <c r="IY38" s="143"/>
      <c r="IZ38" s="143"/>
      <c r="JA38" s="203"/>
      <c r="JB38" s="203"/>
      <c r="JC38" s="227"/>
      <c r="JD38" s="227"/>
      <c r="JE38" s="143"/>
      <c r="JF38" s="143"/>
      <c r="JG38" s="143"/>
      <c r="JH38" s="203"/>
      <c r="JI38" s="203"/>
      <c r="JJ38" s="143"/>
      <c r="JK38" s="143"/>
      <c r="JL38" s="143"/>
      <c r="JM38" s="143"/>
      <c r="JN38" s="143"/>
      <c r="JO38" s="203"/>
      <c r="JP38" s="203"/>
      <c r="JQ38" s="143"/>
      <c r="JR38" s="143"/>
      <c r="JS38" s="143"/>
      <c r="JT38" s="143"/>
      <c r="JU38" s="143"/>
      <c r="JV38" s="203"/>
      <c r="JW38" s="203"/>
      <c r="JX38" s="143"/>
      <c r="JY38" s="143"/>
      <c r="JZ38" s="143"/>
      <c r="KA38" s="143"/>
      <c r="KB38" s="143"/>
      <c r="KC38" s="203"/>
      <c r="KD38" s="203"/>
      <c r="KE38" s="143"/>
      <c r="KF38" s="143"/>
      <c r="KG38" s="143"/>
      <c r="KH38" s="143"/>
      <c r="KI38" s="143"/>
      <c r="KJ38" s="194"/>
      <c r="KK38" s="194"/>
      <c r="KL38" s="143"/>
      <c r="KM38" s="143"/>
      <c r="KN38" s="143"/>
      <c r="KO38" s="143"/>
      <c r="KP38" s="227"/>
      <c r="KQ38" s="194"/>
      <c r="KR38" s="194"/>
      <c r="KS38" s="143"/>
      <c r="KT38" s="143"/>
      <c r="KU38" s="143"/>
      <c r="KV38" s="143"/>
      <c r="KW38" s="143"/>
      <c r="KX38" s="210"/>
      <c r="KY38" s="210"/>
      <c r="KZ38" s="194"/>
      <c r="LA38" s="194"/>
      <c r="LB38" s="194"/>
      <c r="LC38" s="194"/>
      <c r="LD38" s="194"/>
      <c r="LE38" s="210"/>
      <c r="LF38" s="210"/>
      <c r="LG38" s="227"/>
      <c r="LH38" s="227"/>
      <c r="LI38" s="227"/>
      <c r="LJ38" s="227"/>
      <c r="LK38" s="227"/>
      <c r="LL38" s="227"/>
      <c r="LM38" s="210"/>
      <c r="LN38" s="143"/>
      <c r="LO38" s="227"/>
      <c r="LP38" s="227"/>
      <c r="LQ38" s="227"/>
      <c r="LR38" s="227"/>
      <c r="LS38" s="210"/>
      <c r="LT38" s="210"/>
      <c r="LU38" s="227"/>
      <c r="LV38" s="143"/>
      <c r="LW38" s="143"/>
      <c r="LX38" s="143"/>
      <c r="LY38" s="143"/>
      <c r="LZ38" s="203"/>
      <c r="MA38" s="203"/>
      <c r="MB38" s="143"/>
      <c r="MC38" s="143"/>
      <c r="MD38" s="143"/>
      <c r="ME38" s="143"/>
      <c r="MF38" s="143"/>
      <c r="MG38" s="203"/>
      <c r="MH38" s="203"/>
      <c r="MI38" s="143"/>
      <c r="MJ38" s="143"/>
      <c r="MK38" s="143"/>
      <c r="ML38" s="143"/>
      <c r="MM38" s="143"/>
      <c r="MN38" s="203"/>
      <c r="MO38" s="203"/>
      <c r="MP38" s="143"/>
      <c r="MQ38" s="143"/>
      <c r="MR38" s="143"/>
      <c r="MS38" s="143"/>
      <c r="MT38" s="143"/>
      <c r="MU38" s="203"/>
      <c r="MV38" s="203"/>
      <c r="MW38" s="143"/>
      <c r="MX38" s="143"/>
      <c r="MY38" s="143"/>
      <c r="MZ38" s="143"/>
      <c r="NA38" s="143"/>
      <c r="NB38" s="143"/>
      <c r="NC38" s="143"/>
      <c r="ND38" s="143"/>
    </row>
    <row r="39" spans="1:368" s="140" customFormat="1" ht="15" customHeight="1">
      <c r="A39" s="470"/>
      <c r="B39" s="461"/>
      <c r="C39" s="164" t="s">
        <v>11</v>
      </c>
      <c r="D39" s="268"/>
      <c r="E39" s="143"/>
      <c r="F39" s="143"/>
      <c r="G39" s="143"/>
      <c r="H39" s="269"/>
      <c r="I39" s="194"/>
      <c r="J39" s="194"/>
      <c r="K39" s="268"/>
      <c r="L39" s="143"/>
      <c r="M39" s="143"/>
      <c r="N39" s="143"/>
      <c r="O39" s="269"/>
      <c r="P39" s="194"/>
      <c r="Q39" s="194"/>
      <c r="R39" s="268"/>
      <c r="S39" s="143"/>
      <c r="T39" s="143"/>
      <c r="U39" s="143"/>
      <c r="V39" s="269"/>
      <c r="W39" s="194"/>
      <c r="X39" s="194"/>
      <c r="Y39" s="268"/>
      <c r="Z39" s="143"/>
      <c r="AA39" s="143"/>
      <c r="AB39" s="143"/>
      <c r="AC39" s="269"/>
      <c r="AD39" s="194"/>
      <c r="AE39" s="194"/>
      <c r="AF39" s="268"/>
      <c r="AG39" s="143"/>
      <c r="AH39" s="143"/>
      <c r="AI39" s="143"/>
      <c r="AJ39" s="269"/>
      <c r="AK39" s="194"/>
      <c r="AL39" s="194"/>
      <c r="AM39" s="268"/>
      <c r="AN39" s="143"/>
      <c r="AO39" s="143"/>
      <c r="AP39" s="143"/>
      <c r="AQ39" s="269"/>
      <c r="AR39" s="194"/>
      <c r="AS39" s="194"/>
      <c r="AT39" s="268"/>
      <c r="AU39" s="143"/>
      <c r="AV39" s="143"/>
      <c r="AW39" s="143"/>
      <c r="AX39" s="269"/>
      <c r="AY39" s="194"/>
      <c r="AZ39" s="194"/>
      <c r="BA39" s="268"/>
      <c r="BB39" s="143"/>
      <c r="BC39" s="143"/>
      <c r="BD39" s="143"/>
      <c r="BE39" s="269"/>
      <c r="BF39" s="194"/>
      <c r="BG39" s="194"/>
      <c r="BH39" s="268"/>
      <c r="BI39" s="143"/>
      <c r="BJ39" s="143"/>
      <c r="BK39" s="143"/>
      <c r="BL39" s="269"/>
      <c r="BM39" s="194"/>
      <c r="BN39" s="194"/>
      <c r="BO39" s="268"/>
      <c r="BP39" s="143"/>
      <c r="BQ39" s="143"/>
      <c r="BR39" s="143"/>
      <c r="BS39" s="269"/>
      <c r="BT39" s="194"/>
      <c r="BU39" s="194"/>
      <c r="BV39" s="268"/>
      <c r="BW39" s="143"/>
      <c r="BX39" s="143"/>
      <c r="BY39" s="143"/>
      <c r="BZ39" s="269"/>
      <c r="CA39" s="194"/>
      <c r="CB39" s="194"/>
      <c r="CC39" s="268"/>
      <c r="CD39" s="143"/>
      <c r="CE39" s="143"/>
      <c r="CF39" s="143"/>
      <c r="CG39" s="269"/>
      <c r="CH39" s="194"/>
      <c r="CI39" s="194"/>
      <c r="CJ39" s="268"/>
      <c r="CK39" s="143"/>
      <c r="CL39" s="143"/>
      <c r="CM39" s="143"/>
      <c r="CN39" s="269"/>
      <c r="CO39" s="194"/>
      <c r="CP39" s="194"/>
      <c r="CQ39" s="268"/>
      <c r="CR39" s="143"/>
      <c r="CS39" s="143"/>
      <c r="CT39" s="143"/>
      <c r="CU39" s="269"/>
      <c r="CV39" s="194"/>
      <c r="CW39" s="194"/>
      <c r="CX39" s="268"/>
      <c r="CY39" s="143"/>
      <c r="CZ39" s="143"/>
      <c r="DA39" s="143"/>
      <c r="DB39" s="269"/>
      <c r="DC39" s="194"/>
      <c r="DD39" s="194"/>
      <c r="DE39" s="268"/>
      <c r="DF39" s="143"/>
      <c r="DG39" s="143"/>
      <c r="DH39" s="143"/>
      <c r="DI39" s="269"/>
      <c r="DJ39" s="194"/>
      <c r="DK39" s="194"/>
      <c r="DL39" s="268"/>
      <c r="DM39" s="143"/>
      <c r="DN39" s="143"/>
      <c r="DO39" s="143"/>
      <c r="DP39" s="269"/>
      <c r="DQ39" s="194"/>
      <c r="DR39" s="194"/>
      <c r="DS39" s="268"/>
      <c r="DT39" s="143"/>
      <c r="DU39" s="143"/>
      <c r="DV39" s="143"/>
      <c r="DW39" s="269"/>
      <c r="DX39" s="194"/>
      <c r="DY39" s="194"/>
      <c r="DZ39" s="268"/>
      <c r="EA39" s="143"/>
      <c r="EB39" s="143"/>
      <c r="EC39" s="143"/>
      <c r="ED39" s="269"/>
      <c r="EE39" s="194"/>
      <c r="EF39" s="194"/>
      <c r="EG39" s="268"/>
      <c r="EH39" s="143"/>
      <c r="EI39" s="143"/>
      <c r="EJ39" s="143"/>
      <c r="EK39" s="269"/>
      <c r="EL39" s="194"/>
      <c r="EM39" s="194"/>
      <c r="EN39" s="268"/>
      <c r="EO39" s="143"/>
      <c r="EP39" s="143"/>
      <c r="EQ39" s="143"/>
      <c r="ER39" s="269"/>
      <c r="ES39" s="194"/>
      <c r="ET39" s="194"/>
      <c r="EU39" s="268"/>
      <c r="EV39" s="143"/>
      <c r="EW39" s="143"/>
      <c r="EX39" s="143"/>
      <c r="EY39" s="269"/>
      <c r="EZ39" s="194"/>
      <c r="FA39" s="194"/>
      <c r="FB39" s="268"/>
      <c r="FC39" s="143"/>
      <c r="FD39" s="143"/>
      <c r="FE39" s="143"/>
      <c r="FF39" s="269"/>
      <c r="FG39" s="194"/>
      <c r="FH39" s="194"/>
      <c r="FI39" s="268"/>
      <c r="FJ39" s="143"/>
      <c r="FK39" s="143"/>
      <c r="FL39" s="143"/>
      <c r="FM39" s="269"/>
      <c r="FN39" s="194"/>
      <c r="FO39" s="194"/>
      <c r="FP39" s="268"/>
      <c r="FQ39" s="143"/>
      <c r="FR39" s="143"/>
      <c r="FS39" s="143"/>
      <c r="FT39" s="269"/>
      <c r="FU39" s="194"/>
      <c r="FV39" s="194"/>
      <c r="FW39" s="268"/>
      <c r="FX39" s="143"/>
      <c r="FY39" s="143"/>
      <c r="FZ39" s="143"/>
      <c r="GA39" s="269"/>
      <c r="GB39" s="194"/>
      <c r="GC39" s="194"/>
      <c r="GD39" s="143"/>
      <c r="GE39" s="143"/>
      <c r="GF39" s="143"/>
      <c r="GG39" s="143"/>
      <c r="GH39" s="143"/>
      <c r="GI39" s="194"/>
      <c r="GJ39" s="194"/>
      <c r="GK39" s="143"/>
      <c r="GL39" s="143"/>
      <c r="GM39" s="143"/>
      <c r="GN39" s="143"/>
      <c r="GO39" s="143"/>
      <c r="GP39" s="210"/>
      <c r="GQ39" s="210"/>
      <c r="GR39" s="143"/>
      <c r="GS39" s="143"/>
      <c r="GT39" s="143"/>
      <c r="GU39" s="143"/>
      <c r="GV39" s="143"/>
      <c r="GW39" s="210"/>
      <c r="GX39" s="210"/>
      <c r="GY39" s="143"/>
      <c r="GZ39" s="143"/>
      <c r="HA39" s="143"/>
      <c r="HB39" s="143"/>
      <c r="HC39" s="143"/>
      <c r="HD39" s="210"/>
      <c r="HE39" s="210"/>
      <c r="HF39" s="143"/>
      <c r="HG39" s="143"/>
      <c r="HH39" s="143"/>
      <c r="HI39" s="143"/>
      <c r="HJ39" s="143"/>
      <c r="HK39" s="210"/>
      <c r="HL39" s="210"/>
      <c r="HM39" s="143"/>
      <c r="HN39" s="143"/>
      <c r="HO39" s="143"/>
      <c r="HP39" s="143"/>
      <c r="HQ39" s="143"/>
      <c r="HR39" s="143"/>
      <c r="HS39" s="143"/>
      <c r="HT39" s="143"/>
      <c r="HU39" s="143"/>
      <c r="HV39" s="143"/>
      <c r="HW39" s="143"/>
      <c r="HX39" s="143"/>
      <c r="HY39" s="203"/>
      <c r="HZ39" s="203"/>
      <c r="IA39" s="143"/>
      <c r="IB39" s="143"/>
      <c r="IC39" s="143"/>
      <c r="ID39" s="143"/>
      <c r="IE39" s="143"/>
      <c r="IF39" s="203"/>
      <c r="IG39" s="203"/>
      <c r="IH39" s="206"/>
      <c r="II39" s="206"/>
      <c r="IJ39" s="206"/>
      <c r="IK39" s="206"/>
      <c r="IL39" s="143"/>
      <c r="IM39" s="203"/>
      <c r="IN39" s="203"/>
      <c r="IO39" s="143"/>
      <c r="IP39" s="143"/>
      <c r="IQ39" s="227"/>
      <c r="IR39" s="227"/>
      <c r="IS39" s="227"/>
      <c r="IT39" s="203"/>
      <c r="IU39" s="203"/>
      <c r="IV39" s="143"/>
      <c r="IW39" s="143"/>
      <c r="IX39" s="143"/>
      <c r="IY39" s="143"/>
      <c r="IZ39" s="143"/>
      <c r="JA39" s="203"/>
      <c r="JB39" s="203"/>
      <c r="JC39" s="227"/>
      <c r="JD39" s="227"/>
      <c r="JE39" s="143"/>
      <c r="JF39" s="143"/>
      <c r="JG39" s="143"/>
      <c r="JH39" s="203"/>
      <c r="JI39" s="203"/>
      <c r="JJ39" s="143"/>
      <c r="JK39" s="143"/>
      <c r="JL39" s="143"/>
      <c r="JM39" s="143"/>
      <c r="JN39" s="143"/>
      <c r="JO39" s="203"/>
      <c r="JP39" s="203"/>
      <c r="JQ39" s="143"/>
      <c r="JR39" s="143"/>
      <c r="JS39" s="143"/>
      <c r="JT39" s="143"/>
      <c r="JU39" s="143"/>
      <c r="JV39" s="203"/>
      <c r="JW39" s="203"/>
      <c r="JX39" s="143"/>
      <c r="JY39" s="143"/>
      <c r="JZ39" s="143"/>
      <c r="KA39" s="143"/>
      <c r="KB39" s="143"/>
      <c r="KC39" s="203"/>
      <c r="KD39" s="203"/>
      <c r="KE39" s="143"/>
      <c r="KF39" s="143"/>
      <c r="KG39" s="143"/>
      <c r="KH39" s="143"/>
      <c r="KI39" s="143"/>
      <c r="KJ39" s="194"/>
      <c r="KK39" s="194"/>
      <c r="KL39" s="143"/>
      <c r="KM39" s="143"/>
      <c r="KN39" s="143"/>
      <c r="KO39" s="143"/>
      <c r="KP39" s="227"/>
      <c r="KQ39" s="194"/>
      <c r="KR39" s="194"/>
      <c r="KS39" s="143"/>
      <c r="KT39" s="143"/>
      <c r="KU39" s="143"/>
      <c r="KV39" s="143"/>
      <c r="KW39" s="143"/>
      <c r="KX39" s="210"/>
      <c r="KY39" s="210"/>
      <c r="KZ39" s="194"/>
      <c r="LA39" s="194"/>
      <c r="LB39" s="194"/>
      <c r="LC39" s="194"/>
      <c r="LD39" s="194"/>
      <c r="LE39" s="210"/>
      <c r="LF39" s="210"/>
      <c r="LG39" s="227"/>
      <c r="LH39" s="227"/>
      <c r="LI39" s="227"/>
      <c r="LJ39" s="227"/>
      <c r="LK39" s="227"/>
      <c r="LL39" s="227"/>
      <c r="LM39" s="210"/>
      <c r="LN39" s="143"/>
      <c r="LO39" s="227"/>
      <c r="LP39" s="227"/>
      <c r="LQ39" s="227"/>
      <c r="LR39" s="227"/>
      <c r="LS39" s="210"/>
      <c r="LT39" s="210"/>
      <c r="LU39" s="227"/>
      <c r="LV39" s="143"/>
      <c r="LW39" s="143"/>
      <c r="LX39" s="143"/>
      <c r="LY39" s="143"/>
      <c r="LZ39" s="203"/>
      <c r="MA39" s="203"/>
      <c r="MB39" s="143"/>
      <c r="MC39" s="143"/>
      <c r="MD39" s="143"/>
      <c r="ME39" s="143"/>
      <c r="MF39" s="143"/>
      <c r="MG39" s="203"/>
      <c r="MH39" s="203"/>
      <c r="MI39" s="143"/>
      <c r="MJ39" s="143"/>
      <c r="MK39" s="143"/>
      <c r="ML39" s="143"/>
      <c r="MM39" s="143"/>
      <c r="MN39" s="203"/>
      <c r="MO39" s="203"/>
      <c r="MP39" s="143"/>
      <c r="MQ39" s="143"/>
      <c r="MR39" s="143"/>
      <c r="MS39" s="143"/>
      <c r="MT39" s="143"/>
      <c r="MU39" s="203"/>
      <c r="MV39" s="203"/>
      <c r="MW39" s="143"/>
      <c r="MX39" s="143"/>
      <c r="MY39" s="143"/>
      <c r="MZ39" s="143"/>
      <c r="NA39" s="143"/>
      <c r="NB39" s="143"/>
      <c r="NC39" s="143"/>
      <c r="ND39" s="143"/>
    </row>
    <row r="40" spans="1:368" s="140" customFormat="1" ht="15" customHeight="1">
      <c r="A40" s="470"/>
      <c r="B40" s="461"/>
      <c r="C40" s="164" t="s">
        <v>12</v>
      </c>
      <c r="D40" s="268"/>
      <c r="E40" s="143"/>
      <c r="F40" s="143"/>
      <c r="G40" s="143"/>
      <c r="H40" s="269"/>
      <c r="I40" s="194"/>
      <c r="J40" s="194"/>
      <c r="K40" s="268"/>
      <c r="L40" s="143"/>
      <c r="M40" s="143"/>
      <c r="N40" s="143"/>
      <c r="O40" s="269"/>
      <c r="P40" s="194"/>
      <c r="Q40" s="194"/>
      <c r="R40" s="268"/>
      <c r="S40" s="143"/>
      <c r="T40" s="143"/>
      <c r="U40" s="143"/>
      <c r="V40" s="269"/>
      <c r="W40" s="194"/>
      <c r="X40" s="194"/>
      <c r="Y40" s="268"/>
      <c r="Z40" s="143"/>
      <c r="AA40" s="143"/>
      <c r="AB40" s="143"/>
      <c r="AC40" s="269"/>
      <c r="AD40" s="194"/>
      <c r="AE40" s="194"/>
      <c r="AF40" s="268"/>
      <c r="AG40" s="143"/>
      <c r="AH40" s="143"/>
      <c r="AI40" s="143"/>
      <c r="AJ40" s="269"/>
      <c r="AK40" s="194"/>
      <c r="AL40" s="194"/>
      <c r="AM40" s="268"/>
      <c r="AN40" s="143"/>
      <c r="AO40" s="143"/>
      <c r="AP40" s="143"/>
      <c r="AQ40" s="269"/>
      <c r="AR40" s="194"/>
      <c r="AS40" s="194"/>
      <c r="AT40" s="268"/>
      <c r="AU40" s="143"/>
      <c r="AV40" s="143"/>
      <c r="AW40" s="143"/>
      <c r="AX40" s="269"/>
      <c r="AY40" s="194"/>
      <c r="AZ40" s="194"/>
      <c r="BA40" s="268"/>
      <c r="BB40" s="143"/>
      <c r="BC40" s="143"/>
      <c r="BD40" s="143"/>
      <c r="BE40" s="269"/>
      <c r="BF40" s="194"/>
      <c r="BG40" s="194"/>
      <c r="BH40" s="268"/>
      <c r="BI40" s="143"/>
      <c r="BJ40" s="143"/>
      <c r="BK40" s="143"/>
      <c r="BL40" s="269"/>
      <c r="BM40" s="194"/>
      <c r="BN40" s="194"/>
      <c r="BO40" s="268"/>
      <c r="BP40" s="143"/>
      <c r="BQ40" s="143"/>
      <c r="BR40" s="143"/>
      <c r="BS40" s="269"/>
      <c r="BT40" s="194"/>
      <c r="BU40" s="194"/>
      <c r="BV40" s="268"/>
      <c r="BW40" s="143"/>
      <c r="BX40" s="143"/>
      <c r="BY40" s="143"/>
      <c r="BZ40" s="269"/>
      <c r="CA40" s="194"/>
      <c r="CB40" s="194"/>
      <c r="CC40" s="268"/>
      <c r="CD40" s="143"/>
      <c r="CE40" s="143"/>
      <c r="CF40" s="143"/>
      <c r="CG40" s="269"/>
      <c r="CH40" s="194"/>
      <c r="CI40" s="194"/>
      <c r="CJ40" s="268"/>
      <c r="CK40" s="143"/>
      <c r="CL40" s="143"/>
      <c r="CM40" s="143"/>
      <c r="CN40" s="269"/>
      <c r="CO40" s="194"/>
      <c r="CP40" s="194"/>
      <c r="CQ40" s="268"/>
      <c r="CR40" s="143"/>
      <c r="CS40" s="143"/>
      <c r="CT40" s="143"/>
      <c r="CU40" s="269"/>
      <c r="CV40" s="194"/>
      <c r="CW40" s="194"/>
      <c r="CX40" s="268"/>
      <c r="CY40" s="143"/>
      <c r="CZ40" s="143"/>
      <c r="DA40" s="143"/>
      <c r="DB40" s="269"/>
      <c r="DC40" s="194"/>
      <c r="DD40" s="194"/>
      <c r="DE40" s="268"/>
      <c r="DF40" s="143"/>
      <c r="DG40" s="143"/>
      <c r="DH40" s="143"/>
      <c r="DI40" s="269"/>
      <c r="DJ40" s="194"/>
      <c r="DK40" s="194"/>
      <c r="DL40" s="268"/>
      <c r="DM40" s="143"/>
      <c r="DN40" s="143"/>
      <c r="DO40" s="143"/>
      <c r="DP40" s="269"/>
      <c r="DQ40" s="194"/>
      <c r="DR40" s="194"/>
      <c r="DS40" s="268"/>
      <c r="DT40" s="143"/>
      <c r="DU40" s="143"/>
      <c r="DV40" s="143"/>
      <c r="DW40" s="269"/>
      <c r="DX40" s="194"/>
      <c r="DY40" s="194"/>
      <c r="DZ40" s="268"/>
      <c r="EA40" s="143"/>
      <c r="EB40" s="143"/>
      <c r="EC40" s="143"/>
      <c r="ED40" s="269"/>
      <c r="EE40" s="194"/>
      <c r="EF40" s="194"/>
      <c r="EG40" s="268"/>
      <c r="EH40" s="143"/>
      <c r="EI40" s="143"/>
      <c r="EJ40" s="143"/>
      <c r="EK40" s="269"/>
      <c r="EL40" s="194"/>
      <c r="EM40" s="194"/>
      <c r="EN40" s="268"/>
      <c r="EO40" s="143"/>
      <c r="EP40" s="143"/>
      <c r="EQ40" s="143"/>
      <c r="ER40" s="269"/>
      <c r="ES40" s="194"/>
      <c r="ET40" s="194"/>
      <c r="EU40" s="268"/>
      <c r="EV40" s="143"/>
      <c r="EW40" s="143"/>
      <c r="EX40" s="143"/>
      <c r="EY40" s="269"/>
      <c r="EZ40" s="194"/>
      <c r="FA40" s="194"/>
      <c r="FB40" s="268"/>
      <c r="FC40" s="143"/>
      <c r="FD40" s="143"/>
      <c r="FE40" s="143"/>
      <c r="FF40" s="269"/>
      <c r="FG40" s="194"/>
      <c r="FH40" s="194"/>
      <c r="FI40" s="268"/>
      <c r="FJ40" s="143"/>
      <c r="FK40" s="143"/>
      <c r="FL40" s="143"/>
      <c r="FM40" s="269"/>
      <c r="FN40" s="194"/>
      <c r="FO40" s="194"/>
      <c r="FP40" s="268"/>
      <c r="FQ40" s="143"/>
      <c r="FR40" s="143"/>
      <c r="FS40" s="143"/>
      <c r="FT40" s="269"/>
      <c r="FU40" s="194"/>
      <c r="FV40" s="194"/>
      <c r="FW40" s="268"/>
      <c r="FX40" s="143"/>
      <c r="FY40" s="143"/>
      <c r="FZ40" s="143"/>
      <c r="GA40" s="269"/>
      <c r="GB40" s="194"/>
      <c r="GC40" s="194"/>
      <c r="GD40" s="143"/>
      <c r="GE40" s="143"/>
      <c r="GF40" s="143"/>
      <c r="GG40" s="143"/>
      <c r="GH40" s="143"/>
      <c r="GI40" s="194"/>
      <c r="GJ40" s="194"/>
      <c r="GK40" s="143"/>
      <c r="GL40" s="143"/>
      <c r="GM40" s="143"/>
      <c r="GN40" s="143"/>
      <c r="GO40" s="143"/>
      <c r="GP40" s="210"/>
      <c r="GQ40" s="210"/>
      <c r="GR40" s="143"/>
      <c r="GS40" s="143"/>
      <c r="GT40" s="143"/>
      <c r="GU40" s="143"/>
      <c r="GV40" s="143"/>
      <c r="GW40" s="210"/>
      <c r="GX40" s="210"/>
      <c r="GY40" s="143"/>
      <c r="GZ40" s="143"/>
      <c r="HA40" s="143"/>
      <c r="HB40" s="143"/>
      <c r="HC40" s="143"/>
      <c r="HD40" s="210"/>
      <c r="HE40" s="210"/>
      <c r="HF40" s="143"/>
      <c r="HG40" s="143"/>
      <c r="HH40" s="143"/>
      <c r="HI40" s="143"/>
      <c r="HJ40" s="143"/>
      <c r="HK40" s="210"/>
      <c r="HL40" s="210"/>
      <c r="HM40" s="143"/>
      <c r="HN40" s="143"/>
      <c r="HO40" s="143"/>
      <c r="HP40" s="143"/>
      <c r="HQ40" s="143"/>
      <c r="HR40" s="143"/>
      <c r="HS40" s="143"/>
      <c r="HT40" s="143"/>
      <c r="HU40" s="143"/>
      <c r="HV40" s="143"/>
      <c r="HW40" s="143"/>
      <c r="HX40" s="143"/>
      <c r="HY40" s="203"/>
      <c r="HZ40" s="203"/>
      <c r="IA40" s="143"/>
      <c r="IB40" s="143"/>
      <c r="IC40" s="143"/>
      <c r="ID40" s="143"/>
      <c r="IE40" s="143"/>
      <c r="IF40" s="203"/>
      <c r="IG40" s="203"/>
      <c r="IH40" s="206"/>
      <c r="II40" s="206"/>
      <c r="IJ40" s="206"/>
      <c r="IK40" s="206"/>
      <c r="IL40" s="143"/>
      <c r="IM40" s="203"/>
      <c r="IN40" s="203"/>
      <c r="IO40" s="143"/>
      <c r="IP40" s="143"/>
      <c r="IQ40" s="227"/>
      <c r="IR40" s="227"/>
      <c r="IS40" s="227"/>
      <c r="IT40" s="203"/>
      <c r="IU40" s="203"/>
      <c r="IV40" s="143"/>
      <c r="IW40" s="143"/>
      <c r="IX40" s="143"/>
      <c r="IY40" s="143"/>
      <c r="IZ40" s="143"/>
      <c r="JA40" s="203"/>
      <c r="JB40" s="203"/>
      <c r="JC40" s="227"/>
      <c r="JD40" s="227"/>
      <c r="JE40" s="143"/>
      <c r="JF40" s="143"/>
      <c r="JG40" s="143"/>
      <c r="JH40" s="203"/>
      <c r="JI40" s="203"/>
      <c r="JJ40" s="143"/>
      <c r="JK40" s="143"/>
      <c r="JL40" s="143"/>
      <c r="JM40" s="143"/>
      <c r="JN40" s="143"/>
      <c r="JO40" s="203"/>
      <c r="JP40" s="203"/>
      <c r="JQ40" s="143"/>
      <c r="JR40" s="143"/>
      <c r="JS40" s="143"/>
      <c r="JT40" s="143"/>
      <c r="JU40" s="143"/>
      <c r="JV40" s="203"/>
      <c r="JW40" s="203"/>
      <c r="JX40" s="143"/>
      <c r="JY40" s="143"/>
      <c r="JZ40" s="143"/>
      <c r="KA40" s="143"/>
      <c r="KB40" s="143"/>
      <c r="KC40" s="203"/>
      <c r="KD40" s="203"/>
      <c r="KE40" s="143"/>
      <c r="KF40" s="143"/>
      <c r="KG40" s="143"/>
      <c r="KH40" s="143"/>
      <c r="KI40" s="143"/>
      <c r="KJ40" s="194"/>
      <c r="KK40" s="194"/>
      <c r="KL40" s="143"/>
      <c r="KM40" s="143"/>
      <c r="KN40" s="143"/>
      <c r="KO40" s="143"/>
      <c r="KP40" s="227"/>
      <c r="KQ40" s="194"/>
      <c r="KR40" s="194"/>
      <c r="KS40" s="143"/>
      <c r="KT40" s="143"/>
      <c r="KU40" s="143"/>
      <c r="KV40" s="143"/>
      <c r="KW40" s="143"/>
      <c r="KX40" s="210"/>
      <c r="KY40" s="210"/>
      <c r="KZ40" s="194"/>
      <c r="LA40" s="194"/>
      <c r="LB40" s="194"/>
      <c r="LC40" s="194"/>
      <c r="LD40" s="194"/>
      <c r="LE40" s="210"/>
      <c r="LF40" s="210"/>
      <c r="LG40" s="227"/>
      <c r="LH40" s="227"/>
      <c r="LI40" s="227"/>
      <c r="LJ40" s="227"/>
      <c r="LK40" s="227"/>
      <c r="LL40" s="227"/>
      <c r="LM40" s="210"/>
      <c r="LN40" s="143"/>
      <c r="LO40" s="227"/>
      <c r="LP40" s="227"/>
      <c r="LQ40" s="227"/>
      <c r="LR40" s="227"/>
      <c r="LS40" s="210"/>
      <c r="LT40" s="210"/>
      <c r="LU40" s="227"/>
      <c r="LV40" s="143"/>
      <c r="LW40" s="143"/>
      <c r="LX40" s="143"/>
      <c r="LY40" s="143"/>
      <c r="LZ40" s="203"/>
      <c r="MA40" s="203"/>
      <c r="MB40" s="143"/>
      <c r="MC40" s="143"/>
      <c r="MD40" s="143"/>
      <c r="ME40" s="143"/>
      <c r="MF40" s="143"/>
      <c r="MG40" s="203"/>
      <c r="MH40" s="203"/>
      <c r="MI40" s="143"/>
      <c r="MJ40" s="143"/>
      <c r="MK40" s="143"/>
      <c r="ML40" s="143"/>
      <c r="MM40" s="143"/>
      <c r="MN40" s="203"/>
      <c r="MO40" s="203"/>
      <c r="MP40" s="143"/>
      <c r="MQ40" s="143"/>
      <c r="MR40" s="143"/>
      <c r="MS40" s="143"/>
      <c r="MT40" s="143"/>
      <c r="MU40" s="203"/>
      <c r="MV40" s="203"/>
      <c r="MW40" s="143"/>
      <c r="MX40" s="143"/>
      <c r="MY40" s="143"/>
      <c r="MZ40" s="143"/>
      <c r="NA40" s="143"/>
      <c r="NB40" s="143"/>
      <c r="NC40" s="143"/>
      <c r="ND40" s="143"/>
    </row>
    <row r="41" spans="1:368" s="140" customFormat="1" ht="15" customHeight="1" thickBot="1">
      <c r="A41" s="470"/>
      <c r="B41" s="461"/>
      <c r="C41" s="164" t="s">
        <v>13</v>
      </c>
      <c r="D41" s="268"/>
      <c r="E41" s="143"/>
      <c r="F41" s="143"/>
      <c r="G41" s="143"/>
      <c r="H41" s="269"/>
      <c r="I41" s="194"/>
      <c r="J41" s="194"/>
      <c r="K41" s="268"/>
      <c r="L41" s="143"/>
      <c r="M41" s="143"/>
      <c r="N41" s="143"/>
      <c r="O41" s="269"/>
      <c r="P41" s="194"/>
      <c r="Q41" s="194"/>
      <c r="R41" s="268"/>
      <c r="S41" s="143"/>
      <c r="T41" s="143"/>
      <c r="U41" s="143"/>
      <c r="V41" s="269"/>
      <c r="W41" s="194"/>
      <c r="X41" s="194"/>
      <c r="Y41" s="268"/>
      <c r="Z41" s="143"/>
      <c r="AA41" s="143"/>
      <c r="AB41" s="143"/>
      <c r="AC41" s="269"/>
      <c r="AD41" s="194"/>
      <c r="AE41" s="194"/>
      <c r="AF41" s="268"/>
      <c r="AG41" s="143"/>
      <c r="AH41" s="143"/>
      <c r="AI41" s="143"/>
      <c r="AJ41" s="269"/>
      <c r="AK41" s="194"/>
      <c r="AL41" s="194"/>
      <c r="AM41" s="268"/>
      <c r="AN41" s="143"/>
      <c r="AO41" s="143"/>
      <c r="AP41" s="143"/>
      <c r="AQ41" s="269"/>
      <c r="AR41" s="194"/>
      <c r="AS41" s="194"/>
      <c r="AT41" s="268"/>
      <c r="AU41" s="143"/>
      <c r="AV41" s="143"/>
      <c r="AW41" s="143"/>
      <c r="AX41" s="269"/>
      <c r="AY41" s="194"/>
      <c r="AZ41" s="194"/>
      <c r="BA41" s="268"/>
      <c r="BB41" s="143"/>
      <c r="BC41" s="143"/>
      <c r="BD41" s="143"/>
      <c r="BE41" s="269"/>
      <c r="BF41" s="194"/>
      <c r="BG41" s="194"/>
      <c r="BH41" s="268"/>
      <c r="BI41" s="143"/>
      <c r="BJ41" s="143"/>
      <c r="BK41" s="143"/>
      <c r="BL41" s="269"/>
      <c r="BM41" s="194"/>
      <c r="BN41" s="194"/>
      <c r="BO41" s="268"/>
      <c r="BP41" s="143"/>
      <c r="BQ41" s="143"/>
      <c r="BR41" s="143"/>
      <c r="BS41" s="269"/>
      <c r="BT41" s="194"/>
      <c r="BU41" s="194"/>
      <c r="BV41" s="268"/>
      <c r="BW41" s="143"/>
      <c r="BX41" s="143"/>
      <c r="BY41" s="143"/>
      <c r="BZ41" s="269"/>
      <c r="CA41" s="194"/>
      <c r="CB41" s="194"/>
      <c r="CC41" s="268"/>
      <c r="CD41" s="143"/>
      <c r="CE41" s="143"/>
      <c r="CF41" s="143"/>
      <c r="CG41" s="269"/>
      <c r="CH41" s="194"/>
      <c r="CI41" s="194"/>
      <c r="CJ41" s="268"/>
      <c r="CK41" s="143"/>
      <c r="CL41" s="143"/>
      <c r="CM41" s="143"/>
      <c r="CN41" s="269"/>
      <c r="CO41" s="194"/>
      <c r="CP41" s="194"/>
      <c r="CQ41" s="268"/>
      <c r="CR41" s="143"/>
      <c r="CS41" s="143"/>
      <c r="CT41" s="143"/>
      <c r="CU41" s="269"/>
      <c r="CV41" s="194"/>
      <c r="CW41" s="194"/>
      <c r="CX41" s="268"/>
      <c r="CY41" s="143"/>
      <c r="CZ41" s="143"/>
      <c r="DA41" s="143"/>
      <c r="DB41" s="269"/>
      <c r="DC41" s="194"/>
      <c r="DD41" s="194"/>
      <c r="DE41" s="268"/>
      <c r="DF41" s="143"/>
      <c r="DG41" s="143"/>
      <c r="DH41" s="143"/>
      <c r="DI41" s="269"/>
      <c r="DJ41" s="194"/>
      <c r="DK41" s="194"/>
      <c r="DL41" s="268"/>
      <c r="DM41" s="143"/>
      <c r="DN41" s="143"/>
      <c r="DO41" s="143"/>
      <c r="DP41" s="269"/>
      <c r="DQ41" s="194"/>
      <c r="DR41" s="194"/>
      <c r="DS41" s="268"/>
      <c r="DT41" s="143"/>
      <c r="DU41" s="143"/>
      <c r="DV41" s="143"/>
      <c r="DW41" s="269"/>
      <c r="DX41" s="194"/>
      <c r="DY41" s="194"/>
      <c r="DZ41" s="268"/>
      <c r="EA41" s="143"/>
      <c r="EB41" s="143"/>
      <c r="EC41" s="143"/>
      <c r="ED41" s="269"/>
      <c r="EE41" s="194"/>
      <c r="EF41" s="194"/>
      <c r="EG41" s="268"/>
      <c r="EH41" s="143"/>
      <c r="EI41" s="143"/>
      <c r="EJ41" s="143"/>
      <c r="EK41" s="269"/>
      <c r="EL41" s="194"/>
      <c r="EM41" s="194"/>
      <c r="EN41" s="268"/>
      <c r="EO41" s="143"/>
      <c r="EP41" s="143"/>
      <c r="EQ41" s="143"/>
      <c r="ER41" s="269"/>
      <c r="ES41" s="194"/>
      <c r="ET41" s="194"/>
      <c r="EU41" s="268"/>
      <c r="EV41" s="143"/>
      <c r="EW41" s="143"/>
      <c r="EX41" s="143"/>
      <c r="EY41" s="269"/>
      <c r="EZ41" s="194"/>
      <c r="FA41" s="194"/>
      <c r="FB41" s="268"/>
      <c r="FC41" s="143"/>
      <c r="FD41" s="143"/>
      <c r="FE41" s="143"/>
      <c r="FF41" s="269"/>
      <c r="FG41" s="194"/>
      <c r="FH41" s="194"/>
      <c r="FI41" s="268"/>
      <c r="FJ41" s="143"/>
      <c r="FK41" s="143"/>
      <c r="FL41" s="143"/>
      <c r="FM41" s="269"/>
      <c r="FN41" s="194"/>
      <c r="FO41" s="194"/>
      <c r="FP41" s="268"/>
      <c r="FQ41" s="143"/>
      <c r="FR41" s="143"/>
      <c r="FS41" s="143"/>
      <c r="FT41" s="269"/>
      <c r="FU41" s="194"/>
      <c r="FV41" s="194"/>
      <c r="FW41" s="268"/>
      <c r="FX41" s="143"/>
      <c r="FY41" s="143"/>
      <c r="FZ41" s="143"/>
      <c r="GA41" s="269"/>
      <c r="GB41" s="194"/>
      <c r="GC41" s="194"/>
      <c r="GD41" s="143"/>
      <c r="GE41" s="143"/>
      <c r="GF41" s="143"/>
      <c r="GG41" s="143"/>
      <c r="GH41" s="143"/>
      <c r="GI41" s="194"/>
      <c r="GJ41" s="194"/>
      <c r="GK41" s="143"/>
      <c r="GL41" s="143"/>
      <c r="GM41" s="143"/>
      <c r="GN41" s="143"/>
      <c r="GO41" s="143"/>
      <c r="GP41" s="210"/>
      <c r="GQ41" s="210"/>
      <c r="GR41" s="143"/>
      <c r="GS41" s="143"/>
      <c r="GT41" s="143"/>
      <c r="GU41" s="143"/>
      <c r="GV41" s="143"/>
      <c r="GW41" s="210"/>
      <c r="GX41" s="210"/>
      <c r="GY41" s="143"/>
      <c r="GZ41" s="143"/>
      <c r="HA41" s="143"/>
      <c r="HB41" s="143"/>
      <c r="HC41" s="143"/>
      <c r="HD41" s="210"/>
      <c r="HE41" s="210"/>
      <c r="HF41" s="143"/>
      <c r="HG41" s="143"/>
      <c r="HH41" s="143"/>
      <c r="HI41" s="143"/>
      <c r="HJ41" s="143"/>
      <c r="HK41" s="210"/>
      <c r="HL41" s="210"/>
      <c r="HM41" s="143"/>
      <c r="HN41" s="143"/>
      <c r="HO41" s="143"/>
      <c r="HP41" s="143"/>
      <c r="HQ41" s="143"/>
      <c r="HR41" s="143"/>
      <c r="HS41" s="143"/>
      <c r="HT41" s="143"/>
      <c r="HU41" s="143"/>
      <c r="HV41" s="143"/>
      <c r="HW41" s="143"/>
      <c r="HX41" s="143"/>
      <c r="HY41" s="203"/>
      <c r="HZ41" s="203"/>
      <c r="IA41" s="143"/>
      <c r="IB41" s="143"/>
      <c r="IC41" s="143"/>
      <c r="ID41" s="143"/>
      <c r="IE41" s="143"/>
      <c r="IF41" s="203"/>
      <c r="IG41" s="203"/>
      <c r="IH41" s="206"/>
      <c r="II41" s="206"/>
      <c r="IJ41" s="206"/>
      <c r="IK41" s="206"/>
      <c r="IL41" s="143"/>
      <c r="IM41" s="203"/>
      <c r="IN41" s="203"/>
      <c r="IO41" s="143"/>
      <c r="IP41" s="143"/>
      <c r="IQ41" s="227"/>
      <c r="IR41" s="227"/>
      <c r="IS41" s="227"/>
      <c r="IT41" s="203"/>
      <c r="IU41" s="203"/>
      <c r="IV41" s="143"/>
      <c r="IW41" s="143"/>
      <c r="IX41" s="143"/>
      <c r="IY41" s="143"/>
      <c r="IZ41" s="143"/>
      <c r="JA41" s="203"/>
      <c r="JB41" s="203"/>
      <c r="JC41" s="227"/>
      <c r="JD41" s="227"/>
      <c r="JE41" s="143"/>
      <c r="JF41" s="143"/>
      <c r="JG41" s="143"/>
      <c r="JH41" s="203"/>
      <c r="JI41" s="203"/>
      <c r="JJ41" s="143"/>
      <c r="JK41" s="143"/>
      <c r="JL41" s="143"/>
      <c r="JM41" s="143"/>
      <c r="JN41" s="143"/>
      <c r="JO41" s="203"/>
      <c r="JP41" s="203"/>
      <c r="JQ41" s="143"/>
      <c r="JR41" s="143"/>
      <c r="JS41" s="143"/>
      <c r="JT41" s="143"/>
      <c r="JU41" s="143"/>
      <c r="JV41" s="203"/>
      <c r="JW41" s="203"/>
      <c r="JX41" s="143"/>
      <c r="JY41" s="143"/>
      <c r="JZ41" s="143"/>
      <c r="KA41" s="143"/>
      <c r="KB41" s="143"/>
      <c r="KC41" s="203"/>
      <c r="KD41" s="203"/>
      <c r="KE41" s="143"/>
      <c r="KF41" s="143"/>
      <c r="KG41" s="143"/>
      <c r="KH41" s="143"/>
      <c r="KI41" s="143"/>
      <c r="KJ41" s="194"/>
      <c r="KK41" s="194"/>
      <c r="KL41" s="143"/>
      <c r="KM41" s="143"/>
      <c r="KN41" s="143"/>
      <c r="KO41" s="143"/>
      <c r="KP41" s="227"/>
      <c r="KQ41" s="194"/>
      <c r="KR41" s="194"/>
      <c r="KS41" s="143"/>
      <c r="KT41" s="143"/>
      <c r="KU41" s="143"/>
      <c r="KV41" s="143"/>
      <c r="KW41" s="143"/>
      <c r="KX41" s="210"/>
      <c r="KY41" s="210"/>
      <c r="KZ41" s="194"/>
      <c r="LA41" s="194"/>
      <c r="LB41" s="194"/>
      <c r="LC41" s="194"/>
      <c r="LD41" s="194"/>
      <c r="LE41" s="210"/>
      <c r="LF41" s="210"/>
      <c r="LG41" s="227"/>
      <c r="LH41" s="227"/>
      <c r="LI41" s="227"/>
      <c r="LJ41" s="227"/>
      <c r="LK41" s="227"/>
      <c r="LL41" s="227"/>
      <c r="LM41" s="210"/>
      <c r="LN41" s="143"/>
      <c r="LO41" s="227"/>
      <c r="LP41" s="227"/>
      <c r="LQ41" s="227"/>
      <c r="LR41" s="227"/>
      <c r="LS41" s="210"/>
      <c r="LT41" s="210"/>
      <c r="LU41" s="227"/>
      <c r="LV41" s="143"/>
      <c r="LW41" s="143"/>
      <c r="LX41" s="143"/>
      <c r="LY41" s="143"/>
      <c r="LZ41" s="203"/>
      <c r="MA41" s="203"/>
      <c r="MB41" s="143"/>
      <c r="MC41" s="143"/>
      <c r="MD41" s="143"/>
      <c r="ME41" s="143"/>
      <c r="MF41" s="143"/>
      <c r="MG41" s="203"/>
      <c r="MH41" s="203"/>
      <c r="MI41" s="143"/>
      <c r="MJ41" s="143"/>
      <c r="MK41" s="143"/>
      <c r="ML41" s="143"/>
      <c r="MM41" s="143"/>
      <c r="MN41" s="203"/>
      <c r="MO41" s="203"/>
      <c r="MP41" s="143"/>
      <c r="MQ41" s="143"/>
      <c r="MR41" s="143"/>
      <c r="MS41" s="143"/>
      <c r="MT41" s="143"/>
      <c r="MU41" s="203"/>
      <c r="MV41" s="203"/>
      <c r="MW41" s="143"/>
      <c r="MX41" s="143"/>
      <c r="MY41" s="143"/>
      <c r="MZ41" s="143"/>
      <c r="NA41" s="143"/>
      <c r="NB41" s="143"/>
      <c r="NC41" s="143"/>
      <c r="ND41" s="143"/>
    </row>
    <row r="42" spans="1:368" s="151" customFormat="1" ht="15.75" hidden="1" customHeight="1" thickBot="1">
      <c r="A42" s="470"/>
      <c r="B42" s="474"/>
      <c r="C42" s="165" t="s">
        <v>93</v>
      </c>
      <c r="D42" s="270"/>
      <c r="E42" s="264"/>
      <c r="F42" s="264"/>
      <c r="G42" s="264"/>
      <c r="H42" s="271"/>
      <c r="I42" s="194"/>
      <c r="J42" s="194"/>
      <c r="K42" s="270"/>
      <c r="L42" s="264"/>
      <c r="M42" s="264"/>
      <c r="N42" s="264"/>
      <c r="O42" s="271"/>
      <c r="P42" s="194"/>
      <c r="Q42" s="194"/>
      <c r="R42" s="270"/>
      <c r="S42" s="264"/>
      <c r="T42" s="264"/>
      <c r="U42" s="264"/>
      <c r="V42" s="271"/>
      <c r="W42" s="194"/>
      <c r="X42" s="194"/>
      <c r="Y42" s="270"/>
      <c r="Z42" s="264"/>
      <c r="AA42" s="264"/>
      <c r="AB42" s="264"/>
      <c r="AC42" s="271"/>
      <c r="AD42" s="194"/>
      <c r="AE42" s="194"/>
      <c r="AF42" s="270"/>
      <c r="AG42" s="264"/>
      <c r="AH42" s="264"/>
      <c r="AI42" s="264"/>
      <c r="AJ42" s="271"/>
      <c r="AK42" s="194"/>
      <c r="AL42" s="194"/>
      <c r="AM42" s="270"/>
      <c r="AN42" s="264"/>
      <c r="AO42" s="264"/>
      <c r="AP42" s="264"/>
      <c r="AQ42" s="271"/>
      <c r="AR42" s="194"/>
      <c r="AS42" s="194"/>
      <c r="AT42" s="270"/>
      <c r="AU42" s="264"/>
      <c r="AV42" s="264"/>
      <c r="AW42" s="264"/>
      <c r="AX42" s="271"/>
      <c r="AY42" s="194"/>
      <c r="AZ42" s="194"/>
      <c r="BA42" s="270"/>
      <c r="BB42" s="264"/>
      <c r="BC42" s="264"/>
      <c r="BD42" s="264"/>
      <c r="BE42" s="271"/>
      <c r="BF42" s="194"/>
      <c r="BG42" s="194"/>
      <c r="BH42" s="270"/>
      <c r="BI42" s="264"/>
      <c r="BJ42" s="264"/>
      <c r="BK42" s="264"/>
      <c r="BL42" s="271"/>
      <c r="BM42" s="194"/>
      <c r="BN42" s="194"/>
      <c r="BO42" s="270"/>
      <c r="BP42" s="264"/>
      <c r="BQ42" s="264"/>
      <c r="BR42" s="264"/>
      <c r="BS42" s="271"/>
      <c r="BT42" s="194"/>
      <c r="BU42" s="194"/>
      <c r="BV42" s="270"/>
      <c r="BW42" s="264"/>
      <c r="BX42" s="264"/>
      <c r="BY42" s="264"/>
      <c r="BZ42" s="271"/>
      <c r="CA42" s="194"/>
      <c r="CB42" s="194"/>
      <c r="CC42" s="270"/>
      <c r="CD42" s="264"/>
      <c r="CE42" s="264"/>
      <c r="CF42" s="264"/>
      <c r="CG42" s="271"/>
      <c r="CH42" s="194"/>
      <c r="CI42" s="194"/>
      <c r="CJ42" s="270"/>
      <c r="CK42" s="264"/>
      <c r="CL42" s="264"/>
      <c r="CM42" s="264"/>
      <c r="CN42" s="271"/>
      <c r="CO42" s="194"/>
      <c r="CP42" s="194"/>
      <c r="CQ42" s="270"/>
      <c r="CR42" s="264"/>
      <c r="CS42" s="264"/>
      <c r="CT42" s="264"/>
      <c r="CU42" s="271"/>
      <c r="CV42" s="194"/>
      <c r="CW42" s="194"/>
      <c r="CX42" s="270"/>
      <c r="CY42" s="264"/>
      <c r="CZ42" s="264"/>
      <c r="DA42" s="264"/>
      <c r="DB42" s="271"/>
      <c r="DC42" s="194"/>
      <c r="DD42" s="194"/>
      <c r="DE42" s="270"/>
      <c r="DF42" s="264"/>
      <c r="DG42" s="264"/>
      <c r="DH42" s="264"/>
      <c r="DI42" s="271"/>
      <c r="DJ42" s="194"/>
      <c r="DK42" s="194"/>
      <c r="DL42" s="270"/>
      <c r="DM42" s="264"/>
      <c r="DN42" s="264"/>
      <c r="DO42" s="264"/>
      <c r="DP42" s="271"/>
      <c r="DQ42" s="194"/>
      <c r="DR42" s="194"/>
      <c r="DS42" s="270"/>
      <c r="DT42" s="264"/>
      <c r="DU42" s="264"/>
      <c r="DV42" s="264"/>
      <c r="DW42" s="271"/>
      <c r="DX42" s="194"/>
      <c r="DY42" s="194"/>
      <c r="DZ42" s="270"/>
      <c r="EA42" s="264"/>
      <c r="EB42" s="264"/>
      <c r="EC42" s="264"/>
      <c r="ED42" s="271"/>
      <c r="EE42" s="194"/>
      <c r="EF42" s="194"/>
      <c r="EG42" s="270"/>
      <c r="EH42" s="264"/>
      <c r="EI42" s="264"/>
      <c r="EJ42" s="264"/>
      <c r="EK42" s="271"/>
      <c r="EL42" s="194"/>
      <c r="EM42" s="194"/>
      <c r="EN42" s="270"/>
      <c r="EO42" s="264"/>
      <c r="EP42" s="264"/>
      <c r="EQ42" s="264"/>
      <c r="ER42" s="271"/>
      <c r="ES42" s="194"/>
      <c r="ET42" s="194"/>
      <c r="EU42" s="270"/>
      <c r="EV42" s="264"/>
      <c r="EW42" s="264"/>
      <c r="EX42" s="264"/>
      <c r="EY42" s="271"/>
      <c r="EZ42" s="194"/>
      <c r="FA42" s="194"/>
      <c r="FB42" s="270"/>
      <c r="FC42" s="264"/>
      <c r="FD42" s="264"/>
      <c r="FE42" s="264"/>
      <c r="FF42" s="271"/>
      <c r="FG42" s="194"/>
      <c r="FH42" s="194"/>
      <c r="FI42" s="270"/>
      <c r="FJ42" s="264"/>
      <c r="FK42" s="264"/>
      <c r="FL42" s="264"/>
      <c r="FM42" s="271"/>
      <c r="FN42" s="194"/>
      <c r="FO42" s="194"/>
      <c r="FP42" s="270"/>
      <c r="FQ42" s="264"/>
      <c r="FR42" s="264"/>
      <c r="FS42" s="264"/>
      <c r="FT42" s="271"/>
      <c r="FU42" s="194"/>
      <c r="FV42" s="194"/>
      <c r="FW42" s="270"/>
      <c r="FX42" s="264"/>
      <c r="FY42" s="264"/>
      <c r="FZ42" s="264"/>
      <c r="GA42" s="271"/>
      <c r="GB42" s="194"/>
      <c r="GC42" s="194"/>
      <c r="GD42" s="264"/>
      <c r="GE42" s="264"/>
      <c r="GF42" s="264"/>
      <c r="GG42" s="264"/>
      <c r="GH42" s="264"/>
      <c r="GI42" s="279"/>
      <c r="GJ42" s="279"/>
      <c r="GK42" s="152"/>
      <c r="GL42" s="152"/>
      <c r="GM42" s="152"/>
      <c r="GN42" s="152"/>
      <c r="GO42" s="152"/>
      <c r="GP42" s="210"/>
      <c r="GQ42" s="210"/>
      <c r="GR42" s="152"/>
      <c r="GS42" s="152"/>
      <c r="GT42" s="152"/>
      <c r="GU42" s="152"/>
      <c r="GV42" s="152"/>
      <c r="GW42" s="210"/>
      <c r="GX42" s="210"/>
      <c r="GY42" s="152"/>
      <c r="GZ42" s="152"/>
      <c r="HA42" s="152"/>
      <c r="HB42" s="152"/>
      <c r="HC42" s="152"/>
      <c r="HD42" s="210"/>
      <c r="HE42" s="210"/>
      <c r="HF42" s="152"/>
      <c r="HG42" s="152"/>
      <c r="HH42" s="152"/>
      <c r="HI42" s="152"/>
      <c r="HJ42" s="152"/>
      <c r="HK42" s="210"/>
      <c r="HL42" s="210"/>
      <c r="HM42" s="152"/>
      <c r="HN42" s="152"/>
      <c r="HO42" s="152"/>
      <c r="HP42" s="152"/>
      <c r="HQ42" s="152"/>
      <c r="HR42" s="152"/>
      <c r="HS42" s="152"/>
      <c r="HT42" s="152"/>
      <c r="HU42" s="152"/>
      <c r="HV42" s="152"/>
      <c r="HW42" s="152"/>
      <c r="HX42" s="152"/>
      <c r="HY42" s="203"/>
      <c r="HZ42" s="203"/>
      <c r="IA42" s="152"/>
      <c r="IB42" s="152"/>
      <c r="IC42" s="152"/>
      <c r="ID42" s="152"/>
      <c r="IE42" s="152"/>
      <c r="IF42" s="203"/>
      <c r="IG42" s="203"/>
      <c r="IH42" s="152"/>
      <c r="II42" s="152"/>
      <c r="IJ42" s="152"/>
      <c r="IK42" s="152"/>
      <c r="IL42" s="152"/>
      <c r="IM42" s="203"/>
      <c r="IN42" s="203"/>
      <c r="IO42" s="152"/>
      <c r="IP42" s="152"/>
      <c r="IQ42" s="227"/>
      <c r="IR42" s="227"/>
      <c r="IS42" s="227"/>
      <c r="IT42" s="203"/>
      <c r="IU42" s="203"/>
      <c r="IV42" s="152"/>
      <c r="IW42" s="152"/>
      <c r="IX42" s="152"/>
      <c r="IY42" s="152"/>
      <c r="IZ42" s="152"/>
      <c r="JA42" s="203"/>
      <c r="JB42" s="203"/>
      <c r="JC42" s="232"/>
      <c r="JD42" s="232"/>
      <c r="JE42" s="152"/>
      <c r="JF42" s="152"/>
      <c r="JG42" s="152"/>
      <c r="JH42" s="203"/>
      <c r="JI42" s="203"/>
      <c r="JJ42" s="152"/>
      <c r="JK42" s="152"/>
      <c r="JL42" s="152"/>
      <c r="JM42" s="152"/>
      <c r="JN42" s="152"/>
      <c r="JO42" s="203"/>
      <c r="JP42" s="203"/>
      <c r="JQ42" s="152"/>
      <c r="JR42" s="152"/>
      <c r="JS42" s="152"/>
      <c r="JT42" s="152"/>
      <c r="JU42" s="152"/>
      <c r="JV42" s="203"/>
      <c r="JW42" s="203"/>
      <c r="JX42" s="152"/>
      <c r="JY42" s="152"/>
      <c r="JZ42" s="152"/>
      <c r="KA42" s="152"/>
      <c r="KB42" s="152"/>
      <c r="KC42" s="203"/>
      <c r="KD42" s="203"/>
      <c r="KE42" s="152"/>
      <c r="KF42" s="152"/>
      <c r="KG42" s="152"/>
      <c r="KH42" s="152"/>
      <c r="KI42" s="152"/>
      <c r="KJ42" s="194"/>
      <c r="KK42" s="194"/>
      <c r="KL42" s="152"/>
      <c r="KM42" s="152"/>
      <c r="KN42" s="152"/>
      <c r="KO42" s="152"/>
      <c r="KP42" s="227"/>
      <c r="KQ42" s="194"/>
      <c r="KR42" s="194"/>
      <c r="KS42" s="152"/>
      <c r="KT42" s="152"/>
      <c r="KU42" s="152"/>
      <c r="KV42" s="152"/>
      <c r="KW42" s="152"/>
      <c r="KX42" s="210"/>
      <c r="KY42" s="210"/>
      <c r="KZ42" s="194"/>
      <c r="LA42" s="194"/>
      <c r="LB42" s="194"/>
      <c r="LC42" s="194"/>
      <c r="LD42" s="194"/>
      <c r="LE42" s="210"/>
      <c r="LF42" s="210"/>
      <c r="LG42" s="227"/>
      <c r="LH42" s="227"/>
      <c r="LI42" s="227"/>
      <c r="LJ42" s="227"/>
      <c r="LK42" s="227"/>
      <c r="LL42" s="227"/>
      <c r="LM42" s="210"/>
      <c r="LN42" s="232"/>
      <c r="LO42" s="232"/>
      <c r="LP42" s="232"/>
      <c r="LQ42" s="232"/>
      <c r="LR42" s="232"/>
      <c r="LS42" s="210"/>
      <c r="LT42" s="210"/>
      <c r="LU42" s="232"/>
      <c r="LV42" s="152"/>
      <c r="LW42" s="152"/>
      <c r="LX42" s="152"/>
      <c r="LY42" s="152"/>
      <c r="LZ42" s="203"/>
      <c r="MA42" s="203"/>
      <c r="MB42" s="152"/>
      <c r="MC42" s="152"/>
      <c r="MD42" s="152"/>
      <c r="ME42" s="152"/>
      <c r="MF42" s="152"/>
      <c r="MG42" s="203"/>
      <c r="MH42" s="203"/>
      <c r="MI42" s="152"/>
      <c r="MJ42" s="152"/>
      <c r="MK42" s="152"/>
      <c r="ML42" s="152"/>
      <c r="MM42" s="152"/>
      <c r="MN42" s="203"/>
      <c r="MO42" s="203"/>
      <c r="MP42" s="152"/>
      <c r="MQ42" s="152"/>
      <c r="MR42" s="152"/>
      <c r="MS42" s="152"/>
      <c r="MT42" s="152"/>
      <c r="MU42" s="203"/>
      <c r="MV42" s="203"/>
      <c r="MW42" s="152"/>
      <c r="MX42" s="152"/>
      <c r="MY42" s="152"/>
      <c r="MZ42" s="152"/>
      <c r="NA42" s="152"/>
      <c r="NB42" s="152"/>
      <c r="NC42" s="152"/>
      <c r="ND42" s="152"/>
    </row>
    <row r="43" spans="1:368" s="140" customFormat="1" ht="15" customHeight="1">
      <c r="A43" s="470"/>
      <c r="B43" s="473" t="s">
        <v>8</v>
      </c>
      <c r="C43" s="163" t="s">
        <v>10</v>
      </c>
      <c r="D43" s="265"/>
      <c r="E43" s="266"/>
      <c r="F43" s="266"/>
      <c r="G43" s="266"/>
      <c r="H43" s="267"/>
      <c r="I43" s="194"/>
      <c r="J43" s="194"/>
      <c r="K43" s="265"/>
      <c r="L43" s="266"/>
      <c r="M43" s="266"/>
      <c r="N43" s="266"/>
      <c r="O43" s="267"/>
      <c r="P43" s="194"/>
      <c r="Q43" s="194"/>
      <c r="R43" s="265"/>
      <c r="S43" s="266"/>
      <c r="T43" s="266"/>
      <c r="U43" s="266"/>
      <c r="V43" s="267"/>
      <c r="W43" s="194"/>
      <c r="X43" s="194"/>
      <c r="Y43" s="265"/>
      <c r="Z43" s="266"/>
      <c r="AA43" s="266"/>
      <c r="AB43" s="266"/>
      <c r="AC43" s="267"/>
      <c r="AD43" s="194"/>
      <c r="AE43" s="194"/>
      <c r="AF43" s="265"/>
      <c r="AG43" s="266"/>
      <c r="AH43" s="266"/>
      <c r="AI43" s="266"/>
      <c r="AJ43" s="267"/>
      <c r="AK43" s="194"/>
      <c r="AL43" s="194"/>
      <c r="AM43" s="265"/>
      <c r="AN43" s="266"/>
      <c r="AO43" s="266"/>
      <c r="AP43" s="266"/>
      <c r="AQ43" s="267"/>
      <c r="AR43" s="194"/>
      <c r="AS43" s="194"/>
      <c r="AT43" s="265"/>
      <c r="AU43" s="266"/>
      <c r="AV43" s="266"/>
      <c r="AW43" s="266"/>
      <c r="AX43" s="267"/>
      <c r="AY43" s="194"/>
      <c r="AZ43" s="194"/>
      <c r="BA43" s="265"/>
      <c r="BB43" s="266"/>
      <c r="BC43" s="266"/>
      <c r="BD43" s="266"/>
      <c r="BE43" s="267"/>
      <c r="BF43" s="194"/>
      <c r="BG43" s="194"/>
      <c r="BH43" s="265"/>
      <c r="BI43" s="266"/>
      <c r="BJ43" s="266"/>
      <c r="BK43" s="266"/>
      <c r="BL43" s="267"/>
      <c r="BM43" s="194"/>
      <c r="BN43" s="194"/>
      <c r="BO43" s="265"/>
      <c r="BP43" s="266"/>
      <c r="BQ43" s="266"/>
      <c r="BR43" s="266"/>
      <c r="BS43" s="267"/>
      <c r="BT43" s="194"/>
      <c r="BU43" s="194"/>
      <c r="BV43" s="265"/>
      <c r="BW43" s="266"/>
      <c r="BX43" s="266"/>
      <c r="BY43" s="266"/>
      <c r="BZ43" s="267"/>
      <c r="CA43" s="194"/>
      <c r="CB43" s="194"/>
      <c r="CC43" s="265"/>
      <c r="CD43" s="266"/>
      <c r="CE43" s="266"/>
      <c r="CF43" s="266"/>
      <c r="CG43" s="267"/>
      <c r="CH43" s="194"/>
      <c r="CI43" s="194"/>
      <c r="CJ43" s="265"/>
      <c r="CK43" s="266"/>
      <c r="CL43" s="266"/>
      <c r="CM43" s="266"/>
      <c r="CN43" s="267"/>
      <c r="CO43" s="194"/>
      <c r="CP43" s="194"/>
      <c r="CQ43" s="265"/>
      <c r="CR43" s="266"/>
      <c r="CS43" s="266"/>
      <c r="CT43" s="266"/>
      <c r="CU43" s="267"/>
      <c r="CV43" s="194"/>
      <c r="CW43" s="194"/>
      <c r="CX43" s="265"/>
      <c r="CY43" s="266"/>
      <c r="CZ43" s="266"/>
      <c r="DA43" s="266"/>
      <c r="DB43" s="267"/>
      <c r="DC43" s="194"/>
      <c r="DD43" s="194"/>
      <c r="DE43" s="265"/>
      <c r="DF43" s="266"/>
      <c r="DG43" s="266"/>
      <c r="DH43" s="266"/>
      <c r="DI43" s="267"/>
      <c r="DJ43" s="194"/>
      <c r="DK43" s="194"/>
      <c r="DL43" s="265"/>
      <c r="DM43" s="266"/>
      <c r="DN43" s="266"/>
      <c r="DO43" s="266"/>
      <c r="DP43" s="267"/>
      <c r="DQ43" s="194"/>
      <c r="DR43" s="194"/>
      <c r="DS43" s="265"/>
      <c r="DT43" s="266"/>
      <c r="DU43" s="266"/>
      <c r="DV43" s="266"/>
      <c r="DW43" s="267"/>
      <c r="DX43" s="194"/>
      <c r="DY43" s="194"/>
      <c r="DZ43" s="265"/>
      <c r="EA43" s="266"/>
      <c r="EB43" s="266"/>
      <c r="EC43" s="266"/>
      <c r="ED43" s="267"/>
      <c r="EE43" s="194"/>
      <c r="EF43" s="194"/>
      <c r="EG43" s="265"/>
      <c r="EH43" s="266"/>
      <c r="EI43" s="266"/>
      <c r="EJ43" s="266"/>
      <c r="EK43" s="267"/>
      <c r="EL43" s="194"/>
      <c r="EM43" s="194"/>
      <c r="EN43" s="265"/>
      <c r="EO43" s="266"/>
      <c r="EP43" s="266"/>
      <c r="EQ43" s="266"/>
      <c r="ER43" s="267"/>
      <c r="ES43" s="194"/>
      <c r="ET43" s="194"/>
      <c r="EU43" s="265"/>
      <c r="EV43" s="266"/>
      <c r="EW43" s="266"/>
      <c r="EX43" s="266"/>
      <c r="EY43" s="267"/>
      <c r="EZ43" s="194"/>
      <c r="FA43" s="194"/>
      <c r="FB43" s="265"/>
      <c r="FC43" s="266"/>
      <c r="FD43" s="266"/>
      <c r="FE43" s="266"/>
      <c r="FF43" s="267"/>
      <c r="FG43" s="194"/>
      <c r="FH43" s="194"/>
      <c r="FI43" s="265"/>
      <c r="FJ43" s="266"/>
      <c r="FK43" s="266"/>
      <c r="FL43" s="266"/>
      <c r="FM43" s="267"/>
      <c r="FN43" s="194"/>
      <c r="FO43" s="194"/>
      <c r="FP43" s="265"/>
      <c r="FQ43" s="266"/>
      <c r="FR43" s="266"/>
      <c r="FS43" s="266"/>
      <c r="FT43" s="267"/>
      <c r="FU43" s="194"/>
      <c r="FV43" s="194"/>
      <c r="FW43" s="265"/>
      <c r="FX43" s="266"/>
      <c r="FY43" s="266"/>
      <c r="FZ43" s="266"/>
      <c r="GA43" s="267"/>
      <c r="GB43" s="194"/>
      <c r="GC43" s="277"/>
      <c r="GD43" s="265"/>
      <c r="GE43" s="266"/>
      <c r="GF43" s="266"/>
      <c r="GG43" s="266"/>
      <c r="GH43" s="266"/>
      <c r="GI43" s="280"/>
      <c r="GJ43" s="281"/>
      <c r="GK43" s="143"/>
      <c r="GL43" s="143"/>
      <c r="GM43" s="143"/>
      <c r="GN43" s="143"/>
      <c r="GO43" s="143"/>
      <c r="GP43" s="210"/>
      <c r="GQ43" s="210"/>
      <c r="GR43" s="143"/>
      <c r="GS43" s="143"/>
      <c r="GT43" s="143"/>
      <c r="GU43" s="143"/>
      <c r="GV43" s="143"/>
      <c r="GW43" s="210"/>
      <c r="GX43" s="210"/>
      <c r="GY43" s="143"/>
      <c r="GZ43" s="143"/>
      <c r="HA43" s="143"/>
      <c r="HB43" s="143"/>
      <c r="HC43" s="143"/>
      <c r="HD43" s="210"/>
      <c r="HE43" s="210"/>
      <c r="HF43" s="143"/>
      <c r="HG43" s="143"/>
      <c r="HH43" s="143"/>
      <c r="HI43" s="143"/>
      <c r="HJ43" s="143"/>
      <c r="HK43" s="210"/>
      <c r="HL43" s="210"/>
      <c r="HM43" s="143"/>
      <c r="HN43" s="143"/>
      <c r="HO43" s="143"/>
      <c r="HP43" s="143"/>
      <c r="HQ43" s="143"/>
      <c r="HR43" s="143"/>
      <c r="HS43" s="143"/>
      <c r="HT43" s="143"/>
      <c r="HU43" s="143"/>
      <c r="HV43" s="143"/>
      <c r="HW43" s="143"/>
      <c r="HX43" s="143"/>
      <c r="HY43" s="203"/>
      <c r="HZ43" s="203"/>
      <c r="IA43" s="143"/>
      <c r="IB43" s="143"/>
      <c r="IC43" s="143"/>
      <c r="ID43" s="143"/>
      <c r="IE43" s="143"/>
      <c r="IF43" s="203"/>
      <c r="IG43" s="203"/>
      <c r="IH43" s="143"/>
      <c r="II43" s="143"/>
      <c r="IJ43" s="143"/>
      <c r="IK43" s="143"/>
      <c r="IL43" s="143"/>
      <c r="IM43" s="203"/>
      <c r="IN43" s="203"/>
      <c r="IO43" s="143"/>
      <c r="IP43" s="143"/>
      <c r="IQ43" s="227"/>
      <c r="IR43" s="227"/>
      <c r="IS43" s="227"/>
      <c r="IT43" s="203"/>
      <c r="IU43" s="203"/>
      <c r="IV43" s="143"/>
      <c r="IW43" s="143"/>
      <c r="IX43" s="143"/>
      <c r="IY43" s="143"/>
      <c r="IZ43" s="143"/>
      <c r="JA43" s="203"/>
      <c r="JB43" s="203"/>
      <c r="JC43" s="227"/>
      <c r="JD43" s="227"/>
      <c r="JE43" s="143"/>
      <c r="JF43" s="143"/>
      <c r="JG43" s="143"/>
      <c r="JH43" s="203"/>
      <c r="JI43" s="203"/>
      <c r="JJ43" s="143"/>
      <c r="JK43" s="143"/>
      <c r="JL43" s="143"/>
      <c r="JM43" s="143"/>
      <c r="JN43" s="143"/>
      <c r="JO43" s="203"/>
      <c r="JP43" s="203"/>
      <c r="JQ43" s="143"/>
      <c r="JR43" s="143"/>
      <c r="JS43" s="143"/>
      <c r="JT43" s="143"/>
      <c r="JU43" s="143"/>
      <c r="JV43" s="203"/>
      <c r="JW43" s="203"/>
      <c r="JX43" s="143"/>
      <c r="JY43" s="143"/>
      <c r="JZ43" s="143"/>
      <c r="KA43" s="143"/>
      <c r="KB43" s="143"/>
      <c r="KC43" s="203"/>
      <c r="KD43" s="203"/>
      <c r="KE43" s="143"/>
      <c r="KF43" s="143"/>
      <c r="KG43" s="143"/>
      <c r="KH43" s="143"/>
      <c r="KI43" s="143"/>
      <c r="KJ43" s="194"/>
      <c r="KK43" s="194"/>
      <c r="KL43" s="143"/>
      <c r="KM43" s="143"/>
      <c r="KN43" s="143"/>
      <c r="KO43" s="143"/>
      <c r="KP43" s="227"/>
      <c r="KQ43" s="194"/>
      <c r="KR43" s="194"/>
      <c r="KS43" s="143"/>
      <c r="KT43" s="143"/>
      <c r="KU43" s="143"/>
      <c r="KV43" s="143"/>
      <c r="KW43" s="143"/>
      <c r="KX43" s="210"/>
      <c r="KY43" s="210"/>
      <c r="KZ43" s="194"/>
      <c r="LA43" s="194"/>
      <c r="LB43" s="194"/>
      <c r="LC43" s="194"/>
      <c r="LD43" s="194"/>
      <c r="LE43" s="210"/>
      <c r="LF43" s="210"/>
      <c r="LG43" s="227"/>
      <c r="LH43" s="227"/>
      <c r="LI43" s="227"/>
      <c r="LJ43" s="227"/>
      <c r="LK43" s="227"/>
      <c r="LL43" s="227"/>
      <c r="LM43" s="210"/>
      <c r="LN43" s="227"/>
      <c r="LO43" s="227"/>
      <c r="LP43" s="227"/>
      <c r="LQ43" s="227"/>
      <c r="LR43" s="227"/>
      <c r="LS43" s="210"/>
      <c r="LT43" s="210"/>
      <c r="LU43" s="227"/>
      <c r="LV43" s="143"/>
      <c r="LW43" s="143"/>
      <c r="LX43" s="143"/>
      <c r="LY43" s="143"/>
      <c r="LZ43" s="203"/>
      <c r="MA43" s="203"/>
      <c r="MB43" s="143"/>
      <c r="MC43" s="143"/>
      <c r="MD43" s="143"/>
      <c r="ME43" s="143"/>
      <c r="MF43" s="143"/>
      <c r="MG43" s="203"/>
      <c r="MH43" s="203"/>
      <c r="MI43" s="143"/>
      <c r="MJ43" s="143"/>
      <c r="MK43" s="143"/>
      <c r="ML43" s="143"/>
      <c r="MM43" s="143"/>
      <c r="MN43" s="203"/>
      <c r="MO43" s="203"/>
      <c r="MP43" s="143"/>
      <c r="MQ43" s="143"/>
      <c r="MR43" s="143"/>
      <c r="MS43" s="143"/>
      <c r="MT43" s="143"/>
      <c r="MU43" s="203"/>
      <c r="MV43" s="203"/>
      <c r="MW43" s="143"/>
      <c r="MX43" s="143"/>
      <c r="MY43" s="143"/>
      <c r="MZ43" s="143"/>
      <c r="NA43" s="143"/>
      <c r="NB43" s="143"/>
      <c r="NC43" s="143"/>
      <c r="ND43" s="143"/>
    </row>
    <row r="44" spans="1:368" s="140" customFormat="1" ht="15" customHeight="1">
      <c r="A44" s="470"/>
      <c r="B44" s="461"/>
      <c r="C44" s="164" t="s">
        <v>11</v>
      </c>
      <c r="D44" s="268"/>
      <c r="E44" s="143"/>
      <c r="F44" s="143"/>
      <c r="G44" s="143"/>
      <c r="H44" s="269"/>
      <c r="I44" s="194"/>
      <c r="J44" s="194"/>
      <c r="K44" s="268"/>
      <c r="L44" s="143"/>
      <c r="M44" s="143"/>
      <c r="N44" s="143"/>
      <c r="O44" s="269"/>
      <c r="P44" s="194"/>
      <c r="Q44" s="194"/>
      <c r="R44" s="268"/>
      <c r="S44" s="143"/>
      <c r="T44" s="143"/>
      <c r="U44" s="143"/>
      <c r="V44" s="269"/>
      <c r="W44" s="194"/>
      <c r="X44" s="194"/>
      <c r="Y44" s="268"/>
      <c r="Z44" s="143"/>
      <c r="AA44" s="143"/>
      <c r="AB44" s="143"/>
      <c r="AC44" s="269"/>
      <c r="AD44" s="194"/>
      <c r="AE44" s="194"/>
      <c r="AF44" s="268"/>
      <c r="AG44" s="143"/>
      <c r="AH44" s="143"/>
      <c r="AI44" s="143"/>
      <c r="AJ44" s="269"/>
      <c r="AK44" s="194"/>
      <c r="AL44" s="194"/>
      <c r="AM44" s="268"/>
      <c r="AN44" s="143"/>
      <c r="AO44" s="143"/>
      <c r="AP44" s="143"/>
      <c r="AQ44" s="269"/>
      <c r="AR44" s="194"/>
      <c r="AS44" s="194"/>
      <c r="AT44" s="268"/>
      <c r="AU44" s="143"/>
      <c r="AV44" s="143"/>
      <c r="AW44" s="143"/>
      <c r="AX44" s="269"/>
      <c r="AY44" s="194"/>
      <c r="AZ44" s="194"/>
      <c r="BA44" s="268"/>
      <c r="BB44" s="143"/>
      <c r="BC44" s="143"/>
      <c r="BD44" s="143"/>
      <c r="BE44" s="269"/>
      <c r="BF44" s="194"/>
      <c r="BG44" s="194"/>
      <c r="BH44" s="268"/>
      <c r="BI44" s="143"/>
      <c r="BJ44" s="143"/>
      <c r="BK44" s="143"/>
      <c r="BL44" s="269"/>
      <c r="BM44" s="194"/>
      <c r="BN44" s="194"/>
      <c r="BO44" s="268"/>
      <c r="BP44" s="143"/>
      <c r="BQ44" s="143"/>
      <c r="BR44" s="143"/>
      <c r="BS44" s="269"/>
      <c r="BT44" s="194"/>
      <c r="BU44" s="194"/>
      <c r="BV44" s="268"/>
      <c r="BW44" s="143"/>
      <c r="BX44" s="143"/>
      <c r="BY44" s="143"/>
      <c r="BZ44" s="269"/>
      <c r="CA44" s="194"/>
      <c r="CB44" s="194"/>
      <c r="CC44" s="268"/>
      <c r="CD44" s="143"/>
      <c r="CE44" s="143"/>
      <c r="CF44" s="143"/>
      <c r="CG44" s="269"/>
      <c r="CH44" s="194"/>
      <c r="CI44" s="194"/>
      <c r="CJ44" s="268"/>
      <c r="CK44" s="143"/>
      <c r="CL44" s="143"/>
      <c r="CM44" s="143"/>
      <c r="CN44" s="269"/>
      <c r="CO44" s="194"/>
      <c r="CP44" s="194"/>
      <c r="CQ44" s="268"/>
      <c r="CR44" s="143"/>
      <c r="CS44" s="143"/>
      <c r="CT44" s="143"/>
      <c r="CU44" s="269"/>
      <c r="CV44" s="194"/>
      <c r="CW44" s="194"/>
      <c r="CX44" s="268"/>
      <c r="CY44" s="143"/>
      <c r="CZ44" s="143"/>
      <c r="DA44" s="143"/>
      <c r="DB44" s="269"/>
      <c r="DC44" s="194"/>
      <c r="DD44" s="194"/>
      <c r="DE44" s="268"/>
      <c r="DF44" s="143"/>
      <c r="DG44" s="143"/>
      <c r="DH44" s="143"/>
      <c r="DI44" s="269"/>
      <c r="DJ44" s="194"/>
      <c r="DK44" s="194"/>
      <c r="DL44" s="268"/>
      <c r="DM44" s="143"/>
      <c r="DN44" s="143"/>
      <c r="DO44" s="143"/>
      <c r="DP44" s="269"/>
      <c r="DQ44" s="194"/>
      <c r="DR44" s="194"/>
      <c r="DS44" s="268"/>
      <c r="DT44" s="143"/>
      <c r="DU44" s="143"/>
      <c r="DV44" s="143"/>
      <c r="DW44" s="269"/>
      <c r="DX44" s="194"/>
      <c r="DY44" s="194"/>
      <c r="DZ44" s="268"/>
      <c r="EA44" s="143"/>
      <c r="EB44" s="143"/>
      <c r="EC44" s="143"/>
      <c r="ED44" s="269"/>
      <c r="EE44" s="194"/>
      <c r="EF44" s="194"/>
      <c r="EG44" s="268"/>
      <c r="EH44" s="143"/>
      <c r="EI44" s="143"/>
      <c r="EJ44" s="143"/>
      <c r="EK44" s="269"/>
      <c r="EL44" s="194"/>
      <c r="EM44" s="194"/>
      <c r="EN44" s="268"/>
      <c r="EO44" s="143"/>
      <c r="EP44" s="143"/>
      <c r="EQ44" s="143"/>
      <c r="ER44" s="269"/>
      <c r="ES44" s="194"/>
      <c r="ET44" s="194"/>
      <c r="EU44" s="268"/>
      <c r="EV44" s="143"/>
      <c r="EW44" s="143"/>
      <c r="EX44" s="143"/>
      <c r="EY44" s="269"/>
      <c r="EZ44" s="194"/>
      <c r="FA44" s="194"/>
      <c r="FB44" s="268"/>
      <c r="FC44" s="143"/>
      <c r="FD44" s="143"/>
      <c r="FE44" s="143"/>
      <c r="FF44" s="269"/>
      <c r="FG44" s="194"/>
      <c r="FH44" s="194"/>
      <c r="FI44" s="268"/>
      <c r="FJ44" s="143"/>
      <c r="FK44" s="143"/>
      <c r="FL44" s="143"/>
      <c r="FM44" s="269"/>
      <c r="FN44" s="194"/>
      <c r="FO44" s="194"/>
      <c r="FP44" s="268"/>
      <c r="FQ44" s="143"/>
      <c r="FR44" s="143"/>
      <c r="FS44" s="143"/>
      <c r="FT44" s="269"/>
      <c r="FU44" s="194"/>
      <c r="FV44" s="194"/>
      <c r="FW44" s="268"/>
      <c r="FX44" s="143"/>
      <c r="FY44" s="143"/>
      <c r="FZ44" s="143"/>
      <c r="GA44" s="269"/>
      <c r="GB44" s="194"/>
      <c r="GC44" s="277"/>
      <c r="GD44" s="268"/>
      <c r="GE44" s="143"/>
      <c r="GF44" s="143"/>
      <c r="GG44" s="143"/>
      <c r="GH44" s="143"/>
      <c r="GI44" s="194"/>
      <c r="GJ44" s="282"/>
      <c r="GK44" s="143"/>
      <c r="GL44" s="143"/>
      <c r="GM44" s="143"/>
      <c r="GN44" s="143"/>
      <c r="GO44" s="143"/>
      <c r="GP44" s="210"/>
      <c r="GQ44" s="210"/>
      <c r="GR44" s="143"/>
      <c r="GS44" s="143"/>
      <c r="GT44" s="143"/>
      <c r="GU44" s="143"/>
      <c r="GV44" s="143"/>
      <c r="GW44" s="210"/>
      <c r="GX44" s="210"/>
      <c r="GY44" s="143"/>
      <c r="GZ44" s="143"/>
      <c r="HA44" s="143"/>
      <c r="HB44" s="143"/>
      <c r="HC44" s="143"/>
      <c r="HD44" s="210"/>
      <c r="HE44" s="210"/>
      <c r="HF44" s="143"/>
      <c r="HG44" s="143"/>
      <c r="HH44" s="143"/>
      <c r="HI44" s="143"/>
      <c r="HJ44" s="143"/>
      <c r="HK44" s="210"/>
      <c r="HL44" s="210"/>
      <c r="HM44" s="143"/>
      <c r="HN44" s="143"/>
      <c r="HO44" s="143"/>
      <c r="HP44" s="143"/>
      <c r="HQ44" s="143"/>
      <c r="HR44" s="143"/>
      <c r="HS44" s="143"/>
      <c r="HT44" s="143"/>
      <c r="HU44" s="143"/>
      <c r="HV44" s="143"/>
      <c r="HW44" s="143"/>
      <c r="HX44" s="143"/>
      <c r="HY44" s="203"/>
      <c r="HZ44" s="203"/>
      <c r="IA44" s="143"/>
      <c r="IB44" s="143"/>
      <c r="IC44" s="143"/>
      <c r="ID44" s="143"/>
      <c r="IE44" s="143"/>
      <c r="IF44" s="203"/>
      <c r="IG44" s="203"/>
      <c r="IH44" s="143"/>
      <c r="II44" s="143"/>
      <c r="IJ44" s="143"/>
      <c r="IK44" s="143"/>
      <c r="IL44" s="143"/>
      <c r="IM44" s="203"/>
      <c r="IN44" s="203"/>
      <c r="IO44" s="143"/>
      <c r="IP44" s="143"/>
      <c r="IQ44" s="227"/>
      <c r="IR44" s="227"/>
      <c r="IS44" s="227"/>
      <c r="IT44" s="203"/>
      <c r="IU44" s="203"/>
      <c r="IV44" s="143"/>
      <c r="IW44" s="143"/>
      <c r="IX44" s="143"/>
      <c r="IY44" s="143"/>
      <c r="IZ44" s="143"/>
      <c r="JA44" s="203"/>
      <c r="JB44" s="203"/>
      <c r="JC44" s="227"/>
      <c r="JD44" s="227"/>
      <c r="JE44" s="143"/>
      <c r="JF44" s="143"/>
      <c r="JG44" s="143"/>
      <c r="JH44" s="203"/>
      <c r="JI44" s="203"/>
      <c r="JJ44" s="143"/>
      <c r="JK44" s="143"/>
      <c r="JL44" s="143"/>
      <c r="JM44" s="143"/>
      <c r="JN44" s="143"/>
      <c r="JO44" s="203"/>
      <c r="JP44" s="203"/>
      <c r="JQ44" s="143"/>
      <c r="JR44" s="143"/>
      <c r="JS44" s="143"/>
      <c r="JT44" s="143"/>
      <c r="JU44" s="143"/>
      <c r="JV44" s="203"/>
      <c r="JW44" s="203"/>
      <c r="JX44" s="143"/>
      <c r="JY44" s="143"/>
      <c r="JZ44" s="143"/>
      <c r="KA44" s="143"/>
      <c r="KB44" s="143"/>
      <c r="KC44" s="203"/>
      <c r="KD44" s="203"/>
      <c r="KE44" s="143"/>
      <c r="KF44" s="143"/>
      <c r="KG44" s="143"/>
      <c r="KH44" s="143"/>
      <c r="KI44" s="143"/>
      <c r="KJ44" s="194"/>
      <c r="KK44" s="194"/>
      <c r="KL44" s="143"/>
      <c r="KM44" s="143"/>
      <c r="KN44" s="143"/>
      <c r="KO44" s="143"/>
      <c r="KP44" s="227"/>
      <c r="KQ44" s="194"/>
      <c r="KR44" s="194"/>
      <c r="KS44" s="143"/>
      <c r="KT44" s="143"/>
      <c r="KU44" s="143"/>
      <c r="KV44" s="143"/>
      <c r="KW44" s="143"/>
      <c r="KX44" s="210"/>
      <c r="KY44" s="210"/>
      <c r="KZ44" s="194"/>
      <c r="LA44" s="194"/>
      <c r="LB44" s="194"/>
      <c r="LC44" s="194"/>
      <c r="LD44" s="194"/>
      <c r="LE44" s="210"/>
      <c r="LF44" s="210"/>
      <c r="LG44" s="227"/>
      <c r="LH44" s="227"/>
      <c r="LI44" s="227"/>
      <c r="LJ44" s="227"/>
      <c r="LK44" s="227"/>
      <c r="LL44" s="227"/>
      <c r="LM44" s="210"/>
      <c r="LN44" s="227"/>
      <c r="LO44" s="227"/>
      <c r="LP44" s="227"/>
      <c r="LQ44" s="227"/>
      <c r="LR44" s="227"/>
      <c r="LS44" s="210"/>
      <c r="LT44" s="210"/>
      <c r="LU44" s="227"/>
      <c r="LV44" s="143"/>
      <c r="LW44" s="143"/>
      <c r="LX44" s="143"/>
      <c r="LY44" s="143"/>
      <c r="LZ44" s="203"/>
      <c r="MA44" s="203"/>
      <c r="MB44" s="143"/>
      <c r="MC44" s="143"/>
      <c r="MD44" s="143"/>
      <c r="ME44" s="143"/>
      <c r="MF44" s="143"/>
      <c r="MG44" s="203"/>
      <c r="MH44" s="203"/>
      <c r="MI44" s="143"/>
      <c r="MJ44" s="143"/>
      <c r="MK44" s="143"/>
      <c r="ML44" s="143"/>
      <c r="MM44" s="143"/>
      <c r="MN44" s="203"/>
      <c r="MO44" s="203"/>
      <c r="MP44" s="143"/>
      <c r="MQ44" s="143"/>
      <c r="MR44" s="143"/>
      <c r="MS44" s="143"/>
      <c r="MT44" s="143"/>
      <c r="MU44" s="203"/>
      <c r="MV44" s="203"/>
      <c r="MW44" s="143"/>
      <c r="MX44" s="143"/>
      <c r="MY44" s="143"/>
      <c r="MZ44" s="143"/>
      <c r="NA44" s="143"/>
      <c r="NB44" s="143"/>
      <c r="NC44" s="143"/>
      <c r="ND44" s="143"/>
    </row>
    <row r="45" spans="1:368" s="140" customFormat="1" ht="15" customHeight="1">
      <c r="A45" s="470"/>
      <c r="B45" s="461"/>
      <c r="C45" s="164" t="s">
        <v>12</v>
      </c>
      <c r="D45" s="268"/>
      <c r="E45" s="143"/>
      <c r="F45" s="143"/>
      <c r="G45" s="143"/>
      <c r="H45" s="269"/>
      <c r="I45" s="194"/>
      <c r="J45" s="194"/>
      <c r="K45" s="268"/>
      <c r="L45" s="143"/>
      <c r="M45" s="143"/>
      <c r="N45" s="143"/>
      <c r="O45" s="269"/>
      <c r="P45" s="194"/>
      <c r="Q45" s="194"/>
      <c r="R45" s="268"/>
      <c r="S45" s="143"/>
      <c r="T45" s="143"/>
      <c r="U45" s="143"/>
      <c r="V45" s="269"/>
      <c r="W45" s="194"/>
      <c r="X45" s="194"/>
      <c r="Y45" s="268"/>
      <c r="Z45" s="143"/>
      <c r="AA45" s="143"/>
      <c r="AB45" s="143"/>
      <c r="AC45" s="269"/>
      <c r="AD45" s="194"/>
      <c r="AE45" s="194"/>
      <c r="AF45" s="268"/>
      <c r="AG45" s="143"/>
      <c r="AH45" s="143"/>
      <c r="AI45" s="143"/>
      <c r="AJ45" s="269"/>
      <c r="AK45" s="194"/>
      <c r="AL45" s="194"/>
      <c r="AM45" s="268"/>
      <c r="AN45" s="143"/>
      <c r="AO45" s="143"/>
      <c r="AP45" s="143"/>
      <c r="AQ45" s="269"/>
      <c r="AR45" s="194"/>
      <c r="AS45" s="194"/>
      <c r="AT45" s="268"/>
      <c r="AU45" s="143"/>
      <c r="AV45" s="143"/>
      <c r="AW45" s="143"/>
      <c r="AX45" s="269"/>
      <c r="AY45" s="194"/>
      <c r="AZ45" s="194"/>
      <c r="BA45" s="268"/>
      <c r="BB45" s="143"/>
      <c r="BC45" s="143"/>
      <c r="BD45" s="143"/>
      <c r="BE45" s="269"/>
      <c r="BF45" s="194"/>
      <c r="BG45" s="194"/>
      <c r="BH45" s="268"/>
      <c r="BI45" s="143"/>
      <c r="BJ45" s="143"/>
      <c r="BK45" s="143"/>
      <c r="BL45" s="269"/>
      <c r="BM45" s="194"/>
      <c r="BN45" s="194"/>
      <c r="BO45" s="268"/>
      <c r="BP45" s="143"/>
      <c r="BQ45" s="143"/>
      <c r="BR45" s="143"/>
      <c r="BS45" s="269"/>
      <c r="BT45" s="194"/>
      <c r="BU45" s="194"/>
      <c r="BV45" s="268"/>
      <c r="BW45" s="143"/>
      <c r="BX45" s="143"/>
      <c r="BY45" s="143"/>
      <c r="BZ45" s="269"/>
      <c r="CA45" s="194"/>
      <c r="CB45" s="194"/>
      <c r="CC45" s="268"/>
      <c r="CD45" s="143"/>
      <c r="CE45" s="143"/>
      <c r="CF45" s="143"/>
      <c r="CG45" s="269"/>
      <c r="CH45" s="194"/>
      <c r="CI45" s="194"/>
      <c r="CJ45" s="268"/>
      <c r="CK45" s="143"/>
      <c r="CL45" s="143"/>
      <c r="CM45" s="143"/>
      <c r="CN45" s="269"/>
      <c r="CO45" s="194"/>
      <c r="CP45" s="194"/>
      <c r="CQ45" s="268"/>
      <c r="CR45" s="143"/>
      <c r="CS45" s="143"/>
      <c r="CT45" s="143"/>
      <c r="CU45" s="269"/>
      <c r="CV45" s="194"/>
      <c r="CW45" s="194"/>
      <c r="CX45" s="268"/>
      <c r="CY45" s="143"/>
      <c r="CZ45" s="143"/>
      <c r="DA45" s="143"/>
      <c r="DB45" s="269"/>
      <c r="DC45" s="194"/>
      <c r="DD45" s="194"/>
      <c r="DE45" s="268"/>
      <c r="DF45" s="143"/>
      <c r="DG45" s="143"/>
      <c r="DH45" s="143"/>
      <c r="DI45" s="269"/>
      <c r="DJ45" s="194"/>
      <c r="DK45" s="194"/>
      <c r="DL45" s="268"/>
      <c r="DM45" s="143"/>
      <c r="DN45" s="143"/>
      <c r="DO45" s="143"/>
      <c r="DP45" s="269"/>
      <c r="DQ45" s="194"/>
      <c r="DR45" s="194"/>
      <c r="DS45" s="268"/>
      <c r="DT45" s="143"/>
      <c r="DU45" s="143"/>
      <c r="DV45" s="143"/>
      <c r="DW45" s="269"/>
      <c r="DX45" s="194"/>
      <c r="DY45" s="194"/>
      <c r="DZ45" s="268"/>
      <c r="EA45" s="143"/>
      <c r="EB45" s="143"/>
      <c r="EC45" s="143"/>
      <c r="ED45" s="269"/>
      <c r="EE45" s="194"/>
      <c r="EF45" s="194"/>
      <c r="EG45" s="268"/>
      <c r="EH45" s="143"/>
      <c r="EI45" s="143"/>
      <c r="EJ45" s="143"/>
      <c r="EK45" s="269"/>
      <c r="EL45" s="194"/>
      <c r="EM45" s="194"/>
      <c r="EN45" s="268"/>
      <c r="EO45" s="143"/>
      <c r="EP45" s="143"/>
      <c r="EQ45" s="143"/>
      <c r="ER45" s="269"/>
      <c r="ES45" s="194"/>
      <c r="ET45" s="194"/>
      <c r="EU45" s="268"/>
      <c r="EV45" s="143"/>
      <c r="EW45" s="143"/>
      <c r="EX45" s="143"/>
      <c r="EY45" s="269"/>
      <c r="EZ45" s="194"/>
      <c r="FA45" s="194"/>
      <c r="FB45" s="268"/>
      <c r="FC45" s="143"/>
      <c r="FD45" s="143"/>
      <c r="FE45" s="143"/>
      <c r="FF45" s="269"/>
      <c r="FG45" s="194"/>
      <c r="FH45" s="194"/>
      <c r="FI45" s="268"/>
      <c r="FJ45" s="143"/>
      <c r="FK45" s="143"/>
      <c r="FL45" s="143"/>
      <c r="FM45" s="269"/>
      <c r="FN45" s="194"/>
      <c r="FO45" s="194"/>
      <c r="FP45" s="268"/>
      <c r="FQ45" s="143"/>
      <c r="FR45" s="143"/>
      <c r="FS45" s="143"/>
      <c r="FT45" s="269"/>
      <c r="FU45" s="194"/>
      <c r="FV45" s="194"/>
      <c r="FW45" s="268"/>
      <c r="FX45" s="143"/>
      <c r="FY45" s="143"/>
      <c r="FZ45" s="143"/>
      <c r="GA45" s="269"/>
      <c r="GB45" s="194"/>
      <c r="GC45" s="277"/>
      <c r="GD45" s="268"/>
      <c r="GE45" s="143"/>
      <c r="GF45" s="143"/>
      <c r="GG45" s="143"/>
      <c r="GH45" s="143"/>
      <c r="GI45" s="194"/>
      <c r="GJ45" s="282"/>
      <c r="GK45" s="143"/>
      <c r="GL45" s="143"/>
      <c r="GM45" s="143"/>
      <c r="GN45" s="143"/>
      <c r="GO45" s="143"/>
      <c r="GP45" s="210"/>
      <c r="GQ45" s="210"/>
      <c r="GR45" s="143"/>
      <c r="GS45" s="143"/>
      <c r="GT45" s="143"/>
      <c r="GU45" s="143"/>
      <c r="GV45" s="143"/>
      <c r="GW45" s="210"/>
      <c r="GX45" s="210"/>
      <c r="GY45" s="143"/>
      <c r="GZ45" s="143"/>
      <c r="HA45" s="143"/>
      <c r="HB45" s="143"/>
      <c r="HC45" s="143"/>
      <c r="HD45" s="210"/>
      <c r="HE45" s="210"/>
      <c r="HF45" s="143"/>
      <c r="HG45" s="143"/>
      <c r="HH45" s="143"/>
      <c r="HI45" s="143"/>
      <c r="HJ45" s="143"/>
      <c r="HK45" s="210"/>
      <c r="HL45" s="210"/>
      <c r="HM45" s="143"/>
      <c r="HN45" s="143"/>
      <c r="HO45" s="143"/>
      <c r="HP45" s="143"/>
      <c r="HQ45" s="143"/>
      <c r="HR45" s="143"/>
      <c r="HS45" s="143"/>
      <c r="HT45" s="143"/>
      <c r="HU45" s="143"/>
      <c r="HV45" s="143"/>
      <c r="HW45" s="143"/>
      <c r="HX45" s="143"/>
      <c r="HY45" s="203"/>
      <c r="HZ45" s="203"/>
      <c r="IA45" s="143"/>
      <c r="IB45" s="143"/>
      <c r="IC45" s="143"/>
      <c r="ID45" s="143"/>
      <c r="IE45" s="143"/>
      <c r="IF45" s="203"/>
      <c r="IG45" s="203"/>
      <c r="IH45" s="143"/>
      <c r="II45" s="143"/>
      <c r="IJ45" s="143"/>
      <c r="IK45" s="143"/>
      <c r="IL45" s="143"/>
      <c r="IM45" s="203"/>
      <c r="IN45" s="203"/>
      <c r="IO45" s="143"/>
      <c r="IP45" s="143"/>
      <c r="IQ45" s="227"/>
      <c r="IR45" s="227"/>
      <c r="IS45" s="227"/>
      <c r="IT45" s="203"/>
      <c r="IU45" s="203"/>
      <c r="IV45" s="143"/>
      <c r="IW45" s="143"/>
      <c r="IX45" s="143"/>
      <c r="IY45" s="143"/>
      <c r="IZ45" s="143"/>
      <c r="JA45" s="203"/>
      <c r="JB45" s="203"/>
      <c r="JC45" s="227"/>
      <c r="JD45" s="227"/>
      <c r="JE45" s="143"/>
      <c r="JF45" s="143"/>
      <c r="JG45" s="143"/>
      <c r="JH45" s="203"/>
      <c r="JI45" s="203"/>
      <c r="JJ45" s="143"/>
      <c r="JK45" s="143"/>
      <c r="JL45" s="143"/>
      <c r="JM45" s="143"/>
      <c r="JN45" s="143"/>
      <c r="JO45" s="203"/>
      <c r="JP45" s="203"/>
      <c r="JQ45" s="143"/>
      <c r="JR45" s="143"/>
      <c r="JS45" s="143"/>
      <c r="JT45" s="143"/>
      <c r="JU45" s="143"/>
      <c r="JV45" s="203"/>
      <c r="JW45" s="203"/>
      <c r="JX45" s="143"/>
      <c r="JY45" s="143"/>
      <c r="JZ45" s="143"/>
      <c r="KA45" s="143"/>
      <c r="KB45" s="143"/>
      <c r="KC45" s="203"/>
      <c r="KD45" s="203"/>
      <c r="KE45" s="143"/>
      <c r="KF45" s="143"/>
      <c r="KG45" s="143"/>
      <c r="KH45" s="143"/>
      <c r="KI45" s="143"/>
      <c r="KJ45" s="194"/>
      <c r="KK45" s="194"/>
      <c r="KL45" s="143"/>
      <c r="KM45" s="143"/>
      <c r="KN45" s="143"/>
      <c r="KO45" s="143"/>
      <c r="KP45" s="227"/>
      <c r="KQ45" s="194"/>
      <c r="KR45" s="194"/>
      <c r="KS45" s="143"/>
      <c r="KT45" s="143"/>
      <c r="KU45" s="143"/>
      <c r="KV45" s="143"/>
      <c r="KW45" s="143"/>
      <c r="KX45" s="210"/>
      <c r="KY45" s="210"/>
      <c r="KZ45" s="194"/>
      <c r="LA45" s="194"/>
      <c r="LB45" s="194"/>
      <c r="LC45" s="194"/>
      <c r="LD45" s="194"/>
      <c r="LE45" s="210"/>
      <c r="LF45" s="210"/>
      <c r="LG45" s="227"/>
      <c r="LH45" s="227"/>
      <c r="LI45" s="227"/>
      <c r="LJ45" s="227"/>
      <c r="LK45" s="227"/>
      <c r="LL45" s="227"/>
      <c r="LM45" s="210"/>
      <c r="LN45" s="227"/>
      <c r="LO45" s="227"/>
      <c r="LP45" s="227"/>
      <c r="LQ45" s="227"/>
      <c r="LR45" s="227"/>
      <c r="LS45" s="210"/>
      <c r="LT45" s="210"/>
      <c r="LU45" s="227"/>
      <c r="LV45" s="143"/>
      <c r="LW45" s="143"/>
      <c r="LX45" s="143"/>
      <c r="LY45" s="143"/>
      <c r="LZ45" s="203"/>
      <c r="MA45" s="203"/>
      <c r="MB45" s="143"/>
      <c r="MC45" s="143"/>
      <c r="MD45" s="143"/>
      <c r="ME45" s="143"/>
      <c r="MF45" s="143"/>
      <c r="MG45" s="203"/>
      <c r="MH45" s="203"/>
      <c r="MI45" s="143"/>
      <c r="MJ45" s="143"/>
      <c r="MK45" s="143"/>
      <c r="ML45" s="143"/>
      <c r="MM45" s="143"/>
      <c r="MN45" s="203"/>
      <c r="MO45" s="203"/>
      <c r="MP45" s="143"/>
      <c r="MQ45" s="143"/>
      <c r="MR45" s="143"/>
      <c r="MS45" s="143"/>
      <c r="MT45" s="143"/>
      <c r="MU45" s="203"/>
      <c r="MV45" s="203"/>
      <c r="MW45" s="143"/>
      <c r="MX45" s="143"/>
      <c r="MY45" s="143"/>
      <c r="MZ45" s="143"/>
      <c r="NA45" s="143"/>
      <c r="NB45" s="143"/>
      <c r="NC45" s="143"/>
      <c r="ND45" s="143"/>
    </row>
    <row r="46" spans="1:368" s="140" customFormat="1" ht="15" customHeight="1">
      <c r="A46" s="470"/>
      <c r="B46" s="461"/>
      <c r="C46" s="164" t="s">
        <v>13</v>
      </c>
      <c r="D46" s="268"/>
      <c r="E46" s="143"/>
      <c r="F46" s="143"/>
      <c r="G46" s="143"/>
      <c r="H46" s="269"/>
      <c r="I46" s="194"/>
      <c r="J46" s="194"/>
      <c r="K46" s="268"/>
      <c r="L46" s="143"/>
      <c r="M46" s="143"/>
      <c r="N46" s="143"/>
      <c r="O46" s="269"/>
      <c r="P46" s="194"/>
      <c r="Q46" s="194"/>
      <c r="R46" s="268"/>
      <c r="S46" s="143"/>
      <c r="T46" s="143"/>
      <c r="U46" s="143"/>
      <c r="V46" s="269"/>
      <c r="W46" s="194"/>
      <c r="X46" s="194"/>
      <c r="Y46" s="268"/>
      <c r="Z46" s="143"/>
      <c r="AA46" s="143"/>
      <c r="AB46" s="143"/>
      <c r="AC46" s="269"/>
      <c r="AD46" s="194"/>
      <c r="AE46" s="194"/>
      <c r="AF46" s="268"/>
      <c r="AG46" s="143"/>
      <c r="AH46" s="143"/>
      <c r="AI46" s="143"/>
      <c r="AJ46" s="269"/>
      <c r="AK46" s="194"/>
      <c r="AL46" s="194"/>
      <c r="AM46" s="268"/>
      <c r="AN46" s="143"/>
      <c r="AO46" s="143"/>
      <c r="AP46" s="143"/>
      <c r="AQ46" s="269"/>
      <c r="AR46" s="194"/>
      <c r="AS46" s="194"/>
      <c r="AT46" s="268"/>
      <c r="AU46" s="143"/>
      <c r="AV46" s="143"/>
      <c r="AW46" s="143"/>
      <c r="AX46" s="269"/>
      <c r="AY46" s="194"/>
      <c r="AZ46" s="194"/>
      <c r="BA46" s="268"/>
      <c r="BB46" s="143"/>
      <c r="BC46" s="143"/>
      <c r="BD46" s="143"/>
      <c r="BE46" s="269"/>
      <c r="BF46" s="194"/>
      <c r="BG46" s="194"/>
      <c r="BH46" s="268"/>
      <c r="BI46" s="143"/>
      <c r="BJ46" s="143"/>
      <c r="BK46" s="143"/>
      <c r="BL46" s="269"/>
      <c r="BM46" s="194"/>
      <c r="BN46" s="194"/>
      <c r="BO46" s="268"/>
      <c r="BP46" s="143"/>
      <c r="BQ46" s="143"/>
      <c r="BR46" s="143"/>
      <c r="BS46" s="269"/>
      <c r="BT46" s="194"/>
      <c r="BU46" s="194"/>
      <c r="BV46" s="268"/>
      <c r="BW46" s="143"/>
      <c r="BX46" s="143"/>
      <c r="BY46" s="143"/>
      <c r="BZ46" s="269"/>
      <c r="CA46" s="194"/>
      <c r="CB46" s="194"/>
      <c r="CC46" s="268"/>
      <c r="CD46" s="143"/>
      <c r="CE46" s="143"/>
      <c r="CF46" s="143"/>
      <c r="CG46" s="269"/>
      <c r="CH46" s="194"/>
      <c r="CI46" s="194"/>
      <c r="CJ46" s="268"/>
      <c r="CK46" s="143"/>
      <c r="CL46" s="143"/>
      <c r="CM46" s="143"/>
      <c r="CN46" s="269"/>
      <c r="CO46" s="194"/>
      <c r="CP46" s="194"/>
      <c r="CQ46" s="268"/>
      <c r="CR46" s="143"/>
      <c r="CS46" s="143"/>
      <c r="CT46" s="143"/>
      <c r="CU46" s="269"/>
      <c r="CV46" s="194"/>
      <c r="CW46" s="194"/>
      <c r="CX46" s="268"/>
      <c r="CY46" s="143"/>
      <c r="CZ46" s="143"/>
      <c r="DA46" s="143"/>
      <c r="DB46" s="269"/>
      <c r="DC46" s="194"/>
      <c r="DD46" s="194"/>
      <c r="DE46" s="268"/>
      <c r="DF46" s="143"/>
      <c r="DG46" s="143"/>
      <c r="DH46" s="143"/>
      <c r="DI46" s="269"/>
      <c r="DJ46" s="194"/>
      <c r="DK46" s="194"/>
      <c r="DL46" s="268"/>
      <c r="DM46" s="143"/>
      <c r="DN46" s="143"/>
      <c r="DO46" s="143"/>
      <c r="DP46" s="269"/>
      <c r="DQ46" s="194"/>
      <c r="DR46" s="194"/>
      <c r="DS46" s="268"/>
      <c r="DT46" s="143"/>
      <c r="DU46" s="143"/>
      <c r="DV46" s="143"/>
      <c r="DW46" s="269"/>
      <c r="DX46" s="194"/>
      <c r="DY46" s="194"/>
      <c r="DZ46" s="268"/>
      <c r="EA46" s="143"/>
      <c r="EB46" s="143"/>
      <c r="EC46" s="143"/>
      <c r="ED46" s="269"/>
      <c r="EE46" s="194"/>
      <c r="EF46" s="194"/>
      <c r="EG46" s="268"/>
      <c r="EH46" s="143"/>
      <c r="EI46" s="143"/>
      <c r="EJ46" s="143"/>
      <c r="EK46" s="269"/>
      <c r="EL46" s="194"/>
      <c r="EM46" s="194"/>
      <c r="EN46" s="268"/>
      <c r="EO46" s="143"/>
      <c r="EP46" s="143"/>
      <c r="EQ46" s="143"/>
      <c r="ER46" s="269"/>
      <c r="ES46" s="194"/>
      <c r="ET46" s="194"/>
      <c r="EU46" s="268"/>
      <c r="EV46" s="143"/>
      <c r="EW46" s="143"/>
      <c r="EX46" s="143"/>
      <c r="EY46" s="269"/>
      <c r="EZ46" s="194"/>
      <c r="FA46" s="194"/>
      <c r="FB46" s="268"/>
      <c r="FC46" s="143"/>
      <c r="FD46" s="143"/>
      <c r="FE46" s="143"/>
      <c r="FF46" s="269"/>
      <c r="FG46" s="194"/>
      <c r="FH46" s="194"/>
      <c r="FI46" s="268"/>
      <c r="FJ46" s="143"/>
      <c r="FK46" s="143"/>
      <c r="FL46" s="143"/>
      <c r="FM46" s="269"/>
      <c r="FN46" s="194"/>
      <c r="FO46" s="194"/>
      <c r="FP46" s="268"/>
      <c r="FQ46" s="143"/>
      <c r="FR46" s="143"/>
      <c r="FS46" s="143"/>
      <c r="FT46" s="269"/>
      <c r="FU46" s="194"/>
      <c r="FV46" s="194"/>
      <c r="FW46" s="268"/>
      <c r="FX46" s="143"/>
      <c r="FY46" s="143"/>
      <c r="FZ46" s="143"/>
      <c r="GA46" s="269"/>
      <c r="GB46" s="194"/>
      <c r="GC46" s="277"/>
      <c r="GD46" s="268"/>
      <c r="GE46" s="143"/>
      <c r="GF46" s="143"/>
      <c r="GG46" s="143"/>
      <c r="GH46" s="143"/>
      <c r="GI46" s="194"/>
      <c r="GJ46" s="282"/>
      <c r="GK46" s="143"/>
      <c r="GL46" s="143"/>
      <c r="GM46" s="143"/>
      <c r="GN46" s="143"/>
      <c r="GO46" s="143"/>
      <c r="GP46" s="210"/>
      <c r="GQ46" s="210"/>
      <c r="GR46" s="143"/>
      <c r="GS46" s="143"/>
      <c r="GT46" s="143"/>
      <c r="GU46" s="143"/>
      <c r="GV46" s="143"/>
      <c r="GW46" s="210"/>
      <c r="GX46" s="210"/>
      <c r="GY46" s="143"/>
      <c r="GZ46" s="143"/>
      <c r="HA46" s="143"/>
      <c r="HB46" s="143"/>
      <c r="HC46" s="143"/>
      <c r="HD46" s="210"/>
      <c r="HE46" s="210"/>
      <c r="HF46" s="143"/>
      <c r="HG46" s="143"/>
      <c r="HH46" s="143"/>
      <c r="HI46" s="143"/>
      <c r="HJ46" s="143"/>
      <c r="HK46" s="210"/>
      <c r="HL46" s="210"/>
      <c r="HM46" s="143"/>
      <c r="HN46" s="143"/>
      <c r="HO46" s="143"/>
      <c r="HP46" s="143"/>
      <c r="HQ46" s="143"/>
      <c r="HR46" s="143"/>
      <c r="HS46" s="143"/>
      <c r="HT46" s="143"/>
      <c r="HU46" s="143"/>
      <c r="HV46" s="143"/>
      <c r="HW46" s="143"/>
      <c r="HX46" s="143"/>
      <c r="HY46" s="203"/>
      <c r="HZ46" s="203"/>
      <c r="IA46" s="143"/>
      <c r="IB46" s="143"/>
      <c r="IC46" s="143"/>
      <c r="ID46" s="143"/>
      <c r="IE46" s="143"/>
      <c r="IF46" s="203"/>
      <c r="IG46" s="203"/>
      <c r="IH46" s="143"/>
      <c r="II46" s="143"/>
      <c r="IJ46" s="143"/>
      <c r="IK46" s="143"/>
      <c r="IL46" s="143"/>
      <c r="IM46" s="203"/>
      <c r="IN46" s="203"/>
      <c r="IO46" s="143"/>
      <c r="IP46" s="143"/>
      <c r="IQ46" s="227"/>
      <c r="IR46" s="227"/>
      <c r="IS46" s="227"/>
      <c r="IT46" s="203"/>
      <c r="IU46" s="203"/>
      <c r="IV46" s="143"/>
      <c r="IW46" s="143"/>
      <c r="IX46" s="143"/>
      <c r="IY46" s="143"/>
      <c r="IZ46" s="143"/>
      <c r="JA46" s="203"/>
      <c r="JB46" s="203"/>
      <c r="JC46" s="227"/>
      <c r="JD46" s="227"/>
      <c r="JE46" s="143"/>
      <c r="JF46" s="143"/>
      <c r="JG46" s="143"/>
      <c r="JH46" s="203"/>
      <c r="JI46" s="203"/>
      <c r="JJ46" s="143"/>
      <c r="JK46" s="143"/>
      <c r="JL46" s="143"/>
      <c r="JM46" s="143"/>
      <c r="JN46" s="143"/>
      <c r="JO46" s="203"/>
      <c r="JP46" s="203"/>
      <c r="JQ46" s="143"/>
      <c r="JR46" s="143"/>
      <c r="JS46" s="143"/>
      <c r="JT46" s="143"/>
      <c r="JU46" s="143"/>
      <c r="JV46" s="203"/>
      <c r="JW46" s="203"/>
      <c r="JX46" s="143"/>
      <c r="JY46" s="143"/>
      <c r="JZ46" s="143"/>
      <c r="KA46" s="143"/>
      <c r="KB46" s="143"/>
      <c r="KC46" s="203"/>
      <c r="KD46" s="203"/>
      <c r="KE46" s="143"/>
      <c r="KF46" s="143"/>
      <c r="KG46" s="143"/>
      <c r="KH46" s="143"/>
      <c r="KI46" s="143"/>
      <c r="KJ46" s="194"/>
      <c r="KK46" s="194"/>
      <c r="KL46" s="143"/>
      <c r="KM46" s="143"/>
      <c r="KN46" s="143"/>
      <c r="KO46" s="143"/>
      <c r="KP46" s="227"/>
      <c r="KQ46" s="194"/>
      <c r="KR46" s="194"/>
      <c r="KS46" s="143"/>
      <c r="KT46" s="143"/>
      <c r="KU46" s="143"/>
      <c r="KV46" s="143"/>
      <c r="KW46" s="143"/>
      <c r="KX46" s="210"/>
      <c r="KY46" s="210"/>
      <c r="KZ46" s="194"/>
      <c r="LA46" s="194"/>
      <c r="LB46" s="194"/>
      <c r="LC46" s="194"/>
      <c r="LD46" s="194"/>
      <c r="LE46" s="210"/>
      <c r="LF46" s="210"/>
      <c r="LG46" s="227"/>
      <c r="LH46" s="227"/>
      <c r="LI46" s="227"/>
      <c r="LJ46" s="227"/>
      <c r="LK46" s="227"/>
      <c r="LL46" s="227"/>
      <c r="LM46" s="210"/>
      <c r="LN46" s="227"/>
      <c r="LO46" s="227"/>
      <c r="LP46" s="227"/>
      <c r="LQ46" s="227"/>
      <c r="LR46" s="227"/>
      <c r="LS46" s="210"/>
      <c r="LT46" s="210"/>
      <c r="LU46" s="227"/>
      <c r="LV46" s="143"/>
      <c r="LW46" s="143"/>
      <c r="LX46" s="143"/>
      <c r="LY46" s="143"/>
      <c r="LZ46" s="203"/>
      <c r="MA46" s="203"/>
      <c r="MB46" s="143"/>
      <c r="MC46" s="143"/>
      <c r="MD46" s="143"/>
      <c r="ME46" s="143"/>
      <c r="MF46" s="143"/>
      <c r="MG46" s="203"/>
      <c r="MH46" s="203"/>
      <c r="MI46" s="143"/>
      <c r="MJ46" s="143"/>
      <c r="MK46" s="143"/>
      <c r="ML46" s="143"/>
      <c r="MM46" s="143"/>
      <c r="MN46" s="203"/>
      <c r="MO46" s="203"/>
      <c r="MP46" s="143"/>
      <c r="MQ46" s="143"/>
      <c r="MR46" s="143"/>
      <c r="MS46" s="143"/>
      <c r="MT46" s="143"/>
      <c r="MU46" s="203"/>
      <c r="MV46" s="203"/>
      <c r="MW46" s="143"/>
      <c r="MX46" s="143"/>
      <c r="MY46" s="143"/>
      <c r="MZ46" s="143"/>
      <c r="NA46" s="143"/>
      <c r="NB46" s="143"/>
      <c r="NC46" s="143"/>
      <c r="ND46" s="143"/>
    </row>
    <row r="47" spans="1:368" s="140" customFormat="1" ht="15" customHeight="1" thickBot="1">
      <c r="A47" s="470"/>
      <c r="B47" s="461"/>
      <c r="C47" s="162" t="s">
        <v>98</v>
      </c>
      <c r="D47" s="260"/>
      <c r="E47" s="261"/>
      <c r="F47" s="261"/>
      <c r="G47" s="261"/>
      <c r="H47" s="262"/>
      <c r="I47" s="192"/>
      <c r="J47" s="192"/>
      <c r="K47" s="260"/>
      <c r="L47" s="261"/>
      <c r="M47" s="261"/>
      <c r="N47" s="261"/>
      <c r="O47" s="262"/>
      <c r="P47" s="192"/>
      <c r="Q47" s="192"/>
      <c r="R47" s="260"/>
      <c r="S47" s="261"/>
      <c r="T47" s="261"/>
      <c r="U47" s="261"/>
      <c r="V47" s="262"/>
      <c r="W47" s="192"/>
      <c r="X47" s="192"/>
      <c r="Y47" s="260"/>
      <c r="Z47" s="261"/>
      <c r="AA47" s="261"/>
      <c r="AB47" s="261"/>
      <c r="AC47" s="262"/>
      <c r="AD47" s="192"/>
      <c r="AE47" s="192"/>
      <c r="AF47" s="260"/>
      <c r="AG47" s="261"/>
      <c r="AH47" s="261"/>
      <c r="AI47" s="261"/>
      <c r="AJ47" s="262"/>
      <c r="AK47" s="192"/>
      <c r="AL47" s="192"/>
      <c r="AM47" s="260"/>
      <c r="AN47" s="261"/>
      <c r="AO47" s="261"/>
      <c r="AP47" s="261"/>
      <c r="AQ47" s="262"/>
      <c r="AR47" s="192"/>
      <c r="AS47" s="192"/>
      <c r="AT47" s="260"/>
      <c r="AU47" s="261"/>
      <c r="AV47" s="261"/>
      <c r="AW47" s="261"/>
      <c r="AX47" s="262"/>
      <c r="AY47" s="192"/>
      <c r="AZ47" s="192"/>
      <c r="BA47" s="260"/>
      <c r="BB47" s="261"/>
      <c r="BC47" s="261"/>
      <c r="BD47" s="261"/>
      <c r="BE47" s="262"/>
      <c r="BF47" s="192"/>
      <c r="BG47" s="192"/>
      <c r="BH47" s="260"/>
      <c r="BI47" s="261"/>
      <c r="BJ47" s="261"/>
      <c r="BK47" s="261"/>
      <c r="BL47" s="262"/>
      <c r="BM47" s="192"/>
      <c r="BN47" s="192"/>
      <c r="BO47" s="260"/>
      <c r="BP47" s="261"/>
      <c r="BQ47" s="261"/>
      <c r="BR47" s="261"/>
      <c r="BS47" s="262"/>
      <c r="BT47" s="192"/>
      <c r="BU47" s="192"/>
      <c r="BV47" s="260"/>
      <c r="BW47" s="261"/>
      <c r="BX47" s="261"/>
      <c r="BY47" s="261"/>
      <c r="BZ47" s="262"/>
      <c r="CA47" s="192"/>
      <c r="CB47" s="192"/>
      <c r="CC47" s="260"/>
      <c r="CD47" s="261"/>
      <c r="CE47" s="261"/>
      <c r="CF47" s="261"/>
      <c r="CG47" s="262"/>
      <c r="CH47" s="192"/>
      <c r="CI47" s="192"/>
      <c r="CJ47" s="260"/>
      <c r="CK47" s="261"/>
      <c r="CL47" s="261"/>
      <c r="CM47" s="261"/>
      <c r="CN47" s="262"/>
      <c r="CO47" s="192"/>
      <c r="CP47" s="192"/>
      <c r="CQ47" s="260"/>
      <c r="CR47" s="261"/>
      <c r="CS47" s="261"/>
      <c r="CT47" s="261"/>
      <c r="CU47" s="262"/>
      <c r="CV47" s="192"/>
      <c r="CW47" s="192"/>
      <c r="CX47" s="260"/>
      <c r="CY47" s="261"/>
      <c r="CZ47" s="261"/>
      <c r="DA47" s="261"/>
      <c r="DB47" s="262"/>
      <c r="DC47" s="192"/>
      <c r="DD47" s="192"/>
      <c r="DE47" s="260"/>
      <c r="DF47" s="261"/>
      <c r="DG47" s="261"/>
      <c r="DH47" s="261"/>
      <c r="DI47" s="262"/>
      <c r="DJ47" s="192"/>
      <c r="DK47" s="192"/>
      <c r="DL47" s="260"/>
      <c r="DM47" s="261"/>
      <c r="DN47" s="261"/>
      <c r="DO47" s="261"/>
      <c r="DP47" s="262"/>
      <c r="DQ47" s="192"/>
      <c r="DR47" s="192"/>
      <c r="DS47" s="260"/>
      <c r="DT47" s="261"/>
      <c r="DU47" s="261"/>
      <c r="DV47" s="261"/>
      <c r="DW47" s="262"/>
      <c r="DX47" s="192"/>
      <c r="DY47" s="192"/>
      <c r="DZ47" s="260"/>
      <c r="EA47" s="261"/>
      <c r="EB47" s="261"/>
      <c r="EC47" s="261"/>
      <c r="ED47" s="262"/>
      <c r="EE47" s="192"/>
      <c r="EF47" s="192"/>
      <c r="EG47" s="260"/>
      <c r="EH47" s="261"/>
      <c r="EI47" s="261"/>
      <c r="EJ47" s="261"/>
      <c r="EK47" s="262"/>
      <c r="EL47" s="192"/>
      <c r="EM47" s="192"/>
      <c r="EN47" s="260"/>
      <c r="EO47" s="261"/>
      <c r="EP47" s="261"/>
      <c r="EQ47" s="261"/>
      <c r="ER47" s="262"/>
      <c r="ES47" s="192"/>
      <c r="ET47" s="192"/>
      <c r="EU47" s="260"/>
      <c r="EV47" s="261"/>
      <c r="EW47" s="261"/>
      <c r="EX47" s="261"/>
      <c r="EY47" s="262"/>
      <c r="EZ47" s="192"/>
      <c r="FA47" s="192"/>
      <c r="FB47" s="260"/>
      <c r="FC47" s="261"/>
      <c r="FD47" s="261"/>
      <c r="FE47" s="261"/>
      <c r="FF47" s="262"/>
      <c r="FG47" s="192"/>
      <c r="FH47" s="192"/>
      <c r="FI47" s="260"/>
      <c r="FJ47" s="261"/>
      <c r="FK47" s="261"/>
      <c r="FL47" s="261"/>
      <c r="FM47" s="262"/>
      <c r="FN47" s="192"/>
      <c r="FO47" s="192"/>
      <c r="FP47" s="260"/>
      <c r="FQ47" s="261"/>
      <c r="FR47" s="261"/>
      <c r="FS47" s="261"/>
      <c r="FT47" s="262"/>
      <c r="FU47" s="192"/>
      <c r="FV47" s="192"/>
      <c r="FW47" s="260"/>
      <c r="FX47" s="261"/>
      <c r="FY47" s="261"/>
      <c r="FZ47" s="261"/>
      <c r="GA47" s="262"/>
      <c r="GB47" s="192"/>
      <c r="GC47" s="278"/>
      <c r="GD47" s="260"/>
      <c r="GE47" s="261"/>
      <c r="GF47" s="261"/>
      <c r="GG47" s="261"/>
      <c r="GH47" s="261"/>
      <c r="GI47" s="283"/>
      <c r="GJ47" s="284"/>
      <c r="GK47" s="139"/>
      <c r="GL47" s="139"/>
      <c r="GM47" s="139"/>
      <c r="GN47" s="139"/>
      <c r="GO47" s="139"/>
      <c r="GP47" s="208"/>
      <c r="GQ47" s="208"/>
      <c r="GR47" s="139"/>
      <c r="GS47" s="139"/>
      <c r="GT47" s="139"/>
      <c r="GU47" s="139"/>
      <c r="GV47" s="139"/>
      <c r="GW47" s="208"/>
      <c r="GX47" s="208"/>
      <c r="GY47" s="139"/>
      <c r="GZ47" s="139"/>
      <c r="HA47" s="139"/>
      <c r="HB47" s="139"/>
      <c r="HC47" s="139"/>
      <c r="HD47" s="208"/>
      <c r="HE47" s="208"/>
      <c r="HF47" s="139"/>
      <c r="HG47" s="139"/>
      <c r="HH47" s="139"/>
      <c r="HI47" s="139"/>
      <c r="HJ47" s="139"/>
      <c r="HK47" s="208"/>
      <c r="HL47" s="208"/>
      <c r="HM47" s="139"/>
      <c r="HN47" s="139"/>
      <c r="HO47" s="139"/>
      <c r="HP47" s="139"/>
      <c r="HQ47" s="139"/>
      <c r="HR47" s="139"/>
      <c r="HS47" s="139"/>
      <c r="HT47" s="139"/>
      <c r="HU47" s="139"/>
      <c r="HV47" s="139"/>
      <c r="HW47" s="139"/>
      <c r="HX47" s="139"/>
      <c r="HY47" s="202"/>
      <c r="HZ47" s="202"/>
      <c r="IA47" s="139"/>
      <c r="IB47" s="139"/>
      <c r="IC47" s="139"/>
      <c r="ID47" s="139"/>
      <c r="IE47" s="139"/>
      <c r="IF47" s="202"/>
      <c r="IG47" s="202"/>
      <c r="IH47" s="139"/>
      <c r="II47" s="139"/>
      <c r="IJ47" s="139"/>
      <c r="IK47" s="139"/>
      <c r="IL47" s="139"/>
      <c r="IM47" s="202"/>
      <c r="IN47" s="202"/>
      <c r="IO47" s="139"/>
      <c r="IP47" s="139"/>
      <c r="IQ47" s="228"/>
      <c r="IR47" s="228"/>
      <c r="IS47" s="228"/>
      <c r="IT47" s="202"/>
      <c r="IU47" s="202"/>
      <c r="IV47" s="139"/>
      <c r="IW47" s="139"/>
      <c r="IX47" s="139"/>
      <c r="IY47" s="139"/>
      <c r="IZ47" s="139"/>
      <c r="JA47" s="202"/>
      <c r="JB47" s="202"/>
      <c r="JC47" s="228"/>
      <c r="JD47" s="228"/>
      <c r="JE47" s="139"/>
      <c r="JF47" s="139"/>
      <c r="JG47" s="139"/>
      <c r="JH47" s="202"/>
      <c r="JI47" s="202"/>
      <c r="JJ47" s="139"/>
      <c r="JK47" s="139"/>
      <c r="JL47" s="139"/>
      <c r="JM47" s="139"/>
      <c r="JN47" s="139"/>
      <c r="JO47" s="202"/>
      <c r="JP47" s="202"/>
      <c r="JQ47" s="139"/>
      <c r="JR47" s="139"/>
      <c r="JS47" s="139"/>
      <c r="JT47" s="139"/>
      <c r="JU47" s="139"/>
      <c r="JV47" s="202"/>
      <c r="JW47" s="202"/>
      <c r="JX47" s="139"/>
      <c r="JY47" s="139"/>
      <c r="JZ47" s="139"/>
      <c r="KA47" s="139"/>
      <c r="KB47" s="139"/>
      <c r="KC47" s="202"/>
      <c r="KD47" s="202"/>
      <c r="KE47" s="139"/>
      <c r="KF47" s="139"/>
      <c r="KG47" s="139"/>
      <c r="KH47" s="139"/>
      <c r="KI47" s="139"/>
      <c r="KJ47" s="192"/>
      <c r="KK47" s="192"/>
      <c r="KL47" s="139"/>
      <c r="KM47" s="139"/>
      <c r="KN47" s="139"/>
      <c r="KO47" s="139"/>
      <c r="KP47" s="228"/>
      <c r="KQ47" s="192"/>
      <c r="KR47" s="192"/>
      <c r="KS47" s="139"/>
      <c r="KT47" s="139"/>
      <c r="KU47" s="139"/>
      <c r="KV47" s="139"/>
      <c r="KW47" s="139"/>
      <c r="KX47" s="208"/>
      <c r="KY47" s="208"/>
      <c r="KZ47" s="192"/>
      <c r="LA47" s="192"/>
      <c r="LB47" s="192"/>
      <c r="LC47" s="192"/>
      <c r="LD47" s="192"/>
      <c r="LE47" s="208"/>
      <c r="LF47" s="208"/>
      <c r="LG47" s="228"/>
      <c r="LH47" s="228"/>
      <c r="LI47" s="228"/>
      <c r="LJ47" s="228"/>
      <c r="LK47" s="228"/>
      <c r="LL47" s="228"/>
      <c r="LM47" s="208"/>
      <c r="LN47" s="228"/>
      <c r="LO47" s="228"/>
      <c r="LP47" s="228"/>
      <c r="LQ47" s="228"/>
      <c r="LR47" s="228"/>
      <c r="LS47" s="208"/>
      <c r="LT47" s="208"/>
      <c r="LU47" s="228"/>
      <c r="LV47" s="139"/>
      <c r="LW47" s="139"/>
      <c r="LX47" s="139"/>
      <c r="LY47" s="139"/>
      <c r="LZ47" s="202"/>
      <c r="MA47" s="202"/>
      <c r="MB47" s="139"/>
      <c r="MC47" s="139"/>
      <c r="MD47" s="139"/>
      <c r="ME47" s="139"/>
      <c r="MF47" s="139"/>
      <c r="MG47" s="202"/>
      <c r="MH47" s="202"/>
      <c r="MI47" s="139"/>
      <c r="MJ47" s="139"/>
      <c r="MK47" s="139"/>
      <c r="ML47" s="139"/>
      <c r="MM47" s="139"/>
      <c r="MN47" s="202"/>
      <c r="MO47" s="202"/>
      <c r="MP47" s="139"/>
      <c r="MQ47" s="139"/>
      <c r="MR47" s="139"/>
      <c r="MS47" s="139"/>
      <c r="MT47" s="139"/>
      <c r="MU47" s="202"/>
      <c r="MV47" s="202"/>
      <c r="MW47" s="139"/>
      <c r="MX47" s="139"/>
      <c r="MY47" s="139"/>
      <c r="MZ47" s="139"/>
      <c r="NA47" s="139"/>
      <c r="NB47" s="139"/>
      <c r="NC47" s="139"/>
      <c r="ND47" s="139"/>
    </row>
    <row r="48" spans="1:368" s="151" customFormat="1" ht="15.75" hidden="1" customHeight="1" thickBot="1">
      <c r="A48" s="470"/>
      <c r="B48" s="474"/>
      <c r="C48" s="165" t="s">
        <v>93</v>
      </c>
      <c r="D48" s="272"/>
      <c r="E48" s="152"/>
      <c r="F48" s="152"/>
      <c r="G48" s="152"/>
      <c r="H48" s="273"/>
      <c r="I48" s="194"/>
      <c r="J48" s="194"/>
      <c r="K48" s="272"/>
      <c r="L48" s="152"/>
      <c r="M48" s="152"/>
      <c r="N48" s="152"/>
      <c r="O48" s="273"/>
      <c r="P48" s="194"/>
      <c r="Q48" s="194"/>
      <c r="R48" s="272"/>
      <c r="S48" s="152"/>
      <c r="T48" s="152"/>
      <c r="U48" s="152"/>
      <c r="V48" s="273"/>
      <c r="W48" s="194"/>
      <c r="X48" s="194"/>
      <c r="Y48" s="272"/>
      <c r="Z48" s="152"/>
      <c r="AA48" s="152"/>
      <c r="AB48" s="152"/>
      <c r="AC48" s="273"/>
      <c r="AD48" s="194"/>
      <c r="AE48" s="194"/>
      <c r="AF48" s="272"/>
      <c r="AG48" s="152"/>
      <c r="AH48" s="152"/>
      <c r="AI48" s="152"/>
      <c r="AJ48" s="273"/>
      <c r="AK48" s="194"/>
      <c r="AL48" s="194"/>
      <c r="AM48" s="272"/>
      <c r="AN48" s="152"/>
      <c r="AO48" s="152"/>
      <c r="AP48" s="152"/>
      <c r="AQ48" s="273"/>
      <c r="AR48" s="194"/>
      <c r="AS48" s="194"/>
      <c r="AT48" s="272"/>
      <c r="AU48" s="152"/>
      <c r="AV48" s="152"/>
      <c r="AW48" s="152"/>
      <c r="AX48" s="273"/>
      <c r="AY48" s="194"/>
      <c r="AZ48" s="194"/>
      <c r="BA48" s="272"/>
      <c r="BB48" s="152"/>
      <c r="BC48" s="152"/>
      <c r="BD48" s="152"/>
      <c r="BE48" s="273"/>
      <c r="BF48" s="194"/>
      <c r="BG48" s="194"/>
      <c r="BH48" s="272"/>
      <c r="BI48" s="152"/>
      <c r="BJ48" s="152"/>
      <c r="BK48" s="152"/>
      <c r="BL48" s="273"/>
      <c r="BM48" s="194"/>
      <c r="BN48" s="194"/>
      <c r="BO48" s="272"/>
      <c r="BP48" s="152"/>
      <c r="BQ48" s="152"/>
      <c r="BR48" s="152"/>
      <c r="BS48" s="273"/>
      <c r="BT48" s="194"/>
      <c r="BU48" s="194"/>
      <c r="BV48" s="272"/>
      <c r="BW48" s="152"/>
      <c r="BX48" s="152"/>
      <c r="BY48" s="152"/>
      <c r="BZ48" s="273"/>
      <c r="CA48" s="194"/>
      <c r="CB48" s="194"/>
      <c r="CC48" s="272"/>
      <c r="CD48" s="152"/>
      <c r="CE48" s="152"/>
      <c r="CF48" s="152"/>
      <c r="CG48" s="273"/>
      <c r="CH48" s="194"/>
      <c r="CI48" s="194"/>
      <c r="CJ48" s="272"/>
      <c r="CK48" s="152"/>
      <c r="CL48" s="152"/>
      <c r="CM48" s="152"/>
      <c r="CN48" s="273"/>
      <c r="CO48" s="194"/>
      <c r="CP48" s="194"/>
      <c r="CQ48" s="272"/>
      <c r="CR48" s="152"/>
      <c r="CS48" s="152"/>
      <c r="CT48" s="152"/>
      <c r="CU48" s="273"/>
      <c r="CV48" s="194"/>
      <c r="CW48" s="194"/>
      <c r="CX48" s="272"/>
      <c r="CY48" s="152"/>
      <c r="CZ48" s="152"/>
      <c r="DA48" s="152"/>
      <c r="DB48" s="273"/>
      <c r="DC48" s="194"/>
      <c r="DD48" s="194"/>
      <c r="DE48" s="272"/>
      <c r="DF48" s="152"/>
      <c r="DG48" s="152"/>
      <c r="DH48" s="152"/>
      <c r="DI48" s="273"/>
      <c r="DJ48" s="194"/>
      <c r="DK48" s="194"/>
      <c r="DL48" s="272"/>
      <c r="DM48" s="152"/>
      <c r="DN48" s="152"/>
      <c r="DO48" s="152"/>
      <c r="DP48" s="273"/>
      <c r="DQ48" s="194"/>
      <c r="DR48" s="194"/>
      <c r="DS48" s="272"/>
      <c r="DT48" s="152"/>
      <c r="DU48" s="152"/>
      <c r="DV48" s="152"/>
      <c r="DW48" s="273"/>
      <c r="DX48" s="194"/>
      <c r="DY48" s="194"/>
      <c r="DZ48" s="272"/>
      <c r="EA48" s="152"/>
      <c r="EB48" s="152"/>
      <c r="EC48" s="152"/>
      <c r="ED48" s="273"/>
      <c r="EE48" s="194"/>
      <c r="EF48" s="194"/>
      <c r="EG48" s="272"/>
      <c r="EH48" s="152"/>
      <c r="EI48" s="152"/>
      <c r="EJ48" s="152"/>
      <c r="EK48" s="273"/>
      <c r="EL48" s="194"/>
      <c r="EM48" s="194"/>
      <c r="EN48" s="272"/>
      <c r="EO48" s="152"/>
      <c r="EP48" s="152"/>
      <c r="EQ48" s="152"/>
      <c r="ER48" s="273"/>
      <c r="ES48" s="194"/>
      <c r="ET48" s="194"/>
      <c r="EU48" s="272"/>
      <c r="EV48" s="152"/>
      <c r="EW48" s="152"/>
      <c r="EX48" s="152"/>
      <c r="EY48" s="273"/>
      <c r="EZ48" s="194"/>
      <c r="FA48" s="194"/>
      <c r="FB48" s="272"/>
      <c r="FC48" s="152"/>
      <c r="FD48" s="152"/>
      <c r="FE48" s="152"/>
      <c r="FF48" s="273"/>
      <c r="FG48" s="194"/>
      <c r="FH48" s="194"/>
      <c r="FI48" s="272"/>
      <c r="FJ48" s="152"/>
      <c r="FK48" s="152"/>
      <c r="FL48" s="152"/>
      <c r="FM48" s="273"/>
      <c r="FN48" s="194"/>
      <c r="FO48" s="194"/>
      <c r="FP48" s="272"/>
      <c r="FQ48" s="152"/>
      <c r="FR48" s="152"/>
      <c r="FS48" s="152"/>
      <c r="FT48" s="273"/>
      <c r="FU48" s="194"/>
      <c r="FV48" s="194"/>
      <c r="FW48" s="272"/>
      <c r="FX48" s="152"/>
      <c r="FY48" s="152"/>
      <c r="FZ48" s="152"/>
      <c r="GA48" s="273"/>
      <c r="GB48" s="194"/>
      <c r="GC48" s="194"/>
      <c r="GD48" s="152"/>
      <c r="GE48" s="152"/>
      <c r="GF48" s="152"/>
      <c r="GG48" s="152"/>
      <c r="GH48" s="152"/>
      <c r="GI48" s="194"/>
      <c r="GJ48" s="194"/>
      <c r="GK48" s="152"/>
      <c r="GL48" s="152"/>
      <c r="GM48" s="152"/>
      <c r="GN48" s="152"/>
      <c r="GO48" s="152"/>
      <c r="GP48" s="210"/>
      <c r="GQ48" s="210"/>
      <c r="GR48" s="152"/>
      <c r="GS48" s="152"/>
      <c r="GT48" s="152"/>
      <c r="GU48" s="152"/>
      <c r="GV48" s="152"/>
      <c r="GW48" s="210"/>
      <c r="GX48" s="210"/>
      <c r="GY48" s="152"/>
      <c r="GZ48" s="152"/>
      <c r="HA48" s="152"/>
      <c r="HB48" s="152"/>
      <c r="HC48" s="152"/>
      <c r="HD48" s="210"/>
      <c r="HE48" s="210"/>
      <c r="HF48" s="152"/>
      <c r="HG48" s="152"/>
      <c r="HH48" s="152"/>
      <c r="HI48" s="152"/>
      <c r="HJ48" s="152"/>
      <c r="HK48" s="210"/>
      <c r="HL48" s="210"/>
      <c r="HM48" s="152"/>
      <c r="HN48" s="152"/>
      <c r="HO48" s="152"/>
      <c r="HP48" s="152"/>
      <c r="HQ48" s="152"/>
      <c r="HR48" s="152"/>
      <c r="HS48" s="152"/>
      <c r="HT48" s="152"/>
      <c r="HU48" s="152"/>
      <c r="HV48" s="152"/>
      <c r="HW48" s="152"/>
      <c r="HX48" s="152"/>
      <c r="HY48" s="203"/>
      <c r="HZ48" s="203"/>
      <c r="IA48" s="152"/>
      <c r="IB48" s="152"/>
      <c r="IC48" s="152"/>
      <c r="ID48" s="152"/>
      <c r="IE48" s="152"/>
      <c r="IF48" s="203"/>
      <c r="IG48" s="203"/>
      <c r="IH48" s="152"/>
      <c r="II48" s="152"/>
      <c r="IJ48" s="152"/>
      <c r="IK48" s="152"/>
      <c r="IL48" s="152"/>
      <c r="IM48" s="203"/>
      <c r="IN48" s="203"/>
      <c r="IO48" s="152"/>
      <c r="IP48" s="152"/>
      <c r="IQ48" s="227"/>
      <c r="IR48" s="227"/>
      <c r="IS48" s="227"/>
      <c r="IT48" s="203"/>
      <c r="IU48" s="203"/>
      <c r="IV48" s="152"/>
      <c r="IW48" s="152"/>
      <c r="IX48" s="152"/>
      <c r="IY48" s="152"/>
      <c r="IZ48" s="152"/>
      <c r="JA48" s="203"/>
      <c r="JB48" s="203"/>
      <c r="JC48" s="232"/>
      <c r="JD48" s="232"/>
      <c r="JE48" s="152"/>
      <c r="JF48" s="152"/>
      <c r="JG48" s="152"/>
      <c r="JH48" s="203"/>
      <c r="JI48" s="203"/>
      <c r="JJ48" s="152"/>
      <c r="JK48" s="152"/>
      <c r="JL48" s="152"/>
      <c r="JM48" s="152"/>
      <c r="JN48" s="152"/>
      <c r="JO48" s="203"/>
      <c r="JP48" s="203"/>
      <c r="JQ48" s="152"/>
      <c r="JR48" s="152"/>
      <c r="JS48" s="152"/>
      <c r="JT48" s="152"/>
      <c r="JU48" s="152"/>
      <c r="JV48" s="203"/>
      <c r="JW48" s="203"/>
      <c r="JX48" s="152"/>
      <c r="JY48" s="152"/>
      <c r="JZ48" s="152"/>
      <c r="KA48" s="152"/>
      <c r="KB48" s="152"/>
      <c r="KC48" s="203"/>
      <c r="KD48" s="203"/>
      <c r="KE48" s="152"/>
      <c r="KF48" s="152"/>
      <c r="KG48" s="152"/>
      <c r="KH48" s="152"/>
      <c r="KI48" s="152"/>
      <c r="KJ48" s="194"/>
      <c r="KK48" s="194"/>
      <c r="KL48" s="152"/>
      <c r="KM48" s="152"/>
      <c r="KN48" s="152"/>
      <c r="KO48" s="152"/>
      <c r="KP48" s="227"/>
      <c r="KQ48" s="194"/>
      <c r="KR48" s="194"/>
      <c r="KS48" s="152"/>
      <c r="KT48" s="152"/>
      <c r="KU48" s="152"/>
      <c r="KV48" s="152"/>
      <c r="KW48" s="152"/>
      <c r="KX48" s="210"/>
      <c r="KY48" s="210"/>
      <c r="KZ48" s="194"/>
      <c r="LA48" s="194"/>
      <c r="LB48" s="194"/>
      <c r="LC48" s="194"/>
      <c r="LD48" s="194"/>
      <c r="LE48" s="210"/>
      <c r="LF48" s="210"/>
      <c r="LG48" s="227"/>
      <c r="LH48" s="227"/>
      <c r="LI48" s="227"/>
      <c r="LJ48" s="227"/>
      <c r="LK48" s="227"/>
      <c r="LL48" s="227"/>
      <c r="LM48" s="210"/>
      <c r="LN48" s="232"/>
      <c r="LO48" s="232"/>
      <c r="LP48" s="232"/>
      <c r="LQ48" s="232"/>
      <c r="LR48" s="232"/>
      <c r="LS48" s="210"/>
      <c r="LT48" s="210"/>
      <c r="LU48" s="232"/>
      <c r="LV48" s="152"/>
      <c r="LW48" s="152"/>
      <c r="LX48" s="152"/>
      <c r="LY48" s="152"/>
      <c r="LZ48" s="203"/>
      <c r="MA48" s="203"/>
      <c r="MB48" s="152"/>
      <c r="MC48" s="152"/>
      <c r="MD48" s="152"/>
      <c r="ME48" s="152"/>
      <c r="MF48" s="152"/>
      <c r="MG48" s="203"/>
      <c r="MH48" s="203"/>
      <c r="MI48" s="152"/>
      <c r="MJ48" s="152"/>
      <c r="MK48" s="152"/>
      <c r="ML48" s="152"/>
      <c r="MM48" s="152"/>
      <c r="MN48" s="203"/>
      <c r="MO48" s="203"/>
      <c r="MP48" s="152"/>
      <c r="MQ48" s="152"/>
      <c r="MR48" s="152"/>
      <c r="MS48" s="152"/>
      <c r="MT48" s="152"/>
      <c r="MU48" s="203"/>
      <c r="MV48" s="203"/>
      <c r="MW48" s="152"/>
      <c r="MX48" s="152"/>
      <c r="MY48" s="152"/>
      <c r="MZ48" s="152"/>
      <c r="NA48" s="152"/>
      <c r="NB48" s="152"/>
      <c r="NC48" s="152"/>
      <c r="ND48" s="152"/>
    </row>
    <row r="49" spans="1:368" s="140" customFormat="1" ht="15" customHeight="1">
      <c r="A49" s="470"/>
      <c r="B49" s="473" t="s">
        <v>9</v>
      </c>
      <c r="C49" s="163" t="s">
        <v>10</v>
      </c>
      <c r="D49" s="268"/>
      <c r="E49" s="143"/>
      <c r="F49" s="143"/>
      <c r="G49" s="143"/>
      <c r="H49" s="269"/>
      <c r="I49" s="194"/>
      <c r="J49" s="194"/>
      <c r="K49" s="268"/>
      <c r="L49" s="143"/>
      <c r="M49" s="143"/>
      <c r="N49" s="143"/>
      <c r="O49" s="269"/>
      <c r="P49" s="194"/>
      <c r="Q49" s="194"/>
      <c r="R49" s="268"/>
      <c r="S49" s="143"/>
      <c r="T49" s="143"/>
      <c r="U49" s="143"/>
      <c r="V49" s="269"/>
      <c r="W49" s="194"/>
      <c r="X49" s="194"/>
      <c r="Y49" s="268"/>
      <c r="Z49" s="143"/>
      <c r="AA49" s="143"/>
      <c r="AB49" s="143"/>
      <c r="AC49" s="269"/>
      <c r="AD49" s="194"/>
      <c r="AE49" s="194"/>
      <c r="AF49" s="268"/>
      <c r="AG49" s="143"/>
      <c r="AH49" s="143"/>
      <c r="AI49" s="143"/>
      <c r="AJ49" s="269"/>
      <c r="AK49" s="194"/>
      <c r="AL49" s="194"/>
      <c r="AM49" s="268"/>
      <c r="AN49" s="143"/>
      <c r="AO49" s="143"/>
      <c r="AP49" s="143"/>
      <c r="AQ49" s="269"/>
      <c r="AR49" s="194"/>
      <c r="AS49" s="194"/>
      <c r="AT49" s="268"/>
      <c r="AU49" s="143"/>
      <c r="AV49" s="143"/>
      <c r="AW49" s="143"/>
      <c r="AX49" s="269"/>
      <c r="AY49" s="194"/>
      <c r="AZ49" s="194"/>
      <c r="BA49" s="268"/>
      <c r="BB49" s="143"/>
      <c r="BC49" s="143"/>
      <c r="BD49" s="143"/>
      <c r="BE49" s="269"/>
      <c r="BF49" s="194"/>
      <c r="BG49" s="194"/>
      <c r="BH49" s="268"/>
      <c r="BI49" s="143"/>
      <c r="BJ49" s="143"/>
      <c r="BK49" s="143"/>
      <c r="BL49" s="269"/>
      <c r="BM49" s="194"/>
      <c r="BN49" s="194"/>
      <c r="BO49" s="268"/>
      <c r="BP49" s="143"/>
      <c r="BQ49" s="143"/>
      <c r="BR49" s="143"/>
      <c r="BS49" s="269"/>
      <c r="BT49" s="194"/>
      <c r="BU49" s="194"/>
      <c r="BV49" s="268"/>
      <c r="BW49" s="143"/>
      <c r="BX49" s="143"/>
      <c r="BY49" s="143"/>
      <c r="BZ49" s="269"/>
      <c r="CA49" s="194"/>
      <c r="CB49" s="194"/>
      <c r="CC49" s="268"/>
      <c r="CD49" s="143"/>
      <c r="CE49" s="143"/>
      <c r="CF49" s="143"/>
      <c r="CG49" s="269"/>
      <c r="CH49" s="194"/>
      <c r="CI49" s="194"/>
      <c r="CJ49" s="268"/>
      <c r="CK49" s="143"/>
      <c r="CL49" s="143"/>
      <c r="CM49" s="143"/>
      <c r="CN49" s="269"/>
      <c r="CO49" s="194"/>
      <c r="CP49" s="194"/>
      <c r="CQ49" s="268"/>
      <c r="CR49" s="143"/>
      <c r="CS49" s="143"/>
      <c r="CT49" s="143"/>
      <c r="CU49" s="269"/>
      <c r="CV49" s="194"/>
      <c r="CW49" s="194"/>
      <c r="CX49" s="268"/>
      <c r="CY49" s="143"/>
      <c r="CZ49" s="143"/>
      <c r="DA49" s="143"/>
      <c r="DB49" s="269"/>
      <c r="DC49" s="194"/>
      <c r="DD49" s="194"/>
      <c r="DE49" s="268"/>
      <c r="DF49" s="143"/>
      <c r="DG49" s="143"/>
      <c r="DH49" s="143"/>
      <c r="DI49" s="269"/>
      <c r="DJ49" s="194"/>
      <c r="DK49" s="194"/>
      <c r="DL49" s="268"/>
      <c r="DM49" s="143"/>
      <c r="DN49" s="143"/>
      <c r="DO49" s="143"/>
      <c r="DP49" s="269"/>
      <c r="DQ49" s="194"/>
      <c r="DR49" s="194"/>
      <c r="DS49" s="268"/>
      <c r="DT49" s="143"/>
      <c r="DU49" s="143"/>
      <c r="DV49" s="143"/>
      <c r="DW49" s="269"/>
      <c r="DX49" s="194"/>
      <c r="DY49" s="194"/>
      <c r="DZ49" s="268"/>
      <c r="EA49" s="143"/>
      <c r="EB49" s="143"/>
      <c r="EC49" s="143"/>
      <c r="ED49" s="269"/>
      <c r="EE49" s="194"/>
      <c r="EF49" s="194"/>
      <c r="EG49" s="268"/>
      <c r="EH49" s="143"/>
      <c r="EI49" s="143"/>
      <c r="EJ49" s="143"/>
      <c r="EK49" s="269"/>
      <c r="EL49" s="194"/>
      <c r="EM49" s="194"/>
      <c r="EN49" s="268"/>
      <c r="EO49" s="143"/>
      <c r="EP49" s="143"/>
      <c r="EQ49" s="143"/>
      <c r="ER49" s="269"/>
      <c r="ES49" s="194"/>
      <c r="ET49" s="194"/>
      <c r="EU49" s="268"/>
      <c r="EV49" s="143"/>
      <c r="EW49" s="143"/>
      <c r="EX49" s="143"/>
      <c r="EY49" s="269"/>
      <c r="EZ49" s="194"/>
      <c r="FA49" s="194"/>
      <c r="FB49" s="268"/>
      <c r="FC49" s="143"/>
      <c r="FD49" s="143"/>
      <c r="FE49" s="143"/>
      <c r="FF49" s="269"/>
      <c r="FG49" s="194"/>
      <c r="FH49" s="194"/>
      <c r="FI49" s="268"/>
      <c r="FJ49" s="143"/>
      <c r="FK49" s="143"/>
      <c r="FL49" s="143"/>
      <c r="FM49" s="269"/>
      <c r="FN49" s="194"/>
      <c r="FO49" s="194"/>
      <c r="FP49" s="268"/>
      <c r="FQ49" s="143"/>
      <c r="FR49" s="143"/>
      <c r="FS49" s="143"/>
      <c r="FT49" s="269"/>
      <c r="FU49" s="194"/>
      <c r="FV49" s="194"/>
      <c r="FW49" s="268"/>
      <c r="FX49" s="143"/>
      <c r="FY49" s="143"/>
      <c r="FZ49" s="143"/>
      <c r="GA49" s="269"/>
      <c r="GB49" s="194"/>
      <c r="GC49" s="194"/>
      <c r="GD49" s="143"/>
      <c r="GE49" s="143"/>
      <c r="GF49" s="143"/>
      <c r="GG49" s="143"/>
      <c r="GH49" s="143"/>
      <c r="GI49" s="194"/>
      <c r="GJ49" s="194"/>
      <c r="GK49" s="143"/>
      <c r="GL49" s="143"/>
      <c r="GM49" s="143"/>
      <c r="GN49" s="143"/>
      <c r="GO49" s="143"/>
      <c r="GP49" s="210"/>
      <c r="GQ49" s="210"/>
      <c r="GR49" s="143"/>
      <c r="GS49" s="143"/>
      <c r="GT49" s="143"/>
      <c r="GU49" s="143"/>
      <c r="GV49" s="143"/>
      <c r="GW49" s="210"/>
      <c r="GX49" s="210"/>
      <c r="GY49" s="143"/>
      <c r="GZ49" s="143"/>
      <c r="HA49" s="143"/>
      <c r="HB49" s="143"/>
      <c r="HC49" s="143"/>
      <c r="HD49" s="210"/>
      <c r="HE49" s="210"/>
      <c r="HF49" s="143"/>
      <c r="HG49" s="143"/>
      <c r="HH49" s="143"/>
      <c r="HI49" s="143"/>
      <c r="HJ49" s="143"/>
      <c r="HK49" s="210"/>
      <c r="HL49" s="210"/>
      <c r="HM49" s="143"/>
      <c r="HN49" s="143"/>
      <c r="HO49" s="143"/>
      <c r="HP49" s="143"/>
      <c r="HQ49" s="143"/>
      <c r="HR49" s="143"/>
      <c r="HS49" s="143"/>
      <c r="HT49" s="143"/>
      <c r="HU49" s="143"/>
      <c r="HV49" s="143"/>
      <c r="HW49" s="143"/>
      <c r="HX49" s="143"/>
      <c r="HY49" s="203"/>
      <c r="HZ49" s="203"/>
      <c r="IA49" s="143"/>
      <c r="IB49" s="143"/>
      <c r="IC49" s="143"/>
      <c r="ID49" s="143"/>
      <c r="IE49" s="143"/>
      <c r="IF49" s="203"/>
      <c r="IG49" s="203"/>
      <c r="IH49" s="143"/>
      <c r="II49" s="143"/>
      <c r="IJ49" s="143"/>
      <c r="IK49" s="143"/>
      <c r="IL49" s="143"/>
      <c r="IM49" s="203"/>
      <c r="IN49" s="203"/>
      <c r="IO49" s="143"/>
      <c r="IP49" s="143"/>
      <c r="IQ49" s="227"/>
      <c r="IR49" s="227"/>
      <c r="IS49" s="227"/>
      <c r="IT49" s="203"/>
      <c r="IU49" s="203"/>
      <c r="IV49" s="143"/>
      <c r="IW49" s="143"/>
      <c r="IX49" s="143"/>
      <c r="IY49" s="143"/>
      <c r="IZ49" s="143"/>
      <c r="JA49" s="203"/>
      <c r="JB49" s="203"/>
      <c r="JC49" s="227"/>
      <c r="JD49" s="227"/>
      <c r="JE49" s="143"/>
      <c r="JF49" s="143"/>
      <c r="JG49" s="143"/>
      <c r="JH49" s="203"/>
      <c r="JI49" s="203"/>
      <c r="JJ49" s="143"/>
      <c r="JK49" s="143"/>
      <c r="JL49" s="143"/>
      <c r="JM49" s="143"/>
      <c r="JN49" s="143"/>
      <c r="JO49" s="203"/>
      <c r="JP49" s="203"/>
      <c r="JQ49" s="143"/>
      <c r="JR49" s="143"/>
      <c r="JS49" s="143"/>
      <c r="JT49" s="143"/>
      <c r="JU49" s="143"/>
      <c r="JV49" s="203"/>
      <c r="JW49" s="203"/>
      <c r="JX49" s="143"/>
      <c r="JY49" s="143"/>
      <c r="JZ49" s="143"/>
      <c r="KA49" s="143"/>
      <c r="KB49" s="143"/>
      <c r="KC49" s="203"/>
      <c r="KD49" s="203"/>
      <c r="KE49" s="143"/>
      <c r="KF49" s="143"/>
      <c r="KG49" s="143"/>
      <c r="KH49" s="143"/>
      <c r="KI49" s="143"/>
      <c r="KJ49" s="194"/>
      <c r="KK49" s="194"/>
      <c r="KL49" s="143"/>
      <c r="KM49" s="143"/>
      <c r="KN49" s="143"/>
      <c r="KO49" s="143"/>
      <c r="KP49" s="227"/>
      <c r="KQ49" s="194"/>
      <c r="KR49" s="194"/>
      <c r="KS49" s="143"/>
      <c r="KT49" s="143"/>
      <c r="KU49" s="143"/>
      <c r="KV49" s="143"/>
      <c r="KW49" s="143"/>
      <c r="KX49" s="210"/>
      <c r="KY49" s="210"/>
      <c r="KZ49" s="194"/>
      <c r="LA49" s="194"/>
      <c r="LB49" s="194"/>
      <c r="LC49" s="194"/>
      <c r="LD49" s="194"/>
      <c r="LE49" s="210"/>
      <c r="LF49" s="210"/>
      <c r="LG49" s="227"/>
      <c r="LH49" s="227"/>
      <c r="LI49" s="227"/>
      <c r="LJ49" s="227"/>
      <c r="LK49" s="227"/>
      <c r="LL49" s="227"/>
      <c r="LM49" s="210"/>
      <c r="LN49" s="227"/>
      <c r="LO49" s="227"/>
      <c r="LP49" s="227"/>
      <c r="LQ49" s="227"/>
      <c r="LR49" s="227"/>
      <c r="LS49" s="210"/>
      <c r="LT49" s="210"/>
      <c r="LU49" s="227"/>
      <c r="LV49" s="143"/>
      <c r="LW49" s="143"/>
      <c r="LX49" s="143"/>
      <c r="LY49" s="143"/>
      <c r="LZ49" s="203"/>
      <c r="MA49" s="203"/>
      <c r="MB49" s="143"/>
      <c r="MC49" s="143"/>
      <c r="MD49" s="143"/>
      <c r="ME49" s="143"/>
      <c r="MF49" s="143"/>
      <c r="MG49" s="203"/>
      <c r="MH49" s="203"/>
      <c r="MI49" s="143"/>
      <c r="MJ49" s="143"/>
      <c r="MK49" s="143"/>
      <c r="ML49" s="143"/>
      <c r="MM49" s="143"/>
      <c r="MN49" s="203"/>
      <c r="MO49" s="203"/>
      <c r="MP49" s="143"/>
      <c r="MQ49" s="143"/>
      <c r="MR49" s="143"/>
      <c r="MS49" s="143"/>
      <c r="MT49" s="143"/>
      <c r="MU49" s="203"/>
      <c r="MV49" s="203"/>
      <c r="MW49" s="143"/>
      <c r="MX49" s="143"/>
      <c r="MY49" s="143"/>
      <c r="MZ49" s="143"/>
      <c r="NA49" s="143"/>
      <c r="NB49" s="143"/>
      <c r="NC49" s="143"/>
      <c r="ND49" s="143"/>
    </row>
    <row r="50" spans="1:368" s="140" customFormat="1" ht="15" customHeight="1">
      <c r="A50" s="470"/>
      <c r="B50" s="461"/>
      <c r="C50" s="164" t="s">
        <v>11</v>
      </c>
      <c r="D50" s="268"/>
      <c r="E50" s="143"/>
      <c r="F50" s="143"/>
      <c r="G50" s="143"/>
      <c r="H50" s="269"/>
      <c r="I50" s="194"/>
      <c r="J50" s="194"/>
      <c r="K50" s="268"/>
      <c r="L50" s="143"/>
      <c r="M50" s="143"/>
      <c r="N50" s="143"/>
      <c r="O50" s="269"/>
      <c r="P50" s="194"/>
      <c r="Q50" s="194"/>
      <c r="R50" s="268"/>
      <c r="S50" s="143"/>
      <c r="T50" s="143"/>
      <c r="U50" s="143"/>
      <c r="V50" s="269"/>
      <c r="W50" s="194"/>
      <c r="X50" s="194"/>
      <c r="Y50" s="268"/>
      <c r="Z50" s="143"/>
      <c r="AA50" s="143"/>
      <c r="AB50" s="143"/>
      <c r="AC50" s="269"/>
      <c r="AD50" s="194"/>
      <c r="AE50" s="194"/>
      <c r="AF50" s="268"/>
      <c r="AG50" s="143"/>
      <c r="AH50" s="143"/>
      <c r="AI50" s="143"/>
      <c r="AJ50" s="269"/>
      <c r="AK50" s="194"/>
      <c r="AL50" s="194"/>
      <c r="AM50" s="268"/>
      <c r="AN50" s="143"/>
      <c r="AO50" s="143"/>
      <c r="AP50" s="143"/>
      <c r="AQ50" s="269"/>
      <c r="AR50" s="194"/>
      <c r="AS50" s="194"/>
      <c r="AT50" s="268"/>
      <c r="AU50" s="143"/>
      <c r="AV50" s="143"/>
      <c r="AW50" s="143"/>
      <c r="AX50" s="269"/>
      <c r="AY50" s="194"/>
      <c r="AZ50" s="194"/>
      <c r="BA50" s="268"/>
      <c r="BB50" s="143"/>
      <c r="BC50" s="143"/>
      <c r="BD50" s="143"/>
      <c r="BE50" s="269"/>
      <c r="BF50" s="194"/>
      <c r="BG50" s="194"/>
      <c r="BH50" s="268"/>
      <c r="BI50" s="143"/>
      <c r="BJ50" s="143"/>
      <c r="BK50" s="143"/>
      <c r="BL50" s="269"/>
      <c r="BM50" s="194"/>
      <c r="BN50" s="194"/>
      <c r="BO50" s="268"/>
      <c r="BP50" s="143"/>
      <c r="BQ50" s="143"/>
      <c r="BR50" s="143"/>
      <c r="BS50" s="269"/>
      <c r="BT50" s="194"/>
      <c r="BU50" s="194"/>
      <c r="BV50" s="268"/>
      <c r="BW50" s="143"/>
      <c r="BX50" s="143"/>
      <c r="BY50" s="143"/>
      <c r="BZ50" s="269"/>
      <c r="CA50" s="194"/>
      <c r="CB50" s="194"/>
      <c r="CC50" s="268"/>
      <c r="CD50" s="143"/>
      <c r="CE50" s="143"/>
      <c r="CF50" s="143"/>
      <c r="CG50" s="269"/>
      <c r="CH50" s="194"/>
      <c r="CI50" s="194"/>
      <c r="CJ50" s="268"/>
      <c r="CK50" s="143"/>
      <c r="CL50" s="143"/>
      <c r="CM50" s="143"/>
      <c r="CN50" s="269"/>
      <c r="CO50" s="194"/>
      <c r="CP50" s="194"/>
      <c r="CQ50" s="268"/>
      <c r="CR50" s="143"/>
      <c r="CS50" s="143"/>
      <c r="CT50" s="143"/>
      <c r="CU50" s="269"/>
      <c r="CV50" s="194"/>
      <c r="CW50" s="194"/>
      <c r="CX50" s="268"/>
      <c r="CY50" s="143"/>
      <c r="CZ50" s="143"/>
      <c r="DA50" s="143"/>
      <c r="DB50" s="269"/>
      <c r="DC50" s="194"/>
      <c r="DD50" s="194"/>
      <c r="DE50" s="268"/>
      <c r="DF50" s="143"/>
      <c r="DG50" s="143"/>
      <c r="DH50" s="143"/>
      <c r="DI50" s="269"/>
      <c r="DJ50" s="194"/>
      <c r="DK50" s="194"/>
      <c r="DL50" s="268"/>
      <c r="DM50" s="143"/>
      <c r="DN50" s="143"/>
      <c r="DO50" s="143"/>
      <c r="DP50" s="269"/>
      <c r="DQ50" s="194"/>
      <c r="DR50" s="194"/>
      <c r="DS50" s="268"/>
      <c r="DT50" s="143"/>
      <c r="DU50" s="143"/>
      <c r="DV50" s="143"/>
      <c r="DW50" s="269"/>
      <c r="DX50" s="194"/>
      <c r="DY50" s="194"/>
      <c r="DZ50" s="268"/>
      <c r="EA50" s="143"/>
      <c r="EB50" s="143"/>
      <c r="EC50" s="143"/>
      <c r="ED50" s="269"/>
      <c r="EE50" s="194"/>
      <c r="EF50" s="194"/>
      <c r="EG50" s="268"/>
      <c r="EH50" s="143"/>
      <c r="EI50" s="143"/>
      <c r="EJ50" s="143"/>
      <c r="EK50" s="269"/>
      <c r="EL50" s="194"/>
      <c r="EM50" s="194"/>
      <c r="EN50" s="268"/>
      <c r="EO50" s="143"/>
      <c r="EP50" s="143"/>
      <c r="EQ50" s="143"/>
      <c r="ER50" s="269"/>
      <c r="ES50" s="194"/>
      <c r="ET50" s="194"/>
      <c r="EU50" s="268"/>
      <c r="EV50" s="143"/>
      <c r="EW50" s="143"/>
      <c r="EX50" s="143"/>
      <c r="EY50" s="269"/>
      <c r="EZ50" s="194"/>
      <c r="FA50" s="194"/>
      <c r="FB50" s="268"/>
      <c r="FC50" s="143"/>
      <c r="FD50" s="143"/>
      <c r="FE50" s="143"/>
      <c r="FF50" s="269"/>
      <c r="FG50" s="194"/>
      <c r="FH50" s="194"/>
      <c r="FI50" s="268"/>
      <c r="FJ50" s="143"/>
      <c r="FK50" s="143"/>
      <c r="FL50" s="143"/>
      <c r="FM50" s="269"/>
      <c r="FN50" s="194"/>
      <c r="FO50" s="194"/>
      <c r="FP50" s="268"/>
      <c r="FQ50" s="143"/>
      <c r="FR50" s="143"/>
      <c r="FS50" s="143"/>
      <c r="FT50" s="269"/>
      <c r="FU50" s="194"/>
      <c r="FV50" s="194"/>
      <c r="FW50" s="268"/>
      <c r="FX50" s="143"/>
      <c r="FY50" s="143"/>
      <c r="FZ50" s="143"/>
      <c r="GA50" s="269"/>
      <c r="GB50" s="194"/>
      <c r="GC50" s="194"/>
      <c r="GD50" s="143"/>
      <c r="GE50" s="143"/>
      <c r="GF50" s="143"/>
      <c r="GG50" s="143"/>
      <c r="GH50" s="143"/>
      <c r="GI50" s="194"/>
      <c r="GJ50" s="194"/>
      <c r="GK50" s="143"/>
      <c r="GL50" s="143"/>
      <c r="GM50" s="143"/>
      <c r="GN50" s="143"/>
      <c r="GO50" s="143"/>
      <c r="GP50" s="210"/>
      <c r="GQ50" s="210"/>
      <c r="GR50" s="143"/>
      <c r="GS50" s="143"/>
      <c r="GT50" s="143"/>
      <c r="GU50" s="143"/>
      <c r="GV50" s="143"/>
      <c r="GW50" s="210"/>
      <c r="GX50" s="210"/>
      <c r="GY50" s="143"/>
      <c r="GZ50" s="143"/>
      <c r="HA50" s="143"/>
      <c r="HB50" s="143"/>
      <c r="HC50" s="143"/>
      <c r="HD50" s="210"/>
      <c r="HE50" s="210"/>
      <c r="HF50" s="143"/>
      <c r="HG50" s="143"/>
      <c r="HH50" s="143"/>
      <c r="HI50" s="143"/>
      <c r="HJ50" s="143"/>
      <c r="HK50" s="210"/>
      <c r="HL50" s="210"/>
      <c r="HM50" s="143"/>
      <c r="HN50" s="143"/>
      <c r="HO50" s="143"/>
      <c r="HP50" s="143"/>
      <c r="HQ50" s="143"/>
      <c r="HR50" s="143"/>
      <c r="HS50" s="143"/>
      <c r="HT50" s="143"/>
      <c r="HU50" s="143"/>
      <c r="HV50" s="143"/>
      <c r="HW50" s="143"/>
      <c r="HX50" s="143"/>
      <c r="HY50" s="203"/>
      <c r="HZ50" s="203"/>
      <c r="IA50" s="143"/>
      <c r="IB50" s="143"/>
      <c r="IC50" s="143"/>
      <c r="ID50" s="143"/>
      <c r="IE50" s="143"/>
      <c r="IF50" s="203"/>
      <c r="IG50" s="203"/>
      <c r="IH50" s="143"/>
      <c r="II50" s="143"/>
      <c r="IJ50" s="143"/>
      <c r="IK50" s="143"/>
      <c r="IL50" s="143"/>
      <c r="IM50" s="203"/>
      <c r="IN50" s="203"/>
      <c r="IO50" s="143"/>
      <c r="IP50" s="143"/>
      <c r="IQ50" s="227"/>
      <c r="IR50" s="227"/>
      <c r="IS50" s="227"/>
      <c r="IT50" s="203"/>
      <c r="IU50" s="203"/>
      <c r="IV50" s="143"/>
      <c r="IW50" s="143"/>
      <c r="IX50" s="143"/>
      <c r="IY50" s="143"/>
      <c r="IZ50" s="143"/>
      <c r="JA50" s="203"/>
      <c r="JB50" s="203"/>
      <c r="JC50" s="227"/>
      <c r="JD50" s="227"/>
      <c r="JE50" s="143"/>
      <c r="JF50" s="143"/>
      <c r="JG50" s="143"/>
      <c r="JH50" s="203"/>
      <c r="JI50" s="203"/>
      <c r="JJ50" s="143"/>
      <c r="JK50" s="143"/>
      <c r="JL50" s="143"/>
      <c r="JM50" s="143"/>
      <c r="JN50" s="143"/>
      <c r="JO50" s="203"/>
      <c r="JP50" s="203"/>
      <c r="JQ50" s="143"/>
      <c r="JR50" s="143"/>
      <c r="JS50" s="143"/>
      <c r="JT50" s="143"/>
      <c r="JU50" s="143"/>
      <c r="JV50" s="203"/>
      <c r="JW50" s="203"/>
      <c r="JX50" s="143"/>
      <c r="JY50" s="143"/>
      <c r="JZ50" s="143"/>
      <c r="KA50" s="143"/>
      <c r="KB50" s="143"/>
      <c r="KC50" s="203"/>
      <c r="KD50" s="203"/>
      <c r="KE50" s="143"/>
      <c r="KF50" s="143"/>
      <c r="KG50" s="143"/>
      <c r="KH50" s="143"/>
      <c r="KI50" s="143"/>
      <c r="KJ50" s="194"/>
      <c r="KK50" s="194"/>
      <c r="KL50" s="143"/>
      <c r="KM50" s="143"/>
      <c r="KN50" s="143"/>
      <c r="KO50" s="143"/>
      <c r="KP50" s="227"/>
      <c r="KQ50" s="194"/>
      <c r="KR50" s="194"/>
      <c r="KS50" s="143"/>
      <c r="KT50" s="143"/>
      <c r="KU50" s="143"/>
      <c r="KV50" s="143"/>
      <c r="KW50" s="143"/>
      <c r="KX50" s="210"/>
      <c r="KY50" s="210"/>
      <c r="KZ50" s="194"/>
      <c r="LA50" s="194"/>
      <c r="LB50" s="194"/>
      <c r="LC50" s="194"/>
      <c r="LD50" s="194"/>
      <c r="LE50" s="210"/>
      <c r="LF50" s="210"/>
      <c r="LG50" s="227"/>
      <c r="LH50" s="227"/>
      <c r="LI50" s="227"/>
      <c r="LJ50" s="227"/>
      <c r="LK50" s="227"/>
      <c r="LL50" s="227"/>
      <c r="LM50" s="210"/>
      <c r="LN50" s="227"/>
      <c r="LO50" s="227"/>
      <c r="LP50" s="227"/>
      <c r="LQ50" s="227"/>
      <c r="LR50" s="227"/>
      <c r="LS50" s="210"/>
      <c r="LT50" s="210"/>
      <c r="LU50" s="227"/>
      <c r="LV50" s="143"/>
      <c r="LW50" s="143"/>
      <c r="LX50" s="143"/>
      <c r="LY50" s="143"/>
      <c r="LZ50" s="203"/>
      <c r="MA50" s="203"/>
      <c r="MB50" s="143"/>
      <c r="MC50" s="143"/>
      <c r="MD50" s="143"/>
      <c r="ME50" s="143"/>
      <c r="MF50" s="143"/>
      <c r="MG50" s="203"/>
      <c r="MH50" s="203"/>
      <c r="MI50" s="143"/>
      <c r="MJ50" s="143"/>
      <c r="MK50" s="143"/>
      <c r="ML50" s="143"/>
      <c r="MM50" s="143"/>
      <c r="MN50" s="203"/>
      <c r="MO50" s="203"/>
      <c r="MP50" s="143"/>
      <c r="MQ50" s="143"/>
      <c r="MR50" s="143"/>
      <c r="MS50" s="143"/>
      <c r="MT50" s="143"/>
      <c r="MU50" s="203"/>
      <c r="MV50" s="203"/>
      <c r="MW50" s="143"/>
      <c r="MX50" s="143"/>
      <c r="MY50" s="143"/>
      <c r="MZ50" s="143"/>
      <c r="NA50" s="143"/>
      <c r="NB50" s="143"/>
      <c r="NC50" s="143"/>
      <c r="ND50" s="143"/>
    </row>
    <row r="51" spans="1:368" s="140" customFormat="1" ht="15" customHeight="1">
      <c r="A51" s="470"/>
      <c r="B51" s="461"/>
      <c r="C51" s="164" t="s">
        <v>12</v>
      </c>
      <c r="D51" s="268"/>
      <c r="E51" s="143"/>
      <c r="F51" s="143"/>
      <c r="G51" s="143"/>
      <c r="H51" s="269"/>
      <c r="I51" s="194"/>
      <c r="J51" s="194"/>
      <c r="K51" s="268"/>
      <c r="L51" s="143"/>
      <c r="M51" s="143"/>
      <c r="N51" s="143"/>
      <c r="O51" s="269"/>
      <c r="P51" s="194"/>
      <c r="Q51" s="194"/>
      <c r="R51" s="268"/>
      <c r="S51" s="143"/>
      <c r="T51" s="143"/>
      <c r="U51" s="143"/>
      <c r="V51" s="269"/>
      <c r="W51" s="194"/>
      <c r="X51" s="194"/>
      <c r="Y51" s="268"/>
      <c r="Z51" s="143"/>
      <c r="AA51" s="143"/>
      <c r="AB51" s="143"/>
      <c r="AC51" s="269"/>
      <c r="AD51" s="194"/>
      <c r="AE51" s="194"/>
      <c r="AF51" s="268"/>
      <c r="AG51" s="143"/>
      <c r="AH51" s="143"/>
      <c r="AI51" s="143"/>
      <c r="AJ51" s="269"/>
      <c r="AK51" s="194"/>
      <c r="AL51" s="194"/>
      <c r="AM51" s="268"/>
      <c r="AN51" s="143"/>
      <c r="AO51" s="143"/>
      <c r="AP51" s="143"/>
      <c r="AQ51" s="269"/>
      <c r="AR51" s="194"/>
      <c r="AS51" s="194"/>
      <c r="AT51" s="268"/>
      <c r="AU51" s="143"/>
      <c r="AV51" s="143"/>
      <c r="AW51" s="143"/>
      <c r="AX51" s="269"/>
      <c r="AY51" s="194"/>
      <c r="AZ51" s="194"/>
      <c r="BA51" s="268"/>
      <c r="BB51" s="143"/>
      <c r="BC51" s="143"/>
      <c r="BD51" s="143"/>
      <c r="BE51" s="269"/>
      <c r="BF51" s="194"/>
      <c r="BG51" s="194"/>
      <c r="BH51" s="268"/>
      <c r="BI51" s="143"/>
      <c r="BJ51" s="143"/>
      <c r="BK51" s="143"/>
      <c r="BL51" s="269"/>
      <c r="BM51" s="194"/>
      <c r="BN51" s="194"/>
      <c r="BO51" s="268"/>
      <c r="BP51" s="143"/>
      <c r="BQ51" s="143"/>
      <c r="BR51" s="143"/>
      <c r="BS51" s="269"/>
      <c r="BT51" s="194"/>
      <c r="BU51" s="194"/>
      <c r="BV51" s="268"/>
      <c r="BW51" s="143"/>
      <c r="BX51" s="143"/>
      <c r="BY51" s="143"/>
      <c r="BZ51" s="269"/>
      <c r="CA51" s="194"/>
      <c r="CB51" s="194"/>
      <c r="CC51" s="268"/>
      <c r="CD51" s="143"/>
      <c r="CE51" s="143"/>
      <c r="CF51" s="143"/>
      <c r="CG51" s="269"/>
      <c r="CH51" s="194"/>
      <c r="CI51" s="194"/>
      <c r="CJ51" s="268"/>
      <c r="CK51" s="143"/>
      <c r="CL51" s="143"/>
      <c r="CM51" s="143"/>
      <c r="CN51" s="269"/>
      <c r="CO51" s="194"/>
      <c r="CP51" s="194"/>
      <c r="CQ51" s="268"/>
      <c r="CR51" s="143"/>
      <c r="CS51" s="143"/>
      <c r="CT51" s="143"/>
      <c r="CU51" s="269"/>
      <c r="CV51" s="194"/>
      <c r="CW51" s="194"/>
      <c r="CX51" s="268"/>
      <c r="CY51" s="143"/>
      <c r="CZ51" s="143"/>
      <c r="DA51" s="143"/>
      <c r="DB51" s="269"/>
      <c r="DC51" s="194"/>
      <c r="DD51" s="194"/>
      <c r="DE51" s="268"/>
      <c r="DF51" s="143"/>
      <c r="DG51" s="143"/>
      <c r="DH51" s="143"/>
      <c r="DI51" s="269"/>
      <c r="DJ51" s="194"/>
      <c r="DK51" s="194"/>
      <c r="DL51" s="268"/>
      <c r="DM51" s="143"/>
      <c r="DN51" s="143"/>
      <c r="DO51" s="143"/>
      <c r="DP51" s="269"/>
      <c r="DQ51" s="194"/>
      <c r="DR51" s="194"/>
      <c r="DS51" s="268"/>
      <c r="DT51" s="143"/>
      <c r="DU51" s="143"/>
      <c r="DV51" s="143"/>
      <c r="DW51" s="269"/>
      <c r="DX51" s="194"/>
      <c r="DY51" s="194"/>
      <c r="DZ51" s="268"/>
      <c r="EA51" s="143"/>
      <c r="EB51" s="143"/>
      <c r="EC51" s="143"/>
      <c r="ED51" s="269"/>
      <c r="EE51" s="194"/>
      <c r="EF51" s="194"/>
      <c r="EG51" s="268"/>
      <c r="EH51" s="143"/>
      <c r="EI51" s="143"/>
      <c r="EJ51" s="143"/>
      <c r="EK51" s="269"/>
      <c r="EL51" s="194"/>
      <c r="EM51" s="194"/>
      <c r="EN51" s="268"/>
      <c r="EO51" s="143"/>
      <c r="EP51" s="143"/>
      <c r="EQ51" s="143"/>
      <c r="ER51" s="269"/>
      <c r="ES51" s="194"/>
      <c r="ET51" s="194"/>
      <c r="EU51" s="268"/>
      <c r="EV51" s="143"/>
      <c r="EW51" s="143"/>
      <c r="EX51" s="143"/>
      <c r="EY51" s="269"/>
      <c r="EZ51" s="194"/>
      <c r="FA51" s="194"/>
      <c r="FB51" s="268"/>
      <c r="FC51" s="143"/>
      <c r="FD51" s="143"/>
      <c r="FE51" s="143"/>
      <c r="FF51" s="269"/>
      <c r="FG51" s="194"/>
      <c r="FH51" s="194"/>
      <c r="FI51" s="268"/>
      <c r="FJ51" s="143"/>
      <c r="FK51" s="143"/>
      <c r="FL51" s="143"/>
      <c r="FM51" s="269"/>
      <c r="FN51" s="194"/>
      <c r="FO51" s="194"/>
      <c r="FP51" s="268"/>
      <c r="FQ51" s="143"/>
      <c r="FR51" s="143"/>
      <c r="FS51" s="143"/>
      <c r="FT51" s="269"/>
      <c r="FU51" s="194"/>
      <c r="FV51" s="194"/>
      <c r="FW51" s="268"/>
      <c r="FX51" s="143"/>
      <c r="FY51" s="143"/>
      <c r="FZ51" s="143"/>
      <c r="GA51" s="269"/>
      <c r="GB51" s="194"/>
      <c r="GC51" s="194"/>
      <c r="GD51" s="143"/>
      <c r="GE51" s="143"/>
      <c r="GF51" s="143"/>
      <c r="GG51" s="143"/>
      <c r="GH51" s="143"/>
      <c r="GI51" s="194"/>
      <c r="GJ51" s="194"/>
      <c r="GK51" s="143"/>
      <c r="GL51" s="143"/>
      <c r="GM51" s="143"/>
      <c r="GN51" s="143"/>
      <c r="GO51" s="143"/>
      <c r="GP51" s="210"/>
      <c r="GQ51" s="210"/>
      <c r="GR51" s="143"/>
      <c r="GS51" s="143"/>
      <c r="GT51" s="143"/>
      <c r="GU51" s="143"/>
      <c r="GV51" s="143"/>
      <c r="GW51" s="210"/>
      <c r="GX51" s="210"/>
      <c r="GY51" s="143"/>
      <c r="GZ51" s="143"/>
      <c r="HA51" s="143"/>
      <c r="HB51" s="143"/>
      <c r="HC51" s="143"/>
      <c r="HD51" s="210"/>
      <c r="HE51" s="210"/>
      <c r="HF51" s="143"/>
      <c r="HG51" s="143"/>
      <c r="HH51" s="143"/>
      <c r="HI51" s="143"/>
      <c r="HJ51" s="143"/>
      <c r="HK51" s="210"/>
      <c r="HL51" s="210"/>
      <c r="HM51" s="143"/>
      <c r="HN51" s="143"/>
      <c r="HO51" s="143"/>
      <c r="HP51" s="143"/>
      <c r="HQ51" s="143"/>
      <c r="HR51" s="143"/>
      <c r="HS51" s="143"/>
      <c r="HT51" s="143"/>
      <c r="HU51" s="143"/>
      <c r="HV51" s="143"/>
      <c r="HW51" s="143"/>
      <c r="HX51" s="143"/>
      <c r="HY51" s="203"/>
      <c r="HZ51" s="203"/>
      <c r="IA51" s="143"/>
      <c r="IB51" s="143"/>
      <c r="IC51" s="143"/>
      <c r="ID51" s="143"/>
      <c r="IE51" s="143"/>
      <c r="IF51" s="203"/>
      <c r="IG51" s="203"/>
      <c r="IH51" s="143"/>
      <c r="II51" s="143"/>
      <c r="IJ51" s="143"/>
      <c r="IK51" s="143"/>
      <c r="IL51" s="143"/>
      <c r="IM51" s="203"/>
      <c r="IN51" s="203"/>
      <c r="IO51" s="143"/>
      <c r="IP51" s="143"/>
      <c r="IQ51" s="227"/>
      <c r="IR51" s="227"/>
      <c r="IS51" s="227"/>
      <c r="IT51" s="203"/>
      <c r="IU51" s="203"/>
      <c r="IV51" s="143"/>
      <c r="IW51" s="143"/>
      <c r="IX51" s="143"/>
      <c r="IY51" s="143"/>
      <c r="IZ51" s="143"/>
      <c r="JA51" s="203"/>
      <c r="JB51" s="203"/>
      <c r="JC51" s="227"/>
      <c r="JD51" s="227"/>
      <c r="JE51" s="143"/>
      <c r="JF51" s="143"/>
      <c r="JG51" s="143"/>
      <c r="JH51" s="203"/>
      <c r="JI51" s="203"/>
      <c r="JJ51" s="143"/>
      <c r="JK51" s="143"/>
      <c r="JL51" s="143"/>
      <c r="JM51" s="143"/>
      <c r="JN51" s="143"/>
      <c r="JO51" s="203"/>
      <c r="JP51" s="203"/>
      <c r="JQ51" s="143"/>
      <c r="JR51" s="143"/>
      <c r="JS51" s="143"/>
      <c r="JT51" s="143"/>
      <c r="JU51" s="143"/>
      <c r="JV51" s="203"/>
      <c r="JW51" s="203"/>
      <c r="JX51" s="143"/>
      <c r="JY51" s="143"/>
      <c r="JZ51" s="143"/>
      <c r="KA51" s="143"/>
      <c r="KB51" s="143"/>
      <c r="KC51" s="203"/>
      <c r="KD51" s="203"/>
      <c r="KE51" s="143"/>
      <c r="KF51" s="143"/>
      <c r="KG51" s="143"/>
      <c r="KH51" s="143"/>
      <c r="KI51" s="143"/>
      <c r="KJ51" s="194"/>
      <c r="KK51" s="194"/>
      <c r="KL51" s="143"/>
      <c r="KM51" s="143"/>
      <c r="KN51" s="143"/>
      <c r="KO51" s="143"/>
      <c r="KP51" s="227"/>
      <c r="KQ51" s="194"/>
      <c r="KR51" s="194"/>
      <c r="KS51" s="143"/>
      <c r="KT51" s="143"/>
      <c r="KU51" s="143"/>
      <c r="KV51" s="143"/>
      <c r="KW51" s="143"/>
      <c r="KX51" s="210"/>
      <c r="KY51" s="210"/>
      <c r="KZ51" s="194"/>
      <c r="LA51" s="194"/>
      <c r="LB51" s="194"/>
      <c r="LC51" s="194"/>
      <c r="LD51" s="194"/>
      <c r="LE51" s="210"/>
      <c r="LF51" s="210"/>
      <c r="LG51" s="227"/>
      <c r="LH51" s="227"/>
      <c r="LI51" s="227"/>
      <c r="LJ51" s="227"/>
      <c r="LK51" s="227"/>
      <c r="LL51" s="227"/>
      <c r="LM51" s="210"/>
      <c r="LN51" s="227"/>
      <c r="LO51" s="227"/>
      <c r="LP51" s="227"/>
      <c r="LQ51" s="227"/>
      <c r="LR51" s="227"/>
      <c r="LS51" s="210"/>
      <c r="LT51" s="210"/>
      <c r="LU51" s="227"/>
      <c r="LV51" s="143"/>
      <c r="LW51" s="143"/>
      <c r="LX51" s="143"/>
      <c r="LY51" s="143"/>
      <c r="LZ51" s="203"/>
      <c r="MA51" s="203"/>
      <c r="MB51" s="143"/>
      <c r="MC51" s="143"/>
      <c r="MD51" s="143"/>
      <c r="ME51" s="143"/>
      <c r="MF51" s="143"/>
      <c r="MG51" s="203"/>
      <c r="MH51" s="203"/>
      <c r="MI51" s="143"/>
      <c r="MJ51" s="143"/>
      <c r="MK51" s="143"/>
      <c r="ML51" s="143"/>
      <c r="MM51" s="143"/>
      <c r="MN51" s="203"/>
      <c r="MO51" s="203"/>
      <c r="MP51" s="143"/>
      <c r="MQ51" s="143"/>
      <c r="MR51" s="143"/>
      <c r="MS51" s="143"/>
      <c r="MT51" s="143"/>
      <c r="MU51" s="203"/>
      <c r="MV51" s="203"/>
      <c r="MW51" s="143"/>
      <c r="MX51" s="143"/>
      <c r="MY51" s="143"/>
      <c r="MZ51" s="143"/>
      <c r="NA51" s="143"/>
      <c r="NB51" s="143"/>
      <c r="NC51" s="143"/>
      <c r="ND51" s="143"/>
    </row>
    <row r="52" spans="1:368" s="140" customFormat="1" ht="15" customHeight="1" thickBot="1">
      <c r="A52" s="470"/>
      <c r="B52" s="461"/>
      <c r="C52" s="164" t="s">
        <v>13</v>
      </c>
      <c r="D52" s="274"/>
      <c r="E52" s="275"/>
      <c r="F52" s="275"/>
      <c r="G52" s="275"/>
      <c r="H52" s="276"/>
      <c r="I52" s="195"/>
      <c r="J52" s="195"/>
      <c r="K52" s="274"/>
      <c r="L52" s="275"/>
      <c r="M52" s="275"/>
      <c r="N52" s="275"/>
      <c r="O52" s="276"/>
      <c r="P52" s="195"/>
      <c r="Q52" s="195"/>
      <c r="R52" s="274"/>
      <c r="S52" s="275"/>
      <c r="T52" s="275"/>
      <c r="U52" s="275"/>
      <c r="V52" s="276"/>
      <c r="W52" s="195"/>
      <c r="X52" s="195"/>
      <c r="Y52" s="274"/>
      <c r="Z52" s="275"/>
      <c r="AA52" s="275"/>
      <c r="AB52" s="275"/>
      <c r="AC52" s="276"/>
      <c r="AD52" s="195"/>
      <c r="AE52" s="195"/>
      <c r="AF52" s="274"/>
      <c r="AG52" s="275"/>
      <c r="AH52" s="275"/>
      <c r="AI52" s="275"/>
      <c r="AJ52" s="276"/>
      <c r="AK52" s="195"/>
      <c r="AL52" s="195"/>
      <c r="AM52" s="274"/>
      <c r="AN52" s="275"/>
      <c r="AO52" s="275"/>
      <c r="AP52" s="275"/>
      <c r="AQ52" s="276"/>
      <c r="AR52" s="195"/>
      <c r="AS52" s="195"/>
      <c r="AT52" s="274"/>
      <c r="AU52" s="275"/>
      <c r="AV52" s="275"/>
      <c r="AW52" s="275"/>
      <c r="AX52" s="276"/>
      <c r="AY52" s="195"/>
      <c r="AZ52" s="195"/>
      <c r="BA52" s="274"/>
      <c r="BB52" s="275"/>
      <c r="BC52" s="275"/>
      <c r="BD52" s="275"/>
      <c r="BE52" s="276"/>
      <c r="BF52" s="195"/>
      <c r="BG52" s="195"/>
      <c r="BH52" s="274"/>
      <c r="BI52" s="275"/>
      <c r="BJ52" s="275"/>
      <c r="BK52" s="275"/>
      <c r="BL52" s="276"/>
      <c r="BM52" s="195"/>
      <c r="BN52" s="195"/>
      <c r="BO52" s="274"/>
      <c r="BP52" s="275"/>
      <c r="BQ52" s="275"/>
      <c r="BR52" s="275"/>
      <c r="BS52" s="276"/>
      <c r="BT52" s="195"/>
      <c r="BU52" s="195"/>
      <c r="BV52" s="274"/>
      <c r="BW52" s="275"/>
      <c r="BX52" s="275"/>
      <c r="BY52" s="275"/>
      <c r="BZ52" s="276"/>
      <c r="CA52" s="195"/>
      <c r="CB52" s="195"/>
      <c r="CC52" s="274"/>
      <c r="CD52" s="275"/>
      <c r="CE52" s="275"/>
      <c r="CF52" s="275"/>
      <c r="CG52" s="276"/>
      <c r="CH52" s="195"/>
      <c r="CI52" s="195"/>
      <c r="CJ52" s="274"/>
      <c r="CK52" s="275"/>
      <c r="CL52" s="275"/>
      <c r="CM52" s="275"/>
      <c r="CN52" s="276"/>
      <c r="CO52" s="195"/>
      <c r="CP52" s="195"/>
      <c r="CQ52" s="274"/>
      <c r="CR52" s="275"/>
      <c r="CS52" s="275"/>
      <c r="CT52" s="275"/>
      <c r="CU52" s="276"/>
      <c r="CV52" s="195"/>
      <c r="CW52" s="195"/>
      <c r="CX52" s="274"/>
      <c r="CY52" s="275"/>
      <c r="CZ52" s="275"/>
      <c r="DA52" s="275"/>
      <c r="DB52" s="276"/>
      <c r="DC52" s="195"/>
      <c r="DD52" s="195"/>
      <c r="DE52" s="274"/>
      <c r="DF52" s="275"/>
      <c r="DG52" s="275"/>
      <c r="DH52" s="275"/>
      <c r="DI52" s="276"/>
      <c r="DJ52" s="195"/>
      <c r="DK52" s="195"/>
      <c r="DL52" s="274"/>
      <c r="DM52" s="275"/>
      <c r="DN52" s="275"/>
      <c r="DO52" s="275"/>
      <c r="DP52" s="276"/>
      <c r="DQ52" s="195"/>
      <c r="DR52" s="195"/>
      <c r="DS52" s="274"/>
      <c r="DT52" s="275"/>
      <c r="DU52" s="275"/>
      <c r="DV52" s="275"/>
      <c r="DW52" s="276"/>
      <c r="DX52" s="195"/>
      <c r="DY52" s="195"/>
      <c r="DZ52" s="274"/>
      <c r="EA52" s="275"/>
      <c r="EB52" s="275"/>
      <c r="EC52" s="275"/>
      <c r="ED52" s="276"/>
      <c r="EE52" s="195"/>
      <c r="EF52" s="195"/>
      <c r="EG52" s="274"/>
      <c r="EH52" s="275"/>
      <c r="EI52" s="275"/>
      <c r="EJ52" s="275"/>
      <c r="EK52" s="276"/>
      <c r="EL52" s="195"/>
      <c r="EM52" s="195"/>
      <c r="EN52" s="274"/>
      <c r="EO52" s="275"/>
      <c r="EP52" s="275"/>
      <c r="EQ52" s="275"/>
      <c r="ER52" s="276"/>
      <c r="ES52" s="195"/>
      <c r="ET52" s="195"/>
      <c r="EU52" s="274"/>
      <c r="EV52" s="275"/>
      <c r="EW52" s="275"/>
      <c r="EX52" s="275"/>
      <c r="EY52" s="276"/>
      <c r="EZ52" s="195"/>
      <c r="FA52" s="195"/>
      <c r="FB52" s="274"/>
      <c r="FC52" s="275"/>
      <c r="FD52" s="275"/>
      <c r="FE52" s="275"/>
      <c r="FF52" s="276"/>
      <c r="FG52" s="195"/>
      <c r="FH52" s="195"/>
      <c r="FI52" s="274"/>
      <c r="FJ52" s="275"/>
      <c r="FK52" s="275"/>
      <c r="FL52" s="275"/>
      <c r="FM52" s="276"/>
      <c r="FN52" s="195"/>
      <c r="FO52" s="195"/>
      <c r="FP52" s="274"/>
      <c r="FQ52" s="275"/>
      <c r="FR52" s="275"/>
      <c r="FS52" s="275"/>
      <c r="FT52" s="276"/>
      <c r="FU52" s="195"/>
      <c r="FV52" s="195"/>
      <c r="FW52" s="274"/>
      <c r="FX52" s="275"/>
      <c r="FY52" s="275"/>
      <c r="FZ52" s="275"/>
      <c r="GA52" s="276"/>
      <c r="GB52" s="195"/>
      <c r="GC52" s="195"/>
      <c r="GD52" s="144"/>
      <c r="GE52" s="144"/>
      <c r="GF52" s="144"/>
      <c r="GG52" s="144"/>
      <c r="GH52" s="144"/>
      <c r="GI52" s="195"/>
      <c r="GJ52" s="195"/>
      <c r="GK52" s="144"/>
      <c r="GL52" s="144"/>
      <c r="GM52" s="144"/>
      <c r="GN52" s="144"/>
      <c r="GO52" s="144"/>
      <c r="GP52" s="211"/>
      <c r="GQ52" s="211"/>
      <c r="GR52" s="144"/>
      <c r="GS52" s="144"/>
      <c r="GT52" s="144"/>
      <c r="GU52" s="144"/>
      <c r="GV52" s="144"/>
      <c r="GW52" s="211"/>
      <c r="GX52" s="211"/>
      <c r="GY52" s="144"/>
      <c r="GZ52" s="144"/>
      <c r="HA52" s="144"/>
      <c r="HB52" s="144"/>
      <c r="HC52" s="144"/>
      <c r="HD52" s="211"/>
      <c r="HE52" s="211"/>
      <c r="HF52" s="144"/>
      <c r="HG52" s="144"/>
      <c r="HH52" s="144"/>
      <c r="HI52" s="144"/>
      <c r="HJ52" s="144"/>
      <c r="HK52" s="211"/>
      <c r="HL52" s="211"/>
      <c r="HM52" s="144"/>
      <c r="HN52" s="144"/>
      <c r="HO52" s="144"/>
      <c r="HP52" s="144"/>
      <c r="HQ52" s="144"/>
      <c r="HR52" s="144"/>
      <c r="HS52" s="144"/>
      <c r="HT52" s="144"/>
      <c r="HU52" s="144"/>
      <c r="HV52" s="144"/>
      <c r="HW52" s="144"/>
      <c r="HX52" s="144"/>
      <c r="HY52" s="204"/>
      <c r="HZ52" s="204"/>
      <c r="IA52" s="144"/>
      <c r="IB52" s="144"/>
      <c r="IC52" s="144"/>
      <c r="ID52" s="144"/>
      <c r="IE52" s="144"/>
      <c r="IF52" s="204"/>
      <c r="IG52" s="204"/>
      <c r="IH52" s="144"/>
      <c r="II52" s="144"/>
      <c r="IJ52" s="144"/>
      <c r="IK52" s="144"/>
      <c r="IL52" s="144"/>
      <c r="IM52" s="204"/>
      <c r="IN52" s="204"/>
      <c r="IO52" s="144"/>
      <c r="IP52" s="144"/>
      <c r="IQ52" s="230"/>
      <c r="IR52" s="230"/>
      <c r="IS52" s="230"/>
      <c r="IT52" s="204"/>
      <c r="IU52" s="204"/>
      <c r="IV52" s="144"/>
      <c r="IW52" s="144"/>
      <c r="IX52" s="144"/>
      <c r="IY52" s="144"/>
      <c r="IZ52" s="144"/>
      <c r="JA52" s="204"/>
      <c r="JB52" s="204"/>
      <c r="JC52" s="230"/>
      <c r="JD52" s="230"/>
      <c r="JE52" s="144"/>
      <c r="JF52" s="144"/>
      <c r="JG52" s="144"/>
      <c r="JH52" s="204"/>
      <c r="JI52" s="204"/>
      <c r="JJ52" s="144"/>
      <c r="JK52" s="144"/>
      <c r="JL52" s="144"/>
      <c r="JM52" s="144"/>
      <c r="JN52" s="144"/>
      <c r="JO52" s="204"/>
      <c r="JP52" s="204"/>
      <c r="JQ52" s="144"/>
      <c r="JR52" s="144"/>
      <c r="JS52" s="144"/>
      <c r="JT52" s="144"/>
      <c r="JU52" s="144"/>
      <c r="JV52" s="204"/>
      <c r="JW52" s="204"/>
      <c r="JX52" s="144"/>
      <c r="JY52" s="144"/>
      <c r="JZ52" s="144"/>
      <c r="KA52" s="144"/>
      <c r="KB52" s="144"/>
      <c r="KC52" s="204"/>
      <c r="KD52" s="204"/>
      <c r="KE52" s="144"/>
      <c r="KF52" s="144"/>
      <c r="KG52" s="144"/>
      <c r="KH52" s="144"/>
      <c r="KI52" s="144"/>
      <c r="KJ52" s="195"/>
      <c r="KK52" s="195"/>
      <c r="KL52" s="144"/>
      <c r="KM52" s="144"/>
      <c r="KN52" s="144"/>
      <c r="KO52" s="144"/>
      <c r="KP52" s="230"/>
      <c r="KQ52" s="195"/>
      <c r="KR52" s="195"/>
      <c r="KS52" s="144"/>
      <c r="KT52" s="144"/>
      <c r="KU52" s="144"/>
      <c r="KV52" s="144"/>
      <c r="KW52" s="144"/>
      <c r="KX52" s="211"/>
      <c r="KY52" s="211"/>
      <c r="KZ52" s="195"/>
      <c r="LA52" s="195"/>
      <c r="LB52" s="195"/>
      <c r="LC52" s="195"/>
      <c r="LD52" s="195"/>
      <c r="LE52" s="211"/>
      <c r="LF52" s="211"/>
      <c r="LG52" s="230"/>
      <c r="LH52" s="230"/>
      <c r="LI52" s="230"/>
      <c r="LJ52" s="230"/>
      <c r="LK52" s="230"/>
      <c r="LL52" s="230"/>
      <c r="LM52" s="211"/>
      <c r="LN52" s="230"/>
      <c r="LO52" s="230"/>
      <c r="LP52" s="230"/>
      <c r="LQ52" s="230"/>
      <c r="LR52" s="230"/>
      <c r="LS52" s="211"/>
      <c r="LT52" s="211"/>
      <c r="LU52" s="230"/>
      <c r="LV52" s="144"/>
      <c r="LW52" s="144"/>
      <c r="LX52" s="144"/>
      <c r="LY52" s="144"/>
      <c r="LZ52" s="204"/>
      <c r="MA52" s="204"/>
      <c r="MB52" s="144"/>
      <c r="MC52" s="144"/>
      <c r="MD52" s="144"/>
      <c r="ME52" s="144"/>
      <c r="MF52" s="144"/>
      <c r="MG52" s="204"/>
      <c r="MH52" s="204"/>
      <c r="MI52" s="144"/>
      <c r="MJ52" s="144"/>
      <c r="MK52" s="144"/>
      <c r="ML52" s="144"/>
      <c r="MM52" s="144"/>
      <c r="MN52" s="204"/>
      <c r="MO52" s="204"/>
      <c r="MP52" s="144"/>
      <c r="MQ52" s="144"/>
      <c r="MR52" s="144"/>
      <c r="MS52" s="144"/>
      <c r="MT52" s="144"/>
      <c r="MU52" s="204"/>
      <c r="MV52" s="204"/>
      <c r="MW52" s="144"/>
      <c r="MX52" s="144"/>
      <c r="MY52" s="144"/>
      <c r="MZ52" s="144"/>
      <c r="NA52" s="144"/>
      <c r="NB52" s="144"/>
      <c r="NC52" s="144"/>
      <c r="ND52" s="144"/>
    </row>
    <row r="53" spans="1:368" s="151" customFormat="1" ht="15.75" hidden="1" customHeight="1" thickBot="1">
      <c r="A53" s="470"/>
      <c r="B53" s="461"/>
      <c r="C53" s="167" t="s">
        <v>93</v>
      </c>
      <c r="D53" s="152"/>
      <c r="E53" s="152"/>
      <c r="F53" s="152"/>
      <c r="G53" s="152"/>
      <c r="H53" s="152"/>
      <c r="I53" s="195"/>
      <c r="J53" s="195"/>
      <c r="K53" s="152"/>
      <c r="L53" s="152"/>
      <c r="M53" s="152"/>
      <c r="N53" s="152"/>
      <c r="O53" s="152"/>
      <c r="P53" s="195"/>
      <c r="Q53" s="195"/>
      <c r="R53" s="152"/>
      <c r="S53" s="152"/>
      <c r="T53" s="152"/>
      <c r="U53" s="152"/>
      <c r="V53" s="152"/>
      <c r="W53" s="195"/>
      <c r="X53" s="195"/>
      <c r="Y53" s="152"/>
      <c r="Z53" s="152"/>
      <c r="AA53" s="152"/>
      <c r="AB53" s="152"/>
      <c r="AC53" s="152"/>
      <c r="AD53" s="195"/>
      <c r="AE53" s="195"/>
      <c r="AF53" s="152"/>
      <c r="AG53" s="152"/>
      <c r="AH53" s="152"/>
      <c r="AI53" s="152"/>
      <c r="AJ53" s="152"/>
      <c r="AK53" s="195"/>
      <c r="AL53" s="195"/>
      <c r="AM53" s="152"/>
      <c r="AN53" s="152"/>
      <c r="AO53" s="152"/>
      <c r="AP53" s="152"/>
      <c r="AQ53" s="152"/>
      <c r="AR53" s="195"/>
      <c r="AS53" s="195"/>
      <c r="AT53" s="152"/>
      <c r="AU53" s="152"/>
      <c r="AV53" s="152"/>
      <c r="AW53" s="152"/>
      <c r="AX53" s="152"/>
      <c r="AY53" s="195"/>
      <c r="AZ53" s="195"/>
      <c r="BA53" s="152"/>
      <c r="BB53" s="152"/>
      <c r="BC53" s="152"/>
      <c r="BD53" s="152"/>
      <c r="BE53" s="152"/>
      <c r="BF53" s="195"/>
      <c r="BG53" s="195"/>
      <c r="BH53" s="152"/>
      <c r="BI53" s="152"/>
      <c r="BJ53" s="152"/>
      <c r="BK53" s="152"/>
      <c r="BL53" s="152"/>
      <c r="BM53" s="195"/>
      <c r="BN53" s="195"/>
      <c r="BO53" s="152"/>
      <c r="BP53" s="152"/>
      <c r="BQ53" s="152"/>
      <c r="BR53" s="152"/>
      <c r="BS53" s="152"/>
      <c r="BT53" s="195"/>
      <c r="BU53" s="195"/>
      <c r="BV53" s="152"/>
      <c r="BW53" s="152"/>
      <c r="BX53" s="152"/>
      <c r="BY53" s="152"/>
      <c r="BZ53" s="152"/>
      <c r="CA53" s="195"/>
      <c r="CB53" s="195"/>
      <c r="CC53" s="152"/>
      <c r="CD53" s="152"/>
      <c r="CE53" s="152"/>
      <c r="CF53" s="152"/>
      <c r="CG53" s="152"/>
      <c r="CH53" s="195"/>
      <c r="CI53" s="195"/>
      <c r="CJ53" s="152"/>
      <c r="CK53" s="152"/>
      <c r="CL53" s="152"/>
      <c r="CM53" s="152"/>
      <c r="CN53" s="152"/>
      <c r="CO53" s="195"/>
      <c r="CP53" s="195"/>
      <c r="CQ53" s="152"/>
      <c r="CR53" s="152"/>
      <c r="CS53" s="152"/>
      <c r="CT53" s="152"/>
      <c r="CU53" s="152"/>
      <c r="CV53" s="195"/>
      <c r="CW53" s="195"/>
      <c r="CX53" s="152"/>
      <c r="CY53" s="152"/>
      <c r="CZ53" s="152"/>
      <c r="DA53" s="152"/>
      <c r="DB53" s="152"/>
      <c r="DC53" s="195"/>
      <c r="DD53" s="195"/>
      <c r="DE53" s="152"/>
      <c r="DF53" s="152"/>
      <c r="DG53" s="152"/>
      <c r="DH53" s="152"/>
      <c r="DI53" s="152"/>
      <c r="DJ53" s="195"/>
      <c r="DK53" s="195"/>
      <c r="DL53" s="152"/>
      <c r="DM53" s="152"/>
      <c r="DN53" s="152"/>
      <c r="DO53" s="152"/>
      <c r="DP53" s="152"/>
      <c r="DQ53" s="195"/>
      <c r="DR53" s="195"/>
      <c r="DS53" s="152"/>
      <c r="DT53" s="152"/>
      <c r="DU53" s="152"/>
      <c r="DV53" s="152"/>
      <c r="DW53" s="152"/>
      <c r="DX53" s="195"/>
      <c r="DY53" s="195"/>
      <c r="DZ53" s="152"/>
      <c r="EA53" s="152"/>
      <c r="EB53" s="152"/>
      <c r="EC53" s="152"/>
      <c r="ED53" s="152"/>
      <c r="EE53" s="195"/>
      <c r="EF53" s="195"/>
      <c r="EG53" s="152"/>
      <c r="EH53" s="152"/>
      <c r="EI53" s="152"/>
      <c r="EJ53" s="152"/>
      <c r="EK53" s="152"/>
      <c r="EL53" s="195"/>
      <c r="EM53" s="195"/>
      <c r="EN53" s="152"/>
      <c r="EO53" s="152"/>
      <c r="EP53" s="152"/>
      <c r="EQ53" s="152"/>
      <c r="ER53" s="152"/>
      <c r="ES53" s="195"/>
      <c r="ET53" s="195"/>
      <c r="EU53" s="152"/>
      <c r="EV53" s="152"/>
      <c r="EW53" s="152"/>
      <c r="EX53" s="152"/>
      <c r="EY53" s="152"/>
      <c r="EZ53" s="195"/>
      <c r="FA53" s="195"/>
      <c r="FB53" s="152"/>
      <c r="FC53" s="152"/>
      <c r="FD53" s="152"/>
      <c r="FE53" s="152"/>
      <c r="FF53" s="152"/>
      <c r="FG53" s="195"/>
      <c r="FH53" s="195"/>
      <c r="FI53" s="152"/>
      <c r="FJ53" s="152"/>
      <c r="FK53" s="152"/>
      <c r="FL53" s="152"/>
      <c r="FM53" s="152"/>
      <c r="FN53" s="195"/>
      <c r="FO53" s="195"/>
      <c r="FP53" s="152"/>
      <c r="FQ53" s="152"/>
      <c r="FR53" s="152"/>
      <c r="FS53" s="152"/>
      <c r="FT53" s="152"/>
      <c r="FU53" s="195"/>
      <c r="FV53" s="195"/>
      <c r="FW53" s="152"/>
      <c r="FX53" s="152"/>
      <c r="FY53" s="152"/>
      <c r="FZ53" s="152"/>
      <c r="GA53" s="152"/>
      <c r="GB53" s="195"/>
      <c r="GC53" s="195"/>
      <c r="GD53" s="153"/>
      <c r="GE53" s="153"/>
      <c r="GF53" s="153"/>
      <c r="GG53" s="153"/>
      <c r="GH53" s="153"/>
      <c r="GI53" s="195"/>
      <c r="GJ53" s="195"/>
      <c r="GK53" s="153"/>
      <c r="GL53" s="153"/>
      <c r="GM53" s="153"/>
      <c r="GN53" s="153"/>
      <c r="GO53" s="153"/>
      <c r="GP53" s="211"/>
      <c r="GQ53" s="211"/>
      <c r="GR53" s="153"/>
      <c r="GS53" s="153"/>
      <c r="GT53" s="153"/>
      <c r="GU53" s="153"/>
      <c r="GV53" s="153"/>
      <c r="GW53" s="211"/>
      <c r="GX53" s="211"/>
      <c r="GY53" s="153"/>
      <c r="GZ53" s="153"/>
      <c r="HA53" s="153"/>
      <c r="HB53" s="153"/>
      <c r="HC53" s="153"/>
      <c r="HD53" s="211"/>
      <c r="HE53" s="211"/>
      <c r="HF53" s="153"/>
      <c r="HG53" s="153"/>
      <c r="HH53" s="153"/>
      <c r="HI53" s="153"/>
      <c r="HJ53" s="153"/>
      <c r="HK53" s="211"/>
      <c r="HL53" s="211"/>
      <c r="HM53" s="153"/>
      <c r="HN53" s="153"/>
      <c r="HO53" s="153"/>
      <c r="HP53" s="153"/>
      <c r="HQ53" s="153"/>
      <c r="HR53" s="153"/>
      <c r="HS53" s="153"/>
      <c r="HT53" s="153"/>
      <c r="HU53" s="153"/>
      <c r="HV53" s="153"/>
      <c r="HW53" s="153"/>
      <c r="HX53" s="153"/>
      <c r="HY53" s="204"/>
      <c r="HZ53" s="204"/>
      <c r="IA53" s="153"/>
      <c r="IB53" s="153"/>
      <c r="IC53" s="153"/>
      <c r="ID53" s="153"/>
      <c r="IE53" s="153"/>
      <c r="IF53" s="204"/>
      <c r="IG53" s="204"/>
      <c r="IH53" s="153"/>
      <c r="II53" s="153"/>
      <c r="IJ53" s="153"/>
      <c r="IK53" s="153"/>
      <c r="IL53" s="153"/>
      <c r="IM53" s="204"/>
      <c r="IN53" s="204"/>
      <c r="IO53" s="153"/>
      <c r="IP53" s="153"/>
      <c r="IQ53" s="230"/>
      <c r="IR53" s="230"/>
      <c r="IS53" s="230"/>
      <c r="IT53" s="204"/>
      <c r="IU53" s="204"/>
      <c r="IV53" s="153"/>
      <c r="IW53" s="153"/>
      <c r="IX53" s="153"/>
      <c r="IY53" s="153"/>
      <c r="IZ53" s="153"/>
      <c r="JA53" s="204"/>
      <c r="JB53" s="204"/>
      <c r="JC53" s="233"/>
      <c r="JD53" s="233"/>
      <c r="JE53" s="153"/>
      <c r="JF53" s="153"/>
      <c r="JG53" s="153"/>
      <c r="JH53" s="204"/>
      <c r="JI53" s="204"/>
      <c r="JJ53" s="153"/>
      <c r="JK53" s="153"/>
      <c r="JL53" s="153"/>
      <c r="JM53" s="153"/>
      <c r="JN53" s="153"/>
      <c r="JO53" s="204"/>
      <c r="JP53" s="204"/>
      <c r="JQ53" s="153"/>
      <c r="JR53" s="153"/>
      <c r="JS53" s="153"/>
      <c r="JT53" s="153"/>
      <c r="JU53" s="153"/>
      <c r="JV53" s="204"/>
      <c r="JW53" s="204"/>
      <c r="JX53" s="153"/>
      <c r="JY53" s="153"/>
      <c r="JZ53" s="153"/>
      <c r="KA53" s="153"/>
      <c r="KB53" s="153"/>
      <c r="KC53" s="204"/>
      <c r="KD53" s="204"/>
      <c r="KE53" s="153"/>
      <c r="KF53" s="153"/>
      <c r="KG53" s="153"/>
      <c r="KH53" s="153"/>
      <c r="KI53" s="153"/>
      <c r="KJ53" s="195"/>
      <c r="KK53" s="195"/>
      <c r="KL53" s="153"/>
      <c r="KM53" s="153"/>
      <c r="KN53" s="153"/>
      <c r="KO53" s="153"/>
      <c r="KP53" s="195"/>
      <c r="KQ53" s="195"/>
      <c r="KR53" s="195"/>
      <c r="KS53" s="153"/>
      <c r="KT53" s="153"/>
      <c r="KU53" s="153"/>
      <c r="KV53" s="153"/>
      <c r="KW53" s="153"/>
      <c r="KX53" s="211"/>
      <c r="KY53" s="211"/>
      <c r="KZ53" s="195"/>
      <c r="LA53" s="195"/>
      <c r="LB53" s="195"/>
      <c r="LC53" s="195"/>
      <c r="LD53" s="195"/>
      <c r="LE53" s="211"/>
      <c r="LF53" s="211"/>
      <c r="LG53" s="230"/>
      <c r="LH53" s="230"/>
      <c r="LI53" s="230"/>
      <c r="LJ53" s="230"/>
      <c r="LK53" s="230"/>
      <c r="LL53" s="230"/>
      <c r="LM53" s="211"/>
      <c r="LN53" s="233"/>
      <c r="LO53" s="233"/>
      <c r="LP53" s="233"/>
      <c r="LQ53" s="233"/>
      <c r="LR53" s="233"/>
      <c r="LS53" s="211"/>
      <c r="LT53" s="211"/>
      <c r="LU53" s="233"/>
      <c r="LV53" s="153"/>
      <c r="LW53" s="153"/>
      <c r="LX53" s="153"/>
      <c r="LY53" s="153"/>
      <c r="LZ53" s="204"/>
      <c r="MA53" s="204"/>
      <c r="MB53" s="153"/>
      <c r="MC53" s="153"/>
      <c r="MD53" s="153"/>
      <c r="ME53" s="153"/>
      <c r="MF53" s="153"/>
      <c r="MG53" s="204"/>
      <c r="MH53" s="204"/>
      <c r="MI53" s="153"/>
      <c r="MJ53" s="153"/>
      <c r="MK53" s="153"/>
      <c r="ML53" s="153"/>
      <c r="MM53" s="153"/>
      <c r="MN53" s="204"/>
      <c r="MO53" s="204"/>
      <c r="MP53" s="153"/>
      <c r="MQ53" s="153"/>
      <c r="MR53" s="153"/>
      <c r="MS53" s="153"/>
      <c r="MT53" s="153"/>
      <c r="MU53" s="204"/>
      <c r="MV53" s="204"/>
      <c r="MW53" s="153"/>
      <c r="MX53" s="153"/>
      <c r="MY53" s="153"/>
      <c r="MZ53" s="153"/>
      <c r="NA53" s="153"/>
      <c r="NB53" s="153"/>
      <c r="NC53" s="153"/>
      <c r="ND53" s="153"/>
    </row>
    <row r="54" spans="1:368" s="146" customFormat="1" ht="15" customHeight="1" thickBot="1">
      <c r="A54" s="470"/>
      <c r="B54" s="476" t="s">
        <v>92</v>
      </c>
      <c r="C54" s="477"/>
      <c r="D54" s="155">
        <f t="shared" ref="D54:H54" si="59">SUM(D38:D52)</f>
        <v>0</v>
      </c>
      <c r="E54" s="155">
        <f t="shared" si="59"/>
        <v>0</v>
      </c>
      <c r="F54" s="155">
        <f t="shared" si="59"/>
        <v>0</v>
      </c>
      <c r="G54" s="155">
        <f t="shared" si="59"/>
        <v>0</v>
      </c>
      <c r="H54" s="155">
        <f t="shared" si="59"/>
        <v>0</v>
      </c>
      <c r="I54" s="195"/>
      <c r="J54" s="195"/>
      <c r="K54" s="155">
        <f t="shared" ref="K54:O54" si="60">SUM(K38:K52)</f>
        <v>0</v>
      </c>
      <c r="L54" s="155">
        <f t="shared" si="60"/>
        <v>0</v>
      </c>
      <c r="M54" s="155">
        <f t="shared" si="60"/>
        <v>0</v>
      </c>
      <c r="N54" s="155">
        <f t="shared" si="60"/>
        <v>0</v>
      </c>
      <c r="O54" s="155">
        <f t="shared" si="60"/>
        <v>0</v>
      </c>
      <c r="P54" s="195"/>
      <c r="Q54" s="195"/>
      <c r="R54" s="155">
        <f t="shared" ref="R54:V54" si="61">SUM(R38:R52)</f>
        <v>0</v>
      </c>
      <c r="S54" s="155">
        <f t="shared" si="61"/>
        <v>0</v>
      </c>
      <c r="T54" s="155">
        <f t="shared" si="61"/>
        <v>0</v>
      </c>
      <c r="U54" s="155">
        <f t="shared" si="61"/>
        <v>0</v>
      </c>
      <c r="V54" s="155">
        <f t="shared" si="61"/>
        <v>0</v>
      </c>
      <c r="W54" s="195"/>
      <c r="X54" s="195"/>
      <c r="Y54" s="155">
        <f t="shared" ref="Y54:AC54" si="62">SUM(Y38:Y52)</f>
        <v>0</v>
      </c>
      <c r="Z54" s="155">
        <f t="shared" si="62"/>
        <v>0</v>
      </c>
      <c r="AA54" s="155">
        <f t="shared" si="62"/>
        <v>0</v>
      </c>
      <c r="AB54" s="155">
        <f t="shared" si="62"/>
        <v>0</v>
      </c>
      <c r="AC54" s="155">
        <f t="shared" si="62"/>
        <v>0</v>
      </c>
      <c r="AD54" s="195"/>
      <c r="AE54" s="195"/>
      <c r="AF54" s="155">
        <f t="shared" ref="AF54:AJ54" si="63">SUM(AF38:AF52)</f>
        <v>0</v>
      </c>
      <c r="AG54" s="155">
        <f t="shared" si="63"/>
        <v>0</v>
      </c>
      <c r="AH54" s="155">
        <f t="shared" si="63"/>
        <v>0</v>
      </c>
      <c r="AI54" s="155">
        <f t="shared" si="63"/>
        <v>0</v>
      </c>
      <c r="AJ54" s="155">
        <f t="shared" si="63"/>
        <v>0</v>
      </c>
      <c r="AK54" s="195"/>
      <c r="AL54" s="195"/>
      <c r="AM54" s="155">
        <f t="shared" ref="AM54:AQ54" si="64">SUM(AM38:AM52)</f>
        <v>0</v>
      </c>
      <c r="AN54" s="155">
        <f t="shared" si="64"/>
        <v>0</v>
      </c>
      <c r="AO54" s="155">
        <f t="shared" si="64"/>
        <v>0</v>
      </c>
      <c r="AP54" s="155">
        <f t="shared" si="64"/>
        <v>0</v>
      </c>
      <c r="AQ54" s="155">
        <f t="shared" si="64"/>
        <v>0</v>
      </c>
      <c r="AR54" s="195"/>
      <c r="AS54" s="195"/>
      <c r="AT54" s="155">
        <f t="shared" ref="AT54:AX54" si="65">SUM(AT38:AT52)</f>
        <v>0</v>
      </c>
      <c r="AU54" s="155">
        <f t="shared" si="65"/>
        <v>0</v>
      </c>
      <c r="AV54" s="155">
        <f t="shared" si="65"/>
        <v>0</v>
      </c>
      <c r="AW54" s="155">
        <f t="shared" si="65"/>
        <v>0</v>
      </c>
      <c r="AX54" s="155">
        <f t="shared" si="65"/>
        <v>0</v>
      </c>
      <c r="AY54" s="195"/>
      <c r="AZ54" s="195"/>
      <c r="BA54" s="155">
        <f t="shared" ref="BA54:BE54" si="66">SUM(BA38:BA52)</f>
        <v>0</v>
      </c>
      <c r="BB54" s="155">
        <f t="shared" si="66"/>
        <v>0</v>
      </c>
      <c r="BC54" s="155">
        <f t="shared" si="66"/>
        <v>0</v>
      </c>
      <c r="BD54" s="155">
        <f t="shared" si="66"/>
        <v>0</v>
      </c>
      <c r="BE54" s="155">
        <f t="shared" si="66"/>
        <v>0</v>
      </c>
      <c r="BF54" s="195"/>
      <c r="BG54" s="195"/>
      <c r="BH54" s="155">
        <f t="shared" ref="BH54:BL54" si="67">SUM(BH38:BH52)</f>
        <v>0</v>
      </c>
      <c r="BI54" s="155">
        <f t="shared" si="67"/>
        <v>0</v>
      </c>
      <c r="BJ54" s="155">
        <f t="shared" si="67"/>
        <v>0</v>
      </c>
      <c r="BK54" s="155">
        <f t="shared" si="67"/>
        <v>0</v>
      </c>
      <c r="BL54" s="155">
        <f t="shared" si="67"/>
        <v>0</v>
      </c>
      <c r="BM54" s="195"/>
      <c r="BN54" s="195"/>
      <c r="BO54" s="155">
        <f t="shared" ref="BO54:BS54" si="68">SUM(BO38:BO52)</f>
        <v>0</v>
      </c>
      <c r="BP54" s="155">
        <f t="shared" si="68"/>
        <v>0</v>
      </c>
      <c r="BQ54" s="155">
        <f t="shared" si="68"/>
        <v>0</v>
      </c>
      <c r="BR54" s="155">
        <f t="shared" si="68"/>
        <v>0</v>
      </c>
      <c r="BS54" s="155">
        <f t="shared" si="68"/>
        <v>0</v>
      </c>
      <c r="BT54" s="195"/>
      <c r="BU54" s="195"/>
      <c r="BV54" s="155">
        <f t="shared" ref="BV54:BZ54" si="69">SUM(BV38:BV52)</f>
        <v>0</v>
      </c>
      <c r="BW54" s="155">
        <f t="shared" si="69"/>
        <v>0</v>
      </c>
      <c r="BX54" s="155">
        <f t="shared" si="69"/>
        <v>0</v>
      </c>
      <c r="BY54" s="155">
        <f t="shared" si="69"/>
        <v>0</v>
      </c>
      <c r="BZ54" s="155">
        <f t="shared" si="69"/>
        <v>0</v>
      </c>
      <c r="CA54" s="195"/>
      <c r="CB54" s="195"/>
      <c r="CC54" s="155">
        <f t="shared" ref="CC54:CG54" si="70">SUM(CC38:CC52)</f>
        <v>0</v>
      </c>
      <c r="CD54" s="155">
        <f t="shared" si="70"/>
        <v>0</v>
      </c>
      <c r="CE54" s="155">
        <f t="shared" si="70"/>
        <v>0</v>
      </c>
      <c r="CF54" s="155">
        <f t="shared" si="70"/>
        <v>0</v>
      </c>
      <c r="CG54" s="155">
        <f t="shared" si="70"/>
        <v>0</v>
      </c>
      <c r="CH54" s="195"/>
      <c r="CI54" s="195"/>
      <c r="CJ54" s="155">
        <f t="shared" ref="CJ54:CN54" si="71">SUM(CJ38:CJ52)</f>
        <v>0</v>
      </c>
      <c r="CK54" s="155">
        <f t="shared" si="71"/>
        <v>0</v>
      </c>
      <c r="CL54" s="155">
        <f t="shared" si="71"/>
        <v>0</v>
      </c>
      <c r="CM54" s="155">
        <f t="shared" si="71"/>
        <v>0</v>
      </c>
      <c r="CN54" s="155">
        <f t="shared" si="71"/>
        <v>0</v>
      </c>
      <c r="CO54" s="195"/>
      <c r="CP54" s="195"/>
      <c r="CQ54" s="155">
        <f t="shared" ref="CQ54:CU54" si="72">SUM(CQ38:CQ52)</f>
        <v>0</v>
      </c>
      <c r="CR54" s="155">
        <f t="shared" si="72"/>
        <v>0</v>
      </c>
      <c r="CS54" s="155">
        <f t="shared" si="72"/>
        <v>0</v>
      </c>
      <c r="CT54" s="155">
        <f t="shared" si="72"/>
        <v>0</v>
      </c>
      <c r="CU54" s="155">
        <f t="shared" si="72"/>
        <v>0</v>
      </c>
      <c r="CV54" s="195"/>
      <c r="CW54" s="195"/>
      <c r="CX54" s="155">
        <f t="shared" ref="CX54:DB54" si="73">SUM(CX38:CX52)</f>
        <v>0</v>
      </c>
      <c r="CY54" s="155">
        <f t="shared" si="73"/>
        <v>0</v>
      </c>
      <c r="CZ54" s="155">
        <f t="shared" si="73"/>
        <v>0</v>
      </c>
      <c r="DA54" s="155">
        <f t="shared" si="73"/>
        <v>0</v>
      </c>
      <c r="DB54" s="155">
        <f t="shared" si="73"/>
        <v>0</v>
      </c>
      <c r="DC54" s="195"/>
      <c r="DD54" s="195"/>
      <c r="DE54" s="155">
        <f t="shared" ref="DE54:DI54" si="74">SUM(DE38:DE52)</f>
        <v>0</v>
      </c>
      <c r="DF54" s="155">
        <f t="shared" si="74"/>
        <v>0</v>
      </c>
      <c r="DG54" s="155">
        <f t="shared" si="74"/>
        <v>0</v>
      </c>
      <c r="DH54" s="155">
        <f t="shared" si="74"/>
        <v>0</v>
      </c>
      <c r="DI54" s="155">
        <f t="shared" si="74"/>
        <v>0</v>
      </c>
      <c r="DJ54" s="195"/>
      <c r="DK54" s="195"/>
      <c r="DL54" s="155">
        <f t="shared" ref="DL54:DP54" si="75">SUM(DL38:DL52)</f>
        <v>0</v>
      </c>
      <c r="DM54" s="155">
        <f t="shared" si="75"/>
        <v>0</v>
      </c>
      <c r="DN54" s="155">
        <f t="shared" si="75"/>
        <v>0</v>
      </c>
      <c r="DO54" s="155">
        <f t="shared" si="75"/>
        <v>0</v>
      </c>
      <c r="DP54" s="155">
        <f t="shared" si="75"/>
        <v>0</v>
      </c>
      <c r="DQ54" s="195"/>
      <c r="DR54" s="195"/>
      <c r="DS54" s="155">
        <f t="shared" ref="DS54:DW54" si="76">SUM(DS38:DS52)</f>
        <v>0</v>
      </c>
      <c r="DT54" s="155">
        <f t="shared" si="76"/>
        <v>0</v>
      </c>
      <c r="DU54" s="155">
        <f t="shared" si="76"/>
        <v>0</v>
      </c>
      <c r="DV54" s="155">
        <f t="shared" si="76"/>
        <v>0</v>
      </c>
      <c r="DW54" s="155">
        <f t="shared" si="76"/>
        <v>0</v>
      </c>
      <c r="DX54" s="195"/>
      <c r="DY54" s="195"/>
      <c r="DZ54" s="155">
        <f t="shared" ref="DZ54:ED54" si="77">SUM(DZ38:DZ52)</f>
        <v>0</v>
      </c>
      <c r="EA54" s="155">
        <f t="shared" si="77"/>
        <v>0</v>
      </c>
      <c r="EB54" s="155">
        <f t="shared" si="77"/>
        <v>0</v>
      </c>
      <c r="EC54" s="155">
        <f t="shared" si="77"/>
        <v>0</v>
      </c>
      <c r="ED54" s="155">
        <f t="shared" si="77"/>
        <v>0</v>
      </c>
      <c r="EE54" s="195"/>
      <c r="EF54" s="195"/>
      <c r="EG54" s="155">
        <f t="shared" ref="EG54:EK54" si="78">SUM(EG38:EG52)</f>
        <v>0</v>
      </c>
      <c r="EH54" s="155">
        <f t="shared" si="78"/>
        <v>0</v>
      </c>
      <c r="EI54" s="155">
        <f t="shared" si="78"/>
        <v>0</v>
      </c>
      <c r="EJ54" s="155">
        <f t="shared" si="78"/>
        <v>0</v>
      </c>
      <c r="EK54" s="155">
        <f t="shared" si="78"/>
        <v>0</v>
      </c>
      <c r="EL54" s="195"/>
      <c r="EM54" s="195"/>
      <c r="EN54" s="155">
        <f t="shared" ref="EN54:ER54" si="79">SUM(EN38:EN52)</f>
        <v>0</v>
      </c>
      <c r="EO54" s="155">
        <f t="shared" si="79"/>
        <v>0</v>
      </c>
      <c r="EP54" s="155">
        <f t="shared" si="79"/>
        <v>0</v>
      </c>
      <c r="EQ54" s="155">
        <f t="shared" si="79"/>
        <v>0</v>
      </c>
      <c r="ER54" s="155">
        <f t="shared" si="79"/>
        <v>0</v>
      </c>
      <c r="ES54" s="195"/>
      <c r="ET54" s="195"/>
      <c r="EU54" s="155">
        <f t="shared" ref="EU54:EY54" si="80">SUM(EU38:EU52)</f>
        <v>0</v>
      </c>
      <c r="EV54" s="155">
        <f t="shared" si="80"/>
        <v>0</v>
      </c>
      <c r="EW54" s="155">
        <f t="shared" si="80"/>
        <v>0</v>
      </c>
      <c r="EX54" s="155">
        <f t="shared" si="80"/>
        <v>0</v>
      </c>
      <c r="EY54" s="155">
        <f t="shared" si="80"/>
        <v>0</v>
      </c>
      <c r="EZ54" s="195"/>
      <c r="FA54" s="195"/>
      <c r="FB54" s="155">
        <f t="shared" ref="FB54:FF54" si="81">SUM(FB38:FB52)</f>
        <v>0</v>
      </c>
      <c r="FC54" s="155">
        <f t="shared" si="81"/>
        <v>0</v>
      </c>
      <c r="FD54" s="155">
        <f t="shared" si="81"/>
        <v>0</v>
      </c>
      <c r="FE54" s="155">
        <f t="shared" si="81"/>
        <v>0</v>
      </c>
      <c r="FF54" s="155">
        <f t="shared" si="81"/>
        <v>0</v>
      </c>
      <c r="FG54" s="195"/>
      <c r="FH54" s="195"/>
      <c r="FI54" s="155">
        <f t="shared" ref="FI54:FM54" si="82">SUM(FI38:FI52)</f>
        <v>0</v>
      </c>
      <c r="FJ54" s="155">
        <f t="shared" si="82"/>
        <v>0</v>
      </c>
      <c r="FK54" s="155">
        <f t="shared" si="82"/>
        <v>0</v>
      </c>
      <c r="FL54" s="155">
        <f t="shared" si="82"/>
        <v>0</v>
      </c>
      <c r="FM54" s="155">
        <f t="shared" si="82"/>
        <v>0</v>
      </c>
      <c r="FN54" s="195"/>
      <c r="FO54" s="195"/>
      <c r="FP54" s="155">
        <f t="shared" ref="FP54:FT54" si="83">SUM(FP38:FP52)</f>
        <v>0</v>
      </c>
      <c r="FQ54" s="155">
        <f t="shared" si="83"/>
        <v>0</v>
      </c>
      <c r="FR54" s="155">
        <f t="shared" si="83"/>
        <v>0</v>
      </c>
      <c r="FS54" s="155">
        <f t="shared" si="83"/>
        <v>0</v>
      </c>
      <c r="FT54" s="155">
        <f t="shared" si="83"/>
        <v>0</v>
      </c>
      <c r="FU54" s="195"/>
      <c r="FV54" s="195"/>
      <c r="FW54" s="155">
        <f t="shared" ref="FW54:HJ54" si="84">SUM(FW38:FW52)</f>
        <v>0</v>
      </c>
      <c r="FX54" s="155">
        <f t="shared" si="84"/>
        <v>0</v>
      </c>
      <c r="FY54" s="155">
        <f t="shared" si="84"/>
        <v>0</v>
      </c>
      <c r="FZ54" s="155">
        <f t="shared" si="84"/>
        <v>0</v>
      </c>
      <c r="GA54" s="155">
        <f t="shared" si="84"/>
        <v>0</v>
      </c>
      <c r="GB54" s="155">
        <f t="shared" si="84"/>
        <v>0</v>
      </c>
      <c r="GC54" s="155">
        <f t="shared" si="84"/>
        <v>0</v>
      </c>
      <c r="GD54" s="155">
        <f t="shared" si="84"/>
        <v>0</v>
      </c>
      <c r="GE54" s="155">
        <f t="shared" si="84"/>
        <v>0</v>
      </c>
      <c r="GF54" s="155">
        <f t="shared" si="84"/>
        <v>0</v>
      </c>
      <c r="GG54" s="155">
        <f t="shared" si="84"/>
        <v>0</v>
      </c>
      <c r="GH54" s="155">
        <f t="shared" si="84"/>
        <v>0</v>
      </c>
      <c r="GI54" s="196">
        <f t="shared" si="84"/>
        <v>0</v>
      </c>
      <c r="GJ54" s="196">
        <f t="shared" si="84"/>
        <v>0</v>
      </c>
      <c r="GK54" s="155">
        <f t="shared" si="84"/>
        <v>0</v>
      </c>
      <c r="GL54" s="155">
        <f t="shared" si="84"/>
        <v>0</v>
      </c>
      <c r="GM54" s="155">
        <f t="shared" si="84"/>
        <v>0</v>
      </c>
      <c r="GN54" s="155">
        <f t="shared" si="84"/>
        <v>0</v>
      </c>
      <c r="GO54" s="155">
        <f t="shared" si="84"/>
        <v>0</v>
      </c>
      <c r="GP54" s="212">
        <f t="shared" si="84"/>
        <v>0</v>
      </c>
      <c r="GQ54" s="212">
        <f t="shared" si="84"/>
        <v>0</v>
      </c>
      <c r="GR54" s="155">
        <f t="shared" si="84"/>
        <v>0</v>
      </c>
      <c r="GS54" s="155">
        <f t="shared" si="84"/>
        <v>0</v>
      </c>
      <c r="GT54" s="155">
        <f t="shared" si="84"/>
        <v>0</v>
      </c>
      <c r="GU54" s="155">
        <f t="shared" si="84"/>
        <v>0</v>
      </c>
      <c r="GV54" s="155">
        <f t="shared" si="84"/>
        <v>0</v>
      </c>
      <c r="GW54" s="212">
        <f t="shared" si="84"/>
        <v>0</v>
      </c>
      <c r="GX54" s="212">
        <f t="shared" si="84"/>
        <v>0</v>
      </c>
      <c r="GY54" s="155">
        <f t="shared" si="84"/>
        <v>0</v>
      </c>
      <c r="GZ54" s="155">
        <f t="shared" si="84"/>
        <v>0</v>
      </c>
      <c r="HA54" s="155">
        <f t="shared" si="84"/>
        <v>0</v>
      </c>
      <c r="HB54" s="155">
        <f t="shared" si="84"/>
        <v>0</v>
      </c>
      <c r="HC54" s="155">
        <f t="shared" si="84"/>
        <v>0</v>
      </c>
      <c r="HD54" s="212">
        <f t="shared" si="84"/>
        <v>0</v>
      </c>
      <c r="HE54" s="212">
        <f t="shared" si="84"/>
        <v>0</v>
      </c>
      <c r="HF54" s="155">
        <f t="shared" si="84"/>
        <v>0</v>
      </c>
      <c r="HG54" s="155">
        <f t="shared" si="84"/>
        <v>0</v>
      </c>
      <c r="HH54" s="155">
        <f t="shared" si="84"/>
        <v>0</v>
      </c>
      <c r="HI54" s="155">
        <f t="shared" si="84"/>
        <v>0</v>
      </c>
      <c r="HJ54" s="155">
        <f t="shared" si="84"/>
        <v>0</v>
      </c>
      <c r="HK54" s="211"/>
      <c r="HL54" s="211"/>
      <c r="HM54" s="145">
        <f>SUM(HM38:HM52)</f>
        <v>0</v>
      </c>
      <c r="HN54" s="145">
        <f t="shared" ref="HN54:JY54" si="85">SUM(HN38:HN52)</f>
        <v>0</v>
      </c>
      <c r="HO54" s="145">
        <f t="shared" si="85"/>
        <v>0</v>
      </c>
      <c r="HP54" s="145">
        <f t="shared" si="85"/>
        <v>0</v>
      </c>
      <c r="HQ54" s="145">
        <f t="shared" si="85"/>
        <v>0</v>
      </c>
      <c r="HR54" s="145">
        <f t="shared" si="85"/>
        <v>0</v>
      </c>
      <c r="HS54" s="145">
        <f t="shared" si="85"/>
        <v>0</v>
      </c>
      <c r="HT54" s="145">
        <f t="shared" si="85"/>
        <v>0</v>
      </c>
      <c r="HU54" s="145">
        <f t="shared" si="85"/>
        <v>0</v>
      </c>
      <c r="HV54" s="145">
        <f t="shared" si="85"/>
        <v>0</v>
      </c>
      <c r="HW54" s="145">
        <f t="shared" si="85"/>
        <v>0</v>
      </c>
      <c r="HX54" s="145">
        <f t="shared" si="85"/>
        <v>0</v>
      </c>
      <c r="HY54" s="145">
        <f t="shared" si="85"/>
        <v>0</v>
      </c>
      <c r="HZ54" s="145">
        <f t="shared" si="85"/>
        <v>0</v>
      </c>
      <c r="IA54" s="145">
        <f t="shared" si="85"/>
        <v>0</v>
      </c>
      <c r="IB54" s="145">
        <f t="shared" si="85"/>
        <v>0</v>
      </c>
      <c r="IC54" s="145">
        <f t="shared" si="85"/>
        <v>0</v>
      </c>
      <c r="ID54" s="145">
        <f t="shared" si="85"/>
        <v>0</v>
      </c>
      <c r="IE54" s="145">
        <f t="shared" si="85"/>
        <v>0</v>
      </c>
      <c r="IF54" s="145">
        <f t="shared" si="85"/>
        <v>0</v>
      </c>
      <c r="IG54" s="145">
        <f t="shared" si="85"/>
        <v>0</v>
      </c>
      <c r="IH54" s="145">
        <f t="shared" si="85"/>
        <v>0</v>
      </c>
      <c r="II54" s="145">
        <f t="shared" si="85"/>
        <v>0</v>
      </c>
      <c r="IJ54" s="145">
        <f t="shared" si="85"/>
        <v>0</v>
      </c>
      <c r="IK54" s="145">
        <f t="shared" si="85"/>
        <v>0</v>
      </c>
      <c r="IL54" s="145">
        <f t="shared" si="85"/>
        <v>0</v>
      </c>
      <c r="IM54" s="145">
        <f t="shared" si="85"/>
        <v>0</v>
      </c>
      <c r="IN54" s="145">
        <f t="shared" si="85"/>
        <v>0</v>
      </c>
      <c r="IO54" s="145">
        <f t="shared" si="85"/>
        <v>0</v>
      </c>
      <c r="IP54" s="145">
        <f t="shared" si="85"/>
        <v>0</v>
      </c>
      <c r="IQ54" s="145">
        <f t="shared" si="85"/>
        <v>0</v>
      </c>
      <c r="IR54" s="145">
        <f t="shared" si="85"/>
        <v>0</v>
      </c>
      <c r="IS54" s="145">
        <f t="shared" si="85"/>
        <v>0</v>
      </c>
      <c r="IT54" s="145">
        <f t="shared" si="85"/>
        <v>0</v>
      </c>
      <c r="IU54" s="145">
        <f t="shared" si="85"/>
        <v>0</v>
      </c>
      <c r="IV54" s="145">
        <f t="shared" si="85"/>
        <v>0</v>
      </c>
      <c r="IW54" s="145">
        <f t="shared" si="85"/>
        <v>0</v>
      </c>
      <c r="IX54" s="145">
        <f t="shared" si="85"/>
        <v>0</v>
      </c>
      <c r="IY54" s="145">
        <f t="shared" si="85"/>
        <v>0</v>
      </c>
      <c r="IZ54" s="145">
        <f t="shared" si="85"/>
        <v>0</v>
      </c>
      <c r="JA54" s="145">
        <f t="shared" si="85"/>
        <v>0</v>
      </c>
      <c r="JB54" s="145">
        <f t="shared" si="85"/>
        <v>0</v>
      </c>
      <c r="JC54" s="145">
        <f t="shared" si="85"/>
        <v>0</v>
      </c>
      <c r="JD54" s="145">
        <f t="shared" si="85"/>
        <v>0</v>
      </c>
      <c r="JE54" s="145">
        <f t="shared" si="85"/>
        <v>0</v>
      </c>
      <c r="JF54" s="145">
        <f t="shared" si="85"/>
        <v>0</v>
      </c>
      <c r="JG54" s="145">
        <f t="shared" si="85"/>
        <v>0</v>
      </c>
      <c r="JH54" s="145">
        <f t="shared" si="85"/>
        <v>0</v>
      </c>
      <c r="JI54" s="145">
        <f t="shared" si="85"/>
        <v>0</v>
      </c>
      <c r="JJ54" s="145">
        <f t="shared" si="85"/>
        <v>0</v>
      </c>
      <c r="JK54" s="145">
        <f t="shared" si="85"/>
        <v>0</v>
      </c>
      <c r="JL54" s="145">
        <f t="shared" si="85"/>
        <v>0</v>
      </c>
      <c r="JM54" s="145">
        <f t="shared" si="85"/>
        <v>0</v>
      </c>
      <c r="JN54" s="145">
        <f t="shared" si="85"/>
        <v>0</v>
      </c>
      <c r="JO54" s="145">
        <f t="shared" si="85"/>
        <v>0</v>
      </c>
      <c r="JP54" s="145">
        <f t="shared" si="85"/>
        <v>0</v>
      </c>
      <c r="JQ54" s="145">
        <f t="shared" si="85"/>
        <v>0</v>
      </c>
      <c r="JR54" s="145">
        <f t="shared" si="85"/>
        <v>0</v>
      </c>
      <c r="JS54" s="145">
        <f t="shared" si="85"/>
        <v>0</v>
      </c>
      <c r="JT54" s="145">
        <f t="shared" si="85"/>
        <v>0</v>
      </c>
      <c r="JU54" s="145">
        <f t="shared" si="85"/>
        <v>0</v>
      </c>
      <c r="JV54" s="145">
        <f t="shared" si="85"/>
        <v>0</v>
      </c>
      <c r="JW54" s="145">
        <f t="shared" si="85"/>
        <v>0</v>
      </c>
      <c r="JX54" s="145">
        <f t="shared" si="85"/>
        <v>0</v>
      </c>
      <c r="JY54" s="145">
        <f t="shared" si="85"/>
        <v>0</v>
      </c>
      <c r="JZ54" s="145">
        <f t="shared" ref="JZ54:MK54" si="86">SUM(JZ38:JZ52)</f>
        <v>0</v>
      </c>
      <c r="KA54" s="145">
        <f t="shared" si="86"/>
        <v>0</v>
      </c>
      <c r="KB54" s="145">
        <f t="shared" si="86"/>
        <v>0</v>
      </c>
      <c r="KC54" s="145">
        <f t="shared" si="86"/>
        <v>0</v>
      </c>
      <c r="KD54" s="145">
        <f t="shared" si="86"/>
        <v>0</v>
      </c>
      <c r="KE54" s="145">
        <f t="shared" si="86"/>
        <v>0</v>
      </c>
      <c r="KF54" s="145">
        <f t="shared" si="86"/>
        <v>0</v>
      </c>
      <c r="KG54" s="145">
        <f t="shared" si="86"/>
        <v>0</v>
      </c>
      <c r="KH54" s="145">
        <f t="shared" si="86"/>
        <v>0</v>
      </c>
      <c r="KI54" s="145">
        <f t="shared" si="86"/>
        <v>0</v>
      </c>
      <c r="KJ54" s="145">
        <f t="shared" si="86"/>
        <v>0</v>
      </c>
      <c r="KK54" s="145">
        <f t="shared" si="86"/>
        <v>0</v>
      </c>
      <c r="KL54" s="145">
        <f t="shared" si="86"/>
        <v>0</v>
      </c>
      <c r="KM54" s="145">
        <f t="shared" si="86"/>
        <v>0</v>
      </c>
      <c r="KN54" s="145">
        <f t="shared" si="86"/>
        <v>0</v>
      </c>
      <c r="KO54" s="145">
        <f t="shared" si="86"/>
        <v>0</v>
      </c>
      <c r="KP54" s="145">
        <f t="shared" si="86"/>
        <v>0</v>
      </c>
      <c r="KQ54" s="145">
        <f t="shared" si="86"/>
        <v>0</v>
      </c>
      <c r="KR54" s="145">
        <f t="shared" si="86"/>
        <v>0</v>
      </c>
      <c r="KS54" s="145">
        <f t="shared" si="86"/>
        <v>0</v>
      </c>
      <c r="KT54" s="145">
        <f t="shared" si="86"/>
        <v>0</v>
      </c>
      <c r="KU54" s="145">
        <f t="shared" si="86"/>
        <v>0</v>
      </c>
      <c r="KV54" s="145">
        <f t="shared" si="86"/>
        <v>0</v>
      </c>
      <c r="KW54" s="145">
        <f t="shared" si="86"/>
        <v>0</v>
      </c>
      <c r="KX54" s="145">
        <f t="shared" si="86"/>
        <v>0</v>
      </c>
      <c r="KY54" s="145">
        <f t="shared" si="86"/>
        <v>0</v>
      </c>
      <c r="KZ54" s="195">
        <f t="shared" si="86"/>
        <v>0</v>
      </c>
      <c r="LA54" s="195">
        <f t="shared" si="86"/>
        <v>0</v>
      </c>
      <c r="LB54" s="195">
        <f t="shared" si="86"/>
        <v>0</v>
      </c>
      <c r="LC54" s="195">
        <f t="shared" si="86"/>
        <v>0</v>
      </c>
      <c r="LD54" s="195">
        <f t="shared" si="86"/>
        <v>0</v>
      </c>
      <c r="LE54" s="145">
        <f t="shared" si="86"/>
        <v>0</v>
      </c>
      <c r="LF54" s="145">
        <f t="shared" si="86"/>
        <v>0</v>
      </c>
      <c r="LG54" s="211">
        <f t="shared" si="86"/>
        <v>0</v>
      </c>
      <c r="LH54" s="211">
        <f t="shared" si="86"/>
        <v>0</v>
      </c>
      <c r="LI54" s="211">
        <f t="shared" si="86"/>
        <v>0</v>
      </c>
      <c r="LJ54" s="211">
        <f t="shared" si="86"/>
        <v>0</v>
      </c>
      <c r="LK54" s="211">
        <f t="shared" si="86"/>
        <v>0</v>
      </c>
      <c r="LL54" s="211">
        <f t="shared" si="86"/>
        <v>0</v>
      </c>
      <c r="LM54" s="211">
        <f t="shared" si="86"/>
        <v>0</v>
      </c>
      <c r="LN54" s="145">
        <f t="shared" si="86"/>
        <v>0</v>
      </c>
      <c r="LO54" s="145">
        <f t="shared" si="86"/>
        <v>0</v>
      </c>
      <c r="LP54" s="145">
        <f t="shared" si="86"/>
        <v>0</v>
      </c>
      <c r="LQ54" s="145">
        <f t="shared" si="86"/>
        <v>0</v>
      </c>
      <c r="LR54" s="145">
        <f t="shared" si="86"/>
        <v>0</v>
      </c>
      <c r="LS54" s="211">
        <f t="shared" si="86"/>
        <v>0</v>
      </c>
      <c r="LT54" s="211">
        <f t="shared" si="86"/>
        <v>0</v>
      </c>
      <c r="LU54" s="145">
        <f t="shared" si="86"/>
        <v>0</v>
      </c>
      <c r="LV54" s="145">
        <f t="shared" si="86"/>
        <v>0</v>
      </c>
      <c r="LW54" s="145">
        <f t="shared" si="86"/>
        <v>0</v>
      </c>
      <c r="LX54" s="145">
        <f t="shared" si="86"/>
        <v>0</v>
      </c>
      <c r="LY54" s="145">
        <f t="shared" si="86"/>
        <v>0</v>
      </c>
      <c r="LZ54" s="145">
        <f t="shared" si="86"/>
        <v>0</v>
      </c>
      <c r="MA54" s="145">
        <f t="shared" si="86"/>
        <v>0</v>
      </c>
      <c r="MB54" s="145">
        <f t="shared" si="86"/>
        <v>0</v>
      </c>
      <c r="MC54" s="145">
        <f t="shared" si="86"/>
        <v>0</v>
      </c>
      <c r="MD54" s="145">
        <f t="shared" si="86"/>
        <v>0</v>
      </c>
      <c r="ME54" s="145">
        <f t="shared" si="86"/>
        <v>0</v>
      </c>
      <c r="MF54" s="145">
        <f t="shared" si="86"/>
        <v>0</v>
      </c>
      <c r="MG54" s="145">
        <f t="shared" si="86"/>
        <v>0</v>
      </c>
      <c r="MH54" s="145">
        <f t="shared" si="86"/>
        <v>0</v>
      </c>
      <c r="MI54" s="145">
        <f t="shared" si="86"/>
        <v>0</v>
      </c>
      <c r="MJ54" s="145">
        <f t="shared" si="86"/>
        <v>0</v>
      </c>
      <c r="MK54" s="145">
        <f t="shared" si="86"/>
        <v>0</v>
      </c>
      <c r="ML54" s="145">
        <f t="shared" ref="ML54:NA54" si="87">SUM(ML38:ML52)</f>
        <v>0</v>
      </c>
      <c r="MM54" s="145">
        <f t="shared" si="87"/>
        <v>0</v>
      </c>
      <c r="MN54" s="145">
        <f t="shared" si="87"/>
        <v>0</v>
      </c>
      <c r="MO54" s="145">
        <f t="shared" si="87"/>
        <v>0</v>
      </c>
      <c r="MP54" s="145">
        <f t="shared" si="87"/>
        <v>0</v>
      </c>
      <c r="MQ54" s="145">
        <f t="shared" si="87"/>
        <v>0</v>
      </c>
      <c r="MR54" s="145">
        <f t="shared" si="87"/>
        <v>0</v>
      </c>
      <c r="MS54" s="145">
        <f t="shared" si="87"/>
        <v>0</v>
      </c>
      <c r="MT54" s="145">
        <f t="shared" si="87"/>
        <v>0</v>
      </c>
      <c r="MU54" s="145">
        <f t="shared" si="87"/>
        <v>0</v>
      </c>
      <c r="MV54" s="145">
        <f t="shared" si="87"/>
        <v>0</v>
      </c>
      <c r="MW54" s="145">
        <f t="shared" si="87"/>
        <v>0</v>
      </c>
      <c r="MX54" s="145">
        <f t="shared" si="87"/>
        <v>0</v>
      </c>
      <c r="MY54" s="145">
        <f t="shared" si="87"/>
        <v>0</v>
      </c>
      <c r="MZ54" s="145">
        <f t="shared" si="87"/>
        <v>0</v>
      </c>
      <c r="NA54" s="145">
        <f t="shared" si="87"/>
        <v>0</v>
      </c>
    </row>
    <row r="55" spans="1:368" s="138" customFormat="1" ht="15" customHeight="1">
      <c r="A55" s="469">
        <v>0.5</v>
      </c>
      <c r="B55" s="460" t="s">
        <v>7</v>
      </c>
      <c r="C55" s="163" t="s">
        <v>10</v>
      </c>
      <c r="D55" s="265"/>
      <c r="E55" s="266"/>
      <c r="F55" s="266"/>
      <c r="G55" s="266"/>
      <c r="H55" s="267"/>
      <c r="I55" s="194"/>
      <c r="J55" s="194"/>
      <c r="K55" s="265"/>
      <c r="L55" s="266"/>
      <c r="M55" s="266"/>
      <c r="N55" s="266"/>
      <c r="O55" s="267"/>
      <c r="P55" s="194"/>
      <c r="Q55" s="194"/>
      <c r="R55" s="265"/>
      <c r="S55" s="266"/>
      <c r="T55" s="266"/>
      <c r="U55" s="266"/>
      <c r="V55" s="267"/>
      <c r="W55" s="194"/>
      <c r="X55" s="194"/>
      <c r="Y55" s="265"/>
      <c r="Z55" s="266"/>
      <c r="AA55" s="266"/>
      <c r="AB55" s="266"/>
      <c r="AC55" s="267"/>
      <c r="AD55" s="194"/>
      <c r="AE55" s="194"/>
      <c r="AF55" s="265"/>
      <c r="AG55" s="266"/>
      <c r="AH55" s="266"/>
      <c r="AI55" s="266"/>
      <c r="AJ55" s="267"/>
      <c r="AK55" s="194"/>
      <c r="AL55" s="194"/>
      <c r="AM55" s="265"/>
      <c r="AN55" s="266"/>
      <c r="AO55" s="266"/>
      <c r="AP55" s="266"/>
      <c r="AQ55" s="267"/>
      <c r="AR55" s="194"/>
      <c r="AS55" s="194"/>
      <c r="AT55" s="265"/>
      <c r="AU55" s="266"/>
      <c r="AV55" s="266"/>
      <c r="AW55" s="266"/>
      <c r="AX55" s="267"/>
      <c r="AY55" s="194"/>
      <c r="AZ55" s="194"/>
      <c r="BA55" s="265"/>
      <c r="BB55" s="266"/>
      <c r="BC55" s="266"/>
      <c r="BD55" s="266"/>
      <c r="BE55" s="267"/>
      <c r="BF55" s="194"/>
      <c r="BG55" s="194"/>
      <c r="BH55" s="265"/>
      <c r="BI55" s="266"/>
      <c r="BJ55" s="266"/>
      <c r="BK55" s="266"/>
      <c r="BL55" s="267"/>
      <c r="BM55" s="194"/>
      <c r="BN55" s="194"/>
      <c r="BO55" s="265"/>
      <c r="BP55" s="266"/>
      <c r="BQ55" s="266"/>
      <c r="BR55" s="266"/>
      <c r="BS55" s="267"/>
      <c r="BT55" s="194"/>
      <c r="BU55" s="194"/>
      <c r="BV55" s="265"/>
      <c r="BW55" s="266"/>
      <c r="BX55" s="266"/>
      <c r="BY55" s="266"/>
      <c r="BZ55" s="267"/>
      <c r="CA55" s="194"/>
      <c r="CB55" s="194"/>
      <c r="CC55" s="265"/>
      <c r="CD55" s="266"/>
      <c r="CE55" s="266"/>
      <c r="CF55" s="266"/>
      <c r="CG55" s="267"/>
      <c r="CH55" s="194"/>
      <c r="CI55" s="194"/>
      <c r="CJ55" s="265"/>
      <c r="CK55" s="266"/>
      <c r="CL55" s="266"/>
      <c r="CM55" s="266"/>
      <c r="CN55" s="267"/>
      <c r="CO55" s="194"/>
      <c r="CP55" s="194"/>
      <c r="CQ55" s="265"/>
      <c r="CR55" s="266"/>
      <c r="CS55" s="266"/>
      <c r="CT55" s="266"/>
      <c r="CU55" s="267"/>
      <c r="CV55" s="194"/>
      <c r="CW55" s="194"/>
      <c r="CX55" s="265"/>
      <c r="CY55" s="266"/>
      <c r="CZ55" s="266"/>
      <c r="DA55" s="266"/>
      <c r="DB55" s="267"/>
      <c r="DC55" s="194"/>
      <c r="DD55" s="194"/>
      <c r="DE55" s="265"/>
      <c r="DF55" s="266"/>
      <c r="DG55" s="266"/>
      <c r="DH55" s="266"/>
      <c r="DI55" s="267"/>
      <c r="DJ55" s="194"/>
      <c r="DK55" s="194"/>
      <c r="DL55" s="265"/>
      <c r="DM55" s="266"/>
      <c r="DN55" s="266"/>
      <c r="DO55" s="266"/>
      <c r="DP55" s="267"/>
      <c r="DQ55" s="194"/>
      <c r="DR55" s="194"/>
      <c r="DS55" s="265"/>
      <c r="DT55" s="266"/>
      <c r="DU55" s="266"/>
      <c r="DV55" s="266"/>
      <c r="DW55" s="267"/>
      <c r="DX55" s="194"/>
      <c r="DY55" s="194"/>
      <c r="DZ55" s="265"/>
      <c r="EA55" s="266"/>
      <c r="EB55" s="266"/>
      <c r="EC55" s="266"/>
      <c r="ED55" s="267"/>
      <c r="EE55" s="194"/>
      <c r="EF55" s="194"/>
      <c r="EG55" s="265"/>
      <c r="EH55" s="266"/>
      <c r="EI55" s="266"/>
      <c r="EJ55" s="266"/>
      <c r="EK55" s="267"/>
      <c r="EL55" s="194"/>
      <c r="EM55" s="194"/>
      <c r="EN55" s="265"/>
      <c r="EO55" s="266"/>
      <c r="EP55" s="266"/>
      <c r="EQ55" s="266"/>
      <c r="ER55" s="267"/>
      <c r="ES55" s="194"/>
      <c r="ET55" s="194"/>
      <c r="EU55" s="265"/>
      <c r="EV55" s="266"/>
      <c r="EW55" s="266"/>
      <c r="EX55" s="266"/>
      <c r="EY55" s="267"/>
      <c r="EZ55" s="194"/>
      <c r="FA55" s="194"/>
      <c r="FB55" s="265"/>
      <c r="FC55" s="266"/>
      <c r="FD55" s="266"/>
      <c r="FE55" s="266"/>
      <c r="FF55" s="267"/>
      <c r="FG55" s="194"/>
      <c r="FH55" s="194"/>
      <c r="FI55" s="265"/>
      <c r="FJ55" s="266"/>
      <c r="FK55" s="266"/>
      <c r="FL55" s="266"/>
      <c r="FM55" s="267"/>
      <c r="FN55" s="194"/>
      <c r="FO55" s="194"/>
      <c r="FP55" s="265"/>
      <c r="FQ55" s="266"/>
      <c r="FR55" s="266"/>
      <c r="FS55" s="266"/>
      <c r="FT55" s="267"/>
      <c r="FU55" s="194"/>
      <c r="FV55" s="194"/>
      <c r="FW55" s="265"/>
      <c r="FX55" s="266"/>
      <c r="FY55" s="266"/>
      <c r="FZ55" s="266"/>
      <c r="GA55" s="267"/>
      <c r="GB55" s="194"/>
      <c r="GC55" s="194"/>
      <c r="GD55" s="143"/>
      <c r="GE55" s="143"/>
      <c r="GF55" s="143"/>
      <c r="GG55" s="143"/>
      <c r="GH55" s="143"/>
      <c r="GI55" s="194"/>
      <c r="GJ55" s="194"/>
      <c r="GK55" s="143"/>
      <c r="GL55" s="143"/>
      <c r="GM55" s="143"/>
      <c r="GN55" s="143"/>
      <c r="GO55" s="143"/>
      <c r="GP55" s="210"/>
      <c r="GQ55" s="210"/>
      <c r="GR55" s="143"/>
      <c r="GS55" s="143"/>
      <c r="GT55" s="143"/>
      <c r="GU55" s="143"/>
      <c r="GV55" s="143"/>
      <c r="GW55" s="210"/>
      <c r="GX55" s="210"/>
      <c r="GY55" s="143"/>
      <c r="GZ55" s="143"/>
      <c r="HA55" s="143"/>
      <c r="HB55" s="143"/>
      <c r="HC55" s="143"/>
      <c r="HD55" s="210"/>
      <c r="HE55" s="210"/>
      <c r="HF55" s="143"/>
      <c r="HG55" s="143"/>
      <c r="HH55" s="143"/>
      <c r="HI55" s="143"/>
      <c r="HJ55" s="143"/>
      <c r="HK55" s="210"/>
      <c r="HL55" s="210"/>
      <c r="HM55" s="143"/>
      <c r="HN55" s="143"/>
      <c r="HO55" s="143"/>
      <c r="HP55" s="143"/>
      <c r="HQ55" s="143"/>
      <c r="HR55" s="143"/>
      <c r="HS55" s="143"/>
      <c r="HT55" s="143"/>
      <c r="HU55" s="143"/>
      <c r="HV55" s="143"/>
      <c r="HW55" s="143"/>
      <c r="HX55" s="143"/>
      <c r="HY55" s="203"/>
      <c r="HZ55" s="203"/>
      <c r="IA55" s="143"/>
      <c r="IB55" s="143"/>
      <c r="IC55" s="143"/>
      <c r="ID55" s="143"/>
      <c r="IE55" s="143"/>
      <c r="IF55" s="203"/>
      <c r="IG55" s="203"/>
      <c r="IH55" s="143"/>
      <c r="II55" s="143"/>
      <c r="IJ55" s="143"/>
      <c r="IK55" s="143"/>
      <c r="IL55" s="143"/>
      <c r="IM55" s="203"/>
      <c r="IN55" s="203"/>
      <c r="IO55" s="143"/>
      <c r="IP55" s="143"/>
      <c r="IQ55" s="227"/>
      <c r="IR55" s="227"/>
      <c r="IS55" s="227"/>
      <c r="IT55" s="203"/>
      <c r="IU55" s="203"/>
      <c r="IV55" s="143"/>
      <c r="IW55" s="143"/>
      <c r="IX55" s="143"/>
      <c r="IY55" s="143"/>
      <c r="IZ55" s="143"/>
      <c r="JA55" s="203"/>
      <c r="JB55" s="203"/>
      <c r="JC55" s="227"/>
      <c r="JD55" s="227"/>
      <c r="JE55" s="143"/>
      <c r="JF55" s="143"/>
      <c r="JG55" s="143"/>
      <c r="JH55" s="203"/>
      <c r="JI55" s="203"/>
      <c r="JJ55" s="143"/>
      <c r="JK55" s="143"/>
      <c r="JL55" s="143"/>
      <c r="JM55" s="143"/>
      <c r="JN55" s="143"/>
      <c r="JO55" s="203"/>
      <c r="JP55" s="203"/>
      <c r="JQ55" s="143"/>
      <c r="JR55" s="143"/>
      <c r="JS55" s="143"/>
      <c r="JT55" s="143"/>
      <c r="JU55" s="143"/>
      <c r="JV55" s="203"/>
      <c r="JW55" s="203"/>
      <c r="JX55" s="143"/>
      <c r="JY55" s="143"/>
      <c r="JZ55" s="143"/>
      <c r="KA55" s="143"/>
      <c r="KB55" s="143"/>
      <c r="KC55" s="203"/>
      <c r="KD55" s="203"/>
      <c r="KE55" s="143"/>
      <c r="KF55" s="143"/>
      <c r="KG55" s="143"/>
      <c r="KH55" s="143"/>
      <c r="KI55" s="143"/>
      <c r="KJ55" s="194"/>
      <c r="KK55" s="194"/>
      <c r="KL55" s="143"/>
      <c r="KM55" s="143"/>
      <c r="KN55" s="143"/>
      <c r="KO55" s="143"/>
      <c r="KP55" s="227"/>
      <c r="KQ55" s="194"/>
      <c r="KR55" s="194"/>
      <c r="KS55" s="143"/>
      <c r="KT55" s="143"/>
      <c r="KU55" s="143"/>
      <c r="KV55" s="143"/>
      <c r="KW55" s="143"/>
      <c r="KX55" s="210"/>
      <c r="KY55" s="210"/>
      <c r="KZ55" s="194"/>
      <c r="LA55" s="194"/>
      <c r="LB55" s="194"/>
      <c r="LC55" s="194"/>
      <c r="LD55" s="194"/>
      <c r="LE55" s="210"/>
      <c r="LF55" s="210"/>
      <c r="LG55" s="227"/>
      <c r="LH55" s="227"/>
      <c r="LI55" s="227"/>
      <c r="LJ55" s="227"/>
      <c r="LK55" s="227"/>
      <c r="LL55" s="227"/>
      <c r="LM55" s="210"/>
      <c r="LN55" s="143"/>
      <c r="LO55" s="227"/>
      <c r="LP55" s="227"/>
      <c r="LQ55" s="227"/>
      <c r="LR55" s="227"/>
      <c r="LS55" s="210"/>
      <c r="LT55" s="210"/>
      <c r="LU55" s="227"/>
      <c r="LV55" s="143"/>
      <c r="LW55" s="143"/>
      <c r="LX55" s="143"/>
      <c r="LY55" s="143"/>
      <c r="LZ55" s="203"/>
      <c r="MA55" s="203"/>
      <c r="MB55" s="143"/>
      <c r="MC55" s="143"/>
      <c r="MD55" s="143"/>
      <c r="ME55" s="143"/>
      <c r="MF55" s="143"/>
      <c r="MG55" s="203"/>
      <c r="MH55" s="203"/>
      <c r="MI55" s="143"/>
      <c r="MJ55" s="143"/>
      <c r="MK55" s="143"/>
      <c r="ML55" s="143"/>
      <c r="MM55" s="143"/>
      <c r="MN55" s="203"/>
      <c r="MO55" s="203"/>
      <c r="MP55" s="143"/>
      <c r="MQ55" s="143"/>
      <c r="MR55" s="143"/>
      <c r="MS55" s="143"/>
      <c r="MT55" s="143"/>
      <c r="MU55" s="203"/>
      <c r="MV55" s="203"/>
      <c r="MW55" s="143"/>
      <c r="MX55" s="143"/>
      <c r="MY55" s="143"/>
      <c r="MZ55" s="143"/>
      <c r="NA55" s="143"/>
      <c r="NB55" s="143"/>
      <c r="NC55" s="143"/>
      <c r="ND55" s="143"/>
    </row>
    <row r="56" spans="1:368" s="140" customFormat="1" ht="15" customHeight="1">
      <c r="A56" s="472"/>
      <c r="B56" s="461"/>
      <c r="C56" s="164" t="s">
        <v>11</v>
      </c>
      <c r="D56" s="268"/>
      <c r="E56" s="143"/>
      <c r="F56" s="143"/>
      <c r="G56" s="143"/>
      <c r="H56" s="269"/>
      <c r="I56" s="194"/>
      <c r="J56" s="194"/>
      <c r="K56" s="268"/>
      <c r="L56" s="143"/>
      <c r="M56" s="143"/>
      <c r="N56" s="143"/>
      <c r="O56" s="269"/>
      <c r="P56" s="194"/>
      <c r="Q56" s="194"/>
      <c r="R56" s="268"/>
      <c r="S56" s="143"/>
      <c r="T56" s="143"/>
      <c r="U56" s="143"/>
      <c r="V56" s="269"/>
      <c r="W56" s="194"/>
      <c r="X56" s="194"/>
      <c r="Y56" s="268"/>
      <c r="Z56" s="143"/>
      <c r="AA56" s="143"/>
      <c r="AB56" s="143"/>
      <c r="AC56" s="269"/>
      <c r="AD56" s="194"/>
      <c r="AE56" s="194"/>
      <c r="AF56" s="268"/>
      <c r="AG56" s="143"/>
      <c r="AH56" s="143"/>
      <c r="AI56" s="143"/>
      <c r="AJ56" s="269"/>
      <c r="AK56" s="194"/>
      <c r="AL56" s="194"/>
      <c r="AM56" s="268"/>
      <c r="AN56" s="143"/>
      <c r="AO56" s="143"/>
      <c r="AP56" s="143"/>
      <c r="AQ56" s="269"/>
      <c r="AR56" s="194"/>
      <c r="AS56" s="194"/>
      <c r="AT56" s="268"/>
      <c r="AU56" s="143"/>
      <c r="AV56" s="143"/>
      <c r="AW56" s="143"/>
      <c r="AX56" s="269"/>
      <c r="AY56" s="194"/>
      <c r="AZ56" s="194"/>
      <c r="BA56" s="268"/>
      <c r="BB56" s="143"/>
      <c r="BC56" s="143"/>
      <c r="BD56" s="143"/>
      <c r="BE56" s="269"/>
      <c r="BF56" s="194"/>
      <c r="BG56" s="194"/>
      <c r="BH56" s="268"/>
      <c r="BI56" s="143"/>
      <c r="BJ56" s="143"/>
      <c r="BK56" s="143"/>
      <c r="BL56" s="269"/>
      <c r="BM56" s="194"/>
      <c r="BN56" s="194"/>
      <c r="BO56" s="268"/>
      <c r="BP56" s="143"/>
      <c r="BQ56" s="143"/>
      <c r="BR56" s="143"/>
      <c r="BS56" s="269"/>
      <c r="BT56" s="194"/>
      <c r="BU56" s="194"/>
      <c r="BV56" s="268"/>
      <c r="BW56" s="143"/>
      <c r="BX56" s="143"/>
      <c r="BY56" s="143"/>
      <c r="BZ56" s="269"/>
      <c r="CA56" s="194"/>
      <c r="CB56" s="194"/>
      <c r="CC56" s="268"/>
      <c r="CD56" s="143"/>
      <c r="CE56" s="143"/>
      <c r="CF56" s="143"/>
      <c r="CG56" s="269"/>
      <c r="CH56" s="194"/>
      <c r="CI56" s="194"/>
      <c r="CJ56" s="268"/>
      <c r="CK56" s="143"/>
      <c r="CL56" s="143"/>
      <c r="CM56" s="143"/>
      <c r="CN56" s="269"/>
      <c r="CO56" s="194"/>
      <c r="CP56" s="194"/>
      <c r="CQ56" s="268"/>
      <c r="CR56" s="143"/>
      <c r="CS56" s="143"/>
      <c r="CT56" s="143"/>
      <c r="CU56" s="269"/>
      <c r="CV56" s="194"/>
      <c r="CW56" s="194"/>
      <c r="CX56" s="268"/>
      <c r="CY56" s="143"/>
      <c r="CZ56" s="143"/>
      <c r="DA56" s="143"/>
      <c r="DB56" s="269"/>
      <c r="DC56" s="194"/>
      <c r="DD56" s="194"/>
      <c r="DE56" s="268"/>
      <c r="DF56" s="143"/>
      <c r="DG56" s="143"/>
      <c r="DH56" s="143"/>
      <c r="DI56" s="269"/>
      <c r="DJ56" s="194"/>
      <c r="DK56" s="194"/>
      <c r="DL56" s="268"/>
      <c r="DM56" s="143"/>
      <c r="DN56" s="143"/>
      <c r="DO56" s="143"/>
      <c r="DP56" s="269"/>
      <c r="DQ56" s="194"/>
      <c r="DR56" s="194"/>
      <c r="DS56" s="268"/>
      <c r="DT56" s="143"/>
      <c r="DU56" s="143"/>
      <c r="DV56" s="143"/>
      <c r="DW56" s="269"/>
      <c r="DX56" s="194"/>
      <c r="DY56" s="194"/>
      <c r="DZ56" s="268"/>
      <c r="EA56" s="143"/>
      <c r="EB56" s="143"/>
      <c r="EC56" s="143"/>
      <c r="ED56" s="269"/>
      <c r="EE56" s="194"/>
      <c r="EF56" s="194"/>
      <c r="EG56" s="268"/>
      <c r="EH56" s="143"/>
      <c r="EI56" s="143"/>
      <c r="EJ56" s="143"/>
      <c r="EK56" s="269"/>
      <c r="EL56" s="194"/>
      <c r="EM56" s="194"/>
      <c r="EN56" s="268"/>
      <c r="EO56" s="143"/>
      <c r="EP56" s="143"/>
      <c r="EQ56" s="143"/>
      <c r="ER56" s="269"/>
      <c r="ES56" s="194"/>
      <c r="ET56" s="194"/>
      <c r="EU56" s="268"/>
      <c r="EV56" s="143"/>
      <c r="EW56" s="143"/>
      <c r="EX56" s="143"/>
      <c r="EY56" s="269"/>
      <c r="EZ56" s="194"/>
      <c r="FA56" s="194"/>
      <c r="FB56" s="268"/>
      <c r="FC56" s="143"/>
      <c r="FD56" s="143"/>
      <c r="FE56" s="143"/>
      <c r="FF56" s="269"/>
      <c r="FG56" s="194"/>
      <c r="FH56" s="194"/>
      <c r="FI56" s="268"/>
      <c r="FJ56" s="143"/>
      <c r="FK56" s="143"/>
      <c r="FL56" s="143"/>
      <c r="FM56" s="269"/>
      <c r="FN56" s="194"/>
      <c r="FO56" s="194"/>
      <c r="FP56" s="268"/>
      <c r="FQ56" s="143"/>
      <c r="FR56" s="143"/>
      <c r="FS56" s="143"/>
      <c r="FT56" s="269"/>
      <c r="FU56" s="194"/>
      <c r="FV56" s="194"/>
      <c r="FW56" s="268"/>
      <c r="FX56" s="143"/>
      <c r="FY56" s="143"/>
      <c r="FZ56" s="143"/>
      <c r="GA56" s="269"/>
      <c r="GB56" s="194"/>
      <c r="GC56" s="194"/>
      <c r="GD56" s="143"/>
      <c r="GE56" s="143"/>
      <c r="GF56" s="143"/>
      <c r="GG56" s="143"/>
      <c r="GH56" s="143"/>
      <c r="GI56" s="194"/>
      <c r="GJ56" s="194"/>
      <c r="GK56" s="143"/>
      <c r="GL56" s="143"/>
      <c r="GM56" s="143"/>
      <c r="GN56" s="143"/>
      <c r="GO56" s="143"/>
      <c r="GP56" s="210"/>
      <c r="GQ56" s="210"/>
      <c r="GR56" s="143"/>
      <c r="GS56" s="143"/>
      <c r="GT56" s="143"/>
      <c r="GU56" s="143"/>
      <c r="GV56" s="143"/>
      <c r="GW56" s="210"/>
      <c r="GX56" s="210"/>
      <c r="GY56" s="143"/>
      <c r="GZ56" s="143"/>
      <c r="HA56" s="143"/>
      <c r="HB56" s="143"/>
      <c r="HC56" s="143"/>
      <c r="HD56" s="210"/>
      <c r="HE56" s="210"/>
      <c r="HF56" s="143"/>
      <c r="HG56" s="143"/>
      <c r="HH56" s="143"/>
      <c r="HI56" s="143"/>
      <c r="HJ56" s="143"/>
      <c r="HK56" s="210"/>
      <c r="HL56" s="210"/>
      <c r="HM56" s="143"/>
      <c r="HN56" s="143"/>
      <c r="HO56" s="143"/>
      <c r="HP56" s="143"/>
      <c r="HQ56" s="143"/>
      <c r="HR56" s="143"/>
      <c r="HS56" s="143"/>
      <c r="HT56" s="143"/>
      <c r="HU56" s="143"/>
      <c r="HV56" s="143"/>
      <c r="HW56" s="143"/>
      <c r="HX56" s="143"/>
      <c r="HY56" s="203"/>
      <c r="HZ56" s="203"/>
      <c r="IA56" s="143"/>
      <c r="IB56" s="143"/>
      <c r="IC56" s="143"/>
      <c r="ID56" s="143"/>
      <c r="IE56" s="143"/>
      <c r="IF56" s="203"/>
      <c r="IG56" s="203"/>
      <c r="IH56" s="206"/>
      <c r="II56" s="206"/>
      <c r="IJ56" s="206"/>
      <c r="IK56" s="206"/>
      <c r="IL56" s="143"/>
      <c r="IM56" s="203"/>
      <c r="IN56" s="203"/>
      <c r="IO56" s="143"/>
      <c r="IP56" s="143"/>
      <c r="IQ56" s="227"/>
      <c r="IR56" s="227"/>
      <c r="IS56" s="227"/>
      <c r="IT56" s="203"/>
      <c r="IU56" s="203"/>
      <c r="IV56" s="143"/>
      <c r="IW56" s="143"/>
      <c r="IX56" s="143"/>
      <c r="IY56" s="143"/>
      <c r="IZ56" s="143"/>
      <c r="JA56" s="203"/>
      <c r="JB56" s="203"/>
      <c r="JC56" s="227"/>
      <c r="JD56" s="227"/>
      <c r="JE56" s="143"/>
      <c r="JF56" s="143"/>
      <c r="JG56" s="143"/>
      <c r="JH56" s="203"/>
      <c r="JI56" s="203"/>
      <c r="JJ56" s="143"/>
      <c r="JK56" s="143"/>
      <c r="JL56" s="143"/>
      <c r="JM56" s="143"/>
      <c r="JN56" s="143"/>
      <c r="JO56" s="203"/>
      <c r="JP56" s="203"/>
      <c r="JQ56" s="143"/>
      <c r="JR56" s="143"/>
      <c r="JS56" s="143"/>
      <c r="JT56" s="143"/>
      <c r="JU56" s="143"/>
      <c r="JV56" s="203"/>
      <c r="JW56" s="203"/>
      <c r="JX56" s="143"/>
      <c r="JY56" s="143"/>
      <c r="JZ56" s="143"/>
      <c r="KA56" s="143"/>
      <c r="KB56" s="143"/>
      <c r="KC56" s="203"/>
      <c r="KD56" s="203"/>
      <c r="KE56" s="143"/>
      <c r="KF56" s="143"/>
      <c r="KG56" s="143"/>
      <c r="KH56" s="143"/>
      <c r="KI56" s="143"/>
      <c r="KJ56" s="194"/>
      <c r="KK56" s="194"/>
      <c r="KL56" s="143"/>
      <c r="KM56" s="143"/>
      <c r="KN56" s="143"/>
      <c r="KO56" s="143"/>
      <c r="KP56" s="227"/>
      <c r="KQ56" s="194"/>
      <c r="KR56" s="194"/>
      <c r="KS56" s="143"/>
      <c r="KT56" s="143"/>
      <c r="KU56" s="143"/>
      <c r="KV56" s="143"/>
      <c r="KW56" s="143"/>
      <c r="KX56" s="210"/>
      <c r="KY56" s="210"/>
      <c r="KZ56" s="194"/>
      <c r="LA56" s="194"/>
      <c r="LB56" s="194"/>
      <c r="LC56" s="194"/>
      <c r="LD56" s="194"/>
      <c r="LE56" s="210"/>
      <c r="LF56" s="210"/>
      <c r="LG56" s="227"/>
      <c r="LH56" s="227"/>
      <c r="LI56" s="227"/>
      <c r="LJ56" s="227"/>
      <c r="LK56" s="227"/>
      <c r="LL56" s="227"/>
      <c r="LM56" s="210"/>
      <c r="LN56" s="143"/>
      <c r="LO56" s="227"/>
      <c r="LP56" s="227"/>
      <c r="LQ56" s="227"/>
      <c r="LR56" s="227"/>
      <c r="LS56" s="210"/>
      <c r="LT56" s="210"/>
      <c r="LU56" s="227"/>
      <c r="LV56" s="143"/>
      <c r="LW56" s="143"/>
      <c r="LX56" s="143"/>
      <c r="LY56" s="143"/>
      <c r="LZ56" s="203"/>
      <c r="MA56" s="203"/>
      <c r="MB56" s="143"/>
      <c r="MC56" s="143"/>
      <c r="MD56" s="143"/>
      <c r="ME56" s="143"/>
      <c r="MF56" s="143"/>
      <c r="MG56" s="203"/>
      <c r="MH56" s="203"/>
      <c r="MI56" s="143"/>
      <c r="MJ56" s="143"/>
      <c r="MK56" s="143"/>
      <c r="ML56" s="143"/>
      <c r="MM56" s="143"/>
      <c r="MN56" s="203"/>
      <c r="MO56" s="203"/>
      <c r="MP56" s="143"/>
      <c r="MQ56" s="143"/>
      <c r="MR56" s="143"/>
      <c r="MS56" s="143"/>
      <c r="MT56" s="143"/>
      <c r="MU56" s="203"/>
      <c r="MV56" s="203"/>
      <c r="MW56" s="143"/>
      <c r="MX56" s="143"/>
      <c r="MY56" s="143"/>
      <c r="MZ56" s="143"/>
      <c r="NA56" s="143"/>
      <c r="NB56" s="143"/>
      <c r="NC56" s="143"/>
      <c r="ND56" s="143"/>
    </row>
    <row r="57" spans="1:368" s="140" customFormat="1" ht="15" customHeight="1">
      <c r="A57" s="472"/>
      <c r="B57" s="461"/>
      <c r="C57" s="164" t="s">
        <v>12</v>
      </c>
      <c r="D57" s="268"/>
      <c r="E57" s="143"/>
      <c r="F57" s="143"/>
      <c r="G57" s="143"/>
      <c r="H57" s="269"/>
      <c r="I57" s="194"/>
      <c r="J57" s="194"/>
      <c r="K57" s="268"/>
      <c r="L57" s="143"/>
      <c r="M57" s="143"/>
      <c r="N57" s="143"/>
      <c r="O57" s="269"/>
      <c r="P57" s="194"/>
      <c r="Q57" s="194"/>
      <c r="R57" s="268"/>
      <c r="S57" s="143"/>
      <c r="T57" s="143"/>
      <c r="U57" s="143"/>
      <c r="V57" s="269"/>
      <c r="W57" s="194"/>
      <c r="X57" s="194"/>
      <c r="Y57" s="268"/>
      <c r="Z57" s="143"/>
      <c r="AA57" s="143"/>
      <c r="AB57" s="143"/>
      <c r="AC57" s="269"/>
      <c r="AD57" s="194"/>
      <c r="AE57" s="194"/>
      <c r="AF57" s="268"/>
      <c r="AG57" s="143"/>
      <c r="AH57" s="143"/>
      <c r="AI57" s="143"/>
      <c r="AJ57" s="269"/>
      <c r="AK57" s="194"/>
      <c r="AL57" s="194"/>
      <c r="AM57" s="268"/>
      <c r="AN57" s="143"/>
      <c r="AO57" s="143"/>
      <c r="AP57" s="143"/>
      <c r="AQ57" s="269"/>
      <c r="AR57" s="194"/>
      <c r="AS57" s="194"/>
      <c r="AT57" s="268"/>
      <c r="AU57" s="143"/>
      <c r="AV57" s="143"/>
      <c r="AW57" s="143"/>
      <c r="AX57" s="269"/>
      <c r="AY57" s="194"/>
      <c r="AZ57" s="194"/>
      <c r="BA57" s="268"/>
      <c r="BB57" s="143"/>
      <c r="BC57" s="143"/>
      <c r="BD57" s="143"/>
      <c r="BE57" s="269"/>
      <c r="BF57" s="194"/>
      <c r="BG57" s="194"/>
      <c r="BH57" s="268"/>
      <c r="BI57" s="143"/>
      <c r="BJ57" s="143"/>
      <c r="BK57" s="143"/>
      <c r="BL57" s="269"/>
      <c r="BM57" s="194"/>
      <c r="BN57" s="194"/>
      <c r="BO57" s="268"/>
      <c r="BP57" s="143"/>
      <c r="BQ57" s="143"/>
      <c r="BR57" s="143"/>
      <c r="BS57" s="269"/>
      <c r="BT57" s="194"/>
      <c r="BU57" s="194"/>
      <c r="BV57" s="268"/>
      <c r="BW57" s="143"/>
      <c r="BX57" s="143"/>
      <c r="BY57" s="143"/>
      <c r="BZ57" s="269"/>
      <c r="CA57" s="194"/>
      <c r="CB57" s="194"/>
      <c r="CC57" s="268"/>
      <c r="CD57" s="143"/>
      <c r="CE57" s="143"/>
      <c r="CF57" s="143"/>
      <c r="CG57" s="269"/>
      <c r="CH57" s="194"/>
      <c r="CI57" s="194"/>
      <c r="CJ57" s="268"/>
      <c r="CK57" s="143"/>
      <c r="CL57" s="143"/>
      <c r="CM57" s="143"/>
      <c r="CN57" s="269"/>
      <c r="CO57" s="194"/>
      <c r="CP57" s="194"/>
      <c r="CQ57" s="268"/>
      <c r="CR57" s="143"/>
      <c r="CS57" s="143"/>
      <c r="CT57" s="143"/>
      <c r="CU57" s="269"/>
      <c r="CV57" s="194"/>
      <c r="CW57" s="194"/>
      <c r="CX57" s="268"/>
      <c r="CY57" s="143"/>
      <c r="CZ57" s="143"/>
      <c r="DA57" s="143"/>
      <c r="DB57" s="269"/>
      <c r="DC57" s="194"/>
      <c r="DD57" s="194"/>
      <c r="DE57" s="268"/>
      <c r="DF57" s="143"/>
      <c r="DG57" s="143"/>
      <c r="DH57" s="143"/>
      <c r="DI57" s="269"/>
      <c r="DJ57" s="194"/>
      <c r="DK57" s="194"/>
      <c r="DL57" s="268"/>
      <c r="DM57" s="143"/>
      <c r="DN57" s="143"/>
      <c r="DO57" s="143"/>
      <c r="DP57" s="269"/>
      <c r="DQ57" s="194"/>
      <c r="DR57" s="194"/>
      <c r="DS57" s="268"/>
      <c r="DT57" s="143"/>
      <c r="DU57" s="143"/>
      <c r="DV57" s="143"/>
      <c r="DW57" s="269"/>
      <c r="DX57" s="194"/>
      <c r="DY57" s="194"/>
      <c r="DZ57" s="268"/>
      <c r="EA57" s="143"/>
      <c r="EB57" s="143"/>
      <c r="EC57" s="143"/>
      <c r="ED57" s="269"/>
      <c r="EE57" s="194"/>
      <c r="EF57" s="194"/>
      <c r="EG57" s="268"/>
      <c r="EH57" s="143"/>
      <c r="EI57" s="143"/>
      <c r="EJ57" s="143"/>
      <c r="EK57" s="269"/>
      <c r="EL57" s="194"/>
      <c r="EM57" s="194"/>
      <c r="EN57" s="268"/>
      <c r="EO57" s="143"/>
      <c r="EP57" s="143"/>
      <c r="EQ57" s="143"/>
      <c r="ER57" s="269"/>
      <c r="ES57" s="194"/>
      <c r="ET57" s="194"/>
      <c r="EU57" s="268"/>
      <c r="EV57" s="143"/>
      <c r="EW57" s="143"/>
      <c r="EX57" s="143"/>
      <c r="EY57" s="269"/>
      <c r="EZ57" s="194"/>
      <c r="FA57" s="194"/>
      <c r="FB57" s="268"/>
      <c r="FC57" s="143"/>
      <c r="FD57" s="143"/>
      <c r="FE57" s="143"/>
      <c r="FF57" s="269"/>
      <c r="FG57" s="194"/>
      <c r="FH57" s="194"/>
      <c r="FI57" s="268"/>
      <c r="FJ57" s="143"/>
      <c r="FK57" s="143"/>
      <c r="FL57" s="143"/>
      <c r="FM57" s="269"/>
      <c r="FN57" s="194"/>
      <c r="FO57" s="194"/>
      <c r="FP57" s="268"/>
      <c r="FQ57" s="143"/>
      <c r="FR57" s="143"/>
      <c r="FS57" s="143"/>
      <c r="FT57" s="269"/>
      <c r="FU57" s="194"/>
      <c r="FV57" s="194"/>
      <c r="FW57" s="268"/>
      <c r="FX57" s="143"/>
      <c r="FY57" s="143"/>
      <c r="FZ57" s="143"/>
      <c r="GA57" s="269"/>
      <c r="GB57" s="194"/>
      <c r="GC57" s="194"/>
      <c r="GD57" s="143"/>
      <c r="GE57" s="143"/>
      <c r="GF57" s="143"/>
      <c r="GG57" s="143"/>
      <c r="GH57" s="143"/>
      <c r="GI57" s="194"/>
      <c r="GJ57" s="194"/>
      <c r="GK57" s="143"/>
      <c r="GL57" s="143"/>
      <c r="GM57" s="143"/>
      <c r="GN57" s="143"/>
      <c r="GO57" s="143"/>
      <c r="GP57" s="210"/>
      <c r="GQ57" s="210"/>
      <c r="GR57" s="143"/>
      <c r="GS57" s="143"/>
      <c r="GT57" s="143"/>
      <c r="GU57" s="143"/>
      <c r="GV57" s="143"/>
      <c r="GW57" s="210"/>
      <c r="GX57" s="210"/>
      <c r="GY57" s="143"/>
      <c r="GZ57" s="143"/>
      <c r="HA57" s="143"/>
      <c r="HB57" s="143"/>
      <c r="HC57" s="143"/>
      <c r="HD57" s="210"/>
      <c r="HE57" s="210"/>
      <c r="HF57" s="143"/>
      <c r="HG57" s="143"/>
      <c r="HH57" s="143"/>
      <c r="HI57" s="143"/>
      <c r="HJ57" s="143"/>
      <c r="HK57" s="210"/>
      <c r="HL57" s="210"/>
      <c r="HM57" s="143"/>
      <c r="HN57" s="143"/>
      <c r="HO57" s="143"/>
      <c r="HP57" s="143"/>
      <c r="HQ57" s="143"/>
      <c r="HR57" s="143"/>
      <c r="HS57" s="143"/>
      <c r="HT57" s="143"/>
      <c r="HU57" s="143"/>
      <c r="HV57" s="143"/>
      <c r="HW57" s="143"/>
      <c r="HX57" s="143"/>
      <c r="HY57" s="203"/>
      <c r="HZ57" s="203"/>
      <c r="IA57" s="143"/>
      <c r="IB57" s="143"/>
      <c r="IC57" s="143"/>
      <c r="ID57" s="143"/>
      <c r="IE57" s="143"/>
      <c r="IF57" s="203"/>
      <c r="IG57" s="203"/>
      <c r="IH57" s="206"/>
      <c r="II57" s="206"/>
      <c r="IJ57" s="206"/>
      <c r="IK57" s="206"/>
      <c r="IL57" s="143"/>
      <c r="IM57" s="203"/>
      <c r="IN57" s="203"/>
      <c r="IO57" s="143"/>
      <c r="IP57" s="143"/>
      <c r="IQ57" s="227"/>
      <c r="IR57" s="227"/>
      <c r="IS57" s="227"/>
      <c r="IT57" s="203"/>
      <c r="IU57" s="203"/>
      <c r="IV57" s="143"/>
      <c r="IW57" s="143"/>
      <c r="IX57" s="143"/>
      <c r="IY57" s="143"/>
      <c r="IZ57" s="143"/>
      <c r="JA57" s="203"/>
      <c r="JB57" s="203"/>
      <c r="JC57" s="227"/>
      <c r="JD57" s="227"/>
      <c r="JE57" s="143"/>
      <c r="JF57" s="143"/>
      <c r="JG57" s="143"/>
      <c r="JH57" s="203"/>
      <c r="JI57" s="203"/>
      <c r="JJ57" s="143"/>
      <c r="JK57" s="143"/>
      <c r="JL57" s="143"/>
      <c r="JM57" s="143"/>
      <c r="JN57" s="143"/>
      <c r="JO57" s="203"/>
      <c r="JP57" s="203"/>
      <c r="JQ57" s="143"/>
      <c r="JR57" s="143"/>
      <c r="JS57" s="143"/>
      <c r="JT57" s="143"/>
      <c r="JU57" s="143"/>
      <c r="JV57" s="203"/>
      <c r="JW57" s="203"/>
      <c r="JX57" s="143"/>
      <c r="JY57" s="143"/>
      <c r="JZ57" s="143"/>
      <c r="KA57" s="143"/>
      <c r="KB57" s="143"/>
      <c r="KC57" s="203"/>
      <c r="KD57" s="203"/>
      <c r="KE57" s="143"/>
      <c r="KF57" s="143"/>
      <c r="KG57" s="143"/>
      <c r="KH57" s="143"/>
      <c r="KI57" s="143"/>
      <c r="KJ57" s="194"/>
      <c r="KK57" s="194"/>
      <c r="KL57" s="143"/>
      <c r="KM57" s="143"/>
      <c r="KN57" s="143"/>
      <c r="KO57" s="143"/>
      <c r="KP57" s="227"/>
      <c r="KQ57" s="194"/>
      <c r="KR57" s="194"/>
      <c r="KS57" s="143"/>
      <c r="KT57" s="143"/>
      <c r="KU57" s="143"/>
      <c r="KV57" s="143"/>
      <c r="KW57" s="143"/>
      <c r="KX57" s="210"/>
      <c r="KY57" s="210"/>
      <c r="KZ57" s="194"/>
      <c r="LA57" s="194"/>
      <c r="LB57" s="194"/>
      <c r="LC57" s="194"/>
      <c r="LD57" s="194"/>
      <c r="LE57" s="210"/>
      <c r="LF57" s="210"/>
      <c r="LG57" s="227"/>
      <c r="LH57" s="227"/>
      <c r="LI57" s="227"/>
      <c r="LJ57" s="227"/>
      <c r="LK57" s="227"/>
      <c r="LL57" s="227"/>
      <c r="LM57" s="210"/>
      <c r="LN57" s="143"/>
      <c r="LO57" s="227"/>
      <c r="LP57" s="227"/>
      <c r="LQ57" s="227"/>
      <c r="LR57" s="227"/>
      <c r="LS57" s="210"/>
      <c r="LT57" s="210"/>
      <c r="LU57" s="227"/>
      <c r="LV57" s="143"/>
      <c r="LW57" s="143"/>
      <c r="LX57" s="143"/>
      <c r="LY57" s="143"/>
      <c r="LZ57" s="203"/>
      <c r="MA57" s="203"/>
      <c r="MB57" s="143"/>
      <c r="MC57" s="143"/>
      <c r="MD57" s="143"/>
      <c r="ME57" s="143"/>
      <c r="MF57" s="143"/>
      <c r="MG57" s="203"/>
      <c r="MH57" s="203"/>
      <c r="MI57" s="143"/>
      <c r="MJ57" s="143"/>
      <c r="MK57" s="143"/>
      <c r="ML57" s="143"/>
      <c r="MM57" s="143"/>
      <c r="MN57" s="203"/>
      <c r="MO57" s="203"/>
      <c r="MP57" s="143"/>
      <c r="MQ57" s="143"/>
      <c r="MR57" s="143"/>
      <c r="MS57" s="143"/>
      <c r="MT57" s="143"/>
      <c r="MU57" s="203"/>
      <c r="MV57" s="203"/>
      <c r="MW57" s="143"/>
      <c r="MX57" s="143"/>
      <c r="MY57" s="143"/>
      <c r="MZ57" s="143"/>
      <c r="NA57" s="143"/>
      <c r="NB57" s="143"/>
      <c r="NC57" s="143"/>
      <c r="ND57" s="143"/>
    </row>
    <row r="58" spans="1:368" s="140" customFormat="1" ht="15" customHeight="1" thickBot="1">
      <c r="A58" s="472"/>
      <c r="B58" s="461"/>
      <c r="C58" s="164" t="s">
        <v>13</v>
      </c>
      <c r="D58" s="268"/>
      <c r="E58" s="143"/>
      <c r="F58" s="143"/>
      <c r="G58" s="143"/>
      <c r="H58" s="269"/>
      <c r="I58" s="194"/>
      <c r="J58" s="194"/>
      <c r="K58" s="268"/>
      <c r="L58" s="143"/>
      <c r="M58" s="143"/>
      <c r="N58" s="143"/>
      <c r="O58" s="269"/>
      <c r="P58" s="194"/>
      <c r="Q58" s="194"/>
      <c r="R58" s="268"/>
      <c r="S58" s="143"/>
      <c r="T58" s="143"/>
      <c r="U58" s="143"/>
      <c r="V58" s="269"/>
      <c r="W58" s="194"/>
      <c r="X58" s="194"/>
      <c r="Y58" s="268"/>
      <c r="Z58" s="143"/>
      <c r="AA58" s="143"/>
      <c r="AB58" s="143"/>
      <c r="AC58" s="269"/>
      <c r="AD58" s="194"/>
      <c r="AE58" s="194"/>
      <c r="AF58" s="268"/>
      <c r="AG58" s="143"/>
      <c r="AH58" s="143"/>
      <c r="AI58" s="143"/>
      <c r="AJ58" s="269"/>
      <c r="AK58" s="194"/>
      <c r="AL58" s="194"/>
      <c r="AM58" s="268"/>
      <c r="AN58" s="143"/>
      <c r="AO58" s="143"/>
      <c r="AP58" s="143"/>
      <c r="AQ58" s="269"/>
      <c r="AR58" s="194"/>
      <c r="AS58" s="194"/>
      <c r="AT58" s="268"/>
      <c r="AU58" s="143"/>
      <c r="AV58" s="143"/>
      <c r="AW58" s="143"/>
      <c r="AX58" s="269"/>
      <c r="AY58" s="194"/>
      <c r="AZ58" s="194"/>
      <c r="BA58" s="268"/>
      <c r="BB58" s="143"/>
      <c r="BC58" s="143"/>
      <c r="BD58" s="143"/>
      <c r="BE58" s="269"/>
      <c r="BF58" s="194"/>
      <c r="BG58" s="194"/>
      <c r="BH58" s="268"/>
      <c r="BI58" s="143"/>
      <c r="BJ58" s="143"/>
      <c r="BK58" s="143"/>
      <c r="BL58" s="269"/>
      <c r="BM58" s="194"/>
      <c r="BN58" s="194"/>
      <c r="BO58" s="268"/>
      <c r="BP58" s="143"/>
      <c r="BQ58" s="143"/>
      <c r="BR58" s="143"/>
      <c r="BS58" s="269"/>
      <c r="BT58" s="194"/>
      <c r="BU58" s="194"/>
      <c r="BV58" s="268"/>
      <c r="BW58" s="143"/>
      <c r="BX58" s="143"/>
      <c r="BY58" s="143"/>
      <c r="BZ58" s="269"/>
      <c r="CA58" s="194"/>
      <c r="CB58" s="194"/>
      <c r="CC58" s="268"/>
      <c r="CD58" s="143"/>
      <c r="CE58" s="143"/>
      <c r="CF58" s="143"/>
      <c r="CG58" s="269"/>
      <c r="CH58" s="194"/>
      <c r="CI58" s="194"/>
      <c r="CJ58" s="268"/>
      <c r="CK58" s="143"/>
      <c r="CL58" s="143"/>
      <c r="CM58" s="143"/>
      <c r="CN58" s="269"/>
      <c r="CO58" s="194"/>
      <c r="CP58" s="194"/>
      <c r="CQ58" s="268"/>
      <c r="CR58" s="143"/>
      <c r="CS58" s="143"/>
      <c r="CT58" s="143"/>
      <c r="CU58" s="269"/>
      <c r="CV58" s="194"/>
      <c r="CW58" s="194"/>
      <c r="CX58" s="268"/>
      <c r="CY58" s="143"/>
      <c r="CZ58" s="143"/>
      <c r="DA58" s="143"/>
      <c r="DB58" s="269"/>
      <c r="DC58" s="194"/>
      <c r="DD58" s="194"/>
      <c r="DE58" s="268"/>
      <c r="DF58" s="143"/>
      <c r="DG58" s="143"/>
      <c r="DH58" s="143"/>
      <c r="DI58" s="269"/>
      <c r="DJ58" s="194"/>
      <c r="DK58" s="194"/>
      <c r="DL58" s="268"/>
      <c r="DM58" s="143"/>
      <c r="DN58" s="143"/>
      <c r="DO58" s="143"/>
      <c r="DP58" s="269"/>
      <c r="DQ58" s="194"/>
      <c r="DR58" s="194"/>
      <c r="DS58" s="268"/>
      <c r="DT58" s="143"/>
      <c r="DU58" s="143"/>
      <c r="DV58" s="143"/>
      <c r="DW58" s="269"/>
      <c r="DX58" s="194"/>
      <c r="DY58" s="194"/>
      <c r="DZ58" s="268"/>
      <c r="EA58" s="143"/>
      <c r="EB58" s="143"/>
      <c r="EC58" s="143"/>
      <c r="ED58" s="269"/>
      <c r="EE58" s="194"/>
      <c r="EF58" s="194"/>
      <c r="EG58" s="268"/>
      <c r="EH58" s="143"/>
      <c r="EI58" s="143"/>
      <c r="EJ58" s="143"/>
      <c r="EK58" s="269"/>
      <c r="EL58" s="194"/>
      <c r="EM58" s="194"/>
      <c r="EN58" s="268"/>
      <c r="EO58" s="143"/>
      <c r="EP58" s="143"/>
      <c r="EQ58" s="143"/>
      <c r="ER58" s="269"/>
      <c r="ES58" s="194"/>
      <c r="ET58" s="194"/>
      <c r="EU58" s="268"/>
      <c r="EV58" s="143"/>
      <c r="EW58" s="143"/>
      <c r="EX58" s="143"/>
      <c r="EY58" s="269"/>
      <c r="EZ58" s="194"/>
      <c r="FA58" s="194"/>
      <c r="FB58" s="268"/>
      <c r="FC58" s="143"/>
      <c r="FD58" s="143"/>
      <c r="FE58" s="143"/>
      <c r="FF58" s="269"/>
      <c r="FG58" s="194"/>
      <c r="FH58" s="194"/>
      <c r="FI58" s="268"/>
      <c r="FJ58" s="143"/>
      <c r="FK58" s="143"/>
      <c r="FL58" s="143"/>
      <c r="FM58" s="269"/>
      <c r="FN58" s="194"/>
      <c r="FO58" s="194"/>
      <c r="FP58" s="268"/>
      <c r="FQ58" s="143"/>
      <c r="FR58" s="143"/>
      <c r="FS58" s="143"/>
      <c r="FT58" s="269"/>
      <c r="FU58" s="194"/>
      <c r="FV58" s="194"/>
      <c r="FW58" s="268"/>
      <c r="FX58" s="143"/>
      <c r="FY58" s="143"/>
      <c r="FZ58" s="143"/>
      <c r="GA58" s="269"/>
      <c r="GB58" s="194"/>
      <c r="GC58" s="194"/>
      <c r="GD58" s="143"/>
      <c r="GE58" s="143"/>
      <c r="GF58" s="143"/>
      <c r="GG58" s="143"/>
      <c r="GH58" s="143"/>
      <c r="GI58" s="194"/>
      <c r="GJ58" s="194"/>
      <c r="GK58" s="143"/>
      <c r="GL58" s="143"/>
      <c r="GM58" s="143"/>
      <c r="GN58" s="143"/>
      <c r="GO58" s="143"/>
      <c r="GP58" s="210"/>
      <c r="GQ58" s="210"/>
      <c r="GR58" s="143"/>
      <c r="GS58" s="143"/>
      <c r="GT58" s="143"/>
      <c r="GU58" s="143"/>
      <c r="GV58" s="143"/>
      <c r="GW58" s="210"/>
      <c r="GX58" s="210"/>
      <c r="GY58" s="143"/>
      <c r="GZ58" s="143"/>
      <c r="HA58" s="143"/>
      <c r="HB58" s="143"/>
      <c r="HC58" s="143"/>
      <c r="HD58" s="210"/>
      <c r="HE58" s="210"/>
      <c r="HF58" s="143"/>
      <c r="HG58" s="143"/>
      <c r="HH58" s="143"/>
      <c r="HI58" s="143"/>
      <c r="HJ58" s="143"/>
      <c r="HK58" s="210"/>
      <c r="HL58" s="210"/>
      <c r="HM58" s="143"/>
      <c r="HN58" s="143"/>
      <c r="HO58" s="143"/>
      <c r="HP58" s="143"/>
      <c r="HQ58" s="143"/>
      <c r="HR58" s="143"/>
      <c r="HS58" s="143"/>
      <c r="HT58" s="143"/>
      <c r="HU58" s="143"/>
      <c r="HV58" s="143"/>
      <c r="HW58" s="143"/>
      <c r="HX58" s="143"/>
      <c r="HY58" s="203"/>
      <c r="HZ58" s="203"/>
      <c r="IA58" s="143"/>
      <c r="IB58" s="143"/>
      <c r="IC58" s="143"/>
      <c r="ID58" s="143"/>
      <c r="IE58" s="143"/>
      <c r="IF58" s="203"/>
      <c r="IG58" s="203"/>
      <c r="IH58" s="143"/>
      <c r="II58" s="206"/>
      <c r="IJ58" s="206"/>
      <c r="IK58" s="206"/>
      <c r="IL58" s="143"/>
      <c r="IM58" s="203"/>
      <c r="IN58" s="203"/>
      <c r="IO58" s="143"/>
      <c r="IP58" s="143"/>
      <c r="IQ58" s="227"/>
      <c r="IR58" s="227"/>
      <c r="IS58" s="227"/>
      <c r="IT58" s="203"/>
      <c r="IU58" s="203"/>
      <c r="IV58" s="143"/>
      <c r="IW58" s="143"/>
      <c r="IX58" s="143"/>
      <c r="IY58" s="143"/>
      <c r="IZ58" s="143"/>
      <c r="JA58" s="203"/>
      <c r="JB58" s="203"/>
      <c r="JC58" s="227"/>
      <c r="JD58" s="227"/>
      <c r="JE58" s="143"/>
      <c r="JF58" s="143"/>
      <c r="JG58" s="143"/>
      <c r="JH58" s="203"/>
      <c r="JI58" s="203"/>
      <c r="JJ58" s="143"/>
      <c r="JK58" s="143"/>
      <c r="JL58" s="143"/>
      <c r="JM58" s="143"/>
      <c r="JN58" s="143"/>
      <c r="JO58" s="203"/>
      <c r="JP58" s="203"/>
      <c r="JQ58" s="143"/>
      <c r="JR58" s="143"/>
      <c r="JS58" s="143"/>
      <c r="JT58" s="143"/>
      <c r="JU58" s="143"/>
      <c r="JV58" s="203"/>
      <c r="JW58" s="203"/>
      <c r="JX58" s="143"/>
      <c r="JY58" s="143"/>
      <c r="JZ58" s="143"/>
      <c r="KA58" s="143"/>
      <c r="KB58" s="143"/>
      <c r="KC58" s="203"/>
      <c r="KD58" s="203"/>
      <c r="KE58" s="143"/>
      <c r="KF58" s="143"/>
      <c r="KG58" s="143"/>
      <c r="KH58" s="143"/>
      <c r="KI58" s="143"/>
      <c r="KJ58" s="194"/>
      <c r="KK58" s="194"/>
      <c r="KL58" s="143"/>
      <c r="KM58" s="143"/>
      <c r="KN58" s="143"/>
      <c r="KO58" s="143"/>
      <c r="KP58" s="227"/>
      <c r="KQ58" s="194"/>
      <c r="KR58" s="194"/>
      <c r="KS58" s="143"/>
      <c r="KT58" s="143"/>
      <c r="KU58" s="143"/>
      <c r="KV58" s="143"/>
      <c r="KW58" s="143"/>
      <c r="KX58" s="210"/>
      <c r="KY58" s="210"/>
      <c r="KZ58" s="194"/>
      <c r="LA58" s="194"/>
      <c r="LB58" s="194"/>
      <c r="LC58" s="194"/>
      <c r="LD58" s="194"/>
      <c r="LE58" s="210"/>
      <c r="LF58" s="210"/>
      <c r="LG58" s="227"/>
      <c r="LH58" s="227"/>
      <c r="LI58" s="227"/>
      <c r="LJ58" s="227"/>
      <c r="LK58" s="227"/>
      <c r="LL58" s="227"/>
      <c r="LM58" s="210"/>
      <c r="LN58" s="143"/>
      <c r="LO58" s="227"/>
      <c r="LP58" s="227"/>
      <c r="LQ58" s="227"/>
      <c r="LR58" s="227"/>
      <c r="LS58" s="210"/>
      <c r="LT58" s="210"/>
      <c r="LU58" s="227"/>
      <c r="LV58" s="143"/>
      <c r="LW58" s="143"/>
      <c r="LX58" s="143"/>
      <c r="LY58" s="143"/>
      <c r="LZ58" s="203"/>
      <c r="MA58" s="203"/>
      <c r="MB58" s="143"/>
      <c r="MC58" s="143"/>
      <c r="MD58" s="143"/>
      <c r="ME58" s="143"/>
      <c r="MF58" s="143"/>
      <c r="MG58" s="203"/>
      <c r="MH58" s="203"/>
      <c r="MI58" s="143"/>
      <c r="MJ58" s="143"/>
      <c r="MK58" s="143"/>
      <c r="ML58" s="143"/>
      <c r="MM58" s="143"/>
      <c r="MN58" s="203"/>
      <c r="MO58" s="203"/>
      <c r="MP58" s="143"/>
      <c r="MQ58" s="143"/>
      <c r="MR58" s="143"/>
      <c r="MS58" s="143"/>
      <c r="MT58" s="143"/>
      <c r="MU58" s="203"/>
      <c r="MV58" s="203"/>
      <c r="MW58" s="143"/>
      <c r="MX58" s="143"/>
      <c r="MY58" s="143"/>
      <c r="MZ58" s="143"/>
      <c r="NA58" s="143"/>
      <c r="NB58" s="143"/>
      <c r="NC58" s="143"/>
      <c r="ND58" s="143"/>
    </row>
    <row r="59" spans="1:368" s="151" customFormat="1" ht="15" hidden="1" customHeight="1" thickBot="1">
      <c r="A59" s="472"/>
      <c r="B59" s="474"/>
      <c r="C59" s="165" t="s">
        <v>93</v>
      </c>
      <c r="D59" s="270"/>
      <c r="E59" s="264"/>
      <c r="F59" s="264"/>
      <c r="G59" s="264"/>
      <c r="H59" s="271"/>
      <c r="I59" s="194"/>
      <c r="J59" s="194"/>
      <c r="K59" s="270"/>
      <c r="L59" s="264"/>
      <c r="M59" s="264"/>
      <c r="N59" s="264"/>
      <c r="O59" s="271"/>
      <c r="P59" s="194"/>
      <c r="Q59" s="194"/>
      <c r="R59" s="270"/>
      <c r="S59" s="264"/>
      <c r="T59" s="264"/>
      <c r="U59" s="264"/>
      <c r="V59" s="271"/>
      <c r="W59" s="194"/>
      <c r="X59" s="194"/>
      <c r="Y59" s="270"/>
      <c r="Z59" s="264"/>
      <c r="AA59" s="264"/>
      <c r="AB59" s="264"/>
      <c r="AC59" s="271"/>
      <c r="AD59" s="194"/>
      <c r="AE59" s="194"/>
      <c r="AF59" s="270"/>
      <c r="AG59" s="264"/>
      <c r="AH59" s="264"/>
      <c r="AI59" s="264"/>
      <c r="AJ59" s="271"/>
      <c r="AK59" s="194"/>
      <c r="AL59" s="194"/>
      <c r="AM59" s="270"/>
      <c r="AN59" s="264"/>
      <c r="AO59" s="264"/>
      <c r="AP59" s="264"/>
      <c r="AQ59" s="271"/>
      <c r="AR59" s="194"/>
      <c r="AS59" s="194"/>
      <c r="AT59" s="270"/>
      <c r="AU59" s="264"/>
      <c r="AV59" s="264"/>
      <c r="AW59" s="264"/>
      <c r="AX59" s="271"/>
      <c r="AY59" s="194"/>
      <c r="AZ59" s="194"/>
      <c r="BA59" s="270"/>
      <c r="BB59" s="264"/>
      <c r="BC59" s="264"/>
      <c r="BD59" s="264"/>
      <c r="BE59" s="271"/>
      <c r="BF59" s="194"/>
      <c r="BG59" s="194"/>
      <c r="BH59" s="270"/>
      <c r="BI59" s="264"/>
      <c r="BJ59" s="264"/>
      <c r="BK59" s="264"/>
      <c r="BL59" s="271"/>
      <c r="BM59" s="194"/>
      <c r="BN59" s="194"/>
      <c r="BO59" s="270"/>
      <c r="BP59" s="264"/>
      <c r="BQ59" s="264"/>
      <c r="BR59" s="264"/>
      <c r="BS59" s="271"/>
      <c r="BT59" s="194"/>
      <c r="BU59" s="194"/>
      <c r="BV59" s="270"/>
      <c r="BW59" s="264"/>
      <c r="BX59" s="264"/>
      <c r="BY59" s="264"/>
      <c r="BZ59" s="271"/>
      <c r="CA59" s="194"/>
      <c r="CB59" s="194"/>
      <c r="CC59" s="270"/>
      <c r="CD59" s="264"/>
      <c r="CE59" s="264"/>
      <c r="CF59" s="264"/>
      <c r="CG59" s="271"/>
      <c r="CH59" s="194"/>
      <c r="CI59" s="194"/>
      <c r="CJ59" s="270"/>
      <c r="CK59" s="264"/>
      <c r="CL59" s="264"/>
      <c r="CM59" s="264"/>
      <c r="CN59" s="271"/>
      <c r="CO59" s="194"/>
      <c r="CP59" s="194"/>
      <c r="CQ59" s="270"/>
      <c r="CR59" s="264"/>
      <c r="CS59" s="264"/>
      <c r="CT59" s="264"/>
      <c r="CU59" s="271"/>
      <c r="CV59" s="194"/>
      <c r="CW59" s="194"/>
      <c r="CX59" s="270"/>
      <c r="CY59" s="264"/>
      <c r="CZ59" s="264"/>
      <c r="DA59" s="264"/>
      <c r="DB59" s="271"/>
      <c r="DC59" s="194"/>
      <c r="DD59" s="194"/>
      <c r="DE59" s="270"/>
      <c r="DF59" s="264"/>
      <c r="DG59" s="264"/>
      <c r="DH59" s="264"/>
      <c r="DI59" s="271"/>
      <c r="DJ59" s="194"/>
      <c r="DK59" s="194"/>
      <c r="DL59" s="270"/>
      <c r="DM59" s="264"/>
      <c r="DN59" s="264"/>
      <c r="DO59" s="264"/>
      <c r="DP59" s="271"/>
      <c r="DQ59" s="194"/>
      <c r="DR59" s="194"/>
      <c r="DS59" s="270"/>
      <c r="DT59" s="264"/>
      <c r="DU59" s="264"/>
      <c r="DV59" s="264"/>
      <c r="DW59" s="271"/>
      <c r="DX59" s="194"/>
      <c r="DY59" s="194"/>
      <c r="DZ59" s="270"/>
      <c r="EA59" s="264"/>
      <c r="EB59" s="264"/>
      <c r="EC59" s="264"/>
      <c r="ED59" s="271"/>
      <c r="EE59" s="194"/>
      <c r="EF59" s="194"/>
      <c r="EG59" s="270"/>
      <c r="EH59" s="264"/>
      <c r="EI59" s="264"/>
      <c r="EJ59" s="264"/>
      <c r="EK59" s="271"/>
      <c r="EL59" s="194"/>
      <c r="EM59" s="194"/>
      <c r="EN59" s="270"/>
      <c r="EO59" s="264"/>
      <c r="EP59" s="264"/>
      <c r="EQ59" s="264"/>
      <c r="ER59" s="271"/>
      <c r="ES59" s="194"/>
      <c r="ET59" s="194"/>
      <c r="EU59" s="270"/>
      <c r="EV59" s="264"/>
      <c r="EW59" s="264"/>
      <c r="EX59" s="264"/>
      <c r="EY59" s="271"/>
      <c r="EZ59" s="194"/>
      <c r="FA59" s="194"/>
      <c r="FB59" s="270"/>
      <c r="FC59" s="264"/>
      <c r="FD59" s="264"/>
      <c r="FE59" s="264"/>
      <c r="FF59" s="271"/>
      <c r="FG59" s="194"/>
      <c r="FH59" s="194"/>
      <c r="FI59" s="270"/>
      <c r="FJ59" s="264"/>
      <c r="FK59" s="264"/>
      <c r="FL59" s="264"/>
      <c r="FM59" s="271"/>
      <c r="FN59" s="194"/>
      <c r="FO59" s="194"/>
      <c r="FP59" s="270"/>
      <c r="FQ59" s="264"/>
      <c r="FR59" s="264"/>
      <c r="FS59" s="264"/>
      <c r="FT59" s="271"/>
      <c r="FU59" s="194"/>
      <c r="FV59" s="194"/>
      <c r="FW59" s="270"/>
      <c r="FX59" s="264"/>
      <c r="FY59" s="264"/>
      <c r="FZ59" s="264"/>
      <c r="GA59" s="271"/>
      <c r="GB59" s="194"/>
      <c r="GC59" s="194"/>
      <c r="GD59" s="264"/>
      <c r="GE59" s="264"/>
      <c r="GF59" s="264"/>
      <c r="GG59" s="264"/>
      <c r="GH59" s="264"/>
      <c r="GI59" s="279"/>
      <c r="GJ59" s="279"/>
      <c r="GK59" s="152"/>
      <c r="GL59" s="152"/>
      <c r="GM59" s="152"/>
      <c r="GN59" s="152"/>
      <c r="GO59" s="152"/>
      <c r="GP59" s="210"/>
      <c r="GQ59" s="210"/>
      <c r="GR59" s="152"/>
      <c r="GS59" s="152"/>
      <c r="GT59" s="152"/>
      <c r="GU59" s="152"/>
      <c r="GV59" s="152"/>
      <c r="GW59" s="210"/>
      <c r="GX59" s="210"/>
      <c r="GY59" s="152"/>
      <c r="GZ59" s="152"/>
      <c r="HA59" s="152"/>
      <c r="HB59" s="152"/>
      <c r="HC59" s="152"/>
      <c r="HD59" s="210"/>
      <c r="HE59" s="210"/>
      <c r="HF59" s="152"/>
      <c r="HG59" s="152"/>
      <c r="HH59" s="152"/>
      <c r="HI59" s="152"/>
      <c r="HJ59" s="152"/>
      <c r="HK59" s="210"/>
      <c r="HL59" s="210"/>
      <c r="HM59" s="152"/>
      <c r="HN59" s="152"/>
      <c r="HO59" s="152"/>
      <c r="HP59" s="152"/>
      <c r="HQ59" s="152"/>
      <c r="HR59" s="152"/>
      <c r="HS59" s="152"/>
      <c r="HT59" s="152"/>
      <c r="HU59" s="152"/>
      <c r="HV59" s="152"/>
      <c r="HW59" s="152"/>
      <c r="HX59" s="152"/>
      <c r="HY59" s="203"/>
      <c r="HZ59" s="203"/>
      <c r="IA59" s="152"/>
      <c r="IB59" s="152"/>
      <c r="IC59" s="152"/>
      <c r="ID59" s="152"/>
      <c r="IE59" s="152"/>
      <c r="IF59" s="203"/>
      <c r="IG59" s="203"/>
      <c r="IH59" s="152"/>
      <c r="II59" s="152"/>
      <c r="IJ59" s="152"/>
      <c r="IK59" s="152"/>
      <c r="IL59" s="152"/>
      <c r="IM59" s="203"/>
      <c r="IN59" s="203"/>
      <c r="IO59" s="152"/>
      <c r="IP59" s="152"/>
      <c r="IQ59" s="227"/>
      <c r="IR59" s="227"/>
      <c r="IS59" s="227"/>
      <c r="IT59" s="203"/>
      <c r="IU59" s="203"/>
      <c r="IV59" s="152"/>
      <c r="IW59" s="152"/>
      <c r="IX59" s="152"/>
      <c r="IY59" s="152"/>
      <c r="IZ59" s="152"/>
      <c r="JA59" s="203"/>
      <c r="JB59" s="203"/>
      <c r="JC59" s="232"/>
      <c r="JD59" s="232"/>
      <c r="JE59" s="152"/>
      <c r="JF59" s="152"/>
      <c r="JG59" s="152"/>
      <c r="JH59" s="203"/>
      <c r="JI59" s="203"/>
      <c r="JJ59" s="153"/>
      <c r="JK59" s="153"/>
      <c r="JL59" s="153"/>
      <c r="JM59" s="153"/>
      <c r="JN59" s="153"/>
      <c r="JO59" s="203"/>
      <c r="JP59" s="203"/>
      <c r="JQ59" s="153"/>
      <c r="JR59" s="153"/>
      <c r="JS59" s="153"/>
      <c r="JT59" s="153"/>
      <c r="JU59" s="153"/>
      <c r="JV59" s="204"/>
      <c r="JW59" s="204"/>
      <c r="JX59" s="153"/>
      <c r="JY59" s="153"/>
      <c r="JZ59" s="153"/>
      <c r="KA59" s="153"/>
      <c r="KB59" s="153"/>
      <c r="KC59" s="204"/>
      <c r="KD59" s="204"/>
      <c r="KE59" s="153"/>
      <c r="KF59" s="153"/>
      <c r="KG59" s="153"/>
      <c r="KH59" s="153"/>
      <c r="KI59" s="152"/>
      <c r="KJ59" s="194"/>
      <c r="KK59" s="194"/>
      <c r="KL59" s="152"/>
      <c r="KM59" s="152"/>
      <c r="KN59" s="152"/>
      <c r="KO59" s="152"/>
      <c r="KP59" s="227"/>
      <c r="KQ59" s="194"/>
      <c r="KR59" s="194"/>
      <c r="KS59" s="152"/>
      <c r="KT59" s="152"/>
      <c r="KU59" s="152"/>
      <c r="KV59" s="152"/>
      <c r="KW59" s="152"/>
      <c r="KX59" s="210"/>
      <c r="KY59" s="210"/>
      <c r="KZ59" s="194"/>
      <c r="LA59" s="194"/>
      <c r="LB59" s="194"/>
      <c r="LC59" s="194"/>
      <c r="LD59" s="194"/>
      <c r="LE59" s="210"/>
      <c r="LF59" s="210"/>
      <c r="LG59" s="227"/>
      <c r="LH59" s="227"/>
      <c r="LI59" s="227"/>
      <c r="LJ59" s="227"/>
      <c r="LK59" s="227"/>
      <c r="LL59" s="227"/>
      <c r="LM59" s="210"/>
      <c r="LN59" s="232"/>
      <c r="LO59" s="232"/>
      <c r="LP59" s="232"/>
      <c r="LQ59" s="232"/>
      <c r="LR59" s="232"/>
      <c r="LS59" s="210"/>
      <c r="LT59" s="210"/>
      <c r="LU59" s="232"/>
      <c r="LV59" s="153"/>
      <c r="LW59" s="153"/>
      <c r="LX59" s="153"/>
      <c r="LY59" s="153"/>
      <c r="LZ59" s="204"/>
      <c r="MA59" s="204"/>
      <c r="MB59" s="153"/>
      <c r="MC59" s="153"/>
      <c r="MD59" s="153"/>
      <c r="ME59" s="153"/>
      <c r="MF59" s="153"/>
      <c r="MG59" s="204"/>
      <c r="MH59" s="204"/>
      <c r="MI59" s="153"/>
      <c r="MJ59" s="153"/>
      <c r="MK59" s="153"/>
      <c r="ML59" s="153"/>
      <c r="MM59" s="153"/>
      <c r="MN59" s="204"/>
      <c r="MO59" s="204"/>
      <c r="MP59" s="153"/>
      <c r="MQ59" s="153"/>
      <c r="MR59" s="153"/>
      <c r="MS59" s="153"/>
      <c r="MT59" s="153"/>
      <c r="MU59" s="204"/>
      <c r="MV59" s="204"/>
      <c r="MW59" s="153"/>
      <c r="MX59" s="153"/>
      <c r="MY59" s="152"/>
      <c r="MZ59" s="152"/>
      <c r="NA59" s="152"/>
      <c r="NB59" s="152"/>
      <c r="NC59" s="152"/>
      <c r="ND59" s="152"/>
    </row>
    <row r="60" spans="1:368" s="140" customFormat="1" ht="15" customHeight="1">
      <c r="A60" s="472"/>
      <c r="B60" s="473" t="s">
        <v>8</v>
      </c>
      <c r="C60" s="163" t="s">
        <v>10</v>
      </c>
      <c r="D60" s="265"/>
      <c r="E60" s="266"/>
      <c r="F60" s="266"/>
      <c r="G60" s="266"/>
      <c r="H60" s="267"/>
      <c r="I60" s="194"/>
      <c r="J60" s="194"/>
      <c r="K60" s="265"/>
      <c r="L60" s="266"/>
      <c r="M60" s="266"/>
      <c r="N60" s="266"/>
      <c r="O60" s="267"/>
      <c r="P60" s="194"/>
      <c r="Q60" s="194"/>
      <c r="R60" s="265"/>
      <c r="S60" s="266"/>
      <c r="T60" s="266"/>
      <c r="U60" s="266"/>
      <c r="V60" s="267"/>
      <c r="W60" s="194"/>
      <c r="X60" s="194"/>
      <c r="Y60" s="265"/>
      <c r="Z60" s="266"/>
      <c r="AA60" s="266"/>
      <c r="AB60" s="266"/>
      <c r="AC60" s="267"/>
      <c r="AD60" s="194"/>
      <c r="AE60" s="194"/>
      <c r="AF60" s="265"/>
      <c r="AG60" s="266"/>
      <c r="AH60" s="266"/>
      <c r="AI60" s="266"/>
      <c r="AJ60" s="267"/>
      <c r="AK60" s="194"/>
      <c r="AL60" s="194"/>
      <c r="AM60" s="265"/>
      <c r="AN60" s="266"/>
      <c r="AO60" s="266"/>
      <c r="AP60" s="266"/>
      <c r="AQ60" s="267"/>
      <c r="AR60" s="194"/>
      <c r="AS60" s="194"/>
      <c r="AT60" s="265"/>
      <c r="AU60" s="266"/>
      <c r="AV60" s="266"/>
      <c r="AW60" s="266"/>
      <c r="AX60" s="267"/>
      <c r="AY60" s="194"/>
      <c r="AZ60" s="194"/>
      <c r="BA60" s="265"/>
      <c r="BB60" s="266"/>
      <c r="BC60" s="266"/>
      <c r="BD60" s="266"/>
      <c r="BE60" s="267"/>
      <c r="BF60" s="194"/>
      <c r="BG60" s="194"/>
      <c r="BH60" s="265"/>
      <c r="BI60" s="266"/>
      <c r="BJ60" s="266"/>
      <c r="BK60" s="266"/>
      <c r="BL60" s="267"/>
      <c r="BM60" s="194"/>
      <c r="BN60" s="194"/>
      <c r="BO60" s="265"/>
      <c r="BP60" s="266"/>
      <c r="BQ60" s="266"/>
      <c r="BR60" s="266"/>
      <c r="BS60" s="267"/>
      <c r="BT60" s="194"/>
      <c r="BU60" s="194"/>
      <c r="BV60" s="265"/>
      <c r="BW60" s="266"/>
      <c r="BX60" s="266"/>
      <c r="BY60" s="266"/>
      <c r="BZ60" s="267"/>
      <c r="CA60" s="194"/>
      <c r="CB60" s="194"/>
      <c r="CC60" s="265"/>
      <c r="CD60" s="266"/>
      <c r="CE60" s="266"/>
      <c r="CF60" s="266"/>
      <c r="CG60" s="267"/>
      <c r="CH60" s="194"/>
      <c r="CI60" s="194"/>
      <c r="CJ60" s="265"/>
      <c r="CK60" s="266"/>
      <c r="CL60" s="266"/>
      <c r="CM60" s="266"/>
      <c r="CN60" s="267"/>
      <c r="CO60" s="194"/>
      <c r="CP60" s="194"/>
      <c r="CQ60" s="265"/>
      <c r="CR60" s="266"/>
      <c r="CS60" s="266"/>
      <c r="CT60" s="266"/>
      <c r="CU60" s="267"/>
      <c r="CV60" s="194"/>
      <c r="CW60" s="194"/>
      <c r="CX60" s="265"/>
      <c r="CY60" s="266"/>
      <c r="CZ60" s="266"/>
      <c r="DA60" s="266"/>
      <c r="DB60" s="267"/>
      <c r="DC60" s="194"/>
      <c r="DD60" s="194"/>
      <c r="DE60" s="265"/>
      <c r="DF60" s="266"/>
      <c r="DG60" s="266"/>
      <c r="DH60" s="266"/>
      <c r="DI60" s="267"/>
      <c r="DJ60" s="194"/>
      <c r="DK60" s="194"/>
      <c r="DL60" s="265"/>
      <c r="DM60" s="266"/>
      <c r="DN60" s="266"/>
      <c r="DO60" s="266"/>
      <c r="DP60" s="267"/>
      <c r="DQ60" s="194"/>
      <c r="DR60" s="194"/>
      <c r="DS60" s="265"/>
      <c r="DT60" s="266"/>
      <c r="DU60" s="266"/>
      <c r="DV60" s="266"/>
      <c r="DW60" s="267"/>
      <c r="DX60" s="194"/>
      <c r="DY60" s="194"/>
      <c r="DZ60" s="265"/>
      <c r="EA60" s="266"/>
      <c r="EB60" s="266"/>
      <c r="EC60" s="266"/>
      <c r="ED60" s="267"/>
      <c r="EE60" s="194"/>
      <c r="EF60" s="194"/>
      <c r="EG60" s="265"/>
      <c r="EH60" s="266"/>
      <c r="EI60" s="266"/>
      <c r="EJ60" s="266"/>
      <c r="EK60" s="267"/>
      <c r="EL60" s="194"/>
      <c r="EM60" s="194"/>
      <c r="EN60" s="265"/>
      <c r="EO60" s="266"/>
      <c r="EP60" s="266"/>
      <c r="EQ60" s="266"/>
      <c r="ER60" s="267"/>
      <c r="ES60" s="194"/>
      <c r="ET60" s="194"/>
      <c r="EU60" s="265"/>
      <c r="EV60" s="266"/>
      <c r="EW60" s="266"/>
      <c r="EX60" s="266"/>
      <c r="EY60" s="267"/>
      <c r="EZ60" s="194"/>
      <c r="FA60" s="194"/>
      <c r="FB60" s="265"/>
      <c r="FC60" s="266"/>
      <c r="FD60" s="266"/>
      <c r="FE60" s="266"/>
      <c r="FF60" s="267"/>
      <c r="FG60" s="194"/>
      <c r="FH60" s="194"/>
      <c r="FI60" s="265"/>
      <c r="FJ60" s="266"/>
      <c r="FK60" s="266"/>
      <c r="FL60" s="266"/>
      <c r="FM60" s="267"/>
      <c r="FN60" s="194"/>
      <c r="FO60" s="194"/>
      <c r="FP60" s="265"/>
      <c r="FQ60" s="266"/>
      <c r="FR60" s="266"/>
      <c r="FS60" s="266"/>
      <c r="FT60" s="267"/>
      <c r="FU60" s="194"/>
      <c r="FV60" s="194"/>
      <c r="FW60" s="265"/>
      <c r="FX60" s="266"/>
      <c r="FY60" s="266"/>
      <c r="FZ60" s="266"/>
      <c r="GA60" s="267"/>
      <c r="GB60" s="194"/>
      <c r="GC60" s="277"/>
      <c r="GD60" s="265"/>
      <c r="GE60" s="266"/>
      <c r="GF60" s="266"/>
      <c r="GG60" s="266"/>
      <c r="GH60" s="266"/>
      <c r="GI60" s="280"/>
      <c r="GJ60" s="281"/>
      <c r="GK60" s="143"/>
      <c r="GL60" s="143"/>
      <c r="GM60" s="143"/>
      <c r="GN60" s="143"/>
      <c r="GO60" s="143"/>
      <c r="GP60" s="210"/>
      <c r="GQ60" s="210"/>
      <c r="GR60" s="143"/>
      <c r="GS60" s="143"/>
      <c r="GT60" s="143"/>
      <c r="GU60" s="143"/>
      <c r="GV60" s="143"/>
      <c r="GW60" s="210"/>
      <c r="GX60" s="210"/>
      <c r="GY60" s="143"/>
      <c r="GZ60" s="143"/>
      <c r="HA60" s="143"/>
      <c r="HB60" s="143"/>
      <c r="HC60" s="143"/>
      <c r="HD60" s="210"/>
      <c r="HE60" s="210"/>
      <c r="HF60" s="143"/>
      <c r="HG60" s="143"/>
      <c r="HH60" s="143"/>
      <c r="HI60" s="143"/>
      <c r="HJ60" s="143"/>
      <c r="HK60" s="210"/>
      <c r="HL60" s="210"/>
      <c r="HM60" s="143"/>
      <c r="HN60" s="143"/>
      <c r="HO60" s="143"/>
      <c r="HP60" s="143"/>
      <c r="HQ60" s="143"/>
      <c r="HR60" s="143"/>
      <c r="HS60" s="143"/>
      <c r="HT60" s="143"/>
      <c r="HU60" s="143"/>
      <c r="HV60" s="143"/>
      <c r="HW60" s="143"/>
      <c r="HX60" s="143"/>
      <c r="HY60" s="203"/>
      <c r="HZ60" s="203"/>
      <c r="IA60" s="143"/>
      <c r="IB60" s="143"/>
      <c r="IC60" s="143"/>
      <c r="ID60" s="143"/>
      <c r="IE60" s="143"/>
      <c r="IF60" s="203"/>
      <c r="IG60" s="203"/>
      <c r="IH60" s="143"/>
      <c r="II60" s="143"/>
      <c r="IJ60" s="143"/>
      <c r="IK60" s="143"/>
      <c r="IL60" s="143"/>
      <c r="IM60" s="203"/>
      <c r="IN60" s="203"/>
      <c r="IO60" s="143"/>
      <c r="IP60" s="143"/>
      <c r="IQ60" s="227"/>
      <c r="IR60" s="227"/>
      <c r="IS60" s="227"/>
      <c r="IT60" s="203"/>
      <c r="IU60" s="203"/>
      <c r="IV60" s="143"/>
      <c r="IW60" s="143"/>
      <c r="IX60" s="143"/>
      <c r="IY60" s="143"/>
      <c r="IZ60" s="143"/>
      <c r="JA60" s="203"/>
      <c r="JB60" s="203"/>
      <c r="JC60" s="227"/>
      <c r="JD60" s="227"/>
      <c r="JE60" s="143"/>
      <c r="JF60" s="143"/>
      <c r="JG60" s="143"/>
      <c r="JH60" s="203"/>
      <c r="JI60" s="203"/>
      <c r="JJ60" s="143"/>
      <c r="JK60" s="143"/>
      <c r="JL60" s="143"/>
      <c r="JM60" s="143"/>
      <c r="JN60" s="143"/>
      <c r="JO60" s="203"/>
      <c r="JP60" s="203"/>
      <c r="JQ60" s="143"/>
      <c r="JR60" s="143"/>
      <c r="JS60" s="143"/>
      <c r="JT60" s="143"/>
      <c r="JU60" s="143"/>
      <c r="JV60" s="203"/>
      <c r="JW60" s="203"/>
      <c r="JX60" s="143"/>
      <c r="JY60" s="143"/>
      <c r="JZ60" s="143"/>
      <c r="KA60" s="143"/>
      <c r="KB60" s="143"/>
      <c r="KC60" s="203"/>
      <c r="KD60" s="203"/>
      <c r="KE60" s="143"/>
      <c r="KF60" s="143"/>
      <c r="KG60" s="143"/>
      <c r="KH60" s="143"/>
      <c r="KI60" s="143"/>
      <c r="KJ60" s="194"/>
      <c r="KK60" s="194"/>
      <c r="KL60" s="143"/>
      <c r="KM60" s="143"/>
      <c r="KN60" s="143"/>
      <c r="KO60" s="143"/>
      <c r="KP60" s="227"/>
      <c r="KQ60" s="194"/>
      <c r="KR60" s="194"/>
      <c r="KS60" s="143"/>
      <c r="KT60" s="143"/>
      <c r="KU60" s="143"/>
      <c r="KV60" s="143"/>
      <c r="KW60" s="143"/>
      <c r="KX60" s="210"/>
      <c r="KY60" s="210"/>
      <c r="KZ60" s="194"/>
      <c r="LA60" s="194"/>
      <c r="LB60" s="194"/>
      <c r="LC60" s="194"/>
      <c r="LD60" s="194"/>
      <c r="LE60" s="210"/>
      <c r="LF60" s="210"/>
      <c r="LG60" s="227"/>
      <c r="LH60" s="227"/>
      <c r="LI60" s="227"/>
      <c r="LJ60" s="227"/>
      <c r="LK60" s="227"/>
      <c r="LL60" s="227"/>
      <c r="LM60" s="210"/>
      <c r="LN60" s="227"/>
      <c r="LO60" s="227"/>
      <c r="LP60" s="227"/>
      <c r="LQ60" s="227"/>
      <c r="LR60" s="227"/>
      <c r="LS60" s="210"/>
      <c r="LT60" s="210"/>
      <c r="LU60" s="227"/>
      <c r="LV60" s="143"/>
      <c r="LW60" s="143"/>
      <c r="LX60" s="143"/>
      <c r="LY60" s="143"/>
      <c r="LZ60" s="203"/>
      <c r="MA60" s="203"/>
      <c r="MB60" s="143"/>
      <c r="MC60" s="143"/>
      <c r="MD60" s="143"/>
      <c r="ME60" s="143"/>
      <c r="MF60" s="143"/>
      <c r="MG60" s="203"/>
      <c r="MH60" s="203"/>
      <c r="MI60" s="143"/>
      <c r="MJ60" s="143"/>
      <c r="MK60" s="143"/>
      <c r="ML60" s="143"/>
      <c r="MM60" s="143"/>
      <c r="MN60" s="203"/>
      <c r="MO60" s="203"/>
      <c r="MP60" s="143"/>
      <c r="MQ60" s="143"/>
      <c r="MR60" s="143"/>
      <c r="MS60" s="143"/>
      <c r="MT60" s="143"/>
      <c r="MU60" s="203"/>
      <c r="MV60" s="203"/>
      <c r="MW60" s="143"/>
      <c r="MX60" s="143"/>
      <c r="MY60" s="143"/>
      <c r="MZ60" s="143"/>
      <c r="NA60" s="143"/>
      <c r="NB60" s="143"/>
      <c r="NC60" s="143"/>
      <c r="ND60" s="143"/>
    </row>
    <row r="61" spans="1:368" s="140" customFormat="1" ht="15" customHeight="1">
      <c r="A61" s="472"/>
      <c r="B61" s="461"/>
      <c r="C61" s="164" t="s">
        <v>11</v>
      </c>
      <c r="D61" s="268"/>
      <c r="E61" s="143"/>
      <c r="F61" s="143"/>
      <c r="G61" s="143"/>
      <c r="H61" s="269"/>
      <c r="I61" s="194"/>
      <c r="J61" s="194"/>
      <c r="K61" s="268"/>
      <c r="L61" s="143"/>
      <c r="M61" s="143"/>
      <c r="N61" s="143"/>
      <c r="O61" s="269"/>
      <c r="P61" s="194"/>
      <c r="Q61" s="194"/>
      <c r="R61" s="268"/>
      <c r="S61" s="143"/>
      <c r="T61" s="143"/>
      <c r="U61" s="143"/>
      <c r="V61" s="269"/>
      <c r="W61" s="194"/>
      <c r="X61" s="194"/>
      <c r="Y61" s="268"/>
      <c r="Z61" s="143"/>
      <c r="AA61" s="143"/>
      <c r="AB61" s="143"/>
      <c r="AC61" s="269"/>
      <c r="AD61" s="194"/>
      <c r="AE61" s="194"/>
      <c r="AF61" s="268"/>
      <c r="AG61" s="143"/>
      <c r="AH61" s="143"/>
      <c r="AI61" s="143"/>
      <c r="AJ61" s="269"/>
      <c r="AK61" s="194"/>
      <c r="AL61" s="194"/>
      <c r="AM61" s="268"/>
      <c r="AN61" s="143"/>
      <c r="AO61" s="143"/>
      <c r="AP61" s="143"/>
      <c r="AQ61" s="269"/>
      <c r="AR61" s="194"/>
      <c r="AS61" s="194"/>
      <c r="AT61" s="268"/>
      <c r="AU61" s="143"/>
      <c r="AV61" s="143"/>
      <c r="AW61" s="143"/>
      <c r="AX61" s="269"/>
      <c r="AY61" s="194"/>
      <c r="AZ61" s="194"/>
      <c r="BA61" s="268"/>
      <c r="BB61" s="143"/>
      <c r="BC61" s="143"/>
      <c r="BD61" s="143"/>
      <c r="BE61" s="269"/>
      <c r="BF61" s="194"/>
      <c r="BG61" s="194"/>
      <c r="BH61" s="268"/>
      <c r="BI61" s="143"/>
      <c r="BJ61" s="143"/>
      <c r="BK61" s="143"/>
      <c r="BL61" s="269"/>
      <c r="BM61" s="194"/>
      <c r="BN61" s="194"/>
      <c r="BO61" s="268"/>
      <c r="BP61" s="143"/>
      <c r="BQ61" s="143"/>
      <c r="BR61" s="143"/>
      <c r="BS61" s="269"/>
      <c r="BT61" s="194"/>
      <c r="BU61" s="194"/>
      <c r="BV61" s="268"/>
      <c r="BW61" s="143"/>
      <c r="BX61" s="143"/>
      <c r="BY61" s="143"/>
      <c r="BZ61" s="269"/>
      <c r="CA61" s="194"/>
      <c r="CB61" s="194"/>
      <c r="CC61" s="268"/>
      <c r="CD61" s="143"/>
      <c r="CE61" s="143"/>
      <c r="CF61" s="143"/>
      <c r="CG61" s="269"/>
      <c r="CH61" s="194"/>
      <c r="CI61" s="194"/>
      <c r="CJ61" s="268"/>
      <c r="CK61" s="143"/>
      <c r="CL61" s="143"/>
      <c r="CM61" s="143"/>
      <c r="CN61" s="269"/>
      <c r="CO61" s="194"/>
      <c r="CP61" s="194"/>
      <c r="CQ61" s="268"/>
      <c r="CR61" s="143"/>
      <c r="CS61" s="143"/>
      <c r="CT61" s="143"/>
      <c r="CU61" s="269"/>
      <c r="CV61" s="194"/>
      <c r="CW61" s="194"/>
      <c r="CX61" s="268"/>
      <c r="CY61" s="143"/>
      <c r="CZ61" s="143"/>
      <c r="DA61" s="143"/>
      <c r="DB61" s="269"/>
      <c r="DC61" s="194"/>
      <c r="DD61" s="194"/>
      <c r="DE61" s="268"/>
      <c r="DF61" s="143"/>
      <c r="DG61" s="143"/>
      <c r="DH61" s="143"/>
      <c r="DI61" s="269"/>
      <c r="DJ61" s="194"/>
      <c r="DK61" s="194"/>
      <c r="DL61" s="268"/>
      <c r="DM61" s="143"/>
      <c r="DN61" s="143"/>
      <c r="DO61" s="143"/>
      <c r="DP61" s="269"/>
      <c r="DQ61" s="194"/>
      <c r="DR61" s="194"/>
      <c r="DS61" s="268"/>
      <c r="DT61" s="143"/>
      <c r="DU61" s="143"/>
      <c r="DV61" s="143"/>
      <c r="DW61" s="269"/>
      <c r="DX61" s="194"/>
      <c r="DY61" s="194"/>
      <c r="DZ61" s="268"/>
      <c r="EA61" s="143"/>
      <c r="EB61" s="143"/>
      <c r="EC61" s="143"/>
      <c r="ED61" s="269"/>
      <c r="EE61" s="194"/>
      <c r="EF61" s="194"/>
      <c r="EG61" s="268"/>
      <c r="EH61" s="143"/>
      <c r="EI61" s="143"/>
      <c r="EJ61" s="143"/>
      <c r="EK61" s="269"/>
      <c r="EL61" s="194"/>
      <c r="EM61" s="194"/>
      <c r="EN61" s="268"/>
      <c r="EO61" s="143"/>
      <c r="EP61" s="143"/>
      <c r="EQ61" s="143"/>
      <c r="ER61" s="269"/>
      <c r="ES61" s="194"/>
      <c r="ET61" s="194"/>
      <c r="EU61" s="268"/>
      <c r="EV61" s="143"/>
      <c r="EW61" s="143"/>
      <c r="EX61" s="143"/>
      <c r="EY61" s="269"/>
      <c r="EZ61" s="194"/>
      <c r="FA61" s="194"/>
      <c r="FB61" s="268"/>
      <c r="FC61" s="143"/>
      <c r="FD61" s="143"/>
      <c r="FE61" s="143"/>
      <c r="FF61" s="269"/>
      <c r="FG61" s="194"/>
      <c r="FH61" s="194"/>
      <c r="FI61" s="268"/>
      <c r="FJ61" s="143"/>
      <c r="FK61" s="143"/>
      <c r="FL61" s="143"/>
      <c r="FM61" s="269"/>
      <c r="FN61" s="194"/>
      <c r="FO61" s="194"/>
      <c r="FP61" s="268"/>
      <c r="FQ61" s="143"/>
      <c r="FR61" s="143"/>
      <c r="FS61" s="143"/>
      <c r="FT61" s="269"/>
      <c r="FU61" s="194"/>
      <c r="FV61" s="194"/>
      <c r="FW61" s="268"/>
      <c r="FX61" s="143"/>
      <c r="FY61" s="143"/>
      <c r="FZ61" s="143"/>
      <c r="GA61" s="269"/>
      <c r="GB61" s="194"/>
      <c r="GC61" s="277"/>
      <c r="GD61" s="268"/>
      <c r="GE61" s="143"/>
      <c r="GF61" s="143"/>
      <c r="GG61" s="143"/>
      <c r="GH61" s="143"/>
      <c r="GI61" s="194"/>
      <c r="GJ61" s="282"/>
      <c r="GK61" s="143"/>
      <c r="GL61" s="143"/>
      <c r="GM61" s="143"/>
      <c r="GN61" s="143"/>
      <c r="GO61" s="143"/>
      <c r="GP61" s="210"/>
      <c r="GQ61" s="210"/>
      <c r="GR61" s="143"/>
      <c r="GS61" s="143"/>
      <c r="GT61" s="143"/>
      <c r="GU61" s="143"/>
      <c r="GV61" s="143"/>
      <c r="GW61" s="210"/>
      <c r="GX61" s="210"/>
      <c r="GY61" s="143"/>
      <c r="GZ61" s="143"/>
      <c r="HA61" s="143"/>
      <c r="HB61" s="143"/>
      <c r="HC61" s="143"/>
      <c r="HD61" s="210"/>
      <c r="HE61" s="210"/>
      <c r="HF61" s="143"/>
      <c r="HG61" s="143"/>
      <c r="HH61" s="143"/>
      <c r="HI61" s="143"/>
      <c r="HJ61" s="143"/>
      <c r="HK61" s="210"/>
      <c r="HL61" s="210"/>
      <c r="HM61" s="143"/>
      <c r="HN61" s="143"/>
      <c r="HO61" s="143"/>
      <c r="HP61" s="143"/>
      <c r="HQ61" s="143"/>
      <c r="HR61" s="143"/>
      <c r="HS61" s="143"/>
      <c r="HT61" s="143"/>
      <c r="HU61" s="143"/>
      <c r="HV61" s="143"/>
      <c r="HW61" s="143"/>
      <c r="HX61" s="143"/>
      <c r="HY61" s="203"/>
      <c r="HZ61" s="203"/>
      <c r="IA61" s="143"/>
      <c r="IB61" s="143"/>
      <c r="IC61" s="143"/>
      <c r="ID61" s="143"/>
      <c r="IE61" s="143"/>
      <c r="IF61" s="203"/>
      <c r="IG61" s="203"/>
      <c r="IH61" s="143"/>
      <c r="II61" s="143"/>
      <c r="IJ61" s="143"/>
      <c r="IK61" s="143"/>
      <c r="IL61" s="143"/>
      <c r="IM61" s="203"/>
      <c r="IN61" s="203"/>
      <c r="IO61" s="143"/>
      <c r="IP61" s="143"/>
      <c r="IQ61" s="227"/>
      <c r="IR61" s="227"/>
      <c r="IS61" s="227"/>
      <c r="IT61" s="203"/>
      <c r="IU61" s="203"/>
      <c r="IV61" s="143"/>
      <c r="IW61" s="143"/>
      <c r="IX61" s="143"/>
      <c r="IY61" s="143"/>
      <c r="IZ61" s="143"/>
      <c r="JA61" s="203"/>
      <c r="JB61" s="203"/>
      <c r="JC61" s="227"/>
      <c r="JD61" s="227"/>
      <c r="JE61" s="143"/>
      <c r="JF61" s="143"/>
      <c r="JG61" s="143"/>
      <c r="JH61" s="203"/>
      <c r="JI61" s="203"/>
      <c r="JJ61" s="143"/>
      <c r="JK61" s="143"/>
      <c r="JL61" s="143"/>
      <c r="JM61" s="143"/>
      <c r="JN61" s="143"/>
      <c r="JO61" s="203"/>
      <c r="JP61" s="203"/>
      <c r="JQ61" s="143"/>
      <c r="JR61" s="143"/>
      <c r="JS61" s="143"/>
      <c r="JT61" s="143"/>
      <c r="JU61" s="143"/>
      <c r="JV61" s="203"/>
      <c r="JW61" s="203"/>
      <c r="JX61" s="143"/>
      <c r="JY61" s="143"/>
      <c r="JZ61" s="143"/>
      <c r="KA61" s="143"/>
      <c r="KB61" s="143"/>
      <c r="KC61" s="203"/>
      <c r="KD61" s="203"/>
      <c r="KE61" s="143"/>
      <c r="KF61" s="143"/>
      <c r="KG61" s="143"/>
      <c r="KH61" s="143"/>
      <c r="KI61" s="143"/>
      <c r="KJ61" s="194"/>
      <c r="KK61" s="194"/>
      <c r="KL61" s="143"/>
      <c r="KM61" s="143"/>
      <c r="KN61" s="143"/>
      <c r="KO61" s="143"/>
      <c r="KP61" s="227"/>
      <c r="KQ61" s="194"/>
      <c r="KR61" s="194"/>
      <c r="KS61" s="143"/>
      <c r="KT61" s="143"/>
      <c r="KU61" s="143"/>
      <c r="KV61" s="143"/>
      <c r="KW61" s="143"/>
      <c r="KX61" s="210"/>
      <c r="KY61" s="210"/>
      <c r="KZ61" s="194"/>
      <c r="LA61" s="194"/>
      <c r="LB61" s="194"/>
      <c r="LC61" s="194"/>
      <c r="LD61" s="194"/>
      <c r="LE61" s="210"/>
      <c r="LF61" s="210"/>
      <c r="LG61" s="227"/>
      <c r="LH61" s="227"/>
      <c r="LI61" s="227"/>
      <c r="LJ61" s="227"/>
      <c r="LK61" s="227"/>
      <c r="LL61" s="227"/>
      <c r="LM61" s="210"/>
      <c r="LN61" s="227"/>
      <c r="LO61" s="227"/>
      <c r="LP61" s="227"/>
      <c r="LQ61" s="227"/>
      <c r="LR61" s="227"/>
      <c r="LS61" s="210"/>
      <c r="LT61" s="210"/>
      <c r="LU61" s="227"/>
      <c r="LV61" s="143"/>
      <c r="LW61" s="143"/>
      <c r="LX61" s="143"/>
      <c r="LY61" s="143"/>
      <c r="LZ61" s="203"/>
      <c r="MA61" s="203"/>
      <c r="MB61" s="143"/>
      <c r="MC61" s="143"/>
      <c r="MD61" s="143"/>
      <c r="ME61" s="143"/>
      <c r="MF61" s="143"/>
      <c r="MG61" s="203"/>
      <c r="MH61" s="203"/>
      <c r="MI61" s="143"/>
      <c r="MJ61" s="143"/>
      <c r="MK61" s="143"/>
      <c r="ML61" s="143"/>
      <c r="MM61" s="143"/>
      <c r="MN61" s="203"/>
      <c r="MO61" s="203"/>
      <c r="MP61" s="143"/>
      <c r="MQ61" s="143"/>
      <c r="MR61" s="143"/>
      <c r="MS61" s="143"/>
      <c r="MT61" s="143"/>
      <c r="MU61" s="203"/>
      <c r="MV61" s="203"/>
      <c r="MW61" s="143"/>
      <c r="MX61" s="143"/>
      <c r="MY61" s="143"/>
      <c r="MZ61" s="143"/>
      <c r="NA61" s="143"/>
      <c r="NB61" s="143"/>
      <c r="NC61" s="143"/>
      <c r="ND61" s="143"/>
    </row>
    <row r="62" spans="1:368" s="140" customFormat="1" ht="15" customHeight="1">
      <c r="A62" s="472"/>
      <c r="B62" s="461"/>
      <c r="C62" s="164" t="s">
        <v>12</v>
      </c>
      <c r="D62" s="268"/>
      <c r="E62" s="143"/>
      <c r="F62" s="143"/>
      <c r="G62" s="143"/>
      <c r="H62" s="269"/>
      <c r="I62" s="194"/>
      <c r="J62" s="194"/>
      <c r="K62" s="268"/>
      <c r="L62" s="143"/>
      <c r="M62" s="143"/>
      <c r="N62" s="143"/>
      <c r="O62" s="269"/>
      <c r="P62" s="194"/>
      <c r="Q62" s="194"/>
      <c r="R62" s="268"/>
      <c r="S62" s="143"/>
      <c r="T62" s="143"/>
      <c r="U62" s="143"/>
      <c r="V62" s="269"/>
      <c r="W62" s="194"/>
      <c r="X62" s="194"/>
      <c r="Y62" s="268"/>
      <c r="Z62" s="143"/>
      <c r="AA62" s="143"/>
      <c r="AB62" s="143"/>
      <c r="AC62" s="269"/>
      <c r="AD62" s="194"/>
      <c r="AE62" s="194"/>
      <c r="AF62" s="268"/>
      <c r="AG62" s="143"/>
      <c r="AH62" s="143"/>
      <c r="AI62" s="143"/>
      <c r="AJ62" s="269"/>
      <c r="AK62" s="194"/>
      <c r="AL62" s="194"/>
      <c r="AM62" s="268"/>
      <c r="AN62" s="143"/>
      <c r="AO62" s="143"/>
      <c r="AP62" s="143"/>
      <c r="AQ62" s="269"/>
      <c r="AR62" s="194"/>
      <c r="AS62" s="194"/>
      <c r="AT62" s="268"/>
      <c r="AU62" s="143"/>
      <c r="AV62" s="143"/>
      <c r="AW62" s="143"/>
      <c r="AX62" s="269"/>
      <c r="AY62" s="194"/>
      <c r="AZ62" s="194"/>
      <c r="BA62" s="268"/>
      <c r="BB62" s="143"/>
      <c r="BC62" s="143"/>
      <c r="BD62" s="143"/>
      <c r="BE62" s="269"/>
      <c r="BF62" s="194"/>
      <c r="BG62" s="194"/>
      <c r="BH62" s="268"/>
      <c r="BI62" s="143"/>
      <c r="BJ62" s="143"/>
      <c r="BK62" s="143"/>
      <c r="BL62" s="269"/>
      <c r="BM62" s="194"/>
      <c r="BN62" s="194"/>
      <c r="BO62" s="268"/>
      <c r="BP62" s="143"/>
      <c r="BQ62" s="143"/>
      <c r="BR62" s="143"/>
      <c r="BS62" s="269"/>
      <c r="BT62" s="194"/>
      <c r="BU62" s="194"/>
      <c r="BV62" s="268"/>
      <c r="BW62" s="143"/>
      <c r="BX62" s="143"/>
      <c r="BY62" s="143"/>
      <c r="BZ62" s="269"/>
      <c r="CA62" s="194"/>
      <c r="CB62" s="194"/>
      <c r="CC62" s="268"/>
      <c r="CD62" s="143"/>
      <c r="CE62" s="143"/>
      <c r="CF62" s="143"/>
      <c r="CG62" s="269"/>
      <c r="CH62" s="194"/>
      <c r="CI62" s="194"/>
      <c r="CJ62" s="268"/>
      <c r="CK62" s="143"/>
      <c r="CL62" s="143"/>
      <c r="CM62" s="143"/>
      <c r="CN62" s="269"/>
      <c r="CO62" s="194"/>
      <c r="CP62" s="194"/>
      <c r="CQ62" s="268"/>
      <c r="CR62" s="143"/>
      <c r="CS62" s="143"/>
      <c r="CT62" s="143"/>
      <c r="CU62" s="269"/>
      <c r="CV62" s="194"/>
      <c r="CW62" s="194"/>
      <c r="CX62" s="268"/>
      <c r="CY62" s="143"/>
      <c r="CZ62" s="143"/>
      <c r="DA62" s="143"/>
      <c r="DB62" s="269"/>
      <c r="DC62" s="194"/>
      <c r="DD62" s="194"/>
      <c r="DE62" s="268"/>
      <c r="DF62" s="143"/>
      <c r="DG62" s="143"/>
      <c r="DH62" s="143"/>
      <c r="DI62" s="269"/>
      <c r="DJ62" s="194"/>
      <c r="DK62" s="194"/>
      <c r="DL62" s="268"/>
      <c r="DM62" s="143"/>
      <c r="DN62" s="143"/>
      <c r="DO62" s="143"/>
      <c r="DP62" s="269"/>
      <c r="DQ62" s="194"/>
      <c r="DR62" s="194"/>
      <c r="DS62" s="268"/>
      <c r="DT62" s="143"/>
      <c r="DU62" s="143"/>
      <c r="DV62" s="143"/>
      <c r="DW62" s="269"/>
      <c r="DX62" s="194"/>
      <c r="DY62" s="194"/>
      <c r="DZ62" s="268"/>
      <c r="EA62" s="143"/>
      <c r="EB62" s="143"/>
      <c r="EC62" s="143"/>
      <c r="ED62" s="269"/>
      <c r="EE62" s="194"/>
      <c r="EF62" s="194"/>
      <c r="EG62" s="268"/>
      <c r="EH62" s="143"/>
      <c r="EI62" s="143"/>
      <c r="EJ62" s="143"/>
      <c r="EK62" s="269"/>
      <c r="EL62" s="194"/>
      <c r="EM62" s="194"/>
      <c r="EN62" s="268"/>
      <c r="EO62" s="143"/>
      <c r="EP62" s="143"/>
      <c r="EQ62" s="143"/>
      <c r="ER62" s="269"/>
      <c r="ES62" s="194"/>
      <c r="ET62" s="194"/>
      <c r="EU62" s="268"/>
      <c r="EV62" s="143"/>
      <c r="EW62" s="143"/>
      <c r="EX62" s="143"/>
      <c r="EY62" s="269"/>
      <c r="EZ62" s="194"/>
      <c r="FA62" s="194"/>
      <c r="FB62" s="268"/>
      <c r="FC62" s="143"/>
      <c r="FD62" s="143"/>
      <c r="FE62" s="143"/>
      <c r="FF62" s="269"/>
      <c r="FG62" s="194"/>
      <c r="FH62" s="194"/>
      <c r="FI62" s="268"/>
      <c r="FJ62" s="143"/>
      <c r="FK62" s="143"/>
      <c r="FL62" s="143"/>
      <c r="FM62" s="269"/>
      <c r="FN62" s="194"/>
      <c r="FO62" s="194"/>
      <c r="FP62" s="268"/>
      <c r="FQ62" s="143"/>
      <c r="FR62" s="143"/>
      <c r="FS62" s="143"/>
      <c r="FT62" s="269"/>
      <c r="FU62" s="194"/>
      <c r="FV62" s="194"/>
      <c r="FW62" s="268"/>
      <c r="FX62" s="143"/>
      <c r="FY62" s="143"/>
      <c r="FZ62" s="143"/>
      <c r="GA62" s="269"/>
      <c r="GB62" s="194"/>
      <c r="GC62" s="277"/>
      <c r="GD62" s="268"/>
      <c r="GE62" s="143"/>
      <c r="GF62" s="143"/>
      <c r="GG62" s="143"/>
      <c r="GH62" s="143"/>
      <c r="GI62" s="194"/>
      <c r="GJ62" s="282"/>
      <c r="GK62" s="143"/>
      <c r="GL62" s="143"/>
      <c r="GM62" s="143"/>
      <c r="GN62" s="143"/>
      <c r="GO62" s="143"/>
      <c r="GP62" s="210"/>
      <c r="GQ62" s="210"/>
      <c r="GR62" s="143"/>
      <c r="GS62" s="143"/>
      <c r="GT62" s="143"/>
      <c r="GU62" s="143"/>
      <c r="GV62" s="143"/>
      <c r="GW62" s="210"/>
      <c r="GX62" s="210"/>
      <c r="GY62" s="143"/>
      <c r="GZ62" s="143"/>
      <c r="HA62" s="143"/>
      <c r="HB62" s="143"/>
      <c r="HC62" s="143"/>
      <c r="HD62" s="210"/>
      <c r="HE62" s="210"/>
      <c r="HF62" s="143"/>
      <c r="HG62" s="143"/>
      <c r="HH62" s="143"/>
      <c r="HI62" s="143"/>
      <c r="HJ62" s="143"/>
      <c r="HK62" s="210"/>
      <c r="HL62" s="210"/>
      <c r="HM62" s="143"/>
      <c r="HN62" s="143"/>
      <c r="HO62" s="143"/>
      <c r="HP62" s="143"/>
      <c r="HQ62" s="143"/>
      <c r="HR62" s="143"/>
      <c r="HS62" s="143"/>
      <c r="HT62" s="143"/>
      <c r="HU62" s="143"/>
      <c r="HV62" s="143"/>
      <c r="HW62" s="143"/>
      <c r="HX62" s="143"/>
      <c r="HY62" s="203"/>
      <c r="HZ62" s="203"/>
      <c r="IA62" s="143"/>
      <c r="IB62" s="143"/>
      <c r="IC62" s="143"/>
      <c r="ID62" s="143"/>
      <c r="IE62" s="143"/>
      <c r="IF62" s="203"/>
      <c r="IG62" s="203"/>
      <c r="IH62" s="143"/>
      <c r="II62" s="143"/>
      <c r="IJ62" s="143"/>
      <c r="IK62" s="143"/>
      <c r="IL62" s="143"/>
      <c r="IM62" s="203"/>
      <c r="IN62" s="203"/>
      <c r="IO62" s="143"/>
      <c r="IP62" s="143"/>
      <c r="IQ62" s="227"/>
      <c r="IR62" s="227"/>
      <c r="IS62" s="227"/>
      <c r="IT62" s="203"/>
      <c r="IU62" s="203"/>
      <c r="IV62" s="143"/>
      <c r="IW62" s="143"/>
      <c r="IX62" s="143"/>
      <c r="IY62" s="143"/>
      <c r="IZ62" s="143"/>
      <c r="JA62" s="203"/>
      <c r="JB62" s="203"/>
      <c r="JC62" s="227"/>
      <c r="JD62" s="227"/>
      <c r="JE62" s="143"/>
      <c r="JF62" s="143"/>
      <c r="JG62" s="143"/>
      <c r="JH62" s="203"/>
      <c r="JI62" s="203"/>
      <c r="JJ62" s="143"/>
      <c r="JK62" s="143"/>
      <c r="JL62" s="143"/>
      <c r="JM62" s="143"/>
      <c r="JN62" s="143"/>
      <c r="JO62" s="203"/>
      <c r="JP62" s="203"/>
      <c r="JQ62" s="143"/>
      <c r="JR62" s="143"/>
      <c r="JS62" s="143"/>
      <c r="JT62" s="143"/>
      <c r="JU62" s="143"/>
      <c r="JV62" s="203"/>
      <c r="JW62" s="203"/>
      <c r="JX62" s="143"/>
      <c r="JY62" s="143"/>
      <c r="JZ62" s="143"/>
      <c r="KA62" s="143"/>
      <c r="KB62" s="143"/>
      <c r="KC62" s="203"/>
      <c r="KD62" s="203"/>
      <c r="KE62" s="143"/>
      <c r="KF62" s="143"/>
      <c r="KG62" s="143"/>
      <c r="KH62" s="143"/>
      <c r="KI62" s="143"/>
      <c r="KJ62" s="194"/>
      <c r="KK62" s="194"/>
      <c r="KL62" s="143"/>
      <c r="KM62" s="143"/>
      <c r="KN62" s="143"/>
      <c r="KO62" s="143"/>
      <c r="KP62" s="227"/>
      <c r="KQ62" s="194"/>
      <c r="KR62" s="194"/>
      <c r="KS62" s="143"/>
      <c r="KT62" s="143"/>
      <c r="KU62" s="143"/>
      <c r="KV62" s="143"/>
      <c r="KW62" s="143"/>
      <c r="KX62" s="210"/>
      <c r="KY62" s="210"/>
      <c r="KZ62" s="194"/>
      <c r="LA62" s="194"/>
      <c r="LB62" s="194"/>
      <c r="LC62" s="194"/>
      <c r="LD62" s="194"/>
      <c r="LE62" s="210"/>
      <c r="LF62" s="210"/>
      <c r="LG62" s="227"/>
      <c r="LH62" s="227"/>
      <c r="LI62" s="227"/>
      <c r="LJ62" s="227"/>
      <c r="LK62" s="227"/>
      <c r="LL62" s="227"/>
      <c r="LM62" s="210"/>
      <c r="LN62" s="227"/>
      <c r="LO62" s="227"/>
      <c r="LP62" s="227"/>
      <c r="LQ62" s="227"/>
      <c r="LR62" s="227"/>
      <c r="LS62" s="210"/>
      <c r="LT62" s="210"/>
      <c r="LU62" s="227"/>
      <c r="LV62" s="143"/>
      <c r="LW62" s="143"/>
      <c r="LX62" s="143"/>
      <c r="LY62" s="143"/>
      <c r="LZ62" s="203"/>
      <c r="MA62" s="203"/>
      <c r="MB62" s="143"/>
      <c r="MC62" s="143"/>
      <c r="MD62" s="143"/>
      <c r="ME62" s="143"/>
      <c r="MF62" s="143"/>
      <c r="MG62" s="203"/>
      <c r="MH62" s="203"/>
      <c r="MI62" s="143"/>
      <c r="MJ62" s="143"/>
      <c r="MK62" s="143"/>
      <c r="ML62" s="143"/>
      <c r="MM62" s="143"/>
      <c r="MN62" s="203"/>
      <c r="MO62" s="203"/>
      <c r="MP62" s="143"/>
      <c r="MQ62" s="143"/>
      <c r="MR62" s="143"/>
      <c r="MS62" s="143"/>
      <c r="MT62" s="143"/>
      <c r="MU62" s="203"/>
      <c r="MV62" s="203"/>
      <c r="MW62" s="143"/>
      <c r="MX62" s="143"/>
      <c r="MY62" s="143"/>
      <c r="MZ62" s="143"/>
      <c r="NA62" s="143"/>
      <c r="NB62" s="143"/>
      <c r="NC62" s="143"/>
      <c r="ND62" s="143"/>
    </row>
    <row r="63" spans="1:368" s="140" customFormat="1" ht="15" customHeight="1">
      <c r="A63" s="472"/>
      <c r="B63" s="461"/>
      <c r="C63" s="164" t="s">
        <v>13</v>
      </c>
      <c r="D63" s="268"/>
      <c r="E63" s="143"/>
      <c r="F63" s="143"/>
      <c r="G63" s="143"/>
      <c r="H63" s="269"/>
      <c r="I63" s="194"/>
      <c r="J63" s="194"/>
      <c r="K63" s="268"/>
      <c r="L63" s="143"/>
      <c r="M63" s="143"/>
      <c r="N63" s="143"/>
      <c r="O63" s="269"/>
      <c r="P63" s="194"/>
      <c r="Q63" s="194"/>
      <c r="R63" s="268"/>
      <c r="S63" s="143"/>
      <c r="T63" s="143"/>
      <c r="U63" s="143"/>
      <c r="V63" s="269"/>
      <c r="W63" s="194"/>
      <c r="X63" s="194"/>
      <c r="Y63" s="268"/>
      <c r="Z63" s="143"/>
      <c r="AA63" s="143"/>
      <c r="AB63" s="143"/>
      <c r="AC63" s="269"/>
      <c r="AD63" s="194"/>
      <c r="AE63" s="194"/>
      <c r="AF63" s="268"/>
      <c r="AG63" s="143"/>
      <c r="AH63" s="143"/>
      <c r="AI63" s="143"/>
      <c r="AJ63" s="269"/>
      <c r="AK63" s="194"/>
      <c r="AL63" s="194"/>
      <c r="AM63" s="268"/>
      <c r="AN63" s="143"/>
      <c r="AO63" s="143"/>
      <c r="AP63" s="143"/>
      <c r="AQ63" s="269"/>
      <c r="AR63" s="194"/>
      <c r="AS63" s="194"/>
      <c r="AT63" s="268"/>
      <c r="AU63" s="143"/>
      <c r="AV63" s="143"/>
      <c r="AW63" s="143"/>
      <c r="AX63" s="269"/>
      <c r="AY63" s="194"/>
      <c r="AZ63" s="194"/>
      <c r="BA63" s="268"/>
      <c r="BB63" s="143"/>
      <c r="BC63" s="143"/>
      <c r="BD63" s="143"/>
      <c r="BE63" s="269"/>
      <c r="BF63" s="194"/>
      <c r="BG63" s="194"/>
      <c r="BH63" s="268"/>
      <c r="BI63" s="143"/>
      <c r="BJ63" s="143"/>
      <c r="BK63" s="143"/>
      <c r="BL63" s="269"/>
      <c r="BM63" s="194"/>
      <c r="BN63" s="194"/>
      <c r="BO63" s="268"/>
      <c r="BP63" s="143"/>
      <c r="BQ63" s="143"/>
      <c r="BR63" s="143"/>
      <c r="BS63" s="269"/>
      <c r="BT63" s="194"/>
      <c r="BU63" s="194"/>
      <c r="BV63" s="268"/>
      <c r="BW63" s="143"/>
      <c r="BX63" s="143"/>
      <c r="BY63" s="143"/>
      <c r="BZ63" s="269"/>
      <c r="CA63" s="194"/>
      <c r="CB63" s="194"/>
      <c r="CC63" s="268"/>
      <c r="CD63" s="143"/>
      <c r="CE63" s="143"/>
      <c r="CF63" s="143"/>
      <c r="CG63" s="269"/>
      <c r="CH63" s="194"/>
      <c r="CI63" s="194"/>
      <c r="CJ63" s="268"/>
      <c r="CK63" s="143"/>
      <c r="CL63" s="143"/>
      <c r="CM63" s="143"/>
      <c r="CN63" s="269"/>
      <c r="CO63" s="194"/>
      <c r="CP63" s="194"/>
      <c r="CQ63" s="268"/>
      <c r="CR63" s="143"/>
      <c r="CS63" s="143"/>
      <c r="CT63" s="143"/>
      <c r="CU63" s="269"/>
      <c r="CV63" s="194"/>
      <c r="CW63" s="194"/>
      <c r="CX63" s="268"/>
      <c r="CY63" s="143"/>
      <c r="CZ63" s="143"/>
      <c r="DA63" s="143"/>
      <c r="DB63" s="269"/>
      <c r="DC63" s="194"/>
      <c r="DD63" s="194"/>
      <c r="DE63" s="268"/>
      <c r="DF63" s="143"/>
      <c r="DG63" s="143"/>
      <c r="DH63" s="143"/>
      <c r="DI63" s="269"/>
      <c r="DJ63" s="194"/>
      <c r="DK63" s="194"/>
      <c r="DL63" s="268"/>
      <c r="DM63" s="143"/>
      <c r="DN63" s="143"/>
      <c r="DO63" s="143"/>
      <c r="DP63" s="269"/>
      <c r="DQ63" s="194"/>
      <c r="DR63" s="194"/>
      <c r="DS63" s="268"/>
      <c r="DT63" s="143"/>
      <c r="DU63" s="143"/>
      <c r="DV63" s="143"/>
      <c r="DW63" s="269"/>
      <c r="DX63" s="194"/>
      <c r="DY63" s="194"/>
      <c r="DZ63" s="268"/>
      <c r="EA63" s="143"/>
      <c r="EB63" s="143"/>
      <c r="EC63" s="143"/>
      <c r="ED63" s="269"/>
      <c r="EE63" s="194"/>
      <c r="EF63" s="194"/>
      <c r="EG63" s="268"/>
      <c r="EH63" s="143"/>
      <c r="EI63" s="143"/>
      <c r="EJ63" s="143"/>
      <c r="EK63" s="269"/>
      <c r="EL63" s="194"/>
      <c r="EM63" s="194"/>
      <c r="EN63" s="268"/>
      <c r="EO63" s="143"/>
      <c r="EP63" s="143"/>
      <c r="EQ63" s="143"/>
      <c r="ER63" s="269"/>
      <c r="ES63" s="194"/>
      <c r="ET63" s="194"/>
      <c r="EU63" s="268"/>
      <c r="EV63" s="143"/>
      <c r="EW63" s="143"/>
      <c r="EX63" s="143"/>
      <c r="EY63" s="269"/>
      <c r="EZ63" s="194"/>
      <c r="FA63" s="194"/>
      <c r="FB63" s="268"/>
      <c r="FC63" s="143"/>
      <c r="FD63" s="143"/>
      <c r="FE63" s="143"/>
      <c r="FF63" s="269"/>
      <c r="FG63" s="194"/>
      <c r="FH63" s="194"/>
      <c r="FI63" s="268"/>
      <c r="FJ63" s="143"/>
      <c r="FK63" s="143"/>
      <c r="FL63" s="143"/>
      <c r="FM63" s="269"/>
      <c r="FN63" s="194"/>
      <c r="FO63" s="194"/>
      <c r="FP63" s="268"/>
      <c r="FQ63" s="143"/>
      <c r="FR63" s="143"/>
      <c r="FS63" s="143"/>
      <c r="FT63" s="269"/>
      <c r="FU63" s="194"/>
      <c r="FV63" s="194"/>
      <c r="FW63" s="268"/>
      <c r="FX63" s="143"/>
      <c r="FY63" s="143"/>
      <c r="FZ63" s="143"/>
      <c r="GA63" s="269"/>
      <c r="GB63" s="194"/>
      <c r="GC63" s="277"/>
      <c r="GD63" s="268"/>
      <c r="GE63" s="143"/>
      <c r="GF63" s="143"/>
      <c r="GG63" s="143"/>
      <c r="GH63" s="143"/>
      <c r="GI63" s="194"/>
      <c r="GJ63" s="282"/>
      <c r="GK63" s="143"/>
      <c r="GL63" s="143"/>
      <c r="GM63" s="143"/>
      <c r="GN63" s="143"/>
      <c r="GO63" s="143"/>
      <c r="GP63" s="210"/>
      <c r="GQ63" s="210"/>
      <c r="GR63" s="143"/>
      <c r="GS63" s="143"/>
      <c r="GT63" s="143"/>
      <c r="GU63" s="143"/>
      <c r="GV63" s="143"/>
      <c r="GW63" s="210"/>
      <c r="GX63" s="210"/>
      <c r="GY63" s="143"/>
      <c r="GZ63" s="143"/>
      <c r="HA63" s="143"/>
      <c r="HB63" s="143"/>
      <c r="HC63" s="143"/>
      <c r="HD63" s="210"/>
      <c r="HE63" s="210"/>
      <c r="HF63" s="143"/>
      <c r="HG63" s="143"/>
      <c r="HH63" s="143"/>
      <c r="HI63" s="143"/>
      <c r="HJ63" s="143"/>
      <c r="HK63" s="210"/>
      <c r="HL63" s="210"/>
      <c r="HM63" s="143"/>
      <c r="HN63" s="143"/>
      <c r="HO63" s="143"/>
      <c r="HP63" s="143"/>
      <c r="HQ63" s="143"/>
      <c r="HR63" s="143"/>
      <c r="HS63" s="143"/>
      <c r="HT63" s="143"/>
      <c r="HU63" s="143"/>
      <c r="HV63" s="143"/>
      <c r="HW63" s="143"/>
      <c r="HX63" s="143"/>
      <c r="HY63" s="203"/>
      <c r="HZ63" s="203"/>
      <c r="IA63" s="143"/>
      <c r="IB63" s="143"/>
      <c r="IC63" s="143"/>
      <c r="ID63" s="143"/>
      <c r="IE63" s="143"/>
      <c r="IF63" s="203"/>
      <c r="IG63" s="203"/>
      <c r="IH63" s="143"/>
      <c r="II63" s="143"/>
      <c r="IJ63" s="143"/>
      <c r="IK63" s="143"/>
      <c r="IL63" s="143"/>
      <c r="IM63" s="203"/>
      <c r="IN63" s="203"/>
      <c r="IO63" s="143"/>
      <c r="IP63" s="143"/>
      <c r="IQ63" s="227"/>
      <c r="IR63" s="227"/>
      <c r="IS63" s="227"/>
      <c r="IT63" s="203"/>
      <c r="IU63" s="203"/>
      <c r="IV63" s="143"/>
      <c r="IW63" s="143"/>
      <c r="IX63" s="143"/>
      <c r="IY63" s="143"/>
      <c r="IZ63" s="143"/>
      <c r="JA63" s="203"/>
      <c r="JB63" s="203"/>
      <c r="JC63" s="227"/>
      <c r="JD63" s="227"/>
      <c r="JE63" s="143"/>
      <c r="JF63" s="143"/>
      <c r="JG63" s="143"/>
      <c r="JH63" s="203"/>
      <c r="JI63" s="203"/>
      <c r="JJ63" s="143"/>
      <c r="JK63" s="143"/>
      <c r="JL63" s="143"/>
      <c r="JM63" s="143"/>
      <c r="JN63" s="143"/>
      <c r="JO63" s="203"/>
      <c r="JP63" s="203"/>
      <c r="JQ63" s="143"/>
      <c r="JR63" s="143"/>
      <c r="JS63" s="143"/>
      <c r="JT63" s="143"/>
      <c r="JU63" s="143"/>
      <c r="JV63" s="203"/>
      <c r="JW63" s="203"/>
      <c r="JX63" s="143"/>
      <c r="JY63" s="143"/>
      <c r="JZ63" s="143"/>
      <c r="KA63" s="143"/>
      <c r="KB63" s="143"/>
      <c r="KC63" s="203"/>
      <c r="KD63" s="203"/>
      <c r="KE63" s="143"/>
      <c r="KF63" s="143"/>
      <c r="KG63" s="143"/>
      <c r="KH63" s="143"/>
      <c r="KI63" s="143"/>
      <c r="KJ63" s="194"/>
      <c r="KK63" s="194"/>
      <c r="KL63" s="143"/>
      <c r="KM63" s="143"/>
      <c r="KN63" s="143"/>
      <c r="KO63" s="143"/>
      <c r="KP63" s="227"/>
      <c r="KQ63" s="194"/>
      <c r="KR63" s="194"/>
      <c r="KS63" s="143"/>
      <c r="KT63" s="143"/>
      <c r="KU63" s="143"/>
      <c r="KV63" s="143"/>
      <c r="KW63" s="143"/>
      <c r="KX63" s="210"/>
      <c r="KY63" s="210"/>
      <c r="KZ63" s="194"/>
      <c r="LA63" s="194"/>
      <c r="LB63" s="194"/>
      <c r="LC63" s="194"/>
      <c r="LD63" s="194"/>
      <c r="LE63" s="210"/>
      <c r="LF63" s="210"/>
      <c r="LG63" s="227"/>
      <c r="LH63" s="227"/>
      <c r="LI63" s="227"/>
      <c r="LJ63" s="227"/>
      <c r="LK63" s="227"/>
      <c r="LL63" s="227"/>
      <c r="LM63" s="210"/>
      <c r="LN63" s="227"/>
      <c r="LO63" s="227"/>
      <c r="LP63" s="227"/>
      <c r="LQ63" s="227"/>
      <c r="LR63" s="227"/>
      <c r="LS63" s="210"/>
      <c r="LT63" s="210"/>
      <c r="LU63" s="227"/>
      <c r="LV63" s="143"/>
      <c r="LW63" s="143"/>
      <c r="LX63" s="143"/>
      <c r="LY63" s="143"/>
      <c r="LZ63" s="203"/>
      <c r="MA63" s="203"/>
      <c r="MB63" s="143"/>
      <c r="MC63" s="143"/>
      <c r="MD63" s="143"/>
      <c r="ME63" s="143"/>
      <c r="MF63" s="143"/>
      <c r="MG63" s="203"/>
      <c r="MH63" s="203"/>
      <c r="MI63" s="143"/>
      <c r="MJ63" s="143"/>
      <c r="MK63" s="143"/>
      <c r="ML63" s="143"/>
      <c r="MM63" s="143"/>
      <c r="MN63" s="203"/>
      <c r="MO63" s="203"/>
      <c r="MP63" s="143"/>
      <c r="MQ63" s="143"/>
      <c r="MR63" s="143"/>
      <c r="MS63" s="143"/>
      <c r="MT63" s="143"/>
      <c r="MU63" s="203"/>
      <c r="MV63" s="203"/>
      <c r="MW63" s="143"/>
      <c r="MX63" s="143"/>
      <c r="MY63" s="143"/>
      <c r="MZ63" s="143"/>
      <c r="NA63" s="143"/>
      <c r="NB63" s="143"/>
      <c r="NC63" s="143"/>
      <c r="ND63" s="143"/>
    </row>
    <row r="64" spans="1:368" s="140" customFormat="1" ht="15" customHeight="1" thickBot="1">
      <c r="A64" s="472"/>
      <c r="B64" s="461"/>
      <c r="C64" s="162" t="s">
        <v>98</v>
      </c>
      <c r="D64" s="260"/>
      <c r="E64" s="261"/>
      <c r="F64" s="261"/>
      <c r="G64" s="261"/>
      <c r="H64" s="262"/>
      <c r="I64" s="192"/>
      <c r="J64" s="192"/>
      <c r="K64" s="260"/>
      <c r="L64" s="261"/>
      <c r="M64" s="261"/>
      <c r="N64" s="261"/>
      <c r="O64" s="262"/>
      <c r="P64" s="192"/>
      <c r="Q64" s="192"/>
      <c r="R64" s="260"/>
      <c r="S64" s="261"/>
      <c r="T64" s="261"/>
      <c r="U64" s="261"/>
      <c r="V64" s="262"/>
      <c r="W64" s="192"/>
      <c r="X64" s="192"/>
      <c r="Y64" s="260"/>
      <c r="Z64" s="261"/>
      <c r="AA64" s="261"/>
      <c r="AB64" s="261"/>
      <c r="AC64" s="262"/>
      <c r="AD64" s="192"/>
      <c r="AE64" s="192"/>
      <c r="AF64" s="260"/>
      <c r="AG64" s="261"/>
      <c r="AH64" s="261"/>
      <c r="AI64" s="261"/>
      <c r="AJ64" s="262"/>
      <c r="AK64" s="192"/>
      <c r="AL64" s="192"/>
      <c r="AM64" s="260"/>
      <c r="AN64" s="261"/>
      <c r="AO64" s="261"/>
      <c r="AP64" s="261"/>
      <c r="AQ64" s="262"/>
      <c r="AR64" s="192"/>
      <c r="AS64" s="192"/>
      <c r="AT64" s="260"/>
      <c r="AU64" s="261"/>
      <c r="AV64" s="261"/>
      <c r="AW64" s="261"/>
      <c r="AX64" s="262"/>
      <c r="AY64" s="192"/>
      <c r="AZ64" s="192"/>
      <c r="BA64" s="260"/>
      <c r="BB64" s="261"/>
      <c r="BC64" s="261"/>
      <c r="BD64" s="261"/>
      <c r="BE64" s="262"/>
      <c r="BF64" s="192"/>
      <c r="BG64" s="192"/>
      <c r="BH64" s="260"/>
      <c r="BI64" s="261"/>
      <c r="BJ64" s="261"/>
      <c r="BK64" s="261"/>
      <c r="BL64" s="262"/>
      <c r="BM64" s="192"/>
      <c r="BN64" s="192"/>
      <c r="BO64" s="260"/>
      <c r="BP64" s="261"/>
      <c r="BQ64" s="261"/>
      <c r="BR64" s="261"/>
      <c r="BS64" s="262"/>
      <c r="BT64" s="192"/>
      <c r="BU64" s="192"/>
      <c r="BV64" s="260"/>
      <c r="BW64" s="261"/>
      <c r="BX64" s="261"/>
      <c r="BY64" s="261"/>
      <c r="BZ64" s="262"/>
      <c r="CA64" s="192"/>
      <c r="CB64" s="192"/>
      <c r="CC64" s="260"/>
      <c r="CD64" s="261"/>
      <c r="CE64" s="261"/>
      <c r="CF64" s="261"/>
      <c r="CG64" s="262"/>
      <c r="CH64" s="192"/>
      <c r="CI64" s="192"/>
      <c r="CJ64" s="260"/>
      <c r="CK64" s="261"/>
      <c r="CL64" s="261"/>
      <c r="CM64" s="261"/>
      <c r="CN64" s="262"/>
      <c r="CO64" s="192"/>
      <c r="CP64" s="192"/>
      <c r="CQ64" s="260"/>
      <c r="CR64" s="261"/>
      <c r="CS64" s="261"/>
      <c r="CT64" s="261"/>
      <c r="CU64" s="262"/>
      <c r="CV64" s="192"/>
      <c r="CW64" s="192"/>
      <c r="CX64" s="260"/>
      <c r="CY64" s="261"/>
      <c r="CZ64" s="261"/>
      <c r="DA64" s="261"/>
      <c r="DB64" s="262"/>
      <c r="DC64" s="192"/>
      <c r="DD64" s="192"/>
      <c r="DE64" s="260"/>
      <c r="DF64" s="261"/>
      <c r="DG64" s="261"/>
      <c r="DH64" s="261"/>
      <c r="DI64" s="262"/>
      <c r="DJ64" s="192"/>
      <c r="DK64" s="192"/>
      <c r="DL64" s="260"/>
      <c r="DM64" s="261"/>
      <c r="DN64" s="261"/>
      <c r="DO64" s="261"/>
      <c r="DP64" s="262"/>
      <c r="DQ64" s="192"/>
      <c r="DR64" s="192"/>
      <c r="DS64" s="260"/>
      <c r="DT64" s="261"/>
      <c r="DU64" s="261"/>
      <c r="DV64" s="261"/>
      <c r="DW64" s="262"/>
      <c r="DX64" s="192"/>
      <c r="DY64" s="192"/>
      <c r="DZ64" s="260"/>
      <c r="EA64" s="261"/>
      <c r="EB64" s="261"/>
      <c r="EC64" s="261"/>
      <c r="ED64" s="262"/>
      <c r="EE64" s="192"/>
      <c r="EF64" s="192"/>
      <c r="EG64" s="260"/>
      <c r="EH64" s="261"/>
      <c r="EI64" s="261"/>
      <c r="EJ64" s="261"/>
      <c r="EK64" s="262"/>
      <c r="EL64" s="192"/>
      <c r="EM64" s="192"/>
      <c r="EN64" s="260"/>
      <c r="EO64" s="261"/>
      <c r="EP64" s="261"/>
      <c r="EQ64" s="261"/>
      <c r="ER64" s="262"/>
      <c r="ES64" s="192"/>
      <c r="ET64" s="192"/>
      <c r="EU64" s="260"/>
      <c r="EV64" s="261"/>
      <c r="EW64" s="261"/>
      <c r="EX64" s="261"/>
      <c r="EY64" s="262"/>
      <c r="EZ64" s="192"/>
      <c r="FA64" s="192"/>
      <c r="FB64" s="260"/>
      <c r="FC64" s="261"/>
      <c r="FD64" s="261"/>
      <c r="FE64" s="261"/>
      <c r="FF64" s="262"/>
      <c r="FG64" s="192"/>
      <c r="FH64" s="192"/>
      <c r="FI64" s="260"/>
      <c r="FJ64" s="261"/>
      <c r="FK64" s="261"/>
      <c r="FL64" s="261"/>
      <c r="FM64" s="262"/>
      <c r="FN64" s="192"/>
      <c r="FO64" s="192"/>
      <c r="FP64" s="260"/>
      <c r="FQ64" s="261"/>
      <c r="FR64" s="261"/>
      <c r="FS64" s="261"/>
      <c r="FT64" s="262"/>
      <c r="FU64" s="192"/>
      <c r="FV64" s="192"/>
      <c r="FW64" s="260"/>
      <c r="FX64" s="261"/>
      <c r="FY64" s="261"/>
      <c r="FZ64" s="261"/>
      <c r="GA64" s="262"/>
      <c r="GB64" s="192"/>
      <c r="GC64" s="278"/>
      <c r="GD64" s="260"/>
      <c r="GE64" s="261"/>
      <c r="GF64" s="261"/>
      <c r="GG64" s="261"/>
      <c r="GH64" s="261"/>
      <c r="GI64" s="283"/>
      <c r="GJ64" s="284"/>
      <c r="GK64" s="139"/>
      <c r="GL64" s="139"/>
      <c r="GM64" s="139"/>
      <c r="GN64" s="139"/>
      <c r="GO64" s="139"/>
      <c r="GP64" s="208"/>
      <c r="GQ64" s="208"/>
      <c r="GR64" s="139"/>
      <c r="GS64" s="139"/>
      <c r="GT64" s="139"/>
      <c r="GU64" s="139"/>
      <c r="GV64" s="139"/>
      <c r="GW64" s="208"/>
      <c r="GX64" s="208"/>
      <c r="GY64" s="139"/>
      <c r="GZ64" s="139"/>
      <c r="HA64" s="139"/>
      <c r="HB64" s="139"/>
      <c r="HC64" s="139"/>
      <c r="HD64" s="208"/>
      <c r="HE64" s="208"/>
      <c r="HF64" s="139"/>
      <c r="HG64" s="139"/>
      <c r="HH64" s="139"/>
      <c r="HI64" s="139"/>
      <c r="HJ64" s="139"/>
      <c r="HK64" s="208"/>
      <c r="HL64" s="208"/>
      <c r="HM64" s="139"/>
      <c r="HN64" s="139"/>
      <c r="HO64" s="139"/>
      <c r="HP64" s="139"/>
      <c r="HQ64" s="139"/>
      <c r="HR64" s="139"/>
      <c r="HS64" s="139"/>
      <c r="HT64" s="139"/>
      <c r="HU64" s="139"/>
      <c r="HV64" s="139"/>
      <c r="HW64" s="139"/>
      <c r="HX64" s="139"/>
      <c r="HY64" s="202"/>
      <c r="HZ64" s="202"/>
      <c r="IA64" s="139"/>
      <c r="IB64" s="139"/>
      <c r="IC64" s="139"/>
      <c r="ID64" s="139"/>
      <c r="IE64" s="139"/>
      <c r="IF64" s="202"/>
      <c r="IG64" s="202"/>
      <c r="IH64" s="139"/>
      <c r="II64" s="139"/>
      <c r="IJ64" s="139"/>
      <c r="IK64" s="139"/>
      <c r="IL64" s="139"/>
      <c r="IM64" s="202"/>
      <c r="IN64" s="202"/>
      <c r="IO64" s="139"/>
      <c r="IP64" s="139"/>
      <c r="IQ64" s="228"/>
      <c r="IR64" s="228"/>
      <c r="IS64" s="228"/>
      <c r="IT64" s="202"/>
      <c r="IU64" s="202"/>
      <c r="IV64" s="139"/>
      <c r="IW64" s="139"/>
      <c r="IX64" s="139"/>
      <c r="IY64" s="139"/>
      <c r="IZ64" s="139"/>
      <c r="JA64" s="202"/>
      <c r="JB64" s="202"/>
      <c r="JC64" s="228"/>
      <c r="JD64" s="228"/>
      <c r="JE64" s="139"/>
      <c r="JF64" s="139"/>
      <c r="JG64" s="139"/>
      <c r="JH64" s="202"/>
      <c r="JI64" s="202"/>
      <c r="JJ64" s="139"/>
      <c r="JK64" s="139"/>
      <c r="JL64" s="139"/>
      <c r="JM64" s="139"/>
      <c r="JN64" s="139"/>
      <c r="JO64" s="202"/>
      <c r="JP64" s="202"/>
      <c r="JQ64" s="139"/>
      <c r="JR64" s="139"/>
      <c r="JS64" s="139"/>
      <c r="JT64" s="139"/>
      <c r="JU64" s="139"/>
      <c r="JV64" s="202"/>
      <c r="JW64" s="202"/>
      <c r="JX64" s="139"/>
      <c r="JY64" s="139"/>
      <c r="JZ64" s="139"/>
      <c r="KA64" s="139"/>
      <c r="KB64" s="139"/>
      <c r="KC64" s="202"/>
      <c r="KD64" s="202"/>
      <c r="KE64" s="139"/>
      <c r="KF64" s="139"/>
      <c r="KG64" s="139"/>
      <c r="KH64" s="139"/>
      <c r="KI64" s="139"/>
      <c r="KJ64" s="192"/>
      <c r="KK64" s="192"/>
      <c r="KL64" s="139"/>
      <c r="KM64" s="139"/>
      <c r="KN64" s="139"/>
      <c r="KO64" s="139"/>
      <c r="KP64" s="228"/>
      <c r="KQ64" s="192"/>
      <c r="KR64" s="192"/>
      <c r="KS64" s="139"/>
      <c r="KT64" s="139"/>
      <c r="KU64" s="139"/>
      <c r="KV64" s="139"/>
      <c r="KW64" s="139"/>
      <c r="KX64" s="208"/>
      <c r="KY64" s="208"/>
      <c r="KZ64" s="192"/>
      <c r="LA64" s="192"/>
      <c r="LB64" s="192"/>
      <c r="LC64" s="192"/>
      <c r="LD64" s="192"/>
      <c r="LE64" s="208"/>
      <c r="LF64" s="208"/>
      <c r="LG64" s="228"/>
      <c r="LH64" s="228"/>
      <c r="LI64" s="228"/>
      <c r="LJ64" s="228"/>
      <c r="LK64" s="228"/>
      <c r="LL64" s="228"/>
      <c r="LM64" s="208"/>
      <c r="LN64" s="228"/>
      <c r="LO64" s="228"/>
      <c r="LP64" s="228"/>
      <c r="LQ64" s="228"/>
      <c r="LR64" s="228"/>
      <c r="LS64" s="208"/>
      <c r="LT64" s="208"/>
      <c r="LU64" s="228"/>
      <c r="LV64" s="139"/>
      <c r="LW64" s="139"/>
      <c r="LX64" s="139"/>
      <c r="LY64" s="139"/>
      <c r="LZ64" s="202"/>
      <c r="MA64" s="202"/>
      <c r="MB64" s="139"/>
      <c r="MC64" s="139"/>
      <c r="MD64" s="139"/>
      <c r="ME64" s="139"/>
      <c r="MF64" s="139"/>
      <c r="MG64" s="202"/>
      <c r="MH64" s="202"/>
      <c r="MI64" s="139"/>
      <c r="MJ64" s="139"/>
      <c r="MK64" s="139"/>
      <c r="ML64" s="139"/>
      <c r="MM64" s="139"/>
      <c r="MN64" s="202"/>
      <c r="MO64" s="202"/>
      <c r="MP64" s="139"/>
      <c r="MQ64" s="139"/>
      <c r="MR64" s="139"/>
      <c r="MS64" s="139"/>
      <c r="MT64" s="139"/>
      <c r="MU64" s="202"/>
      <c r="MV64" s="202"/>
      <c r="MW64" s="139"/>
      <c r="MX64" s="139"/>
      <c r="MY64" s="139"/>
      <c r="MZ64" s="139"/>
      <c r="NA64" s="139"/>
      <c r="NB64" s="139"/>
      <c r="NC64" s="139"/>
      <c r="ND64" s="139"/>
    </row>
    <row r="65" spans="1:368" s="151" customFormat="1" ht="15" hidden="1" customHeight="1" thickBot="1">
      <c r="A65" s="472"/>
      <c r="B65" s="474"/>
      <c r="C65" s="165" t="s">
        <v>93</v>
      </c>
      <c r="D65" s="272"/>
      <c r="E65" s="152"/>
      <c r="F65" s="152"/>
      <c r="G65" s="152"/>
      <c r="H65" s="273"/>
      <c r="I65" s="194"/>
      <c r="J65" s="194"/>
      <c r="K65" s="272"/>
      <c r="L65" s="152"/>
      <c r="M65" s="152"/>
      <c r="N65" s="152"/>
      <c r="O65" s="273"/>
      <c r="P65" s="194"/>
      <c r="Q65" s="194"/>
      <c r="R65" s="272"/>
      <c r="S65" s="152"/>
      <c r="T65" s="152"/>
      <c r="U65" s="152"/>
      <c r="V65" s="273"/>
      <c r="W65" s="194"/>
      <c r="X65" s="194"/>
      <c r="Y65" s="272"/>
      <c r="Z65" s="152"/>
      <c r="AA65" s="152"/>
      <c r="AB65" s="152"/>
      <c r="AC65" s="273"/>
      <c r="AD65" s="194"/>
      <c r="AE65" s="194"/>
      <c r="AF65" s="272"/>
      <c r="AG65" s="152"/>
      <c r="AH65" s="152"/>
      <c r="AI65" s="152"/>
      <c r="AJ65" s="273"/>
      <c r="AK65" s="194"/>
      <c r="AL65" s="194"/>
      <c r="AM65" s="272"/>
      <c r="AN65" s="152"/>
      <c r="AO65" s="152"/>
      <c r="AP65" s="152"/>
      <c r="AQ65" s="273"/>
      <c r="AR65" s="194"/>
      <c r="AS65" s="194"/>
      <c r="AT65" s="272"/>
      <c r="AU65" s="152"/>
      <c r="AV65" s="152"/>
      <c r="AW65" s="152"/>
      <c r="AX65" s="273"/>
      <c r="AY65" s="194"/>
      <c r="AZ65" s="194"/>
      <c r="BA65" s="272"/>
      <c r="BB65" s="152"/>
      <c r="BC65" s="152"/>
      <c r="BD65" s="152"/>
      <c r="BE65" s="273"/>
      <c r="BF65" s="194"/>
      <c r="BG65" s="194"/>
      <c r="BH65" s="272"/>
      <c r="BI65" s="152"/>
      <c r="BJ65" s="152"/>
      <c r="BK65" s="152"/>
      <c r="BL65" s="273"/>
      <c r="BM65" s="194"/>
      <c r="BN65" s="194"/>
      <c r="BO65" s="272"/>
      <c r="BP65" s="152"/>
      <c r="BQ65" s="152"/>
      <c r="BR65" s="152"/>
      <c r="BS65" s="273"/>
      <c r="BT65" s="194"/>
      <c r="BU65" s="194"/>
      <c r="BV65" s="272"/>
      <c r="BW65" s="152"/>
      <c r="BX65" s="152"/>
      <c r="BY65" s="152"/>
      <c r="BZ65" s="273"/>
      <c r="CA65" s="194"/>
      <c r="CB65" s="194"/>
      <c r="CC65" s="272"/>
      <c r="CD65" s="152"/>
      <c r="CE65" s="152"/>
      <c r="CF65" s="152"/>
      <c r="CG65" s="273"/>
      <c r="CH65" s="194"/>
      <c r="CI65" s="194"/>
      <c r="CJ65" s="272"/>
      <c r="CK65" s="152"/>
      <c r="CL65" s="152"/>
      <c r="CM65" s="152"/>
      <c r="CN65" s="273"/>
      <c r="CO65" s="194"/>
      <c r="CP65" s="194"/>
      <c r="CQ65" s="272"/>
      <c r="CR65" s="152"/>
      <c r="CS65" s="152"/>
      <c r="CT65" s="152"/>
      <c r="CU65" s="273"/>
      <c r="CV65" s="194"/>
      <c r="CW65" s="194"/>
      <c r="CX65" s="272"/>
      <c r="CY65" s="152"/>
      <c r="CZ65" s="152"/>
      <c r="DA65" s="152"/>
      <c r="DB65" s="273"/>
      <c r="DC65" s="194"/>
      <c r="DD65" s="194"/>
      <c r="DE65" s="272"/>
      <c r="DF65" s="152"/>
      <c r="DG65" s="152"/>
      <c r="DH65" s="152"/>
      <c r="DI65" s="273"/>
      <c r="DJ65" s="194"/>
      <c r="DK65" s="194"/>
      <c r="DL65" s="272"/>
      <c r="DM65" s="152"/>
      <c r="DN65" s="152"/>
      <c r="DO65" s="152"/>
      <c r="DP65" s="273"/>
      <c r="DQ65" s="194"/>
      <c r="DR65" s="194"/>
      <c r="DS65" s="272"/>
      <c r="DT65" s="152"/>
      <c r="DU65" s="152"/>
      <c r="DV65" s="152"/>
      <c r="DW65" s="273"/>
      <c r="DX65" s="194"/>
      <c r="DY65" s="194"/>
      <c r="DZ65" s="272"/>
      <c r="EA65" s="152"/>
      <c r="EB65" s="152"/>
      <c r="EC65" s="152"/>
      <c r="ED65" s="273"/>
      <c r="EE65" s="194"/>
      <c r="EF65" s="194"/>
      <c r="EG65" s="272"/>
      <c r="EH65" s="152"/>
      <c r="EI65" s="152"/>
      <c r="EJ65" s="152"/>
      <c r="EK65" s="273"/>
      <c r="EL65" s="194"/>
      <c r="EM65" s="194"/>
      <c r="EN65" s="272"/>
      <c r="EO65" s="152"/>
      <c r="EP65" s="152"/>
      <c r="EQ65" s="152"/>
      <c r="ER65" s="273"/>
      <c r="ES65" s="194"/>
      <c r="ET65" s="194"/>
      <c r="EU65" s="272"/>
      <c r="EV65" s="152"/>
      <c r="EW65" s="152"/>
      <c r="EX65" s="152"/>
      <c r="EY65" s="273"/>
      <c r="EZ65" s="194"/>
      <c r="FA65" s="194"/>
      <c r="FB65" s="272"/>
      <c r="FC65" s="152"/>
      <c r="FD65" s="152"/>
      <c r="FE65" s="152"/>
      <c r="FF65" s="273"/>
      <c r="FG65" s="194"/>
      <c r="FH65" s="194"/>
      <c r="FI65" s="272"/>
      <c r="FJ65" s="152"/>
      <c r="FK65" s="152"/>
      <c r="FL65" s="152"/>
      <c r="FM65" s="273"/>
      <c r="FN65" s="194"/>
      <c r="FO65" s="194"/>
      <c r="FP65" s="272"/>
      <c r="FQ65" s="152"/>
      <c r="FR65" s="152"/>
      <c r="FS65" s="152"/>
      <c r="FT65" s="273"/>
      <c r="FU65" s="194"/>
      <c r="FV65" s="194"/>
      <c r="FW65" s="272"/>
      <c r="FX65" s="152"/>
      <c r="FY65" s="152"/>
      <c r="FZ65" s="152"/>
      <c r="GA65" s="273"/>
      <c r="GB65" s="194"/>
      <c r="GC65" s="194"/>
      <c r="GD65" s="152"/>
      <c r="GE65" s="152"/>
      <c r="GF65" s="152"/>
      <c r="GG65" s="152"/>
      <c r="GH65" s="152"/>
      <c r="GI65" s="194"/>
      <c r="GJ65" s="194"/>
      <c r="GK65" s="152"/>
      <c r="GL65" s="152"/>
      <c r="GM65" s="152"/>
      <c r="GN65" s="152"/>
      <c r="GO65" s="152"/>
      <c r="GP65" s="210"/>
      <c r="GQ65" s="210"/>
      <c r="GR65" s="152"/>
      <c r="GS65" s="152"/>
      <c r="GT65" s="152"/>
      <c r="GU65" s="152"/>
      <c r="GV65" s="152"/>
      <c r="GW65" s="210"/>
      <c r="GX65" s="210"/>
      <c r="GY65" s="152"/>
      <c r="GZ65" s="152"/>
      <c r="HA65" s="152"/>
      <c r="HB65" s="152"/>
      <c r="HC65" s="152"/>
      <c r="HD65" s="210"/>
      <c r="HE65" s="210"/>
      <c r="HF65" s="152"/>
      <c r="HG65" s="152"/>
      <c r="HH65" s="152"/>
      <c r="HI65" s="152"/>
      <c r="HJ65" s="152"/>
      <c r="HK65" s="210"/>
      <c r="HL65" s="210"/>
      <c r="HM65" s="152"/>
      <c r="HN65" s="152"/>
      <c r="HO65" s="152"/>
      <c r="HP65" s="152"/>
      <c r="HQ65" s="152"/>
      <c r="HR65" s="152"/>
      <c r="HS65" s="152"/>
      <c r="HT65" s="152"/>
      <c r="HU65" s="152"/>
      <c r="HV65" s="152"/>
      <c r="HW65" s="152"/>
      <c r="HX65" s="152"/>
      <c r="HY65" s="203"/>
      <c r="HZ65" s="203"/>
      <c r="IA65" s="152"/>
      <c r="IB65" s="152"/>
      <c r="IC65" s="152"/>
      <c r="ID65" s="152"/>
      <c r="IE65" s="152"/>
      <c r="IF65" s="203"/>
      <c r="IG65" s="203"/>
      <c r="IH65" s="152"/>
      <c r="II65" s="152"/>
      <c r="IJ65" s="152"/>
      <c r="IK65" s="152"/>
      <c r="IL65" s="152"/>
      <c r="IM65" s="203"/>
      <c r="IN65" s="203"/>
      <c r="IO65" s="152"/>
      <c r="IP65" s="152"/>
      <c r="IQ65" s="227"/>
      <c r="IR65" s="227"/>
      <c r="IS65" s="227"/>
      <c r="IT65" s="203"/>
      <c r="IU65" s="203"/>
      <c r="IV65" s="152"/>
      <c r="IW65" s="152"/>
      <c r="IX65" s="152"/>
      <c r="IY65" s="152"/>
      <c r="IZ65" s="152"/>
      <c r="JA65" s="203"/>
      <c r="JB65" s="203"/>
      <c r="JC65" s="232"/>
      <c r="JD65" s="232"/>
      <c r="JE65" s="152"/>
      <c r="JF65" s="152"/>
      <c r="JG65" s="152"/>
      <c r="JH65" s="203"/>
      <c r="JI65" s="203"/>
      <c r="JJ65" s="152"/>
      <c r="JK65" s="152"/>
      <c r="JL65" s="152"/>
      <c r="JM65" s="152"/>
      <c r="JN65" s="152"/>
      <c r="JO65" s="203"/>
      <c r="JP65" s="203"/>
      <c r="JQ65" s="152"/>
      <c r="JR65" s="152"/>
      <c r="JS65" s="152"/>
      <c r="JT65" s="152"/>
      <c r="JU65" s="152"/>
      <c r="JV65" s="203"/>
      <c r="JW65" s="203"/>
      <c r="JX65" s="152"/>
      <c r="JY65" s="152"/>
      <c r="JZ65" s="152"/>
      <c r="KA65" s="152"/>
      <c r="KB65" s="152"/>
      <c r="KC65" s="203"/>
      <c r="KD65" s="203"/>
      <c r="KE65" s="152"/>
      <c r="KF65" s="152"/>
      <c r="KG65" s="152"/>
      <c r="KH65" s="152"/>
      <c r="KI65" s="152"/>
      <c r="KJ65" s="194"/>
      <c r="KK65" s="194"/>
      <c r="KL65" s="152"/>
      <c r="KM65" s="152"/>
      <c r="KN65" s="152"/>
      <c r="KO65" s="152"/>
      <c r="KP65" s="227"/>
      <c r="KQ65" s="194"/>
      <c r="KR65" s="194"/>
      <c r="KS65" s="152"/>
      <c r="KT65" s="152"/>
      <c r="KU65" s="152"/>
      <c r="KV65" s="152"/>
      <c r="KW65" s="152"/>
      <c r="KX65" s="210"/>
      <c r="KY65" s="210"/>
      <c r="KZ65" s="194"/>
      <c r="LA65" s="194"/>
      <c r="LB65" s="194"/>
      <c r="LC65" s="194"/>
      <c r="LD65" s="194"/>
      <c r="LE65" s="210"/>
      <c r="LF65" s="210"/>
      <c r="LG65" s="227"/>
      <c r="LH65" s="227"/>
      <c r="LI65" s="227"/>
      <c r="LJ65" s="227"/>
      <c r="LK65" s="227"/>
      <c r="LL65" s="227"/>
      <c r="LM65" s="210"/>
      <c r="LN65" s="232"/>
      <c r="LO65" s="232"/>
      <c r="LP65" s="232"/>
      <c r="LQ65" s="232"/>
      <c r="LR65" s="232"/>
      <c r="LS65" s="210"/>
      <c r="LT65" s="210"/>
      <c r="LU65" s="232"/>
      <c r="LV65" s="152"/>
      <c r="LW65" s="152"/>
      <c r="LX65" s="152"/>
      <c r="LY65" s="152"/>
      <c r="LZ65" s="203"/>
      <c r="MA65" s="203"/>
      <c r="MB65" s="152"/>
      <c r="MC65" s="152"/>
      <c r="MD65" s="152"/>
      <c r="ME65" s="152"/>
      <c r="MF65" s="152"/>
      <c r="MG65" s="203"/>
      <c r="MH65" s="203"/>
      <c r="MI65" s="152"/>
      <c r="MJ65" s="152"/>
      <c r="MK65" s="152"/>
      <c r="ML65" s="152"/>
      <c r="MM65" s="152"/>
      <c r="MN65" s="203"/>
      <c r="MO65" s="203"/>
      <c r="MP65" s="152"/>
      <c r="MQ65" s="152"/>
      <c r="MR65" s="152"/>
      <c r="MS65" s="152"/>
      <c r="MT65" s="152"/>
      <c r="MU65" s="203"/>
      <c r="MV65" s="203"/>
      <c r="MW65" s="152"/>
      <c r="MX65" s="152"/>
      <c r="MY65" s="152"/>
      <c r="MZ65" s="152"/>
      <c r="NA65" s="152"/>
      <c r="NB65" s="152"/>
      <c r="NC65" s="152"/>
      <c r="ND65" s="152"/>
    </row>
    <row r="66" spans="1:368" s="140" customFormat="1" ht="15" customHeight="1">
      <c r="A66" s="472"/>
      <c r="B66" s="473" t="s">
        <v>9</v>
      </c>
      <c r="C66" s="163" t="s">
        <v>10</v>
      </c>
      <c r="D66" s="268"/>
      <c r="E66" s="143"/>
      <c r="F66" s="143"/>
      <c r="G66" s="143"/>
      <c r="H66" s="269"/>
      <c r="I66" s="194"/>
      <c r="J66" s="194"/>
      <c r="K66" s="268"/>
      <c r="L66" s="143"/>
      <c r="M66" s="143"/>
      <c r="N66" s="143"/>
      <c r="O66" s="269"/>
      <c r="P66" s="194"/>
      <c r="Q66" s="194"/>
      <c r="R66" s="268"/>
      <c r="S66" s="143"/>
      <c r="T66" s="143"/>
      <c r="U66" s="143"/>
      <c r="V66" s="269"/>
      <c r="W66" s="194"/>
      <c r="X66" s="194"/>
      <c r="Y66" s="268"/>
      <c r="Z66" s="143"/>
      <c r="AA66" s="143"/>
      <c r="AB66" s="143"/>
      <c r="AC66" s="269"/>
      <c r="AD66" s="194"/>
      <c r="AE66" s="194"/>
      <c r="AF66" s="268"/>
      <c r="AG66" s="143"/>
      <c r="AH66" s="143"/>
      <c r="AI66" s="143"/>
      <c r="AJ66" s="269"/>
      <c r="AK66" s="194"/>
      <c r="AL66" s="194"/>
      <c r="AM66" s="268"/>
      <c r="AN66" s="143"/>
      <c r="AO66" s="143"/>
      <c r="AP66" s="143"/>
      <c r="AQ66" s="269"/>
      <c r="AR66" s="194"/>
      <c r="AS66" s="194"/>
      <c r="AT66" s="268"/>
      <c r="AU66" s="143"/>
      <c r="AV66" s="143"/>
      <c r="AW66" s="143"/>
      <c r="AX66" s="269"/>
      <c r="AY66" s="194"/>
      <c r="AZ66" s="194"/>
      <c r="BA66" s="268"/>
      <c r="BB66" s="143"/>
      <c r="BC66" s="143"/>
      <c r="BD66" s="143"/>
      <c r="BE66" s="269"/>
      <c r="BF66" s="194"/>
      <c r="BG66" s="194"/>
      <c r="BH66" s="268"/>
      <c r="BI66" s="143"/>
      <c r="BJ66" s="143"/>
      <c r="BK66" s="143"/>
      <c r="BL66" s="269"/>
      <c r="BM66" s="194"/>
      <c r="BN66" s="194"/>
      <c r="BO66" s="268"/>
      <c r="BP66" s="143"/>
      <c r="BQ66" s="143"/>
      <c r="BR66" s="143"/>
      <c r="BS66" s="269"/>
      <c r="BT66" s="194"/>
      <c r="BU66" s="194"/>
      <c r="BV66" s="268"/>
      <c r="BW66" s="143"/>
      <c r="BX66" s="143"/>
      <c r="BY66" s="143"/>
      <c r="BZ66" s="269"/>
      <c r="CA66" s="194"/>
      <c r="CB66" s="194"/>
      <c r="CC66" s="268"/>
      <c r="CD66" s="143"/>
      <c r="CE66" s="143"/>
      <c r="CF66" s="143"/>
      <c r="CG66" s="269"/>
      <c r="CH66" s="194"/>
      <c r="CI66" s="194"/>
      <c r="CJ66" s="268"/>
      <c r="CK66" s="143"/>
      <c r="CL66" s="143"/>
      <c r="CM66" s="143"/>
      <c r="CN66" s="269"/>
      <c r="CO66" s="194"/>
      <c r="CP66" s="194"/>
      <c r="CQ66" s="268"/>
      <c r="CR66" s="143"/>
      <c r="CS66" s="143"/>
      <c r="CT66" s="143"/>
      <c r="CU66" s="269"/>
      <c r="CV66" s="194"/>
      <c r="CW66" s="194"/>
      <c r="CX66" s="268"/>
      <c r="CY66" s="143"/>
      <c r="CZ66" s="143"/>
      <c r="DA66" s="143"/>
      <c r="DB66" s="269"/>
      <c r="DC66" s="194"/>
      <c r="DD66" s="194"/>
      <c r="DE66" s="268"/>
      <c r="DF66" s="143"/>
      <c r="DG66" s="143"/>
      <c r="DH66" s="143"/>
      <c r="DI66" s="269"/>
      <c r="DJ66" s="194"/>
      <c r="DK66" s="194"/>
      <c r="DL66" s="268"/>
      <c r="DM66" s="143"/>
      <c r="DN66" s="143"/>
      <c r="DO66" s="143"/>
      <c r="DP66" s="269"/>
      <c r="DQ66" s="194"/>
      <c r="DR66" s="194"/>
      <c r="DS66" s="268"/>
      <c r="DT66" s="143"/>
      <c r="DU66" s="143"/>
      <c r="DV66" s="143"/>
      <c r="DW66" s="269"/>
      <c r="DX66" s="194"/>
      <c r="DY66" s="194"/>
      <c r="DZ66" s="268"/>
      <c r="EA66" s="143"/>
      <c r="EB66" s="143"/>
      <c r="EC66" s="143"/>
      <c r="ED66" s="269"/>
      <c r="EE66" s="194"/>
      <c r="EF66" s="194"/>
      <c r="EG66" s="268"/>
      <c r="EH66" s="143"/>
      <c r="EI66" s="143"/>
      <c r="EJ66" s="143"/>
      <c r="EK66" s="269"/>
      <c r="EL66" s="194"/>
      <c r="EM66" s="194"/>
      <c r="EN66" s="268"/>
      <c r="EO66" s="143"/>
      <c r="EP66" s="143"/>
      <c r="EQ66" s="143"/>
      <c r="ER66" s="269"/>
      <c r="ES66" s="194"/>
      <c r="ET66" s="194"/>
      <c r="EU66" s="268"/>
      <c r="EV66" s="143"/>
      <c r="EW66" s="143"/>
      <c r="EX66" s="143"/>
      <c r="EY66" s="269"/>
      <c r="EZ66" s="194"/>
      <c r="FA66" s="194"/>
      <c r="FB66" s="268"/>
      <c r="FC66" s="143"/>
      <c r="FD66" s="143"/>
      <c r="FE66" s="143"/>
      <c r="FF66" s="269"/>
      <c r="FG66" s="194"/>
      <c r="FH66" s="194"/>
      <c r="FI66" s="268"/>
      <c r="FJ66" s="143"/>
      <c r="FK66" s="143"/>
      <c r="FL66" s="143"/>
      <c r="FM66" s="269"/>
      <c r="FN66" s="194"/>
      <c r="FO66" s="194"/>
      <c r="FP66" s="268"/>
      <c r="FQ66" s="143"/>
      <c r="FR66" s="143"/>
      <c r="FS66" s="143"/>
      <c r="FT66" s="269"/>
      <c r="FU66" s="194"/>
      <c r="FV66" s="194"/>
      <c r="FW66" s="268"/>
      <c r="FX66" s="143"/>
      <c r="FY66" s="143"/>
      <c r="FZ66" s="143"/>
      <c r="GA66" s="269"/>
      <c r="GB66" s="194"/>
      <c r="GC66" s="194"/>
      <c r="GD66" s="143"/>
      <c r="GE66" s="143"/>
      <c r="GF66" s="143"/>
      <c r="GG66" s="143"/>
      <c r="GH66" s="143"/>
      <c r="GI66" s="194"/>
      <c r="GJ66" s="194"/>
      <c r="GK66" s="143"/>
      <c r="GL66" s="143"/>
      <c r="GM66" s="143"/>
      <c r="GN66" s="143"/>
      <c r="GO66" s="143"/>
      <c r="GP66" s="210"/>
      <c r="GQ66" s="210"/>
      <c r="GR66" s="143"/>
      <c r="GS66" s="143"/>
      <c r="GT66" s="143"/>
      <c r="GU66" s="143"/>
      <c r="GV66" s="143"/>
      <c r="GW66" s="210"/>
      <c r="GX66" s="210"/>
      <c r="GY66" s="143"/>
      <c r="GZ66" s="143"/>
      <c r="HA66" s="143"/>
      <c r="HB66" s="143"/>
      <c r="HC66" s="143"/>
      <c r="HD66" s="210"/>
      <c r="HE66" s="210"/>
      <c r="HF66" s="143"/>
      <c r="HG66" s="143"/>
      <c r="HH66" s="143"/>
      <c r="HI66" s="143"/>
      <c r="HJ66" s="143"/>
      <c r="HK66" s="210"/>
      <c r="HL66" s="210"/>
      <c r="HM66" s="143"/>
      <c r="HN66" s="143"/>
      <c r="HO66" s="143"/>
      <c r="HP66" s="143"/>
      <c r="HQ66" s="143"/>
      <c r="HR66" s="143"/>
      <c r="HS66" s="143"/>
      <c r="HT66" s="143"/>
      <c r="HU66" s="143"/>
      <c r="HV66" s="143"/>
      <c r="HW66" s="143"/>
      <c r="HX66" s="143"/>
      <c r="HY66" s="203"/>
      <c r="HZ66" s="203"/>
      <c r="IA66" s="143"/>
      <c r="IB66" s="143"/>
      <c r="IC66" s="143"/>
      <c r="ID66" s="143"/>
      <c r="IE66" s="143"/>
      <c r="IF66" s="203"/>
      <c r="IG66" s="203"/>
      <c r="IH66" s="143"/>
      <c r="II66" s="143"/>
      <c r="IJ66" s="143"/>
      <c r="IK66" s="143"/>
      <c r="IL66" s="143"/>
      <c r="IM66" s="203"/>
      <c r="IN66" s="203"/>
      <c r="IO66" s="143"/>
      <c r="IP66" s="143"/>
      <c r="IQ66" s="227"/>
      <c r="IR66" s="227"/>
      <c r="IS66" s="227"/>
      <c r="IT66" s="203"/>
      <c r="IU66" s="203"/>
      <c r="IV66" s="143"/>
      <c r="IW66" s="143"/>
      <c r="IX66" s="143"/>
      <c r="IY66" s="143"/>
      <c r="IZ66" s="143"/>
      <c r="JA66" s="203"/>
      <c r="JB66" s="203"/>
      <c r="JC66" s="227"/>
      <c r="JD66" s="227"/>
      <c r="JE66" s="143"/>
      <c r="JF66" s="143"/>
      <c r="JG66" s="143"/>
      <c r="JH66" s="203"/>
      <c r="JI66" s="203"/>
      <c r="JJ66" s="143"/>
      <c r="JK66" s="143"/>
      <c r="JL66" s="143"/>
      <c r="JM66" s="143"/>
      <c r="JN66" s="143"/>
      <c r="JO66" s="203"/>
      <c r="JP66" s="203"/>
      <c r="JQ66" s="143"/>
      <c r="JR66" s="143"/>
      <c r="JS66" s="143"/>
      <c r="JT66" s="143"/>
      <c r="JU66" s="143"/>
      <c r="JV66" s="203"/>
      <c r="JW66" s="203"/>
      <c r="JX66" s="143"/>
      <c r="JY66" s="143"/>
      <c r="JZ66" s="143"/>
      <c r="KA66" s="143"/>
      <c r="KB66" s="143"/>
      <c r="KC66" s="203"/>
      <c r="KD66" s="203"/>
      <c r="KE66" s="143"/>
      <c r="KF66" s="143"/>
      <c r="KG66" s="143"/>
      <c r="KH66" s="143"/>
      <c r="KI66" s="143"/>
      <c r="KJ66" s="194"/>
      <c r="KK66" s="194"/>
      <c r="KL66" s="143"/>
      <c r="KM66" s="143"/>
      <c r="KN66" s="143"/>
      <c r="KO66" s="143"/>
      <c r="KP66" s="227"/>
      <c r="KQ66" s="194"/>
      <c r="KR66" s="194"/>
      <c r="KS66" s="143"/>
      <c r="KT66" s="143"/>
      <c r="KU66" s="143"/>
      <c r="KV66" s="143"/>
      <c r="KW66" s="143"/>
      <c r="KX66" s="210"/>
      <c r="KY66" s="210"/>
      <c r="KZ66" s="194"/>
      <c r="LA66" s="194"/>
      <c r="LB66" s="194"/>
      <c r="LC66" s="194"/>
      <c r="LD66" s="194"/>
      <c r="LE66" s="210"/>
      <c r="LF66" s="210"/>
      <c r="LG66" s="227"/>
      <c r="LH66" s="227"/>
      <c r="LI66" s="227"/>
      <c r="LJ66" s="227"/>
      <c r="LK66" s="227"/>
      <c r="LL66" s="227"/>
      <c r="LM66" s="210"/>
      <c r="LN66" s="227"/>
      <c r="LO66" s="227"/>
      <c r="LP66" s="227"/>
      <c r="LQ66" s="227"/>
      <c r="LR66" s="227"/>
      <c r="LS66" s="210"/>
      <c r="LT66" s="210"/>
      <c r="LU66" s="227"/>
      <c r="LV66" s="143"/>
      <c r="LW66" s="143"/>
      <c r="LX66" s="143"/>
      <c r="LY66" s="143"/>
      <c r="LZ66" s="203"/>
      <c r="MA66" s="203"/>
      <c r="MB66" s="143"/>
      <c r="MC66" s="143"/>
      <c r="MD66" s="143"/>
      <c r="ME66" s="143"/>
      <c r="MF66" s="143"/>
      <c r="MG66" s="203"/>
      <c r="MH66" s="203"/>
      <c r="MI66" s="143"/>
      <c r="MJ66" s="143"/>
      <c r="MK66" s="143"/>
      <c r="ML66" s="143"/>
      <c r="MM66" s="143"/>
      <c r="MN66" s="203"/>
      <c r="MO66" s="203"/>
      <c r="MP66" s="143"/>
      <c r="MQ66" s="143"/>
      <c r="MR66" s="143"/>
      <c r="MS66" s="143"/>
      <c r="MT66" s="143"/>
      <c r="MU66" s="203"/>
      <c r="MV66" s="203"/>
      <c r="MW66" s="143"/>
      <c r="MX66" s="143"/>
      <c r="MY66" s="143"/>
      <c r="MZ66" s="143"/>
      <c r="NA66" s="143"/>
      <c r="NB66" s="143"/>
      <c r="NC66" s="143"/>
      <c r="ND66" s="143"/>
    </row>
    <row r="67" spans="1:368" s="140" customFormat="1" ht="15" customHeight="1">
      <c r="A67" s="472"/>
      <c r="B67" s="461"/>
      <c r="C67" s="164" t="s">
        <v>11</v>
      </c>
      <c r="D67" s="268"/>
      <c r="E67" s="143"/>
      <c r="F67" s="143"/>
      <c r="G67" s="143"/>
      <c r="H67" s="269"/>
      <c r="I67" s="194"/>
      <c r="J67" s="194"/>
      <c r="K67" s="268"/>
      <c r="L67" s="143"/>
      <c r="M67" s="143"/>
      <c r="N67" s="143"/>
      <c r="O67" s="269"/>
      <c r="P67" s="194"/>
      <c r="Q67" s="194"/>
      <c r="R67" s="268"/>
      <c r="S67" s="143"/>
      <c r="T67" s="143"/>
      <c r="U67" s="143"/>
      <c r="V67" s="269"/>
      <c r="W67" s="194"/>
      <c r="X67" s="194"/>
      <c r="Y67" s="268"/>
      <c r="Z67" s="143"/>
      <c r="AA67" s="143"/>
      <c r="AB67" s="143"/>
      <c r="AC67" s="269"/>
      <c r="AD67" s="194"/>
      <c r="AE67" s="194"/>
      <c r="AF67" s="268"/>
      <c r="AG67" s="143"/>
      <c r="AH67" s="143"/>
      <c r="AI67" s="143"/>
      <c r="AJ67" s="269"/>
      <c r="AK67" s="194"/>
      <c r="AL67" s="194"/>
      <c r="AM67" s="268"/>
      <c r="AN67" s="143"/>
      <c r="AO67" s="143"/>
      <c r="AP67" s="143"/>
      <c r="AQ67" s="269"/>
      <c r="AR67" s="194"/>
      <c r="AS67" s="194"/>
      <c r="AT67" s="268"/>
      <c r="AU67" s="143"/>
      <c r="AV67" s="143"/>
      <c r="AW67" s="143"/>
      <c r="AX67" s="269"/>
      <c r="AY67" s="194"/>
      <c r="AZ67" s="194"/>
      <c r="BA67" s="268"/>
      <c r="BB67" s="143"/>
      <c r="BC67" s="143"/>
      <c r="BD67" s="143"/>
      <c r="BE67" s="269"/>
      <c r="BF67" s="194"/>
      <c r="BG67" s="194"/>
      <c r="BH67" s="268"/>
      <c r="BI67" s="143"/>
      <c r="BJ67" s="143"/>
      <c r="BK67" s="143"/>
      <c r="BL67" s="269"/>
      <c r="BM67" s="194"/>
      <c r="BN67" s="194"/>
      <c r="BO67" s="268"/>
      <c r="BP67" s="143"/>
      <c r="BQ67" s="143"/>
      <c r="BR67" s="143"/>
      <c r="BS67" s="269"/>
      <c r="BT67" s="194"/>
      <c r="BU67" s="194"/>
      <c r="BV67" s="268"/>
      <c r="BW67" s="143"/>
      <c r="BX67" s="143"/>
      <c r="BY67" s="143"/>
      <c r="BZ67" s="269"/>
      <c r="CA67" s="194"/>
      <c r="CB67" s="194"/>
      <c r="CC67" s="268"/>
      <c r="CD67" s="143"/>
      <c r="CE67" s="143"/>
      <c r="CF67" s="143"/>
      <c r="CG67" s="269"/>
      <c r="CH67" s="194"/>
      <c r="CI67" s="194"/>
      <c r="CJ67" s="268"/>
      <c r="CK67" s="143"/>
      <c r="CL67" s="143"/>
      <c r="CM67" s="143"/>
      <c r="CN67" s="269"/>
      <c r="CO67" s="194"/>
      <c r="CP67" s="194"/>
      <c r="CQ67" s="268"/>
      <c r="CR67" s="143"/>
      <c r="CS67" s="143"/>
      <c r="CT67" s="143"/>
      <c r="CU67" s="269"/>
      <c r="CV67" s="194"/>
      <c r="CW67" s="194"/>
      <c r="CX67" s="268"/>
      <c r="CY67" s="143"/>
      <c r="CZ67" s="143"/>
      <c r="DA67" s="143"/>
      <c r="DB67" s="269"/>
      <c r="DC67" s="194"/>
      <c r="DD67" s="194"/>
      <c r="DE67" s="268"/>
      <c r="DF67" s="143"/>
      <c r="DG67" s="143"/>
      <c r="DH67" s="143"/>
      <c r="DI67" s="269"/>
      <c r="DJ67" s="194"/>
      <c r="DK67" s="194"/>
      <c r="DL67" s="268"/>
      <c r="DM67" s="143"/>
      <c r="DN67" s="143"/>
      <c r="DO67" s="143"/>
      <c r="DP67" s="269"/>
      <c r="DQ67" s="194"/>
      <c r="DR67" s="194"/>
      <c r="DS67" s="268"/>
      <c r="DT67" s="143"/>
      <c r="DU67" s="143"/>
      <c r="DV67" s="143"/>
      <c r="DW67" s="269"/>
      <c r="DX67" s="194"/>
      <c r="DY67" s="194"/>
      <c r="DZ67" s="268"/>
      <c r="EA67" s="143"/>
      <c r="EB67" s="143"/>
      <c r="EC67" s="143"/>
      <c r="ED67" s="269"/>
      <c r="EE67" s="194"/>
      <c r="EF67" s="194"/>
      <c r="EG67" s="268"/>
      <c r="EH67" s="143"/>
      <c r="EI67" s="143"/>
      <c r="EJ67" s="143"/>
      <c r="EK67" s="269"/>
      <c r="EL67" s="194"/>
      <c r="EM67" s="194"/>
      <c r="EN67" s="268"/>
      <c r="EO67" s="143"/>
      <c r="EP67" s="143"/>
      <c r="EQ67" s="143"/>
      <c r="ER67" s="269"/>
      <c r="ES67" s="194"/>
      <c r="ET67" s="194"/>
      <c r="EU67" s="268"/>
      <c r="EV67" s="143"/>
      <c r="EW67" s="143"/>
      <c r="EX67" s="143"/>
      <c r="EY67" s="269"/>
      <c r="EZ67" s="194"/>
      <c r="FA67" s="194"/>
      <c r="FB67" s="268"/>
      <c r="FC67" s="143"/>
      <c r="FD67" s="143"/>
      <c r="FE67" s="143"/>
      <c r="FF67" s="269"/>
      <c r="FG67" s="194"/>
      <c r="FH67" s="194"/>
      <c r="FI67" s="268"/>
      <c r="FJ67" s="143"/>
      <c r="FK67" s="143"/>
      <c r="FL67" s="143"/>
      <c r="FM67" s="269"/>
      <c r="FN67" s="194"/>
      <c r="FO67" s="194"/>
      <c r="FP67" s="268"/>
      <c r="FQ67" s="143"/>
      <c r="FR67" s="143"/>
      <c r="FS67" s="143"/>
      <c r="FT67" s="269"/>
      <c r="FU67" s="194"/>
      <c r="FV67" s="194"/>
      <c r="FW67" s="268"/>
      <c r="FX67" s="143"/>
      <c r="FY67" s="143"/>
      <c r="FZ67" s="143"/>
      <c r="GA67" s="269"/>
      <c r="GB67" s="194"/>
      <c r="GC67" s="194"/>
      <c r="GD67" s="143"/>
      <c r="GE67" s="143"/>
      <c r="GF67" s="143"/>
      <c r="GG67" s="143"/>
      <c r="GH67" s="143"/>
      <c r="GI67" s="194"/>
      <c r="GJ67" s="194"/>
      <c r="GK67" s="143"/>
      <c r="GL67" s="143"/>
      <c r="GM67" s="143"/>
      <c r="GN67" s="143"/>
      <c r="GO67" s="143"/>
      <c r="GP67" s="210"/>
      <c r="GQ67" s="210"/>
      <c r="GR67" s="143"/>
      <c r="GS67" s="143"/>
      <c r="GT67" s="143"/>
      <c r="GU67" s="143"/>
      <c r="GV67" s="143"/>
      <c r="GW67" s="210"/>
      <c r="GX67" s="210"/>
      <c r="GY67" s="143"/>
      <c r="GZ67" s="143"/>
      <c r="HA67" s="143"/>
      <c r="HB67" s="143"/>
      <c r="HC67" s="143"/>
      <c r="HD67" s="210"/>
      <c r="HE67" s="210"/>
      <c r="HF67" s="143"/>
      <c r="HG67" s="143"/>
      <c r="HH67" s="143"/>
      <c r="HI67" s="143"/>
      <c r="HJ67" s="143"/>
      <c r="HK67" s="210"/>
      <c r="HL67" s="210"/>
      <c r="HM67" s="143"/>
      <c r="HN67" s="143"/>
      <c r="HO67" s="143"/>
      <c r="HP67" s="143"/>
      <c r="HQ67" s="143"/>
      <c r="HR67" s="143"/>
      <c r="HS67" s="143"/>
      <c r="HT67" s="143"/>
      <c r="HU67" s="143"/>
      <c r="HV67" s="143"/>
      <c r="HW67" s="143"/>
      <c r="HX67" s="143"/>
      <c r="HY67" s="203"/>
      <c r="HZ67" s="203"/>
      <c r="IA67" s="143"/>
      <c r="IB67" s="143"/>
      <c r="IC67" s="143"/>
      <c r="ID67" s="143"/>
      <c r="IE67" s="143"/>
      <c r="IF67" s="203"/>
      <c r="IG67" s="203"/>
      <c r="IH67" s="143"/>
      <c r="II67" s="143"/>
      <c r="IJ67" s="143"/>
      <c r="IK67" s="143"/>
      <c r="IL67" s="143"/>
      <c r="IM67" s="203"/>
      <c r="IN67" s="203"/>
      <c r="IO67" s="143"/>
      <c r="IP67" s="143"/>
      <c r="IQ67" s="227"/>
      <c r="IR67" s="227"/>
      <c r="IS67" s="227"/>
      <c r="IT67" s="203"/>
      <c r="IU67" s="203"/>
      <c r="IV67" s="143"/>
      <c r="IW67" s="143"/>
      <c r="IX67" s="143"/>
      <c r="IY67" s="143"/>
      <c r="IZ67" s="143"/>
      <c r="JA67" s="203"/>
      <c r="JB67" s="203"/>
      <c r="JC67" s="227"/>
      <c r="JD67" s="227"/>
      <c r="JE67" s="143"/>
      <c r="JF67" s="143"/>
      <c r="JG67" s="143"/>
      <c r="JH67" s="203"/>
      <c r="JI67" s="203"/>
      <c r="JJ67" s="143"/>
      <c r="JK67" s="143"/>
      <c r="JL67" s="143"/>
      <c r="JM67" s="143"/>
      <c r="JN67" s="143"/>
      <c r="JO67" s="203"/>
      <c r="JP67" s="203"/>
      <c r="JQ67" s="143"/>
      <c r="JR67" s="143"/>
      <c r="JS67" s="143"/>
      <c r="JT67" s="143"/>
      <c r="JU67" s="143"/>
      <c r="JV67" s="203"/>
      <c r="JW67" s="203"/>
      <c r="JX67" s="143"/>
      <c r="JY67" s="143"/>
      <c r="JZ67" s="143"/>
      <c r="KA67" s="143"/>
      <c r="KB67" s="143"/>
      <c r="KC67" s="203"/>
      <c r="KD67" s="203"/>
      <c r="KE67" s="143"/>
      <c r="KF67" s="143"/>
      <c r="KG67" s="143"/>
      <c r="KH67" s="143"/>
      <c r="KI67" s="143"/>
      <c r="KJ67" s="194"/>
      <c r="KK67" s="194"/>
      <c r="KL67" s="143"/>
      <c r="KM67" s="143"/>
      <c r="KN67" s="143"/>
      <c r="KO67" s="143"/>
      <c r="KP67" s="227"/>
      <c r="KQ67" s="194"/>
      <c r="KR67" s="194"/>
      <c r="KS67" s="143"/>
      <c r="KT67" s="143"/>
      <c r="KU67" s="143"/>
      <c r="KV67" s="143"/>
      <c r="KW67" s="143"/>
      <c r="KX67" s="210"/>
      <c r="KY67" s="210"/>
      <c r="KZ67" s="194"/>
      <c r="LA67" s="194"/>
      <c r="LB67" s="194"/>
      <c r="LC67" s="194"/>
      <c r="LD67" s="194"/>
      <c r="LE67" s="210"/>
      <c r="LF67" s="210"/>
      <c r="LG67" s="227"/>
      <c r="LH67" s="227"/>
      <c r="LI67" s="227"/>
      <c r="LJ67" s="227"/>
      <c r="LK67" s="227"/>
      <c r="LL67" s="227"/>
      <c r="LM67" s="210"/>
      <c r="LN67" s="227"/>
      <c r="LO67" s="227"/>
      <c r="LP67" s="227"/>
      <c r="LQ67" s="227"/>
      <c r="LR67" s="227"/>
      <c r="LS67" s="210"/>
      <c r="LT67" s="210"/>
      <c r="LU67" s="227"/>
      <c r="LV67" s="143"/>
      <c r="LW67" s="143"/>
      <c r="LX67" s="143"/>
      <c r="LY67" s="143"/>
      <c r="LZ67" s="203"/>
      <c r="MA67" s="203"/>
      <c r="MB67" s="143"/>
      <c r="MC67" s="143"/>
      <c r="MD67" s="143"/>
      <c r="ME67" s="143"/>
      <c r="MF67" s="143"/>
      <c r="MG67" s="203"/>
      <c r="MH67" s="203"/>
      <c r="MI67" s="143"/>
      <c r="MJ67" s="143"/>
      <c r="MK67" s="143"/>
      <c r="ML67" s="143"/>
      <c r="MM67" s="143"/>
      <c r="MN67" s="203"/>
      <c r="MO67" s="203"/>
      <c r="MP67" s="143"/>
      <c r="MQ67" s="143"/>
      <c r="MR67" s="143"/>
      <c r="MS67" s="143"/>
      <c r="MT67" s="143"/>
      <c r="MU67" s="203"/>
      <c r="MV67" s="203"/>
      <c r="MW67" s="143"/>
      <c r="MX67" s="143"/>
      <c r="MY67" s="143"/>
      <c r="MZ67" s="143"/>
      <c r="NA67" s="143"/>
      <c r="NB67" s="143"/>
      <c r="NC67" s="143"/>
      <c r="ND67" s="143"/>
    </row>
    <row r="68" spans="1:368" s="140" customFormat="1" ht="15" customHeight="1">
      <c r="A68" s="472"/>
      <c r="B68" s="461"/>
      <c r="C68" s="164" t="s">
        <v>12</v>
      </c>
      <c r="D68" s="268"/>
      <c r="E68" s="143"/>
      <c r="F68" s="143"/>
      <c r="G68" s="143"/>
      <c r="H68" s="269"/>
      <c r="I68" s="194"/>
      <c r="J68" s="194"/>
      <c r="K68" s="268"/>
      <c r="L68" s="143"/>
      <c r="M68" s="143"/>
      <c r="N68" s="143"/>
      <c r="O68" s="269"/>
      <c r="P68" s="194"/>
      <c r="Q68" s="194"/>
      <c r="R68" s="268"/>
      <c r="S68" s="143"/>
      <c r="T68" s="143"/>
      <c r="U68" s="143"/>
      <c r="V68" s="269"/>
      <c r="W68" s="194"/>
      <c r="X68" s="194"/>
      <c r="Y68" s="268"/>
      <c r="Z68" s="143"/>
      <c r="AA68" s="143"/>
      <c r="AB68" s="143"/>
      <c r="AC68" s="269"/>
      <c r="AD68" s="194"/>
      <c r="AE68" s="194"/>
      <c r="AF68" s="268"/>
      <c r="AG68" s="143"/>
      <c r="AH68" s="143"/>
      <c r="AI68" s="143"/>
      <c r="AJ68" s="269"/>
      <c r="AK68" s="194"/>
      <c r="AL68" s="194"/>
      <c r="AM68" s="268"/>
      <c r="AN68" s="143"/>
      <c r="AO68" s="143"/>
      <c r="AP68" s="143"/>
      <c r="AQ68" s="269"/>
      <c r="AR68" s="194"/>
      <c r="AS68" s="194"/>
      <c r="AT68" s="268"/>
      <c r="AU68" s="143"/>
      <c r="AV68" s="143"/>
      <c r="AW68" s="143"/>
      <c r="AX68" s="269"/>
      <c r="AY68" s="194"/>
      <c r="AZ68" s="194"/>
      <c r="BA68" s="268"/>
      <c r="BB68" s="143"/>
      <c r="BC68" s="143"/>
      <c r="BD68" s="143"/>
      <c r="BE68" s="269"/>
      <c r="BF68" s="194"/>
      <c r="BG68" s="194"/>
      <c r="BH68" s="268"/>
      <c r="BI68" s="143"/>
      <c r="BJ68" s="143"/>
      <c r="BK68" s="143"/>
      <c r="BL68" s="269"/>
      <c r="BM68" s="194"/>
      <c r="BN68" s="194"/>
      <c r="BO68" s="268"/>
      <c r="BP68" s="143"/>
      <c r="BQ68" s="143"/>
      <c r="BR68" s="143"/>
      <c r="BS68" s="269"/>
      <c r="BT68" s="194"/>
      <c r="BU68" s="194"/>
      <c r="BV68" s="268"/>
      <c r="BW68" s="143"/>
      <c r="BX68" s="143"/>
      <c r="BY68" s="143"/>
      <c r="BZ68" s="269"/>
      <c r="CA68" s="194"/>
      <c r="CB68" s="194"/>
      <c r="CC68" s="268"/>
      <c r="CD68" s="143"/>
      <c r="CE68" s="143"/>
      <c r="CF68" s="143"/>
      <c r="CG68" s="269"/>
      <c r="CH68" s="194"/>
      <c r="CI68" s="194"/>
      <c r="CJ68" s="268"/>
      <c r="CK68" s="143"/>
      <c r="CL68" s="143"/>
      <c r="CM68" s="143"/>
      <c r="CN68" s="269"/>
      <c r="CO68" s="194"/>
      <c r="CP68" s="194"/>
      <c r="CQ68" s="268"/>
      <c r="CR68" s="143"/>
      <c r="CS68" s="143"/>
      <c r="CT68" s="143"/>
      <c r="CU68" s="269"/>
      <c r="CV68" s="194"/>
      <c r="CW68" s="194"/>
      <c r="CX68" s="268"/>
      <c r="CY68" s="143"/>
      <c r="CZ68" s="143"/>
      <c r="DA68" s="143"/>
      <c r="DB68" s="269"/>
      <c r="DC68" s="194"/>
      <c r="DD68" s="194"/>
      <c r="DE68" s="268"/>
      <c r="DF68" s="143"/>
      <c r="DG68" s="143"/>
      <c r="DH68" s="143"/>
      <c r="DI68" s="269"/>
      <c r="DJ68" s="194"/>
      <c r="DK68" s="194"/>
      <c r="DL68" s="268"/>
      <c r="DM68" s="143"/>
      <c r="DN68" s="143"/>
      <c r="DO68" s="143"/>
      <c r="DP68" s="269"/>
      <c r="DQ68" s="194"/>
      <c r="DR68" s="194"/>
      <c r="DS68" s="268"/>
      <c r="DT68" s="143"/>
      <c r="DU68" s="143"/>
      <c r="DV68" s="143"/>
      <c r="DW68" s="269"/>
      <c r="DX68" s="194"/>
      <c r="DY68" s="194"/>
      <c r="DZ68" s="268"/>
      <c r="EA68" s="143"/>
      <c r="EB68" s="143"/>
      <c r="EC68" s="143"/>
      <c r="ED68" s="269"/>
      <c r="EE68" s="194"/>
      <c r="EF68" s="194"/>
      <c r="EG68" s="268"/>
      <c r="EH68" s="143"/>
      <c r="EI68" s="143"/>
      <c r="EJ68" s="143"/>
      <c r="EK68" s="269"/>
      <c r="EL68" s="194"/>
      <c r="EM68" s="194"/>
      <c r="EN68" s="268"/>
      <c r="EO68" s="143"/>
      <c r="EP68" s="143"/>
      <c r="EQ68" s="143"/>
      <c r="ER68" s="269"/>
      <c r="ES68" s="194"/>
      <c r="ET68" s="194"/>
      <c r="EU68" s="268"/>
      <c r="EV68" s="143"/>
      <c r="EW68" s="143"/>
      <c r="EX68" s="143"/>
      <c r="EY68" s="269"/>
      <c r="EZ68" s="194"/>
      <c r="FA68" s="194"/>
      <c r="FB68" s="268"/>
      <c r="FC68" s="143"/>
      <c r="FD68" s="143"/>
      <c r="FE68" s="143"/>
      <c r="FF68" s="269"/>
      <c r="FG68" s="194"/>
      <c r="FH68" s="194"/>
      <c r="FI68" s="268"/>
      <c r="FJ68" s="143"/>
      <c r="FK68" s="143"/>
      <c r="FL68" s="143"/>
      <c r="FM68" s="269"/>
      <c r="FN68" s="194"/>
      <c r="FO68" s="194"/>
      <c r="FP68" s="268"/>
      <c r="FQ68" s="143"/>
      <c r="FR68" s="143"/>
      <c r="FS68" s="143"/>
      <c r="FT68" s="269"/>
      <c r="FU68" s="194"/>
      <c r="FV68" s="194"/>
      <c r="FW68" s="268"/>
      <c r="FX68" s="143"/>
      <c r="FY68" s="143"/>
      <c r="FZ68" s="143"/>
      <c r="GA68" s="269"/>
      <c r="GB68" s="194"/>
      <c r="GC68" s="194"/>
      <c r="GD68" s="143"/>
      <c r="GE68" s="143"/>
      <c r="GF68" s="143"/>
      <c r="GG68" s="143"/>
      <c r="GH68" s="143"/>
      <c r="GI68" s="194"/>
      <c r="GJ68" s="194"/>
      <c r="GK68" s="143"/>
      <c r="GL68" s="143"/>
      <c r="GM68" s="143"/>
      <c r="GN68" s="143"/>
      <c r="GO68" s="143"/>
      <c r="GP68" s="210"/>
      <c r="GQ68" s="210"/>
      <c r="GR68" s="143"/>
      <c r="GS68" s="143"/>
      <c r="GT68" s="143"/>
      <c r="GU68" s="143"/>
      <c r="GV68" s="143"/>
      <c r="GW68" s="210"/>
      <c r="GX68" s="210"/>
      <c r="GY68" s="143"/>
      <c r="GZ68" s="143"/>
      <c r="HA68" s="143"/>
      <c r="HB68" s="143"/>
      <c r="HC68" s="143"/>
      <c r="HD68" s="210"/>
      <c r="HE68" s="210"/>
      <c r="HF68" s="143"/>
      <c r="HG68" s="143"/>
      <c r="HH68" s="143"/>
      <c r="HI68" s="143"/>
      <c r="HJ68" s="143"/>
      <c r="HK68" s="210"/>
      <c r="HL68" s="210"/>
      <c r="HM68" s="143"/>
      <c r="HN68" s="143"/>
      <c r="HO68" s="143"/>
      <c r="HP68" s="143"/>
      <c r="HQ68" s="143"/>
      <c r="HR68" s="143"/>
      <c r="HS68" s="143"/>
      <c r="HT68" s="143"/>
      <c r="HU68" s="143"/>
      <c r="HV68" s="143"/>
      <c r="HW68" s="143"/>
      <c r="HX68" s="143"/>
      <c r="HY68" s="203"/>
      <c r="HZ68" s="203"/>
      <c r="IA68" s="143"/>
      <c r="IB68" s="143"/>
      <c r="IC68" s="143"/>
      <c r="ID68" s="143"/>
      <c r="IE68" s="143"/>
      <c r="IF68" s="203"/>
      <c r="IG68" s="203"/>
      <c r="IH68" s="143"/>
      <c r="II68" s="143"/>
      <c r="IJ68" s="143"/>
      <c r="IK68" s="143"/>
      <c r="IL68" s="143"/>
      <c r="IM68" s="203"/>
      <c r="IN68" s="203"/>
      <c r="IO68" s="143"/>
      <c r="IP68" s="143"/>
      <c r="IQ68" s="227"/>
      <c r="IR68" s="227"/>
      <c r="IS68" s="227"/>
      <c r="IT68" s="203"/>
      <c r="IU68" s="203"/>
      <c r="IV68" s="143"/>
      <c r="IW68" s="143"/>
      <c r="IX68" s="143"/>
      <c r="IY68" s="143"/>
      <c r="IZ68" s="143"/>
      <c r="JA68" s="203"/>
      <c r="JB68" s="203"/>
      <c r="JC68" s="227"/>
      <c r="JD68" s="227"/>
      <c r="JE68" s="143"/>
      <c r="JF68" s="143"/>
      <c r="JG68" s="143"/>
      <c r="JH68" s="203"/>
      <c r="JI68" s="203"/>
      <c r="JJ68" s="143"/>
      <c r="JK68" s="143"/>
      <c r="JL68" s="143"/>
      <c r="JM68" s="143"/>
      <c r="JN68" s="143"/>
      <c r="JO68" s="203"/>
      <c r="JP68" s="203"/>
      <c r="JQ68" s="143"/>
      <c r="JR68" s="143"/>
      <c r="JS68" s="143"/>
      <c r="JT68" s="143"/>
      <c r="JU68" s="143"/>
      <c r="JV68" s="203"/>
      <c r="JW68" s="203"/>
      <c r="JX68" s="143"/>
      <c r="JY68" s="143"/>
      <c r="JZ68" s="143"/>
      <c r="KA68" s="143"/>
      <c r="KB68" s="143"/>
      <c r="KC68" s="203"/>
      <c r="KD68" s="203"/>
      <c r="KE68" s="143"/>
      <c r="KF68" s="143"/>
      <c r="KG68" s="143"/>
      <c r="KH68" s="143"/>
      <c r="KI68" s="143"/>
      <c r="KJ68" s="194"/>
      <c r="KK68" s="194"/>
      <c r="KL68" s="143"/>
      <c r="KM68" s="143"/>
      <c r="KN68" s="143"/>
      <c r="KO68" s="143"/>
      <c r="KP68" s="227"/>
      <c r="KQ68" s="194"/>
      <c r="KR68" s="194"/>
      <c r="KS68" s="143"/>
      <c r="KT68" s="143"/>
      <c r="KU68" s="143"/>
      <c r="KV68" s="143"/>
      <c r="KW68" s="143"/>
      <c r="KX68" s="210"/>
      <c r="KY68" s="210"/>
      <c r="KZ68" s="194"/>
      <c r="LA68" s="194"/>
      <c r="LB68" s="194"/>
      <c r="LC68" s="194"/>
      <c r="LD68" s="194"/>
      <c r="LE68" s="210"/>
      <c r="LF68" s="210"/>
      <c r="LG68" s="227"/>
      <c r="LH68" s="227"/>
      <c r="LI68" s="227"/>
      <c r="LJ68" s="227"/>
      <c r="LK68" s="227"/>
      <c r="LL68" s="227"/>
      <c r="LM68" s="210"/>
      <c r="LN68" s="227"/>
      <c r="LO68" s="227"/>
      <c r="LP68" s="227"/>
      <c r="LQ68" s="227"/>
      <c r="LR68" s="227"/>
      <c r="LS68" s="210"/>
      <c r="LT68" s="210"/>
      <c r="LU68" s="227"/>
      <c r="LV68" s="143"/>
      <c r="LW68" s="143"/>
      <c r="LX68" s="143"/>
      <c r="LY68" s="143"/>
      <c r="LZ68" s="203"/>
      <c r="MA68" s="203"/>
      <c r="MB68" s="143"/>
      <c r="MC68" s="143"/>
      <c r="MD68" s="143"/>
      <c r="ME68" s="143"/>
      <c r="MF68" s="143"/>
      <c r="MG68" s="203"/>
      <c r="MH68" s="203"/>
      <c r="MI68" s="143"/>
      <c r="MJ68" s="143"/>
      <c r="MK68" s="143"/>
      <c r="ML68" s="143"/>
      <c r="MM68" s="143"/>
      <c r="MN68" s="203"/>
      <c r="MO68" s="203"/>
      <c r="MP68" s="143"/>
      <c r="MQ68" s="143"/>
      <c r="MR68" s="143"/>
      <c r="MS68" s="143"/>
      <c r="MT68" s="143"/>
      <c r="MU68" s="203"/>
      <c r="MV68" s="203"/>
      <c r="MW68" s="143"/>
      <c r="MX68" s="143"/>
      <c r="MY68" s="143"/>
      <c r="MZ68" s="143"/>
      <c r="NA68" s="143"/>
      <c r="NB68" s="143"/>
      <c r="NC68" s="143"/>
      <c r="ND68" s="143"/>
    </row>
    <row r="69" spans="1:368" s="140" customFormat="1" ht="15" customHeight="1" thickBot="1">
      <c r="A69" s="470"/>
      <c r="B69" s="461"/>
      <c r="C69" s="164" t="s">
        <v>13</v>
      </c>
      <c r="D69" s="274"/>
      <c r="E69" s="275"/>
      <c r="F69" s="275"/>
      <c r="G69" s="275"/>
      <c r="H69" s="276"/>
      <c r="I69" s="195"/>
      <c r="J69" s="195"/>
      <c r="K69" s="274"/>
      <c r="L69" s="275"/>
      <c r="M69" s="275"/>
      <c r="N69" s="275"/>
      <c r="O69" s="276"/>
      <c r="P69" s="195"/>
      <c r="Q69" s="195"/>
      <c r="R69" s="274"/>
      <c r="S69" s="275"/>
      <c r="T69" s="275"/>
      <c r="U69" s="275"/>
      <c r="V69" s="276"/>
      <c r="W69" s="195"/>
      <c r="X69" s="195"/>
      <c r="Y69" s="274"/>
      <c r="Z69" s="275"/>
      <c r="AA69" s="275"/>
      <c r="AB69" s="275"/>
      <c r="AC69" s="276"/>
      <c r="AD69" s="195"/>
      <c r="AE69" s="195"/>
      <c r="AF69" s="274"/>
      <c r="AG69" s="275"/>
      <c r="AH69" s="275"/>
      <c r="AI69" s="275"/>
      <c r="AJ69" s="276"/>
      <c r="AK69" s="195"/>
      <c r="AL69" s="195"/>
      <c r="AM69" s="274"/>
      <c r="AN69" s="275"/>
      <c r="AO69" s="275"/>
      <c r="AP69" s="275"/>
      <c r="AQ69" s="276"/>
      <c r="AR69" s="195"/>
      <c r="AS69" s="195"/>
      <c r="AT69" s="274"/>
      <c r="AU69" s="275"/>
      <c r="AV69" s="275"/>
      <c r="AW69" s="275"/>
      <c r="AX69" s="276"/>
      <c r="AY69" s="195"/>
      <c r="AZ69" s="195"/>
      <c r="BA69" s="274"/>
      <c r="BB69" s="275"/>
      <c r="BC69" s="275"/>
      <c r="BD69" s="275"/>
      <c r="BE69" s="276"/>
      <c r="BF69" s="195"/>
      <c r="BG69" s="195"/>
      <c r="BH69" s="274"/>
      <c r="BI69" s="275"/>
      <c r="BJ69" s="275"/>
      <c r="BK69" s="275"/>
      <c r="BL69" s="276"/>
      <c r="BM69" s="195"/>
      <c r="BN69" s="195"/>
      <c r="BO69" s="274"/>
      <c r="BP69" s="275"/>
      <c r="BQ69" s="275"/>
      <c r="BR69" s="275"/>
      <c r="BS69" s="276"/>
      <c r="BT69" s="195"/>
      <c r="BU69" s="195"/>
      <c r="BV69" s="274"/>
      <c r="BW69" s="275"/>
      <c r="BX69" s="275"/>
      <c r="BY69" s="275"/>
      <c r="BZ69" s="276"/>
      <c r="CA69" s="195"/>
      <c r="CB69" s="195"/>
      <c r="CC69" s="274"/>
      <c r="CD69" s="275"/>
      <c r="CE69" s="275"/>
      <c r="CF69" s="275"/>
      <c r="CG69" s="276"/>
      <c r="CH69" s="195"/>
      <c r="CI69" s="195"/>
      <c r="CJ69" s="274"/>
      <c r="CK69" s="275"/>
      <c r="CL69" s="275"/>
      <c r="CM69" s="275"/>
      <c r="CN69" s="276"/>
      <c r="CO69" s="195"/>
      <c r="CP69" s="195"/>
      <c r="CQ69" s="274"/>
      <c r="CR69" s="275"/>
      <c r="CS69" s="275"/>
      <c r="CT69" s="275"/>
      <c r="CU69" s="276"/>
      <c r="CV69" s="195"/>
      <c r="CW69" s="195"/>
      <c r="CX69" s="274"/>
      <c r="CY69" s="275"/>
      <c r="CZ69" s="275"/>
      <c r="DA69" s="275"/>
      <c r="DB69" s="276"/>
      <c r="DC69" s="195"/>
      <c r="DD69" s="195"/>
      <c r="DE69" s="274"/>
      <c r="DF69" s="275"/>
      <c r="DG69" s="275"/>
      <c r="DH69" s="275"/>
      <c r="DI69" s="276"/>
      <c r="DJ69" s="195"/>
      <c r="DK69" s="195"/>
      <c r="DL69" s="274"/>
      <c r="DM69" s="275"/>
      <c r="DN69" s="275"/>
      <c r="DO69" s="275"/>
      <c r="DP69" s="276"/>
      <c r="DQ69" s="195"/>
      <c r="DR69" s="195"/>
      <c r="DS69" s="274"/>
      <c r="DT69" s="275"/>
      <c r="DU69" s="275"/>
      <c r="DV69" s="275"/>
      <c r="DW69" s="276"/>
      <c r="DX69" s="195"/>
      <c r="DY69" s="195"/>
      <c r="DZ69" s="274"/>
      <c r="EA69" s="275"/>
      <c r="EB69" s="275"/>
      <c r="EC69" s="275"/>
      <c r="ED69" s="276"/>
      <c r="EE69" s="195"/>
      <c r="EF69" s="195"/>
      <c r="EG69" s="274"/>
      <c r="EH69" s="275"/>
      <c r="EI69" s="275"/>
      <c r="EJ69" s="275"/>
      <c r="EK69" s="276"/>
      <c r="EL69" s="195"/>
      <c r="EM69" s="195"/>
      <c r="EN69" s="274"/>
      <c r="EO69" s="275"/>
      <c r="EP69" s="275"/>
      <c r="EQ69" s="275"/>
      <c r="ER69" s="276"/>
      <c r="ES69" s="195"/>
      <c r="ET69" s="195"/>
      <c r="EU69" s="274"/>
      <c r="EV69" s="275"/>
      <c r="EW69" s="275"/>
      <c r="EX69" s="275"/>
      <c r="EY69" s="276"/>
      <c r="EZ69" s="195"/>
      <c r="FA69" s="195"/>
      <c r="FB69" s="274"/>
      <c r="FC69" s="275"/>
      <c r="FD69" s="275"/>
      <c r="FE69" s="275"/>
      <c r="FF69" s="276"/>
      <c r="FG69" s="195"/>
      <c r="FH69" s="195"/>
      <c r="FI69" s="274"/>
      <c r="FJ69" s="275"/>
      <c r="FK69" s="275"/>
      <c r="FL69" s="275"/>
      <c r="FM69" s="276"/>
      <c r="FN69" s="195"/>
      <c r="FO69" s="195"/>
      <c r="FP69" s="274"/>
      <c r="FQ69" s="275"/>
      <c r="FR69" s="275"/>
      <c r="FS69" s="275"/>
      <c r="FT69" s="276"/>
      <c r="FU69" s="195"/>
      <c r="FV69" s="195"/>
      <c r="FW69" s="274"/>
      <c r="FX69" s="275"/>
      <c r="FY69" s="275"/>
      <c r="FZ69" s="275"/>
      <c r="GA69" s="276"/>
      <c r="GB69" s="195"/>
      <c r="GC69" s="195"/>
      <c r="GD69" s="144"/>
      <c r="GE69" s="144"/>
      <c r="GF69" s="144"/>
      <c r="GG69" s="144"/>
      <c r="GH69" s="144"/>
      <c r="GI69" s="195"/>
      <c r="GJ69" s="195"/>
      <c r="GK69" s="144"/>
      <c r="GL69" s="144"/>
      <c r="GM69" s="144"/>
      <c r="GN69" s="144"/>
      <c r="GO69" s="144"/>
      <c r="GP69" s="211"/>
      <c r="GQ69" s="211"/>
      <c r="GR69" s="144"/>
      <c r="GS69" s="144"/>
      <c r="GT69" s="144"/>
      <c r="GU69" s="144"/>
      <c r="GV69" s="144"/>
      <c r="GW69" s="211"/>
      <c r="GX69" s="211"/>
      <c r="GY69" s="144"/>
      <c r="GZ69" s="144"/>
      <c r="HA69" s="144"/>
      <c r="HB69" s="144"/>
      <c r="HC69" s="144"/>
      <c r="HD69" s="211"/>
      <c r="HE69" s="211"/>
      <c r="HF69" s="144"/>
      <c r="HG69" s="144"/>
      <c r="HH69" s="144"/>
      <c r="HI69" s="144"/>
      <c r="HJ69" s="144"/>
      <c r="HK69" s="211"/>
      <c r="HL69" s="211"/>
      <c r="HM69" s="144"/>
      <c r="HN69" s="144"/>
      <c r="HO69" s="144"/>
      <c r="HP69" s="144"/>
      <c r="HQ69" s="144"/>
      <c r="HR69" s="144"/>
      <c r="HS69" s="144"/>
      <c r="HT69" s="144"/>
      <c r="HU69" s="144"/>
      <c r="HV69" s="144"/>
      <c r="HW69" s="144"/>
      <c r="HX69" s="144"/>
      <c r="HY69" s="204"/>
      <c r="HZ69" s="204"/>
      <c r="IA69" s="144"/>
      <c r="IB69" s="144"/>
      <c r="IC69" s="144"/>
      <c r="ID69" s="144"/>
      <c r="IE69" s="144"/>
      <c r="IF69" s="204"/>
      <c r="IG69" s="204"/>
      <c r="IH69" s="144"/>
      <c r="II69" s="144"/>
      <c r="IJ69" s="144"/>
      <c r="IK69" s="144"/>
      <c r="IL69" s="144"/>
      <c r="IM69" s="204"/>
      <c r="IN69" s="204"/>
      <c r="IO69" s="144"/>
      <c r="IP69" s="144"/>
      <c r="IQ69" s="230"/>
      <c r="IR69" s="230"/>
      <c r="IS69" s="230"/>
      <c r="IT69" s="204"/>
      <c r="IU69" s="204"/>
      <c r="IV69" s="144"/>
      <c r="IW69" s="144"/>
      <c r="IX69" s="144"/>
      <c r="IY69" s="144"/>
      <c r="IZ69" s="144"/>
      <c r="JA69" s="204"/>
      <c r="JB69" s="204"/>
      <c r="JC69" s="230"/>
      <c r="JD69" s="230"/>
      <c r="JE69" s="144"/>
      <c r="JF69" s="144"/>
      <c r="JG69" s="144"/>
      <c r="JH69" s="204"/>
      <c r="JI69" s="204"/>
      <c r="JJ69" s="144"/>
      <c r="JK69" s="144"/>
      <c r="JL69" s="144"/>
      <c r="JM69" s="144"/>
      <c r="JN69" s="144"/>
      <c r="JO69" s="204"/>
      <c r="JP69" s="204"/>
      <c r="JQ69" s="144"/>
      <c r="JR69" s="144"/>
      <c r="JS69" s="144"/>
      <c r="JT69" s="144"/>
      <c r="JU69" s="144"/>
      <c r="JV69" s="204"/>
      <c r="JW69" s="204"/>
      <c r="JX69" s="144"/>
      <c r="JY69" s="144"/>
      <c r="JZ69" s="144"/>
      <c r="KA69" s="144"/>
      <c r="KB69" s="144"/>
      <c r="KC69" s="204"/>
      <c r="KD69" s="204"/>
      <c r="KE69" s="144"/>
      <c r="KF69" s="144"/>
      <c r="KG69" s="144"/>
      <c r="KH69" s="144"/>
      <c r="KI69" s="144"/>
      <c r="KJ69" s="195"/>
      <c r="KK69" s="195"/>
      <c r="KL69" s="144"/>
      <c r="KM69" s="144"/>
      <c r="KN69" s="144"/>
      <c r="KO69" s="144"/>
      <c r="KP69" s="230"/>
      <c r="KQ69" s="195"/>
      <c r="KR69" s="195"/>
      <c r="KS69" s="144"/>
      <c r="KT69" s="144"/>
      <c r="KU69" s="144"/>
      <c r="KV69" s="144"/>
      <c r="KW69" s="144"/>
      <c r="KX69" s="211"/>
      <c r="KY69" s="211"/>
      <c r="KZ69" s="195"/>
      <c r="LA69" s="195"/>
      <c r="LB69" s="195"/>
      <c r="LC69" s="195"/>
      <c r="LD69" s="195"/>
      <c r="LE69" s="211"/>
      <c r="LF69" s="211"/>
      <c r="LG69" s="230"/>
      <c r="LH69" s="230"/>
      <c r="LI69" s="230"/>
      <c r="LJ69" s="230"/>
      <c r="LK69" s="230"/>
      <c r="LL69" s="230"/>
      <c r="LM69" s="211"/>
      <c r="LN69" s="230"/>
      <c r="LO69" s="230"/>
      <c r="LP69" s="230"/>
      <c r="LQ69" s="230"/>
      <c r="LR69" s="230"/>
      <c r="LS69" s="211"/>
      <c r="LT69" s="211"/>
      <c r="LU69" s="230"/>
      <c r="LV69" s="144"/>
      <c r="LW69" s="144"/>
      <c r="LX69" s="144"/>
      <c r="LY69" s="144"/>
      <c r="LZ69" s="204"/>
      <c r="MA69" s="204"/>
      <c r="MB69" s="144"/>
      <c r="MC69" s="144"/>
      <c r="MD69" s="144"/>
      <c r="ME69" s="144"/>
      <c r="MF69" s="144"/>
      <c r="MG69" s="204"/>
      <c r="MH69" s="204"/>
      <c r="MI69" s="144"/>
      <c r="MJ69" s="144"/>
      <c r="MK69" s="144"/>
      <c r="ML69" s="144"/>
      <c r="MM69" s="144"/>
      <c r="MN69" s="204"/>
      <c r="MO69" s="204"/>
      <c r="MP69" s="144"/>
      <c r="MQ69" s="144"/>
      <c r="MR69" s="144"/>
      <c r="MS69" s="144"/>
      <c r="MT69" s="144"/>
      <c r="MU69" s="204"/>
      <c r="MV69" s="204"/>
      <c r="MW69" s="144"/>
      <c r="MX69" s="144"/>
      <c r="MY69" s="144"/>
      <c r="MZ69" s="144"/>
      <c r="NA69" s="144"/>
      <c r="NB69" s="144"/>
      <c r="NC69" s="144"/>
      <c r="ND69" s="144"/>
    </row>
    <row r="70" spans="1:368" s="151" customFormat="1" ht="15" hidden="1" customHeight="1" thickBot="1">
      <c r="A70" s="475"/>
      <c r="B70" s="461"/>
      <c r="C70" s="167" t="s">
        <v>93</v>
      </c>
      <c r="D70" s="152"/>
      <c r="E70" s="152"/>
      <c r="F70" s="152"/>
      <c r="G70" s="152"/>
      <c r="H70" s="152"/>
      <c r="I70" s="195"/>
      <c r="J70" s="195"/>
      <c r="K70" s="152"/>
      <c r="L70" s="152"/>
      <c r="M70" s="152"/>
      <c r="N70" s="152"/>
      <c r="O70" s="152"/>
      <c r="P70" s="195"/>
      <c r="Q70" s="195"/>
      <c r="R70" s="152"/>
      <c r="S70" s="152"/>
      <c r="T70" s="152"/>
      <c r="U70" s="152"/>
      <c r="V70" s="152"/>
      <c r="W70" s="195"/>
      <c r="X70" s="195"/>
      <c r="Y70" s="152"/>
      <c r="Z70" s="152"/>
      <c r="AA70" s="152"/>
      <c r="AB70" s="152"/>
      <c r="AC70" s="152"/>
      <c r="AD70" s="195"/>
      <c r="AE70" s="195"/>
      <c r="AF70" s="152"/>
      <c r="AG70" s="152"/>
      <c r="AH70" s="152"/>
      <c r="AI70" s="152"/>
      <c r="AJ70" s="152"/>
      <c r="AK70" s="195"/>
      <c r="AL70" s="195"/>
      <c r="AM70" s="152"/>
      <c r="AN70" s="152"/>
      <c r="AO70" s="152"/>
      <c r="AP70" s="152"/>
      <c r="AQ70" s="152"/>
      <c r="AR70" s="195"/>
      <c r="AS70" s="195"/>
      <c r="AT70" s="152"/>
      <c r="AU70" s="152"/>
      <c r="AV70" s="152"/>
      <c r="AW70" s="152"/>
      <c r="AX70" s="152"/>
      <c r="AY70" s="195"/>
      <c r="AZ70" s="195"/>
      <c r="BA70" s="152"/>
      <c r="BB70" s="152"/>
      <c r="BC70" s="152"/>
      <c r="BD70" s="152"/>
      <c r="BE70" s="152"/>
      <c r="BF70" s="195"/>
      <c r="BG70" s="195"/>
      <c r="BH70" s="152"/>
      <c r="BI70" s="152"/>
      <c r="BJ70" s="152"/>
      <c r="BK70" s="152"/>
      <c r="BL70" s="152"/>
      <c r="BM70" s="195"/>
      <c r="BN70" s="195"/>
      <c r="BO70" s="152"/>
      <c r="BP70" s="152"/>
      <c r="BQ70" s="152"/>
      <c r="BR70" s="152"/>
      <c r="BS70" s="152"/>
      <c r="BT70" s="195"/>
      <c r="BU70" s="195"/>
      <c r="BV70" s="152"/>
      <c r="BW70" s="152"/>
      <c r="BX70" s="152"/>
      <c r="BY70" s="152"/>
      <c r="BZ70" s="152"/>
      <c r="CA70" s="195"/>
      <c r="CB70" s="195"/>
      <c r="CC70" s="152"/>
      <c r="CD70" s="152"/>
      <c r="CE70" s="152"/>
      <c r="CF70" s="152"/>
      <c r="CG70" s="152"/>
      <c r="CH70" s="195"/>
      <c r="CI70" s="195"/>
      <c r="CJ70" s="152"/>
      <c r="CK70" s="152"/>
      <c r="CL70" s="152"/>
      <c r="CM70" s="152"/>
      <c r="CN70" s="152"/>
      <c r="CO70" s="195"/>
      <c r="CP70" s="195"/>
      <c r="CQ70" s="152"/>
      <c r="CR70" s="152"/>
      <c r="CS70" s="152"/>
      <c r="CT70" s="152"/>
      <c r="CU70" s="152"/>
      <c r="CV70" s="195"/>
      <c r="CW70" s="195"/>
      <c r="CX70" s="152"/>
      <c r="CY70" s="152"/>
      <c r="CZ70" s="152"/>
      <c r="DA70" s="152"/>
      <c r="DB70" s="152"/>
      <c r="DC70" s="195"/>
      <c r="DD70" s="195"/>
      <c r="DE70" s="152"/>
      <c r="DF70" s="152"/>
      <c r="DG70" s="152"/>
      <c r="DH70" s="152"/>
      <c r="DI70" s="152"/>
      <c r="DJ70" s="195"/>
      <c r="DK70" s="195"/>
      <c r="DL70" s="152"/>
      <c r="DM70" s="152"/>
      <c r="DN70" s="152"/>
      <c r="DO70" s="152"/>
      <c r="DP70" s="152"/>
      <c r="DQ70" s="195"/>
      <c r="DR70" s="195"/>
      <c r="DS70" s="152"/>
      <c r="DT70" s="152"/>
      <c r="DU70" s="152"/>
      <c r="DV70" s="152"/>
      <c r="DW70" s="152"/>
      <c r="DX70" s="195"/>
      <c r="DY70" s="195"/>
      <c r="DZ70" s="152"/>
      <c r="EA70" s="152"/>
      <c r="EB70" s="152"/>
      <c r="EC70" s="152"/>
      <c r="ED70" s="152"/>
      <c r="EE70" s="195"/>
      <c r="EF70" s="195"/>
      <c r="EG70" s="152"/>
      <c r="EH70" s="152"/>
      <c r="EI70" s="152"/>
      <c r="EJ70" s="152"/>
      <c r="EK70" s="152"/>
      <c r="EL70" s="195"/>
      <c r="EM70" s="195"/>
      <c r="EN70" s="152"/>
      <c r="EO70" s="152"/>
      <c r="EP70" s="152"/>
      <c r="EQ70" s="152"/>
      <c r="ER70" s="152"/>
      <c r="ES70" s="195"/>
      <c r="ET70" s="195"/>
      <c r="EU70" s="152"/>
      <c r="EV70" s="152"/>
      <c r="EW70" s="152"/>
      <c r="EX70" s="152"/>
      <c r="EY70" s="152"/>
      <c r="EZ70" s="195"/>
      <c r="FA70" s="195"/>
      <c r="FB70" s="152"/>
      <c r="FC70" s="152"/>
      <c r="FD70" s="152"/>
      <c r="FE70" s="152"/>
      <c r="FF70" s="152"/>
      <c r="FG70" s="195"/>
      <c r="FH70" s="195"/>
      <c r="FI70" s="152"/>
      <c r="FJ70" s="152"/>
      <c r="FK70" s="152"/>
      <c r="FL70" s="152"/>
      <c r="FM70" s="152"/>
      <c r="FN70" s="195"/>
      <c r="FO70" s="195"/>
      <c r="FP70" s="152"/>
      <c r="FQ70" s="152"/>
      <c r="FR70" s="152"/>
      <c r="FS70" s="152"/>
      <c r="FT70" s="152"/>
      <c r="FU70" s="195"/>
      <c r="FV70" s="195"/>
      <c r="FW70" s="152"/>
      <c r="FX70" s="152"/>
      <c r="FY70" s="152"/>
      <c r="FZ70" s="152"/>
      <c r="GA70" s="152"/>
      <c r="GB70" s="195"/>
      <c r="GC70" s="195"/>
      <c r="GD70" s="153"/>
      <c r="GE70" s="153"/>
      <c r="GF70" s="153"/>
      <c r="GG70" s="153"/>
      <c r="GH70" s="153"/>
      <c r="GI70" s="195"/>
      <c r="GJ70" s="195"/>
      <c r="GK70" s="153"/>
      <c r="GL70" s="153"/>
      <c r="GM70" s="153"/>
      <c r="GN70" s="153"/>
      <c r="GO70" s="153"/>
      <c r="GP70" s="211"/>
      <c r="GQ70" s="211"/>
      <c r="GR70" s="153"/>
      <c r="GS70" s="153"/>
      <c r="GT70" s="153"/>
      <c r="GU70" s="153"/>
      <c r="GV70" s="153"/>
      <c r="GW70" s="211"/>
      <c r="GX70" s="211"/>
      <c r="GY70" s="153"/>
      <c r="GZ70" s="153"/>
      <c r="HA70" s="153"/>
      <c r="HB70" s="153"/>
      <c r="HC70" s="153"/>
      <c r="HD70" s="211"/>
      <c r="HE70" s="211"/>
      <c r="HF70" s="153"/>
      <c r="HG70" s="153"/>
      <c r="HH70" s="153"/>
      <c r="HI70" s="153"/>
      <c r="HJ70" s="153"/>
      <c r="HK70" s="211"/>
      <c r="HL70" s="211"/>
      <c r="HM70" s="153"/>
      <c r="HN70" s="153"/>
      <c r="HO70" s="153"/>
      <c r="HP70" s="153"/>
      <c r="HQ70" s="153"/>
      <c r="HR70" s="153"/>
      <c r="HS70" s="153"/>
      <c r="HT70" s="153"/>
      <c r="HU70" s="153"/>
      <c r="HV70" s="153"/>
      <c r="HW70" s="153"/>
      <c r="HX70" s="153"/>
      <c r="HY70" s="204"/>
      <c r="HZ70" s="204"/>
      <c r="IA70" s="153"/>
      <c r="IB70" s="153"/>
      <c r="IC70" s="153"/>
      <c r="ID70" s="153"/>
      <c r="IE70" s="153"/>
      <c r="IF70" s="204"/>
      <c r="IG70" s="204"/>
      <c r="IH70" s="153"/>
      <c r="II70" s="153"/>
      <c r="IJ70" s="153"/>
      <c r="IK70" s="153"/>
      <c r="IL70" s="153"/>
      <c r="IM70" s="204"/>
      <c r="IN70" s="204"/>
      <c r="IO70" s="153"/>
      <c r="IP70" s="153"/>
      <c r="IQ70" s="230"/>
      <c r="IR70" s="230"/>
      <c r="IS70" s="230"/>
      <c r="IT70" s="204"/>
      <c r="IU70" s="204"/>
      <c r="IV70" s="153"/>
      <c r="IW70" s="153"/>
      <c r="IX70" s="153"/>
      <c r="IY70" s="153"/>
      <c r="IZ70" s="153"/>
      <c r="JA70" s="204"/>
      <c r="JB70" s="204"/>
      <c r="JC70" s="233"/>
      <c r="JD70" s="233"/>
      <c r="JE70" s="153"/>
      <c r="JF70" s="153"/>
      <c r="JG70" s="153"/>
      <c r="JH70" s="204"/>
      <c r="JI70" s="204"/>
      <c r="JJ70" s="153"/>
      <c r="JK70" s="153"/>
      <c r="JL70" s="153"/>
      <c r="JM70" s="153"/>
      <c r="JN70" s="153"/>
      <c r="JO70" s="204"/>
      <c r="JP70" s="204"/>
      <c r="JQ70" s="153"/>
      <c r="JR70" s="153"/>
      <c r="JS70" s="153"/>
      <c r="JT70" s="153"/>
      <c r="JU70" s="153"/>
      <c r="JV70" s="204"/>
      <c r="JW70" s="204"/>
      <c r="JX70" s="153"/>
      <c r="JY70" s="153"/>
      <c r="JZ70" s="153"/>
      <c r="KA70" s="153"/>
      <c r="KB70" s="153"/>
      <c r="KC70" s="204"/>
      <c r="KD70" s="204"/>
      <c r="KE70" s="153"/>
      <c r="KF70" s="153"/>
      <c r="KG70" s="153"/>
      <c r="KH70" s="153"/>
      <c r="KI70" s="153"/>
      <c r="KJ70" s="195"/>
      <c r="KK70" s="195"/>
      <c r="KL70" s="153"/>
      <c r="KM70" s="153"/>
      <c r="KN70" s="153"/>
      <c r="KO70" s="153"/>
      <c r="KP70" s="195"/>
      <c r="KQ70" s="195"/>
      <c r="KR70" s="195"/>
      <c r="KS70" s="153"/>
      <c r="KT70" s="153"/>
      <c r="KU70" s="153"/>
      <c r="KV70" s="153"/>
      <c r="KW70" s="153"/>
      <c r="KX70" s="211"/>
      <c r="KY70" s="211"/>
      <c r="KZ70" s="195"/>
      <c r="LA70" s="195"/>
      <c r="LB70" s="195"/>
      <c r="LC70" s="195"/>
      <c r="LD70" s="195"/>
      <c r="LE70" s="211"/>
      <c r="LF70" s="211"/>
      <c r="LG70" s="230"/>
      <c r="LH70" s="230"/>
      <c r="LI70" s="230"/>
      <c r="LJ70" s="230"/>
      <c r="LK70" s="230"/>
      <c r="LL70" s="230"/>
      <c r="LM70" s="211"/>
      <c r="LN70" s="233"/>
      <c r="LO70" s="233"/>
      <c r="LP70" s="233"/>
      <c r="LQ70" s="233"/>
      <c r="LR70" s="233"/>
      <c r="LS70" s="211"/>
      <c r="LT70" s="211"/>
      <c r="LU70" s="233"/>
      <c r="LV70" s="153"/>
      <c r="LW70" s="153"/>
      <c r="LX70" s="153"/>
      <c r="LY70" s="153"/>
      <c r="LZ70" s="204"/>
      <c r="MA70" s="204"/>
      <c r="MB70" s="153"/>
      <c r="MC70" s="153"/>
      <c r="MD70" s="153"/>
      <c r="ME70" s="153"/>
      <c r="MF70" s="153"/>
      <c r="MG70" s="204"/>
      <c r="MH70" s="204"/>
      <c r="MI70" s="153"/>
      <c r="MJ70" s="153"/>
      <c r="MK70" s="153"/>
      <c r="ML70" s="153"/>
      <c r="MM70" s="153"/>
      <c r="MN70" s="204"/>
      <c r="MO70" s="204"/>
      <c r="MP70" s="153"/>
      <c r="MQ70" s="153"/>
      <c r="MR70" s="153"/>
      <c r="MS70" s="153"/>
      <c r="MT70" s="153"/>
      <c r="MU70" s="204"/>
      <c r="MV70" s="204"/>
      <c r="MW70" s="153"/>
      <c r="MX70" s="153"/>
      <c r="MY70" s="153"/>
      <c r="MZ70" s="153"/>
      <c r="NA70" s="153"/>
      <c r="NB70" s="153"/>
      <c r="NC70" s="153"/>
      <c r="ND70" s="153"/>
    </row>
    <row r="71" spans="1:368" s="142" customFormat="1" ht="15" customHeight="1" thickBot="1">
      <c r="A71" s="471"/>
      <c r="B71" s="476" t="s">
        <v>92</v>
      </c>
      <c r="C71" s="477"/>
      <c r="D71" s="155">
        <f t="shared" ref="D71:H71" si="88">SUM(D55:D69)</f>
        <v>0</v>
      </c>
      <c r="E71" s="155">
        <f t="shared" si="88"/>
        <v>0</v>
      </c>
      <c r="F71" s="155">
        <f t="shared" si="88"/>
        <v>0</v>
      </c>
      <c r="G71" s="155">
        <f t="shared" si="88"/>
        <v>0</v>
      </c>
      <c r="H71" s="155">
        <f t="shared" si="88"/>
        <v>0</v>
      </c>
      <c r="I71" s="195"/>
      <c r="J71" s="195"/>
      <c r="K71" s="155">
        <f t="shared" ref="K71:O71" si="89">SUM(K55:K69)</f>
        <v>0</v>
      </c>
      <c r="L71" s="155">
        <f t="shared" si="89"/>
        <v>0</v>
      </c>
      <c r="M71" s="155">
        <f t="shared" si="89"/>
        <v>0</v>
      </c>
      <c r="N71" s="155">
        <f t="shared" si="89"/>
        <v>0</v>
      </c>
      <c r="O71" s="155">
        <f t="shared" si="89"/>
        <v>0</v>
      </c>
      <c r="P71" s="195"/>
      <c r="Q71" s="195"/>
      <c r="R71" s="155">
        <f t="shared" ref="R71:V71" si="90">SUM(R55:R69)</f>
        <v>0</v>
      </c>
      <c r="S71" s="155">
        <f t="shared" si="90"/>
        <v>0</v>
      </c>
      <c r="T71" s="155">
        <f t="shared" si="90"/>
        <v>0</v>
      </c>
      <c r="U71" s="155">
        <f t="shared" si="90"/>
        <v>0</v>
      </c>
      <c r="V71" s="155">
        <f t="shared" si="90"/>
        <v>0</v>
      </c>
      <c r="W71" s="195"/>
      <c r="X71" s="195"/>
      <c r="Y71" s="155">
        <f t="shared" ref="Y71:AC71" si="91">SUM(Y55:Y69)</f>
        <v>0</v>
      </c>
      <c r="Z71" s="155">
        <f t="shared" si="91"/>
        <v>0</v>
      </c>
      <c r="AA71" s="155">
        <f t="shared" si="91"/>
        <v>0</v>
      </c>
      <c r="AB71" s="155">
        <f t="shared" si="91"/>
        <v>0</v>
      </c>
      <c r="AC71" s="155">
        <f t="shared" si="91"/>
        <v>0</v>
      </c>
      <c r="AD71" s="195"/>
      <c r="AE71" s="195"/>
      <c r="AF71" s="155">
        <f t="shared" ref="AF71:AJ71" si="92">SUM(AF55:AF69)</f>
        <v>0</v>
      </c>
      <c r="AG71" s="155">
        <f t="shared" si="92"/>
        <v>0</v>
      </c>
      <c r="AH71" s="155">
        <f t="shared" si="92"/>
        <v>0</v>
      </c>
      <c r="AI71" s="155">
        <f t="shared" si="92"/>
        <v>0</v>
      </c>
      <c r="AJ71" s="155">
        <f t="shared" si="92"/>
        <v>0</v>
      </c>
      <c r="AK71" s="195"/>
      <c r="AL71" s="195"/>
      <c r="AM71" s="155">
        <f t="shared" ref="AM71:AQ71" si="93">SUM(AM55:AM69)</f>
        <v>0</v>
      </c>
      <c r="AN71" s="155">
        <f t="shared" si="93"/>
        <v>0</v>
      </c>
      <c r="AO71" s="155">
        <f t="shared" si="93"/>
        <v>0</v>
      </c>
      <c r="AP71" s="155">
        <f t="shared" si="93"/>
        <v>0</v>
      </c>
      <c r="AQ71" s="155">
        <f t="shared" si="93"/>
        <v>0</v>
      </c>
      <c r="AR71" s="195"/>
      <c r="AS71" s="195"/>
      <c r="AT71" s="155">
        <f t="shared" ref="AT71:AX71" si="94">SUM(AT55:AT69)</f>
        <v>0</v>
      </c>
      <c r="AU71" s="155">
        <f t="shared" si="94"/>
        <v>0</v>
      </c>
      <c r="AV71" s="155">
        <f t="shared" si="94"/>
        <v>0</v>
      </c>
      <c r="AW71" s="155">
        <f t="shared" si="94"/>
        <v>0</v>
      </c>
      <c r="AX71" s="155">
        <f t="shared" si="94"/>
        <v>0</v>
      </c>
      <c r="AY71" s="195"/>
      <c r="AZ71" s="195"/>
      <c r="BA71" s="155">
        <f t="shared" ref="BA71:BE71" si="95">SUM(BA55:BA69)</f>
        <v>0</v>
      </c>
      <c r="BB71" s="155">
        <f t="shared" si="95"/>
        <v>0</v>
      </c>
      <c r="BC71" s="155">
        <f t="shared" si="95"/>
        <v>0</v>
      </c>
      <c r="BD71" s="155">
        <f t="shared" si="95"/>
        <v>0</v>
      </c>
      <c r="BE71" s="155">
        <f t="shared" si="95"/>
        <v>0</v>
      </c>
      <c r="BF71" s="195"/>
      <c r="BG71" s="195"/>
      <c r="BH71" s="155">
        <f t="shared" ref="BH71:BL71" si="96">SUM(BH55:BH69)</f>
        <v>0</v>
      </c>
      <c r="BI71" s="155">
        <f t="shared" si="96"/>
        <v>0</v>
      </c>
      <c r="BJ71" s="155">
        <f t="shared" si="96"/>
        <v>0</v>
      </c>
      <c r="BK71" s="155">
        <f t="shared" si="96"/>
        <v>0</v>
      </c>
      <c r="BL71" s="155">
        <f t="shared" si="96"/>
        <v>0</v>
      </c>
      <c r="BM71" s="195"/>
      <c r="BN71" s="195"/>
      <c r="BO71" s="155">
        <f t="shared" ref="BO71:BS71" si="97">SUM(BO55:BO69)</f>
        <v>0</v>
      </c>
      <c r="BP71" s="155">
        <f t="shared" si="97"/>
        <v>0</v>
      </c>
      <c r="BQ71" s="155">
        <f t="shared" si="97"/>
        <v>0</v>
      </c>
      <c r="BR71" s="155">
        <f t="shared" si="97"/>
        <v>0</v>
      </c>
      <c r="BS71" s="155">
        <f t="shared" si="97"/>
        <v>0</v>
      </c>
      <c r="BT71" s="195"/>
      <c r="BU71" s="195"/>
      <c r="BV71" s="155">
        <f t="shared" ref="BV71:BZ71" si="98">SUM(BV55:BV69)</f>
        <v>0</v>
      </c>
      <c r="BW71" s="155">
        <f t="shared" si="98"/>
        <v>0</v>
      </c>
      <c r="BX71" s="155">
        <f t="shared" si="98"/>
        <v>0</v>
      </c>
      <c r="BY71" s="155">
        <f t="shared" si="98"/>
        <v>0</v>
      </c>
      <c r="BZ71" s="155">
        <f t="shared" si="98"/>
        <v>0</v>
      </c>
      <c r="CA71" s="195"/>
      <c r="CB71" s="195"/>
      <c r="CC71" s="155">
        <f t="shared" ref="CC71:CG71" si="99">SUM(CC55:CC69)</f>
        <v>0</v>
      </c>
      <c r="CD71" s="155">
        <f t="shared" si="99"/>
        <v>0</v>
      </c>
      <c r="CE71" s="155">
        <f t="shared" si="99"/>
        <v>0</v>
      </c>
      <c r="CF71" s="155">
        <f t="shared" si="99"/>
        <v>0</v>
      </c>
      <c r="CG71" s="155">
        <f t="shared" si="99"/>
        <v>0</v>
      </c>
      <c r="CH71" s="195"/>
      <c r="CI71" s="195"/>
      <c r="CJ71" s="155">
        <f t="shared" ref="CJ71:CN71" si="100">SUM(CJ55:CJ69)</f>
        <v>0</v>
      </c>
      <c r="CK71" s="155">
        <f t="shared" si="100"/>
        <v>0</v>
      </c>
      <c r="CL71" s="155">
        <f t="shared" si="100"/>
        <v>0</v>
      </c>
      <c r="CM71" s="155">
        <f t="shared" si="100"/>
        <v>0</v>
      </c>
      <c r="CN71" s="155">
        <f t="shared" si="100"/>
        <v>0</v>
      </c>
      <c r="CO71" s="195"/>
      <c r="CP71" s="195"/>
      <c r="CQ71" s="155">
        <f t="shared" ref="CQ71:CU71" si="101">SUM(CQ55:CQ69)</f>
        <v>0</v>
      </c>
      <c r="CR71" s="155">
        <f t="shared" si="101"/>
        <v>0</v>
      </c>
      <c r="CS71" s="155">
        <f t="shared" si="101"/>
        <v>0</v>
      </c>
      <c r="CT71" s="155">
        <f t="shared" si="101"/>
        <v>0</v>
      </c>
      <c r="CU71" s="155">
        <f t="shared" si="101"/>
        <v>0</v>
      </c>
      <c r="CV71" s="195"/>
      <c r="CW71" s="195"/>
      <c r="CX71" s="155">
        <f t="shared" ref="CX71:DB71" si="102">SUM(CX55:CX69)</f>
        <v>0</v>
      </c>
      <c r="CY71" s="155">
        <f t="shared" si="102"/>
        <v>0</v>
      </c>
      <c r="CZ71" s="155">
        <f t="shared" si="102"/>
        <v>0</v>
      </c>
      <c r="DA71" s="155">
        <f t="shared" si="102"/>
        <v>0</v>
      </c>
      <c r="DB71" s="155">
        <f t="shared" si="102"/>
        <v>0</v>
      </c>
      <c r="DC71" s="195"/>
      <c r="DD71" s="195"/>
      <c r="DE71" s="155">
        <f t="shared" ref="DE71:DI71" si="103">SUM(DE55:DE69)</f>
        <v>0</v>
      </c>
      <c r="DF71" s="155">
        <f t="shared" si="103"/>
        <v>0</v>
      </c>
      <c r="DG71" s="155">
        <f t="shared" si="103"/>
        <v>0</v>
      </c>
      <c r="DH71" s="155">
        <f t="shared" si="103"/>
        <v>0</v>
      </c>
      <c r="DI71" s="155">
        <f t="shared" si="103"/>
        <v>0</v>
      </c>
      <c r="DJ71" s="195"/>
      <c r="DK71" s="195"/>
      <c r="DL71" s="155">
        <f t="shared" ref="DL71:DP71" si="104">SUM(DL55:DL69)</f>
        <v>0</v>
      </c>
      <c r="DM71" s="155">
        <f t="shared" si="104"/>
        <v>0</v>
      </c>
      <c r="DN71" s="155">
        <f t="shared" si="104"/>
        <v>0</v>
      </c>
      <c r="DO71" s="155">
        <f t="shared" si="104"/>
        <v>0</v>
      </c>
      <c r="DP71" s="155">
        <f t="shared" si="104"/>
        <v>0</v>
      </c>
      <c r="DQ71" s="195"/>
      <c r="DR71" s="195"/>
      <c r="DS71" s="155">
        <f t="shared" ref="DS71:DW71" si="105">SUM(DS55:DS69)</f>
        <v>0</v>
      </c>
      <c r="DT71" s="155">
        <f t="shared" si="105"/>
        <v>0</v>
      </c>
      <c r="DU71" s="155">
        <f t="shared" si="105"/>
        <v>0</v>
      </c>
      <c r="DV71" s="155">
        <f t="shared" si="105"/>
        <v>0</v>
      </c>
      <c r="DW71" s="155">
        <f t="shared" si="105"/>
        <v>0</v>
      </c>
      <c r="DX71" s="195"/>
      <c r="DY71" s="195"/>
      <c r="DZ71" s="155">
        <f t="shared" ref="DZ71:ED71" si="106">SUM(DZ55:DZ69)</f>
        <v>0</v>
      </c>
      <c r="EA71" s="155">
        <f t="shared" si="106"/>
        <v>0</v>
      </c>
      <c r="EB71" s="155">
        <f t="shared" si="106"/>
        <v>0</v>
      </c>
      <c r="EC71" s="155">
        <f t="shared" si="106"/>
        <v>0</v>
      </c>
      <c r="ED71" s="155">
        <f t="shared" si="106"/>
        <v>0</v>
      </c>
      <c r="EE71" s="195"/>
      <c r="EF71" s="195"/>
      <c r="EG71" s="155">
        <f t="shared" ref="EG71:EK71" si="107">SUM(EG55:EG69)</f>
        <v>0</v>
      </c>
      <c r="EH71" s="155">
        <f t="shared" si="107"/>
        <v>0</v>
      </c>
      <c r="EI71" s="155">
        <f t="shared" si="107"/>
        <v>0</v>
      </c>
      <c r="EJ71" s="155">
        <f t="shared" si="107"/>
        <v>0</v>
      </c>
      <c r="EK71" s="155">
        <f t="shared" si="107"/>
        <v>0</v>
      </c>
      <c r="EL71" s="195"/>
      <c r="EM71" s="195"/>
      <c r="EN71" s="155">
        <f t="shared" ref="EN71:ER71" si="108">SUM(EN55:EN69)</f>
        <v>0</v>
      </c>
      <c r="EO71" s="155">
        <f t="shared" si="108"/>
        <v>0</v>
      </c>
      <c r="EP71" s="155">
        <f t="shared" si="108"/>
        <v>0</v>
      </c>
      <c r="EQ71" s="155">
        <f t="shared" si="108"/>
        <v>0</v>
      </c>
      <c r="ER71" s="155">
        <f t="shared" si="108"/>
        <v>0</v>
      </c>
      <c r="ES71" s="195"/>
      <c r="ET71" s="195"/>
      <c r="EU71" s="155">
        <f t="shared" ref="EU71:EY71" si="109">SUM(EU55:EU69)</f>
        <v>0</v>
      </c>
      <c r="EV71" s="155">
        <f t="shared" si="109"/>
        <v>0</v>
      </c>
      <c r="EW71" s="155">
        <f t="shared" si="109"/>
        <v>0</v>
      </c>
      <c r="EX71" s="155">
        <f t="shared" si="109"/>
        <v>0</v>
      </c>
      <c r="EY71" s="155">
        <f t="shared" si="109"/>
        <v>0</v>
      </c>
      <c r="EZ71" s="195"/>
      <c r="FA71" s="195"/>
      <c r="FB71" s="155">
        <f t="shared" ref="FB71:FF71" si="110">SUM(FB55:FB69)</f>
        <v>0</v>
      </c>
      <c r="FC71" s="155">
        <f t="shared" si="110"/>
        <v>0</v>
      </c>
      <c r="FD71" s="155">
        <f t="shared" si="110"/>
        <v>0</v>
      </c>
      <c r="FE71" s="155">
        <f t="shared" si="110"/>
        <v>0</v>
      </c>
      <c r="FF71" s="155">
        <f t="shared" si="110"/>
        <v>0</v>
      </c>
      <c r="FG71" s="195"/>
      <c r="FH71" s="195"/>
      <c r="FI71" s="155">
        <f t="shared" ref="FI71:FM71" si="111">SUM(FI55:FI69)</f>
        <v>0</v>
      </c>
      <c r="FJ71" s="155">
        <f t="shared" si="111"/>
        <v>0</v>
      </c>
      <c r="FK71" s="155">
        <f t="shared" si="111"/>
        <v>0</v>
      </c>
      <c r="FL71" s="155">
        <f t="shared" si="111"/>
        <v>0</v>
      </c>
      <c r="FM71" s="155">
        <f t="shared" si="111"/>
        <v>0</v>
      </c>
      <c r="FN71" s="195"/>
      <c r="FO71" s="195"/>
      <c r="FP71" s="155">
        <f t="shared" ref="FP71:FT71" si="112">SUM(FP55:FP69)</f>
        <v>0</v>
      </c>
      <c r="FQ71" s="155">
        <f t="shared" si="112"/>
        <v>0</v>
      </c>
      <c r="FR71" s="155">
        <f t="shared" si="112"/>
        <v>0</v>
      </c>
      <c r="FS71" s="155">
        <f t="shared" si="112"/>
        <v>0</v>
      </c>
      <c r="FT71" s="155">
        <f t="shared" si="112"/>
        <v>0</v>
      </c>
      <c r="FU71" s="195"/>
      <c r="FV71" s="195"/>
      <c r="FW71" s="155">
        <f t="shared" ref="FW71:HJ71" si="113">SUM(FW55:FW69)</f>
        <v>0</v>
      </c>
      <c r="FX71" s="155">
        <f t="shared" si="113"/>
        <v>0</v>
      </c>
      <c r="FY71" s="155">
        <f t="shared" si="113"/>
        <v>0</v>
      </c>
      <c r="FZ71" s="155">
        <f t="shared" si="113"/>
        <v>0</v>
      </c>
      <c r="GA71" s="155">
        <f t="shared" si="113"/>
        <v>0</v>
      </c>
      <c r="GB71" s="155">
        <f t="shared" si="113"/>
        <v>0</v>
      </c>
      <c r="GC71" s="155">
        <f t="shared" si="113"/>
        <v>0</v>
      </c>
      <c r="GD71" s="155">
        <f t="shared" si="113"/>
        <v>0</v>
      </c>
      <c r="GE71" s="155">
        <f t="shared" si="113"/>
        <v>0</v>
      </c>
      <c r="GF71" s="155">
        <f t="shared" si="113"/>
        <v>0</v>
      </c>
      <c r="GG71" s="155">
        <f t="shared" si="113"/>
        <v>0</v>
      </c>
      <c r="GH71" s="155">
        <f t="shared" si="113"/>
        <v>0</v>
      </c>
      <c r="GI71" s="155">
        <f t="shared" si="113"/>
        <v>0</v>
      </c>
      <c r="GJ71" s="155">
        <f t="shared" si="113"/>
        <v>0</v>
      </c>
      <c r="GK71" s="155">
        <f t="shared" si="113"/>
        <v>0</v>
      </c>
      <c r="GL71" s="155">
        <f t="shared" si="113"/>
        <v>0</v>
      </c>
      <c r="GM71" s="155">
        <f t="shared" si="113"/>
        <v>0</v>
      </c>
      <c r="GN71" s="155">
        <f t="shared" si="113"/>
        <v>0</v>
      </c>
      <c r="GO71" s="155">
        <f t="shared" si="113"/>
        <v>0</v>
      </c>
      <c r="GP71" s="155">
        <f t="shared" si="113"/>
        <v>0</v>
      </c>
      <c r="GQ71" s="155">
        <f t="shared" si="113"/>
        <v>0</v>
      </c>
      <c r="GR71" s="155">
        <f t="shared" si="113"/>
        <v>0</v>
      </c>
      <c r="GS71" s="155">
        <f t="shared" si="113"/>
        <v>0</v>
      </c>
      <c r="GT71" s="155">
        <f t="shared" si="113"/>
        <v>0</v>
      </c>
      <c r="GU71" s="155">
        <f t="shared" si="113"/>
        <v>0</v>
      </c>
      <c r="GV71" s="155">
        <f t="shared" si="113"/>
        <v>0</v>
      </c>
      <c r="GW71" s="212">
        <f t="shared" si="113"/>
        <v>0</v>
      </c>
      <c r="GX71" s="212">
        <f t="shared" si="113"/>
        <v>0</v>
      </c>
      <c r="GY71" s="155">
        <f t="shared" si="113"/>
        <v>0</v>
      </c>
      <c r="GZ71" s="155">
        <f t="shared" si="113"/>
        <v>0</v>
      </c>
      <c r="HA71" s="155">
        <f t="shared" si="113"/>
        <v>0</v>
      </c>
      <c r="HB71" s="155">
        <f t="shared" si="113"/>
        <v>0</v>
      </c>
      <c r="HC71" s="155">
        <f t="shared" si="113"/>
        <v>0</v>
      </c>
      <c r="HD71" s="212">
        <f t="shared" si="113"/>
        <v>0</v>
      </c>
      <c r="HE71" s="212">
        <f t="shared" si="113"/>
        <v>0</v>
      </c>
      <c r="HF71" s="155">
        <f t="shared" si="113"/>
        <v>0</v>
      </c>
      <c r="HG71" s="155">
        <f t="shared" si="113"/>
        <v>0</v>
      </c>
      <c r="HH71" s="155">
        <f t="shared" si="113"/>
        <v>0</v>
      </c>
      <c r="HI71" s="155">
        <f t="shared" si="113"/>
        <v>0</v>
      </c>
      <c r="HJ71" s="155">
        <f t="shared" si="113"/>
        <v>0</v>
      </c>
      <c r="HK71" s="211"/>
      <c r="HL71" s="211"/>
      <c r="HM71" s="145">
        <f>SUM(HM55:HM69)</f>
        <v>0</v>
      </c>
      <c r="HN71" s="145">
        <f t="shared" ref="HN71:JY71" si="114">SUM(HN55:HN69)</f>
        <v>0</v>
      </c>
      <c r="HO71" s="145">
        <f t="shared" si="114"/>
        <v>0</v>
      </c>
      <c r="HP71" s="145">
        <f t="shared" si="114"/>
        <v>0</v>
      </c>
      <c r="HQ71" s="145">
        <f t="shared" si="114"/>
        <v>0</v>
      </c>
      <c r="HR71" s="145">
        <f t="shared" si="114"/>
        <v>0</v>
      </c>
      <c r="HS71" s="145">
        <f t="shared" si="114"/>
        <v>0</v>
      </c>
      <c r="HT71" s="145">
        <f t="shared" si="114"/>
        <v>0</v>
      </c>
      <c r="HU71" s="145">
        <f t="shared" si="114"/>
        <v>0</v>
      </c>
      <c r="HV71" s="145">
        <f t="shared" si="114"/>
        <v>0</v>
      </c>
      <c r="HW71" s="145">
        <f t="shared" si="114"/>
        <v>0</v>
      </c>
      <c r="HX71" s="145">
        <f t="shared" si="114"/>
        <v>0</v>
      </c>
      <c r="HY71" s="145">
        <f t="shared" si="114"/>
        <v>0</v>
      </c>
      <c r="HZ71" s="145">
        <f t="shared" si="114"/>
        <v>0</v>
      </c>
      <c r="IA71" s="145">
        <f t="shared" si="114"/>
        <v>0</v>
      </c>
      <c r="IB71" s="145">
        <f t="shared" si="114"/>
        <v>0</v>
      </c>
      <c r="IC71" s="145">
        <f t="shared" si="114"/>
        <v>0</v>
      </c>
      <c r="ID71" s="145">
        <f t="shared" si="114"/>
        <v>0</v>
      </c>
      <c r="IE71" s="145">
        <f t="shared" si="114"/>
        <v>0</v>
      </c>
      <c r="IF71" s="145">
        <f t="shared" si="114"/>
        <v>0</v>
      </c>
      <c r="IG71" s="145">
        <f t="shared" si="114"/>
        <v>0</v>
      </c>
      <c r="IH71" s="145">
        <f t="shared" si="114"/>
        <v>0</v>
      </c>
      <c r="II71" s="145">
        <f t="shared" si="114"/>
        <v>0</v>
      </c>
      <c r="IJ71" s="145">
        <f t="shared" si="114"/>
        <v>0</v>
      </c>
      <c r="IK71" s="145">
        <f t="shared" si="114"/>
        <v>0</v>
      </c>
      <c r="IL71" s="145">
        <f t="shared" si="114"/>
        <v>0</v>
      </c>
      <c r="IM71" s="145">
        <f t="shared" si="114"/>
        <v>0</v>
      </c>
      <c r="IN71" s="145">
        <f t="shared" si="114"/>
        <v>0</v>
      </c>
      <c r="IO71" s="145">
        <f t="shared" si="114"/>
        <v>0</v>
      </c>
      <c r="IP71" s="145">
        <f t="shared" si="114"/>
        <v>0</v>
      </c>
      <c r="IQ71" s="145">
        <f t="shared" si="114"/>
        <v>0</v>
      </c>
      <c r="IR71" s="145">
        <f t="shared" si="114"/>
        <v>0</v>
      </c>
      <c r="IS71" s="145">
        <f t="shared" si="114"/>
        <v>0</v>
      </c>
      <c r="IT71" s="145">
        <f t="shared" si="114"/>
        <v>0</v>
      </c>
      <c r="IU71" s="145">
        <f t="shared" si="114"/>
        <v>0</v>
      </c>
      <c r="IV71" s="145">
        <f t="shared" si="114"/>
        <v>0</v>
      </c>
      <c r="IW71" s="145">
        <f t="shared" si="114"/>
        <v>0</v>
      </c>
      <c r="IX71" s="145">
        <f t="shared" si="114"/>
        <v>0</v>
      </c>
      <c r="IY71" s="145">
        <f t="shared" si="114"/>
        <v>0</v>
      </c>
      <c r="IZ71" s="145">
        <f t="shared" si="114"/>
        <v>0</v>
      </c>
      <c r="JA71" s="145">
        <f t="shared" si="114"/>
        <v>0</v>
      </c>
      <c r="JB71" s="145">
        <f t="shared" si="114"/>
        <v>0</v>
      </c>
      <c r="JC71" s="145">
        <f t="shared" si="114"/>
        <v>0</v>
      </c>
      <c r="JD71" s="145">
        <f t="shared" si="114"/>
        <v>0</v>
      </c>
      <c r="JE71" s="145">
        <f t="shared" si="114"/>
        <v>0</v>
      </c>
      <c r="JF71" s="145">
        <f t="shared" si="114"/>
        <v>0</v>
      </c>
      <c r="JG71" s="145">
        <f t="shared" si="114"/>
        <v>0</v>
      </c>
      <c r="JH71" s="145">
        <f t="shared" si="114"/>
        <v>0</v>
      </c>
      <c r="JI71" s="145">
        <f t="shared" si="114"/>
        <v>0</v>
      </c>
      <c r="JJ71" s="145">
        <f t="shared" si="114"/>
        <v>0</v>
      </c>
      <c r="JK71" s="145">
        <f t="shared" si="114"/>
        <v>0</v>
      </c>
      <c r="JL71" s="145">
        <f t="shared" si="114"/>
        <v>0</v>
      </c>
      <c r="JM71" s="145">
        <f t="shared" si="114"/>
        <v>0</v>
      </c>
      <c r="JN71" s="145">
        <f t="shared" si="114"/>
        <v>0</v>
      </c>
      <c r="JO71" s="145">
        <f t="shared" si="114"/>
        <v>0</v>
      </c>
      <c r="JP71" s="145">
        <f t="shared" si="114"/>
        <v>0</v>
      </c>
      <c r="JQ71" s="145">
        <f t="shared" si="114"/>
        <v>0</v>
      </c>
      <c r="JR71" s="145">
        <f t="shared" si="114"/>
        <v>0</v>
      </c>
      <c r="JS71" s="145">
        <f t="shared" si="114"/>
        <v>0</v>
      </c>
      <c r="JT71" s="145">
        <f t="shared" si="114"/>
        <v>0</v>
      </c>
      <c r="JU71" s="145">
        <f t="shared" si="114"/>
        <v>0</v>
      </c>
      <c r="JV71" s="145">
        <f t="shared" si="114"/>
        <v>0</v>
      </c>
      <c r="JW71" s="145">
        <f t="shared" si="114"/>
        <v>0</v>
      </c>
      <c r="JX71" s="145">
        <f t="shared" si="114"/>
        <v>0</v>
      </c>
      <c r="JY71" s="145">
        <f t="shared" si="114"/>
        <v>0</v>
      </c>
      <c r="JZ71" s="145">
        <f t="shared" ref="JZ71:MK71" si="115">SUM(JZ55:JZ69)</f>
        <v>0</v>
      </c>
      <c r="KA71" s="145">
        <f t="shared" si="115"/>
        <v>0</v>
      </c>
      <c r="KB71" s="145">
        <f t="shared" si="115"/>
        <v>0</v>
      </c>
      <c r="KC71" s="145">
        <f t="shared" si="115"/>
        <v>0</v>
      </c>
      <c r="KD71" s="145">
        <f t="shared" si="115"/>
        <v>0</v>
      </c>
      <c r="KE71" s="145">
        <f t="shared" si="115"/>
        <v>0</v>
      </c>
      <c r="KF71" s="145">
        <f t="shared" si="115"/>
        <v>0</v>
      </c>
      <c r="KG71" s="145">
        <f t="shared" si="115"/>
        <v>0</v>
      </c>
      <c r="KH71" s="145">
        <f t="shared" si="115"/>
        <v>0</v>
      </c>
      <c r="KI71" s="145">
        <f t="shared" si="115"/>
        <v>0</v>
      </c>
      <c r="KJ71" s="145">
        <f t="shared" si="115"/>
        <v>0</v>
      </c>
      <c r="KK71" s="145">
        <f t="shared" si="115"/>
        <v>0</v>
      </c>
      <c r="KL71" s="145">
        <f t="shared" si="115"/>
        <v>0</v>
      </c>
      <c r="KM71" s="145">
        <f t="shared" si="115"/>
        <v>0</v>
      </c>
      <c r="KN71" s="145">
        <f t="shared" si="115"/>
        <v>0</v>
      </c>
      <c r="KO71" s="145">
        <f t="shared" si="115"/>
        <v>0</v>
      </c>
      <c r="KP71" s="145">
        <f t="shared" si="115"/>
        <v>0</v>
      </c>
      <c r="KQ71" s="145">
        <f t="shared" si="115"/>
        <v>0</v>
      </c>
      <c r="KR71" s="145">
        <f t="shared" si="115"/>
        <v>0</v>
      </c>
      <c r="KS71" s="145">
        <f t="shared" si="115"/>
        <v>0</v>
      </c>
      <c r="KT71" s="145">
        <f t="shared" si="115"/>
        <v>0</v>
      </c>
      <c r="KU71" s="145">
        <f t="shared" si="115"/>
        <v>0</v>
      </c>
      <c r="KV71" s="145">
        <f t="shared" si="115"/>
        <v>0</v>
      </c>
      <c r="KW71" s="145">
        <f t="shared" si="115"/>
        <v>0</v>
      </c>
      <c r="KX71" s="145">
        <f t="shared" si="115"/>
        <v>0</v>
      </c>
      <c r="KY71" s="145">
        <f t="shared" si="115"/>
        <v>0</v>
      </c>
      <c r="KZ71" s="195">
        <f t="shared" si="115"/>
        <v>0</v>
      </c>
      <c r="LA71" s="195">
        <f t="shared" si="115"/>
        <v>0</v>
      </c>
      <c r="LB71" s="195">
        <f t="shared" si="115"/>
        <v>0</v>
      </c>
      <c r="LC71" s="195">
        <f t="shared" si="115"/>
        <v>0</v>
      </c>
      <c r="LD71" s="195">
        <f t="shared" si="115"/>
        <v>0</v>
      </c>
      <c r="LE71" s="145">
        <f t="shared" si="115"/>
        <v>0</v>
      </c>
      <c r="LF71" s="145">
        <f t="shared" si="115"/>
        <v>0</v>
      </c>
      <c r="LG71" s="211">
        <f t="shared" si="115"/>
        <v>0</v>
      </c>
      <c r="LH71" s="211">
        <f t="shared" si="115"/>
        <v>0</v>
      </c>
      <c r="LI71" s="211">
        <f t="shared" si="115"/>
        <v>0</v>
      </c>
      <c r="LJ71" s="211">
        <f t="shared" si="115"/>
        <v>0</v>
      </c>
      <c r="LK71" s="211">
        <f t="shared" si="115"/>
        <v>0</v>
      </c>
      <c r="LL71" s="211">
        <f t="shared" si="115"/>
        <v>0</v>
      </c>
      <c r="LM71" s="211">
        <f t="shared" si="115"/>
        <v>0</v>
      </c>
      <c r="LN71" s="145">
        <f t="shared" si="115"/>
        <v>0</v>
      </c>
      <c r="LO71" s="145">
        <f t="shared" si="115"/>
        <v>0</v>
      </c>
      <c r="LP71" s="145">
        <f t="shared" si="115"/>
        <v>0</v>
      </c>
      <c r="LQ71" s="145">
        <f t="shared" si="115"/>
        <v>0</v>
      </c>
      <c r="LR71" s="145">
        <f t="shared" si="115"/>
        <v>0</v>
      </c>
      <c r="LS71" s="211">
        <f t="shared" si="115"/>
        <v>0</v>
      </c>
      <c r="LT71" s="211">
        <f t="shared" si="115"/>
        <v>0</v>
      </c>
      <c r="LU71" s="145">
        <f t="shared" si="115"/>
        <v>0</v>
      </c>
      <c r="LV71" s="145">
        <f t="shared" si="115"/>
        <v>0</v>
      </c>
      <c r="LW71" s="145">
        <f t="shared" si="115"/>
        <v>0</v>
      </c>
      <c r="LX71" s="145">
        <f t="shared" si="115"/>
        <v>0</v>
      </c>
      <c r="LY71" s="145">
        <f t="shared" si="115"/>
        <v>0</v>
      </c>
      <c r="LZ71" s="145">
        <f t="shared" si="115"/>
        <v>0</v>
      </c>
      <c r="MA71" s="145">
        <f t="shared" si="115"/>
        <v>0</v>
      </c>
      <c r="MB71" s="145">
        <f t="shared" si="115"/>
        <v>0</v>
      </c>
      <c r="MC71" s="145">
        <f t="shared" si="115"/>
        <v>0</v>
      </c>
      <c r="MD71" s="145">
        <f t="shared" si="115"/>
        <v>0</v>
      </c>
      <c r="ME71" s="145">
        <f t="shared" si="115"/>
        <v>0</v>
      </c>
      <c r="MF71" s="145">
        <f t="shared" si="115"/>
        <v>0</v>
      </c>
      <c r="MG71" s="145">
        <f t="shared" si="115"/>
        <v>0</v>
      </c>
      <c r="MH71" s="145">
        <f t="shared" si="115"/>
        <v>0</v>
      </c>
      <c r="MI71" s="145">
        <f t="shared" si="115"/>
        <v>0</v>
      </c>
      <c r="MJ71" s="145">
        <f t="shared" si="115"/>
        <v>0</v>
      </c>
      <c r="MK71" s="145">
        <f t="shared" si="115"/>
        <v>0</v>
      </c>
      <c r="ML71" s="145">
        <f t="shared" ref="ML71:NA71" si="116">SUM(ML55:ML69)</f>
        <v>0</v>
      </c>
      <c r="MM71" s="145">
        <f t="shared" si="116"/>
        <v>0</v>
      </c>
      <c r="MN71" s="145">
        <f t="shared" si="116"/>
        <v>0</v>
      </c>
      <c r="MO71" s="145">
        <f t="shared" si="116"/>
        <v>0</v>
      </c>
      <c r="MP71" s="145">
        <f t="shared" si="116"/>
        <v>0</v>
      </c>
      <c r="MQ71" s="145">
        <f t="shared" si="116"/>
        <v>0</v>
      </c>
      <c r="MR71" s="145">
        <f t="shared" si="116"/>
        <v>0</v>
      </c>
      <c r="MS71" s="145">
        <f t="shared" si="116"/>
        <v>0</v>
      </c>
      <c r="MT71" s="145">
        <f t="shared" si="116"/>
        <v>0</v>
      </c>
      <c r="MU71" s="145">
        <f t="shared" si="116"/>
        <v>0</v>
      </c>
      <c r="MV71" s="145">
        <f t="shared" si="116"/>
        <v>0</v>
      </c>
      <c r="MW71" s="145">
        <f t="shared" si="116"/>
        <v>0</v>
      </c>
      <c r="MX71" s="145">
        <f t="shared" si="116"/>
        <v>0</v>
      </c>
      <c r="MY71" s="145">
        <f t="shared" si="116"/>
        <v>0</v>
      </c>
      <c r="MZ71" s="145">
        <f t="shared" si="116"/>
        <v>0</v>
      </c>
      <c r="NA71" s="145">
        <f t="shared" si="116"/>
        <v>0</v>
      </c>
    </row>
    <row r="72" spans="1:368" s="140" customFormat="1" ht="15" customHeight="1">
      <c r="A72" s="470">
        <v>0.54166666666666696</v>
      </c>
      <c r="B72" s="460" t="s">
        <v>7</v>
      </c>
      <c r="C72" s="163" t="s">
        <v>10</v>
      </c>
      <c r="D72" s="265"/>
      <c r="E72" s="266"/>
      <c r="F72" s="266"/>
      <c r="G72" s="266"/>
      <c r="H72" s="267"/>
      <c r="I72" s="194"/>
      <c r="J72" s="194"/>
      <c r="K72" s="265"/>
      <c r="L72" s="266"/>
      <c r="M72" s="266"/>
      <c r="N72" s="266"/>
      <c r="O72" s="267"/>
      <c r="P72" s="194"/>
      <c r="Q72" s="194"/>
      <c r="R72" s="265"/>
      <c r="S72" s="266"/>
      <c r="T72" s="266"/>
      <c r="U72" s="266"/>
      <c r="V72" s="267"/>
      <c r="W72" s="194"/>
      <c r="X72" s="194"/>
      <c r="Y72" s="265"/>
      <c r="Z72" s="266"/>
      <c r="AA72" s="266"/>
      <c r="AB72" s="266"/>
      <c r="AC72" s="267"/>
      <c r="AD72" s="194"/>
      <c r="AE72" s="194"/>
      <c r="AF72" s="265"/>
      <c r="AG72" s="266"/>
      <c r="AH72" s="266"/>
      <c r="AI72" s="266"/>
      <c r="AJ72" s="267"/>
      <c r="AK72" s="194"/>
      <c r="AL72" s="194"/>
      <c r="AM72" s="265"/>
      <c r="AN72" s="266"/>
      <c r="AO72" s="266"/>
      <c r="AP72" s="266"/>
      <c r="AQ72" s="267"/>
      <c r="AR72" s="194"/>
      <c r="AS72" s="194"/>
      <c r="AT72" s="265"/>
      <c r="AU72" s="266"/>
      <c r="AV72" s="266"/>
      <c r="AW72" s="266"/>
      <c r="AX72" s="267"/>
      <c r="AY72" s="194"/>
      <c r="AZ72" s="194"/>
      <c r="BA72" s="265"/>
      <c r="BB72" s="266"/>
      <c r="BC72" s="266"/>
      <c r="BD72" s="266"/>
      <c r="BE72" s="267"/>
      <c r="BF72" s="194"/>
      <c r="BG72" s="194"/>
      <c r="BH72" s="265"/>
      <c r="BI72" s="266"/>
      <c r="BJ72" s="266"/>
      <c r="BK72" s="266"/>
      <c r="BL72" s="267"/>
      <c r="BM72" s="194"/>
      <c r="BN72" s="194"/>
      <c r="BO72" s="265"/>
      <c r="BP72" s="266"/>
      <c r="BQ72" s="266"/>
      <c r="BR72" s="266"/>
      <c r="BS72" s="267"/>
      <c r="BT72" s="194"/>
      <c r="BU72" s="194"/>
      <c r="BV72" s="265"/>
      <c r="BW72" s="266"/>
      <c r="BX72" s="266"/>
      <c r="BY72" s="266"/>
      <c r="BZ72" s="267"/>
      <c r="CA72" s="194"/>
      <c r="CB72" s="194"/>
      <c r="CC72" s="265"/>
      <c r="CD72" s="266"/>
      <c r="CE72" s="266"/>
      <c r="CF72" s="266"/>
      <c r="CG72" s="267"/>
      <c r="CH72" s="194"/>
      <c r="CI72" s="194"/>
      <c r="CJ72" s="265"/>
      <c r="CK72" s="266"/>
      <c r="CL72" s="266"/>
      <c r="CM72" s="266"/>
      <c r="CN72" s="267"/>
      <c r="CO72" s="194"/>
      <c r="CP72" s="194"/>
      <c r="CQ72" s="265"/>
      <c r="CR72" s="266"/>
      <c r="CS72" s="266"/>
      <c r="CT72" s="266"/>
      <c r="CU72" s="267"/>
      <c r="CV72" s="194"/>
      <c r="CW72" s="194"/>
      <c r="CX72" s="265"/>
      <c r="CY72" s="266"/>
      <c r="CZ72" s="266"/>
      <c r="DA72" s="266"/>
      <c r="DB72" s="267"/>
      <c r="DC72" s="194"/>
      <c r="DD72" s="194"/>
      <c r="DE72" s="265"/>
      <c r="DF72" s="266"/>
      <c r="DG72" s="266"/>
      <c r="DH72" s="266"/>
      <c r="DI72" s="267"/>
      <c r="DJ72" s="194"/>
      <c r="DK72" s="194"/>
      <c r="DL72" s="265"/>
      <c r="DM72" s="266"/>
      <c r="DN72" s="266"/>
      <c r="DO72" s="266"/>
      <c r="DP72" s="267"/>
      <c r="DQ72" s="194"/>
      <c r="DR72" s="194"/>
      <c r="DS72" s="265"/>
      <c r="DT72" s="266"/>
      <c r="DU72" s="266"/>
      <c r="DV72" s="266"/>
      <c r="DW72" s="267"/>
      <c r="DX72" s="194"/>
      <c r="DY72" s="194"/>
      <c r="DZ72" s="265"/>
      <c r="EA72" s="266"/>
      <c r="EB72" s="266"/>
      <c r="EC72" s="266"/>
      <c r="ED72" s="267"/>
      <c r="EE72" s="194"/>
      <c r="EF72" s="194"/>
      <c r="EG72" s="265"/>
      <c r="EH72" s="266"/>
      <c r="EI72" s="266"/>
      <c r="EJ72" s="266"/>
      <c r="EK72" s="267"/>
      <c r="EL72" s="194"/>
      <c r="EM72" s="194"/>
      <c r="EN72" s="265"/>
      <c r="EO72" s="266"/>
      <c r="EP72" s="266"/>
      <c r="EQ72" s="266"/>
      <c r="ER72" s="267"/>
      <c r="ES72" s="194"/>
      <c r="ET72" s="194"/>
      <c r="EU72" s="265"/>
      <c r="EV72" s="266"/>
      <c r="EW72" s="266"/>
      <c r="EX72" s="266"/>
      <c r="EY72" s="267"/>
      <c r="EZ72" s="194"/>
      <c r="FA72" s="194"/>
      <c r="FB72" s="265"/>
      <c r="FC72" s="266"/>
      <c r="FD72" s="266"/>
      <c r="FE72" s="266"/>
      <c r="FF72" s="267"/>
      <c r="FG72" s="194"/>
      <c r="FH72" s="194"/>
      <c r="FI72" s="265"/>
      <c r="FJ72" s="266"/>
      <c r="FK72" s="266"/>
      <c r="FL72" s="266"/>
      <c r="FM72" s="267"/>
      <c r="FN72" s="194"/>
      <c r="FO72" s="194"/>
      <c r="FP72" s="265"/>
      <c r="FQ72" s="266"/>
      <c r="FR72" s="266"/>
      <c r="FS72" s="266"/>
      <c r="FT72" s="267"/>
      <c r="FU72" s="194"/>
      <c r="FV72" s="194"/>
      <c r="FW72" s="265"/>
      <c r="FX72" s="266"/>
      <c r="FY72" s="266"/>
      <c r="FZ72" s="266"/>
      <c r="GA72" s="267"/>
      <c r="GB72" s="194"/>
      <c r="GC72" s="194"/>
      <c r="GD72" s="143"/>
      <c r="GE72" s="143"/>
      <c r="GF72" s="143"/>
      <c r="GG72" s="143"/>
      <c r="GH72" s="143"/>
      <c r="GI72" s="194"/>
      <c r="GJ72" s="194"/>
      <c r="GK72" s="143"/>
      <c r="GL72" s="143"/>
      <c r="GM72" s="143"/>
      <c r="GN72" s="143"/>
      <c r="GO72" s="143"/>
      <c r="GP72" s="210"/>
      <c r="GQ72" s="210"/>
      <c r="GR72" s="143"/>
      <c r="GS72" s="143"/>
      <c r="GT72" s="143"/>
      <c r="GU72" s="143"/>
      <c r="GV72" s="143"/>
      <c r="GW72" s="210"/>
      <c r="GX72" s="210"/>
      <c r="GY72" s="143"/>
      <c r="GZ72" s="143"/>
      <c r="HA72" s="143"/>
      <c r="HB72" s="143"/>
      <c r="HC72" s="143"/>
      <c r="HD72" s="210"/>
      <c r="HE72" s="210"/>
      <c r="HF72" s="143"/>
      <c r="HG72" s="143"/>
      <c r="HH72" s="143"/>
      <c r="HI72" s="143"/>
      <c r="HJ72" s="143"/>
      <c r="HK72" s="210"/>
      <c r="HL72" s="210"/>
      <c r="HM72" s="143"/>
      <c r="HN72" s="143"/>
      <c r="HO72" s="143"/>
      <c r="HP72" s="143"/>
      <c r="HQ72" s="143"/>
      <c r="HR72" s="143"/>
      <c r="HS72" s="143"/>
      <c r="HT72" s="143"/>
      <c r="HU72" s="143"/>
      <c r="HV72" s="143"/>
      <c r="HW72" s="143"/>
      <c r="HX72" s="143"/>
      <c r="HY72" s="203"/>
      <c r="HZ72" s="203"/>
      <c r="IA72" s="143"/>
      <c r="IB72" s="143"/>
      <c r="IC72" s="143"/>
      <c r="ID72" s="143"/>
      <c r="IE72" s="143"/>
      <c r="IF72" s="203"/>
      <c r="IG72" s="203"/>
      <c r="IH72" s="143"/>
      <c r="II72" s="143"/>
      <c r="IJ72" s="143"/>
      <c r="IK72" s="143"/>
      <c r="IL72" s="143"/>
      <c r="IM72" s="203"/>
      <c r="IN72" s="203"/>
      <c r="IO72" s="143"/>
      <c r="IP72" s="143"/>
      <c r="IQ72" s="227"/>
      <c r="IR72" s="227"/>
      <c r="IS72" s="227"/>
      <c r="IT72" s="203"/>
      <c r="IU72" s="203"/>
      <c r="IV72" s="143"/>
      <c r="IW72" s="143"/>
      <c r="IX72" s="143"/>
      <c r="IY72" s="143"/>
      <c r="IZ72" s="143"/>
      <c r="JA72" s="203"/>
      <c r="JB72" s="203"/>
      <c r="JC72" s="227"/>
      <c r="JD72" s="227"/>
      <c r="JE72" s="143"/>
      <c r="JF72" s="143"/>
      <c r="JG72" s="143"/>
      <c r="JH72" s="203"/>
      <c r="JI72" s="203"/>
      <c r="JJ72" s="143"/>
      <c r="JK72" s="143"/>
      <c r="JL72" s="143"/>
      <c r="JM72" s="143"/>
      <c r="JN72" s="143"/>
      <c r="JO72" s="203"/>
      <c r="JP72" s="203"/>
      <c r="JQ72" s="143"/>
      <c r="JR72" s="143"/>
      <c r="JS72" s="143"/>
      <c r="JT72" s="143"/>
      <c r="JU72" s="143"/>
      <c r="JV72" s="203"/>
      <c r="JW72" s="203"/>
      <c r="JX72" s="143"/>
      <c r="JY72" s="143"/>
      <c r="JZ72" s="143"/>
      <c r="KA72" s="143"/>
      <c r="KB72" s="143"/>
      <c r="KC72" s="203"/>
      <c r="KD72" s="203"/>
      <c r="KE72" s="143"/>
      <c r="KF72" s="143"/>
      <c r="KG72" s="143"/>
      <c r="KH72" s="143"/>
      <c r="KI72" s="143"/>
      <c r="KJ72" s="194"/>
      <c r="KK72" s="194"/>
      <c r="KL72" s="143"/>
      <c r="KM72" s="143"/>
      <c r="KN72" s="143"/>
      <c r="KO72" s="143"/>
      <c r="KP72" s="227"/>
      <c r="KQ72" s="194"/>
      <c r="KR72" s="194"/>
      <c r="KS72" s="143"/>
      <c r="KT72" s="143"/>
      <c r="KU72" s="143"/>
      <c r="KV72" s="143"/>
      <c r="KW72" s="143"/>
      <c r="KX72" s="210"/>
      <c r="KY72" s="210"/>
      <c r="KZ72" s="194"/>
      <c r="LA72" s="194"/>
      <c r="LB72" s="194"/>
      <c r="LC72" s="194"/>
      <c r="LD72" s="194"/>
      <c r="LE72" s="210"/>
      <c r="LF72" s="210"/>
      <c r="LG72" s="227"/>
      <c r="LH72" s="227"/>
      <c r="LI72" s="227"/>
      <c r="LJ72" s="227"/>
      <c r="LK72" s="227"/>
      <c r="LL72" s="227"/>
      <c r="LM72" s="210"/>
      <c r="LN72" s="143"/>
      <c r="LO72" s="227"/>
      <c r="LP72" s="227"/>
      <c r="LQ72" s="227"/>
      <c r="LR72" s="227"/>
      <c r="LS72" s="210"/>
      <c r="LT72" s="210"/>
      <c r="LU72" s="227"/>
      <c r="LV72" s="143"/>
      <c r="LW72" s="143"/>
      <c r="LX72" s="143"/>
      <c r="LY72" s="143"/>
      <c r="LZ72" s="203"/>
      <c r="MA72" s="203"/>
      <c r="MB72" s="143"/>
      <c r="MC72" s="143"/>
      <c r="MD72" s="143"/>
      <c r="ME72" s="143"/>
      <c r="MF72" s="143"/>
      <c r="MG72" s="203"/>
      <c r="MH72" s="203"/>
      <c r="MI72" s="143"/>
      <c r="MJ72" s="143"/>
      <c r="MK72" s="143"/>
      <c r="ML72" s="143"/>
      <c r="MM72" s="143"/>
      <c r="MN72" s="203"/>
      <c r="MO72" s="203"/>
      <c r="MP72" s="143"/>
      <c r="MQ72" s="143"/>
      <c r="MR72" s="143"/>
      <c r="MS72" s="143"/>
      <c r="MT72" s="143"/>
      <c r="MU72" s="203"/>
      <c r="MV72" s="203"/>
      <c r="MW72" s="143"/>
      <c r="MX72" s="143"/>
      <c r="MY72" s="143"/>
      <c r="MZ72" s="143"/>
      <c r="NA72" s="143"/>
      <c r="NB72" s="143"/>
      <c r="NC72" s="143"/>
      <c r="ND72" s="143"/>
    </row>
    <row r="73" spans="1:368" s="140" customFormat="1" ht="15" customHeight="1">
      <c r="A73" s="470"/>
      <c r="B73" s="461"/>
      <c r="C73" s="164" t="s">
        <v>11</v>
      </c>
      <c r="D73" s="268"/>
      <c r="E73" s="143"/>
      <c r="F73" s="143"/>
      <c r="G73" s="143"/>
      <c r="H73" s="269"/>
      <c r="I73" s="194"/>
      <c r="J73" s="194"/>
      <c r="K73" s="268"/>
      <c r="L73" s="143"/>
      <c r="M73" s="143"/>
      <c r="N73" s="143"/>
      <c r="O73" s="269"/>
      <c r="P73" s="194"/>
      <c r="Q73" s="194"/>
      <c r="R73" s="268"/>
      <c r="S73" s="143"/>
      <c r="T73" s="143"/>
      <c r="U73" s="143"/>
      <c r="V73" s="269"/>
      <c r="W73" s="194"/>
      <c r="X73" s="194"/>
      <c r="Y73" s="268"/>
      <c r="Z73" s="143"/>
      <c r="AA73" s="143"/>
      <c r="AB73" s="143"/>
      <c r="AC73" s="269"/>
      <c r="AD73" s="194"/>
      <c r="AE73" s="194"/>
      <c r="AF73" s="268"/>
      <c r="AG73" s="143"/>
      <c r="AH73" s="143"/>
      <c r="AI73" s="143"/>
      <c r="AJ73" s="269"/>
      <c r="AK73" s="194"/>
      <c r="AL73" s="194"/>
      <c r="AM73" s="268"/>
      <c r="AN73" s="143"/>
      <c r="AO73" s="143"/>
      <c r="AP73" s="143"/>
      <c r="AQ73" s="269"/>
      <c r="AR73" s="194"/>
      <c r="AS73" s="194"/>
      <c r="AT73" s="268"/>
      <c r="AU73" s="143"/>
      <c r="AV73" s="143"/>
      <c r="AW73" s="143"/>
      <c r="AX73" s="269"/>
      <c r="AY73" s="194"/>
      <c r="AZ73" s="194"/>
      <c r="BA73" s="268"/>
      <c r="BB73" s="143"/>
      <c r="BC73" s="143"/>
      <c r="BD73" s="143"/>
      <c r="BE73" s="269"/>
      <c r="BF73" s="194"/>
      <c r="BG73" s="194"/>
      <c r="BH73" s="268"/>
      <c r="BI73" s="143"/>
      <c r="BJ73" s="143"/>
      <c r="BK73" s="143"/>
      <c r="BL73" s="269"/>
      <c r="BM73" s="194"/>
      <c r="BN73" s="194"/>
      <c r="BO73" s="268"/>
      <c r="BP73" s="143"/>
      <c r="BQ73" s="143"/>
      <c r="BR73" s="143"/>
      <c r="BS73" s="269"/>
      <c r="BT73" s="194"/>
      <c r="BU73" s="194"/>
      <c r="BV73" s="268"/>
      <c r="BW73" s="143"/>
      <c r="BX73" s="143"/>
      <c r="BY73" s="143"/>
      <c r="BZ73" s="269"/>
      <c r="CA73" s="194"/>
      <c r="CB73" s="194"/>
      <c r="CC73" s="268"/>
      <c r="CD73" s="143"/>
      <c r="CE73" s="143"/>
      <c r="CF73" s="143"/>
      <c r="CG73" s="269"/>
      <c r="CH73" s="194"/>
      <c r="CI73" s="194"/>
      <c r="CJ73" s="268"/>
      <c r="CK73" s="143"/>
      <c r="CL73" s="143"/>
      <c r="CM73" s="143"/>
      <c r="CN73" s="269"/>
      <c r="CO73" s="194"/>
      <c r="CP73" s="194"/>
      <c r="CQ73" s="268"/>
      <c r="CR73" s="143"/>
      <c r="CS73" s="143"/>
      <c r="CT73" s="143"/>
      <c r="CU73" s="269"/>
      <c r="CV73" s="194"/>
      <c r="CW73" s="194"/>
      <c r="CX73" s="268"/>
      <c r="CY73" s="143"/>
      <c r="CZ73" s="143"/>
      <c r="DA73" s="143"/>
      <c r="DB73" s="269"/>
      <c r="DC73" s="194"/>
      <c r="DD73" s="194"/>
      <c r="DE73" s="268"/>
      <c r="DF73" s="143"/>
      <c r="DG73" s="143"/>
      <c r="DH73" s="143"/>
      <c r="DI73" s="269"/>
      <c r="DJ73" s="194"/>
      <c r="DK73" s="194"/>
      <c r="DL73" s="268"/>
      <c r="DM73" s="143"/>
      <c r="DN73" s="143"/>
      <c r="DO73" s="143"/>
      <c r="DP73" s="269"/>
      <c r="DQ73" s="194"/>
      <c r="DR73" s="194"/>
      <c r="DS73" s="268"/>
      <c r="DT73" s="143"/>
      <c r="DU73" s="143"/>
      <c r="DV73" s="143"/>
      <c r="DW73" s="269"/>
      <c r="DX73" s="194"/>
      <c r="DY73" s="194"/>
      <c r="DZ73" s="268"/>
      <c r="EA73" s="143"/>
      <c r="EB73" s="143"/>
      <c r="EC73" s="143"/>
      <c r="ED73" s="269"/>
      <c r="EE73" s="194"/>
      <c r="EF73" s="194"/>
      <c r="EG73" s="268"/>
      <c r="EH73" s="143"/>
      <c r="EI73" s="143"/>
      <c r="EJ73" s="143"/>
      <c r="EK73" s="269"/>
      <c r="EL73" s="194"/>
      <c r="EM73" s="194"/>
      <c r="EN73" s="268"/>
      <c r="EO73" s="143"/>
      <c r="EP73" s="143"/>
      <c r="EQ73" s="143"/>
      <c r="ER73" s="269"/>
      <c r="ES73" s="194"/>
      <c r="ET73" s="194"/>
      <c r="EU73" s="268"/>
      <c r="EV73" s="143"/>
      <c r="EW73" s="143"/>
      <c r="EX73" s="143"/>
      <c r="EY73" s="269"/>
      <c r="EZ73" s="194"/>
      <c r="FA73" s="194"/>
      <c r="FB73" s="268"/>
      <c r="FC73" s="143"/>
      <c r="FD73" s="143"/>
      <c r="FE73" s="143"/>
      <c r="FF73" s="269"/>
      <c r="FG73" s="194"/>
      <c r="FH73" s="194"/>
      <c r="FI73" s="268"/>
      <c r="FJ73" s="143"/>
      <c r="FK73" s="143"/>
      <c r="FL73" s="143"/>
      <c r="FM73" s="269"/>
      <c r="FN73" s="194"/>
      <c r="FO73" s="194"/>
      <c r="FP73" s="268"/>
      <c r="FQ73" s="143"/>
      <c r="FR73" s="143"/>
      <c r="FS73" s="143"/>
      <c r="FT73" s="269"/>
      <c r="FU73" s="194"/>
      <c r="FV73" s="194"/>
      <c r="FW73" s="268"/>
      <c r="FX73" s="143"/>
      <c r="FY73" s="143"/>
      <c r="FZ73" s="143"/>
      <c r="GA73" s="269"/>
      <c r="GB73" s="194"/>
      <c r="GC73" s="194"/>
      <c r="GD73" s="143"/>
      <c r="GE73" s="143"/>
      <c r="GF73" s="143"/>
      <c r="GG73" s="143"/>
      <c r="GH73" s="143"/>
      <c r="GI73" s="194"/>
      <c r="GJ73" s="194"/>
      <c r="GK73" s="143"/>
      <c r="GL73" s="143"/>
      <c r="GM73" s="143"/>
      <c r="GN73" s="143"/>
      <c r="GO73" s="143"/>
      <c r="GP73" s="210"/>
      <c r="GQ73" s="210"/>
      <c r="GR73" s="143"/>
      <c r="GS73" s="143"/>
      <c r="GT73" s="143"/>
      <c r="GU73" s="143"/>
      <c r="GV73" s="143"/>
      <c r="GW73" s="210"/>
      <c r="GX73" s="210"/>
      <c r="GY73" s="143"/>
      <c r="GZ73" s="143"/>
      <c r="HA73" s="143"/>
      <c r="HB73" s="143"/>
      <c r="HC73" s="143"/>
      <c r="HD73" s="210"/>
      <c r="HE73" s="210"/>
      <c r="HF73" s="143"/>
      <c r="HG73" s="143"/>
      <c r="HH73" s="143"/>
      <c r="HI73" s="143"/>
      <c r="HJ73" s="143"/>
      <c r="HK73" s="210"/>
      <c r="HL73" s="210"/>
      <c r="HM73" s="143"/>
      <c r="HN73" s="143"/>
      <c r="HO73" s="143"/>
      <c r="HP73" s="143"/>
      <c r="HQ73" s="143"/>
      <c r="HR73" s="143"/>
      <c r="HS73" s="143"/>
      <c r="HT73" s="143"/>
      <c r="HU73" s="143"/>
      <c r="HV73" s="143"/>
      <c r="HW73" s="143"/>
      <c r="HX73" s="143"/>
      <c r="HY73" s="203"/>
      <c r="HZ73" s="203"/>
      <c r="IA73" s="143"/>
      <c r="IB73" s="143"/>
      <c r="IC73" s="143"/>
      <c r="ID73" s="143"/>
      <c r="IE73" s="143"/>
      <c r="IF73" s="203"/>
      <c r="IG73" s="203"/>
      <c r="IH73" s="206"/>
      <c r="II73" s="206"/>
      <c r="IJ73" s="206"/>
      <c r="IK73" s="206"/>
      <c r="IL73" s="143"/>
      <c r="IM73" s="203"/>
      <c r="IN73" s="203"/>
      <c r="IO73" s="143"/>
      <c r="IP73" s="143"/>
      <c r="IQ73" s="227"/>
      <c r="IR73" s="227"/>
      <c r="IS73" s="227"/>
      <c r="IT73" s="203"/>
      <c r="IU73" s="203"/>
      <c r="IV73" s="143"/>
      <c r="IW73" s="143"/>
      <c r="IX73" s="143"/>
      <c r="IY73" s="143"/>
      <c r="IZ73" s="143"/>
      <c r="JA73" s="203"/>
      <c r="JB73" s="203"/>
      <c r="JC73" s="227"/>
      <c r="JD73" s="227"/>
      <c r="JE73" s="143"/>
      <c r="JF73" s="143"/>
      <c r="JG73" s="143"/>
      <c r="JH73" s="203"/>
      <c r="JI73" s="203"/>
      <c r="JJ73" s="143"/>
      <c r="JK73" s="143"/>
      <c r="JL73" s="143"/>
      <c r="JM73" s="143"/>
      <c r="JN73" s="143"/>
      <c r="JO73" s="203"/>
      <c r="JP73" s="203"/>
      <c r="JQ73" s="143"/>
      <c r="JR73" s="143"/>
      <c r="JS73" s="143"/>
      <c r="JT73" s="143"/>
      <c r="JU73" s="143"/>
      <c r="JV73" s="203"/>
      <c r="JW73" s="203"/>
      <c r="JX73" s="143"/>
      <c r="JY73" s="143"/>
      <c r="JZ73" s="143"/>
      <c r="KA73" s="143"/>
      <c r="KB73" s="143"/>
      <c r="KC73" s="203"/>
      <c r="KD73" s="203"/>
      <c r="KE73" s="143"/>
      <c r="KF73" s="143"/>
      <c r="KG73" s="143"/>
      <c r="KH73" s="143"/>
      <c r="KI73" s="143"/>
      <c r="KJ73" s="194"/>
      <c r="KK73" s="194"/>
      <c r="KL73" s="143"/>
      <c r="KM73" s="143"/>
      <c r="KN73" s="143"/>
      <c r="KO73" s="143"/>
      <c r="KP73" s="227"/>
      <c r="KQ73" s="194"/>
      <c r="KR73" s="194"/>
      <c r="KS73" s="143"/>
      <c r="KT73" s="143"/>
      <c r="KU73" s="143"/>
      <c r="KV73" s="143"/>
      <c r="KW73" s="143"/>
      <c r="KX73" s="210"/>
      <c r="KY73" s="210"/>
      <c r="KZ73" s="194"/>
      <c r="LA73" s="194"/>
      <c r="LB73" s="194"/>
      <c r="LC73" s="194"/>
      <c r="LD73" s="194"/>
      <c r="LE73" s="210"/>
      <c r="LF73" s="210"/>
      <c r="LG73" s="227"/>
      <c r="LH73" s="227"/>
      <c r="LI73" s="227"/>
      <c r="LJ73" s="227"/>
      <c r="LK73" s="227"/>
      <c r="LL73" s="227"/>
      <c r="LM73" s="210"/>
      <c r="LN73" s="143"/>
      <c r="LO73" s="227"/>
      <c r="LP73" s="227"/>
      <c r="LQ73" s="227"/>
      <c r="LR73" s="227"/>
      <c r="LS73" s="210"/>
      <c r="LT73" s="210"/>
      <c r="LU73" s="227"/>
      <c r="LV73" s="143"/>
      <c r="LW73" s="143"/>
      <c r="LX73" s="143"/>
      <c r="LY73" s="143"/>
      <c r="LZ73" s="203"/>
      <c r="MA73" s="203"/>
      <c r="MB73" s="143"/>
      <c r="MC73" s="143"/>
      <c r="MD73" s="143"/>
      <c r="ME73" s="143"/>
      <c r="MF73" s="143"/>
      <c r="MG73" s="203"/>
      <c r="MH73" s="203"/>
      <c r="MI73" s="143"/>
      <c r="MJ73" s="143"/>
      <c r="MK73" s="143"/>
      <c r="ML73" s="143"/>
      <c r="MM73" s="143"/>
      <c r="MN73" s="203"/>
      <c r="MO73" s="203"/>
      <c r="MP73" s="143"/>
      <c r="MQ73" s="143"/>
      <c r="MR73" s="143"/>
      <c r="MS73" s="143"/>
      <c r="MT73" s="143"/>
      <c r="MU73" s="203"/>
      <c r="MV73" s="203"/>
      <c r="MW73" s="143"/>
      <c r="MX73" s="143"/>
      <c r="MY73" s="143"/>
      <c r="MZ73" s="143"/>
      <c r="NA73" s="143"/>
      <c r="NB73" s="143"/>
      <c r="NC73" s="143"/>
      <c r="ND73" s="143"/>
    </row>
    <row r="74" spans="1:368" s="140" customFormat="1" ht="15" customHeight="1">
      <c r="A74" s="470"/>
      <c r="B74" s="461"/>
      <c r="C74" s="164" t="s">
        <v>12</v>
      </c>
      <c r="D74" s="268"/>
      <c r="E74" s="143"/>
      <c r="F74" s="143"/>
      <c r="G74" s="143"/>
      <c r="H74" s="269"/>
      <c r="I74" s="194"/>
      <c r="J74" s="194"/>
      <c r="K74" s="268"/>
      <c r="L74" s="143"/>
      <c r="M74" s="143"/>
      <c r="N74" s="143"/>
      <c r="O74" s="269"/>
      <c r="P74" s="194"/>
      <c r="Q74" s="194"/>
      <c r="R74" s="268"/>
      <c r="S74" s="143"/>
      <c r="T74" s="143"/>
      <c r="U74" s="143"/>
      <c r="V74" s="269"/>
      <c r="W74" s="194"/>
      <c r="X74" s="194"/>
      <c r="Y74" s="268"/>
      <c r="Z74" s="143"/>
      <c r="AA74" s="143"/>
      <c r="AB74" s="143"/>
      <c r="AC74" s="269"/>
      <c r="AD74" s="194"/>
      <c r="AE74" s="194"/>
      <c r="AF74" s="268"/>
      <c r="AG74" s="143"/>
      <c r="AH74" s="143"/>
      <c r="AI74" s="143"/>
      <c r="AJ74" s="269"/>
      <c r="AK74" s="194"/>
      <c r="AL74" s="194"/>
      <c r="AM74" s="268"/>
      <c r="AN74" s="143"/>
      <c r="AO74" s="143"/>
      <c r="AP74" s="143"/>
      <c r="AQ74" s="269"/>
      <c r="AR74" s="194"/>
      <c r="AS74" s="194"/>
      <c r="AT74" s="268"/>
      <c r="AU74" s="143"/>
      <c r="AV74" s="143"/>
      <c r="AW74" s="143"/>
      <c r="AX74" s="269"/>
      <c r="AY74" s="194"/>
      <c r="AZ74" s="194"/>
      <c r="BA74" s="268"/>
      <c r="BB74" s="143"/>
      <c r="BC74" s="143"/>
      <c r="BD74" s="143"/>
      <c r="BE74" s="269"/>
      <c r="BF74" s="194"/>
      <c r="BG74" s="194"/>
      <c r="BH74" s="268"/>
      <c r="BI74" s="143"/>
      <c r="BJ74" s="143"/>
      <c r="BK74" s="143"/>
      <c r="BL74" s="269"/>
      <c r="BM74" s="194"/>
      <c r="BN74" s="194"/>
      <c r="BO74" s="268"/>
      <c r="BP74" s="143"/>
      <c r="BQ74" s="143"/>
      <c r="BR74" s="143"/>
      <c r="BS74" s="269"/>
      <c r="BT74" s="194"/>
      <c r="BU74" s="194"/>
      <c r="BV74" s="268"/>
      <c r="BW74" s="143"/>
      <c r="BX74" s="143"/>
      <c r="BY74" s="143"/>
      <c r="BZ74" s="269"/>
      <c r="CA74" s="194"/>
      <c r="CB74" s="194"/>
      <c r="CC74" s="268"/>
      <c r="CD74" s="143"/>
      <c r="CE74" s="143"/>
      <c r="CF74" s="143"/>
      <c r="CG74" s="269"/>
      <c r="CH74" s="194"/>
      <c r="CI74" s="194"/>
      <c r="CJ74" s="268"/>
      <c r="CK74" s="143"/>
      <c r="CL74" s="143"/>
      <c r="CM74" s="143"/>
      <c r="CN74" s="269"/>
      <c r="CO74" s="194"/>
      <c r="CP74" s="194"/>
      <c r="CQ74" s="268"/>
      <c r="CR74" s="143"/>
      <c r="CS74" s="143"/>
      <c r="CT74" s="143"/>
      <c r="CU74" s="269"/>
      <c r="CV74" s="194"/>
      <c r="CW74" s="194"/>
      <c r="CX74" s="268"/>
      <c r="CY74" s="143"/>
      <c r="CZ74" s="143"/>
      <c r="DA74" s="143"/>
      <c r="DB74" s="269"/>
      <c r="DC74" s="194"/>
      <c r="DD74" s="194"/>
      <c r="DE74" s="268"/>
      <c r="DF74" s="143"/>
      <c r="DG74" s="143"/>
      <c r="DH74" s="143"/>
      <c r="DI74" s="269"/>
      <c r="DJ74" s="194"/>
      <c r="DK74" s="194"/>
      <c r="DL74" s="268"/>
      <c r="DM74" s="143"/>
      <c r="DN74" s="143"/>
      <c r="DO74" s="143"/>
      <c r="DP74" s="269"/>
      <c r="DQ74" s="194"/>
      <c r="DR74" s="194"/>
      <c r="DS74" s="268"/>
      <c r="DT74" s="143"/>
      <c r="DU74" s="143"/>
      <c r="DV74" s="143"/>
      <c r="DW74" s="269"/>
      <c r="DX74" s="194"/>
      <c r="DY74" s="194"/>
      <c r="DZ74" s="268"/>
      <c r="EA74" s="143"/>
      <c r="EB74" s="143"/>
      <c r="EC74" s="143"/>
      <c r="ED74" s="269"/>
      <c r="EE74" s="194"/>
      <c r="EF74" s="194"/>
      <c r="EG74" s="268"/>
      <c r="EH74" s="143"/>
      <c r="EI74" s="143"/>
      <c r="EJ74" s="143"/>
      <c r="EK74" s="269"/>
      <c r="EL74" s="194"/>
      <c r="EM74" s="194"/>
      <c r="EN74" s="268"/>
      <c r="EO74" s="143"/>
      <c r="EP74" s="143"/>
      <c r="EQ74" s="143"/>
      <c r="ER74" s="269"/>
      <c r="ES74" s="194"/>
      <c r="ET74" s="194"/>
      <c r="EU74" s="268"/>
      <c r="EV74" s="143"/>
      <c r="EW74" s="143"/>
      <c r="EX74" s="143"/>
      <c r="EY74" s="269"/>
      <c r="EZ74" s="194"/>
      <c r="FA74" s="194"/>
      <c r="FB74" s="268"/>
      <c r="FC74" s="143"/>
      <c r="FD74" s="143"/>
      <c r="FE74" s="143"/>
      <c r="FF74" s="269"/>
      <c r="FG74" s="194"/>
      <c r="FH74" s="194"/>
      <c r="FI74" s="268"/>
      <c r="FJ74" s="143"/>
      <c r="FK74" s="143"/>
      <c r="FL74" s="143"/>
      <c r="FM74" s="269"/>
      <c r="FN74" s="194"/>
      <c r="FO74" s="194"/>
      <c r="FP74" s="268"/>
      <c r="FQ74" s="143"/>
      <c r="FR74" s="143"/>
      <c r="FS74" s="143"/>
      <c r="FT74" s="269"/>
      <c r="FU74" s="194"/>
      <c r="FV74" s="194"/>
      <c r="FW74" s="268"/>
      <c r="FX74" s="143"/>
      <c r="FY74" s="143"/>
      <c r="FZ74" s="143"/>
      <c r="GA74" s="269"/>
      <c r="GB74" s="194"/>
      <c r="GC74" s="194"/>
      <c r="GD74" s="143"/>
      <c r="GE74" s="143"/>
      <c r="GF74" s="143"/>
      <c r="GG74" s="143"/>
      <c r="GH74" s="143"/>
      <c r="GI74" s="194"/>
      <c r="GJ74" s="194"/>
      <c r="GK74" s="143"/>
      <c r="GL74" s="143"/>
      <c r="GM74" s="143"/>
      <c r="GN74" s="143"/>
      <c r="GO74" s="143"/>
      <c r="GP74" s="210"/>
      <c r="GQ74" s="210"/>
      <c r="GR74" s="143"/>
      <c r="GS74" s="143"/>
      <c r="GT74" s="143"/>
      <c r="GU74" s="143"/>
      <c r="GV74" s="143"/>
      <c r="GW74" s="210"/>
      <c r="GX74" s="210"/>
      <c r="GY74" s="143"/>
      <c r="GZ74" s="143"/>
      <c r="HA74" s="143"/>
      <c r="HB74" s="143"/>
      <c r="HC74" s="143"/>
      <c r="HD74" s="210"/>
      <c r="HE74" s="210"/>
      <c r="HF74" s="143"/>
      <c r="HG74" s="143"/>
      <c r="HH74" s="143"/>
      <c r="HI74" s="143"/>
      <c r="HJ74" s="143"/>
      <c r="HK74" s="210"/>
      <c r="HL74" s="210"/>
      <c r="HM74" s="143"/>
      <c r="HN74" s="143"/>
      <c r="HO74" s="143"/>
      <c r="HP74" s="143"/>
      <c r="HQ74" s="143"/>
      <c r="HR74" s="143"/>
      <c r="HS74" s="143"/>
      <c r="HT74" s="143"/>
      <c r="HU74" s="143"/>
      <c r="HV74" s="143"/>
      <c r="HW74" s="143"/>
      <c r="HX74" s="143"/>
      <c r="HY74" s="203"/>
      <c r="HZ74" s="203"/>
      <c r="IA74" s="143"/>
      <c r="IB74" s="143"/>
      <c r="IC74" s="143"/>
      <c r="ID74" s="143"/>
      <c r="IE74" s="143"/>
      <c r="IF74" s="203"/>
      <c r="IG74" s="203"/>
      <c r="IH74" s="143"/>
      <c r="II74" s="143"/>
      <c r="IJ74" s="143"/>
      <c r="IK74" s="143"/>
      <c r="IL74" s="143"/>
      <c r="IM74" s="203"/>
      <c r="IN74" s="203"/>
      <c r="IO74" s="143"/>
      <c r="IP74" s="143"/>
      <c r="IQ74" s="227"/>
      <c r="IR74" s="227"/>
      <c r="IS74" s="227"/>
      <c r="IT74" s="203"/>
      <c r="IU74" s="203"/>
      <c r="IV74" s="143"/>
      <c r="IW74" s="143"/>
      <c r="IX74" s="143"/>
      <c r="IY74" s="143"/>
      <c r="IZ74" s="143"/>
      <c r="JA74" s="203"/>
      <c r="JB74" s="203"/>
      <c r="JC74" s="227"/>
      <c r="JD74" s="227"/>
      <c r="JE74" s="143"/>
      <c r="JF74" s="143"/>
      <c r="JG74" s="143"/>
      <c r="JH74" s="203"/>
      <c r="JI74" s="203"/>
      <c r="JJ74" s="143"/>
      <c r="JK74" s="143"/>
      <c r="JL74" s="143"/>
      <c r="JM74" s="143"/>
      <c r="JN74" s="143"/>
      <c r="JO74" s="203"/>
      <c r="JP74" s="203"/>
      <c r="JQ74" s="143"/>
      <c r="JR74" s="143"/>
      <c r="JS74" s="143"/>
      <c r="JT74" s="143"/>
      <c r="JU74" s="143"/>
      <c r="JV74" s="203"/>
      <c r="JW74" s="203"/>
      <c r="JX74" s="143"/>
      <c r="JY74" s="143"/>
      <c r="JZ74" s="143"/>
      <c r="KA74" s="143"/>
      <c r="KB74" s="143"/>
      <c r="KC74" s="203"/>
      <c r="KD74" s="203"/>
      <c r="KE74" s="143"/>
      <c r="KF74" s="143"/>
      <c r="KG74" s="143"/>
      <c r="KH74" s="143"/>
      <c r="KI74" s="143"/>
      <c r="KJ74" s="194"/>
      <c r="KK74" s="194"/>
      <c r="KL74" s="143"/>
      <c r="KM74" s="143"/>
      <c r="KN74" s="143"/>
      <c r="KO74" s="143"/>
      <c r="KP74" s="227"/>
      <c r="KQ74" s="194"/>
      <c r="KR74" s="194"/>
      <c r="KS74" s="143"/>
      <c r="KT74" s="143"/>
      <c r="KU74" s="143"/>
      <c r="KV74" s="143"/>
      <c r="KW74" s="143"/>
      <c r="KX74" s="210"/>
      <c r="KY74" s="210"/>
      <c r="KZ74" s="194"/>
      <c r="LA74" s="194"/>
      <c r="LB74" s="194"/>
      <c r="LC74" s="194"/>
      <c r="LD74" s="194"/>
      <c r="LE74" s="210"/>
      <c r="LF74" s="210"/>
      <c r="LG74" s="227"/>
      <c r="LH74" s="227"/>
      <c r="LI74" s="227"/>
      <c r="LJ74" s="227"/>
      <c r="LK74" s="227"/>
      <c r="LL74" s="227"/>
      <c r="LM74" s="210"/>
      <c r="LN74" s="143"/>
      <c r="LO74" s="227"/>
      <c r="LP74" s="227"/>
      <c r="LQ74" s="227"/>
      <c r="LR74" s="227"/>
      <c r="LS74" s="210"/>
      <c r="LT74" s="210"/>
      <c r="LU74" s="227"/>
      <c r="LV74" s="143"/>
      <c r="LW74" s="143"/>
      <c r="LX74" s="143"/>
      <c r="LY74" s="143"/>
      <c r="LZ74" s="203"/>
      <c r="MA74" s="203"/>
      <c r="MB74" s="143"/>
      <c r="MC74" s="143"/>
      <c r="MD74" s="143"/>
      <c r="ME74" s="143"/>
      <c r="MF74" s="143"/>
      <c r="MG74" s="203"/>
      <c r="MH74" s="203"/>
      <c r="MI74" s="143"/>
      <c r="MJ74" s="143"/>
      <c r="MK74" s="143"/>
      <c r="ML74" s="143"/>
      <c r="MM74" s="143"/>
      <c r="MN74" s="203"/>
      <c r="MO74" s="203"/>
      <c r="MP74" s="143"/>
      <c r="MQ74" s="143"/>
      <c r="MR74" s="143"/>
      <c r="MS74" s="143"/>
      <c r="MT74" s="143"/>
      <c r="MU74" s="203"/>
      <c r="MV74" s="203"/>
      <c r="MW74" s="143"/>
      <c r="MX74" s="143"/>
      <c r="MY74" s="143"/>
      <c r="MZ74" s="143"/>
      <c r="NA74" s="143"/>
      <c r="NB74" s="143"/>
      <c r="NC74" s="143"/>
      <c r="ND74" s="143"/>
    </row>
    <row r="75" spans="1:368" s="140" customFormat="1" ht="15" customHeight="1" thickBot="1">
      <c r="A75" s="470"/>
      <c r="B75" s="461"/>
      <c r="C75" s="164" t="s">
        <v>13</v>
      </c>
      <c r="D75" s="268"/>
      <c r="E75" s="143"/>
      <c r="F75" s="143"/>
      <c r="G75" s="143"/>
      <c r="H75" s="269"/>
      <c r="I75" s="194"/>
      <c r="J75" s="194"/>
      <c r="K75" s="268"/>
      <c r="L75" s="143"/>
      <c r="M75" s="143"/>
      <c r="N75" s="143"/>
      <c r="O75" s="269"/>
      <c r="P75" s="194"/>
      <c r="Q75" s="194"/>
      <c r="R75" s="268"/>
      <c r="S75" s="143"/>
      <c r="T75" s="143"/>
      <c r="U75" s="143"/>
      <c r="V75" s="269"/>
      <c r="W75" s="194"/>
      <c r="X75" s="194"/>
      <c r="Y75" s="268"/>
      <c r="Z75" s="143"/>
      <c r="AA75" s="143"/>
      <c r="AB75" s="143"/>
      <c r="AC75" s="269"/>
      <c r="AD75" s="194"/>
      <c r="AE75" s="194"/>
      <c r="AF75" s="268"/>
      <c r="AG75" s="143"/>
      <c r="AH75" s="143"/>
      <c r="AI75" s="143"/>
      <c r="AJ75" s="269"/>
      <c r="AK75" s="194"/>
      <c r="AL75" s="194"/>
      <c r="AM75" s="268"/>
      <c r="AN75" s="143"/>
      <c r="AO75" s="143"/>
      <c r="AP75" s="143"/>
      <c r="AQ75" s="269"/>
      <c r="AR75" s="194"/>
      <c r="AS75" s="194"/>
      <c r="AT75" s="268"/>
      <c r="AU75" s="143"/>
      <c r="AV75" s="143"/>
      <c r="AW75" s="143"/>
      <c r="AX75" s="269"/>
      <c r="AY75" s="194"/>
      <c r="AZ75" s="194"/>
      <c r="BA75" s="268"/>
      <c r="BB75" s="143"/>
      <c r="BC75" s="143"/>
      <c r="BD75" s="143"/>
      <c r="BE75" s="269"/>
      <c r="BF75" s="194"/>
      <c r="BG75" s="194"/>
      <c r="BH75" s="268"/>
      <c r="BI75" s="143"/>
      <c r="BJ75" s="143"/>
      <c r="BK75" s="143"/>
      <c r="BL75" s="269"/>
      <c r="BM75" s="194"/>
      <c r="BN75" s="194"/>
      <c r="BO75" s="268"/>
      <c r="BP75" s="143"/>
      <c r="BQ75" s="143"/>
      <c r="BR75" s="143"/>
      <c r="BS75" s="269"/>
      <c r="BT75" s="194"/>
      <c r="BU75" s="194"/>
      <c r="BV75" s="268"/>
      <c r="BW75" s="143"/>
      <c r="BX75" s="143"/>
      <c r="BY75" s="143"/>
      <c r="BZ75" s="269"/>
      <c r="CA75" s="194"/>
      <c r="CB75" s="194"/>
      <c r="CC75" s="268"/>
      <c r="CD75" s="143"/>
      <c r="CE75" s="143"/>
      <c r="CF75" s="143"/>
      <c r="CG75" s="269"/>
      <c r="CH75" s="194"/>
      <c r="CI75" s="194"/>
      <c r="CJ75" s="268"/>
      <c r="CK75" s="143"/>
      <c r="CL75" s="143"/>
      <c r="CM75" s="143"/>
      <c r="CN75" s="269"/>
      <c r="CO75" s="194"/>
      <c r="CP75" s="194"/>
      <c r="CQ75" s="268"/>
      <c r="CR75" s="143"/>
      <c r="CS75" s="143"/>
      <c r="CT75" s="143"/>
      <c r="CU75" s="269"/>
      <c r="CV75" s="194"/>
      <c r="CW75" s="194"/>
      <c r="CX75" s="268"/>
      <c r="CY75" s="143"/>
      <c r="CZ75" s="143"/>
      <c r="DA75" s="143"/>
      <c r="DB75" s="269"/>
      <c r="DC75" s="194"/>
      <c r="DD75" s="194"/>
      <c r="DE75" s="268"/>
      <c r="DF75" s="143"/>
      <c r="DG75" s="143"/>
      <c r="DH75" s="143"/>
      <c r="DI75" s="269"/>
      <c r="DJ75" s="194"/>
      <c r="DK75" s="194"/>
      <c r="DL75" s="268"/>
      <c r="DM75" s="143"/>
      <c r="DN75" s="143"/>
      <c r="DO75" s="143"/>
      <c r="DP75" s="269"/>
      <c r="DQ75" s="194"/>
      <c r="DR75" s="194"/>
      <c r="DS75" s="268"/>
      <c r="DT75" s="143"/>
      <c r="DU75" s="143"/>
      <c r="DV75" s="143"/>
      <c r="DW75" s="269"/>
      <c r="DX75" s="194"/>
      <c r="DY75" s="194"/>
      <c r="DZ75" s="268"/>
      <c r="EA75" s="143"/>
      <c r="EB75" s="143"/>
      <c r="EC75" s="143"/>
      <c r="ED75" s="269"/>
      <c r="EE75" s="194"/>
      <c r="EF75" s="194"/>
      <c r="EG75" s="268"/>
      <c r="EH75" s="143"/>
      <c r="EI75" s="143"/>
      <c r="EJ75" s="143"/>
      <c r="EK75" s="269"/>
      <c r="EL75" s="194"/>
      <c r="EM75" s="194"/>
      <c r="EN75" s="268"/>
      <c r="EO75" s="143"/>
      <c r="EP75" s="143"/>
      <c r="EQ75" s="143"/>
      <c r="ER75" s="269"/>
      <c r="ES75" s="194"/>
      <c r="ET75" s="194"/>
      <c r="EU75" s="268"/>
      <c r="EV75" s="143"/>
      <c r="EW75" s="143"/>
      <c r="EX75" s="143"/>
      <c r="EY75" s="269"/>
      <c r="EZ75" s="194"/>
      <c r="FA75" s="194"/>
      <c r="FB75" s="268"/>
      <c r="FC75" s="143"/>
      <c r="FD75" s="143"/>
      <c r="FE75" s="143"/>
      <c r="FF75" s="269"/>
      <c r="FG75" s="194"/>
      <c r="FH75" s="194"/>
      <c r="FI75" s="268"/>
      <c r="FJ75" s="143"/>
      <c r="FK75" s="143"/>
      <c r="FL75" s="143"/>
      <c r="FM75" s="269"/>
      <c r="FN75" s="194"/>
      <c r="FO75" s="194"/>
      <c r="FP75" s="268"/>
      <c r="FQ75" s="143"/>
      <c r="FR75" s="143"/>
      <c r="FS75" s="143"/>
      <c r="FT75" s="269"/>
      <c r="FU75" s="194"/>
      <c r="FV75" s="194"/>
      <c r="FW75" s="268"/>
      <c r="FX75" s="143"/>
      <c r="FY75" s="143"/>
      <c r="FZ75" s="143"/>
      <c r="GA75" s="269"/>
      <c r="GB75" s="194"/>
      <c r="GC75" s="194"/>
      <c r="GD75" s="143"/>
      <c r="GE75" s="143"/>
      <c r="GF75" s="143"/>
      <c r="GG75" s="143"/>
      <c r="GH75" s="143"/>
      <c r="GI75" s="194"/>
      <c r="GJ75" s="194"/>
      <c r="GK75" s="143"/>
      <c r="GL75" s="143"/>
      <c r="GM75" s="143"/>
      <c r="GN75" s="143"/>
      <c r="GO75" s="143"/>
      <c r="GP75" s="210"/>
      <c r="GQ75" s="210"/>
      <c r="GR75" s="143"/>
      <c r="GS75" s="143"/>
      <c r="GT75" s="143"/>
      <c r="GU75" s="143"/>
      <c r="GV75" s="143"/>
      <c r="GW75" s="210"/>
      <c r="GX75" s="210"/>
      <c r="GY75" s="143"/>
      <c r="GZ75" s="143"/>
      <c r="HA75" s="143"/>
      <c r="HB75" s="143"/>
      <c r="HC75" s="143"/>
      <c r="HD75" s="210"/>
      <c r="HE75" s="210"/>
      <c r="HF75" s="143"/>
      <c r="HG75" s="143"/>
      <c r="HH75" s="143"/>
      <c r="HI75" s="143"/>
      <c r="HJ75" s="143"/>
      <c r="HK75" s="210"/>
      <c r="HL75" s="210"/>
      <c r="HM75" s="143"/>
      <c r="HN75" s="143"/>
      <c r="HO75" s="143"/>
      <c r="HP75" s="143"/>
      <c r="HQ75" s="143"/>
      <c r="HR75" s="143"/>
      <c r="HS75" s="143"/>
      <c r="HT75" s="143"/>
      <c r="HU75" s="143"/>
      <c r="HV75" s="143"/>
      <c r="HW75" s="143"/>
      <c r="HX75" s="143"/>
      <c r="HY75" s="203"/>
      <c r="HZ75" s="203"/>
      <c r="IA75" s="143"/>
      <c r="IB75" s="143"/>
      <c r="IC75" s="143"/>
      <c r="ID75" s="143"/>
      <c r="IE75" s="143"/>
      <c r="IF75" s="203"/>
      <c r="IG75" s="203"/>
      <c r="IH75" s="206"/>
      <c r="II75" s="206"/>
      <c r="IJ75" s="206"/>
      <c r="IK75" s="206"/>
      <c r="IL75" s="143"/>
      <c r="IM75" s="203"/>
      <c r="IN75" s="203"/>
      <c r="IO75" s="143"/>
      <c r="IP75" s="143"/>
      <c r="IQ75" s="227"/>
      <c r="IR75" s="227"/>
      <c r="IS75" s="227"/>
      <c r="IT75" s="203"/>
      <c r="IU75" s="203"/>
      <c r="IV75" s="143"/>
      <c r="IW75" s="143"/>
      <c r="IX75" s="143"/>
      <c r="IY75" s="143"/>
      <c r="IZ75" s="143"/>
      <c r="JA75" s="203"/>
      <c r="JB75" s="203"/>
      <c r="JC75" s="227"/>
      <c r="JD75" s="227"/>
      <c r="JE75" s="143"/>
      <c r="JF75" s="143"/>
      <c r="JG75" s="143"/>
      <c r="JH75" s="203"/>
      <c r="JI75" s="203"/>
      <c r="JJ75" s="143"/>
      <c r="JK75" s="143"/>
      <c r="JL75" s="143"/>
      <c r="JM75" s="143"/>
      <c r="JN75" s="143"/>
      <c r="JO75" s="203"/>
      <c r="JP75" s="203"/>
      <c r="JQ75" s="143"/>
      <c r="JR75" s="143"/>
      <c r="JS75" s="143"/>
      <c r="JT75" s="143"/>
      <c r="JU75" s="143"/>
      <c r="JV75" s="203"/>
      <c r="JW75" s="203"/>
      <c r="JX75" s="143"/>
      <c r="JY75" s="143"/>
      <c r="JZ75" s="143"/>
      <c r="KA75" s="143"/>
      <c r="KB75" s="143"/>
      <c r="KC75" s="203"/>
      <c r="KD75" s="203"/>
      <c r="KE75" s="143"/>
      <c r="KF75" s="143"/>
      <c r="KG75" s="143"/>
      <c r="KH75" s="143"/>
      <c r="KI75" s="143"/>
      <c r="KJ75" s="194"/>
      <c r="KK75" s="194"/>
      <c r="KL75" s="143"/>
      <c r="KM75" s="143"/>
      <c r="KN75" s="143"/>
      <c r="KO75" s="143"/>
      <c r="KP75" s="227"/>
      <c r="KQ75" s="194"/>
      <c r="KR75" s="194"/>
      <c r="KS75" s="143"/>
      <c r="KT75" s="143"/>
      <c r="KU75" s="143"/>
      <c r="KV75" s="143"/>
      <c r="KW75" s="143"/>
      <c r="KX75" s="210"/>
      <c r="KY75" s="210"/>
      <c r="KZ75" s="194"/>
      <c r="LA75" s="194"/>
      <c r="LB75" s="194"/>
      <c r="LC75" s="194"/>
      <c r="LD75" s="194"/>
      <c r="LE75" s="210"/>
      <c r="LF75" s="210"/>
      <c r="LG75" s="227"/>
      <c r="LH75" s="227"/>
      <c r="LI75" s="227"/>
      <c r="LJ75" s="227"/>
      <c r="LK75" s="227"/>
      <c r="LL75" s="227"/>
      <c r="LM75" s="210"/>
      <c r="LN75" s="143"/>
      <c r="LO75" s="227"/>
      <c r="LP75" s="227"/>
      <c r="LQ75" s="227"/>
      <c r="LR75" s="227"/>
      <c r="LS75" s="210"/>
      <c r="LT75" s="210"/>
      <c r="LU75" s="227"/>
      <c r="LV75" s="143"/>
      <c r="LW75" s="143"/>
      <c r="LX75" s="143"/>
      <c r="LY75" s="143"/>
      <c r="LZ75" s="203"/>
      <c r="MA75" s="203"/>
      <c r="MB75" s="143"/>
      <c r="MC75" s="143"/>
      <c r="MD75" s="143"/>
      <c r="ME75" s="143"/>
      <c r="MF75" s="143"/>
      <c r="MG75" s="203"/>
      <c r="MH75" s="203"/>
      <c r="MI75" s="143"/>
      <c r="MJ75" s="143"/>
      <c r="MK75" s="143"/>
      <c r="ML75" s="143"/>
      <c r="MM75" s="143"/>
      <c r="MN75" s="203"/>
      <c r="MO75" s="203"/>
      <c r="MP75" s="143"/>
      <c r="MQ75" s="143"/>
      <c r="MR75" s="143"/>
      <c r="MS75" s="143"/>
      <c r="MT75" s="143"/>
      <c r="MU75" s="203"/>
      <c r="MV75" s="203"/>
      <c r="MW75" s="143"/>
      <c r="MX75" s="143"/>
      <c r="MY75" s="143"/>
      <c r="MZ75" s="143"/>
      <c r="NA75" s="143"/>
      <c r="NB75" s="143"/>
      <c r="NC75" s="143"/>
      <c r="ND75" s="143"/>
    </row>
    <row r="76" spans="1:368" s="151" customFormat="1" ht="15" hidden="1" customHeight="1" thickBot="1">
      <c r="A76" s="470"/>
      <c r="B76" s="474"/>
      <c r="C76" s="165" t="s">
        <v>93</v>
      </c>
      <c r="D76" s="270"/>
      <c r="E76" s="264"/>
      <c r="F76" s="264"/>
      <c r="G76" s="264"/>
      <c r="H76" s="271"/>
      <c r="I76" s="194"/>
      <c r="J76" s="194"/>
      <c r="K76" s="270"/>
      <c r="L76" s="264"/>
      <c r="M76" s="264"/>
      <c r="N76" s="264"/>
      <c r="O76" s="271"/>
      <c r="P76" s="194"/>
      <c r="Q76" s="194"/>
      <c r="R76" s="270"/>
      <c r="S76" s="264"/>
      <c r="T76" s="264"/>
      <c r="U76" s="264"/>
      <c r="V76" s="271"/>
      <c r="W76" s="194"/>
      <c r="X76" s="194"/>
      <c r="Y76" s="270"/>
      <c r="Z76" s="264"/>
      <c r="AA76" s="264"/>
      <c r="AB76" s="264"/>
      <c r="AC76" s="271"/>
      <c r="AD76" s="194"/>
      <c r="AE76" s="194"/>
      <c r="AF76" s="270"/>
      <c r="AG76" s="264"/>
      <c r="AH76" s="264"/>
      <c r="AI76" s="264"/>
      <c r="AJ76" s="271"/>
      <c r="AK76" s="194"/>
      <c r="AL76" s="194"/>
      <c r="AM76" s="270"/>
      <c r="AN76" s="264"/>
      <c r="AO76" s="264"/>
      <c r="AP76" s="264"/>
      <c r="AQ76" s="271"/>
      <c r="AR76" s="194"/>
      <c r="AS76" s="194"/>
      <c r="AT76" s="270"/>
      <c r="AU76" s="264"/>
      <c r="AV76" s="264"/>
      <c r="AW76" s="264"/>
      <c r="AX76" s="271"/>
      <c r="AY76" s="194"/>
      <c r="AZ76" s="194"/>
      <c r="BA76" s="270"/>
      <c r="BB76" s="264"/>
      <c r="BC76" s="264"/>
      <c r="BD76" s="264"/>
      <c r="BE76" s="271"/>
      <c r="BF76" s="194"/>
      <c r="BG76" s="194"/>
      <c r="BH76" s="270"/>
      <c r="BI76" s="264"/>
      <c r="BJ76" s="264"/>
      <c r="BK76" s="264"/>
      <c r="BL76" s="271"/>
      <c r="BM76" s="194"/>
      <c r="BN76" s="194"/>
      <c r="BO76" s="270"/>
      <c r="BP76" s="264"/>
      <c r="BQ76" s="264"/>
      <c r="BR76" s="264"/>
      <c r="BS76" s="271"/>
      <c r="BT76" s="194"/>
      <c r="BU76" s="194"/>
      <c r="BV76" s="270"/>
      <c r="BW76" s="264"/>
      <c r="BX76" s="264"/>
      <c r="BY76" s="264"/>
      <c r="BZ76" s="271"/>
      <c r="CA76" s="194"/>
      <c r="CB76" s="194"/>
      <c r="CC76" s="270"/>
      <c r="CD76" s="264"/>
      <c r="CE76" s="264"/>
      <c r="CF76" s="264"/>
      <c r="CG76" s="271"/>
      <c r="CH76" s="194"/>
      <c r="CI76" s="194"/>
      <c r="CJ76" s="270"/>
      <c r="CK76" s="264"/>
      <c r="CL76" s="264"/>
      <c r="CM76" s="264"/>
      <c r="CN76" s="271"/>
      <c r="CO76" s="194"/>
      <c r="CP76" s="194"/>
      <c r="CQ76" s="270"/>
      <c r="CR76" s="264"/>
      <c r="CS76" s="264"/>
      <c r="CT76" s="264"/>
      <c r="CU76" s="271"/>
      <c r="CV76" s="194"/>
      <c r="CW76" s="194"/>
      <c r="CX76" s="270"/>
      <c r="CY76" s="264"/>
      <c r="CZ76" s="264"/>
      <c r="DA76" s="264"/>
      <c r="DB76" s="271"/>
      <c r="DC76" s="194"/>
      <c r="DD76" s="194"/>
      <c r="DE76" s="270"/>
      <c r="DF76" s="264"/>
      <c r="DG76" s="264"/>
      <c r="DH76" s="264"/>
      <c r="DI76" s="271"/>
      <c r="DJ76" s="194"/>
      <c r="DK76" s="194"/>
      <c r="DL76" s="270"/>
      <c r="DM76" s="264"/>
      <c r="DN76" s="264"/>
      <c r="DO76" s="264"/>
      <c r="DP76" s="271"/>
      <c r="DQ76" s="194"/>
      <c r="DR76" s="194"/>
      <c r="DS76" s="270"/>
      <c r="DT76" s="264"/>
      <c r="DU76" s="264"/>
      <c r="DV76" s="264"/>
      <c r="DW76" s="271"/>
      <c r="DX76" s="194"/>
      <c r="DY76" s="194"/>
      <c r="DZ76" s="270"/>
      <c r="EA76" s="264"/>
      <c r="EB76" s="264"/>
      <c r="EC76" s="264"/>
      <c r="ED76" s="271"/>
      <c r="EE76" s="194"/>
      <c r="EF76" s="194"/>
      <c r="EG76" s="270"/>
      <c r="EH76" s="264"/>
      <c r="EI76" s="264"/>
      <c r="EJ76" s="264"/>
      <c r="EK76" s="271"/>
      <c r="EL76" s="194"/>
      <c r="EM76" s="194"/>
      <c r="EN76" s="270"/>
      <c r="EO76" s="264"/>
      <c r="EP76" s="264"/>
      <c r="EQ76" s="264"/>
      <c r="ER76" s="271"/>
      <c r="ES76" s="194"/>
      <c r="ET76" s="194"/>
      <c r="EU76" s="270"/>
      <c r="EV76" s="264"/>
      <c r="EW76" s="264"/>
      <c r="EX76" s="264"/>
      <c r="EY76" s="271"/>
      <c r="EZ76" s="194"/>
      <c r="FA76" s="194"/>
      <c r="FB76" s="270"/>
      <c r="FC76" s="264"/>
      <c r="FD76" s="264"/>
      <c r="FE76" s="264"/>
      <c r="FF76" s="271"/>
      <c r="FG76" s="194"/>
      <c r="FH76" s="194"/>
      <c r="FI76" s="270"/>
      <c r="FJ76" s="264"/>
      <c r="FK76" s="264"/>
      <c r="FL76" s="264"/>
      <c r="FM76" s="271"/>
      <c r="FN76" s="194"/>
      <c r="FO76" s="194"/>
      <c r="FP76" s="270"/>
      <c r="FQ76" s="264"/>
      <c r="FR76" s="264"/>
      <c r="FS76" s="264"/>
      <c r="FT76" s="271"/>
      <c r="FU76" s="194"/>
      <c r="FV76" s="194"/>
      <c r="FW76" s="270"/>
      <c r="FX76" s="264"/>
      <c r="FY76" s="264"/>
      <c r="FZ76" s="264"/>
      <c r="GA76" s="271"/>
      <c r="GB76" s="194"/>
      <c r="GC76" s="194"/>
      <c r="GD76" s="152"/>
      <c r="GE76" s="152"/>
      <c r="GF76" s="152"/>
      <c r="GG76" s="152"/>
      <c r="GH76" s="152"/>
      <c r="GI76" s="194"/>
      <c r="GJ76" s="194"/>
      <c r="GK76" s="152"/>
      <c r="GL76" s="152"/>
      <c r="GM76" s="152"/>
      <c r="GN76" s="152"/>
      <c r="GO76" s="152"/>
      <c r="GP76" s="210"/>
      <c r="GQ76" s="210"/>
      <c r="GR76" s="152"/>
      <c r="GS76" s="152"/>
      <c r="GT76" s="152"/>
      <c r="GU76" s="152"/>
      <c r="GV76" s="152"/>
      <c r="GW76" s="210"/>
      <c r="GX76" s="210"/>
      <c r="GY76" s="152"/>
      <c r="GZ76" s="152"/>
      <c r="HA76" s="152"/>
      <c r="HB76" s="152"/>
      <c r="HC76" s="152"/>
      <c r="HD76" s="210"/>
      <c r="HE76" s="210"/>
      <c r="HF76" s="152"/>
      <c r="HG76" s="152"/>
      <c r="HH76" s="152"/>
      <c r="HI76" s="152"/>
      <c r="HJ76" s="152"/>
      <c r="HK76" s="210"/>
      <c r="HL76" s="210"/>
      <c r="HM76" s="152"/>
      <c r="HN76" s="152"/>
      <c r="HO76" s="152"/>
      <c r="HP76" s="152"/>
      <c r="HQ76" s="152"/>
      <c r="HR76" s="152"/>
      <c r="HS76" s="152"/>
      <c r="HT76" s="152"/>
      <c r="HU76" s="152"/>
      <c r="HV76" s="152"/>
      <c r="HW76" s="152"/>
      <c r="HX76" s="152"/>
      <c r="HY76" s="203"/>
      <c r="HZ76" s="203"/>
      <c r="IA76" s="152"/>
      <c r="IB76" s="152"/>
      <c r="IC76" s="152"/>
      <c r="ID76" s="152"/>
      <c r="IE76" s="152"/>
      <c r="IF76" s="203"/>
      <c r="IG76" s="203"/>
      <c r="IH76" s="152"/>
      <c r="II76" s="152"/>
      <c r="IJ76" s="152"/>
      <c r="IK76" s="152"/>
      <c r="IL76" s="152"/>
      <c r="IM76" s="203"/>
      <c r="IN76" s="203"/>
      <c r="IO76" s="152"/>
      <c r="IP76" s="152"/>
      <c r="IQ76" s="227"/>
      <c r="IR76" s="227"/>
      <c r="IS76" s="227"/>
      <c r="IT76" s="203"/>
      <c r="IU76" s="203"/>
      <c r="IV76" s="152"/>
      <c r="IW76" s="152"/>
      <c r="IX76" s="152"/>
      <c r="IY76" s="152"/>
      <c r="IZ76" s="152"/>
      <c r="JA76" s="203"/>
      <c r="JB76" s="203"/>
      <c r="JC76" s="232"/>
      <c r="JD76" s="232"/>
      <c r="JE76" s="152"/>
      <c r="JF76" s="152"/>
      <c r="JG76" s="152"/>
      <c r="JH76" s="203"/>
      <c r="JI76" s="203"/>
      <c r="JJ76" s="152"/>
      <c r="JK76" s="152"/>
      <c r="JL76" s="152"/>
      <c r="JM76" s="152"/>
      <c r="JN76" s="152"/>
      <c r="JO76" s="203"/>
      <c r="JP76" s="203"/>
      <c r="JQ76" s="152"/>
      <c r="JR76" s="152"/>
      <c r="JS76" s="152"/>
      <c r="JT76" s="152"/>
      <c r="JU76" s="152"/>
      <c r="JV76" s="203"/>
      <c r="JW76" s="203"/>
      <c r="JX76" s="152"/>
      <c r="JY76" s="152"/>
      <c r="JZ76" s="152"/>
      <c r="KA76" s="152"/>
      <c r="KB76" s="152"/>
      <c r="KC76" s="203"/>
      <c r="KD76" s="203"/>
      <c r="KE76" s="152"/>
      <c r="KF76" s="152"/>
      <c r="KG76" s="152"/>
      <c r="KH76" s="152"/>
      <c r="KI76" s="152"/>
      <c r="KJ76" s="194"/>
      <c r="KK76" s="194"/>
      <c r="KL76" s="152"/>
      <c r="KM76" s="152"/>
      <c r="KN76" s="152"/>
      <c r="KO76" s="152"/>
      <c r="KP76" s="227"/>
      <c r="KQ76" s="194"/>
      <c r="KR76" s="194"/>
      <c r="KS76" s="152"/>
      <c r="KT76" s="152"/>
      <c r="KU76" s="152"/>
      <c r="KV76" s="152"/>
      <c r="KW76" s="152"/>
      <c r="KX76" s="210"/>
      <c r="KY76" s="210"/>
      <c r="KZ76" s="194"/>
      <c r="LA76" s="194"/>
      <c r="LB76" s="194"/>
      <c r="LC76" s="194"/>
      <c r="LD76" s="194"/>
      <c r="LE76" s="210"/>
      <c r="LF76" s="210"/>
      <c r="LG76" s="227"/>
      <c r="LH76" s="227"/>
      <c r="LI76" s="227"/>
      <c r="LJ76" s="227"/>
      <c r="LK76" s="227"/>
      <c r="LL76" s="227"/>
      <c r="LM76" s="210"/>
      <c r="LN76" s="232"/>
      <c r="LO76" s="232"/>
      <c r="LP76" s="232"/>
      <c r="LQ76" s="232"/>
      <c r="LR76" s="232"/>
      <c r="LS76" s="210"/>
      <c r="LT76" s="210"/>
      <c r="LU76" s="232"/>
      <c r="LV76" s="232"/>
      <c r="LW76" s="152"/>
      <c r="LX76" s="152"/>
      <c r="LY76" s="152"/>
      <c r="LZ76" s="203"/>
      <c r="MA76" s="203"/>
      <c r="MB76" s="152"/>
      <c r="MC76" s="152"/>
      <c r="MD76" s="152"/>
      <c r="ME76" s="152"/>
      <c r="MF76" s="152"/>
      <c r="MG76" s="203"/>
      <c r="MH76" s="203"/>
      <c r="MI76" s="152"/>
      <c r="MJ76" s="152"/>
      <c r="MK76" s="152"/>
      <c r="ML76" s="152"/>
      <c r="MM76" s="152"/>
      <c r="MN76" s="203"/>
      <c r="MO76" s="203"/>
      <c r="MP76" s="152"/>
      <c r="MQ76" s="152"/>
      <c r="MR76" s="152"/>
      <c r="MS76" s="152"/>
      <c r="MT76" s="152"/>
      <c r="MU76" s="203"/>
      <c r="MV76" s="203"/>
      <c r="MW76" s="152"/>
      <c r="MX76" s="152"/>
      <c r="MY76" s="152"/>
      <c r="MZ76" s="152"/>
      <c r="NA76" s="152"/>
      <c r="NB76" s="152"/>
      <c r="NC76" s="152"/>
      <c r="ND76" s="152"/>
    </row>
    <row r="77" spans="1:368" s="140" customFormat="1" ht="15" customHeight="1">
      <c r="A77" s="470"/>
      <c r="B77" s="473" t="s">
        <v>8</v>
      </c>
      <c r="C77" s="163" t="s">
        <v>10</v>
      </c>
      <c r="D77" s="265"/>
      <c r="E77" s="266"/>
      <c r="F77" s="266"/>
      <c r="G77" s="266"/>
      <c r="H77" s="267"/>
      <c r="I77" s="194"/>
      <c r="J77" s="194"/>
      <c r="K77" s="265"/>
      <c r="L77" s="266"/>
      <c r="M77" s="266"/>
      <c r="N77" s="266"/>
      <c r="O77" s="267"/>
      <c r="P77" s="194"/>
      <c r="Q77" s="194"/>
      <c r="R77" s="265"/>
      <c r="S77" s="266"/>
      <c r="T77" s="266"/>
      <c r="U77" s="266"/>
      <c r="V77" s="267"/>
      <c r="W77" s="194"/>
      <c r="X77" s="194"/>
      <c r="Y77" s="265"/>
      <c r="Z77" s="266"/>
      <c r="AA77" s="266"/>
      <c r="AB77" s="266"/>
      <c r="AC77" s="267"/>
      <c r="AD77" s="194"/>
      <c r="AE77" s="194"/>
      <c r="AF77" s="265"/>
      <c r="AG77" s="266"/>
      <c r="AH77" s="266"/>
      <c r="AI77" s="266"/>
      <c r="AJ77" s="267"/>
      <c r="AK77" s="194"/>
      <c r="AL77" s="194"/>
      <c r="AM77" s="265"/>
      <c r="AN77" s="266"/>
      <c r="AO77" s="266"/>
      <c r="AP77" s="266"/>
      <c r="AQ77" s="267"/>
      <c r="AR77" s="194"/>
      <c r="AS77" s="194"/>
      <c r="AT77" s="265"/>
      <c r="AU77" s="266"/>
      <c r="AV77" s="266"/>
      <c r="AW77" s="266"/>
      <c r="AX77" s="267"/>
      <c r="AY77" s="194"/>
      <c r="AZ77" s="194"/>
      <c r="BA77" s="265"/>
      <c r="BB77" s="266"/>
      <c r="BC77" s="266"/>
      <c r="BD77" s="266"/>
      <c r="BE77" s="267"/>
      <c r="BF77" s="194"/>
      <c r="BG77" s="194"/>
      <c r="BH77" s="265"/>
      <c r="BI77" s="266"/>
      <c r="BJ77" s="266"/>
      <c r="BK77" s="266"/>
      <c r="BL77" s="267"/>
      <c r="BM77" s="194"/>
      <c r="BN77" s="194"/>
      <c r="BO77" s="265"/>
      <c r="BP77" s="266"/>
      <c r="BQ77" s="266"/>
      <c r="BR77" s="266"/>
      <c r="BS77" s="267"/>
      <c r="BT77" s="194"/>
      <c r="BU77" s="194"/>
      <c r="BV77" s="265"/>
      <c r="BW77" s="266"/>
      <c r="BX77" s="266"/>
      <c r="BY77" s="266"/>
      <c r="BZ77" s="267"/>
      <c r="CA77" s="194"/>
      <c r="CB77" s="194"/>
      <c r="CC77" s="265"/>
      <c r="CD77" s="266"/>
      <c r="CE77" s="266"/>
      <c r="CF77" s="266"/>
      <c r="CG77" s="267"/>
      <c r="CH77" s="194"/>
      <c r="CI77" s="194"/>
      <c r="CJ77" s="265"/>
      <c r="CK77" s="266"/>
      <c r="CL77" s="266"/>
      <c r="CM77" s="266"/>
      <c r="CN77" s="267"/>
      <c r="CO77" s="194"/>
      <c r="CP77" s="194"/>
      <c r="CQ77" s="265"/>
      <c r="CR77" s="266"/>
      <c r="CS77" s="266"/>
      <c r="CT77" s="266"/>
      <c r="CU77" s="267"/>
      <c r="CV77" s="194"/>
      <c r="CW77" s="194"/>
      <c r="CX77" s="265"/>
      <c r="CY77" s="266"/>
      <c r="CZ77" s="266"/>
      <c r="DA77" s="266"/>
      <c r="DB77" s="267"/>
      <c r="DC77" s="194"/>
      <c r="DD77" s="194"/>
      <c r="DE77" s="265"/>
      <c r="DF77" s="266"/>
      <c r="DG77" s="266"/>
      <c r="DH77" s="266"/>
      <c r="DI77" s="267"/>
      <c r="DJ77" s="194"/>
      <c r="DK77" s="194"/>
      <c r="DL77" s="265"/>
      <c r="DM77" s="266"/>
      <c r="DN77" s="266"/>
      <c r="DO77" s="266"/>
      <c r="DP77" s="267"/>
      <c r="DQ77" s="194"/>
      <c r="DR77" s="194"/>
      <c r="DS77" s="265"/>
      <c r="DT77" s="266"/>
      <c r="DU77" s="266"/>
      <c r="DV77" s="266"/>
      <c r="DW77" s="267"/>
      <c r="DX77" s="194"/>
      <c r="DY77" s="194"/>
      <c r="DZ77" s="265"/>
      <c r="EA77" s="266"/>
      <c r="EB77" s="266"/>
      <c r="EC77" s="266"/>
      <c r="ED77" s="267"/>
      <c r="EE77" s="194"/>
      <c r="EF77" s="194"/>
      <c r="EG77" s="265"/>
      <c r="EH77" s="266"/>
      <c r="EI77" s="266"/>
      <c r="EJ77" s="266"/>
      <c r="EK77" s="267"/>
      <c r="EL77" s="194"/>
      <c r="EM77" s="194"/>
      <c r="EN77" s="265"/>
      <c r="EO77" s="266"/>
      <c r="EP77" s="266"/>
      <c r="EQ77" s="266"/>
      <c r="ER77" s="267"/>
      <c r="ES77" s="194"/>
      <c r="ET77" s="194"/>
      <c r="EU77" s="265"/>
      <c r="EV77" s="266"/>
      <c r="EW77" s="266"/>
      <c r="EX77" s="266"/>
      <c r="EY77" s="267"/>
      <c r="EZ77" s="194"/>
      <c r="FA77" s="194"/>
      <c r="FB77" s="265"/>
      <c r="FC77" s="266"/>
      <c r="FD77" s="266"/>
      <c r="FE77" s="266"/>
      <c r="FF77" s="267"/>
      <c r="FG77" s="194"/>
      <c r="FH77" s="194"/>
      <c r="FI77" s="265"/>
      <c r="FJ77" s="266"/>
      <c r="FK77" s="266"/>
      <c r="FL77" s="266"/>
      <c r="FM77" s="267"/>
      <c r="FN77" s="194"/>
      <c r="FO77" s="194"/>
      <c r="FP77" s="265"/>
      <c r="FQ77" s="266"/>
      <c r="FR77" s="266"/>
      <c r="FS77" s="266"/>
      <c r="FT77" s="267"/>
      <c r="FU77" s="194"/>
      <c r="FV77" s="194"/>
      <c r="FW77" s="265"/>
      <c r="FX77" s="266"/>
      <c r="FY77" s="266"/>
      <c r="FZ77" s="266"/>
      <c r="GA77" s="267"/>
      <c r="GB77" s="194"/>
      <c r="GC77" s="194"/>
      <c r="GD77" s="143"/>
      <c r="GE77" s="143"/>
      <c r="GF77" s="143"/>
      <c r="GG77" s="143"/>
      <c r="GH77" s="143"/>
      <c r="GI77" s="194"/>
      <c r="GJ77" s="194"/>
      <c r="GK77" s="143"/>
      <c r="GL77" s="143"/>
      <c r="GM77" s="143"/>
      <c r="GN77" s="143"/>
      <c r="GO77" s="143"/>
      <c r="GP77" s="210"/>
      <c r="GQ77" s="210"/>
      <c r="GR77" s="143"/>
      <c r="GS77" s="143"/>
      <c r="GT77" s="143"/>
      <c r="GU77" s="143"/>
      <c r="GV77" s="143"/>
      <c r="GW77" s="210"/>
      <c r="GX77" s="210"/>
      <c r="GY77" s="143"/>
      <c r="GZ77" s="143"/>
      <c r="HA77" s="143"/>
      <c r="HB77" s="143"/>
      <c r="HC77" s="143"/>
      <c r="HD77" s="210"/>
      <c r="HE77" s="210"/>
      <c r="HF77" s="143"/>
      <c r="HG77" s="143"/>
      <c r="HH77" s="143"/>
      <c r="HI77" s="143"/>
      <c r="HJ77" s="143"/>
      <c r="HK77" s="210"/>
      <c r="HL77" s="210"/>
      <c r="HM77" s="143"/>
      <c r="HN77" s="143"/>
      <c r="HO77" s="143"/>
      <c r="HP77" s="143"/>
      <c r="HQ77" s="143"/>
      <c r="HR77" s="143"/>
      <c r="HS77" s="143"/>
      <c r="HT77" s="143"/>
      <c r="HU77" s="143"/>
      <c r="HV77" s="143"/>
      <c r="HW77" s="143"/>
      <c r="HX77" s="143"/>
      <c r="HY77" s="203"/>
      <c r="HZ77" s="203"/>
      <c r="IA77" s="143"/>
      <c r="IB77" s="143"/>
      <c r="IC77" s="143"/>
      <c r="ID77" s="143"/>
      <c r="IE77" s="143"/>
      <c r="IF77" s="203"/>
      <c r="IG77" s="203"/>
      <c r="IH77" s="143"/>
      <c r="II77" s="143"/>
      <c r="IJ77" s="143"/>
      <c r="IK77" s="143"/>
      <c r="IL77" s="143"/>
      <c r="IM77" s="203"/>
      <c r="IN77" s="203"/>
      <c r="IO77" s="143"/>
      <c r="IP77" s="143"/>
      <c r="IQ77" s="227"/>
      <c r="IR77" s="227"/>
      <c r="IS77" s="227"/>
      <c r="IT77" s="203"/>
      <c r="IU77" s="203"/>
      <c r="IV77" s="143"/>
      <c r="IW77" s="143"/>
      <c r="IX77" s="143"/>
      <c r="IY77" s="143"/>
      <c r="IZ77" s="143"/>
      <c r="JA77" s="203"/>
      <c r="JB77" s="203"/>
      <c r="JC77" s="227"/>
      <c r="JD77" s="227"/>
      <c r="JE77" s="143"/>
      <c r="JF77" s="143"/>
      <c r="JG77" s="143"/>
      <c r="JH77" s="203"/>
      <c r="JI77" s="203"/>
      <c r="JJ77" s="143"/>
      <c r="JK77" s="143"/>
      <c r="JL77" s="143"/>
      <c r="JM77" s="143"/>
      <c r="JN77" s="143"/>
      <c r="JO77" s="203"/>
      <c r="JP77" s="203"/>
      <c r="JQ77" s="143"/>
      <c r="JR77" s="143"/>
      <c r="JS77" s="143"/>
      <c r="JT77" s="143"/>
      <c r="JU77" s="143"/>
      <c r="JV77" s="203"/>
      <c r="JW77" s="203"/>
      <c r="JX77" s="143"/>
      <c r="JY77" s="143"/>
      <c r="JZ77" s="143"/>
      <c r="KA77" s="143"/>
      <c r="KB77" s="143"/>
      <c r="KC77" s="203"/>
      <c r="KD77" s="203"/>
      <c r="KE77" s="143"/>
      <c r="KF77" s="143"/>
      <c r="KG77" s="143"/>
      <c r="KH77" s="143"/>
      <c r="KI77" s="143"/>
      <c r="KJ77" s="194"/>
      <c r="KK77" s="194"/>
      <c r="KL77" s="143"/>
      <c r="KM77" s="143"/>
      <c r="KN77" s="143"/>
      <c r="KO77" s="143"/>
      <c r="KP77" s="227"/>
      <c r="KQ77" s="194"/>
      <c r="KR77" s="194"/>
      <c r="KS77" s="143"/>
      <c r="KT77" s="143"/>
      <c r="KU77" s="143"/>
      <c r="KV77" s="143"/>
      <c r="KW77" s="143"/>
      <c r="KX77" s="210"/>
      <c r="KY77" s="210"/>
      <c r="KZ77" s="194"/>
      <c r="LA77" s="194"/>
      <c r="LB77" s="194"/>
      <c r="LC77" s="194"/>
      <c r="LD77" s="194"/>
      <c r="LE77" s="210"/>
      <c r="LF77" s="210"/>
      <c r="LG77" s="227"/>
      <c r="LH77" s="227"/>
      <c r="LI77" s="227"/>
      <c r="LJ77" s="227"/>
      <c r="LK77" s="227"/>
      <c r="LL77" s="227"/>
      <c r="LM77" s="210"/>
      <c r="LN77" s="227"/>
      <c r="LO77" s="227"/>
      <c r="LP77" s="227"/>
      <c r="LQ77" s="227"/>
      <c r="LR77" s="227"/>
      <c r="LS77" s="210"/>
      <c r="LT77" s="210"/>
      <c r="LU77" s="227"/>
      <c r="LV77" s="143"/>
      <c r="LW77" s="143"/>
      <c r="LX77" s="143"/>
      <c r="LY77" s="143"/>
      <c r="LZ77" s="203"/>
      <c r="MA77" s="203"/>
      <c r="MB77" s="143"/>
      <c r="MC77" s="143"/>
      <c r="MD77" s="143"/>
      <c r="ME77" s="143"/>
      <c r="MF77" s="143"/>
      <c r="MG77" s="203"/>
      <c r="MH77" s="203"/>
      <c r="MI77" s="143"/>
      <c r="MJ77" s="143"/>
      <c r="MK77" s="143"/>
      <c r="ML77" s="143"/>
      <c r="MM77" s="143"/>
      <c r="MN77" s="203"/>
      <c r="MO77" s="203"/>
      <c r="MP77" s="143"/>
      <c r="MQ77" s="143"/>
      <c r="MR77" s="143"/>
      <c r="MS77" s="143"/>
      <c r="MT77" s="143"/>
      <c r="MU77" s="203"/>
      <c r="MV77" s="203"/>
      <c r="MW77" s="143"/>
      <c r="MX77" s="143"/>
      <c r="MY77" s="143"/>
      <c r="MZ77" s="143"/>
      <c r="NA77" s="143"/>
      <c r="NB77" s="143"/>
      <c r="NC77" s="143"/>
      <c r="ND77" s="143"/>
    </row>
    <row r="78" spans="1:368" s="140" customFormat="1" ht="15" customHeight="1">
      <c r="A78" s="470"/>
      <c r="B78" s="461"/>
      <c r="C78" s="164" t="s">
        <v>11</v>
      </c>
      <c r="D78" s="268"/>
      <c r="E78" s="143"/>
      <c r="F78" s="143"/>
      <c r="G78" s="143"/>
      <c r="H78" s="269"/>
      <c r="I78" s="194"/>
      <c r="J78" s="194"/>
      <c r="K78" s="268"/>
      <c r="L78" s="143"/>
      <c r="M78" s="143"/>
      <c r="N78" s="143"/>
      <c r="O78" s="269"/>
      <c r="P78" s="194"/>
      <c r="Q78" s="194"/>
      <c r="R78" s="268"/>
      <c r="S78" s="143"/>
      <c r="T78" s="143"/>
      <c r="U78" s="143"/>
      <c r="V78" s="269"/>
      <c r="W78" s="194"/>
      <c r="X78" s="194"/>
      <c r="Y78" s="268"/>
      <c r="Z78" s="143"/>
      <c r="AA78" s="143"/>
      <c r="AB78" s="143"/>
      <c r="AC78" s="269"/>
      <c r="AD78" s="194"/>
      <c r="AE78" s="194"/>
      <c r="AF78" s="268"/>
      <c r="AG78" s="143"/>
      <c r="AH78" s="143"/>
      <c r="AI78" s="143"/>
      <c r="AJ78" s="269"/>
      <c r="AK78" s="194"/>
      <c r="AL78" s="194"/>
      <c r="AM78" s="268"/>
      <c r="AN78" s="143"/>
      <c r="AO78" s="143"/>
      <c r="AP78" s="143"/>
      <c r="AQ78" s="269"/>
      <c r="AR78" s="194"/>
      <c r="AS78" s="194"/>
      <c r="AT78" s="268"/>
      <c r="AU78" s="143"/>
      <c r="AV78" s="143"/>
      <c r="AW78" s="143"/>
      <c r="AX78" s="269"/>
      <c r="AY78" s="194"/>
      <c r="AZ78" s="194"/>
      <c r="BA78" s="268"/>
      <c r="BB78" s="143"/>
      <c r="BC78" s="143"/>
      <c r="BD78" s="143"/>
      <c r="BE78" s="269"/>
      <c r="BF78" s="194"/>
      <c r="BG78" s="194"/>
      <c r="BH78" s="268"/>
      <c r="BI78" s="143"/>
      <c r="BJ78" s="143"/>
      <c r="BK78" s="143"/>
      <c r="BL78" s="269"/>
      <c r="BM78" s="194"/>
      <c r="BN78" s="194"/>
      <c r="BO78" s="268"/>
      <c r="BP78" s="143"/>
      <c r="BQ78" s="143"/>
      <c r="BR78" s="143"/>
      <c r="BS78" s="269"/>
      <c r="BT78" s="194"/>
      <c r="BU78" s="194"/>
      <c r="BV78" s="268"/>
      <c r="BW78" s="143"/>
      <c r="BX78" s="143"/>
      <c r="BY78" s="143"/>
      <c r="BZ78" s="269"/>
      <c r="CA78" s="194"/>
      <c r="CB78" s="194"/>
      <c r="CC78" s="268"/>
      <c r="CD78" s="143"/>
      <c r="CE78" s="143"/>
      <c r="CF78" s="143"/>
      <c r="CG78" s="269"/>
      <c r="CH78" s="194"/>
      <c r="CI78" s="194"/>
      <c r="CJ78" s="268"/>
      <c r="CK78" s="143"/>
      <c r="CL78" s="143"/>
      <c r="CM78" s="143"/>
      <c r="CN78" s="269"/>
      <c r="CO78" s="194"/>
      <c r="CP78" s="194"/>
      <c r="CQ78" s="268"/>
      <c r="CR78" s="143"/>
      <c r="CS78" s="143"/>
      <c r="CT78" s="143"/>
      <c r="CU78" s="269"/>
      <c r="CV78" s="194"/>
      <c r="CW78" s="194"/>
      <c r="CX78" s="268"/>
      <c r="CY78" s="143"/>
      <c r="CZ78" s="143"/>
      <c r="DA78" s="143"/>
      <c r="DB78" s="269"/>
      <c r="DC78" s="194"/>
      <c r="DD78" s="194"/>
      <c r="DE78" s="268"/>
      <c r="DF78" s="143"/>
      <c r="DG78" s="143"/>
      <c r="DH78" s="143"/>
      <c r="DI78" s="269"/>
      <c r="DJ78" s="194"/>
      <c r="DK78" s="194"/>
      <c r="DL78" s="268"/>
      <c r="DM78" s="143"/>
      <c r="DN78" s="143"/>
      <c r="DO78" s="143"/>
      <c r="DP78" s="269"/>
      <c r="DQ78" s="194"/>
      <c r="DR78" s="194"/>
      <c r="DS78" s="268"/>
      <c r="DT78" s="143"/>
      <c r="DU78" s="143"/>
      <c r="DV78" s="143"/>
      <c r="DW78" s="269"/>
      <c r="DX78" s="194"/>
      <c r="DY78" s="194"/>
      <c r="DZ78" s="268"/>
      <c r="EA78" s="143"/>
      <c r="EB78" s="143"/>
      <c r="EC78" s="143"/>
      <c r="ED78" s="269"/>
      <c r="EE78" s="194"/>
      <c r="EF78" s="194"/>
      <c r="EG78" s="268"/>
      <c r="EH78" s="143"/>
      <c r="EI78" s="143"/>
      <c r="EJ78" s="143"/>
      <c r="EK78" s="269"/>
      <c r="EL78" s="194"/>
      <c r="EM78" s="194"/>
      <c r="EN78" s="268"/>
      <c r="EO78" s="143"/>
      <c r="EP78" s="143"/>
      <c r="EQ78" s="143"/>
      <c r="ER78" s="269"/>
      <c r="ES78" s="194"/>
      <c r="ET78" s="194"/>
      <c r="EU78" s="268"/>
      <c r="EV78" s="143"/>
      <c r="EW78" s="143"/>
      <c r="EX78" s="143"/>
      <c r="EY78" s="269"/>
      <c r="EZ78" s="194"/>
      <c r="FA78" s="194"/>
      <c r="FB78" s="268"/>
      <c r="FC78" s="143"/>
      <c r="FD78" s="143"/>
      <c r="FE78" s="143"/>
      <c r="FF78" s="269"/>
      <c r="FG78" s="194"/>
      <c r="FH78" s="194"/>
      <c r="FI78" s="268"/>
      <c r="FJ78" s="143"/>
      <c r="FK78" s="143"/>
      <c r="FL78" s="143"/>
      <c r="FM78" s="269"/>
      <c r="FN78" s="194"/>
      <c r="FO78" s="194"/>
      <c r="FP78" s="268"/>
      <c r="FQ78" s="143"/>
      <c r="FR78" s="143"/>
      <c r="FS78" s="143"/>
      <c r="FT78" s="269"/>
      <c r="FU78" s="194"/>
      <c r="FV78" s="194"/>
      <c r="FW78" s="268"/>
      <c r="FX78" s="143"/>
      <c r="FY78" s="143"/>
      <c r="FZ78" s="143"/>
      <c r="GA78" s="269"/>
      <c r="GB78" s="194"/>
      <c r="GC78" s="194"/>
      <c r="GD78" s="143"/>
      <c r="GE78" s="143"/>
      <c r="GF78" s="143"/>
      <c r="GG78" s="143"/>
      <c r="GH78" s="143"/>
      <c r="GI78" s="194"/>
      <c r="GJ78" s="194"/>
      <c r="GK78" s="143"/>
      <c r="GL78" s="143"/>
      <c r="GM78" s="143"/>
      <c r="GN78" s="143"/>
      <c r="GO78" s="143"/>
      <c r="GP78" s="210"/>
      <c r="GQ78" s="210"/>
      <c r="GR78" s="143"/>
      <c r="GS78" s="143"/>
      <c r="GT78" s="143"/>
      <c r="GU78" s="143"/>
      <c r="GV78" s="143"/>
      <c r="GW78" s="210"/>
      <c r="GX78" s="210"/>
      <c r="GY78" s="143"/>
      <c r="GZ78" s="143"/>
      <c r="HA78" s="143"/>
      <c r="HB78" s="143"/>
      <c r="HC78" s="143"/>
      <c r="HD78" s="210"/>
      <c r="HE78" s="210"/>
      <c r="HF78" s="143"/>
      <c r="HG78" s="143"/>
      <c r="HH78" s="143"/>
      <c r="HI78" s="143"/>
      <c r="HJ78" s="143"/>
      <c r="HK78" s="210"/>
      <c r="HL78" s="210"/>
      <c r="HM78" s="143"/>
      <c r="HN78" s="143"/>
      <c r="HO78" s="143"/>
      <c r="HP78" s="143"/>
      <c r="HQ78" s="143"/>
      <c r="HR78" s="143"/>
      <c r="HS78" s="143"/>
      <c r="HT78" s="143"/>
      <c r="HU78" s="143"/>
      <c r="HV78" s="143"/>
      <c r="HW78" s="143"/>
      <c r="HX78" s="143"/>
      <c r="HY78" s="203"/>
      <c r="HZ78" s="203"/>
      <c r="IA78" s="143"/>
      <c r="IB78" s="143"/>
      <c r="IC78" s="143"/>
      <c r="ID78" s="143"/>
      <c r="IE78" s="143"/>
      <c r="IF78" s="203"/>
      <c r="IG78" s="203"/>
      <c r="IH78" s="143"/>
      <c r="II78" s="143"/>
      <c r="IJ78" s="143"/>
      <c r="IK78" s="143"/>
      <c r="IL78" s="143"/>
      <c r="IM78" s="203"/>
      <c r="IN78" s="203"/>
      <c r="IO78" s="143"/>
      <c r="IP78" s="143"/>
      <c r="IQ78" s="227"/>
      <c r="IR78" s="227"/>
      <c r="IS78" s="227"/>
      <c r="IT78" s="203"/>
      <c r="IU78" s="203"/>
      <c r="IV78" s="143"/>
      <c r="IW78" s="143"/>
      <c r="IX78" s="143"/>
      <c r="IY78" s="143"/>
      <c r="IZ78" s="143"/>
      <c r="JA78" s="203"/>
      <c r="JB78" s="203"/>
      <c r="JC78" s="227"/>
      <c r="JD78" s="227"/>
      <c r="JE78" s="143"/>
      <c r="JF78" s="143"/>
      <c r="JG78" s="143"/>
      <c r="JH78" s="203"/>
      <c r="JI78" s="203"/>
      <c r="JJ78" s="143"/>
      <c r="JK78" s="143"/>
      <c r="JL78" s="143"/>
      <c r="JM78" s="143"/>
      <c r="JN78" s="143"/>
      <c r="JO78" s="203"/>
      <c r="JP78" s="203"/>
      <c r="JQ78" s="143"/>
      <c r="JR78" s="143"/>
      <c r="JS78" s="143"/>
      <c r="JT78" s="143"/>
      <c r="JU78" s="143"/>
      <c r="JV78" s="203"/>
      <c r="JW78" s="203"/>
      <c r="JX78" s="143"/>
      <c r="JY78" s="143"/>
      <c r="JZ78" s="143"/>
      <c r="KA78" s="143"/>
      <c r="KB78" s="143"/>
      <c r="KC78" s="203"/>
      <c r="KD78" s="203"/>
      <c r="KE78" s="143"/>
      <c r="KF78" s="143"/>
      <c r="KG78" s="143"/>
      <c r="KH78" s="143"/>
      <c r="KI78" s="143"/>
      <c r="KJ78" s="194"/>
      <c r="KK78" s="194"/>
      <c r="KL78" s="143"/>
      <c r="KM78" s="143"/>
      <c r="KN78" s="143"/>
      <c r="KO78" s="143"/>
      <c r="KP78" s="227"/>
      <c r="KQ78" s="194"/>
      <c r="KR78" s="194"/>
      <c r="KS78" s="143"/>
      <c r="KT78" s="143"/>
      <c r="KU78" s="143"/>
      <c r="KV78" s="143"/>
      <c r="KW78" s="143"/>
      <c r="KX78" s="210"/>
      <c r="KY78" s="210"/>
      <c r="KZ78" s="194"/>
      <c r="LA78" s="194"/>
      <c r="LB78" s="194"/>
      <c r="LC78" s="194"/>
      <c r="LD78" s="194"/>
      <c r="LE78" s="210"/>
      <c r="LF78" s="210"/>
      <c r="LG78" s="227"/>
      <c r="LH78" s="227"/>
      <c r="LI78" s="227"/>
      <c r="LJ78" s="227"/>
      <c r="LK78" s="227"/>
      <c r="LL78" s="227"/>
      <c r="LM78" s="210"/>
      <c r="LN78" s="227"/>
      <c r="LO78" s="227"/>
      <c r="LP78" s="227"/>
      <c r="LQ78" s="227"/>
      <c r="LR78" s="227"/>
      <c r="LS78" s="210"/>
      <c r="LT78" s="210"/>
      <c r="LU78" s="227"/>
      <c r="LV78" s="143"/>
      <c r="LW78" s="143"/>
      <c r="LX78" s="143"/>
      <c r="LY78" s="143"/>
      <c r="LZ78" s="203"/>
      <c r="MA78" s="203"/>
      <c r="MB78" s="143"/>
      <c r="MC78" s="143"/>
      <c r="MD78" s="143"/>
      <c r="ME78" s="143"/>
      <c r="MF78" s="143"/>
      <c r="MG78" s="203"/>
      <c r="MH78" s="203"/>
      <c r="MI78" s="143"/>
      <c r="MJ78" s="143"/>
      <c r="MK78" s="143"/>
      <c r="ML78" s="143"/>
      <c r="MM78" s="143"/>
      <c r="MN78" s="203"/>
      <c r="MO78" s="203"/>
      <c r="MP78" s="143"/>
      <c r="MQ78" s="143"/>
      <c r="MR78" s="143"/>
      <c r="MS78" s="143"/>
      <c r="MT78" s="143"/>
      <c r="MU78" s="203"/>
      <c r="MV78" s="203"/>
      <c r="MW78" s="143"/>
      <c r="MX78" s="143"/>
      <c r="MY78" s="143"/>
      <c r="MZ78" s="143"/>
      <c r="NA78" s="143"/>
      <c r="NB78" s="143"/>
      <c r="NC78" s="143"/>
      <c r="ND78" s="143"/>
    </row>
    <row r="79" spans="1:368" s="140" customFormat="1" ht="15" customHeight="1">
      <c r="A79" s="470"/>
      <c r="B79" s="461"/>
      <c r="C79" s="164" t="s">
        <v>12</v>
      </c>
      <c r="D79" s="268"/>
      <c r="E79" s="143"/>
      <c r="F79" s="143"/>
      <c r="G79" s="143"/>
      <c r="H79" s="269"/>
      <c r="I79" s="194"/>
      <c r="J79" s="194"/>
      <c r="K79" s="268"/>
      <c r="L79" s="143"/>
      <c r="M79" s="143"/>
      <c r="N79" s="143"/>
      <c r="O79" s="269"/>
      <c r="P79" s="194"/>
      <c r="Q79" s="194"/>
      <c r="R79" s="268"/>
      <c r="S79" s="143"/>
      <c r="T79" s="143"/>
      <c r="U79" s="143"/>
      <c r="V79" s="269"/>
      <c r="W79" s="194"/>
      <c r="X79" s="194"/>
      <c r="Y79" s="268"/>
      <c r="Z79" s="143"/>
      <c r="AA79" s="143"/>
      <c r="AB79" s="143"/>
      <c r="AC79" s="269"/>
      <c r="AD79" s="194"/>
      <c r="AE79" s="194"/>
      <c r="AF79" s="268"/>
      <c r="AG79" s="143"/>
      <c r="AH79" s="143"/>
      <c r="AI79" s="143"/>
      <c r="AJ79" s="269"/>
      <c r="AK79" s="194"/>
      <c r="AL79" s="194"/>
      <c r="AM79" s="268"/>
      <c r="AN79" s="143"/>
      <c r="AO79" s="143"/>
      <c r="AP79" s="143"/>
      <c r="AQ79" s="269"/>
      <c r="AR79" s="194"/>
      <c r="AS79" s="194"/>
      <c r="AT79" s="268"/>
      <c r="AU79" s="143"/>
      <c r="AV79" s="143"/>
      <c r="AW79" s="143"/>
      <c r="AX79" s="269"/>
      <c r="AY79" s="194"/>
      <c r="AZ79" s="194"/>
      <c r="BA79" s="268"/>
      <c r="BB79" s="143"/>
      <c r="BC79" s="143"/>
      <c r="BD79" s="143"/>
      <c r="BE79" s="269"/>
      <c r="BF79" s="194"/>
      <c r="BG79" s="194"/>
      <c r="BH79" s="268"/>
      <c r="BI79" s="143"/>
      <c r="BJ79" s="143"/>
      <c r="BK79" s="143"/>
      <c r="BL79" s="269"/>
      <c r="BM79" s="194"/>
      <c r="BN79" s="194"/>
      <c r="BO79" s="268"/>
      <c r="BP79" s="143"/>
      <c r="BQ79" s="143"/>
      <c r="BR79" s="143"/>
      <c r="BS79" s="269"/>
      <c r="BT79" s="194"/>
      <c r="BU79" s="194"/>
      <c r="BV79" s="268"/>
      <c r="BW79" s="143"/>
      <c r="BX79" s="143"/>
      <c r="BY79" s="143"/>
      <c r="BZ79" s="269"/>
      <c r="CA79" s="194"/>
      <c r="CB79" s="194"/>
      <c r="CC79" s="268"/>
      <c r="CD79" s="143"/>
      <c r="CE79" s="143"/>
      <c r="CF79" s="143"/>
      <c r="CG79" s="269"/>
      <c r="CH79" s="194"/>
      <c r="CI79" s="194"/>
      <c r="CJ79" s="268"/>
      <c r="CK79" s="143"/>
      <c r="CL79" s="143"/>
      <c r="CM79" s="143"/>
      <c r="CN79" s="269"/>
      <c r="CO79" s="194"/>
      <c r="CP79" s="194"/>
      <c r="CQ79" s="268"/>
      <c r="CR79" s="143"/>
      <c r="CS79" s="143"/>
      <c r="CT79" s="143"/>
      <c r="CU79" s="269"/>
      <c r="CV79" s="194"/>
      <c r="CW79" s="194"/>
      <c r="CX79" s="268"/>
      <c r="CY79" s="143"/>
      <c r="CZ79" s="143"/>
      <c r="DA79" s="143"/>
      <c r="DB79" s="269"/>
      <c r="DC79" s="194"/>
      <c r="DD79" s="194"/>
      <c r="DE79" s="268"/>
      <c r="DF79" s="143"/>
      <c r="DG79" s="143"/>
      <c r="DH79" s="143"/>
      <c r="DI79" s="269"/>
      <c r="DJ79" s="194"/>
      <c r="DK79" s="194"/>
      <c r="DL79" s="268"/>
      <c r="DM79" s="143"/>
      <c r="DN79" s="143"/>
      <c r="DO79" s="143"/>
      <c r="DP79" s="269"/>
      <c r="DQ79" s="194"/>
      <c r="DR79" s="194"/>
      <c r="DS79" s="268"/>
      <c r="DT79" s="143"/>
      <c r="DU79" s="143"/>
      <c r="DV79" s="143"/>
      <c r="DW79" s="269"/>
      <c r="DX79" s="194"/>
      <c r="DY79" s="194"/>
      <c r="DZ79" s="268"/>
      <c r="EA79" s="143"/>
      <c r="EB79" s="143"/>
      <c r="EC79" s="143"/>
      <c r="ED79" s="269"/>
      <c r="EE79" s="194"/>
      <c r="EF79" s="194"/>
      <c r="EG79" s="268"/>
      <c r="EH79" s="143"/>
      <c r="EI79" s="143"/>
      <c r="EJ79" s="143"/>
      <c r="EK79" s="269"/>
      <c r="EL79" s="194"/>
      <c r="EM79" s="194"/>
      <c r="EN79" s="268"/>
      <c r="EO79" s="143"/>
      <c r="EP79" s="143"/>
      <c r="EQ79" s="143"/>
      <c r="ER79" s="269"/>
      <c r="ES79" s="194"/>
      <c r="ET79" s="194"/>
      <c r="EU79" s="268"/>
      <c r="EV79" s="143"/>
      <c r="EW79" s="143"/>
      <c r="EX79" s="143"/>
      <c r="EY79" s="269"/>
      <c r="EZ79" s="194"/>
      <c r="FA79" s="194"/>
      <c r="FB79" s="268"/>
      <c r="FC79" s="143"/>
      <c r="FD79" s="143"/>
      <c r="FE79" s="143"/>
      <c r="FF79" s="269"/>
      <c r="FG79" s="194"/>
      <c r="FH79" s="194"/>
      <c r="FI79" s="268"/>
      <c r="FJ79" s="143"/>
      <c r="FK79" s="143"/>
      <c r="FL79" s="143"/>
      <c r="FM79" s="269"/>
      <c r="FN79" s="194"/>
      <c r="FO79" s="194"/>
      <c r="FP79" s="268"/>
      <c r="FQ79" s="143"/>
      <c r="FR79" s="143"/>
      <c r="FS79" s="143"/>
      <c r="FT79" s="269"/>
      <c r="FU79" s="194"/>
      <c r="FV79" s="194"/>
      <c r="FW79" s="268"/>
      <c r="FX79" s="143"/>
      <c r="FY79" s="143"/>
      <c r="FZ79" s="143"/>
      <c r="GA79" s="269"/>
      <c r="GB79" s="194"/>
      <c r="GC79" s="194"/>
      <c r="GD79" s="143"/>
      <c r="GE79" s="143"/>
      <c r="GF79" s="143"/>
      <c r="GG79" s="143"/>
      <c r="GH79" s="143"/>
      <c r="GI79" s="194"/>
      <c r="GJ79" s="194"/>
      <c r="GK79" s="143"/>
      <c r="GL79" s="143"/>
      <c r="GM79" s="143"/>
      <c r="GN79" s="143"/>
      <c r="GO79" s="143"/>
      <c r="GP79" s="210"/>
      <c r="GQ79" s="210"/>
      <c r="GR79" s="143"/>
      <c r="GS79" s="143"/>
      <c r="GT79" s="143"/>
      <c r="GU79" s="143"/>
      <c r="GV79" s="143"/>
      <c r="GW79" s="210"/>
      <c r="GX79" s="210"/>
      <c r="GY79" s="143"/>
      <c r="GZ79" s="143"/>
      <c r="HA79" s="143"/>
      <c r="HB79" s="143"/>
      <c r="HC79" s="143"/>
      <c r="HD79" s="210"/>
      <c r="HE79" s="210"/>
      <c r="HF79" s="143"/>
      <c r="HG79" s="143"/>
      <c r="HH79" s="143"/>
      <c r="HI79" s="143"/>
      <c r="HJ79" s="143"/>
      <c r="HK79" s="210"/>
      <c r="HL79" s="210"/>
      <c r="HM79" s="143"/>
      <c r="HN79" s="143"/>
      <c r="HO79" s="143"/>
      <c r="HP79" s="143"/>
      <c r="HQ79" s="143"/>
      <c r="HR79" s="143"/>
      <c r="HS79" s="143"/>
      <c r="HT79" s="143"/>
      <c r="HU79" s="143"/>
      <c r="HV79" s="143"/>
      <c r="HW79" s="143"/>
      <c r="HX79" s="143"/>
      <c r="HY79" s="203"/>
      <c r="HZ79" s="203"/>
      <c r="IA79" s="143"/>
      <c r="IB79" s="143"/>
      <c r="IC79" s="143"/>
      <c r="ID79" s="143"/>
      <c r="IE79" s="143"/>
      <c r="IF79" s="203"/>
      <c r="IG79" s="203"/>
      <c r="IH79" s="143"/>
      <c r="II79" s="143"/>
      <c r="IJ79" s="143"/>
      <c r="IK79" s="143"/>
      <c r="IL79" s="143"/>
      <c r="IM79" s="203"/>
      <c r="IN79" s="203"/>
      <c r="IO79" s="143"/>
      <c r="IP79" s="143"/>
      <c r="IQ79" s="227"/>
      <c r="IR79" s="227"/>
      <c r="IS79" s="227"/>
      <c r="IT79" s="203"/>
      <c r="IU79" s="203"/>
      <c r="IV79" s="143"/>
      <c r="IW79" s="143"/>
      <c r="IX79" s="143"/>
      <c r="IY79" s="143"/>
      <c r="IZ79" s="143"/>
      <c r="JA79" s="203"/>
      <c r="JB79" s="203"/>
      <c r="JC79" s="227"/>
      <c r="JD79" s="227"/>
      <c r="JE79" s="143"/>
      <c r="JF79" s="143"/>
      <c r="JG79" s="143"/>
      <c r="JH79" s="203"/>
      <c r="JI79" s="203"/>
      <c r="JJ79" s="143"/>
      <c r="JK79" s="143"/>
      <c r="JL79" s="143"/>
      <c r="JM79" s="143"/>
      <c r="JN79" s="143"/>
      <c r="JO79" s="203"/>
      <c r="JP79" s="203"/>
      <c r="JQ79" s="143"/>
      <c r="JR79" s="143"/>
      <c r="JS79" s="143"/>
      <c r="JT79" s="143"/>
      <c r="JU79" s="143"/>
      <c r="JV79" s="203"/>
      <c r="JW79" s="203"/>
      <c r="JX79" s="143"/>
      <c r="JY79" s="143"/>
      <c r="JZ79" s="143"/>
      <c r="KA79" s="143"/>
      <c r="KB79" s="143"/>
      <c r="KC79" s="203"/>
      <c r="KD79" s="203"/>
      <c r="KE79" s="143"/>
      <c r="KF79" s="143"/>
      <c r="KG79" s="143"/>
      <c r="KH79" s="143"/>
      <c r="KI79" s="143"/>
      <c r="KJ79" s="194"/>
      <c r="KK79" s="194"/>
      <c r="KL79" s="143"/>
      <c r="KM79" s="143"/>
      <c r="KN79" s="143"/>
      <c r="KO79" s="143"/>
      <c r="KP79" s="227"/>
      <c r="KQ79" s="194"/>
      <c r="KR79" s="194"/>
      <c r="KS79" s="143"/>
      <c r="KT79" s="143"/>
      <c r="KU79" s="143"/>
      <c r="KV79" s="143"/>
      <c r="KW79" s="143"/>
      <c r="KX79" s="210"/>
      <c r="KY79" s="210"/>
      <c r="KZ79" s="194"/>
      <c r="LA79" s="194"/>
      <c r="LB79" s="194"/>
      <c r="LC79" s="194"/>
      <c r="LD79" s="194"/>
      <c r="LE79" s="210"/>
      <c r="LF79" s="210"/>
      <c r="LG79" s="227"/>
      <c r="LH79" s="227"/>
      <c r="LI79" s="227"/>
      <c r="LJ79" s="227"/>
      <c r="LK79" s="227"/>
      <c r="LL79" s="227"/>
      <c r="LM79" s="210"/>
      <c r="LN79" s="227"/>
      <c r="LO79" s="227"/>
      <c r="LP79" s="227"/>
      <c r="LQ79" s="227"/>
      <c r="LR79" s="227"/>
      <c r="LS79" s="210"/>
      <c r="LT79" s="210"/>
      <c r="LU79" s="227"/>
      <c r="LV79" s="143"/>
      <c r="LW79" s="143"/>
      <c r="LX79" s="143"/>
      <c r="LY79" s="143"/>
      <c r="LZ79" s="203"/>
      <c r="MA79" s="203"/>
      <c r="MB79" s="143"/>
      <c r="MC79" s="143"/>
      <c r="MD79" s="143"/>
      <c r="ME79" s="143"/>
      <c r="MF79" s="143"/>
      <c r="MG79" s="203"/>
      <c r="MH79" s="203"/>
      <c r="MI79" s="143"/>
      <c r="MJ79" s="143"/>
      <c r="MK79" s="143"/>
      <c r="ML79" s="143"/>
      <c r="MM79" s="143"/>
      <c r="MN79" s="203"/>
      <c r="MO79" s="203"/>
      <c r="MP79" s="143"/>
      <c r="MQ79" s="143"/>
      <c r="MR79" s="143"/>
      <c r="MS79" s="143"/>
      <c r="MT79" s="143"/>
      <c r="MU79" s="203"/>
      <c r="MV79" s="203"/>
      <c r="MW79" s="143"/>
      <c r="MX79" s="143"/>
      <c r="MY79" s="143"/>
      <c r="MZ79" s="143"/>
      <c r="NA79" s="143"/>
      <c r="NB79" s="143"/>
      <c r="NC79" s="143"/>
      <c r="ND79" s="143"/>
    </row>
    <row r="80" spans="1:368" s="140" customFormat="1" ht="15" customHeight="1">
      <c r="A80" s="470"/>
      <c r="B80" s="461"/>
      <c r="C80" s="164" t="s">
        <v>13</v>
      </c>
      <c r="D80" s="268"/>
      <c r="E80" s="143"/>
      <c r="F80" s="143"/>
      <c r="G80" s="143"/>
      <c r="H80" s="269"/>
      <c r="I80" s="194"/>
      <c r="J80" s="194"/>
      <c r="K80" s="268"/>
      <c r="L80" s="143"/>
      <c r="M80" s="143"/>
      <c r="N80" s="143"/>
      <c r="O80" s="269"/>
      <c r="P80" s="194"/>
      <c r="Q80" s="194"/>
      <c r="R80" s="268"/>
      <c r="S80" s="143"/>
      <c r="T80" s="143"/>
      <c r="U80" s="143"/>
      <c r="V80" s="269"/>
      <c r="W80" s="194"/>
      <c r="X80" s="194"/>
      <c r="Y80" s="268"/>
      <c r="Z80" s="143"/>
      <c r="AA80" s="143"/>
      <c r="AB80" s="143"/>
      <c r="AC80" s="269"/>
      <c r="AD80" s="194"/>
      <c r="AE80" s="194"/>
      <c r="AF80" s="268"/>
      <c r="AG80" s="143"/>
      <c r="AH80" s="143"/>
      <c r="AI80" s="143"/>
      <c r="AJ80" s="269"/>
      <c r="AK80" s="194"/>
      <c r="AL80" s="194"/>
      <c r="AM80" s="268"/>
      <c r="AN80" s="143"/>
      <c r="AO80" s="143"/>
      <c r="AP80" s="143"/>
      <c r="AQ80" s="269"/>
      <c r="AR80" s="194"/>
      <c r="AS80" s="194"/>
      <c r="AT80" s="268"/>
      <c r="AU80" s="143"/>
      <c r="AV80" s="143"/>
      <c r="AW80" s="143"/>
      <c r="AX80" s="269"/>
      <c r="AY80" s="194"/>
      <c r="AZ80" s="194"/>
      <c r="BA80" s="268"/>
      <c r="BB80" s="143"/>
      <c r="BC80" s="143"/>
      <c r="BD80" s="143"/>
      <c r="BE80" s="269"/>
      <c r="BF80" s="194"/>
      <c r="BG80" s="194"/>
      <c r="BH80" s="268"/>
      <c r="BI80" s="143"/>
      <c r="BJ80" s="143"/>
      <c r="BK80" s="143"/>
      <c r="BL80" s="269"/>
      <c r="BM80" s="194"/>
      <c r="BN80" s="194"/>
      <c r="BO80" s="268"/>
      <c r="BP80" s="143"/>
      <c r="BQ80" s="143"/>
      <c r="BR80" s="143"/>
      <c r="BS80" s="269"/>
      <c r="BT80" s="194"/>
      <c r="BU80" s="194"/>
      <c r="BV80" s="268"/>
      <c r="BW80" s="143"/>
      <c r="BX80" s="143"/>
      <c r="BY80" s="143"/>
      <c r="BZ80" s="269"/>
      <c r="CA80" s="194"/>
      <c r="CB80" s="194"/>
      <c r="CC80" s="268"/>
      <c r="CD80" s="143"/>
      <c r="CE80" s="143"/>
      <c r="CF80" s="143"/>
      <c r="CG80" s="269"/>
      <c r="CH80" s="194"/>
      <c r="CI80" s="194"/>
      <c r="CJ80" s="268"/>
      <c r="CK80" s="143"/>
      <c r="CL80" s="143"/>
      <c r="CM80" s="143"/>
      <c r="CN80" s="269"/>
      <c r="CO80" s="194"/>
      <c r="CP80" s="194"/>
      <c r="CQ80" s="268"/>
      <c r="CR80" s="143"/>
      <c r="CS80" s="143"/>
      <c r="CT80" s="143"/>
      <c r="CU80" s="269"/>
      <c r="CV80" s="194"/>
      <c r="CW80" s="194"/>
      <c r="CX80" s="268"/>
      <c r="CY80" s="143"/>
      <c r="CZ80" s="143"/>
      <c r="DA80" s="143"/>
      <c r="DB80" s="269"/>
      <c r="DC80" s="194"/>
      <c r="DD80" s="194"/>
      <c r="DE80" s="268"/>
      <c r="DF80" s="143"/>
      <c r="DG80" s="143"/>
      <c r="DH80" s="143"/>
      <c r="DI80" s="269"/>
      <c r="DJ80" s="194"/>
      <c r="DK80" s="194"/>
      <c r="DL80" s="268"/>
      <c r="DM80" s="143"/>
      <c r="DN80" s="143"/>
      <c r="DO80" s="143"/>
      <c r="DP80" s="269"/>
      <c r="DQ80" s="194"/>
      <c r="DR80" s="194"/>
      <c r="DS80" s="268"/>
      <c r="DT80" s="143"/>
      <c r="DU80" s="143"/>
      <c r="DV80" s="143"/>
      <c r="DW80" s="269"/>
      <c r="DX80" s="194"/>
      <c r="DY80" s="194"/>
      <c r="DZ80" s="268"/>
      <c r="EA80" s="143"/>
      <c r="EB80" s="143"/>
      <c r="EC80" s="143"/>
      <c r="ED80" s="269"/>
      <c r="EE80" s="194"/>
      <c r="EF80" s="194"/>
      <c r="EG80" s="268"/>
      <c r="EH80" s="143"/>
      <c r="EI80" s="143"/>
      <c r="EJ80" s="143"/>
      <c r="EK80" s="269"/>
      <c r="EL80" s="194"/>
      <c r="EM80" s="194"/>
      <c r="EN80" s="268"/>
      <c r="EO80" s="143"/>
      <c r="EP80" s="143"/>
      <c r="EQ80" s="143"/>
      <c r="ER80" s="269"/>
      <c r="ES80" s="194"/>
      <c r="ET80" s="194"/>
      <c r="EU80" s="268"/>
      <c r="EV80" s="143"/>
      <c r="EW80" s="143"/>
      <c r="EX80" s="143"/>
      <c r="EY80" s="269"/>
      <c r="EZ80" s="194"/>
      <c r="FA80" s="194"/>
      <c r="FB80" s="268"/>
      <c r="FC80" s="143"/>
      <c r="FD80" s="143"/>
      <c r="FE80" s="143"/>
      <c r="FF80" s="269"/>
      <c r="FG80" s="194"/>
      <c r="FH80" s="194"/>
      <c r="FI80" s="268"/>
      <c r="FJ80" s="143"/>
      <c r="FK80" s="143"/>
      <c r="FL80" s="143"/>
      <c r="FM80" s="269"/>
      <c r="FN80" s="194"/>
      <c r="FO80" s="194"/>
      <c r="FP80" s="268"/>
      <c r="FQ80" s="143"/>
      <c r="FR80" s="143"/>
      <c r="FS80" s="143"/>
      <c r="FT80" s="269"/>
      <c r="FU80" s="194"/>
      <c r="FV80" s="194"/>
      <c r="FW80" s="268"/>
      <c r="FX80" s="143"/>
      <c r="FY80" s="143"/>
      <c r="FZ80" s="143"/>
      <c r="GA80" s="269"/>
      <c r="GB80" s="194"/>
      <c r="GC80" s="194"/>
      <c r="GD80" s="143"/>
      <c r="GE80" s="143"/>
      <c r="GF80" s="143"/>
      <c r="GG80" s="143"/>
      <c r="GH80" s="143"/>
      <c r="GI80" s="194"/>
      <c r="GJ80" s="194"/>
      <c r="GK80" s="143"/>
      <c r="GL80" s="143"/>
      <c r="GM80" s="143"/>
      <c r="GN80" s="143"/>
      <c r="GO80" s="143"/>
      <c r="GP80" s="210"/>
      <c r="GQ80" s="210"/>
      <c r="GR80" s="143"/>
      <c r="GS80" s="143"/>
      <c r="GT80" s="143"/>
      <c r="GU80" s="143"/>
      <c r="GV80" s="143"/>
      <c r="GW80" s="210"/>
      <c r="GX80" s="210"/>
      <c r="GY80" s="143"/>
      <c r="GZ80" s="143"/>
      <c r="HA80" s="143"/>
      <c r="HB80" s="143"/>
      <c r="HC80" s="143"/>
      <c r="HD80" s="210"/>
      <c r="HE80" s="210"/>
      <c r="HF80" s="143"/>
      <c r="HG80" s="143"/>
      <c r="HH80" s="143"/>
      <c r="HI80" s="143"/>
      <c r="HJ80" s="143"/>
      <c r="HK80" s="210"/>
      <c r="HL80" s="210"/>
      <c r="HM80" s="143"/>
      <c r="HN80" s="143"/>
      <c r="HO80" s="143"/>
      <c r="HP80" s="143"/>
      <c r="HQ80" s="143"/>
      <c r="HR80" s="143"/>
      <c r="HS80" s="143"/>
      <c r="HT80" s="143"/>
      <c r="HU80" s="143"/>
      <c r="HV80" s="143"/>
      <c r="HW80" s="143"/>
      <c r="HX80" s="143"/>
      <c r="HY80" s="203"/>
      <c r="HZ80" s="203"/>
      <c r="IA80" s="143"/>
      <c r="IB80" s="143"/>
      <c r="IC80" s="143"/>
      <c r="ID80" s="143"/>
      <c r="IE80" s="143"/>
      <c r="IF80" s="203"/>
      <c r="IG80" s="203"/>
      <c r="IH80" s="143"/>
      <c r="II80" s="143"/>
      <c r="IJ80" s="143"/>
      <c r="IK80" s="143"/>
      <c r="IL80" s="143"/>
      <c r="IM80" s="203"/>
      <c r="IN80" s="203"/>
      <c r="IO80" s="143"/>
      <c r="IP80" s="143"/>
      <c r="IQ80" s="227"/>
      <c r="IR80" s="227"/>
      <c r="IS80" s="227"/>
      <c r="IT80" s="203"/>
      <c r="IU80" s="203"/>
      <c r="IV80" s="143"/>
      <c r="IW80" s="143"/>
      <c r="IX80" s="143"/>
      <c r="IY80" s="143"/>
      <c r="IZ80" s="143"/>
      <c r="JA80" s="203"/>
      <c r="JB80" s="203"/>
      <c r="JC80" s="227"/>
      <c r="JD80" s="227"/>
      <c r="JE80" s="143"/>
      <c r="JF80" s="143"/>
      <c r="JG80" s="143"/>
      <c r="JH80" s="203"/>
      <c r="JI80" s="203"/>
      <c r="JJ80" s="143"/>
      <c r="JK80" s="143"/>
      <c r="JL80" s="143"/>
      <c r="JM80" s="143"/>
      <c r="JN80" s="143"/>
      <c r="JO80" s="203"/>
      <c r="JP80" s="203"/>
      <c r="JQ80" s="143"/>
      <c r="JR80" s="143"/>
      <c r="JS80" s="143"/>
      <c r="JT80" s="143"/>
      <c r="JU80" s="143"/>
      <c r="JV80" s="203"/>
      <c r="JW80" s="203"/>
      <c r="JX80" s="143"/>
      <c r="JY80" s="143"/>
      <c r="JZ80" s="143"/>
      <c r="KA80" s="143"/>
      <c r="KB80" s="143"/>
      <c r="KC80" s="203"/>
      <c r="KD80" s="203"/>
      <c r="KE80" s="143"/>
      <c r="KF80" s="143"/>
      <c r="KG80" s="143"/>
      <c r="KH80" s="143"/>
      <c r="KI80" s="143"/>
      <c r="KJ80" s="194"/>
      <c r="KK80" s="194"/>
      <c r="KL80" s="143"/>
      <c r="KM80" s="143"/>
      <c r="KN80" s="143"/>
      <c r="KO80" s="143"/>
      <c r="KP80" s="227"/>
      <c r="KQ80" s="194"/>
      <c r="KR80" s="194"/>
      <c r="KS80" s="143"/>
      <c r="KT80" s="143"/>
      <c r="KU80" s="143"/>
      <c r="KV80" s="143"/>
      <c r="KW80" s="143"/>
      <c r="KX80" s="210"/>
      <c r="KY80" s="210"/>
      <c r="KZ80" s="194"/>
      <c r="LA80" s="194"/>
      <c r="LB80" s="194"/>
      <c r="LC80" s="194"/>
      <c r="LD80" s="194"/>
      <c r="LE80" s="210"/>
      <c r="LF80" s="210"/>
      <c r="LG80" s="227"/>
      <c r="LH80" s="227"/>
      <c r="LI80" s="227"/>
      <c r="LJ80" s="227"/>
      <c r="LK80" s="227"/>
      <c r="LL80" s="227"/>
      <c r="LM80" s="210"/>
      <c r="LN80" s="227"/>
      <c r="LO80" s="227"/>
      <c r="LP80" s="227"/>
      <c r="LQ80" s="227"/>
      <c r="LR80" s="227"/>
      <c r="LS80" s="210"/>
      <c r="LT80" s="210"/>
      <c r="LU80" s="227"/>
      <c r="LV80" s="143"/>
      <c r="LW80" s="143"/>
      <c r="LX80" s="143"/>
      <c r="LY80" s="143"/>
      <c r="LZ80" s="203"/>
      <c r="MA80" s="203"/>
      <c r="MB80" s="143"/>
      <c r="MC80" s="143"/>
      <c r="MD80" s="143"/>
      <c r="ME80" s="143"/>
      <c r="MF80" s="143"/>
      <c r="MG80" s="203"/>
      <c r="MH80" s="203"/>
      <c r="MI80" s="143"/>
      <c r="MJ80" s="143"/>
      <c r="MK80" s="143"/>
      <c r="ML80" s="143"/>
      <c r="MM80" s="143"/>
      <c r="MN80" s="203"/>
      <c r="MO80" s="203"/>
      <c r="MP80" s="143"/>
      <c r="MQ80" s="143"/>
      <c r="MR80" s="143"/>
      <c r="MS80" s="143"/>
      <c r="MT80" s="143"/>
      <c r="MU80" s="203"/>
      <c r="MV80" s="203"/>
      <c r="MW80" s="143"/>
      <c r="MX80" s="143"/>
      <c r="MY80" s="143"/>
      <c r="MZ80" s="143"/>
      <c r="NA80" s="143"/>
      <c r="NB80" s="143"/>
      <c r="NC80" s="143"/>
      <c r="ND80" s="143"/>
    </row>
    <row r="81" spans="1:368" s="140" customFormat="1" ht="15" customHeight="1" thickBot="1">
      <c r="A81" s="470"/>
      <c r="B81" s="461"/>
      <c r="C81" s="162" t="s">
        <v>98</v>
      </c>
      <c r="D81" s="260"/>
      <c r="E81" s="261"/>
      <c r="F81" s="261"/>
      <c r="G81" s="261"/>
      <c r="H81" s="262"/>
      <c r="I81" s="192"/>
      <c r="J81" s="192"/>
      <c r="K81" s="260"/>
      <c r="L81" s="261"/>
      <c r="M81" s="261"/>
      <c r="N81" s="261"/>
      <c r="O81" s="262"/>
      <c r="P81" s="192"/>
      <c r="Q81" s="192"/>
      <c r="R81" s="260"/>
      <c r="S81" s="261"/>
      <c r="T81" s="261"/>
      <c r="U81" s="261"/>
      <c r="V81" s="262"/>
      <c r="W81" s="192"/>
      <c r="X81" s="192"/>
      <c r="Y81" s="260"/>
      <c r="Z81" s="261"/>
      <c r="AA81" s="261"/>
      <c r="AB81" s="261"/>
      <c r="AC81" s="262"/>
      <c r="AD81" s="192"/>
      <c r="AE81" s="192"/>
      <c r="AF81" s="260"/>
      <c r="AG81" s="261"/>
      <c r="AH81" s="261"/>
      <c r="AI81" s="261"/>
      <c r="AJ81" s="262"/>
      <c r="AK81" s="192"/>
      <c r="AL81" s="192"/>
      <c r="AM81" s="260"/>
      <c r="AN81" s="261"/>
      <c r="AO81" s="261"/>
      <c r="AP81" s="261"/>
      <c r="AQ81" s="262"/>
      <c r="AR81" s="192"/>
      <c r="AS81" s="192"/>
      <c r="AT81" s="260"/>
      <c r="AU81" s="261"/>
      <c r="AV81" s="261"/>
      <c r="AW81" s="261"/>
      <c r="AX81" s="262"/>
      <c r="AY81" s="192"/>
      <c r="AZ81" s="192"/>
      <c r="BA81" s="260"/>
      <c r="BB81" s="261"/>
      <c r="BC81" s="261"/>
      <c r="BD81" s="261"/>
      <c r="BE81" s="262"/>
      <c r="BF81" s="192"/>
      <c r="BG81" s="192"/>
      <c r="BH81" s="260"/>
      <c r="BI81" s="261"/>
      <c r="BJ81" s="261"/>
      <c r="BK81" s="261"/>
      <c r="BL81" s="262"/>
      <c r="BM81" s="192"/>
      <c r="BN81" s="192"/>
      <c r="BO81" s="260"/>
      <c r="BP81" s="261"/>
      <c r="BQ81" s="261"/>
      <c r="BR81" s="261"/>
      <c r="BS81" s="262"/>
      <c r="BT81" s="192"/>
      <c r="BU81" s="192"/>
      <c r="BV81" s="260"/>
      <c r="BW81" s="261"/>
      <c r="BX81" s="261"/>
      <c r="BY81" s="261"/>
      <c r="BZ81" s="262"/>
      <c r="CA81" s="192"/>
      <c r="CB81" s="192"/>
      <c r="CC81" s="260"/>
      <c r="CD81" s="261"/>
      <c r="CE81" s="261"/>
      <c r="CF81" s="261"/>
      <c r="CG81" s="262"/>
      <c r="CH81" s="192"/>
      <c r="CI81" s="192"/>
      <c r="CJ81" s="260"/>
      <c r="CK81" s="261"/>
      <c r="CL81" s="261"/>
      <c r="CM81" s="261"/>
      <c r="CN81" s="262"/>
      <c r="CO81" s="192"/>
      <c r="CP81" s="192"/>
      <c r="CQ81" s="260"/>
      <c r="CR81" s="261"/>
      <c r="CS81" s="261"/>
      <c r="CT81" s="261"/>
      <c r="CU81" s="262"/>
      <c r="CV81" s="192"/>
      <c r="CW81" s="192"/>
      <c r="CX81" s="260"/>
      <c r="CY81" s="261"/>
      <c r="CZ81" s="261"/>
      <c r="DA81" s="261"/>
      <c r="DB81" s="262"/>
      <c r="DC81" s="192"/>
      <c r="DD81" s="192"/>
      <c r="DE81" s="260"/>
      <c r="DF81" s="261"/>
      <c r="DG81" s="261"/>
      <c r="DH81" s="261"/>
      <c r="DI81" s="262"/>
      <c r="DJ81" s="192"/>
      <c r="DK81" s="192"/>
      <c r="DL81" s="260"/>
      <c r="DM81" s="261"/>
      <c r="DN81" s="261"/>
      <c r="DO81" s="261"/>
      <c r="DP81" s="262"/>
      <c r="DQ81" s="192"/>
      <c r="DR81" s="192"/>
      <c r="DS81" s="260"/>
      <c r="DT81" s="261"/>
      <c r="DU81" s="261"/>
      <c r="DV81" s="261"/>
      <c r="DW81" s="262"/>
      <c r="DX81" s="192"/>
      <c r="DY81" s="192"/>
      <c r="DZ81" s="260"/>
      <c r="EA81" s="261"/>
      <c r="EB81" s="261"/>
      <c r="EC81" s="261"/>
      <c r="ED81" s="262"/>
      <c r="EE81" s="192"/>
      <c r="EF81" s="192"/>
      <c r="EG81" s="260"/>
      <c r="EH81" s="261"/>
      <c r="EI81" s="261"/>
      <c r="EJ81" s="261"/>
      <c r="EK81" s="262"/>
      <c r="EL81" s="192"/>
      <c r="EM81" s="192"/>
      <c r="EN81" s="260"/>
      <c r="EO81" s="261"/>
      <c r="EP81" s="261"/>
      <c r="EQ81" s="261"/>
      <c r="ER81" s="262"/>
      <c r="ES81" s="192"/>
      <c r="ET81" s="192"/>
      <c r="EU81" s="260"/>
      <c r="EV81" s="261"/>
      <c r="EW81" s="261"/>
      <c r="EX81" s="261"/>
      <c r="EY81" s="262"/>
      <c r="EZ81" s="192"/>
      <c r="FA81" s="192"/>
      <c r="FB81" s="260"/>
      <c r="FC81" s="261"/>
      <c r="FD81" s="261"/>
      <c r="FE81" s="261"/>
      <c r="FF81" s="262"/>
      <c r="FG81" s="192"/>
      <c r="FH81" s="192"/>
      <c r="FI81" s="260"/>
      <c r="FJ81" s="261"/>
      <c r="FK81" s="261"/>
      <c r="FL81" s="261"/>
      <c r="FM81" s="262"/>
      <c r="FN81" s="192"/>
      <c r="FO81" s="192"/>
      <c r="FP81" s="260"/>
      <c r="FQ81" s="261"/>
      <c r="FR81" s="261"/>
      <c r="FS81" s="261"/>
      <c r="FT81" s="262"/>
      <c r="FU81" s="192"/>
      <c r="FV81" s="192"/>
      <c r="FW81" s="260"/>
      <c r="FX81" s="261"/>
      <c r="FY81" s="261"/>
      <c r="FZ81" s="261"/>
      <c r="GA81" s="262"/>
      <c r="GB81" s="192"/>
      <c r="GC81" s="192"/>
      <c r="GD81" s="139"/>
      <c r="GE81" s="139"/>
      <c r="GF81" s="139"/>
      <c r="GG81" s="139"/>
      <c r="GH81" s="139"/>
      <c r="GI81" s="192"/>
      <c r="GJ81" s="192"/>
      <c r="GK81" s="139"/>
      <c r="GL81" s="139"/>
      <c r="GM81" s="139"/>
      <c r="GN81" s="139"/>
      <c r="GO81" s="139"/>
      <c r="GP81" s="208"/>
      <c r="GQ81" s="208"/>
      <c r="GR81" s="139"/>
      <c r="GS81" s="139"/>
      <c r="GT81" s="139"/>
      <c r="GU81" s="139"/>
      <c r="GV81" s="139"/>
      <c r="GW81" s="208"/>
      <c r="GX81" s="208"/>
      <c r="GY81" s="139"/>
      <c r="GZ81" s="139"/>
      <c r="HA81" s="139"/>
      <c r="HB81" s="139"/>
      <c r="HC81" s="139"/>
      <c r="HD81" s="208"/>
      <c r="HE81" s="208"/>
      <c r="HF81" s="139"/>
      <c r="HG81" s="139"/>
      <c r="HH81" s="139"/>
      <c r="HI81" s="139"/>
      <c r="HJ81" s="139"/>
      <c r="HK81" s="208"/>
      <c r="HL81" s="208"/>
      <c r="HM81" s="139"/>
      <c r="HN81" s="139"/>
      <c r="HO81" s="139"/>
      <c r="HP81" s="139"/>
      <c r="HQ81" s="139"/>
      <c r="HR81" s="139"/>
      <c r="HS81" s="139"/>
      <c r="HT81" s="139"/>
      <c r="HU81" s="139"/>
      <c r="HV81" s="139"/>
      <c r="HW81" s="139"/>
      <c r="HX81" s="139"/>
      <c r="HY81" s="202"/>
      <c r="HZ81" s="202"/>
      <c r="IA81" s="139"/>
      <c r="IB81" s="139"/>
      <c r="IC81" s="139"/>
      <c r="ID81" s="139"/>
      <c r="IE81" s="139"/>
      <c r="IF81" s="202"/>
      <c r="IG81" s="202"/>
      <c r="IH81" s="139"/>
      <c r="II81" s="139"/>
      <c r="IJ81" s="139"/>
      <c r="IK81" s="139"/>
      <c r="IL81" s="139"/>
      <c r="IM81" s="202"/>
      <c r="IN81" s="202"/>
      <c r="IO81" s="139"/>
      <c r="IP81" s="139"/>
      <c r="IQ81" s="228"/>
      <c r="IR81" s="228"/>
      <c r="IS81" s="228"/>
      <c r="IT81" s="202"/>
      <c r="IU81" s="202"/>
      <c r="IV81" s="139"/>
      <c r="IW81" s="139"/>
      <c r="IX81" s="139"/>
      <c r="IY81" s="139"/>
      <c r="IZ81" s="139"/>
      <c r="JA81" s="202"/>
      <c r="JB81" s="202"/>
      <c r="JC81" s="228"/>
      <c r="JD81" s="228"/>
      <c r="JE81" s="139"/>
      <c r="JF81" s="139"/>
      <c r="JG81" s="139"/>
      <c r="JH81" s="202"/>
      <c r="JI81" s="202"/>
      <c r="JJ81" s="139"/>
      <c r="JK81" s="139"/>
      <c r="JL81" s="139"/>
      <c r="JM81" s="139"/>
      <c r="JN81" s="139"/>
      <c r="JO81" s="202"/>
      <c r="JP81" s="202"/>
      <c r="JQ81" s="139"/>
      <c r="JR81" s="139"/>
      <c r="JS81" s="139"/>
      <c r="JT81" s="139"/>
      <c r="JU81" s="139"/>
      <c r="JV81" s="202"/>
      <c r="JW81" s="202"/>
      <c r="JX81" s="139"/>
      <c r="JY81" s="139"/>
      <c r="JZ81" s="139"/>
      <c r="KA81" s="139"/>
      <c r="KB81" s="139"/>
      <c r="KC81" s="202"/>
      <c r="KD81" s="202"/>
      <c r="KE81" s="139"/>
      <c r="KF81" s="139"/>
      <c r="KG81" s="139"/>
      <c r="KH81" s="139"/>
      <c r="KI81" s="139"/>
      <c r="KJ81" s="192"/>
      <c r="KK81" s="192"/>
      <c r="KL81" s="139"/>
      <c r="KM81" s="139"/>
      <c r="KN81" s="139"/>
      <c r="KO81" s="139"/>
      <c r="KP81" s="228"/>
      <c r="KQ81" s="192"/>
      <c r="KR81" s="192"/>
      <c r="KS81" s="139"/>
      <c r="KT81" s="139"/>
      <c r="KU81" s="139"/>
      <c r="KV81" s="139"/>
      <c r="KW81" s="139"/>
      <c r="KX81" s="208"/>
      <c r="KY81" s="208"/>
      <c r="KZ81" s="192"/>
      <c r="LA81" s="192"/>
      <c r="LB81" s="192"/>
      <c r="LC81" s="192"/>
      <c r="LD81" s="192"/>
      <c r="LE81" s="208"/>
      <c r="LF81" s="208"/>
      <c r="LG81" s="228"/>
      <c r="LH81" s="228"/>
      <c r="LI81" s="228"/>
      <c r="LJ81" s="228"/>
      <c r="LK81" s="228"/>
      <c r="LL81" s="228"/>
      <c r="LM81" s="208"/>
      <c r="LN81" s="228"/>
      <c r="LO81" s="228"/>
      <c r="LP81" s="228"/>
      <c r="LQ81" s="228"/>
      <c r="LR81" s="228"/>
      <c r="LS81" s="208"/>
      <c r="LT81" s="208"/>
      <c r="LU81" s="228"/>
      <c r="LV81" s="139"/>
      <c r="LW81" s="139"/>
      <c r="LX81" s="139"/>
      <c r="LY81" s="139"/>
      <c r="LZ81" s="202"/>
      <c r="MA81" s="202"/>
      <c r="MB81" s="139"/>
      <c r="MC81" s="139"/>
      <c r="MD81" s="139"/>
      <c r="ME81" s="139"/>
      <c r="MF81" s="139"/>
      <c r="MG81" s="202"/>
      <c r="MH81" s="202"/>
      <c r="MI81" s="139"/>
      <c r="MJ81" s="139"/>
      <c r="MK81" s="139"/>
      <c r="ML81" s="139"/>
      <c r="MM81" s="139"/>
      <c r="MN81" s="202"/>
      <c r="MO81" s="202"/>
      <c r="MP81" s="139"/>
      <c r="MQ81" s="139"/>
      <c r="MR81" s="139"/>
      <c r="MS81" s="139"/>
      <c r="MT81" s="139"/>
      <c r="MU81" s="202"/>
      <c r="MV81" s="202"/>
      <c r="MW81" s="139"/>
      <c r="MX81" s="139"/>
      <c r="MY81" s="139"/>
      <c r="MZ81" s="139"/>
      <c r="NA81" s="139"/>
      <c r="NB81" s="139"/>
      <c r="NC81" s="139"/>
      <c r="ND81" s="139"/>
    </row>
    <row r="82" spans="1:368" s="151" customFormat="1" ht="15" hidden="1" customHeight="1" thickBot="1">
      <c r="A82" s="470"/>
      <c r="B82" s="474"/>
      <c r="C82" s="165" t="s">
        <v>93</v>
      </c>
      <c r="D82" s="272"/>
      <c r="E82" s="152"/>
      <c r="F82" s="152"/>
      <c r="G82" s="152"/>
      <c r="H82" s="273"/>
      <c r="I82" s="194"/>
      <c r="J82" s="194"/>
      <c r="K82" s="272"/>
      <c r="L82" s="152"/>
      <c r="M82" s="152"/>
      <c r="N82" s="152"/>
      <c r="O82" s="273"/>
      <c r="P82" s="194"/>
      <c r="Q82" s="194"/>
      <c r="R82" s="272"/>
      <c r="S82" s="152"/>
      <c r="T82" s="152"/>
      <c r="U82" s="152"/>
      <c r="V82" s="273"/>
      <c r="W82" s="194"/>
      <c r="X82" s="194"/>
      <c r="Y82" s="272"/>
      <c r="Z82" s="152"/>
      <c r="AA82" s="152"/>
      <c r="AB82" s="152"/>
      <c r="AC82" s="273"/>
      <c r="AD82" s="194"/>
      <c r="AE82" s="194"/>
      <c r="AF82" s="272"/>
      <c r="AG82" s="152"/>
      <c r="AH82" s="152"/>
      <c r="AI82" s="152"/>
      <c r="AJ82" s="273"/>
      <c r="AK82" s="194"/>
      <c r="AL82" s="194"/>
      <c r="AM82" s="272"/>
      <c r="AN82" s="152"/>
      <c r="AO82" s="152"/>
      <c r="AP82" s="152"/>
      <c r="AQ82" s="273"/>
      <c r="AR82" s="194"/>
      <c r="AS82" s="194"/>
      <c r="AT82" s="272"/>
      <c r="AU82" s="152"/>
      <c r="AV82" s="152"/>
      <c r="AW82" s="152"/>
      <c r="AX82" s="273"/>
      <c r="AY82" s="194"/>
      <c r="AZ82" s="194"/>
      <c r="BA82" s="272"/>
      <c r="BB82" s="152"/>
      <c r="BC82" s="152"/>
      <c r="BD82" s="152"/>
      <c r="BE82" s="273"/>
      <c r="BF82" s="194"/>
      <c r="BG82" s="194"/>
      <c r="BH82" s="272"/>
      <c r="BI82" s="152"/>
      <c r="BJ82" s="152"/>
      <c r="BK82" s="152"/>
      <c r="BL82" s="273"/>
      <c r="BM82" s="194"/>
      <c r="BN82" s="194"/>
      <c r="BO82" s="272"/>
      <c r="BP82" s="152"/>
      <c r="BQ82" s="152"/>
      <c r="BR82" s="152"/>
      <c r="BS82" s="273"/>
      <c r="BT82" s="194"/>
      <c r="BU82" s="194"/>
      <c r="BV82" s="272"/>
      <c r="BW82" s="152"/>
      <c r="BX82" s="152"/>
      <c r="BY82" s="152"/>
      <c r="BZ82" s="273"/>
      <c r="CA82" s="194"/>
      <c r="CB82" s="194"/>
      <c r="CC82" s="272"/>
      <c r="CD82" s="152"/>
      <c r="CE82" s="152"/>
      <c r="CF82" s="152"/>
      <c r="CG82" s="273"/>
      <c r="CH82" s="194"/>
      <c r="CI82" s="194"/>
      <c r="CJ82" s="272"/>
      <c r="CK82" s="152"/>
      <c r="CL82" s="152"/>
      <c r="CM82" s="152"/>
      <c r="CN82" s="273"/>
      <c r="CO82" s="194"/>
      <c r="CP82" s="194"/>
      <c r="CQ82" s="272"/>
      <c r="CR82" s="152"/>
      <c r="CS82" s="152"/>
      <c r="CT82" s="152"/>
      <c r="CU82" s="273"/>
      <c r="CV82" s="194"/>
      <c r="CW82" s="194"/>
      <c r="CX82" s="272"/>
      <c r="CY82" s="152"/>
      <c r="CZ82" s="152"/>
      <c r="DA82" s="152"/>
      <c r="DB82" s="273"/>
      <c r="DC82" s="194"/>
      <c r="DD82" s="194"/>
      <c r="DE82" s="272"/>
      <c r="DF82" s="152"/>
      <c r="DG82" s="152"/>
      <c r="DH82" s="152"/>
      <c r="DI82" s="273"/>
      <c r="DJ82" s="194"/>
      <c r="DK82" s="194"/>
      <c r="DL82" s="272"/>
      <c r="DM82" s="152"/>
      <c r="DN82" s="152"/>
      <c r="DO82" s="152"/>
      <c r="DP82" s="273"/>
      <c r="DQ82" s="194"/>
      <c r="DR82" s="194"/>
      <c r="DS82" s="272"/>
      <c r="DT82" s="152"/>
      <c r="DU82" s="152"/>
      <c r="DV82" s="152"/>
      <c r="DW82" s="273"/>
      <c r="DX82" s="194"/>
      <c r="DY82" s="194"/>
      <c r="DZ82" s="272"/>
      <c r="EA82" s="152"/>
      <c r="EB82" s="152"/>
      <c r="EC82" s="152"/>
      <c r="ED82" s="273"/>
      <c r="EE82" s="194"/>
      <c r="EF82" s="194"/>
      <c r="EG82" s="272"/>
      <c r="EH82" s="152"/>
      <c r="EI82" s="152"/>
      <c r="EJ82" s="152"/>
      <c r="EK82" s="273"/>
      <c r="EL82" s="194"/>
      <c r="EM82" s="194"/>
      <c r="EN82" s="272"/>
      <c r="EO82" s="152"/>
      <c r="EP82" s="152"/>
      <c r="EQ82" s="152"/>
      <c r="ER82" s="273"/>
      <c r="ES82" s="194"/>
      <c r="ET82" s="194"/>
      <c r="EU82" s="272"/>
      <c r="EV82" s="152"/>
      <c r="EW82" s="152"/>
      <c r="EX82" s="152"/>
      <c r="EY82" s="273"/>
      <c r="EZ82" s="194"/>
      <c r="FA82" s="194"/>
      <c r="FB82" s="272"/>
      <c r="FC82" s="152"/>
      <c r="FD82" s="152"/>
      <c r="FE82" s="152"/>
      <c r="FF82" s="273"/>
      <c r="FG82" s="194"/>
      <c r="FH82" s="194"/>
      <c r="FI82" s="272"/>
      <c r="FJ82" s="152"/>
      <c r="FK82" s="152"/>
      <c r="FL82" s="152"/>
      <c r="FM82" s="273"/>
      <c r="FN82" s="194"/>
      <c r="FO82" s="194"/>
      <c r="FP82" s="272"/>
      <c r="FQ82" s="152"/>
      <c r="FR82" s="152"/>
      <c r="FS82" s="152"/>
      <c r="FT82" s="273"/>
      <c r="FU82" s="194"/>
      <c r="FV82" s="194"/>
      <c r="FW82" s="272"/>
      <c r="FX82" s="152"/>
      <c r="FY82" s="152"/>
      <c r="FZ82" s="152"/>
      <c r="GA82" s="273"/>
      <c r="GB82" s="194"/>
      <c r="GC82" s="194"/>
      <c r="GD82" s="152"/>
      <c r="GE82" s="152"/>
      <c r="GF82" s="152"/>
      <c r="GG82" s="152"/>
      <c r="GH82" s="152"/>
      <c r="GI82" s="194"/>
      <c r="GJ82" s="194"/>
      <c r="GK82" s="152"/>
      <c r="GL82" s="152"/>
      <c r="GM82" s="152"/>
      <c r="GN82" s="152"/>
      <c r="GO82" s="152"/>
      <c r="GP82" s="210"/>
      <c r="GQ82" s="210"/>
      <c r="GR82" s="152"/>
      <c r="GS82" s="152"/>
      <c r="GT82" s="152"/>
      <c r="GU82" s="152"/>
      <c r="GV82" s="152"/>
      <c r="GW82" s="210"/>
      <c r="GX82" s="210"/>
      <c r="GY82" s="152"/>
      <c r="GZ82" s="152"/>
      <c r="HA82" s="152"/>
      <c r="HB82" s="152"/>
      <c r="HC82" s="152"/>
      <c r="HD82" s="210"/>
      <c r="HE82" s="210"/>
      <c r="HF82" s="152"/>
      <c r="HG82" s="152"/>
      <c r="HH82" s="152"/>
      <c r="HI82" s="152"/>
      <c r="HJ82" s="152"/>
      <c r="HK82" s="210"/>
      <c r="HL82" s="210"/>
      <c r="HM82" s="152"/>
      <c r="HN82" s="152"/>
      <c r="HO82" s="152"/>
      <c r="HP82" s="152"/>
      <c r="HQ82" s="152"/>
      <c r="HR82" s="152"/>
      <c r="HS82" s="152"/>
      <c r="HT82" s="152"/>
      <c r="HU82" s="152"/>
      <c r="HV82" s="152"/>
      <c r="HW82" s="152"/>
      <c r="HX82" s="152"/>
      <c r="HY82" s="203"/>
      <c r="HZ82" s="203"/>
      <c r="IA82" s="152"/>
      <c r="IB82" s="152"/>
      <c r="IC82" s="152"/>
      <c r="ID82" s="152"/>
      <c r="IE82" s="152"/>
      <c r="IF82" s="203"/>
      <c r="IG82" s="203"/>
      <c r="IH82" s="152"/>
      <c r="II82" s="152"/>
      <c r="IJ82" s="152"/>
      <c r="IK82" s="152"/>
      <c r="IL82" s="152"/>
      <c r="IM82" s="203"/>
      <c r="IN82" s="203"/>
      <c r="IO82" s="152"/>
      <c r="IP82" s="152"/>
      <c r="IQ82" s="227"/>
      <c r="IR82" s="227"/>
      <c r="IS82" s="227"/>
      <c r="IT82" s="203"/>
      <c r="IU82" s="203"/>
      <c r="IV82" s="152"/>
      <c r="IW82" s="152"/>
      <c r="IX82" s="152"/>
      <c r="IY82" s="152"/>
      <c r="IZ82" s="152"/>
      <c r="JA82" s="203"/>
      <c r="JB82" s="203"/>
      <c r="JC82" s="232"/>
      <c r="JD82" s="232"/>
      <c r="JE82" s="152"/>
      <c r="JF82" s="152"/>
      <c r="JG82" s="152"/>
      <c r="JH82" s="203"/>
      <c r="JI82" s="203"/>
      <c r="JJ82" s="152"/>
      <c r="JK82" s="152"/>
      <c r="JL82" s="152"/>
      <c r="JM82" s="152"/>
      <c r="JN82" s="152"/>
      <c r="JO82" s="203"/>
      <c r="JP82" s="203"/>
      <c r="JQ82" s="152"/>
      <c r="JR82" s="152"/>
      <c r="JS82" s="152"/>
      <c r="JT82" s="152"/>
      <c r="JU82" s="152"/>
      <c r="JV82" s="203"/>
      <c r="JW82" s="203"/>
      <c r="JX82" s="152"/>
      <c r="JY82" s="152"/>
      <c r="JZ82" s="152"/>
      <c r="KA82" s="152"/>
      <c r="KB82" s="152"/>
      <c r="KC82" s="203"/>
      <c r="KD82" s="203"/>
      <c r="KE82" s="152"/>
      <c r="KF82" s="152"/>
      <c r="KG82" s="152"/>
      <c r="KH82" s="152"/>
      <c r="KI82" s="152"/>
      <c r="KJ82" s="194"/>
      <c r="KK82" s="194"/>
      <c r="KL82" s="152"/>
      <c r="KM82" s="152"/>
      <c r="KN82" s="152"/>
      <c r="KO82" s="152"/>
      <c r="KP82" s="227"/>
      <c r="KQ82" s="194"/>
      <c r="KR82" s="194"/>
      <c r="KS82" s="152"/>
      <c r="KT82" s="152"/>
      <c r="KU82" s="152"/>
      <c r="KV82" s="152"/>
      <c r="KW82" s="152"/>
      <c r="KX82" s="210"/>
      <c r="KY82" s="210"/>
      <c r="KZ82" s="194"/>
      <c r="LA82" s="194"/>
      <c r="LB82" s="194"/>
      <c r="LC82" s="194"/>
      <c r="LD82" s="194"/>
      <c r="LE82" s="210"/>
      <c r="LF82" s="210"/>
      <c r="LG82" s="227"/>
      <c r="LH82" s="227"/>
      <c r="LI82" s="227"/>
      <c r="LJ82" s="227"/>
      <c r="LK82" s="227"/>
      <c r="LL82" s="227"/>
      <c r="LM82" s="210"/>
      <c r="LN82" s="232"/>
      <c r="LO82" s="232"/>
      <c r="LP82" s="232"/>
      <c r="LQ82" s="232"/>
      <c r="LR82" s="232"/>
      <c r="LS82" s="210"/>
      <c r="LT82" s="210"/>
      <c r="LU82" s="232"/>
      <c r="LV82" s="152"/>
      <c r="LW82" s="152"/>
      <c r="LX82" s="152"/>
      <c r="LY82" s="152"/>
      <c r="LZ82" s="203"/>
      <c r="MA82" s="203"/>
      <c r="MB82" s="152"/>
      <c r="MC82" s="152"/>
      <c r="MD82" s="152"/>
      <c r="ME82" s="152"/>
      <c r="MF82" s="152"/>
      <c r="MG82" s="203"/>
      <c r="MH82" s="203"/>
      <c r="MI82" s="152"/>
      <c r="MJ82" s="152"/>
      <c r="MK82" s="152"/>
      <c r="ML82" s="152"/>
      <c r="MM82" s="152"/>
      <c r="MN82" s="203"/>
      <c r="MO82" s="203"/>
      <c r="MP82" s="152"/>
      <c r="MQ82" s="152"/>
      <c r="MR82" s="152"/>
      <c r="MS82" s="152"/>
      <c r="MT82" s="152"/>
      <c r="MU82" s="203"/>
      <c r="MV82" s="203"/>
      <c r="MW82" s="152"/>
      <c r="MX82" s="152"/>
      <c r="MY82" s="152"/>
      <c r="MZ82" s="152"/>
      <c r="NA82" s="152"/>
      <c r="NB82" s="152"/>
      <c r="NC82" s="152"/>
      <c r="ND82" s="152"/>
    </row>
    <row r="83" spans="1:368" s="140" customFormat="1" ht="15" customHeight="1">
      <c r="A83" s="470"/>
      <c r="B83" s="473" t="s">
        <v>9</v>
      </c>
      <c r="C83" s="163" t="s">
        <v>10</v>
      </c>
      <c r="D83" s="268"/>
      <c r="E83" s="143"/>
      <c r="F83" s="143"/>
      <c r="G83" s="143"/>
      <c r="H83" s="269"/>
      <c r="I83" s="194"/>
      <c r="J83" s="194"/>
      <c r="K83" s="268"/>
      <c r="L83" s="143"/>
      <c r="M83" s="143"/>
      <c r="N83" s="143"/>
      <c r="O83" s="269"/>
      <c r="P83" s="194"/>
      <c r="Q83" s="194"/>
      <c r="R83" s="268"/>
      <c r="S83" s="143"/>
      <c r="T83" s="143"/>
      <c r="U83" s="143"/>
      <c r="V83" s="269"/>
      <c r="W83" s="194"/>
      <c r="X83" s="194"/>
      <c r="Y83" s="268"/>
      <c r="Z83" s="143"/>
      <c r="AA83" s="143"/>
      <c r="AB83" s="143"/>
      <c r="AC83" s="269"/>
      <c r="AD83" s="194"/>
      <c r="AE83" s="194"/>
      <c r="AF83" s="268"/>
      <c r="AG83" s="143"/>
      <c r="AH83" s="143"/>
      <c r="AI83" s="143"/>
      <c r="AJ83" s="269"/>
      <c r="AK83" s="194"/>
      <c r="AL83" s="194"/>
      <c r="AM83" s="268"/>
      <c r="AN83" s="143"/>
      <c r="AO83" s="143"/>
      <c r="AP83" s="143"/>
      <c r="AQ83" s="269"/>
      <c r="AR83" s="194"/>
      <c r="AS83" s="194"/>
      <c r="AT83" s="268"/>
      <c r="AU83" s="143"/>
      <c r="AV83" s="143"/>
      <c r="AW83" s="143"/>
      <c r="AX83" s="269"/>
      <c r="AY83" s="194"/>
      <c r="AZ83" s="194"/>
      <c r="BA83" s="268"/>
      <c r="BB83" s="143"/>
      <c r="BC83" s="143"/>
      <c r="BD83" s="143"/>
      <c r="BE83" s="269"/>
      <c r="BF83" s="194"/>
      <c r="BG83" s="194"/>
      <c r="BH83" s="268"/>
      <c r="BI83" s="143"/>
      <c r="BJ83" s="143"/>
      <c r="BK83" s="143"/>
      <c r="BL83" s="269"/>
      <c r="BM83" s="194"/>
      <c r="BN83" s="194"/>
      <c r="BO83" s="268"/>
      <c r="BP83" s="143"/>
      <c r="BQ83" s="143"/>
      <c r="BR83" s="143"/>
      <c r="BS83" s="269"/>
      <c r="BT83" s="194"/>
      <c r="BU83" s="194"/>
      <c r="BV83" s="268"/>
      <c r="BW83" s="143"/>
      <c r="BX83" s="143"/>
      <c r="BY83" s="143"/>
      <c r="BZ83" s="269"/>
      <c r="CA83" s="194"/>
      <c r="CB83" s="194"/>
      <c r="CC83" s="268"/>
      <c r="CD83" s="143"/>
      <c r="CE83" s="143"/>
      <c r="CF83" s="143"/>
      <c r="CG83" s="269"/>
      <c r="CH83" s="194"/>
      <c r="CI83" s="194"/>
      <c r="CJ83" s="268"/>
      <c r="CK83" s="143"/>
      <c r="CL83" s="143"/>
      <c r="CM83" s="143"/>
      <c r="CN83" s="269"/>
      <c r="CO83" s="194"/>
      <c r="CP83" s="194"/>
      <c r="CQ83" s="268"/>
      <c r="CR83" s="143"/>
      <c r="CS83" s="143"/>
      <c r="CT83" s="143"/>
      <c r="CU83" s="269"/>
      <c r="CV83" s="194"/>
      <c r="CW83" s="194"/>
      <c r="CX83" s="268"/>
      <c r="CY83" s="143"/>
      <c r="CZ83" s="143"/>
      <c r="DA83" s="143"/>
      <c r="DB83" s="269"/>
      <c r="DC83" s="194"/>
      <c r="DD83" s="194"/>
      <c r="DE83" s="268"/>
      <c r="DF83" s="143"/>
      <c r="DG83" s="143"/>
      <c r="DH83" s="143"/>
      <c r="DI83" s="269"/>
      <c r="DJ83" s="194"/>
      <c r="DK83" s="194"/>
      <c r="DL83" s="268"/>
      <c r="DM83" s="143"/>
      <c r="DN83" s="143"/>
      <c r="DO83" s="143"/>
      <c r="DP83" s="269"/>
      <c r="DQ83" s="194"/>
      <c r="DR83" s="194"/>
      <c r="DS83" s="268"/>
      <c r="DT83" s="143"/>
      <c r="DU83" s="143"/>
      <c r="DV83" s="143"/>
      <c r="DW83" s="269"/>
      <c r="DX83" s="194"/>
      <c r="DY83" s="194"/>
      <c r="DZ83" s="268"/>
      <c r="EA83" s="143"/>
      <c r="EB83" s="143"/>
      <c r="EC83" s="143"/>
      <c r="ED83" s="269"/>
      <c r="EE83" s="194"/>
      <c r="EF83" s="194"/>
      <c r="EG83" s="268"/>
      <c r="EH83" s="143"/>
      <c r="EI83" s="143"/>
      <c r="EJ83" s="143"/>
      <c r="EK83" s="269"/>
      <c r="EL83" s="194"/>
      <c r="EM83" s="194"/>
      <c r="EN83" s="268"/>
      <c r="EO83" s="143"/>
      <c r="EP83" s="143"/>
      <c r="EQ83" s="143"/>
      <c r="ER83" s="269"/>
      <c r="ES83" s="194"/>
      <c r="ET83" s="194"/>
      <c r="EU83" s="268"/>
      <c r="EV83" s="143"/>
      <c r="EW83" s="143"/>
      <c r="EX83" s="143"/>
      <c r="EY83" s="269"/>
      <c r="EZ83" s="194"/>
      <c r="FA83" s="194"/>
      <c r="FB83" s="268"/>
      <c r="FC83" s="143"/>
      <c r="FD83" s="143"/>
      <c r="FE83" s="143"/>
      <c r="FF83" s="269"/>
      <c r="FG83" s="194"/>
      <c r="FH83" s="194"/>
      <c r="FI83" s="268"/>
      <c r="FJ83" s="143"/>
      <c r="FK83" s="143"/>
      <c r="FL83" s="143"/>
      <c r="FM83" s="269"/>
      <c r="FN83" s="194"/>
      <c r="FO83" s="194"/>
      <c r="FP83" s="268"/>
      <c r="FQ83" s="143"/>
      <c r="FR83" s="143"/>
      <c r="FS83" s="143"/>
      <c r="FT83" s="269"/>
      <c r="FU83" s="194"/>
      <c r="FV83" s="194"/>
      <c r="FW83" s="268"/>
      <c r="FX83" s="143"/>
      <c r="FY83" s="143"/>
      <c r="FZ83" s="143"/>
      <c r="GA83" s="269"/>
      <c r="GB83" s="194"/>
      <c r="GC83" s="194"/>
      <c r="GD83" s="143"/>
      <c r="GE83" s="143"/>
      <c r="GF83" s="143"/>
      <c r="GG83" s="143"/>
      <c r="GH83" s="143"/>
      <c r="GI83" s="194"/>
      <c r="GJ83" s="194"/>
      <c r="GK83" s="143"/>
      <c r="GL83" s="143"/>
      <c r="GM83" s="143"/>
      <c r="GN83" s="143"/>
      <c r="GO83" s="143"/>
      <c r="GP83" s="210"/>
      <c r="GQ83" s="210"/>
      <c r="GR83" s="143"/>
      <c r="GS83" s="143"/>
      <c r="GT83" s="143"/>
      <c r="GU83" s="143"/>
      <c r="GV83" s="143"/>
      <c r="GW83" s="210"/>
      <c r="GX83" s="210"/>
      <c r="GY83" s="143"/>
      <c r="GZ83" s="143"/>
      <c r="HA83" s="143"/>
      <c r="HB83" s="143"/>
      <c r="HC83" s="143"/>
      <c r="HD83" s="210"/>
      <c r="HE83" s="210"/>
      <c r="HF83" s="143"/>
      <c r="HG83" s="143"/>
      <c r="HH83" s="143"/>
      <c r="HI83" s="143"/>
      <c r="HJ83" s="143"/>
      <c r="HK83" s="210"/>
      <c r="HL83" s="210"/>
      <c r="HM83" s="143"/>
      <c r="HN83" s="143"/>
      <c r="HO83" s="143"/>
      <c r="HP83" s="143"/>
      <c r="HQ83" s="143"/>
      <c r="HR83" s="143"/>
      <c r="HS83" s="143"/>
      <c r="HT83" s="143"/>
      <c r="HU83" s="143"/>
      <c r="HV83" s="143"/>
      <c r="HW83" s="143"/>
      <c r="HX83" s="143"/>
      <c r="HY83" s="203"/>
      <c r="HZ83" s="203"/>
      <c r="IA83" s="143"/>
      <c r="IB83" s="143"/>
      <c r="IC83" s="143"/>
      <c r="ID83" s="143"/>
      <c r="IE83" s="143"/>
      <c r="IF83" s="203"/>
      <c r="IG83" s="203"/>
      <c r="IH83" s="143"/>
      <c r="II83" s="143"/>
      <c r="IJ83" s="143"/>
      <c r="IK83" s="143"/>
      <c r="IL83" s="143"/>
      <c r="IM83" s="203"/>
      <c r="IN83" s="203"/>
      <c r="IO83" s="143"/>
      <c r="IP83" s="143"/>
      <c r="IQ83" s="227"/>
      <c r="IR83" s="227"/>
      <c r="IS83" s="227"/>
      <c r="IT83" s="203"/>
      <c r="IU83" s="203"/>
      <c r="IV83" s="143"/>
      <c r="IW83" s="143"/>
      <c r="IX83" s="143"/>
      <c r="IY83" s="143"/>
      <c r="IZ83" s="143"/>
      <c r="JA83" s="203"/>
      <c r="JB83" s="203"/>
      <c r="JC83" s="227"/>
      <c r="JD83" s="227"/>
      <c r="JE83" s="143"/>
      <c r="JF83" s="143"/>
      <c r="JG83" s="143"/>
      <c r="JH83" s="203"/>
      <c r="JI83" s="203"/>
      <c r="JJ83" s="143"/>
      <c r="JK83" s="143"/>
      <c r="JL83" s="143"/>
      <c r="JM83" s="143"/>
      <c r="JN83" s="143"/>
      <c r="JO83" s="203"/>
      <c r="JP83" s="203"/>
      <c r="JQ83" s="143"/>
      <c r="JR83" s="143"/>
      <c r="JS83" s="143"/>
      <c r="JT83" s="143"/>
      <c r="JU83" s="143"/>
      <c r="JV83" s="203"/>
      <c r="JW83" s="203"/>
      <c r="JX83" s="143"/>
      <c r="JY83" s="143"/>
      <c r="JZ83" s="143"/>
      <c r="KA83" s="143"/>
      <c r="KB83" s="143"/>
      <c r="KC83" s="203"/>
      <c r="KD83" s="203"/>
      <c r="KE83" s="143"/>
      <c r="KF83" s="143"/>
      <c r="KG83" s="143"/>
      <c r="KH83" s="143"/>
      <c r="KI83" s="143"/>
      <c r="KJ83" s="194"/>
      <c r="KK83" s="194"/>
      <c r="KL83" s="143"/>
      <c r="KM83" s="143"/>
      <c r="KN83" s="143"/>
      <c r="KO83" s="143"/>
      <c r="KP83" s="227"/>
      <c r="KQ83" s="194"/>
      <c r="KR83" s="194"/>
      <c r="KS83" s="143"/>
      <c r="KT83" s="143"/>
      <c r="KU83" s="143"/>
      <c r="KV83" s="143"/>
      <c r="KW83" s="143"/>
      <c r="KX83" s="210"/>
      <c r="KY83" s="210"/>
      <c r="KZ83" s="194"/>
      <c r="LA83" s="194"/>
      <c r="LB83" s="194"/>
      <c r="LC83" s="194"/>
      <c r="LD83" s="194"/>
      <c r="LE83" s="210"/>
      <c r="LF83" s="210"/>
      <c r="LG83" s="227"/>
      <c r="LH83" s="227"/>
      <c r="LI83" s="227"/>
      <c r="LJ83" s="227"/>
      <c r="LK83" s="227"/>
      <c r="LL83" s="227"/>
      <c r="LM83" s="210"/>
      <c r="LN83" s="227"/>
      <c r="LO83" s="227"/>
      <c r="LP83" s="227"/>
      <c r="LQ83" s="227"/>
      <c r="LR83" s="227"/>
      <c r="LS83" s="210"/>
      <c r="LT83" s="210"/>
      <c r="LU83" s="227"/>
      <c r="LV83" s="143"/>
      <c r="LW83" s="143"/>
      <c r="LX83" s="143"/>
      <c r="LY83" s="143"/>
      <c r="LZ83" s="203"/>
      <c r="MA83" s="203"/>
      <c r="MB83" s="143"/>
      <c r="MC83" s="143"/>
      <c r="MD83" s="143"/>
      <c r="ME83" s="143"/>
      <c r="MF83" s="143"/>
      <c r="MG83" s="203"/>
      <c r="MH83" s="203"/>
      <c r="MI83" s="143"/>
      <c r="MJ83" s="143"/>
      <c r="MK83" s="143"/>
      <c r="ML83" s="143"/>
      <c r="MM83" s="143"/>
      <c r="MN83" s="203"/>
      <c r="MO83" s="203"/>
      <c r="MP83" s="143"/>
      <c r="MQ83" s="143"/>
      <c r="MR83" s="143"/>
      <c r="MS83" s="143"/>
      <c r="MT83" s="143"/>
      <c r="MU83" s="203"/>
      <c r="MV83" s="203"/>
      <c r="MW83" s="143"/>
      <c r="MX83" s="143"/>
      <c r="MY83" s="143"/>
      <c r="MZ83" s="143"/>
      <c r="NA83" s="143"/>
      <c r="NB83" s="143"/>
      <c r="NC83" s="143"/>
      <c r="ND83" s="143"/>
    </row>
    <row r="84" spans="1:368" s="140" customFormat="1" ht="15" customHeight="1">
      <c r="A84" s="470"/>
      <c r="B84" s="461"/>
      <c r="C84" s="164" t="s">
        <v>11</v>
      </c>
      <c r="D84" s="268"/>
      <c r="E84" s="143"/>
      <c r="F84" s="143"/>
      <c r="G84" s="143"/>
      <c r="H84" s="269"/>
      <c r="I84" s="194"/>
      <c r="J84" s="194"/>
      <c r="K84" s="268"/>
      <c r="L84" s="143"/>
      <c r="M84" s="143"/>
      <c r="N84" s="143"/>
      <c r="O84" s="269"/>
      <c r="P84" s="194"/>
      <c r="Q84" s="194"/>
      <c r="R84" s="268"/>
      <c r="S84" s="143"/>
      <c r="T84" s="143"/>
      <c r="U84" s="143"/>
      <c r="V84" s="269"/>
      <c r="W84" s="194"/>
      <c r="X84" s="194"/>
      <c r="Y84" s="268"/>
      <c r="Z84" s="143"/>
      <c r="AA84" s="143"/>
      <c r="AB84" s="143"/>
      <c r="AC84" s="269"/>
      <c r="AD84" s="194"/>
      <c r="AE84" s="194"/>
      <c r="AF84" s="268"/>
      <c r="AG84" s="143"/>
      <c r="AH84" s="143"/>
      <c r="AI84" s="143"/>
      <c r="AJ84" s="269"/>
      <c r="AK84" s="194"/>
      <c r="AL84" s="194"/>
      <c r="AM84" s="268"/>
      <c r="AN84" s="143"/>
      <c r="AO84" s="143"/>
      <c r="AP84" s="143"/>
      <c r="AQ84" s="269"/>
      <c r="AR84" s="194"/>
      <c r="AS84" s="194"/>
      <c r="AT84" s="268"/>
      <c r="AU84" s="143"/>
      <c r="AV84" s="143"/>
      <c r="AW84" s="143"/>
      <c r="AX84" s="269"/>
      <c r="AY84" s="194"/>
      <c r="AZ84" s="194"/>
      <c r="BA84" s="268"/>
      <c r="BB84" s="143"/>
      <c r="BC84" s="143"/>
      <c r="BD84" s="143"/>
      <c r="BE84" s="269"/>
      <c r="BF84" s="194"/>
      <c r="BG84" s="194"/>
      <c r="BH84" s="268"/>
      <c r="BI84" s="143"/>
      <c r="BJ84" s="143"/>
      <c r="BK84" s="143"/>
      <c r="BL84" s="269"/>
      <c r="BM84" s="194"/>
      <c r="BN84" s="194"/>
      <c r="BO84" s="268"/>
      <c r="BP84" s="143"/>
      <c r="BQ84" s="143"/>
      <c r="BR84" s="143"/>
      <c r="BS84" s="269"/>
      <c r="BT84" s="194"/>
      <c r="BU84" s="194"/>
      <c r="BV84" s="268"/>
      <c r="BW84" s="143"/>
      <c r="BX84" s="143"/>
      <c r="BY84" s="143"/>
      <c r="BZ84" s="269"/>
      <c r="CA84" s="194"/>
      <c r="CB84" s="194"/>
      <c r="CC84" s="268"/>
      <c r="CD84" s="143"/>
      <c r="CE84" s="143"/>
      <c r="CF84" s="143"/>
      <c r="CG84" s="269"/>
      <c r="CH84" s="194"/>
      <c r="CI84" s="194"/>
      <c r="CJ84" s="268"/>
      <c r="CK84" s="143"/>
      <c r="CL84" s="143"/>
      <c r="CM84" s="143"/>
      <c r="CN84" s="269"/>
      <c r="CO84" s="194"/>
      <c r="CP84" s="194"/>
      <c r="CQ84" s="268"/>
      <c r="CR84" s="143"/>
      <c r="CS84" s="143"/>
      <c r="CT84" s="143"/>
      <c r="CU84" s="269"/>
      <c r="CV84" s="194"/>
      <c r="CW84" s="194"/>
      <c r="CX84" s="268"/>
      <c r="CY84" s="143"/>
      <c r="CZ84" s="143"/>
      <c r="DA84" s="143"/>
      <c r="DB84" s="269"/>
      <c r="DC84" s="194"/>
      <c r="DD84" s="194"/>
      <c r="DE84" s="268"/>
      <c r="DF84" s="143"/>
      <c r="DG84" s="143"/>
      <c r="DH84" s="143"/>
      <c r="DI84" s="269"/>
      <c r="DJ84" s="194"/>
      <c r="DK84" s="194"/>
      <c r="DL84" s="268"/>
      <c r="DM84" s="143"/>
      <c r="DN84" s="143"/>
      <c r="DO84" s="143"/>
      <c r="DP84" s="269"/>
      <c r="DQ84" s="194"/>
      <c r="DR84" s="194"/>
      <c r="DS84" s="268"/>
      <c r="DT84" s="143"/>
      <c r="DU84" s="143"/>
      <c r="DV84" s="143"/>
      <c r="DW84" s="269"/>
      <c r="DX84" s="194"/>
      <c r="DY84" s="194"/>
      <c r="DZ84" s="268"/>
      <c r="EA84" s="143"/>
      <c r="EB84" s="143"/>
      <c r="EC84" s="143"/>
      <c r="ED84" s="269"/>
      <c r="EE84" s="194"/>
      <c r="EF84" s="194"/>
      <c r="EG84" s="268"/>
      <c r="EH84" s="143"/>
      <c r="EI84" s="143"/>
      <c r="EJ84" s="143"/>
      <c r="EK84" s="269"/>
      <c r="EL84" s="194"/>
      <c r="EM84" s="194"/>
      <c r="EN84" s="268"/>
      <c r="EO84" s="143"/>
      <c r="EP84" s="143"/>
      <c r="EQ84" s="143"/>
      <c r="ER84" s="269"/>
      <c r="ES84" s="194"/>
      <c r="ET84" s="194"/>
      <c r="EU84" s="268"/>
      <c r="EV84" s="143"/>
      <c r="EW84" s="143"/>
      <c r="EX84" s="143"/>
      <c r="EY84" s="269"/>
      <c r="EZ84" s="194"/>
      <c r="FA84" s="194"/>
      <c r="FB84" s="268"/>
      <c r="FC84" s="143"/>
      <c r="FD84" s="143"/>
      <c r="FE84" s="143"/>
      <c r="FF84" s="269"/>
      <c r="FG84" s="194"/>
      <c r="FH84" s="194"/>
      <c r="FI84" s="268"/>
      <c r="FJ84" s="143"/>
      <c r="FK84" s="143"/>
      <c r="FL84" s="143"/>
      <c r="FM84" s="269"/>
      <c r="FN84" s="194"/>
      <c r="FO84" s="194"/>
      <c r="FP84" s="268"/>
      <c r="FQ84" s="143"/>
      <c r="FR84" s="143"/>
      <c r="FS84" s="143"/>
      <c r="FT84" s="269"/>
      <c r="FU84" s="194"/>
      <c r="FV84" s="194"/>
      <c r="FW84" s="268"/>
      <c r="FX84" s="143"/>
      <c r="FY84" s="143"/>
      <c r="FZ84" s="143"/>
      <c r="GA84" s="269"/>
      <c r="GB84" s="194"/>
      <c r="GC84" s="194"/>
      <c r="GD84" s="143"/>
      <c r="GE84" s="143"/>
      <c r="GF84" s="143"/>
      <c r="GG84" s="143"/>
      <c r="GH84" s="143"/>
      <c r="GI84" s="194"/>
      <c r="GJ84" s="194"/>
      <c r="GK84" s="143"/>
      <c r="GL84" s="143"/>
      <c r="GM84" s="143"/>
      <c r="GN84" s="143"/>
      <c r="GO84" s="143"/>
      <c r="GP84" s="210"/>
      <c r="GQ84" s="210"/>
      <c r="GR84" s="143"/>
      <c r="GS84" s="143"/>
      <c r="GT84" s="143"/>
      <c r="GU84" s="143"/>
      <c r="GV84" s="143"/>
      <c r="GW84" s="210"/>
      <c r="GX84" s="210"/>
      <c r="GY84" s="143"/>
      <c r="GZ84" s="143"/>
      <c r="HA84" s="143"/>
      <c r="HB84" s="143"/>
      <c r="HC84" s="143"/>
      <c r="HD84" s="210"/>
      <c r="HE84" s="210"/>
      <c r="HF84" s="143"/>
      <c r="HG84" s="143"/>
      <c r="HH84" s="143"/>
      <c r="HI84" s="143"/>
      <c r="HJ84" s="143"/>
      <c r="HK84" s="210"/>
      <c r="HL84" s="210"/>
      <c r="HM84" s="143"/>
      <c r="HN84" s="143"/>
      <c r="HO84" s="143"/>
      <c r="HP84" s="143"/>
      <c r="HQ84" s="143"/>
      <c r="HR84" s="143"/>
      <c r="HS84" s="143"/>
      <c r="HT84" s="143"/>
      <c r="HU84" s="143"/>
      <c r="HV84" s="143"/>
      <c r="HW84" s="143"/>
      <c r="HX84" s="143"/>
      <c r="HY84" s="203"/>
      <c r="HZ84" s="203"/>
      <c r="IA84" s="143"/>
      <c r="IB84" s="143"/>
      <c r="IC84" s="143"/>
      <c r="ID84" s="143"/>
      <c r="IE84" s="143"/>
      <c r="IF84" s="203"/>
      <c r="IG84" s="203"/>
      <c r="IH84" s="143"/>
      <c r="II84" s="143"/>
      <c r="IJ84" s="143"/>
      <c r="IK84" s="143"/>
      <c r="IL84" s="143"/>
      <c r="IM84" s="203"/>
      <c r="IN84" s="203"/>
      <c r="IO84" s="143"/>
      <c r="IP84" s="143"/>
      <c r="IQ84" s="227"/>
      <c r="IR84" s="227"/>
      <c r="IS84" s="227"/>
      <c r="IT84" s="203"/>
      <c r="IU84" s="203"/>
      <c r="IV84" s="143"/>
      <c r="IW84" s="143"/>
      <c r="IX84" s="143"/>
      <c r="IY84" s="143"/>
      <c r="IZ84" s="143"/>
      <c r="JA84" s="203"/>
      <c r="JB84" s="203"/>
      <c r="JC84" s="227"/>
      <c r="JD84" s="227"/>
      <c r="JE84" s="143"/>
      <c r="JF84" s="143"/>
      <c r="JG84" s="143"/>
      <c r="JH84" s="203"/>
      <c r="JI84" s="203"/>
      <c r="JJ84" s="143"/>
      <c r="JK84" s="143"/>
      <c r="JL84" s="143"/>
      <c r="JM84" s="143"/>
      <c r="JN84" s="143"/>
      <c r="JO84" s="203"/>
      <c r="JP84" s="203"/>
      <c r="JQ84" s="143"/>
      <c r="JR84" s="143"/>
      <c r="JS84" s="143"/>
      <c r="JT84" s="143"/>
      <c r="JU84" s="143"/>
      <c r="JV84" s="203"/>
      <c r="JW84" s="203"/>
      <c r="JX84" s="143"/>
      <c r="JY84" s="143"/>
      <c r="JZ84" s="143"/>
      <c r="KA84" s="143"/>
      <c r="KB84" s="143"/>
      <c r="KC84" s="203"/>
      <c r="KD84" s="203"/>
      <c r="KE84" s="143"/>
      <c r="KF84" s="143"/>
      <c r="KG84" s="143"/>
      <c r="KH84" s="143"/>
      <c r="KI84" s="143"/>
      <c r="KJ84" s="194"/>
      <c r="KK84" s="194"/>
      <c r="KL84" s="143"/>
      <c r="KM84" s="143"/>
      <c r="KN84" s="143"/>
      <c r="KO84" s="143"/>
      <c r="KP84" s="227"/>
      <c r="KQ84" s="194"/>
      <c r="KR84" s="194"/>
      <c r="KS84" s="143"/>
      <c r="KT84" s="143"/>
      <c r="KU84" s="143"/>
      <c r="KV84" s="143"/>
      <c r="KW84" s="143"/>
      <c r="KX84" s="210"/>
      <c r="KY84" s="210"/>
      <c r="KZ84" s="194"/>
      <c r="LA84" s="194"/>
      <c r="LB84" s="194"/>
      <c r="LC84" s="194"/>
      <c r="LD84" s="194"/>
      <c r="LE84" s="210"/>
      <c r="LF84" s="210"/>
      <c r="LG84" s="227"/>
      <c r="LH84" s="227"/>
      <c r="LI84" s="227"/>
      <c r="LJ84" s="227"/>
      <c r="LK84" s="227"/>
      <c r="LL84" s="227"/>
      <c r="LM84" s="210"/>
      <c r="LN84" s="227"/>
      <c r="LO84" s="227"/>
      <c r="LP84" s="227"/>
      <c r="LQ84" s="227"/>
      <c r="LR84" s="227"/>
      <c r="LS84" s="210"/>
      <c r="LT84" s="210"/>
      <c r="LU84" s="227"/>
      <c r="LV84" s="143"/>
      <c r="LW84" s="143"/>
      <c r="LX84" s="143"/>
      <c r="LY84" s="143"/>
      <c r="LZ84" s="203"/>
      <c r="MA84" s="203"/>
      <c r="MB84" s="143"/>
      <c r="MC84" s="143"/>
      <c r="MD84" s="143"/>
      <c r="ME84" s="143"/>
      <c r="MF84" s="143"/>
      <c r="MG84" s="203"/>
      <c r="MH84" s="203"/>
      <c r="MI84" s="143"/>
      <c r="MJ84" s="143"/>
      <c r="MK84" s="143"/>
      <c r="ML84" s="143"/>
      <c r="MM84" s="143"/>
      <c r="MN84" s="203"/>
      <c r="MO84" s="203"/>
      <c r="MP84" s="143"/>
      <c r="MQ84" s="143"/>
      <c r="MR84" s="143"/>
      <c r="MS84" s="143"/>
      <c r="MT84" s="143"/>
      <c r="MU84" s="203"/>
      <c r="MV84" s="203"/>
      <c r="MW84" s="143"/>
      <c r="MX84" s="143"/>
      <c r="MY84" s="143"/>
      <c r="MZ84" s="143"/>
      <c r="NA84" s="143"/>
      <c r="NB84" s="143"/>
      <c r="NC84" s="143"/>
      <c r="ND84" s="143"/>
    </row>
    <row r="85" spans="1:368" s="140" customFormat="1" ht="15" customHeight="1">
      <c r="A85" s="470"/>
      <c r="B85" s="461"/>
      <c r="C85" s="164" t="s">
        <v>12</v>
      </c>
      <c r="D85" s="268"/>
      <c r="E85" s="143"/>
      <c r="F85" s="143"/>
      <c r="G85" s="143"/>
      <c r="H85" s="269"/>
      <c r="I85" s="194"/>
      <c r="J85" s="194"/>
      <c r="K85" s="268"/>
      <c r="L85" s="143"/>
      <c r="M85" s="143"/>
      <c r="N85" s="143"/>
      <c r="O85" s="269"/>
      <c r="P85" s="194"/>
      <c r="Q85" s="194"/>
      <c r="R85" s="268"/>
      <c r="S85" s="143"/>
      <c r="T85" s="143"/>
      <c r="U85" s="143"/>
      <c r="V85" s="269"/>
      <c r="W85" s="194"/>
      <c r="X85" s="194"/>
      <c r="Y85" s="268"/>
      <c r="Z85" s="143"/>
      <c r="AA85" s="143"/>
      <c r="AB85" s="143"/>
      <c r="AC85" s="269"/>
      <c r="AD85" s="194"/>
      <c r="AE85" s="194"/>
      <c r="AF85" s="268"/>
      <c r="AG85" s="143"/>
      <c r="AH85" s="143"/>
      <c r="AI85" s="143"/>
      <c r="AJ85" s="269"/>
      <c r="AK85" s="194"/>
      <c r="AL85" s="194"/>
      <c r="AM85" s="268"/>
      <c r="AN85" s="143"/>
      <c r="AO85" s="143"/>
      <c r="AP85" s="143"/>
      <c r="AQ85" s="269"/>
      <c r="AR85" s="194"/>
      <c r="AS85" s="194"/>
      <c r="AT85" s="268"/>
      <c r="AU85" s="143"/>
      <c r="AV85" s="143"/>
      <c r="AW85" s="143"/>
      <c r="AX85" s="269"/>
      <c r="AY85" s="194"/>
      <c r="AZ85" s="194"/>
      <c r="BA85" s="268"/>
      <c r="BB85" s="143"/>
      <c r="BC85" s="143"/>
      <c r="BD85" s="143"/>
      <c r="BE85" s="269"/>
      <c r="BF85" s="194"/>
      <c r="BG85" s="194"/>
      <c r="BH85" s="268"/>
      <c r="BI85" s="143"/>
      <c r="BJ85" s="143"/>
      <c r="BK85" s="143"/>
      <c r="BL85" s="269"/>
      <c r="BM85" s="194"/>
      <c r="BN85" s="194"/>
      <c r="BO85" s="268"/>
      <c r="BP85" s="143"/>
      <c r="BQ85" s="143"/>
      <c r="BR85" s="143"/>
      <c r="BS85" s="269"/>
      <c r="BT85" s="194"/>
      <c r="BU85" s="194"/>
      <c r="BV85" s="268"/>
      <c r="BW85" s="143"/>
      <c r="BX85" s="143"/>
      <c r="BY85" s="143"/>
      <c r="BZ85" s="269"/>
      <c r="CA85" s="194"/>
      <c r="CB85" s="194"/>
      <c r="CC85" s="268"/>
      <c r="CD85" s="143"/>
      <c r="CE85" s="143"/>
      <c r="CF85" s="143"/>
      <c r="CG85" s="269"/>
      <c r="CH85" s="194"/>
      <c r="CI85" s="194"/>
      <c r="CJ85" s="268"/>
      <c r="CK85" s="143"/>
      <c r="CL85" s="143"/>
      <c r="CM85" s="143"/>
      <c r="CN85" s="269"/>
      <c r="CO85" s="194"/>
      <c r="CP85" s="194"/>
      <c r="CQ85" s="268"/>
      <c r="CR85" s="143"/>
      <c r="CS85" s="143"/>
      <c r="CT85" s="143"/>
      <c r="CU85" s="269"/>
      <c r="CV85" s="194"/>
      <c r="CW85" s="194"/>
      <c r="CX85" s="268"/>
      <c r="CY85" s="143"/>
      <c r="CZ85" s="143"/>
      <c r="DA85" s="143"/>
      <c r="DB85" s="269"/>
      <c r="DC85" s="194"/>
      <c r="DD85" s="194"/>
      <c r="DE85" s="268"/>
      <c r="DF85" s="143"/>
      <c r="DG85" s="143"/>
      <c r="DH85" s="143"/>
      <c r="DI85" s="269"/>
      <c r="DJ85" s="194"/>
      <c r="DK85" s="194"/>
      <c r="DL85" s="268"/>
      <c r="DM85" s="143"/>
      <c r="DN85" s="143"/>
      <c r="DO85" s="143"/>
      <c r="DP85" s="269"/>
      <c r="DQ85" s="194"/>
      <c r="DR85" s="194"/>
      <c r="DS85" s="268"/>
      <c r="DT85" s="143"/>
      <c r="DU85" s="143"/>
      <c r="DV85" s="143"/>
      <c r="DW85" s="269"/>
      <c r="DX85" s="194"/>
      <c r="DY85" s="194"/>
      <c r="DZ85" s="268"/>
      <c r="EA85" s="143"/>
      <c r="EB85" s="143"/>
      <c r="EC85" s="143"/>
      <c r="ED85" s="269"/>
      <c r="EE85" s="194"/>
      <c r="EF85" s="194"/>
      <c r="EG85" s="268"/>
      <c r="EH85" s="143"/>
      <c r="EI85" s="143"/>
      <c r="EJ85" s="143"/>
      <c r="EK85" s="269"/>
      <c r="EL85" s="194"/>
      <c r="EM85" s="194"/>
      <c r="EN85" s="268"/>
      <c r="EO85" s="143"/>
      <c r="EP85" s="143"/>
      <c r="EQ85" s="143"/>
      <c r="ER85" s="269"/>
      <c r="ES85" s="194"/>
      <c r="ET85" s="194"/>
      <c r="EU85" s="268"/>
      <c r="EV85" s="143"/>
      <c r="EW85" s="143"/>
      <c r="EX85" s="143"/>
      <c r="EY85" s="269"/>
      <c r="EZ85" s="194"/>
      <c r="FA85" s="194"/>
      <c r="FB85" s="268"/>
      <c r="FC85" s="143"/>
      <c r="FD85" s="143"/>
      <c r="FE85" s="143"/>
      <c r="FF85" s="269"/>
      <c r="FG85" s="194"/>
      <c r="FH85" s="194"/>
      <c r="FI85" s="268"/>
      <c r="FJ85" s="143"/>
      <c r="FK85" s="143"/>
      <c r="FL85" s="143"/>
      <c r="FM85" s="269"/>
      <c r="FN85" s="194"/>
      <c r="FO85" s="194"/>
      <c r="FP85" s="268"/>
      <c r="FQ85" s="143"/>
      <c r="FR85" s="143"/>
      <c r="FS85" s="143"/>
      <c r="FT85" s="269"/>
      <c r="FU85" s="194"/>
      <c r="FV85" s="194"/>
      <c r="FW85" s="268"/>
      <c r="FX85" s="143"/>
      <c r="FY85" s="143"/>
      <c r="FZ85" s="143"/>
      <c r="GA85" s="269"/>
      <c r="GB85" s="194"/>
      <c r="GC85" s="194"/>
      <c r="GD85" s="143"/>
      <c r="GE85" s="143"/>
      <c r="GF85" s="143"/>
      <c r="GG85" s="143"/>
      <c r="GH85" s="143"/>
      <c r="GI85" s="194"/>
      <c r="GJ85" s="194"/>
      <c r="GK85" s="143"/>
      <c r="GL85" s="143"/>
      <c r="GM85" s="143"/>
      <c r="GN85" s="143"/>
      <c r="GO85" s="143"/>
      <c r="GP85" s="210"/>
      <c r="GQ85" s="210"/>
      <c r="GR85" s="143"/>
      <c r="GS85" s="143"/>
      <c r="GT85" s="143"/>
      <c r="GU85" s="143"/>
      <c r="GV85" s="143"/>
      <c r="GW85" s="210"/>
      <c r="GX85" s="210"/>
      <c r="GY85" s="143"/>
      <c r="GZ85" s="143"/>
      <c r="HA85" s="143"/>
      <c r="HB85" s="143"/>
      <c r="HC85" s="143"/>
      <c r="HD85" s="210"/>
      <c r="HE85" s="210"/>
      <c r="HF85" s="143"/>
      <c r="HG85" s="143"/>
      <c r="HH85" s="143"/>
      <c r="HI85" s="143"/>
      <c r="HJ85" s="143"/>
      <c r="HK85" s="210"/>
      <c r="HL85" s="210"/>
      <c r="HM85" s="143"/>
      <c r="HN85" s="143"/>
      <c r="HO85" s="143"/>
      <c r="HP85" s="143"/>
      <c r="HQ85" s="143"/>
      <c r="HR85" s="143"/>
      <c r="HS85" s="143"/>
      <c r="HT85" s="143"/>
      <c r="HU85" s="143"/>
      <c r="HV85" s="143"/>
      <c r="HW85" s="143"/>
      <c r="HX85" s="143"/>
      <c r="HY85" s="203"/>
      <c r="HZ85" s="203"/>
      <c r="IA85" s="143"/>
      <c r="IB85" s="143"/>
      <c r="IC85" s="143"/>
      <c r="ID85" s="143"/>
      <c r="IE85" s="143"/>
      <c r="IF85" s="203"/>
      <c r="IG85" s="203"/>
      <c r="IH85" s="143"/>
      <c r="II85" s="143"/>
      <c r="IJ85" s="143"/>
      <c r="IK85" s="143"/>
      <c r="IL85" s="143"/>
      <c r="IM85" s="203"/>
      <c r="IN85" s="203"/>
      <c r="IO85" s="143"/>
      <c r="IP85" s="143"/>
      <c r="IQ85" s="227"/>
      <c r="IR85" s="227"/>
      <c r="IS85" s="227"/>
      <c r="IT85" s="203"/>
      <c r="IU85" s="203"/>
      <c r="IV85" s="143"/>
      <c r="IW85" s="143"/>
      <c r="IX85" s="143"/>
      <c r="IY85" s="143"/>
      <c r="IZ85" s="143"/>
      <c r="JA85" s="203"/>
      <c r="JB85" s="203"/>
      <c r="JC85" s="227"/>
      <c r="JD85" s="227"/>
      <c r="JE85" s="143"/>
      <c r="JF85" s="143"/>
      <c r="JG85" s="143"/>
      <c r="JH85" s="203"/>
      <c r="JI85" s="203"/>
      <c r="JJ85" s="143"/>
      <c r="JK85" s="143"/>
      <c r="JL85" s="143"/>
      <c r="JM85" s="143"/>
      <c r="JN85" s="143"/>
      <c r="JO85" s="203"/>
      <c r="JP85" s="203"/>
      <c r="JQ85" s="143"/>
      <c r="JR85" s="143"/>
      <c r="JS85" s="143"/>
      <c r="JT85" s="143"/>
      <c r="JU85" s="143"/>
      <c r="JV85" s="203"/>
      <c r="JW85" s="203"/>
      <c r="JX85" s="143"/>
      <c r="JY85" s="143"/>
      <c r="JZ85" s="143"/>
      <c r="KA85" s="143"/>
      <c r="KB85" s="143"/>
      <c r="KC85" s="203"/>
      <c r="KD85" s="203"/>
      <c r="KE85" s="143"/>
      <c r="KF85" s="143"/>
      <c r="KG85" s="143"/>
      <c r="KH85" s="143"/>
      <c r="KI85" s="143"/>
      <c r="KJ85" s="194"/>
      <c r="KK85" s="194"/>
      <c r="KL85" s="143"/>
      <c r="KM85" s="143"/>
      <c r="KN85" s="143"/>
      <c r="KO85" s="143"/>
      <c r="KP85" s="227"/>
      <c r="KQ85" s="194"/>
      <c r="KR85" s="194"/>
      <c r="KS85" s="143"/>
      <c r="KT85" s="143"/>
      <c r="KU85" s="143"/>
      <c r="KV85" s="143"/>
      <c r="KW85" s="143"/>
      <c r="KX85" s="210"/>
      <c r="KY85" s="210"/>
      <c r="KZ85" s="194"/>
      <c r="LA85" s="194"/>
      <c r="LB85" s="194"/>
      <c r="LC85" s="194"/>
      <c r="LD85" s="194"/>
      <c r="LE85" s="210"/>
      <c r="LF85" s="210"/>
      <c r="LG85" s="227"/>
      <c r="LH85" s="227"/>
      <c r="LI85" s="227"/>
      <c r="LJ85" s="227"/>
      <c r="LK85" s="227"/>
      <c r="LL85" s="227"/>
      <c r="LM85" s="210"/>
      <c r="LN85" s="227"/>
      <c r="LO85" s="227"/>
      <c r="LP85" s="227"/>
      <c r="LQ85" s="227"/>
      <c r="LR85" s="227"/>
      <c r="LS85" s="210"/>
      <c r="LT85" s="210"/>
      <c r="LU85" s="227"/>
      <c r="LV85" s="143"/>
      <c r="LW85" s="143"/>
      <c r="LX85" s="143"/>
      <c r="LY85" s="143"/>
      <c r="LZ85" s="203"/>
      <c r="MA85" s="203"/>
      <c r="MB85" s="143"/>
      <c r="MC85" s="143"/>
      <c r="MD85" s="143"/>
      <c r="ME85" s="143"/>
      <c r="MF85" s="143"/>
      <c r="MG85" s="203"/>
      <c r="MH85" s="203"/>
      <c r="MI85" s="143"/>
      <c r="MJ85" s="143"/>
      <c r="MK85" s="143"/>
      <c r="ML85" s="143"/>
      <c r="MM85" s="143"/>
      <c r="MN85" s="203"/>
      <c r="MO85" s="203"/>
      <c r="MP85" s="143"/>
      <c r="MQ85" s="143"/>
      <c r="MR85" s="143"/>
      <c r="MS85" s="143"/>
      <c r="MT85" s="143"/>
      <c r="MU85" s="203"/>
      <c r="MV85" s="203"/>
      <c r="MW85" s="143"/>
      <c r="MX85" s="143"/>
      <c r="MY85" s="143"/>
      <c r="MZ85" s="143"/>
      <c r="NA85" s="143"/>
      <c r="NB85" s="143"/>
      <c r="NC85" s="143"/>
      <c r="ND85" s="143"/>
    </row>
    <row r="86" spans="1:368" s="140" customFormat="1" ht="15" customHeight="1" thickBot="1">
      <c r="A86" s="470"/>
      <c r="B86" s="461"/>
      <c r="C86" s="164" t="s">
        <v>13</v>
      </c>
      <c r="D86" s="274"/>
      <c r="E86" s="275"/>
      <c r="F86" s="275"/>
      <c r="G86" s="275"/>
      <c r="H86" s="276"/>
      <c r="I86" s="195"/>
      <c r="J86" s="195"/>
      <c r="K86" s="274"/>
      <c r="L86" s="275"/>
      <c r="M86" s="275"/>
      <c r="N86" s="275"/>
      <c r="O86" s="276"/>
      <c r="P86" s="195"/>
      <c r="Q86" s="195"/>
      <c r="R86" s="274"/>
      <c r="S86" s="275"/>
      <c r="T86" s="275"/>
      <c r="U86" s="275"/>
      <c r="V86" s="276"/>
      <c r="W86" s="195"/>
      <c r="X86" s="195"/>
      <c r="Y86" s="274"/>
      <c r="Z86" s="275"/>
      <c r="AA86" s="275"/>
      <c r="AB86" s="275"/>
      <c r="AC86" s="276"/>
      <c r="AD86" s="195"/>
      <c r="AE86" s="195"/>
      <c r="AF86" s="274"/>
      <c r="AG86" s="275"/>
      <c r="AH86" s="275"/>
      <c r="AI86" s="275"/>
      <c r="AJ86" s="276"/>
      <c r="AK86" s="195"/>
      <c r="AL86" s="195"/>
      <c r="AM86" s="274"/>
      <c r="AN86" s="275"/>
      <c r="AO86" s="275"/>
      <c r="AP86" s="275"/>
      <c r="AQ86" s="276"/>
      <c r="AR86" s="195"/>
      <c r="AS86" s="195"/>
      <c r="AT86" s="274"/>
      <c r="AU86" s="275"/>
      <c r="AV86" s="275"/>
      <c r="AW86" s="275"/>
      <c r="AX86" s="276"/>
      <c r="AY86" s="195"/>
      <c r="AZ86" s="195"/>
      <c r="BA86" s="274"/>
      <c r="BB86" s="275"/>
      <c r="BC86" s="275"/>
      <c r="BD86" s="275"/>
      <c r="BE86" s="276"/>
      <c r="BF86" s="195"/>
      <c r="BG86" s="195"/>
      <c r="BH86" s="274"/>
      <c r="BI86" s="275"/>
      <c r="BJ86" s="275"/>
      <c r="BK86" s="275"/>
      <c r="BL86" s="276"/>
      <c r="BM86" s="195"/>
      <c r="BN86" s="195"/>
      <c r="BO86" s="274"/>
      <c r="BP86" s="275"/>
      <c r="BQ86" s="275"/>
      <c r="BR86" s="275"/>
      <c r="BS86" s="276"/>
      <c r="BT86" s="195"/>
      <c r="BU86" s="195"/>
      <c r="BV86" s="274"/>
      <c r="BW86" s="275"/>
      <c r="BX86" s="275"/>
      <c r="BY86" s="275"/>
      <c r="BZ86" s="276"/>
      <c r="CA86" s="195"/>
      <c r="CB86" s="195"/>
      <c r="CC86" s="274"/>
      <c r="CD86" s="275"/>
      <c r="CE86" s="275"/>
      <c r="CF86" s="275"/>
      <c r="CG86" s="276"/>
      <c r="CH86" s="195"/>
      <c r="CI86" s="195"/>
      <c r="CJ86" s="274"/>
      <c r="CK86" s="275"/>
      <c r="CL86" s="275"/>
      <c r="CM86" s="275"/>
      <c r="CN86" s="276"/>
      <c r="CO86" s="195"/>
      <c r="CP86" s="195"/>
      <c r="CQ86" s="274"/>
      <c r="CR86" s="275"/>
      <c r="CS86" s="275"/>
      <c r="CT86" s="275"/>
      <c r="CU86" s="276"/>
      <c r="CV86" s="195"/>
      <c r="CW86" s="195"/>
      <c r="CX86" s="274"/>
      <c r="CY86" s="275"/>
      <c r="CZ86" s="275"/>
      <c r="DA86" s="275"/>
      <c r="DB86" s="276"/>
      <c r="DC86" s="195"/>
      <c r="DD86" s="195"/>
      <c r="DE86" s="274"/>
      <c r="DF86" s="275"/>
      <c r="DG86" s="275"/>
      <c r="DH86" s="275"/>
      <c r="DI86" s="276"/>
      <c r="DJ86" s="195"/>
      <c r="DK86" s="195"/>
      <c r="DL86" s="274"/>
      <c r="DM86" s="275"/>
      <c r="DN86" s="275"/>
      <c r="DO86" s="275"/>
      <c r="DP86" s="276"/>
      <c r="DQ86" s="195"/>
      <c r="DR86" s="195"/>
      <c r="DS86" s="274"/>
      <c r="DT86" s="275"/>
      <c r="DU86" s="275"/>
      <c r="DV86" s="275"/>
      <c r="DW86" s="276"/>
      <c r="DX86" s="195"/>
      <c r="DY86" s="195"/>
      <c r="DZ86" s="274"/>
      <c r="EA86" s="275"/>
      <c r="EB86" s="275"/>
      <c r="EC86" s="275"/>
      <c r="ED86" s="276"/>
      <c r="EE86" s="195"/>
      <c r="EF86" s="195"/>
      <c r="EG86" s="274"/>
      <c r="EH86" s="275"/>
      <c r="EI86" s="275"/>
      <c r="EJ86" s="275"/>
      <c r="EK86" s="276"/>
      <c r="EL86" s="195"/>
      <c r="EM86" s="195"/>
      <c r="EN86" s="274"/>
      <c r="EO86" s="275"/>
      <c r="EP86" s="275"/>
      <c r="EQ86" s="275"/>
      <c r="ER86" s="276"/>
      <c r="ES86" s="195"/>
      <c r="ET86" s="195"/>
      <c r="EU86" s="274"/>
      <c r="EV86" s="275"/>
      <c r="EW86" s="275"/>
      <c r="EX86" s="275"/>
      <c r="EY86" s="276"/>
      <c r="EZ86" s="195"/>
      <c r="FA86" s="195"/>
      <c r="FB86" s="274"/>
      <c r="FC86" s="275"/>
      <c r="FD86" s="275"/>
      <c r="FE86" s="275"/>
      <c r="FF86" s="276"/>
      <c r="FG86" s="195"/>
      <c r="FH86" s="195"/>
      <c r="FI86" s="274"/>
      <c r="FJ86" s="275"/>
      <c r="FK86" s="275"/>
      <c r="FL86" s="275"/>
      <c r="FM86" s="276"/>
      <c r="FN86" s="195"/>
      <c r="FO86" s="195"/>
      <c r="FP86" s="274"/>
      <c r="FQ86" s="275"/>
      <c r="FR86" s="275"/>
      <c r="FS86" s="275"/>
      <c r="FT86" s="276"/>
      <c r="FU86" s="195"/>
      <c r="FV86" s="195"/>
      <c r="FW86" s="274"/>
      <c r="FX86" s="275"/>
      <c r="FY86" s="275"/>
      <c r="FZ86" s="275"/>
      <c r="GA86" s="276"/>
      <c r="GB86" s="195"/>
      <c r="GC86" s="195"/>
      <c r="GD86" s="144"/>
      <c r="GE86" s="144"/>
      <c r="GF86" s="144"/>
      <c r="GG86" s="144"/>
      <c r="GH86" s="144"/>
      <c r="GI86" s="195"/>
      <c r="GJ86" s="195"/>
      <c r="GK86" s="144"/>
      <c r="GL86" s="144"/>
      <c r="GM86" s="144"/>
      <c r="GN86" s="144"/>
      <c r="GO86" s="144"/>
      <c r="GP86" s="211"/>
      <c r="GQ86" s="211"/>
      <c r="GR86" s="144"/>
      <c r="GS86" s="144"/>
      <c r="GT86" s="144"/>
      <c r="GU86" s="144"/>
      <c r="GV86" s="144"/>
      <c r="GW86" s="211"/>
      <c r="GX86" s="211"/>
      <c r="GY86" s="144"/>
      <c r="GZ86" s="144"/>
      <c r="HA86" s="144"/>
      <c r="HB86" s="144"/>
      <c r="HC86" s="144"/>
      <c r="HD86" s="211"/>
      <c r="HE86" s="211"/>
      <c r="HF86" s="144"/>
      <c r="HG86" s="144"/>
      <c r="HH86" s="144"/>
      <c r="HI86" s="144"/>
      <c r="HJ86" s="144"/>
      <c r="HK86" s="211"/>
      <c r="HL86" s="211"/>
      <c r="HM86" s="144"/>
      <c r="HN86" s="144"/>
      <c r="HO86" s="144"/>
      <c r="HP86" s="144"/>
      <c r="HQ86" s="144"/>
      <c r="HR86" s="144"/>
      <c r="HS86" s="144"/>
      <c r="HT86" s="144"/>
      <c r="HU86" s="144"/>
      <c r="HV86" s="144"/>
      <c r="HW86" s="144"/>
      <c r="HX86" s="144"/>
      <c r="HY86" s="204"/>
      <c r="HZ86" s="204"/>
      <c r="IA86" s="144"/>
      <c r="IB86" s="144"/>
      <c r="IC86" s="144"/>
      <c r="ID86" s="144"/>
      <c r="IE86" s="144"/>
      <c r="IF86" s="204"/>
      <c r="IG86" s="204"/>
      <c r="IH86" s="144"/>
      <c r="II86" s="144"/>
      <c r="IJ86" s="144"/>
      <c r="IK86" s="144"/>
      <c r="IL86" s="144"/>
      <c r="IM86" s="204"/>
      <c r="IN86" s="204"/>
      <c r="IO86" s="144"/>
      <c r="IP86" s="144"/>
      <c r="IQ86" s="230"/>
      <c r="IR86" s="230"/>
      <c r="IS86" s="230"/>
      <c r="IT86" s="204"/>
      <c r="IU86" s="204"/>
      <c r="IV86" s="144"/>
      <c r="IW86" s="144"/>
      <c r="IX86" s="144"/>
      <c r="IY86" s="144"/>
      <c r="IZ86" s="144"/>
      <c r="JA86" s="204"/>
      <c r="JB86" s="204"/>
      <c r="JC86" s="230"/>
      <c r="JD86" s="230"/>
      <c r="JE86" s="144"/>
      <c r="JF86" s="144"/>
      <c r="JG86" s="144"/>
      <c r="JH86" s="204"/>
      <c r="JI86" s="204"/>
      <c r="JJ86" s="144"/>
      <c r="JK86" s="144"/>
      <c r="JL86" s="144"/>
      <c r="JM86" s="144"/>
      <c r="JN86" s="144"/>
      <c r="JO86" s="204"/>
      <c r="JP86" s="204"/>
      <c r="JQ86" s="144"/>
      <c r="JR86" s="144"/>
      <c r="JS86" s="144"/>
      <c r="JT86" s="144"/>
      <c r="JU86" s="144"/>
      <c r="JV86" s="204"/>
      <c r="JW86" s="204"/>
      <c r="JX86" s="144"/>
      <c r="JY86" s="144"/>
      <c r="JZ86" s="144"/>
      <c r="KA86" s="144"/>
      <c r="KB86" s="144"/>
      <c r="KC86" s="204"/>
      <c r="KD86" s="204"/>
      <c r="KE86" s="144"/>
      <c r="KF86" s="144"/>
      <c r="KG86" s="144"/>
      <c r="KH86" s="144"/>
      <c r="KI86" s="144"/>
      <c r="KJ86" s="195"/>
      <c r="KK86" s="195"/>
      <c r="KL86" s="144"/>
      <c r="KM86" s="144"/>
      <c r="KN86" s="144"/>
      <c r="KO86" s="144"/>
      <c r="KP86" s="230"/>
      <c r="KQ86" s="195"/>
      <c r="KR86" s="195"/>
      <c r="KS86" s="144"/>
      <c r="KT86" s="144"/>
      <c r="KU86" s="144"/>
      <c r="KV86" s="144"/>
      <c r="KW86" s="144"/>
      <c r="KX86" s="211"/>
      <c r="KY86" s="211"/>
      <c r="KZ86" s="195"/>
      <c r="LA86" s="195"/>
      <c r="LB86" s="195"/>
      <c r="LC86" s="195"/>
      <c r="LD86" s="195"/>
      <c r="LE86" s="211"/>
      <c r="LF86" s="211"/>
      <c r="LG86" s="230"/>
      <c r="LH86" s="230"/>
      <c r="LI86" s="230"/>
      <c r="LJ86" s="230"/>
      <c r="LK86" s="230"/>
      <c r="LL86" s="230"/>
      <c r="LM86" s="211"/>
      <c r="LN86" s="230"/>
      <c r="LO86" s="230"/>
      <c r="LP86" s="230"/>
      <c r="LQ86" s="230"/>
      <c r="LR86" s="230"/>
      <c r="LS86" s="211"/>
      <c r="LT86" s="211"/>
      <c r="LU86" s="230"/>
      <c r="LV86" s="144"/>
      <c r="LW86" s="144"/>
      <c r="LX86" s="144"/>
      <c r="LY86" s="144"/>
      <c r="LZ86" s="204"/>
      <c r="MA86" s="204"/>
      <c r="MB86" s="144"/>
      <c r="MC86" s="144"/>
      <c r="MD86" s="144"/>
      <c r="ME86" s="144"/>
      <c r="MF86" s="144"/>
      <c r="MG86" s="204"/>
      <c r="MH86" s="204"/>
      <c r="MI86" s="144"/>
      <c r="MJ86" s="144"/>
      <c r="MK86" s="144"/>
      <c r="ML86" s="144"/>
      <c r="MM86" s="144"/>
      <c r="MN86" s="204"/>
      <c r="MO86" s="204"/>
      <c r="MP86" s="144"/>
      <c r="MQ86" s="144"/>
      <c r="MR86" s="144"/>
      <c r="MS86" s="144"/>
      <c r="MT86" s="144"/>
      <c r="MU86" s="204"/>
      <c r="MV86" s="204"/>
      <c r="MW86" s="144"/>
      <c r="MX86" s="144"/>
      <c r="MY86" s="144"/>
      <c r="MZ86" s="144"/>
      <c r="NA86" s="144"/>
      <c r="NB86" s="144"/>
      <c r="NC86" s="144"/>
      <c r="ND86" s="144"/>
    </row>
    <row r="87" spans="1:368" s="151" customFormat="1" ht="15" hidden="1" customHeight="1" thickBot="1">
      <c r="A87" s="470"/>
      <c r="B87" s="461"/>
      <c r="C87" s="167" t="s">
        <v>93</v>
      </c>
      <c r="D87" s="152"/>
      <c r="E87" s="152"/>
      <c r="F87" s="152"/>
      <c r="G87" s="152"/>
      <c r="H87" s="152"/>
      <c r="I87" s="195"/>
      <c r="J87" s="195"/>
      <c r="K87" s="152"/>
      <c r="L87" s="152"/>
      <c r="M87" s="152"/>
      <c r="N87" s="152"/>
      <c r="O87" s="152"/>
      <c r="P87" s="195"/>
      <c r="Q87" s="195"/>
      <c r="R87" s="152"/>
      <c r="S87" s="152"/>
      <c r="T87" s="152"/>
      <c r="U87" s="152"/>
      <c r="V87" s="152"/>
      <c r="W87" s="195"/>
      <c r="X87" s="195"/>
      <c r="Y87" s="152"/>
      <c r="Z87" s="152"/>
      <c r="AA87" s="152"/>
      <c r="AB87" s="152"/>
      <c r="AC87" s="152"/>
      <c r="AD87" s="195"/>
      <c r="AE87" s="195"/>
      <c r="AF87" s="152"/>
      <c r="AG87" s="152"/>
      <c r="AH87" s="152"/>
      <c r="AI87" s="152"/>
      <c r="AJ87" s="152"/>
      <c r="AK87" s="195"/>
      <c r="AL87" s="195"/>
      <c r="AM87" s="152"/>
      <c r="AN87" s="152"/>
      <c r="AO87" s="152"/>
      <c r="AP87" s="152"/>
      <c r="AQ87" s="152"/>
      <c r="AR87" s="195"/>
      <c r="AS87" s="195"/>
      <c r="AT87" s="152"/>
      <c r="AU87" s="152"/>
      <c r="AV87" s="152"/>
      <c r="AW87" s="152"/>
      <c r="AX87" s="152"/>
      <c r="AY87" s="195"/>
      <c r="AZ87" s="195"/>
      <c r="BA87" s="152"/>
      <c r="BB87" s="152"/>
      <c r="BC87" s="152"/>
      <c r="BD87" s="152"/>
      <c r="BE87" s="152"/>
      <c r="BF87" s="195"/>
      <c r="BG87" s="195"/>
      <c r="BH87" s="152"/>
      <c r="BI87" s="152"/>
      <c r="BJ87" s="152"/>
      <c r="BK87" s="152"/>
      <c r="BL87" s="152"/>
      <c r="BM87" s="195"/>
      <c r="BN87" s="195"/>
      <c r="BO87" s="152"/>
      <c r="BP87" s="152"/>
      <c r="BQ87" s="152"/>
      <c r="BR87" s="152"/>
      <c r="BS87" s="152"/>
      <c r="BT87" s="195"/>
      <c r="BU87" s="195"/>
      <c r="BV87" s="152"/>
      <c r="BW87" s="152"/>
      <c r="BX87" s="152"/>
      <c r="BY87" s="152"/>
      <c r="BZ87" s="152"/>
      <c r="CA87" s="195"/>
      <c r="CB87" s="195"/>
      <c r="CC87" s="152"/>
      <c r="CD87" s="152"/>
      <c r="CE87" s="152"/>
      <c r="CF87" s="152"/>
      <c r="CG87" s="152"/>
      <c r="CH87" s="195"/>
      <c r="CI87" s="195"/>
      <c r="CJ87" s="152"/>
      <c r="CK87" s="152"/>
      <c r="CL87" s="152"/>
      <c r="CM87" s="152"/>
      <c r="CN87" s="152"/>
      <c r="CO87" s="195"/>
      <c r="CP87" s="195"/>
      <c r="CQ87" s="152"/>
      <c r="CR87" s="152"/>
      <c r="CS87" s="152"/>
      <c r="CT87" s="152"/>
      <c r="CU87" s="152"/>
      <c r="CV87" s="195"/>
      <c r="CW87" s="195"/>
      <c r="CX87" s="152"/>
      <c r="CY87" s="152"/>
      <c r="CZ87" s="152"/>
      <c r="DA87" s="152"/>
      <c r="DB87" s="152"/>
      <c r="DC87" s="195"/>
      <c r="DD87" s="195"/>
      <c r="DE87" s="152"/>
      <c r="DF87" s="152"/>
      <c r="DG87" s="152"/>
      <c r="DH87" s="152"/>
      <c r="DI87" s="152"/>
      <c r="DJ87" s="195"/>
      <c r="DK87" s="195"/>
      <c r="DL87" s="152"/>
      <c r="DM87" s="152"/>
      <c r="DN87" s="152"/>
      <c r="DO87" s="152"/>
      <c r="DP87" s="152"/>
      <c r="DQ87" s="195"/>
      <c r="DR87" s="195"/>
      <c r="DS87" s="152"/>
      <c r="DT87" s="152"/>
      <c r="DU87" s="152"/>
      <c r="DV87" s="152"/>
      <c r="DW87" s="152"/>
      <c r="DX87" s="195"/>
      <c r="DY87" s="195"/>
      <c r="DZ87" s="152"/>
      <c r="EA87" s="152"/>
      <c r="EB87" s="152"/>
      <c r="EC87" s="152"/>
      <c r="ED87" s="152"/>
      <c r="EE87" s="195"/>
      <c r="EF87" s="195"/>
      <c r="EG87" s="152"/>
      <c r="EH87" s="152"/>
      <c r="EI87" s="152"/>
      <c r="EJ87" s="152"/>
      <c r="EK87" s="152"/>
      <c r="EL87" s="195"/>
      <c r="EM87" s="195"/>
      <c r="EN87" s="152"/>
      <c r="EO87" s="152"/>
      <c r="EP87" s="152"/>
      <c r="EQ87" s="152"/>
      <c r="ER87" s="152"/>
      <c r="ES87" s="195"/>
      <c r="ET87" s="195"/>
      <c r="EU87" s="152"/>
      <c r="EV87" s="152"/>
      <c r="EW87" s="152"/>
      <c r="EX87" s="152"/>
      <c r="EY87" s="152"/>
      <c r="EZ87" s="195"/>
      <c r="FA87" s="195"/>
      <c r="FB87" s="152"/>
      <c r="FC87" s="152"/>
      <c r="FD87" s="152"/>
      <c r="FE87" s="152"/>
      <c r="FF87" s="152"/>
      <c r="FG87" s="195"/>
      <c r="FH87" s="195"/>
      <c r="FI87" s="152"/>
      <c r="FJ87" s="152"/>
      <c r="FK87" s="152"/>
      <c r="FL87" s="152"/>
      <c r="FM87" s="152"/>
      <c r="FN87" s="195"/>
      <c r="FO87" s="195"/>
      <c r="FP87" s="152"/>
      <c r="FQ87" s="152"/>
      <c r="FR87" s="152"/>
      <c r="FS87" s="152"/>
      <c r="FT87" s="152"/>
      <c r="FU87" s="195"/>
      <c r="FV87" s="195"/>
      <c r="FW87" s="152"/>
      <c r="FX87" s="152"/>
      <c r="FY87" s="152"/>
      <c r="FZ87" s="152"/>
      <c r="GA87" s="152"/>
      <c r="GB87" s="195"/>
      <c r="GC87" s="195"/>
      <c r="GD87" s="153"/>
      <c r="GE87" s="153"/>
      <c r="GF87" s="153"/>
      <c r="GG87" s="153"/>
      <c r="GH87" s="153"/>
      <c r="GI87" s="195"/>
      <c r="GJ87" s="195"/>
      <c r="GK87" s="153"/>
      <c r="GL87" s="153"/>
      <c r="GM87" s="153"/>
      <c r="GN87" s="153"/>
      <c r="GO87" s="153"/>
      <c r="GP87" s="211"/>
      <c r="GQ87" s="211"/>
      <c r="GR87" s="153"/>
      <c r="GS87" s="153"/>
      <c r="GT87" s="153"/>
      <c r="GU87" s="153"/>
      <c r="GV87" s="153"/>
      <c r="GW87" s="211"/>
      <c r="GX87" s="211"/>
      <c r="GY87" s="153"/>
      <c r="GZ87" s="153"/>
      <c r="HA87" s="153"/>
      <c r="HB87" s="153"/>
      <c r="HC87" s="153"/>
      <c r="HD87" s="211"/>
      <c r="HE87" s="211"/>
      <c r="HF87" s="153"/>
      <c r="HG87" s="153"/>
      <c r="HH87" s="153"/>
      <c r="HI87" s="153"/>
      <c r="HJ87" s="153"/>
      <c r="HK87" s="211"/>
      <c r="HL87" s="211"/>
      <c r="HM87" s="153"/>
      <c r="HN87" s="153"/>
      <c r="HO87" s="153"/>
      <c r="HP87" s="153"/>
      <c r="HQ87" s="153"/>
      <c r="HR87" s="153"/>
      <c r="HS87" s="153"/>
      <c r="HT87" s="153"/>
      <c r="HU87" s="153"/>
      <c r="HV87" s="153"/>
      <c r="HW87" s="153"/>
      <c r="HX87" s="153"/>
      <c r="HY87" s="204"/>
      <c r="HZ87" s="204"/>
      <c r="IA87" s="153"/>
      <c r="IB87" s="153"/>
      <c r="IC87" s="153"/>
      <c r="ID87" s="153"/>
      <c r="IE87" s="153"/>
      <c r="IF87" s="204"/>
      <c r="IG87" s="204"/>
      <c r="IH87" s="153"/>
      <c r="II87" s="153"/>
      <c r="IJ87" s="153"/>
      <c r="IK87" s="153"/>
      <c r="IL87" s="153"/>
      <c r="IM87" s="204"/>
      <c r="IN87" s="204"/>
      <c r="IO87" s="153"/>
      <c r="IP87" s="153"/>
      <c r="IQ87" s="230"/>
      <c r="IR87" s="230"/>
      <c r="IS87" s="230"/>
      <c r="IT87" s="204"/>
      <c r="IU87" s="204"/>
      <c r="IV87" s="153"/>
      <c r="IW87" s="153"/>
      <c r="IX87" s="153"/>
      <c r="IY87" s="153"/>
      <c r="IZ87" s="153"/>
      <c r="JA87" s="204"/>
      <c r="JB87" s="204"/>
      <c r="JC87" s="233"/>
      <c r="JD87" s="233"/>
      <c r="JE87" s="153"/>
      <c r="JF87" s="153"/>
      <c r="JG87" s="153"/>
      <c r="JH87" s="204"/>
      <c r="JI87" s="204"/>
      <c r="JJ87" s="153"/>
      <c r="JK87" s="153"/>
      <c r="JL87" s="153"/>
      <c r="JM87" s="153"/>
      <c r="JN87" s="153"/>
      <c r="JO87" s="204"/>
      <c r="JP87" s="204"/>
      <c r="JQ87" s="153"/>
      <c r="JR87" s="153"/>
      <c r="JS87" s="153"/>
      <c r="JT87" s="153"/>
      <c r="JU87" s="153"/>
      <c r="JV87" s="204"/>
      <c r="JW87" s="204"/>
      <c r="JX87" s="153"/>
      <c r="JY87" s="153"/>
      <c r="JZ87" s="153"/>
      <c r="KA87" s="153"/>
      <c r="KB87" s="153"/>
      <c r="KC87" s="204"/>
      <c r="KD87" s="204"/>
      <c r="KE87" s="153"/>
      <c r="KF87" s="153"/>
      <c r="KG87" s="153"/>
      <c r="KH87" s="153"/>
      <c r="KI87" s="153"/>
      <c r="KJ87" s="195"/>
      <c r="KK87" s="195"/>
      <c r="KL87" s="153"/>
      <c r="KM87" s="153"/>
      <c r="KN87" s="153"/>
      <c r="KO87" s="153"/>
      <c r="KP87" s="195"/>
      <c r="KQ87" s="195"/>
      <c r="KR87" s="195"/>
      <c r="KS87" s="153"/>
      <c r="KT87" s="153"/>
      <c r="KU87" s="153"/>
      <c r="KV87" s="153"/>
      <c r="KW87" s="153"/>
      <c r="KX87" s="211"/>
      <c r="KY87" s="211"/>
      <c r="KZ87" s="195"/>
      <c r="LA87" s="195"/>
      <c r="LB87" s="195"/>
      <c r="LC87" s="195"/>
      <c r="LD87" s="195"/>
      <c r="LE87" s="211"/>
      <c r="LF87" s="211"/>
      <c r="LG87" s="230"/>
      <c r="LH87" s="230"/>
      <c r="LI87" s="230"/>
      <c r="LJ87" s="230"/>
      <c r="LK87" s="230"/>
      <c r="LL87" s="230"/>
      <c r="LM87" s="211"/>
      <c r="LN87" s="233"/>
      <c r="LO87" s="233"/>
      <c r="LP87" s="233"/>
      <c r="LQ87" s="233"/>
      <c r="LR87" s="233"/>
      <c r="LS87" s="211"/>
      <c r="LT87" s="211"/>
      <c r="LU87" s="233"/>
      <c r="LV87" s="153"/>
      <c r="LW87" s="153"/>
      <c r="LX87" s="153"/>
      <c r="LY87" s="153"/>
      <c r="LZ87" s="204"/>
      <c r="MA87" s="204"/>
      <c r="MB87" s="153"/>
      <c r="MC87" s="153"/>
      <c r="MD87" s="153"/>
      <c r="ME87" s="153"/>
      <c r="MF87" s="153"/>
      <c r="MG87" s="204"/>
      <c r="MH87" s="204"/>
      <c r="MI87" s="153"/>
      <c r="MJ87" s="153"/>
      <c r="MK87" s="153"/>
      <c r="ML87" s="153"/>
      <c r="MM87" s="153"/>
      <c r="MN87" s="204"/>
      <c r="MO87" s="204"/>
      <c r="MP87" s="153"/>
      <c r="MQ87" s="153"/>
      <c r="MR87" s="153"/>
      <c r="MS87" s="153"/>
      <c r="MT87" s="153"/>
      <c r="MU87" s="204"/>
      <c r="MV87" s="204"/>
      <c r="MW87" s="153"/>
      <c r="MX87" s="153"/>
      <c r="MY87" s="153"/>
      <c r="MZ87" s="153"/>
      <c r="NA87" s="153"/>
      <c r="NB87" s="153"/>
      <c r="NC87" s="153"/>
      <c r="ND87" s="153"/>
    </row>
    <row r="88" spans="1:368" s="146" customFormat="1" ht="15" customHeight="1" thickBot="1">
      <c r="A88" s="470"/>
      <c r="B88" s="476" t="s">
        <v>92</v>
      </c>
      <c r="C88" s="477"/>
      <c r="D88" s="155">
        <f t="shared" ref="D88:H88" si="117">SUM(D72:D86)</f>
        <v>0</v>
      </c>
      <c r="E88" s="155">
        <f t="shared" si="117"/>
        <v>0</v>
      </c>
      <c r="F88" s="155">
        <f t="shared" si="117"/>
        <v>0</v>
      </c>
      <c r="G88" s="155">
        <f t="shared" si="117"/>
        <v>0</v>
      </c>
      <c r="H88" s="155">
        <f t="shared" si="117"/>
        <v>0</v>
      </c>
      <c r="I88" s="195"/>
      <c r="J88" s="195"/>
      <c r="K88" s="155">
        <f t="shared" ref="K88:O88" si="118">SUM(K72:K86)</f>
        <v>0</v>
      </c>
      <c r="L88" s="155">
        <f t="shared" si="118"/>
        <v>0</v>
      </c>
      <c r="M88" s="155">
        <f t="shared" si="118"/>
        <v>0</v>
      </c>
      <c r="N88" s="155">
        <f t="shared" si="118"/>
        <v>0</v>
      </c>
      <c r="O88" s="155">
        <f t="shared" si="118"/>
        <v>0</v>
      </c>
      <c r="P88" s="195"/>
      <c r="Q88" s="195"/>
      <c r="R88" s="155">
        <f t="shared" ref="R88:V88" si="119">SUM(R72:R86)</f>
        <v>0</v>
      </c>
      <c r="S88" s="155">
        <f t="shared" si="119"/>
        <v>0</v>
      </c>
      <c r="T88" s="155">
        <f t="shared" si="119"/>
        <v>0</v>
      </c>
      <c r="U88" s="155">
        <f t="shared" si="119"/>
        <v>0</v>
      </c>
      <c r="V88" s="155">
        <f t="shared" si="119"/>
        <v>0</v>
      </c>
      <c r="W88" s="195"/>
      <c r="X88" s="195"/>
      <c r="Y88" s="155">
        <f t="shared" ref="Y88:AC88" si="120">SUM(Y72:Y86)</f>
        <v>0</v>
      </c>
      <c r="Z88" s="155">
        <f t="shared" si="120"/>
        <v>0</v>
      </c>
      <c r="AA88" s="155">
        <f t="shared" si="120"/>
        <v>0</v>
      </c>
      <c r="AB88" s="155">
        <f t="shared" si="120"/>
        <v>0</v>
      </c>
      <c r="AC88" s="155">
        <f t="shared" si="120"/>
        <v>0</v>
      </c>
      <c r="AD88" s="195"/>
      <c r="AE88" s="195"/>
      <c r="AF88" s="155">
        <f t="shared" ref="AF88:AJ88" si="121">SUM(AF72:AF86)</f>
        <v>0</v>
      </c>
      <c r="AG88" s="155">
        <f t="shared" si="121"/>
        <v>0</v>
      </c>
      <c r="AH88" s="155">
        <f t="shared" si="121"/>
        <v>0</v>
      </c>
      <c r="AI88" s="155">
        <f t="shared" si="121"/>
        <v>0</v>
      </c>
      <c r="AJ88" s="155">
        <f t="shared" si="121"/>
        <v>0</v>
      </c>
      <c r="AK88" s="195"/>
      <c r="AL88" s="195"/>
      <c r="AM88" s="155">
        <f t="shared" ref="AM88:AQ88" si="122">SUM(AM72:AM86)</f>
        <v>0</v>
      </c>
      <c r="AN88" s="155">
        <f t="shared" si="122"/>
        <v>0</v>
      </c>
      <c r="AO88" s="155">
        <f t="shared" si="122"/>
        <v>0</v>
      </c>
      <c r="AP88" s="155">
        <f t="shared" si="122"/>
        <v>0</v>
      </c>
      <c r="AQ88" s="155">
        <f t="shared" si="122"/>
        <v>0</v>
      </c>
      <c r="AR88" s="195"/>
      <c r="AS88" s="195"/>
      <c r="AT88" s="155">
        <f t="shared" ref="AT88:AX88" si="123">SUM(AT72:AT86)</f>
        <v>0</v>
      </c>
      <c r="AU88" s="155">
        <f t="shared" si="123"/>
        <v>0</v>
      </c>
      <c r="AV88" s="155">
        <f t="shared" si="123"/>
        <v>0</v>
      </c>
      <c r="AW88" s="155">
        <f t="shared" si="123"/>
        <v>0</v>
      </c>
      <c r="AX88" s="155">
        <f t="shared" si="123"/>
        <v>0</v>
      </c>
      <c r="AY88" s="195"/>
      <c r="AZ88" s="195"/>
      <c r="BA88" s="155">
        <f t="shared" ref="BA88:BE88" si="124">SUM(BA72:BA86)</f>
        <v>0</v>
      </c>
      <c r="BB88" s="155">
        <f t="shared" si="124"/>
        <v>0</v>
      </c>
      <c r="BC88" s="155">
        <f t="shared" si="124"/>
        <v>0</v>
      </c>
      <c r="BD88" s="155">
        <f t="shared" si="124"/>
        <v>0</v>
      </c>
      <c r="BE88" s="155">
        <f t="shared" si="124"/>
        <v>0</v>
      </c>
      <c r="BF88" s="195"/>
      <c r="BG88" s="195"/>
      <c r="BH88" s="155">
        <f t="shared" ref="BH88:BL88" si="125">SUM(BH72:BH86)</f>
        <v>0</v>
      </c>
      <c r="BI88" s="155">
        <f t="shared" si="125"/>
        <v>0</v>
      </c>
      <c r="BJ88" s="155">
        <f t="shared" si="125"/>
        <v>0</v>
      </c>
      <c r="BK88" s="155">
        <f t="shared" si="125"/>
        <v>0</v>
      </c>
      <c r="BL88" s="155">
        <f t="shared" si="125"/>
        <v>0</v>
      </c>
      <c r="BM88" s="195"/>
      <c r="BN88" s="195"/>
      <c r="BO88" s="155">
        <f t="shared" ref="BO88:BS88" si="126">SUM(BO72:BO86)</f>
        <v>0</v>
      </c>
      <c r="BP88" s="155">
        <f t="shared" si="126"/>
        <v>0</v>
      </c>
      <c r="BQ88" s="155">
        <f t="shared" si="126"/>
        <v>0</v>
      </c>
      <c r="BR88" s="155">
        <f t="shared" si="126"/>
        <v>0</v>
      </c>
      <c r="BS88" s="155">
        <f t="shared" si="126"/>
        <v>0</v>
      </c>
      <c r="BT88" s="195"/>
      <c r="BU88" s="195"/>
      <c r="BV88" s="155">
        <f t="shared" ref="BV88:BZ88" si="127">SUM(BV72:BV86)</f>
        <v>0</v>
      </c>
      <c r="BW88" s="155">
        <f t="shared" si="127"/>
        <v>0</v>
      </c>
      <c r="BX88" s="155">
        <f t="shared" si="127"/>
        <v>0</v>
      </c>
      <c r="BY88" s="155">
        <f t="shared" si="127"/>
        <v>0</v>
      </c>
      <c r="BZ88" s="155">
        <f t="shared" si="127"/>
        <v>0</v>
      </c>
      <c r="CA88" s="195"/>
      <c r="CB88" s="195"/>
      <c r="CC88" s="155">
        <f t="shared" ref="CC88:CG88" si="128">SUM(CC72:CC86)</f>
        <v>0</v>
      </c>
      <c r="CD88" s="155">
        <f t="shared" si="128"/>
        <v>0</v>
      </c>
      <c r="CE88" s="155">
        <f t="shared" si="128"/>
        <v>0</v>
      </c>
      <c r="CF88" s="155">
        <f t="shared" si="128"/>
        <v>0</v>
      </c>
      <c r="CG88" s="155">
        <f t="shared" si="128"/>
        <v>0</v>
      </c>
      <c r="CH88" s="195"/>
      <c r="CI88" s="195"/>
      <c r="CJ88" s="155">
        <f t="shared" ref="CJ88:CN88" si="129">SUM(CJ72:CJ86)</f>
        <v>0</v>
      </c>
      <c r="CK88" s="155">
        <f t="shared" si="129"/>
        <v>0</v>
      </c>
      <c r="CL88" s="155">
        <f t="shared" si="129"/>
        <v>0</v>
      </c>
      <c r="CM88" s="155">
        <f t="shared" si="129"/>
        <v>0</v>
      </c>
      <c r="CN88" s="155">
        <f t="shared" si="129"/>
        <v>0</v>
      </c>
      <c r="CO88" s="195"/>
      <c r="CP88" s="195"/>
      <c r="CQ88" s="155">
        <f t="shared" ref="CQ88:CU88" si="130">SUM(CQ72:CQ86)</f>
        <v>0</v>
      </c>
      <c r="CR88" s="155">
        <f t="shared" si="130"/>
        <v>0</v>
      </c>
      <c r="CS88" s="155">
        <f t="shared" si="130"/>
        <v>0</v>
      </c>
      <c r="CT88" s="155">
        <f t="shared" si="130"/>
        <v>0</v>
      </c>
      <c r="CU88" s="155">
        <f t="shared" si="130"/>
        <v>0</v>
      </c>
      <c r="CV88" s="195"/>
      <c r="CW88" s="195"/>
      <c r="CX88" s="155">
        <f t="shared" ref="CX88:DB88" si="131">SUM(CX72:CX86)</f>
        <v>0</v>
      </c>
      <c r="CY88" s="155">
        <f t="shared" si="131"/>
        <v>0</v>
      </c>
      <c r="CZ88" s="155">
        <f t="shared" si="131"/>
        <v>0</v>
      </c>
      <c r="DA88" s="155">
        <f t="shared" si="131"/>
        <v>0</v>
      </c>
      <c r="DB88" s="155">
        <f t="shared" si="131"/>
        <v>0</v>
      </c>
      <c r="DC88" s="195"/>
      <c r="DD88" s="195"/>
      <c r="DE88" s="155">
        <f t="shared" ref="DE88:DI88" si="132">SUM(DE72:DE86)</f>
        <v>0</v>
      </c>
      <c r="DF88" s="155">
        <f t="shared" si="132"/>
        <v>0</v>
      </c>
      <c r="DG88" s="155">
        <f t="shared" si="132"/>
        <v>0</v>
      </c>
      <c r="DH88" s="155">
        <f t="shared" si="132"/>
        <v>0</v>
      </c>
      <c r="DI88" s="155">
        <f t="shared" si="132"/>
        <v>0</v>
      </c>
      <c r="DJ88" s="195"/>
      <c r="DK88" s="195"/>
      <c r="DL88" s="155">
        <f t="shared" ref="DL88:DP88" si="133">SUM(DL72:DL86)</f>
        <v>0</v>
      </c>
      <c r="DM88" s="155">
        <f t="shared" si="133"/>
        <v>0</v>
      </c>
      <c r="DN88" s="155">
        <f t="shared" si="133"/>
        <v>0</v>
      </c>
      <c r="DO88" s="155">
        <f t="shared" si="133"/>
        <v>0</v>
      </c>
      <c r="DP88" s="155">
        <f t="shared" si="133"/>
        <v>0</v>
      </c>
      <c r="DQ88" s="195"/>
      <c r="DR88" s="195"/>
      <c r="DS88" s="155">
        <f t="shared" ref="DS88:DW88" si="134">SUM(DS72:DS86)</f>
        <v>0</v>
      </c>
      <c r="DT88" s="155">
        <f t="shared" si="134"/>
        <v>0</v>
      </c>
      <c r="DU88" s="155">
        <f t="shared" si="134"/>
        <v>0</v>
      </c>
      <c r="DV88" s="155">
        <f t="shared" si="134"/>
        <v>0</v>
      </c>
      <c r="DW88" s="155">
        <f t="shared" si="134"/>
        <v>0</v>
      </c>
      <c r="DX88" s="195"/>
      <c r="DY88" s="195"/>
      <c r="DZ88" s="155">
        <f t="shared" ref="DZ88:ED88" si="135">SUM(DZ72:DZ86)</f>
        <v>0</v>
      </c>
      <c r="EA88" s="155">
        <f t="shared" si="135"/>
        <v>0</v>
      </c>
      <c r="EB88" s="155">
        <f t="shared" si="135"/>
        <v>0</v>
      </c>
      <c r="EC88" s="155">
        <f t="shared" si="135"/>
        <v>0</v>
      </c>
      <c r="ED88" s="155">
        <f t="shared" si="135"/>
        <v>0</v>
      </c>
      <c r="EE88" s="195"/>
      <c r="EF88" s="195"/>
      <c r="EG88" s="155">
        <f t="shared" ref="EG88:EK88" si="136">SUM(EG72:EG86)</f>
        <v>0</v>
      </c>
      <c r="EH88" s="155">
        <f t="shared" si="136"/>
        <v>0</v>
      </c>
      <c r="EI88" s="155">
        <f t="shared" si="136"/>
        <v>0</v>
      </c>
      <c r="EJ88" s="155">
        <f t="shared" si="136"/>
        <v>0</v>
      </c>
      <c r="EK88" s="155">
        <f t="shared" si="136"/>
        <v>0</v>
      </c>
      <c r="EL88" s="195"/>
      <c r="EM88" s="195"/>
      <c r="EN88" s="155">
        <f t="shared" ref="EN88:ER88" si="137">SUM(EN72:EN86)</f>
        <v>0</v>
      </c>
      <c r="EO88" s="155">
        <f t="shared" si="137"/>
        <v>0</v>
      </c>
      <c r="EP88" s="155">
        <f t="shared" si="137"/>
        <v>0</v>
      </c>
      <c r="EQ88" s="155">
        <f t="shared" si="137"/>
        <v>0</v>
      </c>
      <c r="ER88" s="155">
        <f t="shared" si="137"/>
        <v>0</v>
      </c>
      <c r="ES88" s="195"/>
      <c r="ET88" s="195"/>
      <c r="EU88" s="155">
        <f t="shared" ref="EU88:EY88" si="138">SUM(EU72:EU86)</f>
        <v>0</v>
      </c>
      <c r="EV88" s="155">
        <f t="shared" si="138"/>
        <v>0</v>
      </c>
      <c r="EW88" s="155">
        <f t="shared" si="138"/>
        <v>0</v>
      </c>
      <c r="EX88" s="155">
        <f t="shared" si="138"/>
        <v>0</v>
      </c>
      <c r="EY88" s="155">
        <f t="shared" si="138"/>
        <v>0</v>
      </c>
      <c r="EZ88" s="195"/>
      <c r="FA88" s="195"/>
      <c r="FB88" s="155">
        <f t="shared" ref="FB88:FF88" si="139">SUM(FB72:FB86)</f>
        <v>0</v>
      </c>
      <c r="FC88" s="155">
        <f t="shared" si="139"/>
        <v>0</v>
      </c>
      <c r="FD88" s="155">
        <f t="shared" si="139"/>
        <v>0</v>
      </c>
      <c r="FE88" s="155">
        <f t="shared" si="139"/>
        <v>0</v>
      </c>
      <c r="FF88" s="155">
        <f t="shared" si="139"/>
        <v>0</v>
      </c>
      <c r="FG88" s="195"/>
      <c r="FH88" s="195"/>
      <c r="FI88" s="155">
        <f t="shared" ref="FI88:FM88" si="140">SUM(FI72:FI86)</f>
        <v>0</v>
      </c>
      <c r="FJ88" s="155">
        <f t="shared" si="140"/>
        <v>0</v>
      </c>
      <c r="FK88" s="155">
        <f t="shared" si="140"/>
        <v>0</v>
      </c>
      <c r="FL88" s="155">
        <f t="shared" si="140"/>
        <v>0</v>
      </c>
      <c r="FM88" s="155">
        <f t="shared" si="140"/>
        <v>0</v>
      </c>
      <c r="FN88" s="195"/>
      <c r="FO88" s="195"/>
      <c r="FP88" s="155">
        <f t="shared" ref="FP88:FT88" si="141">SUM(FP72:FP86)</f>
        <v>0</v>
      </c>
      <c r="FQ88" s="155">
        <f t="shared" si="141"/>
        <v>0</v>
      </c>
      <c r="FR88" s="155">
        <f t="shared" si="141"/>
        <v>0</v>
      </c>
      <c r="FS88" s="155">
        <f t="shared" si="141"/>
        <v>0</v>
      </c>
      <c r="FT88" s="155">
        <f t="shared" si="141"/>
        <v>0</v>
      </c>
      <c r="FU88" s="195"/>
      <c r="FV88" s="195"/>
      <c r="FW88" s="155">
        <f t="shared" ref="FW88:HJ88" si="142">SUM(FW72:FW86)</f>
        <v>0</v>
      </c>
      <c r="FX88" s="155">
        <f t="shared" si="142"/>
        <v>0</v>
      </c>
      <c r="FY88" s="155">
        <f t="shared" si="142"/>
        <v>0</v>
      </c>
      <c r="FZ88" s="155">
        <f t="shared" si="142"/>
        <v>0</v>
      </c>
      <c r="GA88" s="155">
        <f t="shared" si="142"/>
        <v>0</v>
      </c>
      <c r="GB88" s="155">
        <f t="shared" si="142"/>
        <v>0</v>
      </c>
      <c r="GC88" s="155">
        <f t="shared" si="142"/>
        <v>0</v>
      </c>
      <c r="GD88" s="155">
        <f t="shared" si="142"/>
        <v>0</v>
      </c>
      <c r="GE88" s="155">
        <f t="shared" si="142"/>
        <v>0</v>
      </c>
      <c r="GF88" s="155">
        <f t="shared" si="142"/>
        <v>0</v>
      </c>
      <c r="GG88" s="155">
        <f t="shared" si="142"/>
        <v>0</v>
      </c>
      <c r="GH88" s="155">
        <f t="shared" si="142"/>
        <v>0</v>
      </c>
      <c r="GI88" s="155">
        <f t="shared" si="142"/>
        <v>0</v>
      </c>
      <c r="GJ88" s="155">
        <f t="shared" si="142"/>
        <v>0</v>
      </c>
      <c r="GK88" s="155">
        <f t="shared" si="142"/>
        <v>0</v>
      </c>
      <c r="GL88" s="155">
        <f t="shared" si="142"/>
        <v>0</v>
      </c>
      <c r="GM88" s="155">
        <f t="shared" si="142"/>
        <v>0</v>
      </c>
      <c r="GN88" s="155">
        <f t="shared" si="142"/>
        <v>0</v>
      </c>
      <c r="GO88" s="155">
        <f t="shared" si="142"/>
        <v>0</v>
      </c>
      <c r="GP88" s="155">
        <f t="shared" si="142"/>
        <v>0</v>
      </c>
      <c r="GQ88" s="155">
        <f t="shared" si="142"/>
        <v>0</v>
      </c>
      <c r="GR88" s="155">
        <f t="shared" si="142"/>
        <v>0</v>
      </c>
      <c r="GS88" s="155">
        <f t="shared" si="142"/>
        <v>0</v>
      </c>
      <c r="GT88" s="155">
        <f t="shared" si="142"/>
        <v>0</v>
      </c>
      <c r="GU88" s="155">
        <f t="shared" si="142"/>
        <v>0</v>
      </c>
      <c r="GV88" s="155">
        <f t="shared" si="142"/>
        <v>0</v>
      </c>
      <c r="GW88" s="212">
        <f t="shared" si="142"/>
        <v>0</v>
      </c>
      <c r="GX88" s="212">
        <f t="shared" si="142"/>
        <v>0</v>
      </c>
      <c r="GY88" s="155">
        <f t="shared" si="142"/>
        <v>0</v>
      </c>
      <c r="GZ88" s="155">
        <f t="shared" si="142"/>
        <v>0</v>
      </c>
      <c r="HA88" s="155">
        <f t="shared" si="142"/>
        <v>0</v>
      </c>
      <c r="HB88" s="155">
        <f t="shared" si="142"/>
        <v>0</v>
      </c>
      <c r="HC88" s="155">
        <f t="shared" si="142"/>
        <v>0</v>
      </c>
      <c r="HD88" s="212">
        <f t="shared" si="142"/>
        <v>0</v>
      </c>
      <c r="HE88" s="212">
        <f t="shared" si="142"/>
        <v>0</v>
      </c>
      <c r="HF88" s="155">
        <f t="shared" si="142"/>
        <v>0</v>
      </c>
      <c r="HG88" s="155">
        <f t="shared" si="142"/>
        <v>0</v>
      </c>
      <c r="HH88" s="155">
        <f t="shared" si="142"/>
        <v>0</v>
      </c>
      <c r="HI88" s="155">
        <f t="shared" si="142"/>
        <v>0</v>
      </c>
      <c r="HJ88" s="155">
        <f t="shared" si="142"/>
        <v>0</v>
      </c>
      <c r="HK88" s="211"/>
      <c r="HL88" s="211"/>
      <c r="HM88" s="145">
        <f>SUM(HM72:HM86)</f>
        <v>0</v>
      </c>
      <c r="HN88" s="145">
        <f t="shared" ref="HN88:JY88" si="143">SUM(HN72:HN86)</f>
        <v>0</v>
      </c>
      <c r="HO88" s="145">
        <f t="shared" si="143"/>
        <v>0</v>
      </c>
      <c r="HP88" s="145">
        <f t="shared" si="143"/>
        <v>0</v>
      </c>
      <c r="HQ88" s="145">
        <f t="shared" si="143"/>
        <v>0</v>
      </c>
      <c r="HR88" s="145">
        <f t="shared" si="143"/>
        <v>0</v>
      </c>
      <c r="HS88" s="145">
        <f t="shared" si="143"/>
        <v>0</v>
      </c>
      <c r="HT88" s="145">
        <f t="shared" si="143"/>
        <v>0</v>
      </c>
      <c r="HU88" s="145">
        <f t="shared" si="143"/>
        <v>0</v>
      </c>
      <c r="HV88" s="145">
        <f t="shared" si="143"/>
        <v>0</v>
      </c>
      <c r="HW88" s="145">
        <f t="shared" si="143"/>
        <v>0</v>
      </c>
      <c r="HX88" s="145">
        <f t="shared" si="143"/>
        <v>0</v>
      </c>
      <c r="HY88" s="145">
        <f t="shared" si="143"/>
        <v>0</v>
      </c>
      <c r="HZ88" s="145">
        <f t="shared" si="143"/>
        <v>0</v>
      </c>
      <c r="IA88" s="145">
        <f t="shared" si="143"/>
        <v>0</v>
      </c>
      <c r="IB88" s="145">
        <f t="shared" si="143"/>
        <v>0</v>
      </c>
      <c r="IC88" s="145">
        <f t="shared" si="143"/>
        <v>0</v>
      </c>
      <c r="ID88" s="145">
        <f t="shared" si="143"/>
        <v>0</v>
      </c>
      <c r="IE88" s="145">
        <f t="shared" si="143"/>
        <v>0</v>
      </c>
      <c r="IF88" s="145">
        <f t="shared" si="143"/>
        <v>0</v>
      </c>
      <c r="IG88" s="145">
        <f t="shared" si="143"/>
        <v>0</v>
      </c>
      <c r="IH88" s="145">
        <f t="shared" si="143"/>
        <v>0</v>
      </c>
      <c r="II88" s="145">
        <f t="shared" si="143"/>
        <v>0</v>
      </c>
      <c r="IJ88" s="145">
        <f t="shared" si="143"/>
        <v>0</v>
      </c>
      <c r="IK88" s="145">
        <f t="shared" si="143"/>
        <v>0</v>
      </c>
      <c r="IL88" s="145">
        <f t="shared" si="143"/>
        <v>0</v>
      </c>
      <c r="IM88" s="145">
        <f t="shared" si="143"/>
        <v>0</v>
      </c>
      <c r="IN88" s="145">
        <f t="shared" si="143"/>
        <v>0</v>
      </c>
      <c r="IO88" s="145">
        <f t="shared" si="143"/>
        <v>0</v>
      </c>
      <c r="IP88" s="145">
        <f t="shared" si="143"/>
        <v>0</v>
      </c>
      <c r="IQ88" s="145">
        <f t="shared" si="143"/>
        <v>0</v>
      </c>
      <c r="IR88" s="145">
        <f t="shared" si="143"/>
        <v>0</v>
      </c>
      <c r="IS88" s="145">
        <f t="shared" si="143"/>
        <v>0</v>
      </c>
      <c r="IT88" s="145">
        <f t="shared" si="143"/>
        <v>0</v>
      </c>
      <c r="IU88" s="145">
        <f t="shared" si="143"/>
        <v>0</v>
      </c>
      <c r="IV88" s="145">
        <f t="shared" si="143"/>
        <v>0</v>
      </c>
      <c r="IW88" s="145">
        <f t="shared" si="143"/>
        <v>0</v>
      </c>
      <c r="IX88" s="145">
        <f t="shared" si="143"/>
        <v>0</v>
      </c>
      <c r="IY88" s="145">
        <f t="shared" si="143"/>
        <v>0</v>
      </c>
      <c r="IZ88" s="145">
        <f t="shared" si="143"/>
        <v>0</v>
      </c>
      <c r="JA88" s="145">
        <f t="shared" si="143"/>
        <v>0</v>
      </c>
      <c r="JB88" s="145">
        <f t="shared" si="143"/>
        <v>0</v>
      </c>
      <c r="JC88" s="145">
        <f t="shared" si="143"/>
        <v>0</v>
      </c>
      <c r="JD88" s="145">
        <f t="shared" si="143"/>
        <v>0</v>
      </c>
      <c r="JE88" s="145">
        <f t="shared" si="143"/>
        <v>0</v>
      </c>
      <c r="JF88" s="145">
        <f t="shared" si="143"/>
        <v>0</v>
      </c>
      <c r="JG88" s="145">
        <f t="shared" si="143"/>
        <v>0</v>
      </c>
      <c r="JH88" s="145">
        <f t="shared" si="143"/>
        <v>0</v>
      </c>
      <c r="JI88" s="145">
        <f t="shared" si="143"/>
        <v>0</v>
      </c>
      <c r="JJ88" s="145">
        <f t="shared" si="143"/>
        <v>0</v>
      </c>
      <c r="JK88" s="145">
        <f t="shared" si="143"/>
        <v>0</v>
      </c>
      <c r="JL88" s="145">
        <f t="shared" si="143"/>
        <v>0</v>
      </c>
      <c r="JM88" s="145">
        <f t="shared" si="143"/>
        <v>0</v>
      </c>
      <c r="JN88" s="145">
        <f t="shared" si="143"/>
        <v>0</v>
      </c>
      <c r="JO88" s="145">
        <f t="shared" si="143"/>
        <v>0</v>
      </c>
      <c r="JP88" s="145">
        <f t="shared" si="143"/>
        <v>0</v>
      </c>
      <c r="JQ88" s="145">
        <f t="shared" si="143"/>
        <v>0</v>
      </c>
      <c r="JR88" s="145">
        <f t="shared" si="143"/>
        <v>0</v>
      </c>
      <c r="JS88" s="145">
        <f t="shared" si="143"/>
        <v>0</v>
      </c>
      <c r="JT88" s="145">
        <f t="shared" si="143"/>
        <v>0</v>
      </c>
      <c r="JU88" s="145">
        <f t="shared" si="143"/>
        <v>0</v>
      </c>
      <c r="JV88" s="145">
        <f t="shared" si="143"/>
        <v>0</v>
      </c>
      <c r="JW88" s="145">
        <f t="shared" si="143"/>
        <v>0</v>
      </c>
      <c r="JX88" s="145">
        <f t="shared" si="143"/>
        <v>0</v>
      </c>
      <c r="JY88" s="145">
        <f t="shared" si="143"/>
        <v>0</v>
      </c>
      <c r="JZ88" s="145">
        <f t="shared" ref="JZ88:MK88" si="144">SUM(JZ72:JZ86)</f>
        <v>0</v>
      </c>
      <c r="KA88" s="145">
        <f t="shared" si="144"/>
        <v>0</v>
      </c>
      <c r="KB88" s="145">
        <f t="shared" si="144"/>
        <v>0</v>
      </c>
      <c r="KC88" s="145">
        <f t="shared" si="144"/>
        <v>0</v>
      </c>
      <c r="KD88" s="145">
        <f t="shared" si="144"/>
        <v>0</v>
      </c>
      <c r="KE88" s="145">
        <f t="shared" si="144"/>
        <v>0</v>
      </c>
      <c r="KF88" s="145">
        <f t="shared" si="144"/>
        <v>0</v>
      </c>
      <c r="KG88" s="145">
        <f t="shared" si="144"/>
        <v>0</v>
      </c>
      <c r="KH88" s="145">
        <f t="shared" si="144"/>
        <v>0</v>
      </c>
      <c r="KI88" s="145">
        <f t="shared" si="144"/>
        <v>0</v>
      </c>
      <c r="KJ88" s="145">
        <f t="shared" si="144"/>
        <v>0</v>
      </c>
      <c r="KK88" s="145">
        <f t="shared" si="144"/>
        <v>0</v>
      </c>
      <c r="KL88" s="145">
        <f t="shared" si="144"/>
        <v>0</v>
      </c>
      <c r="KM88" s="145">
        <f t="shared" si="144"/>
        <v>0</v>
      </c>
      <c r="KN88" s="145">
        <f t="shared" si="144"/>
        <v>0</v>
      </c>
      <c r="KO88" s="145">
        <f t="shared" si="144"/>
        <v>0</v>
      </c>
      <c r="KP88" s="145">
        <f t="shared" si="144"/>
        <v>0</v>
      </c>
      <c r="KQ88" s="145">
        <f t="shared" si="144"/>
        <v>0</v>
      </c>
      <c r="KR88" s="145">
        <f t="shared" si="144"/>
        <v>0</v>
      </c>
      <c r="KS88" s="145">
        <f t="shared" si="144"/>
        <v>0</v>
      </c>
      <c r="KT88" s="145">
        <f t="shared" si="144"/>
        <v>0</v>
      </c>
      <c r="KU88" s="145">
        <f t="shared" si="144"/>
        <v>0</v>
      </c>
      <c r="KV88" s="145">
        <f t="shared" si="144"/>
        <v>0</v>
      </c>
      <c r="KW88" s="145">
        <f t="shared" si="144"/>
        <v>0</v>
      </c>
      <c r="KX88" s="145">
        <f t="shared" si="144"/>
        <v>0</v>
      </c>
      <c r="KY88" s="145">
        <f t="shared" si="144"/>
        <v>0</v>
      </c>
      <c r="KZ88" s="195">
        <f t="shared" si="144"/>
        <v>0</v>
      </c>
      <c r="LA88" s="195">
        <f t="shared" si="144"/>
        <v>0</v>
      </c>
      <c r="LB88" s="195">
        <f t="shared" si="144"/>
        <v>0</v>
      </c>
      <c r="LC88" s="195">
        <f t="shared" si="144"/>
        <v>0</v>
      </c>
      <c r="LD88" s="195">
        <f t="shared" si="144"/>
        <v>0</v>
      </c>
      <c r="LE88" s="145">
        <f t="shared" si="144"/>
        <v>0</v>
      </c>
      <c r="LF88" s="145">
        <f t="shared" si="144"/>
        <v>0</v>
      </c>
      <c r="LG88" s="211">
        <f t="shared" si="144"/>
        <v>0</v>
      </c>
      <c r="LH88" s="211">
        <f t="shared" si="144"/>
        <v>0</v>
      </c>
      <c r="LI88" s="211">
        <f t="shared" si="144"/>
        <v>0</v>
      </c>
      <c r="LJ88" s="211">
        <f t="shared" si="144"/>
        <v>0</v>
      </c>
      <c r="LK88" s="211">
        <f t="shared" si="144"/>
        <v>0</v>
      </c>
      <c r="LL88" s="211">
        <f t="shared" si="144"/>
        <v>0</v>
      </c>
      <c r="LM88" s="211">
        <f t="shared" si="144"/>
        <v>0</v>
      </c>
      <c r="LN88" s="145">
        <f t="shared" si="144"/>
        <v>0</v>
      </c>
      <c r="LO88" s="145">
        <f t="shared" si="144"/>
        <v>0</v>
      </c>
      <c r="LP88" s="145">
        <f t="shared" si="144"/>
        <v>0</v>
      </c>
      <c r="LQ88" s="145">
        <f t="shared" si="144"/>
        <v>0</v>
      </c>
      <c r="LR88" s="145">
        <f t="shared" si="144"/>
        <v>0</v>
      </c>
      <c r="LS88" s="211">
        <f t="shared" si="144"/>
        <v>0</v>
      </c>
      <c r="LT88" s="211">
        <f t="shared" si="144"/>
        <v>0</v>
      </c>
      <c r="LU88" s="145">
        <f t="shared" si="144"/>
        <v>0</v>
      </c>
      <c r="LV88" s="145">
        <f t="shared" si="144"/>
        <v>0</v>
      </c>
      <c r="LW88" s="145">
        <f t="shared" si="144"/>
        <v>0</v>
      </c>
      <c r="LX88" s="145">
        <f t="shared" si="144"/>
        <v>0</v>
      </c>
      <c r="LY88" s="145">
        <f t="shared" si="144"/>
        <v>0</v>
      </c>
      <c r="LZ88" s="145">
        <f t="shared" si="144"/>
        <v>0</v>
      </c>
      <c r="MA88" s="145">
        <f t="shared" si="144"/>
        <v>0</v>
      </c>
      <c r="MB88" s="145">
        <f t="shared" si="144"/>
        <v>0</v>
      </c>
      <c r="MC88" s="145">
        <f t="shared" si="144"/>
        <v>0</v>
      </c>
      <c r="MD88" s="145">
        <f t="shared" si="144"/>
        <v>0</v>
      </c>
      <c r="ME88" s="145">
        <f t="shared" si="144"/>
        <v>0</v>
      </c>
      <c r="MF88" s="145">
        <f t="shared" si="144"/>
        <v>0</v>
      </c>
      <c r="MG88" s="145">
        <f t="shared" si="144"/>
        <v>0</v>
      </c>
      <c r="MH88" s="145">
        <f t="shared" si="144"/>
        <v>0</v>
      </c>
      <c r="MI88" s="145">
        <f t="shared" si="144"/>
        <v>0</v>
      </c>
      <c r="MJ88" s="145">
        <f t="shared" si="144"/>
        <v>0</v>
      </c>
      <c r="MK88" s="145">
        <f t="shared" si="144"/>
        <v>0</v>
      </c>
      <c r="ML88" s="145">
        <f t="shared" ref="ML88:NA88" si="145">SUM(ML72:ML86)</f>
        <v>0</v>
      </c>
      <c r="MM88" s="145">
        <f t="shared" si="145"/>
        <v>0</v>
      </c>
      <c r="MN88" s="145">
        <f t="shared" si="145"/>
        <v>0</v>
      </c>
      <c r="MO88" s="145">
        <f t="shared" si="145"/>
        <v>0</v>
      </c>
      <c r="MP88" s="145">
        <f t="shared" si="145"/>
        <v>0</v>
      </c>
      <c r="MQ88" s="145">
        <f t="shared" si="145"/>
        <v>0</v>
      </c>
      <c r="MR88" s="145">
        <f t="shared" si="145"/>
        <v>0</v>
      </c>
      <c r="MS88" s="145">
        <f t="shared" si="145"/>
        <v>0</v>
      </c>
      <c r="MT88" s="145">
        <f t="shared" si="145"/>
        <v>0</v>
      </c>
      <c r="MU88" s="145">
        <f t="shared" si="145"/>
        <v>0</v>
      </c>
      <c r="MV88" s="145">
        <f t="shared" si="145"/>
        <v>0</v>
      </c>
      <c r="MW88" s="145">
        <f t="shared" si="145"/>
        <v>0</v>
      </c>
      <c r="MX88" s="145">
        <f t="shared" si="145"/>
        <v>0</v>
      </c>
      <c r="MY88" s="145">
        <f t="shared" si="145"/>
        <v>0</v>
      </c>
      <c r="MZ88" s="145">
        <f t="shared" si="145"/>
        <v>0</v>
      </c>
      <c r="NA88" s="145">
        <f t="shared" si="145"/>
        <v>0</v>
      </c>
    </row>
    <row r="89" spans="1:368" s="138" customFormat="1" ht="15" customHeight="1">
      <c r="A89" s="469">
        <v>0.58333333333333304</v>
      </c>
      <c r="B89" s="460" t="s">
        <v>7</v>
      </c>
      <c r="C89" s="163" t="s">
        <v>10</v>
      </c>
      <c r="D89" s="265"/>
      <c r="E89" s="266"/>
      <c r="F89" s="266"/>
      <c r="G89" s="266"/>
      <c r="H89" s="267"/>
      <c r="I89" s="194"/>
      <c r="J89" s="194"/>
      <c r="K89" s="265"/>
      <c r="L89" s="266"/>
      <c r="M89" s="266"/>
      <c r="N89" s="266"/>
      <c r="O89" s="267"/>
      <c r="P89" s="194"/>
      <c r="Q89" s="194"/>
      <c r="R89" s="265"/>
      <c r="S89" s="266"/>
      <c r="T89" s="266"/>
      <c r="U89" s="266"/>
      <c r="V89" s="267"/>
      <c r="W89" s="194"/>
      <c r="X89" s="194"/>
      <c r="Y89" s="265"/>
      <c r="Z89" s="266"/>
      <c r="AA89" s="266"/>
      <c r="AB89" s="266"/>
      <c r="AC89" s="267"/>
      <c r="AD89" s="194"/>
      <c r="AE89" s="194"/>
      <c r="AF89" s="265"/>
      <c r="AG89" s="266"/>
      <c r="AH89" s="266"/>
      <c r="AI89" s="266"/>
      <c r="AJ89" s="267"/>
      <c r="AK89" s="194"/>
      <c r="AL89" s="194"/>
      <c r="AM89" s="265"/>
      <c r="AN89" s="266"/>
      <c r="AO89" s="266"/>
      <c r="AP89" s="266"/>
      <c r="AQ89" s="267"/>
      <c r="AR89" s="194"/>
      <c r="AS89" s="194"/>
      <c r="AT89" s="265"/>
      <c r="AU89" s="266"/>
      <c r="AV89" s="266"/>
      <c r="AW89" s="266"/>
      <c r="AX89" s="267"/>
      <c r="AY89" s="194"/>
      <c r="AZ89" s="194"/>
      <c r="BA89" s="265"/>
      <c r="BB89" s="266"/>
      <c r="BC89" s="266"/>
      <c r="BD89" s="266"/>
      <c r="BE89" s="267"/>
      <c r="BF89" s="194"/>
      <c r="BG89" s="194"/>
      <c r="BH89" s="265"/>
      <c r="BI89" s="266"/>
      <c r="BJ89" s="266"/>
      <c r="BK89" s="266"/>
      <c r="BL89" s="267"/>
      <c r="BM89" s="194"/>
      <c r="BN89" s="194"/>
      <c r="BO89" s="265"/>
      <c r="BP89" s="266"/>
      <c r="BQ89" s="266"/>
      <c r="BR89" s="266"/>
      <c r="BS89" s="267"/>
      <c r="BT89" s="194"/>
      <c r="BU89" s="194"/>
      <c r="BV89" s="265"/>
      <c r="BW89" s="266"/>
      <c r="BX89" s="266"/>
      <c r="BY89" s="266"/>
      <c r="BZ89" s="267"/>
      <c r="CA89" s="194"/>
      <c r="CB89" s="194"/>
      <c r="CC89" s="265"/>
      <c r="CD89" s="266"/>
      <c r="CE89" s="266"/>
      <c r="CF89" s="266"/>
      <c r="CG89" s="267"/>
      <c r="CH89" s="194"/>
      <c r="CI89" s="194"/>
      <c r="CJ89" s="265"/>
      <c r="CK89" s="266"/>
      <c r="CL89" s="266"/>
      <c r="CM89" s="266"/>
      <c r="CN89" s="267"/>
      <c r="CO89" s="194"/>
      <c r="CP89" s="194"/>
      <c r="CQ89" s="265"/>
      <c r="CR89" s="266"/>
      <c r="CS89" s="266"/>
      <c r="CT89" s="266"/>
      <c r="CU89" s="267"/>
      <c r="CV89" s="194"/>
      <c r="CW89" s="194"/>
      <c r="CX89" s="265"/>
      <c r="CY89" s="266"/>
      <c r="CZ89" s="266"/>
      <c r="DA89" s="266"/>
      <c r="DB89" s="267"/>
      <c r="DC89" s="194"/>
      <c r="DD89" s="194"/>
      <c r="DE89" s="265"/>
      <c r="DF89" s="266"/>
      <c r="DG89" s="266"/>
      <c r="DH89" s="266"/>
      <c r="DI89" s="267"/>
      <c r="DJ89" s="194"/>
      <c r="DK89" s="194"/>
      <c r="DL89" s="265"/>
      <c r="DM89" s="266"/>
      <c r="DN89" s="266"/>
      <c r="DO89" s="266"/>
      <c r="DP89" s="267"/>
      <c r="DQ89" s="194"/>
      <c r="DR89" s="194"/>
      <c r="DS89" s="265"/>
      <c r="DT89" s="266"/>
      <c r="DU89" s="266"/>
      <c r="DV89" s="266"/>
      <c r="DW89" s="267"/>
      <c r="DX89" s="194"/>
      <c r="DY89" s="194"/>
      <c r="DZ89" s="265"/>
      <c r="EA89" s="266"/>
      <c r="EB89" s="266"/>
      <c r="EC89" s="266"/>
      <c r="ED89" s="267"/>
      <c r="EE89" s="194"/>
      <c r="EF89" s="194"/>
      <c r="EG89" s="265"/>
      <c r="EH89" s="266"/>
      <c r="EI89" s="266"/>
      <c r="EJ89" s="266"/>
      <c r="EK89" s="267"/>
      <c r="EL89" s="194"/>
      <c r="EM89" s="194"/>
      <c r="EN89" s="265"/>
      <c r="EO89" s="266"/>
      <c r="EP89" s="266"/>
      <c r="EQ89" s="266"/>
      <c r="ER89" s="267"/>
      <c r="ES89" s="194"/>
      <c r="ET89" s="194"/>
      <c r="EU89" s="265"/>
      <c r="EV89" s="266"/>
      <c r="EW89" s="266"/>
      <c r="EX89" s="266"/>
      <c r="EY89" s="267"/>
      <c r="EZ89" s="194"/>
      <c r="FA89" s="194"/>
      <c r="FB89" s="265"/>
      <c r="FC89" s="266"/>
      <c r="FD89" s="266"/>
      <c r="FE89" s="266"/>
      <c r="FF89" s="267"/>
      <c r="FG89" s="194"/>
      <c r="FH89" s="194"/>
      <c r="FI89" s="265"/>
      <c r="FJ89" s="266"/>
      <c r="FK89" s="266"/>
      <c r="FL89" s="266"/>
      <c r="FM89" s="267"/>
      <c r="FN89" s="194"/>
      <c r="FO89" s="194"/>
      <c r="FP89" s="265"/>
      <c r="FQ89" s="266"/>
      <c r="FR89" s="266"/>
      <c r="FS89" s="266"/>
      <c r="FT89" s="267"/>
      <c r="FU89" s="194"/>
      <c r="FV89" s="194"/>
      <c r="FW89" s="265"/>
      <c r="FX89" s="266"/>
      <c r="FY89" s="266"/>
      <c r="FZ89" s="266"/>
      <c r="GA89" s="267"/>
      <c r="GB89" s="194"/>
      <c r="GC89" s="194"/>
      <c r="GD89" s="143"/>
      <c r="GE89" s="143"/>
      <c r="GF89" s="143"/>
      <c r="GG89" s="143"/>
      <c r="GH89" s="143"/>
      <c r="GI89" s="194"/>
      <c r="GJ89" s="194"/>
      <c r="GK89" s="143"/>
      <c r="GL89" s="143"/>
      <c r="GM89" s="143"/>
      <c r="GN89" s="143"/>
      <c r="GO89" s="143"/>
      <c r="GP89" s="210"/>
      <c r="GQ89" s="210"/>
      <c r="GR89" s="143"/>
      <c r="GS89" s="143"/>
      <c r="GT89" s="143"/>
      <c r="GU89" s="143"/>
      <c r="GV89" s="143"/>
      <c r="GW89" s="210"/>
      <c r="GX89" s="210"/>
      <c r="GY89" s="143"/>
      <c r="GZ89" s="143"/>
      <c r="HA89" s="143"/>
      <c r="HB89" s="143"/>
      <c r="HC89" s="143"/>
      <c r="HD89" s="210"/>
      <c r="HE89" s="210"/>
      <c r="HF89" s="143"/>
      <c r="HG89" s="143"/>
      <c r="HH89" s="143"/>
      <c r="HI89" s="143"/>
      <c r="HJ89" s="143"/>
      <c r="HK89" s="210"/>
      <c r="HL89" s="210"/>
      <c r="HM89" s="143"/>
      <c r="HN89" s="143"/>
      <c r="HO89" s="143"/>
      <c r="HP89" s="143"/>
      <c r="HQ89" s="143"/>
      <c r="HR89" s="143"/>
      <c r="HS89" s="143"/>
      <c r="HT89" s="143"/>
      <c r="HU89" s="143"/>
      <c r="HV89" s="143"/>
      <c r="HW89" s="143"/>
      <c r="HX89" s="143"/>
      <c r="HY89" s="203"/>
      <c r="HZ89" s="203"/>
      <c r="IA89" s="143"/>
      <c r="IB89" s="143"/>
      <c r="IC89" s="143"/>
      <c r="ID89" s="143"/>
      <c r="IE89" s="143"/>
      <c r="IF89" s="203"/>
      <c r="IG89" s="203"/>
      <c r="IH89" s="143"/>
      <c r="II89" s="143"/>
      <c r="IJ89" s="143"/>
      <c r="IK89" s="143"/>
      <c r="IL89" s="143"/>
      <c r="IM89" s="203"/>
      <c r="IN89" s="203"/>
      <c r="IO89" s="143"/>
      <c r="IP89" s="143"/>
      <c r="IQ89" s="227"/>
      <c r="IR89" s="227"/>
      <c r="IS89" s="227"/>
      <c r="IT89" s="203"/>
      <c r="IU89" s="203"/>
      <c r="IV89" s="143"/>
      <c r="IW89" s="143"/>
      <c r="IX89" s="143"/>
      <c r="IY89" s="143"/>
      <c r="IZ89" s="143"/>
      <c r="JA89" s="203"/>
      <c r="JB89" s="203"/>
      <c r="JC89" s="227"/>
      <c r="JD89" s="227"/>
      <c r="JE89" s="143"/>
      <c r="JF89" s="143"/>
      <c r="JG89" s="143"/>
      <c r="JH89" s="203"/>
      <c r="JI89" s="203"/>
      <c r="JJ89" s="143"/>
      <c r="JK89" s="143"/>
      <c r="JL89" s="143"/>
      <c r="JM89" s="143"/>
      <c r="JN89" s="143"/>
      <c r="JO89" s="203"/>
      <c r="JP89" s="203"/>
      <c r="JQ89" s="143"/>
      <c r="JR89" s="143"/>
      <c r="JS89" s="143"/>
      <c r="JT89" s="143"/>
      <c r="JU89" s="143"/>
      <c r="JV89" s="203"/>
      <c r="JW89" s="203"/>
      <c r="JX89" s="143"/>
      <c r="JY89" s="143"/>
      <c r="JZ89" s="143"/>
      <c r="KA89" s="143"/>
      <c r="KB89" s="143"/>
      <c r="KC89" s="203"/>
      <c r="KD89" s="203"/>
      <c r="KE89" s="143"/>
      <c r="KF89" s="143"/>
      <c r="KG89" s="143"/>
      <c r="KH89" s="143"/>
      <c r="KI89" s="143"/>
      <c r="KJ89" s="194"/>
      <c r="KK89" s="194"/>
      <c r="KL89" s="143"/>
      <c r="KM89" s="143"/>
      <c r="KN89" s="143"/>
      <c r="KO89" s="143"/>
      <c r="KP89" s="227"/>
      <c r="KQ89" s="194"/>
      <c r="KR89" s="194"/>
      <c r="KS89" s="143"/>
      <c r="KT89" s="143"/>
      <c r="KU89" s="143"/>
      <c r="KV89" s="143"/>
      <c r="KW89" s="143"/>
      <c r="KX89" s="210"/>
      <c r="KY89" s="210"/>
      <c r="KZ89" s="194"/>
      <c r="LA89" s="194"/>
      <c r="LB89" s="194"/>
      <c r="LC89" s="194"/>
      <c r="LD89" s="194"/>
      <c r="LE89" s="210"/>
      <c r="LF89" s="210"/>
      <c r="LG89" s="227"/>
      <c r="LH89" s="227"/>
      <c r="LI89" s="227"/>
      <c r="LJ89" s="227"/>
      <c r="LK89" s="227"/>
      <c r="LL89" s="227"/>
      <c r="LM89" s="210"/>
      <c r="LN89" s="143"/>
      <c r="LO89" s="227"/>
      <c r="LP89" s="227"/>
      <c r="LQ89" s="227"/>
      <c r="LR89" s="227"/>
      <c r="LS89" s="210"/>
      <c r="LT89" s="210"/>
      <c r="LU89" s="227"/>
      <c r="LV89" s="143"/>
      <c r="LW89" s="143"/>
      <c r="LX89" s="143"/>
      <c r="LY89" s="143"/>
      <c r="LZ89" s="203"/>
      <c r="MA89" s="203"/>
      <c r="MB89" s="143"/>
      <c r="MC89" s="143"/>
      <c r="MD89" s="143"/>
      <c r="ME89" s="143"/>
      <c r="MF89" s="143"/>
      <c r="MG89" s="203"/>
      <c r="MH89" s="203"/>
      <c r="MI89" s="143"/>
      <c r="MJ89" s="143"/>
      <c r="MK89" s="143"/>
      <c r="ML89" s="143"/>
      <c r="MM89" s="143"/>
      <c r="MN89" s="203"/>
      <c r="MO89" s="203"/>
      <c r="MP89" s="143"/>
      <c r="MQ89" s="143"/>
      <c r="MR89" s="143"/>
      <c r="MS89" s="143"/>
      <c r="MT89" s="143"/>
      <c r="MU89" s="203"/>
      <c r="MV89" s="203"/>
      <c r="MW89" s="143"/>
      <c r="MX89" s="143"/>
      <c r="MY89" s="143"/>
      <c r="MZ89" s="143"/>
      <c r="NA89" s="143"/>
      <c r="NB89" s="143"/>
      <c r="NC89" s="143"/>
      <c r="ND89" s="143"/>
    </row>
    <row r="90" spans="1:368" s="140" customFormat="1" ht="15" customHeight="1">
      <c r="A90" s="472"/>
      <c r="B90" s="461"/>
      <c r="C90" s="164" t="s">
        <v>11</v>
      </c>
      <c r="D90" s="268"/>
      <c r="E90" s="143"/>
      <c r="F90" s="143"/>
      <c r="G90" s="143"/>
      <c r="H90" s="269"/>
      <c r="I90" s="194"/>
      <c r="J90" s="194"/>
      <c r="K90" s="268"/>
      <c r="L90" s="143"/>
      <c r="M90" s="143"/>
      <c r="N90" s="143"/>
      <c r="O90" s="269"/>
      <c r="P90" s="194"/>
      <c r="Q90" s="194"/>
      <c r="R90" s="268"/>
      <c r="S90" s="143"/>
      <c r="T90" s="143"/>
      <c r="U90" s="143"/>
      <c r="V90" s="269"/>
      <c r="W90" s="194"/>
      <c r="X90" s="194"/>
      <c r="Y90" s="268"/>
      <c r="Z90" s="143"/>
      <c r="AA90" s="143"/>
      <c r="AB90" s="143"/>
      <c r="AC90" s="269"/>
      <c r="AD90" s="194"/>
      <c r="AE90" s="194"/>
      <c r="AF90" s="268"/>
      <c r="AG90" s="143"/>
      <c r="AH90" s="143"/>
      <c r="AI90" s="143"/>
      <c r="AJ90" s="269"/>
      <c r="AK90" s="194"/>
      <c r="AL90" s="194"/>
      <c r="AM90" s="268"/>
      <c r="AN90" s="143"/>
      <c r="AO90" s="143"/>
      <c r="AP90" s="143"/>
      <c r="AQ90" s="269"/>
      <c r="AR90" s="194"/>
      <c r="AS90" s="194"/>
      <c r="AT90" s="268"/>
      <c r="AU90" s="143"/>
      <c r="AV90" s="143"/>
      <c r="AW90" s="143"/>
      <c r="AX90" s="269"/>
      <c r="AY90" s="194"/>
      <c r="AZ90" s="194"/>
      <c r="BA90" s="268"/>
      <c r="BB90" s="143"/>
      <c r="BC90" s="143"/>
      <c r="BD90" s="143"/>
      <c r="BE90" s="269"/>
      <c r="BF90" s="194"/>
      <c r="BG90" s="194"/>
      <c r="BH90" s="268"/>
      <c r="BI90" s="143"/>
      <c r="BJ90" s="143"/>
      <c r="BK90" s="143"/>
      <c r="BL90" s="269"/>
      <c r="BM90" s="194"/>
      <c r="BN90" s="194"/>
      <c r="BO90" s="268"/>
      <c r="BP90" s="143"/>
      <c r="BQ90" s="143"/>
      <c r="BR90" s="143"/>
      <c r="BS90" s="269"/>
      <c r="BT90" s="194"/>
      <c r="BU90" s="194"/>
      <c r="BV90" s="268"/>
      <c r="BW90" s="143"/>
      <c r="BX90" s="143"/>
      <c r="BY90" s="143"/>
      <c r="BZ90" s="269"/>
      <c r="CA90" s="194"/>
      <c r="CB90" s="194"/>
      <c r="CC90" s="268"/>
      <c r="CD90" s="143"/>
      <c r="CE90" s="143"/>
      <c r="CF90" s="143"/>
      <c r="CG90" s="269"/>
      <c r="CH90" s="194"/>
      <c r="CI90" s="194"/>
      <c r="CJ90" s="268"/>
      <c r="CK90" s="143"/>
      <c r="CL90" s="143"/>
      <c r="CM90" s="143"/>
      <c r="CN90" s="269"/>
      <c r="CO90" s="194"/>
      <c r="CP90" s="194"/>
      <c r="CQ90" s="268"/>
      <c r="CR90" s="143"/>
      <c r="CS90" s="143"/>
      <c r="CT90" s="143"/>
      <c r="CU90" s="269"/>
      <c r="CV90" s="194"/>
      <c r="CW90" s="194"/>
      <c r="CX90" s="268"/>
      <c r="CY90" s="143"/>
      <c r="CZ90" s="143"/>
      <c r="DA90" s="143"/>
      <c r="DB90" s="269"/>
      <c r="DC90" s="194"/>
      <c r="DD90" s="194"/>
      <c r="DE90" s="268"/>
      <c r="DF90" s="143"/>
      <c r="DG90" s="143"/>
      <c r="DH90" s="143"/>
      <c r="DI90" s="269"/>
      <c r="DJ90" s="194"/>
      <c r="DK90" s="194"/>
      <c r="DL90" s="268"/>
      <c r="DM90" s="143"/>
      <c r="DN90" s="143"/>
      <c r="DO90" s="143"/>
      <c r="DP90" s="269"/>
      <c r="DQ90" s="194"/>
      <c r="DR90" s="194"/>
      <c r="DS90" s="268"/>
      <c r="DT90" s="143"/>
      <c r="DU90" s="143"/>
      <c r="DV90" s="143"/>
      <c r="DW90" s="269"/>
      <c r="DX90" s="194"/>
      <c r="DY90" s="194"/>
      <c r="DZ90" s="268"/>
      <c r="EA90" s="143"/>
      <c r="EB90" s="143"/>
      <c r="EC90" s="143"/>
      <c r="ED90" s="269"/>
      <c r="EE90" s="194"/>
      <c r="EF90" s="194"/>
      <c r="EG90" s="268"/>
      <c r="EH90" s="143"/>
      <c r="EI90" s="143"/>
      <c r="EJ90" s="143"/>
      <c r="EK90" s="269"/>
      <c r="EL90" s="194"/>
      <c r="EM90" s="194"/>
      <c r="EN90" s="268"/>
      <c r="EO90" s="143"/>
      <c r="EP90" s="143"/>
      <c r="EQ90" s="143"/>
      <c r="ER90" s="269"/>
      <c r="ES90" s="194"/>
      <c r="ET90" s="194"/>
      <c r="EU90" s="268"/>
      <c r="EV90" s="143"/>
      <c r="EW90" s="143"/>
      <c r="EX90" s="143"/>
      <c r="EY90" s="269"/>
      <c r="EZ90" s="194"/>
      <c r="FA90" s="194"/>
      <c r="FB90" s="268"/>
      <c r="FC90" s="143"/>
      <c r="FD90" s="143"/>
      <c r="FE90" s="143"/>
      <c r="FF90" s="269"/>
      <c r="FG90" s="194"/>
      <c r="FH90" s="194"/>
      <c r="FI90" s="268"/>
      <c r="FJ90" s="143"/>
      <c r="FK90" s="143"/>
      <c r="FL90" s="143"/>
      <c r="FM90" s="269"/>
      <c r="FN90" s="194"/>
      <c r="FO90" s="194"/>
      <c r="FP90" s="268"/>
      <c r="FQ90" s="143"/>
      <c r="FR90" s="143"/>
      <c r="FS90" s="143"/>
      <c r="FT90" s="269"/>
      <c r="FU90" s="194"/>
      <c r="FV90" s="194"/>
      <c r="FW90" s="268"/>
      <c r="FX90" s="143"/>
      <c r="FY90" s="143"/>
      <c r="FZ90" s="143"/>
      <c r="GA90" s="269"/>
      <c r="GB90" s="194"/>
      <c r="GC90" s="194"/>
      <c r="GD90" s="143"/>
      <c r="GE90" s="143"/>
      <c r="GF90" s="143"/>
      <c r="GG90" s="143"/>
      <c r="GH90" s="143"/>
      <c r="GI90" s="194"/>
      <c r="GJ90" s="194"/>
      <c r="GK90" s="143"/>
      <c r="GL90" s="143"/>
      <c r="GM90" s="143"/>
      <c r="GN90" s="143"/>
      <c r="GO90" s="143"/>
      <c r="GP90" s="210"/>
      <c r="GQ90" s="210"/>
      <c r="GR90" s="143"/>
      <c r="GS90" s="143"/>
      <c r="GT90" s="143"/>
      <c r="GU90" s="143"/>
      <c r="GV90" s="143"/>
      <c r="GW90" s="210"/>
      <c r="GX90" s="210"/>
      <c r="GY90" s="143"/>
      <c r="GZ90" s="143"/>
      <c r="HA90" s="143"/>
      <c r="HB90" s="143"/>
      <c r="HC90" s="143"/>
      <c r="HD90" s="210"/>
      <c r="HE90" s="210"/>
      <c r="HF90" s="143"/>
      <c r="HG90" s="143"/>
      <c r="HH90" s="143"/>
      <c r="HI90" s="143"/>
      <c r="HJ90" s="143"/>
      <c r="HK90" s="210"/>
      <c r="HL90" s="210"/>
      <c r="HM90" s="143"/>
      <c r="HN90" s="143"/>
      <c r="HO90" s="143"/>
      <c r="HP90" s="143"/>
      <c r="HQ90" s="143"/>
      <c r="HR90" s="143"/>
      <c r="HS90" s="143"/>
      <c r="HT90" s="143"/>
      <c r="HU90" s="143"/>
      <c r="HV90" s="143"/>
      <c r="HW90" s="143"/>
      <c r="HX90" s="143"/>
      <c r="HY90" s="203"/>
      <c r="HZ90" s="203"/>
      <c r="IA90" s="143"/>
      <c r="IB90" s="143"/>
      <c r="IC90" s="143"/>
      <c r="ID90" s="143"/>
      <c r="IE90" s="143"/>
      <c r="IF90" s="203"/>
      <c r="IG90" s="203"/>
      <c r="IH90" s="206"/>
      <c r="II90" s="206"/>
      <c r="IJ90" s="206"/>
      <c r="IK90" s="206"/>
      <c r="IL90" s="143"/>
      <c r="IM90" s="203"/>
      <c r="IN90" s="203"/>
      <c r="IO90" s="143"/>
      <c r="IP90" s="143"/>
      <c r="IQ90" s="227"/>
      <c r="IR90" s="227"/>
      <c r="IS90" s="227"/>
      <c r="IT90" s="203"/>
      <c r="IU90" s="203"/>
      <c r="IV90" s="143"/>
      <c r="IW90" s="143"/>
      <c r="IX90" s="143"/>
      <c r="IY90" s="143"/>
      <c r="IZ90" s="143"/>
      <c r="JA90" s="203"/>
      <c r="JB90" s="203"/>
      <c r="JC90" s="227"/>
      <c r="JD90" s="227"/>
      <c r="JE90" s="143"/>
      <c r="JF90" s="143"/>
      <c r="JG90" s="143"/>
      <c r="JH90" s="203"/>
      <c r="JI90" s="203"/>
      <c r="JJ90" s="143"/>
      <c r="JK90" s="143"/>
      <c r="JL90" s="143"/>
      <c r="JM90" s="143"/>
      <c r="JN90" s="143"/>
      <c r="JO90" s="203"/>
      <c r="JP90" s="203"/>
      <c r="JQ90" s="143"/>
      <c r="JR90" s="143"/>
      <c r="JS90" s="143"/>
      <c r="JT90" s="143"/>
      <c r="JU90" s="143"/>
      <c r="JV90" s="203"/>
      <c r="JW90" s="203"/>
      <c r="JX90" s="143"/>
      <c r="JY90" s="143"/>
      <c r="JZ90" s="143"/>
      <c r="KA90" s="143"/>
      <c r="KB90" s="143"/>
      <c r="KC90" s="203"/>
      <c r="KD90" s="203"/>
      <c r="KE90" s="143"/>
      <c r="KF90" s="143"/>
      <c r="KG90" s="143"/>
      <c r="KH90" s="143"/>
      <c r="KI90" s="143"/>
      <c r="KJ90" s="194"/>
      <c r="KK90" s="194"/>
      <c r="KL90" s="143"/>
      <c r="KM90" s="143"/>
      <c r="KN90" s="143"/>
      <c r="KO90" s="143"/>
      <c r="KP90" s="227"/>
      <c r="KQ90" s="194"/>
      <c r="KR90" s="194"/>
      <c r="KS90" s="143"/>
      <c r="KT90" s="143"/>
      <c r="KU90" s="143"/>
      <c r="KV90" s="143"/>
      <c r="KW90" s="143"/>
      <c r="KX90" s="210"/>
      <c r="KY90" s="210"/>
      <c r="KZ90" s="194"/>
      <c r="LA90" s="194"/>
      <c r="LB90" s="194"/>
      <c r="LC90" s="194"/>
      <c r="LD90" s="194"/>
      <c r="LE90" s="210"/>
      <c r="LF90" s="210"/>
      <c r="LG90" s="227"/>
      <c r="LH90" s="227"/>
      <c r="LI90" s="227"/>
      <c r="LJ90" s="227"/>
      <c r="LK90" s="227"/>
      <c r="LL90" s="227"/>
      <c r="LM90" s="210"/>
      <c r="LN90" s="143"/>
      <c r="LO90" s="227"/>
      <c r="LP90" s="227"/>
      <c r="LQ90" s="227"/>
      <c r="LR90" s="227"/>
      <c r="LS90" s="210"/>
      <c r="LT90" s="210"/>
      <c r="LU90" s="227"/>
      <c r="LV90" s="143"/>
      <c r="LW90" s="143"/>
      <c r="LX90" s="143"/>
      <c r="LY90" s="143"/>
      <c r="LZ90" s="203"/>
      <c r="MA90" s="203"/>
      <c r="MB90" s="143"/>
      <c r="MC90" s="143"/>
      <c r="MD90" s="143"/>
      <c r="ME90" s="143"/>
      <c r="MF90" s="143"/>
      <c r="MG90" s="203"/>
      <c r="MH90" s="203"/>
      <c r="MI90" s="143"/>
      <c r="MJ90" s="143"/>
      <c r="MK90" s="143"/>
      <c r="ML90" s="143"/>
      <c r="MM90" s="143"/>
      <c r="MN90" s="203"/>
      <c r="MO90" s="203"/>
      <c r="MP90" s="143"/>
      <c r="MQ90" s="143"/>
      <c r="MR90" s="143"/>
      <c r="MS90" s="143"/>
      <c r="MT90" s="143"/>
      <c r="MU90" s="203"/>
      <c r="MV90" s="203"/>
      <c r="MW90" s="143"/>
      <c r="MX90" s="143"/>
      <c r="MY90" s="143"/>
      <c r="MZ90" s="143"/>
      <c r="NA90" s="143"/>
      <c r="NB90" s="143"/>
      <c r="NC90" s="143"/>
      <c r="ND90" s="143"/>
    </row>
    <row r="91" spans="1:368" s="140" customFormat="1" ht="15" customHeight="1">
      <c r="A91" s="472"/>
      <c r="B91" s="461"/>
      <c r="C91" s="164" t="s">
        <v>12</v>
      </c>
      <c r="D91" s="268"/>
      <c r="E91" s="143"/>
      <c r="F91" s="143"/>
      <c r="G91" s="143"/>
      <c r="H91" s="269"/>
      <c r="I91" s="194"/>
      <c r="J91" s="194"/>
      <c r="K91" s="268"/>
      <c r="L91" s="143"/>
      <c r="M91" s="143"/>
      <c r="N91" s="143"/>
      <c r="O91" s="269"/>
      <c r="P91" s="194"/>
      <c r="Q91" s="194"/>
      <c r="R91" s="268"/>
      <c r="S91" s="143"/>
      <c r="T91" s="143"/>
      <c r="U91" s="143"/>
      <c r="V91" s="269"/>
      <c r="W91" s="194"/>
      <c r="X91" s="194"/>
      <c r="Y91" s="268"/>
      <c r="Z91" s="143"/>
      <c r="AA91" s="143"/>
      <c r="AB91" s="143"/>
      <c r="AC91" s="269"/>
      <c r="AD91" s="194"/>
      <c r="AE91" s="194"/>
      <c r="AF91" s="268"/>
      <c r="AG91" s="143"/>
      <c r="AH91" s="143"/>
      <c r="AI91" s="143"/>
      <c r="AJ91" s="269"/>
      <c r="AK91" s="194"/>
      <c r="AL91" s="194"/>
      <c r="AM91" s="268"/>
      <c r="AN91" s="143"/>
      <c r="AO91" s="143"/>
      <c r="AP91" s="143"/>
      <c r="AQ91" s="269"/>
      <c r="AR91" s="194"/>
      <c r="AS91" s="194"/>
      <c r="AT91" s="268"/>
      <c r="AU91" s="143"/>
      <c r="AV91" s="143"/>
      <c r="AW91" s="143"/>
      <c r="AX91" s="269"/>
      <c r="AY91" s="194"/>
      <c r="AZ91" s="194"/>
      <c r="BA91" s="268"/>
      <c r="BB91" s="143"/>
      <c r="BC91" s="143"/>
      <c r="BD91" s="143"/>
      <c r="BE91" s="269"/>
      <c r="BF91" s="194"/>
      <c r="BG91" s="194"/>
      <c r="BH91" s="268"/>
      <c r="BI91" s="143"/>
      <c r="BJ91" s="143"/>
      <c r="BK91" s="143"/>
      <c r="BL91" s="269"/>
      <c r="BM91" s="194"/>
      <c r="BN91" s="194"/>
      <c r="BO91" s="268"/>
      <c r="BP91" s="143"/>
      <c r="BQ91" s="143"/>
      <c r="BR91" s="143"/>
      <c r="BS91" s="269"/>
      <c r="BT91" s="194"/>
      <c r="BU91" s="194"/>
      <c r="BV91" s="268"/>
      <c r="BW91" s="143"/>
      <c r="BX91" s="143"/>
      <c r="BY91" s="143"/>
      <c r="BZ91" s="269"/>
      <c r="CA91" s="194"/>
      <c r="CB91" s="194"/>
      <c r="CC91" s="268"/>
      <c r="CD91" s="143"/>
      <c r="CE91" s="143"/>
      <c r="CF91" s="143"/>
      <c r="CG91" s="269"/>
      <c r="CH91" s="194"/>
      <c r="CI91" s="194"/>
      <c r="CJ91" s="268"/>
      <c r="CK91" s="143"/>
      <c r="CL91" s="143"/>
      <c r="CM91" s="143"/>
      <c r="CN91" s="269"/>
      <c r="CO91" s="194"/>
      <c r="CP91" s="194"/>
      <c r="CQ91" s="268"/>
      <c r="CR91" s="143"/>
      <c r="CS91" s="143"/>
      <c r="CT91" s="143"/>
      <c r="CU91" s="269"/>
      <c r="CV91" s="194"/>
      <c r="CW91" s="194"/>
      <c r="CX91" s="268"/>
      <c r="CY91" s="143"/>
      <c r="CZ91" s="143"/>
      <c r="DA91" s="143"/>
      <c r="DB91" s="269"/>
      <c r="DC91" s="194"/>
      <c r="DD91" s="194"/>
      <c r="DE91" s="268"/>
      <c r="DF91" s="143"/>
      <c r="DG91" s="143"/>
      <c r="DH91" s="143"/>
      <c r="DI91" s="269"/>
      <c r="DJ91" s="194"/>
      <c r="DK91" s="194"/>
      <c r="DL91" s="268"/>
      <c r="DM91" s="143"/>
      <c r="DN91" s="143"/>
      <c r="DO91" s="143"/>
      <c r="DP91" s="269"/>
      <c r="DQ91" s="194"/>
      <c r="DR91" s="194"/>
      <c r="DS91" s="268"/>
      <c r="DT91" s="143"/>
      <c r="DU91" s="143"/>
      <c r="DV91" s="143"/>
      <c r="DW91" s="269"/>
      <c r="DX91" s="194"/>
      <c r="DY91" s="194"/>
      <c r="DZ91" s="268"/>
      <c r="EA91" s="143"/>
      <c r="EB91" s="143"/>
      <c r="EC91" s="143"/>
      <c r="ED91" s="269"/>
      <c r="EE91" s="194"/>
      <c r="EF91" s="194"/>
      <c r="EG91" s="268"/>
      <c r="EH91" s="143"/>
      <c r="EI91" s="143"/>
      <c r="EJ91" s="143"/>
      <c r="EK91" s="269"/>
      <c r="EL91" s="194"/>
      <c r="EM91" s="194"/>
      <c r="EN91" s="268"/>
      <c r="EO91" s="143"/>
      <c r="EP91" s="143"/>
      <c r="EQ91" s="143"/>
      <c r="ER91" s="269"/>
      <c r="ES91" s="194"/>
      <c r="ET91" s="194"/>
      <c r="EU91" s="268"/>
      <c r="EV91" s="143"/>
      <c r="EW91" s="143"/>
      <c r="EX91" s="143"/>
      <c r="EY91" s="269"/>
      <c r="EZ91" s="194"/>
      <c r="FA91" s="194"/>
      <c r="FB91" s="268"/>
      <c r="FC91" s="143"/>
      <c r="FD91" s="143"/>
      <c r="FE91" s="143"/>
      <c r="FF91" s="269"/>
      <c r="FG91" s="194"/>
      <c r="FH91" s="194"/>
      <c r="FI91" s="268"/>
      <c r="FJ91" s="143"/>
      <c r="FK91" s="143"/>
      <c r="FL91" s="143"/>
      <c r="FM91" s="269"/>
      <c r="FN91" s="194"/>
      <c r="FO91" s="194"/>
      <c r="FP91" s="268"/>
      <c r="FQ91" s="143"/>
      <c r="FR91" s="143"/>
      <c r="FS91" s="143"/>
      <c r="FT91" s="269"/>
      <c r="FU91" s="194"/>
      <c r="FV91" s="194"/>
      <c r="FW91" s="268"/>
      <c r="FX91" s="143"/>
      <c r="FY91" s="143"/>
      <c r="FZ91" s="143"/>
      <c r="GA91" s="269"/>
      <c r="GB91" s="194"/>
      <c r="GC91" s="194"/>
      <c r="GD91" s="143"/>
      <c r="GE91" s="143"/>
      <c r="GF91" s="143"/>
      <c r="GG91" s="143"/>
      <c r="GH91" s="143"/>
      <c r="GI91" s="194"/>
      <c r="GJ91" s="194"/>
      <c r="GK91" s="143"/>
      <c r="GL91" s="143"/>
      <c r="GM91" s="143"/>
      <c r="GN91" s="143"/>
      <c r="GO91" s="143"/>
      <c r="GP91" s="210"/>
      <c r="GQ91" s="210"/>
      <c r="GR91" s="143"/>
      <c r="GS91" s="143"/>
      <c r="GT91" s="143"/>
      <c r="GU91" s="143"/>
      <c r="GV91" s="143"/>
      <c r="GW91" s="210"/>
      <c r="GX91" s="210"/>
      <c r="GY91" s="143"/>
      <c r="GZ91" s="143"/>
      <c r="HA91" s="143"/>
      <c r="HB91" s="143"/>
      <c r="HC91" s="143"/>
      <c r="HD91" s="210"/>
      <c r="HE91" s="210"/>
      <c r="HF91" s="143"/>
      <c r="HG91" s="143"/>
      <c r="HH91" s="143"/>
      <c r="HI91" s="143"/>
      <c r="HJ91" s="143"/>
      <c r="HK91" s="210"/>
      <c r="HL91" s="210"/>
      <c r="HM91" s="143"/>
      <c r="HN91" s="143"/>
      <c r="HO91" s="143"/>
      <c r="HP91" s="143"/>
      <c r="HQ91" s="143"/>
      <c r="HR91" s="143"/>
      <c r="HS91" s="143"/>
      <c r="HT91" s="143"/>
      <c r="HU91" s="143"/>
      <c r="HV91" s="143"/>
      <c r="HW91" s="143"/>
      <c r="HX91" s="143"/>
      <c r="HY91" s="203"/>
      <c r="HZ91" s="203"/>
      <c r="IA91" s="143"/>
      <c r="IB91" s="143"/>
      <c r="IC91" s="143"/>
      <c r="ID91" s="143"/>
      <c r="IE91" s="143"/>
      <c r="IF91" s="203"/>
      <c r="IG91" s="203"/>
      <c r="IH91" s="206"/>
      <c r="II91" s="206"/>
      <c r="IJ91" s="206"/>
      <c r="IK91" s="206"/>
      <c r="IL91" s="143"/>
      <c r="IM91" s="203"/>
      <c r="IN91" s="203"/>
      <c r="IO91" s="143"/>
      <c r="IP91" s="143"/>
      <c r="IQ91" s="227"/>
      <c r="IR91" s="227"/>
      <c r="IS91" s="227"/>
      <c r="IT91" s="203"/>
      <c r="IU91" s="203"/>
      <c r="IV91" s="143"/>
      <c r="IW91" s="143"/>
      <c r="IX91" s="143"/>
      <c r="IY91" s="143"/>
      <c r="IZ91" s="143"/>
      <c r="JA91" s="203"/>
      <c r="JB91" s="203"/>
      <c r="JC91" s="227"/>
      <c r="JD91" s="227"/>
      <c r="JE91" s="143"/>
      <c r="JF91" s="143"/>
      <c r="JG91" s="143"/>
      <c r="JH91" s="203"/>
      <c r="JI91" s="203"/>
      <c r="JJ91" s="143"/>
      <c r="JK91" s="143"/>
      <c r="JL91" s="143"/>
      <c r="JM91" s="143"/>
      <c r="JN91" s="143"/>
      <c r="JO91" s="203"/>
      <c r="JP91" s="203"/>
      <c r="JQ91" s="143"/>
      <c r="JR91" s="143"/>
      <c r="JS91" s="143"/>
      <c r="JT91" s="143"/>
      <c r="JU91" s="143"/>
      <c r="JV91" s="203"/>
      <c r="JW91" s="203"/>
      <c r="JX91" s="143"/>
      <c r="JY91" s="143"/>
      <c r="JZ91" s="143"/>
      <c r="KA91" s="143"/>
      <c r="KB91" s="143"/>
      <c r="KC91" s="203"/>
      <c r="KD91" s="203"/>
      <c r="KE91" s="143"/>
      <c r="KF91" s="143"/>
      <c r="KG91" s="143"/>
      <c r="KH91" s="143"/>
      <c r="KI91" s="143"/>
      <c r="KJ91" s="194"/>
      <c r="KK91" s="194"/>
      <c r="KL91" s="143"/>
      <c r="KM91" s="143"/>
      <c r="KN91" s="143"/>
      <c r="KO91" s="143"/>
      <c r="KP91" s="227"/>
      <c r="KQ91" s="194"/>
      <c r="KR91" s="194"/>
      <c r="KS91" s="143"/>
      <c r="KT91" s="143"/>
      <c r="KU91" s="143"/>
      <c r="KV91" s="143"/>
      <c r="KW91" s="143"/>
      <c r="KX91" s="210"/>
      <c r="KY91" s="210"/>
      <c r="KZ91" s="194"/>
      <c r="LA91" s="194"/>
      <c r="LB91" s="194"/>
      <c r="LC91" s="194"/>
      <c r="LD91" s="194"/>
      <c r="LE91" s="210"/>
      <c r="LF91" s="210"/>
      <c r="LG91" s="227"/>
      <c r="LH91" s="227"/>
      <c r="LI91" s="227"/>
      <c r="LJ91" s="227"/>
      <c r="LK91" s="227"/>
      <c r="LL91" s="227"/>
      <c r="LM91" s="210"/>
      <c r="LN91" s="143"/>
      <c r="LO91" s="227"/>
      <c r="LP91" s="227"/>
      <c r="LQ91" s="227"/>
      <c r="LR91" s="227"/>
      <c r="LS91" s="210"/>
      <c r="LT91" s="210"/>
      <c r="LU91" s="227"/>
      <c r="LV91" s="143"/>
      <c r="LW91" s="143"/>
      <c r="LX91" s="143"/>
      <c r="LY91" s="143"/>
      <c r="LZ91" s="203"/>
      <c r="MA91" s="203"/>
      <c r="MB91" s="143"/>
      <c r="MC91" s="143"/>
      <c r="MD91" s="143"/>
      <c r="ME91" s="143"/>
      <c r="MF91" s="143"/>
      <c r="MG91" s="203"/>
      <c r="MH91" s="203"/>
      <c r="MI91" s="143"/>
      <c r="MJ91" s="143"/>
      <c r="MK91" s="143"/>
      <c r="ML91" s="143"/>
      <c r="MM91" s="143"/>
      <c r="MN91" s="203"/>
      <c r="MO91" s="203"/>
      <c r="MP91" s="143"/>
      <c r="MQ91" s="143"/>
      <c r="MR91" s="143"/>
      <c r="MS91" s="143"/>
      <c r="MT91" s="143"/>
      <c r="MU91" s="203"/>
      <c r="MV91" s="203"/>
      <c r="MW91" s="143"/>
      <c r="MX91" s="143"/>
      <c r="MY91" s="143"/>
      <c r="MZ91" s="143"/>
      <c r="NA91" s="143"/>
      <c r="NB91" s="143"/>
      <c r="NC91" s="143"/>
      <c r="ND91" s="143"/>
    </row>
    <row r="92" spans="1:368" s="140" customFormat="1" ht="15" customHeight="1" thickBot="1">
      <c r="A92" s="472"/>
      <c r="B92" s="461"/>
      <c r="C92" s="164" t="s">
        <v>13</v>
      </c>
      <c r="D92" s="268"/>
      <c r="E92" s="143"/>
      <c r="F92" s="143"/>
      <c r="G92" s="143"/>
      <c r="H92" s="269"/>
      <c r="I92" s="194"/>
      <c r="J92" s="194"/>
      <c r="K92" s="268"/>
      <c r="L92" s="143"/>
      <c r="M92" s="143"/>
      <c r="N92" s="143"/>
      <c r="O92" s="269"/>
      <c r="P92" s="194"/>
      <c r="Q92" s="194"/>
      <c r="R92" s="268"/>
      <c r="S92" s="143"/>
      <c r="T92" s="143"/>
      <c r="U92" s="143"/>
      <c r="V92" s="269"/>
      <c r="W92" s="194"/>
      <c r="X92" s="194"/>
      <c r="Y92" s="268"/>
      <c r="Z92" s="143"/>
      <c r="AA92" s="143"/>
      <c r="AB92" s="143"/>
      <c r="AC92" s="269"/>
      <c r="AD92" s="194"/>
      <c r="AE92" s="194"/>
      <c r="AF92" s="268"/>
      <c r="AG92" s="143"/>
      <c r="AH92" s="143"/>
      <c r="AI92" s="143"/>
      <c r="AJ92" s="269"/>
      <c r="AK92" s="194"/>
      <c r="AL92" s="194"/>
      <c r="AM92" s="268"/>
      <c r="AN92" s="143"/>
      <c r="AO92" s="143"/>
      <c r="AP92" s="143"/>
      <c r="AQ92" s="269"/>
      <c r="AR92" s="194"/>
      <c r="AS92" s="194"/>
      <c r="AT92" s="268"/>
      <c r="AU92" s="143"/>
      <c r="AV92" s="143"/>
      <c r="AW92" s="143"/>
      <c r="AX92" s="269"/>
      <c r="AY92" s="194"/>
      <c r="AZ92" s="194"/>
      <c r="BA92" s="268"/>
      <c r="BB92" s="143"/>
      <c r="BC92" s="143"/>
      <c r="BD92" s="143"/>
      <c r="BE92" s="269"/>
      <c r="BF92" s="194"/>
      <c r="BG92" s="194"/>
      <c r="BH92" s="268"/>
      <c r="BI92" s="143"/>
      <c r="BJ92" s="143"/>
      <c r="BK92" s="143"/>
      <c r="BL92" s="269"/>
      <c r="BM92" s="194"/>
      <c r="BN92" s="194"/>
      <c r="BO92" s="268"/>
      <c r="BP92" s="143"/>
      <c r="BQ92" s="143"/>
      <c r="BR92" s="143"/>
      <c r="BS92" s="269"/>
      <c r="BT92" s="194"/>
      <c r="BU92" s="194"/>
      <c r="BV92" s="268"/>
      <c r="BW92" s="143"/>
      <c r="BX92" s="143"/>
      <c r="BY92" s="143"/>
      <c r="BZ92" s="269"/>
      <c r="CA92" s="194"/>
      <c r="CB92" s="194"/>
      <c r="CC92" s="268"/>
      <c r="CD92" s="143"/>
      <c r="CE92" s="143"/>
      <c r="CF92" s="143"/>
      <c r="CG92" s="269"/>
      <c r="CH92" s="194"/>
      <c r="CI92" s="194"/>
      <c r="CJ92" s="268"/>
      <c r="CK92" s="143"/>
      <c r="CL92" s="143"/>
      <c r="CM92" s="143"/>
      <c r="CN92" s="269"/>
      <c r="CO92" s="194"/>
      <c r="CP92" s="194"/>
      <c r="CQ92" s="268"/>
      <c r="CR92" s="143"/>
      <c r="CS92" s="143"/>
      <c r="CT92" s="143"/>
      <c r="CU92" s="269"/>
      <c r="CV92" s="194"/>
      <c r="CW92" s="194"/>
      <c r="CX92" s="268"/>
      <c r="CY92" s="143"/>
      <c r="CZ92" s="143"/>
      <c r="DA92" s="143"/>
      <c r="DB92" s="269"/>
      <c r="DC92" s="194"/>
      <c r="DD92" s="194"/>
      <c r="DE92" s="268"/>
      <c r="DF92" s="143"/>
      <c r="DG92" s="143"/>
      <c r="DH92" s="143"/>
      <c r="DI92" s="269"/>
      <c r="DJ92" s="194"/>
      <c r="DK92" s="194"/>
      <c r="DL92" s="268"/>
      <c r="DM92" s="143"/>
      <c r="DN92" s="143"/>
      <c r="DO92" s="143"/>
      <c r="DP92" s="269"/>
      <c r="DQ92" s="194"/>
      <c r="DR92" s="194"/>
      <c r="DS92" s="268"/>
      <c r="DT92" s="143"/>
      <c r="DU92" s="143"/>
      <c r="DV92" s="143"/>
      <c r="DW92" s="269"/>
      <c r="DX92" s="194"/>
      <c r="DY92" s="194"/>
      <c r="DZ92" s="268"/>
      <c r="EA92" s="143"/>
      <c r="EB92" s="143"/>
      <c r="EC92" s="143"/>
      <c r="ED92" s="269"/>
      <c r="EE92" s="194"/>
      <c r="EF92" s="194"/>
      <c r="EG92" s="268"/>
      <c r="EH92" s="143"/>
      <c r="EI92" s="143"/>
      <c r="EJ92" s="143"/>
      <c r="EK92" s="269"/>
      <c r="EL92" s="194"/>
      <c r="EM92" s="194"/>
      <c r="EN92" s="268"/>
      <c r="EO92" s="143"/>
      <c r="EP92" s="143"/>
      <c r="EQ92" s="143"/>
      <c r="ER92" s="269"/>
      <c r="ES92" s="194"/>
      <c r="ET92" s="194"/>
      <c r="EU92" s="268"/>
      <c r="EV92" s="143"/>
      <c r="EW92" s="143"/>
      <c r="EX92" s="143"/>
      <c r="EY92" s="269"/>
      <c r="EZ92" s="194"/>
      <c r="FA92" s="194"/>
      <c r="FB92" s="268"/>
      <c r="FC92" s="143"/>
      <c r="FD92" s="143"/>
      <c r="FE92" s="143"/>
      <c r="FF92" s="269"/>
      <c r="FG92" s="194"/>
      <c r="FH92" s="194"/>
      <c r="FI92" s="268"/>
      <c r="FJ92" s="143"/>
      <c r="FK92" s="143"/>
      <c r="FL92" s="143"/>
      <c r="FM92" s="269"/>
      <c r="FN92" s="194"/>
      <c r="FO92" s="194"/>
      <c r="FP92" s="268"/>
      <c r="FQ92" s="143"/>
      <c r="FR92" s="143"/>
      <c r="FS92" s="143"/>
      <c r="FT92" s="269"/>
      <c r="FU92" s="194"/>
      <c r="FV92" s="194"/>
      <c r="FW92" s="268"/>
      <c r="FX92" s="143"/>
      <c r="FY92" s="143"/>
      <c r="FZ92" s="143"/>
      <c r="GA92" s="269"/>
      <c r="GB92" s="194"/>
      <c r="GC92" s="194"/>
      <c r="GD92" s="143"/>
      <c r="GE92" s="143"/>
      <c r="GF92" s="143"/>
      <c r="GG92" s="143"/>
      <c r="GH92" s="143"/>
      <c r="GI92" s="194"/>
      <c r="GJ92" s="194"/>
      <c r="GK92" s="143"/>
      <c r="GL92" s="143"/>
      <c r="GM92" s="143"/>
      <c r="GN92" s="143"/>
      <c r="GO92" s="143"/>
      <c r="GP92" s="210"/>
      <c r="GQ92" s="210"/>
      <c r="GR92" s="143"/>
      <c r="GS92" s="143"/>
      <c r="GT92" s="143"/>
      <c r="GU92" s="143"/>
      <c r="GV92" s="143"/>
      <c r="GW92" s="210"/>
      <c r="GX92" s="210"/>
      <c r="GY92" s="143"/>
      <c r="GZ92" s="143"/>
      <c r="HA92" s="143"/>
      <c r="HB92" s="143"/>
      <c r="HC92" s="143"/>
      <c r="HD92" s="210"/>
      <c r="HE92" s="210"/>
      <c r="HF92" s="143"/>
      <c r="HG92" s="143"/>
      <c r="HH92" s="143"/>
      <c r="HI92" s="143"/>
      <c r="HJ92" s="143"/>
      <c r="HK92" s="210"/>
      <c r="HL92" s="210"/>
      <c r="HM92" s="143"/>
      <c r="HN92" s="143"/>
      <c r="HO92" s="143"/>
      <c r="HP92" s="143"/>
      <c r="HQ92" s="143"/>
      <c r="HR92" s="143"/>
      <c r="HS92" s="143"/>
      <c r="HT92" s="143"/>
      <c r="HU92" s="143"/>
      <c r="HV92" s="143"/>
      <c r="HW92" s="143"/>
      <c r="HX92" s="143"/>
      <c r="HY92" s="203"/>
      <c r="HZ92" s="203"/>
      <c r="IA92" s="143"/>
      <c r="IB92" s="143"/>
      <c r="IC92" s="143"/>
      <c r="ID92" s="143"/>
      <c r="IE92" s="143"/>
      <c r="IF92" s="203"/>
      <c r="IG92" s="203"/>
      <c r="IH92" s="206"/>
      <c r="II92" s="206"/>
      <c r="IJ92" s="206"/>
      <c r="IK92" s="206"/>
      <c r="IL92" s="143"/>
      <c r="IM92" s="203"/>
      <c r="IN92" s="203"/>
      <c r="IO92" s="143"/>
      <c r="IP92" s="143"/>
      <c r="IQ92" s="227"/>
      <c r="IR92" s="227"/>
      <c r="IS92" s="227"/>
      <c r="IT92" s="203"/>
      <c r="IU92" s="203"/>
      <c r="IV92" s="143"/>
      <c r="IW92" s="143"/>
      <c r="IX92" s="143"/>
      <c r="IY92" s="143"/>
      <c r="IZ92" s="143"/>
      <c r="JA92" s="203"/>
      <c r="JB92" s="203"/>
      <c r="JC92" s="227"/>
      <c r="JD92" s="227"/>
      <c r="JE92" s="143"/>
      <c r="JF92" s="143"/>
      <c r="JG92" s="143"/>
      <c r="JH92" s="203"/>
      <c r="JI92" s="203"/>
      <c r="JJ92" s="143"/>
      <c r="JK92" s="143"/>
      <c r="JL92" s="143"/>
      <c r="JM92" s="143"/>
      <c r="JN92" s="143"/>
      <c r="JO92" s="203"/>
      <c r="JP92" s="203"/>
      <c r="JQ92" s="143"/>
      <c r="JR92" s="143"/>
      <c r="JS92" s="143"/>
      <c r="JT92" s="143"/>
      <c r="JU92" s="143"/>
      <c r="JV92" s="203"/>
      <c r="JW92" s="203"/>
      <c r="JX92" s="143"/>
      <c r="JY92" s="143"/>
      <c r="JZ92" s="143"/>
      <c r="KA92" s="143"/>
      <c r="KB92" s="143"/>
      <c r="KC92" s="203"/>
      <c r="KD92" s="203"/>
      <c r="KE92" s="143"/>
      <c r="KF92" s="143"/>
      <c r="KG92" s="143"/>
      <c r="KH92" s="143"/>
      <c r="KI92" s="143"/>
      <c r="KJ92" s="194"/>
      <c r="KK92" s="194"/>
      <c r="KL92" s="143"/>
      <c r="KM92" s="143"/>
      <c r="KN92" s="143"/>
      <c r="KO92" s="143"/>
      <c r="KP92" s="227"/>
      <c r="KQ92" s="194"/>
      <c r="KR92" s="194"/>
      <c r="KS92" s="143"/>
      <c r="KT92" s="143"/>
      <c r="KU92" s="143"/>
      <c r="KV92" s="143"/>
      <c r="KW92" s="143"/>
      <c r="KX92" s="210"/>
      <c r="KY92" s="210"/>
      <c r="KZ92" s="194"/>
      <c r="LA92" s="194"/>
      <c r="LB92" s="194"/>
      <c r="LC92" s="194"/>
      <c r="LD92" s="194"/>
      <c r="LE92" s="210"/>
      <c r="LF92" s="210"/>
      <c r="LG92" s="227"/>
      <c r="LH92" s="227"/>
      <c r="LI92" s="227"/>
      <c r="LJ92" s="227"/>
      <c r="LK92" s="227"/>
      <c r="LL92" s="227"/>
      <c r="LM92" s="210"/>
      <c r="LN92" s="143"/>
      <c r="LO92" s="227"/>
      <c r="LP92" s="227"/>
      <c r="LQ92" s="227"/>
      <c r="LR92" s="227"/>
      <c r="LS92" s="210"/>
      <c r="LT92" s="210"/>
      <c r="LU92" s="227"/>
      <c r="LV92" s="143"/>
      <c r="LW92" s="143"/>
      <c r="LX92" s="143"/>
      <c r="LY92" s="143"/>
      <c r="LZ92" s="203"/>
      <c r="MA92" s="203"/>
      <c r="MB92" s="143"/>
      <c r="MC92" s="143"/>
      <c r="MD92" s="143"/>
      <c r="ME92" s="143"/>
      <c r="MF92" s="143"/>
      <c r="MG92" s="203"/>
      <c r="MH92" s="203"/>
      <c r="MI92" s="143"/>
      <c r="MJ92" s="143"/>
      <c r="MK92" s="143"/>
      <c r="ML92" s="143"/>
      <c r="MM92" s="143"/>
      <c r="MN92" s="203"/>
      <c r="MO92" s="203"/>
      <c r="MP92" s="143"/>
      <c r="MQ92" s="143"/>
      <c r="MR92" s="143"/>
      <c r="MS92" s="143"/>
      <c r="MT92" s="143"/>
      <c r="MU92" s="203"/>
      <c r="MV92" s="203"/>
      <c r="MW92" s="143"/>
      <c r="MX92" s="143"/>
      <c r="MY92" s="143"/>
      <c r="MZ92" s="143"/>
      <c r="NA92" s="143"/>
      <c r="NB92" s="143"/>
      <c r="NC92" s="143"/>
      <c r="ND92" s="143"/>
    </row>
    <row r="93" spans="1:368" s="151" customFormat="1" ht="15" hidden="1" customHeight="1" thickBot="1">
      <c r="A93" s="472"/>
      <c r="B93" s="474"/>
      <c r="C93" s="165" t="s">
        <v>93</v>
      </c>
      <c r="D93" s="270"/>
      <c r="E93" s="264"/>
      <c r="F93" s="264"/>
      <c r="G93" s="264"/>
      <c r="H93" s="271"/>
      <c r="I93" s="194"/>
      <c r="J93" s="194"/>
      <c r="K93" s="270"/>
      <c r="L93" s="264"/>
      <c r="M93" s="264"/>
      <c r="N93" s="264"/>
      <c r="O93" s="271"/>
      <c r="P93" s="194"/>
      <c r="Q93" s="194"/>
      <c r="R93" s="270"/>
      <c r="S93" s="264"/>
      <c r="T93" s="264"/>
      <c r="U93" s="264"/>
      <c r="V93" s="271"/>
      <c r="W93" s="194"/>
      <c r="X93" s="194"/>
      <c r="Y93" s="270"/>
      <c r="Z93" s="264"/>
      <c r="AA93" s="264"/>
      <c r="AB93" s="264"/>
      <c r="AC93" s="271"/>
      <c r="AD93" s="194"/>
      <c r="AE93" s="194"/>
      <c r="AF93" s="270"/>
      <c r="AG93" s="264"/>
      <c r="AH93" s="264"/>
      <c r="AI93" s="264"/>
      <c r="AJ93" s="271"/>
      <c r="AK93" s="194"/>
      <c r="AL93" s="194"/>
      <c r="AM93" s="270"/>
      <c r="AN93" s="264"/>
      <c r="AO93" s="264"/>
      <c r="AP93" s="264"/>
      <c r="AQ93" s="271"/>
      <c r="AR93" s="194"/>
      <c r="AS93" s="194"/>
      <c r="AT93" s="270"/>
      <c r="AU93" s="264"/>
      <c r="AV93" s="264"/>
      <c r="AW93" s="264"/>
      <c r="AX93" s="271"/>
      <c r="AY93" s="194"/>
      <c r="AZ93" s="194"/>
      <c r="BA93" s="270"/>
      <c r="BB93" s="264"/>
      <c r="BC93" s="264"/>
      <c r="BD93" s="264"/>
      <c r="BE93" s="271"/>
      <c r="BF93" s="194"/>
      <c r="BG93" s="194"/>
      <c r="BH93" s="270"/>
      <c r="BI93" s="264"/>
      <c r="BJ93" s="264"/>
      <c r="BK93" s="264"/>
      <c r="BL93" s="271"/>
      <c r="BM93" s="194"/>
      <c r="BN93" s="194"/>
      <c r="BO93" s="270"/>
      <c r="BP93" s="264"/>
      <c r="BQ93" s="264"/>
      <c r="BR93" s="264"/>
      <c r="BS93" s="271"/>
      <c r="BT93" s="194"/>
      <c r="BU93" s="194"/>
      <c r="BV93" s="270"/>
      <c r="BW93" s="264"/>
      <c r="BX93" s="264"/>
      <c r="BY93" s="264"/>
      <c r="BZ93" s="271"/>
      <c r="CA93" s="194"/>
      <c r="CB93" s="194"/>
      <c r="CC93" s="270"/>
      <c r="CD93" s="264"/>
      <c r="CE93" s="264"/>
      <c r="CF93" s="264"/>
      <c r="CG93" s="271"/>
      <c r="CH93" s="194"/>
      <c r="CI93" s="194"/>
      <c r="CJ93" s="270"/>
      <c r="CK93" s="264"/>
      <c r="CL93" s="264"/>
      <c r="CM93" s="264"/>
      <c r="CN93" s="271"/>
      <c r="CO93" s="194"/>
      <c r="CP93" s="194"/>
      <c r="CQ93" s="270"/>
      <c r="CR93" s="264"/>
      <c r="CS93" s="264"/>
      <c r="CT93" s="264"/>
      <c r="CU93" s="271"/>
      <c r="CV93" s="194"/>
      <c r="CW93" s="194"/>
      <c r="CX93" s="270"/>
      <c r="CY93" s="264"/>
      <c r="CZ93" s="264"/>
      <c r="DA93" s="264"/>
      <c r="DB93" s="271"/>
      <c r="DC93" s="194"/>
      <c r="DD93" s="194"/>
      <c r="DE93" s="270"/>
      <c r="DF93" s="264"/>
      <c r="DG93" s="264"/>
      <c r="DH93" s="264"/>
      <c r="DI93" s="271"/>
      <c r="DJ93" s="194"/>
      <c r="DK93" s="194"/>
      <c r="DL93" s="270"/>
      <c r="DM93" s="264"/>
      <c r="DN93" s="264"/>
      <c r="DO93" s="264"/>
      <c r="DP93" s="271"/>
      <c r="DQ93" s="194"/>
      <c r="DR93" s="194"/>
      <c r="DS93" s="270"/>
      <c r="DT93" s="264"/>
      <c r="DU93" s="264"/>
      <c r="DV93" s="264"/>
      <c r="DW93" s="271"/>
      <c r="DX93" s="194"/>
      <c r="DY93" s="194"/>
      <c r="DZ93" s="270"/>
      <c r="EA93" s="264"/>
      <c r="EB93" s="264"/>
      <c r="EC93" s="264"/>
      <c r="ED93" s="271"/>
      <c r="EE93" s="194"/>
      <c r="EF93" s="194"/>
      <c r="EG93" s="270"/>
      <c r="EH93" s="264"/>
      <c r="EI93" s="264"/>
      <c r="EJ93" s="264"/>
      <c r="EK93" s="271"/>
      <c r="EL93" s="194"/>
      <c r="EM93" s="194"/>
      <c r="EN93" s="270"/>
      <c r="EO93" s="264"/>
      <c r="EP93" s="264"/>
      <c r="EQ93" s="264"/>
      <c r="ER93" s="271"/>
      <c r="ES93" s="194"/>
      <c r="ET93" s="194"/>
      <c r="EU93" s="270"/>
      <c r="EV93" s="264"/>
      <c r="EW93" s="264"/>
      <c r="EX93" s="264"/>
      <c r="EY93" s="271"/>
      <c r="EZ93" s="194"/>
      <c r="FA93" s="194"/>
      <c r="FB93" s="270"/>
      <c r="FC93" s="264"/>
      <c r="FD93" s="264"/>
      <c r="FE93" s="264"/>
      <c r="FF93" s="271"/>
      <c r="FG93" s="194"/>
      <c r="FH93" s="194"/>
      <c r="FI93" s="270"/>
      <c r="FJ93" s="264"/>
      <c r="FK93" s="264"/>
      <c r="FL93" s="264"/>
      <c r="FM93" s="271"/>
      <c r="FN93" s="194"/>
      <c r="FO93" s="194"/>
      <c r="FP93" s="270"/>
      <c r="FQ93" s="264"/>
      <c r="FR93" s="264"/>
      <c r="FS93" s="264"/>
      <c r="FT93" s="271"/>
      <c r="FU93" s="194"/>
      <c r="FV93" s="194"/>
      <c r="FW93" s="270"/>
      <c r="FX93" s="264"/>
      <c r="FY93" s="264"/>
      <c r="FZ93" s="264"/>
      <c r="GA93" s="271"/>
      <c r="GB93" s="194"/>
      <c r="GC93" s="194"/>
      <c r="GD93" s="152"/>
      <c r="GE93" s="152"/>
      <c r="GF93" s="152"/>
      <c r="GG93" s="152"/>
      <c r="GH93" s="152"/>
      <c r="GI93" s="194"/>
      <c r="GJ93" s="194"/>
      <c r="GK93" s="152"/>
      <c r="GL93" s="152"/>
      <c r="GM93" s="152"/>
      <c r="GN93" s="152"/>
      <c r="GO93" s="152"/>
      <c r="GP93" s="210"/>
      <c r="GQ93" s="210"/>
      <c r="GR93" s="152"/>
      <c r="GS93" s="152"/>
      <c r="GT93" s="152"/>
      <c r="GU93" s="152"/>
      <c r="GV93" s="152"/>
      <c r="GW93" s="210"/>
      <c r="GX93" s="210"/>
      <c r="GY93" s="152"/>
      <c r="GZ93" s="152"/>
      <c r="HA93" s="152"/>
      <c r="HB93" s="152"/>
      <c r="HC93" s="152"/>
      <c r="HD93" s="210"/>
      <c r="HE93" s="210"/>
      <c r="HF93" s="152"/>
      <c r="HG93" s="152"/>
      <c r="HH93" s="152"/>
      <c r="HI93" s="152"/>
      <c r="HJ93" s="152"/>
      <c r="HK93" s="210"/>
      <c r="HL93" s="210"/>
      <c r="HM93" s="152"/>
      <c r="HN93" s="152"/>
      <c r="HO93" s="152"/>
      <c r="HP93" s="152"/>
      <c r="HQ93" s="152"/>
      <c r="HR93" s="152"/>
      <c r="HS93" s="152"/>
      <c r="HT93" s="152"/>
      <c r="HU93" s="152"/>
      <c r="HV93" s="152"/>
      <c r="HW93" s="152"/>
      <c r="HX93" s="152"/>
      <c r="HY93" s="203"/>
      <c r="HZ93" s="203"/>
      <c r="IA93" s="152"/>
      <c r="IB93" s="152"/>
      <c r="IC93" s="152"/>
      <c r="ID93" s="152"/>
      <c r="IE93" s="152"/>
      <c r="IF93" s="203"/>
      <c r="IG93" s="203"/>
      <c r="IH93" s="152"/>
      <c r="II93" s="152"/>
      <c r="IJ93" s="152"/>
      <c r="IK93" s="152"/>
      <c r="IL93" s="152"/>
      <c r="IM93" s="203"/>
      <c r="IN93" s="203"/>
      <c r="IO93" s="152"/>
      <c r="IP93" s="152"/>
      <c r="IQ93" s="227"/>
      <c r="IR93" s="227"/>
      <c r="IS93" s="227"/>
      <c r="IT93" s="203"/>
      <c r="IU93" s="203"/>
      <c r="IV93" s="152"/>
      <c r="IW93" s="152"/>
      <c r="IX93" s="152"/>
      <c r="IY93" s="152"/>
      <c r="IZ93" s="152"/>
      <c r="JA93" s="203"/>
      <c r="JB93" s="203"/>
      <c r="JC93" s="232"/>
      <c r="JD93" s="232"/>
      <c r="JE93" s="152"/>
      <c r="JF93" s="152"/>
      <c r="JG93" s="152"/>
      <c r="JH93" s="203"/>
      <c r="JI93" s="203"/>
      <c r="JJ93" s="152"/>
      <c r="JK93" s="152"/>
      <c r="JL93" s="152"/>
      <c r="JM93" s="152"/>
      <c r="JN93" s="152"/>
      <c r="JO93" s="203"/>
      <c r="JP93" s="203"/>
      <c r="JQ93" s="152"/>
      <c r="JR93" s="152"/>
      <c r="JS93" s="152"/>
      <c r="JT93" s="152"/>
      <c r="JU93" s="152"/>
      <c r="JV93" s="203"/>
      <c r="JW93" s="203"/>
      <c r="JX93" s="152"/>
      <c r="JY93" s="152"/>
      <c r="JZ93" s="152"/>
      <c r="KA93" s="152"/>
      <c r="KB93" s="152"/>
      <c r="KC93" s="203"/>
      <c r="KD93" s="203"/>
      <c r="KE93" s="152"/>
      <c r="KF93" s="152"/>
      <c r="KG93" s="152"/>
      <c r="KH93" s="152"/>
      <c r="KI93" s="152"/>
      <c r="KJ93" s="194"/>
      <c r="KK93" s="194"/>
      <c r="KL93" s="152"/>
      <c r="KM93" s="152"/>
      <c r="KN93" s="152"/>
      <c r="KO93" s="152"/>
      <c r="KP93" s="227"/>
      <c r="KQ93" s="194"/>
      <c r="KR93" s="194"/>
      <c r="KS93" s="152"/>
      <c r="KT93" s="152"/>
      <c r="KU93" s="152"/>
      <c r="KV93" s="152"/>
      <c r="KW93" s="152"/>
      <c r="KX93" s="210"/>
      <c r="KY93" s="210"/>
      <c r="KZ93" s="194"/>
      <c r="LA93" s="194"/>
      <c r="LB93" s="194"/>
      <c r="LC93" s="194"/>
      <c r="LD93" s="194"/>
      <c r="LE93" s="210"/>
      <c r="LF93" s="210"/>
      <c r="LG93" s="227"/>
      <c r="LH93" s="227"/>
      <c r="LI93" s="227"/>
      <c r="LJ93" s="227"/>
      <c r="LK93" s="227"/>
      <c r="LL93" s="227"/>
      <c r="LM93" s="210"/>
      <c r="LN93" s="232"/>
      <c r="LO93" s="232"/>
      <c r="LP93" s="232"/>
      <c r="LQ93" s="232"/>
      <c r="LR93" s="232"/>
      <c r="LS93" s="210"/>
      <c r="LT93" s="210"/>
      <c r="LU93" s="232"/>
      <c r="LV93" s="152"/>
      <c r="LW93" s="152"/>
      <c r="LX93" s="152"/>
      <c r="LY93" s="152"/>
      <c r="LZ93" s="203"/>
      <c r="MA93" s="203"/>
      <c r="MB93" s="152"/>
      <c r="MC93" s="152"/>
      <c r="MD93" s="152"/>
      <c r="ME93" s="152"/>
      <c r="MF93" s="152"/>
      <c r="MG93" s="203"/>
      <c r="MH93" s="203"/>
      <c r="MI93" s="152"/>
      <c r="MJ93" s="152"/>
      <c r="MK93" s="152"/>
      <c r="ML93" s="152"/>
      <c r="MM93" s="152"/>
      <c r="MN93" s="203"/>
      <c r="MO93" s="203"/>
      <c r="MP93" s="152"/>
      <c r="MQ93" s="152"/>
      <c r="MR93" s="152"/>
      <c r="MS93" s="152"/>
      <c r="MT93" s="152"/>
      <c r="MU93" s="203"/>
      <c r="MV93" s="203"/>
      <c r="MW93" s="152"/>
      <c r="MX93" s="152"/>
      <c r="MY93" s="152"/>
      <c r="MZ93" s="152"/>
      <c r="NA93" s="152"/>
      <c r="NB93" s="152"/>
      <c r="NC93" s="152"/>
      <c r="ND93" s="152"/>
    </row>
    <row r="94" spans="1:368" s="140" customFormat="1" ht="15" customHeight="1">
      <c r="A94" s="472"/>
      <c r="B94" s="473" t="s">
        <v>8</v>
      </c>
      <c r="C94" s="163" t="s">
        <v>10</v>
      </c>
      <c r="D94" s="265"/>
      <c r="E94" s="266"/>
      <c r="F94" s="266"/>
      <c r="G94" s="266"/>
      <c r="H94" s="267"/>
      <c r="I94" s="194"/>
      <c r="J94" s="194"/>
      <c r="K94" s="265"/>
      <c r="L94" s="266"/>
      <c r="M94" s="266"/>
      <c r="N94" s="266"/>
      <c r="O94" s="267"/>
      <c r="P94" s="194"/>
      <c r="Q94" s="194"/>
      <c r="R94" s="265"/>
      <c r="S94" s="266"/>
      <c r="T94" s="266"/>
      <c r="U94" s="266"/>
      <c r="V94" s="267"/>
      <c r="W94" s="194"/>
      <c r="X94" s="194"/>
      <c r="Y94" s="265"/>
      <c r="Z94" s="266"/>
      <c r="AA94" s="266"/>
      <c r="AB94" s="266"/>
      <c r="AC94" s="267"/>
      <c r="AD94" s="194"/>
      <c r="AE94" s="194"/>
      <c r="AF94" s="265"/>
      <c r="AG94" s="266"/>
      <c r="AH94" s="266"/>
      <c r="AI94" s="266"/>
      <c r="AJ94" s="267"/>
      <c r="AK94" s="194"/>
      <c r="AL94" s="194"/>
      <c r="AM94" s="265"/>
      <c r="AN94" s="266"/>
      <c r="AO94" s="266"/>
      <c r="AP94" s="266"/>
      <c r="AQ94" s="267"/>
      <c r="AR94" s="194"/>
      <c r="AS94" s="194"/>
      <c r="AT94" s="265"/>
      <c r="AU94" s="266"/>
      <c r="AV94" s="266"/>
      <c r="AW94" s="266"/>
      <c r="AX94" s="267"/>
      <c r="AY94" s="194"/>
      <c r="AZ94" s="194"/>
      <c r="BA94" s="265"/>
      <c r="BB94" s="266"/>
      <c r="BC94" s="266"/>
      <c r="BD94" s="266"/>
      <c r="BE94" s="267"/>
      <c r="BF94" s="194"/>
      <c r="BG94" s="194"/>
      <c r="BH94" s="265"/>
      <c r="BI94" s="266"/>
      <c r="BJ94" s="266"/>
      <c r="BK94" s="266"/>
      <c r="BL94" s="267"/>
      <c r="BM94" s="194"/>
      <c r="BN94" s="194"/>
      <c r="BO94" s="265"/>
      <c r="BP94" s="266"/>
      <c r="BQ94" s="266"/>
      <c r="BR94" s="266"/>
      <c r="BS94" s="267"/>
      <c r="BT94" s="194"/>
      <c r="BU94" s="194"/>
      <c r="BV94" s="265"/>
      <c r="BW94" s="266"/>
      <c r="BX94" s="266"/>
      <c r="BY94" s="266"/>
      <c r="BZ94" s="267"/>
      <c r="CA94" s="194"/>
      <c r="CB94" s="194"/>
      <c r="CC94" s="265"/>
      <c r="CD94" s="266"/>
      <c r="CE94" s="266"/>
      <c r="CF94" s="266"/>
      <c r="CG94" s="267"/>
      <c r="CH94" s="194"/>
      <c r="CI94" s="194"/>
      <c r="CJ94" s="265"/>
      <c r="CK94" s="266"/>
      <c r="CL94" s="266"/>
      <c r="CM94" s="266"/>
      <c r="CN94" s="267"/>
      <c r="CO94" s="194"/>
      <c r="CP94" s="194"/>
      <c r="CQ94" s="265"/>
      <c r="CR94" s="266"/>
      <c r="CS94" s="266"/>
      <c r="CT94" s="266"/>
      <c r="CU94" s="267"/>
      <c r="CV94" s="194"/>
      <c r="CW94" s="194"/>
      <c r="CX94" s="265"/>
      <c r="CY94" s="266"/>
      <c r="CZ94" s="266"/>
      <c r="DA94" s="266"/>
      <c r="DB94" s="267"/>
      <c r="DC94" s="194"/>
      <c r="DD94" s="194"/>
      <c r="DE94" s="265"/>
      <c r="DF94" s="266"/>
      <c r="DG94" s="266"/>
      <c r="DH94" s="266"/>
      <c r="DI94" s="267"/>
      <c r="DJ94" s="194"/>
      <c r="DK94" s="194"/>
      <c r="DL94" s="265"/>
      <c r="DM94" s="266"/>
      <c r="DN94" s="266"/>
      <c r="DO94" s="266"/>
      <c r="DP94" s="267"/>
      <c r="DQ94" s="194"/>
      <c r="DR94" s="194"/>
      <c r="DS94" s="265"/>
      <c r="DT94" s="266"/>
      <c r="DU94" s="266"/>
      <c r="DV94" s="266"/>
      <c r="DW94" s="267"/>
      <c r="DX94" s="194"/>
      <c r="DY94" s="194"/>
      <c r="DZ94" s="265"/>
      <c r="EA94" s="266"/>
      <c r="EB94" s="266"/>
      <c r="EC94" s="266"/>
      <c r="ED94" s="267"/>
      <c r="EE94" s="194"/>
      <c r="EF94" s="194"/>
      <c r="EG94" s="265"/>
      <c r="EH94" s="266"/>
      <c r="EI94" s="266"/>
      <c r="EJ94" s="266"/>
      <c r="EK94" s="267"/>
      <c r="EL94" s="194"/>
      <c r="EM94" s="194"/>
      <c r="EN94" s="265"/>
      <c r="EO94" s="266"/>
      <c r="EP94" s="266"/>
      <c r="EQ94" s="266"/>
      <c r="ER94" s="267"/>
      <c r="ES94" s="194"/>
      <c r="ET94" s="194"/>
      <c r="EU94" s="265"/>
      <c r="EV94" s="266"/>
      <c r="EW94" s="266"/>
      <c r="EX94" s="266"/>
      <c r="EY94" s="267"/>
      <c r="EZ94" s="194"/>
      <c r="FA94" s="194"/>
      <c r="FB94" s="265"/>
      <c r="FC94" s="266"/>
      <c r="FD94" s="266"/>
      <c r="FE94" s="266"/>
      <c r="FF94" s="267"/>
      <c r="FG94" s="194"/>
      <c r="FH94" s="194"/>
      <c r="FI94" s="265"/>
      <c r="FJ94" s="266"/>
      <c r="FK94" s="266"/>
      <c r="FL94" s="266"/>
      <c r="FM94" s="267"/>
      <c r="FN94" s="194"/>
      <c r="FO94" s="194"/>
      <c r="FP94" s="265"/>
      <c r="FQ94" s="266"/>
      <c r="FR94" s="266"/>
      <c r="FS94" s="266"/>
      <c r="FT94" s="267"/>
      <c r="FU94" s="194"/>
      <c r="FV94" s="194"/>
      <c r="FW94" s="265"/>
      <c r="FX94" s="266"/>
      <c r="FY94" s="266"/>
      <c r="FZ94" s="266"/>
      <c r="GA94" s="267"/>
      <c r="GB94" s="194"/>
      <c r="GC94" s="194"/>
      <c r="GD94" s="143"/>
      <c r="GE94" s="143"/>
      <c r="GF94" s="143"/>
      <c r="GG94" s="143"/>
      <c r="GH94" s="143"/>
      <c r="GI94" s="194"/>
      <c r="GJ94" s="194"/>
      <c r="GK94" s="143"/>
      <c r="GL94" s="143"/>
      <c r="GM94" s="143"/>
      <c r="GN94" s="143"/>
      <c r="GO94" s="143"/>
      <c r="GP94" s="210"/>
      <c r="GQ94" s="210"/>
      <c r="GR94" s="143"/>
      <c r="GS94" s="143"/>
      <c r="GT94" s="143"/>
      <c r="GU94" s="143"/>
      <c r="GV94" s="143"/>
      <c r="GW94" s="210"/>
      <c r="GX94" s="210"/>
      <c r="GY94" s="143"/>
      <c r="GZ94" s="143"/>
      <c r="HA94" s="143"/>
      <c r="HB94" s="143"/>
      <c r="HC94" s="143"/>
      <c r="HD94" s="210"/>
      <c r="HE94" s="210"/>
      <c r="HF94" s="143"/>
      <c r="HG94" s="143"/>
      <c r="HH94" s="143"/>
      <c r="HI94" s="143"/>
      <c r="HJ94" s="143"/>
      <c r="HK94" s="210"/>
      <c r="HL94" s="210"/>
      <c r="HM94" s="143"/>
      <c r="HN94" s="143"/>
      <c r="HO94" s="143"/>
      <c r="HP94" s="143"/>
      <c r="HQ94" s="143"/>
      <c r="HR94" s="143"/>
      <c r="HS94" s="143"/>
      <c r="HT94" s="143"/>
      <c r="HU94" s="143"/>
      <c r="HV94" s="143"/>
      <c r="HW94" s="143"/>
      <c r="HX94" s="143"/>
      <c r="HY94" s="203"/>
      <c r="HZ94" s="203"/>
      <c r="IA94" s="143"/>
      <c r="IB94" s="143"/>
      <c r="IC94" s="143"/>
      <c r="ID94" s="143"/>
      <c r="IE94" s="143"/>
      <c r="IF94" s="203"/>
      <c r="IG94" s="203"/>
      <c r="IH94" s="143"/>
      <c r="II94" s="143"/>
      <c r="IJ94" s="143"/>
      <c r="IK94" s="143"/>
      <c r="IL94" s="143"/>
      <c r="IM94" s="203"/>
      <c r="IN94" s="203"/>
      <c r="IO94" s="143"/>
      <c r="IP94" s="143"/>
      <c r="IQ94" s="227"/>
      <c r="IR94" s="227"/>
      <c r="IS94" s="227"/>
      <c r="IT94" s="203"/>
      <c r="IU94" s="203"/>
      <c r="IV94" s="143"/>
      <c r="IW94" s="143"/>
      <c r="IX94" s="143"/>
      <c r="IY94" s="143"/>
      <c r="IZ94" s="143"/>
      <c r="JA94" s="203"/>
      <c r="JB94" s="203"/>
      <c r="JC94" s="227"/>
      <c r="JD94" s="227"/>
      <c r="JE94" s="143"/>
      <c r="JF94" s="143"/>
      <c r="JG94" s="143"/>
      <c r="JH94" s="203"/>
      <c r="JI94" s="203"/>
      <c r="JJ94" s="143"/>
      <c r="JK94" s="143"/>
      <c r="JL94" s="143"/>
      <c r="JM94" s="143"/>
      <c r="JN94" s="143"/>
      <c r="JO94" s="203"/>
      <c r="JP94" s="203"/>
      <c r="JQ94" s="143"/>
      <c r="JR94" s="143"/>
      <c r="JS94" s="143"/>
      <c r="JT94" s="143"/>
      <c r="JU94" s="143"/>
      <c r="JV94" s="203"/>
      <c r="JW94" s="203"/>
      <c r="JX94" s="143"/>
      <c r="JY94" s="143"/>
      <c r="JZ94" s="143"/>
      <c r="KA94" s="143"/>
      <c r="KB94" s="143"/>
      <c r="KC94" s="203"/>
      <c r="KD94" s="203"/>
      <c r="KE94" s="143"/>
      <c r="KF94" s="143"/>
      <c r="KG94" s="143"/>
      <c r="KH94" s="143"/>
      <c r="KI94" s="143"/>
      <c r="KJ94" s="194"/>
      <c r="KK94" s="194"/>
      <c r="KL94" s="143"/>
      <c r="KM94" s="143"/>
      <c r="KN94" s="143"/>
      <c r="KO94" s="143"/>
      <c r="KP94" s="227"/>
      <c r="KQ94" s="194"/>
      <c r="KR94" s="194"/>
      <c r="KS94" s="143"/>
      <c r="KT94" s="143"/>
      <c r="KU94" s="143"/>
      <c r="KV94" s="143"/>
      <c r="KW94" s="143"/>
      <c r="KX94" s="210"/>
      <c r="KY94" s="210"/>
      <c r="KZ94" s="194"/>
      <c r="LA94" s="194"/>
      <c r="LB94" s="194"/>
      <c r="LC94" s="194"/>
      <c r="LD94" s="194"/>
      <c r="LE94" s="210"/>
      <c r="LF94" s="210"/>
      <c r="LG94" s="227"/>
      <c r="LH94" s="227"/>
      <c r="LI94" s="227"/>
      <c r="LJ94" s="227"/>
      <c r="LK94" s="227"/>
      <c r="LL94" s="227"/>
      <c r="LM94" s="210"/>
      <c r="LN94" s="227"/>
      <c r="LO94" s="227"/>
      <c r="LP94" s="227"/>
      <c r="LQ94" s="227"/>
      <c r="LR94" s="227"/>
      <c r="LS94" s="210"/>
      <c r="LT94" s="210"/>
      <c r="LU94" s="227"/>
      <c r="LV94" s="143"/>
      <c r="LW94" s="143"/>
      <c r="LX94" s="143"/>
      <c r="LY94" s="143"/>
      <c r="LZ94" s="203"/>
      <c r="MA94" s="203"/>
      <c r="MB94" s="143"/>
      <c r="MC94" s="143"/>
      <c r="MD94" s="143"/>
      <c r="ME94" s="143"/>
      <c r="MF94" s="143"/>
      <c r="MG94" s="203"/>
      <c r="MH94" s="203"/>
      <c r="MI94" s="143"/>
      <c r="MJ94" s="143"/>
      <c r="MK94" s="143"/>
      <c r="ML94" s="143"/>
      <c r="MM94" s="143"/>
      <c r="MN94" s="203"/>
      <c r="MO94" s="203"/>
      <c r="MP94" s="143"/>
      <c r="MQ94" s="143"/>
      <c r="MR94" s="143"/>
      <c r="MS94" s="143"/>
      <c r="MT94" s="143"/>
      <c r="MU94" s="203"/>
      <c r="MV94" s="203"/>
      <c r="MW94" s="143"/>
      <c r="MX94" s="143"/>
      <c r="MY94" s="143"/>
      <c r="MZ94" s="143"/>
      <c r="NA94" s="143"/>
      <c r="NB94" s="143"/>
      <c r="NC94" s="143"/>
      <c r="ND94" s="143"/>
    </row>
    <row r="95" spans="1:368" s="140" customFormat="1" ht="15" customHeight="1">
      <c r="A95" s="472"/>
      <c r="B95" s="461"/>
      <c r="C95" s="164" t="s">
        <v>11</v>
      </c>
      <c r="D95" s="268"/>
      <c r="E95" s="143"/>
      <c r="F95" s="143"/>
      <c r="G95" s="143"/>
      <c r="H95" s="269"/>
      <c r="I95" s="194"/>
      <c r="J95" s="194"/>
      <c r="K95" s="268"/>
      <c r="L95" s="143"/>
      <c r="M95" s="143"/>
      <c r="N95" s="143"/>
      <c r="O95" s="269"/>
      <c r="P95" s="194"/>
      <c r="Q95" s="194"/>
      <c r="R95" s="268"/>
      <c r="S95" s="143"/>
      <c r="T95" s="143"/>
      <c r="U95" s="143"/>
      <c r="V95" s="269"/>
      <c r="W95" s="194"/>
      <c r="X95" s="194"/>
      <c r="Y95" s="268"/>
      <c r="Z95" s="143"/>
      <c r="AA95" s="143"/>
      <c r="AB95" s="143"/>
      <c r="AC95" s="269"/>
      <c r="AD95" s="194"/>
      <c r="AE95" s="194"/>
      <c r="AF95" s="268"/>
      <c r="AG95" s="143"/>
      <c r="AH95" s="143"/>
      <c r="AI95" s="143"/>
      <c r="AJ95" s="269"/>
      <c r="AK95" s="194"/>
      <c r="AL95" s="194"/>
      <c r="AM95" s="268"/>
      <c r="AN95" s="143"/>
      <c r="AO95" s="143"/>
      <c r="AP95" s="143"/>
      <c r="AQ95" s="269"/>
      <c r="AR95" s="194"/>
      <c r="AS95" s="194"/>
      <c r="AT95" s="268"/>
      <c r="AU95" s="143"/>
      <c r="AV95" s="143"/>
      <c r="AW95" s="143"/>
      <c r="AX95" s="269"/>
      <c r="AY95" s="194"/>
      <c r="AZ95" s="194"/>
      <c r="BA95" s="268"/>
      <c r="BB95" s="143"/>
      <c r="BC95" s="143"/>
      <c r="BD95" s="143"/>
      <c r="BE95" s="269"/>
      <c r="BF95" s="194"/>
      <c r="BG95" s="194"/>
      <c r="BH95" s="268"/>
      <c r="BI95" s="143"/>
      <c r="BJ95" s="143"/>
      <c r="BK95" s="143"/>
      <c r="BL95" s="269"/>
      <c r="BM95" s="194"/>
      <c r="BN95" s="194"/>
      <c r="BO95" s="268"/>
      <c r="BP95" s="143"/>
      <c r="BQ95" s="143"/>
      <c r="BR95" s="143"/>
      <c r="BS95" s="269"/>
      <c r="BT95" s="194"/>
      <c r="BU95" s="194"/>
      <c r="BV95" s="268"/>
      <c r="BW95" s="143"/>
      <c r="BX95" s="143"/>
      <c r="BY95" s="143"/>
      <c r="BZ95" s="269"/>
      <c r="CA95" s="194"/>
      <c r="CB95" s="194"/>
      <c r="CC95" s="268"/>
      <c r="CD95" s="143"/>
      <c r="CE95" s="143"/>
      <c r="CF95" s="143"/>
      <c r="CG95" s="269"/>
      <c r="CH95" s="194"/>
      <c r="CI95" s="194"/>
      <c r="CJ95" s="268"/>
      <c r="CK95" s="143"/>
      <c r="CL95" s="143"/>
      <c r="CM95" s="143"/>
      <c r="CN95" s="269"/>
      <c r="CO95" s="194"/>
      <c r="CP95" s="194"/>
      <c r="CQ95" s="268"/>
      <c r="CR95" s="143"/>
      <c r="CS95" s="143"/>
      <c r="CT95" s="143"/>
      <c r="CU95" s="269"/>
      <c r="CV95" s="194"/>
      <c r="CW95" s="194"/>
      <c r="CX95" s="268"/>
      <c r="CY95" s="143"/>
      <c r="CZ95" s="143"/>
      <c r="DA95" s="143"/>
      <c r="DB95" s="269"/>
      <c r="DC95" s="194"/>
      <c r="DD95" s="194"/>
      <c r="DE95" s="268"/>
      <c r="DF95" s="143"/>
      <c r="DG95" s="143"/>
      <c r="DH95" s="143"/>
      <c r="DI95" s="269"/>
      <c r="DJ95" s="194"/>
      <c r="DK95" s="194"/>
      <c r="DL95" s="268"/>
      <c r="DM95" s="143"/>
      <c r="DN95" s="143"/>
      <c r="DO95" s="143"/>
      <c r="DP95" s="269"/>
      <c r="DQ95" s="194"/>
      <c r="DR95" s="194"/>
      <c r="DS95" s="268"/>
      <c r="DT95" s="143"/>
      <c r="DU95" s="143"/>
      <c r="DV95" s="143"/>
      <c r="DW95" s="269"/>
      <c r="DX95" s="194"/>
      <c r="DY95" s="194"/>
      <c r="DZ95" s="268"/>
      <c r="EA95" s="143"/>
      <c r="EB95" s="143"/>
      <c r="EC95" s="143"/>
      <c r="ED95" s="269"/>
      <c r="EE95" s="194"/>
      <c r="EF95" s="194"/>
      <c r="EG95" s="268"/>
      <c r="EH95" s="143"/>
      <c r="EI95" s="143"/>
      <c r="EJ95" s="143"/>
      <c r="EK95" s="269"/>
      <c r="EL95" s="194"/>
      <c r="EM95" s="194"/>
      <c r="EN95" s="268"/>
      <c r="EO95" s="143"/>
      <c r="EP95" s="143"/>
      <c r="EQ95" s="143"/>
      <c r="ER95" s="269"/>
      <c r="ES95" s="194"/>
      <c r="ET95" s="194"/>
      <c r="EU95" s="268"/>
      <c r="EV95" s="143"/>
      <c r="EW95" s="143"/>
      <c r="EX95" s="143"/>
      <c r="EY95" s="269"/>
      <c r="EZ95" s="194"/>
      <c r="FA95" s="194"/>
      <c r="FB95" s="268"/>
      <c r="FC95" s="143"/>
      <c r="FD95" s="143"/>
      <c r="FE95" s="143"/>
      <c r="FF95" s="269"/>
      <c r="FG95" s="194"/>
      <c r="FH95" s="194"/>
      <c r="FI95" s="268"/>
      <c r="FJ95" s="143"/>
      <c r="FK95" s="143"/>
      <c r="FL95" s="143"/>
      <c r="FM95" s="269"/>
      <c r="FN95" s="194"/>
      <c r="FO95" s="194"/>
      <c r="FP95" s="268"/>
      <c r="FQ95" s="143"/>
      <c r="FR95" s="143"/>
      <c r="FS95" s="143"/>
      <c r="FT95" s="269"/>
      <c r="FU95" s="194"/>
      <c r="FV95" s="194"/>
      <c r="FW95" s="268"/>
      <c r="FX95" s="143"/>
      <c r="FY95" s="143"/>
      <c r="FZ95" s="143"/>
      <c r="GA95" s="269"/>
      <c r="GB95" s="194"/>
      <c r="GC95" s="194"/>
      <c r="GD95" s="143"/>
      <c r="GE95" s="143"/>
      <c r="GF95" s="143"/>
      <c r="GG95" s="143"/>
      <c r="GH95" s="143"/>
      <c r="GI95" s="194"/>
      <c r="GJ95" s="194"/>
      <c r="GK95" s="143"/>
      <c r="GL95" s="143"/>
      <c r="GM95" s="143"/>
      <c r="GN95" s="143"/>
      <c r="GO95" s="143"/>
      <c r="GP95" s="210"/>
      <c r="GQ95" s="210"/>
      <c r="GR95" s="143"/>
      <c r="GS95" s="143"/>
      <c r="GT95" s="143"/>
      <c r="GU95" s="143"/>
      <c r="GV95" s="143"/>
      <c r="GW95" s="210"/>
      <c r="GX95" s="210"/>
      <c r="GY95" s="143"/>
      <c r="GZ95" s="143"/>
      <c r="HA95" s="143"/>
      <c r="HB95" s="143"/>
      <c r="HC95" s="143"/>
      <c r="HD95" s="210"/>
      <c r="HE95" s="210"/>
      <c r="HF95" s="143"/>
      <c r="HG95" s="143"/>
      <c r="HH95" s="143"/>
      <c r="HI95" s="143"/>
      <c r="HJ95" s="143"/>
      <c r="HK95" s="210"/>
      <c r="HL95" s="210"/>
      <c r="HM95" s="143"/>
      <c r="HN95" s="143"/>
      <c r="HO95" s="143"/>
      <c r="HP95" s="143"/>
      <c r="HQ95" s="143"/>
      <c r="HR95" s="143"/>
      <c r="HS95" s="143"/>
      <c r="HT95" s="143"/>
      <c r="HU95" s="143"/>
      <c r="HV95" s="143"/>
      <c r="HW95" s="143"/>
      <c r="HX95" s="143"/>
      <c r="HY95" s="203"/>
      <c r="HZ95" s="203"/>
      <c r="IA95" s="143"/>
      <c r="IB95" s="143"/>
      <c r="IC95" s="143"/>
      <c r="ID95" s="143"/>
      <c r="IE95" s="143"/>
      <c r="IF95" s="203"/>
      <c r="IG95" s="203"/>
      <c r="IH95" s="143"/>
      <c r="II95" s="143"/>
      <c r="IJ95" s="143"/>
      <c r="IK95" s="143"/>
      <c r="IL95" s="143"/>
      <c r="IM95" s="203"/>
      <c r="IN95" s="203"/>
      <c r="IO95" s="143"/>
      <c r="IP95" s="143"/>
      <c r="IQ95" s="227"/>
      <c r="IR95" s="227"/>
      <c r="IS95" s="227"/>
      <c r="IT95" s="203"/>
      <c r="IU95" s="203"/>
      <c r="IV95" s="143"/>
      <c r="IW95" s="143"/>
      <c r="IX95" s="143"/>
      <c r="IY95" s="143"/>
      <c r="IZ95" s="143"/>
      <c r="JA95" s="203"/>
      <c r="JB95" s="203"/>
      <c r="JC95" s="227"/>
      <c r="JD95" s="227"/>
      <c r="JE95" s="143"/>
      <c r="JF95" s="143"/>
      <c r="JG95" s="143"/>
      <c r="JH95" s="203"/>
      <c r="JI95" s="203"/>
      <c r="JJ95" s="143"/>
      <c r="JK95" s="143"/>
      <c r="JL95" s="143"/>
      <c r="JM95" s="143"/>
      <c r="JN95" s="143"/>
      <c r="JO95" s="203"/>
      <c r="JP95" s="203"/>
      <c r="JQ95" s="143"/>
      <c r="JR95" s="143"/>
      <c r="JS95" s="143"/>
      <c r="JT95" s="143"/>
      <c r="JU95" s="143"/>
      <c r="JV95" s="203"/>
      <c r="JW95" s="203"/>
      <c r="JX95" s="143"/>
      <c r="JY95" s="143"/>
      <c r="JZ95" s="143"/>
      <c r="KA95" s="143"/>
      <c r="KB95" s="143"/>
      <c r="KC95" s="203"/>
      <c r="KD95" s="203"/>
      <c r="KE95" s="143"/>
      <c r="KF95" s="143"/>
      <c r="KG95" s="143"/>
      <c r="KH95" s="143"/>
      <c r="KI95" s="143"/>
      <c r="KJ95" s="194"/>
      <c r="KK95" s="194"/>
      <c r="KL95" s="143"/>
      <c r="KM95" s="143"/>
      <c r="KN95" s="143"/>
      <c r="KO95" s="143"/>
      <c r="KP95" s="227"/>
      <c r="KQ95" s="194"/>
      <c r="KR95" s="194"/>
      <c r="KS95" s="143"/>
      <c r="KT95" s="143"/>
      <c r="KU95" s="143"/>
      <c r="KV95" s="143"/>
      <c r="KW95" s="143"/>
      <c r="KX95" s="210"/>
      <c r="KY95" s="210"/>
      <c r="KZ95" s="194"/>
      <c r="LA95" s="194"/>
      <c r="LB95" s="194"/>
      <c r="LC95" s="194"/>
      <c r="LD95" s="194"/>
      <c r="LE95" s="210"/>
      <c r="LF95" s="210"/>
      <c r="LG95" s="227"/>
      <c r="LH95" s="227"/>
      <c r="LI95" s="227"/>
      <c r="LJ95" s="227"/>
      <c r="LK95" s="227"/>
      <c r="LL95" s="227"/>
      <c r="LM95" s="210"/>
      <c r="LN95" s="227"/>
      <c r="LO95" s="227"/>
      <c r="LP95" s="227"/>
      <c r="LQ95" s="227"/>
      <c r="LR95" s="227"/>
      <c r="LS95" s="210"/>
      <c r="LT95" s="210"/>
      <c r="LU95" s="227"/>
      <c r="LV95" s="143"/>
      <c r="LW95" s="143"/>
      <c r="LX95" s="143"/>
      <c r="LY95" s="143"/>
      <c r="LZ95" s="203"/>
      <c r="MA95" s="203"/>
      <c r="MB95" s="143"/>
      <c r="MC95" s="143"/>
      <c r="MD95" s="143"/>
      <c r="ME95" s="143"/>
      <c r="MF95" s="143"/>
      <c r="MG95" s="203"/>
      <c r="MH95" s="203"/>
      <c r="MI95" s="143"/>
      <c r="MJ95" s="143"/>
      <c r="MK95" s="143"/>
      <c r="ML95" s="143"/>
      <c r="MM95" s="143"/>
      <c r="MN95" s="203"/>
      <c r="MO95" s="203"/>
      <c r="MP95" s="143"/>
      <c r="MQ95" s="143"/>
      <c r="MR95" s="143"/>
      <c r="MS95" s="143"/>
      <c r="MT95" s="143"/>
      <c r="MU95" s="203"/>
      <c r="MV95" s="203"/>
      <c r="MW95" s="143"/>
      <c r="MX95" s="143"/>
      <c r="MY95" s="143"/>
      <c r="MZ95" s="143"/>
      <c r="NA95" s="143"/>
      <c r="NB95" s="143"/>
      <c r="NC95" s="143"/>
      <c r="ND95" s="143"/>
    </row>
    <row r="96" spans="1:368" s="140" customFormat="1" ht="15" customHeight="1">
      <c r="A96" s="472"/>
      <c r="B96" s="461"/>
      <c r="C96" s="164" t="s">
        <v>12</v>
      </c>
      <c r="D96" s="268"/>
      <c r="E96" s="143"/>
      <c r="F96" s="143"/>
      <c r="G96" s="143"/>
      <c r="H96" s="269"/>
      <c r="I96" s="194"/>
      <c r="J96" s="194"/>
      <c r="K96" s="268"/>
      <c r="L96" s="143"/>
      <c r="M96" s="143"/>
      <c r="N96" s="143"/>
      <c r="O96" s="269"/>
      <c r="P96" s="194"/>
      <c r="Q96" s="194"/>
      <c r="R96" s="268"/>
      <c r="S96" s="143"/>
      <c r="T96" s="143"/>
      <c r="U96" s="143"/>
      <c r="V96" s="269"/>
      <c r="W96" s="194"/>
      <c r="X96" s="194"/>
      <c r="Y96" s="268"/>
      <c r="Z96" s="143"/>
      <c r="AA96" s="143"/>
      <c r="AB96" s="143"/>
      <c r="AC96" s="269"/>
      <c r="AD96" s="194"/>
      <c r="AE96" s="194"/>
      <c r="AF96" s="268"/>
      <c r="AG96" s="143"/>
      <c r="AH96" s="143"/>
      <c r="AI96" s="143"/>
      <c r="AJ96" s="269"/>
      <c r="AK96" s="194"/>
      <c r="AL96" s="194"/>
      <c r="AM96" s="268"/>
      <c r="AN96" s="143"/>
      <c r="AO96" s="143"/>
      <c r="AP96" s="143"/>
      <c r="AQ96" s="269"/>
      <c r="AR96" s="194"/>
      <c r="AS96" s="194"/>
      <c r="AT96" s="268"/>
      <c r="AU96" s="143"/>
      <c r="AV96" s="143"/>
      <c r="AW96" s="143"/>
      <c r="AX96" s="269"/>
      <c r="AY96" s="194"/>
      <c r="AZ96" s="194"/>
      <c r="BA96" s="268"/>
      <c r="BB96" s="143"/>
      <c r="BC96" s="143"/>
      <c r="BD96" s="143"/>
      <c r="BE96" s="269"/>
      <c r="BF96" s="194"/>
      <c r="BG96" s="194"/>
      <c r="BH96" s="268"/>
      <c r="BI96" s="143"/>
      <c r="BJ96" s="143"/>
      <c r="BK96" s="143"/>
      <c r="BL96" s="269"/>
      <c r="BM96" s="194"/>
      <c r="BN96" s="194"/>
      <c r="BO96" s="268"/>
      <c r="BP96" s="143"/>
      <c r="BQ96" s="143"/>
      <c r="BR96" s="143"/>
      <c r="BS96" s="269"/>
      <c r="BT96" s="194"/>
      <c r="BU96" s="194"/>
      <c r="BV96" s="268"/>
      <c r="BW96" s="143"/>
      <c r="BX96" s="143"/>
      <c r="BY96" s="143"/>
      <c r="BZ96" s="269"/>
      <c r="CA96" s="194"/>
      <c r="CB96" s="194"/>
      <c r="CC96" s="268"/>
      <c r="CD96" s="143"/>
      <c r="CE96" s="143"/>
      <c r="CF96" s="143"/>
      <c r="CG96" s="269"/>
      <c r="CH96" s="194"/>
      <c r="CI96" s="194"/>
      <c r="CJ96" s="268"/>
      <c r="CK96" s="143"/>
      <c r="CL96" s="143"/>
      <c r="CM96" s="143"/>
      <c r="CN96" s="269"/>
      <c r="CO96" s="194"/>
      <c r="CP96" s="194"/>
      <c r="CQ96" s="268"/>
      <c r="CR96" s="143"/>
      <c r="CS96" s="143"/>
      <c r="CT96" s="143"/>
      <c r="CU96" s="269"/>
      <c r="CV96" s="194"/>
      <c r="CW96" s="194"/>
      <c r="CX96" s="268"/>
      <c r="CY96" s="143"/>
      <c r="CZ96" s="143"/>
      <c r="DA96" s="143"/>
      <c r="DB96" s="269"/>
      <c r="DC96" s="194"/>
      <c r="DD96" s="194"/>
      <c r="DE96" s="268"/>
      <c r="DF96" s="143"/>
      <c r="DG96" s="143"/>
      <c r="DH96" s="143"/>
      <c r="DI96" s="269"/>
      <c r="DJ96" s="194"/>
      <c r="DK96" s="194"/>
      <c r="DL96" s="268"/>
      <c r="DM96" s="143"/>
      <c r="DN96" s="143"/>
      <c r="DO96" s="143"/>
      <c r="DP96" s="269"/>
      <c r="DQ96" s="194"/>
      <c r="DR96" s="194"/>
      <c r="DS96" s="268"/>
      <c r="DT96" s="143"/>
      <c r="DU96" s="143"/>
      <c r="DV96" s="143"/>
      <c r="DW96" s="269"/>
      <c r="DX96" s="194"/>
      <c r="DY96" s="194"/>
      <c r="DZ96" s="268"/>
      <c r="EA96" s="143"/>
      <c r="EB96" s="143"/>
      <c r="EC96" s="143"/>
      <c r="ED96" s="269"/>
      <c r="EE96" s="194"/>
      <c r="EF96" s="194"/>
      <c r="EG96" s="268"/>
      <c r="EH96" s="143"/>
      <c r="EI96" s="143"/>
      <c r="EJ96" s="143"/>
      <c r="EK96" s="269"/>
      <c r="EL96" s="194"/>
      <c r="EM96" s="194"/>
      <c r="EN96" s="268"/>
      <c r="EO96" s="143"/>
      <c r="EP96" s="143"/>
      <c r="EQ96" s="143"/>
      <c r="ER96" s="269"/>
      <c r="ES96" s="194"/>
      <c r="ET96" s="194"/>
      <c r="EU96" s="268"/>
      <c r="EV96" s="143"/>
      <c r="EW96" s="143"/>
      <c r="EX96" s="143"/>
      <c r="EY96" s="269"/>
      <c r="EZ96" s="194"/>
      <c r="FA96" s="194"/>
      <c r="FB96" s="268"/>
      <c r="FC96" s="143"/>
      <c r="FD96" s="143"/>
      <c r="FE96" s="143"/>
      <c r="FF96" s="269"/>
      <c r="FG96" s="194"/>
      <c r="FH96" s="194"/>
      <c r="FI96" s="268"/>
      <c r="FJ96" s="143"/>
      <c r="FK96" s="143"/>
      <c r="FL96" s="143"/>
      <c r="FM96" s="269"/>
      <c r="FN96" s="194"/>
      <c r="FO96" s="194"/>
      <c r="FP96" s="268"/>
      <c r="FQ96" s="143"/>
      <c r="FR96" s="143"/>
      <c r="FS96" s="143"/>
      <c r="FT96" s="269"/>
      <c r="FU96" s="194"/>
      <c r="FV96" s="194"/>
      <c r="FW96" s="268"/>
      <c r="FX96" s="143"/>
      <c r="FY96" s="143"/>
      <c r="FZ96" s="143"/>
      <c r="GA96" s="269"/>
      <c r="GB96" s="194"/>
      <c r="GC96" s="194"/>
      <c r="GD96" s="143"/>
      <c r="GE96" s="143"/>
      <c r="GF96" s="143"/>
      <c r="GG96" s="143"/>
      <c r="GH96" s="143"/>
      <c r="GI96" s="194"/>
      <c r="GJ96" s="194"/>
      <c r="GK96" s="143"/>
      <c r="GL96" s="143"/>
      <c r="GM96" s="143"/>
      <c r="GN96" s="143"/>
      <c r="GO96" s="143"/>
      <c r="GP96" s="210"/>
      <c r="GQ96" s="210"/>
      <c r="GR96" s="143"/>
      <c r="GS96" s="143"/>
      <c r="GT96" s="143"/>
      <c r="GU96" s="143"/>
      <c r="GV96" s="143"/>
      <c r="GW96" s="210"/>
      <c r="GX96" s="210"/>
      <c r="GY96" s="143"/>
      <c r="GZ96" s="143"/>
      <c r="HA96" s="143"/>
      <c r="HB96" s="143"/>
      <c r="HC96" s="143"/>
      <c r="HD96" s="210"/>
      <c r="HE96" s="210"/>
      <c r="HF96" s="143"/>
      <c r="HG96" s="143"/>
      <c r="HH96" s="143"/>
      <c r="HI96" s="143"/>
      <c r="HJ96" s="143"/>
      <c r="HK96" s="210"/>
      <c r="HL96" s="210"/>
      <c r="HM96" s="143"/>
      <c r="HN96" s="143"/>
      <c r="HO96" s="143"/>
      <c r="HP96" s="143"/>
      <c r="HQ96" s="143"/>
      <c r="HR96" s="143"/>
      <c r="HS96" s="143"/>
      <c r="HT96" s="143"/>
      <c r="HU96" s="143"/>
      <c r="HV96" s="143"/>
      <c r="HW96" s="143"/>
      <c r="HX96" s="143"/>
      <c r="HY96" s="203"/>
      <c r="HZ96" s="203"/>
      <c r="IA96" s="143"/>
      <c r="IB96" s="143"/>
      <c r="IC96" s="143"/>
      <c r="ID96" s="143"/>
      <c r="IE96" s="143"/>
      <c r="IF96" s="203"/>
      <c r="IG96" s="203"/>
      <c r="IH96" s="143"/>
      <c r="II96" s="143"/>
      <c r="IJ96" s="143"/>
      <c r="IK96" s="143"/>
      <c r="IL96" s="143"/>
      <c r="IM96" s="203"/>
      <c r="IN96" s="203"/>
      <c r="IO96" s="143"/>
      <c r="IP96" s="143"/>
      <c r="IQ96" s="227"/>
      <c r="IR96" s="227"/>
      <c r="IS96" s="227"/>
      <c r="IT96" s="203"/>
      <c r="IU96" s="203"/>
      <c r="IV96" s="143"/>
      <c r="IW96" s="143"/>
      <c r="IX96" s="143"/>
      <c r="IY96" s="143"/>
      <c r="IZ96" s="143"/>
      <c r="JA96" s="203"/>
      <c r="JB96" s="203"/>
      <c r="JC96" s="227"/>
      <c r="JD96" s="227"/>
      <c r="JE96" s="143"/>
      <c r="JF96" s="143"/>
      <c r="JG96" s="143"/>
      <c r="JH96" s="203"/>
      <c r="JI96" s="203"/>
      <c r="JJ96" s="143"/>
      <c r="JK96" s="143"/>
      <c r="JL96" s="143"/>
      <c r="JM96" s="143"/>
      <c r="JN96" s="143"/>
      <c r="JO96" s="203"/>
      <c r="JP96" s="203"/>
      <c r="JQ96" s="143"/>
      <c r="JR96" s="143"/>
      <c r="JS96" s="143"/>
      <c r="JT96" s="143"/>
      <c r="JU96" s="143"/>
      <c r="JV96" s="203"/>
      <c r="JW96" s="203"/>
      <c r="JX96" s="143"/>
      <c r="JY96" s="143"/>
      <c r="JZ96" s="143"/>
      <c r="KA96" s="143"/>
      <c r="KB96" s="143"/>
      <c r="KC96" s="203"/>
      <c r="KD96" s="203"/>
      <c r="KE96" s="143"/>
      <c r="KF96" s="143"/>
      <c r="KG96" s="143"/>
      <c r="KH96" s="143"/>
      <c r="KI96" s="143"/>
      <c r="KJ96" s="194"/>
      <c r="KK96" s="194"/>
      <c r="KL96" s="143"/>
      <c r="KM96" s="143"/>
      <c r="KN96" s="143"/>
      <c r="KO96" s="143"/>
      <c r="KP96" s="227"/>
      <c r="KQ96" s="194"/>
      <c r="KR96" s="194"/>
      <c r="KS96" s="143"/>
      <c r="KT96" s="143"/>
      <c r="KU96" s="143"/>
      <c r="KV96" s="143"/>
      <c r="KW96" s="143"/>
      <c r="KX96" s="210"/>
      <c r="KY96" s="210"/>
      <c r="KZ96" s="194"/>
      <c r="LA96" s="194"/>
      <c r="LB96" s="194"/>
      <c r="LC96" s="194"/>
      <c r="LD96" s="194"/>
      <c r="LE96" s="210"/>
      <c r="LF96" s="210"/>
      <c r="LG96" s="227"/>
      <c r="LH96" s="227"/>
      <c r="LI96" s="227"/>
      <c r="LJ96" s="227"/>
      <c r="LK96" s="227"/>
      <c r="LL96" s="227"/>
      <c r="LM96" s="210"/>
      <c r="LN96" s="227"/>
      <c r="LO96" s="227"/>
      <c r="LP96" s="227"/>
      <c r="LQ96" s="227"/>
      <c r="LR96" s="227"/>
      <c r="LS96" s="210"/>
      <c r="LT96" s="210"/>
      <c r="LU96" s="227"/>
      <c r="LV96" s="143"/>
      <c r="LW96" s="143"/>
      <c r="LX96" s="143"/>
      <c r="LY96" s="143"/>
      <c r="LZ96" s="203"/>
      <c r="MA96" s="203"/>
      <c r="MB96" s="143"/>
      <c r="MC96" s="143"/>
      <c r="MD96" s="143"/>
      <c r="ME96" s="143"/>
      <c r="MF96" s="143"/>
      <c r="MG96" s="203"/>
      <c r="MH96" s="203"/>
      <c r="MI96" s="143"/>
      <c r="MJ96" s="143"/>
      <c r="MK96" s="143"/>
      <c r="ML96" s="143"/>
      <c r="MM96" s="143"/>
      <c r="MN96" s="203"/>
      <c r="MO96" s="203"/>
      <c r="MP96" s="143"/>
      <c r="MQ96" s="143"/>
      <c r="MR96" s="143"/>
      <c r="MS96" s="143"/>
      <c r="MT96" s="143"/>
      <c r="MU96" s="203"/>
      <c r="MV96" s="203"/>
      <c r="MW96" s="143"/>
      <c r="MX96" s="143"/>
      <c r="MY96" s="143"/>
      <c r="MZ96" s="143"/>
      <c r="NA96" s="143"/>
      <c r="NB96" s="143"/>
      <c r="NC96" s="143"/>
      <c r="ND96" s="143"/>
    </row>
    <row r="97" spans="1:368" s="140" customFormat="1" ht="15" customHeight="1">
      <c r="A97" s="472"/>
      <c r="B97" s="461"/>
      <c r="C97" s="164" t="s">
        <v>13</v>
      </c>
      <c r="D97" s="268"/>
      <c r="E97" s="143"/>
      <c r="F97" s="143"/>
      <c r="G97" s="143"/>
      <c r="H97" s="269"/>
      <c r="I97" s="194"/>
      <c r="J97" s="194"/>
      <c r="K97" s="268"/>
      <c r="L97" s="143"/>
      <c r="M97" s="143"/>
      <c r="N97" s="143"/>
      <c r="O97" s="269"/>
      <c r="P97" s="194"/>
      <c r="Q97" s="194"/>
      <c r="R97" s="268"/>
      <c r="S97" s="143"/>
      <c r="T97" s="143"/>
      <c r="U97" s="143"/>
      <c r="V97" s="269"/>
      <c r="W97" s="194"/>
      <c r="X97" s="194"/>
      <c r="Y97" s="268"/>
      <c r="Z97" s="143"/>
      <c r="AA97" s="143"/>
      <c r="AB97" s="143"/>
      <c r="AC97" s="269"/>
      <c r="AD97" s="194"/>
      <c r="AE97" s="194"/>
      <c r="AF97" s="268"/>
      <c r="AG97" s="143"/>
      <c r="AH97" s="143"/>
      <c r="AI97" s="143"/>
      <c r="AJ97" s="269"/>
      <c r="AK97" s="194"/>
      <c r="AL97" s="194"/>
      <c r="AM97" s="268"/>
      <c r="AN97" s="143"/>
      <c r="AO97" s="143"/>
      <c r="AP97" s="143"/>
      <c r="AQ97" s="269"/>
      <c r="AR97" s="194"/>
      <c r="AS97" s="194"/>
      <c r="AT97" s="268"/>
      <c r="AU97" s="143"/>
      <c r="AV97" s="143"/>
      <c r="AW97" s="143"/>
      <c r="AX97" s="269"/>
      <c r="AY97" s="194"/>
      <c r="AZ97" s="194"/>
      <c r="BA97" s="268"/>
      <c r="BB97" s="143"/>
      <c r="BC97" s="143"/>
      <c r="BD97" s="143"/>
      <c r="BE97" s="269"/>
      <c r="BF97" s="194"/>
      <c r="BG97" s="194"/>
      <c r="BH97" s="268"/>
      <c r="BI97" s="143"/>
      <c r="BJ97" s="143"/>
      <c r="BK97" s="143"/>
      <c r="BL97" s="269"/>
      <c r="BM97" s="194"/>
      <c r="BN97" s="194"/>
      <c r="BO97" s="268"/>
      <c r="BP97" s="143"/>
      <c r="BQ97" s="143"/>
      <c r="BR97" s="143"/>
      <c r="BS97" s="269"/>
      <c r="BT97" s="194"/>
      <c r="BU97" s="194"/>
      <c r="BV97" s="268"/>
      <c r="BW97" s="143"/>
      <c r="BX97" s="143"/>
      <c r="BY97" s="143"/>
      <c r="BZ97" s="269"/>
      <c r="CA97" s="194"/>
      <c r="CB97" s="194"/>
      <c r="CC97" s="268"/>
      <c r="CD97" s="143"/>
      <c r="CE97" s="143"/>
      <c r="CF97" s="143"/>
      <c r="CG97" s="269"/>
      <c r="CH97" s="194"/>
      <c r="CI97" s="194"/>
      <c r="CJ97" s="268"/>
      <c r="CK97" s="143"/>
      <c r="CL97" s="143"/>
      <c r="CM97" s="143"/>
      <c r="CN97" s="269"/>
      <c r="CO97" s="194"/>
      <c r="CP97" s="194"/>
      <c r="CQ97" s="268"/>
      <c r="CR97" s="143"/>
      <c r="CS97" s="143"/>
      <c r="CT97" s="143"/>
      <c r="CU97" s="269"/>
      <c r="CV97" s="194"/>
      <c r="CW97" s="194"/>
      <c r="CX97" s="268"/>
      <c r="CY97" s="143"/>
      <c r="CZ97" s="143"/>
      <c r="DA97" s="143"/>
      <c r="DB97" s="269"/>
      <c r="DC97" s="194"/>
      <c r="DD97" s="194"/>
      <c r="DE97" s="268"/>
      <c r="DF97" s="143"/>
      <c r="DG97" s="143"/>
      <c r="DH97" s="143"/>
      <c r="DI97" s="269"/>
      <c r="DJ97" s="194"/>
      <c r="DK97" s="194"/>
      <c r="DL97" s="268"/>
      <c r="DM97" s="143"/>
      <c r="DN97" s="143"/>
      <c r="DO97" s="143"/>
      <c r="DP97" s="269"/>
      <c r="DQ97" s="194"/>
      <c r="DR97" s="194"/>
      <c r="DS97" s="268"/>
      <c r="DT97" s="143"/>
      <c r="DU97" s="143"/>
      <c r="DV97" s="143"/>
      <c r="DW97" s="269"/>
      <c r="DX97" s="194"/>
      <c r="DY97" s="194"/>
      <c r="DZ97" s="268"/>
      <c r="EA97" s="143"/>
      <c r="EB97" s="143"/>
      <c r="EC97" s="143"/>
      <c r="ED97" s="269"/>
      <c r="EE97" s="194"/>
      <c r="EF97" s="194"/>
      <c r="EG97" s="268"/>
      <c r="EH97" s="143"/>
      <c r="EI97" s="143"/>
      <c r="EJ97" s="143"/>
      <c r="EK97" s="269"/>
      <c r="EL97" s="194"/>
      <c r="EM97" s="194"/>
      <c r="EN97" s="268"/>
      <c r="EO97" s="143"/>
      <c r="EP97" s="143"/>
      <c r="EQ97" s="143"/>
      <c r="ER97" s="269"/>
      <c r="ES97" s="194"/>
      <c r="ET97" s="194"/>
      <c r="EU97" s="268"/>
      <c r="EV97" s="143"/>
      <c r="EW97" s="143"/>
      <c r="EX97" s="143"/>
      <c r="EY97" s="269"/>
      <c r="EZ97" s="194"/>
      <c r="FA97" s="194"/>
      <c r="FB97" s="268"/>
      <c r="FC97" s="143"/>
      <c r="FD97" s="143"/>
      <c r="FE97" s="143"/>
      <c r="FF97" s="269"/>
      <c r="FG97" s="194"/>
      <c r="FH97" s="194"/>
      <c r="FI97" s="268"/>
      <c r="FJ97" s="143"/>
      <c r="FK97" s="143"/>
      <c r="FL97" s="143"/>
      <c r="FM97" s="269"/>
      <c r="FN97" s="194"/>
      <c r="FO97" s="194"/>
      <c r="FP97" s="268"/>
      <c r="FQ97" s="143"/>
      <c r="FR97" s="143"/>
      <c r="FS97" s="143"/>
      <c r="FT97" s="269"/>
      <c r="FU97" s="194"/>
      <c r="FV97" s="194"/>
      <c r="FW97" s="268"/>
      <c r="FX97" s="143"/>
      <c r="FY97" s="143"/>
      <c r="FZ97" s="143"/>
      <c r="GA97" s="269"/>
      <c r="GB97" s="194"/>
      <c r="GC97" s="194"/>
      <c r="GD97" s="143"/>
      <c r="GE97" s="143"/>
      <c r="GF97" s="143"/>
      <c r="GG97" s="143"/>
      <c r="GH97" s="143"/>
      <c r="GI97" s="194"/>
      <c r="GJ97" s="194"/>
      <c r="GK97" s="143"/>
      <c r="GL97" s="143"/>
      <c r="GM97" s="143"/>
      <c r="GN97" s="143"/>
      <c r="GO97" s="143"/>
      <c r="GP97" s="210"/>
      <c r="GQ97" s="210"/>
      <c r="GR97" s="143"/>
      <c r="GS97" s="143"/>
      <c r="GT97" s="143"/>
      <c r="GU97" s="143"/>
      <c r="GV97" s="143"/>
      <c r="GW97" s="210"/>
      <c r="GX97" s="210"/>
      <c r="GY97" s="143"/>
      <c r="GZ97" s="143"/>
      <c r="HA97" s="143"/>
      <c r="HB97" s="143"/>
      <c r="HC97" s="143"/>
      <c r="HD97" s="210"/>
      <c r="HE97" s="210"/>
      <c r="HF97" s="143"/>
      <c r="HG97" s="143"/>
      <c r="HH97" s="143"/>
      <c r="HI97" s="143"/>
      <c r="HJ97" s="143"/>
      <c r="HK97" s="210"/>
      <c r="HL97" s="210"/>
      <c r="HM97" s="143"/>
      <c r="HN97" s="143"/>
      <c r="HO97" s="143"/>
      <c r="HP97" s="143"/>
      <c r="HQ97" s="143"/>
      <c r="HR97" s="143"/>
      <c r="HS97" s="143"/>
      <c r="HT97" s="143"/>
      <c r="HU97" s="143"/>
      <c r="HV97" s="143"/>
      <c r="HW97" s="143"/>
      <c r="HX97" s="143"/>
      <c r="HY97" s="203"/>
      <c r="HZ97" s="203"/>
      <c r="IA97" s="143"/>
      <c r="IB97" s="143"/>
      <c r="IC97" s="143"/>
      <c r="ID97" s="143"/>
      <c r="IE97" s="143"/>
      <c r="IF97" s="203"/>
      <c r="IG97" s="203"/>
      <c r="IH97" s="143"/>
      <c r="II97" s="143"/>
      <c r="IJ97" s="143"/>
      <c r="IK97" s="143"/>
      <c r="IL97" s="143"/>
      <c r="IM97" s="203"/>
      <c r="IN97" s="203"/>
      <c r="IO97" s="143"/>
      <c r="IP97" s="143"/>
      <c r="IQ97" s="227"/>
      <c r="IR97" s="227"/>
      <c r="IS97" s="227"/>
      <c r="IT97" s="203"/>
      <c r="IU97" s="203"/>
      <c r="IV97" s="143"/>
      <c r="IW97" s="143"/>
      <c r="IX97" s="143"/>
      <c r="IY97" s="143"/>
      <c r="IZ97" s="143"/>
      <c r="JA97" s="203"/>
      <c r="JB97" s="203"/>
      <c r="JC97" s="227"/>
      <c r="JD97" s="227"/>
      <c r="JE97" s="143"/>
      <c r="JF97" s="143"/>
      <c r="JG97" s="143"/>
      <c r="JH97" s="203"/>
      <c r="JI97" s="203"/>
      <c r="JJ97" s="143"/>
      <c r="JK97" s="143"/>
      <c r="JL97" s="143"/>
      <c r="JM97" s="143"/>
      <c r="JN97" s="143"/>
      <c r="JO97" s="203"/>
      <c r="JP97" s="203"/>
      <c r="JQ97" s="143"/>
      <c r="JR97" s="143"/>
      <c r="JS97" s="143"/>
      <c r="JT97" s="143"/>
      <c r="JU97" s="143"/>
      <c r="JV97" s="203"/>
      <c r="JW97" s="203"/>
      <c r="JX97" s="143"/>
      <c r="JY97" s="143"/>
      <c r="JZ97" s="143"/>
      <c r="KA97" s="143"/>
      <c r="KB97" s="143"/>
      <c r="KC97" s="203"/>
      <c r="KD97" s="203"/>
      <c r="KE97" s="143"/>
      <c r="KF97" s="143"/>
      <c r="KG97" s="143"/>
      <c r="KH97" s="143"/>
      <c r="KI97" s="143"/>
      <c r="KJ97" s="194"/>
      <c r="KK97" s="194"/>
      <c r="KL97" s="143"/>
      <c r="KM97" s="143"/>
      <c r="KN97" s="143"/>
      <c r="KO97" s="143"/>
      <c r="KP97" s="227"/>
      <c r="KQ97" s="194"/>
      <c r="KR97" s="194"/>
      <c r="KS97" s="143"/>
      <c r="KT97" s="143"/>
      <c r="KU97" s="143"/>
      <c r="KV97" s="143"/>
      <c r="KW97" s="143"/>
      <c r="KX97" s="210"/>
      <c r="KY97" s="210"/>
      <c r="KZ97" s="194"/>
      <c r="LA97" s="194"/>
      <c r="LB97" s="194"/>
      <c r="LC97" s="194"/>
      <c r="LD97" s="194"/>
      <c r="LE97" s="210"/>
      <c r="LF97" s="210"/>
      <c r="LG97" s="227"/>
      <c r="LH97" s="227"/>
      <c r="LI97" s="227"/>
      <c r="LJ97" s="227"/>
      <c r="LK97" s="227"/>
      <c r="LL97" s="227"/>
      <c r="LM97" s="210"/>
      <c r="LN97" s="227"/>
      <c r="LO97" s="227"/>
      <c r="LP97" s="227"/>
      <c r="LQ97" s="227"/>
      <c r="LR97" s="227"/>
      <c r="LS97" s="210"/>
      <c r="LT97" s="210"/>
      <c r="LU97" s="227"/>
      <c r="LV97" s="143"/>
      <c r="LW97" s="143"/>
      <c r="LX97" s="143"/>
      <c r="LY97" s="143"/>
      <c r="LZ97" s="203"/>
      <c r="MA97" s="203"/>
      <c r="MB97" s="143"/>
      <c r="MC97" s="143"/>
      <c r="MD97" s="143"/>
      <c r="ME97" s="143"/>
      <c r="MF97" s="143"/>
      <c r="MG97" s="203"/>
      <c r="MH97" s="203"/>
      <c r="MI97" s="143"/>
      <c r="MJ97" s="143"/>
      <c r="MK97" s="143"/>
      <c r="ML97" s="143"/>
      <c r="MM97" s="143"/>
      <c r="MN97" s="203"/>
      <c r="MO97" s="203"/>
      <c r="MP97" s="143"/>
      <c r="MQ97" s="143"/>
      <c r="MR97" s="143"/>
      <c r="MS97" s="143"/>
      <c r="MT97" s="143"/>
      <c r="MU97" s="203"/>
      <c r="MV97" s="203"/>
      <c r="MW97" s="143"/>
      <c r="MX97" s="143"/>
      <c r="MY97" s="143"/>
      <c r="MZ97" s="143"/>
      <c r="NA97" s="143"/>
      <c r="NB97" s="143"/>
      <c r="NC97" s="143"/>
      <c r="ND97" s="143"/>
    </row>
    <row r="98" spans="1:368" s="140" customFormat="1" ht="15" customHeight="1" thickBot="1">
      <c r="A98" s="472"/>
      <c r="B98" s="461"/>
      <c r="C98" s="162" t="s">
        <v>98</v>
      </c>
      <c r="D98" s="260"/>
      <c r="E98" s="261"/>
      <c r="F98" s="261"/>
      <c r="G98" s="261"/>
      <c r="H98" s="262"/>
      <c r="I98" s="192"/>
      <c r="J98" s="192"/>
      <c r="K98" s="260"/>
      <c r="L98" s="261"/>
      <c r="M98" s="261"/>
      <c r="N98" s="261"/>
      <c r="O98" s="262"/>
      <c r="P98" s="192"/>
      <c r="Q98" s="192"/>
      <c r="R98" s="260"/>
      <c r="S98" s="261"/>
      <c r="T98" s="261"/>
      <c r="U98" s="261"/>
      <c r="V98" s="262"/>
      <c r="W98" s="192"/>
      <c r="X98" s="192"/>
      <c r="Y98" s="260"/>
      <c r="Z98" s="261"/>
      <c r="AA98" s="261"/>
      <c r="AB98" s="261"/>
      <c r="AC98" s="262"/>
      <c r="AD98" s="192"/>
      <c r="AE98" s="192"/>
      <c r="AF98" s="260"/>
      <c r="AG98" s="261"/>
      <c r="AH98" s="261"/>
      <c r="AI98" s="261"/>
      <c r="AJ98" s="262"/>
      <c r="AK98" s="192"/>
      <c r="AL98" s="192"/>
      <c r="AM98" s="260"/>
      <c r="AN98" s="261"/>
      <c r="AO98" s="261"/>
      <c r="AP98" s="261"/>
      <c r="AQ98" s="262"/>
      <c r="AR98" s="192"/>
      <c r="AS98" s="192"/>
      <c r="AT98" s="260"/>
      <c r="AU98" s="261"/>
      <c r="AV98" s="261"/>
      <c r="AW98" s="261"/>
      <c r="AX98" s="262"/>
      <c r="AY98" s="192"/>
      <c r="AZ98" s="192"/>
      <c r="BA98" s="260"/>
      <c r="BB98" s="261"/>
      <c r="BC98" s="261"/>
      <c r="BD98" s="261"/>
      <c r="BE98" s="262"/>
      <c r="BF98" s="192"/>
      <c r="BG98" s="192"/>
      <c r="BH98" s="260"/>
      <c r="BI98" s="261"/>
      <c r="BJ98" s="261"/>
      <c r="BK98" s="261"/>
      <c r="BL98" s="262"/>
      <c r="BM98" s="192"/>
      <c r="BN98" s="192"/>
      <c r="BO98" s="260"/>
      <c r="BP98" s="261"/>
      <c r="BQ98" s="261"/>
      <c r="BR98" s="261"/>
      <c r="BS98" s="262"/>
      <c r="BT98" s="192"/>
      <c r="BU98" s="192"/>
      <c r="BV98" s="260"/>
      <c r="BW98" s="261"/>
      <c r="BX98" s="261"/>
      <c r="BY98" s="261"/>
      <c r="BZ98" s="262"/>
      <c r="CA98" s="192"/>
      <c r="CB98" s="192"/>
      <c r="CC98" s="260"/>
      <c r="CD98" s="261"/>
      <c r="CE98" s="261"/>
      <c r="CF98" s="261"/>
      <c r="CG98" s="262"/>
      <c r="CH98" s="192"/>
      <c r="CI98" s="192"/>
      <c r="CJ98" s="260"/>
      <c r="CK98" s="261"/>
      <c r="CL98" s="261"/>
      <c r="CM98" s="261"/>
      <c r="CN98" s="262"/>
      <c r="CO98" s="192"/>
      <c r="CP98" s="192"/>
      <c r="CQ98" s="260"/>
      <c r="CR98" s="261"/>
      <c r="CS98" s="261"/>
      <c r="CT98" s="261"/>
      <c r="CU98" s="262"/>
      <c r="CV98" s="192"/>
      <c r="CW98" s="192"/>
      <c r="CX98" s="260"/>
      <c r="CY98" s="261"/>
      <c r="CZ98" s="261"/>
      <c r="DA98" s="261"/>
      <c r="DB98" s="262"/>
      <c r="DC98" s="192"/>
      <c r="DD98" s="192"/>
      <c r="DE98" s="260"/>
      <c r="DF98" s="261"/>
      <c r="DG98" s="261"/>
      <c r="DH98" s="261"/>
      <c r="DI98" s="262"/>
      <c r="DJ98" s="192"/>
      <c r="DK98" s="192"/>
      <c r="DL98" s="260"/>
      <c r="DM98" s="261"/>
      <c r="DN98" s="261"/>
      <c r="DO98" s="261"/>
      <c r="DP98" s="262"/>
      <c r="DQ98" s="192"/>
      <c r="DR98" s="192"/>
      <c r="DS98" s="260"/>
      <c r="DT98" s="261"/>
      <c r="DU98" s="261"/>
      <c r="DV98" s="261"/>
      <c r="DW98" s="262"/>
      <c r="DX98" s="192"/>
      <c r="DY98" s="192"/>
      <c r="DZ98" s="260"/>
      <c r="EA98" s="261"/>
      <c r="EB98" s="261"/>
      <c r="EC98" s="261"/>
      <c r="ED98" s="262"/>
      <c r="EE98" s="192"/>
      <c r="EF98" s="192"/>
      <c r="EG98" s="260"/>
      <c r="EH98" s="261"/>
      <c r="EI98" s="261"/>
      <c r="EJ98" s="261"/>
      <c r="EK98" s="262"/>
      <c r="EL98" s="192"/>
      <c r="EM98" s="192"/>
      <c r="EN98" s="260"/>
      <c r="EO98" s="261"/>
      <c r="EP98" s="261"/>
      <c r="EQ98" s="261"/>
      <c r="ER98" s="262"/>
      <c r="ES98" s="192"/>
      <c r="ET98" s="192"/>
      <c r="EU98" s="260"/>
      <c r="EV98" s="261"/>
      <c r="EW98" s="261"/>
      <c r="EX98" s="261"/>
      <c r="EY98" s="262"/>
      <c r="EZ98" s="192"/>
      <c r="FA98" s="192"/>
      <c r="FB98" s="260"/>
      <c r="FC98" s="261"/>
      <c r="FD98" s="261"/>
      <c r="FE98" s="261"/>
      <c r="FF98" s="262"/>
      <c r="FG98" s="192"/>
      <c r="FH98" s="192"/>
      <c r="FI98" s="260"/>
      <c r="FJ98" s="261"/>
      <c r="FK98" s="261"/>
      <c r="FL98" s="261"/>
      <c r="FM98" s="262"/>
      <c r="FN98" s="192"/>
      <c r="FO98" s="192"/>
      <c r="FP98" s="260"/>
      <c r="FQ98" s="261"/>
      <c r="FR98" s="261"/>
      <c r="FS98" s="261"/>
      <c r="FT98" s="262"/>
      <c r="FU98" s="192"/>
      <c r="FV98" s="192"/>
      <c r="FW98" s="260"/>
      <c r="FX98" s="261"/>
      <c r="FY98" s="261"/>
      <c r="FZ98" s="261"/>
      <c r="GA98" s="262"/>
      <c r="GB98" s="192"/>
      <c r="GC98" s="192"/>
      <c r="GD98" s="139"/>
      <c r="GE98" s="139"/>
      <c r="GF98" s="139"/>
      <c r="GG98" s="139"/>
      <c r="GH98" s="139"/>
      <c r="GI98" s="192"/>
      <c r="GJ98" s="192"/>
      <c r="GK98" s="139"/>
      <c r="GL98" s="139"/>
      <c r="GM98" s="139"/>
      <c r="GN98" s="139"/>
      <c r="GO98" s="139"/>
      <c r="GP98" s="208"/>
      <c r="GQ98" s="208"/>
      <c r="GR98" s="139"/>
      <c r="GS98" s="139"/>
      <c r="GT98" s="139"/>
      <c r="GU98" s="139"/>
      <c r="GV98" s="139"/>
      <c r="GW98" s="208"/>
      <c r="GX98" s="208"/>
      <c r="GY98" s="139"/>
      <c r="GZ98" s="139"/>
      <c r="HA98" s="139"/>
      <c r="HB98" s="139"/>
      <c r="HC98" s="139"/>
      <c r="HD98" s="208"/>
      <c r="HE98" s="208"/>
      <c r="HF98" s="139"/>
      <c r="HG98" s="139"/>
      <c r="HH98" s="139"/>
      <c r="HI98" s="139"/>
      <c r="HJ98" s="139"/>
      <c r="HK98" s="208"/>
      <c r="HL98" s="208"/>
      <c r="HM98" s="139"/>
      <c r="HN98" s="139"/>
      <c r="HO98" s="139"/>
      <c r="HP98" s="139"/>
      <c r="HQ98" s="139"/>
      <c r="HR98" s="139"/>
      <c r="HS98" s="139"/>
      <c r="HT98" s="139"/>
      <c r="HU98" s="139"/>
      <c r="HV98" s="139"/>
      <c r="HW98" s="139"/>
      <c r="HX98" s="139"/>
      <c r="HY98" s="202"/>
      <c r="HZ98" s="202"/>
      <c r="IA98" s="139"/>
      <c r="IB98" s="139"/>
      <c r="IC98" s="139"/>
      <c r="ID98" s="139"/>
      <c r="IE98" s="139"/>
      <c r="IF98" s="202"/>
      <c r="IG98" s="202"/>
      <c r="IH98" s="139"/>
      <c r="II98" s="139"/>
      <c r="IJ98" s="139"/>
      <c r="IK98" s="139"/>
      <c r="IL98" s="139"/>
      <c r="IM98" s="202"/>
      <c r="IN98" s="202"/>
      <c r="IO98" s="139"/>
      <c r="IP98" s="139"/>
      <c r="IQ98" s="228"/>
      <c r="IR98" s="228"/>
      <c r="IS98" s="228"/>
      <c r="IT98" s="202"/>
      <c r="IU98" s="202"/>
      <c r="IV98" s="139"/>
      <c r="IW98" s="139"/>
      <c r="IX98" s="143"/>
      <c r="IY98" s="139"/>
      <c r="IZ98" s="139"/>
      <c r="JA98" s="202"/>
      <c r="JB98" s="202"/>
      <c r="JC98" s="228"/>
      <c r="JD98" s="228"/>
      <c r="JE98" s="139"/>
      <c r="JF98" s="139"/>
      <c r="JG98" s="139"/>
      <c r="JH98" s="202"/>
      <c r="JI98" s="202"/>
      <c r="JJ98" s="139"/>
      <c r="JK98" s="139"/>
      <c r="JL98" s="139"/>
      <c r="JM98" s="139"/>
      <c r="JN98" s="139"/>
      <c r="JO98" s="202"/>
      <c r="JP98" s="202"/>
      <c r="JQ98" s="139"/>
      <c r="JR98" s="139"/>
      <c r="JS98" s="139"/>
      <c r="JT98" s="139"/>
      <c r="JU98" s="139"/>
      <c r="JV98" s="202"/>
      <c r="JW98" s="202"/>
      <c r="JX98" s="139"/>
      <c r="JY98" s="139"/>
      <c r="JZ98" s="139"/>
      <c r="KA98" s="139"/>
      <c r="KB98" s="139"/>
      <c r="KC98" s="202"/>
      <c r="KD98" s="202"/>
      <c r="KE98" s="139"/>
      <c r="KF98" s="139"/>
      <c r="KG98" s="139"/>
      <c r="KH98" s="139"/>
      <c r="KI98" s="139"/>
      <c r="KJ98" s="192"/>
      <c r="KK98" s="192"/>
      <c r="KL98" s="139"/>
      <c r="KM98" s="139"/>
      <c r="KN98" s="139"/>
      <c r="KO98" s="139"/>
      <c r="KP98" s="228"/>
      <c r="KQ98" s="192"/>
      <c r="KR98" s="192"/>
      <c r="KS98" s="139"/>
      <c r="KT98" s="139"/>
      <c r="KU98" s="139"/>
      <c r="KV98" s="139"/>
      <c r="KW98" s="139"/>
      <c r="KX98" s="208"/>
      <c r="KY98" s="208"/>
      <c r="KZ98" s="192"/>
      <c r="LA98" s="192"/>
      <c r="LB98" s="192"/>
      <c r="LC98" s="192"/>
      <c r="LD98" s="192"/>
      <c r="LE98" s="208"/>
      <c r="LF98" s="208"/>
      <c r="LG98" s="228"/>
      <c r="LH98" s="228"/>
      <c r="LI98" s="228"/>
      <c r="LJ98" s="228"/>
      <c r="LK98" s="228"/>
      <c r="LL98" s="228"/>
      <c r="LM98" s="208"/>
      <c r="LN98" s="228"/>
      <c r="LO98" s="228"/>
      <c r="LP98" s="228"/>
      <c r="LQ98" s="228"/>
      <c r="LR98" s="228"/>
      <c r="LS98" s="208"/>
      <c r="LT98" s="208"/>
      <c r="LU98" s="228"/>
      <c r="LV98" s="139"/>
      <c r="LW98" s="139"/>
      <c r="LX98" s="139"/>
      <c r="LY98" s="139"/>
      <c r="LZ98" s="202"/>
      <c r="MA98" s="202"/>
      <c r="MB98" s="139"/>
      <c r="MC98" s="139"/>
      <c r="MD98" s="139"/>
      <c r="ME98" s="139"/>
      <c r="MF98" s="139"/>
      <c r="MG98" s="202"/>
      <c r="MH98" s="202"/>
      <c r="MI98" s="139"/>
      <c r="MJ98" s="139"/>
      <c r="MK98" s="139"/>
      <c r="ML98" s="139"/>
      <c r="MM98" s="139"/>
      <c r="MN98" s="202"/>
      <c r="MO98" s="202"/>
      <c r="MP98" s="139"/>
      <c r="MQ98" s="139"/>
      <c r="MR98" s="139"/>
      <c r="MS98" s="139"/>
      <c r="MT98" s="139"/>
      <c r="MU98" s="202"/>
      <c r="MV98" s="202"/>
      <c r="MW98" s="139"/>
      <c r="MX98" s="139"/>
      <c r="MY98" s="139"/>
      <c r="MZ98" s="139"/>
      <c r="NA98" s="139"/>
      <c r="NB98" s="139"/>
      <c r="NC98" s="139"/>
      <c r="ND98" s="139"/>
    </row>
    <row r="99" spans="1:368" s="151" customFormat="1" ht="15" hidden="1" customHeight="1" thickBot="1">
      <c r="A99" s="472"/>
      <c r="B99" s="474"/>
      <c r="C99" s="165" t="s">
        <v>93</v>
      </c>
      <c r="D99" s="272"/>
      <c r="E99" s="152"/>
      <c r="F99" s="152"/>
      <c r="G99" s="152"/>
      <c r="H99" s="273"/>
      <c r="I99" s="194"/>
      <c r="J99" s="194"/>
      <c r="K99" s="272"/>
      <c r="L99" s="152"/>
      <c r="M99" s="152"/>
      <c r="N99" s="152"/>
      <c r="O99" s="273"/>
      <c r="P99" s="194"/>
      <c r="Q99" s="194"/>
      <c r="R99" s="272"/>
      <c r="S99" s="152"/>
      <c r="T99" s="152"/>
      <c r="U99" s="152"/>
      <c r="V99" s="273"/>
      <c r="W99" s="194"/>
      <c r="X99" s="194"/>
      <c r="Y99" s="272"/>
      <c r="Z99" s="152"/>
      <c r="AA99" s="152"/>
      <c r="AB99" s="152"/>
      <c r="AC99" s="273"/>
      <c r="AD99" s="194"/>
      <c r="AE99" s="194"/>
      <c r="AF99" s="272"/>
      <c r="AG99" s="152"/>
      <c r="AH99" s="152"/>
      <c r="AI99" s="152"/>
      <c r="AJ99" s="273"/>
      <c r="AK99" s="194"/>
      <c r="AL99" s="194"/>
      <c r="AM99" s="272"/>
      <c r="AN99" s="152"/>
      <c r="AO99" s="152"/>
      <c r="AP99" s="152"/>
      <c r="AQ99" s="273"/>
      <c r="AR99" s="194"/>
      <c r="AS99" s="194"/>
      <c r="AT99" s="272"/>
      <c r="AU99" s="152"/>
      <c r="AV99" s="152"/>
      <c r="AW99" s="152"/>
      <c r="AX99" s="273"/>
      <c r="AY99" s="194"/>
      <c r="AZ99" s="194"/>
      <c r="BA99" s="272"/>
      <c r="BB99" s="152"/>
      <c r="BC99" s="152"/>
      <c r="BD99" s="152"/>
      <c r="BE99" s="273"/>
      <c r="BF99" s="194"/>
      <c r="BG99" s="194"/>
      <c r="BH99" s="272"/>
      <c r="BI99" s="152"/>
      <c r="BJ99" s="152"/>
      <c r="BK99" s="152"/>
      <c r="BL99" s="273"/>
      <c r="BM99" s="194"/>
      <c r="BN99" s="194"/>
      <c r="BO99" s="272"/>
      <c r="BP99" s="152"/>
      <c r="BQ99" s="152"/>
      <c r="BR99" s="152"/>
      <c r="BS99" s="273"/>
      <c r="BT99" s="194"/>
      <c r="BU99" s="194"/>
      <c r="BV99" s="272"/>
      <c r="BW99" s="152"/>
      <c r="BX99" s="152"/>
      <c r="BY99" s="152"/>
      <c r="BZ99" s="273"/>
      <c r="CA99" s="194"/>
      <c r="CB99" s="194"/>
      <c r="CC99" s="272"/>
      <c r="CD99" s="152"/>
      <c r="CE99" s="152"/>
      <c r="CF99" s="152"/>
      <c r="CG99" s="273"/>
      <c r="CH99" s="194"/>
      <c r="CI99" s="194"/>
      <c r="CJ99" s="272"/>
      <c r="CK99" s="152"/>
      <c r="CL99" s="152"/>
      <c r="CM99" s="152"/>
      <c r="CN99" s="273"/>
      <c r="CO99" s="194"/>
      <c r="CP99" s="194"/>
      <c r="CQ99" s="272"/>
      <c r="CR99" s="152"/>
      <c r="CS99" s="152"/>
      <c r="CT99" s="152"/>
      <c r="CU99" s="273"/>
      <c r="CV99" s="194"/>
      <c r="CW99" s="194"/>
      <c r="CX99" s="272"/>
      <c r="CY99" s="152"/>
      <c r="CZ99" s="152"/>
      <c r="DA99" s="152"/>
      <c r="DB99" s="273"/>
      <c r="DC99" s="194"/>
      <c r="DD99" s="194"/>
      <c r="DE99" s="272"/>
      <c r="DF99" s="152"/>
      <c r="DG99" s="152"/>
      <c r="DH99" s="152"/>
      <c r="DI99" s="273"/>
      <c r="DJ99" s="194"/>
      <c r="DK99" s="194"/>
      <c r="DL99" s="272"/>
      <c r="DM99" s="152"/>
      <c r="DN99" s="152"/>
      <c r="DO99" s="152"/>
      <c r="DP99" s="273"/>
      <c r="DQ99" s="194"/>
      <c r="DR99" s="194"/>
      <c r="DS99" s="272"/>
      <c r="DT99" s="152"/>
      <c r="DU99" s="152"/>
      <c r="DV99" s="152"/>
      <c r="DW99" s="273"/>
      <c r="DX99" s="194"/>
      <c r="DY99" s="194"/>
      <c r="DZ99" s="272"/>
      <c r="EA99" s="152"/>
      <c r="EB99" s="152"/>
      <c r="EC99" s="152"/>
      <c r="ED99" s="273"/>
      <c r="EE99" s="194"/>
      <c r="EF99" s="194"/>
      <c r="EG99" s="272"/>
      <c r="EH99" s="152"/>
      <c r="EI99" s="152"/>
      <c r="EJ99" s="152"/>
      <c r="EK99" s="273"/>
      <c r="EL99" s="194"/>
      <c r="EM99" s="194"/>
      <c r="EN99" s="272"/>
      <c r="EO99" s="152"/>
      <c r="EP99" s="152"/>
      <c r="EQ99" s="152"/>
      <c r="ER99" s="273"/>
      <c r="ES99" s="194"/>
      <c r="ET99" s="194"/>
      <c r="EU99" s="272"/>
      <c r="EV99" s="152"/>
      <c r="EW99" s="152"/>
      <c r="EX99" s="152"/>
      <c r="EY99" s="273"/>
      <c r="EZ99" s="194"/>
      <c r="FA99" s="194"/>
      <c r="FB99" s="272"/>
      <c r="FC99" s="152"/>
      <c r="FD99" s="152"/>
      <c r="FE99" s="152"/>
      <c r="FF99" s="273"/>
      <c r="FG99" s="194"/>
      <c r="FH99" s="194"/>
      <c r="FI99" s="272"/>
      <c r="FJ99" s="152"/>
      <c r="FK99" s="152"/>
      <c r="FL99" s="152"/>
      <c r="FM99" s="273"/>
      <c r="FN99" s="194"/>
      <c r="FO99" s="194"/>
      <c r="FP99" s="272"/>
      <c r="FQ99" s="152"/>
      <c r="FR99" s="152"/>
      <c r="FS99" s="152"/>
      <c r="FT99" s="273"/>
      <c r="FU99" s="194"/>
      <c r="FV99" s="194"/>
      <c r="FW99" s="272"/>
      <c r="FX99" s="152"/>
      <c r="FY99" s="152"/>
      <c r="FZ99" s="152"/>
      <c r="GA99" s="273"/>
      <c r="GB99" s="194"/>
      <c r="GC99" s="194"/>
      <c r="GD99" s="152"/>
      <c r="GE99" s="152"/>
      <c r="GF99" s="152"/>
      <c r="GG99" s="152"/>
      <c r="GH99" s="152"/>
      <c r="GI99" s="194"/>
      <c r="GJ99" s="194"/>
      <c r="GK99" s="152"/>
      <c r="GL99" s="152"/>
      <c r="GM99" s="152"/>
      <c r="GN99" s="152"/>
      <c r="GO99" s="152"/>
      <c r="GP99" s="210"/>
      <c r="GQ99" s="210"/>
      <c r="GR99" s="152"/>
      <c r="GS99" s="152"/>
      <c r="GT99" s="152"/>
      <c r="GU99" s="152"/>
      <c r="GV99" s="152"/>
      <c r="GW99" s="210"/>
      <c r="GX99" s="210"/>
      <c r="GY99" s="152"/>
      <c r="GZ99" s="152"/>
      <c r="HA99" s="152"/>
      <c r="HB99" s="152"/>
      <c r="HC99" s="152"/>
      <c r="HD99" s="210"/>
      <c r="HE99" s="210"/>
      <c r="HF99" s="152"/>
      <c r="HG99" s="152"/>
      <c r="HH99" s="152"/>
      <c r="HI99" s="152"/>
      <c r="HJ99" s="152"/>
      <c r="HK99" s="210"/>
      <c r="HL99" s="210"/>
      <c r="HM99" s="152"/>
      <c r="HN99" s="152"/>
      <c r="HO99" s="152"/>
      <c r="HP99" s="152"/>
      <c r="HQ99" s="152"/>
      <c r="HR99" s="152"/>
      <c r="HS99" s="152"/>
      <c r="HT99" s="152"/>
      <c r="HU99" s="152"/>
      <c r="HV99" s="152"/>
      <c r="HW99" s="152"/>
      <c r="HX99" s="152"/>
      <c r="HY99" s="203"/>
      <c r="HZ99" s="203"/>
      <c r="IA99" s="152"/>
      <c r="IB99" s="152"/>
      <c r="IC99" s="152"/>
      <c r="ID99" s="152"/>
      <c r="IE99" s="152"/>
      <c r="IF99" s="203"/>
      <c r="IG99" s="203"/>
      <c r="IH99" s="152"/>
      <c r="II99" s="152"/>
      <c r="IJ99" s="152"/>
      <c r="IK99" s="152"/>
      <c r="IL99" s="152"/>
      <c r="IM99" s="203"/>
      <c r="IN99" s="203"/>
      <c r="IO99" s="152"/>
      <c r="IP99" s="152"/>
      <c r="IQ99" s="227"/>
      <c r="IR99" s="227"/>
      <c r="IS99" s="227"/>
      <c r="IT99" s="203"/>
      <c r="IU99" s="203"/>
      <c r="IV99" s="152"/>
      <c r="IW99" s="152"/>
      <c r="IX99" s="152"/>
      <c r="IY99" s="152"/>
      <c r="IZ99" s="152"/>
      <c r="JA99" s="203"/>
      <c r="JB99" s="203"/>
      <c r="JC99" s="232"/>
      <c r="JD99" s="232"/>
      <c r="JE99" s="152"/>
      <c r="JF99" s="152"/>
      <c r="JG99" s="152"/>
      <c r="JH99" s="203"/>
      <c r="JI99" s="203"/>
      <c r="JJ99" s="152"/>
      <c r="JK99" s="152"/>
      <c r="JL99" s="152"/>
      <c r="JM99" s="152"/>
      <c r="JN99" s="152"/>
      <c r="JO99" s="203"/>
      <c r="JP99" s="203"/>
      <c r="JQ99" s="152"/>
      <c r="JR99" s="152"/>
      <c r="JS99" s="152"/>
      <c r="JT99" s="152"/>
      <c r="JU99" s="152"/>
      <c r="JV99" s="203"/>
      <c r="JW99" s="203"/>
      <c r="JX99" s="152"/>
      <c r="JY99" s="152"/>
      <c r="JZ99" s="152"/>
      <c r="KA99" s="152"/>
      <c r="KB99" s="152"/>
      <c r="KC99" s="203"/>
      <c r="KD99" s="203"/>
      <c r="KE99" s="152"/>
      <c r="KF99" s="152"/>
      <c r="KG99" s="152"/>
      <c r="KH99" s="152"/>
      <c r="KI99" s="152"/>
      <c r="KJ99" s="194"/>
      <c r="KK99" s="194"/>
      <c r="KL99" s="152"/>
      <c r="KM99" s="152"/>
      <c r="KN99" s="152"/>
      <c r="KO99" s="152"/>
      <c r="KP99" s="227"/>
      <c r="KQ99" s="194"/>
      <c r="KR99" s="194"/>
      <c r="KS99" s="152"/>
      <c r="KT99" s="152"/>
      <c r="KU99" s="152"/>
      <c r="KV99" s="152"/>
      <c r="KW99" s="152"/>
      <c r="KX99" s="210"/>
      <c r="KY99" s="210"/>
      <c r="KZ99" s="194"/>
      <c r="LA99" s="194"/>
      <c r="LB99" s="194"/>
      <c r="LC99" s="194"/>
      <c r="LD99" s="194"/>
      <c r="LE99" s="210"/>
      <c r="LF99" s="210"/>
      <c r="LG99" s="227"/>
      <c r="LH99" s="227"/>
      <c r="LI99" s="227"/>
      <c r="LJ99" s="227"/>
      <c r="LK99" s="227"/>
      <c r="LL99" s="227"/>
      <c r="LM99" s="210"/>
      <c r="LN99" s="232"/>
      <c r="LO99" s="232"/>
      <c r="LP99" s="232"/>
      <c r="LQ99" s="232"/>
      <c r="LR99" s="232"/>
      <c r="LS99" s="210"/>
      <c r="LT99" s="210"/>
      <c r="LU99" s="232"/>
      <c r="LV99" s="152"/>
      <c r="LW99" s="152"/>
      <c r="LX99" s="152"/>
      <c r="LY99" s="152"/>
      <c r="LZ99" s="203"/>
      <c r="MA99" s="203"/>
      <c r="MB99" s="152"/>
      <c r="MC99" s="152"/>
      <c r="MD99" s="152"/>
      <c r="ME99" s="152"/>
      <c r="MF99" s="152"/>
      <c r="MG99" s="203"/>
      <c r="MH99" s="203"/>
      <c r="MI99" s="152"/>
      <c r="MJ99" s="152"/>
      <c r="MK99" s="152"/>
      <c r="ML99" s="152"/>
      <c r="MM99" s="152"/>
      <c r="MN99" s="203"/>
      <c r="MO99" s="203"/>
      <c r="MP99" s="152"/>
      <c r="MQ99" s="152"/>
      <c r="MR99" s="152"/>
      <c r="MS99" s="152"/>
      <c r="MT99" s="152"/>
      <c r="MU99" s="203"/>
      <c r="MV99" s="203"/>
      <c r="MW99" s="152"/>
      <c r="MX99" s="152"/>
      <c r="MY99" s="152"/>
      <c r="MZ99" s="152"/>
      <c r="NA99" s="152"/>
      <c r="NB99" s="152"/>
      <c r="NC99" s="152"/>
      <c r="ND99" s="152"/>
    </row>
    <row r="100" spans="1:368" s="147" customFormat="1" ht="15" customHeight="1">
      <c r="A100" s="470"/>
      <c r="B100" s="473" t="s">
        <v>9</v>
      </c>
      <c r="C100" s="163" t="s">
        <v>10</v>
      </c>
      <c r="D100" s="268"/>
      <c r="E100" s="143"/>
      <c r="F100" s="143"/>
      <c r="G100" s="143"/>
      <c r="H100" s="269"/>
      <c r="I100" s="194"/>
      <c r="J100" s="194"/>
      <c r="K100" s="268"/>
      <c r="L100" s="143"/>
      <c r="M100" s="143"/>
      <c r="N100" s="143"/>
      <c r="O100" s="269"/>
      <c r="P100" s="194"/>
      <c r="Q100" s="194"/>
      <c r="R100" s="268"/>
      <c r="S100" s="143"/>
      <c r="T100" s="143"/>
      <c r="U100" s="143"/>
      <c r="V100" s="269"/>
      <c r="W100" s="194"/>
      <c r="X100" s="194"/>
      <c r="Y100" s="268"/>
      <c r="Z100" s="143"/>
      <c r="AA100" s="143"/>
      <c r="AB100" s="143"/>
      <c r="AC100" s="269"/>
      <c r="AD100" s="194"/>
      <c r="AE100" s="194"/>
      <c r="AF100" s="268"/>
      <c r="AG100" s="143"/>
      <c r="AH100" s="143"/>
      <c r="AI100" s="143"/>
      <c r="AJ100" s="269"/>
      <c r="AK100" s="194"/>
      <c r="AL100" s="194"/>
      <c r="AM100" s="268"/>
      <c r="AN100" s="143"/>
      <c r="AO100" s="143"/>
      <c r="AP100" s="143"/>
      <c r="AQ100" s="269"/>
      <c r="AR100" s="194"/>
      <c r="AS100" s="194"/>
      <c r="AT100" s="268"/>
      <c r="AU100" s="143"/>
      <c r="AV100" s="143"/>
      <c r="AW100" s="143"/>
      <c r="AX100" s="269"/>
      <c r="AY100" s="194"/>
      <c r="AZ100" s="194"/>
      <c r="BA100" s="268"/>
      <c r="BB100" s="143"/>
      <c r="BC100" s="143"/>
      <c r="BD100" s="143"/>
      <c r="BE100" s="269"/>
      <c r="BF100" s="194"/>
      <c r="BG100" s="194"/>
      <c r="BH100" s="268"/>
      <c r="BI100" s="143"/>
      <c r="BJ100" s="143"/>
      <c r="BK100" s="143"/>
      <c r="BL100" s="269"/>
      <c r="BM100" s="194"/>
      <c r="BN100" s="194"/>
      <c r="BO100" s="268"/>
      <c r="BP100" s="143"/>
      <c r="BQ100" s="143"/>
      <c r="BR100" s="143"/>
      <c r="BS100" s="269"/>
      <c r="BT100" s="194"/>
      <c r="BU100" s="194"/>
      <c r="BV100" s="268"/>
      <c r="BW100" s="143"/>
      <c r="BX100" s="143"/>
      <c r="BY100" s="143"/>
      <c r="BZ100" s="269"/>
      <c r="CA100" s="194"/>
      <c r="CB100" s="194"/>
      <c r="CC100" s="268"/>
      <c r="CD100" s="143"/>
      <c r="CE100" s="143"/>
      <c r="CF100" s="143"/>
      <c r="CG100" s="269"/>
      <c r="CH100" s="194"/>
      <c r="CI100" s="194"/>
      <c r="CJ100" s="268"/>
      <c r="CK100" s="143"/>
      <c r="CL100" s="143"/>
      <c r="CM100" s="143"/>
      <c r="CN100" s="269"/>
      <c r="CO100" s="194"/>
      <c r="CP100" s="194"/>
      <c r="CQ100" s="268"/>
      <c r="CR100" s="143"/>
      <c r="CS100" s="143"/>
      <c r="CT100" s="143"/>
      <c r="CU100" s="269"/>
      <c r="CV100" s="194"/>
      <c r="CW100" s="194"/>
      <c r="CX100" s="268"/>
      <c r="CY100" s="143"/>
      <c r="CZ100" s="143"/>
      <c r="DA100" s="143"/>
      <c r="DB100" s="269"/>
      <c r="DC100" s="194"/>
      <c r="DD100" s="194"/>
      <c r="DE100" s="268"/>
      <c r="DF100" s="143"/>
      <c r="DG100" s="143"/>
      <c r="DH100" s="143"/>
      <c r="DI100" s="269"/>
      <c r="DJ100" s="194"/>
      <c r="DK100" s="194"/>
      <c r="DL100" s="268"/>
      <c r="DM100" s="143"/>
      <c r="DN100" s="143"/>
      <c r="DO100" s="143"/>
      <c r="DP100" s="269"/>
      <c r="DQ100" s="194"/>
      <c r="DR100" s="194"/>
      <c r="DS100" s="268"/>
      <c r="DT100" s="143"/>
      <c r="DU100" s="143"/>
      <c r="DV100" s="143"/>
      <c r="DW100" s="269"/>
      <c r="DX100" s="194"/>
      <c r="DY100" s="194"/>
      <c r="DZ100" s="268"/>
      <c r="EA100" s="143"/>
      <c r="EB100" s="143"/>
      <c r="EC100" s="143"/>
      <c r="ED100" s="269"/>
      <c r="EE100" s="194"/>
      <c r="EF100" s="194"/>
      <c r="EG100" s="268"/>
      <c r="EH100" s="143"/>
      <c r="EI100" s="143"/>
      <c r="EJ100" s="143"/>
      <c r="EK100" s="269"/>
      <c r="EL100" s="194"/>
      <c r="EM100" s="194"/>
      <c r="EN100" s="268"/>
      <c r="EO100" s="143"/>
      <c r="EP100" s="143"/>
      <c r="EQ100" s="143"/>
      <c r="ER100" s="269"/>
      <c r="ES100" s="194"/>
      <c r="ET100" s="194"/>
      <c r="EU100" s="268"/>
      <c r="EV100" s="143"/>
      <c r="EW100" s="143"/>
      <c r="EX100" s="143"/>
      <c r="EY100" s="269"/>
      <c r="EZ100" s="194"/>
      <c r="FA100" s="194"/>
      <c r="FB100" s="268"/>
      <c r="FC100" s="143"/>
      <c r="FD100" s="143"/>
      <c r="FE100" s="143"/>
      <c r="FF100" s="269"/>
      <c r="FG100" s="194"/>
      <c r="FH100" s="194"/>
      <c r="FI100" s="268"/>
      <c r="FJ100" s="143"/>
      <c r="FK100" s="143"/>
      <c r="FL100" s="143"/>
      <c r="FM100" s="269"/>
      <c r="FN100" s="194"/>
      <c r="FO100" s="194"/>
      <c r="FP100" s="268"/>
      <c r="FQ100" s="143"/>
      <c r="FR100" s="143"/>
      <c r="FS100" s="143"/>
      <c r="FT100" s="269"/>
      <c r="FU100" s="194"/>
      <c r="FV100" s="194"/>
      <c r="FW100" s="268"/>
      <c r="FX100" s="143"/>
      <c r="FY100" s="143"/>
      <c r="FZ100" s="143"/>
      <c r="GA100" s="269"/>
      <c r="GB100" s="194"/>
      <c r="GC100" s="194"/>
      <c r="GD100" s="143"/>
      <c r="GE100" s="143"/>
      <c r="GF100" s="143"/>
      <c r="GG100" s="143"/>
      <c r="GH100" s="143"/>
      <c r="GI100" s="194"/>
      <c r="GJ100" s="194"/>
      <c r="GK100" s="143"/>
      <c r="GL100" s="143"/>
      <c r="GM100" s="143"/>
      <c r="GN100" s="143"/>
      <c r="GO100" s="143"/>
      <c r="GP100" s="210"/>
      <c r="GQ100" s="210"/>
      <c r="GR100" s="143"/>
      <c r="GS100" s="143"/>
      <c r="GT100" s="143"/>
      <c r="GU100" s="143"/>
      <c r="GV100" s="143"/>
      <c r="GW100" s="210"/>
      <c r="GX100" s="210"/>
      <c r="GY100" s="143"/>
      <c r="GZ100" s="143"/>
      <c r="HA100" s="143"/>
      <c r="HB100" s="143"/>
      <c r="HC100" s="143"/>
      <c r="HD100" s="210"/>
      <c r="HE100" s="210"/>
      <c r="HF100" s="143"/>
      <c r="HG100" s="143"/>
      <c r="HH100" s="143"/>
      <c r="HI100" s="143"/>
      <c r="HJ100" s="143"/>
      <c r="HK100" s="210"/>
      <c r="HL100" s="210"/>
      <c r="HM100" s="143"/>
      <c r="HN100" s="143"/>
      <c r="HO100" s="143"/>
      <c r="HP100" s="143"/>
      <c r="HQ100" s="143"/>
      <c r="HR100" s="143"/>
      <c r="HS100" s="143"/>
      <c r="HT100" s="143"/>
      <c r="HU100" s="143"/>
      <c r="HV100" s="143"/>
      <c r="HW100" s="143"/>
      <c r="HX100" s="143"/>
      <c r="HY100" s="203"/>
      <c r="HZ100" s="203"/>
      <c r="IA100" s="143"/>
      <c r="IB100" s="143"/>
      <c r="IC100" s="143"/>
      <c r="ID100" s="143"/>
      <c r="IE100" s="143"/>
      <c r="IF100" s="203"/>
      <c r="IG100" s="203"/>
      <c r="IH100" s="143"/>
      <c r="II100" s="143"/>
      <c r="IJ100" s="143"/>
      <c r="IK100" s="143"/>
      <c r="IL100" s="143"/>
      <c r="IM100" s="203"/>
      <c r="IN100" s="203"/>
      <c r="IO100" s="143"/>
      <c r="IP100" s="143"/>
      <c r="IQ100" s="227"/>
      <c r="IR100" s="227"/>
      <c r="IS100" s="227"/>
      <c r="IT100" s="203"/>
      <c r="IU100" s="203"/>
      <c r="IV100" s="143"/>
      <c r="IW100" s="143"/>
      <c r="IX100" s="143"/>
      <c r="IY100" s="143"/>
      <c r="IZ100" s="143"/>
      <c r="JA100" s="203"/>
      <c r="JB100" s="203"/>
      <c r="JC100" s="227"/>
      <c r="JD100" s="227"/>
      <c r="JE100" s="143"/>
      <c r="JF100" s="143"/>
      <c r="JG100" s="143"/>
      <c r="JH100" s="203"/>
      <c r="JI100" s="203"/>
      <c r="JJ100" s="143"/>
      <c r="JK100" s="143"/>
      <c r="JL100" s="143"/>
      <c r="JM100" s="143"/>
      <c r="JN100" s="143"/>
      <c r="JO100" s="203"/>
      <c r="JP100" s="203"/>
      <c r="JQ100" s="143"/>
      <c r="JR100" s="143"/>
      <c r="JS100" s="143"/>
      <c r="JT100" s="143"/>
      <c r="JU100" s="143"/>
      <c r="JV100" s="203"/>
      <c r="JW100" s="203"/>
      <c r="JX100" s="143"/>
      <c r="JY100" s="143"/>
      <c r="JZ100" s="143"/>
      <c r="KA100" s="143"/>
      <c r="KB100" s="143"/>
      <c r="KC100" s="203"/>
      <c r="KD100" s="203"/>
      <c r="KE100" s="143"/>
      <c r="KF100" s="143"/>
      <c r="KG100" s="143"/>
      <c r="KH100" s="143"/>
      <c r="KI100" s="143"/>
      <c r="KJ100" s="194"/>
      <c r="KK100" s="194"/>
      <c r="KL100" s="143"/>
      <c r="KM100" s="143"/>
      <c r="KN100" s="143"/>
      <c r="KO100" s="143"/>
      <c r="KP100" s="227"/>
      <c r="KQ100" s="194"/>
      <c r="KR100" s="194"/>
      <c r="KS100" s="143"/>
      <c r="KT100" s="143"/>
      <c r="KU100" s="143"/>
      <c r="KV100" s="143"/>
      <c r="KW100" s="143"/>
      <c r="KX100" s="210"/>
      <c r="KY100" s="210"/>
      <c r="KZ100" s="194"/>
      <c r="LA100" s="194"/>
      <c r="LB100" s="194"/>
      <c r="LC100" s="194"/>
      <c r="LD100" s="194"/>
      <c r="LE100" s="210"/>
      <c r="LF100" s="210"/>
      <c r="LG100" s="227"/>
      <c r="LH100" s="227"/>
      <c r="LI100" s="227"/>
      <c r="LJ100" s="227"/>
      <c r="LK100" s="227"/>
      <c r="LL100" s="227"/>
      <c r="LM100" s="210"/>
      <c r="LN100" s="227"/>
      <c r="LO100" s="227"/>
      <c r="LP100" s="227"/>
      <c r="LQ100" s="227"/>
      <c r="LR100" s="227"/>
      <c r="LS100" s="210"/>
      <c r="LT100" s="210"/>
      <c r="LU100" s="227"/>
      <c r="LV100" s="143"/>
      <c r="LW100" s="143"/>
      <c r="LX100" s="143"/>
      <c r="LY100" s="143"/>
      <c r="LZ100" s="203"/>
      <c r="MA100" s="203"/>
      <c r="MB100" s="143"/>
      <c r="MC100" s="143"/>
      <c r="MD100" s="143"/>
      <c r="ME100" s="143"/>
      <c r="MF100" s="143"/>
      <c r="MG100" s="203"/>
      <c r="MH100" s="203"/>
      <c r="MI100" s="143"/>
      <c r="MJ100" s="143"/>
      <c r="MK100" s="143"/>
      <c r="ML100" s="143"/>
      <c r="MM100" s="143"/>
      <c r="MN100" s="203"/>
      <c r="MO100" s="203"/>
      <c r="MP100" s="143"/>
      <c r="MQ100" s="143"/>
      <c r="MR100" s="143"/>
      <c r="MS100" s="143"/>
      <c r="MT100" s="143"/>
      <c r="MU100" s="203"/>
      <c r="MV100" s="203"/>
      <c r="MW100" s="143"/>
      <c r="MX100" s="143"/>
      <c r="MY100" s="143"/>
      <c r="MZ100" s="143"/>
      <c r="NA100" s="143"/>
      <c r="NB100" s="143"/>
      <c r="NC100" s="143"/>
      <c r="ND100" s="143"/>
    </row>
    <row r="101" spans="1:368" s="147" customFormat="1" ht="15" customHeight="1">
      <c r="A101" s="475"/>
      <c r="B101" s="461"/>
      <c r="C101" s="164" t="s">
        <v>11</v>
      </c>
      <c r="D101" s="268"/>
      <c r="E101" s="143"/>
      <c r="F101" s="143"/>
      <c r="G101" s="143"/>
      <c r="H101" s="269"/>
      <c r="I101" s="194"/>
      <c r="J101" s="194"/>
      <c r="K101" s="268"/>
      <c r="L101" s="143"/>
      <c r="M101" s="143"/>
      <c r="N101" s="143"/>
      <c r="O101" s="269"/>
      <c r="P101" s="194"/>
      <c r="Q101" s="194"/>
      <c r="R101" s="268"/>
      <c r="S101" s="143"/>
      <c r="T101" s="143"/>
      <c r="U101" s="143"/>
      <c r="V101" s="269"/>
      <c r="W101" s="194"/>
      <c r="X101" s="194"/>
      <c r="Y101" s="268"/>
      <c r="Z101" s="143"/>
      <c r="AA101" s="143"/>
      <c r="AB101" s="143"/>
      <c r="AC101" s="269"/>
      <c r="AD101" s="194"/>
      <c r="AE101" s="194"/>
      <c r="AF101" s="268"/>
      <c r="AG101" s="143"/>
      <c r="AH101" s="143"/>
      <c r="AI101" s="143"/>
      <c r="AJ101" s="269"/>
      <c r="AK101" s="194"/>
      <c r="AL101" s="194"/>
      <c r="AM101" s="268"/>
      <c r="AN101" s="143"/>
      <c r="AO101" s="143"/>
      <c r="AP101" s="143"/>
      <c r="AQ101" s="269"/>
      <c r="AR101" s="194"/>
      <c r="AS101" s="194"/>
      <c r="AT101" s="268"/>
      <c r="AU101" s="143"/>
      <c r="AV101" s="143"/>
      <c r="AW101" s="143"/>
      <c r="AX101" s="269"/>
      <c r="AY101" s="194"/>
      <c r="AZ101" s="194"/>
      <c r="BA101" s="268"/>
      <c r="BB101" s="143"/>
      <c r="BC101" s="143"/>
      <c r="BD101" s="143"/>
      <c r="BE101" s="269"/>
      <c r="BF101" s="194"/>
      <c r="BG101" s="194"/>
      <c r="BH101" s="268"/>
      <c r="BI101" s="143"/>
      <c r="BJ101" s="143"/>
      <c r="BK101" s="143"/>
      <c r="BL101" s="269"/>
      <c r="BM101" s="194"/>
      <c r="BN101" s="194"/>
      <c r="BO101" s="268"/>
      <c r="BP101" s="143"/>
      <c r="BQ101" s="143"/>
      <c r="BR101" s="143"/>
      <c r="BS101" s="269"/>
      <c r="BT101" s="194"/>
      <c r="BU101" s="194"/>
      <c r="BV101" s="268"/>
      <c r="BW101" s="143"/>
      <c r="BX101" s="143"/>
      <c r="BY101" s="143"/>
      <c r="BZ101" s="269"/>
      <c r="CA101" s="194"/>
      <c r="CB101" s="194"/>
      <c r="CC101" s="268"/>
      <c r="CD101" s="143"/>
      <c r="CE101" s="143"/>
      <c r="CF101" s="143"/>
      <c r="CG101" s="269"/>
      <c r="CH101" s="194"/>
      <c r="CI101" s="194"/>
      <c r="CJ101" s="268"/>
      <c r="CK101" s="143"/>
      <c r="CL101" s="143"/>
      <c r="CM101" s="143"/>
      <c r="CN101" s="269"/>
      <c r="CO101" s="194"/>
      <c r="CP101" s="194"/>
      <c r="CQ101" s="268"/>
      <c r="CR101" s="143"/>
      <c r="CS101" s="143"/>
      <c r="CT101" s="143"/>
      <c r="CU101" s="269"/>
      <c r="CV101" s="194"/>
      <c r="CW101" s="194"/>
      <c r="CX101" s="268"/>
      <c r="CY101" s="143"/>
      <c r="CZ101" s="143"/>
      <c r="DA101" s="143"/>
      <c r="DB101" s="269"/>
      <c r="DC101" s="194"/>
      <c r="DD101" s="194"/>
      <c r="DE101" s="268"/>
      <c r="DF101" s="143"/>
      <c r="DG101" s="143"/>
      <c r="DH101" s="143"/>
      <c r="DI101" s="269"/>
      <c r="DJ101" s="194"/>
      <c r="DK101" s="194"/>
      <c r="DL101" s="268"/>
      <c r="DM101" s="143"/>
      <c r="DN101" s="143"/>
      <c r="DO101" s="143"/>
      <c r="DP101" s="269"/>
      <c r="DQ101" s="194"/>
      <c r="DR101" s="194"/>
      <c r="DS101" s="268"/>
      <c r="DT101" s="143"/>
      <c r="DU101" s="143"/>
      <c r="DV101" s="143"/>
      <c r="DW101" s="269"/>
      <c r="DX101" s="194"/>
      <c r="DY101" s="194"/>
      <c r="DZ101" s="268"/>
      <c r="EA101" s="143"/>
      <c r="EB101" s="143"/>
      <c r="EC101" s="143"/>
      <c r="ED101" s="269"/>
      <c r="EE101" s="194"/>
      <c r="EF101" s="194"/>
      <c r="EG101" s="268"/>
      <c r="EH101" s="143"/>
      <c r="EI101" s="143"/>
      <c r="EJ101" s="143"/>
      <c r="EK101" s="269"/>
      <c r="EL101" s="194"/>
      <c r="EM101" s="194"/>
      <c r="EN101" s="268"/>
      <c r="EO101" s="143"/>
      <c r="EP101" s="143"/>
      <c r="EQ101" s="143"/>
      <c r="ER101" s="269"/>
      <c r="ES101" s="194"/>
      <c r="ET101" s="194"/>
      <c r="EU101" s="268"/>
      <c r="EV101" s="143"/>
      <c r="EW101" s="143"/>
      <c r="EX101" s="143"/>
      <c r="EY101" s="269"/>
      <c r="EZ101" s="194"/>
      <c r="FA101" s="194"/>
      <c r="FB101" s="268"/>
      <c r="FC101" s="143"/>
      <c r="FD101" s="143"/>
      <c r="FE101" s="143"/>
      <c r="FF101" s="269"/>
      <c r="FG101" s="194"/>
      <c r="FH101" s="194"/>
      <c r="FI101" s="268"/>
      <c r="FJ101" s="143"/>
      <c r="FK101" s="143"/>
      <c r="FL101" s="143"/>
      <c r="FM101" s="269"/>
      <c r="FN101" s="194"/>
      <c r="FO101" s="194"/>
      <c r="FP101" s="268"/>
      <c r="FQ101" s="143"/>
      <c r="FR101" s="143"/>
      <c r="FS101" s="143"/>
      <c r="FT101" s="269"/>
      <c r="FU101" s="194"/>
      <c r="FV101" s="194"/>
      <c r="FW101" s="268"/>
      <c r="FX101" s="143"/>
      <c r="FY101" s="143"/>
      <c r="FZ101" s="143"/>
      <c r="GA101" s="269"/>
      <c r="GB101" s="194"/>
      <c r="GC101" s="194"/>
      <c r="GD101" s="143"/>
      <c r="GE101" s="143"/>
      <c r="GF101" s="143"/>
      <c r="GG101" s="143"/>
      <c r="GH101" s="143"/>
      <c r="GI101" s="194"/>
      <c r="GJ101" s="194"/>
      <c r="GK101" s="143"/>
      <c r="GL101" s="143"/>
      <c r="GM101" s="143"/>
      <c r="GN101" s="143"/>
      <c r="GO101" s="143"/>
      <c r="GP101" s="210"/>
      <c r="GQ101" s="210"/>
      <c r="GR101" s="143"/>
      <c r="GS101" s="143"/>
      <c r="GT101" s="143"/>
      <c r="GU101" s="143"/>
      <c r="GV101" s="143"/>
      <c r="GW101" s="210"/>
      <c r="GX101" s="210"/>
      <c r="GY101" s="143"/>
      <c r="GZ101" s="143"/>
      <c r="HA101" s="143"/>
      <c r="HB101" s="143"/>
      <c r="HC101" s="143"/>
      <c r="HD101" s="210"/>
      <c r="HE101" s="210"/>
      <c r="HF101" s="143"/>
      <c r="HG101" s="143"/>
      <c r="HH101" s="143"/>
      <c r="HI101" s="143"/>
      <c r="HJ101" s="143"/>
      <c r="HK101" s="210"/>
      <c r="HL101" s="210"/>
      <c r="HM101" s="143"/>
      <c r="HN101" s="143"/>
      <c r="HO101" s="143"/>
      <c r="HP101" s="143"/>
      <c r="HQ101" s="143"/>
      <c r="HR101" s="143"/>
      <c r="HS101" s="143"/>
      <c r="HT101" s="143"/>
      <c r="HU101" s="143"/>
      <c r="HV101" s="143"/>
      <c r="HW101" s="143"/>
      <c r="HX101" s="143"/>
      <c r="HY101" s="203"/>
      <c r="HZ101" s="203"/>
      <c r="IA101" s="143"/>
      <c r="IB101" s="143"/>
      <c r="IC101" s="143"/>
      <c r="ID101" s="143"/>
      <c r="IE101" s="143"/>
      <c r="IF101" s="203"/>
      <c r="IG101" s="203"/>
      <c r="IH101" s="143"/>
      <c r="II101" s="143"/>
      <c r="IJ101" s="143"/>
      <c r="IK101" s="143"/>
      <c r="IL101" s="143"/>
      <c r="IM101" s="203"/>
      <c r="IN101" s="203"/>
      <c r="IO101" s="143"/>
      <c r="IP101" s="143"/>
      <c r="IQ101" s="227"/>
      <c r="IR101" s="227"/>
      <c r="IS101" s="227"/>
      <c r="IT101" s="203"/>
      <c r="IU101" s="203"/>
      <c r="IV101" s="143"/>
      <c r="IW101" s="143"/>
      <c r="IX101" s="143"/>
      <c r="IY101" s="143"/>
      <c r="IZ101" s="143"/>
      <c r="JA101" s="203"/>
      <c r="JB101" s="203"/>
      <c r="JC101" s="227"/>
      <c r="JD101" s="227"/>
      <c r="JE101" s="143"/>
      <c r="JF101" s="143"/>
      <c r="JG101" s="143"/>
      <c r="JH101" s="203"/>
      <c r="JI101" s="203"/>
      <c r="JJ101" s="143"/>
      <c r="JK101" s="143"/>
      <c r="JL101" s="143"/>
      <c r="JM101" s="143"/>
      <c r="JN101" s="143"/>
      <c r="JO101" s="203"/>
      <c r="JP101" s="203"/>
      <c r="JQ101" s="143"/>
      <c r="JR101" s="143"/>
      <c r="JS101" s="143"/>
      <c r="JT101" s="143"/>
      <c r="JU101" s="143"/>
      <c r="JV101" s="203"/>
      <c r="JW101" s="203"/>
      <c r="JX101" s="143"/>
      <c r="JY101" s="143"/>
      <c r="JZ101" s="143"/>
      <c r="KA101" s="143"/>
      <c r="KB101" s="143"/>
      <c r="KC101" s="203"/>
      <c r="KD101" s="203"/>
      <c r="KE101" s="143"/>
      <c r="KF101" s="143"/>
      <c r="KG101" s="143"/>
      <c r="KH101" s="143"/>
      <c r="KI101" s="143"/>
      <c r="KJ101" s="194"/>
      <c r="KK101" s="194"/>
      <c r="KL101" s="143"/>
      <c r="KM101" s="143"/>
      <c r="KN101" s="143"/>
      <c r="KO101" s="143"/>
      <c r="KP101" s="227"/>
      <c r="KQ101" s="194"/>
      <c r="KR101" s="194"/>
      <c r="KS101" s="143"/>
      <c r="KT101" s="143"/>
      <c r="KU101" s="143"/>
      <c r="KV101" s="143"/>
      <c r="KW101" s="143"/>
      <c r="KX101" s="210"/>
      <c r="KY101" s="210"/>
      <c r="KZ101" s="194"/>
      <c r="LA101" s="194"/>
      <c r="LB101" s="194"/>
      <c r="LC101" s="194"/>
      <c r="LD101" s="194"/>
      <c r="LE101" s="210"/>
      <c r="LF101" s="210"/>
      <c r="LG101" s="227"/>
      <c r="LH101" s="227"/>
      <c r="LI101" s="227"/>
      <c r="LJ101" s="227"/>
      <c r="LK101" s="227"/>
      <c r="LL101" s="227"/>
      <c r="LM101" s="210"/>
      <c r="LN101" s="227"/>
      <c r="LO101" s="227"/>
      <c r="LP101" s="227"/>
      <c r="LQ101" s="227"/>
      <c r="LR101" s="227"/>
      <c r="LS101" s="210"/>
      <c r="LT101" s="210"/>
      <c r="LU101" s="227"/>
      <c r="LV101" s="143"/>
      <c r="LW101" s="143"/>
      <c r="LX101" s="143"/>
      <c r="LY101" s="143"/>
      <c r="LZ101" s="203"/>
      <c r="MA101" s="203"/>
      <c r="MB101" s="143"/>
      <c r="MC101" s="143"/>
      <c r="MD101" s="143"/>
      <c r="ME101" s="143"/>
      <c r="MF101" s="143"/>
      <c r="MG101" s="203"/>
      <c r="MH101" s="203"/>
      <c r="MI101" s="143"/>
      <c r="MJ101" s="143"/>
      <c r="MK101" s="143"/>
      <c r="ML101" s="143"/>
      <c r="MM101" s="143"/>
      <c r="MN101" s="203"/>
      <c r="MO101" s="203"/>
      <c r="MP101" s="143"/>
      <c r="MQ101" s="143"/>
      <c r="MR101" s="143"/>
      <c r="MS101" s="143"/>
      <c r="MT101" s="143"/>
      <c r="MU101" s="203"/>
      <c r="MV101" s="203"/>
      <c r="MW101" s="143"/>
      <c r="MX101" s="143"/>
      <c r="MY101" s="143"/>
      <c r="MZ101" s="143"/>
      <c r="NA101" s="143"/>
      <c r="NB101" s="143"/>
      <c r="NC101" s="143"/>
      <c r="ND101" s="143"/>
    </row>
    <row r="102" spans="1:368" s="147" customFormat="1" ht="15" customHeight="1">
      <c r="A102" s="475"/>
      <c r="B102" s="461"/>
      <c r="C102" s="164" t="s">
        <v>12</v>
      </c>
      <c r="D102" s="268"/>
      <c r="E102" s="143"/>
      <c r="F102" s="143"/>
      <c r="G102" s="143"/>
      <c r="H102" s="269"/>
      <c r="I102" s="194"/>
      <c r="J102" s="194"/>
      <c r="K102" s="268"/>
      <c r="L102" s="143"/>
      <c r="M102" s="143"/>
      <c r="N102" s="143"/>
      <c r="O102" s="269"/>
      <c r="P102" s="194"/>
      <c r="Q102" s="194"/>
      <c r="R102" s="268"/>
      <c r="S102" s="143"/>
      <c r="T102" s="143"/>
      <c r="U102" s="143"/>
      <c r="V102" s="269"/>
      <c r="W102" s="194"/>
      <c r="X102" s="194"/>
      <c r="Y102" s="268"/>
      <c r="Z102" s="143"/>
      <c r="AA102" s="143"/>
      <c r="AB102" s="143"/>
      <c r="AC102" s="269"/>
      <c r="AD102" s="194"/>
      <c r="AE102" s="194"/>
      <c r="AF102" s="268"/>
      <c r="AG102" s="143"/>
      <c r="AH102" s="143"/>
      <c r="AI102" s="143"/>
      <c r="AJ102" s="269"/>
      <c r="AK102" s="194"/>
      <c r="AL102" s="194"/>
      <c r="AM102" s="268"/>
      <c r="AN102" s="143"/>
      <c r="AO102" s="143"/>
      <c r="AP102" s="143"/>
      <c r="AQ102" s="269"/>
      <c r="AR102" s="194"/>
      <c r="AS102" s="194"/>
      <c r="AT102" s="268"/>
      <c r="AU102" s="143"/>
      <c r="AV102" s="143"/>
      <c r="AW102" s="143"/>
      <c r="AX102" s="269"/>
      <c r="AY102" s="194"/>
      <c r="AZ102" s="194"/>
      <c r="BA102" s="268"/>
      <c r="BB102" s="143"/>
      <c r="BC102" s="143"/>
      <c r="BD102" s="143"/>
      <c r="BE102" s="269"/>
      <c r="BF102" s="194"/>
      <c r="BG102" s="194"/>
      <c r="BH102" s="268"/>
      <c r="BI102" s="143"/>
      <c r="BJ102" s="143"/>
      <c r="BK102" s="143"/>
      <c r="BL102" s="269"/>
      <c r="BM102" s="194"/>
      <c r="BN102" s="194"/>
      <c r="BO102" s="268"/>
      <c r="BP102" s="143"/>
      <c r="BQ102" s="143"/>
      <c r="BR102" s="143"/>
      <c r="BS102" s="269"/>
      <c r="BT102" s="194"/>
      <c r="BU102" s="194"/>
      <c r="BV102" s="268"/>
      <c r="BW102" s="143"/>
      <c r="BX102" s="143"/>
      <c r="BY102" s="143"/>
      <c r="BZ102" s="269"/>
      <c r="CA102" s="194"/>
      <c r="CB102" s="194"/>
      <c r="CC102" s="268"/>
      <c r="CD102" s="143"/>
      <c r="CE102" s="143"/>
      <c r="CF102" s="143"/>
      <c r="CG102" s="269"/>
      <c r="CH102" s="194"/>
      <c r="CI102" s="194"/>
      <c r="CJ102" s="268"/>
      <c r="CK102" s="143"/>
      <c r="CL102" s="143"/>
      <c r="CM102" s="143"/>
      <c r="CN102" s="269"/>
      <c r="CO102" s="194"/>
      <c r="CP102" s="194"/>
      <c r="CQ102" s="268"/>
      <c r="CR102" s="143"/>
      <c r="CS102" s="143"/>
      <c r="CT102" s="143"/>
      <c r="CU102" s="269"/>
      <c r="CV102" s="194"/>
      <c r="CW102" s="194"/>
      <c r="CX102" s="268"/>
      <c r="CY102" s="143"/>
      <c r="CZ102" s="143"/>
      <c r="DA102" s="143"/>
      <c r="DB102" s="269"/>
      <c r="DC102" s="194"/>
      <c r="DD102" s="194"/>
      <c r="DE102" s="268"/>
      <c r="DF102" s="143"/>
      <c r="DG102" s="143"/>
      <c r="DH102" s="143"/>
      <c r="DI102" s="269"/>
      <c r="DJ102" s="194"/>
      <c r="DK102" s="194"/>
      <c r="DL102" s="268"/>
      <c r="DM102" s="143"/>
      <c r="DN102" s="143"/>
      <c r="DO102" s="143"/>
      <c r="DP102" s="269"/>
      <c r="DQ102" s="194"/>
      <c r="DR102" s="194"/>
      <c r="DS102" s="268"/>
      <c r="DT102" s="143"/>
      <c r="DU102" s="143"/>
      <c r="DV102" s="143"/>
      <c r="DW102" s="269"/>
      <c r="DX102" s="194"/>
      <c r="DY102" s="194"/>
      <c r="DZ102" s="268"/>
      <c r="EA102" s="143"/>
      <c r="EB102" s="143"/>
      <c r="EC102" s="143"/>
      <c r="ED102" s="269"/>
      <c r="EE102" s="194"/>
      <c r="EF102" s="194"/>
      <c r="EG102" s="268"/>
      <c r="EH102" s="143"/>
      <c r="EI102" s="143"/>
      <c r="EJ102" s="143"/>
      <c r="EK102" s="269"/>
      <c r="EL102" s="194"/>
      <c r="EM102" s="194"/>
      <c r="EN102" s="268"/>
      <c r="EO102" s="143"/>
      <c r="EP102" s="143"/>
      <c r="EQ102" s="143"/>
      <c r="ER102" s="269"/>
      <c r="ES102" s="194"/>
      <c r="ET102" s="194"/>
      <c r="EU102" s="268"/>
      <c r="EV102" s="143"/>
      <c r="EW102" s="143"/>
      <c r="EX102" s="143"/>
      <c r="EY102" s="269"/>
      <c r="EZ102" s="194"/>
      <c r="FA102" s="194"/>
      <c r="FB102" s="268"/>
      <c r="FC102" s="143"/>
      <c r="FD102" s="143"/>
      <c r="FE102" s="143"/>
      <c r="FF102" s="269"/>
      <c r="FG102" s="194"/>
      <c r="FH102" s="194"/>
      <c r="FI102" s="268"/>
      <c r="FJ102" s="143"/>
      <c r="FK102" s="143"/>
      <c r="FL102" s="143"/>
      <c r="FM102" s="269"/>
      <c r="FN102" s="194"/>
      <c r="FO102" s="194"/>
      <c r="FP102" s="268"/>
      <c r="FQ102" s="143"/>
      <c r="FR102" s="143"/>
      <c r="FS102" s="143"/>
      <c r="FT102" s="269"/>
      <c r="FU102" s="194"/>
      <c r="FV102" s="194"/>
      <c r="FW102" s="268"/>
      <c r="FX102" s="143"/>
      <c r="FY102" s="143"/>
      <c r="FZ102" s="143"/>
      <c r="GA102" s="269"/>
      <c r="GB102" s="194"/>
      <c r="GC102" s="194"/>
      <c r="GD102" s="143"/>
      <c r="GE102" s="143"/>
      <c r="GF102" s="143"/>
      <c r="GG102" s="143"/>
      <c r="GH102" s="143"/>
      <c r="GI102" s="194"/>
      <c r="GJ102" s="194"/>
      <c r="GK102" s="143"/>
      <c r="GL102" s="143"/>
      <c r="GM102" s="143"/>
      <c r="GN102" s="143"/>
      <c r="GO102" s="143"/>
      <c r="GP102" s="210"/>
      <c r="GQ102" s="210"/>
      <c r="GR102" s="143"/>
      <c r="GS102" s="143"/>
      <c r="GT102" s="143"/>
      <c r="GU102" s="143"/>
      <c r="GV102" s="143"/>
      <c r="GW102" s="210"/>
      <c r="GX102" s="210"/>
      <c r="GY102" s="143"/>
      <c r="GZ102" s="143"/>
      <c r="HA102" s="143"/>
      <c r="HB102" s="143"/>
      <c r="HC102" s="143"/>
      <c r="HD102" s="210"/>
      <c r="HE102" s="210"/>
      <c r="HF102" s="143"/>
      <c r="HG102" s="143"/>
      <c r="HH102" s="143"/>
      <c r="HI102" s="143"/>
      <c r="HJ102" s="143"/>
      <c r="HK102" s="210"/>
      <c r="HL102" s="210"/>
      <c r="HM102" s="143"/>
      <c r="HN102" s="143"/>
      <c r="HO102" s="143"/>
      <c r="HP102" s="143"/>
      <c r="HQ102" s="143"/>
      <c r="HR102" s="143"/>
      <c r="HS102" s="143"/>
      <c r="HT102" s="143"/>
      <c r="HU102" s="143"/>
      <c r="HV102" s="143"/>
      <c r="HW102" s="143"/>
      <c r="HX102" s="143"/>
      <c r="HY102" s="203"/>
      <c r="HZ102" s="203"/>
      <c r="IA102" s="143"/>
      <c r="IB102" s="143"/>
      <c r="IC102" s="143"/>
      <c r="ID102" s="143"/>
      <c r="IE102" s="143"/>
      <c r="IF102" s="203"/>
      <c r="IG102" s="203"/>
      <c r="IH102" s="143"/>
      <c r="II102" s="143"/>
      <c r="IJ102" s="143"/>
      <c r="IK102" s="143"/>
      <c r="IL102" s="143"/>
      <c r="IM102" s="203"/>
      <c r="IN102" s="203"/>
      <c r="IO102" s="143"/>
      <c r="IP102" s="143"/>
      <c r="IQ102" s="227"/>
      <c r="IR102" s="227"/>
      <c r="IS102" s="227"/>
      <c r="IT102" s="203"/>
      <c r="IU102" s="203"/>
      <c r="IV102" s="143"/>
      <c r="IW102" s="143"/>
      <c r="IX102" s="143"/>
      <c r="IY102" s="143"/>
      <c r="IZ102" s="143"/>
      <c r="JA102" s="203"/>
      <c r="JB102" s="203"/>
      <c r="JC102" s="227"/>
      <c r="JD102" s="227"/>
      <c r="JE102" s="143"/>
      <c r="JF102" s="143"/>
      <c r="JG102" s="143"/>
      <c r="JH102" s="203"/>
      <c r="JI102" s="203"/>
      <c r="JJ102" s="143"/>
      <c r="JK102" s="143"/>
      <c r="JL102" s="143"/>
      <c r="JM102" s="143"/>
      <c r="JN102" s="143"/>
      <c r="JO102" s="203"/>
      <c r="JP102" s="203"/>
      <c r="JQ102" s="143"/>
      <c r="JR102" s="143"/>
      <c r="JS102" s="143"/>
      <c r="JT102" s="143"/>
      <c r="JU102" s="143"/>
      <c r="JV102" s="203"/>
      <c r="JW102" s="203"/>
      <c r="JX102" s="143"/>
      <c r="JY102" s="143"/>
      <c r="JZ102" s="143"/>
      <c r="KA102" s="143"/>
      <c r="KB102" s="143"/>
      <c r="KC102" s="203"/>
      <c r="KD102" s="203"/>
      <c r="KE102" s="143"/>
      <c r="KF102" s="143"/>
      <c r="KG102" s="143"/>
      <c r="KH102" s="143"/>
      <c r="KI102" s="143"/>
      <c r="KJ102" s="194"/>
      <c r="KK102" s="194"/>
      <c r="KL102" s="143"/>
      <c r="KM102" s="143"/>
      <c r="KN102" s="143"/>
      <c r="KO102" s="143"/>
      <c r="KP102" s="227"/>
      <c r="KQ102" s="194"/>
      <c r="KR102" s="194"/>
      <c r="KS102" s="143"/>
      <c r="KT102" s="143"/>
      <c r="KU102" s="143"/>
      <c r="KV102" s="143"/>
      <c r="KW102" s="143"/>
      <c r="KX102" s="210"/>
      <c r="KY102" s="210"/>
      <c r="KZ102" s="194"/>
      <c r="LA102" s="194"/>
      <c r="LB102" s="194"/>
      <c r="LC102" s="194"/>
      <c r="LD102" s="194"/>
      <c r="LE102" s="210"/>
      <c r="LF102" s="210"/>
      <c r="LG102" s="227"/>
      <c r="LH102" s="227"/>
      <c r="LI102" s="227"/>
      <c r="LJ102" s="227"/>
      <c r="LK102" s="227"/>
      <c r="LL102" s="227"/>
      <c r="LM102" s="210"/>
      <c r="LN102" s="227"/>
      <c r="LO102" s="227"/>
      <c r="LP102" s="227"/>
      <c r="LQ102" s="227"/>
      <c r="LR102" s="227"/>
      <c r="LS102" s="210"/>
      <c r="LT102" s="210"/>
      <c r="LU102" s="227"/>
      <c r="LV102" s="143"/>
      <c r="LW102" s="143"/>
      <c r="LX102" s="143"/>
      <c r="LY102" s="143"/>
      <c r="LZ102" s="203"/>
      <c r="MA102" s="203"/>
      <c r="MB102" s="143"/>
      <c r="MC102" s="143"/>
      <c r="MD102" s="143"/>
      <c r="ME102" s="143"/>
      <c r="MF102" s="143"/>
      <c r="MG102" s="203"/>
      <c r="MH102" s="203"/>
      <c r="MI102" s="143"/>
      <c r="MJ102" s="143"/>
      <c r="MK102" s="143"/>
      <c r="ML102" s="143"/>
      <c r="MM102" s="143"/>
      <c r="MN102" s="203"/>
      <c r="MO102" s="203"/>
      <c r="MP102" s="143"/>
      <c r="MQ102" s="143"/>
      <c r="MR102" s="143"/>
      <c r="MS102" s="143"/>
      <c r="MT102" s="143"/>
      <c r="MU102" s="203"/>
      <c r="MV102" s="203"/>
      <c r="MW102" s="143"/>
      <c r="MX102" s="143"/>
      <c r="MY102" s="143"/>
      <c r="MZ102" s="143"/>
      <c r="NA102" s="143"/>
      <c r="NB102" s="143"/>
      <c r="NC102" s="143"/>
      <c r="ND102" s="143"/>
    </row>
    <row r="103" spans="1:368" s="147" customFormat="1" ht="15" customHeight="1" thickBot="1">
      <c r="A103" s="475"/>
      <c r="B103" s="461"/>
      <c r="C103" s="164" t="s">
        <v>13</v>
      </c>
      <c r="D103" s="274"/>
      <c r="E103" s="275"/>
      <c r="F103" s="275"/>
      <c r="G103" s="275"/>
      <c r="H103" s="276"/>
      <c r="I103" s="195"/>
      <c r="J103" s="195"/>
      <c r="K103" s="274"/>
      <c r="L103" s="275"/>
      <c r="M103" s="275"/>
      <c r="N103" s="275"/>
      <c r="O103" s="276"/>
      <c r="P103" s="195"/>
      <c r="Q103" s="195"/>
      <c r="R103" s="274"/>
      <c r="S103" s="275"/>
      <c r="T103" s="275"/>
      <c r="U103" s="275"/>
      <c r="V103" s="276"/>
      <c r="W103" s="195"/>
      <c r="X103" s="195"/>
      <c r="Y103" s="274"/>
      <c r="Z103" s="275"/>
      <c r="AA103" s="275"/>
      <c r="AB103" s="275"/>
      <c r="AC103" s="276"/>
      <c r="AD103" s="195"/>
      <c r="AE103" s="195"/>
      <c r="AF103" s="274"/>
      <c r="AG103" s="275"/>
      <c r="AH103" s="275"/>
      <c r="AI103" s="275"/>
      <c r="AJ103" s="276"/>
      <c r="AK103" s="195"/>
      <c r="AL103" s="195"/>
      <c r="AM103" s="274"/>
      <c r="AN103" s="275"/>
      <c r="AO103" s="275"/>
      <c r="AP103" s="275"/>
      <c r="AQ103" s="276"/>
      <c r="AR103" s="195"/>
      <c r="AS103" s="195"/>
      <c r="AT103" s="274"/>
      <c r="AU103" s="275"/>
      <c r="AV103" s="275"/>
      <c r="AW103" s="275"/>
      <c r="AX103" s="276"/>
      <c r="AY103" s="195"/>
      <c r="AZ103" s="195"/>
      <c r="BA103" s="274"/>
      <c r="BB103" s="275"/>
      <c r="BC103" s="275"/>
      <c r="BD103" s="275"/>
      <c r="BE103" s="276"/>
      <c r="BF103" s="195"/>
      <c r="BG103" s="195"/>
      <c r="BH103" s="274"/>
      <c r="BI103" s="275"/>
      <c r="BJ103" s="275"/>
      <c r="BK103" s="275"/>
      <c r="BL103" s="276"/>
      <c r="BM103" s="195"/>
      <c r="BN103" s="195"/>
      <c r="BO103" s="274"/>
      <c r="BP103" s="275"/>
      <c r="BQ103" s="275"/>
      <c r="BR103" s="275"/>
      <c r="BS103" s="276"/>
      <c r="BT103" s="195"/>
      <c r="BU103" s="195"/>
      <c r="BV103" s="274"/>
      <c r="BW103" s="275"/>
      <c r="BX103" s="275"/>
      <c r="BY103" s="275"/>
      <c r="BZ103" s="276"/>
      <c r="CA103" s="195"/>
      <c r="CB103" s="195"/>
      <c r="CC103" s="274"/>
      <c r="CD103" s="275"/>
      <c r="CE103" s="275"/>
      <c r="CF103" s="275"/>
      <c r="CG103" s="276"/>
      <c r="CH103" s="195"/>
      <c r="CI103" s="195"/>
      <c r="CJ103" s="274"/>
      <c r="CK103" s="275"/>
      <c r="CL103" s="275"/>
      <c r="CM103" s="275"/>
      <c r="CN103" s="276"/>
      <c r="CO103" s="195"/>
      <c r="CP103" s="195"/>
      <c r="CQ103" s="274"/>
      <c r="CR103" s="275"/>
      <c r="CS103" s="275"/>
      <c r="CT103" s="275"/>
      <c r="CU103" s="276"/>
      <c r="CV103" s="195"/>
      <c r="CW103" s="195"/>
      <c r="CX103" s="274"/>
      <c r="CY103" s="275"/>
      <c r="CZ103" s="275"/>
      <c r="DA103" s="275"/>
      <c r="DB103" s="276"/>
      <c r="DC103" s="195"/>
      <c r="DD103" s="195"/>
      <c r="DE103" s="274"/>
      <c r="DF103" s="275"/>
      <c r="DG103" s="275"/>
      <c r="DH103" s="275"/>
      <c r="DI103" s="276"/>
      <c r="DJ103" s="195"/>
      <c r="DK103" s="195"/>
      <c r="DL103" s="274"/>
      <c r="DM103" s="275"/>
      <c r="DN103" s="275"/>
      <c r="DO103" s="275"/>
      <c r="DP103" s="276"/>
      <c r="DQ103" s="195"/>
      <c r="DR103" s="195"/>
      <c r="DS103" s="274"/>
      <c r="DT103" s="275"/>
      <c r="DU103" s="275"/>
      <c r="DV103" s="275"/>
      <c r="DW103" s="276"/>
      <c r="DX103" s="195"/>
      <c r="DY103" s="195"/>
      <c r="DZ103" s="274"/>
      <c r="EA103" s="275"/>
      <c r="EB103" s="275"/>
      <c r="EC103" s="275"/>
      <c r="ED103" s="276"/>
      <c r="EE103" s="195"/>
      <c r="EF103" s="195"/>
      <c r="EG103" s="274"/>
      <c r="EH103" s="275"/>
      <c r="EI103" s="275"/>
      <c r="EJ103" s="275"/>
      <c r="EK103" s="276"/>
      <c r="EL103" s="195"/>
      <c r="EM103" s="195"/>
      <c r="EN103" s="274"/>
      <c r="EO103" s="275"/>
      <c r="EP103" s="275"/>
      <c r="EQ103" s="275"/>
      <c r="ER103" s="276"/>
      <c r="ES103" s="195"/>
      <c r="ET103" s="195"/>
      <c r="EU103" s="274"/>
      <c r="EV103" s="275"/>
      <c r="EW103" s="275"/>
      <c r="EX103" s="275"/>
      <c r="EY103" s="276"/>
      <c r="EZ103" s="195"/>
      <c r="FA103" s="195"/>
      <c r="FB103" s="274"/>
      <c r="FC103" s="275"/>
      <c r="FD103" s="275"/>
      <c r="FE103" s="275"/>
      <c r="FF103" s="276"/>
      <c r="FG103" s="195"/>
      <c r="FH103" s="195"/>
      <c r="FI103" s="274"/>
      <c r="FJ103" s="275"/>
      <c r="FK103" s="275"/>
      <c r="FL103" s="275"/>
      <c r="FM103" s="276"/>
      <c r="FN103" s="195"/>
      <c r="FO103" s="195"/>
      <c r="FP103" s="274"/>
      <c r="FQ103" s="275"/>
      <c r="FR103" s="275"/>
      <c r="FS103" s="275"/>
      <c r="FT103" s="276"/>
      <c r="FU103" s="195"/>
      <c r="FV103" s="195"/>
      <c r="FW103" s="274"/>
      <c r="FX103" s="275"/>
      <c r="FY103" s="275"/>
      <c r="FZ103" s="275"/>
      <c r="GA103" s="276"/>
      <c r="GB103" s="195"/>
      <c r="GC103" s="195"/>
      <c r="GD103" s="144"/>
      <c r="GE103" s="144"/>
      <c r="GF103" s="144"/>
      <c r="GG103" s="144"/>
      <c r="GH103" s="144"/>
      <c r="GI103" s="195"/>
      <c r="GJ103" s="195"/>
      <c r="GK103" s="144"/>
      <c r="GL103" s="144"/>
      <c r="GM103" s="144"/>
      <c r="GN103" s="144"/>
      <c r="GO103" s="144"/>
      <c r="GP103" s="211"/>
      <c r="GQ103" s="211"/>
      <c r="GR103" s="144"/>
      <c r="GS103" s="144"/>
      <c r="GT103" s="144"/>
      <c r="GU103" s="144"/>
      <c r="GV103" s="144"/>
      <c r="GW103" s="211"/>
      <c r="GX103" s="211"/>
      <c r="GY103" s="144"/>
      <c r="GZ103" s="144"/>
      <c r="HA103" s="144"/>
      <c r="HB103" s="144"/>
      <c r="HC103" s="144"/>
      <c r="HD103" s="211"/>
      <c r="HE103" s="211"/>
      <c r="HF103" s="144"/>
      <c r="HG103" s="144"/>
      <c r="HH103" s="144"/>
      <c r="HI103" s="144"/>
      <c r="HJ103" s="144"/>
      <c r="HK103" s="211"/>
      <c r="HL103" s="211"/>
      <c r="HM103" s="144"/>
      <c r="HN103" s="144"/>
      <c r="HO103" s="144"/>
      <c r="HP103" s="144"/>
      <c r="HQ103" s="144"/>
      <c r="HR103" s="144"/>
      <c r="HS103" s="144"/>
      <c r="HT103" s="144"/>
      <c r="HU103" s="143"/>
      <c r="HV103" s="144"/>
      <c r="HW103" s="144"/>
      <c r="HX103" s="144"/>
      <c r="HY103" s="204"/>
      <c r="HZ103" s="204"/>
      <c r="IA103" s="144"/>
      <c r="IB103" s="144"/>
      <c r="IC103" s="144"/>
      <c r="ID103" s="144"/>
      <c r="IE103" s="144"/>
      <c r="IF103" s="204"/>
      <c r="IG103" s="204"/>
      <c r="IH103" s="144"/>
      <c r="II103" s="144"/>
      <c r="IJ103" s="144"/>
      <c r="IK103" s="144"/>
      <c r="IL103" s="144"/>
      <c r="IM103" s="204"/>
      <c r="IN103" s="204"/>
      <c r="IO103" s="144"/>
      <c r="IP103" s="144"/>
      <c r="IQ103" s="230"/>
      <c r="IR103" s="230"/>
      <c r="IS103" s="230"/>
      <c r="IT103" s="204"/>
      <c r="IU103" s="204"/>
      <c r="IV103" s="144"/>
      <c r="IW103" s="144"/>
      <c r="IX103" s="144"/>
      <c r="IY103" s="144"/>
      <c r="IZ103" s="144"/>
      <c r="JA103" s="204"/>
      <c r="JB103" s="204"/>
      <c r="JC103" s="230"/>
      <c r="JD103" s="230"/>
      <c r="JE103" s="144"/>
      <c r="JF103" s="144"/>
      <c r="JG103" s="144"/>
      <c r="JH103" s="204"/>
      <c r="JI103" s="204"/>
      <c r="JJ103" s="144"/>
      <c r="JK103" s="144"/>
      <c r="JL103" s="144"/>
      <c r="JM103" s="144"/>
      <c r="JN103" s="144"/>
      <c r="JO103" s="204"/>
      <c r="JP103" s="204"/>
      <c r="JQ103" s="144"/>
      <c r="JR103" s="144"/>
      <c r="JS103" s="144"/>
      <c r="JT103" s="144"/>
      <c r="JU103" s="144"/>
      <c r="JV103" s="204"/>
      <c r="JW103" s="204"/>
      <c r="JX103" s="144"/>
      <c r="JY103" s="144"/>
      <c r="JZ103" s="144"/>
      <c r="KA103" s="143"/>
      <c r="KB103" s="144"/>
      <c r="KC103" s="204"/>
      <c r="KD103" s="204"/>
      <c r="KE103" s="144"/>
      <c r="KF103" s="144"/>
      <c r="KG103" s="144"/>
      <c r="KH103" s="144"/>
      <c r="KI103" s="144"/>
      <c r="KJ103" s="195"/>
      <c r="KK103" s="195"/>
      <c r="KL103" s="144"/>
      <c r="KM103" s="144"/>
      <c r="KN103" s="144"/>
      <c r="KO103" s="144"/>
      <c r="KP103" s="230"/>
      <c r="KQ103" s="195"/>
      <c r="KR103" s="195"/>
      <c r="KS103" s="144"/>
      <c r="KT103" s="144"/>
      <c r="KU103" s="144"/>
      <c r="KV103" s="144"/>
      <c r="KW103" s="144"/>
      <c r="KX103" s="211"/>
      <c r="KY103" s="211"/>
      <c r="KZ103" s="195"/>
      <c r="LA103" s="195"/>
      <c r="LB103" s="195"/>
      <c r="LC103" s="195"/>
      <c r="LD103" s="195"/>
      <c r="LE103" s="211"/>
      <c r="LF103" s="211"/>
      <c r="LG103" s="230"/>
      <c r="LH103" s="230"/>
      <c r="LI103" s="230"/>
      <c r="LJ103" s="230"/>
      <c r="LK103" s="230"/>
      <c r="LL103" s="230"/>
      <c r="LM103" s="211"/>
      <c r="LN103" s="230"/>
      <c r="LO103" s="230"/>
      <c r="LP103" s="230"/>
      <c r="LQ103" s="230"/>
      <c r="LR103" s="230"/>
      <c r="LS103" s="211"/>
      <c r="LT103" s="211"/>
      <c r="LU103" s="230"/>
      <c r="LV103" s="144"/>
      <c r="LW103" s="144"/>
      <c r="LX103" s="144"/>
      <c r="LY103" s="144"/>
      <c r="LZ103" s="204"/>
      <c r="MA103" s="204"/>
      <c r="MB103" s="144"/>
      <c r="MC103" s="144"/>
      <c r="MD103" s="144"/>
      <c r="ME103" s="144"/>
      <c r="MF103" s="144"/>
      <c r="MG103" s="204"/>
      <c r="MH103" s="204"/>
      <c r="MI103" s="144"/>
      <c r="MJ103" s="144"/>
      <c r="MK103" s="144"/>
      <c r="ML103" s="144"/>
      <c r="MM103" s="144"/>
      <c r="MN103" s="204"/>
      <c r="MO103" s="204"/>
      <c r="MP103" s="144"/>
      <c r="MQ103" s="144"/>
      <c r="MR103" s="144"/>
      <c r="MS103" s="144"/>
      <c r="MT103" s="144"/>
      <c r="MU103" s="204"/>
      <c r="MV103" s="204"/>
      <c r="MW103" s="144"/>
      <c r="MX103" s="144"/>
      <c r="MY103" s="144"/>
      <c r="MZ103" s="144"/>
      <c r="NA103" s="144"/>
      <c r="NB103" s="144"/>
      <c r="NC103" s="144"/>
      <c r="ND103" s="144"/>
    </row>
    <row r="104" spans="1:368" s="151" customFormat="1" ht="15" hidden="1" customHeight="1" thickBot="1">
      <c r="A104" s="475"/>
      <c r="B104" s="461"/>
      <c r="C104" s="167" t="s">
        <v>93</v>
      </c>
      <c r="D104" s="152"/>
      <c r="E104" s="152"/>
      <c r="F104" s="152"/>
      <c r="G104" s="152"/>
      <c r="H104" s="152"/>
      <c r="I104" s="195"/>
      <c r="J104" s="195"/>
      <c r="K104" s="152"/>
      <c r="L104" s="152"/>
      <c r="M104" s="152"/>
      <c r="N104" s="152"/>
      <c r="O104" s="152"/>
      <c r="P104" s="195"/>
      <c r="Q104" s="195"/>
      <c r="R104" s="152"/>
      <c r="S104" s="152"/>
      <c r="T104" s="152"/>
      <c r="U104" s="152"/>
      <c r="V104" s="152"/>
      <c r="W104" s="195"/>
      <c r="X104" s="195"/>
      <c r="Y104" s="152"/>
      <c r="Z104" s="152"/>
      <c r="AA104" s="152"/>
      <c r="AB104" s="152"/>
      <c r="AC104" s="152"/>
      <c r="AD104" s="195"/>
      <c r="AE104" s="195"/>
      <c r="AF104" s="152"/>
      <c r="AG104" s="152"/>
      <c r="AH104" s="152"/>
      <c r="AI104" s="152"/>
      <c r="AJ104" s="152"/>
      <c r="AK104" s="195"/>
      <c r="AL104" s="195"/>
      <c r="AM104" s="152"/>
      <c r="AN104" s="152"/>
      <c r="AO104" s="152"/>
      <c r="AP104" s="152"/>
      <c r="AQ104" s="152"/>
      <c r="AR104" s="195"/>
      <c r="AS104" s="195"/>
      <c r="AT104" s="152"/>
      <c r="AU104" s="152"/>
      <c r="AV104" s="152"/>
      <c r="AW104" s="152"/>
      <c r="AX104" s="152"/>
      <c r="AY104" s="195"/>
      <c r="AZ104" s="195"/>
      <c r="BA104" s="152"/>
      <c r="BB104" s="152"/>
      <c r="BC104" s="152"/>
      <c r="BD104" s="152"/>
      <c r="BE104" s="152"/>
      <c r="BF104" s="195"/>
      <c r="BG104" s="195"/>
      <c r="BH104" s="152"/>
      <c r="BI104" s="152"/>
      <c r="BJ104" s="152"/>
      <c r="BK104" s="152"/>
      <c r="BL104" s="152"/>
      <c r="BM104" s="195"/>
      <c r="BN104" s="195"/>
      <c r="BO104" s="152"/>
      <c r="BP104" s="152"/>
      <c r="BQ104" s="152"/>
      <c r="BR104" s="152"/>
      <c r="BS104" s="152"/>
      <c r="BT104" s="195"/>
      <c r="BU104" s="195"/>
      <c r="BV104" s="152"/>
      <c r="BW104" s="152"/>
      <c r="BX104" s="152"/>
      <c r="BY104" s="152"/>
      <c r="BZ104" s="152"/>
      <c r="CA104" s="195"/>
      <c r="CB104" s="195"/>
      <c r="CC104" s="152"/>
      <c r="CD104" s="152"/>
      <c r="CE104" s="152"/>
      <c r="CF104" s="152"/>
      <c r="CG104" s="152"/>
      <c r="CH104" s="195"/>
      <c r="CI104" s="195"/>
      <c r="CJ104" s="152"/>
      <c r="CK104" s="152"/>
      <c r="CL104" s="152"/>
      <c r="CM104" s="152"/>
      <c r="CN104" s="152"/>
      <c r="CO104" s="195"/>
      <c r="CP104" s="195"/>
      <c r="CQ104" s="152"/>
      <c r="CR104" s="152"/>
      <c r="CS104" s="152"/>
      <c r="CT104" s="152"/>
      <c r="CU104" s="152"/>
      <c r="CV104" s="195"/>
      <c r="CW104" s="195"/>
      <c r="CX104" s="152"/>
      <c r="CY104" s="152"/>
      <c r="CZ104" s="152"/>
      <c r="DA104" s="152"/>
      <c r="DB104" s="152"/>
      <c r="DC104" s="195"/>
      <c r="DD104" s="195"/>
      <c r="DE104" s="152"/>
      <c r="DF104" s="152"/>
      <c r="DG104" s="152"/>
      <c r="DH104" s="152"/>
      <c r="DI104" s="152"/>
      <c r="DJ104" s="195"/>
      <c r="DK104" s="195"/>
      <c r="DL104" s="152"/>
      <c r="DM104" s="152"/>
      <c r="DN104" s="152"/>
      <c r="DO104" s="152"/>
      <c r="DP104" s="152"/>
      <c r="DQ104" s="195"/>
      <c r="DR104" s="195"/>
      <c r="DS104" s="152"/>
      <c r="DT104" s="152"/>
      <c r="DU104" s="152"/>
      <c r="DV104" s="152"/>
      <c r="DW104" s="152"/>
      <c r="DX104" s="195"/>
      <c r="DY104" s="195"/>
      <c r="DZ104" s="152"/>
      <c r="EA104" s="152"/>
      <c r="EB104" s="152"/>
      <c r="EC104" s="152"/>
      <c r="ED104" s="152"/>
      <c r="EE104" s="195"/>
      <c r="EF104" s="195"/>
      <c r="EG104" s="152"/>
      <c r="EH104" s="152"/>
      <c r="EI104" s="152"/>
      <c r="EJ104" s="152"/>
      <c r="EK104" s="152"/>
      <c r="EL104" s="195"/>
      <c r="EM104" s="195"/>
      <c r="EN104" s="152"/>
      <c r="EO104" s="152"/>
      <c r="EP104" s="152"/>
      <c r="EQ104" s="152"/>
      <c r="ER104" s="152"/>
      <c r="ES104" s="195"/>
      <c r="ET104" s="195"/>
      <c r="EU104" s="152"/>
      <c r="EV104" s="152"/>
      <c r="EW104" s="152"/>
      <c r="EX104" s="152"/>
      <c r="EY104" s="152"/>
      <c r="EZ104" s="195"/>
      <c r="FA104" s="195"/>
      <c r="FB104" s="152"/>
      <c r="FC104" s="152"/>
      <c r="FD104" s="152"/>
      <c r="FE104" s="152"/>
      <c r="FF104" s="152"/>
      <c r="FG104" s="195"/>
      <c r="FH104" s="195"/>
      <c r="FI104" s="152"/>
      <c r="FJ104" s="152"/>
      <c r="FK104" s="152"/>
      <c r="FL104" s="152"/>
      <c r="FM104" s="152"/>
      <c r="FN104" s="195"/>
      <c r="FO104" s="195"/>
      <c r="FP104" s="152"/>
      <c r="FQ104" s="152"/>
      <c r="FR104" s="152"/>
      <c r="FS104" s="152"/>
      <c r="FT104" s="152"/>
      <c r="FU104" s="195"/>
      <c r="FV104" s="195"/>
      <c r="FW104" s="152"/>
      <c r="FX104" s="152"/>
      <c r="FY104" s="152"/>
      <c r="FZ104" s="152"/>
      <c r="GA104" s="152"/>
      <c r="GB104" s="195"/>
      <c r="GC104" s="195"/>
      <c r="GD104" s="153"/>
      <c r="GE104" s="153"/>
      <c r="GF104" s="153"/>
      <c r="GG104" s="153"/>
      <c r="GH104" s="153"/>
      <c r="GI104" s="195"/>
      <c r="GJ104" s="195"/>
      <c r="GK104" s="153"/>
      <c r="GL104" s="153"/>
      <c r="GM104" s="153"/>
      <c r="GN104" s="153"/>
      <c r="GO104" s="153"/>
      <c r="GP104" s="211"/>
      <c r="GQ104" s="211"/>
      <c r="GR104" s="153"/>
      <c r="GS104" s="153"/>
      <c r="GT104" s="153"/>
      <c r="GU104" s="153"/>
      <c r="GV104" s="153"/>
      <c r="GW104" s="211"/>
      <c r="GX104" s="211"/>
      <c r="GY104" s="153"/>
      <c r="GZ104" s="153"/>
      <c r="HA104" s="153"/>
      <c r="HB104" s="153"/>
      <c r="HC104" s="153"/>
      <c r="HD104" s="211"/>
      <c r="HE104" s="211"/>
      <c r="HF104" s="153"/>
      <c r="HG104" s="153"/>
      <c r="HH104" s="153"/>
      <c r="HI104" s="153"/>
      <c r="HJ104" s="153"/>
      <c r="HK104" s="211"/>
      <c r="HL104" s="211"/>
      <c r="HM104" s="153"/>
      <c r="HN104" s="153"/>
      <c r="HO104" s="153"/>
      <c r="HP104" s="153"/>
      <c r="HQ104" s="153"/>
      <c r="HR104" s="153"/>
      <c r="HS104" s="153"/>
      <c r="HT104" s="153"/>
      <c r="HU104" s="153"/>
      <c r="HV104" s="153"/>
      <c r="HW104" s="153"/>
      <c r="HX104" s="153"/>
      <c r="HY104" s="204"/>
      <c r="HZ104" s="204"/>
      <c r="IA104" s="153"/>
      <c r="IB104" s="153"/>
      <c r="IC104" s="153"/>
      <c r="ID104" s="153"/>
      <c r="IE104" s="153"/>
      <c r="IF104" s="204"/>
      <c r="IG104" s="204"/>
      <c r="IH104" s="153"/>
      <c r="II104" s="153"/>
      <c r="IJ104" s="153"/>
      <c r="IK104" s="153"/>
      <c r="IL104" s="153"/>
      <c r="IM104" s="204"/>
      <c r="IN104" s="204"/>
      <c r="IO104" s="153"/>
      <c r="IP104" s="153"/>
      <c r="IQ104" s="230"/>
      <c r="IR104" s="230"/>
      <c r="IS104" s="230"/>
      <c r="IT104" s="204"/>
      <c r="IU104" s="204"/>
      <c r="IV104" s="153"/>
      <c r="IW104" s="153"/>
      <c r="IX104" s="153"/>
      <c r="IY104" s="153"/>
      <c r="IZ104" s="153"/>
      <c r="JA104" s="204"/>
      <c r="JB104" s="204"/>
      <c r="JC104" s="233"/>
      <c r="JD104" s="233"/>
      <c r="JE104" s="153"/>
      <c r="JF104" s="153"/>
      <c r="JG104" s="153"/>
      <c r="JH104" s="204"/>
      <c r="JI104" s="204"/>
      <c r="JJ104" s="153"/>
      <c r="JK104" s="153"/>
      <c r="JL104" s="153"/>
      <c r="JM104" s="153"/>
      <c r="JN104" s="153"/>
      <c r="JO104" s="204"/>
      <c r="JP104" s="204"/>
      <c r="JQ104" s="153"/>
      <c r="JR104" s="153"/>
      <c r="JS104" s="153"/>
      <c r="JT104" s="153"/>
      <c r="JU104" s="153"/>
      <c r="JV104" s="204"/>
      <c r="JW104" s="204"/>
      <c r="JX104" s="153"/>
      <c r="JY104" s="153"/>
      <c r="JZ104" s="153"/>
      <c r="KA104" s="153"/>
      <c r="KB104" s="153"/>
      <c r="KC104" s="204"/>
      <c r="KD104" s="204"/>
      <c r="KE104" s="153"/>
      <c r="KF104" s="153"/>
      <c r="KG104" s="153"/>
      <c r="KH104" s="153"/>
      <c r="KI104" s="153"/>
      <c r="KJ104" s="195"/>
      <c r="KK104" s="195"/>
      <c r="KL104" s="153"/>
      <c r="KM104" s="153"/>
      <c r="KN104" s="153"/>
      <c r="KO104" s="153"/>
      <c r="KP104" s="195"/>
      <c r="KQ104" s="195"/>
      <c r="KR104" s="195"/>
      <c r="KS104" s="153"/>
      <c r="KT104" s="153"/>
      <c r="KU104" s="153"/>
      <c r="KV104" s="153"/>
      <c r="KW104" s="153"/>
      <c r="KX104" s="211"/>
      <c r="KY104" s="211"/>
      <c r="KZ104" s="195"/>
      <c r="LA104" s="195"/>
      <c r="LB104" s="195"/>
      <c r="LC104" s="195"/>
      <c r="LD104" s="195"/>
      <c r="LE104" s="211"/>
      <c r="LF104" s="211"/>
      <c r="LG104" s="230"/>
      <c r="LH104" s="230"/>
      <c r="LI104" s="230"/>
      <c r="LJ104" s="230"/>
      <c r="LK104" s="230"/>
      <c r="LL104" s="230"/>
      <c r="LM104" s="211"/>
      <c r="LN104" s="233"/>
      <c r="LO104" s="233"/>
      <c r="LP104" s="233"/>
      <c r="LQ104" s="233"/>
      <c r="LR104" s="233"/>
      <c r="LS104" s="211"/>
      <c r="LT104" s="211"/>
      <c r="LU104" s="233"/>
      <c r="LV104" s="153"/>
      <c r="LW104" s="153"/>
      <c r="LX104" s="153"/>
      <c r="LY104" s="153"/>
      <c r="LZ104" s="204"/>
      <c r="MA104" s="204"/>
      <c r="MB104" s="153"/>
      <c r="MC104" s="153"/>
      <c r="MD104" s="153"/>
      <c r="ME104" s="153"/>
      <c r="MF104" s="153"/>
      <c r="MG104" s="204"/>
      <c r="MH104" s="204"/>
      <c r="MI104" s="153"/>
      <c r="MJ104" s="153"/>
      <c r="MK104" s="153"/>
      <c r="ML104" s="153"/>
      <c r="MM104" s="153"/>
      <c r="MN104" s="204"/>
      <c r="MO104" s="204"/>
      <c r="MP104" s="153"/>
      <c r="MQ104" s="153"/>
      <c r="MR104" s="153"/>
      <c r="MS104" s="153"/>
      <c r="MT104" s="153"/>
      <c r="MU104" s="204"/>
      <c r="MV104" s="204"/>
      <c r="MW104" s="153"/>
      <c r="MX104" s="153"/>
      <c r="MY104" s="153"/>
      <c r="MZ104" s="153"/>
      <c r="NA104" s="153"/>
      <c r="NB104" s="153"/>
      <c r="NC104" s="153"/>
      <c r="ND104" s="153"/>
    </row>
    <row r="105" spans="1:368" s="142" customFormat="1" ht="15" customHeight="1" thickBot="1">
      <c r="A105" s="471"/>
      <c r="B105" s="476" t="s">
        <v>92</v>
      </c>
      <c r="C105" s="477"/>
      <c r="D105" s="155">
        <f t="shared" ref="D105:H105" si="146">SUM(D89:D103)</f>
        <v>0</v>
      </c>
      <c r="E105" s="155">
        <f t="shared" si="146"/>
        <v>0</v>
      </c>
      <c r="F105" s="155">
        <f t="shared" si="146"/>
        <v>0</v>
      </c>
      <c r="G105" s="155">
        <f t="shared" si="146"/>
        <v>0</v>
      </c>
      <c r="H105" s="155">
        <f t="shared" si="146"/>
        <v>0</v>
      </c>
      <c r="I105" s="195"/>
      <c r="J105" s="195"/>
      <c r="K105" s="155">
        <f t="shared" ref="K105:O105" si="147">SUM(K89:K103)</f>
        <v>0</v>
      </c>
      <c r="L105" s="155">
        <f t="shared" si="147"/>
        <v>0</v>
      </c>
      <c r="M105" s="155">
        <f t="shared" si="147"/>
        <v>0</v>
      </c>
      <c r="N105" s="155">
        <f t="shared" si="147"/>
        <v>0</v>
      </c>
      <c r="O105" s="155">
        <f t="shared" si="147"/>
        <v>0</v>
      </c>
      <c r="P105" s="195"/>
      <c r="Q105" s="195"/>
      <c r="R105" s="155">
        <f t="shared" ref="R105:V105" si="148">SUM(R89:R103)</f>
        <v>0</v>
      </c>
      <c r="S105" s="155">
        <f t="shared" si="148"/>
        <v>0</v>
      </c>
      <c r="T105" s="155">
        <f t="shared" si="148"/>
        <v>0</v>
      </c>
      <c r="U105" s="155">
        <f t="shared" si="148"/>
        <v>0</v>
      </c>
      <c r="V105" s="155">
        <f t="shared" si="148"/>
        <v>0</v>
      </c>
      <c r="W105" s="195"/>
      <c r="X105" s="195"/>
      <c r="Y105" s="155">
        <f t="shared" ref="Y105:AC105" si="149">SUM(Y89:Y103)</f>
        <v>0</v>
      </c>
      <c r="Z105" s="155">
        <f t="shared" si="149"/>
        <v>0</v>
      </c>
      <c r="AA105" s="155">
        <f t="shared" si="149"/>
        <v>0</v>
      </c>
      <c r="AB105" s="155">
        <f t="shared" si="149"/>
        <v>0</v>
      </c>
      <c r="AC105" s="155">
        <f t="shared" si="149"/>
        <v>0</v>
      </c>
      <c r="AD105" s="195"/>
      <c r="AE105" s="195"/>
      <c r="AF105" s="155">
        <f t="shared" ref="AF105:AJ105" si="150">SUM(AF89:AF103)</f>
        <v>0</v>
      </c>
      <c r="AG105" s="155">
        <f t="shared" si="150"/>
        <v>0</v>
      </c>
      <c r="AH105" s="155">
        <f t="shared" si="150"/>
        <v>0</v>
      </c>
      <c r="AI105" s="155">
        <f t="shared" si="150"/>
        <v>0</v>
      </c>
      <c r="AJ105" s="155">
        <f t="shared" si="150"/>
        <v>0</v>
      </c>
      <c r="AK105" s="195"/>
      <c r="AL105" s="195"/>
      <c r="AM105" s="155">
        <f t="shared" ref="AM105:AQ105" si="151">SUM(AM89:AM103)</f>
        <v>0</v>
      </c>
      <c r="AN105" s="155">
        <f t="shared" si="151"/>
        <v>0</v>
      </c>
      <c r="AO105" s="155">
        <f t="shared" si="151"/>
        <v>0</v>
      </c>
      <c r="AP105" s="155">
        <f t="shared" si="151"/>
        <v>0</v>
      </c>
      <c r="AQ105" s="155">
        <f t="shared" si="151"/>
        <v>0</v>
      </c>
      <c r="AR105" s="195"/>
      <c r="AS105" s="195"/>
      <c r="AT105" s="155">
        <f t="shared" ref="AT105:AX105" si="152">SUM(AT89:AT103)</f>
        <v>0</v>
      </c>
      <c r="AU105" s="155">
        <f t="shared" si="152"/>
        <v>0</v>
      </c>
      <c r="AV105" s="155">
        <f t="shared" si="152"/>
        <v>0</v>
      </c>
      <c r="AW105" s="155">
        <f t="shared" si="152"/>
        <v>0</v>
      </c>
      <c r="AX105" s="155">
        <f t="shared" si="152"/>
        <v>0</v>
      </c>
      <c r="AY105" s="195"/>
      <c r="AZ105" s="195"/>
      <c r="BA105" s="155">
        <f t="shared" ref="BA105:BE105" si="153">SUM(BA89:BA103)</f>
        <v>0</v>
      </c>
      <c r="BB105" s="155">
        <f t="shared" si="153"/>
        <v>0</v>
      </c>
      <c r="BC105" s="155">
        <f t="shared" si="153"/>
        <v>0</v>
      </c>
      <c r="BD105" s="155">
        <f t="shared" si="153"/>
        <v>0</v>
      </c>
      <c r="BE105" s="155">
        <f t="shared" si="153"/>
        <v>0</v>
      </c>
      <c r="BF105" s="195"/>
      <c r="BG105" s="195"/>
      <c r="BH105" s="155">
        <f t="shared" ref="BH105:BL105" si="154">SUM(BH89:BH103)</f>
        <v>0</v>
      </c>
      <c r="BI105" s="155">
        <f t="shared" si="154"/>
        <v>0</v>
      </c>
      <c r="BJ105" s="155">
        <f t="shared" si="154"/>
        <v>0</v>
      </c>
      <c r="BK105" s="155">
        <f t="shared" si="154"/>
        <v>0</v>
      </c>
      <c r="BL105" s="155">
        <f t="shared" si="154"/>
        <v>0</v>
      </c>
      <c r="BM105" s="195"/>
      <c r="BN105" s="195"/>
      <c r="BO105" s="155">
        <f t="shared" ref="BO105:BS105" si="155">SUM(BO89:BO103)</f>
        <v>0</v>
      </c>
      <c r="BP105" s="155">
        <f t="shared" si="155"/>
        <v>0</v>
      </c>
      <c r="BQ105" s="155">
        <f t="shared" si="155"/>
        <v>0</v>
      </c>
      <c r="BR105" s="155">
        <f t="shared" si="155"/>
        <v>0</v>
      </c>
      <c r="BS105" s="155">
        <f t="shared" si="155"/>
        <v>0</v>
      </c>
      <c r="BT105" s="195"/>
      <c r="BU105" s="195"/>
      <c r="BV105" s="155">
        <f t="shared" ref="BV105:BZ105" si="156">SUM(BV89:BV103)</f>
        <v>0</v>
      </c>
      <c r="BW105" s="155">
        <f t="shared" si="156"/>
        <v>0</v>
      </c>
      <c r="BX105" s="155">
        <f t="shared" si="156"/>
        <v>0</v>
      </c>
      <c r="BY105" s="155">
        <f t="shared" si="156"/>
        <v>0</v>
      </c>
      <c r="BZ105" s="155">
        <f t="shared" si="156"/>
        <v>0</v>
      </c>
      <c r="CA105" s="195"/>
      <c r="CB105" s="195"/>
      <c r="CC105" s="155">
        <f t="shared" ref="CC105:CG105" si="157">SUM(CC89:CC103)</f>
        <v>0</v>
      </c>
      <c r="CD105" s="155">
        <f t="shared" si="157"/>
        <v>0</v>
      </c>
      <c r="CE105" s="155">
        <f t="shared" si="157"/>
        <v>0</v>
      </c>
      <c r="CF105" s="155">
        <f t="shared" si="157"/>
        <v>0</v>
      </c>
      <c r="CG105" s="155">
        <f t="shared" si="157"/>
        <v>0</v>
      </c>
      <c r="CH105" s="195"/>
      <c r="CI105" s="195"/>
      <c r="CJ105" s="155">
        <f t="shared" ref="CJ105:CN105" si="158">SUM(CJ89:CJ103)</f>
        <v>0</v>
      </c>
      <c r="CK105" s="155">
        <f t="shared" si="158"/>
        <v>0</v>
      </c>
      <c r="CL105" s="155">
        <f t="shared" si="158"/>
        <v>0</v>
      </c>
      <c r="CM105" s="155">
        <f t="shared" si="158"/>
        <v>0</v>
      </c>
      <c r="CN105" s="155">
        <f t="shared" si="158"/>
        <v>0</v>
      </c>
      <c r="CO105" s="195"/>
      <c r="CP105" s="195"/>
      <c r="CQ105" s="155">
        <f t="shared" ref="CQ105:CU105" si="159">SUM(CQ89:CQ103)</f>
        <v>0</v>
      </c>
      <c r="CR105" s="155">
        <f t="shared" si="159"/>
        <v>0</v>
      </c>
      <c r="CS105" s="155">
        <f t="shared" si="159"/>
        <v>0</v>
      </c>
      <c r="CT105" s="155">
        <f t="shared" si="159"/>
        <v>0</v>
      </c>
      <c r="CU105" s="155">
        <f t="shared" si="159"/>
        <v>0</v>
      </c>
      <c r="CV105" s="195"/>
      <c r="CW105" s="195"/>
      <c r="CX105" s="155">
        <f t="shared" ref="CX105:DB105" si="160">SUM(CX89:CX103)</f>
        <v>0</v>
      </c>
      <c r="CY105" s="155">
        <f t="shared" si="160"/>
        <v>0</v>
      </c>
      <c r="CZ105" s="155">
        <f t="shared" si="160"/>
        <v>0</v>
      </c>
      <c r="DA105" s="155">
        <f t="shared" si="160"/>
        <v>0</v>
      </c>
      <c r="DB105" s="155">
        <f t="shared" si="160"/>
        <v>0</v>
      </c>
      <c r="DC105" s="195"/>
      <c r="DD105" s="195"/>
      <c r="DE105" s="155">
        <f t="shared" ref="DE105:DI105" si="161">SUM(DE89:DE103)</f>
        <v>0</v>
      </c>
      <c r="DF105" s="155">
        <f t="shared" si="161"/>
        <v>0</v>
      </c>
      <c r="DG105" s="155">
        <f t="shared" si="161"/>
        <v>0</v>
      </c>
      <c r="DH105" s="155">
        <f t="shared" si="161"/>
        <v>0</v>
      </c>
      <c r="DI105" s="155">
        <f t="shared" si="161"/>
        <v>0</v>
      </c>
      <c r="DJ105" s="195"/>
      <c r="DK105" s="195"/>
      <c r="DL105" s="155">
        <f t="shared" ref="DL105:DP105" si="162">SUM(DL89:DL103)</f>
        <v>0</v>
      </c>
      <c r="DM105" s="155">
        <f t="shared" si="162"/>
        <v>0</v>
      </c>
      <c r="DN105" s="155">
        <f t="shared" si="162"/>
        <v>0</v>
      </c>
      <c r="DO105" s="155">
        <f t="shared" si="162"/>
        <v>0</v>
      </c>
      <c r="DP105" s="155">
        <f t="shared" si="162"/>
        <v>0</v>
      </c>
      <c r="DQ105" s="195"/>
      <c r="DR105" s="195"/>
      <c r="DS105" s="155">
        <f t="shared" ref="DS105:DW105" si="163">SUM(DS89:DS103)</f>
        <v>0</v>
      </c>
      <c r="DT105" s="155">
        <f t="shared" si="163"/>
        <v>0</v>
      </c>
      <c r="DU105" s="155">
        <f t="shared" si="163"/>
        <v>0</v>
      </c>
      <c r="DV105" s="155">
        <f t="shared" si="163"/>
        <v>0</v>
      </c>
      <c r="DW105" s="155">
        <f t="shared" si="163"/>
        <v>0</v>
      </c>
      <c r="DX105" s="195"/>
      <c r="DY105" s="195"/>
      <c r="DZ105" s="155">
        <f t="shared" ref="DZ105:ED105" si="164">SUM(DZ89:DZ103)</f>
        <v>0</v>
      </c>
      <c r="EA105" s="155">
        <f t="shared" si="164"/>
        <v>0</v>
      </c>
      <c r="EB105" s="155">
        <f t="shared" si="164"/>
        <v>0</v>
      </c>
      <c r="EC105" s="155">
        <f t="shared" si="164"/>
        <v>0</v>
      </c>
      <c r="ED105" s="155">
        <f t="shared" si="164"/>
        <v>0</v>
      </c>
      <c r="EE105" s="195"/>
      <c r="EF105" s="195"/>
      <c r="EG105" s="155">
        <f t="shared" ref="EG105:EK105" si="165">SUM(EG89:EG103)</f>
        <v>0</v>
      </c>
      <c r="EH105" s="155">
        <f t="shared" si="165"/>
        <v>0</v>
      </c>
      <c r="EI105" s="155">
        <f t="shared" si="165"/>
        <v>0</v>
      </c>
      <c r="EJ105" s="155">
        <f t="shared" si="165"/>
        <v>0</v>
      </c>
      <c r="EK105" s="155">
        <f t="shared" si="165"/>
        <v>0</v>
      </c>
      <c r="EL105" s="195"/>
      <c r="EM105" s="195"/>
      <c r="EN105" s="155">
        <f t="shared" ref="EN105:ER105" si="166">SUM(EN89:EN103)</f>
        <v>0</v>
      </c>
      <c r="EO105" s="155">
        <f t="shared" si="166"/>
        <v>0</v>
      </c>
      <c r="EP105" s="155">
        <f t="shared" si="166"/>
        <v>0</v>
      </c>
      <c r="EQ105" s="155">
        <f t="shared" si="166"/>
        <v>0</v>
      </c>
      <c r="ER105" s="155">
        <f t="shared" si="166"/>
        <v>0</v>
      </c>
      <c r="ES105" s="195"/>
      <c r="ET105" s="195"/>
      <c r="EU105" s="155">
        <f t="shared" ref="EU105:EY105" si="167">SUM(EU89:EU103)</f>
        <v>0</v>
      </c>
      <c r="EV105" s="155">
        <f t="shared" si="167"/>
        <v>0</v>
      </c>
      <c r="EW105" s="155">
        <f t="shared" si="167"/>
        <v>0</v>
      </c>
      <c r="EX105" s="155">
        <f t="shared" si="167"/>
        <v>0</v>
      </c>
      <c r="EY105" s="155">
        <f t="shared" si="167"/>
        <v>0</v>
      </c>
      <c r="EZ105" s="195"/>
      <c r="FA105" s="195"/>
      <c r="FB105" s="155">
        <f t="shared" ref="FB105:FF105" si="168">SUM(FB89:FB103)</f>
        <v>0</v>
      </c>
      <c r="FC105" s="155">
        <f t="shared" si="168"/>
        <v>0</v>
      </c>
      <c r="FD105" s="155">
        <f t="shared" si="168"/>
        <v>0</v>
      </c>
      <c r="FE105" s="155">
        <f t="shared" si="168"/>
        <v>0</v>
      </c>
      <c r="FF105" s="155">
        <f t="shared" si="168"/>
        <v>0</v>
      </c>
      <c r="FG105" s="195"/>
      <c r="FH105" s="195"/>
      <c r="FI105" s="155">
        <f t="shared" ref="FI105:FM105" si="169">SUM(FI89:FI103)</f>
        <v>0</v>
      </c>
      <c r="FJ105" s="155">
        <f t="shared" si="169"/>
        <v>0</v>
      </c>
      <c r="FK105" s="155">
        <f t="shared" si="169"/>
        <v>0</v>
      </c>
      <c r="FL105" s="155">
        <f t="shared" si="169"/>
        <v>0</v>
      </c>
      <c r="FM105" s="155">
        <f t="shared" si="169"/>
        <v>0</v>
      </c>
      <c r="FN105" s="195"/>
      <c r="FO105" s="195"/>
      <c r="FP105" s="155">
        <f t="shared" ref="FP105:FT105" si="170">SUM(FP89:FP103)</f>
        <v>0</v>
      </c>
      <c r="FQ105" s="155">
        <f t="shared" si="170"/>
        <v>0</v>
      </c>
      <c r="FR105" s="155">
        <f t="shared" si="170"/>
        <v>0</v>
      </c>
      <c r="FS105" s="155">
        <f t="shared" si="170"/>
        <v>0</v>
      </c>
      <c r="FT105" s="155">
        <f t="shared" si="170"/>
        <v>0</v>
      </c>
      <c r="FU105" s="195"/>
      <c r="FV105" s="195"/>
      <c r="FW105" s="155">
        <f t="shared" ref="FW105:HJ105" si="171">SUM(FW89:FW103)</f>
        <v>0</v>
      </c>
      <c r="FX105" s="155">
        <f t="shared" si="171"/>
        <v>0</v>
      </c>
      <c r="FY105" s="155">
        <f t="shared" si="171"/>
        <v>0</v>
      </c>
      <c r="FZ105" s="155">
        <f t="shared" si="171"/>
        <v>0</v>
      </c>
      <c r="GA105" s="155">
        <f t="shared" si="171"/>
        <v>0</v>
      </c>
      <c r="GB105" s="155">
        <f t="shared" si="171"/>
        <v>0</v>
      </c>
      <c r="GC105" s="155">
        <f t="shared" si="171"/>
        <v>0</v>
      </c>
      <c r="GD105" s="155">
        <f t="shared" si="171"/>
        <v>0</v>
      </c>
      <c r="GE105" s="155">
        <f t="shared" si="171"/>
        <v>0</v>
      </c>
      <c r="GF105" s="155">
        <f t="shared" si="171"/>
        <v>0</v>
      </c>
      <c r="GG105" s="155">
        <f t="shared" si="171"/>
        <v>0</v>
      </c>
      <c r="GH105" s="155">
        <f t="shared" si="171"/>
        <v>0</v>
      </c>
      <c r="GI105" s="155">
        <f t="shared" si="171"/>
        <v>0</v>
      </c>
      <c r="GJ105" s="155">
        <f t="shared" si="171"/>
        <v>0</v>
      </c>
      <c r="GK105" s="155">
        <f t="shared" si="171"/>
        <v>0</v>
      </c>
      <c r="GL105" s="155">
        <f t="shared" si="171"/>
        <v>0</v>
      </c>
      <c r="GM105" s="155">
        <f t="shared" si="171"/>
        <v>0</v>
      </c>
      <c r="GN105" s="155">
        <f t="shared" si="171"/>
        <v>0</v>
      </c>
      <c r="GO105" s="155">
        <f t="shared" si="171"/>
        <v>0</v>
      </c>
      <c r="GP105" s="155">
        <f t="shared" si="171"/>
        <v>0</v>
      </c>
      <c r="GQ105" s="155">
        <f t="shared" si="171"/>
        <v>0</v>
      </c>
      <c r="GR105" s="155">
        <f t="shared" si="171"/>
        <v>0</v>
      </c>
      <c r="GS105" s="155">
        <f t="shared" si="171"/>
        <v>0</v>
      </c>
      <c r="GT105" s="155">
        <f t="shared" si="171"/>
        <v>0</v>
      </c>
      <c r="GU105" s="155">
        <f t="shared" si="171"/>
        <v>0</v>
      </c>
      <c r="GV105" s="155">
        <f t="shared" si="171"/>
        <v>0</v>
      </c>
      <c r="GW105" s="212">
        <f t="shared" si="171"/>
        <v>0</v>
      </c>
      <c r="GX105" s="212">
        <f t="shared" si="171"/>
        <v>0</v>
      </c>
      <c r="GY105" s="155">
        <f t="shared" si="171"/>
        <v>0</v>
      </c>
      <c r="GZ105" s="155">
        <f t="shared" si="171"/>
        <v>0</v>
      </c>
      <c r="HA105" s="155">
        <f t="shared" si="171"/>
        <v>0</v>
      </c>
      <c r="HB105" s="155">
        <f t="shared" si="171"/>
        <v>0</v>
      </c>
      <c r="HC105" s="155">
        <f t="shared" si="171"/>
        <v>0</v>
      </c>
      <c r="HD105" s="212">
        <f t="shared" si="171"/>
        <v>0</v>
      </c>
      <c r="HE105" s="212">
        <f t="shared" si="171"/>
        <v>0</v>
      </c>
      <c r="HF105" s="155">
        <f t="shared" si="171"/>
        <v>0</v>
      </c>
      <c r="HG105" s="155">
        <f t="shared" si="171"/>
        <v>0</v>
      </c>
      <c r="HH105" s="155">
        <f t="shared" si="171"/>
        <v>0</v>
      </c>
      <c r="HI105" s="155">
        <f t="shared" si="171"/>
        <v>0</v>
      </c>
      <c r="HJ105" s="155">
        <f t="shared" si="171"/>
        <v>0</v>
      </c>
      <c r="HK105" s="211"/>
      <c r="HL105" s="211"/>
      <c r="HM105" s="145">
        <f>SUM(HM89:HM103)</f>
        <v>0</v>
      </c>
      <c r="HN105" s="145">
        <f t="shared" ref="HN105:JY105" si="172">SUM(HN89:HN103)</f>
        <v>0</v>
      </c>
      <c r="HO105" s="145">
        <f t="shared" si="172"/>
        <v>0</v>
      </c>
      <c r="HP105" s="145">
        <f t="shared" si="172"/>
        <v>0</v>
      </c>
      <c r="HQ105" s="145">
        <f t="shared" si="172"/>
        <v>0</v>
      </c>
      <c r="HR105" s="145">
        <f t="shared" si="172"/>
        <v>0</v>
      </c>
      <c r="HS105" s="145">
        <f t="shared" si="172"/>
        <v>0</v>
      </c>
      <c r="HT105" s="145">
        <f t="shared" si="172"/>
        <v>0</v>
      </c>
      <c r="HU105" s="145">
        <f t="shared" si="172"/>
        <v>0</v>
      </c>
      <c r="HV105" s="145">
        <f t="shared" si="172"/>
        <v>0</v>
      </c>
      <c r="HW105" s="145">
        <f t="shared" si="172"/>
        <v>0</v>
      </c>
      <c r="HX105" s="145">
        <f t="shared" si="172"/>
        <v>0</v>
      </c>
      <c r="HY105" s="145">
        <f t="shared" si="172"/>
        <v>0</v>
      </c>
      <c r="HZ105" s="145">
        <f t="shared" si="172"/>
        <v>0</v>
      </c>
      <c r="IA105" s="145">
        <f t="shared" si="172"/>
        <v>0</v>
      </c>
      <c r="IB105" s="145">
        <f t="shared" si="172"/>
        <v>0</v>
      </c>
      <c r="IC105" s="145">
        <f t="shared" si="172"/>
        <v>0</v>
      </c>
      <c r="ID105" s="145">
        <f t="shared" si="172"/>
        <v>0</v>
      </c>
      <c r="IE105" s="145">
        <f t="shared" si="172"/>
        <v>0</v>
      </c>
      <c r="IF105" s="145">
        <f t="shared" si="172"/>
        <v>0</v>
      </c>
      <c r="IG105" s="145">
        <f t="shared" si="172"/>
        <v>0</v>
      </c>
      <c r="IH105" s="145">
        <f t="shared" si="172"/>
        <v>0</v>
      </c>
      <c r="II105" s="145">
        <f t="shared" si="172"/>
        <v>0</v>
      </c>
      <c r="IJ105" s="145">
        <f t="shared" si="172"/>
        <v>0</v>
      </c>
      <c r="IK105" s="145">
        <f t="shared" si="172"/>
        <v>0</v>
      </c>
      <c r="IL105" s="145">
        <f t="shared" si="172"/>
        <v>0</v>
      </c>
      <c r="IM105" s="145">
        <f t="shared" si="172"/>
        <v>0</v>
      </c>
      <c r="IN105" s="145">
        <f t="shared" si="172"/>
        <v>0</v>
      </c>
      <c r="IO105" s="145">
        <f t="shared" si="172"/>
        <v>0</v>
      </c>
      <c r="IP105" s="145">
        <f t="shared" si="172"/>
        <v>0</v>
      </c>
      <c r="IQ105" s="145">
        <f t="shared" si="172"/>
        <v>0</v>
      </c>
      <c r="IR105" s="145">
        <f t="shared" si="172"/>
        <v>0</v>
      </c>
      <c r="IS105" s="145">
        <f t="shared" si="172"/>
        <v>0</v>
      </c>
      <c r="IT105" s="145">
        <f t="shared" si="172"/>
        <v>0</v>
      </c>
      <c r="IU105" s="145">
        <f t="shared" si="172"/>
        <v>0</v>
      </c>
      <c r="IV105" s="145">
        <f t="shared" si="172"/>
        <v>0</v>
      </c>
      <c r="IW105" s="145">
        <f t="shared" si="172"/>
        <v>0</v>
      </c>
      <c r="IX105" s="145">
        <f t="shared" si="172"/>
        <v>0</v>
      </c>
      <c r="IY105" s="145">
        <f t="shared" si="172"/>
        <v>0</v>
      </c>
      <c r="IZ105" s="145">
        <f t="shared" si="172"/>
        <v>0</v>
      </c>
      <c r="JA105" s="145">
        <f t="shared" si="172"/>
        <v>0</v>
      </c>
      <c r="JB105" s="145">
        <f t="shared" si="172"/>
        <v>0</v>
      </c>
      <c r="JC105" s="145">
        <f t="shared" si="172"/>
        <v>0</v>
      </c>
      <c r="JD105" s="145">
        <f t="shared" si="172"/>
        <v>0</v>
      </c>
      <c r="JE105" s="145">
        <f t="shared" si="172"/>
        <v>0</v>
      </c>
      <c r="JF105" s="145">
        <f t="shared" si="172"/>
        <v>0</v>
      </c>
      <c r="JG105" s="145">
        <f t="shared" si="172"/>
        <v>0</v>
      </c>
      <c r="JH105" s="145">
        <f t="shared" si="172"/>
        <v>0</v>
      </c>
      <c r="JI105" s="145">
        <f t="shared" si="172"/>
        <v>0</v>
      </c>
      <c r="JJ105" s="145">
        <f t="shared" si="172"/>
        <v>0</v>
      </c>
      <c r="JK105" s="145">
        <f t="shared" si="172"/>
        <v>0</v>
      </c>
      <c r="JL105" s="145">
        <f t="shared" si="172"/>
        <v>0</v>
      </c>
      <c r="JM105" s="145">
        <f t="shared" si="172"/>
        <v>0</v>
      </c>
      <c r="JN105" s="145">
        <f t="shared" si="172"/>
        <v>0</v>
      </c>
      <c r="JO105" s="145">
        <f t="shared" si="172"/>
        <v>0</v>
      </c>
      <c r="JP105" s="145">
        <f t="shared" si="172"/>
        <v>0</v>
      </c>
      <c r="JQ105" s="145">
        <f t="shared" si="172"/>
        <v>0</v>
      </c>
      <c r="JR105" s="145">
        <f t="shared" si="172"/>
        <v>0</v>
      </c>
      <c r="JS105" s="145">
        <f t="shared" si="172"/>
        <v>0</v>
      </c>
      <c r="JT105" s="145">
        <f t="shared" si="172"/>
        <v>0</v>
      </c>
      <c r="JU105" s="145">
        <f t="shared" si="172"/>
        <v>0</v>
      </c>
      <c r="JV105" s="145">
        <f t="shared" si="172"/>
        <v>0</v>
      </c>
      <c r="JW105" s="145">
        <f t="shared" si="172"/>
        <v>0</v>
      </c>
      <c r="JX105" s="145">
        <f t="shared" si="172"/>
        <v>0</v>
      </c>
      <c r="JY105" s="145">
        <f t="shared" si="172"/>
        <v>0</v>
      </c>
      <c r="JZ105" s="145">
        <f t="shared" ref="JZ105:MK105" si="173">SUM(JZ89:JZ103)</f>
        <v>0</v>
      </c>
      <c r="KA105" s="145">
        <f t="shared" si="173"/>
        <v>0</v>
      </c>
      <c r="KB105" s="145">
        <f t="shared" si="173"/>
        <v>0</v>
      </c>
      <c r="KC105" s="145">
        <f t="shared" si="173"/>
        <v>0</v>
      </c>
      <c r="KD105" s="145">
        <f t="shared" si="173"/>
        <v>0</v>
      </c>
      <c r="KE105" s="145">
        <f t="shared" si="173"/>
        <v>0</v>
      </c>
      <c r="KF105" s="145">
        <f t="shared" si="173"/>
        <v>0</v>
      </c>
      <c r="KG105" s="145">
        <f t="shared" si="173"/>
        <v>0</v>
      </c>
      <c r="KH105" s="145">
        <f t="shared" si="173"/>
        <v>0</v>
      </c>
      <c r="KI105" s="145">
        <f t="shared" si="173"/>
        <v>0</v>
      </c>
      <c r="KJ105" s="145">
        <f t="shared" si="173"/>
        <v>0</v>
      </c>
      <c r="KK105" s="145">
        <f t="shared" si="173"/>
        <v>0</v>
      </c>
      <c r="KL105" s="145">
        <f t="shared" si="173"/>
        <v>0</v>
      </c>
      <c r="KM105" s="145">
        <f t="shared" si="173"/>
        <v>0</v>
      </c>
      <c r="KN105" s="145">
        <f t="shared" si="173"/>
        <v>0</v>
      </c>
      <c r="KO105" s="145">
        <f t="shared" si="173"/>
        <v>0</v>
      </c>
      <c r="KP105" s="145">
        <f t="shared" si="173"/>
        <v>0</v>
      </c>
      <c r="KQ105" s="145">
        <f t="shared" si="173"/>
        <v>0</v>
      </c>
      <c r="KR105" s="145">
        <f t="shared" si="173"/>
        <v>0</v>
      </c>
      <c r="KS105" s="145">
        <f t="shared" si="173"/>
        <v>0</v>
      </c>
      <c r="KT105" s="145">
        <f t="shared" si="173"/>
        <v>0</v>
      </c>
      <c r="KU105" s="145">
        <f t="shared" si="173"/>
        <v>0</v>
      </c>
      <c r="KV105" s="145">
        <f t="shared" si="173"/>
        <v>0</v>
      </c>
      <c r="KW105" s="145">
        <f t="shared" si="173"/>
        <v>0</v>
      </c>
      <c r="KX105" s="145">
        <f t="shared" si="173"/>
        <v>0</v>
      </c>
      <c r="KY105" s="145">
        <f t="shared" si="173"/>
        <v>0</v>
      </c>
      <c r="KZ105" s="195">
        <f t="shared" si="173"/>
        <v>0</v>
      </c>
      <c r="LA105" s="195">
        <f t="shared" si="173"/>
        <v>0</v>
      </c>
      <c r="LB105" s="195">
        <f t="shared" si="173"/>
        <v>0</v>
      </c>
      <c r="LC105" s="195">
        <f t="shared" si="173"/>
        <v>0</v>
      </c>
      <c r="LD105" s="195">
        <f t="shared" si="173"/>
        <v>0</v>
      </c>
      <c r="LE105" s="145">
        <f t="shared" si="173"/>
        <v>0</v>
      </c>
      <c r="LF105" s="145">
        <f t="shared" si="173"/>
        <v>0</v>
      </c>
      <c r="LG105" s="211">
        <f t="shared" si="173"/>
        <v>0</v>
      </c>
      <c r="LH105" s="211">
        <f t="shared" si="173"/>
        <v>0</v>
      </c>
      <c r="LI105" s="211">
        <f t="shared" si="173"/>
        <v>0</v>
      </c>
      <c r="LJ105" s="211">
        <f t="shared" si="173"/>
        <v>0</v>
      </c>
      <c r="LK105" s="211">
        <f t="shared" si="173"/>
        <v>0</v>
      </c>
      <c r="LL105" s="211">
        <f t="shared" si="173"/>
        <v>0</v>
      </c>
      <c r="LM105" s="211">
        <f t="shared" si="173"/>
        <v>0</v>
      </c>
      <c r="LN105" s="145">
        <f t="shared" si="173"/>
        <v>0</v>
      </c>
      <c r="LO105" s="145">
        <f t="shared" si="173"/>
        <v>0</v>
      </c>
      <c r="LP105" s="145">
        <f t="shared" si="173"/>
        <v>0</v>
      </c>
      <c r="LQ105" s="145">
        <f t="shared" si="173"/>
        <v>0</v>
      </c>
      <c r="LR105" s="145">
        <f t="shared" si="173"/>
        <v>0</v>
      </c>
      <c r="LS105" s="211">
        <f t="shared" si="173"/>
        <v>0</v>
      </c>
      <c r="LT105" s="211">
        <f t="shared" si="173"/>
        <v>0</v>
      </c>
      <c r="LU105" s="145">
        <f t="shared" si="173"/>
        <v>0</v>
      </c>
      <c r="LV105" s="145">
        <f t="shared" si="173"/>
        <v>0</v>
      </c>
      <c r="LW105" s="145">
        <f t="shared" si="173"/>
        <v>0</v>
      </c>
      <c r="LX105" s="145">
        <f t="shared" si="173"/>
        <v>0</v>
      </c>
      <c r="LY105" s="145">
        <f t="shared" si="173"/>
        <v>0</v>
      </c>
      <c r="LZ105" s="145">
        <f t="shared" si="173"/>
        <v>0</v>
      </c>
      <c r="MA105" s="145">
        <f t="shared" si="173"/>
        <v>0</v>
      </c>
      <c r="MB105" s="145">
        <f t="shared" si="173"/>
        <v>0</v>
      </c>
      <c r="MC105" s="145">
        <f t="shared" si="173"/>
        <v>0</v>
      </c>
      <c r="MD105" s="145">
        <f t="shared" si="173"/>
        <v>0</v>
      </c>
      <c r="ME105" s="145">
        <f t="shared" si="173"/>
        <v>0</v>
      </c>
      <c r="MF105" s="145">
        <f t="shared" si="173"/>
        <v>0</v>
      </c>
      <c r="MG105" s="145">
        <f t="shared" si="173"/>
        <v>0</v>
      </c>
      <c r="MH105" s="145">
        <f t="shared" si="173"/>
        <v>0</v>
      </c>
      <c r="MI105" s="145">
        <f t="shared" si="173"/>
        <v>0</v>
      </c>
      <c r="MJ105" s="145">
        <f t="shared" si="173"/>
        <v>0</v>
      </c>
      <c r="MK105" s="145">
        <f t="shared" si="173"/>
        <v>0</v>
      </c>
      <c r="ML105" s="145">
        <f t="shared" ref="ML105:NA105" si="174">SUM(ML89:ML103)</f>
        <v>0</v>
      </c>
      <c r="MM105" s="145">
        <f t="shared" si="174"/>
        <v>0</v>
      </c>
      <c r="MN105" s="145">
        <f t="shared" si="174"/>
        <v>0</v>
      </c>
      <c r="MO105" s="145">
        <f t="shared" si="174"/>
        <v>0</v>
      </c>
      <c r="MP105" s="145">
        <f t="shared" si="174"/>
        <v>0</v>
      </c>
      <c r="MQ105" s="145">
        <f t="shared" si="174"/>
        <v>0</v>
      </c>
      <c r="MR105" s="145">
        <f t="shared" si="174"/>
        <v>0</v>
      </c>
      <c r="MS105" s="145">
        <f t="shared" si="174"/>
        <v>0</v>
      </c>
      <c r="MT105" s="145">
        <f t="shared" si="174"/>
        <v>0</v>
      </c>
      <c r="MU105" s="145">
        <f t="shared" si="174"/>
        <v>0</v>
      </c>
      <c r="MV105" s="145">
        <f t="shared" si="174"/>
        <v>0</v>
      </c>
      <c r="MW105" s="145">
        <f t="shared" si="174"/>
        <v>0</v>
      </c>
      <c r="MX105" s="145">
        <f t="shared" si="174"/>
        <v>0</v>
      </c>
      <c r="MY105" s="145">
        <f t="shared" si="174"/>
        <v>0</v>
      </c>
      <c r="MZ105" s="145">
        <f t="shared" si="174"/>
        <v>0</v>
      </c>
      <c r="NA105" s="145">
        <f t="shared" si="174"/>
        <v>0</v>
      </c>
    </row>
    <row r="106" spans="1:368" s="148" customFormat="1" ht="15" customHeight="1">
      <c r="A106" s="469">
        <v>0.625</v>
      </c>
      <c r="B106" s="460" t="s">
        <v>7</v>
      </c>
      <c r="C106" s="163" t="s">
        <v>10</v>
      </c>
      <c r="D106" s="265"/>
      <c r="E106" s="266"/>
      <c r="F106" s="266"/>
      <c r="G106" s="266"/>
      <c r="H106" s="267"/>
      <c r="I106" s="194"/>
      <c r="J106" s="194"/>
      <c r="K106" s="265"/>
      <c r="L106" s="266"/>
      <c r="M106" s="266"/>
      <c r="N106" s="266"/>
      <c r="O106" s="267"/>
      <c r="P106" s="194"/>
      <c r="Q106" s="194"/>
      <c r="R106" s="265"/>
      <c r="S106" s="266"/>
      <c r="T106" s="266"/>
      <c r="U106" s="266"/>
      <c r="V106" s="267"/>
      <c r="W106" s="194"/>
      <c r="X106" s="194"/>
      <c r="Y106" s="265"/>
      <c r="Z106" s="266"/>
      <c r="AA106" s="266"/>
      <c r="AB106" s="266"/>
      <c r="AC106" s="267"/>
      <c r="AD106" s="194"/>
      <c r="AE106" s="194"/>
      <c r="AF106" s="265"/>
      <c r="AG106" s="266"/>
      <c r="AH106" s="266"/>
      <c r="AI106" s="266"/>
      <c r="AJ106" s="267"/>
      <c r="AK106" s="194"/>
      <c r="AL106" s="194"/>
      <c r="AM106" s="265"/>
      <c r="AN106" s="266"/>
      <c r="AO106" s="266"/>
      <c r="AP106" s="266"/>
      <c r="AQ106" s="267"/>
      <c r="AR106" s="194"/>
      <c r="AS106" s="194"/>
      <c r="AT106" s="265"/>
      <c r="AU106" s="266"/>
      <c r="AV106" s="266"/>
      <c r="AW106" s="266"/>
      <c r="AX106" s="267"/>
      <c r="AY106" s="194"/>
      <c r="AZ106" s="194"/>
      <c r="BA106" s="265"/>
      <c r="BB106" s="266"/>
      <c r="BC106" s="266"/>
      <c r="BD106" s="266"/>
      <c r="BE106" s="267"/>
      <c r="BF106" s="194"/>
      <c r="BG106" s="194"/>
      <c r="BH106" s="265"/>
      <c r="BI106" s="266"/>
      <c r="BJ106" s="266"/>
      <c r="BK106" s="266"/>
      <c r="BL106" s="267"/>
      <c r="BM106" s="194"/>
      <c r="BN106" s="194"/>
      <c r="BO106" s="265"/>
      <c r="BP106" s="266"/>
      <c r="BQ106" s="266"/>
      <c r="BR106" s="266"/>
      <c r="BS106" s="267"/>
      <c r="BT106" s="194"/>
      <c r="BU106" s="194"/>
      <c r="BV106" s="265"/>
      <c r="BW106" s="266"/>
      <c r="BX106" s="266"/>
      <c r="BY106" s="266"/>
      <c r="BZ106" s="267"/>
      <c r="CA106" s="194"/>
      <c r="CB106" s="194"/>
      <c r="CC106" s="265"/>
      <c r="CD106" s="266"/>
      <c r="CE106" s="266"/>
      <c r="CF106" s="266"/>
      <c r="CG106" s="267"/>
      <c r="CH106" s="194"/>
      <c r="CI106" s="194"/>
      <c r="CJ106" s="265"/>
      <c r="CK106" s="266"/>
      <c r="CL106" s="266"/>
      <c r="CM106" s="266"/>
      <c r="CN106" s="267"/>
      <c r="CO106" s="194"/>
      <c r="CP106" s="194"/>
      <c r="CQ106" s="265"/>
      <c r="CR106" s="266"/>
      <c r="CS106" s="266"/>
      <c r="CT106" s="266"/>
      <c r="CU106" s="267"/>
      <c r="CV106" s="194"/>
      <c r="CW106" s="194"/>
      <c r="CX106" s="265"/>
      <c r="CY106" s="266"/>
      <c r="CZ106" s="266"/>
      <c r="DA106" s="266"/>
      <c r="DB106" s="267"/>
      <c r="DC106" s="194"/>
      <c r="DD106" s="194"/>
      <c r="DE106" s="265"/>
      <c r="DF106" s="266"/>
      <c r="DG106" s="266"/>
      <c r="DH106" s="266"/>
      <c r="DI106" s="267"/>
      <c r="DJ106" s="194"/>
      <c r="DK106" s="194"/>
      <c r="DL106" s="265"/>
      <c r="DM106" s="266"/>
      <c r="DN106" s="266"/>
      <c r="DO106" s="266"/>
      <c r="DP106" s="267"/>
      <c r="DQ106" s="194"/>
      <c r="DR106" s="194"/>
      <c r="DS106" s="265"/>
      <c r="DT106" s="266"/>
      <c r="DU106" s="266"/>
      <c r="DV106" s="266"/>
      <c r="DW106" s="267"/>
      <c r="DX106" s="194"/>
      <c r="DY106" s="194"/>
      <c r="DZ106" s="265"/>
      <c r="EA106" s="266"/>
      <c r="EB106" s="266"/>
      <c r="EC106" s="266"/>
      <c r="ED106" s="267"/>
      <c r="EE106" s="194"/>
      <c r="EF106" s="194"/>
      <c r="EG106" s="265"/>
      <c r="EH106" s="266"/>
      <c r="EI106" s="266"/>
      <c r="EJ106" s="266"/>
      <c r="EK106" s="267"/>
      <c r="EL106" s="194"/>
      <c r="EM106" s="194"/>
      <c r="EN106" s="265"/>
      <c r="EO106" s="266"/>
      <c r="EP106" s="266"/>
      <c r="EQ106" s="266"/>
      <c r="ER106" s="267"/>
      <c r="ES106" s="194"/>
      <c r="ET106" s="194"/>
      <c r="EU106" s="265"/>
      <c r="EV106" s="266"/>
      <c r="EW106" s="266"/>
      <c r="EX106" s="266"/>
      <c r="EY106" s="267"/>
      <c r="EZ106" s="194"/>
      <c r="FA106" s="194"/>
      <c r="FB106" s="265"/>
      <c r="FC106" s="266"/>
      <c r="FD106" s="266"/>
      <c r="FE106" s="266"/>
      <c r="FF106" s="267"/>
      <c r="FG106" s="194"/>
      <c r="FH106" s="194"/>
      <c r="FI106" s="265"/>
      <c r="FJ106" s="266"/>
      <c r="FK106" s="266"/>
      <c r="FL106" s="266"/>
      <c r="FM106" s="267"/>
      <c r="FN106" s="194"/>
      <c r="FO106" s="194"/>
      <c r="FP106" s="265"/>
      <c r="FQ106" s="266"/>
      <c r="FR106" s="266"/>
      <c r="FS106" s="266"/>
      <c r="FT106" s="267"/>
      <c r="FU106" s="194"/>
      <c r="FV106" s="194"/>
      <c r="FW106" s="265"/>
      <c r="FX106" s="266"/>
      <c r="FY106" s="266"/>
      <c r="FZ106" s="266"/>
      <c r="GA106" s="267"/>
      <c r="GB106" s="194"/>
      <c r="GC106" s="194"/>
      <c r="GD106" s="143"/>
      <c r="GE106" s="143"/>
      <c r="GF106" s="143"/>
      <c r="GG106" s="143"/>
      <c r="GH106" s="143"/>
      <c r="GI106" s="194"/>
      <c r="GJ106" s="194"/>
      <c r="GK106" s="143"/>
      <c r="GL106" s="143"/>
      <c r="GM106" s="143"/>
      <c r="GN106" s="143"/>
      <c r="GO106" s="143"/>
      <c r="GP106" s="210"/>
      <c r="GQ106" s="210"/>
      <c r="GR106" s="143"/>
      <c r="GS106" s="143"/>
      <c r="GT106" s="143"/>
      <c r="GU106" s="143"/>
      <c r="GV106" s="143"/>
      <c r="GW106" s="210"/>
      <c r="GX106" s="210"/>
      <c r="GY106" s="143"/>
      <c r="GZ106" s="143"/>
      <c r="HA106" s="143"/>
      <c r="HB106" s="143"/>
      <c r="HC106" s="143"/>
      <c r="HD106" s="210"/>
      <c r="HE106" s="210"/>
      <c r="HF106" s="143"/>
      <c r="HG106" s="143"/>
      <c r="HH106" s="143"/>
      <c r="HI106" s="143"/>
      <c r="HJ106" s="143"/>
      <c r="HK106" s="210"/>
      <c r="HL106" s="210"/>
      <c r="HM106" s="143"/>
      <c r="HN106" s="143"/>
      <c r="HO106" s="143"/>
      <c r="HP106" s="143"/>
      <c r="HQ106" s="143"/>
      <c r="HR106" s="143"/>
      <c r="HS106" s="143"/>
      <c r="HT106" s="143"/>
      <c r="HU106" s="143"/>
      <c r="HV106" s="143"/>
      <c r="HW106" s="143"/>
      <c r="HX106" s="143"/>
      <c r="HY106" s="203"/>
      <c r="HZ106" s="203"/>
      <c r="IA106" s="143"/>
      <c r="IB106" s="143"/>
      <c r="IC106" s="143"/>
      <c r="ID106" s="143"/>
      <c r="IE106" s="143"/>
      <c r="IF106" s="203"/>
      <c r="IG106" s="203"/>
      <c r="IH106" s="143"/>
      <c r="II106" s="143"/>
      <c r="IJ106" s="143"/>
      <c r="IK106" s="143"/>
      <c r="IL106" s="143"/>
      <c r="IM106" s="203"/>
      <c r="IN106" s="203"/>
      <c r="IO106" s="143"/>
      <c r="IP106" s="143"/>
      <c r="IQ106" s="227"/>
      <c r="IR106" s="227"/>
      <c r="IS106" s="227"/>
      <c r="IT106" s="203"/>
      <c r="IU106" s="203"/>
      <c r="IV106" s="143"/>
      <c r="IW106" s="143"/>
      <c r="IX106" s="143"/>
      <c r="IY106" s="143"/>
      <c r="IZ106" s="143"/>
      <c r="JA106" s="203"/>
      <c r="JB106" s="203"/>
      <c r="JC106" s="227"/>
      <c r="JD106" s="227"/>
      <c r="JE106" s="143"/>
      <c r="JF106" s="143"/>
      <c r="JG106" s="143"/>
      <c r="JH106" s="203"/>
      <c r="JI106" s="203"/>
      <c r="JJ106" s="143"/>
      <c r="JK106" s="143"/>
      <c r="JL106" s="143"/>
      <c r="JM106" s="143"/>
      <c r="JN106" s="143"/>
      <c r="JO106" s="203"/>
      <c r="JP106" s="203"/>
      <c r="JQ106" s="143"/>
      <c r="JR106" s="143"/>
      <c r="JS106" s="143"/>
      <c r="JT106" s="143"/>
      <c r="JU106" s="143"/>
      <c r="JV106" s="203"/>
      <c r="JW106" s="203"/>
      <c r="JX106" s="143"/>
      <c r="JY106" s="143"/>
      <c r="JZ106" s="143"/>
      <c r="KA106" s="143"/>
      <c r="KB106" s="143"/>
      <c r="KC106" s="203"/>
      <c r="KD106" s="203"/>
      <c r="KE106" s="143"/>
      <c r="KF106" s="143"/>
      <c r="KG106" s="143"/>
      <c r="KH106" s="143"/>
      <c r="KI106" s="143"/>
      <c r="KJ106" s="194"/>
      <c r="KK106" s="194"/>
      <c r="KL106" s="143"/>
      <c r="KM106" s="143"/>
      <c r="KN106" s="143"/>
      <c r="KO106" s="143"/>
      <c r="KP106" s="227"/>
      <c r="KQ106" s="194"/>
      <c r="KR106" s="194"/>
      <c r="KS106" s="143"/>
      <c r="KT106" s="143"/>
      <c r="KU106" s="143"/>
      <c r="KV106" s="143"/>
      <c r="KW106" s="143"/>
      <c r="KX106" s="210"/>
      <c r="KY106" s="210"/>
      <c r="KZ106" s="194"/>
      <c r="LA106" s="194"/>
      <c r="LB106" s="194"/>
      <c r="LC106" s="194"/>
      <c r="LD106" s="194"/>
      <c r="LE106" s="210"/>
      <c r="LF106" s="210"/>
      <c r="LG106" s="227"/>
      <c r="LH106" s="227"/>
      <c r="LI106" s="227"/>
      <c r="LJ106" s="227"/>
      <c r="LK106" s="227"/>
      <c r="LL106" s="227"/>
      <c r="LM106" s="210"/>
      <c r="LN106" s="143"/>
      <c r="LO106" s="227"/>
      <c r="LP106" s="227"/>
      <c r="LQ106" s="227"/>
      <c r="LR106" s="227"/>
      <c r="LS106" s="210"/>
      <c r="LT106" s="210"/>
      <c r="LU106" s="227"/>
      <c r="LV106" s="143"/>
      <c r="LW106" s="143"/>
      <c r="LX106" s="143"/>
      <c r="LY106" s="143"/>
      <c r="LZ106" s="203"/>
      <c r="MA106" s="203"/>
      <c r="MB106" s="143"/>
      <c r="MC106" s="143"/>
      <c r="MD106" s="143"/>
      <c r="ME106" s="143"/>
      <c r="MF106" s="143"/>
      <c r="MG106" s="203"/>
      <c r="MH106" s="203"/>
      <c r="MI106" s="143"/>
      <c r="MJ106" s="143"/>
      <c r="MK106" s="143"/>
      <c r="ML106" s="143"/>
      <c r="MM106" s="143"/>
      <c r="MN106" s="203"/>
      <c r="MO106" s="203"/>
      <c r="MP106" s="143"/>
      <c r="MQ106" s="143"/>
      <c r="MR106" s="143"/>
      <c r="MS106" s="143"/>
      <c r="MT106" s="143"/>
      <c r="MU106" s="203"/>
      <c r="MV106" s="203"/>
      <c r="MW106" s="143"/>
      <c r="MX106" s="143"/>
      <c r="MY106" s="143"/>
      <c r="MZ106" s="143"/>
      <c r="NA106" s="143"/>
      <c r="NB106" s="143"/>
      <c r="NC106" s="143"/>
      <c r="ND106" s="143"/>
    </row>
    <row r="107" spans="1:368" s="147" customFormat="1" ht="15" customHeight="1">
      <c r="A107" s="472"/>
      <c r="B107" s="461"/>
      <c r="C107" s="164" t="s">
        <v>11</v>
      </c>
      <c r="D107" s="268"/>
      <c r="E107" s="143"/>
      <c r="F107" s="143"/>
      <c r="G107" s="143"/>
      <c r="H107" s="269"/>
      <c r="I107" s="194"/>
      <c r="J107" s="194"/>
      <c r="K107" s="268"/>
      <c r="L107" s="143"/>
      <c r="M107" s="143"/>
      <c r="N107" s="143"/>
      <c r="O107" s="269"/>
      <c r="P107" s="194"/>
      <c r="Q107" s="194"/>
      <c r="R107" s="268"/>
      <c r="S107" s="143"/>
      <c r="T107" s="143"/>
      <c r="U107" s="143"/>
      <c r="V107" s="269"/>
      <c r="W107" s="194"/>
      <c r="X107" s="194"/>
      <c r="Y107" s="268"/>
      <c r="Z107" s="143"/>
      <c r="AA107" s="143"/>
      <c r="AB107" s="143"/>
      <c r="AC107" s="269"/>
      <c r="AD107" s="194"/>
      <c r="AE107" s="194"/>
      <c r="AF107" s="268"/>
      <c r="AG107" s="143"/>
      <c r="AH107" s="143"/>
      <c r="AI107" s="143"/>
      <c r="AJ107" s="269"/>
      <c r="AK107" s="194"/>
      <c r="AL107" s="194"/>
      <c r="AM107" s="268"/>
      <c r="AN107" s="143"/>
      <c r="AO107" s="143"/>
      <c r="AP107" s="143"/>
      <c r="AQ107" s="269"/>
      <c r="AR107" s="194"/>
      <c r="AS107" s="194"/>
      <c r="AT107" s="268"/>
      <c r="AU107" s="143"/>
      <c r="AV107" s="143"/>
      <c r="AW107" s="143"/>
      <c r="AX107" s="269"/>
      <c r="AY107" s="194"/>
      <c r="AZ107" s="194"/>
      <c r="BA107" s="268"/>
      <c r="BB107" s="143"/>
      <c r="BC107" s="143"/>
      <c r="BD107" s="143"/>
      <c r="BE107" s="269"/>
      <c r="BF107" s="194"/>
      <c r="BG107" s="194"/>
      <c r="BH107" s="268"/>
      <c r="BI107" s="143"/>
      <c r="BJ107" s="143"/>
      <c r="BK107" s="143"/>
      <c r="BL107" s="269"/>
      <c r="BM107" s="194"/>
      <c r="BN107" s="194"/>
      <c r="BO107" s="268"/>
      <c r="BP107" s="143"/>
      <c r="BQ107" s="143"/>
      <c r="BR107" s="143"/>
      <c r="BS107" s="269"/>
      <c r="BT107" s="194"/>
      <c r="BU107" s="194"/>
      <c r="BV107" s="268"/>
      <c r="BW107" s="143"/>
      <c r="BX107" s="143"/>
      <c r="BY107" s="143"/>
      <c r="BZ107" s="269"/>
      <c r="CA107" s="194"/>
      <c r="CB107" s="194"/>
      <c r="CC107" s="268"/>
      <c r="CD107" s="143"/>
      <c r="CE107" s="143"/>
      <c r="CF107" s="143"/>
      <c r="CG107" s="269"/>
      <c r="CH107" s="194"/>
      <c r="CI107" s="194"/>
      <c r="CJ107" s="268"/>
      <c r="CK107" s="143"/>
      <c r="CL107" s="143"/>
      <c r="CM107" s="143"/>
      <c r="CN107" s="269"/>
      <c r="CO107" s="194"/>
      <c r="CP107" s="194"/>
      <c r="CQ107" s="268"/>
      <c r="CR107" s="143"/>
      <c r="CS107" s="143"/>
      <c r="CT107" s="143"/>
      <c r="CU107" s="269"/>
      <c r="CV107" s="194"/>
      <c r="CW107" s="194"/>
      <c r="CX107" s="268"/>
      <c r="CY107" s="143"/>
      <c r="CZ107" s="143"/>
      <c r="DA107" s="143"/>
      <c r="DB107" s="269"/>
      <c r="DC107" s="194"/>
      <c r="DD107" s="194"/>
      <c r="DE107" s="268"/>
      <c r="DF107" s="143"/>
      <c r="DG107" s="143"/>
      <c r="DH107" s="143"/>
      <c r="DI107" s="269"/>
      <c r="DJ107" s="194"/>
      <c r="DK107" s="194"/>
      <c r="DL107" s="268"/>
      <c r="DM107" s="143"/>
      <c r="DN107" s="143"/>
      <c r="DO107" s="143"/>
      <c r="DP107" s="269"/>
      <c r="DQ107" s="194"/>
      <c r="DR107" s="194"/>
      <c r="DS107" s="268"/>
      <c r="DT107" s="143"/>
      <c r="DU107" s="143"/>
      <c r="DV107" s="143"/>
      <c r="DW107" s="269"/>
      <c r="DX107" s="194"/>
      <c r="DY107" s="194"/>
      <c r="DZ107" s="268"/>
      <c r="EA107" s="143"/>
      <c r="EB107" s="143"/>
      <c r="EC107" s="143"/>
      <c r="ED107" s="269"/>
      <c r="EE107" s="194"/>
      <c r="EF107" s="194"/>
      <c r="EG107" s="268"/>
      <c r="EH107" s="143"/>
      <c r="EI107" s="143"/>
      <c r="EJ107" s="143"/>
      <c r="EK107" s="269"/>
      <c r="EL107" s="194"/>
      <c r="EM107" s="194"/>
      <c r="EN107" s="268"/>
      <c r="EO107" s="143"/>
      <c r="EP107" s="143"/>
      <c r="EQ107" s="143"/>
      <c r="ER107" s="269"/>
      <c r="ES107" s="194"/>
      <c r="ET107" s="194"/>
      <c r="EU107" s="268"/>
      <c r="EV107" s="143"/>
      <c r="EW107" s="143"/>
      <c r="EX107" s="143"/>
      <c r="EY107" s="269"/>
      <c r="EZ107" s="194"/>
      <c r="FA107" s="194"/>
      <c r="FB107" s="268"/>
      <c r="FC107" s="143"/>
      <c r="FD107" s="143"/>
      <c r="FE107" s="143"/>
      <c r="FF107" s="269"/>
      <c r="FG107" s="194"/>
      <c r="FH107" s="194"/>
      <c r="FI107" s="268"/>
      <c r="FJ107" s="143"/>
      <c r="FK107" s="143"/>
      <c r="FL107" s="143"/>
      <c r="FM107" s="269"/>
      <c r="FN107" s="194"/>
      <c r="FO107" s="194"/>
      <c r="FP107" s="268"/>
      <c r="FQ107" s="143"/>
      <c r="FR107" s="143"/>
      <c r="FS107" s="143"/>
      <c r="FT107" s="269"/>
      <c r="FU107" s="194"/>
      <c r="FV107" s="194"/>
      <c r="FW107" s="268"/>
      <c r="FX107" s="143"/>
      <c r="FY107" s="143"/>
      <c r="FZ107" s="143"/>
      <c r="GA107" s="269"/>
      <c r="GB107" s="194"/>
      <c r="GC107" s="194"/>
      <c r="GD107" s="143"/>
      <c r="GE107" s="143"/>
      <c r="GF107" s="143"/>
      <c r="GG107" s="143"/>
      <c r="GH107" s="143"/>
      <c r="GI107" s="194"/>
      <c r="GJ107" s="194"/>
      <c r="GK107" s="143"/>
      <c r="GL107" s="143"/>
      <c r="GM107" s="143"/>
      <c r="GN107" s="143"/>
      <c r="GO107" s="143"/>
      <c r="GP107" s="210"/>
      <c r="GQ107" s="210"/>
      <c r="GR107" s="143"/>
      <c r="GS107" s="143"/>
      <c r="GT107" s="143"/>
      <c r="GU107" s="143"/>
      <c r="GV107" s="143"/>
      <c r="GW107" s="210"/>
      <c r="GX107" s="210"/>
      <c r="GY107" s="143"/>
      <c r="GZ107" s="143"/>
      <c r="HA107" s="143"/>
      <c r="HB107" s="143"/>
      <c r="HC107" s="143"/>
      <c r="HD107" s="210"/>
      <c r="HE107" s="210"/>
      <c r="HF107" s="143"/>
      <c r="HG107" s="143"/>
      <c r="HH107" s="143"/>
      <c r="HI107" s="143"/>
      <c r="HJ107" s="143"/>
      <c r="HK107" s="210"/>
      <c r="HL107" s="210"/>
      <c r="HM107" s="143"/>
      <c r="HN107" s="143"/>
      <c r="HO107" s="143"/>
      <c r="HP107" s="143"/>
      <c r="HQ107" s="143"/>
      <c r="HR107" s="143"/>
      <c r="HS107" s="143"/>
      <c r="HT107" s="143"/>
      <c r="HU107" s="143"/>
      <c r="HV107" s="143"/>
      <c r="HW107" s="143"/>
      <c r="HX107" s="143"/>
      <c r="HY107" s="203"/>
      <c r="HZ107" s="203"/>
      <c r="IA107" s="143"/>
      <c r="IB107" s="143"/>
      <c r="IC107" s="143"/>
      <c r="ID107" s="143"/>
      <c r="IE107" s="143"/>
      <c r="IF107" s="203"/>
      <c r="IG107" s="203"/>
      <c r="IH107" s="206"/>
      <c r="II107" s="206"/>
      <c r="IJ107" s="206"/>
      <c r="IK107" s="206"/>
      <c r="IL107" s="143"/>
      <c r="IM107" s="203"/>
      <c r="IN107" s="203"/>
      <c r="IO107" s="143"/>
      <c r="IP107" s="143"/>
      <c r="IQ107" s="227"/>
      <c r="IR107" s="227"/>
      <c r="IS107" s="227"/>
      <c r="IT107" s="203"/>
      <c r="IU107" s="203"/>
      <c r="IV107" s="143"/>
      <c r="IW107" s="143"/>
      <c r="IX107" s="143"/>
      <c r="IY107" s="143"/>
      <c r="IZ107" s="143"/>
      <c r="JA107" s="203"/>
      <c r="JB107" s="203"/>
      <c r="JC107" s="227"/>
      <c r="JD107" s="227"/>
      <c r="JE107" s="143"/>
      <c r="JF107" s="143"/>
      <c r="JG107" s="143"/>
      <c r="JH107" s="203"/>
      <c r="JI107" s="203"/>
      <c r="JJ107" s="143"/>
      <c r="JK107" s="143"/>
      <c r="JL107" s="143"/>
      <c r="JM107" s="143"/>
      <c r="JN107" s="143"/>
      <c r="JO107" s="203"/>
      <c r="JP107" s="203"/>
      <c r="JQ107" s="143"/>
      <c r="JR107" s="143"/>
      <c r="JS107" s="143"/>
      <c r="JT107" s="143"/>
      <c r="JU107" s="143"/>
      <c r="JV107" s="203"/>
      <c r="JW107" s="203"/>
      <c r="JX107" s="143"/>
      <c r="JY107" s="143"/>
      <c r="JZ107" s="143"/>
      <c r="KA107" s="143"/>
      <c r="KB107" s="143"/>
      <c r="KC107" s="203"/>
      <c r="KD107" s="203"/>
      <c r="KE107" s="143"/>
      <c r="KF107" s="143"/>
      <c r="KG107" s="143"/>
      <c r="KH107" s="143"/>
      <c r="KI107" s="143"/>
      <c r="KJ107" s="194"/>
      <c r="KK107" s="194"/>
      <c r="KL107" s="143"/>
      <c r="KM107" s="143"/>
      <c r="KN107" s="143"/>
      <c r="KO107" s="143"/>
      <c r="KP107" s="227"/>
      <c r="KQ107" s="194"/>
      <c r="KR107" s="194"/>
      <c r="KS107" s="143"/>
      <c r="KT107" s="143"/>
      <c r="KU107" s="143"/>
      <c r="KV107" s="143"/>
      <c r="KW107" s="143"/>
      <c r="KX107" s="210"/>
      <c r="KY107" s="210"/>
      <c r="KZ107" s="194"/>
      <c r="LA107" s="194"/>
      <c r="LB107" s="194"/>
      <c r="LC107" s="194"/>
      <c r="LD107" s="194"/>
      <c r="LE107" s="210"/>
      <c r="LF107" s="210"/>
      <c r="LG107" s="227"/>
      <c r="LH107" s="227"/>
      <c r="LI107" s="227"/>
      <c r="LJ107" s="227"/>
      <c r="LK107" s="227"/>
      <c r="LL107" s="227"/>
      <c r="LM107" s="210"/>
      <c r="LN107" s="143"/>
      <c r="LO107" s="227"/>
      <c r="LP107" s="227"/>
      <c r="LQ107" s="227"/>
      <c r="LR107" s="227"/>
      <c r="LS107" s="210"/>
      <c r="LT107" s="210"/>
      <c r="LU107" s="227"/>
      <c r="LV107" s="143"/>
      <c r="LW107" s="143"/>
      <c r="LX107" s="143"/>
      <c r="LY107" s="143"/>
      <c r="LZ107" s="203"/>
      <c r="MA107" s="203"/>
      <c r="MB107" s="143"/>
      <c r="MC107" s="143"/>
      <c r="MD107" s="143"/>
      <c r="ME107" s="143"/>
      <c r="MF107" s="143"/>
      <c r="MG107" s="203"/>
      <c r="MH107" s="203"/>
      <c r="MI107" s="143"/>
      <c r="MJ107" s="143"/>
      <c r="MK107" s="143"/>
      <c r="ML107" s="143"/>
      <c r="MM107" s="143"/>
      <c r="MN107" s="203"/>
      <c r="MO107" s="203"/>
      <c r="MP107" s="143"/>
      <c r="MQ107" s="143"/>
      <c r="MR107" s="143"/>
      <c r="MS107" s="143"/>
      <c r="MT107" s="143"/>
      <c r="MU107" s="203"/>
      <c r="MV107" s="203"/>
      <c r="MW107" s="143"/>
      <c r="MX107" s="143"/>
      <c r="MY107" s="143"/>
      <c r="MZ107" s="143"/>
      <c r="NA107" s="143"/>
      <c r="NB107" s="143"/>
      <c r="NC107" s="143"/>
      <c r="ND107" s="143"/>
    </row>
    <row r="108" spans="1:368" s="147" customFormat="1" ht="15" customHeight="1">
      <c r="A108" s="472"/>
      <c r="B108" s="461"/>
      <c r="C108" s="164" t="s">
        <v>12</v>
      </c>
      <c r="D108" s="268"/>
      <c r="E108" s="143"/>
      <c r="F108" s="143"/>
      <c r="G108" s="143"/>
      <c r="H108" s="269"/>
      <c r="I108" s="194"/>
      <c r="J108" s="194"/>
      <c r="K108" s="268"/>
      <c r="L108" s="143"/>
      <c r="M108" s="143"/>
      <c r="N108" s="143"/>
      <c r="O108" s="269"/>
      <c r="P108" s="194"/>
      <c r="Q108" s="194"/>
      <c r="R108" s="268"/>
      <c r="S108" s="143"/>
      <c r="T108" s="143"/>
      <c r="U108" s="143"/>
      <c r="V108" s="269"/>
      <c r="W108" s="194"/>
      <c r="X108" s="194"/>
      <c r="Y108" s="268"/>
      <c r="Z108" s="143"/>
      <c r="AA108" s="143"/>
      <c r="AB108" s="143"/>
      <c r="AC108" s="269"/>
      <c r="AD108" s="194"/>
      <c r="AE108" s="194"/>
      <c r="AF108" s="268"/>
      <c r="AG108" s="143"/>
      <c r="AH108" s="143"/>
      <c r="AI108" s="143"/>
      <c r="AJ108" s="269"/>
      <c r="AK108" s="194"/>
      <c r="AL108" s="194"/>
      <c r="AM108" s="268"/>
      <c r="AN108" s="143"/>
      <c r="AO108" s="143"/>
      <c r="AP108" s="143"/>
      <c r="AQ108" s="269"/>
      <c r="AR108" s="194"/>
      <c r="AS108" s="194"/>
      <c r="AT108" s="268"/>
      <c r="AU108" s="143"/>
      <c r="AV108" s="143"/>
      <c r="AW108" s="143"/>
      <c r="AX108" s="269"/>
      <c r="AY108" s="194"/>
      <c r="AZ108" s="194"/>
      <c r="BA108" s="268"/>
      <c r="BB108" s="143"/>
      <c r="BC108" s="143"/>
      <c r="BD108" s="143"/>
      <c r="BE108" s="269"/>
      <c r="BF108" s="194"/>
      <c r="BG108" s="194"/>
      <c r="BH108" s="268"/>
      <c r="BI108" s="143"/>
      <c r="BJ108" s="143"/>
      <c r="BK108" s="143"/>
      <c r="BL108" s="269"/>
      <c r="BM108" s="194"/>
      <c r="BN108" s="194"/>
      <c r="BO108" s="268"/>
      <c r="BP108" s="143"/>
      <c r="BQ108" s="143"/>
      <c r="BR108" s="143"/>
      <c r="BS108" s="269"/>
      <c r="BT108" s="194"/>
      <c r="BU108" s="194"/>
      <c r="BV108" s="268"/>
      <c r="BW108" s="143"/>
      <c r="BX108" s="143"/>
      <c r="BY108" s="143"/>
      <c r="BZ108" s="269"/>
      <c r="CA108" s="194"/>
      <c r="CB108" s="194"/>
      <c r="CC108" s="268"/>
      <c r="CD108" s="143"/>
      <c r="CE108" s="143"/>
      <c r="CF108" s="143"/>
      <c r="CG108" s="269"/>
      <c r="CH108" s="194"/>
      <c r="CI108" s="194"/>
      <c r="CJ108" s="268"/>
      <c r="CK108" s="143"/>
      <c r="CL108" s="143"/>
      <c r="CM108" s="143"/>
      <c r="CN108" s="269"/>
      <c r="CO108" s="194"/>
      <c r="CP108" s="194"/>
      <c r="CQ108" s="268"/>
      <c r="CR108" s="143"/>
      <c r="CS108" s="143"/>
      <c r="CT108" s="143"/>
      <c r="CU108" s="269"/>
      <c r="CV108" s="194"/>
      <c r="CW108" s="194"/>
      <c r="CX108" s="268"/>
      <c r="CY108" s="143"/>
      <c r="CZ108" s="143"/>
      <c r="DA108" s="143"/>
      <c r="DB108" s="269"/>
      <c r="DC108" s="194"/>
      <c r="DD108" s="194"/>
      <c r="DE108" s="268"/>
      <c r="DF108" s="143"/>
      <c r="DG108" s="143"/>
      <c r="DH108" s="143"/>
      <c r="DI108" s="269"/>
      <c r="DJ108" s="194"/>
      <c r="DK108" s="194"/>
      <c r="DL108" s="268"/>
      <c r="DM108" s="143"/>
      <c r="DN108" s="143"/>
      <c r="DO108" s="143"/>
      <c r="DP108" s="269"/>
      <c r="DQ108" s="194"/>
      <c r="DR108" s="194"/>
      <c r="DS108" s="268"/>
      <c r="DT108" s="143"/>
      <c r="DU108" s="143"/>
      <c r="DV108" s="143"/>
      <c r="DW108" s="269"/>
      <c r="DX108" s="194"/>
      <c r="DY108" s="194"/>
      <c r="DZ108" s="268"/>
      <c r="EA108" s="143"/>
      <c r="EB108" s="143"/>
      <c r="EC108" s="143"/>
      <c r="ED108" s="269"/>
      <c r="EE108" s="194"/>
      <c r="EF108" s="194"/>
      <c r="EG108" s="268"/>
      <c r="EH108" s="143"/>
      <c r="EI108" s="143"/>
      <c r="EJ108" s="143"/>
      <c r="EK108" s="269"/>
      <c r="EL108" s="194"/>
      <c r="EM108" s="194"/>
      <c r="EN108" s="268"/>
      <c r="EO108" s="143"/>
      <c r="EP108" s="143"/>
      <c r="EQ108" s="143"/>
      <c r="ER108" s="269"/>
      <c r="ES108" s="194"/>
      <c r="ET108" s="194"/>
      <c r="EU108" s="268"/>
      <c r="EV108" s="143"/>
      <c r="EW108" s="143"/>
      <c r="EX108" s="143"/>
      <c r="EY108" s="269"/>
      <c r="EZ108" s="194"/>
      <c r="FA108" s="194"/>
      <c r="FB108" s="268"/>
      <c r="FC108" s="143"/>
      <c r="FD108" s="143"/>
      <c r="FE108" s="143"/>
      <c r="FF108" s="269"/>
      <c r="FG108" s="194"/>
      <c r="FH108" s="194"/>
      <c r="FI108" s="268"/>
      <c r="FJ108" s="143"/>
      <c r="FK108" s="143"/>
      <c r="FL108" s="143"/>
      <c r="FM108" s="269"/>
      <c r="FN108" s="194"/>
      <c r="FO108" s="194"/>
      <c r="FP108" s="268"/>
      <c r="FQ108" s="143"/>
      <c r="FR108" s="143"/>
      <c r="FS108" s="143"/>
      <c r="FT108" s="269"/>
      <c r="FU108" s="194"/>
      <c r="FV108" s="194"/>
      <c r="FW108" s="268"/>
      <c r="FX108" s="143"/>
      <c r="FY108" s="143"/>
      <c r="FZ108" s="143"/>
      <c r="GA108" s="269"/>
      <c r="GB108" s="194"/>
      <c r="GC108" s="194"/>
      <c r="GD108" s="143"/>
      <c r="GE108" s="143"/>
      <c r="GF108" s="143"/>
      <c r="GG108" s="143"/>
      <c r="GH108" s="143"/>
      <c r="GI108" s="194"/>
      <c r="GJ108" s="194"/>
      <c r="GK108" s="143"/>
      <c r="GL108" s="143"/>
      <c r="GM108" s="143"/>
      <c r="GN108" s="143"/>
      <c r="GO108" s="143"/>
      <c r="GP108" s="210"/>
      <c r="GQ108" s="210"/>
      <c r="GR108" s="143"/>
      <c r="GS108" s="143"/>
      <c r="GT108" s="143"/>
      <c r="GU108" s="143"/>
      <c r="GV108" s="143"/>
      <c r="GW108" s="210"/>
      <c r="GX108" s="210"/>
      <c r="GY108" s="143"/>
      <c r="GZ108" s="143"/>
      <c r="HA108" s="143"/>
      <c r="HB108" s="143"/>
      <c r="HC108" s="143"/>
      <c r="HD108" s="210"/>
      <c r="HE108" s="210"/>
      <c r="HF108" s="143"/>
      <c r="HG108" s="143"/>
      <c r="HH108" s="143"/>
      <c r="HI108" s="143"/>
      <c r="HJ108" s="143"/>
      <c r="HK108" s="210"/>
      <c r="HL108" s="210"/>
      <c r="HM108" s="143"/>
      <c r="HN108" s="143"/>
      <c r="HO108" s="143"/>
      <c r="HP108" s="143"/>
      <c r="HQ108" s="143"/>
      <c r="HR108" s="143"/>
      <c r="HS108" s="143"/>
      <c r="HT108" s="143"/>
      <c r="HU108" s="143"/>
      <c r="HV108" s="143"/>
      <c r="HW108" s="143"/>
      <c r="HX108" s="143"/>
      <c r="HY108" s="203"/>
      <c r="HZ108" s="203"/>
      <c r="IA108" s="143"/>
      <c r="IB108" s="143"/>
      <c r="IC108" s="143"/>
      <c r="ID108" s="143"/>
      <c r="IE108" s="143"/>
      <c r="IF108" s="203"/>
      <c r="IG108" s="203"/>
      <c r="IH108" s="206"/>
      <c r="II108" s="206"/>
      <c r="IJ108" s="206"/>
      <c r="IK108" s="206"/>
      <c r="IL108" s="143"/>
      <c r="IM108" s="203"/>
      <c r="IN108" s="203"/>
      <c r="IO108" s="143"/>
      <c r="IP108" s="143"/>
      <c r="IQ108" s="227"/>
      <c r="IR108" s="227"/>
      <c r="IS108" s="227"/>
      <c r="IT108" s="203"/>
      <c r="IU108" s="203"/>
      <c r="IV108" s="143"/>
      <c r="IW108" s="143"/>
      <c r="IX108" s="143"/>
      <c r="IY108" s="143"/>
      <c r="IZ108" s="143"/>
      <c r="JA108" s="203"/>
      <c r="JB108" s="203"/>
      <c r="JC108" s="227"/>
      <c r="JD108" s="227"/>
      <c r="JE108" s="143"/>
      <c r="JF108" s="143"/>
      <c r="JG108" s="143"/>
      <c r="JH108" s="203"/>
      <c r="JI108" s="203"/>
      <c r="JJ108" s="143"/>
      <c r="JK108" s="143"/>
      <c r="JL108" s="143"/>
      <c r="JM108" s="143"/>
      <c r="JN108" s="143"/>
      <c r="JO108" s="203"/>
      <c r="JP108" s="203"/>
      <c r="JQ108" s="143"/>
      <c r="JR108" s="143"/>
      <c r="JS108" s="143"/>
      <c r="JT108" s="143"/>
      <c r="JU108" s="143"/>
      <c r="JV108" s="203"/>
      <c r="JW108" s="203"/>
      <c r="JX108" s="143"/>
      <c r="JY108" s="143"/>
      <c r="JZ108" s="143"/>
      <c r="KA108" s="143"/>
      <c r="KB108" s="143"/>
      <c r="KC108" s="203"/>
      <c r="KD108" s="203"/>
      <c r="KE108" s="143"/>
      <c r="KF108" s="143"/>
      <c r="KG108" s="143"/>
      <c r="KH108" s="143"/>
      <c r="KI108" s="143"/>
      <c r="KJ108" s="194"/>
      <c r="KK108" s="194"/>
      <c r="KL108" s="143"/>
      <c r="KM108" s="143"/>
      <c r="KN108" s="143"/>
      <c r="KO108" s="143"/>
      <c r="KP108" s="227"/>
      <c r="KQ108" s="194"/>
      <c r="KR108" s="194"/>
      <c r="KS108" s="143"/>
      <c r="KT108" s="143"/>
      <c r="KU108" s="143"/>
      <c r="KV108" s="143"/>
      <c r="KW108" s="143"/>
      <c r="KX108" s="210"/>
      <c r="KY108" s="210"/>
      <c r="KZ108" s="194"/>
      <c r="LA108" s="194"/>
      <c r="LB108" s="194"/>
      <c r="LC108" s="194"/>
      <c r="LD108" s="194"/>
      <c r="LE108" s="210"/>
      <c r="LF108" s="210"/>
      <c r="LG108" s="227"/>
      <c r="LH108" s="227"/>
      <c r="LI108" s="227"/>
      <c r="LJ108" s="227"/>
      <c r="LK108" s="227"/>
      <c r="LL108" s="227"/>
      <c r="LM108" s="210"/>
      <c r="LN108" s="143"/>
      <c r="LO108" s="227"/>
      <c r="LP108" s="227"/>
      <c r="LQ108" s="227"/>
      <c r="LR108" s="227"/>
      <c r="LS108" s="210"/>
      <c r="LT108" s="210"/>
      <c r="LU108" s="227"/>
      <c r="LV108" s="143"/>
      <c r="LW108" s="143"/>
      <c r="LX108" s="143"/>
      <c r="LY108" s="143"/>
      <c r="LZ108" s="203"/>
      <c r="MA108" s="203"/>
      <c r="MB108" s="143"/>
      <c r="MC108" s="143"/>
      <c r="MD108" s="143"/>
      <c r="ME108" s="143"/>
      <c r="MF108" s="143"/>
      <c r="MG108" s="203"/>
      <c r="MH108" s="203"/>
      <c r="MI108" s="143"/>
      <c r="MJ108" s="143"/>
      <c r="MK108" s="143"/>
      <c r="ML108" s="143"/>
      <c r="MM108" s="143"/>
      <c r="MN108" s="203"/>
      <c r="MO108" s="203"/>
      <c r="MP108" s="143"/>
      <c r="MQ108" s="143"/>
      <c r="MR108" s="143"/>
      <c r="MS108" s="143"/>
      <c r="MT108" s="143"/>
      <c r="MU108" s="203"/>
      <c r="MV108" s="203"/>
      <c r="MW108" s="143"/>
      <c r="MX108" s="143"/>
      <c r="MY108" s="143"/>
      <c r="MZ108" s="143"/>
      <c r="NA108" s="143"/>
      <c r="NB108" s="143"/>
      <c r="NC108" s="143"/>
      <c r="ND108" s="143"/>
    </row>
    <row r="109" spans="1:368" s="147" customFormat="1" ht="15" customHeight="1" thickBot="1">
      <c r="A109" s="472"/>
      <c r="B109" s="461"/>
      <c r="C109" s="164" t="s">
        <v>13</v>
      </c>
      <c r="D109" s="268"/>
      <c r="E109" s="143"/>
      <c r="F109" s="143"/>
      <c r="G109" s="143"/>
      <c r="H109" s="269"/>
      <c r="I109" s="194"/>
      <c r="J109" s="194"/>
      <c r="K109" s="268"/>
      <c r="L109" s="143"/>
      <c r="M109" s="143"/>
      <c r="N109" s="143"/>
      <c r="O109" s="269"/>
      <c r="P109" s="194"/>
      <c r="Q109" s="194"/>
      <c r="R109" s="268"/>
      <c r="S109" s="143"/>
      <c r="T109" s="143"/>
      <c r="U109" s="143"/>
      <c r="V109" s="269"/>
      <c r="W109" s="194"/>
      <c r="X109" s="194"/>
      <c r="Y109" s="268"/>
      <c r="Z109" s="143"/>
      <c r="AA109" s="143"/>
      <c r="AB109" s="143"/>
      <c r="AC109" s="269"/>
      <c r="AD109" s="194"/>
      <c r="AE109" s="194"/>
      <c r="AF109" s="268"/>
      <c r="AG109" s="143"/>
      <c r="AH109" s="143"/>
      <c r="AI109" s="143"/>
      <c r="AJ109" s="269"/>
      <c r="AK109" s="194"/>
      <c r="AL109" s="194"/>
      <c r="AM109" s="268"/>
      <c r="AN109" s="143"/>
      <c r="AO109" s="143"/>
      <c r="AP109" s="143"/>
      <c r="AQ109" s="269"/>
      <c r="AR109" s="194"/>
      <c r="AS109" s="194"/>
      <c r="AT109" s="268"/>
      <c r="AU109" s="143"/>
      <c r="AV109" s="143"/>
      <c r="AW109" s="143"/>
      <c r="AX109" s="269"/>
      <c r="AY109" s="194"/>
      <c r="AZ109" s="194"/>
      <c r="BA109" s="268"/>
      <c r="BB109" s="143"/>
      <c r="BC109" s="143"/>
      <c r="BD109" s="143"/>
      <c r="BE109" s="269"/>
      <c r="BF109" s="194"/>
      <c r="BG109" s="194"/>
      <c r="BH109" s="268"/>
      <c r="BI109" s="143"/>
      <c r="BJ109" s="143"/>
      <c r="BK109" s="143"/>
      <c r="BL109" s="269"/>
      <c r="BM109" s="194"/>
      <c r="BN109" s="194"/>
      <c r="BO109" s="268"/>
      <c r="BP109" s="143"/>
      <c r="BQ109" s="143"/>
      <c r="BR109" s="143"/>
      <c r="BS109" s="269"/>
      <c r="BT109" s="194"/>
      <c r="BU109" s="194"/>
      <c r="BV109" s="268"/>
      <c r="BW109" s="143"/>
      <c r="BX109" s="143"/>
      <c r="BY109" s="143"/>
      <c r="BZ109" s="269"/>
      <c r="CA109" s="194"/>
      <c r="CB109" s="194"/>
      <c r="CC109" s="268"/>
      <c r="CD109" s="143"/>
      <c r="CE109" s="143"/>
      <c r="CF109" s="143"/>
      <c r="CG109" s="269"/>
      <c r="CH109" s="194"/>
      <c r="CI109" s="194"/>
      <c r="CJ109" s="268"/>
      <c r="CK109" s="143"/>
      <c r="CL109" s="143"/>
      <c r="CM109" s="143"/>
      <c r="CN109" s="269"/>
      <c r="CO109" s="194"/>
      <c r="CP109" s="194"/>
      <c r="CQ109" s="268"/>
      <c r="CR109" s="143"/>
      <c r="CS109" s="143"/>
      <c r="CT109" s="143"/>
      <c r="CU109" s="269"/>
      <c r="CV109" s="194"/>
      <c r="CW109" s="194"/>
      <c r="CX109" s="268"/>
      <c r="CY109" s="143"/>
      <c r="CZ109" s="143"/>
      <c r="DA109" s="143"/>
      <c r="DB109" s="269"/>
      <c r="DC109" s="194"/>
      <c r="DD109" s="194"/>
      <c r="DE109" s="268"/>
      <c r="DF109" s="143"/>
      <c r="DG109" s="143"/>
      <c r="DH109" s="143"/>
      <c r="DI109" s="269"/>
      <c r="DJ109" s="194"/>
      <c r="DK109" s="194"/>
      <c r="DL109" s="268"/>
      <c r="DM109" s="143"/>
      <c r="DN109" s="143"/>
      <c r="DO109" s="143"/>
      <c r="DP109" s="269"/>
      <c r="DQ109" s="194"/>
      <c r="DR109" s="194"/>
      <c r="DS109" s="268"/>
      <c r="DT109" s="143"/>
      <c r="DU109" s="143"/>
      <c r="DV109" s="143"/>
      <c r="DW109" s="269"/>
      <c r="DX109" s="194"/>
      <c r="DY109" s="194"/>
      <c r="DZ109" s="268"/>
      <c r="EA109" s="143"/>
      <c r="EB109" s="143"/>
      <c r="EC109" s="143"/>
      <c r="ED109" s="269"/>
      <c r="EE109" s="194"/>
      <c r="EF109" s="194"/>
      <c r="EG109" s="268"/>
      <c r="EH109" s="143"/>
      <c r="EI109" s="143"/>
      <c r="EJ109" s="143"/>
      <c r="EK109" s="269"/>
      <c r="EL109" s="194"/>
      <c r="EM109" s="194"/>
      <c r="EN109" s="268"/>
      <c r="EO109" s="143"/>
      <c r="EP109" s="143"/>
      <c r="EQ109" s="143"/>
      <c r="ER109" s="269"/>
      <c r="ES109" s="194"/>
      <c r="ET109" s="194"/>
      <c r="EU109" s="268"/>
      <c r="EV109" s="143"/>
      <c r="EW109" s="143"/>
      <c r="EX109" s="143"/>
      <c r="EY109" s="269"/>
      <c r="EZ109" s="194"/>
      <c r="FA109" s="194"/>
      <c r="FB109" s="268"/>
      <c r="FC109" s="143"/>
      <c r="FD109" s="143"/>
      <c r="FE109" s="143"/>
      <c r="FF109" s="269"/>
      <c r="FG109" s="194"/>
      <c r="FH109" s="194"/>
      <c r="FI109" s="268"/>
      <c r="FJ109" s="143"/>
      <c r="FK109" s="143"/>
      <c r="FL109" s="143"/>
      <c r="FM109" s="269"/>
      <c r="FN109" s="194"/>
      <c r="FO109" s="194"/>
      <c r="FP109" s="268"/>
      <c r="FQ109" s="143"/>
      <c r="FR109" s="143"/>
      <c r="FS109" s="143"/>
      <c r="FT109" s="269"/>
      <c r="FU109" s="194"/>
      <c r="FV109" s="194"/>
      <c r="FW109" s="268"/>
      <c r="FX109" s="143"/>
      <c r="FY109" s="143"/>
      <c r="FZ109" s="143"/>
      <c r="GA109" s="269"/>
      <c r="GB109" s="194"/>
      <c r="GC109" s="194"/>
      <c r="GD109" s="143"/>
      <c r="GE109" s="143"/>
      <c r="GF109" s="143"/>
      <c r="GG109" s="143"/>
      <c r="GH109" s="143"/>
      <c r="GI109" s="194"/>
      <c r="GJ109" s="194"/>
      <c r="GK109" s="143"/>
      <c r="GL109" s="143"/>
      <c r="GM109" s="143"/>
      <c r="GN109" s="143"/>
      <c r="GO109" s="143"/>
      <c r="GP109" s="210"/>
      <c r="GQ109" s="210"/>
      <c r="GR109" s="143"/>
      <c r="GS109" s="143"/>
      <c r="GT109" s="143"/>
      <c r="GU109" s="143"/>
      <c r="GV109" s="143"/>
      <c r="GW109" s="210"/>
      <c r="GX109" s="210"/>
      <c r="GY109" s="143"/>
      <c r="GZ109" s="143"/>
      <c r="HA109" s="143"/>
      <c r="HB109" s="143"/>
      <c r="HC109" s="143"/>
      <c r="HD109" s="210"/>
      <c r="HE109" s="210"/>
      <c r="HF109" s="143"/>
      <c r="HG109" s="143"/>
      <c r="HH109" s="143"/>
      <c r="HI109" s="143"/>
      <c r="HJ109" s="143"/>
      <c r="HK109" s="210"/>
      <c r="HL109" s="210"/>
      <c r="HM109" s="143"/>
      <c r="HN109" s="143"/>
      <c r="HO109" s="143"/>
      <c r="HP109" s="143"/>
      <c r="HQ109" s="143"/>
      <c r="HR109" s="143"/>
      <c r="HS109" s="143"/>
      <c r="HT109" s="143"/>
      <c r="HU109" s="143"/>
      <c r="HV109" s="143"/>
      <c r="HW109" s="143"/>
      <c r="HX109" s="143"/>
      <c r="HY109" s="203"/>
      <c r="HZ109" s="203"/>
      <c r="IA109" s="143"/>
      <c r="IB109" s="143"/>
      <c r="IC109" s="143"/>
      <c r="ID109" s="143"/>
      <c r="IE109" s="143"/>
      <c r="IF109" s="203"/>
      <c r="IG109" s="203"/>
      <c r="IH109" s="206"/>
      <c r="II109" s="206"/>
      <c r="IJ109" s="206"/>
      <c r="IK109" s="206"/>
      <c r="IL109" s="143"/>
      <c r="IM109" s="203"/>
      <c r="IN109" s="203"/>
      <c r="IO109" s="143"/>
      <c r="IP109" s="143"/>
      <c r="IQ109" s="227"/>
      <c r="IR109" s="227"/>
      <c r="IS109" s="227"/>
      <c r="IT109" s="203"/>
      <c r="IU109" s="203"/>
      <c r="IV109" s="143"/>
      <c r="IW109" s="143"/>
      <c r="IX109" s="143"/>
      <c r="IY109" s="143"/>
      <c r="IZ109" s="143"/>
      <c r="JA109" s="203"/>
      <c r="JB109" s="203"/>
      <c r="JC109" s="227"/>
      <c r="JD109" s="227"/>
      <c r="JE109" s="143"/>
      <c r="JF109" s="143"/>
      <c r="JG109" s="143"/>
      <c r="JH109" s="203"/>
      <c r="JI109" s="203"/>
      <c r="JJ109" s="143"/>
      <c r="JK109" s="143"/>
      <c r="JL109" s="143"/>
      <c r="JM109" s="143"/>
      <c r="JN109" s="143"/>
      <c r="JO109" s="203"/>
      <c r="JP109" s="203"/>
      <c r="JQ109" s="143"/>
      <c r="JR109" s="143"/>
      <c r="JS109" s="143"/>
      <c r="JT109" s="143"/>
      <c r="JU109" s="143"/>
      <c r="JV109" s="203"/>
      <c r="JW109" s="203"/>
      <c r="JX109" s="143"/>
      <c r="JY109" s="143"/>
      <c r="JZ109" s="143"/>
      <c r="KA109" s="143"/>
      <c r="KB109" s="143"/>
      <c r="KC109" s="203"/>
      <c r="KD109" s="203"/>
      <c r="KE109" s="143"/>
      <c r="KF109" s="143"/>
      <c r="KG109" s="143"/>
      <c r="KH109" s="143"/>
      <c r="KI109" s="143"/>
      <c r="KJ109" s="194"/>
      <c r="KK109" s="194"/>
      <c r="KL109" s="143"/>
      <c r="KM109" s="143"/>
      <c r="KN109" s="143"/>
      <c r="KO109" s="143"/>
      <c r="KP109" s="227"/>
      <c r="KQ109" s="194"/>
      <c r="KR109" s="194"/>
      <c r="KS109" s="143"/>
      <c r="KT109" s="143"/>
      <c r="KU109" s="143"/>
      <c r="KV109" s="143"/>
      <c r="KW109" s="143"/>
      <c r="KX109" s="210"/>
      <c r="KY109" s="210"/>
      <c r="KZ109" s="194"/>
      <c r="LA109" s="194"/>
      <c r="LB109" s="194"/>
      <c r="LC109" s="194"/>
      <c r="LD109" s="194"/>
      <c r="LE109" s="210"/>
      <c r="LF109" s="210"/>
      <c r="LG109" s="227"/>
      <c r="LH109" s="227"/>
      <c r="LI109" s="227"/>
      <c r="LJ109" s="227"/>
      <c r="LK109" s="227"/>
      <c r="LL109" s="227"/>
      <c r="LM109" s="210"/>
      <c r="LN109" s="143"/>
      <c r="LO109" s="227"/>
      <c r="LP109" s="227"/>
      <c r="LQ109" s="227"/>
      <c r="LR109" s="227"/>
      <c r="LS109" s="210"/>
      <c r="LT109" s="210"/>
      <c r="LU109" s="227"/>
      <c r="LV109" s="143"/>
      <c r="LW109" s="143"/>
      <c r="LX109" s="143"/>
      <c r="LY109" s="143"/>
      <c r="LZ109" s="203"/>
      <c r="MA109" s="203"/>
      <c r="MB109" s="143"/>
      <c r="MC109" s="143"/>
      <c r="MD109" s="143"/>
      <c r="ME109" s="143"/>
      <c r="MF109" s="143"/>
      <c r="MG109" s="203"/>
      <c r="MH109" s="203"/>
      <c r="MI109" s="143"/>
      <c r="MJ109" s="143"/>
      <c r="MK109" s="143"/>
      <c r="ML109" s="143"/>
      <c r="MM109" s="143"/>
      <c r="MN109" s="203"/>
      <c r="MO109" s="203"/>
      <c r="MP109" s="143"/>
      <c r="MQ109" s="143"/>
      <c r="MR109" s="143"/>
      <c r="MS109" s="143"/>
      <c r="MT109" s="143"/>
      <c r="MU109" s="203"/>
      <c r="MV109" s="203"/>
      <c r="MW109" s="143"/>
      <c r="MX109" s="143"/>
      <c r="MY109" s="143"/>
      <c r="MZ109" s="143"/>
      <c r="NA109" s="143"/>
      <c r="NB109" s="143"/>
      <c r="NC109" s="143"/>
      <c r="ND109" s="143"/>
    </row>
    <row r="110" spans="1:368" s="151" customFormat="1" ht="15" hidden="1" customHeight="1" thickBot="1">
      <c r="A110" s="472"/>
      <c r="B110" s="474"/>
      <c r="C110" s="165" t="s">
        <v>93</v>
      </c>
      <c r="D110" s="270"/>
      <c r="E110" s="264"/>
      <c r="F110" s="264"/>
      <c r="G110" s="264"/>
      <c r="H110" s="271"/>
      <c r="I110" s="194"/>
      <c r="J110" s="194"/>
      <c r="K110" s="270"/>
      <c r="L110" s="264"/>
      <c r="M110" s="264"/>
      <c r="N110" s="264"/>
      <c r="O110" s="271"/>
      <c r="P110" s="194"/>
      <c r="Q110" s="194"/>
      <c r="R110" s="270"/>
      <c r="S110" s="264"/>
      <c r="T110" s="264"/>
      <c r="U110" s="264"/>
      <c r="V110" s="271"/>
      <c r="W110" s="194"/>
      <c r="X110" s="194"/>
      <c r="Y110" s="270"/>
      <c r="Z110" s="264"/>
      <c r="AA110" s="264"/>
      <c r="AB110" s="264"/>
      <c r="AC110" s="271"/>
      <c r="AD110" s="194"/>
      <c r="AE110" s="194"/>
      <c r="AF110" s="270"/>
      <c r="AG110" s="264"/>
      <c r="AH110" s="264"/>
      <c r="AI110" s="264"/>
      <c r="AJ110" s="271"/>
      <c r="AK110" s="194"/>
      <c r="AL110" s="194"/>
      <c r="AM110" s="270"/>
      <c r="AN110" s="264"/>
      <c r="AO110" s="264"/>
      <c r="AP110" s="264"/>
      <c r="AQ110" s="271"/>
      <c r="AR110" s="194"/>
      <c r="AS110" s="194"/>
      <c r="AT110" s="270"/>
      <c r="AU110" s="264"/>
      <c r="AV110" s="264"/>
      <c r="AW110" s="264"/>
      <c r="AX110" s="271"/>
      <c r="AY110" s="194"/>
      <c r="AZ110" s="194"/>
      <c r="BA110" s="270"/>
      <c r="BB110" s="264"/>
      <c r="BC110" s="264"/>
      <c r="BD110" s="264"/>
      <c r="BE110" s="271"/>
      <c r="BF110" s="194"/>
      <c r="BG110" s="194"/>
      <c r="BH110" s="270"/>
      <c r="BI110" s="264"/>
      <c r="BJ110" s="264"/>
      <c r="BK110" s="264"/>
      <c r="BL110" s="271"/>
      <c r="BM110" s="194"/>
      <c r="BN110" s="194"/>
      <c r="BO110" s="270"/>
      <c r="BP110" s="264"/>
      <c r="BQ110" s="264"/>
      <c r="BR110" s="264"/>
      <c r="BS110" s="271"/>
      <c r="BT110" s="194"/>
      <c r="BU110" s="194"/>
      <c r="BV110" s="270"/>
      <c r="BW110" s="264"/>
      <c r="BX110" s="264"/>
      <c r="BY110" s="264"/>
      <c r="BZ110" s="271"/>
      <c r="CA110" s="194"/>
      <c r="CB110" s="194"/>
      <c r="CC110" s="270"/>
      <c r="CD110" s="264"/>
      <c r="CE110" s="264"/>
      <c r="CF110" s="264"/>
      <c r="CG110" s="271"/>
      <c r="CH110" s="194"/>
      <c r="CI110" s="194"/>
      <c r="CJ110" s="270"/>
      <c r="CK110" s="264"/>
      <c r="CL110" s="264"/>
      <c r="CM110" s="264"/>
      <c r="CN110" s="271"/>
      <c r="CO110" s="194"/>
      <c r="CP110" s="194"/>
      <c r="CQ110" s="270"/>
      <c r="CR110" s="264"/>
      <c r="CS110" s="264"/>
      <c r="CT110" s="264"/>
      <c r="CU110" s="271"/>
      <c r="CV110" s="194"/>
      <c r="CW110" s="194"/>
      <c r="CX110" s="270"/>
      <c r="CY110" s="264"/>
      <c r="CZ110" s="264"/>
      <c r="DA110" s="264"/>
      <c r="DB110" s="271"/>
      <c r="DC110" s="194"/>
      <c r="DD110" s="194"/>
      <c r="DE110" s="270"/>
      <c r="DF110" s="264"/>
      <c r="DG110" s="264"/>
      <c r="DH110" s="264"/>
      <c r="DI110" s="271"/>
      <c r="DJ110" s="194"/>
      <c r="DK110" s="194"/>
      <c r="DL110" s="270"/>
      <c r="DM110" s="264"/>
      <c r="DN110" s="264"/>
      <c r="DO110" s="264"/>
      <c r="DP110" s="271"/>
      <c r="DQ110" s="194"/>
      <c r="DR110" s="194"/>
      <c r="DS110" s="270"/>
      <c r="DT110" s="264"/>
      <c r="DU110" s="264"/>
      <c r="DV110" s="264"/>
      <c r="DW110" s="271"/>
      <c r="DX110" s="194"/>
      <c r="DY110" s="194"/>
      <c r="DZ110" s="270"/>
      <c r="EA110" s="264"/>
      <c r="EB110" s="264"/>
      <c r="EC110" s="264"/>
      <c r="ED110" s="271"/>
      <c r="EE110" s="194"/>
      <c r="EF110" s="194"/>
      <c r="EG110" s="270"/>
      <c r="EH110" s="264"/>
      <c r="EI110" s="264"/>
      <c r="EJ110" s="264"/>
      <c r="EK110" s="271"/>
      <c r="EL110" s="194"/>
      <c r="EM110" s="194"/>
      <c r="EN110" s="270"/>
      <c r="EO110" s="264"/>
      <c r="EP110" s="264"/>
      <c r="EQ110" s="264"/>
      <c r="ER110" s="271"/>
      <c r="ES110" s="194"/>
      <c r="ET110" s="194"/>
      <c r="EU110" s="270"/>
      <c r="EV110" s="264"/>
      <c r="EW110" s="264"/>
      <c r="EX110" s="264"/>
      <c r="EY110" s="271"/>
      <c r="EZ110" s="194"/>
      <c r="FA110" s="194"/>
      <c r="FB110" s="270"/>
      <c r="FC110" s="264"/>
      <c r="FD110" s="264"/>
      <c r="FE110" s="264"/>
      <c r="FF110" s="271"/>
      <c r="FG110" s="194"/>
      <c r="FH110" s="194"/>
      <c r="FI110" s="270"/>
      <c r="FJ110" s="264"/>
      <c r="FK110" s="264"/>
      <c r="FL110" s="264"/>
      <c r="FM110" s="271"/>
      <c r="FN110" s="194"/>
      <c r="FO110" s="194"/>
      <c r="FP110" s="270"/>
      <c r="FQ110" s="264"/>
      <c r="FR110" s="264"/>
      <c r="FS110" s="264"/>
      <c r="FT110" s="271"/>
      <c r="FU110" s="194"/>
      <c r="FV110" s="194"/>
      <c r="FW110" s="270"/>
      <c r="FX110" s="264"/>
      <c r="FY110" s="264"/>
      <c r="FZ110" s="264"/>
      <c r="GA110" s="271"/>
      <c r="GB110" s="194"/>
      <c r="GC110" s="194"/>
      <c r="GD110" s="152"/>
      <c r="GE110" s="152"/>
      <c r="GF110" s="152"/>
      <c r="GG110" s="152"/>
      <c r="GH110" s="152"/>
      <c r="GI110" s="194"/>
      <c r="GJ110" s="194"/>
      <c r="GK110" s="152"/>
      <c r="GL110" s="152"/>
      <c r="GM110" s="152"/>
      <c r="GN110" s="152"/>
      <c r="GO110" s="152"/>
      <c r="GP110" s="210"/>
      <c r="GQ110" s="210"/>
      <c r="GR110" s="152"/>
      <c r="GS110" s="152"/>
      <c r="GT110" s="152"/>
      <c r="GU110" s="152"/>
      <c r="GV110" s="152"/>
      <c r="GW110" s="210"/>
      <c r="GX110" s="210"/>
      <c r="GY110" s="152"/>
      <c r="GZ110" s="152"/>
      <c r="HA110" s="152"/>
      <c r="HB110" s="152"/>
      <c r="HC110" s="152"/>
      <c r="HD110" s="210"/>
      <c r="HE110" s="210"/>
      <c r="HF110" s="152"/>
      <c r="HG110" s="152"/>
      <c r="HH110" s="152"/>
      <c r="HI110" s="152"/>
      <c r="HJ110" s="152"/>
      <c r="HK110" s="210"/>
      <c r="HL110" s="210"/>
      <c r="HM110" s="152"/>
      <c r="HN110" s="152"/>
      <c r="HO110" s="152"/>
      <c r="HP110" s="152"/>
      <c r="HQ110" s="152"/>
      <c r="HR110" s="152"/>
      <c r="HS110" s="152"/>
      <c r="HT110" s="152"/>
      <c r="HU110" s="152"/>
      <c r="HV110" s="152"/>
      <c r="HW110" s="152"/>
      <c r="HX110" s="152"/>
      <c r="HY110" s="203"/>
      <c r="HZ110" s="203"/>
      <c r="IA110" s="152"/>
      <c r="IB110" s="152"/>
      <c r="IC110" s="152"/>
      <c r="ID110" s="152"/>
      <c r="IE110" s="152"/>
      <c r="IF110" s="203"/>
      <c r="IG110" s="203"/>
      <c r="IH110" s="152"/>
      <c r="II110" s="152"/>
      <c r="IJ110" s="152"/>
      <c r="IK110" s="152"/>
      <c r="IL110" s="152"/>
      <c r="IM110" s="203"/>
      <c r="IN110" s="203"/>
      <c r="IO110" s="152"/>
      <c r="IP110" s="152"/>
      <c r="IQ110" s="227"/>
      <c r="IR110" s="227"/>
      <c r="IS110" s="227"/>
      <c r="IT110" s="203"/>
      <c r="IU110" s="203"/>
      <c r="IV110" s="152"/>
      <c r="IW110" s="152"/>
      <c r="IX110" s="152"/>
      <c r="IY110" s="152"/>
      <c r="IZ110" s="152"/>
      <c r="JA110" s="203"/>
      <c r="JB110" s="203"/>
      <c r="JC110" s="232"/>
      <c r="JD110" s="232"/>
      <c r="JE110" s="152"/>
      <c r="JF110" s="152"/>
      <c r="JG110" s="152"/>
      <c r="JH110" s="203"/>
      <c r="JI110" s="203"/>
      <c r="JJ110" s="152"/>
      <c r="JK110" s="152"/>
      <c r="JL110" s="152"/>
      <c r="JM110" s="152"/>
      <c r="JN110" s="152"/>
      <c r="JO110" s="203"/>
      <c r="JP110" s="203"/>
      <c r="JQ110" s="152"/>
      <c r="JR110" s="152"/>
      <c r="JS110" s="152"/>
      <c r="JT110" s="152"/>
      <c r="JU110" s="152"/>
      <c r="JV110" s="203"/>
      <c r="JW110" s="203"/>
      <c r="JX110" s="152"/>
      <c r="JY110" s="152"/>
      <c r="JZ110" s="152"/>
      <c r="KA110" s="152"/>
      <c r="KB110" s="152"/>
      <c r="KC110" s="203"/>
      <c r="KD110" s="203"/>
      <c r="KE110" s="152"/>
      <c r="KF110" s="152"/>
      <c r="KG110" s="152"/>
      <c r="KH110" s="152"/>
      <c r="KI110" s="152"/>
      <c r="KJ110" s="194"/>
      <c r="KK110" s="194"/>
      <c r="KL110" s="152"/>
      <c r="KM110" s="152"/>
      <c r="KN110" s="152"/>
      <c r="KO110" s="152"/>
      <c r="KP110" s="227"/>
      <c r="KQ110" s="194"/>
      <c r="KR110" s="194"/>
      <c r="KS110" s="152"/>
      <c r="KT110" s="152"/>
      <c r="KU110" s="152"/>
      <c r="KV110" s="152"/>
      <c r="KW110" s="152"/>
      <c r="KX110" s="210"/>
      <c r="KY110" s="210"/>
      <c r="KZ110" s="194"/>
      <c r="LA110" s="194"/>
      <c r="LB110" s="194"/>
      <c r="LC110" s="194"/>
      <c r="LD110" s="194"/>
      <c r="LE110" s="210"/>
      <c r="LF110" s="210"/>
      <c r="LG110" s="227"/>
      <c r="LH110" s="227"/>
      <c r="LI110" s="227"/>
      <c r="LJ110" s="227"/>
      <c r="LK110" s="227"/>
      <c r="LL110" s="227"/>
      <c r="LM110" s="210"/>
      <c r="LN110" s="232"/>
      <c r="LO110" s="232"/>
      <c r="LP110" s="232"/>
      <c r="LQ110" s="232"/>
      <c r="LR110" s="232"/>
      <c r="LS110" s="210"/>
      <c r="LT110" s="210"/>
      <c r="LU110" s="232"/>
      <c r="LV110" s="152"/>
      <c r="LW110" s="152"/>
      <c r="LX110" s="152"/>
      <c r="LY110" s="152"/>
      <c r="LZ110" s="203"/>
      <c r="MA110" s="203"/>
      <c r="MB110" s="152"/>
      <c r="MC110" s="152"/>
      <c r="MD110" s="152"/>
      <c r="ME110" s="152"/>
      <c r="MF110" s="152"/>
      <c r="MG110" s="203"/>
      <c r="MH110" s="203"/>
      <c r="MI110" s="152"/>
      <c r="MJ110" s="152"/>
      <c r="MK110" s="152"/>
      <c r="ML110" s="152"/>
      <c r="MM110" s="152"/>
      <c r="MN110" s="203"/>
      <c r="MO110" s="203"/>
      <c r="MP110" s="152"/>
      <c r="MQ110" s="152"/>
      <c r="MR110" s="152"/>
      <c r="MS110" s="152"/>
      <c r="MT110" s="152"/>
      <c r="MU110" s="203"/>
      <c r="MV110" s="203"/>
      <c r="MW110" s="152"/>
      <c r="MX110" s="152"/>
      <c r="MY110" s="152"/>
      <c r="MZ110" s="152"/>
      <c r="NA110" s="152"/>
      <c r="NB110" s="152"/>
      <c r="NC110" s="152"/>
      <c r="ND110" s="152"/>
    </row>
    <row r="111" spans="1:368" s="147" customFormat="1" ht="15" customHeight="1">
      <c r="A111" s="472"/>
      <c r="B111" s="473" t="s">
        <v>8</v>
      </c>
      <c r="C111" s="163" t="s">
        <v>10</v>
      </c>
      <c r="D111" s="265"/>
      <c r="E111" s="266"/>
      <c r="F111" s="266"/>
      <c r="G111" s="266"/>
      <c r="H111" s="267"/>
      <c r="I111" s="194"/>
      <c r="J111" s="194"/>
      <c r="K111" s="265"/>
      <c r="L111" s="266"/>
      <c r="M111" s="266"/>
      <c r="N111" s="266"/>
      <c r="O111" s="267"/>
      <c r="P111" s="194"/>
      <c r="Q111" s="194"/>
      <c r="R111" s="265"/>
      <c r="S111" s="266"/>
      <c r="T111" s="266"/>
      <c r="U111" s="266"/>
      <c r="V111" s="267"/>
      <c r="W111" s="194"/>
      <c r="X111" s="194"/>
      <c r="Y111" s="265"/>
      <c r="Z111" s="266"/>
      <c r="AA111" s="266"/>
      <c r="AB111" s="266"/>
      <c r="AC111" s="267"/>
      <c r="AD111" s="194"/>
      <c r="AE111" s="194"/>
      <c r="AF111" s="265"/>
      <c r="AG111" s="266"/>
      <c r="AH111" s="266"/>
      <c r="AI111" s="266"/>
      <c r="AJ111" s="267"/>
      <c r="AK111" s="194"/>
      <c r="AL111" s="194"/>
      <c r="AM111" s="265"/>
      <c r="AN111" s="266"/>
      <c r="AO111" s="266"/>
      <c r="AP111" s="266"/>
      <c r="AQ111" s="267"/>
      <c r="AR111" s="194"/>
      <c r="AS111" s="194"/>
      <c r="AT111" s="265"/>
      <c r="AU111" s="266"/>
      <c r="AV111" s="266"/>
      <c r="AW111" s="266"/>
      <c r="AX111" s="267"/>
      <c r="AY111" s="194"/>
      <c r="AZ111" s="194"/>
      <c r="BA111" s="265"/>
      <c r="BB111" s="266"/>
      <c r="BC111" s="266"/>
      <c r="BD111" s="266"/>
      <c r="BE111" s="267"/>
      <c r="BF111" s="194"/>
      <c r="BG111" s="194"/>
      <c r="BH111" s="265"/>
      <c r="BI111" s="266"/>
      <c r="BJ111" s="266"/>
      <c r="BK111" s="266"/>
      <c r="BL111" s="267"/>
      <c r="BM111" s="194"/>
      <c r="BN111" s="194"/>
      <c r="BO111" s="265"/>
      <c r="BP111" s="266"/>
      <c r="BQ111" s="266"/>
      <c r="BR111" s="266"/>
      <c r="BS111" s="267"/>
      <c r="BT111" s="194"/>
      <c r="BU111" s="194"/>
      <c r="BV111" s="265"/>
      <c r="BW111" s="266"/>
      <c r="BX111" s="266"/>
      <c r="BY111" s="266"/>
      <c r="BZ111" s="267"/>
      <c r="CA111" s="194"/>
      <c r="CB111" s="194"/>
      <c r="CC111" s="265"/>
      <c r="CD111" s="266"/>
      <c r="CE111" s="266"/>
      <c r="CF111" s="266"/>
      <c r="CG111" s="267"/>
      <c r="CH111" s="194"/>
      <c r="CI111" s="194"/>
      <c r="CJ111" s="265"/>
      <c r="CK111" s="266"/>
      <c r="CL111" s="266"/>
      <c r="CM111" s="266"/>
      <c r="CN111" s="267"/>
      <c r="CO111" s="194"/>
      <c r="CP111" s="194"/>
      <c r="CQ111" s="265"/>
      <c r="CR111" s="266"/>
      <c r="CS111" s="266"/>
      <c r="CT111" s="266"/>
      <c r="CU111" s="267"/>
      <c r="CV111" s="194"/>
      <c r="CW111" s="194"/>
      <c r="CX111" s="265"/>
      <c r="CY111" s="266"/>
      <c r="CZ111" s="266"/>
      <c r="DA111" s="266"/>
      <c r="DB111" s="267"/>
      <c r="DC111" s="194"/>
      <c r="DD111" s="194"/>
      <c r="DE111" s="265"/>
      <c r="DF111" s="266"/>
      <c r="DG111" s="266"/>
      <c r="DH111" s="266"/>
      <c r="DI111" s="267"/>
      <c r="DJ111" s="194"/>
      <c r="DK111" s="194"/>
      <c r="DL111" s="265"/>
      <c r="DM111" s="266"/>
      <c r="DN111" s="266"/>
      <c r="DO111" s="266"/>
      <c r="DP111" s="267"/>
      <c r="DQ111" s="194"/>
      <c r="DR111" s="194"/>
      <c r="DS111" s="265"/>
      <c r="DT111" s="266"/>
      <c r="DU111" s="266"/>
      <c r="DV111" s="266"/>
      <c r="DW111" s="267"/>
      <c r="DX111" s="194"/>
      <c r="DY111" s="194"/>
      <c r="DZ111" s="265"/>
      <c r="EA111" s="266"/>
      <c r="EB111" s="266"/>
      <c r="EC111" s="266"/>
      <c r="ED111" s="267"/>
      <c r="EE111" s="194"/>
      <c r="EF111" s="194"/>
      <c r="EG111" s="265"/>
      <c r="EH111" s="266"/>
      <c r="EI111" s="266"/>
      <c r="EJ111" s="266"/>
      <c r="EK111" s="267"/>
      <c r="EL111" s="194"/>
      <c r="EM111" s="194"/>
      <c r="EN111" s="265"/>
      <c r="EO111" s="266"/>
      <c r="EP111" s="266"/>
      <c r="EQ111" s="266"/>
      <c r="ER111" s="267"/>
      <c r="ES111" s="194"/>
      <c r="ET111" s="194"/>
      <c r="EU111" s="265"/>
      <c r="EV111" s="266"/>
      <c r="EW111" s="266"/>
      <c r="EX111" s="266"/>
      <c r="EY111" s="267"/>
      <c r="EZ111" s="194"/>
      <c r="FA111" s="194"/>
      <c r="FB111" s="265"/>
      <c r="FC111" s="266"/>
      <c r="FD111" s="266"/>
      <c r="FE111" s="266"/>
      <c r="FF111" s="267"/>
      <c r="FG111" s="194"/>
      <c r="FH111" s="194"/>
      <c r="FI111" s="265"/>
      <c r="FJ111" s="266"/>
      <c r="FK111" s="266"/>
      <c r="FL111" s="266"/>
      <c r="FM111" s="267"/>
      <c r="FN111" s="194"/>
      <c r="FO111" s="194"/>
      <c r="FP111" s="265"/>
      <c r="FQ111" s="266"/>
      <c r="FR111" s="266"/>
      <c r="FS111" s="266"/>
      <c r="FT111" s="267"/>
      <c r="FU111" s="194"/>
      <c r="FV111" s="194"/>
      <c r="FW111" s="265"/>
      <c r="FX111" s="266"/>
      <c r="FY111" s="266"/>
      <c r="FZ111" s="266"/>
      <c r="GA111" s="267"/>
      <c r="GB111" s="194"/>
      <c r="GC111" s="194"/>
      <c r="GD111" s="143"/>
      <c r="GE111" s="143"/>
      <c r="GF111" s="143"/>
      <c r="GG111" s="143"/>
      <c r="GH111" s="143"/>
      <c r="GI111" s="194"/>
      <c r="GJ111" s="194"/>
      <c r="GK111" s="143"/>
      <c r="GL111" s="143"/>
      <c r="GM111" s="143"/>
      <c r="GN111" s="143"/>
      <c r="GO111" s="143"/>
      <c r="GP111" s="210"/>
      <c r="GQ111" s="210"/>
      <c r="GR111" s="143"/>
      <c r="GS111" s="143"/>
      <c r="GT111" s="143"/>
      <c r="GU111" s="143"/>
      <c r="GV111" s="143"/>
      <c r="GW111" s="210"/>
      <c r="GX111" s="210"/>
      <c r="GY111" s="143"/>
      <c r="GZ111" s="143"/>
      <c r="HA111" s="143"/>
      <c r="HB111" s="143"/>
      <c r="HC111" s="143"/>
      <c r="HD111" s="210"/>
      <c r="HE111" s="210"/>
      <c r="HF111" s="143"/>
      <c r="HG111" s="143"/>
      <c r="HH111" s="143"/>
      <c r="HI111" s="143"/>
      <c r="HJ111" s="143"/>
      <c r="HK111" s="210"/>
      <c r="HL111" s="210"/>
      <c r="HM111" s="143"/>
      <c r="HN111" s="143"/>
      <c r="HO111" s="143"/>
      <c r="HP111" s="143"/>
      <c r="HQ111" s="143"/>
      <c r="HR111" s="143"/>
      <c r="HS111" s="143"/>
      <c r="HT111" s="143"/>
      <c r="HU111" s="143"/>
      <c r="HV111" s="143"/>
      <c r="HW111" s="143"/>
      <c r="HX111" s="143"/>
      <c r="HY111" s="203"/>
      <c r="HZ111" s="203"/>
      <c r="IA111" s="143"/>
      <c r="IB111" s="143"/>
      <c r="IC111" s="143"/>
      <c r="ID111" s="143"/>
      <c r="IE111" s="143"/>
      <c r="IF111" s="203"/>
      <c r="IG111" s="203"/>
      <c r="IH111" s="143"/>
      <c r="II111" s="143"/>
      <c r="IJ111" s="143"/>
      <c r="IK111" s="143"/>
      <c r="IL111" s="143"/>
      <c r="IM111" s="203"/>
      <c r="IN111" s="203"/>
      <c r="IO111" s="143"/>
      <c r="IP111" s="143"/>
      <c r="IQ111" s="227"/>
      <c r="IR111" s="227"/>
      <c r="IS111" s="227"/>
      <c r="IT111" s="203"/>
      <c r="IU111" s="203"/>
      <c r="IV111" s="143"/>
      <c r="IW111" s="143"/>
      <c r="IX111" s="143"/>
      <c r="IY111" s="143"/>
      <c r="IZ111" s="143"/>
      <c r="JA111" s="203"/>
      <c r="JB111" s="203"/>
      <c r="JC111" s="227"/>
      <c r="JD111" s="227"/>
      <c r="JE111" s="143"/>
      <c r="JF111" s="143"/>
      <c r="JG111" s="143"/>
      <c r="JH111" s="203"/>
      <c r="JI111" s="203"/>
      <c r="JJ111" s="143"/>
      <c r="JK111" s="143"/>
      <c r="JL111" s="143"/>
      <c r="JM111" s="143"/>
      <c r="JN111" s="143"/>
      <c r="JO111" s="203"/>
      <c r="JP111" s="203"/>
      <c r="JQ111" s="143"/>
      <c r="JR111" s="143"/>
      <c r="JS111" s="143"/>
      <c r="JT111" s="143"/>
      <c r="JU111" s="143"/>
      <c r="JV111" s="203"/>
      <c r="JW111" s="203"/>
      <c r="JX111" s="143"/>
      <c r="JY111" s="143"/>
      <c r="JZ111" s="143"/>
      <c r="KA111" s="143"/>
      <c r="KB111" s="143"/>
      <c r="KC111" s="203"/>
      <c r="KD111" s="203"/>
      <c r="KE111" s="143"/>
      <c r="KF111" s="143"/>
      <c r="KG111" s="143"/>
      <c r="KH111" s="143"/>
      <c r="KI111" s="143"/>
      <c r="KJ111" s="194"/>
      <c r="KK111" s="194"/>
      <c r="KL111" s="143"/>
      <c r="KM111" s="143"/>
      <c r="KN111" s="143"/>
      <c r="KO111" s="143"/>
      <c r="KP111" s="227"/>
      <c r="KQ111" s="194"/>
      <c r="KR111" s="194"/>
      <c r="KS111" s="143"/>
      <c r="KT111" s="143"/>
      <c r="KU111" s="143"/>
      <c r="KV111" s="143"/>
      <c r="KW111" s="143"/>
      <c r="KX111" s="210"/>
      <c r="KY111" s="210"/>
      <c r="KZ111" s="194"/>
      <c r="LA111" s="194"/>
      <c r="LB111" s="194"/>
      <c r="LC111" s="194"/>
      <c r="LD111" s="194"/>
      <c r="LE111" s="210"/>
      <c r="LF111" s="210"/>
      <c r="LG111" s="227"/>
      <c r="LH111" s="227"/>
      <c r="LI111" s="227"/>
      <c r="LJ111" s="227"/>
      <c r="LK111" s="227"/>
      <c r="LL111" s="227"/>
      <c r="LM111" s="210"/>
      <c r="LN111" s="227"/>
      <c r="LO111" s="227"/>
      <c r="LP111" s="227"/>
      <c r="LQ111" s="227"/>
      <c r="LR111" s="227"/>
      <c r="LS111" s="210"/>
      <c r="LT111" s="210"/>
      <c r="LU111" s="227"/>
      <c r="LV111" s="143"/>
      <c r="LW111" s="143"/>
      <c r="LX111" s="143"/>
      <c r="LY111" s="143"/>
      <c r="LZ111" s="203"/>
      <c r="MA111" s="203"/>
      <c r="MB111" s="143"/>
      <c r="MC111" s="143"/>
      <c r="MD111" s="143"/>
      <c r="ME111" s="143"/>
      <c r="MF111" s="143"/>
      <c r="MG111" s="203"/>
      <c r="MH111" s="203"/>
      <c r="MI111" s="143"/>
      <c r="MJ111" s="143"/>
      <c r="MK111" s="143"/>
      <c r="ML111" s="143"/>
      <c r="MM111" s="143"/>
      <c r="MN111" s="203"/>
      <c r="MO111" s="203"/>
      <c r="MP111" s="143"/>
      <c r="MQ111" s="143"/>
      <c r="MR111" s="143"/>
      <c r="MS111" s="143"/>
      <c r="MT111" s="143"/>
      <c r="MU111" s="203"/>
      <c r="MV111" s="203"/>
      <c r="MW111" s="143"/>
      <c r="MX111" s="143"/>
      <c r="MY111" s="143"/>
      <c r="MZ111" s="143"/>
      <c r="NA111" s="143"/>
      <c r="NB111" s="143"/>
      <c r="NC111" s="143"/>
      <c r="ND111" s="143"/>
    </row>
    <row r="112" spans="1:368" s="147" customFormat="1" ht="15" customHeight="1">
      <c r="A112" s="472"/>
      <c r="B112" s="461"/>
      <c r="C112" s="164" t="s">
        <v>11</v>
      </c>
      <c r="D112" s="268"/>
      <c r="E112" s="143"/>
      <c r="F112" s="143"/>
      <c r="G112" s="143"/>
      <c r="H112" s="269"/>
      <c r="I112" s="194"/>
      <c r="J112" s="194"/>
      <c r="K112" s="268"/>
      <c r="L112" s="143"/>
      <c r="M112" s="143"/>
      <c r="N112" s="143"/>
      <c r="O112" s="269"/>
      <c r="P112" s="194"/>
      <c r="Q112" s="194"/>
      <c r="R112" s="268"/>
      <c r="S112" s="143"/>
      <c r="T112" s="143"/>
      <c r="U112" s="143"/>
      <c r="V112" s="269"/>
      <c r="W112" s="194"/>
      <c r="X112" s="194"/>
      <c r="Y112" s="268"/>
      <c r="Z112" s="143"/>
      <c r="AA112" s="143"/>
      <c r="AB112" s="143"/>
      <c r="AC112" s="269"/>
      <c r="AD112" s="194"/>
      <c r="AE112" s="194"/>
      <c r="AF112" s="268"/>
      <c r="AG112" s="143"/>
      <c r="AH112" s="143"/>
      <c r="AI112" s="143"/>
      <c r="AJ112" s="269"/>
      <c r="AK112" s="194"/>
      <c r="AL112" s="194"/>
      <c r="AM112" s="268"/>
      <c r="AN112" s="143"/>
      <c r="AO112" s="143"/>
      <c r="AP112" s="143"/>
      <c r="AQ112" s="269"/>
      <c r="AR112" s="194"/>
      <c r="AS112" s="194"/>
      <c r="AT112" s="268"/>
      <c r="AU112" s="143"/>
      <c r="AV112" s="143"/>
      <c r="AW112" s="143"/>
      <c r="AX112" s="269"/>
      <c r="AY112" s="194"/>
      <c r="AZ112" s="194"/>
      <c r="BA112" s="268"/>
      <c r="BB112" s="143"/>
      <c r="BC112" s="143"/>
      <c r="BD112" s="143"/>
      <c r="BE112" s="269"/>
      <c r="BF112" s="194"/>
      <c r="BG112" s="194"/>
      <c r="BH112" s="268"/>
      <c r="BI112" s="143"/>
      <c r="BJ112" s="143"/>
      <c r="BK112" s="143"/>
      <c r="BL112" s="269"/>
      <c r="BM112" s="194"/>
      <c r="BN112" s="194"/>
      <c r="BO112" s="268"/>
      <c r="BP112" s="143"/>
      <c r="BQ112" s="143"/>
      <c r="BR112" s="143"/>
      <c r="BS112" s="269"/>
      <c r="BT112" s="194"/>
      <c r="BU112" s="194"/>
      <c r="BV112" s="268"/>
      <c r="BW112" s="143"/>
      <c r="BX112" s="143"/>
      <c r="BY112" s="143"/>
      <c r="BZ112" s="269"/>
      <c r="CA112" s="194"/>
      <c r="CB112" s="194"/>
      <c r="CC112" s="268"/>
      <c r="CD112" s="143"/>
      <c r="CE112" s="143"/>
      <c r="CF112" s="143"/>
      <c r="CG112" s="269"/>
      <c r="CH112" s="194"/>
      <c r="CI112" s="194"/>
      <c r="CJ112" s="268"/>
      <c r="CK112" s="143"/>
      <c r="CL112" s="143"/>
      <c r="CM112" s="143"/>
      <c r="CN112" s="269"/>
      <c r="CO112" s="194"/>
      <c r="CP112" s="194"/>
      <c r="CQ112" s="268"/>
      <c r="CR112" s="143"/>
      <c r="CS112" s="143"/>
      <c r="CT112" s="143"/>
      <c r="CU112" s="269"/>
      <c r="CV112" s="194"/>
      <c r="CW112" s="194"/>
      <c r="CX112" s="268"/>
      <c r="CY112" s="143"/>
      <c r="CZ112" s="143"/>
      <c r="DA112" s="143"/>
      <c r="DB112" s="269"/>
      <c r="DC112" s="194"/>
      <c r="DD112" s="194"/>
      <c r="DE112" s="268"/>
      <c r="DF112" s="143"/>
      <c r="DG112" s="143"/>
      <c r="DH112" s="143"/>
      <c r="DI112" s="269"/>
      <c r="DJ112" s="194"/>
      <c r="DK112" s="194"/>
      <c r="DL112" s="268"/>
      <c r="DM112" s="143"/>
      <c r="DN112" s="143"/>
      <c r="DO112" s="143"/>
      <c r="DP112" s="269"/>
      <c r="DQ112" s="194"/>
      <c r="DR112" s="194"/>
      <c r="DS112" s="268"/>
      <c r="DT112" s="143"/>
      <c r="DU112" s="143"/>
      <c r="DV112" s="143"/>
      <c r="DW112" s="269"/>
      <c r="DX112" s="194"/>
      <c r="DY112" s="194"/>
      <c r="DZ112" s="268"/>
      <c r="EA112" s="143"/>
      <c r="EB112" s="143"/>
      <c r="EC112" s="143"/>
      <c r="ED112" s="269"/>
      <c r="EE112" s="194"/>
      <c r="EF112" s="194"/>
      <c r="EG112" s="268"/>
      <c r="EH112" s="143"/>
      <c r="EI112" s="143"/>
      <c r="EJ112" s="143"/>
      <c r="EK112" s="269"/>
      <c r="EL112" s="194"/>
      <c r="EM112" s="194"/>
      <c r="EN112" s="268"/>
      <c r="EO112" s="143"/>
      <c r="EP112" s="143"/>
      <c r="EQ112" s="143"/>
      <c r="ER112" s="269"/>
      <c r="ES112" s="194"/>
      <c r="ET112" s="194"/>
      <c r="EU112" s="268"/>
      <c r="EV112" s="143"/>
      <c r="EW112" s="143"/>
      <c r="EX112" s="143"/>
      <c r="EY112" s="269"/>
      <c r="EZ112" s="194"/>
      <c r="FA112" s="194"/>
      <c r="FB112" s="268"/>
      <c r="FC112" s="143"/>
      <c r="FD112" s="143"/>
      <c r="FE112" s="143"/>
      <c r="FF112" s="269"/>
      <c r="FG112" s="194"/>
      <c r="FH112" s="194"/>
      <c r="FI112" s="268"/>
      <c r="FJ112" s="143"/>
      <c r="FK112" s="143"/>
      <c r="FL112" s="143"/>
      <c r="FM112" s="269"/>
      <c r="FN112" s="194"/>
      <c r="FO112" s="194"/>
      <c r="FP112" s="268"/>
      <c r="FQ112" s="143"/>
      <c r="FR112" s="143"/>
      <c r="FS112" s="143"/>
      <c r="FT112" s="269"/>
      <c r="FU112" s="194"/>
      <c r="FV112" s="194"/>
      <c r="FW112" s="268"/>
      <c r="FX112" s="143"/>
      <c r="FY112" s="143"/>
      <c r="FZ112" s="143"/>
      <c r="GA112" s="269"/>
      <c r="GB112" s="194"/>
      <c r="GC112" s="194"/>
      <c r="GD112" s="143"/>
      <c r="GE112" s="143"/>
      <c r="GF112" s="143"/>
      <c r="GG112" s="143"/>
      <c r="GH112" s="143"/>
      <c r="GI112" s="194"/>
      <c r="GJ112" s="194"/>
      <c r="GK112" s="143"/>
      <c r="GL112" s="143"/>
      <c r="GM112" s="143"/>
      <c r="GN112" s="143"/>
      <c r="GO112" s="143"/>
      <c r="GP112" s="210"/>
      <c r="GQ112" s="210"/>
      <c r="GR112" s="143"/>
      <c r="GS112" s="143"/>
      <c r="GT112" s="143"/>
      <c r="GU112" s="143"/>
      <c r="GV112" s="143"/>
      <c r="GW112" s="210"/>
      <c r="GX112" s="210"/>
      <c r="GY112" s="143"/>
      <c r="GZ112" s="143"/>
      <c r="HA112" s="143"/>
      <c r="HB112" s="143"/>
      <c r="HC112" s="143"/>
      <c r="HD112" s="210"/>
      <c r="HE112" s="210"/>
      <c r="HF112" s="143"/>
      <c r="HG112" s="143"/>
      <c r="HH112" s="143"/>
      <c r="HI112" s="143"/>
      <c r="HJ112" s="143"/>
      <c r="HK112" s="210"/>
      <c r="HL112" s="210"/>
      <c r="HM112" s="143"/>
      <c r="HN112" s="143"/>
      <c r="HO112" s="143"/>
      <c r="HP112" s="143"/>
      <c r="HQ112" s="143"/>
      <c r="HR112" s="143"/>
      <c r="HS112" s="143"/>
      <c r="HT112" s="143"/>
      <c r="HU112" s="143"/>
      <c r="HV112" s="143"/>
      <c r="HW112" s="143"/>
      <c r="HX112" s="143"/>
      <c r="HY112" s="203"/>
      <c r="HZ112" s="203"/>
      <c r="IA112" s="143"/>
      <c r="IB112" s="143"/>
      <c r="IC112" s="143"/>
      <c r="ID112" s="143"/>
      <c r="IE112" s="143"/>
      <c r="IF112" s="203"/>
      <c r="IG112" s="203"/>
      <c r="IH112" s="143"/>
      <c r="II112" s="143"/>
      <c r="IJ112" s="143"/>
      <c r="IK112" s="143"/>
      <c r="IL112" s="143"/>
      <c r="IM112" s="203"/>
      <c r="IN112" s="203"/>
      <c r="IO112" s="143"/>
      <c r="IP112" s="143"/>
      <c r="IQ112" s="227"/>
      <c r="IR112" s="227"/>
      <c r="IS112" s="227"/>
      <c r="IT112" s="203"/>
      <c r="IU112" s="203"/>
      <c r="IV112" s="143"/>
      <c r="IW112" s="143"/>
      <c r="IX112" s="143"/>
      <c r="IY112" s="143"/>
      <c r="IZ112" s="143"/>
      <c r="JA112" s="203"/>
      <c r="JB112" s="203"/>
      <c r="JC112" s="227"/>
      <c r="JD112" s="227"/>
      <c r="JE112" s="143"/>
      <c r="JF112" s="143"/>
      <c r="JG112" s="143"/>
      <c r="JH112" s="203"/>
      <c r="JI112" s="203"/>
      <c r="JJ112" s="143"/>
      <c r="JK112" s="143"/>
      <c r="JL112" s="143"/>
      <c r="JM112" s="143"/>
      <c r="JN112" s="143"/>
      <c r="JO112" s="203"/>
      <c r="JP112" s="203"/>
      <c r="JQ112" s="143"/>
      <c r="JR112" s="143"/>
      <c r="JS112" s="143"/>
      <c r="JT112" s="143"/>
      <c r="JU112" s="143"/>
      <c r="JV112" s="203"/>
      <c r="JW112" s="203"/>
      <c r="JX112" s="143"/>
      <c r="JY112" s="143"/>
      <c r="JZ112" s="143"/>
      <c r="KA112" s="143"/>
      <c r="KB112" s="143"/>
      <c r="KC112" s="203"/>
      <c r="KD112" s="203"/>
      <c r="KE112" s="143"/>
      <c r="KF112" s="143"/>
      <c r="KG112" s="143"/>
      <c r="KH112" s="143"/>
      <c r="KI112" s="143"/>
      <c r="KJ112" s="194"/>
      <c r="KK112" s="194"/>
      <c r="KL112" s="143"/>
      <c r="KM112" s="143"/>
      <c r="KN112" s="143"/>
      <c r="KO112" s="143"/>
      <c r="KP112" s="227"/>
      <c r="KQ112" s="194"/>
      <c r="KR112" s="194"/>
      <c r="KS112" s="143"/>
      <c r="KT112" s="143"/>
      <c r="KU112" s="143"/>
      <c r="KV112" s="143"/>
      <c r="KW112" s="143"/>
      <c r="KX112" s="210"/>
      <c r="KY112" s="210"/>
      <c r="KZ112" s="194"/>
      <c r="LA112" s="194"/>
      <c r="LB112" s="194"/>
      <c r="LC112" s="194"/>
      <c r="LD112" s="194"/>
      <c r="LE112" s="210"/>
      <c r="LF112" s="210"/>
      <c r="LG112" s="227"/>
      <c r="LH112" s="227"/>
      <c r="LI112" s="227"/>
      <c r="LJ112" s="227"/>
      <c r="LK112" s="227"/>
      <c r="LL112" s="227"/>
      <c r="LM112" s="210"/>
      <c r="LN112" s="227"/>
      <c r="LO112" s="227"/>
      <c r="LP112" s="227"/>
      <c r="LQ112" s="227"/>
      <c r="LR112" s="227"/>
      <c r="LS112" s="210"/>
      <c r="LT112" s="210"/>
      <c r="LU112" s="227"/>
      <c r="LV112" s="143"/>
      <c r="LW112" s="143"/>
      <c r="LX112" s="143"/>
      <c r="LY112" s="143"/>
      <c r="LZ112" s="203"/>
      <c r="MA112" s="203"/>
      <c r="MB112" s="143"/>
      <c r="MC112" s="143"/>
      <c r="MD112" s="143"/>
      <c r="ME112" s="143"/>
      <c r="MF112" s="143"/>
      <c r="MG112" s="203"/>
      <c r="MH112" s="203"/>
      <c r="MI112" s="143"/>
      <c r="MJ112" s="143"/>
      <c r="MK112" s="143"/>
      <c r="ML112" s="143"/>
      <c r="MM112" s="143"/>
      <c r="MN112" s="203"/>
      <c r="MO112" s="203"/>
      <c r="MP112" s="143"/>
      <c r="MQ112" s="143"/>
      <c r="MR112" s="143"/>
      <c r="MS112" s="143"/>
      <c r="MT112" s="143"/>
      <c r="MU112" s="203"/>
      <c r="MV112" s="203"/>
      <c r="MW112" s="143"/>
      <c r="MX112" s="143"/>
      <c r="MY112" s="143"/>
      <c r="MZ112" s="143"/>
      <c r="NA112" s="143"/>
      <c r="NB112" s="143"/>
      <c r="NC112" s="143"/>
      <c r="ND112" s="143"/>
    </row>
    <row r="113" spans="1:368" s="147" customFormat="1" ht="15" customHeight="1">
      <c r="A113" s="472"/>
      <c r="B113" s="461"/>
      <c r="C113" s="164" t="s">
        <v>12</v>
      </c>
      <c r="D113" s="268"/>
      <c r="E113" s="143"/>
      <c r="F113" s="143"/>
      <c r="G113" s="143"/>
      <c r="H113" s="269"/>
      <c r="I113" s="194"/>
      <c r="J113" s="194"/>
      <c r="K113" s="268"/>
      <c r="L113" s="143"/>
      <c r="M113" s="143"/>
      <c r="N113" s="143"/>
      <c r="O113" s="269"/>
      <c r="P113" s="194"/>
      <c r="Q113" s="194"/>
      <c r="R113" s="268"/>
      <c r="S113" s="143"/>
      <c r="T113" s="143"/>
      <c r="U113" s="143"/>
      <c r="V113" s="269"/>
      <c r="W113" s="194"/>
      <c r="X113" s="194"/>
      <c r="Y113" s="268"/>
      <c r="Z113" s="143"/>
      <c r="AA113" s="143"/>
      <c r="AB113" s="143"/>
      <c r="AC113" s="269"/>
      <c r="AD113" s="194"/>
      <c r="AE113" s="194"/>
      <c r="AF113" s="268"/>
      <c r="AG113" s="143"/>
      <c r="AH113" s="143"/>
      <c r="AI113" s="143"/>
      <c r="AJ113" s="269"/>
      <c r="AK113" s="194"/>
      <c r="AL113" s="194"/>
      <c r="AM113" s="268"/>
      <c r="AN113" s="143"/>
      <c r="AO113" s="143"/>
      <c r="AP113" s="143"/>
      <c r="AQ113" s="269"/>
      <c r="AR113" s="194"/>
      <c r="AS113" s="194"/>
      <c r="AT113" s="268"/>
      <c r="AU113" s="143"/>
      <c r="AV113" s="143"/>
      <c r="AW113" s="143"/>
      <c r="AX113" s="269"/>
      <c r="AY113" s="194"/>
      <c r="AZ113" s="194"/>
      <c r="BA113" s="268"/>
      <c r="BB113" s="143"/>
      <c r="BC113" s="143"/>
      <c r="BD113" s="143"/>
      <c r="BE113" s="269"/>
      <c r="BF113" s="194"/>
      <c r="BG113" s="194"/>
      <c r="BH113" s="268"/>
      <c r="BI113" s="143"/>
      <c r="BJ113" s="143"/>
      <c r="BK113" s="143"/>
      <c r="BL113" s="269"/>
      <c r="BM113" s="194"/>
      <c r="BN113" s="194"/>
      <c r="BO113" s="268"/>
      <c r="BP113" s="143"/>
      <c r="BQ113" s="143"/>
      <c r="BR113" s="143"/>
      <c r="BS113" s="269"/>
      <c r="BT113" s="194"/>
      <c r="BU113" s="194"/>
      <c r="BV113" s="268"/>
      <c r="BW113" s="143"/>
      <c r="BX113" s="143"/>
      <c r="BY113" s="143"/>
      <c r="BZ113" s="269"/>
      <c r="CA113" s="194"/>
      <c r="CB113" s="194"/>
      <c r="CC113" s="268"/>
      <c r="CD113" s="143"/>
      <c r="CE113" s="143"/>
      <c r="CF113" s="143"/>
      <c r="CG113" s="269"/>
      <c r="CH113" s="194"/>
      <c r="CI113" s="194"/>
      <c r="CJ113" s="268"/>
      <c r="CK113" s="143"/>
      <c r="CL113" s="143"/>
      <c r="CM113" s="143"/>
      <c r="CN113" s="269"/>
      <c r="CO113" s="194"/>
      <c r="CP113" s="194"/>
      <c r="CQ113" s="268"/>
      <c r="CR113" s="143"/>
      <c r="CS113" s="143"/>
      <c r="CT113" s="143"/>
      <c r="CU113" s="269"/>
      <c r="CV113" s="194"/>
      <c r="CW113" s="194"/>
      <c r="CX113" s="268"/>
      <c r="CY113" s="143"/>
      <c r="CZ113" s="143"/>
      <c r="DA113" s="143"/>
      <c r="DB113" s="269"/>
      <c r="DC113" s="194"/>
      <c r="DD113" s="194"/>
      <c r="DE113" s="268"/>
      <c r="DF113" s="143"/>
      <c r="DG113" s="143"/>
      <c r="DH113" s="143"/>
      <c r="DI113" s="269"/>
      <c r="DJ113" s="194"/>
      <c r="DK113" s="194"/>
      <c r="DL113" s="268"/>
      <c r="DM113" s="143"/>
      <c r="DN113" s="143"/>
      <c r="DO113" s="143"/>
      <c r="DP113" s="269"/>
      <c r="DQ113" s="194"/>
      <c r="DR113" s="194"/>
      <c r="DS113" s="268"/>
      <c r="DT113" s="143"/>
      <c r="DU113" s="143"/>
      <c r="DV113" s="143"/>
      <c r="DW113" s="269"/>
      <c r="DX113" s="194"/>
      <c r="DY113" s="194"/>
      <c r="DZ113" s="268"/>
      <c r="EA113" s="143"/>
      <c r="EB113" s="143"/>
      <c r="EC113" s="143"/>
      <c r="ED113" s="269"/>
      <c r="EE113" s="194"/>
      <c r="EF113" s="194"/>
      <c r="EG113" s="268"/>
      <c r="EH113" s="143"/>
      <c r="EI113" s="143"/>
      <c r="EJ113" s="143"/>
      <c r="EK113" s="269"/>
      <c r="EL113" s="194"/>
      <c r="EM113" s="194"/>
      <c r="EN113" s="268"/>
      <c r="EO113" s="143"/>
      <c r="EP113" s="143"/>
      <c r="EQ113" s="143"/>
      <c r="ER113" s="269"/>
      <c r="ES113" s="194"/>
      <c r="ET113" s="194"/>
      <c r="EU113" s="268"/>
      <c r="EV113" s="143"/>
      <c r="EW113" s="143"/>
      <c r="EX113" s="143"/>
      <c r="EY113" s="269"/>
      <c r="EZ113" s="194"/>
      <c r="FA113" s="194"/>
      <c r="FB113" s="268"/>
      <c r="FC113" s="143"/>
      <c r="FD113" s="143"/>
      <c r="FE113" s="143"/>
      <c r="FF113" s="269"/>
      <c r="FG113" s="194"/>
      <c r="FH113" s="194"/>
      <c r="FI113" s="268"/>
      <c r="FJ113" s="143"/>
      <c r="FK113" s="143"/>
      <c r="FL113" s="143"/>
      <c r="FM113" s="269"/>
      <c r="FN113" s="194"/>
      <c r="FO113" s="194"/>
      <c r="FP113" s="268"/>
      <c r="FQ113" s="143"/>
      <c r="FR113" s="143"/>
      <c r="FS113" s="143"/>
      <c r="FT113" s="269"/>
      <c r="FU113" s="194"/>
      <c r="FV113" s="194"/>
      <c r="FW113" s="268"/>
      <c r="FX113" s="143"/>
      <c r="FY113" s="143"/>
      <c r="FZ113" s="143"/>
      <c r="GA113" s="269"/>
      <c r="GB113" s="194"/>
      <c r="GC113" s="194"/>
      <c r="GD113" s="143"/>
      <c r="GE113" s="143"/>
      <c r="GF113" s="143"/>
      <c r="GG113" s="143"/>
      <c r="GH113" s="143"/>
      <c r="GI113" s="194"/>
      <c r="GJ113" s="194"/>
      <c r="GK113" s="143"/>
      <c r="GL113" s="143"/>
      <c r="GM113" s="143"/>
      <c r="GN113" s="143"/>
      <c r="GO113" s="143"/>
      <c r="GP113" s="210"/>
      <c r="GQ113" s="210"/>
      <c r="GR113" s="143"/>
      <c r="GS113" s="143"/>
      <c r="GT113" s="143"/>
      <c r="GU113" s="143"/>
      <c r="GV113" s="143"/>
      <c r="GW113" s="210"/>
      <c r="GX113" s="210"/>
      <c r="GY113" s="143"/>
      <c r="GZ113" s="143"/>
      <c r="HA113" s="143"/>
      <c r="HB113" s="143"/>
      <c r="HC113" s="143"/>
      <c r="HD113" s="210"/>
      <c r="HE113" s="210"/>
      <c r="HF113" s="143"/>
      <c r="HG113" s="143"/>
      <c r="HH113" s="143"/>
      <c r="HI113" s="143"/>
      <c r="HJ113" s="143"/>
      <c r="HK113" s="210"/>
      <c r="HL113" s="210"/>
      <c r="HM113" s="143"/>
      <c r="HN113" s="143"/>
      <c r="HO113" s="143"/>
      <c r="HP113" s="143"/>
      <c r="HQ113" s="143"/>
      <c r="HR113" s="143"/>
      <c r="HS113" s="143"/>
      <c r="HT113" s="143"/>
      <c r="HU113" s="143"/>
      <c r="HV113" s="143"/>
      <c r="HW113" s="143"/>
      <c r="HX113" s="143"/>
      <c r="HY113" s="203"/>
      <c r="HZ113" s="203"/>
      <c r="IA113" s="143"/>
      <c r="IB113" s="143"/>
      <c r="IC113" s="143"/>
      <c r="ID113" s="143"/>
      <c r="IE113" s="143"/>
      <c r="IF113" s="203"/>
      <c r="IG113" s="203"/>
      <c r="IH113" s="143"/>
      <c r="II113" s="143"/>
      <c r="IJ113" s="143"/>
      <c r="IK113" s="143"/>
      <c r="IL113" s="143"/>
      <c r="IM113" s="203"/>
      <c r="IN113" s="203"/>
      <c r="IO113" s="143"/>
      <c r="IP113" s="143"/>
      <c r="IQ113" s="227"/>
      <c r="IR113" s="227"/>
      <c r="IS113" s="227"/>
      <c r="IT113" s="203"/>
      <c r="IU113" s="203"/>
      <c r="IV113" s="143"/>
      <c r="IW113" s="143"/>
      <c r="IX113" s="143"/>
      <c r="IY113" s="143"/>
      <c r="IZ113" s="143"/>
      <c r="JA113" s="203"/>
      <c r="JB113" s="203"/>
      <c r="JC113" s="227"/>
      <c r="JD113" s="227"/>
      <c r="JE113" s="143"/>
      <c r="JF113" s="143"/>
      <c r="JG113" s="143"/>
      <c r="JH113" s="203"/>
      <c r="JI113" s="203"/>
      <c r="JJ113" s="143"/>
      <c r="JK113" s="143"/>
      <c r="JL113" s="143"/>
      <c r="JM113" s="143"/>
      <c r="JN113" s="143"/>
      <c r="JO113" s="203"/>
      <c r="JP113" s="203"/>
      <c r="JQ113" s="143"/>
      <c r="JR113" s="143"/>
      <c r="JS113" s="143"/>
      <c r="JT113" s="143"/>
      <c r="JU113" s="143"/>
      <c r="JV113" s="203"/>
      <c r="JW113" s="203"/>
      <c r="JX113" s="143"/>
      <c r="JY113" s="143"/>
      <c r="JZ113" s="143"/>
      <c r="KA113" s="143"/>
      <c r="KB113" s="143"/>
      <c r="KC113" s="203"/>
      <c r="KD113" s="203"/>
      <c r="KE113" s="143"/>
      <c r="KF113" s="143"/>
      <c r="KG113" s="143"/>
      <c r="KH113" s="143"/>
      <c r="KI113" s="143"/>
      <c r="KJ113" s="194"/>
      <c r="KK113" s="194"/>
      <c r="KL113" s="143"/>
      <c r="KM113" s="143"/>
      <c r="KN113" s="143"/>
      <c r="KO113" s="143"/>
      <c r="KP113" s="227"/>
      <c r="KQ113" s="194"/>
      <c r="KR113" s="194"/>
      <c r="KS113" s="143"/>
      <c r="KT113" s="143"/>
      <c r="KU113" s="143"/>
      <c r="KV113" s="143"/>
      <c r="KW113" s="143"/>
      <c r="KX113" s="210"/>
      <c r="KY113" s="210"/>
      <c r="KZ113" s="194"/>
      <c r="LA113" s="194"/>
      <c r="LB113" s="194"/>
      <c r="LC113" s="194"/>
      <c r="LD113" s="194"/>
      <c r="LE113" s="210"/>
      <c r="LF113" s="210"/>
      <c r="LG113" s="227"/>
      <c r="LH113" s="227"/>
      <c r="LI113" s="227"/>
      <c r="LJ113" s="227"/>
      <c r="LK113" s="227"/>
      <c r="LL113" s="227"/>
      <c r="LM113" s="210"/>
      <c r="LN113" s="227"/>
      <c r="LO113" s="227"/>
      <c r="LP113" s="227"/>
      <c r="LQ113" s="227"/>
      <c r="LR113" s="227"/>
      <c r="LS113" s="210"/>
      <c r="LT113" s="210"/>
      <c r="LU113" s="227"/>
      <c r="LV113" s="143"/>
      <c r="LW113" s="143"/>
      <c r="LX113" s="143"/>
      <c r="LY113" s="143"/>
      <c r="LZ113" s="203"/>
      <c r="MA113" s="203"/>
      <c r="MB113" s="143"/>
      <c r="MC113" s="143"/>
      <c r="MD113" s="143"/>
      <c r="ME113" s="143"/>
      <c r="MF113" s="143"/>
      <c r="MG113" s="203"/>
      <c r="MH113" s="203"/>
      <c r="MI113" s="143"/>
      <c r="MJ113" s="143"/>
      <c r="MK113" s="143"/>
      <c r="ML113" s="143"/>
      <c r="MM113" s="143"/>
      <c r="MN113" s="203"/>
      <c r="MO113" s="203"/>
      <c r="MP113" s="143"/>
      <c r="MQ113" s="143"/>
      <c r="MR113" s="143"/>
      <c r="MS113" s="143"/>
      <c r="MT113" s="143"/>
      <c r="MU113" s="203"/>
      <c r="MV113" s="203"/>
      <c r="MW113" s="143"/>
      <c r="MX113" s="143"/>
      <c r="MY113" s="143"/>
      <c r="MZ113" s="143"/>
      <c r="NA113" s="143"/>
      <c r="NB113" s="143"/>
      <c r="NC113" s="143"/>
      <c r="ND113" s="143"/>
    </row>
    <row r="114" spans="1:368" s="147" customFormat="1" ht="15" customHeight="1">
      <c r="A114" s="472"/>
      <c r="B114" s="461"/>
      <c r="C114" s="164" t="s">
        <v>13</v>
      </c>
      <c r="D114" s="268"/>
      <c r="E114" s="143"/>
      <c r="F114" s="143"/>
      <c r="G114" s="143"/>
      <c r="H114" s="269"/>
      <c r="I114" s="194"/>
      <c r="J114" s="194"/>
      <c r="K114" s="268"/>
      <c r="L114" s="143"/>
      <c r="M114" s="143"/>
      <c r="N114" s="143"/>
      <c r="O114" s="269"/>
      <c r="P114" s="194"/>
      <c r="Q114" s="194"/>
      <c r="R114" s="268"/>
      <c r="S114" s="143"/>
      <c r="T114" s="143"/>
      <c r="U114" s="143"/>
      <c r="V114" s="269"/>
      <c r="W114" s="194"/>
      <c r="X114" s="194"/>
      <c r="Y114" s="268"/>
      <c r="Z114" s="143"/>
      <c r="AA114" s="143"/>
      <c r="AB114" s="143"/>
      <c r="AC114" s="269"/>
      <c r="AD114" s="194"/>
      <c r="AE114" s="194"/>
      <c r="AF114" s="268"/>
      <c r="AG114" s="143"/>
      <c r="AH114" s="143"/>
      <c r="AI114" s="143"/>
      <c r="AJ114" s="269"/>
      <c r="AK114" s="194"/>
      <c r="AL114" s="194"/>
      <c r="AM114" s="268"/>
      <c r="AN114" s="143"/>
      <c r="AO114" s="143"/>
      <c r="AP114" s="143"/>
      <c r="AQ114" s="269"/>
      <c r="AR114" s="194"/>
      <c r="AS114" s="194"/>
      <c r="AT114" s="268"/>
      <c r="AU114" s="143"/>
      <c r="AV114" s="143"/>
      <c r="AW114" s="143"/>
      <c r="AX114" s="269"/>
      <c r="AY114" s="194"/>
      <c r="AZ114" s="194"/>
      <c r="BA114" s="268"/>
      <c r="BB114" s="143"/>
      <c r="BC114" s="143"/>
      <c r="BD114" s="143"/>
      <c r="BE114" s="269"/>
      <c r="BF114" s="194"/>
      <c r="BG114" s="194"/>
      <c r="BH114" s="268"/>
      <c r="BI114" s="143"/>
      <c r="BJ114" s="143"/>
      <c r="BK114" s="143"/>
      <c r="BL114" s="269"/>
      <c r="BM114" s="194"/>
      <c r="BN114" s="194"/>
      <c r="BO114" s="268"/>
      <c r="BP114" s="143"/>
      <c r="BQ114" s="143"/>
      <c r="BR114" s="143"/>
      <c r="BS114" s="269"/>
      <c r="BT114" s="194"/>
      <c r="BU114" s="194"/>
      <c r="BV114" s="268"/>
      <c r="BW114" s="143"/>
      <c r="BX114" s="143"/>
      <c r="BY114" s="143"/>
      <c r="BZ114" s="269"/>
      <c r="CA114" s="194"/>
      <c r="CB114" s="194"/>
      <c r="CC114" s="268"/>
      <c r="CD114" s="143"/>
      <c r="CE114" s="143"/>
      <c r="CF114" s="143"/>
      <c r="CG114" s="269"/>
      <c r="CH114" s="194"/>
      <c r="CI114" s="194"/>
      <c r="CJ114" s="268"/>
      <c r="CK114" s="143"/>
      <c r="CL114" s="143"/>
      <c r="CM114" s="143"/>
      <c r="CN114" s="269"/>
      <c r="CO114" s="194"/>
      <c r="CP114" s="194"/>
      <c r="CQ114" s="268"/>
      <c r="CR114" s="143"/>
      <c r="CS114" s="143"/>
      <c r="CT114" s="143"/>
      <c r="CU114" s="269"/>
      <c r="CV114" s="194"/>
      <c r="CW114" s="194"/>
      <c r="CX114" s="268"/>
      <c r="CY114" s="143"/>
      <c r="CZ114" s="143"/>
      <c r="DA114" s="143"/>
      <c r="DB114" s="269"/>
      <c r="DC114" s="194"/>
      <c r="DD114" s="194"/>
      <c r="DE114" s="268"/>
      <c r="DF114" s="143"/>
      <c r="DG114" s="143"/>
      <c r="DH114" s="143"/>
      <c r="DI114" s="269"/>
      <c r="DJ114" s="194"/>
      <c r="DK114" s="194"/>
      <c r="DL114" s="268"/>
      <c r="DM114" s="143"/>
      <c r="DN114" s="143"/>
      <c r="DO114" s="143"/>
      <c r="DP114" s="269"/>
      <c r="DQ114" s="194"/>
      <c r="DR114" s="194"/>
      <c r="DS114" s="268"/>
      <c r="DT114" s="143"/>
      <c r="DU114" s="143"/>
      <c r="DV114" s="143"/>
      <c r="DW114" s="269"/>
      <c r="DX114" s="194"/>
      <c r="DY114" s="194"/>
      <c r="DZ114" s="268"/>
      <c r="EA114" s="143"/>
      <c r="EB114" s="143"/>
      <c r="EC114" s="143"/>
      <c r="ED114" s="269"/>
      <c r="EE114" s="194"/>
      <c r="EF114" s="194"/>
      <c r="EG114" s="268"/>
      <c r="EH114" s="143"/>
      <c r="EI114" s="143"/>
      <c r="EJ114" s="143"/>
      <c r="EK114" s="269"/>
      <c r="EL114" s="194"/>
      <c r="EM114" s="194"/>
      <c r="EN114" s="268"/>
      <c r="EO114" s="143"/>
      <c r="EP114" s="143"/>
      <c r="EQ114" s="143"/>
      <c r="ER114" s="269"/>
      <c r="ES114" s="194"/>
      <c r="ET114" s="194"/>
      <c r="EU114" s="268"/>
      <c r="EV114" s="143"/>
      <c r="EW114" s="143"/>
      <c r="EX114" s="143"/>
      <c r="EY114" s="269"/>
      <c r="EZ114" s="194"/>
      <c r="FA114" s="194"/>
      <c r="FB114" s="268"/>
      <c r="FC114" s="143"/>
      <c r="FD114" s="143"/>
      <c r="FE114" s="143"/>
      <c r="FF114" s="269"/>
      <c r="FG114" s="194"/>
      <c r="FH114" s="194"/>
      <c r="FI114" s="268"/>
      <c r="FJ114" s="143"/>
      <c r="FK114" s="143"/>
      <c r="FL114" s="143"/>
      <c r="FM114" s="269"/>
      <c r="FN114" s="194"/>
      <c r="FO114" s="194"/>
      <c r="FP114" s="268"/>
      <c r="FQ114" s="143"/>
      <c r="FR114" s="143"/>
      <c r="FS114" s="143"/>
      <c r="FT114" s="269"/>
      <c r="FU114" s="194"/>
      <c r="FV114" s="194"/>
      <c r="FW114" s="268"/>
      <c r="FX114" s="143"/>
      <c r="FY114" s="143"/>
      <c r="FZ114" s="143"/>
      <c r="GA114" s="269"/>
      <c r="GB114" s="194"/>
      <c r="GC114" s="194"/>
      <c r="GD114" s="143"/>
      <c r="GE114" s="143"/>
      <c r="GF114" s="143"/>
      <c r="GG114" s="143"/>
      <c r="GH114" s="143"/>
      <c r="GI114" s="194"/>
      <c r="GJ114" s="194"/>
      <c r="GK114" s="143"/>
      <c r="GL114" s="143"/>
      <c r="GM114" s="143"/>
      <c r="GN114" s="143"/>
      <c r="GO114" s="143"/>
      <c r="GP114" s="210"/>
      <c r="GQ114" s="210"/>
      <c r="GR114" s="143"/>
      <c r="GS114" s="143"/>
      <c r="GT114" s="143"/>
      <c r="GU114" s="143"/>
      <c r="GV114" s="143"/>
      <c r="GW114" s="210"/>
      <c r="GX114" s="210"/>
      <c r="GY114" s="143"/>
      <c r="GZ114" s="143"/>
      <c r="HA114" s="143"/>
      <c r="HB114" s="143"/>
      <c r="HC114" s="143"/>
      <c r="HD114" s="210"/>
      <c r="HE114" s="210"/>
      <c r="HF114" s="143"/>
      <c r="HG114" s="143"/>
      <c r="HH114" s="143"/>
      <c r="HI114" s="143"/>
      <c r="HJ114" s="143"/>
      <c r="HK114" s="210"/>
      <c r="HL114" s="210"/>
      <c r="HM114" s="143"/>
      <c r="HN114" s="143"/>
      <c r="HO114" s="143"/>
      <c r="HP114" s="143"/>
      <c r="HQ114" s="143"/>
      <c r="HR114" s="143"/>
      <c r="HS114" s="143"/>
      <c r="HT114" s="143"/>
      <c r="HU114" s="143"/>
      <c r="HV114" s="143"/>
      <c r="HW114" s="143"/>
      <c r="HX114" s="143"/>
      <c r="HY114" s="203"/>
      <c r="HZ114" s="203"/>
      <c r="IA114" s="143"/>
      <c r="IB114" s="143"/>
      <c r="IC114" s="143"/>
      <c r="ID114" s="143"/>
      <c r="IE114" s="143"/>
      <c r="IF114" s="203"/>
      <c r="IG114" s="203"/>
      <c r="IH114" s="143"/>
      <c r="II114" s="143"/>
      <c r="IJ114" s="143"/>
      <c r="IK114" s="143"/>
      <c r="IL114" s="143"/>
      <c r="IM114" s="203"/>
      <c r="IN114" s="203"/>
      <c r="IO114" s="143"/>
      <c r="IP114" s="143"/>
      <c r="IQ114" s="227"/>
      <c r="IR114" s="227"/>
      <c r="IS114" s="227"/>
      <c r="IT114" s="203"/>
      <c r="IU114" s="203"/>
      <c r="IV114" s="143"/>
      <c r="IW114" s="143"/>
      <c r="IX114" s="143"/>
      <c r="IY114" s="143"/>
      <c r="IZ114" s="143"/>
      <c r="JA114" s="203"/>
      <c r="JB114" s="203"/>
      <c r="JC114" s="227"/>
      <c r="JD114" s="227"/>
      <c r="JE114" s="143"/>
      <c r="JF114" s="143"/>
      <c r="JG114" s="143"/>
      <c r="JH114" s="203"/>
      <c r="JI114" s="203"/>
      <c r="JJ114" s="143"/>
      <c r="JK114" s="143"/>
      <c r="JL114" s="143"/>
      <c r="JM114" s="143"/>
      <c r="JN114" s="143"/>
      <c r="JO114" s="203"/>
      <c r="JP114" s="203"/>
      <c r="JQ114" s="143"/>
      <c r="JR114" s="143"/>
      <c r="JS114" s="143"/>
      <c r="JT114" s="143"/>
      <c r="JU114" s="143"/>
      <c r="JV114" s="203"/>
      <c r="JW114" s="203"/>
      <c r="JX114" s="143"/>
      <c r="JY114" s="143"/>
      <c r="JZ114" s="143"/>
      <c r="KA114" s="143"/>
      <c r="KB114" s="143"/>
      <c r="KC114" s="203"/>
      <c r="KD114" s="203"/>
      <c r="KE114" s="143"/>
      <c r="KF114" s="143"/>
      <c r="KG114" s="143"/>
      <c r="KH114" s="143"/>
      <c r="KI114" s="143"/>
      <c r="KJ114" s="194"/>
      <c r="KK114" s="194"/>
      <c r="KL114" s="143"/>
      <c r="KM114" s="143"/>
      <c r="KN114" s="143"/>
      <c r="KO114" s="143"/>
      <c r="KP114" s="227"/>
      <c r="KQ114" s="194"/>
      <c r="KR114" s="194"/>
      <c r="KS114" s="143"/>
      <c r="KT114" s="143"/>
      <c r="KU114" s="143"/>
      <c r="KV114" s="143"/>
      <c r="KW114" s="143"/>
      <c r="KX114" s="210"/>
      <c r="KY114" s="210"/>
      <c r="KZ114" s="194"/>
      <c r="LA114" s="194"/>
      <c r="LB114" s="194"/>
      <c r="LC114" s="194"/>
      <c r="LD114" s="194"/>
      <c r="LE114" s="210"/>
      <c r="LF114" s="210"/>
      <c r="LG114" s="227"/>
      <c r="LH114" s="227"/>
      <c r="LI114" s="227"/>
      <c r="LJ114" s="227"/>
      <c r="LK114" s="227"/>
      <c r="LL114" s="227"/>
      <c r="LM114" s="210"/>
      <c r="LN114" s="227"/>
      <c r="LO114" s="227"/>
      <c r="LP114" s="227"/>
      <c r="LQ114" s="227"/>
      <c r="LR114" s="227"/>
      <c r="LS114" s="210"/>
      <c r="LT114" s="210"/>
      <c r="LU114" s="227"/>
      <c r="LV114" s="143"/>
      <c r="LW114" s="143"/>
      <c r="LX114" s="143"/>
      <c r="LY114" s="143"/>
      <c r="LZ114" s="203"/>
      <c r="MA114" s="203"/>
      <c r="MB114" s="143"/>
      <c r="MC114" s="143"/>
      <c r="MD114" s="143"/>
      <c r="ME114" s="143"/>
      <c r="MF114" s="143"/>
      <c r="MG114" s="203"/>
      <c r="MH114" s="203"/>
      <c r="MI114" s="143"/>
      <c r="MJ114" s="143"/>
      <c r="MK114" s="143"/>
      <c r="ML114" s="143"/>
      <c r="MM114" s="143"/>
      <c r="MN114" s="203"/>
      <c r="MO114" s="203"/>
      <c r="MP114" s="143"/>
      <c r="MQ114" s="139"/>
      <c r="MR114" s="143"/>
      <c r="MS114" s="143"/>
      <c r="MT114" s="143"/>
      <c r="MU114" s="203"/>
      <c r="MV114" s="203"/>
      <c r="MW114" s="143"/>
      <c r="MX114" s="143"/>
      <c r="MY114" s="143"/>
      <c r="MZ114" s="143"/>
      <c r="NA114" s="143"/>
      <c r="NB114" s="143"/>
      <c r="NC114" s="143"/>
      <c r="ND114" s="143"/>
    </row>
    <row r="115" spans="1:368" s="140" customFormat="1" ht="15" customHeight="1" thickBot="1">
      <c r="A115" s="472"/>
      <c r="B115" s="461"/>
      <c r="C115" s="162" t="s">
        <v>98</v>
      </c>
      <c r="D115" s="260"/>
      <c r="E115" s="261"/>
      <c r="F115" s="261"/>
      <c r="G115" s="261"/>
      <c r="H115" s="262"/>
      <c r="I115" s="192"/>
      <c r="J115" s="192"/>
      <c r="K115" s="260"/>
      <c r="L115" s="261"/>
      <c r="M115" s="261"/>
      <c r="N115" s="261"/>
      <c r="O115" s="262"/>
      <c r="P115" s="192"/>
      <c r="Q115" s="192"/>
      <c r="R115" s="260"/>
      <c r="S115" s="261"/>
      <c r="T115" s="261"/>
      <c r="U115" s="261"/>
      <c r="V115" s="262"/>
      <c r="W115" s="192"/>
      <c r="X115" s="192"/>
      <c r="Y115" s="260"/>
      <c r="Z115" s="261"/>
      <c r="AA115" s="261"/>
      <c r="AB115" s="261"/>
      <c r="AC115" s="262"/>
      <c r="AD115" s="192"/>
      <c r="AE115" s="192"/>
      <c r="AF115" s="260"/>
      <c r="AG115" s="261"/>
      <c r="AH115" s="261"/>
      <c r="AI115" s="261"/>
      <c r="AJ115" s="262"/>
      <c r="AK115" s="192"/>
      <c r="AL115" s="192"/>
      <c r="AM115" s="260"/>
      <c r="AN115" s="261"/>
      <c r="AO115" s="261"/>
      <c r="AP115" s="261"/>
      <c r="AQ115" s="262"/>
      <c r="AR115" s="192"/>
      <c r="AS115" s="192"/>
      <c r="AT115" s="260"/>
      <c r="AU115" s="261"/>
      <c r="AV115" s="261"/>
      <c r="AW115" s="261"/>
      <c r="AX115" s="262"/>
      <c r="AY115" s="192"/>
      <c r="AZ115" s="192"/>
      <c r="BA115" s="260"/>
      <c r="BB115" s="261"/>
      <c r="BC115" s="261"/>
      <c r="BD115" s="261"/>
      <c r="BE115" s="262"/>
      <c r="BF115" s="192"/>
      <c r="BG115" s="192"/>
      <c r="BH115" s="260"/>
      <c r="BI115" s="261"/>
      <c r="BJ115" s="261"/>
      <c r="BK115" s="261"/>
      <c r="BL115" s="262"/>
      <c r="BM115" s="192"/>
      <c r="BN115" s="192"/>
      <c r="BO115" s="260"/>
      <c r="BP115" s="261"/>
      <c r="BQ115" s="261"/>
      <c r="BR115" s="261"/>
      <c r="BS115" s="262"/>
      <c r="BT115" s="192"/>
      <c r="BU115" s="192"/>
      <c r="BV115" s="260"/>
      <c r="BW115" s="261"/>
      <c r="BX115" s="261"/>
      <c r="BY115" s="261"/>
      <c r="BZ115" s="262"/>
      <c r="CA115" s="192"/>
      <c r="CB115" s="192"/>
      <c r="CC115" s="260"/>
      <c r="CD115" s="261"/>
      <c r="CE115" s="261"/>
      <c r="CF115" s="261"/>
      <c r="CG115" s="262"/>
      <c r="CH115" s="192"/>
      <c r="CI115" s="192"/>
      <c r="CJ115" s="260"/>
      <c r="CK115" s="261"/>
      <c r="CL115" s="261"/>
      <c r="CM115" s="261"/>
      <c r="CN115" s="262"/>
      <c r="CO115" s="192"/>
      <c r="CP115" s="192"/>
      <c r="CQ115" s="260"/>
      <c r="CR115" s="261"/>
      <c r="CS115" s="261"/>
      <c r="CT115" s="261"/>
      <c r="CU115" s="262"/>
      <c r="CV115" s="192"/>
      <c r="CW115" s="192"/>
      <c r="CX115" s="260"/>
      <c r="CY115" s="261"/>
      <c r="CZ115" s="261"/>
      <c r="DA115" s="261"/>
      <c r="DB115" s="262"/>
      <c r="DC115" s="192"/>
      <c r="DD115" s="192"/>
      <c r="DE115" s="260"/>
      <c r="DF115" s="261"/>
      <c r="DG115" s="261"/>
      <c r="DH115" s="261"/>
      <c r="DI115" s="262"/>
      <c r="DJ115" s="192"/>
      <c r="DK115" s="192"/>
      <c r="DL115" s="260"/>
      <c r="DM115" s="261"/>
      <c r="DN115" s="261"/>
      <c r="DO115" s="261"/>
      <c r="DP115" s="262"/>
      <c r="DQ115" s="192"/>
      <c r="DR115" s="192"/>
      <c r="DS115" s="260"/>
      <c r="DT115" s="261"/>
      <c r="DU115" s="261"/>
      <c r="DV115" s="261"/>
      <c r="DW115" s="262"/>
      <c r="DX115" s="192"/>
      <c r="DY115" s="192"/>
      <c r="DZ115" s="260"/>
      <c r="EA115" s="261"/>
      <c r="EB115" s="261"/>
      <c r="EC115" s="261"/>
      <c r="ED115" s="262"/>
      <c r="EE115" s="192"/>
      <c r="EF115" s="192"/>
      <c r="EG115" s="260"/>
      <c r="EH115" s="261"/>
      <c r="EI115" s="261"/>
      <c r="EJ115" s="261"/>
      <c r="EK115" s="262"/>
      <c r="EL115" s="192"/>
      <c r="EM115" s="192"/>
      <c r="EN115" s="260"/>
      <c r="EO115" s="261"/>
      <c r="EP115" s="261"/>
      <c r="EQ115" s="261"/>
      <c r="ER115" s="262"/>
      <c r="ES115" s="192"/>
      <c r="ET115" s="192"/>
      <c r="EU115" s="260"/>
      <c r="EV115" s="261"/>
      <c r="EW115" s="261"/>
      <c r="EX115" s="261"/>
      <c r="EY115" s="262"/>
      <c r="EZ115" s="192"/>
      <c r="FA115" s="192"/>
      <c r="FB115" s="260"/>
      <c r="FC115" s="261"/>
      <c r="FD115" s="261"/>
      <c r="FE115" s="261"/>
      <c r="FF115" s="262"/>
      <c r="FG115" s="192"/>
      <c r="FH115" s="192"/>
      <c r="FI115" s="260"/>
      <c r="FJ115" s="261"/>
      <c r="FK115" s="261"/>
      <c r="FL115" s="261"/>
      <c r="FM115" s="262"/>
      <c r="FN115" s="192"/>
      <c r="FO115" s="192"/>
      <c r="FP115" s="260"/>
      <c r="FQ115" s="261"/>
      <c r="FR115" s="261"/>
      <c r="FS115" s="261"/>
      <c r="FT115" s="262"/>
      <c r="FU115" s="192"/>
      <c r="FV115" s="192"/>
      <c r="FW115" s="260"/>
      <c r="FX115" s="261"/>
      <c r="FY115" s="261"/>
      <c r="FZ115" s="261"/>
      <c r="GA115" s="262"/>
      <c r="GB115" s="192"/>
      <c r="GC115" s="192"/>
      <c r="GD115" s="139"/>
      <c r="GE115" s="139"/>
      <c r="GF115" s="139"/>
      <c r="GG115" s="139"/>
      <c r="GH115" s="139"/>
      <c r="GI115" s="192"/>
      <c r="GJ115" s="192"/>
      <c r="GK115" s="139"/>
      <c r="GL115" s="139"/>
      <c r="GM115" s="139"/>
      <c r="GN115" s="139"/>
      <c r="GO115" s="139"/>
      <c r="GP115" s="208"/>
      <c r="GQ115" s="208"/>
      <c r="GR115" s="139"/>
      <c r="GS115" s="139"/>
      <c r="GT115" s="139"/>
      <c r="GU115" s="139"/>
      <c r="GV115" s="139"/>
      <c r="GW115" s="208"/>
      <c r="GX115" s="208"/>
      <c r="GY115" s="139"/>
      <c r="GZ115" s="139"/>
      <c r="HA115" s="139"/>
      <c r="HB115" s="139"/>
      <c r="HC115" s="139"/>
      <c r="HD115" s="208"/>
      <c r="HE115" s="208"/>
      <c r="HF115" s="139"/>
      <c r="HG115" s="139"/>
      <c r="HH115" s="139"/>
      <c r="HI115" s="139"/>
      <c r="HJ115" s="139"/>
      <c r="HK115" s="208"/>
      <c r="HL115" s="208"/>
      <c r="HM115" s="139"/>
      <c r="HN115" s="139"/>
      <c r="HO115" s="139"/>
      <c r="HP115" s="139"/>
      <c r="HQ115" s="139"/>
      <c r="HR115" s="139"/>
      <c r="HS115" s="139"/>
      <c r="HT115" s="139"/>
      <c r="HU115" s="139"/>
      <c r="HV115" s="139"/>
      <c r="HW115" s="139"/>
      <c r="HX115" s="139"/>
      <c r="HY115" s="202"/>
      <c r="HZ115" s="202"/>
      <c r="IA115" s="139"/>
      <c r="IB115" s="139"/>
      <c r="IC115" s="139"/>
      <c r="ID115" s="139"/>
      <c r="IE115" s="139"/>
      <c r="IF115" s="202"/>
      <c r="IG115" s="202"/>
      <c r="IH115" s="139"/>
      <c r="II115" s="139"/>
      <c r="IJ115" s="139"/>
      <c r="IK115" s="139"/>
      <c r="IL115" s="139"/>
      <c r="IM115" s="202"/>
      <c r="IN115" s="202"/>
      <c r="IO115" s="139"/>
      <c r="IP115" s="139"/>
      <c r="IQ115" s="228"/>
      <c r="IR115" s="228"/>
      <c r="IS115" s="228"/>
      <c r="IT115" s="202"/>
      <c r="IU115" s="202"/>
      <c r="IV115" s="139"/>
      <c r="IW115" s="139"/>
      <c r="IX115" s="139"/>
      <c r="IY115" s="139"/>
      <c r="IZ115" s="139"/>
      <c r="JA115" s="202"/>
      <c r="JB115" s="202"/>
      <c r="JC115" s="228"/>
      <c r="JD115" s="228"/>
      <c r="JE115" s="139"/>
      <c r="JF115" s="139"/>
      <c r="JG115" s="139"/>
      <c r="JH115" s="202"/>
      <c r="JI115" s="202"/>
      <c r="JJ115" s="139"/>
      <c r="JK115" s="139"/>
      <c r="JL115" s="139"/>
      <c r="JM115" s="139"/>
      <c r="JN115" s="139"/>
      <c r="JO115" s="202"/>
      <c r="JP115" s="202"/>
      <c r="JQ115" s="139"/>
      <c r="JR115" s="139"/>
      <c r="JS115" s="139"/>
      <c r="JT115" s="139"/>
      <c r="JU115" s="139"/>
      <c r="JV115" s="202"/>
      <c r="JW115" s="202"/>
      <c r="JX115" s="139"/>
      <c r="JY115" s="139"/>
      <c r="JZ115" s="139"/>
      <c r="KA115" s="139"/>
      <c r="KB115" s="139"/>
      <c r="KC115" s="202"/>
      <c r="KD115" s="202"/>
      <c r="KE115" s="139"/>
      <c r="KF115" s="139"/>
      <c r="KG115" s="139"/>
      <c r="KH115" s="139"/>
      <c r="KI115" s="139"/>
      <c r="KJ115" s="192"/>
      <c r="KK115" s="192"/>
      <c r="KL115" s="139"/>
      <c r="KM115" s="139"/>
      <c r="KN115" s="139"/>
      <c r="KO115" s="139"/>
      <c r="KP115" s="228"/>
      <c r="KQ115" s="192"/>
      <c r="KR115" s="192"/>
      <c r="KS115" s="139"/>
      <c r="KT115" s="139"/>
      <c r="KU115" s="139"/>
      <c r="KV115" s="139"/>
      <c r="KW115" s="139"/>
      <c r="KX115" s="208"/>
      <c r="KY115" s="208"/>
      <c r="KZ115" s="192"/>
      <c r="LA115" s="192"/>
      <c r="LB115" s="192"/>
      <c r="LC115" s="192"/>
      <c r="LD115" s="192"/>
      <c r="LE115" s="208"/>
      <c r="LF115" s="208"/>
      <c r="LG115" s="228"/>
      <c r="LH115" s="228"/>
      <c r="LI115" s="228"/>
      <c r="LJ115" s="228"/>
      <c r="LK115" s="228"/>
      <c r="LL115" s="228"/>
      <c r="LM115" s="208"/>
      <c r="LN115" s="228"/>
      <c r="LO115" s="228"/>
      <c r="LP115" s="228"/>
      <c r="LQ115" s="228"/>
      <c r="LR115" s="228"/>
      <c r="LS115" s="208"/>
      <c r="LT115" s="208"/>
      <c r="LU115" s="228"/>
      <c r="LV115" s="139"/>
      <c r="LW115" s="139"/>
      <c r="LX115" s="139"/>
      <c r="LY115" s="139"/>
      <c r="LZ115" s="202"/>
      <c r="MA115" s="202"/>
      <c r="MB115" s="139"/>
      <c r="MC115" s="139"/>
      <c r="MD115" s="139"/>
      <c r="ME115" s="139"/>
      <c r="MF115" s="139"/>
      <c r="MG115" s="202"/>
      <c r="MH115" s="202"/>
      <c r="MI115" s="139"/>
      <c r="MJ115" s="139"/>
      <c r="MK115" s="139"/>
      <c r="ML115" s="139"/>
      <c r="MM115" s="139"/>
      <c r="MN115" s="202"/>
      <c r="MO115" s="202"/>
      <c r="MP115" s="139"/>
      <c r="MQ115" s="143"/>
      <c r="MR115" s="139"/>
      <c r="MS115" s="139"/>
      <c r="MT115" s="139"/>
      <c r="MU115" s="202"/>
      <c r="MV115" s="202"/>
      <c r="MW115" s="139"/>
      <c r="MX115" s="139"/>
      <c r="MY115" s="139"/>
      <c r="MZ115" s="139"/>
      <c r="NA115" s="139"/>
      <c r="NB115" s="139"/>
      <c r="NC115" s="139"/>
      <c r="ND115" s="139"/>
    </row>
    <row r="116" spans="1:368" s="151" customFormat="1" ht="15" hidden="1" customHeight="1" thickBot="1">
      <c r="A116" s="472"/>
      <c r="B116" s="474"/>
      <c r="C116" s="165" t="s">
        <v>93</v>
      </c>
      <c r="D116" s="272"/>
      <c r="E116" s="152"/>
      <c r="F116" s="152"/>
      <c r="G116" s="152"/>
      <c r="H116" s="273"/>
      <c r="I116" s="194"/>
      <c r="J116" s="194"/>
      <c r="K116" s="272"/>
      <c r="L116" s="152"/>
      <c r="M116" s="152"/>
      <c r="N116" s="152"/>
      <c r="O116" s="273"/>
      <c r="P116" s="194"/>
      <c r="Q116" s="194"/>
      <c r="R116" s="272"/>
      <c r="S116" s="152"/>
      <c r="T116" s="152"/>
      <c r="U116" s="152"/>
      <c r="V116" s="273"/>
      <c r="W116" s="194"/>
      <c r="X116" s="194"/>
      <c r="Y116" s="272"/>
      <c r="Z116" s="152"/>
      <c r="AA116" s="152"/>
      <c r="AB116" s="152"/>
      <c r="AC116" s="273"/>
      <c r="AD116" s="194"/>
      <c r="AE116" s="194"/>
      <c r="AF116" s="272"/>
      <c r="AG116" s="152"/>
      <c r="AH116" s="152"/>
      <c r="AI116" s="152"/>
      <c r="AJ116" s="273"/>
      <c r="AK116" s="194"/>
      <c r="AL116" s="194"/>
      <c r="AM116" s="272"/>
      <c r="AN116" s="152"/>
      <c r="AO116" s="152"/>
      <c r="AP116" s="152"/>
      <c r="AQ116" s="273"/>
      <c r="AR116" s="194"/>
      <c r="AS116" s="194"/>
      <c r="AT116" s="272"/>
      <c r="AU116" s="152"/>
      <c r="AV116" s="152"/>
      <c r="AW116" s="152"/>
      <c r="AX116" s="273"/>
      <c r="AY116" s="194"/>
      <c r="AZ116" s="194"/>
      <c r="BA116" s="272"/>
      <c r="BB116" s="152"/>
      <c r="BC116" s="152"/>
      <c r="BD116" s="152"/>
      <c r="BE116" s="273"/>
      <c r="BF116" s="194"/>
      <c r="BG116" s="194"/>
      <c r="BH116" s="272"/>
      <c r="BI116" s="152"/>
      <c r="BJ116" s="152"/>
      <c r="BK116" s="152"/>
      <c r="BL116" s="273"/>
      <c r="BM116" s="194"/>
      <c r="BN116" s="194"/>
      <c r="BO116" s="272"/>
      <c r="BP116" s="152"/>
      <c r="BQ116" s="152"/>
      <c r="BR116" s="152"/>
      <c r="BS116" s="273"/>
      <c r="BT116" s="194"/>
      <c r="BU116" s="194"/>
      <c r="BV116" s="272"/>
      <c r="BW116" s="152"/>
      <c r="BX116" s="152"/>
      <c r="BY116" s="152"/>
      <c r="BZ116" s="273"/>
      <c r="CA116" s="194"/>
      <c r="CB116" s="194"/>
      <c r="CC116" s="272"/>
      <c r="CD116" s="152"/>
      <c r="CE116" s="152"/>
      <c r="CF116" s="152"/>
      <c r="CG116" s="273"/>
      <c r="CH116" s="194"/>
      <c r="CI116" s="194"/>
      <c r="CJ116" s="272"/>
      <c r="CK116" s="152"/>
      <c r="CL116" s="152"/>
      <c r="CM116" s="152"/>
      <c r="CN116" s="273"/>
      <c r="CO116" s="194"/>
      <c r="CP116" s="194"/>
      <c r="CQ116" s="272"/>
      <c r="CR116" s="152"/>
      <c r="CS116" s="152"/>
      <c r="CT116" s="152"/>
      <c r="CU116" s="273"/>
      <c r="CV116" s="194"/>
      <c r="CW116" s="194"/>
      <c r="CX116" s="272"/>
      <c r="CY116" s="152"/>
      <c r="CZ116" s="152"/>
      <c r="DA116" s="152"/>
      <c r="DB116" s="273"/>
      <c r="DC116" s="194"/>
      <c r="DD116" s="194"/>
      <c r="DE116" s="272"/>
      <c r="DF116" s="152"/>
      <c r="DG116" s="152"/>
      <c r="DH116" s="152"/>
      <c r="DI116" s="273"/>
      <c r="DJ116" s="194"/>
      <c r="DK116" s="194"/>
      <c r="DL116" s="272"/>
      <c r="DM116" s="152"/>
      <c r="DN116" s="152"/>
      <c r="DO116" s="152"/>
      <c r="DP116" s="273"/>
      <c r="DQ116" s="194"/>
      <c r="DR116" s="194"/>
      <c r="DS116" s="272"/>
      <c r="DT116" s="152"/>
      <c r="DU116" s="152"/>
      <c r="DV116" s="152"/>
      <c r="DW116" s="273"/>
      <c r="DX116" s="194"/>
      <c r="DY116" s="194"/>
      <c r="DZ116" s="272"/>
      <c r="EA116" s="152"/>
      <c r="EB116" s="152"/>
      <c r="EC116" s="152"/>
      <c r="ED116" s="273"/>
      <c r="EE116" s="194"/>
      <c r="EF116" s="194"/>
      <c r="EG116" s="272"/>
      <c r="EH116" s="152"/>
      <c r="EI116" s="152"/>
      <c r="EJ116" s="152"/>
      <c r="EK116" s="273"/>
      <c r="EL116" s="194"/>
      <c r="EM116" s="194"/>
      <c r="EN116" s="272"/>
      <c r="EO116" s="152"/>
      <c r="EP116" s="152"/>
      <c r="EQ116" s="152"/>
      <c r="ER116" s="273"/>
      <c r="ES116" s="194"/>
      <c r="ET116" s="194"/>
      <c r="EU116" s="272"/>
      <c r="EV116" s="152"/>
      <c r="EW116" s="152"/>
      <c r="EX116" s="152"/>
      <c r="EY116" s="273"/>
      <c r="EZ116" s="194"/>
      <c r="FA116" s="194"/>
      <c r="FB116" s="272"/>
      <c r="FC116" s="152"/>
      <c r="FD116" s="152"/>
      <c r="FE116" s="152"/>
      <c r="FF116" s="273"/>
      <c r="FG116" s="194"/>
      <c r="FH116" s="194"/>
      <c r="FI116" s="272"/>
      <c r="FJ116" s="152"/>
      <c r="FK116" s="152"/>
      <c r="FL116" s="152"/>
      <c r="FM116" s="273"/>
      <c r="FN116" s="194"/>
      <c r="FO116" s="194"/>
      <c r="FP116" s="272"/>
      <c r="FQ116" s="152"/>
      <c r="FR116" s="152"/>
      <c r="FS116" s="152"/>
      <c r="FT116" s="273"/>
      <c r="FU116" s="194"/>
      <c r="FV116" s="194"/>
      <c r="FW116" s="272"/>
      <c r="FX116" s="152"/>
      <c r="FY116" s="152"/>
      <c r="FZ116" s="152"/>
      <c r="GA116" s="273"/>
      <c r="GB116" s="194"/>
      <c r="GC116" s="194"/>
      <c r="GD116" s="152"/>
      <c r="GE116" s="152"/>
      <c r="GF116" s="152"/>
      <c r="GG116" s="152"/>
      <c r="GH116" s="152"/>
      <c r="GI116" s="194"/>
      <c r="GJ116" s="194"/>
      <c r="GK116" s="152"/>
      <c r="GL116" s="152"/>
      <c r="GM116" s="152"/>
      <c r="GN116" s="152"/>
      <c r="GO116" s="152"/>
      <c r="GP116" s="210"/>
      <c r="GQ116" s="210"/>
      <c r="GR116" s="152"/>
      <c r="GS116" s="152"/>
      <c r="GT116" s="152"/>
      <c r="GU116" s="152"/>
      <c r="GV116" s="152"/>
      <c r="GW116" s="210"/>
      <c r="GX116" s="210"/>
      <c r="GY116" s="152"/>
      <c r="GZ116" s="152"/>
      <c r="HA116" s="152"/>
      <c r="HB116" s="152"/>
      <c r="HC116" s="152"/>
      <c r="HD116" s="210"/>
      <c r="HE116" s="210"/>
      <c r="HF116" s="152"/>
      <c r="HG116" s="152"/>
      <c r="HH116" s="152"/>
      <c r="HI116" s="152"/>
      <c r="HJ116" s="152"/>
      <c r="HK116" s="210"/>
      <c r="HL116" s="210"/>
      <c r="HM116" s="152"/>
      <c r="HN116" s="152"/>
      <c r="HO116" s="152"/>
      <c r="HP116" s="152"/>
      <c r="HQ116" s="152"/>
      <c r="HR116" s="152"/>
      <c r="HS116" s="152"/>
      <c r="HT116" s="152"/>
      <c r="HU116" s="152"/>
      <c r="HV116" s="152"/>
      <c r="HW116" s="152"/>
      <c r="HX116" s="152"/>
      <c r="HY116" s="203"/>
      <c r="HZ116" s="203"/>
      <c r="IA116" s="152"/>
      <c r="IB116" s="152"/>
      <c r="IC116" s="152"/>
      <c r="ID116" s="152"/>
      <c r="IE116" s="152"/>
      <c r="IF116" s="203"/>
      <c r="IG116" s="203"/>
      <c r="IH116" s="152"/>
      <c r="II116" s="152"/>
      <c r="IJ116" s="152"/>
      <c r="IK116" s="152"/>
      <c r="IL116" s="152"/>
      <c r="IM116" s="203"/>
      <c r="IN116" s="203"/>
      <c r="IO116" s="152"/>
      <c r="IP116" s="152"/>
      <c r="IQ116" s="227"/>
      <c r="IR116" s="227"/>
      <c r="IS116" s="227"/>
      <c r="IT116" s="203"/>
      <c r="IU116" s="203"/>
      <c r="IV116" s="152"/>
      <c r="IW116" s="152"/>
      <c r="IX116" s="152"/>
      <c r="IY116" s="152"/>
      <c r="IZ116" s="152"/>
      <c r="JA116" s="203"/>
      <c r="JB116" s="203"/>
      <c r="JC116" s="232"/>
      <c r="JD116" s="232"/>
      <c r="JE116" s="152"/>
      <c r="JF116" s="152"/>
      <c r="JG116" s="152"/>
      <c r="JH116" s="203"/>
      <c r="JI116" s="203"/>
      <c r="JJ116" s="152"/>
      <c r="JK116" s="152"/>
      <c r="JL116" s="152"/>
      <c r="JM116" s="152"/>
      <c r="JN116" s="152"/>
      <c r="JO116" s="203"/>
      <c r="JP116" s="203"/>
      <c r="JQ116" s="152"/>
      <c r="JR116" s="152"/>
      <c r="JS116" s="152"/>
      <c r="JT116" s="152"/>
      <c r="JU116" s="152"/>
      <c r="JV116" s="203"/>
      <c r="JW116" s="203"/>
      <c r="JX116" s="152"/>
      <c r="JY116" s="152"/>
      <c r="JZ116" s="152"/>
      <c r="KA116" s="152"/>
      <c r="KB116" s="152"/>
      <c r="KC116" s="203"/>
      <c r="KD116" s="203"/>
      <c r="KE116" s="152"/>
      <c r="KF116" s="152"/>
      <c r="KG116" s="152"/>
      <c r="KH116" s="152"/>
      <c r="KI116" s="152"/>
      <c r="KJ116" s="194"/>
      <c r="KK116" s="194"/>
      <c r="KL116" s="152"/>
      <c r="KM116" s="152"/>
      <c r="KN116" s="152"/>
      <c r="KO116" s="152"/>
      <c r="KP116" s="227"/>
      <c r="KQ116" s="194"/>
      <c r="KR116" s="194"/>
      <c r="KS116" s="152"/>
      <c r="KT116" s="152"/>
      <c r="KU116" s="152"/>
      <c r="KV116" s="152"/>
      <c r="KW116" s="152"/>
      <c r="KX116" s="210"/>
      <c r="KY116" s="210"/>
      <c r="KZ116" s="194"/>
      <c r="LA116" s="194"/>
      <c r="LB116" s="194"/>
      <c r="LC116" s="194"/>
      <c r="LD116" s="194"/>
      <c r="LE116" s="210"/>
      <c r="LF116" s="210"/>
      <c r="LG116" s="227"/>
      <c r="LH116" s="227"/>
      <c r="LI116" s="227"/>
      <c r="LJ116" s="227"/>
      <c r="LK116" s="227"/>
      <c r="LL116" s="227"/>
      <c r="LM116" s="210"/>
      <c r="LN116" s="232"/>
      <c r="LO116" s="232"/>
      <c r="LP116" s="232"/>
      <c r="LQ116" s="232"/>
      <c r="LR116" s="232"/>
      <c r="LS116" s="210"/>
      <c r="LT116" s="210"/>
      <c r="LU116" s="232"/>
      <c r="LV116" s="152"/>
      <c r="LW116" s="152"/>
      <c r="LX116" s="152"/>
      <c r="LY116" s="152"/>
      <c r="LZ116" s="203"/>
      <c r="MA116" s="203"/>
      <c r="MB116" s="152"/>
      <c r="MC116" s="152"/>
      <c r="MD116" s="152"/>
      <c r="ME116" s="152"/>
      <c r="MF116" s="152"/>
      <c r="MG116" s="203"/>
      <c r="MH116" s="203"/>
      <c r="MI116" s="152"/>
      <c r="MJ116" s="152"/>
      <c r="MK116" s="152"/>
      <c r="ML116" s="152"/>
      <c r="MM116" s="152"/>
      <c r="MN116" s="203"/>
      <c r="MO116" s="203"/>
      <c r="MP116" s="152"/>
      <c r="MQ116" s="143"/>
      <c r="MR116" s="152"/>
      <c r="MS116" s="152"/>
      <c r="MT116" s="152"/>
      <c r="MU116" s="203"/>
      <c r="MV116" s="203"/>
      <c r="MW116" s="152"/>
      <c r="MX116" s="152"/>
      <c r="MY116" s="152"/>
      <c r="MZ116" s="152"/>
      <c r="NA116" s="152"/>
      <c r="NB116" s="152"/>
      <c r="NC116" s="152"/>
      <c r="ND116" s="152"/>
    </row>
    <row r="117" spans="1:368" s="147" customFormat="1" ht="15" customHeight="1">
      <c r="A117" s="470"/>
      <c r="B117" s="473" t="s">
        <v>9</v>
      </c>
      <c r="C117" s="163" t="s">
        <v>10</v>
      </c>
      <c r="D117" s="268"/>
      <c r="E117" s="143"/>
      <c r="F117" s="143"/>
      <c r="G117" s="143"/>
      <c r="H117" s="269"/>
      <c r="I117" s="194"/>
      <c r="J117" s="194"/>
      <c r="K117" s="268"/>
      <c r="L117" s="143"/>
      <c r="M117" s="143"/>
      <c r="N117" s="143"/>
      <c r="O117" s="269"/>
      <c r="P117" s="194"/>
      <c r="Q117" s="194"/>
      <c r="R117" s="268"/>
      <c r="S117" s="143"/>
      <c r="T117" s="143"/>
      <c r="U117" s="143"/>
      <c r="V117" s="269"/>
      <c r="W117" s="194"/>
      <c r="X117" s="194"/>
      <c r="Y117" s="268"/>
      <c r="Z117" s="143"/>
      <c r="AA117" s="143"/>
      <c r="AB117" s="143"/>
      <c r="AC117" s="269"/>
      <c r="AD117" s="194"/>
      <c r="AE117" s="194"/>
      <c r="AF117" s="268"/>
      <c r="AG117" s="143"/>
      <c r="AH117" s="143"/>
      <c r="AI117" s="143"/>
      <c r="AJ117" s="269"/>
      <c r="AK117" s="194"/>
      <c r="AL117" s="194"/>
      <c r="AM117" s="268"/>
      <c r="AN117" s="143"/>
      <c r="AO117" s="143"/>
      <c r="AP117" s="143"/>
      <c r="AQ117" s="269"/>
      <c r="AR117" s="194"/>
      <c r="AS117" s="194"/>
      <c r="AT117" s="268"/>
      <c r="AU117" s="143"/>
      <c r="AV117" s="143"/>
      <c r="AW117" s="143"/>
      <c r="AX117" s="269"/>
      <c r="AY117" s="194"/>
      <c r="AZ117" s="194"/>
      <c r="BA117" s="268"/>
      <c r="BB117" s="143"/>
      <c r="BC117" s="143"/>
      <c r="BD117" s="143"/>
      <c r="BE117" s="269"/>
      <c r="BF117" s="194"/>
      <c r="BG117" s="194"/>
      <c r="BH117" s="268"/>
      <c r="BI117" s="143"/>
      <c r="BJ117" s="143"/>
      <c r="BK117" s="143"/>
      <c r="BL117" s="269"/>
      <c r="BM117" s="194"/>
      <c r="BN117" s="194"/>
      <c r="BO117" s="268"/>
      <c r="BP117" s="143"/>
      <c r="BQ117" s="143"/>
      <c r="BR117" s="143"/>
      <c r="BS117" s="269"/>
      <c r="BT117" s="194"/>
      <c r="BU117" s="194"/>
      <c r="BV117" s="268"/>
      <c r="BW117" s="143"/>
      <c r="BX117" s="143"/>
      <c r="BY117" s="143"/>
      <c r="BZ117" s="269"/>
      <c r="CA117" s="194"/>
      <c r="CB117" s="194"/>
      <c r="CC117" s="268"/>
      <c r="CD117" s="143"/>
      <c r="CE117" s="143"/>
      <c r="CF117" s="143"/>
      <c r="CG117" s="269"/>
      <c r="CH117" s="194"/>
      <c r="CI117" s="194"/>
      <c r="CJ117" s="268"/>
      <c r="CK117" s="143"/>
      <c r="CL117" s="143"/>
      <c r="CM117" s="143"/>
      <c r="CN117" s="269"/>
      <c r="CO117" s="194"/>
      <c r="CP117" s="194"/>
      <c r="CQ117" s="268"/>
      <c r="CR117" s="143"/>
      <c r="CS117" s="143"/>
      <c r="CT117" s="143"/>
      <c r="CU117" s="269"/>
      <c r="CV117" s="194"/>
      <c r="CW117" s="194"/>
      <c r="CX117" s="268"/>
      <c r="CY117" s="143"/>
      <c r="CZ117" s="143"/>
      <c r="DA117" s="143"/>
      <c r="DB117" s="269"/>
      <c r="DC117" s="194"/>
      <c r="DD117" s="194"/>
      <c r="DE117" s="268"/>
      <c r="DF117" s="143"/>
      <c r="DG117" s="143"/>
      <c r="DH117" s="143"/>
      <c r="DI117" s="269"/>
      <c r="DJ117" s="194"/>
      <c r="DK117" s="194"/>
      <c r="DL117" s="268"/>
      <c r="DM117" s="143"/>
      <c r="DN117" s="143"/>
      <c r="DO117" s="143"/>
      <c r="DP117" s="269"/>
      <c r="DQ117" s="194"/>
      <c r="DR117" s="194"/>
      <c r="DS117" s="268"/>
      <c r="DT117" s="143"/>
      <c r="DU117" s="143"/>
      <c r="DV117" s="143"/>
      <c r="DW117" s="269"/>
      <c r="DX117" s="194"/>
      <c r="DY117" s="194"/>
      <c r="DZ117" s="268"/>
      <c r="EA117" s="143"/>
      <c r="EB117" s="143"/>
      <c r="EC117" s="143"/>
      <c r="ED117" s="269"/>
      <c r="EE117" s="194"/>
      <c r="EF117" s="194"/>
      <c r="EG117" s="268"/>
      <c r="EH117" s="143"/>
      <c r="EI117" s="143"/>
      <c r="EJ117" s="143"/>
      <c r="EK117" s="269"/>
      <c r="EL117" s="194"/>
      <c r="EM117" s="194"/>
      <c r="EN117" s="268"/>
      <c r="EO117" s="143"/>
      <c r="EP117" s="143"/>
      <c r="EQ117" s="143"/>
      <c r="ER117" s="269"/>
      <c r="ES117" s="194"/>
      <c r="ET117" s="194"/>
      <c r="EU117" s="268"/>
      <c r="EV117" s="143"/>
      <c r="EW117" s="143"/>
      <c r="EX117" s="143"/>
      <c r="EY117" s="269"/>
      <c r="EZ117" s="194"/>
      <c r="FA117" s="194"/>
      <c r="FB117" s="268"/>
      <c r="FC117" s="143"/>
      <c r="FD117" s="143"/>
      <c r="FE117" s="143"/>
      <c r="FF117" s="269"/>
      <c r="FG117" s="194"/>
      <c r="FH117" s="194"/>
      <c r="FI117" s="268"/>
      <c r="FJ117" s="143"/>
      <c r="FK117" s="143"/>
      <c r="FL117" s="143"/>
      <c r="FM117" s="269"/>
      <c r="FN117" s="194"/>
      <c r="FO117" s="194"/>
      <c r="FP117" s="268"/>
      <c r="FQ117" s="143"/>
      <c r="FR117" s="143"/>
      <c r="FS117" s="143"/>
      <c r="FT117" s="269"/>
      <c r="FU117" s="194"/>
      <c r="FV117" s="194"/>
      <c r="FW117" s="268"/>
      <c r="FX117" s="143"/>
      <c r="FY117" s="143"/>
      <c r="FZ117" s="143"/>
      <c r="GA117" s="269"/>
      <c r="GB117" s="194"/>
      <c r="GC117" s="194"/>
      <c r="GD117" s="143"/>
      <c r="GE117" s="143"/>
      <c r="GF117" s="143"/>
      <c r="GG117" s="143"/>
      <c r="GH117" s="143"/>
      <c r="GI117" s="194"/>
      <c r="GJ117" s="194"/>
      <c r="GK117" s="143"/>
      <c r="GL117" s="143"/>
      <c r="GM117" s="143"/>
      <c r="GN117" s="143"/>
      <c r="GO117" s="143"/>
      <c r="GP117" s="210"/>
      <c r="GQ117" s="210"/>
      <c r="GR117" s="143"/>
      <c r="GS117" s="143"/>
      <c r="GT117" s="143"/>
      <c r="GU117" s="143"/>
      <c r="GV117" s="143"/>
      <c r="GW117" s="210"/>
      <c r="GX117" s="210"/>
      <c r="GY117" s="143"/>
      <c r="GZ117" s="143"/>
      <c r="HA117" s="143"/>
      <c r="HB117" s="143"/>
      <c r="HC117" s="143"/>
      <c r="HD117" s="210"/>
      <c r="HE117" s="210"/>
      <c r="HF117" s="143"/>
      <c r="HG117" s="143"/>
      <c r="HH117" s="143"/>
      <c r="HI117" s="143"/>
      <c r="HJ117" s="143"/>
      <c r="HK117" s="210"/>
      <c r="HL117" s="210"/>
      <c r="HM117" s="143"/>
      <c r="HN117" s="143"/>
      <c r="HO117" s="143"/>
      <c r="HP117" s="143"/>
      <c r="HQ117" s="143"/>
      <c r="HR117" s="143"/>
      <c r="HS117" s="143"/>
      <c r="HT117" s="143"/>
      <c r="HU117" s="143"/>
      <c r="HV117" s="143"/>
      <c r="HW117" s="143"/>
      <c r="HX117" s="143"/>
      <c r="HY117" s="203"/>
      <c r="HZ117" s="203"/>
      <c r="IA117" s="143"/>
      <c r="IB117" s="143"/>
      <c r="IC117" s="143"/>
      <c r="ID117" s="143"/>
      <c r="IE117" s="143"/>
      <c r="IF117" s="203"/>
      <c r="IG117" s="203"/>
      <c r="IH117" s="143"/>
      <c r="II117" s="143"/>
      <c r="IJ117" s="143"/>
      <c r="IK117" s="143"/>
      <c r="IL117" s="143"/>
      <c r="IM117" s="203"/>
      <c r="IN117" s="203"/>
      <c r="IO117" s="143"/>
      <c r="IP117" s="143"/>
      <c r="IQ117" s="227"/>
      <c r="IR117" s="227"/>
      <c r="IS117" s="227"/>
      <c r="IT117" s="203"/>
      <c r="IU117" s="203"/>
      <c r="IV117" s="143"/>
      <c r="IW117" s="143"/>
      <c r="IX117" s="143"/>
      <c r="IY117" s="143"/>
      <c r="IZ117" s="143"/>
      <c r="JA117" s="203"/>
      <c r="JB117" s="203"/>
      <c r="JC117" s="227"/>
      <c r="JD117" s="227"/>
      <c r="JE117" s="143"/>
      <c r="JF117" s="143"/>
      <c r="JG117" s="143"/>
      <c r="JH117" s="203"/>
      <c r="JI117" s="203"/>
      <c r="JJ117" s="143"/>
      <c r="JK117" s="143"/>
      <c r="JL117" s="143"/>
      <c r="JM117" s="143"/>
      <c r="JN117" s="143"/>
      <c r="JO117" s="203"/>
      <c r="JP117" s="203"/>
      <c r="JQ117" s="143"/>
      <c r="JR117" s="143"/>
      <c r="JS117" s="143"/>
      <c r="JT117" s="143"/>
      <c r="JU117" s="143"/>
      <c r="JV117" s="203"/>
      <c r="JW117" s="203"/>
      <c r="JX117" s="143"/>
      <c r="JY117" s="143"/>
      <c r="JZ117" s="143"/>
      <c r="KA117" s="143"/>
      <c r="KB117" s="143"/>
      <c r="KC117" s="203"/>
      <c r="KD117" s="203"/>
      <c r="KE117" s="143"/>
      <c r="KF117" s="143"/>
      <c r="KG117" s="143"/>
      <c r="KH117" s="143"/>
      <c r="KI117" s="143"/>
      <c r="KJ117" s="194"/>
      <c r="KK117" s="194"/>
      <c r="KL117" s="143"/>
      <c r="KM117" s="143"/>
      <c r="KN117" s="143"/>
      <c r="KO117" s="143"/>
      <c r="KP117" s="227"/>
      <c r="KQ117" s="194"/>
      <c r="KR117" s="194"/>
      <c r="KS117" s="143"/>
      <c r="KT117" s="143"/>
      <c r="KU117" s="143"/>
      <c r="KV117" s="143"/>
      <c r="KW117" s="143"/>
      <c r="KX117" s="210"/>
      <c r="KY117" s="210"/>
      <c r="KZ117" s="194"/>
      <c r="LA117" s="194"/>
      <c r="LB117" s="194"/>
      <c r="LC117" s="194"/>
      <c r="LD117" s="194"/>
      <c r="LE117" s="210"/>
      <c r="LF117" s="210"/>
      <c r="LG117" s="227"/>
      <c r="LH117" s="227"/>
      <c r="LI117" s="227"/>
      <c r="LJ117" s="227"/>
      <c r="LK117" s="227"/>
      <c r="LL117" s="227"/>
      <c r="LM117" s="210"/>
      <c r="LN117" s="227"/>
      <c r="LO117" s="227"/>
      <c r="LP117" s="227"/>
      <c r="LQ117" s="227"/>
      <c r="LR117" s="227"/>
      <c r="LS117" s="210"/>
      <c r="LT117" s="210"/>
      <c r="LU117" s="227"/>
      <c r="LV117" s="143"/>
      <c r="LW117" s="143"/>
      <c r="LX117" s="143"/>
      <c r="LY117" s="143"/>
      <c r="LZ117" s="203"/>
      <c r="MA117" s="203"/>
      <c r="MB117" s="143"/>
      <c r="MC117" s="143"/>
      <c r="MD117" s="143"/>
      <c r="ME117" s="143"/>
      <c r="MF117" s="143"/>
      <c r="MG117" s="203"/>
      <c r="MH117" s="203"/>
      <c r="MI117" s="143"/>
      <c r="MJ117" s="143"/>
      <c r="MK117" s="143"/>
      <c r="ML117" s="143"/>
      <c r="MM117" s="143"/>
      <c r="MN117" s="203"/>
      <c r="MO117" s="203"/>
      <c r="MP117" s="143"/>
      <c r="MQ117" s="143"/>
      <c r="MR117" s="143"/>
      <c r="MS117" s="143"/>
      <c r="MT117" s="143"/>
      <c r="MU117" s="203"/>
      <c r="MV117" s="203"/>
      <c r="MW117" s="143"/>
      <c r="MX117" s="143"/>
      <c r="MY117" s="143"/>
      <c r="MZ117" s="143"/>
      <c r="NA117" s="143"/>
      <c r="NB117" s="143"/>
      <c r="NC117" s="143"/>
      <c r="ND117" s="143"/>
    </row>
    <row r="118" spans="1:368" s="147" customFormat="1" ht="15" customHeight="1">
      <c r="A118" s="475"/>
      <c r="B118" s="461"/>
      <c r="C118" s="164" t="s">
        <v>11</v>
      </c>
      <c r="D118" s="268"/>
      <c r="E118" s="143"/>
      <c r="F118" s="143"/>
      <c r="G118" s="143"/>
      <c r="H118" s="269"/>
      <c r="I118" s="194"/>
      <c r="J118" s="194"/>
      <c r="K118" s="268"/>
      <c r="L118" s="143"/>
      <c r="M118" s="143"/>
      <c r="N118" s="143"/>
      <c r="O118" s="269"/>
      <c r="P118" s="194"/>
      <c r="Q118" s="194"/>
      <c r="R118" s="268"/>
      <c r="S118" s="143"/>
      <c r="T118" s="143"/>
      <c r="U118" s="143"/>
      <c r="V118" s="269"/>
      <c r="W118" s="194"/>
      <c r="X118" s="194"/>
      <c r="Y118" s="268"/>
      <c r="Z118" s="143"/>
      <c r="AA118" s="143"/>
      <c r="AB118" s="143"/>
      <c r="AC118" s="269"/>
      <c r="AD118" s="194"/>
      <c r="AE118" s="194"/>
      <c r="AF118" s="268"/>
      <c r="AG118" s="143"/>
      <c r="AH118" s="143"/>
      <c r="AI118" s="143"/>
      <c r="AJ118" s="269"/>
      <c r="AK118" s="194"/>
      <c r="AL118" s="194"/>
      <c r="AM118" s="268"/>
      <c r="AN118" s="143"/>
      <c r="AO118" s="143"/>
      <c r="AP118" s="143"/>
      <c r="AQ118" s="269"/>
      <c r="AR118" s="194"/>
      <c r="AS118" s="194"/>
      <c r="AT118" s="268"/>
      <c r="AU118" s="143"/>
      <c r="AV118" s="143"/>
      <c r="AW118" s="143"/>
      <c r="AX118" s="269"/>
      <c r="AY118" s="194"/>
      <c r="AZ118" s="194"/>
      <c r="BA118" s="268"/>
      <c r="BB118" s="143"/>
      <c r="BC118" s="143"/>
      <c r="BD118" s="143"/>
      <c r="BE118" s="269"/>
      <c r="BF118" s="194"/>
      <c r="BG118" s="194"/>
      <c r="BH118" s="268"/>
      <c r="BI118" s="143"/>
      <c r="BJ118" s="143"/>
      <c r="BK118" s="143"/>
      <c r="BL118" s="269"/>
      <c r="BM118" s="194"/>
      <c r="BN118" s="194"/>
      <c r="BO118" s="268"/>
      <c r="BP118" s="143"/>
      <c r="BQ118" s="143"/>
      <c r="BR118" s="143"/>
      <c r="BS118" s="269"/>
      <c r="BT118" s="194"/>
      <c r="BU118" s="194"/>
      <c r="BV118" s="268"/>
      <c r="BW118" s="143"/>
      <c r="BX118" s="143"/>
      <c r="BY118" s="143"/>
      <c r="BZ118" s="269"/>
      <c r="CA118" s="194"/>
      <c r="CB118" s="194"/>
      <c r="CC118" s="268"/>
      <c r="CD118" s="143"/>
      <c r="CE118" s="143"/>
      <c r="CF118" s="143"/>
      <c r="CG118" s="269"/>
      <c r="CH118" s="194"/>
      <c r="CI118" s="194"/>
      <c r="CJ118" s="268"/>
      <c r="CK118" s="143"/>
      <c r="CL118" s="143"/>
      <c r="CM118" s="143"/>
      <c r="CN118" s="269"/>
      <c r="CO118" s="194"/>
      <c r="CP118" s="194"/>
      <c r="CQ118" s="268"/>
      <c r="CR118" s="143"/>
      <c r="CS118" s="143"/>
      <c r="CT118" s="143"/>
      <c r="CU118" s="269"/>
      <c r="CV118" s="194"/>
      <c r="CW118" s="194"/>
      <c r="CX118" s="268"/>
      <c r="CY118" s="143"/>
      <c r="CZ118" s="143"/>
      <c r="DA118" s="143"/>
      <c r="DB118" s="269"/>
      <c r="DC118" s="194"/>
      <c r="DD118" s="194"/>
      <c r="DE118" s="268"/>
      <c r="DF118" s="143"/>
      <c r="DG118" s="143"/>
      <c r="DH118" s="143"/>
      <c r="DI118" s="269"/>
      <c r="DJ118" s="194"/>
      <c r="DK118" s="194"/>
      <c r="DL118" s="268"/>
      <c r="DM118" s="143"/>
      <c r="DN118" s="143"/>
      <c r="DO118" s="143"/>
      <c r="DP118" s="269"/>
      <c r="DQ118" s="194"/>
      <c r="DR118" s="194"/>
      <c r="DS118" s="268"/>
      <c r="DT118" s="143"/>
      <c r="DU118" s="143"/>
      <c r="DV118" s="143"/>
      <c r="DW118" s="269"/>
      <c r="DX118" s="194"/>
      <c r="DY118" s="194"/>
      <c r="DZ118" s="268"/>
      <c r="EA118" s="143"/>
      <c r="EB118" s="143"/>
      <c r="EC118" s="143"/>
      <c r="ED118" s="269"/>
      <c r="EE118" s="194"/>
      <c r="EF118" s="194"/>
      <c r="EG118" s="268"/>
      <c r="EH118" s="143"/>
      <c r="EI118" s="143"/>
      <c r="EJ118" s="143"/>
      <c r="EK118" s="269"/>
      <c r="EL118" s="194"/>
      <c r="EM118" s="194"/>
      <c r="EN118" s="268"/>
      <c r="EO118" s="143"/>
      <c r="EP118" s="143"/>
      <c r="EQ118" s="143"/>
      <c r="ER118" s="269"/>
      <c r="ES118" s="194"/>
      <c r="ET118" s="194"/>
      <c r="EU118" s="268"/>
      <c r="EV118" s="143"/>
      <c r="EW118" s="143"/>
      <c r="EX118" s="143"/>
      <c r="EY118" s="269"/>
      <c r="EZ118" s="194"/>
      <c r="FA118" s="194"/>
      <c r="FB118" s="268"/>
      <c r="FC118" s="143"/>
      <c r="FD118" s="143"/>
      <c r="FE118" s="143"/>
      <c r="FF118" s="269"/>
      <c r="FG118" s="194"/>
      <c r="FH118" s="194"/>
      <c r="FI118" s="268"/>
      <c r="FJ118" s="143"/>
      <c r="FK118" s="143"/>
      <c r="FL118" s="143"/>
      <c r="FM118" s="269"/>
      <c r="FN118" s="194"/>
      <c r="FO118" s="194"/>
      <c r="FP118" s="268"/>
      <c r="FQ118" s="143"/>
      <c r="FR118" s="143"/>
      <c r="FS118" s="143"/>
      <c r="FT118" s="269"/>
      <c r="FU118" s="194"/>
      <c r="FV118" s="194"/>
      <c r="FW118" s="268"/>
      <c r="FX118" s="143"/>
      <c r="FY118" s="143"/>
      <c r="FZ118" s="143"/>
      <c r="GA118" s="269"/>
      <c r="GB118" s="194"/>
      <c r="GC118" s="194"/>
      <c r="GD118" s="143"/>
      <c r="GE118" s="143"/>
      <c r="GF118" s="143"/>
      <c r="GG118" s="143"/>
      <c r="GH118" s="143"/>
      <c r="GI118" s="194"/>
      <c r="GJ118" s="194"/>
      <c r="GK118" s="143"/>
      <c r="GL118" s="143"/>
      <c r="GM118" s="143"/>
      <c r="GN118" s="143"/>
      <c r="GO118" s="143"/>
      <c r="GP118" s="210"/>
      <c r="GQ118" s="210"/>
      <c r="GR118" s="143"/>
      <c r="GS118" s="143"/>
      <c r="GT118" s="143"/>
      <c r="GU118" s="143"/>
      <c r="GV118" s="143"/>
      <c r="GW118" s="210"/>
      <c r="GX118" s="210"/>
      <c r="GY118" s="143"/>
      <c r="GZ118" s="143"/>
      <c r="HA118" s="143"/>
      <c r="HB118" s="143"/>
      <c r="HC118" s="143"/>
      <c r="HD118" s="210"/>
      <c r="HE118" s="210"/>
      <c r="HF118" s="143"/>
      <c r="HG118" s="143"/>
      <c r="HH118" s="143"/>
      <c r="HI118" s="143"/>
      <c r="HJ118" s="143"/>
      <c r="HK118" s="210"/>
      <c r="HL118" s="210"/>
      <c r="HM118" s="143"/>
      <c r="HN118" s="143"/>
      <c r="HO118" s="143"/>
      <c r="HP118" s="143"/>
      <c r="HQ118" s="143"/>
      <c r="HR118" s="143"/>
      <c r="HS118" s="143"/>
      <c r="HT118" s="143"/>
      <c r="HU118" s="143"/>
      <c r="HV118" s="143"/>
      <c r="HW118" s="143"/>
      <c r="HX118" s="143"/>
      <c r="HY118" s="203"/>
      <c r="HZ118" s="203"/>
      <c r="IA118" s="143"/>
      <c r="IB118" s="143"/>
      <c r="IC118" s="143"/>
      <c r="ID118" s="143"/>
      <c r="IE118" s="143"/>
      <c r="IF118" s="203"/>
      <c r="IG118" s="203"/>
      <c r="IH118" s="143"/>
      <c r="II118" s="143"/>
      <c r="IJ118" s="143"/>
      <c r="IK118" s="143"/>
      <c r="IL118" s="143"/>
      <c r="IM118" s="203"/>
      <c r="IN118" s="203"/>
      <c r="IO118" s="143"/>
      <c r="IP118" s="143"/>
      <c r="IQ118" s="227"/>
      <c r="IR118" s="227"/>
      <c r="IS118" s="227"/>
      <c r="IT118" s="203"/>
      <c r="IU118" s="203"/>
      <c r="IV118" s="143"/>
      <c r="IW118" s="143"/>
      <c r="IX118" s="143"/>
      <c r="IY118" s="143"/>
      <c r="IZ118" s="143"/>
      <c r="JA118" s="203"/>
      <c r="JB118" s="203"/>
      <c r="JC118" s="227"/>
      <c r="JD118" s="227"/>
      <c r="JE118" s="143"/>
      <c r="JF118" s="143"/>
      <c r="JG118" s="143"/>
      <c r="JH118" s="203"/>
      <c r="JI118" s="203"/>
      <c r="JJ118" s="143"/>
      <c r="JK118" s="143"/>
      <c r="JL118" s="143"/>
      <c r="JM118" s="143"/>
      <c r="JN118" s="143"/>
      <c r="JO118" s="203"/>
      <c r="JP118" s="203"/>
      <c r="JQ118" s="143"/>
      <c r="JR118" s="143"/>
      <c r="JS118" s="143"/>
      <c r="JT118" s="143"/>
      <c r="JU118" s="143"/>
      <c r="JV118" s="203"/>
      <c r="JW118" s="203"/>
      <c r="JX118" s="143"/>
      <c r="JY118" s="143"/>
      <c r="JZ118" s="143"/>
      <c r="KA118" s="143"/>
      <c r="KB118" s="143"/>
      <c r="KC118" s="203"/>
      <c r="KD118" s="203"/>
      <c r="KE118" s="143"/>
      <c r="KF118" s="143"/>
      <c r="KG118" s="143"/>
      <c r="KH118" s="143"/>
      <c r="KI118" s="143"/>
      <c r="KJ118" s="194"/>
      <c r="KK118" s="194"/>
      <c r="KL118" s="143"/>
      <c r="KM118" s="143"/>
      <c r="KN118" s="143"/>
      <c r="KO118" s="143"/>
      <c r="KP118" s="227"/>
      <c r="KQ118" s="194"/>
      <c r="KR118" s="194"/>
      <c r="KS118" s="143"/>
      <c r="KT118" s="143"/>
      <c r="KU118" s="143"/>
      <c r="KV118" s="143"/>
      <c r="KW118" s="143"/>
      <c r="KX118" s="210"/>
      <c r="KY118" s="210"/>
      <c r="KZ118" s="194"/>
      <c r="LA118" s="194"/>
      <c r="LB118" s="194"/>
      <c r="LC118" s="194"/>
      <c r="LD118" s="194"/>
      <c r="LE118" s="210"/>
      <c r="LF118" s="210"/>
      <c r="LG118" s="227"/>
      <c r="LH118" s="227"/>
      <c r="LI118" s="227"/>
      <c r="LJ118" s="227"/>
      <c r="LK118" s="227"/>
      <c r="LL118" s="227"/>
      <c r="LM118" s="210"/>
      <c r="LN118" s="227"/>
      <c r="LO118" s="227"/>
      <c r="LP118" s="227"/>
      <c r="LQ118" s="227"/>
      <c r="LR118" s="227"/>
      <c r="LS118" s="210"/>
      <c r="LT118" s="210"/>
      <c r="LU118" s="227"/>
      <c r="LV118" s="143"/>
      <c r="LW118" s="143"/>
      <c r="LX118" s="143"/>
      <c r="LY118" s="143"/>
      <c r="LZ118" s="203"/>
      <c r="MA118" s="203"/>
      <c r="MB118" s="143"/>
      <c r="MC118" s="143"/>
      <c r="MD118" s="143"/>
      <c r="ME118" s="143"/>
      <c r="MF118" s="143"/>
      <c r="MG118" s="203"/>
      <c r="MH118" s="203"/>
      <c r="MI118" s="143"/>
      <c r="MJ118" s="143"/>
      <c r="MK118" s="143"/>
      <c r="ML118" s="143"/>
      <c r="MM118" s="143"/>
      <c r="MN118" s="203"/>
      <c r="MO118" s="203"/>
      <c r="MP118" s="143"/>
      <c r="MQ118" s="143"/>
      <c r="MR118" s="143"/>
      <c r="MS118" s="143"/>
      <c r="MT118" s="143"/>
      <c r="MU118" s="203"/>
      <c r="MV118" s="203"/>
      <c r="MW118" s="143"/>
      <c r="MX118" s="143"/>
      <c r="MY118" s="143"/>
      <c r="MZ118" s="143"/>
      <c r="NA118" s="143"/>
      <c r="NB118" s="143"/>
      <c r="NC118" s="143"/>
      <c r="ND118" s="143"/>
    </row>
    <row r="119" spans="1:368" s="147" customFormat="1" ht="15" customHeight="1">
      <c r="A119" s="475"/>
      <c r="B119" s="461"/>
      <c r="C119" s="164" t="s">
        <v>12</v>
      </c>
      <c r="D119" s="268"/>
      <c r="E119" s="143"/>
      <c r="F119" s="143"/>
      <c r="G119" s="143"/>
      <c r="H119" s="269"/>
      <c r="I119" s="194"/>
      <c r="J119" s="194"/>
      <c r="K119" s="268"/>
      <c r="L119" s="143"/>
      <c r="M119" s="143"/>
      <c r="N119" s="143"/>
      <c r="O119" s="269"/>
      <c r="P119" s="194"/>
      <c r="Q119" s="194"/>
      <c r="R119" s="268"/>
      <c r="S119" s="143"/>
      <c r="T119" s="143"/>
      <c r="U119" s="143"/>
      <c r="V119" s="269"/>
      <c r="W119" s="194"/>
      <c r="X119" s="194"/>
      <c r="Y119" s="268"/>
      <c r="Z119" s="143"/>
      <c r="AA119" s="143"/>
      <c r="AB119" s="143"/>
      <c r="AC119" s="269"/>
      <c r="AD119" s="194"/>
      <c r="AE119" s="194"/>
      <c r="AF119" s="268"/>
      <c r="AG119" s="143"/>
      <c r="AH119" s="143"/>
      <c r="AI119" s="143"/>
      <c r="AJ119" s="269"/>
      <c r="AK119" s="194"/>
      <c r="AL119" s="194"/>
      <c r="AM119" s="268"/>
      <c r="AN119" s="143"/>
      <c r="AO119" s="143"/>
      <c r="AP119" s="143"/>
      <c r="AQ119" s="269"/>
      <c r="AR119" s="194"/>
      <c r="AS119" s="194"/>
      <c r="AT119" s="268"/>
      <c r="AU119" s="143"/>
      <c r="AV119" s="143"/>
      <c r="AW119" s="143"/>
      <c r="AX119" s="269"/>
      <c r="AY119" s="194"/>
      <c r="AZ119" s="194"/>
      <c r="BA119" s="268"/>
      <c r="BB119" s="143"/>
      <c r="BC119" s="143"/>
      <c r="BD119" s="143"/>
      <c r="BE119" s="269"/>
      <c r="BF119" s="194"/>
      <c r="BG119" s="194"/>
      <c r="BH119" s="268"/>
      <c r="BI119" s="143"/>
      <c r="BJ119" s="143"/>
      <c r="BK119" s="143"/>
      <c r="BL119" s="269"/>
      <c r="BM119" s="194"/>
      <c r="BN119" s="194"/>
      <c r="BO119" s="268"/>
      <c r="BP119" s="143"/>
      <c r="BQ119" s="143"/>
      <c r="BR119" s="143"/>
      <c r="BS119" s="269"/>
      <c r="BT119" s="194"/>
      <c r="BU119" s="194"/>
      <c r="BV119" s="268"/>
      <c r="BW119" s="143"/>
      <c r="BX119" s="143"/>
      <c r="BY119" s="143"/>
      <c r="BZ119" s="269"/>
      <c r="CA119" s="194"/>
      <c r="CB119" s="194"/>
      <c r="CC119" s="268"/>
      <c r="CD119" s="143"/>
      <c r="CE119" s="143"/>
      <c r="CF119" s="143"/>
      <c r="CG119" s="269"/>
      <c r="CH119" s="194"/>
      <c r="CI119" s="194"/>
      <c r="CJ119" s="268"/>
      <c r="CK119" s="143"/>
      <c r="CL119" s="143"/>
      <c r="CM119" s="143"/>
      <c r="CN119" s="269"/>
      <c r="CO119" s="194"/>
      <c r="CP119" s="194"/>
      <c r="CQ119" s="268"/>
      <c r="CR119" s="143"/>
      <c r="CS119" s="143"/>
      <c r="CT119" s="143"/>
      <c r="CU119" s="269"/>
      <c r="CV119" s="194"/>
      <c r="CW119" s="194"/>
      <c r="CX119" s="268"/>
      <c r="CY119" s="143"/>
      <c r="CZ119" s="143"/>
      <c r="DA119" s="143"/>
      <c r="DB119" s="269"/>
      <c r="DC119" s="194"/>
      <c r="DD119" s="194"/>
      <c r="DE119" s="268"/>
      <c r="DF119" s="143"/>
      <c r="DG119" s="143"/>
      <c r="DH119" s="143"/>
      <c r="DI119" s="269"/>
      <c r="DJ119" s="194"/>
      <c r="DK119" s="194"/>
      <c r="DL119" s="268"/>
      <c r="DM119" s="143"/>
      <c r="DN119" s="143"/>
      <c r="DO119" s="143"/>
      <c r="DP119" s="269"/>
      <c r="DQ119" s="194"/>
      <c r="DR119" s="194"/>
      <c r="DS119" s="268"/>
      <c r="DT119" s="143"/>
      <c r="DU119" s="143"/>
      <c r="DV119" s="143"/>
      <c r="DW119" s="269"/>
      <c r="DX119" s="194"/>
      <c r="DY119" s="194"/>
      <c r="DZ119" s="268"/>
      <c r="EA119" s="143"/>
      <c r="EB119" s="143"/>
      <c r="EC119" s="143"/>
      <c r="ED119" s="269"/>
      <c r="EE119" s="194"/>
      <c r="EF119" s="194"/>
      <c r="EG119" s="268"/>
      <c r="EH119" s="143"/>
      <c r="EI119" s="143"/>
      <c r="EJ119" s="143"/>
      <c r="EK119" s="269"/>
      <c r="EL119" s="194"/>
      <c r="EM119" s="194"/>
      <c r="EN119" s="268"/>
      <c r="EO119" s="143"/>
      <c r="EP119" s="143"/>
      <c r="EQ119" s="143"/>
      <c r="ER119" s="269"/>
      <c r="ES119" s="194"/>
      <c r="ET119" s="194"/>
      <c r="EU119" s="268"/>
      <c r="EV119" s="143"/>
      <c r="EW119" s="143"/>
      <c r="EX119" s="143"/>
      <c r="EY119" s="269"/>
      <c r="EZ119" s="194"/>
      <c r="FA119" s="194"/>
      <c r="FB119" s="268"/>
      <c r="FC119" s="143"/>
      <c r="FD119" s="143"/>
      <c r="FE119" s="143"/>
      <c r="FF119" s="269"/>
      <c r="FG119" s="194"/>
      <c r="FH119" s="194"/>
      <c r="FI119" s="268"/>
      <c r="FJ119" s="143"/>
      <c r="FK119" s="143"/>
      <c r="FL119" s="143"/>
      <c r="FM119" s="269"/>
      <c r="FN119" s="194"/>
      <c r="FO119" s="194"/>
      <c r="FP119" s="268"/>
      <c r="FQ119" s="143"/>
      <c r="FR119" s="143"/>
      <c r="FS119" s="143"/>
      <c r="FT119" s="269"/>
      <c r="FU119" s="194"/>
      <c r="FV119" s="194"/>
      <c r="FW119" s="268"/>
      <c r="FX119" s="143"/>
      <c r="FY119" s="143"/>
      <c r="FZ119" s="143"/>
      <c r="GA119" s="269"/>
      <c r="GB119" s="194"/>
      <c r="GC119" s="194"/>
      <c r="GD119" s="143"/>
      <c r="GE119" s="143"/>
      <c r="GF119" s="143"/>
      <c r="GG119" s="143"/>
      <c r="GH119" s="143"/>
      <c r="GI119" s="194"/>
      <c r="GJ119" s="194"/>
      <c r="GK119" s="143"/>
      <c r="GL119" s="143"/>
      <c r="GM119" s="143"/>
      <c r="GN119" s="143"/>
      <c r="GO119" s="143"/>
      <c r="GP119" s="210"/>
      <c r="GQ119" s="210"/>
      <c r="GR119" s="143"/>
      <c r="GS119" s="143"/>
      <c r="GT119" s="143"/>
      <c r="GU119" s="143"/>
      <c r="GV119" s="143"/>
      <c r="GW119" s="210"/>
      <c r="GX119" s="210"/>
      <c r="GY119" s="143"/>
      <c r="GZ119" s="143"/>
      <c r="HA119" s="143"/>
      <c r="HB119" s="143"/>
      <c r="HC119" s="143"/>
      <c r="HD119" s="210"/>
      <c r="HE119" s="210"/>
      <c r="HF119" s="143"/>
      <c r="HG119" s="143"/>
      <c r="HH119" s="143"/>
      <c r="HI119" s="143"/>
      <c r="HJ119" s="143"/>
      <c r="HK119" s="210"/>
      <c r="HL119" s="210"/>
      <c r="HM119" s="143"/>
      <c r="HN119" s="143"/>
      <c r="HO119" s="143"/>
      <c r="HP119" s="143"/>
      <c r="HQ119" s="143"/>
      <c r="HR119" s="143"/>
      <c r="HS119" s="143"/>
      <c r="HT119" s="143"/>
      <c r="HU119" s="143"/>
      <c r="HV119" s="143"/>
      <c r="HW119" s="143"/>
      <c r="HX119" s="143"/>
      <c r="HY119" s="203"/>
      <c r="HZ119" s="203"/>
      <c r="IA119" s="143"/>
      <c r="IB119" s="143"/>
      <c r="IC119" s="143"/>
      <c r="ID119" s="143"/>
      <c r="IE119" s="143"/>
      <c r="IF119" s="203"/>
      <c r="IG119" s="203"/>
      <c r="IH119" s="143"/>
      <c r="II119" s="143"/>
      <c r="IJ119" s="143"/>
      <c r="IK119" s="143"/>
      <c r="IL119" s="143"/>
      <c r="IM119" s="203"/>
      <c r="IN119" s="203"/>
      <c r="IO119" s="143"/>
      <c r="IP119" s="143"/>
      <c r="IQ119" s="227"/>
      <c r="IR119" s="227"/>
      <c r="IS119" s="227"/>
      <c r="IT119" s="203"/>
      <c r="IU119" s="203"/>
      <c r="IV119" s="143"/>
      <c r="IW119" s="143"/>
      <c r="IX119" s="143"/>
      <c r="IY119" s="143"/>
      <c r="IZ119" s="143"/>
      <c r="JA119" s="203"/>
      <c r="JB119" s="203"/>
      <c r="JC119" s="227"/>
      <c r="JD119" s="227"/>
      <c r="JE119" s="143"/>
      <c r="JF119" s="143"/>
      <c r="JG119" s="143"/>
      <c r="JH119" s="203"/>
      <c r="JI119" s="203"/>
      <c r="JJ119" s="143"/>
      <c r="JK119" s="143"/>
      <c r="JL119" s="143"/>
      <c r="JM119" s="143"/>
      <c r="JN119" s="143"/>
      <c r="JO119" s="203"/>
      <c r="JP119" s="203"/>
      <c r="JQ119" s="143"/>
      <c r="JR119" s="143"/>
      <c r="JS119" s="143"/>
      <c r="JT119" s="143"/>
      <c r="JU119" s="143"/>
      <c r="JV119" s="203"/>
      <c r="JW119" s="203"/>
      <c r="JX119" s="143"/>
      <c r="JY119" s="143"/>
      <c r="JZ119" s="143"/>
      <c r="KA119" s="143"/>
      <c r="KB119" s="143"/>
      <c r="KC119" s="203"/>
      <c r="KD119" s="203"/>
      <c r="KE119" s="143"/>
      <c r="KF119" s="143"/>
      <c r="KG119" s="143"/>
      <c r="KH119" s="143"/>
      <c r="KI119" s="143"/>
      <c r="KJ119" s="194"/>
      <c r="KK119" s="194"/>
      <c r="KL119" s="143"/>
      <c r="KM119" s="143"/>
      <c r="KN119" s="143"/>
      <c r="KO119" s="143"/>
      <c r="KP119" s="227"/>
      <c r="KQ119" s="194"/>
      <c r="KR119" s="194"/>
      <c r="KS119" s="143"/>
      <c r="KT119" s="143"/>
      <c r="KU119" s="143"/>
      <c r="KV119" s="143"/>
      <c r="KW119" s="143"/>
      <c r="KX119" s="210"/>
      <c r="KY119" s="210"/>
      <c r="KZ119" s="194"/>
      <c r="LA119" s="194"/>
      <c r="LB119" s="194"/>
      <c r="LC119" s="194"/>
      <c r="LD119" s="194"/>
      <c r="LE119" s="210"/>
      <c r="LF119" s="210"/>
      <c r="LG119" s="227"/>
      <c r="LH119" s="227"/>
      <c r="LI119" s="227"/>
      <c r="LJ119" s="227"/>
      <c r="LK119" s="227"/>
      <c r="LL119" s="227"/>
      <c r="LM119" s="210"/>
      <c r="LN119" s="227"/>
      <c r="LO119" s="227"/>
      <c r="LP119" s="227"/>
      <c r="LQ119" s="227"/>
      <c r="LR119" s="227"/>
      <c r="LS119" s="210"/>
      <c r="LT119" s="210"/>
      <c r="LU119" s="227"/>
      <c r="LV119" s="143"/>
      <c r="LW119" s="143"/>
      <c r="LX119" s="143"/>
      <c r="LY119" s="143"/>
      <c r="LZ119" s="203"/>
      <c r="MA119" s="203"/>
      <c r="MB119" s="143"/>
      <c r="MC119" s="143"/>
      <c r="MD119" s="143"/>
      <c r="ME119" s="143"/>
      <c r="MF119" s="143"/>
      <c r="MG119" s="203"/>
      <c r="MH119" s="203"/>
      <c r="MI119" s="143"/>
      <c r="MJ119" s="143"/>
      <c r="MK119" s="143"/>
      <c r="ML119" s="143"/>
      <c r="MM119" s="143"/>
      <c r="MN119" s="203"/>
      <c r="MO119" s="203"/>
      <c r="MP119" s="143"/>
      <c r="MQ119" s="143"/>
      <c r="MR119" s="143"/>
      <c r="MS119" s="143"/>
      <c r="MT119" s="143"/>
      <c r="MU119" s="203"/>
      <c r="MV119" s="203"/>
      <c r="MW119" s="143"/>
      <c r="MX119" s="143"/>
      <c r="MY119" s="143"/>
      <c r="MZ119" s="143"/>
      <c r="NA119" s="143"/>
      <c r="NB119" s="143"/>
      <c r="NC119" s="143"/>
      <c r="ND119" s="143"/>
    </row>
    <row r="120" spans="1:368" s="147" customFormat="1" ht="15" customHeight="1" thickBot="1">
      <c r="A120" s="475"/>
      <c r="B120" s="461"/>
      <c r="C120" s="164" t="s">
        <v>13</v>
      </c>
      <c r="D120" s="274"/>
      <c r="E120" s="275"/>
      <c r="F120" s="275"/>
      <c r="G120" s="275"/>
      <c r="H120" s="276"/>
      <c r="I120" s="195"/>
      <c r="J120" s="195"/>
      <c r="K120" s="274"/>
      <c r="L120" s="275"/>
      <c r="M120" s="275"/>
      <c r="N120" s="275"/>
      <c r="O120" s="276"/>
      <c r="P120" s="195"/>
      <c r="Q120" s="195"/>
      <c r="R120" s="274"/>
      <c r="S120" s="275"/>
      <c r="T120" s="275"/>
      <c r="U120" s="275"/>
      <c r="V120" s="276"/>
      <c r="W120" s="195"/>
      <c r="X120" s="195"/>
      <c r="Y120" s="274"/>
      <c r="Z120" s="275"/>
      <c r="AA120" s="275"/>
      <c r="AB120" s="275"/>
      <c r="AC120" s="276"/>
      <c r="AD120" s="195"/>
      <c r="AE120" s="195"/>
      <c r="AF120" s="274"/>
      <c r="AG120" s="275"/>
      <c r="AH120" s="275"/>
      <c r="AI120" s="275"/>
      <c r="AJ120" s="276"/>
      <c r="AK120" s="195"/>
      <c r="AL120" s="195"/>
      <c r="AM120" s="274"/>
      <c r="AN120" s="275"/>
      <c r="AO120" s="275"/>
      <c r="AP120" s="275"/>
      <c r="AQ120" s="276"/>
      <c r="AR120" s="195"/>
      <c r="AS120" s="195"/>
      <c r="AT120" s="274"/>
      <c r="AU120" s="275"/>
      <c r="AV120" s="275"/>
      <c r="AW120" s="275"/>
      <c r="AX120" s="276"/>
      <c r="AY120" s="195"/>
      <c r="AZ120" s="195"/>
      <c r="BA120" s="274"/>
      <c r="BB120" s="275"/>
      <c r="BC120" s="275"/>
      <c r="BD120" s="275"/>
      <c r="BE120" s="276"/>
      <c r="BF120" s="195"/>
      <c r="BG120" s="195"/>
      <c r="BH120" s="274"/>
      <c r="BI120" s="275"/>
      <c r="BJ120" s="275"/>
      <c r="BK120" s="275"/>
      <c r="BL120" s="276"/>
      <c r="BM120" s="195"/>
      <c r="BN120" s="195"/>
      <c r="BO120" s="274"/>
      <c r="BP120" s="275"/>
      <c r="BQ120" s="275"/>
      <c r="BR120" s="275"/>
      <c r="BS120" s="276"/>
      <c r="BT120" s="195"/>
      <c r="BU120" s="195"/>
      <c r="BV120" s="274"/>
      <c r="BW120" s="275"/>
      <c r="BX120" s="275"/>
      <c r="BY120" s="275"/>
      <c r="BZ120" s="276"/>
      <c r="CA120" s="195"/>
      <c r="CB120" s="195"/>
      <c r="CC120" s="274"/>
      <c r="CD120" s="275"/>
      <c r="CE120" s="275"/>
      <c r="CF120" s="275"/>
      <c r="CG120" s="276"/>
      <c r="CH120" s="195"/>
      <c r="CI120" s="195"/>
      <c r="CJ120" s="274"/>
      <c r="CK120" s="275"/>
      <c r="CL120" s="275"/>
      <c r="CM120" s="275"/>
      <c r="CN120" s="276"/>
      <c r="CO120" s="195"/>
      <c r="CP120" s="195"/>
      <c r="CQ120" s="274"/>
      <c r="CR120" s="275"/>
      <c r="CS120" s="275"/>
      <c r="CT120" s="275"/>
      <c r="CU120" s="276"/>
      <c r="CV120" s="195"/>
      <c r="CW120" s="195"/>
      <c r="CX120" s="274"/>
      <c r="CY120" s="275"/>
      <c r="CZ120" s="275"/>
      <c r="DA120" s="275"/>
      <c r="DB120" s="276"/>
      <c r="DC120" s="195"/>
      <c r="DD120" s="195"/>
      <c r="DE120" s="274"/>
      <c r="DF120" s="275"/>
      <c r="DG120" s="275"/>
      <c r="DH120" s="275"/>
      <c r="DI120" s="276"/>
      <c r="DJ120" s="195"/>
      <c r="DK120" s="195"/>
      <c r="DL120" s="274"/>
      <c r="DM120" s="275"/>
      <c r="DN120" s="275"/>
      <c r="DO120" s="275"/>
      <c r="DP120" s="276"/>
      <c r="DQ120" s="195"/>
      <c r="DR120" s="195"/>
      <c r="DS120" s="274"/>
      <c r="DT120" s="275"/>
      <c r="DU120" s="275"/>
      <c r="DV120" s="275"/>
      <c r="DW120" s="276"/>
      <c r="DX120" s="195"/>
      <c r="DY120" s="195"/>
      <c r="DZ120" s="274"/>
      <c r="EA120" s="275"/>
      <c r="EB120" s="275"/>
      <c r="EC120" s="275"/>
      <c r="ED120" s="276"/>
      <c r="EE120" s="195"/>
      <c r="EF120" s="195"/>
      <c r="EG120" s="274"/>
      <c r="EH120" s="275"/>
      <c r="EI120" s="275"/>
      <c r="EJ120" s="275"/>
      <c r="EK120" s="276"/>
      <c r="EL120" s="195"/>
      <c r="EM120" s="195"/>
      <c r="EN120" s="274"/>
      <c r="EO120" s="275"/>
      <c r="EP120" s="275"/>
      <c r="EQ120" s="275"/>
      <c r="ER120" s="276"/>
      <c r="ES120" s="195"/>
      <c r="ET120" s="195"/>
      <c r="EU120" s="274"/>
      <c r="EV120" s="275"/>
      <c r="EW120" s="275"/>
      <c r="EX120" s="275"/>
      <c r="EY120" s="276"/>
      <c r="EZ120" s="195"/>
      <c r="FA120" s="195"/>
      <c r="FB120" s="274"/>
      <c r="FC120" s="275"/>
      <c r="FD120" s="275"/>
      <c r="FE120" s="275"/>
      <c r="FF120" s="276"/>
      <c r="FG120" s="195"/>
      <c r="FH120" s="195"/>
      <c r="FI120" s="274"/>
      <c r="FJ120" s="275"/>
      <c r="FK120" s="275"/>
      <c r="FL120" s="275"/>
      <c r="FM120" s="276"/>
      <c r="FN120" s="195"/>
      <c r="FO120" s="195"/>
      <c r="FP120" s="274"/>
      <c r="FQ120" s="275"/>
      <c r="FR120" s="275"/>
      <c r="FS120" s="275"/>
      <c r="FT120" s="276"/>
      <c r="FU120" s="195"/>
      <c r="FV120" s="195"/>
      <c r="FW120" s="274"/>
      <c r="FX120" s="275"/>
      <c r="FY120" s="275"/>
      <c r="FZ120" s="275"/>
      <c r="GA120" s="276"/>
      <c r="GB120" s="195"/>
      <c r="GC120" s="195"/>
      <c r="GD120" s="144"/>
      <c r="GE120" s="144"/>
      <c r="GF120" s="144"/>
      <c r="GG120" s="144"/>
      <c r="GH120" s="144"/>
      <c r="GI120" s="195"/>
      <c r="GJ120" s="195"/>
      <c r="GK120" s="144"/>
      <c r="GL120" s="144"/>
      <c r="GM120" s="144"/>
      <c r="GN120" s="144"/>
      <c r="GO120" s="144"/>
      <c r="GP120" s="211"/>
      <c r="GQ120" s="211"/>
      <c r="GR120" s="144"/>
      <c r="GS120" s="144"/>
      <c r="GT120" s="144"/>
      <c r="GU120" s="144"/>
      <c r="GV120" s="144"/>
      <c r="GW120" s="211"/>
      <c r="GX120" s="211"/>
      <c r="GY120" s="144"/>
      <c r="GZ120" s="144"/>
      <c r="HA120" s="144"/>
      <c r="HB120" s="144"/>
      <c r="HC120" s="144"/>
      <c r="HD120" s="211"/>
      <c r="HE120" s="211"/>
      <c r="HF120" s="144"/>
      <c r="HG120" s="144"/>
      <c r="HH120" s="144"/>
      <c r="HI120" s="144"/>
      <c r="HJ120" s="144"/>
      <c r="HK120" s="211"/>
      <c r="HL120" s="211"/>
      <c r="HM120" s="144"/>
      <c r="HN120" s="144"/>
      <c r="HO120" s="144"/>
      <c r="HP120" s="144"/>
      <c r="HQ120" s="144"/>
      <c r="HR120" s="144"/>
      <c r="HS120" s="144"/>
      <c r="HT120" s="144"/>
      <c r="HU120" s="144"/>
      <c r="HV120" s="144"/>
      <c r="HW120" s="144"/>
      <c r="HX120" s="144"/>
      <c r="HY120" s="204"/>
      <c r="HZ120" s="204"/>
      <c r="IA120" s="144"/>
      <c r="IB120" s="144"/>
      <c r="IC120" s="144"/>
      <c r="ID120" s="144"/>
      <c r="IE120" s="144"/>
      <c r="IF120" s="204"/>
      <c r="IG120" s="204"/>
      <c r="IH120" s="144"/>
      <c r="II120" s="144"/>
      <c r="IJ120" s="144"/>
      <c r="IK120" s="144"/>
      <c r="IL120" s="144"/>
      <c r="IM120" s="204"/>
      <c r="IN120" s="204"/>
      <c r="IO120" s="144"/>
      <c r="IP120" s="144"/>
      <c r="IQ120" s="230"/>
      <c r="IR120" s="230"/>
      <c r="IS120" s="230"/>
      <c r="IT120" s="204"/>
      <c r="IU120" s="204"/>
      <c r="IV120" s="144"/>
      <c r="IW120" s="144"/>
      <c r="IX120" s="144"/>
      <c r="IY120" s="144"/>
      <c r="IZ120" s="144"/>
      <c r="JA120" s="204"/>
      <c r="JB120" s="204"/>
      <c r="JC120" s="230"/>
      <c r="JD120" s="230"/>
      <c r="JE120" s="144"/>
      <c r="JF120" s="144"/>
      <c r="JG120" s="144"/>
      <c r="JH120" s="204"/>
      <c r="JI120" s="204"/>
      <c r="JJ120" s="144"/>
      <c r="JK120" s="144"/>
      <c r="JL120" s="144"/>
      <c r="JM120" s="144"/>
      <c r="JN120" s="144"/>
      <c r="JO120" s="204"/>
      <c r="JP120" s="204"/>
      <c r="JQ120" s="144"/>
      <c r="JR120" s="144"/>
      <c r="JS120" s="144"/>
      <c r="JT120" s="144"/>
      <c r="JU120" s="144"/>
      <c r="JV120" s="204"/>
      <c r="JW120" s="204"/>
      <c r="JX120" s="144"/>
      <c r="JY120" s="144"/>
      <c r="JZ120" s="144"/>
      <c r="KA120" s="144"/>
      <c r="KB120" s="144"/>
      <c r="KC120" s="204"/>
      <c r="KD120" s="204"/>
      <c r="KE120" s="144"/>
      <c r="KF120" s="144"/>
      <c r="KG120" s="144"/>
      <c r="KH120" s="144"/>
      <c r="KI120" s="144"/>
      <c r="KJ120" s="195"/>
      <c r="KK120" s="195"/>
      <c r="KL120" s="144"/>
      <c r="KM120" s="144"/>
      <c r="KN120" s="144"/>
      <c r="KO120" s="144"/>
      <c r="KP120" s="230"/>
      <c r="KQ120" s="195"/>
      <c r="KR120" s="195"/>
      <c r="KS120" s="144"/>
      <c r="KT120" s="144"/>
      <c r="KU120" s="144"/>
      <c r="KV120" s="144"/>
      <c r="KW120" s="144"/>
      <c r="KX120" s="211"/>
      <c r="KY120" s="211"/>
      <c r="KZ120" s="195"/>
      <c r="LA120" s="195"/>
      <c r="LB120" s="195"/>
      <c r="LC120" s="195"/>
      <c r="LD120" s="195"/>
      <c r="LE120" s="211"/>
      <c r="LF120" s="211"/>
      <c r="LG120" s="230"/>
      <c r="LH120" s="230"/>
      <c r="LI120" s="230"/>
      <c r="LJ120" s="230"/>
      <c r="LK120" s="230"/>
      <c r="LL120" s="230"/>
      <c r="LM120" s="211"/>
      <c r="LN120" s="230"/>
      <c r="LO120" s="230"/>
      <c r="LP120" s="230"/>
      <c r="LQ120" s="230"/>
      <c r="LR120" s="230"/>
      <c r="LS120" s="211"/>
      <c r="LT120" s="211"/>
      <c r="LU120" s="230"/>
      <c r="LV120" s="144"/>
      <c r="LW120" s="144"/>
      <c r="LX120" s="144"/>
      <c r="LY120" s="144"/>
      <c r="LZ120" s="204"/>
      <c r="MA120" s="204"/>
      <c r="MB120" s="144"/>
      <c r="MC120" s="144"/>
      <c r="MD120" s="144"/>
      <c r="ME120" s="144"/>
      <c r="MF120" s="144"/>
      <c r="MG120" s="204"/>
      <c r="MH120" s="204"/>
      <c r="MI120" s="144"/>
      <c r="MJ120" s="144"/>
      <c r="MK120" s="144"/>
      <c r="ML120" s="144"/>
      <c r="MM120" s="144"/>
      <c r="MN120" s="204"/>
      <c r="MO120" s="204"/>
      <c r="MP120" s="144"/>
      <c r="MQ120" s="144"/>
      <c r="MR120" s="144"/>
      <c r="MS120" s="144"/>
      <c r="MT120" s="144"/>
      <c r="MU120" s="204"/>
      <c r="MV120" s="204"/>
      <c r="MW120" s="144"/>
      <c r="MX120" s="144"/>
      <c r="MY120" s="144"/>
      <c r="MZ120" s="144"/>
      <c r="NA120" s="144"/>
      <c r="NB120" s="144"/>
      <c r="NC120" s="144"/>
      <c r="ND120" s="144"/>
    </row>
    <row r="121" spans="1:368" s="151" customFormat="1" ht="15" hidden="1" customHeight="1" thickBot="1">
      <c r="A121" s="475"/>
      <c r="B121" s="461"/>
      <c r="C121" s="167" t="s">
        <v>93</v>
      </c>
      <c r="D121" s="152"/>
      <c r="E121" s="152"/>
      <c r="F121" s="152"/>
      <c r="G121" s="152"/>
      <c r="H121" s="152"/>
      <c r="I121" s="195"/>
      <c r="J121" s="195"/>
      <c r="K121" s="152"/>
      <c r="L121" s="152"/>
      <c r="M121" s="152"/>
      <c r="N121" s="152"/>
      <c r="O121" s="152"/>
      <c r="P121" s="195"/>
      <c r="Q121" s="195"/>
      <c r="R121" s="152"/>
      <c r="S121" s="152"/>
      <c r="T121" s="152"/>
      <c r="U121" s="152"/>
      <c r="V121" s="152"/>
      <c r="W121" s="195"/>
      <c r="X121" s="195"/>
      <c r="Y121" s="152"/>
      <c r="Z121" s="152"/>
      <c r="AA121" s="152"/>
      <c r="AB121" s="152"/>
      <c r="AC121" s="152"/>
      <c r="AD121" s="195"/>
      <c r="AE121" s="195"/>
      <c r="AF121" s="152"/>
      <c r="AG121" s="152"/>
      <c r="AH121" s="152"/>
      <c r="AI121" s="152"/>
      <c r="AJ121" s="152"/>
      <c r="AK121" s="195"/>
      <c r="AL121" s="195"/>
      <c r="AM121" s="152"/>
      <c r="AN121" s="152"/>
      <c r="AO121" s="152"/>
      <c r="AP121" s="152"/>
      <c r="AQ121" s="152"/>
      <c r="AR121" s="195"/>
      <c r="AS121" s="195"/>
      <c r="AT121" s="152"/>
      <c r="AU121" s="152"/>
      <c r="AV121" s="152"/>
      <c r="AW121" s="152"/>
      <c r="AX121" s="152"/>
      <c r="AY121" s="195"/>
      <c r="AZ121" s="195"/>
      <c r="BA121" s="152"/>
      <c r="BB121" s="152"/>
      <c r="BC121" s="152"/>
      <c r="BD121" s="152"/>
      <c r="BE121" s="152"/>
      <c r="BF121" s="195"/>
      <c r="BG121" s="195"/>
      <c r="BH121" s="152"/>
      <c r="BI121" s="152"/>
      <c r="BJ121" s="152"/>
      <c r="BK121" s="152"/>
      <c r="BL121" s="152"/>
      <c r="BM121" s="195"/>
      <c r="BN121" s="195"/>
      <c r="BO121" s="152"/>
      <c r="BP121" s="152"/>
      <c r="BQ121" s="152"/>
      <c r="BR121" s="152"/>
      <c r="BS121" s="152"/>
      <c r="BT121" s="195"/>
      <c r="BU121" s="195"/>
      <c r="BV121" s="152"/>
      <c r="BW121" s="152"/>
      <c r="BX121" s="152"/>
      <c r="BY121" s="152"/>
      <c r="BZ121" s="152"/>
      <c r="CA121" s="195"/>
      <c r="CB121" s="195"/>
      <c r="CC121" s="152"/>
      <c r="CD121" s="152"/>
      <c r="CE121" s="152"/>
      <c r="CF121" s="152"/>
      <c r="CG121" s="152"/>
      <c r="CH121" s="195"/>
      <c r="CI121" s="195"/>
      <c r="CJ121" s="152"/>
      <c r="CK121" s="152"/>
      <c r="CL121" s="152"/>
      <c r="CM121" s="152"/>
      <c r="CN121" s="152"/>
      <c r="CO121" s="195"/>
      <c r="CP121" s="195"/>
      <c r="CQ121" s="152"/>
      <c r="CR121" s="152"/>
      <c r="CS121" s="152"/>
      <c r="CT121" s="152"/>
      <c r="CU121" s="152"/>
      <c r="CV121" s="195"/>
      <c r="CW121" s="195"/>
      <c r="CX121" s="152"/>
      <c r="CY121" s="152"/>
      <c r="CZ121" s="152"/>
      <c r="DA121" s="152"/>
      <c r="DB121" s="152"/>
      <c r="DC121" s="195"/>
      <c r="DD121" s="195"/>
      <c r="DE121" s="152"/>
      <c r="DF121" s="152"/>
      <c r="DG121" s="152"/>
      <c r="DH121" s="152"/>
      <c r="DI121" s="152"/>
      <c r="DJ121" s="195"/>
      <c r="DK121" s="195"/>
      <c r="DL121" s="152"/>
      <c r="DM121" s="152"/>
      <c r="DN121" s="152"/>
      <c r="DO121" s="152"/>
      <c r="DP121" s="152"/>
      <c r="DQ121" s="195"/>
      <c r="DR121" s="195"/>
      <c r="DS121" s="152"/>
      <c r="DT121" s="152"/>
      <c r="DU121" s="152"/>
      <c r="DV121" s="152"/>
      <c r="DW121" s="152"/>
      <c r="DX121" s="195"/>
      <c r="DY121" s="195"/>
      <c r="DZ121" s="152"/>
      <c r="EA121" s="152"/>
      <c r="EB121" s="152"/>
      <c r="EC121" s="152"/>
      <c r="ED121" s="152"/>
      <c r="EE121" s="195"/>
      <c r="EF121" s="195"/>
      <c r="EG121" s="152"/>
      <c r="EH121" s="152"/>
      <c r="EI121" s="152"/>
      <c r="EJ121" s="152"/>
      <c r="EK121" s="152"/>
      <c r="EL121" s="195"/>
      <c r="EM121" s="195"/>
      <c r="EN121" s="152"/>
      <c r="EO121" s="152"/>
      <c r="EP121" s="152"/>
      <c r="EQ121" s="152"/>
      <c r="ER121" s="152"/>
      <c r="ES121" s="195"/>
      <c r="ET121" s="195"/>
      <c r="EU121" s="152"/>
      <c r="EV121" s="152"/>
      <c r="EW121" s="152"/>
      <c r="EX121" s="152"/>
      <c r="EY121" s="152"/>
      <c r="EZ121" s="195"/>
      <c r="FA121" s="195"/>
      <c r="FB121" s="152"/>
      <c r="FC121" s="152"/>
      <c r="FD121" s="152"/>
      <c r="FE121" s="152"/>
      <c r="FF121" s="152"/>
      <c r="FG121" s="195"/>
      <c r="FH121" s="195"/>
      <c r="FI121" s="152"/>
      <c r="FJ121" s="152"/>
      <c r="FK121" s="152"/>
      <c r="FL121" s="152"/>
      <c r="FM121" s="152"/>
      <c r="FN121" s="195"/>
      <c r="FO121" s="195"/>
      <c r="FP121" s="152"/>
      <c r="FQ121" s="152"/>
      <c r="FR121" s="152"/>
      <c r="FS121" s="152"/>
      <c r="FT121" s="152"/>
      <c r="FU121" s="195"/>
      <c r="FV121" s="195"/>
      <c r="FW121" s="152"/>
      <c r="FX121" s="152"/>
      <c r="FY121" s="152"/>
      <c r="FZ121" s="152"/>
      <c r="GA121" s="152"/>
      <c r="GB121" s="195"/>
      <c r="GC121" s="195"/>
      <c r="GD121" s="153"/>
      <c r="GE121" s="153"/>
      <c r="GF121" s="153"/>
      <c r="GG121" s="153"/>
      <c r="GH121" s="153"/>
      <c r="GI121" s="195"/>
      <c r="GJ121" s="195"/>
      <c r="GK121" s="153"/>
      <c r="GL121" s="153"/>
      <c r="GM121" s="153"/>
      <c r="GN121" s="153"/>
      <c r="GO121" s="153"/>
      <c r="GP121" s="211"/>
      <c r="GQ121" s="211"/>
      <c r="GR121" s="153"/>
      <c r="GS121" s="153"/>
      <c r="GT121" s="153"/>
      <c r="GU121" s="153"/>
      <c r="GV121" s="153"/>
      <c r="GW121" s="211"/>
      <c r="GX121" s="211"/>
      <c r="GY121" s="153"/>
      <c r="GZ121" s="153"/>
      <c r="HA121" s="153"/>
      <c r="HB121" s="153"/>
      <c r="HC121" s="153"/>
      <c r="HD121" s="211"/>
      <c r="HE121" s="211"/>
      <c r="HF121" s="153"/>
      <c r="HG121" s="153"/>
      <c r="HH121" s="153"/>
      <c r="HI121" s="153"/>
      <c r="HJ121" s="153"/>
      <c r="HK121" s="211"/>
      <c r="HL121" s="211"/>
      <c r="HM121" s="153"/>
      <c r="HN121" s="153"/>
      <c r="HO121" s="153"/>
      <c r="HP121" s="153"/>
      <c r="HQ121" s="153"/>
      <c r="HR121" s="153"/>
      <c r="HS121" s="153"/>
      <c r="HT121" s="153"/>
      <c r="HU121" s="153"/>
      <c r="HV121" s="153"/>
      <c r="HW121" s="153"/>
      <c r="HX121" s="153"/>
      <c r="HY121" s="204"/>
      <c r="HZ121" s="204"/>
      <c r="IA121" s="153"/>
      <c r="IB121" s="153"/>
      <c r="IC121" s="153"/>
      <c r="ID121" s="153"/>
      <c r="IE121" s="153"/>
      <c r="IF121" s="204"/>
      <c r="IG121" s="204"/>
      <c r="IH121" s="153"/>
      <c r="II121" s="153"/>
      <c r="IJ121" s="153"/>
      <c r="IK121" s="153"/>
      <c r="IL121" s="153"/>
      <c r="IM121" s="204"/>
      <c r="IN121" s="204"/>
      <c r="IO121" s="153"/>
      <c r="IP121" s="153"/>
      <c r="IQ121" s="230"/>
      <c r="IR121" s="230"/>
      <c r="IS121" s="230"/>
      <c r="IT121" s="204"/>
      <c r="IU121" s="204"/>
      <c r="IV121" s="153"/>
      <c r="IW121" s="153"/>
      <c r="IX121" s="153"/>
      <c r="IY121" s="153"/>
      <c r="IZ121" s="153"/>
      <c r="JA121" s="204"/>
      <c r="JB121" s="204"/>
      <c r="JC121" s="233"/>
      <c r="JD121" s="233"/>
      <c r="JE121" s="153"/>
      <c r="JF121" s="153"/>
      <c r="JG121" s="153"/>
      <c r="JH121" s="204"/>
      <c r="JI121" s="204"/>
      <c r="JJ121" s="153"/>
      <c r="JK121" s="153"/>
      <c r="JL121" s="153"/>
      <c r="JM121" s="153"/>
      <c r="JN121" s="153"/>
      <c r="JO121" s="204"/>
      <c r="JP121" s="204"/>
      <c r="JQ121" s="153"/>
      <c r="JR121" s="153"/>
      <c r="JS121" s="153"/>
      <c r="JT121" s="153"/>
      <c r="JU121" s="153"/>
      <c r="JV121" s="204"/>
      <c r="JW121" s="204"/>
      <c r="JX121" s="153"/>
      <c r="JY121" s="153"/>
      <c r="JZ121" s="153"/>
      <c r="KA121" s="153"/>
      <c r="KB121" s="153"/>
      <c r="KC121" s="204"/>
      <c r="KD121" s="204"/>
      <c r="KE121" s="153"/>
      <c r="KF121" s="153"/>
      <c r="KG121" s="153"/>
      <c r="KH121" s="153"/>
      <c r="KI121" s="153"/>
      <c r="KJ121" s="195"/>
      <c r="KK121" s="195"/>
      <c r="KL121" s="153"/>
      <c r="KM121" s="153"/>
      <c r="KN121" s="153"/>
      <c r="KO121" s="153"/>
      <c r="KP121" s="195"/>
      <c r="KQ121" s="195"/>
      <c r="KR121" s="195"/>
      <c r="KS121" s="153"/>
      <c r="KT121" s="153"/>
      <c r="KU121" s="153"/>
      <c r="KV121" s="153"/>
      <c r="KW121" s="153"/>
      <c r="KX121" s="211"/>
      <c r="KY121" s="211"/>
      <c r="KZ121" s="195"/>
      <c r="LA121" s="195"/>
      <c r="LB121" s="195"/>
      <c r="LC121" s="195"/>
      <c r="LD121" s="195"/>
      <c r="LE121" s="211"/>
      <c r="LF121" s="211"/>
      <c r="LG121" s="230"/>
      <c r="LH121" s="230"/>
      <c r="LI121" s="230"/>
      <c r="LJ121" s="230"/>
      <c r="LK121" s="230"/>
      <c r="LL121" s="230"/>
      <c r="LM121" s="211"/>
      <c r="LN121" s="233"/>
      <c r="LO121" s="233"/>
      <c r="LP121" s="233"/>
      <c r="LQ121" s="233"/>
      <c r="LR121" s="233"/>
      <c r="LS121" s="211"/>
      <c r="LT121" s="211"/>
      <c r="LU121" s="233"/>
      <c r="LV121" s="153"/>
      <c r="LW121" s="153"/>
      <c r="LX121" s="153"/>
      <c r="LY121" s="153"/>
      <c r="LZ121" s="204"/>
      <c r="MA121" s="204"/>
      <c r="MB121" s="153"/>
      <c r="MC121" s="153"/>
      <c r="MD121" s="153"/>
      <c r="ME121" s="153"/>
      <c r="MF121" s="153"/>
      <c r="MG121" s="204"/>
      <c r="MH121" s="204"/>
      <c r="MI121" s="153"/>
      <c r="MJ121" s="153"/>
      <c r="MK121" s="153"/>
      <c r="ML121" s="153"/>
      <c r="MM121" s="153"/>
      <c r="MN121" s="204"/>
      <c r="MO121" s="204"/>
      <c r="MP121" s="153"/>
      <c r="MQ121" s="153"/>
      <c r="MR121" s="153"/>
      <c r="MS121" s="153"/>
      <c r="MT121" s="153"/>
      <c r="MU121" s="204"/>
      <c r="MV121" s="204"/>
      <c r="MW121" s="153"/>
      <c r="MX121" s="153"/>
      <c r="MY121" s="153"/>
      <c r="MZ121" s="153"/>
      <c r="NA121" s="153"/>
      <c r="NB121" s="153"/>
      <c r="NC121" s="153"/>
      <c r="ND121" s="153"/>
    </row>
    <row r="122" spans="1:368" s="142" customFormat="1" ht="15" customHeight="1" thickBot="1">
      <c r="A122" s="471"/>
      <c r="B122" s="476" t="s">
        <v>92</v>
      </c>
      <c r="C122" s="477"/>
      <c r="D122" s="155">
        <f t="shared" ref="D122:H122" si="175">SUM(D106:D120)</f>
        <v>0</v>
      </c>
      <c r="E122" s="155">
        <f t="shared" si="175"/>
        <v>0</v>
      </c>
      <c r="F122" s="155">
        <f t="shared" si="175"/>
        <v>0</v>
      </c>
      <c r="G122" s="155">
        <f t="shared" si="175"/>
        <v>0</v>
      </c>
      <c r="H122" s="155">
        <f t="shared" si="175"/>
        <v>0</v>
      </c>
      <c r="I122" s="195"/>
      <c r="J122" s="195"/>
      <c r="K122" s="155">
        <f t="shared" ref="K122:O122" si="176">SUM(K106:K120)</f>
        <v>0</v>
      </c>
      <c r="L122" s="155">
        <f t="shared" si="176"/>
        <v>0</v>
      </c>
      <c r="M122" s="155">
        <f t="shared" si="176"/>
        <v>0</v>
      </c>
      <c r="N122" s="155">
        <f t="shared" si="176"/>
        <v>0</v>
      </c>
      <c r="O122" s="155">
        <f t="shared" si="176"/>
        <v>0</v>
      </c>
      <c r="P122" s="195"/>
      <c r="Q122" s="195"/>
      <c r="R122" s="155">
        <f t="shared" ref="R122:V122" si="177">SUM(R106:R120)</f>
        <v>0</v>
      </c>
      <c r="S122" s="155">
        <f t="shared" si="177"/>
        <v>0</v>
      </c>
      <c r="T122" s="155">
        <f t="shared" si="177"/>
        <v>0</v>
      </c>
      <c r="U122" s="155">
        <f t="shared" si="177"/>
        <v>0</v>
      </c>
      <c r="V122" s="155">
        <f t="shared" si="177"/>
        <v>0</v>
      </c>
      <c r="W122" s="195"/>
      <c r="X122" s="195"/>
      <c r="Y122" s="155">
        <f t="shared" ref="Y122:AC122" si="178">SUM(Y106:Y120)</f>
        <v>0</v>
      </c>
      <c r="Z122" s="155">
        <f t="shared" si="178"/>
        <v>0</v>
      </c>
      <c r="AA122" s="155">
        <f t="shared" si="178"/>
        <v>0</v>
      </c>
      <c r="AB122" s="155">
        <f t="shared" si="178"/>
        <v>0</v>
      </c>
      <c r="AC122" s="155">
        <f t="shared" si="178"/>
        <v>0</v>
      </c>
      <c r="AD122" s="195"/>
      <c r="AE122" s="195"/>
      <c r="AF122" s="155">
        <f t="shared" ref="AF122:AJ122" si="179">SUM(AF106:AF120)</f>
        <v>0</v>
      </c>
      <c r="AG122" s="155">
        <f t="shared" si="179"/>
        <v>0</v>
      </c>
      <c r="AH122" s="155">
        <f t="shared" si="179"/>
        <v>0</v>
      </c>
      <c r="AI122" s="155">
        <f t="shared" si="179"/>
        <v>0</v>
      </c>
      <c r="AJ122" s="155">
        <f t="shared" si="179"/>
        <v>0</v>
      </c>
      <c r="AK122" s="195"/>
      <c r="AL122" s="195"/>
      <c r="AM122" s="155">
        <f t="shared" ref="AM122:AQ122" si="180">SUM(AM106:AM120)</f>
        <v>0</v>
      </c>
      <c r="AN122" s="155">
        <f t="shared" si="180"/>
        <v>0</v>
      </c>
      <c r="AO122" s="155">
        <f t="shared" si="180"/>
        <v>0</v>
      </c>
      <c r="AP122" s="155">
        <f t="shared" si="180"/>
        <v>0</v>
      </c>
      <c r="AQ122" s="155">
        <f t="shared" si="180"/>
        <v>0</v>
      </c>
      <c r="AR122" s="195"/>
      <c r="AS122" s="195"/>
      <c r="AT122" s="155">
        <f t="shared" ref="AT122:AX122" si="181">SUM(AT106:AT120)</f>
        <v>0</v>
      </c>
      <c r="AU122" s="155">
        <f t="shared" si="181"/>
        <v>0</v>
      </c>
      <c r="AV122" s="155">
        <f t="shared" si="181"/>
        <v>0</v>
      </c>
      <c r="AW122" s="155">
        <f t="shared" si="181"/>
        <v>0</v>
      </c>
      <c r="AX122" s="155">
        <f t="shared" si="181"/>
        <v>0</v>
      </c>
      <c r="AY122" s="195"/>
      <c r="AZ122" s="195"/>
      <c r="BA122" s="155">
        <f t="shared" ref="BA122:BE122" si="182">SUM(BA106:BA120)</f>
        <v>0</v>
      </c>
      <c r="BB122" s="155">
        <f t="shared" si="182"/>
        <v>0</v>
      </c>
      <c r="BC122" s="155">
        <f t="shared" si="182"/>
        <v>0</v>
      </c>
      <c r="BD122" s="155">
        <f t="shared" si="182"/>
        <v>0</v>
      </c>
      <c r="BE122" s="155">
        <f t="shared" si="182"/>
        <v>0</v>
      </c>
      <c r="BF122" s="195"/>
      <c r="BG122" s="195"/>
      <c r="BH122" s="155">
        <f t="shared" ref="BH122:BL122" si="183">SUM(BH106:BH120)</f>
        <v>0</v>
      </c>
      <c r="BI122" s="155">
        <f t="shared" si="183"/>
        <v>0</v>
      </c>
      <c r="BJ122" s="155">
        <f t="shared" si="183"/>
        <v>0</v>
      </c>
      <c r="BK122" s="155">
        <f t="shared" si="183"/>
        <v>0</v>
      </c>
      <c r="BL122" s="155">
        <f t="shared" si="183"/>
        <v>0</v>
      </c>
      <c r="BM122" s="195"/>
      <c r="BN122" s="195"/>
      <c r="BO122" s="155">
        <f t="shared" ref="BO122:BS122" si="184">SUM(BO106:BO120)</f>
        <v>0</v>
      </c>
      <c r="BP122" s="155">
        <f t="shared" si="184"/>
        <v>0</v>
      </c>
      <c r="BQ122" s="155">
        <f t="shared" si="184"/>
        <v>0</v>
      </c>
      <c r="BR122" s="155">
        <f t="shared" si="184"/>
        <v>0</v>
      </c>
      <c r="BS122" s="155">
        <f t="shared" si="184"/>
        <v>0</v>
      </c>
      <c r="BT122" s="195"/>
      <c r="BU122" s="195"/>
      <c r="BV122" s="155">
        <f t="shared" ref="BV122:BZ122" si="185">SUM(BV106:BV120)</f>
        <v>0</v>
      </c>
      <c r="BW122" s="155">
        <f t="shared" si="185"/>
        <v>0</v>
      </c>
      <c r="BX122" s="155">
        <f t="shared" si="185"/>
        <v>0</v>
      </c>
      <c r="BY122" s="155">
        <f t="shared" si="185"/>
        <v>0</v>
      </c>
      <c r="BZ122" s="155">
        <f t="shared" si="185"/>
        <v>0</v>
      </c>
      <c r="CA122" s="195"/>
      <c r="CB122" s="195"/>
      <c r="CC122" s="155">
        <f t="shared" ref="CC122:CG122" si="186">SUM(CC106:CC120)</f>
        <v>0</v>
      </c>
      <c r="CD122" s="155">
        <f t="shared" si="186"/>
        <v>0</v>
      </c>
      <c r="CE122" s="155">
        <f t="shared" si="186"/>
        <v>0</v>
      </c>
      <c r="CF122" s="155">
        <f t="shared" si="186"/>
        <v>0</v>
      </c>
      <c r="CG122" s="155">
        <f t="shared" si="186"/>
        <v>0</v>
      </c>
      <c r="CH122" s="195"/>
      <c r="CI122" s="195"/>
      <c r="CJ122" s="155">
        <f t="shared" ref="CJ122:CN122" si="187">SUM(CJ106:CJ120)</f>
        <v>0</v>
      </c>
      <c r="CK122" s="155">
        <f t="shared" si="187"/>
        <v>0</v>
      </c>
      <c r="CL122" s="155">
        <f t="shared" si="187"/>
        <v>0</v>
      </c>
      <c r="CM122" s="155">
        <f t="shared" si="187"/>
        <v>0</v>
      </c>
      <c r="CN122" s="155">
        <f t="shared" si="187"/>
        <v>0</v>
      </c>
      <c r="CO122" s="195"/>
      <c r="CP122" s="195"/>
      <c r="CQ122" s="155">
        <f t="shared" ref="CQ122:CU122" si="188">SUM(CQ106:CQ120)</f>
        <v>0</v>
      </c>
      <c r="CR122" s="155">
        <f t="shared" si="188"/>
        <v>0</v>
      </c>
      <c r="CS122" s="155">
        <f t="shared" si="188"/>
        <v>0</v>
      </c>
      <c r="CT122" s="155">
        <f t="shared" si="188"/>
        <v>0</v>
      </c>
      <c r="CU122" s="155">
        <f t="shared" si="188"/>
        <v>0</v>
      </c>
      <c r="CV122" s="195"/>
      <c r="CW122" s="195"/>
      <c r="CX122" s="155">
        <f t="shared" ref="CX122:DB122" si="189">SUM(CX106:CX120)</f>
        <v>0</v>
      </c>
      <c r="CY122" s="155">
        <f t="shared" si="189"/>
        <v>0</v>
      </c>
      <c r="CZ122" s="155">
        <f t="shared" si="189"/>
        <v>0</v>
      </c>
      <c r="DA122" s="155">
        <f t="shared" si="189"/>
        <v>0</v>
      </c>
      <c r="DB122" s="155">
        <f t="shared" si="189"/>
        <v>0</v>
      </c>
      <c r="DC122" s="195"/>
      <c r="DD122" s="195"/>
      <c r="DE122" s="155">
        <f t="shared" ref="DE122:DI122" si="190">SUM(DE106:DE120)</f>
        <v>0</v>
      </c>
      <c r="DF122" s="155">
        <f t="shared" si="190"/>
        <v>0</v>
      </c>
      <c r="DG122" s="155">
        <f t="shared" si="190"/>
        <v>0</v>
      </c>
      <c r="DH122" s="155">
        <f t="shared" si="190"/>
        <v>0</v>
      </c>
      <c r="DI122" s="155">
        <f t="shared" si="190"/>
        <v>0</v>
      </c>
      <c r="DJ122" s="195"/>
      <c r="DK122" s="195"/>
      <c r="DL122" s="155">
        <f t="shared" ref="DL122:DP122" si="191">SUM(DL106:DL120)</f>
        <v>0</v>
      </c>
      <c r="DM122" s="155">
        <f t="shared" si="191"/>
        <v>0</v>
      </c>
      <c r="DN122" s="155">
        <f t="shared" si="191"/>
        <v>0</v>
      </c>
      <c r="DO122" s="155">
        <f t="shared" si="191"/>
        <v>0</v>
      </c>
      <c r="DP122" s="155">
        <f t="shared" si="191"/>
        <v>0</v>
      </c>
      <c r="DQ122" s="195"/>
      <c r="DR122" s="195"/>
      <c r="DS122" s="155">
        <f t="shared" ref="DS122:DW122" si="192">SUM(DS106:DS120)</f>
        <v>0</v>
      </c>
      <c r="DT122" s="155">
        <f t="shared" si="192"/>
        <v>0</v>
      </c>
      <c r="DU122" s="155">
        <f t="shared" si="192"/>
        <v>0</v>
      </c>
      <c r="DV122" s="155">
        <f t="shared" si="192"/>
        <v>0</v>
      </c>
      <c r="DW122" s="155">
        <f t="shared" si="192"/>
        <v>0</v>
      </c>
      <c r="DX122" s="195"/>
      <c r="DY122" s="195"/>
      <c r="DZ122" s="155">
        <f t="shared" ref="DZ122:ED122" si="193">SUM(DZ106:DZ120)</f>
        <v>0</v>
      </c>
      <c r="EA122" s="155">
        <f t="shared" si="193"/>
        <v>0</v>
      </c>
      <c r="EB122" s="155">
        <f t="shared" si="193"/>
        <v>0</v>
      </c>
      <c r="EC122" s="155">
        <f t="shared" si="193"/>
        <v>0</v>
      </c>
      <c r="ED122" s="155">
        <f t="shared" si="193"/>
        <v>0</v>
      </c>
      <c r="EE122" s="195"/>
      <c r="EF122" s="195"/>
      <c r="EG122" s="155">
        <f t="shared" ref="EG122:EK122" si="194">SUM(EG106:EG120)</f>
        <v>0</v>
      </c>
      <c r="EH122" s="155">
        <f t="shared" si="194"/>
        <v>0</v>
      </c>
      <c r="EI122" s="155">
        <f t="shared" si="194"/>
        <v>0</v>
      </c>
      <c r="EJ122" s="155">
        <f t="shared" si="194"/>
        <v>0</v>
      </c>
      <c r="EK122" s="155">
        <f t="shared" si="194"/>
        <v>0</v>
      </c>
      <c r="EL122" s="195"/>
      <c r="EM122" s="195"/>
      <c r="EN122" s="155">
        <f>SUM(EN106:EN120)</f>
        <v>0</v>
      </c>
      <c r="EO122" s="155">
        <f t="shared" ref="EO122:ER122" si="195">SUM(EO106:EO120)</f>
        <v>0</v>
      </c>
      <c r="EP122" s="155">
        <f t="shared" si="195"/>
        <v>0</v>
      </c>
      <c r="EQ122" s="155">
        <f t="shared" si="195"/>
        <v>0</v>
      </c>
      <c r="ER122" s="155">
        <f t="shared" si="195"/>
        <v>0</v>
      </c>
      <c r="ES122" s="195"/>
      <c r="ET122" s="195"/>
      <c r="EU122" s="155">
        <f t="shared" ref="EU122:EY122" si="196">SUM(EU106:EU120)</f>
        <v>0</v>
      </c>
      <c r="EV122" s="155">
        <f t="shared" si="196"/>
        <v>0</v>
      </c>
      <c r="EW122" s="155">
        <f t="shared" si="196"/>
        <v>0</v>
      </c>
      <c r="EX122" s="155">
        <f t="shared" si="196"/>
        <v>0</v>
      </c>
      <c r="EY122" s="155">
        <f t="shared" si="196"/>
        <v>0</v>
      </c>
      <c r="EZ122" s="195"/>
      <c r="FA122" s="195"/>
      <c r="FB122" s="155">
        <f t="shared" ref="FB122:FF122" si="197">SUM(FB106:FB120)</f>
        <v>0</v>
      </c>
      <c r="FC122" s="155">
        <f t="shared" si="197"/>
        <v>0</v>
      </c>
      <c r="FD122" s="155">
        <f t="shared" si="197"/>
        <v>0</v>
      </c>
      <c r="FE122" s="155">
        <f t="shared" si="197"/>
        <v>0</v>
      </c>
      <c r="FF122" s="155">
        <f t="shared" si="197"/>
        <v>0</v>
      </c>
      <c r="FG122" s="195"/>
      <c r="FH122" s="195"/>
      <c r="FI122" s="155">
        <f t="shared" ref="FI122:FM122" si="198">SUM(FI106:FI120)</f>
        <v>0</v>
      </c>
      <c r="FJ122" s="155">
        <f t="shared" si="198"/>
        <v>0</v>
      </c>
      <c r="FK122" s="155">
        <f t="shared" si="198"/>
        <v>0</v>
      </c>
      <c r="FL122" s="155">
        <f t="shared" si="198"/>
        <v>0</v>
      </c>
      <c r="FM122" s="155">
        <f t="shared" si="198"/>
        <v>0</v>
      </c>
      <c r="FN122" s="195"/>
      <c r="FO122" s="195"/>
      <c r="FP122" s="155">
        <f t="shared" ref="FP122:FT122" si="199">SUM(FP106:FP120)</f>
        <v>0</v>
      </c>
      <c r="FQ122" s="155">
        <f t="shared" si="199"/>
        <v>0</v>
      </c>
      <c r="FR122" s="155">
        <f t="shared" si="199"/>
        <v>0</v>
      </c>
      <c r="FS122" s="155">
        <f t="shared" si="199"/>
        <v>0</v>
      </c>
      <c r="FT122" s="155">
        <f t="shared" si="199"/>
        <v>0</v>
      </c>
      <c r="FU122" s="195"/>
      <c r="FV122" s="195"/>
      <c r="FW122" s="155">
        <f t="shared" ref="FW122:HJ122" si="200">SUM(FW106:FW120)</f>
        <v>0</v>
      </c>
      <c r="FX122" s="155">
        <f t="shared" si="200"/>
        <v>0</v>
      </c>
      <c r="FY122" s="155">
        <f t="shared" si="200"/>
        <v>0</v>
      </c>
      <c r="FZ122" s="155">
        <f t="shared" si="200"/>
        <v>0</v>
      </c>
      <c r="GA122" s="155">
        <f t="shared" si="200"/>
        <v>0</v>
      </c>
      <c r="GB122" s="155">
        <f t="shared" si="200"/>
        <v>0</v>
      </c>
      <c r="GC122" s="155">
        <f t="shared" si="200"/>
        <v>0</v>
      </c>
      <c r="GD122" s="155">
        <f t="shared" si="200"/>
        <v>0</v>
      </c>
      <c r="GE122" s="155">
        <f t="shared" si="200"/>
        <v>0</v>
      </c>
      <c r="GF122" s="155">
        <f t="shared" si="200"/>
        <v>0</v>
      </c>
      <c r="GG122" s="155">
        <f t="shared" si="200"/>
        <v>0</v>
      </c>
      <c r="GH122" s="155">
        <f t="shared" si="200"/>
        <v>0</v>
      </c>
      <c r="GI122" s="155">
        <f t="shared" si="200"/>
        <v>0</v>
      </c>
      <c r="GJ122" s="155">
        <f t="shared" si="200"/>
        <v>0</v>
      </c>
      <c r="GK122" s="155">
        <f t="shared" si="200"/>
        <v>0</v>
      </c>
      <c r="GL122" s="155">
        <f t="shared" si="200"/>
        <v>0</v>
      </c>
      <c r="GM122" s="155">
        <f t="shared" si="200"/>
        <v>0</v>
      </c>
      <c r="GN122" s="155">
        <f t="shared" si="200"/>
        <v>0</v>
      </c>
      <c r="GO122" s="155">
        <f t="shared" si="200"/>
        <v>0</v>
      </c>
      <c r="GP122" s="155">
        <f t="shared" si="200"/>
        <v>0</v>
      </c>
      <c r="GQ122" s="155">
        <f t="shared" si="200"/>
        <v>0</v>
      </c>
      <c r="GR122" s="155">
        <f t="shared" si="200"/>
        <v>0</v>
      </c>
      <c r="GS122" s="155">
        <f t="shared" si="200"/>
        <v>0</v>
      </c>
      <c r="GT122" s="155">
        <f t="shared" si="200"/>
        <v>0</v>
      </c>
      <c r="GU122" s="155">
        <f t="shared" si="200"/>
        <v>0</v>
      </c>
      <c r="GV122" s="155">
        <f t="shared" si="200"/>
        <v>0</v>
      </c>
      <c r="GW122" s="212">
        <f t="shared" si="200"/>
        <v>0</v>
      </c>
      <c r="GX122" s="212">
        <f t="shared" si="200"/>
        <v>0</v>
      </c>
      <c r="GY122" s="155">
        <f t="shared" si="200"/>
        <v>0</v>
      </c>
      <c r="GZ122" s="155">
        <f t="shared" si="200"/>
        <v>0</v>
      </c>
      <c r="HA122" s="155">
        <f t="shared" si="200"/>
        <v>0</v>
      </c>
      <c r="HB122" s="155">
        <f t="shared" si="200"/>
        <v>0</v>
      </c>
      <c r="HC122" s="155">
        <f t="shared" si="200"/>
        <v>0</v>
      </c>
      <c r="HD122" s="212">
        <f t="shared" si="200"/>
        <v>0</v>
      </c>
      <c r="HE122" s="212">
        <f t="shared" si="200"/>
        <v>0</v>
      </c>
      <c r="HF122" s="155">
        <f t="shared" si="200"/>
        <v>0</v>
      </c>
      <c r="HG122" s="155">
        <f t="shared" si="200"/>
        <v>0</v>
      </c>
      <c r="HH122" s="155">
        <f t="shared" si="200"/>
        <v>0</v>
      </c>
      <c r="HI122" s="155">
        <f t="shared" si="200"/>
        <v>0</v>
      </c>
      <c r="HJ122" s="155">
        <f t="shared" si="200"/>
        <v>0</v>
      </c>
      <c r="HK122" s="211"/>
      <c r="HL122" s="211"/>
      <c r="HM122" s="145">
        <f>SUM(HM106:HM120)</f>
        <v>0</v>
      </c>
      <c r="HN122" s="145">
        <f t="shared" ref="HN122:JY122" si="201">SUM(HN106:HN120)</f>
        <v>0</v>
      </c>
      <c r="HO122" s="145">
        <f t="shared" si="201"/>
        <v>0</v>
      </c>
      <c r="HP122" s="145">
        <f t="shared" si="201"/>
        <v>0</v>
      </c>
      <c r="HQ122" s="145">
        <f t="shared" si="201"/>
        <v>0</v>
      </c>
      <c r="HR122" s="145">
        <f t="shared" si="201"/>
        <v>0</v>
      </c>
      <c r="HS122" s="145">
        <f t="shared" si="201"/>
        <v>0</v>
      </c>
      <c r="HT122" s="145">
        <f t="shared" si="201"/>
        <v>0</v>
      </c>
      <c r="HU122" s="145">
        <f t="shared" si="201"/>
        <v>0</v>
      </c>
      <c r="HV122" s="145">
        <f t="shared" si="201"/>
        <v>0</v>
      </c>
      <c r="HW122" s="145">
        <f t="shared" si="201"/>
        <v>0</v>
      </c>
      <c r="HX122" s="145">
        <f t="shared" si="201"/>
        <v>0</v>
      </c>
      <c r="HY122" s="145">
        <f t="shared" si="201"/>
        <v>0</v>
      </c>
      <c r="HZ122" s="145">
        <f t="shared" si="201"/>
        <v>0</v>
      </c>
      <c r="IA122" s="145">
        <f t="shared" si="201"/>
        <v>0</v>
      </c>
      <c r="IB122" s="145">
        <f t="shared" si="201"/>
        <v>0</v>
      </c>
      <c r="IC122" s="145">
        <f t="shared" si="201"/>
        <v>0</v>
      </c>
      <c r="ID122" s="145">
        <f t="shared" si="201"/>
        <v>0</v>
      </c>
      <c r="IE122" s="145">
        <f t="shared" si="201"/>
        <v>0</v>
      </c>
      <c r="IF122" s="145">
        <f t="shared" si="201"/>
        <v>0</v>
      </c>
      <c r="IG122" s="145">
        <f t="shared" si="201"/>
        <v>0</v>
      </c>
      <c r="IH122" s="145">
        <f t="shared" si="201"/>
        <v>0</v>
      </c>
      <c r="II122" s="145">
        <f t="shared" si="201"/>
        <v>0</v>
      </c>
      <c r="IJ122" s="145">
        <f t="shared" si="201"/>
        <v>0</v>
      </c>
      <c r="IK122" s="145">
        <f t="shared" si="201"/>
        <v>0</v>
      </c>
      <c r="IL122" s="145">
        <f t="shared" si="201"/>
        <v>0</v>
      </c>
      <c r="IM122" s="145">
        <f t="shared" si="201"/>
        <v>0</v>
      </c>
      <c r="IN122" s="145">
        <f t="shared" si="201"/>
        <v>0</v>
      </c>
      <c r="IO122" s="145">
        <f t="shared" si="201"/>
        <v>0</v>
      </c>
      <c r="IP122" s="145">
        <f t="shared" si="201"/>
        <v>0</v>
      </c>
      <c r="IQ122" s="145">
        <f t="shared" si="201"/>
        <v>0</v>
      </c>
      <c r="IR122" s="145">
        <f t="shared" si="201"/>
        <v>0</v>
      </c>
      <c r="IS122" s="145">
        <f t="shared" si="201"/>
        <v>0</v>
      </c>
      <c r="IT122" s="145">
        <f t="shared" si="201"/>
        <v>0</v>
      </c>
      <c r="IU122" s="145">
        <f t="shared" si="201"/>
        <v>0</v>
      </c>
      <c r="IV122" s="145">
        <f t="shared" si="201"/>
        <v>0</v>
      </c>
      <c r="IW122" s="145">
        <f t="shared" si="201"/>
        <v>0</v>
      </c>
      <c r="IX122" s="145">
        <f t="shared" si="201"/>
        <v>0</v>
      </c>
      <c r="IY122" s="145">
        <f t="shared" si="201"/>
        <v>0</v>
      </c>
      <c r="IZ122" s="145">
        <f t="shared" si="201"/>
        <v>0</v>
      </c>
      <c r="JA122" s="145">
        <f t="shared" si="201"/>
        <v>0</v>
      </c>
      <c r="JB122" s="145">
        <f t="shared" si="201"/>
        <v>0</v>
      </c>
      <c r="JC122" s="145">
        <f t="shared" si="201"/>
        <v>0</v>
      </c>
      <c r="JD122" s="145">
        <f t="shared" si="201"/>
        <v>0</v>
      </c>
      <c r="JE122" s="145">
        <f t="shared" si="201"/>
        <v>0</v>
      </c>
      <c r="JF122" s="145">
        <f t="shared" si="201"/>
        <v>0</v>
      </c>
      <c r="JG122" s="145">
        <f t="shared" si="201"/>
        <v>0</v>
      </c>
      <c r="JH122" s="145">
        <f t="shared" si="201"/>
        <v>0</v>
      </c>
      <c r="JI122" s="145">
        <f t="shared" si="201"/>
        <v>0</v>
      </c>
      <c r="JJ122" s="145">
        <f t="shared" si="201"/>
        <v>0</v>
      </c>
      <c r="JK122" s="145">
        <f t="shared" si="201"/>
        <v>0</v>
      </c>
      <c r="JL122" s="145">
        <f t="shared" si="201"/>
        <v>0</v>
      </c>
      <c r="JM122" s="145">
        <f t="shared" si="201"/>
        <v>0</v>
      </c>
      <c r="JN122" s="145">
        <f t="shared" si="201"/>
        <v>0</v>
      </c>
      <c r="JO122" s="145">
        <f t="shared" si="201"/>
        <v>0</v>
      </c>
      <c r="JP122" s="145">
        <f t="shared" si="201"/>
        <v>0</v>
      </c>
      <c r="JQ122" s="145">
        <f t="shared" si="201"/>
        <v>0</v>
      </c>
      <c r="JR122" s="145">
        <f t="shared" si="201"/>
        <v>0</v>
      </c>
      <c r="JS122" s="145">
        <f t="shared" si="201"/>
        <v>0</v>
      </c>
      <c r="JT122" s="145">
        <f t="shared" si="201"/>
        <v>0</v>
      </c>
      <c r="JU122" s="145">
        <f t="shared" si="201"/>
        <v>0</v>
      </c>
      <c r="JV122" s="145">
        <f t="shared" si="201"/>
        <v>0</v>
      </c>
      <c r="JW122" s="145">
        <f t="shared" si="201"/>
        <v>0</v>
      </c>
      <c r="JX122" s="145">
        <f t="shared" si="201"/>
        <v>0</v>
      </c>
      <c r="JY122" s="145">
        <f t="shared" si="201"/>
        <v>0</v>
      </c>
      <c r="JZ122" s="145">
        <f t="shared" ref="JZ122:MK122" si="202">SUM(JZ106:JZ120)</f>
        <v>0</v>
      </c>
      <c r="KA122" s="145">
        <f t="shared" si="202"/>
        <v>0</v>
      </c>
      <c r="KB122" s="145">
        <f t="shared" si="202"/>
        <v>0</v>
      </c>
      <c r="KC122" s="145">
        <f t="shared" si="202"/>
        <v>0</v>
      </c>
      <c r="KD122" s="145">
        <f t="shared" si="202"/>
        <v>0</v>
      </c>
      <c r="KE122" s="145">
        <f t="shared" si="202"/>
        <v>0</v>
      </c>
      <c r="KF122" s="145">
        <f t="shared" si="202"/>
        <v>0</v>
      </c>
      <c r="KG122" s="145">
        <f t="shared" si="202"/>
        <v>0</v>
      </c>
      <c r="KH122" s="145">
        <f t="shared" si="202"/>
        <v>0</v>
      </c>
      <c r="KI122" s="145">
        <f t="shared" si="202"/>
        <v>0</v>
      </c>
      <c r="KJ122" s="145">
        <f t="shared" si="202"/>
        <v>0</v>
      </c>
      <c r="KK122" s="145">
        <f t="shared" si="202"/>
        <v>0</v>
      </c>
      <c r="KL122" s="145">
        <f t="shared" si="202"/>
        <v>0</v>
      </c>
      <c r="KM122" s="145">
        <f t="shared" si="202"/>
        <v>0</v>
      </c>
      <c r="KN122" s="145">
        <f t="shared" si="202"/>
        <v>0</v>
      </c>
      <c r="KO122" s="145">
        <f t="shared" si="202"/>
        <v>0</v>
      </c>
      <c r="KP122" s="145">
        <f t="shared" si="202"/>
        <v>0</v>
      </c>
      <c r="KQ122" s="145">
        <f t="shared" si="202"/>
        <v>0</v>
      </c>
      <c r="KR122" s="145">
        <f t="shared" si="202"/>
        <v>0</v>
      </c>
      <c r="KS122" s="145">
        <f t="shared" si="202"/>
        <v>0</v>
      </c>
      <c r="KT122" s="145">
        <f t="shared" si="202"/>
        <v>0</v>
      </c>
      <c r="KU122" s="145">
        <f t="shared" si="202"/>
        <v>0</v>
      </c>
      <c r="KV122" s="145">
        <f t="shared" si="202"/>
        <v>0</v>
      </c>
      <c r="KW122" s="145">
        <f t="shared" si="202"/>
        <v>0</v>
      </c>
      <c r="KX122" s="145">
        <f t="shared" si="202"/>
        <v>0</v>
      </c>
      <c r="KY122" s="145">
        <f t="shared" si="202"/>
        <v>0</v>
      </c>
      <c r="KZ122" s="195">
        <f t="shared" si="202"/>
        <v>0</v>
      </c>
      <c r="LA122" s="195">
        <f t="shared" si="202"/>
        <v>0</v>
      </c>
      <c r="LB122" s="195">
        <f t="shared" si="202"/>
        <v>0</v>
      </c>
      <c r="LC122" s="195">
        <f t="shared" si="202"/>
        <v>0</v>
      </c>
      <c r="LD122" s="195">
        <f t="shared" si="202"/>
        <v>0</v>
      </c>
      <c r="LE122" s="145">
        <f t="shared" si="202"/>
        <v>0</v>
      </c>
      <c r="LF122" s="145">
        <f t="shared" si="202"/>
        <v>0</v>
      </c>
      <c r="LG122" s="211">
        <f t="shared" si="202"/>
        <v>0</v>
      </c>
      <c r="LH122" s="211">
        <f t="shared" si="202"/>
        <v>0</v>
      </c>
      <c r="LI122" s="211">
        <f t="shared" si="202"/>
        <v>0</v>
      </c>
      <c r="LJ122" s="211">
        <f t="shared" si="202"/>
        <v>0</v>
      </c>
      <c r="LK122" s="211">
        <f t="shared" si="202"/>
        <v>0</v>
      </c>
      <c r="LL122" s="211">
        <f t="shared" si="202"/>
        <v>0</v>
      </c>
      <c r="LM122" s="211">
        <f t="shared" si="202"/>
        <v>0</v>
      </c>
      <c r="LN122" s="145">
        <f t="shared" si="202"/>
        <v>0</v>
      </c>
      <c r="LO122" s="145">
        <f t="shared" si="202"/>
        <v>0</v>
      </c>
      <c r="LP122" s="145">
        <f t="shared" si="202"/>
        <v>0</v>
      </c>
      <c r="LQ122" s="145">
        <f t="shared" si="202"/>
        <v>0</v>
      </c>
      <c r="LR122" s="145">
        <f t="shared" si="202"/>
        <v>0</v>
      </c>
      <c r="LS122" s="211">
        <f t="shared" si="202"/>
        <v>0</v>
      </c>
      <c r="LT122" s="211">
        <f t="shared" si="202"/>
        <v>0</v>
      </c>
      <c r="LU122" s="145">
        <f t="shared" si="202"/>
        <v>0</v>
      </c>
      <c r="LV122" s="145">
        <f t="shared" si="202"/>
        <v>0</v>
      </c>
      <c r="LW122" s="145">
        <f t="shared" si="202"/>
        <v>0</v>
      </c>
      <c r="LX122" s="145">
        <f t="shared" si="202"/>
        <v>0</v>
      </c>
      <c r="LY122" s="145">
        <f t="shared" si="202"/>
        <v>0</v>
      </c>
      <c r="LZ122" s="145">
        <f t="shared" si="202"/>
        <v>0</v>
      </c>
      <c r="MA122" s="145">
        <f t="shared" si="202"/>
        <v>0</v>
      </c>
      <c r="MB122" s="145">
        <f t="shared" si="202"/>
        <v>0</v>
      </c>
      <c r="MC122" s="145">
        <f t="shared" si="202"/>
        <v>0</v>
      </c>
      <c r="MD122" s="145">
        <f t="shared" si="202"/>
        <v>0</v>
      </c>
      <c r="ME122" s="145">
        <f t="shared" si="202"/>
        <v>0</v>
      </c>
      <c r="MF122" s="145">
        <f t="shared" si="202"/>
        <v>0</v>
      </c>
      <c r="MG122" s="145">
        <f t="shared" si="202"/>
        <v>0</v>
      </c>
      <c r="MH122" s="145">
        <f t="shared" si="202"/>
        <v>0</v>
      </c>
      <c r="MI122" s="145">
        <f t="shared" si="202"/>
        <v>0</v>
      </c>
      <c r="MJ122" s="145">
        <f t="shared" si="202"/>
        <v>0</v>
      </c>
      <c r="MK122" s="145">
        <f t="shared" si="202"/>
        <v>0</v>
      </c>
      <c r="ML122" s="145">
        <f t="shared" ref="ML122:NA122" si="203">SUM(ML106:ML120)</f>
        <v>0</v>
      </c>
      <c r="MM122" s="145">
        <f t="shared" si="203"/>
        <v>0</v>
      </c>
      <c r="MN122" s="145">
        <f t="shared" si="203"/>
        <v>0</v>
      </c>
      <c r="MO122" s="145">
        <f t="shared" si="203"/>
        <v>0</v>
      </c>
      <c r="MP122" s="145">
        <f t="shared" si="203"/>
        <v>0</v>
      </c>
      <c r="MQ122" s="145">
        <f t="shared" si="203"/>
        <v>0</v>
      </c>
      <c r="MR122" s="145">
        <f t="shared" si="203"/>
        <v>0</v>
      </c>
      <c r="MS122" s="145">
        <f t="shared" si="203"/>
        <v>0</v>
      </c>
      <c r="MT122" s="145">
        <f t="shared" si="203"/>
        <v>0</v>
      </c>
      <c r="MU122" s="145">
        <f t="shared" si="203"/>
        <v>0</v>
      </c>
      <c r="MV122" s="145">
        <f t="shared" si="203"/>
        <v>0</v>
      </c>
      <c r="MW122" s="145">
        <f t="shared" si="203"/>
        <v>0</v>
      </c>
      <c r="MX122" s="145">
        <f t="shared" si="203"/>
        <v>0</v>
      </c>
      <c r="MY122" s="145">
        <f t="shared" si="203"/>
        <v>0</v>
      </c>
      <c r="MZ122" s="145">
        <f t="shared" si="203"/>
        <v>0</v>
      </c>
      <c r="NA122" s="145">
        <f t="shared" si="203"/>
        <v>0</v>
      </c>
    </row>
    <row r="123" spans="1:368" s="124" customFormat="1" ht="15" customHeight="1">
      <c r="A123" s="469">
        <v>0.66666666666666696</v>
      </c>
      <c r="B123" s="460" t="s">
        <v>7</v>
      </c>
      <c r="C123" s="163" t="s">
        <v>10</v>
      </c>
      <c r="D123" s="265"/>
      <c r="E123" s="266"/>
      <c r="F123" s="266"/>
      <c r="G123" s="266"/>
      <c r="H123" s="267"/>
      <c r="I123" s="194"/>
      <c r="J123" s="194"/>
      <c r="K123" s="265"/>
      <c r="L123" s="266"/>
      <c r="M123" s="266"/>
      <c r="N123" s="266"/>
      <c r="O123" s="267"/>
      <c r="P123" s="194"/>
      <c r="Q123" s="194"/>
      <c r="R123" s="265"/>
      <c r="S123" s="266"/>
      <c r="T123" s="266"/>
      <c r="U123" s="266"/>
      <c r="V123" s="267"/>
      <c r="W123" s="194"/>
      <c r="X123" s="194"/>
      <c r="Y123" s="265"/>
      <c r="Z123" s="266"/>
      <c r="AA123" s="266"/>
      <c r="AB123" s="266"/>
      <c r="AC123" s="267"/>
      <c r="AD123" s="194"/>
      <c r="AE123" s="194"/>
      <c r="AF123" s="265"/>
      <c r="AG123" s="266"/>
      <c r="AH123" s="266"/>
      <c r="AI123" s="266"/>
      <c r="AJ123" s="267"/>
      <c r="AK123" s="194"/>
      <c r="AL123" s="194"/>
      <c r="AM123" s="265"/>
      <c r="AN123" s="266"/>
      <c r="AO123" s="266"/>
      <c r="AP123" s="266"/>
      <c r="AQ123" s="267"/>
      <c r="AR123" s="194"/>
      <c r="AS123" s="194"/>
      <c r="AT123" s="265"/>
      <c r="AU123" s="266"/>
      <c r="AV123" s="266"/>
      <c r="AW123" s="266"/>
      <c r="AX123" s="267"/>
      <c r="AY123" s="194"/>
      <c r="AZ123" s="194"/>
      <c r="BA123" s="265"/>
      <c r="BB123" s="266"/>
      <c r="BC123" s="266"/>
      <c r="BD123" s="266"/>
      <c r="BE123" s="267"/>
      <c r="BF123" s="194"/>
      <c r="BG123" s="194"/>
      <c r="BH123" s="265"/>
      <c r="BI123" s="266"/>
      <c r="BJ123" s="266"/>
      <c r="BK123" s="266"/>
      <c r="BL123" s="267"/>
      <c r="BM123" s="194"/>
      <c r="BN123" s="194"/>
      <c r="BO123" s="265"/>
      <c r="BP123" s="266"/>
      <c r="BQ123" s="266"/>
      <c r="BR123" s="266"/>
      <c r="BS123" s="267"/>
      <c r="BT123" s="194"/>
      <c r="BU123" s="194"/>
      <c r="BV123" s="265"/>
      <c r="BW123" s="266"/>
      <c r="BX123" s="266"/>
      <c r="BY123" s="266"/>
      <c r="BZ123" s="267"/>
      <c r="CA123" s="194"/>
      <c r="CB123" s="194"/>
      <c r="CC123" s="265"/>
      <c r="CD123" s="266"/>
      <c r="CE123" s="266"/>
      <c r="CF123" s="266"/>
      <c r="CG123" s="267"/>
      <c r="CH123" s="194"/>
      <c r="CI123" s="194"/>
      <c r="CJ123" s="265"/>
      <c r="CK123" s="266"/>
      <c r="CL123" s="266"/>
      <c r="CM123" s="266"/>
      <c r="CN123" s="267"/>
      <c r="CO123" s="194"/>
      <c r="CP123" s="194"/>
      <c r="CQ123" s="265"/>
      <c r="CR123" s="266"/>
      <c r="CS123" s="266"/>
      <c r="CT123" s="266"/>
      <c r="CU123" s="267"/>
      <c r="CV123" s="194"/>
      <c r="CW123" s="194"/>
      <c r="CX123" s="265"/>
      <c r="CY123" s="266"/>
      <c r="CZ123" s="266"/>
      <c r="DA123" s="266"/>
      <c r="DB123" s="267"/>
      <c r="DC123" s="194"/>
      <c r="DD123" s="194"/>
      <c r="DE123" s="265"/>
      <c r="DF123" s="266"/>
      <c r="DG123" s="266"/>
      <c r="DH123" s="266"/>
      <c r="DI123" s="267"/>
      <c r="DJ123" s="194"/>
      <c r="DK123" s="194"/>
      <c r="DL123" s="265"/>
      <c r="DM123" s="266"/>
      <c r="DN123" s="266"/>
      <c r="DO123" s="266"/>
      <c r="DP123" s="267"/>
      <c r="DQ123" s="194"/>
      <c r="DR123" s="194"/>
      <c r="DS123" s="265"/>
      <c r="DT123" s="266"/>
      <c r="DU123" s="266"/>
      <c r="DV123" s="266"/>
      <c r="DW123" s="267"/>
      <c r="DX123" s="194"/>
      <c r="DY123" s="194"/>
      <c r="DZ123" s="265"/>
      <c r="EA123" s="266"/>
      <c r="EB123" s="266"/>
      <c r="EC123" s="266"/>
      <c r="ED123" s="267"/>
      <c r="EE123" s="194"/>
      <c r="EF123" s="194"/>
      <c r="EG123" s="265"/>
      <c r="EH123" s="266"/>
      <c r="EI123" s="266"/>
      <c r="EJ123" s="266"/>
      <c r="EK123" s="267"/>
      <c r="EL123" s="194"/>
      <c r="EM123" s="194"/>
      <c r="EN123" s="265"/>
      <c r="EO123" s="266"/>
      <c r="EP123" s="266"/>
      <c r="EQ123" s="266"/>
      <c r="ER123" s="267"/>
      <c r="ES123" s="194"/>
      <c r="ET123" s="194"/>
      <c r="EU123" s="265"/>
      <c r="EV123" s="266"/>
      <c r="EW123" s="266"/>
      <c r="EX123" s="266"/>
      <c r="EY123" s="267"/>
      <c r="EZ123" s="194"/>
      <c r="FA123" s="194"/>
      <c r="FB123" s="265"/>
      <c r="FC123" s="266"/>
      <c r="FD123" s="266"/>
      <c r="FE123" s="266"/>
      <c r="FF123" s="267"/>
      <c r="FG123" s="194"/>
      <c r="FH123" s="194"/>
      <c r="FI123" s="265"/>
      <c r="FJ123" s="266"/>
      <c r="FK123" s="266"/>
      <c r="FL123" s="266"/>
      <c r="FM123" s="267"/>
      <c r="FN123" s="194"/>
      <c r="FO123" s="194"/>
      <c r="FP123" s="265"/>
      <c r="FQ123" s="266"/>
      <c r="FR123" s="266"/>
      <c r="FS123" s="266"/>
      <c r="FT123" s="267"/>
      <c r="FU123" s="194"/>
      <c r="FV123" s="194"/>
      <c r="FW123" s="265"/>
      <c r="FX123" s="266"/>
      <c r="FY123" s="266"/>
      <c r="FZ123" s="266"/>
      <c r="GA123" s="267"/>
      <c r="GB123" s="194"/>
      <c r="GC123" s="194"/>
      <c r="GD123" s="143"/>
      <c r="GE123" s="143"/>
      <c r="GF123" s="143"/>
      <c r="GG123" s="143"/>
      <c r="GH123" s="143"/>
      <c r="GI123" s="194"/>
      <c r="GJ123" s="194"/>
      <c r="GK123" s="143"/>
      <c r="GL123" s="143"/>
      <c r="GM123" s="143"/>
      <c r="GN123" s="143"/>
      <c r="GO123" s="143"/>
      <c r="GP123" s="210"/>
      <c r="GQ123" s="210"/>
      <c r="GR123" s="143"/>
      <c r="GS123" s="143"/>
      <c r="GT123" s="143"/>
      <c r="GU123" s="143"/>
      <c r="GV123" s="143"/>
      <c r="GW123" s="210"/>
      <c r="GX123" s="210"/>
      <c r="GY123" s="143"/>
      <c r="GZ123" s="143"/>
      <c r="HA123" s="143"/>
      <c r="HB123" s="143"/>
      <c r="HC123" s="143"/>
      <c r="HD123" s="210"/>
      <c r="HE123" s="210"/>
      <c r="HF123" s="143"/>
      <c r="HG123" s="143"/>
      <c r="HH123" s="143"/>
      <c r="HI123" s="143"/>
      <c r="HJ123" s="143"/>
      <c r="HK123" s="210"/>
      <c r="HL123" s="210"/>
      <c r="HM123" s="143"/>
      <c r="HN123" s="143"/>
      <c r="HO123" s="143"/>
      <c r="HP123" s="143"/>
      <c r="HQ123" s="143"/>
      <c r="HR123" s="143"/>
      <c r="HS123" s="143"/>
      <c r="HT123" s="143"/>
      <c r="HU123" s="143"/>
      <c r="HV123" s="143"/>
      <c r="HW123" s="143"/>
      <c r="HX123" s="143"/>
      <c r="HY123" s="203"/>
      <c r="HZ123" s="203"/>
      <c r="IA123" s="143"/>
      <c r="IB123" s="143"/>
      <c r="IC123" s="143"/>
      <c r="ID123" s="143"/>
      <c r="IE123" s="143"/>
      <c r="IF123" s="203"/>
      <c r="IG123" s="203"/>
      <c r="IH123" s="143"/>
      <c r="II123" s="143"/>
      <c r="IJ123" s="143"/>
      <c r="IK123" s="143"/>
      <c r="IL123" s="143"/>
      <c r="IM123" s="203"/>
      <c r="IN123" s="203"/>
      <c r="IO123" s="143"/>
      <c r="IP123" s="143"/>
      <c r="IQ123" s="227"/>
      <c r="IR123" s="227"/>
      <c r="IS123" s="227"/>
      <c r="IT123" s="203"/>
      <c r="IU123" s="203"/>
      <c r="IV123" s="143"/>
      <c r="IW123" s="143"/>
      <c r="IX123" s="143"/>
      <c r="IY123" s="143"/>
      <c r="IZ123" s="143"/>
      <c r="JA123" s="203"/>
      <c r="JB123" s="203"/>
      <c r="JC123" s="227"/>
      <c r="JD123" s="227"/>
      <c r="JE123" s="143"/>
      <c r="JF123" s="143"/>
      <c r="JG123" s="143"/>
      <c r="JH123" s="203"/>
      <c r="JI123" s="203"/>
      <c r="JJ123" s="143"/>
      <c r="JK123" s="143"/>
      <c r="JL123" s="143"/>
      <c r="JM123" s="143"/>
      <c r="JN123" s="143"/>
      <c r="JO123" s="203"/>
      <c r="JP123" s="203"/>
      <c r="JQ123" s="143"/>
      <c r="JR123" s="143"/>
      <c r="JS123" s="143"/>
      <c r="JT123" s="143"/>
      <c r="JU123" s="143"/>
      <c r="JV123" s="203"/>
      <c r="JW123" s="203"/>
      <c r="JX123" s="143"/>
      <c r="JY123" s="143"/>
      <c r="JZ123" s="143"/>
      <c r="KA123" s="143"/>
      <c r="KB123" s="143"/>
      <c r="KC123" s="203"/>
      <c r="KD123" s="203"/>
      <c r="KE123" s="143"/>
      <c r="KF123" s="143"/>
      <c r="KG123" s="143"/>
      <c r="KH123" s="143"/>
      <c r="KI123" s="143"/>
      <c r="KJ123" s="194"/>
      <c r="KK123" s="194"/>
      <c r="KL123" s="143"/>
      <c r="KM123" s="143"/>
      <c r="KN123" s="143"/>
      <c r="KO123" s="143"/>
      <c r="KP123" s="227"/>
      <c r="KQ123" s="194"/>
      <c r="KR123" s="194"/>
      <c r="KS123" s="143"/>
      <c r="KT123" s="143"/>
      <c r="KU123" s="143"/>
      <c r="KV123" s="143"/>
      <c r="KW123" s="143"/>
      <c r="KX123" s="210"/>
      <c r="KY123" s="210"/>
      <c r="KZ123" s="194"/>
      <c r="LA123" s="194"/>
      <c r="LB123" s="194"/>
      <c r="LC123" s="194"/>
      <c r="LD123" s="194"/>
      <c r="LE123" s="210"/>
      <c r="LF123" s="210"/>
      <c r="LG123" s="227"/>
      <c r="LH123" s="227"/>
      <c r="LI123" s="227"/>
      <c r="LJ123" s="227"/>
      <c r="LK123" s="227"/>
      <c r="LL123" s="227"/>
      <c r="LM123" s="210"/>
      <c r="LN123" s="143"/>
      <c r="LO123" s="227"/>
      <c r="LP123" s="227"/>
      <c r="LQ123" s="227"/>
      <c r="LR123" s="227"/>
      <c r="LS123" s="210"/>
      <c r="LT123" s="210"/>
      <c r="LU123" s="227"/>
      <c r="LV123" s="143"/>
      <c r="LW123" s="143"/>
      <c r="LX123" s="143"/>
      <c r="LY123" s="143"/>
      <c r="LZ123" s="203"/>
      <c r="MA123" s="203"/>
      <c r="MB123" s="143"/>
      <c r="MC123" s="143"/>
      <c r="MD123" s="143"/>
      <c r="ME123" s="143"/>
      <c r="MF123" s="143"/>
      <c r="MG123" s="203"/>
      <c r="MH123" s="203"/>
      <c r="MI123" s="143"/>
      <c r="MJ123" s="143"/>
      <c r="MK123" s="143"/>
      <c r="ML123" s="143"/>
      <c r="MM123" s="143"/>
      <c r="MN123" s="203"/>
      <c r="MO123" s="203"/>
      <c r="MP123" s="143"/>
      <c r="MQ123" s="143"/>
      <c r="MR123" s="143"/>
      <c r="MS123" s="143"/>
      <c r="MT123" s="143"/>
      <c r="MU123" s="203"/>
      <c r="MV123" s="203"/>
      <c r="MW123" s="143"/>
      <c r="MX123" s="143"/>
      <c r="MY123" s="143"/>
      <c r="MZ123" s="143"/>
      <c r="NA123" s="143"/>
      <c r="NB123" s="143"/>
      <c r="NC123" s="143"/>
      <c r="ND123" s="143"/>
    </row>
    <row r="124" spans="1:368" s="124" customFormat="1" ht="15" customHeight="1">
      <c r="A124" s="470"/>
      <c r="B124" s="461"/>
      <c r="C124" s="164" t="s">
        <v>11</v>
      </c>
      <c r="D124" s="268"/>
      <c r="E124" s="143"/>
      <c r="F124" s="143"/>
      <c r="G124" s="143"/>
      <c r="H124" s="269"/>
      <c r="I124" s="194"/>
      <c r="J124" s="194"/>
      <c r="K124" s="268"/>
      <c r="L124" s="143"/>
      <c r="M124" s="143"/>
      <c r="N124" s="143"/>
      <c r="O124" s="269"/>
      <c r="P124" s="194"/>
      <c r="Q124" s="194"/>
      <c r="R124" s="268"/>
      <c r="S124" s="143"/>
      <c r="T124" s="143"/>
      <c r="U124" s="143"/>
      <c r="V124" s="269"/>
      <c r="W124" s="194"/>
      <c r="X124" s="194"/>
      <c r="Y124" s="268"/>
      <c r="Z124" s="143"/>
      <c r="AA124" s="143"/>
      <c r="AB124" s="143"/>
      <c r="AC124" s="269"/>
      <c r="AD124" s="194"/>
      <c r="AE124" s="194"/>
      <c r="AF124" s="268"/>
      <c r="AG124" s="143"/>
      <c r="AH124" s="143"/>
      <c r="AI124" s="143"/>
      <c r="AJ124" s="269"/>
      <c r="AK124" s="194"/>
      <c r="AL124" s="194"/>
      <c r="AM124" s="268"/>
      <c r="AN124" s="143"/>
      <c r="AO124" s="143"/>
      <c r="AP124" s="143"/>
      <c r="AQ124" s="269"/>
      <c r="AR124" s="194"/>
      <c r="AS124" s="194"/>
      <c r="AT124" s="268"/>
      <c r="AU124" s="143"/>
      <c r="AV124" s="143"/>
      <c r="AW124" s="143"/>
      <c r="AX124" s="269"/>
      <c r="AY124" s="194"/>
      <c r="AZ124" s="194"/>
      <c r="BA124" s="268"/>
      <c r="BB124" s="143"/>
      <c r="BC124" s="143"/>
      <c r="BD124" s="143"/>
      <c r="BE124" s="269"/>
      <c r="BF124" s="194"/>
      <c r="BG124" s="194"/>
      <c r="BH124" s="268"/>
      <c r="BI124" s="143"/>
      <c r="BJ124" s="143"/>
      <c r="BK124" s="143"/>
      <c r="BL124" s="269"/>
      <c r="BM124" s="194"/>
      <c r="BN124" s="194"/>
      <c r="BO124" s="268"/>
      <c r="BP124" s="143"/>
      <c r="BQ124" s="143"/>
      <c r="BR124" s="143"/>
      <c r="BS124" s="269"/>
      <c r="BT124" s="194"/>
      <c r="BU124" s="194"/>
      <c r="BV124" s="268"/>
      <c r="BW124" s="143"/>
      <c r="BX124" s="143"/>
      <c r="BY124" s="143"/>
      <c r="BZ124" s="269"/>
      <c r="CA124" s="194"/>
      <c r="CB124" s="194"/>
      <c r="CC124" s="268"/>
      <c r="CD124" s="143"/>
      <c r="CE124" s="143"/>
      <c r="CF124" s="143"/>
      <c r="CG124" s="269"/>
      <c r="CH124" s="194"/>
      <c r="CI124" s="194"/>
      <c r="CJ124" s="268"/>
      <c r="CK124" s="143"/>
      <c r="CL124" s="143"/>
      <c r="CM124" s="143"/>
      <c r="CN124" s="269"/>
      <c r="CO124" s="194"/>
      <c r="CP124" s="194"/>
      <c r="CQ124" s="268"/>
      <c r="CR124" s="143"/>
      <c r="CS124" s="143"/>
      <c r="CT124" s="143"/>
      <c r="CU124" s="269"/>
      <c r="CV124" s="194"/>
      <c r="CW124" s="194"/>
      <c r="CX124" s="268"/>
      <c r="CY124" s="143"/>
      <c r="CZ124" s="143"/>
      <c r="DA124" s="143"/>
      <c r="DB124" s="269"/>
      <c r="DC124" s="194"/>
      <c r="DD124" s="194"/>
      <c r="DE124" s="268"/>
      <c r="DF124" s="143"/>
      <c r="DG124" s="143"/>
      <c r="DH124" s="143"/>
      <c r="DI124" s="269"/>
      <c r="DJ124" s="194"/>
      <c r="DK124" s="194"/>
      <c r="DL124" s="268"/>
      <c r="DM124" s="143"/>
      <c r="DN124" s="143"/>
      <c r="DO124" s="143"/>
      <c r="DP124" s="269"/>
      <c r="DQ124" s="194"/>
      <c r="DR124" s="194"/>
      <c r="DS124" s="268"/>
      <c r="DT124" s="143"/>
      <c r="DU124" s="143"/>
      <c r="DV124" s="143"/>
      <c r="DW124" s="269"/>
      <c r="DX124" s="194"/>
      <c r="DY124" s="194"/>
      <c r="DZ124" s="268"/>
      <c r="EA124" s="143"/>
      <c r="EB124" s="143"/>
      <c r="EC124" s="143"/>
      <c r="ED124" s="269"/>
      <c r="EE124" s="194"/>
      <c r="EF124" s="194"/>
      <c r="EG124" s="268"/>
      <c r="EH124" s="143"/>
      <c r="EI124" s="143"/>
      <c r="EJ124" s="143"/>
      <c r="EK124" s="269"/>
      <c r="EL124" s="194"/>
      <c r="EM124" s="194"/>
      <c r="EN124" s="268"/>
      <c r="EO124" s="143"/>
      <c r="EP124" s="143"/>
      <c r="EQ124" s="143"/>
      <c r="ER124" s="269"/>
      <c r="ES124" s="194"/>
      <c r="ET124" s="194"/>
      <c r="EU124" s="268"/>
      <c r="EV124" s="143"/>
      <c r="EW124" s="143"/>
      <c r="EX124" s="143"/>
      <c r="EY124" s="269"/>
      <c r="EZ124" s="194"/>
      <c r="FA124" s="194"/>
      <c r="FB124" s="268"/>
      <c r="FC124" s="143"/>
      <c r="FD124" s="143"/>
      <c r="FE124" s="143"/>
      <c r="FF124" s="269"/>
      <c r="FG124" s="194"/>
      <c r="FH124" s="194"/>
      <c r="FI124" s="268"/>
      <c r="FJ124" s="143"/>
      <c r="FK124" s="143"/>
      <c r="FL124" s="143"/>
      <c r="FM124" s="269"/>
      <c r="FN124" s="194"/>
      <c r="FO124" s="194"/>
      <c r="FP124" s="268"/>
      <c r="FQ124" s="143"/>
      <c r="FR124" s="143"/>
      <c r="FS124" s="143"/>
      <c r="FT124" s="269"/>
      <c r="FU124" s="194"/>
      <c r="FV124" s="194"/>
      <c r="FW124" s="268"/>
      <c r="FX124" s="143"/>
      <c r="FY124" s="143"/>
      <c r="FZ124" s="143"/>
      <c r="GA124" s="269"/>
      <c r="GB124" s="194"/>
      <c r="GC124" s="194"/>
      <c r="GD124" s="143"/>
      <c r="GE124" s="143"/>
      <c r="GF124" s="143"/>
      <c r="GG124" s="143"/>
      <c r="GH124" s="143"/>
      <c r="GI124" s="194"/>
      <c r="GJ124" s="194"/>
      <c r="GK124" s="143"/>
      <c r="GL124" s="143"/>
      <c r="GM124" s="143"/>
      <c r="GN124" s="143"/>
      <c r="GO124" s="143"/>
      <c r="GP124" s="210"/>
      <c r="GQ124" s="210"/>
      <c r="GR124" s="143"/>
      <c r="GS124" s="143"/>
      <c r="GT124" s="143"/>
      <c r="GU124" s="143"/>
      <c r="GV124" s="143"/>
      <c r="GW124" s="210"/>
      <c r="GX124" s="210"/>
      <c r="GY124" s="143"/>
      <c r="GZ124" s="143"/>
      <c r="HA124" s="143"/>
      <c r="HB124" s="143"/>
      <c r="HC124" s="143"/>
      <c r="HD124" s="210"/>
      <c r="HE124" s="210"/>
      <c r="HF124" s="143"/>
      <c r="HG124" s="143"/>
      <c r="HH124" s="143"/>
      <c r="HI124" s="143"/>
      <c r="HJ124" s="143"/>
      <c r="HK124" s="210"/>
      <c r="HL124" s="210"/>
      <c r="HM124" s="143"/>
      <c r="HN124" s="143"/>
      <c r="HO124" s="143"/>
      <c r="HP124" s="143"/>
      <c r="HQ124" s="143"/>
      <c r="HR124" s="143"/>
      <c r="HS124" s="143"/>
      <c r="HT124" s="143"/>
      <c r="HU124" s="143"/>
      <c r="HV124" s="143"/>
      <c r="HW124" s="143"/>
      <c r="HX124" s="143"/>
      <c r="HY124" s="203"/>
      <c r="HZ124" s="203"/>
      <c r="IA124" s="143"/>
      <c r="IB124" s="143"/>
      <c r="IC124" s="143"/>
      <c r="ID124" s="143"/>
      <c r="IE124" s="143"/>
      <c r="IF124" s="203"/>
      <c r="IG124" s="203"/>
      <c r="IH124" s="206"/>
      <c r="II124" s="206"/>
      <c r="IJ124" s="206"/>
      <c r="IK124" s="206"/>
      <c r="IL124" s="143"/>
      <c r="IM124" s="203"/>
      <c r="IN124" s="203"/>
      <c r="IO124" s="143"/>
      <c r="IP124" s="143"/>
      <c r="IQ124" s="227"/>
      <c r="IR124" s="227"/>
      <c r="IS124" s="227"/>
      <c r="IT124" s="203"/>
      <c r="IU124" s="203"/>
      <c r="IV124" s="143"/>
      <c r="IW124" s="143"/>
      <c r="IX124" s="143"/>
      <c r="IY124" s="143"/>
      <c r="IZ124" s="143"/>
      <c r="JA124" s="203"/>
      <c r="JB124" s="203"/>
      <c r="JC124" s="227"/>
      <c r="JD124" s="227"/>
      <c r="JE124" s="143"/>
      <c r="JF124" s="143"/>
      <c r="JG124" s="143"/>
      <c r="JH124" s="203"/>
      <c r="JI124" s="203"/>
      <c r="JJ124" s="143"/>
      <c r="JK124" s="143"/>
      <c r="JL124" s="143"/>
      <c r="JM124" s="143"/>
      <c r="JN124" s="143"/>
      <c r="JO124" s="203"/>
      <c r="JP124" s="203"/>
      <c r="JQ124" s="143"/>
      <c r="JR124" s="143"/>
      <c r="JS124" s="143"/>
      <c r="JT124" s="143"/>
      <c r="JU124" s="143"/>
      <c r="JV124" s="203"/>
      <c r="JW124" s="203"/>
      <c r="JX124" s="143"/>
      <c r="JY124" s="143"/>
      <c r="JZ124" s="143"/>
      <c r="KA124" s="143"/>
      <c r="KB124" s="143"/>
      <c r="KC124" s="203"/>
      <c r="KD124" s="203"/>
      <c r="KE124" s="143"/>
      <c r="KF124" s="143"/>
      <c r="KG124" s="143"/>
      <c r="KH124" s="143"/>
      <c r="KI124" s="143"/>
      <c r="KJ124" s="194"/>
      <c r="KK124" s="194"/>
      <c r="KL124" s="143"/>
      <c r="KM124" s="143"/>
      <c r="KN124" s="143"/>
      <c r="KO124" s="143"/>
      <c r="KP124" s="227"/>
      <c r="KQ124" s="194"/>
      <c r="KR124" s="194"/>
      <c r="KS124" s="143"/>
      <c r="KT124" s="143"/>
      <c r="KU124" s="143"/>
      <c r="KV124" s="143"/>
      <c r="KW124" s="143"/>
      <c r="KX124" s="210"/>
      <c r="KY124" s="210"/>
      <c r="KZ124" s="194"/>
      <c r="LA124" s="194"/>
      <c r="LB124" s="194"/>
      <c r="LC124" s="194"/>
      <c r="LD124" s="194"/>
      <c r="LE124" s="210"/>
      <c r="LF124" s="210"/>
      <c r="LG124" s="227"/>
      <c r="LH124" s="227"/>
      <c r="LI124" s="227"/>
      <c r="LJ124" s="227"/>
      <c r="LK124" s="227"/>
      <c r="LL124" s="227"/>
      <c r="LM124" s="210"/>
      <c r="LN124" s="143"/>
      <c r="LO124" s="227"/>
      <c r="LP124" s="227"/>
      <c r="LQ124" s="227"/>
      <c r="LR124" s="227"/>
      <c r="LS124" s="210"/>
      <c r="LT124" s="210"/>
      <c r="LU124" s="227"/>
      <c r="LV124" s="143"/>
      <c r="LW124" s="143"/>
      <c r="LX124" s="143"/>
      <c r="LY124" s="143"/>
      <c r="LZ124" s="203"/>
      <c r="MA124" s="203"/>
      <c r="MB124" s="143"/>
      <c r="MC124" s="143"/>
      <c r="MD124" s="143"/>
      <c r="ME124" s="143"/>
      <c r="MF124" s="143"/>
      <c r="MG124" s="203"/>
      <c r="MH124" s="203"/>
      <c r="MI124" s="143"/>
      <c r="MJ124" s="143"/>
      <c r="MK124" s="143"/>
      <c r="ML124" s="143"/>
      <c r="MM124" s="143"/>
      <c r="MN124" s="203"/>
      <c r="MO124" s="203"/>
      <c r="MP124" s="143"/>
      <c r="MQ124" s="143"/>
      <c r="MR124" s="143"/>
      <c r="MS124" s="143"/>
      <c r="MT124" s="143"/>
      <c r="MU124" s="203"/>
      <c r="MV124" s="203"/>
      <c r="MW124" s="143"/>
      <c r="MX124" s="143"/>
      <c r="MY124" s="143"/>
      <c r="MZ124" s="143"/>
      <c r="NA124" s="143"/>
      <c r="NB124" s="143"/>
      <c r="NC124" s="143"/>
      <c r="ND124" s="143"/>
    </row>
    <row r="125" spans="1:368" s="124" customFormat="1" ht="15" customHeight="1">
      <c r="A125" s="470"/>
      <c r="B125" s="461"/>
      <c r="C125" s="164" t="s">
        <v>12</v>
      </c>
      <c r="D125" s="268"/>
      <c r="E125" s="143"/>
      <c r="F125" s="143"/>
      <c r="G125" s="143"/>
      <c r="H125" s="269"/>
      <c r="I125" s="194"/>
      <c r="J125" s="194"/>
      <c r="K125" s="268"/>
      <c r="L125" s="143"/>
      <c r="M125" s="143"/>
      <c r="N125" s="143"/>
      <c r="O125" s="269"/>
      <c r="P125" s="194"/>
      <c r="Q125" s="194"/>
      <c r="R125" s="268"/>
      <c r="S125" s="143"/>
      <c r="T125" s="143"/>
      <c r="U125" s="143"/>
      <c r="V125" s="269"/>
      <c r="W125" s="194"/>
      <c r="X125" s="194"/>
      <c r="Y125" s="268"/>
      <c r="Z125" s="143"/>
      <c r="AA125" s="143"/>
      <c r="AB125" s="143"/>
      <c r="AC125" s="269"/>
      <c r="AD125" s="194"/>
      <c r="AE125" s="194"/>
      <c r="AF125" s="268"/>
      <c r="AG125" s="143"/>
      <c r="AH125" s="143"/>
      <c r="AI125" s="143"/>
      <c r="AJ125" s="269"/>
      <c r="AK125" s="194"/>
      <c r="AL125" s="194"/>
      <c r="AM125" s="268"/>
      <c r="AN125" s="143"/>
      <c r="AO125" s="143"/>
      <c r="AP125" s="143"/>
      <c r="AQ125" s="269"/>
      <c r="AR125" s="194"/>
      <c r="AS125" s="194"/>
      <c r="AT125" s="268"/>
      <c r="AU125" s="143"/>
      <c r="AV125" s="143"/>
      <c r="AW125" s="143"/>
      <c r="AX125" s="269"/>
      <c r="AY125" s="194"/>
      <c r="AZ125" s="194"/>
      <c r="BA125" s="268"/>
      <c r="BB125" s="143"/>
      <c r="BC125" s="143"/>
      <c r="BD125" s="143"/>
      <c r="BE125" s="269"/>
      <c r="BF125" s="194"/>
      <c r="BG125" s="194"/>
      <c r="BH125" s="268"/>
      <c r="BI125" s="143"/>
      <c r="BJ125" s="143"/>
      <c r="BK125" s="143"/>
      <c r="BL125" s="269"/>
      <c r="BM125" s="194"/>
      <c r="BN125" s="194"/>
      <c r="BO125" s="268"/>
      <c r="BP125" s="143"/>
      <c r="BQ125" s="143"/>
      <c r="BR125" s="143"/>
      <c r="BS125" s="269"/>
      <c r="BT125" s="194"/>
      <c r="BU125" s="194"/>
      <c r="BV125" s="268"/>
      <c r="BW125" s="143"/>
      <c r="BX125" s="143"/>
      <c r="BY125" s="143"/>
      <c r="BZ125" s="269"/>
      <c r="CA125" s="194"/>
      <c r="CB125" s="194"/>
      <c r="CC125" s="268"/>
      <c r="CD125" s="143"/>
      <c r="CE125" s="143"/>
      <c r="CF125" s="143"/>
      <c r="CG125" s="269"/>
      <c r="CH125" s="194"/>
      <c r="CI125" s="194"/>
      <c r="CJ125" s="268"/>
      <c r="CK125" s="143"/>
      <c r="CL125" s="143"/>
      <c r="CM125" s="143"/>
      <c r="CN125" s="269"/>
      <c r="CO125" s="194"/>
      <c r="CP125" s="194"/>
      <c r="CQ125" s="268"/>
      <c r="CR125" s="143"/>
      <c r="CS125" s="143"/>
      <c r="CT125" s="143"/>
      <c r="CU125" s="269"/>
      <c r="CV125" s="194"/>
      <c r="CW125" s="194"/>
      <c r="CX125" s="268"/>
      <c r="CY125" s="143"/>
      <c r="CZ125" s="143"/>
      <c r="DA125" s="143"/>
      <c r="DB125" s="269"/>
      <c r="DC125" s="194"/>
      <c r="DD125" s="194"/>
      <c r="DE125" s="268"/>
      <c r="DF125" s="143"/>
      <c r="DG125" s="143"/>
      <c r="DH125" s="143"/>
      <c r="DI125" s="269"/>
      <c r="DJ125" s="194"/>
      <c r="DK125" s="194"/>
      <c r="DL125" s="268"/>
      <c r="DM125" s="143"/>
      <c r="DN125" s="143"/>
      <c r="DO125" s="143"/>
      <c r="DP125" s="269"/>
      <c r="DQ125" s="194"/>
      <c r="DR125" s="194"/>
      <c r="DS125" s="268"/>
      <c r="DT125" s="143"/>
      <c r="DU125" s="143"/>
      <c r="DV125" s="143"/>
      <c r="DW125" s="269"/>
      <c r="DX125" s="194"/>
      <c r="DY125" s="194"/>
      <c r="DZ125" s="268"/>
      <c r="EA125" s="143"/>
      <c r="EB125" s="143"/>
      <c r="EC125" s="143"/>
      <c r="ED125" s="269"/>
      <c r="EE125" s="194"/>
      <c r="EF125" s="194"/>
      <c r="EG125" s="268"/>
      <c r="EH125" s="143"/>
      <c r="EI125" s="143"/>
      <c r="EJ125" s="143"/>
      <c r="EK125" s="269"/>
      <c r="EL125" s="194"/>
      <c r="EM125" s="194"/>
      <c r="EN125" s="268"/>
      <c r="EO125" s="143"/>
      <c r="EP125" s="143"/>
      <c r="EQ125" s="143"/>
      <c r="ER125" s="269"/>
      <c r="ES125" s="194"/>
      <c r="ET125" s="194"/>
      <c r="EU125" s="268"/>
      <c r="EV125" s="143"/>
      <c r="EW125" s="143"/>
      <c r="EX125" s="143"/>
      <c r="EY125" s="269"/>
      <c r="EZ125" s="194"/>
      <c r="FA125" s="194"/>
      <c r="FB125" s="268"/>
      <c r="FC125" s="143"/>
      <c r="FD125" s="143"/>
      <c r="FE125" s="143"/>
      <c r="FF125" s="269"/>
      <c r="FG125" s="194"/>
      <c r="FH125" s="194"/>
      <c r="FI125" s="268"/>
      <c r="FJ125" s="143"/>
      <c r="FK125" s="143"/>
      <c r="FL125" s="143"/>
      <c r="FM125" s="269"/>
      <c r="FN125" s="194"/>
      <c r="FO125" s="194"/>
      <c r="FP125" s="268"/>
      <c r="FQ125" s="143"/>
      <c r="FR125" s="143"/>
      <c r="FS125" s="143"/>
      <c r="FT125" s="269"/>
      <c r="FU125" s="194"/>
      <c r="FV125" s="194"/>
      <c r="FW125" s="268"/>
      <c r="FX125" s="143"/>
      <c r="FY125" s="143"/>
      <c r="FZ125" s="143"/>
      <c r="GA125" s="269"/>
      <c r="GB125" s="194"/>
      <c r="GC125" s="194"/>
      <c r="GD125" s="143"/>
      <c r="GE125" s="143"/>
      <c r="GF125" s="143"/>
      <c r="GG125" s="143"/>
      <c r="GH125" s="143"/>
      <c r="GI125" s="194"/>
      <c r="GJ125" s="194"/>
      <c r="GK125" s="143"/>
      <c r="GL125" s="143"/>
      <c r="GM125" s="143"/>
      <c r="GN125" s="143"/>
      <c r="GO125" s="143"/>
      <c r="GP125" s="210"/>
      <c r="GQ125" s="210"/>
      <c r="GR125" s="143"/>
      <c r="GS125" s="143"/>
      <c r="GT125" s="143"/>
      <c r="GU125" s="143"/>
      <c r="GV125" s="143"/>
      <c r="GW125" s="210"/>
      <c r="GX125" s="210"/>
      <c r="GY125" s="143"/>
      <c r="GZ125" s="143"/>
      <c r="HA125" s="143"/>
      <c r="HB125" s="143"/>
      <c r="HC125" s="143"/>
      <c r="HD125" s="210"/>
      <c r="HE125" s="210"/>
      <c r="HF125" s="143"/>
      <c r="HG125" s="143"/>
      <c r="HH125" s="143"/>
      <c r="HI125" s="143"/>
      <c r="HJ125" s="143"/>
      <c r="HK125" s="210"/>
      <c r="HL125" s="210"/>
      <c r="HM125" s="143"/>
      <c r="HN125" s="143"/>
      <c r="HO125" s="143"/>
      <c r="HP125" s="143"/>
      <c r="HQ125" s="143"/>
      <c r="HR125" s="143"/>
      <c r="HS125" s="143"/>
      <c r="HT125" s="143"/>
      <c r="HU125" s="143"/>
      <c r="HV125" s="143"/>
      <c r="HW125" s="143"/>
      <c r="HX125" s="143"/>
      <c r="HY125" s="203"/>
      <c r="HZ125" s="203"/>
      <c r="IA125" s="143"/>
      <c r="IB125" s="143"/>
      <c r="IC125" s="143"/>
      <c r="ID125" s="143"/>
      <c r="IE125" s="143"/>
      <c r="IF125" s="203"/>
      <c r="IG125" s="203"/>
      <c r="IH125" s="206"/>
      <c r="II125" s="206"/>
      <c r="IJ125" s="206"/>
      <c r="IK125" s="206"/>
      <c r="IL125" s="143"/>
      <c r="IM125" s="203"/>
      <c r="IN125" s="203"/>
      <c r="IO125" s="143"/>
      <c r="IP125" s="143"/>
      <c r="IQ125" s="227"/>
      <c r="IR125" s="227"/>
      <c r="IS125" s="227"/>
      <c r="IT125" s="203"/>
      <c r="IU125" s="203"/>
      <c r="IV125" s="143"/>
      <c r="IW125" s="143"/>
      <c r="IX125" s="143"/>
      <c r="IY125" s="143"/>
      <c r="IZ125" s="143"/>
      <c r="JA125" s="203"/>
      <c r="JB125" s="203"/>
      <c r="JC125" s="227"/>
      <c r="JD125" s="227"/>
      <c r="JE125" s="143"/>
      <c r="JF125" s="143"/>
      <c r="JG125" s="143"/>
      <c r="JH125" s="203"/>
      <c r="JI125" s="203"/>
      <c r="JJ125" s="143"/>
      <c r="JK125" s="143"/>
      <c r="JL125" s="143"/>
      <c r="JM125" s="143"/>
      <c r="JN125" s="143"/>
      <c r="JO125" s="203"/>
      <c r="JP125" s="203"/>
      <c r="JQ125" s="143"/>
      <c r="JR125" s="143"/>
      <c r="JS125" s="143"/>
      <c r="JT125" s="143"/>
      <c r="JU125" s="143"/>
      <c r="JV125" s="203"/>
      <c r="JW125" s="203"/>
      <c r="JX125" s="143"/>
      <c r="JY125" s="143"/>
      <c r="JZ125" s="143"/>
      <c r="KA125" s="143"/>
      <c r="KB125" s="143"/>
      <c r="KC125" s="203"/>
      <c r="KD125" s="203"/>
      <c r="KE125" s="143"/>
      <c r="KF125" s="143"/>
      <c r="KG125" s="143"/>
      <c r="KH125" s="143"/>
      <c r="KI125" s="143"/>
      <c r="KJ125" s="194"/>
      <c r="KK125" s="194"/>
      <c r="KL125" s="143"/>
      <c r="KM125" s="143"/>
      <c r="KN125" s="143"/>
      <c r="KO125" s="143"/>
      <c r="KP125" s="227"/>
      <c r="KQ125" s="194"/>
      <c r="KR125" s="194"/>
      <c r="KS125" s="143"/>
      <c r="KT125" s="143"/>
      <c r="KU125" s="143"/>
      <c r="KV125" s="143"/>
      <c r="KW125" s="143"/>
      <c r="KX125" s="210"/>
      <c r="KY125" s="210"/>
      <c r="KZ125" s="194"/>
      <c r="LA125" s="194"/>
      <c r="LB125" s="194"/>
      <c r="LC125" s="194"/>
      <c r="LD125" s="194"/>
      <c r="LE125" s="210"/>
      <c r="LF125" s="210"/>
      <c r="LG125" s="227"/>
      <c r="LH125" s="227"/>
      <c r="LI125" s="227"/>
      <c r="LJ125" s="227"/>
      <c r="LK125" s="227"/>
      <c r="LL125" s="227"/>
      <c r="LM125" s="210"/>
      <c r="LN125" s="143"/>
      <c r="LO125" s="227"/>
      <c r="LP125" s="227"/>
      <c r="LQ125" s="227"/>
      <c r="LR125" s="227"/>
      <c r="LS125" s="210"/>
      <c r="LT125" s="210"/>
      <c r="LU125" s="227"/>
      <c r="LV125" s="143"/>
      <c r="LW125" s="143"/>
      <c r="LX125" s="143"/>
      <c r="LY125" s="143"/>
      <c r="LZ125" s="203"/>
      <c r="MA125" s="203"/>
      <c r="MB125" s="143"/>
      <c r="MC125" s="143"/>
      <c r="MD125" s="143"/>
      <c r="ME125" s="143"/>
      <c r="MF125" s="143"/>
      <c r="MG125" s="203"/>
      <c r="MH125" s="203"/>
      <c r="MI125" s="143"/>
      <c r="MJ125" s="143"/>
      <c r="MK125" s="143"/>
      <c r="ML125" s="143"/>
      <c r="MM125" s="143"/>
      <c r="MN125" s="203"/>
      <c r="MO125" s="203"/>
      <c r="MP125" s="143"/>
      <c r="MQ125" s="143"/>
      <c r="MR125" s="143"/>
      <c r="MS125" s="143"/>
      <c r="MT125" s="143"/>
      <c r="MU125" s="203"/>
      <c r="MV125" s="203"/>
      <c r="MW125" s="143"/>
      <c r="MX125" s="143"/>
      <c r="MY125" s="143"/>
      <c r="MZ125" s="143"/>
      <c r="NA125" s="143"/>
      <c r="NB125" s="143"/>
      <c r="NC125" s="143"/>
      <c r="ND125" s="143"/>
    </row>
    <row r="126" spans="1:368" s="124" customFormat="1" ht="15" customHeight="1" thickBot="1">
      <c r="A126" s="470"/>
      <c r="B126" s="461"/>
      <c r="C126" s="164" t="s">
        <v>13</v>
      </c>
      <c r="D126" s="268"/>
      <c r="E126" s="143"/>
      <c r="F126" s="143"/>
      <c r="G126" s="143"/>
      <c r="H126" s="269"/>
      <c r="I126" s="194"/>
      <c r="J126" s="194"/>
      <c r="K126" s="268"/>
      <c r="L126" s="143"/>
      <c r="M126" s="143"/>
      <c r="N126" s="143"/>
      <c r="O126" s="269"/>
      <c r="P126" s="194"/>
      <c r="Q126" s="194"/>
      <c r="R126" s="268"/>
      <c r="S126" s="143"/>
      <c r="T126" s="143"/>
      <c r="U126" s="143"/>
      <c r="V126" s="269"/>
      <c r="W126" s="194"/>
      <c r="X126" s="194"/>
      <c r="Y126" s="268"/>
      <c r="Z126" s="143"/>
      <c r="AA126" s="143"/>
      <c r="AB126" s="143"/>
      <c r="AC126" s="269"/>
      <c r="AD126" s="194"/>
      <c r="AE126" s="194"/>
      <c r="AF126" s="268"/>
      <c r="AG126" s="143"/>
      <c r="AH126" s="143"/>
      <c r="AI126" s="143"/>
      <c r="AJ126" s="269"/>
      <c r="AK126" s="194"/>
      <c r="AL126" s="194"/>
      <c r="AM126" s="268"/>
      <c r="AN126" s="143"/>
      <c r="AO126" s="143"/>
      <c r="AP126" s="143"/>
      <c r="AQ126" s="269"/>
      <c r="AR126" s="194"/>
      <c r="AS126" s="194"/>
      <c r="AT126" s="268"/>
      <c r="AU126" s="143"/>
      <c r="AV126" s="143"/>
      <c r="AW126" s="143"/>
      <c r="AX126" s="269"/>
      <c r="AY126" s="194"/>
      <c r="AZ126" s="194"/>
      <c r="BA126" s="268"/>
      <c r="BB126" s="143"/>
      <c r="BC126" s="143"/>
      <c r="BD126" s="143"/>
      <c r="BE126" s="269"/>
      <c r="BF126" s="194"/>
      <c r="BG126" s="194"/>
      <c r="BH126" s="268"/>
      <c r="BI126" s="143"/>
      <c r="BJ126" s="143"/>
      <c r="BK126" s="143"/>
      <c r="BL126" s="269"/>
      <c r="BM126" s="194"/>
      <c r="BN126" s="194"/>
      <c r="BO126" s="268"/>
      <c r="BP126" s="143"/>
      <c r="BQ126" s="143"/>
      <c r="BR126" s="143"/>
      <c r="BS126" s="269"/>
      <c r="BT126" s="194"/>
      <c r="BU126" s="194"/>
      <c r="BV126" s="268"/>
      <c r="BW126" s="143"/>
      <c r="BX126" s="143"/>
      <c r="BY126" s="143"/>
      <c r="BZ126" s="269"/>
      <c r="CA126" s="194"/>
      <c r="CB126" s="194"/>
      <c r="CC126" s="268"/>
      <c r="CD126" s="143"/>
      <c r="CE126" s="143"/>
      <c r="CF126" s="143"/>
      <c r="CG126" s="269"/>
      <c r="CH126" s="194"/>
      <c r="CI126" s="194"/>
      <c r="CJ126" s="268"/>
      <c r="CK126" s="143"/>
      <c r="CL126" s="143"/>
      <c r="CM126" s="143"/>
      <c r="CN126" s="269"/>
      <c r="CO126" s="194"/>
      <c r="CP126" s="194"/>
      <c r="CQ126" s="268"/>
      <c r="CR126" s="143"/>
      <c r="CS126" s="143"/>
      <c r="CT126" s="143"/>
      <c r="CU126" s="269"/>
      <c r="CV126" s="194"/>
      <c r="CW126" s="194"/>
      <c r="CX126" s="268"/>
      <c r="CY126" s="143"/>
      <c r="CZ126" s="143"/>
      <c r="DA126" s="143"/>
      <c r="DB126" s="269"/>
      <c r="DC126" s="194"/>
      <c r="DD126" s="194"/>
      <c r="DE126" s="268"/>
      <c r="DF126" s="143"/>
      <c r="DG126" s="143"/>
      <c r="DH126" s="143"/>
      <c r="DI126" s="269"/>
      <c r="DJ126" s="194"/>
      <c r="DK126" s="194"/>
      <c r="DL126" s="268"/>
      <c r="DM126" s="143"/>
      <c r="DN126" s="143"/>
      <c r="DO126" s="143"/>
      <c r="DP126" s="269"/>
      <c r="DQ126" s="194"/>
      <c r="DR126" s="194"/>
      <c r="DS126" s="268"/>
      <c r="DT126" s="143"/>
      <c r="DU126" s="143"/>
      <c r="DV126" s="143"/>
      <c r="DW126" s="269"/>
      <c r="DX126" s="194"/>
      <c r="DY126" s="194"/>
      <c r="DZ126" s="268"/>
      <c r="EA126" s="143"/>
      <c r="EB126" s="143"/>
      <c r="EC126" s="143"/>
      <c r="ED126" s="269"/>
      <c r="EE126" s="194"/>
      <c r="EF126" s="194"/>
      <c r="EG126" s="268"/>
      <c r="EH126" s="143"/>
      <c r="EI126" s="143"/>
      <c r="EJ126" s="143"/>
      <c r="EK126" s="269"/>
      <c r="EL126" s="194"/>
      <c r="EM126" s="194"/>
      <c r="EN126" s="268"/>
      <c r="EO126" s="143"/>
      <c r="EP126" s="143"/>
      <c r="EQ126" s="143"/>
      <c r="ER126" s="269"/>
      <c r="ES126" s="194"/>
      <c r="ET126" s="194"/>
      <c r="EU126" s="268"/>
      <c r="EV126" s="143"/>
      <c r="EW126" s="143"/>
      <c r="EX126" s="143"/>
      <c r="EY126" s="269"/>
      <c r="EZ126" s="194"/>
      <c r="FA126" s="194"/>
      <c r="FB126" s="268"/>
      <c r="FC126" s="143"/>
      <c r="FD126" s="143"/>
      <c r="FE126" s="143"/>
      <c r="FF126" s="269"/>
      <c r="FG126" s="194"/>
      <c r="FH126" s="194"/>
      <c r="FI126" s="268"/>
      <c r="FJ126" s="143"/>
      <c r="FK126" s="143"/>
      <c r="FL126" s="143"/>
      <c r="FM126" s="269"/>
      <c r="FN126" s="194"/>
      <c r="FO126" s="194"/>
      <c r="FP126" s="268"/>
      <c r="FQ126" s="143"/>
      <c r="FR126" s="143"/>
      <c r="FS126" s="143"/>
      <c r="FT126" s="269"/>
      <c r="FU126" s="194"/>
      <c r="FV126" s="194"/>
      <c r="FW126" s="268"/>
      <c r="FX126" s="143"/>
      <c r="FY126" s="143"/>
      <c r="FZ126" s="143"/>
      <c r="GA126" s="269"/>
      <c r="GB126" s="194"/>
      <c r="GC126" s="194"/>
      <c r="GD126" s="143"/>
      <c r="GE126" s="143"/>
      <c r="GF126" s="143"/>
      <c r="GG126" s="143"/>
      <c r="GH126" s="143"/>
      <c r="GI126" s="194"/>
      <c r="GJ126" s="194"/>
      <c r="GK126" s="143"/>
      <c r="GL126" s="143"/>
      <c r="GM126" s="143"/>
      <c r="GN126" s="143"/>
      <c r="GO126" s="143"/>
      <c r="GP126" s="210"/>
      <c r="GQ126" s="210"/>
      <c r="GR126" s="143"/>
      <c r="GS126" s="143"/>
      <c r="GT126" s="143"/>
      <c r="GU126" s="143"/>
      <c r="GV126" s="143"/>
      <c r="GW126" s="210"/>
      <c r="GX126" s="210"/>
      <c r="GY126" s="143"/>
      <c r="GZ126" s="143"/>
      <c r="HA126" s="143"/>
      <c r="HB126" s="143"/>
      <c r="HC126" s="143"/>
      <c r="HD126" s="210"/>
      <c r="HE126" s="210"/>
      <c r="HF126" s="143"/>
      <c r="HG126" s="143"/>
      <c r="HH126" s="143"/>
      <c r="HI126" s="143"/>
      <c r="HJ126" s="143"/>
      <c r="HK126" s="210"/>
      <c r="HL126" s="210"/>
      <c r="HM126" s="143"/>
      <c r="HN126" s="143"/>
      <c r="HO126" s="143"/>
      <c r="HP126" s="143"/>
      <c r="HQ126" s="143"/>
      <c r="HR126" s="143"/>
      <c r="HS126" s="143"/>
      <c r="HT126" s="143"/>
      <c r="HU126" s="143"/>
      <c r="HV126" s="143"/>
      <c r="HW126" s="143"/>
      <c r="HX126" s="143"/>
      <c r="HY126" s="203"/>
      <c r="HZ126" s="203"/>
      <c r="IA126" s="143"/>
      <c r="IB126" s="143"/>
      <c r="IC126" s="143"/>
      <c r="ID126" s="143"/>
      <c r="IE126" s="143"/>
      <c r="IF126" s="203"/>
      <c r="IG126" s="203"/>
      <c r="IH126" s="206"/>
      <c r="II126" s="206"/>
      <c r="IJ126" s="206"/>
      <c r="IK126" s="206"/>
      <c r="IL126" s="143"/>
      <c r="IM126" s="203"/>
      <c r="IN126" s="203"/>
      <c r="IO126" s="143"/>
      <c r="IP126" s="143"/>
      <c r="IQ126" s="227"/>
      <c r="IR126" s="227"/>
      <c r="IS126" s="227"/>
      <c r="IT126" s="203"/>
      <c r="IU126" s="203"/>
      <c r="IV126" s="143"/>
      <c r="IW126" s="143"/>
      <c r="IX126" s="143"/>
      <c r="IY126" s="143"/>
      <c r="IZ126" s="143"/>
      <c r="JA126" s="203"/>
      <c r="JB126" s="203"/>
      <c r="JC126" s="227"/>
      <c r="JD126" s="227"/>
      <c r="JE126" s="143"/>
      <c r="JF126" s="143"/>
      <c r="JG126" s="143"/>
      <c r="JH126" s="203"/>
      <c r="JI126" s="203"/>
      <c r="JJ126" s="143"/>
      <c r="JK126" s="143"/>
      <c r="JL126" s="143"/>
      <c r="JM126" s="143"/>
      <c r="JN126" s="143"/>
      <c r="JO126" s="203"/>
      <c r="JP126" s="203"/>
      <c r="JQ126" s="143"/>
      <c r="JR126" s="143"/>
      <c r="JS126" s="143"/>
      <c r="JT126" s="143"/>
      <c r="JU126" s="143"/>
      <c r="JV126" s="203"/>
      <c r="JW126" s="203"/>
      <c r="JX126" s="143"/>
      <c r="JY126" s="143"/>
      <c r="JZ126" s="143"/>
      <c r="KA126" s="143"/>
      <c r="KB126" s="143"/>
      <c r="KC126" s="203"/>
      <c r="KD126" s="203"/>
      <c r="KE126" s="143"/>
      <c r="KF126" s="143"/>
      <c r="KG126" s="143"/>
      <c r="KH126" s="143"/>
      <c r="KI126" s="143"/>
      <c r="KJ126" s="194"/>
      <c r="KK126" s="194"/>
      <c r="KL126" s="143"/>
      <c r="KM126" s="143"/>
      <c r="KN126" s="143"/>
      <c r="KO126" s="143"/>
      <c r="KP126" s="227"/>
      <c r="KQ126" s="194"/>
      <c r="KR126" s="194"/>
      <c r="KS126" s="143"/>
      <c r="KT126" s="143"/>
      <c r="KU126" s="143"/>
      <c r="KV126" s="143"/>
      <c r="KW126" s="143"/>
      <c r="KX126" s="210"/>
      <c r="KY126" s="210"/>
      <c r="KZ126" s="194"/>
      <c r="LA126" s="194"/>
      <c r="LB126" s="194"/>
      <c r="LC126" s="194"/>
      <c r="LD126" s="194"/>
      <c r="LE126" s="210"/>
      <c r="LF126" s="210"/>
      <c r="LG126" s="227"/>
      <c r="LH126" s="227"/>
      <c r="LI126" s="227"/>
      <c r="LJ126" s="227"/>
      <c r="LK126" s="227"/>
      <c r="LL126" s="227"/>
      <c r="LM126" s="210"/>
      <c r="LN126" s="143"/>
      <c r="LO126" s="227"/>
      <c r="LP126" s="227"/>
      <c r="LQ126" s="227"/>
      <c r="LR126" s="227"/>
      <c r="LS126" s="210"/>
      <c r="LT126" s="210"/>
      <c r="LU126" s="227"/>
      <c r="LV126" s="143"/>
      <c r="LW126" s="143"/>
      <c r="LX126" s="143"/>
      <c r="LY126" s="143"/>
      <c r="LZ126" s="203"/>
      <c r="MA126" s="203"/>
      <c r="MB126" s="143"/>
      <c r="MC126" s="143"/>
      <c r="MD126" s="143"/>
      <c r="ME126" s="143"/>
      <c r="MF126" s="143"/>
      <c r="MG126" s="203"/>
      <c r="MH126" s="203"/>
      <c r="MI126" s="143"/>
      <c r="MJ126" s="143"/>
      <c r="MK126" s="143"/>
      <c r="ML126" s="143"/>
      <c r="MM126" s="143"/>
      <c r="MN126" s="203"/>
      <c r="MO126" s="203"/>
      <c r="MP126" s="143"/>
      <c r="MQ126" s="143"/>
      <c r="MR126" s="143"/>
      <c r="MS126" s="143"/>
      <c r="MT126" s="143"/>
      <c r="MU126" s="203"/>
      <c r="MV126" s="203"/>
      <c r="MW126" s="143"/>
      <c r="MX126" s="143"/>
      <c r="MY126" s="143"/>
      <c r="MZ126" s="143"/>
      <c r="NA126" s="143"/>
      <c r="NB126" s="143"/>
      <c r="NC126" s="143"/>
      <c r="ND126" s="143"/>
    </row>
    <row r="127" spans="1:368" s="154" customFormat="1" ht="15" hidden="1" customHeight="1" thickBot="1">
      <c r="A127" s="478"/>
      <c r="B127" s="480"/>
      <c r="C127" s="165" t="s">
        <v>93</v>
      </c>
      <c r="D127" s="270"/>
      <c r="E127" s="264"/>
      <c r="F127" s="264"/>
      <c r="G127" s="264"/>
      <c r="H127" s="271"/>
      <c r="I127" s="194"/>
      <c r="J127" s="194"/>
      <c r="K127" s="270"/>
      <c r="L127" s="264"/>
      <c r="M127" s="264"/>
      <c r="N127" s="264"/>
      <c r="O127" s="271"/>
      <c r="P127" s="194"/>
      <c r="Q127" s="194"/>
      <c r="R127" s="270"/>
      <c r="S127" s="264"/>
      <c r="T127" s="264"/>
      <c r="U127" s="264"/>
      <c r="V127" s="271"/>
      <c r="W127" s="194"/>
      <c r="X127" s="194"/>
      <c r="Y127" s="270"/>
      <c r="Z127" s="264"/>
      <c r="AA127" s="264"/>
      <c r="AB127" s="264"/>
      <c r="AC127" s="271"/>
      <c r="AD127" s="194"/>
      <c r="AE127" s="194"/>
      <c r="AF127" s="270"/>
      <c r="AG127" s="264"/>
      <c r="AH127" s="264"/>
      <c r="AI127" s="264"/>
      <c r="AJ127" s="271"/>
      <c r="AK127" s="194"/>
      <c r="AL127" s="194"/>
      <c r="AM127" s="270"/>
      <c r="AN127" s="264"/>
      <c r="AO127" s="264"/>
      <c r="AP127" s="264"/>
      <c r="AQ127" s="271"/>
      <c r="AR127" s="194"/>
      <c r="AS127" s="194"/>
      <c r="AT127" s="270"/>
      <c r="AU127" s="264"/>
      <c r="AV127" s="264"/>
      <c r="AW127" s="264"/>
      <c r="AX127" s="271"/>
      <c r="AY127" s="194"/>
      <c r="AZ127" s="194"/>
      <c r="BA127" s="270"/>
      <c r="BB127" s="264"/>
      <c r="BC127" s="264"/>
      <c r="BD127" s="264"/>
      <c r="BE127" s="271"/>
      <c r="BF127" s="194"/>
      <c r="BG127" s="194"/>
      <c r="BH127" s="270"/>
      <c r="BI127" s="264"/>
      <c r="BJ127" s="264"/>
      <c r="BK127" s="264"/>
      <c r="BL127" s="271"/>
      <c r="BM127" s="194"/>
      <c r="BN127" s="194"/>
      <c r="BO127" s="270"/>
      <c r="BP127" s="264"/>
      <c r="BQ127" s="264"/>
      <c r="BR127" s="264"/>
      <c r="BS127" s="271"/>
      <c r="BT127" s="194"/>
      <c r="BU127" s="194"/>
      <c r="BV127" s="270"/>
      <c r="BW127" s="264"/>
      <c r="BX127" s="264"/>
      <c r="BY127" s="264"/>
      <c r="BZ127" s="271"/>
      <c r="CA127" s="194"/>
      <c r="CB127" s="194"/>
      <c r="CC127" s="270"/>
      <c r="CD127" s="264"/>
      <c r="CE127" s="264"/>
      <c r="CF127" s="264"/>
      <c r="CG127" s="271"/>
      <c r="CH127" s="194"/>
      <c r="CI127" s="194"/>
      <c r="CJ127" s="270"/>
      <c r="CK127" s="264"/>
      <c r="CL127" s="264"/>
      <c r="CM127" s="264"/>
      <c r="CN127" s="271"/>
      <c r="CO127" s="194"/>
      <c r="CP127" s="194"/>
      <c r="CQ127" s="270"/>
      <c r="CR127" s="264"/>
      <c r="CS127" s="264"/>
      <c r="CT127" s="264"/>
      <c r="CU127" s="271"/>
      <c r="CV127" s="194"/>
      <c r="CW127" s="194"/>
      <c r="CX127" s="270"/>
      <c r="CY127" s="264"/>
      <c r="CZ127" s="264"/>
      <c r="DA127" s="264"/>
      <c r="DB127" s="271"/>
      <c r="DC127" s="194"/>
      <c r="DD127" s="194"/>
      <c r="DE127" s="270"/>
      <c r="DF127" s="264"/>
      <c r="DG127" s="264"/>
      <c r="DH127" s="264"/>
      <c r="DI127" s="271"/>
      <c r="DJ127" s="194"/>
      <c r="DK127" s="194"/>
      <c r="DL127" s="270"/>
      <c r="DM127" s="264"/>
      <c r="DN127" s="264"/>
      <c r="DO127" s="264"/>
      <c r="DP127" s="271"/>
      <c r="DQ127" s="194"/>
      <c r="DR127" s="194"/>
      <c r="DS127" s="270"/>
      <c r="DT127" s="264"/>
      <c r="DU127" s="264"/>
      <c r="DV127" s="264"/>
      <c r="DW127" s="271"/>
      <c r="DX127" s="194"/>
      <c r="DY127" s="194"/>
      <c r="DZ127" s="270"/>
      <c r="EA127" s="264"/>
      <c r="EB127" s="264"/>
      <c r="EC127" s="264"/>
      <c r="ED127" s="271"/>
      <c r="EE127" s="194"/>
      <c r="EF127" s="194"/>
      <c r="EG127" s="270"/>
      <c r="EH127" s="264"/>
      <c r="EI127" s="264"/>
      <c r="EJ127" s="264"/>
      <c r="EK127" s="271"/>
      <c r="EL127" s="194"/>
      <c r="EM127" s="194"/>
      <c r="EN127" s="270"/>
      <c r="EO127" s="264"/>
      <c r="EP127" s="264"/>
      <c r="EQ127" s="264"/>
      <c r="ER127" s="271"/>
      <c r="ES127" s="194"/>
      <c r="ET127" s="194"/>
      <c r="EU127" s="270"/>
      <c r="EV127" s="264"/>
      <c r="EW127" s="264"/>
      <c r="EX127" s="264"/>
      <c r="EY127" s="271"/>
      <c r="EZ127" s="194"/>
      <c r="FA127" s="194"/>
      <c r="FB127" s="270"/>
      <c r="FC127" s="264"/>
      <c r="FD127" s="264"/>
      <c r="FE127" s="264"/>
      <c r="FF127" s="271"/>
      <c r="FG127" s="194"/>
      <c r="FH127" s="194"/>
      <c r="FI127" s="270"/>
      <c r="FJ127" s="264"/>
      <c r="FK127" s="264"/>
      <c r="FL127" s="264"/>
      <c r="FM127" s="271"/>
      <c r="FN127" s="194"/>
      <c r="FO127" s="194"/>
      <c r="FP127" s="270"/>
      <c r="FQ127" s="264"/>
      <c r="FR127" s="264"/>
      <c r="FS127" s="264"/>
      <c r="FT127" s="271"/>
      <c r="FU127" s="194"/>
      <c r="FV127" s="194"/>
      <c r="FW127" s="270"/>
      <c r="FX127" s="264"/>
      <c r="FY127" s="264"/>
      <c r="FZ127" s="264"/>
      <c r="GA127" s="271"/>
      <c r="GB127" s="194"/>
      <c r="GC127" s="194"/>
      <c r="GD127" s="152"/>
      <c r="GE127" s="152"/>
      <c r="GF127" s="152"/>
      <c r="GG127" s="152"/>
      <c r="GH127" s="152"/>
      <c r="GI127" s="194"/>
      <c r="GJ127" s="194"/>
      <c r="GK127" s="152"/>
      <c r="GL127" s="152"/>
      <c r="GM127" s="152"/>
      <c r="GN127" s="152"/>
      <c r="GO127" s="152"/>
      <c r="GP127" s="210"/>
      <c r="GQ127" s="210"/>
      <c r="GR127" s="152"/>
      <c r="GS127" s="152"/>
      <c r="GT127" s="152"/>
      <c r="GU127" s="152"/>
      <c r="GV127" s="152"/>
      <c r="GW127" s="210"/>
      <c r="GX127" s="210"/>
      <c r="GY127" s="152"/>
      <c r="GZ127" s="152"/>
      <c r="HA127" s="152"/>
      <c r="HB127" s="152"/>
      <c r="HC127" s="152"/>
      <c r="HD127" s="210"/>
      <c r="HE127" s="210"/>
      <c r="HF127" s="152"/>
      <c r="HG127" s="152"/>
      <c r="HH127" s="152"/>
      <c r="HI127" s="152"/>
      <c r="HJ127" s="152"/>
      <c r="HK127" s="210"/>
      <c r="HL127" s="210"/>
      <c r="HM127" s="152"/>
      <c r="HN127" s="152"/>
      <c r="HO127" s="152"/>
      <c r="HP127" s="152"/>
      <c r="HQ127" s="152"/>
      <c r="HR127" s="152"/>
      <c r="HS127" s="152"/>
      <c r="HT127" s="152"/>
      <c r="HU127" s="152"/>
      <c r="HV127" s="152"/>
      <c r="HW127" s="152"/>
      <c r="HX127" s="152"/>
      <c r="HY127" s="203"/>
      <c r="HZ127" s="203"/>
      <c r="IA127" s="152"/>
      <c r="IB127" s="152"/>
      <c r="IC127" s="152"/>
      <c r="ID127" s="152"/>
      <c r="IE127" s="152"/>
      <c r="IF127" s="203"/>
      <c r="IG127" s="203"/>
      <c r="IH127" s="152"/>
      <c r="II127" s="152"/>
      <c r="IJ127" s="152"/>
      <c r="IK127" s="152"/>
      <c r="IL127" s="152"/>
      <c r="IM127" s="203"/>
      <c r="IN127" s="203"/>
      <c r="IO127" s="152"/>
      <c r="IP127" s="152"/>
      <c r="IQ127" s="227"/>
      <c r="IR127" s="227"/>
      <c r="IS127" s="227"/>
      <c r="IT127" s="203"/>
      <c r="IU127" s="203"/>
      <c r="IV127" s="152"/>
      <c r="IW127" s="152"/>
      <c r="IX127" s="152"/>
      <c r="IY127" s="152"/>
      <c r="IZ127" s="152"/>
      <c r="JA127" s="203"/>
      <c r="JB127" s="203"/>
      <c r="JC127" s="232"/>
      <c r="JD127" s="232"/>
      <c r="JE127" s="152"/>
      <c r="JF127" s="152"/>
      <c r="JG127" s="152"/>
      <c r="JH127" s="203"/>
      <c r="JI127" s="203"/>
      <c r="JJ127" s="152"/>
      <c r="JK127" s="152"/>
      <c r="JL127" s="152"/>
      <c r="JM127" s="152"/>
      <c r="JN127" s="152"/>
      <c r="JO127" s="203"/>
      <c r="JP127" s="203"/>
      <c r="JQ127" s="152"/>
      <c r="JR127" s="152"/>
      <c r="JS127" s="152"/>
      <c r="JT127" s="152"/>
      <c r="JU127" s="152"/>
      <c r="JV127" s="203"/>
      <c r="JW127" s="203"/>
      <c r="JX127" s="152"/>
      <c r="JY127" s="152"/>
      <c r="JZ127" s="152"/>
      <c r="KA127" s="152"/>
      <c r="KB127" s="152"/>
      <c r="KC127" s="203"/>
      <c r="KD127" s="203"/>
      <c r="KE127" s="152"/>
      <c r="KF127" s="152"/>
      <c r="KG127" s="152"/>
      <c r="KH127" s="152"/>
      <c r="KI127" s="152"/>
      <c r="KJ127" s="194"/>
      <c r="KK127" s="194"/>
      <c r="KL127" s="152"/>
      <c r="KM127" s="152"/>
      <c r="KN127" s="152"/>
      <c r="KO127" s="152"/>
      <c r="KP127" s="227"/>
      <c r="KQ127" s="194"/>
      <c r="KR127" s="194"/>
      <c r="KS127" s="152"/>
      <c r="KT127" s="152"/>
      <c r="KU127" s="152"/>
      <c r="KV127" s="152"/>
      <c r="KW127" s="152"/>
      <c r="KX127" s="210"/>
      <c r="KY127" s="210"/>
      <c r="KZ127" s="194"/>
      <c r="LA127" s="194"/>
      <c r="LB127" s="194"/>
      <c r="LC127" s="194"/>
      <c r="LD127" s="194"/>
      <c r="LE127" s="210"/>
      <c r="LF127" s="210"/>
      <c r="LG127" s="227"/>
      <c r="LH127" s="227"/>
      <c r="LI127" s="227"/>
      <c r="LJ127" s="227"/>
      <c r="LK127" s="227"/>
      <c r="LL127" s="227"/>
      <c r="LM127" s="210"/>
      <c r="LN127" s="232"/>
      <c r="LO127" s="232"/>
      <c r="LP127" s="232"/>
      <c r="LQ127" s="232"/>
      <c r="LR127" s="232"/>
      <c r="LS127" s="210"/>
      <c r="LT127" s="210"/>
      <c r="LU127" s="232"/>
      <c r="LV127" s="152"/>
      <c r="LW127" s="152"/>
      <c r="LX127" s="152"/>
      <c r="LY127" s="152"/>
      <c r="LZ127" s="203"/>
      <c r="MA127" s="203"/>
      <c r="MB127" s="152"/>
      <c r="MC127" s="152"/>
      <c r="MD127" s="152"/>
      <c r="ME127" s="152"/>
      <c r="MF127" s="152"/>
      <c r="MG127" s="203"/>
      <c r="MH127" s="203"/>
      <c r="MI127" s="152"/>
      <c r="MJ127" s="152"/>
      <c r="MK127" s="152"/>
      <c r="ML127" s="152"/>
      <c r="MM127" s="152"/>
      <c r="MN127" s="203"/>
      <c r="MO127" s="203"/>
      <c r="MP127" s="152"/>
      <c r="MQ127" s="152"/>
      <c r="MR127" s="152"/>
      <c r="MS127" s="152"/>
      <c r="MT127" s="152"/>
      <c r="MU127" s="203"/>
      <c r="MV127" s="203"/>
      <c r="MW127" s="152"/>
      <c r="MX127" s="152"/>
      <c r="MY127" s="152"/>
      <c r="MZ127" s="152"/>
      <c r="NA127" s="152"/>
      <c r="NB127" s="152"/>
      <c r="NC127" s="152"/>
      <c r="ND127" s="152"/>
    </row>
    <row r="128" spans="1:368" s="124" customFormat="1" ht="15" customHeight="1">
      <c r="A128" s="470"/>
      <c r="B128" s="473" t="s">
        <v>8</v>
      </c>
      <c r="C128" s="163" t="s">
        <v>10</v>
      </c>
      <c r="D128" s="265"/>
      <c r="E128" s="266"/>
      <c r="F128" s="266"/>
      <c r="G128" s="266"/>
      <c r="H128" s="267"/>
      <c r="I128" s="194"/>
      <c r="J128" s="194"/>
      <c r="K128" s="265"/>
      <c r="L128" s="266"/>
      <c r="M128" s="266"/>
      <c r="N128" s="266"/>
      <c r="O128" s="267"/>
      <c r="P128" s="194"/>
      <c r="Q128" s="194"/>
      <c r="R128" s="265"/>
      <c r="S128" s="266"/>
      <c r="T128" s="266"/>
      <c r="U128" s="266"/>
      <c r="V128" s="267"/>
      <c r="W128" s="194"/>
      <c r="X128" s="194"/>
      <c r="Y128" s="265"/>
      <c r="Z128" s="266"/>
      <c r="AA128" s="266"/>
      <c r="AB128" s="266"/>
      <c r="AC128" s="267"/>
      <c r="AD128" s="194"/>
      <c r="AE128" s="194"/>
      <c r="AF128" s="265"/>
      <c r="AG128" s="266"/>
      <c r="AH128" s="266"/>
      <c r="AI128" s="266"/>
      <c r="AJ128" s="267"/>
      <c r="AK128" s="194"/>
      <c r="AL128" s="194"/>
      <c r="AM128" s="265"/>
      <c r="AN128" s="266"/>
      <c r="AO128" s="266"/>
      <c r="AP128" s="266"/>
      <c r="AQ128" s="267"/>
      <c r="AR128" s="194"/>
      <c r="AS128" s="194"/>
      <c r="AT128" s="265"/>
      <c r="AU128" s="266"/>
      <c r="AV128" s="266"/>
      <c r="AW128" s="266"/>
      <c r="AX128" s="267"/>
      <c r="AY128" s="194"/>
      <c r="AZ128" s="194"/>
      <c r="BA128" s="265"/>
      <c r="BB128" s="266"/>
      <c r="BC128" s="266"/>
      <c r="BD128" s="266"/>
      <c r="BE128" s="267"/>
      <c r="BF128" s="194"/>
      <c r="BG128" s="194"/>
      <c r="BH128" s="265"/>
      <c r="BI128" s="266"/>
      <c r="BJ128" s="266"/>
      <c r="BK128" s="266"/>
      <c r="BL128" s="267"/>
      <c r="BM128" s="194"/>
      <c r="BN128" s="194"/>
      <c r="BO128" s="265"/>
      <c r="BP128" s="266"/>
      <c r="BQ128" s="266"/>
      <c r="BR128" s="266"/>
      <c r="BS128" s="267"/>
      <c r="BT128" s="194"/>
      <c r="BU128" s="194"/>
      <c r="BV128" s="265"/>
      <c r="BW128" s="266"/>
      <c r="BX128" s="266"/>
      <c r="BY128" s="266"/>
      <c r="BZ128" s="267"/>
      <c r="CA128" s="194"/>
      <c r="CB128" s="194"/>
      <c r="CC128" s="265"/>
      <c r="CD128" s="266"/>
      <c r="CE128" s="266"/>
      <c r="CF128" s="266"/>
      <c r="CG128" s="267"/>
      <c r="CH128" s="194"/>
      <c r="CI128" s="194"/>
      <c r="CJ128" s="265"/>
      <c r="CK128" s="266"/>
      <c r="CL128" s="266"/>
      <c r="CM128" s="266"/>
      <c r="CN128" s="267"/>
      <c r="CO128" s="194"/>
      <c r="CP128" s="194"/>
      <c r="CQ128" s="265"/>
      <c r="CR128" s="266"/>
      <c r="CS128" s="266"/>
      <c r="CT128" s="266"/>
      <c r="CU128" s="267"/>
      <c r="CV128" s="194"/>
      <c r="CW128" s="194"/>
      <c r="CX128" s="265"/>
      <c r="CY128" s="266"/>
      <c r="CZ128" s="266"/>
      <c r="DA128" s="266"/>
      <c r="DB128" s="267"/>
      <c r="DC128" s="194"/>
      <c r="DD128" s="194"/>
      <c r="DE128" s="265"/>
      <c r="DF128" s="266"/>
      <c r="DG128" s="266"/>
      <c r="DH128" s="266"/>
      <c r="DI128" s="267"/>
      <c r="DJ128" s="194"/>
      <c r="DK128" s="194"/>
      <c r="DL128" s="265"/>
      <c r="DM128" s="266"/>
      <c r="DN128" s="266"/>
      <c r="DO128" s="266"/>
      <c r="DP128" s="267"/>
      <c r="DQ128" s="194"/>
      <c r="DR128" s="194"/>
      <c r="DS128" s="265"/>
      <c r="DT128" s="266"/>
      <c r="DU128" s="266"/>
      <c r="DV128" s="266"/>
      <c r="DW128" s="267"/>
      <c r="DX128" s="194"/>
      <c r="DY128" s="194"/>
      <c r="DZ128" s="265"/>
      <c r="EA128" s="266"/>
      <c r="EB128" s="266"/>
      <c r="EC128" s="266"/>
      <c r="ED128" s="267"/>
      <c r="EE128" s="194"/>
      <c r="EF128" s="194"/>
      <c r="EG128" s="265"/>
      <c r="EH128" s="266"/>
      <c r="EI128" s="266"/>
      <c r="EJ128" s="266"/>
      <c r="EK128" s="267"/>
      <c r="EL128" s="194"/>
      <c r="EM128" s="194"/>
      <c r="EN128" s="265"/>
      <c r="EO128" s="266"/>
      <c r="EP128" s="266"/>
      <c r="EQ128" s="266"/>
      <c r="ER128" s="267"/>
      <c r="ES128" s="194"/>
      <c r="ET128" s="194"/>
      <c r="EU128" s="265"/>
      <c r="EV128" s="266"/>
      <c r="EW128" s="266"/>
      <c r="EX128" s="266"/>
      <c r="EY128" s="267"/>
      <c r="EZ128" s="194"/>
      <c r="FA128" s="194"/>
      <c r="FB128" s="265"/>
      <c r="FC128" s="266"/>
      <c r="FD128" s="266"/>
      <c r="FE128" s="266"/>
      <c r="FF128" s="267"/>
      <c r="FG128" s="194"/>
      <c r="FH128" s="194"/>
      <c r="FI128" s="265"/>
      <c r="FJ128" s="266"/>
      <c r="FK128" s="266"/>
      <c r="FL128" s="266"/>
      <c r="FM128" s="267"/>
      <c r="FN128" s="194"/>
      <c r="FO128" s="194"/>
      <c r="FP128" s="265"/>
      <c r="FQ128" s="266"/>
      <c r="FR128" s="266"/>
      <c r="FS128" s="266"/>
      <c r="FT128" s="267"/>
      <c r="FU128" s="194"/>
      <c r="FV128" s="194"/>
      <c r="FW128" s="265"/>
      <c r="FX128" s="266"/>
      <c r="FY128" s="266"/>
      <c r="FZ128" s="266"/>
      <c r="GA128" s="267"/>
      <c r="GB128" s="194"/>
      <c r="GC128" s="194"/>
      <c r="GD128" s="143"/>
      <c r="GE128" s="143"/>
      <c r="GF128" s="143"/>
      <c r="GG128" s="143"/>
      <c r="GH128" s="143"/>
      <c r="GI128" s="194"/>
      <c r="GJ128" s="194"/>
      <c r="GK128" s="143"/>
      <c r="GL128" s="143"/>
      <c r="GM128" s="143"/>
      <c r="GN128" s="143"/>
      <c r="GO128" s="143"/>
      <c r="GP128" s="210"/>
      <c r="GQ128" s="210"/>
      <c r="GR128" s="143"/>
      <c r="GS128" s="143"/>
      <c r="GT128" s="143"/>
      <c r="GU128" s="143"/>
      <c r="GV128" s="143"/>
      <c r="GW128" s="210"/>
      <c r="GX128" s="210"/>
      <c r="GY128" s="143"/>
      <c r="GZ128" s="143"/>
      <c r="HA128" s="143"/>
      <c r="HB128" s="143"/>
      <c r="HC128" s="143"/>
      <c r="HD128" s="210"/>
      <c r="HE128" s="210"/>
      <c r="HF128" s="143"/>
      <c r="HG128" s="143"/>
      <c r="HH128" s="143"/>
      <c r="HI128" s="143"/>
      <c r="HJ128" s="143"/>
      <c r="HK128" s="210"/>
      <c r="HL128" s="210"/>
      <c r="HM128" s="143"/>
      <c r="HN128" s="143"/>
      <c r="HO128" s="143"/>
      <c r="HP128" s="143"/>
      <c r="HQ128" s="143"/>
      <c r="HR128" s="143"/>
      <c r="HS128" s="143"/>
      <c r="HT128" s="143"/>
      <c r="HU128" s="143"/>
      <c r="HV128" s="143"/>
      <c r="HW128" s="143"/>
      <c r="HX128" s="143"/>
      <c r="HY128" s="203"/>
      <c r="HZ128" s="203"/>
      <c r="IA128" s="143"/>
      <c r="IB128" s="143"/>
      <c r="IC128" s="143"/>
      <c r="ID128" s="143"/>
      <c r="IE128" s="143"/>
      <c r="IF128" s="203"/>
      <c r="IG128" s="203"/>
      <c r="IH128" s="143"/>
      <c r="II128" s="143"/>
      <c r="IJ128" s="143"/>
      <c r="IK128" s="143"/>
      <c r="IL128" s="143"/>
      <c r="IM128" s="203"/>
      <c r="IN128" s="203"/>
      <c r="IO128" s="143"/>
      <c r="IP128" s="143"/>
      <c r="IQ128" s="227"/>
      <c r="IR128" s="227"/>
      <c r="IS128" s="227"/>
      <c r="IT128" s="203"/>
      <c r="IU128" s="203"/>
      <c r="IV128" s="143"/>
      <c r="IW128" s="143"/>
      <c r="IX128" s="143"/>
      <c r="IY128" s="143"/>
      <c r="IZ128" s="143"/>
      <c r="JA128" s="203"/>
      <c r="JB128" s="203"/>
      <c r="JC128" s="227"/>
      <c r="JD128" s="227"/>
      <c r="JE128" s="143"/>
      <c r="JF128" s="143"/>
      <c r="JG128" s="143"/>
      <c r="JH128" s="203"/>
      <c r="JI128" s="203"/>
      <c r="JJ128" s="143"/>
      <c r="JK128" s="143"/>
      <c r="JL128" s="143"/>
      <c r="JM128" s="143"/>
      <c r="JN128" s="143"/>
      <c r="JO128" s="203"/>
      <c r="JP128" s="203"/>
      <c r="JQ128" s="143"/>
      <c r="JR128" s="143"/>
      <c r="JS128" s="143"/>
      <c r="JT128" s="143"/>
      <c r="JU128" s="143"/>
      <c r="JV128" s="203"/>
      <c r="JW128" s="203"/>
      <c r="JX128" s="143"/>
      <c r="JY128" s="143"/>
      <c r="JZ128" s="143"/>
      <c r="KA128" s="143"/>
      <c r="KB128" s="143"/>
      <c r="KC128" s="203"/>
      <c r="KD128" s="203"/>
      <c r="KE128" s="143"/>
      <c r="KF128" s="143"/>
      <c r="KG128" s="143"/>
      <c r="KH128" s="143"/>
      <c r="KI128" s="143"/>
      <c r="KJ128" s="194"/>
      <c r="KK128" s="194"/>
      <c r="KL128" s="143"/>
      <c r="KM128" s="143"/>
      <c r="KN128" s="143"/>
      <c r="KO128" s="143"/>
      <c r="KP128" s="227"/>
      <c r="KQ128" s="194"/>
      <c r="KR128" s="194"/>
      <c r="KS128" s="143"/>
      <c r="KT128" s="143"/>
      <c r="KU128" s="143"/>
      <c r="KV128" s="143"/>
      <c r="KW128" s="143"/>
      <c r="KX128" s="210"/>
      <c r="KY128" s="210"/>
      <c r="KZ128" s="194"/>
      <c r="LA128" s="194"/>
      <c r="LB128" s="194"/>
      <c r="LC128" s="194"/>
      <c r="LD128" s="194"/>
      <c r="LE128" s="210"/>
      <c r="LF128" s="210"/>
      <c r="LG128" s="227"/>
      <c r="LH128" s="227"/>
      <c r="LI128" s="227"/>
      <c r="LJ128" s="227"/>
      <c r="LK128" s="227"/>
      <c r="LL128" s="227"/>
      <c r="LM128" s="210"/>
      <c r="LN128" s="227"/>
      <c r="LO128" s="227"/>
      <c r="LP128" s="227"/>
      <c r="LQ128" s="227"/>
      <c r="LR128" s="227"/>
      <c r="LS128" s="210"/>
      <c r="LT128" s="210"/>
      <c r="LU128" s="227"/>
      <c r="LV128" s="143"/>
      <c r="LW128" s="143"/>
      <c r="LX128" s="143"/>
      <c r="LY128" s="143"/>
      <c r="LZ128" s="203"/>
      <c r="MA128" s="203"/>
      <c r="MB128" s="143"/>
      <c r="MC128" s="143"/>
      <c r="MD128" s="143"/>
      <c r="ME128" s="143"/>
      <c r="MF128" s="143"/>
      <c r="MG128" s="203"/>
      <c r="MH128" s="203"/>
      <c r="MI128" s="143"/>
      <c r="MJ128" s="143"/>
      <c r="MK128" s="143"/>
      <c r="ML128" s="143"/>
      <c r="MM128" s="143"/>
      <c r="MN128" s="203"/>
      <c r="MO128" s="203"/>
      <c r="MP128" s="143"/>
      <c r="MQ128" s="143"/>
      <c r="MR128" s="143"/>
      <c r="MS128" s="143"/>
      <c r="MT128" s="143"/>
      <c r="MU128" s="203"/>
      <c r="MV128" s="203"/>
      <c r="MW128" s="143"/>
      <c r="MX128" s="143"/>
      <c r="MY128" s="143"/>
      <c r="MZ128" s="143"/>
      <c r="NA128" s="143"/>
      <c r="NB128" s="143"/>
      <c r="NC128" s="143"/>
      <c r="ND128" s="143"/>
    </row>
    <row r="129" spans="1:368" s="124" customFormat="1" ht="15" customHeight="1">
      <c r="A129" s="470"/>
      <c r="B129" s="461"/>
      <c r="C129" s="164" t="s">
        <v>11</v>
      </c>
      <c r="D129" s="268"/>
      <c r="E129" s="143"/>
      <c r="F129" s="143"/>
      <c r="G129" s="143"/>
      <c r="H129" s="269"/>
      <c r="I129" s="194"/>
      <c r="J129" s="194"/>
      <c r="K129" s="268"/>
      <c r="L129" s="143"/>
      <c r="M129" s="143"/>
      <c r="N129" s="143"/>
      <c r="O129" s="269"/>
      <c r="P129" s="194"/>
      <c r="Q129" s="194"/>
      <c r="R129" s="268"/>
      <c r="S129" s="143"/>
      <c r="T129" s="143"/>
      <c r="U129" s="143"/>
      <c r="V129" s="269"/>
      <c r="W129" s="194"/>
      <c r="X129" s="194"/>
      <c r="Y129" s="268"/>
      <c r="Z129" s="143"/>
      <c r="AA129" s="143"/>
      <c r="AB129" s="143"/>
      <c r="AC129" s="269"/>
      <c r="AD129" s="194"/>
      <c r="AE129" s="194"/>
      <c r="AF129" s="268"/>
      <c r="AG129" s="143"/>
      <c r="AH129" s="143"/>
      <c r="AI129" s="143"/>
      <c r="AJ129" s="269"/>
      <c r="AK129" s="194"/>
      <c r="AL129" s="194"/>
      <c r="AM129" s="268"/>
      <c r="AN129" s="143"/>
      <c r="AO129" s="143"/>
      <c r="AP129" s="143"/>
      <c r="AQ129" s="269"/>
      <c r="AR129" s="194"/>
      <c r="AS129" s="194"/>
      <c r="AT129" s="268"/>
      <c r="AU129" s="143"/>
      <c r="AV129" s="143"/>
      <c r="AW129" s="143"/>
      <c r="AX129" s="269"/>
      <c r="AY129" s="194"/>
      <c r="AZ129" s="194"/>
      <c r="BA129" s="268"/>
      <c r="BB129" s="143"/>
      <c r="BC129" s="143"/>
      <c r="BD129" s="143"/>
      <c r="BE129" s="269"/>
      <c r="BF129" s="194"/>
      <c r="BG129" s="194"/>
      <c r="BH129" s="268"/>
      <c r="BI129" s="143"/>
      <c r="BJ129" s="143"/>
      <c r="BK129" s="143"/>
      <c r="BL129" s="269"/>
      <c r="BM129" s="194"/>
      <c r="BN129" s="194"/>
      <c r="BO129" s="268"/>
      <c r="BP129" s="143"/>
      <c r="BQ129" s="143"/>
      <c r="BR129" s="143"/>
      <c r="BS129" s="269"/>
      <c r="BT129" s="194"/>
      <c r="BU129" s="194"/>
      <c r="BV129" s="268"/>
      <c r="BW129" s="143"/>
      <c r="BX129" s="143"/>
      <c r="BY129" s="143"/>
      <c r="BZ129" s="269"/>
      <c r="CA129" s="194"/>
      <c r="CB129" s="194"/>
      <c r="CC129" s="268"/>
      <c r="CD129" s="143"/>
      <c r="CE129" s="143"/>
      <c r="CF129" s="143"/>
      <c r="CG129" s="269"/>
      <c r="CH129" s="194"/>
      <c r="CI129" s="194"/>
      <c r="CJ129" s="268"/>
      <c r="CK129" s="143"/>
      <c r="CL129" s="143"/>
      <c r="CM129" s="143"/>
      <c r="CN129" s="269"/>
      <c r="CO129" s="194"/>
      <c r="CP129" s="194"/>
      <c r="CQ129" s="268"/>
      <c r="CR129" s="143"/>
      <c r="CS129" s="143"/>
      <c r="CT129" s="143"/>
      <c r="CU129" s="269"/>
      <c r="CV129" s="194"/>
      <c r="CW129" s="194"/>
      <c r="CX129" s="268"/>
      <c r="CY129" s="143"/>
      <c r="CZ129" s="143"/>
      <c r="DA129" s="143"/>
      <c r="DB129" s="269"/>
      <c r="DC129" s="194"/>
      <c r="DD129" s="194"/>
      <c r="DE129" s="268"/>
      <c r="DF129" s="143"/>
      <c r="DG129" s="143"/>
      <c r="DH129" s="143"/>
      <c r="DI129" s="269"/>
      <c r="DJ129" s="194"/>
      <c r="DK129" s="194"/>
      <c r="DL129" s="268"/>
      <c r="DM129" s="143"/>
      <c r="DN129" s="143"/>
      <c r="DO129" s="143"/>
      <c r="DP129" s="269"/>
      <c r="DQ129" s="194"/>
      <c r="DR129" s="194"/>
      <c r="DS129" s="268"/>
      <c r="DT129" s="143"/>
      <c r="DU129" s="143"/>
      <c r="DV129" s="143"/>
      <c r="DW129" s="269"/>
      <c r="DX129" s="194"/>
      <c r="DY129" s="194"/>
      <c r="DZ129" s="268"/>
      <c r="EA129" s="143"/>
      <c r="EB129" s="143"/>
      <c r="EC129" s="143"/>
      <c r="ED129" s="269"/>
      <c r="EE129" s="194"/>
      <c r="EF129" s="194"/>
      <c r="EG129" s="268"/>
      <c r="EH129" s="143"/>
      <c r="EI129" s="143"/>
      <c r="EJ129" s="143"/>
      <c r="EK129" s="269"/>
      <c r="EL129" s="194"/>
      <c r="EM129" s="194"/>
      <c r="EN129" s="268"/>
      <c r="EO129" s="143"/>
      <c r="EP129" s="143"/>
      <c r="EQ129" s="143"/>
      <c r="ER129" s="269"/>
      <c r="ES129" s="194"/>
      <c r="ET129" s="194"/>
      <c r="EU129" s="268"/>
      <c r="EV129" s="143"/>
      <c r="EW129" s="143"/>
      <c r="EX129" s="143"/>
      <c r="EY129" s="269"/>
      <c r="EZ129" s="194"/>
      <c r="FA129" s="194"/>
      <c r="FB129" s="268"/>
      <c r="FC129" s="143"/>
      <c r="FD129" s="143"/>
      <c r="FE129" s="143"/>
      <c r="FF129" s="269"/>
      <c r="FG129" s="194"/>
      <c r="FH129" s="194"/>
      <c r="FI129" s="268"/>
      <c r="FJ129" s="143"/>
      <c r="FK129" s="143"/>
      <c r="FL129" s="143"/>
      <c r="FM129" s="269"/>
      <c r="FN129" s="194"/>
      <c r="FO129" s="194"/>
      <c r="FP129" s="268"/>
      <c r="FQ129" s="143"/>
      <c r="FR129" s="143"/>
      <c r="FS129" s="143"/>
      <c r="FT129" s="269"/>
      <c r="FU129" s="194"/>
      <c r="FV129" s="194"/>
      <c r="FW129" s="268"/>
      <c r="FX129" s="143"/>
      <c r="FY129" s="143"/>
      <c r="FZ129" s="143"/>
      <c r="GA129" s="269"/>
      <c r="GB129" s="194"/>
      <c r="GC129" s="194"/>
      <c r="GD129" s="143"/>
      <c r="GE129" s="143"/>
      <c r="GF129" s="143"/>
      <c r="GG129" s="143"/>
      <c r="GH129" s="143"/>
      <c r="GI129" s="194"/>
      <c r="GJ129" s="194"/>
      <c r="GK129" s="143"/>
      <c r="GL129" s="143"/>
      <c r="GM129" s="143"/>
      <c r="GN129" s="143"/>
      <c r="GO129" s="143"/>
      <c r="GP129" s="210"/>
      <c r="GQ129" s="210"/>
      <c r="GR129" s="143"/>
      <c r="GS129" s="143"/>
      <c r="GT129" s="143"/>
      <c r="GU129" s="143"/>
      <c r="GV129" s="143"/>
      <c r="GW129" s="210"/>
      <c r="GX129" s="210"/>
      <c r="GY129" s="143"/>
      <c r="GZ129" s="143"/>
      <c r="HA129" s="143"/>
      <c r="HB129" s="143"/>
      <c r="HC129" s="143"/>
      <c r="HD129" s="210"/>
      <c r="HE129" s="210"/>
      <c r="HF129" s="143"/>
      <c r="HG129" s="143"/>
      <c r="HH129" s="143"/>
      <c r="HI129" s="143"/>
      <c r="HJ129" s="143"/>
      <c r="HK129" s="210"/>
      <c r="HL129" s="210"/>
      <c r="HM129" s="143"/>
      <c r="HN129" s="143"/>
      <c r="HO129" s="143"/>
      <c r="HP129" s="143"/>
      <c r="HQ129" s="143"/>
      <c r="HR129" s="143"/>
      <c r="HS129" s="143"/>
      <c r="HT129" s="143"/>
      <c r="HU129" s="143"/>
      <c r="HV129" s="143"/>
      <c r="HW129" s="143"/>
      <c r="HX129" s="143"/>
      <c r="HY129" s="203"/>
      <c r="HZ129" s="203"/>
      <c r="IA129" s="143"/>
      <c r="IB129" s="143"/>
      <c r="IC129" s="143"/>
      <c r="ID129" s="143"/>
      <c r="IE129" s="143"/>
      <c r="IF129" s="203"/>
      <c r="IG129" s="203"/>
      <c r="IH129" s="143"/>
      <c r="II129" s="143"/>
      <c r="IJ129" s="143"/>
      <c r="IK129" s="143"/>
      <c r="IL129" s="143"/>
      <c r="IM129" s="203"/>
      <c r="IN129" s="203"/>
      <c r="IO129" s="143"/>
      <c r="IP129" s="143"/>
      <c r="IQ129" s="227"/>
      <c r="IR129" s="227"/>
      <c r="IS129" s="227"/>
      <c r="IT129" s="203"/>
      <c r="IU129" s="203"/>
      <c r="IV129" s="143"/>
      <c r="IW129" s="143"/>
      <c r="IX129" s="143"/>
      <c r="IY129" s="143"/>
      <c r="IZ129" s="143"/>
      <c r="JA129" s="203"/>
      <c r="JB129" s="203"/>
      <c r="JC129" s="227"/>
      <c r="JD129" s="227"/>
      <c r="JE129" s="143"/>
      <c r="JF129" s="143"/>
      <c r="JG129" s="143"/>
      <c r="JH129" s="203"/>
      <c r="JI129" s="203"/>
      <c r="JJ129" s="143"/>
      <c r="JK129" s="143"/>
      <c r="JL129" s="143"/>
      <c r="JM129" s="143"/>
      <c r="JN129" s="143"/>
      <c r="JO129" s="203"/>
      <c r="JP129" s="203"/>
      <c r="JQ129" s="143"/>
      <c r="JR129" s="143"/>
      <c r="JS129" s="143"/>
      <c r="JT129" s="143"/>
      <c r="JU129" s="143"/>
      <c r="JV129" s="203"/>
      <c r="JW129" s="203"/>
      <c r="JX129" s="143"/>
      <c r="JY129" s="143"/>
      <c r="JZ129" s="143"/>
      <c r="KA129" s="143"/>
      <c r="KB129" s="143"/>
      <c r="KC129" s="203"/>
      <c r="KD129" s="203"/>
      <c r="KE129" s="143"/>
      <c r="KF129" s="143"/>
      <c r="KG129" s="143"/>
      <c r="KH129" s="143"/>
      <c r="KI129" s="143"/>
      <c r="KJ129" s="194"/>
      <c r="KK129" s="194"/>
      <c r="KL129" s="143"/>
      <c r="KM129" s="143"/>
      <c r="KN129" s="143"/>
      <c r="KO129" s="143"/>
      <c r="KP129" s="227"/>
      <c r="KQ129" s="194"/>
      <c r="KR129" s="194"/>
      <c r="KS129" s="143"/>
      <c r="KT129" s="143"/>
      <c r="KU129" s="143"/>
      <c r="KV129" s="143"/>
      <c r="KW129" s="143"/>
      <c r="KX129" s="210"/>
      <c r="KY129" s="210"/>
      <c r="KZ129" s="194"/>
      <c r="LA129" s="194"/>
      <c r="LB129" s="194"/>
      <c r="LC129" s="194"/>
      <c r="LD129" s="194"/>
      <c r="LE129" s="210"/>
      <c r="LF129" s="210"/>
      <c r="LG129" s="227"/>
      <c r="LH129" s="227"/>
      <c r="LI129" s="227"/>
      <c r="LJ129" s="227"/>
      <c r="LK129" s="227"/>
      <c r="LL129" s="227"/>
      <c r="LM129" s="210"/>
      <c r="LN129" s="227"/>
      <c r="LO129" s="227"/>
      <c r="LP129" s="227"/>
      <c r="LQ129" s="227"/>
      <c r="LR129" s="227"/>
      <c r="LS129" s="210"/>
      <c r="LT129" s="210"/>
      <c r="LU129" s="227"/>
      <c r="LV129" s="143"/>
      <c r="LW129" s="143"/>
      <c r="LX129" s="143"/>
      <c r="LY129" s="143"/>
      <c r="LZ129" s="203"/>
      <c r="MA129" s="203"/>
      <c r="MB129" s="143"/>
      <c r="MC129" s="143"/>
      <c r="MD129" s="143"/>
      <c r="ME129" s="143"/>
      <c r="MF129" s="143"/>
      <c r="MG129" s="203"/>
      <c r="MH129" s="203"/>
      <c r="MI129" s="143"/>
      <c r="MJ129" s="143"/>
      <c r="MK129" s="143"/>
      <c r="ML129" s="143"/>
      <c r="MM129" s="143"/>
      <c r="MN129" s="203"/>
      <c r="MO129" s="203"/>
      <c r="MP129" s="143"/>
      <c r="MQ129" s="143"/>
      <c r="MR129" s="143"/>
      <c r="MS129" s="143"/>
      <c r="MT129" s="143"/>
      <c r="MU129" s="203"/>
      <c r="MV129" s="203"/>
      <c r="MW129" s="143"/>
      <c r="MX129" s="143"/>
      <c r="MY129" s="143"/>
      <c r="MZ129" s="143"/>
      <c r="NA129" s="143"/>
      <c r="NB129" s="143"/>
      <c r="NC129" s="143"/>
      <c r="ND129" s="143"/>
    </row>
    <row r="130" spans="1:368" s="124" customFormat="1" ht="15" customHeight="1">
      <c r="A130" s="470"/>
      <c r="B130" s="461"/>
      <c r="C130" s="164" t="s">
        <v>12</v>
      </c>
      <c r="D130" s="268"/>
      <c r="E130" s="143"/>
      <c r="F130" s="143"/>
      <c r="G130" s="143"/>
      <c r="H130" s="269"/>
      <c r="I130" s="194"/>
      <c r="J130" s="194"/>
      <c r="K130" s="268"/>
      <c r="L130" s="143"/>
      <c r="M130" s="143"/>
      <c r="N130" s="143"/>
      <c r="O130" s="269"/>
      <c r="P130" s="194"/>
      <c r="Q130" s="194"/>
      <c r="R130" s="268"/>
      <c r="S130" s="143"/>
      <c r="T130" s="143"/>
      <c r="U130" s="143"/>
      <c r="V130" s="269"/>
      <c r="W130" s="194"/>
      <c r="X130" s="194"/>
      <c r="Y130" s="268"/>
      <c r="Z130" s="143"/>
      <c r="AA130" s="143"/>
      <c r="AB130" s="143"/>
      <c r="AC130" s="269"/>
      <c r="AD130" s="194"/>
      <c r="AE130" s="194"/>
      <c r="AF130" s="268"/>
      <c r="AG130" s="143"/>
      <c r="AH130" s="143"/>
      <c r="AI130" s="143"/>
      <c r="AJ130" s="269"/>
      <c r="AK130" s="194"/>
      <c r="AL130" s="194"/>
      <c r="AM130" s="268"/>
      <c r="AN130" s="143"/>
      <c r="AO130" s="143"/>
      <c r="AP130" s="143"/>
      <c r="AQ130" s="269"/>
      <c r="AR130" s="194"/>
      <c r="AS130" s="194"/>
      <c r="AT130" s="268"/>
      <c r="AU130" s="143"/>
      <c r="AV130" s="143"/>
      <c r="AW130" s="143"/>
      <c r="AX130" s="269"/>
      <c r="AY130" s="194"/>
      <c r="AZ130" s="194"/>
      <c r="BA130" s="268"/>
      <c r="BB130" s="143"/>
      <c r="BC130" s="143"/>
      <c r="BD130" s="143"/>
      <c r="BE130" s="269"/>
      <c r="BF130" s="194"/>
      <c r="BG130" s="194"/>
      <c r="BH130" s="268"/>
      <c r="BI130" s="143"/>
      <c r="BJ130" s="143"/>
      <c r="BK130" s="143"/>
      <c r="BL130" s="269"/>
      <c r="BM130" s="194"/>
      <c r="BN130" s="194"/>
      <c r="BO130" s="268"/>
      <c r="BP130" s="143"/>
      <c r="BQ130" s="143"/>
      <c r="BR130" s="143"/>
      <c r="BS130" s="269"/>
      <c r="BT130" s="194"/>
      <c r="BU130" s="194"/>
      <c r="BV130" s="268"/>
      <c r="BW130" s="143"/>
      <c r="BX130" s="143"/>
      <c r="BY130" s="143"/>
      <c r="BZ130" s="269"/>
      <c r="CA130" s="194"/>
      <c r="CB130" s="194"/>
      <c r="CC130" s="268"/>
      <c r="CD130" s="143"/>
      <c r="CE130" s="143"/>
      <c r="CF130" s="143"/>
      <c r="CG130" s="269"/>
      <c r="CH130" s="194"/>
      <c r="CI130" s="194"/>
      <c r="CJ130" s="268"/>
      <c r="CK130" s="143"/>
      <c r="CL130" s="143"/>
      <c r="CM130" s="143"/>
      <c r="CN130" s="269"/>
      <c r="CO130" s="194"/>
      <c r="CP130" s="194"/>
      <c r="CQ130" s="268"/>
      <c r="CR130" s="143"/>
      <c r="CS130" s="143"/>
      <c r="CT130" s="143"/>
      <c r="CU130" s="269"/>
      <c r="CV130" s="194"/>
      <c r="CW130" s="194"/>
      <c r="CX130" s="268"/>
      <c r="CY130" s="143"/>
      <c r="CZ130" s="143"/>
      <c r="DA130" s="143"/>
      <c r="DB130" s="269"/>
      <c r="DC130" s="194"/>
      <c r="DD130" s="194"/>
      <c r="DE130" s="268"/>
      <c r="DF130" s="143"/>
      <c r="DG130" s="143"/>
      <c r="DH130" s="143"/>
      <c r="DI130" s="269"/>
      <c r="DJ130" s="194"/>
      <c r="DK130" s="194"/>
      <c r="DL130" s="268"/>
      <c r="DM130" s="143"/>
      <c r="DN130" s="143"/>
      <c r="DO130" s="143"/>
      <c r="DP130" s="269"/>
      <c r="DQ130" s="194"/>
      <c r="DR130" s="194"/>
      <c r="DS130" s="268"/>
      <c r="DT130" s="143"/>
      <c r="DU130" s="143"/>
      <c r="DV130" s="143"/>
      <c r="DW130" s="269"/>
      <c r="DX130" s="194"/>
      <c r="DY130" s="194"/>
      <c r="DZ130" s="268"/>
      <c r="EA130" s="143"/>
      <c r="EB130" s="143"/>
      <c r="EC130" s="143"/>
      <c r="ED130" s="269"/>
      <c r="EE130" s="194"/>
      <c r="EF130" s="194"/>
      <c r="EG130" s="268"/>
      <c r="EH130" s="143"/>
      <c r="EI130" s="143"/>
      <c r="EJ130" s="143"/>
      <c r="EK130" s="269"/>
      <c r="EL130" s="194"/>
      <c r="EM130" s="194"/>
      <c r="EN130" s="268"/>
      <c r="EO130" s="143"/>
      <c r="EP130" s="143"/>
      <c r="EQ130" s="143"/>
      <c r="ER130" s="269"/>
      <c r="ES130" s="194"/>
      <c r="ET130" s="194"/>
      <c r="EU130" s="268"/>
      <c r="EV130" s="143"/>
      <c r="EW130" s="143"/>
      <c r="EX130" s="143"/>
      <c r="EY130" s="269"/>
      <c r="EZ130" s="194"/>
      <c r="FA130" s="194"/>
      <c r="FB130" s="268"/>
      <c r="FC130" s="143"/>
      <c r="FD130" s="143"/>
      <c r="FE130" s="143"/>
      <c r="FF130" s="269"/>
      <c r="FG130" s="194"/>
      <c r="FH130" s="194"/>
      <c r="FI130" s="268"/>
      <c r="FJ130" s="143"/>
      <c r="FK130" s="143"/>
      <c r="FL130" s="143"/>
      <c r="FM130" s="269"/>
      <c r="FN130" s="194"/>
      <c r="FO130" s="194"/>
      <c r="FP130" s="268"/>
      <c r="FQ130" s="143"/>
      <c r="FR130" s="143"/>
      <c r="FS130" s="143"/>
      <c r="FT130" s="269"/>
      <c r="FU130" s="194"/>
      <c r="FV130" s="194"/>
      <c r="FW130" s="268"/>
      <c r="FX130" s="143"/>
      <c r="FY130" s="143"/>
      <c r="FZ130" s="143"/>
      <c r="GA130" s="269"/>
      <c r="GB130" s="194"/>
      <c r="GC130" s="194"/>
      <c r="GD130" s="143"/>
      <c r="GE130" s="143"/>
      <c r="GF130" s="143"/>
      <c r="GG130" s="143"/>
      <c r="GH130" s="143"/>
      <c r="GI130" s="194"/>
      <c r="GJ130" s="194"/>
      <c r="GK130" s="143"/>
      <c r="GL130" s="143"/>
      <c r="GM130" s="143"/>
      <c r="GN130" s="143"/>
      <c r="GO130" s="143"/>
      <c r="GP130" s="210"/>
      <c r="GQ130" s="210"/>
      <c r="GR130" s="143"/>
      <c r="GS130" s="143"/>
      <c r="GT130" s="143"/>
      <c r="GU130" s="143"/>
      <c r="GV130" s="143"/>
      <c r="GW130" s="210"/>
      <c r="GX130" s="210"/>
      <c r="GY130" s="143"/>
      <c r="GZ130" s="143"/>
      <c r="HA130" s="143"/>
      <c r="HB130" s="143"/>
      <c r="HC130" s="143"/>
      <c r="HD130" s="210"/>
      <c r="HE130" s="210"/>
      <c r="HF130" s="143"/>
      <c r="HG130" s="143"/>
      <c r="HH130" s="143"/>
      <c r="HI130" s="143"/>
      <c r="HJ130" s="143"/>
      <c r="HK130" s="210"/>
      <c r="HL130" s="210"/>
      <c r="HM130" s="143"/>
      <c r="HN130" s="143"/>
      <c r="HO130" s="143"/>
      <c r="HP130" s="143"/>
      <c r="HQ130" s="143"/>
      <c r="HR130" s="143"/>
      <c r="HS130" s="143"/>
      <c r="HT130" s="143"/>
      <c r="HU130" s="143"/>
      <c r="HV130" s="143"/>
      <c r="HW130" s="143"/>
      <c r="HX130" s="143"/>
      <c r="HY130" s="203"/>
      <c r="HZ130" s="203"/>
      <c r="IA130" s="143"/>
      <c r="IB130" s="143"/>
      <c r="IC130" s="143"/>
      <c r="ID130" s="143"/>
      <c r="IE130" s="143"/>
      <c r="IF130" s="203"/>
      <c r="IG130" s="203"/>
      <c r="IH130" s="143"/>
      <c r="II130" s="143"/>
      <c r="IJ130" s="143"/>
      <c r="IK130" s="143"/>
      <c r="IL130" s="143"/>
      <c r="IM130" s="203"/>
      <c r="IN130" s="203"/>
      <c r="IO130" s="143"/>
      <c r="IP130" s="143"/>
      <c r="IQ130" s="227"/>
      <c r="IR130" s="227"/>
      <c r="IS130" s="227"/>
      <c r="IT130" s="203"/>
      <c r="IU130" s="203"/>
      <c r="IV130" s="143"/>
      <c r="IW130" s="143"/>
      <c r="IX130" s="143"/>
      <c r="IY130" s="143"/>
      <c r="IZ130" s="143"/>
      <c r="JA130" s="203"/>
      <c r="JB130" s="203"/>
      <c r="JC130" s="227"/>
      <c r="JD130" s="227"/>
      <c r="JE130" s="143"/>
      <c r="JF130" s="143"/>
      <c r="JG130" s="143"/>
      <c r="JH130" s="203"/>
      <c r="JI130" s="203"/>
      <c r="JJ130" s="143"/>
      <c r="JK130" s="143"/>
      <c r="JL130" s="143"/>
      <c r="JM130" s="143"/>
      <c r="JN130" s="143"/>
      <c r="JO130" s="203"/>
      <c r="JP130" s="203"/>
      <c r="JQ130" s="143"/>
      <c r="JR130" s="143"/>
      <c r="JS130" s="143"/>
      <c r="JT130" s="143"/>
      <c r="JU130" s="143"/>
      <c r="JV130" s="203"/>
      <c r="JW130" s="203"/>
      <c r="JX130" s="143"/>
      <c r="JY130" s="143"/>
      <c r="JZ130" s="143"/>
      <c r="KA130" s="143"/>
      <c r="KB130" s="143"/>
      <c r="KC130" s="203"/>
      <c r="KD130" s="203"/>
      <c r="KE130" s="143"/>
      <c r="KF130" s="143"/>
      <c r="KG130" s="143"/>
      <c r="KH130" s="143"/>
      <c r="KI130" s="143"/>
      <c r="KJ130" s="194"/>
      <c r="KK130" s="194"/>
      <c r="KL130" s="143"/>
      <c r="KM130" s="143"/>
      <c r="KN130" s="143"/>
      <c r="KO130" s="143"/>
      <c r="KP130" s="227"/>
      <c r="KQ130" s="194"/>
      <c r="KR130" s="194"/>
      <c r="KS130" s="143"/>
      <c r="KT130" s="143"/>
      <c r="KU130" s="143"/>
      <c r="KV130" s="143"/>
      <c r="KW130" s="143"/>
      <c r="KX130" s="210"/>
      <c r="KY130" s="210"/>
      <c r="KZ130" s="194"/>
      <c r="LA130" s="194"/>
      <c r="LB130" s="194"/>
      <c r="LC130" s="194"/>
      <c r="LD130" s="194"/>
      <c r="LE130" s="210"/>
      <c r="LF130" s="210"/>
      <c r="LG130" s="227"/>
      <c r="LH130" s="227"/>
      <c r="LI130" s="227"/>
      <c r="LJ130" s="227"/>
      <c r="LK130" s="227"/>
      <c r="LL130" s="227"/>
      <c r="LM130" s="210"/>
      <c r="LN130" s="227"/>
      <c r="LO130" s="227"/>
      <c r="LP130" s="227"/>
      <c r="LQ130" s="227"/>
      <c r="LR130" s="227"/>
      <c r="LS130" s="210"/>
      <c r="LT130" s="210"/>
      <c r="LU130" s="227"/>
      <c r="LV130" s="143"/>
      <c r="LW130" s="143"/>
      <c r="LX130" s="143"/>
      <c r="LY130" s="143"/>
      <c r="LZ130" s="203"/>
      <c r="MA130" s="203"/>
      <c r="MB130" s="143"/>
      <c r="MC130" s="143"/>
      <c r="MD130" s="143"/>
      <c r="ME130" s="143"/>
      <c r="MF130" s="143"/>
      <c r="MG130" s="203"/>
      <c r="MH130" s="203"/>
      <c r="MI130" s="143"/>
      <c r="MJ130" s="143"/>
      <c r="MK130" s="143"/>
      <c r="ML130" s="143"/>
      <c r="MM130" s="143"/>
      <c r="MN130" s="203"/>
      <c r="MO130" s="203"/>
      <c r="MP130" s="143"/>
      <c r="MQ130" s="143"/>
      <c r="MR130" s="143"/>
      <c r="MS130" s="143"/>
      <c r="MT130" s="143"/>
      <c r="MU130" s="203"/>
      <c r="MV130" s="203"/>
      <c r="MW130" s="143"/>
      <c r="MX130" s="143"/>
      <c r="MY130" s="143"/>
      <c r="MZ130" s="143"/>
      <c r="NA130" s="143"/>
      <c r="NB130" s="143"/>
      <c r="NC130" s="143"/>
      <c r="ND130" s="143"/>
    </row>
    <row r="131" spans="1:368" s="124" customFormat="1" ht="15" customHeight="1">
      <c r="A131" s="470"/>
      <c r="B131" s="461"/>
      <c r="C131" s="164" t="s">
        <v>13</v>
      </c>
      <c r="D131" s="268"/>
      <c r="E131" s="143"/>
      <c r="F131" s="143"/>
      <c r="G131" s="143"/>
      <c r="H131" s="269"/>
      <c r="I131" s="194"/>
      <c r="J131" s="194"/>
      <c r="K131" s="268"/>
      <c r="L131" s="143"/>
      <c r="M131" s="143"/>
      <c r="N131" s="143"/>
      <c r="O131" s="269"/>
      <c r="P131" s="194"/>
      <c r="Q131" s="194"/>
      <c r="R131" s="268"/>
      <c r="S131" s="143"/>
      <c r="T131" s="143"/>
      <c r="U131" s="143"/>
      <c r="V131" s="269"/>
      <c r="W131" s="194"/>
      <c r="X131" s="194"/>
      <c r="Y131" s="268"/>
      <c r="Z131" s="143"/>
      <c r="AA131" s="143"/>
      <c r="AB131" s="143"/>
      <c r="AC131" s="269"/>
      <c r="AD131" s="194"/>
      <c r="AE131" s="194"/>
      <c r="AF131" s="268"/>
      <c r="AG131" s="143"/>
      <c r="AH131" s="143"/>
      <c r="AI131" s="143"/>
      <c r="AJ131" s="269"/>
      <c r="AK131" s="194"/>
      <c r="AL131" s="194"/>
      <c r="AM131" s="268"/>
      <c r="AN131" s="143"/>
      <c r="AO131" s="143"/>
      <c r="AP131" s="143"/>
      <c r="AQ131" s="269"/>
      <c r="AR131" s="194"/>
      <c r="AS131" s="194"/>
      <c r="AT131" s="268"/>
      <c r="AU131" s="143"/>
      <c r="AV131" s="143"/>
      <c r="AW131" s="143"/>
      <c r="AX131" s="269"/>
      <c r="AY131" s="194"/>
      <c r="AZ131" s="194"/>
      <c r="BA131" s="268"/>
      <c r="BB131" s="143"/>
      <c r="BC131" s="143"/>
      <c r="BD131" s="143"/>
      <c r="BE131" s="269"/>
      <c r="BF131" s="194"/>
      <c r="BG131" s="194"/>
      <c r="BH131" s="268"/>
      <c r="BI131" s="143"/>
      <c r="BJ131" s="143"/>
      <c r="BK131" s="143"/>
      <c r="BL131" s="269"/>
      <c r="BM131" s="194"/>
      <c r="BN131" s="194"/>
      <c r="BO131" s="268"/>
      <c r="BP131" s="143"/>
      <c r="BQ131" s="143"/>
      <c r="BR131" s="143"/>
      <c r="BS131" s="269"/>
      <c r="BT131" s="194"/>
      <c r="BU131" s="194"/>
      <c r="BV131" s="268"/>
      <c r="BW131" s="143"/>
      <c r="BX131" s="143"/>
      <c r="BY131" s="143"/>
      <c r="BZ131" s="269"/>
      <c r="CA131" s="194"/>
      <c r="CB131" s="194"/>
      <c r="CC131" s="268"/>
      <c r="CD131" s="143"/>
      <c r="CE131" s="143"/>
      <c r="CF131" s="143"/>
      <c r="CG131" s="269"/>
      <c r="CH131" s="194"/>
      <c r="CI131" s="194"/>
      <c r="CJ131" s="268"/>
      <c r="CK131" s="143"/>
      <c r="CL131" s="143"/>
      <c r="CM131" s="143"/>
      <c r="CN131" s="269"/>
      <c r="CO131" s="194"/>
      <c r="CP131" s="194"/>
      <c r="CQ131" s="268"/>
      <c r="CR131" s="143"/>
      <c r="CS131" s="143"/>
      <c r="CT131" s="143"/>
      <c r="CU131" s="269"/>
      <c r="CV131" s="194"/>
      <c r="CW131" s="194"/>
      <c r="CX131" s="268"/>
      <c r="CY131" s="143"/>
      <c r="CZ131" s="143"/>
      <c r="DA131" s="143"/>
      <c r="DB131" s="269"/>
      <c r="DC131" s="194"/>
      <c r="DD131" s="194"/>
      <c r="DE131" s="268"/>
      <c r="DF131" s="143"/>
      <c r="DG131" s="143"/>
      <c r="DH131" s="143"/>
      <c r="DI131" s="269"/>
      <c r="DJ131" s="194"/>
      <c r="DK131" s="194"/>
      <c r="DL131" s="268"/>
      <c r="DM131" s="143"/>
      <c r="DN131" s="143"/>
      <c r="DO131" s="143"/>
      <c r="DP131" s="269"/>
      <c r="DQ131" s="194"/>
      <c r="DR131" s="194"/>
      <c r="DS131" s="268"/>
      <c r="DT131" s="143"/>
      <c r="DU131" s="143"/>
      <c r="DV131" s="143"/>
      <c r="DW131" s="269"/>
      <c r="DX131" s="194"/>
      <c r="DY131" s="194"/>
      <c r="DZ131" s="268"/>
      <c r="EA131" s="143"/>
      <c r="EB131" s="143"/>
      <c r="EC131" s="143"/>
      <c r="ED131" s="269"/>
      <c r="EE131" s="194"/>
      <c r="EF131" s="194"/>
      <c r="EG131" s="268"/>
      <c r="EH131" s="143"/>
      <c r="EI131" s="143"/>
      <c r="EJ131" s="143"/>
      <c r="EK131" s="269"/>
      <c r="EL131" s="194"/>
      <c r="EM131" s="194"/>
      <c r="EN131" s="268"/>
      <c r="EO131" s="143"/>
      <c r="EP131" s="143"/>
      <c r="EQ131" s="143"/>
      <c r="ER131" s="269"/>
      <c r="ES131" s="194"/>
      <c r="ET131" s="194"/>
      <c r="EU131" s="268"/>
      <c r="EV131" s="143"/>
      <c r="EW131" s="143"/>
      <c r="EX131" s="143"/>
      <c r="EY131" s="269"/>
      <c r="EZ131" s="194"/>
      <c r="FA131" s="194"/>
      <c r="FB131" s="268"/>
      <c r="FC131" s="143"/>
      <c r="FD131" s="143"/>
      <c r="FE131" s="143"/>
      <c r="FF131" s="269"/>
      <c r="FG131" s="194"/>
      <c r="FH131" s="194"/>
      <c r="FI131" s="268"/>
      <c r="FJ131" s="143"/>
      <c r="FK131" s="143"/>
      <c r="FL131" s="143"/>
      <c r="FM131" s="269"/>
      <c r="FN131" s="194"/>
      <c r="FO131" s="194"/>
      <c r="FP131" s="268"/>
      <c r="FQ131" s="143"/>
      <c r="FR131" s="143"/>
      <c r="FS131" s="143"/>
      <c r="FT131" s="269"/>
      <c r="FU131" s="194"/>
      <c r="FV131" s="194"/>
      <c r="FW131" s="268"/>
      <c r="FX131" s="143"/>
      <c r="FY131" s="143"/>
      <c r="FZ131" s="143"/>
      <c r="GA131" s="269"/>
      <c r="GB131" s="194"/>
      <c r="GC131" s="194"/>
      <c r="GD131" s="143"/>
      <c r="GE131" s="143"/>
      <c r="GF131" s="143"/>
      <c r="GG131" s="143"/>
      <c r="GH131" s="143"/>
      <c r="GI131" s="194"/>
      <c r="GJ131" s="194"/>
      <c r="GK131" s="143"/>
      <c r="GL131" s="143"/>
      <c r="GM131" s="143"/>
      <c r="GN131" s="143"/>
      <c r="GO131" s="143"/>
      <c r="GP131" s="210"/>
      <c r="GQ131" s="210"/>
      <c r="GR131" s="143"/>
      <c r="GS131" s="143"/>
      <c r="GT131" s="143"/>
      <c r="GU131" s="143"/>
      <c r="GV131" s="143"/>
      <c r="GW131" s="210"/>
      <c r="GX131" s="210"/>
      <c r="GY131" s="143"/>
      <c r="GZ131" s="143"/>
      <c r="HA131" s="143"/>
      <c r="HB131" s="143"/>
      <c r="HC131" s="143"/>
      <c r="HD131" s="210"/>
      <c r="HE131" s="210"/>
      <c r="HF131" s="143"/>
      <c r="HG131" s="143"/>
      <c r="HH131" s="143"/>
      <c r="HI131" s="143"/>
      <c r="HJ131" s="143"/>
      <c r="HK131" s="210"/>
      <c r="HL131" s="210"/>
      <c r="HM131" s="143"/>
      <c r="HN131" s="143"/>
      <c r="HO131" s="143"/>
      <c r="HP131" s="143"/>
      <c r="HQ131" s="143"/>
      <c r="HR131" s="143"/>
      <c r="HS131" s="143"/>
      <c r="HT131" s="143"/>
      <c r="HU131" s="143"/>
      <c r="HV131" s="143"/>
      <c r="HW131" s="143"/>
      <c r="HX131" s="143"/>
      <c r="HY131" s="203"/>
      <c r="HZ131" s="203"/>
      <c r="IA131" s="143"/>
      <c r="IB131" s="143"/>
      <c r="IC131" s="143"/>
      <c r="ID131" s="143"/>
      <c r="IE131" s="143"/>
      <c r="IF131" s="203"/>
      <c r="IG131" s="203"/>
      <c r="IH131" s="143"/>
      <c r="II131" s="143"/>
      <c r="IJ131" s="143"/>
      <c r="IK131" s="143"/>
      <c r="IL131" s="143"/>
      <c r="IM131" s="203"/>
      <c r="IN131" s="203"/>
      <c r="IO131" s="143"/>
      <c r="IP131" s="143"/>
      <c r="IQ131" s="227"/>
      <c r="IR131" s="227"/>
      <c r="IS131" s="227"/>
      <c r="IT131" s="203"/>
      <c r="IU131" s="203"/>
      <c r="IV131" s="143"/>
      <c r="IW131" s="143"/>
      <c r="IX131" s="143"/>
      <c r="IY131" s="143"/>
      <c r="IZ131" s="143"/>
      <c r="JA131" s="203"/>
      <c r="JB131" s="203"/>
      <c r="JC131" s="227"/>
      <c r="JD131" s="227"/>
      <c r="JE131" s="143"/>
      <c r="JF131" s="143"/>
      <c r="JG131" s="143"/>
      <c r="JH131" s="203"/>
      <c r="JI131" s="203"/>
      <c r="JJ131" s="143"/>
      <c r="JK131" s="143"/>
      <c r="JL131" s="143"/>
      <c r="JM131" s="143"/>
      <c r="JN131" s="143"/>
      <c r="JO131" s="203"/>
      <c r="JP131" s="203"/>
      <c r="JQ131" s="143"/>
      <c r="JR131" s="143"/>
      <c r="JS131" s="143"/>
      <c r="JT131" s="143"/>
      <c r="JU131" s="143"/>
      <c r="JV131" s="203"/>
      <c r="JW131" s="203"/>
      <c r="JX131" s="143"/>
      <c r="JY131" s="143"/>
      <c r="JZ131" s="143"/>
      <c r="KA131" s="143"/>
      <c r="KB131" s="143"/>
      <c r="KC131" s="203"/>
      <c r="KD131" s="203"/>
      <c r="KE131" s="143"/>
      <c r="KF131" s="143"/>
      <c r="KG131" s="143"/>
      <c r="KH131" s="143"/>
      <c r="KI131" s="143"/>
      <c r="KJ131" s="194"/>
      <c r="KK131" s="194"/>
      <c r="KL131" s="143"/>
      <c r="KM131" s="143"/>
      <c r="KN131" s="143"/>
      <c r="KO131" s="143"/>
      <c r="KP131" s="227"/>
      <c r="KQ131" s="194"/>
      <c r="KR131" s="194"/>
      <c r="KS131" s="139"/>
      <c r="KT131" s="139"/>
      <c r="KU131" s="143"/>
      <c r="KV131" s="143"/>
      <c r="KW131" s="143"/>
      <c r="KX131" s="210"/>
      <c r="KY131" s="210"/>
      <c r="KZ131" s="194"/>
      <c r="LA131" s="194"/>
      <c r="LB131" s="194"/>
      <c r="LC131" s="194"/>
      <c r="LD131" s="194"/>
      <c r="LE131" s="210"/>
      <c r="LF131" s="210"/>
      <c r="LG131" s="227"/>
      <c r="LH131" s="227"/>
      <c r="LI131" s="227"/>
      <c r="LJ131" s="227"/>
      <c r="LK131" s="227"/>
      <c r="LL131" s="227"/>
      <c r="LM131" s="210"/>
      <c r="LN131" s="227"/>
      <c r="LO131" s="227"/>
      <c r="LP131" s="227"/>
      <c r="LQ131" s="227"/>
      <c r="LR131" s="227"/>
      <c r="LS131" s="210"/>
      <c r="LT131" s="210"/>
      <c r="LU131" s="227"/>
      <c r="LV131" s="143"/>
      <c r="LW131" s="143"/>
      <c r="LX131" s="143"/>
      <c r="LY131" s="143"/>
      <c r="LZ131" s="203"/>
      <c r="MA131" s="203"/>
      <c r="MB131" s="143"/>
      <c r="MC131" s="143"/>
      <c r="MD131" s="143"/>
      <c r="ME131" s="143"/>
      <c r="MF131" s="143"/>
      <c r="MG131" s="203"/>
      <c r="MH131" s="203"/>
      <c r="MI131" s="143"/>
      <c r="MJ131" s="143"/>
      <c r="MK131" s="143"/>
      <c r="ML131" s="143"/>
      <c r="MM131" s="143"/>
      <c r="MN131" s="203"/>
      <c r="MO131" s="203"/>
      <c r="MP131" s="143"/>
      <c r="MQ131" s="143"/>
      <c r="MR131" s="143"/>
      <c r="MS131" s="143"/>
      <c r="MT131" s="143"/>
      <c r="MU131" s="203"/>
      <c r="MV131" s="203"/>
      <c r="MW131" s="143"/>
      <c r="MX131" s="143"/>
      <c r="MY131" s="143"/>
      <c r="MZ131" s="143"/>
      <c r="NA131" s="143"/>
      <c r="NB131" s="143"/>
      <c r="NC131" s="143"/>
      <c r="ND131" s="143"/>
    </row>
    <row r="132" spans="1:368" s="140" customFormat="1" ht="15" customHeight="1" thickBot="1">
      <c r="A132" s="470"/>
      <c r="B132" s="461"/>
      <c r="C132" s="162" t="s">
        <v>98</v>
      </c>
      <c r="D132" s="260"/>
      <c r="E132" s="261"/>
      <c r="F132" s="261"/>
      <c r="G132" s="261"/>
      <c r="H132" s="262"/>
      <c r="I132" s="192"/>
      <c r="J132" s="192"/>
      <c r="K132" s="260"/>
      <c r="L132" s="261"/>
      <c r="M132" s="261"/>
      <c r="N132" s="261"/>
      <c r="O132" s="262"/>
      <c r="P132" s="192"/>
      <c r="Q132" s="192"/>
      <c r="R132" s="260"/>
      <c r="S132" s="261"/>
      <c r="T132" s="261"/>
      <c r="U132" s="261"/>
      <c r="V132" s="262"/>
      <c r="W132" s="192"/>
      <c r="X132" s="192"/>
      <c r="Y132" s="260"/>
      <c r="Z132" s="261"/>
      <c r="AA132" s="261"/>
      <c r="AB132" s="261"/>
      <c r="AC132" s="262"/>
      <c r="AD132" s="192"/>
      <c r="AE132" s="192"/>
      <c r="AF132" s="260"/>
      <c r="AG132" s="261"/>
      <c r="AH132" s="261"/>
      <c r="AI132" s="261"/>
      <c r="AJ132" s="262"/>
      <c r="AK132" s="192"/>
      <c r="AL132" s="192"/>
      <c r="AM132" s="260"/>
      <c r="AN132" s="261"/>
      <c r="AO132" s="261"/>
      <c r="AP132" s="261"/>
      <c r="AQ132" s="262"/>
      <c r="AR132" s="192"/>
      <c r="AS132" s="192"/>
      <c r="AT132" s="260"/>
      <c r="AU132" s="261"/>
      <c r="AV132" s="261"/>
      <c r="AW132" s="261"/>
      <c r="AX132" s="262"/>
      <c r="AY132" s="192"/>
      <c r="AZ132" s="192"/>
      <c r="BA132" s="260"/>
      <c r="BB132" s="261"/>
      <c r="BC132" s="261"/>
      <c r="BD132" s="261"/>
      <c r="BE132" s="262"/>
      <c r="BF132" s="192"/>
      <c r="BG132" s="192"/>
      <c r="BH132" s="260"/>
      <c r="BI132" s="261"/>
      <c r="BJ132" s="261"/>
      <c r="BK132" s="261"/>
      <c r="BL132" s="262"/>
      <c r="BM132" s="192"/>
      <c r="BN132" s="192"/>
      <c r="BO132" s="260"/>
      <c r="BP132" s="261"/>
      <c r="BQ132" s="261"/>
      <c r="BR132" s="261"/>
      <c r="BS132" s="262"/>
      <c r="BT132" s="192"/>
      <c r="BU132" s="192"/>
      <c r="BV132" s="260"/>
      <c r="BW132" s="261"/>
      <c r="BX132" s="261"/>
      <c r="BY132" s="261"/>
      <c r="BZ132" s="262"/>
      <c r="CA132" s="192"/>
      <c r="CB132" s="192"/>
      <c r="CC132" s="260"/>
      <c r="CD132" s="261"/>
      <c r="CE132" s="261"/>
      <c r="CF132" s="261"/>
      <c r="CG132" s="262"/>
      <c r="CH132" s="192"/>
      <c r="CI132" s="192"/>
      <c r="CJ132" s="260"/>
      <c r="CK132" s="261"/>
      <c r="CL132" s="261"/>
      <c r="CM132" s="261"/>
      <c r="CN132" s="262"/>
      <c r="CO132" s="192"/>
      <c r="CP132" s="192"/>
      <c r="CQ132" s="260"/>
      <c r="CR132" s="261"/>
      <c r="CS132" s="261"/>
      <c r="CT132" s="261"/>
      <c r="CU132" s="262"/>
      <c r="CV132" s="192"/>
      <c r="CW132" s="192"/>
      <c r="CX132" s="260"/>
      <c r="CY132" s="261"/>
      <c r="CZ132" s="261"/>
      <c r="DA132" s="261"/>
      <c r="DB132" s="262"/>
      <c r="DC132" s="192"/>
      <c r="DD132" s="192"/>
      <c r="DE132" s="260"/>
      <c r="DF132" s="261"/>
      <c r="DG132" s="261"/>
      <c r="DH132" s="261"/>
      <c r="DI132" s="262"/>
      <c r="DJ132" s="192"/>
      <c r="DK132" s="192"/>
      <c r="DL132" s="260"/>
      <c r="DM132" s="261"/>
      <c r="DN132" s="261"/>
      <c r="DO132" s="261"/>
      <c r="DP132" s="262"/>
      <c r="DQ132" s="192"/>
      <c r="DR132" s="192"/>
      <c r="DS132" s="260"/>
      <c r="DT132" s="261"/>
      <c r="DU132" s="261"/>
      <c r="DV132" s="261"/>
      <c r="DW132" s="262"/>
      <c r="DX132" s="192"/>
      <c r="DY132" s="192"/>
      <c r="DZ132" s="260"/>
      <c r="EA132" s="261"/>
      <c r="EB132" s="261"/>
      <c r="EC132" s="261"/>
      <c r="ED132" s="262"/>
      <c r="EE132" s="192"/>
      <c r="EF132" s="192"/>
      <c r="EG132" s="260"/>
      <c r="EH132" s="261"/>
      <c r="EI132" s="261"/>
      <c r="EJ132" s="261"/>
      <c r="EK132" s="262"/>
      <c r="EL132" s="192"/>
      <c r="EM132" s="192"/>
      <c r="EN132" s="260"/>
      <c r="EO132" s="261"/>
      <c r="EP132" s="261"/>
      <c r="EQ132" s="261"/>
      <c r="ER132" s="262"/>
      <c r="ES132" s="192"/>
      <c r="ET132" s="192"/>
      <c r="EU132" s="260"/>
      <c r="EV132" s="261"/>
      <c r="EW132" s="261"/>
      <c r="EX132" s="261"/>
      <c r="EY132" s="262"/>
      <c r="EZ132" s="192"/>
      <c r="FA132" s="192"/>
      <c r="FB132" s="260"/>
      <c r="FC132" s="261"/>
      <c r="FD132" s="261"/>
      <c r="FE132" s="261"/>
      <c r="FF132" s="262"/>
      <c r="FG132" s="192"/>
      <c r="FH132" s="192"/>
      <c r="FI132" s="260"/>
      <c r="FJ132" s="261"/>
      <c r="FK132" s="261"/>
      <c r="FL132" s="261"/>
      <c r="FM132" s="262"/>
      <c r="FN132" s="192"/>
      <c r="FO132" s="192"/>
      <c r="FP132" s="260"/>
      <c r="FQ132" s="261"/>
      <c r="FR132" s="261"/>
      <c r="FS132" s="261"/>
      <c r="FT132" s="262"/>
      <c r="FU132" s="192"/>
      <c r="FV132" s="192"/>
      <c r="FW132" s="260"/>
      <c r="FX132" s="261"/>
      <c r="FY132" s="261"/>
      <c r="FZ132" s="261"/>
      <c r="GA132" s="262"/>
      <c r="GB132" s="192"/>
      <c r="GC132" s="192"/>
      <c r="GD132" s="139"/>
      <c r="GE132" s="139"/>
      <c r="GF132" s="139"/>
      <c r="GG132" s="139"/>
      <c r="GH132" s="139"/>
      <c r="GI132" s="192"/>
      <c r="GJ132" s="192"/>
      <c r="GK132" s="139"/>
      <c r="GL132" s="139"/>
      <c r="GM132" s="139"/>
      <c r="GN132" s="139"/>
      <c r="GO132" s="139"/>
      <c r="GP132" s="208"/>
      <c r="GQ132" s="208"/>
      <c r="GR132" s="139"/>
      <c r="GS132" s="139"/>
      <c r="GT132" s="139"/>
      <c r="GU132" s="139"/>
      <c r="GV132" s="139"/>
      <c r="GW132" s="208"/>
      <c r="GX132" s="208"/>
      <c r="GY132" s="139"/>
      <c r="GZ132" s="139"/>
      <c r="HA132" s="139"/>
      <c r="HB132" s="139"/>
      <c r="HC132" s="139"/>
      <c r="HD132" s="208"/>
      <c r="HE132" s="208"/>
      <c r="HF132" s="139"/>
      <c r="HG132" s="139"/>
      <c r="HH132" s="139"/>
      <c r="HI132" s="139"/>
      <c r="HJ132" s="139"/>
      <c r="HK132" s="208"/>
      <c r="HL132" s="208"/>
      <c r="HM132" s="139"/>
      <c r="HN132" s="139"/>
      <c r="HO132" s="139"/>
      <c r="HP132" s="139"/>
      <c r="HQ132" s="139"/>
      <c r="HR132" s="139"/>
      <c r="HS132" s="139"/>
      <c r="HT132" s="139"/>
      <c r="HU132" s="139"/>
      <c r="HV132" s="139"/>
      <c r="HW132" s="139"/>
      <c r="HX132" s="139"/>
      <c r="HY132" s="202"/>
      <c r="HZ132" s="202"/>
      <c r="IA132" s="139"/>
      <c r="IB132" s="139"/>
      <c r="IC132" s="139"/>
      <c r="ID132" s="139"/>
      <c r="IE132" s="139"/>
      <c r="IF132" s="202"/>
      <c r="IG132" s="202"/>
      <c r="IH132" s="139"/>
      <c r="II132" s="139"/>
      <c r="IJ132" s="139"/>
      <c r="IK132" s="139"/>
      <c r="IL132" s="139"/>
      <c r="IM132" s="202"/>
      <c r="IN132" s="202"/>
      <c r="IO132" s="139"/>
      <c r="IP132" s="139"/>
      <c r="IQ132" s="228"/>
      <c r="IR132" s="228"/>
      <c r="IS132" s="228"/>
      <c r="IT132" s="202"/>
      <c r="IU132" s="202"/>
      <c r="IV132" s="139"/>
      <c r="IW132" s="139"/>
      <c r="IX132" s="143"/>
      <c r="IY132" s="139"/>
      <c r="IZ132" s="139"/>
      <c r="JA132" s="202"/>
      <c r="JB132" s="202"/>
      <c r="JC132" s="228"/>
      <c r="JD132" s="228"/>
      <c r="JE132" s="139"/>
      <c r="JF132" s="139"/>
      <c r="JG132" s="139"/>
      <c r="JH132" s="202"/>
      <c r="JI132" s="202"/>
      <c r="JJ132" s="139"/>
      <c r="JK132" s="139"/>
      <c r="JL132" s="139"/>
      <c r="JM132" s="139"/>
      <c r="JN132" s="139"/>
      <c r="JO132" s="202"/>
      <c r="JP132" s="202"/>
      <c r="JQ132" s="139"/>
      <c r="JR132" s="139"/>
      <c r="JS132" s="139"/>
      <c r="JT132" s="139"/>
      <c r="JU132" s="139"/>
      <c r="JV132" s="202"/>
      <c r="JW132" s="202"/>
      <c r="JX132" s="139"/>
      <c r="JY132" s="139"/>
      <c r="JZ132" s="139"/>
      <c r="KA132" s="139"/>
      <c r="KB132" s="139"/>
      <c r="KC132" s="202"/>
      <c r="KD132" s="202"/>
      <c r="KE132" s="139"/>
      <c r="KF132" s="139"/>
      <c r="KG132" s="139"/>
      <c r="KH132" s="139"/>
      <c r="KI132" s="139"/>
      <c r="KJ132" s="192"/>
      <c r="KK132" s="192"/>
      <c r="KL132" s="139"/>
      <c r="KM132" s="139"/>
      <c r="KN132" s="139"/>
      <c r="KO132" s="139"/>
      <c r="KP132" s="228"/>
      <c r="KQ132" s="192"/>
      <c r="KR132" s="192"/>
      <c r="KS132" s="285"/>
      <c r="KT132" s="285"/>
      <c r="KU132" s="139"/>
      <c r="KV132" s="139"/>
      <c r="KW132" s="139"/>
      <c r="KX132" s="208"/>
      <c r="KY132" s="208"/>
      <c r="KZ132" s="192"/>
      <c r="LA132" s="192"/>
      <c r="LB132" s="192"/>
      <c r="LC132" s="192"/>
      <c r="LD132" s="192"/>
      <c r="LE132" s="208"/>
      <c r="LF132" s="208"/>
      <c r="LG132" s="228"/>
      <c r="LH132" s="228"/>
      <c r="LI132" s="228"/>
      <c r="LJ132" s="228"/>
      <c r="LK132" s="228"/>
      <c r="LL132" s="228"/>
      <c r="LM132" s="208"/>
      <c r="LN132" s="228"/>
      <c r="LO132" s="228"/>
      <c r="LP132" s="228"/>
      <c r="LQ132" s="228"/>
      <c r="LR132" s="228"/>
      <c r="LS132" s="208"/>
      <c r="LT132" s="208"/>
      <c r="LU132" s="228"/>
      <c r="LV132" s="139"/>
      <c r="LW132" s="139"/>
      <c r="LX132" s="139"/>
      <c r="LY132" s="139"/>
      <c r="LZ132" s="202"/>
      <c r="MA132" s="202"/>
      <c r="MB132" s="139"/>
      <c r="MC132" s="139"/>
      <c r="MD132" s="139"/>
      <c r="ME132" s="139"/>
      <c r="MF132" s="139"/>
      <c r="MG132" s="202"/>
      <c r="MH132" s="202"/>
      <c r="MI132" s="139"/>
      <c r="MJ132" s="139"/>
      <c r="MK132" s="139"/>
      <c r="ML132" s="139"/>
      <c r="MM132" s="139"/>
      <c r="MN132" s="202"/>
      <c r="MO132" s="202"/>
      <c r="MP132" s="139"/>
      <c r="MQ132" s="139"/>
      <c r="MR132" s="139"/>
      <c r="MS132" s="139"/>
      <c r="MT132" s="139"/>
      <c r="MU132" s="202"/>
      <c r="MV132" s="202"/>
      <c r="MW132" s="139"/>
      <c r="MX132" s="139"/>
      <c r="MY132" s="139"/>
      <c r="MZ132" s="139"/>
      <c r="NA132" s="139"/>
      <c r="NB132" s="139"/>
      <c r="NC132" s="139"/>
      <c r="ND132" s="139"/>
    </row>
    <row r="133" spans="1:368" s="154" customFormat="1" ht="15" hidden="1" customHeight="1" thickBot="1">
      <c r="A133" s="478"/>
      <c r="B133" s="480"/>
      <c r="C133" s="165" t="s">
        <v>93</v>
      </c>
      <c r="D133" s="272"/>
      <c r="E133" s="152"/>
      <c r="F133" s="152"/>
      <c r="G133" s="152"/>
      <c r="H133" s="273"/>
      <c r="I133" s="194"/>
      <c r="J133" s="194"/>
      <c r="K133" s="272"/>
      <c r="L133" s="152"/>
      <c r="M133" s="152"/>
      <c r="N133" s="152"/>
      <c r="O133" s="273"/>
      <c r="P133" s="194"/>
      <c r="Q133" s="194"/>
      <c r="R133" s="272"/>
      <c r="S133" s="152"/>
      <c r="T133" s="152"/>
      <c r="U133" s="152"/>
      <c r="V133" s="273"/>
      <c r="W133" s="194"/>
      <c r="X133" s="194"/>
      <c r="Y133" s="272"/>
      <c r="Z133" s="152"/>
      <c r="AA133" s="152"/>
      <c r="AB133" s="152"/>
      <c r="AC133" s="273"/>
      <c r="AD133" s="194"/>
      <c r="AE133" s="194"/>
      <c r="AF133" s="272"/>
      <c r="AG133" s="152"/>
      <c r="AH133" s="152"/>
      <c r="AI133" s="152"/>
      <c r="AJ133" s="273"/>
      <c r="AK133" s="194"/>
      <c r="AL133" s="194"/>
      <c r="AM133" s="272"/>
      <c r="AN133" s="152"/>
      <c r="AO133" s="152"/>
      <c r="AP133" s="152"/>
      <c r="AQ133" s="273"/>
      <c r="AR133" s="194"/>
      <c r="AS133" s="194"/>
      <c r="AT133" s="272"/>
      <c r="AU133" s="152"/>
      <c r="AV133" s="152"/>
      <c r="AW133" s="152"/>
      <c r="AX133" s="273"/>
      <c r="AY133" s="194"/>
      <c r="AZ133" s="194"/>
      <c r="BA133" s="272"/>
      <c r="BB133" s="152"/>
      <c r="BC133" s="152"/>
      <c r="BD133" s="152"/>
      <c r="BE133" s="273"/>
      <c r="BF133" s="194"/>
      <c r="BG133" s="194"/>
      <c r="BH133" s="272"/>
      <c r="BI133" s="152"/>
      <c r="BJ133" s="152"/>
      <c r="BK133" s="152"/>
      <c r="BL133" s="273"/>
      <c r="BM133" s="194"/>
      <c r="BN133" s="194"/>
      <c r="BO133" s="272"/>
      <c r="BP133" s="152"/>
      <c r="BQ133" s="152"/>
      <c r="BR133" s="152"/>
      <c r="BS133" s="273"/>
      <c r="BT133" s="194"/>
      <c r="BU133" s="194"/>
      <c r="BV133" s="272"/>
      <c r="BW133" s="152"/>
      <c r="BX133" s="152"/>
      <c r="BY133" s="152"/>
      <c r="BZ133" s="273"/>
      <c r="CA133" s="194"/>
      <c r="CB133" s="194"/>
      <c r="CC133" s="272"/>
      <c r="CD133" s="152"/>
      <c r="CE133" s="152"/>
      <c r="CF133" s="152"/>
      <c r="CG133" s="273"/>
      <c r="CH133" s="194"/>
      <c r="CI133" s="194"/>
      <c r="CJ133" s="272"/>
      <c r="CK133" s="152"/>
      <c r="CL133" s="152"/>
      <c r="CM133" s="152"/>
      <c r="CN133" s="273"/>
      <c r="CO133" s="194"/>
      <c r="CP133" s="194"/>
      <c r="CQ133" s="272"/>
      <c r="CR133" s="152"/>
      <c r="CS133" s="152"/>
      <c r="CT133" s="152"/>
      <c r="CU133" s="273"/>
      <c r="CV133" s="194"/>
      <c r="CW133" s="194"/>
      <c r="CX133" s="272"/>
      <c r="CY133" s="152"/>
      <c r="CZ133" s="152"/>
      <c r="DA133" s="152"/>
      <c r="DB133" s="273"/>
      <c r="DC133" s="194"/>
      <c r="DD133" s="194"/>
      <c r="DE133" s="272"/>
      <c r="DF133" s="152"/>
      <c r="DG133" s="152"/>
      <c r="DH133" s="152"/>
      <c r="DI133" s="273"/>
      <c r="DJ133" s="194"/>
      <c r="DK133" s="194"/>
      <c r="DL133" s="272"/>
      <c r="DM133" s="152"/>
      <c r="DN133" s="152"/>
      <c r="DO133" s="152"/>
      <c r="DP133" s="273"/>
      <c r="DQ133" s="194"/>
      <c r="DR133" s="194"/>
      <c r="DS133" s="272"/>
      <c r="DT133" s="152"/>
      <c r="DU133" s="152"/>
      <c r="DV133" s="152"/>
      <c r="DW133" s="273"/>
      <c r="DX133" s="194"/>
      <c r="DY133" s="194"/>
      <c r="DZ133" s="272"/>
      <c r="EA133" s="152"/>
      <c r="EB133" s="152"/>
      <c r="EC133" s="152"/>
      <c r="ED133" s="273"/>
      <c r="EE133" s="194"/>
      <c r="EF133" s="194"/>
      <c r="EG133" s="272"/>
      <c r="EH133" s="152"/>
      <c r="EI133" s="152"/>
      <c r="EJ133" s="152"/>
      <c r="EK133" s="273"/>
      <c r="EL133" s="194"/>
      <c r="EM133" s="194"/>
      <c r="EN133" s="272"/>
      <c r="EO133" s="152"/>
      <c r="EP133" s="152"/>
      <c r="EQ133" s="152"/>
      <c r="ER133" s="273"/>
      <c r="ES133" s="194"/>
      <c r="ET133" s="194"/>
      <c r="EU133" s="272"/>
      <c r="EV133" s="152"/>
      <c r="EW133" s="152"/>
      <c r="EX133" s="152"/>
      <c r="EY133" s="273"/>
      <c r="EZ133" s="194"/>
      <c r="FA133" s="194"/>
      <c r="FB133" s="272"/>
      <c r="FC133" s="152"/>
      <c r="FD133" s="152"/>
      <c r="FE133" s="152"/>
      <c r="FF133" s="273"/>
      <c r="FG133" s="194"/>
      <c r="FH133" s="194"/>
      <c r="FI133" s="272"/>
      <c r="FJ133" s="152"/>
      <c r="FK133" s="152"/>
      <c r="FL133" s="152"/>
      <c r="FM133" s="273"/>
      <c r="FN133" s="194"/>
      <c r="FO133" s="194"/>
      <c r="FP133" s="272"/>
      <c r="FQ133" s="152"/>
      <c r="FR133" s="152"/>
      <c r="FS133" s="152"/>
      <c r="FT133" s="273"/>
      <c r="FU133" s="194"/>
      <c r="FV133" s="194"/>
      <c r="FW133" s="272"/>
      <c r="FX133" s="152"/>
      <c r="FY133" s="152"/>
      <c r="FZ133" s="152"/>
      <c r="GA133" s="273"/>
      <c r="GB133" s="194"/>
      <c r="GC133" s="194"/>
      <c r="GD133" s="152"/>
      <c r="GE133" s="152"/>
      <c r="GF133" s="152"/>
      <c r="GG133" s="152"/>
      <c r="GH133" s="152"/>
      <c r="GI133" s="194"/>
      <c r="GJ133" s="194"/>
      <c r="GK133" s="152"/>
      <c r="GL133" s="152"/>
      <c r="GM133" s="152"/>
      <c r="GN133" s="152"/>
      <c r="GO133" s="152"/>
      <c r="GP133" s="210"/>
      <c r="GQ133" s="210"/>
      <c r="GR133" s="152"/>
      <c r="GS133" s="152"/>
      <c r="GT133" s="152"/>
      <c r="GU133" s="152"/>
      <c r="GV133" s="152"/>
      <c r="GW133" s="210"/>
      <c r="GX133" s="210"/>
      <c r="GY133" s="152"/>
      <c r="GZ133" s="152"/>
      <c r="HA133" s="152"/>
      <c r="HB133" s="152"/>
      <c r="HC133" s="152"/>
      <c r="HD133" s="210"/>
      <c r="HE133" s="210"/>
      <c r="HF133" s="152"/>
      <c r="HG133" s="152"/>
      <c r="HH133" s="152"/>
      <c r="HI133" s="152"/>
      <c r="HJ133" s="152"/>
      <c r="HK133" s="210"/>
      <c r="HL133" s="210"/>
      <c r="HM133" s="152"/>
      <c r="HN133" s="152"/>
      <c r="HO133" s="152"/>
      <c r="HP133" s="152"/>
      <c r="HQ133" s="152"/>
      <c r="HR133" s="152"/>
      <c r="HS133" s="152"/>
      <c r="HT133" s="152"/>
      <c r="HU133" s="152"/>
      <c r="HV133" s="152"/>
      <c r="HW133" s="152"/>
      <c r="HX133" s="152"/>
      <c r="HY133" s="203"/>
      <c r="HZ133" s="203"/>
      <c r="IA133" s="152"/>
      <c r="IB133" s="152"/>
      <c r="IC133" s="152"/>
      <c r="ID133" s="152"/>
      <c r="IE133" s="152"/>
      <c r="IF133" s="203"/>
      <c r="IG133" s="203"/>
      <c r="IH133" s="152"/>
      <c r="II133" s="152"/>
      <c r="IJ133" s="152"/>
      <c r="IK133" s="152"/>
      <c r="IL133" s="152"/>
      <c r="IM133" s="203"/>
      <c r="IN133" s="203"/>
      <c r="IO133" s="152"/>
      <c r="IP133" s="152"/>
      <c r="IQ133" s="227"/>
      <c r="IR133" s="227"/>
      <c r="IS133" s="227"/>
      <c r="IT133" s="203"/>
      <c r="IU133" s="203"/>
      <c r="IV133" s="152"/>
      <c r="IW133" s="152"/>
      <c r="IX133" s="152"/>
      <c r="IY133" s="152"/>
      <c r="IZ133" s="152"/>
      <c r="JA133" s="203"/>
      <c r="JB133" s="203"/>
      <c r="JC133" s="232"/>
      <c r="JD133" s="232"/>
      <c r="JE133" s="152"/>
      <c r="JF133" s="152"/>
      <c r="JG133" s="152"/>
      <c r="JH133" s="203"/>
      <c r="JI133" s="203"/>
      <c r="JJ133" s="152"/>
      <c r="JK133" s="152"/>
      <c r="JL133" s="152"/>
      <c r="JM133" s="152"/>
      <c r="JN133" s="152"/>
      <c r="JO133" s="203"/>
      <c r="JP133" s="203"/>
      <c r="JQ133" s="152"/>
      <c r="JR133" s="152"/>
      <c r="JS133" s="152"/>
      <c r="JT133" s="152"/>
      <c r="JU133" s="152"/>
      <c r="JV133" s="203"/>
      <c r="JW133" s="203"/>
      <c r="JX133" s="152"/>
      <c r="JY133" s="152"/>
      <c r="JZ133" s="152"/>
      <c r="KA133" s="152"/>
      <c r="KB133" s="152"/>
      <c r="KC133" s="203"/>
      <c r="KD133" s="203"/>
      <c r="KE133" s="152"/>
      <c r="KF133" s="152"/>
      <c r="KG133" s="152"/>
      <c r="KH133" s="152"/>
      <c r="KI133" s="152"/>
      <c r="KJ133" s="194"/>
      <c r="KK133" s="194"/>
      <c r="KL133" s="152"/>
      <c r="KM133" s="152"/>
      <c r="KN133" s="152"/>
      <c r="KO133" s="152"/>
      <c r="KP133" s="227"/>
      <c r="KQ133" s="194"/>
      <c r="KR133" s="194"/>
      <c r="KS133" s="152"/>
      <c r="KT133" s="152"/>
      <c r="KU133" s="152"/>
      <c r="KV133" s="152"/>
      <c r="KW133" s="152"/>
      <c r="KX133" s="210"/>
      <c r="KY133" s="210"/>
      <c r="KZ133" s="194"/>
      <c r="LA133" s="194"/>
      <c r="LB133" s="194"/>
      <c r="LC133" s="194"/>
      <c r="LD133" s="194"/>
      <c r="LE133" s="210"/>
      <c r="LF133" s="210"/>
      <c r="LG133" s="227"/>
      <c r="LH133" s="227"/>
      <c r="LI133" s="227"/>
      <c r="LJ133" s="227"/>
      <c r="LK133" s="227"/>
      <c r="LL133" s="227"/>
      <c r="LM133" s="210"/>
      <c r="LN133" s="232"/>
      <c r="LO133" s="232"/>
      <c r="LP133" s="232"/>
      <c r="LQ133" s="232"/>
      <c r="LR133" s="232"/>
      <c r="LS133" s="210"/>
      <c r="LT133" s="210"/>
      <c r="LU133" s="232"/>
      <c r="LV133" s="232"/>
      <c r="LW133" s="152"/>
      <c r="LX133" s="152"/>
      <c r="LY133" s="152"/>
      <c r="LZ133" s="203"/>
      <c r="MA133" s="203"/>
      <c r="MB133" s="152"/>
      <c r="MC133" s="152"/>
      <c r="MD133" s="152"/>
      <c r="ME133" s="152"/>
      <c r="MF133" s="152"/>
      <c r="MG133" s="203"/>
      <c r="MH133" s="203"/>
      <c r="MI133" s="152"/>
      <c r="MJ133" s="152"/>
      <c r="MK133" s="152"/>
      <c r="ML133" s="152"/>
      <c r="MM133" s="152"/>
      <c r="MN133" s="203"/>
      <c r="MO133" s="203"/>
      <c r="MP133" s="152"/>
      <c r="MQ133" s="152"/>
      <c r="MR133" s="152"/>
      <c r="MS133" s="152"/>
      <c r="MT133" s="152"/>
      <c r="MU133" s="203"/>
      <c r="MV133" s="203"/>
      <c r="MW133" s="152"/>
      <c r="MX133" s="152"/>
      <c r="MY133" s="152"/>
      <c r="MZ133" s="152"/>
      <c r="NA133" s="152"/>
      <c r="NB133" s="152"/>
      <c r="NC133" s="152"/>
      <c r="ND133" s="152"/>
    </row>
    <row r="134" spans="1:368" s="124" customFormat="1" ht="15" customHeight="1">
      <c r="A134" s="470"/>
      <c r="B134" s="473" t="s">
        <v>9</v>
      </c>
      <c r="C134" s="163" t="s">
        <v>10</v>
      </c>
      <c r="D134" s="268"/>
      <c r="E134" s="143"/>
      <c r="F134" s="143"/>
      <c r="G134" s="143"/>
      <c r="H134" s="269"/>
      <c r="I134" s="194"/>
      <c r="J134" s="194"/>
      <c r="K134" s="268"/>
      <c r="L134" s="143"/>
      <c r="M134" s="143"/>
      <c r="N134" s="143"/>
      <c r="O134" s="269"/>
      <c r="P134" s="194"/>
      <c r="Q134" s="194"/>
      <c r="R134" s="268"/>
      <c r="S134" s="143"/>
      <c r="T134" s="143"/>
      <c r="U134" s="143"/>
      <c r="V134" s="269"/>
      <c r="W134" s="194"/>
      <c r="X134" s="194"/>
      <c r="Y134" s="268"/>
      <c r="Z134" s="143"/>
      <c r="AA134" s="143"/>
      <c r="AB134" s="143"/>
      <c r="AC134" s="269"/>
      <c r="AD134" s="194"/>
      <c r="AE134" s="194"/>
      <c r="AF134" s="268"/>
      <c r="AG134" s="143"/>
      <c r="AH134" s="143"/>
      <c r="AI134" s="143"/>
      <c r="AJ134" s="269"/>
      <c r="AK134" s="194"/>
      <c r="AL134" s="194"/>
      <c r="AM134" s="268"/>
      <c r="AN134" s="143"/>
      <c r="AO134" s="143"/>
      <c r="AP134" s="143"/>
      <c r="AQ134" s="269"/>
      <c r="AR134" s="194"/>
      <c r="AS134" s="194"/>
      <c r="AT134" s="268"/>
      <c r="AU134" s="143"/>
      <c r="AV134" s="143"/>
      <c r="AW134" s="143"/>
      <c r="AX134" s="269"/>
      <c r="AY134" s="194"/>
      <c r="AZ134" s="194"/>
      <c r="BA134" s="268"/>
      <c r="BB134" s="143"/>
      <c r="BC134" s="143"/>
      <c r="BD134" s="143"/>
      <c r="BE134" s="269"/>
      <c r="BF134" s="194"/>
      <c r="BG134" s="194"/>
      <c r="BH134" s="268"/>
      <c r="BI134" s="143"/>
      <c r="BJ134" s="143"/>
      <c r="BK134" s="143"/>
      <c r="BL134" s="269"/>
      <c r="BM134" s="194"/>
      <c r="BN134" s="194"/>
      <c r="BO134" s="268"/>
      <c r="BP134" s="143"/>
      <c r="BQ134" s="143"/>
      <c r="BR134" s="143"/>
      <c r="BS134" s="269"/>
      <c r="BT134" s="194"/>
      <c r="BU134" s="194"/>
      <c r="BV134" s="268"/>
      <c r="BW134" s="143"/>
      <c r="BX134" s="143"/>
      <c r="BY134" s="143"/>
      <c r="BZ134" s="269"/>
      <c r="CA134" s="194"/>
      <c r="CB134" s="194"/>
      <c r="CC134" s="268"/>
      <c r="CD134" s="143"/>
      <c r="CE134" s="143"/>
      <c r="CF134" s="143"/>
      <c r="CG134" s="269"/>
      <c r="CH134" s="194"/>
      <c r="CI134" s="194"/>
      <c r="CJ134" s="268"/>
      <c r="CK134" s="143"/>
      <c r="CL134" s="143"/>
      <c r="CM134" s="143"/>
      <c r="CN134" s="269"/>
      <c r="CO134" s="194"/>
      <c r="CP134" s="194"/>
      <c r="CQ134" s="268"/>
      <c r="CR134" s="143"/>
      <c r="CS134" s="143"/>
      <c r="CT134" s="143"/>
      <c r="CU134" s="269"/>
      <c r="CV134" s="194"/>
      <c r="CW134" s="194"/>
      <c r="CX134" s="268"/>
      <c r="CY134" s="143"/>
      <c r="CZ134" s="143"/>
      <c r="DA134" s="143"/>
      <c r="DB134" s="269"/>
      <c r="DC134" s="194"/>
      <c r="DD134" s="194"/>
      <c r="DE134" s="268"/>
      <c r="DF134" s="143"/>
      <c r="DG134" s="143"/>
      <c r="DH134" s="143"/>
      <c r="DI134" s="269"/>
      <c r="DJ134" s="194"/>
      <c r="DK134" s="194"/>
      <c r="DL134" s="268"/>
      <c r="DM134" s="143"/>
      <c r="DN134" s="143"/>
      <c r="DO134" s="143"/>
      <c r="DP134" s="269"/>
      <c r="DQ134" s="194"/>
      <c r="DR134" s="194"/>
      <c r="DS134" s="268"/>
      <c r="DT134" s="143"/>
      <c r="DU134" s="143"/>
      <c r="DV134" s="143"/>
      <c r="DW134" s="269"/>
      <c r="DX134" s="194"/>
      <c r="DY134" s="194"/>
      <c r="DZ134" s="268"/>
      <c r="EA134" s="143"/>
      <c r="EB134" s="143"/>
      <c r="EC134" s="143"/>
      <c r="ED134" s="269"/>
      <c r="EE134" s="194"/>
      <c r="EF134" s="194"/>
      <c r="EG134" s="268"/>
      <c r="EH134" s="143"/>
      <c r="EI134" s="143"/>
      <c r="EJ134" s="143"/>
      <c r="EK134" s="269"/>
      <c r="EL134" s="194"/>
      <c r="EM134" s="194"/>
      <c r="EN134" s="268"/>
      <c r="EO134" s="143"/>
      <c r="EP134" s="143"/>
      <c r="EQ134" s="143"/>
      <c r="ER134" s="269"/>
      <c r="ES134" s="194"/>
      <c r="ET134" s="194"/>
      <c r="EU134" s="268"/>
      <c r="EV134" s="143"/>
      <c r="EW134" s="143"/>
      <c r="EX134" s="143"/>
      <c r="EY134" s="269"/>
      <c r="EZ134" s="194"/>
      <c r="FA134" s="194"/>
      <c r="FB134" s="268"/>
      <c r="FC134" s="143"/>
      <c r="FD134" s="143"/>
      <c r="FE134" s="143"/>
      <c r="FF134" s="269"/>
      <c r="FG134" s="194"/>
      <c r="FH134" s="194"/>
      <c r="FI134" s="268"/>
      <c r="FJ134" s="143"/>
      <c r="FK134" s="143"/>
      <c r="FL134" s="143"/>
      <c r="FM134" s="269"/>
      <c r="FN134" s="194"/>
      <c r="FO134" s="194"/>
      <c r="FP134" s="268"/>
      <c r="FQ134" s="143"/>
      <c r="FR134" s="143"/>
      <c r="FS134" s="143"/>
      <c r="FT134" s="269"/>
      <c r="FU134" s="194"/>
      <c r="FV134" s="194"/>
      <c r="FW134" s="268"/>
      <c r="FX134" s="143"/>
      <c r="FY134" s="143"/>
      <c r="FZ134" s="143"/>
      <c r="GA134" s="269"/>
      <c r="GB134" s="194"/>
      <c r="GC134" s="194"/>
      <c r="GD134" s="143"/>
      <c r="GE134" s="143"/>
      <c r="GF134" s="143"/>
      <c r="GG134" s="143"/>
      <c r="GH134" s="143"/>
      <c r="GI134" s="194"/>
      <c r="GJ134" s="194"/>
      <c r="GK134" s="143"/>
      <c r="GL134" s="143"/>
      <c r="GM134" s="143"/>
      <c r="GN134" s="143"/>
      <c r="GO134" s="143"/>
      <c r="GP134" s="210"/>
      <c r="GQ134" s="210"/>
      <c r="GR134" s="143"/>
      <c r="GS134" s="143"/>
      <c r="GT134" s="143"/>
      <c r="GU134" s="143"/>
      <c r="GV134" s="143"/>
      <c r="GW134" s="210"/>
      <c r="GX134" s="210"/>
      <c r="GY134" s="143"/>
      <c r="GZ134" s="143"/>
      <c r="HA134" s="143"/>
      <c r="HB134" s="143"/>
      <c r="HC134" s="143"/>
      <c r="HD134" s="210"/>
      <c r="HE134" s="210"/>
      <c r="HF134" s="143"/>
      <c r="HG134" s="143"/>
      <c r="HH134" s="143"/>
      <c r="HI134" s="143"/>
      <c r="HJ134" s="143"/>
      <c r="HK134" s="210"/>
      <c r="HL134" s="210"/>
      <c r="HM134" s="143"/>
      <c r="HN134" s="143"/>
      <c r="HO134" s="143"/>
      <c r="HP134" s="143"/>
      <c r="HQ134" s="143"/>
      <c r="HR134" s="143"/>
      <c r="HS134" s="143"/>
      <c r="HT134" s="143"/>
      <c r="HU134" s="143"/>
      <c r="HV134" s="143"/>
      <c r="HW134" s="143"/>
      <c r="HX134" s="143"/>
      <c r="HY134" s="203"/>
      <c r="HZ134" s="203"/>
      <c r="IA134" s="143"/>
      <c r="IB134" s="143"/>
      <c r="IC134" s="143"/>
      <c r="ID134" s="143"/>
      <c r="IE134" s="143"/>
      <c r="IF134" s="203"/>
      <c r="IG134" s="203"/>
      <c r="IH134" s="143"/>
      <c r="II134" s="143"/>
      <c r="IJ134" s="143"/>
      <c r="IK134" s="143"/>
      <c r="IL134" s="143"/>
      <c r="IM134" s="203"/>
      <c r="IN134" s="203"/>
      <c r="IO134" s="143"/>
      <c r="IP134" s="143"/>
      <c r="IQ134" s="227"/>
      <c r="IR134" s="227"/>
      <c r="IS134" s="227"/>
      <c r="IT134" s="203"/>
      <c r="IU134" s="203"/>
      <c r="IV134" s="143"/>
      <c r="IW134" s="143"/>
      <c r="IX134" s="143"/>
      <c r="IY134" s="143"/>
      <c r="IZ134" s="143"/>
      <c r="JA134" s="203"/>
      <c r="JB134" s="203"/>
      <c r="JC134" s="227"/>
      <c r="JD134" s="227"/>
      <c r="JE134" s="143"/>
      <c r="JF134" s="143"/>
      <c r="JG134" s="143"/>
      <c r="JH134" s="203"/>
      <c r="JI134" s="203"/>
      <c r="JJ134" s="143"/>
      <c r="JK134" s="143"/>
      <c r="JL134" s="143"/>
      <c r="JM134" s="143"/>
      <c r="JN134" s="143"/>
      <c r="JO134" s="203"/>
      <c r="JP134" s="203"/>
      <c r="JQ134" s="143"/>
      <c r="JR134" s="143"/>
      <c r="JS134" s="143"/>
      <c r="JT134" s="143"/>
      <c r="JU134" s="143"/>
      <c r="JV134" s="203"/>
      <c r="JW134" s="203"/>
      <c r="JX134" s="143"/>
      <c r="JY134" s="143"/>
      <c r="JZ134" s="143"/>
      <c r="KA134" s="143"/>
      <c r="KB134" s="143"/>
      <c r="KC134" s="203"/>
      <c r="KD134" s="203"/>
      <c r="KE134" s="143"/>
      <c r="KF134" s="143"/>
      <c r="KG134" s="143"/>
      <c r="KH134" s="143"/>
      <c r="KI134" s="143"/>
      <c r="KJ134" s="194"/>
      <c r="KK134" s="194"/>
      <c r="KL134" s="143"/>
      <c r="KM134" s="143"/>
      <c r="KN134" s="143"/>
      <c r="KO134" s="143"/>
      <c r="KP134" s="227"/>
      <c r="KQ134" s="194"/>
      <c r="KR134" s="194"/>
      <c r="KS134" s="143"/>
      <c r="KT134" s="143"/>
      <c r="KU134" s="143"/>
      <c r="KV134" s="143"/>
      <c r="KW134" s="143"/>
      <c r="KX134" s="210"/>
      <c r="KY134" s="210"/>
      <c r="KZ134" s="194"/>
      <c r="LA134" s="194"/>
      <c r="LB134" s="194"/>
      <c r="LC134" s="194"/>
      <c r="LD134" s="194"/>
      <c r="LE134" s="210"/>
      <c r="LF134" s="210"/>
      <c r="LG134" s="227"/>
      <c r="LH134" s="227"/>
      <c r="LI134" s="227"/>
      <c r="LJ134" s="227"/>
      <c r="LK134" s="227"/>
      <c r="LL134" s="227"/>
      <c r="LM134" s="210"/>
      <c r="LN134" s="227"/>
      <c r="LO134" s="227"/>
      <c r="LP134" s="227"/>
      <c r="LQ134" s="227"/>
      <c r="LR134" s="227"/>
      <c r="LS134" s="210"/>
      <c r="LT134" s="210"/>
      <c r="LU134" s="227"/>
      <c r="LV134" s="143"/>
      <c r="LW134" s="143"/>
      <c r="LX134" s="143"/>
      <c r="LY134" s="143"/>
      <c r="LZ134" s="203"/>
      <c r="MA134" s="203"/>
      <c r="MB134" s="143"/>
      <c r="MC134" s="143"/>
      <c r="MD134" s="143"/>
      <c r="ME134" s="143"/>
      <c r="MF134" s="143"/>
      <c r="MG134" s="203"/>
      <c r="MH134" s="203"/>
      <c r="MI134" s="143"/>
      <c r="MJ134" s="143"/>
      <c r="MK134" s="143"/>
      <c r="ML134" s="143"/>
      <c r="MM134" s="143"/>
      <c r="MN134" s="203"/>
      <c r="MO134" s="203"/>
      <c r="MP134" s="143"/>
      <c r="MQ134" s="143"/>
      <c r="MR134" s="143"/>
      <c r="MS134" s="143"/>
      <c r="MT134" s="143"/>
      <c r="MU134" s="203"/>
      <c r="MV134" s="203"/>
      <c r="MW134" s="143"/>
      <c r="MX134" s="143"/>
      <c r="MY134" s="143"/>
      <c r="MZ134" s="143"/>
      <c r="NA134" s="143"/>
      <c r="NB134" s="143"/>
      <c r="NC134" s="143"/>
      <c r="ND134" s="143"/>
    </row>
    <row r="135" spans="1:368" s="124" customFormat="1" ht="15" customHeight="1">
      <c r="A135" s="470"/>
      <c r="B135" s="461"/>
      <c r="C135" s="164" t="s">
        <v>11</v>
      </c>
      <c r="D135" s="268"/>
      <c r="E135" s="143"/>
      <c r="F135" s="143"/>
      <c r="G135" s="143"/>
      <c r="H135" s="269"/>
      <c r="I135" s="194"/>
      <c r="J135" s="194"/>
      <c r="K135" s="268"/>
      <c r="L135" s="143"/>
      <c r="M135" s="143"/>
      <c r="N135" s="143"/>
      <c r="O135" s="269"/>
      <c r="P135" s="194"/>
      <c r="Q135" s="194"/>
      <c r="R135" s="268"/>
      <c r="S135" s="143"/>
      <c r="T135" s="143"/>
      <c r="U135" s="143"/>
      <c r="V135" s="269"/>
      <c r="W135" s="194"/>
      <c r="X135" s="194"/>
      <c r="Y135" s="268"/>
      <c r="Z135" s="143"/>
      <c r="AA135" s="143"/>
      <c r="AB135" s="143"/>
      <c r="AC135" s="269"/>
      <c r="AD135" s="194"/>
      <c r="AE135" s="194"/>
      <c r="AF135" s="268"/>
      <c r="AG135" s="143"/>
      <c r="AH135" s="143"/>
      <c r="AI135" s="143"/>
      <c r="AJ135" s="269"/>
      <c r="AK135" s="194"/>
      <c r="AL135" s="194"/>
      <c r="AM135" s="268"/>
      <c r="AN135" s="143"/>
      <c r="AO135" s="143"/>
      <c r="AP135" s="143"/>
      <c r="AQ135" s="269"/>
      <c r="AR135" s="194"/>
      <c r="AS135" s="194"/>
      <c r="AT135" s="268"/>
      <c r="AU135" s="143"/>
      <c r="AV135" s="143"/>
      <c r="AW135" s="143"/>
      <c r="AX135" s="269"/>
      <c r="AY135" s="194"/>
      <c r="AZ135" s="194"/>
      <c r="BA135" s="268"/>
      <c r="BB135" s="143"/>
      <c r="BC135" s="143"/>
      <c r="BD135" s="143"/>
      <c r="BE135" s="269"/>
      <c r="BF135" s="194"/>
      <c r="BG135" s="194"/>
      <c r="BH135" s="268"/>
      <c r="BI135" s="143"/>
      <c r="BJ135" s="143"/>
      <c r="BK135" s="143"/>
      <c r="BL135" s="269"/>
      <c r="BM135" s="194"/>
      <c r="BN135" s="194"/>
      <c r="BO135" s="268"/>
      <c r="BP135" s="143"/>
      <c r="BQ135" s="143"/>
      <c r="BR135" s="143"/>
      <c r="BS135" s="269"/>
      <c r="BT135" s="194"/>
      <c r="BU135" s="194"/>
      <c r="BV135" s="268"/>
      <c r="BW135" s="143"/>
      <c r="BX135" s="143"/>
      <c r="BY135" s="143"/>
      <c r="BZ135" s="269"/>
      <c r="CA135" s="194"/>
      <c r="CB135" s="194"/>
      <c r="CC135" s="268"/>
      <c r="CD135" s="143"/>
      <c r="CE135" s="143"/>
      <c r="CF135" s="143"/>
      <c r="CG135" s="269"/>
      <c r="CH135" s="194"/>
      <c r="CI135" s="194"/>
      <c r="CJ135" s="268"/>
      <c r="CK135" s="143"/>
      <c r="CL135" s="143"/>
      <c r="CM135" s="143"/>
      <c r="CN135" s="269"/>
      <c r="CO135" s="194"/>
      <c r="CP135" s="194"/>
      <c r="CQ135" s="268"/>
      <c r="CR135" s="143"/>
      <c r="CS135" s="143"/>
      <c r="CT135" s="143"/>
      <c r="CU135" s="269"/>
      <c r="CV135" s="194"/>
      <c r="CW135" s="194"/>
      <c r="CX135" s="268"/>
      <c r="CY135" s="143"/>
      <c r="CZ135" s="143"/>
      <c r="DA135" s="143"/>
      <c r="DB135" s="269"/>
      <c r="DC135" s="194"/>
      <c r="DD135" s="194"/>
      <c r="DE135" s="268"/>
      <c r="DF135" s="143"/>
      <c r="DG135" s="143"/>
      <c r="DH135" s="143"/>
      <c r="DI135" s="269"/>
      <c r="DJ135" s="194"/>
      <c r="DK135" s="194"/>
      <c r="DL135" s="268"/>
      <c r="DM135" s="143"/>
      <c r="DN135" s="143"/>
      <c r="DO135" s="143"/>
      <c r="DP135" s="269"/>
      <c r="DQ135" s="194"/>
      <c r="DR135" s="194"/>
      <c r="DS135" s="268"/>
      <c r="DT135" s="143"/>
      <c r="DU135" s="143"/>
      <c r="DV135" s="143"/>
      <c r="DW135" s="269"/>
      <c r="DX135" s="194"/>
      <c r="DY135" s="194"/>
      <c r="DZ135" s="268"/>
      <c r="EA135" s="143"/>
      <c r="EB135" s="143"/>
      <c r="EC135" s="143"/>
      <c r="ED135" s="269"/>
      <c r="EE135" s="194"/>
      <c r="EF135" s="194"/>
      <c r="EG135" s="268"/>
      <c r="EH135" s="143"/>
      <c r="EI135" s="143"/>
      <c r="EJ135" s="143"/>
      <c r="EK135" s="269"/>
      <c r="EL135" s="194"/>
      <c r="EM135" s="194"/>
      <c r="EN135" s="268"/>
      <c r="EO135" s="143"/>
      <c r="EP135" s="143"/>
      <c r="EQ135" s="143"/>
      <c r="ER135" s="269"/>
      <c r="ES135" s="194"/>
      <c r="ET135" s="194"/>
      <c r="EU135" s="268"/>
      <c r="EV135" s="143"/>
      <c r="EW135" s="143"/>
      <c r="EX135" s="143"/>
      <c r="EY135" s="269"/>
      <c r="EZ135" s="194"/>
      <c r="FA135" s="194"/>
      <c r="FB135" s="268"/>
      <c r="FC135" s="143"/>
      <c r="FD135" s="143"/>
      <c r="FE135" s="143"/>
      <c r="FF135" s="269"/>
      <c r="FG135" s="194"/>
      <c r="FH135" s="194"/>
      <c r="FI135" s="268"/>
      <c r="FJ135" s="143"/>
      <c r="FK135" s="143"/>
      <c r="FL135" s="143"/>
      <c r="FM135" s="269"/>
      <c r="FN135" s="194"/>
      <c r="FO135" s="194"/>
      <c r="FP135" s="268"/>
      <c r="FQ135" s="143"/>
      <c r="FR135" s="143"/>
      <c r="FS135" s="143"/>
      <c r="FT135" s="269"/>
      <c r="FU135" s="194"/>
      <c r="FV135" s="194"/>
      <c r="FW135" s="268"/>
      <c r="FX135" s="143"/>
      <c r="FY135" s="143"/>
      <c r="FZ135" s="143"/>
      <c r="GA135" s="269"/>
      <c r="GB135" s="194"/>
      <c r="GC135" s="194"/>
      <c r="GD135" s="143"/>
      <c r="GE135" s="143"/>
      <c r="GF135" s="143"/>
      <c r="GG135" s="143"/>
      <c r="GH135" s="143"/>
      <c r="GI135" s="194"/>
      <c r="GJ135" s="194"/>
      <c r="GK135" s="143"/>
      <c r="GL135" s="143"/>
      <c r="GM135" s="143"/>
      <c r="GN135" s="143"/>
      <c r="GO135" s="143"/>
      <c r="GP135" s="210"/>
      <c r="GQ135" s="210"/>
      <c r="GR135" s="143"/>
      <c r="GS135" s="143"/>
      <c r="GT135" s="143"/>
      <c r="GU135" s="143"/>
      <c r="GV135" s="143"/>
      <c r="GW135" s="210"/>
      <c r="GX135" s="210"/>
      <c r="GY135" s="143"/>
      <c r="GZ135" s="143"/>
      <c r="HA135" s="143"/>
      <c r="HB135" s="143"/>
      <c r="HC135" s="143"/>
      <c r="HD135" s="210"/>
      <c r="HE135" s="210"/>
      <c r="HF135" s="143"/>
      <c r="HG135" s="143"/>
      <c r="HH135" s="143"/>
      <c r="HI135" s="143"/>
      <c r="HJ135" s="143"/>
      <c r="HK135" s="210"/>
      <c r="HL135" s="210"/>
      <c r="HM135" s="143"/>
      <c r="HN135" s="143"/>
      <c r="HO135" s="143"/>
      <c r="HP135" s="143"/>
      <c r="HQ135" s="143"/>
      <c r="HR135" s="143"/>
      <c r="HS135" s="143"/>
      <c r="HT135" s="143"/>
      <c r="HU135" s="143"/>
      <c r="HV135" s="143"/>
      <c r="HW135" s="143"/>
      <c r="HX135" s="143"/>
      <c r="HY135" s="203"/>
      <c r="HZ135" s="203"/>
      <c r="IA135" s="143"/>
      <c r="IB135" s="143"/>
      <c r="IC135" s="143"/>
      <c r="ID135" s="143"/>
      <c r="IE135" s="143"/>
      <c r="IF135" s="203"/>
      <c r="IG135" s="203"/>
      <c r="IH135" s="143"/>
      <c r="II135" s="143"/>
      <c r="IJ135" s="143"/>
      <c r="IK135" s="143"/>
      <c r="IL135" s="143"/>
      <c r="IM135" s="203"/>
      <c r="IN135" s="203"/>
      <c r="IO135" s="143"/>
      <c r="IP135" s="143"/>
      <c r="IQ135" s="227"/>
      <c r="IR135" s="227"/>
      <c r="IS135" s="227"/>
      <c r="IT135" s="203"/>
      <c r="IU135" s="203"/>
      <c r="IV135" s="143"/>
      <c r="IW135" s="143"/>
      <c r="IX135" s="143"/>
      <c r="IY135" s="143"/>
      <c r="IZ135" s="143"/>
      <c r="JA135" s="203"/>
      <c r="JB135" s="203"/>
      <c r="JC135" s="227"/>
      <c r="JD135" s="227"/>
      <c r="JE135" s="143"/>
      <c r="JF135" s="143"/>
      <c r="JG135" s="143"/>
      <c r="JH135" s="203"/>
      <c r="JI135" s="203"/>
      <c r="JJ135" s="143"/>
      <c r="JK135" s="143"/>
      <c r="JL135" s="143"/>
      <c r="JM135" s="143"/>
      <c r="JN135" s="143"/>
      <c r="JO135" s="203"/>
      <c r="JP135" s="203"/>
      <c r="JQ135" s="143"/>
      <c r="JR135" s="143"/>
      <c r="JS135" s="143"/>
      <c r="JT135" s="143"/>
      <c r="JU135" s="143"/>
      <c r="JV135" s="203"/>
      <c r="JW135" s="203"/>
      <c r="JX135" s="143"/>
      <c r="JY135" s="143"/>
      <c r="JZ135" s="143"/>
      <c r="KA135" s="143"/>
      <c r="KB135" s="143"/>
      <c r="KC135" s="203"/>
      <c r="KD135" s="203"/>
      <c r="KE135" s="143"/>
      <c r="KF135" s="143"/>
      <c r="KG135" s="143"/>
      <c r="KH135" s="143"/>
      <c r="KI135" s="143"/>
      <c r="KJ135" s="194"/>
      <c r="KK135" s="194"/>
      <c r="KL135" s="143"/>
      <c r="KM135" s="143"/>
      <c r="KN135" s="143"/>
      <c r="KO135" s="143"/>
      <c r="KP135" s="227"/>
      <c r="KQ135" s="194"/>
      <c r="KR135" s="194"/>
      <c r="KS135" s="143"/>
      <c r="KT135" s="143"/>
      <c r="KU135" s="143"/>
      <c r="KV135" s="143"/>
      <c r="KW135" s="143"/>
      <c r="KX135" s="210"/>
      <c r="KY135" s="210"/>
      <c r="KZ135" s="194"/>
      <c r="LA135" s="194"/>
      <c r="LB135" s="194"/>
      <c r="LC135" s="194"/>
      <c r="LD135" s="194"/>
      <c r="LE135" s="210"/>
      <c r="LF135" s="210"/>
      <c r="LG135" s="227"/>
      <c r="LH135" s="227"/>
      <c r="LI135" s="227"/>
      <c r="LJ135" s="227"/>
      <c r="LK135" s="227"/>
      <c r="LL135" s="227"/>
      <c r="LM135" s="210"/>
      <c r="LN135" s="227"/>
      <c r="LO135" s="227"/>
      <c r="LP135" s="227"/>
      <c r="LQ135" s="227"/>
      <c r="LR135" s="227"/>
      <c r="LS135" s="210"/>
      <c r="LT135" s="210"/>
      <c r="LU135" s="227"/>
      <c r="LV135" s="143"/>
      <c r="LW135" s="143"/>
      <c r="LX135" s="143"/>
      <c r="LY135" s="143"/>
      <c r="LZ135" s="203"/>
      <c r="MA135" s="203"/>
      <c r="MB135" s="143"/>
      <c r="MC135" s="143"/>
      <c r="MD135" s="143"/>
      <c r="ME135" s="143"/>
      <c r="MF135" s="143"/>
      <c r="MG135" s="203"/>
      <c r="MH135" s="203"/>
      <c r="MI135" s="143"/>
      <c r="MJ135" s="143"/>
      <c r="MK135" s="143"/>
      <c r="ML135" s="143"/>
      <c r="MM135" s="143"/>
      <c r="MN135" s="203"/>
      <c r="MO135" s="203"/>
      <c r="MP135" s="143"/>
      <c r="MQ135" s="143"/>
      <c r="MR135" s="143"/>
      <c r="MS135" s="143"/>
      <c r="MT135" s="143"/>
      <c r="MU135" s="203"/>
      <c r="MV135" s="203"/>
      <c r="MW135" s="143"/>
      <c r="MX135" s="143"/>
      <c r="MY135" s="143"/>
      <c r="MZ135" s="143"/>
      <c r="NA135" s="143"/>
      <c r="NB135" s="143"/>
      <c r="NC135" s="143"/>
      <c r="ND135" s="143"/>
    </row>
    <row r="136" spans="1:368" s="124" customFormat="1" ht="15" customHeight="1">
      <c r="A136" s="470"/>
      <c r="B136" s="461"/>
      <c r="C136" s="164" t="s">
        <v>12</v>
      </c>
      <c r="D136" s="268"/>
      <c r="E136" s="143"/>
      <c r="F136" s="143"/>
      <c r="G136" s="143"/>
      <c r="H136" s="269"/>
      <c r="I136" s="194"/>
      <c r="J136" s="194"/>
      <c r="K136" s="268"/>
      <c r="L136" s="143"/>
      <c r="M136" s="143"/>
      <c r="N136" s="143"/>
      <c r="O136" s="269"/>
      <c r="P136" s="194"/>
      <c r="Q136" s="194"/>
      <c r="R136" s="268"/>
      <c r="S136" s="143"/>
      <c r="T136" s="143"/>
      <c r="U136" s="143"/>
      <c r="V136" s="269"/>
      <c r="W136" s="194"/>
      <c r="X136" s="194"/>
      <c r="Y136" s="268"/>
      <c r="Z136" s="143"/>
      <c r="AA136" s="143"/>
      <c r="AB136" s="143"/>
      <c r="AC136" s="269"/>
      <c r="AD136" s="194"/>
      <c r="AE136" s="194"/>
      <c r="AF136" s="268"/>
      <c r="AG136" s="143"/>
      <c r="AH136" s="143"/>
      <c r="AI136" s="143"/>
      <c r="AJ136" s="269"/>
      <c r="AK136" s="194"/>
      <c r="AL136" s="194"/>
      <c r="AM136" s="268"/>
      <c r="AN136" s="143"/>
      <c r="AO136" s="143"/>
      <c r="AP136" s="143"/>
      <c r="AQ136" s="269"/>
      <c r="AR136" s="194"/>
      <c r="AS136" s="194"/>
      <c r="AT136" s="268"/>
      <c r="AU136" s="143"/>
      <c r="AV136" s="143"/>
      <c r="AW136" s="143"/>
      <c r="AX136" s="269"/>
      <c r="AY136" s="194"/>
      <c r="AZ136" s="194"/>
      <c r="BA136" s="268"/>
      <c r="BB136" s="143"/>
      <c r="BC136" s="143"/>
      <c r="BD136" s="143"/>
      <c r="BE136" s="269"/>
      <c r="BF136" s="194"/>
      <c r="BG136" s="194"/>
      <c r="BH136" s="268"/>
      <c r="BI136" s="143"/>
      <c r="BJ136" s="143"/>
      <c r="BK136" s="143"/>
      <c r="BL136" s="269"/>
      <c r="BM136" s="194"/>
      <c r="BN136" s="194"/>
      <c r="BO136" s="268"/>
      <c r="BP136" s="143"/>
      <c r="BQ136" s="143"/>
      <c r="BR136" s="143"/>
      <c r="BS136" s="269"/>
      <c r="BT136" s="194"/>
      <c r="BU136" s="194"/>
      <c r="BV136" s="268"/>
      <c r="BW136" s="143"/>
      <c r="BX136" s="143"/>
      <c r="BY136" s="143"/>
      <c r="BZ136" s="269"/>
      <c r="CA136" s="194"/>
      <c r="CB136" s="194"/>
      <c r="CC136" s="268"/>
      <c r="CD136" s="143"/>
      <c r="CE136" s="143"/>
      <c r="CF136" s="143"/>
      <c r="CG136" s="269"/>
      <c r="CH136" s="194"/>
      <c r="CI136" s="194"/>
      <c r="CJ136" s="268"/>
      <c r="CK136" s="143"/>
      <c r="CL136" s="143"/>
      <c r="CM136" s="143"/>
      <c r="CN136" s="269"/>
      <c r="CO136" s="194"/>
      <c r="CP136" s="194"/>
      <c r="CQ136" s="268"/>
      <c r="CR136" s="143"/>
      <c r="CS136" s="143"/>
      <c r="CT136" s="143"/>
      <c r="CU136" s="269"/>
      <c r="CV136" s="194"/>
      <c r="CW136" s="194"/>
      <c r="CX136" s="268"/>
      <c r="CY136" s="143"/>
      <c r="CZ136" s="143"/>
      <c r="DA136" s="143"/>
      <c r="DB136" s="269"/>
      <c r="DC136" s="194"/>
      <c r="DD136" s="194"/>
      <c r="DE136" s="268"/>
      <c r="DF136" s="143"/>
      <c r="DG136" s="143"/>
      <c r="DH136" s="143"/>
      <c r="DI136" s="269"/>
      <c r="DJ136" s="194"/>
      <c r="DK136" s="194"/>
      <c r="DL136" s="268"/>
      <c r="DM136" s="143"/>
      <c r="DN136" s="143"/>
      <c r="DO136" s="143"/>
      <c r="DP136" s="269"/>
      <c r="DQ136" s="194"/>
      <c r="DR136" s="194"/>
      <c r="DS136" s="268"/>
      <c r="DT136" s="143"/>
      <c r="DU136" s="143"/>
      <c r="DV136" s="143"/>
      <c r="DW136" s="269"/>
      <c r="DX136" s="194"/>
      <c r="DY136" s="194"/>
      <c r="DZ136" s="268"/>
      <c r="EA136" s="143"/>
      <c r="EB136" s="143"/>
      <c r="EC136" s="143"/>
      <c r="ED136" s="269"/>
      <c r="EE136" s="194"/>
      <c r="EF136" s="194"/>
      <c r="EG136" s="268"/>
      <c r="EH136" s="143"/>
      <c r="EI136" s="143"/>
      <c r="EJ136" s="143"/>
      <c r="EK136" s="269"/>
      <c r="EL136" s="194"/>
      <c r="EM136" s="194"/>
      <c r="EN136" s="268"/>
      <c r="EO136" s="143"/>
      <c r="EP136" s="143"/>
      <c r="EQ136" s="143"/>
      <c r="ER136" s="269"/>
      <c r="ES136" s="194"/>
      <c r="ET136" s="194"/>
      <c r="EU136" s="268"/>
      <c r="EV136" s="143"/>
      <c r="EW136" s="143"/>
      <c r="EX136" s="143"/>
      <c r="EY136" s="269"/>
      <c r="EZ136" s="194"/>
      <c r="FA136" s="194"/>
      <c r="FB136" s="268"/>
      <c r="FC136" s="143"/>
      <c r="FD136" s="143"/>
      <c r="FE136" s="143"/>
      <c r="FF136" s="269"/>
      <c r="FG136" s="194"/>
      <c r="FH136" s="194"/>
      <c r="FI136" s="268"/>
      <c r="FJ136" s="143"/>
      <c r="FK136" s="143"/>
      <c r="FL136" s="143"/>
      <c r="FM136" s="269"/>
      <c r="FN136" s="194"/>
      <c r="FO136" s="194"/>
      <c r="FP136" s="268"/>
      <c r="FQ136" s="143"/>
      <c r="FR136" s="143"/>
      <c r="FS136" s="143"/>
      <c r="FT136" s="269"/>
      <c r="FU136" s="194"/>
      <c r="FV136" s="194"/>
      <c r="FW136" s="268"/>
      <c r="FX136" s="143"/>
      <c r="FY136" s="143"/>
      <c r="FZ136" s="143"/>
      <c r="GA136" s="269"/>
      <c r="GB136" s="194"/>
      <c r="GC136" s="194"/>
      <c r="GD136" s="143"/>
      <c r="GE136" s="143"/>
      <c r="GF136" s="143"/>
      <c r="GG136" s="143"/>
      <c r="GH136" s="143"/>
      <c r="GI136" s="194"/>
      <c r="GJ136" s="194"/>
      <c r="GK136" s="143"/>
      <c r="GL136" s="143"/>
      <c r="GM136" s="143"/>
      <c r="GN136" s="143"/>
      <c r="GO136" s="143"/>
      <c r="GP136" s="210"/>
      <c r="GQ136" s="210"/>
      <c r="GR136" s="143"/>
      <c r="GS136" s="143"/>
      <c r="GT136" s="143"/>
      <c r="GU136" s="143"/>
      <c r="GV136" s="143"/>
      <c r="GW136" s="210"/>
      <c r="GX136" s="210"/>
      <c r="GY136" s="143"/>
      <c r="GZ136" s="143"/>
      <c r="HA136" s="143"/>
      <c r="HB136" s="143"/>
      <c r="HC136" s="143"/>
      <c r="HD136" s="210"/>
      <c r="HE136" s="210"/>
      <c r="HF136" s="143"/>
      <c r="HG136" s="143"/>
      <c r="HH136" s="143"/>
      <c r="HI136" s="143"/>
      <c r="HJ136" s="143"/>
      <c r="HK136" s="210"/>
      <c r="HL136" s="210"/>
      <c r="HM136" s="143"/>
      <c r="HN136" s="143"/>
      <c r="HO136" s="143"/>
      <c r="HP136" s="143"/>
      <c r="HQ136" s="143"/>
      <c r="HR136" s="143"/>
      <c r="HS136" s="143"/>
      <c r="HT136" s="143"/>
      <c r="HU136" s="143"/>
      <c r="HV136" s="143"/>
      <c r="HW136" s="143"/>
      <c r="HX136" s="143"/>
      <c r="HY136" s="203"/>
      <c r="HZ136" s="203"/>
      <c r="IA136" s="143"/>
      <c r="IB136" s="143"/>
      <c r="IC136" s="143"/>
      <c r="ID136" s="143"/>
      <c r="IE136" s="143"/>
      <c r="IF136" s="203"/>
      <c r="IG136" s="203"/>
      <c r="IH136" s="143"/>
      <c r="II136" s="143"/>
      <c r="IJ136" s="143"/>
      <c r="IK136" s="143"/>
      <c r="IL136" s="143"/>
      <c r="IM136" s="203"/>
      <c r="IN136" s="203"/>
      <c r="IO136" s="143"/>
      <c r="IP136" s="143"/>
      <c r="IQ136" s="227"/>
      <c r="IR136" s="227"/>
      <c r="IS136" s="227"/>
      <c r="IT136" s="203"/>
      <c r="IU136" s="203"/>
      <c r="IV136" s="143"/>
      <c r="IW136" s="143"/>
      <c r="IX136" s="143"/>
      <c r="IY136" s="143"/>
      <c r="IZ136" s="143"/>
      <c r="JA136" s="203"/>
      <c r="JB136" s="203"/>
      <c r="JC136" s="227"/>
      <c r="JD136" s="227"/>
      <c r="JE136" s="143"/>
      <c r="JF136" s="143"/>
      <c r="JG136" s="143"/>
      <c r="JH136" s="203"/>
      <c r="JI136" s="203"/>
      <c r="JJ136" s="143"/>
      <c r="JK136" s="143"/>
      <c r="JL136" s="143"/>
      <c r="JM136" s="143"/>
      <c r="JN136" s="143"/>
      <c r="JO136" s="203"/>
      <c r="JP136" s="203"/>
      <c r="JQ136" s="143"/>
      <c r="JR136" s="143"/>
      <c r="JS136" s="143"/>
      <c r="JT136" s="143"/>
      <c r="JU136" s="143"/>
      <c r="JV136" s="203"/>
      <c r="JW136" s="203"/>
      <c r="JX136" s="143"/>
      <c r="JY136" s="143"/>
      <c r="JZ136" s="143"/>
      <c r="KA136" s="143"/>
      <c r="KB136" s="143"/>
      <c r="KC136" s="203"/>
      <c r="KD136" s="203"/>
      <c r="KE136" s="143"/>
      <c r="KF136" s="143"/>
      <c r="KG136" s="143"/>
      <c r="KH136" s="143"/>
      <c r="KI136" s="143"/>
      <c r="KJ136" s="194"/>
      <c r="KK136" s="194"/>
      <c r="KL136" s="143"/>
      <c r="KM136" s="143"/>
      <c r="KN136" s="143"/>
      <c r="KO136" s="143"/>
      <c r="KP136" s="227"/>
      <c r="KQ136" s="194"/>
      <c r="KR136" s="194"/>
      <c r="KS136" s="143"/>
      <c r="KT136" s="143"/>
      <c r="KU136" s="143"/>
      <c r="KV136" s="143"/>
      <c r="KW136" s="143"/>
      <c r="KX136" s="210"/>
      <c r="KY136" s="210"/>
      <c r="KZ136" s="194"/>
      <c r="LA136" s="194"/>
      <c r="LB136" s="194"/>
      <c r="LC136" s="194"/>
      <c r="LD136" s="194"/>
      <c r="LE136" s="210"/>
      <c r="LF136" s="210"/>
      <c r="LG136" s="227"/>
      <c r="LH136" s="227"/>
      <c r="LI136" s="227"/>
      <c r="LJ136" s="227"/>
      <c r="LK136" s="227"/>
      <c r="LL136" s="227"/>
      <c r="LM136" s="210"/>
      <c r="LN136" s="227"/>
      <c r="LO136" s="227"/>
      <c r="LP136" s="227"/>
      <c r="LQ136" s="227"/>
      <c r="LR136" s="227"/>
      <c r="LS136" s="210"/>
      <c r="LT136" s="210"/>
      <c r="LU136" s="227"/>
      <c r="LV136" s="143"/>
      <c r="LW136" s="143"/>
      <c r="LX136" s="143"/>
      <c r="LY136" s="143"/>
      <c r="LZ136" s="203"/>
      <c r="MA136" s="203"/>
      <c r="MB136" s="143"/>
      <c r="MC136" s="143"/>
      <c r="MD136" s="143"/>
      <c r="ME136" s="143"/>
      <c r="MF136" s="143"/>
      <c r="MG136" s="203"/>
      <c r="MH136" s="203"/>
      <c r="MI136" s="143"/>
      <c r="MJ136" s="143"/>
      <c r="MK136" s="143"/>
      <c r="ML136" s="143"/>
      <c r="MM136" s="143"/>
      <c r="MN136" s="203"/>
      <c r="MO136" s="203"/>
      <c r="MP136" s="143"/>
      <c r="MQ136" s="143"/>
      <c r="MR136" s="143"/>
      <c r="MS136" s="143"/>
      <c r="MT136" s="143"/>
      <c r="MU136" s="203"/>
      <c r="MV136" s="203"/>
      <c r="MW136" s="143"/>
      <c r="MX136" s="143"/>
      <c r="MY136" s="143"/>
      <c r="MZ136" s="143"/>
      <c r="NA136" s="143"/>
      <c r="NB136" s="143"/>
      <c r="NC136" s="143"/>
      <c r="ND136" s="143"/>
    </row>
    <row r="137" spans="1:368" s="124" customFormat="1" ht="15" customHeight="1" thickBot="1">
      <c r="A137" s="470"/>
      <c r="B137" s="461"/>
      <c r="C137" s="164" t="s">
        <v>13</v>
      </c>
      <c r="D137" s="274"/>
      <c r="E137" s="275"/>
      <c r="F137" s="275"/>
      <c r="G137" s="275"/>
      <c r="H137" s="276"/>
      <c r="I137" s="195"/>
      <c r="J137" s="195"/>
      <c r="K137" s="274"/>
      <c r="L137" s="275"/>
      <c r="M137" s="275"/>
      <c r="N137" s="275"/>
      <c r="O137" s="276"/>
      <c r="P137" s="195"/>
      <c r="Q137" s="195"/>
      <c r="R137" s="274"/>
      <c r="S137" s="275"/>
      <c r="T137" s="275"/>
      <c r="U137" s="275"/>
      <c r="V137" s="276"/>
      <c r="W137" s="195"/>
      <c r="X137" s="195"/>
      <c r="Y137" s="274"/>
      <c r="Z137" s="275"/>
      <c r="AA137" s="275"/>
      <c r="AB137" s="275"/>
      <c r="AC137" s="276"/>
      <c r="AD137" s="195"/>
      <c r="AE137" s="195"/>
      <c r="AF137" s="274"/>
      <c r="AG137" s="275"/>
      <c r="AH137" s="275"/>
      <c r="AI137" s="275"/>
      <c r="AJ137" s="276"/>
      <c r="AK137" s="195"/>
      <c r="AL137" s="195"/>
      <c r="AM137" s="274"/>
      <c r="AN137" s="275"/>
      <c r="AO137" s="275"/>
      <c r="AP137" s="275"/>
      <c r="AQ137" s="276"/>
      <c r="AR137" s="195"/>
      <c r="AS137" s="195"/>
      <c r="AT137" s="274"/>
      <c r="AU137" s="275"/>
      <c r="AV137" s="275"/>
      <c r="AW137" s="275"/>
      <c r="AX137" s="276"/>
      <c r="AY137" s="195"/>
      <c r="AZ137" s="195"/>
      <c r="BA137" s="274"/>
      <c r="BB137" s="275"/>
      <c r="BC137" s="275"/>
      <c r="BD137" s="275"/>
      <c r="BE137" s="276"/>
      <c r="BF137" s="195"/>
      <c r="BG137" s="195"/>
      <c r="BH137" s="274"/>
      <c r="BI137" s="275"/>
      <c r="BJ137" s="275"/>
      <c r="BK137" s="275"/>
      <c r="BL137" s="276"/>
      <c r="BM137" s="195"/>
      <c r="BN137" s="195"/>
      <c r="BO137" s="274"/>
      <c r="BP137" s="275"/>
      <c r="BQ137" s="275"/>
      <c r="BR137" s="275"/>
      <c r="BS137" s="276"/>
      <c r="BT137" s="195"/>
      <c r="BU137" s="195"/>
      <c r="BV137" s="274"/>
      <c r="BW137" s="275"/>
      <c r="BX137" s="275"/>
      <c r="BY137" s="275"/>
      <c r="BZ137" s="276"/>
      <c r="CA137" s="195"/>
      <c r="CB137" s="195"/>
      <c r="CC137" s="274"/>
      <c r="CD137" s="275"/>
      <c r="CE137" s="275"/>
      <c r="CF137" s="275"/>
      <c r="CG137" s="276"/>
      <c r="CH137" s="195"/>
      <c r="CI137" s="195"/>
      <c r="CJ137" s="274"/>
      <c r="CK137" s="275"/>
      <c r="CL137" s="275"/>
      <c r="CM137" s="275"/>
      <c r="CN137" s="276"/>
      <c r="CO137" s="195"/>
      <c r="CP137" s="195"/>
      <c r="CQ137" s="274"/>
      <c r="CR137" s="275"/>
      <c r="CS137" s="275"/>
      <c r="CT137" s="275"/>
      <c r="CU137" s="276"/>
      <c r="CV137" s="195"/>
      <c r="CW137" s="195"/>
      <c r="CX137" s="274"/>
      <c r="CY137" s="275"/>
      <c r="CZ137" s="275"/>
      <c r="DA137" s="275"/>
      <c r="DB137" s="276"/>
      <c r="DC137" s="195"/>
      <c r="DD137" s="195"/>
      <c r="DE137" s="274"/>
      <c r="DF137" s="275"/>
      <c r="DG137" s="275"/>
      <c r="DH137" s="275"/>
      <c r="DI137" s="276"/>
      <c r="DJ137" s="195"/>
      <c r="DK137" s="195"/>
      <c r="DL137" s="274"/>
      <c r="DM137" s="275"/>
      <c r="DN137" s="275"/>
      <c r="DO137" s="275"/>
      <c r="DP137" s="276"/>
      <c r="DQ137" s="195"/>
      <c r="DR137" s="195"/>
      <c r="DS137" s="274"/>
      <c r="DT137" s="275"/>
      <c r="DU137" s="275"/>
      <c r="DV137" s="275"/>
      <c r="DW137" s="276"/>
      <c r="DX137" s="195"/>
      <c r="DY137" s="195"/>
      <c r="DZ137" s="274"/>
      <c r="EA137" s="275"/>
      <c r="EB137" s="275"/>
      <c r="EC137" s="275"/>
      <c r="ED137" s="276"/>
      <c r="EE137" s="195"/>
      <c r="EF137" s="195"/>
      <c r="EG137" s="274"/>
      <c r="EH137" s="275"/>
      <c r="EI137" s="275"/>
      <c r="EJ137" s="275"/>
      <c r="EK137" s="276"/>
      <c r="EL137" s="195"/>
      <c r="EM137" s="195"/>
      <c r="EN137" s="274"/>
      <c r="EO137" s="275"/>
      <c r="EP137" s="275"/>
      <c r="EQ137" s="275"/>
      <c r="ER137" s="276"/>
      <c r="ES137" s="195"/>
      <c r="ET137" s="195"/>
      <c r="EU137" s="274"/>
      <c r="EV137" s="275"/>
      <c r="EW137" s="275"/>
      <c r="EX137" s="275"/>
      <c r="EY137" s="276"/>
      <c r="EZ137" s="195"/>
      <c r="FA137" s="195"/>
      <c r="FB137" s="274"/>
      <c r="FC137" s="275"/>
      <c r="FD137" s="275"/>
      <c r="FE137" s="275"/>
      <c r="FF137" s="276"/>
      <c r="FG137" s="195"/>
      <c r="FH137" s="195"/>
      <c r="FI137" s="274"/>
      <c r="FJ137" s="275"/>
      <c r="FK137" s="275"/>
      <c r="FL137" s="275"/>
      <c r="FM137" s="276"/>
      <c r="FN137" s="195"/>
      <c r="FO137" s="195"/>
      <c r="FP137" s="274"/>
      <c r="FQ137" s="275"/>
      <c r="FR137" s="275"/>
      <c r="FS137" s="275"/>
      <c r="FT137" s="276"/>
      <c r="FU137" s="195"/>
      <c r="FV137" s="195"/>
      <c r="FW137" s="274"/>
      <c r="FX137" s="275"/>
      <c r="FY137" s="275"/>
      <c r="FZ137" s="275"/>
      <c r="GA137" s="276"/>
      <c r="GB137" s="195"/>
      <c r="GC137" s="195"/>
      <c r="GD137" s="144"/>
      <c r="GE137" s="144"/>
      <c r="GF137" s="144"/>
      <c r="GG137" s="144"/>
      <c r="GH137" s="144"/>
      <c r="GI137" s="195"/>
      <c r="GJ137" s="195"/>
      <c r="GK137" s="144"/>
      <c r="GL137" s="144"/>
      <c r="GM137" s="144"/>
      <c r="GN137" s="144"/>
      <c r="GO137" s="144"/>
      <c r="GP137" s="211"/>
      <c r="GQ137" s="211"/>
      <c r="GR137" s="144"/>
      <c r="GS137" s="144"/>
      <c r="GT137" s="144"/>
      <c r="GU137" s="144"/>
      <c r="GV137" s="144"/>
      <c r="GW137" s="211"/>
      <c r="GX137" s="211"/>
      <c r="GY137" s="144"/>
      <c r="GZ137" s="144"/>
      <c r="HA137" s="144"/>
      <c r="HB137" s="144"/>
      <c r="HC137" s="144"/>
      <c r="HD137" s="211"/>
      <c r="HE137" s="211"/>
      <c r="HF137" s="144"/>
      <c r="HG137" s="144"/>
      <c r="HH137" s="144"/>
      <c r="HI137" s="144"/>
      <c r="HJ137" s="144"/>
      <c r="HK137" s="211"/>
      <c r="HL137" s="211"/>
      <c r="HM137" s="144"/>
      <c r="HN137" s="144"/>
      <c r="HO137" s="144"/>
      <c r="HP137" s="144"/>
      <c r="HQ137" s="144"/>
      <c r="HR137" s="144"/>
      <c r="HS137" s="144"/>
      <c r="HT137" s="144"/>
      <c r="HU137" s="144"/>
      <c r="HV137" s="144"/>
      <c r="HW137" s="144"/>
      <c r="HX137" s="144"/>
      <c r="HY137" s="204"/>
      <c r="HZ137" s="204"/>
      <c r="IA137" s="144"/>
      <c r="IB137" s="144"/>
      <c r="IC137" s="144"/>
      <c r="ID137" s="144"/>
      <c r="IE137" s="144"/>
      <c r="IF137" s="204"/>
      <c r="IG137" s="204"/>
      <c r="IH137" s="144"/>
      <c r="II137" s="144"/>
      <c r="IJ137" s="144"/>
      <c r="IK137" s="144"/>
      <c r="IL137" s="144"/>
      <c r="IM137" s="204"/>
      <c r="IN137" s="204"/>
      <c r="IO137" s="144"/>
      <c r="IP137" s="144"/>
      <c r="IQ137" s="230"/>
      <c r="IR137" s="230"/>
      <c r="IS137" s="230"/>
      <c r="IT137" s="204"/>
      <c r="IU137" s="204"/>
      <c r="IV137" s="144"/>
      <c r="IW137" s="144"/>
      <c r="IX137" s="144"/>
      <c r="IY137" s="144"/>
      <c r="IZ137" s="144"/>
      <c r="JA137" s="204"/>
      <c r="JB137" s="204"/>
      <c r="JC137" s="230"/>
      <c r="JD137" s="230"/>
      <c r="JE137" s="144"/>
      <c r="JF137" s="144"/>
      <c r="JG137" s="144"/>
      <c r="JH137" s="204"/>
      <c r="JI137" s="204"/>
      <c r="JJ137" s="144"/>
      <c r="JK137" s="144"/>
      <c r="JL137" s="144"/>
      <c r="JM137" s="144"/>
      <c r="JN137" s="144"/>
      <c r="JO137" s="204"/>
      <c r="JP137" s="204"/>
      <c r="JQ137" s="144"/>
      <c r="JR137" s="144"/>
      <c r="JS137" s="144"/>
      <c r="JT137" s="144"/>
      <c r="JU137" s="144"/>
      <c r="JV137" s="204"/>
      <c r="JW137" s="204"/>
      <c r="JX137" s="144"/>
      <c r="JY137" s="144"/>
      <c r="JZ137" s="144"/>
      <c r="KA137" s="144"/>
      <c r="KB137" s="144"/>
      <c r="KC137" s="204"/>
      <c r="KD137" s="204"/>
      <c r="KE137" s="144"/>
      <c r="KF137" s="144"/>
      <c r="KG137" s="144"/>
      <c r="KH137" s="144"/>
      <c r="KI137" s="144"/>
      <c r="KJ137" s="195"/>
      <c r="KK137" s="195"/>
      <c r="KL137" s="144"/>
      <c r="KM137" s="144"/>
      <c r="KN137" s="144"/>
      <c r="KO137" s="144"/>
      <c r="KP137" s="230"/>
      <c r="KQ137" s="195"/>
      <c r="KR137" s="195"/>
      <c r="KS137" s="144"/>
      <c r="KT137" s="144"/>
      <c r="KU137" s="144"/>
      <c r="KV137" s="144"/>
      <c r="KW137" s="144"/>
      <c r="KX137" s="211"/>
      <c r="KY137" s="211"/>
      <c r="KZ137" s="195"/>
      <c r="LA137" s="195"/>
      <c r="LB137" s="195"/>
      <c r="LC137" s="195"/>
      <c r="LD137" s="195"/>
      <c r="LE137" s="211"/>
      <c r="LF137" s="211"/>
      <c r="LG137" s="230"/>
      <c r="LH137" s="230"/>
      <c r="LI137" s="230"/>
      <c r="LJ137" s="230"/>
      <c r="LK137" s="230"/>
      <c r="LL137" s="230"/>
      <c r="LM137" s="211"/>
      <c r="LN137" s="230"/>
      <c r="LO137" s="230"/>
      <c r="LP137" s="230"/>
      <c r="LQ137" s="230"/>
      <c r="LR137" s="230"/>
      <c r="LS137" s="211"/>
      <c r="LT137" s="211"/>
      <c r="LU137" s="230"/>
      <c r="LV137" s="144"/>
      <c r="LW137" s="144"/>
      <c r="LX137" s="144"/>
      <c r="LY137" s="144"/>
      <c r="LZ137" s="204"/>
      <c r="MA137" s="204"/>
      <c r="MB137" s="144"/>
      <c r="MC137" s="144"/>
      <c r="MD137" s="144"/>
      <c r="ME137" s="144"/>
      <c r="MF137" s="144"/>
      <c r="MG137" s="204"/>
      <c r="MH137" s="204"/>
      <c r="MI137" s="144"/>
      <c r="MJ137" s="144"/>
      <c r="MK137" s="144"/>
      <c r="ML137" s="144"/>
      <c r="MM137" s="144"/>
      <c r="MN137" s="204"/>
      <c r="MO137" s="204"/>
      <c r="MP137" s="144"/>
      <c r="MQ137" s="144"/>
      <c r="MR137" s="144"/>
      <c r="MS137" s="144"/>
      <c r="MT137" s="144"/>
      <c r="MU137" s="204"/>
      <c r="MV137" s="204"/>
      <c r="MW137" s="144"/>
      <c r="MX137" s="144"/>
      <c r="MY137" s="144"/>
      <c r="MZ137" s="144"/>
      <c r="NA137" s="144"/>
      <c r="NB137" s="144"/>
      <c r="NC137" s="144"/>
      <c r="ND137" s="144"/>
    </row>
    <row r="138" spans="1:368" s="154" customFormat="1" ht="15" hidden="1" customHeight="1" thickBot="1">
      <c r="A138" s="478"/>
      <c r="B138" s="479"/>
      <c r="C138" s="167" t="s">
        <v>93</v>
      </c>
      <c r="D138" s="152"/>
      <c r="E138" s="152"/>
      <c r="F138" s="152"/>
      <c r="G138" s="152"/>
      <c r="H138" s="152"/>
      <c r="I138" s="195"/>
      <c r="J138" s="195"/>
      <c r="K138" s="152"/>
      <c r="L138" s="152"/>
      <c r="M138" s="152"/>
      <c r="N138" s="152"/>
      <c r="O138" s="152"/>
      <c r="P138" s="195"/>
      <c r="Q138" s="195"/>
      <c r="R138" s="152"/>
      <c r="S138" s="152"/>
      <c r="T138" s="152"/>
      <c r="U138" s="152"/>
      <c r="V138" s="152"/>
      <c r="W138" s="195"/>
      <c r="X138" s="195"/>
      <c r="Y138" s="152"/>
      <c r="Z138" s="152"/>
      <c r="AA138" s="152"/>
      <c r="AB138" s="152"/>
      <c r="AC138" s="152"/>
      <c r="AD138" s="195"/>
      <c r="AE138" s="195"/>
      <c r="AF138" s="152"/>
      <c r="AG138" s="152"/>
      <c r="AH138" s="152"/>
      <c r="AI138" s="152"/>
      <c r="AJ138" s="152"/>
      <c r="AK138" s="195"/>
      <c r="AL138" s="195"/>
      <c r="AM138" s="152"/>
      <c r="AN138" s="152"/>
      <c r="AO138" s="152"/>
      <c r="AP138" s="152"/>
      <c r="AQ138" s="152"/>
      <c r="AR138" s="195"/>
      <c r="AS138" s="195"/>
      <c r="AT138" s="152"/>
      <c r="AU138" s="152"/>
      <c r="AV138" s="152"/>
      <c r="AW138" s="152"/>
      <c r="AX138" s="152"/>
      <c r="AY138" s="195"/>
      <c r="AZ138" s="195"/>
      <c r="BA138" s="152"/>
      <c r="BB138" s="152"/>
      <c r="BC138" s="152"/>
      <c r="BD138" s="152"/>
      <c r="BE138" s="152"/>
      <c r="BF138" s="195"/>
      <c r="BG138" s="195"/>
      <c r="BH138" s="152"/>
      <c r="BI138" s="152"/>
      <c r="BJ138" s="152"/>
      <c r="BK138" s="152"/>
      <c r="BL138" s="152"/>
      <c r="BM138" s="195"/>
      <c r="BN138" s="195"/>
      <c r="BO138" s="152"/>
      <c r="BP138" s="152"/>
      <c r="BQ138" s="152"/>
      <c r="BR138" s="152"/>
      <c r="BS138" s="152"/>
      <c r="BT138" s="195"/>
      <c r="BU138" s="195"/>
      <c r="BV138" s="152"/>
      <c r="BW138" s="152"/>
      <c r="BX138" s="152"/>
      <c r="BY138" s="152"/>
      <c r="BZ138" s="152"/>
      <c r="CA138" s="195"/>
      <c r="CB138" s="195"/>
      <c r="CC138" s="152"/>
      <c r="CD138" s="152"/>
      <c r="CE138" s="152"/>
      <c r="CF138" s="152"/>
      <c r="CG138" s="152"/>
      <c r="CH138" s="195"/>
      <c r="CI138" s="195"/>
      <c r="CJ138" s="152"/>
      <c r="CK138" s="152"/>
      <c r="CL138" s="152"/>
      <c r="CM138" s="152"/>
      <c r="CN138" s="152"/>
      <c r="CO138" s="195"/>
      <c r="CP138" s="195"/>
      <c r="CQ138" s="152"/>
      <c r="CR138" s="152"/>
      <c r="CS138" s="152"/>
      <c r="CT138" s="152"/>
      <c r="CU138" s="152"/>
      <c r="CV138" s="195"/>
      <c r="CW138" s="195"/>
      <c r="CX138" s="152"/>
      <c r="CY138" s="152"/>
      <c r="CZ138" s="152"/>
      <c r="DA138" s="152"/>
      <c r="DB138" s="152"/>
      <c r="DC138" s="195"/>
      <c r="DD138" s="195"/>
      <c r="DE138" s="152"/>
      <c r="DF138" s="152"/>
      <c r="DG138" s="152"/>
      <c r="DH138" s="152"/>
      <c r="DI138" s="152"/>
      <c r="DJ138" s="195"/>
      <c r="DK138" s="195"/>
      <c r="DL138" s="152"/>
      <c r="DM138" s="152"/>
      <c r="DN138" s="152"/>
      <c r="DO138" s="152"/>
      <c r="DP138" s="152"/>
      <c r="DQ138" s="195"/>
      <c r="DR138" s="195"/>
      <c r="DS138" s="152"/>
      <c r="DT138" s="152"/>
      <c r="DU138" s="152"/>
      <c r="DV138" s="152"/>
      <c r="DW138" s="152"/>
      <c r="DX138" s="195"/>
      <c r="DY138" s="195"/>
      <c r="DZ138" s="152"/>
      <c r="EA138" s="152"/>
      <c r="EB138" s="152"/>
      <c r="EC138" s="152"/>
      <c r="ED138" s="152"/>
      <c r="EE138" s="195"/>
      <c r="EF138" s="195"/>
      <c r="EG138" s="152"/>
      <c r="EH138" s="152"/>
      <c r="EI138" s="152"/>
      <c r="EJ138" s="152"/>
      <c r="EK138" s="152"/>
      <c r="EL138" s="195"/>
      <c r="EM138" s="195"/>
      <c r="EN138" s="152"/>
      <c r="EO138" s="152"/>
      <c r="EP138" s="152"/>
      <c r="EQ138" s="152"/>
      <c r="ER138" s="152"/>
      <c r="ES138" s="195"/>
      <c r="ET138" s="195"/>
      <c r="EU138" s="152"/>
      <c r="EV138" s="152"/>
      <c r="EW138" s="152"/>
      <c r="EX138" s="152"/>
      <c r="EY138" s="152"/>
      <c r="EZ138" s="195"/>
      <c r="FA138" s="195"/>
      <c r="FB138" s="152"/>
      <c r="FC138" s="152"/>
      <c r="FD138" s="152"/>
      <c r="FE138" s="152"/>
      <c r="FF138" s="152"/>
      <c r="FG138" s="195"/>
      <c r="FH138" s="195"/>
      <c r="FI138" s="152"/>
      <c r="FJ138" s="152"/>
      <c r="FK138" s="152"/>
      <c r="FL138" s="152"/>
      <c r="FM138" s="152"/>
      <c r="FN138" s="195"/>
      <c r="FO138" s="195"/>
      <c r="FP138" s="152"/>
      <c r="FQ138" s="152"/>
      <c r="FR138" s="152"/>
      <c r="FS138" s="152"/>
      <c r="FT138" s="152"/>
      <c r="FU138" s="195"/>
      <c r="FV138" s="195"/>
      <c r="FW138" s="152"/>
      <c r="FX138" s="152"/>
      <c r="FY138" s="152"/>
      <c r="FZ138" s="152"/>
      <c r="GA138" s="152"/>
      <c r="GB138" s="195"/>
      <c r="GC138" s="195"/>
      <c r="GD138" s="153"/>
      <c r="GE138" s="153"/>
      <c r="GF138" s="153"/>
      <c r="GG138" s="153"/>
      <c r="GH138" s="153"/>
      <c r="GI138" s="195"/>
      <c r="GJ138" s="195"/>
      <c r="GK138" s="153"/>
      <c r="GL138" s="153"/>
      <c r="GM138" s="153"/>
      <c r="GN138" s="153"/>
      <c r="GO138" s="153"/>
      <c r="GP138" s="211"/>
      <c r="GQ138" s="211"/>
      <c r="GR138" s="153"/>
      <c r="GS138" s="153"/>
      <c r="GT138" s="153"/>
      <c r="GU138" s="153"/>
      <c r="GV138" s="153"/>
      <c r="GW138" s="211"/>
      <c r="GX138" s="211"/>
      <c r="GY138" s="153"/>
      <c r="GZ138" s="153"/>
      <c r="HA138" s="153"/>
      <c r="HB138" s="153"/>
      <c r="HC138" s="153"/>
      <c r="HD138" s="211"/>
      <c r="HE138" s="211"/>
      <c r="HF138" s="153"/>
      <c r="HG138" s="153"/>
      <c r="HH138" s="153"/>
      <c r="HI138" s="153"/>
      <c r="HJ138" s="153"/>
      <c r="HK138" s="211"/>
      <c r="HL138" s="211"/>
      <c r="HM138" s="153"/>
      <c r="HN138" s="153"/>
      <c r="HO138" s="153"/>
      <c r="HP138" s="153"/>
      <c r="HQ138" s="153"/>
      <c r="HR138" s="153"/>
      <c r="HS138" s="153"/>
      <c r="HT138" s="153"/>
      <c r="HU138" s="153"/>
      <c r="HV138" s="153"/>
      <c r="HW138" s="153"/>
      <c r="HX138" s="153"/>
      <c r="HY138" s="204"/>
      <c r="HZ138" s="204"/>
      <c r="IA138" s="153"/>
      <c r="IB138" s="153"/>
      <c r="IC138" s="153"/>
      <c r="ID138" s="153"/>
      <c r="IE138" s="153"/>
      <c r="IF138" s="204"/>
      <c r="IG138" s="204"/>
      <c r="IH138" s="153"/>
      <c r="II138" s="153"/>
      <c r="IJ138" s="153"/>
      <c r="IK138" s="153"/>
      <c r="IL138" s="153"/>
      <c r="IM138" s="204"/>
      <c r="IN138" s="204"/>
      <c r="IO138" s="153"/>
      <c r="IP138" s="153"/>
      <c r="IQ138" s="230"/>
      <c r="IR138" s="230"/>
      <c r="IS138" s="230"/>
      <c r="IT138" s="204"/>
      <c r="IU138" s="204"/>
      <c r="IV138" s="153"/>
      <c r="IW138" s="153"/>
      <c r="IX138" s="153"/>
      <c r="IY138" s="153"/>
      <c r="IZ138" s="153"/>
      <c r="JA138" s="204"/>
      <c r="JB138" s="204"/>
      <c r="JC138" s="233"/>
      <c r="JD138" s="233"/>
      <c r="JE138" s="153"/>
      <c r="JF138" s="153"/>
      <c r="JG138" s="153"/>
      <c r="JH138" s="204"/>
      <c r="JI138" s="204"/>
      <c r="JJ138" s="153"/>
      <c r="JK138" s="153"/>
      <c r="JL138" s="153"/>
      <c r="JM138" s="153"/>
      <c r="JN138" s="153"/>
      <c r="JO138" s="204"/>
      <c r="JP138" s="204"/>
      <c r="JQ138" s="153"/>
      <c r="JR138" s="153"/>
      <c r="JS138" s="153"/>
      <c r="JT138" s="153"/>
      <c r="JU138" s="153"/>
      <c r="JV138" s="204"/>
      <c r="JW138" s="204"/>
      <c r="JX138" s="153"/>
      <c r="JY138" s="153"/>
      <c r="JZ138" s="153"/>
      <c r="KA138" s="153"/>
      <c r="KB138" s="153"/>
      <c r="KC138" s="204"/>
      <c r="KD138" s="204"/>
      <c r="KE138" s="153"/>
      <c r="KF138" s="153"/>
      <c r="KG138" s="153"/>
      <c r="KH138" s="153"/>
      <c r="KI138" s="153"/>
      <c r="KJ138" s="195"/>
      <c r="KK138" s="195"/>
      <c r="KL138" s="153"/>
      <c r="KM138" s="153"/>
      <c r="KN138" s="153"/>
      <c r="KO138" s="153"/>
      <c r="KP138" s="195"/>
      <c r="KQ138" s="195"/>
      <c r="KR138" s="195"/>
      <c r="KS138" s="153"/>
      <c r="KT138" s="153"/>
      <c r="KU138" s="153"/>
      <c r="KV138" s="153"/>
      <c r="KW138" s="153"/>
      <c r="KX138" s="211"/>
      <c r="KY138" s="211"/>
      <c r="KZ138" s="195"/>
      <c r="LA138" s="195"/>
      <c r="LB138" s="195"/>
      <c r="LC138" s="195"/>
      <c r="LD138" s="195"/>
      <c r="LE138" s="211"/>
      <c r="LF138" s="211"/>
      <c r="LG138" s="230"/>
      <c r="LH138" s="230"/>
      <c r="LI138" s="230"/>
      <c r="LJ138" s="230"/>
      <c r="LK138" s="230"/>
      <c r="LL138" s="230"/>
      <c r="LM138" s="211"/>
      <c r="LN138" s="233"/>
      <c r="LO138" s="233"/>
      <c r="LP138" s="233"/>
      <c r="LQ138" s="233"/>
      <c r="LR138" s="233"/>
      <c r="LS138" s="211"/>
      <c r="LT138" s="211"/>
      <c r="LU138" s="233"/>
      <c r="LV138" s="153"/>
      <c r="LW138" s="153"/>
      <c r="LX138" s="153"/>
      <c r="LY138" s="153"/>
      <c r="LZ138" s="204"/>
      <c r="MA138" s="204"/>
      <c r="MB138" s="153"/>
      <c r="MC138" s="153"/>
      <c r="MD138" s="153"/>
      <c r="ME138" s="153"/>
      <c r="MF138" s="153"/>
      <c r="MG138" s="204"/>
      <c r="MH138" s="204"/>
      <c r="MI138" s="153"/>
      <c r="MJ138" s="153"/>
      <c r="MK138" s="153"/>
      <c r="ML138" s="153"/>
      <c r="MM138" s="153"/>
      <c r="MN138" s="204"/>
      <c r="MO138" s="204"/>
      <c r="MP138" s="153"/>
      <c r="MQ138" s="153"/>
      <c r="MR138" s="153"/>
      <c r="MS138" s="153"/>
      <c r="MT138" s="153"/>
      <c r="MU138" s="204"/>
      <c r="MV138" s="204"/>
      <c r="MW138" s="153"/>
      <c r="MX138" s="153"/>
      <c r="MY138" s="153"/>
      <c r="MZ138" s="153"/>
      <c r="NA138" s="153"/>
      <c r="NB138" s="153"/>
      <c r="NC138" s="153"/>
      <c r="ND138" s="153"/>
    </row>
    <row r="139" spans="1:368" s="149" customFormat="1" ht="15" customHeight="1" thickBot="1">
      <c r="A139" s="471"/>
      <c r="B139" s="476" t="s">
        <v>92</v>
      </c>
      <c r="C139" s="477"/>
      <c r="D139" s="155">
        <f t="shared" ref="D139:H139" si="204">SUM(D123:D137)</f>
        <v>0</v>
      </c>
      <c r="E139" s="155">
        <f t="shared" si="204"/>
        <v>0</v>
      </c>
      <c r="F139" s="155">
        <f t="shared" si="204"/>
        <v>0</v>
      </c>
      <c r="G139" s="155">
        <f t="shared" si="204"/>
        <v>0</v>
      </c>
      <c r="H139" s="155">
        <f t="shared" si="204"/>
        <v>0</v>
      </c>
      <c r="I139" s="195"/>
      <c r="J139" s="195"/>
      <c r="K139" s="155">
        <f t="shared" ref="K139:O139" si="205">SUM(K123:K137)</f>
        <v>0</v>
      </c>
      <c r="L139" s="155">
        <f t="shared" si="205"/>
        <v>0</v>
      </c>
      <c r="M139" s="155">
        <f t="shared" si="205"/>
        <v>0</v>
      </c>
      <c r="N139" s="155">
        <f t="shared" si="205"/>
        <v>0</v>
      </c>
      <c r="O139" s="155">
        <f t="shared" si="205"/>
        <v>0</v>
      </c>
      <c r="P139" s="195"/>
      <c r="Q139" s="195"/>
      <c r="R139" s="155">
        <f t="shared" ref="R139:V139" si="206">SUM(R123:R137)</f>
        <v>0</v>
      </c>
      <c r="S139" s="155">
        <f t="shared" si="206"/>
        <v>0</v>
      </c>
      <c r="T139" s="155">
        <f t="shared" si="206"/>
        <v>0</v>
      </c>
      <c r="U139" s="155">
        <f t="shared" si="206"/>
        <v>0</v>
      </c>
      <c r="V139" s="155">
        <f t="shared" si="206"/>
        <v>0</v>
      </c>
      <c r="W139" s="195"/>
      <c r="X139" s="195"/>
      <c r="Y139" s="155">
        <f t="shared" ref="Y139:AC139" si="207">SUM(Y123:Y137)</f>
        <v>0</v>
      </c>
      <c r="Z139" s="155">
        <f t="shared" si="207"/>
        <v>0</v>
      </c>
      <c r="AA139" s="155">
        <f t="shared" si="207"/>
        <v>0</v>
      </c>
      <c r="AB139" s="155">
        <f t="shared" si="207"/>
        <v>0</v>
      </c>
      <c r="AC139" s="155">
        <f t="shared" si="207"/>
        <v>0</v>
      </c>
      <c r="AD139" s="195"/>
      <c r="AE139" s="195"/>
      <c r="AF139" s="155">
        <f t="shared" ref="AF139:AJ139" si="208">SUM(AF123:AF137)</f>
        <v>0</v>
      </c>
      <c r="AG139" s="155">
        <f t="shared" si="208"/>
        <v>0</v>
      </c>
      <c r="AH139" s="155">
        <f t="shared" si="208"/>
        <v>0</v>
      </c>
      <c r="AI139" s="155">
        <f t="shared" si="208"/>
        <v>0</v>
      </c>
      <c r="AJ139" s="155">
        <f t="shared" si="208"/>
        <v>0</v>
      </c>
      <c r="AK139" s="195"/>
      <c r="AL139" s="195"/>
      <c r="AM139" s="155">
        <f t="shared" ref="AM139:AQ139" si="209">SUM(AM123:AM137)</f>
        <v>0</v>
      </c>
      <c r="AN139" s="155">
        <f t="shared" si="209"/>
        <v>0</v>
      </c>
      <c r="AO139" s="155">
        <f t="shared" si="209"/>
        <v>0</v>
      </c>
      <c r="AP139" s="155">
        <f t="shared" si="209"/>
        <v>0</v>
      </c>
      <c r="AQ139" s="155">
        <f t="shared" si="209"/>
        <v>0</v>
      </c>
      <c r="AR139" s="195"/>
      <c r="AS139" s="195"/>
      <c r="AT139" s="155">
        <f t="shared" ref="AT139:AX139" si="210">SUM(AT123:AT137)</f>
        <v>0</v>
      </c>
      <c r="AU139" s="155">
        <f t="shared" si="210"/>
        <v>0</v>
      </c>
      <c r="AV139" s="155">
        <f t="shared" si="210"/>
        <v>0</v>
      </c>
      <c r="AW139" s="155">
        <f t="shared" si="210"/>
        <v>0</v>
      </c>
      <c r="AX139" s="155">
        <f t="shared" si="210"/>
        <v>0</v>
      </c>
      <c r="AY139" s="195"/>
      <c r="AZ139" s="195"/>
      <c r="BA139" s="155">
        <f t="shared" ref="BA139:BE139" si="211">SUM(BA123:BA137)</f>
        <v>0</v>
      </c>
      <c r="BB139" s="155">
        <f t="shared" si="211"/>
        <v>0</v>
      </c>
      <c r="BC139" s="155">
        <f t="shared" si="211"/>
        <v>0</v>
      </c>
      <c r="BD139" s="155">
        <f t="shared" si="211"/>
        <v>0</v>
      </c>
      <c r="BE139" s="155">
        <f t="shared" si="211"/>
        <v>0</v>
      </c>
      <c r="BF139" s="195"/>
      <c r="BG139" s="195"/>
      <c r="BH139" s="155">
        <f t="shared" ref="BH139:BL139" si="212">SUM(BH123:BH137)</f>
        <v>0</v>
      </c>
      <c r="BI139" s="155">
        <f t="shared" si="212"/>
        <v>0</v>
      </c>
      <c r="BJ139" s="155">
        <f t="shared" si="212"/>
        <v>0</v>
      </c>
      <c r="BK139" s="155">
        <f t="shared" si="212"/>
        <v>0</v>
      </c>
      <c r="BL139" s="155">
        <f t="shared" si="212"/>
        <v>0</v>
      </c>
      <c r="BM139" s="195"/>
      <c r="BN139" s="195"/>
      <c r="BO139" s="155">
        <f t="shared" ref="BO139:BS139" si="213">SUM(BO123:BO137)</f>
        <v>0</v>
      </c>
      <c r="BP139" s="155">
        <f t="shared" si="213"/>
        <v>0</v>
      </c>
      <c r="BQ139" s="155">
        <f t="shared" si="213"/>
        <v>0</v>
      </c>
      <c r="BR139" s="155">
        <f t="shared" si="213"/>
        <v>0</v>
      </c>
      <c r="BS139" s="155">
        <f t="shared" si="213"/>
        <v>0</v>
      </c>
      <c r="BT139" s="195"/>
      <c r="BU139" s="195"/>
      <c r="BV139" s="155">
        <f t="shared" ref="BV139:BZ139" si="214">SUM(BV123:BV137)</f>
        <v>0</v>
      </c>
      <c r="BW139" s="155">
        <f t="shared" si="214"/>
        <v>0</v>
      </c>
      <c r="BX139" s="155">
        <f t="shared" si="214"/>
        <v>0</v>
      </c>
      <c r="BY139" s="155">
        <f t="shared" si="214"/>
        <v>0</v>
      </c>
      <c r="BZ139" s="155">
        <f t="shared" si="214"/>
        <v>0</v>
      </c>
      <c r="CA139" s="195"/>
      <c r="CB139" s="195"/>
      <c r="CC139" s="155">
        <f t="shared" ref="CC139:CG139" si="215">SUM(CC123:CC137)</f>
        <v>0</v>
      </c>
      <c r="CD139" s="155">
        <f t="shared" si="215"/>
        <v>0</v>
      </c>
      <c r="CE139" s="155">
        <f t="shared" si="215"/>
        <v>0</v>
      </c>
      <c r="CF139" s="155">
        <f t="shared" si="215"/>
        <v>0</v>
      </c>
      <c r="CG139" s="155">
        <f t="shared" si="215"/>
        <v>0</v>
      </c>
      <c r="CH139" s="195"/>
      <c r="CI139" s="195"/>
      <c r="CJ139" s="155">
        <f t="shared" ref="CJ139:CN139" si="216">SUM(CJ123:CJ137)</f>
        <v>0</v>
      </c>
      <c r="CK139" s="155">
        <f t="shared" si="216"/>
        <v>0</v>
      </c>
      <c r="CL139" s="155">
        <f t="shared" si="216"/>
        <v>0</v>
      </c>
      <c r="CM139" s="155">
        <f t="shared" si="216"/>
        <v>0</v>
      </c>
      <c r="CN139" s="155">
        <f t="shared" si="216"/>
        <v>0</v>
      </c>
      <c r="CO139" s="195"/>
      <c r="CP139" s="195"/>
      <c r="CQ139" s="155">
        <f t="shared" ref="CQ139:CU139" si="217">SUM(CQ123:CQ137)</f>
        <v>0</v>
      </c>
      <c r="CR139" s="155">
        <f t="shared" si="217"/>
        <v>0</v>
      </c>
      <c r="CS139" s="155">
        <f t="shared" si="217"/>
        <v>0</v>
      </c>
      <c r="CT139" s="155">
        <f t="shared" si="217"/>
        <v>0</v>
      </c>
      <c r="CU139" s="155">
        <f t="shared" si="217"/>
        <v>0</v>
      </c>
      <c r="CV139" s="195"/>
      <c r="CW139" s="195"/>
      <c r="CX139" s="155">
        <f t="shared" ref="CX139:DB139" si="218">SUM(CX123:CX137)</f>
        <v>0</v>
      </c>
      <c r="CY139" s="155">
        <f t="shared" si="218"/>
        <v>0</v>
      </c>
      <c r="CZ139" s="155">
        <f t="shared" si="218"/>
        <v>0</v>
      </c>
      <c r="DA139" s="155">
        <f t="shared" si="218"/>
        <v>0</v>
      </c>
      <c r="DB139" s="155">
        <f t="shared" si="218"/>
        <v>0</v>
      </c>
      <c r="DC139" s="195"/>
      <c r="DD139" s="195"/>
      <c r="DE139" s="155">
        <f t="shared" ref="DE139:DI139" si="219">SUM(DE123:DE137)</f>
        <v>0</v>
      </c>
      <c r="DF139" s="155">
        <f t="shared" si="219"/>
        <v>0</v>
      </c>
      <c r="DG139" s="155">
        <f t="shared" si="219"/>
        <v>0</v>
      </c>
      <c r="DH139" s="155">
        <f t="shared" si="219"/>
        <v>0</v>
      </c>
      <c r="DI139" s="155">
        <f t="shared" si="219"/>
        <v>0</v>
      </c>
      <c r="DJ139" s="195"/>
      <c r="DK139" s="195"/>
      <c r="DL139" s="155">
        <f t="shared" ref="DL139:DP139" si="220">SUM(DL123:DL137)</f>
        <v>0</v>
      </c>
      <c r="DM139" s="155">
        <f t="shared" si="220"/>
        <v>0</v>
      </c>
      <c r="DN139" s="155">
        <f t="shared" si="220"/>
        <v>0</v>
      </c>
      <c r="DO139" s="155">
        <f t="shared" si="220"/>
        <v>0</v>
      </c>
      <c r="DP139" s="155">
        <f t="shared" si="220"/>
        <v>0</v>
      </c>
      <c r="DQ139" s="195"/>
      <c r="DR139" s="195"/>
      <c r="DS139" s="155">
        <f t="shared" ref="DS139:DW139" si="221">SUM(DS123:DS137)</f>
        <v>0</v>
      </c>
      <c r="DT139" s="155">
        <f t="shared" si="221"/>
        <v>0</v>
      </c>
      <c r="DU139" s="155">
        <f t="shared" si="221"/>
        <v>0</v>
      </c>
      <c r="DV139" s="155">
        <f t="shared" si="221"/>
        <v>0</v>
      </c>
      <c r="DW139" s="155">
        <f t="shared" si="221"/>
        <v>0</v>
      </c>
      <c r="DX139" s="195"/>
      <c r="DY139" s="195"/>
      <c r="DZ139" s="155">
        <f t="shared" ref="DZ139:ED139" si="222">SUM(DZ123:DZ137)</f>
        <v>0</v>
      </c>
      <c r="EA139" s="155">
        <f t="shared" si="222"/>
        <v>0</v>
      </c>
      <c r="EB139" s="155">
        <f t="shared" si="222"/>
        <v>0</v>
      </c>
      <c r="EC139" s="155">
        <f t="shared" si="222"/>
        <v>0</v>
      </c>
      <c r="ED139" s="155">
        <f t="shared" si="222"/>
        <v>0</v>
      </c>
      <c r="EE139" s="195"/>
      <c r="EF139" s="195"/>
      <c r="EG139" s="155">
        <f t="shared" ref="EG139:EK139" si="223">SUM(EG123:EG137)</f>
        <v>0</v>
      </c>
      <c r="EH139" s="155">
        <f t="shared" si="223"/>
        <v>0</v>
      </c>
      <c r="EI139" s="155">
        <f t="shared" si="223"/>
        <v>0</v>
      </c>
      <c r="EJ139" s="155">
        <f t="shared" si="223"/>
        <v>0</v>
      </c>
      <c r="EK139" s="155">
        <f t="shared" si="223"/>
        <v>0</v>
      </c>
      <c r="EL139" s="195"/>
      <c r="EM139" s="195"/>
      <c r="EN139" s="155">
        <f t="shared" ref="EN139:ER139" si="224">SUM(EN123:EN137)</f>
        <v>0</v>
      </c>
      <c r="EO139" s="155">
        <f t="shared" si="224"/>
        <v>0</v>
      </c>
      <c r="EP139" s="155">
        <f t="shared" si="224"/>
        <v>0</v>
      </c>
      <c r="EQ139" s="155">
        <f t="shared" si="224"/>
        <v>0</v>
      </c>
      <c r="ER139" s="155">
        <f t="shared" si="224"/>
        <v>0</v>
      </c>
      <c r="ES139" s="195"/>
      <c r="ET139" s="195"/>
      <c r="EU139" s="155">
        <f t="shared" ref="EU139:EY139" si="225">SUM(EU123:EU137)</f>
        <v>0</v>
      </c>
      <c r="EV139" s="155">
        <f t="shared" si="225"/>
        <v>0</v>
      </c>
      <c r="EW139" s="155">
        <f t="shared" si="225"/>
        <v>0</v>
      </c>
      <c r="EX139" s="155">
        <f t="shared" si="225"/>
        <v>0</v>
      </c>
      <c r="EY139" s="155">
        <f t="shared" si="225"/>
        <v>0</v>
      </c>
      <c r="EZ139" s="195"/>
      <c r="FA139" s="195"/>
      <c r="FB139" s="155">
        <f t="shared" ref="FB139:FF139" si="226">SUM(FB123:FB137)</f>
        <v>0</v>
      </c>
      <c r="FC139" s="155">
        <f t="shared" si="226"/>
        <v>0</v>
      </c>
      <c r="FD139" s="155">
        <f t="shared" si="226"/>
        <v>0</v>
      </c>
      <c r="FE139" s="155">
        <f t="shared" si="226"/>
        <v>0</v>
      </c>
      <c r="FF139" s="155">
        <f t="shared" si="226"/>
        <v>0</v>
      </c>
      <c r="FG139" s="195"/>
      <c r="FH139" s="195"/>
      <c r="FI139" s="155">
        <f t="shared" ref="FI139:FM139" si="227">SUM(FI123:FI137)</f>
        <v>0</v>
      </c>
      <c r="FJ139" s="155">
        <f t="shared" si="227"/>
        <v>0</v>
      </c>
      <c r="FK139" s="155">
        <f t="shared" si="227"/>
        <v>0</v>
      </c>
      <c r="FL139" s="155">
        <f t="shared" si="227"/>
        <v>0</v>
      </c>
      <c r="FM139" s="155">
        <f t="shared" si="227"/>
        <v>0</v>
      </c>
      <c r="FN139" s="195"/>
      <c r="FO139" s="195"/>
      <c r="FP139" s="155">
        <f t="shared" ref="FP139:FT139" si="228">SUM(FP123:FP137)</f>
        <v>0</v>
      </c>
      <c r="FQ139" s="155">
        <f t="shared" si="228"/>
        <v>0</v>
      </c>
      <c r="FR139" s="155">
        <f t="shared" si="228"/>
        <v>0</v>
      </c>
      <c r="FS139" s="155">
        <f t="shared" si="228"/>
        <v>0</v>
      </c>
      <c r="FT139" s="155">
        <f t="shared" si="228"/>
        <v>0</v>
      </c>
      <c r="FU139" s="195"/>
      <c r="FV139" s="195"/>
      <c r="FW139" s="155">
        <f t="shared" ref="FW139:HJ139" si="229">SUM(FW123:FW137)</f>
        <v>0</v>
      </c>
      <c r="FX139" s="155">
        <f t="shared" si="229"/>
        <v>0</v>
      </c>
      <c r="FY139" s="155">
        <f t="shared" si="229"/>
        <v>0</v>
      </c>
      <c r="FZ139" s="155">
        <f t="shared" si="229"/>
        <v>0</v>
      </c>
      <c r="GA139" s="155">
        <f t="shared" si="229"/>
        <v>0</v>
      </c>
      <c r="GB139" s="155">
        <f t="shared" si="229"/>
        <v>0</v>
      </c>
      <c r="GC139" s="155">
        <f t="shared" si="229"/>
        <v>0</v>
      </c>
      <c r="GD139" s="155">
        <f t="shared" si="229"/>
        <v>0</v>
      </c>
      <c r="GE139" s="155">
        <f t="shared" si="229"/>
        <v>0</v>
      </c>
      <c r="GF139" s="155">
        <f t="shared" si="229"/>
        <v>0</v>
      </c>
      <c r="GG139" s="155">
        <f t="shared" si="229"/>
        <v>0</v>
      </c>
      <c r="GH139" s="155">
        <f t="shared" si="229"/>
        <v>0</v>
      </c>
      <c r="GI139" s="155">
        <f t="shared" si="229"/>
        <v>0</v>
      </c>
      <c r="GJ139" s="155">
        <f t="shared" si="229"/>
        <v>0</v>
      </c>
      <c r="GK139" s="155">
        <f t="shared" si="229"/>
        <v>0</v>
      </c>
      <c r="GL139" s="155">
        <f t="shared" si="229"/>
        <v>0</v>
      </c>
      <c r="GM139" s="155">
        <f t="shared" si="229"/>
        <v>0</v>
      </c>
      <c r="GN139" s="155">
        <f t="shared" si="229"/>
        <v>0</v>
      </c>
      <c r="GO139" s="155">
        <f t="shared" si="229"/>
        <v>0</v>
      </c>
      <c r="GP139" s="155">
        <f t="shared" si="229"/>
        <v>0</v>
      </c>
      <c r="GQ139" s="155">
        <f t="shared" si="229"/>
        <v>0</v>
      </c>
      <c r="GR139" s="155">
        <f t="shared" si="229"/>
        <v>0</v>
      </c>
      <c r="GS139" s="155">
        <f t="shared" si="229"/>
        <v>0</v>
      </c>
      <c r="GT139" s="155">
        <f t="shared" si="229"/>
        <v>0</v>
      </c>
      <c r="GU139" s="155">
        <f t="shared" si="229"/>
        <v>0</v>
      </c>
      <c r="GV139" s="155">
        <f t="shared" si="229"/>
        <v>0</v>
      </c>
      <c r="GW139" s="212">
        <f t="shared" si="229"/>
        <v>0</v>
      </c>
      <c r="GX139" s="212">
        <f t="shared" si="229"/>
        <v>0</v>
      </c>
      <c r="GY139" s="155">
        <f t="shared" si="229"/>
        <v>0</v>
      </c>
      <c r="GZ139" s="155">
        <f t="shared" si="229"/>
        <v>0</v>
      </c>
      <c r="HA139" s="155">
        <f t="shared" si="229"/>
        <v>0</v>
      </c>
      <c r="HB139" s="155">
        <f t="shared" si="229"/>
        <v>0</v>
      </c>
      <c r="HC139" s="155">
        <f t="shared" si="229"/>
        <v>0</v>
      </c>
      <c r="HD139" s="212">
        <f t="shared" si="229"/>
        <v>0</v>
      </c>
      <c r="HE139" s="212">
        <f t="shared" si="229"/>
        <v>0</v>
      </c>
      <c r="HF139" s="155">
        <f t="shared" si="229"/>
        <v>0</v>
      </c>
      <c r="HG139" s="155">
        <f t="shared" si="229"/>
        <v>0</v>
      </c>
      <c r="HH139" s="155">
        <f t="shared" si="229"/>
        <v>0</v>
      </c>
      <c r="HI139" s="155">
        <f t="shared" si="229"/>
        <v>0</v>
      </c>
      <c r="HJ139" s="155">
        <f t="shared" si="229"/>
        <v>0</v>
      </c>
      <c r="HK139" s="211"/>
      <c r="HL139" s="211"/>
      <c r="HM139" s="145">
        <f>SUM(HM123:HM137)</f>
        <v>0</v>
      </c>
      <c r="HN139" s="145">
        <f t="shared" ref="HN139:JY139" si="230">SUM(HN123:HN137)</f>
        <v>0</v>
      </c>
      <c r="HO139" s="145">
        <f t="shared" si="230"/>
        <v>0</v>
      </c>
      <c r="HP139" s="145">
        <f t="shared" si="230"/>
        <v>0</v>
      </c>
      <c r="HQ139" s="145">
        <f t="shared" si="230"/>
        <v>0</v>
      </c>
      <c r="HR139" s="145">
        <f t="shared" si="230"/>
        <v>0</v>
      </c>
      <c r="HS139" s="145">
        <f t="shared" si="230"/>
        <v>0</v>
      </c>
      <c r="HT139" s="145">
        <f t="shared" si="230"/>
        <v>0</v>
      </c>
      <c r="HU139" s="145">
        <f t="shared" si="230"/>
        <v>0</v>
      </c>
      <c r="HV139" s="145">
        <f t="shared" si="230"/>
        <v>0</v>
      </c>
      <c r="HW139" s="145">
        <f t="shared" si="230"/>
        <v>0</v>
      </c>
      <c r="HX139" s="145">
        <f t="shared" si="230"/>
        <v>0</v>
      </c>
      <c r="HY139" s="145">
        <f t="shared" si="230"/>
        <v>0</v>
      </c>
      <c r="HZ139" s="145">
        <f t="shared" si="230"/>
        <v>0</v>
      </c>
      <c r="IA139" s="145">
        <f t="shared" si="230"/>
        <v>0</v>
      </c>
      <c r="IB139" s="145">
        <f t="shared" si="230"/>
        <v>0</v>
      </c>
      <c r="IC139" s="145">
        <f t="shared" si="230"/>
        <v>0</v>
      </c>
      <c r="ID139" s="145">
        <f t="shared" si="230"/>
        <v>0</v>
      </c>
      <c r="IE139" s="145">
        <f t="shared" si="230"/>
        <v>0</v>
      </c>
      <c r="IF139" s="145">
        <f t="shared" si="230"/>
        <v>0</v>
      </c>
      <c r="IG139" s="145">
        <f t="shared" si="230"/>
        <v>0</v>
      </c>
      <c r="IH139" s="145">
        <f t="shared" si="230"/>
        <v>0</v>
      </c>
      <c r="II139" s="145">
        <f t="shared" si="230"/>
        <v>0</v>
      </c>
      <c r="IJ139" s="145">
        <f t="shared" si="230"/>
        <v>0</v>
      </c>
      <c r="IK139" s="145">
        <f t="shared" si="230"/>
        <v>0</v>
      </c>
      <c r="IL139" s="145">
        <f t="shared" si="230"/>
        <v>0</v>
      </c>
      <c r="IM139" s="145">
        <f t="shared" si="230"/>
        <v>0</v>
      </c>
      <c r="IN139" s="145">
        <f t="shared" si="230"/>
        <v>0</v>
      </c>
      <c r="IO139" s="145">
        <f t="shared" si="230"/>
        <v>0</v>
      </c>
      <c r="IP139" s="145">
        <f t="shared" si="230"/>
        <v>0</v>
      </c>
      <c r="IQ139" s="145">
        <f t="shared" si="230"/>
        <v>0</v>
      </c>
      <c r="IR139" s="145">
        <f t="shared" si="230"/>
        <v>0</v>
      </c>
      <c r="IS139" s="145">
        <f t="shared" si="230"/>
        <v>0</v>
      </c>
      <c r="IT139" s="145">
        <f t="shared" si="230"/>
        <v>0</v>
      </c>
      <c r="IU139" s="145">
        <f t="shared" si="230"/>
        <v>0</v>
      </c>
      <c r="IV139" s="145">
        <f t="shared" si="230"/>
        <v>0</v>
      </c>
      <c r="IW139" s="145">
        <f t="shared" si="230"/>
        <v>0</v>
      </c>
      <c r="IX139" s="145">
        <f t="shared" si="230"/>
        <v>0</v>
      </c>
      <c r="IY139" s="145">
        <f t="shared" si="230"/>
        <v>0</v>
      </c>
      <c r="IZ139" s="145">
        <f t="shared" si="230"/>
        <v>0</v>
      </c>
      <c r="JA139" s="145">
        <f t="shared" si="230"/>
        <v>0</v>
      </c>
      <c r="JB139" s="145">
        <f t="shared" si="230"/>
        <v>0</v>
      </c>
      <c r="JC139" s="145">
        <f t="shared" si="230"/>
        <v>0</v>
      </c>
      <c r="JD139" s="145">
        <f t="shared" si="230"/>
        <v>0</v>
      </c>
      <c r="JE139" s="145">
        <f t="shared" si="230"/>
        <v>0</v>
      </c>
      <c r="JF139" s="145">
        <f t="shared" si="230"/>
        <v>0</v>
      </c>
      <c r="JG139" s="145">
        <f t="shared" si="230"/>
        <v>0</v>
      </c>
      <c r="JH139" s="145">
        <f t="shared" si="230"/>
        <v>0</v>
      </c>
      <c r="JI139" s="145">
        <f t="shared" si="230"/>
        <v>0</v>
      </c>
      <c r="JJ139" s="145">
        <f t="shared" si="230"/>
        <v>0</v>
      </c>
      <c r="JK139" s="145">
        <f t="shared" si="230"/>
        <v>0</v>
      </c>
      <c r="JL139" s="145">
        <f t="shared" si="230"/>
        <v>0</v>
      </c>
      <c r="JM139" s="145">
        <f t="shared" si="230"/>
        <v>0</v>
      </c>
      <c r="JN139" s="145">
        <f t="shared" si="230"/>
        <v>0</v>
      </c>
      <c r="JO139" s="145">
        <f t="shared" si="230"/>
        <v>0</v>
      </c>
      <c r="JP139" s="145">
        <f t="shared" si="230"/>
        <v>0</v>
      </c>
      <c r="JQ139" s="145">
        <f t="shared" si="230"/>
        <v>0</v>
      </c>
      <c r="JR139" s="145">
        <f t="shared" si="230"/>
        <v>0</v>
      </c>
      <c r="JS139" s="145">
        <f t="shared" si="230"/>
        <v>0</v>
      </c>
      <c r="JT139" s="145">
        <f t="shared" si="230"/>
        <v>0</v>
      </c>
      <c r="JU139" s="145">
        <f t="shared" si="230"/>
        <v>0</v>
      </c>
      <c r="JV139" s="145">
        <f t="shared" si="230"/>
        <v>0</v>
      </c>
      <c r="JW139" s="145">
        <f t="shared" si="230"/>
        <v>0</v>
      </c>
      <c r="JX139" s="145">
        <f t="shared" si="230"/>
        <v>0</v>
      </c>
      <c r="JY139" s="145">
        <f t="shared" si="230"/>
        <v>0</v>
      </c>
      <c r="JZ139" s="145">
        <f t="shared" ref="JZ139:MK139" si="231">SUM(JZ123:JZ137)</f>
        <v>0</v>
      </c>
      <c r="KA139" s="145">
        <f t="shared" si="231"/>
        <v>0</v>
      </c>
      <c r="KB139" s="145">
        <f t="shared" si="231"/>
        <v>0</v>
      </c>
      <c r="KC139" s="145">
        <f t="shared" si="231"/>
        <v>0</v>
      </c>
      <c r="KD139" s="145">
        <f t="shared" si="231"/>
        <v>0</v>
      </c>
      <c r="KE139" s="145">
        <f t="shared" si="231"/>
        <v>0</v>
      </c>
      <c r="KF139" s="145">
        <f t="shared" si="231"/>
        <v>0</v>
      </c>
      <c r="KG139" s="145">
        <f t="shared" si="231"/>
        <v>0</v>
      </c>
      <c r="KH139" s="145">
        <f t="shared" si="231"/>
        <v>0</v>
      </c>
      <c r="KI139" s="145">
        <f t="shared" si="231"/>
        <v>0</v>
      </c>
      <c r="KJ139" s="145">
        <f t="shared" si="231"/>
        <v>0</v>
      </c>
      <c r="KK139" s="145">
        <f t="shared" si="231"/>
        <v>0</v>
      </c>
      <c r="KL139" s="145">
        <f t="shared" si="231"/>
        <v>0</v>
      </c>
      <c r="KM139" s="145">
        <f t="shared" si="231"/>
        <v>0</v>
      </c>
      <c r="KN139" s="145">
        <f t="shared" si="231"/>
        <v>0</v>
      </c>
      <c r="KO139" s="145">
        <f t="shared" si="231"/>
        <v>0</v>
      </c>
      <c r="KP139" s="145">
        <f t="shared" si="231"/>
        <v>0</v>
      </c>
      <c r="KQ139" s="145">
        <f t="shared" si="231"/>
        <v>0</v>
      </c>
      <c r="KR139" s="145">
        <f t="shared" si="231"/>
        <v>0</v>
      </c>
      <c r="KS139" s="145">
        <f t="shared" si="231"/>
        <v>0</v>
      </c>
      <c r="KT139" s="145">
        <f t="shared" si="231"/>
        <v>0</v>
      </c>
      <c r="KU139" s="145">
        <f t="shared" si="231"/>
        <v>0</v>
      </c>
      <c r="KV139" s="145">
        <f t="shared" si="231"/>
        <v>0</v>
      </c>
      <c r="KW139" s="145">
        <f t="shared" si="231"/>
        <v>0</v>
      </c>
      <c r="KX139" s="145">
        <f t="shared" si="231"/>
        <v>0</v>
      </c>
      <c r="KY139" s="145">
        <f t="shared" si="231"/>
        <v>0</v>
      </c>
      <c r="KZ139" s="195">
        <f t="shared" si="231"/>
        <v>0</v>
      </c>
      <c r="LA139" s="195">
        <f t="shared" si="231"/>
        <v>0</v>
      </c>
      <c r="LB139" s="195">
        <f t="shared" si="231"/>
        <v>0</v>
      </c>
      <c r="LC139" s="195">
        <f t="shared" si="231"/>
        <v>0</v>
      </c>
      <c r="LD139" s="195">
        <f t="shared" si="231"/>
        <v>0</v>
      </c>
      <c r="LE139" s="145">
        <f t="shared" si="231"/>
        <v>0</v>
      </c>
      <c r="LF139" s="145">
        <f t="shared" si="231"/>
        <v>0</v>
      </c>
      <c r="LG139" s="211">
        <f t="shared" si="231"/>
        <v>0</v>
      </c>
      <c r="LH139" s="211">
        <f t="shared" si="231"/>
        <v>0</v>
      </c>
      <c r="LI139" s="211">
        <f t="shared" si="231"/>
        <v>0</v>
      </c>
      <c r="LJ139" s="211">
        <f t="shared" si="231"/>
        <v>0</v>
      </c>
      <c r="LK139" s="211">
        <f t="shared" si="231"/>
        <v>0</v>
      </c>
      <c r="LL139" s="211">
        <f t="shared" si="231"/>
        <v>0</v>
      </c>
      <c r="LM139" s="211">
        <f t="shared" si="231"/>
        <v>0</v>
      </c>
      <c r="LN139" s="145">
        <f t="shared" si="231"/>
        <v>0</v>
      </c>
      <c r="LO139" s="145">
        <f t="shared" si="231"/>
        <v>0</v>
      </c>
      <c r="LP139" s="145">
        <f t="shared" si="231"/>
        <v>0</v>
      </c>
      <c r="LQ139" s="145">
        <f t="shared" si="231"/>
        <v>0</v>
      </c>
      <c r="LR139" s="145">
        <f t="shared" si="231"/>
        <v>0</v>
      </c>
      <c r="LS139" s="211">
        <f t="shared" si="231"/>
        <v>0</v>
      </c>
      <c r="LT139" s="211">
        <f t="shared" si="231"/>
        <v>0</v>
      </c>
      <c r="LU139" s="145">
        <f t="shared" si="231"/>
        <v>0</v>
      </c>
      <c r="LV139" s="145">
        <f t="shared" si="231"/>
        <v>0</v>
      </c>
      <c r="LW139" s="145">
        <f t="shared" si="231"/>
        <v>0</v>
      </c>
      <c r="LX139" s="145">
        <f t="shared" si="231"/>
        <v>0</v>
      </c>
      <c r="LY139" s="145">
        <f t="shared" si="231"/>
        <v>0</v>
      </c>
      <c r="LZ139" s="145">
        <f t="shared" si="231"/>
        <v>0</v>
      </c>
      <c r="MA139" s="145">
        <f t="shared" si="231"/>
        <v>0</v>
      </c>
      <c r="MB139" s="145">
        <f t="shared" si="231"/>
        <v>0</v>
      </c>
      <c r="MC139" s="145">
        <f t="shared" si="231"/>
        <v>0</v>
      </c>
      <c r="MD139" s="145">
        <f t="shared" si="231"/>
        <v>0</v>
      </c>
      <c r="ME139" s="145">
        <f t="shared" si="231"/>
        <v>0</v>
      </c>
      <c r="MF139" s="145">
        <f t="shared" si="231"/>
        <v>0</v>
      </c>
      <c r="MG139" s="145">
        <f t="shared" si="231"/>
        <v>0</v>
      </c>
      <c r="MH139" s="145">
        <f t="shared" si="231"/>
        <v>0</v>
      </c>
      <c r="MI139" s="145">
        <f t="shared" si="231"/>
        <v>0</v>
      </c>
      <c r="MJ139" s="145">
        <f t="shared" si="231"/>
        <v>0</v>
      </c>
      <c r="MK139" s="145">
        <f t="shared" si="231"/>
        <v>0</v>
      </c>
      <c r="ML139" s="145">
        <f t="shared" ref="ML139:NA139" si="232">SUM(ML123:ML137)</f>
        <v>0</v>
      </c>
      <c r="MM139" s="145">
        <f t="shared" si="232"/>
        <v>0</v>
      </c>
      <c r="MN139" s="145">
        <f t="shared" si="232"/>
        <v>0</v>
      </c>
      <c r="MO139" s="145">
        <f t="shared" si="232"/>
        <v>0</v>
      </c>
      <c r="MP139" s="145">
        <f t="shared" si="232"/>
        <v>0</v>
      </c>
      <c r="MQ139" s="145">
        <f t="shared" si="232"/>
        <v>0</v>
      </c>
      <c r="MR139" s="145">
        <f t="shared" si="232"/>
        <v>0</v>
      </c>
      <c r="MS139" s="145">
        <f t="shared" si="232"/>
        <v>0</v>
      </c>
      <c r="MT139" s="145">
        <f t="shared" si="232"/>
        <v>0</v>
      </c>
      <c r="MU139" s="145">
        <f t="shared" si="232"/>
        <v>0</v>
      </c>
      <c r="MV139" s="145">
        <f t="shared" si="232"/>
        <v>0</v>
      </c>
      <c r="MW139" s="145">
        <f t="shared" si="232"/>
        <v>0</v>
      </c>
      <c r="MX139" s="145">
        <f t="shared" si="232"/>
        <v>0</v>
      </c>
      <c r="MY139" s="145">
        <f t="shared" si="232"/>
        <v>0</v>
      </c>
      <c r="MZ139" s="145">
        <f t="shared" si="232"/>
        <v>0</v>
      </c>
      <c r="NA139" s="145">
        <f t="shared" si="232"/>
        <v>0</v>
      </c>
    </row>
    <row r="140" spans="1:368" s="75" customFormat="1" ht="12" customHeight="1">
      <c r="A140" s="296"/>
      <c r="C140" s="168"/>
      <c r="FY140" s="78"/>
      <c r="FZ140" s="78"/>
      <c r="GA140" s="78"/>
      <c r="GB140" s="78"/>
      <c r="GC140" s="78"/>
      <c r="GD140" s="78"/>
      <c r="GE140" s="78"/>
      <c r="GF140" s="78"/>
      <c r="GG140" s="78"/>
      <c r="GH140" s="78"/>
      <c r="GI140" s="78"/>
      <c r="GJ140" s="78"/>
      <c r="GK140" s="78"/>
      <c r="GL140" s="78"/>
      <c r="GM140" s="78"/>
      <c r="GN140" s="78"/>
      <c r="GO140" s="78"/>
      <c r="GP140" s="78"/>
      <c r="GQ140" s="78"/>
      <c r="GR140" s="78"/>
      <c r="GS140" s="78"/>
      <c r="GT140" s="78"/>
      <c r="GU140" s="78"/>
      <c r="GV140" s="78"/>
      <c r="GW140" s="78"/>
      <c r="GX140" s="78"/>
      <c r="GY140" s="78"/>
      <c r="GZ140" s="78"/>
      <c r="HA140" s="78"/>
      <c r="HB140" s="78"/>
      <c r="HC140" s="78"/>
      <c r="HD140" s="78"/>
      <c r="HE140" s="78"/>
      <c r="HF140" s="78"/>
      <c r="HG140" s="78"/>
      <c r="HH140" s="78"/>
      <c r="HI140" s="78"/>
      <c r="HJ140" s="78"/>
      <c r="HK140" s="78"/>
      <c r="HL140" s="78"/>
      <c r="HM140" s="78"/>
      <c r="HN140" s="78"/>
      <c r="HO140" s="78"/>
      <c r="HP140" s="78"/>
      <c r="HQ140" s="78"/>
      <c r="HR140" s="78"/>
      <c r="HS140" s="78"/>
      <c r="HT140" s="78"/>
      <c r="HU140" s="78"/>
      <c r="HV140" s="78"/>
      <c r="HW140" s="78"/>
      <c r="HX140" s="78"/>
      <c r="HY140" s="78"/>
      <c r="HZ140" s="78"/>
      <c r="IA140" s="78"/>
      <c r="IB140" s="78"/>
      <c r="IC140" s="78"/>
      <c r="ID140" s="78"/>
      <c r="IE140" s="78"/>
      <c r="IF140" s="78"/>
      <c r="IG140" s="78"/>
      <c r="IH140" s="78"/>
      <c r="II140" s="78"/>
      <c r="IJ140" s="78"/>
      <c r="IK140" s="78"/>
      <c r="IL140" s="78"/>
      <c r="IM140" s="78"/>
      <c r="IN140" s="78"/>
      <c r="IO140" s="78"/>
      <c r="IP140" s="78"/>
      <c r="IQ140" s="78"/>
      <c r="IR140" s="78"/>
    </row>
    <row r="141" spans="1:368" s="75" customFormat="1" ht="12" customHeight="1">
      <c r="A141" s="296"/>
      <c r="C141" s="168"/>
      <c r="FY141" s="78"/>
      <c r="FZ141" s="78"/>
      <c r="GA141" s="78"/>
      <c r="GB141" s="78"/>
      <c r="GC141" s="78"/>
      <c r="GD141" s="78"/>
      <c r="GE141" s="78"/>
      <c r="GF141" s="78"/>
      <c r="GG141" s="78"/>
      <c r="GH141" s="78"/>
      <c r="GI141" s="78"/>
      <c r="GJ141" s="78"/>
      <c r="GK141" s="78"/>
      <c r="GL141" s="78"/>
      <c r="GM141" s="78"/>
      <c r="GN141" s="78"/>
      <c r="GO141" s="78"/>
      <c r="GP141" s="78"/>
      <c r="GQ141" s="78"/>
      <c r="GR141" s="78"/>
      <c r="GS141" s="78"/>
      <c r="GT141" s="78"/>
      <c r="GU141" s="78"/>
      <c r="GV141" s="78"/>
      <c r="GW141" s="78"/>
      <c r="GX141" s="78"/>
      <c r="GY141" s="78"/>
      <c r="GZ141" s="78"/>
      <c r="HA141" s="78"/>
      <c r="HB141" s="78"/>
      <c r="HC141" s="78"/>
      <c r="HD141" s="78"/>
      <c r="HE141" s="78"/>
      <c r="HF141" s="78"/>
      <c r="HG141" s="78"/>
      <c r="HH141" s="78"/>
      <c r="HI141" s="78"/>
      <c r="HJ141" s="78"/>
      <c r="HK141" s="78"/>
      <c r="HL141" s="78"/>
      <c r="HM141" s="78"/>
      <c r="HN141" s="78"/>
      <c r="HO141" s="78"/>
      <c r="HP141" s="78"/>
      <c r="HQ141" s="78"/>
      <c r="HR141" s="78"/>
      <c r="HS141" s="78"/>
      <c r="HT141" s="78"/>
      <c r="HU141" s="78"/>
      <c r="HV141" s="78"/>
      <c r="HW141" s="78"/>
      <c r="HX141" s="78"/>
      <c r="HY141" s="78"/>
      <c r="HZ141" s="78"/>
      <c r="IA141" s="78"/>
      <c r="IB141" s="78"/>
      <c r="IC141" s="78"/>
      <c r="ID141" s="78"/>
      <c r="IE141" s="78"/>
      <c r="IF141" s="78"/>
      <c r="IG141" s="78"/>
      <c r="IH141" s="78"/>
      <c r="II141" s="78"/>
      <c r="IJ141" s="78"/>
      <c r="IK141" s="78"/>
      <c r="IL141" s="78"/>
      <c r="IM141" s="78"/>
      <c r="IN141" s="78"/>
      <c r="IO141" s="78"/>
      <c r="IP141" s="78"/>
      <c r="IQ141" s="78"/>
      <c r="IR141" s="78"/>
    </row>
    <row r="142" spans="1:368" s="75" customFormat="1" ht="12" customHeight="1">
      <c r="A142" s="296"/>
      <c r="C142" s="168"/>
      <c r="FY142" s="78"/>
      <c r="FZ142" s="78"/>
      <c r="GA142" s="78"/>
      <c r="GB142" s="78"/>
      <c r="GC142" s="78"/>
      <c r="GD142" s="78"/>
      <c r="GE142" s="78"/>
      <c r="GF142" s="78"/>
      <c r="GG142" s="78"/>
      <c r="GH142" s="78"/>
      <c r="GI142" s="78"/>
      <c r="GJ142" s="78"/>
      <c r="GK142" s="78"/>
      <c r="GL142" s="78"/>
      <c r="GM142" s="78"/>
      <c r="GN142" s="78"/>
      <c r="GO142" s="78"/>
      <c r="GP142" s="78"/>
      <c r="GQ142" s="78"/>
      <c r="GR142" s="78"/>
      <c r="GS142" s="78"/>
      <c r="GT142" s="78"/>
      <c r="GU142" s="78"/>
      <c r="GV142" s="78"/>
      <c r="GW142" s="78"/>
      <c r="GX142" s="78"/>
      <c r="GY142" s="78"/>
      <c r="GZ142" s="78"/>
      <c r="HA142" s="78"/>
      <c r="HB142" s="78"/>
      <c r="HC142" s="78"/>
      <c r="HD142" s="78"/>
      <c r="HE142" s="78"/>
      <c r="HF142" s="78"/>
      <c r="HG142" s="78"/>
      <c r="HH142" s="78"/>
      <c r="HI142" s="78"/>
      <c r="HJ142" s="78"/>
      <c r="HK142" s="78"/>
      <c r="HL142" s="78"/>
      <c r="HM142" s="78"/>
      <c r="HN142" s="78"/>
      <c r="HO142" s="78"/>
      <c r="HP142" s="78"/>
      <c r="HQ142" s="78"/>
      <c r="HR142" s="78"/>
      <c r="HS142" s="78"/>
      <c r="HT142" s="78"/>
      <c r="HU142" s="78"/>
      <c r="HV142" s="78"/>
      <c r="HW142" s="78"/>
      <c r="HX142" s="78"/>
      <c r="HY142" s="78"/>
      <c r="HZ142" s="78"/>
      <c r="IA142" s="78"/>
      <c r="IB142" s="78"/>
      <c r="IC142" s="78"/>
      <c r="ID142" s="78"/>
      <c r="IE142" s="78"/>
      <c r="IF142" s="78"/>
      <c r="IG142" s="78"/>
      <c r="IH142" s="78"/>
      <c r="II142" s="78"/>
      <c r="IJ142" s="78"/>
      <c r="IK142" s="78"/>
      <c r="IL142" s="78"/>
      <c r="IM142" s="78"/>
      <c r="IN142" s="78"/>
      <c r="IO142" s="78"/>
      <c r="IP142" s="78"/>
      <c r="IQ142" s="78"/>
      <c r="IR142" s="78"/>
    </row>
    <row r="143" spans="1:368" s="75" customFormat="1" ht="12" customHeight="1">
      <c r="A143" s="296"/>
      <c r="C143" s="168"/>
      <c r="FY143" s="78"/>
      <c r="FZ143" s="78"/>
      <c r="GA143" s="78"/>
      <c r="GB143" s="78"/>
      <c r="GC143" s="78"/>
      <c r="GD143" s="78"/>
      <c r="GE143" s="78"/>
      <c r="GF143" s="78"/>
      <c r="GG143" s="78"/>
      <c r="GH143" s="78"/>
      <c r="GI143" s="78"/>
      <c r="GJ143" s="78"/>
      <c r="GK143" s="78"/>
      <c r="GL143" s="78"/>
      <c r="GM143" s="78"/>
      <c r="GN143" s="78"/>
      <c r="GO143" s="78"/>
      <c r="GP143" s="78"/>
      <c r="GQ143" s="78"/>
      <c r="GR143" s="78"/>
      <c r="GS143" s="78"/>
      <c r="GT143" s="78"/>
      <c r="GU143" s="78"/>
      <c r="GV143" s="78"/>
      <c r="GW143" s="78"/>
      <c r="GX143" s="78"/>
      <c r="GY143" s="78"/>
      <c r="GZ143" s="78"/>
      <c r="HA143" s="78"/>
      <c r="HB143" s="78"/>
      <c r="HC143" s="78"/>
      <c r="HD143" s="78"/>
      <c r="HE143" s="78"/>
      <c r="HF143" s="78"/>
      <c r="HG143" s="78"/>
      <c r="HH143" s="78"/>
      <c r="HI143" s="78"/>
      <c r="HJ143" s="78"/>
      <c r="HK143" s="78"/>
      <c r="HL143" s="78"/>
      <c r="HM143" s="78"/>
      <c r="HN143" s="78"/>
      <c r="HO143" s="78"/>
      <c r="HP143" s="78"/>
      <c r="HQ143" s="78"/>
      <c r="HR143" s="78"/>
      <c r="HS143" s="78"/>
      <c r="HT143" s="78"/>
      <c r="HU143" s="78"/>
      <c r="HV143" s="78"/>
      <c r="HW143" s="78"/>
      <c r="HX143" s="78"/>
      <c r="HY143" s="78"/>
      <c r="HZ143" s="78"/>
      <c r="IA143" s="78"/>
      <c r="IB143" s="78"/>
      <c r="IC143" s="78"/>
      <c r="ID143" s="78"/>
      <c r="IE143" s="78"/>
      <c r="IF143" s="78"/>
      <c r="IG143" s="78"/>
      <c r="IH143" s="78"/>
      <c r="II143" s="78"/>
      <c r="IJ143" s="78"/>
      <c r="IK143" s="78"/>
      <c r="IL143" s="78"/>
      <c r="IM143" s="78"/>
      <c r="IN143" s="78"/>
      <c r="IO143" s="78"/>
      <c r="IP143" s="78"/>
      <c r="IQ143" s="78"/>
      <c r="IR143" s="78"/>
    </row>
    <row r="144" spans="1:368" s="75" customFormat="1" ht="12" customHeight="1">
      <c r="A144" s="296"/>
      <c r="C144" s="168"/>
      <c r="FY144" s="78"/>
      <c r="FZ144" s="78"/>
      <c r="GA144" s="78"/>
      <c r="GB144" s="78"/>
      <c r="GC144" s="78"/>
      <c r="GD144" s="78"/>
      <c r="GE144" s="78"/>
      <c r="GF144" s="78"/>
      <c r="GG144" s="78"/>
      <c r="GH144" s="78"/>
      <c r="GI144" s="78"/>
      <c r="GJ144" s="78"/>
      <c r="GK144" s="78"/>
      <c r="GL144" s="78"/>
      <c r="GM144" s="78"/>
      <c r="GN144" s="78"/>
      <c r="GO144" s="78"/>
      <c r="GP144" s="78"/>
      <c r="GQ144" s="78"/>
      <c r="GR144" s="78"/>
      <c r="GS144" s="78"/>
      <c r="GT144" s="78"/>
      <c r="GU144" s="78"/>
      <c r="GV144" s="78"/>
      <c r="GW144" s="78"/>
      <c r="GX144" s="78"/>
      <c r="GY144" s="78"/>
      <c r="GZ144" s="78"/>
      <c r="HA144" s="78"/>
      <c r="HB144" s="78"/>
      <c r="HC144" s="78"/>
      <c r="HD144" s="78"/>
      <c r="HE144" s="78"/>
      <c r="HF144" s="78"/>
      <c r="HG144" s="78"/>
      <c r="HH144" s="78"/>
      <c r="HI144" s="78"/>
      <c r="HJ144" s="78"/>
      <c r="HK144" s="78"/>
      <c r="HL144" s="78"/>
      <c r="HM144" s="78"/>
      <c r="HN144" s="78"/>
      <c r="HO144" s="78"/>
      <c r="HP144" s="78"/>
      <c r="HQ144" s="78"/>
      <c r="HR144" s="78"/>
      <c r="HS144" s="78"/>
      <c r="HT144" s="78"/>
      <c r="HU144" s="78"/>
      <c r="HV144" s="78"/>
      <c r="HW144" s="78"/>
      <c r="HX144" s="78"/>
      <c r="HY144" s="78"/>
      <c r="HZ144" s="78"/>
      <c r="IA144" s="78"/>
      <c r="IB144" s="78"/>
      <c r="IC144" s="78"/>
      <c r="ID144" s="78"/>
      <c r="IE144" s="78"/>
      <c r="IF144" s="78"/>
      <c r="IG144" s="78"/>
      <c r="IH144" s="78"/>
      <c r="II144" s="78"/>
      <c r="IJ144" s="78"/>
      <c r="IK144" s="78"/>
      <c r="IL144" s="78"/>
      <c r="IM144" s="78"/>
      <c r="IN144" s="78"/>
      <c r="IO144" s="78"/>
      <c r="IP144" s="78"/>
      <c r="IQ144" s="78"/>
      <c r="IR144" s="78"/>
    </row>
    <row r="145" spans="1:252" s="75" customFormat="1" ht="12" customHeight="1">
      <c r="A145" s="130"/>
      <c r="C145" s="168"/>
      <c r="FY145" s="78"/>
      <c r="FZ145" s="78"/>
      <c r="GA145" s="78"/>
      <c r="GB145" s="78"/>
      <c r="GC145" s="78"/>
      <c r="GD145" s="78"/>
      <c r="GE145" s="78"/>
      <c r="GF145" s="78"/>
      <c r="GG145" s="78"/>
      <c r="GH145" s="78"/>
      <c r="GI145" s="78"/>
      <c r="GJ145" s="78"/>
      <c r="GK145" s="78"/>
      <c r="GL145" s="78"/>
      <c r="GM145" s="78"/>
      <c r="GN145" s="78"/>
      <c r="GO145" s="78"/>
      <c r="GP145" s="78"/>
      <c r="GQ145" s="78"/>
      <c r="GR145" s="78"/>
      <c r="GS145" s="78"/>
      <c r="GT145" s="78"/>
      <c r="GU145" s="78"/>
      <c r="GV145" s="78"/>
      <c r="GW145" s="78"/>
      <c r="GX145" s="78"/>
      <c r="GY145" s="78"/>
      <c r="GZ145" s="78"/>
      <c r="HA145" s="78"/>
      <c r="HB145" s="78"/>
      <c r="HC145" s="78"/>
      <c r="HD145" s="78"/>
      <c r="HE145" s="78"/>
      <c r="HF145" s="78"/>
      <c r="HG145" s="78"/>
      <c r="HH145" s="78"/>
      <c r="HI145" s="78"/>
      <c r="HJ145" s="78"/>
      <c r="HK145" s="78"/>
      <c r="HL145" s="78"/>
      <c r="HM145" s="78"/>
      <c r="HN145" s="78"/>
      <c r="HO145" s="78"/>
      <c r="HP145" s="78"/>
      <c r="HQ145" s="78"/>
      <c r="HR145" s="78"/>
      <c r="HS145" s="78"/>
      <c r="HT145" s="78"/>
      <c r="HU145" s="78"/>
      <c r="HV145" s="78"/>
      <c r="HW145" s="78"/>
      <c r="HX145" s="78"/>
      <c r="HY145" s="78"/>
      <c r="HZ145" s="78"/>
      <c r="IA145" s="78"/>
      <c r="IB145" s="78"/>
      <c r="IC145" s="78"/>
      <c r="ID145" s="78"/>
      <c r="IE145" s="78"/>
      <c r="IF145" s="78"/>
      <c r="IG145" s="78"/>
      <c r="IH145" s="78"/>
      <c r="II145" s="78"/>
      <c r="IJ145" s="78"/>
      <c r="IK145" s="78"/>
      <c r="IL145" s="78"/>
      <c r="IM145" s="78"/>
      <c r="IN145" s="78"/>
      <c r="IO145" s="78"/>
      <c r="IP145" s="78"/>
      <c r="IQ145" s="78"/>
      <c r="IR145" s="78"/>
    </row>
    <row r="146" spans="1:252" s="75" customFormat="1" ht="12" customHeight="1">
      <c r="A146" s="130"/>
      <c r="C146" s="168"/>
      <c r="FY146" s="78"/>
      <c r="FZ146" s="78"/>
      <c r="GA146" s="78"/>
      <c r="GB146" s="78"/>
      <c r="GC146" s="78"/>
      <c r="GD146" s="78"/>
      <c r="GE146" s="78"/>
      <c r="GF146" s="78"/>
      <c r="GG146" s="78"/>
      <c r="GH146" s="78"/>
      <c r="GI146" s="78"/>
      <c r="GJ146" s="78"/>
      <c r="GK146" s="78"/>
      <c r="GL146" s="78"/>
      <c r="GM146" s="78"/>
      <c r="GN146" s="78"/>
      <c r="GO146" s="78"/>
      <c r="GP146" s="78"/>
      <c r="GQ146" s="78"/>
      <c r="GR146" s="78"/>
      <c r="GS146" s="78"/>
      <c r="GT146" s="78"/>
      <c r="GU146" s="78"/>
      <c r="GV146" s="78"/>
      <c r="GW146" s="78"/>
      <c r="GX146" s="78"/>
      <c r="GY146" s="78"/>
      <c r="GZ146" s="78"/>
      <c r="HA146" s="78"/>
      <c r="HB146" s="78"/>
      <c r="HC146" s="78"/>
      <c r="HD146" s="78"/>
      <c r="HE146" s="78"/>
      <c r="HF146" s="78"/>
      <c r="HG146" s="78"/>
      <c r="HH146" s="78"/>
      <c r="HI146" s="78"/>
      <c r="HJ146" s="78"/>
      <c r="HK146" s="78"/>
      <c r="HL146" s="78"/>
      <c r="HM146" s="78"/>
      <c r="HN146" s="78"/>
      <c r="HO146" s="78"/>
      <c r="HP146" s="78"/>
      <c r="HQ146" s="78"/>
      <c r="HR146" s="78"/>
      <c r="HS146" s="78"/>
      <c r="HT146" s="78"/>
      <c r="HU146" s="78"/>
      <c r="HV146" s="78"/>
      <c r="HW146" s="78"/>
      <c r="HX146" s="78"/>
      <c r="HY146" s="78"/>
      <c r="HZ146" s="78"/>
      <c r="IA146" s="78"/>
      <c r="IB146" s="78"/>
      <c r="IC146" s="78"/>
      <c r="ID146" s="78"/>
      <c r="IE146" s="78"/>
      <c r="IF146" s="78"/>
      <c r="IG146" s="78"/>
      <c r="IH146" s="78"/>
      <c r="II146" s="78"/>
      <c r="IJ146" s="78"/>
      <c r="IK146" s="78"/>
      <c r="IL146" s="78"/>
      <c r="IM146" s="78"/>
      <c r="IN146" s="78"/>
      <c r="IO146" s="78"/>
      <c r="IP146" s="78"/>
      <c r="IQ146" s="78"/>
      <c r="IR146" s="78"/>
    </row>
    <row r="147" spans="1:252" s="75" customFormat="1" ht="12" customHeight="1">
      <c r="A147" s="130"/>
      <c r="C147" s="168"/>
      <c r="FY147" s="78"/>
      <c r="FZ147" s="78"/>
      <c r="GA147" s="78"/>
      <c r="GB147" s="78"/>
      <c r="GC147" s="78"/>
      <c r="GD147" s="78"/>
      <c r="GE147" s="78"/>
      <c r="GF147" s="78"/>
      <c r="GG147" s="78"/>
      <c r="GH147" s="78"/>
      <c r="GI147" s="78"/>
      <c r="GJ147" s="78"/>
      <c r="GK147" s="78"/>
      <c r="GL147" s="78"/>
      <c r="GM147" s="78"/>
      <c r="GN147" s="78"/>
      <c r="GO147" s="78"/>
      <c r="GP147" s="78"/>
      <c r="GQ147" s="78"/>
      <c r="GR147" s="78"/>
      <c r="GS147" s="78"/>
      <c r="GT147" s="78"/>
      <c r="GU147" s="78"/>
      <c r="GV147" s="78"/>
      <c r="GW147" s="78"/>
      <c r="GX147" s="78"/>
      <c r="GY147" s="78"/>
      <c r="GZ147" s="78"/>
      <c r="HA147" s="78"/>
      <c r="HB147" s="78"/>
      <c r="HC147" s="78"/>
      <c r="HD147" s="78"/>
      <c r="HE147" s="78"/>
      <c r="HF147" s="78"/>
      <c r="HG147" s="78"/>
      <c r="HH147" s="78"/>
      <c r="HI147" s="78"/>
      <c r="HJ147" s="78"/>
      <c r="HK147" s="78"/>
      <c r="HL147" s="78"/>
      <c r="HM147" s="78"/>
      <c r="HN147" s="78"/>
      <c r="HO147" s="78"/>
      <c r="HP147" s="78"/>
      <c r="HQ147" s="78"/>
      <c r="HR147" s="78"/>
      <c r="HS147" s="78"/>
      <c r="HT147" s="78"/>
      <c r="HU147" s="78"/>
      <c r="HV147" s="78"/>
      <c r="HW147" s="78"/>
      <c r="HX147" s="78"/>
      <c r="HY147" s="78"/>
      <c r="HZ147" s="78"/>
      <c r="IA147" s="78"/>
      <c r="IB147" s="78"/>
      <c r="IC147" s="78"/>
      <c r="ID147" s="78"/>
      <c r="IE147" s="78"/>
      <c r="IF147" s="78"/>
      <c r="IG147" s="78"/>
      <c r="IH147" s="78"/>
      <c r="II147" s="78"/>
      <c r="IJ147" s="78"/>
      <c r="IK147" s="78"/>
      <c r="IL147" s="78"/>
      <c r="IM147" s="78"/>
      <c r="IN147" s="78"/>
      <c r="IO147" s="78"/>
      <c r="IP147" s="78"/>
      <c r="IQ147" s="78"/>
      <c r="IR147" s="78"/>
    </row>
    <row r="148" spans="1:252" s="75" customFormat="1" ht="12" customHeight="1">
      <c r="A148" s="130"/>
      <c r="C148" s="168"/>
      <c r="FY148" s="78"/>
      <c r="FZ148" s="78"/>
      <c r="GA148" s="78"/>
      <c r="GB148" s="78"/>
      <c r="GC148" s="78"/>
      <c r="GD148" s="78"/>
      <c r="GE148" s="78"/>
      <c r="GF148" s="78"/>
      <c r="GG148" s="78"/>
      <c r="GH148" s="78"/>
      <c r="GI148" s="78"/>
      <c r="GJ148" s="78"/>
      <c r="GK148" s="78"/>
      <c r="GL148" s="78"/>
      <c r="GM148" s="78"/>
      <c r="GN148" s="78"/>
      <c r="GO148" s="78"/>
      <c r="GP148" s="78"/>
      <c r="GQ148" s="78"/>
      <c r="GR148" s="78"/>
      <c r="GS148" s="78"/>
      <c r="GT148" s="78"/>
      <c r="GU148" s="78"/>
      <c r="GV148" s="78"/>
      <c r="GW148" s="78"/>
      <c r="GX148" s="78"/>
      <c r="GY148" s="78"/>
      <c r="GZ148" s="78"/>
      <c r="HA148" s="78"/>
      <c r="HB148" s="78"/>
      <c r="HC148" s="78"/>
      <c r="HD148" s="78"/>
      <c r="HE148" s="78"/>
      <c r="HF148" s="78"/>
      <c r="HG148" s="78"/>
      <c r="HH148" s="78"/>
      <c r="HI148" s="78"/>
      <c r="HJ148" s="78"/>
      <c r="HK148" s="78"/>
      <c r="HL148" s="78"/>
      <c r="HM148" s="78"/>
      <c r="HN148" s="78"/>
      <c r="HO148" s="78"/>
      <c r="HP148" s="78"/>
      <c r="HQ148" s="78"/>
      <c r="HR148" s="78"/>
      <c r="HS148" s="78"/>
      <c r="HT148" s="78"/>
      <c r="HU148" s="78"/>
      <c r="HV148" s="78"/>
      <c r="HW148" s="78"/>
      <c r="HX148" s="78"/>
      <c r="HY148" s="78"/>
      <c r="HZ148" s="78"/>
      <c r="IA148" s="78"/>
      <c r="IB148" s="78"/>
      <c r="IC148" s="78"/>
      <c r="ID148" s="78"/>
      <c r="IE148" s="78"/>
      <c r="IF148" s="78"/>
      <c r="IG148" s="78"/>
      <c r="IH148" s="78"/>
      <c r="II148" s="78"/>
      <c r="IJ148" s="78"/>
      <c r="IK148" s="78"/>
      <c r="IL148" s="78"/>
      <c r="IM148" s="78"/>
      <c r="IN148" s="78"/>
      <c r="IO148" s="78"/>
      <c r="IP148" s="78"/>
      <c r="IQ148" s="78"/>
      <c r="IR148" s="78"/>
    </row>
    <row r="149" spans="1:252" s="75" customFormat="1" ht="12" customHeight="1">
      <c r="A149" s="130"/>
      <c r="C149" s="168"/>
      <c r="FY149" s="78"/>
      <c r="FZ149" s="78"/>
      <c r="GA149" s="78"/>
      <c r="GB149" s="78"/>
      <c r="GC149" s="78"/>
      <c r="GD149" s="78"/>
      <c r="GE149" s="78"/>
      <c r="GF149" s="78"/>
      <c r="GG149" s="78"/>
      <c r="GH149" s="78"/>
      <c r="GI149" s="78"/>
      <c r="GJ149" s="78"/>
      <c r="GK149" s="78"/>
      <c r="GL149" s="78"/>
      <c r="GM149" s="78"/>
      <c r="GN149" s="78"/>
      <c r="GO149" s="78"/>
      <c r="GP149" s="78"/>
      <c r="GQ149" s="78"/>
      <c r="GR149" s="78"/>
      <c r="GS149" s="78"/>
      <c r="GT149" s="78"/>
      <c r="GU149" s="78"/>
      <c r="GV149" s="78"/>
      <c r="GW149" s="78"/>
      <c r="GX149" s="78"/>
      <c r="GY149" s="78"/>
      <c r="GZ149" s="78"/>
      <c r="HA149" s="78"/>
      <c r="HB149" s="78"/>
      <c r="HC149" s="78"/>
      <c r="HD149" s="78"/>
      <c r="HE149" s="78"/>
      <c r="HF149" s="78"/>
      <c r="HG149" s="78"/>
      <c r="HH149" s="78"/>
      <c r="HI149" s="78"/>
      <c r="HJ149" s="78"/>
      <c r="HK149" s="78"/>
      <c r="HL149" s="78"/>
      <c r="HM149" s="78"/>
      <c r="HN149" s="78"/>
      <c r="HO149" s="78"/>
      <c r="HP149" s="78"/>
      <c r="HQ149" s="78"/>
      <c r="HR149" s="78"/>
      <c r="HS149" s="78"/>
      <c r="HT149" s="78"/>
      <c r="HU149" s="78"/>
      <c r="HV149" s="78"/>
      <c r="HW149" s="78"/>
      <c r="HX149" s="78"/>
      <c r="HY149" s="78"/>
      <c r="HZ149" s="78"/>
      <c r="IA149" s="78"/>
      <c r="IB149" s="78"/>
      <c r="IC149" s="78"/>
      <c r="ID149" s="78"/>
      <c r="IE149" s="78"/>
      <c r="IF149" s="78"/>
      <c r="IG149" s="78"/>
      <c r="IH149" s="78"/>
      <c r="II149" s="78"/>
      <c r="IJ149" s="78"/>
      <c r="IK149" s="78"/>
      <c r="IL149" s="78"/>
      <c r="IM149" s="78"/>
      <c r="IN149" s="78"/>
      <c r="IO149" s="78"/>
      <c r="IP149" s="78"/>
      <c r="IQ149" s="78"/>
      <c r="IR149" s="78"/>
    </row>
    <row r="150" spans="1:252" s="75" customFormat="1" ht="12" customHeight="1">
      <c r="A150" s="130"/>
      <c r="C150" s="168"/>
      <c r="FY150" s="78"/>
      <c r="FZ150" s="78"/>
      <c r="GA150" s="78"/>
      <c r="GB150" s="78"/>
      <c r="GC150" s="78"/>
      <c r="GD150" s="78"/>
      <c r="GE150" s="78"/>
      <c r="GF150" s="78"/>
      <c r="GG150" s="78"/>
      <c r="GH150" s="78"/>
      <c r="GI150" s="78"/>
      <c r="GJ150" s="78"/>
      <c r="GK150" s="78"/>
      <c r="GL150" s="78"/>
      <c r="GM150" s="78"/>
      <c r="GN150" s="78"/>
      <c r="GO150" s="78"/>
      <c r="GP150" s="78"/>
      <c r="GQ150" s="78"/>
      <c r="GR150" s="78"/>
      <c r="GS150" s="78"/>
      <c r="GT150" s="78"/>
      <c r="GU150" s="78"/>
      <c r="GV150" s="78"/>
      <c r="GW150" s="78"/>
      <c r="GX150" s="78"/>
      <c r="GY150" s="78"/>
      <c r="GZ150" s="78"/>
      <c r="HA150" s="78"/>
      <c r="HB150" s="78"/>
      <c r="HC150" s="78"/>
      <c r="HD150" s="78"/>
      <c r="HE150" s="78"/>
      <c r="HF150" s="78"/>
      <c r="HG150" s="78"/>
      <c r="HH150" s="78"/>
      <c r="HI150" s="78"/>
      <c r="HJ150" s="78"/>
      <c r="HK150" s="78"/>
      <c r="HL150" s="78"/>
      <c r="HM150" s="78"/>
      <c r="HN150" s="78"/>
      <c r="HO150" s="78"/>
      <c r="HP150" s="78"/>
      <c r="HQ150" s="78"/>
      <c r="HR150" s="78"/>
      <c r="HS150" s="78"/>
      <c r="HT150" s="78"/>
      <c r="HU150" s="78"/>
      <c r="HV150" s="78"/>
      <c r="HW150" s="78"/>
      <c r="HX150" s="78"/>
      <c r="HY150" s="78"/>
      <c r="HZ150" s="78"/>
      <c r="IA150" s="78"/>
      <c r="IB150" s="78"/>
      <c r="IC150" s="78"/>
      <c r="ID150" s="78"/>
      <c r="IE150" s="78"/>
      <c r="IF150" s="78"/>
      <c r="IG150" s="78"/>
      <c r="IH150" s="78"/>
      <c r="II150" s="78"/>
      <c r="IJ150" s="78"/>
      <c r="IK150" s="78"/>
      <c r="IL150" s="78"/>
      <c r="IM150" s="78"/>
      <c r="IN150" s="78"/>
      <c r="IO150" s="78"/>
      <c r="IP150" s="78"/>
      <c r="IQ150" s="78"/>
      <c r="IR150" s="78"/>
    </row>
    <row r="151" spans="1:252" s="75" customFormat="1" ht="12" customHeight="1">
      <c r="A151" s="130"/>
      <c r="C151" s="168"/>
      <c r="FY151" s="78"/>
      <c r="FZ151" s="78"/>
      <c r="GA151" s="78"/>
      <c r="GB151" s="78"/>
      <c r="GC151" s="78"/>
      <c r="GD151" s="78"/>
      <c r="GE151" s="78"/>
      <c r="GF151" s="78"/>
      <c r="GG151" s="78"/>
      <c r="GH151" s="78"/>
      <c r="GI151" s="78"/>
      <c r="GJ151" s="78"/>
      <c r="GK151" s="78"/>
      <c r="GL151" s="78"/>
      <c r="GM151" s="78"/>
      <c r="GN151" s="78"/>
      <c r="GO151" s="78"/>
      <c r="GP151" s="78"/>
      <c r="GQ151" s="78"/>
      <c r="GR151" s="78"/>
      <c r="GS151" s="78"/>
      <c r="GT151" s="78"/>
      <c r="GU151" s="78"/>
      <c r="GV151" s="78"/>
      <c r="GW151" s="78"/>
      <c r="GX151" s="78"/>
      <c r="GY151" s="78"/>
      <c r="GZ151" s="78"/>
      <c r="HA151" s="78"/>
      <c r="HB151" s="78"/>
      <c r="HC151" s="78"/>
      <c r="HD151" s="78"/>
      <c r="HE151" s="78"/>
      <c r="HF151" s="78"/>
      <c r="HG151" s="78"/>
      <c r="HH151" s="78"/>
      <c r="HI151" s="78"/>
      <c r="HJ151" s="78"/>
      <c r="HK151" s="78"/>
      <c r="HL151" s="78"/>
      <c r="HM151" s="78"/>
      <c r="HN151" s="78"/>
      <c r="HO151" s="78"/>
      <c r="HP151" s="78"/>
      <c r="HQ151" s="78"/>
      <c r="HR151" s="78"/>
      <c r="HS151" s="78"/>
      <c r="HT151" s="78"/>
      <c r="HU151" s="78"/>
      <c r="HV151" s="78"/>
      <c r="HW151" s="78"/>
      <c r="HX151" s="78"/>
      <c r="HY151" s="78"/>
      <c r="HZ151" s="78"/>
      <c r="IA151" s="78"/>
      <c r="IB151" s="78"/>
      <c r="IC151" s="78"/>
      <c r="ID151" s="78"/>
      <c r="IE151" s="78"/>
      <c r="IF151" s="78"/>
      <c r="IG151" s="78"/>
      <c r="IH151" s="78"/>
      <c r="II151" s="78"/>
      <c r="IJ151" s="78"/>
      <c r="IK151" s="78"/>
      <c r="IL151" s="78"/>
      <c r="IM151" s="78"/>
      <c r="IN151" s="78"/>
      <c r="IO151" s="78"/>
      <c r="IP151" s="78"/>
      <c r="IQ151" s="78"/>
      <c r="IR151" s="78"/>
    </row>
    <row r="152" spans="1:252" s="75" customFormat="1" ht="12" customHeight="1">
      <c r="A152" s="130"/>
      <c r="C152" s="168"/>
      <c r="FY152" s="78"/>
      <c r="FZ152" s="78"/>
      <c r="GA152" s="78"/>
      <c r="GB152" s="78"/>
      <c r="GC152" s="78"/>
      <c r="GD152" s="78"/>
      <c r="GE152" s="78"/>
      <c r="GF152" s="78"/>
      <c r="GG152" s="78"/>
      <c r="GH152" s="78"/>
      <c r="GI152" s="78"/>
      <c r="GJ152" s="78"/>
      <c r="GK152" s="78"/>
      <c r="GL152" s="78"/>
      <c r="GM152" s="78"/>
      <c r="GN152" s="78"/>
      <c r="GO152" s="78"/>
      <c r="GP152" s="78"/>
      <c r="GQ152" s="78"/>
      <c r="GR152" s="78"/>
      <c r="GS152" s="78"/>
      <c r="GT152" s="78"/>
      <c r="GU152" s="78"/>
      <c r="GV152" s="78"/>
      <c r="GW152" s="78"/>
      <c r="GX152" s="78"/>
      <c r="GY152" s="78"/>
      <c r="GZ152" s="78"/>
      <c r="HA152" s="78"/>
      <c r="HB152" s="78"/>
      <c r="HC152" s="78"/>
      <c r="HD152" s="78"/>
      <c r="HE152" s="78"/>
      <c r="HF152" s="78"/>
      <c r="HG152" s="78"/>
      <c r="HH152" s="78"/>
      <c r="HI152" s="78"/>
      <c r="HJ152" s="78"/>
      <c r="HK152" s="78"/>
      <c r="HL152" s="78"/>
      <c r="HM152" s="78"/>
      <c r="HN152" s="78"/>
      <c r="HO152" s="78"/>
      <c r="HP152" s="78"/>
      <c r="HQ152" s="78"/>
      <c r="HR152" s="78"/>
      <c r="HS152" s="78"/>
      <c r="HT152" s="78"/>
      <c r="HU152" s="78"/>
      <c r="HV152" s="78"/>
      <c r="HW152" s="78"/>
      <c r="HX152" s="78"/>
      <c r="HY152" s="78"/>
      <c r="HZ152" s="78"/>
      <c r="IA152" s="78"/>
      <c r="IB152" s="78"/>
      <c r="IC152" s="78"/>
      <c r="ID152" s="78"/>
      <c r="IE152" s="78"/>
      <c r="IF152" s="78"/>
      <c r="IG152" s="78"/>
      <c r="IH152" s="78"/>
      <c r="II152" s="78"/>
      <c r="IJ152" s="78"/>
      <c r="IK152" s="78"/>
      <c r="IL152" s="78"/>
      <c r="IM152" s="78"/>
      <c r="IN152" s="78"/>
      <c r="IO152" s="78"/>
      <c r="IP152" s="78"/>
      <c r="IQ152" s="78"/>
      <c r="IR152" s="78"/>
    </row>
    <row r="153" spans="1:252" s="75" customFormat="1" ht="12" customHeight="1">
      <c r="A153" s="130"/>
      <c r="C153" s="168"/>
      <c r="FY153" s="78"/>
      <c r="FZ153" s="78"/>
      <c r="GA153" s="78"/>
      <c r="GB153" s="78"/>
      <c r="GC153" s="78"/>
      <c r="GD153" s="78"/>
      <c r="GE153" s="78"/>
      <c r="GF153" s="78"/>
      <c r="GG153" s="78"/>
      <c r="GH153" s="78"/>
      <c r="GI153" s="78"/>
      <c r="GJ153" s="78"/>
      <c r="GK153" s="78"/>
      <c r="GL153" s="78"/>
      <c r="GM153" s="78"/>
      <c r="GN153" s="78"/>
      <c r="GO153" s="78"/>
      <c r="GP153" s="78"/>
      <c r="GQ153" s="78"/>
      <c r="GR153" s="78"/>
      <c r="GS153" s="78"/>
      <c r="GT153" s="78"/>
      <c r="GU153" s="78"/>
      <c r="GV153" s="78"/>
      <c r="GW153" s="78"/>
      <c r="GX153" s="78"/>
      <c r="GY153" s="78"/>
      <c r="GZ153" s="78"/>
      <c r="HA153" s="78"/>
      <c r="HB153" s="78"/>
      <c r="HC153" s="78"/>
      <c r="HD153" s="78"/>
      <c r="HE153" s="78"/>
      <c r="HF153" s="78"/>
      <c r="HG153" s="78"/>
      <c r="HH153" s="78"/>
      <c r="HI153" s="78"/>
      <c r="HJ153" s="78"/>
      <c r="HK153" s="78"/>
      <c r="HL153" s="78"/>
      <c r="HM153" s="78"/>
      <c r="HN153" s="78"/>
      <c r="HO153" s="78"/>
      <c r="HP153" s="78"/>
      <c r="HQ153" s="78"/>
      <c r="HR153" s="78"/>
      <c r="HS153" s="78"/>
      <c r="HT153" s="78"/>
      <c r="HU153" s="78"/>
      <c r="HV153" s="78"/>
      <c r="HW153" s="78"/>
      <c r="HX153" s="78"/>
      <c r="HY153" s="78"/>
      <c r="HZ153" s="78"/>
      <c r="IA153" s="78"/>
      <c r="IB153" s="78"/>
      <c r="IC153" s="78"/>
      <c r="ID153" s="78"/>
      <c r="IE153" s="78"/>
      <c r="IF153" s="78"/>
      <c r="IG153" s="78"/>
      <c r="IH153" s="78"/>
      <c r="II153" s="78"/>
      <c r="IJ153" s="78"/>
      <c r="IK153" s="78"/>
      <c r="IL153" s="78"/>
      <c r="IM153" s="78"/>
      <c r="IN153" s="78"/>
      <c r="IO153" s="78"/>
      <c r="IP153" s="78"/>
      <c r="IQ153" s="78"/>
      <c r="IR153" s="78"/>
    </row>
    <row r="154" spans="1:252" s="75" customFormat="1" ht="12" customHeight="1">
      <c r="A154" s="130"/>
      <c r="C154" s="168"/>
      <c r="FY154" s="78"/>
      <c r="FZ154" s="78"/>
      <c r="GA154" s="78"/>
      <c r="GB154" s="78"/>
      <c r="GC154" s="78"/>
      <c r="GD154" s="78"/>
      <c r="GE154" s="78"/>
      <c r="GF154" s="78"/>
      <c r="GG154" s="78"/>
      <c r="GH154" s="78"/>
      <c r="GI154" s="78"/>
      <c r="GJ154" s="78"/>
      <c r="GK154" s="78"/>
      <c r="GL154" s="78"/>
      <c r="GM154" s="78"/>
      <c r="GN154" s="78"/>
      <c r="GO154" s="78"/>
      <c r="GP154" s="78"/>
      <c r="GQ154" s="78"/>
      <c r="GR154" s="78"/>
      <c r="GS154" s="78"/>
      <c r="GT154" s="78"/>
      <c r="GU154" s="78"/>
      <c r="GV154" s="78"/>
      <c r="GW154" s="78"/>
      <c r="GX154" s="78"/>
      <c r="GY154" s="78"/>
      <c r="GZ154" s="78"/>
      <c r="HA154" s="78"/>
      <c r="HB154" s="78"/>
      <c r="HC154" s="78"/>
      <c r="HD154" s="78"/>
      <c r="HE154" s="78"/>
      <c r="HF154" s="78"/>
      <c r="HG154" s="78"/>
      <c r="HH154" s="78"/>
      <c r="HI154" s="78"/>
      <c r="HJ154" s="78"/>
      <c r="HK154" s="78"/>
      <c r="HL154" s="78"/>
      <c r="HM154" s="78"/>
      <c r="HN154" s="78"/>
      <c r="HO154" s="78"/>
      <c r="HP154" s="78"/>
      <c r="HQ154" s="78"/>
      <c r="HR154" s="78"/>
      <c r="HS154" s="78"/>
      <c r="HT154" s="78"/>
      <c r="HU154" s="78"/>
      <c r="HV154" s="78"/>
      <c r="HW154" s="78"/>
      <c r="HX154" s="78"/>
      <c r="HY154" s="78"/>
      <c r="HZ154" s="78"/>
      <c r="IA154" s="78"/>
      <c r="IB154" s="78"/>
      <c r="IC154" s="78"/>
      <c r="ID154" s="78"/>
      <c r="IE154" s="78"/>
      <c r="IF154" s="78"/>
      <c r="IG154" s="78"/>
      <c r="IH154" s="78"/>
      <c r="II154" s="78"/>
      <c r="IJ154" s="78"/>
      <c r="IK154" s="78"/>
      <c r="IL154" s="78"/>
      <c r="IM154" s="78"/>
      <c r="IN154" s="78"/>
      <c r="IO154" s="78"/>
      <c r="IP154" s="78"/>
      <c r="IQ154" s="78"/>
      <c r="IR154" s="78"/>
    </row>
    <row r="155" spans="1:252" s="75" customFormat="1" ht="12" customHeight="1">
      <c r="A155" s="130"/>
      <c r="C155" s="168"/>
      <c r="FY155" s="78"/>
      <c r="FZ155" s="78"/>
      <c r="GA155" s="78"/>
      <c r="GB155" s="78"/>
      <c r="GC155" s="78"/>
      <c r="GD155" s="78"/>
      <c r="GE155" s="78"/>
      <c r="GF155" s="78"/>
      <c r="GG155" s="78"/>
      <c r="GH155" s="78"/>
      <c r="GI155" s="78"/>
      <c r="GJ155" s="78"/>
      <c r="GK155" s="78"/>
      <c r="GL155" s="78"/>
      <c r="GM155" s="78"/>
      <c r="GN155" s="78"/>
      <c r="GO155" s="78"/>
      <c r="GP155" s="78"/>
      <c r="GQ155" s="78"/>
      <c r="GR155" s="78"/>
      <c r="GS155" s="78"/>
      <c r="GT155" s="78"/>
      <c r="GU155" s="78"/>
      <c r="GV155" s="78"/>
      <c r="GW155" s="78"/>
      <c r="GX155" s="78"/>
      <c r="GY155" s="78"/>
      <c r="GZ155" s="78"/>
      <c r="HA155" s="78"/>
      <c r="HB155" s="78"/>
      <c r="HC155" s="78"/>
      <c r="HD155" s="78"/>
      <c r="HE155" s="78"/>
      <c r="HF155" s="78"/>
      <c r="HG155" s="78"/>
      <c r="HH155" s="78"/>
      <c r="HI155" s="78"/>
      <c r="HJ155" s="78"/>
      <c r="HK155" s="78"/>
      <c r="HL155" s="78"/>
      <c r="HM155" s="78"/>
      <c r="HN155" s="78"/>
      <c r="HO155" s="78"/>
      <c r="HP155" s="78"/>
      <c r="HQ155" s="78"/>
      <c r="HR155" s="78"/>
      <c r="HS155" s="78"/>
      <c r="HT155" s="78"/>
      <c r="HU155" s="78"/>
      <c r="HV155" s="78"/>
      <c r="HW155" s="78"/>
      <c r="HX155" s="78"/>
      <c r="HY155" s="78"/>
      <c r="HZ155" s="78"/>
      <c r="IA155" s="78"/>
      <c r="IB155" s="78"/>
      <c r="IC155" s="78"/>
      <c r="ID155" s="78"/>
      <c r="IE155" s="78"/>
      <c r="IF155" s="78"/>
      <c r="IG155" s="78"/>
      <c r="IH155" s="78"/>
      <c r="II155" s="78"/>
      <c r="IJ155" s="78"/>
      <c r="IK155" s="78"/>
      <c r="IL155" s="78"/>
      <c r="IM155" s="78"/>
      <c r="IN155" s="78"/>
      <c r="IO155" s="78"/>
      <c r="IP155" s="78"/>
      <c r="IQ155" s="78"/>
      <c r="IR155" s="78"/>
    </row>
    <row r="156" spans="1:252" s="75" customFormat="1" ht="12" customHeight="1">
      <c r="A156" s="130"/>
      <c r="C156" s="168"/>
      <c r="FY156" s="78"/>
      <c r="FZ156" s="78"/>
      <c r="GA156" s="78"/>
      <c r="GB156" s="78"/>
      <c r="GC156" s="78"/>
      <c r="GD156" s="78"/>
      <c r="GE156" s="78"/>
      <c r="GF156" s="78"/>
      <c r="GG156" s="78"/>
      <c r="GH156" s="78"/>
      <c r="GI156" s="78"/>
      <c r="GJ156" s="78"/>
      <c r="GK156" s="78"/>
      <c r="GL156" s="78"/>
      <c r="GM156" s="78"/>
      <c r="GN156" s="78"/>
      <c r="GO156" s="78"/>
      <c r="GP156" s="78"/>
      <c r="GQ156" s="78"/>
      <c r="GR156" s="78"/>
      <c r="GS156" s="78"/>
      <c r="GT156" s="78"/>
      <c r="GU156" s="78"/>
      <c r="GV156" s="78"/>
      <c r="GW156" s="78"/>
      <c r="GX156" s="78"/>
      <c r="GY156" s="78"/>
      <c r="GZ156" s="78"/>
      <c r="HA156" s="78"/>
      <c r="HB156" s="78"/>
      <c r="HC156" s="78"/>
      <c r="HD156" s="78"/>
      <c r="HE156" s="78"/>
      <c r="HF156" s="78"/>
      <c r="HG156" s="78"/>
      <c r="HH156" s="78"/>
      <c r="HI156" s="78"/>
      <c r="HJ156" s="78"/>
      <c r="HK156" s="78"/>
      <c r="HL156" s="78"/>
      <c r="HM156" s="78"/>
      <c r="HN156" s="78"/>
      <c r="HO156" s="78"/>
      <c r="HP156" s="78"/>
      <c r="HQ156" s="78"/>
      <c r="HR156" s="78"/>
      <c r="HS156" s="78"/>
      <c r="HT156" s="78"/>
      <c r="HU156" s="78"/>
      <c r="HV156" s="78"/>
      <c r="HW156" s="78"/>
      <c r="HX156" s="78"/>
      <c r="HY156" s="78"/>
      <c r="HZ156" s="78"/>
      <c r="IA156" s="78"/>
      <c r="IB156" s="78"/>
      <c r="IC156" s="78"/>
      <c r="ID156" s="78"/>
      <c r="IE156" s="78"/>
      <c r="IF156" s="78"/>
      <c r="IG156" s="78"/>
      <c r="IH156" s="78"/>
      <c r="II156" s="78"/>
      <c r="IJ156" s="78"/>
      <c r="IK156" s="78"/>
      <c r="IL156" s="78"/>
      <c r="IM156" s="78"/>
      <c r="IN156" s="78"/>
      <c r="IO156" s="78"/>
      <c r="IP156" s="78"/>
      <c r="IQ156" s="78"/>
      <c r="IR156" s="78"/>
    </row>
    <row r="157" spans="1:252" s="75" customFormat="1" ht="12" customHeight="1">
      <c r="A157" s="130"/>
      <c r="C157" s="168"/>
      <c r="FY157" s="78"/>
      <c r="FZ157" s="78"/>
      <c r="GA157" s="78"/>
      <c r="GB157" s="78"/>
      <c r="GC157" s="78"/>
      <c r="GD157" s="78"/>
      <c r="GE157" s="78"/>
      <c r="GF157" s="78"/>
      <c r="GG157" s="78"/>
      <c r="GH157" s="78"/>
      <c r="GI157" s="78"/>
      <c r="GJ157" s="78"/>
      <c r="GK157" s="78"/>
      <c r="GL157" s="78"/>
      <c r="GM157" s="78"/>
      <c r="GN157" s="78"/>
      <c r="GO157" s="78"/>
      <c r="GP157" s="78"/>
      <c r="GQ157" s="78"/>
      <c r="GR157" s="78"/>
      <c r="GS157" s="78"/>
      <c r="GT157" s="78"/>
      <c r="GU157" s="78"/>
      <c r="GV157" s="78"/>
      <c r="GW157" s="78"/>
      <c r="GX157" s="78"/>
      <c r="GY157" s="78"/>
      <c r="GZ157" s="78"/>
      <c r="HA157" s="78"/>
      <c r="HB157" s="78"/>
      <c r="HC157" s="78"/>
      <c r="HD157" s="78"/>
      <c r="HE157" s="78"/>
      <c r="HF157" s="78"/>
      <c r="HG157" s="78"/>
      <c r="HH157" s="78"/>
      <c r="HI157" s="78"/>
      <c r="HJ157" s="78"/>
      <c r="HK157" s="78"/>
      <c r="HL157" s="78"/>
      <c r="HM157" s="78"/>
      <c r="HN157" s="78"/>
      <c r="HO157" s="78"/>
      <c r="HP157" s="78"/>
      <c r="HQ157" s="78"/>
      <c r="HR157" s="78"/>
      <c r="HS157" s="78"/>
      <c r="HT157" s="78"/>
      <c r="HU157" s="78"/>
      <c r="HV157" s="78"/>
      <c r="HW157" s="78"/>
      <c r="HX157" s="78"/>
      <c r="HY157" s="78"/>
      <c r="HZ157" s="78"/>
      <c r="IA157" s="78"/>
      <c r="IB157" s="78"/>
      <c r="IC157" s="78"/>
      <c r="ID157" s="78"/>
      <c r="IE157" s="78"/>
      <c r="IF157" s="78"/>
      <c r="IG157" s="78"/>
      <c r="IH157" s="78"/>
      <c r="II157" s="78"/>
      <c r="IJ157" s="78"/>
      <c r="IK157" s="78"/>
      <c r="IL157" s="78"/>
      <c r="IM157" s="78"/>
      <c r="IN157" s="78"/>
      <c r="IO157" s="78"/>
      <c r="IP157" s="78"/>
      <c r="IQ157" s="78"/>
      <c r="IR157" s="78"/>
    </row>
    <row r="158" spans="1:252" s="75" customFormat="1" ht="12" customHeight="1">
      <c r="A158" s="130"/>
      <c r="C158" s="168"/>
      <c r="FY158" s="78"/>
      <c r="FZ158" s="78"/>
      <c r="GA158" s="78"/>
      <c r="GB158" s="78"/>
      <c r="GC158" s="78"/>
      <c r="GD158" s="78"/>
      <c r="GE158" s="78"/>
      <c r="GF158" s="78"/>
      <c r="GG158" s="78"/>
      <c r="GH158" s="78"/>
      <c r="GI158" s="78"/>
      <c r="GJ158" s="78"/>
      <c r="GK158" s="78"/>
      <c r="GL158" s="78"/>
      <c r="GM158" s="78"/>
      <c r="GN158" s="78"/>
      <c r="GO158" s="78"/>
      <c r="GP158" s="78"/>
      <c r="GQ158" s="78"/>
      <c r="GR158" s="78"/>
      <c r="GS158" s="78"/>
      <c r="GT158" s="78"/>
      <c r="GU158" s="78"/>
      <c r="GV158" s="78"/>
      <c r="GW158" s="78"/>
      <c r="GX158" s="78"/>
      <c r="GY158" s="78"/>
      <c r="GZ158" s="78"/>
      <c r="HA158" s="78"/>
      <c r="HB158" s="78"/>
      <c r="HC158" s="78"/>
      <c r="HD158" s="78"/>
      <c r="HE158" s="78"/>
      <c r="HF158" s="78"/>
      <c r="HG158" s="78"/>
      <c r="HH158" s="78"/>
      <c r="HI158" s="78"/>
      <c r="HJ158" s="78"/>
      <c r="HK158" s="78"/>
      <c r="HL158" s="78"/>
      <c r="HM158" s="78"/>
      <c r="HN158" s="78"/>
      <c r="HO158" s="78"/>
      <c r="HP158" s="78"/>
      <c r="HQ158" s="78"/>
      <c r="HR158" s="78"/>
      <c r="HS158" s="78"/>
      <c r="HT158" s="78"/>
      <c r="HU158" s="78"/>
      <c r="HV158" s="78"/>
      <c r="HW158" s="78"/>
      <c r="HX158" s="78"/>
      <c r="HY158" s="78"/>
      <c r="HZ158" s="78"/>
      <c r="IA158" s="78"/>
      <c r="IB158" s="78"/>
      <c r="IC158" s="78"/>
      <c r="ID158" s="78"/>
      <c r="IE158" s="78"/>
      <c r="IF158" s="78"/>
      <c r="IG158" s="78"/>
      <c r="IH158" s="78"/>
      <c r="II158" s="78"/>
      <c r="IJ158" s="78"/>
      <c r="IK158" s="78"/>
      <c r="IL158" s="78"/>
      <c r="IM158" s="78"/>
      <c r="IN158" s="78"/>
      <c r="IO158" s="78"/>
      <c r="IP158" s="78"/>
      <c r="IQ158" s="78"/>
      <c r="IR158" s="78"/>
    </row>
    <row r="159" spans="1:252" s="75" customFormat="1" ht="12" customHeight="1">
      <c r="A159" s="130"/>
      <c r="C159" s="168"/>
      <c r="FY159" s="78"/>
      <c r="FZ159" s="78"/>
      <c r="GA159" s="78"/>
      <c r="GB159" s="78"/>
      <c r="GC159" s="78"/>
      <c r="GD159" s="78"/>
      <c r="GE159" s="78"/>
      <c r="GF159" s="78"/>
      <c r="GG159" s="78"/>
      <c r="GH159" s="78"/>
      <c r="GI159" s="78"/>
      <c r="GJ159" s="78"/>
      <c r="GK159" s="78"/>
      <c r="GL159" s="78"/>
      <c r="GM159" s="78"/>
      <c r="GN159" s="78"/>
      <c r="GO159" s="78"/>
      <c r="GP159" s="78"/>
      <c r="GQ159" s="78"/>
      <c r="GR159" s="78"/>
      <c r="GS159" s="78"/>
      <c r="GT159" s="78"/>
      <c r="GU159" s="78"/>
      <c r="GV159" s="78"/>
      <c r="GW159" s="78"/>
      <c r="GX159" s="78"/>
      <c r="GY159" s="78"/>
      <c r="GZ159" s="78"/>
      <c r="HA159" s="78"/>
      <c r="HB159" s="78"/>
      <c r="HC159" s="78"/>
      <c r="HD159" s="78"/>
      <c r="HE159" s="78"/>
      <c r="HF159" s="78"/>
      <c r="HG159" s="78"/>
      <c r="HH159" s="78"/>
      <c r="HI159" s="78"/>
      <c r="HJ159" s="78"/>
      <c r="HK159" s="78"/>
      <c r="HL159" s="78"/>
      <c r="HM159" s="78"/>
      <c r="HN159" s="78"/>
      <c r="HO159" s="78"/>
      <c r="HP159" s="78"/>
      <c r="HQ159" s="78"/>
      <c r="HR159" s="78"/>
      <c r="HS159" s="78"/>
      <c r="HT159" s="78"/>
      <c r="HU159" s="78"/>
      <c r="HV159" s="78"/>
      <c r="HW159" s="78"/>
      <c r="HX159" s="78"/>
      <c r="HY159" s="78"/>
      <c r="HZ159" s="78"/>
      <c r="IA159" s="78"/>
      <c r="IB159" s="78"/>
      <c r="IC159" s="78"/>
      <c r="ID159" s="78"/>
      <c r="IE159" s="78"/>
      <c r="IF159" s="78"/>
      <c r="IG159" s="78"/>
      <c r="IH159" s="78"/>
      <c r="II159" s="78"/>
      <c r="IJ159" s="78"/>
      <c r="IK159" s="78"/>
      <c r="IL159" s="78"/>
      <c r="IM159" s="78"/>
      <c r="IN159" s="78"/>
      <c r="IO159" s="78"/>
      <c r="IP159" s="78"/>
      <c r="IQ159" s="78"/>
      <c r="IR159" s="78"/>
    </row>
    <row r="160" spans="1:252" s="75" customFormat="1" ht="12" customHeight="1">
      <c r="A160" s="130"/>
      <c r="C160" s="168"/>
      <c r="FY160" s="78"/>
      <c r="FZ160" s="78"/>
      <c r="GA160" s="78"/>
      <c r="GB160" s="78"/>
      <c r="GC160" s="78"/>
      <c r="GD160" s="78"/>
      <c r="GE160" s="78"/>
      <c r="GF160" s="78"/>
      <c r="GG160" s="78"/>
      <c r="GH160" s="78"/>
      <c r="GI160" s="78"/>
      <c r="GJ160" s="78"/>
      <c r="GK160" s="78"/>
      <c r="GL160" s="78"/>
      <c r="GM160" s="78"/>
      <c r="GN160" s="78"/>
      <c r="GO160" s="78"/>
      <c r="GP160" s="78"/>
      <c r="GQ160" s="78"/>
      <c r="GR160" s="78"/>
      <c r="GS160" s="78"/>
      <c r="GT160" s="78"/>
      <c r="GU160" s="78"/>
      <c r="GV160" s="78"/>
      <c r="GW160" s="78"/>
      <c r="GX160" s="78"/>
      <c r="GY160" s="78"/>
      <c r="GZ160" s="78"/>
      <c r="HA160" s="78"/>
      <c r="HB160" s="78"/>
      <c r="HC160" s="78"/>
      <c r="HD160" s="78"/>
      <c r="HE160" s="78"/>
      <c r="HF160" s="78"/>
      <c r="HG160" s="78"/>
      <c r="HH160" s="78"/>
      <c r="HI160" s="78"/>
      <c r="HJ160" s="78"/>
      <c r="HK160" s="78"/>
      <c r="HL160" s="78"/>
      <c r="HM160" s="78"/>
      <c r="HN160" s="78"/>
      <c r="HO160" s="78"/>
      <c r="HP160" s="78"/>
      <c r="HQ160" s="78"/>
      <c r="HR160" s="78"/>
      <c r="HS160" s="78"/>
      <c r="HT160" s="78"/>
      <c r="HU160" s="78"/>
      <c r="HV160" s="78"/>
      <c r="HW160" s="78"/>
      <c r="HX160" s="78"/>
      <c r="HY160" s="78"/>
      <c r="HZ160" s="78"/>
      <c r="IA160" s="78"/>
      <c r="IB160" s="78"/>
      <c r="IC160" s="78"/>
      <c r="ID160" s="78"/>
      <c r="IE160" s="78"/>
      <c r="IF160" s="78"/>
      <c r="IG160" s="78"/>
      <c r="IH160" s="78"/>
      <c r="II160" s="78"/>
      <c r="IJ160" s="78"/>
      <c r="IK160" s="78"/>
      <c r="IL160" s="78"/>
      <c r="IM160" s="78"/>
      <c r="IN160" s="78"/>
      <c r="IO160" s="78"/>
      <c r="IP160" s="78"/>
      <c r="IQ160" s="78"/>
      <c r="IR160" s="78"/>
    </row>
    <row r="161" spans="1:252" s="75" customFormat="1" ht="12" customHeight="1">
      <c r="A161" s="130"/>
      <c r="C161" s="168"/>
      <c r="FY161" s="78"/>
      <c r="FZ161" s="78"/>
      <c r="GA161" s="78"/>
      <c r="GB161" s="78"/>
      <c r="GC161" s="78"/>
      <c r="GD161" s="78"/>
      <c r="GE161" s="78"/>
      <c r="GF161" s="78"/>
      <c r="GG161" s="78"/>
      <c r="GH161" s="78"/>
      <c r="GI161" s="78"/>
      <c r="GJ161" s="78"/>
      <c r="GK161" s="78"/>
      <c r="GL161" s="78"/>
      <c r="GM161" s="78"/>
      <c r="GN161" s="78"/>
      <c r="GO161" s="78"/>
      <c r="GP161" s="78"/>
      <c r="GQ161" s="78"/>
      <c r="GR161" s="78"/>
      <c r="GS161" s="78"/>
      <c r="GT161" s="78"/>
      <c r="GU161" s="78"/>
      <c r="GV161" s="78"/>
      <c r="GW161" s="78"/>
      <c r="GX161" s="78"/>
      <c r="GY161" s="78"/>
      <c r="GZ161" s="78"/>
      <c r="HA161" s="78"/>
      <c r="HB161" s="78"/>
      <c r="HC161" s="78"/>
      <c r="HD161" s="78"/>
      <c r="HE161" s="78"/>
      <c r="HF161" s="78"/>
      <c r="HG161" s="78"/>
      <c r="HH161" s="78"/>
      <c r="HI161" s="78"/>
      <c r="HJ161" s="78"/>
      <c r="HK161" s="78"/>
      <c r="HL161" s="78"/>
      <c r="HM161" s="78"/>
      <c r="HN161" s="78"/>
      <c r="HO161" s="78"/>
      <c r="HP161" s="78"/>
      <c r="HQ161" s="78"/>
      <c r="HR161" s="78"/>
      <c r="HS161" s="78"/>
      <c r="HT161" s="78"/>
      <c r="HU161" s="78"/>
      <c r="HV161" s="78"/>
      <c r="HW161" s="78"/>
      <c r="HX161" s="78"/>
      <c r="HY161" s="78"/>
      <c r="HZ161" s="78"/>
      <c r="IA161" s="78"/>
      <c r="IB161" s="78"/>
      <c r="IC161" s="78"/>
      <c r="ID161" s="78"/>
      <c r="IE161" s="78"/>
      <c r="IF161" s="78"/>
      <c r="IG161" s="78"/>
      <c r="IH161" s="78"/>
      <c r="II161" s="78"/>
      <c r="IJ161" s="78"/>
      <c r="IK161" s="78"/>
      <c r="IL161" s="78"/>
      <c r="IM161" s="78"/>
      <c r="IN161" s="78"/>
      <c r="IO161" s="78"/>
      <c r="IP161" s="78"/>
      <c r="IQ161" s="78"/>
      <c r="IR161" s="78"/>
    </row>
    <row r="162" spans="1:252" s="75" customFormat="1" ht="12" customHeight="1">
      <c r="A162" s="130"/>
      <c r="C162" s="168"/>
      <c r="FY162" s="78"/>
      <c r="FZ162" s="78"/>
      <c r="GA162" s="78"/>
      <c r="GB162" s="78"/>
      <c r="GC162" s="78"/>
      <c r="GD162" s="78"/>
      <c r="GE162" s="78"/>
      <c r="GF162" s="78"/>
      <c r="GG162" s="78"/>
      <c r="GH162" s="78"/>
      <c r="GI162" s="78"/>
      <c r="GJ162" s="78"/>
      <c r="GK162" s="78"/>
      <c r="GL162" s="78"/>
      <c r="GM162" s="78"/>
      <c r="GN162" s="78"/>
      <c r="GO162" s="78"/>
      <c r="GP162" s="78"/>
      <c r="GQ162" s="78"/>
      <c r="GR162" s="78"/>
      <c r="GS162" s="78"/>
      <c r="GT162" s="78"/>
      <c r="GU162" s="78"/>
      <c r="GV162" s="78"/>
      <c r="GW162" s="78"/>
      <c r="GX162" s="78"/>
      <c r="GY162" s="78"/>
      <c r="GZ162" s="78"/>
      <c r="HA162" s="78"/>
      <c r="HB162" s="78"/>
      <c r="HC162" s="78"/>
      <c r="HD162" s="78"/>
      <c r="HE162" s="78"/>
      <c r="HF162" s="78"/>
      <c r="HG162" s="78"/>
      <c r="HH162" s="78"/>
      <c r="HI162" s="78"/>
      <c r="HJ162" s="78"/>
      <c r="HK162" s="78"/>
      <c r="HL162" s="78"/>
      <c r="HM162" s="78"/>
      <c r="HN162" s="78"/>
      <c r="HO162" s="78"/>
      <c r="HP162" s="78"/>
      <c r="HQ162" s="78"/>
      <c r="HR162" s="78"/>
      <c r="HS162" s="78"/>
      <c r="HT162" s="78"/>
      <c r="HU162" s="78"/>
      <c r="HV162" s="78"/>
      <c r="HW162" s="78"/>
      <c r="HX162" s="78"/>
      <c r="HY162" s="78"/>
      <c r="HZ162" s="78"/>
      <c r="IA162" s="78"/>
      <c r="IB162" s="78"/>
      <c r="IC162" s="78"/>
      <c r="ID162" s="78"/>
      <c r="IE162" s="78"/>
      <c r="IF162" s="78"/>
      <c r="IG162" s="78"/>
      <c r="IH162" s="78"/>
      <c r="II162" s="78"/>
      <c r="IJ162" s="78"/>
      <c r="IK162" s="78"/>
      <c r="IL162" s="78"/>
      <c r="IM162" s="78"/>
      <c r="IN162" s="78"/>
      <c r="IO162" s="78"/>
      <c r="IP162" s="78"/>
      <c r="IQ162" s="78"/>
      <c r="IR162" s="78"/>
    </row>
    <row r="163" spans="1:252" s="75" customFormat="1" ht="12" customHeight="1">
      <c r="A163" s="130"/>
      <c r="C163" s="168"/>
      <c r="FY163" s="78"/>
      <c r="FZ163" s="78"/>
      <c r="GA163" s="78"/>
      <c r="GB163" s="78"/>
      <c r="GC163" s="78"/>
      <c r="GD163" s="78"/>
      <c r="GE163" s="78"/>
      <c r="GF163" s="78"/>
      <c r="GG163" s="78"/>
      <c r="GH163" s="78"/>
      <c r="GI163" s="78"/>
      <c r="GJ163" s="78"/>
      <c r="GK163" s="78"/>
      <c r="GL163" s="78"/>
      <c r="GM163" s="78"/>
      <c r="GN163" s="78"/>
      <c r="GO163" s="78"/>
      <c r="GP163" s="78"/>
      <c r="GQ163" s="78"/>
      <c r="GR163" s="78"/>
      <c r="GS163" s="78"/>
      <c r="GT163" s="78"/>
      <c r="GU163" s="78"/>
      <c r="GV163" s="78"/>
      <c r="GW163" s="78"/>
      <c r="GX163" s="78"/>
      <c r="GY163" s="78"/>
      <c r="GZ163" s="78"/>
      <c r="HA163" s="78"/>
      <c r="HB163" s="78"/>
      <c r="HC163" s="78"/>
      <c r="HD163" s="78"/>
      <c r="HE163" s="78"/>
      <c r="HF163" s="78"/>
      <c r="HG163" s="78"/>
      <c r="HH163" s="78"/>
      <c r="HI163" s="78"/>
      <c r="HJ163" s="78"/>
      <c r="HK163" s="78"/>
      <c r="HL163" s="78"/>
      <c r="HM163" s="78"/>
      <c r="HN163" s="78"/>
      <c r="HO163" s="78"/>
      <c r="HP163" s="78"/>
      <c r="HQ163" s="78"/>
      <c r="HR163" s="78"/>
      <c r="HS163" s="78"/>
      <c r="HT163" s="78"/>
      <c r="HU163" s="78"/>
      <c r="HV163" s="78"/>
      <c r="HW163" s="78"/>
      <c r="HX163" s="78"/>
      <c r="HY163" s="78"/>
      <c r="HZ163" s="78"/>
      <c r="IA163" s="78"/>
      <c r="IB163" s="78"/>
      <c r="IC163" s="78"/>
      <c r="ID163" s="78"/>
      <c r="IE163" s="78"/>
      <c r="IF163" s="78"/>
      <c r="IG163" s="78"/>
      <c r="IH163" s="78"/>
      <c r="II163" s="78"/>
      <c r="IJ163" s="78"/>
      <c r="IK163" s="78"/>
      <c r="IL163" s="78"/>
      <c r="IM163" s="78"/>
      <c r="IN163" s="78"/>
      <c r="IO163" s="78"/>
      <c r="IP163" s="78"/>
      <c r="IQ163" s="78"/>
      <c r="IR163" s="78"/>
    </row>
    <row r="164" spans="1:252" s="75" customFormat="1" ht="12" customHeight="1">
      <c r="A164" s="130"/>
      <c r="C164" s="168"/>
      <c r="FY164" s="78"/>
      <c r="FZ164" s="78"/>
      <c r="GA164" s="78"/>
      <c r="GB164" s="78"/>
      <c r="GC164" s="78"/>
      <c r="GD164" s="78"/>
      <c r="GE164" s="78"/>
      <c r="GF164" s="78"/>
      <c r="GG164" s="78"/>
      <c r="GH164" s="78"/>
      <c r="GI164" s="78"/>
      <c r="GJ164" s="78"/>
      <c r="GK164" s="78"/>
      <c r="GL164" s="78"/>
      <c r="GM164" s="78"/>
      <c r="GN164" s="78"/>
      <c r="GO164" s="78"/>
      <c r="GP164" s="78"/>
      <c r="GQ164" s="78"/>
      <c r="GR164" s="78"/>
      <c r="GS164" s="78"/>
      <c r="GT164" s="78"/>
      <c r="GU164" s="78"/>
      <c r="GV164" s="78"/>
      <c r="GW164" s="78"/>
      <c r="GX164" s="78"/>
      <c r="GY164" s="78"/>
      <c r="GZ164" s="78"/>
      <c r="HA164" s="78"/>
      <c r="HB164" s="78"/>
      <c r="HC164" s="78"/>
      <c r="HD164" s="78"/>
      <c r="HE164" s="78"/>
      <c r="HF164" s="78"/>
      <c r="HG164" s="78"/>
      <c r="HH164" s="78"/>
      <c r="HI164" s="78"/>
      <c r="HJ164" s="78"/>
      <c r="HK164" s="78"/>
      <c r="HL164" s="78"/>
      <c r="HM164" s="78"/>
      <c r="HN164" s="78"/>
      <c r="HO164" s="78"/>
      <c r="HP164" s="78"/>
      <c r="HQ164" s="78"/>
      <c r="HR164" s="78"/>
      <c r="HS164" s="78"/>
      <c r="HT164" s="78"/>
      <c r="HU164" s="78"/>
      <c r="HV164" s="78"/>
      <c r="HW164" s="78"/>
      <c r="HX164" s="78"/>
      <c r="HY164" s="78"/>
      <c r="HZ164" s="78"/>
      <c r="IA164" s="78"/>
      <c r="IB164" s="78"/>
      <c r="IC164" s="78"/>
      <c r="ID164" s="78"/>
      <c r="IE164" s="78"/>
      <c r="IF164" s="78"/>
      <c r="IG164" s="78"/>
      <c r="IH164" s="78"/>
      <c r="II164" s="78"/>
      <c r="IJ164" s="78"/>
      <c r="IK164" s="78"/>
      <c r="IL164" s="78"/>
      <c r="IM164" s="78"/>
      <c r="IN164" s="78"/>
      <c r="IO164" s="78"/>
      <c r="IP164" s="78"/>
      <c r="IQ164" s="78"/>
      <c r="IR164" s="78"/>
    </row>
    <row r="165" spans="1:252" s="75" customFormat="1" ht="12" customHeight="1">
      <c r="A165" s="130"/>
      <c r="C165" s="168"/>
      <c r="FY165" s="78"/>
      <c r="FZ165" s="78"/>
      <c r="GA165" s="78"/>
      <c r="GB165" s="78"/>
      <c r="GC165" s="78"/>
      <c r="GD165" s="78"/>
      <c r="GE165" s="78"/>
      <c r="GF165" s="78"/>
      <c r="GG165" s="78"/>
      <c r="GH165" s="78"/>
      <c r="GI165" s="78"/>
      <c r="GJ165" s="78"/>
      <c r="GK165" s="78"/>
      <c r="GL165" s="78"/>
      <c r="GM165" s="78"/>
      <c r="GN165" s="78"/>
      <c r="GO165" s="78"/>
      <c r="GP165" s="78"/>
      <c r="GQ165" s="78"/>
      <c r="GR165" s="78"/>
      <c r="GS165" s="78"/>
      <c r="GT165" s="78"/>
      <c r="GU165" s="78"/>
      <c r="GV165" s="78"/>
      <c r="GW165" s="78"/>
      <c r="GX165" s="78"/>
      <c r="GY165" s="78"/>
      <c r="GZ165" s="78"/>
      <c r="HA165" s="78"/>
      <c r="HB165" s="78"/>
      <c r="HC165" s="78"/>
      <c r="HD165" s="78"/>
      <c r="HE165" s="78"/>
      <c r="HF165" s="78"/>
      <c r="HG165" s="78"/>
      <c r="HH165" s="78"/>
      <c r="HI165" s="78"/>
      <c r="HJ165" s="78"/>
      <c r="HK165" s="78"/>
      <c r="HL165" s="78"/>
      <c r="HM165" s="78"/>
      <c r="HN165" s="78"/>
      <c r="HO165" s="78"/>
      <c r="HP165" s="78"/>
      <c r="HQ165" s="78"/>
      <c r="HR165" s="78"/>
      <c r="HS165" s="78"/>
      <c r="HT165" s="78"/>
      <c r="HU165" s="78"/>
      <c r="HV165" s="78"/>
      <c r="HW165" s="78"/>
      <c r="HX165" s="78"/>
      <c r="HY165" s="78"/>
      <c r="HZ165" s="78"/>
      <c r="IA165" s="78"/>
      <c r="IB165" s="78"/>
      <c r="IC165" s="78"/>
      <c r="ID165" s="78"/>
      <c r="IE165" s="78"/>
      <c r="IF165" s="78"/>
      <c r="IG165" s="78"/>
      <c r="IH165" s="78"/>
      <c r="II165" s="78"/>
      <c r="IJ165" s="78"/>
      <c r="IK165" s="78"/>
      <c r="IL165" s="78"/>
      <c r="IM165" s="78"/>
      <c r="IN165" s="78"/>
      <c r="IO165" s="78"/>
      <c r="IP165" s="78"/>
      <c r="IQ165" s="78"/>
      <c r="IR165" s="78"/>
    </row>
    <row r="166" spans="1:252" s="75" customFormat="1" ht="12" customHeight="1">
      <c r="A166" s="130"/>
      <c r="C166" s="168"/>
      <c r="FY166" s="78"/>
      <c r="FZ166" s="78"/>
      <c r="GA166" s="78"/>
      <c r="GB166" s="78"/>
      <c r="GC166" s="78"/>
      <c r="GD166" s="78"/>
      <c r="GE166" s="78"/>
      <c r="GF166" s="78"/>
      <c r="GG166" s="78"/>
      <c r="GH166" s="78"/>
      <c r="GI166" s="78"/>
      <c r="GJ166" s="78"/>
      <c r="GK166" s="78"/>
      <c r="GL166" s="78"/>
      <c r="GM166" s="78"/>
      <c r="GN166" s="78"/>
      <c r="GO166" s="78"/>
      <c r="GP166" s="78"/>
      <c r="GQ166" s="78"/>
      <c r="GR166" s="78"/>
      <c r="GS166" s="78"/>
      <c r="GT166" s="78"/>
      <c r="GU166" s="78"/>
      <c r="GV166" s="78"/>
      <c r="GW166" s="78"/>
      <c r="GX166" s="78"/>
      <c r="GY166" s="78"/>
      <c r="GZ166" s="78"/>
      <c r="HA166" s="78"/>
      <c r="HB166" s="78"/>
      <c r="HC166" s="78"/>
      <c r="HD166" s="78"/>
      <c r="HE166" s="78"/>
      <c r="HF166" s="78"/>
      <c r="HG166" s="78"/>
      <c r="HH166" s="78"/>
      <c r="HI166" s="78"/>
      <c r="HJ166" s="78"/>
      <c r="HK166" s="78"/>
      <c r="HL166" s="78"/>
      <c r="HM166" s="78"/>
      <c r="HN166" s="78"/>
      <c r="HO166" s="78"/>
      <c r="HP166" s="78"/>
      <c r="HQ166" s="78"/>
      <c r="HR166" s="78"/>
      <c r="HS166" s="78"/>
      <c r="HT166" s="78"/>
      <c r="HU166" s="78"/>
      <c r="HV166" s="78"/>
      <c r="HW166" s="78"/>
      <c r="HX166" s="78"/>
      <c r="HY166" s="78"/>
      <c r="HZ166" s="78"/>
      <c r="IA166" s="78"/>
      <c r="IB166" s="78"/>
      <c r="IC166" s="78"/>
      <c r="ID166" s="78"/>
      <c r="IE166" s="78"/>
      <c r="IF166" s="78"/>
      <c r="IG166" s="78"/>
      <c r="IH166" s="78"/>
      <c r="II166" s="78"/>
      <c r="IJ166" s="78"/>
      <c r="IK166" s="78"/>
      <c r="IL166" s="78"/>
      <c r="IM166" s="78"/>
      <c r="IN166" s="78"/>
      <c r="IO166" s="78"/>
      <c r="IP166" s="78"/>
      <c r="IQ166" s="78"/>
      <c r="IR166" s="78"/>
    </row>
    <row r="167" spans="1:252" s="75" customFormat="1" ht="12" customHeight="1">
      <c r="A167" s="130"/>
      <c r="C167" s="168"/>
      <c r="FY167" s="78"/>
      <c r="FZ167" s="78"/>
      <c r="GA167" s="78"/>
      <c r="GB167" s="78"/>
      <c r="GC167" s="78"/>
      <c r="GD167" s="78"/>
      <c r="GE167" s="78"/>
      <c r="GF167" s="78"/>
      <c r="GG167" s="78"/>
      <c r="GH167" s="78"/>
      <c r="GI167" s="78"/>
      <c r="GJ167" s="78"/>
      <c r="GK167" s="78"/>
      <c r="GL167" s="78"/>
      <c r="GM167" s="78"/>
      <c r="GN167" s="78"/>
      <c r="GO167" s="78"/>
      <c r="GP167" s="78"/>
      <c r="GQ167" s="78"/>
      <c r="GR167" s="78"/>
      <c r="GS167" s="78"/>
      <c r="GT167" s="78"/>
      <c r="GU167" s="78"/>
      <c r="GV167" s="78"/>
      <c r="GW167" s="78"/>
      <c r="GX167" s="78"/>
      <c r="GY167" s="78"/>
      <c r="GZ167" s="78"/>
      <c r="HA167" s="78"/>
      <c r="HB167" s="78"/>
      <c r="HC167" s="78"/>
      <c r="HD167" s="78"/>
      <c r="HE167" s="78"/>
      <c r="HF167" s="78"/>
      <c r="HG167" s="78"/>
      <c r="HH167" s="78"/>
      <c r="HI167" s="78"/>
      <c r="HJ167" s="78"/>
      <c r="HK167" s="78"/>
      <c r="HL167" s="78"/>
      <c r="HM167" s="78"/>
      <c r="HN167" s="78"/>
      <c r="HO167" s="78"/>
      <c r="HP167" s="78"/>
      <c r="HQ167" s="78"/>
      <c r="HR167" s="78"/>
      <c r="HS167" s="78"/>
      <c r="HT167" s="78"/>
      <c r="HU167" s="78"/>
      <c r="HV167" s="78"/>
      <c r="HW167" s="78"/>
      <c r="HX167" s="78"/>
      <c r="HY167" s="78"/>
      <c r="HZ167" s="78"/>
      <c r="IA167" s="78"/>
      <c r="IB167" s="78"/>
      <c r="IC167" s="78"/>
      <c r="ID167" s="78"/>
      <c r="IE167" s="78"/>
      <c r="IF167" s="78"/>
      <c r="IG167" s="78"/>
      <c r="IH167" s="78"/>
      <c r="II167" s="78"/>
      <c r="IJ167" s="78"/>
      <c r="IK167" s="78"/>
      <c r="IL167" s="78"/>
      <c r="IM167" s="78"/>
      <c r="IN167" s="78"/>
      <c r="IO167" s="78"/>
      <c r="IP167" s="78"/>
      <c r="IQ167" s="78"/>
      <c r="IR167" s="78"/>
    </row>
    <row r="168" spans="1:252" s="75" customFormat="1" ht="12" customHeight="1">
      <c r="A168" s="130"/>
      <c r="C168" s="168"/>
      <c r="FY168" s="78"/>
      <c r="FZ168" s="78"/>
      <c r="GA168" s="78"/>
      <c r="GB168" s="78"/>
      <c r="GC168" s="78"/>
      <c r="GD168" s="78"/>
      <c r="GE168" s="78"/>
      <c r="GF168" s="78"/>
      <c r="GG168" s="78"/>
      <c r="GH168" s="78"/>
      <c r="GI168" s="78"/>
      <c r="GJ168" s="78"/>
      <c r="GK168" s="78"/>
      <c r="GL168" s="78"/>
      <c r="GM168" s="78"/>
      <c r="GN168" s="78"/>
      <c r="GO168" s="78"/>
      <c r="GP168" s="78"/>
      <c r="GQ168" s="78"/>
      <c r="GR168" s="78"/>
      <c r="GS168" s="78"/>
      <c r="GT168" s="78"/>
      <c r="GU168" s="78"/>
      <c r="GV168" s="78"/>
      <c r="GW168" s="78"/>
      <c r="GX168" s="78"/>
      <c r="GY168" s="78"/>
      <c r="GZ168" s="78"/>
      <c r="HA168" s="78"/>
      <c r="HB168" s="78"/>
      <c r="HC168" s="78"/>
      <c r="HD168" s="78"/>
      <c r="HE168" s="78"/>
      <c r="HF168" s="78"/>
      <c r="HG168" s="78"/>
      <c r="HH168" s="78"/>
      <c r="HI168" s="78"/>
      <c r="HJ168" s="78"/>
      <c r="HK168" s="78"/>
      <c r="HL168" s="78"/>
      <c r="HM168" s="78"/>
      <c r="HN168" s="78"/>
      <c r="HO168" s="78"/>
      <c r="HP168" s="78"/>
      <c r="HQ168" s="78"/>
      <c r="HR168" s="78"/>
      <c r="HS168" s="78"/>
      <c r="HT168" s="78"/>
      <c r="HU168" s="78"/>
      <c r="HV168" s="78"/>
      <c r="HW168" s="78"/>
      <c r="HX168" s="78"/>
      <c r="HY168" s="78"/>
      <c r="HZ168" s="78"/>
      <c r="IA168" s="78"/>
      <c r="IB168" s="78"/>
      <c r="IC168" s="78"/>
      <c r="ID168" s="78"/>
      <c r="IE168" s="78"/>
      <c r="IF168" s="78"/>
      <c r="IG168" s="78"/>
      <c r="IH168" s="78"/>
      <c r="II168" s="78"/>
      <c r="IJ168" s="78"/>
      <c r="IK168" s="78"/>
      <c r="IL168" s="78"/>
      <c r="IM168" s="78"/>
      <c r="IN168" s="78"/>
      <c r="IO168" s="78"/>
      <c r="IP168" s="78"/>
      <c r="IQ168" s="78"/>
      <c r="IR168" s="78"/>
    </row>
    <row r="169" spans="1:252" s="75" customFormat="1" ht="12" customHeight="1">
      <c r="A169" s="130"/>
      <c r="C169" s="168"/>
      <c r="FY169" s="78"/>
      <c r="FZ169" s="78"/>
      <c r="GA169" s="78"/>
      <c r="GB169" s="78"/>
      <c r="GC169" s="78"/>
      <c r="GD169" s="78"/>
      <c r="GE169" s="78"/>
      <c r="GF169" s="78"/>
      <c r="GG169" s="78"/>
      <c r="GH169" s="78"/>
      <c r="GI169" s="78"/>
      <c r="GJ169" s="78"/>
      <c r="GK169" s="78"/>
      <c r="GL169" s="78"/>
      <c r="GM169" s="78"/>
      <c r="GN169" s="78"/>
      <c r="GO169" s="78"/>
      <c r="GP169" s="78"/>
      <c r="GQ169" s="78"/>
      <c r="GR169" s="78"/>
      <c r="GS169" s="78"/>
      <c r="GT169" s="78"/>
      <c r="GU169" s="78"/>
      <c r="GV169" s="78"/>
      <c r="GW169" s="78"/>
      <c r="GX169" s="78"/>
      <c r="GY169" s="78"/>
      <c r="GZ169" s="78"/>
      <c r="HA169" s="78"/>
      <c r="HB169" s="78"/>
      <c r="HC169" s="78"/>
      <c r="HD169" s="78"/>
      <c r="HE169" s="78"/>
      <c r="HF169" s="78"/>
      <c r="HG169" s="78"/>
      <c r="HH169" s="78"/>
      <c r="HI169" s="78"/>
      <c r="HJ169" s="78"/>
      <c r="HK169" s="78"/>
      <c r="HL169" s="78"/>
      <c r="HM169" s="78"/>
      <c r="HN169" s="78"/>
      <c r="HO169" s="78"/>
      <c r="HP169" s="78"/>
      <c r="HQ169" s="78"/>
      <c r="HR169" s="78"/>
      <c r="HS169" s="78"/>
      <c r="HT169" s="78"/>
      <c r="HU169" s="78"/>
      <c r="HV169" s="78"/>
      <c r="HW169" s="78"/>
      <c r="HX169" s="78"/>
      <c r="HY169" s="78"/>
      <c r="HZ169" s="78"/>
      <c r="IA169" s="78"/>
      <c r="IB169" s="78"/>
      <c r="IC169" s="78"/>
      <c r="ID169" s="78"/>
      <c r="IE169" s="78"/>
      <c r="IF169" s="78"/>
      <c r="IG169" s="78"/>
      <c r="IH169" s="78"/>
      <c r="II169" s="78"/>
      <c r="IJ169" s="78"/>
      <c r="IK169" s="78"/>
      <c r="IL169" s="78"/>
      <c r="IM169" s="78"/>
      <c r="IN169" s="78"/>
      <c r="IO169" s="78"/>
      <c r="IP169" s="78"/>
      <c r="IQ169" s="78"/>
      <c r="IR169" s="78"/>
    </row>
    <row r="170" spans="1:252" s="75" customFormat="1" ht="12" customHeight="1">
      <c r="A170" s="130"/>
      <c r="C170" s="168"/>
      <c r="FY170" s="78"/>
      <c r="FZ170" s="78"/>
      <c r="GA170" s="78"/>
      <c r="GB170" s="78"/>
      <c r="GC170" s="78"/>
      <c r="GD170" s="78"/>
      <c r="GE170" s="78"/>
      <c r="GF170" s="78"/>
      <c r="GG170" s="78"/>
      <c r="GH170" s="78"/>
      <c r="GI170" s="78"/>
      <c r="GJ170" s="78"/>
      <c r="GK170" s="78"/>
      <c r="GL170" s="78"/>
      <c r="GM170" s="78"/>
      <c r="GN170" s="78"/>
      <c r="GO170" s="78"/>
      <c r="GP170" s="78"/>
      <c r="GQ170" s="78"/>
      <c r="GR170" s="78"/>
      <c r="GS170" s="78"/>
      <c r="GT170" s="78"/>
      <c r="GU170" s="78"/>
      <c r="GV170" s="78"/>
      <c r="GW170" s="78"/>
      <c r="GX170" s="78"/>
      <c r="GY170" s="78"/>
      <c r="GZ170" s="78"/>
      <c r="HA170" s="78"/>
      <c r="HB170" s="78"/>
      <c r="HC170" s="78"/>
      <c r="HD170" s="78"/>
      <c r="HE170" s="78"/>
      <c r="HF170" s="78"/>
      <c r="HG170" s="78"/>
      <c r="HH170" s="78"/>
      <c r="HI170" s="78"/>
      <c r="HJ170" s="78"/>
      <c r="HK170" s="78"/>
      <c r="HL170" s="78"/>
      <c r="HM170" s="78"/>
      <c r="HN170" s="78"/>
      <c r="HO170" s="78"/>
      <c r="HP170" s="78"/>
      <c r="HQ170" s="78"/>
      <c r="HR170" s="78"/>
      <c r="HS170" s="78"/>
      <c r="HT170" s="78"/>
      <c r="HU170" s="78"/>
      <c r="HV170" s="78"/>
      <c r="HW170" s="78"/>
      <c r="HX170" s="78"/>
      <c r="HY170" s="78"/>
      <c r="HZ170" s="78"/>
      <c r="IA170" s="78"/>
      <c r="IB170" s="78"/>
      <c r="IC170" s="78"/>
      <c r="ID170" s="78"/>
      <c r="IE170" s="78"/>
      <c r="IF170" s="78"/>
      <c r="IG170" s="78"/>
      <c r="IH170" s="78"/>
      <c r="II170" s="78"/>
      <c r="IJ170" s="78"/>
      <c r="IK170" s="78"/>
      <c r="IL170" s="78"/>
      <c r="IM170" s="78"/>
      <c r="IN170" s="78"/>
      <c r="IO170" s="78"/>
      <c r="IP170" s="78"/>
      <c r="IQ170" s="78"/>
      <c r="IR170" s="78"/>
    </row>
    <row r="171" spans="1:252" s="75" customFormat="1" ht="12" customHeight="1">
      <c r="A171" s="130"/>
      <c r="C171" s="168"/>
      <c r="FY171" s="78"/>
      <c r="FZ171" s="78"/>
      <c r="GA171" s="78"/>
      <c r="GB171" s="78"/>
      <c r="GC171" s="78"/>
      <c r="GD171" s="78"/>
      <c r="GE171" s="78"/>
      <c r="GF171" s="78"/>
      <c r="GG171" s="78"/>
      <c r="GH171" s="78"/>
      <c r="GI171" s="78"/>
      <c r="GJ171" s="78"/>
      <c r="GK171" s="78"/>
      <c r="GL171" s="78"/>
      <c r="GM171" s="78"/>
      <c r="GN171" s="78"/>
      <c r="GO171" s="78"/>
      <c r="GP171" s="78"/>
      <c r="GQ171" s="78"/>
      <c r="GR171" s="78"/>
      <c r="GS171" s="78"/>
      <c r="GT171" s="78"/>
      <c r="GU171" s="78"/>
      <c r="GV171" s="78"/>
      <c r="GW171" s="78"/>
      <c r="GX171" s="78"/>
      <c r="GY171" s="78"/>
      <c r="GZ171" s="78"/>
      <c r="HA171" s="78"/>
      <c r="HB171" s="78"/>
      <c r="HC171" s="78"/>
      <c r="HD171" s="78"/>
      <c r="HE171" s="78"/>
      <c r="HF171" s="78"/>
      <c r="HG171" s="78"/>
      <c r="HH171" s="78"/>
      <c r="HI171" s="78"/>
      <c r="HJ171" s="78"/>
      <c r="HK171" s="78"/>
      <c r="HL171" s="78"/>
      <c r="HM171" s="78"/>
      <c r="HN171" s="78"/>
      <c r="HO171" s="78"/>
      <c r="HP171" s="78"/>
      <c r="HQ171" s="78"/>
      <c r="HR171" s="78"/>
      <c r="HS171" s="78"/>
      <c r="HT171" s="78"/>
      <c r="HU171" s="78"/>
      <c r="HV171" s="78"/>
      <c r="HW171" s="78"/>
      <c r="HX171" s="78"/>
      <c r="HY171" s="78"/>
      <c r="HZ171" s="78"/>
      <c r="IA171" s="78"/>
      <c r="IB171" s="78"/>
      <c r="IC171" s="78"/>
      <c r="ID171" s="78"/>
      <c r="IE171" s="78"/>
      <c r="IF171" s="78"/>
      <c r="IG171" s="78"/>
      <c r="IH171" s="78"/>
      <c r="II171" s="78"/>
      <c r="IJ171" s="78"/>
      <c r="IK171" s="78"/>
      <c r="IL171" s="78"/>
      <c r="IM171" s="78"/>
      <c r="IN171" s="78"/>
      <c r="IO171" s="78"/>
      <c r="IP171" s="78"/>
      <c r="IQ171" s="78"/>
      <c r="IR171" s="78"/>
    </row>
    <row r="172" spans="1:252" s="75" customFormat="1" ht="12" customHeight="1">
      <c r="A172" s="130"/>
      <c r="C172" s="168"/>
      <c r="FY172" s="78"/>
      <c r="FZ172" s="78"/>
      <c r="GA172" s="78"/>
      <c r="GB172" s="78"/>
      <c r="GC172" s="78"/>
      <c r="GD172" s="78"/>
      <c r="GE172" s="78"/>
      <c r="GF172" s="78"/>
      <c r="GG172" s="78"/>
      <c r="GH172" s="78"/>
      <c r="GI172" s="78"/>
      <c r="GJ172" s="78"/>
      <c r="GK172" s="78"/>
      <c r="GL172" s="78"/>
      <c r="GM172" s="78"/>
      <c r="GN172" s="78"/>
      <c r="GO172" s="78"/>
      <c r="GP172" s="78"/>
      <c r="GQ172" s="78"/>
      <c r="GR172" s="78"/>
      <c r="GS172" s="78"/>
      <c r="GT172" s="78"/>
      <c r="GU172" s="78"/>
      <c r="GV172" s="78"/>
      <c r="GW172" s="78"/>
      <c r="GX172" s="78"/>
      <c r="GY172" s="78"/>
      <c r="GZ172" s="78"/>
      <c r="HA172" s="78"/>
      <c r="HB172" s="78"/>
      <c r="HC172" s="78"/>
      <c r="HD172" s="78"/>
      <c r="HE172" s="78"/>
      <c r="HF172" s="78"/>
      <c r="HG172" s="78"/>
      <c r="HH172" s="78"/>
      <c r="HI172" s="78"/>
      <c r="HJ172" s="78"/>
      <c r="HK172" s="78"/>
      <c r="HL172" s="78"/>
      <c r="HM172" s="78"/>
      <c r="HN172" s="78"/>
      <c r="HO172" s="78"/>
      <c r="HP172" s="78"/>
      <c r="HQ172" s="78"/>
      <c r="HR172" s="78"/>
      <c r="HS172" s="78"/>
      <c r="HT172" s="78"/>
      <c r="HU172" s="78"/>
      <c r="HV172" s="78"/>
      <c r="HW172" s="78"/>
      <c r="HX172" s="78"/>
      <c r="HY172" s="78"/>
      <c r="HZ172" s="78"/>
      <c r="IA172" s="78"/>
      <c r="IB172" s="78"/>
      <c r="IC172" s="78"/>
      <c r="ID172" s="78"/>
      <c r="IE172" s="78"/>
      <c r="IF172" s="78"/>
      <c r="IG172" s="78"/>
      <c r="IH172" s="78"/>
      <c r="II172" s="78"/>
      <c r="IJ172" s="78"/>
      <c r="IK172" s="78"/>
      <c r="IL172" s="78"/>
      <c r="IM172" s="78"/>
      <c r="IN172" s="78"/>
      <c r="IO172" s="78"/>
      <c r="IP172" s="78"/>
      <c r="IQ172" s="78"/>
      <c r="IR172" s="78"/>
    </row>
    <row r="173" spans="1:252" s="75" customFormat="1" ht="12" customHeight="1">
      <c r="A173" s="130"/>
      <c r="C173" s="168"/>
      <c r="FY173" s="78"/>
      <c r="FZ173" s="78"/>
      <c r="GA173" s="78"/>
      <c r="GB173" s="78"/>
      <c r="GC173" s="78"/>
      <c r="GD173" s="78"/>
      <c r="GE173" s="78"/>
      <c r="GF173" s="78"/>
      <c r="GG173" s="78"/>
      <c r="GH173" s="78"/>
      <c r="GI173" s="78"/>
      <c r="GJ173" s="78"/>
      <c r="GK173" s="78"/>
      <c r="GL173" s="78"/>
      <c r="GM173" s="78"/>
      <c r="GN173" s="78"/>
      <c r="GO173" s="78"/>
      <c r="GP173" s="78"/>
      <c r="GQ173" s="78"/>
      <c r="GR173" s="78"/>
      <c r="GS173" s="78"/>
      <c r="GT173" s="78"/>
      <c r="GU173" s="78"/>
      <c r="GV173" s="78"/>
      <c r="GW173" s="78"/>
      <c r="GX173" s="78"/>
      <c r="GY173" s="78"/>
      <c r="GZ173" s="78"/>
      <c r="HA173" s="78"/>
      <c r="HB173" s="78"/>
      <c r="HC173" s="78"/>
      <c r="HD173" s="78"/>
      <c r="HE173" s="78"/>
      <c r="HF173" s="78"/>
      <c r="HG173" s="78"/>
      <c r="HH173" s="78"/>
      <c r="HI173" s="78"/>
      <c r="HJ173" s="78"/>
      <c r="HK173" s="78"/>
      <c r="HL173" s="78"/>
      <c r="HM173" s="78"/>
      <c r="HN173" s="78"/>
      <c r="HO173" s="78"/>
      <c r="HP173" s="78"/>
      <c r="HQ173" s="78"/>
      <c r="HR173" s="78"/>
      <c r="HS173" s="78"/>
      <c r="HT173" s="78"/>
      <c r="HU173" s="78"/>
      <c r="HV173" s="78"/>
      <c r="HW173" s="78"/>
      <c r="HX173" s="78"/>
      <c r="HY173" s="78"/>
      <c r="HZ173" s="78"/>
      <c r="IA173" s="78"/>
      <c r="IB173" s="78"/>
      <c r="IC173" s="78"/>
      <c r="ID173" s="78"/>
      <c r="IE173" s="78"/>
      <c r="IF173" s="78"/>
      <c r="IG173" s="78"/>
      <c r="IH173" s="78"/>
      <c r="II173" s="78"/>
      <c r="IJ173" s="78"/>
      <c r="IK173" s="78"/>
      <c r="IL173" s="78"/>
      <c r="IM173" s="78"/>
      <c r="IN173" s="78"/>
      <c r="IO173" s="78"/>
      <c r="IP173" s="78"/>
      <c r="IQ173" s="78"/>
      <c r="IR173" s="78"/>
    </row>
    <row r="174" spans="1:252" s="75" customFormat="1" ht="12" customHeight="1">
      <c r="A174" s="130"/>
      <c r="C174" s="168"/>
      <c r="FY174" s="78"/>
      <c r="FZ174" s="78"/>
      <c r="GA174" s="78"/>
      <c r="GB174" s="78"/>
      <c r="GC174" s="78"/>
      <c r="GD174" s="78"/>
      <c r="GE174" s="78"/>
      <c r="GF174" s="78"/>
      <c r="GG174" s="78"/>
      <c r="GH174" s="78"/>
      <c r="GI174" s="78"/>
      <c r="GJ174" s="78"/>
      <c r="GK174" s="78"/>
      <c r="GL174" s="78"/>
      <c r="GM174" s="78"/>
      <c r="GN174" s="78"/>
      <c r="GO174" s="78"/>
      <c r="GP174" s="78"/>
      <c r="GQ174" s="78"/>
      <c r="GR174" s="78"/>
      <c r="GS174" s="78"/>
      <c r="GT174" s="78"/>
      <c r="GU174" s="78"/>
      <c r="GV174" s="78"/>
      <c r="GW174" s="78"/>
      <c r="GX174" s="78"/>
      <c r="GY174" s="78"/>
      <c r="GZ174" s="78"/>
      <c r="HA174" s="78"/>
      <c r="HB174" s="78"/>
      <c r="HC174" s="78"/>
      <c r="HD174" s="78"/>
      <c r="HE174" s="78"/>
      <c r="HF174" s="78"/>
      <c r="HG174" s="78"/>
      <c r="HH174" s="78"/>
      <c r="HI174" s="78"/>
      <c r="HJ174" s="78"/>
      <c r="HK174" s="78"/>
      <c r="HL174" s="78"/>
      <c r="HM174" s="78"/>
      <c r="HN174" s="78"/>
      <c r="HO174" s="78"/>
      <c r="HP174" s="78"/>
      <c r="HQ174" s="78"/>
      <c r="HR174" s="78"/>
      <c r="HS174" s="78"/>
      <c r="HT174" s="78"/>
      <c r="HU174" s="78"/>
      <c r="HV174" s="78"/>
      <c r="HW174" s="78"/>
      <c r="HX174" s="78"/>
      <c r="HY174" s="78"/>
      <c r="HZ174" s="78"/>
      <c r="IA174" s="78"/>
      <c r="IB174" s="78"/>
      <c r="IC174" s="78"/>
      <c r="ID174" s="78"/>
      <c r="IE174" s="78"/>
      <c r="IF174" s="78"/>
      <c r="IG174" s="78"/>
      <c r="IH174" s="78"/>
      <c r="II174" s="78"/>
      <c r="IJ174" s="78"/>
      <c r="IK174" s="78"/>
      <c r="IL174" s="78"/>
      <c r="IM174" s="78"/>
      <c r="IN174" s="78"/>
      <c r="IO174" s="78"/>
      <c r="IP174" s="78"/>
      <c r="IQ174" s="78"/>
      <c r="IR174" s="78"/>
    </row>
    <row r="175" spans="1:252" s="75" customFormat="1" ht="12" customHeight="1">
      <c r="A175" s="130"/>
      <c r="C175" s="168"/>
      <c r="FY175" s="78"/>
      <c r="FZ175" s="78"/>
      <c r="GA175" s="78"/>
      <c r="GB175" s="78"/>
      <c r="GC175" s="78"/>
      <c r="GD175" s="78"/>
      <c r="GE175" s="78"/>
      <c r="GF175" s="78"/>
      <c r="GG175" s="78"/>
      <c r="GH175" s="78"/>
      <c r="GI175" s="78"/>
      <c r="GJ175" s="78"/>
      <c r="GK175" s="78"/>
      <c r="GL175" s="78"/>
      <c r="GM175" s="78"/>
      <c r="GN175" s="78"/>
      <c r="GO175" s="78"/>
      <c r="GP175" s="78"/>
      <c r="GQ175" s="78"/>
      <c r="GR175" s="78"/>
      <c r="GS175" s="78"/>
      <c r="GT175" s="78"/>
      <c r="GU175" s="78"/>
      <c r="GV175" s="78"/>
      <c r="GW175" s="78"/>
      <c r="GX175" s="78"/>
      <c r="GY175" s="78"/>
      <c r="GZ175" s="78"/>
      <c r="HA175" s="78"/>
      <c r="HB175" s="78"/>
      <c r="HC175" s="78"/>
      <c r="HD175" s="78"/>
      <c r="HE175" s="78"/>
      <c r="HF175" s="78"/>
      <c r="HG175" s="78"/>
      <c r="HH175" s="78"/>
      <c r="HI175" s="78"/>
      <c r="HJ175" s="78"/>
      <c r="HK175" s="78"/>
      <c r="HL175" s="78"/>
      <c r="HM175" s="78"/>
      <c r="HN175" s="78"/>
      <c r="HO175" s="78"/>
      <c r="HP175" s="78"/>
      <c r="HQ175" s="78"/>
      <c r="HR175" s="78"/>
      <c r="HS175" s="78"/>
      <c r="HT175" s="78"/>
      <c r="HU175" s="78"/>
      <c r="HV175" s="78"/>
      <c r="HW175" s="78"/>
      <c r="HX175" s="78"/>
      <c r="HY175" s="78"/>
      <c r="HZ175" s="78"/>
      <c r="IA175" s="78"/>
      <c r="IB175" s="78"/>
      <c r="IC175" s="78"/>
      <c r="ID175" s="78"/>
      <c r="IE175" s="78"/>
      <c r="IF175" s="78"/>
      <c r="IG175" s="78"/>
      <c r="IH175" s="78"/>
      <c r="II175" s="78"/>
      <c r="IJ175" s="78"/>
      <c r="IK175" s="78"/>
      <c r="IL175" s="78"/>
      <c r="IM175" s="78"/>
      <c r="IN175" s="78"/>
      <c r="IO175" s="78"/>
      <c r="IP175" s="78"/>
      <c r="IQ175" s="78"/>
      <c r="IR175" s="78"/>
    </row>
    <row r="176" spans="1:252" s="75" customFormat="1" ht="12" customHeight="1">
      <c r="A176" s="130"/>
      <c r="C176" s="168"/>
      <c r="FY176" s="78"/>
      <c r="FZ176" s="78"/>
      <c r="GA176" s="78"/>
      <c r="GB176" s="78"/>
      <c r="GC176" s="78"/>
      <c r="GD176" s="78"/>
      <c r="GE176" s="78"/>
      <c r="GF176" s="78"/>
      <c r="GG176" s="78"/>
      <c r="GH176" s="78"/>
      <c r="GI176" s="78"/>
      <c r="GJ176" s="78"/>
      <c r="GK176" s="78"/>
      <c r="GL176" s="78"/>
      <c r="GM176" s="78"/>
      <c r="GN176" s="78"/>
      <c r="GO176" s="78"/>
      <c r="GP176" s="78"/>
      <c r="GQ176" s="78"/>
      <c r="GR176" s="78"/>
      <c r="GS176" s="78"/>
      <c r="GT176" s="78"/>
      <c r="GU176" s="78"/>
      <c r="GV176" s="78"/>
      <c r="GW176" s="78"/>
      <c r="GX176" s="78"/>
      <c r="GY176" s="78"/>
      <c r="GZ176" s="78"/>
      <c r="HA176" s="78"/>
      <c r="HB176" s="78"/>
      <c r="HC176" s="78"/>
      <c r="HD176" s="78"/>
      <c r="HE176" s="78"/>
      <c r="HF176" s="78"/>
      <c r="HG176" s="78"/>
      <c r="HH176" s="78"/>
      <c r="HI176" s="78"/>
      <c r="HJ176" s="78"/>
      <c r="HK176" s="78"/>
      <c r="HL176" s="78"/>
      <c r="HM176" s="78"/>
      <c r="HN176" s="78"/>
      <c r="HO176" s="78"/>
      <c r="HP176" s="78"/>
      <c r="HQ176" s="78"/>
      <c r="HR176" s="78"/>
      <c r="HS176" s="78"/>
      <c r="HT176" s="78"/>
      <c r="HU176" s="78"/>
      <c r="HV176" s="78"/>
      <c r="HW176" s="78"/>
      <c r="HX176" s="78"/>
      <c r="HY176" s="78"/>
      <c r="HZ176" s="78"/>
      <c r="IA176" s="78"/>
      <c r="IB176" s="78"/>
      <c r="IC176" s="78"/>
      <c r="ID176" s="78"/>
      <c r="IE176" s="78"/>
      <c r="IF176" s="78"/>
      <c r="IG176" s="78"/>
      <c r="IH176" s="78"/>
      <c r="II176" s="78"/>
      <c r="IJ176" s="78"/>
      <c r="IK176" s="78"/>
      <c r="IL176" s="78"/>
      <c r="IM176" s="78"/>
      <c r="IN176" s="78"/>
      <c r="IO176" s="78"/>
      <c r="IP176" s="78"/>
      <c r="IQ176" s="78"/>
      <c r="IR176" s="78"/>
    </row>
    <row r="177" spans="1:252" s="75" customFormat="1" ht="12" customHeight="1">
      <c r="A177" s="130"/>
      <c r="C177" s="168"/>
      <c r="FY177" s="78"/>
      <c r="FZ177" s="78"/>
      <c r="GA177" s="78"/>
      <c r="GB177" s="78"/>
      <c r="GC177" s="78"/>
      <c r="GD177" s="78"/>
      <c r="GE177" s="78"/>
      <c r="GF177" s="78"/>
      <c r="GG177" s="78"/>
      <c r="GH177" s="78"/>
      <c r="GI177" s="78"/>
      <c r="GJ177" s="78"/>
      <c r="GK177" s="78"/>
      <c r="GL177" s="78"/>
      <c r="GM177" s="78"/>
      <c r="GN177" s="78"/>
      <c r="GO177" s="78"/>
      <c r="GP177" s="78"/>
      <c r="GQ177" s="78"/>
      <c r="GR177" s="78"/>
      <c r="GS177" s="78"/>
      <c r="GT177" s="78"/>
      <c r="GU177" s="78"/>
      <c r="GV177" s="78"/>
      <c r="GW177" s="78"/>
      <c r="GX177" s="78"/>
      <c r="GY177" s="78"/>
      <c r="GZ177" s="78"/>
      <c r="HA177" s="78"/>
      <c r="HB177" s="78"/>
      <c r="HC177" s="78"/>
      <c r="HD177" s="78"/>
      <c r="HE177" s="78"/>
      <c r="HF177" s="78"/>
      <c r="HG177" s="78"/>
      <c r="HH177" s="78"/>
      <c r="HI177" s="78"/>
      <c r="HJ177" s="78"/>
      <c r="HK177" s="78"/>
      <c r="HL177" s="78"/>
      <c r="HM177" s="78"/>
      <c r="HN177" s="78"/>
      <c r="HO177" s="78"/>
      <c r="HP177" s="78"/>
      <c r="HQ177" s="78"/>
      <c r="HR177" s="78"/>
      <c r="HS177" s="78"/>
      <c r="HT177" s="78"/>
      <c r="HU177" s="78"/>
      <c r="HV177" s="78"/>
      <c r="HW177" s="78"/>
      <c r="HX177" s="78"/>
      <c r="HY177" s="78"/>
      <c r="HZ177" s="78"/>
      <c r="IA177" s="78"/>
      <c r="IB177" s="78"/>
      <c r="IC177" s="78"/>
      <c r="ID177" s="78"/>
      <c r="IE177" s="78"/>
      <c r="IF177" s="78"/>
      <c r="IG177" s="78"/>
      <c r="IH177" s="78"/>
      <c r="II177" s="78"/>
      <c r="IJ177" s="78"/>
      <c r="IK177" s="78"/>
      <c r="IL177" s="78"/>
      <c r="IM177" s="78"/>
      <c r="IN177" s="78"/>
      <c r="IO177" s="78"/>
      <c r="IP177" s="78"/>
      <c r="IQ177" s="78"/>
      <c r="IR177" s="78"/>
    </row>
    <row r="178" spans="1:252" s="75" customFormat="1" ht="12" customHeight="1">
      <c r="A178" s="130"/>
      <c r="C178" s="168"/>
      <c r="FY178" s="78"/>
      <c r="FZ178" s="78"/>
      <c r="GA178" s="78"/>
      <c r="GB178" s="78"/>
      <c r="GC178" s="78"/>
      <c r="GD178" s="78"/>
      <c r="GE178" s="78"/>
      <c r="GF178" s="78"/>
      <c r="GG178" s="78"/>
      <c r="GH178" s="78"/>
      <c r="GI178" s="78"/>
      <c r="GJ178" s="78"/>
      <c r="GK178" s="78"/>
      <c r="GL178" s="78"/>
      <c r="GM178" s="78"/>
      <c r="GN178" s="78"/>
      <c r="GO178" s="78"/>
      <c r="GP178" s="78"/>
      <c r="GQ178" s="78"/>
      <c r="GR178" s="78"/>
      <c r="GS178" s="78"/>
      <c r="GT178" s="78"/>
      <c r="GU178" s="78"/>
      <c r="GV178" s="78"/>
      <c r="GW178" s="78"/>
      <c r="GX178" s="78"/>
      <c r="GY178" s="78"/>
      <c r="GZ178" s="78"/>
      <c r="HA178" s="78"/>
      <c r="HB178" s="78"/>
      <c r="HC178" s="78"/>
      <c r="HD178" s="78"/>
      <c r="HE178" s="78"/>
      <c r="HF178" s="78"/>
      <c r="HG178" s="78"/>
      <c r="HH178" s="78"/>
      <c r="HI178" s="78"/>
      <c r="HJ178" s="78"/>
      <c r="HK178" s="78"/>
      <c r="HL178" s="78"/>
      <c r="HM178" s="78"/>
      <c r="HN178" s="78"/>
      <c r="HO178" s="78"/>
      <c r="HP178" s="78"/>
      <c r="HQ178" s="78"/>
      <c r="HR178" s="78"/>
      <c r="HS178" s="78"/>
      <c r="HT178" s="78"/>
      <c r="HU178" s="78"/>
      <c r="HV178" s="78"/>
      <c r="HW178" s="78"/>
      <c r="HX178" s="78"/>
      <c r="HY178" s="78"/>
      <c r="HZ178" s="78"/>
      <c r="IA178" s="78"/>
      <c r="IB178" s="78"/>
      <c r="IC178" s="78"/>
      <c r="ID178" s="78"/>
      <c r="IE178" s="78"/>
      <c r="IF178" s="78"/>
      <c r="IG178" s="78"/>
      <c r="IH178" s="78"/>
      <c r="II178" s="78"/>
      <c r="IJ178" s="78"/>
      <c r="IK178" s="78"/>
      <c r="IL178" s="78"/>
      <c r="IM178" s="78"/>
      <c r="IN178" s="78"/>
      <c r="IO178" s="78"/>
      <c r="IP178" s="78"/>
      <c r="IQ178" s="78"/>
      <c r="IR178" s="78"/>
    </row>
    <row r="179" spans="1:252" s="75" customFormat="1" ht="12" customHeight="1">
      <c r="A179" s="130"/>
      <c r="C179" s="168"/>
      <c r="FY179" s="78"/>
      <c r="FZ179" s="78"/>
      <c r="GA179" s="78"/>
      <c r="GB179" s="78"/>
      <c r="GC179" s="78"/>
      <c r="GD179" s="78"/>
      <c r="GE179" s="78"/>
      <c r="GF179" s="78"/>
      <c r="GG179" s="78"/>
      <c r="GH179" s="78"/>
      <c r="GI179" s="78"/>
      <c r="GJ179" s="78"/>
      <c r="GK179" s="78"/>
      <c r="GL179" s="78"/>
      <c r="GM179" s="78"/>
      <c r="GN179" s="78"/>
      <c r="GO179" s="78"/>
      <c r="GP179" s="78"/>
      <c r="GQ179" s="78"/>
      <c r="GR179" s="78"/>
      <c r="GS179" s="78"/>
      <c r="GT179" s="78"/>
      <c r="GU179" s="78"/>
      <c r="GV179" s="78"/>
      <c r="GW179" s="78"/>
      <c r="GX179" s="78"/>
      <c r="GY179" s="78"/>
      <c r="GZ179" s="78"/>
      <c r="HA179" s="78"/>
      <c r="HB179" s="78"/>
      <c r="HC179" s="78"/>
      <c r="HD179" s="78"/>
      <c r="HE179" s="78"/>
      <c r="HF179" s="78"/>
      <c r="HG179" s="78"/>
      <c r="HH179" s="78"/>
      <c r="HI179" s="78"/>
      <c r="HJ179" s="78"/>
      <c r="HK179" s="78"/>
      <c r="HL179" s="78"/>
      <c r="HM179" s="78"/>
      <c r="HN179" s="78"/>
      <c r="HO179" s="78"/>
      <c r="HP179" s="78"/>
      <c r="HQ179" s="78"/>
      <c r="HR179" s="78"/>
      <c r="HS179" s="78"/>
      <c r="HT179" s="78"/>
      <c r="HU179" s="78"/>
      <c r="HV179" s="78"/>
      <c r="HW179" s="78"/>
      <c r="HX179" s="78"/>
      <c r="HY179" s="78"/>
      <c r="HZ179" s="78"/>
      <c r="IA179" s="78"/>
      <c r="IB179" s="78"/>
      <c r="IC179" s="78"/>
      <c r="ID179" s="78"/>
      <c r="IE179" s="78"/>
      <c r="IF179" s="78"/>
      <c r="IG179" s="78"/>
      <c r="IH179" s="78"/>
      <c r="II179" s="78"/>
      <c r="IJ179" s="78"/>
      <c r="IK179" s="78"/>
      <c r="IL179" s="78"/>
      <c r="IM179" s="78"/>
      <c r="IN179" s="78"/>
      <c r="IO179" s="78"/>
      <c r="IP179" s="78"/>
      <c r="IQ179" s="78"/>
      <c r="IR179" s="78"/>
    </row>
    <row r="180" spans="1:252" s="75" customFormat="1" ht="12" customHeight="1">
      <c r="A180" s="130"/>
      <c r="C180" s="168"/>
      <c r="FY180" s="78"/>
      <c r="FZ180" s="78"/>
      <c r="GA180" s="78"/>
      <c r="GB180" s="78"/>
      <c r="GC180" s="78"/>
      <c r="GD180" s="78"/>
      <c r="GE180" s="78"/>
      <c r="GF180" s="78"/>
      <c r="GG180" s="78"/>
      <c r="GH180" s="78"/>
      <c r="GI180" s="78"/>
      <c r="GJ180" s="78"/>
      <c r="GK180" s="78"/>
      <c r="GL180" s="78"/>
      <c r="GM180" s="78"/>
      <c r="GN180" s="78"/>
      <c r="GO180" s="78"/>
      <c r="GP180" s="78"/>
      <c r="GQ180" s="78"/>
      <c r="GR180" s="78"/>
      <c r="GS180" s="78"/>
      <c r="GT180" s="78"/>
      <c r="GU180" s="78"/>
      <c r="GV180" s="78"/>
      <c r="GW180" s="78"/>
      <c r="GX180" s="78"/>
      <c r="GY180" s="78"/>
      <c r="GZ180" s="78"/>
      <c r="HA180" s="78"/>
      <c r="HB180" s="78"/>
      <c r="HC180" s="78"/>
      <c r="HD180" s="78"/>
      <c r="HE180" s="78"/>
      <c r="HF180" s="78"/>
      <c r="HG180" s="78"/>
      <c r="HH180" s="78"/>
      <c r="HI180" s="78"/>
      <c r="HJ180" s="78"/>
      <c r="HK180" s="78"/>
      <c r="HL180" s="78"/>
      <c r="HM180" s="78"/>
      <c r="HN180" s="78"/>
      <c r="HO180" s="78"/>
      <c r="HP180" s="78"/>
      <c r="HQ180" s="78"/>
      <c r="HR180" s="78"/>
      <c r="HS180" s="78"/>
      <c r="HT180" s="78"/>
      <c r="HU180" s="78"/>
      <c r="HV180" s="78"/>
      <c r="HW180" s="78"/>
      <c r="HX180" s="78"/>
      <c r="HY180" s="78"/>
      <c r="HZ180" s="78"/>
      <c r="IA180" s="78"/>
      <c r="IB180" s="78"/>
      <c r="IC180" s="78"/>
      <c r="ID180" s="78"/>
      <c r="IE180" s="78"/>
      <c r="IF180" s="78"/>
      <c r="IG180" s="78"/>
      <c r="IH180" s="78"/>
      <c r="II180" s="78"/>
      <c r="IJ180" s="78"/>
      <c r="IK180" s="78"/>
      <c r="IL180" s="78"/>
      <c r="IM180" s="78"/>
      <c r="IN180" s="78"/>
      <c r="IO180" s="78"/>
      <c r="IP180" s="78"/>
      <c r="IQ180" s="78"/>
      <c r="IR180" s="78"/>
    </row>
    <row r="181" spans="1:252" s="75" customFormat="1" ht="12" customHeight="1">
      <c r="A181" s="130"/>
      <c r="C181" s="168"/>
      <c r="FY181" s="78"/>
      <c r="FZ181" s="78"/>
      <c r="GA181" s="78"/>
      <c r="GB181" s="78"/>
      <c r="GC181" s="78"/>
      <c r="GD181" s="78"/>
      <c r="GE181" s="78"/>
      <c r="GF181" s="78"/>
      <c r="GG181" s="78"/>
      <c r="GH181" s="78"/>
      <c r="GI181" s="78"/>
      <c r="GJ181" s="78"/>
      <c r="GK181" s="78"/>
      <c r="GL181" s="78"/>
      <c r="GM181" s="78"/>
      <c r="GN181" s="78"/>
      <c r="GO181" s="78"/>
      <c r="GP181" s="78"/>
      <c r="GQ181" s="78"/>
      <c r="GR181" s="78"/>
      <c r="GS181" s="78"/>
      <c r="GT181" s="78"/>
      <c r="GU181" s="78"/>
      <c r="GV181" s="78"/>
      <c r="GW181" s="78"/>
      <c r="GX181" s="78"/>
      <c r="GY181" s="78"/>
      <c r="GZ181" s="78"/>
      <c r="HA181" s="78"/>
      <c r="HB181" s="78"/>
      <c r="HC181" s="78"/>
      <c r="HD181" s="78"/>
      <c r="HE181" s="78"/>
      <c r="HF181" s="78"/>
      <c r="HG181" s="78"/>
      <c r="HH181" s="78"/>
      <c r="HI181" s="78"/>
      <c r="HJ181" s="78"/>
      <c r="HK181" s="78"/>
      <c r="HL181" s="78"/>
      <c r="HM181" s="78"/>
      <c r="HN181" s="78"/>
      <c r="HO181" s="78"/>
      <c r="HP181" s="78"/>
      <c r="HQ181" s="78"/>
      <c r="HR181" s="78"/>
      <c r="HS181" s="78"/>
      <c r="HT181" s="78"/>
      <c r="HU181" s="78"/>
      <c r="HV181" s="78"/>
      <c r="HW181" s="78"/>
      <c r="HX181" s="78"/>
      <c r="HY181" s="78"/>
      <c r="HZ181" s="78"/>
      <c r="IA181" s="78"/>
      <c r="IB181" s="78"/>
      <c r="IC181" s="78"/>
      <c r="ID181" s="78"/>
      <c r="IE181" s="78"/>
      <c r="IF181" s="78"/>
      <c r="IG181" s="78"/>
      <c r="IH181" s="78"/>
      <c r="II181" s="78"/>
      <c r="IJ181" s="78"/>
      <c r="IK181" s="78"/>
      <c r="IL181" s="78"/>
      <c r="IM181" s="78"/>
      <c r="IN181" s="78"/>
      <c r="IO181" s="78"/>
      <c r="IP181" s="78"/>
      <c r="IQ181" s="78"/>
      <c r="IR181" s="78"/>
    </row>
    <row r="182" spans="1:252" s="75" customFormat="1" ht="12" customHeight="1">
      <c r="A182" s="130"/>
      <c r="C182" s="168"/>
      <c r="FY182" s="78"/>
      <c r="FZ182" s="78"/>
      <c r="GA182" s="78"/>
      <c r="GB182" s="78"/>
      <c r="GC182" s="78"/>
      <c r="GD182" s="78"/>
      <c r="GE182" s="78"/>
      <c r="GF182" s="78"/>
      <c r="GG182" s="78"/>
      <c r="GH182" s="78"/>
      <c r="GI182" s="78"/>
      <c r="GJ182" s="78"/>
      <c r="GK182" s="78"/>
      <c r="GL182" s="78"/>
      <c r="GM182" s="78"/>
      <c r="GN182" s="78"/>
      <c r="GO182" s="78"/>
      <c r="GP182" s="78"/>
      <c r="GQ182" s="78"/>
      <c r="GR182" s="78"/>
      <c r="GS182" s="78"/>
      <c r="GT182" s="78"/>
      <c r="GU182" s="78"/>
      <c r="GV182" s="78"/>
      <c r="GW182" s="78"/>
      <c r="GX182" s="78"/>
      <c r="GY182" s="78"/>
      <c r="GZ182" s="78"/>
      <c r="HA182" s="78"/>
      <c r="HB182" s="78"/>
      <c r="HC182" s="78"/>
      <c r="HD182" s="78"/>
      <c r="HE182" s="78"/>
      <c r="HF182" s="78"/>
      <c r="HG182" s="78"/>
      <c r="HH182" s="78"/>
      <c r="HI182" s="78"/>
      <c r="HJ182" s="78"/>
      <c r="HK182" s="78"/>
      <c r="HL182" s="78"/>
      <c r="HM182" s="78"/>
      <c r="HN182" s="78"/>
      <c r="HO182" s="78"/>
      <c r="HP182" s="78"/>
      <c r="HQ182" s="78"/>
      <c r="HR182" s="78"/>
      <c r="HS182" s="78"/>
      <c r="HT182" s="78"/>
      <c r="HU182" s="78"/>
      <c r="HV182" s="78"/>
      <c r="HW182" s="78"/>
      <c r="HX182" s="78"/>
      <c r="HY182" s="78"/>
      <c r="HZ182" s="78"/>
      <c r="IA182" s="78"/>
      <c r="IB182" s="78"/>
      <c r="IC182" s="78"/>
      <c r="ID182" s="78"/>
      <c r="IE182" s="78"/>
      <c r="IF182" s="78"/>
      <c r="IG182" s="78"/>
      <c r="IH182" s="78"/>
      <c r="II182" s="78"/>
      <c r="IJ182" s="78"/>
      <c r="IK182" s="78"/>
      <c r="IL182" s="78"/>
      <c r="IM182" s="78"/>
      <c r="IN182" s="78"/>
      <c r="IO182" s="78"/>
      <c r="IP182" s="78"/>
      <c r="IQ182" s="78"/>
      <c r="IR182" s="78"/>
    </row>
    <row r="183" spans="1:252" s="75" customFormat="1" ht="12" customHeight="1">
      <c r="A183" s="130"/>
      <c r="C183" s="168"/>
      <c r="FY183" s="78"/>
      <c r="FZ183" s="78"/>
      <c r="GA183" s="78"/>
      <c r="GB183" s="78"/>
      <c r="GC183" s="78"/>
      <c r="GD183" s="78"/>
      <c r="GE183" s="78"/>
      <c r="GF183" s="78"/>
      <c r="GG183" s="78"/>
      <c r="GH183" s="78"/>
      <c r="GI183" s="78"/>
      <c r="GJ183" s="78"/>
      <c r="GK183" s="78"/>
      <c r="GL183" s="78"/>
      <c r="GM183" s="78"/>
      <c r="GN183" s="78"/>
      <c r="GO183" s="78"/>
      <c r="GP183" s="78"/>
      <c r="GQ183" s="78"/>
      <c r="GR183" s="78"/>
      <c r="GS183" s="78"/>
      <c r="GT183" s="78"/>
      <c r="GU183" s="78"/>
      <c r="GV183" s="78"/>
      <c r="GW183" s="78"/>
      <c r="GX183" s="78"/>
      <c r="GY183" s="78"/>
      <c r="GZ183" s="78"/>
      <c r="HA183" s="78"/>
      <c r="HB183" s="78"/>
      <c r="HC183" s="78"/>
      <c r="HD183" s="78"/>
      <c r="HE183" s="78"/>
      <c r="HF183" s="78"/>
      <c r="HG183" s="78"/>
      <c r="HH183" s="78"/>
      <c r="HI183" s="78"/>
      <c r="HJ183" s="78"/>
      <c r="HK183" s="78"/>
      <c r="HL183" s="78"/>
      <c r="HM183" s="78"/>
      <c r="HN183" s="78"/>
      <c r="HO183" s="78"/>
      <c r="HP183" s="78"/>
      <c r="HQ183" s="78"/>
      <c r="HR183" s="78"/>
      <c r="HS183" s="78"/>
      <c r="HT183" s="78"/>
      <c r="HU183" s="78"/>
      <c r="HV183" s="78"/>
      <c r="HW183" s="78"/>
      <c r="HX183" s="78"/>
      <c r="HY183" s="78"/>
      <c r="HZ183" s="78"/>
      <c r="IA183" s="78"/>
      <c r="IB183" s="78"/>
      <c r="IC183" s="78"/>
      <c r="ID183" s="78"/>
      <c r="IE183" s="78"/>
      <c r="IF183" s="78"/>
      <c r="IG183" s="78"/>
      <c r="IH183" s="78"/>
      <c r="II183" s="78"/>
      <c r="IJ183" s="78"/>
      <c r="IK183" s="78"/>
      <c r="IL183" s="78"/>
      <c r="IM183" s="78"/>
      <c r="IN183" s="78"/>
      <c r="IO183" s="78"/>
      <c r="IP183" s="78"/>
      <c r="IQ183" s="78"/>
      <c r="IR183" s="78"/>
    </row>
    <row r="184" spans="1:252" s="75" customFormat="1" ht="12" customHeight="1">
      <c r="A184" s="130"/>
      <c r="C184" s="168"/>
      <c r="FY184" s="78"/>
      <c r="FZ184" s="78"/>
      <c r="GA184" s="78"/>
      <c r="GB184" s="78"/>
      <c r="GC184" s="78"/>
      <c r="GD184" s="78"/>
      <c r="GE184" s="78"/>
      <c r="GF184" s="78"/>
      <c r="GG184" s="78"/>
      <c r="GH184" s="78"/>
      <c r="GI184" s="78"/>
      <c r="GJ184" s="78"/>
      <c r="GK184" s="78"/>
      <c r="GL184" s="78"/>
      <c r="GM184" s="78"/>
      <c r="GN184" s="78"/>
      <c r="GO184" s="78"/>
      <c r="GP184" s="78"/>
      <c r="GQ184" s="78"/>
      <c r="GR184" s="78"/>
      <c r="GS184" s="78"/>
      <c r="GT184" s="78"/>
      <c r="GU184" s="78"/>
      <c r="GV184" s="78"/>
      <c r="GW184" s="78"/>
      <c r="GX184" s="78"/>
      <c r="GY184" s="78"/>
      <c r="GZ184" s="78"/>
      <c r="HA184" s="78"/>
      <c r="HB184" s="78"/>
      <c r="HC184" s="78"/>
      <c r="HD184" s="78"/>
      <c r="HE184" s="78"/>
      <c r="HF184" s="78"/>
      <c r="HG184" s="78"/>
      <c r="HH184" s="78"/>
      <c r="HI184" s="78"/>
      <c r="HJ184" s="78"/>
      <c r="HK184" s="78"/>
      <c r="HL184" s="78"/>
      <c r="HM184" s="78"/>
      <c r="HN184" s="78"/>
      <c r="HO184" s="78"/>
      <c r="HP184" s="78"/>
      <c r="HQ184" s="78"/>
      <c r="HR184" s="78"/>
      <c r="HS184" s="78"/>
      <c r="HT184" s="78"/>
      <c r="HU184" s="78"/>
      <c r="HV184" s="78"/>
      <c r="HW184" s="78"/>
      <c r="HX184" s="78"/>
      <c r="HY184" s="78"/>
      <c r="HZ184" s="78"/>
      <c r="IA184" s="78"/>
      <c r="IB184" s="78"/>
      <c r="IC184" s="78"/>
      <c r="ID184" s="78"/>
      <c r="IE184" s="78"/>
      <c r="IF184" s="78"/>
      <c r="IG184" s="78"/>
      <c r="IH184" s="78"/>
      <c r="II184" s="78"/>
      <c r="IJ184" s="78"/>
      <c r="IK184" s="78"/>
      <c r="IL184" s="78"/>
      <c r="IM184" s="78"/>
      <c r="IN184" s="78"/>
      <c r="IO184" s="78"/>
      <c r="IP184" s="78"/>
      <c r="IQ184" s="78"/>
      <c r="IR184" s="78"/>
    </row>
    <row r="185" spans="1:252" s="75" customFormat="1" ht="12" customHeight="1">
      <c r="A185" s="130"/>
      <c r="C185" s="168"/>
      <c r="FY185" s="78"/>
      <c r="FZ185" s="78"/>
      <c r="GA185" s="78"/>
      <c r="GB185" s="78"/>
      <c r="GC185" s="78"/>
      <c r="GD185" s="78"/>
      <c r="GE185" s="78"/>
      <c r="GF185" s="78"/>
      <c r="GG185" s="78"/>
      <c r="GH185" s="78"/>
      <c r="GI185" s="78"/>
      <c r="GJ185" s="78"/>
      <c r="GK185" s="78"/>
      <c r="GL185" s="78"/>
      <c r="GM185" s="78"/>
      <c r="GN185" s="78"/>
      <c r="GO185" s="78"/>
      <c r="GP185" s="78"/>
      <c r="GQ185" s="78"/>
      <c r="GR185" s="78"/>
      <c r="GS185" s="78"/>
      <c r="GT185" s="78"/>
      <c r="GU185" s="78"/>
      <c r="GV185" s="78"/>
      <c r="GW185" s="78"/>
      <c r="GX185" s="78"/>
      <c r="GY185" s="78"/>
      <c r="GZ185" s="78"/>
      <c r="HA185" s="78"/>
      <c r="HB185" s="78"/>
      <c r="HC185" s="78"/>
      <c r="HD185" s="78"/>
      <c r="HE185" s="78"/>
      <c r="HF185" s="78"/>
      <c r="HG185" s="78"/>
      <c r="HH185" s="78"/>
      <c r="HI185" s="78"/>
      <c r="HJ185" s="78"/>
      <c r="HK185" s="78"/>
      <c r="HL185" s="78"/>
      <c r="HM185" s="78"/>
      <c r="HN185" s="78"/>
      <c r="HO185" s="78"/>
      <c r="HP185" s="78"/>
      <c r="HQ185" s="78"/>
      <c r="HR185" s="78"/>
      <c r="HS185" s="78"/>
      <c r="HT185" s="78"/>
      <c r="HU185" s="78"/>
      <c r="HV185" s="78"/>
      <c r="HW185" s="78"/>
      <c r="HX185" s="78"/>
      <c r="HY185" s="78"/>
      <c r="HZ185" s="78"/>
      <c r="IA185" s="78"/>
      <c r="IB185" s="78"/>
      <c r="IC185" s="78"/>
      <c r="ID185" s="78"/>
      <c r="IE185" s="78"/>
      <c r="IF185" s="78"/>
      <c r="IG185" s="78"/>
      <c r="IH185" s="78"/>
      <c r="II185" s="78"/>
      <c r="IJ185" s="78"/>
      <c r="IK185" s="78"/>
      <c r="IL185" s="78"/>
      <c r="IM185" s="78"/>
      <c r="IN185" s="78"/>
      <c r="IO185" s="78"/>
      <c r="IP185" s="78"/>
      <c r="IQ185" s="78"/>
      <c r="IR185" s="78"/>
    </row>
    <row r="186" spans="1:252" s="75" customFormat="1">
      <c r="A186" s="130"/>
      <c r="C186" s="168"/>
      <c r="FY186" s="78"/>
      <c r="FZ186" s="78"/>
      <c r="GA186" s="78"/>
      <c r="GB186" s="78"/>
      <c r="GC186" s="78"/>
      <c r="GD186" s="78"/>
      <c r="GE186" s="78"/>
      <c r="GF186" s="78"/>
      <c r="GG186" s="78"/>
      <c r="GH186" s="78"/>
      <c r="GI186" s="78"/>
      <c r="GJ186" s="78"/>
      <c r="GK186" s="78"/>
      <c r="GL186" s="78"/>
      <c r="GM186" s="78"/>
      <c r="GN186" s="78"/>
      <c r="GO186" s="78"/>
      <c r="GP186" s="78"/>
      <c r="GQ186" s="78"/>
      <c r="GR186" s="78"/>
      <c r="GS186" s="78"/>
      <c r="GT186" s="78"/>
      <c r="GU186" s="78"/>
      <c r="GV186" s="78"/>
      <c r="GW186" s="78"/>
      <c r="GX186" s="78"/>
      <c r="GY186" s="78"/>
      <c r="GZ186" s="78"/>
      <c r="HA186" s="78"/>
      <c r="HB186" s="78"/>
      <c r="HC186" s="78"/>
      <c r="HD186" s="78"/>
      <c r="HE186" s="78"/>
      <c r="HF186" s="78"/>
      <c r="HG186" s="78"/>
      <c r="HH186" s="78"/>
      <c r="HI186" s="78"/>
      <c r="HJ186" s="78"/>
      <c r="HK186" s="78"/>
      <c r="HL186" s="78"/>
      <c r="HM186" s="78"/>
      <c r="HN186" s="78"/>
      <c r="HO186" s="78"/>
      <c r="HP186" s="78"/>
      <c r="HQ186" s="78"/>
      <c r="HR186" s="78"/>
      <c r="HS186" s="78"/>
      <c r="HT186" s="78"/>
      <c r="HU186" s="78"/>
      <c r="HV186" s="78"/>
      <c r="HW186" s="78"/>
      <c r="HX186" s="78"/>
      <c r="HY186" s="78"/>
      <c r="HZ186" s="78"/>
      <c r="IA186" s="78"/>
      <c r="IB186" s="78"/>
      <c r="IC186" s="78"/>
      <c r="ID186" s="78"/>
      <c r="IE186" s="78"/>
      <c r="IF186" s="78"/>
      <c r="IG186" s="78"/>
      <c r="IH186" s="78"/>
      <c r="II186" s="78"/>
      <c r="IJ186" s="78"/>
      <c r="IK186" s="78"/>
      <c r="IL186" s="78"/>
      <c r="IM186" s="78"/>
      <c r="IN186" s="78"/>
      <c r="IO186" s="78"/>
      <c r="IP186" s="78"/>
      <c r="IQ186" s="78"/>
      <c r="IR186" s="78"/>
    </row>
    <row r="187" spans="1:252" s="75" customFormat="1">
      <c r="A187" s="130"/>
      <c r="C187" s="168"/>
      <c r="FY187" s="78"/>
      <c r="FZ187" s="78"/>
      <c r="GA187" s="78"/>
      <c r="GB187" s="78"/>
      <c r="GC187" s="78"/>
      <c r="GD187" s="78"/>
      <c r="GE187" s="78"/>
      <c r="GF187" s="78"/>
      <c r="GG187" s="78"/>
      <c r="GH187" s="78"/>
      <c r="GI187" s="78"/>
      <c r="GJ187" s="78"/>
      <c r="GK187" s="78"/>
      <c r="GL187" s="78"/>
      <c r="GM187" s="78"/>
      <c r="GN187" s="78"/>
      <c r="GO187" s="78"/>
      <c r="GP187" s="78"/>
      <c r="GQ187" s="78"/>
      <c r="GR187" s="78"/>
      <c r="GS187" s="78"/>
      <c r="GT187" s="78"/>
      <c r="GU187" s="78"/>
      <c r="GV187" s="78"/>
      <c r="GW187" s="78"/>
      <c r="GX187" s="78"/>
      <c r="GY187" s="78"/>
      <c r="GZ187" s="78"/>
      <c r="HA187" s="78"/>
      <c r="HB187" s="78"/>
      <c r="HC187" s="78"/>
      <c r="HD187" s="78"/>
      <c r="HE187" s="78"/>
      <c r="HF187" s="78"/>
      <c r="HG187" s="78"/>
      <c r="HH187" s="78"/>
      <c r="HI187" s="78"/>
      <c r="HJ187" s="78"/>
      <c r="HK187" s="78"/>
      <c r="HL187" s="78"/>
      <c r="HM187" s="78"/>
      <c r="HN187" s="78"/>
      <c r="HO187" s="78"/>
      <c r="HP187" s="78"/>
      <c r="HQ187" s="78"/>
      <c r="HR187" s="78"/>
      <c r="HS187" s="78"/>
      <c r="HT187" s="78"/>
      <c r="HU187" s="78"/>
      <c r="HV187" s="78"/>
      <c r="HW187" s="78"/>
      <c r="HX187" s="78"/>
      <c r="HY187" s="78"/>
      <c r="HZ187" s="78"/>
      <c r="IA187" s="78"/>
      <c r="IB187" s="78"/>
      <c r="IC187" s="78"/>
      <c r="ID187" s="78"/>
      <c r="IE187" s="78"/>
      <c r="IF187" s="78"/>
      <c r="IG187" s="78"/>
      <c r="IH187" s="78"/>
      <c r="II187" s="78"/>
      <c r="IJ187" s="78"/>
      <c r="IK187" s="78"/>
      <c r="IL187" s="78"/>
      <c r="IM187" s="78"/>
      <c r="IN187" s="78"/>
      <c r="IO187" s="78"/>
      <c r="IP187" s="78"/>
      <c r="IQ187" s="78"/>
      <c r="IR187" s="78"/>
    </row>
    <row r="188" spans="1:252" s="75" customFormat="1">
      <c r="A188" s="130"/>
      <c r="C188" s="168"/>
      <c r="FY188" s="78"/>
      <c r="FZ188" s="78"/>
      <c r="GA188" s="78"/>
      <c r="GB188" s="78"/>
      <c r="GC188" s="78"/>
      <c r="GD188" s="78"/>
      <c r="GE188" s="78"/>
      <c r="GF188" s="78"/>
      <c r="GG188" s="78"/>
      <c r="GH188" s="78"/>
      <c r="GI188" s="78"/>
      <c r="GJ188" s="78"/>
      <c r="GK188" s="78"/>
      <c r="GL188" s="78"/>
      <c r="GM188" s="78"/>
      <c r="GN188" s="78"/>
      <c r="GO188" s="78"/>
      <c r="GP188" s="78"/>
      <c r="GQ188" s="78"/>
      <c r="GR188" s="78"/>
      <c r="GS188" s="78"/>
      <c r="GT188" s="78"/>
      <c r="GU188" s="78"/>
      <c r="GV188" s="78"/>
      <c r="GW188" s="78"/>
      <c r="GX188" s="78"/>
      <c r="GY188" s="78"/>
      <c r="GZ188" s="78"/>
      <c r="HA188" s="78"/>
      <c r="HB188" s="78"/>
      <c r="HC188" s="78"/>
      <c r="HD188" s="78"/>
      <c r="HE188" s="78"/>
      <c r="HF188" s="78"/>
      <c r="HG188" s="78"/>
      <c r="HH188" s="78"/>
      <c r="HI188" s="78"/>
      <c r="HJ188" s="78"/>
      <c r="HK188" s="78"/>
      <c r="HL188" s="78"/>
      <c r="HM188" s="78"/>
      <c r="HN188" s="78"/>
      <c r="HO188" s="78"/>
      <c r="HP188" s="78"/>
      <c r="HQ188" s="78"/>
      <c r="HR188" s="78"/>
      <c r="HS188" s="78"/>
      <c r="HT188" s="78"/>
      <c r="HU188" s="78"/>
      <c r="HV188" s="78"/>
      <c r="HW188" s="78"/>
      <c r="HX188" s="78"/>
      <c r="HY188" s="78"/>
      <c r="HZ188" s="78"/>
      <c r="IA188" s="78"/>
      <c r="IB188" s="78"/>
      <c r="IC188" s="78"/>
      <c r="ID188" s="78"/>
      <c r="IE188" s="78"/>
      <c r="IF188" s="78"/>
      <c r="IG188" s="78"/>
      <c r="IH188" s="78"/>
      <c r="II188" s="78"/>
      <c r="IJ188" s="78"/>
      <c r="IK188" s="78"/>
      <c r="IL188" s="78"/>
      <c r="IM188" s="78"/>
      <c r="IN188" s="78"/>
      <c r="IO188" s="78"/>
      <c r="IP188" s="78"/>
      <c r="IQ188" s="78"/>
      <c r="IR188" s="78"/>
    </row>
    <row r="189" spans="1:252" s="75" customFormat="1">
      <c r="A189" s="130"/>
      <c r="C189" s="168"/>
      <c r="FY189" s="78"/>
      <c r="FZ189" s="78"/>
      <c r="GA189" s="78"/>
      <c r="GB189" s="78"/>
      <c r="GC189" s="78"/>
      <c r="GD189" s="78"/>
      <c r="GE189" s="78"/>
      <c r="GF189" s="78"/>
      <c r="GG189" s="78"/>
      <c r="GH189" s="78"/>
      <c r="GI189" s="78"/>
      <c r="GJ189" s="78"/>
      <c r="GK189" s="78"/>
      <c r="GL189" s="78"/>
      <c r="GM189" s="78"/>
      <c r="GN189" s="78"/>
      <c r="GO189" s="78"/>
      <c r="GP189" s="78"/>
      <c r="GQ189" s="78"/>
      <c r="GR189" s="78"/>
      <c r="GS189" s="78"/>
      <c r="GT189" s="78"/>
      <c r="GU189" s="78"/>
      <c r="GV189" s="78"/>
      <c r="GW189" s="78"/>
      <c r="GX189" s="78"/>
      <c r="GY189" s="78"/>
      <c r="GZ189" s="78"/>
      <c r="HA189" s="78"/>
      <c r="HB189" s="78"/>
      <c r="HC189" s="78"/>
      <c r="HD189" s="78"/>
      <c r="HE189" s="78"/>
      <c r="HF189" s="78"/>
      <c r="HG189" s="78"/>
      <c r="HH189" s="78"/>
      <c r="HI189" s="78"/>
      <c r="HJ189" s="78"/>
      <c r="HK189" s="78"/>
      <c r="HL189" s="78"/>
      <c r="HM189" s="78"/>
      <c r="HN189" s="78"/>
      <c r="HO189" s="78"/>
      <c r="HP189" s="78"/>
      <c r="HQ189" s="78"/>
      <c r="HR189" s="78"/>
      <c r="HS189" s="78"/>
      <c r="HT189" s="78"/>
      <c r="HU189" s="78"/>
      <c r="HV189" s="78"/>
      <c r="HW189" s="78"/>
      <c r="HX189" s="78"/>
      <c r="HY189" s="78"/>
      <c r="HZ189" s="78"/>
      <c r="IA189" s="78"/>
      <c r="IB189" s="78"/>
      <c r="IC189" s="78"/>
      <c r="ID189" s="78"/>
      <c r="IE189" s="78"/>
      <c r="IF189" s="78"/>
      <c r="IG189" s="78"/>
      <c r="IH189" s="78"/>
      <c r="II189" s="78"/>
      <c r="IJ189" s="78"/>
      <c r="IK189" s="78"/>
      <c r="IL189" s="78"/>
      <c r="IM189" s="78"/>
      <c r="IN189" s="78"/>
      <c r="IO189" s="78"/>
      <c r="IP189" s="78"/>
      <c r="IQ189" s="78"/>
      <c r="IR189" s="78"/>
    </row>
    <row r="190" spans="1:252" s="75" customFormat="1">
      <c r="A190" s="130"/>
      <c r="C190" s="168"/>
      <c r="FY190" s="78"/>
      <c r="FZ190" s="78"/>
      <c r="GA190" s="78"/>
      <c r="GB190" s="78"/>
      <c r="GC190" s="78"/>
      <c r="GD190" s="78"/>
      <c r="GE190" s="78"/>
      <c r="GF190" s="78"/>
      <c r="GG190" s="78"/>
      <c r="GH190" s="78"/>
      <c r="GI190" s="78"/>
      <c r="GJ190" s="78"/>
      <c r="GK190" s="78"/>
      <c r="GL190" s="78"/>
      <c r="GM190" s="78"/>
      <c r="GN190" s="78"/>
      <c r="GO190" s="78"/>
      <c r="GP190" s="78"/>
      <c r="GQ190" s="78"/>
      <c r="GR190" s="78"/>
      <c r="GS190" s="78"/>
      <c r="GT190" s="78"/>
      <c r="GU190" s="78"/>
      <c r="GV190" s="78"/>
      <c r="GW190" s="78"/>
      <c r="GX190" s="78"/>
      <c r="GY190" s="78"/>
      <c r="GZ190" s="78"/>
      <c r="HA190" s="78"/>
      <c r="HB190" s="78"/>
      <c r="HC190" s="78"/>
      <c r="HD190" s="78"/>
      <c r="HE190" s="78"/>
      <c r="HF190" s="78"/>
      <c r="HG190" s="78"/>
      <c r="HH190" s="78"/>
      <c r="HI190" s="78"/>
      <c r="HJ190" s="78"/>
      <c r="HK190" s="78"/>
      <c r="HL190" s="78"/>
      <c r="HM190" s="78"/>
      <c r="HN190" s="78"/>
      <c r="HO190" s="78"/>
      <c r="HP190" s="78"/>
      <c r="HQ190" s="78"/>
      <c r="HR190" s="78"/>
      <c r="HS190" s="78"/>
      <c r="HT190" s="78"/>
      <c r="HU190" s="78"/>
      <c r="HV190" s="78"/>
      <c r="HW190" s="78"/>
      <c r="HX190" s="78"/>
      <c r="HY190" s="78"/>
      <c r="HZ190" s="78"/>
      <c r="IA190" s="78"/>
      <c r="IB190" s="78"/>
      <c r="IC190" s="78"/>
      <c r="ID190" s="78"/>
      <c r="IE190" s="78"/>
      <c r="IF190" s="78"/>
      <c r="IG190" s="78"/>
      <c r="IH190" s="78"/>
      <c r="II190" s="78"/>
      <c r="IJ190" s="78"/>
      <c r="IK190" s="78"/>
      <c r="IL190" s="78"/>
      <c r="IM190" s="78"/>
      <c r="IN190" s="78"/>
      <c r="IO190" s="78"/>
      <c r="IP190" s="78"/>
      <c r="IQ190" s="78"/>
      <c r="IR190" s="78"/>
    </row>
    <row r="191" spans="1:252" s="75" customFormat="1">
      <c r="A191" s="130"/>
      <c r="C191" s="168"/>
      <c r="FY191" s="78"/>
      <c r="FZ191" s="78"/>
      <c r="GA191" s="78"/>
      <c r="GB191" s="78"/>
      <c r="GC191" s="78"/>
      <c r="GD191" s="78"/>
      <c r="GE191" s="78"/>
      <c r="GF191" s="78"/>
      <c r="GG191" s="78"/>
      <c r="GH191" s="78"/>
      <c r="GI191" s="78"/>
      <c r="GJ191" s="78"/>
      <c r="GK191" s="78"/>
      <c r="GL191" s="78"/>
      <c r="GM191" s="78"/>
      <c r="GN191" s="78"/>
      <c r="GO191" s="78"/>
      <c r="GP191" s="78"/>
      <c r="GQ191" s="78"/>
      <c r="GR191" s="78"/>
      <c r="GS191" s="78"/>
      <c r="GT191" s="78"/>
      <c r="GU191" s="78"/>
      <c r="GV191" s="78"/>
      <c r="GW191" s="78"/>
      <c r="GX191" s="78"/>
      <c r="GY191" s="78"/>
      <c r="GZ191" s="78"/>
      <c r="HA191" s="78"/>
      <c r="HB191" s="78"/>
      <c r="HC191" s="78"/>
      <c r="HD191" s="78"/>
      <c r="HE191" s="78"/>
      <c r="HF191" s="78"/>
      <c r="HG191" s="78"/>
      <c r="HH191" s="78"/>
      <c r="HI191" s="78"/>
      <c r="HJ191" s="78"/>
      <c r="HK191" s="78"/>
      <c r="HL191" s="78"/>
      <c r="HM191" s="78"/>
      <c r="HN191" s="78"/>
      <c r="HO191" s="78"/>
      <c r="HP191" s="78"/>
      <c r="HQ191" s="78"/>
      <c r="HR191" s="78"/>
      <c r="HS191" s="78"/>
      <c r="HT191" s="78"/>
      <c r="HU191" s="78"/>
      <c r="HV191" s="78"/>
      <c r="HW191" s="78"/>
      <c r="HX191" s="78"/>
      <c r="HY191" s="78"/>
      <c r="HZ191" s="78"/>
      <c r="IA191" s="78"/>
      <c r="IB191" s="78"/>
      <c r="IC191" s="78"/>
      <c r="ID191" s="78"/>
      <c r="IE191" s="78"/>
      <c r="IF191" s="78"/>
      <c r="IG191" s="78"/>
      <c r="IH191" s="78"/>
      <c r="II191" s="78"/>
      <c r="IJ191" s="78"/>
      <c r="IK191" s="78"/>
      <c r="IL191" s="78"/>
      <c r="IM191" s="78"/>
      <c r="IN191" s="78"/>
      <c r="IO191" s="78"/>
      <c r="IP191" s="78"/>
      <c r="IQ191" s="78"/>
      <c r="IR191" s="78"/>
    </row>
    <row r="192" spans="1:252" s="75" customFormat="1">
      <c r="A192" s="130"/>
      <c r="C192" s="168"/>
      <c r="FY192" s="78"/>
      <c r="FZ192" s="78"/>
      <c r="GA192" s="78"/>
      <c r="GB192" s="78"/>
      <c r="GC192" s="78"/>
      <c r="GD192" s="78"/>
      <c r="GE192" s="78"/>
      <c r="GF192" s="78"/>
      <c r="GG192" s="78"/>
      <c r="GH192" s="78"/>
      <c r="GI192" s="78"/>
      <c r="GJ192" s="78"/>
      <c r="GK192" s="78"/>
      <c r="GL192" s="78"/>
      <c r="GM192" s="78"/>
      <c r="GN192" s="78"/>
      <c r="GO192" s="78"/>
      <c r="GP192" s="78"/>
      <c r="GQ192" s="78"/>
      <c r="GR192" s="78"/>
      <c r="GS192" s="78"/>
      <c r="GT192" s="78"/>
      <c r="GU192" s="78"/>
      <c r="GV192" s="78"/>
      <c r="GW192" s="78"/>
      <c r="GX192" s="78"/>
      <c r="GY192" s="78"/>
      <c r="GZ192" s="78"/>
      <c r="HA192" s="78"/>
      <c r="HB192" s="78"/>
      <c r="HC192" s="78"/>
      <c r="HD192" s="78"/>
      <c r="HE192" s="78"/>
      <c r="HF192" s="78"/>
      <c r="HG192" s="78"/>
      <c r="HH192" s="78"/>
      <c r="HI192" s="78"/>
      <c r="HJ192" s="78"/>
      <c r="HK192" s="78"/>
      <c r="HL192" s="78"/>
      <c r="HM192" s="78"/>
      <c r="HN192" s="78"/>
      <c r="HO192" s="78"/>
      <c r="HP192" s="78"/>
      <c r="HQ192" s="78"/>
      <c r="HR192" s="78"/>
      <c r="HS192" s="78"/>
      <c r="HT192" s="78"/>
      <c r="HU192" s="78"/>
      <c r="HV192" s="78"/>
      <c r="HW192" s="78"/>
      <c r="HX192" s="78"/>
      <c r="HY192" s="78"/>
      <c r="HZ192" s="78"/>
      <c r="IA192" s="78"/>
      <c r="IB192" s="78"/>
      <c r="IC192" s="78"/>
      <c r="ID192" s="78"/>
      <c r="IE192" s="78"/>
      <c r="IF192" s="78"/>
      <c r="IG192" s="78"/>
      <c r="IH192" s="78"/>
      <c r="II192" s="78"/>
      <c r="IJ192" s="78"/>
      <c r="IK192" s="78"/>
      <c r="IL192" s="78"/>
      <c r="IM192" s="78"/>
      <c r="IN192" s="78"/>
      <c r="IO192" s="78"/>
      <c r="IP192" s="78"/>
      <c r="IQ192" s="78"/>
      <c r="IR192" s="78"/>
    </row>
    <row r="193" spans="1:252" s="75" customFormat="1">
      <c r="A193" s="130"/>
      <c r="C193" s="168"/>
      <c r="FY193" s="78"/>
      <c r="FZ193" s="78"/>
      <c r="GA193" s="78"/>
      <c r="GB193" s="78"/>
      <c r="GC193" s="78"/>
      <c r="GD193" s="78"/>
      <c r="GE193" s="78"/>
      <c r="GF193" s="78"/>
      <c r="GG193" s="78"/>
      <c r="GH193" s="78"/>
      <c r="GI193" s="78"/>
      <c r="GJ193" s="78"/>
      <c r="GK193" s="78"/>
      <c r="GL193" s="78"/>
      <c r="GM193" s="78"/>
      <c r="GN193" s="78"/>
      <c r="GO193" s="78"/>
      <c r="GP193" s="78"/>
      <c r="GQ193" s="78"/>
      <c r="GR193" s="78"/>
      <c r="GS193" s="78"/>
      <c r="GT193" s="78"/>
      <c r="GU193" s="78"/>
      <c r="GV193" s="78"/>
      <c r="GW193" s="78"/>
      <c r="GX193" s="78"/>
      <c r="GY193" s="78"/>
      <c r="GZ193" s="78"/>
      <c r="HA193" s="78"/>
      <c r="HB193" s="78"/>
      <c r="HC193" s="78"/>
      <c r="HD193" s="78"/>
      <c r="HE193" s="78"/>
      <c r="HF193" s="78"/>
      <c r="HG193" s="78"/>
      <c r="HH193" s="78"/>
      <c r="HI193" s="78"/>
      <c r="HJ193" s="78"/>
      <c r="HK193" s="78"/>
      <c r="HL193" s="78"/>
      <c r="HM193" s="78"/>
      <c r="HN193" s="78"/>
      <c r="HO193" s="78"/>
      <c r="HP193" s="78"/>
      <c r="HQ193" s="78"/>
      <c r="HR193" s="78"/>
      <c r="HS193" s="78"/>
      <c r="HT193" s="78"/>
      <c r="HU193" s="78"/>
      <c r="HV193" s="78"/>
      <c r="HW193" s="78"/>
      <c r="HX193" s="78"/>
      <c r="HY193" s="78"/>
      <c r="HZ193" s="78"/>
      <c r="IA193" s="78"/>
      <c r="IB193" s="78"/>
      <c r="IC193" s="78"/>
      <c r="ID193" s="78"/>
      <c r="IE193" s="78"/>
      <c r="IF193" s="78"/>
      <c r="IG193" s="78"/>
      <c r="IH193" s="78"/>
      <c r="II193" s="78"/>
      <c r="IJ193" s="78"/>
      <c r="IK193" s="78"/>
      <c r="IL193" s="78"/>
      <c r="IM193" s="78"/>
      <c r="IN193" s="78"/>
      <c r="IO193" s="78"/>
      <c r="IP193" s="78"/>
      <c r="IQ193" s="78"/>
      <c r="IR193" s="78"/>
    </row>
    <row r="194" spans="1:252" s="75" customFormat="1">
      <c r="A194" s="130"/>
      <c r="C194" s="168"/>
      <c r="FY194" s="78"/>
      <c r="FZ194" s="78"/>
      <c r="GA194" s="78"/>
      <c r="GB194" s="78"/>
      <c r="GC194" s="78"/>
      <c r="GD194" s="78"/>
      <c r="GE194" s="78"/>
      <c r="GF194" s="78"/>
      <c r="GG194" s="78"/>
      <c r="GH194" s="78"/>
      <c r="GI194" s="78"/>
      <c r="GJ194" s="78"/>
      <c r="GK194" s="78"/>
      <c r="GL194" s="78"/>
      <c r="GM194" s="78"/>
      <c r="GN194" s="78"/>
      <c r="GO194" s="78"/>
      <c r="GP194" s="78"/>
      <c r="GQ194" s="78"/>
      <c r="GR194" s="78"/>
      <c r="GS194" s="78"/>
      <c r="GT194" s="78"/>
      <c r="GU194" s="78"/>
      <c r="GV194" s="78"/>
      <c r="GW194" s="78"/>
      <c r="GX194" s="78"/>
      <c r="GY194" s="78"/>
      <c r="GZ194" s="78"/>
      <c r="HA194" s="78"/>
      <c r="HB194" s="78"/>
      <c r="HC194" s="78"/>
      <c r="HD194" s="78"/>
      <c r="HE194" s="78"/>
      <c r="HF194" s="78"/>
      <c r="HG194" s="78"/>
      <c r="HH194" s="78"/>
      <c r="HI194" s="78"/>
      <c r="HJ194" s="78"/>
      <c r="HK194" s="78"/>
      <c r="HL194" s="78"/>
      <c r="HM194" s="78"/>
      <c r="HN194" s="78"/>
      <c r="HO194" s="78"/>
      <c r="HP194" s="78"/>
      <c r="HQ194" s="78"/>
      <c r="HR194" s="78"/>
      <c r="HS194" s="78"/>
      <c r="HT194" s="78"/>
      <c r="HU194" s="78"/>
      <c r="HV194" s="78"/>
      <c r="HW194" s="78"/>
      <c r="HX194" s="78"/>
      <c r="HY194" s="78"/>
      <c r="HZ194" s="78"/>
      <c r="IA194" s="78"/>
      <c r="IB194" s="78"/>
      <c r="IC194" s="78"/>
      <c r="ID194" s="78"/>
      <c r="IE194" s="78"/>
      <c r="IF194" s="78"/>
      <c r="IG194" s="78"/>
      <c r="IH194" s="78"/>
      <c r="II194" s="78"/>
      <c r="IJ194" s="78"/>
      <c r="IK194" s="78"/>
      <c r="IL194" s="78"/>
      <c r="IM194" s="78"/>
      <c r="IN194" s="78"/>
      <c r="IO194" s="78"/>
      <c r="IP194" s="78"/>
      <c r="IQ194" s="78"/>
      <c r="IR194" s="78"/>
    </row>
    <row r="195" spans="1:252" s="75" customFormat="1">
      <c r="A195" s="130"/>
      <c r="C195" s="168"/>
      <c r="FY195" s="78"/>
      <c r="FZ195" s="78"/>
      <c r="GA195" s="78"/>
      <c r="GB195" s="78"/>
      <c r="GC195" s="78"/>
      <c r="GD195" s="78"/>
      <c r="GE195" s="78"/>
      <c r="GF195" s="78"/>
      <c r="GG195" s="78"/>
      <c r="GH195" s="78"/>
      <c r="GI195" s="78"/>
      <c r="GJ195" s="78"/>
      <c r="GK195" s="78"/>
      <c r="GL195" s="78"/>
      <c r="GM195" s="78"/>
      <c r="GN195" s="78"/>
      <c r="GO195" s="78"/>
      <c r="GP195" s="78"/>
      <c r="GQ195" s="78"/>
      <c r="GR195" s="78"/>
      <c r="GS195" s="78"/>
      <c r="GT195" s="78"/>
      <c r="GU195" s="78"/>
      <c r="GV195" s="78"/>
      <c r="GW195" s="78"/>
      <c r="GX195" s="78"/>
      <c r="GY195" s="78"/>
      <c r="GZ195" s="78"/>
      <c r="HA195" s="78"/>
      <c r="HB195" s="78"/>
      <c r="HC195" s="78"/>
      <c r="HD195" s="78"/>
      <c r="HE195" s="78"/>
      <c r="HF195" s="78"/>
      <c r="HG195" s="78"/>
      <c r="HH195" s="78"/>
      <c r="HI195" s="78"/>
      <c r="HJ195" s="78"/>
      <c r="HK195" s="78"/>
      <c r="HL195" s="78"/>
      <c r="HM195" s="78"/>
      <c r="HN195" s="78"/>
      <c r="HO195" s="78"/>
      <c r="HP195" s="78"/>
      <c r="HQ195" s="78"/>
      <c r="HR195" s="78"/>
      <c r="HS195" s="78"/>
      <c r="HT195" s="78"/>
      <c r="HU195" s="78"/>
      <c r="HV195" s="78"/>
      <c r="HW195" s="78"/>
      <c r="HX195" s="78"/>
      <c r="HY195" s="78"/>
      <c r="HZ195" s="78"/>
      <c r="IA195" s="78"/>
      <c r="IB195" s="78"/>
      <c r="IC195" s="78"/>
      <c r="ID195" s="78"/>
      <c r="IE195" s="78"/>
      <c r="IF195" s="78"/>
      <c r="IG195" s="78"/>
      <c r="IH195" s="78"/>
      <c r="II195" s="78"/>
      <c r="IJ195" s="78"/>
      <c r="IK195" s="78"/>
      <c r="IL195" s="78"/>
      <c r="IM195" s="78"/>
      <c r="IN195" s="78"/>
      <c r="IO195" s="78"/>
      <c r="IP195" s="78"/>
      <c r="IQ195" s="78"/>
      <c r="IR195" s="78"/>
    </row>
    <row r="196" spans="1:252" s="75" customFormat="1">
      <c r="A196" s="130"/>
      <c r="C196" s="168"/>
      <c r="FY196" s="78"/>
      <c r="FZ196" s="78"/>
      <c r="GA196" s="78"/>
      <c r="GB196" s="78"/>
      <c r="GC196" s="78"/>
      <c r="GD196" s="78"/>
      <c r="GE196" s="78"/>
      <c r="GF196" s="78"/>
      <c r="GG196" s="78"/>
      <c r="GH196" s="78"/>
      <c r="GI196" s="78"/>
      <c r="GJ196" s="78"/>
      <c r="GK196" s="78"/>
      <c r="GL196" s="78"/>
      <c r="GM196" s="78"/>
      <c r="GN196" s="78"/>
      <c r="GO196" s="78"/>
      <c r="GP196" s="78"/>
      <c r="GQ196" s="78"/>
      <c r="GR196" s="78"/>
      <c r="GS196" s="78"/>
      <c r="GT196" s="78"/>
      <c r="GU196" s="78"/>
      <c r="GV196" s="78"/>
      <c r="GW196" s="78"/>
      <c r="GX196" s="78"/>
      <c r="GY196" s="78"/>
      <c r="GZ196" s="78"/>
      <c r="HA196" s="78"/>
      <c r="HB196" s="78"/>
      <c r="HC196" s="78"/>
      <c r="HD196" s="78"/>
      <c r="HE196" s="78"/>
      <c r="HF196" s="78"/>
      <c r="HG196" s="78"/>
      <c r="HH196" s="78"/>
      <c r="HI196" s="78"/>
      <c r="HJ196" s="78"/>
      <c r="HK196" s="78"/>
      <c r="HL196" s="78"/>
      <c r="HM196" s="78"/>
      <c r="HN196" s="78"/>
      <c r="HO196" s="78"/>
      <c r="HP196" s="78"/>
      <c r="HQ196" s="78"/>
      <c r="HR196" s="78"/>
      <c r="HS196" s="78"/>
      <c r="HT196" s="78"/>
      <c r="HU196" s="78"/>
      <c r="HV196" s="78"/>
      <c r="HW196" s="78"/>
      <c r="HX196" s="78"/>
      <c r="HY196" s="78"/>
      <c r="HZ196" s="78"/>
      <c r="IA196" s="78"/>
      <c r="IB196" s="78"/>
      <c r="IC196" s="78"/>
      <c r="ID196" s="78"/>
      <c r="IE196" s="78"/>
      <c r="IF196" s="78"/>
      <c r="IG196" s="78"/>
      <c r="IH196" s="78"/>
      <c r="II196" s="78"/>
      <c r="IJ196" s="78"/>
      <c r="IK196" s="78"/>
      <c r="IL196" s="78"/>
      <c r="IM196" s="78"/>
      <c r="IN196" s="78"/>
      <c r="IO196" s="78"/>
      <c r="IP196" s="78"/>
      <c r="IQ196" s="78"/>
      <c r="IR196" s="78"/>
    </row>
    <row r="197" spans="1:252" s="75" customFormat="1">
      <c r="A197" s="130"/>
      <c r="C197" s="168"/>
      <c r="FY197" s="78"/>
      <c r="FZ197" s="78"/>
      <c r="GA197" s="78"/>
      <c r="GB197" s="78"/>
      <c r="GC197" s="78"/>
      <c r="GD197" s="78"/>
      <c r="GE197" s="78"/>
      <c r="GF197" s="78"/>
      <c r="GG197" s="78"/>
      <c r="GH197" s="78"/>
      <c r="GI197" s="78"/>
      <c r="GJ197" s="78"/>
      <c r="GK197" s="78"/>
      <c r="GL197" s="78"/>
      <c r="GM197" s="78"/>
      <c r="GN197" s="78"/>
      <c r="GO197" s="78"/>
      <c r="GP197" s="78"/>
      <c r="GQ197" s="78"/>
      <c r="GR197" s="78"/>
      <c r="GS197" s="78"/>
      <c r="GT197" s="78"/>
      <c r="GU197" s="78"/>
      <c r="GV197" s="78"/>
      <c r="GW197" s="78"/>
      <c r="GX197" s="78"/>
      <c r="GY197" s="78"/>
      <c r="GZ197" s="78"/>
      <c r="HA197" s="78"/>
      <c r="HB197" s="78"/>
      <c r="HC197" s="78"/>
      <c r="HD197" s="78"/>
      <c r="HE197" s="78"/>
      <c r="HF197" s="78"/>
      <c r="HG197" s="78"/>
      <c r="HH197" s="78"/>
      <c r="HI197" s="78"/>
      <c r="HJ197" s="78"/>
      <c r="HK197" s="78"/>
      <c r="HL197" s="78"/>
      <c r="HM197" s="78"/>
      <c r="HN197" s="78"/>
      <c r="HO197" s="78"/>
      <c r="HP197" s="78"/>
      <c r="HQ197" s="78"/>
      <c r="HR197" s="78"/>
      <c r="HS197" s="78"/>
      <c r="HT197" s="78"/>
      <c r="HU197" s="78"/>
      <c r="HV197" s="78"/>
      <c r="HW197" s="78"/>
      <c r="HX197" s="78"/>
      <c r="HY197" s="78"/>
      <c r="HZ197" s="78"/>
      <c r="IA197" s="78"/>
      <c r="IB197" s="78"/>
      <c r="IC197" s="78"/>
      <c r="ID197" s="78"/>
      <c r="IE197" s="78"/>
      <c r="IF197" s="78"/>
      <c r="IG197" s="78"/>
      <c r="IH197" s="78"/>
      <c r="II197" s="78"/>
      <c r="IJ197" s="78"/>
      <c r="IK197" s="78"/>
      <c r="IL197" s="78"/>
      <c r="IM197" s="78"/>
      <c r="IN197" s="78"/>
      <c r="IO197" s="78"/>
      <c r="IP197" s="78"/>
      <c r="IQ197" s="78"/>
      <c r="IR197" s="78"/>
    </row>
    <row r="198" spans="1:252" s="75" customFormat="1">
      <c r="A198" s="130"/>
      <c r="C198" s="168"/>
      <c r="FY198" s="78"/>
      <c r="FZ198" s="78"/>
      <c r="GA198" s="78"/>
      <c r="GB198" s="78"/>
      <c r="GC198" s="78"/>
      <c r="GD198" s="78"/>
      <c r="GE198" s="78"/>
      <c r="GF198" s="78"/>
      <c r="GG198" s="78"/>
      <c r="GH198" s="78"/>
      <c r="GI198" s="78"/>
      <c r="GJ198" s="78"/>
      <c r="GK198" s="78"/>
      <c r="GL198" s="78"/>
      <c r="GM198" s="78"/>
      <c r="GN198" s="78"/>
      <c r="GO198" s="78"/>
      <c r="GP198" s="78"/>
      <c r="GQ198" s="78"/>
      <c r="GR198" s="78"/>
      <c r="GS198" s="78"/>
      <c r="GT198" s="78"/>
      <c r="GU198" s="78"/>
      <c r="GV198" s="78"/>
      <c r="GW198" s="78"/>
      <c r="GX198" s="78"/>
      <c r="GY198" s="78"/>
      <c r="GZ198" s="78"/>
      <c r="HA198" s="78"/>
      <c r="HB198" s="78"/>
      <c r="HC198" s="78"/>
      <c r="HD198" s="78"/>
      <c r="HE198" s="78"/>
      <c r="HF198" s="78"/>
      <c r="HG198" s="78"/>
      <c r="HH198" s="78"/>
      <c r="HI198" s="78"/>
      <c r="HJ198" s="78"/>
      <c r="HK198" s="78"/>
      <c r="HL198" s="78"/>
      <c r="HM198" s="78"/>
      <c r="HN198" s="78"/>
      <c r="HO198" s="78"/>
      <c r="HP198" s="78"/>
      <c r="HQ198" s="78"/>
      <c r="HR198" s="78"/>
      <c r="HS198" s="78"/>
      <c r="HT198" s="78"/>
      <c r="HU198" s="78"/>
      <c r="HV198" s="78"/>
      <c r="HW198" s="78"/>
      <c r="HX198" s="78"/>
      <c r="HY198" s="78"/>
      <c r="HZ198" s="78"/>
      <c r="IA198" s="78"/>
      <c r="IB198" s="78"/>
      <c r="IC198" s="78"/>
      <c r="ID198" s="78"/>
      <c r="IE198" s="78"/>
      <c r="IF198" s="78"/>
      <c r="IG198" s="78"/>
      <c r="IH198" s="78"/>
      <c r="II198" s="78"/>
      <c r="IJ198" s="78"/>
      <c r="IK198" s="78"/>
      <c r="IL198" s="78"/>
      <c r="IM198" s="78"/>
      <c r="IN198" s="78"/>
      <c r="IO198" s="78"/>
      <c r="IP198" s="78"/>
      <c r="IQ198" s="78"/>
      <c r="IR198" s="78"/>
    </row>
    <row r="199" spans="1:252" s="75" customFormat="1">
      <c r="A199" s="130"/>
      <c r="C199" s="168"/>
      <c r="FY199" s="78"/>
      <c r="FZ199" s="78"/>
      <c r="GA199" s="78"/>
      <c r="GB199" s="78"/>
      <c r="GC199" s="78"/>
      <c r="GD199" s="78"/>
      <c r="GE199" s="78"/>
      <c r="GF199" s="78"/>
      <c r="GG199" s="78"/>
      <c r="GH199" s="78"/>
      <c r="GI199" s="78"/>
      <c r="GJ199" s="78"/>
      <c r="GK199" s="78"/>
      <c r="GL199" s="78"/>
      <c r="GM199" s="78"/>
      <c r="GN199" s="78"/>
      <c r="GO199" s="78"/>
      <c r="GP199" s="78"/>
      <c r="GQ199" s="78"/>
      <c r="GR199" s="78"/>
      <c r="GS199" s="78"/>
      <c r="GT199" s="78"/>
      <c r="GU199" s="78"/>
      <c r="GV199" s="78"/>
      <c r="GW199" s="78"/>
      <c r="GX199" s="78"/>
      <c r="GY199" s="78"/>
      <c r="GZ199" s="78"/>
      <c r="HA199" s="78"/>
      <c r="HB199" s="78"/>
      <c r="HC199" s="78"/>
      <c r="HD199" s="78"/>
      <c r="HE199" s="78"/>
      <c r="HF199" s="78"/>
      <c r="HG199" s="78"/>
      <c r="HH199" s="78"/>
      <c r="HI199" s="78"/>
      <c r="HJ199" s="78"/>
      <c r="HK199" s="78"/>
      <c r="HL199" s="78"/>
      <c r="HM199" s="78"/>
      <c r="HN199" s="78"/>
      <c r="HO199" s="78"/>
      <c r="HP199" s="78"/>
      <c r="HQ199" s="78"/>
      <c r="HR199" s="78"/>
      <c r="HS199" s="78"/>
      <c r="HT199" s="78"/>
      <c r="HU199" s="78"/>
      <c r="HV199" s="78"/>
      <c r="HW199" s="78"/>
      <c r="HX199" s="78"/>
      <c r="HY199" s="78"/>
      <c r="HZ199" s="78"/>
      <c r="IA199" s="78"/>
      <c r="IB199" s="78"/>
      <c r="IC199" s="78"/>
      <c r="ID199" s="78"/>
      <c r="IE199" s="78"/>
      <c r="IF199" s="78"/>
      <c r="IG199" s="78"/>
      <c r="IH199" s="78"/>
      <c r="II199" s="78"/>
      <c r="IJ199" s="78"/>
      <c r="IK199" s="78"/>
      <c r="IL199" s="78"/>
      <c r="IM199" s="78"/>
      <c r="IN199" s="78"/>
      <c r="IO199" s="78"/>
      <c r="IP199" s="78"/>
      <c r="IQ199" s="78"/>
      <c r="IR199" s="78"/>
    </row>
    <row r="200" spans="1:252" s="75" customFormat="1">
      <c r="A200" s="130"/>
      <c r="C200" s="168"/>
      <c r="FY200" s="78"/>
      <c r="FZ200" s="78"/>
      <c r="GA200" s="78"/>
      <c r="GB200" s="78"/>
      <c r="GC200" s="78"/>
      <c r="GD200" s="78"/>
      <c r="GE200" s="78"/>
      <c r="GF200" s="78"/>
      <c r="GG200" s="78"/>
      <c r="GH200" s="78"/>
      <c r="GI200" s="78"/>
      <c r="GJ200" s="78"/>
      <c r="GK200" s="78"/>
      <c r="GL200" s="78"/>
      <c r="GM200" s="78"/>
      <c r="GN200" s="78"/>
      <c r="GO200" s="78"/>
      <c r="GP200" s="78"/>
      <c r="GQ200" s="78"/>
      <c r="GR200" s="78"/>
      <c r="GS200" s="78"/>
      <c r="GT200" s="78"/>
      <c r="GU200" s="78"/>
      <c r="GV200" s="78"/>
      <c r="GW200" s="78"/>
      <c r="GX200" s="78"/>
      <c r="GY200" s="78"/>
      <c r="GZ200" s="78"/>
      <c r="HA200" s="78"/>
      <c r="HB200" s="78"/>
      <c r="HC200" s="78"/>
      <c r="HD200" s="78"/>
      <c r="HE200" s="78"/>
      <c r="HF200" s="78"/>
      <c r="HG200" s="78"/>
      <c r="HH200" s="78"/>
      <c r="HI200" s="78"/>
      <c r="HJ200" s="78"/>
      <c r="HK200" s="78"/>
      <c r="HL200" s="78"/>
      <c r="HM200" s="78"/>
      <c r="HN200" s="78"/>
      <c r="HO200" s="78"/>
      <c r="HP200" s="78"/>
      <c r="HQ200" s="78"/>
      <c r="HR200" s="78"/>
      <c r="HS200" s="78"/>
      <c r="HT200" s="78"/>
      <c r="HU200" s="78"/>
      <c r="HV200" s="78"/>
      <c r="HW200" s="78"/>
      <c r="HX200" s="78"/>
      <c r="HY200" s="78"/>
      <c r="HZ200" s="78"/>
      <c r="IA200" s="78"/>
      <c r="IB200" s="78"/>
      <c r="IC200" s="78"/>
      <c r="ID200" s="78"/>
      <c r="IE200" s="78"/>
      <c r="IF200" s="78"/>
      <c r="IG200" s="78"/>
      <c r="IH200" s="78"/>
      <c r="II200" s="78"/>
      <c r="IJ200" s="78"/>
      <c r="IK200" s="78"/>
      <c r="IL200" s="78"/>
      <c r="IM200" s="78"/>
      <c r="IN200" s="78"/>
      <c r="IO200" s="78"/>
      <c r="IP200" s="78"/>
      <c r="IQ200" s="78"/>
      <c r="IR200" s="78"/>
    </row>
    <row r="201" spans="1:252" s="75" customFormat="1">
      <c r="A201" s="130"/>
      <c r="C201" s="168"/>
      <c r="FY201" s="78"/>
      <c r="FZ201" s="78"/>
      <c r="GA201" s="78"/>
      <c r="GB201" s="78"/>
      <c r="GC201" s="78"/>
      <c r="GD201" s="78"/>
      <c r="GE201" s="78"/>
      <c r="GF201" s="78"/>
      <c r="GG201" s="78"/>
      <c r="GH201" s="78"/>
      <c r="GI201" s="78"/>
      <c r="GJ201" s="78"/>
      <c r="GK201" s="78"/>
      <c r="GL201" s="78"/>
      <c r="GM201" s="78"/>
      <c r="GN201" s="78"/>
      <c r="GO201" s="78"/>
      <c r="GP201" s="78"/>
      <c r="GQ201" s="78"/>
      <c r="GR201" s="78"/>
      <c r="GS201" s="78"/>
      <c r="GT201" s="78"/>
      <c r="GU201" s="78"/>
      <c r="GV201" s="78"/>
      <c r="GW201" s="78"/>
      <c r="GX201" s="78"/>
      <c r="GY201" s="78"/>
      <c r="GZ201" s="78"/>
      <c r="HA201" s="78"/>
      <c r="HB201" s="78"/>
      <c r="HC201" s="78"/>
      <c r="HD201" s="78"/>
      <c r="HE201" s="78"/>
      <c r="HF201" s="78"/>
      <c r="HG201" s="78"/>
      <c r="HH201" s="78"/>
      <c r="HI201" s="78"/>
      <c r="HJ201" s="78"/>
      <c r="HK201" s="78"/>
      <c r="HL201" s="78"/>
      <c r="HM201" s="78"/>
      <c r="HN201" s="78"/>
      <c r="HO201" s="78"/>
      <c r="HP201" s="78"/>
      <c r="HQ201" s="78"/>
      <c r="HR201" s="78"/>
      <c r="HS201" s="78"/>
      <c r="HT201" s="78"/>
      <c r="HU201" s="78"/>
      <c r="HV201" s="78"/>
      <c r="HW201" s="78"/>
      <c r="HX201" s="78"/>
      <c r="HY201" s="78"/>
      <c r="HZ201" s="78"/>
      <c r="IA201" s="78"/>
      <c r="IB201" s="78"/>
      <c r="IC201" s="78"/>
      <c r="ID201" s="78"/>
      <c r="IE201" s="78"/>
      <c r="IF201" s="78"/>
      <c r="IG201" s="78"/>
      <c r="IH201" s="78"/>
      <c r="II201" s="78"/>
      <c r="IJ201" s="78"/>
      <c r="IK201" s="78"/>
      <c r="IL201" s="78"/>
      <c r="IM201" s="78"/>
      <c r="IN201" s="78"/>
      <c r="IO201" s="78"/>
      <c r="IP201" s="78"/>
      <c r="IQ201" s="78"/>
      <c r="IR201" s="78"/>
    </row>
    <row r="202" spans="1:252" s="75" customFormat="1">
      <c r="A202" s="130"/>
      <c r="C202" s="168"/>
      <c r="FY202" s="78"/>
      <c r="FZ202" s="78"/>
      <c r="GA202" s="78"/>
      <c r="GB202" s="78"/>
      <c r="GC202" s="78"/>
      <c r="GD202" s="78"/>
      <c r="GE202" s="78"/>
      <c r="GF202" s="78"/>
      <c r="GG202" s="78"/>
      <c r="GH202" s="78"/>
      <c r="GI202" s="78"/>
      <c r="GJ202" s="78"/>
      <c r="GK202" s="78"/>
      <c r="GL202" s="78"/>
      <c r="GM202" s="78"/>
      <c r="GN202" s="78"/>
      <c r="GO202" s="78"/>
      <c r="GP202" s="78"/>
      <c r="GQ202" s="78"/>
      <c r="GR202" s="78"/>
      <c r="GS202" s="78"/>
      <c r="GT202" s="78"/>
      <c r="GU202" s="78"/>
      <c r="GV202" s="78"/>
      <c r="GW202" s="78"/>
      <c r="GX202" s="78"/>
      <c r="GY202" s="78"/>
      <c r="GZ202" s="78"/>
      <c r="HA202" s="78"/>
      <c r="HB202" s="78"/>
      <c r="HC202" s="78"/>
      <c r="HD202" s="78"/>
      <c r="HE202" s="78"/>
      <c r="HF202" s="78"/>
      <c r="HG202" s="78"/>
      <c r="HH202" s="78"/>
      <c r="HI202" s="78"/>
      <c r="HJ202" s="78"/>
      <c r="HK202" s="78"/>
      <c r="HL202" s="78"/>
      <c r="HM202" s="78"/>
      <c r="HN202" s="78"/>
      <c r="HO202" s="78"/>
      <c r="HP202" s="78"/>
      <c r="HQ202" s="78"/>
      <c r="HR202" s="78"/>
      <c r="HS202" s="78"/>
      <c r="HT202" s="78"/>
      <c r="HU202" s="78"/>
      <c r="HV202" s="78"/>
      <c r="HW202" s="78"/>
      <c r="HX202" s="78"/>
      <c r="HY202" s="78"/>
      <c r="HZ202" s="78"/>
      <c r="IA202" s="78"/>
      <c r="IB202" s="78"/>
      <c r="IC202" s="78"/>
      <c r="ID202" s="78"/>
      <c r="IE202" s="78"/>
      <c r="IF202" s="78"/>
      <c r="IG202" s="78"/>
      <c r="IH202" s="78"/>
      <c r="II202" s="78"/>
      <c r="IJ202" s="78"/>
      <c r="IK202" s="78"/>
      <c r="IL202" s="78"/>
      <c r="IM202" s="78"/>
      <c r="IN202" s="78"/>
      <c r="IO202" s="78"/>
      <c r="IP202" s="78"/>
      <c r="IQ202" s="78"/>
      <c r="IR202" s="78"/>
    </row>
    <row r="203" spans="1:252" s="75" customFormat="1">
      <c r="A203" s="130"/>
      <c r="C203" s="168"/>
      <c r="FY203" s="78"/>
      <c r="FZ203" s="78"/>
      <c r="GA203" s="78"/>
      <c r="GB203" s="78"/>
      <c r="GC203" s="78"/>
      <c r="GD203" s="78"/>
      <c r="GE203" s="78"/>
      <c r="GF203" s="78"/>
      <c r="GG203" s="78"/>
      <c r="GH203" s="78"/>
      <c r="GI203" s="78"/>
      <c r="GJ203" s="78"/>
      <c r="GK203" s="78"/>
      <c r="GL203" s="78"/>
      <c r="GM203" s="78"/>
      <c r="GN203" s="78"/>
      <c r="GO203" s="78"/>
      <c r="GP203" s="78"/>
      <c r="GQ203" s="78"/>
      <c r="GR203" s="78"/>
      <c r="GS203" s="78"/>
      <c r="GT203" s="78"/>
      <c r="GU203" s="78"/>
      <c r="GV203" s="78"/>
      <c r="GW203" s="78"/>
      <c r="GX203" s="78"/>
      <c r="GY203" s="78"/>
      <c r="GZ203" s="78"/>
      <c r="HA203" s="78"/>
      <c r="HB203" s="78"/>
      <c r="HC203" s="78"/>
      <c r="HD203" s="78"/>
      <c r="HE203" s="78"/>
      <c r="HF203" s="78"/>
      <c r="HG203" s="78"/>
      <c r="HH203" s="78"/>
      <c r="HI203" s="78"/>
      <c r="HJ203" s="78"/>
      <c r="HK203" s="78"/>
      <c r="HL203" s="78"/>
      <c r="HM203" s="78"/>
      <c r="HN203" s="78"/>
      <c r="HO203" s="78"/>
      <c r="HP203" s="78"/>
      <c r="HQ203" s="78"/>
      <c r="HR203" s="78"/>
      <c r="HS203" s="78"/>
      <c r="HT203" s="78"/>
      <c r="HU203" s="78"/>
      <c r="HV203" s="78"/>
      <c r="HW203" s="78"/>
      <c r="HX203" s="78"/>
      <c r="HY203" s="78"/>
      <c r="HZ203" s="78"/>
      <c r="IA203" s="78"/>
      <c r="IB203" s="78"/>
      <c r="IC203" s="78"/>
      <c r="ID203" s="78"/>
      <c r="IE203" s="78"/>
      <c r="IF203" s="78"/>
      <c r="IG203" s="78"/>
      <c r="IH203" s="78"/>
      <c r="II203" s="78"/>
      <c r="IJ203" s="78"/>
      <c r="IK203" s="78"/>
      <c r="IL203" s="78"/>
      <c r="IM203" s="78"/>
      <c r="IN203" s="78"/>
      <c r="IO203" s="78"/>
      <c r="IP203" s="78"/>
      <c r="IQ203" s="78"/>
      <c r="IR203" s="78"/>
    </row>
    <row r="204" spans="1:252" s="75" customFormat="1">
      <c r="A204" s="130"/>
      <c r="C204" s="168"/>
      <c r="FY204" s="78"/>
      <c r="FZ204" s="78"/>
      <c r="GA204" s="78"/>
      <c r="GB204" s="78"/>
      <c r="GC204" s="78"/>
      <c r="GD204" s="78"/>
      <c r="GE204" s="78"/>
      <c r="GF204" s="78"/>
      <c r="GG204" s="78"/>
      <c r="GH204" s="78"/>
      <c r="GI204" s="78"/>
      <c r="GJ204" s="78"/>
      <c r="GK204" s="78"/>
      <c r="GL204" s="78"/>
      <c r="GM204" s="78"/>
      <c r="GN204" s="78"/>
      <c r="GO204" s="78"/>
      <c r="GP204" s="78"/>
      <c r="GQ204" s="78"/>
      <c r="GR204" s="78"/>
      <c r="GS204" s="78"/>
      <c r="GT204" s="78"/>
      <c r="GU204" s="78"/>
      <c r="GV204" s="78"/>
      <c r="GW204" s="78"/>
      <c r="GX204" s="78"/>
      <c r="GY204" s="78"/>
      <c r="GZ204" s="78"/>
      <c r="HA204" s="78"/>
      <c r="HB204" s="78"/>
      <c r="HC204" s="78"/>
      <c r="HD204" s="78"/>
      <c r="HE204" s="78"/>
      <c r="HF204" s="78"/>
      <c r="HG204" s="78"/>
      <c r="HH204" s="78"/>
      <c r="HI204" s="78"/>
      <c r="HJ204" s="78"/>
      <c r="HK204" s="78"/>
      <c r="HL204" s="78"/>
      <c r="HM204" s="78"/>
      <c r="HN204" s="78"/>
      <c r="HO204" s="78"/>
      <c r="HP204" s="78"/>
      <c r="HQ204" s="78"/>
      <c r="HR204" s="78"/>
      <c r="HS204" s="78"/>
      <c r="HT204" s="78"/>
      <c r="HU204" s="78"/>
      <c r="HV204" s="78"/>
      <c r="HW204" s="78"/>
      <c r="HX204" s="78"/>
      <c r="HY204" s="78"/>
      <c r="HZ204" s="78"/>
      <c r="IA204" s="78"/>
      <c r="IB204" s="78"/>
      <c r="IC204" s="78"/>
      <c r="ID204" s="78"/>
      <c r="IE204" s="78"/>
      <c r="IF204" s="78"/>
      <c r="IG204" s="78"/>
      <c r="IH204" s="78"/>
      <c r="II204" s="78"/>
      <c r="IJ204" s="78"/>
      <c r="IK204" s="78"/>
      <c r="IL204" s="78"/>
      <c r="IM204" s="78"/>
      <c r="IN204" s="78"/>
      <c r="IO204" s="78"/>
      <c r="IP204" s="78"/>
      <c r="IQ204" s="78"/>
      <c r="IR204" s="78"/>
    </row>
    <row r="205" spans="1:252" s="75" customFormat="1">
      <c r="A205" s="130"/>
      <c r="C205" s="168"/>
      <c r="FY205" s="78"/>
      <c r="FZ205" s="78"/>
      <c r="GA205" s="78"/>
      <c r="GB205" s="78"/>
      <c r="GC205" s="78"/>
      <c r="GD205" s="78"/>
      <c r="GE205" s="78"/>
      <c r="GF205" s="78"/>
      <c r="GG205" s="78"/>
      <c r="GH205" s="78"/>
      <c r="GI205" s="78"/>
      <c r="GJ205" s="78"/>
      <c r="GK205" s="78"/>
      <c r="GL205" s="78"/>
      <c r="GM205" s="78"/>
      <c r="GN205" s="78"/>
      <c r="GO205" s="78"/>
      <c r="GP205" s="78"/>
      <c r="GQ205" s="78"/>
      <c r="GR205" s="78"/>
      <c r="GS205" s="78"/>
      <c r="GT205" s="78"/>
      <c r="GU205" s="78"/>
      <c r="GV205" s="78"/>
      <c r="GW205" s="78"/>
      <c r="GX205" s="78"/>
      <c r="GY205" s="78"/>
      <c r="GZ205" s="78"/>
      <c r="HA205" s="78"/>
      <c r="HB205" s="78"/>
      <c r="HC205" s="78"/>
      <c r="HD205" s="78"/>
      <c r="HE205" s="78"/>
      <c r="HF205" s="78"/>
      <c r="HG205" s="78"/>
      <c r="HH205" s="78"/>
      <c r="HI205" s="78"/>
      <c r="HJ205" s="78"/>
      <c r="HK205" s="78"/>
      <c r="HL205" s="78"/>
      <c r="HM205" s="78"/>
      <c r="HN205" s="78"/>
      <c r="HO205" s="78"/>
      <c r="HP205" s="78"/>
      <c r="HQ205" s="78"/>
      <c r="HR205" s="78"/>
      <c r="HS205" s="78"/>
      <c r="HT205" s="78"/>
      <c r="HU205" s="78"/>
      <c r="HV205" s="78"/>
      <c r="HW205" s="78"/>
      <c r="HX205" s="78"/>
      <c r="HY205" s="78"/>
      <c r="HZ205" s="78"/>
      <c r="IA205" s="78"/>
      <c r="IB205" s="78"/>
      <c r="IC205" s="78"/>
      <c r="ID205" s="78"/>
      <c r="IE205" s="78"/>
      <c r="IF205" s="78"/>
      <c r="IG205" s="78"/>
      <c r="IH205" s="78"/>
      <c r="II205" s="78"/>
      <c r="IJ205" s="78"/>
      <c r="IK205" s="78"/>
      <c r="IL205" s="78"/>
      <c r="IM205" s="78"/>
      <c r="IN205" s="78"/>
      <c r="IO205" s="78"/>
      <c r="IP205" s="78"/>
      <c r="IQ205" s="78"/>
      <c r="IR205" s="78"/>
    </row>
    <row r="206" spans="1:252" s="75" customFormat="1">
      <c r="A206" s="130"/>
      <c r="C206" s="168"/>
      <c r="FY206" s="78"/>
      <c r="FZ206" s="78"/>
      <c r="GA206" s="78"/>
      <c r="GB206" s="78"/>
      <c r="GC206" s="78"/>
      <c r="GD206" s="78"/>
      <c r="GE206" s="78"/>
      <c r="GF206" s="78"/>
      <c r="GG206" s="78"/>
      <c r="GH206" s="78"/>
      <c r="GI206" s="78"/>
      <c r="GJ206" s="78"/>
      <c r="GK206" s="78"/>
      <c r="GL206" s="78"/>
      <c r="GM206" s="78"/>
      <c r="GN206" s="78"/>
      <c r="GO206" s="78"/>
      <c r="GP206" s="78"/>
      <c r="GQ206" s="78"/>
      <c r="GR206" s="78"/>
      <c r="GS206" s="78"/>
      <c r="GT206" s="78"/>
      <c r="GU206" s="78"/>
      <c r="GV206" s="78"/>
      <c r="GW206" s="78"/>
      <c r="GX206" s="78"/>
      <c r="GY206" s="78"/>
      <c r="GZ206" s="78"/>
      <c r="HA206" s="78"/>
      <c r="HB206" s="78"/>
      <c r="HC206" s="78"/>
      <c r="HD206" s="78"/>
      <c r="HE206" s="78"/>
      <c r="HF206" s="78"/>
      <c r="HG206" s="78"/>
      <c r="HH206" s="78"/>
      <c r="HI206" s="78"/>
      <c r="HJ206" s="78"/>
      <c r="HK206" s="78"/>
      <c r="HL206" s="78"/>
      <c r="HM206" s="78"/>
      <c r="HN206" s="78"/>
      <c r="HO206" s="78"/>
      <c r="HP206" s="78"/>
      <c r="HQ206" s="78"/>
      <c r="HR206" s="78"/>
      <c r="HS206" s="78"/>
      <c r="HT206" s="78"/>
      <c r="HU206" s="78"/>
      <c r="HV206" s="78"/>
      <c r="HW206" s="78"/>
      <c r="HX206" s="78"/>
      <c r="HY206" s="78"/>
      <c r="HZ206" s="78"/>
      <c r="IA206" s="78"/>
      <c r="IB206" s="78"/>
      <c r="IC206" s="78"/>
      <c r="ID206" s="78"/>
      <c r="IE206" s="78"/>
      <c r="IF206" s="78"/>
      <c r="IG206" s="78"/>
      <c r="IH206" s="78"/>
      <c r="II206" s="78"/>
      <c r="IJ206" s="78"/>
      <c r="IK206" s="78"/>
      <c r="IL206" s="78"/>
      <c r="IM206" s="78"/>
      <c r="IN206" s="78"/>
      <c r="IO206" s="78"/>
      <c r="IP206" s="78"/>
      <c r="IQ206" s="78"/>
      <c r="IR206" s="78"/>
    </row>
    <row r="207" spans="1:252" s="75" customFormat="1">
      <c r="A207" s="130"/>
      <c r="C207" s="168"/>
      <c r="FY207" s="78"/>
      <c r="FZ207" s="78"/>
      <c r="GA207" s="78"/>
      <c r="GB207" s="78"/>
      <c r="GC207" s="78"/>
      <c r="GD207" s="78"/>
      <c r="GE207" s="78"/>
      <c r="GF207" s="78"/>
      <c r="GG207" s="78"/>
      <c r="GH207" s="78"/>
      <c r="GI207" s="78"/>
      <c r="GJ207" s="78"/>
      <c r="GK207" s="78"/>
      <c r="GL207" s="78"/>
      <c r="GM207" s="78"/>
      <c r="GN207" s="78"/>
      <c r="GO207" s="78"/>
      <c r="GP207" s="78"/>
      <c r="GQ207" s="78"/>
      <c r="GR207" s="78"/>
      <c r="GS207" s="78"/>
      <c r="GT207" s="78"/>
      <c r="GU207" s="78"/>
      <c r="GV207" s="78"/>
      <c r="GW207" s="78"/>
      <c r="GX207" s="78"/>
      <c r="GY207" s="78"/>
      <c r="GZ207" s="78"/>
      <c r="HA207" s="78"/>
      <c r="HB207" s="78"/>
      <c r="HC207" s="78"/>
      <c r="HD207" s="78"/>
      <c r="HE207" s="78"/>
      <c r="HF207" s="78"/>
      <c r="HG207" s="78"/>
      <c r="HH207" s="78"/>
      <c r="HI207" s="78"/>
      <c r="HJ207" s="78"/>
      <c r="HK207" s="78"/>
      <c r="HL207" s="78"/>
      <c r="HM207" s="78"/>
      <c r="HN207" s="78"/>
      <c r="HO207" s="78"/>
      <c r="HP207" s="78"/>
      <c r="HQ207" s="78"/>
      <c r="HR207" s="78"/>
      <c r="HS207" s="78"/>
      <c r="HT207" s="78"/>
      <c r="HU207" s="78"/>
      <c r="HV207" s="78"/>
      <c r="HW207" s="78"/>
      <c r="HX207" s="78"/>
      <c r="HY207" s="78"/>
      <c r="HZ207" s="78"/>
      <c r="IA207" s="78"/>
      <c r="IB207" s="78"/>
      <c r="IC207" s="78"/>
      <c r="ID207" s="78"/>
      <c r="IE207" s="78"/>
      <c r="IF207" s="78"/>
      <c r="IG207" s="78"/>
      <c r="IH207" s="78"/>
      <c r="II207" s="78"/>
      <c r="IJ207" s="78"/>
      <c r="IK207" s="78"/>
      <c r="IL207" s="78"/>
      <c r="IM207" s="78"/>
      <c r="IN207" s="78"/>
      <c r="IO207" s="78"/>
      <c r="IP207" s="78"/>
      <c r="IQ207" s="78"/>
      <c r="IR207" s="78"/>
    </row>
    <row r="208" spans="1:252" s="75" customFormat="1">
      <c r="A208" s="130"/>
      <c r="C208" s="168"/>
      <c r="FY208" s="78"/>
      <c r="FZ208" s="78"/>
      <c r="GA208" s="78"/>
      <c r="GB208" s="78"/>
      <c r="GC208" s="78"/>
      <c r="GD208" s="78"/>
      <c r="GE208" s="78"/>
      <c r="GF208" s="78"/>
      <c r="GG208" s="78"/>
      <c r="GH208" s="78"/>
      <c r="GI208" s="78"/>
      <c r="GJ208" s="78"/>
      <c r="GK208" s="78"/>
      <c r="GL208" s="78"/>
      <c r="GM208" s="78"/>
      <c r="GN208" s="78"/>
      <c r="GO208" s="78"/>
      <c r="GP208" s="78"/>
      <c r="GQ208" s="78"/>
      <c r="GR208" s="78"/>
      <c r="GS208" s="78"/>
      <c r="GT208" s="78"/>
      <c r="GU208" s="78"/>
      <c r="GV208" s="78"/>
      <c r="GW208" s="78"/>
      <c r="GX208" s="78"/>
      <c r="GY208" s="78"/>
      <c r="GZ208" s="78"/>
      <c r="HA208" s="78"/>
      <c r="HB208" s="78"/>
      <c r="HC208" s="78"/>
      <c r="HD208" s="78"/>
      <c r="HE208" s="78"/>
      <c r="HF208" s="78"/>
      <c r="HG208" s="78"/>
      <c r="HH208" s="78"/>
      <c r="HI208" s="78"/>
      <c r="HJ208" s="78"/>
      <c r="HK208" s="78"/>
      <c r="HL208" s="78"/>
      <c r="HM208" s="78"/>
      <c r="HN208" s="78"/>
      <c r="HO208" s="78"/>
      <c r="HP208" s="78"/>
      <c r="HQ208" s="78"/>
      <c r="HR208" s="78"/>
      <c r="HS208" s="78"/>
      <c r="HT208" s="78"/>
      <c r="HU208" s="78"/>
      <c r="HV208" s="78"/>
      <c r="HW208" s="78"/>
      <c r="HX208" s="78"/>
      <c r="HY208" s="78"/>
      <c r="HZ208" s="78"/>
      <c r="IA208" s="78"/>
      <c r="IB208" s="78"/>
      <c r="IC208" s="78"/>
      <c r="ID208" s="78"/>
      <c r="IE208" s="78"/>
      <c r="IF208" s="78"/>
      <c r="IG208" s="78"/>
      <c r="IH208" s="78"/>
      <c r="II208" s="78"/>
      <c r="IJ208" s="78"/>
      <c r="IK208" s="78"/>
      <c r="IL208" s="78"/>
      <c r="IM208" s="78"/>
      <c r="IN208" s="78"/>
      <c r="IO208" s="78"/>
      <c r="IP208" s="78"/>
      <c r="IQ208" s="78"/>
      <c r="IR208" s="78"/>
    </row>
    <row r="209" spans="1:252" s="75" customFormat="1">
      <c r="A209" s="130"/>
      <c r="C209" s="168"/>
      <c r="FY209" s="78"/>
      <c r="FZ209" s="78"/>
      <c r="GA209" s="78"/>
      <c r="GB209" s="78"/>
      <c r="GC209" s="78"/>
      <c r="GD209" s="78"/>
      <c r="GE209" s="78"/>
      <c r="GF209" s="78"/>
      <c r="GG209" s="78"/>
      <c r="GH209" s="78"/>
      <c r="GI209" s="78"/>
      <c r="GJ209" s="78"/>
      <c r="GK209" s="78"/>
      <c r="GL209" s="78"/>
      <c r="GM209" s="78"/>
      <c r="GN209" s="78"/>
      <c r="GO209" s="78"/>
      <c r="GP209" s="78"/>
      <c r="GQ209" s="78"/>
      <c r="GR209" s="78"/>
      <c r="GS209" s="78"/>
      <c r="GT209" s="78"/>
      <c r="GU209" s="78"/>
      <c r="GV209" s="78"/>
      <c r="GW209" s="78"/>
      <c r="GX209" s="78"/>
      <c r="GY209" s="78"/>
      <c r="GZ209" s="78"/>
      <c r="HA209" s="78"/>
      <c r="HB209" s="78"/>
      <c r="HC209" s="78"/>
      <c r="HD209" s="78"/>
      <c r="HE209" s="78"/>
      <c r="HF209" s="78"/>
      <c r="HG209" s="78"/>
      <c r="HH209" s="78"/>
      <c r="HI209" s="78"/>
      <c r="HJ209" s="78"/>
      <c r="HK209" s="78"/>
      <c r="HL209" s="78"/>
      <c r="HM209" s="78"/>
      <c r="HN209" s="78"/>
      <c r="HO209" s="78"/>
      <c r="HP209" s="78"/>
      <c r="HQ209" s="78"/>
      <c r="HR209" s="78"/>
      <c r="HS209" s="78"/>
      <c r="HT209" s="78"/>
      <c r="HU209" s="78"/>
      <c r="HV209" s="78"/>
      <c r="HW209" s="78"/>
      <c r="HX209" s="78"/>
      <c r="HY209" s="78"/>
      <c r="HZ209" s="78"/>
      <c r="IA209" s="78"/>
      <c r="IB209" s="78"/>
      <c r="IC209" s="78"/>
      <c r="ID209" s="78"/>
      <c r="IE209" s="78"/>
      <c r="IF209" s="78"/>
      <c r="IG209" s="78"/>
      <c r="IH209" s="78"/>
      <c r="II209" s="78"/>
      <c r="IJ209" s="78"/>
      <c r="IK209" s="78"/>
      <c r="IL209" s="78"/>
      <c r="IM209" s="78"/>
      <c r="IN209" s="78"/>
      <c r="IO209" s="78"/>
      <c r="IP209" s="78"/>
      <c r="IQ209" s="78"/>
      <c r="IR209" s="78"/>
    </row>
    <row r="210" spans="1:252" s="75" customFormat="1">
      <c r="A210" s="130"/>
      <c r="C210" s="168"/>
      <c r="FY210" s="78"/>
      <c r="FZ210" s="78"/>
      <c r="GA210" s="78"/>
      <c r="GB210" s="78"/>
      <c r="GC210" s="78"/>
      <c r="GD210" s="78"/>
      <c r="GE210" s="78"/>
      <c r="GF210" s="78"/>
      <c r="GG210" s="78"/>
      <c r="GH210" s="78"/>
      <c r="GI210" s="78"/>
      <c r="GJ210" s="78"/>
      <c r="GK210" s="78"/>
      <c r="GL210" s="78"/>
      <c r="GM210" s="78"/>
      <c r="GN210" s="78"/>
      <c r="GO210" s="78"/>
      <c r="GP210" s="78"/>
      <c r="GQ210" s="78"/>
      <c r="GR210" s="78"/>
      <c r="GS210" s="78"/>
      <c r="GT210" s="78"/>
      <c r="GU210" s="78"/>
      <c r="GV210" s="78"/>
      <c r="GW210" s="78"/>
      <c r="GX210" s="78"/>
      <c r="GY210" s="78"/>
      <c r="GZ210" s="78"/>
      <c r="HA210" s="78"/>
      <c r="HB210" s="78"/>
      <c r="HC210" s="78"/>
      <c r="HD210" s="78"/>
      <c r="HE210" s="78"/>
      <c r="HF210" s="78"/>
      <c r="HG210" s="78"/>
      <c r="HH210" s="78"/>
      <c r="HI210" s="78"/>
      <c r="HJ210" s="78"/>
      <c r="HK210" s="78"/>
      <c r="HL210" s="78"/>
      <c r="HM210" s="78"/>
      <c r="HN210" s="78"/>
      <c r="HO210" s="78"/>
      <c r="HP210" s="78"/>
      <c r="HQ210" s="78"/>
      <c r="HR210" s="78"/>
      <c r="HS210" s="78"/>
      <c r="HT210" s="78"/>
      <c r="HU210" s="78"/>
      <c r="HV210" s="78"/>
      <c r="HW210" s="78"/>
      <c r="HX210" s="78"/>
      <c r="HY210" s="78"/>
      <c r="HZ210" s="78"/>
      <c r="IA210" s="78"/>
      <c r="IB210" s="78"/>
      <c r="IC210" s="78"/>
      <c r="ID210" s="78"/>
      <c r="IE210" s="78"/>
      <c r="IF210" s="78"/>
      <c r="IG210" s="78"/>
      <c r="IH210" s="78"/>
      <c r="II210" s="78"/>
      <c r="IJ210" s="78"/>
      <c r="IK210" s="78"/>
      <c r="IL210" s="78"/>
      <c r="IM210" s="78"/>
      <c r="IN210" s="78"/>
      <c r="IO210" s="78"/>
      <c r="IP210" s="78"/>
      <c r="IQ210" s="78"/>
      <c r="IR210" s="78"/>
    </row>
    <row r="211" spans="1:252" s="75" customFormat="1">
      <c r="A211" s="130"/>
      <c r="C211" s="168"/>
      <c r="FY211" s="78"/>
      <c r="FZ211" s="78"/>
      <c r="GA211" s="78"/>
      <c r="GB211" s="78"/>
      <c r="GC211" s="78"/>
      <c r="GD211" s="78"/>
      <c r="GE211" s="78"/>
      <c r="GF211" s="78"/>
      <c r="GG211" s="78"/>
      <c r="GH211" s="78"/>
      <c r="GI211" s="78"/>
      <c r="GJ211" s="78"/>
      <c r="GK211" s="78"/>
      <c r="GL211" s="78"/>
      <c r="GM211" s="78"/>
      <c r="GN211" s="78"/>
      <c r="GO211" s="78"/>
      <c r="GP211" s="78"/>
      <c r="GQ211" s="78"/>
      <c r="GR211" s="78"/>
      <c r="GS211" s="78"/>
      <c r="GT211" s="78"/>
      <c r="GU211" s="78"/>
      <c r="GV211" s="78"/>
      <c r="GW211" s="78"/>
      <c r="GX211" s="78"/>
      <c r="GY211" s="78"/>
      <c r="GZ211" s="78"/>
      <c r="HA211" s="78"/>
      <c r="HB211" s="78"/>
      <c r="HC211" s="78"/>
      <c r="HD211" s="78"/>
      <c r="HE211" s="78"/>
      <c r="HF211" s="78"/>
      <c r="HG211" s="78"/>
      <c r="HH211" s="78"/>
      <c r="HI211" s="78"/>
      <c r="HJ211" s="78"/>
      <c r="HK211" s="78"/>
      <c r="HL211" s="78"/>
      <c r="HM211" s="78"/>
      <c r="HN211" s="78"/>
      <c r="HO211" s="78"/>
      <c r="HP211" s="78"/>
      <c r="HQ211" s="78"/>
      <c r="HR211" s="78"/>
      <c r="HS211" s="78"/>
      <c r="HT211" s="78"/>
      <c r="HU211" s="78"/>
      <c r="HV211" s="78"/>
      <c r="HW211" s="78"/>
      <c r="HX211" s="78"/>
      <c r="HY211" s="78"/>
      <c r="HZ211" s="78"/>
      <c r="IA211" s="78"/>
      <c r="IB211" s="78"/>
      <c r="IC211" s="78"/>
      <c r="ID211" s="78"/>
      <c r="IE211" s="78"/>
      <c r="IF211" s="78"/>
      <c r="IG211" s="78"/>
      <c r="IH211" s="78"/>
      <c r="II211" s="78"/>
      <c r="IJ211" s="78"/>
      <c r="IK211" s="78"/>
      <c r="IL211" s="78"/>
      <c r="IM211" s="78"/>
      <c r="IN211" s="78"/>
      <c r="IO211" s="78"/>
      <c r="IP211" s="78"/>
      <c r="IQ211" s="78"/>
      <c r="IR211" s="78"/>
    </row>
    <row r="212" spans="1:252" s="75" customFormat="1">
      <c r="A212" s="130"/>
      <c r="C212" s="168"/>
      <c r="FY212" s="78"/>
      <c r="FZ212" s="78"/>
      <c r="GA212" s="78"/>
      <c r="GB212" s="78"/>
      <c r="GC212" s="78"/>
      <c r="GD212" s="78"/>
      <c r="GE212" s="78"/>
      <c r="GF212" s="78"/>
      <c r="GG212" s="78"/>
      <c r="GH212" s="78"/>
      <c r="GI212" s="78"/>
      <c r="GJ212" s="78"/>
      <c r="GK212" s="78"/>
      <c r="GL212" s="78"/>
      <c r="GM212" s="78"/>
      <c r="GN212" s="78"/>
      <c r="GO212" s="78"/>
      <c r="GP212" s="78"/>
      <c r="GQ212" s="78"/>
      <c r="GR212" s="78"/>
      <c r="GS212" s="78"/>
      <c r="GT212" s="78"/>
      <c r="GU212" s="78"/>
      <c r="GV212" s="78"/>
      <c r="GW212" s="78"/>
      <c r="GX212" s="78"/>
      <c r="GY212" s="78"/>
      <c r="GZ212" s="78"/>
      <c r="HA212" s="78"/>
      <c r="HB212" s="78"/>
      <c r="HC212" s="78"/>
      <c r="HD212" s="78"/>
      <c r="HE212" s="78"/>
      <c r="HF212" s="78"/>
      <c r="HG212" s="78"/>
      <c r="HH212" s="78"/>
      <c r="HI212" s="78"/>
      <c r="HJ212" s="78"/>
      <c r="HK212" s="78"/>
      <c r="HL212" s="78"/>
      <c r="HM212" s="78"/>
      <c r="HN212" s="78"/>
      <c r="HO212" s="78"/>
      <c r="HP212" s="78"/>
      <c r="HQ212" s="78"/>
      <c r="HR212" s="78"/>
      <c r="HS212" s="78"/>
      <c r="HT212" s="78"/>
      <c r="HU212" s="78"/>
      <c r="HV212" s="78"/>
      <c r="HW212" s="78"/>
      <c r="HX212" s="78"/>
      <c r="HY212" s="78"/>
      <c r="HZ212" s="78"/>
      <c r="IA212" s="78"/>
      <c r="IB212" s="78"/>
      <c r="IC212" s="78"/>
      <c r="ID212" s="78"/>
      <c r="IE212" s="78"/>
      <c r="IF212" s="78"/>
      <c r="IG212" s="78"/>
      <c r="IH212" s="78"/>
      <c r="II212" s="78"/>
      <c r="IJ212" s="78"/>
      <c r="IK212" s="78"/>
      <c r="IL212" s="78"/>
      <c r="IM212" s="78"/>
      <c r="IN212" s="78"/>
      <c r="IO212" s="78"/>
      <c r="IP212" s="78"/>
      <c r="IQ212" s="78"/>
      <c r="IR212" s="78"/>
    </row>
    <row r="213" spans="1:252" s="75" customFormat="1">
      <c r="A213" s="130"/>
      <c r="C213" s="168"/>
      <c r="FY213" s="78"/>
      <c r="FZ213" s="78"/>
      <c r="GA213" s="78"/>
      <c r="GB213" s="78"/>
      <c r="GC213" s="78"/>
      <c r="GD213" s="78"/>
      <c r="GE213" s="78"/>
      <c r="GF213" s="78"/>
      <c r="GG213" s="78"/>
      <c r="GH213" s="78"/>
      <c r="GI213" s="78"/>
      <c r="GJ213" s="78"/>
      <c r="GK213" s="78"/>
      <c r="GL213" s="78"/>
      <c r="GM213" s="78"/>
      <c r="GN213" s="78"/>
      <c r="GO213" s="78"/>
      <c r="GP213" s="78"/>
      <c r="GQ213" s="78"/>
      <c r="GR213" s="78"/>
      <c r="GS213" s="78"/>
      <c r="GT213" s="78"/>
      <c r="GU213" s="78"/>
      <c r="GV213" s="78"/>
      <c r="GW213" s="78"/>
      <c r="GX213" s="78"/>
      <c r="GY213" s="78"/>
      <c r="GZ213" s="78"/>
      <c r="HA213" s="78"/>
      <c r="HB213" s="78"/>
      <c r="HC213" s="78"/>
      <c r="HD213" s="78"/>
      <c r="HE213" s="78"/>
      <c r="HF213" s="78"/>
      <c r="HG213" s="78"/>
      <c r="HH213" s="78"/>
      <c r="HI213" s="78"/>
      <c r="HJ213" s="78"/>
      <c r="HK213" s="78"/>
      <c r="HL213" s="78"/>
      <c r="HM213" s="78"/>
      <c r="HN213" s="78"/>
      <c r="HO213" s="78"/>
      <c r="HP213" s="78"/>
      <c r="HQ213" s="78"/>
      <c r="HR213" s="78"/>
      <c r="HS213" s="78"/>
      <c r="HT213" s="78"/>
      <c r="HU213" s="78"/>
      <c r="HV213" s="78"/>
      <c r="HW213" s="78"/>
      <c r="HX213" s="78"/>
      <c r="HY213" s="78"/>
      <c r="HZ213" s="78"/>
      <c r="IA213" s="78"/>
      <c r="IB213" s="78"/>
      <c r="IC213" s="78"/>
      <c r="ID213" s="78"/>
      <c r="IE213" s="78"/>
      <c r="IF213" s="78"/>
      <c r="IG213" s="78"/>
      <c r="IH213" s="78"/>
      <c r="II213" s="78"/>
      <c r="IJ213" s="78"/>
      <c r="IK213" s="78"/>
      <c r="IL213" s="78"/>
      <c r="IM213" s="78"/>
      <c r="IN213" s="78"/>
      <c r="IO213" s="78"/>
      <c r="IP213" s="78"/>
      <c r="IQ213" s="78"/>
      <c r="IR213" s="78"/>
    </row>
    <row r="214" spans="1:252" s="75" customFormat="1">
      <c r="A214" s="130"/>
      <c r="C214" s="168"/>
      <c r="FY214" s="78"/>
      <c r="FZ214" s="78"/>
      <c r="GA214" s="78"/>
      <c r="GB214" s="78"/>
      <c r="GC214" s="78"/>
      <c r="GD214" s="78"/>
      <c r="GE214" s="78"/>
      <c r="GF214" s="78"/>
      <c r="GG214" s="78"/>
      <c r="GH214" s="78"/>
      <c r="GI214" s="78"/>
      <c r="GJ214" s="78"/>
      <c r="GK214" s="78"/>
      <c r="GL214" s="78"/>
      <c r="GM214" s="78"/>
      <c r="GN214" s="78"/>
      <c r="GO214" s="78"/>
      <c r="GP214" s="78"/>
      <c r="GQ214" s="78"/>
      <c r="GR214" s="78"/>
      <c r="GS214" s="78"/>
      <c r="GT214" s="78"/>
      <c r="GU214" s="78"/>
      <c r="GV214" s="78"/>
      <c r="GW214" s="78"/>
      <c r="GX214" s="78"/>
      <c r="GY214" s="78"/>
      <c r="GZ214" s="78"/>
      <c r="HA214" s="78"/>
      <c r="HB214" s="78"/>
      <c r="HC214" s="78"/>
      <c r="HD214" s="78"/>
      <c r="HE214" s="78"/>
      <c r="HF214" s="78"/>
      <c r="HG214" s="78"/>
      <c r="HH214" s="78"/>
      <c r="HI214" s="78"/>
      <c r="HJ214" s="78"/>
      <c r="HK214" s="78"/>
      <c r="HL214" s="78"/>
      <c r="HM214" s="78"/>
      <c r="HN214" s="78"/>
      <c r="HO214" s="78"/>
      <c r="HP214" s="78"/>
      <c r="HQ214" s="78"/>
      <c r="HR214" s="78"/>
      <c r="HS214" s="78"/>
      <c r="HT214" s="78"/>
      <c r="HU214" s="78"/>
      <c r="HV214" s="78"/>
      <c r="HW214" s="78"/>
      <c r="HX214" s="78"/>
      <c r="HY214" s="78"/>
      <c r="HZ214" s="78"/>
      <c r="IA214" s="78"/>
      <c r="IB214" s="78"/>
      <c r="IC214" s="78"/>
      <c r="ID214" s="78"/>
      <c r="IE214" s="78"/>
      <c r="IF214" s="78"/>
      <c r="IG214" s="78"/>
      <c r="IH214" s="78"/>
      <c r="II214" s="78"/>
      <c r="IJ214" s="78"/>
      <c r="IK214" s="78"/>
      <c r="IL214" s="78"/>
      <c r="IM214" s="78"/>
      <c r="IN214" s="78"/>
      <c r="IO214" s="78"/>
      <c r="IP214" s="78"/>
      <c r="IQ214" s="78"/>
      <c r="IR214" s="78"/>
    </row>
    <row r="215" spans="1:252" s="75" customFormat="1">
      <c r="A215" s="130"/>
      <c r="C215" s="168"/>
      <c r="FY215" s="78"/>
      <c r="FZ215" s="78"/>
      <c r="GA215" s="78"/>
      <c r="GB215" s="78"/>
      <c r="GC215" s="78"/>
      <c r="GD215" s="78"/>
      <c r="GE215" s="78"/>
      <c r="GF215" s="78"/>
      <c r="GG215" s="78"/>
      <c r="GH215" s="78"/>
      <c r="GI215" s="78"/>
      <c r="GJ215" s="78"/>
      <c r="GK215" s="78"/>
      <c r="GL215" s="78"/>
      <c r="GM215" s="78"/>
      <c r="GN215" s="78"/>
      <c r="GO215" s="78"/>
      <c r="GP215" s="78"/>
      <c r="GQ215" s="78"/>
      <c r="GR215" s="78"/>
      <c r="GS215" s="78"/>
      <c r="GT215" s="78"/>
      <c r="GU215" s="78"/>
      <c r="GV215" s="78"/>
      <c r="GW215" s="78"/>
      <c r="GX215" s="78"/>
      <c r="GY215" s="78"/>
      <c r="GZ215" s="78"/>
      <c r="HA215" s="78"/>
      <c r="HB215" s="78"/>
      <c r="HC215" s="78"/>
      <c r="HD215" s="78"/>
      <c r="HE215" s="78"/>
      <c r="HF215" s="78"/>
      <c r="HG215" s="78"/>
      <c r="HH215" s="78"/>
      <c r="HI215" s="78"/>
      <c r="HJ215" s="78"/>
      <c r="HK215" s="78"/>
      <c r="HL215" s="78"/>
      <c r="HM215" s="78"/>
      <c r="HN215" s="78"/>
      <c r="HO215" s="78"/>
      <c r="HP215" s="78"/>
      <c r="HQ215" s="78"/>
      <c r="HR215" s="78"/>
      <c r="HS215" s="78"/>
      <c r="HT215" s="78"/>
      <c r="HU215" s="78"/>
      <c r="HV215" s="78"/>
      <c r="HW215" s="78"/>
      <c r="HX215" s="78"/>
      <c r="HY215" s="78"/>
      <c r="HZ215" s="78"/>
      <c r="IA215" s="78"/>
      <c r="IB215" s="78"/>
      <c r="IC215" s="78"/>
      <c r="ID215" s="78"/>
      <c r="IE215" s="78"/>
      <c r="IF215" s="78"/>
      <c r="IG215" s="78"/>
      <c r="IH215" s="78"/>
      <c r="II215" s="78"/>
      <c r="IJ215" s="78"/>
      <c r="IK215" s="78"/>
      <c r="IL215" s="78"/>
      <c r="IM215" s="78"/>
      <c r="IN215" s="78"/>
      <c r="IO215" s="78"/>
      <c r="IP215" s="78"/>
      <c r="IQ215" s="78"/>
      <c r="IR215" s="78"/>
    </row>
    <row r="216" spans="1:252" s="75" customFormat="1">
      <c r="A216" s="130"/>
      <c r="C216" s="168"/>
      <c r="FY216" s="78"/>
      <c r="FZ216" s="78"/>
      <c r="GA216" s="78"/>
      <c r="GB216" s="78"/>
      <c r="GC216" s="78"/>
      <c r="GD216" s="78"/>
      <c r="GE216" s="78"/>
      <c r="GF216" s="78"/>
      <c r="GG216" s="78"/>
      <c r="GH216" s="78"/>
      <c r="GI216" s="78"/>
      <c r="GJ216" s="78"/>
      <c r="GK216" s="78"/>
      <c r="GL216" s="78"/>
      <c r="GM216" s="78"/>
      <c r="GN216" s="78"/>
      <c r="GO216" s="78"/>
      <c r="GP216" s="78"/>
      <c r="GQ216" s="78"/>
      <c r="GR216" s="78"/>
      <c r="GS216" s="78"/>
      <c r="GT216" s="78"/>
      <c r="GU216" s="78"/>
      <c r="GV216" s="78"/>
      <c r="GW216" s="78"/>
      <c r="GX216" s="78"/>
      <c r="GY216" s="78"/>
      <c r="GZ216" s="78"/>
      <c r="HA216" s="78"/>
      <c r="HB216" s="78"/>
      <c r="HC216" s="78"/>
      <c r="HD216" s="78"/>
      <c r="HE216" s="78"/>
      <c r="HF216" s="78"/>
      <c r="HG216" s="78"/>
      <c r="HH216" s="78"/>
      <c r="HI216" s="78"/>
      <c r="HJ216" s="78"/>
      <c r="HK216" s="78"/>
      <c r="HL216" s="78"/>
      <c r="HM216" s="78"/>
      <c r="HN216" s="78"/>
      <c r="HO216" s="78"/>
      <c r="HP216" s="78"/>
      <c r="HQ216" s="78"/>
      <c r="HR216" s="78"/>
      <c r="HS216" s="78"/>
      <c r="HT216" s="78"/>
      <c r="HU216" s="78"/>
      <c r="HV216" s="78"/>
      <c r="HW216" s="78"/>
      <c r="HX216" s="78"/>
      <c r="HY216" s="78"/>
      <c r="HZ216" s="78"/>
      <c r="IA216" s="78"/>
      <c r="IB216" s="78"/>
      <c r="IC216" s="78"/>
      <c r="ID216" s="78"/>
      <c r="IE216" s="78"/>
      <c r="IF216" s="78"/>
      <c r="IG216" s="78"/>
      <c r="IH216" s="78"/>
      <c r="II216" s="78"/>
      <c r="IJ216" s="78"/>
      <c r="IK216" s="78"/>
      <c r="IL216" s="78"/>
      <c r="IM216" s="78"/>
      <c r="IN216" s="78"/>
      <c r="IO216" s="78"/>
      <c r="IP216" s="78"/>
      <c r="IQ216" s="78"/>
      <c r="IR216" s="78"/>
    </row>
    <row r="217" spans="1:252" s="75" customFormat="1">
      <c r="A217" s="130"/>
      <c r="C217" s="168"/>
      <c r="FY217" s="78"/>
      <c r="FZ217" s="78"/>
      <c r="GA217" s="78"/>
      <c r="GB217" s="78"/>
      <c r="GC217" s="78"/>
      <c r="GD217" s="78"/>
      <c r="GE217" s="78"/>
      <c r="GF217" s="78"/>
      <c r="GG217" s="78"/>
      <c r="GH217" s="78"/>
      <c r="GI217" s="78"/>
      <c r="GJ217" s="78"/>
      <c r="GK217" s="78"/>
      <c r="GL217" s="78"/>
      <c r="GM217" s="78"/>
      <c r="GN217" s="78"/>
      <c r="GO217" s="78"/>
      <c r="GP217" s="78"/>
      <c r="GQ217" s="78"/>
      <c r="GR217" s="78"/>
      <c r="GS217" s="78"/>
      <c r="GT217" s="78"/>
      <c r="GU217" s="78"/>
      <c r="GV217" s="78"/>
      <c r="GW217" s="78"/>
      <c r="GX217" s="78"/>
      <c r="GY217" s="78"/>
      <c r="GZ217" s="78"/>
      <c r="HA217" s="78"/>
      <c r="HB217" s="78"/>
      <c r="HC217" s="78"/>
      <c r="HD217" s="78"/>
      <c r="HE217" s="78"/>
      <c r="HF217" s="78"/>
      <c r="HG217" s="78"/>
      <c r="HH217" s="78"/>
      <c r="HI217" s="78"/>
      <c r="HJ217" s="78"/>
      <c r="HK217" s="78"/>
      <c r="HL217" s="78"/>
      <c r="HM217" s="78"/>
      <c r="HN217" s="78"/>
      <c r="HO217" s="78"/>
      <c r="HP217" s="78"/>
      <c r="HQ217" s="78"/>
      <c r="HR217" s="78"/>
      <c r="HS217" s="78"/>
      <c r="HT217" s="78"/>
      <c r="HU217" s="78"/>
      <c r="HV217" s="78"/>
      <c r="HW217" s="78"/>
      <c r="HX217" s="78"/>
      <c r="HY217" s="78"/>
      <c r="HZ217" s="78"/>
      <c r="IA217" s="78"/>
      <c r="IB217" s="78"/>
      <c r="IC217" s="78"/>
      <c r="ID217" s="78"/>
      <c r="IE217" s="78"/>
      <c r="IF217" s="78"/>
      <c r="IG217" s="78"/>
      <c r="IH217" s="78"/>
      <c r="II217" s="78"/>
      <c r="IJ217" s="78"/>
      <c r="IK217" s="78"/>
      <c r="IL217" s="78"/>
      <c r="IM217" s="78"/>
      <c r="IN217" s="78"/>
      <c r="IO217" s="78"/>
      <c r="IP217" s="78"/>
      <c r="IQ217" s="78"/>
      <c r="IR217" s="78"/>
    </row>
    <row r="218" spans="1:252" s="75" customFormat="1">
      <c r="A218" s="130"/>
      <c r="C218" s="168"/>
      <c r="FY218" s="78"/>
      <c r="FZ218" s="78"/>
      <c r="GA218" s="78"/>
      <c r="GB218" s="78"/>
      <c r="GC218" s="78"/>
      <c r="GD218" s="78"/>
      <c r="GE218" s="78"/>
      <c r="GF218" s="78"/>
      <c r="GG218" s="78"/>
      <c r="GH218" s="78"/>
      <c r="GI218" s="78"/>
      <c r="GJ218" s="78"/>
      <c r="GK218" s="78"/>
      <c r="GL218" s="78"/>
      <c r="GM218" s="78"/>
      <c r="GN218" s="78"/>
      <c r="GO218" s="78"/>
      <c r="GP218" s="78"/>
      <c r="GQ218" s="78"/>
      <c r="GR218" s="78"/>
      <c r="GS218" s="78"/>
      <c r="GT218" s="78"/>
      <c r="GU218" s="78"/>
      <c r="GV218" s="78"/>
      <c r="GW218" s="78"/>
      <c r="GX218" s="78"/>
      <c r="GY218" s="78"/>
      <c r="GZ218" s="78"/>
      <c r="HA218" s="78"/>
      <c r="HB218" s="78"/>
      <c r="HC218" s="78"/>
      <c r="HD218" s="78"/>
      <c r="HE218" s="78"/>
      <c r="HF218" s="78"/>
      <c r="HG218" s="78"/>
      <c r="HH218" s="78"/>
      <c r="HI218" s="78"/>
      <c r="HJ218" s="78"/>
      <c r="HK218" s="78"/>
      <c r="HL218" s="78"/>
      <c r="HM218" s="78"/>
      <c r="HN218" s="78"/>
      <c r="HO218" s="78"/>
      <c r="HP218" s="78"/>
      <c r="HQ218" s="78"/>
      <c r="HR218" s="78"/>
      <c r="HS218" s="78"/>
      <c r="HT218" s="78"/>
      <c r="HU218" s="78"/>
      <c r="HV218" s="78"/>
      <c r="HW218" s="78"/>
      <c r="HX218" s="78"/>
      <c r="HY218" s="78"/>
      <c r="HZ218" s="78"/>
      <c r="IA218" s="78"/>
      <c r="IB218" s="78"/>
      <c r="IC218" s="78"/>
      <c r="ID218" s="78"/>
      <c r="IE218" s="78"/>
      <c r="IF218" s="78"/>
      <c r="IG218" s="78"/>
      <c r="IH218" s="78"/>
      <c r="II218" s="78"/>
      <c r="IJ218" s="78"/>
      <c r="IK218" s="78"/>
      <c r="IL218" s="78"/>
      <c r="IM218" s="78"/>
      <c r="IN218" s="78"/>
      <c r="IO218" s="78"/>
      <c r="IP218" s="78"/>
      <c r="IQ218" s="78"/>
      <c r="IR218" s="78"/>
    </row>
    <row r="219" spans="1:252" s="75" customFormat="1">
      <c r="A219" s="130"/>
      <c r="C219" s="168"/>
      <c r="FY219" s="78"/>
      <c r="FZ219" s="78"/>
      <c r="GA219" s="78"/>
      <c r="GB219" s="78"/>
      <c r="GC219" s="78"/>
      <c r="GD219" s="78"/>
      <c r="GE219" s="78"/>
      <c r="GF219" s="78"/>
      <c r="GG219" s="78"/>
      <c r="GH219" s="78"/>
      <c r="GI219" s="78"/>
      <c r="GJ219" s="78"/>
      <c r="GK219" s="78"/>
      <c r="GL219" s="78"/>
      <c r="GM219" s="78"/>
      <c r="GN219" s="78"/>
      <c r="GO219" s="78"/>
      <c r="GP219" s="78"/>
      <c r="GQ219" s="78"/>
      <c r="GR219" s="78"/>
      <c r="GS219" s="78"/>
      <c r="GT219" s="78"/>
      <c r="GU219" s="78"/>
      <c r="GV219" s="78"/>
      <c r="GW219" s="78"/>
      <c r="GX219" s="78"/>
      <c r="GY219" s="78"/>
      <c r="GZ219" s="78"/>
      <c r="HA219" s="78"/>
      <c r="HB219" s="78"/>
      <c r="HC219" s="78"/>
      <c r="HD219" s="78"/>
      <c r="HE219" s="78"/>
      <c r="HF219" s="78"/>
      <c r="HG219" s="78"/>
      <c r="HH219" s="78"/>
      <c r="HI219" s="78"/>
      <c r="HJ219" s="78"/>
      <c r="HK219" s="78"/>
      <c r="HL219" s="78"/>
      <c r="HM219" s="78"/>
      <c r="HN219" s="78"/>
      <c r="HO219" s="78"/>
      <c r="HP219" s="78"/>
      <c r="HQ219" s="78"/>
      <c r="HR219" s="78"/>
      <c r="HS219" s="78"/>
      <c r="HT219" s="78"/>
      <c r="HU219" s="78"/>
      <c r="HV219" s="78"/>
      <c r="HW219" s="78"/>
      <c r="HX219" s="78"/>
      <c r="HY219" s="78"/>
      <c r="HZ219" s="78"/>
      <c r="IA219" s="78"/>
      <c r="IB219" s="78"/>
      <c r="IC219" s="78"/>
      <c r="ID219" s="78"/>
      <c r="IE219" s="78"/>
      <c r="IF219" s="78"/>
      <c r="IG219" s="78"/>
      <c r="IH219" s="78"/>
      <c r="II219" s="78"/>
      <c r="IJ219" s="78"/>
      <c r="IK219" s="78"/>
      <c r="IL219" s="78"/>
      <c r="IM219" s="78"/>
      <c r="IN219" s="78"/>
      <c r="IO219" s="78"/>
      <c r="IP219" s="78"/>
      <c r="IQ219" s="78"/>
      <c r="IR219" s="78"/>
    </row>
    <row r="220" spans="1:252" s="75" customFormat="1">
      <c r="A220" s="130"/>
      <c r="C220" s="168"/>
      <c r="FY220" s="78"/>
      <c r="FZ220" s="78"/>
      <c r="GA220" s="78"/>
      <c r="GB220" s="78"/>
      <c r="GC220" s="78"/>
      <c r="GD220" s="78"/>
      <c r="GE220" s="78"/>
      <c r="GF220" s="78"/>
      <c r="GG220" s="78"/>
      <c r="GH220" s="78"/>
      <c r="GI220" s="78"/>
      <c r="GJ220" s="78"/>
      <c r="GK220" s="78"/>
      <c r="GL220" s="78"/>
      <c r="GM220" s="78"/>
      <c r="GN220" s="78"/>
      <c r="GO220" s="78"/>
      <c r="GP220" s="78"/>
      <c r="GQ220" s="78"/>
      <c r="GR220" s="78"/>
      <c r="GS220" s="78"/>
      <c r="GT220" s="78"/>
      <c r="GU220" s="78"/>
      <c r="GV220" s="78"/>
      <c r="GW220" s="78"/>
      <c r="GX220" s="78"/>
      <c r="GY220" s="78"/>
      <c r="GZ220" s="78"/>
      <c r="HA220" s="78"/>
      <c r="HB220" s="78"/>
      <c r="HC220" s="78"/>
      <c r="HD220" s="78"/>
      <c r="HE220" s="78"/>
      <c r="HF220" s="78"/>
      <c r="HG220" s="78"/>
      <c r="HH220" s="78"/>
      <c r="HI220" s="78"/>
      <c r="HJ220" s="78"/>
      <c r="HK220" s="78"/>
      <c r="HL220" s="78"/>
      <c r="HM220" s="78"/>
      <c r="HN220" s="78"/>
      <c r="HO220" s="78"/>
      <c r="HP220" s="78"/>
      <c r="HQ220" s="78"/>
      <c r="HR220" s="78"/>
      <c r="HS220" s="78"/>
      <c r="HT220" s="78"/>
      <c r="HU220" s="78"/>
      <c r="HV220" s="78"/>
      <c r="HW220" s="78"/>
      <c r="HX220" s="78"/>
      <c r="HY220" s="78"/>
      <c r="HZ220" s="78"/>
      <c r="IA220" s="78"/>
      <c r="IB220" s="78"/>
      <c r="IC220" s="78"/>
      <c r="ID220" s="78"/>
      <c r="IE220" s="78"/>
      <c r="IF220" s="78"/>
      <c r="IG220" s="78"/>
      <c r="IH220" s="78"/>
      <c r="II220" s="78"/>
      <c r="IJ220" s="78"/>
      <c r="IK220" s="78"/>
      <c r="IL220" s="78"/>
      <c r="IM220" s="78"/>
      <c r="IN220" s="78"/>
      <c r="IO220" s="78"/>
      <c r="IP220" s="78"/>
      <c r="IQ220" s="78"/>
      <c r="IR220" s="78"/>
    </row>
    <row r="221" spans="1:252" s="75" customFormat="1">
      <c r="A221" s="130"/>
      <c r="C221" s="168"/>
      <c r="FY221" s="78"/>
      <c r="FZ221" s="78"/>
      <c r="GA221" s="78"/>
      <c r="GB221" s="78"/>
      <c r="GC221" s="78"/>
      <c r="GD221" s="78"/>
      <c r="GE221" s="78"/>
      <c r="GF221" s="78"/>
      <c r="GG221" s="78"/>
      <c r="GH221" s="78"/>
      <c r="GI221" s="78"/>
      <c r="GJ221" s="78"/>
      <c r="GK221" s="78"/>
      <c r="GL221" s="78"/>
      <c r="GM221" s="78"/>
      <c r="GN221" s="78"/>
      <c r="GO221" s="78"/>
      <c r="GP221" s="78"/>
      <c r="GQ221" s="78"/>
      <c r="GR221" s="78"/>
      <c r="GS221" s="78"/>
      <c r="GT221" s="78"/>
      <c r="GU221" s="78"/>
      <c r="GV221" s="78"/>
      <c r="GW221" s="78"/>
      <c r="GX221" s="78"/>
      <c r="GY221" s="78"/>
      <c r="GZ221" s="78"/>
      <c r="HA221" s="78"/>
      <c r="HB221" s="78"/>
      <c r="HC221" s="78"/>
      <c r="HD221" s="78"/>
      <c r="HE221" s="78"/>
      <c r="HF221" s="78"/>
      <c r="HG221" s="78"/>
      <c r="HH221" s="78"/>
      <c r="HI221" s="78"/>
      <c r="HJ221" s="78"/>
      <c r="HK221" s="78"/>
      <c r="HL221" s="78"/>
      <c r="HM221" s="78"/>
      <c r="HN221" s="78"/>
      <c r="HO221" s="78"/>
      <c r="HP221" s="78"/>
      <c r="HQ221" s="78"/>
      <c r="HR221" s="78"/>
      <c r="HS221" s="78"/>
      <c r="HT221" s="78"/>
      <c r="HU221" s="78"/>
      <c r="HV221" s="78"/>
      <c r="HW221" s="78"/>
      <c r="HX221" s="78"/>
      <c r="HY221" s="78"/>
      <c r="HZ221" s="78"/>
      <c r="IA221" s="78"/>
      <c r="IB221" s="78"/>
      <c r="IC221" s="78"/>
      <c r="ID221" s="78"/>
      <c r="IE221" s="78"/>
      <c r="IF221" s="78"/>
      <c r="IG221" s="78"/>
      <c r="IH221" s="78"/>
      <c r="II221" s="78"/>
      <c r="IJ221" s="78"/>
      <c r="IK221" s="78"/>
      <c r="IL221" s="78"/>
      <c r="IM221" s="78"/>
      <c r="IN221" s="78"/>
      <c r="IO221" s="78"/>
      <c r="IP221" s="78"/>
      <c r="IQ221" s="78"/>
      <c r="IR221" s="78"/>
    </row>
    <row r="222" spans="1:252" s="75" customFormat="1">
      <c r="A222" s="130"/>
      <c r="C222" s="168"/>
      <c r="FY222" s="78"/>
      <c r="FZ222" s="78"/>
      <c r="GA222" s="78"/>
      <c r="GB222" s="78"/>
      <c r="GC222" s="78"/>
      <c r="GD222" s="78"/>
      <c r="GE222" s="78"/>
      <c r="GF222" s="78"/>
      <c r="GG222" s="78"/>
      <c r="GH222" s="78"/>
      <c r="GI222" s="78"/>
      <c r="GJ222" s="78"/>
      <c r="GK222" s="78"/>
      <c r="GL222" s="78"/>
      <c r="GM222" s="78"/>
      <c r="GN222" s="78"/>
      <c r="GO222" s="78"/>
      <c r="GP222" s="78"/>
      <c r="GQ222" s="78"/>
      <c r="GR222" s="78"/>
      <c r="GS222" s="78"/>
      <c r="GT222" s="78"/>
      <c r="GU222" s="78"/>
      <c r="GV222" s="78"/>
      <c r="GW222" s="78"/>
      <c r="GX222" s="78"/>
      <c r="GY222" s="78"/>
      <c r="GZ222" s="78"/>
      <c r="HA222" s="78"/>
      <c r="HB222" s="78"/>
      <c r="HC222" s="78"/>
      <c r="HD222" s="78"/>
      <c r="HE222" s="78"/>
      <c r="HF222" s="78"/>
      <c r="HG222" s="78"/>
      <c r="HH222" s="78"/>
      <c r="HI222" s="78"/>
      <c r="HJ222" s="78"/>
      <c r="HK222" s="78"/>
      <c r="HL222" s="78"/>
      <c r="HM222" s="78"/>
      <c r="HN222" s="78"/>
      <c r="HO222" s="78"/>
      <c r="HP222" s="78"/>
      <c r="HQ222" s="78"/>
      <c r="HR222" s="78"/>
      <c r="HS222" s="78"/>
      <c r="HT222" s="78"/>
      <c r="HU222" s="78"/>
      <c r="HV222" s="78"/>
      <c r="HW222" s="78"/>
      <c r="HX222" s="78"/>
      <c r="HY222" s="78"/>
      <c r="HZ222" s="78"/>
      <c r="IA222" s="78"/>
      <c r="IB222" s="78"/>
      <c r="IC222" s="78"/>
      <c r="ID222" s="78"/>
      <c r="IE222" s="78"/>
      <c r="IF222" s="78"/>
      <c r="IG222" s="78"/>
      <c r="IH222" s="78"/>
      <c r="II222" s="78"/>
      <c r="IJ222" s="78"/>
      <c r="IK222" s="78"/>
      <c r="IL222" s="78"/>
      <c r="IM222" s="78"/>
      <c r="IN222" s="78"/>
      <c r="IO222" s="78"/>
      <c r="IP222" s="78"/>
      <c r="IQ222" s="78"/>
      <c r="IR222" s="78"/>
    </row>
  </sheetData>
  <customSheetViews>
    <customSheetView guid="{03091628-F6D4-4F96-BE8D-F71180D05B85}" showRuler="0">
      <pane xSplit="2" topLeftCell="AL1" activePane="topRight" state="frozen"/>
      <selection pane="topRight" activeCell="AT14" sqref="AT14"/>
      <pageMargins left="0.75" right="0.75" top="1" bottom="1" header="0.5" footer="0.5"/>
      <pageSetup paperSize="9" orientation="portrait" r:id="rId1"/>
      <headerFooter alignWithMargins="0"/>
    </customSheetView>
    <customSheetView guid="{271AA8F8-60C3-4229-917D-1AD0132C3662}" showRuler="0">
      <pane xSplit="2" topLeftCell="R1" activePane="topRight" state="frozen"/>
      <selection pane="topRight" activeCell="Z24" sqref="Z24"/>
      <pageMargins left="0.75" right="0.75" top="1" bottom="1" header="0.5" footer="0.5"/>
      <pageSetup paperSize="9" orientation="portrait" r:id="rId2"/>
      <headerFooter alignWithMargins="0"/>
    </customSheetView>
    <customSheetView guid="{528AB2D6-6AB1-4EDF-82FA-E8DF1DDBF2B7}" showPageBreaks="1" showAutoFilter="1" showRuler="0" topLeftCell="A86">
      <pane xSplit="2" topLeftCell="CC1" activePane="topRight" state="frozen"/>
      <selection pane="topRight" activeCell="CD93" sqref="CD93"/>
      <pageMargins left="0.75" right="0.75" top="1" bottom="1" header="0.5" footer="0.5"/>
      <pageSetup paperSize="9" orientation="portrait" r:id="rId3"/>
      <headerFooter alignWithMargins="0"/>
      <autoFilter ref="B1"/>
    </customSheetView>
    <customSheetView guid="{F1C5ABF4-42E4-44BC-9688-F813E67E9DF6}" showAutoFilter="1" showRuler="0" topLeftCell="A78">
      <pane xSplit="2" topLeftCell="BS1" activePane="topRight" state="frozen"/>
      <selection pane="topRight" activeCell="CA90" sqref="CA90"/>
      <pageMargins left="0.75" right="0.75" top="1" bottom="1" header="0.5" footer="0.5"/>
      <pageSetup paperSize="9" orientation="portrait" r:id="rId4"/>
      <headerFooter alignWithMargins="0"/>
      <autoFilter ref="B1"/>
    </customSheetView>
    <customSheetView guid="{2F6CC16A-0ECF-4CDA-A0ED-393648E899F1}" showAutoFilter="1" showRuler="0" topLeftCell="A81">
      <pane xSplit="2" topLeftCell="Q1" activePane="topRight" state="frozen"/>
      <selection pane="topRight" activeCell="Y98" sqref="Y98"/>
      <pageMargins left="0.75" right="0.75" top="1" bottom="1" header="0.5" footer="0.5"/>
      <pageSetup paperSize="9" orientation="portrait" r:id="rId5"/>
      <headerFooter alignWithMargins="0"/>
      <autoFilter ref="B1"/>
    </customSheetView>
    <customSheetView guid="{7B628B3C-52F9-4A25-BBE2-E9704E2B4E64}" showPageBreaks="1" showAutoFilter="1" showRuler="0" topLeftCell="A87">
      <pane xSplit="2" topLeftCell="BT1" activePane="topRight" state="frozen"/>
      <selection pane="topRight" activeCell="BZ89" sqref="BZ89:BZ108"/>
      <pageMargins left="0.75" right="0.75" top="1" bottom="1" header="0.5" footer="0.5"/>
      <pageSetup paperSize="9" orientation="portrait" r:id="rId6"/>
      <headerFooter alignWithMargins="0"/>
      <autoFilter ref="B1"/>
    </customSheetView>
    <customSheetView guid="{14901331-E232-4D80-AB2F-46B07F54F7E7}" showPageBreaks="1" showAutoFilter="1" showRuler="0" topLeftCell="A81">
      <pane xSplit="2" topLeftCell="BJ1" activePane="topRight" state="frozen"/>
      <selection pane="topRight" activeCell="A83" sqref="A83"/>
      <pageMargins left="0.75" right="0.75" top="1" bottom="1" header="0.5" footer="0.5"/>
      <pageSetup paperSize="9" orientation="portrait" r:id="rId7"/>
      <headerFooter alignWithMargins="0"/>
      <autoFilter ref="B1"/>
    </customSheetView>
    <customSheetView guid="{1B8A84A3-3ABB-4F6A-9729-15A06ABCCAD7}" showPageBreaks="1" showRuler="0">
      <pane xSplit="2" topLeftCell="BF1" activePane="topRight" state="frozen"/>
      <selection pane="topRight" activeCell="BO21" sqref="BO21"/>
      <pageMargins left="0.75" right="0.75" top="1" bottom="1" header="0.5" footer="0.5"/>
      <pageSetup paperSize="9" orientation="portrait" r:id="rId8"/>
      <headerFooter alignWithMargins="0"/>
    </customSheetView>
  </customSheetViews>
  <mergeCells count="43">
    <mergeCell ref="A123:A139"/>
    <mergeCell ref="B139:C139"/>
    <mergeCell ref="B134:B138"/>
    <mergeCell ref="B123:B127"/>
    <mergeCell ref="B128:B133"/>
    <mergeCell ref="A89:A105"/>
    <mergeCell ref="A72:A88"/>
    <mergeCell ref="A106:A122"/>
    <mergeCell ref="B72:B76"/>
    <mergeCell ref="B94:B99"/>
    <mergeCell ref="B117:B121"/>
    <mergeCell ref="B88:C88"/>
    <mergeCell ref="B122:C122"/>
    <mergeCell ref="B106:B110"/>
    <mergeCell ref="B100:B104"/>
    <mergeCell ref="B105:C105"/>
    <mergeCell ref="B111:B116"/>
    <mergeCell ref="B89:B93"/>
    <mergeCell ref="B83:B87"/>
    <mergeCell ref="B38:B42"/>
    <mergeCell ref="B43:B48"/>
    <mergeCell ref="A55:A71"/>
    <mergeCell ref="B77:B82"/>
    <mergeCell ref="B66:B70"/>
    <mergeCell ref="A38:A54"/>
    <mergeCell ref="B54:C54"/>
    <mergeCell ref="B49:B53"/>
    <mergeCell ref="B55:B59"/>
    <mergeCell ref="B71:C71"/>
    <mergeCell ref="B60:B65"/>
    <mergeCell ref="W1:AA1"/>
    <mergeCell ref="B20:C20"/>
    <mergeCell ref="B37:C37"/>
    <mergeCell ref="Q1:U1"/>
    <mergeCell ref="B4:B8"/>
    <mergeCell ref="B9:B14"/>
    <mergeCell ref="A2:C3"/>
    <mergeCell ref="A21:A37"/>
    <mergeCell ref="A4:A20"/>
    <mergeCell ref="B32:B36"/>
    <mergeCell ref="B21:B25"/>
    <mergeCell ref="B15:B19"/>
    <mergeCell ref="B26:B31"/>
  </mergeCells>
  <phoneticPr fontId="0" type="noConversion"/>
  <pageMargins left="0.75" right="0.75" top="1" bottom="1" header="0.5" footer="0.5"/>
  <pageSetup paperSize="9" orientation="portrait" r:id="rId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sheetPr enableFormatConditionsCalculation="0">
    <tabColor indexed="35"/>
  </sheetPr>
  <dimension ref="A1:AIC137"/>
  <sheetViews>
    <sheetView topLeftCell="A16" workbookViewId="0">
      <pane xSplit="2" topLeftCell="C1" activePane="topRight" state="frozen"/>
      <selection pane="topRight" activeCell="C28" sqref="C28"/>
    </sheetView>
  </sheetViews>
  <sheetFormatPr defaultRowHeight="12.75"/>
  <cols>
    <col min="1" max="1" width="5.7109375" style="172" customWidth="1"/>
    <col min="2" max="2" width="18.42578125" style="176" customWidth="1"/>
    <col min="3" max="135" width="9.140625" style="3"/>
    <col min="136" max="136" width="10" style="3" bestFit="1" customWidth="1"/>
    <col min="137" max="262" width="9.140625" style="3"/>
    <col min="263" max="263" width="10.140625" style="3" customWidth="1"/>
    <col min="264" max="391" width="9.140625" style="3"/>
    <col min="392" max="392" width="11" style="3" bestFit="1" customWidth="1"/>
    <col min="393" max="693" width="9.140625" style="3"/>
    <col min="694" max="694" width="12.42578125" style="3" bestFit="1" customWidth="1"/>
    <col min="695" max="732" width="9.140625" style="3"/>
    <col min="733" max="733" width="9.140625" style="336"/>
    <col min="734" max="912" width="9.140625" style="335"/>
    <col min="913" max="16384" width="9.140625" style="3"/>
  </cols>
  <sheetData>
    <row r="1" spans="1:913" s="172" customFormat="1" ht="7.5" customHeight="1">
      <c r="A1" s="492" t="s">
        <v>102</v>
      </c>
      <c r="B1" s="492"/>
      <c r="ABE1" s="336"/>
      <c r="ABF1" s="335"/>
      <c r="ABG1" s="335"/>
      <c r="ABH1" s="335"/>
      <c r="ABI1" s="335"/>
      <c r="ABJ1" s="335"/>
      <c r="ABK1" s="335"/>
      <c r="ABL1" s="335"/>
      <c r="ABM1" s="335"/>
      <c r="ABN1" s="335"/>
      <c r="ABO1" s="335"/>
      <c r="ABP1" s="335"/>
      <c r="ABQ1" s="335"/>
      <c r="ABR1" s="335"/>
      <c r="ABS1" s="335"/>
      <c r="ABT1" s="335"/>
      <c r="ABU1" s="335"/>
      <c r="ABV1" s="335"/>
      <c r="ABW1" s="335"/>
      <c r="ABX1" s="335"/>
      <c r="ABY1" s="335"/>
      <c r="ABZ1" s="335"/>
      <c r="ACA1" s="335"/>
      <c r="ACB1" s="335"/>
      <c r="ACC1" s="335"/>
      <c r="ACD1" s="335"/>
      <c r="ACE1" s="335"/>
      <c r="ACF1" s="335"/>
      <c r="ACG1" s="335"/>
      <c r="ACH1" s="335"/>
      <c r="ACI1" s="335"/>
      <c r="ACJ1" s="335"/>
      <c r="ACK1" s="335"/>
      <c r="ACL1" s="335"/>
      <c r="ACM1" s="335"/>
      <c r="ACN1" s="335"/>
      <c r="ACO1" s="335"/>
      <c r="ACP1" s="335"/>
      <c r="ACQ1" s="335"/>
      <c r="ACR1" s="335"/>
      <c r="ACS1" s="335"/>
      <c r="ACT1" s="335"/>
      <c r="ACU1" s="335"/>
      <c r="ACV1" s="335"/>
      <c r="ACW1" s="335"/>
      <c r="ACX1" s="335"/>
      <c r="ACY1" s="335"/>
      <c r="ACZ1" s="335"/>
      <c r="ADA1" s="335"/>
      <c r="ADB1" s="335"/>
      <c r="ADC1" s="335"/>
      <c r="ADD1" s="335"/>
      <c r="ADE1" s="335"/>
      <c r="ADF1" s="335"/>
      <c r="ADG1" s="335"/>
      <c r="ADH1" s="335"/>
      <c r="ADI1" s="335"/>
      <c r="ADJ1" s="335"/>
      <c r="ADK1" s="335"/>
      <c r="ADL1" s="335"/>
      <c r="ADM1" s="335"/>
      <c r="ADN1" s="335"/>
      <c r="ADO1" s="335"/>
      <c r="ADP1" s="335"/>
      <c r="ADQ1" s="335"/>
      <c r="ADR1" s="335"/>
      <c r="ADS1" s="335"/>
      <c r="ADT1" s="335"/>
      <c r="ADU1" s="335"/>
      <c r="ADV1" s="335"/>
      <c r="ADW1" s="335"/>
      <c r="ADX1" s="335"/>
      <c r="ADY1" s="335"/>
      <c r="ADZ1" s="335"/>
      <c r="AEA1" s="335"/>
      <c r="AEB1" s="335"/>
      <c r="AEC1" s="335"/>
      <c r="AED1" s="335"/>
      <c r="AEE1" s="335"/>
      <c r="AEF1" s="335"/>
      <c r="AEG1" s="335"/>
      <c r="AEH1" s="335"/>
      <c r="AEI1" s="335"/>
      <c r="AEJ1" s="335"/>
      <c r="AEK1" s="335"/>
      <c r="AEL1" s="335"/>
      <c r="AEM1" s="335"/>
      <c r="AEN1" s="335"/>
      <c r="AEO1" s="335"/>
      <c r="AEP1" s="335"/>
      <c r="AEQ1" s="335"/>
      <c r="AER1" s="335"/>
      <c r="AES1" s="335"/>
      <c r="AET1" s="335"/>
      <c r="AEU1" s="335"/>
      <c r="AEV1" s="335"/>
      <c r="AEW1" s="335"/>
      <c r="AEX1" s="335"/>
      <c r="AEY1" s="335"/>
      <c r="AEZ1" s="335"/>
      <c r="AFA1" s="335"/>
      <c r="AFB1" s="335"/>
      <c r="AFC1" s="335"/>
      <c r="AFD1" s="335"/>
      <c r="AFE1" s="335"/>
      <c r="AFF1" s="335"/>
      <c r="AFG1" s="335"/>
      <c r="AFH1" s="335"/>
      <c r="AFI1" s="335"/>
      <c r="AFJ1" s="335"/>
      <c r="AFK1" s="335"/>
      <c r="AFL1" s="335"/>
      <c r="AFM1" s="335"/>
      <c r="AFN1" s="335"/>
      <c r="AFO1" s="335"/>
      <c r="AFP1" s="335"/>
      <c r="AFQ1" s="335"/>
      <c r="AFR1" s="335"/>
      <c r="AFS1" s="335"/>
      <c r="AFT1" s="335"/>
      <c r="AFU1" s="335"/>
      <c r="AFV1" s="335"/>
      <c r="AFW1" s="335"/>
      <c r="AFX1" s="335"/>
      <c r="AFY1" s="335"/>
      <c r="AFZ1" s="335"/>
      <c r="AGA1" s="335"/>
      <c r="AGB1" s="335"/>
      <c r="AGC1" s="335"/>
      <c r="AGD1" s="335"/>
      <c r="AGE1" s="335"/>
      <c r="AGF1" s="335"/>
      <c r="AGG1" s="335"/>
      <c r="AGH1" s="335"/>
      <c r="AGI1" s="335"/>
      <c r="AGJ1" s="335"/>
      <c r="AGK1" s="335"/>
      <c r="AGL1" s="335"/>
      <c r="AGM1" s="335"/>
      <c r="AGN1" s="335"/>
      <c r="AGO1" s="335"/>
      <c r="AGP1" s="335"/>
      <c r="AGQ1" s="335"/>
      <c r="AGR1" s="335"/>
      <c r="AGS1" s="335"/>
      <c r="AGT1" s="335"/>
      <c r="AGU1" s="335"/>
      <c r="AGV1" s="335"/>
      <c r="AGW1" s="335"/>
      <c r="AGX1" s="335"/>
      <c r="AGY1" s="335"/>
      <c r="AGZ1" s="335"/>
      <c r="AHA1" s="335"/>
      <c r="AHB1" s="335"/>
      <c r="AHC1" s="335"/>
      <c r="AHD1" s="335"/>
      <c r="AHE1" s="335"/>
      <c r="AHF1" s="335"/>
      <c r="AHG1" s="335"/>
      <c r="AHH1" s="335"/>
      <c r="AHI1" s="335"/>
      <c r="AHJ1" s="335"/>
      <c r="AHK1" s="335"/>
      <c r="AHL1" s="335"/>
      <c r="AHM1" s="335"/>
      <c r="AHN1" s="335"/>
      <c r="AHO1" s="335"/>
      <c r="AHP1" s="335"/>
      <c r="AHQ1" s="335"/>
      <c r="AHR1" s="335"/>
      <c r="AHS1" s="335"/>
      <c r="AHT1" s="335"/>
      <c r="AHU1" s="335"/>
      <c r="AHV1" s="335"/>
      <c r="AHW1" s="335"/>
      <c r="AHX1" s="335"/>
      <c r="AHY1" s="335"/>
      <c r="AHZ1" s="335"/>
      <c r="AIA1" s="335"/>
      <c r="AIB1" s="335"/>
    </row>
    <row r="2" spans="1:913" s="173" customFormat="1" ht="12.75" customHeight="1">
      <c r="A2" s="492"/>
      <c r="B2" s="492"/>
      <c r="C2" s="497">
        <v>40910</v>
      </c>
      <c r="D2" s="497"/>
      <c r="E2" s="497">
        <v>40911</v>
      </c>
      <c r="F2" s="497"/>
      <c r="G2" s="497">
        <v>40912</v>
      </c>
      <c r="H2" s="497"/>
      <c r="I2" s="497">
        <v>40913</v>
      </c>
      <c r="J2" s="497"/>
      <c r="K2" s="497">
        <v>40914</v>
      </c>
      <c r="L2" s="497"/>
      <c r="M2" s="497">
        <v>40915</v>
      </c>
      <c r="N2" s="497"/>
      <c r="O2" s="497">
        <v>40916</v>
      </c>
      <c r="P2" s="497"/>
      <c r="Q2" s="497">
        <v>40917</v>
      </c>
      <c r="R2" s="497"/>
      <c r="S2" s="497">
        <v>40918</v>
      </c>
      <c r="T2" s="497"/>
      <c r="U2" s="497">
        <v>40919</v>
      </c>
      <c r="V2" s="497"/>
      <c r="W2" s="497">
        <v>40920</v>
      </c>
      <c r="X2" s="497"/>
      <c r="Y2" s="497">
        <v>40921</v>
      </c>
      <c r="Z2" s="497"/>
      <c r="AA2" s="497">
        <v>40922</v>
      </c>
      <c r="AB2" s="497"/>
      <c r="AC2" s="497">
        <v>40923</v>
      </c>
      <c r="AD2" s="497"/>
      <c r="AE2" s="497">
        <v>40924</v>
      </c>
      <c r="AF2" s="497"/>
      <c r="AG2" s="497">
        <v>40925</v>
      </c>
      <c r="AH2" s="497"/>
      <c r="AI2" s="497">
        <v>40926</v>
      </c>
      <c r="AJ2" s="497"/>
      <c r="AK2" s="497">
        <v>40927</v>
      </c>
      <c r="AL2" s="497"/>
      <c r="AM2" s="497">
        <v>40928</v>
      </c>
      <c r="AN2" s="497"/>
      <c r="AO2" s="497">
        <v>40929</v>
      </c>
      <c r="AP2" s="497"/>
      <c r="AQ2" s="497">
        <v>40930</v>
      </c>
      <c r="AR2" s="497"/>
      <c r="AS2" s="497">
        <v>40931</v>
      </c>
      <c r="AT2" s="497"/>
      <c r="AU2" s="497">
        <v>40932</v>
      </c>
      <c r="AV2" s="497"/>
      <c r="AW2" s="497">
        <v>40933</v>
      </c>
      <c r="AX2" s="497"/>
      <c r="AY2" s="497">
        <v>40934</v>
      </c>
      <c r="AZ2" s="497"/>
      <c r="BA2" s="497">
        <v>40935</v>
      </c>
      <c r="BB2" s="497"/>
      <c r="BC2" s="497">
        <v>40936</v>
      </c>
      <c r="BD2" s="497"/>
      <c r="BE2" s="497">
        <v>40937</v>
      </c>
      <c r="BF2" s="497"/>
      <c r="BG2" s="497">
        <v>40938</v>
      </c>
      <c r="BH2" s="497"/>
      <c r="BI2" s="497">
        <v>40939</v>
      </c>
      <c r="BJ2" s="497"/>
      <c r="BK2" s="497">
        <v>40940</v>
      </c>
      <c r="BL2" s="497"/>
      <c r="BM2" s="497">
        <v>40941</v>
      </c>
      <c r="BN2" s="497"/>
      <c r="BO2" s="497">
        <v>40942</v>
      </c>
      <c r="BP2" s="497"/>
      <c r="BQ2" s="497">
        <v>40943</v>
      </c>
      <c r="BR2" s="497"/>
      <c r="BS2" s="497">
        <v>40944</v>
      </c>
      <c r="BT2" s="497"/>
      <c r="BU2" s="497">
        <v>40945</v>
      </c>
      <c r="BV2" s="497"/>
      <c r="BW2" s="497">
        <v>40946</v>
      </c>
      <c r="BX2" s="497"/>
      <c r="BY2" s="497">
        <v>40947</v>
      </c>
      <c r="BZ2" s="497"/>
      <c r="CA2" s="497">
        <v>40948</v>
      </c>
      <c r="CB2" s="497"/>
      <c r="CC2" s="497">
        <v>40949</v>
      </c>
      <c r="CD2" s="497"/>
      <c r="CE2" s="497">
        <v>40950</v>
      </c>
      <c r="CF2" s="497"/>
      <c r="CG2" s="497">
        <v>40951</v>
      </c>
      <c r="CH2" s="497"/>
      <c r="CI2" s="497">
        <v>40952</v>
      </c>
      <c r="CJ2" s="497"/>
      <c r="CK2" s="497">
        <v>40953</v>
      </c>
      <c r="CL2" s="497"/>
      <c r="CM2" s="497">
        <v>40954</v>
      </c>
      <c r="CN2" s="497"/>
      <c r="CO2" s="497">
        <v>40955</v>
      </c>
      <c r="CP2" s="497"/>
      <c r="CQ2" s="497">
        <v>40956</v>
      </c>
      <c r="CR2" s="497"/>
      <c r="CS2" s="497">
        <v>40957</v>
      </c>
      <c r="CT2" s="497"/>
      <c r="CU2" s="497">
        <v>40958</v>
      </c>
      <c r="CV2" s="497"/>
      <c r="CW2" s="497">
        <v>40959</v>
      </c>
      <c r="CX2" s="497"/>
      <c r="CY2" s="497">
        <v>40960</v>
      </c>
      <c r="CZ2" s="497"/>
      <c r="DA2" s="497">
        <v>40961</v>
      </c>
      <c r="DB2" s="497"/>
      <c r="DC2" s="497">
        <v>40962</v>
      </c>
      <c r="DD2" s="497"/>
      <c r="DE2" s="497">
        <v>40963</v>
      </c>
      <c r="DF2" s="497"/>
      <c r="DG2" s="497">
        <v>40964</v>
      </c>
      <c r="DH2" s="497"/>
      <c r="DI2" s="497">
        <v>40965</v>
      </c>
      <c r="DJ2" s="497"/>
      <c r="DK2" s="497">
        <v>40966</v>
      </c>
      <c r="DL2" s="497"/>
      <c r="DM2" s="497">
        <v>40967</v>
      </c>
      <c r="DN2" s="497"/>
      <c r="DO2" s="497">
        <v>40968</v>
      </c>
      <c r="DP2" s="497"/>
      <c r="DQ2" s="497">
        <v>40969</v>
      </c>
      <c r="DR2" s="497"/>
      <c r="DS2" s="497">
        <v>40970</v>
      </c>
      <c r="DT2" s="497"/>
      <c r="DU2" s="497">
        <v>40971</v>
      </c>
      <c r="DV2" s="497"/>
      <c r="DW2" s="497">
        <v>40972</v>
      </c>
      <c r="DX2" s="497"/>
      <c r="DY2" s="497">
        <v>40973</v>
      </c>
      <c r="DZ2" s="497"/>
      <c r="EA2" s="497">
        <v>40974</v>
      </c>
      <c r="EB2" s="497"/>
      <c r="EC2" s="497">
        <v>40975</v>
      </c>
      <c r="ED2" s="497"/>
      <c r="EE2" s="497">
        <v>40976</v>
      </c>
      <c r="EF2" s="497"/>
      <c r="EG2" s="497">
        <v>40977</v>
      </c>
      <c r="EH2" s="497"/>
      <c r="EI2" s="497">
        <v>40978</v>
      </c>
      <c r="EJ2" s="497"/>
      <c r="EK2" s="497">
        <v>40979</v>
      </c>
      <c r="EL2" s="497"/>
      <c r="EM2" s="497">
        <v>40980</v>
      </c>
      <c r="EN2" s="497"/>
      <c r="EO2" s="497">
        <v>40981</v>
      </c>
      <c r="EP2" s="497"/>
      <c r="EQ2" s="497">
        <v>40982</v>
      </c>
      <c r="ER2" s="497"/>
      <c r="ES2" s="497">
        <v>40983</v>
      </c>
      <c r="ET2" s="497"/>
      <c r="EU2" s="497">
        <v>40984</v>
      </c>
      <c r="EV2" s="497"/>
      <c r="EW2" s="497">
        <v>40985</v>
      </c>
      <c r="EX2" s="497"/>
      <c r="EY2" s="497">
        <v>40986</v>
      </c>
      <c r="EZ2" s="497"/>
      <c r="FA2" s="497">
        <v>40987</v>
      </c>
      <c r="FB2" s="497"/>
      <c r="FC2" s="497">
        <v>40988</v>
      </c>
      <c r="FD2" s="497"/>
      <c r="FE2" s="497">
        <v>40989</v>
      </c>
      <c r="FF2" s="497"/>
      <c r="FG2" s="497">
        <v>40990</v>
      </c>
      <c r="FH2" s="497"/>
      <c r="FI2" s="497">
        <v>40991</v>
      </c>
      <c r="FJ2" s="497"/>
      <c r="FK2" s="497">
        <v>40992</v>
      </c>
      <c r="FL2" s="497"/>
      <c r="FM2" s="497">
        <v>40993</v>
      </c>
      <c r="FN2" s="497"/>
      <c r="FO2" s="497">
        <v>40994</v>
      </c>
      <c r="FP2" s="497"/>
      <c r="FQ2" s="497">
        <v>40995</v>
      </c>
      <c r="FR2" s="497"/>
      <c r="FS2" s="497">
        <v>40996</v>
      </c>
      <c r="FT2" s="497"/>
      <c r="FU2" s="497">
        <v>40997</v>
      </c>
      <c r="FV2" s="497"/>
      <c r="FW2" s="497">
        <v>40998</v>
      </c>
      <c r="FX2" s="497"/>
      <c r="FY2" s="497">
        <v>40999</v>
      </c>
      <c r="FZ2" s="497"/>
      <c r="GA2" s="497">
        <v>41000</v>
      </c>
      <c r="GB2" s="497"/>
      <c r="GC2" s="497">
        <v>41001</v>
      </c>
      <c r="GD2" s="497"/>
      <c r="GE2" s="497">
        <v>41002</v>
      </c>
      <c r="GF2" s="497"/>
      <c r="GG2" s="497">
        <v>41003</v>
      </c>
      <c r="GH2" s="497"/>
      <c r="GI2" s="497">
        <v>41004</v>
      </c>
      <c r="GJ2" s="497"/>
      <c r="GK2" s="497">
        <v>41005</v>
      </c>
      <c r="GL2" s="497"/>
      <c r="GM2" s="497">
        <v>41006</v>
      </c>
      <c r="GN2" s="497"/>
      <c r="GO2" s="497">
        <v>41007</v>
      </c>
      <c r="GP2" s="497"/>
      <c r="GQ2" s="497">
        <v>41008</v>
      </c>
      <c r="GR2" s="497"/>
      <c r="GS2" s="497">
        <v>41009</v>
      </c>
      <c r="GT2" s="497"/>
      <c r="GU2" s="497">
        <v>41010</v>
      </c>
      <c r="GV2" s="497"/>
      <c r="GW2" s="497">
        <v>41011</v>
      </c>
      <c r="GX2" s="497"/>
      <c r="GY2" s="497">
        <v>41012</v>
      </c>
      <c r="GZ2" s="497"/>
      <c r="HA2" s="497">
        <v>41013</v>
      </c>
      <c r="HB2" s="497"/>
      <c r="HC2" s="497">
        <v>41014</v>
      </c>
      <c r="HD2" s="497"/>
      <c r="HE2" s="497">
        <v>41015</v>
      </c>
      <c r="HF2" s="497"/>
      <c r="HG2" s="497">
        <v>41016</v>
      </c>
      <c r="HH2" s="497"/>
      <c r="HI2" s="497">
        <v>41017</v>
      </c>
      <c r="HJ2" s="497"/>
      <c r="HK2" s="497">
        <v>41018</v>
      </c>
      <c r="HL2" s="497"/>
      <c r="HM2" s="497">
        <v>41019</v>
      </c>
      <c r="HN2" s="497"/>
      <c r="HO2" s="497">
        <v>41020</v>
      </c>
      <c r="HP2" s="497"/>
      <c r="HQ2" s="497">
        <v>41021</v>
      </c>
      <c r="HR2" s="497"/>
      <c r="HS2" s="497">
        <v>41022</v>
      </c>
      <c r="HT2" s="497"/>
      <c r="HU2" s="497">
        <v>41023</v>
      </c>
      <c r="HV2" s="497"/>
      <c r="HW2" s="497">
        <v>41024</v>
      </c>
      <c r="HX2" s="497"/>
      <c r="HY2" s="497">
        <v>41025</v>
      </c>
      <c r="HZ2" s="497"/>
      <c r="IA2" s="497">
        <v>41026</v>
      </c>
      <c r="IB2" s="497"/>
      <c r="IC2" s="497">
        <v>41027</v>
      </c>
      <c r="ID2" s="497"/>
      <c r="IE2" s="497">
        <v>41028</v>
      </c>
      <c r="IF2" s="497"/>
      <c r="IG2" s="497">
        <v>41029</v>
      </c>
      <c r="IH2" s="497"/>
      <c r="II2" s="497">
        <v>41030</v>
      </c>
      <c r="IJ2" s="497"/>
      <c r="IK2" s="497">
        <v>41031</v>
      </c>
      <c r="IL2" s="497"/>
      <c r="IM2" s="497">
        <v>41032</v>
      </c>
      <c r="IN2" s="497"/>
      <c r="IO2" s="497">
        <v>41033</v>
      </c>
      <c r="IP2" s="497"/>
      <c r="IQ2" s="497">
        <v>41034</v>
      </c>
      <c r="IR2" s="497"/>
      <c r="IS2" s="497">
        <v>41035</v>
      </c>
      <c r="IT2" s="497"/>
      <c r="IU2" s="497">
        <v>41036</v>
      </c>
      <c r="IV2" s="497"/>
      <c r="IW2" s="497">
        <v>41037</v>
      </c>
      <c r="IX2" s="497"/>
      <c r="IY2" s="497">
        <v>41038</v>
      </c>
      <c r="IZ2" s="497"/>
      <c r="JA2" s="497">
        <v>41039</v>
      </c>
      <c r="JB2" s="497"/>
      <c r="JC2" s="497">
        <v>41040</v>
      </c>
      <c r="JD2" s="497"/>
      <c r="JE2" s="497">
        <v>41041</v>
      </c>
      <c r="JF2" s="497"/>
      <c r="JG2" s="497">
        <v>41042</v>
      </c>
      <c r="JH2" s="497"/>
      <c r="JI2" s="497">
        <v>41043</v>
      </c>
      <c r="JJ2" s="497"/>
      <c r="JK2" s="497">
        <v>41044</v>
      </c>
      <c r="JL2" s="497"/>
      <c r="JM2" s="497">
        <v>41045</v>
      </c>
      <c r="JN2" s="497"/>
      <c r="JO2" s="497">
        <v>41046</v>
      </c>
      <c r="JP2" s="497"/>
      <c r="JQ2" s="497">
        <v>41047</v>
      </c>
      <c r="JR2" s="497"/>
      <c r="JS2" s="497">
        <v>41048</v>
      </c>
      <c r="JT2" s="497"/>
      <c r="JU2" s="497">
        <v>41049</v>
      </c>
      <c r="JV2" s="497"/>
      <c r="JW2" s="497">
        <v>41050</v>
      </c>
      <c r="JX2" s="497"/>
      <c r="JY2" s="497">
        <v>41051</v>
      </c>
      <c r="JZ2" s="497"/>
      <c r="KA2" s="497">
        <v>41052</v>
      </c>
      <c r="KB2" s="497"/>
      <c r="KC2" s="497">
        <v>41053</v>
      </c>
      <c r="KD2" s="497"/>
      <c r="KE2" s="497">
        <v>41054</v>
      </c>
      <c r="KF2" s="497"/>
      <c r="KG2" s="497">
        <v>41055</v>
      </c>
      <c r="KH2" s="497"/>
      <c r="KI2" s="497">
        <v>41056</v>
      </c>
      <c r="KJ2" s="497"/>
      <c r="KK2" s="497">
        <v>41057</v>
      </c>
      <c r="KL2" s="497"/>
      <c r="KM2" s="497">
        <v>41058</v>
      </c>
      <c r="KN2" s="497"/>
      <c r="KO2" s="497">
        <v>41059</v>
      </c>
      <c r="KP2" s="497"/>
      <c r="KQ2" s="497">
        <v>41060</v>
      </c>
      <c r="KR2" s="497"/>
      <c r="KS2" s="497">
        <v>41061</v>
      </c>
      <c r="KT2" s="497"/>
      <c r="KU2" s="497">
        <v>41062</v>
      </c>
      <c r="KV2" s="497"/>
      <c r="KW2" s="497">
        <v>41063</v>
      </c>
      <c r="KX2" s="497"/>
      <c r="KY2" s="497">
        <v>41064</v>
      </c>
      <c r="KZ2" s="497"/>
      <c r="LA2" s="497">
        <v>41065</v>
      </c>
      <c r="LB2" s="497"/>
      <c r="LC2" s="497">
        <v>41066</v>
      </c>
      <c r="LD2" s="497"/>
      <c r="LE2" s="497">
        <v>41067</v>
      </c>
      <c r="LF2" s="497"/>
      <c r="LG2" s="497">
        <v>41068</v>
      </c>
      <c r="LH2" s="497"/>
      <c r="LI2" s="497">
        <v>41069</v>
      </c>
      <c r="LJ2" s="497"/>
      <c r="LK2" s="497">
        <v>41070</v>
      </c>
      <c r="LL2" s="497"/>
      <c r="LM2" s="497">
        <v>41071</v>
      </c>
      <c r="LN2" s="497"/>
      <c r="LO2" s="497">
        <v>41072</v>
      </c>
      <c r="LP2" s="497"/>
      <c r="LQ2" s="497">
        <v>41073</v>
      </c>
      <c r="LR2" s="497"/>
      <c r="LS2" s="497">
        <v>41074</v>
      </c>
      <c r="LT2" s="497"/>
      <c r="LU2" s="497">
        <v>41075</v>
      </c>
      <c r="LV2" s="497"/>
      <c r="LW2" s="497">
        <v>41076</v>
      </c>
      <c r="LX2" s="497"/>
      <c r="LY2" s="497">
        <v>41077</v>
      </c>
      <c r="LZ2" s="497"/>
      <c r="MA2" s="497">
        <v>41078</v>
      </c>
      <c r="MB2" s="497"/>
      <c r="MC2" s="497">
        <v>41079</v>
      </c>
      <c r="MD2" s="497"/>
      <c r="ME2" s="497">
        <v>41080</v>
      </c>
      <c r="MF2" s="497"/>
      <c r="MG2" s="497">
        <v>41081</v>
      </c>
      <c r="MH2" s="497"/>
      <c r="MI2" s="497">
        <v>41082</v>
      </c>
      <c r="MJ2" s="497"/>
      <c r="MK2" s="497">
        <v>41083</v>
      </c>
      <c r="ML2" s="497"/>
      <c r="MM2" s="497">
        <v>41084</v>
      </c>
      <c r="MN2" s="497"/>
      <c r="MO2" s="497">
        <v>41085</v>
      </c>
      <c r="MP2" s="497"/>
      <c r="MQ2" s="497">
        <v>41086</v>
      </c>
      <c r="MR2" s="497"/>
      <c r="MS2" s="497">
        <v>41087</v>
      </c>
      <c r="MT2" s="497"/>
      <c r="MU2" s="497">
        <v>41088</v>
      </c>
      <c r="MV2" s="497"/>
      <c r="MW2" s="497">
        <v>41089</v>
      </c>
      <c r="MX2" s="497"/>
      <c r="MY2" s="497">
        <v>41090</v>
      </c>
      <c r="MZ2" s="497"/>
      <c r="NA2" s="497">
        <v>41091</v>
      </c>
      <c r="NB2" s="497"/>
      <c r="NC2" s="497">
        <v>41092</v>
      </c>
      <c r="ND2" s="497"/>
      <c r="NE2" s="497">
        <v>41093</v>
      </c>
      <c r="NF2" s="497"/>
      <c r="NG2" s="497">
        <v>41094</v>
      </c>
      <c r="NH2" s="497"/>
      <c r="NI2" s="497">
        <v>41095</v>
      </c>
      <c r="NJ2" s="497"/>
      <c r="NK2" s="497">
        <v>41096</v>
      </c>
      <c r="NL2" s="497"/>
      <c r="NM2" s="497">
        <v>41097</v>
      </c>
      <c r="NN2" s="497"/>
      <c r="NO2" s="497">
        <v>41098</v>
      </c>
      <c r="NP2" s="497"/>
      <c r="NQ2" s="497">
        <v>41099</v>
      </c>
      <c r="NR2" s="497"/>
      <c r="NS2" s="497">
        <v>41100</v>
      </c>
      <c r="NT2" s="497"/>
      <c r="NU2" s="497">
        <v>41101</v>
      </c>
      <c r="NV2" s="497"/>
      <c r="NW2" s="497">
        <v>41102</v>
      </c>
      <c r="NX2" s="497"/>
      <c r="NY2" s="497">
        <v>41103</v>
      </c>
      <c r="NZ2" s="497"/>
      <c r="OA2" s="497">
        <v>41104</v>
      </c>
      <c r="OB2" s="497"/>
      <c r="OC2" s="497">
        <v>41105</v>
      </c>
      <c r="OD2" s="497"/>
      <c r="OE2" s="497">
        <v>41106</v>
      </c>
      <c r="OF2" s="497"/>
      <c r="OG2" s="497">
        <v>41107</v>
      </c>
      <c r="OH2" s="497"/>
      <c r="OI2" s="497">
        <v>41108</v>
      </c>
      <c r="OJ2" s="497"/>
      <c r="OK2" s="497">
        <v>41109</v>
      </c>
      <c r="OL2" s="497"/>
      <c r="OM2" s="497">
        <v>41110</v>
      </c>
      <c r="ON2" s="497"/>
      <c r="OO2" s="497">
        <v>41111</v>
      </c>
      <c r="OP2" s="497"/>
      <c r="OQ2" s="497">
        <v>41112</v>
      </c>
      <c r="OR2" s="497"/>
      <c r="OS2" s="497">
        <v>41113</v>
      </c>
      <c r="OT2" s="497"/>
      <c r="OU2" s="497">
        <v>41114</v>
      </c>
      <c r="OV2" s="497"/>
      <c r="OW2" s="497">
        <v>41115</v>
      </c>
      <c r="OX2" s="497"/>
      <c r="OY2" s="497">
        <v>41116</v>
      </c>
      <c r="OZ2" s="497"/>
      <c r="PA2" s="497">
        <v>41117</v>
      </c>
      <c r="PB2" s="497"/>
      <c r="PC2" s="497">
        <v>41118</v>
      </c>
      <c r="PD2" s="497"/>
      <c r="PE2" s="497">
        <v>41119</v>
      </c>
      <c r="PF2" s="497"/>
      <c r="PG2" s="497">
        <v>41120</v>
      </c>
      <c r="PH2" s="497"/>
      <c r="PI2" s="497">
        <v>41121</v>
      </c>
      <c r="PJ2" s="497"/>
      <c r="PK2" s="497">
        <v>41122</v>
      </c>
      <c r="PL2" s="497"/>
      <c r="PM2" s="497">
        <v>41123</v>
      </c>
      <c r="PN2" s="497"/>
      <c r="PO2" s="497">
        <v>41124</v>
      </c>
      <c r="PP2" s="497"/>
      <c r="PQ2" s="497">
        <v>41125</v>
      </c>
      <c r="PR2" s="497"/>
      <c r="PS2" s="497">
        <v>41126</v>
      </c>
      <c r="PT2" s="497"/>
      <c r="PU2" s="497">
        <v>41127</v>
      </c>
      <c r="PV2" s="497"/>
      <c r="PW2" s="497">
        <v>41128</v>
      </c>
      <c r="PX2" s="497"/>
      <c r="PY2" s="497">
        <v>41129</v>
      </c>
      <c r="PZ2" s="497"/>
      <c r="QA2" s="497">
        <v>41130</v>
      </c>
      <c r="QB2" s="497"/>
      <c r="QC2" s="497">
        <v>41131</v>
      </c>
      <c r="QD2" s="497"/>
      <c r="QE2" s="497">
        <v>41132</v>
      </c>
      <c r="QF2" s="497"/>
      <c r="QG2" s="497">
        <v>41133</v>
      </c>
      <c r="QH2" s="497"/>
      <c r="QI2" s="497">
        <v>41134</v>
      </c>
      <c r="QJ2" s="497"/>
      <c r="QK2" s="497">
        <v>41135</v>
      </c>
      <c r="QL2" s="497"/>
      <c r="QM2" s="497">
        <v>41136</v>
      </c>
      <c r="QN2" s="497"/>
      <c r="QO2" s="497">
        <v>41137</v>
      </c>
      <c r="QP2" s="497"/>
      <c r="QQ2" s="497">
        <v>41138</v>
      </c>
      <c r="QR2" s="497"/>
      <c r="QS2" s="497">
        <v>41139</v>
      </c>
      <c r="QT2" s="497"/>
      <c r="QU2" s="497">
        <v>41140</v>
      </c>
      <c r="QV2" s="497"/>
      <c r="QW2" s="497">
        <v>41141</v>
      </c>
      <c r="QX2" s="497"/>
      <c r="QY2" s="497">
        <v>41142</v>
      </c>
      <c r="QZ2" s="497"/>
      <c r="RA2" s="497">
        <v>41143</v>
      </c>
      <c r="RB2" s="497"/>
      <c r="RC2" s="497">
        <v>41144</v>
      </c>
      <c r="RD2" s="497"/>
      <c r="RE2" s="497">
        <v>41145</v>
      </c>
      <c r="RF2" s="497"/>
      <c r="RG2" s="497">
        <v>41146</v>
      </c>
      <c r="RH2" s="497"/>
      <c r="RI2" s="497">
        <v>41147</v>
      </c>
      <c r="RJ2" s="497"/>
      <c r="RK2" s="497">
        <v>41148</v>
      </c>
      <c r="RL2" s="497"/>
      <c r="RM2" s="497">
        <v>41149</v>
      </c>
      <c r="RN2" s="497"/>
      <c r="RO2" s="497">
        <v>41150</v>
      </c>
      <c r="RP2" s="497"/>
      <c r="RQ2" s="497">
        <v>41151</v>
      </c>
      <c r="RR2" s="497"/>
      <c r="RS2" s="497">
        <v>41152</v>
      </c>
      <c r="RT2" s="497"/>
      <c r="RU2" s="497">
        <v>41153</v>
      </c>
      <c r="RV2" s="497"/>
      <c r="RW2" s="497">
        <v>41154</v>
      </c>
      <c r="RX2" s="497"/>
      <c r="RY2" s="497">
        <v>41155</v>
      </c>
      <c r="RZ2" s="497"/>
      <c r="SA2" s="497">
        <v>41156</v>
      </c>
      <c r="SB2" s="497"/>
      <c r="SC2" s="497">
        <v>41157</v>
      </c>
      <c r="SD2" s="497"/>
      <c r="SE2" s="497">
        <v>41158</v>
      </c>
      <c r="SF2" s="497"/>
      <c r="SG2" s="497">
        <v>41159</v>
      </c>
      <c r="SH2" s="497"/>
      <c r="SI2" s="497">
        <v>41160</v>
      </c>
      <c r="SJ2" s="497"/>
      <c r="SK2" s="497">
        <v>41161</v>
      </c>
      <c r="SL2" s="497"/>
      <c r="SM2" s="497">
        <v>41162</v>
      </c>
      <c r="SN2" s="497"/>
      <c r="SO2" s="497">
        <v>41163</v>
      </c>
      <c r="SP2" s="497"/>
      <c r="SQ2" s="497">
        <v>41164</v>
      </c>
      <c r="SR2" s="497"/>
      <c r="SS2" s="497">
        <v>41165</v>
      </c>
      <c r="ST2" s="497"/>
      <c r="SU2" s="497">
        <v>41166</v>
      </c>
      <c r="SV2" s="497"/>
      <c r="SW2" s="497">
        <v>41167</v>
      </c>
      <c r="SX2" s="497"/>
      <c r="SY2" s="497">
        <v>41168</v>
      </c>
      <c r="SZ2" s="497"/>
      <c r="TA2" s="497">
        <v>41169</v>
      </c>
      <c r="TB2" s="497"/>
      <c r="TC2" s="497">
        <v>41170</v>
      </c>
      <c r="TD2" s="497"/>
      <c r="TE2" s="497">
        <v>41171</v>
      </c>
      <c r="TF2" s="497"/>
      <c r="TG2" s="497">
        <v>41172</v>
      </c>
      <c r="TH2" s="497"/>
      <c r="TI2" s="497">
        <v>41173</v>
      </c>
      <c r="TJ2" s="497"/>
      <c r="TK2" s="497">
        <v>41174</v>
      </c>
      <c r="TL2" s="497"/>
      <c r="TM2" s="497">
        <v>41175</v>
      </c>
      <c r="TN2" s="497"/>
      <c r="TO2" s="497">
        <v>41176</v>
      </c>
      <c r="TP2" s="497"/>
      <c r="TQ2" s="497">
        <v>41177</v>
      </c>
      <c r="TR2" s="497"/>
      <c r="TS2" s="497">
        <v>41178</v>
      </c>
      <c r="TT2" s="497"/>
      <c r="TU2" s="497">
        <v>41179</v>
      </c>
      <c r="TV2" s="497"/>
      <c r="TW2" s="497">
        <v>41180</v>
      </c>
      <c r="TX2" s="497"/>
      <c r="TY2" s="497">
        <v>41181</v>
      </c>
      <c r="TZ2" s="497"/>
      <c r="UA2" s="497">
        <v>41182</v>
      </c>
      <c r="UB2" s="497"/>
      <c r="UC2" s="497">
        <v>41183</v>
      </c>
      <c r="UD2" s="497"/>
      <c r="UE2" s="497">
        <v>41184</v>
      </c>
      <c r="UF2" s="497"/>
      <c r="UG2" s="497">
        <v>41185</v>
      </c>
      <c r="UH2" s="497"/>
      <c r="UI2" s="497">
        <v>41186</v>
      </c>
      <c r="UJ2" s="497"/>
      <c r="UK2" s="497">
        <v>41187</v>
      </c>
      <c r="UL2" s="497"/>
      <c r="UM2" s="497">
        <v>41188</v>
      </c>
      <c r="UN2" s="497"/>
      <c r="UO2" s="497">
        <v>41189</v>
      </c>
      <c r="UP2" s="497"/>
      <c r="UQ2" s="497">
        <v>41190</v>
      </c>
      <c r="UR2" s="497"/>
      <c r="US2" s="497">
        <v>41191</v>
      </c>
      <c r="UT2" s="497"/>
      <c r="UU2" s="497">
        <v>41192</v>
      </c>
      <c r="UV2" s="497"/>
      <c r="UW2" s="497">
        <v>41193</v>
      </c>
      <c r="UX2" s="497"/>
      <c r="UY2" s="497">
        <v>41194</v>
      </c>
      <c r="UZ2" s="497"/>
      <c r="VA2" s="497">
        <v>41195</v>
      </c>
      <c r="VB2" s="497"/>
      <c r="VC2" s="497">
        <v>41196</v>
      </c>
      <c r="VD2" s="497"/>
      <c r="VE2" s="497">
        <v>41197</v>
      </c>
      <c r="VF2" s="497"/>
      <c r="VG2" s="497">
        <v>41198</v>
      </c>
      <c r="VH2" s="497"/>
      <c r="VI2" s="497">
        <v>41199</v>
      </c>
      <c r="VJ2" s="497"/>
      <c r="VK2" s="497">
        <v>41200</v>
      </c>
      <c r="VL2" s="497"/>
      <c r="VM2" s="497">
        <v>41201</v>
      </c>
      <c r="VN2" s="497"/>
      <c r="VO2" s="497">
        <v>41202</v>
      </c>
      <c r="VP2" s="497"/>
      <c r="VQ2" s="497">
        <v>41203</v>
      </c>
      <c r="VR2" s="497"/>
      <c r="VS2" s="497">
        <v>41204</v>
      </c>
      <c r="VT2" s="497"/>
      <c r="VU2" s="497">
        <v>41205</v>
      </c>
      <c r="VV2" s="497"/>
      <c r="VW2" s="497">
        <v>41206</v>
      </c>
      <c r="VX2" s="497"/>
      <c r="VY2" s="497">
        <v>41207</v>
      </c>
      <c r="VZ2" s="497"/>
      <c r="WA2" s="497">
        <v>41208</v>
      </c>
      <c r="WB2" s="497"/>
      <c r="WC2" s="497">
        <v>41209</v>
      </c>
      <c r="WD2" s="497"/>
      <c r="WE2" s="497">
        <v>41210</v>
      </c>
      <c r="WF2" s="497"/>
      <c r="WG2" s="497">
        <v>41211</v>
      </c>
      <c r="WH2" s="497"/>
      <c r="WI2" s="497">
        <v>41212</v>
      </c>
      <c r="WJ2" s="497"/>
      <c r="WK2" s="497">
        <v>41213</v>
      </c>
      <c r="WL2" s="497"/>
      <c r="WM2" s="497">
        <v>41214</v>
      </c>
      <c r="WN2" s="497"/>
      <c r="WO2" s="497">
        <v>41215</v>
      </c>
      <c r="WP2" s="497"/>
      <c r="WQ2" s="497">
        <v>41216</v>
      </c>
      <c r="WR2" s="497"/>
      <c r="WS2" s="497">
        <v>41217</v>
      </c>
      <c r="WT2" s="497"/>
      <c r="WU2" s="497">
        <v>41218</v>
      </c>
      <c r="WV2" s="497"/>
      <c r="WW2" s="497">
        <v>41219</v>
      </c>
      <c r="WX2" s="497"/>
      <c r="WY2" s="497">
        <v>41220</v>
      </c>
      <c r="WZ2" s="497"/>
      <c r="XA2" s="497">
        <v>41221</v>
      </c>
      <c r="XB2" s="497"/>
      <c r="XC2" s="497">
        <v>41222</v>
      </c>
      <c r="XD2" s="497"/>
      <c r="XE2" s="497">
        <v>41223</v>
      </c>
      <c r="XF2" s="497"/>
      <c r="XG2" s="497">
        <v>41224</v>
      </c>
      <c r="XH2" s="497"/>
      <c r="XI2" s="497">
        <v>41225</v>
      </c>
      <c r="XJ2" s="497"/>
      <c r="XK2" s="497">
        <v>41226</v>
      </c>
      <c r="XL2" s="497"/>
      <c r="XM2" s="497">
        <v>41227</v>
      </c>
      <c r="XN2" s="497"/>
      <c r="XO2" s="497">
        <v>41228</v>
      </c>
      <c r="XP2" s="497"/>
      <c r="XQ2" s="497">
        <v>41229</v>
      </c>
      <c r="XR2" s="497"/>
      <c r="XS2" s="497">
        <v>41230</v>
      </c>
      <c r="XT2" s="497"/>
      <c r="XU2" s="497">
        <v>41231</v>
      </c>
      <c r="XV2" s="497"/>
      <c r="XW2" s="497">
        <v>41232</v>
      </c>
      <c r="XX2" s="497"/>
      <c r="XY2" s="497">
        <v>41233</v>
      </c>
      <c r="XZ2" s="497"/>
      <c r="YA2" s="497">
        <v>41234</v>
      </c>
      <c r="YB2" s="497"/>
      <c r="YC2" s="497">
        <v>41235</v>
      </c>
      <c r="YD2" s="497"/>
      <c r="YE2" s="497">
        <v>41236</v>
      </c>
      <c r="YF2" s="497"/>
      <c r="YG2" s="497">
        <v>41237</v>
      </c>
      <c r="YH2" s="497"/>
      <c r="YI2" s="497">
        <v>41238</v>
      </c>
      <c r="YJ2" s="497"/>
      <c r="YK2" s="497">
        <v>41239</v>
      </c>
      <c r="YL2" s="497"/>
      <c r="YM2" s="497">
        <v>41240</v>
      </c>
      <c r="YN2" s="497"/>
      <c r="YO2" s="497">
        <v>41241</v>
      </c>
      <c r="YP2" s="497"/>
      <c r="YQ2" s="497">
        <v>41242</v>
      </c>
      <c r="YR2" s="497"/>
      <c r="YS2" s="497">
        <v>41243</v>
      </c>
      <c r="YT2" s="497"/>
      <c r="YU2" s="497">
        <v>41244</v>
      </c>
      <c r="YV2" s="497"/>
      <c r="YW2" s="497">
        <v>41245</v>
      </c>
      <c r="YX2" s="497"/>
      <c r="YY2" s="497">
        <v>41246</v>
      </c>
      <c r="YZ2" s="497"/>
      <c r="ZA2" s="497">
        <v>41247</v>
      </c>
      <c r="ZB2" s="497"/>
      <c r="ZC2" s="497">
        <v>41248</v>
      </c>
      <c r="ZD2" s="497"/>
      <c r="ZE2" s="497">
        <v>41249</v>
      </c>
      <c r="ZF2" s="497"/>
      <c r="ZG2" s="497">
        <v>41250</v>
      </c>
      <c r="ZH2" s="497"/>
      <c r="ZI2" s="497">
        <v>41251</v>
      </c>
      <c r="ZJ2" s="497"/>
      <c r="ZK2" s="497">
        <v>41252</v>
      </c>
      <c r="ZL2" s="497"/>
      <c r="ZM2" s="497">
        <v>41253</v>
      </c>
      <c r="ZN2" s="497"/>
      <c r="ZO2" s="497">
        <v>41254</v>
      </c>
      <c r="ZP2" s="497"/>
      <c r="ZQ2" s="497">
        <v>41255</v>
      </c>
      <c r="ZR2" s="497"/>
      <c r="ZS2" s="497">
        <v>41256</v>
      </c>
      <c r="ZT2" s="497"/>
      <c r="ZU2" s="497">
        <v>41257</v>
      </c>
      <c r="ZV2" s="497"/>
      <c r="ZW2" s="497">
        <v>41258</v>
      </c>
      <c r="ZX2" s="497"/>
      <c r="ZY2" s="497">
        <v>41259</v>
      </c>
      <c r="ZZ2" s="497"/>
      <c r="AAA2" s="497">
        <v>41260</v>
      </c>
      <c r="AAB2" s="497"/>
      <c r="AAC2" s="497">
        <v>41261</v>
      </c>
      <c r="AAD2" s="497"/>
      <c r="AAE2" s="497">
        <v>41262</v>
      </c>
      <c r="AAF2" s="497"/>
      <c r="AAG2" s="497">
        <v>41263</v>
      </c>
      <c r="AAH2" s="497"/>
      <c r="AAI2" s="497">
        <v>41264</v>
      </c>
      <c r="AAJ2" s="497"/>
      <c r="AAK2" s="497">
        <v>41265</v>
      </c>
      <c r="AAL2" s="497"/>
      <c r="AAM2" s="497">
        <v>41266</v>
      </c>
      <c r="AAN2" s="497"/>
      <c r="AAO2" s="497">
        <v>41267</v>
      </c>
      <c r="AAP2" s="497"/>
      <c r="AAQ2" s="497">
        <v>41268</v>
      </c>
      <c r="AAR2" s="497"/>
      <c r="AAS2" s="497">
        <v>41269</v>
      </c>
      <c r="AAT2" s="497"/>
      <c r="AAU2" s="497">
        <v>41270</v>
      </c>
      <c r="AAV2" s="497"/>
      <c r="AAW2" s="497">
        <v>41271</v>
      </c>
      <c r="AAX2" s="497"/>
      <c r="AAY2" s="497">
        <v>41272</v>
      </c>
      <c r="AAZ2" s="497"/>
      <c r="ABA2" s="497">
        <v>41273</v>
      </c>
      <c r="ABB2" s="497"/>
      <c r="ABC2" s="497">
        <v>41274</v>
      </c>
      <c r="ABD2" s="497"/>
      <c r="ABE2" s="378"/>
      <c r="ABF2" s="342"/>
      <c r="ABG2" s="342"/>
      <c r="ABH2" s="342"/>
      <c r="ABI2" s="342"/>
      <c r="ABJ2" s="342"/>
      <c r="ABK2" s="342"/>
      <c r="ABL2" s="342"/>
      <c r="ABM2" s="342"/>
      <c r="ABN2" s="342"/>
      <c r="ABO2" s="342"/>
      <c r="ABP2" s="342"/>
      <c r="ABQ2" s="342"/>
      <c r="ABR2" s="342"/>
      <c r="ABS2" s="342"/>
      <c r="ABT2" s="342"/>
      <c r="ABU2" s="342"/>
      <c r="ABV2" s="342"/>
      <c r="ABW2" s="342"/>
      <c r="ABX2" s="342"/>
      <c r="ABY2" s="342"/>
      <c r="ABZ2" s="342"/>
      <c r="ACA2" s="342"/>
      <c r="ACB2" s="342"/>
      <c r="ACC2" s="342"/>
      <c r="ACD2" s="342"/>
      <c r="ACE2" s="342"/>
      <c r="ACF2" s="342"/>
      <c r="ACG2" s="342"/>
      <c r="ACH2" s="342"/>
      <c r="ACI2" s="342"/>
      <c r="ACJ2" s="342"/>
      <c r="ACK2" s="342"/>
      <c r="ACL2" s="342"/>
      <c r="ACM2" s="342"/>
      <c r="ACN2" s="342"/>
      <c r="ACO2" s="342"/>
      <c r="ACP2" s="342"/>
      <c r="ACQ2" s="342"/>
      <c r="ACR2" s="342"/>
      <c r="ACS2" s="342"/>
      <c r="ACT2" s="342"/>
      <c r="ACU2" s="342"/>
      <c r="ACV2" s="342"/>
      <c r="ACW2" s="342"/>
      <c r="ACX2" s="342"/>
      <c r="ACY2" s="342"/>
      <c r="ACZ2" s="342"/>
      <c r="ADA2" s="342"/>
      <c r="ADB2" s="342"/>
      <c r="ADC2" s="342"/>
      <c r="ADD2" s="342"/>
      <c r="ADE2" s="342"/>
      <c r="ADF2" s="342"/>
      <c r="ADG2" s="342"/>
      <c r="ADH2" s="342"/>
      <c r="ADI2" s="342"/>
      <c r="ADJ2" s="342"/>
      <c r="ADK2" s="342"/>
      <c r="ADL2" s="342"/>
      <c r="ADM2" s="342"/>
      <c r="ADN2" s="342"/>
      <c r="ADO2" s="342"/>
      <c r="ADP2" s="342"/>
      <c r="ADQ2" s="342"/>
      <c r="ADR2" s="342"/>
      <c r="ADS2" s="342"/>
      <c r="ADT2" s="342"/>
      <c r="ADU2" s="342"/>
      <c r="ADV2" s="342"/>
      <c r="ADW2" s="342"/>
      <c r="ADX2" s="342"/>
      <c r="ADY2" s="342"/>
      <c r="ADZ2" s="342"/>
      <c r="AEA2" s="342"/>
      <c r="AEB2" s="342"/>
      <c r="AEC2" s="342"/>
      <c r="AED2" s="342"/>
      <c r="AEE2" s="342"/>
      <c r="AEF2" s="342"/>
      <c r="AEG2" s="342"/>
      <c r="AEH2" s="342"/>
      <c r="AEI2" s="342"/>
      <c r="AEJ2" s="342"/>
      <c r="AEK2" s="342"/>
      <c r="AEL2" s="342"/>
      <c r="AEM2" s="342"/>
      <c r="AEN2" s="342"/>
      <c r="AEO2" s="342"/>
      <c r="AEP2" s="342"/>
      <c r="AEQ2" s="342"/>
      <c r="AER2" s="342"/>
      <c r="AES2" s="342"/>
      <c r="AET2" s="342"/>
      <c r="AEU2" s="342"/>
      <c r="AEV2" s="342"/>
      <c r="AEW2" s="342"/>
      <c r="AEX2" s="342"/>
      <c r="AEY2" s="342"/>
      <c r="AEZ2" s="342"/>
      <c r="AFA2" s="342"/>
      <c r="AFB2" s="342"/>
      <c r="AFC2" s="342"/>
      <c r="AFD2" s="342"/>
      <c r="AFE2" s="342"/>
      <c r="AFF2" s="342"/>
      <c r="AFG2" s="342"/>
      <c r="AFH2" s="342"/>
      <c r="AFI2" s="342"/>
      <c r="AFJ2" s="342"/>
      <c r="AFK2" s="342"/>
      <c r="AFL2" s="342"/>
      <c r="AFM2" s="342"/>
      <c r="AFN2" s="342"/>
      <c r="AFO2" s="342"/>
      <c r="AFP2" s="342"/>
      <c r="AFQ2" s="342"/>
      <c r="AFR2" s="342"/>
      <c r="AFS2" s="342"/>
      <c r="AFT2" s="342"/>
      <c r="AFU2" s="342"/>
      <c r="AFV2" s="342"/>
      <c r="AFW2" s="342"/>
      <c r="AFX2" s="342"/>
      <c r="AFY2" s="342"/>
      <c r="AFZ2" s="342"/>
      <c r="AGA2" s="342"/>
      <c r="AGB2" s="342"/>
      <c r="AGC2" s="342"/>
      <c r="AGD2" s="342"/>
      <c r="AGE2" s="342"/>
      <c r="AGF2" s="342"/>
      <c r="AGG2" s="342"/>
      <c r="AGH2" s="342"/>
      <c r="AGI2" s="342"/>
      <c r="AGJ2" s="342"/>
      <c r="AGK2" s="342"/>
      <c r="AGL2" s="342"/>
      <c r="AGM2" s="342"/>
      <c r="AGN2" s="342"/>
      <c r="AGO2" s="342"/>
      <c r="AGP2" s="342"/>
      <c r="AGQ2" s="342"/>
      <c r="AGR2" s="342"/>
      <c r="AGS2" s="342"/>
      <c r="AGT2" s="342"/>
      <c r="AGU2" s="342"/>
      <c r="AGV2" s="342"/>
      <c r="AGW2" s="342"/>
      <c r="AGX2" s="342"/>
      <c r="AGY2" s="342"/>
      <c r="AGZ2" s="342"/>
      <c r="AHA2" s="342"/>
      <c r="AHB2" s="342"/>
      <c r="AHC2" s="342"/>
      <c r="AHD2" s="342"/>
      <c r="AHE2" s="342"/>
      <c r="AHF2" s="342"/>
      <c r="AHG2" s="342"/>
      <c r="AHH2" s="342"/>
      <c r="AHI2" s="342"/>
      <c r="AHJ2" s="342"/>
      <c r="AHK2" s="342"/>
      <c r="AHL2" s="342"/>
      <c r="AHM2" s="342"/>
      <c r="AHN2" s="342"/>
      <c r="AHO2" s="342"/>
      <c r="AHP2" s="342"/>
      <c r="AHQ2" s="342"/>
      <c r="AHR2" s="342"/>
      <c r="AHS2" s="342"/>
      <c r="AHT2" s="342"/>
      <c r="AHU2" s="342"/>
      <c r="AHV2" s="342"/>
      <c r="AHW2" s="342"/>
      <c r="AHX2" s="342"/>
      <c r="AHY2" s="342"/>
      <c r="AHZ2" s="342"/>
      <c r="AIA2" s="342"/>
      <c r="AIB2" s="342"/>
      <c r="AIC2" s="337"/>
    </row>
    <row r="3" spans="1:913" s="180" customFormat="1" ht="12.75" customHeight="1">
      <c r="A3" s="492"/>
      <c r="B3" s="492"/>
      <c r="C3" s="499" t="s">
        <v>40</v>
      </c>
      <c r="D3" s="500"/>
      <c r="E3" s="499" t="s">
        <v>41</v>
      </c>
      <c r="F3" s="500"/>
      <c r="G3" s="499" t="s">
        <v>35</v>
      </c>
      <c r="H3" s="500"/>
      <c r="I3" s="499" t="s">
        <v>36</v>
      </c>
      <c r="J3" s="500"/>
      <c r="K3" s="499" t="s">
        <v>37</v>
      </c>
      <c r="L3" s="500"/>
      <c r="M3" s="499" t="s">
        <v>38</v>
      </c>
      <c r="N3" s="500"/>
      <c r="O3" s="499" t="s">
        <v>39</v>
      </c>
      <c r="P3" s="500"/>
      <c r="Q3" s="499" t="s">
        <v>40</v>
      </c>
      <c r="R3" s="500"/>
      <c r="S3" s="499" t="s">
        <v>41</v>
      </c>
      <c r="T3" s="500"/>
      <c r="U3" s="499" t="s">
        <v>35</v>
      </c>
      <c r="V3" s="500"/>
      <c r="W3" s="499" t="s">
        <v>36</v>
      </c>
      <c r="X3" s="500"/>
      <c r="Y3" s="499" t="s">
        <v>37</v>
      </c>
      <c r="Z3" s="500"/>
      <c r="AA3" s="499" t="s">
        <v>38</v>
      </c>
      <c r="AB3" s="500"/>
      <c r="AC3" s="499" t="s">
        <v>39</v>
      </c>
      <c r="AD3" s="500"/>
      <c r="AE3" s="499" t="s">
        <v>40</v>
      </c>
      <c r="AF3" s="500"/>
      <c r="AG3" s="499" t="s">
        <v>41</v>
      </c>
      <c r="AH3" s="500"/>
      <c r="AI3" s="499" t="s">
        <v>35</v>
      </c>
      <c r="AJ3" s="500"/>
      <c r="AK3" s="499" t="s">
        <v>36</v>
      </c>
      <c r="AL3" s="500"/>
      <c r="AM3" s="499" t="s">
        <v>37</v>
      </c>
      <c r="AN3" s="500"/>
      <c r="AO3" s="499" t="s">
        <v>38</v>
      </c>
      <c r="AP3" s="500"/>
      <c r="AQ3" s="499" t="s">
        <v>39</v>
      </c>
      <c r="AR3" s="500"/>
      <c r="AS3" s="499" t="s">
        <v>40</v>
      </c>
      <c r="AT3" s="500"/>
      <c r="AU3" s="499" t="s">
        <v>41</v>
      </c>
      <c r="AV3" s="500"/>
      <c r="AW3" s="499" t="s">
        <v>35</v>
      </c>
      <c r="AX3" s="500"/>
      <c r="AY3" s="499" t="s">
        <v>36</v>
      </c>
      <c r="AZ3" s="500"/>
      <c r="BA3" s="499" t="s">
        <v>37</v>
      </c>
      <c r="BB3" s="500"/>
      <c r="BC3" s="499" t="s">
        <v>38</v>
      </c>
      <c r="BD3" s="500"/>
      <c r="BE3" s="499" t="s">
        <v>39</v>
      </c>
      <c r="BF3" s="500"/>
      <c r="BG3" s="499" t="s">
        <v>40</v>
      </c>
      <c r="BH3" s="500"/>
      <c r="BI3" s="499" t="s">
        <v>41</v>
      </c>
      <c r="BJ3" s="500"/>
      <c r="BK3" s="499" t="s">
        <v>35</v>
      </c>
      <c r="BL3" s="500"/>
      <c r="BM3" s="499" t="s">
        <v>36</v>
      </c>
      <c r="BN3" s="500"/>
      <c r="BO3" s="499" t="s">
        <v>37</v>
      </c>
      <c r="BP3" s="500"/>
      <c r="BQ3" s="499" t="s">
        <v>38</v>
      </c>
      <c r="BR3" s="500"/>
      <c r="BS3" s="499" t="s">
        <v>39</v>
      </c>
      <c r="BT3" s="500"/>
      <c r="BU3" s="499" t="s">
        <v>40</v>
      </c>
      <c r="BV3" s="500"/>
      <c r="BW3" s="499" t="s">
        <v>41</v>
      </c>
      <c r="BX3" s="500"/>
      <c r="BY3" s="499" t="s">
        <v>35</v>
      </c>
      <c r="BZ3" s="500"/>
      <c r="CA3" s="499" t="s">
        <v>36</v>
      </c>
      <c r="CB3" s="500"/>
      <c r="CC3" s="499" t="s">
        <v>37</v>
      </c>
      <c r="CD3" s="500"/>
      <c r="CE3" s="499" t="s">
        <v>38</v>
      </c>
      <c r="CF3" s="500"/>
      <c r="CG3" s="499" t="s">
        <v>39</v>
      </c>
      <c r="CH3" s="500"/>
      <c r="CI3" s="499" t="s">
        <v>40</v>
      </c>
      <c r="CJ3" s="500"/>
      <c r="CK3" s="499" t="s">
        <v>41</v>
      </c>
      <c r="CL3" s="500"/>
      <c r="CM3" s="499" t="s">
        <v>35</v>
      </c>
      <c r="CN3" s="500"/>
      <c r="CO3" s="499" t="s">
        <v>36</v>
      </c>
      <c r="CP3" s="500"/>
      <c r="CQ3" s="499" t="s">
        <v>37</v>
      </c>
      <c r="CR3" s="500"/>
      <c r="CS3" s="499" t="s">
        <v>38</v>
      </c>
      <c r="CT3" s="500"/>
      <c r="CU3" s="499" t="s">
        <v>39</v>
      </c>
      <c r="CV3" s="500"/>
      <c r="CW3" s="499" t="s">
        <v>40</v>
      </c>
      <c r="CX3" s="500"/>
      <c r="CY3" s="499" t="s">
        <v>41</v>
      </c>
      <c r="CZ3" s="500"/>
      <c r="DA3" s="499" t="s">
        <v>35</v>
      </c>
      <c r="DB3" s="500"/>
      <c r="DC3" s="499" t="s">
        <v>36</v>
      </c>
      <c r="DD3" s="500"/>
      <c r="DE3" s="499" t="s">
        <v>37</v>
      </c>
      <c r="DF3" s="500"/>
      <c r="DG3" s="499" t="s">
        <v>38</v>
      </c>
      <c r="DH3" s="500"/>
      <c r="DI3" s="499" t="s">
        <v>39</v>
      </c>
      <c r="DJ3" s="500"/>
      <c r="DK3" s="499" t="s">
        <v>40</v>
      </c>
      <c r="DL3" s="500"/>
      <c r="DM3" s="499" t="s">
        <v>41</v>
      </c>
      <c r="DN3" s="500"/>
      <c r="DO3" s="499" t="s">
        <v>35</v>
      </c>
      <c r="DP3" s="500"/>
      <c r="DQ3" s="499" t="s">
        <v>36</v>
      </c>
      <c r="DR3" s="500"/>
      <c r="DS3" s="499" t="s">
        <v>37</v>
      </c>
      <c r="DT3" s="500"/>
      <c r="DU3" s="499" t="s">
        <v>38</v>
      </c>
      <c r="DV3" s="500"/>
      <c r="DW3" s="499" t="s">
        <v>39</v>
      </c>
      <c r="DX3" s="500"/>
      <c r="DY3" s="499" t="s">
        <v>40</v>
      </c>
      <c r="DZ3" s="500"/>
      <c r="EA3" s="499" t="s">
        <v>41</v>
      </c>
      <c r="EB3" s="500"/>
      <c r="EC3" s="499" t="s">
        <v>35</v>
      </c>
      <c r="ED3" s="500"/>
      <c r="EE3" s="499" t="s">
        <v>36</v>
      </c>
      <c r="EF3" s="500"/>
      <c r="EG3" s="499" t="s">
        <v>37</v>
      </c>
      <c r="EH3" s="500"/>
      <c r="EI3" s="499" t="s">
        <v>38</v>
      </c>
      <c r="EJ3" s="500"/>
      <c r="EK3" s="499" t="s">
        <v>39</v>
      </c>
      <c r="EL3" s="500"/>
      <c r="EM3" s="499" t="s">
        <v>40</v>
      </c>
      <c r="EN3" s="500"/>
      <c r="EO3" s="499" t="s">
        <v>41</v>
      </c>
      <c r="EP3" s="500"/>
      <c r="EQ3" s="499" t="s">
        <v>35</v>
      </c>
      <c r="ER3" s="500"/>
      <c r="ES3" s="499" t="s">
        <v>36</v>
      </c>
      <c r="ET3" s="500"/>
      <c r="EU3" s="499" t="s">
        <v>37</v>
      </c>
      <c r="EV3" s="500"/>
      <c r="EW3" s="499" t="s">
        <v>38</v>
      </c>
      <c r="EX3" s="500"/>
      <c r="EY3" s="499" t="s">
        <v>39</v>
      </c>
      <c r="EZ3" s="500"/>
      <c r="FA3" s="499" t="s">
        <v>40</v>
      </c>
      <c r="FB3" s="500"/>
      <c r="FC3" s="499" t="s">
        <v>41</v>
      </c>
      <c r="FD3" s="500"/>
      <c r="FE3" s="499" t="s">
        <v>35</v>
      </c>
      <c r="FF3" s="500"/>
      <c r="FG3" s="499" t="s">
        <v>36</v>
      </c>
      <c r="FH3" s="500"/>
      <c r="FI3" s="499" t="s">
        <v>37</v>
      </c>
      <c r="FJ3" s="500"/>
      <c r="FK3" s="499" t="s">
        <v>38</v>
      </c>
      <c r="FL3" s="500"/>
      <c r="FM3" s="499" t="s">
        <v>39</v>
      </c>
      <c r="FN3" s="500"/>
      <c r="FO3" s="499" t="s">
        <v>40</v>
      </c>
      <c r="FP3" s="500"/>
      <c r="FQ3" s="499" t="s">
        <v>41</v>
      </c>
      <c r="FR3" s="500"/>
      <c r="FS3" s="499" t="s">
        <v>35</v>
      </c>
      <c r="FT3" s="500"/>
      <c r="FU3" s="499" t="s">
        <v>36</v>
      </c>
      <c r="FV3" s="500"/>
      <c r="FW3" s="499" t="s">
        <v>37</v>
      </c>
      <c r="FX3" s="500"/>
      <c r="FY3" s="499" t="s">
        <v>38</v>
      </c>
      <c r="FZ3" s="500"/>
      <c r="GA3" s="499" t="s">
        <v>39</v>
      </c>
      <c r="GB3" s="500"/>
      <c r="GC3" s="499" t="s">
        <v>40</v>
      </c>
      <c r="GD3" s="500"/>
      <c r="GE3" s="499" t="s">
        <v>41</v>
      </c>
      <c r="GF3" s="500"/>
      <c r="GG3" s="499" t="s">
        <v>35</v>
      </c>
      <c r="GH3" s="500"/>
      <c r="GI3" s="499" t="s">
        <v>36</v>
      </c>
      <c r="GJ3" s="500"/>
      <c r="GK3" s="499" t="s">
        <v>37</v>
      </c>
      <c r="GL3" s="500"/>
      <c r="GM3" s="499" t="s">
        <v>38</v>
      </c>
      <c r="GN3" s="500"/>
      <c r="GO3" s="499" t="s">
        <v>39</v>
      </c>
      <c r="GP3" s="500"/>
      <c r="GQ3" s="499" t="s">
        <v>40</v>
      </c>
      <c r="GR3" s="500"/>
      <c r="GS3" s="499" t="s">
        <v>41</v>
      </c>
      <c r="GT3" s="500"/>
      <c r="GU3" s="499" t="s">
        <v>35</v>
      </c>
      <c r="GV3" s="500"/>
      <c r="GW3" s="499" t="s">
        <v>36</v>
      </c>
      <c r="GX3" s="500"/>
      <c r="GY3" s="499" t="s">
        <v>37</v>
      </c>
      <c r="GZ3" s="500"/>
      <c r="HA3" s="499" t="s">
        <v>38</v>
      </c>
      <c r="HB3" s="500"/>
      <c r="HC3" s="499" t="s">
        <v>39</v>
      </c>
      <c r="HD3" s="500"/>
      <c r="HE3" s="499" t="s">
        <v>40</v>
      </c>
      <c r="HF3" s="500"/>
      <c r="HG3" s="499" t="s">
        <v>41</v>
      </c>
      <c r="HH3" s="500"/>
      <c r="HI3" s="499" t="s">
        <v>35</v>
      </c>
      <c r="HJ3" s="500"/>
      <c r="HK3" s="499" t="s">
        <v>36</v>
      </c>
      <c r="HL3" s="500"/>
      <c r="HM3" s="499" t="s">
        <v>37</v>
      </c>
      <c r="HN3" s="500"/>
      <c r="HO3" s="499" t="s">
        <v>38</v>
      </c>
      <c r="HP3" s="500"/>
      <c r="HQ3" s="499" t="s">
        <v>39</v>
      </c>
      <c r="HR3" s="500"/>
      <c r="HS3" s="499" t="s">
        <v>40</v>
      </c>
      <c r="HT3" s="500"/>
      <c r="HU3" s="499" t="s">
        <v>41</v>
      </c>
      <c r="HV3" s="500"/>
      <c r="HW3" s="499" t="s">
        <v>35</v>
      </c>
      <c r="HX3" s="500"/>
      <c r="HY3" s="499" t="s">
        <v>36</v>
      </c>
      <c r="HZ3" s="500"/>
      <c r="IA3" s="499" t="s">
        <v>37</v>
      </c>
      <c r="IB3" s="500"/>
      <c r="IC3" s="499" t="s">
        <v>38</v>
      </c>
      <c r="ID3" s="500"/>
      <c r="IE3" s="499" t="s">
        <v>39</v>
      </c>
      <c r="IF3" s="500"/>
      <c r="IG3" s="499" t="s">
        <v>40</v>
      </c>
      <c r="IH3" s="500"/>
      <c r="II3" s="499" t="s">
        <v>41</v>
      </c>
      <c r="IJ3" s="500"/>
      <c r="IK3" s="499" t="s">
        <v>35</v>
      </c>
      <c r="IL3" s="500"/>
      <c r="IM3" s="499" t="s">
        <v>36</v>
      </c>
      <c r="IN3" s="500"/>
      <c r="IO3" s="499" t="s">
        <v>37</v>
      </c>
      <c r="IP3" s="500"/>
      <c r="IQ3" s="499" t="s">
        <v>38</v>
      </c>
      <c r="IR3" s="500"/>
      <c r="IS3" s="499" t="s">
        <v>39</v>
      </c>
      <c r="IT3" s="500"/>
      <c r="IU3" s="499" t="s">
        <v>40</v>
      </c>
      <c r="IV3" s="500"/>
      <c r="IW3" s="499" t="s">
        <v>41</v>
      </c>
      <c r="IX3" s="500"/>
      <c r="IY3" s="499" t="s">
        <v>35</v>
      </c>
      <c r="IZ3" s="500"/>
      <c r="JA3" s="499" t="s">
        <v>36</v>
      </c>
      <c r="JB3" s="500"/>
      <c r="JC3" s="499" t="s">
        <v>37</v>
      </c>
      <c r="JD3" s="500"/>
      <c r="JE3" s="499" t="s">
        <v>38</v>
      </c>
      <c r="JF3" s="500"/>
      <c r="JG3" s="499" t="s">
        <v>39</v>
      </c>
      <c r="JH3" s="500"/>
      <c r="JI3" s="499" t="s">
        <v>40</v>
      </c>
      <c r="JJ3" s="500"/>
      <c r="JK3" s="499" t="s">
        <v>41</v>
      </c>
      <c r="JL3" s="500"/>
      <c r="JM3" s="499" t="s">
        <v>35</v>
      </c>
      <c r="JN3" s="500"/>
      <c r="JO3" s="499" t="s">
        <v>36</v>
      </c>
      <c r="JP3" s="500"/>
      <c r="JQ3" s="499" t="s">
        <v>37</v>
      </c>
      <c r="JR3" s="500"/>
      <c r="JS3" s="499" t="s">
        <v>38</v>
      </c>
      <c r="JT3" s="500"/>
      <c r="JU3" s="499" t="s">
        <v>39</v>
      </c>
      <c r="JV3" s="500"/>
      <c r="JW3" s="499" t="s">
        <v>40</v>
      </c>
      <c r="JX3" s="500"/>
      <c r="JY3" s="499" t="s">
        <v>41</v>
      </c>
      <c r="JZ3" s="500"/>
      <c r="KA3" s="499" t="s">
        <v>35</v>
      </c>
      <c r="KB3" s="500"/>
      <c r="KC3" s="499" t="s">
        <v>36</v>
      </c>
      <c r="KD3" s="500"/>
      <c r="KE3" s="499" t="s">
        <v>37</v>
      </c>
      <c r="KF3" s="500"/>
      <c r="KG3" s="499" t="s">
        <v>38</v>
      </c>
      <c r="KH3" s="500"/>
      <c r="KI3" s="499" t="s">
        <v>39</v>
      </c>
      <c r="KJ3" s="500"/>
      <c r="KK3" s="499" t="s">
        <v>40</v>
      </c>
      <c r="KL3" s="500"/>
      <c r="KM3" s="499" t="s">
        <v>41</v>
      </c>
      <c r="KN3" s="500"/>
      <c r="KO3" s="499" t="s">
        <v>35</v>
      </c>
      <c r="KP3" s="500"/>
      <c r="KQ3" s="499" t="s">
        <v>36</v>
      </c>
      <c r="KR3" s="500"/>
      <c r="KS3" s="499" t="s">
        <v>37</v>
      </c>
      <c r="KT3" s="500"/>
      <c r="KU3" s="499" t="s">
        <v>38</v>
      </c>
      <c r="KV3" s="500"/>
      <c r="KW3" s="499" t="s">
        <v>39</v>
      </c>
      <c r="KX3" s="500"/>
      <c r="KY3" s="499" t="s">
        <v>40</v>
      </c>
      <c r="KZ3" s="500"/>
      <c r="LA3" s="499" t="s">
        <v>41</v>
      </c>
      <c r="LB3" s="500"/>
      <c r="LC3" s="499" t="s">
        <v>35</v>
      </c>
      <c r="LD3" s="500"/>
      <c r="LE3" s="499" t="s">
        <v>36</v>
      </c>
      <c r="LF3" s="500"/>
      <c r="LG3" s="499" t="s">
        <v>37</v>
      </c>
      <c r="LH3" s="500"/>
      <c r="LI3" s="499" t="s">
        <v>38</v>
      </c>
      <c r="LJ3" s="500"/>
      <c r="LK3" s="499" t="s">
        <v>39</v>
      </c>
      <c r="LL3" s="500"/>
      <c r="LM3" s="499" t="s">
        <v>40</v>
      </c>
      <c r="LN3" s="500"/>
      <c r="LO3" s="499" t="s">
        <v>41</v>
      </c>
      <c r="LP3" s="500"/>
      <c r="LQ3" s="499" t="s">
        <v>35</v>
      </c>
      <c r="LR3" s="500"/>
      <c r="LS3" s="499" t="s">
        <v>36</v>
      </c>
      <c r="LT3" s="500"/>
      <c r="LU3" s="499" t="s">
        <v>37</v>
      </c>
      <c r="LV3" s="500"/>
      <c r="LW3" s="499" t="s">
        <v>38</v>
      </c>
      <c r="LX3" s="500"/>
      <c r="LY3" s="499" t="s">
        <v>39</v>
      </c>
      <c r="LZ3" s="500"/>
      <c r="MA3" s="499" t="s">
        <v>40</v>
      </c>
      <c r="MB3" s="500"/>
      <c r="MC3" s="499" t="s">
        <v>41</v>
      </c>
      <c r="MD3" s="500"/>
      <c r="ME3" s="499" t="s">
        <v>35</v>
      </c>
      <c r="MF3" s="500"/>
      <c r="MG3" s="499" t="s">
        <v>36</v>
      </c>
      <c r="MH3" s="500"/>
      <c r="MI3" s="499" t="s">
        <v>37</v>
      </c>
      <c r="MJ3" s="500"/>
      <c r="MK3" s="499" t="s">
        <v>38</v>
      </c>
      <c r="ML3" s="500"/>
      <c r="MM3" s="499" t="s">
        <v>39</v>
      </c>
      <c r="MN3" s="500"/>
      <c r="MO3" s="499" t="s">
        <v>40</v>
      </c>
      <c r="MP3" s="500"/>
      <c r="MQ3" s="499" t="s">
        <v>41</v>
      </c>
      <c r="MR3" s="500"/>
      <c r="MS3" s="499" t="s">
        <v>35</v>
      </c>
      <c r="MT3" s="500"/>
      <c r="MU3" s="499" t="s">
        <v>36</v>
      </c>
      <c r="MV3" s="500"/>
      <c r="MW3" s="499" t="s">
        <v>37</v>
      </c>
      <c r="MX3" s="500"/>
      <c r="MY3" s="499" t="s">
        <v>38</v>
      </c>
      <c r="MZ3" s="500"/>
      <c r="NA3" s="499" t="s">
        <v>39</v>
      </c>
      <c r="NB3" s="500"/>
      <c r="NC3" s="499" t="s">
        <v>40</v>
      </c>
      <c r="ND3" s="500"/>
      <c r="NE3" s="499" t="s">
        <v>41</v>
      </c>
      <c r="NF3" s="500"/>
      <c r="NG3" s="499" t="s">
        <v>35</v>
      </c>
      <c r="NH3" s="500"/>
      <c r="NI3" s="499" t="s">
        <v>36</v>
      </c>
      <c r="NJ3" s="500"/>
      <c r="NK3" s="499" t="s">
        <v>37</v>
      </c>
      <c r="NL3" s="500"/>
      <c r="NM3" s="499" t="s">
        <v>38</v>
      </c>
      <c r="NN3" s="500"/>
      <c r="NO3" s="499" t="s">
        <v>39</v>
      </c>
      <c r="NP3" s="500"/>
      <c r="NQ3" s="499" t="s">
        <v>40</v>
      </c>
      <c r="NR3" s="500"/>
      <c r="NS3" s="499" t="s">
        <v>41</v>
      </c>
      <c r="NT3" s="500"/>
      <c r="NU3" s="499" t="s">
        <v>35</v>
      </c>
      <c r="NV3" s="500"/>
      <c r="NW3" s="499" t="s">
        <v>36</v>
      </c>
      <c r="NX3" s="500"/>
      <c r="NY3" s="499" t="s">
        <v>37</v>
      </c>
      <c r="NZ3" s="500"/>
      <c r="OA3" s="499" t="s">
        <v>38</v>
      </c>
      <c r="OB3" s="500"/>
      <c r="OC3" s="499" t="s">
        <v>39</v>
      </c>
      <c r="OD3" s="500"/>
      <c r="OE3" s="499" t="s">
        <v>40</v>
      </c>
      <c r="OF3" s="500"/>
      <c r="OG3" s="499" t="s">
        <v>41</v>
      </c>
      <c r="OH3" s="500"/>
      <c r="OI3" s="499" t="s">
        <v>35</v>
      </c>
      <c r="OJ3" s="500"/>
      <c r="OK3" s="499" t="s">
        <v>36</v>
      </c>
      <c r="OL3" s="500"/>
      <c r="OM3" s="499" t="s">
        <v>37</v>
      </c>
      <c r="ON3" s="500"/>
      <c r="OO3" s="499" t="s">
        <v>38</v>
      </c>
      <c r="OP3" s="500"/>
      <c r="OQ3" s="499" t="s">
        <v>39</v>
      </c>
      <c r="OR3" s="500"/>
      <c r="OS3" s="499" t="s">
        <v>40</v>
      </c>
      <c r="OT3" s="500"/>
      <c r="OU3" s="499" t="s">
        <v>41</v>
      </c>
      <c r="OV3" s="500"/>
      <c r="OW3" s="499" t="s">
        <v>35</v>
      </c>
      <c r="OX3" s="500"/>
      <c r="OY3" s="499" t="s">
        <v>36</v>
      </c>
      <c r="OZ3" s="500"/>
      <c r="PA3" s="499" t="s">
        <v>37</v>
      </c>
      <c r="PB3" s="500"/>
      <c r="PC3" s="499" t="s">
        <v>38</v>
      </c>
      <c r="PD3" s="500"/>
      <c r="PE3" s="499" t="s">
        <v>39</v>
      </c>
      <c r="PF3" s="500"/>
      <c r="PG3" s="499" t="s">
        <v>40</v>
      </c>
      <c r="PH3" s="500"/>
      <c r="PI3" s="499" t="s">
        <v>41</v>
      </c>
      <c r="PJ3" s="500"/>
      <c r="PK3" s="499" t="s">
        <v>35</v>
      </c>
      <c r="PL3" s="500"/>
      <c r="PM3" s="499" t="s">
        <v>36</v>
      </c>
      <c r="PN3" s="500"/>
      <c r="PO3" s="499" t="s">
        <v>37</v>
      </c>
      <c r="PP3" s="500"/>
      <c r="PQ3" s="499" t="s">
        <v>38</v>
      </c>
      <c r="PR3" s="500"/>
      <c r="PS3" s="499" t="s">
        <v>39</v>
      </c>
      <c r="PT3" s="500"/>
      <c r="PU3" s="499" t="s">
        <v>40</v>
      </c>
      <c r="PV3" s="500"/>
      <c r="PW3" s="499" t="s">
        <v>41</v>
      </c>
      <c r="PX3" s="500"/>
      <c r="PY3" s="499" t="s">
        <v>35</v>
      </c>
      <c r="PZ3" s="500"/>
      <c r="QA3" s="499" t="s">
        <v>36</v>
      </c>
      <c r="QB3" s="500"/>
      <c r="QC3" s="499" t="s">
        <v>37</v>
      </c>
      <c r="QD3" s="500"/>
      <c r="QE3" s="499" t="s">
        <v>38</v>
      </c>
      <c r="QF3" s="500"/>
      <c r="QG3" s="499" t="s">
        <v>39</v>
      </c>
      <c r="QH3" s="500"/>
      <c r="QI3" s="499" t="s">
        <v>40</v>
      </c>
      <c r="QJ3" s="500"/>
      <c r="QK3" s="499" t="s">
        <v>41</v>
      </c>
      <c r="QL3" s="500"/>
      <c r="QM3" s="499" t="s">
        <v>35</v>
      </c>
      <c r="QN3" s="500"/>
      <c r="QO3" s="499" t="s">
        <v>36</v>
      </c>
      <c r="QP3" s="500"/>
      <c r="QQ3" s="499" t="s">
        <v>37</v>
      </c>
      <c r="QR3" s="500"/>
      <c r="QS3" s="499" t="s">
        <v>38</v>
      </c>
      <c r="QT3" s="500"/>
      <c r="QU3" s="499" t="s">
        <v>39</v>
      </c>
      <c r="QV3" s="500"/>
      <c r="QW3" s="499" t="s">
        <v>40</v>
      </c>
      <c r="QX3" s="500"/>
      <c r="QY3" s="499" t="s">
        <v>41</v>
      </c>
      <c r="QZ3" s="500"/>
      <c r="RA3" s="499" t="s">
        <v>35</v>
      </c>
      <c r="RB3" s="500"/>
      <c r="RC3" s="499" t="s">
        <v>36</v>
      </c>
      <c r="RD3" s="500"/>
      <c r="RE3" s="499" t="s">
        <v>37</v>
      </c>
      <c r="RF3" s="500"/>
      <c r="RG3" s="499" t="s">
        <v>38</v>
      </c>
      <c r="RH3" s="500"/>
      <c r="RI3" s="499" t="s">
        <v>39</v>
      </c>
      <c r="RJ3" s="500"/>
      <c r="RK3" s="499" t="s">
        <v>40</v>
      </c>
      <c r="RL3" s="500"/>
      <c r="RM3" s="499" t="s">
        <v>41</v>
      </c>
      <c r="RN3" s="500"/>
      <c r="RO3" s="499" t="s">
        <v>35</v>
      </c>
      <c r="RP3" s="500"/>
      <c r="RQ3" s="499" t="s">
        <v>36</v>
      </c>
      <c r="RR3" s="500"/>
      <c r="RS3" s="499" t="s">
        <v>37</v>
      </c>
      <c r="RT3" s="500"/>
      <c r="RU3" s="499" t="s">
        <v>38</v>
      </c>
      <c r="RV3" s="500"/>
      <c r="RW3" s="499" t="s">
        <v>39</v>
      </c>
      <c r="RX3" s="500"/>
      <c r="RY3" s="499" t="s">
        <v>40</v>
      </c>
      <c r="RZ3" s="500"/>
      <c r="SA3" s="499" t="s">
        <v>41</v>
      </c>
      <c r="SB3" s="500"/>
      <c r="SC3" s="499" t="s">
        <v>35</v>
      </c>
      <c r="SD3" s="500"/>
      <c r="SE3" s="499" t="s">
        <v>36</v>
      </c>
      <c r="SF3" s="500"/>
      <c r="SG3" s="499" t="s">
        <v>37</v>
      </c>
      <c r="SH3" s="500"/>
      <c r="SI3" s="499" t="s">
        <v>38</v>
      </c>
      <c r="SJ3" s="500"/>
      <c r="SK3" s="499" t="s">
        <v>39</v>
      </c>
      <c r="SL3" s="500"/>
      <c r="SM3" s="499" t="s">
        <v>40</v>
      </c>
      <c r="SN3" s="500"/>
      <c r="SO3" s="499" t="s">
        <v>41</v>
      </c>
      <c r="SP3" s="500"/>
      <c r="SQ3" s="499" t="s">
        <v>35</v>
      </c>
      <c r="SR3" s="500"/>
      <c r="SS3" s="499" t="s">
        <v>36</v>
      </c>
      <c r="ST3" s="500"/>
      <c r="SU3" s="499" t="s">
        <v>37</v>
      </c>
      <c r="SV3" s="500"/>
      <c r="SW3" s="499" t="s">
        <v>38</v>
      </c>
      <c r="SX3" s="500"/>
      <c r="SY3" s="499" t="s">
        <v>39</v>
      </c>
      <c r="SZ3" s="500"/>
      <c r="TA3" s="499" t="s">
        <v>40</v>
      </c>
      <c r="TB3" s="500"/>
      <c r="TC3" s="499" t="s">
        <v>41</v>
      </c>
      <c r="TD3" s="500"/>
      <c r="TE3" s="499" t="s">
        <v>35</v>
      </c>
      <c r="TF3" s="500"/>
      <c r="TG3" s="499" t="s">
        <v>36</v>
      </c>
      <c r="TH3" s="500"/>
      <c r="TI3" s="499" t="s">
        <v>37</v>
      </c>
      <c r="TJ3" s="500"/>
      <c r="TK3" s="499" t="s">
        <v>38</v>
      </c>
      <c r="TL3" s="500"/>
      <c r="TM3" s="499" t="s">
        <v>39</v>
      </c>
      <c r="TN3" s="500"/>
      <c r="TO3" s="499" t="s">
        <v>40</v>
      </c>
      <c r="TP3" s="500"/>
      <c r="TQ3" s="499" t="s">
        <v>41</v>
      </c>
      <c r="TR3" s="500"/>
      <c r="TS3" s="499" t="s">
        <v>35</v>
      </c>
      <c r="TT3" s="500"/>
      <c r="TU3" s="499" t="s">
        <v>36</v>
      </c>
      <c r="TV3" s="500"/>
      <c r="TW3" s="499" t="s">
        <v>37</v>
      </c>
      <c r="TX3" s="500"/>
      <c r="TY3" s="499" t="s">
        <v>38</v>
      </c>
      <c r="TZ3" s="500"/>
      <c r="UA3" s="499" t="s">
        <v>39</v>
      </c>
      <c r="UB3" s="500"/>
      <c r="UC3" s="499" t="s">
        <v>40</v>
      </c>
      <c r="UD3" s="500"/>
      <c r="UE3" s="499" t="s">
        <v>41</v>
      </c>
      <c r="UF3" s="500"/>
      <c r="UG3" s="499" t="s">
        <v>35</v>
      </c>
      <c r="UH3" s="500"/>
      <c r="UI3" s="499" t="s">
        <v>36</v>
      </c>
      <c r="UJ3" s="500"/>
      <c r="UK3" s="499" t="s">
        <v>37</v>
      </c>
      <c r="UL3" s="500"/>
      <c r="UM3" s="499" t="s">
        <v>38</v>
      </c>
      <c r="UN3" s="500"/>
      <c r="UO3" s="499" t="s">
        <v>39</v>
      </c>
      <c r="UP3" s="500"/>
      <c r="UQ3" s="499" t="s">
        <v>40</v>
      </c>
      <c r="UR3" s="500"/>
      <c r="US3" s="499" t="s">
        <v>41</v>
      </c>
      <c r="UT3" s="500"/>
      <c r="UU3" s="499" t="s">
        <v>35</v>
      </c>
      <c r="UV3" s="500"/>
      <c r="UW3" s="499" t="s">
        <v>36</v>
      </c>
      <c r="UX3" s="500"/>
      <c r="UY3" s="499" t="s">
        <v>37</v>
      </c>
      <c r="UZ3" s="500"/>
      <c r="VA3" s="499" t="s">
        <v>38</v>
      </c>
      <c r="VB3" s="500"/>
      <c r="VC3" s="499" t="s">
        <v>39</v>
      </c>
      <c r="VD3" s="500"/>
      <c r="VE3" s="499" t="s">
        <v>40</v>
      </c>
      <c r="VF3" s="500"/>
      <c r="VG3" s="499" t="s">
        <v>41</v>
      </c>
      <c r="VH3" s="500"/>
      <c r="VI3" s="499" t="s">
        <v>35</v>
      </c>
      <c r="VJ3" s="500"/>
      <c r="VK3" s="499" t="s">
        <v>36</v>
      </c>
      <c r="VL3" s="500"/>
      <c r="VM3" s="499" t="s">
        <v>37</v>
      </c>
      <c r="VN3" s="500"/>
      <c r="VO3" s="499" t="s">
        <v>38</v>
      </c>
      <c r="VP3" s="500"/>
      <c r="VQ3" s="499" t="s">
        <v>39</v>
      </c>
      <c r="VR3" s="500"/>
      <c r="VS3" s="499" t="s">
        <v>40</v>
      </c>
      <c r="VT3" s="500"/>
      <c r="VU3" s="499" t="s">
        <v>41</v>
      </c>
      <c r="VV3" s="500"/>
      <c r="VW3" s="499" t="s">
        <v>35</v>
      </c>
      <c r="VX3" s="500"/>
      <c r="VY3" s="499" t="s">
        <v>36</v>
      </c>
      <c r="VZ3" s="500"/>
      <c r="WA3" s="499" t="s">
        <v>37</v>
      </c>
      <c r="WB3" s="500"/>
      <c r="WC3" s="499" t="s">
        <v>38</v>
      </c>
      <c r="WD3" s="500"/>
      <c r="WE3" s="499" t="s">
        <v>39</v>
      </c>
      <c r="WF3" s="500"/>
      <c r="WG3" s="499" t="s">
        <v>40</v>
      </c>
      <c r="WH3" s="500"/>
      <c r="WI3" s="499" t="s">
        <v>41</v>
      </c>
      <c r="WJ3" s="500"/>
      <c r="WK3" s="499" t="s">
        <v>35</v>
      </c>
      <c r="WL3" s="500"/>
      <c r="WM3" s="499" t="s">
        <v>36</v>
      </c>
      <c r="WN3" s="500"/>
      <c r="WO3" s="499" t="s">
        <v>37</v>
      </c>
      <c r="WP3" s="500"/>
      <c r="WQ3" s="499" t="s">
        <v>38</v>
      </c>
      <c r="WR3" s="500"/>
      <c r="WS3" s="499" t="s">
        <v>39</v>
      </c>
      <c r="WT3" s="500"/>
      <c r="WU3" s="499" t="s">
        <v>40</v>
      </c>
      <c r="WV3" s="500"/>
      <c r="WW3" s="499" t="s">
        <v>41</v>
      </c>
      <c r="WX3" s="500"/>
      <c r="WY3" s="499" t="s">
        <v>35</v>
      </c>
      <c r="WZ3" s="500"/>
      <c r="XA3" s="499" t="s">
        <v>36</v>
      </c>
      <c r="XB3" s="500"/>
      <c r="XC3" s="499" t="s">
        <v>37</v>
      </c>
      <c r="XD3" s="500"/>
      <c r="XE3" s="499" t="s">
        <v>38</v>
      </c>
      <c r="XF3" s="500"/>
      <c r="XG3" s="499" t="s">
        <v>39</v>
      </c>
      <c r="XH3" s="500"/>
      <c r="XI3" s="499" t="s">
        <v>40</v>
      </c>
      <c r="XJ3" s="500"/>
      <c r="XK3" s="499" t="s">
        <v>41</v>
      </c>
      <c r="XL3" s="500"/>
      <c r="XM3" s="499" t="s">
        <v>35</v>
      </c>
      <c r="XN3" s="500"/>
      <c r="XO3" s="499" t="s">
        <v>36</v>
      </c>
      <c r="XP3" s="500"/>
      <c r="XQ3" s="499" t="s">
        <v>37</v>
      </c>
      <c r="XR3" s="500"/>
      <c r="XS3" s="499" t="s">
        <v>38</v>
      </c>
      <c r="XT3" s="500"/>
      <c r="XU3" s="499" t="s">
        <v>39</v>
      </c>
      <c r="XV3" s="500"/>
      <c r="XW3" s="499" t="s">
        <v>40</v>
      </c>
      <c r="XX3" s="500"/>
      <c r="XY3" s="499" t="s">
        <v>41</v>
      </c>
      <c r="XZ3" s="500"/>
      <c r="YA3" s="499" t="s">
        <v>35</v>
      </c>
      <c r="YB3" s="500"/>
      <c r="YC3" s="499" t="s">
        <v>36</v>
      </c>
      <c r="YD3" s="500"/>
      <c r="YE3" s="499" t="s">
        <v>37</v>
      </c>
      <c r="YF3" s="500"/>
      <c r="YG3" s="499" t="s">
        <v>38</v>
      </c>
      <c r="YH3" s="500"/>
      <c r="YI3" s="499" t="s">
        <v>39</v>
      </c>
      <c r="YJ3" s="500"/>
      <c r="YK3" s="499" t="s">
        <v>40</v>
      </c>
      <c r="YL3" s="500"/>
      <c r="YM3" s="499" t="s">
        <v>41</v>
      </c>
      <c r="YN3" s="500"/>
      <c r="YO3" s="499" t="s">
        <v>35</v>
      </c>
      <c r="YP3" s="500"/>
      <c r="YQ3" s="499" t="s">
        <v>36</v>
      </c>
      <c r="YR3" s="500"/>
      <c r="YS3" s="499" t="s">
        <v>37</v>
      </c>
      <c r="YT3" s="500"/>
      <c r="YU3" s="499" t="s">
        <v>38</v>
      </c>
      <c r="YV3" s="500"/>
      <c r="YW3" s="499" t="s">
        <v>39</v>
      </c>
      <c r="YX3" s="500"/>
      <c r="YY3" s="499" t="s">
        <v>40</v>
      </c>
      <c r="YZ3" s="500"/>
      <c r="ZA3" s="499" t="s">
        <v>41</v>
      </c>
      <c r="ZB3" s="500"/>
      <c r="ZC3" s="499" t="s">
        <v>35</v>
      </c>
      <c r="ZD3" s="500"/>
      <c r="ZE3" s="499" t="s">
        <v>36</v>
      </c>
      <c r="ZF3" s="500"/>
      <c r="ZG3" s="499" t="s">
        <v>37</v>
      </c>
      <c r="ZH3" s="500"/>
      <c r="ZI3" s="499" t="s">
        <v>38</v>
      </c>
      <c r="ZJ3" s="500"/>
      <c r="ZK3" s="499" t="s">
        <v>39</v>
      </c>
      <c r="ZL3" s="500"/>
      <c r="ZM3" s="499" t="s">
        <v>40</v>
      </c>
      <c r="ZN3" s="500"/>
      <c r="ZO3" s="499" t="s">
        <v>41</v>
      </c>
      <c r="ZP3" s="500"/>
      <c r="ZQ3" s="499" t="s">
        <v>35</v>
      </c>
      <c r="ZR3" s="500"/>
      <c r="ZS3" s="499" t="s">
        <v>36</v>
      </c>
      <c r="ZT3" s="500"/>
      <c r="ZU3" s="499" t="s">
        <v>37</v>
      </c>
      <c r="ZV3" s="500"/>
      <c r="ZW3" s="499" t="s">
        <v>38</v>
      </c>
      <c r="ZX3" s="500"/>
      <c r="ZY3" s="499" t="s">
        <v>39</v>
      </c>
      <c r="ZZ3" s="500"/>
      <c r="AAA3" s="499" t="s">
        <v>40</v>
      </c>
      <c r="AAB3" s="500"/>
      <c r="AAC3" s="499" t="s">
        <v>41</v>
      </c>
      <c r="AAD3" s="500"/>
      <c r="AAE3" s="499" t="s">
        <v>35</v>
      </c>
      <c r="AAF3" s="500"/>
      <c r="AAG3" s="499" t="s">
        <v>36</v>
      </c>
      <c r="AAH3" s="500"/>
      <c r="AAI3" s="499" t="s">
        <v>37</v>
      </c>
      <c r="AAJ3" s="500"/>
      <c r="AAK3" s="499" t="s">
        <v>38</v>
      </c>
      <c r="AAL3" s="500"/>
      <c r="AAM3" s="499" t="s">
        <v>39</v>
      </c>
      <c r="AAN3" s="500"/>
      <c r="AAO3" s="499" t="s">
        <v>40</v>
      </c>
      <c r="AAP3" s="500"/>
      <c r="AAQ3" s="499" t="s">
        <v>41</v>
      </c>
      <c r="AAR3" s="500"/>
      <c r="AAS3" s="499" t="s">
        <v>35</v>
      </c>
      <c r="AAT3" s="500"/>
      <c r="AAU3" s="499" t="s">
        <v>36</v>
      </c>
      <c r="AAV3" s="500"/>
      <c r="AAW3" s="499" t="s">
        <v>37</v>
      </c>
      <c r="AAX3" s="500"/>
      <c r="AAY3" s="499" t="s">
        <v>38</v>
      </c>
      <c r="AAZ3" s="500"/>
      <c r="ABA3" s="499" t="s">
        <v>39</v>
      </c>
      <c r="ABB3" s="500"/>
      <c r="ABC3" s="499" t="s">
        <v>40</v>
      </c>
      <c r="ABD3" s="500"/>
      <c r="ABE3" s="336"/>
      <c r="ABF3" s="335"/>
      <c r="ABG3" s="335"/>
      <c r="ABH3" s="335"/>
      <c r="ABI3" s="335"/>
      <c r="ABJ3" s="335"/>
      <c r="ABK3" s="335"/>
      <c r="ABL3" s="335"/>
      <c r="ABM3" s="335"/>
      <c r="ABN3" s="335"/>
      <c r="ABO3" s="335"/>
      <c r="ABP3" s="335"/>
      <c r="ABQ3" s="335"/>
      <c r="ABR3" s="335"/>
      <c r="ABS3" s="335"/>
      <c r="ABT3" s="335"/>
      <c r="ABU3" s="335"/>
      <c r="ABV3" s="335"/>
      <c r="ABW3" s="335"/>
      <c r="ABX3" s="335"/>
      <c r="ABY3" s="335"/>
      <c r="ABZ3" s="335"/>
      <c r="ACA3" s="335"/>
      <c r="ACB3" s="335"/>
      <c r="ACC3" s="335"/>
      <c r="ACD3" s="335"/>
      <c r="ACE3" s="335"/>
      <c r="ACF3" s="335"/>
      <c r="ACG3" s="335"/>
      <c r="ACH3" s="335"/>
      <c r="ACI3" s="335"/>
      <c r="ACJ3" s="335"/>
      <c r="ACK3" s="335"/>
      <c r="ACL3" s="335"/>
      <c r="ACM3" s="335"/>
      <c r="ACN3" s="335"/>
      <c r="ACO3" s="335"/>
      <c r="ACP3" s="335"/>
      <c r="ACQ3" s="335"/>
      <c r="ACR3" s="335"/>
      <c r="ACS3" s="335"/>
      <c r="ACT3" s="335"/>
      <c r="ACU3" s="335"/>
      <c r="ACV3" s="335"/>
      <c r="ACW3" s="335"/>
      <c r="ACX3" s="335"/>
      <c r="ACY3" s="335"/>
      <c r="ACZ3" s="335"/>
      <c r="ADA3" s="335"/>
      <c r="ADB3" s="335"/>
      <c r="ADC3" s="335"/>
      <c r="ADD3" s="335"/>
      <c r="ADE3" s="335"/>
      <c r="ADF3" s="335"/>
      <c r="ADG3" s="335"/>
      <c r="ADH3" s="335"/>
      <c r="ADI3" s="335"/>
      <c r="ADJ3" s="335"/>
      <c r="ADK3" s="335"/>
      <c r="ADL3" s="335"/>
      <c r="ADM3" s="335"/>
      <c r="ADN3" s="335"/>
      <c r="ADO3" s="335"/>
      <c r="ADP3" s="335"/>
      <c r="ADQ3" s="335"/>
      <c r="ADR3" s="335"/>
      <c r="ADS3" s="335"/>
      <c r="ADT3" s="335"/>
      <c r="ADU3" s="335"/>
      <c r="ADV3" s="335"/>
      <c r="ADW3" s="335"/>
      <c r="ADX3" s="335"/>
      <c r="ADY3" s="335"/>
      <c r="ADZ3" s="335"/>
      <c r="AEA3" s="335"/>
      <c r="AEB3" s="335"/>
      <c r="AEC3" s="335"/>
      <c r="AED3" s="335"/>
      <c r="AEE3" s="335"/>
      <c r="AEF3" s="335"/>
      <c r="AEG3" s="335"/>
      <c r="AEH3" s="335"/>
      <c r="AEI3" s="335"/>
      <c r="AEJ3" s="335"/>
      <c r="AEK3" s="335"/>
      <c r="AEL3" s="335"/>
      <c r="AEM3" s="335"/>
      <c r="AEN3" s="335"/>
      <c r="AEO3" s="335"/>
      <c r="AEP3" s="335"/>
      <c r="AEQ3" s="335"/>
      <c r="AER3" s="335"/>
      <c r="AES3" s="335"/>
      <c r="AET3" s="335"/>
      <c r="AEU3" s="335"/>
      <c r="AEV3" s="335"/>
      <c r="AEW3" s="335"/>
      <c r="AEX3" s="335"/>
      <c r="AEY3" s="335"/>
      <c r="AEZ3" s="335"/>
      <c r="AFA3" s="335"/>
      <c r="AFB3" s="335"/>
      <c r="AFC3" s="335"/>
      <c r="AFD3" s="335"/>
      <c r="AFE3" s="335"/>
      <c r="AFF3" s="335"/>
      <c r="AFG3" s="335"/>
      <c r="AFH3" s="335"/>
      <c r="AFI3" s="335"/>
      <c r="AFJ3" s="335"/>
      <c r="AFK3" s="335"/>
      <c r="AFL3" s="335"/>
      <c r="AFM3" s="335"/>
      <c r="AFN3" s="335"/>
      <c r="AFO3" s="335"/>
      <c r="AFP3" s="335"/>
      <c r="AFQ3" s="335"/>
      <c r="AFR3" s="335"/>
      <c r="AFS3" s="335"/>
      <c r="AFT3" s="335"/>
      <c r="AFU3" s="335"/>
      <c r="AFV3" s="335"/>
      <c r="AFW3" s="335"/>
      <c r="AFX3" s="335"/>
      <c r="AFY3" s="335"/>
      <c r="AFZ3" s="335"/>
      <c r="AGA3" s="335"/>
      <c r="AGB3" s="335"/>
      <c r="AGC3" s="335"/>
      <c r="AGD3" s="335"/>
      <c r="AGE3" s="335"/>
      <c r="AGF3" s="335"/>
      <c r="AGG3" s="335"/>
      <c r="AGH3" s="335"/>
      <c r="AGI3" s="335"/>
      <c r="AGJ3" s="335"/>
      <c r="AGK3" s="335"/>
      <c r="AGL3" s="335"/>
      <c r="AGM3" s="335"/>
      <c r="AGN3" s="335"/>
      <c r="AGO3" s="335"/>
      <c r="AGP3" s="335"/>
      <c r="AGQ3" s="335"/>
      <c r="AGR3" s="335"/>
      <c r="AGS3" s="335"/>
      <c r="AGT3" s="335"/>
      <c r="AGU3" s="335"/>
      <c r="AGV3" s="335"/>
      <c r="AGW3" s="335"/>
      <c r="AGX3" s="335"/>
      <c r="AGY3" s="335"/>
      <c r="AGZ3" s="335"/>
      <c r="AHA3" s="335"/>
      <c r="AHB3" s="335"/>
      <c r="AHC3" s="335"/>
      <c r="AHD3" s="335"/>
      <c r="AHE3" s="335"/>
      <c r="AHF3" s="335"/>
      <c r="AHG3" s="335"/>
      <c r="AHH3" s="335"/>
      <c r="AHI3" s="335"/>
      <c r="AHJ3" s="335"/>
      <c r="AHK3" s="335"/>
      <c r="AHL3" s="335"/>
      <c r="AHM3" s="335"/>
      <c r="AHN3" s="335"/>
      <c r="AHO3" s="335"/>
      <c r="AHP3" s="335"/>
      <c r="AHQ3" s="335"/>
      <c r="AHR3" s="335"/>
      <c r="AHS3" s="335"/>
      <c r="AHT3" s="335"/>
      <c r="AHU3" s="335"/>
      <c r="AHV3" s="335"/>
      <c r="AHW3" s="335"/>
      <c r="AHX3" s="335"/>
      <c r="AHY3" s="335"/>
      <c r="AHZ3" s="335"/>
      <c r="AIA3" s="335"/>
      <c r="AIB3" s="335"/>
      <c r="AIC3" s="338"/>
    </row>
    <row r="4" spans="1:913" s="161" customFormat="1">
      <c r="A4" s="172"/>
      <c r="B4" s="177">
        <v>0.375</v>
      </c>
      <c r="C4" s="493">
        <f>((C28-C27)+(D28-D27))/2</f>
        <v>0</v>
      </c>
      <c r="D4" s="494"/>
      <c r="E4" s="493">
        <f t="shared" ref="E4:E21" si="0">((E27+F27)-(E26+F26))/2</f>
        <v>0</v>
      </c>
      <c r="F4" s="494"/>
      <c r="G4" s="493">
        <f t="shared" ref="G4:G21" si="1">((G27+H27)-(G26+H26))/2</f>
        <v>0</v>
      </c>
      <c r="H4" s="494"/>
      <c r="I4" s="493">
        <f>((I27+J28)-(I26+J26))/2</f>
        <v>0</v>
      </c>
      <c r="J4" s="494"/>
      <c r="K4" s="493">
        <f t="shared" ref="K4:K21" si="2">((K27+L27)-(K26+L26))/2</f>
        <v>0</v>
      </c>
      <c r="L4" s="494"/>
      <c r="M4" s="493">
        <f t="shared" ref="M4:M21" si="3">((M27+N27)-(M26+N26))/2</f>
        <v>0</v>
      </c>
      <c r="N4" s="494"/>
      <c r="O4" s="493">
        <v>0</v>
      </c>
      <c r="P4" s="494"/>
      <c r="Q4" s="493">
        <f>((Q27+R27)-(Q26+R26))/2</f>
        <v>0</v>
      </c>
      <c r="R4" s="494"/>
      <c r="S4" s="493">
        <f>((S27+T27)-(S26+T26))/2</f>
        <v>0</v>
      </c>
      <c r="T4" s="494"/>
      <c r="U4" s="493">
        <f>((U27+V27)-(U26+V26))/2</f>
        <v>0</v>
      </c>
      <c r="V4" s="494"/>
      <c r="W4" s="493">
        <f>((W27+X27)-(W26+X26))/2</f>
        <v>0</v>
      </c>
      <c r="X4" s="494"/>
      <c r="Y4" s="493">
        <f>((Y27+Z27)-(Y26+Z26))/2</f>
        <v>0</v>
      </c>
      <c r="Z4" s="494"/>
      <c r="AA4" s="493">
        <f>((AA27+AB27)-(AA26+AB26))/2</f>
        <v>0</v>
      </c>
      <c r="AB4" s="494"/>
      <c r="AC4" s="493">
        <f>((AC27+AD27)-(AC26+AD26))/2</f>
        <v>0</v>
      </c>
      <c r="AD4" s="494"/>
      <c r="AE4" s="493">
        <f>((AE27+AF27)-(AE26+AF26))/2</f>
        <v>0</v>
      </c>
      <c r="AF4" s="494"/>
      <c r="AG4" s="493">
        <f>((AG27+AH27)-(AG26+AH26))/2</f>
        <v>0</v>
      </c>
      <c r="AH4" s="494"/>
      <c r="AI4" s="493">
        <f>((AI27+AJ27)-(AI26+AJ26))/2</f>
        <v>0</v>
      </c>
      <c r="AJ4" s="494"/>
      <c r="AK4" s="493">
        <f>((AK27+AL27)-(AK26+AL26))/2</f>
        <v>0</v>
      </c>
      <c r="AL4" s="494"/>
      <c r="AM4" s="493">
        <v>56</v>
      </c>
      <c r="AN4" s="494"/>
      <c r="AO4" s="493">
        <v>12</v>
      </c>
      <c r="AP4" s="494"/>
      <c r="AQ4" s="493">
        <f>((AQ27+AR27)-(AQ26+AR26))/2</f>
        <v>0</v>
      </c>
      <c r="AR4" s="494"/>
      <c r="AS4" s="493">
        <f>((AS27+AT27)-(AS26+AT26))/2</f>
        <v>0</v>
      </c>
      <c r="AT4" s="494"/>
      <c r="AU4" s="493">
        <f>((AU27+AV27)-(AU26+AV26))/2</f>
        <v>0</v>
      </c>
      <c r="AV4" s="494"/>
      <c r="AW4" s="493">
        <f>((AW27+AX27)-(AW26+AX26))/2</f>
        <v>0</v>
      </c>
      <c r="AX4" s="494"/>
      <c r="AY4" s="493">
        <f>((AY27+AZ27)-(AY26+AZ26))/2</f>
        <v>0</v>
      </c>
      <c r="AZ4" s="494"/>
      <c r="BA4" s="493">
        <f>((BA27+BB27)-(BA26+BB26))/2</f>
        <v>0</v>
      </c>
      <c r="BB4" s="494"/>
      <c r="BC4" s="493">
        <f>((BC27+BD27)-(BC26+BD26))/2</f>
        <v>0</v>
      </c>
      <c r="BD4" s="494"/>
      <c r="BE4" s="493">
        <f>((BE27+BF27)-(BE26+BF26))/2</f>
        <v>0</v>
      </c>
      <c r="BF4" s="494"/>
      <c r="BG4" s="493">
        <v>26</v>
      </c>
      <c r="BH4" s="494"/>
      <c r="BI4" s="493">
        <f>((BI27+BJ27)-(BI26+BJ26))/2</f>
        <v>0</v>
      </c>
      <c r="BJ4" s="494"/>
      <c r="BK4" s="493">
        <f>((BK27+BL27)-(BK26+BL26))/2</f>
        <v>0</v>
      </c>
      <c r="BL4" s="494"/>
      <c r="BM4" s="493">
        <f>((BM27+BN27)-(BM26+BN26))/2</f>
        <v>0</v>
      </c>
      <c r="BN4" s="494"/>
      <c r="BO4" s="493">
        <f>((BO27+BP27)-(BO26+BP26))/2</f>
        <v>0</v>
      </c>
      <c r="BP4" s="494"/>
      <c r="BQ4" s="493">
        <f>((BQ27+BR27)-(BQ26+BR26))/2</f>
        <v>0</v>
      </c>
      <c r="BR4" s="494"/>
      <c r="BS4" s="493">
        <f>((BS27+BT27)-(BS26+BT26))/2</f>
        <v>0</v>
      </c>
      <c r="BT4" s="494"/>
      <c r="BU4" s="493">
        <f>((BU27+BV27)-(BU26+BV26))/2</f>
        <v>0</v>
      </c>
      <c r="BV4" s="494"/>
      <c r="BW4" s="493">
        <f t="shared" ref="BW4:BW6" si="4">((BW27+BX27)-(BW26+BX26))/2</f>
        <v>0</v>
      </c>
      <c r="BX4" s="494"/>
      <c r="BY4" s="493">
        <f>((BY27+BZ27)-(BY26+BZ26))/2</f>
        <v>0</v>
      </c>
      <c r="BZ4" s="494"/>
      <c r="CA4" s="493">
        <f>((CA27+CB27)-(CA26+CB26))/2</f>
        <v>0</v>
      </c>
      <c r="CB4" s="494"/>
      <c r="CC4" s="493">
        <f>((CC27+CD27)-(CC26+CD26))/2</f>
        <v>0</v>
      </c>
      <c r="CD4" s="494"/>
      <c r="CE4" s="493">
        <f>((CE27+CF27)-(CE26+CF26))/2</f>
        <v>0</v>
      </c>
      <c r="CF4" s="494"/>
      <c r="CG4" s="493">
        <f>((CG27+CH27)-(CG26+CH26))/2</f>
        <v>0</v>
      </c>
      <c r="CH4" s="494"/>
      <c r="CI4" s="493">
        <f>((CI27+CJ27)-(CI26+CJ26))/2</f>
        <v>0</v>
      </c>
      <c r="CJ4" s="494"/>
      <c r="CK4" s="493">
        <f>((CK27+CL27)-(CK26+CL26))/2</f>
        <v>0</v>
      </c>
      <c r="CL4" s="494"/>
      <c r="CM4" s="493">
        <f>((CM27+CN27)-(CM26+CN26))/2</f>
        <v>0</v>
      </c>
      <c r="CN4" s="494"/>
      <c r="CO4" s="493">
        <f>((CO27+CP27)-(CO26+CP26))/2</f>
        <v>0</v>
      </c>
      <c r="CP4" s="494"/>
      <c r="CQ4" s="493">
        <f>((CQ27+CR27)-(CQ26+CR26))/2</f>
        <v>0</v>
      </c>
      <c r="CR4" s="494"/>
      <c r="CS4" s="493">
        <f>((CS27+CT27)-(CS26+CT26))/2</f>
        <v>0</v>
      </c>
      <c r="CT4" s="494"/>
      <c r="CU4" s="493">
        <f>((CU31+CV31)-(CU26+CV26))/2</f>
        <v>0</v>
      </c>
      <c r="CV4" s="494"/>
      <c r="CW4" s="493">
        <f>((CW27+CX27)-(CW26+CX26))/2</f>
        <v>0</v>
      </c>
      <c r="CX4" s="494"/>
      <c r="CY4" s="493">
        <f t="shared" ref="CY4" si="5">((CY27+CZ27)-(CY26+CZ26))/2</f>
        <v>0</v>
      </c>
      <c r="CZ4" s="494"/>
      <c r="DA4" s="493">
        <f>((DA27+DB27)-(DA26+DB26))/2</f>
        <v>0</v>
      </c>
      <c r="DB4" s="494"/>
      <c r="DC4" s="493">
        <f>((DC27+DD27)-(DC26+DD26))/2</f>
        <v>0</v>
      </c>
      <c r="DD4" s="494"/>
      <c r="DE4" s="493">
        <f>((DE27+DF27)-(DE26+DF26))/2</f>
        <v>0</v>
      </c>
      <c r="DF4" s="494"/>
      <c r="DG4" s="493">
        <f>((DG27+DH27)-(DG26+DH26))/2</f>
        <v>0</v>
      </c>
      <c r="DH4" s="494"/>
      <c r="DI4" s="493">
        <f>((DI27+DJ27)-(DI26+DJ26))/2</f>
        <v>0</v>
      </c>
      <c r="DJ4" s="494"/>
      <c r="DK4" s="493">
        <f>((DK27+DL27)-(DK26+DL26))/2</f>
        <v>0</v>
      </c>
      <c r="DL4" s="494"/>
      <c r="DM4" s="493">
        <f>((DM27+DN27)-(DM26+DN26))/2</f>
        <v>0</v>
      </c>
      <c r="DN4" s="494"/>
      <c r="DO4" s="493">
        <f>((DO27+DP27)-(DO26+DP26))/2</f>
        <v>0</v>
      </c>
      <c r="DP4" s="494"/>
      <c r="DQ4" s="493">
        <f>((DQ28+DR27)-(DQ27+DR26))/2</f>
        <v>0</v>
      </c>
      <c r="DR4" s="494"/>
      <c r="DS4" s="493">
        <f>((DS27+DT27)-(DS26+DT26))/2</f>
        <v>0</v>
      </c>
      <c r="DT4" s="494"/>
      <c r="DU4" s="493">
        <v>0</v>
      </c>
      <c r="DV4" s="494"/>
      <c r="DW4" s="493">
        <f>((DW27+DX27)-(DW26+DX26))/2</f>
        <v>-842133</v>
      </c>
      <c r="DX4" s="494"/>
      <c r="DY4" s="493">
        <f>((DY27+DZ27)-(DY26+DZ26))/2</f>
        <v>0</v>
      </c>
      <c r="DZ4" s="494"/>
      <c r="EA4" s="493">
        <f>((EA27+EB27)-(EA26+EB26))/2</f>
        <v>0</v>
      </c>
      <c r="EB4" s="494"/>
      <c r="EC4" s="493">
        <f>((EC27+ED27)-(EC26+ED26))/2</f>
        <v>0</v>
      </c>
      <c r="ED4" s="494"/>
      <c r="EE4" s="493">
        <f t="shared" ref="EE4:EE12" si="6">((EE27+EF27)-(EE26+EF26))/2</f>
        <v>0</v>
      </c>
      <c r="EF4" s="494"/>
      <c r="EG4" s="493">
        <f t="shared" ref="EG4:EG12" si="7">((EG27+EH27)-(EG26+EH26))/2</f>
        <v>0</v>
      </c>
      <c r="EH4" s="494"/>
      <c r="EI4" s="493">
        <v>0</v>
      </c>
      <c r="EJ4" s="494"/>
      <c r="EK4" s="493">
        <f t="shared" ref="EK4:EK12" si="8">((EK27+EL27)-(EK26+EL26))/2</f>
        <v>-846192.5</v>
      </c>
      <c r="EL4" s="494"/>
      <c r="EM4" s="493">
        <f t="shared" ref="EM4:EM12" si="9">((EM27+EN27)-(EM26+EN26))/2</f>
        <v>0</v>
      </c>
      <c r="EN4" s="494"/>
      <c r="EO4" s="493">
        <f t="shared" ref="EO4:EO16" si="10">((EO27+EP27)-(EO26+EP26))/2</f>
        <v>0</v>
      </c>
      <c r="EP4" s="494"/>
      <c r="EQ4" s="493">
        <f>((EQ27+ER27)-(EQ26+ER26))/2</f>
        <v>0</v>
      </c>
      <c r="ER4" s="494"/>
      <c r="ES4" s="493">
        <f>((ES27+ET27)-(ES26+ET26))/2</f>
        <v>0</v>
      </c>
      <c r="ET4" s="494"/>
      <c r="EU4" s="493">
        <f>((EU27+EV27)-(EU26+EV26))/2</f>
        <v>0</v>
      </c>
      <c r="EV4" s="494"/>
      <c r="EW4" s="493">
        <f>((EW27+EX27)-(EW26+EX26))/2</f>
        <v>0</v>
      </c>
      <c r="EX4" s="494"/>
      <c r="EY4" s="493">
        <f>((EY27+EZ27)-(EY26+EZ26))/2</f>
        <v>-850736</v>
      </c>
      <c r="EZ4" s="494"/>
      <c r="FA4" s="493">
        <f>((FA27+FB27)-(FA26+FB26))/2</f>
        <v>0</v>
      </c>
      <c r="FB4" s="494"/>
      <c r="FC4" s="493">
        <f>((FC27+FD27)-(FC26+FD26))/2</f>
        <v>0</v>
      </c>
      <c r="FD4" s="494"/>
      <c r="FE4" s="493">
        <f>((FE27+FF27)-(FE26+FF26))/2</f>
        <v>0</v>
      </c>
      <c r="FF4" s="494"/>
      <c r="FG4" s="493">
        <f>((FG27+FH27)-(FG26+FH26))/2</f>
        <v>0</v>
      </c>
      <c r="FH4" s="494"/>
      <c r="FI4" s="493">
        <f>((FI27+FJ27)-(FI26+FJ26))/2</f>
        <v>0</v>
      </c>
      <c r="FJ4" s="494"/>
      <c r="FK4" s="493">
        <f>((FK27+FL27)-(FK26+FL26))/2</f>
        <v>0</v>
      </c>
      <c r="FL4" s="494"/>
      <c r="FM4" s="493">
        <f>((FM27+FN27)-(FM26+FN26))/2</f>
        <v>-856614.5</v>
      </c>
      <c r="FN4" s="494"/>
      <c r="FO4" s="493">
        <f>((FO27+FP27)-(FO26+FP26))/2</f>
        <v>0</v>
      </c>
      <c r="FP4" s="494"/>
      <c r="FQ4" s="493">
        <f>((FQ27+FR27)-(FQ26+FR26))/2</f>
        <v>0</v>
      </c>
      <c r="FR4" s="494"/>
      <c r="FS4" s="493">
        <f>((FS27+FT27)-(FS26+FT26))/2</f>
        <v>0</v>
      </c>
      <c r="FT4" s="494"/>
      <c r="FU4" s="493">
        <f>((FU27+FV27)-(FU26+FV26))/2</f>
        <v>0</v>
      </c>
      <c r="FV4" s="494"/>
      <c r="FW4" s="493">
        <f>((FW27+FX27)-(FW26+FX26))/2</f>
        <v>0</v>
      </c>
      <c r="FX4" s="494"/>
      <c r="FY4" s="493">
        <f>((FY27+FZ27)-(FY26+FZ26))/2</f>
        <v>0</v>
      </c>
      <c r="FZ4" s="494"/>
      <c r="GA4" s="493">
        <f>((GA27+GB27)-(GA26+GB26))/2</f>
        <v>0</v>
      </c>
      <c r="GB4" s="494"/>
      <c r="GC4" s="493">
        <f>((GC27+GD27)-(GC26+GD26))/2</f>
        <v>0</v>
      </c>
      <c r="GD4" s="494"/>
      <c r="GE4" s="493">
        <f>((GE27+GF27)-(GE26+GF26))/2</f>
        <v>0</v>
      </c>
      <c r="GF4" s="494"/>
      <c r="GG4" s="493">
        <f>((GG27+GH27)-(GG26+GH26))/2</f>
        <v>0</v>
      </c>
      <c r="GH4" s="494"/>
      <c r="GI4" s="493">
        <f>((GI27+GJ27)-(GI26+GJ26))/2</f>
        <v>0</v>
      </c>
      <c r="GJ4" s="494"/>
      <c r="GK4" s="493">
        <f>((GK27+GL27)-(GK26+GL26))/2</f>
        <v>0</v>
      </c>
      <c r="GL4" s="494"/>
      <c r="GM4" s="493">
        <f>((GM27+GN27)-(GM26+GN26))/2</f>
        <v>0</v>
      </c>
      <c r="GN4" s="494"/>
      <c r="GO4" s="493">
        <f>((GO31+GP27)-(GO26+GP26))/2</f>
        <v>0</v>
      </c>
      <c r="GP4" s="494"/>
      <c r="GQ4" s="493">
        <f>((GQ27+GR27)-(GQ26+GR26))/2</f>
        <v>0</v>
      </c>
      <c r="GR4" s="494"/>
      <c r="GS4" s="493">
        <f>((GS27+GT27)-(GS26+GT26))/2</f>
        <v>0</v>
      </c>
      <c r="GT4" s="494"/>
      <c r="GU4" s="493">
        <f t="shared" ref="GU4:GU9" si="11">((GU27+GV27)-(GU26+GV26))/2</f>
        <v>0</v>
      </c>
      <c r="GV4" s="494"/>
      <c r="GW4" s="493">
        <f t="shared" ref="GW4:GW9" si="12">((GW27+GX27)-(GW26+GX26))/2</f>
        <v>0</v>
      </c>
      <c r="GX4" s="494"/>
      <c r="GY4" s="493">
        <f t="shared" ref="GY4:GY9" si="13">((GY27+GZ27)-(GY26+GZ26))/2</f>
        <v>0</v>
      </c>
      <c r="GZ4" s="494"/>
      <c r="HA4" s="493">
        <f>((HA27+HB27)-(HA26+HB26))/2</f>
        <v>0</v>
      </c>
      <c r="HB4" s="494"/>
      <c r="HC4" s="493">
        <f>((HC27+HD27)-(HC26+HD26))/2</f>
        <v>0</v>
      </c>
      <c r="HD4" s="494"/>
      <c r="HE4" s="493">
        <f>((HE28+HF27)-(HE26+HF26))/2</f>
        <v>0</v>
      </c>
      <c r="HF4" s="494"/>
      <c r="HG4" s="493">
        <f>((HG27+HH27)-(HG26+HH26))/2</f>
        <v>0</v>
      </c>
      <c r="HH4" s="494"/>
      <c r="HI4" s="493">
        <f>((HI27+HJ27)-(HI26+HJ26))/2</f>
        <v>0</v>
      </c>
      <c r="HJ4" s="494"/>
      <c r="HK4" s="493">
        <f>((HK27+HL27)-(HK26+HL26))/2</f>
        <v>0</v>
      </c>
      <c r="HL4" s="494"/>
      <c r="HM4" s="493">
        <f>((HM27+HN27)-(HM26+HN26))/2</f>
        <v>0</v>
      </c>
      <c r="HN4" s="494"/>
      <c r="HO4" s="493">
        <f>((HO27+HP27)-(HO26+HP26))/2</f>
        <v>0</v>
      </c>
      <c r="HP4" s="494"/>
      <c r="HQ4" s="493">
        <f>((HQ27+HR27)-(HQ26+HR26))/2</f>
        <v>0</v>
      </c>
      <c r="HR4" s="494"/>
      <c r="HS4" s="493">
        <f>((HS27+HT27)-(HS26+HT26))/2</f>
        <v>0</v>
      </c>
      <c r="HT4" s="494"/>
      <c r="HU4" s="493">
        <f>((HU27+HV27)-(HU26+HV26))/2</f>
        <v>0</v>
      </c>
      <c r="HV4" s="494"/>
      <c r="HW4" s="493">
        <f>((HW27+HX27)-(HW26+HX26))/2</f>
        <v>0</v>
      </c>
      <c r="HX4" s="494"/>
      <c r="HY4" s="493">
        <f>((HY27+HZ27)-(HY26+HZ26))/2</f>
        <v>0</v>
      </c>
      <c r="HZ4" s="494"/>
      <c r="IA4" s="493">
        <f>((IA27+IB27)-(IA26+IB26))/2</f>
        <v>0</v>
      </c>
      <c r="IB4" s="494"/>
      <c r="IC4" s="493">
        <f>((IC27+ID27)-(IC26+ID26))/2</f>
        <v>0</v>
      </c>
      <c r="ID4" s="494"/>
      <c r="IE4" s="493">
        <f>((IE27+IF27)-(IE26+IF26))/2</f>
        <v>0</v>
      </c>
      <c r="IF4" s="494"/>
      <c r="IG4" s="493">
        <f>((IG27+IH27)-(IG26+IH26))/2</f>
        <v>0</v>
      </c>
      <c r="IH4" s="494"/>
      <c r="II4" s="493">
        <f>((II27+IJ27)-(II26+IJ26))/2</f>
        <v>0</v>
      </c>
      <c r="IJ4" s="494"/>
      <c r="IK4" s="493">
        <f>((IK27+IL27)-(IK26+IL26))/2</f>
        <v>0</v>
      </c>
      <c r="IL4" s="494"/>
      <c r="IM4" s="493">
        <f>((IM27+IN27)-(IM26+IN26))/2</f>
        <v>0</v>
      </c>
      <c r="IN4" s="494"/>
      <c r="IO4" s="493"/>
      <c r="IP4" s="494"/>
      <c r="IQ4" s="493">
        <f>((IQ27+IR27)-(IQ26+IR26))/2</f>
        <v>0</v>
      </c>
      <c r="IR4" s="494"/>
      <c r="IS4" s="493">
        <f>((IS27+IT27)-(IS26+IT26))/2</f>
        <v>0</v>
      </c>
      <c r="IT4" s="494"/>
      <c r="IU4" s="493">
        <f t="shared" ref="IU4:IU19" si="14">((IU27+IV27)-(IU26+IV26))/2</f>
        <v>0</v>
      </c>
      <c r="IV4" s="494"/>
      <c r="IW4" s="493">
        <f t="shared" ref="IW4:IW19" si="15">((IW27+IX27)-(IW26+IX26))/2</f>
        <v>0</v>
      </c>
      <c r="IX4" s="494"/>
      <c r="IY4" s="493">
        <f t="shared" ref="IY4:IY19" si="16">((IY27+IZ27)-(IY26+IZ26))/2</f>
        <v>0</v>
      </c>
      <c r="IZ4" s="494"/>
      <c r="JA4" s="493">
        <f t="shared" ref="JA4" si="17">((JA27+JB27)-(JA26+JB26))/2</f>
        <v>0</v>
      </c>
      <c r="JB4" s="494"/>
      <c r="JC4" s="493">
        <f t="shared" ref="JC4" si="18">((JC27+JD27)-(JC26+JD26))/2</f>
        <v>0</v>
      </c>
      <c r="JD4" s="494"/>
      <c r="JE4" s="493">
        <f t="shared" ref="JE4:JE19" si="19">((JE27+JF27)-(JE26+JF26))/2</f>
        <v>0</v>
      </c>
      <c r="JF4" s="494"/>
      <c r="JG4" s="493">
        <f t="shared" ref="JG4" si="20">((JG27+JH27)-(JG26+JH26))/2</f>
        <v>0</v>
      </c>
      <c r="JH4" s="494"/>
      <c r="JI4" s="493">
        <f t="shared" ref="JI4" si="21">((JI27+JJ27)-(JI26+JJ26))/2</f>
        <v>0</v>
      </c>
      <c r="JJ4" s="494"/>
      <c r="JK4" s="493">
        <f t="shared" ref="JK4:JK19" si="22">((JK27+JL27)-(JK26+JL26))/2</f>
        <v>0</v>
      </c>
      <c r="JL4" s="494"/>
      <c r="JM4" s="493">
        <f t="shared" ref="JM4" si="23">((JM27+JN27)-(JM26+JN26))/2</f>
        <v>0</v>
      </c>
      <c r="JN4" s="494"/>
      <c r="JO4" s="493">
        <f t="shared" ref="JO4" si="24">((JO27+JP27)-(JO26+JP26))/2</f>
        <v>0</v>
      </c>
      <c r="JP4" s="494"/>
      <c r="JQ4" s="493">
        <f t="shared" ref="JQ4:JQ19" si="25">((JQ27+JR27)-(JQ26+JR26))/2</f>
        <v>0</v>
      </c>
      <c r="JR4" s="494"/>
      <c r="JS4" s="493">
        <f t="shared" ref="JS4" si="26">((JS27+JT27)-(JS26+JT26))/2</f>
        <v>0</v>
      </c>
      <c r="JT4" s="494"/>
      <c r="JU4" s="493">
        <f t="shared" ref="JU4" si="27">((JU27+JV27)-(JU26+JV26))/2</f>
        <v>0</v>
      </c>
      <c r="JV4" s="494"/>
      <c r="JW4" s="493">
        <f t="shared" ref="JW4:JW19" si="28">((JW27+JX27)-(JW26+JX26))/2</f>
        <v>0</v>
      </c>
      <c r="JX4" s="494"/>
      <c r="JY4" s="493">
        <f t="shared" ref="JY4" si="29">((JY27+JZ27)-(JY26+JZ26))/2</f>
        <v>0</v>
      </c>
      <c r="JZ4" s="494"/>
      <c r="KA4" s="493">
        <f t="shared" ref="KA4" si="30">((KA27+KB27)-(KA26+KB26))/2</f>
        <v>0</v>
      </c>
      <c r="KB4" s="494"/>
      <c r="KC4" s="493">
        <f t="shared" ref="KC4:KC19" si="31">((KC27+KD27)-(KC26+KD26))/2</f>
        <v>0</v>
      </c>
      <c r="KD4" s="494"/>
      <c r="KE4" s="493">
        <f t="shared" ref="KE4" si="32">((KE27+KF27)-(KE26+KF26))/2</f>
        <v>0</v>
      </c>
      <c r="KF4" s="494"/>
      <c r="KG4" s="493">
        <f t="shared" ref="KG4" si="33">((KG27+KH27)-(KG26+KH26))/2</f>
        <v>0</v>
      </c>
      <c r="KH4" s="494"/>
      <c r="KI4" s="493">
        <f t="shared" ref="KI4:KI19" si="34">((KI27+KJ27)-(KI26+KJ26))/2</f>
        <v>0</v>
      </c>
      <c r="KJ4" s="494"/>
      <c r="KK4" s="493">
        <f t="shared" ref="KK4" si="35">((KK27+KL27)-(KK26+KL26))/2</f>
        <v>0</v>
      </c>
      <c r="KL4" s="494"/>
      <c r="KM4" s="493">
        <f t="shared" ref="KM4" si="36">((KM27+KN27)-(KM26+KN26))/2</f>
        <v>0</v>
      </c>
      <c r="KN4" s="494"/>
      <c r="KO4" s="493">
        <f t="shared" ref="KO4:KO19" si="37">((KO27+KP27)-(KO26+KP26))/2</f>
        <v>0</v>
      </c>
      <c r="KP4" s="494"/>
      <c r="KQ4" s="493">
        <f t="shared" ref="KQ4" si="38">((KQ27+KR27)-(KQ26+KR26))/2</f>
        <v>0</v>
      </c>
      <c r="KR4" s="494"/>
      <c r="KS4" s="493">
        <f t="shared" ref="KS4" si="39">((KS27+KT27)-(KS26+KT26))/2</f>
        <v>0</v>
      </c>
      <c r="KT4" s="494"/>
      <c r="KU4" s="493">
        <f t="shared" ref="KU4:KU19" si="40">((KU27+KV27)-(KU26+KV26))/2</f>
        <v>0</v>
      </c>
      <c r="KV4" s="494"/>
      <c r="KW4" s="493">
        <f t="shared" ref="KW4" si="41">((KW27+KX27)-(KW26+KX26))/2</f>
        <v>0</v>
      </c>
      <c r="KX4" s="494"/>
      <c r="KY4" s="493">
        <f t="shared" ref="KY4" si="42">((KY27+KZ27)-(KY26+KZ26))/2</f>
        <v>0</v>
      </c>
      <c r="KZ4" s="494"/>
      <c r="LA4" s="493">
        <f t="shared" ref="LA4:LA15" si="43">((LA27+LB27)-(LA26+LB26))/2</f>
        <v>0</v>
      </c>
      <c r="LB4" s="494"/>
      <c r="LC4" s="493">
        <f t="shared" ref="LC4" si="44">((LC27+LD27)-(LC26+LD26))/2</f>
        <v>0</v>
      </c>
      <c r="LD4" s="494"/>
      <c r="LE4" s="493">
        <f t="shared" ref="LE4" si="45">((LE27+LF27)-(LE26+LF26))/2</f>
        <v>0</v>
      </c>
      <c r="LF4" s="494"/>
      <c r="LG4" s="493">
        <f t="shared" ref="LG4" si="46">((LG27+LH27)-(LG26+LH26))/2</f>
        <v>0</v>
      </c>
      <c r="LH4" s="494"/>
      <c r="LI4" s="493">
        <f t="shared" ref="LI4" si="47">((LI27+LJ27)-(LI26+LJ26))/2</f>
        <v>0</v>
      </c>
      <c r="LJ4" s="494"/>
      <c r="LK4" s="493">
        <f t="shared" ref="LK4" si="48">((LK27+LL27)-(LK26+LL26))/2</f>
        <v>0</v>
      </c>
      <c r="LL4" s="494"/>
      <c r="LM4" s="493">
        <f t="shared" ref="LM4:LM19" si="49">((LM27+LN27)-(LM26+LN26))/2</f>
        <v>0</v>
      </c>
      <c r="LN4" s="494"/>
      <c r="LO4" s="493">
        <f t="shared" ref="LO4" si="50">((LO27+LP27)-(LO26+LP26))/2</f>
        <v>0</v>
      </c>
      <c r="LP4" s="494"/>
      <c r="LQ4" s="493">
        <f t="shared" ref="LQ4" si="51">((LQ27+LR27)-(LQ26+LR26))/2</f>
        <v>0</v>
      </c>
      <c r="LR4" s="494"/>
      <c r="LS4" s="493">
        <f t="shared" ref="LS4:LS19" si="52">((LS27+LT27)-(LS26+LT26))/2</f>
        <v>0</v>
      </c>
      <c r="LT4" s="494"/>
      <c r="LU4" s="493">
        <f t="shared" ref="LU4" si="53">((LU27+LV27)-(LU26+LV26))/2</f>
        <v>0</v>
      </c>
      <c r="LV4" s="494"/>
      <c r="LW4" s="493">
        <f t="shared" ref="LW4" si="54">((LW27+LX27)-(LW26+LX26))/2</f>
        <v>0</v>
      </c>
      <c r="LX4" s="494"/>
      <c r="LY4" s="493">
        <f t="shared" ref="LY4:LY19" si="55">((LY27+LZ27)-(LY26+LZ26))/2</f>
        <v>0</v>
      </c>
      <c r="LZ4" s="494"/>
      <c r="MA4" s="493">
        <f t="shared" ref="MA4" si="56">((MA27+MB27)-(MA26+MB26))/2</f>
        <v>0</v>
      </c>
      <c r="MB4" s="494"/>
      <c r="MC4" s="493">
        <f t="shared" ref="MC4" si="57">((MC27+MD27)-(MC26+MD26))/2</f>
        <v>0</v>
      </c>
      <c r="MD4" s="494"/>
      <c r="ME4" s="493">
        <f t="shared" ref="ME4:ME19" si="58">((ME27+MF27)-(ME26+MF26))/2</f>
        <v>0</v>
      </c>
      <c r="MF4" s="494"/>
      <c r="MG4" s="493">
        <f t="shared" ref="MG4" si="59">((MG27+MH27)-(MG26+MH26))/2</f>
        <v>0</v>
      </c>
      <c r="MH4" s="494"/>
      <c r="MI4" s="493">
        <f t="shared" ref="MI4" si="60">((MI27+MJ27)-(MI26+MJ26))/2</f>
        <v>0</v>
      </c>
      <c r="MJ4" s="494"/>
      <c r="MK4" s="493">
        <f t="shared" ref="MK4:MK19" si="61">((MK27+ML27)-(MK26+ML26))/2</f>
        <v>0</v>
      </c>
      <c r="ML4" s="494"/>
      <c r="MM4" s="493">
        <f t="shared" ref="MM4" si="62">((MM27+MN27)-(MM26+MN26))/2</f>
        <v>0</v>
      </c>
      <c r="MN4" s="494"/>
      <c r="MO4" s="493">
        <f t="shared" ref="MO4" si="63">((MO27+MP27)-(MO26+MP26))/2</f>
        <v>0</v>
      </c>
      <c r="MP4" s="494"/>
      <c r="MQ4" s="493">
        <f t="shared" ref="MQ4:MQ19" si="64">((MQ27+MR27)-(MQ26+MR26))/2</f>
        <v>0</v>
      </c>
      <c r="MR4" s="494"/>
      <c r="MS4" s="493">
        <f t="shared" ref="MS4" si="65">((MS27+MT27)-(MS26+MT26))/2</f>
        <v>0</v>
      </c>
      <c r="MT4" s="494"/>
      <c r="MU4" s="493">
        <f t="shared" ref="MU4" si="66">((MU27+MV27)-(MU26+MV26))/2</f>
        <v>0</v>
      </c>
      <c r="MV4" s="494"/>
      <c r="MW4" s="493">
        <f t="shared" ref="MW4:MW19" si="67">((MW27+MX27)-(MW26+MX26))/2</f>
        <v>0</v>
      </c>
      <c r="MX4" s="494"/>
      <c r="MY4" s="493">
        <f t="shared" ref="MY4" si="68">((MY27+MZ27)-(MY26+MZ26))/2</f>
        <v>0</v>
      </c>
      <c r="MZ4" s="494"/>
      <c r="NA4" s="493">
        <f t="shared" ref="NA4" si="69">((NA27+NB27)-(NA26+NB26))/2</f>
        <v>0</v>
      </c>
      <c r="NB4" s="494"/>
      <c r="NC4" s="493">
        <f t="shared" ref="NC4:NC19" si="70">((NC27+ND27)-(NC26+ND26))/2</f>
        <v>0</v>
      </c>
      <c r="ND4" s="494"/>
      <c r="NE4" s="493">
        <f t="shared" ref="NE4" si="71">((NE27+NF27)-(NE26+NF26))/2</f>
        <v>0</v>
      </c>
      <c r="NF4" s="494"/>
      <c r="NG4" s="493">
        <f t="shared" ref="NG4" si="72">((NG27+NH27)-(NG26+NH26))/2</f>
        <v>0</v>
      </c>
      <c r="NH4" s="494"/>
      <c r="NI4" s="493">
        <f t="shared" ref="NI4:NI19" si="73">((NI27+NJ27)-(NI26+NJ26))/2</f>
        <v>0</v>
      </c>
      <c r="NJ4" s="494"/>
      <c r="NK4" s="493">
        <f t="shared" ref="NK4" si="74">((NK27+NL27)-(NK26+NL26))/2</f>
        <v>0</v>
      </c>
      <c r="NL4" s="494"/>
      <c r="NM4" s="493">
        <f t="shared" ref="NM4" si="75">((NM27+NN27)-(NM26+NN26))/2</f>
        <v>0</v>
      </c>
      <c r="NN4" s="494"/>
      <c r="NO4" s="493">
        <f t="shared" ref="NO4:NO19" si="76">((NO27+NP27)-(NO26+NP26))/2</f>
        <v>0</v>
      </c>
      <c r="NP4" s="494"/>
      <c r="NQ4" s="493">
        <f t="shared" ref="NQ4" si="77">((NQ27+NR27)-(NQ26+NR26))/2</f>
        <v>0</v>
      </c>
      <c r="NR4" s="494"/>
      <c r="NS4" s="493">
        <f t="shared" ref="NS4" si="78">((NS27+NT27)-(NS26+NT26))/2</f>
        <v>0</v>
      </c>
      <c r="NT4" s="494"/>
      <c r="NU4" s="493">
        <f t="shared" ref="NU4:NU19" si="79">((NU27+NV27)-(NU26+NV26))/2</f>
        <v>0</v>
      </c>
      <c r="NV4" s="494"/>
      <c r="NW4" s="493">
        <f t="shared" ref="NW4" si="80">((NW27+NX27)-(NW26+NX26))/2</f>
        <v>0</v>
      </c>
      <c r="NX4" s="494"/>
      <c r="NY4" s="493">
        <f t="shared" ref="NY4" si="81">((NY27+NZ27)-(NY26+NZ26))/2</f>
        <v>0</v>
      </c>
      <c r="NZ4" s="494"/>
      <c r="OA4" s="493">
        <f t="shared" ref="OA4:OA19" si="82">((OA27+OB27)-(OA26+OB26))/2</f>
        <v>0</v>
      </c>
      <c r="OB4" s="494"/>
      <c r="OC4" s="493">
        <f t="shared" ref="OC4" si="83">((OC27+OD27)-(OC26+OD26))/2</f>
        <v>0</v>
      </c>
      <c r="OD4" s="494"/>
      <c r="OE4" s="493">
        <f t="shared" ref="OE4" si="84">((OE27+OF27)-(OE26+OF26))/2</f>
        <v>0</v>
      </c>
      <c r="OF4" s="494"/>
      <c r="OG4" s="493">
        <f t="shared" ref="OG4:OG19" si="85">((OG27+OH27)-(OG26+OH26))/2</f>
        <v>0</v>
      </c>
      <c r="OH4" s="494"/>
      <c r="OI4" s="493">
        <f t="shared" ref="OI4" si="86">((OI27+OJ27)-(OI26+OJ26))/2</f>
        <v>0</v>
      </c>
      <c r="OJ4" s="494"/>
      <c r="OK4" s="493">
        <f t="shared" ref="OK4" si="87">((OK27+OL27)-(OK26+OL26))/2</f>
        <v>0</v>
      </c>
      <c r="OL4" s="494"/>
      <c r="OM4" s="493">
        <f t="shared" ref="OM4:OM19" si="88">((OM27+ON27)-(OM26+ON26))/2</f>
        <v>0</v>
      </c>
      <c r="ON4" s="494"/>
      <c r="OO4" s="493">
        <f t="shared" ref="OO4" si="89">((OO27+OP27)-(OO26+OP26))/2</f>
        <v>0</v>
      </c>
      <c r="OP4" s="494"/>
      <c r="OQ4" s="493">
        <f t="shared" ref="OQ4" si="90">((OQ27+OR27)-(OQ26+OR26))/2</f>
        <v>0</v>
      </c>
      <c r="OR4" s="494"/>
      <c r="OS4" s="493">
        <f t="shared" ref="OS4:OS19" si="91">((OS27+OT27)-(OS26+OT26))/2</f>
        <v>0</v>
      </c>
      <c r="OT4" s="494"/>
      <c r="OU4" s="493">
        <f t="shared" ref="OU4" si="92">((OU27+OV27)-(OU26+OV26))/2</f>
        <v>0</v>
      </c>
      <c r="OV4" s="494"/>
      <c r="OW4" s="493">
        <f t="shared" ref="OW4" si="93">((OW27+OX27)-(OW26+OX26))/2</f>
        <v>0</v>
      </c>
      <c r="OX4" s="494"/>
      <c r="OY4" s="493">
        <f t="shared" ref="OY4:OY19" si="94">((OY27+OZ27)-(OY26+OZ26))/2</f>
        <v>0</v>
      </c>
      <c r="OZ4" s="494"/>
      <c r="PA4" s="493">
        <f t="shared" ref="PA4" si="95">((PA27+PB27)-(PA26+PB26))/2</f>
        <v>0</v>
      </c>
      <c r="PB4" s="494"/>
      <c r="PC4" s="493">
        <f t="shared" ref="PC4" si="96">((PC27+PD27)-(PC26+PD26))/2</f>
        <v>0</v>
      </c>
      <c r="PD4" s="494"/>
      <c r="PE4" s="493">
        <f t="shared" ref="PE4:PE19" si="97">((PE27+PF27)-(PE26+PF26))/2</f>
        <v>0</v>
      </c>
      <c r="PF4" s="494"/>
      <c r="PG4" s="493">
        <f t="shared" ref="PG4" si="98">((PG27+PH27)-(PG26+PH26))/2</f>
        <v>0</v>
      </c>
      <c r="PH4" s="494"/>
      <c r="PI4" s="493">
        <f t="shared" ref="PI4" si="99">((PI27+PJ27)-(PI26+PJ26))/2</f>
        <v>0</v>
      </c>
      <c r="PJ4" s="494"/>
      <c r="PK4" s="493">
        <f t="shared" ref="PK4:PK19" si="100">((PK27+PL27)-(PK26+PL26))/2</f>
        <v>0</v>
      </c>
      <c r="PL4" s="494"/>
      <c r="PM4" s="493">
        <f t="shared" ref="PM4" si="101">((PM27+PN27)-(PM26+PN26))/2</f>
        <v>0</v>
      </c>
      <c r="PN4" s="494"/>
      <c r="PO4" s="493">
        <f t="shared" ref="PO4" si="102">((PO27+PP27)-(PO26+PP26))/2</f>
        <v>0</v>
      </c>
      <c r="PP4" s="494"/>
      <c r="PQ4" s="493">
        <f t="shared" ref="PQ4:PQ19" si="103">((PQ27+PR27)-(PQ26+PR26))/2</f>
        <v>0</v>
      </c>
      <c r="PR4" s="494"/>
      <c r="PS4" s="493">
        <f t="shared" ref="PS4" si="104">((PS27+PT27)-(PS26+PT26))/2</f>
        <v>0</v>
      </c>
      <c r="PT4" s="494"/>
      <c r="PU4" s="493">
        <f t="shared" ref="PU4" si="105">((PU27+PV27)-(PU26+PV26))/2</f>
        <v>0</v>
      </c>
      <c r="PV4" s="494"/>
      <c r="PW4" s="493">
        <f t="shared" ref="PW4:PW19" si="106">((PW27+PX27)-(PW26+PX26))/2</f>
        <v>0</v>
      </c>
      <c r="PX4" s="494"/>
      <c r="PY4" s="493">
        <f t="shared" ref="PY4" si="107">((PY27+PZ27)-(PY26+PZ26))/2</f>
        <v>0</v>
      </c>
      <c r="PZ4" s="494"/>
      <c r="QA4" s="493">
        <f t="shared" ref="QA4" si="108">((QA27+QB27)-(QA26+QB26))/2</f>
        <v>0</v>
      </c>
      <c r="QB4" s="494"/>
      <c r="QC4" s="493">
        <f t="shared" ref="QC4:QC19" si="109">((QC27+QD27)-(QC26+QD26))/2</f>
        <v>0</v>
      </c>
      <c r="QD4" s="494"/>
      <c r="QE4" s="493">
        <f t="shared" ref="QE4" si="110">((QE27+QF27)-(QE26+QF26))/2</f>
        <v>0</v>
      </c>
      <c r="QF4" s="494"/>
      <c r="QG4" s="493">
        <f t="shared" ref="QG4" si="111">((QG27+QH27)-(QG26+QH26))/2</f>
        <v>0</v>
      </c>
      <c r="QH4" s="494"/>
      <c r="QI4" s="493">
        <f t="shared" ref="QI4:QI19" si="112">((QI27+QJ27)-(QI26+QJ26))/2</f>
        <v>0</v>
      </c>
      <c r="QJ4" s="494"/>
      <c r="QK4" s="493">
        <f t="shared" ref="QK4" si="113">((QK27+QL27)-(QK26+QL26))/2</f>
        <v>0</v>
      </c>
      <c r="QL4" s="494"/>
      <c r="QM4" s="493">
        <f t="shared" ref="QM4" si="114">((QM27+QN27)-(QM26+QN26))/2</f>
        <v>0</v>
      </c>
      <c r="QN4" s="494"/>
      <c r="QO4" s="493">
        <f t="shared" ref="QO4:QO19" si="115">((QO27+QP27)-(QO26+QP26))/2</f>
        <v>0</v>
      </c>
      <c r="QP4" s="494"/>
      <c r="QQ4" s="493">
        <f t="shared" ref="QQ4" si="116">((QQ27+QR27)-(QQ26+QR26))/2</f>
        <v>0</v>
      </c>
      <c r="QR4" s="494"/>
      <c r="QS4" s="493">
        <f t="shared" ref="QS4" si="117">((QS27+QT27)-(QS26+QT26))/2</f>
        <v>0</v>
      </c>
      <c r="QT4" s="494"/>
      <c r="QU4" s="493">
        <f t="shared" ref="QU4:QU19" si="118">((QU27+QV27)-(QU26+QV26))/2</f>
        <v>0</v>
      </c>
      <c r="QV4" s="494"/>
      <c r="QW4" s="493">
        <f t="shared" ref="QW4" si="119">((QW27+QX27)-(QW26+QX26))/2</f>
        <v>0</v>
      </c>
      <c r="QX4" s="494"/>
      <c r="QY4" s="493">
        <f t="shared" ref="QY4" si="120">((QY27+QZ27)-(QY26+QZ26))/2</f>
        <v>0</v>
      </c>
      <c r="QZ4" s="494"/>
      <c r="RA4" s="493">
        <f t="shared" ref="RA4:RA19" si="121">((RA27+RB27)-(RA26+RB26))/2</f>
        <v>0</v>
      </c>
      <c r="RB4" s="494"/>
      <c r="RC4" s="493">
        <f t="shared" ref="RC4" si="122">((RC27+RD27)-(RC26+RD26))/2</f>
        <v>0</v>
      </c>
      <c r="RD4" s="494"/>
      <c r="RE4" s="493">
        <f t="shared" ref="RE4" si="123">((RE27+RF27)-(RE26+RF26))/2</f>
        <v>0</v>
      </c>
      <c r="RF4" s="494"/>
      <c r="RG4" s="493">
        <f t="shared" ref="RG4:RG19" si="124">((RG27+RH27)-(RG26+RH26))/2</f>
        <v>0</v>
      </c>
      <c r="RH4" s="494"/>
      <c r="RI4" s="493">
        <f>((RI27+RJ28)-(RI26+RJ26))/2</f>
        <v>0</v>
      </c>
      <c r="RJ4" s="494"/>
      <c r="RK4" s="493">
        <f t="shared" ref="RK4" si="125">((RK27+RL27)-(RK26+RL26))/2</f>
        <v>0</v>
      </c>
      <c r="RL4" s="494"/>
      <c r="RM4" s="493">
        <f t="shared" ref="RM4:RM19" si="126">((RM27+RN27)-(RM26+RN26))/2</f>
        <v>0</v>
      </c>
      <c r="RN4" s="494"/>
      <c r="RO4" s="493">
        <f t="shared" ref="RO4" si="127">((RO27+RP27)-(RO26+RP26))/2</f>
        <v>0</v>
      </c>
      <c r="RP4" s="494"/>
      <c r="RQ4" s="493">
        <f t="shared" ref="RQ4" si="128">((RQ27+RR27)-(RQ26+RR26))/2</f>
        <v>0</v>
      </c>
      <c r="RR4" s="494"/>
      <c r="RS4" s="493">
        <f t="shared" ref="RS4:RS19" si="129">((RS27+RT27)-(RS26+RT26))/2</f>
        <v>0</v>
      </c>
      <c r="RT4" s="494"/>
      <c r="RU4" s="493">
        <f t="shared" ref="RU4" si="130">((RU27+RV27)-(RU26+RV26))/2</f>
        <v>0</v>
      </c>
      <c r="RV4" s="494"/>
      <c r="RW4" s="493">
        <f t="shared" ref="RW4" si="131">((RW27+RX27)-(RW26+RX26))/2</f>
        <v>0</v>
      </c>
      <c r="RX4" s="494"/>
      <c r="RY4" s="493">
        <f t="shared" ref="RY4:RY19" si="132">((RY27+RZ27)-(RY26+RZ26))/2</f>
        <v>0</v>
      </c>
      <c r="RZ4" s="494"/>
      <c r="SA4" s="493">
        <f t="shared" ref="SA4" si="133">((SA27+SB27)-(SA26+SB26))/2</f>
        <v>0</v>
      </c>
      <c r="SB4" s="494"/>
      <c r="SC4" s="493">
        <f t="shared" ref="SC4" si="134">((SC27+SD27)-(SC26+SD26))/2</f>
        <v>0</v>
      </c>
      <c r="SD4" s="494"/>
      <c r="SE4" s="493">
        <f t="shared" ref="SE4:SE19" si="135">((SE27+SF27)-(SE26+SF26))/2</f>
        <v>0</v>
      </c>
      <c r="SF4" s="494"/>
      <c r="SG4" s="493">
        <f t="shared" ref="SG4" si="136">((SG27+SH27)-(SG26+SH26))/2</f>
        <v>0</v>
      </c>
      <c r="SH4" s="494"/>
      <c r="SI4" s="493">
        <f t="shared" ref="SI4" si="137">((SI27+SJ27)-(SI26+SJ26))/2</f>
        <v>0</v>
      </c>
      <c r="SJ4" s="494"/>
      <c r="SK4" s="493">
        <f t="shared" ref="SK4:SK19" si="138">((SK27+SL27)-(SK26+SL26))/2</f>
        <v>0</v>
      </c>
      <c r="SL4" s="494"/>
      <c r="SM4" s="493">
        <f t="shared" ref="SM4" si="139">((SM27+SN27)-(SM26+SN26))/2</f>
        <v>0</v>
      </c>
      <c r="SN4" s="494"/>
      <c r="SO4" s="493">
        <f t="shared" ref="SO4" si="140">((SO27+SP27)-(SO26+SP26))/2</f>
        <v>0</v>
      </c>
      <c r="SP4" s="494"/>
      <c r="SQ4" s="493">
        <f t="shared" ref="SQ4:SQ19" si="141">((SQ27+SR27)-(SQ26+SR26))/2</f>
        <v>0</v>
      </c>
      <c r="SR4" s="494"/>
      <c r="SS4" s="493">
        <f t="shared" ref="SS4" si="142">((SS27+ST27)-(SS26+ST26))/2</f>
        <v>0</v>
      </c>
      <c r="ST4" s="494"/>
      <c r="SU4" s="493">
        <f t="shared" ref="SU4" si="143">((SU27+SV27)-(SU26+SV26))/2</f>
        <v>0</v>
      </c>
      <c r="SV4" s="494"/>
      <c r="SW4" s="493">
        <f t="shared" ref="SW4:SW19" si="144">((SW27+SX27)-(SW26+SX26))/2</f>
        <v>0</v>
      </c>
      <c r="SX4" s="494"/>
      <c r="SY4" s="493">
        <f t="shared" ref="SY4" si="145">((SY27+SZ27)-(SY26+SZ26))/2</f>
        <v>0</v>
      </c>
      <c r="SZ4" s="494"/>
      <c r="TA4" s="493">
        <f t="shared" ref="TA4" si="146">((TA27+TB27)-(TA26+TB26))/2</f>
        <v>0</v>
      </c>
      <c r="TB4" s="494"/>
      <c r="TC4" s="493">
        <f t="shared" ref="TC4:TC19" si="147">((TC27+TD27)-(TC26+TD26))/2</f>
        <v>0</v>
      </c>
      <c r="TD4" s="494"/>
      <c r="TE4" s="493">
        <f t="shared" ref="TE4" si="148">((TE27+TF27)-(TE26+TF26))/2</f>
        <v>0</v>
      </c>
      <c r="TF4" s="494"/>
      <c r="TG4" s="493">
        <f t="shared" ref="TG4" si="149">((TG27+TH27)-(TG26+TH26))/2</f>
        <v>0</v>
      </c>
      <c r="TH4" s="494"/>
      <c r="TI4" s="493">
        <f t="shared" ref="TI4:TI19" si="150">((TI27+TJ27)-(TI26+TJ26))/2</f>
        <v>0</v>
      </c>
      <c r="TJ4" s="494"/>
      <c r="TK4" s="493">
        <f t="shared" ref="TK4" si="151">((TK27+TL27)-(TK26+TL26))/2</f>
        <v>0</v>
      </c>
      <c r="TL4" s="494"/>
      <c r="TM4" s="493">
        <f t="shared" ref="TM4" si="152">((TM27+TN27)-(TM26+TN26))/2</f>
        <v>0</v>
      </c>
      <c r="TN4" s="494"/>
      <c r="TO4" s="493">
        <f t="shared" ref="TO4:TO19" si="153">((TO27+TP27)-(TO26+TP26))/2</f>
        <v>0</v>
      </c>
      <c r="TP4" s="494"/>
      <c r="TQ4" s="493">
        <f t="shared" ref="TQ4" si="154">((TQ27+TR27)-(TQ26+TR26))/2</f>
        <v>0</v>
      </c>
      <c r="TR4" s="494"/>
      <c r="TS4" s="493">
        <f t="shared" ref="TS4" si="155">((TS27+TT27)-(TS26+TT26))/2</f>
        <v>0</v>
      </c>
      <c r="TT4" s="494"/>
      <c r="TU4" s="493">
        <f t="shared" ref="TU4:TU19" si="156">((TU27+TV27)-(TU26+TV26))/2</f>
        <v>0</v>
      </c>
      <c r="TV4" s="494"/>
      <c r="TW4" s="493">
        <f t="shared" ref="TW4" si="157">((TW27+TX27)-(TW26+TX26))/2</f>
        <v>0</v>
      </c>
      <c r="TX4" s="494"/>
      <c r="TY4" s="493">
        <f t="shared" ref="TY4" si="158">((TY27+TZ27)-(TY26+TZ26))/2</f>
        <v>0</v>
      </c>
      <c r="TZ4" s="494"/>
      <c r="UA4" s="493">
        <f t="shared" ref="UA4:UA19" si="159">((UA27+UB27)-(UA26+UB26))/2</f>
        <v>0</v>
      </c>
      <c r="UB4" s="494"/>
      <c r="UC4" s="493">
        <f t="shared" ref="UC4" si="160">((UC27+UD27)-(UC26+UD26))/2</f>
        <v>0</v>
      </c>
      <c r="UD4" s="494"/>
      <c r="UE4" s="493">
        <f t="shared" ref="UE4" si="161">((UE27+UF27)-(UE26+UF26))/2</f>
        <v>0</v>
      </c>
      <c r="UF4" s="494"/>
      <c r="UG4" s="493">
        <f t="shared" ref="UG4:UG19" si="162">((UG27+UH27)-(UG26+UH26))/2</f>
        <v>0</v>
      </c>
      <c r="UH4" s="494"/>
      <c r="UI4" s="493">
        <f t="shared" ref="UI4" si="163">((UI27+UJ27)-(UI26+UJ26))/2</f>
        <v>0</v>
      </c>
      <c r="UJ4" s="494"/>
      <c r="UK4" s="493">
        <f t="shared" ref="UK4" si="164">((UK27+UL27)-(UK26+UL26))/2</f>
        <v>0</v>
      </c>
      <c r="UL4" s="494"/>
      <c r="UM4" s="493">
        <f t="shared" ref="UM4:UM19" si="165">((UM27+UN27)-(UM26+UN26))/2</f>
        <v>0</v>
      </c>
      <c r="UN4" s="494"/>
      <c r="UO4" s="493">
        <f t="shared" ref="UO4" si="166">((UO27+UP27)-(UO26+UP26))/2</f>
        <v>0</v>
      </c>
      <c r="UP4" s="494"/>
      <c r="UQ4" s="493">
        <f t="shared" ref="UQ4" si="167">((UQ27+UR27)-(UQ26+UR26))/2</f>
        <v>0</v>
      </c>
      <c r="UR4" s="494"/>
      <c r="US4" s="493">
        <f t="shared" ref="US4:US19" si="168">((US27+UT27)-(US26+UT26))/2</f>
        <v>0</v>
      </c>
      <c r="UT4" s="494"/>
      <c r="UU4" s="493">
        <f t="shared" ref="UU4" si="169">((UU27+UV27)-(UU26+UV26))/2</f>
        <v>0</v>
      </c>
      <c r="UV4" s="494"/>
      <c r="UW4" s="493">
        <f t="shared" ref="UW4" si="170">((UW27+UX27)-(UW26+UX26))/2</f>
        <v>0</v>
      </c>
      <c r="UX4" s="494"/>
      <c r="UY4" s="493">
        <f t="shared" ref="UY4:UY19" si="171">((UY27+UZ27)-(UY26+UZ26))/2</f>
        <v>0</v>
      </c>
      <c r="UZ4" s="494"/>
      <c r="VA4" s="493">
        <f t="shared" ref="VA4" si="172">((VA27+VB27)-(VA26+VB26))/2</f>
        <v>0</v>
      </c>
      <c r="VB4" s="494"/>
      <c r="VC4" s="493">
        <f t="shared" ref="VC4" si="173">((VC27+VD27)-(VC26+VD26))/2</f>
        <v>0</v>
      </c>
      <c r="VD4" s="494"/>
      <c r="VE4" s="493">
        <v>24</v>
      </c>
      <c r="VF4" s="494"/>
      <c r="VG4" s="493">
        <f t="shared" ref="VG4" si="174">((VG27+VH27)-(VG26+VH26))/2</f>
        <v>0</v>
      </c>
      <c r="VH4" s="494"/>
      <c r="VI4" s="493">
        <f t="shared" ref="VI4" si="175">((VI27+VJ27)-(VI26+VJ26))/2</f>
        <v>0</v>
      </c>
      <c r="VJ4" s="494"/>
      <c r="VK4" s="493">
        <v>70</v>
      </c>
      <c r="VL4" s="494"/>
      <c r="VM4" s="493">
        <f t="shared" ref="VM4" si="176">((VM27+VN27)-(VM26+VN26))/2</f>
        <v>0</v>
      </c>
      <c r="VN4" s="494"/>
      <c r="VO4" s="493">
        <f t="shared" ref="VO4" si="177">((VO27+VP27)-(VO26+VP26))/2</f>
        <v>0</v>
      </c>
      <c r="VP4" s="494"/>
      <c r="VQ4" s="493">
        <f t="shared" ref="VQ4:VQ19" si="178">((VQ27+VR27)-(VQ26+VR26))/2</f>
        <v>0</v>
      </c>
      <c r="VR4" s="494"/>
      <c r="VS4" s="493">
        <f t="shared" ref="VS4" si="179">((VS27+VT27)-(VS26+VT26))/2</f>
        <v>0</v>
      </c>
      <c r="VT4" s="494"/>
      <c r="VU4" s="493">
        <f t="shared" ref="VU4:VU9" si="180">((VU27+VV27)-(VU26+VV26))/2</f>
        <v>0</v>
      </c>
      <c r="VV4" s="494"/>
      <c r="VW4" s="493">
        <f t="shared" ref="VW4:VW19" si="181">((VW27+VX27)-(VW26+VX26))/2</f>
        <v>0</v>
      </c>
      <c r="VX4" s="494"/>
      <c r="VY4" s="493">
        <f t="shared" ref="VY4" si="182">((VY27+VZ27)-(VY26+VZ26))/2</f>
        <v>0</v>
      </c>
      <c r="VZ4" s="494"/>
      <c r="WA4" s="493">
        <f t="shared" ref="WA4" si="183">((WA27+WB27)-(WA26+WB26))/2</f>
        <v>0</v>
      </c>
      <c r="WB4" s="494"/>
      <c r="WC4" s="493">
        <f t="shared" ref="WC4:WC19" si="184">((WC27+WD27)-(WC26+WD26))/2</f>
        <v>0</v>
      </c>
      <c r="WD4" s="494"/>
      <c r="WE4" s="493">
        <f t="shared" ref="WE4" si="185">((WE27+WF27)-(WE26+WF26))/2</f>
        <v>0</v>
      </c>
      <c r="WF4" s="494"/>
      <c r="WG4" s="493">
        <f t="shared" ref="WG4" si="186">((WG27+WH27)-(WG26+WH26))/2</f>
        <v>0</v>
      </c>
      <c r="WH4" s="494"/>
      <c r="WI4" s="493">
        <f t="shared" ref="WI4:WI19" si="187">((WI27+WJ27)-(WI26+WJ26))/2</f>
        <v>0</v>
      </c>
      <c r="WJ4" s="494"/>
      <c r="WK4" s="493">
        <f t="shared" ref="WK4" si="188">((WK27+WL27)-(WK26+WL26))/2</f>
        <v>0</v>
      </c>
      <c r="WL4" s="494"/>
      <c r="WM4" s="493">
        <f t="shared" ref="WM4" si="189">((WM27+WN27)-(WM26+WN26))/2</f>
        <v>0</v>
      </c>
      <c r="WN4" s="494"/>
      <c r="WO4" s="493">
        <f t="shared" ref="WO4:WO19" si="190">((WO27+WP27)-(WO26+WP26))/2</f>
        <v>0</v>
      </c>
      <c r="WP4" s="494"/>
      <c r="WQ4" s="493">
        <f t="shared" ref="WQ4" si="191">((WQ27+WR27)-(WQ26+WR26))/2</f>
        <v>0</v>
      </c>
      <c r="WR4" s="494"/>
      <c r="WS4" s="493">
        <f t="shared" ref="WS4" si="192">((WS27+WT27)-(WS26+WT26))/2</f>
        <v>0</v>
      </c>
      <c r="WT4" s="494"/>
      <c r="WU4" s="493">
        <f t="shared" ref="WU4:WU19" si="193">((WU27+WV27)-(WU26+WV26))/2</f>
        <v>0</v>
      </c>
      <c r="WV4" s="494"/>
      <c r="WW4" s="493">
        <f t="shared" ref="WW4" si="194">((WW27+WX27)-(WW26+WX26))/2</f>
        <v>0</v>
      </c>
      <c r="WX4" s="494"/>
      <c r="WY4" s="493">
        <f t="shared" ref="WY4" si="195">((WY27+WZ27)-(WY26+WZ26))/2</f>
        <v>0</v>
      </c>
      <c r="WZ4" s="494"/>
      <c r="XA4" s="493">
        <f t="shared" ref="XA4:XA19" si="196">((XA27+XB27)-(XA26+XB26))/2</f>
        <v>0</v>
      </c>
      <c r="XB4" s="494"/>
      <c r="XC4" s="493">
        <f t="shared" ref="XC4" si="197">((XC27+XD27)-(XC26+XD26))/2</f>
        <v>0</v>
      </c>
      <c r="XD4" s="494"/>
      <c r="XE4" s="493">
        <f t="shared" ref="XE4" si="198">((XE27+XF27)-(XE26+XF26))/2</f>
        <v>0</v>
      </c>
      <c r="XF4" s="494"/>
      <c r="XG4" s="493">
        <f t="shared" ref="XG4:XG19" si="199">((XG27+XH27)-(XG26+XH26))/2</f>
        <v>0</v>
      </c>
      <c r="XH4" s="494"/>
      <c r="XI4" s="493">
        <f t="shared" ref="XI4" si="200">((XI27+XJ27)-(XI26+XJ26))/2</f>
        <v>0</v>
      </c>
      <c r="XJ4" s="494"/>
      <c r="XK4" s="493">
        <f t="shared" ref="XK4" si="201">((XK27+XL27)-(XK26+XL26))/2</f>
        <v>0</v>
      </c>
      <c r="XL4" s="494"/>
      <c r="XM4" s="493">
        <f t="shared" ref="XM4:XM19" si="202">((XM27+XN27)-(XM26+XN26))/2</f>
        <v>0</v>
      </c>
      <c r="XN4" s="494"/>
      <c r="XO4" s="493">
        <f t="shared" ref="XO4" si="203">((XO27+XP27)-(XO26+XP26))/2</f>
        <v>0</v>
      </c>
      <c r="XP4" s="494"/>
      <c r="XQ4" s="493">
        <f t="shared" ref="XQ4" si="204">((XQ27+XR27)-(XQ26+XR26))/2</f>
        <v>0</v>
      </c>
      <c r="XR4" s="494"/>
      <c r="XS4" s="493">
        <f t="shared" ref="XS4:XS19" si="205">((XS27+XT27)-(XS26+XT26))/2</f>
        <v>0</v>
      </c>
      <c r="XT4" s="494"/>
      <c r="XU4" s="493">
        <f t="shared" ref="XU4" si="206">((XU27+XV27)-(XU26+XV26))/2</f>
        <v>0</v>
      </c>
      <c r="XV4" s="494"/>
      <c r="XW4" s="493">
        <f t="shared" ref="XW4" si="207">((XW27+XX27)-(XW26+XX26))/2</f>
        <v>0</v>
      </c>
      <c r="XX4" s="494"/>
      <c r="XY4" s="493">
        <f t="shared" ref="XY4:XY19" si="208">((XY27+XZ27)-(XY26+XZ26))/2</f>
        <v>0</v>
      </c>
      <c r="XZ4" s="494"/>
      <c r="YA4" s="493">
        <f t="shared" ref="YA4" si="209">((YA27+YB27)-(YA26+YB26))/2</f>
        <v>0</v>
      </c>
      <c r="YB4" s="494"/>
      <c r="YC4" s="493">
        <f t="shared" ref="YC4" si="210">((YC27+YD27)-(YC26+YD26))/2</f>
        <v>0</v>
      </c>
      <c r="YD4" s="494"/>
      <c r="YE4" s="493">
        <f t="shared" ref="YE4:YE15" si="211">((YE27+YF27)-(YE26+YF26))/2</f>
        <v>0</v>
      </c>
      <c r="YF4" s="494"/>
      <c r="YG4" s="493">
        <f t="shared" ref="YG4" si="212">((YG27+YH27)-(YG26+YH26))/2</f>
        <v>0</v>
      </c>
      <c r="YH4" s="494"/>
      <c r="YI4" s="493">
        <f t="shared" ref="YI4" si="213">((YI27+YJ27)-(YI26+YJ26))/2</f>
        <v>0</v>
      </c>
      <c r="YJ4" s="494"/>
      <c r="YK4" s="493">
        <f t="shared" ref="YK4:YK19" si="214">((YK27+YL27)-(YK26+YL26))/2</f>
        <v>0</v>
      </c>
      <c r="YL4" s="494"/>
      <c r="YM4" s="493">
        <f t="shared" ref="YM4" si="215">((YM27+YN27)-(YM26+YN26))/2</f>
        <v>0</v>
      </c>
      <c r="YN4" s="494"/>
      <c r="YO4" s="493">
        <f t="shared" ref="YO4:YO16" si="216">((YO28+YP28)-(YO27+YP27))/2</f>
        <v>0</v>
      </c>
      <c r="YP4" s="494"/>
      <c r="YQ4" s="493">
        <f t="shared" ref="YQ4:YQ19" si="217">((YQ27+YR27)-(YQ26+YR26))/2</f>
        <v>0</v>
      </c>
      <c r="YR4" s="494"/>
      <c r="YS4" s="493">
        <f t="shared" ref="YS4" si="218">((YS27+YT27)-(YS26+YT26))/2</f>
        <v>0</v>
      </c>
      <c r="YT4" s="494"/>
      <c r="YU4" s="493">
        <f t="shared" ref="YU4" si="219">((YU27+YV27)-(YU26+YV26))/2</f>
        <v>0</v>
      </c>
      <c r="YV4" s="494"/>
      <c r="YW4" s="493">
        <f t="shared" ref="YW4:YW19" si="220">((YW27+YX27)-(YW26+YX26))/2</f>
        <v>0</v>
      </c>
      <c r="YX4" s="494"/>
      <c r="YY4" s="493">
        <f t="shared" ref="YY4" si="221">((YY27+YZ27)-(YY26+YZ26))/2</f>
        <v>0</v>
      </c>
      <c r="YZ4" s="494"/>
      <c r="ZA4" s="493">
        <f t="shared" ref="ZA4" si="222">((ZA27+ZB27)-(ZA26+ZB26))/2</f>
        <v>0</v>
      </c>
      <c r="ZB4" s="494"/>
      <c r="ZC4" s="493">
        <f t="shared" ref="ZC4:ZC9" si="223">((ZC27+ZD27)-(ZC26+ZD26))/2</f>
        <v>0</v>
      </c>
      <c r="ZD4" s="494"/>
      <c r="ZE4" s="493">
        <f t="shared" ref="ZE4" si="224">((ZE27+ZF27)-(ZE26+ZF26))/2</f>
        <v>0</v>
      </c>
      <c r="ZF4" s="494"/>
      <c r="ZG4" s="493">
        <f t="shared" ref="ZG4" si="225">((ZG27+ZH27)-(ZG26+ZH26))/2</f>
        <v>0</v>
      </c>
      <c r="ZH4" s="494"/>
      <c r="ZI4" s="493">
        <f t="shared" ref="ZI4:ZI6" si="226">((ZI27+ZJ27)-(ZI26+ZJ26))/2</f>
        <v>0</v>
      </c>
      <c r="ZJ4" s="494"/>
      <c r="ZK4" s="493">
        <f t="shared" ref="ZK4" si="227">((ZK27+ZL27)-(ZK26+ZL26))/2</f>
        <v>0</v>
      </c>
      <c r="ZL4" s="494"/>
      <c r="ZM4" s="493">
        <f t="shared" ref="ZM4" si="228">((ZM27+ZN27)-(ZM26+ZN26))/2</f>
        <v>0</v>
      </c>
      <c r="ZN4" s="494"/>
      <c r="ZO4" s="493">
        <f>((ZO31+ZP27)-(ZO26+ZP26))/2</f>
        <v>0</v>
      </c>
      <c r="ZP4" s="494"/>
      <c r="ZQ4" s="493">
        <f>((ZQ27+ZR28)-(ZQ26+ZR26))/2</f>
        <v>0</v>
      </c>
      <c r="ZR4" s="494"/>
      <c r="ZS4" s="493">
        <f t="shared" ref="ZS4" si="229">((ZS27+ZT27)-(ZS26+ZT26))/2</f>
        <v>0</v>
      </c>
      <c r="ZT4" s="494"/>
      <c r="ZU4" s="493">
        <f t="shared" ref="ZU4:ZU19" si="230">((ZU27+ZV27)-(ZU26+ZV26))/2</f>
        <v>0</v>
      </c>
      <c r="ZV4" s="494"/>
      <c r="ZW4" s="493">
        <f t="shared" ref="ZW4" si="231">((ZW27+ZX27)-(ZW26+ZX26))/2</f>
        <v>0</v>
      </c>
      <c r="ZX4" s="494"/>
      <c r="ZY4" s="493">
        <f t="shared" ref="ZY4" si="232">((ZY27+ZZ27)-(ZY26+ZZ26))/2</f>
        <v>0</v>
      </c>
      <c r="ZZ4" s="494"/>
      <c r="AAA4" s="493">
        <f t="shared" ref="AAA4:AAA19" si="233">((AAA27+AAB27)-(AAA26+AAB26))/2</f>
        <v>0</v>
      </c>
      <c r="AAB4" s="494"/>
      <c r="AAC4" s="493">
        <f t="shared" ref="AAC4" si="234">((AAC27+AAD27)-(AAC26+AAD26))/2</f>
        <v>0</v>
      </c>
      <c r="AAD4" s="494"/>
      <c r="AAE4" s="493">
        <f t="shared" ref="AAE4" si="235">((AAE27+AAF27)-(AAE26+AAF26))/2</f>
        <v>0</v>
      </c>
      <c r="AAF4" s="494"/>
      <c r="AAG4" s="493">
        <f t="shared" ref="AAG4:AAG19" si="236">((AAG27+AAH27)-(AAG26+AAH26))/2</f>
        <v>0</v>
      </c>
      <c r="AAH4" s="494"/>
      <c r="AAI4" s="493">
        <f t="shared" ref="AAI4" si="237">((AAI27+AAJ27)-(AAI26+AAJ26))/2</f>
        <v>0</v>
      </c>
      <c r="AAJ4" s="494"/>
      <c r="AAK4" s="493">
        <f t="shared" ref="AAK4" si="238">((AAK27+AAL27)-(AAK26+AAL26))/2</f>
        <v>0</v>
      </c>
      <c r="AAL4" s="494"/>
      <c r="AAM4" s="493">
        <f t="shared" ref="AAM4:AAM19" si="239">((AAM27+AAN27)-(AAM26+AAN26))/2</f>
        <v>0</v>
      </c>
      <c r="AAN4" s="494"/>
      <c r="AAO4" s="493">
        <f t="shared" ref="AAO4" si="240">((AAO27+AAP27)-(AAO26+AAP26))/2</f>
        <v>0</v>
      </c>
      <c r="AAP4" s="494"/>
      <c r="AAQ4" s="493">
        <f>((AAQ31+AAR31)-(AAQ26+AAR26))/2</f>
        <v>0</v>
      </c>
      <c r="AAR4" s="494"/>
      <c r="AAS4" s="493">
        <f t="shared" ref="AAS4:AAS19" si="241">((AAS27+AAT27)-(AAS26+AAT26))/2</f>
        <v>0</v>
      </c>
      <c r="AAT4" s="494"/>
      <c r="AAU4" s="493">
        <f t="shared" ref="AAU4" si="242">((AAU27+AAV27)-(AAU26+AAV26))/2</f>
        <v>0</v>
      </c>
      <c r="AAV4" s="494"/>
      <c r="AAW4" s="493">
        <f t="shared" ref="AAW4" si="243">((AAW27+AAX27)-(AAW26+AAX26))/2</f>
        <v>0</v>
      </c>
      <c r="AAX4" s="494"/>
      <c r="AAY4" s="493">
        <f>((AAY28+AAZ27)-(AAY26+AAZ26))/2</f>
        <v>0</v>
      </c>
      <c r="AAZ4" s="494"/>
      <c r="ABA4" s="493">
        <f t="shared" ref="ABA4" si="244">((ABA27+ABB27)-(ABA26+ABB26))/2</f>
        <v>0</v>
      </c>
      <c r="ABB4" s="494"/>
      <c r="ABC4" s="493">
        <f t="shared" ref="ABC4" si="245">((ABC27+ABD27)-(ABC26+ABD26))/2</f>
        <v>0</v>
      </c>
      <c r="ABD4" s="494"/>
      <c r="ABE4" s="379">
        <f>SUM(C4:DP4)</f>
        <v>94</v>
      </c>
      <c r="ABF4" s="377"/>
      <c r="ABG4" s="481"/>
      <c r="ABH4" s="481"/>
      <c r="ABI4" s="481"/>
      <c r="ABJ4" s="481"/>
      <c r="ABK4" s="481"/>
      <c r="ABL4" s="481"/>
      <c r="ABM4" s="481"/>
      <c r="ABN4" s="481"/>
      <c r="ABO4" s="481"/>
      <c r="ABP4" s="481"/>
      <c r="ABQ4" s="481"/>
      <c r="ABR4" s="481"/>
      <c r="ABS4" s="481"/>
      <c r="ABT4" s="481"/>
      <c r="ABU4" s="481"/>
      <c r="ABV4" s="481"/>
      <c r="ABW4" s="481"/>
      <c r="ABX4" s="481"/>
      <c r="ABY4" s="481"/>
      <c r="ABZ4" s="481"/>
      <c r="ACA4" s="481"/>
      <c r="ACB4" s="481"/>
      <c r="ACC4" s="481"/>
      <c r="ACD4" s="481"/>
      <c r="ACE4" s="481"/>
      <c r="ACF4" s="481"/>
      <c r="ACG4" s="481"/>
      <c r="ACH4" s="481"/>
      <c r="ACI4" s="481"/>
      <c r="ACJ4" s="481"/>
      <c r="ACK4" s="481"/>
      <c r="ACL4" s="481"/>
      <c r="ACM4" s="481"/>
      <c r="ACN4" s="481"/>
      <c r="ACO4" s="481"/>
      <c r="ACP4" s="481"/>
      <c r="ACQ4" s="481"/>
      <c r="ACR4" s="481"/>
      <c r="ACS4" s="481"/>
      <c r="ACT4" s="481"/>
      <c r="ACU4" s="481"/>
      <c r="ACV4" s="481"/>
      <c r="ACW4" s="481"/>
      <c r="ACX4" s="481"/>
      <c r="ACY4" s="481"/>
      <c r="ACZ4" s="481"/>
      <c r="ADA4" s="481"/>
      <c r="ADB4" s="481"/>
      <c r="ADC4" s="481"/>
      <c r="ADD4" s="481"/>
      <c r="ADE4" s="481"/>
      <c r="ADF4" s="481"/>
      <c r="ADG4" s="481"/>
      <c r="ADH4" s="481"/>
      <c r="ADI4" s="481"/>
      <c r="ADJ4" s="481"/>
      <c r="ADK4" s="335"/>
      <c r="ADL4" s="335"/>
      <c r="ADM4" s="335"/>
      <c r="ADN4" s="335"/>
      <c r="ADO4" s="335"/>
      <c r="ADP4" s="335"/>
      <c r="ADQ4" s="335"/>
      <c r="ADR4" s="335"/>
      <c r="ADS4" s="335"/>
      <c r="ADT4" s="335"/>
      <c r="ADU4" s="335"/>
      <c r="ADV4" s="335"/>
      <c r="ADW4" s="335"/>
      <c r="ADX4" s="335"/>
      <c r="ADY4" s="335"/>
      <c r="ADZ4" s="335"/>
      <c r="AEA4" s="335"/>
      <c r="AEB4" s="335"/>
      <c r="AEC4" s="335"/>
      <c r="AED4" s="335"/>
      <c r="AEE4" s="335"/>
      <c r="AEF4" s="335"/>
      <c r="AEG4" s="335"/>
      <c r="AEH4" s="335"/>
      <c r="AEI4" s="335"/>
      <c r="AEJ4" s="335"/>
      <c r="AEK4" s="335"/>
      <c r="AEL4" s="335"/>
      <c r="AEM4" s="335"/>
      <c r="AEN4" s="335"/>
      <c r="AEO4" s="335"/>
      <c r="AEP4" s="335"/>
      <c r="AEQ4" s="335"/>
      <c r="AER4" s="335"/>
      <c r="AES4" s="335"/>
      <c r="AET4" s="335"/>
      <c r="AEU4" s="335"/>
      <c r="AEV4" s="335"/>
      <c r="AEW4" s="335"/>
      <c r="AEX4" s="335"/>
      <c r="AEY4" s="335"/>
      <c r="AEZ4" s="335"/>
      <c r="AFA4" s="335"/>
      <c r="AFB4" s="335"/>
      <c r="AFC4" s="335"/>
      <c r="AFD4" s="335"/>
      <c r="AFE4" s="335"/>
      <c r="AFF4" s="335"/>
      <c r="AFG4" s="335"/>
      <c r="AFH4" s="335"/>
      <c r="AFI4" s="335"/>
      <c r="AFJ4" s="335"/>
      <c r="AFK4" s="335"/>
      <c r="AFL4" s="335"/>
      <c r="AFM4" s="335"/>
      <c r="AFN4" s="335"/>
      <c r="AFO4" s="335"/>
      <c r="AFP4" s="335"/>
      <c r="AFQ4" s="335"/>
      <c r="AFR4" s="335"/>
      <c r="AFS4" s="335"/>
      <c r="AFT4" s="335"/>
      <c r="AFU4" s="335"/>
      <c r="AFV4" s="335"/>
      <c r="AFW4" s="335"/>
      <c r="AFX4" s="335"/>
      <c r="AFY4" s="335"/>
      <c r="AFZ4" s="335"/>
      <c r="AGA4" s="335"/>
      <c r="AGB4" s="335"/>
      <c r="AGC4" s="335"/>
      <c r="AGD4" s="335"/>
      <c r="AGE4" s="335"/>
      <c r="AGF4" s="335"/>
      <c r="AGG4" s="335"/>
      <c r="AGH4" s="335"/>
      <c r="AGI4" s="335"/>
      <c r="AGJ4" s="335"/>
      <c r="AGK4" s="335"/>
      <c r="AGL4" s="335"/>
      <c r="AGM4" s="335"/>
      <c r="AGN4" s="335"/>
      <c r="AGO4" s="335"/>
      <c r="AGP4" s="335"/>
      <c r="AGQ4" s="335"/>
      <c r="AGR4" s="335"/>
      <c r="AGS4" s="335"/>
      <c r="AGT4" s="335"/>
      <c r="AGU4" s="335"/>
      <c r="AGV4" s="335"/>
      <c r="AGW4" s="335"/>
      <c r="AGX4" s="335"/>
      <c r="AGY4" s="335"/>
      <c r="AGZ4" s="335"/>
      <c r="AHA4" s="335"/>
      <c r="AHB4" s="335"/>
      <c r="AHC4" s="335"/>
      <c r="AHD4" s="335"/>
      <c r="AHE4" s="335"/>
      <c r="AHF4" s="335"/>
      <c r="AHG4" s="335"/>
      <c r="AHH4" s="335"/>
      <c r="AHI4" s="335"/>
      <c r="AHJ4" s="335"/>
      <c r="AHK4" s="335"/>
      <c r="AHL4" s="335"/>
      <c r="AHM4" s="335"/>
      <c r="AHN4" s="335"/>
      <c r="AHO4" s="335"/>
      <c r="AHP4" s="335"/>
      <c r="AHQ4" s="335"/>
      <c r="AHR4" s="335"/>
      <c r="AHS4" s="335"/>
      <c r="AHT4" s="335"/>
      <c r="AHU4" s="335"/>
      <c r="AHV4" s="335"/>
      <c r="AHW4" s="335"/>
      <c r="AHX4" s="335"/>
      <c r="AHY4" s="335"/>
      <c r="AHZ4" s="335"/>
      <c r="AIA4" s="335"/>
      <c r="AIB4" s="335"/>
      <c r="AIC4" s="339"/>
    </row>
    <row r="5" spans="1:913" s="161" customFormat="1">
      <c r="A5" s="172"/>
      <c r="B5" s="177">
        <v>0.41666666666666702</v>
      </c>
      <c r="C5" s="493">
        <f t="shared" ref="C5:C21" si="246">((C28+D28)-(C27+D27))/2</f>
        <v>0</v>
      </c>
      <c r="D5" s="494"/>
      <c r="E5" s="493">
        <f t="shared" si="0"/>
        <v>0</v>
      </c>
      <c r="F5" s="498"/>
      <c r="G5" s="493">
        <f t="shared" si="1"/>
        <v>0</v>
      </c>
      <c r="H5" s="498"/>
      <c r="I5" s="493">
        <f t="shared" ref="I5:I13" si="247">((I28+J29)-(I27+J28))/2</f>
        <v>0</v>
      </c>
      <c r="J5" s="498"/>
      <c r="K5" s="493">
        <f t="shared" si="2"/>
        <v>0</v>
      </c>
      <c r="L5" s="494"/>
      <c r="M5" s="493">
        <f t="shared" si="3"/>
        <v>0</v>
      </c>
      <c r="N5" s="494"/>
      <c r="O5" s="493">
        <v>0</v>
      </c>
      <c r="P5" s="494"/>
      <c r="Q5" s="493">
        <f t="shared" ref="Q5:Q21" si="248">((Q28+R28)-(Q27+R27))/2</f>
        <v>0</v>
      </c>
      <c r="R5" s="494"/>
      <c r="S5" s="493">
        <f t="shared" ref="S5:S21" si="249">((S28+T28)-(S27+T27))/2</f>
        <v>0</v>
      </c>
      <c r="T5" s="494"/>
      <c r="U5" s="493">
        <f t="shared" ref="U5:U21" si="250">((U28+V28)-(U27+V27))/2</f>
        <v>0</v>
      </c>
      <c r="V5" s="494"/>
      <c r="W5" s="493">
        <f t="shared" ref="W5:W21" si="251">((W28+X28)-(W27+X27))/2</f>
        <v>0</v>
      </c>
      <c r="X5" s="494"/>
      <c r="Y5" s="493">
        <f t="shared" ref="Y5:Y21" si="252">((Y28+Z28)-(Y27+Z27))/2</f>
        <v>0</v>
      </c>
      <c r="Z5" s="494"/>
      <c r="AA5" s="493">
        <f t="shared" ref="AA5:AA21" si="253">((AA28+AB28)-(AA27+AB27))/2</f>
        <v>0</v>
      </c>
      <c r="AB5" s="494"/>
      <c r="AC5" s="493">
        <f t="shared" ref="AC5:AC19" si="254">((AC28+AD28)-(AC27+AD27))/2</f>
        <v>0</v>
      </c>
      <c r="AD5" s="494"/>
      <c r="AE5" s="493">
        <f t="shared" ref="AE5:AE21" si="255">((AE28+AF28)-(AE27+AF27))/2</f>
        <v>0</v>
      </c>
      <c r="AF5" s="494"/>
      <c r="AG5" s="493">
        <f t="shared" ref="AG5:AG21" si="256">((AG28+AH28)-(AG27+AH27))/2</f>
        <v>0</v>
      </c>
      <c r="AH5" s="494"/>
      <c r="AI5" s="493">
        <f t="shared" ref="AI5:AI16" si="257">((AI28+AJ28)-(AI27+AJ27))/2</f>
        <v>0</v>
      </c>
      <c r="AJ5" s="494"/>
      <c r="AK5" s="493">
        <f t="shared" ref="AK5:AK21" si="258">((AK28+AL28)-(AK27+AL27))/2</f>
        <v>0</v>
      </c>
      <c r="AL5" s="494"/>
      <c r="AM5" s="493">
        <f t="shared" ref="AM5:AM21" si="259">((AM28+AN28)-(AM27+AN27))/2</f>
        <v>0</v>
      </c>
      <c r="AN5" s="494"/>
      <c r="AO5" s="493">
        <f t="shared" ref="AO5:AO21" si="260">((AO28+AP28)-(AO27+AP27))/2</f>
        <v>0</v>
      </c>
      <c r="AP5" s="494"/>
      <c r="AQ5" s="493">
        <f t="shared" ref="AQ5:AQ21" si="261">((AQ28+AR28)-(AQ27+AR27))/2</f>
        <v>0</v>
      </c>
      <c r="AR5" s="494"/>
      <c r="AS5" s="493">
        <f t="shared" ref="AS5:AS21" si="262">((AS28+AT28)-(AS27+AT27))/2</f>
        <v>0</v>
      </c>
      <c r="AT5" s="494"/>
      <c r="AU5" s="493">
        <f t="shared" ref="AU5:AU21" si="263">((AU28+AV28)-(AU27+AV27))/2</f>
        <v>0</v>
      </c>
      <c r="AV5" s="494"/>
      <c r="AW5" s="493">
        <f t="shared" ref="AW5:AW21" si="264">((AW28+AX28)-(AW27+AX27))/2</f>
        <v>0</v>
      </c>
      <c r="AX5" s="494"/>
      <c r="AY5" s="493">
        <f t="shared" ref="AY5:AY21" si="265">((AY28+AZ28)-(AY27+AZ27))/2</f>
        <v>0</v>
      </c>
      <c r="AZ5" s="494"/>
      <c r="BA5" s="493">
        <f t="shared" ref="BA5:BA21" si="266">((BA28+BB28)-(BA27+BB27))/2</f>
        <v>0</v>
      </c>
      <c r="BB5" s="494"/>
      <c r="BC5" s="493">
        <f t="shared" ref="BC5:BC21" si="267">((BC28+BD28)-(BC27+BD27))/2</f>
        <v>0</v>
      </c>
      <c r="BD5" s="494"/>
      <c r="BE5" s="493">
        <f t="shared" ref="BE5:BE21" si="268">((BE28+BF28)-(BE27+BF27))/2</f>
        <v>0</v>
      </c>
      <c r="BF5" s="494"/>
      <c r="BG5" s="493">
        <f t="shared" ref="BG5:BG21" si="269">((BG28+BH28)-(BG27+BH27))/2</f>
        <v>0</v>
      </c>
      <c r="BH5" s="494"/>
      <c r="BI5" s="493">
        <f t="shared" ref="BI5:BI21" si="270">((BI28+BJ28)-(BI27+BJ27))/2</f>
        <v>0</v>
      </c>
      <c r="BJ5" s="494"/>
      <c r="BK5" s="493">
        <f t="shared" ref="BK5:BK21" si="271">((BK28+BL28)-(BK27+BL27))/2</f>
        <v>0</v>
      </c>
      <c r="BL5" s="494"/>
      <c r="BM5" s="493">
        <f t="shared" ref="BM5:BM21" si="272">((BM28+BN28)-(BM27+BN27))/2</f>
        <v>0</v>
      </c>
      <c r="BN5" s="494"/>
      <c r="BO5" s="493">
        <f t="shared" ref="BO5:BO21" si="273">((BO28+BP28)-(BO27+BP27))/2</f>
        <v>0</v>
      </c>
      <c r="BP5" s="494"/>
      <c r="BQ5" s="493">
        <f t="shared" ref="BQ5:BQ21" si="274">((BQ28+BR28)-(BQ27+BR27))/2</f>
        <v>0</v>
      </c>
      <c r="BR5" s="494"/>
      <c r="BS5" s="493">
        <f t="shared" ref="BS5:BS21" si="275">((BS28+BT28)-(BS27+BT27))/2</f>
        <v>0</v>
      </c>
      <c r="BT5" s="494"/>
      <c r="BU5" s="493">
        <f t="shared" ref="BU5:BU21" si="276">((BU28+BV28)-(BU27+BV27))/2</f>
        <v>0</v>
      </c>
      <c r="BV5" s="494"/>
      <c r="BW5" s="493">
        <f t="shared" si="4"/>
        <v>0</v>
      </c>
      <c r="BX5" s="494"/>
      <c r="BY5" s="493">
        <f t="shared" ref="BY5:BY21" si="277">((BY28+BZ28)-(BY27+BZ27))/2</f>
        <v>0</v>
      </c>
      <c r="BZ5" s="494"/>
      <c r="CA5" s="493">
        <f t="shared" ref="CA5:CA21" si="278">((CA28+CB28)-(CA27+CB27))/2</f>
        <v>0</v>
      </c>
      <c r="CB5" s="494"/>
      <c r="CC5" s="493">
        <f t="shared" ref="CC5:CC21" si="279">((CC28+CD28)-(CC27+CD27))/2</f>
        <v>0</v>
      </c>
      <c r="CD5" s="494"/>
      <c r="CE5" s="493">
        <f t="shared" ref="CE5:CE21" si="280">((CE28+CF28)-(CE27+CF27))/2</f>
        <v>0</v>
      </c>
      <c r="CF5" s="494"/>
      <c r="CG5" s="493">
        <f t="shared" ref="CG5:CG21" si="281">((CG28+CH28)-(CG27+CH27))/2</f>
        <v>0</v>
      </c>
      <c r="CH5" s="494"/>
      <c r="CI5" s="493">
        <f t="shared" ref="CI5:CI21" si="282">((CI28+CJ28)-(CI27+CJ27))/2</f>
        <v>0</v>
      </c>
      <c r="CJ5" s="494"/>
      <c r="CK5" s="493">
        <f t="shared" ref="CK5:CK21" si="283">((CK28+CL28)-(CK27+CL27))/2</f>
        <v>0</v>
      </c>
      <c r="CL5" s="494"/>
      <c r="CM5" s="493">
        <f t="shared" ref="CM5:CM21" si="284">((CM28+CN28)-(CM27+CN27))/2</f>
        <v>0</v>
      </c>
      <c r="CN5" s="494"/>
      <c r="CO5" s="493">
        <f t="shared" ref="CO5:CO21" si="285">((CO28+CP28)-(CO27+CP27))/2</f>
        <v>0</v>
      </c>
      <c r="CP5" s="494"/>
      <c r="CQ5" s="493">
        <f t="shared" ref="CQ5:CQ21" si="286">((CQ28+CR28)-(CQ27+CR27))/2</f>
        <v>0</v>
      </c>
      <c r="CR5" s="494"/>
      <c r="CS5" s="493">
        <f t="shared" ref="CS5:CS21" si="287">((CS28+CT28)-(CS27+CT27))/2</f>
        <v>0</v>
      </c>
      <c r="CT5" s="494"/>
      <c r="CU5" s="493">
        <f t="shared" ref="CU5:CU12" si="288">((CU32+CV32)-(CU31+CV31))/2</f>
        <v>0</v>
      </c>
      <c r="CV5" s="494"/>
      <c r="CW5" s="493">
        <f t="shared" ref="CW5:CW21" si="289">((CW28+CX28)-(CW27+CX27))/2</f>
        <v>0</v>
      </c>
      <c r="CX5" s="494"/>
      <c r="CY5" s="493">
        <f t="shared" ref="CY5:CY21" si="290">((CY28+CZ28)-(CY27+CZ27))/2</f>
        <v>0</v>
      </c>
      <c r="CZ5" s="494"/>
      <c r="DA5" s="493">
        <f t="shared" ref="DA5:DA21" si="291">((DA28+DB28)-(DA27+DB27))/2</f>
        <v>0</v>
      </c>
      <c r="DB5" s="494"/>
      <c r="DC5" s="493">
        <f t="shared" ref="DC5:DC21" si="292">((DC28+DD28)-(DC27+DD27))/2</f>
        <v>0</v>
      </c>
      <c r="DD5" s="494"/>
      <c r="DE5" s="493">
        <f t="shared" ref="DE5:DE21" si="293">((DE28+DF28)-(DE27+DF27))/2</f>
        <v>0</v>
      </c>
      <c r="DF5" s="494"/>
      <c r="DG5" s="493">
        <f t="shared" ref="DG5:DG21" si="294">((DG28+DH28)-(DG27+DH27))/2</f>
        <v>0</v>
      </c>
      <c r="DH5" s="494"/>
      <c r="DI5" s="493">
        <f t="shared" ref="DI5:DI21" si="295">((DI28+DJ28)-(DI27+DJ27))/2</f>
        <v>0</v>
      </c>
      <c r="DJ5" s="494"/>
      <c r="DK5" s="493">
        <f t="shared" ref="DK5:DK21" si="296">((DK28+DL28)-(DK27+DL27))/2</f>
        <v>0</v>
      </c>
      <c r="DL5" s="494"/>
      <c r="DM5" s="493">
        <f t="shared" ref="DM5:DM21" si="297">((DM28+DN28)-(DM27+DN27))/2</f>
        <v>0</v>
      </c>
      <c r="DN5" s="494"/>
      <c r="DO5" s="493">
        <f t="shared" ref="DO5:DO21" si="298">((DO28+DP28)-(DO27+DP27))/2</f>
        <v>0</v>
      </c>
      <c r="DP5" s="494"/>
      <c r="DQ5" s="493">
        <f t="shared" ref="DQ5" si="299">((DQ28+DR28)-(DQ27+DR27))/2</f>
        <v>0</v>
      </c>
      <c r="DR5" s="494"/>
      <c r="DS5" s="493">
        <f t="shared" ref="DS5:DS21" si="300">((DS28+DT28)-(DS27+DT27))/2</f>
        <v>0</v>
      </c>
      <c r="DT5" s="494"/>
      <c r="DU5" s="493">
        <f t="shared" ref="DU5:DU21" si="301">((DU28+DV28)-(DU27+DV27))/2</f>
        <v>0</v>
      </c>
      <c r="DV5" s="494"/>
      <c r="DW5" s="493">
        <f t="shared" ref="DW5:DW21" si="302">((DW28+DX28)-(DW27+DX27))/2</f>
        <v>0</v>
      </c>
      <c r="DX5" s="494"/>
      <c r="DY5" s="493">
        <f t="shared" ref="DY5:DY21" si="303">((DY28+DZ28)-(DY27+DZ27))/2</f>
        <v>0</v>
      </c>
      <c r="DZ5" s="494"/>
      <c r="EA5" s="493">
        <f t="shared" ref="EA5:EA21" si="304">((EA28+EB28)-(EA27+EB27))/2</f>
        <v>0</v>
      </c>
      <c r="EB5" s="494"/>
      <c r="EC5" s="493">
        <f t="shared" ref="EC5:EC21" si="305">((EC28+ED28)-(EC27+ED27))/2</f>
        <v>0</v>
      </c>
      <c r="ED5" s="494"/>
      <c r="EE5" s="493">
        <f t="shared" si="6"/>
        <v>0</v>
      </c>
      <c r="EF5" s="494"/>
      <c r="EG5" s="493">
        <f t="shared" si="7"/>
        <v>0</v>
      </c>
      <c r="EH5" s="494"/>
      <c r="EI5" s="493">
        <f t="shared" ref="EI5:EI12" si="306">((EI28+EJ28)-(EI27+EJ27))/2</f>
        <v>0</v>
      </c>
      <c r="EJ5" s="494"/>
      <c r="EK5" s="493">
        <f t="shared" si="8"/>
        <v>0</v>
      </c>
      <c r="EL5" s="494"/>
      <c r="EM5" s="493">
        <f t="shared" si="9"/>
        <v>0</v>
      </c>
      <c r="EN5" s="494"/>
      <c r="EO5" s="493">
        <f t="shared" si="10"/>
        <v>0</v>
      </c>
      <c r="EP5" s="494"/>
      <c r="EQ5" s="493">
        <f t="shared" ref="EQ5:EQ21" si="307">((EQ28+ER28)-(EQ27+ER27))/2</f>
        <v>0</v>
      </c>
      <c r="ER5" s="494"/>
      <c r="ES5" s="493">
        <f t="shared" ref="ES5:ES21" si="308">((ES28+ET28)-(ES27+ET27))/2</f>
        <v>0</v>
      </c>
      <c r="ET5" s="494"/>
      <c r="EU5" s="493">
        <f t="shared" ref="EU5:EU21" si="309">((EU28+EV28)-(EU27+EV27))/2</f>
        <v>0</v>
      </c>
      <c r="EV5" s="494"/>
      <c r="EW5" s="493">
        <f t="shared" ref="EW5:EW21" si="310">((EW28+EX28)-(EW27+EX27))/2</f>
        <v>0</v>
      </c>
      <c r="EX5" s="494"/>
      <c r="EY5" s="493">
        <f t="shared" ref="EY5:EY21" si="311">((EY28+EZ28)-(EY27+EZ27))/2</f>
        <v>0</v>
      </c>
      <c r="EZ5" s="494"/>
      <c r="FA5" s="493">
        <f t="shared" ref="FA5:FA21" si="312">((FA28+FB28)-(FA27+FB27))/2</f>
        <v>0</v>
      </c>
      <c r="FB5" s="494"/>
      <c r="FC5" s="493">
        <f t="shared" ref="FC5:FC21" si="313">((FC28+FD28)-(FC27+FD27))/2</f>
        <v>0</v>
      </c>
      <c r="FD5" s="494"/>
      <c r="FE5" s="493">
        <f t="shared" ref="FE5:FE21" si="314">((FE28+FF28)-(FE27+FF27))/2</f>
        <v>0</v>
      </c>
      <c r="FF5" s="494"/>
      <c r="FG5" s="493">
        <f t="shared" ref="FG5:FG21" si="315">((FG28+FH28)-(FG27+FH27))/2</f>
        <v>0</v>
      </c>
      <c r="FH5" s="494"/>
      <c r="FI5" s="493">
        <f t="shared" ref="FI5:FI21" si="316">((FI28+FJ28)-(FI27+FJ27))/2</f>
        <v>0</v>
      </c>
      <c r="FJ5" s="494"/>
      <c r="FK5" s="493">
        <f t="shared" ref="FK5:FK21" si="317">((FK28+FL28)-(FK27+FL27))/2</f>
        <v>0</v>
      </c>
      <c r="FL5" s="494"/>
      <c r="FM5" s="493">
        <f t="shared" ref="FM5:FM21" si="318">((FM28+FN28)-(FM27+FN27))/2</f>
        <v>0</v>
      </c>
      <c r="FN5" s="494"/>
      <c r="FO5" s="493">
        <f t="shared" ref="FO5:FO21" si="319">((FO28+FP28)-(FO27+FP27))/2</f>
        <v>0</v>
      </c>
      <c r="FP5" s="494"/>
      <c r="FQ5" s="493">
        <f t="shared" ref="FQ5:FQ21" si="320">((FQ28+FR28)-(FQ27+FR27))/2</f>
        <v>0</v>
      </c>
      <c r="FR5" s="494"/>
      <c r="FS5" s="493">
        <f t="shared" ref="FS5:FS21" si="321">((FS28+FT28)-(FS27+FT27))/2</f>
        <v>0</v>
      </c>
      <c r="FT5" s="494"/>
      <c r="FU5" s="493">
        <f t="shared" ref="FU5:FU21" si="322">((FU28+FV28)-(FU27+FV27))/2</f>
        <v>0</v>
      </c>
      <c r="FV5" s="494"/>
      <c r="FW5" s="493">
        <f t="shared" ref="FW5:FW21" si="323">((FW28+FX28)-(FW27+FX27))/2</f>
        <v>0</v>
      </c>
      <c r="FX5" s="494"/>
      <c r="FY5" s="493">
        <f t="shared" ref="FY5:FY21" si="324">((FY28+FZ28)-(FY27+FZ27))/2</f>
        <v>0</v>
      </c>
      <c r="FZ5" s="494"/>
      <c r="GA5" s="493">
        <f t="shared" ref="GA5:GA21" si="325">((GA28+GB28)-(GA27+GB27))/2</f>
        <v>0</v>
      </c>
      <c r="GB5" s="494"/>
      <c r="GC5" s="493">
        <f t="shared" ref="GC5:GC21" si="326">((GC28+GD28)-(GC27+GD27))/2</f>
        <v>0</v>
      </c>
      <c r="GD5" s="494"/>
      <c r="GE5" s="493">
        <f t="shared" ref="GE5:GE21" si="327">((GE28+GF28)-(GE27+GF27))/2</f>
        <v>0</v>
      </c>
      <c r="GF5" s="494"/>
      <c r="GG5" s="493">
        <f t="shared" ref="GG5:GG21" si="328">((GG28+GH28)-(GG27+GH27))/2</f>
        <v>0</v>
      </c>
      <c r="GH5" s="494"/>
      <c r="GI5" s="493">
        <f t="shared" ref="GI5:GI21" si="329">((GI28+GJ28)-(GI27+GJ27))/2</f>
        <v>0</v>
      </c>
      <c r="GJ5" s="494"/>
      <c r="GK5" s="493">
        <f t="shared" ref="GK5:GK21" si="330">((GK28+GL28)-(GK27+GL27))/2</f>
        <v>0</v>
      </c>
      <c r="GL5" s="494"/>
      <c r="GM5" s="493">
        <f t="shared" ref="GM5:GM21" si="331">((GM28+GN28)-(GM27+GN27))/2</f>
        <v>0</v>
      </c>
      <c r="GN5" s="494"/>
      <c r="GO5" s="493">
        <f t="shared" ref="GO5:GO10" si="332">((GO32+GP28)-(GO31+GP27))/2</f>
        <v>0</v>
      </c>
      <c r="GP5" s="494"/>
      <c r="GQ5" s="493">
        <f t="shared" ref="GQ5:GQ21" si="333">((GQ28+GR28)-(GQ27+GR27))/2</f>
        <v>0</v>
      </c>
      <c r="GR5" s="494"/>
      <c r="GS5" s="493">
        <f t="shared" ref="GS5:GS21" si="334">((GS28+GT28)-(GS27+GT27))/2</f>
        <v>0</v>
      </c>
      <c r="GT5" s="494"/>
      <c r="GU5" s="493">
        <f t="shared" si="11"/>
        <v>0</v>
      </c>
      <c r="GV5" s="494"/>
      <c r="GW5" s="493">
        <f t="shared" si="12"/>
        <v>0</v>
      </c>
      <c r="GX5" s="494"/>
      <c r="GY5" s="493">
        <f t="shared" si="13"/>
        <v>0</v>
      </c>
      <c r="GZ5" s="494"/>
      <c r="HA5" s="493">
        <f t="shared" ref="HA5:HA21" si="335">((HA28+HB28)-(HA27+HB27))/2</f>
        <v>0</v>
      </c>
      <c r="HB5" s="494"/>
      <c r="HC5" s="493">
        <f t="shared" ref="HC5:HC21" si="336">((HC28+HD28)-(HC27+HD27))/2</f>
        <v>0</v>
      </c>
      <c r="HD5" s="494"/>
      <c r="HE5" s="493">
        <f t="shared" ref="HE5:HE10" si="337">((HE29+HF28)-(HE28+HF27))/2</f>
        <v>0</v>
      </c>
      <c r="HF5" s="494"/>
      <c r="HG5" s="493">
        <f t="shared" ref="HG5:HG21" si="338">((HG28+HH28)-(HG27+HH27))/2</f>
        <v>0</v>
      </c>
      <c r="HH5" s="494"/>
      <c r="HI5" s="493">
        <f t="shared" ref="HI5:HI21" si="339">((HI28+HJ28)-(HI27+HJ27))/2</f>
        <v>0</v>
      </c>
      <c r="HJ5" s="494"/>
      <c r="HK5" s="493">
        <f t="shared" ref="HK5:HK21" si="340">((HK28+HL28)-(HK27+HL27))/2</f>
        <v>0</v>
      </c>
      <c r="HL5" s="494"/>
      <c r="HM5" s="493">
        <f t="shared" ref="HM5:HM21" si="341">((HM28+HN28)-(HM27+HN27))/2</f>
        <v>0</v>
      </c>
      <c r="HN5" s="494"/>
      <c r="HO5" s="493">
        <f t="shared" ref="HO5:HO21" si="342">((HO28+HP28)-(HO27+HP27))/2</f>
        <v>0</v>
      </c>
      <c r="HP5" s="494"/>
      <c r="HQ5" s="493">
        <f t="shared" ref="HQ5:HQ21" si="343">((HQ28+HR28)-(HQ27+HR27))/2</f>
        <v>0</v>
      </c>
      <c r="HR5" s="494"/>
      <c r="HS5" s="493">
        <f t="shared" ref="HS5:HS21" si="344">((HS28+HT28)-(HS27+HT27))/2</f>
        <v>0</v>
      </c>
      <c r="HT5" s="494"/>
      <c r="HU5" s="493">
        <f t="shared" ref="HU5:HU21" si="345">((HU28+HV28)-(HU27+HV27))/2</f>
        <v>0</v>
      </c>
      <c r="HV5" s="494"/>
      <c r="HW5" s="493">
        <f t="shared" ref="HW5:HW21" si="346">((HW28+HX28)-(HW27+HX27))/2</f>
        <v>0</v>
      </c>
      <c r="HX5" s="494"/>
      <c r="HY5" s="493">
        <f t="shared" ref="HY5:HY20" si="347">((HY28+HZ28)-(HY27+HZ27))/2</f>
        <v>0</v>
      </c>
      <c r="HZ5" s="494"/>
      <c r="IA5" s="493">
        <f t="shared" ref="IA5:IA21" si="348">((IA28+IB28)-(IA27+IB27))/2</f>
        <v>0</v>
      </c>
      <c r="IB5" s="494"/>
      <c r="IC5" s="493">
        <f t="shared" ref="IC5:IC21" si="349">((IC28+ID28)-(IC27+ID27))/2</f>
        <v>0</v>
      </c>
      <c r="ID5" s="494"/>
      <c r="IE5" s="493">
        <f t="shared" ref="IE5:IE15" si="350">((IE28+IF28)-(IE27+IF27))/2</f>
        <v>0</v>
      </c>
      <c r="IF5" s="494"/>
      <c r="IG5" s="493">
        <f t="shared" ref="IG5:IG21" si="351">((IG28+IH28)-(IG27+IH27))/2</f>
        <v>0</v>
      </c>
      <c r="IH5" s="494"/>
      <c r="II5" s="493">
        <f t="shared" ref="II5:II21" si="352">((II28+IJ28)-(II27+IJ27))/2</f>
        <v>0</v>
      </c>
      <c r="IJ5" s="494"/>
      <c r="IK5" s="493">
        <f t="shared" ref="IK5:IK21" si="353">((IK28+IL28)-(IK27+IL27))/2</f>
        <v>0</v>
      </c>
      <c r="IL5" s="494"/>
      <c r="IM5" s="493">
        <f t="shared" ref="IM5:IM21" si="354">((IM28+IN28)-(IM27+IN27))/2</f>
        <v>0</v>
      </c>
      <c r="IN5" s="494"/>
      <c r="IO5" s="493">
        <f t="shared" ref="IO5:IO21" si="355">((IO28+IP28)-(IO27+IP27))/2</f>
        <v>0</v>
      </c>
      <c r="IP5" s="494"/>
      <c r="IQ5" s="493">
        <f t="shared" ref="IQ5:IQ21" si="356">((IQ28+IR28)-(IQ27+IR27))/2</f>
        <v>0</v>
      </c>
      <c r="IR5" s="494"/>
      <c r="IS5" s="493">
        <f t="shared" ref="IS5:IS21" si="357">((IS28+IT28)-(IS27+IT27))/2</f>
        <v>0</v>
      </c>
      <c r="IT5" s="494"/>
      <c r="IU5" s="493">
        <f t="shared" si="14"/>
        <v>0</v>
      </c>
      <c r="IV5" s="494"/>
      <c r="IW5" s="493">
        <f t="shared" si="15"/>
        <v>0</v>
      </c>
      <c r="IX5" s="494"/>
      <c r="IY5" s="493">
        <f t="shared" si="16"/>
        <v>0</v>
      </c>
      <c r="IZ5" s="494"/>
      <c r="JA5" s="493">
        <f t="shared" ref="JA5" si="358">((JA28+JB28)-(JA27+JB27))/2</f>
        <v>0</v>
      </c>
      <c r="JB5" s="494"/>
      <c r="JC5" s="493">
        <f t="shared" ref="JC5" si="359">((JC28+JD28)-(JC27+JD27))/2</f>
        <v>0</v>
      </c>
      <c r="JD5" s="494"/>
      <c r="JE5" s="493">
        <f t="shared" si="19"/>
        <v>0</v>
      </c>
      <c r="JF5" s="494"/>
      <c r="JG5" s="493">
        <f t="shared" ref="JG5" si="360">((JG28+JH28)-(JG27+JH27))/2</f>
        <v>0</v>
      </c>
      <c r="JH5" s="494"/>
      <c r="JI5" s="493">
        <f t="shared" ref="JI5" si="361">((JI28+JJ28)-(JI27+JJ27))/2</f>
        <v>0</v>
      </c>
      <c r="JJ5" s="494"/>
      <c r="JK5" s="493">
        <f t="shared" si="22"/>
        <v>0</v>
      </c>
      <c r="JL5" s="494"/>
      <c r="JM5" s="493">
        <f t="shared" ref="JM5" si="362">((JM28+JN28)-(JM27+JN27))/2</f>
        <v>0</v>
      </c>
      <c r="JN5" s="494"/>
      <c r="JO5" s="493">
        <f t="shared" ref="JO5" si="363">((JO28+JP28)-(JO27+JP27))/2</f>
        <v>0</v>
      </c>
      <c r="JP5" s="494"/>
      <c r="JQ5" s="493">
        <f t="shared" si="25"/>
        <v>0</v>
      </c>
      <c r="JR5" s="494"/>
      <c r="JS5" s="493">
        <f t="shared" ref="JS5" si="364">((JS28+JT28)-(JS27+JT27))/2</f>
        <v>0</v>
      </c>
      <c r="JT5" s="494"/>
      <c r="JU5" s="493">
        <f t="shared" ref="JU5" si="365">((JU28+JV28)-(JU27+JV27))/2</f>
        <v>0</v>
      </c>
      <c r="JV5" s="494"/>
      <c r="JW5" s="493">
        <f t="shared" si="28"/>
        <v>0</v>
      </c>
      <c r="JX5" s="494"/>
      <c r="JY5" s="493">
        <f t="shared" ref="JY5" si="366">((JY28+JZ28)-(JY27+JZ27))/2</f>
        <v>0</v>
      </c>
      <c r="JZ5" s="494"/>
      <c r="KA5" s="493">
        <f t="shared" ref="KA5" si="367">((KA28+KB28)-(KA27+KB27))/2</f>
        <v>0</v>
      </c>
      <c r="KB5" s="494"/>
      <c r="KC5" s="493">
        <f t="shared" si="31"/>
        <v>0</v>
      </c>
      <c r="KD5" s="494"/>
      <c r="KE5" s="493">
        <f t="shared" ref="KE5:KE14" si="368">((KE28+KF28)-(KE27+KF27))/2</f>
        <v>0</v>
      </c>
      <c r="KF5" s="494"/>
      <c r="KG5" s="493">
        <f t="shared" ref="KG5" si="369">((KG28+KH28)-(KG27+KH27))/2</f>
        <v>0</v>
      </c>
      <c r="KH5" s="494"/>
      <c r="KI5" s="493">
        <f t="shared" si="34"/>
        <v>0</v>
      </c>
      <c r="KJ5" s="494"/>
      <c r="KK5" s="493">
        <f t="shared" ref="KK5" si="370">((KK28+KL28)-(KK27+KL27))/2</f>
        <v>0</v>
      </c>
      <c r="KL5" s="494"/>
      <c r="KM5" s="493">
        <f t="shared" ref="KM5" si="371">((KM28+KN28)-(KM27+KN27))/2</f>
        <v>0</v>
      </c>
      <c r="KN5" s="494"/>
      <c r="KO5" s="493">
        <f t="shared" si="37"/>
        <v>0</v>
      </c>
      <c r="KP5" s="494"/>
      <c r="KQ5" s="493">
        <f t="shared" ref="KQ5" si="372">((KQ28+KR28)-(KQ27+KR27))/2</f>
        <v>0</v>
      </c>
      <c r="KR5" s="494"/>
      <c r="KS5" s="493">
        <f t="shared" ref="KS5" si="373">((KS28+KT28)-(KS27+KT27))/2</f>
        <v>0</v>
      </c>
      <c r="KT5" s="494"/>
      <c r="KU5" s="493">
        <f t="shared" si="40"/>
        <v>0</v>
      </c>
      <c r="KV5" s="494"/>
      <c r="KW5" s="493">
        <f t="shared" ref="KW5" si="374">((KW28+KX28)-(KW27+KX27))/2</f>
        <v>0</v>
      </c>
      <c r="KX5" s="494"/>
      <c r="KY5" s="493">
        <f t="shared" ref="KY5" si="375">((KY28+KZ28)-(KY27+KZ27))/2</f>
        <v>0</v>
      </c>
      <c r="KZ5" s="494"/>
      <c r="LA5" s="493">
        <f t="shared" si="43"/>
        <v>0</v>
      </c>
      <c r="LB5" s="494"/>
      <c r="LC5" s="493">
        <f t="shared" ref="LC5:LC21" si="376">((LC28+LD28)-(LC27+LD27))/2</f>
        <v>0</v>
      </c>
      <c r="LD5" s="494"/>
      <c r="LE5" s="493">
        <f t="shared" ref="LE5:LE21" si="377">((LE28+LF28)-(LE27+LF27))/2</f>
        <v>0</v>
      </c>
      <c r="LF5" s="494"/>
      <c r="LG5" s="493">
        <f t="shared" ref="LG5:LG21" si="378">((LG28+LH28)-(LG27+LH27))/2</f>
        <v>0</v>
      </c>
      <c r="LH5" s="494"/>
      <c r="LI5" s="493">
        <f t="shared" ref="LI5" si="379">((LI28+LJ28)-(LI27+LJ27))/2</f>
        <v>0</v>
      </c>
      <c r="LJ5" s="494"/>
      <c r="LK5" s="493">
        <f t="shared" ref="LK5" si="380">((LK28+LL28)-(LK27+LL27))/2</f>
        <v>0</v>
      </c>
      <c r="LL5" s="494"/>
      <c r="LM5" s="493">
        <f t="shared" si="49"/>
        <v>0</v>
      </c>
      <c r="LN5" s="494"/>
      <c r="LO5" s="493">
        <f t="shared" ref="LO5" si="381">((LO28+LP28)-(LO27+LP27))/2</f>
        <v>0</v>
      </c>
      <c r="LP5" s="494"/>
      <c r="LQ5" s="493">
        <f t="shared" ref="LQ5" si="382">((LQ28+LR28)-(LQ27+LR27))/2</f>
        <v>0</v>
      </c>
      <c r="LR5" s="494"/>
      <c r="LS5" s="493">
        <f t="shared" si="52"/>
        <v>0</v>
      </c>
      <c r="LT5" s="494"/>
      <c r="LU5" s="493">
        <f t="shared" ref="LU5" si="383">((LU28+LV28)-(LU27+LV27))/2</f>
        <v>0</v>
      </c>
      <c r="LV5" s="494"/>
      <c r="LW5" s="493">
        <f t="shared" ref="LW5" si="384">((LW28+LX28)-(LW27+LX27))/2</f>
        <v>0</v>
      </c>
      <c r="LX5" s="494"/>
      <c r="LY5" s="493">
        <f t="shared" si="55"/>
        <v>0</v>
      </c>
      <c r="LZ5" s="494"/>
      <c r="MA5" s="493">
        <f t="shared" ref="MA5" si="385">((MA28+MB28)-(MA27+MB27))/2</f>
        <v>0</v>
      </c>
      <c r="MB5" s="494"/>
      <c r="MC5" s="493">
        <f t="shared" ref="MC5" si="386">((MC28+MD28)-(MC27+MD27))/2</f>
        <v>0</v>
      </c>
      <c r="MD5" s="494"/>
      <c r="ME5" s="493">
        <f t="shared" si="58"/>
        <v>0</v>
      </c>
      <c r="MF5" s="494"/>
      <c r="MG5" s="493">
        <f t="shared" ref="MG5" si="387">((MG28+MH28)-(MG27+MH27))/2</f>
        <v>0</v>
      </c>
      <c r="MH5" s="494"/>
      <c r="MI5" s="493">
        <f t="shared" ref="MI5" si="388">((MI28+MJ28)-(MI27+MJ27))/2</f>
        <v>0</v>
      </c>
      <c r="MJ5" s="494"/>
      <c r="MK5" s="493">
        <f t="shared" si="61"/>
        <v>0</v>
      </c>
      <c r="ML5" s="494"/>
      <c r="MM5" s="493">
        <f t="shared" ref="MM5" si="389">((MM28+MN28)-(MM27+MN27))/2</f>
        <v>0</v>
      </c>
      <c r="MN5" s="494"/>
      <c r="MO5" s="493">
        <f t="shared" ref="MO5" si="390">((MO28+MP28)-(MO27+MP27))/2</f>
        <v>0</v>
      </c>
      <c r="MP5" s="494"/>
      <c r="MQ5" s="493">
        <f t="shared" si="64"/>
        <v>0</v>
      </c>
      <c r="MR5" s="494"/>
      <c r="MS5" s="493">
        <f t="shared" ref="MS5" si="391">((MS28+MT28)-(MS27+MT27))/2</f>
        <v>0</v>
      </c>
      <c r="MT5" s="494"/>
      <c r="MU5" s="493">
        <f t="shared" ref="MU5" si="392">((MU28+MV28)-(MU27+MV27))/2</f>
        <v>0</v>
      </c>
      <c r="MV5" s="494"/>
      <c r="MW5" s="493">
        <f t="shared" si="67"/>
        <v>0</v>
      </c>
      <c r="MX5" s="494"/>
      <c r="MY5" s="493">
        <f t="shared" ref="MY5" si="393">((MY28+MZ28)-(MY27+MZ27))/2</f>
        <v>0</v>
      </c>
      <c r="MZ5" s="494"/>
      <c r="NA5" s="493">
        <f t="shared" ref="NA5" si="394">((NA28+NB28)-(NA27+NB27))/2</f>
        <v>0</v>
      </c>
      <c r="NB5" s="494"/>
      <c r="NC5" s="493">
        <f t="shared" si="70"/>
        <v>0</v>
      </c>
      <c r="ND5" s="494"/>
      <c r="NE5" s="493">
        <f t="shared" ref="NE5" si="395">((NE28+NF28)-(NE27+NF27))/2</f>
        <v>0</v>
      </c>
      <c r="NF5" s="494"/>
      <c r="NG5" s="493">
        <f t="shared" ref="NG5" si="396">((NG28+NH28)-(NG27+NH27))/2</f>
        <v>0</v>
      </c>
      <c r="NH5" s="494"/>
      <c r="NI5" s="493">
        <f t="shared" si="73"/>
        <v>0</v>
      </c>
      <c r="NJ5" s="494"/>
      <c r="NK5" s="493">
        <f t="shared" ref="NK5" si="397">((NK28+NL28)-(NK27+NL27))/2</f>
        <v>0</v>
      </c>
      <c r="NL5" s="494"/>
      <c r="NM5" s="493">
        <f t="shared" ref="NM5" si="398">((NM28+NN28)-(NM27+NN27))/2</f>
        <v>0</v>
      </c>
      <c r="NN5" s="494"/>
      <c r="NO5" s="493">
        <f t="shared" si="76"/>
        <v>0</v>
      </c>
      <c r="NP5" s="494"/>
      <c r="NQ5" s="493">
        <f t="shared" ref="NQ5" si="399">((NQ28+NR28)-(NQ27+NR27))/2</f>
        <v>0</v>
      </c>
      <c r="NR5" s="494"/>
      <c r="NS5" s="493">
        <f t="shared" ref="NS5" si="400">((NS28+NT28)-(NS27+NT27))/2</f>
        <v>0</v>
      </c>
      <c r="NT5" s="494"/>
      <c r="NU5" s="493">
        <f t="shared" si="79"/>
        <v>0</v>
      </c>
      <c r="NV5" s="494"/>
      <c r="NW5" s="493">
        <f t="shared" ref="NW5" si="401">((NW28+NX28)-(NW27+NX27))/2</f>
        <v>0</v>
      </c>
      <c r="NX5" s="494"/>
      <c r="NY5" s="493">
        <f t="shared" ref="NY5" si="402">((NY28+NZ28)-(NY27+NZ27))/2</f>
        <v>0</v>
      </c>
      <c r="NZ5" s="494"/>
      <c r="OA5" s="493">
        <f t="shared" si="82"/>
        <v>0</v>
      </c>
      <c r="OB5" s="494"/>
      <c r="OC5" s="493">
        <f t="shared" ref="OC5" si="403">((OC28+OD28)-(OC27+OD27))/2</f>
        <v>0</v>
      </c>
      <c r="OD5" s="494"/>
      <c r="OE5" s="493">
        <f t="shared" ref="OE5" si="404">((OE28+OF28)-(OE27+OF27))/2</f>
        <v>0</v>
      </c>
      <c r="OF5" s="494"/>
      <c r="OG5" s="493">
        <f t="shared" si="85"/>
        <v>0</v>
      </c>
      <c r="OH5" s="494"/>
      <c r="OI5" s="493">
        <f t="shared" ref="OI5" si="405">((OI28+OJ28)-(OI27+OJ27))/2</f>
        <v>0</v>
      </c>
      <c r="OJ5" s="494"/>
      <c r="OK5" s="493">
        <f t="shared" ref="OK5" si="406">((OK28+OL28)-(OK27+OL27))/2</f>
        <v>0</v>
      </c>
      <c r="OL5" s="494"/>
      <c r="OM5" s="493">
        <f t="shared" si="88"/>
        <v>0</v>
      </c>
      <c r="ON5" s="494"/>
      <c r="OO5" s="493">
        <f t="shared" ref="OO5" si="407">((OO28+OP28)-(OO27+OP27))/2</f>
        <v>0</v>
      </c>
      <c r="OP5" s="494"/>
      <c r="OQ5" s="493">
        <f t="shared" ref="OQ5" si="408">((OQ28+OR28)-(OQ27+OR27))/2</f>
        <v>0</v>
      </c>
      <c r="OR5" s="494"/>
      <c r="OS5" s="493">
        <f t="shared" si="91"/>
        <v>0</v>
      </c>
      <c r="OT5" s="494"/>
      <c r="OU5" s="493">
        <f t="shared" ref="OU5" si="409">((OU28+OV28)-(OU27+OV27))/2</f>
        <v>0</v>
      </c>
      <c r="OV5" s="494"/>
      <c r="OW5" s="493">
        <f t="shared" ref="OW5" si="410">((OW28+OX28)-(OW27+OX27))/2</f>
        <v>0</v>
      </c>
      <c r="OX5" s="494"/>
      <c r="OY5" s="493">
        <f t="shared" si="94"/>
        <v>0</v>
      </c>
      <c r="OZ5" s="494"/>
      <c r="PA5" s="493">
        <f t="shared" ref="PA5" si="411">((PA28+PB28)-(PA27+PB27))/2</f>
        <v>0</v>
      </c>
      <c r="PB5" s="494"/>
      <c r="PC5" s="493">
        <f t="shared" ref="PC5" si="412">((PC28+PD28)-(PC27+PD27))/2</f>
        <v>0</v>
      </c>
      <c r="PD5" s="494"/>
      <c r="PE5" s="493">
        <f t="shared" si="97"/>
        <v>0</v>
      </c>
      <c r="PF5" s="494"/>
      <c r="PG5" s="493">
        <f t="shared" ref="PG5" si="413">((PG28+PH28)-(PG27+PH27))/2</f>
        <v>0</v>
      </c>
      <c r="PH5" s="494"/>
      <c r="PI5" s="493">
        <f t="shared" ref="PI5" si="414">((PI28+PJ28)-(PI27+PJ27))/2</f>
        <v>0</v>
      </c>
      <c r="PJ5" s="494"/>
      <c r="PK5" s="493">
        <f t="shared" si="100"/>
        <v>0</v>
      </c>
      <c r="PL5" s="494"/>
      <c r="PM5" s="493">
        <f t="shared" ref="PM5" si="415">((PM28+PN28)-(PM27+PN27))/2</f>
        <v>0</v>
      </c>
      <c r="PN5" s="494"/>
      <c r="PO5" s="493">
        <f t="shared" ref="PO5" si="416">((PO28+PP28)-(PO27+PP27))/2</f>
        <v>0</v>
      </c>
      <c r="PP5" s="494"/>
      <c r="PQ5" s="493">
        <f t="shared" si="103"/>
        <v>0</v>
      </c>
      <c r="PR5" s="494"/>
      <c r="PS5" s="493">
        <f t="shared" ref="PS5" si="417">((PS28+PT28)-(PS27+PT27))/2</f>
        <v>0</v>
      </c>
      <c r="PT5" s="494"/>
      <c r="PU5" s="493">
        <f t="shared" ref="PU5" si="418">((PU28+PV28)-(PU27+PV27))/2</f>
        <v>0</v>
      </c>
      <c r="PV5" s="494"/>
      <c r="PW5" s="493">
        <f t="shared" si="106"/>
        <v>0</v>
      </c>
      <c r="PX5" s="494"/>
      <c r="PY5" s="493">
        <f t="shared" ref="PY5" si="419">((PY28+PZ28)-(PY27+PZ27))/2</f>
        <v>0</v>
      </c>
      <c r="PZ5" s="494"/>
      <c r="QA5" s="493">
        <f t="shared" ref="QA5" si="420">((QA28+QB28)-(QA27+QB27))/2</f>
        <v>0</v>
      </c>
      <c r="QB5" s="494"/>
      <c r="QC5" s="493">
        <f t="shared" si="109"/>
        <v>0</v>
      </c>
      <c r="QD5" s="494"/>
      <c r="QE5" s="493">
        <f t="shared" ref="QE5" si="421">((QE28+QF28)-(QE27+QF27))/2</f>
        <v>0</v>
      </c>
      <c r="QF5" s="494"/>
      <c r="QG5" s="493">
        <f t="shared" ref="QG5" si="422">((QG28+QH28)-(QG27+QH27))/2</f>
        <v>0</v>
      </c>
      <c r="QH5" s="494"/>
      <c r="QI5" s="493">
        <f t="shared" si="112"/>
        <v>0</v>
      </c>
      <c r="QJ5" s="494"/>
      <c r="QK5" s="493">
        <f t="shared" ref="QK5" si="423">((QK28+QL28)-(QK27+QL27))/2</f>
        <v>0</v>
      </c>
      <c r="QL5" s="494"/>
      <c r="QM5" s="493">
        <f t="shared" ref="QM5" si="424">((QM28+QN28)-(QM27+QN27))/2</f>
        <v>0</v>
      </c>
      <c r="QN5" s="494"/>
      <c r="QO5" s="493">
        <f t="shared" si="115"/>
        <v>0</v>
      </c>
      <c r="QP5" s="494"/>
      <c r="QQ5" s="493">
        <f t="shared" ref="QQ5" si="425">((QQ28+QR28)-(QQ27+QR27))/2</f>
        <v>0</v>
      </c>
      <c r="QR5" s="494"/>
      <c r="QS5" s="493">
        <f t="shared" ref="QS5" si="426">((QS28+QT28)-(QS27+QT27))/2</f>
        <v>0</v>
      </c>
      <c r="QT5" s="494"/>
      <c r="QU5" s="493">
        <f t="shared" si="118"/>
        <v>0</v>
      </c>
      <c r="QV5" s="494"/>
      <c r="QW5" s="493">
        <f t="shared" ref="QW5" si="427">((QW28+QX28)-(QW27+QX27))/2</f>
        <v>0</v>
      </c>
      <c r="QX5" s="494"/>
      <c r="QY5" s="493">
        <f t="shared" ref="QY5" si="428">((QY28+QZ28)-(QY27+QZ27))/2</f>
        <v>0</v>
      </c>
      <c r="QZ5" s="494"/>
      <c r="RA5" s="493">
        <f t="shared" si="121"/>
        <v>0</v>
      </c>
      <c r="RB5" s="494"/>
      <c r="RC5" s="493">
        <f t="shared" ref="RC5" si="429">((RC28+RD28)-(RC27+RD27))/2</f>
        <v>0</v>
      </c>
      <c r="RD5" s="494"/>
      <c r="RE5" s="493">
        <f t="shared" ref="RE5" si="430">((RE28+RF28)-(RE27+RF27))/2</f>
        <v>0</v>
      </c>
      <c r="RF5" s="494"/>
      <c r="RG5" s="493">
        <f t="shared" si="124"/>
        <v>0</v>
      </c>
      <c r="RH5" s="494"/>
      <c r="RI5" s="493">
        <f>((RI28+RJ29)-(RI27+RJ28))/2</f>
        <v>0</v>
      </c>
      <c r="RJ5" s="494"/>
      <c r="RK5" s="493">
        <f t="shared" ref="RK5" si="431">((RK28+RL28)-(RK27+RL27))/2</f>
        <v>0</v>
      </c>
      <c r="RL5" s="494"/>
      <c r="RM5" s="493">
        <f t="shared" si="126"/>
        <v>0</v>
      </c>
      <c r="RN5" s="494"/>
      <c r="RO5" s="493">
        <f t="shared" ref="RO5" si="432">((RO28+RP28)-(RO27+RP27))/2</f>
        <v>0</v>
      </c>
      <c r="RP5" s="494"/>
      <c r="RQ5" s="493">
        <f t="shared" ref="RQ5" si="433">((RQ28+RR28)-(RQ27+RR27))/2</f>
        <v>0</v>
      </c>
      <c r="RR5" s="494"/>
      <c r="RS5" s="493">
        <f t="shared" si="129"/>
        <v>0</v>
      </c>
      <c r="RT5" s="494"/>
      <c r="RU5" s="493">
        <f t="shared" ref="RU5" si="434">((RU28+RV28)-(RU27+RV27))/2</f>
        <v>0</v>
      </c>
      <c r="RV5" s="494"/>
      <c r="RW5" s="493">
        <f t="shared" ref="RW5" si="435">((RW28+RX28)-(RW27+RX27))/2</f>
        <v>0</v>
      </c>
      <c r="RX5" s="494"/>
      <c r="RY5" s="493">
        <f t="shared" si="132"/>
        <v>0</v>
      </c>
      <c r="RZ5" s="494"/>
      <c r="SA5" s="493">
        <f t="shared" ref="SA5" si="436">((SA28+SB28)-(SA27+SB27))/2</f>
        <v>0</v>
      </c>
      <c r="SB5" s="494"/>
      <c r="SC5" s="493">
        <f t="shared" ref="SC5" si="437">((SC28+SD28)-(SC27+SD27))/2</f>
        <v>0</v>
      </c>
      <c r="SD5" s="494"/>
      <c r="SE5" s="493">
        <f t="shared" si="135"/>
        <v>0</v>
      </c>
      <c r="SF5" s="494"/>
      <c r="SG5" s="493">
        <f t="shared" ref="SG5" si="438">((SG28+SH28)-(SG27+SH27))/2</f>
        <v>0</v>
      </c>
      <c r="SH5" s="494"/>
      <c r="SI5" s="493">
        <f t="shared" ref="SI5" si="439">((SI28+SJ28)-(SI27+SJ27))/2</f>
        <v>0</v>
      </c>
      <c r="SJ5" s="494"/>
      <c r="SK5" s="493">
        <f t="shared" si="138"/>
        <v>0</v>
      </c>
      <c r="SL5" s="494"/>
      <c r="SM5" s="493">
        <f t="shared" ref="SM5" si="440">((SM28+SN28)-(SM27+SN27))/2</f>
        <v>0</v>
      </c>
      <c r="SN5" s="494"/>
      <c r="SO5" s="493">
        <f t="shared" ref="SO5" si="441">((SO28+SP28)-(SO27+SP27))/2</f>
        <v>0</v>
      </c>
      <c r="SP5" s="494"/>
      <c r="SQ5" s="493">
        <f t="shared" si="141"/>
        <v>0</v>
      </c>
      <c r="SR5" s="494"/>
      <c r="SS5" s="493">
        <f t="shared" ref="SS5" si="442">((SS28+ST28)-(SS27+ST27))/2</f>
        <v>0</v>
      </c>
      <c r="ST5" s="494"/>
      <c r="SU5" s="493">
        <f t="shared" ref="SU5" si="443">((SU28+SV28)-(SU27+SV27))/2</f>
        <v>0</v>
      </c>
      <c r="SV5" s="494"/>
      <c r="SW5" s="493">
        <f t="shared" si="144"/>
        <v>0</v>
      </c>
      <c r="SX5" s="494"/>
      <c r="SY5" s="493">
        <f t="shared" ref="SY5" si="444">((SY28+SZ28)-(SY27+SZ27))/2</f>
        <v>0</v>
      </c>
      <c r="SZ5" s="494"/>
      <c r="TA5" s="493">
        <f t="shared" ref="TA5" si="445">((TA28+TB28)-(TA27+TB27))/2</f>
        <v>0</v>
      </c>
      <c r="TB5" s="494"/>
      <c r="TC5" s="493">
        <f t="shared" si="147"/>
        <v>0</v>
      </c>
      <c r="TD5" s="494"/>
      <c r="TE5" s="493">
        <f t="shared" ref="TE5" si="446">((TE28+TF28)-(TE27+TF27))/2</f>
        <v>0</v>
      </c>
      <c r="TF5" s="494"/>
      <c r="TG5" s="493">
        <f t="shared" ref="TG5" si="447">((TG28+TH28)-(TG27+TH27))/2</f>
        <v>0</v>
      </c>
      <c r="TH5" s="494"/>
      <c r="TI5" s="493">
        <f t="shared" si="150"/>
        <v>0</v>
      </c>
      <c r="TJ5" s="494"/>
      <c r="TK5" s="493">
        <f t="shared" ref="TK5" si="448">((TK28+TL28)-(TK27+TL27))/2</f>
        <v>0</v>
      </c>
      <c r="TL5" s="494"/>
      <c r="TM5" s="493">
        <f t="shared" ref="TM5" si="449">((TM28+TN28)-(TM27+TN27))/2</f>
        <v>0</v>
      </c>
      <c r="TN5" s="494"/>
      <c r="TO5" s="493">
        <f t="shared" si="153"/>
        <v>0</v>
      </c>
      <c r="TP5" s="494"/>
      <c r="TQ5" s="493">
        <f t="shared" ref="TQ5" si="450">((TQ28+TR28)-(TQ27+TR27))/2</f>
        <v>0</v>
      </c>
      <c r="TR5" s="494"/>
      <c r="TS5" s="493">
        <f t="shared" ref="TS5" si="451">((TS28+TT28)-(TS27+TT27))/2</f>
        <v>0</v>
      </c>
      <c r="TT5" s="494"/>
      <c r="TU5" s="493">
        <f t="shared" si="156"/>
        <v>0</v>
      </c>
      <c r="TV5" s="494"/>
      <c r="TW5" s="493">
        <f t="shared" ref="TW5" si="452">((TW28+TX28)-(TW27+TX27))/2</f>
        <v>0</v>
      </c>
      <c r="TX5" s="494"/>
      <c r="TY5" s="493">
        <f t="shared" ref="TY5" si="453">((TY28+TZ28)-(TY27+TZ27))/2</f>
        <v>0</v>
      </c>
      <c r="TZ5" s="494"/>
      <c r="UA5" s="493">
        <f t="shared" si="159"/>
        <v>0</v>
      </c>
      <c r="UB5" s="494"/>
      <c r="UC5" s="493">
        <f t="shared" ref="UC5" si="454">((UC28+UD28)-(UC27+UD27))/2</f>
        <v>0</v>
      </c>
      <c r="UD5" s="494"/>
      <c r="UE5" s="493">
        <f t="shared" ref="UE5" si="455">((UE28+UF28)-(UE27+UF27))/2</f>
        <v>0</v>
      </c>
      <c r="UF5" s="494"/>
      <c r="UG5" s="493">
        <f t="shared" si="162"/>
        <v>0</v>
      </c>
      <c r="UH5" s="494"/>
      <c r="UI5" s="493">
        <f t="shared" ref="UI5" si="456">((UI28+UJ28)-(UI27+UJ27))/2</f>
        <v>0</v>
      </c>
      <c r="UJ5" s="494"/>
      <c r="UK5" s="493">
        <f t="shared" ref="UK5" si="457">((UK28+UL28)-(UK27+UL27))/2</f>
        <v>0</v>
      </c>
      <c r="UL5" s="494"/>
      <c r="UM5" s="493">
        <f t="shared" si="165"/>
        <v>0</v>
      </c>
      <c r="UN5" s="494"/>
      <c r="UO5" s="493">
        <f t="shared" ref="UO5" si="458">((UO28+UP28)-(UO27+UP27))/2</f>
        <v>0</v>
      </c>
      <c r="UP5" s="494"/>
      <c r="UQ5" s="493">
        <f t="shared" ref="UQ5" si="459">((UQ28+UR28)-(UQ27+UR27))/2</f>
        <v>0</v>
      </c>
      <c r="UR5" s="494"/>
      <c r="US5" s="493">
        <f t="shared" si="168"/>
        <v>0</v>
      </c>
      <c r="UT5" s="494"/>
      <c r="UU5" s="493">
        <f t="shared" ref="UU5" si="460">((UU28+UV28)-(UU27+UV27))/2</f>
        <v>0</v>
      </c>
      <c r="UV5" s="494"/>
      <c r="UW5" s="493">
        <f t="shared" ref="UW5" si="461">((UW28+UX28)-(UW27+UX27))/2</f>
        <v>0</v>
      </c>
      <c r="UX5" s="494"/>
      <c r="UY5" s="493">
        <f t="shared" si="171"/>
        <v>0</v>
      </c>
      <c r="UZ5" s="494"/>
      <c r="VA5" s="493">
        <f t="shared" ref="VA5" si="462">((VA28+VB28)-(VA27+VB27))/2</f>
        <v>0</v>
      </c>
      <c r="VB5" s="494"/>
      <c r="VC5" s="493">
        <f t="shared" ref="VC5" si="463">((VC28+VD28)-(VC27+VD27))/2</f>
        <v>0</v>
      </c>
      <c r="VD5" s="494"/>
      <c r="VE5" s="493">
        <f t="shared" ref="VE5:VE19" si="464">((VE28+VF28)-(VE27+VF27))/2</f>
        <v>0</v>
      </c>
      <c r="VF5" s="494"/>
      <c r="VG5" s="493">
        <f t="shared" ref="VG5" si="465">((VG28+VH28)-(VG27+VH27))/2</f>
        <v>0</v>
      </c>
      <c r="VH5" s="494"/>
      <c r="VI5" s="493">
        <f t="shared" ref="VI5" si="466">((VI28+VJ28)-(VI27+VJ27))/2</f>
        <v>0</v>
      </c>
      <c r="VJ5" s="494"/>
      <c r="VK5" s="493">
        <f t="shared" ref="VK5:VK21" si="467">((VK28+VL27)-(VK27+VL26))/2</f>
        <v>0</v>
      </c>
      <c r="VL5" s="494"/>
      <c r="VM5" s="493">
        <f t="shared" ref="VM5" si="468">((VM28+VN28)-(VM27+VN27))/2</f>
        <v>0</v>
      </c>
      <c r="VN5" s="494"/>
      <c r="VO5" s="493">
        <f t="shared" ref="VO5" si="469">((VO28+VP28)-(VO27+VP27))/2</f>
        <v>0</v>
      </c>
      <c r="VP5" s="494"/>
      <c r="VQ5" s="493">
        <f t="shared" si="178"/>
        <v>0</v>
      </c>
      <c r="VR5" s="494"/>
      <c r="VS5" s="493">
        <f t="shared" ref="VS5" si="470">((VS28+VT28)-(VS27+VT27))/2</f>
        <v>0</v>
      </c>
      <c r="VT5" s="494"/>
      <c r="VU5" s="493">
        <f t="shared" si="180"/>
        <v>0</v>
      </c>
      <c r="VV5" s="494"/>
      <c r="VW5" s="493">
        <f t="shared" si="181"/>
        <v>0</v>
      </c>
      <c r="VX5" s="494"/>
      <c r="VY5" s="493">
        <f t="shared" ref="VY5" si="471">((VY28+VZ28)-(VY27+VZ27))/2</f>
        <v>0</v>
      </c>
      <c r="VZ5" s="494"/>
      <c r="WA5" s="493">
        <f t="shared" ref="WA5" si="472">((WA28+WB28)-(WA27+WB27))/2</f>
        <v>0</v>
      </c>
      <c r="WB5" s="494"/>
      <c r="WC5" s="493">
        <f t="shared" si="184"/>
        <v>0</v>
      </c>
      <c r="WD5" s="494"/>
      <c r="WE5" s="493">
        <f t="shared" ref="WE5" si="473">((WE28+WF28)-(WE27+WF27))/2</f>
        <v>0</v>
      </c>
      <c r="WF5" s="494"/>
      <c r="WG5" s="493">
        <f t="shared" ref="WG5" si="474">((WG28+WH28)-(WG27+WH27))/2</f>
        <v>0</v>
      </c>
      <c r="WH5" s="494"/>
      <c r="WI5" s="493">
        <f t="shared" si="187"/>
        <v>0</v>
      </c>
      <c r="WJ5" s="494"/>
      <c r="WK5" s="493">
        <f t="shared" ref="WK5" si="475">((WK28+WL28)-(WK27+WL27))/2</f>
        <v>0</v>
      </c>
      <c r="WL5" s="494"/>
      <c r="WM5" s="493">
        <f t="shared" ref="WM5" si="476">((WM28+WN28)-(WM27+WN27))/2</f>
        <v>0</v>
      </c>
      <c r="WN5" s="494"/>
      <c r="WO5" s="493">
        <f t="shared" si="190"/>
        <v>0</v>
      </c>
      <c r="WP5" s="494"/>
      <c r="WQ5" s="493">
        <f t="shared" ref="WQ5:WQ21" si="477">((WQ28+WR28)-(WQ27+WR27))/2</f>
        <v>0</v>
      </c>
      <c r="WR5" s="494"/>
      <c r="WS5" s="493">
        <f t="shared" ref="WS5" si="478">((WS28+WT28)-(WS27+WT27))/2</f>
        <v>0</v>
      </c>
      <c r="WT5" s="494"/>
      <c r="WU5" s="493">
        <f t="shared" si="193"/>
        <v>0</v>
      </c>
      <c r="WV5" s="494"/>
      <c r="WW5" s="493">
        <f t="shared" ref="WW5" si="479">((WW28+WX28)-(WW27+WX27))/2</f>
        <v>0</v>
      </c>
      <c r="WX5" s="494"/>
      <c r="WY5" s="493">
        <f t="shared" ref="WY5" si="480">((WY28+WZ28)-(WY27+WZ27))/2</f>
        <v>0</v>
      </c>
      <c r="WZ5" s="494"/>
      <c r="XA5" s="493">
        <f t="shared" si="196"/>
        <v>0</v>
      </c>
      <c r="XB5" s="494"/>
      <c r="XC5" s="493">
        <f t="shared" ref="XC5" si="481">((XC28+XD28)-(XC27+XD27))/2</f>
        <v>0</v>
      </c>
      <c r="XD5" s="494"/>
      <c r="XE5" s="493">
        <f t="shared" ref="XE5" si="482">((XE28+XF28)-(XE27+XF27))/2</f>
        <v>0</v>
      </c>
      <c r="XF5" s="494"/>
      <c r="XG5" s="493">
        <f t="shared" si="199"/>
        <v>0</v>
      </c>
      <c r="XH5" s="494"/>
      <c r="XI5" s="493">
        <f t="shared" ref="XI5" si="483">((XI28+XJ28)-(XI27+XJ27))/2</f>
        <v>0</v>
      </c>
      <c r="XJ5" s="494"/>
      <c r="XK5" s="493">
        <f t="shared" ref="XK5" si="484">((XK28+XL28)-(XK27+XL27))/2</f>
        <v>0</v>
      </c>
      <c r="XL5" s="494"/>
      <c r="XM5" s="493">
        <f t="shared" si="202"/>
        <v>0</v>
      </c>
      <c r="XN5" s="494"/>
      <c r="XO5" s="493">
        <f t="shared" ref="XO5" si="485">((XO28+XP28)-(XO27+XP27))/2</f>
        <v>0</v>
      </c>
      <c r="XP5" s="494"/>
      <c r="XQ5" s="493">
        <f t="shared" ref="XQ5" si="486">((XQ28+XR28)-(XQ27+XR27))/2</f>
        <v>0</v>
      </c>
      <c r="XR5" s="494"/>
      <c r="XS5" s="493">
        <f t="shared" si="205"/>
        <v>0</v>
      </c>
      <c r="XT5" s="494"/>
      <c r="XU5" s="493">
        <f t="shared" ref="XU5" si="487">((XU28+XV28)-(XU27+XV27))/2</f>
        <v>0</v>
      </c>
      <c r="XV5" s="494"/>
      <c r="XW5" s="493">
        <f t="shared" ref="XW5" si="488">((XW28+XX28)-(XW27+XX27))/2</f>
        <v>0</v>
      </c>
      <c r="XX5" s="494"/>
      <c r="XY5" s="493">
        <f t="shared" si="208"/>
        <v>0</v>
      </c>
      <c r="XZ5" s="494"/>
      <c r="YA5" s="493">
        <f t="shared" ref="YA5" si="489">((YA28+YB28)-(YA27+YB27))/2</f>
        <v>0</v>
      </c>
      <c r="YB5" s="494"/>
      <c r="YC5" s="493">
        <f t="shared" ref="YC5" si="490">((YC28+YD28)-(YC27+YD27))/2</f>
        <v>0</v>
      </c>
      <c r="YD5" s="494"/>
      <c r="YE5" s="493">
        <f t="shared" si="211"/>
        <v>0</v>
      </c>
      <c r="YF5" s="494"/>
      <c r="YG5" s="493">
        <f t="shared" ref="YG5" si="491">((YG28+YH28)-(YG27+YH27))/2</f>
        <v>0</v>
      </c>
      <c r="YH5" s="494"/>
      <c r="YI5" s="493">
        <f t="shared" ref="YI5" si="492">((YI28+YJ28)-(YI27+YJ27))/2</f>
        <v>0</v>
      </c>
      <c r="YJ5" s="494"/>
      <c r="YK5" s="493">
        <f t="shared" si="214"/>
        <v>0</v>
      </c>
      <c r="YL5" s="494"/>
      <c r="YM5" s="493">
        <f t="shared" ref="YM5" si="493">((YM28+YN28)-(YM27+YN27))/2</f>
        <v>0</v>
      </c>
      <c r="YN5" s="494"/>
      <c r="YO5" s="493">
        <f t="shared" si="216"/>
        <v>0</v>
      </c>
      <c r="YP5" s="494"/>
      <c r="YQ5" s="493">
        <f t="shared" si="217"/>
        <v>0</v>
      </c>
      <c r="YR5" s="494"/>
      <c r="YS5" s="493">
        <f t="shared" ref="YS5" si="494">((YS28+YT28)-(YS27+YT27))/2</f>
        <v>0</v>
      </c>
      <c r="YT5" s="494"/>
      <c r="YU5" s="493">
        <f t="shared" ref="YU5" si="495">((YU28+YV28)-(YU27+YV27))/2</f>
        <v>0</v>
      </c>
      <c r="YV5" s="494"/>
      <c r="YW5" s="493">
        <f t="shared" si="220"/>
        <v>0</v>
      </c>
      <c r="YX5" s="494"/>
      <c r="YY5" s="493">
        <f t="shared" ref="YY5:YY21" si="496">((YY28+YZ28)-(YY27+YZ27))/2</f>
        <v>0</v>
      </c>
      <c r="YZ5" s="494"/>
      <c r="ZA5" s="493">
        <f t="shared" ref="ZA5" si="497">((ZA28+ZB28)-(ZA27+ZB27))/2</f>
        <v>0</v>
      </c>
      <c r="ZB5" s="494"/>
      <c r="ZC5" s="493">
        <f t="shared" si="223"/>
        <v>0</v>
      </c>
      <c r="ZD5" s="494"/>
      <c r="ZE5" s="493">
        <f t="shared" ref="ZE5" si="498">((ZE28+ZF28)-(ZE27+ZF27))/2</f>
        <v>0</v>
      </c>
      <c r="ZF5" s="494"/>
      <c r="ZG5" s="493">
        <f t="shared" ref="ZG5" si="499">((ZG28+ZH28)-(ZG27+ZH27))/2</f>
        <v>0</v>
      </c>
      <c r="ZH5" s="494"/>
      <c r="ZI5" s="493">
        <f t="shared" si="226"/>
        <v>0</v>
      </c>
      <c r="ZJ5" s="494"/>
      <c r="ZK5" s="493">
        <f t="shared" ref="ZK5" si="500">((ZK28+ZL28)-(ZK27+ZL27))/2</f>
        <v>0</v>
      </c>
      <c r="ZL5" s="494"/>
      <c r="ZM5" s="493">
        <f t="shared" ref="ZM5" si="501">((ZM28+ZN28)-(ZM27+ZN27))/2</f>
        <v>0</v>
      </c>
      <c r="ZN5" s="494"/>
      <c r="ZO5" s="493">
        <f t="shared" ref="ZO5:ZO17" si="502">((ZO32+ZP28)-(ZO31+ZP27))/2</f>
        <v>0</v>
      </c>
      <c r="ZP5" s="494"/>
      <c r="ZQ5" s="493">
        <f t="shared" ref="ZQ5:ZQ13" si="503">((ZQ28+ZR29)-(ZQ27+ZR28))/2</f>
        <v>0</v>
      </c>
      <c r="ZR5" s="494"/>
      <c r="ZS5" s="493">
        <f t="shared" ref="ZS5" si="504">((ZS28+ZT28)-(ZS27+ZT27))/2</f>
        <v>0</v>
      </c>
      <c r="ZT5" s="494"/>
      <c r="ZU5" s="493">
        <f t="shared" si="230"/>
        <v>0</v>
      </c>
      <c r="ZV5" s="494"/>
      <c r="ZW5" s="493">
        <f t="shared" ref="ZW5" si="505">((ZW28+ZX28)-(ZW27+ZX27))/2</f>
        <v>0</v>
      </c>
      <c r="ZX5" s="494"/>
      <c r="ZY5" s="493">
        <f t="shared" ref="ZY5" si="506">((ZY28+ZZ28)-(ZY27+ZZ27))/2</f>
        <v>0</v>
      </c>
      <c r="ZZ5" s="494"/>
      <c r="AAA5" s="493">
        <f t="shared" si="233"/>
        <v>0</v>
      </c>
      <c r="AAB5" s="494"/>
      <c r="AAC5" s="493">
        <f t="shared" ref="AAC5" si="507">((AAC28+AAD28)-(AAC27+AAD27))/2</f>
        <v>0</v>
      </c>
      <c r="AAD5" s="494"/>
      <c r="AAE5" s="493">
        <f t="shared" ref="AAE5" si="508">((AAE28+AAF28)-(AAE27+AAF27))/2</f>
        <v>0</v>
      </c>
      <c r="AAF5" s="494"/>
      <c r="AAG5" s="493">
        <f t="shared" si="236"/>
        <v>0</v>
      </c>
      <c r="AAH5" s="494"/>
      <c r="AAI5" s="493">
        <f t="shared" ref="AAI5" si="509">((AAI28+AAJ28)-(AAI27+AAJ27))/2</f>
        <v>0</v>
      </c>
      <c r="AAJ5" s="494"/>
      <c r="AAK5" s="493">
        <f t="shared" ref="AAK5" si="510">((AAK28+AAL28)-(AAK27+AAL27))/2</f>
        <v>0</v>
      </c>
      <c r="AAL5" s="494"/>
      <c r="AAM5" s="493">
        <f t="shared" si="239"/>
        <v>0</v>
      </c>
      <c r="AAN5" s="494"/>
      <c r="AAO5" s="493">
        <f>((AAO29+AAP28)-(AAO27+AAP27))/2</f>
        <v>0</v>
      </c>
      <c r="AAP5" s="494"/>
      <c r="AAQ5" s="493">
        <f>((AAQ32+AAR32)-(AAQ31+AAR31))/2</f>
        <v>0</v>
      </c>
      <c r="AAR5" s="494"/>
      <c r="AAS5" s="493">
        <f t="shared" si="241"/>
        <v>0</v>
      </c>
      <c r="AAT5" s="494"/>
      <c r="AAU5" s="493">
        <f t="shared" ref="AAU5" si="511">((AAU28+AAV28)-(AAU27+AAV27))/2</f>
        <v>0</v>
      </c>
      <c r="AAV5" s="494"/>
      <c r="AAW5" s="493">
        <f t="shared" ref="AAW5" si="512">((AAW28+AAX28)-(AAW27+AAX27))/2</f>
        <v>0</v>
      </c>
      <c r="AAX5" s="494"/>
      <c r="AAY5" s="493">
        <f t="shared" ref="AAY5:AAY13" si="513">((AAY29+AAZ28)-(AAY28+AAZ27))/2</f>
        <v>0</v>
      </c>
      <c r="AAZ5" s="494"/>
      <c r="ABA5" s="493">
        <f t="shared" ref="ABA5" si="514">((ABA28+ABB28)-(ABA27+ABB27))/2</f>
        <v>0</v>
      </c>
      <c r="ABB5" s="494"/>
      <c r="ABC5" s="493">
        <f t="shared" ref="ABC5" si="515">((ABC28+ABD28)-(ABC27+ABD27))/2</f>
        <v>0</v>
      </c>
      <c r="ABD5" s="494"/>
      <c r="ABE5" s="379">
        <f t="shared" ref="ABE5:ABE21" si="516">SUM(C5:DP5)</f>
        <v>0</v>
      </c>
      <c r="ABF5" s="377"/>
      <c r="ABG5" s="481"/>
      <c r="ABH5" s="481"/>
      <c r="ABI5" s="481"/>
      <c r="ABJ5" s="481"/>
      <c r="ABK5" s="481"/>
      <c r="ABL5" s="481"/>
      <c r="ABM5" s="481"/>
      <c r="ABN5" s="481"/>
      <c r="ABO5" s="481"/>
      <c r="ABP5" s="481"/>
      <c r="ABQ5" s="481"/>
      <c r="ABR5" s="481"/>
      <c r="ABS5" s="481"/>
      <c r="ABT5" s="481"/>
      <c r="ABU5" s="481"/>
      <c r="ABV5" s="481"/>
      <c r="ABW5" s="481"/>
      <c r="ABX5" s="481"/>
      <c r="ABY5" s="481"/>
      <c r="ABZ5" s="481"/>
      <c r="ACA5" s="481"/>
      <c r="ACB5" s="481"/>
      <c r="ACC5" s="481"/>
      <c r="ACD5" s="481"/>
      <c r="ACE5" s="481"/>
      <c r="ACF5" s="481"/>
      <c r="ACG5" s="481"/>
      <c r="ACH5" s="481"/>
      <c r="ACI5" s="481"/>
      <c r="ACJ5" s="481"/>
      <c r="ACK5" s="481"/>
      <c r="ACL5" s="481"/>
      <c r="ACM5" s="481"/>
      <c r="ACN5" s="481"/>
      <c r="ACO5" s="481"/>
      <c r="ACP5" s="481"/>
      <c r="ACQ5" s="481"/>
      <c r="ACR5" s="481"/>
      <c r="ACS5" s="481"/>
      <c r="ACT5" s="481"/>
      <c r="ACU5" s="481"/>
      <c r="ACV5" s="481"/>
      <c r="ACW5" s="481"/>
      <c r="ACX5" s="481"/>
      <c r="ACY5" s="481"/>
      <c r="ACZ5" s="481"/>
      <c r="ADA5" s="481"/>
      <c r="ADB5" s="481"/>
      <c r="ADC5" s="481"/>
      <c r="ADD5" s="481"/>
      <c r="ADE5" s="481"/>
      <c r="ADF5" s="481"/>
      <c r="ADG5" s="481"/>
      <c r="ADH5" s="481"/>
      <c r="ADI5" s="481"/>
      <c r="ADJ5" s="481"/>
      <c r="ADK5" s="335"/>
      <c r="ADL5" s="335"/>
      <c r="ADM5" s="335"/>
      <c r="ADN5" s="335"/>
      <c r="ADO5" s="335"/>
      <c r="ADP5" s="335"/>
      <c r="ADQ5" s="335"/>
      <c r="ADR5" s="335"/>
      <c r="ADS5" s="335"/>
      <c r="ADT5" s="335"/>
      <c r="ADU5" s="335"/>
      <c r="ADV5" s="335"/>
      <c r="ADW5" s="335"/>
      <c r="ADX5" s="335"/>
      <c r="ADY5" s="335"/>
      <c r="ADZ5" s="335"/>
      <c r="AEA5" s="335"/>
      <c r="AEB5" s="335"/>
      <c r="AEC5" s="335"/>
      <c r="AED5" s="335"/>
      <c r="AEE5" s="335"/>
      <c r="AEF5" s="335"/>
      <c r="AEG5" s="335"/>
      <c r="AEH5" s="335"/>
      <c r="AEI5" s="335"/>
      <c r="AEJ5" s="335"/>
      <c r="AEK5" s="335"/>
      <c r="AEL5" s="335"/>
      <c r="AEM5" s="335"/>
      <c r="AEN5" s="335"/>
      <c r="AEO5" s="335"/>
      <c r="AEP5" s="335"/>
      <c r="AEQ5" s="335"/>
      <c r="AER5" s="335"/>
      <c r="AES5" s="335"/>
      <c r="AET5" s="335"/>
      <c r="AEU5" s="335"/>
      <c r="AEV5" s="335"/>
      <c r="AEW5" s="335"/>
      <c r="AEX5" s="335"/>
      <c r="AEY5" s="335"/>
      <c r="AEZ5" s="335"/>
      <c r="AFA5" s="335"/>
      <c r="AFB5" s="335"/>
      <c r="AFC5" s="335"/>
      <c r="AFD5" s="335"/>
      <c r="AFE5" s="335"/>
      <c r="AFF5" s="335"/>
      <c r="AFG5" s="335"/>
      <c r="AFH5" s="335"/>
      <c r="AFI5" s="335"/>
      <c r="AFJ5" s="335"/>
      <c r="AFK5" s="335"/>
      <c r="AFL5" s="335"/>
      <c r="AFM5" s="335"/>
      <c r="AFN5" s="335"/>
      <c r="AFO5" s="335"/>
      <c r="AFP5" s="335"/>
      <c r="AFQ5" s="335"/>
      <c r="AFR5" s="335"/>
      <c r="AFS5" s="335"/>
      <c r="AFT5" s="335"/>
      <c r="AFU5" s="335"/>
      <c r="AFV5" s="335"/>
      <c r="AFW5" s="335"/>
      <c r="AFX5" s="335"/>
      <c r="AFY5" s="335"/>
      <c r="AFZ5" s="335"/>
      <c r="AGA5" s="335"/>
      <c r="AGB5" s="335"/>
      <c r="AGC5" s="335"/>
      <c r="AGD5" s="335"/>
      <c r="AGE5" s="335"/>
      <c r="AGF5" s="335"/>
      <c r="AGG5" s="335"/>
      <c r="AGH5" s="335"/>
      <c r="AGI5" s="335"/>
      <c r="AGJ5" s="335"/>
      <c r="AGK5" s="335"/>
      <c r="AGL5" s="335"/>
      <c r="AGM5" s="335"/>
      <c r="AGN5" s="335"/>
      <c r="AGO5" s="335"/>
      <c r="AGP5" s="335"/>
      <c r="AGQ5" s="335"/>
      <c r="AGR5" s="335"/>
      <c r="AGS5" s="335"/>
      <c r="AGT5" s="335"/>
      <c r="AGU5" s="335"/>
      <c r="AGV5" s="335"/>
      <c r="AGW5" s="335"/>
      <c r="AGX5" s="335"/>
      <c r="AGY5" s="335"/>
      <c r="AGZ5" s="335"/>
      <c r="AHA5" s="335"/>
      <c r="AHB5" s="335"/>
      <c r="AHC5" s="335"/>
      <c r="AHD5" s="335"/>
      <c r="AHE5" s="335"/>
      <c r="AHF5" s="335"/>
      <c r="AHG5" s="335"/>
      <c r="AHH5" s="335"/>
      <c r="AHI5" s="335"/>
      <c r="AHJ5" s="335"/>
      <c r="AHK5" s="335"/>
      <c r="AHL5" s="335"/>
      <c r="AHM5" s="335"/>
      <c r="AHN5" s="335"/>
      <c r="AHO5" s="335"/>
      <c r="AHP5" s="335"/>
      <c r="AHQ5" s="335"/>
      <c r="AHR5" s="335"/>
      <c r="AHS5" s="335"/>
      <c r="AHT5" s="335"/>
      <c r="AHU5" s="335"/>
      <c r="AHV5" s="335"/>
      <c r="AHW5" s="335"/>
      <c r="AHX5" s="335"/>
      <c r="AHY5" s="335"/>
      <c r="AHZ5" s="335"/>
      <c r="AIA5" s="335"/>
      <c r="AIB5" s="335"/>
      <c r="AIC5" s="339"/>
    </row>
    <row r="6" spans="1:913" s="161" customFormat="1">
      <c r="A6" s="172"/>
      <c r="B6" s="177">
        <v>0.45833333333333298</v>
      </c>
      <c r="C6" s="493">
        <f t="shared" si="246"/>
        <v>0</v>
      </c>
      <c r="D6" s="494"/>
      <c r="E6" s="493">
        <f t="shared" si="0"/>
        <v>0</v>
      </c>
      <c r="F6" s="494"/>
      <c r="G6" s="493">
        <f t="shared" si="1"/>
        <v>0</v>
      </c>
      <c r="H6" s="494"/>
      <c r="I6" s="493">
        <f t="shared" si="247"/>
        <v>0</v>
      </c>
      <c r="J6" s="494"/>
      <c r="K6" s="493">
        <f t="shared" si="2"/>
        <v>0</v>
      </c>
      <c r="L6" s="494"/>
      <c r="M6" s="493">
        <f t="shared" si="3"/>
        <v>0</v>
      </c>
      <c r="N6" s="494"/>
      <c r="O6" s="493">
        <f t="shared" ref="O6:O21" si="517">((O29+P29)-(O28+P28))/2</f>
        <v>0</v>
      </c>
      <c r="P6" s="494"/>
      <c r="Q6" s="493">
        <f t="shared" si="248"/>
        <v>0</v>
      </c>
      <c r="R6" s="494"/>
      <c r="S6" s="493">
        <f t="shared" si="249"/>
        <v>0</v>
      </c>
      <c r="T6" s="494"/>
      <c r="U6" s="493">
        <f t="shared" si="250"/>
        <v>0</v>
      </c>
      <c r="V6" s="494"/>
      <c r="W6" s="493">
        <f t="shared" si="251"/>
        <v>0</v>
      </c>
      <c r="X6" s="494"/>
      <c r="Y6" s="493">
        <f t="shared" si="252"/>
        <v>0</v>
      </c>
      <c r="Z6" s="494"/>
      <c r="AA6" s="493">
        <f t="shared" si="253"/>
        <v>0</v>
      </c>
      <c r="AB6" s="494"/>
      <c r="AC6" s="493">
        <f t="shared" si="254"/>
        <v>0</v>
      </c>
      <c r="AD6" s="494"/>
      <c r="AE6" s="493">
        <f t="shared" si="255"/>
        <v>0</v>
      </c>
      <c r="AF6" s="494"/>
      <c r="AG6" s="493">
        <f t="shared" si="256"/>
        <v>0</v>
      </c>
      <c r="AH6" s="494"/>
      <c r="AI6" s="493">
        <f t="shared" si="257"/>
        <v>0</v>
      </c>
      <c r="AJ6" s="494"/>
      <c r="AK6" s="493">
        <f t="shared" si="258"/>
        <v>0</v>
      </c>
      <c r="AL6" s="494"/>
      <c r="AM6" s="493">
        <f t="shared" si="259"/>
        <v>0</v>
      </c>
      <c r="AN6" s="494"/>
      <c r="AO6" s="493">
        <f t="shared" si="260"/>
        <v>0</v>
      </c>
      <c r="AP6" s="494"/>
      <c r="AQ6" s="493">
        <f t="shared" si="261"/>
        <v>0</v>
      </c>
      <c r="AR6" s="494"/>
      <c r="AS6" s="493">
        <f t="shared" si="262"/>
        <v>0</v>
      </c>
      <c r="AT6" s="494"/>
      <c r="AU6" s="493">
        <f t="shared" si="263"/>
        <v>0</v>
      </c>
      <c r="AV6" s="494"/>
      <c r="AW6" s="493">
        <f t="shared" si="264"/>
        <v>0</v>
      </c>
      <c r="AX6" s="494"/>
      <c r="AY6" s="493">
        <f t="shared" si="265"/>
        <v>0</v>
      </c>
      <c r="AZ6" s="494"/>
      <c r="BA6" s="493">
        <f t="shared" si="266"/>
        <v>0</v>
      </c>
      <c r="BB6" s="494"/>
      <c r="BC6" s="493">
        <f t="shared" si="267"/>
        <v>0</v>
      </c>
      <c r="BD6" s="494"/>
      <c r="BE6" s="493">
        <f t="shared" si="268"/>
        <v>0</v>
      </c>
      <c r="BF6" s="494"/>
      <c r="BG6" s="493">
        <f t="shared" si="269"/>
        <v>0</v>
      </c>
      <c r="BH6" s="494"/>
      <c r="BI6" s="493">
        <f t="shared" si="270"/>
        <v>0</v>
      </c>
      <c r="BJ6" s="494"/>
      <c r="BK6" s="493">
        <f t="shared" si="271"/>
        <v>0</v>
      </c>
      <c r="BL6" s="494"/>
      <c r="BM6" s="493">
        <f t="shared" si="272"/>
        <v>0</v>
      </c>
      <c r="BN6" s="494"/>
      <c r="BO6" s="493">
        <f t="shared" si="273"/>
        <v>0</v>
      </c>
      <c r="BP6" s="494"/>
      <c r="BQ6" s="493">
        <f t="shared" si="274"/>
        <v>0</v>
      </c>
      <c r="BR6" s="494"/>
      <c r="BS6" s="493">
        <f t="shared" si="275"/>
        <v>0</v>
      </c>
      <c r="BT6" s="494"/>
      <c r="BU6" s="493">
        <f t="shared" si="276"/>
        <v>0</v>
      </c>
      <c r="BV6" s="494"/>
      <c r="BW6" s="493">
        <f t="shared" si="4"/>
        <v>0</v>
      </c>
      <c r="BX6" s="494"/>
      <c r="BY6" s="493">
        <f t="shared" si="277"/>
        <v>0</v>
      </c>
      <c r="BZ6" s="494"/>
      <c r="CA6" s="493">
        <f t="shared" si="278"/>
        <v>0</v>
      </c>
      <c r="CB6" s="494"/>
      <c r="CC6" s="493">
        <f>((CC29+CD31)-(CC28+CD28))/2</f>
        <v>0</v>
      </c>
      <c r="CD6" s="494"/>
      <c r="CE6" s="493">
        <f t="shared" si="280"/>
        <v>0</v>
      </c>
      <c r="CF6" s="494"/>
      <c r="CG6" s="493">
        <f t="shared" si="281"/>
        <v>0</v>
      </c>
      <c r="CH6" s="494"/>
      <c r="CI6" s="493">
        <f t="shared" si="282"/>
        <v>0</v>
      </c>
      <c r="CJ6" s="494"/>
      <c r="CK6" s="493">
        <f t="shared" si="283"/>
        <v>0</v>
      </c>
      <c r="CL6" s="494"/>
      <c r="CM6" s="493">
        <f t="shared" si="284"/>
        <v>0</v>
      </c>
      <c r="CN6" s="494"/>
      <c r="CO6" s="493">
        <f t="shared" si="285"/>
        <v>0</v>
      </c>
      <c r="CP6" s="494"/>
      <c r="CQ6" s="493">
        <f t="shared" si="286"/>
        <v>0</v>
      </c>
      <c r="CR6" s="494"/>
      <c r="CS6" s="493">
        <f t="shared" si="287"/>
        <v>0</v>
      </c>
      <c r="CT6" s="494"/>
      <c r="CU6" s="493">
        <f t="shared" si="288"/>
        <v>0</v>
      </c>
      <c r="CV6" s="494"/>
      <c r="CW6" s="493">
        <f t="shared" si="289"/>
        <v>0</v>
      </c>
      <c r="CX6" s="494"/>
      <c r="CY6" s="493">
        <f t="shared" si="290"/>
        <v>0</v>
      </c>
      <c r="CZ6" s="494"/>
      <c r="DA6" s="493">
        <f t="shared" si="291"/>
        <v>0</v>
      </c>
      <c r="DB6" s="494"/>
      <c r="DC6" s="493">
        <f t="shared" si="292"/>
        <v>0</v>
      </c>
      <c r="DD6" s="494"/>
      <c r="DE6" s="493">
        <f t="shared" si="293"/>
        <v>0</v>
      </c>
      <c r="DF6" s="494"/>
      <c r="DG6" s="493">
        <f t="shared" si="294"/>
        <v>0</v>
      </c>
      <c r="DH6" s="494"/>
      <c r="DI6" s="493">
        <f t="shared" si="295"/>
        <v>0</v>
      </c>
      <c r="DJ6" s="494"/>
      <c r="DK6" s="493">
        <f t="shared" si="296"/>
        <v>0</v>
      </c>
      <c r="DL6" s="494"/>
      <c r="DM6" s="493">
        <f t="shared" si="297"/>
        <v>0</v>
      </c>
      <c r="DN6" s="494"/>
      <c r="DO6" s="493">
        <f t="shared" si="298"/>
        <v>0</v>
      </c>
      <c r="DP6" s="494"/>
      <c r="DQ6" s="493">
        <f t="shared" ref="DQ6" si="518">((DQ29+DR29)-(DQ28+DR28))/2</f>
        <v>0</v>
      </c>
      <c r="DR6" s="494"/>
      <c r="DS6" s="493">
        <f t="shared" si="300"/>
        <v>0</v>
      </c>
      <c r="DT6" s="494"/>
      <c r="DU6" s="493">
        <f t="shared" si="301"/>
        <v>0</v>
      </c>
      <c r="DV6" s="494"/>
      <c r="DW6" s="493">
        <f t="shared" si="302"/>
        <v>0</v>
      </c>
      <c r="DX6" s="494"/>
      <c r="DY6" s="493">
        <f t="shared" si="303"/>
        <v>0</v>
      </c>
      <c r="DZ6" s="494"/>
      <c r="EA6" s="493">
        <f t="shared" si="304"/>
        <v>0</v>
      </c>
      <c r="EB6" s="494"/>
      <c r="EC6" s="493">
        <f t="shared" si="305"/>
        <v>0</v>
      </c>
      <c r="ED6" s="494"/>
      <c r="EE6" s="493">
        <f t="shared" si="6"/>
        <v>0</v>
      </c>
      <c r="EF6" s="494"/>
      <c r="EG6" s="493">
        <f t="shared" si="7"/>
        <v>0</v>
      </c>
      <c r="EH6" s="494"/>
      <c r="EI6" s="493">
        <f t="shared" si="306"/>
        <v>0</v>
      </c>
      <c r="EJ6" s="494"/>
      <c r="EK6" s="493">
        <f t="shared" si="8"/>
        <v>0</v>
      </c>
      <c r="EL6" s="494"/>
      <c r="EM6" s="493">
        <f t="shared" si="9"/>
        <v>0</v>
      </c>
      <c r="EN6" s="494"/>
      <c r="EO6" s="493">
        <f t="shared" si="10"/>
        <v>0</v>
      </c>
      <c r="EP6" s="494"/>
      <c r="EQ6" s="493">
        <f t="shared" si="307"/>
        <v>0</v>
      </c>
      <c r="ER6" s="494"/>
      <c r="ES6" s="493">
        <f t="shared" si="308"/>
        <v>0</v>
      </c>
      <c r="ET6" s="494"/>
      <c r="EU6" s="493">
        <f t="shared" si="309"/>
        <v>0</v>
      </c>
      <c r="EV6" s="494"/>
      <c r="EW6" s="493">
        <f t="shared" si="310"/>
        <v>0</v>
      </c>
      <c r="EX6" s="494"/>
      <c r="EY6" s="493">
        <f t="shared" si="311"/>
        <v>0</v>
      </c>
      <c r="EZ6" s="494"/>
      <c r="FA6" s="493">
        <f t="shared" si="312"/>
        <v>0</v>
      </c>
      <c r="FB6" s="494"/>
      <c r="FC6" s="493">
        <f t="shared" si="313"/>
        <v>0</v>
      </c>
      <c r="FD6" s="494"/>
      <c r="FE6" s="493">
        <f t="shared" si="314"/>
        <v>0</v>
      </c>
      <c r="FF6" s="494"/>
      <c r="FG6" s="493">
        <f t="shared" si="315"/>
        <v>0</v>
      </c>
      <c r="FH6" s="494"/>
      <c r="FI6" s="493">
        <f t="shared" si="316"/>
        <v>0</v>
      </c>
      <c r="FJ6" s="494"/>
      <c r="FK6" s="493">
        <f t="shared" si="317"/>
        <v>0</v>
      </c>
      <c r="FL6" s="494"/>
      <c r="FM6" s="493">
        <f t="shared" si="318"/>
        <v>0</v>
      </c>
      <c r="FN6" s="494"/>
      <c r="FO6" s="493">
        <f t="shared" si="319"/>
        <v>0</v>
      </c>
      <c r="FP6" s="494"/>
      <c r="FQ6" s="493">
        <f t="shared" si="320"/>
        <v>0</v>
      </c>
      <c r="FR6" s="494"/>
      <c r="FS6" s="493">
        <f t="shared" si="321"/>
        <v>0</v>
      </c>
      <c r="FT6" s="494"/>
      <c r="FU6" s="493">
        <f t="shared" si="322"/>
        <v>0</v>
      </c>
      <c r="FV6" s="494"/>
      <c r="FW6" s="493">
        <f t="shared" si="323"/>
        <v>0</v>
      </c>
      <c r="FX6" s="494"/>
      <c r="FY6" s="493">
        <f t="shared" si="324"/>
        <v>0</v>
      </c>
      <c r="FZ6" s="494"/>
      <c r="GA6" s="493">
        <f t="shared" si="325"/>
        <v>0</v>
      </c>
      <c r="GB6" s="494"/>
      <c r="GC6" s="493">
        <f t="shared" si="326"/>
        <v>0</v>
      </c>
      <c r="GD6" s="494"/>
      <c r="GE6" s="493">
        <f t="shared" si="327"/>
        <v>0</v>
      </c>
      <c r="GF6" s="494"/>
      <c r="GG6" s="493">
        <f t="shared" si="328"/>
        <v>0</v>
      </c>
      <c r="GH6" s="494"/>
      <c r="GI6" s="493">
        <f t="shared" si="329"/>
        <v>0</v>
      </c>
      <c r="GJ6" s="494"/>
      <c r="GK6" s="493">
        <f t="shared" si="330"/>
        <v>0</v>
      </c>
      <c r="GL6" s="494"/>
      <c r="GM6" s="493">
        <f t="shared" si="331"/>
        <v>0</v>
      </c>
      <c r="GN6" s="494"/>
      <c r="GO6" s="493">
        <f t="shared" si="332"/>
        <v>0</v>
      </c>
      <c r="GP6" s="494"/>
      <c r="GQ6" s="493">
        <f t="shared" si="333"/>
        <v>0</v>
      </c>
      <c r="GR6" s="494"/>
      <c r="GS6" s="493">
        <f t="shared" si="334"/>
        <v>0</v>
      </c>
      <c r="GT6" s="494"/>
      <c r="GU6" s="493">
        <f t="shared" si="11"/>
        <v>0</v>
      </c>
      <c r="GV6" s="494"/>
      <c r="GW6" s="493">
        <f t="shared" si="12"/>
        <v>0</v>
      </c>
      <c r="GX6" s="494"/>
      <c r="GY6" s="493">
        <f t="shared" si="13"/>
        <v>0</v>
      </c>
      <c r="GZ6" s="494"/>
      <c r="HA6" s="493">
        <f t="shared" si="335"/>
        <v>0</v>
      </c>
      <c r="HB6" s="494"/>
      <c r="HC6" s="493">
        <f t="shared" si="336"/>
        <v>0</v>
      </c>
      <c r="HD6" s="494"/>
      <c r="HE6" s="493">
        <f t="shared" si="337"/>
        <v>0</v>
      </c>
      <c r="HF6" s="494"/>
      <c r="HG6" s="493">
        <f t="shared" si="338"/>
        <v>0</v>
      </c>
      <c r="HH6" s="494"/>
      <c r="HI6" s="493">
        <f t="shared" si="339"/>
        <v>0</v>
      </c>
      <c r="HJ6" s="494"/>
      <c r="HK6" s="493">
        <f t="shared" si="340"/>
        <v>0</v>
      </c>
      <c r="HL6" s="494"/>
      <c r="HM6" s="493">
        <f t="shared" si="341"/>
        <v>0</v>
      </c>
      <c r="HN6" s="494"/>
      <c r="HO6" s="493">
        <f t="shared" si="342"/>
        <v>0</v>
      </c>
      <c r="HP6" s="494"/>
      <c r="HQ6" s="493">
        <f t="shared" si="343"/>
        <v>0</v>
      </c>
      <c r="HR6" s="494"/>
      <c r="HS6" s="493">
        <f t="shared" si="344"/>
        <v>0</v>
      </c>
      <c r="HT6" s="494"/>
      <c r="HU6" s="493">
        <f t="shared" si="345"/>
        <v>0</v>
      </c>
      <c r="HV6" s="494"/>
      <c r="HW6" s="493">
        <f t="shared" si="346"/>
        <v>0</v>
      </c>
      <c r="HX6" s="494"/>
      <c r="HY6" s="493">
        <f t="shared" si="347"/>
        <v>0</v>
      </c>
      <c r="HZ6" s="494"/>
      <c r="IA6" s="493">
        <f t="shared" si="348"/>
        <v>0</v>
      </c>
      <c r="IB6" s="494"/>
      <c r="IC6" s="493">
        <f t="shared" si="349"/>
        <v>0</v>
      </c>
      <c r="ID6" s="494"/>
      <c r="IE6" s="493">
        <f t="shared" si="350"/>
        <v>0</v>
      </c>
      <c r="IF6" s="494"/>
      <c r="IG6" s="493">
        <f t="shared" si="351"/>
        <v>0</v>
      </c>
      <c r="IH6" s="494"/>
      <c r="II6" s="493">
        <f t="shared" si="352"/>
        <v>0</v>
      </c>
      <c r="IJ6" s="494"/>
      <c r="IK6" s="493">
        <f t="shared" si="353"/>
        <v>0</v>
      </c>
      <c r="IL6" s="494"/>
      <c r="IM6" s="493">
        <f t="shared" si="354"/>
        <v>0</v>
      </c>
      <c r="IN6" s="494"/>
      <c r="IO6" s="493">
        <f t="shared" si="355"/>
        <v>0</v>
      </c>
      <c r="IP6" s="494"/>
      <c r="IQ6" s="493">
        <f t="shared" si="356"/>
        <v>0</v>
      </c>
      <c r="IR6" s="494"/>
      <c r="IS6" s="493">
        <f t="shared" si="357"/>
        <v>0</v>
      </c>
      <c r="IT6" s="494"/>
      <c r="IU6" s="493">
        <f t="shared" si="14"/>
        <v>0</v>
      </c>
      <c r="IV6" s="494"/>
      <c r="IW6" s="493">
        <f t="shared" si="15"/>
        <v>0</v>
      </c>
      <c r="IX6" s="494"/>
      <c r="IY6" s="493">
        <f t="shared" si="16"/>
        <v>0</v>
      </c>
      <c r="IZ6" s="494"/>
      <c r="JA6" s="493">
        <f t="shared" ref="JA6" si="519">((JA29+JB29)-(JA28+JB28))/2</f>
        <v>0</v>
      </c>
      <c r="JB6" s="494"/>
      <c r="JC6" s="493">
        <f t="shared" ref="JC6" si="520">((JC29+JD29)-(JC28+JD28))/2</f>
        <v>0</v>
      </c>
      <c r="JD6" s="494"/>
      <c r="JE6" s="493">
        <f t="shared" si="19"/>
        <v>0</v>
      </c>
      <c r="JF6" s="494"/>
      <c r="JG6" s="493">
        <f t="shared" ref="JG6" si="521">((JG29+JH29)-(JG28+JH28))/2</f>
        <v>0</v>
      </c>
      <c r="JH6" s="494"/>
      <c r="JI6" s="493">
        <f t="shared" ref="JI6" si="522">((JI29+JJ29)-(JI28+JJ28))/2</f>
        <v>0</v>
      </c>
      <c r="JJ6" s="494"/>
      <c r="JK6" s="493">
        <f t="shared" si="22"/>
        <v>0</v>
      </c>
      <c r="JL6" s="494"/>
      <c r="JM6" s="493">
        <f t="shared" ref="JM6" si="523">((JM29+JN29)-(JM28+JN28))/2</f>
        <v>0</v>
      </c>
      <c r="JN6" s="494"/>
      <c r="JO6" s="493">
        <f t="shared" ref="JO6" si="524">((JO29+JP29)-(JO28+JP28))/2</f>
        <v>0</v>
      </c>
      <c r="JP6" s="494"/>
      <c r="JQ6" s="493">
        <f t="shared" si="25"/>
        <v>0</v>
      </c>
      <c r="JR6" s="494"/>
      <c r="JS6" s="493">
        <f t="shared" ref="JS6" si="525">((JS29+JT29)-(JS28+JT28))/2</f>
        <v>0</v>
      </c>
      <c r="JT6" s="494"/>
      <c r="JU6" s="493">
        <f t="shared" ref="JU6" si="526">((JU29+JV29)-(JU28+JV28))/2</f>
        <v>0</v>
      </c>
      <c r="JV6" s="494"/>
      <c r="JW6" s="493">
        <f t="shared" si="28"/>
        <v>0</v>
      </c>
      <c r="JX6" s="494"/>
      <c r="JY6" s="493">
        <f t="shared" ref="JY6" si="527">((JY29+JZ29)-(JY28+JZ28))/2</f>
        <v>0</v>
      </c>
      <c r="JZ6" s="494"/>
      <c r="KA6" s="493">
        <f t="shared" ref="KA6" si="528">((KA29+KB29)-(KA28+KB28))/2</f>
        <v>0</v>
      </c>
      <c r="KB6" s="494"/>
      <c r="KC6" s="493">
        <f t="shared" si="31"/>
        <v>0</v>
      </c>
      <c r="KD6" s="494"/>
      <c r="KE6" s="493">
        <f t="shared" si="368"/>
        <v>0</v>
      </c>
      <c r="KF6" s="494"/>
      <c r="KG6" s="493">
        <f t="shared" ref="KG6" si="529">((KG29+KH29)-(KG28+KH28))/2</f>
        <v>0</v>
      </c>
      <c r="KH6" s="494"/>
      <c r="KI6" s="493">
        <f t="shared" si="34"/>
        <v>0</v>
      </c>
      <c r="KJ6" s="494"/>
      <c r="KK6" s="493">
        <f t="shared" ref="KK6" si="530">((KK29+KL29)-(KK28+KL28))/2</f>
        <v>0</v>
      </c>
      <c r="KL6" s="494"/>
      <c r="KM6" s="493">
        <f t="shared" ref="KM6" si="531">((KM29+KN29)-(KM28+KN28))/2</f>
        <v>0</v>
      </c>
      <c r="KN6" s="494"/>
      <c r="KO6" s="493">
        <f t="shared" si="37"/>
        <v>0</v>
      </c>
      <c r="KP6" s="494"/>
      <c r="KQ6" s="493">
        <f t="shared" ref="KQ6" si="532">((KQ29+KR29)-(KQ28+KR28))/2</f>
        <v>0</v>
      </c>
      <c r="KR6" s="494"/>
      <c r="KS6" s="493">
        <f t="shared" ref="KS6" si="533">((KS29+KT29)-(KS28+KT28))/2</f>
        <v>0</v>
      </c>
      <c r="KT6" s="494"/>
      <c r="KU6" s="493">
        <f t="shared" si="40"/>
        <v>0</v>
      </c>
      <c r="KV6" s="494"/>
      <c r="KW6" s="493">
        <f t="shared" ref="KW6" si="534">((KW29+KX29)-(KW28+KX28))/2</f>
        <v>0</v>
      </c>
      <c r="KX6" s="494"/>
      <c r="KY6" s="493">
        <f t="shared" ref="KY6" si="535">((KY29+KZ29)-(KY28+KZ28))/2</f>
        <v>0</v>
      </c>
      <c r="KZ6" s="494"/>
      <c r="LA6" s="493">
        <f t="shared" si="43"/>
        <v>0</v>
      </c>
      <c r="LB6" s="494"/>
      <c r="LC6" s="493">
        <f t="shared" si="376"/>
        <v>0</v>
      </c>
      <c r="LD6" s="494"/>
      <c r="LE6" s="493">
        <f t="shared" si="377"/>
        <v>0</v>
      </c>
      <c r="LF6" s="494"/>
      <c r="LG6" s="493">
        <f t="shared" si="378"/>
        <v>0</v>
      </c>
      <c r="LH6" s="494"/>
      <c r="LI6" s="493">
        <f t="shared" ref="LI6" si="536">((LI29+LJ29)-(LI28+LJ28))/2</f>
        <v>0</v>
      </c>
      <c r="LJ6" s="494"/>
      <c r="LK6" s="493">
        <f t="shared" ref="LK6" si="537">((LK29+LL29)-(LK28+LL28))/2</f>
        <v>0</v>
      </c>
      <c r="LL6" s="494"/>
      <c r="LM6" s="493">
        <f t="shared" si="49"/>
        <v>0</v>
      </c>
      <c r="LN6" s="494"/>
      <c r="LO6" s="493">
        <f t="shared" ref="LO6" si="538">((LO29+LP29)-(LO28+LP28))/2</f>
        <v>0</v>
      </c>
      <c r="LP6" s="494"/>
      <c r="LQ6" s="493">
        <f t="shared" ref="LQ6" si="539">((LQ29+LR29)-(LQ28+LR28))/2</f>
        <v>0</v>
      </c>
      <c r="LR6" s="494"/>
      <c r="LS6" s="493">
        <f t="shared" si="52"/>
        <v>0</v>
      </c>
      <c r="LT6" s="494"/>
      <c r="LU6" s="493">
        <f t="shared" ref="LU6" si="540">((LU29+LV29)-(LU28+LV28))/2</f>
        <v>0</v>
      </c>
      <c r="LV6" s="494"/>
      <c r="LW6" s="493">
        <f t="shared" ref="LW6" si="541">((LW29+LX29)-(LW28+LX28))/2</f>
        <v>0</v>
      </c>
      <c r="LX6" s="494"/>
      <c r="LY6" s="493">
        <f t="shared" si="55"/>
        <v>0</v>
      </c>
      <c r="LZ6" s="494"/>
      <c r="MA6" s="493">
        <f t="shared" ref="MA6" si="542">((MA29+MB29)-(MA28+MB28))/2</f>
        <v>0</v>
      </c>
      <c r="MB6" s="494"/>
      <c r="MC6" s="493">
        <f t="shared" ref="MC6" si="543">((MC29+MD29)-(MC28+MD28))/2</f>
        <v>0</v>
      </c>
      <c r="MD6" s="494"/>
      <c r="ME6" s="493">
        <f t="shared" si="58"/>
        <v>0</v>
      </c>
      <c r="MF6" s="494"/>
      <c r="MG6" s="493">
        <f t="shared" ref="MG6" si="544">((MG29+MH29)-(MG28+MH28))/2</f>
        <v>0</v>
      </c>
      <c r="MH6" s="494"/>
      <c r="MI6" s="493">
        <f t="shared" ref="MI6" si="545">((MI29+MJ29)-(MI28+MJ28))/2</f>
        <v>0</v>
      </c>
      <c r="MJ6" s="494"/>
      <c r="MK6" s="493">
        <f t="shared" si="61"/>
        <v>0</v>
      </c>
      <c r="ML6" s="494"/>
      <c r="MM6" s="493">
        <f t="shared" ref="MM6" si="546">((MM29+MN29)-(MM28+MN28))/2</f>
        <v>0</v>
      </c>
      <c r="MN6" s="494"/>
      <c r="MO6" s="493">
        <f t="shared" ref="MO6" si="547">((MO29+MP29)-(MO28+MP28))/2</f>
        <v>0</v>
      </c>
      <c r="MP6" s="494"/>
      <c r="MQ6" s="493">
        <f t="shared" si="64"/>
        <v>0</v>
      </c>
      <c r="MR6" s="494"/>
      <c r="MS6" s="493">
        <f t="shared" ref="MS6" si="548">((MS29+MT29)-(MS28+MT28))/2</f>
        <v>0</v>
      </c>
      <c r="MT6" s="494"/>
      <c r="MU6" s="493">
        <f t="shared" ref="MU6" si="549">((MU29+MV29)-(MU28+MV28))/2</f>
        <v>0</v>
      </c>
      <c r="MV6" s="494"/>
      <c r="MW6" s="493">
        <f t="shared" si="67"/>
        <v>0</v>
      </c>
      <c r="MX6" s="494"/>
      <c r="MY6" s="493">
        <f t="shared" ref="MY6" si="550">((MY29+MZ29)-(MY28+MZ28))/2</f>
        <v>0</v>
      </c>
      <c r="MZ6" s="494"/>
      <c r="NA6" s="493">
        <f t="shared" ref="NA6" si="551">((NA29+NB29)-(NA28+NB28))/2</f>
        <v>0</v>
      </c>
      <c r="NB6" s="494"/>
      <c r="NC6" s="493">
        <f t="shared" si="70"/>
        <v>0</v>
      </c>
      <c r="ND6" s="494"/>
      <c r="NE6" s="493">
        <f t="shared" ref="NE6" si="552">((NE29+NF29)-(NE28+NF28))/2</f>
        <v>0</v>
      </c>
      <c r="NF6" s="494"/>
      <c r="NG6" s="493">
        <f t="shared" ref="NG6" si="553">((NG29+NH29)-(NG28+NH28))/2</f>
        <v>0</v>
      </c>
      <c r="NH6" s="494"/>
      <c r="NI6" s="493">
        <f t="shared" si="73"/>
        <v>0</v>
      </c>
      <c r="NJ6" s="494"/>
      <c r="NK6" s="493">
        <v>61</v>
      </c>
      <c r="NL6" s="494"/>
      <c r="NM6" s="493">
        <f t="shared" ref="NM6" si="554">((NM29+NN29)-(NM28+NN28))/2</f>
        <v>0</v>
      </c>
      <c r="NN6" s="494"/>
      <c r="NO6" s="493">
        <f t="shared" si="76"/>
        <v>0</v>
      </c>
      <c r="NP6" s="494"/>
      <c r="NQ6" s="493">
        <f t="shared" ref="NQ6" si="555">((NQ29+NR29)-(NQ28+NR28))/2</f>
        <v>0</v>
      </c>
      <c r="NR6" s="494"/>
      <c r="NS6" s="493">
        <f t="shared" ref="NS6" si="556">((NS29+NT29)-(NS28+NT28))/2</f>
        <v>0</v>
      </c>
      <c r="NT6" s="494"/>
      <c r="NU6" s="493">
        <f t="shared" si="79"/>
        <v>0</v>
      </c>
      <c r="NV6" s="494"/>
      <c r="NW6" s="493">
        <f t="shared" ref="NW6" si="557">((NW29+NX29)-(NW28+NX28))/2</f>
        <v>0</v>
      </c>
      <c r="NX6" s="494"/>
      <c r="NY6" s="493">
        <f t="shared" ref="NY6" si="558">((NY29+NZ29)-(NY28+NZ28))/2</f>
        <v>0</v>
      </c>
      <c r="NZ6" s="494"/>
      <c r="OA6" s="493">
        <f t="shared" si="82"/>
        <v>0</v>
      </c>
      <c r="OB6" s="494"/>
      <c r="OC6" s="493">
        <f t="shared" ref="OC6" si="559">((OC29+OD29)-(OC28+OD28))/2</f>
        <v>0</v>
      </c>
      <c r="OD6" s="494"/>
      <c r="OE6" s="493">
        <f t="shared" ref="OE6" si="560">((OE29+OF29)-(OE28+OF28))/2</f>
        <v>0</v>
      </c>
      <c r="OF6" s="494"/>
      <c r="OG6" s="493">
        <f t="shared" si="85"/>
        <v>0</v>
      </c>
      <c r="OH6" s="494"/>
      <c r="OI6" s="493">
        <f t="shared" ref="OI6" si="561">((OI29+OJ29)-(OI28+OJ28))/2</f>
        <v>0</v>
      </c>
      <c r="OJ6" s="494"/>
      <c r="OK6" s="493">
        <f t="shared" ref="OK6" si="562">((OK29+OL29)-(OK28+OL28))/2</f>
        <v>0</v>
      </c>
      <c r="OL6" s="494"/>
      <c r="OM6" s="493">
        <f t="shared" si="88"/>
        <v>0</v>
      </c>
      <c r="ON6" s="494"/>
      <c r="OO6" s="493">
        <f t="shared" ref="OO6" si="563">((OO29+OP29)-(OO28+OP28))/2</f>
        <v>0</v>
      </c>
      <c r="OP6" s="494"/>
      <c r="OQ6" s="493">
        <f t="shared" ref="OQ6" si="564">((OQ29+OR29)-(OQ28+OR28))/2</f>
        <v>0</v>
      </c>
      <c r="OR6" s="494"/>
      <c r="OS6" s="493">
        <f t="shared" si="91"/>
        <v>0</v>
      </c>
      <c r="OT6" s="494"/>
      <c r="OU6" s="493">
        <f t="shared" ref="OU6" si="565">((OU29+OV29)-(OU28+OV28))/2</f>
        <v>0</v>
      </c>
      <c r="OV6" s="494"/>
      <c r="OW6" s="493">
        <f t="shared" ref="OW6" si="566">((OW29+OX29)-(OW28+OX28))/2</f>
        <v>0</v>
      </c>
      <c r="OX6" s="494"/>
      <c r="OY6" s="493">
        <f t="shared" si="94"/>
        <v>0</v>
      </c>
      <c r="OZ6" s="494"/>
      <c r="PA6" s="493">
        <f t="shared" ref="PA6" si="567">((PA29+PB29)-(PA28+PB28))/2</f>
        <v>0</v>
      </c>
      <c r="PB6" s="494"/>
      <c r="PC6" s="493">
        <f t="shared" ref="PC6" si="568">((PC29+PD29)-(PC28+PD28))/2</f>
        <v>0</v>
      </c>
      <c r="PD6" s="494"/>
      <c r="PE6" s="493">
        <f t="shared" si="97"/>
        <v>0</v>
      </c>
      <c r="PF6" s="494"/>
      <c r="PG6" s="493">
        <f t="shared" ref="PG6" si="569">((PG29+PH29)-(PG28+PH28))/2</f>
        <v>0</v>
      </c>
      <c r="PH6" s="494"/>
      <c r="PI6" s="493">
        <f t="shared" ref="PI6" si="570">((PI29+PJ29)-(PI28+PJ28))/2</f>
        <v>0</v>
      </c>
      <c r="PJ6" s="494"/>
      <c r="PK6" s="493">
        <f t="shared" si="100"/>
        <v>0</v>
      </c>
      <c r="PL6" s="494"/>
      <c r="PM6" s="493">
        <f t="shared" ref="PM6" si="571">((PM29+PN29)-(PM28+PN28))/2</f>
        <v>0</v>
      </c>
      <c r="PN6" s="494"/>
      <c r="PO6" s="493">
        <f t="shared" ref="PO6" si="572">((PO29+PP29)-(PO28+PP28))/2</f>
        <v>0</v>
      </c>
      <c r="PP6" s="494"/>
      <c r="PQ6" s="493">
        <f t="shared" si="103"/>
        <v>0</v>
      </c>
      <c r="PR6" s="494"/>
      <c r="PS6" s="493">
        <f t="shared" ref="PS6" si="573">((PS29+PT29)-(PS28+PT28))/2</f>
        <v>0</v>
      </c>
      <c r="PT6" s="494"/>
      <c r="PU6" s="493">
        <f t="shared" ref="PU6" si="574">((PU29+PV29)-(PU28+PV28))/2</f>
        <v>0</v>
      </c>
      <c r="PV6" s="494"/>
      <c r="PW6" s="493">
        <f t="shared" si="106"/>
        <v>0</v>
      </c>
      <c r="PX6" s="494"/>
      <c r="PY6" s="493">
        <f t="shared" ref="PY6" si="575">((PY29+PZ29)-(PY28+PZ28))/2</f>
        <v>0</v>
      </c>
      <c r="PZ6" s="494"/>
      <c r="QA6" s="493">
        <f t="shared" ref="QA6" si="576">((QA29+QB29)-(QA28+QB28))/2</f>
        <v>0</v>
      </c>
      <c r="QB6" s="494"/>
      <c r="QC6" s="493">
        <f t="shared" si="109"/>
        <v>0</v>
      </c>
      <c r="QD6" s="494"/>
      <c r="QE6" s="493">
        <f t="shared" ref="QE6" si="577">((QE29+QF29)-(QE28+QF28))/2</f>
        <v>0</v>
      </c>
      <c r="QF6" s="494"/>
      <c r="QG6" s="493">
        <f t="shared" ref="QG6" si="578">((QG29+QH29)-(QG28+QH28))/2</f>
        <v>0</v>
      </c>
      <c r="QH6" s="494"/>
      <c r="QI6" s="493">
        <f t="shared" si="112"/>
        <v>0</v>
      </c>
      <c r="QJ6" s="494"/>
      <c r="QK6" s="493">
        <f t="shared" ref="QK6" si="579">((QK29+QL29)-(QK28+QL28))/2</f>
        <v>0</v>
      </c>
      <c r="QL6" s="494"/>
      <c r="QM6" s="493">
        <f t="shared" ref="QM6" si="580">((QM29+QN29)-(QM28+QN28))/2</f>
        <v>0</v>
      </c>
      <c r="QN6" s="494"/>
      <c r="QO6" s="493">
        <f t="shared" si="115"/>
        <v>0</v>
      </c>
      <c r="QP6" s="494"/>
      <c r="QQ6" s="493">
        <f t="shared" ref="QQ6" si="581">((QQ29+QR29)-(QQ28+QR28))/2</f>
        <v>0</v>
      </c>
      <c r="QR6" s="494"/>
      <c r="QS6" s="493">
        <f t="shared" ref="QS6" si="582">((QS29+QT29)-(QS28+QT28))/2</f>
        <v>0</v>
      </c>
      <c r="QT6" s="494"/>
      <c r="QU6" s="493">
        <f t="shared" si="118"/>
        <v>0</v>
      </c>
      <c r="QV6" s="494"/>
      <c r="QW6" s="493">
        <f t="shared" ref="QW6" si="583">((QW29+QX29)-(QW28+QX28))/2</f>
        <v>0</v>
      </c>
      <c r="QX6" s="494"/>
      <c r="QY6" s="493">
        <f t="shared" ref="QY6" si="584">((QY29+QZ29)-(QY28+QZ28))/2</f>
        <v>0</v>
      </c>
      <c r="QZ6" s="494"/>
      <c r="RA6" s="493">
        <f t="shared" si="121"/>
        <v>0</v>
      </c>
      <c r="RB6" s="494"/>
      <c r="RC6" s="493">
        <f t="shared" ref="RC6" si="585">((RC29+RD29)-(RC28+RD28))/2</f>
        <v>0</v>
      </c>
      <c r="RD6" s="494"/>
      <c r="RE6" s="493">
        <f t="shared" ref="RE6" si="586">((RE29+RF29)-(RE28+RF28))/2</f>
        <v>0</v>
      </c>
      <c r="RF6" s="494"/>
      <c r="RG6" s="493">
        <f t="shared" si="124"/>
        <v>0</v>
      </c>
      <c r="RH6" s="494"/>
      <c r="RI6" s="493">
        <f>((RI29+RJ30)-(RI28+RJ29))/2</f>
        <v>0</v>
      </c>
      <c r="RJ6" s="494"/>
      <c r="RK6" s="493">
        <f t="shared" ref="RK6" si="587">((RK29+RL29)-(RK28+RL28))/2</f>
        <v>0</v>
      </c>
      <c r="RL6" s="494"/>
      <c r="RM6" s="493">
        <f t="shared" si="126"/>
        <v>0</v>
      </c>
      <c r="RN6" s="494"/>
      <c r="RO6" s="493">
        <f t="shared" ref="RO6" si="588">((RO29+RP29)-(RO28+RP28))/2</f>
        <v>0</v>
      </c>
      <c r="RP6" s="494"/>
      <c r="RQ6" s="493">
        <f t="shared" ref="RQ6" si="589">((RQ29+RR29)-(RQ28+RR28))/2</f>
        <v>0</v>
      </c>
      <c r="RR6" s="494"/>
      <c r="RS6" s="493">
        <f t="shared" si="129"/>
        <v>0</v>
      </c>
      <c r="RT6" s="494"/>
      <c r="RU6" s="493">
        <f t="shared" ref="RU6" si="590">((RU29+RV29)-(RU28+RV28))/2</f>
        <v>0</v>
      </c>
      <c r="RV6" s="494"/>
      <c r="RW6" s="493">
        <f t="shared" ref="RW6" si="591">((RW29+RX29)-(RW28+RX28))/2</f>
        <v>0</v>
      </c>
      <c r="RX6" s="494"/>
      <c r="RY6" s="493">
        <f t="shared" si="132"/>
        <v>0</v>
      </c>
      <c r="RZ6" s="494"/>
      <c r="SA6" s="493">
        <f t="shared" ref="SA6" si="592">((SA29+SB29)-(SA28+SB28))/2</f>
        <v>0</v>
      </c>
      <c r="SB6" s="494"/>
      <c r="SC6" s="493">
        <f t="shared" ref="SC6" si="593">((SC29+SD29)-(SC28+SD28))/2</f>
        <v>0</v>
      </c>
      <c r="SD6" s="494"/>
      <c r="SE6" s="493">
        <f t="shared" si="135"/>
        <v>0</v>
      </c>
      <c r="SF6" s="494"/>
      <c r="SG6" s="493">
        <f t="shared" ref="SG6" si="594">((SG29+SH29)-(SG28+SH28))/2</f>
        <v>0</v>
      </c>
      <c r="SH6" s="494"/>
      <c r="SI6" s="493">
        <f t="shared" ref="SI6" si="595">((SI29+SJ29)-(SI28+SJ28))/2</f>
        <v>0</v>
      </c>
      <c r="SJ6" s="494"/>
      <c r="SK6" s="493">
        <f t="shared" si="138"/>
        <v>0</v>
      </c>
      <c r="SL6" s="494"/>
      <c r="SM6" s="493">
        <f t="shared" ref="SM6" si="596">((SM29+SN29)-(SM28+SN28))/2</f>
        <v>0</v>
      </c>
      <c r="SN6" s="494"/>
      <c r="SO6" s="493">
        <f t="shared" ref="SO6" si="597">((SO29+SP29)-(SO28+SP28))/2</f>
        <v>0</v>
      </c>
      <c r="SP6" s="494"/>
      <c r="SQ6" s="493">
        <f t="shared" si="141"/>
        <v>0</v>
      </c>
      <c r="SR6" s="494"/>
      <c r="SS6" s="493">
        <f t="shared" ref="SS6" si="598">((SS29+ST29)-(SS28+ST28))/2</f>
        <v>0</v>
      </c>
      <c r="ST6" s="494"/>
      <c r="SU6" s="493">
        <f t="shared" ref="SU6" si="599">((SU29+SV29)-(SU28+SV28))/2</f>
        <v>0</v>
      </c>
      <c r="SV6" s="494"/>
      <c r="SW6" s="493">
        <f t="shared" si="144"/>
        <v>0</v>
      </c>
      <c r="SX6" s="494"/>
      <c r="SY6" s="493">
        <f t="shared" ref="SY6" si="600">((SY29+SZ29)-(SY28+SZ28))/2</f>
        <v>0</v>
      </c>
      <c r="SZ6" s="494"/>
      <c r="TA6" s="493">
        <f t="shared" ref="TA6" si="601">((TA29+TB29)-(TA28+TB28))/2</f>
        <v>0</v>
      </c>
      <c r="TB6" s="494"/>
      <c r="TC6" s="493">
        <f t="shared" si="147"/>
        <v>0</v>
      </c>
      <c r="TD6" s="494"/>
      <c r="TE6" s="493">
        <f t="shared" ref="TE6" si="602">((TE29+TF29)-(TE28+TF28))/2</f>
        <v>0</v>
      </c>
      <c r="TF6" s="494"/>
      <c r="TG6" s="493">
        <f t="shared" ref="TG6" si="603">((TG29+TH29)-(TG28+TH28))/2</f>
        <v>0</v>
      </c>
      <c r="TH6" s="494"/>
      <c r="TI6" s="493">
        <f t="shared" si="150"/>
        <v>0</v>
      </c>
      <c r="TJ6" s="494"/>
      <c r="TK6" s="493">
        <f t="shared" ref="TK6" si="604">((TK29+TL29)-(TK28+TL28))/2</f>
        <v>0</v>
      </c>
      <c r="TL6" s="494"/>
      <c r="TM6" s="493">
        <f t="shared" ref="TM6" si="605">((TM29+TN29)-(TM28+TN28))/2</f>
        <v>0</v>
      </c>
      <c r="TN6" s="494"/>
      <c r="TO6" s="493">
        <f t="shared" si="153"/>
        <v>0</v>
      </c>
      <c r="TP6" s="494"/>
      <c r="TQ6" s="493">
        <f t="shared" ref="TQ6" si="606">((TQ29+TR29)-(TQ28+TR28))/2</f>
        <v>0</v>
      </c>
      <c r="TR6" s="494"/>
      <c r="TS6" s="493">
        <f t="shared" ref="TS6" si="607">((TS29+TT29)-(TS28+TT28))/2</f>
        <v>0</v>
      </c>
      <c r="TT6" s="494"/>
      <c r="TU6" s="493">
        <f t="shared" si="156"/>
        <v>0</v>
      </c>
      <c r="TV6" s="494"/>
      <c r="TW6" s="493">
        <f t="shared" ref="TW6" si="608">((TW29+TX29)-(TW28+TX28))/2</f>
        <v>0</v>
      </c>
      <c r="TX6" s="494"/>
      <c r="TY6" s="493">
        <f t="shared" ref="TY6" si="609">((TY29+TZ29)-(TY28+TZ28))/2</f>
        <v>0</v>
      </c>
      <c r="TZ6" s="494"/>
      <c r="UA6" s="493">
        <f t="shared" si="159"/>
        <v>0</v>
      </c>
      <c r="UB6" s="494"/>
      <c r="UC6" s="493">
        <f t="shared" ref="UC6" si="610">((UC29+UD29)-(UC28+UD28))/2</f>
        <v>0</v>
      </c>
      <c r="UD6" s="494"/>
      <c r="UE6" s="493">
        <f t="shared" ref="UE6" si="611">((UE29+UF29)-(UE28+UF28))/2</f>
        <v>0</v>
      </c>
      <c r="UF6" s="494"/>
      <c r="UG6" s="493">
        <f t="shared" si="162"/>
        <v>0</v>
      </c>
      <c r="UH6" s="494"/>
      <c r="UI6" s="493">
        <f t="shared" ref="UI6" si="612">((UI29+UJ29)-(UI28+UJ28))/2</f>
        <v>0</v>
      </c>
      <c r="UJ6" s="494"/>
      <c r="UK6" s="493">
        <f t="shared" ref="UK6" si="613">((UK29+UL29)-(UK28+UL28))/2</f>
        <v>0</v>
      </c>
      <c r="UL6" s="494"/>
      <c r="UM6" s="493">
        <f t="shared" si="165"/>
        <v>0</v>
      </c>
      <c r="UN6" s="494"/>
      <c r="UO6" s="493">
        <f t="shared" ref="UO6" si="614">((UO29+UP29)-(UO28+UP28))/2</f>
        <v>0</v>
      </c>
      <c r="UP6" s="494"/>
      <c r="UQ6" s="493">
        <f t="shared" ref="UQ6" si="615">((UQ29+UR29)-(UQ28+UR28))/2</f>
        <v>0</v>
      </c>
      <c r="UR6" s="494"/>
      <c r="US6" s="493">
        <f t="shared" si="168"/>
        <v>0</v>
      </c>
      <c r="UT6" s="494"/>
      <c r="UU6" s="493">
        <f t="shared" ref="UU6" si="616">((UU29+UV29)-(UU28+UV28))/2</f>
        <v>0</v>
      </c>
      <c r="UV6" s="494"/>
      <c r="UW6" s="493">
        <f t="shared" ref="UW6" si="617">((UW29+UX29)-(UW28+UX28))/2</f>
        <v>0</v>
      </c>
      <c r="UX6" s="494"/>
      <c r="UY6" s="493">
        <f t="shared" si="171"/>
        <v>0</v>
      </c>
      <c r="UZ6" s="494"/>
      <c r="VA6" s="493">
        <f t="shared" ref="VA6" si="618">((VA29+VB29)-(VA28+VB28))/2</f>
        <v>0</v>
      </c>
      <c r="VB6" s="494"/>
      <c r="VC6" s="493">
        <f t="shared" ref="VC6" si="619">((VC29+VD29)-(VC28+VD28))/2</f>
        <v>0</v>
      </c>
      <c r="VD6" s="494"/>
      <c r="VE6" s="493">
        <f t="shared" si="464"/>
        <v>0</v>
      </c>
      <c r="VF6" s="494"/>
      <c r="VG6" s="493">
        <f t="shared" ref="VG6" si="620">((VG29+VH29)-(VG28+VH28))/2</f>
        <v>0</v>
      </c>
      <c r="VH6" s="494"/>
      <c r="VI6" s="493">
        <f t="shared" ref="VI6" si="621">((VI29+VJ29)-(VI28+VJ28))/2</f>
        <v>0</v>
      </c>
      <c r="VJ6" s="494"/>
      <c r="VK6" s="493">
        <f t="shared" si="467"/>
        <v>0</v>
      </c>
      <c r="VL6" s="494"/>
      <c r="VM6" s="493">
        <f t="shared" ref="VM6" si="622">((VM29+VN29)-(VM28+VN28))/2</f>
        <v>0</v>
      </c>
      <c r="VN6" s="494"/>
      <c r="VO6" s="493">
        <f t="shared" ref="VO6" si="623">((VO29+VP29)-(VO28+VP28))/2</f>
        <v>0</v>
      </c>
      <c r="VP6" s="494"/>
      <c r="VQ6" s="493">
        <f t="shared" si="178"/>
        <v>0</v>
      </c>
      <c r="VR6" s="494"/>
      <c r="VS6" s="493">
        <f t="shared" ref="VS6" si="624">((VS29+VT29)-(VS28+VT28))/2</f>
        <v>0</v>
      </c>
      <c r="VT6" s="494"/>
      <c r="VU6" s="493">
        <f t="shared" si="180"/>
        <v>0</v>
      </c>
      <c r="VV6" s="494"/>
      <c r="VW6" s="493">
        <f t="shared" si="181"/>
        <v>0</v>
      </c>
      <c r="VX6" s="494"/>
      <c r="VY6" s="493">
        <f t="shared" ref="VY6" si="625">((VY29+VZ29)-(VY28+VZ28))/2</f>
        <v>0</v>
      </c>
      <c r="VZ6" s="494"/>
      <c r="WA6" s="493">
        <f t="shared" ref="WA6" si="626">((WA29+WB29)-(WA28+WB28))/2</f>
        <v>0</v>
      </c>
      <c r="WB6" s="494"/>
      <c r="WC6" s="493">
        <f t="shared" si="184"/>
        <v>0</v>
      </c>
      <c r="WD6" s="494"/>
      <c r="WE6" s="493">
        <f t="shared" ref="WE6" si="627">((WE29+WF29)-(WE28+WF28))/2</f>
        <v>0</v>
      </c>
      <c r="WF6" s="494"/>
      <c r="WG6" s="493">
        <f t="shared" ref="WG6" si="628">((WG29+WH29)-(WG28+WH28))/2</f>
        <v>0</v>
      </c>
      <c r="WH6" s="494"/>
      <c r="WI6" s="493">
        <f t="shared" si="187"/>
        <v>0</v>
      </c>
      <c r="WJ6" s="494"/>
      <c r="WK6" s="493">
        <f t="shared" ref="WK6" si="629">((WK29+WL29)-(WK28+WL28))/2</f>
        <v>0</v>
      </c>
      <c r="WL6" s="494"/>
      <c r="WM6" s="493">
        <f t="shared" ref="WM6" si="630">((WM29+WN29)-(WM28+WN28))/2</f>
        <v>0</v>
      </c>
      <c r="WN6" s="494"/>
      <c r="WO6" s="493">
        <f t="shared" si="190"/>
        <v>0</v>
      </c>
      <c r="WP6" s="494"/>
      <c r="WQ6" s="493">
        <f t="shared" si="477"/>
        <v>0</v>
      </c>
      <c r="WR6" s="494"/>
      <c r="WS6" s="493">
        <f t="shared" ref="WS6" si="631">((WS29+WT29)-(WS28+WT28))/2</f>
        <v>0</v>
      </c>
      <c r="WT6" s="494"/>
      <c r="WU6" s="493">
        <f t="shared" si="193"/>
        <v>0</v>
      </c>
      <c r="WV6" s="494"/>
      <c r="WW6" s="493">
        <f t="shared" ref="WW6" si="632">((WW29+WX29)-(WW28+WX28))/2</f>
        <v>0</v>
      </c>
      <c r="WX6" s="494"/>
      <c r="WY6" s="493">
        <f t="shared" ref="WY6" si="633">((WY29+WZ29)-(WY28+WZ28))/2</f>
        <v>0</v>
      </c>
      <c r="WZ6" s="494"/>
      <c r="XA6" s="493">
        <f t="shared" si="196"/>
        <v>0</v>
      </c>
      <c r="XB6" s="494"/>
      <c r="XC6" s="493">
        <f t="shared" ref="XC6" si="634">((XC29+XD29)-(XC28+XD28))/2</f>
        <v>0</v>
      </c>
      <c r="XD6" s="494"/>
      <c r="XE6" s="493">
        <f t="shared" ref="XE6" si="635">((XE29+XF29)-(XE28+XF28))/2</f>
        <v>0</v>
      </c>
      <c r="XF6" s="494"/>
      <c r="XG6" s="493">
        <f t="shared" si="199"/>
        <v>0</v>
      </c>
      <c r="XH6" s="494"/>
      <c r="XI6" s="493">
        <f t="shared" ref="XI6" si="636">((XI29+XJ29)-(XI28+XJ28))/2</f>
        <v>0</v>
      </c>
      <c r="XJ6" s="494"/>
      <c r="XK6" s="493">
        <f t="shared" ref="XK6" si="637">((XK29+XL29)-(XK28+XL28))/2</f>
        <v>0</v>
      </c>
      <c r="XL6" s="494"/>
      <c r="XM6" s="493">
        <f t="shared" si="202"/>
        <v>0</v>
      </c>
      <c r="XN6" s="494"/>
      <c r="XO6" s="493">
        <f t="shared" ref="XO6" si="638">((XO29+XP29)-(XO28+XP28))/2</f>
        <v>0</v>
      </c>
      <c r="XP6" s="494"/>
      <c r="XQ6" s="493">
        <f t="shared" ref="XQ6" si="639">((XQ29+XR29)-(XQ28+XR28))/2</f>
        <v>0</v>
      </c>
      <c r="XR6" s="494"/>
      <c r="XS6" s="493">
        <f t="shared" si="205"/>
        <v>0</v>
      </c>
      <c r="XT6" s="494"/>
      <c r="XU6" s="493">
        <f t="shared" ref="XU6" si="640">((XU29+XV29)-(XU28+XV28))/2</f>
        <v>0</v>
      </c>
      <c r="XV6" s="494"/>
      <c r="XW6" s="493">
        <f t="shared" ref="XW6" si="641">((XW29+XX29)-(XW28+XX28))/2</f>
        <v>0</v>
      </c>
      <c r="XX6" s="494"/>
      <c r="XY6" s="493">
        <f t="shared" si="208"/>
        <v>0</v>
      </c>
      <c r="XZ6" s="494"/>
      <c r="YA6" s="493">
        <f t="shared" ref="YA6" si="642">((YA29+YB29)-(YA28+YB28))/2</f>
        <v>0</v>
      </c>
      <c r="YB6" s="494"/>
      <c r="YC6" s="493">
        <f t="shared" ref="YC6" si="643">((YC29+YD29)-(YC28+YD28))/2</f>
        <v>0</v>
      </c>
      <c r="YD6" s="494"/>
      <c r="YE6" s="493">
        <f t="shared" si="211"/>
        <v>0</v>
      </c>
      <c r="YF6" s="494"/>
      <c r="YG6" s="493">
        <f t="shared" ref="YG6" si="644">((YG29+YH29)-(YG28+YH28))/2</f>
        <v>0</v>
      </c>
      <c r="YH6" s="494"/>
      <c r="YI6" s="493">
        <f t="shared" ref="YI6" si="645">((YI29+YJ29)-(YI28+YJ28))/2</f>
        <v>0</v>
      </c>
      <c r="YJ6" s="494"/>
      <c r="YK6" s="493">
        <f t="shared" si="214"/>
        <v>0</v>
      </c>
      <c r="YL6" s="494"/>
      <c r="YM6" s="493">
        <f t="shared" ref="YM6" si="646">((YM29+YN29)-(YM28+YN28))/2</f>
        <v>0</v>
      </c>
      <c r="YN6" s="494"/>
      <c r="YO6" s="493">
        <f t="shared" si="216"/>
        <v>0</v>
      </c>
      <c r="YP6" s="494"/>
      <c r="YQ6" s="493">
        <f t="shared" si="217"/>
        <v>0</v>
      </c>
      <c r="YR6" s="494"/>
      <c r="YS6" s="493">
        <f t="shared" ref="YS6" si="647">((YS29+YT29)-(YS28+YT28))/2</f>
        <v>0</v>
      </c>
      <c r="YT6" s="494"/>
      <c r="YU6" s="493">
        <f t="shared" ref="YU6" si="648">((YU29+YV29)-(YU28+YV28))/2</f>
        <v>0</v>
      </c>
      <c r="YV6" s="494"/>
      <c r="YW6" s="493">
        <f t="shared" si="220"/>
        <v>0</v>
      </c>
      <c r="YX6" s="494"/>
      <c r="YY6" s="493">
        <f t="shared" si="496"/>
        <v>0</v>
      </c>
      <c r="YZ6" s="494"/>
      <c r="ZA6" s="493">
        <f t="shared" ref="ZA6" si="649">((ZA29+ZB29)-(ZA28+ZB28))/2</f>
        <v>0</v>
      </c>
      <c r="ZB6" s="494"/>
      <c r="ZC6" s="493">
        <f t="shared" si="223"/>
        <v>0</v>
      </c>
      <c r="ZD6" s="494"/>
      <c r="ZE6" s="493">
        <f t="shared" ref="ZE6" si="650">((ZE29+ZF29)-(ZE28+ZF28))/2</f>
        <v>0</v>
      </c>
      <c r="ZF6" s="494"/>
      <c r="ZG6" s="493">
        <f t="shared" ref="ZG6" si="651">((ZG29+ZH29)-(ZG28+ZH28))/2</f>
        <v>0</v>
      </c>
      <c r="ZH6" s="494"/>
      <c r="ZI6" s="493">
        <f t="shared" si="226"/>
        <v>0</v>
      </c>
      <c r="ZJ6" s="494"/>
      <c r="ZK6" s="493">
        <f t="shared" ref="ZK6" si="652">((ZK29+ZL29)-(ZK28+ZL28))/2</f>
        <v>0</v>
      </c>
      <c r="ZL6" s="494"/>
      <c r="ZM6" s="493">
        <f t="shared" ref="ZM6" si="653">((ZM29+ZN29)-(ZM28+ZN28))/2</f>
        <v>0</v>
      </c>
      <c r="ZN6" s="494"/>
      <c r="ZO6" s="493">
        <f t="shared" si="502"/>
        <v>0</v>
      </c>
      <c r="ZP6" s="494"/>
      <c r="ZQ6" s="493">
        <f t="shared" si="503"/>
        <v>0</v>
      </c>
      <c r="ZR6" s="494"/>
      <c r="ZS6" s="493">
        <f t="shared" ref="ZS6" si="654">((ZS29+ZT29)-(ZS28+ZT28))/2</f>
        <v>0</v>
      </c>
      <c r="ZT6" s="494"/>
      <c r="ZU6" s="493">
        <f t="shared" si="230"/>
        <v>0</v>
      </c>
      <c r="ZV6" s="494"/>
      <c r="ZW6" s="493">
        <f t="shared" ref="ZW6" si="655">((ZW29+ZX29)-(ZW28+ZX28))/2</f>
        <v>0</v>
      </c>
      <c r="ZX6" s="494"/>
      <c r="ZY6" s="493">
        <f t="shared" ref="ZY6" si="656">((ZY29+ZZ29)-(ZY28+ZZ28))/2</f>
        <v>0</v>
      </c>
      <c r="ZZ6" s="494"/>
      <c r="AAA6" s="493">
        <f t="shared" si="233"/>
        <v>0</v>
      </c>
      <c r="AAB6" s="494"/>
      <c r="AAC6" s="493">
        <f t="shared" ref="AAC6" si="657">((AAC29+AAD29)-(AAC28+AAD28))/2</f>
        <v>0</v>
      </c>
      <c r="AAD6" s="494"/>
      <c r="AAE6" s="493">
        <f t="shared" ref="AAE6" si="658">((AAE29+AAF29)-(AAE28+AAF28))/2</f>
        <v>0</v>
      </c>
      <c r="AAF6" s="494"/>
      <c r="AAG6" s="493">
        <f t="shared" si="236"/>
        <v>0</v>
      </c>
      <c r="AAH6" s="494"/>
      <c r="AAI6" s="493">
        <f t="shared" ref="AAI6" si="659">((AAI29+AAJ29)-(AAI28+AAJ28))/2</f>
        <v>0</v>
      </c>
      <c r="AAJ6" s="494"/>
      <c r="AAK6" s="493">
        <f t="shared" ref="AAK6" si="660">((AAK29+AAL29)-(AAK28+AAL28))/2</f>
        <v>0</v>
      </c>
      <c r="AAL6" s="494"/>
      <c r="AAM6" s="493">
        <f t="shared" si="239"/>
        <v>0</v>
      </c>
      <c r="AAN6" s="494"/>
      <c r="AAO6" s="493">
        <f>((AAO30+AAP29)-(AAO29+AAP28))/2</f>
        <v>0</v>
      </c>
      <c r="AAP6" s="494"/>
      <c r="AAQ6" s="493">
        <f>((AAQ33+AAR33)-(AAQ32+AAR32))/2</f>
        <v>0</v>
      </c>
      <c r="AAR6" s="494"/>
      <c r="AAS6" s="493">
        <f t="shared" si="241"/>
        <v>0</v>
      </c>
      <c r="AAT6" s="494"/>
      <c r="AAU6" s="493">
        <f t="shared" ref="AAU6" si="661">((AAU29+AAV29)-(AAU28+AAV28))/2</f>
        <v>0</v>
      </c>
      <c r="AAV6" s="494"/>
      <c r="AAW6" s="493">
        <f t="shared" ref="AAW6" si="662">((AAW29+AAX29)-(AAW28+AAX28))/2</f>
        <v>0</v>
      </c>
      <c r="AAX6" s="494"/>
      <c r="AAY6" s="493">
        <f t="shared" si="513"/>
        <v>0</v>
      </c>
      <c r="AAZ6" s="494"/>
      <c r="ABA6" s="493">
        <f t="shared" ref="ABA6" si="663">((ABA29+ABB29)-(ABA28+ABB28))/2</f>
        <v>0</v>
      </c>
      <c r="ABB6" s="494"/>
      <c r="ABC6" s="493">
        <f t="shared" ref="ABC6" si="664">((ABC29+ABD29)-(ABC28+ABD28))/2</f>
        <v>0</v>
      </c>
      <c r="ABD6" s="494"/>
      <c r="ABE6" s="379">
        <f t="shared" si="516"/>
        <v>0</v>
      </c>
      <c r="ABF6" s="377"/>
      <c r="ABG6" s="481"/>
      <c r="ABH6" s="481"/>
      <c r="ABI6" s="481"/>
      <c r="ABJ6" s="481"/>
      <c r="ABK6" s="481"/>
      <c r="ABL6" s="481"/>
      <c r="ABM6" s="481"/>
      <c r="ABN6" s="481"/>
      <c r="ABO6" s="481"/>
      <c r="ABP6" s="481"/>
      <c r="ABQ6" s="481"/>
      <c r="ABR6" s="481"/>
      <c r="ABS6" s="481"/>
      <c r="ABT6" s="481"/>
      <c r="ABU6" s="481"/>
      <c r="ABV6" s="481"/>
      <c r="ABW6" s="481"/>
      <c r="ABX6" s="481"/>
      <c r="ABY6" s="481"/>
      <c r="ABZ6" s="481"/>
      <c r="ACA6" s="481"/>
      <c r="ACB6" s="481"/>
      <c r="ACC6" s="481"/>
      <c r="ACD6" s="481"/>
      <c r="ACE6" s="481"/>
      <c r="ACF6" s="481"/>
      <c r="ACG6" s="481"/>
      <c r="ACH6" s="481"/>
      <c r="ACI6" s="481"/>
      <c r="ACJ6" s="481"/>
      <c r="ACK6" s="481"/>
      <c r="ACL6" s="481"/>
      <c r="ACM6" s="481"/>
      <c r="ACN6" s="481"/>
      <c r="ACO6" s="481"/>
      <c r="ACP6" s="481"/>
      <c r="ACQ6" s="481"/>
      <c r="ACR6" s="481"/>
      <c r="ACS6" s="481"/>
      <c r="ACT6" s="481"/>
      <c r="ACU6" s="481"/>
      <c r="ACV6" s="481"/>
      <c r="ACW6" s="481"/>
      <c r="ACX6" s="481"/>
      <c r="ACY6" s="481"/>
      <c r="ACZ6" s="481"/>
      <c r="ADA6" s="481"/>
      <c r="ADB6" s="481"/>
      <c r="ADC6" s="481"/>
      <c r="ADD6" s="481"/>
      <c r="ADE6" s="481"/>
      <c r="ADF6" s="481"/>
      <c r="ADG6" s="481"/>
      <c r="ADH6" s="481"/>
      <c r="ADI6" s="481"/>
      <c r="ADJ6" s="481"/>
      <c r="ADK6" s="335"/>
      <c r="ADL6" s="335"/>
      <c r="ADM6" s="335"/>
      <c r="ADN6" s="335"/>
      <c r="ADO6" s="335"/>
      <c r="ADP6" s="335"/>
      <c r="ADQ6" s="335"/>
      <c r="ADR6" s="335"/>
      <c r="ADS6" s="335"/>
      <c r="ADT6" s="335"/>
      <c r="ADU6" s="335"/>
      <c r="ADV6" s="335"/>
      <c r="ADW6" s="335"/>
      <c r="ADX6" s="335"/>
      <c r="ADY6" s="335"/>
      <c r="ADZ6" s="335"/>
      <c r="AEA6" s="335"/>
      <c r="AEB6" s="335"/>
      <c r="AEC6" s="335"/>
      <c r="AED6" s="335"/>
      <c r="AEE6" s="335"/>
      <c r="AEF6" s="335"/>
      <c r="AEG6" s="335"/>
      <c r="AEH6" s="335"/>
      <c r="AEI6" s="335"/>
      <c r="AEJ6" s="335"/>
      <c r="AEK6" s="335"/>
      <c r="AEL6" s="335"/>
      <c r="AEM6" s="335"/>
      <c r="AEN6" s="335"/>
      <c r="AEO6" s="335"/>
      <c r="AEP6" s="335"/>
      <c r="AEQ6" s="335"/>
      <c r="AER6" s="335"/>
      <c r="AES6" s="335"/>
      <c r="AET6" s="335"/>
      <c r="AEU6" s="335"/>
      <c r="AEV6" s="335"/>
      <c r="AEW6" s="335"/>
      <c r="AEX6" s="335"/>
      <c r="AEY6" s="335"/>
      <c r="AEZ6" s="335"/>
      <c r="AFA6" s="335"/>
      <c r="AFB6" s="335"/>
      <c r="AFC6" s="335"/>
      <c r="AFD6" s="335"/>
      <c r="AFE6" s="335"/>
      <c r="AFF6" s="335"/>
      <c r="AFG6" s="335"/>
      <c r="AFH6" s="335"/>
      <c r="AFI6" s="335"/>
      <c r="AFJ6" s="335"/>
      <c r="AFK6" s="335"/>
      <c r="AFL6" s="335"/>
      <c r="AFM6" s="335"/>
      <c r="AFN6" s="335"/>
      <c r="AFO6" s="335"/>
      <c r="AFP6" s="335"/>
      <c r="AFQ6" s="335"/>
      <c r="AFR6" s="335"/>
      <c r="AFS6" s="335"/>
      <c r="AFT6" s="335"/>
      <c r="AFU6" s="335"/>
      <c r="AFV6" s="335"/>
      <c r="AFW6" s="335"/>
      <c r="AFX6" s="335"/>
      <c r="AFY6" s="335"/>
      <c r="AFZ6" s="335"/>
      <c r="AGA6" s="335"/>
      <c r="AGB6" s="335"/>
      <c r="AGC6" s="335"/>
      <c r="AGD6" s="335"/>
      <c r="AGE6" s="335"/>
      <c r="AGF6" s="335"/>
      <c r="AGG6" s="335"/>
      <c r="AGH6" s="335"/>
      <c r="AGI6" s="335"/>
      <c r="AGJ6" s="335"/>
      <c r="AGK6" s="335"/>
      <c r="AGL6" s="335"/>
      <c r="AGM6" s="335"/>
      <c r="AGN6" s="335"/>
      <c r="AGO6" s="335"/>
      <c r="AGP6" s="335"/>
      <c r="AGQ6" s="335"/>
      <c r="AGR6" s="335"/>
      <c r="AGS6" s="335"/>
      <c r="AGT6" s="335"/>
      <c r="AGU6" s="335"/>
      <c r="AGV6" s="335"/>
      <c r="AGW6" s="335"/>
      <c r="AGX6" s="335"/>
      <c r="AGY6" s="335"/>
      <c r="AGZ6" s="335"/>
      <c r="AHA6" s="335"/>
      <c r="AHB6" s="335"/>
      <c r="AHC6" s="335"/>
      <c r="AHD6" s="335"/>
      <c r="AHE6" s="335"/>
      <c r="AHF6" s="335"/>
      <c r="AHG6" s="335"/>
      <c r="AHH6" s="335"/>
      <c r="AHI6" s="335"/>
      <c r="AHJ6" s="335"/>
      <c r="AHK6" s="335"/>
      <c r="AHL6" s="335"/>
      <c r="AHM6" s="335"/>
      <c r="AHN6" s="335"/>
      <c r="AHO6" s="335"/>
      <c r="AHP6" s="335"/>
      <c r="AHQ6" s="335"/>
      <c r="AHR6" s="335"/>
      <c r="AHS6" s="335"/>
      <c r="AHT6" s="335"/>
      <c r="AHU6" s="335"/>
      <c r="AHV6" s="335"/>
      <c r="AHW6" s="335"/>
      <c r="AHX6" s="335"/>
      <c r="AHY6" s="335"/>
      <c r="AHZ6" s="335"/>
      <c r="AIA6" s="335"/>
      <c r="AIB6" s="335"/>
      <c r="AIC6" s="339"/>
    </row>
    <row r="7" spans="1:913" s="161" customFormat="1">
      <c r="A7" s="172"/>
      <c r="B7" s="177">
        <v>0.5</v>
      </c>
      <c r="C7" s="493">
        <f t="shared" si="246"/>
        <v>0</v>
      </c>
      <c r="D7" s="494"/>
      <c r="E7" s="493">
        <f t="shared" si="0"/>
        <v>0</v>
      </c>
      <c r="F7" s="494"/>
      <c r="G7" s="493">
        <f t="shared" si="1"/>
        <v>0</v>
      </c>
      <c r="H7" s="494"/>
      <c r="I7" s="493">
        <f t="shared" si="247"/>
        <v>0</v>
      </c>
      <c r="J7" s="494"/>
      <c r="K7" s="493">
        <f t="shared" si="2"/>
        <v>0</v>
      </c>
      <c r="L7" s="494"/>
      <c r="M7" s="493">
        <f t="shared" si="3"/>
        <v>0</v>
      </c>
      <c r="N7" s="494"/>
      <c r="O7" s="493">
        <f t="shared" si="517"/>
        <v>0</v>
      </c>
      <c r="P7" s="494"/>
      <c r="Q7" s="493">
        <f t="shared" si="248"/>
        <v>0</v>
      </c>
      <c r="R7" s="494"/>
      <c r="S7" s="493">
        <f t="shared" si="249"/>
        <v>0</v>
      </c>
      <c r="T7" s="494"/>
      <c r="U7" s="493">
        <f t="shared" si="250"/>
        <v>0</v>
      </c>
      <c r="V7" s="494"/>
      <c r="W7" s="493">
        <f t="shared" si="251"/>
        <v>0</v>
      </c>
      <c r="X7" s="494"/>
      <c r="Y7" s="493">
        <f t="shared" si="252"/>
        <v>0</v>
      </c>
      <c r="Z7" s="494"/>
      <c r="AA7" s="493">
        <f t="shared" si="253"/>
        <v>0</v>
      </c>
      <c r="AB7" s="494"/>
      <c r="AC7" s="493">
        <f t="shared" si="254"/>
        <v>0</v>
      </c>
      <c r="AD7" s="494"/>
      <c r="AE7" s="493">
        <f t="shared" si="255"/>
        <v>0</v>
      </c>
      <c r="AF7" s="494"/>
      <c r="AG7" s="493">
        <f t="shared" si="256"/>
        <v>0</v>
      </c>
      <c r="AH7" s="494"/>
      <c r="AI7" s="493">
        <f t="shared" si="257"/>
        <v>0</v>
      </c>
      <c r="AJ7" s="494"/>
      <c r="AK7" s="493">
        <f t="shared" si="258"/>
        <v>0</v>
      </c>
      <c r="AL7" s="494"/>
      <c r="AM7" s="493">
        <f t="shared" si="259"/>
        <v>0</v>
      </c>
      <c r="AN7" s="494"/>
      <c r="AO7" s="493">
        <v>0</v>
      </c>
      <c r="AP7" s="494"/>
      <c r="AQ7" s="493">
        <f t="shared" si="261"/>
        <v>0</v>
      </c>
      <c r="AR7" s="494"/>
      <c r="AS7" s="493">
        <f t="shared" si="262"/>
        <v>0</v>
      </c>
      <c r="AT7" s="494"/>
      <c r="AU7" s="493">
        <f t="shared" si="263"/>
        <v>0</v>
      </c>
      <c r="AV7" s="494"/>
      <c r="AW7" s="493">
        <f t="shared" si="264"/>
        <v>0</v>
      </c>
      <c r="AX7" s="494"/>
      <c r="AY7" s="493">
        <f t="shared" si="265"/>
        <v>0</v>
      </c>
      <c r="AZ7" s="494"/>
      <c r="BA7" s="493">
        <f t="shared" si="266"/>
        <v>0</v>
      </c>
      <c r="BB7" s="494"/>
      <c r="BC7" s="493">
        <f t="shared" si="267"/>
        <v>0</v>
      </c>
      <c r="BD7" s="494"/>
      <c r="BE7" s="493">
        <f t="shared" si="268"/>
        <v>0</v>
      </c>
      <c r="BF7" s="494"/>
      <c r="BG7" s="493">
        <f t="shared" si="269"/>
        <v>0</v>
      </c>
      <c r="BH7" s="494"/>
      <c r="BI7" s="493">
        <f t="shared" si="270"/>
        <v>0</v>
      </c>
      <c r="BJ7" s="494"/>
      <c r="BK7" s="493">
        <f t="shared" si="271"/>
        <v>0</v>
      </c>
      <c r="BL7" s="494"/>
      <c r="BM7" s="493">
        <f t="shared" si="272"/>
        <v>0</v>
      </c>
      <c r="BN7" s="494"/>
      <c r="BO7" s="493">
        <f t="shared" si="273"/>
        <v>0</v>
      </c>
      <c r="BP7" s="494"/>
      <c r="BQ7" s="493">
        <f t="shared" si="274"/>
        <v>0</v>
      </c>
      <c r="BR7" s="494"/>
      <c r="BS7" s="493">
        <f t="shared" si="275"/>
        <v>0</v>
      </c>
      <c r="BT7" s="494"/>
      <c r="BU7" s="493">
        <f>((BU30+BV31)-(BU29+BV29))/2</f>
        <v>0</v>
      </c>
      <c r="BV7" s="494"/>
      <c r="BW7" s="493">
        <f t="shared" ref="BW7:BW21" si="665">((BW30+BX30)-(BW29+BX29))/2</f>
        <v>0</v>
      </c>
      <c r="BX7" s="494"/>
      <c r="BY7" s="493">
        <f t="shared" si="277"/>
        <v>0</v>
      </c>
      <c r="BZ7" s="494"/>
      <c r="CA7" s="493">
        <f t="shared" si="278"/>
        <v>0</v>
      </c>
      <c r="CB7" s="494"/>
      <c r="CC7" s="493">
        <f>((CC30+CD32)-(CC29+CD31))/2</f>
        <v>0</v>
      </c>
      <c r="CD7" s="494"/>
      <c r="CE7" s="493">
        <f t="shared" si="280"/>
        <v>0</v>
      </c>
      <c r="CF7" s="494"/>
      <c r="CG7" s="493">
        <f t="shared" si="281"/>
        <v>0</v>
      </c>
      <c r="CH7" s="494"/>
      <c r="CI7" s="493">
        <f t="shared" si="282"/>
        <v>0</v>
      </c>
      <c r="CJ7" s="494"/>
      <c r="CK7" s="493">
        <f t="shared" si="283"/>
        <v>0</v>
      </c>
      <c r="CL7" s="494"/>
      <c r="CM7" s="493">
        <f t="shared" si="284"/>
        <v>0</v>
      </c>
      <c r="CN7" s="494"/>
      <c r="CO7" s="493">
        <f t="shared" si="285"/>
        <v>0</v>
      </c>
      <c r="CP7" s="494"/>
      <c r="CQ7" s="493">
        <f t="shared" si="286"/>
        <v>0</v>
      </c>
      <c r="CR7" s="494"/>
      <c r="CS7" s="493">
        <f t="shared" si="287"/>
        <v>0</v>
      </c>
      <c r="CT7" s="494"/>
      <c r="CU7" s="493">
        <f t="shared" si="288"/>
        <v>0</v>
      </c>
      <c r="CV7" s="494"/>
      <c r="CW7" s="493">
        <f t="shared" si="289"/>
        <v>0</v>
      </c>
      <c r="CX7" s="494"/>
      <c r="CY7" s="493">
        <f t="shared" si="290"/>
        <v>0</v>
      </c>
      <c r="CZ7" s="494"/>
      <c r="DA7" s="493">
        <f t="shared" si="291"/>
        <v>0</v>
      </c>
      <c r="DB7" s="494"/>
      <c r="DC7" s="493">
        <f t="shared" si="292"/>
        <v>0</v>
      </c>
      <c r="DD7" s="494"/>
      <c r="DE7" s="493">
        <f t="shared" si="293"/>
        <v>0</v>
      </c>
      <c r="DF7" s="494"/>
      <c r="DG7" s="493">
        <f t="shared" si="294"/>
        <v>0</v>
      </c>
      <c r="DH7" s="494"/>
      <c r="DI7" s="493">
        <f t="shared" si="295"/>
        <v>0</v>
      </c>
      <c r="DJ7" s="494"/>
      <c r="DK7" s="493">
        <f t="shared" si="296"/>
        <v>0</v>
      </c>
      <c r="DL7" s="494"/>
      <c r="DM7" s="493">
        <f t="shared" si="297"/>
        <v>0</v>
      </c>
      <c r="DN7" s="494"/>
      <c r="DO7" s="493">
        <f t="shared" si="298"/>
        <v>0</v>
      </c>
      <c r="DP7" s="494"/>
      <c r="DQ7" s="493">
        <f t="shared" ref="DQ7:DQ21" si="666">((DQ30+DR30)-(DQ29+DR29))/2</f>
        <v>0</v>
      </c>
      <c r="DR7" s="494"/>
      <c r="DS7" s="493">
        <f t="shared" si="300"/>
        <v>0</v>
      </c>
      <c r="DT7" s="494"/>
      <c r="DU7" s="493">
        <f t="shared" si="301"/>
        <v>0</v>
      </c>
      <c r="DV7" s="494"/>
      <c r="DW7" s="493">
        <f t="shared" si="302"/>
        <v>0</v>
      </c>
      <c r="DX7" s="494"/>
      <c r="DY7" s="493">
        <f t="shared" si="303"/>
        <v>0</v>
      </c>
      <c r="DZ7" s="494"/>
      <c r="EA7" s="493">
        <f t="shared" si="304"/>
        <v>0</v>
      </c>
      <c r="EB7" s="494"/>
      <c r="EC7" s="493">
        <f t="shared" si="305"/>
        <v>0</v>
      </c>
      <c r="ED7" s="494"/>
      <c r="EE7" s="493">
        <f t="shared" si="6"/>
        <v>0</v>
      </c>
      <c r="EF7" s="494"/>
      <c r="EG7" s="493">
        <f t="shared" si="7"/>
        <v>0</v>
      </c>
      <c r="EH7" s="494"/>
      <c r="EI7" s="493">
        <f t="shared" si="306"/>
        <v>0</v>
      </c>
      <c r="EJ7" s="494"/>
      <c r="EK7" s="493">
        <f t="shared" si="8"/>
        <v>0</v>
      </c>
      <c r="EL7" s="494"/>
      <c r="EM7" s="493">
        <f t="shared" si="9"/>
        <v>0</v>
      </c>
      <c r="EN7" s="494"/>
      <c r="EO7" s="493">
        <f t="shared" si="10"/>
        <v>0</v>
      </c>
      <c r="EP7" s="494"/>
      <c r="EQ7" s="493">
        <f t="shared" si="307"/>
        <v>0</v>
      </c>
      <c r="ER7" s="494"/>
      <c r="ES7" s="493">
        <f t="shared" si="308"/>
        <v>0</v>
      </c>
      <c r="ET7" s="494"/>
      <c r="EU7" s="493">
        <f t="shared" si="309"/>
        <v>0</v>
      </c>
      <c r="EV7" s="494"/>
      <c r="EW7" s="493">
        <f t="shared" si="310"/>
        <v>0</v>
      </c>
      <c r="EX7" s="494"/>
      <c r="EY7" s="493">
        <f t="shared" si="311"/>
        <v>0</v>
      </c>
      <c r="EZ7" s="494"/>
      <c r="FA7" s="493">
        <f t="shared" si="312"/>
        <v>0</v>
      </c>
      <c r="FB7" s="494"/>
      <c r="FC7" s="493">
        <f t="shared" si="313"/>
        <v>0</v>
      </c>
      <c r="FD7" s="494"/>
      <c r="FE7" s="493">
        <f t="shared" si="314"/>
        <v>0</v>
      </c>
      <c r="FF7" s="494"/>
      <c r="FG7" s="493">
        <f t="shared" si="315"/>
        <v>0</v>
      </c>
      <c r="FH7" s="494"/>
      <c r="FI7" s="493">
        <f t="shared" si="316"/>
        <v>0</v>
      </c>
      <c r="FJ7" s="494"/>
      <c r="FK7" s="493">
        <f t="shared" si="317"/>
        <v>0</v>
      </c>
      <c r="FL7" s="494"/>
      <c r="FM7" s="493">
        <f t="shared" si="318"/>
        <v>0</v>
      </c>
      <c r="FN7" s="494"/>
      <c r="FO7" s="493">
        <f t="shared" si="319"/>
        <v>0</v>
      </c>
      <c r="FP7" s="494"/>
      <c r="FQ7" s="493">
        <f t="shared" si="320"/>
        <v>0</v>
      </c>
      <c r="FR7" s="494"/>
      <c r="FS7" s="493">
        <f>((FS30+FT30)-(FS29+FT29))/2</f>
        <v>0</v>
      </c>
      <c r="FT7" s="494"/>
      <c r="FU7" s="493">
        <f t="shared" si="322"/>
        <v>0</v>
      </c>
      <c r="FV7" s="494"/>
      <c r="FW7" s="493">
        <f t="shared" si="323"/>
        <v>0</v>
      </c>
      <c r="FX7" s="494"/>
      <c r="FY7" s="493">
        <f t="shared" si="324"/>
        <v>0</v>
      </c>
      <c r="FZ7" s="494"/>
      <c r="GA7" s="493">
        <f t="shared" si="325"/>
        <v>0</v>
      </c>
      <c r="GB7" s="494"/>
      <c r="GC7" s="493">
        <f t="shared" si="326"/>
        <v>0</v>
      </c>
      <c r="GD7" s="494"/>
      <c r="GE7" s="493">
        <f t="shared" si="327"/>
        <v>0</v>
      </c>
      <c r="GF7" s="494"/>
      <c r="GG7" s="493">
        <f t="shared" si="328"/>
        <v>0</v>
      </c>
      <c r="GH7" s="494"/>
      <c r="GI7" s="493">
        <f t="shared" si="329"/>
        <v>0</v>
      </c>
      <c r="GJ7" s="494"/>
      <c r="GK7" s="493">
        <f t="shared" si="330"/>
        <v>0</v>
      </c>
      <c r="GL7" s="494"/>
      <c r="GM7" s="493">
        <f t="shared" si="331"/>
        <v>0</v>
      </c>
      <c r="GN7" s="494"/>
      <c r="GO7" s="493">
        <f t="shared" si="332"/>
        <v>0</v>
      </c>
      <c r="GP7" s="494"/>
      <c r="GQ7" s="493">
        <f t="shared" si="333"/>
        <v>0</v>
      </c>
      <c r="GR7" s="494"/>
      <c r="GS7" s="493">
        <f t="shared" si="334"/>
        <v>0</v>
      </c>
      <c r="GT7" s="494"/>
      <c r="GU7" s="493">
        <f t="shared" si="11"/>
        <v>0</v>
      </c>
      <c r="GV7" s="494"/>
      <c r="GW7" s="493">
        <f t="shared" si="12"/>
        <v>0</v>
      </c>
      <c r="GX7" s="494"/>
      <c r="GY7" s="493">
        <f t="shared" si="13"/>
        <v>0</v>
      </c>
      <c r="GZ7" s="494"/>
      <c r="HA7" s="493">
        <f t="shared" si="335"/>
        <v>0</v>
      </c>
      <c r="HB7" s="494"/>
      <c r="HC7" s="493">
        <f t="shared" si="336"/>
        <v>0</v>
      </c>
      <c r="HD7" s="494"/>
      <c r="HE7" s="493">
        <f t="shared" si="337"/>
        <v>0</v>
      </c>
      <c r="HF7" s="494"/>
      <c r="HG7" s="493">
        <f t="shared" si="338"/>
        <v>0</v>
      </c>
      <c r="HH7" s="494"/>
      <c r="HI7" s="493">
        <f t="shared" si="339"/>
        <v>0</v>
      </c>
      <c r="HJ7" s="494"/>
      <c r="HK7" s="493">
        <f t="shared" si="340"/>
        <v>0</v>
      </c>
      <c r="HL7" s="494"/>
      <c r="HM7" s="493">
        <f t="shared" si="341"/>
        <v>0</v>
      </c>
      <c r="HN7" s="494"/>
      <c r="HO7" s="493">
        <f t="shared" si="342"/>
        <v>0</v>
      </c>
      <c r="HP7" s="494"/>
      <c r="HQ7" s="493">
        <f t="shared" si="343"/>
        <v>0</v>
      </c>
      <c r="HR7" s="494"/>
      <c r="HS7" s="493">
        <f t="shared" si="344"/>
        <v>0</v>
      </c>
      <c r="HT7" s="494"/>
      <c r="HU7" s="493">
        <f t="shared" si="345"/>
        <v>0</v>
      </c>
      <c r="HV7" s="494"/>
      <c r="HW7" s="493">
        <f t="shared" si="346"/>
        <v>0</v>
      </c>
      <c r="HX7" s="494"/>
      <c r="HY7" s="493">
        <f t="shared" si="347"/>
        <v>0</v>
      </c>
      <c r="HZ7" s="494"/>
      <c r="IA7" s="493">
        <f t="shared" si="348"/>
        <v>0</v>
      </c>
      <c r="IB7" s="494"/>
      <c r="IC7" s="493">
        <f t="shared" si="349"/>
        <v>0</v>
      </c>
      <c r="ID7" s="494"/>
      <c r="IE7" s="493">
        <f t="shared" si="350"/>
        <v>0</v>
      </c>
      <c r="IF7" s="494"/>
      <c r="IG7" s="493">
        <f t="shared" si="351"/>
        <v>0</v>
      </c>
      <c r="IH7" s="494"/>
      <c r="II7" s="493">
        <f t="shared" si="352"/>
        <v>0</v>
      </c>
      <c r="IJ7" s="494"/>
      <c r="IK7" s="493">
        <f t="shared" si="353"/>
        <v>0</v>
      </c>
      <c r="IL7" s="494"/>
      <c r="IM7" s="493">
        <f t="shared" si="354"/>
        <v>0</v>
      </c>
      <c r="IN7" s="494"/>
      <c r="IO7" s="493">
        <f t="shared" si="355"/>
        <v>0</v>
      </c>
      <c r="IP7" s="494"/>
      <c r="IQ7" s="493">
        <f t="shared" si="356"/>
        <v>0</v>
      </c>
      <c r="IR7" s="494"/>
      <c r="IS7" s="493">
        <f t="shared" si="357"/>
        <v>0</v>
      </c>
      <c r="IT7" s="494"/>
      <c r="IU7" s="493">
        <f t="shared" si="14"/>
        <v>0</v>
      </c>
      <c r="IV7" s="494"/>
      <c r="IW7" s="493">
        <f t="shared" si="15"/>
        <v>0</v>
      </c>
      <c r="IX7" s="494"/>
      <c r="IY7" s="493">
        <f t="shared" si="16"/>
        <v>0</v>
      </c>
      <c r="IZ7" s="494"/>
      <c r="JA7" s="493">
        <f t="shared" ref="JA7" si="667">((JA30+JB30)-(JA29+JB29))/2</f>
        <v>0</v>
      </c>
      <c r="JB7" s="494"/>
      <c r="JC7" s="493">
        <f t="shared" ref="JC7" si="668">((JC30+JD30)-(JC29+JD29))/2</f>
        <v>0</v>
      </c>
      <c r="JD7" s="494"/>
      <c r="JE7" s="493">
        <f t="shared" si="19"/>
        <v>0</v>
      </c>
      <c r="JF7" s="494"/>
      <c r="JG7" s="493">
        <f t="shared" ref="JG7" si="669">((JG30+JH30)-(JG29+JH29))/2</f>
        <v>0</v>
      </c>
      <c r="JH7" s="494"/>
      <c r="JI7" s="493">
        <f t="shared" ref="JI7" si="670">((JI30+JJ30)-(JI29+JJ29))/2</f>
        <v>0</v>
      </c>
      <c r="JJ7" s="494"/>
      <c r="JK7" s="493">
        <f t="shared" si="22"/>
        <v>0</v>
      </c>
      <c r="JL7" s="494"/>
      <c r="JM7" s="493">
        <f t="shared" ref="JM7" si="671">((JM30+JN30)-(JM29+JN29))/2</f>
        <v>0</v>
      </c>
      <c r="JN7" s="494"/>
      <c r="JO7" s="493">
        <f t="shared" ref="JO7" si="672">((JO30+JP30)-(JO29+JP29))/2</f>
        <v>0</v>
      </c>
      <c r="JP7" s="494"/>
      <c r="JQ7" s="493">
        <f t="shared" si="25"/>
        <v>0</v>
      </c>
      <c r="JR7" s="494"/>
      <c r="JS7" s="493">
        <f t="shared" ref="JS7" si="673">((JS30+JT30)-(JS29+JT29))/2</f>
        <v>0</v>
      </c>
      <c r="JT7" s="494"/>
      <c r="JU7" s="493">
        <f t="shared" ref="JU7" si="674">((JU30+JV30)-(JU29+JV29))/2</f>
        <v>0</v>
      </c>
      <c r="JV7" s="494"/>
      <c r="JW7" s="493">
        <f t="shared" si="28"/>
        <v>0</v>
      </c>
      <c r="JX7" s="494"/>
      <c r="JY7" s="493">
        <f t="shared" ref="JY7" si="675">((JY30+JZ30)-(JY29+JZ29))/2</f>
        <v>0</v>
      </c>
      <c r="JZ7" s="494"/>
      <c r="KA7" s="493">
        <f t="shared" ref="KA7" si="676">((KA30+KB30)-(KA29+KB29))/2</f>
        <v>0</v>
      </c>
      <c r="KB7" s="494"/>
      <c r="KC7" s="493">
        <f t="shared" si="31"/>
        <v>0</v>
      </c>
      <c r="KD7" s="494"/>
      <c r="KE7" s="493">
        <f t="shared" si="368"/>
        <v>0</v>
      </c>
      <c r="KF7" s="494"/>
      <c r="KG7" s="493">
        <f t="shared" ref="KG7" si="677">((KG30+KH30)-(KG29+KH29))/2</f>
        <v>0</v>
      </c>
      <c r="KH7" s="494"/>
      <c r="KI7" s="493">
        <f t="shared" si="34"/>
        <v>0</v>
      </c>
      <c r="KJ7" s="494"/>
      <c r="KK7" s="493">
        <f t="shared" ref="KK7" si="678">((KK30+KL30)-(KK29+KL29))/2</f>
        <v>0</v>
      </c>
      <c r="KL7" s="494"/>
      <c r="KM7" s="493">
        <f t="shared" ref="KM7" si="679">((KM30+KN30)-(KM29+KN29))/2</f>
        <v>0</v>
      </c>
      <c r="KN7" s="494"/>
      <c r="KO7" s="493">
        <f t="shared" si="37"/>
        <v>0</v>
      </c>
      <c r="KP7" s="494"/>
      <c r="KQ7" s="493">
        <f t="shared" ref="KQ7" si="680">((KQ30+KR30)-(KQ29+KR29))/2</f>
        <v>0</v>
      </c>
      <c r="KR7" s="494"/>
      <c r="KS7" s="493">
        <f t="shared" ref="KS7" si="681">((KS30+KT30)-(KS29+KT29))/2</f>
        <v>0</v>
      </c>
      <c r="KT7" s="494"/>
      <c r="KU7" s="493">
        <f t="shared" si="40"/>
        <v>0</v>
      </c>
      <c r="KV7" s="494"/>
      <c r="KW7" s="493">
        <f t="shared" ref="KW7" si="682">((KW30+KX30)-(KW29+KX29))/2</f>
        <v>0</v>
      </c>
      <c r="KX7" s="494"/>
      <c r="KY7" s="493">
        <f t="shared" ref="KY7" si="683">((KY30+KZ30)-(KY29+KZ29))/2</f>
        <v>0</v>
      </c>
      <c r="KZ7" s="494"/>
      <c r="LA7" s="493">
        <f t="shared" si="43"/>
        <v>0</v>
      </c>
      <c r="LB7" s="494"/>
      <c r="LC7" s="493">
        <f t="shared" si="376"/>
        <v>0</v>
      </c>
      <c r="LD7" s="494"/>
      <c r="LE7" s="493">
        <f t="shared" si="377"/>
        <v>0</v>
      </c>
      <c r="LF7" s="494"/>
      <c r="LG7" s="493">
        <f t="shared" si="378"/>
        <v>0</v>
      </c>
      <c r="LH7" s="494"/>
      <c r="LI7" s="493">
        <f t="shared" ref="LI7" si="684">((LI30+LJ30)-(LI29+LJ29))/2</f>
        <v>0</v>
      </c>
      <c r="LJ7" s="494"/>
      <c r="LK7" s="493">
        <f t="shared" ref="LK7" si="685">((LK30+LL30)-(LK29+LL29))/2</f>
        <v>0</v>
      </c>
      <c r="LL7" s="494"/>
      <c r="LM7" s="493">
        <f t="shared" si="49"/>
        <v>0</v>
      </c>
      <c r="LN7" s="494"/>
      <c r="LO7" s="493">
        <f t="shared" ref="LO7" si="686">((LO30+LP30)-(LO29+LP29))/2</f>
        <v>0</v>
      </c>
      <c r="LP7" s="494"/>
      <c r="LQ7" s="493">
        <f t="shared" ref="LQ7" si="687">((LQ30+LR30)-(LQ29+LR29))/2</f>
        <v>0</v>
      </c>
      <c r="LR7" s="494"/>
      <c r="LS7" s="493">
        <f t="shared" si="52"/>
        <v>0</v>
      </c>
      <c r="LT7" s="494"/>
      <c r="LU7" s="493">
        <f t="shared" ref="LU7" si="688">((LU30+LV30)-(LU29+LV29))/2</f>
        <v>0</v>
      </c>
      <c r="LV7" s="494"/>
      <c r="LW7" s="493">
        <f t="shared" ref="LW7" si="689">((LW30+LX30)-(LW29+LX29))/2</f>
        <v>0</v>
      </c>
      <c r="LX7" s="494"/>
      <c r="LY7" s="493">
        <f t="shared" si="55"/>
        <v>0</v>
      </c>
      <c r="LZ7" s="494"/>
      <c r="MA7" s="493">
        <f t="shared" ref="MA7" si="690">((MA30+MB30)-(MA29+MB29))/2</f>
        <v>0</v>
      </c>
      <c r="MB7" s="494"/>
      <c r="MC7" s="493">
        <f t="shared" ref="MC7" si="691">((MC30+MD30)-(MC29+MD29))/2</f>
        <v>0</v>
      </c>
      <c r="MD7" s="494"/>
      <c r="ME7" s="493">
        <f t="shared" si="58"/>
        <v>0</v>
      </c>
      <c r="MF7" s="494"/>
      <c r="MG7" s="493">
        <f t="shared" ref="MG7" si="692">((MG30+MH30)-(MG29+MH29))/2</f>
        <v>0</v>
      </c>
      <c r="MH7" s="494"/>
      <c r="MI7" s="493">
        <f t="shared" ref="MI7" si="693">((MI30+MJ30)-(MI29+MJ29))/2</f>
        <v>0</v>
      </c>
      <c r="MJ7" s="494"/>
      <c r="MK7" s="493">
        <f t="shared" si="61"/>
        <v>0</v>
      </c>
      <c r="ML7" s="494"/>
      <c r="MM7" s="493">
        <f t="shared" ref="MM7" si="694">((MM30+MN30)-(MM29+MN29))/2</f>
        <v>0</v>
      </c>
      <c r="MN7" s="494"/>
      <c r="MO7" s="493">
        <f t="shared" ref="MO7" si="695">((MO30+MP30)-(MO29+MP29))/2</f>
        <v>0</v>
      </c>
      <c r="MP7" s="494"/>
      <c r="MQ7" s="493">
        <f t="shared" si="64"/>
        <v>0</v>
      </c>
      <c r="MR7" s="494"/>
      <c r="MS7" s="493">
        <f t="shared" ref="MS7" si="696">((MS30+MT30)-(MS29+MT29))/2</f>
        <v>0</v>
      </c>
      <c r="MT7" s="494"/>
      <c r="MU7" s="493">
        <f t="shared" ref="MU7" si="697">((MU30+MV30)-(MU29+MV29))/2</f>
        <v>0</v>
      </c>
      <c r="MV7" s="494"/>
      <c r="MW7" s="493">
        <f t="shared" si="67"/>
        <v>0</v>
      </c>
      <c r="MX7" s="494"/>
      <c r="MY7" s="493">
        <f t="shared" ref="MY7" si="698">((MY30+MZ30)-(MY29+MZ29))/2</f>
        <v>0</v>
      </c>
      <c r="MZ7" s="494"/>
      <c r="NA7" s="493">
        <f t="shared" ref="NA7" si="699">((NA30+NB30)-(NA29+NB29))/2</f>
        <v>0</v>
      </c>
      <c r="NB7" s="494"/>
      <c r="NC7" s="493">
        <f t="shared" si="70"/>
        <v>0</v>
      </c>
      <c r="ND7" s="494"/>
      <c r="NE7" s="493">
        <f t="shared" ref="NE7" si="700">((NE30+NF30)-(NE29+NF29))/2</f>
        <v>0</v>
      </c>
      <c r="NF7" s="494"/>
      <c r="NG7" s="493">
        <f t="shared" ref="NG7" si="701">((NG30+NH30)-(NG29+NH29))/2</f>
        <v>0</v>
      </c>
      <c r="NH7" s="494"/>
      <c r="NI7" s="493">
        <f t="shared" si="73"/>
        <v>0</v>
      </c>
      <c r="NJ7" s="494"/>
      <c r="NK7" s="493">
        <f t="shared" ref="NK7" si="702">((NK30+NL30)-(NK29+NL29))/2</f>
        <v>0</v>
      </c>
      <c r="NL7" s="494"/>
      <c r="NM7" s="493">
        <f t="shared" ref="NM7" si="703">((NM30+NN30)-(NM29+NN29))/2</f>
        <v>0</v>
      </c>
      <c r="NN7" s="494"/>
      <c r="NO7" s="493">
        <f t="shared" si="76"/>
        <v>0</v>
      </c>
      <c r="NP7" s="494"/>
      <c r="NQ7" s="493">
        <f t="shared" ref="NQ7" si="704">((NQ30+NR30)-(NQ29+NR29))/2</f>
        <v>0</v>
      </c>
      <c r="NR7" s="494"/>
      <c r="NS7" s="493">
        <f t="shared" ref="NS7" si="705">((NS30+NT30)-(NS29+NT29))/2</f>
        <v>0</v>
      </c>
      <c r="NT7" s="494"/>
      <c r="NU7" s="493">
        <f t="shared" si="79"/>
        <v>0</v>
      </c>
      <c r="NV7" s="494"/>
      <c r="NW7" s="493">
        <f t="shared" ref="NW7" si="706">((NW30+NX30)-(NW29+NX29))/2</f>
        <v>0</v>
      </c>
      <c r="NX7" s="494"/>
      <c r="NY7" s="493">
        <f t="shared" ref="NY7" si="707">((NY30+NZ30)-(NY29+NZ29))/2</f>
        <v>0</v>
      </c>
      <c r="NZ7" s="494"/>
      <c r="OA7" s="493">
        <f t="shared" si="82"/>
        <v>0</v>
      </c>
      <c r="OB7" s="494"/>
      <c r="OC7" s="493">
        <f t="shared" ref="OC7" si="708">((OC30+OD30)-(OC29+OD29))/2</f>
        <v>0</v>
      </c>
      <c r="OD7" s="494"/>
      <c r="OE7" s="493">
        <f t="shared" ref="OE7" si="709">((OE30+OF30)-(OE29+OF29))/2</f>
        <v>0</v>
      </c>
      <c r="OF7" s="494"/>
      <c r="OG7" s="493">
        <f t="shared" si="85"/>
        <v>0</v>
      </c>
      <c r="OH7" s="494"/>
      <c r="OI7" s="493">
        <f t="shared" ref="OI7" si="710">((OI30+OJ30)-(OI29+OJ29))/2</f>
        <v>0</v>
      </c>
      <c r="OJ7" s="494"/>
      <c r="OK7" s="493">
        <f t="shared" ref="OK7" si="711">((OK30+OL30)-(OK29+OL29))/2</f>
        <v>0</v>
      </c>
      <c r="OL7" s="494"/>
      <c r="OM7" s="493">
        <f t="shared" si="88"/>
        <v>0</v>
      </c>
      <c r="ON7" s="494"/>
      <c r="OO7" s="493">
        <v>30</v>
      </c>
      <c r="OP7" s="494"/>
      <c r="OQ7" s="493">
        <f t="shared" ref="OQ7" si="712">((OQ30+OR30)-(OQ29+OR29))/2</f>
        <v>0</v>
      </c>
      <c r="OR7" s="494"/>
      <c r="OS7" s="493">
        <f t="shared" si="91"/>
        <v>0</v>
      </c>
      <c r="OT7" s="494"/>
      <c r="OU7" s="493">
        <f t="shared" ref="OU7" si="713">((OU30+OV30)-(OU29+OV29))/2</f>
        <v>0</v>
      </c>
      <c r="OV7" s="494"/>
      <c r="OW7" s="493">
        <f t="shared" ref="OW7" si="714">((OW30+OX30)-(OW29+OX29))/2</f>
        <v>0</v>
      </c>
      <c r="OX7" s="494"/>
      <c r="OY7" s="493">
        <f t="shared" si="94"/>
        <v>0</v>
      </c>
      <c r="OZ7" s="494"/>
      <c r="PA7" s="493">
        <f t="shared" ref="PA7" si="715">((PA30+PB30)-(PA29+PB29))/2</f>
        <v>0</v>
      </c>
      <c r="PB7" s="494"/>
      <c r="PC7" s="493">
        <f t="shared" ref="PC7" si="716">((PC30+PD30)-(PC29+PD29))/2</f>
        <v>0</v>
      </c>
      <c r="PD7" s="494"/>
      <c r="PE7" s="493">
        <f t="shared" si="97"/>
        <v>0</v>
      </c>
      <c r="PF7" s="494"/>
      <c r="PG7" s="493">
        <f t="shared" ref="PG7" si="717">((PG30+PH30)-(PG29+PH29))/2</f>
        <v>0</v>
      </c>
      <c r="PH7" s="494"/>
      <c r="PI7" s="493">
        <f t="shared" ref="PI7" si="718">((PI30+PJ30)-(PI29+PJ29))/2</f>
        <v>0</v>
      </c>
      <c r="PJ7" s="494"/>
      <c r="PK7" s="493">
        <f t="shared" si="100"/>
        <v>0</v>
      </c>
      <c r="PL7" s="494"/>
      <c r="PM7" s="493">
        <f t="shared" ref="PM7" si="719">((PM30+PN30)-(PM29+PN29))/2</f>
        <v>0</v>
      </c>
      <c r="PN7" s="494"/>
      <c r="PO7" s="493">
        <f t="shared" ref="PO7" si="720">((PO30+PP30)-(PO29+PP29))/2</f>
        <v>0</v>
      </c>
      <c r="PP7" s="494"/>
      <c r="PQ7" s="493">
        <f t="shared" si="103"/>
        <v>0</v>
      </c>
      <c r="PR7" s="494"/>
      <c r="PS7" s="493">
        <f t="shared" ref="PS7" si="721">((PS30+PT30)-(PS29+PT29))/2</f>
        <v>0</v>
      </c>
      <c r="PT7" s="494"/>
      <c r="PU7" s="493">
        <f t="shared" ref="PU7" si="722">((PU30+PV30)-(PU29+PV29))/2</f>
        <v>0</v>
      </c>
      <c r="PV7" s="494"/>
      <c r="PW7" s="493">
        <f t="shared" si="106"/>
        <v>0</v>
      </c>
      <c r="PX7" s="494"/>
      <c r="PY7" s="493">
        <f t="shared" ref="PY7" si="723">((PY30+PZ30)-(PY29+PZ29))/2</f>
        <v>0</v>
      </c>
      <c r="PZ7" s="494"/>
      <c r="QA7" s="493">
        <f t="shared" ref="QA7" si="724">((QA30+QB30)-(QA29+QB29))/2</f>
        <v>0</v>
      </c>
      <c r="QB7" s="494"/>
      <c r="QC7" s="493">
        <f t="shared" si="109"/>
        <v>0</v>
      </c>
      <c r="QD7" s="494"/>
      <c r="QE7" s="493">
        <f t="shared" ref="QE7" si="725">((QE30+QF30)-(QE29+QF29))/2</f>
        <v>0</v>
      </c>
      <c r="QF7" s="494"/>
      <c r="QG7" s="493">
        <f t="shared" ref="QG7" si="726">((QG30+QH30)-(QG29+QH29))/2</f>
        <v>0</v>
      </c>
      <c r="QH7" s="494"/>
      <c r="QI7" s="493">
        <f t="shared" si="112"/>
        <v>0</v>
      </c>
      <c r="QJ7" s="494"/>
      <c r="QK7" s="493">
        <f t="shared" ref="QK7" si="727">((QK30+QL30)-(QK29+QL29))/2</f>
        <v>0</v>
      </c>
      <c r="QL7" s="494"/>
      <c r="QM7" s="493">
        <f t="shared" ref="QM7" si="728">((QM30+QN30)-(QM29+QN29))/2</f>
        <v>0</v>
      </c>
      <c r="QN7" s="494"/>
      <c r="QO7" s="493">
        <f t="shared" si="115"/>
        <v>0</v>
      </c>
      <c r="QP7" s="494"/>
      <c r="QQ7" s="493">
        <f t="shared" ref="QQ7" si="729">((QQ30+QR30)-(QQ29+QR29))/2</f>
        <v>0</v>
      </c>
      <c r="QR7" s="494"/>
      <c r="QS7" s="493">
        <f t="shared" ref="QS7" si="730">((QS30+QT30)-(QS29+QT29))/2</f>
        <v>0</v>
      </c>
      <c r="QT7" s="494"/>
      <c r="QU7" s="493">
        <f t="shared" si="118"/>
        <v>0</v>
      </c>
      <c r="QV7" s="494"/>
      <c r="QW7" s="493">
        <f t="shared" ref="QW7" si="731">((QW30+QX30)-(QW29+QX29))/2</f>
        <v>0</v>
      </c>
      <c r="QX7" s="494"/>
      <c r="QY7" s="493">
        <f t="shared" ref="QY7" si="732">((QY30+QZ30)-(QY29+QZ29))/2</f>
        <v>0</v>
      </c>
      <c r="QZ7" s="494"/>
      <c r="RA7" s="493">
        <f t="shared" si="121"/>
        <v>0</v>
      </c>
      <c r="RB7" s="494"/>
      <c r="RC7" s="493">
        <f t="shared" ref="RC7" si="733">((RC30+RD30)-(RC29+RD29))/2</f>
        <v>0</v>
      </c>
      <c r="RD7" s="494"/>
      <c r="RE7" s="493">
        <f t="shared" ref="RE7" si="734">((RE30+RF30)-(RE29+RF29))/2</f>
        <v>0</v>
      </c>
      <c r="RF7" s="494"/>
      <c r="RG7" s="493">
        <f t="shared" si="124"/>
        <v>0</v>
      </c>
      <c r="RH7" s="494"/>
      <c r="RI7" s="493">
        <f>((RI30+RJ31)-(RI29+RJ30))/2</f>
        <v>0</v>
      </c>
      <c r="RJ7" s="494"/>
      <c r="RK7" s="493">
        <f t="shared" ref="RK7" si="735">((RK30+RL30)-(RK29+RL29))/2</f>
        <v>0</v>
      </c>
      <c r="RL7" s="494"/>
      <c r="RM7" s="493">
        <f t="shared" si="126"/>
        <v>0</v>
      </c>
      <c r="RN7" s="494"/>
      <c r="RO7" s="493">
        <f t="shared" ref="RO7" si="736">((RO30+RP30)-(RO29+RP29))/2</f>
        <v>0</v>
      </c>
      <c r="RP7" s="494"/>
      <c r="RQ7" s="493">
        <f t="shared" ref="RQ7" si="737">((RQ30+RR30)-(RQ29+RR29))/2</f>
        <v>0</v>
      </c>
      <c r="RR7" s="494"/>
      <c r="RS7" s="493">
        <f t="shared" si="129"/>
        <v>0</v>
      </c>
      <c r="RT7" s="494"/>
      <c r="RU7" s="493">
        <f t="shared" ref="RU7" si="738">((RU30+RV30)-(RU29+RV29))/2</f>
        <v>0</v>
      </c>
      <c r="RV7" s="494"/>
      <c r="RW7" s="493">
        <f t="shared" ref="RW7" si="739">((RW30+RX30)-(RW29+RX29))/2</f>
        <v>0</v>
      </c>
      <c r="RX7" s="494"/>
      <c r="RY7" s="493">
        <f t="shared" si="132"/>
        <v>0</v>
      </c>
      <c r="RZ7" s="494"/>
      <c r="SA7" s="493">
        <f t="shared" ref="SA7" si="740">((SA30+SB30)-(SA29+SB29))/2</f>
        <v>0</v>
      </c>
      <c r="SB7" s="494"/>
      <c r="SC7" s="493">
        <f t="shared" ref="SC7" si="741">((SC30+SD30)-(SC29+SD29))/2</f>
        <v>0</v>
      </c>
      <c r="SD7" s="494"/>
      <c r="SE7" s="493">
        <f t="shared" si="135"/>
        <v>0</v>
      </c>
      <c r="SF7" s="494"/>
      <c r="SG7" s="493">
        <f t="shared" ref="SG7" si="742">((SG30+SH30)-(SG29+SH29))/2</f>
        <v>0</v>
      </c>
      <c r="SH7" s="494"/>
      <c r="SI7" s="493">
        <f t="shared" ref="SI7" si="743">((SI30+SJ30)-(SI29+SJ29))/2</f>
        <v>0</v>
      </c>
      <c r="SJ7" s="494"/>
      <c r="SK7" s="493">
        <f t="shared" si="138"/>
        <v>0</v>
      </c>
      <c r="SL7" s="494"/>
      <c r="SM7" s="493">
        <f t="shared" ref="SM7" si="744">((SM30+SN30)-(SM29+SN29))/2</f>
        <v>0</v>
      </c>
      <c r="SN7" s="494"/>
      <c r="SO7" s="493">
        <f t="shared" ref="SO7" si="745">((SO30+SP30)-(SO29+SP29))/2</f>
        <v>0</v>
      </c>
      <c r="SP7" s="494"/>
      <c r="SQ7" s="493">
        <f t="shared" si="141"/>
        <v>0</v>
      </c>
      <c r="SR7" s="494"/>
      <c r="SS7" s="493">
        <f t="shared" ref="SS7" si="746">((SS30+ST30)-(SS29+ST29))/2</f>
        <v>0</v>
      </c>
      <c r="ST7" s="494"/>
      <c r="SU7" s="493">
        <f t="shared" ref="SU7" si="747">((SU30+SV30)-(SU29+SV29))/2</f>
        <v>0</v>
      </c>
      <c r="SV7" s="494"/>
      <c r="SW7" s="493">
        <v>40</v>
      </c>
      <c r="SX7" s="494"/>
      <c r="SY7" s="493">
        <f t="shared" ref="SY7" si="748">((SY30+SZ30)-(SY29+SZ29))/2</f>
        <v>0</v>
      </c>
      <c r="SZ7" s="494"/>
      <c r="TA7" s="493">
        <f t="shared" ref="TA7" si="749">((TA30+TB30)-(TA29+TB29))/2</f>
        <v>0</v>
      </c>
      <c r="TB7" s="494"/>
      <c r="TC7" s="493">
        <f t="shared" si="147"/>
        <v>0</v>
      </c>
      <c r="TD7" s="494"/>
      <c r="TE7" s="493">
        <f t="shared" ref="TE7" si="750">((TE30+TF30)-(TE29+TF29))/2</f>
        <v>0</v>
      </c>
      <c r="TF7" s="494"/>
      <c r="TG7" s="493">
        <f t="shared" ref="TG7" si="751">((TG30+TH30)-(TG29+TH29))/2</f>
        <v>0</v>
      </c>
      <c r="TH7" s="494"/>
      <c r="TI7" s="493">
        <f t="shared" si="150"/>
        <v>0</v>
      </c>
      <c r="TJ7" s="494"/>
      <c r="TK7" s="493">
        <f t="shared" ref="TK7" si="752">((TK30+TL30)-(TK29+TL29))/2</f>
        <v>0</v>
      </c>
      <c r="TL7" s="494"/>
      <c r="TM7" s="493">
        <f t="shared" ref="TM7" si="753">((TM30+TN30)-(TM29+TN29))/2</f>
        <v>0</v>
      </c>
      <c r="TN7" s="494"/>
      <c r="TO7" s="493">
        <f t="shared" si="153"/>
        <v>0</v>
      </c>
      <c r="TP7" s="494"/>
      <c r="TQ7" s="493">
        <f t="shared" ref="TQ7" si="754">((TQ30+TR30)-(TQ29+TR29))/2</f>
        <v>0</v>
      </c>
      <c r="TR7" s="494"/>
      <c r="TS7" s="493">
        <f t="shared" ref="TS7" si="755">((TS30+TT30)-(TS29+TT29))/2</f>
        <v>0</v>
      </c>
      <c r="TT7" s="494"/>
      <c r="TU7" s="493">
        <f t="shared" si="156"/>
        <v>0</v>
      </c>
      <c r="TV7" s="494"/>
      <c r="TW7" s="493">
        <f t="shared" ref="TW7" si="756">((TW30+TX30)-(TW29+TX29))/2</f>
        <v>0</v>
      </c>
      <c r="TX7" s="494"/>
      <c r="TY7" s="493">
        <f t="shared" ref="TY7" si="757">((TY30+TZ30)-(TY29+TZ29))/2</f>
        <v>0</v>
      </c>
      <c r="TZ7" s="494"/>
      <c r="UA7" s="493">
        <f t="shared" si="159"/>
        <v>0</v>
      </c>
      <c r="UB7" s="494"/>
      <c r="UC7" s="493">
        <f t="shared" ref="UC7" si="758">((UC30+UD30)-(UC29+UD29))/2</f>
        <v>0</v>
      </c>
      <c r="UD7" s="494"/>
      <c r="UE7" s="493">
        <f t="shared" ref="UE7" si="759">((UE30+UF30)-(UE29+UF29))/2</f>
        <v>0</v>
      </c>
      <c r="UF7" s="494"/>
      <c r="UG7" s="493">
        <f t="shared" si="162"/>
        <v>0</v>
      </c>
      <c r="UH7" s="494"/>
      <c r="UI7" s="493">
        <f t="shared" ref="UI7" si="760">((UI30+UJ30)-(UI29+UJ29))/2</f>
        <v>0</v>
      </c>
      <c r="UJ7" s="494"/>
      <c r="UK7" s="493">
        <f t="shared" ref="UK7" si="761">((UK30+UL30)-(UK29+UL29))/2</f>
        <v>0</v>
      </c>
      <c r="UL7" s="494"/>
      <c r="UM7" s="493">
        <f t="shared" si="165"/>
        <v>0</v>
      </c>
      <c r="UN7" s="494"/>
      <c r="UO7" s="493">
        <f t="shared" ref="UO7" si="762">((UO30+UP30)-(UO29+UP29))/2</f>
        <v>0</v>
      </c>
      <c r="UP7" s="494"/>
      <c r="UQ7" s="493">
        <f t="shared" ref="UQ7" si="763">((UQ30+UR30)-(UQ29+UR29))/2</f>
        <v>0</v>
      </c>
      <c r="UR7" s="494"/>
      <c r="US7" s="493">
        <f t="shared" si="168"/>
        <v>0</v>
      </c>
      <c r="UT7" s="494"/>
      <c r="UU7" s="493">
        <f t="shared" ref="UU7" si="764">((UU30+UV30)-(UU29+UV29))/2</f>
        <v>0</v>
      </c>
      <c r="UV7" s="494"/>
      <c r="UW7" s="493">
        <f t="shared" ref="UW7" si="765">((UW30+UX30)-(UW29+UX29))/2</f>
        <v>0</v>
      </c>
      <c r="UX7" s="494"/>
      <c r="UY7" s="493">
        <f t="shared" si="171"/>
        <v>0</v>
      </c>
      <c r="UZ7" s="494"/>
      <c r="VA7" s="493">
        <f t="shared" ref="VA7" si="766">((VA30+VB30)-(VA29+VB29))/2</f>
        <v>0</v>
      </c>
      <c r="VB7" s="494"/>
      <c r="VC7" s="493">
        <f t="shared" ref="VC7" si="767">((VC30+VD30)-(VC29+VD29))/2</f>
        <v>0</v>
      </c>
      <c r="VD7" s="494"/>
      <c r="VE7" s="493">
        <f t="shared" si="464"/>
        <v>0</v>
      </c>
      <c r="VF7" s="494"/>
      <c r="VG7" s="493">
        <f t="shared" ref="VG7" si="768">((VG30+VH30)-(VG29+VH29))/2</f>
        <v>0</v>
      </c>
      <c r="VH7" s="494"/>
      <c r="VI7" s="493">
        <f t="shared" ref="VI7" si="769">((VI30+VJ30)-(VI29+VJ29))/2</f>
        <v>0</v>
      </c>
      <c r="VJ7" s="494"/>
      <c r="VK7" s="493">
        <f t="shared" si="467"/>
        <v>0</v>
      </c>
      <c r="VL7" s="494"/>
      <c r="VM7" s="493">
        <f t="shared" ref="VM7" si="770">((VM30+VN30)-(VM29+VN29))/2</f>
        <v>0</v>
      </c>
      <c r="VN7" s="494"/>
      <c r="VO7" s="493">
        <f t="shared" ref="VO7" si="771">((VO30+VP30)-(VO29+VP29))/2</f>
        <v>0</v>
      </c>
      <c r="VP7" s="494"/>
      <c r="VQ7" s="493">
        <f t="shared" si="178"/>
        <v>0</v>
      </c>
      <c r="VR7" s="494"/>
      <c r="VS7" s="493">
        <f t="shared" ref="VS7:VS9" si="772">((VS30+VT30)-(VS29+VT29))/2</f>
        <v>0</v>
      </c>
      <c r="VT7" s="494"/>
      <c r="VU7" s="493">
        <f t="shared" si="180"/>
        <v>0</v>
      </c>
      <c r="VV7" s="494"/>
      <c r="VW7" s="493">
        <f t="shared" si="181"/>
        <v>0</v>
      </c>
      <c r="VX7" s="494"/>
      <c r="VY7" s="493">
        <f t="shared" ref="VY7" si="773">((VY30+VZ30)-(VY29+VZ29))/2</f>
        <v>0</v>
      </c>
      <c r="VZ7" s="494"/>
      <c r="WA7" s="493">
        <f t="shared" ref="WA7" si="774">((WA30+WB30)-(WA29+WB29))/2</f>
        <v>0</v>
      </c>
      <c r="WB7" s="494"/>
      <c r="WC7" s="493">
        <f t="shared" si="184"/>
        <v>0</v>
      </c>
      <c r="WD7" s="494"/>
      <c r="WE7" s="493">
        <f t="shared" ref="WE7" si="775">((WE30+WF30)-(WE29+WF29))/2</f>
        <v>0</v>
      </c>
      <c r="WF7" s="494"/>
      <c r="WG7" s="493">
        <f t="shared" ref="WG7" si="776">((WG30+WH30)-(WG29+WH29))/2</f>
        <v>0</v>
      </c>
      <c r="WH7" s="494"/>
      <c r="WI7" s="493">
        <f t="shared" si="187"/>
        <v>0</v>
      </c>
      <c r="WJ7" s="494"/>
      <c r="WK7" s="493">
        <f t="shared" ref="WK7" si="777">((WK30+WL30)-(WK29+WL29))/2</f>
        <v>0</v>
      </c>
      <c r="WL7" s="494"/>
      <c r="WM7" s="493">
        <f t="shared" ref="WM7" si="778">((WM30+WN30)-(WM29+WN29))/2</f>
        <v>0</v>
      </c>
      <c r="WN7" s="494"/>
      <c r="WO7" s="493">
        <f t="shared" si="190"/>
        <v>0</v>
      </c>
      <c r="WP7" s="494"/>
      <c r="WQ7" s="493">
        <f t="shared" si="477"/>
        <v>0</v>
      </c>
      <c r="WR7" s="494"/>
      <c r="WS7" s="493">
        <f t="shared" ref="WS7" si="779">((WS30+WT30)-(WS29+WT29))/2</f>
        <v>0</v>
      </c>
      <c r="WT7" s="494"/>
      <c r="WU7" s="493">
        <f t="shared" si="193"/>
        <v>0</v>
      </c>
      <c r="WV7" s="494"/>
      <c r="WW7" s="493">
        <f t="shared" ref="WW7" si="780">((WW30+WX30)-(WW29+WX29))/2</f>
        <v>0</v>
      </c>
      <c r="WX7" s="494"/>
      <c r="WY7" s="493">
        <f t="shared" ref="WY7" si="781">((WY30+WZ30)-(WY29+WZ29))/2</f>
        <v>0</v>
      </c>
      <c r="WZ7" s="494"/>
      <c r="XA7" s="493">
        <f t="shared" si="196"/>
        <v>0</v>
      </c>
      <c r="XB7" s="494"/>
      <c r="XC7" s="493">
        <f t="shared" ref="XC7" si="782">((XC30+XD30)-(XC29+XD29))/2</f>
        <v>0</v>
      </c>
      <c r="XD7" s="494"/>
      <c r="XE7" s="493">
        <f t="shared" ref="XE7" si="783">((XE30+XF30)-(XE29+XF29))/2</f>
        <v>0</v>
      </c>
      <c r="XF7" s="494"/>
      <c r="XG7" s="493">
        <f t="shared" si="199"/>
        <v>0</v>
      </c>
      <c r="XH7" s="494"/>
      <c r="XI7" s="493">
        <f t="shared" ref="XI7" si="784">((XI30+XJ30)-(XI29+XJ29))/2</f>
        <v>0</v>
      </c>
      <c r="XJ7" s="494"/>
      <c r="XK7" s="493">
        <f t="shared" ref="XK7" si="785">((XK30+XL30)-(XK29+XL29))/2</f>
        <v>0</v>
      </c>
      <c r="XL7" s="494"/>
      <c r="XM7" s="493">
        <f t="shared" si="202"/>
        <v>0</v>
      </c>
      <c r="XN7" s="494"/>
      <c r="XO7" s="493">
        <f>((XO31+XP30)-(XO29+XP29))/2</f>
        <v>0</v>
      </c>
      <c r="XP7" s="494"/>
      <c r="XQ7" s="493">
        <f t="shared" ref="XQ7" si="786">((XQ30+XR30)-(XQ29+XR29))/2</f>
        <v>0</v>
      </c>
      <c r="XR7" s="494"/>
      <c r="XS7" s="493">
        <f t="shared" si="205"/>
        <v>0</v>
      </c>
      <c r="XT7" s="494"/>
      <c r="XU7" s="493">
        <f t="shared" ref="XU7" si="787">((XU30+XV30)-(XU29+XV29))/2</f>
        <v>0</v>
      </c>
      <c r="XV7" s="494"/>
      <c r="XW7" s="493">
        <f t="shared" ref="XW7" si="788">((XW30+XX30)-(XW29+XX29))/2</f>
        <v>0</v>
      </c>
      <c r="XX7" s="494"/>
      <c r="XY7" s="493">
        <f t="shared" si="208"/>
        <v>0</v>
      </c>
      <c r="XZ7" s="494"/>
      <c r="YA7" s="493">
        <f t="shared" ref="YA7" si="789">((YA30+YB30)-(YA29+YB29))/2</f>
        <v>0</v>
      </c>
      <c r="YB7" s="494"/>
      <c r="YC7" s="493">
        <f t="shared" ref="YC7" si="790">((YC30+YD30)-(YC29+YD29))/2</f>
        <v>0</v>
      </c>
      <c r="YD7" s="494"/>
      <c r="YE7" s="493">
        <f t="shared" si="211"/>
        <v>0</v>
      </c>
      <c r="YF7" s="494"/>
      <c r="YG7" s="493">
        <f t="shared" ref="YG7" si="791">((YG30+YH30)-(YG29+YH29))/2</f>
        <v>0</v>
      </c>
      <c r="YH7" s="494"/>
      <c r="YI7" s="493">
        <f t="shared" ref="YI7" si="792">((YI30+YJ30)-(YI29+YJ29))/2</f>
        <v>0</v>
      </c>
      <c r="YJ7" s="494"/>
      <c r="YK7" s="493">
        <f t="shared" si="214"/>
        <v>0</v>
      </c>
      <c r="YL7" s="494"/>
      <c r="YM7" s="493">
        <f t="shared" ref="YM7" si="793">((YM30+YN30)-(YM29+YN29))/2</f>
        <v>0</v>
      </c>
      <c r="YN7" s="494"/>
      <c r="YO7" s="493">
        <f t="shared" si="216"/>
        <v>0</v>
      </c>
      <c r="YP7" s="494"/>
      <c r="YQ7" s="493">
        <f t="shared" si="217"/>
        <v>0</v>
      </c>
      <c r="YR7" s="494"/>
      <c r="YS7" s="493">
        <f t="shared" ref="YS7" si="794">((YS30+YT30)-(YS29+YT29))/2</f>
        <v>0</v>
      </c>
      <c r="YT7" s="494"/>
      <c r="YU7" s="493">
        <f t="shared" ref="YU7" si="795">((YU30+YV30)-(YU29+YV29))/2</f>
        <v>0</v>
      </c>
      <c r="YV7" s="494"/>
      <c r="YW7" s="493">
        <f t="shared" si="220"/>
        <v>0</v>
      </c>
      <c r="YX7" s="494"/>
      <c r="YY7" s="493">
        <f t="shared" si="496"/>
        <v>0</v>
      </c>
      <c r="YZ7" s="494"/>
      <c r="ZA7" s="493">
        <f t="shared" ref="ZA7" si="796">((ZA30+ZB30)-(ZA29+ZB29))/2</f>
        <v>0</v>
      </c>
      <c r="ZB7" s="494"/>
      <c r="ZC7" s="493">
        <f t="shared" si="223"/>
        <v>0</v>
      </c>
      <c r="ZD7" s="494"/>
      <c r="ZE7" s="493">
        <f t="shared" ref="ZE7" si="797">((ZE30+ZF30)-(ZE29+ZF29))/2</f>
        <v>0</v>
      </c>
      <c r="ZF7" s="494"/>
      <c r="ZG7" s="493">
        <f t="shared" ref="ZG7" si="798">((ZG30+ZH30)-(ZG29+ZH29))/2</f>
        <v>0</v>
      </c>
      <c r="ZH7" s="494"/>
      <c r="ZI7" s="493">
        <f t="shared" ref="ZI7:ZI19" si="799">((ZI30+ZJ30)-(ZI29+ZJ29))/2</f>
        <v>0</v>
      </c>
      <c r="ZJ7" s="494"/>
      <c r="ZK7" s="493">
        <f t="shared" ref="ZK7" si="800">((ZK30+ZL30)-(ZK29+ZL29))/2</f>
        <v>0</v>
      </c>
      <c r="ZL7" s="494"/>
      <c r="ZM7" s="493">
        <f t="shared" ref="ZM7" si="801">((ZM30+ZN30)-(ZM29+ZN29))/2</f>
        <v>0</v>
      </c>
      <c r="ZN7" s="494"/>
      <c r="ZO7" s="493">
        <f t="shared" si="502"/>
        <v>0</v>
      </c>
      <c r="ZP7" s="494"/>
      <c r="ZQ7" s="493">
        <f t="shared" si="503"/>
        <v>0</v>
      </c>
      <c r="ZR7" s="494"/>
      <c r="ZS7" s="493">
        <f t="shared" ref="ZS7" si="802">((ZS30+ZT30)-(ZS29+ZT29))/2</f>
        <v>0</v>
      </c>
      <c r="ZT7" s="494"/>
      <c r="ZU7" s="493">
        <f t="shared" si="230"/>
        <v>0</v>
      </c>
      <c r="ZV7" s="494"/>
      <c r="ZW7" s="493">
        <f t="shared" ref="ZW7" si="803">((ZW30+ZX30)-(ZW29+ZX29))/2</f>
        <v>0</v>
      </c>
      <c r="ZX7" s="494"/>
      <c r="ZY7" s="493">
        <f t="shared" ref="ZY7" si="804">((ZY30+ZZ30)-(ZY29+ZZ29))/2</f>
        <v>0</v>
      </c>
      <c r="ZZ7" s="494"/>
      <c r="AAA7" s="493">
        <f t="shared" si="233"/>
        <v>0</v>
      </c>
      <c r="AAB7" s="494"/>
      <c r="AAC7" s="493">
        <f t="shared" ref="AAC7" si="805">((AAC30+AAD30)-(AAC29+AAD29))/2</f>
        <v>0</v>
      </c>
      <c r="AAD7" s="494"/>
      <c r="AAE7" s="493">
        <f t="shared" ref="AAE7" si="806">((AAE30+AAF30)-(AAE29+AAF29))/2</f>
        <v>0</v>
      </c>
      <c r="AAF7" s="494"/>
      <c r="AAG7" s="493">
        <f t="shared" si="236"/>
        <v>0</v>
      </c>
      <c r="AAH7" s="494"/>
      <c r="AAI7" s="493">
        <f t="shared" ref="AAI7" si="807">((AAI30+AAJ30)-(AAI29+AAJ29))/2</f>
        <v>0</v>
      </c>
      <c r="AAJ7" s="494"/>
      <c r="AAK7" s="493">
        <f t="shared" ref="AAK7" si="808">((AAK30+AAL30)-(AAK29+AAL29))/2</f>
        <v>0</v>
      </c>
      <c r="AAL7" s="494"/>
      <c r="AAM7" s="493">
        <f t="shared" si="239"/>
        <v>0</v>
      </c>
      <c r="AAN7" s="494"/>
      <c r="AAO7" s="493">
        <f>((AAO31+AAP30)-(AAO30+AAP29))/2</f>
        <v>0</v>
      </c>
      <c r="AAP7" s="494"/>
      <c r="AAQ7" s="493">
        <f>((AAQ34+AAR34)-(AAQ33+AAR33))/2</f>
        <v>0</v>
      </c>
      <c r="AAR7" s="494"/>
      <c r="AAS7" s="493">
        <f t="shared" si="241"/>
        <v>0</v>
      </c>
      <c r="AAT7" s="494"/>
      <c r="AAU7" s="493">
        <f t="shared" ref="AAU7" si="809">((AAU30+AAV30)-(AAU29+AAV29))/2</f>
        <v>0</v>
      </c>
      <c r="AAV7" s="494"/>
      <c r="AAW7" s="493">
        <f t="shared" ref="AAW7" si="810">((AAW30+AAX30)-(AAW29+AAX29))/2</f>
        <v>0</v>
      </c>
      <c r="AAX7" s="494"/>
      <c r="AAY7" s="493">
        <f t="shared" si="513"/>
        <v>0</v>
      </c>
      <c r="AAZ7" s="494"/>
      <c r="ABA7" s="493">
        <f t="shared" ref="ABA7" si="811">((ABA30+ABB30)-(ABA29+ABB29))/2</f>
        <v>0</v>
      </c>
      <c r="ABB7" s="494"/>
      <c r="ABC7" s="493">
        <f t="shared" ref="ABC7" si="812">((ABC30+ABD30)-(ABC29+ABD29))/2</f>
        <v>0</v>
      </c>
      <c r="ABD7" s="494"/>
      <c r="ABE7" s="379">
        <f t="shared" si="516"/>
        <v>0</v>
      </c>
      <c r="ABF7" s="377"/>
      <c r="ABG7" s="481"/>
      <c r="ABH7" s="481"/>
      <c r="ABI7" s="481"/>
      <c r="ABJ7" s="481"/>
      <c r="ABK7" s="481"/>
      <c r="ABL7" s="481"/>
      <c r="ABM7" s="481"/>
      <c r="ABN7" s="481"/>
      <c r="ABO7" s="481"/>
      <c r="ABP7" s="481"/>
      <c r="ABQ7" s="481"/>
      <c r="ABR7" s="481"/>
      <c r="ABS7" s="481"/>
      <c r="ABT7" s="481"/>
      <c r="ABU7" s="481"/>
      <c r="ABV7" s="481"/>
      <c r="ABW7" s="481"/>
      <c r="ABX7" s="481"/>
      <c r="ABY7" s="481"/>
      <c r="ABZ7" s="481"/>
      <c r="ACA7" s="481"/>
      <c r="ACB7" s="481"/>
      <c r="ACC7" s="481"/>
      <c r="ACD7" s="481"/>
      <c r="ACE7" s="481"/>
      <c r="ACF7" s="481"/>
      <c r="ACG7" s="481"/>
      <c r="ACH7" s="481"/>
      <c r="ACI7" s="481"/>
      <c r="ACJ7" s="481"/>
      <c r="ACK7" s="481"/>
      <c r="ACL7" s="481"/>
      <c r="ACM7" s="481"/>
      <c r="ACN7" s="481"/>
      <c r="ACO7" s="481"/>
      <c r="ACP7" s="481"/>
      <c r="ACQ7" s="481"/>
      <c r="ACR7" s="481"/>
      <c r="ACS7" s="481"/>
      <c r="ACT7" s="481"/>
      <c r="ACU7" s="481"/>
      <c r="ACV7" s="481"/>
      <c r="ACW7" s="481"/>
      <c r="ACX7" s="481"/>
      <c r="ACY7" s="481"/>
      <c r="ACZ7" s="481"/>
      <c r="ADA7" s="481"/>
      <c r="ADB7" s="481"/>
      <c r="ADC7" s="481"/>
      <c r="ADD7" s="481"/>
      <c r="ADE7" s="481"/>
      <c r="ADF7" s="481"/>
      <c r="ADG7" s="481"/>
      <c r="ADH7" s="481"/>
      <c r="ADI7" s="481"/>
      <c r="ADJ7" s="481"/>
      <c r="ADK7" s="335"/>
      <c r="ADL7" s="335"/>
      <c r="ADM7" s="335"/>
      <c r="ADN7" s="335"/>
      <c r="ADO7" s="335"/>
      <c r="ADP7" s="335"/>
      <c r="ADQ7" s="335"/>
      <c r="ADR7" s="335"/>
      <c r="ADS7" s="335"/>
      <c r="ADT7" s="335"/>
      <c r="ADU7" s="335"/>
      <c r="ADV7" s="335"/>
      <c r="ADW7" s="335"/>
      <c r="ADX7" s="335"/>
      <c r="ADY7" s="335"/>
      <c r="ADZ7" s="335"/>
      <c r="AEA7" s="335"/>
      <c r="AEB7" s="335"/>
      <c r="AEC7" s="335"/>
      <c r="AED7" s="335"/>
      <c r="AEE7" s="335"/>
      <c r="AEF7" s="335"/>
      <c r="AEG7" s="335"/>
      <c r="AEH7" s="335"/>
      <c r="AEI7" s="335"/>
      <c r="AEJ7" s="335"/>
      <c r="AEK7" s="335"/>
      <c r="AEL7" s="335"/>
      <c r="AEM7" s="335"/>
      <c r="AEN7" s="335"/>
      <c r="AEO7" s="335"/>
      <c r="AEP7" s="335"/>
      <c r="AEQ7" s="335"/>
      <c r="AER7" s="335"/>
      <c r="AES7" s="335"/>
      <c r="AET7" s="335"/>
      <c r="AEU7" s="335"/>
      <c r="AEV7" s="335"/>
      <c r="AEW7" s="335"/>
      <c r="AEX7" s="335"/>
      <c r="AEY7" s="335"/>
      <c r="AEZ7" s="335"/>
      <c r="AFA7" s="335"/>
      <c r="AFB7" s="335"/>
      <c r="AFC7" s="335"/>
      <c r="AFD7" s="335"/>
      <c r="AFE7" s="335"/>
      <c r="AFF7" s="335"/>
      <c r="AFG7" s="335"/>
      <c r="AFH7" s="335"/>
      <c r="AFI7" s="335"/>
      <c r="AFJ7" s="335"/>
      <c r="AFK7" s="335"/>
      <c r="AFL7" s="335"/>
      <c r="AFM7" s="335"/>
      <c r="AFN7" s="335"/>
      <c r="AFO7" s="335"/>
      <c r="AFP7" s="335"/>
      <c r="AFQ7" s="335"/>
      <c r="AFR7" s="335"/>
      <c r="AFS7" s="335"/>
      <c r="AFT7" s="335"/>
      <c r="AFU7" s="335"/>
      <c r="AFV7" s="335"/>
      <c r="AFW7" s="335"/>
      <c r="AFX7" s="335"/>
      <c r="AFY7" s="335"/>
      <c r="AFZ7" s="335"/>
      <c r="AGA7" s="335"/>
      <c r="AGB7" s="335"/>
      <c r="AGC7" s="335"/>
      <c r="AGD7" s="335"/>
      <c r="AGE7" s="335"/>
      <c r="AGF7" s="335"/>
      <c r="AGG7" s="335"/>
      <c r="AGH7" s="335"/>
      <c r="AGI7" s="335"/>
      <c r="AGJ7" s="335"/>
      <c r="AGK7" s="335"/>
      <c r="AGL7" s="335"/>
      <c r="AGM7" s="335"/>
      <c r="AGN7" s="335"/>
      <c r="AGO7" s="335"/>
      <c r="AGP7" s="335"/>
      <c r="AGQ7" s="335"/>
      <c r="AGR7" s="335"/>
      <c r="AGS7" s="335"/>
      <c r="AGT7" s="335"/>
      <c r="AGU7" s="335"/>
      <c r="AGV7" s="335"/>
      <c r="AGW7" s="335"/>
      <c r="AGX7" s="335"/>
      <c r="AGY7" s="335"/>
      <c r="AGZ7" s="335"/>
      <c r="AHA7" s="335"/>
      <c r="AHB7" s="335"/>
      <c r="AHC7" s="335"/>
      <c r="AHD7" s="335"/>
      <c r="AHE7" s="335"/>
      <c r="AHF7" s="335"/>
      <c r="AHG7" s="335"/>
      <c r="AHH7" s="335"/>
      <c r="AHI7" s="335"/>
      <c r="AHJ7" s="335"/>
      <c r="AHK7" s="335"/>
      <c r="AHL7" s="335"/>
      <c r="AHM7" s="335"/>
      <c r="AHN7" s="335"/>
      <c r="AHO7" s="335"/>
      <c r="AHP7" s="335"/>
      <c r="AHQ7" s="335"/>
      <c r="AHR7" s="335"/>
      <c r="AHS7" s="335"/>
      <c r="AHT7" s="335"/>
      <c r="AHU7" s="335"/>
      <c r="AHV7" s="335"/>
      <c r="AHW7" s="335"/>
      <c r="AHX7" s="335"/>
      <c r="AHY7" s="335"/>
      <c r="AHZ7" s="335"/>
      <c r="AIA7" s="335"/>
      <c r="AIB7" s="335"/>
      <c r="AIC7" s="339"/>
    </row>
    <row r="8" spans="1:913" s="161" customFormat="1">
      <c r="A8" s="172"/>
      <c r="B8" s="177">
        <v>0.54166666666666696</v>
      </c>
      <c r="C8" s="493">
        <f t="shared" si="246"/>
        <v>0</v>
      </c>
      <c r="D8" s="494"/>
      <c r="E8" s="493">
        <f t="shared" si="0"/>
        <v>0</v>
      </c>
      <c r="F8" s="494"/>
      <c r="G8" s="493">
        <f t="shared" si="1"/>
        <v>0</v>
      </c>
      <c r="H8" s="494"/>
      <c r="I8" s="493">
        <f t="shared" si="247"/>
        <v>0</v>
      </c>
      <c r="J8" s="494"/>
      <c r="K8" s="493">
        <f t="shared" si="2"/>
        <v>0</v>
      </c>
      <c r="L8" s="494"/>
      <c r="M8" s="493">
        <f t="shared" si="3"/>
        <v>0</v>
      </c>
      <c r="N8" s="494"/>
      <c r="O8" s="493">
        <f t="shared" si="517"/>
        <v>0</v>
      </c>
      <c r="P8" s="494"/>
      <c r="Q8" s="493">
        <f t="shared" si="248"/>
        <v>0</v>
      </c>
      <c r="R8" s="494"/>
      <c r="S8" s="493">
        <f t="shared" si="249"/>
        <v>0</v>
      </c>
      <c r="T8" s="494"/>
      <c r="U8" s="493">
        <f t="shared" si="250"/>
        <v>0</v>
      </c>
      <c r="V8" s="494"/>
      <c r="W8" s="493">
        <f t="shared" si="251"/>
        <v>0</v>
      </c>
      <c r="X8" s="494"/>
      <c r="Y8" s="493">
        <f t="shared" si="252"/>
        <v>0</v>
      </c>
      <c r="Z8" s="494"/>
      <c r="AA8" s="493">
        <f t="shared" si="253"/>
        <v>0</v>
      </c>
      <c r="AB8" s="494"/>
      <c r="AC8" s="493">
        <f t="shared" si="254"/>
        <v>0</v>
      </c>
      <c r="AD8" s="494"/>
      <c r="AE8" s="493">
        <f t="shared" si="255"/>
        <v>0</v>
      </c>
      <c r="AF8" s="494"/>
      <c r="AG8" s="493">
        <f t="shared" si="256"/>
        <v>0</v>
      </c>
      <c r="AH8" s="494"/>
      <c r="AI8" s="493">
        <f t="shared" si="257"/>
        <v>0</v>
      </c>
      <c r="AJ8" s="494"/>
      <c r="AK8" s="493">
        <f t="shared" si="258"/>
        <v>0</v>
      </c>
      <c r="AL8" s="494"/>
      <c r="AM8" s="493">
        <f t="shared" si="259"/>
        <v>0</v>
      </c>
      <c r="AN8" s="494"/>
      <c r="AO8" s="493">
        <v>0</v>
      </c>
      <c r="AP8" s="494"/>
      <c r="AQ8" s="493">
        <f t="shared" si="261"/>
        <v>0</v>
      </c>
      <c r="AR8" s="494"/>
      <c r="AS8" s="493">
        <f t="shared" si="262"/>
        <v>0</v>
      </c>
      <c r="AT8" s="494"/>
      <c r="AU8" s="493">
        <f t="shared" si="263"/>
        <v>0</v>
      </c>
      <c r="AV8" s="494"/>
      <c r="AW8" s="493">
        <f t="shared" si="264"/>
        <v>0</v>
      </c>
      <c r="AX8" s="494"/>
      <c r="AY8" s="493">
        <f t="shared" si="265"/>
        <v>0</v>
      </c>
      <c r="AZ8" s="494"/>
      <c r="BA8" s="493">
        <f t="shared" si="266"/>
        <v>0</v>
      </c>
      <c r="BB8" s="494"/>
      <c r="BC8" s="493">
        <f t="shared" si="267"/>
        <v>0</v>
      </c>
      <c r="BD8" s="494"/>
      <c r="BE8" s="493">
        <f t="shared" si="268"/>
        <v>0</v>
      </c>
      <c r="BF8" s="494"/>
      <c r="BG8" s="493">
        <f t="shared" si="269"/>
        <v>0</v>
      </c>
      <c r="BH8" s="494"/>
      <c r="BI8" s="493">
        <f t="shared" si="270"/>
        <v>0</v>
      </c>
      <c r="BJ8" s="494"/>
      <c r="BK8" s="493">
        <f t="shared" si="271"/>
        <v>0</v>
      </c>
      <c r="BL8" s="494"/>
      <c r="BM8" s="493">
        <f t="shared" si="272"/>
        <v>0</v>
      </c>
      <c r="BN8" s="494"/>
      <c r="BO8" s="493">
        <f t="shared" si="273"/>
        <v>0</v>
      </c>
      <c r="BP8" s="494"/>
      <c r="BQ8" s="493">
        <f t="shared" si="274"/>
        <v>0</v>
      </c>
      <c r="BR8" s="494"/>
      <c r="BS8" s="493">
        <f t="shared" si="275"/>
        <v>0</v>
      </c>
      <c r="BT8" s="494"/>
      <c r="BU8" s="493">
        <f>((BU31+BV32)-(BU30+BV31))/2</f>
        <v>0</v>
      </c>
      <c r="BV8" s="494"/>
      <c r="BW8" s="493">
        <f t="shared" si="665"/>
        <v>0</v>
      </c>
      <c r="BX8" s="494"/>
      <c r="BY8" s="493">
        <f t="shared" si="277"/>
        <v>0</v>
      </c>
      <c r="BZ8" s="494"/>
      <c r="CA8" s="493">
        <f t="shared" si="278"/>
        <v>0</v>
      </c>
      <c r="CB8" s="494"/>
      <c r="CC8" s="493">
        <f>((CC31+CD33)-(CC30+CD32))/2</f>
        <v>0</v>
      </c>
      <c r="CD8" s="494"/>
      <c r="CE8" s="493">
        <f t="shared" si="280"/>
        <v>0</v>
      </c>
      <c r="CF8" s="494"/>
      <c r="CG8" s="493">
        <f t="shared" si="281"/>
        <v>0</v>
      </c>
      <c r="CH8" s="494"/>
      <c r="CI8" s="493">
        <f t="shared" si="282"/>
        <v>0</v>
      </c>
      <c r="CJ8" s="494"/>
      <c r="CK8" s="493">
        <f t="shared" si="283"/>
        <v>0</v>
      </c>
      <c r="CL8" s="494"/>
      <c r="CM8" s="493">
        <f t="shared" si="284"/>
        <v>0</v>
      </c>
      <c r="CN8" s="494"/>
      <c r="CO8" s="493">
        <f t="shared" si="285"/>
        <v>0</v>
      </c>
      <c r="CP8" s="494"/>
      <c r="CQ8" s="493">
        <f t="shared" si="286"/>
        <v>0</v>
      </c>
      <c r="CR8" s="494"/>
      <c r="CS8" s="493">
        <f t="shared" si="287"/>
        <v>0</v>
      </c>
      <c r="CT8" s="494"/>
      <c r="CU8" s="493">
        <f t="shared" si="288"/>
        <v>0</v>
      </c>
      <c r="CV8" s="494"/>
      <c r="CW8" s="493">
        <f t="shared" si="289"/>
        <v>0</v>
      </c>
      <c r="CX8" s="494"/>
      <c r="CY8" s="493">
        <f t="shared" si="290"/>
        <v>0</v>
      </c>
      <c r="CZ8" s="494"/>
      <c r="DA8" s="493">
        <f t="shared" ref="DA8:DA15" si="813">((DA31+DB31)-(DA30+DB30))/2</f>
        <v>0</v>
      </c>
      <c r="DB8" s="494"/>
      <c r="DC8" s="493">
        <f t="shared" si="292"/>
        <v>0</v>
      </c>
      <c r="DD8" s="494"/>
      <c r="DE8" s="493">
        <f t="shared" si="293"/>
        <v>0</v>
      </c>
      <c r="DF8" s="494"/>
      <c r="DG8" s="493">
        <f t="shared" si="294"/>
        <v>0</v>
      </c>
      <c r="DH8" s="494"/>
      <c r="DI8" s="493">
        <f t="shared" si="295"/>
        <v>0</v>
      </c>
      <c r="DJ8" s="494"/>
      <c r="DK8" s="493">
        <f t="shared" si="296"/>
        <v>0</v>
      </c>
      <c r="DL8" s="494"/>
      <c r="DM8" s="493">
        <f t="shared" si="297"/>
        <v>0</v>
      </c>
      <c r="DN8" s="494"/>
      <c r="DO8" s="493">
        <f t="shared" si="298"/>
        <v>0</v>
      </c>
      <c r="DP8" s="494"/>
      <c r="DQ8" s="493">
        <f t="shared" si="666"/>
        <v>0</v>
      </c>
      <c r="DR8" s="494"/>
      <c r="DS8" s="493">
        <f t="shared" si="300"/>
        <v>0</v>
      </c>
      <c r="DT8" s="494"/>
      <c r="DU8" s="493">
        <f t="shared" si="301"/>
        <v>0</v>
      </c>
      <c r="DV8" s="494"/>
      <c r="DW8" s="493">
        <f t="shared" si="302"/>
        <v>0</v>
      </c>
      <c r="DX8" s="494"/>
      <c r="DY8" s="493">
        <f t="shared" si="303"/>
        <v>0</v>
      </c>
      <c r="DZ8" s="494"/>
      <c r="EA8" s="493">
        <f t="shared" si="304"/>
        <v>0</v>
      </c>
      <c r="EB8" s="494"/>
      <c r="EC8" s="493">
        <f t="shared" si="305"/>
        <v>0</v>
      </c>
      <c r="ED8" s="494"/>
      <c r="EE8" s="493">
        <f t="shared" si="6"/>
        <v>0</v>
      </c>
      <c r="EF8" s="494"/>
      <c r="EG8" s="493">
        <f t="shared" si="7"/>
        <v>0</v>
      </c>
      <c r="EH8" s="494"/>
      <c r="EI8" s="493">
        <f t="shared" si="306"/>
        <v>0</v>
      </c>
      <c r="EJ8" s="494"/>
      <c r="EK8" s="493">
        <f t="shared" si="8"/>
        <v>0</v>
      </c>
      <c r="EL8" s="494"/>
      <c r="EM8" s="493">
        <f t="shared" si="9"/>
        <v>0</v>
      </c>
      <c r="EN8" s="494"/>
      <c r="EO8" s="493">
        <f t="shared" si="10"/>
        <v>0</v>
      </c>
      <c r="EP8" s="494"/>
      <c r="EQ8" s="493">
        <f t="shared" si="307"/>
        <v>0</v>
      </c>
      <c r="ER8" s="494"/>
      <c r="ES8" s="493">
        <f t="shared" si="308"/>
        <v>0</v>
      </c>
      <c r="ET8" s="494"/>
      <c r="EU8" s="493">
        <f t="shared" si="309"/>
        <v>0</v>
      </c>
      <c r="EV8" s="494"/>
      <c r="EW8" s="493">
        <f t="shared" si="310"/>
        <v>0</v>
      </c>
      <c r="EX8" s="494"/>
      <c r="EY8" s="493">
        <f t="shared" si="311"/>
        <v>0</v>
      </c>
      <c r="EZ8" s="494"/>
      <c r="FA8" s="493">
        <f t="shared" si="312"/>
        <v>0</v>
      </c>
      <c r="FB8" s="494"/>
      <c r="FC8" s="493">
        <f t="shared" si="313"/>
        <v>0</v>
      </c>
      <c r="FD8" s="494"/>
      <c r="FE8" s="493">
        <f t="shared" si="314"/>
        <v>0</v>
      </c>
      <c r="FF8" s="494"/>
      <c r="FG8" s="493">
        <f t="shared" si="315"/>
        <v>0</v>
      </c>
      <c r="FH8" s="494"/>
      <c r="FI8" s="493">
        <f t="shared" si="316"/>
        <v>0</v>
      </c>
      <c r="FJ8" s="494"/>
      <c r="FK8" s="493">
        <f t="shared" si="317"/>
        <v>0</v>
      </c>
      <c r="FL8" s="494"/>
      <c r="FM8" s="493">
        <f t="shared" si="318"/>
        <v>0</v>
      </c>
      <c r="FN8" s="494"/>
      <c r="FO8" s="493">
        <f t="shared" si="319"/>
        <v>0</v>
      </c>
      <c r="FP8" s="494"/>
      <c r="FQ8" s="493">
        <f t="shared" si="320"/>
        <v>0</v>
      </c>
      <c r="FR8" s="494"/>
      <c r="FS8" s="493">
        <f>((FS31+FT31)-(FS30+FT30))/2</f>
        <v>0</v>
      </c>
      <c r="FT8" s="494"/>
      <c r="FU8" s="493">
        <f t="shared" si="322"/>
        <v>0</v>
      </c>
      <c r="FV8" s="494"/>
      <c r="FW8" s="493">
        <f t="shared" si="323"/>
        <v>0</v>
      </c>
      <c r="FX8" s="494"/>
      <c r="FY8" s="493">
        <f t="shared" si="324"/>
        <v>0</v>
      </c>
      <c r="FZ8" s="494"/>
      <c r="GA8" s="493">
        <f t="shared" si="325"/>
        <v>0</v>
      </c>
      <c r="GB8" s="494"/>
      <c r="GC8" s="493">
        <f t="shared" si="326"/>
        <v>0</v>
      </c>
      <c r="GD8" s="494"/>
      <c r="GE8" s="493">
        <f t="shared" si="327"/>
        <v>0</v>
      </c>
      <c r="GF8" s="494"/>
      <c r="GG8" s="493">
        <f t="shared" ref="GG8:GG9" si="814">((GG31+GH31)-(GG30+GH30))/2</f>
        <v>0</v>
      </c>
      <c r="GH8" s="494"/>
      <c r="GI8" s="493">
        <f t="shared" si="329"/>
        <v>0</v>
      </c>
      <c r="GJ8" s="494"/>
      <c r="GK8" s="493">
        <f t="shared" si="330"/>
        <v>0</v>
      </c>
      <c r="GL8" s="494"/>
      <c r="GM8" s="493">
        <f t="shared" si="331"/>
        <v>0</v>
      </c>
      <c r="GN8" s="494"/>
      <c r="GO8" s="493">
        <f t="shared" si="332"/>
        <v>0</v>
      </c>
      <c r="GP8" s="494"/>
      <c r="GQ8" s="493">
        <f t="shared" si="333"/>
        <v>0</v>
      </c>
      <c r="GR8" s="494"/>
      <c r="GS8" s="493">
        <f t="shared" si="334"/>
        <v>0</v>
      </c>
      <c r="GT8" s="494"/>
      <c r="GU8" s="493">
        <f t="shared" si="11"/>
        <v>0</v>
      </c>
      <c r="GV8" s="494"/>
      <c r="GW8" s="493">
        <f t="shared" si="12"/>
        <v>0</v>
      </c>
      <c r="GX8" s="494"/>
      <c r="GY8" s="493">
        <f t="shared" si="13"/>
        <v>0</v>
      </c>
      <c r="GZ8" s="494"/>
      <c r="HA8" s="493">
        <f t="shared" si="335"/>
        <v>0</v>
      </c>
      <c r="HB8" s="494"/>
      <c r="HC8" s="493">
        <f t="shared" si="336"/>
        <v>0</v>
      </c>
      <c r="HD8" s="494"/>
      <c r="HE8" s="493">
        <f t="shared" si="337"/>
        <v>0</v>
      </c>
      <c r="HF8" s="494"/>
      <c r="HG8" s="493">
        <f t="shared" si="338"/>
        <v>0</v>
      </c>
      <c r="HH8" s="494"/>
      <c r="HI8" s="493">
        <f t="shared" si="339"/>
        <v>0</v>
      </c>
      <c r="HJ8" s="494"/>
      <c r="HK8" s="493">
        <f t="shared" si="340"/>
        <v>0</v>
      </c>
      <c r="HL8" s="494"/>
      <c r="HM8" s="493">
        <f t="shared" si="341"/>
        <v>0</v>
      </c>
      <c r="HN8" s="494"/>
      <c r="HO8" s="493">
        <f t="shared" si="342"/>
        <v>0</v>
      </c>
      <c r="HP8" s="494"/>
      <c r="HQ8" s="493">
        <f t="shared" si="343"/>
        <v>0</v>
      </c>
      <c r="HR8" s="494"/>
      <c r="HS8" s="493">
        <f t="shared" si="344"/>
        <v>0</v>
      </c>
      <c r="HT8" s="494"/>
      <c r="HU8" s="493">
        <f t="shared" si="345"/>
        <v>0</v>
      </c>
      <c r="HV8" s="494"/>
      <c r="HW8" s="493">
        <f t="shared" si="346"/>
        <v>0</v>
      </c>
      <c r="HX8" s="494"/>
      <c r="HY8" s="493">
        <f t="shared" si="347"/>
        <v>0</v>
      </c>
      <c r="HZ8" s="494"/>
      <c r="IA8" s="493">
        <f t="shared" si="348"/>
        <v>0</v>
      </c>
      <c r="IB8" s="494"/>
      <c r="IC8" s="493">
        <f t="shared" si="349"/>
        <v>0</v>
      </c>
      <c r="ID8" s="494"/>
      <c r="IE8" s="493">
        <f t="shared" si="350"/>
        <v>0</v>
      </c>
      <c r="IF8" s="494"/>
      <c r="IG8" s="493">
        <f t="shared" si="351"/>
        <v>0</v>
      </c>
      <c r="IH8" s="494"/>
      <c r="II8" s="493">
        <f t="shared" si="352"/>
        <v>0</v>
      </c>
      <c r="IJ8" s="494"/>
      <c r="IK8" s="493">
        <f t="shared" si="353"/>
        <v>0</v>
      </c>
      <c r="IL8" s="494"/>
      <c r="IM8" s="493">
        <f t="shared" si="354"/>
        <v>0</v>
      </c>
      <c r="IN8" s="494"/>
      <c r="IO8" s="493">
        <f t="shared" si="355"/>
        <v>0</v>
      </c>
      <c r="IP8" s="494"/>
      <c r="IQ8" s="493">
        <f t="shared" si="356"/>
        <v>0</v>
      </c>
      <c r="IR8" s="494"/>
      <c r="IS8" s="493">
        <f t="shared" si="357"/>
        <v>0</v>
      </c>
      <c r="IT8" s="494"/>
      <c r="IU8" s="493">
        <f t="shared" si="14"/>
        <v>0</v>
      </c>
      <c r="IV8" s="494"/>
      <c r="IW8" s="493">
        <f t="shared" si="15"/>
        <v>0</v>
      </c>
      <c r="IX8" s="494"/>
      <c r="IY8" s="493">
        <f t="shared" si="16"/>
        <v>0</v>
      </c>
      <c r="IZ8" s="494"/>
      <c r="JA8" s="493">
        <f t="shared" ref="JA8" si="815">((JA31+JB31)-(JA30+JB30))/2</f>
        <v>0</v>
      </c>
      <c r="JB8" s="494"/>
      <c r="JC8" s="493">
        <f t="shared" ref="JC8" si="816">((JC31+JD31)-(JC30+JD30))/2</f>
        <v>0</v>
      </c>
      <c r="JD8" s="494"/>
      <c r="JE8" s="493">
        <f t="shared" si="19"/>
        <v>0</v>
      </c>
      <c r="JF8" s="494"/>
      <c r="JG8" s="493">
        <f t="shared" ref="JG8" si="817">((JG31+JH31)-(JG30+JH30))/2</f>
        <v>0</v>
      </c>
      <c r="JH8" s="494"/>
      <c r="JI8" s="493">
        <f t="shared" ref="JI8" si="818">((JI31+JJ31)-(JI30+JJ30))/2</f>
        <v>0</v>
      </c>
      <c r="JJ8" s="494"/>
      <c r="JK8" s="493">
        <f t="shared" si="22"/>
        <v>0</v>
      </c>
      <c r="JL8" s="494"/>
      <c r="JM8" s="493">
        <f t="shared" ref="JM8" si="819">((JM31+JN31)-(JM30+JN30))/2</f>
        <v>0</v>
      </c>
      <c r="JN8" s="494"/>
      <c r="JO8" s="493">
        <f t="shared" ref="JO8" si="820">((JO31+JP31)-(JO30+JP30))/2</f>
        <v>0</v>
      </c>
      <c r="JP8" s="494"/>
      <c r="JQ8" s="493">
        <f t="shared" si="25"/>
        <v>0</v>
      </c>
      <c r="JR8" s="494"/>
      <c r="JS8" s="493">
        <f t="shared" ref="JS8" si="821">((JS31+JT31)-(JS30+JT30))/2</f>
        <v>0</v>
      </c>
      <c r="JT8" s="494"/>
      <c r="JU8" s="493">
        <f t="shared" ref="JU8" si="822">((JU31+JV31)-(JU30+JV30))/2</f>
        <v>0</v>
      </c>
      <c r="JV8" s="494"/>
      <c r="JW8" s="493">
        <f t="shared" si="28"/>
        <v>0</v>
      </c>
      <c r="JX8" s="494"/>
      <c r="JY8" s="493">
        <f t="shared" ref="JY8" si="823">((JY31+JZ31)-(JY30+JZ30))/2</f>
        <v>0</v>
      </c>
      <c r="JZ8" s="494"/>
      <c r="KA8" s="493">
        <f t="shared" ref="KA8" si="824">((KA31+KB31)-(KA30+KB30))/2</f>
        <v>0</v>
      </c>
      <c r="KB8" s="494"/>
      <c r="KC8" s="493">
        <f t="shared" si="31"/>
        <v>0</v>
      </c>
      <c r="KD8" s="494"/>
      <c r="KE8" s="493">
        <f t="shared" si="368"/>
        <v>0</v>
      </c>
      <c r="KF8" s="494"/>
      <c r="KG8" s="493">
        <f t="shared" ref="KG8" si="825">((KG31+KH31)-(KG30+KH30))/2</f>
        <v>0</v>
      </c>
      <c r="KH8" s="494"/>
      <c r="KI8" s="493">
        <f t="shared" si="34"/>
        <v>0</v>
      </c>
      <c r="KJ8" s="494"/>
      <c r="KK8" s="493">
        <f t="shared" ref="KK8" si="826">((KK31+KL31)-(KK30+KL30))/2</f>
        <v>0</v>
      </c>
      <c r="KL8" s="494"/>
      <c r="KM8" s="493">
        <f t="shared" ref="KM8" si="827">((KM31+KN31)-(KM30+KN30))/2</f>
        <v>0</v>
      </c>
      <c r="KN8" s="494"/>
      <c r="KO8" s="493">
        <f t="shared" si="37"/>
        <v>0</v>
      </c>
      <c r="KP8" s="494"/>
      <c r="KQ8" s="493">
        <f t="shared" ref="KQ8" si="828">((KQ31+KR31)-(KQ30+KR30))/2</f>
        <v>0</v>
      </c>
      <c r="KR8" s="494"/>
      <c r="KS8" s="493">
        <f t="shared" ref="KS8" si="829">((KS31+KT31)-(KS30+KT30))/2</f>
        <v>0</v>
      </c>
      <c r="KT8" s="494"/>
      <c r="KU8" s="493">
        <f t="shared" si="40"/>
        <v>0</v>
      </c>
      <c r="KV8" s="494"/>
      <c r="KW8" s="493">
        <f t="shared" ref="KW8" si="830">((KW31+KX31)-(KW30+KX30))/2</f>
        <v>0</v>
      </c>
      <c r="KX8" s="494"/>
      <c r="KY8" s="493">
        <f t="shared" ref="KY8" si="831">((KY31+KZ31)-(KY30+KZ30))/2</f>
        <v>0</v>
      </c>
      <c r="KZ8" s="494"/>
      <c r="LA8" s="493">
        <f t="shared" si="43"/>
        <v>0</v>
      </c>
      <c r="LB8" s="494"/>
      <c r="LC8" s="493">
        <f t="shared" si="376"/>
        <v>0</v>
      </c>
      <c r="LD8" s="494"/>
      <c r="LE8" s="493">
        <f t="shared" si="377"/>
        <v>0</v>
      </c>
      <c r="LF8" s="494"/>
      <c r="LG8" s="493">
        <f t="shared" si="378"/>
        <v>0</v>
      </c>
      <c r="LH8" s="494"/>
      <c r="LI8" s="493">
        <f t="shared" ref="LI8" si="832">((LI31+LJ31)-(LI30+LJ30))/2</f>
        <v>0</v>
      </c>
      <c r="LJ8" s="494"/>
      <c r="LK8" s="493">
        <f t="shared" ref="LK8" si="833">((LK31+LL31)-(LK30+LL30))/2</f>
        <v>0</v>
      </c>
      <c r="LL8" s="494"/>
      <c r="LM8" s="493">
        <f t="shared" si="49"/>
        <v>0</v>
      </c>
      <c r="LN8" s="494"/>
      <c r="LO8" s="493">
        <f t="shared" ref="LO8" si="834">((LO31+LP31)-(LO30+LP30))/2</f>
        <v>0</v>
      </c>
      <c r="LP8" s="494"/>
      <c r="LQ8" s="493">
        <f t="shared" ref="LQ8" si="835">((LQ31+LR31)-(LQ30+LR30))/2</f>
        <v>0</v>
      </c>
      <c r="LR8" s="494"/>
      <c r="LS8" s="493">
        <f t="shared" si="52"/>
        <v>0</v>
      </c>
      <c r="LT8" s="494"/>
      <c r="LU8" s="493">
        <f t="shared" ref="LU8" si="836">((LU31+LV31)-(LU30+LV30))/2</f>
        <v>0</v>
      </c>
      <c r="LV8" s="494"/>
      <c r="LW8" s="493">
        <f t="shared" ref="LW8" si="837">((LW31+LX31)-(LW30+LX30))/2</f>
        <v>0</v>
      </c>
      <c r="LX8" s="494"/>
      <c r="LY8" s="493">
        <f t="shared" si="55"/>
        <v>0</v>
      </c>
      <c r="LZ8" s="494"/>
      <c r="MA8" s="493">
        <f t="shared" ref="MA8" si="838">((MA31+MB31)-(MA30+MB30))/2</f>
        <v>0</v>
      </c>
      <c r="MB8" s="494"/>
      <c r="MC8" s="493">
        <f t="shared" ref="MC8" si="839">((MC31+MD31)-(MC30+MD30))/2</f>
        <v>0</v>
      </c>
      <c r="MD8" s="494"/>
      <c r="ME8" s="493">
        <f t="shared" si="58"/>
        <v>0</v>
      </c>
      <c r="MF8" s="494"/>
      <c r="MG8" s="493">
        <f t="shared" ref="MG8" si="840">((MG31+MH31)-(MG30+MH30))/2</f>
        <v>0</v>
      </c>
      <c r="MH8" s="494"/>
      <c r="MI8" s="493">
        <f t="shared" ref="MI8" si="841">((MI31+MJ31)-(MI30+MJ30))/2</f>
        <v>0</v>
      </c>
      <c r="MJ8" s="494"/>
      <c r="MK8" s="493">
        <f t="shared" si="61"/>
        <v>0</v>
      </c>
      <c r="ML8" s="494"/>
      <c r="MM8" s="493">
        <f t="shared" ref="MM8" si="842">((MM31+MN31)-(MM30+MN30))/2</f>
        <v>0</v>
      </c>
      <c r="MN8" s="494"/>
      <c r="MO8" s="493">
        <f t="shared" ref="MO8" si="843">((MO31+MP31)-(MO30+MP30))/2</f>
        <v>0</v>
      </c>
      <c r="MP8" s="494"/>
      <c r="MQ8" s="493">
        <f t="shared" si="64"/>
        <v>0</v>
      </c>
      <c r="MR8" s="494"/>
      <c r="MS8" s="493">
        <f t="shared" ref="MS8" si="844">((MS31+MT31)-(MS30+MT30))/2</f>
        <v>0</v>
      </c>
      <c r="MT8" s="494"/>
      <c r="MU8" s="493">
        <f t="shared" ref="MU8" si="845">((MU31+MV31)-(MU30+MV30))/2</f>
        <v>0</v>
      </c>
      <c r="MV8" s="494"/>
      <c r="MW8" s="493">
        <f t="shared" si="67"/>
        <v>0</v>
      </c>
      <c r="MX8" s="494"/>
      <c r="MY8" s="493">
        <f t="shared" ref="MY8" si="846">((MY31+MZ31)-(MY30+MZ30))/2</f>
        <v>0</v>
      </c>
      <c r="MZ8" s="494"/>
      <c r="NA8" s="493">
        <f t="shared" ref="NA8" si="847">((NA31+NB31)-(NA30+NB30))/2</f>
        <v>0</v>
      </c>
      <c r="NB8" s="494"/>
      <c r="NC8" s="493">
        <f t="shared" si="70"/>
        <v>0</v>
      </c>
      <c r="ND8" s="494"/>
      <c r="NE8" s="493">
        <f t="shared" ref="NE8" si="848">((NE31+NF31)-(NE30+NF30))/2</f>
        <v>0</v>
      </c>
      <c r="NF8" s="494"/>
      <c r="NG8" s="493">
        <f t="shared" ref="NG8" si="849">((NG31+NH31)-(NG30+NH30))/2</f>
        <v>0</v>
      </c>
      <c r="NH8" s="494"/>
      <c r="NI8" s="493">
        <f t="shared" si="73"/>
        <v>0</v>
      </c>
      <c r="NJ8" s="494"/>
      <c r="NK8" s="493">
        <f t="shared" ref="NK8" si="850">((NK31+NL31)-(NK30+NL30))/2</f>
        <v>0</v>
      </c>
      <c r="NL8" s="494"/>
      <c r="NM8" s="493">
        <f t="shared" ref="NM8" si="851">((NM31+NN31)-(NM30+NN30))/2</f>
        <v>0</v>
      </c>
      <c r="NN8" s="494"/>
      <c r="NO8" s="493">
        <f t="shared" si="76"/>
        <v>0</v>
      </c>
      <c r="NP8" s="494"/>
      <c r="NQ8" s="493">
        <f t="shared" ref="NQ8" si="852">((NQ31+NR31)-(NQ30+NR30))/2</f>
        <v>0</v>
      </c>
      <c r="NR8" s="494"/>
      <c r="NS8" s="493">
        <f t="shared" ref="NS8" si="853">((NS31+NT31)-(NS30+NT30))/2</f>
        <v>0</v>
      </c>
      <c r="NT8" s="494"/>
      <c r="NU8" s="493">
        <f t="shared" si="79"/>
        <v>0</v>
      </c>
      <c r="NV8" s="494"/>
      <c r="NW8" s="493">
        <f t="shared" ref="NW8" si="854">((NW31+NX31)-(NW30+NX30))/2</f>
        <v>0</v>
      </c>
      <c r="NX8" s="494"/>
      <c r="NY8" s="493">
        <f t="shared" ref="NY8" si="855">((NY31+NZ31)-(NY30+NZ30))/2</f>
        <v>0</v>
      </c>
      <c r="NZ8" s="494"/>
      <c r="OA8" s="493">
        <f t="shared" si="82"/>
        <v>0</v>
      </c>
      <c r="OB8" s="494"/>
      <c r="OC8" s="493">
        <f t="shared" ref="OC8" si="856">((OC31+OD31)-(OC30+OD30))/2</f>
        <v>0</v>
      </c>
      <c r="OD8" s="494"/>
      <c r="OE8" s="493">
        <f t="shared" ref="OE8" si="857">((OE31+OF31)-(OE30+OF30))/2</f>
        <v>0</v>
      </c>
      <c r="OF8" s="494"/>
      <c r="OG8" s="493">
        <f t="shared" si="85"/>
        <v>0</v>
      </c>
      <c r="OH8" s="494"/>
      <c r="OI8" s="493">
        <f t="shared" ref="OI8" si="858">((OI31+OJ31)-(OI30+OJ30))/2</f>
        <v>0</v>
      </c>
      <c r="OJ8" s="494"/>
      <c r="OK8" s="493">
        <f t="shared" ref="OK8" si="859">((OK31+OL31)-(OK30+OL30))/2</f>
        <v>0</v>
      </c>
      <c r="OL8" s="494"/>
      <c r="OM8" s="493">
        <f t="shared" si="88"/>
        <v>0</v>
      </c>
      <c r="ON8" s="494"/>
      <c r="OO8" s="493">
        <f t="shared" ref="OO8" si="860">((OO31+OP31)-(OO30+OP30))/2</f>
        <v>0</v>
      </c>
      <c r="OP8" s="494"/>
      <c r="OQ8" s="493">
        <f t="shared" ref="OQ8" si="861">((OQ31+OR31)-(OQ30+OR30))/2</f>
        <v>0</v>
      </c>
      <c r="OR8" s="494"/>
      <c r="OS8" s="493">
        <f t="shared" si="91"/>
        <v>0</v>
      </c>
      <c r="OT8" s="494"/>
      <c r="OU8" s="493">
        <f t="shared" ref="OU8" si="862">((OU31+OV31)-(OU30+OV30))/2</f>
        <v>0</v>
      </c>
      <c r="OV8" s="494"/>
      <c r="OW8" s="493">
        <f t="shared" ref="OW8" si="863">((OW31+OX31)-(OW30+OX30))/2</f>
        <v>0</v>
      </c>
      <c r="OX8" s="494"/>
      <c r="OY8" s="493">
        <f t="shared" si="94"/>
        <v>0</v>
      </c>
      <c r="OZ8" s="494"/>
      <c r="PA8" s="493">
        <f t="shared" ref="PA8" si="864">((PA31+PB31)-(PA30+PB30))/2</f>
        <v>0</v>
      </c>
      <c r="PB8" s="494"/>
      <c r="PC8" s="493">
        <f t="shared" ref="PC8" si="865">((PC31+PD31)-(PC30+PD30))/2</f>
        <v>0</v>
      </c>
      <c r="PD8" s="494"/>
      <c r="PE8" s="493">
        <f t="shared" si="97"/>
        <v>0</v>
      </c>
      <c r="PF8" s="494"/>
      <c r="PG8" s="493">
        <f t="shared" ref="PG8" si="866">((PG31+PH31)-(PG30+PH30))/2</f>
        <v>0</v>
      </c>
      <c r="PH8" s="494"/>
      <c r="PI8" s="493">
        <f t="shared" ref="PI8" si="867">((PI31+PJ31)-(PI30+PJ30))/2</f>
        <v>0</v>
      </c>
      <c r="PJ8" s="494"/>
      <c r="PK8" s="493">
        <f t="shared" si="100"/>
        <v>0</v>
      </c>
      <c r="PL8" s="494"/>
      <c r="PM8" s="493">
        <f t="shared" ref="PM8" si="868">((PM31+PN31)-(PM30+PN30))/2</f>
        <v>0</v>
      </c>
      <c r="PN8" s="494"/>
      <c r="PO8" s="493">
        <f t="shared" ref="PO8" si="869">((PO31+PP31)-(PO30+PP30))/2</f>
        <v>0</v>
      </c>
      <c r="PP8" s="494"/>
      <c r="PQ8" s="493">
        <f t="shared" si="103"/>
        <v>0</v>
      </c>
      <c r="PR8" s="494"/>
      <c r="PS8" s="493">
        <f t="shared" ref="PS8" si="870">((PS31+PT31)-(PS30+PT30))/2</f>
        <v>0</v>
      </c>
      <c r="PT8" s="494"/>
      <c r="PU8" s="493">
        <f t="shared" ref="PU8" si="871">((PU31+PV31)-(PU30+PV30))/2</f>
        <v>0</v>
      </c>
      <c r="PV8" s="494"/>
      <c r="PW8" s="493">
        <f t="shared" si="106"/>
        <v>0</v>
      </c>
      <c r="PX8" s="494"/>
      <c r="PY8" s="493">
        <f t="shared" ref="PY8" si="872">((PY31+PZ31)-(PY30+PZ30))/2</f>
        <v>0</v>
      </c>
      <c r="PZ8" s="494"/>
      <c r="QA8" s="493">
        <f t="shared" ref="QA8" si="873">((QA31+QB31)-(QA30+QB30))/2</f>
        <v>0</v>
      </c>
      <c r="QB8" s="494"/>
      <c r="QC8" s="493">
        <f t="shared" si="109"/>
        <v>0</v>
      </c>
      <c r="QD8" s="494"/>
      <c r="QE8" s="493">
        <f t="shared" ref="QE8" si="874">((QE31+QF31)-(QE30+QF30))/2</f>
        <v>0</v>
      </c>
      <c r="QF8" s="494"/>
      <c r="QG8" s="493">
        <f t="shared" ref="QG8" si="875">((QG31+QH31)-(QG30+QH30))/2</f>
        <v>0</v>
      </c>
      <c r="QH8" s="494"/>
      <c r="QI8" s="493">
        <f t="shared" si="112"/>
        <v>0</v>
      </c>
      <c r="QJ8" s="494"/>
      <c r="QK8" s="493">
        <f t="shared" ref="QK8" si="876">((QK31+QL31)-(QK30+QL30))/2</f>
        <v>0</v>
      </c>
      <c r="QL8" s="494"/>
      <c r="QM8" s="493">
        <f t="shared" ref="QM8" si="877">((QM31+QN31)-(QM30+QN30))/2</f>
        <v>0</v>
      </c>
      <c r="QN8" s="494"/>
      <c r="QO8" s="493">
        <f t="shared" si="115"/>
        <v>0</v>
      </c>
      <c r="QP8" s="494"/>
      <c r="QQ8" s="493">
        <f t="shared" ref="QQ8" si="878">((QQ31+QR31)-(QQ30+QR30))/2</f>
        <v>0</v>
      </c>
      <c r="QR8" s="494"/>
      <c r="QS8" s="493">
        <f t="shared" ref="QS8" si="879">((QS31+QT31)-(QS30+QT30))/2</f>
        <v>0</v>
      </c>
      <c r="QT8" s="494"/>
      <c r="QU8" s="493">
        <f t="shared" si="118"/>
        <v>0</v>
      </c>
      <c r="QV8" s="494"/>
      <c r="QW8" s="493">
        <f t="shared" ref="QW8" si="880">((QW31+QX31)-(QW30+QX30))/2</f>
        <v>0</v>
      </c>
      <c r="QX8" s="494"/>
      <c r="QY8" s="493">
        <f t="shared" ref="QY8" si="881">((QY31+QZ31)-(QY30+QZ30))/2</f>
        <v>0</v>
      </c>
      <c r="QZ8" s="494"/>
      <c r="RA8" s="493">
        <f t="shared" si="121"/>
        <v>0</v>
      </c>
      <c r="RB8" s="494"/>
      <c r="RC8" s="493">
        <f t="shared" ref="RC8" si="882">((RC31+RD31)-(RC30+RD30))/2</f>
        <v>0</v>
      </c>
      <c r="RD8" s="494"/>
      <c r="RE8" s="493">
        <f t="shared" ref="RE8" si="883">((RE31+RF31)-(RE30+RF30))/2</f>
        <v>0</v>
      </c>
      <c r="RF8" s="494"/>
      <c r="RG8" s="493">
        <f t="shared" si="124"/>
        <v>0</v>
      </c>
      <c r="RH8" s="494"/>
      <c r="RI8" s="493">
        <f>((RI31+RJ32)-(RI30+RJ31))/2</f>
        <v>0</v>
      </c>
      <c r="RJ8" s="494"/>
      <c r="RK8" s="493">
        <f t="shared" ref="RK8" si="884">((RK31+RL31)-(RK30+RL30))/2</f>
        <v>0</v>
      </c>
      <c r="RL8" s="494"/>
      <c r="RM8" s="493">
        <f t="shared" si="126"/>
        <v>0</v>
      </c>
      <c r="RN8" s="494"/>
      <c r="RO8" s="493">
        <f t="shared" ref="RO8" si="885">((RO31+RP31)-(RO30+RP30))/2</f>
        <v>0</v>
      </c>
      <c r="RP8" s="494"/>
      <c r="RQ8" s="493">
        <f t="shared" ref="RQ8" si="886">((RQ31+RR31)-(RQ30+RR30))/2</f>
        <v>0</v>
      </c>
      <c r="RR8" s="494"/>
      <c r="RS8" s="493">
        <f t="shared" si="129"/>
        <v>0</v>
      </c>
      <c r="RT8" s="494"/>
      <c r="RU8" s="493">
        <f t="shared" ref="RU8" si="887">((RU31+RV31)-(RU30+RV30))/2</f>
        <v>0</v>
      </c>
      <c r="RV8" s="494"/>
      <c r="RW8" s="493">
        <f t="shared" ref="RW8" si="888">((RW31+RX31)-(RW30+RX30))/2</f>
        <v>0</v>
      </c>
      <c r="RX8" s="494"/>
      <c r="RY8" s="493">
        <f t="shared" si="132"/>
        <v>0</v>
      </c>
      <c r="RZ8" s="494"/>
      <c r="SA8" s="493">
        <f t="shared" ref="SA8" si="889">((SA31+SB31)-(SA30+SB30))/2</f>
        <v>0</v>
      </c>
      <c r="SB8" s="494"/>
      <c r="SC8" s="493">
        <f t="shared" ref="SC8" si="890">((SC31+SD31)-(SC30+SD30))/2</f>
        <v>0</v>
      </c>
      <c r="SD8" s="494"/>
      <c r="SE8" s="493">
        <f t="shared" si="135"/>
        <v>0</v>
      </c>
      <c r="SF8" s="494"/>
      <c r="SG8" s="493">
        <f t="shared" ref="SG8" si="891">((SG31+SH31)-(SG30+SH30))/2</f>
        <v>0</v>
      </c>
      <c r="SH8" s="494"/>
      <c r="SI8" s="493">
        <f t="shared" ref="SI8" si="892">((SI31+SJ31)-(SI30+SJ30))/2</f>
        <v>0</v>
      </c>
      <c r="SJ8" s="494"/>
      <c r="SK8" s="493">
        <f t="shared" si="138"/>
        <v>0</v>
      </c>
      <c r="SL8" s="494"/>
      <c r="SM8" s="493">
        <f t="shared" ref="SM8" si="893">((SM31+SN31)-(SM30+SN30))/2</f>
        <v>0</v>
      </c>
      <c r="SN8" s="494"/>
      <c r="SO8" s="493">
        <f t="shared" ref="SO8" si="894">((SO31+SP31)-(SO30+SP30))/2</f>
        <v>0</v>
      </c>
      <c r="SP8" s="494"/>
      <c r="SQ8" s="493">
        <f t="shared" si="141"/>
        <v>0</v>
      </c>
      <c r="SR8" s="494"/>
      <c r="SS8" s="493">
        <f t="shared" ref="SS8" si="895">((SS31+ST31)-(SS30+ST30))/2</f>
        <v>0</v>
      </c>
      <c r="ST8" s="494"/>
      <c r="SU8" s="493">
        <f t="shared" ref="SU8" si="896">((SU31+SV31)-(SU30+SV30))/2</f>
        <v>0</v>
      </c>
      <c r="SV8" s="494"/>
      <c r="SW8" s="493">
        <f t="shared" si="144"/>
        <v>0</v>
      </c>
      <c r="SX8" s="494"/>
      <c r="SY8" s="493">
        <f t="shared" ref="SY8" si="897">((SY31+SZ31)-(SY30+SZ30))/2</f>
        <v>0</v>
      </c>
      <c r="SZ8" s="494"/>
      <c r="TA8" s="493">
        <f t="shared" ref="TA8" si="898">((TA31+TB31)-(TA30+TB30))/2</f>
        <v>0</v>
      </c>
      <c r="TB8" s="494"/>
      <c r="TC8" s="493">
        <f t="shared" si="147"/>
        <v>0</v>
      </c>
      <c r="TD8" s="494"/>
      <c r="TE8" s="493">
        <f t="shared" ref="TE8" si="899">((TE31+TF31)-(TE30+TF30))/2</f>
        <v>0</v>
      </c>
      <c r="TF8" s="494"/>
      <c r="TG8" s="493">
        <f t="shared" ref="TG8" si="900">((TG31+TH31)-(TG30+TH30))/2</f>
        <v>0</v>
      </c>
      <c r="TH8" s="494"/>
      <c r="TI8" s="493">
        <f t="shared" si="150"/>
        <v>0</v>
      </c>
      <c r="TJ8" s="494"/>
      <c r="TK8" s="493">
        <f t="shared" ref="TK8" si="901">((TK31+TL31)-(TK30+TL30))/2</f>
        <v>0</v>
      </c>
      <c r="TL8" s="494"/>
      <c r="TM8" s="493">
        <f t="shared" ref="TM8" si="902">((TM31+TN31)-(TM30+TN30))/2</f>
        <v>0</v>
      </c>
      <c r="TN8" s="494"/>
      <c r="TO8" s="493">
        <f t="shared" si="153"/>
        <v>0</v>
      </c>
      <c r="TP8" s="494"/>
      <c r="TQ8" s="493">
        <f t="shared" ref="TQ8" si="903">((TQ31+TR31)-(TQ30+TR30))/2</f>
        <v>0</v>
      </c>
      <c r="TR8" s="494"/>
      <c r="TS8" s="493">
        <f t="shared" ref="TS8" si="904">((TS31+TT31)-(TS30+TT30))/2</f>
        <v>0</v>
      </c>
      <c r="TT8" s="494"/>
      <c r="TU8" s="493">
        <f t="shared" si="156"/>
        <v>0</v>
      </c>
      <c r="TV8" s="494"/>
      <c r="TW8" s="493">
        <f t="shared" ref="TW8" si="905">((TW31+TX31)-(TW30+TX30))/2</f>
        <v>0</v>
      </c>
      <c r="TX8" s="494"/>
      <c r="TY8" s="493">
        <f t="shared" ref="TY8" si="906">((TY31+TZ31)-(TY30+TZ30))/2</f>
        <v>0</v>
      </c>
      <c r="TZ8" s="494"/>
      <c r="UA8" s="493">
        <f t="shared" si="159"/>
        <v>0</v>
      </c>
      <c r="UB8" s="494"/>
      <c r="UC8" s="493">
        <f t="shared" ref="UC8" si="907">((UC31+UD31)-(UC30+UD30))/2</f>
        <v>0</v>
      </c>
      <c r="UD8" s="494"/>
      <c r="UE8" s="493">
        <f t="shared" ref="UE8" si="908">((UE31+UF31)-(UE30+UF30))/2</f>
        <v>0</v>
      </c>
      <c r="UF8" s="494"/>
      <c r="UG8" s="493">
        <f t="shared" si="162"/>
        <v>0</v>
      </c>
      <c r="UH8" s="494"/>
      <c r="UI8" s="493">
        <f t="shared" ref="UI8" si="909">((UI31+UJ31)-(UI30+UJ30))/2</f>
        <v>0</v>
      </c>
      <c r="UJ8" s="494"/>
      <c r="UK8" s="493">
        <f t="shared" ref="UK8" si="910">((UK31+UL31)-(UK30+UL30))/2</f>
        <v>0</v>
      </c>
      <c r="UL8" s="494"/>
      <c r="UM8" s="493">
        <f t="shared" si="165"/>
        <v>0</v>
      </c>
      <c r="UN8" s="494"/>
      <c r="UO8" s="493">
        <f t="shared" ref="UO8" si="911">((UO31+UP31)-(UO30+UP30))/2</f>
        <v>0</v>
      </c>
      <c r="UP8" s="494"/>
      <c r="UQ8" s="493">
        <f t="shared" ref="UQ8" si="912">((UQ31+UR31)-(UQ30+UR30))/2</f>
        <v>0</v>
      </c>
      <c r="UR8" s="494"/>
      <c r="US8" s="493">
        <f t="shared" si="168"/>
        <v>0</v>
      </c>
      <c r="UT8" s="494"/>
      <c r="UU8" s="493">
        <f t="shared" ref="UU8" si="913">((UU31+UV31)-(UU30+UV30))/2</f>
        <v>0</v>
      </c>
      <c r="UV8" s="494"/>
      <c r="UW8" s="493">
        <f t="shared" ref="UW8" si="914">((UW31+UX31)-(UW30+UX30))/2</f>
        <v>0</v>
      </c>
      <c r="UX8" s="494"/>
      <c r="UY8" s="493">
        <f t="shared" si="171"/>
        <v>0</v>
      </c>
      <c r="UZ8" s="494"/>
      <c r="VA8" s="493">
        <f t="shared" ref="VA8" si="915">((VA31+VB31)-(VA30+VB30))/2</f>
        <v>0</v>
      </c>
      <c r="VB8" s="494"/>
      <c r="VC8" s="493">
        <f t="shared" ref="VC8" si="916">((VC31+VD31)-(VC30+VD30))/2</f>
        <v>0</v>
      </c>
      <c r="VD8" s="494"/>
      <c r="VE8" s="493">
        <f t="shared" si="464"/>
        <v>0</v>
      </c>
      <c r="VF8" s="494"/>
      <c r="VG8" s="493">
        <f t="shared" ref="VG8" si="917">((VG31+VH31)-(VG30+VH30))/2</f>
        <v>0</v>
      </c>
      <c r="VH8" s="494"/>
      <c r="VI8" s="493">
        <f t="shared" ref="VI8" si="918">((VI31+VJ31)-(VI30+VJ30))/2</f>
        <v>0</v>
      </c>
      <c r="VJ8" s="494"/>
      <c r="VK8" s="493">
        <f t="shared" si="467"/>
        <v>0</v>
      </c>
      <c r="VL8" s="494"/>
      <c r="VM8" s="493">
        <f t="shared" ref="VM8" si="919">((VM31+VN31)-(VM30+VN30))/2</f>
        <v>0</v>
      </c>
      <c r="VN8" s="494"/>
      <c r="VO8" s="493">
        <f t="shared" ref="VO8" si="920">((VO31+VP31)-(VO30+VP30))/2</f>
        <v>0</v>
      </c>
      <c r="VP8" s="494"/>
      <c r="VQ8" s="493">
        <f t="shared" si="178"/>
        <v>0</v>
      </c>
      <c r="VR8" s="494"/>
      <c r="VS8" s="493">
        <f t="shared" si="772"/>
        <v>0</v>
      </c>
      <c r="VT8" s="494"/>
      <c r="VU8" s="493">
        <f t="shared" si="180"/>
        <v>0</v>
      </c>
      <c r="VV8" s="494"/>
      <c r="VW8" s="493">
        <f t="shared" si="181"/>
        <v>0</v>
      </c>
      <c r="VX8" s="494"/>
      <c r="VY8" s="493">
        <f t="shared" ref="VY8" si="921">((VY31+VZ31)-(VY30+VZ30))/2</f>
        <v>0</v>
      </c>
      <c r="VZ8" s="494"/>
      <c r="WA8" s="493">
        <f>((WA31+WB32)-(WA30+WB30))/2</f>
        <v>0</v>
      </c>
      <c r="WB8" s="494"/>
      <c r="WC8" s="493">
        <f t="shared" si="184"/>
        <v>0</v>
      </c>
      <c r="WD8" s="494"/>
      <c r="WE8" s="493">
        <f t="shared" ref="WE8" si="922">((WE31+WF31)-(WE30+WF30))/2</f>
        <v>0</v>
      </c>
      <c r="WF8" s="494"/>
      <c r="WG8" s="493">
        <f t="shared" ref="WG8" si="923">((WG31+WH31)-(WG30+WH30))/2</f>
        <v>0</v>
      </c>
      <c r="WH8" s="494"/>
      <c r="WI8" s="493">
        <f t="shared" si="187"/>
        <v>0</v>
      </c>
      <c r="WJ8" s="494"/>
      <c r="WK8" s="493">
        <f t="shared" ref="WK8" si="924">((WK31+WL31)-(WK30+WL30))/2</f>
        <v>0</v>
      </c>
      <c r="WL8" s="494"/>
      <c r="WM8" s="493">
        <f t="shared" ref="WM8" si="925">((WM31+WN31)-(WM30+WN30))/2</f>
        <v>0</v>
      </c>
      <c r="WN8" s="494"/>
      <c r="WO8" s="493">
        <f t="shared" si="190"/>
        <v>0</v>
      </c>
      <c r="WP8" s="494"/>
      <c r="WQ8" s="493">
        <f t="shared" si="477"/>
        <v>0</v>
      </c>
      <c r="WR8" s="494"/>
      <c r="WS8" s="493">
        <f t="shared" ref="WS8" si="926">((WS31+WT31)-(WS30+WT30))/2</f>
        <v>0</v>
      </c>
      <c r="WT8" s="494"/>
      <c r="WU8" s="493">
        <f t="shared" si="193"/>
        <v>0</v>
      </c>
      <c r="WV8" s="494"/>
      <c r="WW8" s="493">
        <f t="shared" ref="WW8" si="927">((WW31+WX31)-(WW30+WX30))/2</f>
        <v>0</v>
      </c>
      <c r="WX8" s="494"/>
      <c r="WY8" s="493">
        <f t="shared" ref="WY8" si="928">((WY31+WZ31)-(WY30+WZ30))/2</f>
        <v>0</v>
      </c>
      <c r="WZ8" s="494"/>
      <c r="XA8" s="493">
        <f t="shared" si="196"/>
        <v>0</v>
      </c>
      <c r="XB8" s="494"/>
      <c r="XC8" s="493">
        <f t="shared" ref="XC8" si="929">((XC31+XD31)-(XC30+XD30))/2</f>
        <v>0</v>
      </c>
      <c r="XD8" s="494"/>
      <c r="XE8" s="493">
        <f t="shared" ref="XE8" si="930">((XE31+XF31)-(XE30+XF30))/2</f>
        <v>0</v>
      </c>
      <c r="XF8" s="494"/>
      <c r="XG8" s="493">
        <f t="shared" si="199"/>
        <v>0</v>
      </c>
      <c r="XH8" s="494"/>
      <c r="XI8" s="493">
        <f t="shared" ref="XI8" si="931">((XI31+XJ31)-(XI30+XJ30))/2</f>
        <v>0</v>
      </c>
      <c r="XJ8" s="494"/>
      <c r="XK8" s="493">
        <f t="shared" ref="XK8" si="932">((XK31+XL31)-(XK30+XL30))/2</f>
        <v>0</v>
      </c>
      <c r="XL8" s="494"/>
      <c r="XM8" s="493">
        <f t="shared" si="202"/>
        <v>0</v>
      </c>
      <c r="XN8" s="494"/>
      <c r="XO8" s="493">
        <f t="shared" ref="XO8:XO19" si="933">((XO32+XP31)-(XO31+XP30))/2</f>
        <v>0</v>
      </c>
      <c r="XP8" s="494"/>
      <c r="XQ8" s="493">
        <f t="shared" ref="XQ8" si="934">((XQ31+XR31)-(XQ30+XR30))/2</f>
        <v>0</v>
      </c>
      <c r="XR8" s="494"/>
      <c r="XS8" s="493">
        <f t="shared" si="205"/>
        <v>0</v>
      </c>
      <c r="XT8" s="494"/>
      <c r="XU8" s="493">
        <f t="shared" ref="XU8" si="935">((XU31+XV31)-(XU30+XV30))/2</f>
        <v>0</v>
      </c>
      <c r="XV8" s="494"/>
      <c r="XW8" s="493">
        <f t="shared" ref="XW8" si="936">((XW31+XX31)-(XW30+XX30))/2</f>
        <v>0</v>
      </c>
      <c r="XX8" s="494"/>
      <c r="XY8" s="493">
        <f t="shared" si="208"/>
        <v>0</v>
      </c>
      <c r="XZ8" s="494"/>
      <c r="YA8" s="493">
        <f t="shared" ref="YA8:YA13" si="937">((YA31+YB31)-(YA30+YB30))/2</f>
        <v>0</v>
      </c>
      <c r="YB8" s="494"/>
      <c r="YC8" s="493">
        <f t="shared" ref="YC8" si="938">((YC31+YD31)-(YC30+YD30))/2</f>
        <v>0</v>
      </c>
      <c r="YD8" s="494"/>
      <c r="YE8" s="493">
        <f t="shared" si="211"/>
        <v>0</v>
      </c>
      <c r="YF8" s="494"/>
      <c r="YG8" s="493">
        <f t="shared" ref="YG8" si="939">((YG31+YH31)-(YG30+YH30))/2</f>
        <v>0</v>
      </c>
      <c r="YH8" s="494"/>
      <c r="YI8" s="493">
        <f t="shared" ref="YI8" si="940">((YI31+YJ31)-(YI30+YJ30))/2</f>
        <v>0</v>
      </c>
      <c r="YJ8" s="494"/>
      <c r="YK8" s="493">
        <f t="shared" si="214"/>
        <v>0</v>
      </c>
      <c r="YL8" s="494"/>
      <c r="YM8" s="493">
        <f t="shared" ref="YM8" si="941">((YM31+YN31)-(YM30+YN30))/2</f>
        <v>0</v>
      </c>
      <c r="YN8" s="494"/>
      <c r="YO8" s="493">
        <f t="shared" si="216"/>
        <v>0</v>
      </c>
      <c r="YP8" s="494"/>
      <c r="YQ8" s="493">
        <f t="shared" si="217"/>
        <v>0</v>
      </c>
      <c r="YR8" s="494"/>
      <c r="YS8" s="493">
        <f t="shared" ref="YS8" si="942">((YS31+YT31)-(YS30+YT30))/2</f>
        <v>0</v>
      </c>
      <c r="YT8" s="494"/>
      <c r="YU8" s="493">
        <f t="shared" ref="YU8" si="943">((YU31+YV31)-(YU30+YV30))/2</f>
        <v>0</v>
      </c>
      <c r="YV8" s="494"/>
      <c r="YW8" s="493">
        <f t="shared" si="220"/>
        <v>0</v>
      </c>
      <c r="YX8" s="494"/>
      <c r="YY8" s="493">
        <f t="shared" si="496"/>
        <v>0</v>
      </c>
      <c r="YZ8" s="494"/>
      <c r="ZA8" s="493">
        <f t="shared" ref="ZA8" si="944">((ZA31+ZB31)-(ZA30+ZB30))/2</f>
        <v>0</v>
      </c>
      <c r="ZB8" s="494"/>
      <c r="ZC8" s="493">
        <f t="shared" si="223"/>
        <v>0</v>
      </c>
      <c r="ZD8" s="494"/>
      <c r="ZE8" s="493">
        <f t="shared" ref="ZE8" si="945">((ZE31+ZF31)-(ZE30+ZF30))/2</f>
        <v>0</v>
      </c>
      <c r="ZF8" s="494"/>
      <c r="ZG8" s="493">
        <f t="shared" ref="ZG8" si="946">((ZG31+ZH31)-(ZG30+ZH30))/2</f>
        <v>0</v>
      </c>
      <c r="ZH8" s="494"/>
      <c r="ZI8" s="493">
        <f t="shared" si="799"/>
        <v>0</v>
      </c>
      <c r="ZJ8" s="494"/>
      <c r="ZK8" s="493">
        <f t="shared" ref="ZK8" si="947">((ZK31+ZL31)-(ZK30+ZL30))/2</f>
        <v>0</v>
      </c>
      <c r="ZL8" s="494"/>
      <c r="ZM8" s="493">
        <f t="shared" ref="ZM8" si="948">((ZM31+ZN31)-(ZM30+ZN30))/2</f>
        <v>0</v>
      </c>
      <c r="ZN8" s="494"/>
      <c r="ZO8" s="493">
        <f t="shared" si="502"/>
        <v>0</v>
      </c>
      <c r="ZP8" s="494"/>
      <c r="ZQ8" s="493">
        <f t="shared" si="503"/>
        <v>0</v>
      </c>
      <c r="ZR8" s="494"/>
      <c r="ZS8" s="493">
        <f t="shared" ref="ZS8" si="949">((ZS31+ZT31)-(ZS30+ZT30))/2</f>
        <v>0</v>
      </c>
      <c r="ZT8" s="494"/>
      <c r="ZU8" s="493">
        <f t="shared" si="230"/>
        <v>0</v>
      </c>
      <c r="ZV8" s="494"/>
      <c r="ZW8" s="493">
        <f t="shared" ref="ZW8" si="950">((ZW31+ZX31)-(ZW30+ZX30))/2</f>
        <v>0</v>
      </c>
      <c r="ZX8" s="494"/>
      <c r="ZY8" s="493">
        <f t="shared" ref="ZY8" si="951">((ZY31+ZZ31)-(ZY30+ZZ30))/2</f>
        <v>0</v>
      </c>
      <c r="ZZ8" s="494"/>
      <c r="AAA8" s="493">
        <f t="shared" si="233"/>
        <v>0</v>
      </c>
      <c r="AAB8" s="494"/>
      <c r="AAC8" s="493">
        <f t="shared" ref="AAC8" si="952">((AAC31+AAD31)-(AAC30+AAD30))/2</f>
        <v>0</v>
      </c>
      <c r="AAD8" s="494"/>
      <c r="AAE8" s="493">
        <f t="shared" ref="AAE8" si="953">((AAE31+AAF31)-(AAE30+AAF30))/2</f>
        <v>0</v>
      </c>
      <c r="AAF8" s="494"/>
      <c r="AAG8" s="493">
        <f t="shared" si="236"/>
        <v>0</v>
      </c>
      <c r="AAH8" s="494"/>
      <c r="AAI8" s="493">
        <f t="shared" ref="AAI8" si="954">((AAI31+AAJ31)-(AAI30+AAJ30))/2</f>
        <v>0</v>
      </c>
      <c r="AAJ8" s="494"/>
      <c r="AAK8" s="493">
        <f t="shared" ref="AAK8" si="955">((AAK31+AAL31)-(AAK30+AAL30))/2</f>
        <v>0</v>
      </c>
      <c r="AAL8" s="494"/>
      <c r="AAM8" s="493">
        <f t="shared" si="239"/>
        <v>0</v>
      </c>
      <c r="AAN8" s="494"/>
      <c r="AAO8" s="493">
        <f>((AAO32+AAP31)-(AAO31+AAP30))/2</f>
        <v>0</v>
      </c>
      <c r="AAP8" s="494"/>
      <c r="AAQ8" s="493">
        <f>((AAQ35+AAR35)-(AAQ34+AAR34))/2</f>
        <v>0</v>
      </c>
      <c r="AAR8" s="494"/>
      <c r="AAS8" s="493">
        <f t="shared" si="241"/>
        <v>0</v>
      </c>
      <c r="AAT8" s="494"/>
      <c r="AAU8" s="493">
        <f t="shared" ref="AAU8" si="956">((AAU31+AAV31)-(AAU30+AAV30))/2</f>
        <v>0</v>
      </c>
      <c r="AAV8" s="494"/>
      <c r="AAW8" s="493">
        <f t="shared" ref="AAW8" si="957">((AAW31+AAX31)-(AAW30+AAX30))/2</f>
        <v>0</v>
      </c>
      <c r="AAX8" s="494"/>
      <c r="AAY8" s="493">
        <f t="shared" si="513"/>
        <v>0</v>
      </c>
      <c r="AAZ8" s="494"/>
      <c r="ABA8" s="493">
        <f t="shared" ref="ABA8" si="958">((ABA31+ABB31)-(ABA30+ABB30))/2</f>
        <v>0</v>
      </c>
      <c r="ABB8" s="494"/>
      <c r="ABC8" s="493">
        <f t="shared" ref="ABC8" si="959">((ABC31+ABD31)-(ABC30+ABD30))/2</f>
        <v>0</v>
      </c>
      <c r="ABD8" s="494"/>
      <c r="ABE8" s="379">
        <f t="shared" si="516"/>
        <v>0</v>
      </c>
      <c r="ABF8" s="377"/>
      <c r="ABG8" s="481"/>
      <c r="ABH8" s="481"/>
      <c r="ABI8" s="481"/>
      <c r="ABJ8" s="481"/>
      <c r="ABK8" s="481"/>
      <c r="ABL8" s="481"/>
      <c r="ABM8" s="481"/>
      <c r="ABN8" s="481"/>
      <c r="ABO8" s="481"/>
      <c r="ABP8" s="481"/>
      <c r="ABQ8" s="481"/>
      <c r="ABR8" s="481"/>
      <c r="ABS8" s="481"/>
      <c r="ABT8" s="481"/>
      <c r="ABU8" s="481"/>
      <c r="ABV8" s="481"/>
      <c r="ABW8" s="481"/>
      <c r="ABX8" s="481"/>
      <c r="ABY8" s="481"/>
      <c r="ABZ8" s="481"/>
      <c r="ACA8" s="481"/>
      <c r="ACB8" s="481"/>
      <c r="ACC8" s="481"/>
      <c r="ACD8" s="481"/>
      <c r="ACE8" s="481"/>
      <c r="ACF8" s="481"/>
      <c r="ACG8" s="481"/>
      <c r="ACH8" s="481"/>
      <c r="ACI8" s="481"/>
      <c r="ACJ8" s="481"/>
      <c r="ACK8" s="481"/>
      <c r="ACL8" s="481"/>
      <c r="ACM8" s="481"/>
      <c r="ACN8" s="481"/>
      <c r="ACO8" s="481"/>
      <c r="ACP8" s="481"/>
      <c r="ACQ8" s="481"/>
      <c r="ACR8" s="481"/>
      <c r="ACS8" s="481"/>
      <c r="ACT8" s="481"/>
      <c r="ACU8" s="481"/>
      <c r="ACV8" s="481"/>
      <c r="ACW8" s="481"/>
      <c r="ACX8" s="481"/>
      <c r="ACY8" s="481"/>
      <c r="ACZ8" s="481"/>
      <c r="ADA8" s="481"/>
      <c r="ADB8" s="481"/>
      <c r="ADC8" s="481"/>
      <c r="ADD8" s="481"/>
      <c r="ADE8" s="481"/>
      <c r="ADF8" s="481"/>
      <c r="ADG8" s="481"/>
      <c r="ADH8" s="481"/>
      <c r="ADI8" s="481"/>
      <c r="ADJ8" s="481"/>
      <c r="ADK8" s="335"/>
      <c r="ADL8" s="335"/>
      <c r="ADM8" s="335"/>
      <c r="ADN8" s="335"/>
      <c r="ADO8" s="335"/>
      <c r="ADP8" s="335"/>
      <c r="ADQ8" s="335"/>
      <c r="ADR8" s="335"/>
      <c r="ADS8" s="335"/>
      <c r="ADT8" s="335"/>
      <c r="ADU8" s="335"/>
      <c r="ADV8" s="335"/>
      <c r="ADW8" s="335"/>
      <c r="ADX8" s="335"/>
      <c r="ADY8" s="335"/>
      <c r="ADZ8" s="335"/>
      <c r="AEA8" s="335"/>
      <c r="AEB8" s="335"/>
      <c r="AEC8" s="335"/>
      <c r="AED8" s="335"/>
      <c r="AEE8" s="335"/>
      <c r="AEF8" s="335"/>
      <c r="AEG8" s="335"/>
      <c r="AEH8" s="335"/>
      <c r="AEI8" s="335"/>
      <c r="AEJ8" s="335"/>
      <c r="AEK8" s="335"/>
      <c r="AEL8" s="335"/>
      <c r="AEM8" s="335"/>
      <c r="AEN8" s="335"/>
      <c r="AEO8" s="335"/>
      <c r="AEP8" s="335"/>
      <c r="AEQ8" s="335"/>
      <c r="AER8" s="335"/>
      <c r="AES8" s="335"/>
      <c r="AET8" s="335"/>
      <c r="AEU8" s="335"/>
      <c r="AEV8" s="335"/>
      <c r="AEW8" s="335"/>
      <c r="AEX8" s="335"/>
      <c r="AEY8" s="335"/>
      <c r="AEZ8" s="335"/>
      <c r="AFA8" s="335"/>
      <c r="AFB8" s="335"/>
      <c r="AFC8" s="335"/>
      <c r="AFD8" s="335"/>
      <c r="AFE8" s="335"/>
      <c r="AFF8" s="335"/>
      <c r="AFG8" s="335"/>
      <c r="AFH8" s="335"/>
      <c r="AFI8" s="335"/>
      <c r="AFJ8" s="335"/>
      <c r="AFK8" s="335"/>
      <c r="AFL8" s="335"/>
      <c r="AFM8" s="335"/>
      <c r="AFN8" s="335"/>
      <c r="AFO8" s="335"/>
      <c r="AFP8" s="335"/>
      <c r="AFQ8" s="335"/>
      <c r="AFR8" s="335"/>
      <c r="AFS8" s="335"/>
      <c r="AFT8" s="335"/>
      <c r="AFU8" s="335"/>
      <c r="AFV8" s="335"/>
      <c r="AFW8" s="335"/>
      <c r="AFX8" s="335"/>
      <c r="AFY8" s="335"/>
      <c r="AFZ8" s="335"/>
      <c r="AGA8" s="335"/>
      <c r="AGB8" s="335"/>
      <c r="AGC8" s="335"/>
      <c r="AGD8" s="335"/>
      <c r="AGE8" s="335"/>
      <c r="AGF8" s="335"/>
      <c r="AGG8" s="335"/>
      <c r="AGH8" s="335"/>
      <c r="AGI8" s="335"/>
      <c r="AGJ8" s="335"/>
      <c r="AGK8" s="335"/>
      <c r="AGL8" s="335"/>
      <c r="AGM8" s="335"/>
      <c r="AGN8" s="335"/>
      <c r="AGO8" s="335"/>
      <c r="AGP8" s="335"/>
      <c r="AGQ8" s="335"/>
      <c r="AGR8" s="335"/>
      <c r="AGS8" s="335"/>
      <c r="AGT8" s="335"/>
      <c r="AGU8" s="335"/>
      <c r="AGV8" s="335"/>
      <c r="AGW8" s="335"/>
      <c r="AGX8" s="335"/>
      <c r="AGY8" s="335"/>
      <c r="AGZ8" s="335"/>
      <c r="AHA8" s="335"/>
      <c r="AHB8" s="335"/>
      <c r="AHC8" s="335"/>
      <c r="AHD8" s="335"/>
      <c r="AHE8" s="335"/>
      <c r="AHF8" s="335"/>
      <c r="AHG8" s="335"/>
      <c r="AHH8" s="335"/>
      <c r="AHI8" s="335"/>
      <c r="AHJ8" s="335"/>
      <c r="AHK8" s="335"/>
      <c r="AHL8" s="335"/>
      <c r="AHM8" s="335"/>
      <c r="AHN8" s="335"/>
      <c r="AHO8" s="335"/>
      <c r="AHP8" s="335"/>
      <c r="AHQ8" s="335"/>
      <c r="AHR8" s="335"/>
      <c r="AHS8" s="335"/>
      <c r="AHT8" s="335"/>
      <c r="AHU8" s="335"/>
      <c r="AHV8" s="335"/>
      <c r="AHW8" s="335"/>
      <c r="AHX8" s="335"/>
      <c r="AHY8" s="335"/>
      <c r="AHZ8" s="335"/>
      <c r="AIA8" s="335"/>
      <c r="AIB8" s="335"/>
      <c r="AIC8" s="339"/>
    </row>
    <row r="9" spans="1:913" s="161" customFormat="1">
      <c r="A9" s="172"/>
      <c r="B9" s="177">
        <v>0.58333333333333304</v>
      </c>
      <c r="C9" s="493">
        <f t="shared" si="246"/>
        <v>0</v>
      </c>
      <c r="D9" s="494"/>
      <c r="E9" s="493">
        <f t="shared" si="0"/>
        <v>0</v>
      </c>
      <c r="F9" s="494"/>
      <c r="G9" s="493">
        <f t="shared" si="1"/>
        <v>0</v>
      </c>
      <c r="H9" s="494"/>
      <c r="I9" s="493">
        <f t="shared" si="247"/>
        <v>0</v>
      </c>
      <c r="J9" s="494"/>
      <c r="K9" s="493">
        <f t="shared" si="2"/>
        <v>0</v>
      </c>
      <c r="L9" s="494"/>
      <c r="M9" s="493">
        <f t="shared" si="3"/>
        <v>0</v>
      </c>
      <c r="N9" s="494"/>
      <c r="O9" s="493">
        <f t="shared" si="517"/>
        <v>0</v>
      </c>
      <c r="P9" s="494"/>
      <c r="Q9" s="493">
        <f t="shared" si="248"/>
        <v>0</v>
      </c>
      <c r="R9" s="494"/>
      <c r="S9" s="493">
        <f t="shared" si="249"/>
        <v>0</v>
      </c>
      <c r="T9" s="494"/>
      <c r="U9" s="493">
        <f t="shared" si="250"/>
        <v>0</v>
      </c>
      <c r="V9" s="494"/>
      <c r="W9" s="493">
        <f t="shared" si="251"/>
        <v>0</v>
      </c>
      <c r="X9" s="494"/>
      <c r="Y9" s="493">
        <f t="shared" si="252"/>
        <v>0</v>
      </c>
      <c r="Z9" s="494"/>
      <c r="AA9" s="493">
        <f t="shared" si="253"/>
        <v>0</v>
      </c>
      <c r="AB9" s="494"/>
      <c r="AC9" s="493">
        <f t="shared" si="254"/>
        <v>0</v>
      </c>
      <c r="AD9" s="494"/>
      <c r="AE9" s="493">
        <f t="shared" si="255"/>
        <v>0</v>
      </c>
      <c r="AF9" s="494"/>
      <c r="AG9" s="493">
        <f t="shared" si="256"/>
        <v>0</v>
      </c>
      <c r="AH9" s="494"/>
      <c r="AI9" s="493">
        <f t="shared" si="257"/>
        <v>0</v>
      </c>
      <c r="AJ9" s="494"/>
      <c r="AK9" s="493">
        <f t="shared" si="258"/>
        <v>0</v>
      </c>
      <c r="AL9" s="494"/>
      <c r="AM9" s="493">
        <f t="shared" si="259"/>
        <v>0</v>
      </c>
      <c r="AN9" s="494"/>
      <c r="AO9" s="493">
        <f t="shared" si="260"/>
        <v>0</v>
      </c>
      <c r="AP9" s="494"/>
      <c r="AQ9" s="493">
        <f t="shared" si="261"/>
        <v>0</v>
      </c>
      <c r="AR9" s="494"/>
      <c r="AS9" s="493">
        <f t="shared" si="262"/>
        <v>0</v>
      </c>
      <c r="AT9" s="494"/>
      <c r="AU9" s="493">
        <f t="shared" si="263"/>
        <v>0</v>
      </c>
      <c r="AV9" s="494"/>
      <c r="AW9" s="493">
        <f t="shared" si="264"/>
        <v>0</v>
      </c>
      <c r="AX9" s="494"/>
      <c r="AY9" s="493">
        <f t="shared" si="265"/>
        <v>0</v>
      </c>
      <c r="AZ9" s="494"/>
      <c r="BA9" s="493">
        <v>19</v>
      </c>
      <c r="BB9" s="494"/>
      <c r="BC9" s="493">
        <f t="shared" si="267"/>
        <v>0</v>
      </c>
      <c r="BD9" s="494"/>
      <c r="BE9" s="493">
        <f t="shared" si="268"/>
        <v>0</v>
      </c>
      <c r="BF9" s="494"/>
      <c r="BG9" s="493">
        <f t="shared" si="269"/>
        <v>0</v>
      </c>
      <c r="BH9" s="494"/>
      <c r="BI9" s="493">
        <f t="shared" si="270"/>
        <v>0</v>
      </c>
      <c r="BJ9" s="494"/>
      <c r="BK9" s="493">
        <f t="shared" si="271"/>
        <v>0</v>
      </c>
      <c r="BL9" s="494"/>
      <c r="BM9" s="493">
        <f t="shared" si="272"/>
        <v>0</v>
      </c>
      <c r="BN9" s="494"/>
      <c r="BO9" s="493">
        <f t="shared" si="273"/>
        <v>0</v>
      </c>
      <c r="BP9" s="494"/>
      <c r="BQ9" s="493">
        <f t="shared" si="274"/>
        <v>0</v>
      </c>
      <c r="BR9" s="494"/>
      <c r="BS9" s="493">
        <f t="shared" si="275"/>
        <v>0</v>
      </c>
      <c r="BT9" s="494"/>
      <c r="BU9" s="493">
        <f>((BU32+BV33)-(BU31+BV32))/2</f>
        <v>0</v>
      </c>
      <c r="BV9" s="494"/>
      <c r="BW9" s="493">
        <f t="shared" si="665"/>
        <v>0</v>
      </c>
      <c r="BX9" s="494"/>
      <c r="BY9" s="493">
        <f t="shared" si="277"/>
        <v>0</v>
      </c>
      <c r="BZ9" s="494"/>
      <c r="CA9" s="493">
        <f t="shared" si="278"/>
        <v>0</v>
      </c>
      <c r="CB9" s="494"/>
      <c r="CC9" s="493">
        <f>((CC32+CD34)-(CC31+CD33))/2</f>
        <v>0</v>
      </c>
      <c r="CD9" s="494"/>
      <c r="CE9" s="493">
        <f t="shared" si="280"/>
        <v>0</v>
      </c>
      <c r="CF9" s="494"/>
      <c r="CG9" s="493">
        <f t="shared" si="281"/>
        <v>0</v>
      </c>
      <c r="CH9" s="494"/>
      <c r="CI9" s="493">
        <f t="shared" si="282"/>
        <v>0</v>
      </c>
      <c r="CJ9" s="494"/>
      <c r="CK9" s="493">
        <f t="shared" si="283"/>
        <v>0</v>
      </c>
      <c r="CL9" s="494"/>
      <c r="CM9" s="493">
        <f t="shared" si="284"/>
        <v>0</v>
      </c>
      <c r="CN9" s="494"/>
      <c r="CO9" s="493">
        <f t="shared" si="285"/>
        <v>0</v>
      </c>
      <c r="CP9" s="494"/>
      <c r="CQ9" s="493">
        <f t="shared" si="286"/>
        <v>0</v>
      </c>
      <c r="CR9" s="494"/>
      <c r="CS9" s="493">
        <f t="shared" si="287"/>
        <v>0</v>
      </c>
      <c r="CT9" s="494"/>
      <c r="CU9" s="493">
        <f t="shared" si="288"/>
        <v>0</v>
      </c>
      <c r="CV9" s="494"/>
      <c r="CW9" s="493">
        <f t="shared" si="289"/>
        <v>0</v>
      </c>
      <c r="CX9" s="494"/>
      <c r="CY9" s="493">
        <f t="shared" si="290"/>
        <v>0</v>
      </c>
      <c r="CZ9" s="494"/>
      <c r="DA9" s="493">
        <f t="shared" si="813"/>
        <v>0</v>
      </c>
      <c r="DB9" s="494"/>
      <c r="DC9" s="493">
        <f t="shared" si="292"/>
        <v>0</v>
      </c>
      <c r="DD9" s="494"/>
      <c r="DE9" s="493">
        <f t="shared" si="293"/>
        <v>0</v>
      </c>
      <c r="DF9" s="494"/>
      <c r="DG9" s="493">
        <f t="shared" si="294"/>
        <v>0</v>
      </c>
      <c r="DH9" s="494"/>
      <c r="DI9" s="493">
        <f t="shared" si="295"/>
        <v>0</v>
      </c>
      <c r="DJ9" s="494"/>
      <c r="DK9" s="493">
        <f t="shared" si="296"/>
        <v>0</v>
      </c>
      <c r="DL9" s="494"/>
      <c r="DM9" s="493">
        <f t="shared" si="297"/>
        <v>0</v>
      </c>
      <c r="DN9" s="494"/>
      <c r="DO9" s="493">
        <f t="shared" si="298"/>
        <v>0</v>
      </c>
      <c r="DP9" s="494"/>
      <c r="DQ9" s="493">
        <f t="shared" si="666"/>
        <v>0</v>
      </c>
      <c r="DR9" s="494"/>
      <c r="DS9" s="493">
        <f t="shared" si="300"/>
        <v>0</v>
      </c>
      <c r="DT9" s="494"/>
      <c r="DU9" s="493">
        <f t="shared" si="301"/>
        <v>0</v>
      </c>
      <c r="DV9" s="494"/>
      <c r="DW9" s="493">
        <f t="shared" si="302"/>
        <v>0</v>
      </c>
      <c r="DX9" s="494"/>
      <c r="DY9" s="493">
        <f t="shared" si="303"/>
        <v>0</v>
      </c>
      <c r="DZ9" s="494"/>
      <c r="EA9" s="493">
        <f t="shared" si="304"/>
        <v>0</v>
      </c>
      <c r="EB9" s="494"/>
      <c r="EC9" s="493">
        <f t="shared" si="305"/>
        <v>0</v>
      </c>
      <c r="ED9" s="494"/>
      <c r="EE9" s="493">
        <f t="shared" si="6"/>
        <v>0</v>
      </c>
      <c r="EF9" s="494"/>
      <c r="EG9" s="493">
        <f t="shared" si="7"/>
        <v>0</v>
      </c>
      <c r="EH9" s="494"/>
      <c r="EI9" s="493">
        <f t="shared" si="306"/>
        <v>0</v>
      </c>
      <c r="EJ9" s="494"/>
      <c r="EK9" s="493">
        <f t="shared" si="8"/>
        <v>0</v>
      </c>
      <c r="EL9" s="494"/>
      <c r="EM9" s="493">
        <f t="shared" si="9"/>
        <v>0</v>
      </c>
      <c r="EN9" s="494"/>
      <c r="EO9" s="493">
        <f t="shared" si="10"/>
        <v>0</v>
      </c>
      <c r="EP9" s="494"/>
      <c r="EQ9" s="493">
        <f t="shared" si="307"/>
        <v>0</v>
      </c>
      <c r="ER9" s="494"/>
      <c r="ES9" s="493">
        <f t="shared" si="308"/>
        <v>0</v>
      </c>
      <c r="ET9" s="494"/>
      <c r="EU9" s="493">
        <f t="shared" si="309"/>
        <v>0</v>
      </c>
      <c r="EV9" s="494"/>
      <c r="EW9" s="493">
        <f t="shared" si="310"/>
        <v>0</v>
      </c>
      <c r="EX9" s="494"/>
      <c r="EY9" s="493">
        <f t="shared" si="311"/>
        <v>0</v>
      </c>
      <c r="EZ9" s="494"/>
      <c r="FA9" s="493">
        <f t="shared" si="312"/>
        <v>0</v>
      </c>
      <c r="FB9" s="494"/>
      <c r="FC9" s="493">
        <f t="shared" si="313"/>
        <v>0</v>
      </c>
      <c r="FD9" s="494"/>
      <c r="FE9" s="493">
        <f t="shared" si="314"/>
        <v>0</v>
      </c>
      <c r="FF9" s="494"/>
      <c r="FG9" s="493">
        <f t="shared" si="315"/>
        <v>0</v>
      </c>
      <c r="FH9" s="494"/>
      <c r="FI9" s="493">
        <f t="shared" si="316"/>
        <v>0</v>
      </c>
      <c r="FJ9" s="494"/>
      <c r="FK9" s="493">
        <f t="shared" si="317"/>
        <v>0</v>
      </c>
      <c r="FL9" s="494"/>
      <c r="FM9" s="493">
        <f t="shared" si="318"/>
        <v>0</v>
      </c>
      <c r="FN9" s="494"/>
      <c r="FO9" s="493">
        <f t="shared" si="319"/>
        <v>0</v>
      </c>
      <c r="FP9" s="494"/>
      <c r="FQ9" s="493">
        <f t="shared" si="320"/>
        <v>0</v>
      </c>
      <c r="FR9" s="494"/>
      <c r="FS9" s="493">
        <f t="shared" si="321"/>
        <v>0</v>
      </c>
      <c r="FT9" s="494"/>
      <c r="FU9" s="493">
        <f t="shared" si="322"/>
        <v>0</v>
      </c>
      <c r="FV9" s="494"/>
      <c r="FW9" s="493">
        <f t="shared" si="323"/>
        <v>0</v>
      </c>
      <c r="FX9" s="494"/>
      <c r="FY9" s="493">
        <f t="shared" si="324"/>
        <v>0</v>
      </c>
      <c r="FZ9" s="494"/>
      <c r="GA9" s="493">
        <f t="shared" si="325"/>
        <v>0</v>
      </c>
      <c r="GB9" s="494"/>
      <c r="GC9" s="493">
        <f t="shared" si="326"/>
        <v>0</v>
      </c>
      <c r="GD9" s="494"/>
      <c r="GE9" s="493">
        <f t="shared" si="327"/>
        <v>0</v>
      </c>
      <c r="GF9" s="494"/>
      <c r="GG9" s="493">
        <f t="shared" si="814"/>
        <v>0</v>
      </c>
      <c r="GH9" s="494"/>
      <c r="GI9" s="493">
        <f t="shared" si="329"/>
        <v>0</v>
      </c>
      <c r="GJ9" s="494"/>
      <c r="GK9" s="493">
        <f t="shared" si="330"/>
        <v>0</v>
      </c>
      <c r="GL9" s="494"/>
      <c r="GM9" s="493">
        <f t="shared" si="331"/>
        <v>0</v>
      </c>
      <c r="GN9" s="494"/>
      <c r="GO9" s="493">
        <f t="shared" si="332"/>
        <v>0</v>
      </c>
      <c r="GP9" s="494"/>
      <c r="GQ9" s="493">
        <f t="shared" si="333"/>
        <v>0</v>
      </c>
      <c r="GR9" s="494"/>
      <c r="GS9" s="493">
        <f t="shared" si="334"/>
        <v>0</v>
      </c>
      <c r="GT9" s="494"/>
      <c r="GU9" s="493">
        <f t="shared" si="11"/>
        <v>0</v>
      </c>
      <c r="GV9" s="494"/>
      <c r="GW9" s="493">
        <f t="shared" si="12"/>
        <v>0</v>
      </c>
      <c r="GX9" s="494"/>
      <c r="GY9" s="493">
        <f t="shared" si="13"/>
        <v>0</v>
      </c>
      <c r="GZ9" s="494"/>
      <c r="HA9" s="493">
        <f t="shared" si="335"/>
        <v>0</v>
      </c>
      <c r="HB9" s="494"/>
      <c r="HC9" s="493">
        <f t="shared" si="336"/>
        <v>0</v>
      </c>
      <c r="HD9" s="494"/>
      <c r="HE9" s="493">
        <f t="shared" si="337"/>
        <v>0</v>
      </c>
      <c r="HF9" s="494"/>
      <c r="HG9" s="493">
        <f t="shared" si="338"/>
        <v>0</v>
      </c>
      <c r="HH9" s="494"/>
      <c r="HI9" s="493">
        <f t="shared" si="339"/>
        <v>0</v>
      </c>
      <c r="HJ9" s="494"/>
      <c r="HK9" s="493">
        <f t="shared" si="340"/>
        <v>0</v>
      </c>
      <c r="HL9" s="494"/>
      <c r="HM9" s="493">
        <f t="shared" si="341"/>
        <v>0</v>
      </c>
      <c r="HN9" s="494"/>
      <c r="HO9" s="493">
        <f t="shared" si="342"/>
        <v>0</v>
      </c>
      <c r="HP9" s="494"/>
      <c r="HQ9" s="493">
        <f t="shared" si="343"/>
        <v>0</v>
      </c>
      <c r="HR9" s="494"/>
      <c r="HS9" s="493">
        <f t="shared" si="344"/>
        <v>0</v>
      </c>
      <c r="HT9" s="494"/>
      <c r="HU9" s="493">
        <f t="shared" si="345"/>
        <v>0</v>
      </c>
      <c r="HV9" s="494"/>
      <c r="HW9" s="493">
        <f t="shared" si="346"/>
        <v>0</v>
      </c>
      <c r="HX9" s="494"/>
      <c r="HY9" s="493">
        <f t="shared" si="347"/>
        <v>0</v>
      </c>
      <c r="HZ9" s="494"/>
      <c r="IA9" s="493">
        <f t="shared" si="348"/>
        <v>0</v>
      </c>
      <c r="IB9" s="494"/>
      <c r="IC9" s="493">
        <f t="shared" si="349"/>
        <v>0</v>
      </c>
      <c r="ID9" s="494"/>
      <c r="IE9" s="493">
        <f t="shared" si="350"/>
        <v>0</v>
      </c>
      <c r="IF9" s="494"/>
      <c r="IG9" s="493">
        <f t="shared" si="351"/>
        <v>0</v>
      </c>
      <c r="IH9" s="494"/>
      <c r="II9" s="493">
        <f t="shared" si="352"/>
        <v>0</v>
      </c>
      <c r="IJ9" s="494"/>
      <c r="IK9" s="493">
        <f t="shared" si="353"/>
        <v>0</v>
      </c>
      <c r="IL9" s="494"/>
      <c r="IM9" s="493">
        <f t="shared" si="354"/>
        <v>0</v>
      </c>
      <c r="IN9" s="494"/>
      <c r="IO9" s="493">
        <f t="shared" si="355"/>
        <v>0</v>
      </c>
      <c r="IP9" s="494"/>
      <c r="IQ9" s="493">
        <f t="shared" si="356"/>
        <v>0</v>
      </c>
      <c r="IR9" s="494"/>
      <c r="IS9" s="493">
        <f t="shared" si="357"/>
        <v>0</v>
      </c>
      <c r="IT9" s="494"/>
      <c r="IU9" s="493">
        <f t="shared" si="14"/>
        <v>0</v>
      </c>
      <c r="IV9" s="494"/>
      <c r="IW9" s="493">
        <f t="shared" si="15"/>
        <v>0</v>
      </c>
      <c r="IX9" s="494"/>
      <c r="IY9" s="493">
        <f t="shared" si="16"/>
        <v>0</v>
      </c>
      <c r="IZ9" s="494"/>
      <c r="JA9" s="493">
        <f t="shared" ref="JA9" si="960">((JA32+JB32)-(JA31+JB31))/2</f>
        <v>0</v>
      </c>
      <c r="JB9" s="494"/>
      <c r="JC9" s="493">
        <f t="shared" ref="JC9" si="961">((JC32+JD32)-(JC31+JD31))/2</f>
        <v>0</v>
      </c>
      <c r="JD9" s="494"/>
      <c r="JE9" s="493">
        <f t="shared" si="19"/>
        <v>0</v>
      </c>
      <c r="JF9" s="494"/>
      <c r="JG9" s="493">
        <f t="shared" ref="JG9" si="962">((JG32+JH32)-(JG31+JH31))/2</f>
        <v>0</v>
      </c>
      <c r="JH9" s="494"/>
      <c r="JI9" s="493">
        <f t="shared" ref="JI9" si="963">((JI32+JJ32)-(JI31+JJ31))/2</f>
        <v>0</v>
      </c>
      <c r="JJ9" s="494"/>
      <c r="JK9" s="493">
        <f t="shared" si="22"/>
        <v>0</v>
      </c>
      <c r="JL9" s="494"/>
      <c r="JM9" s="493">
        <f t="shared" ref="JM9" si="964">((JM32+JN32)-(JM31+JN31))/2</f>
        <v>0</v>
      </c>
      <c r="JN9" s="494"/>
      <c r="JO9" s="493">
        <f t="shared" ref="JO9" si="965">((JO32+JP32)-(JO31+JP31))/2</f>
        <v>0</v>
      </c>
      <c r="JP9" s="494"/>
      <c r="JQ9" s="493">
        <f t="shared" si="25"/>
        <v>0</v>
      </c>
      <c r="JR9" s="494"/>
      <c r="JS9" s="493">
        <f t="shared" ref="JS9" si="966">((JS32+JT32)-(JS31+JT31))/2</f>
        <v>0</v>
      </c>
      <c r="JT9" s="494"/>
      <c r="JU9" s="493">
        <f t="shared" ref="JU9" si="967">((JU32+JV32)-(JU31+JV31))/2</f>
        <v>0</v>
      </c>
      <c r="JV9" s="494"/>
      <c r="JW9" s="493">
        <f t="shared" si="28"/>
        <v>0</v>
      </c>
      <c r="JX9" s="494"/>
      <c r="JY9" s="493">
        <f t="shared" ref="JY9" si="968">((JY32+JZ32)-(JY31+JZ31))/2</f>
        <v>0</v>
      </c>
      <c r="JZ9" s="494"/>
      <c r="KA9" s="493">
        <f t="shared" ref="KA9" si="969">((KA32+KB32)-(KA31+KB31))/2</f>
        <v>0</v>
      </c>
      <c r="KB9" s="494"/>
      <c r="KC9" s="493">
        <f t="shared" si="31"/>
        <v>0</v>
      </c>
      <c r="KD9" s="494"/>
      <c r="KE9" s="493">
        <f t="shared" si="368"/>
        <v>0</v>
      </c>
      <c r="KF9" s="494"/>
      <c r="KG9" s="493">
        <f t="shared" ref="KG9" si="970">((KG32+KH32)-(KG31+KH31))/2</f>
        <v>0</v>
      </c>
      <c r="KH9" s="494"/>
      <c r="KI9" s="493">
        <f t="shared" si="34"/>
        <v>0</v>
      </c>
      <c r="KJ9" s="494"/>
      <c r="KK9" s="493">
        <f t="shared" ref="KK9" si="971">((KK32+KL32)-(KK31+KL31))/2</f>
        <v>0</v>
      </c>
      <c r="KL9" s="494"/>
      <c r="KM9" s="493">
        <f t="shared" ref="KM9" si="972">((KM32+KN32)-(KM31+KN31))/2</f>
        <v>0</v>
      </c>
      <c r="KN9" s="494"/>
      <c r="KO9" s="493">
        <f t="shared" si="37"/>
        <v>0</v>
      </c>
      <c r="KP9" s="494"/>
      <c r="KQ9" s="493">
        <f t="shared" ref="KQ9" si="973">((KQ32+KR32)-(KQ31+KR31))/2</f>
        <v>0</v>
      </c>
      <c r="KR9" s="494"/>
      <c r="KS9" s="493">
        <f t="shared" ref="KS9" si="974">((KS32+KT32)-(KS31+KT31))/2</f>
        <v>0</v>
      </c>
      <c r="KT9" s="494"/>
      <c r="KU9" s="493">
        <f t="shared" si="40"/>
        <v>0</v>
      </c>
      <c r="KV9" s="494"/>
      <c r="KW9" s="493">
        <f t="shared" ref="KW9" si="975">((KW32+KX32)-(KW31+KX31))/2</f>
        <v>0</v>
      </c>
      <c r="KX9" s="494"/>
      <c r="KY9" s="493">
        <f t="shared" ref="KY9" si="976">((KY32+KZ32)-(KY31+KZ31))/2</f>
        <v>0</v>
      </c>
      <c r="KZ9" s="494"/>
      <c r="LA9" s="493">
        <f t="shared" si="43"/>
        <v>0</v>
      </c>
      <c r="LB9" s="494"/>
      <c r="LC9" s="493">
        <f t="shared" si="376"/>
        <v>0</v>
      </c>
      <c r="LD9" s="494"/>
      <c r="LE9" s="493">
        <f t="shared" si="377"/>
        <v>0</v>
      </c>
      <c r="LF9" s="494"/>
      <c r="LG9" s="493">
        <f t="shared" si="378"/>
        <v>0</v>
      </c>
      <c r="LH9" s="494"/>
      <c r="LI9" s="493">
        <f t="shared" ref="LI9" si="977">((LI32+LJ32)-(LI31+LJ31))/2</f>
        <v>0</v>
      </c>
      <c r="LJ9" s="494"/>
      <c r="LK9" s="493">
        <f t="shared" ref="LK9" si="978">((LK32+LL32)-(LK31+LL31))/2</f>
        <v>0</v>
      </c>
      <c r="LL9" s="494"/>
      <c r="LM9" s="493">
        <f t="shared" si="49"/>
        <v>0</v>
      </c>
      <c r="LN9" s="494"/>
      <c r="LO9" s="493">
        <f t="shared" ref="LO9" si="979">((LO32+LP32)-(LO31+LP31))/2</f>
        <v>0</v>
      </c>
      <c r="LP9" s="494"/>
      <c r="LQ9" s="493">
        <f t="shared" ref="LQ9" si="980">((LQ32+LR32)-(LQ31+LR31))/2</f>
        <v>0</v>
      </c>
      <c r="LR9" s="494"/>
      <c r="LS9" s="493">
        <f t="shared" si="52"/>
        <v>0</v>
      </c>
      <c r="LT9" s="494"/>
      <c r="LU9" s="493">
        <f t="shared" ref="LU9" si="981">((LU32+LV32)-(LU31+LV31))/2</f>
        <v>0</v>
      </c>
      <c r="LV9" s="494"/>
      <c r="LW9" s="493">
        <f t="shared" ref="LW9" si="982">((LW32+LX32)-(LW31+LX31))/2</f>
        <v>0</v>
      </c>
      <c r="LX9" s="494"/>
      <c r="LY9" s="493">
        <f t="shared" si="55"/>
        <v>0</v>
      </c>
      <c r="LZ9" s="494"/>
      <c r="MA9" s="493">
        <f t="shared" ref="MA9" si="983">((MA32+MB32)-(MA31+MB31))/2</f>
        <v>0</v>
      </c>
      <c r="MB9" s="494"/>
      <c r="MC9" s="493">
        <f t="shared" ref="MC9" si="984">((MC32+MD32)-(MC31+MD31))/2</f>
        <v>0</v>
      </c>
      <c r="MD9" s="494"/>
      <c r="ME9" s="493">
        <f t="shared" si="58"/>
        <v>0</v>
      </c>
      <c r="MF9" s="494"/>
      <c r="MG9" s="493">
        <f t="shared" ref="MG9" si="985">((MG32+MH32)-(MG31+MH31))/2</f>
        <v>0</v>
      </c>
      <c r="MH9" s="494"/>
      <c r="MI9" s="493">
        <f t="shared" ref="MI9" si="986">((MI32+MJ32)-(MI31+MJ31))/2</f>
        <v>0</v>
      </c>
      <c r="MJ9" s="494"/>
      <c r="MK9" s="493">
        <f t="shared" si="61"/>
        <v>0</v>
      </c>
      <c r="ML9" s="494"/>
      <c r="MM9" s="493">
        <f t="shared" ref="MM9" si="987">((MM32+MN32)-(MM31+MN31))/2</f>
        <v>0</v>
      </c>
      <c r="MN9" s="494"/>
      <c r="MO9" s="493">
        <f t="shared" ref="MO9" si="988">((MO32+MP32)-(MO31+MP31))/2</f>
        <v>0</v>
      </c>
      <c r="MP9" s="494"/>
      <c r="MQ9" s="493">
        <f t="shared" si="64"/>
        <v>0</v>
      </c>
      <c r="MR9" s="494"/>
      <c r="MS9" s="493">
        <f t="shared" ref="MS9" si="989">((MS32+MT32)-(MS31+MT31))/2</f>
        <v>0</v>
      </c>
      <c r="MT9" s="494"/>
      <c r="MU9" s="493">
        <f t="shared" ref="MU9" si="990">((MU32+MV32)-(MU31+MV31))/2</f>
        <v>0</v>
      </c>
      <c r="MV9" s="494"/>
      <c r="MW9" s="493">
        <f t="shared" si="67"/>
        <v>0</v>
      </c>
      <c r="MX9" s="494"/>
      <c r="MY9" s="493">
        <f t="shared" ref="MY9" si="991">((MY32+MZ32)-(MY31+MZ31))/2</f>
        <v>0</v>
      </c>
      <c r="MZ9" s="494"/>
      <c r="NA9" s="493">
        <f t="shared" ref="NA9" si="992">((NA32+NB32)-(NA31+NB31))/2</f>
        <v>0</v>
      </c>
      <c r="NB9" s="494"/>
      <c r="NC9" s="493">
        <f t="shared" si="70"/>
        <v>0</v>
      </c>
      <c r="ND9" s="494"/>
      <c r="NE9" s="493">
        <f t="shared" ref="NE9" si="993">((NE32+NF32)-(NE31+NF31))/2</f>
        <v>0</v>
      </c>
      <c r="NF9" s="494"/>
      <c r="NG9" s="493">
        <f t="shared" ref="NG9" si="994">((NG32+NH32)-(NG31+NH31))/2</f>
        <v>0</v>
      </c>
      <c r="NH9" s="494"/>
      <c r="NI9" s="493">
        <f t="shared" si="73"/>
        <v>0</v>
      </c>
      <c r="NJ9" s="494"/>
      <c r="NK9" s="493">
        <f t="shared" ref="NK9" si="995">((NK32+NL32)-(NK31+NL31))/2</f>
        <v>0</v>
      </c>
      <c r="NL9" s="494"/>
      <c r="NM9" s="493">
        <f t="shared" ref="NM9" si="996">((NM32+NN32)-(NM31+NN31))/2</f>
        <v>0</v>
      </c>
      <c r="NN9" s="494"/>
      <c r="NO9" s="493">
        <f t="shared" si="76"/>
        <v>0</v>
      </c>
      <c r="NP9" s="494"/>
      <c r="NQ9" s="493">
        <f t="shared" ref="NQ9" si="997">((NQ32+NR32)-(NQ31+NR31))/2</f>
        <v>0</v>
      </c>
      <c r="NR9" s="494"/>
      <c r="NS9" s="493">
        <f t="shared" ref="NS9" si="998">((NS32+NT32)-(NS31+NT31))/2</f>
        <v>0</v>
      </c>
      <c r="NT9" s="494"/>
      <c r="NU9" s="493">
        <f t="shared" si="79"/>
        <v>0</v>
      </c>
      <c r="NV9" s="494"/>
      <c r="NW9" s="493">
        <f t="shared" ref="NW9" si="999">((NW32+NX32)-(NW31+NX31))/2</f>
        <v>0</v>
      </c>
      <c r="NX9" s="494"/>
      <c r="NY9" s="493">
        <f t="shared" ref="NY9" si="1000">((NY32+NZ32)-(NY31+NZ31))/2</f>
        <v>0</v>
      </c>
      <c r="NZ9" s="494"/>
      <c r="OA9" s="493">
        <f t="shared" si="82"/>
        <v>0</v>
      </c>
      <c r="OB9" s="494"/>
      <c r="OC9" s="493">
        <f t="shared" ref="OC9" si="1001">((OC32+OD32)-(OC31+OD31))/2</f>
        <v>0</v>
      </c>
      <c r="OD9" s="494"/>
      <c r="OE9" s="493">
        <f t="shared" ref="OE9" si="1002">((OE32+OF32)-(OE31+OF31))/2</f>
        <v>0</v>
      </c>
      <c r="OF9" s="494"/>
      <c r="OG9" s="493">
        <f t="shared" si="85"/>
        <v>0</v>
      </c>
      <c r="OH9" s="494"/>
      <c r="OI9" s="493">
        <f t="shared" ref="OI9" si="1003">((OI32+OJ32)-(OI31+OJ31))/2</f>
        <v>0</v>
      </c>
      <c r="OJ9" s="494"/>
      <c r="OK9" s="493">
        <f t="shared" ref="OK9" si="1004">((OK32+OL32)-(OK31+OL31))/2</f>
        <v>0</v>
      </c>
      <c r="OL9" s="494"/>
      <c r="OM9" s="493">
        <f t="shared" si="88"/>
        <v>0</v>
      </c>
      <c r="ON9" s="494"/>
      <c r="OO9" s="493">
        <f t="shared" ref="OO9" si="1005">((OO32+OP32)-(OO31+OP31))/2</f>
        <v>0</v>
      </c>
      <c r="OP9" s="494"/>
      <c r="OQ9" s="493">
        <f t="shared" ref="OQ9" si="1006">((OQ32+OR32)-(OQ31+OR31))/2</f>
        <v>0</v>
      </c>
      <c r="OR9" s="494"/>
      <c r="OS9" s="493">
        <f t="shared" si="91"/>
        <v>0</v>
      </c>
      <c r="OT9" s="494"/>
      <c r="OU9" s="493">
        <f t="shared" ref="OU9" si="1007">((OU32+OV32)-(OU31+OV31))/2</f>
        <v>0</v>
      </c>
      <c r="OV9" s="494"/>
      <c r="OW9" s="493">
        <f t="shared" ref="OW9" si="1008">((OW32+OX32)-(OW31+OX31))/2</f>
        <v>0</v>
      </c>
      <c r="OX9" s="494"/>
      <c r="OY9" s="493">
        <f t="shared" si="94"/>
        <v>0</v>
      </c>
      <c r="OZ9" s="494"/>
      <c r="PA9" s="493">
        <f t="shared" ref="PA9" si="1009">((PA32+PB32)-(PA31+PB31))/2</f>
        <v>0</v>
      </c>
      <c r="PB9" s="494"/>
      <c r="PC9" s="493">
        <f t="shared" ref="PC9" si="1010">((PC32+PD32)-(PC31+PD31))/2</f>
        <v>0</v>
      </c>
      <c r="PD9" s="494"/>
      <c r="PE9" s="493">
        <f t="shared" si="97"/>
        <v>0</v>
      </c>
      <c r="PF9" s="494"/>
      <c r="PG9" s="493">
        <f t="shared" ref="PG9" si="1011">((PG32+PH32)-(PG31+PH31))/2</f>
        <v>0</v>
      </c>
      <c r="PH9" s="494"/>
      <c r="PI9" s="493">
        <f t="shared" ref="PI9" si="1012">((PI32+PJ32)-(PI31+PJ31))/2</f>
        <v>0</v>
      </c>
      <c r="PJ9" s="494"/>
      <c r="PK9" s="493">
        <f t="shared" si="100"/>
        <v>0</v>
      </c>
      <c r="PL9" s="494"/>
      <c r="PM9" s="493">
        <f t="shared" ref="PM9" si="1013">((PM32+PN32)-(PM31+PN31))/2</f>
        <v>0</v>
      </c>
      <c r="PN9" s="494"/>
      <c r="PO9" s="493">
        <f t="shared" ref="PO9" si="1014">((PO32+PP32)-(PO31+PP31))/2</f>
        <v>0</v>
      </c>
      <c r="PP9" s="494"/>
      <c r="PQ9" s="493">
        <f t="shared" si="103"/>
        <v>0</v>
      </c>
      <c r="PR9" s="494"/>
      <c r="PS9" s="493">
        <f t="shared" ref="PS9" si="1015">((PS32+PT32)-(PS31+PT31))/2</f>
        <v>0</v>
      </c>
      <c r="PT9" s="494"/>
      <c r="PU9" s="493">
        <f t="shared" ref="PU9" si="1016">((PU32+PV32)-(PU31+PV31))/2</f>
        <v>0</v>
      </c>
      <c r="PV9" s="494"/>
      <c r="PW9" s="493">
        <f t="shared" si="106"/>
        <v>0</v>
      </c>
      <c r="PX9" s="494"/>
      <c r="PY9" s="493">
        <f t="shared" ref="PY9" si="1017">((PY32+PZ32)-(PY31+PZ31))/2</f>
        <v>0</v>
      </c>
      <c r="PZ9" s="494"/>
      <c r="QA9" s="493">
        <f t="shared" ref="QA9" si="1018">((QA32+QB32)-(QA31+QB31))/2</f>
        <v>0</v>
      </c>
      <c r="QB9" s="494"/>
      <c r="QC9" s="493">
        <f t="shared" si="109"/>
        <v>0</v>
      </c>
      <c r="QD9" s="494"/>
      <c r="QE9" s="493">
        <f t="shared" ref="QE9" si="1019">((QE32+QF32)-(QE31+QF31))/2</f>
        <v>0</v>
      </c>
      <c r="QF9" s="494"/>
      <c r="QG9" s="493">
        <f t="shared" ref="QG9" si="1020">((QG32+QH32)-(QG31+QH31))/2</f>
        <v>0</v>
      </c>
      <c r="QH9" s="494"/>
      <c r="QI9" s="493">
        <f t="shared" si="112"/>
        <v>0</v>
      </c>
      <c r="QJ9" s="494"/>
      <c r="QK9" s="493">
        <f t="shared" ref="QK9" si="1021">((QK32+QL32)-(QK31+QL31))/2</f>
        <v>0</v>
      </c>
      <c r="QL9" s="494"/>
      <c r="QM9" s="493">
        <f t="shared" ref="QM9" si="1022">((QM32+QN32)-(QM31+QN31))/2</f>
        <v>0</v>
      </c>
      <c r="QN9" s="494"/>
      <c r="QO9" s="493">
        <f t="shared" si="115"/>
        <v>0</v>
      </c>
      <c r="QP9" s="494"/>
      <c r="QQ9" s="493">
        <f t="shared" ref="QQ9" si="1023">((QQ32+QR32)-(QQ31+QR31))/2</f>
        <v>0</v>
      </c>
      <c r="QR9" s="494"/>
      <c r="QS9" s="493">
        <f t="shared" ref="QS9" si="1024">((QS32+QT32)-(QS31+QT31))/2</f>
        <v>0</v>
      </c>
      <c r="QT9" s="494"/>
      <c r="QU9" s="493">
        <f t="shared" si="118"/>
        <v>0</v>
      </c>
      <c r="QV9" s="494"/>
      <c r="QW9" s="493">
        <f t="shared" ref="QW9" si="1025">((QW32+QX32)-(QW31+QX31))/2</f>
        <v>0</v>
      </c>
      <c r="QX9" s="494"/>
      <c r="QY9" s="493">
        <f t="shared" ref="QY9" si="1026">((QY32+QZ32)-(QY31+QZ31))/2</f>
        <v>0</v>
      </c>
      <c r="QZ9" s="494"/>
      <c r="RA9" s="493">
        <f t="shared" si="121"/>
        <v>0</v>
      </c>
      <c r="RB9" s="494"/>
      <c r="RC9" s="493">
        <f t="shared" ref="RC9:RC13" si="1027">((RC32+RD32)-(RC31+RD31))/2</f>
        <v>0</v>
      </c>
      <c r="RD9" s="494"/>
      <c r="RE9" s="493">
        <f t="shared" ref="RE9" si="1028">((RE32+RF32)-(RE31+RF31))/2</f>
        <v>0</v>
      </c>
      <c r="RF9" s="494"/>
      <c r="RG9" s="493">
        <f t="shared" si="124"/>
        <v>0</v>
      </c>
      <c r="RH9" s="494"/>
      <c r="RI9" s="493">
        <f>((RI32+RJ33)-(RI31+RJ32))/2</f>
        <v>0</v>
      </c>
      <c r="RJ9" s="494"/>
      <c r="RK9" s="493">
        <f t="shared" ref="RK9" si="1029">((RK32+RL32)-(RK31+RL31))/2</f>
        <v>0</v>
      </c>
      <c r="RL9" s="494"/>
      <c r="RM9" s="493">
        <f t="shared" si="126"/>
        <v>0</v>
      </c>
      <c r="RN9" s="494"/>
      <c r="RO9" s="493">
        <f t="shared" ref="RO9" si="1030">((RO32+RP32)-(RO31+RP31))/2</f>
        <v>0</v>
      </c>
      <c r="RP9" s="494"/>
      <c r="RQ9" s="493">
        <f t="shared" ref="RQ9" si="1031">((RQ32+RR32)-(RQ31+RR31))/2</f>
        <v>0</v>
      </c>
      <c r="RR9" s="494"/>
      <c r="RS9" s="493">
        <f t="shared" si="129"/>
        <v>0</v>
      </c>
      <c r="RT9" s="494"/>
      <c r="RU9" s="493">
        <f t="shared" ref="RU9" si="1032">((RU32+RV32)-(RU31+RV31))/2</f>
        <v>0</v>
      </c>
      <c r="RV9" s="494"/>
      <c r="RW9" s="493">
        <f t="shared" ref="RW9" si="1033">((RW32+RX32)-(RW31+RX31))/2</f>
        <v>0</v>
      </c>
      <c r="RX9" s="494"/>
      <c r="RY9" s="493">
        <f t="shared" si="132"/>
        <v>0</v>
      </c>
      <c r="RZ9" s="494"/>
      <c r="SA9" s="493">
        <f t="shared" ref="SA9" si="1034">((SA32+SB32)-(SA31+SB31))/2</f>
        <v>0</v>
      </c>
      <c r="SB9" s="494"/>
      <c r="SC9" s="493">
        <f t="shared" ref="SC9" si="1035">((SC32+SD32)-(SC31+SD31))/2</f>
        <v>0</v>
      </c>
      <c r="SD9" s="494"/>
      <c r="SE9" s="493">
        <f t="shared" si="135"/>
        <v>0</v>
      </c>
      <c r="SF9" s="494"/>
      <c r="SG9" s="493">
        <f t="shared" ref="SG9" si="1036">((SG32+SH32)-(SG31+SH31))/2</f>
        <v>0</v>
      </c>
      <c r="SH9" s="494"/>
      <c r="SI9" s="493">
        <f t="shared" ref="SI9" si="1037">((SI32+SJ32)-(SI31+SJ31))/2</f>
        <v>0</v>
      </c>
      <c r="SJ9" s="494"/>
      <c r="SK9" s="493">
        <f t="shared" si="138"/>
        <v>0</v>
      </c>
      <c r="SL9" s="494"/>
      <c r="SM9" s="493">
        <f t="shared" ref="SM9" si="1038">((SM32+SN32)-(SM31+SN31))/2</f>
        <v>0</v>
      </c>
      <c r="SN9" s="494"/>
      <c r="SO9" s="493">
        <f t="shared" ref="SO9" si="1039">((SO32+SP32)-(SO31+SP31))/2</f>
        <v>0</v>
      </c>
      <c r="SP9" s="494"/>
      <c r="SQ9" s="493">
        <f t="shared" si="141"/>
        <v>0</v>
      </c>
      <c r="SR9" s="494"/>
      <c r="SS9" s="493">
        <f t="shared" ref="SS9" si="1040">((SS32+ST32)-(SS31+ST31))/2</f>
        <v>0</v>
      </c>
      <c r="ST9" s="494"/>
      <c r="SU9" s="493">
        <f t="shared" ref="SU9" si="1041">((SU32+SV32)-(SU31+SV31))/2</f>
        <v>0</v>
      </c>
      <c r="SV9" s="494"/>
      <c r="SW9" s="493">
        <f t="shared" si="144"/>
        <v>0</v>
      </c>
      <c r="SX9" s="494"/>
      <c r="SY9" s="493">
        <f t="shared" ref="SY9" si="1042">((SY32+SZ32)-(SY31+SZ31))/2</f>
        <v>0</v>
      </c>
      <c r="SZ9" s="494"/>
      <c r="TA9" s="493">
        <f t="shared" ref="TA9" si="1043">((TA32+TB32)-(TA31+TB31))/2</f>
        <v>0</v>
      </c>
      <c r="TB9" s="494"/>
      <c r="TC9" s="493">
        <f t="shared" si="147"/>
        <v>0</v>
      </c>
      <c r="TD9" s="494"/>
      <c r="TE9" s="493">
        <f t="shared" ref="TE9" si="1044">((TE32+TF32)-(TE31+TF31))/2</f>
        <v>0</v>
      </c>
      <c r="TF9" s="494"/>
      <c r="TG9" s="493">
        <f t="shared" ref="TG9" si="1045">((TG32+TH32)-(TG31+TH31))/2</f>
        <v>0</v>
      </c>
      <c r="TH9" s="494"/>
      <c r="TI9" s="493">
        <f t="shared" si="150"/>
        <v>0</v>
      </c>
      <c r="TJ9" s="494"/>
      <c r="TK9" s="493">
        <f t="shared" ref="TK9" si="1046">((TK32+TL32)-(TK31+TL31))/2</f>
        <v>0</v>
      </c>
      <c r="TL9" s="494"/>
      <c r="TM9" s="493">
        <f t="shared" ref="TM9" si="1047">((TM32+TN32)-(TM31+TN31))/2</f>
        <v>0</v>
      </c>
      <c r="TN9" s="494"/>
      <c r="TO9" s="493">
        <f t="shared" si="153"/>
        <v>0</v>
      </c>
      <c r="TP9" s="494"/>
      <c r="TQ9" s="493">
        <f t="shared" ref="TQ9" si="1048">((TQ32+TR32)-(TQ31+TR31))/2</f>
        <v>0</v>
      </c>
      <c r="TR9" s="494"/>
      <c r="TS9" s="493">
        <f t="shared" ref="TS9" si="1049">((TS32+TT32)-(TS31+TT31))/2</f>
        <v>0</v>
      </c>
      <c r="TT9" s="494"/>
      <c r="TU9" s="493">
        <f t="shared" si="156"/>
        <v>0</v>
      </c>
      <c r="TV9" s="494"/>
      <c r="TW9" s="493">
        <f t="shared" ref="TW9" si="1050">((TW32+TX32)-(TW31+TX31))/2</f>
        <v>0</v>
      </c>
      <c r="TX9" s="494"/>
      <c r="TY9" s="493">
        <f t="shared" ref="TY9" si="1051">((TY32+TZ32)-(TY31+TZ31))/2</f>
        <v>0</v>
      </c>
      <c r="TZ9" s="494"/>
      <c r="UA9" s="493">
        <f t="shared" si="159"/>
        <v>0</v>
      </c>
      <c r="UB9" s="494"/>
      <c r="UC9" s="493">
        <f t="shared" ref="UC9:UC12" si="1052">((UC32+UD32)-(UC31+UD31))/2</f>
        <v>0</v>
      </c>
      <c r="UD9" s="494"/>
      <c r="UE9" s="493">
        <f t="shared" ref="UE9" si="1053">((UE32+UF32)-(UE31+UF31))/2</f>
        <v>0</v>
      </c>
      <c r="UF9" s="494"/>
      <c r="UG9" s="493">
        <f t="shared" si="162"/>
        <v>0</v>
      </c>
      <c r="UH9" s="494"/>
      <c r="UI9" s="493">
        <f t="shared" ref="UI9" si="1054">((UI32+UJ32)-(UI31+UJ31))/2</f>
        <v>0</v>
      </c>
      <c r="UJ9" s="494"/>
      <c r="UK9" s="493">
        <f t="shared" ref="UK9" si="1055">((UK32+UL32)-(UK31+UL31))/2</f>
        <v>0</v>
      </c>
      <c r="UL9" s="494"/>
      <c r="UM9" s="493">
        <f t="shared" si="165"/>
        <v>0</v>
      </c>
      <c r="UN9" s="494"/>
      <c r="UO9" s="493">
        <f t="shared" ref="UO9" si="1056">((UO32+UP32)-(UO31+UP31))/2</f>
        <v>0</v>
      </c>
      <c r="UP9" s="494"/>
      <c r="UQ9" s="493">
        <f t="shared" ref="UQ9" si="1057">((UQ32+UR32)-(UQ31+UR31))/2</f>
        <v>0</v>
      </c>
      <c r="UR9" s="494"/>
      <c r="US9" s="493">
        <f t="shared" si="168"/>
        <v>0</v>
      </c>
      <c r="UT9" s="494"/>
      <c r="UU9" s="493">
        <f t="shared" ref="UU9" si="1058">((UU32+UV32)-(UU31+UV31))/2</f>
        <v>0</v>
      </c>
      <c r="UV9" s="494"/>
      <c r="UW9" s="493">
        <f t="shared" ref="UW9" si="1059">((UW32+UX32)-(UW31+UX31))/2</f>
        <v>0</v>
      </c>
      <c r="UX9" s="494"/>
      <c r="UY9" s="493">
        <f t="shared" si="171"/>
        <v>0</v>
      </c>
      <c r="UZ9" s="494"/>
      <c r="VA9" s="493">
        <f t="shared" ref="VA9" si="1060">((VA32+VB32)-(VA31+VB31))/2</f>
        <v>0</v>
      </c>
      <c r="VB9" s="494"/>
      <c r="VC9" s="493">
        <f t="shared" ref="VC9" si="1061">((VC32+VD32)-(VC31+VD31))/2</f>
        <v>0</v>
      </c>
      <c r="VD9" s="494"/>
      <c r="VE9" s="493">
        <f t="shared" si="464"/>
        <v>0</v>
      </c>
      <c r="VF9" s="494"/>
      <c r="VG9" s="493">
        <f t="shared" ref="VG9" si="1062">((VG32+VH32)-(VG31+VH31))/2</f>
        <v>0</v>
      </c>
      <c r="VH9" s="494"/>
      <c r="VI9" s="493">
        <f t="shared" ref="VI9" si="1063">((VI32+VJ32)-(VI31+VJ31))/2</f>
        <v>0</v>
      </c>
      <c r="VJ9" s="494"/>
      <c r="VK9" s="493">
        <f t="shared" si="467"/>
        <v>0</v>
      </c>
      <c r="VL9" s="494"/>
      <c r="VM9" s="493">
        <f t="shared" ref="VM9" si="1064">((VM32+VN32)-(VM31+VN31))/2</f>
        <v>0</v>
      </c>
      <c r="VN9" s="494"/>
      <c r="VO9" s="493">
        <f t="shared" ref="VO9" si="1065">((VO32+VP32)-(VO31+VP31))/2</f>
        <v>0</v>
      </c>
      <c r="VP9" s="494"/>
      <c r="VQ9" s="493">
        <f t="shared" si="178"/>
        <v>0</v>
      </c>
      <c r="VR9" s="494"/>
      <c r="VS9" s="493">
        <f t="shared" si="772"/>
        <v>0</v>
      </c>
      <c r="VT9" s="494"/>
      <c r="VU9" s="493">
        <f t="shared" si="180"/>
        <v>0</v>
      </c>
      <c r="VV9" s="494"/>
      <c r="VW9" s="493">
        <f t="shared" si="181"/>
        <v>0</v>
      </c>
      <c r="VX9" s="494"/>
      <c r="VY9" s="493">
        <f t="shared" ref="VY9" si="1066">((VY32+VZ32)-(VY31+VZ31))/2</f>
        <v>0</v>
      </c>
      <c r="VZ9" s="494"/>
      <c r="WA9" s="493">
        <f t="shared" ref="WA9:WA18" si="1067">((WA32+WB33)-(WA31+WB31))/2</f>
        <v>0</v>
      </c>
      <c r="WB9" s="494"/>
      <c r="WC9" s="493">
        <f t="shared" si="184"/>
        <v>0</v>
      </c>
      <c r="WD9" s="494"/>
      <c r="WE9" s="493">
        <f t="shared" ref="WE9" si="1068">((WE32+WF32)-(WE31+WF31))/2</f>
        <v>0</v>
      </c>
      <c r="WF9" s="494"/>
      <c r="WG9" s="493">
        <f t="shared" ref="WG9" si="1069">((WG32+WH32)-(WG31+WH31))/2</f>
        <v>0</v>
      </c>
      <c r="WH9" s="494"/>
      <c r="WI9" s="493">
        <f t="shared" si="187"/>
        <v>0</v>
      </c>
      <c r="WJ9" s="494"/>
      <c r="WK9" s="493">
        <f t="shared" ref="WK9" si="1070">((WK32+WL32)-(WK31+WL31))/2</f>
        <v>0</v>
      </c>
      <c r="WL9" s="494"/>
      <c r="WM9" s="493">
        <f t="shared" ref="WM9" si="1071">((WM32+WN32)-(WM31+WN31))/2</f>
        <v>0</v>
      </c>
      <c r="WN9" s="494"/>
      <c r="WO9" s="493">
        <f t="shared" si="190"/>
        <v>0</v>
      </c>
      <c r="WP9" s="494"/>
      <c r="WQ9" s="493">
        <f t="shared" si="477"/>
        <v>0</v>
      </c>
      <c r="WR9" s="494"/>
      <c r="WS9" s="493">
        <f t="shared" ref="WS9" si="1072">((WS32+WT32)-(WS31+WT31))/2</f>
        <v>0</v>
      </c>
      <c r="WT9" s="494"/>
      <c r="WU9" s="493">
        <f t="shared" si="193"/>
        <v>0</v>
      </c>
      <c r="WV9" s="494"/>
      <c r="WW9" s="493">
        <f t="shared" ref="WW9" si="1073">((WW32+WX32)-(WW31+WX31))/2</f>
        <v>0</v>
      </c>
      <c r="WX9" s="494"/>
      <c r="WY9" s="493">
        <f t="shared" ref="WY9" si="1074">((WY32+WZ32)-(WY31+WZ31))/2</f>
        <v>0</v>
      </c>
      <c r="WZ9" s="494"/>
      <c r="XA9" s="493">
        <f t="shared" si="196"/>
        <v>0</v>
      </c>
      <c r="XB9" s="494"/>
      <c r="XC9" s="493">
        <f t="shared" ref="XC9" si="1075">((XC32+XD32)-(XC31+XD31))/2</f>
        <v>0</v>
      </c>
      <c r="XD9" s="494"/>
      <c r="XE9" s="493">
        <f t="shared" ref="XE9" si="1076">((XE32+XF32)-(XE31+XF31))/2</f>
        <v>0</v>
      </c>
      <c r="XF9" s="494"/>
      <c r="XG9" s="493">
        <f t="shared" si="199"/>
        <v>0</v>
      </c>
      <c r="XH9" s="494"/>
      <c r="XI9" s="493">
        <f t="shared" ref="XI9" si="1077">((XI32+XJ32)-(XI31+XJ31))/2</f>
        <v>0</v>
      </c>
      <c r="XJ9" s="494"/>
      <c r="XK9" s="493">
        <f t="shared" ref="XK9" si="1078">((XK32+XL32)-(XK31+XL31))/2</f>
        <v>0</v>
      </c>
      <c r="XL9" s="494"/>
      <c r="XM9" s="493">
        <f t="shared" si="202"/>
        <v>0</v>
      </c>
      <c r="XN9" s="494"/>
      <c r="XO9" s="493">
        <f t="shared" si="933"/>
        <v>0</v>
      </c>
      <c r="XP9" s="494"/>
      <c r="XQ9" s="493">
        <f t="shared" ref="XQ9" si="1079">((XQ32+XR32)-(XQ31+XR31))/2</f>
        <v>0</v>
      </c>
      <c r="XR9" s="494"/>
      <c r="XS9" s="493">
        <f t="shared" si="205"/>
        <v>0</v>
      </c>
      <c r="XT9" s="494"/>
      <c r="XU9" s="493">
        <f t="shared" ref="XU9" si="1080">((XU32+XV32)-(XU31+XV31))/2</f>
        <v>0</v>
      </c>
      <c r="XV9" s="494"/>
      <c r="XW9" s="493">
        <f t="shared" ref="XW9" si="1081">((XW32+XX32)-(XW31+XX31))/2</f>
        <v>0</v>
      </c>
      <c r="XX9" s="494"/>
      <c r="XY9" s="493">
        <f t="shared" si="208"/>
        <v>0</v>
      </c>
      <c r="XZ9" s="494"/>
      <c r="YA9" s="493">
        <f t="shared" si="937"/>
        <v>0</v>
      </c>
      <c r="YB9" s="494"/>
      <c r="YC9" s="493">
        <f t="shared" ref="YC9" si="1082">((YC32+YD32)-(YC31+YD31))/2</f>
        <v>0</v>
      </c>
      <c r="YD9" s="494"/>
      <c r="YE9" s="493">
        <f t="shared" si="211"/>
        <v>0</v>
      </c>
      <c r="YF9" s="494"/>
      <c r="YG9" s="493">
        <f t="shared" ref="YG9" si="1083">((YG32+YH32)-(YG31+YH31))/2</f>
        <v>0</v>
      </c>
      <c r="YH9" s="494"/>
      <c r="YI9" s="493">
        <f t="shared" ref="YI9" si="1084">((YI32+YJ32)-(YI31+YJ31))/2</f>
        <v>0</v>
      </c>
      <c r="YJ9" s="494"/>
      <c r="YK9" s="493">
        <f t="shared" si="214"/>
        <v>0</v>
      </c>
      <c r="YL9" s="494"/>
      <c r="YM9" s="493">
        <f t="shared" ref="YM9" si="1085">((YM32+YN32)-(YM31+YN31))/2</f>
        <v>0</v>
      </c>
      <c r="YN9" s="494"/>
      <c r="YO9" s="493">
        <f t="shared" si="216"/>
        <v>0</v>
      </c>
      <c r="YP9" s="494"/>
      <c r="YQ9" s="493">
        <f t="shared" si="217"/>
        <v>0</v>
      </c>
      <c r="YR9" s="494"/>
      <c r="YS9" s="493">
        <f t="shared" ref="YS9" si="1086">((YS32+YT32)-(YS31+YT31))/2</f>
        <v>0</v>
      </c>
      <c r="YT9" s="494"/>
      <c r="YU9" s="493">
        <f t="shared" ref="YU9" si="1087">((YU32+YV32)-(YU31+YV31))/2</f>
        <v>0</v>
      </c>
      <c r="YV9" s="494"/>
      <c r="YW9" s="493">
        <f t="shared" si="220"/>
        <v>0</v>
      </c>
      <c r="YX9" s="494"/>
      <c r="YY9" s="493">
        <f t="shared" si="496"/>
        <v>0</v>
      </c>
      <c r="YZ9" s="494"/>
      <c r="ZA9" s="493">
        <f t="shared" ref="ZA9" si="1088">((ZA32+ZB32)-(ZA31+ZB31))/2</f>
        <v>0</v>
      </c>
      <c r="ZB9" s="494"/>
      <c r="ZC9" s="493">
        <f t="shared" si="223"/>
        <v>0</v>
      </c>
      <c r="ZD9" s="494"/>
      <c r="ZE9" s="493">
        <f t="shared" ref="ZE9" si="1089">((ZE32+ZF32)-(ZE31+ZF31))/2</f>
        <v>0</v>
      </c>
      <c r="ZF9" s="494"/>
      <c r="ZG9" s="493">
        <f t="shared" ref="ZG9" si="1090">((ZG32+ZH32)-(ZG31+ZH31))/2</f>
        <v>0</v>
      </c>
      <c r="ZH9" s="494"/>
      <c r="ZI9" s="493">
        <f t="shared" si="799"/>
        <v>0</v>
      </c>
      <c r="ZJ9" s="494"/>
      <c r="ZK9" s="493">
        <f t="shared" ref="ZK9" si="1091">((ZK32+ZL32)-(ZK31+ZL31))/2</f>
        <v>0</v>
      </c>
      <c r="ZL9" s="494"/>
      <c r="ZM9" s="493">
        <f t="shared" ref="ZM9" si="1092">((ZM32+ZN32)-(ZM31+ZN31))/2</f>
        <v>0</v>
      </c>
      <c r="ZN9" s="494"/>
      <c r="ZO9" s="493">
        <f t="shared" si="502"/>
        <v>0</v>
      </c>
      <c r="ZP9" s="494"/>
      <c r="ZQ9" s="493">
        <f t="shared" si="503"/>
        <v>0</v>
      </c>
      <c r="ZR9" s="494"/>
      <c r="ZS9" s="493">
        <f t="shared" ref="ZS9" si="1093">((ZS32+ZT32)-(ZS31+ZT31))/2</f>
        <v>0</v>
      </c>
      <c r="ZT9" s="494"/>
      <c r="ZU9" s="493">
        <f t="shared" si="230"/>
        <v>0</v>
      </c>
      <c r="ZV9" s="494"/>
      <c r="ZW9" s="493">
        <f t="shared" ref="ZW9" si="1094">((ZW32+ZX32)-(ZW31+ZX31))/2</f>
        <v>0</v>
      </c>
      <c r="ZX9" s="494"/>
      <c r="ZY9" s="493">
        <f t="shared" ref="ZY9" si="1095">((ZY32+ZZ32)-(ZY31+ZZ31))/2</f>
        <v>0</v>
      </c>
      <c r="ZZ9" s="494"/>
      <c r="AAA9" s="493">
        <f t="shared" si="233"/>
        <v>0</v>
      </c>
      <c r="AAB9" s="494"/>
      <c r="AAC9" s="493">
        <f t="shared" ref="AAC9" si="1096">((AAC32+AAD32)-(AAC31+AAD31))/2</f>
        <v>0</v>
      </c>
      <c r="AAD9" s="494"/>
      <c r="AAE9" s="493">
        <f t="shared" ref="AAE9" si="1097">((AAE32+AAF32)-(AAE31+AAF31))/2</f>
        <v>0</v>
      </c>
      <c r="AAF9" s="494"/>
      <c r="AAG9" s="493">
        <f t="shared" si="236"/>
        <v>0</v>
      </c>
      <c r="AAH9" s="494"/>
      <c r="AAI9" s="493">
        <f t="shared" ref="AAI9" si="1098">((AAI32+AAJ32)-(AAI31+AAJ31))/2</f>
        <v>0</v>
      </c>
      <c r="AAJ9" s="494"/>
      <c r="AAK9" s="493">
        <f t="shared" ref="AAK9" si="1099">((AAK32+AAL32)-(AAK31+AAL31))/2</f>
        <v>0</v>
      </c>
      <c r="AAL9" s="494"/>
      <c r="AAM9" s="493">
        <f t="shared" si="239"/>
        <v>0</v>
      </c>
      <c r="AAN9" s="494"/>
      <c r="AAO9" s="493">
        <f>((AAO33+AAP32)-(AAO32+AAP31))/2</f>
        <v>0</v>
      </c>
      <c r="AAP9" s="494"/>
      <c r="AAQ9" s="493">
        <f t="shared" ref="AAQ9:AAQ16" si="1100">((AAQ36+AAR36)-(AAQ35+AAR35))/2</f>
        <v>0</v>
      </c>
      <c r="AAR9" s="494"/>
      <c r="AAS9" s="493">
        <f t="shared" si="241"/>
        <v>0</v>
      </c>
      <c r="AAT9" s="494"/>
      <c r="AAU9" s="493">
        <f t="shared" ref="AAU9" si="1101">((AAU32+AAV32)-(AAU31+AAV31))/2</f>
        <v>0</v>
      </c>
      <c r="AAV9" s="494"/>
      <c r="AAW9" s="493">
        <f t="shared" ref="AAW9" si="1102">((AAW32+AAX32)-(AAW31+AAX31))/2</f>
        <v>0</v>
      </c>
      <c r="AAX9" s="494"/>
      <c r="AAY9" s="493">
        <f t="shared" si="513"/>
        <v>0</v>
      </c>
      <c r="AAZ9" s="494"/>
      <c r="ABA9" s="493">
        <f t="shared" ref="ABA9" si="1103">((ABA32+ABB32)-(ABA31+ABB31))/2</f>
        <v>0</v>
      </c>
      <c r="ABB9" s="494"/>
      <c r="ABC9" s="493">
        <f t="shared" ref="ABC9" si="1104">((ABC32+ABD32)-(ABC31+ABD31))/2</f>
        <v>0</v>
      </c>
      <c r="ABD9" s="494"/>
      <c r="ABE9" s="379">
        <f t="shared" si="516"/>
        <v>19</v>
      </c>
      <c r="ABF9" s="377"/>
      <c r="ABG9" s="481"/>
      <c r="ABH9" s="481"/>
      <c r="ABI9" s="481"/>
      <c r="ABJ9" s="481"/>
      <c r="ABK9" s="481"/>
      <c r="ABL9" s="481"/>
      <c r="ABM9" s="481"/>
      <c r="ABN9" s="481"/>
      <c r="ABO9" s="481"/>
      <c r="ABP9" s="481"/>
      <c r="ABQ9" s="481"/>
      <c r="ABR9" s="481"/>
      <c r="ABS9" s="481"/>
      <c r="ABT9" s="481"/>
      <c r="ABU9" s="481"/>
      <c r="ABV9" s="481"/>
      <c r="ABW9" s="481"/>
      <c r="ABX9" s="481"/>
      <c r="ABY9" s="481"/>
      <c r="ABZ9" s="481"/>
      <c r="ACA9" s="481"/>
      <c r="ACB9" s="481"/>
      <c r="ACC9" s="481"/>
      <c r="ACD9" s="481"/>
      <c r="ACE9" s="481"/>
      <c r="ACF9" s="481"/>
      <c r="ACG9" s="481"/>
      <c r="ACH9" s="481"/>
      <c r="ACI9" s="481"/>
      <c r="ACJ9" s="481"/>
      <c r="ACK9" s="481"/>
      <c r="ACL9" s="481"/>
      <c r="ACM9" s="481"/>
      <c r="ACN9" s="481"/>
      <c r="ACO9" s="481"/>
      <c r="ACP9" s="481"/>
      <c r="ACQ9" s="481"/>
      <c r="ACR9" s="481"/>
      <c r="ACS9" s="481"/>
      <c r="ACT9" s="481"/>
      <c r="ACU9" s="481"/>
      <c r="ACV9" s="481"/>
      <c r="ACW9" s="481"/>
      <c r="ACX9" s="481"/>
      <c r="ACY9" s="481"/>
      <c r="ACZ9" s="481"/>
      <c r="ADA9" s="481"/>
      <c r="ADB9" s="481"/>
      <c r="ADC9" s="481"/>
      <c r="ADD9" s="481"/>
      <c r="ADE9" s="481"/>
      <c r="ADF9" s="481"/>
      <c r="ADG9" s="481"/>
      <c r="ADH9" s="481"/>
      <c r="ADI9" s="481"/>
      <c r="ADJ9" s="481"/>
      <c r="ADK9" s="335"/>
      <c r="ADL9" s="335"/>
      <c r="ADM9" s="335"/>
      <c r="ADN9" s="335"/>
      <c r="ADO9" s="335"/>
      <c r="ADP9" s="335"/>
      <c r="ADQ9" s="335"/>
      <c r="ADR9" s="335"/>
      <c r="ADS9" s="335"/>
      <c r="ADT9" s="335"/>
      <c r="ADU9" s="335"/>
      <c r="ADV9" s="335"/>
      <c r="ADW9" s="335"/>
      <c r="ADX9" s="335"/>
      <c r="ADY9" s="335"/>
      <c r="ADZ9" s="335"/>
      <c r="AEA9" s="335"/>
      <c r="AEB9" s="335"/>
      <c r="AEC9" s="335"/>
      <c r="AED9" s="335"/>
      <c r="AEE9" s="335"/>
      <c r="AEF9" s="335"/>
      <c r="AEG9" s="335"/>
      <c r="AEH9" s="335"/>
      <c r="AEI9" s="335"/>
      <c r="AEJ9" s="335"/>
      <c r="AEK9" s="335"/>
      <c r="AEL9" s="335"/>
      <c r="AEM9" s="335"/>
      <c r="AEN9" s="335"/>
      <c r="AEO9" s="335"/>
      <c r="AEP9" s="335"/>
      <c r="AEQ9" s="335"/>
      <c r="AER9" s="335"/>
      <c r="AES9" s="335"/>
      <c r="AET9" s="335"/>
      <c r="AEU9" s="335"/>
      <c r="AEV9" s="335"/>
      <c r="AEW9" s="335"/>
      <c r="AEX9" s="335"/>
      <c r="AEY9" s="335"/>
      <c r="AEZ9" s="335"/>
      <c r="AFA9" s="335"/>
      <c r="AFB9" s="335"/>
      <c r="AFC9" s="335"/>
      <c r="AFD9" s="335"/>
      <c r="AFE9" s="335"/>
      <c r="AFF9" s="335"/>
      <c r="AFG9" s="335"/>
      <c r="AFH9" s="335"/>
      <c r="AFI9" s="335"/>
      <c r="AFJ9" s="335"/>
      <c r="AFK9" s="335"/>
      <c r="AFL9" s="335"/>
      <c r="AFM9" s="335"/>
      <c r="AFN9" s="335"/>
      <c r="AFO9" s="335"/>
      <c r="AFP9" s="335"/>
      <c r="AFQ9" s="335"/>
      <c r="AFR9" s="335"/>
      <c r="AFS9" s="335"/>
      <c r="AFT9" s="335"/>
      <c r="AFU9" s="335"/>
      <c r="AFV9" s="335"/>
      <c r="AFW9" s="335"/>
      <c r="AFX9" s="335"/>
      <c r="AFY9" s="335"/>
      <c r="AFZ9" s="335"/>
      <c r="AGA9" s="335"/>
      <c r="AGB9" s="335"/>
      <c r="AGC9" s="335"/>
      <c r="AGD9" s="335"/>
      <c r="AGE9" s="335"/>
      <c r="AGF9" s="335"/>
      <c r="AGG9" s="335"/>
      <c r="AGH9" s="335"/>
      <c r="AGI9" s="335"/>
      <c r="AGJ9" s="335"/>
      <c r="AGK9" s="335"/>
      <c r="AGL9" s="335"/>
      <c r="AGM9" s="335"/>
      <c r="AGN9" s="335"/>
      <c r="AGO9" s="335"/>
      <c r="AGP9" s="335"/>
      <c r="AGQ9" s="335"/>
      <c r="AGR9" s="335"/>
      <c r="AGS9" s="335"/>
      <c r="AGT9" s="335"/>
      <c r="AGU9" s="335"/>
      <c r="AGV9" s="335"/>
      <c r="AGW9" s="335"/>
      <c r="AGX9" s="335"/>
      <c r="AGY9" s="335"/>
      <c r="AGZ9" s="335"/>
      <c r="AHA9" s="335"/>
      <c r="AHB9" s="335"/>
      <c r="AHC9" s="335"/>
      <c r="AHD9" s="335"/>
      <c r="AHE9" s="335"/>
      <c r="AHF9" s="335"/>
      <c r="AHG9" s="335"/>
      <c r="AHH9" s="335"/>
      <c r="AHI9" s="335"/>
      <c r="AHJ9" s="335"/>
      <c r="AHK9" s="335"/>
      <c r="AHL9" s="335"/>
      <c r="AHM9" s="335"/>
      <c r="AHN9" s="335"/>
      <c r="AHO9" s="335"/>
      <c r="AHP9" s="335"/>
      <c r="AHQ9" s="335"/>
      <c r="AHR9" s="335"/>
      <c r="AHS9" s="335"/>
      <c r="AHT9" s="335"/>
      <c r="AHU9" s="335"/>
      <c r="AHV9" s="335"/>
      <c r="AHW9" s="335"/>
      <c r="AHX9" s="335"/>
      <c r="AHY9" s="335"/>
      <c r="AHZ9" s="335"/>
      <c r="AIA9" s="335"/>
      <c r="AIB9" s="335"/>
      <c r="AIC9" s="339"/>
    </row>
    <row r="10" spans="1:913" s="161" customFormat="1">
      <c r="A10" s="172"/>
      <c r="B10" s="177">
        <v>0.625</v>
      </c>
      <c r="C10" s="493">
        <f t="shared" si="246"/>
        <v>0</v>
      </c>
      <c r="D10" s="494"/>
      <c r="E10" s="493">
        <f t="shared" si="0"/>
        <v>0</v>
      </c>
      <c r="F10" s="494"/>
      <c r="G10" s="493">
        <f t="shared" si="1"/>
        <v>0</v>
      </c>
      <c r="H10" s="494"/>
      <c r="I10" s="493">
        <f t="shared" ref="I10:I12" si="1105">((I33+J34)-(I32+J33))/2</f>
        <v>0</v>
      </c>
      <c r="J10" s="494"/>
      <c r="K10" s="493">
        <f t="shared" si="2"/>
        <v>0</v>
      </c>
      <c r="L10" s="494"/>
      <c r="M10" s="493">
        <f t="shared" si="3"/>
        <v>0</v>
      </c>
      <c r="N10" s="494"/>
      <c r="O10" s="493">
        <f t="shared" si="517"/>
        <v>0</v>
      </c>
      <c r="P10" s="494"/>
      <c r="Q10" s="493">
        <f t="shared" si="248"/>
        <v>0</v>
      </c>
      <c r="R10" s="494"/>
      <c r="S10" s="493">
        <f t="shared" si="249"/>
        <v>0</v>
      </c>
      <c r="T10" s="494"/>
      <c r="U10" s="493">
        <f t="shared" si="250"/>
        <v>0</v>
      </c>
      <c r="V10" s="494"/>
      <c r="W10" s="493">
        <f t="shared" si="251"/>
        <v>0</v>
      </c>
      <c r="X10" s="494"/>
      <c r="Y10" s="493">
        <f t="shared" si="252"/>
        <v>0</v>
      </c>
      <c r="Z10" s="494"/>
      <c r="AA10" s="493">
        <f t="shared" si="253"/>
        <v>0</v>
      </c>
      <c r="AB10" s="494"/>
      <c r="AC10" s="493">
        <f t="shared" si="254"/>
        <v>0</v>
      </c>
      <c r="AD10" s="494"/>
      <c r="AE10" s="493">
        <f t="shared" si="255"/>
        <v>0</v>
      </c>
      <c r="AF10" s="494"/>
      <c r="AG10" s="493">
        <f t="shared" si="256"/>
        <v>0</v>
      </c>
      <c r="AH10" s="494"/>
      <c r="AI10" s="493">
        <f t="shared" si="257"/>
        <v>0</v>
      </c>
      <c r="AJ10" s="494"/>
      <c r="AK10" s="493">
        <f t="shared" si="258"/>
        <v>0</v>
      </c>
      <c r="AL10" s="494"/>
      <c r="AM10" s="493">
        <f t="shared" si="259"/>
        <v>0</v>
      </c>
      <c r="AN10" s="494"/>
      <c r="AO10" s="493">
        <f t="shared" si="260"/>
        <v>0</v>
      </c>
      <c r="AP10" s="494"/>
      <c r="AQ10" s="493">
        <f t="shared" si="261"/>
        <v>0</v>
      </c>
      <c r="AR10" s="494"/>
      <c r="AS10" s="493">
        <f t="shared" si="262"/>
        <v>0</v>
      </c>
      <c r="AT10" s="494"/>
      <c r="AU10" s="493">
        <f t="shared" si="263"/>
        <v>0</v>
      </c>
      <c r="AV10" s="494"/>
      <c r="AW10" s="493">
        <f t="shared" ref="AW10:AW11" si="1106">((AW33+AX33)-(AW32+AX32))/2</f>
        <v>0</v>
      </c>
      <c r="AX10" s="494"/>
      <c r="AY10" s="493">
        <f t="shared" si="265"/>
        <v>0</v>
      </c>
      <c r="AZ10" s="494"/>
      <c r="BA10" s="493">
        <f t="shared" ref="BA10:BA12" si="1107">((BA33+BB33)-(BA32+BB32))/2</f>
        <v>0</v>
      </c>
      <c r="BB10" s="494"/>
      <c r="BC10" s="493">
        <f t="shared" si="267"/>
        <v>0</v>
      </c>
      <c r="BD10" s="494"/>
      <c r="BE10" s="493">
        <f t="shared" si="268"/>
        <v>0</v>
      </c>
      <c r="BF10" s="494"/>
      <c r="BG10" s="493">
        <f t="shared" si="269"/>
        <v>0</v>
      </c>
      <c r="BH10" s="494"/>
      <c r="BI10" s="493">
        <f t="shared" si="270"/>
        <v>0</v>
      </c>
      <c r="BJ10" s="494"/>
      <c r="BK10" s="493">
        <f t="shared" si="271"/>
        <v>0</v>
      </c>
      <c r="BL10" s="494"/>
      <c r="BM10" s="493">
        <f t="shared" si="272"/>
        <v>0</v>
      </c>
      <c r="BN10" s="494"/>
      <c r="BO10" s="493">
        <f t="shared" si="273"/>
        <v>0</v>
      </c>
      <c r="BP10" s="494"/>
      <c r="BQ10" s="493">
        <f t="shared" si="274"/>
        <v>0</v>
      </c>
      <c r="BR10" s="494"/>
      <c r="BS10" s="493">
        <f t="shared" si="275"/>
        <v>0</v>
      </c>
      <c r="BT10" s="494"/>
      <c r="BU10" s="493">
        <f>((BU33+BV34)-(BU32+BV33))/2</f>
        <v>0</v>
      </c>
      <c r="BV10" s="494"/>
      <c r="BW10" s="493">
        <f t="shared" si="665"/>
        <v>0</v>
      </c>
      <c r="BX10" s="494"/>
      <c r="BY10" s="493">
        <f t="shared" si="277"/>
        <v>0</v>
      </c>
      <c r="BZ10" s="494"/>
      <c r="CA10" s="493">
        <f t="shared" si="278"/>
        <v>0</v>
      </c>
      <c r="CB10" s="494"/>
      <c r="CC10" s="493">
        <f t="shared" ref="CC10:CC12" si="1108">((CC33+CD35)-(CC32+CD34))/2</f>
        <v>0</v>
      </c>
      <c r="CD10" s="494"/>
      <c r="CE10" s="493">
        <f t="shared" si="280"/>
        <v>0</v>
      </c>
      <c r="CF10" s="494"/>
      <c r="CG10" s="493">
        <f t="shared" si="281"/>
        <v>0</v>
      </c>
      <c r="CH10" s="494"/>
      <c r="CI10" s="493">
        <f t="shared" si="282"/>
        <v>0</v>
      </c>
      <c r="CJ10" s="494"/>
      <c r="CK10" s="493">
        <f t="shared" si="283"/>
        <v>0</v>
      </c>
      <c r="CL10" s="494"/>
      <c r="CM10" s="493">
        <f t="shared" si="284"/>
        <v>0</v>
      </c>
      <c r="CN10" s="494"/>
      <c r="CO10" s="493">
        <f t="shared" si="285"/>
        <v>0</v>
      </c>
      <c r="CP10" s="494"/>
      <c r="CQ10" s="493">
        <f>((CQ34+CR33)-(CQ32+CR32))/2</f>
        <v>0</v>
      </c>
      <c r="CR10" s="494"/>
      <c r="CS10" s="493">
        <f t="shared" si="287"/>
        <v>0</v>
      </c>
      <c r="CT10" s="494"/>
      <c r="CU10" s="493">
        <f t="shared" si="288"/>
        <v>0</v>
      </c>
      <c r="CV10" s="494"/>
      <c r="CW10" s="493">
        <f t="shared" si="289"/>
        <v>0</v>
      </c>
      <c r="CX10" s="494"/>
      <c r="CY10" s="493">
        <f t="shared" si="290"/>
        <v>0</v>
      </c>
      <c r="CZ10" s="494"/>
      <c r="DA10" s="493">
        <f t="shared" si="813"/>
        <v>0</v>
      </c>
      <c r="DB10" s="494"/>
      <c r="DC10" s="493">
        <f>((DC34+DD33)-(DC32+DD32))/2</f>
        <v>0</v>
      </c>
      <c r="DD10" s="494"/>
      <c r="DE10" s="493">
        <f t="shared" si="293"/>
        <v>0</v>
      </c>
      <c r="DF10" s="494"/>
      <c r="DG10" s="493">
        <f t="shared" si="294"/>
        <v>0</v>
      </c>
      <c r="DH10" s="494"/>
      <c r="DI10" s="493">
        <f t="shared" si="295"/>
        <v>0</v>
      </c>
      <c r="DJ10" s="494"/>
      <c r="DK10" s="493">
        <f t="shared" si="296"/>
        <v>0</v>
      </c>
      <c r="DL10" s="494"/>
      <c r="DM10" s="493">
        <f t="shared" si="297"/>
        <v>0</v>
      </c>
      <c r="DN10" s="494"/>
      <c r="DO10" s="493">
        <f t="shared" si="298"/>
        <v>0</v>
      </c>
      <c r="DP10" s="494"/>
      <c r="DQ10" s="493">
        <f t="shared" si="666"/>
        <v>0</v>
      </c>
      <c r="DR10" s="494"/>
      <c r="DS10" s="493">
        <f t="shared" si="300"/>
        <v>0</v>
      </c>
      <c r="DT10" s="494"/>
      <c r="DU10" s="493">
        <f t="shared" si="301"/>
        <v>0</v>
      </c>
      <c r="DV10" s="494"/>
      <c r="DW10" s="493">
        <f t="shared" si="302"/>
        <v>0</v>
      </c>
      <c r="DX10" s="494"/>
      <c r="DY10" s="493">
        <f t="shared" si="303"/>
        <v>0</v>
      </c>
      <c r="DZ10" s="494"/>
      <c r="EA10" s="493">
        <f t="shared" si="304"/>
        <v>0</v>
      </c>
      <c r="EB10" s="494"/>
      <c r="EC10" s="493">
        <f t="shared" si="305"/>
        <v>0</v>
      </c>
      <c r="ED10" s="494"/>
      <c r="EE10" s="493">
        <f t="shared" si="6"/>
        <v>0</v>
      </c>
      <c r="EF10" s="494"/>
      <c r="EG10" s="493">
        <f t="shared" si="7"/>
        <v>0</v>
      </c>
      <c r="EH10" s="494"/>
      <c r="EI10" s="493">
        <f t="shared" si="306"/>
        <v>0</v>
      </c>
      <c r="EJ10" s="494"/>
      <c r="EK10" s="493">
        <f t="shared" si="8"/>
        <v>0</v>
      </c>
      <c r="EL10" s="494"/>
      <c r="EM10" s="493">
        <f t="shared" si="9"/>
        <v>0</v>
      </c>
      <c r="EN10" s="494"/>
      <c r="EO10" s="493">
        <f t="shared" si="10"/>
        <v>0</v>
      </c>
      <c r="EP10" s="494"/>
      <c r="EQ10" s="493">
        <f t="shared" si="307"/>
        <v>0</v>
      </c>
      <c r="ER10" s="494"/>
      <c r="ES10" s="493">
        <f t="shared" si="308"/>
        <v>0</v>
      </c>
      <c r="ET10" s="494"/>
      <c r="EU10" s="493">
        <f t="shared" si="309"/>
        <v>0</v>
      </c>
      <c r="EV10" s="494"/>
      <c r="EW10" s="493">
        <f t="shared" si="310"/>
        <v>0</v>
      </c>
      <c r="EX10" s="494"/>
      <c r="EY10" s="493">
        <f t="shared" si="311"/>
        <v>0</v>
      </c>
      <c r="EZ10" s="494"/>
      <c r="FA10" s="493">
        <f t="shared" si="312"/>
        <v>0</v>
      </c>
      <c r="FB10" s="494"/>
      <c r="FC10" s="493">
        <f t="shared" si="313"/>
        <v>0</v>
      </c>
      <c r="FD10" s="494"/>
      <c r="FE10" s="493">
        <f t="shared" si="314"/>
        <v>0</v>
      </c>
      <c r="FF10" s="494"/>
      <c r="FG10" s="493">
        <f t="shared" si="315"/>
        <v>0</v>
      </c>
      <c r="FH10" s="494"/>
      <c r="FI10" s="493">
        <f t="shared" si="316"/>
        <v>0</v>
      </c>
      <c r="FJ10" s="494"/>
      <c r="FK10" s="493">
        <f t="shared" si="317"/>
        <v>0</v>
      </c>
      <c r="FL10" s="494"/>
      <c r="FM10" s="493">
        <f t="shared" si="318"/>
        <v>0</v>
      </c>
      <c r="FN10" s="494"/>
      <c r="FO10" s="493">
        <f t="shared" si="319"/>
        <v>0</v>
      </c>
      <c r="FP10" s="494"/>
      <c r="FQ10" s="493">
        <f t="shared" si="320"/>
        <v>0</v>
      </c>
      <c r="FR10" s="494"/>
      <c r="FS10" s="493">
        <f t="shared" si="321"/>
        <v>0</v>
      </c>
      <c r="FT10" s="494"/>
      <c r="FU10" s="493">
        <f t="shared" si="322"/>
        <v>0</v>
      </c>
      <c r="FV10" s="494"/>
      <c r="FW10" s="493">
        <f>((FW33+FX33)-(FW32+FX32))/2</f>
        <v>0</v>
      </c>
      <c r="FX10" s="494"/>
      <c r="FY10" s="493">
        <f t="shared" si="324"/>
        <v>0</v>
      </c>
      <c r="FZ10" s="494"/>
      <c r="GA10" s="493">
        <f t="shared" si="325"/>
        <v>0</v>
      </c>
      <c r="GB10" s="494"/>
      <c r="GC10" s="493">
        <f t="shared" si="326"/>
        <v>0</v>
      </c>
      <c r="GD10" s="494"/>
      <c r="GE10" s="493">
        <f t="shared" si="327"/>
        <v>0</v>
      </c>
      <c r="GF10" s="494"/>
      <c r="GG10" s="493">
        <f>((GG33+GH33)-(GG32+GH32))/2</f>
        <v>0</v>
      </c>
      <c r="GH10" s="494"/>
      <c r="GI10" s="493">
        <f t="shared" si="329"/>
        <v>0</v>
      </c>
      <c r="GJ10" s="494"/>
      <c r="GK10" s="493">
        <f t="shared" si="330"/>
        <v>0</v>
      </c>
      <c r="GL10" s="494"/>
      <c r="GM10" s="493">
        <f t="shared" si="331"/>
        <v>0</v>
      </c>
      <c r="GN10" s="494"/>
      <c r="GO10" s="493">
        <f t="shared" si="332"/>
        <v>0</v>
      </c>
      <c r="GP10" s="494"/>
      <c r="GQ10" s="493">
        <f t="shared" si="333"/>
        <v>0</v>
      </c>
      <c r="GR10" s="494"/>
      <c r="GS10" s="493">
        <f t="shared" si="334"/>
        <v>0</v>
      </c>
      <c r="GT10" s="494"/>
      <c r="GU10" s="493">
        <f t="shared" ref="GU10:GU21" si="1109">((GU33+GV33)-(GU32+GV32))/2</f>
        <v>0</v>
      </c>
      <c r="GV10" s="494"/>
      <c r="GW10" s="493">
        <f t="shared" ref="GW10:GW21" si="1110">((GW33+GX33)-(GW32+GX32))/2</f>
        <v>0</v>
      </c>
      <c r="GX10" s="494"/>
      <c r="GY10" s="493">
        <f t="shared" ref="GY10:GY21" si="1111">((GY33+GZ33)-(GY32+GZ32))/2</f>
        <v>0</v>
      </c>
      <c r="GZ10" s="494"/>
      <c r="HA10" s="493">
        <f t="shared" si="335"/>
        <v>0</v>
      </c>
      <c r="HB10" s="494"/>
      <c r="HC10" s="493">
        <f t="shared" si="336"/>
        <v>0</v>
      </c>
      <c r="HD10" s="494"/>
      <c r="HE10" s="493">
        <f t="shared" si="337"/>
        <v>0</v>
      </c>
      <c r="HF10" s="494"/>
      <c r="HG10" s="493">
        <f t="shared" si="338"/>
        <v>0</v>
      </c>
      <c r="HH10" s="494"/>
      <c r="HI10" s="493">
        <f t="shared" si="339"/>
        <v>0</v>
      </c>
      <c r="HJ10" s="494"/>
      <c r="HK10" s="493">
        <f t="shared" si="340"/>
        <v>0</v>
      </c>
      <c r="HL10" s="494"/>
      <c r="HM10" s="493">
        <f t="shared" si="341"/>
        <v>0</v>
      </c>
      <c r="HN10" s="494"/>
      <c r="HO10" s="493">
        <f t="shared" si="342"/>
        <v>0</v>
      </c>
      <c r="HP10" s="494"/>
      <c r="HQ10" s="493">
        <f t="shared" si="343"/>
        <v>0</v>
      </c>
      <c r="HR10" s="494"/>
      <c r="HS10" s="493">
        <f t="shared" si="344"/>
        <v>0</v>
      </c>
      <c r="HT10" s="494"/>
      <c r="HU10" s="493">
        <f t="shared" si="345"/>
        <v>0</v>
      </c>
      <c r="HV10" s="494"/>
      <c r="HW10" s="493">
        <f t="shared" si="346"/>
        <v>0</v>
      </c>
      <c r="HX10" s="494"/>
      <c r="HY10" s="493">
        <f t="shared" si="347"/>
        <v>0</v>
      </c>
      <c r="HZ10" s="494"/>
      <c r="IA10" s="493">
        <f t="shared" si="348"/>
        <v>0</v>
      </c>
      <c r="IB10" s="494"/>
      <c r="IC10" s="493">
        <f t="shared" si="349"/>
        <v>0</v>
      </c>
      <c r="ID10" s="494"/>
      <c r="IE10" s="493">
        <f t="shared" si="350"/>
        <v>0</v>
      </c>
      <c r="IF10" s="494"/>
      <c r="IG10" s="493">
        <f t="shared" si="351"/>
        <v>0</v>
      </c>
      <c r="IH10" s="494"/>
      <c r="II10" s="493">
        <f t="shared" si="352"/>
        <v>0</v>
      </c>
      <c r="IJ10" s="494"/>
      <c r="IK10" s="493">
        <f t="shared" si="353"/>
        <v>0</v>
      </c>
      <c r="IL10" s="494"/>
      <c r="IM10" s="493">
        <f t="shared" si="354"/>
        <v>0</v>
      </c>
      <c r="IN10" s="494"/>
      <c r="IO10" s="493">
        <f t="shared" si="355"/>
        <v>0</v>
      </c>
      <c r="IP10" s="494"/>
      <c r="IQ10" s="493">
        <f t="shared" si="356"/>
        <v>0</v>
      </c>
      <c r="IR10" s="494"/>
      <c r="IS10" s="493">
        <f t="shared" si="357"/>
        <v>0</v>
      </c>
      <c r="IT10" s="494"/>
      <c r="IU10" s="493">
        <f t="shared" si="14"/>
        <v>0</v>
      </c>
      <c r="IV10" s="494"/>
      <c r="IW10" s="493">
        <f t="shared" si="15"/>
        <v>0</v>
      </c>
      <c r="IX10" s="494"/>
      <c r="IY10" s="493">
        <f t="shared" si="16"/>
        <v>0</v>
      </c>
      <c r="IZ10" s="494"/>
      <c r="JA10" s="493">
        <f t="shared" ref="JA10" si="1112">((JA33+JB33)-(JA32+JB32))/2</f>
        <v>0</v>
      </c>
      <c r="JB10" s="494"/>
      <c r="JC10" s="493">
        <f t="shared" ref="JC10" si="1113">((JC33+JD33)-(JC32+JD32))/2</f>
        <v>0</v>
      </c>
      <c r="JD10" s="494"/>
      <c r="JE10" s="493">
        <f t="shared" si="19"/>
        <v>0</v>
      </c>
      <c r="JF10" s="494"/>
      <c r="JG10" s="493">
        <f t="shared" ref="JG10" si="1114">((JG33+JH33)-(JG32+JH32))/2</f>
        <v>0</v>
      </c>
      <c r="JH10" s="494"/>
      <c r="JI10" s="493">
        <f t="shared" ref="JI10" si="1115">((JI33+JJ33)-(JI32+JJ32))/2</f>
        <v>0</v>
      </c>
      <c r="JJ10" s="494"/>
      <c r="JK10" s="493">
        <f t="shared" si="22"/>
        <v>0</v>
      </c>
      <c r="JL10" s="494"/>
      <c r="JM10" s="493">
        <f t="shared" ref="JM10" si="1116">((JM33+JN33)-(JM32+JN32))/2</f>
        <v>0</v>
      </c>
      <c r="JN10" s="494"/>
      <c r="JO10" s="493">
        <f t="shared" ref="JO10" si="1117">((JO33+JP33)-(JO32+JP32))/2</f>
        <v>0</v>
      </c>
      <c r="JP10" s="494"/>
      <c r="JQ10" s="493">
        <f t="shared" si="25"/>
        <v>0</v>
      </c>
      <c r="JR10" s="494"/>
      <c r="JS10" s="493">
        <f t="shared" ref="JS10" si="1118">((JS33+JT33)-(JS32+JT32))/2</f>
        <v>0</v>
      </c>
      <c r="JT10" s="494"/>
      <c r="JU10" s="493">
        <f t="shared" ref="JU10" si="1119">((JU33+JV33)-(JU32+JV32))/2</f>
        <v>0</v>
      </c>
      <c r="JV10" s="494"/>
      <c r="JW10" s="493">
        <f t="shared" si="28"/>
        <v>0</v>
      </c>
      <c r="JX10" s="494"/>
      <c r="JY10" s="493">
        <f t="shared" ref="JY10" si="1120">((JY33+JZ33)-(JY32+JZ32))/2</f>
        <v>0</v>
      </c>
      <c r="JZ10" s="494"/>
      <c r="KA10" s="493">
        <f t="shared" ref="KA10" si="1121">((KA33+KB33)-(KA32+KB32))/2</f>
        <v>0</v>
      </c>
      <c r="KB10" s="494"/>
      <c r="KC10" s="493">
        <f t="shared" si="31"/>
        <v>0</v>
      </c>
      <c r="KD10" s="494"/>
      <c r="KE10" s="493">
        <f t="shared" si="368"/>
        <v>0</v>
      </c>
      <c r="KF10" s="494"/>
      <c r="KG10" s="493">
        <f t="shared" ref="KG10" si="1122">((KG33+KH33)-(KG32+KH32))/2</f>
        <v>0</v>
      </c>
      <c r="KH10" s="494"/>
      <c r="KI10" s="493">
        <f t="shared" si="34"/>
        <v>0</v>
      </c>
      <c r="KJ10" s="494"/>
      <c r="KK10" s="493">
        <f t="shared" ref="KK10" si="1123">((KK33+KL33)-(KK32+KL32))/2</f>
        <v>0</v>
      </c>
      <c r="KL10" s="494"/>
      <c r="KM10" s="493">
        <f t="shared" ref="KM10" si="1124">((KM33+KN33)-(KM32+KN32))/2</f>
        <v>0</v>
      </c>
      <c r="KN10" s="494"/>
      <c r="KO10" s="493">
        <f t="shared" si="37"/>
        <v>0</v>
      </c>
      <c r="KP10" s="494"/>
      <c r="KQ10" s="493">
        <f t="shared" ref="KQ10" si="1125">((KQ33+KR33)-(KQ32+KR32))/2</f>
        <v>0</v>
      </c>
      <c r="KR10" s="494"/>
      <c r="KS10" s="493">
        <f t="shared" ref="KS10" si="1126">((KS33+KT33)-(KS32+KT32))/2</f>
        <v>0</v>
      </c>
      <c r="KT10" s="494"/>
      <c r="KU10" s="493">
        <f t="shared" si="40"/>
        <v>0</v>
      </c>
      <c r="KV10" s="494"/>
      <c r="KW10" s="493">
        <f t="shared" ref="KW10" si="1127">((KW33+KX33)-(KW32+KX32))/2</f>
        <v>0</v>
      </c>
      <c r="KX10" s="494"/>
      <c r="KY10" s="493">
        <f t="shared" ref="KY10" si="1128">((KY33+KZ33)-(KY32+KZ32))/2</f>
        <v>0</v>
      </c>
      <c r="KZ10" s="494"/>
      <c r="LA10" s="493">
        <f t="shared" si="43"/>
        <v>0</v>
      </c>
      <c r="LB10" s="494"/>
      <c r="LC10" s="493">
        <f t="shared" si="376"/>
        <v>0</v>
      </c>
      <c r="LD10" s="494"/>
      <c r="LE10" s="493">
        <f t="shared" si="377"/>
        <v>0</v>
      </c>
      <c r="LF10" s="494"/>
      <c r="LG10" s="493">
        <f t="shared" si="378"/>
        <v>0</v>
      </c>
      <c r="LH10" s="494"/>
      <c r="LI10" s="493">
        <f t="shared" ref="LI10" si="1129">((LI33+LJ33)-(LI32+LJ32))/2</f>
        <v>0</v>
      </c>
      <c r="LJ10" s="494"/>
      <c r="LK10" s="493">
        <f t="shared" ref="LK10" si="1130">((LK33+LL33)-(LK32+LL32))/2</f>
        <v>0</v>
      </c>
      <c r="LL10" s="494"/>
      <c r="LM10" s="493">
        <f t="shared" si="49"/>
        <v>0</v>
      </c>
      <c r="LN10" s="494"/>
      <c r="LO10" s="493">
        <f t="shared" ref="LO10" si="1131">((LO33+LP33)-(LO32+LP32))/2</f>
        <v>0</v>
      </c>
      <c r="LP10" s="494"/>
      <c r="LQ10" s="493">
        <f t="shared" ref="LQ10" si="1132">((LQ33+LR33)-(LQ32+LR32))/2</f>
        <v>0</v>
      </c>
      <c r="LR10" s="494"/>
      <c r="LS10" s="493">
        <f t="shared" si="52"/>
        <v>0</v>
      </c>
      <c r="LT10" s="494"/>
      <c r="LU10" s="493">
        <f t="shared" ref="LU10" si="1133">((LU33+LV33)-(LU32+LV32))/2</f>
        <v>0</v>
      </c>
      <c r="LV10" s="494"/>
      <c r="LW10" s="493">
        <f t="shared" ref="LW10" si="1134">((LW33+LX33)-(LW32+LX32))/2</f>
        <v>0</v>
      </c>
      <c r="LX10" s="494"/>
      <c r="LY10" s="493">
        <f t="shared" si="55"/>
        <v>0</v>
      </c>
      <c r="LZ10" s="494"/>
      <c r="MA10" s="493">
        <f t="shared" ref="MA10" si="1135">((MA33+MB33)-(MA32+MB32))/2</f>
        <v>0</v>
      </c>
      <c r="MB10" s="494"/>
      <c r="MC10" s="493">
        <f t="shared" ref="MC10" si="1136">((MC33+MD33)-(MC32+MD32))/2</f>
        <v>0</v>
      </c>
      <c r="MD10" s="494"/>
      <c r="ME10" s="493">
        <f t="shared" si="58"/>
        <v>0</v>
      </c>
      <c r="MF10" s="494"/>
      <c r="MG10" s="493">
        <f t="shared" ref="MG10" si="1137">((MG33+MH33)-(MG32+MH32))/2</f>
        <v>0</v>
      </c>
      <c r="MH10" s="494"/>
      <c r="MI10" s="493">
        <f t="shared" ref="MI10" si="1138">((MI33+MJ33)-(MI32+MJ32))/2</f>
        <v>0</v>
      </c>
      <c r="MJ10" s="494"/>
      <c r="MK10" s="493">
        <f t="shared" si="61"/>
        <v>0</v>
      </c>
      <c r="ML10" s="494"/>
      <c r="MM10" s="493">
        <f t="shared" ref="MM10" si="1139">((MM33+MN33)-(MM32+MN32))/2</f>
        <v>0</v>
      </c>
      <c r="MN10" s="494"/>
      <c r="MO10" s="493">
        <f t="shared" ref="MO10" si="1140">((MO33+MP33)-(MO32+MP32))/2</f>
        <v>0</v>
      </c>
      <c r="MP10" s="494"/>
      <c r="MQ10" s="493">
        <f t="shared" si="64"/>
        <v>0</v>
      </c>
      <c r="MR10" s="494"/>
      <c r="MS10" s="493">
        <f t="shared" ref="MS10" si="1141">((MS33+MT33)-(MS32+MT32))/2</f>
        <v>0</v>
      </c>
      <c r="MT10" s="494"/>
      <c r="MU10" s="493">
        <f t="shared" ref="MU10" si="1142">((MU33+MV33)-(MU32+MV32))/2</f>
        <v>0</v>
      </c>
      <c r="MV10" s="494"/>
      <c r="MW10" s="493">
        <f t="shared" si="67"/>
        <v>0</v>
      </c>
      <c r="MX10" s="494"/>
      <c r="MY10" s="493">
        <f t="shared" ref="MY10" si="1143">((MY33+MZ33)-(MY32+MZ32))/2</f>
        <v>0</v>
      </c>
      <c r="MZ10" s="494"/>
      <c r="NA10" s="493">
        <f t="shared" ref="NA10" si="1144">((NA33+NB33)-(NA32+NB32))/2</f>
        <v>0</v>
      </c>
      <c r="NB10" s="494"/>
      <c r="NC10" s="493">
        <f t="shared" si="70"/>
        <v>0</v>
      </c>
      <c r="ND10" s="494"/>
      <c r="NE10" s="493">
        <f t="shared" ref="NE10" si="1145">((NE33+NF33)-(NE32+NF32))/2</f>
        <v>0</v>
      </c>
      <c r="NF10" s="494"/>
      <c r="NG10" s="493">
        <f t="shared" ref="NG10" si="1146">((NG33+NH33)-(NG32+NH32))/2</f>
        <v>0</v>
      </c>
      <c r="NH10" s="494"/>
      <c r="NI10" s="493">
        <f t="shared" si="73"/>
        <v>0</v>
      </c>
      <c r="NJ10" s="494"/>
      <c r="NK10" s="493">
        <f t="shared" ref="NK10" si="1147">((NK33+NL33)-(NK32+NL32))/2</f>
        <v>0</v>
      </c>
      <c r="NL10" s="494"/>
      <c r="NM10" s="493">
        <f t="shared" ref="NM10" si="1148">((NM33+NN33)-(NM32+NN32))/2</f>
        <v>0</v>
      </c>
      <c r="NN10" s="494"/>
      <c r="NO10" s="493">
        <f t="shared" si="76"/>
        <v>0</v>
      </c>
      <c r="NP10" s="494"/>
      <c r="NQ10" s="493">
        <f t="shared" ref="NQ10" si="1149">((NQ33+NR33)-(NQ32+NR32))/2</f>
        <v>0</v>
      </c>
      <c r="NR10" s="494"/>
      <c r="NS10" s="493">
        <f t="shared" ref="NS10" si="1150">((NS33+NT33)-(NS32+NT32))/2</f>
        <v>0</v>
      </c>
      <c r="NT10" s="494"/>
      <c r="NU10" s="493">
        <f t="shared" si="79"/>
        <v>0</v>
      </c>
      <c r="NV10" s="494"/>
      <c r="NW10" s="493">
        <f t="shared" ref="NW10" si="1151">((NW33+NX33)-(NW32+NX32))/2</f>
        <v>0</v>
      </c>
      <c r="NX10" s="494"/>
      <c r="NY10" s="493">
        <f t="shared" ref="NY10" si="1152">((NY33+NZ33)-(NY32+NZ32))/2</f>
        <v>0</v>
      </c>
      <c r="NZ10" s="494"/>
      <c r="OA10" s="493">
        <f t="shared" si="82"/>
        <v>0</v>
      </c>
      <c r="OB10" s="494"/>
      <c r="OC10" s="493">
        <f t="shared" ref="OC10" si="1153">((OC33+OD33)-(OC32+OD32))/2</f>
        <v>0</v>
      </c>
      <c r="OD10" s="494"/>
      <c r="OE10" s="493">
        <f t="shared" ref="OE10" si="1154">((OE33+OF33)-(OE32+OF32))/2</f>
        <v>0</v>
      </c>
      <c r="OF10" s="494"/>
      <c r="OG10" s="493">
        <f t="shared" si="85"/>
        <v>0</v>
      </c>
      <c r="OH10" s="494"/>
      <c r="OI10" s="493">
        <f t="shared" ref="OI10" si="1155">((OI33+OJ33)-(OI32+OJ32))/2</f>
        <v>0</v>
      </c>
      <c r="OJ10" s="494"/>
      <c r="OK10" s="493">
        <f t="shared" ref="OK10" si="1156">((OK33+OL33)-(OK32+OL32))/2</f>
        <v>0</v>
      </c>
      <c r="OL10" s="494"/>
      <c r="OM10" s="493">
        <f t="shared" si="88"/>
        <v>0</v>
      </c>
      <c r="ON10" s="494"/>
      <c r="OO10" s="493">
        <f t="shared" ref="OO10" si="1157">((OO33+OP33)-(OO32+OP32))/2</f>
        <v>0</v>
      </c>
      <c r="OP10" s="494"/>
      <c r="OQ10" s="493">
        <f t="shared" ref="OQ10" si="1158">((OQ33+OR33)-(OQ32+OR32))/2</f>
        <v>0</v>
      </c>
      <c r="OR10" s="494"/>
      <c r="OS10" s="493">
        <f t="shared" si="91"/>
        <v>0</v>
      </c>
      <c r="OT10" s="494"/>
      <c r="OU10" s="493">
        <f t="shared" ref="OU10" si="1159">((OU33+OV33)-(OU32+OV32))/2</f>
        <v>0</v>
      </c>
      <c r="OV10" s="494"/>
      <c r="OW10" s="493">
        <f t="shared" ref="OW10" si="1160">((OW33+OX33)-(OW32+OX32))/2</f>
        <v>0</v>
      </c>
      <c r="OX10" s="494"/>
      <c r="OY10" s="493">
        <f t="shared" si="94"/>
        <v>0</v>
      </c>
      <c r="OZ10" s="494"/>
      <c r="PA10" s="493">
        <f t="shared" ref="PA10" si="1161">((PA33+PB33)-(PA32+PB32))/2</f>
        <v>0</v>
      </c>
      <c r="PB10" s="494"/>
      <c r="PC10" s="493">
        <f t="shared" ref="PC10" si="1162">((PC33+PD33)-(PC32+PD32))/2</f>
        <v>0</v>
      </c>
      <c r="PD10" s="494"/>
      <c r="PE10" s="493">
        <f t="shared" si="97"/>
        <v>0</v>
      </c>
      <c r="PF10" s="494"/>
      <c r="PG10" s="493">
        <f t="shared" ref="PG10" si="1163">((PG33+PH33)-(PG32+PH32))/2</f>
        <v>0</v>
      </c>
      <c r="PH10" s="494"/>
      <c r="PI10" s="493">
        <f t="shared" ref="PI10" si="1164">((PI33+PJ33)-(PI32+PJ32))/2</f>
        <v>0</v>
      </c>
      <c r="PJ10" s="494"/>
      <c r="PK10" s="493">
        <f t="shared" si="100"/>
        <v>0</v>
      </c>
      <c r="PL10" s="494"/>
      <c r="PM10" s="493">
        <f t="shared" ref="PM10" si="1165">((PM33+PN33)-(PM32+PN32))/2</f>
        <v>0</v>
      </c>
      <c r="PN10" s="494"/>
      <c r="PO10" s="493">
        <f t="shared" ref="PO10" si="1166">((PO33+PP33)-(PO32+PP32))/2</f>
        <v>0</v>
      </c>
      <c r="PP10" s="494"/>
      <c r="PQ10" s="493">
        <f t="shared" si="103"/>
        <v>0</v>
      </c>
      <c r="PR10" s="494"/>
      <c r="PS10" s="493">
        <f t="shared" ref="PS10" si="1167">((PS33+PT33)-(PS32+PT32))/2</f>
        <v>0</v>
      </c>
      <c r="PT10" s="494"/>
      <c r="PU10" s="493">
        <f t="shared" ref="PU10" si="1168">((PU33+PV33)-(PU32+PV32))/2</f>
        <v>0</v>
      </c>
      <c r="PV10" s="494"/>
      <c r="PW10" s="493">
        <f t="shared" si="106"/>
        <v>0</v>
      </c>
      <c r="PX10" s="494"/>
      <c r="PY10" s="493">
        <f t="shared" ref="PY10" si="1169">((PY33+PZ33)-(PY32+PZ32))/2</f>
        <v>0</v>
      </c>
      <c r="PZ10" s="494"/>
      <c r="QA10" s="493">
        <f t="shared" ref="QA10" si="1170">((QA33+QB33)-(QA32+QB32))/2</f>
        <v>0</v>
      </c>
      <c r="QB10" s="494"/>
      <c r="QC10" s="493">
        <f t="shared" si="109"/>
        <v>0</v>
      </c>
      <c r="QD10" s="494"/>
      <c r="QE10" s="493">
        <f t="shared" ref="QE10" si="1171">((QE33+QF33)-(QE32+QF32))/2</f>
        <v>0</v>
      </c>
      <c r="QF10" s="494"/>
      <c r="QG10" s="493">
        <f t="shared" ref="QG10" si="1172">((QG33+QH33)-(QG32+QH32))/2</f>
        <v>0</v>
      </c>
      <c r="QH10" s="494"/>
      <c r="QI10" s="493">
        <f t="shared" si="112"/>
        <v>0</v>
      </c>
      <c r="QJ10" s="494"/>
      <c r="QK10" s="493">
        <f t="shared" ref="QK10" si="1173">((QK33+QL33)-(QK32+QL32))/2</f>
        <v>0</v>
      </c>
      <c r="QL10" s="494"/>
      <c r="QM10" s="493">
        <f t="shared" ref="QM10" si="1174">((QM33+QN33)-(QM32+QN32))/2</f>
        <v>0</v>
      </c>
      <c r="QN10" s="494"/>
      <c r="QO10" s="493">
        <f t="shared" si="115"/>
        <v>0</v>
      </c>
      <c r="QP10" s="494"/>
      <c r="QQ10" s="493">
        <f t="shared" ref="QQ10" si="1175">((QQ33+QR33)-(QQ32+QR32))/2</f>
        <v>0</v>
      </c>
      <c r="QR10" s="494"/>
      <c r="QS10" s="493">
        <f t="shared" ref="QS10" si="1176">((QS33+QT33)-(QS32+QT32))/2</f>
        <v>0</v>
      </c>
      <c r="QT10" s="494"/>
      <c r="QU10" s="493">
        <f t="shared" si="118"/>
        <v>0</v>
      </c>
      <c r="QV10" s="494"/>
      <c r="QW10" s="493">
        <f t="shared" ref="QW10" si="1177">((QW33+QX33)-(QW32+QX32))/2</f>
        <v>0</v>
      </c>
      <c r="QX10" s="494"/>
      <c r="QY10" s="493">
        <f t="shared" ref="QY10" si="1178">((QY33+QZ33)-(QY32+QZ32))/2</f>
        <v>0</v>
      </c>
      <c r="QZ10" s="494"/>
      <c r="RA10" s="493">
        <f t="shared" si="121"/>
        <v>0</v>
      </c>
      <c r="RB10" s="494"/>
      <c r="RC10" s="493">
        <f t="shared" si="1027"/>
        <v>0</v>
      </c>
      <c r="RD10" s="494"/>
      <c r="RE10" s="493">
        <f t="shared" ref="RE10" si="1179">((RE33+RF33)-(RE32+RF32))/2</f>
        <v>0</v>
      </c>
      <c r="RF10" s="494"/>
      <c r="RG10" s="493">
        <f t="shared" si="124"/>
        <v>0</v>
      </c>
      <c r="RH10" s="494"/>
      <c r="RI10" s="493">
        <f t="shared" ref="RI10:RI13" si="1180">((RI33+RJ34)-(RI32+RJ33))/2</f>
        <v>0</v>
      </c>
      <c r="RJ10" s="494"/>
      <c r="RK10" s="493">
        <f t="shared" ref="RK10" si="1181">((RK33+RL33)-(RK32+RL32))/2</f>
        <v>0</v>
      </c>
      <c r="RL10" s="494"/>
      <c r="RM10" s="493">
        <f t="shared" si="126"/>
        <v>0</v>
      </c>
      <c r="RN10" s="494"/>
      <c r="RO10" s="493">
        <f t="shared" ref="RO10" si="1182">((RO33+RP33)-(RO32+RP32))/2</f>
        <v>0</v>
      </c>
      <c r="RP10" s="494"/>
      <c r="RQ10" s="493">
        <f t="shared" ref="RQ10" si="1183">((RQ33+RR33)-(RQ32+RR32))/2</f>
        <v>0</v>
      </c>
      <c r="RR10" s="494"/>
      <c r="RS10" s="493">
        <f t="shared" si="129"/>
        <v>0</v>
      </c>
      <c r="RT10" s="494"/>
      <c r="RU10" s="493">
        <f t="shared" ref="RU10" si="1184">((RU33+RV33)-(RU32+RV32))/2</f>
        <v>0</v>
      </c>
      <c r="RV10" s="494"/>
      <c r="RW10" s="493">
        <f t="shared" ref="RW10" si="1185">((RW33+RX33)-(RW32+RX32))/2</f>
        <v>0</v>
      </c>
      <c r="RX10" s="494"/>
      <c r="RY10" s="493">
        <f t="shared" si="132"/>
        <v>0</v>
      </c>
      <c r="RZ10" s="494"/>
      <c r="SA10" s="493">
        <f t="shared" ref="SA10" si="1186">((SA33+SB33)-(SA32+SB32))/2</f>
        <v>0</v>
      </c>
      <c r="SB10" s="494"/>
      <c r="SC10" s="493">
        <f t="shared" ref="SC10" si="1187">((SC33+SD33)-(SC32+SD32))/2</f>
        <v>0</v>
      </c>
      <c r="SD10" s="494"/>
      <c r="SE10" s="493">
        <f t="shared" si="135"/>
        <v>0</v>
      </c>
      <c r="SF10" s="494"/>
      <c r="SG10" s="493">
        <f t="shared" ref="SG10" si="1188">((SG33+SH33)-(SG32+SH32))/2</f>
        <v>0</v>
      </c>
      <c r="SH10" s="494"/>
      <c r="SI10" s="493">
        <f t="shared" ref="SI10" si="1189">((SI33+SJ33)-(SI32+SJ32))/2</f>
        <v>0</v>
      </c>
      <c r="SJ10" s="494"/>
      <c r="SK10" s="493">
        <f t="shared" si="138"/>
        <v>0</v>
      </c>
      <c r="SL10" s="494"/>
      <c r="SM10" s="493">
        <f t="shared" ref="SM10" si="1190">((SM33+SN33)-(SM32+SN32))/2</f>
        <v>0</v>
      </c>
      <c r="SN10" s="494"/>
      <c r="SO10" s="493">
        <f t="shared" ref="SO10" si="1191">((SO33+SP33)-(SO32+SP32))/2</f>
        <v>0</v>
      </c>
      <c r="SP10" s="494"/>
      <c r="SQ10" s="493">
        <f t="shared" si="141"/>
        <v>0</v>
      </c>
      <c r="SR10" s="494"/>
      <c r="SS10" s="493">
        <f t="shared" ref="SS10" si="1192">((SS33+ST33)-(SS32+ST32))/2</f>
        <v>0</v>
      </c>
      <c r="ST10" s="494"/>
      <c r="SU10" s="493">
        <f>((SU33+SV34)-(SU32+SV32))/2</f>
        <v>0</v>
      </c>
      <c r="SV10" s="494"/>
      <c r="SW10" s="493">
        <f t="shared" ref="SW10" si="1193">((SW33+SX33)-(SW32+SX32))/2</f>
        <v>0</v>
      </c>
      <c r="SX10" s="494"/>
      <c r="SY10" s="493">
        <f t="shared" ref="SY10" si="1194">((SY33+SZ33)-(SY32+SZ32))/2</f>
        <v>0</v>
      </c>
      <c r="SZ10" s="494"/>
      <c r="TA10" s="493">
        <f t="shared" ref="TA10" si="1195">((TA33+TB33)-(TA32+TB32))/2</f>
        <v>0</v>
      </c>
      <c r="TB10" s="494"/>
      <c r="TC10" s="493">
        <f t="shared" si="147"/>
        <v>0</v>
      </c>
      <c r="TD10" s="494"/>
      <c r="TE10" s="493">
        <f t="shared" ref="TE10" si="1196">((TE33+TF33)-(TE32+TF32))/2</f>
        <v>0</v>
      </c>
      <c r="TF10" s="494"/>
      <c r="TG10" s="493">
        <f t="shared" ref="TG10" si="1197">((TG33+TH33)-(TG32+TH32))/2</f>
        <v>0</v>
      </c>
      <c r="TH10" s="494"/>
      <c r="TI10" s="493">
        <f t="shared" si="150"/>
        <v>0</v>
      </c>
      <c r="TJ10" s="494"/>
      <c r="TK10" s="493">
        <f t="shared" ref="TK10" si="1198">((TK33+TL33)-(TK32+TL32))/2</f>
        <v>0</v>
      </c>
      <c r="TL10" s="494"/>
      <c r="TM10" s="493">
        <f t="shared" ref="TM10" si="1199">((TM33+TN33)-(TM32+TN32))/2</f>
        <v>0</v>
      </c>
      <c r="TN10" s="494"/>
      <c r="TO10" s="493">
        <f t="shared" si="153"/>
        <v>0</v>
      </c>
      <c r="TP10" s="494"/>
      <c r="TQ10" s="493">
        <f t="shared" ref="TQ10" si="1200">((TQ33+TR33)-(TQ32+TR32))/2</f>
        <v>0</v>
      </c>
      <c r="TR10" s="494"/>
      <c r="TS10" s="493">
        <f t="shared" ref="TS10" si="1201">((TS33+TT33)-(TS32+TT32))/2</f>
        <v>0</v>
      </c>
      <c r="TT10" s="494"/>
      <c r="TU10" s="493">
        <f t="shared" si="156"/>
        <v>0</v>
      </c>
      <c r="TV10" s="494"/>
      <c r="TW10" s="493">
        <f t="shared" ref="TW10" si="1202">((TW33+TX33)-(TW32+TX32))/2</f>
        <v>0</v>
      </c>
      <c r="TX10" s="494"/>
      <c r="TY10" s="493">
        <f t="shared" ref="TY10" si="1203">((TY33+TZ33)-(TY32+TZ32))/2</f>
        <v>0</v>
      </c>
      <c r="TZ10" s="494"/>
      <c r="UA10" s="493">
        <f t="shared" si="159"/>
        <v>0</v>
      </c>
      <c r="UB10" s="494"/>
      <c r="UC10" s="493">
        <f t="shared" si="1052"/>
        <v>0</v>
      </c>
      <c r="UD10" s="494"/>
      <c r="UE10" s="493">
        <f t="shared" ref="UE10" si="1204">((UE33+UF33)-(UE32+UF32))/2</f>
        <v>0</v>
      </c>
      <c r="UF10" s="494"/>
      <c r="UG10" s="493">
        <f t="shared" si="162"/>
        <v>0</v>
      </c>
      <c r="UH10" s="494"/>
      <c r="UI10" s="493">
        <f t="shared" ref="UI10" si="1205">((UI33+UJ33)-(UI32+UJ32))/2</f>
        <v>0</v>
      </c>
      <c r="UJ10" s="494"/>
      <c r="UK10" s="493">
        <f t="shared" ref="UK10" si="1206">((UK33+UL33)-(UK32+UL32))/2</f>
        <v>0</v>
      </c>
      <c r="UL10" s="494"/>
      <c r="UM10" s="493">
        <f t="shared" si="165"/>
        <v>0</v>
      </c>
      <c r="UN10" s="494"/>
      <c r="UO10" s="493">
        <f t="shared" ref="UO10" si="1207">((UO33+UP33)-(UO32+UP32))/2</f>
        <v>0</v>
      </c>
      <c r="UP10" s="494"/>
      <c r="UQ10" s="493">
        <f t="shared" ref="UQ10" si="1208">((UQ33+UR33)-(UQ32+UR32))/2</f>
        <v>0</v>
      </c>
      <c r="UR10" s="494"/>
      <c r="US10" s="493">
        <f t="shared" si="168"/>
        <v>0</v>
      </c>
      <c r="UT10" s="494"/>
      <c r="UU10" s="493">
        <f t="shared" ref="UU10" si="1209">((UU33+UV33)-(UU32+UV32))/2</f>
        <v>0</v>
      </c>
      <c r="UV10" s="494"/>
      <c r="UW10" s="493">
        <f t="shared" ref="UW10" si="1210">((UW33+UX33)-(UW32+UX32))/2</f>
        <v>0</v>
      </c>
      <c r="UX10" s="494"/>
      <c r="UY10" s="493">
        <f t="shared" si="171"/>
        <v>0</v>
      </c>
      <c r="UZ10" s="494"/>
      <c r="VA10" s="493">
        <f t="shared" ref="VA10" si="1211">((VA33+VB33)-(VA32+VB32))/2</f>
        <v>0</v>
      </c>
      <c r="VB10" s="494"/>
      <c r="VC10" s="493">
        <f t="shared" ref="VC10" si="1212">((VC33+VD33)-(VC32+VD32))/2</f>
        <v>0</v>
      </c>
      <c r="VD10" s="494"/>
      <c r="VE10" s="493">
        <f t="shared" si="464"/>
        <v>0</v>
      </c>
      <c r="VF10" s="494"/>
      <c r="VG10" s="493">
        <f t="shared" ref="VG10" si="1213">((VG33+VH33)-(VG32+VH32))/2</f>
        <v>0</v>
      </c>
      <c r="VH10" s="494"/>
      <c r="VI10" s="493">
        <f t="shared" ref="VI10" si="1214">((VI33+VJ33)-(VI32+VJ32))/2</f>
        <v>0</v>
      </c>
      <c r="VJ10" s="494"/>
      <c r="VK10" s="493">
        <f t="shared" si="467"/>
        <v>0</v>
      </c>
      <c r="VL10" s="494"/>
      <c r="VM10" s="493">
        <f t="shared" ref="VM10" si="1215">((VM33+VN33)-(VM32+VN32))/2</f>
        <v>0</v>
      </c>
      <c r="VN10" s="494"/>
      <c r="VO10" s="493">
        <f t="shared" ref="VO10" si="1216">((VO33+VP33)-(VO32+VP32))/2</f>
        <v>0</v>
      </c>
      <c r="VP10" s="494"/>
      <c r="VQ10" s="493">
        <f t="shared" si="178"/>
        <v>0</v>
      </c>
      <c r="VR10" s="494"/>
      <c r="VS10" s="493">
        <f>((VS33+VT32)-(VS32+VT31))/2</f>
        <v>0</v>
      </c>
      <c r="VT10" s="494"/>
      <c r="VU10" s="493">
        <f>((VU33+VV32)-(VU32+VV31))/2</f>
        <v>0</v>
      </c>
      <c r="VV10" s="494"/>
      <c r="VW10" s="493">
        <f t="shared" si="181"/>
        <v>0</v>
      </c>
      <c r="VX10" s="494"/>
      <c r="VY10" s="493">
        <f t="shared" ref="VY10" si="1217">((VY33+VZ33)-(VY32+VZ32))/2</f>
        <v>0</v>
      </c>
      <c r="VZ10" s="494"/>
      <c r="WA10" s="493">
        <f t="shared" si="1067"/>
        <v>0</v>
      </c>
      <c r="WB10" s="494"/>
      <c r="WC10" s="493">
        <f t="shared" si="184"/>
        <v>0</v>
      </c>
      <c r="WD10" s="494"/>
      <c r="WE10" s="493">
        <f t="shared" ref="WE10" si="1218">((WE33+WF33)-(WE32+WF32))/2</f>
        <v>0</v>
      </c>
      <c r="WF10" s="494"/>
      <c r="WG10" s="493">
        <f t="shared" ref="WG10" si="1219">((WG33+WH33)-(WG32+WH32))/2</f>
        <v>0</v>
      </c>
      <c r="WH10" s="494"/>
      <c r="WI10" s="493">
        <f t="shared" si="187"/>
        <v>0</v>
      </c>
      <c r="WJ10" s="494"/>
      <c r="WK10" s="493">
        <f t="shared" ref="WK10" si="1220">((WK33+WL33)-(WK32+WL32))/2</f>
        <v>0</v>
      </c>
      <c r="WL10" s="494"/>
      <c r="WM10" s="493">
        <f t="shared" ref="WM10" si="1221">((WM33+WN33)-(WM32+WN32))/2</f>
        <v>0</v>
      </c>
      <c r="WN10" s="494"/>
      <c r="WO10" s="493">
        <f t="shared" si="190"/>
        <v>0</v>
      </c>
      <c r="WP10" s="494"/>
      <c r="WQ10" s="493">
        <f t="shared" si="477"/>
        <v>0</v>
      </c>
      <c r="WR10" s="494"/>
      <c r="WS10" s="493">
        <f t="shared" ref="WS10" si="1222">((WS33+WT33)-(WS32+WT32))/2</f>
        <v>0</v>
      </c>
      <c r="WT10" s="494"/>
      <c r="WU10" s="493">
        <f t="shared" si="193"/>
        <v>0</v>
      </c>
      <c r="WV10" s="494"/>
      <c r="WW10" s="493">
        <f t="shared" ref="WW10" si="1223">((WW33+WX33)-(WW32+WX32))/2</f>
        <v>0</v>
      </c>
      <c r="WX10" s="494"/>
      <c r="WY10" s="493">
        <f t="shared" ref="WY10" si="1224">((WY33+WZ33)-(WY32+WZ32))/2</f>
        <v>0</v>
      </c>
      <c r="WZ10" s="494"/>
      <c r="XA10" s="493">
        <f t="shared" si="196"/>
        <v>0</v>
      </c>
      <c r="XB10" s="494"/>
      <c r="XC10" s="493">
        <f t="shared" ref="XC10" si="1225">((XC33+XD33)-(XC32+XD32))/2</f>
        <v>0</v>
      </c>
      <c r="XD10" s="494"/>
      <c r="XE10" s="493">
        <f t="shared" ref="XE10" si="1226">((XE33+XF33)-(XE32+XF32))/2</f>
        <v>0</v>
      </c>
      <c r="XF10" s="494"/>
      <c r="XG10" s="493">
        <f t="shared" si="199"/>
        <v>0</v>
      </c>
      <c r="XH10" s="494"/>
      <c r="XI10" s="493">
        <f t="shared" ref="XI10" si="1227">((XI33+XJ33)-(XI32+XJ32))/2</f>
        <v>0</v>
      </c>
      <c r="XJ10" s="494"/>
      <c r="XK10" s="493">
        <f t="shared" ref="XK10" si="1228">((XK33+XL33)-(XK32+XL32))/2</f>
        <v>0</v>
      </c>
      <c r="XL10" s="494"/>
      <c r="XM10" s="493">
        <f t="shared" si="202"/>
        <v>0</v>
      </c>
      <c r="XN10" s="494"/>
      <c r="XO10" s="493">
        <f t="shared" si="933"/>
        <v>0</v>
      </c>
      <c r="XP10" s="494"/>
      <c r="XQ10" s="493">
        <f t="shared" ref="XQ10" si="1229">((XQ33+XR33)-(XQ32+XR32))/2</f>
        <v>0</v>
      </c>
      <c r="XR10" s="494"/>
      <c r="XS10" s="493">
        <f t="shared" si="205"/>
        <v>0</v>
      </c>
      <c r="XT10" s="494"/>
      <c r="XU10" s="493">
        <f t="shared" ref="XU10" si="1230">((XU33+XV33)-(XU32+XV32))/2</f>
        <v>0</v>
      </c>
      <c r="XV10" s="494"/>
      <c r="XW10" s="493">
        <f t="shared" ref="XW10" si="1231">((XW33+XX33)-(XW32+XX32))/2</f>
        <v>0</v>
      </c>
      <c r="XX10" s="494"/>
      <c r="XY10" s="493">
        <f t="shared" si="208"/>
        <v>0</v>
      </c>
      <c r="XZ10" s="494"/>
      <c r="YA10" s="493">
        <f t="shared" si="937"/>
        <v>0</v>
      </c>
      <c r="YB10" s="494"/>
      <c r="YC10" s="493">
        <f t="shared" ref="YC10" si="1232">((YC33+YD33)-(YC32+YD32))/2</f>
        <v>0</v>
      </c>
      <c r="YD10" s="494"/>
      <c r="YE10" s="493">
        <f t="shared" si="211"/>
        <v>0</v>
      </c>
      <c r="YF10" s="494"/>
      <c r="YG10" s="493">
        <f t="shared" ref="YG10" si="1233">((YG33+YH33)-(YG32+YH32))/2</f>
        <v>0</v>
      </c>
      <c r="YH10" s="494"/>
      <c r="YI10" s="493">
        <f t="shared" ref="YI10" si="1234">((YI33+YJ33)-(YI32+YJ32))/2</f>
        <v>0</v>
      </c>
      <c r="YJ10" s="494"/>
      <c r="YK10" s="493">
        <f t="shared" si="214"/>
        <v>0</v>
      </c>
      <c r="YL10" s="494"/>
      <c r="YM10" s="493">
        <f t="shared" ref="YM10" si="1235">((YM33+YN33)-(YM32+YN32))/2</f>
        <v>0</v>
      </c>
      <c r="YN10" s="494"/>
      <c r="YO10" s="493">
        <f t="shared" si="216"/>
        <v>0</v>
      </c>
      <c r="YP10" s="494"/>
      <c r="YQ10" s="493">
        <f t="shared" si="217"/>
        <v>0</v>
      </c>
      <c r="YR10" s="494"/>
      <c r="YS10" s="493">
        <f t="shared" ref="YS10" si="1236">((YS33+YT33)-(YS32+YT32))/2</f>
        <v>0</v>
      </c>
      <c r="YT10" s="494"/>
      <c r="YU10" s="493">
        <f t="shared" ref="YU10" si="1237">((YU33+YV33)-(YU32+YV32))/2</f>
        <v>0</v>
      </c>
      <c r="YV10" s="494"/>
      <c r="YW10" s="493">
        <f t="shared" si="220"/>
        <v>0</v>
      </c>
      <c r="YX10" s="494"/>
      <c r="YY10" s="493">
        <f t="shared" si="496"/>
        <v>0</v>
      </c>
      <c r="YZ10" s="494"/>
      <c r="ZA10" s="493">
        <f t="shared" ref="ZA10" si="1238">((ZA33+ZB33)-(ZA32+ZB32))/2</f>
        <v>0</v>
      </c>
      <c r="ZB10" s="494"/>
      <c r="ZC10" s="493">
        <f t="shared" ref="ZC10:ZC19" si="1239">((ZC33+ZD33)-(ZC32+ZD32))/2</f>
        <v>0</v>
      </c>
      <c r="ZD10" s="494"/>
      <c r="ZE10" s="493">
        <f t="shared" ref="ZE10" si="1240">((ZE33+ZF33)-(ZE32+ZF32))/2</f>
        <v>0</v>
      </c>
      <c r="ZF10" s="494"/>
      <c r="ZG10" s="493">
        <f t="shared" ref="ZG10" si="1241">((ZG33+ZH33)-(ZG32+ZH32))/2</f>
        <v>0</v>
      </c>
      <c r="ZH10" s="494"/>
      <c r="ZI10" s="493">
        <f t="shared" si="799"/>
        <v>0</v>
      </c>
      <c r="ZJ10" s="494"/>
      <c r="ZK10" s="493">
        <f t="shared" ref="ZK10" si="1242">((ZK33+ZL33)-(ZK32+ZL32))/2</f>
        <v>0</v>
      </c>
      <c r="ZL10" s="494"/>
      <c r="ZM10" s="493">
        <f t="shared" ref="ZM10" si="1243">((ZM33+ZN33)-(ZM32+ZN32))/2</f>
        <v>0</v>
      </c>
      <c r="ZN10" s="494"/>
      <c r="ZO10" s="493">
        <f t="shared" si="502"/>
        <v>0</v>
      </c>
      <c r="ZP10" s="494"/>
      <c r="ZQ10" s="493">
        <f t="shared" si="503"/>
        <v>0</v>
      </c>
      <c r="ZR10" s="494"/>
      <c r="ZS10" s="493">
        <f t="shared" ref="ZS10" si="1244">((ZS33+ZT33)-(ZS32+ZT32))/2</f>
        <v>0</v>
      </c>
      <c r="ZT10" s="494"/>
      <c r="ZU10" s="493">
        <f t="shared" si="230"/>
        <v>0</v>
      </c>
      <c r="ZV10" s="494"/>
      <c r="ZW10" s="493">
        <f t="shared" ref="ZW10" si="1245">((ZW33+ZX33)-(ZW32+ZX32))/2</f>
        <v>0</v>
      </c>
      <c r="ZX10" s="494"/>
      <c r="ZY10" s="493">
        <f t="shared" ref="ZY10" si="1246">((ZY33+ZZ33)-(ZY32+ZZ32))/2</f>
        <v>0</v>
      </c>
      <c r="ZZ10" s="494"/>
      <c r="AAA10" s="493">
        <f t="shared" si="233"/>
        <v>0</v>
      </c>
      <c r="AAB10" s="494"/>
      <c r="AAC10" s="493">
        <f>((AAC33+AAD34)-(AAC32+AAD32))/2</f>
        <v>0</v>
      </c>
      <c r="AAD10" s="494"/>
      <c r="AAE10" s="493">
        <f t="shared" ref="AAE10" si="1247">((AAE33+AAF33)-(AAE32+AAF32))/2</f>
        <v>0</v>
      </c>
      <c r="AAF10" s="494"/>
      <c r="AAG10" s="493">
        <f t="shared" si="236"/>
        <v>0</v>
      </c>
      <c r="AAH10" s="494"/>
      <c r="AAI10" s="493">
        <f t="shared" ref="AAI10" si="1248">((AAI33+AAJ33)-(AAI32+AAJ32))/2</f>
        <v>0</v>
      </c>
      <c r="AAJ10" s="494"/>
      <c r="AAK10" s="493">
        <f t="shared" ref="AAK10" si="1249">((AAK33+AAL33)-(AAK32+AAL32))/2</f>
        <v>0</v>
      </c>
      <c r="AAL10" s="494"/>
      <c r="AAM10" s="493">
        <f t="shared" si="239"/>
        <v>0</v>
      </c>
      <c r="AAN10" s="494"/>
      <c r="AAO10" s="493">
        <f t="shared" ref="AAO10:AAO16" si="1250">((AAO34+AAP33)-(AAO33+AAP32))/2</f>
        <v>0</v>
      </c>
      <c r="AAP10" s="494"/>
      <c r="AAQ10" s="493">
        <f t="shared" si="1100"/>
        <v>0</v>
      </c>
      <c r="AAR10" s="494"/>
      <c r="AAS10" s="493">
        <f t="shared" si="241"/>
        <v>0</v>
      </c>
      <c r="AAT10" s="494"/>
      <c r="AAU10" s="493">
        <f t="shared" ref="AAU10" si="1251">((AAU33+AAV33)-(AAU32+AAV32))/2</f>
        <v>0</v>
      </c>
      <c r="AAV10" s="494"/>
      <c r="AAW10" s="493">
        <f t="shared" ref="AAW10" si="1252">((AAW33+AAX33)-(AAW32+AAX32))/2</f>
        <v>0</v>
      </c>
      <c r="AAX10" s="494"/>
      <c r="AAY10" s="493">
        <f t="shared" si="513"/>
        <v>0</v>
      </c>
      <c r="AAZ10" s="494"/>
      <c r="ABA10" s="493">
        <f t="shared" ref="ABA10" si="1253">((ABA33+ABB33)-(ABA32+ABB32))/2</f>
        <v>0</v>
      </c>
      <c r="ABB10" s="494"/>
      <c r="ABC10" s="493">
        <f t="shared" ref="ABC10" si="1254">((ABC33+ABD33)-(ABC32+ABD32))/2</f>
        <v>0</v>
      </c>
      <c r="ABD10" s="494"/>
      <c r="ABE10" s="379">
        <f t="shared" si="516"/>
        <v>0</v>
      </c>
      <c r="ABF10" s="377"/>
      <c r="ABG10" s="481"/>
      <c r="ABH10" s="481"/>
      <c r="ABI10" s="481"/>
      <c r="ABJ10" s="481"/>
      <c r="ABK10" s="481"/>
      <c r="ABL10" s="481"/>
      <c r="ABM10" s="481"/>
      <c r="ABN10" s="481"/>
      <c r="ABO10" s="481"/>
      <c r="ABP10" s="481"/>
      <c r="ABQ10" s="481"/>
      <c r="ABR10" s="481"/>
      <c r="ABS10" s="481"/>
      <c r="ABT10" s="481"/>
      <c r="ABU10" s="481"/>
      <c r="ABV10" s="481"/>
      <c r="ABW10" s="481"/>
      <c r="ABX10" s="481"/>
      <c r="ABY10" s="481"/>
      <c r="ABZ10" s="481"/>
      <c r="ACA10" s="481"/>
      <c r="ACB10" s="481"/>
      <c r="ACC10" s="481"/>
      <c r="ACD10" s="481"/>
      <c r="ACE10" s="481"/>
      <c r="ACF10" s="481"/>
      <c r="ACG10" s="481"/>
      <c r="ACH10" s="481"/>
      <c r="ACI10" s="481"/>
      <c r="ACJ10" s="481"/>
      <c r="ACK10" s="481"/>
      <c r="ACL10" s="481"/>
      <c r="ACM10" s="481"/>
      <c r="ACN10" s="481"/>
      <c r="ACO10" s="481"/>
      <c r="ACP10" s="481"/>
      <c r="ACQ10" s="481"/>
      <c r="ACR10" s="481"/>
      <c r="ACS10" s="481"/>
      <c r="ACT10" s="481"/>
      <c r="ACU10" s="481"/>
      <c r="ACV10" s="481"/>
      <c r="ACW10" s="481"/>
      <c r="ACX10" s="481"/>
      <c r="ACY10" s="481"/>
      <c r="ACZ10" s="481"/>
      <c r="ADA10" s="481"/>
      <c r="ADB10" s="481"/>
      <c r="ADC10" s="481"/>
      <c r="ADD10" s="481"/>
      <c r="ADE10" s="481"/>
      <c r="ADF10" s="481"/>
      <c r="ADG10" s="481"/>
      <c r="ADH10" s="481"/>
      <c r="ADI10" s="481"/>
      <c r="ADJ10" s="481"/>
      <c r="ADK10" s="335"/>
      <c r="ADL10" s="335"/>
      <c r="ADM10" s="335"/>
      <c r="ADN10" s="335"/>
      <c r="ADO10" s="335"/>
      <c r="ADP10" s="335"/>
      <c r="ADQ10" s="335"/>
      <c r="ADR10" s="335"/>
      <c r="ADS10" s="335"/>
      <c r="ADT10" s="335"/>
      <c r="ADU10" s="335"/>
      <c r="ADV10" s="335"/>
      <c r="ADW10" s="335"/>
      <c r="ADX10" s="335"/>
      <c r="ADY10" s="335"/>
      <c r="ADZ10" s="335"/>
      <c r="AEA10" s="335"/>
      <c r="AEB10" s="335"/>
      <c r="AEC10" s="335"/>
      <c r="AED10" s="335"/>
      <c r="AEE10" s="335"/>
      <c r="AEF10" s="335"/>
      <c r="AEG10" s="335"/>
      <c r="AEH10" s="335"/>
      <c r="AEI10" s="335"/>
      <c r="AEJ10" s="335"/>
      <c r="AEK10" s="335"/>
      <c r="AEL10" s="335"/>
      <c r="AEM10" s="335"/>
      <c r="AEN10" s="335"/>
      <c r="AEO10" s="335"/>
      <c r="AEP10" s="335"/>
      <c r="AEQ10" s="335"/>
      <c r="AER10" s="335"/>
      <c r="AES10" s="335"/>
      <c r="AET10" s="335"/>
      <c r="AEU10" s="335"/>
      <c r="AEV10" s="335"/>
      <c r="AEW10" s="335"/>
      <c r="AEX10" s="335"/>
      <c r="AEY10" s="335"/>
      <c r="AEZ10" s="335"/>
      <c r="AFA10" s="335"/>
      <c r="AFB10" s="335"/>
      <c r="AFC10" s="335"/>
      <c r="AFD10" s="335"/>
      <c r="AFE10" s="335"/>
      <c r="AFF10" s="335"/>
      <c r="AFG10" s="335"/>
      <c r="AFH10" s="335"/>
      <c r="AFI10" s="335"/>
      <c r="AFJ10" s="335"/>
      <c r="AFK10" s="335"/>
      <c r="AFL10" s="335"/>
      <c r="AFM10" s="335"/>
      <c r="AFN10" s="335"/>
      <c r="AFO10" s="335"/>
      <c r="AFP10" s="335"/>
      <c r="AFQ10" s="335"/>
      <c r="AFR10" s="335"/>
      <c r="AFS10" s="335"/>
      <c r="AFT10" s="335"/>
      <c r="AFU10" s="335"/>
      <c r="AFV10" s="335"/>
      <c r="AFW10" s="335"/>
      <c r="AFX10" s="335"/>
      <c r="AFY10" s="335"/>
      <c r="AFZ10" s="335"/>
      <c r="AGA10" s="335"/>
      <c r="AGB10" s="335"/>
      <c r="AGC10" s="335"/>
      <c r="AGD10" s="335"/>
      <c r="AGE10" s="335"/>
      <c r="AGF10" s="335"/>
      <c r="AGG10" s="335"/>
      <c r="AGH10" s="335"/>
      <c r="AGI10" s="335"/>
      <c r="AGJ10" s="335"/>
      <c r="AGK10" s="335"/>
      <c r="AGL10" s="335"/>
      <c r="AGM10" s="335"/>
      <c r="AGN10" s="335"/>
      <c r="AGO10" s="335"/>
      <c r="AGP10" s="335"/>
      <c r="AGQ10" s="335"/>
      <c r="AGR10" s="335"/>
      <c r="AGS10" s="335"/>
      <c r="AGT10" s="335"/>
      <c r="AGU10" s="335"/>
      <c r="AGV10" s="335"/>
      <c r="AGW10" s="335"/>
      <c r="AGX10" s="335"/>
      <c r="AGY10" s="335"/>
      <c r="AGZ10" s="335"/>
      <c r="AHA10" s="335"/>
      <c r="AHB10" s="335"/>
      <c r="AHC10" s="335"/>
      <c r="AHD10" s="335"/>
      <c r="AHE10" s="335"/>
      <c r="AHF10" s="335"/>
      <c r="AHG10" s="335"/>
      <c r="AHH10" s="335"/>
      <c r="AHI10" s="335"/>
      <c r="AHJ10" s="335"/>
      <c r="AHK10" s="335"/>
      <c r="AHL10" s="335"/>
      <c r="AHM10" s="335"/>
      <c r="AHN10" s="335"/>
      <c r="AHO10" s="335"/>
      <c r="AHP10" s="335"/>
      <c r="AHQ10" s="335"/>
      <c r="AHR10" s="335"/>
      <c r="AHS10" s="335"/>
      <c r="AHT10" s="335"/>
      <c r="AHU10" s="335"/>
      <c r="AHV10" s="335"/>
      <c r="AHW10" s="335"/>
      <c r="AHX10" s="335"/>
      <c r="AHY10" s="335"/>
      <c r="AHZ10" s="335"/>
      <c r="AIA10" s="335"/>
      <c r="AIB10" s="335"/>
      <c r="AIC10" s="339"/>
    </row>
    <row r="11" spans="1:913" s="161" customFormat="1">
      <c r="A11" s="172"/>
      <c r="B11" s="177">
        <v>0.66666666666666696</v>
      </c>
      <c r="C11" s="493">
        <f t="shared" si="246"/>
        <v>0</v>
      </c>
      <c r="D11" s="494"/>
      <c r="E11" s="493">
        <f t="shared" si="0"/>
        <v>0</v>
      </c>
      <c r="F11" s="494"/>
      <c r="G11" s="493">
        <f t="shared" si="1"/>
        <v>0</v>
      </c>
      <c r="H11" s="494"/>
      <c r="I11" s="493">
        <f t="shared" ref="I11" si="1255">((I34+J34)-(I33+J33))/2</f>
        <v>0</v>
      </c>
      <c r="J11" s="494"/>
      <c r="K11" s="493">
        <f t="shared" si="2"/>
        <v>0</v>
      </c>
      <c r="L11" s="494"/>
      <c r="M11" s="493">
        <f t="shared" si="3"/>
        <v>0</v>
      </c>
      <c r="N11" s="494"/>
      <c r="O11" s="493">
        <f t="shared" si="517"/>
        <v>0</v>
      </c>
      <c r="P11" s="494"/>
      <c r="Q11" s="493">
        <f t="shared" si="248"/>
        <v>0</v>
      </c>
      <c r="R11" s="494"/>
      <c r="S11" s="493">
        <f t="shared" si="249"/>
        <v>0</v>
      </c>
      <c r="T11" s="494"/>
      <c r="U11" s="493">
        <f t="shared" si="250"/>
        <v>0</v>
      </c>
      <c r="V11" s="494"/>
      <c r="W11" s="493">
        <f t="shared" si="251"/>
        <v>0</v>
      </c>
      <c r="X11" s="494"/>
      <c r="Y11" s="493">
        <f t="shared" si="252"/>
        <v>0</v>
      </c>
      <c r="Z11" s="494"/>
      <c r="AA11" s="493">
        <f t="shared" si="253"/>
        <v>0</v>
      </c>
      <c r="AB11" s="494"/>
      <c r="AC11" s="493">
        <f t="shared" si="254"/>
        <v>0</v>
      </c>
      <c r="AD11" s="494"/>
      <c r="AE11" s="493">
        <f t="shared" si="255"/>
        <v>0</v>
      </c>
      <c r="AF11" s="494"/>
      <c r="AG11" s="493">
        <f t="shared" si="256"/>
        <v>0</v>
      </c>
      <c r="AH11" s="494"/>
      <c r="AI11" s="493">
        <f t="shared" si="257"/>
        <v>0</v>
      </c>
      <c r="AJ11" s="494"/>
      <c r="AK11" s="493">
        <f t="shared" si="258"/>
        <v>0</v>
      </c>
      <c r="AL11" s="494"/>
      <c r="AM11" s="493">
        <f t="shared" si="259"/>
        <v>0</v>
      </c>
      <c r="AN11" s="494"/>
      <c r="AO11" s="493">
        <f t="shared" si="260"/>
        <v>0</v>
      </c>
      <c r="AP11" s="494"/>
      <c r="AQ11" s="493">
        <f t="shared" si="261"/>
        <v>0</v>
      </c>
      <c r="AR11" s="494"/>
      <c r="AS11" s="493">
        <f t="shared" si="262"/>
        <v>0</v>
      </c>
      <c r="AT11" s="494"/>
      <c r="AU11" s="493">
        <f t="shared" si="263"/>
        <v>0</v>
      </c>
      <c r="AV11" s="494"/>
      <c r="AW11" s="493">
        <f t="shared" si="1106"/>
        <v>0</v>
      </c>
      <c r="AX11" s="494"/>
      <c r="AY11" s="493">
        <f t="shared" si="265"/>
        <v>0</v>
      </c>
      <c r="AZ11" s="494"/>
      <c r="BA11" s="493">
        <f t="shared" si="1107"/>
        <v>0</v>
      </c>
      <c r="BB11" s="494"/>
      <c r="BC11" s="493">
        <f t="shared" si="267"/>
        <v>0</v>
      </c>
      <c r="BD11" s="494"/>
      <c r="BE11" s="493">
        <f t="shared" si="268"/>
        <v>0</v>
      </c>
      <c r="BF11" s="494"/>
      <c r="BG11" s="493">
        <f t="shared" si="269"/>
        <v>0</v>
      </c>
      <c r="BH11" s="494"/>
      <c r="BI11" s="493">
        <f t="shared" si="270"/>
        <v>0</v>
      </c>
      <c r="BJ11" s="494"/>
      <c r="BK11" s="493">
        <f t="shared" si="271"/>
        <v>0</v>
      </c>
      <c r="BL11" s="494"/>
      <c r="BM11" s="493">
        <f t="shared" si="272"/>
        <v>0</v>
      </c>
      <c r="BN11" s="494"/>
      <c r="BO11" s="493">
        <f t="shared" si="273"/>
        <v>0</v>
      </c>
      <c r="BP11" s="494"/>
      <c r="BQ11" s="493">
        <f t="shared" si="274"/>
        <v>0</v>
      </c>
      <c r="BR11" s="494"/>
      <c r="BS11" s="493">
        <f t="shared" si="275"/>
        <v>0</v>
      </c>
      <c r="BT11" s="494"/>
      <c r="BU11" s="493">
        <f t="shared" ref="BU11:BU13" si="1256">((BU34+BV35)-(BU33+BV34))/2</f>
        <v>0</v>
      </c>
      <c r="BV11" s="494"/>
      <c r="BW11" s="493">
        <f t="shared" si="665"/>
        <v>0</v>
      </c>
      <c r="BX11" s="494"/>
      <c r="BY11" s="493">
        <f t="shared" si="277"/>
        <v>0</v>
      </c>
      <c r="BZ11" s="494"/>
      <c r="CA11" s="493">
        <f t="shared" si="278"/>
        <v>0</v>
      </c>
      <c r="CB11" s="494"/>
      <c r="CC11" s="493">
        <f t="shared" si="1108"/>
        <v>0</v>
      </c>
      <c r="CD11" s="494"/>
      <c r="CE11" s="493">
        <f t="shared" si="280"/>
        <v>0</v>
      </c>
      <c r="CF11" s="494"/>
      <c r="CG11" s="493">
        <f t="shared" si="281"/>
        <v>0</v>
      </c>
      <c r="CH11" s="494"/>
      <c r="CI11" s="493">
        <f t="shared" si="282"/>
        <v>0</v>
      </c>
      <c r="CJ11" s="494"/>
      <c r="CK11" s="493">
        <f t="shared" si="283"/>
        <v>0</v>
      </c>
      <c r="CL11" s="494"/>
      <c r="CM11" s="493">
        <f t="shared" si="284"/>
        <v>0</v>
      </c>
      <c r="CN11" s="494"/>
      <c r="CO11" s="493">
        <f t="shared" si="285"/>
        <v>0</v>
      </c>
      <c r="CP11" s="494"/>
      <c r="CQ11" s="493">
        <f t="shared" ref="CQ11:CQ16" si="1257">((CQ35+CR34)-(CQ34+CR33))/2</f>
        <v>0</v>
      </c>
      <c r="CR11" s="494"/>
      <c r="CS11" s="493">
        <f t="shared" si="287"/>
        <v>0</v>
      </c>
      <c r="CT11" s="494"/>
      <c r="CU11" s="493">
        <f t="shared" si="288"/>
        <v>0</v>
      </c>
      <c r="CV11" s="494"/>
      <c r="CW11" s="493">
        <f t="shared" si="289"/>
        <v>0</v>
      </c>
      <c r="CX11" s="494"/>
      <c r="CY11" s="493">
        <f t="shared" si="290"/>
        <v>0</v>
      </c>
      <c r="CZ11" s="494"/>
      <c r="DA11" s="493">
        <f t="shared" si="813"/>
        <v>0</v>
      </c>
      <c r="DB11" s="494"/>
      <c r="DC11" s="493">
        <f>((DC35+DD34)-(DC34+DD33))/2</f>
        <v>0</v>
      </c>
      <c r="DD11" s="494"/>
      <c r="DE11" s="493">
        <f t="shared" si="293"/>
        <v>0</v>
      </c>
      <c r="DF11" s="494"/>
      <c r="DG11" s="493">
        <f t="shared" si="294"/>
        <v>0</v>
      </c>
      <c r="DH11" s="494"/>
      <c r="DI11" s="493">
        <f t="shared" si="295"/>
        <v>0</v>
      </c>
      <c r="DJ11" s="494"/>
      <c r="DK11" s="493">
        <f t="shared" si="296"/>
        <v>0</v>
      </c>
      <c r="DL11" s="494"/>
      <c r="DM11" s="493">
        <f t="shared" si="297"/>
        <v>0</v>
      </c>
      <c r="DN11" s="494"/>
      <c r="DO11" s="493">
        <f t="shared" si="298"/>
        <v>0</v>
      </c>
      <c r="DP11" s="494"/>
      <c r="DQ11" s="493">
        <f t="shared" si="666"/>
        <v>0</v>
      </c>
      <c r="DR11" s="494"/>
      <c r="DS11" s="493">
        <f t="shared" si="300"/>
        <v>0</v>
      </c>
      <c r="DT11" s="494"/>
      <c r="DU11" s="493">
        <f t="shared" si="301"/>
        <v>0</v>
      </c>
      <c r="DV11" s="494"/>
      <c r="DW11" s="493">
        <f t="shared" si="302"/>
        <v>0</v>
      </c>
      <c r="DX11" s="494"/>
      <c r="DY11" s="493">
        <f t="shared" si="303"/>
        <v>0</v>
      </c>
      <c r="DZ11" s="494"/>
      <c r="EA11" s="493">
        <f t="shared" si="304"/>
        <v>0</v>
      </c>
      <c r="EB11" s="494"/>
      <c r="EC11" s="493">
        <f t="shared" si="305"/>
        <v>0</v>
      </c>
      <c r="ED11" s="494"/>
      <c r="EE11" s="493">
        <f t="shared" si="6"/>
        <v>0</v>
      </c>
      <c r="EF11" s="494"/>
      <c r="EG11" s="493">
        <f t="shared" si="7"/>
        <v>0</v>
      </c>
      <c r="EH11" s="494"/>
      <c r="EI11" s="493">
        <f t="shared" si="306"/>
        <v>0</v>
      </c>
      <c r="EJ11" s="494"/>
      <c r="EK11" s="493">
        <f t="shared" si="8"/>
        <v>0</v>
      </c>
      <c r="EL11" s="494"/>
      <c r="EM11" s="493">
        <f t="shared" si="9"/>
        <v>0</v>
      </c>
      <c r="EN11" s="494"/>
      <c r="EO11" s="493">
        <f t="shared" si="10"/>
        <v>0</v>
      </c>
      <c r="EP11" s="494"/>
      <c r="EQ11" s="493">
        <f t="shared" si="307"/>
        <v>0</v>
      </c>
      <c r="ER11" s="494"/>
      <c r="ES11" s="493">
        <f t="shared" si="308"/>
        <v>0</v>
      </c>
      <c r="ET11" s="494"/>
      <c r="EU11" s="493">
        <f t="shared" si="309"/>
        <v>0</v>
      </c>
      <c r="EV11" s="494"/>
      <c r="EW11" s="493">
        <f t="shared" si="310"/>
        <v>0</v>
      </c>
      <c r="EX11" s="494"/>
      <c r="EY11" s="493">
        <f t="shared" si="311"/>
        <v>0</v>
      </c>
      <c r="EZ11" s="494"/>
      <c r="FA11" s="493">
        <f t="shared" si="312"/>
        <v>0</v>
      </c>
      <c r="FB11" s="494"/>
      <c r="FC11" s="493">
        <f t="shared" si="313"/>
        <v>0</v>
      </c>
      <c r="FD11" s="494"/>
      <c r="FE11" s="493">
        <f t="shared" si="314"/>
        <v>0</v>
      </c>
      <c r="FF11" s="494"/>
      <c r="FG11" s="493">
        <f t="shared" si="315"/>
        <v>0</v>
      </c>
      <c r="FH11" s="494"/>
      <c r="FI11" s="493">
        <f t="shared" si="316"/>
        <v>0</v>
      </c>
      <c r="FJ11" s="494"/>
      <c r="FK11" s="493">
        <f t="shared" si="317"/>
        <v>0</v>
      </c>
      <c r="FL11" s="494"/>
      <c r="FM11" s="493">
        <f t="shared" si="318"/>
        <v>0</v>
      </c>
      <c r="FN11" s="494"/>
      <c r="FO11" s="493">
        <f t="shared" si="319"/>
        <v>0</v>
      </c>
      <c r="FP11" s="494"/>
      <c r="FQ11" s="493">
        <f t="shared" si="320"/>
        <v>0</v>
      </c>
      <c r="FR11" s="494"/>
      <c r="FS11" s="493">
        <f t="shared" si="321"/>
        <v>0</v>
      </c>
      <c r="FT11" s="494"/>
      <c r="FU11" s="493">
        <f t="shared" si="322"/>
        <v>0</v>
      </c>
      <c r="FV11" s="494"/>
      <c r="FW11" s="493">
        <f t="shared" si="323"/>
        <v>0</v>
      </c>
      <c r="FX11" s="494"/>
      <c r="FY11" s="493">
        <f t="shared" si="324"/>
        <v>0</v>
      </c>
      <c r="FZ11" s="494"/>
      <c r="GA11" s="493">
        <f t="shared" si="325"/>
        <v>0</v>
      </c>
      <c r="GB11" s="494"/>
      <c r="GC11" s="493">
        <f t="shared" si="326"/>
        <v>0</v>
      </c>
      <c r="GD11" s="494"/>
      <c r="GE11" s="493">
        <f t="shared" si="327"/>
        <v>0</v>
      </c>
      <c r="GF11" s="494"/>
      <c r="GG11" s="493">
        <f t="shared" si="328"/>
        <v>0</v>
      </c>
      <c r="GH11" s="494"/>
      <c r="GI11" s="493">
        <f t="shared" si="329"/>
        <v>0</v>
      </c>
      <c r="GJ11" s="494"/>
      <c r="GK11" s="493">
        <f t="shared" si="330"/>
        <v>0</v>
      </c>
      <c r="GL11" s="494"/>
      <c r="GM11" s="493">
        <f t="shared" si="331"/>
        <v>0</v>
      </c>
      <c r="GN11" s="494"/>
      <c r="GO11" s="493">
        <f t="shared" ref="GO11:GO15" si="1258">((GO38+GP34)-(GO37+GP33))/2</f>
        <v>0</v>
      </c>
      <c r="GP11" s="494"/>
      <c r="GQ11" s="493">
        <f t="shared" si="333"/>
        <v>0</v>
      </c>
      <c r="GR11" s="494"/>
      <c r="GS11" s="493">
        <f t="shared" si="334"/>
        <v>0</v>
      </c>
      <c r="GT11" s="494"/>
      <c r="GU11" s="493">
        <f t="shared" si="1109"/>
        <v>0</v>
      </c>
      <c r="GV11" s="494"/>
      <c r="GW11" s="493">
        <f t="shared" si="1110"/>
        <v>0</v>
      </c>
      <c r="GX11" s="494"/>
      <c r="GY11" s="493">
        <f t="shared" si="1111"/>
        <v>0</v>
      </c>
      <c r="GZ11" s="494"/>
      <c r="HA11" s="493">
        <f t="shared" si="335"/>
        <v>0</v>
      </c>
      <c r="HB11" s="494"/>
      <c r="HC11" s="493">
        <f t="shared" si="336"/>
        <v>0</v>
      </c>
      <c r="HD11" s="494"/>
      <c r="HE11" s="493">
        <f t="shared" ref="HE11:HE12" si="1259">((HE35+HF34)-(HE34+HF33))/2</f>
        <v>0</v>
      </c>
      <c r="HF11" s="494"/>
      <c r="HG11" s="493">
        <f t="shared" si="338"/>
        <v>0</v>
      </c>
      <c r="HH11" s="494"/>
      <c r="HI11" s="493">
        <f t="shared" si="339"/>
        <v>0</v>
      </c>
      <c r="HJ11" s="494"/>
      <c r="HK11" s="493">
        <f t="shared" si="340"/>
        <v>0</v>
      </c>
      <c r="HL11" s="494"/>
      <c r="HM11" s="493">
        <f t="shared" si="341"/>
        <v>0</v>
      </c>
      <c r="HN11" s="494"/>
      <c r="HO11" s="493">
        <f t="shared" si="342"/>
        <v>0</v>
      </c>
      <c r="HP11" s="494"/>
      <c r="HQ11" s="493">
        <f t="shared" si="343"/>
        <v>0</v>
      </c>
      <c r="HR11" s="494"/>
      <c r="HS11" s="493">
        <f t="shared" si="344"/>
        <v>0</v>
      </c>
      <c r="HT11" s="494"/>
      <c r="HU11" s="493">
        <f t="shared" si="345"/>
        <v>0</v>
      </c>
      <c r="HV11" s="494"/>
      <c r="HW11" s="493">
        <f t="shared" si="346"/>
        <v>0</v>
      </c>
      <c r="HX11" s="494"/>
      <c r="HY11" s="493">
        <f t="shared" si="347"/>
        <v>0</v>
      </c>
      <c r="HZ11" s="494"/>
      <c r="IA11" s="493">
        <f t="shared" si="348"/>
        <v>0</v>
      </c>
      <c r="IB11" s="494"/>
      <c r="IC11" s="493">
        <f t="shared" si="349"/>
        <v>0</v>
      </c>
      <c r="ID11" s="494"/>
      <c r="IE11" s="493">
        <f t="shared" si="350"/>
        <v>0</v>
      </c>
      <c r="IF11" s="494"/>
      <c r="IG11" s="493">
        <f t="shared" si="351"/>
        <v>0</v>
      </c>
      <c r="IH11" s="494"/>
      <c r="II11" s="493">
        <f t="shared" si="352"/>
        <v>0</v>
      </c>
      <c r="IJ11" s="494"/>
      <c r="IK11" s="493">
        <f t="shared" si="353"/>
        <v>0</v>
      </c>
      <c r="IL11" s="494"/>
      <c r="IM11" s="493">
        <f t="shared" si="354"/>
        <v>0</v>
      </c>
      <c r="IN11" s="494"/>
      <c r="IO11" s="493">
        <f t="shared" si="355"/>
        <v>0</v>
      </c>
      <c r="IP11" s="494"/>
      <c r="IQ11" s="493">
        <f t="shared" si="356"/>
        <v>0</v>
      </c>
      <c r="IR11" s="494"/>
      <c r="IS11" s="493">
        <f t="shared" si="357"/>
        <v>0</v>
      </c>
      <c r="IT11" s="494"/>
      <c r="IU11" s="493">
        <f t="shared" si="14"/>
        <v>0</v>
      </c>
      <c r="IV11" s="494"/>
      <c r="IW11" s="493">
        <f t="shared" si="15"/>
        <v>0</v>
      </c>
      <c r="IX11" s="494"/>
      <c r="IY11" s="493">
        <f t="shared" si="16"/>
        <v>0</v>
      </c>
      <c r="IZ11" s="494"/>
      <c r="JA11" s="493">
        <f t="shared" ref="JA11" si="1260">((JA34+JB34)-(JA33+JB33))/2</f>
        <v>0</v>
      </c>
      <c r="JB11" s="494"/>
      <c r="JC11" s="493">
        <f t="shared" ref="JC11" si="1261">((JC34+JD34)-(JC33+JD33))/2</f>
        <v>0</v>
      </c>
      <c r="JD11" s="494"/>
      <c r="JE11" s="493">
        <f t="shared" si="19"/>
        <v>0</v>
      </c>
      <c r="JF11" s="494"/>
      <c r="JG11" s="493">
        <f t="shared" ref="JG11" si="1262">((JG34+JH34)-(JG33+JH33))/2</f>
        <v>0</v>
      </c>
      <c r="JH11" s="494"/>
      <c r="JI11" s="493">
        <f t="shared" ref="JI11" si="1263">((JI34+JJ34)-(JI33+JJ33))/2</f>
        <v>0</v>
      </c>
      <c r="JJ11" s="494"/>
      <c r="JK11" s="493">
        <f t="shared" si="22"/>
        <v>0</v>
      </c>
      <c r="JL11" s="494"/>
      <c r="JM11" s="493">
        <f t="shared" ref="JM11" si="1264">((JM34+JN34)-(JM33+JN33))/2</f>
        <v>0</v>
      </c>
      <c r="JN11" s="494"/>
      <c r="JO11" s="493">
        <f t="shared" ref="JO11" si="1265">((JO34+JP34)-(JO33+JP33))/2</f>
        <v>0</v>
      </c>
      <c r="JP11" s="494"/>
      <c r="JQ11" s="493">
        <f t="shared" si="25"/>
        <v>0</v>
      </c>
      <c r="JR11" s="494"/>
      <c r="JS11" s="493">
        <f t="shared" ref="JS11" si="1266">((JS34+JT34)-(JS33+JT33))/2</f>
        <v>0</v>
      </c>
      <c r="JT11" s="494"/>
      <c r="JU11" s="493">
        <f t="shared" ref="JU11" si="1267">((JU34+JV34)-(JU33+JV33))/2</f>
        <v>0</v>
      </c>
      <c r="JV11" s="494"/>
      <c r="JW11" s="493">
        <f t="shared" si="28"/>
        <v>0</v>
      </c>
      <c r="JX11" s="494"/>
      <c r="JY11" s="493">
        <f t="shared" ref="JY11" si="1268">((JY34+JZ34)-(JY33+JZ33))/2</f>
        <v>0</v>
      </c>
      <c r="JZ11" s="494"/>
      <c r="KA11" s="493">
        <f t="shared" ref="KA11" si="1269">((KA34+KB34)-(KA33+KB33))/2</f>
        <v>0</v>
      </c>
      <c r="KB11" s="494"/>
      <c r="KC11" s="493">
        <f t="shared" si="31"/>
        <v>0</v>
      </c>
      <c r="KD11" s="494"/>
      <c r="KE11" s="493">
        <f t="shared" si="368"/>
        <v>0</v>
      </c>
      <c r="KF11" s="494"/>
      <c r="KG11" s="493">
        <f t="shared" ref="KG11" si="1270">((KG34+KH34)-(KG33+KH33))/2</f>
        <v>0</v>
      </c>
      <c r="KH11" s="494"/>
      <c r="KI11" s="493">
        <f t="shared" si="34"/>
        <v>0</v>
      </c>
      <c r="KJ11" s="494"/>
      <c r="KK11" s="493">
        <f t="shared" ref="KK11" si="1271">((KK34+KL34)-(KK33+KL33))/2</f>
        <v>0</v>
      </c>
      <c r="KL11" s="494"/>
      <c r="KM11" s="493">
        <f t="shared" ref="KM11" si="1272">((KM34+KN34)-(KM33+KN33))/2</f>
        <v>0</v>
      </c>
      <c r="KN11" s="494"/>
      <c r="KO11" s="493">
        <f t="shared" si="37"/>
        <v>0</v>
      </c>
      <c r="KP11" s="494"/>
      <c r="KQ11" s="493">
        <f t="shared" ref="KQ11" si="1273">((KQ34+KR34)-(KQ33+KR33))/2</f>
        <v>0</v>
      </c>
      <c r="KR11" s="494"/>
      <c r="KS11" s="493">
        <f t="shared" ref="KS11" si="1274">((KS34+KT34)-(KS33+KT33))/2</f>
        <v>0</v>
      </c>
      <c r="KT11" s="494"/>
      <c r="KU11" s="493">
        <f t="shared" si="40"/>
        <v>0</v>
      </c>
      <c r="KV11" s="494"/>
      <c r="KW11" s="493">
        <f t="shared" ref="KW11" si="1275">((KW34+KX34)-(KW33+KX33))/2</f>
        <v>0</v>
      </c>
      <c r="KX11" s="494"/>
      <c r="KY11" s="493">
        <f t="shared" ref="KY11" si="1276">((KY34+KZ34)-(KY33+KZ33))/2</f>
        <v>0</v>
      </c>
      <c r="KZ11" s="494"/>
      <c r="LA11" s="493">
        <f t="shared" si="43"/>
        <v>0</v>
      </c>
      <c r="LB11" s="494"/>
      <c r="LC11" s="493">
        <f t="shared" si="376"/>
        <v>0</v>
      </c>
      <c r="LD11" s="494"/>
      <c r="LE11" s="493">
        <f t="shared" si="377"/>
        <v>0</v>
      </c>
      <c r="LF11" s="494"/>
      <c r="LG11" s="493">
        <f t="shared" si="378"/>
        <v>0</v>
      </c>
      <c r="LH11" s="494"/>
      <c r="LI11" s="493">
        <f t="shared" ref="LI11" si="1277">((LI34+LJ34)-(LI33+LJ33))/2</f>
        <v>0</v>
      </c>
      <c r="LJ11" s="494"/>
      <c r="LK11" s="493">
        <f t="shared" ref="LK11" si="1278">((LK34+LL34)-(LK33+LL33))/2</f>
        <v>0</v>
      </c>
      <c r="LL11" s="494"/>
      <c r="LM11" s="493">
        <f t="shared" si="49"/>
        <v>0</v>
      </c>
      <c r="LN11" s="494"/>
      <c r="LO11" s="493">
        <f t="shared" ref="LO11" si="1279">((LO34+LP34)-(LO33+LP33))/2</f>
        <v>0</v>
      </c>
      <c r="LP11" s="494"/>
      <c r="LQ11" s="493">
        <f t="shared" ref="LQ11" si="1280">((LQ34+LR34)-(LQ33+LR33))/2</f>
        <v>0</v>
      </c>
      <c r="LR11" s="494"/>
      <c r="LS11" s="493">
        <f t="shared" si="52"/>
        <v>0</v>
      </c>
      <c r="LT11" s="494"/>
      <c r="LU11" s="493">
        <f t="shared" ref="LU11" si="1281">((LU34+LV34)-(LU33+LV33))/2</f>
        <v>0</v>
      </c>
      <c r="LV11" s="494"/>
      <c r="LW11" s="493">
        <f t="shared" ref="LW11" si="1282">((LW34+LX34)-(LW33+LX33))/2</f>
        <v>0</v>
      </c>
      <c r="LX11" s="494"/>
      <c r="LY11" s="493">
        <f t="shared" si="55"/>
        <v>0</v>
      </c>
      <c r="LZ11" s="494"/>
      <c r="MA11" s="493">
        <f t="shared" ref="MA11" si="1283">((MA34+MB34)-(MA33+MB33))/2</f>
        <v>0</v>
      </c>
      <c r="MB11" s="494"/>
      <c r="MC11" s="493">
        <f t="shared" ref="MC11" si="1284">((MC34+MD34)-(MC33+MD33))/2</f>
        <v>0</v>
      </c>
      <c r="MD11" s="494"/>
      <c r="ME11" s="493">
        <f t="shared" si="58"/>
        <v>0</v>
      </c>
      <c r="MF11" s="494"/>
      <c r="MG11" s="493">
        <f t="shared" ref="MG11" si="1285">((MG34+MH34)-(MG33+MH33))/2</f>
        <v>0</v>
      </c>
      <c r="MH11" s="494"/>
      <c r="MI11" s="493">
        <f t="shared" ref="MI11" si="1286">((MI34+MJ34)-(MI33+MJ33))/2</f>
        <v>0</v>
      </c>
      <c r="MJ11" s="494"/>
      <c r="MK11" s="493">
        <f t="shared" si="61"/>
        <v>0</v>
      </c>
      <c r="ML11" s="494"/>
      <c r="MM11" s="493">
        <f t="shared" ref="MM11" si="1287">((MM34+MN34)-(MM33+MN33))/2</f>
        <v>0</v>
      </c>
      <c r="MN11" s="494"/>
      <c r="MO11" s="493">
        <f t="shared" ref="MO11" si="1288">((MO34+MP34)-(MO33+MP33))/2</f>
        <v>0</v>
      </c>
      <c r="MP11" s="494"/>
      <c r="MQ11" s="493">
        <f t="shared" si="64"/>
        <v>0</v>
      </c>
      <c r="MR11" s="494"/>
      <c r="MS11" s="493">
        <f t="shared" ref="MS11" si="1289">((MS34+MT34)-(MS33+MT33))/2</f>
        <v>0</v>
      </c>
      <c r="MT11" s="494"/>
      <c r="MU11" s="493">
        <f t="shared" ref="MU11" si="1290">((MU34+MV34)-(MU33+MV33))/2</f>
        <v>0</v>
      </c>
      <c r="MV11" s="494"/>
      <c r="MW11" s="493">
        <f t="shared" si="67"/>
        <v>0</v>
      </c>
      <c r="MX11" s="494"/>
      <c r="MY11" s="493">
        <f t="shared" ref="MY11" si="1291">((MY34+MZ34)-(MY33+MZ33))/2</f>
        <v>0</v>
      </c>
      <c r="MZ11" s="494"/>
      <c r="NA11" s="493">
        <f t="shared" ref="NA11" si="1292">((NA34+NB34)-(NA33+NB33))/2</f>
        <v>0</v>
      </c>
      <c r="NB11" s="494"/>
      <c r="NC11" s="493">
        <f t="shared" si="70"/>
        <v>0</v>
      </c>
      <c r="ND11" s="494"/>
      <c r="NE11" s="493">
        <f t="shared" ref="NE11" si="1293">((NE34+NF34)-(NE33+NF33))/2</f>
        <v>0</v>
      </c>
      <c r="NF11" s="494"/>
      <c r="NG11" s="493">
        <f t="shared" ref="NG11" si="1294">((NG34+NH34)-(NG33+NH33))/2</f>
        <v>0</v>
      </c>
      <c r="NH11" s="494"/>
      <c r="NI11" s="493">
        <f t="shared" si="73"/>
        <v>0</v>
      </c>
      <c r="NJ11" s="494"/>
      <c r="NK11" s="493">
        <f t="shared" ref="NK11" si="1295">((NK34+NL34)-(NK33+NL33))/2</f>
        <v>0</v>
      </c>
      <c r="NL11" s="494"/>
      <c r="NM11" s="493">
        <f t="shared" ref="NM11" si="1296">((NM34+NN34)-(NM33+NN33))/2</f>
        <v>0</v>
      </c>
      <c r="NN11" s="494"/>
      <c r="NO11" s="493">
        <f t="shared" si="76"/>
        <v>0</v>
      </c>
      <c r="NP11" s="494"/>
      <c r="NQ11" s="493">
        <f t="shared" ref="NQ11" si="1297">((NQ34+NR34)-(NQ33+NR33))/2</f>
        <v>0</v>
      </c>
      <c r="NR11" s="494"/>
      <c r="NS11" s="493">
        <f t="shared" ref="NS11" si="1298">((NS34+NT34)-(NS33+NT33))/2</f>
        <v>0</v>
      </c>
      <c r="NT11" s="494"/>
      <c r="NU11" s="493">
        <f t="shared" si="79"/>
        <v>0</v>
      </c>
      <c r="NV11" s="494"/>
      <c r="NW11" s="493">
        <f t="shared" ref="NW11" si="1299">((NW34+NX34)-(NW33+NX33))/2</f>
        <v>0</v>
      </c>
      <c r="NX11" s="494"/>
      <c r="NY11" s="493">
        <f t="shared" ref="NY11" si="1300">((NY34+NZ34)-(NY33+NZ33))/2</f>
        <v>0</v>
      </c>
      <c r="NZ11" s="494"/>
      <c r="OA11" s="493">
        <f t="shared" si="82"/>
        <v>0</v>
      </c>
      <c r="OB11" s="494"/>
      <c r="OC11" s="493">
        <f t="shared" ref="OC11" si="1301">((OC34+OD34)-(OC33+OD33))/2</f>
        <v>0</v>
      </c>
      <c r="OD11" s="494"/>
      <c r="OE11" s="493">
        <f t="shared" ref="OE11" si="1302">((OE34+OF34)-(OE33+OF33))/2</f>
        <v>0</v>
      </c>
      <c r="OF11" s="494"/>
      <c r="OG11" s="493">
        <f t="shared" si="85"/>
        <v>0</v>
      </c>
      <c r="OH11" s="494"/>
      <c r="OI11" s="493">
        <f t="shared" ref="OI11" si="1303">((OI34+OJ34)-(OI33+OJ33))/2</f>
        <v>0</v>
      </c>
      <c r="OJ11" s="494"/>
      <c r="OK11" s="493">
        <f t="shared" ref="OK11" si="1304">((OK34+OL34)-(OK33+OL33))/2</f>
        <v>0</v>
      </c>
      <c r="OL11" s="494"/>
      <c r="OM11" s="493">
        <f t="shared" si="88"/>
        <v>0</v>
      </c>
      <c r="ON11" s="494"/>
      <c r="OO11" s="493">
        <f t="shared" ref="OO11" si="1305">((OO34+OP34)-(OO33+OP33))/2</f>
        <v>0</v>
      </c>
      <c r="OP11" s="494"/>
      <c r="OQ11" s="493">
        <f t="shared" ref="OQ11" si="1306">((OQ34+OR34)-(OQ33+OR33))/2</f>
        <v>0</v>
      </c>
      <c r="OR11" s="494"/>
      <c r="OS11" s="493">
        <f t="shared" si="91"/>
        <v>0</v>
      </c>
      <c r="OT11" s="494"/>
      <c r="OU11" s="493">
        <f t="shared" ref="OU11" si="1307">((OU34+OV34)-(OU33+OV33))/2</f>
        <v>0</v>
      </c>
      <c r="OV11" s="494"/>
      <c r="OW11" s="493">
        <f t="shared" ref="OW11" si="1308">((OW34+OX34)-(OW33+OX33))/2</f>
        <v>0</v>
      </c>
      <c r="OX11" s="494"/>
      <c r="OY11" s="493">
        <f t="shared" si="94"/>
        <v>0</v>
      </c>
      <c r="OZ11" s="494"/>
      <c r="PA11" s="493">
        <f t="shared" ref="PA11" si="1309">((PA34+PB34)-(PA33+PB33))/2</f>
        <v>0</v>
      </c>
      <c r="PB11" s="494"/>
      <c r="PC11" s="493">
        <f t="shared" ref="PC11" si="1310">((PC34+PD34)-(PC33+PD33))/2</f>
        <v>0</v>
      </c>
      <c r="PD11" s="494"/>
      <c r="PE11" s="493">
        <f t="shared" si="97"/>
        <v>0</v>
      </c>
      <c r="PF11" s="494"/>
      <c r="PG11" s="493">
        <f t="shared" ref="PG11" si="1311">((PG34+PH34)-(PG33+PH33))/2</f>
        <v>0</v>
      </c>
      <c r="PH11" s="494"/>
      <c r="PI11" s="493">
        <f t="shared" ref="PI11" si="1312">((PI34+PJ34)-(PI33+PJ33))/2</f>
        <v>0</v>
      </c>
      <c r="PJ11" s="494"/>
      <c r="PK11" s="493">
        <f t="shared" si="100"/>
        <v>0</v>
      </c>
      <c r="PL11" s="494"/>
      <c r="PM11" s="493">
        <f t="shared" ref="PM11" si="1313">((PM34+PN34)-(PM33+PN33))/2</f>
        <v>0</v>
      </c>
      <c r="PN11" s="494"/>
      <c r="PO11" s="493">
        <f t="shared" ref="PO11" si="1314">((PO34+PP34)-(PO33+PP33))/2</f>
        <v>0</v>
      </c>
      <c r="PP11" s="494"/>
      <c r="PQ11" s="493">
        <f t="shared" si="103"/>
        <v>0</v>
      </c>
      <c r="PR11" s="494"/>
      <c r="PS11" s="493">
        <f t="shared" ref="PS11" si="1315">((PS34+PT34)-(PS33+PT33))/2</f>
        <v>0</v>
      </c>
      <c r="PT11" s="494"/>
      <c r="PU11" s="493">
        <f t="shared" ref="PU11" si="1316">((PU34+PV34)-(PU33+PV33))/2</f>
        <v>0</v>
      </c>
      <c r="PV11" s="494"/>
      <c r="PW11" s="493">
        <f t="shared" si="106"/>
        <v>0</v>
      </c>
      <c r="PX11" s="494"/>
      <c r="PY11" s="493">
        <f t="shared" ref="PY11" si="1317">((PY34+PZ34)-(PY33+PZ33))/2</f>
        <v>0</v>
      </c>
      <c r="PZ11" s="494"/>
      <c r="QA11" s="493">
        <f t="shared" ref="QA11" si="1318">((QA34+QB34)-(QA33+QB33))/2</f>
        <v>0</v>
      </c>
      <c r="QB11" s="494"/>
      <c r="QC11" s="493">
        <f t="shared" si="109"/>
        <v>0</v>
      </c>
      <c r="QD11" s="494"/>
      <c r="QE11" s="493">
        <f t="shared" ref="QE11" si="1319">((QE34+QF34)-(QE33+QF33))/2</f>
        <v>0</v>
      </c>
      <c r="QF11" s="494"/>
      <c r="QG11" s="493">
        <f t="shared" ref="QG11" si="1320">((QG34+QH34)-(QG33+QH33))/2</f>
        <v>0</v>
      </c>
      <c r="QH11" s="494"/>
      <c r="QI11" s="493">
        <f t="shared" si="112"/>
        <v>0</v>
      </c>
      <c r="QJ11" s="494"/>
      <c r="QK11" s="493">
        <f t="shared" ref="QK11" si="1321">((QK34+QL34)-(QK33+QL33))/2</f>
        <v>0</v>
      </c>
      <c r="QL11" s="494"/>
      <c r="QM11" s="493">
        <f t="shared" ref="QM11" si="1322">((QM34+QN34)-(QM33+QN33))/2</f>
        <v>0</v>
      </c>
      <c r="QN11" s="494"/>
      <c r="QO11" s="493">
        <f t="shared" si="115"/>
        <v>0</v>
      </c>
      <c r="QP11" s="494"/>
      <c r="QQ11" s="493">
        <f t="shared" ref="QQ11" si="1323">((QQ34+QR34)-(QQ33+QR33))/2</f>
        <v>0</v>
      </c>
      <c r="QR11" s="494"/>
      <c r="QS11" s="493">
        <f t="shared" ref="QS11" si="1324">((QS34+QT34)-(QS33+QT33))/2</f>
        <v>0</v>
      </c>
      <c r="QT11" s="494"/>
      <c r="QU11" s="493">
        <f t="shared" si="118"/>
        <v>0</v>
      </c>
      <c r="QV11" s="494"/>
      <c r="QW11" s="493">
        <f t="shared" ref="QW11" si="1325">((QW34+QX34)-(QW33+QX33))/2</f>
        <v>0</v>
      </c>
      <c r="QX11" s="494"/>
      <c r="QY11" s="493">
        <f t="shared" ref="QY11" si="1326">((QY34+QZ34)-(QY33+QZ33))/2</f>
        <v>0</v>
      </c>
      <c r="QZ11" s="494"/>
      <c r="RA11" s="493">
        <f t="shared" si="121"/>
        <v>0</v>
      </c>
      <c r="RB11" s="494"/>
      <c r="RC11" s="493">
        <f t="shared" si="1027"/>
        <v>0</v>
      </c>
      <c r="RD11" s="494"/>
      <c r="RE11" s="493">
        <f t="shared" ref="RE11" si="1327">((RE34+RF34)-(RE33+RF33))/2</f>
        <v>0</v>
      </c>
      <c r="RF11" s="494"/>
      <c r="RG11" s="493">
        <f t="shared" si="124"/>
        <v>0</v>
      </c>
      <c r="RH11" s="494"/>
      <c r="RI11" s="493">
        <f t="shared" si="1180"/>
        <v>0</v>
      </c>
      <c r="RJ11" s="494"/>
      <c r="RK11" s="493">
        <f t="shared" ref="RK11" si="1328">((RK34+RL34)-(RK33+RL33))/2</f>
        <v>0</v>
      </c>
      <c r="RL11" s="494"/>
      <c r="RM11" s="493">
        <f t="shared" si="126"/>
        <v>0</v>
      </c>
      <c r="RN11" s="494"/>
      <c r="RO11" s="493">
        <f t="shared" ref="RO11" si="1329">((RO34+RP34)-(RO33+RP33))/2</f>
        <v>0</v>
      </c>
      <c r="RP11" s="494"/>
      <c r="RQ11" s="493">
        <f t="shared" ref="RQ11" si="1330">((RQ34+RR34)-(RQ33+RR33))/2</f>
        <v>0</v>
      </c>
      <c r="RR11" s="494"/>
      <c r="RS11" s="493">
        <f t="shared" si="129"/>
        <v>0</v>
      </c>
      <c r="RT11" s="494"/>
      <c r="RU11" s="493">
        <f t="shared" ref="RU11" si="1331">((RU34+RV34)-(RU33+RV33))/2</f>
        <v>0</v>
      </c>
      <c r="RV11" s="494"/>
      <c r="RW11" s="493">
        <f t="shared" ref="RW11" si="1332">((RW34+RX34)-(RW33+RX33))/2</f>
        <v>0</v>
      </c>
      <c r="RX11" s="494"/>
      <c r="RY11" s="493">
        <f t="shared" si="132"/>
        <v>0</v>
      </c>
      <c r="RZ11" s="494"/>
      <c r="SA11" s="493">
        <f t="shared" ref="SA11" si="1333">((SA34+SB34)-(SA33+SB33))/2</f>
        <v>0</v>
      </c>
      <c r="SB11" s="494"/>
      <c r="SC11" s="493">
        <f t="shared" ref="SC11" si="1334">((SC34+SD34)-(SC33+SD33))/2</f>
        <v>0</v>
      </c>
      <c r="SD11" s="494"/>
      <c r="SE11" s="493">
        <f t="shared" si="135"/>
        <v>0</v>
      </c>
      <c r="SF11" s="494"/>
      <c r="SG11" s="493">
        <f t="shared" ref="SG11" si="1335">((SG34+SH34)-(SG33+SH33))/2</f>
        <v>0</v>
      </c>
      <c r="SH11" s="494"/>
      <c r="SI11" s="493">
        <f t="shared" ref="SI11" si="1336">((SI34+SJ34)-(SI33+SJ33))/2</f>
        <v>0</v>
      </c>
      <c r="SJ11" s="494"/>
      <c r="SK11" s="493">
        <f t="shared" si="138"/>
        <v>0</v>
      </c>
      <c r="SL11" s="494"/>
      <c r="SM11" s="493">
        <f t="shared" ref="SM11" si="1337">((SM34+SN34)-(SM33+SN33))/2</f>
        <v>0</v>
      </c>
      <c r="SN11" s="494"/>
      <c r="SO11" s="493">
        <f t="shared" ref="SO11" si="1338">((SO34+SP34)-(SO33+SP33))/2</f>
        <v>0</v>
      </c>
      <c r="SP11" s="494"/>
      <c r="SQ11" s="493">
        <f t="shared" si="141"/>
        <v>0</v>
      </c>
      <c r="SR11" s="494"/>
      <c r="SS11" s="493">
        <f t="shared" ref="SS11" si="1339">((SS34+ST34)-(SS33+ST33))/2</f>
        <v>0</v>
      </c>
      <c r="ST11" s="494"/>
      <c r="SU11" s="493">
        <f>((SU34+SV35)-(SU33+SV34))/2</f>
        <v>0</v>
      </c>
      <c r="SV11" s="494"/>
      <c r="SW11" s="493">
        <f t="shared" ref="SW11" si="1340">((SW34+SX34)-(SW33+SX33))/2</f>
        <v>0</v>
      </c>
      <c r="SX11" s="494"/>
      <c r="SY11" s="493">
        <f t="shared" ref="SY11" si="1341">((SY34+SZ34)-(SY33+SZ33))/2</f>
        <v>0</v>
      </c>
      <c r="SZ11" s="494"/>
      <c r="TA11" s="493">
        <f t="shared" ref="TA11" si="1342">((TA34+TB34)-(TA33+TB33))/2</f>
        <v>0</v>
      </c>
      <c r="TB11" s="494"/>
      <c r="TC11" s="493">
        <f t="shared" si="147"/>
        <v>0</v>
      </c>
      <c r="TD11" s="494"/>
      <c r="TE11" s="493">
        <f t="shared" ref="TE11" si="1343">((TE34+TF34)-(TE33+TF33))/2</f>
        <v>0</v>
      </c>
      <c r="TF11" s="494"/>
      <c r="TG11" s="493">
        <f t="shared" ref="TG11" si="1344">((TG34+TH34)-(TG33+TH33))/2</f>
        <v>0</v>
      </c>
      <c r="TH11" s="494"/>
      <c r="TI11" s="493">
        <f t="shared" si="150"/>
        <v>0</v>
      </c>
      <c r="TJ11" s="494"/>
      <c r="TK11" s="493">
        <f t="shared" ref="TK11" si="1345">((TK34+TL34)-(TK33+TL33))/2</f>
        <v>0</v>
      </c>
      <c r="TL11" s="494"/>
      <c r="TM11" s="493">
        <f t="shared" ref="TM11" si="1346">((TM34+TN34)-(TM33+TN33))/2</f>
        <v>0</v>
      </c>
      <c r="TN11" s="494"/>
      <c r="TO11" s="493">
        <f t="shared" si="153"/>
        <v>0</v>
      </c>
      <c r="TP11" s="494"/>
      <c r="TQ11" s="493">
        <f t="shared" ref="TQ11" si="1347">((TQ34+TR34)-(TQ33+TR33))/2</f>
        <v>0</v>
      </c>
      <c r="TR11" s="494"/>
      <c r="TS11" s="493">
        <f t="shared" ref="TS11" si="1348">((TS34+TT34)-(TS33+TT33))/2</f>
        <v>0</v>
      </c>
      <c r="TT11" s="494"/>
      <c r="TU11" s="493">
        <f t="shared" si="156"/>
        <v>0</v>
      </c>
      <c r="TV11" s="494"/>
      <c r="TW11" s="493">
        <f t="shared" ref="TW11" si="1349">((TW34+TX34)-(TW33+TX33))/2</f>
        <v>0</v>
      </c>
      <c r="TX11" s="494"/>
      <c r="TY11" s="493">
        <f t="shared" ref="TY11" si="1350">((TY34+TZ34)-(TY33+TZ33))/2</f>
        <v>0</v>
      </c>
      <c r="TZ11" s="494"/>
      <c r="UA11" s="493">
        <f t="shared" si="159"/>
        <v>0</v>
      </c>
      <c r="UB11" s="494"/>
      <c r="UC11" s="493">
        <f t="shared" si="1052"/>
        <v>0</v>
      </c>
      <c r="UD11" s="494"/>
      <c r="UE11" s="493">
        <f t="shared" ref="UE11" si="1351">((UE34+UF34)-(UE33+UF33))/2</f>
        <v>0</v>
      </c>
      <c r="UF11" s="494"/>
      <c r="UG11" s="493">
        <f t="shared" si="162"/>
        <v>0</v>
      </c>
      <c r="UH11" s="494"/>
      <c r="UI11" s="493">
        <f t="shared" ref="UI11" si="1352">((UI34+UJ34)-(UI33+UJ33))/2</f>
        <v>0</v>
      </c>
      <c r="UJ11" s="494"/>
      <c r="UK11" s="493">
        <f t="shared" ref="UK11" si="1353">((UK34+UL34)-(UK33+UL33))/2</f>
        <v>0</v>
      </c>
      <c r="UL11" s="494"/>
      <c r="UM11" s="493">
        <f t="shared" si="165"/>
        <v>0</v>
      </c>
      <c r="UN11" s="494"/>
      <c r="UO11" s="493">
        <f t="shared" ref="UO11" si="1354">((UO34+UP34)-(UO33+UP33))/2</f>
        <v>0</v>
      </c>
      <c r="UP11" s="494"/>
      <c r="UQ11" s="493">
        <f t="shared" ref="UQ11" si="1355">((UQ34+UR34)-(UQ33+UR33))/2</f>
        <v>0</v>
      </c>
      <c r="UR11" s="494"/>
      <c r="US11" s="493">
        <f t="shared" si="168"/>
        <v>0</v>
      </c>
      <c r="UT11" s="494"/>
      <c r="UU11" s="493">
        <f t="shared" ref="UU11" si="1356">((UU34+UV34)-(UU33+UV33))/2</f>
        <v>0</v>
      </c>
      <c r="UV11" s="494"/>
      <c r="UW11" s="493">
        <f t="shared" ref="UW11" si="1357">((UW34+UX34)-(UW33+UX33))/2</f>
        <v>0</v>
      </c>
      <c r="UX11" s="494"/>
      <c r="UY11" s="493">
        <f t="shared" si="171"/>
        <v>0</v>
      </c>
      <c r="UZ11" s="494"/>
      <c r="VA11" s="493">
        <f t="shared" ref="VA11" si="1358">((VA34+VB34)-(VA33+VB33))/2</f>
        <v>0</v>
      </c>
      <c r="VB11" s="494"/>
      <c r="VC11" s="493">
        <f t="shared" ref="VC11" si="1359">((VC34+VD34)-(VC33+VD33))/2</f>
        <v>0</v>
      </c>
      <c r="VD11" s="494"/>
      <c r="VE11" s="493">
        <f t="shared" si="464"/>
        <v>0</v>
      </c>
      <c r="VF11" s="494"/>
      <c r="VG11" s="493">
        <f t="shared" ref="VG11" si="1360">((VG34+VH34)-(VG33+VH33))/2</f>
        <v>0</v>
      </c>
      <c r="VH11" s="494"/>
      <c r="VI11" s="493">
        <f t="shared" ref="VI11" si="1361">((VI34+VJ34)-(VI33+VJ33))/2</f>
        <v>0</v>
      </c>
      <c r="VJ11" s="494"/>
      <c r="VK11" s="493">
        <f t="shared" si="467"/>
        <v>0</v>
      </c>
      <c r="VL11" s="494"/>
      <c r="VM11" s="493">
        <f t="shared" ref="VM11" si="1362">((VM34+VN34)-(VM33+VN33))/2</f>
        <v>0</v>
      </c>
      <c r="VN11" s="494"/>
      <c r="VO11" s="493">
        <f t="shared" ref="VO11" si="1363">((VO34+VP34)-(VO33+VP33))/2</f>
        <v>0</v>
      </c>
      <c r="VP11" s="494"/>
      <c r="VQ11" s="493">
        <f t="shared" si="178"/>
        <v>0</v>
      </c>
      <c r="VR11" s="494"/>
      <c r="VS11" s="493">
        <f>((VS34+VT33)-(VS33+VT32))/2</f>
        <v>0</v>
      </c>
      <c r="VT11" s="494"/>
      <c r="VU11" s="493">
        <f>((VU34+VV33)-(VU33+VV32))/2</f>
        <v>0</v>
      </c>
      <c r="VV11" s="494"/>
      <c r="VW11" s="493">
        <f t="shared" si="181"/>
        <v>0</v>
      </c>
      <c r="VX11" s="494"/>
      <c r="VY11" s="493">
        <f t="shared" ref="VY11" si="1364">((VY34+VZ34)-(VY33+VZ33))/2</f>
        <v>0</v>
      </c>
      <c r="VZ11" s="494"/>
      <c r="WA11" s="493">
        <f t="shared" si="1067"/>
        <v>0</v>
      </c>
      <c r="WB11" s="494"/>
      <c r="WC11" s="493">
        <f t="shared" si="184"/>
        <v>0</v>
      </c>
      <c r="WD11" s="494"/>
      <c r="WE11" s="493">
        <f t="shared" ref="WE11" si="1365">((WE34+WF34)-(WE33+WF33))/2</f>
        <v>0</v>
      </c>
      <c r="WF11" s="494"/>
      <c r="WG11" s="493">
        <f t="shared" ref="WG11" si="1366">((WG34+WH34)-(WG33+WH33))/2</f>
        <v>0</v>
      </c>
      <c r="WH11" s="494"/>
      <c r="WI11" s="493">
        <f t="shared" si="187"/>
        <v>0</v>
      </c>
      <c r="WJ11" s="494"/>
      <c r="WK11" s="493">
        <f t="shared" ref="WK11" si="1367">((WK34+WL34)-(WK33+WL33))/2</f>
        <v>0</v>
      </c>
      <c r="WL11" s="494"/>
      <c r="WM11" s="493">
        <f t="shared" ref="WM11" si="1368">((WM34+WN34)-(WM33+WN33))/2</f>
        <v>0</v>
      </c>
      <c r="WN11" s="494"/>
      <c r="WO11" s="493">
        <f t="shared" si="190"/>
        <v>0</v>
      </c>
      <c r="WP11" s="494"/>
      <c r="WQ11" s="493">
        <f t="shared" si="477"/>
        <v>0</v>
      </c>
      <c r="WR11" s="494"/>
      <c r="WS11" s="493">
        <f t="shared" ref="WS11" si="1369">((WS34+WT34)-(WS33+WT33))/2</f>
        <v>0</v>
      </c>
      <c r="WT11" s="494"/>
      <c r="WU11" s="493">
        <f t="shared" si="193"/>
        <v>0</v>
      </c>
      <c r="WV11" s="494"/>
      <c r="WW11" s="493">
        <f t="shared" ref="WW11" si="1370">((WW34+WX34)-(WW33+WX33))/2</f>
        <v>0</v>
      </c>
      <c r="WX11" s="494"/>
      <c r="WY11" s="493">
        <f t="shared" ref="WY11" si="1371">((WY34+WZ34)-(WY33+WZ33))/2</f>
        <v>0</v>
      </c>
      <c r="WZ11" s="494"/>
      <c r="XA11" s="493">
        <f t="shared" si="196"/>
        <v>0</v>
      </c>
      <c r="XB11" s="494"/>
      <c r="XC11" s="493">
        <f t="shared" ref="XC11" si="1372">((XC34+XD34)-(XC33+XD33))/2</f>
        <v>0</v>
      </c>
      <c r="XD11" s="494"/>
      <c r="XE11" s="493">
        <f t="shared" ref="XE11" si="1373">((XE34+XF34)-(XE33+XF33))/2</f>
        <v>0</v>
      </c>
      <c r="XF11" s="494"/>
      <c r="XG11" s="493">
        <f t="shared" si="199"/>
        <v>0</v>
      </c>
      <c r="XH11" s="494"/>
      <c r="XI11" s="493">
        <f t="shared" ref="XI11" si="1374">((XI34+XJ34)-(XI33+XJ33))/2</f>
        <v>0</v>
      </c>
      <c r="XJ11" s="494"/>
      <c r="XK11" s="493">
        <f t="shared" ref="XK11" si="1375">((XK34+XL34)-(XK33+XL33))/2</f>
        <v>0</v>
      </c>
      <c r="XL11" s="494"/>
      <c r="XM11" s="493">
        <f t="shared" si="202"/>
        <v>0</v>
      </c>
      <c r="XN11" s="494"/>
      <c r="XO11" s="493">
        <f t="shared" si="933"/>
        <v>0</v>
      </c>
      <c r="XP11" s="494"/>
      <c r="XQ11" s="493">
        <f t="shared" ref="XQ11" si="1376">((XQ34+XR34)-(XQ33+XR33))/2</f>
        <v>0</v>
      </c>
      <c r="XR11" s="494"/>
      <c r="XS11" s="493">
        <f t="shared" si="205"/>
        <v>0</v>
      </c>
      <c r="XT11" s="494"/>
      <c r="XU11" s="493">
        <f t="shared" ref="XU11" si="1377">((XU34+XV34)-(XU33+XV33))/2</f>
        <v>0</v>
      </c>
      <c r="XV11" s="494"/>
      <c r="XW11" s="493">
        <f t="shared" ref="XW11" si="1378">((XW34+XX34)-(XW33+XX33))/2</f>
        <v>0</v>
      </c>
      <c r="XX11" s="494"/>
      <c r="XY11" s="493">
        <f t="shared" si="208"/>
        <v>0</v>
      </c>
      <c r="XZ11" s="494"/>
      <c r="YA11" s="493">
        <f t="shared" si="937"/>
        <v>0</v>
      </c>
      <c r="YB11" s="494"/>
      <c r="YC11" s="493">
        <f t="shared" ref="YC11" si="1379">((YC34+YD34)-(YC33+YD33))/2</f>
        <v>0</v>
      </c>
      <c r="YD11" s="494"/>
      <c r="YE11" s="493">
        <f t="shared" si="211"/>
        <v>0</v>
      </c>
      <c r="YF11" s="494"/>
      <c r="YG11" s="493">
        <f t="shared" ref="YG11" si="1380">((YG34+YH34)-(YG33+YH33))/2</f>
        <v>0</v>
      </c>
      <c r="YH11" s="494"/>
      <c r="YI11" s="493">
        <f t="shared" ref="YI11" si="1381">((YI34+YJ34)-(YI33+YJ33))/2</f>
        <v>0</v>
      </c>
      <c r="YJ11" s="494"/>
      <c r="YK11" s="493">
        <f t="shared" si="214"/>
        <v>0</v>
      </c>
      <c r="YL11" s="494"/>
      <c r="YM11" s="493">
        <f t="shared" ref="YM11" si="1382">((YM34+YN34)-(YM33+YN33))/2</f>
        <v>0</v>
      </c>
      <c r="YN11" s="494"/>
      <c r="YO11" s="493">
        <f t="shared" si="216"/>
        <v>0</v>
      </c>
      <c r="YP11" s="494"/>
      <c r="YQ11" s="493">
        <f t="shared" si="217"/>
        <v>0</v>
      </c>
      <c r="YR11" s="494"/>
      <c r="YS11" s="493">
        <f t="shared" ref="YS11" si="1383">((YS34+YT34)-(YS33+YT33))/2</f>
        <v>0</v>
      </c>
      <c r="YT11" s="494"/>
      <c r="YU11" s="493">
        <f t="shared" ref="YU11" si="1384">((YU34+YV34)-(YU33+YV33))/2</f>
        <v>0</v>
      </c>
      <c r="YV11" s="494"/>
      <c r="YW11" s="493">
        <f t="shared" si="220"/>
        <v>0</v>
      </c>
      <c r="YX11" s="494"/>
      <c r="YY11" s="493">
        <f t="shared" si="496"/>
        <v>0</v>
      </c>
      <c r="YZ11" s="494"/>
      <c r="ZA11" s="493">
        <f t="shared" ref="ZA11" si="1385">((ZA34+ZB34)-(ZA33+ZB33))/2</f>
        <v>0</v>
      </c>
      <c r="ZB11" s="494"/>
      <c r="ZC11" s="493">
        <f t="shared" si="1239"/>
        <v>0</v>
      </c>
      <c r="ZD11" s="494"/>
      <c r="ZE11" s="493">
        <f t="shared" ref="ZE11" si="1386">((ZE34+ZF34)-(ZE33+ZF33))/2</f>
        <v>0</v>
      </c>
      <c r="ZF11" s="494"/>
      <c r="ZG11" s="493">
        <f t="shared" ref="ZG11" si="1387">((ZG34+ZH34)-(ZG33+ZH33))/2</f>
        <v>0</v>
      </c>
      <c r="ZH11" s="494"/>
      <c r="ZI11" s="493">
        <f t="shared" si="799"/>
        <v>0</v>
      </c>
      <c r="ZJ11" s="494"/>
      <c r="ZK11" s="493">
        <f t="shared" ref="ZK11" si="1388">((ZK34+ZL34)-(ZK33+ZL33))/2</f>
        <v>0</v>
      </c>
      <c r="ZL11" s="494"/>
      <c r="ZM11" s="493">
        <f t="shared" ref="ZM11" si="1389">((ZM34+ZN34)-(ZM33+ZN33))/2</f>
        <v>0</v>
      </c>
      <c r="ZN11" s="494"/>
      <c r="ZO11" s="493">
        <f t="shared" si="502"/>
        <v>0</v>
      </c>
      <c r="ZP11" s="494"/>
      <c r="ZQ11" s="493">
        <f t="shared" si="503"/>
        <v>0</v>
      </c>
      <c r="ZR11" s="494"/>
      <c r="ZS11" s="493">
        <f t="shared" ref="ZS11" si="1390">((ZS34+ZT34)-(ZS33+ZT33))/2</f>
        <v>0</v>
      </c>
      <c r="ZT11" s="494"/>
      <c r="ZU11" s="493">
        <f t="shared" si="230"/>
        <v>0</v>
      </c>
      <c r="ZV11" s="494"/>
      <c r="ZW11" s="493">
        <f t="shared" ref="ZW11" si="1391">((ZW34+ZX34)-(ZW33+ZX33))/2</f>
        <v>0</v>
      </c>
      <c r="ZX11" s="494"/>
      <c r="ZY11" s="493">
        <f t="shared" ref="ZY11" si="1392">((ZY34+ZZ34)-(ZY33+ZZ33))/2</f>
        <v>0</v>
      </c>
      <c r="ZZ11" s="494"/>
      <c r="AAA11" s="493">
        <f t="shared" si="233"/>
        <v>0</v>
      </c>
      <c r="AAB11" s="494"/>
      <c r="AAC11" s="493">
        <f>((AAC34+AAD35)-(AAC33+AAD34))/2</f>
        <v>0</v>
      </c>
      <c r="AAD11" s="494"/>
      <c r="AAE11" s="493">
        <f t="shared" ref="AAE11" si="1393">((AAE34+AAF34)-(AAE33+AAF33))/2</f>
        <v>0</v>
      </c>
      <c r="AAF11" s="494"/>
      <c r="AAG11" s="493">
        <f t="shared" si="236"/>
        <v>0</v>
      </c>
      <c r="AAH11" s="494"/>
      <c r="AAI11" s="493">
        <f t="shared" ref="AAI11" si="1394">((AAI34+AAJ34)-(AAI33+AAJ33))/2</f>
        <v>0</v>
      </c>
      <c r="AAJ11" s="494"/>
      <c r="AAK11" s="493">
        <f t="shared" ref="AAK11" si="1395">((AAK34+AAL34)-(AAK33+AAL33))/2</f>
        <v>0</v>
      </c>
      <c r="AAL11" s="494"/>
      <c r="AAM11" s="493">
        <f t="shared" si="239"/>
        <v>0</v>
      </c>
      <c r="AAN11" s="494"/>
      <c r="AAO11" s="493">
        <f t="shared" si="1250"/>
        <v>0</v>
      </c>
      <c r="AAP11" s="494"/>
      <c r="AAQ11" s="493">
        <f t="shared" si="1100"/>
        <v>0</v>
      </c>
      <c r="AAR11" s="494"/>
      <c r="AAS11" s="493">
        <f t="shared" si="241"/>
        <v>0</v>
      </c>
      <c r="AAT11" s="494"/>
      <c r="AAU11" s="493">
        <f t="shared" ref="AAU11" si="1396">((AAU34+AAV34)-(AAU33+AAV33))/2</f>
        <v>0</v>
      </c>
      <c r="AAV11" s="494"/>
      <c r="AAW11" s="493">
        <f t="shared" ref="AAW11" si="1397">((AAW34+AAX34)-(AAW33+AAX33))/2</f>
        <v>0</v>
      </c>
      <c r="AAX11" s="494"/>
      <c r="AAY11" s="493">
        <f t="shared" si="513"/>
        <v>0</v>
      </c>
      <c r="AAZ11" s="494"/>
      <c r="ABA11" s="493">
        <f t="shared" ref="ABA11" si="1398">((ABA34+ABB34)-(ABA33+ABB33))/2</f>
        <v>0</v>
      </c>
      <c r="ABB11" s="494"/>
      <c r="ABC11" s="493">
        <f t="shared" ref="ABC11" si="1399">((ABC34+ABD34)-(ABC33+ABD33))/2</f>
        <v>0</v>
      </c>
      <c r="ABD11" s="494"/>
      <c r="ABE11" s="379">
        <f t="shared" si="516"/>
        <v>0</v>
      </c>
      <c r="ABF11" s="377"/>
      <c r="ABG11" s="481"/>
      <c r="ABH11" s="481"/>
      <c r="ABI11" s="481"/>
      <c r="ABJ11" s="481"/>
      <c r="ABK11" s="481"/>
      <c r="ABL11" s="481"/>
      <c r="ABM11" s="481"/>
      <c r="ABN11" s="481"/>
      <c r="ABO11" s="481"/>
      <c r="ABP11" s="481"/>
      <c r="ABQ11" s="481"/>
      <c r="ABR11" s="481"/>
      <c r="ABS11" s="481"/>
      <c r="ABT11" s="481"/>
      <c r="ABU11" s="481"/>
      <c r="ABV11" s="481"/>
      <c r="ABW11" s="481"/>
      <c r="ABX11" s="481"/>
      <c r="ABY11" s="481"/>
      <c r="ABZ11" s="481"/>
      <c r="ACA11" s="481"/>
      <c r="ACB11" s="481"/>
      <c r="ACC11" s="481"/>
      <c r="ACD11" s="481"/>
      <c r="ACE11" s="481"/>
      <c r="ACF11" s="481"/>
      <c r="ACG11" s="481"/>
      <c r="ACH11" s="481"/>
      <c r="ACI11" s="481"/>
      <c r="ACJ11" s="481"/>
      <c r="ACK11" s="481"/>
      <c r="ACL11" s="481"/>
      <c r="ACM11" s="481"/>
      <c r="ACN11" s="481"/>
      <c r="ACO11" s="481"/>
      <c r="ACP11" s="481"/>
      <c r="ACQ11" s="481"/>
      <c r="ACR11" s="481"/>
      <c r="ACS11" s="481"/>
      <c r="ACT11" s="481"/>
      <c r="ACU11" s="481"/>
      <c r="ACV11" s="481"/>
      <c r="ACW11" s="481"/>
      <c r="ACX11" s="481"/>
      <c r="ACY11" s="481"/>
      <c r="ACZ11" s="481"/>
      <c r="ADA11" s="481"/>
      <c r="ADB11" s="481"/>
      <c r="ADC11" s="481"/>
      <c r="ADD11" s="481"/>
      <c r="ADE11" s="481"/>
      <c r="ADF11" s="481"/>
      <c r="ADG11" s="481"/>
      <c r="ADH11" s="481"/>
      <c r="ADI11" s="481"/>
      <c r="ADJ11" s="481"/>
      <c r="ADK11" s="335"/>
      <c r="ADL11" s="335"/>
      <c r="ADM11" s="335"/>
      <c r="ADN11" s="335"/>
      <c r="ADO11" s="335"/>
      <c r="ADP11" s="335"/>
      <c r="ADQ11" s="335"/>
      <c r="ADR11" s="335"/>
      <c r="ADS11" s="335"/>
      <c r="ADT11" s="335"/>
      <c r="ADU11" s="335"/>
      <c r="ADV11" s="335"/>
      <c r="ADW11" s="335"/>
      <c r="ADX11" s="335"/>
      <c r="ADY11" s="335"/>
      <c r="ADZ11" s="335"/>
      <c r="AEA11" s="335"/>
      <c r="AEB11" s="335"/>
      <c r="AEC11" s="335"/>
      <c r="AED11" s="335"/>
      <c r="AEE11" s="335"/>
      <c r="AEF11" s="335"/>
      <c r="AEG11" s="335"/>
      <c r="AEH11" s="335"/>
      <c r="AEI11" s="335"/>
      <c r="AEJ11" s="335"/>
      <c r="AEK11" s="335"/>
      <c r="AEL11" s="335"/>
      <c r="AEM11" s="335"/>
      <c r="AEN11" s="335"/>
      <c r="AEO11" s="335"/>
      <c r="AEP11" s="335"/>
      <c r="AEQ11" s="335"/>
      <c r="AER11" s="335"/>
      <c r="AES11" s="335"/>
      <c r="AET11" s="335"/>
      <c r="AEU11" s="335"/>
      <c r="AEV11" s="335"/>
      <c r="AEW11" s="335"/>
      <c r="AEX11" s="335"/>
      <c r="AEY11" s="335"/>
      <c r="AEZ11" s="335"/>
      <c r="AFA11" s="335"/>
      <c r="AFB11" s="335"/>
      <c r="AFC11" s="335"/>
      <c r="AFD11" s="335"/>
      <c r="AFE11" s="335"/>
      <c r="AFF11" s="335"/>
      <c r="AFG11" s="335"/>
      <c r="AFH11" s="335"/>
      <c r="AFI11" s="335"/>
      <c r="AFJ11" s="335"/>
      <c r="AFK11" s="335"/>
      <c r="AFL11" s="335"/>
      <c r="AFM11" s="335"/>
      <c r="AFN11" s="335"/>
      <c r="AFO11" s="335"/>
      <c r="AFP11" s="335"/>
      <c r="AFQ11" s="335"/>
      <c r="AFR11" s="335"/>
      <c r="AFS11" s="335"/>
      <c r="AFT11" s="335"/>
      <c r="AFU11" s="335"/>
      <c r="AFV11" s="335"/>
      <c r="AFW11" s="335"/>
      <c r="AFX11" s="335"/>
      <c r="AFY11" s="335"/>
      <c r="AFZ11" s="335"/>
      <c r="AGA11" s="335"/>
      <c r="AGB11" s="335"/>
      <c r="AGC11" s="335"/>
      <c r="AGD11" s="335"/>
      <c r="AGE11" s="335"/>
      <c r="AGF11" s="335"/>
      <c r="AGG11" s="335"/>
      <c r="AGH11" s="335"/>
      <c r="AGI11" s="335"/>
      <c r="AGJ11" s="335"/>
      <c r="AGK11" s="335"/>
      <c r="AGL11" s="335"/>
      <c r="AGM11" s="335"/>
      <c r="AGN11" s="335"/>
      <c r="AGO11" s="335"/>
      <c r="AGP11" s="335"/>
      <c r="AGQ11" s="335"/>
      <c r="AGR11" s="335"/>
      <c r="AGS11" s="335"/>
      <c r="AGT11" s="335"/>
      <c r="AGU11" s="335"/>
      <c r="AGV11" s="335"/>
      <c r="AGW11" s="335"/>
      <c r="AGX11" s="335"/>
      <c r="AGY11" s="335"/>
      <c r="AGZ11" s="335"/>
      <c r="AHA11" s="335"/>
      <c r="AHB11" s="335"/>
      <c r="AHC11" s="335"/>
      <c r="AHD11" s="335"/>
      <c r="AHE11" s="335"/>
      <c r="AHF11" s="335"/>
      <c r="AHG11" s="335"/>
      <c r="AHH11" s="335"/>
      <c r="AHI11" s="335"/>
      <c r="AHJ11" s="335"/>
      <c r="AHK11" s="335"/>
      <c r="AHL11" s="335"/>
      <c r="AHM11" s="335"/>
      <c r="AHN11" s="335"/>
      <c r="AHO11" s="335"/>
      <c r="AHP11" s="335"/>
      <c r="AHQ11" s="335"/>
      <c r="AHR11" s="335"/>
      <c r="AHS11" s="335"/>
      <c r="AHT11" s="335"/>
      <c r="AHU11" s="335"/>
      <c r="AHV11" s="335"/>
      <c r="AHW11" s="335"/>
      <c r="AHX11" s="335"/>
      <c r="AHY11" s="335"/>
      <c r="AHZ11" s="335"/>
      <c r="AIA11" s="335"/>
      <c r="AIB11" s="335"/>
      <c r="AIC11" s="339"/>
    </row>
    <row r="12" spans="1:913" s="161" customFormat="1">
      <c r="A12" s="172"/>
      <c r="B12" s="177">
        <v>0.70833333333333304</v>
      </c>
      <c r="C12" s="493">
        <f t="shared" si="246"/>
        <v>0</v>
      </c>
      <c r="D12" s="494"/>
      <c r="E12" s="493">
        <f t="shared" si="0"/>
        <v>0</v>
      </c>
      <c r="F12" s="494"/>
      <c r="G12" s="493">
        <f t="shared" si="1"/>
        <v>0</v>
      </c>
      <c r="H12" s="494"/>
      <c r="I12" s="493">
        <f t="shared" si="1105"/>
        <v>0</v>
      </c>
      <c r="J12" s="494"/>
      <c r="K12" s="493">
        <f t="shared" si="2"/>
        <v>0</v>
      </c>
      <c r="L12" s="494"/>
      <c r="M12" s="493">
        <f t="shared" si="3"/>
        <v>0</v>
      </c>
      <c r="N12" s="494"/>
      <c r="O12" s="493">
        <f t="shared" si="517"/>
        <v>0</v>
      </c>
      <c r="P12" s="494"/>
      <c r="Q12" s="493">
        <f t="shared" si="248"/>
        <v>0</v>
      </c>
      <c r="R12" s="494"/>
      <c r="S12" s="493">
        <f t="shared" si="249"/>
        <v>0</v>
      </c>
      <c r="T12" s="494"/>
      <c r="U12" s="493">
        <f t="shared" si="250"/>
        <v>0</v>
      </c>
      <c r="V12" s="494"/>
      <c r="W12" s="493">
        <f t="shared" si="251"/>
        <v>0</v>
      </c>
      <c r="X12" s="494"/>
      <c r="Y12" s="493">
        <f t="shared" si="252"/>
        <v>0</v>
      </c>
      <c r="Z12" s="494"/>
      <c r="AA12" s="493">
        <f t="shared" si="253"/>
        <v>0</v>
      </c>
      <c r="AB12" s="494"/>
      <c r="AC12" s="493">
        <f t="shared" si="254"/>
        <v>0</v>
      </c>
      <c r="AD12" s="494"/>
      <c r="AE12" s="493">
        <f t="shared" si="255"/>
        <v>0</v>
      </c>
      <c r="AF12" s="494"/>
      <c r="AG12" s="493">
        <f t="shared" si="256"/>
        <v>0</v>
      </c>
      <c r="AH12" s="494"/>
      <c r="AI12" s="493">
        <f t="shared" si="257"/>
        <v>0</v>
      </c>
      <c r="AJ12" s="494"/>
      <c r="AK12" s="493">
        <f t="shared" si="258"/>
        <v>0</v>
      </c>
      <c r="AL12" s="494"/>
      <c r="AM12" s="493">
        <f t="shared" si="259"/>
        <v>0</v>
      </c>
      <c r="AN12" s="494"/>
      <c r="AO12" s="493">
        <f t="shared" si="260"/>
        <v>0</v>
      </c>
      <c r="AP12" s="494"/>
      <c r="AQ12" s="493">
        <f t="shared" si="261"/>
        <v>0</v>
      </c>
      <c r="AR12" s="494"/>
      <c r="AS12" s="493">
        <f t="shared" si="262"/>
        <v>0</v>
      </c>
      <c r="AT12" s="494"/>
      <c r="AU12" s="493">
        <f t="shared" si="263"/>
        <v>0</v>
      </c>
      <c r="AV12" s="494"/>
      <c r="AW12" s="493">
        <f>((AW34+AX35)-(AW33+AX34))/2</f>
        <v>0</v>
      </c>
      <c r="AX12" s="494"/>
      <c r="AY12" s="493">
        <f t="shared" si="265"/>
        <v>0</v>
      </c>
      <c r="AZ12" s="494"/>
      <c r="BA12" s="493">
        <f t="shared" si="1107"/>
        <v>0</v>
      </c>
      <c r="BB12" s="494"/>
      <c r="BC12" s="493">
        <f t="shared" si="267"/>
        <v>0</v>
      </c>
      <c r="BD12" s="494"/>
      <c r="BE12" s="493">
        <f t="shared" si="268"/>
        <v>0</v>
      </c>
      <c r="BF12" s="494"/>
      <c r="BG12" s="493">
        <f t="shared" si="269"/>
        <v>0</v>
      </c>
      <c r="BH12" s="494"/>
      <c r="BI12" s="493">
        <f t="shared" si="270"/>
        <v>0</v>
      </c>
      <c r="BJ12" s="494"/>
      <c r="BK12" s="493">
        <f t="shared" si="271"/>
        <v>0</v>
      </c>
      <c r="BL12" s="494"/>
      <c r="BM12" s="493">
        <f t="shared" si="272"/>
        <v>0</v>
      </c>
      <c r="BN12" s="494"/>
      <c r="BO12" s="493">
        <f t="shared" si="273"/>
        <v>0</v>
      </c>
      <c r="BP12" s="494"/>
      <c r="BQ12" s="493">
        <f t="shared" si="274"/>
        <v>0</v>
      </c>
      <c r="BR12" s="494"/>
      <c r="BS12" s="493">
        <f t="shared" si="275"/>
        <v>0</v>
      </c>
      <c r="BT12" s="494"/>
      <c r="BU12" s="493">
        <f t="shared" si="1256"/>
        <v>0</v>
      </c>
      <c r="BV12" s="494"/>
      <c r="BW12" s="493">
        <f t="shared" si="665"/>
        <v>0</v>
      </c>
      <c r="BX12" s="494"/>
      <c r="BY12" s="493">
        <f t="shared" si="277"/>
        <v>0</v>
      </c>
      <c r="BZ12" s="494"/>
      <c r="CA12" s="493">
        <f t="shared" si="278"/>
        <v>0</v>
      </c>
      <c r="CB12" s="494"/>
      <c r="CC12" s="493">
        <f t="shared" si="1108"/>
        <v>0</v>
      </c>
      <c r="CD12" s="494"/>
      <c r="CE12" s="493">
        <f t="shared" si="280"/>
        <v>0</v>
      </c>
      <c r="CF12" s="494"/>
      <c r="CG12" s="493">
        <f t="shared" si="281"/>
        <v>0</v>
      </c>
      <c r="CH12" s="494"/>
      <c r="CI12" s="493">
        <f t="shared" si="282"/>
        <v>0</v>
      </c>
      <c r="CJ12" s="494"/>
      <c r="CK12" s="493">
        <f t="shared" si="283"/>
        <v>0</v>
      </c>
      <c r="CL12" s="494"/>
      <c r="CM12" s="493">
        <f t="shared" si="284"/>
        <v>0</v>
      </c>
      <c r="CN12" s="494"/>
      <c r="CO12" s="493">
        <f t="shared" si="285"/>
        <v>0</v>
      </c>
      <c r="CP12" s="494"/>
      <c r="CQ12" s="493">
        <f t="shared" si="1257"/>
        <v>0</v>
      </c>
      <c r="CR12" s="494"/>
      <c r="CS12" s="493">
        <f t="shared" si="287"/>
        <v>0</v>
      </c>
      <c r="CT12" s="494"/>
      <c r="CU12" s="493">
        <f t="shared" si="288"/>
        <v>0</v>
      </c>
      <c r="CV12" s="494"/>
      <c r="CW12" s="493">
        <f t="shared" si="289"/>
        <v>0</v>
      </c>
      <c r="CX12" s="494"/>
      <c r="CY12" s="493">
        <f t="shared" si="290"/>
        <v>0</v>
      </c>
      <c r="CZ12" s="494"/>
      <c r="DA12" s="493">
        <f t="shared" si="813"/>
        <v>0</v>
      </c>
      <c r="DB12" s="494"/>
      <c r="DC12" s="493">
        <f>((DC36+DD35)-(DC35+DD34))/2</f>
        <v>0</v>
      </c>
      <c r="DD12" s="494"/>
      <c r="DE12" s="493">
        <f t="shared" si="293"/>
        <v>0</v>
      </c>
      <c r="DF12" s="494"/>
      <c r="DG12" s="493">
        <f t="shared" si="294"/>
        <v>0</v>
      </c>
      <c r="DH12" s="494"/>
      <c r="DI12" s="493">
        <f t="shared" si="295"/>
        <v>0</v>
      </c>
      <c r="DJ12" s="494"/>
      <c r="DK12" s="493">
        <f t="shared" si="296"/>
        <v>0</v>
      </c>
      <c r="DL12" s="494"/>
      <c r="DM12" s="493">
        <f t="shared" si="297"/>
        <v>0</v>
      </c>
      <c r="DN12" s="494"/>
      <c r="DO12" s="493">
        <f t="shared" si="298"/>
        <v>0</v>
      </c>
      <c r="DP12" s="494"/>
      <c r="DQ12" s="493">
        <f t="shared" si="666"/>
        <v>0</v>
      </c>
      <c r="DR12" s="494"/>
      <c r="DS12" s="493">
        <f t="shared" si="300"/>
        <v>0</v>
      </c>
      <c r="DT12" s="494"/>
      <c r="DU12" s="493">
        <f t="shared" si="301"/>
        <v>0</v>
      </c>
      <c r="DV12" s="494"/>
      <c r="DW12" s="493">
        <f t="shared" si="302"/>
        <v>0</v>
      </c>
      <c r="DX12" s="494"/>
      <c r="DY12" s="493">
        <f t="shared" si="303"/>
        <v>0</v>
      </c>
      <c r="DZ12" s="494"/>
      <c r="EA12" s="493">
        <f t="shared" si="304"/>
        <v>0</v>
      </c>
      <c r="EB12" s="494"/>
      <c r="EC12" s="493">
        <f t="shared" si="305"/>
        <v>0</v>
      </c>
      <c r="ED12" s="494"/>
      <c r="EE12" s="493">
        <f t="shared" si="6"/>
        <v>0</v>
      </c>
      <c r="EF12" s="494"/>
      <c r="EG12" s="493">
        <f t="shared" si="7"/>
        <v>0</v>
      </c>
      <c r="EH12" s="494"/>
      <c r="EI12" s="493">
        <f t="shared" si="306"/>
        <v>0</v>
      </c>
      <c r="EJ12" s="494"/>
      <c r="EK12" s="493">
        <f t="shared" si="8"/>
        <v>0</v>
      </c>
      <c r="EL12" s="494"/>
      <c r="EM12" s="493">
        <f t="shared" si="9"/>
        <v>0</v>
      </c>
      <c r="EN12" s="494"/>
      <c r="EO12" s="493">
        <f t="shared" si="10"/>
        <v>0</v>
      </c>
      <c r="EP12" s="494"/>
      <c r="EQ12" s="493">
        <f t="shared" si="307"/>
        <v>0</v>
      </c>
      <c r="ER12" s="494"/>
      <c r="ES12" s="493">
        <f t="shared" si="308"/>
        <v>0</v>
      </c>
      <c r="ET12" s="494"/>
      <c r="EU12" s="493">
        <f t="shared" si="309"/>
        <v>0</v>
      </c>
      <c r="EV12" s="494"/>
      <c r="EW12" s="493">
        <f t="shared" si="310"/>
        <v>0</v>
      </c>
      <c r="EX12" s="494"/>
      <c r="EY12" s="493">
        <f t="shared" si="311"/>
        <v>0</v>
      </c>
      <c r="EZ12" s="494"/>
      <c r="FA12" s="493">
        <f t="shared" si="312"/>
        <v>0</v>
      </c>
      <c r="FB12" s="494"/>
      <c r="FC12" s="493">
        <f t="shared" si="313"/>
        <v>0</v>
      </c>
      <c r="FD12" s="494"/>
      <c r="FE12" s="493">
        <f t="shared" si="314"/>
        <v>0</v>
      </c>
      <c r="FF12" s="494"/>
      <c r="FG12" s="493">
        <f t="shared" si="315"/>
        <v>0</v>
      </c>
      <c r="FH12" s="494"/>
      <c r="FI12" s="493">
        <f t="shared" si="316"/>
        <v>0</v>
      </c>
      <c r="FJ12" s="494"/>
      <c r="FK12" s="493">
        <f t="shared" si="317"/>
        <v>0</v>
      </c>
      <c r="FL12" s="494"/>
      <c r="FM12" s="493">
        <f t="shared" si="318"/>
        <v>0</v>
      </c>
      <c r="FN12" s="494"/>
      <c r="FO12" s="493">
        <f t="shared" si="319"/>
        <v>0</v>
      </c>
      <c r="FP12" s="494"/>
      <c r="FQ12" s="493">
        <f t="shared" si="320"/>
        <v>0</v>
      </c>
      <c r="FR12" s="494"/>
      <c r="FS12" s="493">
        <f t="shared" si="321"/>
        <v>0</v>
      </c>
      <c r="FT12" s="494"/>
      <c r="FU12" s="493">
        <f t="shared" si="322"/>
        <v>0</v>
      </c>
      <c r="FV12" s="494"/>
      <c r="FW12" s="493">
        <f t="shared" si="323"/>
        <v>0</v>
      </c>
      <c r="FX12" s="494"/>
      <c r="FY12" s="493">
        <f t="shared" si="324"/>
        <v>0</v>
      </c>
      <c r="FZ12" s="494"/>
      <c r="GA12" s="493">
        <f t="shared" si="325"/>
        <v>0</v>
      </c>
      <c r="GB12" s="494"/>
      <c r="GC12" s="493">
        <f t="shared" si="326"/>
        <v>0</v>
      </c>
      <c r="GD12" s="494"/>
      <c r="GE12" s="493">
        <f t="shared" si="327"/>
        <v>0</v>
      </c>
      <c r="GF12" s="494"/>
      <c r="GG12" s="493">
        <f t="shared" si="328"/>
        <v>0</v>
      </c>
      <c r="GH12" s="494"/>
      <c r="GI12" s="493">
        <f t="shared" si="329"/>
        <v>0</v>
      </c>
      <c r="GJ12" s="494"/>
      <c r="GK12" s="493">
        <f t="shared" si="330"/>
        <v>0</v>
      </c>
      <c r="GL12" s="494"/>
      <c r="GM12" s="493">
        <f t="shared" si="331"/>
        <v>0</v>
      </c>
      <c r="GN12" s="494"/>
      <c r="GO12" s="493">
        <f t="shared" si="1258"/>
        <v>0</v>
      </c>
      <c r="GP12" s="494"/>
      <c r="GQ12" s="493">
        <f t="shared" si="333"/>
        <v>0</v>
      </c>
      <c r="GR12" s="494"/>
      <c r="GS12" s="493">
        <f t="shared" si="334"/>
        <v>0</v>
      </c>
      <c r="GT12" s="494"/>
      <c r="GU12" s="493">
        <f t="shared" si="1109"/>
        <v>0</v>
      </c>
      <c r="GV12" s="494"/>
      <c r="GW12" s="493">
        <f t="shared" si="1110"/>
        <v>0</v>
      </c>
      <c r="GX12" s="494"/>
      <c r="GY12" s="493">
        <f t="shared" si="1111"/>
        <v>0</v>
      </c>
      <c r="GZ12" s="494"/>
      <c r="HA12" s="493">
        <f t="shared" si="335"/>
        <v>0</v>
      </c>
      <c r="HB12" s="494"/>
      <c r="HC12" s="493">
        <f t="shared" si="336"/>
        <v>0</v>
      </c>
      <c r="HD12" s="494"/>
      <c r="HE12" s="493">
        <f t="shared" si="1259"/>
        <v>0</v>
      </c>
      <c r="HF12" s="494"/>
      <c r="HG12" s="493">
        <f t="shared" si="338"/>
        <v>0</v>
      </c>
      <c r="HH12" s="494"/>
      <c r="HI12" s="493">
        <f t="shared" si="339"/>
        <v>0</v>
      </c>
      <c r="HJ12" s="494"/>
      <c r="HK12" s="493">
        <f t="shared" si="340"/>
        <v>0</v>
      </c>
      <c r="HL12" s="494"/>
      <c r="HM12" s="493">
        <f t="shared" si="341"/>
        <v>0</v>
      </c>
      <c r="HN12" s="494"/>
      <c r="HO12" s="493">
        <f t="shared" si="342"/>
        <v>0</v>
      </c>
      <c r="HP12" s="494"/>
      <c r="HQ12" s="493">
        <f t="shared" si="343"/>
        <v>0</v>
      </c>
      <c r="HR12" s="494"/>
      <c r="HS12" s="493">
        <f t="shared" si="344"/>
        <v>0</v>
      </c>
      <c r="HT12" s="494"/>
      <c r="HU12" s="493">
        <f t="shared" si="345"/>
        <v>0</v>
      </c>
      <c r="HV12" s="494"/>
      <c r="HW12" s="493">
        <f t="shared" si="346"/>
        <v>0</v>
      </c>
      <c r="HX12" s="494"/>
      <c r="HY12" s="493">
        <f t="shared" si="347"/>
        <v>0</v>
      </c>
      <c r="HZ12" s="494"/>
      <c r="IA12" s="493">
        <f t="shared" si="348"/>
        <v>0</v>
      </c>
      <c r="IB12" s="494"/>
      <c r="IC12" s="493">
        <f t="shared" si="349"/>
        <v>0</v>
      </c>
      <c r="ID12" s="494"/>
      <c r="IE12" s="493">
        <f t="shared" si="350"/>
        <v>0</v>
      </c>
      <c r="IF12" s="494"/>
      <c r="IG12" s="493">
        <f t="shared" si="351"/>
        <v>0</v>
      </c>
      <c r="IH12" s="494"/>
      <c r="II12" s="493">
        <f t="shared" si="352"/>
        <v>0</v>
      </c>
      <c r="IJ12" s="494"/>
      <c r="IK12" s="493">
        <f t="shared" si="353"/>
        <v>0</v>
      </c>
      <c r="IL12" s="494"/>
      <c r="IM12" s="493">
        <f t="shared" si="354"/>
        <v>0</v>
      </c>
      <c r="IN12" s="494"/>
      <c r="IO12" s="493">
        <f t="shared" si="355"/>
        <v>0</v>
      </c>
      <c r="IP12" s="494"/>
      <c r="IQ12" s="493">
        <f t="shared" si="356"/>
        <v>0</v>
      </c>
      <c r="IR12" s="494"/>
      <c r="IS12" s="493">
        <f t="shared" si="357"/>
        <v>0</v>
      </c>
      <c r="IT12" s="494"/>
      <c r="IU12" s="493">
        <f t="shared" si="14"/>
        <v>0</v>
      </c>
      <c r="IV12" s="494"/>
      <c r="IW12" s="493">
        <f t="shared" si="15"/>
        <v>0</v>
      </c>
      <c r="IX12" s="494"/>
      <c r="IY12" s="493">
        <f t="shared" si="16"/>
        <v>0</v>
      </c>
      <c r="IZ12" s="494"/>
      <c r="JA12" s="493">
        <f t="shared" ref="JA12" si="1400">((JA35+JB35)-(JA34+JB34))/2</f>
        <v>0</v>
      </c>
      <c r="JB12" s="494"/>
      <c r="JC12" s="493">
        <f t="shared" ref="JC12" si="1401">((JC35+JD35)-(JC34+JD34))/2</f>
        <v>0</v>
      </c>
      <c r="JD12" s="494"/>
      <c r="JE12" s="493">
        <f t="shared" si="19"/>
        <v>0</v>
      </c>
      <c r="JF12" s="494"/>
      <c r="JG12" s="493">
        <f t="shared" ref="JG12" si="1402">((JG35+JH35)-(JG34+JH34))/2</f>
        <v>0</v>
      </c>
      <c r="JH12" s="494"/>
      <c r="JI12" s="493">
        <f t="shared" ref="JI12" si="1403">((JI35+JJ35)-(JI34+JJ34))/2</f>
        <v>0</v>
      </c>
      <c r="JJ12" s="494"/>
      <c r="JK12" s="493">
        <f t="shared" si="22"/>
        <v>0</v>
      </c>
      <c r="JL12" s="494"/>
      <c r="JM12" s="493">
        <f t="shared" ref="JM12" si="1404">((JM35+JN35)-(JM34+JN34))/2</f>
        <v>0</v>
      </c>
      <c r="JN12" s="494"/>
      <c r="JO12" s="493">
        <f t="shared" ref="JO12" si="1405">((JO35+JP35)-(JO34+JP34))/2</f>
        <v>0</v>
      </c>
      <c r="JP12" s="494"/>
      <c r="JQ12" s="493">
        <f t="shared" si="25"/>
        <v>0</v>
      </c>
      <c r="JR12" s="494"/>
      <c r="JS12" s="493">
        <f t="shared" ref="JS12" si="1406">((JS35+JT35)-(JS34+JT34))/2</f>
        <v>0</v>
      </c>
      <c r="JT12" s="494"/>
      <c r="JU12" s="493">
        <f t="shared" ref="JU12" si="1407">((JU35+JV35)-(JU34+JV34))/2</f>
        <v>0</v>
      </c>
      <c r="JV12" s="494"/>
      <c r="JW12" s="493">
        <f t="shared" si="28"/>
        <v>0</v>
      </c>
      <c r="JX12" s="494"/>
      <c r="JY12" s="493">
        <f t="shared" ref="JY12" si="1408">((JY35+JZ35)-(JY34+JZ34))/2</f>
        <v>0</v>
      </c>
      <c r="JZ12" s="494"/>
      <c r="KA12" s="493">
        <f t="shared" ref="KA12" si="1409">((KA35+KB35)-(KA34+KB34))/2</f>
        <v>0</v>
      </c>
      <c r="KB12" s="494"/>
      <c r="KC12" s="493">
        <f t="shared" si="31"/>
        <v>0</v>
      </c>
      <c r="KD12" s="494"/>
      <c r="KE12" s="493">
        <f t="shared" si="368"/>
        <v>0</v>
      </c>
      <c r="KF12" s="494"/>
      <c r="KG12" s="493">
        <f t="shared" ref="KG12" si="1410">((KG35+KH35)-(KG34+KH34))/2</f>
        <v>0</v>
      </c>
      <c r="KH12" s="494"/>
      <c r="KI12" s="493">
        <f t="shared" si="34"/>
        <v>0</v>
      </c>
      <c r="KJ12" s="494"/>
      <c r="KK12" s="493">
        <f t="shared" ref="KK12" si="1411">((KK35+KL35)-(KK34+KL34))/2</f>
        <v>0</v>
      </c>
      <c r="KL12" s="494"/>
      <c r="KM12" s="493">
        <f t="shared" ref="KM12" si="1412">((KM35+KN35)-(KM34+KN34))/2</f>
        <v>0</v>
      </c>
      <c r="KN12" s="494"/>
      <c r="KO12" s="493">
        <f t="shared" si="37"/>
        <v>0</v>
      </c>
      <c r="KP12" s="494"/>
      <c r="KQ12" s="493">
        <f t="shared" ref="KQ12" si="1413">((KQ35+KR35)-(KQ34+KR34))/2</f>
        <v>0</v>
      </c>
      <c r="KR12" s="494"/>
      <c r="KS12" s="493">
        <f t="shared" ref="KS12" si="1414">((KS35+KT35)-(KS34+KT34))/2</f>
        <v>0</v>
      </c>
      <c r="KT12" s="494"/>
      <c r="KU12" s="493">
        <f t="shared" si="40"/>
        <v>0</v>
      </c>
      <c r="KV12" s="494"/>
      <c r="KW12" s="493">
        <f t="shared" ref="KW12" si="1415">((KW35+KX35)-(KW34+KX34))/2</f>
        <v>0</v>
      </c>
      <c r="KX12" s="494"/>
      <c r="KY12" s="493">
        <f t="shared" ref="KY12" si="1416">((KY35+KZ35)-(KY34+KZ34))/2</f>
        <v>0</v>
      </c>
      <c r="KZ12" s="494"/>
      <c r="LA12" s="493">
        <f t="shared" si="43"/>
        <v>0</v>
      </c>
      <c r="LB12" s="494"/>
      <c r="LC12" s="493">
        <f t="shared" si="376"/>
        <v>0</v>
      </c>
      <c r="LD12" s="494"/>
      <c r="LE12" s="493">
        <f t="shared" si="377"/>
        <v>0</v>
      </c>
      <c r="LF12" s="494"/>
      <c r="LG12" s="493">
        <f t="shared" si="378"/>
        <v>0</v>
      </c>
      <c r="LH12" s="494"/>
      <c r="LI12" s="493">
        <f t="shared" ref="LI12" si="1417">((LI35+LJ35)-(LI34+LJ34))/2</f>
        <v>0</v>
      </c>
      <c r="LJ12" s="494"/>
      <c r="LK12" s="493">
        <f t="shared" ref="LK12" si="1418">((LK35+LL35)-(LK34+LL34))/2</f>
        <v>0</v>
      </c>
      <c r="LL12" s="494"/>
      <c r="LM12" s="493">
        <f t="shared" si="49"/>
        <v>0</v>
      </c>
      <c r="LN12" s="494"/>
      <c r="LO12" s="493">
        <f t="shared" ref="LO12" si="1419">((LO35+LP35)-(LO34+LP34))/2</f>
        <v>0</v>
      </c>
      <c r="LP12" s="494"/>
      <c r="LQ12" s="493">
        <f t="shared" ref="LQ12" si="1420">((LQ35+LR35)-(LQ34+LR34))/2</f>
        <v>0</v>
      </c>
      <c r="LR12" s="494"/>
      <c r="LS12" s="493">
        <f t="shared" si="52"/>
        <v>0</v>
      </c>
      <c r="LT12" s="494"/>
      <c r="LU12" s="493">
        <f t="shared" ref="LU12" si="1421">((LU35+LV35)-(LU34+LV34))/2</f>
        <v>0</v>
      </c>
      <c r="LV12" s="494"/>
      <c r="LW12" s="493">
        <f t="shared" ref="LW12" si="1422">((LW35+LX35)-(LW34+LX34))/2</f>
        <v>0</v>
      </c>
      <c r="LX12" s="494"/>
      <c r="LY12" s="493">
        <f t="shared" si="55"/>
        <v>0</v>
      </c>
      <c r="LZ12" s="494"/>
      <c r="MA12" s="493">
        <f t="shared" ref="MA12" si="1423">((MA35+MB35)-(MA34+MB34))/2</f>
        <v>0</v>
      </c>
      <c r="MB12" s="494"/>
      <c r="MC12" s="493">
        <f t="shared" ref="MC12" si="1424">((MC35+MD35)-(MC34+MD34))/2</f>
        <v>0</v>
      </c>
      <c r="MD12" s="494"/>
      <c r="ME12" s="493">
        <f t="shared" si="58"/>
        <v>0</v>
      </c>
      <c r="MF12" s="494"/>
      <c r="MG12" s="493">
        <f t="shared" ref="MG12" si="1425">((MG35+MH35)-(MG34+MH34))/2</f>
        <v>0</v>
      </c>
      <c r="MH12" s="494"/>
      <c r="MI12" s="493">
        <f t="shared" ref="MI12" si="1426">((MI35+MJ35)-(MI34+MJ34))/2</f>
        <v>0</v>
      </c>
      <c r="MJ12" s="494"/>
      <c r="MK12" s="493">
        <f t="shared" si="61"/>
        <v>0</v>
      </c>
      <c r="ML12" s="494"/>
      <c r="MM12" s="493">
        <f t="shared" ref="MM12" si="1427">((MM35+MN35)-(MM34+MN34))/2</f>
        <v>0</v>
      </c>
      <c r="MN12" s="494"/>
      <c r="MO12" s="493">
        <f t="shared" ref="MO12" si="1428">((MO35+MP35)-(MO34+MP34))/2</f>
        <v>0</v>
      </c>
      <c r="MP12" s="494"/>
      <c r="MQ12" s="493">
        <f t="shared" si="64"/>
        <v>0</v>
      </c>
      <c r="MR12" s="494"/>
      <c r="MS12" s="493">
        <f t="shared" ref="MS12" si="1429">((MS35+MT35)-(MS34+MT34))/2</f>
        <v>0</v>
      </c>
      <c r="MT12" s="494"/>
      <c r="MU12" s="493">
        <f t="shared" ref="MU12" si="1430">((MU35+MV35)-(MU34+MV34))/2</f>
        <v>0</v>
      </c>
      <c r="MV12" s="494"/>
      <c r="MW12" s="493">
        <f t="shared" si="67"/>
        <v>0</v>
      </c>
      <c r="MX12" s="494"/>
      <c r="MY12" s="493">
        <f t="shared" ref="MY12" si="1431">((MY35+MZ35)-(MY34+MZ34))/2</f>
        <v>0</v>
      </c>
      <c r="MZ12" s="494"/>
      <c r="NA12" s="493">
        <f t="shared" ref="NA12" si="1432">((NA35+NB35)-(NA34+NB34))/2</f>
        <v>0</v>
      </c>
      <c r="NB12" s="494"/>
      <c r="NC12" s="493">
        <f t="shared" si="70"/>
        <v>0</v>
      </c>
      <c r="ND12" s="494"/>
      <c r="NE12" s="493">
        <f t="shared" ref="NE12" si="1433">((NE35+NF35)-(NE34+NF34))/2</f>
        <v>0</v>
      </c>
      <c r="NF12" s="494"/>
      <c r="NG12" s="493">
        <f t="shared" ref="NG12" si="1434">((NG35+NH35)-(NG34+NH34))/2</f>
        <v>0</v>
      </c>
      <c r="NH12" s="494"/>
      <c r="NI12" s="493">
        <f t="shared" si="73"/>
        <v>0</v>
      </c>
      <c r="NJ12" s="494"/>
      <c r="NK12" s="493">
        <f t="shared" ref="NK12" si="1435">((NK35+NL35)-(NK34+NL34))/2</f>
        <v>0</v>
      </c>
      <c r="NL12" s="494"/>
      <c r="NM12" s="493">
        <f t="shared" ref="NM12" si="1436">((NM35+NN35)-(NM34+NN34))/2</f>
        <v>0</v>
      </c>
      <c r="NN12" s="494"/>
      <c r="NO12" s="493">
        <f t="shared" si="76"/>
        <v>0</v>
      </c>
      <c r="NP12" s="494"/>
      <c r="NQ12" s="493">
        <f t="shared" ref="NQ12" si="1437">((NQ35+NR35)-(NQ34+NR34))/2</f>
        <v>0</v>
      </c>
      <c r="NR12" s="494"/>
      <c r="NS12" s="493">
        <f t="shared" ref="NS12" si="1438">((NS35+NT35)-(NS34+NT34))/2</f>
        <v>0</v>
      </c>
      <c r="NT12" s="494"/>
      <c r="NU12" s="493">
        <f t="shared" si="79"/>
        <v>0</v>
      </c>
      <c r="NV12" s="494"/>
      <c r="NW12" s="493">
        <f t="shared" ref="NW12" si="1439">((NW35+NX35)-(NW34+NX34))/2</f>
        <v>0</v>
      </c>
      <c r="NX12" s="494"/>
      <c r="NY12" s="493">
        <f t="shared" ref="NY12" si="1440">((NY35+NZ35)-(NY34+NZ34))/2</f>
        <v>0</v>
      </c>
      <c r="NZ12" s="494"/>
      <c r="OA12" s="493">
        <f t="shared" si="82"/>
        <v>0</v>
      </c>
      <c r="OB12" s="494"/>
      <c r="OC12" s="493">
        <f t="shared" ref="OC12" si="1441">((OC35+OD35)-(OC34+OD34))/2</f>
        <v>0</v>
      </c>
      <c r="OD12" s="494"/>
      <c r="OE12" s="493">
        <f t="shared" ref="OE12" si="1442">((OE35+OF35)-(OE34+OF34))/2</f>
        <v>0</v>
      </c>
      <c r="OF12" s="494"/>
      <c r="OG12" s="493">
        <f t="shared" si="85"/>
        <v>0</v>
      </c>
      <c r="OH12" s="494"/>
      <c r="OI12" s="493">
        <f t="shared" ref="OI12" si="1443">((OI35+OJ35)-(OI34+OJ34))/2</f>
        <v>0</v>
      </c>
      <c r="OJ12" s="494"/>
      <c r="OK12" s="493">
        <f t="shared" ref="OK12" si="1444">((OK35+OL35)-(OK34+OL34))/2</f>
        <v>0</v>
      </c>
      <c r="OL12" s="494"/>
      <c r="OM12" s="493">
        <f t="shared" si="88"/>
        <v>0</v>
      </c>
      <c r="ON12" s="494"/>
      <c r="OO12" s="493">
        <f t="shared" ref="OO12" si="1445">((OO35+OP35)-(OO34+OP34))/2</f>
        <v>0</v>
      </c>
      <c r="OP12" s="494"/>
      <c r="OQ12" s="493">
        <f t="shared" ref="OQ12" si="1446">((OQ35+OR35)-(OQ34+OR34))/2</f>
        <v>0</v>
      </c>
      <c r="OR12" s="494"/>
      <c r="OS12" s="493">
        <f t="shared" si="91"/>
        <v>0</v>
      </c>
      <c r="OT12" s="494"/>
      <c r="OU12" s="493">
        <f t="shared" ref="OU12" si="1447">((OU35+OV35)-(OU34+OV34))/2</f>
        <v>0</v>
      </c>
      <c r="OV12" s="494"/>
      <c r="OW12" s="493">
        <f t="shared" ref="OW12" si="1448">((OW35+OX35)-(OW34+OX34))/2</f>
        <v>0</v>
      </c>
      <c r="OX12" s="494"/>
      <c r="OY12" s="493">
        <f t="shared" si="94"/>
        <v>0</v>
      </c>
      <c r="OZ12" s="494"/>
      <c r="PA12" s="493">
        <f t="shared" ref="PA12" si="1449">((PA35+PB35)-(PA34+PB34))/2</f>
        <v>0</v>
      </c>
      <c r="PB12" s="494"/>
      <c r="PC12" s="493">
        <f t="shared" ref="PC12" si="1450">((PC35+PD35)-(PC34+PD34))/2</f>
        <v>0</v>
      </c>
      <c r="PD12" s="494"/>
      <c r="PE12" s="493">
        <f t="shared" si="97"/>
        <v>0</v>
      </c>
      <c r="PF12" s="494"/>
      <c r="PG12" s="493">
        <f t="shared" ref="PG12" si="1451">((PG35+PH35)-(PG34+PH34))/2</f>
        <v>0</v>
      </c>
      <c r="PH12" s="494"/>
      <c r="PI12" s="493">
        <f t="shared" ref="PI12" si="1452">((PI35+PJ35)-(PI34+PJ34))/2</f>
        <v>0</v>
      </c>
      <c r="PJ12" s="494"/>
      <c r="PK12" s="493">
        <f t="shared" si="100"/>
        <v>0</v>
      </c>
      <c r="PL12" s="494"/>
      <c r="PM12" s="493">
        <f t="shared" ref="PM12" si="1453">((PM35+PN35)-(PM34+PN34))/2</f>
        <v>0</v>
      </c>
      <c r="PN12" s="494"/>
      <c r="PO12" s="493">
        <f t="shared" ref="PO12" si="1454">((PO35+PP35)-(PO34+PP34))/2</f>
        <v>0</v>
      </c>
      <c r="PP12" s="494"/>
      <c r="PQ12" s="493">
        <f t="shared" si="103"/>
        <v>0</v>
      </c>
      <c r="PR12" s="494"/>
      <c r="PS12" s="493">
        <f t="shared" ref="PS12" si="1455">((PS35+PT35)-(PS34+PT34))/2</f>
        <v>0</v>
      </c>
      <c r="PT12" s="494"/>
      <c r="PU12" s="493">
        <f t="shared" ref="PU12" si="1456">((PU35+PV35)-(PU34+PV34))/2</f>
        <v>0</v>
      </c>
      <c r="PV12" s="494"/>
      <c r="PW12" s="493">
        <f t="shared" si="106"/>
        <v>0</v>
      </c>
      <c r="PX12" s="494"/>
      <c r="PY12" s="493">
        <f t="shared" ref="PY12" si="1457">((PY35+PZ35)-(PY34+PZ34))/2</f>
        <v>0</v>
      </c>
      <c r="PZ12" s="494"/>
      <c r="QA12" s="493">
        <f t="shared" ref="QA12" si="1458">((QA35+QB35)-(QA34+QB34))/2</f>
        <v>0</v>
      </c>
      <c r="QB12" s="494"/>
      <c r="QC12" s="493">
        <f t="shared" si="109"/>
        <v>0</v>
      </c>
      <c r="QD12" s="494"/>
      <c r="QE12" s="493">
        <f t="shared" ref="QE12" si="1459">((QE35+QF35)-(QE34+QF34))/2</f>
        <v>0</v>
      </c>
      <c r="QF12" s="494"/>
      <c r="QG12" s="493">
        <f t="shared" ref="QG12" si="1460">((QG35+QH35)-(QG34+QH34))/2</f>
        <v>0</v>
      </c>
      <c r="QH12" s="494"/>
      <c r="QI12" s="493">
        <f t="shared" si="112"/>
        <v>0</v>
      </c>
      <c r="QJ12" s="494"/>
      <c r="QK12" s="493">
        <f t="shared" ref="QK12" si="1461">((QK35+QL35)-(QK34+QL34))/2</f>
        <v>0</v>
      </c>
      <c r="QL12" s="494"/>
      <c r="QM12" s="493">
        <f t="shared" ref="QM12" si="1462">((QM35+QN35)-(QM34+QN34))/2</f>
        <v>0</v>
      </c>
      <c r="QN12" s="494"/>
      <c r="QO12" s="493">
        <f t="shared" si="115"/>
        <v>0</v>
      </c>
      <c r="QP12" s="494"/>
      <c r="QQ12" s="493">
        <f t="shared" ref="QQ12" si="1463">((QQ35+QR35)-(QQ34+QR34))/2</f>
        <v>0</v>
      </c>
      <c r="QR12" s="494"/>
      <c r="QS12" s="493">
        <f t="shared" ref="QS12" si="1464">((QS35+QT35)-(QS34+QT34))/2</f>
        <v>0</v>
      </c>
      <c r="QT12" s="494"/>
      <c r="QU12" s="493">
        <f t="shared" si="118"/>
        <v>0</v>
      </c>
      <c r="QV12" s="494"/>
      <c r="QW12" s="493">
        <f t="shared" ref="QW12" si="1465">((QW35+QX35)-(QW34+QX34))/2</f>
        <v>0</v>
      </c>
      <c r="QX12" s="494"/>
      <c r="QY12" s="493">
        <f t="shared" ref="QY12" si="1466">((QY35+QZ35)-(QY34+QZ34))/2</f>
        <v>0</v>
      </c>
      <c r="QZ12" s="494"/>
      <c r="RA12" s="493">
        <f t="shared" si="121"/>
        <v>0</v>
      </c>
      <c r="RB12" s="494"/>
      <c r="RC12" s="493">
        <f t="shared" si="1027"/>
        <v>0</v>
      </c>
      <c r="RD12" s="494"/>
      <c r="RE12" s="493">
        <f t="shared" ref="RE12" si="1467">((RE35+RF35)-(RE34+RF34))/2</f>
        <v>0</v>
      </c>
      <c r="RF12" s="494"/>
      <c r="RG12" s="493">
        <f t="shared" si="124"/>
        <v>0</v>
      </c>
      <c r="RH12" s="494"/>
      <c r="RI12" s="493">
        <f t="shared" si="1180"/>
        <v>0</v>
      </c>
      <c r="RJ12" s="494"/>
      <c r="RK12" s="493">
        <f t="shared" ref="RK12" si="1468">((RK35+RL35)-(RK34+RL34))/2</f>
        <v>0</v>
      </c>
      <c r="RL12" s="494"/>
      <c r="RM12" s="493">
        <f t="shared" si="126"/>
        <v>0</v>
      </c>
      <c r="RN12" s="494"/>
      <c r="RO12" s="493">
        <f t="shared" ref="RO12" si="1469">((RO35+RP35)-(RO34+RP34))/2</f>
        <v>0</v>
      </c>
      <c r="RP12" s="494"/>
      <c r="RQ12" s="493">
        <f t="shared" ref="RQ12" si="1470">((RQ35+RR35)-(RQ34+RR34))/2</f>
        <v>0</v>
      </c>
      <c r="RR12" s="494"/>
      <c r="RS12" s="493">
        <f t="shared" si="129"/>
        <v>0</v>
      </c>
      <c r="RT12" s="494"/>
      <c r="RU12" s="493">
        <f t="shared" ref="RU12" si="1471">((RU35+RV35)-(RU34+RV34))/2</f>
        <v>0</v>
      </c>
      <c r="RV12" s="494"/>
      <c r="RW12" s="493">
        <f t="shared" ref="RW12" si="1472">((RW35+RX35)-(RW34+RX34))/2</f>
        <v>0</v>
      </c>
      <c r="RX12" s="494"/>
      <c r="RY12" s="493">
        <f t="shared" si="132"/>
        <v>0</v>
      </c>
      <c r="RZ12" s="494"/>
      <c r="SA12" s="493">
        <f t="shared" ref="SA12" si="1473">((SA35+SB35)-(SA34+SB34))/2</f>
        <v>0</v>
      </c>
      <c r="SB12" s="494"/>
      <c r="SC12" s="493">
        <f t="shared" ref="SC12" si="1474">((SC35+SD35)-(SC34+SD34))/2</f>
        <v>0</v>
      </c>
      <c r="SD12" s="494"/>
      <c r="SE12" s="493">
        <f t="shared" si="135"/>
        <v>0</v>
      </c>
      <c r="SF12" s="494"/>
      <c r="SG12" s="493">
        <f t="shared" ref="SG12" si="1475">((SG35+SH35)-(SG34+SH34))/2</f>
        <v>0</v>
      </c>
      <c r="SH12" s="494"/>
      <c r="SI12" s="493">
        <f t="shared" ref="SI12" si="1476">((SI35+SJ35)-(SI34+SJ34))/2</f>
        <v>0</v>
      </c>
      <c r="SJ12" s="494"/>
      <c r="SK12" s="493">
        <f t="shared" si="138"/>
        <v>0</v>
      </c>
      <c r="SL12" s="494"/>
      <c r="SM12" s="493">
        <f t="shared" ref="SM12" si="1477">((SM35+SN35)-(SM34+SN34))/2</f>
        <v>0</v>
      </c>
      <c r="SN12" s="494"/>
      <c r="SO12" s="493">
        <f t="shared" ref="SO12" si="1478">((SO35+SP35)-(SO34+SP34))/2</f>
        <v>0</v>
      </c>
      <c r="SP12" s="494"/>
      <c r="SQ12" s="493">
        <f t="shared" ref="SQ12" si="1479">((SQ35+SR35)-(SQ34+SR34))/2</f>
        <v>0</v>
      </c>
      <c r="SR12" s="494"/>
      <c r="SS12" s="493">
        <f t="shared" ref="SS12" si="1480">((SS35+ST35)-(SS34+ST34))/2</f>
        <v>0</v>
      </c>
      <c r="ST12" s="494"/>
      <c r="SU12" s="493">
        <f t="shared" ref="SU12:SU15" si="1481">((SU35+SV36)-(SU34+SV35))/2</f>
        <v>0</v>
      </c>
      <c r="SV12" s="494"/>
      <c r="SW12" s="493">
        <f t="shared" si="144"/>
        <v>0</v>
      </c>
      <c r="SX12" s="494"/>
      <c r="SY12" s="493">
        <f t="shared" ref="SY12" si="1482">((SY35+SZ35)-(SY34+SZ34))/2</f>
        <v>0</v>
      </c>
      <c r="SZ12" s="494"/>
      <c r="TA12" s="493">
        <f t="shared" ref="TA12" si="1483">((TA35+TB35)-(TA34+TB34))/2</f>
        <v>0</v>
      </c>
      <c r="TB12" s="494"/>
      <c r="TC12" s="493">
        <f t="shared" si="147"/>
        <v>0</v>
      </c>
      <c r="TD12" s="494"/>
      <c r="TE12" s="493">
        <f t="shared" ref="TE12" si="1484">((TE35+TF35)-(TE34+TF34))/2</f>
        <v>0</v>
      </c>
      <c r="TF12" s="494"/>
      <c r="TG12" s="493">
        <f t="shared" ref="TG12" si="1485">((TG35+TH35)-(TG34+TH34))/2</f>
        <v>0</v>
      </c>
      <c r="TH12" s="494"/>
      <c r="TI12" s="493">
        <f t="shared" si="150"/>
        <v>0</v>
      </c>
      <c r="TJ12" s="494"/>
      <c r="TK12" s="493">
        <f t="shared" ref="TK12" si="1486">((TK35+TL35)-(TK34+TL34))/2</f>
        <v>0</v>
      </c>
      <c r="TL12" s="494"/>
      <c r="TM12" s="493">
        <f t="shared" ref="TM12" si="1487">((TM35+TN35)-(TM34+TN34))/2</f>
        <v>0</v>
      </c>
      <c r="TN12" s="494"/>
      <c r="TO12" s="493">
        <f t="shared" si="153"/>
        <v>0</v>
      </c>
      <c r="TP12" s="494"/>
      <c r="TQ12" s="493">
        <f t="shared" ref="TQ12" si="1488">((TQ35+TR35)-(TQ34+TR34))/2</f>
        <v>0</v>
      </c>
      <c r="TR12" s="494"/>
      <c r="TS12" s="493">
        <f t="shared" ref="TS12" si="1489">((TS35+TT35)-(TS34+TT34))/2</f>
        <v>0</v>
      </c>
      <c r="TT12" s="494"/>
      <c r="TU12" s="493">
        <f t="shared" si="156"/>
        <v>0</v>
      </c>
      <c r="TV12" s="494"/>
      <c r="TW12" s="493">
        <f t="shared" ref="TW12" si="1490">((TW35+TX35)-(TW34+TX34))/2</f>
        <v>0</v>
      </c>
      <c r="TX12" s="494"/>
      <c r="TY12" s="493">
        <f t="shared" ref="TY12" si="1491">((TY35+TZ35)-(TY34+TZ34))/2</f>
        <v>0</v>
      </c>
      <c r="TZ12" s="494"/>
      <c r="UA12" s="493">
        <f t="shared" si="159"/>
        <v>0</v>
      </c>
      <c r="UB12" s="494"/>
      <c r="UC12" s="493">
        <f t="shared" si="1052"/>
        <v>0</v>
      </c>
      <c r="UD12" s="494"/>
      <c r="UE12" s="493">
        <f t="shared" ref="UE12" si="1492">((UE35+UF35)-(UE34+UF34))/2</f>
        <v>0</v>
      </c>
      <c r="UF12" s="494"/>
      <c r="UG12" s="493">
        <f t="shared" si="162"/>
        <v>0</v>
      </c>
      <c r="UH12" s="494"/>
      <c r="UI12" s="493">
        <f t="shared" ref="UI12" si="1493">((UI35+UJ35)-(UI34+UJ34))/2</f>
        <v>0</v>
      </c>
      <c r="UJ12" s="494"/>
      <c r="UK12" s="493">
        <f t="shared" ref="UK12" si="1494">((UK35+UL35)-(UK34+UL34))/2</f>
        <v>0</v>
      </c>
      <c r="UL12" s="494"/>
      <c r="UM12" s="493">
        <f t="shared" si="165"/>
        <v>0</v>
      </c>
      <c r="UN12" s="494"/>
      <c r="UO12" s="493">
        <f t="shared" ref="UO12" si="1495">((UO35+UP35)-(UO34+UP34))/2</f>
        <v>0</v>
      </c>
      <c r="UP12" s="494"/>
      <c r="UQ12" s="493">
        <f t="shared" ref="UQ12" si="1496">((UQ35+UR35)-(UQ34+UR34))/2</f>
        <v>0</v>
      </c>
      <c r="UR12" s="494"/>
      <c r="US12" s="493">
        <f t="shared" si="168"/>
        <v>0</v>
      </c>
      <c r="UT12" s="494"/>
      <c r="UU12" s="493">
        <f t="shared" ref="UU12" si="1497">((UU35+UV35)-(UU34+UV34))/2</f>
        <v>0</v>
      </c>
      <c r="UV12" s="494"/>
      <c r="UW12" s="493">
        <f t="shared" ref="UW12" si="1498">((UW35+UX35)-(UW34+UX34))/2</f>
        <v>0</v>
      </c>
      <c r="UX12" s="494"/>
      <c r="UY12" s="493">
        <f t="shared" si="171"/>
        <v>0</v>
      </c>
      <c r="UZ12" s="494"/>
      <c r="VA12" s="493">
        <f t="shared" ref="VA12" si="1499">((VA35+VB35)-(VA34+VB34))/2</f>
        <v>0</v>
      </c>
      <c r="VB12" s="494"/>
      <c r="VC12" s="493">
        <f t="shared" ref="VC12" si="1500">((VC35+VD35)-(VC34+VD34))/2</f>
        <v>0</v>
      </c>
      <c r="VD12" s="494"/>
      <c r="VE12" s="493">
        <f t="shared" si="464"/>
        <v>0</v>
      </c>
      <c r="VF12" s="494"/>
      <c r="VG12" s="493">
        <f t="shared" ref="VG12" si="1501">((VG35+VH35)-(VG34+VH34))/2</f>
        <v>0</v>
      </c>
      <c r="VH12" s="494"/>
      <c r="VI12" s="493">
        <f t="shared" ref="VI12" si="1502">((VI35+VJ35)-(VI34+VJ34))/2</f>
        <v>0</v>
      </c>
      <c r="VJ12" s="494"/>
      <c r="VK12" s="493">
        <f t="shared" si="467"/>
        <v>0</v>
      </c>
      <c r="VL12" s="494"/>
      <c r="VM12" s="493">
        <f t="shared" ref="VM12" si="1503">((VM35+VN35)-(VM34+VN34))/2</f>
        <v>0</v>
      </c>
      <c r="VN12" s="494"/>
      <c r="VO12" s="493">
        <f t="shared" ref="VO12" si="1504">((VO35+VP35)-(VO34+VP34))/2</f>
        <v>0</v>
      </c>
      <c r="VP12" s="494"/>
      <c r="VQ12" s="493">
        <f t="shared" si="178"/>
        <v>0</v>
      </c>
      <c r="VR12" s="494"/>
      <c r="VS12" s="493">
        <f>((VS35+VT34)-(VS34+VT33))/2</f>
        <v>0</v>
      </c>
      <c r="VT12" s="494"/>
      <c r="VU12" s="493">
        <f>((VU35+VV34)-(VU34+VV33))/2</f>
        <v>0</v>
      </c>
      <c r="VV12" s="494"/>
      <c r="VW12" s="493">
        <f t="shared" si="181"/>
        <v>0</v>
      </c>
      <c r="VX12" s="494"/>
      <c r="VY12" s="493">
        <f t="shared" ref="VY12" si="1505">((VY35+VZ35)-(VY34+VZ34))/2</f>
        <v>0</v>
      </c>
      <c r="VZ12" s="494"/>
      <c r="WA12" s="493">
        <f t="shared" si="1067"/>
        <v>0</v>
      </c>
      <c r="WB12" s="494"/>
      <c r="WC12" s="493">
        <f t="shared" si="184"/>
        <v>0</v>
      </c>
      <c r="WD12" s="494"/>
      <c r="WE12" s="493">
        <f t="shared" ref="WE12" si="1506">((WE35+WF35)-(WE34+WF34))/2</f>
        <v>0</v>
      </c>
      <c r="WF12" s="494"/>
      <c r="WG12" s="493">
        <f t="shared" ref="WG12" si="1507">((WG35+WH35)-(WG34+WH34))/2</f>
        <v>0</v>
      </c>
      <c r="WH12" s="494"/>
      <c r="WI12" s="493">
        <f t="shared" si="187"/>
        <v>0</v>
      </c>
      <c r="WJ12" s="494"/>
      <c r="WK12" s="493">
        <f t="shared" ref="WK12" si="1508">((WK35+WL35)-(WK34+WL34))/2</f>
        <v>0</v>
      </c>
      <c r="WL12" s="494"/>
      <c r="WM12" s="493">
        <f t="shared" ref="WM12" si="1509">((WM35+WN35)-(WM34+WN34))/2</f>
        <v>0</v>
      </c>
      <c r="WN12" s="494"/>
      <c r="WO12" s="493">
        <f t="shared" si="190"/>
        <v>0</v>
      </c>
      <c r="WP12" s="494"/>
      <c r="WQ12" s="493">
        <f t="shared" si="477"/>
        <v>0</v>
      </c>
      <c r="WR12" s="494"/>
      <c r="WS12" s="493">
        <f t="shared" ref="WS12" si="1510">((WS35+WT35)-(WS34+WT34))/2</f>
        <v>0</v>
      </c>
      <c r="WT12" s="494"/>
      <c r="WU12" s="493">
        <f t="shared" si="193"/>
        <v>0</v>
      </c>
      <c r="WV12" s="494"/>
      <c r="WW12" s="493">
        <f t="shared" ref="WW12" si="1511">((WW35+WX35)-(WW34+WX34))/2</f>
        <v>0</v>
      </c>
      <c r="WX12" s="494"/>
      <c r="WY12" s="493">
        <f t="shared" ref="WY12" si="1512">((WY35+WZ35)-(WY34+WZ34))/2</f>
        <v>0</v>
      </c>
      <c r="WZ12" s="494"/>
      <c r="XA12" s="493">
        <f t="shared" si="196"/>
        <v>0</v>
      </c>
      <c r="XB12" s="494"/>
      <c r="XC12" s="493">
        <f t="shared" ref="XC12" si="1513">((XC35+XD35)-(XC34+XD34))/2</f>
        <v>0</v>
      </c>
      <c r="XD12" s="494"/>
      <c r="XE12" s="493">
        <f t="shared" ref="XE12" si="1514">((XE35+XF35)-(XE34+XF34))/2</f>
        <v>0</v>
      </c>
      <c r="XF12" s="494"/>
      <c r="XG12" s="493">
        <f t="shared" si="199"/>
        <v>0</v>
      </c>
      <c r="XH12" s="494"/>
      <c r="XI12" s="493">
        <f t="shared" ref="XI12" si="1515">((XI35+XJ35)-(XI34+XJ34))/2</f>
        <v>0</v>
      </c>
      <c r="XJ12" s="494"/>
      <c r="XK12" s="493">
        <f t="shared" ref="XK12" si="1516">((XK35+XL35)-(XK34+XL34))/2</f>
        <v>0</v>
      </c>
      <c r="XL12" s="494"/>
      <c r="XM12" s="493">
        <f t="shared" si="202"/>
        <v>0</v>
      </c>
      <c r="XN12" s="494"/>
      <c r="XO12" s="493">
        <f t="shared" si="933"/>
        <v>0</v>
      </c>
      <c r="XP12" s="494"/>
      <c r="XQ12" s="493">
        <f t="shared" ref="XQ12" si="1517">((XQ35+XR35)-(XQ34+XR34))/2</f>
        <v>0</v>
      </c>
      <c r="XR12" s="494"/>
      <c r="XS12" s="493">
        <f t="shared" si="205"/>
        <v>0</v>
      </c>
      <c r="XT12" s="494"/>
      <c r="XU12" s="493">
        <f t="shared" ref="XU12" si="1518">((XU35+XV35)-(XU34+XV34))/2</f>
        <v>0</v>
      </c>
      <c r="XV12" s="494"/>
      <c r="XW12" s="493">
        <f t="shared" ref="XW12" si="1519">((XW35+XX35)-(XW34+XX34))/2</f>
        <v>0</v>
      </c>
      <c r="XX12" s="494"/>
      <c r="XY12" s="493">
        <f t="shared" si="208"/>
        <v>0</v>
      </c>
      <c r="XZ12" s="494"/>
      <c r="YA12" s="493">
        <f t="shared" si="937"/>
        <v>0</v>
      </c>
      <c r="YB12" s="494"/>
      <c r="YC12" s="493">
        <f t="shared" ref="YC12" si="1520">((YC35+YD35)-(YC34+YD34))/2</f>
        <v>0</v>
      </c>
      <c r="YD12" s="494"/>
      <c r="YE12" s="493">
        <f t="shared" si="211"/>
        <v>0</v>
      </c>
      <c r="YF12" s="494"/>
      <c r="YG12" s="493">
        <f t="shared" ref="YG12" si="1521">((YG35+YH35)-(YG34+YH34))/2</f>
        <v>0</v>
      </c>
      <c r="YH12" s="494"/>
      <c r="YI12" s="493">
        <f t="shared" ref="YI12" si="1522">((YI35+YJ35)-(YI34+YJ34))/2</f>
        <v>0</v>
      </c>
      <c r="YJ12" s="494"/>
      <c r="YK12" s="493">
        <f t="shared" si="214"/>
        <v>0</v>
      </c>
      <c r="YL12" s="494"/>
      <c r="YM12" s="493">
        <f t="shared" ref="YM12" si="1523">((YM35+YN35)-(YM34+YN34))/2</f>
        <v>0</v>
      </c>
      <c r="YN12" s="494"/>
      <c r="YO12" s="493">
        <f t="shared" si="216"/>
        <v>0</v>
      </c>
      <c r="YP12" s="494"/>
      <c r="YQ12" s="493">
        <f t="shared" si="217"/>
        <v>0</v>
      </c>
      <c r="YR12" s="494"/>
      <c r="YS12" s="493">
        <f t="shared" ref="YS12" si="1524">((YS35+YT35)-(YS34+YT34))/2</f>
        <v>0</v>
      </c>
      <c r="YT12" s="494"/>
      <c r="YU12" s="493">
        <f t="shared" ref="YU12" si="1525">((YU35+YV35)-(YU34+YV34))/2</f>
        <v>0</v>
      </c>
      <c r="YV12" s="494"/>
      <c r="YW12" s="493">
        <f t="shared" si="220"/>
        <v>0</v>
      </c>
      <c r="YX12" s="494"/>
      <c r="YY12" s="493">
        <f t="shared" si="496"/>
        <v>0</v>
      </c>
      <c r="YZ12" s="494"/>
      <c r="ZA12" s="493">
        <f t="shared" ref="ZA12" si="1526">((ZA35+ZB35)-(ZA34+ZB34))/2</f>
        <v>0</v>
      </c>
      <c r="ZB12" s="494"/>
      <c r="ZC12" s="493">
        <f t="shared" si="1239"/>
        <v>0</v>
      </c>
      <c r="ZD12" s="494"/>
      <c r="ZE12" s="493">
        <f t="shared" ref="ZE12" si="1527">((ZE35+ZF35)-(ZE34+ZF34))/2</f>
        <v>0</v>
      </c>
      <c r="ZF12" s="494"/>
      <c r="ZG12" s="493">
        <f t="shared" ref="ZG12" si="1528">((ZG35+ZH35)-(ZG34+ZH34))/2</f>
        <v>0</v>
      </c>
      <c r="ZH12" s="494"/>
      <c r="ZI12" s="493">
        <f t="shared" si="799"/>
        <v>0</v>
      </c>
      <c r="ZJ12" s="494"/>
      <c r="ZK12" s="493">
        <f t="shared" ref="ZK12" si="1529">((ZK35+ZL35)-(ZK34+ZL34))/2</f>
        <v>0</v>
      </c>
      <c r="ZL12" s="494"/>
      <c r="ZM12" s="493">
        <f t="shared" ref="ZM12" si="1530">((ZM35+ZN35)-(ZM34+ZN34))/2</f>
        <v>0</v>
      </c>
      <c r="ZN12" s="494"/>
      <c r="ZO12" s="493">
        <f t="shared" si="502"/>
        <v>0</v>
      </c>
      <c r="ZP12" s="494"/>
      <c r="ZQ12" s="493">
        <f t="shared" si="503"/>
        <v>0</v>
      </c>
      <c r="ZR12" s="494"/>
      <c r="ZS12" s="493">
        <f t="shared" ref="ZS12" si="1531">((ZS35+ZT35)-(ZS34+ZT34))/2</f>
        <v>0</v>
      </c>
      <c r="ZT12" s="494"/>
      <c r="ZU12" s="493">
        <f t="shared" si="230"/>
        <v>0</v>
      </c>
      <c r="ZV12" s="494"/>
      <c r="ZW12" s="493">
        <f t="shared" ref="ZW12" si="1532">((ZW35+ZX35)-(ZW34+ZX34))/2</f>
        <v>0</v>
      </c>
      <c r="ZX12" s="494"/>
      <c r="ZY12" s="493">
        <f t="shared" ref="ZY12" si="1533">((ZY35+ZZ35)-(ZY34+ZZ34))/2</f>
        <v>0</v>
      </c>
      <c r="ZZ12" s="494"/>
      <c r="AAA12" s="493">
        <f t="shared" si="233"/>
        <v>0</v>
      </c>
      <c r="AAB12" s="494"/>
      <c r="AAC12" s="493">
        <f>((AAC35+AAD36)-(AAC34+AAD35))/2</f>
        <v>0</v>
      </c>
      <c r="AAD12" s="494"/>
      <c r="AAE12" s="493">
        <f t="shared" ref="AAE12" si="1534">((AAE35+AAF35)-(AAE34+AAF34))/2</f>
        <v>0</v>
      </c>
      <c r="AAF12" s="494"/>
      <c r="AAG12" s="493">
        <f t="shared" si="236"/>
        <v>0</v>
      </c>
      <c r="AAH12" s="494"/>
      <c r="AAI12" s="493">
        <f t="shared" ref="AAI12" si="1535">((AAI35+AAJ35)-(AAI34+AAJ34))/2</f>
        <v>0</v>
      </c>
      <c r="AAJ12" s="494"/>
      <c r="AAK12" s="493">
        <f t="shared" ref="AAK12" si="1536">((AAK35+AAL35)-(AAK34+AAL34))/2</f>
        <v>0</v>
      </c>
      <c r="AAL12" s="494"/>
      <c r="AAM12" s="493">
        <f t="shared" si="239"/>
        <v>0</v>
      </c>
      <c r="AAN12" s="494"/>
      <c r="AAO12" s="493">
        <f t="shared" si="1250"/>
        <v>0</v>
      </c>
      <c r="AAP12" s="494"/>
      <c r="AAQ12" s="493">
        <f t="shared" si="1100"/>
        <v>0</v>
      </c>
      <c r="AAR12" s="494"/>
      <c r="AAS12" s="493">
        <f t="shared" si="241"/>
        <v>0</v>
      </c>
      <c r="AAT12" s="494"/>
      <c r="AAU12" s="493">
        <f t="shared" ref="AAU12" si="1537">((AAU35+AAV35)-(AAU34+AAV34))/2</f>
        <v>0</v>
      </c>
      <c r="AAV12" s="494"/>
      <c r="AAW12" s="493">
        <f t="shared" ref="AAW12" si="1538">((AAW35+AAX35)-(AAW34+AAX34))/2</f>
        <v>0</v>
      </c>
      <c r="AAX12" s="494"/>
      <c r="AAY12" s="493">
        <f t="shared" si="513"/>
        <v>0</v>
      </c>
      <c r="AAZ12" s="494"/>
      <c r="ABA12" s="493">
        <f t="shared" ref="ABA12" si="1539">((ABA35+ABB35)-(ABA34+ABB34))/2</f>
        <v>0</v>
      </c>
      <c r="ABB12" s="494"/>
      <c r="ABC12" s="493">
        <f t="shared" ref="ABC12" si="1540">((ABC35+ABD35)-(ABC34+ABD34))/2</f>
        <v>0</v>
      </c>
      <c r="ABD12" s="494"/>
      <c r="ABE12" s="379">
        <f t="shared" si="516"/>
        <v>0</v>
      </c>
      <c r="ABF12" s="377"/>
      <c r="ABG12" s="481"/>
      <c r="ABH12" s="481"/>
      <c r="ABI12" s="481"/>
      <c r="ABJ12" s="481"/>
      <c r="ABK12" s="481"/>
      <c r="ABL12" s="481"/>
      <c r="ABM12" s="481"/>
      <c r="ABN12" s="481"/>
      <c r="ABO12" s="481"/>
      <c r="ABP12" s="481"/>
      <c r="ABQ12" s="481"/>
      <c r="ABR12" s="481"/>
      <c r="ABS12" s="481"/>
      <c r="ABT12" s="481"/>
      <c r="ABU12" s="481"/>
      <c r="ABV12" s="481"/>
      <c r="ABW12" s="481"/>
      <c r="ABX12" s="481"/>
      <c r="ABY12" s="481"/>
      <c r="ABZ12" s="481"/>
      <c r="ACA12" s="481"/>
      <c r="ACB12" s="481"/>
      <c r="ACC12" s="481"/>
      <c r="ACD12" s="481"/>
      <c r="ACE12" s="481"/>
      <c r="ACF12" s="481"/>
      <c r="ACG12" s="481"/>
      <c r="ACH12" s="481"/>
      <c r="ACI12" s="481"/>
      <c r="ACJ12" s="481"/>
      <c r="ACK12" s="481"/>
      <c r="ACL12" s="481"/>
      <c r="ACM12" s="481"/>
      <c r="ACN12" s="481"/>
      <c r="ACO12" s="481"/>
      <c r="ACP12" s="481"/>
      <c r="ACQ12" s="481"/>
      <c r="ACR12" s="481"/>
      <c r="ACS12" s="481"/>
      <c r="ACT12" s="481"/>
      <c r="ACU12" s="481"/>
      <c r="ACV12" s="481"/>
      <c r="ACW12" s="481"/>
      <c r="ACX12" s="481"/>
      <c r="ACY12" s="481"/>
      <c r="ACZ12" s="481"/>
      <c r="ADA12" s="481"/>
      <c r="ADB12" s="481"/>
      <c r="ADC12" s="481"/>
      <c r="ADD12" s="481"/>
      <c r="ADE12" s="481"/>
      <c r="ADF12" s="481"/>
      <c r="ADG12" s="481"/>
      <c r="ADH12" s="481"/>
      <c r="ADI12" s="481"/>
      <c r="ADJ12" s="481"/>
      <c r="ADK12" s="335"/>
      <c r="ADL12" s="335"/>
      <c r="ADM12" s="335"/>
      <c r="ADN12" s="335"/>
      <c r="ADO12" s="335"/>
      <c r="ADP12" s="335"/>
      <c r="ADQ12" s="335"/>
      <c r="ADR12" s="335"/>
      <c r="ADS12" s="335"/>
      <c r="ADT12" s="335"/>
      <c r="ADU12" s="335"/>
      <c r="ADV12" s="335"/>
      <c r="ADW12" s="335"/>
      <c r="ADX12" s="335"/>
      <c r="ADY12" s="335"/>
      <c r="ADZ12" s="335"/>
      <c r="AEA12" s="335"/>
      <c r="AEB12" s="335"/>
      <c r="AEC12" s="335"/>
      <c r="AED12" s="335"/>
      <c r="AEE12" s="335"/>
      <c r="AEF12" s="335"/>
      <c r="AEG12" s="335"/>
      <c r="AEH12" s="335"/>
      <c r="AEI12" s="335"/>
      <c r="AEJ12" s="335"/>
      <c r="AEK12" s="335"/>
      <c r="AEL12" s="335"/>
      <c r="AEM12" s="335"/>
      <c r="AEN12" s="335"/>
      <c r="AEO12" s="335"/>
      <c r="AEP12" s="335"/>
      <c r="AEQ12" s="335"/>
      <c r="AER12" s="335"/>
      <c r="AES12" s="335"/>
      <c r="AET12" s="335"/>
      <c r="AEU12" s="335"/>
      <c r="AEV12" s="335"/>
      <c r="AEW12" s="335"/>
      <c r="AEX12" s="335"/>
      <c r="AEY12" s="335"/>
      <c r="AEZ12" s="335"/>
      <c r="AFA12" s="335"/>
      <c r="AFB12" s="335"/>
      <c r="AFC12" s="335"/>
      <c r="AFD12" s="335"/>
      <c r="AFE12" s="335"/>
      <c r="AFF12" s="335"/>
      <c r="AFG12" s="335"/>
      <c r="AFH12" s="335"/>
      <c r="AFI12" s="335"/>
      <c r="AFJ12" s="335"/>
      <c r="AFK12" s="335"/>
      <c r="AFL12" s="335"/>
      <c r="AFM12" s="335"/>
      <c r="AFN12" s="335"/>
      <c r="AFO12" s="335"/>
      <c r="AFP12" s="335"/>
      <c r="AFQ12" s="335"/>
      <c r="AFR12" s="335"/>
      <c r="AFS12" s="335"/>
      <c r="AFT12" s="335"/>
      <c r="AFU12" s="335"/>
      <c r="AFV12" s="335"/>
      <c r="AFW12" s="335"/>
      <c r="AFX12" s="335"/>
      <c r="AFY12" s="335"/>
      <c r="AFZ12" s="335"/>
      <c r="AGA12" s="335"/>
      <c r="AGB12" s="335"/>
      <c r="AGC12" s="335"/>
      <c r="AGD12" s="335"/>
      <c r="AGE12" s="335"/>
      <c r="AGF12" s="335"/>
      <c r="AGG12" s="335"/>
      <c r="AGH12" s="335"/>
      <c r="AGI12" s="335"/>
      <c r="AGJ12" s="335"/>
      <c r="AGK12" s="335"/>
      <c r="AGL12" s="335"/>
      <c r="AGM12" s="335"/>
      <c r="AGN12" s="335"/>
      <c r="AGO12" s="335"/>
      <c r="AGP12" s="335"/>
      <c r="AGQ12" s="335"/>
      <c r="AGR12" s="335"/>
      <c r="AGS12" s="335"/>
      <c r="AGT12" s="335"/>
      <c r="AGU12" s="335"/>
      <c r="AGV12" s="335"/>
      <c r="AGW12" s="335"/>
      <c r="AGX12" s="335"/>
      <c r="AGY12" s="335"/>
      <c r="AGZ12" s="335"/>
      <c r="AHA12" s="335"/>
      <c r="AHB12" s="335"/>
      <c r="AHC12" s="335"/>
      <c r="AHD12" s="335"/>
      <c r="AHE12" s="335"/>
      <c r="AHF12" s="335"/>
      <c r="AHG12" s="335"/>
      <c r="AHH12" s="335"/>
      <c r="AHI12" s="335"/>
      <c r="AHJ12" s="335"/>
      <c r="AHK12" s="335"/>
      <c r="AHL12" s="335"/>
      <c r="AHM12" s="335"/>
      <c r="AHN12" s="335"/>
      <c r="AHO12" s="335"/>
      <c r="AHP12" s="335"/>
      <c r="AHQ12" s="335"/>
      <c r="AHR12" s="335"/>
      <c r="AHS12" s="335"/>
      <c r="AHT12" s="335"/>
      <c r="AHU12" s="335"/>
      <c r="AHV12" s="335"/>
      <c r="AHW12" s="335"/>
      <c r="AHX12" s="335"/>
      <c r="AHY12" s="335"/>
      <c r="AHZ12" s="335"/>
      <c r="AIA12" s="335"/>
      <c r="AIB12" s="335"/>
      <c r="AIC12" s="339"/>
    </row>
    <row r="13" spans="1:913" s="161" customFormat="1">
      <c r="A13" s="172"/>
      <c r="B13" s="177">
        <v>0.75</v>
      </c>
      <c r="C13" s="493">
        <f t="shared" si="246"/>
        <v>0</v>
      </c>
      <c r="D13" s="494"/>
      <c r="E13" s="493">
        <f t="shared" si="0"/>
        <v>0</v>
      </c>
      <c r="F13" s="494"/>
      <c r="G13" s="493">
        <f t="shared" si="1"/>
        <v>0</v>
      </c>
      <c r="H13" s="494"/>
      <c r="I13" s="493">
        <f t="shared" si="247"/>
        <v>0</v>
      </c>
      <c r="J13" s="494"/>
      <c r="K13" s="493">
        <f t="shared" si="2"/>
        <v>0</v>
      </c>
      <c r="L13" s="494"/>
      <c r="M13" s="493">
        <f t="shared" si="3"/>
        <v>0</v>
      </c>
      <c r="N13" s="494"/>
      <c r="O13" s="493">
        <f t="shared" si="517"/>
        <v>0</v>
      </c>
      <c r="P13" s="494"/>
      <c r="Q13" s="493">
        <f t="shared" si="248"/>
        <v>0</v>
      </c>
      <c r="R13" s="494"/>
      <c r="S13" s="493">
        <f t="shared" si="249"/>
        <v>0</v>
      </c>
      <c r="T13" s="494"/>
      <c r="U13" s="493">
        <f t="shared" si="250"/>
        <v>0</v>
      </c>
      <c r="V13" s="494"/>
      <c r="W13" s="493">
        <f t="shared" si="251"/>
        <v>0</v>
      </c>
      <c r="X13" s="494"/>
      <c r="Y13" s="493">
        <f t="shared" si="252"/>
        <v>0</v>
      </c>
      <c r="Z13" s="494"/>
      <c r="AA13" s="493">
        <f t="shared" si="253"/>
        <v>0</v>
      </c>
      <c r="AB13" s="494"/>
      <c r="AC13" s="493">
        <f t="shared" si="254"/>
        <v>0</v>
      </c>
      <c r="AD13" s="494"/>
      <c r="AE13" s="493">
        <f t="shared" si="255"/>
        <v>0</v>
      </c>
      <c r="AF13" s="494"/>
      <c r="AG13" s="493">
        <f t="shared" si="256"/>
        <v>0</v>
      </c>
      <c r="AH13" s="494"/>
      <c r="AI13" s="493">
        <f t="shared" si="257"/>
        <v>0</v>
      </c>
      <c r="AJ13" s="494"/>
      <c r="AK13" s="493">
        <f t="shared" si="258"/>
        <v>0</v>
      </c>
      <c r="AL13" s="494"/>
      <c r="AM13" s="493">
        <f t="shared" si="259"/>
        <v>0</v>
      </c>
      <c r="AN13" s="494"/>
      <c r="AO13" s="493">
        <f t="shared" si="260"/>
        <v>0</v>
      </c>
      <c r="AP13" s="494"/>
      <c r="AQ13" s="493">
        <f t="shared" si="261"/>
        <v>0</v>
      </c>
      <c r="AR13" s="494"/>
      <c r="AS13" s="493">
        <f t="shared" si="262"/>
        <v>0</v>
      </c>
      <c r="AT13" s="494"/>
      <c r="AU13" s="493">
        <f t="shared" si="263"/>
        <v>0</v>
      </c>
      <c r="AV13" s="494"/>
      <c r="AW13" s="493">
        <f>((AW35+AX36)-(AW34+AX35))/2</f>
        <v>0</v>
      </c>
      <c r="AX13" s="494"/>
      <c r="AY13" s="493">
        <f t="shared" si="265"/>
        <v>0</v>
      </c>
      <c r="AZ13" s="494"/>
      <c r="BA13" s="493">
        <f t="shared" si="266"/>
        <v>0</v>
      </c>
      <c r="BB13" s="494"/>
      <c r="BC13" s="493">
        <f t="shared" si="267"/>
        <v>0</v>
      </c>
      <c r="BD13" s="494"/>
      <c r="BE13" s="493">
        <f t="shared" si="268"/>
        <v>0</v>
      </c>
      <c r="BF13" s="494"/>
      <c r="BG13" s="493">
        <f t="shared" si="269"/>
        <v>0</v>
      </c>
      <c r="BH13" s="494"/>
      <c r="BI13" s="493">
        <f t="shared" si="270"/>
        <v>0</v>
      </c>
      <c r="BJ13" s="494"/>
      <c r="BK13" s="493">
        <f t="shared" si="271"/>
        <v>0</v>
      </c>
      <c r="BL13" s="494"/>
      <c r="BM13" s="493">
        <f t="shared" si="272"/>
        <v>0</v>
      </c>
      <c r="BN13" s="494"/>
      <c r="BO13" s="493">
        <f t="shared" si="273"/>
        <v>0</v>
      </c>
      <c r="BP13" s="494"/>
      <c r="BQ13" s="493">
        <f t="shared" si="274"/>
        <v>0</v>
      </c>
      <c r="BR13" s="494"/>
      <c r="BS13" s="493">
        <f t="shared" si="275"/>
        <v>0</v>
      </c>
      <c r="BT13" s="494"/>
      <c r="BU13" s="493">
        <f t="shared" si="1256"/>
        <v>0</v>
      </c>
      <c r="BV13" s="494"/>
      <c r="BW13" s="493">
        <f t="shared" si="665"/>
        <v>0</v>
      </c>
      <c r="BX13" s="494"/>
      <c r="BY13" s="493">
        <f t="shared" si="277"/>
        <v>0</v>
      </c>
      <c r="BZ13" s="494"/>
      <c r="CA13" s="493">
        <f t="shared" si="278"/>
        <v>0</v>
      </c>
      <c r="CB13" s="494"/>
      <c r="CC13" s="493">
        <f t="shared" ref="CC13" si="1541">((CC36+CD37)-(CC35+CD36))/2</f>
        <v>0</v>
      </c>
      <c r="CD13" s="494"/>
      <c r="CE13" s="493">
        <f t="shared" si="280"/>
        <v>0</v>
      </c>
      <c r="CF13" s="494"/>
      <c r="CG13" s="493">
        <f t="shared" si="281"/>
        <v>0</v>
      </c>
      <c r="CH13" s="494"/>
      <c r="CI13" s="493">
        <f t="shared" si="282"/>
        <v>0</v>
      </c>
      <c r="CJ13" s="494"/>
      <c r="CK13" s="493">
        <f t="shared" si="283"/>
        <v>0</v>
      </c>
      <c r="CL13" s="494"/>
      <c r="CM13" s="493">
        <f t="shared" si="284"/>
        <v>0</v>
      </c>
      <c r="CN13" s="494"/>
      <c r="CO13" s="493">
        <f t="shared" si="285"/>
        <v>0</v>
      </c>
      <c r="CP13" s="494"/>
      <c r="CQ13" s="493">
        <f t="shared" si="1257"/>
        <v>0</v>
      </c>
      <c r="CR13" s="494"/>
      <c r="CS13" s="493">
        <f t="shared" si="287"/>
        <v>0</v>
      </c>
      <c r="CT13" s="494"/>
      <c r="CU13" s="493">
        <f t="shared" ref="CU13:CU17" si="1542">((CU40+CV40)-(CU39+CV39))/2</f>
        <v>0</v>
      </c>
      <c r="CV13" s="494"/>
      <c r="CW13" s="493">
        <f t="shared" si="289"/>
        <v>0</v>
      </c>
      <c r="CX13" s="494"/>
      <c r="CY13" s="493">
        <f t="shared" si="290"/>
        <v>0</v>
      </c>
      <c r="CZ13" s="494"/>
      <c r="DA13" s="493">
        <f t="shared" si="813"/>
        <v>0</v>
      </c>
      <c r="DB13" s="494"/>
      <c r="DC13" s="493">
        <f>((DC37+DD36)-(DC36+DD35))/2</f>
        <v>0</v>
      </c>
      <c r="DD13" s="494"/>
      <c r="DE13" s="493">
        <f t="shared" si="293"/>
        <v>0</v>
      </c>
      <c r="DF13" s="494"/>
      <c r="DG13" s="493">
        <f t="shared" si="294"/>
        <v>0</v>
      </c>
      <c r="DH13" s="494"/>
      <c r="DI13" s="493">
        <f t="shared" si="295"/>
        <v>0</v>
      </c>
      <c r="DJ13" s="494"/>
      <c r="DK13" s="493">
        <f t="shared" si="296"/>
        <v>0</v>
      </c>
      <c r="DL13" s="494"/>
      <c r="DM13" s="493">
        <f t="shared" si="297"/>
        <v>0</v>
      </c>
      <c r="DN13" s="494"/>
      <c r="DO13" s="493">
        <f t="shared" si="298"/>
        <v>0</v>
      </c>
      <c r="DP13" s="494"/>
      <c r="DQ13" s="493">
        <f t="shared" si="666"/>
        <v>0</v>
      </c>
      <c r="DR13" s="494"/>
      <c r="DS13" s="493">
        <f t="shared" si="300"/>
        <v>0</v>
      </c>
      <c r="DT13" s="494"/>
      <c r="DU13" s="493">
        <f t="shared" si="301"/>
        <v>0</v>
      </c>
      <c r="DV13" s="494"/>
      <c r="DW13" s="493">
        <f t="shared" si="302"/>
        <v>0</v>
      </c>
      <c r="DX13" s="494"/>
      <c r="DY13" s="493">
        <f t="shared" si="303"/>
        <v>0</v>
      </c>
      <c r="DZ13" s="494"/>
      <c r="EA13" s="493">
        <f t="shared" si="304"/>
        <v>0</v>
      </c>
      <c r="EB13" s="494"/>
      <c r="EC13" s="493">
        <f t="shared" si="305"/>
        <v>0</v>
      </c>
      <c r="ED13" s="494"/>
      <c r="EE13" s="493">
        <f t="shared" ref="EE13:EE21" si="1543">((EE36+EF36)-(EE35+EF35))/2</f>
        <v>0</v>
      </c>
      <c r="EF13" s="494"/>
      <c r="EG13" s="493">
        <f t="shared" ref="EG13:EG21" si="1544">((EG36+EH36)-(EG35+EH35))/2</f>
        <v>0</v>
      </c>
      <c r="EH13" s="494"/>
      <c r="EI13" s="493">
        <f t="shared" ref="EI13:EI21" si="1545">((EI36+EJ36)-(EI35+EJ35))/2</f>
        <v>0</v>
      </c>
      <c r="EJ13" s="494"/>
      <c r="EK13" s="493">
        <f t="shared" ref="EK13:EK21" si="1546">((EK36+EL36)-(EK35+EL35))/2</f>
        <v>0</v>
      </c>
      <c r="EL13" s="494"/>
      <c r="EM13" s="493">
        <f t="shared" ref="EM13:EM21" si="1547">((EM36+EN36)-(EM35+EN35))/2</f>
        <v>0</v>
      </c>
      <c r="EN13" s="494"/>
      <c r="EO13" s="493">
        <f t="shared" si="10"/>
        <v>0</v>
      </c>
      <c r="EP13" s="494"/>
      <c r="EQ13" s="493">
        <f t="shared" si="307"/>
        <v>0</v>
      </c>
      <c r="ER13" s="494"/>
      <c r="ES13" s="493">
        <f t="shared" si="308"/>
        <v>0</v>
      </c>
      <c r="ET13" s="494"/>
      <c r="EU13" s="493">
        <f t="shared" si="309"/>
        <v>0</v>
      </c>
      <c r="EV13" s="494"/>
      <c r="EW13" s="493">
        <f t="shared" si="310"/>
        <v>0</v>
      </c>
      <c r="EX13" s="494"/>
      <c r="EY13" s="493">
        <f t="shared" si="311"/>
        <v>0</v>
      </c>
      <c r="EZ13" s="494"/>
      <c r="FA13" s="493">
        <f t="shared" si="312"/>
        <v>0</v>
      </c>
      <c r="FB13" s="494"/>
      <c r="FC13" s="493">
        <f t="shared" si="313"/>
        <v>0</v>
      </c>
      <c r="FD13" s="494"/>
      <c r="FE13" s="493">
        <f t="shared" si="314"/>
        <v>0</v>
      </c>
      <c r="FF13" s="494"/>
      <c r="FG13" s="493">
        <f t="shared" si="315"/>
        <v>0</v>
      </c>
      <c r="FH13" s="494"/>
      <c r="FI13" s="493">
        <f t="shared" si="316"/>
        <v>0</v>
      </c>
      <c r="FJ13" s="494"/>
      <c r="FK13" s="493">
        <f t="shared" si="317"/>
        <v>0</v>
      </c>
      <c r="FL13" s="494"/>
      <c r="FM13" s="493">
        <f t="shared" si="318"/>
        <v>0</v>
      </c>
      <c r="FN13" s="494"/>
      <c r="FO13" s="493">
        <f t="shared" si="319"/>
        <v>0</v>
      </c>
      <c r="FP13" s="494"/>
      <c r="FQ13" s="493">
        <f t="shared" si="320"/>
        <v>0</v>
      </c>
      <c r="FR13" s="494"/>
      <c r="FS13" s="493">
        <f t="shared" si="321"/>
        <v>0</v>
      </c>
      <c r="FT13" s="494"/>
      <c r="FU13" s="493">
        <f t="shared" si="322"/>
        <v>0</v>
      </c>
      <c r="FV13" s="494"/>
      <c r="FW13" s="493">
        <f t="shared" si="323"/>
        <v>0</v>
      </c>
      <c r="FX13" s="494"/>
      <c r="FY13" s="493">
        <f t="shared" si="324"/>
        <v>0</v>
      </c>
      <c r="FZ13" s="494"/>
      <c r="GA13" s="493">
        <f t="shared" si="325"/>
        <v>0</v>
      </c>
      <c r="GB13" s="494"/>
      <c r="GC13" s="493">
        <f t="shared" si="326"/>
        <v>0</v>
      </c>
      <c r="GD13" s="494"/>
      <c r="GE13" s="493">
        <f t="shared" si="327"/>
        <v>0</v>
      </c>
      <c r="GF13" s="494"/>
      <c r="GG13" s="493">
        <f t="shared" si="328"/>
        <v>0</v>
      </c>
      <c r="GH13" s="494"/>
      <c r="GI13" s="493">
        <f t="shared" si="329"/>
        <v>0</v>
      </c>
      <c r="GJ13" s="494"/>
      <c r="GK13" s="493">
        <f t="shared" si="330"/>
        <v>0</v>
      </c>
      <c r="GL13" s="494"/>
      <c r="GM13" s="493">
        <f t="shared" si="331"/>
        <v>0</v>
      </c>
      <c r="GN13" s="494"/>
      <c r="GO13" s="493">
        <f t="shared" si="1258"/>
        <v>0</v>
      </c>
      <c r="GP13" s="494"/>
      <c r="GQ13" s="493">
        <f t="shared" si="333"/>
        <v>0</v>
      </c>
      <c r="GR13" s="494"/>
      <c r="GS13" s="493">
        <f t="shared" si="334"/>
        <v>0</v>
      </c>
      <c r="GT13" s="494"/>
      <c r="GU13" s="493">
        <f t="shared" si="1109"/>
        <v>0</v>
      </c>
      <c r="GV13" s="494"/>
      <c r="GW13" s="493">
        <f t="shared" si="1110"/>
        <v>0</v>
      </c>
      <c r="GX13" s="494"/>
      <c r="GY13" s="493">
        <f t="shared" si="1111"/>
        <v>0</v>
      </c>
      <c r="GZ13" s="494"/>
      <c r="HA13" s="493">
        <f t="shared" si="335"/>
        <v>0</v>
      </c>
      <c r="HB13" s="494"/>
      <c r="HC13" s="493">
        <f t="shared" si="336"/>
        <v>0</v>
      </c>
      <c r="HD13" s="494"/>
      <c r="HE13" s="493">
        <f t="shared" ref="HE13:HE21" si="1548">((HE36+HF36)-(HE35+HF35))/2</f>
        <v>0</v>
      </c>
      <c r="HF13" s="494"/>
      <c r="HG13" s="493">
        <f t="shared" si="338"/>
        <v>0</v>
      </c>
      <c r="HH13" s="494"/>
      <c r="HI13" s="493">
        <f t="shared" si="339"/>
        <v>0</v>
      </c>
      <c r="HJ13" s="494"/>
      <c r="HK13" s="493">
        <f t="shared" si="340"/>
        <v>0</v>
      </c>
      <c r="HL13" s="494"/>
      <c r="HM13" s="493">
        <f t="shared" si="341"/>
        <v>0</v>
      </c>
      <c r="HN13" s="494"/>
      <c r="HO13" s="493">
        <f t="shared" si="342"/>
        <v>0</v>
      </c>
      <c r="HP13" s="494"/>
      <c r="HQ13" s="493">
        <f t="shared" si="343"/>
        <v>0</v>
      </c>
      <c r="HR13" s="494"/>
      <c r="HS13" s="493">
        <f t="shared" si="344"/>
        <v>0</v>
      </c>
      <c r="HT13" s="494"/>
      <c r="HU13" s="493">
        <f t="shared" si="345"/>
        <v>0</v>
      </c>
      <c r="HV13" s="494"/>
      <c r="HW13" s="493">
        <f t="shared" si="346"/>
        <v>0</v>
      </c>
      <c r="HX13" s="494"/>
      <c r="HY13" s="493">
        <f t="shared" si="347"/>
        <v>0</v>
      </c>
      <c r="HZ13" s="494"/>
      <c r="IA13" s="493">
        <f t="shared" si="348"/>
        <v>0</v>
      </c>
      <c r="IB13" s="494"/>
      <c r="IC13" s="493">
        <f t="shared" si="349"/>
        <v>0</v>
      </c>
      <c r="ID13" s="494"/>
      <c r="IE13" s="493">
        <f t="shared" si="350"/>
        <v>0</v>
      </c>
      <c r="IF13" s="494"/>
      <c r="IG13" s="493">
        <f t="shared" si="351"/>
        <v>0</v>
      </c>
      <c r="IH13" s="494"/>
      <c r="II13" s="493">
        <f t="shared" si="352"/>
        <v>0</v>
      </c>
      <c r="IJ13" s="494"/>
      <c r="IK13" s="493">
        <f t="shared" si="353"/>
        <v>0</v>
      </c>
      <c r="IL13" s="494"/>
      <c r="IM13" s="493">
        <f t="shared" si="354"/>
        <v>0</v>
      </c>
      <c r="IN13" s="494"/>
      <c r="IO13" s="493">
        <f t="shared" si="355"/>
        <v>0</v>
      </c>
      <c r="IP13" s="494"/>
      <c r="IQ13" s="493">
        <f t="shared" si="356"/>
        <v>0</v>
      </c>
      <c r="IR13" s="494"/>
      <c r="IS13" s="493">
        <f t="shared" si="357"/>
        <v>0</v>
      </c>
      <c r="IT13" s="494"/>
      <c r="IU13" s="493">
        <f t="shared" si="14"/>
        <v>0</v>
      </c>
      <c r="IV13" s="494"/>
      <c r="IW13" s="493">
        <f t="shared" si="15"/>
        <v>0</v>
      </c>
      <c r="IX13" s="494"/>
      <c r="IY13" s="493">
        <f t="shared" si="16"/>
        <v>0</v>
      </c>
      <c r="IZ13" s="494"/>
      <c r="JA13" s="493">
        <f t="shared" ref="JA13" si="1549">((JA36+JB36)-(JA35+JB35))/2</f>
        <v>0</v>
      </c>
      <c r="JB13" s="494"/>
      <c r="JC13" s="493">
        <f t="shared" ref="JC13" si="1550">((JC36+JD36)-(JC35+JD35))/2</f>
        <v>0</v>
      </c>
      <c r="JD13" s="494"/>
      <c r="JE13" s="493">
        <f t="shared" si="19"/>
        <v>0</v>
      </c>
      <c r="JF13" s="494"/>
      <c r="JG13" s="493">
        <f t="shared" ref="JG13" si="1551">((JG36+JH36)-(JG35+JH35))/2</f>
        <v>0</v>
      </c>
      <c r="JH13" s="494"/>
      <c r="JI13" s="493">
        <f t="shared" ref="JI13" si="1552">((JI36+JJ36)-(JI35+JJ35))/2</f>
        <v>0</v>
      </c>
      <c r="JJ13" s="494"/>
      <c r="JK13" s="493">
        <f t="shared" si="22"/>
        <v>0</v>
      </c>
      <c r="JL13" s="494"/>
      <c r="JM13" s="493">
        <f t="shared" ref="JM13" si="1553">((JM36+JN36)-(JM35+JN35))/2</f>
        <v>0</v>
      </c>
      <c r="JN13" s="494"/>
      <c r="JO13" s="493">
        <f t="shared" ref="JO13" si="1554">((JO36+JP36)-(JO35+JP35))/2</f>
        <v>0</v>
      </c>
      <c r="JP13" s="494"/>
      <c r="JQ13" s="493">
        <f t="shared" ref="JQ13:JQ16" si="1555">((JQ36+JR36)-(JQ35+JR35))/2</f>
        <v>0</v>
      </c>
      <c r="JR13" s="494"/>
      <c r="JS13" s="493">
        <f t="shared" ref="JS13" si="1556">((JS36+JT36)-(JS35+JT35))/2</f>
        <v>0</v>
      </c>
      <c r="JT13" s="494"/>
      <c r="JU13" s="493">
        <f t="shared" ref="JU13" si="1557">((JU36+JV36)-(JU35+JV35))/2</f>
        <v>0</v>
      </c>
      <c r="JV13" s="494"/>
      <c r="JW13" s="493">
        <f t="shared" si="28"/>
        <v>0</v>
      </c>
      <c r="JX13" s="494"/>
      <c r="JY13" s="493">
        <f t="shared" ref="JY13" si="1558">((JY36+JZ36)-(JY35+JZ35))/2</f>
        <v>0</v>
      </c>
      <c r="JZ13" s="494"/>
      <c r="KA13" s="493">
        <f t="shared" ref="KA13" si="1559">((KA36+KB36)-(KA35+KB35))/2</f>
        <v>0</v>
      </c>
      <c r="KB13" s="494"/>
      <c r="KC13" s="493">
        <f t="shared" si="31"/>
        <v>0</v>
      </c>
      <c r="KD13" s="494"/>
      <c r="KE13" s="493">
        <f t="shared" si="368"/>
        <v>0</v>
      </c>
      <c r="KF13" s="494"/>
      <c r="KG13" s="493">
        <f t="shared" ref="KG13" si="1560">((KG36+KH36)-(KG35+KH35))/2</f>
        <v>0</v>
      </c>
      <c r="KH13" s="494"/>
      <c r="KI13" s="493">
        <f t="shared" si="34"/>
        <v>0</v>
      </c>
      <c r="KJ13" s="494"/>
      <c r="KK13" s="493">
        <f t="shared" ref="KK13" si="1561">((KK36+KL36)-(KK35+KL35))/2</f>
        <v>0</v>
      </c>
      <c r="KL13" s="494"/>
      <c r="KM13" s="493">
        <f t="shared" ref="KM13" si="1562">((KM36+KN36)-(KM35+KN35))/2</f>
        <v>0</v>
      </c>
      <c r="KN13" s="494"/>
      <c r="KO13" s="493">
        <f t="shared" si="37"/>
        <v>0</v>
      </c>
      <c r="KP13" s="494"/>
      <c r="KQ13" s="493">
        <f t="shared" ref="KQ13" si="1563">((KQ36+KR36)-(KQ35+KR35))/2</f>
        <v>0</v>
      </c>
      <c r="KR13" s="494"/>
      <c r="KS13" s="493">
        <f t="shared" ref="KS13" si="1564">((KS36+KT36)-(KS35+KT35))/2</f>
        <v>0</v>
      </c>
      <c r="KT13" s="494"/>
      <c r="KU13" s="493">
        <f t="shared" si="40"/>
        <v>0</v>
      </c>
      <c r="KV13" s="494"/>
      <c r="KW13" s="493">
        <f t="shared" ref="KW13" si="1565">((KW36+KX36)-(KW35+KX35))/2</f>
        <v>0</v>
      </c>
      <c r="KX13" s="494"/>
      <c r="KY13" s="493">
        <f t="shared" ref="KY13" si="1566">((KY36+KZ36)-(KY35+KZ35))/2</f>
        <v>0</v>
      </c>
      <c r="KZ13" s="494"/>
      <c r="LA13" s="493">
        <f t="shared" si="43"/>
        <v>0</v>
      </c>
      <c r="LB13" s="494"/>
      <c r="LC13" s="493">
        <f t="shared" si="376"/>
        <v>0</v>
      </c>
      <c r="LD13" s="494"/>
      <c r="LE13" s="493">
        <f t="shared" si="377"/>
        <v>0</v>
      </c>
      <c r="LF13" s="494"/>
      <c r="LG13" s="493">
        <f t="shared" si="378"/>
        <v>0</v>
      </c>
      <c r="LH13" s="494"/>
      <c r="LI13" s="493">
        <f t="shared" ref="LI13" si="1567">((LI36+LJ36)-(LI35+LJ35))/2</f>
        <v>0</v>
      </c>
      <c r="LJ13" s="494"/>
      <c r="LK13" s="493">
        <f t="shared" ref="LK13" si="1568">((LK36+LL36)-(LK35+LL35))/2</f>
        <v>0</v>
      </c>
      <c r="LL13" s="494"/>
      <c r="LM13" s="493">
        <f t="shared" si="49"/>
        <v>0</v>
      </c>
      <c r="LN13" s="494"/>
      <c r="LO13" s="493">
        <f t="shared" ref="LO13" si="1569">((LO36+LP36)-(LO35+LP35))/2</f>
        <v>0</v>
      </c>
      <c r="LP13" s="494"/>
      <c r="LQ13" s="493">
        <f t="shared" ref="LQ13" si="1570">((LQ36+LR36)-(LQ35+LR35))/2</f>
        <v>0</v>
      </c>
      <c r="LR13" s="494"/>
      <c r="LS13" s="493">
        <f t="shared" si="52"/>
        <v>0</v>
      </c>
      <c r="LT13" s="494"/>
      <c r="LU13" s="493">
        <f t="shared" ref="LU13" si="1571">((LU36+LV36)-(LU35+LV35))/2</f>
        <v>0</v>
      </c>
      <c r="LV13" s="494"/>
      <c r="LW13" s="493">
        <f t="shared" ref="LW13" si="1572">((LW36+LX36)-(LW35+LX35))/2</f>
        <v>0</v>
      </c>
      <c r="LX13" s="494"/>
      <c r="LY13" s="493">
        <f t="shared" si="55"/>
        <v>0</v>
      </c>
      <c r="LZ13" s="494"/>
      <c r="MA13" s="493">
        <f t="shared" ref="MA13" si="1573">((MA36+MB36)-(MA35+MB35))/2</f>
        <v>0</v>
      </c>
      <c r="MB13" s="494"/>
      <c r="MC13" s="493">
        <f t="shared" ref="MC13" si="1574">((MC36+MD36)-(MC35+MD35))/2</f>
        <v>0</v>
      </c>
      <c r="MD13" s="494"/>
      <c r="ME13" s="493">
        <f t="shared" si="58"/>
        <v>0</v>
      </c>
      <c r="MF13" s="494"/>
      <c r="MG13" s="493">
        <f t="shared" ref="MG13" si="1575">((MG36+MH36)-(MG35+MH35))/2</f>
        <v>0</v>
      </c>
      <c r="MH13" s="494"/>
      <c r="MI13" s="493">
        <f t="shared" ref="MI13" si="1576">((MI36+MJ36)-(MI35+MJ35))/2</f>
        <v>0</v>
      </c>
      <c r="MJ13" s="494"/>
      <c r="MK13" s="493">
        <f t="shared" si="61"/>
        <v>0</v>
      </c>
      <c r="ML13" s="494"/>
      <c r="MM13" s="493">
        <f t="shared" ref="MM13" si="1577">((MM36+MN36)-(MM35+MN35))/2</f>
        <v>0</v>
      </c>
      <c r="MN13" s="494"/>
      <c r="MO13" s="493">
        <f t="shared" ref="MO13" si="1578">((MO36+MP36)-(MO35+MP35))/2</f>
        <v>0</v>
      </c>
      <c r="MP13" s="494"/>
      <c r="MQ13" s="493">
        <f t="shared" si="64"/>
        <v>0</v>
      </c>
      <c r="MR13" s="494"/>
      <c r="MS13" s="493">
        <f t="shared" ref="MS13" si="1579">((MS36+MT36)-(MS35+MT35))/2</f>
        <v>0</v>
      </c>
      <c r="MT13" s="494"/>
      <c r="MU13" s="493">
        <f t="shared" ref="MU13" si="1580">((MU36+MV36)-(MU35+MV35))/2</f>
        <v>0</v>
      </c>
      <c r="MV13" s="494"/>
      <c r="MW13" s="493">
        <f t="shared" si="67"/>
        <v>0</v>
      </c>
      <c r="MX13" s="494"/>
      <c r="MY13" s="493">
        <f t="shared" ref="MY13" si="1581">((MY36+MZ36)-(MY35+MZ35))/2</f>
        <v>0</v>
      </c>
      <c r="MZ13" s="494"/>
      <c r="NA13" s="493">
        <f t="shared" ref="NA13" si="1582">((NA36+NB36)-(NA35+NB35))/2</f>
        <v>0</v>
      </c>
      <c r="NB13" s="494"/>
      <c r="NC13" s="493">
        <f t="shared" si="70"/>
        <v>0</v>
      </c>
      <c r="ND13" s="494"/>
      <c r="NE13" s="493">
        <f t="shared" ref="NE13" si="1583">((NE36+NF36)-(NE35+NF35))/2</f>
        <v>0</v>
      </c>
      <c r="NF13" s="494"/>
      <c r="NG13" s="493">
        <f t="shared" ref="NG13" si="1584">((NG36+NH36)-(NG35+NH35))/2</f>
        <v>0</v>
      </c>
      <c r="NH13" s="494"/>
      <c r="NI13" s="493">
        <f t="shared" si="73"/>
        <v>0</v>
      </c>
      <c r="NJ13" s="494"/>
      <c r="NK13" s="493">
        <f t="shared" ref="NK13" si="1585">((NK36+NL36)-(NK35+NL35))/2</f>
        <v>0</v>
      </c>
      <c r="NL13" s="494"/>
      <c r="NM13" s="493">
        <f t="shared" ref="NM13" si="1586">((NM36+NN36)-(NM35+NN35))/2</f>
        <v>0</v>
      </c>
      <c r="NN13" s="494"/>
      <c r="NO13" s="493">
        <f t="shared" si="76"/>
        <v>0</v>
      </c>
      <c r="NP13" s="494"/>
      <c r="NQ13" s="493">
        <f t="shared" ref="NQ13" si="1587">((NQ36+NR36)-(NQ35+NR35))/2</f>
        <v>0</v>
      </c>
      <c r="NR13" s="494"/>
      <c r="NS13" s="493">
        <f t="shared" ref="NS13" si="1588">((NS36+NT36)-(NS35+NT35))/2</f>
        <v>0</v>
      </c>
      <c r="NT13" s="494"/>
      <c r="NU13" s="493">
        <f t="shared" si="79"/>
        <v>0</v>
      </c>
      <c r="NV13" s="494"/>
      <c r="NW13" s="493">
        <f t="shared" ref="NW13" si="1589">((NW36+NX36)-(NW35+NX35))/2</f>
        <v>0</v>
      </c>
      <c r="NX13" s="494"/>
      <c r="NY13" s="493">
        <f t="shared" ref="NY13" si="1590">((NY36+NZ36)-(NY35+NZ35))/2</f>
        <v>0</v>
      </c>
      <c r="NZ13" s="494"/>
      <c r="OA13" s="493">
        <f t="shared" si="82"/>
        <v>0</v>
      </c>
      <c r="OB13" s="494"/>
      <c r="OC13" s="493">
        <f t="shared" ref="OC13" si="1591">((OC36+OD36)-(OC35+OD35))/2</f>
        <v>0</v>
      </c>
      <c r="OD13" s="494"/>
      <c r="OE13" s="493">
        <f t="shared" ref="OE13" si="1592">((OE36+OF36)-(OE35+OF35))/2</f>
        <v>0</v>
      </c>
      <c r="OF13" s="494"/>
      <c r="OG13" s="493">
        <f t="shared" si="85"/>
        <v>0</v>
      </c>
      <c r="OH13" s="494"/>
      <c r="OI13" s="493">
        <f t="shared" ref="OI13" si="1593">((OI36+OJ36)-(OI35+OJ35))/2</f>
        <v>0</v>
      </c>
      <c r="OJ13" s="494"/>
      <c r="OK13" s="493">
        <f t="shared" ref="OK13" si="1594">((OK36+OL36)-(OK35+OL35))/2</f>
        <v>0</v>
      </c>
      <c r="OL13" s="494"/>
      <c r="OM13" s="493">
        <f t="shared" si="88"/>
        <v>0</v>
      </c>
      <c r="ON13" s="494"/>
      <c r="OO13" s="493">
        <f t="shared" ref="OO13" si="1595">((OO36+OP36)-(OO35+OP35))/2</f>
        <v>0</v>
      </c>
      <c r="OP13" s="494"/>
      <c r="OQ13" s="493">
        <f t="shared" ref="OQ13" si="1596">((OQ36+OR36)-(OQ35+OR35))/2</f>
        <v>0</v>
      </c>
      <c r="OR13" s="494"/>
      <c r="OS13" s="493">
        <f t="shared" si="91"/>
        <v>0</v>
      </c>
      <c r="OT13" s="494"/>
      <c r="OU13" s="493">
        <f t="shared" ref="OU13" si="1597">((OU36+OV36)-(OU35+OV35))/2</f>
        <v>0</v>
      </c>
      <c r="OV13" s="494"/>
      <c r="OW13" s="493">
        <f t="shared" ref="OW13" si="1598">((OW36+OX36)-(OW35+OX35))/2</f>
        <v>0</v>
      </c>
      <c r="OX13" s="494"/>
      <c r="OY13" s="493">
        <f t="shared" si="94"/>
        <v>0</v>
      </c>
      <c r="OZ13" s="494"/>
      <c r="PA13" s="493">
        <f t="shared" ref="PA13" si="1599">((PA36+PB36)-(PA35+PB35))/2</f>
        <v>0</v>
      </c>
      <c r="PB13" s="494"/>
      <c r="PC13" s="493">
        <f t="shared" ref="PC13" si="1600">((PC36+PD36)-(PC35+PD35))/2</f>
        <v>0</v>
      </c>
      <c r="PD13" s="494"/>
      <c r="PE13" s="493">
        <f t="shared" si="97"/>
        <v>0</v>
      </c>
      <c r="PF13" s="494"/>
      <c r="PG13" s="493">
        <f t="shared" ref="PG13" si="1601">((PG36+PH36)-(PG35+PH35))/2</f>
        <v>0</v>
      </c>
      <c r="PH13" s="494"/>
      <c r="PI13" s="493">
        <f t="shared" ref="PI13" si="1602">((PI36+PJ36)-(PI35+PJ35))/2</f>
        <v>0</v>
      </c>
      <c r="PJ13" s="494"/>
      <c r="PK13" s="493">
        <f t="shared" si="100"/>
        <v>0</v>
      </c>
      <c r="PL13" s="494"/>
      <c r="PM13" s="493">
        <f t="shared" ref="PM13" si="1603">((PM36+PN36)-(PM35+PN35))/2</f>
        <v>0</v>
      </c>
      <c r="PN13" s="494"/>
      <c r="PO13" s="493">
        <f t="shared" ref="PO13:PO15" si="1604">((PO36+PP36)-(PO35+PP35))/2</f>
        <v>0</v>
      </c>
      <c r="PP13" s="494"/>
      <c r="PQ13" s="493">
        <f t="shared" si="103"/>
        <v>0</v>
      </c>
      <c r="PR13" s="494"/>
      <c r="PS13" s="493">
        <f t="shared" ref="PS13" si="1605">((PS36+PT36)-(PS35+PT35))/2</f>
        <v>0</v>
      </c>
      <c r="PT13" s="494"/>
      <c r="PU13" s="493">
        <f t="shared" ref="PU13" si="1606">((PU36+PV36)-(PU35+PV35))/2</f>
        <v>0</v>
      </c>
      <c r="PV13" s="494"/>
      <c r="PW13" s="493">
        <f t="shared" si="106"/>
        <v>0</v>
      </c>
      <c r="PX13" s="494"/>
      <c r="PY13" s="493">
        <f t="shared" ref="PY13" si="1607">((PY36+PZ36)-(PY35+PZ35))/2</f>
        <v>0</v>
      </c>
      <c r="PZ13" s="494"/>
      <c r="QA13" s="493">
        <f t="shared" ref="QA13" si="1608">((QA36+QB36)-(QA35+QB35))/2</f>
        <v>0</v>
      </c>
      <c r="QB13" s="494"/>
      <c r="QC13" s="493">
        <f t="shared" si="109"/>
        <v>0</v>
      </c>
      <c r="QD13" s="494"/>
      <c r="QE13" s="493">
        <f t="shared" ref="QE13" si="1609">((QE36+QF36)-(QE35+QF35))/2</f>
        <v>0</v>
      </c>
      <c r="QF13" s="494"/>
      <c r="QG13" s="493">
        <f t="shared" ref="QG13" si="1610">((QG36+QH36)-(QG35+QH35))/2</f>
        <v>0</v>
      </c>
      <c r="QH13" s="494"/>
      <c r="QI13" s="493">
        <f t="shared" si="112"/>
        <v>0</v>
      </c>
      <c r="QJ13" s="494"/>
      <c r="QK13" s="493">
        <f t="shared" ref="QK13" si="1611">((QK36+QL36)-(QK35+QL35))/2</f>
        <v>0</v>
      </c>
      <c r="QL13" s="494"/>
      <c r="QM13" s="493">
        <f t="shared" ref="QM13" si="1612">((QM36+QN36)-(QM35+QN35))/2</f>
        <v>0</v>
      </c>
      <c r="QN13" s="494"/>
      <c r="QO13" s="493">
        <f t="shared" si="115"/>
        <v>0</v>
      </c>
      <c r="QP13" s="494"/>
      <c r="QQ13" s="493">
        <f t="shared" ref="QQ13" si="1613">((QQ36+QR36)-(QQ35+QR35))/2</f>
        <v>0</v>
      </c>
      <c r="QR13" s="494"/>
      <c r="QS13" s="493">
        <f t="shared" ref="QS13" si="1614">((QS36+QT36)-(QS35+QT35))/2</f>
        <v>0</v>
      </c>
      <c r="QT13" s="494"/>
      <c r="QU13" s="493">
        <f t="shared" si="118"/>
        <v>0</v>
      </c>
      <c r="QV13" s="494"/>
      <c r="QW13" s="493">
        <f t="shared" ref="QW13" si="1615">((QW36+QX36)-(QW35+QX35))/2</f>
        <v>0</v>
      </c>
      <c r="QX13" s="494"/>
      <c r="QY13" s="493">
        <f t="shared" ref="QY13" si="1616">((QY36+QZ36)-(QY35+QZ35))/2</f>
        <v>0</v>
      </c>
      <c r="QZ13" s="494"/>
      <c r="RA13" s="493">
        <f t="shared" si="121"/>
        <v>0</v>
      </c>
      <c r="RB13" s="494"/>
      <c r="RC13" s="493">
        <f t="shared" si="1027"/>
        <v>0</v>
      </c>
      <c r="RD13" s="494"/>
      <c r="RE13" s="493">
        <f t="shared" ref="RE13" si="1617">((RE36+RF36)-(RE35+RF35))/2</f>
        <v>0</v>
      </c>
      <c r="RF13" s="494"/>
      <c r="RG13" s="493">
        <f t="shared" si="124"/>
        <v>0</v>
      </c>
      <c r="RH13" s="494"/>
      <c r="RI13" s="493">
        <f t="shared" si="1180"/>
        <v>0</v>
      </c>
      <c r="RJ13" s="494"/>
      <c r="RK13" s="493">
        <f t="shared" ref="RK13" si="1618">((RK36+RL36)-(RK35+RL35))/2</f>
        <v>0</v>
      </c>
      <c r="RL13" s="494"/>
      <c r="RM13" s="493">
        <f t="shared" si="126"/>
        <v>0</v>
      </c>
      <c r="RN13" s="494"/>
      <c r="RO13" s="493">
        <f t="shared" ref="RO13" si="1619">((RO36+RP36)-(RO35+RP35))/2</f>
        <v>0</v>
      </c>
      <c r="RP13" s="494"/>
      <c r="RQ13" s="493">
        <f t="shared" ref="RQ13" si="1620">((RQ36+RR36)-(RQ35+RR35))/2</f>
        <v>0</v>
      </c>
      <c r="RR13" s="494"/>
      <c r="RS13" s="493">
        <f t="shared" si="129"/>
        <v>0</v>
      </c>
      <c r="RT13" s="494"/>
      <c r="RU13" s="493">
        <f t="shared" ref="RU13" si="1621">((RU36+RV36)-(RU35+RV35))/2</f>
        <v>0</v>
      </c>
      <c r="RV13" s="494"/>
      <c r="RW13" s="493">
        <f t="shared" ref="RW13" si="1622">((RW36+RX36)-(RW35+RX35))/2</f>
        <v>0</v>
      </c>
      <c r="RX13" s="494"/>
      <c r="RY13" s="493">
        <f t="shared" si="132"/>
        <v>0</v>
      </c>
      <c r="RZ13" s="494"/>
      <c r="SA13" s="493">
        <f t="shared" ref="SA13" si="1623">((SA36+SB36)-(SA35+SB35))/2</f>
        <v>0</v>
      </c>
      <c r="SB13" s="494"/>
      <c r="SC13" s="493">
        <f t="shared" ref="SC13" si="1624">((SC36+SD36)-(SC35+SD35))/2</f>
        <v>0</v>
      </c>
      <c r="SD13" s="494"/>
      <c r="SE13" s="493">
        <f t="shared" si="135"/>
        <v>0</v>
      </c>
      <c r="SF13" s="494"/>
      <c r="SG13" s="493">
        <f t="shared" ref="SG13" si="1625">((SG36+SH36)-(SG35+SH35))/2</f>
        <v>0</v>
      </c>
      <c r="SH13" s="494"/>
      <c r="SI13" s="493">
        <f t="shared" ref="SI13" si="1626">((SI36+SJ36)-(SI35+SJ35))/2</f>
        <v>0</v>
      </c>
      <c r="SJ13" s="494"/>
      <c r="SK13" s="493">
        <f t="shared" si="138"/>
        <v>0</v>
      </c>
      <c r="SL13" s="494"/>
      <c r="SM13" s="493">
        <f t="shared" ref="SM13" si="1627">((SM36+SN36)-(SM35+SN35))/2</f>
        <v>0</v>
      </c>
      <c r="SN13" s="494"/>
      <c r="SO13" s="493">
        <f t="shared" ref="SO13" si="1628">((SO36+SP36)-(SO35+SP35))/2</f>
        <v>0</v>
      </c>
      <c r="SP13" s="494"/>
      <c r="SQ13" s="493">
        <f t="shared" si="141"/>
        <v>0</v>
      </c>
      <c r="SR13" s="494"/>
      <c r="SS13" s="493">
        <f t="shared" ref="SS13" si="1629">((SS36+ST36)-(SS35+ST35))/2</f>
        <v>0</v>
      </c>
      <c r="ST13" s="494"/>
      <c r="SU13" s="493">
        <f t="shared" si="1481"/>
        <v>0</v>
      </c>
      <c r="SV13" s="494"/>
      <c r="SW13" s="493">
        <f t="shared" si="144"/>
        <v>0</v>
      </c>
      <c r="SX13" s="494"/>
      <c r="SY13" s="493">
        <f t="shared" ref="SY13" si="1630">((SY36+SZ36)-(SY35+SZ35))/2</f>
        <v>0</v>
      </c>
      <c r="SZ13" s="494"/>
      <c r="TA13" s="493">
        <f t="shared" ref="TA13" si="1631">((TA36+TB36)-(TA35+TB35))/2</f>
        <v>0</v>
      </c>
      <c r="TB13" s="494"/>
      <c r="TC13" s="493">
        <f t="shared" si="147"/>
        <v>0</v>
      </c>
      <c r="TD13" s="494"/>
      <c r="TE13" s="493">
        <f t="shared" ref="TE13" si="1632">((TE36+TF36)-(TE35+TF35))/2</f>
        <v>0</v>
      </c>
      <c r="TF13" s="494"/>
      <c r="TG13" s="493">
        <f t="shared" ref="TG13" si="1633">((TG36+TH36)-(TG35+TH35))/2</f>
        <v>0</v>
      </c>
      <c r="TH13" s="494"/>
      <c r="TI13" s="493">
        <f t="shared" si="150"/>
        <v>0</v>
      </c>
      <c r="TJ13" s="494"/>
      <c r="TK13" s="493">
        <f t="shared" ref="TK13" si="1634">((TK36+TL36)-(TK35+TL35))/2</f>
        <v>0</v>
      </c>
      <c r="TL13" s="494"/>
      <c r="TM13" s="493">
        <f t="shared" ref="TM13" si="1635">((TM36+TN36)-(TM35+TN35))/2</f>
        <v>0</v>
      </c>
      <c r="TN13" s="494"/>
      <c r="TO13" s="493">
        <f t="shared" si="153"/>
        <v>0</v>
      </c>
      <c r="TP13" s="494"/>
      <c r="TQ13" s="493">
        <f t="shared" ref="TQ13" si="1636">((TQ36+TR36)-(TQ35+TR35))/2</f>
        <v>0</v>
      </c>
      <c r="TR13" s="494"/>
      <c r="TS13" s="493">
        <f t="shared" ref="TS13:TS16" si="1637">((TS36+TT36)-(TS35+TT35))/2</f>
        <v>0</v>
      </c>
      <c r="TT13" s="494"/>
      <c r="TU13" s="493">
        <f t="shared" si="156"/>
        <v>0</v>
      </c>
      <c r="TV13" s="494"/>
      <c r="TW13" s="493">
        <f t="shared" ref="TW13" si="1638">((TW36+TX36)-(TW35+TX35))/2</f>
        <v>0</v>
      </c>
      <c r="TX13" s="494"/>
      <c r="TY13" s="493">
        <f>((TY37+TZ36)-(TY35+TZ35))/2</f>
        <v>0</v>
      </c>
      <c r="TZ13" s="494"/>
      <c r="UA13" s="493">
        <f t="shared" si="159"/>
        <v>0</v>
      </c>
      <c r="UB13" s="494"/>
      <c r="UC13" s="493">
        <f>((UC36+UD36)-(UC35+UD34))/2</f>
        <v>0</v>
      </c>
      <c r="UD13" s="494"/>
      <c r="UE13" s="493">
        <f t="shared" ref="UE13" si="1639">((UE36+UF36)-(UE35+UF35))/2</f>
        <v>0</v>
      </c>
      <c r="UF13" s="494"/>
      <c r="UG13" s="493">
        <f t="shared" si="162"/>
        <v>0</v>
      </c>
      <c r="UH13" s="494"/>
      <c r="UI13" s="493">
        <f t="shared" ref="UI13" si="1640">((UI36+UJ36)-(UI35+UJ35))/2</f>
        <v>0</v>
      </c>
      <c r="UJ13" s="494"/>
      <c r="UK13" s="493">
        <f t="shared" ref="UK13" si="1641">((UK36+UL36)-(UK35+UL35))/2</f>
        <v>0</v>
      </c>
      <c r="UL13" s="494"/>
      <c r="UM13" s="493">
        <f t="shared" si="165"/>
        <v>0</v>
      </c>
      <c r="UN13" s="494"/>
      <c r="UO13" s="493">
        <f t="shared" ref="UO13" si="1642">((UO36+UP36)-(UO35+UP35))/2</f>
        <v>0</v>
      </c>
      <c r="UP13" s="494"/>
      <c r="UQ13" s="493">
        <f t="shared" ref="UQ13" si="1643">((UQ36+UR36)-(UQ35+UR35))/2</f>
        <v>0</v>
      </c>
      <c r="UR13" s="494"/>
      <c r="US13" s="493">
        <f t="shared" si="168"/>
        <v>0</v>
      </c>
      <c r="UT13" s="494"/>
      <c r="UU13" s="493">
        <f t="shared" ref="UU13" si="1644">((UU36+UV36)-(UU35+UV35))/2</f>
        <v>0</v>
      </c>
      <c r="UV13" s="494"/>
      <c r="UW13" s="493">
        <f t="shared" ref="UW13" si="1645">((UW36+UX36)-(UW35+UX35))/2</f>
        <v>0</v>
      </c>
      <c r="UX13" s="494"/>
      <c r="UY13" s="493">
        <f t="shared" si="171"/>
        <v>0</v>
      </c>
      <c r="UZ13" s="494"/>
      <c r="VA13" s="493">
        <f t="shared" ref="VA13" si="1646">((VA36+VB36)-(VA35+VB35))/2</f>
        <v>0</v>
      </c>
      <c r="VB13" s="494"/>
      <c r="VC13" s="493">
        <f t="shared" ref="VC13" si="1647">((VC36+VD36)-(VC35+VD35))/2</f>
        <v>0</v>
      </c>
      <c r="VD13" s="494"/>
      <c r="VE13" s="493">
        <f t="shared" si="464"/>
        <v>0</v>
      </c>
      <c r="VF13" s="494"/>
      <c r="VG13" s="493">
        <f t="shared" ref="VG13" si="1648">((VG36+VH36)-(VG35+VH35))/2</f>
        <v>0</v>
      </c>
      <c r="VH13" s="494"/>
      <c r="VI13" s="493">
        <f t="shared" ref="VI13:VI15" si="1649">((VI36+VJ36)-(VI35+VJ35))/2</f>
        <v>0</v>
      </c>
      <c r="VJ13" s="494"/>
      <c r="VK13" s="493">
        <f t="shared" si="467"/>
        <v>0</v>
      </c>
      <c r="VL13" s="494"/>
      <c r="VM13" s="493">
        <f t="shared" ref="VM13" si="1650">((VM36+VN36)-(VM35+VN35))/2</f>
        <v>0</v>
      </c>
      <c r="VN13" s="494"/>
      <c r="VO13" s="493">
        <f t="shared" ref="VO13" si="1651">((VO36+VP36)-(VO35+VP35))/2</f>
        <v>0</v>
      </c>
      <c r="VP13" s="494"/>
      <c r="VQ13" s="493">
        <f t="shared" si="178"/>
        <v>0</v>
      </c>
      <c r="VR13" s="494"/>
      <c r="VS13" s="493">
        <f>((VS36+VT35)-(VS35+VT34))/2</f>
        <v>0</v>
      </c>
      <c r="VT13" s="494"/>
      <c r="VU13" s="493">
        <f>((VU36+VV35)-(VU35+VV34))/2</f>
        <v>0</v>
      </c>
      <c r="VV13" s="494"/>
      <c r="VW13" s="493">
        <f t="shared" si="181"/>
        <v>0</v>
      </c>
      <c r="VX13" s="494"/>
      <c r="VY13" s="493">
        <f t="shared" ref="VY13" si="1652">((VY36+VZ36)-(VY35+VZ35))/2</f>
        <v>0</v>
      </c>
      <c r="VZ13" s="494"/>
      <c r="WA13" s="493">
        <f t="shared" si="1067"/>
        <v>0</v>
      </c>
      <c r="WB13" s="494"/>
      <c r="WC13" s="493">
        <f t="shared" si="184"/>
        <v>0</v>
      </c>
      <c r="WD13" s="494"/>
      <c r="WE13" s="493">
        <f t="shared" ref="WE13" si="1653">((WE36+WF36)-(WE35+WF35))/2</f>
        <v>0</v>
      </c>
      <c r="WF13" s="494"/>
      <c r="WG13" s="493">
        <f t="shared" ref="WG13" si="1654">((WG36+WH36)-(WG35+WH35))/2</f>
        <v>0</v>
      </c>
      <c r="WH13" s="494"/>
      <c r="WI13" s="493">
        <f t="shared" si="187"/>
        <v>0</v>
      </c>
      <c r="WJ13" s="494"/>
      <c r="WK13" s="493">
        <f t="shared" ref="WK13" si="1655">((WK36+WL36)-(WK35+WL35))/2</f>
        <v>0</v>
      </c>
      <c r="WL13" s="494"/>
      <c r="WM13" s="493">
        <f t="shared" ref="WM13" si="1656">((WM36+WN36)-(WM35+WN35))/2</f>
        <v>0</v>
      </c>
      <c r="WN13" s="494"/>
      <c r="WO13" s="493">
        <f t="shared" si="190"/>
        <v>0</v>
      </c>
      <c r="WP13" s="494"/>
      <c r="WQ13" s="493">
        <f t="shared" si="477"/>
        <v>0</v>
      </c>
      <c r="WR13" s="494"/>
      <c r="WS13" s="493">
        <f t="shared" ref="WS13" si="1657">((WS36+WT36)-(WS35+WT35))/2</f>
        <v>0</v>
      </c>
      <c r="WT13" s="494"/>
      <c r="WU13" s="493">
        <f t="shared" si="193"/>
        <v>0</v>
      </c>
      <c r="WV13" s="494"/>
      <c r="WW13" s="493">
        <f t="shared" ref="WW13" si="1658">((WW36+WX36)-(WW35+WX35))/2</f>
        <v>0</v>
      </c>
      <c r="WX13" s="494"/>
      <c r="WY13" s="493">
        <f t="shared" ref="WY13" si="1659">((WY36+WZ36)-(WY35+WZ35))/2</f>
        <v>0</v>
      </c>
      <c r="WZ13" s="494"/>
      <c r="XA13" s="493">
        <f t="shared" si="196"/>
        <v>0</v>
      </c>
      <c r="XB13" s="494"/>
      <c r="XC13" s="493">
        <f t="shared" ref="XC13" si="1660">((XC36+XD36)-(XC35+XD35))/2</f>
        <v>0</v>
      </c>
      <c r="XD13" s="494"/>
      <c r="XE13" s="493">
        <f t="shared" ref="XE13" si="1661">((XE36+XF36)-(XE35+XF35))/2</f>
        <v>0</v>
      </c>
      <c r="XF13" s="494"/>
      <c r="XG13" s="493">
        <f t="shared" si="199"/>
        <v>0</v>
      </c>
      <c r="XH13" s="494"/>
      <c r="XI13" s="493">
        <f t="shared" ref="XI13" si="1662">((XI36+XJ36)-(XI35+XJ35))/2</f>
        <v>0</v>
      </c>
      <c r="XJ13" s="494"/>
      <c r="XK13" s="493">
        <f t="shared" ref="XK13" si="1663">((XK36+XL36)-(XK35+XL35))/2</f>
        <v>0</v>
      </c>
      <c r="XL13" s="494"/>
      <c r="XM13" s="493">
        <f t="shared" si="202"/>
        <v>0</v>
      </c>
      <c r="XN13" s="494"/>
      <c r="XO13" s="493">
        <f t="shared" si="933"/>
        <v>0</v>
      </c>
      <c r="XP13" s="494"/>
      <c r="XQ13" s="493">
        <f t="shared" ref="XQ13" si="1664">((XQ36+XR36)-(XQ35+XR35))/2</f>
        <v>0</v>
      </c>
      <c r="XR13" s="494"/>
      <c r="XS13" s="493">
        <f t="shared" si="205"/>
        <v>0</v>
      </c>
      <c r="XT13" s="494"/>
      <c r="XU13" s="493">
        <f t="shared" ref="XU13" si="1665">((XU36+XV36)-(XU35+XV35))/2</f>
        <v>0</v>
      </c>
      <c r="XV13" s="494"/>
      <c r="XW13" s="493">
        <f t="shared" ref="XW13" si="1666">((XW36+XX36)-(XW35+XX35))/2</f>
        <v>0</v>
      </c>
      <c r="XX13" s="494"/>
      <c r="XY13" s="493">
        <f t="shared" si="208"/>
        <v>0</v>
      </c>
      <c r="XZ13" s="494"/>
      <c r="YA13" s="493">
        <f t="shared" si="937"/>
        <v>0</v>
      </c>
      <c r="YB13" s="494"/>
      <c r="YC13" s="493">
        <f t="shared" ref="YC13" si="1667">((YC36+YD36)-(YC35+YD35))/2</f>
        <v>0</v>
      </c>
      <c r="YD13" s="494"/>
      <c r="YE13" s="493">
        <f t="shared" si="211"/>
        <v>0</v>
      </c>
      <c r="YF13" s="494"/>
      <c r="YG13" s="493">
        <f t="shared" ref="YG13" si="1668">((YG36+YH36)-(YG35+YH35))/2</f>
        <v>0</v>
      </c>
      <c r="YH13" s="494"/>
      <c r="YI13" s="493">
        <f t="shared" ref="YI13" si="1669">((YI36+YJ36)-(YI35+YJ35))/2</f>
        <v>0</v>
      </c>
      <c r="YJ13" s="494"/>
      <c r="YK13" s="493">
        <f t="shared" si="214"/>
        <v>0</v>
      </c>
      <c r="YL13" s="494"/>
      <c r="YM13" s="493">
        <f t="shared" ref="YM13" si="1670">((YM36+YN36)-(YM35+YN35))/2</f>
        <v>0</v>
      </c>
      <c r="YN13" s="494"/>
      <c r="YO13" s="493">
        <f t="shared" si="216"/>
        <v>0</v>
      </c>
      <c r="YP13" s="494"/>
      <c r="YQ13" s="493">
        <f t="shared" si="217"/>
        <v>0</v>
      </c>
      <c r="YR13" s="494"/>
      <c r="YS13" s="493">
        <f t="shared" ref="YS13" si="1671">((YS36+YT36)-(YS35+YT35))/2</f>
        <v>0</v>
      </c>
      <c r="YT13" s="494"/>
      <c r="YU13" s="493">
        <f t="shared" ref="YU13" si="1672">((YU36+YV36)-(YU35+YV35))/2</f>
        <v>0</v>
      </c>
      <c r="YV13" s="494"/>
      <c r="YW13" s="493">
        <f t="shared" si="220"/>
        <v>0</v>
      </c>
      <c r="YX13" s="494"/>
      <c r="YY13" s="493">
        <f t="shared" si="496"/>
        <v>0</v>
      </c>
      <c r="YZ13" s="494"/>
      <c r="ZA13" s="493">
        <f t="shared" ref="ZA13" si="1673">((ZA36+ZB36)-(ZA35+ZB35))/2</f>
        <v>0</v>
      </c>
      <c r="ZB13" s="494"/>
      <c r="ZC13" s="493">
        <f t="shared" si="1239"/>
        <v>0</v>
      </c>
      <c r="ZD13" s="494"/>
      <c r="ZE13" s="493">
        <f t="shared" ref="ZE13" si="1674">((ZE36+ZF36)-(ZE35+ZF35))/2</f>
        <v>0</v>
      </c>
      <c r="ZF13" s="494"/>
      <c r="ZG13" s="493">
        <f t="shared" ref="ZG13" si="1675">((ZG36+ZH36)-(ZG35+ZH35))/2</f>
        <v>0</v>
      </c>
      <c r="ZH13" s="494"/>
      <c r="ZI13" s="493">
        <f t="shared" ref="ZI13:ZI14" si="1676">((ZI36+ZJ36)-(ZI35+ZJ35))/2</f>
        <v>0</v>
      </c>
      <c r="ZJ13" s="494"/>
      <c r="ZK13" s="493">
        <f t="shared" ref="ZK13" si="1677">((ZK36+ZL36)-(ZK35+ZL35))/2</f>
        <v>0</v>
      </c>
      <c r="ZL13" s="494"/>
      <c r="ZM13" s="493">
        <f t="shared" ref="ZM13" si="1678">((ZM36+ZN36)-(ZM35+ZN35))/2</f>
        <v>0</v>
      </c>
      <c r="ZN13" s="494"/>
      <c r="ZO13" s="493">
        <f t="shared" si="502"/>
        <v>0</v>
      </c>
      <c r="ZP13" s="494"/>
      <c r="ZQ13" s="493">
        <f t="shared" si="503"/>
        <v>0</v>
      </c>
      <c r="ZR13" s="494"/>
      <c r="ZS13" s="493">
        <f t="shared" ref="ZS13" si="1679">((ZS36+ZT36)-(ZS35+ZT35))/2</f>
        <v>0</v>
      </c>
      <c r="ZT13" s="494"/>
      <c r="ZU13" s="493">
        <f t="shared" si="230"/>
        <v>0</v>
      </c>
      <c r="ZV13" s="494"/>
      <c r="ZW13" s="493">
        <f t="shared" ref="ZW13" si="1680">((ZW36+ZX36)-(ZW35+ZX35))/2</f>
        <v>0</v>
      </c>
      <c r="ZX13" s="494"/>
      <c r="ZY13" s="493">
        <f t="shared" ref="ZY13" si="1681">((ZY36+ZZ36)-(ZY35+ZZ35))/2</f>
        <v>0</v>
      </c>
      <c r="ZZ13" s="494"/>
      <c r="AAA13" s="493">
        <f t="shared" si="233"/>
        <v>0</v>
      </c>
      <c r="AAB13" s="494"/>
      <c r="AAC13" s="493">
        <f t="shared" ref="AAC13:AAC15" si="1682">((AAC36+AAD37)-(AAC35+AAD36))/2</f>
        <v>0</v>
      </c>
      <c r="AAD13" s="494"/>
      <c r="AAE13" s="493">
        <f t="shared" ref="AAE13" si="1683">((AAE36+AAF36)-(AAE35+AAF35))/2</f>
        <v>0</v>
      </c>
      <c r="AAF13" s="494"/>
      <c r="AAG13" s="493">
        <f t="shared" si="236"/>
        <v>0</v>
      </c>
      <c r="AAH13" s="494"/>
      <c r="AAI13" s="493">
        <f t="shared" ref="AAI13" si="1684">((AAI36+AAJ36)-(AAI35+AAJ35))/2</f>
        <v>0</v>
      </c>
      <c r="AAJ13" s="494"/>
      <c r="AAK13" s="493">
        <f t="shared" ref="AAK13" si="1685">((AAK36+AAL36)-(AAK35+AAL35))/2</f>
        <v>0</v>
      </c>
      <c r="AAL13" s="494"/>
      <c r="AAM13" s="493">
        <f t="shared" si="239"/>
        <v>0</v>
      </c>
      <c r="AAN13" s="494"/>
      <c r="AAO13" s="493">
        <f t="shared" si="1250"/>
        <v>0</v>
      </c>
      <c r="AAP13" s="494"/>
      <c r="AAQ13" s="493">
        <f t="shared" si="1100"/>
        <v>0</v>
      </c>
      <c r="AAR13" s="494"/>
      <c r="AAS13" s="493">
        <f t="shared" si="241"/>
        <v>0</v>
      </c>
      <c r="AAT13" s="494"/>
      <c r="AAU13" s="493">
        <f t="shared" ref="AAU13" si="1686">((AAU36+AAV36)-(AAU35+AAV35))/2</f>
        <v>0</v>
      </c>
      <c r="AAV13" s="494"/>
      <c r="AAW13" s="493">
        <f t="shared" ref="AAW13" si="1687">((AAW36+AAX36)-(AAW35+AAX35))/2</f>
        <v>0</v>
      </c>
      <c r="AAX13" s="494"/>
      <c r="AAY13" s="493">
        <f t="shared" si="513"/>
        <v>0</v>
      </c>
      <c r="AAZ13" s="494"/>
      <c r="ABA13" s="493">
        <f t="shared" ref="ABA13" si="1688">((ABA36+ABB36)-(ABA35+ABB35))/2</f>
        <v>0</v>
      </c>
      <c r="ABB13" s="494"/>
      <c r="ABC13" s="493">
        <f t="shared" ref="ABC13" si="1689">((ABC36+ABD36)-(ABC35+ABD35))/2</f>
        <v>0</v>
      </c>
      <c r="ABD13" s="494"/>
      <c r="ABE13" s="379">
        <f t="shared" si="516"/>
        <v>0</v>
      </c>
      <c r="ABF13" s="377"/>
      <c r="ABG13" s="481"/>
      <c r="ABH13" s="481"/>
      <c r="ABI13" s="481"/>
      <c r="ABJ13" s="481"/>
      <c r="ABK13" s="481"/>
      <c r="ABL13" s="481"/>
      <c r="ABM13" s="481"/>
      <c r="ABN13" s="481"/>
      <c r="ABO13" s="481"/>
      <c r="ABP13" s="481"/>
      <c r="ABQ13" s="481"/>
      <c r="ABR13" s="481"/>
      <c r="ABS13" s="481"/>
      <c r="ABT13" s="481"/>
      <c r="ABU13" s="481"/>
      <c r="ABV13" s="481"/>
      <c r="ABW13" s="481"/>
      <c r="ABX13" s="481"/>
      <c r="ABY13" s="481"/>
      <c r="ABZ13" s="481"/>
      <c r="ACA13" s="481"/>
      <c r="ACB13" s="481"/>
      <c r="ACC13" s="481"/>
      <c r="ACD13" s="481"/>
      <c r="ACE13" s="481"/>
      <c r="ACF13" s="481"/>
      <c r="ACG13" s="481"/>
      <c r="ACH13" s="481"/>
      <c r="ACI13" s="481"/>
      <c r="ACJ13" s="481"/>
      <c r="ACK13" s="481"/>
      <c r="ACL13" s="481"/>
      <c r="ACM13" s="481"/>
      <c r="ACN13" s="481"/>
      <c r="ACO13" s="481"/>
      <c r="ACP13" s="481"/>
      <c r="ACQ13" s="481"/>
      <c r="ACR13" s="481"/>
      <c r="ACS13" s="481"/>
      <c r="ACT13" s="481"/>
      <c r="ACU13" s="481"/>
      <c r="ACV13" s="481"/>
      <c r="ACW13" s="481"/>
      <c r="ACX13" s="481"/>
      <c r="ACY13" s="481"/>
      <c r="ACZ13" s="481"/>
      <c r="ADA13" s="481"/>
      <c r="ADB13" s="481"/>
      <c r="ADC13" s="481"/>
      <c r="ADD13" s="481"/>
      <c r="ADE13" s="481"/>
      <c r="ADF13" s="481"/>
      <c r="ADG13" s="481"/>
      <c r="ADH13" s="481"/>
      <c r="ADI13" s="481"/>
      <c r="ADJ13" s="481"/>
      <c r="ADK13" s="335"/>
      <c r="ADL13" s="335"/>
      <c r="ADM13" s="335"/>
      <c r="ADN13" s="335"/>
      <c r="ADO13" s="335"/>
      <c r="ADP13" s="335"/>
      <c r="ADQ13" s="335"/>
      <c r="ADR13" s="335"/>
      <c r="ADS13" s="335"/>
      <c r="ADT13" s="335"/>
      <c r="ADU13" s="335"/>
      <c r="ADV13" s="335"/>
      <c r="ADW13" s="335"/>
      <c r="ADX13" s="335"/>
      <c r="ADY13" s="335"/>
      <c r="ADZ13" s="335"/>
      <c r="AEA13" s="335"/>
      <c r="AEB13" s="335"/>
      <c r="AEC13" s="335"/>
      <c r="AED13" s="335"/>
      <c r="AEE13" s="335"/>
      <c r="AEF13" s="335"/>
      <c r="AEG13" s="335"/>
      <c r="AEH13" s="335"/>
      <c r="AEI13" s="335"/>
      <c r="AEJ13" s="335"/>
      <c r="AEK13" s="335"/>
      <c r="AEL13" s="335"/>
      <c r="AEM13" s="335"/>
      <c r="AEN13" s="335"/>
      <c r="AEO13" s="335"/>
      <c r="AEP13" s="335"/>
      <c r="AEQ13" s="335"/>
      <c r="AER13" s="335"/>
      <c r="AES13" s="335"/>
      <c r="AET13" s="335"/>
      <c r="AEU13" s="335"/>
      <c r="AEV13" s="335"/>
      <c r="AEW13" s="335"/>
      <c r="AEX13" s="335"/>
      <c r="AEY13" s="335"/>
      <c r="AEZ13" s="335"/>
      <c r="AFA13" s="335"/>
      <c r="AFB13" s="335"/>
      <c r="AFC13" s="335"/>
      <c r="AFD13" s="335"/>
      <c r="AFE13" s="335"/>
      <c r="AFF13" s="335"/>
      <c r="AFG13" s="335"/>
      <c r="AFH13" s="335"/>
      <c r="AFI13" s="335"/>
      <c r="AFJ13" s="335"/>
      <c r="AFK13" s="335"/>
      <c r="AFL13" s="335"/>
      <c r="AFM13" s="335"/>
      <c r="AFN13" s="335"/>
      <c r="AFO13" s="335"/>
      <c r="AFP13" s="335"/>
      <c r="AFQ13" s="335"/>
      <c r="AFR13" s="335"/>
      <c r="AFS13" s="335"/>
      <c r="AFT13" s="335"/>
      <c r="AFU13" s="335"/>
      <c r="AFV13" s="335"/>
      <c r="AFW13" s="335"/>
      <c r="AFX13" s="335"/>
      <c r="AFY13" s="335"/>
      <c r="AFZ13" s="335"/>
      <c r="AGA13" s="335"/>
      <c r="AGB13" s="335"/>
      <c r="AGC13" s="335"/>
      <c r="AGD13" s="335"/>
      <c r="AGE13" s="335"/>
      <c r="AGF13" s="335"/>
      <c r="AGG13" s="335"/>
      <c r="AGH13" s="335"/>
      <c r="AGI13" s="335"/>
      <c r="AGJ13" s="335"/>
      <c r="AGK13" s="335"/>
      <c r="AGL13" s="335"/>
      <c r="AGM13" s="335"/>
      <c r="AGN13" s="335"/>
      <c r="AGO13" s="335"/>
      <c r="AGP13" s="335"/>
      <c r="AGQ13" s="335"/>
      <c r="AGR13" s="335"/>
      <c r="AGS13" s="335"/>
      <c r="AGT13" s="335"/>
      <c r="AGU13" s="335"/>
      <c r="AGV13" s="335"/>
      <c r="AGW13" s="335"/>
      <c r="AGX13" s="335"/>
      <c r="AGY13" s="335"/>
      <c r="AGZ13" s="335"/>
      <c r="AHA13" s="335"/>
      <c r="AHB13" s="335"/>
      <c r="AHC13" s="335"/>
      <c r="AHD13" s="335"/>
      <c r="AHE13" s="335"/>
      <c r="AHF13" s="335"/>
      <c r="AHG13" s="335"/>
      <c r="AHH13" s="335"/>
      <c r="AHI13" s="335"/>
      <c r="AHJ13" s="335"/>
      <c r="AHK13" s="335"/>
      <c r="AHL13" s="335"/>
      <c r="AHM13" s="335"/>
      <c r="AHN13" s="335"/>
      <c r="AHO13" s="335"/>
      <c r="AHP13" s="335"/>
      <c r="AHQ13" s="335"/>
      <c r="AHR13" s="335"/>
      <c r="AHS13" s="335"/>
      <c r="AHT13" s="335"/>
      <c r="AHU13" s="335"/>
      <c r="AHV13" s="335"/>
      <c r="AHW13" s="335"/>
      <c r="AHX13" s="335"/>
      <c r="AHY13" s="335"/>
      <c r="AHZ13" s="335"/>
      <c r="AIA13" s="335"/>
      <c r="AIB13" s="335"/>
      <c r="AIC13" s="339"/>
    </row>
    <row r="14" spans="1:913" s="161" customFormat="1">
      <c r="A14" s="172"/>
      <c r="B14" s="177">
        <v>0.79166666666666696</v>
      </c>
      <c r="C14" s="493">
        <f t="shared" si="246"/>
        <v>0</v>
      </c>
      <c r="D14" s="494"/>
      <c r="E14" s="493">
        <f t="shared" si="0"/>
        <v>0</v>
      </c>
      <c r="F14" s="494"/>
      <c r="G14" s="493">
        <f t="shared" si="1"/>
        <v>0</v>
      </c>
      <c r="H14" s="494"/>
      <c r="I14" s="493">
        <f t="shared" ref="I14:I21" si="1690">((I37+J37)-(I36+J36))/2</f>
        <v>0</v>
      </c>
      <c r="J14" s="494"/>
      <c r="K14" s="493">
        <f t="shared" si="2"/>
        <v>0</v>
      </c>
      <c r="L14" s="494"/>
      <c r="M14" s="493">
        <f t="shared" si="3"/>
        <v>0</v>
      </c>
      <c r="N14" s="494"/>
      <c r="O14" s="493">
        <f t="shared" si="517"/>
        <v>0</v>
      </c>
      <c r="P14" s="494"/>
      <c r="Q14" s="493">
        <f t="shared" si="248"/>
        <v>0</v>
      </c>
      <c r="R14" s="494"/>
      <c r="S14" s="493">
        <f t="shared" si="249"/>
        <v>0</v>
      </c>
      <c r="T14" s="494"/>
      <c r="U14" s="493">
        <f t="shared" si="250"/>
        <v>0</v>
      </c>
      <c r="V14" s="494"/>
      <c r="W14" s="493">
        <f>((W37+X38)-(W36+X36))/2</f>
        <v>0</v>
      </c>
      <c r="X14" s="494"/>
      <c r="Y14" s="493">
        <f t="shared" si="252"/>
        <v>0</v>
      </c>
      <c r="Z14" s="494"/>
      <c r="AA14" s="493">
        <f t="shared" si="253"/>
        <v>0</v>
      </c>
      <c r="AB14" s="494"/>
      <c r="AC14" s="493">
        <f t="shared" si="254"/>
        <v>0</v>
      </c>
      <c r="AD14" s="494"/>
      <c r="AE14" s="493">
        <f t="shared" si="255"/>
        <v>0</v>
      </c>
      <c r="AF14" s="494"/>
      <c r="AG14" s="493">
        <f t="shared" si="256"/>
        <v>0</v>
      </c>
      <c r="AH14" s="494"/>
      <c r="AI14" s="493">
        <f t="shared" si="257"/>
        <v>0</v>
      </c>
      <c r="AJ14" s="494"/>
      <c r="AK14" s="493">
        <f t="shared" si="258"/>
        <v>0</v>
      </c>
      <c r="AL14" s="494"/>
      <c r="AM14" s="493">
        <f t="shared" si="259"/>
        <v>0</v>
      </c>
      <c r="AN14" s="494"/>
      <c r="AO14" s="493">
        <f t="shared" si="260"/>
        <v>0</v>
      </c>
      <c r="AP14" s="494"/>
      <c r="AQ14" s="493">
        <f t="shared" si="261"/>
        <v>0</v>
      </c>
      <c r="AR14" s="494"/>
      <c r="AS14" s="493">
        <f t="shared" si="262"/>
        <v>0</v>
      </c>
      <c r="AT14" s="494"/>
      <c r="AU14" s="493">
        <f t="shared" si="263"/>
        <v>0</v>
      </c>
      <c r="AV14" s="494"/>
      <c r="AW14" s="493">
        <f>((AW37+AX37)-(AW35+AX36))/2</f>
        <v>0</v>
      </c>
      <c r="AX14" s="494"/>
      <c r="AY14" s="493">
        <f t="shared" si="265"/>
        <v>0</v>
      </c>
      <c r="AZ14" s="494"/>
      <c r="BA14" s="493">
        <f t="shared" si="266"/>
        <v>0</v>
      </c>
      <c r="BB14" s="494"/>
      <c r="BC14" s="493">
        <f t="shared" si="267"/>
        <v>0</v>
      </c>
      <c r="BD14" s="494"/>
      <c r="BE14" s="493">
        <f t="shared" si="268"/>
        <v>0</v>
      </c>
      <c r="BF14" s="494"/>
      <c r="BG14" s="493">
        <f t="shared" si="269"/>
        <v>0</v>
      </c>
      <c r="BH14" s="494"/>
      <c r="BI14" s="493">
        <f t="shared" si="270"/>
        <v>0</v>
      </c>
      <c r="BJ14" s="494"/>
      <c r="BK14" s="493">
        <f t="shared" si="271"/>
        <v>0</v>
      </c>
      <c r="BL14" s="494"/>
      <c r="BM14" s="493">
        <f t="shared" si="272"/>
        <v>0</v>
      </c>
      <c r="BN14" s="494"/>
      <c r="BO14" s="493">
        <f t="shared" si="273"/>
        <v>0</v>
      </c>
      <c r="BP14" s="494"/>
      <c r="BQ14" s="493">
        <f t="shared" si="274"/>
        <v>0</v>
      </c>
      <c r="BR14" s="494"/>
      <c r="BS14" s="493">
        <f t="shared" si="275"/>
        <v>0</v>
      </c>
      <c r="BT14" s="494"/>
      <c r="BU14" s="493">
        <f t="shared" si="276"/>
        <v>0</v>
      </c>
      <c r="BV14" s="494"/>
      <c r="BW14" s="493">
        <f t="shared" si="665"/>
        <v>0</v>
      </c>
      <c r="BX14" s="494"/>
      <c r="BY14" s="493">
        <f t="shared" si="277"/>
        <v>0</v>
      </c>
      <c r="BZ14" s="494"/>
      <c r="CA14" s="493">
        <f t="shared" si="278"/>
        <v>0</v>
      </c>
      <c r="CB14" s="494"/>
      <c r="CC14" s="493">
        <f t="shared" si="279"/>
        <v>0</v>
      </c>
      <c r="CD14" s="494"/>
      <c r="CE14" s="493">
        <f t="shared" si="280"/>
        <v>0</v>
      </c>
      <c r="CF14" s="494"/>
      <c r="CG14" s="493">
        <f t="shared" si="281"/>
        <v>0</v>
      </c>
      <c r="CH14" s="494"/>
      <c r="CI14" s="493">
        <f t="shared" si="282"/>
        <v>0</v>
      </c>
      <c r="CJ14" s="494"/>
      <c r="CK14" s="493">
        <f t="shared" si="283"/>
        <v>0</v>
      </c>
      <c r="CL14" s="494"/>
      <c r="CM14" s="493">
        <f t="shared" si="284"/>
        <v>0</v>
      </c>
      <c r="CN14" s="494"/>
      <c r="CO14" s="493">
        <f t="shared" si="285"/>
        <v>0</v>
      </c>
      <c r="CP14" s="494"/>
      <c r="CQ14" s="493">
        <f t="shared" si="1257"/>
        <v>0</v>
      </c>
      <c r="CR14" s="494"/>
      <c r="CS14" s="493">
        <f t="shared" si="287"/>
        <v>0</v>
      </c>
      <c r="CT14" s="494"/>
      <c r="CU14" s="493">
        <f t="shared" si="1542"/>
        <v>0</v>
      </c>
      <c r="CV14" s="494"/>
      <c r="CW14" s="493">
        <f t="shared" si="289"/>
        <v>0</v>
      </c>
      <c r="CX14" s="494"/>
      <c r="CY14" s="493">
        <f t="shared" si="290"/>
        <v>0</v>
      </c>
      <c r="CZ14" s="494"/>
      <c r="DA14" s="493">
        <f t="shared" si="813"/>
        <v>0</v>
      </c>
      <c r="DB14" s="494"/>
      <c r="DC14" s="493">
        <f>((DC38+DD37)-(DC37+DD36))/2</f>
        <v>0</v>
      </c>
      <c r="DD14" s="494"/>
      <c r="DE14" s="493">
        <f t="shared" si="293"/>
        <v>0</v>
      </c>
      <c r="DF14" s="494"/>
      <c r="DG14" s="493">
        <f t="shared" si="294"/>
        <v>0</v>
      </c>
      <c r="DH14" s="494"/>
      <c r="DI14" s="493">
        <f t="shared" si="295"/>
        <v>0</v>
      </c>
      <c r="DJ14" s="494"/>
      <c r="DK14" s="493">
        <f t="shared" si="296"/>
        <v>0</v>
      </c>
      <c r="DL14" s="494"/>
      <c r="DM14" s="493">
        <f t="shared" si="297"/>
        <v>0</v>
      </c>
      <c r="DN14" s="494"/>
      <c r="DO14" s="493">
        <f t="shared" si="298"/>
        <v>0</v>
      </c>
      <c r="DP14" s="494"/>
      <c r="DQ14" s="493">
        <f t="shared" si="666"/>
        <v>0</v>
      </c>
      <c r="DR14" s="494"/>
      <c r="DS14" s="493">
        <f t="shared" si="300"/>
        <v>0</v>
      </c>
      <c r="DT14" s="494"/>
      <c r="DU14" s="493">
        <f t="shared" si="301"/>
        <v>0</v>
      </c>
      <c r="DV14" s="494"/>
      <c r="DW14" s="493">
        <f t="shared" si="302"/>
        <v>0</v>
      </c>
      <c r="DX14" s="494"/>
      <c r="DY14" s="493">
        <f t="shared" si="303"/>
        <v>0</v>
      </c>
      <c r="DZ14" s="494"/>
      <c r="EA14" s="493">
        <f t="shared" si="304"/>
        <v>0</v>
      </c>
      <c r="EB14" s="494"/>
      <c r="EC14" s="493">
        <f t="shared" si="305"/>
        <v>0</v>
      </c>
      <c r="ED14" s="494"/>
      <c r="EE14" s="493">
        <f t="shared" si="1543"/>
        <v>0</v>
      </c>
      <c r="EF14" s="494"/>
      <c r="EG14" s="493">
        <f t="shared" si="1544"/>
        <v>0</v>
      </c>
      <c r="EH14" s="494"/>
      <c r="EI14" s="493">
        <f t="shared" si="1545"/>
        <v>0</v>
      </c>
      <c r="EJ14" s="494"/>
      <c r="EK14" s="493">
        <f t="shared" si="1546"/>
        <v>0</v>
      </c>
      <c r="EL14" s="494"/>
      <c r="EM14" s="493">
        <f t="shared" si="1547"/>
        <v>0</v>
      </c>
      <c r="EN14" s="494"/>
      <c r="EO14" s="493">
        <f t="shared" si="10"/>
        <v>0</v>
      </c>
      <c r="EP14" s="494"/>
      <c r="EQ14" s="493">
        <f t="shared" si="307"/>
        <v>0</v>
      </c>
      <c r="ER14" s="494"/>
      <c r="ES14" s="493">
        <f t="shared" si="308"/>
        <v>0</v>
      </c>
      <c r="ET14" s="494"/>
      <c r="EU14" s="493">
        <f t="shared" si="309"/>
        <v>0</v>
      </c>
      <c r="EV14" s="494"/>
      <c r="EW14" s="493">
        <f t="shared" si="310"/>
        <v>0</v>
      </c>
      <c r="EX14" s="494"/>
      <c r="EY14" s="493">
        <f t="shared" si="311"/>
        <v>0</v>
      </c>
      <c r="EZ14" s="494"/>
      <c r="FA14" s="493">
        <f t="shared" si="312"/>
        <v>0</v>
      </c>
      <c r="FB14" s="494"/>
      <c r="FC14" s="493">
        <f t="shared" si="313"/>
        <v>0</v>
      </c>
      <c r="FD14" s="494"/>
      <c r="FE14" s="493">
        <f t="shared" si="314"/>
        <v>0</v>
      </c>
      <c r="FF14" s="494"/>
      <c r="FG14" s="493">
        <f t="shared" si="315"/>
        <v>0</v>
      </c>
      <c r="FH14" s="494"/>
      <c r="FI14" s="493">
        <f t="shared" si="316"/>
        <v>0</v>
      </c>
      <c r="FJ14" s="494"/>
      <c r="FK14" s="493">
        <f t="shared" si="317"/>
        <v>0</v>
      </c>
      <c r="FL14" s="494"/>
      <c r="FM14" s="493">
        <f t="shared" si="318"/>
        <v>0</v>
      </c>
      <c r="FN14" s="494"/>
      <c r="FO14" s="493">
        <f t="shared" si="319"/>
        <v>0</v>
      </c>
      <c r="FP14" s="494"/>
      <c r="FQ14" s="493">
        <f t="shared" si="320"/>
        <v>0</v>
      </c>
      <c r="FR14" s="494"/>
      <c r="FS14" s="493">
        <f t="shared" si="321"/>
        <v>0</v>
      </c>
      <c r="FT14" s="494"/>
      <c r="FU14" s="493">
        <f t="shared" si="322"/>
        <v>0</v>
      </c>
      <c r="FV14" s="494"/>
      <c r="FW14" s="493">
        <f t="shared" si="323"/>
        <v>0</v>
      </c>
      <c r="FX14" s="494"/>
      <c r="FY14" s="493">
        <f t="shared" si="324"/>
        <v>0</v>
      </c>
      <c r="FZ14" s="494"/>
      <c r="GA14" s="493">
        <f t="shared" si="325"/>
        <v>0</v>
      </c>
      <c r="GB14" s="494"/>
      <c r="GC14" s="493">
        <f t="shared" si="326"/>
        <v>0</v>
      </c>
      <c r="GD14" s="494"/>
      <c r="GE14" s="493">
        <f t="shared" si="327"/>
        <v>0</v>
      </c>
      <c r="GF14" s="494"/>
      <c r="GG14" s="493">
        <f t="shared" si="328"/>
        <v>0</v>
      </c>
      <c r="GH14" s="494"/>
      <c r="GI14" s="493">
        <f t="shared" si="329"/>
        <v>0</v>
      </c>
      <c r="GJ14" s="494"/>
      <c r="GK14" s="493">
        <f t="shared" si="330"/>
        <v>0</v>
      </c>
      <c r="GL14" s="494"/>
      <c r="GM14" s="493">
        <f t="shared" si="331"/>
        <v>0</v>
      </c>
      <c r="GN14" s="494"/>
      <c r="GO14" s="493">
        <f t="shared" si="1258"/>
        <v>0</v>
      </c>
      <c r="GP14" s="494"/>
      <c r="GQ14" s="493">
        <f t="shared" si="333"/>
        <v>0</v>
      </c>
      <c r="GR14" s="494"/>
      <c r="GS14" s="493">
        <f t="shared" si="334"/>
        <v>0</v>
      </c>
      <c r="GT14" s="494"/>
      <c r="GU14" s="493">
        <f t="shared" si="1109"/>
        <v>0</v>
      </c>
      <c r="GV14" s="494"/>
      <c r="GW14" s="493">
        <f t="shared" si="1110"/>
        <v>0</v>
      </c>
      <c r="GX14" s="494"/>
      <c r="GY14" s="493">
        <f t="shared" si="1111"/>
        <v>0</v>
      </c>
      <c r="GZ14" s="494"/>
      <c r="HA14" s="493">
        <f t="shared" si="335"/>
        <v>0</v>
      </c>
      <c r="HB14" s="494"/>
      <c r="HC14" s="493">
        <f t="shared" si="336"/>
        <v>0</v>
      </c>
      <c r="HD14" s="494"/>
      <c r="HE14" s="493">
        <f t="shared" si="1548"/>
        <v>0</v>
      </c>
      <c r="HF14" s="494"/>
      <c r="HG14" s="493">
        <f t="shared" si="338"/>
        <v>0</v>
      </c>
      <c r="HH14" s="494"/>
      <c r="HI14" s="493">
        <f t="shared" si="339"/>
        <v>0</v>
      </c>
      <c r="HJ14" s="494"/>
      <c r="HK14" s="493">
        <f t="shared" si="340"/>
        <v>0</v>
      </c>
      <c r="HL14" s="494"/>
      <c r="HM14" s="493">
        <f t="shared" si="341"/>
        <v>0</v>
      </c>
      <c r="HN14" s="494"/>
      <c r="HO14" s="493">
        <f t="shared" si="342"/>
        <v>0</v>
      </c>
      <c r="HP14" s="494"/>
      <c r="HQ14" s="493">
        <f t="shared" si="343"/>
        <v>0</v>
      </c>
      <c r="HR14" s="494"/>
      <c r="HS14" s="493">
        <f t="shared" si="344"/>
        <v>0</v>
      </c>
      <c r="HT14" s="494"/>
      <c r="HU14" s="493">
        <f t="shared" si="345"/>
        <v>0</v>
      </c>
      <c r="HV14" s="494"/>
      <c r="HW14" s="493">
        <f t="shared" si="346"/>
        <v>0</v>
      </c>
      <c r="HX14" s="494"/>
      <c r="HY14" s="493">
        <f t="shared" si="347"/>
        <v>0</v>
      </c>
      <c r="HZ14" s="494"/>
      <c r="IA14" s="493">
        <f t="shared" si="348"/>
        <v>0</v>
      </c>
      <c r="IB14" s="494"/>
      <c r="IC14" s="493">
        <f t="shared" si="349"/>
        <v>0</v>
      </c>
      <c r="ID14" s="494"/>
      <c r="IE14" s="493">
        <f t="shared" si="350"/>
        <v>0</v>
      </c>
      <c r="IF14" s="494"/>
      <c r="IG14" s="493">
        <f t="shared" si="351"/>
        <v>0</v>
      </c>
      <c r="IH14" s="494"/>
      <c r="II14" s="493">
        <f t="shared" si="352"/>
        <v>0</v>
      </c>
      <c r="IJ14" s="494"/>
      <c r="IK14" s="493">
        <f t="shared" si="353"/>
        <v>0</v>
      </c>
      <c r="IL14" s="494"/>
      <c r="IM14" s="493">
        <f t="shared" si="354"/>
        <v>0</v>
      </c>
      <c r="IN14" s="494"/>
      <c r="IO14" s="493">
        <f t="shared" si="355"/>
        <v>0</v>
      </c>
      <c r="IP14" s="494"/>
      <c r="IQ14" s="493">
        <f t="shared" si="356"/>
        <v>0</v>
      </c>
      <c r="IR14" s="494"/>
      <c r="IS14" s="493">
        <f t="shared" si="357"/>
        <v>0</v>
      </c>
      <c r="IT14" s="494"/>
      <c r="IU14" s="493">
        <f t="shared" si="14"/>
        <v>0</v>
      </c>
      <c r="IV14" s="494"/>
      <c r="IW14" s="493">
        <f t="shared" si="15"/>
        <v>0</v>
      </c>
      <c r="IX14" s="494"/>
      <c r="IY14" s="493">
        <f t="shared" si="16"/>
        <v>0</v>
      </c>
      <c r="IZ14" s="494"/>
      <c r="JA14" s="493">
        <f t="shared" ref="JA14" si="1691">((JA37+JB37)-(JA36+JB36))/2</f>
        <v>0</v>
      </c>
      <c r="JB14" s="494"/>
      <c r="JC14" s="493">
        <f t="shared" ref="JC14" si="1692">((JC37+JD37)-(JC36+JD36))/2</f>
        <v>0</v>
      </c>
      <c r="JD14" s="494"/>
      <c r="JE14" s="493">
        <f t="shared" si="19"/>
        <v>0</v>
      </c>
      <c r="JF14" s="494"/>
      <c r="JG14" s="493">
        <f t="shared" ref="JG14" si="1693">((JG37+JH37)-(JG36+JH36))/2</f>
        <v>0</v>
      </c>
      <c r="JH14" s="494"/>
      <c r="JI14" s="493">
        <f t="shared" ref="JI14" si="1694">((JI37+JJ37)-(JI36+JJ36))/2</f>
        <v>0</v>
      </c>
      <c r="JJ14" s="494"/>
      <c r="JK14" s="493">
        <f t="shared" si="22"/>
        <v>0</v>
      </c>
      <c r="JL14" s="494"/>
      <c r="JM14" s="493">
        <f t="shared" ref="JM14" si="1695">((JM37+JN37)-(JM36+JN36))/2</f>
        <v>0</v>
      </c>
      <c r="JN14" s="494"/>
      <c r="JO14" s="493">
        <f t="shared" ref="JO14" si="1696">((JO37+JP37)-(JO36+JP36))/2</f>
        <v>0</v>
      </c>
      <c r="JP14" s="494"/>
      <c r="JQ14" s="493">
        <f t="shared" si="1555"/>
        <v>0</v>
      </c>
      <c r="JR14" s="494"/>
      <c r="JS14" s="493">
        <f t="shared" ref="JS14" si="1697">((JS37+JT37)-(JS36+JT36))/2</f>
        <v>0</v>
      </c>
      <c r="JT14" s="494"/>
      <c r="JU14" s="493">
        <f t="shared" ref="JU14" si="1698">((JU37+JV37)-(JU36+JV36))/2</f>
        <v>0</v>
      </c>
      <c r="JV14" s="494"/>
      <c r="JW14" s="493">
        <f t="shared" si="28"/>
        <v>0</v>
      </c>
      <c r="JX14" s="494"/>
      <c r="JY14" s="493">
        <f t="shared" ref="JY14" si="1699">((JY37+JZ37)-(JY36+JZ36))/2</f>
        <v>0</v>
      </c>
      <c r="JZ14" s="494"/>
      <c r="KA14" s="493">
        <f t="shared" ref="KA14" si="1700">((KA37+KB37)-(KA36+KB36))/2</f>
        <v>0</v>
      </c>
      <c r="KB14" s="494"/>
      <c r="KC14" s="493">
        <f t="shared" si="31"/>
        <v>0</v>
      </c>
      <c r="KD14" s="494"/>
      <c r="KE14" s="493">
        <f t="shared" si="368"/>
        <v>0</v>
      </c>
      <c r="KF14" s="494"/>
      <c r="KG14" s="493">
        <f t="shared" ref="KG14" si="1701">((KG37+KH37)-(KG36+KH36))/2</f>
        <v>0</v>
      </c>
      <c r="KH14" s="494"/>
      <c r="KI14" s="493">
        <f t="shared" si="34"/>
        <v>0</v>
      </c>
      <c r="KJ14" s="494"/>
      <c r="KK14" s="493">
        <f t="shared" ref="KK14" si="1702">((KK37+KL37)-(KK36+KL36))/2</f>
        <v>0</v>
      </c>
      <c r="KL14" s="494"/>
      <c r="KM14" s="493">
        <f t="shared" ref="KM14" si="1703">((KM37+KN37)-(KM36+KN36))/2</f>
        <v>0</v>
      </c>
      <c r="KN14" s="494"/>
      <c r="KO14" s="493">
        <f t="shared" si="37"/>
        <v>0</v>
      </c>
      <c r="KP14" s="494"/>
      <c r="KQ14" s="493">
        <f t="shared" ref="KQ14" si="1704">((KQ37+KR37)-(KQ36+KR36))/2</f>
        <v>0</v>
      </c>
      <c r="KR14" s="494"/>
      <c r="KS14" s="493">
        <f t="shared" ref="KS14" si="1705">((KS37+KT37)-(KS36+KT36))/2</f>
        <v>0</v>
      </c>
      <c r="KT14" s="494"/>
      <c r="KU14" s="493">
        <f t="shared" si="40"/>
        <v>0</v>
      </c>
      <c r="KV14" s="494"/>
      <c r="KW14" s="493">
        <f t="shared" ref="KW14" si="1706">((KW37+KX37)-(KW36+KX36))/2</f>
        <v>0</v>
      </c>
      <c r="KX14" s="494"/>
      <c r="KY14" s="493">
        <f t="shared" ref="KY14" si="1707">((KY37+KZ37)-(KY36+KZ36))/2</f>
        <v>0</v>
      </c>
      <c r="KZ14" s="494"/>
      <c r="LA14" s="493">
        <f t="shared" si="43"/>
        <v>0</v>
      </c>
      <c r="LB14" s="494"/>
      <c r="LC14" s="493">
        <f t="shared" si="376"/>
        <v>0</v>
      </c>
      <c r="LD14" s="494"/>
      <c r="LE14" s="493">
        <f t="shared" si="377"/>
        <v>0</v>
      </c>
      <c r="LF14" s="494"/>
      <c r="LG14" s="493">
        <f t="shared" si="378"/>
        <v>0</v>
      </c>
      <c r="LH14" s="494"/>
      <c r="LI14" s="493">
        <f t="shared" ref="LI14" si="1708">((LI37+LJ37)-(LI36+LJ36))/2</f>
        <v>0</v>
      </c>
      <c r="LJ14" s="494"/>
      <c r="LK14" s="493">
        <f t="shared" ref="LK14" si="1709">((LK37+LL37)-(LK36+LL36))/2</f>
        <v>0</v>
      </c>
      <c r="LL14" s="494"/>
      <c r="LM14" s="493">
        <f t="shared" si="49"/>
        <v>0</v>
      </c>
      <c r="LN14" s="494"/>
      <c r="LO14" s="493">
        <f t="shared" ref="LO14" si="1710">((LO37+LP37)-(LO36+LP36))/2</f>
        <v>0</v>
      </c>
      <c r="LP14" s="494"/>
      <c r="LQ14" s="493">
        <f t="shared" ref="LQ14" si="1711">((LQ37+LR37)-(LQ36+LR36))/2</f>
        <v>0</v>
      </c>
      <c r="LR14" s="494"/>
      <c r="LS14" s="493">
        <f t="shared" si="52"/>
        <v>0</v>
      </c>
      <c r="LT14" s="494"/>
      <c r="LU14" s="493">
        <f t="shared" ref="LU14" si="1712">((LU37+LV37)-(LU36+LV36))/2</f>
        <v>0</v>
      </c>
      <c r="LV14" s="494"/>
      <c r="LW14" s="493">
        <f t="shared" ref="LW14" si="1713">((LW37+LX37)-(LW36+LX36))/2</f>
        <v>0</v>
      </c>
      <c r="LX14" s="494"/>
      <c r="LY14" s="493">
        <f t="shared" si="55"/>
        <v>0</v>
      </c>
      <c r="LZ14" s="494"/>
      <c r="MA14" s="493">
        <f t="shared" ref="MA14" si="1714">((MA37+MB37)-(MA36+MB36))/2</f>
        <v>0</v>
      </c>
      <c r="MB14" s="494"/>
      <c r="MC14" s="493">
        <f t="shared" ref="MC14" si="1715">((MC37+MD37)-(MC36+MD36))/2</f>
        <v>0</v>
      </c>
      <c r="MD14" s="494"/>
      <c r="ME14" s="493">
        <f t="shared" si="58"/>
        <v>0</v>
      </c>
      <c r="MF14" s="494"/>
      <c r="MG14" s="493">
        <f t="shared" ref="MG14" si="1716">((MG37+MH37)-(MG36+MH36))/2</f>
        <v>0</v>
      </c>
      <c r="MH14" s="494"/>
      <c r="MI14" s="493">
        <f t="shared" ref="MI14" si="1717">((MI37+MJ37)-(MI36+MJ36))/2</f>
        <v>0</v>
      </c>
      <c r="MJ14" s="494"/>
      <c r="MK14" s="493">
        <f t="shared" si="61"/>
        <v>0</v>
      </c>
      <c r="ML14" s="494"/>
      <c r="MM14" s="493">
        <f t="shared" ref="MM14" si="1718">((MM37+MN37)-(MM36+MN36))/2</f>
        <v>0</v>
      </c>
      <c r="MN14" s="494"/>
      <c r="MO14" s="493">
        <f t="shared" ref="MO14" si="1719">((MO37+MP37)-(MO36+MP36))/2</f>
        <v>0</v>
      </c>
      <c r="MP14" s="494"/>
      <c r="MQ14" s="493">
        <f t="shared" si="64"/>
        <v>0</v>
      </c>
      <c r="MR14" s="494"/>
      <c r="MS14" s="493">
        <f t="shared" ref="MS14" si="1720">((MS37+MT37)-(MS36+MT36))/2</f>
        <v>0</v>
      </c>
      <c r="MT14" s="494"/>
      <c r="MU14" s="493">
        <f t="shared" ref="MU14" si="1721">((MU37+MV37)-(MU36+MV36))/2</f>
        <v>0</v>
      </c>
      <c r="MV14" s="494"/>
      <c r="MW14" s="493">
        <f t="shared" si="67"/>
        <v>0</v>
      </c>
      <c r="MX14" s="494"/>
      <c r="MY14" s="493">
        <f t="shared" ref="MY14" si="1722">((MY37+MZ37)-(MY36+MZ36))/2</f>
        <v>0</v>
      </c>
      <c r="MZ14" s="494"/>
      <c r="NA14" s="493">
        <f t="shared" ref="NA14" si="1723">((NA37+NB37)-(NA36+NB36))/2</f>
        <v>0</v>
      </c>
      <c r="NB14" s="494"/>
      <c r="NC14" s="493">
        <f t="shared" si="70"/>
        <v>0</v>
      </c>
      <c r="ND14" s="494"/>
      <c r="NE14" s="493">
        <f t="shared" ref="NE14" si="1724">((NE37+NF37)-(NE36+NF36))/2</f>
        <v>0</v>
      </c>
      <c r="NF14" s="494"/>
      <c r="NG14" s="493">
        <f t="shared" ref="NG14" si="1725">((NG37+NH37)-(NG36+NH36))/2</f>
        <v>0</v>
      </c>
      <c r="NH14" s="494"/>
      <c r="NI14" s="493">
        <f t="shared" si="73"/>
        <v>0</v>
      </c>
      <c r="NJ14" s="494"/>
      <c r="NK14" s="493">
        <f t="shared" ref="NK14" si="1726">((NK37+NL37)-(NK36+NL36))/2</f>
        <v>0</v>
      </c>
      <c r="NL14" s="494"/>
      <c r="NM14" s="493">
        <f t="shared" ref="NM14" si="1727">((NM37+NN37)-(NM36+NN36))/2</f>
        <v>0</v>
      </c>
      <c r="NN14" s="494"/>
      <c r="NO14" s="493">
        <f t="shared" si="76"/>
        <v>0</v>
      </c>
      <c r="NP14" s="494"/>
      <c r="NQ14" s="493">
        <f t="shared" ref="NQ14" si="1728">((NQ37+NR37)-(NQ36+NR36))/2</f>
        <v>0</v>
      </c>
      <c r="NR14" s="494"/>
      <c r="NS14" s="493">
        <f t="shared" ref="NS14" si="1729">((NS37+NT37)-(NS36+NT36))/2</f>
        <v>0</v>
      </c>
      <c r="NT14" s="494"/>
      <c r="NU14" s="493">
        <f t="shared" si="79"/>
        <v>0</v>
      </c>
      <c r="NV14" s="494"/>
      <c r="NW14" s="493">
        <f t="shared" ref="NW14" si="1730">((NW37+NX37)-(NW36+NX36))/2</f>
        <v>0</v>
      </c>
      <c r="NX14" s="494"/>
      <c r="NY14" s="493">
        <f t="shared" ref="NY14" si="1731">((NY37+NZ37)-(NY36+NZ36))/2</f>
        <v>0</v>
      </c>
      <c r="NZ14" s="494"/>
      <c r="OA14" s="493">
        <f t="shared" si="82"/>
        <v>0</v>
      </c>
      <c r="OB14" s="494"/>
      <c r="OC14" s="493">
        <f t="shared" ref="OC14" si="1732">((OC37+OD37)-(OC36+OD36))/2</f>
        <v>0</v>
      </c>
      <c r="OD14" s="494"/>
      <c r="OE14" s="493">
        <f t="shared" ref="OE14" si="1733">((OE37+OF37)-(OE36+OF36))/2</f>
        <v>0</v>
      </c>
      <c r="OF14" s="494"/>
      <c r="OG14" s="493">
        <f t="shared" si="85"/>
        <v>0</v>
      </c>
      <c r="OH14" s="494"/>
      <c r="OI14" s="493">
        <f t="shared" ref="OI14" si="1734">((OI37+OJ37)-(OI36+OJ36))/2</f>
        <v>0</v>
      </c>
      <c r="OJ14" s="494"/>
      <c r="OK14" s="493">
        <f t="shared" ref="OK14" si="1735">((OK37+OL37)-(OK36+OL36))/2</f>
        <v>0</v>
      </c>
      <c r="OL14" s="494"/>
      <c r="OM14" s="493">
        <f t="shared" si="88"/>
        <v>0</v>
      </c>
      <c r="ON14" s="494"/>
      <c r="OO14" s="493">
        <f t="shared" ref="OO14" si="1736">((OO37+OP37)-(OO36+OP36))/2</f>
        <v>0</v>
      </c>
      <c r="OP14" s="494"/>
      <c r="OQ14" s="493">
        <f t="shared" ref="OQ14" si="1737">((OQ37+OR37)-(OQ36+OR36))/2</f>
        <v>0</v>
      </c>
      <c r="OR14" s="494"/>
      <c r="OS14" s="493">
        <f t="shared" si="91"/>
        <v>0</v>
      </c>
      <c r="OT14" s="494"/>
      <c r="OU14" s="493">
        <f t="shared" ref="OU14" si="1738">((OU37+OV37)-(OU36+OV36))/2</f>
        <v>0</v>
      </c>
      <c r="OV14" s="494"/>
      <c r="OW14" s="493">
        <f t="shared" ref="OW14" si="1739">((OW37+OX37)-(OW36+OX36))/2</f>
        <v>0</v>
      </c>
      <c r="OX14" s="494"/>
      <c r="OY14" s="493">
        <f t="shared" si="94"/>
        <v>0</v>
      </c>
      <c r="OZ14" s="494"/>
      <c r="PA14" s="493">
        <f t="shared" ref="PA14" si="1740">((PA37+PB37)-(PA36+PB36))/2</f>
        <v>0</v>
      </c>
      <c r="PB14" s="494"/>
      <c r="PC14" s="493">
        <f t="shared" ref="PC14" si="1741">((PC37+PD37)-(PC36+PD36))/2</f>
        <v>0</v>
      </c>
      <c r="PD14" s="494"/>
      <c r="PE14" s="493">
        <f t="shared" si="97"/>
        <v>0</v>
      </c>
      <c r="PF14" s="494"/>
      <c r="PG14" s="493">
        <f t="shared" ref="PG14" si="1742">((PG37+PH37)-(PG36+PH36))/2</f>
        <v>0</v>
      </c>
      <c r="PH14" s="494"/>
      <c r="PI14" s="493">
        <f t="shared" ref="PI14" si="1743">((PI37+PJ37)-(PI36+PJ36))/2</f>
        <v>0</v>
      </c>
      <c r="PJ14" s="494"/>
      <c r="PK14" s="493">
        <f t="shared" si="100"/>
        <v>0</v>
      </c>
      <c r="PL14" s="494"/>
      <c r="PM14" s="493">
        <f t="shared" ref="PM14" si="1744">((PM37+PN37)-(PM36+PN36))/2</f>
        <v>0</v>
      </c>
      <c r="PN14" s="494"/>
      <c r="PO14" s="493">
        <f t="shared" si="1604"/>
        <v>0</v>
      </c>
      <c r="PP14" s="494"/>
      <c r="PQ14" s="493">
        <f t="shared" si="103"/>
        <v>0</v>
      </c>
      <c r="PR14" s="494"/>
      <c r="PS14" s="493">
        <f t="shared" ref="PS14" si="1745">((PS37+PT37)-(PS36+PT36))/2</f>
        <v>0</v>
      </c>
      <c r="PT14" s="494"/>
      <c r="PU14" s="493">
        <f t="shared" ref="PU14" si="1746">((PU37+PV37)-(PU36+PV36))/2</f>
        <v>0</v>
      </c>
      <c r="PV14" s="494"/>
      <c r="PW14" s="493">
        <f t="shared" si="106"/>
        <v>0</v>
      </c>
      <c r="PX14" s="494"/>
      <c r="PY14" s="493">
        <f t="shared" ref="PY14" si="1747">((PY37+PZ37)-(PY36+PZ36))/2</f>
        <v>0</v>
      </c>
      <c r="PZ14" s="494"/>
      <c r="QA14" s="493">
        <f t="shared" ref="QA14" si="1748">((QA37+QB37)-(QA36+QB36))/2</f>
        <v>0</v>
      </c>
      <c r="QB14" s="494"/>
      <c r="QC14" s="493">
        <f t="shared" si="109"/>
        <v>0</v>
      </c>
      <c r="QD14" s="494"/>
      <c r="QE14" s="493">
        <f t="shared" ref="QE14" si="1749">((QE37+QF37)-(QE36+QF36))/2</f>
        <v>0</v>
      </c>
      <c r="QF14" s="494"/>
      <c r="QG14" s="493">
        <f t="shared" ref="QG14" si="1750">((QG37+QH37)-(QG36+QH36))/2</f>
        <v>0</v>
      </c>
      <c r="QH14" s="494"/>
      <c r="QI14" s="493">
        <f t="shared" si="112"/>
        <v>0</v>
      </c>
      <c r="QJ14" s="494"/>
      <c r="QK14" s="493">
        <f t="shared" ref="QK14" si="1751">((QK37+QL37)-(QK36+QL36))/2</f>
        <v>0</v>
      </c>
      <c r="QL14" s="494"/>
      <c r="QM14" s="493">
        <f t="shared" ref="QM14" si="1752">((QM37+QN37)-(QM36+QN36))/2</f>
        <v>0</v>
      </c>
      <c r="QN14" s="494"/>
      <c r="QO14" s="493">
        <f t="shared" si="115"/>
        <v>0</v>
      </c>
      <c r="QP14" s="494"/>
      <c r="QQ14" s="493">
        <f t="shared" ref="QQ14" si="1753">((QQ37+QR37)-(QQ36+QR36))/2</f>
        <v>0</v>
      </c>
      <c r="QR14" s="494"/>
      <c r="QS14" s="493">
        <f t="shared" ref="QS14" si="1754">((QS37+QT37)-(QS36+QT36))/2</f>
        <v>0</v>
      </c>
      <c r="QT14" s="494"/>
      <c r="QU14" s="493">
        <f t="shared" si="118"/>
        <v>0</v>
      </c>
      <c r="QV14" s="494"/>
      <c r="QW14" s="493">
        <f t="shared" ref="QW14" si="1755">((QW37+QX37)-(QW36+QX36))/2</f>
        <v>0</v>
      </c>
      <c r="QX14" s="494"/>
      <c r="QY14" s="493">
        <f t="shared" ref="QY14" si="1756">((QY37+QZ37)-(QY36+QZ36))/2</f>
        <v>0</v>
      </c>
      <c r="QZ14" s="494"/>
      <c r="RA14" s="493">
        <f t="shared" si="121"/>
        <v>0</v>
      </c>
      <c r="RB14" s="494"/>
      <c r="RC14" s="493">
        <f t="shared" ref="RC14" si="1757">((RC37+RD37)-(RC36+RD36))/2</f>
        <v>0</v>
      </c>
      <c r="RD14" s="494"/>
      <c r="RE14" s="493">
        <f t="shared" ref="RE14" si="1758">((RE37+RF37)-(RE36+RF36))/2</f>
        <v>0</v>
      </c>
      <c r="RF14" s="494"/>
      <c r="RG14" s="493">
        <f t="shared" si="124"/>
        <v>0</v>
      </c>
      <c r="RH14" s="494"/>
      <c r="RI14" s="493">
        <f t="shared" ref="RI14" si="1759">((RI37+RJ37)-(RI36+RJ36))/2</f>
        <v>0</v>
      </c>
      <c r="RJ14" s="494"/>
      <c r="RK14" s="493">
        <f t="shared" ref="RK14" si="1760">((RK37+RL37)-(RK36+RL36))/2</f>
        <v>0</v>
      </c>
      <c r="RL14" s="494"/>
      <c r="RM14" s="493">
        <f t="shared" si="126"/>
        <v>0</v>
      </c>
      <c r="RN14" s="494"/>
      <c r="RO14" s="493">
        <f t="shared" ref="RO14" si="1761">((RO37+RP37)-(RO36+RP36))/2</f>
        <v>0</v>
      </c>
      <c r="RP14" s="494"/>
      <c r="RQ14" s="493">
        <f t="shared" ref="RQ14" si="1762">((RQ37+RR37)-(RQ36+RR36))/2</f>
        <v>0</v>
      </c>
      <c r="RR14" s="494"/>
      <c r="RS14" s="493">
        <f t="shared" si="129"/>
        <v>0</v>
      </c>
      <c r="RT14" s="494"/>
      <c r="RU14" s="493">
        <f t="shared" ref="RU14" si="1763">((RU37+RV37)-(RU36+RV36))/2</f>
        <v>0</v>
      </c>
      <c r="RV14" s="494"/>
      <c r="RW14" s="493">
        <f t="shared" ref="RW14" si="1764">((RW37+RX37)-(RW36+RX36))/2</f>
        <v>0</v>
      </c>
      <c r="RX14" s="494"/>
      <c r="RY14" s="493">
        <f t="shared" si="132"/>
        <v>0</v>
      </c>
      <c r="RZ14" s="494"/>
      <c r="SA14" s="493">
        <f t="shared" ref="SA14" si="1765">((SA37+SB37)-(SA36+SB36))/2</f>
        <v>0</v>
      </c>
      <c r="SB14" s="494"/>
      <c r="SC14" s="493">
        <f t="shared" ref="SC14" si="1766">((SC37+SD37)-(SC36+SD36))/2</f>
        <v>0</v>
      </c>
      <c r="SD14" s="494"/>
      <c r="SE14" s="493">
        <f t="shared" si="135"/>
        <v>0</v>
      </c>
      <c r="SF14" s="494"/>
      <c r="SG14" s="493">
        <f t="shared" ref="SG14" si="1767">((SG37+SH37)-(SG36+SH36))/2</f>
        <v>0</v>
      </c>
      <c r="SH14" s="494"/>
      <c r="SI14" s="493">
        <f t="shared" ref="SI14" si="1768">((SI37+SJ37)-(SI36+SJ36))/2</f>
        <v>0</v>
      </c>
      <c r="SJ14" s="494"/>
      <c r="SK14" s="493">
        <f t="shared" si="138"/>
        <v>0</v>
      </c>
      <c r="SL14" s="494"/>
      <c r="SM14" s="493">
        <f t="shared" ref="SM14" si="1769">((SM37+SN37)-(SM36+SN36))/2</f>
        <v>0</v>
      </c>
      <c r="SN14" s="494"/>
      <c r="SO14" s="493">
        <f t="shared" ref="SO14" si="1770">((SO37+SP37)-(SO36+SP36))/2</f>
        <v>0</v>
      </c>
      <c r="SP14" s="494"/>
      <c r="SQ14" s="493">
        <f t="shared" si="141"/>
        <v>0</v>
      </c>
      <c r="SR14" s="494"/>
      <c r="SS14" s="493">
        <f t="shared" ref="SS14" si="1771">((SS37+ST37)-(SS36+ST36))/2</f>
        <v>0</v>
      </c>
      <c r="ST14" s="494"/>
      <c r="SU14" s="493">
        <f t="shared" si="1481"/>
        <v>0</v>
      </c>
      <c r="SV14" s="494"/>
      <c r="SW14" s="493">
        <f t="shared" si="144"/>
        <v>0</v>
      </c>
      <c r="SX14" s="494"/>
      <c r="SY14" s="493">
        <f t="shared" ref="SY14" si="1772">((SY37+SZ37)-(SY36+SZ36))/2</f>
        <v>0</v>
      </c>
      <c r="SZ14" s="494"/>
      <c r="TA14" s="493">
        <f t="shared" ref="TA14" si="1773">((TA37+TB37)-(TA36+TB36))/2</f>
        <v>0</v>
      </c>
      <c r="TB14" s="494"/>
      <c r="TC14" s="493">
        <f t="shared" si="147"/>
        <v>0</v>
      </c>
      <c r="TD14" s="494"/>
      <c r="TE14" s="493">
        <f t="shared" ref="TE14" si="1774">((TE37+TF37)-(TE36+TF36))/2</f>
        <v>0</v>
      </c>
      <c r="TF14" s="494"/>
      <c r="TG14" s="493">
        <f t="shared" ref="TG14" si="1775">((TG37+TH37)-(TG36+TH36))/2</f>
        <v>0</v>
      </c>
      <c r="TH14" s="494"/>
      <c r="TI14" s="493">
        <f t="shared" si="150"/>
        <v>0</v>
      </c>
      <c r="TJ14" s="494"/>
      <c r="TK14" s="493">
        <f t="shared" ref="TK14" si="1776">((TK37+TL37)-(TK36+TL36))/2</f>
        <v>0</v>
      </c>
      <c r="TL14" s="494"/>
      <c r="TM14" s="493">
        <f t="shared" ref="TM14" si="1777">((TM37+TN37)-(TM36+TN36))/2</f>
        <v>0</v>
      </c>
      <c r="TN14" s="494"/>
      <c r="TO14" s="493">
        <f t="shared" si="153"/>
        <v>0</v>
      </c>
      <c r="TP14" s="494"/>
      <c r="TQ14" s="493">
        <f t="shared" ref="TQ14" si="1778">((TQ37+TR37)-(TQ36+TR36))/2</f>
        <v>0</v>
      </c>
      <c r="TR14" s="494"/>
      <c r="TS14" s="493">
        <f t="shared" si="1637"/>
        <v>0</v>
      </c>
      <c r="TT14" s="494"/>
      <c r="TU14" s="493">
        <f t="shared" si="156"/>
        <v>0</v>
      </c>
      <c r="TV14" s="494"/>
      <c r="TW14" s="493">
        <f t="shared" ref="TW14" si="1779">((TW37+TX37)-(TW36+TX36))/2</f>
        <v>0</v>
      </c>
      <c r="TX14" s="494"/>
      <c r="TY14" s="493">
        <f>((TY38+TZ37)-(TY37+TZ36))/2</f>
        <v>0</v>
      </c>
      <c r="TZ14" s="494"/>
      <c r="UA14" s="493">
        <f t="shared" si="159"/>
        <v>0</v>
      </c>
      <c r="UB14" s="494"/>
      <c r="UC14" s="493">
        <f t="shared" ref="UC14" si="1780">((UC37+UD37)-(UC36+UD36))/2</f>
        <v>0</v>
      </c>
      <c r="UD14" s="494"/>
      <c r="UE14" s="493">
        <f t="shared" ref="UE14" si="1781">((UE37+UF37)-(UE36+UF36))/2</f>
        <v>0</v>
      </c>
      <c r="UF14" s="494"/>
      <c r="UG14" s="493">
        <f t="shared" si="162"/>
        <v>0</v>
      </c>
      <c r="UH14" s="494"/>
      <c r="UI14" s="493">
        <f t="shared" ref="UI14" si="1782">((UI37+UJ37)-(UI36+UJ36))/2</f>
        <v>0</v>
      </c>
      <c r="UJ14" s="494"/>
      <c r="UK14" s="493">
        <f t="shared" ref="UK14" si="1783">((UK37+UL37)-(UK36+UL36))/2</f>
        <v>0</v>
      </c>
      <c r="UL14" s="494"/>
      <c r="UM14" s="493">
        <f t="shared" si="165"/>
        <v>0</v>
      </c>
      <c r="UN14" s="494"/>
      <c r="UO14" s="493">
        <f t="shared" ref="UO14" si="1784">((UO37+UP37)-(UO36+UP36))/2</f>
        <v>0</v>
      </c>
      <c r="UP14" s="494"/>
      <c r="UQ14" s="493">
        <f t="shared" ref="UQ14" si="1785">((UQ37+UR37)-(UQ36+UR36))/2</f>
        <v>0</v>
      </c>
      <c r="UR14" s="494"/>
      <c r="US14" s="493">
        <f t="shared" si="168"/>
        <v>0</v>
      </c>
      <c r="UT14" s="494"/>
      <c r="UU14" s="493">
        <f t="shared" ref="UU14" si="1786">((UU37+UV37)-(UU36+UV36))/2</f>
        <v>0</v>
      </c>
      <c r="UV14" s="494"/>
      <c r="UW14" s="493">
        <f t="shared" ref="UW14" si="1787">((UW37+UX37)-(UW36+UX36))/2</f>
        <v>0</v>
      </c>
      <c r="UX14" s="494"/>
      <c r="UY14" s="493">
        <f t="shared" si="171"/>
        <v>0</v>
      </c>
      <c r="UZ14" s="494"/>
      <c r="VA14" s="493">
        <f t="shared" ref="VA14" si="1788">((VA37+VB37)-(VA36+VB36))/2</f>
        <v>0</v>
      </c>
      <c r="VB14" s="494"/>
      <c r="VC14" s="493">
        <f t="shared" ref="VC14" si="1789">((VC37+VD37)-(VC36+VD36))/2</f>
        <v>0</v>
      </c>
      <c r="VD14" s="494"/>
      <c r="VE14" s="493">
        <f t="shared" si="464"/>
        <v>0</v>
      </c>
      <c r="VF14" s="494"/>
      <c r="VG14" s="493">
        <f t="shared" ref="VG14" si="1790">((VG37+VH37)-(VG36+VH36))/2</f>
        <v>0</v>
      </c>
      <c r="VH14" s="494"/>
      <c r="VI14" s="493">
        <f t="shared" si="1649"/>
        <v>0</v>
      </c>
      <c r="VJ14" s="494"/>
      <c r="VK14" s="493">
        <f t="shared" si="467"/>
        <v>0</v>
      </c>
      <c r="VL14" s="494"/>
      <c r="VM14" s="493">
        <f t="shared" ref="VM14" si="1791">((VM37+VN37)-(VM36+VN36))/2</f>
        <v>0</v>
      </c>
      <c r="VN14" s="494"/>
      <c r="VO14" s="493">
        <f t="shared" ref="VO14" si="1792">((VO37+VP37)-(VO36+VP36))/2</f>
        <v>0</v>
      </c>
      <c r="VP14" s="494"/>
      <c r="VQ14" s="493">
        <f t="shared" si="178"/>
        <v>0</v>
      </c>
      <c r="VR14" s="494"/>
      <c r="VS14" s="493">
        <f>((VS37+VT37)-(VS36+VT35))/2</f>
        <v>0</v>
      </c>
      <c r="VT14" s="494"/>
      <c r="VU14" s="493">
        <f>((VU37+VV37)-(VU36+VV35))/2</f>
        <v>0</v>
      </c>
      <c r="VV14" s="494"/>
      <c r="VW14" s="493">
        <f t="shared" si="181"/>
        <v>0</v>
      </c>
      <c r="VX14" s="494"/>
      <c r="VY14" s="493">
        <f t="shared" ref="VY14" si="1793">((VY37+VZ37)-(VY36+VZ36))/2</f>
        <v>0</v>
      </c>
      <c r="VZ14" s="494"/>
      <c r="WA14" s="493">
        <f t="shared" si="1067"/>
        <v>0</v>
      </c>
      <c r="WB14" s="494"/>
      <c r="WC14" s="493">
        <f t="shared" si="184"/>
        <v>0</v>
      </c>
      <c r="WD14" s="494"/>
      <c r="WE14" s="493">
        <f t="shared" ref="WE14" si="1794">((WE37+WF37)-(WE36+WF36))/2</f>
        <v>0</v>
      </c>
      <c r="WF14" s="494"/>
      <c r="WG14" s="493">
        <f t="shared" ref="WG14" si="1795">((WG37+WH37)-(WG36+WH36))/2</f>
        <v>0</v>
      </c>
      <c r="WH14" s="494"/>
      <c r="WI14" s="493">
        <f t="shared" si="187"/>
        <v>0</v>
      </c>
      <c r="WJ14" s="494"/>
      <c r="WK14" s="493">
        <f t="shared" ref="WK14" si="1796">((WK37+WL37)-(WK36+WL36))/2</f>
        <v>0</v>
      </c>
      <c r="WL14" s="494"/>
      <c r="WM14" s="493">
        <f t="shared" ref="WM14" si="1797">((WM37+WN37)-(WM36+WN36))/2</f>
        <v>0</v>
      </c>
      <c r="WN14" s="494"/>
      <c r="WO14" s="493">
        <f t="shared" si="190"/>
        <v>0</v>
      </c>
      <c r="WP14" s="494"/>
      <c r="WQ14" s="493">
        <f t="shared" si="477"/>
        <v>0</v>
      </c>
      <c r="WR14" s="494"/>
      <c r="WS14" s="493">
        <f t="shared" ref="WS14" si="1798">((WS37+WT37)-(WS36+WT36))/2</f>
        <v>0</v>
      </c>
      <c r="WT14" s="494"/>
      <c r="WU14" s="493">
        <f t="shared" si="193"/>
        <v>0</v>
      </c>
      <c r="WV14" s="494"/>
      <c r="WW14" s="493">
        <f t="shared" ref="WW14" si="1799">((WW37+WX37)-(WW36+WX36))/2</f>
        <v>0</v>
      </c>
      <c r="WX14" s="494"/>
      <c r="WY14" s="493">
        <f t="shared" ref="WY14" si="1800">((WY37+WZ37)-(WY36+WZ36))/2</f>
        <v>0</v>
      </c>
      <c r="WZ14" s="494"/>
      <c r="XA14" s="493">
        <f t="shared" si="196"/>
        <v>0</v>
      </c>
      <c r="XB14" s="494"/>
      <c r="XC14" s="493">
        <f t="shared" ref="XC14" si="1801">((XC37+XD37)-(XC36+XD36))/2</f>
        <v>0</v>
      </c>
      <c r="XD14" s="494"/>
      <c r="XE14" s="493">
        <f t="shared" ref="XE14" si="1802">((XE37+XF37)-(XE36+XF36))/2</f>
        <v>0</v>
      </c>
      <c r="XF14" s="494"/>
      <c r="XG14" s="493">
        <f t="shared" si="199"/>
        <v>0</v>
      </c>
      <c r="XH14" s="494"/>
      <c r="XI14" s="493">
        <f t="shared" ref="XI14" si="1803">((XI37+XJ37)-(XI36+XJ36))/2</f>
        <v>0</v>
      </c>
      <c r="XJ14" s="494"/>
      <c r="XK14" s="493">
        <f t="shared" ref="XK14" si="1804">((XK37+XL37)-(XK36+XL36))/2</f>
        <v>0</v>
      </c>
      <c r="XL14" s="494"/>
      <c r="XM14" s="493">
        <f t="shared" si="202"/>
        <v>0</v>
      </c>
      <c r="XN14" s="494"/>
      <c r="XO14" s="493">
        <f t="shared" si="933"/>
        <v>0</v>
      </c>
      <c r="XP14" s="494"/>
      <c r="XQ14" s="493">
        <f t="shared" ref="XQ14" si="1805">((XQ37+XR37)-(XQ36+XR36))/2</f>
        <v>0</v>
      </c>
      <c r="XR14" s="494"/>
      <c r="XS14" s="493">
        <f t="shared" si="205"/>
        <v>0</v>
      </c>
      <c r="XT14" s="494"/>
      <c r="XU14" s="493">
        <f t="shared" ref="XU14" si="1806">((XU37+XV37)-(XU36+XV36))/2</f>
        <v>0</v>
      </c>
      <c r="XV14" s="494"/>
      <c r="XW14" s="493">
        <f t="shared" ref="XW14" si="1807">((XW37+XX37)-(XW36+XX36))/2</f>
        <v>0</v>
      </c>
      <c r="XX14" s="494"/>
      <c r="XY14" s="493">
        <f t="shared" si="208"/>
        <v>0</v>
      </c>
      <c r="XZ14" s="494"/>
      <c r="YA14" s="493">
        <f t="shared" ref="YA14" si="1808">((YA37+YB37)-(YA36+YB36))/2</f>
        <v>0</v>
      </c>
      <c r="YB14" s="494"/>
      <c r="YC14" s="493">
        <f t="shared" ref="YC14" si="1809">((YC37+YD37)-(YC36+YD36))/2</f>
        <v>0</v>
      </c>
      <c r="YD14" s="494"/>
      <c r="YE14" s="493">
        <f t="shared" si="211"/>
        <v>0</v>
      </c>
      <c r="YF14" s="494"/>
      <c r="YG14" s="493">
        <f t="shared" ref="YG14" si="1810">((YG37+YH37)-(YG36+YH36))/2</f>
        <v>0</v>
      </c>
      <c r="YH14" s="494"/>
      <c r="YI14" s="493">
        <f t="shared" ref="YI14" si="1811">((YI37+YJ37)-(YI36+YJ36))/2</f>
        <v>0</v>
      </c>
      <c r="YJ14" s="494"/>
      <c r="YK14" s="493">
        <f t="shared" si="214"/>
        <v>0</v>
      </c>
      <c r="YL14" s="494"/>
      <c r="YM14" s="493">
        <f t="shared" ref="YM14" si="1812">((YM37+YN37)-(YM36+YN36))/2</f>
        <v>0</v>
      </c>
      <c r="YN14" s="494"/>
      <c r="YO14" s="493">
        <f t="shared" si="216"/>
        <v>0</v>
      </c>
      <c r="YP14" s="494"/>
      <c r="YQ14" s="493">
        <f t="shared" si="217"/>
        <v>0</v>
      </c>
      <c r="YR14" s="494"/>
      <c r="YS14" s="493">
        <f t="shared" ref="YS14" si="1813">((YS37+YT37)-(YS36+YT36))/2</f>
        <v>0</v>
      </c>
      <c r="YT14" s="494"/>
      <c r="YU14" s="493">
        <f t="shared" ref="YU14" si="1814">((YU37+YV37)-(YU36+YV36))/2</f>
        <v>0</v>
      </c>
      <c r="YV14" s="494"/>
      <c r="YW14" s="493">
        <f t="shared" si="220"/>
        <v>0</v>
      </c>
      <c r="YX14" s="494"/>
      <c r="YY14" s="493">
        <f t="shared" si="496"/>
        <v>0</v>
      </c>
      <c r="YZ14" s="494"/>
      <c r="ZA14" s="493">
        <f t="shared" ref="ZA14" si="1815">((ZA37+ZB37)-(ZA36+ZB36))/2</f>
        <v>0</v>
      </c>
      <c r="ZB14" s="494"/>
      <c r="ZC14" s="493">
        <f t="shared" si="1239"/>
        <v>0</v>
      </c>
      <c r="ZD14" s="494"/>
      <c r="ZE14" s="493">
        <f t="shared" ref="ZE14" si="1816">((ZE37+ZF37)-(ZE36+ZF36))/2</f>
        <v>0</v>
      </c>
      <c r="ZF14" s="494"/>
      <c r="ZG14" s="493">
        <f t="shared" ref="ZG14" si="1817">((ZG37+ZH37)-(ZG36+ZH36))/2</f>
        <v>0</v>
      </c>
      <c r="ZH14" s="494"/>
      <c r="ZI14" s="493">
        <f t="shared" si="1676"/>
        <v>0</v>
      </c>
      <c r="ZJ14" s="494"/>
      <c r="ZK14" s="493">
        <f t="shared" ref="ZK14" si="1818">((ZK37+ZL37)-(ZK36+ZL36))/2</f>
        <v>0</v>
      </c>
      <c r="ZL14" s="494"/>
      <c r="ZM14" s="493">
        <f t="shared" ref="ZM14" si="1819">((ZM37+ZN37)-(ZM36+ZN36))/2</f>
        <v>0</v>
      </c>
      <c r="ZN14" s="494"/>
      <c r="ZO14" s="493">
        <f t="shared" si="502"/>
        <v>0</v>
      </c>
      <c r="ZP14" s="494"/>
      <c r="ZQ14" s="493">
        <f t="shared" ref="ZQ14:ZQ15" si="1820">((ZQ37+ZR38)-(ZQ36+ZR37))/2</f>
        <v>0</v>
      </c>
      <c r="ZR14" s="494"/>
      <c r="ZS14" s="493">
        <f t="shared" ref="ZS14" si="1821">((ZS37+ZT37)-(ZS36+ZT36))/2</f>
        <v>0</v>
      </c>
      <c r="ZT14" s="494"/>
      <c r="ZU14" s="493">
        <f t="shared" si="230"/>
        <v>0</v>
      </c>
      <c r="ZV14" s="494"/>
      <c r="ZW14" s="493">
        <f t="shared" ref="ZW14" si="1822">((ZW37+ZX37)-(ZW36+ZX36))/2</f>
        <v>0</v>
      </c>
      <c r="ZX14" s="494"/>
      <c r="ZY14" s="493">
        <f t="shared" ref="ZY14" si="1823">((ZY37+ZZ37)-(ZY36+ZZ36))/2</f>
        <v>0</v>
      </c>
      <c r="ZZ14" s="494"/>
      <c r="AAA14" s="493">
        <f t="shared" si="233"/>
        <v>0</v>
      </c>
      <c r="AAB14" s="494"/>
      <c r="AAC14" s="493">
        <f t="shared" si="1682"/>
        <v>0</v>
      </c>
      <c r="AAD14" s="494"/>
      <c r="AAE14" s="493">
        <f t="shared" ref="AAE14" si="1824">((AAE37+AAF37)-(AAE36+AAF36))/2</f>
        <v>0</v>
      </c>
      <c r="AAF14" s="494"/>
      <c r="AAG14" s="493">
        <f t="shared" si="236"/>
        <v>0</v>
      </c>
      <c r="AAH14" s="494"/>
      <c r="AAI14" s="493">
        <f t="shared" ref="AAI14" si="1825">((AAI37+AAJ37)-(AAI36+AAJ36))/2</f>
        <v>0</v>
      </c>
      <c r="AAJ14" s="494"/>
      <c r="AAK14" s="493">
        <f t="shared" ref="AAK14" si="1826">((AAK37+AAL37)-(AAK36+AAL36))/2</f>
        <v>0</v>
      </c>
      <c r="AAL14" s="494"/>
      <c r="AAM14" s="493">
        <f t="shared" si="239"/>
        <v>0</v>
      </c>
      <c r="AAN14" s="494"/>
      <c r="AAO14" s="493">
        <f t="shared" si="1250"/>
        <v>0</v>
      </c>
      <c r="AAP14" s="494"/>
      <c r="AAQ14" s="493">
        <f t="shared" si="1100"/>
        <v>0</v>
      </c>
      <c r="AAR14" s="494"/>
      <c r="AAS14" s="493">
        <f t="shared" si="241"/>
        <v>0</v>
      </c>
      <c r="AAT14" s="494"/>
      <c r="AAU14" s="493">
        <f t="shared" ref="AAU14" si="1827">((AAU37+AAV37)-(AAU36+AAV36))/2</f>
        <v>0</v>
      </c>
      <c r="AAV14" s="494"/>
      <c r="AAW14" s="493">
        <f t="shared" ref="AAW14" si="1828">((AAW37+AAX37)-(AAW36+AAX36))/2</f>
        <v>0</v>
      </c>
      <c r="AAX14" s="494"/>
      <c r="AAY14" s="493">
        <f t="shared" ref="AAY14:AAY19" si="1829">((AAY37+AAZ37)-(AAY36+AAZ36))/2</f>
        <v>0</v>
      </c>
      <c r="AAZ14" s="494"/>
      <c r="ABA14" s="493">
        <f t="shared" ref="ABA14" si="1830">((ABA37+ABB37)-(ABA36+ABB36))/2</f>
        <v>0</v>
      </c>
      <c r="ABB14" s="494"/>
      <c r="ABC14" s="493">
        <f t="shared" ref="ABC14" si="1831">((ABC37+ABD37)-(ABC36+ABD36))/2</f>
        <v>0</v>
      </c>
      <c r="ABD14" s="494"/>
      <c r="ABE14" s="379">
        <f t="shared" si="516"/>
        <v>0</v>
      </c>
      <c r="ABF14" s="377"/>
      <c r="ABG14" s="481"/>
      <c r="ABH14" s="481"/>
      <c r="ABI14" s="481"/>
      <c r="ABJ14" s="481"/>
      <c r="ABK14" s="481"/>
      <c r="ABL14" s="481"/>
      <c r="ABM14" s="481"/>
      <c r="ABN14" s="481"/>
      <c r="ABO14" s="481"/>
      <c r="ABP14" s="481"/>
      <c r="ABQ14" s="481"/>
      <c r="ABR14" s="481"/>
      <c r="ABS14" s="481"/>
      <c r="ABT14" s="481"/>
      <c r="ABU14" s="481"/>
      <c r="ABV14" s="481"/>
      <c r="ABW14" s="481"/>
      <c r="ABX14" s="481"/>
      <c r="ABY14" s="481"/>
      <c r="ABZ14" s="481"/>
      <c r="ACA14" s="481"/>
      <c r="ACB14" s="481"/>
      <c r="ACC14" s="481"/>
      <c r="ACD14" s="481"/>
      <c r="ACE14" s="481"/>
      <c r="ACF14" s="481"/>
      <c r="ACG14" s="481"/>
      <c r="ACH14" s="481"/>
      <c r="ACI14" s="481"/>
      <c r="ACJ14" s="481"/>
      <c r="ACK14" s="481"/>
      <c r="ACL14" s="481"/>
      <c r="ACM14" s="481"/>
      <c r="ACN14" s="481"/>
      <c r="ACO14" s="481"/>
      <c r="ACP14" s="481"/>
      <c r="ACQ14" s="481"/>
      <c r="ACR14" s="481"/>
      <c r="ACS14" s="481"/>
      <c r="ACT14" s="481"/>
      <c r="ACU14" s="481"/>
      <c r="ACV14" s="481"/>
      <c r="ACW14" s="481"/>
      <c r="ACX14" s="481"/>
      <c r="ACY14" s="481"/>
      <c r="ACZ14" s="481"/>
      <c r="ADA14" s="481"/>
      <c r="ADB14" s="481"/>
      <c r="ADC14" s="481"/>
      <c r="ADD14" s="481"/>
      <c r="ADE14" s="481"/>
      <c r="ADF14" s="481"/>
      <c r="ADG14" s="481"/>
      <c r="ADH14" s="481"/>
      <c r="ADI14" s="481"/>
      <c r="ADJ14" s="481"/>
      <c r="ADK14" s="335"/>
      <c r="ADL14" s="335"/>
      <c r="ADM14" s="335"/>
      <c r="ADN14" s="335"/>
      <c r="ADO14" s="335"/>
      <c r="ADP14" s="335"/>
      <c r="ADQ14" s="335"/>
      <c r="ADR14" s="335"/>
      <c r="ADS14" s="335"/>
      <c r="ADT14" s="335"/>
      <c r="ADU14" s="335"/>
      <c r="ADV14" s="335"/>
      <c r="ADW14" s="335"/>
      <c r="ADX14" s="335"/>
      <c r="ADY14" s="335"/>
      <c r="ADZ14" s="335"/>
      <c r="AEA14" s="335"/>
      <c r="AEB14" s="335"/>
      <c r="AEC14" s="335"/>
      <c r="AED14" s="335"/>
      <c r="AEE14" s="335"/>
      <c r="AEF14" s="335"/>
      <c r="AEG14" s="335"/>
      <c r="AEH14" s="335"/>
      <c r="AEI14" s="335"/>
      <c r="AEJ14" s="335"/>
      <c r="AEK14" s="335"/>
      <c r="AEL14" s="335"/>
      <c r="AEM14" s="335"/>
      <c r="AEN14" s="335"/>
      <c r="AEO14" s="335"/>
      <c r="AEP14" s="335"/>
      <c r="AEQ14" s="335"/>
      <c r="AER14" s="335"/>
      <c r="AES14" s="335"/>
      <c r="AET14" s="335"/>
      <c r="AEU14" s="335"/>
      <c r="AEV14" s="335"/>
      <c r="AEW14" s="335"/>
      <c r="AEX14" s="335"/>
      <c r="AEY14" s="335"/>
      <c r="AEZ14" s="335"/>
      <c r="AFA14" s="335"/>
      <c r="AFB14" s="335"/>
      <c r="AFC14" s="335"/>
      <c r="AFD14" s="335"/>
      <c r="AFE14" s="335"/>
      <c r="AFF14" s="335"/>
      <c r="AFG14" s="335"/>
      <c r="AFH14" s="335"/>
      <c r="AFI14" s="335"/>
      <c r="AFJ14" s="335"/>
      <c r="AFK14" s="335"/>
      <c r="AFL14" s="335"/>
      <c r="AFM14" s="335"/>
      <c r="AFN14" s="335"/>
      <c r="AFO14" s="335"/>
      <c r="AFP14" s="335"/>
      <c r="AFQ14" s="335"/>
      <c r="AFR14" s="335"/>
      <c r="AFS14" s="335"/>
      <c r="AFT14" s="335"/>
      <c r="AFU14" s="335"/>
      <c r="AFV14" s="335"/>
      <c r="AFW14" s="335"/>
      <c r="AFX14" s="335"/>
      <c r="AFY14" s="335"/>
      <c r="AFZ14" s="335"/>
      <c r="AGA14" s="335"/>
      <c r="AGB14" s="335"/>
      <c r="AGC14" s="335"/>
      <c r="AGD14" s="335"/>
      <c r="AGE14" s="335"/>
      <c r="AGF14" s="335"/>
      <c r="AGG14" s="335"/>
      <c r="AGH14" s="335"/>
      <c r="AGI14" s="335"/>
      <c r="AGJ14" s="335"/>
      <c r="AGK14" s="335"/>
      <c r="AGL14" s="335"/>
      <c r="AGM14" s="335"/>
      <c r="AGN14" s="335"/>
      <c r="AGO14" s="335"/>
      <c r="AGP14" s="335"/>
      <c r="AGQ14" s="335"/>
      <c r="AGR14" s="335"/>
      <c r="AGS14" s="335"/>
      <c r="AGT14" s="335"/>
      <c r="AGU14" s="335"/>
      <c r="AGV14" s="335"/>
      <c r="AGW14" s="335"/>
      <c r="AGX14" s="335"/>
      <c r="AGY14" s="335"/>
      <c r="AGZ14" s="335"/>
      <c r="AHA14" s="335"/>
      <c r="AHB14" s="335"/>
      <c r="AHC14" s="335"/>
      <c r="AHD14" s="335"/>
      <c r="AHE14" s="335"/>
      <c r="AHF14" s="335"/>
      <c r="AHG14" s="335"/>
      <c r="AHH14" s="335"/>
      <c r="AHI14" s="335"/>
      <c r="AHJ14" s="335"/>
      <c r="AHK14" s="335"/>
      <c r="AHL14" s="335"/>
      <c r="AHM14" s="335"/>
      <c r="AHN14" s="335"/>
      <c r="AHO14" s="335"/>
      <c r="AHP14" s="335"/>
      <c r="AHQ14" s="335"/>
      <c r="AHR14" s="335"/>
      <c r="AHS14" s="335"/>
      <c r="AHT14" s="335"/>
      <c r="AHU14" s="335"/>
      <c r="AHV14" s="335"/>
      <c r="AHW14" s="335"/>
      <c r="AHX14" s="335"/>
      <c r="AHY14" s="335"/>
      <c r="AHZ14" s="335"/>
      <c r="AIA14" s="335"/>
      <c r="AIB14" s="335"/>
      <c r="AIC14" s="339"/>
    </row>
    <row r="15" spans="1:913" s="161" customFormat="1">
      <c r="A15" s="172"/>
      <c r="B15" s="177">
        <v>0.83333333333333304</v>
      </c>
      <c r="C15" s="493">
        <f t="shared" si="246"/>
        <v>0</v>
      </c>
      <c r="D15" s="494"/>
      <c r="E15" s="493">
        <f t="shared" si="0"/>
        <v>0</v>
      </c>
      <c r="F15" s="494"/>
      <c r="G15" s="493">
        <f t="shared" si="1"/>
        <v>0</v>
      </c>
      <c r="H15" s="494"/>
      <c r="I15" s="493">
        <f t="shared" si="1690"/>
        <v>0</v>
      </c>
      <c r="J15" s="494"/>
      <c r="K15" s="493">
        <f t="shared" si="2"/>
        <v>0</v>
      </c>
      <c r="L15" s="494"/>
      <c r="M15" s="493">
        <f t="shared" si="3"/>
        <v>0</v>
      </c>
      <c r="N15" s="494"/>
      <c r="O15" s="493">
        <f t="shared" si="517"/>
        <v>0</v>
      </c>
      <c r="P15" s="494"/>
      <c r="Q15" s="493">
        <f t="shared" si="248"/>
        <v>0</v>
      </c>
      <c r="R15" s="494"/>
      <c r="S15" s="493">
        <f t="shared" si="249"/>
        <v>0</v>
      </c>
      <c r="T15" s="494"/>
      <c r="U15" s="493">
        <f t="shared" si="250"/>
        <v>0</v>
      </c>
      <c r="V15" s="494"/>
      <c r="W15" s="493">
        <f>((W38+X39)-(W37+X38))/2</f>
        <v>0</v>
      </c>
      <c r="X15" s="494"/>
      <c r="Y15" s="493">
        <f t="shared" si="252"/>
        <v>0</v>
      </c>
      <c r="Z15" s="494"/>
      <c r="AA15" s="493">
        <f t="shared" si="253"/>
        <v>0</v>
      </c>
      <c r="AB15" s="494"/>
      <c r="AC15" s="493">
        <f t="shared" si="254"/>
        <v>0</v>
      </c>
      <c r="AD15" s="494"/>
      <c r="AE15" s="493">
        <f t="shared" si="255"/>
        <v>0</v>
      </c>
      <c r="AF15" s="494"/>
      <c r="AG15" s="493">
        <f t="shared" si="256"/>
        <v>0</v>
      </c>
      <c r="AH15" s="494"/>
      <c r="AI15" s="493">
        <f t="shared" si="257"/>
        <v>0</v>
      </c>
      <c r="AJ15" s="494"/>
      <c r="AK15" s="493">
        <f t="shared" si="258"/>
        <v>0</v>
      </c>
      <c r="AL15" s="494"/>
      <c r="AM15" s="493">
        <f t="shared" si="259"/>
        <v>0</v>
      </c>
      <c r="AN15" s="494"/>
      <c r="AO15" s="493">
        <f t="shared" si="260"/>
        <v>0</v>
      </c>
      <c r="AP15" s="494"/>
      <c r="AQ15" s="493">
        <f t="shared" si="261"/>
        <v>0</v>
      </c>
      <c r="AR15" s="494"/>
      <c r="AS15" s="493">
        <f t="shared" si="262"/>
        <v>0</v>
      </c>
      <c r="AT15" s="494"/>
      <c r="AU15" s="493">
        <f t="shared" si="263"/>
        <v>0</v>
      </c>
      <c r="AV15" s="494"/>
      <c r="AW15" s="493">
        <f t="shared" si="264"/>
        <v>0</v>
      </c>
      <c r="AX15" s="494"/>
      <c r="AY15" s="493">
        <f t="shared" si="265"/>
        <v>0</v>
      </c>
      <c r="AZ15" s="494"/>
      <c r="BA15" s="493">
        <f t="shared" si="266"/>
        <v>0</v>
      </c>
      <c r="BB15" s="494"/>
      <c r="BC15" s="493">
        <f t="shared" si="267"/>
        <v>0</v>
      </c>
      <c r="BD15" s="494"/>
      <c r="BE15" s="493">
        <f t="shared" si="268"/>
        <v>0</v>
      </c>
      <c r="BF15" s="494"/>
      <c r="BG15" s="493">
        <f t="shared" si="269"/>
        <v>0</v>
      </c>
      <c r="BH15" s="494"/>
      <c r="BI15" s="493">
        <f t="shared" si="270"/>
        <v>0</v>
      </c>
      <c r="BJ15" s="494"/>
      <c r="BK15" s="493">
        <f t="shared" si="271"/>
        <v>0</v>
      </c>
      <c r="BL15" s="494"/>
      <c r="BM15" s="493">
        <f t="shared" si="272"/>
        <v>0</v>
      </c>
      <c r="BN15" s="494"/>
      <c r="BO15" s="493">
        <f t="shared" si="273"/>
        <v>0</v>
      </c>
      <c r="BP15" s="494"/>
      <c r="BQ15" s="493">
        <f t="shared" si="274"/>
        <v>0</v>
      </c>
      <c r="BR15" s="494"/>
      <c r="BS15" s="493">
        <f t="shared" si="275"/>
        <v>0</v>
      </c>
      <c r="BT15" s="494"/>
      <c r="BU15" s="493">
        <f t="shared" si="276"/>
        <v>0</v>
      </c>
      <c r="BV15" s="494"/>
      <c r="BW15" s="493">
        <f t="shared" si="665"/>
        <v>0</v>
      </c>
      <c r="BX15" s="494"/>
      <c r="BY15" s="493">
        <f t="shared" si="277"/>
        <v>0</v>
      </c>
      <c r="BZ15" s="494"/>
      <c r="CA15" s="493">
        <f t="shared" si="278"/>
        <v>0</v>
      </c>
      <c r="CB15" s="494"/>
      <c r="CC15" s="493">
        <f t="shared" si="279"/>
        <v>0</v>
      </c>
      <c r="CD15" s="494"/>
      <c r="CE15" s="493">
        <f t="shared" si="280"/>
        <v>0</v>
      </c>
      <c r="CF15" s="494"/>
      <c r="CG15" s="493">
        <f t="shared" si="281"/>
        <v>0</v>
      </c>
      <c r="CH15" s="494"/>
      <c r="CI15" s="493">
        <f t="shared" si="282"/>
        <v>0</v>
      </c>
      <c r="CJ15" s="494"/>
      <c r="CK15" s="493">
        <f t="shared" si="283"/>
        <v>0</v>
      </c>
      <c r="CL15" s="494"/>
      <c r="CM15" s="493">
        <f t="shared" si="284"/>
        <v>0</v>
      </c>
      <c r="CN15" s="494"/>
      <c r="CO15" s="493">
        <f t="shared" si="285"/>
        <v>0</v>
      </c>
      <c r="CP15" s="494"/>
      <c r="CQ15" s="493">
        <f t="shared" si="1257"/>
        <v>0</v>
      </c>
      <c r="CR15" s="494"/>
      <c r="CS15" s="493">
        <f t="shared" si="287"/>
        <v>0</v>
      </c>
      <c r="CT15" s="494"/>
      <c r="CU15" s="493">
        <f t="shared" si="1542"/>
        <v>0</v>
      </c>
      <c r="CV15" s="494"/>
      <c r="CW15" s="493">
        <f t="shared" si="289"/>
        <v>0</v>
      </c>
      <c r="CX15" s="494"/>
      <c r="CY15" s="493">
        <f t="shared" si="290"/>
        <v>0</v>
      </c>
      <c r="CZ15" s="494"/>
      <c r="DA15" s="493">
        <f t="shared" si="813"/>
        <v>0</v>
      </c>
      <c r="DB15" s="494"/>
      <c r="DC15" s="493">
        <f>((DC39+DD38)-(DC38+DD37))/2</f>
        <v>0</v>
      </c>
      <c r="DD15" s="494"/>
      <c r="DE15" s="493">
        <f t="shared" si="293"/>
        <v>0</v>
      </c>
      <c r="DF15" s="494"/>
      <c r="DG15" s="493">
        <f t="shared" si="294"/>
        <v>0</v>
      </c>
      <c r="DH15" s="494"/>
      <c r="DI15" s="493">
        <f t="shared" si="295"/>
        <v>0</v>
      </c>
      <c r="DJ15" s="494"/>
      <c r="DK15" s="493">
        <f t="shared" si="296"/>
        <v>0</v>
      </c>
      <c r="DL15" s="494"/>
      <c r="DM15" s="493">
        <f t="shared" si="297"/>
        <v>0</v>
      </c>
      <c r="DN15" s="494"/>
      <c r="DO15" s="493">
        <f t="shared" si="298"/>
        <v>0</v>
      </c>
      <c r="DP15" s="494"/>
      <c r="DQ15" s="493">
        <f t="shared" si="666"/>
        <v>0</v>
      </c>
      <c r="DR15" s="494"/>
      <c r="DS15" s="493">
        <f t="shared" si="300"/>
        <v>0</v>
      </c>
      <c r="DT15" s="494"/>
      <c r="DU15" s="493">
        <f t="shared" si="301"/>
        <v>0</v>
      </c>
      <c r="DV15" s="494"/>
      <c r="DW15" s="493">
        <f t="shared" si="302"/>
        <v>0</v>
      </c>
      <c r="DX15" s="494"/>
      <c r="DY15" s="493">
        <f t="shared" si="303"/>
        <v>0</v>
      </c>
      <c r="DZ15" s="494"/>
      <c r="EA15" s="493">
        <f t="shared" si="304"/>
        <v>0</v>
      </c>
      <c r="EB15" s="494"/>
      <c r="EC15" s="493">
        <f t="shared" si="305"/>
        <v>0</v>
      </c>
      <c r="ED15" s="494"/>
      <c r="EE15" s="493">
        <f t="shared" si="1543"/>
        <v>0</v>
      </c>
      <c r="EF15" s="494"/>
      <c r="EG15" s="493">
        <f t="shared" si="1544"/>
        <v>0</v>
      </c>
      <c r="EH15" s="494"/>
      <c r="EI15" s="493">
        <f t="shared" si="1545"/>
        <v>0</v>
      </c>
      <c r="EJ15" s="494"/>
      <c r="EK15" s="493">
        <f t="shared" si="1546"/>
        <v>0</v>
      </c>
      <c r="EL15" s="494"/>
      <c r="EM15" s="493">
        <f t="shared" si="1547"/>
        <v>0</v>
      </c>
      <c r="EN15" s="494"/>
      <c r="EO15" s="493">
        <f t="shared" si="10"/>
        <v>0</v>
      </c>
      <c r="EP15" s="494"/>
      <c r="EQ15" s="493">
        <f t="shared" si="307"/>
        <v>0</v>
      </c>
      <c r="ER15" s="494"/>
      <c r="ES15" s="493">
        <f t="shared" si="308"/>
        <v>0</v>
      </c>
      <c r="ET15" s="494"/>
      <c r="EU15" s="493">
        <f t="shared" si="309"/>
        <v>0</v>
      </c>
      <c r="EV15" s="494"/>
      <c r="EW15" s="493">
        <f t="shared" si="310"/>
        <v>0</v>
      </c>
      <c r="EX15" s="494"/>
      <c r="EY15" s="493">
        <f t="shared" si="311"/>
        <v>0</v>
      </c>
      <c r="EZ15" s="494"/>
      <c r="FA15" s="493">
        <f t="shared" si="312"/>
        <v>0</v>
      </c>
      <c r="FB15" s="494"/>
      <c r="FC15" s="493">
        <f t="shared" si="313"/>
        <v>0</v>
      </c>
      <c r="FD15" s="494"/>
      <c r="FE15" s="493">
        <f t="shared" si="314"/>
        <v>0</v>
      </c>
      <c r="FF15" s="494"/>
      <c r="FG15" s="493">
        <f t="shared" si="315"/>
        <v>0</v>
      </c>
      <c r="FH15" s="494"/>
      <c r="FI15" s="493">
        <f t="shared" si="316"/>
        <v>0</v>
      </c>
      <c r="FJ15" s="494"/>
      <c r="FK15" s="493">
        <f t="shared" si="317"/>
        <v>0</v>
      </c>
      <c r="FL15" s="494"/>
      <c r="FM15" s="493">
        <f t="shared" si="318"/>
        <v>0</v>
      </c>
      <c r="FN15" s="494"/>
      <c r="FO15" s="493">
        <f t="shared" si="319"/>
        <v>0</v>
      </c>
      <c r="FP15" s="494"/>
      <c r="FQ15" s="493">
        <f t="shared" si="320"/>
        <v>0</v>
      </c>
      <c r="FR15" s="494"/>
      <c r="FS15" s="493">
        <f t="shared" si="321"/>
        <v>0</v>
      </c>
      <c r="FT15" s="494"/>
      <c r="FU15" s="493">
        <f t="shared" si="322"/>
        <v>0</v>
      </c>
      <c r="FV15" s="494"/>
      <c r="FW15" s="493">
        <f t="shared" si="323"/>
        <v>0</v>
      </c>
      <c r="FX15" s="494"/>
      <c r="FY15" s="493">
        <f t="shared" si="324"/>
        <v>0</v>
      </c>
      <c r="FZ15" s="494"/>
      <c r="GA15" s="493">
        <f t="shared" si="325"/>
        <v>0</v>
      </c>
      <c r="GB15" s="494"/>
      <c r="GC15" s="493">
        <f t="shared" si="326"/>
        <v>0</v>
      </c>
      <c r="GD15" s="494"/>
      <c r="GE15" s="493">
        <f t="shared" si="327"/>
        <v>0</v>
      </c>
      <c r="GF15" s="494"/>
      <c r="GG15" s="493">
        <f t="shared" si="328"/>
        <v>0</v>
      </c>
      <c r="GH15" s="494"/>
      <c r="GI15" s="493">
        <f t="shared" si="329"/>
        <v>0</v>
      </c>
      <c r="GJ15" s="494"/>
      <c r="GK15" s="493">
        <f t="shared" si="330"/>
        <v>0</v>
      </c>
      <c r="GL15" s="494"/>
      <c r="GM15" s="493">
        <f t="shared" si="331"/>
        <v>0</v>
      </c>
      <c r="GN15" s="494"/>
      <c r="GO15" s="493">
        <f t="shared" si="1258"/>
        <v>0</v>
      </c>
      <c r="GP15" s="494"/>
      <c r="GQ15" s="493">
        <f t="shared" si="333"/>
        <v>0</v>
      </c>
      <c r="GR15" s="494"/>
      <c r="GS15" s="493">
        <f t="shared" si="334"/>
        <v>0</v>
      </c>
      <c r="GT15" s="494"/>
      <c r="GU15" s="493">
        <f t="shared" si="1109"/>
        <v>0</v>
      </c>
      <c r="GV15" s="494"/>
      <c r="GW15" s="493">
        <f t="shared" si="1110"/>
        <v>0</v>
      </c>
      <c r="GX15" s="494"/>
      <c r="GY15" s="493">
        <f t="shared" si="1111"/>
        <v>0</v>
      </c>
      <c r="GZ15" s="494"/>
      <c r="HA15" s="493">
        <f t="shared" si="335"/>
        <v>0</v>
      </c>
      <c r="HB15" s="494"/>
      <c r="HC15" s="493">
        <f t="shared" si="336"/>
        <v>0</v>
      </c>
      <c r="HD15" s="494"/>
      <c r="HE15" s="493">
        <f t="shared" si="1548"/>
        <v>0</v>
      </c>
      <c r="HF15" s="494"/>
      <c r="HG15" s="493">
        <f t="shared" si="338"/>
        <v>0</v>
      </c>
      <c r="HH15" s="494"/>
      <c r="HI15" s="493">
        <f t="shared" si="339"/>
        <v>0</v>
      </c>
      <c r="HJ15" s="494"/>
      <c r="HK15" s="493">
        <f t="shared" si="340"/>
        <v>0</v>
      </c>
      <c r="HL15" s="494"/>
      <c r="HM15" s="493">
        <f t="shared" si="341"/>
        <v>0</v>
      </c>
      <c r="HN15" s="494"/>
      <c r="HO15" s="493">
        <f t="shared" si="342"/>
        <v>0</v>
      </c>
      <c r="HP15" s="494"/>
      <c r="HQ15" s="493">
        <f t="shared" si="343"/>
        <v>0</v>
      </c>
      <c r="HR15" s="494"/>
      <c r="HS15" s="493">
        <f t="shared" si="344"/>
        <v>0</v>
      </c>
      <c r="HT15" s="494"/>
      <c r="HU15" s="493">
        <f t="shared" si="345"/>
        <v>0</v>
      </c>
      <c r="HV15" s="494"/>
      <c r="HW15" s="493">
        <f t="shared" si="346"/>
        <v>0</v>
      </c>
      <c r="HX15" s="494"/>
      <c r="HY15" s="493">
        <f t="shared" si="347"/>
        <v>0</v>
      </c>
      <c r="HZ15" s="494"/>
      <c r="IA15" s="493">
        <f t="shared" si="348"/>
        <v>0</v>
      </c>
      <c r="IB15" s="494"/>
      <c r="IC15" s="493">
        <f t="shared" si="349"/>
        <v>0</v>
      </c>
      <c r="ID15" s="494"/>
      <c r="IE15" s="493">
        <f t="shared" si="350"/>
        <v>0</v>
      </c>
      <c r="IF15" s="494"/>
      <c r="IG15" s="493">
        <f t="shared" si="351"/>
        <v>0</v>
      </c>
      <c r="IH15" s="494"/>
      <c r="II15" s="493">
        <f t="shared" si="352"/>
        <v>0</v>
      </c>
      <c r="IJ15" s="494"/>
      <c r="IK15" s="493">
        <f t="shared" si="353"/>
        <v>0</v>
      </c>
      <c r="IL15" s="494"/>
      <c r="IM15" s="493">
        <f t="shared" si="354"/>
        <v>0</v>
      </c>
      <c r="IN15" s="494"/>
      <c r="IO15" s="493">
        <f t="shared" si="355"/>
        <v>0</v>
      </c>
      <c r="IP15" s="494"/>
      <c r="IQ15" s="493">
        <f t="shared" si="356"/>
        <v>0</v>
      </c>
      <c r="IR15" s="494"/>
      <c r="IS15" s="493">
        <f t="shared" si="357"/>
        <v>0</v>
      </c>
      <c r="IT15" s="494"/>
      <c r="IU15" s="493">
        <f t="shared" si="14"/>
        <v>0</v>
      </c>
      <c r="IV15" s="494"/>
      <c r="IW15" s="493">
        <f t="shared" si="15"/>
        <v>0</v>
      </c>
      <c r="IX15" s="494"/>
      <c r="IY15" s="493">
        <f t="shared" si="16"/>
        <v>0</v>
      </c>
      <c r="IZ15" s="494"/>
      <c r="JA15" s="493">
        <f t="shared" ref="JA15" si="1832">((JA38+JB38)-(JA37+JB37))/2</f>
        <v>0</v>
      </c>
      <c r="JB15" s="494"/>
      <c r="JC15" s="493">
        <f t="shared" ref="JC15" si="1833">((JC38+JD38)-(JC37+JD37))/2</f>
        <v>0</v>
      </c>
      <c r="JD15" s="494"/>
      <c r="JE15" s="493">
        <f t="shared" si="19"/>
        <v>0</v>
      </c>
      <c r="JF15" s="494"/>
      <c r="JG15" s="493">
        <f t="shared" ref="JG15" si="1834">((JG38+JH38)-(JG37+JH37))/2</f>
        <v>0</v>
      </c>
      <c r="JH15" s="494"/>
      <c r="JI15" s="493">
        <f t="shared" ref="JI15" si="1835">((JI38+JJ38)-(JI37+JJ37))/2</f>
        <v>0</v>
      </c>
      <c r="JJ15" s="494"/>
      <c r="JK15" s="493">
        <f t="shared" si="22"/>
        <v>0</v>
      </c>
      <c r="JL15" s="494"/>
      <c r="JM15" s="493">
        <f t="shared" ref="JM15" si="1836">((JM38+JN38)-(JM37+JN37))/2</f>
        <v>0</v>
      </c>
      <c r="JN15" s="494"/>
      <c r="JO15" s="493">
        <f t="shared" ref="JO15" si="1837">((JO38+JP38)-(JO37+JP37))/2</f>
        <v>0</v>
      </c>
      <c r="JP15" s="494"/>
      <c r="JQ15" s="493">
        <f t="shared" si="1555"/>
        <v>0</v>
      </c>
      <c r="JR15" s="494"/>
      <c r="JS15" s="493">
        <f t="shared" ref="JS15" si="1838">((JS38+JT38)-(JS37+JT37))/2</f>
        <v>0</v>
      </c>
      <c r="JT15" s="494"/>
      <c r="JU15" s="493">
        <f t="shared" ref="JU15" si="1839">((JU38+JV38)-(JU37+JV37))/2</f>
        <v>0</v>
      </c>
      <c r="JV15" s="494"/>
      <c r="JW15" s="493">
        <f t="shared" si="28"/>
        <v>0</v>
      </c>
      <c r="JX15" s="494"/>
      <c r="JY15" s="493">
        <f t="shared" ref="JY15" si="1840">((JY38+JZ38)-(JY37+JZ37))/2</f>
        <v>0</v>
      </c>
      <c r="JZ15" s="494"/>
      <c r="KA15" s="493">
        <f t="shared" ref="KA15" si="1841">((KA38+KB38)-(KA37+KB37))/2</f>
        <v>0</v>
      </c>
      <c r="KB15" s="494"/>
      <c r="KC15" s="493">
        <f t="shared" si="31"/>
        <v>0</v>
      </c>
      <c r="KD15" s="494"/>
      <c r="KE15" s="493">
        <f t="shared" ref="KE15:KE16" si="1842">((KE38+KF39)-(KE37+KF37))/2</f>
        <v>0</v>
      </c>
      <c r="KF15" s="494"/>
      <c r="KG15" s="493">
        <f t="shared" ref="KG15" si="1843">((KG38+KH38)-(KG37+KH37))/2</f>
        <v>0</v>
      </c>
      <c r="KH15" s="494"/>
      <c r="KI15" s="493">
        <f t="shared" si="34"/>
        <v>0</v>
      </c>
      <c r="KJ15" s="494"/>
      <c r="KK15" s="493">
        <f t="shared" ref="KK15" si="1844">((KK38+KL38)-(KK37+KL37))/2</f>
        <v>0</v>
      </c>
      <c r="KL15" s="494"/>
      <c r="KM15" s="493">
        <f t="shared" ref="KM15" si="1845">((KM38+KN38)-(KM37+KN37))/2</f>
        <v>0</v>
      </c>
      <c r="KN15" s="494"/>
      <c r="KO15" s="493">
        <f t="shared" si="37"/>
        <v>0</v>
      </c>
      <c r="KP15" s="494"/>
      <c r="KQ15" s="493">
        <f t="shared" ref="KQ15" si="1846">((KQ38+KR38)-(KQ37+KR37))/2</f>
        <v>0</v>
      </c>
      <c r="KR15" s="494"/>
      <c r="KS15" s="493">
        <f t="shared" ref="KS15" si="1847">((KS38+KT38)-(KS37+KT37))/2</f>
        <v>0</v>
      </c>
      <c r="KT15" s="494"/>
      <c r="KU15" s="493">
        <f t="shared" si="40"/>
        <v>0</v>
      </c>
      <c r="KV15" s="494"/>
      <c r="KW15" s="493">
        <f t="shared" ref="KW15" si="1848">((KW38+KX38)-(KW37+KX37))/2</f>
        <v>0</v>
      </c>
      <c r="KX15" s="494"/>
      <c r="KY15" s="493">
        <f t="shared" ref="KY15" si="1849">((KY38+KZ38)-(KY37+KZ37))/2</f>
        <v>0</v>
      </c>
      <c r="KZ15" s="494"/>
      <c r="LA15" s="493">
        <f t="shared" si="43"/>
        <v>0</v>
      </c>
      <c r="LB15" s="494"/>
      <c r="LC15" s="493">
        <f t="shared" si="376"/>
        <v>0</v>
      </c>
      <c r="LD15" s="494"/>
      <c r="LE15" s="493">
        <f t="shared" si="377"/>
        <v>0</v>
      </c>
      <c r="LF15" s="494"/>
      <c r="LG15" s="493">
        <f t="shared" si="378"/>
        <v>0</v>
      </c>
      <c r="LH15" s="494"/>
      <c r="LI15" s="493">
        <f t="shared" ref="LI15" si="1850">((LI38+LJ38)-(LI37+LJ37))/2</f>
        <v>0</v>
      </c>
      <c r="LJ15" s="494"/>
      <c r="LK15" s="493">
        <f t="shared" ref="LK15" si="1851">((LK38+LL38)-(LK37+LL37))/2</f>
        <v>0</v>
      </c>
      <c r="LL15" s="494"/>
      <c r="LM15" s="493">
        <f t="shared" si="49"/>
        <v>0</v>
      </c>
      <c r="LN15" s="494"/>
      <c r="LO15" s="493">
        <f t="shared" ref="LO15" si="1852">((LO38+LP38)-(LO37+LP37))/2</f>
        <v>0</v>
      </c>
      <c r="LP15" s="494"/>
      <c r="LQ15" s="493">
        <f t="shared" ref="LQ15" si="1853">((LQ38+LR38)-(LQ37+LR37))/2</f>
        <v>0</v>
      </c>
      <c r="LR15" s="494"/>
      <c r="LS15" s="493">
        <f t="shared" si="52"/>
        <v>0</v>
      </c>
      <c r="LT15" s="494"/>
      <c r="LU15" s="493">
        <f t="shared" ref="LU15" si="1854">((LU38+LV38)-(LU37+LV37))/2</f>
        <v>0</v>
      </c>
      <c r="LV15" s="494"/>
      <c r="LW15" s="493">
        <f t="shared" ref="LW15" si="1855">((LW38+LX38)-(LW37+LX37))/2</f>
        <v>0</v>
      </c>
      <c r="LX15" s="494"/>
      <c r="LY15" s="493">
        <f t="shared" si="55"/>
        <v>0</v>
      </c>
      <c r="LZ15" s="494"/>
      <c r="MA15" s="493">
        <f t="shared" ref="MA15" si="1856">((MA38+MB38)-(MA37+MB37))/2</f>
        <v>0</v>
      </c>
      <c r="MB15" s="494"/>
      <c r="MC15" s="493">
        <f t="shared" ref="MC15" si="1857">((MC38+MD38)-(MC37+MD37))/2</f>
        <v>0</v>
      </c>
      <c r="MD15" s="494"/>
      <c r="ME15" s="493">
        <f t="shared" si="58"/>
        <v>0</v>
      </c>
      <c r="MF15" s="494"/>
      <c r="MG15" s="493">
        <f t="shared" ref="MG15" si="1858">((MG38+MH38)-(MG37+MH37))/2</f>
        <v>0</v>
      </c>
      <c r="MH15" s="494"/>
      <c r="MI15" s="493">
        <f t="shared" ref="MI15" si="1859">((MI38+MJ38)-(MI37+MJ37))/2</f>
        <v>0</v>
      </c>
      <c r="MJ15" s="494"/>
      <c r="MK15" s="493">
        <f t="shared" si="61"/>
        <v>0</v>
      </c>
      <c r="ML15" s="494"/>
      <c r="MM15" s="493">
        <f t="shared" ref="MM15" si="1860">((MM38+MN38)-(MM37+MN37))/2</f>
        <v>0</v>
      </c>
      <c r="MN15" s="494"/>
      <c r="MO15" s="493">
        <f t="shared" ref="MO15" si="1861">((MO38+MP38)-(MO37+MP37))/2</f>
        <v>0</v>
      </c>
      <c r="MP15" s="494"/>
      <c r="MQ15" s="493">
        <f t="shared" si="64"/>
        <v>0</v>
      </c>
      <c r="MR15" s="494"/>
      <c r="MS15" s="493">
        <f t="shared" ref="MS15" si="1862">((MS38+MT38)-(MS37+MT37))/2</f>
        <v>0</v>
      </c>
      <c r="MT15" s="494"/>
      <c r="MU15" s="493">
        <f t="shared" ref="MU15" si="1863">((MU38+MV38)-(MU37+MV37))/2</f>
        <v>0</v>
      </c>
      <c r="MV15" s="494"/>
      <c r="MW15" s="493">
        <f t="shared" si="67"/>
        <v>0</v>
      </c>
      <c r="MX15" s="494"/>
      <c r="MY15" s="493">
        <f t="shared" ref="MY15" si="1864">((MY38+MZ38)-(MY37+MZ37))/2</f>
        <v>0</v>
      </c>
      <c r="MZ15" s="494"/>
      <c r="NA15" s="493">
        <f t="shared" ref="NA15" si="1865">((NA38+NB38)-(NA37+NB37))/2</f>
        <v>0</v>
      </c>
      <c r="NB15" s="494"/>
      <c r="NC15" s="493">
        <f t="shared" si="70"/>
        <v>0</v>
      </c>
      <c r="ND15" s="494"/>
      <c r="NE15" s="493">
        <f t="shared" ref="NE15" si="1866">((NE38+NF38)-(NE37+NF37))/2</f>
        <v>0</v>
      </c>
      <c r="NF15" s="494"/>
      <c r="NG15" s="493">
        <f t="shared" ref="NG15" si="1867">((NG38+NH38)-(NG37+NH37))/2</f>
        <v>0</v>
      </c>
      <c r="NH15" s="494"/>
      <c r="NI15" s="493">
        <f t="shared" si="73"/>
        <v>0</v>
      </c>
      <c r="NJ15" s="494"/>
      <c r="NK15" s="493">
        <f t="shared" ref="NK15" si="1868">((NK38+NL38)-(NK37+NL37))/2</f>
        <v>0</v>
      </c>
      <c r="NL15" s="494"/>
      <c r="NM15" s="493">
        <f t="shared" ref="NM15" si="1869">((NM38+NN38)-(NM37+NN37))/2</f>
        <v>0</v>
      </c>
      <c r="NN15" s="494"/>
      <c r="NO15" s="493">
        <f t="shared" si="76"/>
        <v>0</v>
      </c>
      <c r="NP15" s="494"/>
      <c r="NQ15" s="493">
        <f t="shared" ref="NQ15" si="1870">((NQ38+NR38)-(NQ37+NR37))/2</f>
        <v>0</v>
      </c>
      <c r="NR15" s="494"/>
      <c r="NS15" s="493">
        <f t="shared" ref="NS15" si="1871">((NS38+NT38)-(NS37+NT37))/2</f>
        <v>0</v>
      </c>
      <c r="NT15" s="494"/>
      <c r="NU15" s="493">
        <f t="shared" si="79"/>
        <v>0</v>
      </c>
      <c r="NV15" s="494"/>
      <c r="NW15" s="493">
        <f t="shared" ref="NW15" si="1872">((NW38+NX38)-(NW37+NX37))/2</f>
        <v>0</v>
      </c>
      <c r="NX15" s="494"/>
      <c r="NY15" s="493">
        <f t="shared" ref="NY15" si="1873">((NY38+NZ38)-(NY37+NZ37))/2</f>
        <v>0</v>
      </c>
      <c r="NZ15" s="494"/>
      <c r="OA15" s="493">
        <f t="shared" si="82"/>
        <v>0</v>
      </c>
      <c r="OB15" s="494"/>
      <c r="OC15" s="493">
        <f t="shared" ref="OC15" si="1874">((OC38+OD38)-(OC37+OD37))/2</f>
        <v>0</v>
      </c>
      <c r="OD15" s="494"/>
      <c r="OE15" s="493">
        <f t="shared" ref="OE15" si="1875">((OE38+OF38)-(OE37+OF37))/2</f>
        <v>0</v>
      </c>
      <c r="OF15" s="494"/>
      <c r="OG15" s="493">
        <f t="shared" si="85"/>
        <v>0</v>
      </c>
      <c r="OH15" s="494"/>
      <c r="OI15" s="493">
        <f t="shared" ref="OI15" si="1876">((OI38+OJ38)-(OI37+OJ37))/2</f>
        <v>0</v>
      </c>
      <c r="OJ15" s="494"/>
      <c r="OK15" s="493">
        <f t="shared" ref="OK15" si="1877">((OK38+OL38)-(OK37+OL37))/2</f>
        <v>0</v>
      </c>
      <c r="OL15" s="494"/>
      <c r="OM15" s="493">
        <f t="shared" si="88"/>
        <v>0</v>
      </c>
      <c r="ON15" s="494"/>
      <c r="OO15" s="493">
        <f t="shared" ref="OO15" si="1878">((OO38+OP38)-(OO37+OP37))/2</f>
        <v>0</v>
      </c>
      <c r="OP15" s="494"/>
      <c r="OQ15" s="493">
        <f t="shared" ref="OQ15" si="1879">((OQ38+OR38)-(OQ37+OR37))/2</f>
        <v>0</v>
      </c>
      <c r="OR15" s="494"/>
      <c r="OS15" s="493">
        <f t="shared" si="91"/>
        <v>0</v>
      </c>
      <c r="OT15" s="494"/>
      <c r="OU15" s="493">
        <f t="shared" ref="OU15" si="1880">((OU38+OV38)-(OU37+OV37))/2</f>
        <v>0</v>
      </c>
      <c r="OV15" s="494"/>
      <c r="OW15" s="493">
        <f t="shared" ref="OW15" si="1881">((OW38+OX38)-(OW37+OX37))/2</f>
        <v>0</v>
      </c>
      <c r="OX15" s="494"/>
      <c r="OY15" s="493">
        <f t="shared" si="94"/>
        <v>0</v>
      </c>
      <c r="OZ15" s="494"/>
      <c r="PA15" s="493">
        <f t="shared" ref="PA15" si="1882">((PA38+PB38)-(PA37+PB37))/2</f>
        <v>0</v>
      </c>
      <c r="PB15" s="494"/>
      <c r="PC15" s="493">
        <f t="shared" ref="PC15" si="1883">((PC38+PD38)-(PC37+PD37))/2</f>
        <v>0</v>
      </c>
      <c r="PD15" s="494"/>
      <c r="PE15" s="493">
        <f t="shared" si="97"/>
        <v>0</v>
      </c>
      <c r="PF15" s="494"/>
      <c r="PG15" s="493">
        <f t="shared" ref="PG15" si="1884">((PG38+PH38)-(PG37+PH37))/2</f>
        <v>0</v>
      </c>
      <c r="PH15" s="494"/>
      <c r="PI15" s="493">
        <f t="shared" ref="PI15" si="1885">((PI38+PJ38)-(PI37+PJ37))/2</f>
        <v>0</v>
      </c>
      <c r="PJ15" s="494"/>
      <c r="PK15" s="493">
        <f t="shared" si="100"/>
        <v>0</v>
      </c>
      <c r="PL15" s="494"/>
      <c r="PM15" s="493">
        <f t="shared" ref="PM15" si="1886">((PM38+PN38)-(PM37+PN37))/2</f>
        <v>0</v>
      </c>
      <c r="PN15" s="494"/>
      <c r="PO15" s="493">
        <f t="shared" si="1604"/>
        <v>0</v>
      </c>
      <c r="PP15" s="494"/>
      <c r="PQ15" s="493">
        <f t="shared" si="103"/>
        <v>0</v>
      </c>
      <c r="PR15" s="494"/>
      <c r="PS15" s="493">
        <f t="shared" ref="PS15" si="1887">((PS38+PT38)-(PS37+PT37))/2</f>
        <v>0</v>
      </c>
      <c r="PT15" s="494"/>
      <c r="PU15" s="493">
        <f t="shared" ref="PU15" si="1888">((PU38+PV38)-(PU37+PV37))/2</f>
        <v>0</v>
      </c>
      <c r="PV15" s="494"/>
      <c r="PW15" s="493">
        <f t="shared" si="106"/>
        <v>0</v>
      </c>
      <c r="PX15" s="494"/>
      <c r="PY15" s="493">
        <f t="shared" ref="PY15" si="1889">((PY38+PZ38)-(PY37+PZ37))/2</f>
        <v>0</v>
      </c>
      <c r="PZ15" s="494"/>
      <c r="QA15" s="493">
        <f t="shared" ref="QA15" si="1890">((QA38+QB38)-(QA37+QB37))/2</f>
        <v>0</v>
      </c>
      <c r="QB15" s="494"/>
      <c r="QC15" s="493">
        <f t="shared" si="109"/>
        <v>0</v>
      </c>
      <c r="QD15" s="494"/>
      <c r="QE15" s="493">
        <f t="shared" ref="QE15" si="1891">((QE38+QF38)-(QE37+QF37))/2</f>
        <v>0</v>
      </c>
      <c r="QF15" s="494"/>
      <c r="QG15" s="493">
        <f t="shared" ref="QG15" si="1892">((QG38+QH38)-(QG37+QH37))/2</f>
        <v>0</v>
      </c>
      <c r="QH15" s="494"/>
      <c r="QI15" s="493">
        <f t="shared" si="112"/>
        <v>0</v>
      </c>
      <c r="QJ15" s="494"/>
      <c r="QK15" s="493">
        <f t="shared" ref="QK15" si="1893">((QK38+QL38)-(QK37+QL37))/2</f>
        <v>0</v>
      </c>
      <c r="QL15" s="494"/>
      <c r="QM15" s="493">
        <f t="shared" ref="QM15" si="1894">((QM38+QN38)-(QM37+QN37))/2</f>
        <v>0</v>
      </c>
      <c r="QN15" s="494"/>
      <c r="QO15" s="493">
        <f t="shared" si="115"/>
        <v>0</v>
      </c>
      <c r="QP15" s="494"/>
      <c r="QQ15" s="493">
        <f t="shared" ref="QQ15" si="1895">((QQ38+QR38)-(QQ37+QR37))/2</f>
        <v>0</v>
      </c>
      <c r="QR15" s="494"/>
      <c r="QS15" s="493">
        <f t="shared" ref="QS15" si="1896">((QS38+QT38)-(QS37+QT37))/2</f>
        <v>0</v>
      </c>
      <c r="QT15" s="494"/>
      <c r="QU15" s="493">
        <f t="shared" si="118"/>
        <v>0</v>
      </c>
      <c r="QV15" s="494"/>
      <c r="QW15" s="493">
        <f t="shared" ref="QW15" si="1897">((QW38+QX38)-(QW37+QX37))/2</f>
        <v>0</v>
      </c>
      <c r="QX15" s="494"/>
      <c r="QY15" s="493">
        <f t="shared" ref="QY15" si="1898">((QY38+QZ38)-(QY37+QZ37))/2</f>
        <v>0</v>
      </c>
      <c r="QZ15" s="494"/>
      <c r="RA15" s="493">
        <f t="shared" si="121"/>
        <v>0</v>
      </c>
      <c r="RB15" s="494"/>
      <c r="RC15" s="493">
        <f t="shared" ref="RC15" si="1899">((RC38+RD38)-(RC37+RD37))/2</f>
        <v>0</v>
      </c>
      <c r="RD15" s="494"/>
      <c r="RE15" s="493">
        <f t="shared" ref="RE15" si="1900">((RE38+RF38)-(RE37+RF37))/2</f>
        <v>0</v>
      </c>
      <c r="RF15" s="494"/>
      <c r="RG15" s="493">
        <f t="shared" si="124"/>
        <v>0</v>
      </c>
      <c r="RH15" s="494"/>
      <c r="RI15" s="493">
        <f t="shared" ref="RI15" si="1901">((RI38+RJ38)-(RI37+RJ37))/2</f>
        <v>0</v>
      </c>
      <c r="RJ15" s="494"/>
      <c r="RK15" s="493">
        <f t="shared" ref="RK15" si="1902">((RK38+RL38)-(RK37+RL37))/2</f>
        <v>0</v>
      </c>
      <c r="RL15" s="494"/>
      <c r="RM15" s="493">
        <f t="shared" si="126"/>
        <v>0</v>
      </c>
      <c r="RN15" s="494"/>
      <c r="RO15" s="493">
        <f t="shared" ref="RO15" si="1903">((RO38+RP38)-(RO37+RP37))/2</f>
        <v>0</v>
      </c>
      <c r="RP15" s="494"/>
      <c r="RQ15" s="493">
        <f t="shared" ref="RQ15" si="1904">((RQ38+RR38)-(RQ37+RR37))/2</f>
        <v>0</v>
      </c>
      <c r="RR15" s="494"/>
      <c r="RS15" s="493">
        <f t="shared" si="129"/>
        <v>0</v>
      </c>
      <c r="RT15" s="494"/>
      <c r="RU15" s="493">
        <f t="shared" ref="RU15" si="1905">((RU38+RV38)-(RU37+RV37))/2</f>
        <v>0</v>
      </c>
      <c r="RV15" s="494"/>
      <c r="RW15" s="493">
        <f t="shared" ref="RW15" si="1906">((RW38+RX38)-(RW37+RX37))/2</f>
        <v>0</v>
      </c>
      <c r="RX15" s="494"/>
      <c r="RY15" s="493">
        <f t="shared" si="132"/>
        <v>0</v>
      </c>
      <c r="RZ15" s="494"/>
      <c r="SA15" s="493">
        <f t="shared" ref="SA15" si="1907">((SA38+SB38)-(SA37+SB37))/2</f>
        <v>0</v>
      </c>
      <c r="SB15" s="494"/>
      <c r="SC15" s="493">
        <f t="shared" ref="SC15" si="1908">((SC38+SD38)-(SC37+SD37))/2</f>
        <v>0</v>
      </c>
      <c r="SD15" s="494"/>
      <c r="SE15" s="493">
        <f t="shared" si="135"/>
        <v>0</v>
      </c>
      <c r="SF15" s="494"/>
      <c r="SG15" s="493">
        <f t="shared" ref="SG15" si="1909">((SG38+SH38)-(SG37+SH37))/2</f>
        <v>0</v>
      </c>
      <c r="SH15" s="494"/>
      <c r="SI15" s="493">
        <f t="shared" ref="SI15" si="1910">((SI38+SJ38)-(SI37+SJ37))/2</f>
        <v>0</v>
      </c>
      <c r="SJ15" s="494"/>
      <c r="SK15" s="493">
        <f t="shared" si="138"/>
        <v>0</v>
      </c>
      <c r="SL15" s="494"/>
      <c r="SM15" s="493">
        <f t="shared" ref="SM15" si="1911">((SM38+SN38)-(SM37+SN37))/2</f>
        <v>0</v>
      </c>
      <c r="SN15" s="494"/>
      <c r="SO15" s="493">
        <f t="shared" ref="SO15" si="1912">((SO38+SP38)-(SO37+SP37))/2</f>
        <v>0</v>
      </c>
      <c r="SP15" s="494"/>
      <c r="SQ15" s="493">
        <f t="shared" si="141"/>
        <v>0</v>
      </c>
      <c r="SR15" s="494"/>
      <c r="SS15" s="493">
        <f t="shared" ref="SS15" si="1913">((SS38+ST38)-(SS37+ST37))/2</f>
        <v>0</v>
      </c>
      <c r="ST15" s="494"/>
      <c r="SU15" s="493">
        <f t="shared" si="1481"/>
        <v>0</v>
      </c>
      <c r="SV15" s="494"/>
      <c r="SW15" s="493">
        <f t="shared" si="144"/>
        <v>0</v>
      </c>
      <c r="SX15" s="494"/>
      <c r="SY15" s="493">
        <f t="shared" ref="SY15" si="1914">((SY38+SZ38)-(SY37+SZ37))/2</f>
        <v>0</v>
      </c>
      <c r="SZ15" s="494"/>
      <c r="TA15" s="493">
        <f t="shared" ref="TA15" si="1915">((TA38+TB38)-(TA37+TB37))/2</f>
        <v>0</v>
      </c>
      <c r="TB15" s="494"/>
      <c r="TC15" s="493">
        <f t="shared" si="147"/>
        <v>0</v>
      </c>
      <c r="TD15" s="494"/>
      <c r="TE15" s="493">
        <f t="shared" ref="TE15" si="1916">((TE38+TF38)-(TE37+TF37))/2</f>
        <v>0</v>
      </c>
      <c r="TF15" s="494"/>
      <c r="TG15" s="493">
        <f t="shared" ref="TG15" si="1917">((TG38+TH38)-(TG37+TH37))/2</f>
        <v>0</v>
      </c>
      <c r="TH15" s="494"/>
      <c r="TI15" s="493">
        <f t="shared" si="150"/>
        <v>0</v>
      </c>
      <c r="TJ15" s="494"/>
      <c r="TK15" s="493">
        <f t="shared" ref="TK15" si="1918">((TK38+TL38)-(TK37+TL37))/2</f>
        <v>0</v>
      </c>
      <c r="TL15" s="494"/>
      <c r="TM15" s="493">
        <f t="shared" ref="TM15" si="1919">((TM38+TN38)-(TM37+TN37))/2</f>
        <v>0</v>
      </c>
      <c r="TN15" s="494"/>
      <c r="TO15" s="493">
        <f t="shared" si="153"/>
        <v>0</v>
      </c>
      <c r="TP15" s="494"/>
      <c r="TQ15" s="493">
        <f t="shared" ref="TQ15" si="1920">((TQ38+TR38)-(TQ37+TR37))/2</f>
        <v>0</v>
      </c>
      <c r="TR15" s="494"/>
      <c r="TS15" s="493">
        <f t="shared" si="1637"/>
        <v>0</v>
      </c>
      <c r="TT15" s="494"/>
      <c r="TU15" s="493">
        <f t="shared" si="156"/>
        <v>0</v>
      </c>
      <c r="TV15" s="494"/>
      <c r="TW15" s="493">
        <f t="shared" ref="TW15" si="1921">((TW38+TX38)-(TW37+TX37))/2</f>
        <v>0</v>
      </c>
      <c r="TX15" s="494"/>
      <c r="TY15" s="493">
        <f>((TY39+TZ38)-(TY38+TZ37))/2</f>
        <v>0</v>
      </c>
      <c r="TZ15" s="494"/>
      <c r="UA15" s="493">
        <f t="shared" si="159"/>
        <v>0</v>
      </c>
      <c r="UB15" s="494"/>
      <c r="UC15" s="493">
        <f t="shared" ref="UC15" si="1922">((UC38+UD38)-(UC37+UD37))/2</f>
        <v>0</v>
      </c>
      <c r="UD15" s="494"/>
      <c r="UE15" s="493">
        <f t="shared" ref="UE15" si="1923">((UE38+UF38)-(UE37+UF37))/2</f>
        <v>0</v>
      </c>
      <c r="UF15" s="494"/>
      <c r="UG15" s="493">
        <f t="shared" si="162"/>
        <v>0</v>
      </c>
      <c r="UH15" s="494"/>
      <c r="UI15" s="493">
        <f t="shared" ref="UI15" si="1924">((UI38+UJ38)-(UI37+UJ37))/2</f>
        <v>0</v>
      </c>
      <c r="UJ15" s="494"/>
      <c r="UK15" s="493">
        <f t="shared" ref="UK15" si="1925">((UK38+UL38)-(UK37+UL37))/2</f>
        <v>0</v>
      </c>
      <c r="UL15" s="494"/>
      <c r="UM15" s="493">
        <f t="shared" si="165"/>
        <v>0</v>
      </c>
      <c r="UN15" s="494"/>
      <c r="UO15" s="493">
        <f t="shared" ref="UO15" si="1926">((UO38+UP38)-(UO37+UP37))/2</f>
        <v>0</v>
      </c>
      <c r="UP15" s="494"/>
      <c r="UQ15" s="493">
        <f t="shared" ref="UQ15" si="1927">((UQ38+UR38)-(UQ37+UR37))/2</f>
        <v>0</v>
      </c>
      <c r="UR15" s="494"/>
      <c r="US15" s="493">
        <f t="shared" si="168"/>
        <v>0</v>
      </c>
      <c r="UT15" s="494"/>
      <c r="UU15" s="493">
        <f t="shared" ref="UU15" si="1928">((UU38+UV38)-(UU37+UV37))/2</f>
        <v>0</v>
      </c>
      <c r="UV15" s="494"/>
      <c r="UW15" s="493">
        <f t="shared" ref="UW15" si="1929">((UW38+UX38)-(UW37+UX37))/2</f>
        <v>0</v>
      </c>
      <c r="UX15" s="494"/>
      <c r="UY15" s="493">
        <f t="shared" si="171"/>
        <v>0</v>
      </c>
      <c r="UZ15" s="494"/>
      <c r="VA15" s="493">
        <f t="shared" ref="VA15" si="1930">((VA38+VB38)-(VA37+VB37))/2</f>
        <v>0</v>
      </c>
      <c r="VB15" s="494"/>
      <c r="VC15" s="493">
        <f t="shared" ref="VC15" si="1931">((VC38+VD38)-(VC37+VD37))/2</f>
        <v>0</v>
      </c>
      <c r="VD15" s="494"/>
      <c r="VE15" s="493">
        <f t="shared" si="464"/>
        <v>0</v>
      </c>
      <c r="VF15" s="494"/>
      <c r="VG15" s="493">
        <f t="shared" ref="VG15" si="1932">((VG38+VH38)-(VG37+VH37))/2</f>
        <v>0</v>
      </c>
      <c r="VH15" s="494"/>
      <c r="VI15" s="493">
        <f t="shared" si="1649"/>
        <v>0</v>
      </c>
      <c r="VJ15" s="494"/>
      <c r="VK15" s="493">
        <f t="shared" si="467"/>
        <v>0</v>
      </c>
      <c r="VL15" s="494"/>
      <c r="VM15" s="493">
        <f t="shared" ref="VM15" si="1933">((VM38+VN38)-(VM37+VN37))/2</f>
        <v>0</v>
      </c>
      <c r="VN15" s="494"/>
      <c r="VO15" s="493">
        <f t="shared" ref="VO15" si="1934">((VO38+VP38)-(VO37+VP37))/2</f>
        <v>0</v>
      </c>
      <c r="VP15" s="494"/>
      <c r="VQ15" s="493">
        <f t="shared" si="178"/>
        <v>0</v>
      </c>
      <c r="VR15" s="494"/>
      <c r="VS15" s="493">
        <f t="shared" ref="VS15" si="1935">((VS38+VT38)-(VS37+VT37))/2</f>
        <v>0</v>
      </c>
      <c r="VT15" s="494"/>
      <c r="VU15" s="493">
        <f t="shared" ref="VU15:VU21" si="1936">((VU38+VV38)-(VU37+VV37))/2</f>
        <v>0</v>
      </c>
      <c r="VV15" s="494"/>
      <c r="VW15" s="493">
        <f t="shared" si="181"/>
        <v>0</v>
      </c>
      <c r="VX15" s="494"/>
      <c r="VY15" s="493">
        <f t="shared" ref="VY15" si="1937">((VY38+VZ38)-(VY37+VZ37))/2</f>
        <v>0</v>
      </c>
      <c r="VZ15" s="494"/>
      <c r="WA15" s="493">
        <f t="shared" si="1067"/>
        <v>0</v>
      </c>
      <c r="WB15" s="494"/>
      <c r="WC15" s="493">
        <f t="shared" si="184"/>
        <v>0</v>
      </c>
      <c r="WD15" s="494"/>
      <c r="WE15" s="493">
        <f t="shared" ref="WE15" si="1938">((WE38+WF38)-(WE37+WF37))/2</f>
        <v>0</v>
      </c>
      <c r="WF15" s="494"/>
      <c r="WG15" s="493">
        <f t="shared" ref="WG15" si="1939">((WG38+WH38)-(WG37+WH37))/2</f>
        <v>0</v>
      </c>
      <c r="WH15" s="494"/>
      <c r="WI15" s="493">
        <f t="shared" si="187"/>
        <v>0</v>
      </c>
      <c r="WJ15" s="494"/>
      <c r="WK15" s="493">
        <f t="shared" ref="WK15" si="1940">((WK38+WL38)-(WK37+WL37))/2</f>
        <v>0</v>
      </c>
      <c r="WL15" s="494"/>
      <c r="WM15" s="493">
        <f t="shared" ref="WM15" si="1941">((WM38+WN38)-(WM37+WN37))/2</f>
        <v>0</v>
      </c>
      <c r="WN15" s="494"/>
      <c r="WO15" s="493">
        <f t="shared" si="190"/>
        <v>0</v>
      </c>
      <c r="WP15" s="494"/>
      <c r="WQ15" s="493">
        <f t="shared" si="477"/>
        <v>0</v>
      </c>
      <c r="WR15" s="494"/>
      <c r="WS15" s="493">
        <f t="shared" ref="WS15" si="1942">((WS38+WT38)-(WS37+WT37))/2</f>
        <v>0</v>
      </c>
      <c r="WT15" s="494"/>
      <c r="WU15" s="493">
        <f t="shared" si="193"/>
        <v>0</v>
      </c>
      <c r="WV15" s="494"/>
      <c r="WW15" s="493">
        <f t="shared" ref="WW15" si="1943">((WW38+WX38)-(WW37+WX37))/2</f>
        <v>0</v>
      </c>
      <c r="WX15" s="494"/>
      <c r="WY15" s="493">
        <f t="shared" ref="WY15" si="1944">((WY38+WZ38)-(WY37+WZ37))/2</f>
        <v>0</v>
      </c>
      <c r="WZ15" s="494"/>
      <c r="XA15" s="493">
        <f t="shared" si="196"/>
        <v>0</v>
      </c>
      <c r="XB15" s="494"/>
      <c r="XC15" s="493">
        <f t="shared" ref="XC15" si="1945">((XC38+XD38)-(XC37+XD37))/2</f>
        <v>0</v>
      </c>
      <c r="XD15" s="494"/>
      <c r="XE15" s="493">
        <f t="shared" ref="XE15" si="1946">((XE38+XF38)-(XE37+XF37))/2</f>
        <v>0</v>
      </c>
      <c r="XF15" s="494"/>
      <c r="XG15" s="493">
        <f t="shared" si="199"/>
        <v>0</v>
      </c>
      <c r="XH15" s="494"/>
      <c r="XI15" s="493">
        <f t="shared" ref="XI15" si="1947">((XI38+XJ38)-(XI37+XJ37))/2</f>
        <v>0</v>
      </c>
      <c r="XJ15" s="494"/>
      <c r="XK15" s="493">
        <f t="shared" ref="XK15" si="1948">((XK38+XL38)-(XK37+XL37))/2</f>
        <v>0</v>
      </c>
      <c r="XL15" s="494"/>
      <c r="XM15" s="493">
        <f t="shared" si="202"/>
        <v>0</v>
      </c>
      <c r="XN15" s="494"/>
      <c r="XO15" s="493">
        <f t="shared" si="933"/>
        <v>0</v>
      </c>
      <c r="XP15" s="494"/>
      <c r="XQ15" s="493">
        <f t="shared" ref="XQ15" si="1949">((XQ38+XR38)-(XQ37+XR37))/2</f>
        <v>0</v>
      </c>
      <c r="XR15" s="494"/>
      <c r="XS15" s="493">
        <f t="shared" si="205"/>
        <v>0</v>
      </c>
      <c r="XT15" s="494"/>
      <c r="XU15" s="493">
        <f t="shared" ref="XU15" si="1950">((XU38+XV38)-(XU37+XV37))/2</f>
        <v>0</v>
      </c>
      <c r="XV15" s="494"/>
      <c r="XW15" s="493">
        <f t="shared" ref="XW15" si="1951">((XW38+XX38)-(XW37+XX37))/2</f>
        <v>0</v>
      </c>
      <c r="XX15" s="494"/>
      <c r="XY15" s="493">
        <f t="shared" si="208"/>
        <v>0</v>
      </c>
      <c r="XZ15" s="494"/>
      <c r="YA15" s="493">
        <f t="shared" ref="YA15" si="1952">((YA38+YB38)-(YA37+YB37))/2</f>
        <v>0</v>
      </c>
      <c r="YB15" s="494"/>
      <c r="YC15" s="493">
        <f t="shared" ref="YC15" si="1953">((YC38+YD38)-(YC37+YD37))/2</f>
        <v>0</v>
      </c>
      <c r="YD15" s="494"/>
      <c r="YE15" s="493">
        <f t="shared" si="211"/>
        <v>0</v>
      </c>
      <c r="YF15" s="494"/>
      <c r="YG15" s="493">
        <f t="shared" ref="YG15" si="1954">((YG38+YH38)-(YG37+YH37))/2</f>
        <v>0</v>
      </c>
      <c r="YH15" s="494"/>
      <c r="YI15" s="493">
        <f t="shared" ref="YI15" si="1955">((YI38+YJ38)-(YI37+YJ37))/2</f>
        <v>0</v>
      </c>
      <c r="YJ15" s="494"/>
      <c r="YK15" s="493">
        <f t="shared" si="214"/>
        <v>0</v>
      </c>
      <c r="YL15" s="494"/>
      <c r="YM15" s="493">
        <f t="shared" ref="YM15" si="1956">((YM38+YN38)-(YM37+YN37))/2</f>
        <v>0</v>
      </c>
      <c r="YN15" s="494"/>
      <c r="YO15" s="493">
        <f t="shared" si="216"/>
        <v>0</v>
      </c>
      <c r="YP15" s="494"/>
      <c r="YQ15" s="493">
        <f t="shared" si="217"/>
        <v>0</v>
      </c>
      <c r="YR15" s="494"/>
      <c r="YS15" s="493">
        <f t="shared" ref="YS15" si="1957">((YS38+YT38)-(YS37+YT37))/2</f>
        <v>0</v>
      </c>
      <c r="YT15" s="494"/>
      <c r="YU15" s="493">
        <f t="shared" ref="YU15" si="1958">((YU38+YV38)-(YU37+YV37))/2</f>
        <v>0</v>
      </c>
      <c r="YV15" s="494"/>
      <c r="YW15" s="493">
        <f t="shared" si="220"/>
        <v>0</v>
      </c>
      <c r="YX15" s="494"/>
      <c r="YY15" s="493">
        <f t="shared" si="496"/>
        <v>0</v>
      </c>
      <c r="YZ15" s="494"/>
      <c r="ZA15" s="493">
        <f t="shared" ref="ZA15" si="1959">((ZA38+ZB38)-(ZA37+ZB37))/2</f>
        <v>0</v>
      </c>
      <c r="ZB15" s="494"/>
      <c r="ZC15" s="493">
        <f t="shared" si="1239"/>
        <v>0</v>
      </c>
      <c r="ZD15" s="494"/>
      <c r="ZE15" s="493">
        <f t="shared" ref="ZE15" si="1960">((ZE38+ZF38)-(ZE37+ZF37))/2</f>
        <v>0</v>
      </c>
      <c r="ZF15" s="494"/>
      <c r="ZG15" s="493">
        <f t="shared" ref="ZG15" si="1961">((ZG38+ZH38)-(ZG37+ZH37))/2</f>
        <v>0</v>
      </c>
      <c r="ZH15" s="494"/>
      <c r="ZI15" s="493">
        <f>((ZI39+ZJ39)-(ZI37+ZJ37))/2</f>
        <v>0</v>
      </c>
      <c r="ZJ15" s="494"/>
      <c r="ZK15" s="493">
        <f t="shared" ref="ZK15" si="1962">((ZK38+ZL38)-(ZK37+ZL37))/2</f>
        <v>0</v>
      </c>
      <c r="ZL15" s="494"/>
      <c r="ZM15" s="493">
        <f t="shared" ref="ZM15" si="1963">((ZM38+ZN38)-(ZM37+ZN37))/2</f>
        <v>0</v>
      </c>
      <c r="ZN15" s="494"/>
      <c r="ZO15" s="493">
        <f t="shared" si="502"/>
        <v>0</v>
      </c>
      <c r="ZP15" s="494"/>
      <c r="ZQ15" s="493">
        <f t="shared" si="1820"/>
        <v>0</v>
      </c>
      <c r="ZR15" s="494"/>
      <c r="ZS15" s="493">
        <f t="shared" ref="ZS15" si="1964">((ZS38+ZT38)-(ZS37+ZT37))/2</f>
        <v>0</v>
      </c>
      <c r="ZT15" s="494"/>
      <c r="ZU15" s="493">
        <f t="shared" si="230"/>
        <v>0</v>
      </c>
      <c r="ZV15" s="494"/>
      <c r="ZW15" s="493">
        <f t="shared" ref="ZW15" si="1965">((ZW38+ZX38)-(ZW37+ZX37))/2</f>
        <v>0</v>
      </c>
      <c r="ZX15" s="494"/>
      <c r="ZY15" s="493">
        <f t="shared" ref="ZY15" si="1966">((ZY38+ZZ38)-(ZY37+ZZ37))/2</f>
        <v>0</v>
      </c>
      <c r="ZZ15" s="494"/>
      <c r="AAA15" s="493">
        <f t="shared" si="233"/>
        <v>0</v>
      </c>
      <c r="AAB15" s="494"/>
      <c r="AAC15" s="493">
        <f t="shared" si="1682"/>
        <v>0</v>
      </c>
      <c r="AAD15" s="494"/>
      <c r="AAE15" s="493">
        <f t="shared" ref="AAE15" si="1967">((AAE38+AAF38)-(AAE37+AAF37))/2</f>
        <v>0</v>
      </c>
      <c r="AAF15" s="494"/>
      <c r="AAG15" s="493">
        <f t="shared" si="236"/>
        <v>0</v>
      </c>
      <c r="AAH15" s="494"/>
      <c r="AAI15" s="493">
        <f t="shared" ref="AAI15" si="1968">((AAI38+AAJ38)-(AAI37+AAJ37))/2</f>
        <v>0</v>
      </c>
      <c r="AAJ15" s="494"/>
      <c r="AAK15" s="493">
        <f t="shared" ref="AAK15" si="1969">((AAK38+AAL38)-(AAK37+AAL37))/2</f>
        <v>0</v>
      </c>
      <c r="AAL15" s="494"/>
      <c r="AAM15" s="493">
        <f t="shared" si="239"/>
        <v>0</v>
      </c>
      <c r="AAN15" s="494"/>
      <c r="AAO15" s="493">
        <f t="shared" si="1250"/>
        <v>0</v>
      </c>
      <c r="AAP15" s="494"/>
      <c r="AAQ15" s="493">
        <f t="shared" si="1100"/>
        <v>0</v>
      </c>
      <c r="AAR15" s="494"/>
      <c r="AAS15" s="493">
        <f t="shared" si="241"/>
        <v>0</v>
      </c>
      <c r="AAT15" s="494"/>
      <c r="AAU15" s="493">
        <f t="shared" ref="AAU15" si="1970">((AAU38+AAV38)-(AAU37+AAV37))/2</f>
        <v>0</v>
      </c>
      <c r="AAV15" s="494"/>
      <c r="AAW15" s="493">
        <f t="shared" ref="AAW15" si="1971">((AAW38+AAX38)-(AAW37+AAX37))/2</f>
        <v>0</v>
      </c>
      <c r="AAX15" s="494"/>
      <c r="AAY15" s="493">
        <f t="shared" si="1829"/>
        <v>0</v>
      </c>
      <c r="AAZ15" s="494"/>
      <c r="ABA15" s="493">
        <f t="shared" ref="ABA15" si="1972">((ABA38+ABB38)-(ABA37+ABB37))/2</f>
        <v>0</v>
      </c>
      <c r="ABB15" s="494"/>
      <c r="ABC15" s="493">
        <f t="shared" ref="ABC15" si="1973">((ABC38+ABD38)-(ABC37+ABD37))/2</f>
        <v>0</v>
      </c>
      <c r="ABD15" s="494"/>
      <c r="ABE15" s="379">
        <f t="shared" si="516"/>
        <v>0</v>
      </c>
      <c r="ABF15" s="377"/>
      <c r="ABG15" s="481"/>
      <c r="ABH15" s="481"/>
      <c r="ABI15" s="481"/>
      <c r="ABJ15" s="481"/>
      <c r="ABK15" s="481"/>
      <c r="ABL15" s="481"/>
      <c r="ABM15" s="481"/>
      <c r="ABN15" s="481"/>
      <c r="ABO15" s="481"/>
      <c r="ABP15" s="481"/>
      <c r="ABQ15" s="481"/>
      <c r="ABR15" s="481"/>
      <c r="ABS15" s="481"/>
      <c r="ABT15" s="481"/>
      <c r="ABU15" s="481"/>
      <c r="ABV15" s="481"/>
      <c r="ABW15" s="481"/>
      <c r="ABX15" s="481"/>
      <c r="ABY15" s="481"/>
      <c r="ABZ15" s="481"/>
      <c r="ACA15" s="481"/>
      <c r="ACB15" s="481"/>
      <c r="ACC15" s="481"/>
      <c r="ACD15" s="481"/>
      <c r="ACE15" s="481"/>
      <c r="ACF15" s="481"/>
      <c r="ACG15" s="481"/>
      <c r="ACH15" s="481"/>
      <c r="ACI15" s="481"/>
      <c r="ACJ15" s="481"/>
      <c r="ACK15" s="481"/>
      <c r="ACL15" s="481"/>
      <c r="ACM15" s="481"/>
      <c r="ACN15" s="481"/>
      <c r="ACO15" s="481"/>
      <c r="ACP15" s="481"/>
      <c r="ACQ15" s="481"/>
      <c r="ACR15" s="481"/>
      <c r="ACS15" s="481"/>
      <c r="ACT15" s="481"/>
      <c r="ACU15" s="481"/>
      <c r="ACV15" s="481"/>
      <c r="ACW15" s="481"/>
      <c r="ACX15" s="481"/>
      <c r="ACY15" s="481"/>
      <c r="ACZ15" s="481"/>
      <c r="ADA15" s="481"/>
      <c r="ADB15" s="481"/>
      <c r="ADC15" s="481"/>
      <c r="ADD15" s="481"/>
      <c r="ADE15" s="481"/>
      <c r="ADF15" s="481"/>
      <c r="ADG15" s="481"/>
      <c r="ADH15" s="481"/>
      <c r="ADI15" s="481"/>
      <c r="ADJ15" s="481"/>
      <c r="ADK15" s="335"/>
      <c r="ADL15" s="335"/>
      <c r="ADM15" s="335"/>
      <c r="ADN15" s="335"/>
      <c r="ADO15" s="335"/>
      <c r="ADP15" s="335"/>
      <c r="ADQ15" s="335"/>
      <c r="ADR15" s="335"/>
      <c r="ADS15" s="335"/>
      <c r="ADT15" s="335"/>
      <c r="ADU15" s="335"/>
      <c r="ADV15" s="335"/>
      <c r="ADW15" s="335"/>
      <c r="ADX15" s="335"/>
      <c r="ADY15" s="335"/>
      <c r="ADZ15" s="335"/>
      <c r="AEA15" s="335"/>
      <c r="AEB15" s="335"/>
      <c r="AEC15" s="335"/>
      <c r="AED15" s="335"/>
      <c r="AEE15" s="335"/>
      <c r="AEF15" s="335"/>
      <c r="AEG15" s="335"/>
      <c r="AEH15" s="335"/>
      <c r="AEI15" s="335"/>
      <c r="AEJ15" s="335"/>
      <c r="AEK15" s="335"/>
      <c r="AEL15" s="335"/>
      <c r="AEM15" s="335"/>
      <c r="AEN15" s="335"/>
      <c r="AEO15" s="335"/>
      <c r="AEP15" s="335"/>
      <c r="AEQ15" s="335"/>
      <c r="AER15" s="335"/>
      <c r="AES15" s="335"/>
      <c r="AET15" s="335"/>
      <c r="AEU15" s="335"/>
      <c r="AEV15" s="335"/>
      <c r="AEW15" s="335"/>
      <c r="AEX15" s="335"/>
      <c r="AEY15" s="335"/>
      <c r="AEZ15" s="335"/>
      <c r="AFA15" s="335"/>
      <c r="AFB15" s="335"/>
      <c r="AFC15" s="335"/>
      <c r="AFD15" s="335"/>
      <c r="AFE15" s="335"/>
      <c r="AFF15" s="335"/>
      <c r="AFG15" s="335"/>
      <c r="AFH15" s="335"/>
      <c r="AFI15" s="335"/>
      <c r="AFJ15" s="335"/>
      <c r="AFK15" s="335"/>
      <c r="AFL15" s="335"/>
      <c r="AFM15" s="335"/>
      <c r="AFN15" s="335"/>
      <c r="AFO15" s="335"/>
      <c r="AFP15" s="335"/>
      <c r="AFQ15" s="335"/>
      <c r="AFR15" s="335"/>
      <c r="AFS15" s="335"/>
      <c r="AFT15" s="335"/>
      <c r="AFU15" s="335"/>
      <c r="AFV15" s="335"/>
      <c r="AFW15" s="335"/>
      <c r="AFX15" s="335"/>
      <c r="AFY15" s="335"/>
      <c r="AFZ15" s="335"/>
      <c r="AGA15" s="335"/>
      <c r="AGB15" s="335"/>
      <c r="AGC15" s="335"/>
      <c r="AGD15" s="335"/>
      <c r="AGE15" s="335"/>
      <c r="AGF15" s="335"/>
      <c r="AGG15" s="335"/>
      <c r="AGH15" s="335"/>
      <c r="AGI15" s="335"/>
      <c r="AGJ15" s="335"/>
      <c r="AGK15" s="335"/>
      <c r="AGL15" s="335"/>
      <c r="AGM15" s="335"/>
      <c r="AGN15" s="335"/>
      <c r="AGO15" s="335"/>
      <c r="AGP15" s="335"/>
      <c r="AGQ15" s="335"/>
      <c r="AGR15" s="335"/>
      <c r="AGS15" s="335"/>
      <c r="AGT15" s="335"/>
      <c r="AGU15" s="335"/>
      <c r="AGV15" s="335"/>
      <c r="AGW15" s="335"/>
      <c r="AGX15" s="335"/>
      <c r="AGY15" s="335"/>
      <c r="AGZ15" s="335"/>
      <c r="AHA15" s="335"/>
      <c r="AHB15" s="335"/>
      <c r="AHC15" s="335"/>
      <c r="AHD15" s="335"/>
      <c r="AHE15" s="335"/>
      <c r="AHF15" s="335"/>
      <c r="AHG15" s="335"/>
      <c r="AHH15" s="335"/>
      <c r="AHI15" s="335"/>
      <c r="AHJ15" s="335"/>
      <c r="AHK15" s="335"/>
      <c r="AHL15" s="335"/>
      <c r="AHM15" s="335"/>
      <c r="AHN15" s="335"/>
      <c r="AHO15" s="335"/>
      <c r="AHP15" s="335"/>
      <c r="AHQ15" s="335"/>
      <c r="AHR15" s="335"/>
      <c r="AHS15" s="335"/>
      <c r="AHT15" s="335"/>
      <c r="AHU15" s="335"/>
      <c r="AHV15" s="335"/>
      <c r="AHW15" s="335"/>
      <c r="AHX15" s="335"/>
      <c r="AHY15" s="335"/>
      <c r="AHZ15" s="335"/>
      <c r="AIA15" s="335"/>
      <c r="AIB15" s="335"/>
      <c r="AIC15" s="339"/>
    </row>
    <row r="16" spans="1:913" s="161" customFormat="1">
      <c r="A16" s="172"/>
      <c r="B16" s="177">
        <v>0.875</v>
      </c>
      <c r="C16" s="493">
        <f t="shared" si="246"/>
        <v>0</v>
      </c>
      <c r="D16" s="494"/>
      <c r="E16" s="493">
        <f t="shared" si="0"/>
        <v>0</v>
      </c>
      <c r="F16" s="494"/>
      <c r="G16" s="493">
        <f t="shared" si="1"/>
        <v>0</v>
      </c>
      <c r="H16" s="494"/>
      <c r="I16" s="493">
        <f t="shared" si="1690"/>
        <v>0</v>
      </c>
      <c r="J16" s="494"/>
      <c r="K16" s="493">
        <f t="shared" si="2"/>
        <v>0</v>
      </c>
      <c r="L16" s="494"/>
      <c r="M16" s="493">
        <f t="shared" si="3"/>
        <v>0</v>
      </c>
      <c r="N16" s="494"/>
      <c r="O16" s="493">
        <f t="shared" si="517"/>
        <v>0</v>
      </c>
      <c r="P16" s="494"/>
      <c r="Q16" s="493">
        <f t="shared" si="248"/>
        <v>0</v>
      </c>
      <c r="R16" s="494"/>
      <c r="S16" s="493">
        <f t="shared" si="249"/>
        <v>0</v>
      </c>
      <c r="T16" s="494"/>
      <c r="U16" s="493">
        <v>90</v>
      </c>
      <c r="V16" s="494"/>
      <c r="W16" s="493">
        <f t="shared" ref="W16:W20" si="1974">((W39+X40)-(W38+X39))/2</f>
        <v>0</v>
      </c>
      <c r="X16" s="494"/>
      <c r="Y16" s="493">
        <f t="shared" si="252"/>
        <v>0</v>
      </c>
      <c r="Z16" s="494"/>
      <c r="AA16" s="493">
        <f t="shared" si="253"/>
        <v>0</v>
      </c>
      <c r="AB16" s="494"/>
      <c r="AC16" s="493">
        <f t="shared" si="254"/>
        <v>0</v>
      </c>
      <c r="AD16" s="494"/>
      <c r="AE16" s="493">
        <f t="shared" si="255"/>
        <v>0</v>
      </c>
      <c r="AF16" s="494"/>
      <c r="AG16" s="493">
        <f>((AG40+AH40)-(AG38+AH38))/2</f>
        <v>0</v>
      </c>
      <c r="AH16" s="494"/>
      <c r="AI16" s="493">
        <f t="shared" si="257"/>
        <v>0</v>
      </c>
      <c r="AJ16" s="494"/>
      <c r="AK16" s="493">
        <f t="shared" si="258"/>
        <v>0</v>
      </c>
      <c r="AL16" s="494"/>
      <c r="AM16" s="493">
        <f t="shared" si="259"/>
        <v>0</v>
      </c>
      <c r="AN16" s="494"/>
      <c r="AO16" s="493">
        <f t="shared" si="260"/>
        <v>0</v>
      </c>
      <c r="AP16" s="494"/>
      <c r="AQ16" s="493">
        <f t="shared" si="261"/>
        <v>0</v>
      </c>
      <c r="AR16" s="494"/>
      <c r="AS16" s="493">
        <f t="shared" si="262"/>
        <v>0</v>
      </c>
      <c r="AT16" s="494"/>
      <c r="AU16" s="493">
        <f t="shared" si="263"/>
        <v>0</v>
      </c>
      <c r="AV16" s="494"/>
      <c r="AW16" s="493">
        <f t="shared" si="264"/>
        <v>0</v>
      </c>
      <c r="AX16" s="494"/>
      <c r="AY16" s="493">
        <f t="shared" si="265"/>
        <v>0</v>
      </c>
      <c r="AZ16" s="494"/>
      <c r="BA16" s="493">
        <f t="shared" si="266"/>
        <v>0</v>
      </c>
      <c r="BB16" s="494"/>
      <c r="BC16" s="493">
        <f t="shared" si="267"/>
        <v>0</v>
      </c>
      <c r="BD16" s="494"/>
      <c r="BE16" s="493">
        <f t="shared" si="268"/>
        <v>0</v>
      </c>
      <c r="BF16" s="494"/>
      <c r="BG16" s="493">
        <f t="shared" si="269"/>
        <v>0</v>
      </c>
      <c r="BH16" s="494"/>
      <c r="BI16" s="493">
        <f t="shared" si="270"/>
        <v>0</v>
      </c>
      <c r="BJ16" s="494"/>
      <c r="BK16" s="493">
        <f t="shared" si="271"/>
        <v>0</v>
      </c>
      <c r="BL16" s="494"/>
      <c r="BM16" s="493">
        <f t="shared" si="272"/>
        <v>0</v>
      </c>
      <c r="BN16" s="494"/>
      <c r="BO16" s="493">
        <f t="shared" si="273"/>
        <v>0</v>
      </c>
      <c r="BP16" s="494"/>
      <c r="BQ16" s="493">
        <f t="shared" si="274"/>
        <v>0</v>
      </c>
      <c r="BR16" s="494"/>
      <c r="BS16" s="493">
        <f t="shared" si="275"/>
        <v>0</v>
      </c>
      <c r="BT16" s="494"/>
      <c r="BU16" s="493">
        <f t="shared" si="276"/>
        <v>0</v>
      </c>
      <c r="BV16" s="494"/>
      <c r="BW16" s="493">
        <f t="shared" si="665"/>
        <v>0</v>
      </c>
      <c r="BX16" s="494"/>
      <c r="BY16" s="493">
        <f t="shared" si="277"/>
        <v>0</v>
      </c>
      <c r="BZ16" s="494"/>
      <c r="CA16" s="493">
        <f t="shared" si="278"/>
        <v>0</v>
      </c>
      <c r="CB16" s="494"/>
      <c r="CC16" s="493">
        <f t="shared" si="279"/>
        <v>0</v>
      </c>
      <c r="CD16" s="494"/>
      <c r="CE16" s="493">
        <f t="shared" si="280"/>
        <v>0</v>
      </c>
      <c r="CF16" s="494"/>
      <c r="CG16" s="493">
        <f t="shared" si="281"/>
        <v>0</v>
      </c>
      <c r="CH16" s="494"/>
      <c r="CI16" s="493">
        <f t="shared" si="282"/>
        <v>0</v>
      </c>
      <c r="CJ16" s="494"/>
      <c r="CK16" s="493">
        <f t="shared" si="283"/>
        <v>0</v>
      </c>
      <c r="CL16" s="494"/>
      <c r="CM16" s="493">
        <f t="shared" si="284"/>
        <v>0</v>
      </c>
      <c r="CN16" s="494"/>
      <c r="CO16" s="493">
        <f t="shared" si="285"/>
        <v>0</v>
      </c>
      <c r="CP16" s="494"/>
      <c r="CQ16" s="493">
        <f t="shared" si="1257"/>
        <v>0</v>
      </c>
      <c r="CR16" s="494"/>
      <c r="CS16" s="493">
        <f t="shared" si="287"/>
        <v>0</v>
      </c>
      <c r="CT16" s="494"/>
      <c r="CU16" s="493">
        <f t="shared" si="1542"/>
        <v>0</v>
      </c>
      <c r="CV16" s="494"/>
      <c r="CW16" s="493">
        <f t="shared" si="289"/>
        <v>0</v>
      </c>
      <c r="CX16" s="494"/>
      <c r="CY16" s="493">
        <f t="shared" si="290"/>
        <v>0</v>
      </c>
      <c r="CZ16" s="494"/>
      <c r="DA16" s="493">
        <v>33</v>
      </c>
      <c r="DB16" s="494"/>
      <c r="DC16" s="493">
        <f t="shared" ref="DC16:DC17" si="1975">((DC40+DD39)-(DC39+DD38))/2</f>
        <v>0</v>
      </c>
      <c r="DD16" s="494"/>
      <c r="DE16" s="493">
        <f t="shared" si="293"/>
        <v>0</v>
      </c>
      <c r="DF16" s="494"/>
      <c r="DG16" s="493">
        <f t="shared" si="294"/>
        <v>0</v>
      </c>
      <c r="DH16" s="494"/>
      <c r="DI16" s="493">
        <f t="shared" si="295"/>
        <v>0</v>
      </c>
      <c r="DJ16" s="494"/>
      <c r="DK16" s="493">
        <f t="shared" si="296"/>
        <v>0</v>
      </c>
      <c r="DL16" s="494"/>
      <c r="DM16" s="493">
        <f t="shared" si="297"/>
        <v>0</v>
      </c>
      <c r="DN16" s="494"/>
      <c r="DO16" s="493">
        <f t="shared" si="298"/>
        <v>0</v>
      </c>
      <c r="DP16" s="494"/>
      <c r="DQ16" s="493">
        <f t="shared" si="666"/>
        <v>0</v>
      </c>
      <c r="DR16" s="494"/>
      <c r="DS16" s="493">
        <f t="shared" si="300"/>
        <v>0</v>
      </c>
      <c r="DT16" s="494"/>
      <c r="DU16" s="493">
        <f t="shared" si="301"/>
        <v>0</v>
      </c>
      <c r="DV16" s="494"/>
      <c r="DW16" s="493">
        <f t="shared" si="302"/>
        <v>0</v>
      </c>
      <c r="DX16" s="494"/>
      <c r="DY16" s="493">
        <f t="shared" si="303"/>
        <v>0</v>
      </c>
      <c r="DZ16" s="494"/>
      <c r="EA16" s="493">
        <f t="shared" si="304"/>
        <v>0</v>
      </c>
      <c r="EB16" s="494"/>
      <c r="EC16" s="493">
        <f t="shared" si="305"/>
        <v>0</v>
      </c>
      <c r="ED16" s="494"/>
      <c r="EE16" s="493">
        <f t="shared" si="1543"/>
        <v>0</v>
      </c>
      <c r="EF16" s="494"/>
      <c r="EG16" s="493">
        <f t="shared" si="1544"/>
        <v>0</v>
      </c>
      <c r="EH16" s="494"/>
      <c r="EI16" s="493">
        <f t="shared" si="1545"/>
        <v>0</v>
      </c>
      <c r="EJ16" s="494"/>
      <c r="EK16" s="493">
        <f t="shared" si="1546"/>
        <v>0</v>
      </c>
      <c r="EL16" s="494"/>
      <c r="EM16" s="493">
        <f t="shared" si="1547"/>
        <v>0</v>
      </c>
      <c r="EN16" s="494"/>
      <c r="EO16" s="493">
        <f t="shared" si="10"/>
        <v>0</v>
      </c>
      <c r="EP16" s="494"/>
      <c r="EQ16" s="493">
        <f t="shared" si="307"/>
        <v>0</v>
      </c>
      <c r="ER16" s="494"/>
      <c r="ES16" s="493">
        <f t="shared" si="308"/>
        <v>0</v>
      </c>
      <c r="ET16" s="494"/>
      <c r="EU16" s="493">
        <f t="shared" si="309"/>
        <v>0</v>
      </c>
      <c r="EV16" s="494"/>
      <c r="EW16" s="493">
        <f t="shared" si="310"/>
        <v>0</v>
      </c>
      <c r="EX16" s="494"/>
      <c r="EY16" s="493">
        <f t="shared" si="311"/>
        <v>0</v>
      </c>
      <c r="EZ16" s="494"/>
      <c r="FA16" s="493">
        <f t="shared" si="312"/>
        <v>0</v>
      </c>
      <c r="FB16" s="494"/>
      <c r="FC16" s="493">
        <f t="shared" si="313"/>
        <v>0</v>
      </c>
      <c r="FD16" s="494"/>
      <c r="FE16" s="493">
        <f t="shared" si="314"/>
        <v>0</v>
      </c>
      <c r="FF16" s="494"/>
      <c r="FG16" s="493">
        <f t="shared" si="315"/>
        <v>0</v>
      </c>
      <c r="FH16" s="494"/>
      <c r="FI16" s="493">
        <f t="shared" si="316"/>
        <v>0</v>
      </c>
      <c r="FJ16" s="494"/>
      <c r="FK16" s="493">
        <f t="shared" si="317"/>
        <v>0</v>
      </c>
      <c r="FL16" s="494"/>
      <c r="FM16" s="493">
        <f t="shared" si="318"/>
        <v>0</v>
      </c>
      <c r="FN16" s="494"/>
      <c r="FO16" s="493">
        <f t="shared" si="319"/>
        <v>0</v>
      </c>
      <c r="FP16" s="494"/>
      <c r="FQ16" s="493">
        <f t="shared" si="320"/>
        <v>0</v>
      </c>
      <c r="FR16" s="494"/>
      <c r="FS16" s="493">
        <f t="shared" si="321"/>
        <v>0</v>
      </c>
      <c r="FT16" s="494"/>
      <c r="FU16" s="493">
        <f t="shared" si="322"/>
        <v>0</v>
      </c>
      <c r="FV16" s="494"/>
      <c r="FW16" s="493">
        <f t="shared" si="323"/>
        <v>0</v>
      </c>
      <c r="FX16" s="494"/>
      <c r="FY16" s="493">
        <f t="shared" si="324"/>
        <v>0</v>
      </c>
      <c r="FZ16" s="494"/>
      <c r="GA16" s="493">
        <f t="shared" si="325"/>
        <v>0</v>
      </c>
      <c r="GB16" s="494"/>
      <c r="GC16" s="493">
        <f t="shared" si="326"/>
        <v>0</v>
      </c>
      <c r="GD16" s="494"/>
      <c r="GE16" s="493">
        <f t="shared" si="327"/>
        <v>0</v>
      </c>
      <c r="GF16" s="494"/>
      <c r="GG16" s="493">
        <f t="shared" si="328"/>
        <v>0</v>
      </c>
      <c r="GH16" s="494"/>
      <c r="GI16" s="493">
        <f t="shared" si="329"/>
        <v>0</v>
      </c>
      <c r="GJ16" s="494"/>
      <c r="GK16" s="493">
        <f t="shared" si="330"/>
        <v>0</v>
      </c>
      <c r="GL16" s="494"/>
      <c r="GM16" s="493">
        <f t="shared" si="331"/>
        <v>0</v>
      </c>
      <c r="GN16" s="494"/>
      <c r="GO16" s="493">
        <f t="shared" ref="GO16:GO21" si="1976">((GO39+GP39)-(GO38+GP38))/2</f>
        <v>0</v>
      </c>
      <c r="GP16" s="494"/>
      <c r="GQ16" s="493">
        <f t="shared" si="333"/>
        <v>0</v>
      </c>
      <c r="GR16" s="494"/>
      <c r="GS16" s="493">
        <f t="shared" si="334"/>
        <v>0</v>
      </c>
      <c r="GT16" s="494"/>
      <c r="GU16" s="493">
        <f t="shared" si="1109"/>
        <v>0</v>
      </c>
      <c r="GV16" s="494"/>
      <c r="GW16" s="493">
        <f t="shared" si="1110"/>
        <v>0</v>
      </c>
      <c r="GX16" s="494"/>
      <c r="GY16" s="493">
        <f t="shared" si="1111"/>
        <v>0</v>
      </c>
      <c r="GZ16" s="494"/>
      <c r="HA16" s="493">
        <f t="shared" si="335"/>
        <v>0</v>
      </c>
      <c r="HB16" s="494"/>
      <c r="HC16" s="493">
        <f t="shared" si="336"/>
        <v>0</v>
      </c>
      <c r="HD16" s="494"/>
      <c r="HE16" s="493">
        <f t="shared" si="1548"/>
        <v>0</v>
      </c>
      <c r="HF16" s="494"/>
      <c r="HG16" s="493">
        <f t="shared" si="338"/>
        <v>0</v>
      </c>
      <c r="HH16" s="494"/>
      <c r="HI16" s="493">
        <f t="shared" si="339"/>
        <v>0</v>
      </c>
      <c r="HJ16" s="494"/>
      <c r="HK16" s="493">
        <f t="shared" si="340"/>
        <v>0</v>
      </c>
      <c r="HL16" s="494"/>
      <c r="HM16" s="493">
        <f t="shared" si="341"/>
        <v>0</v>
      </c>
      <c r="HN16" s="494"/>
      <c r="HO16" s="493">
        <f t="shared" si="342"/>
        <v>0</v>
      </c>
      <c r="HP16" s="494"/>
      <c r="HQ16" s="493">
        <f t="shared" si="343"/>
        <v>0</v>
      </c>
      <c r="HR16" s="494"/>
      <c r="HS16" s="493">
        <f t="shared" si="344"/>
        <v>0</v>
      </c>
      <c r="HT16" s="494"/>
      <c r="HU16" s="493">
        <f t="shared" si="345"/>
        <v>0</v>
      </c>
      <c r="HV16" s="494"/>
      <c r="HW16" s="493">
        <f t="shared" si="346"/>
        <v>0</v>
      </c>
      <c r="HX16" s="494"/>
      <c r="HY16" s="493">
        <f t="shared" si="347"/>
        <v>0</v>
      </c>
      <c r="HZ16" s="494"/>
      <c r="IA16" s="493">
        <f t="shared" si="348"/>
        <v>0</v>
      </c>
      <c r="IB16" s="494"/>
      <c r="IC16" s="493">
        <f t="shared" si="349"/>
        <v>0</v>
      </c>
      <c r="ID16" s="494"/>
      <c r="IE16" s="493">
        <f t="shared" ref="IE16:IE21" si="1977">((IE39+IF39)-(IE38+IF38))/2</f>
        <v>0</v>
      </c>
      <c r="IF16" s="494"/>
      <c r="IG16" s="493">
        <f t="shared" si="351"/>
        <v>0</v>
      </c>
      <c r="IH16" s="494"/>
      <c r="II16" s="493">
        <f t="shared" si="352"/>
        <v>0</v>
      </c>
      <c r="IJ16" s="494"/>
      <c r="IK16" s="493">
        <f t="shared" si="353"/>
        <v>0</v>
      </c>
      <c r="IL16" s="494"/>
      <c r="IM16" s="493">
        <f t="shared" si="354"/>
        <v>0</v>
      </c>
      <c r="IN16" s="494"/>
      <c r="IO16" s="493">
        <f t="shared" si="355"/>
        <v>0</v>
      </c>
      <c r="IP16" s="494"/>
      <c r="IQ16" s="493">
        <f t="shared" si="356"/>
        <v>0</v>
      </c>
      <c r="IR16" s="494"/>
      <c r="IS16" s="493">
        <f t="shared" si="357"/>
        <v>0</v>
      </c>
      <c r="IT16" s="494"/>
      <c r="IU16" s="493">
        <f t="shared" si="14"/>
        <v>0</v>
      </c>
      <c r="IV16" s="494"/>
      <c r="IW16" s="493">
        <f t="shared" si="15"/>
        <v>0</v>
      </c>
      <c r="IX16" s="494"/>
      <c r="IY16" s="493">
        <f t="shared" si="16"/>
        <v>0</v>
      </c>
      <c r="IZ16" s="494"/>
      <c r="JA16" s="493">
        <f t="shared" ref="JA16" si="1978">((JA39+JB39)-(JA38+JB38))/2</f>
        <v>0</v>
      </c>
      <c r="JB16" s="494"/>
      <c r="JC16" s="493">
        <f t="shared" ref="JC16" si="1979">((JC39+JD39)-(JC38+JD38))/2</f>
        <v>0</v>
      </c>
      <c r="JD16" s="494"/>
      <c r="JE16" s="493">
        <f t="shared" si="19"/>
        <v>0</v>
      </c>
      <c r="JF16" s="494"/>
      <c r="JG16" s="493">
        <f t="shared" ref="JG16" si="1980">((JG39+JH39)-(JG38+JH38))/2</f>
        <v>0</v>
      </c>
      <c r="JH16" s="494"/>
      <c r="JI16" s="493">
        <f t="shared" ref="JI16" si="1981">((JI39+JJ39)-(JI38+JJ38))/2</f>
        <v>0</v>
      </c>
      <c r="JJ16" s="494"/>
      <c r="JK16" s="493">
        <f t="shared" si="22"/>
        <v>0</v>
      </c>
      <c r="JL16" s="494"/>
      <c r="JM16" s="493">
        <f t="shared" ref="JM16" si="1982">((JM39+JN39)-(JM38+JN38))/2</f>
        <v>0</v>
      </c>
      <c r="JN16" s="494"/>
      <c r="JO16" s="493">
        <f t="shared" ref="JO16" si="1983">((JO39+JP39)-(JO38+JP38))/2</f>
        <v>0</v>
      </c>
      <c r="JP16" s="494"/>
      <c r="JQ16" s="493">
        <f t="shared" si="1555"/>
        <v>0</v>
      </c>
      <c r="JR16" s="494"/>
      <c r="JS16" s="493">
        <f t="shared" ref="JS16" si="1984">((JS39+JT39)-(JS38+JT38))/2</f>
        <v>0</v>
      </c>
      <c r="JT16" s="494"/>
      <c r="JU16" s="493">
        <f t="shared" ref="JU16" si="1985">((JU39+JV39)-(JU38+JV38))/2</f>
        <v>0</v>
      </c>
      <c r="JV16" s="494"/>
      <c r="JW16" s="493">
        <f t="shared" si="28"/>
        <v>0</v>
      </c>
      <c r="JX16" s="494"/>
      <c r="JY16" s="493">
        <f t="shared" ref="JY16" si="1986">((JY39+JZ39)-(JY38+JZ38))/2</f>
        <v>0</v>
      </c>
      <c r="JZ16" s="494"/>
      <c r="KA16" s="493">
        <f t="shared" ref="KA16" si="1987">((KA39+KB39)-(KA38+KB38))/2</f>
        <v>0</v>
      </c>
      <c r="KB16" s="494"/>
      <c r="KC16" s="493">
        <f t="shared" si="31"/>
        <v>0</v>
      </c>
      <c r="KD16" s="494"/>
      <c r="KE16" s="493">
        <f t="shared" si="1842"/>
        <v>0</v>
      </c>
      <c r="KF16" s="494"/>
      <c r="KG16" s="493">
        <f t="shared" ref="KG16" si="1988">((KG39+KH39)-(KG38+KH38))/2</f>
        <v>0</v>
      </c>
      <c r="KH16" s="494"/>
      <c r="KI16" s="493">
        <f t="shared" si="34"/>
        <v>0</v>
      </c>
      <c r="KJ16" s="494"/>
      <c r="KK16" s="493">
        <f t="shared" ref="KK16" si="1989">((KK39+KL39)-(KK38+KL38))/2</f>
        <v>0</v>
      </c>
      <c r="KL16" s="494"/>
      <c r="KM16" s="493">
        <f t="shared" ref="KM16" si="1990">((KM39+KN39)-(KM38+KN38))/2</f>
        <v>0</v>
      </c>
      <c r="KN16" s="494"/>
      <c r="KO16" s="493">
        <f t="shared" si="37"/>
        <v>0</v>
      </c>
      <c r="KP16" s="494"/>
      <c r="KQ16" s="493">
        <f t="shared" ref="KQ16" si="1991">((KQ39+KR39)-(KQ38+KR38))/2</f>
        <v>0</v>
      </c>
      <c r="KR16" s="494"/>
      <c r="KS16" s="493">
        <f t="shared" ref="KS16" si="1992">((KS39+KT39)-(KS38+KT38))/2</f>
        <v>0</v>
      </c>
      <c r="KT16" s="494"/>
      <c r="KU16" s="493">
        <f t="shared" si="40"/>
        <v>0</v>
      </c>
      <c r="KV16" s="494"/>
      <c r="KW16" s="493">
        <f t="shared" ref="KW16" si="1993">((KW39+KX39)-(KW38+KX38))/2</f>
        <v>0</v>
      </c>
      <c r="KX16" s="494"/>
      <c r="KY16" s="493">
        <f t="shared" ref="KY16" si="1994">((KY39+KZ39)-(KY38+KZ38))/2</f>
        <v>0</v>
      </c>
      <c r="KZ16" s="494"/>
      <c r="LA16" s="493">
        <f>((LA39+LB40)-(LA38+LB38))/2</f>
        <v>0</v>
      </c>
      <c r="LB16" s="494"/>
      <c r="LC16" s="493">
        <f t="shared" si="376"/>
        <v>0</v>
      </c>
      <c r="LD16" s="494"/>
      <c r="LE16" s="493">
        <f t="shared" si="377"/>
        <v>0</v>
      </c>
      <c r="LF16" s="494"/>
      <c r="LG16" s="493">
        <f t="shared" si="378"/>
        <v>0</v>
      </c>
      <c r="LH16" s="494"/>
      <c r="LI16" s="493">
        <f t="shared" ref="LI16" si="1995">((LI39+LJ39)-(LI38+LJ38))/2</f>
        <v>0</v>
      </c>
      <c r="LJ16" s="494"/>
      <c r="LK16" s="493">
        <f t="shared" ref="LK16" si="1996">((LK39+LL39)-(LK38+LL38))/2</f>
        <v>0</v>
      </c>
      <c r="LL16" s="494"/>
      <c r="LM16" s="493">
        <f t="shared" si="49"/>
        <v>0</v>
      </c>
      <c r="LN16" s="494"/>
      <c r="LO16" s="493">
        <f t="shared" ref="LO16" si="1997">((LO39+LP39)-(LO38+LP38))/2</f>
        <v>0</v>
      </c>
      <c r="LP16" s="494"/>
      <c r="LQ16" s="493">
        <f t="shared" ref="LQ16" si="1998">((LQ39+LR39)-(LQ38+LR38))/2</f>
        <v>0</v>
      </c>
      <c r="LR16" s="494"/>
      <c r="LS16" s="493">
        <f t="shared" si="52"/>
        <v>0</v>
      </c>
      <c r="LT16" s="494"/>
      <c r="LU16" s="493">
        <f t="shared" ref="LU16" si="1999">((LU39+LV39)-(LU38+LV38))/2</f>
        <v>0</v>
      </c>
      <c r="LV16" s="494"/>
      <c r="LW16" s="493">
        <f t="shared" ref="LW16" si="2000">((LW39+LX39)-(LW38+LX38))/2</f>
        <v>0</v>
      </c>
      <c r="LX16" s="494"/>
      <c r="LY16" s="493">
        <f t="shared" si="55"/>
        <v>0</v>
      </c>
      <c r="LZ16" s="494"/>
      <c r="MA16" s="493">
        <f t="shared" ref="MA16" si="2001">((MA39+MB39)-(MA38+MB38))/2</f>
        <v>0</v>
      </c>
      <c r="MB16" s="494"/>
      <c r="MC16" s="493">
        <f t="shared" ref="MC16" si="2002">((MC39+MD39)-(MC38+MD38))/2</f>
        <v>0</v>
      </c>
      <c r="MD16" s="494"/>
      <c r="ME16" s="493">
        <f t="shared" si="58"/>
        <v>0</v>
      </c>
      <c r="MF16" s="494"/>
      <c r="MG16" s="493">
        <f t="shared" ref="MG16" si="2003">((MG39+MH39)-(MG38+MH38))/2</f>
        <v>0</v>
      </c>
      <c r="MH16" s="494"/>
      <c r="MI16" s="493">
        <f t="shared" ref="MI16" si="2004">((MI39+MJ39)-(MI38+MJ38))/2</f>
        <v>0</v>
      </c>
      <c r="MJ16" s="494"/>
      <c r="MK16" s="493">
        <f t="shared" si="61"/>
        <v>0</v>
      </c>
      <c r="ML16" s="494"/>
      <c r="MM16" s="493">
        <f t="shared" ref="MM16" si="2005">((MM39+MN39)-(MM38+MN38))/2</f>
        <v>0</v>
      </c>
      <c r="MN16" s="494"/>
      <c r="MO16" s="493">
        <f t="shared" ref="MO16" si="2006">((MO39+MP39)-(MO38+MP38))/2</f>
        <v>0</v>
      </c>
      <c r="MP16" s="494"/>
      <c r="MQ16" s="493">
        <f t="shared" si="64"/>
        <v>0</v>
      </c>
      <c r="MR16" s="494"/>
      <c r="MS16" s="493">
        <f t="shared" ref="MS16" si="2007">((MS39+MT39)-(MS38+MT38))/2</f>
        <v>0</v>
      </c>
      <c r="MT16" s="494"/>
      <c r="MU16" s="493">
        <f t="shared" ref="MU16" si="2008">((MU39+MV39)-(MU38+MV38))/2</f>
        <v>0</v>
      </c>
      <c r="MV16" s="494"/>
      <c r="MW16" s="493">
        <f t="shared" si="67"/>
        <v>0</v>
      </c>
      <c r="MX16" s="494"/>
      <c r="MY16" s="493">
        <f t="shared" ref="MY16" si="2009">((MY39+MZ39)-(MY38+MZ38))/2</f>
        <v>0</v>
      </c>
      <c r="MZ16" s="494"/>
      <c r="NA16" s="493">
        <f t="shared" ref="NA16" si="2010">((NA39+NB39)-(NA38+NB38))/2</f>
        <v>0</v>
      </c>
      <c r="NB16" s="494"/>
      <c r="NC16" s="493">
        <f t="shared" si="70"/>
        <v>0</v>
      </c>
      <c r="ND16" s="494"/>
      <c r="NE16" s="493">
        <f t="shared" ref="NE16" si="2011">((NE39+NF39)-(NE38+NF38))/2</f>
        <v>0</v>
      </c>
      <c r="NF16" s="494"/>
      <c r="NG16" s="493">
        <f t="shared" ref="NG16" si="2012">((NG39+NH39)-(NG38+NH38))/2</f>
        <v>0</v>
      </c>
      <c r="NH16" s="494"/>
      <c r="NI16" s="493">
        <f t="shared" si="73"/>
        <v>0</v>
      </c>
      <c r="NJ16" s="494"/>
      <c r="NK16" s="493">
        <f t="shared" ref="NK16" si="2013">((NK39+NL39)-(NK38+NL38))/2</f>
        <v>0</v>
      </c>
      <c r="NL16" s="494"/>
      <c r="NM16" s="493">
        <f t="shared" ref="NM16" si="2014">((NM39+NN39)-(NM38+NN38))/2</f>
        <v>0</v>
      </c>
      <c r="NN16" s="494"/>
      <c r="NO16" s="493">
        <f t="shared" si="76"/>
        <v>0</v>
      </c>
      <c r="NP16" s="494"/>
      <c r="NQ16" s="493">
        <f t="shared" ref="NQ16" si="2015">((NQ39+NR39)-(NQ38+NR38))/2</f>
        <v>0</v>
      </c>
      <c r="NR16" s="494"/>
      <c r="NS16" s="493">
        <f t="shared" ref="NS16" si="2016">((NS39+NT39)-(NS38+NT38))/2</f>
        <v>0</v>
      </c>
      <c r="NT16" s="494"/>
      <c r="NU16" s="493">
        <f t="shared" si="79"/>
        <v>0</v>
      </c>
      <c r="NV16" s="494"/>
      <c r="NW16" s="493">
        <f t="shared" ref="NW16" si="2017">((NW39+NX39)-(NW38+NX38))/2</f>
        <v>0</v>
      </c>
      <c r="NX16" s="494"/>
      <c r="NY16" s="493">
        <f t="shared" ref="NY16" si="2018">((NY39+NZ39)-(NY38+NZ38))/2</f>
        <v>0</v>
      </c>
      <c r="NZ16" s="494"/>
      <c r="OA16" s="493">
        <f t="shared" si="82"/>
        <v>0</v>
      </c>
      <c r="OB16" s="494"/>
      <c r="OC16" s="493">
        <f t="shared" ref="OC16" si="2019">((OC39+OD39)-(OC38+OD38))/2</f>
        <v>0</v>
      </c>
      <c r="OD16" s="494"/>
      <c r="OE16" s="493">
        <f t="shared" ref="OE16" si="2020">((OE39+OF39)-(OE38+OF38))/2</f>
        <v>0</v>
      </c>
      <c r="OF16" s="494"/>
      <c r="OG16" s="493">
        <f t="shared" si="85"/>
        <v>0</v>
      </c>
      <c r="OH16" s="494"/>
      <c r="OI16" s="493">
        <f t="shared" ref="OI16" si="2021">((OI39+OJ39)-(OI38+OJ38))/2</f>
        <v>0</v>
      </c>
      <c r="OJ16" s="494"/>
      <c r="OK16" s="493">
        <f t="shared" ref="OK16" si="2022">((OK39+OL39)-(OK38+OL38))/2</f>
        <v>0</v>
      </c>
      <c r="OL16" s="494"/>
      <c r="OM16" s="493">
        <f t="shared" si="88"/>
        <v>0</v>
      </c>
      <c r="ON16" s="494"/>
      <c r="OO16" s="493">
        <f t="shared" ref="OO16" si="2023">((OO39+OP39)-(OO38+OP38))/2</f>
        <v>0</v>
      </c>
      <c r="OP16" s="494"/>
      <c r="OQ16" s="493">
        <f t="shared" ref="OQ16" si="2024">((OQ39+OR39)-(OQ38+OR38))/2</f>
        <v>0</v>
      </c>
      <c r="OR16" s="494"/>
      <c r="OS16" s="493">
        <f t="shared" si="91"/>
        <v>0</v>
      </c>
      <c r="OT16" s="494"/>
      <c r="OU16" s="493">
        <f t="shared" ref="OU16" si="2025">((OU39+OV39)-(OU38+OV38))/2</f>
        <v>0</v>
      </c>
      <c r="OV16" s="494"/>
      <c r="OW16" s="493">
        <f t="shared" ref="OW16" si="2026">((OW39+OX39)-(OW38+OX38))/2</f>
        <v>0</v>
      </c>
      <c r="OX16" s="494"/>
      <c r="OY16" s="493">
        <f t="shared" si="94"/>
        <v>0</v>
      </c>
      <c r="OZ16" s="494"/>
      <c r="PA16" s="493">
        <f t="shared" ref="PA16" si="2027">((PA39+PB39)-(PA38+PB38))/2</f>
        <v>0</v>
      </c>
      <c r="PB16" s="494"/>
      <c r="PC16" s="493">
        <f t="shared" ref="PC16" si="2028">((PC39+PD39)-(PC38+PD38))/2</f>
        <v>0</v>
      </c>
      <c r="PD16" s="494"/>
      <c r="PE16" s="493">
        <f t="shared" si="97"/>
        <v>0</v>
      </c>
      <c r="PF16" s="494"/>
      <c r="PG16" s="493">
        <f t="shared" ref="PG16" si="2029">((PG39+PH39)-(PG38+PH38))/2</f>
        <v>0</v>
      </c>
      <c r="PH16" s="494"/>
      <c r="PI16" s="493">
        <f t="shared" ref="PI16" si="2030">((PI39+PJ39)-(PI38+PJ38))/2</f>
        <v>0</v>
      </c>
      <c r="PJ16" s="494"/>
      <c r="PK16" s="493">
        <f t="shared" si="100"/>
        <v>0</v>
      </c>
      <c r="PL16" s="494"/>
      <c r="PM16" s="493">
        <f t="shared" ref="PM16" si="2031">((PM39+PN39)-(PM38+PN38))/2</f>
        <v>0</v>
      </c>
      <c r="PN16" s="494"/>
      <c r="PO16" s="493">
        <f t="shared" ref="PO16" si="2032">((PO39+PP39)-(PO38+PP38))/2</f>
        <v>0</v>
      </c>
      <c r="PP16" s="494"/>
      <c r="PQ16" s="493">
        <f t="shared" si="103"/>
        <v>0</v>
      </c>
      <c r="PR16" s="494"/>
      <c r="PS16" s="493">
        <f t="shared" ref="PS16" si="2033">((PS39+PT39)-(PS38+PT38))/2</f>
        <v>0</v>
      </c>
      <c r="PT16" s="494"/>
      <c r="PU16" s="493">
        <f t="shared" ref="PU16" si="2034">((PU39+PV39)-(PU38+PV38))/2</f>
        <v>0</v>
      </c>
      <c r="PV16" s="494"/>
      <c r="PW16" s="493">
        <f t="shared" si="106"/>
        <v>0</v>
      </c>
      <c r="PX16" s="494"/>
      <c r="PY16" s="493">
        <f t="shared" ref="PY16" si="2035">((PY39+PZ39)-(PY38+PZ38))/2</f>
        <v>0</v>
      </c>
      <c r="PZ16" s="494"/>
      <c r="QA16" s="493">
        <f t="shared" ref="QA16" si="2036">((QA39+QB39)-(QA38+QB38))/2</f>
        <v>0</v>
      </c>
      <c r="QB16" s="494"/>
      <c r="QC16" s="493">
        <f t="shared" si="109"/>
        <v>0</v>
      </c>
      <c r="QD16" s="494"/>
      <c r="QE16" s="493">
        <f t="shared" ref="QE16" si="2037">((QE39+QF39)-(QE38+QF38))/2</f>
        <v>0</v>
      </c>
      <c r="QF16" s="494"/>
      <c r="QG16" s="493">
        <f t="shared" ref="QG16" si="2038">((QG39+QH39)-(QG38+QH38))/2</f>
        <v>0</v>
      </c>
      <c r="QH16" s="494"/>
      <c r="QI16" s="493">
        <f t="shared" si="112"/>
        <v>0</v>
      </c>
      <c r="QJ16" s="494"/>
      <c r="QK16" s="493">
        <f t="shared" ref="QK16" si="2039">((QK39+QL39)-(QK38+QL38))/2</f>
        <v>0</v>
      </c>
      <c r="QL16" s="494"/>
      <c r="QM16" s="493">
        <f t="shared" ref="QM16" si="2040">((QM39+QN39)-(QM38+QN38))/2</f>
        <v>0</v>
      </c>
      <c r="QN16" s="494"/>
      <c r="QO16" s="493">
        <f t="shared" si="115"/>
        <v>0</v>
      </c>
      <c r="QP16" s="494"/>
      <c r="QQ16" s="493">
        <f t="shared" ref="QQ16" si="2041">((QQ39+QR39)-(QQ38+QR38))/2</f>
        <v>0</v>
      </c>
      <c r="QR16" s="494"/>
      <c r="QS16" s="493">
        <f t="shared" ref="QS16" si="2042">((QS39+QT39)-(QS38+QT38))/2</f>
        <v>0</v>
      </c>
      <c r="QT16" s="494"/>
      <c r="QU16" s="493">
        <f t="shared" si="118"/>
        <v>0</v>
      </c>
      <c r="QV16" s="494"/>
      <c r="QW16" s="493">
        <f t="shared" ref="QW16" si="2043">((QW39+QX39)-(QW38+QX38))/2</f>
        <v>0</v>
      </c>
      <c r="QX16" s="494"/>
      <c r="QY16" s="493">
        <f t="shared" ref="QY16" si="2044">((QY39+QZ39)-(QY38+QZ38))/2</f>
        <v>0</v>
      </c>
      <c r="QZ16" s="494"/>
      <c r="RA16" s="493">
        <f t="shared" si="121"/>
        <v>0</v>
      </c>
      <c r="RB16" s="494"/>
      <c r="RC16" s="493">
        <f t="shared" ref="RC16" si="2045">((RC39+RD39)-(RC38+RD38))/2</f>
        <v>0</v>
      </c>
      <c r="RD16" s="494"/>
      <c r="RE16" s="493">
        <f t="shared" ref="RE16" si="2046">((RE39+RF39)-(RE38+RF38))/2</f>
        <v>0</v>
      </c>
      <c r="RF16" s="494"/>
      <c r="RG16" s="493">
        <f t="shared" si="124"/>
        <v>0</v>
      </c>
      <c r="RH16" s="494"/>
      <c r="RI16" s="493">
        <f t="shared" ref="RI16" si="2047">((RI39+RJ39)-(RI38+RJ38))/2</f>
        <v>0</v>
      </c>
      <c r="RJ16" s="494"/>
      <c r="RK16" s="493">
        <f t="shared" ref="RK16" si="2048">((RK39+RL39)-(RK38+RL38))/2</f>
        <v>0</v>
      </c>
      <c r="RL16" s="494"/>
      <c r="RM16" s="493">
        <f t="shared" si="126"/>
        <v>0</v>
      </c>
      <c r="RN16" s="494"/>
      <c r="RO16" s="493">
        <f t="shared" ref="RO16" si="2049">((RO39+RP39)-(RO38+RP38))/2</f>
        <v>0</v>
      </c>
      <c r="RP16" s="494"/>
      <c r="RQ16" s="493">
        <f t="shared" ref="RQ16" si="2050">((RQ39+RR39)-(RQ38+RR38))/2</f>
        <v>0</v>
      </c>
      <c r="RR16" s="494"/>
      <c r="RS16" s="493">
        <f t="shared" si="129"/>
        <v>0</v>
      </c>
      <c r="RT16" s="494"/>
      <c r="RU16" s="493">
        <f t="shared" ref="RU16" si="2051">((RU39+RV39)-(RU38+RV38))/2</f>
        <v>0</v>
      </c>
      <c r="RV16" s="494"/>
      <c r="RW16" s="493">
        <f t="shared" ref="RW16" si="2052">((RW39+RX39)-(RW38+RX38))/2</f>
        <v>0</v>
      </c>
      <c r="RX16" s="494"/>
      <c r="RY16" s="493">
        <f t="shared" si="132"/>
        <v>0</v>
      </c>
      <c r="RZ16" s="494"/>
      <c r="SA16" s="493">
        <f t="shared" ref="SA16" si="2053">((SA39+SB39)-(SA38+SB38))/2</f>
        <v>0</v>
      </c>
      <c r="SB16" s="494"/>
      <c r="SC16" s="493">
        <f t="shared" ref="SC16" si="2054">((SC39+SD39)-(SC38+SD38))/2</f>
        <v>0</v>
      </c>
      <c r="SD16" s="494"/>
      <c r="SE16" s="493">
        <f t="shared" si="135"/>
        <v>0</v>
      </c>
      <c r="SF16" s="494"/>
      <c r="SG16" s="493">
        <f t="shared" ref="SG16" si="2055">((SG39+SH39)-(SG38+SH38))/2</f>
        <v>0</v>
      </c>
      <c r="SH16" s="494"/>
      <c r="SI16" s="493">
        <f t="shared" ref="SI16" si="2056">((SI39+SJ39)-(SI38+SJ38))/2</f>
        <v>0</v>
      </c>
      <c r="SJ16" s="494"/>
      <c r="SK16" s="493">
        <f t="shared" si="138"/>
        <v>0</v>
      </c>
      <c r="SL16" s="494"/>
      <c r="SM16" s="493">
        <f t="shared" ref="SM16" si="2057">((SM39+SN39)-(SM38+SN38))/2</f>
        <v>0</v>
      </c>
      <c r="SN16" s="494"/>
      <c r="SO16" s="493">
        <f t="shared" ref="SO16" si="2058">((SO39+SP39)-(SO38+SP38))/2</f>
        <v>0</v>
      </c>
      <c r="SP16" s="494"/>
      <c r="SQ16" s="493">
        <f t="shared" si="141"/>
        <v>0</v>
      </c>
      <c r="SR16" s="494"/>
      <c r="SS16" s="493">
        <f t="shared" ref="SS16" si="2059">((SS39+ST39)-(SS38+ST38))/2</f>
        <v>0</v>
      </c>
      <c r="ST16" s="494"/>
      <c r="SU16" s="493">
        <f t="shared" ref="SU16" si="2060">((SU39+SV39)-(SU38+SV38))/2</f>
        <v>0</v>
      </c>
      <c r="SV16" s="494"/>
      <c r="SW16" s="493">
        <f t="shared" si="144"/>
        <v>0</v>
      </c>
      <c r="SX16" s="494"/>
      <c r="SY16" s="493">
        <f t="shared" ref="SY16" si="2061">((SY39+SZ39)-(SY38+SZ38))/2</f>
        <v>0</v>
      </c>
      <c r="SZ16" s="494"/>
      <c r="TA16" s="493">
        <f t="shared" ref="TA16" si="2062">((TA39+TB39)-(TA38+TB38))/2</f>
        <v>0</v>
      </c>
      <c r="TB16" s="494"/>
      <c r="TC16" s="493">
        <f t="shared" si="147"/>
        <v>0</v>
      </c>
      <c r="TD16" s="494"/>
      <c r="TE16" s="493">
        <f t="shared" ref="TE16" si="2063">((TE39+TF39)-(TE38+TF38))/2</f>
        <v>0</v>
      </c>
      <c r="TF16" s="494"/>
      <c r="TG16" s="493">
        <f t="shared" ref="TG16" si="2064">((TG39+TH39)-(TG38+TH38))/2</f>
        <v>0</v>
      </c>
      <c r="TH16" s="494"/>
      <c r="TI16" s="493">
        <f t="shared" si="150"/>
        <v>0</v>
      </c>
      <c r="TJ16" s="494"/>
      <c r="TK16" s="493">
        <f t="shared" ref="TK16" si="2065">((TK39+TL39)-(TK38+TL38))/2</f>
        <v>0</v>
      </c>
      <c r="TL16" s="494"/>
      <c r="TM16" s="493">
        <f t="shared" ref="TM16" si="2066">((TM39+TN39)-(TM38+TN38))/2</f>
        <v>0</v>
      </c>
      <c r="TN16" s="494"/>
      <c r="TO16" s="493">
        <f t="shared" si="153"/>
        <v>0</v>
      </c>
      <c r="TP16" s="494"/>
      <c r="TQ16" s="493">
        <f t="shared" ref="TQ16" si="2067">((TQ39+TR39)-(TQ38+TR38))/2</f>
        <v>0</v>
      </c>
      <c r="TR16" s="494"/>
      <c r="TS16" s="493">
        <f t="shared" si="1637"/>
        <v>0</v>
      </c>
      <c r="TT16" s="494"/>
      <c r="TU16" s="493">
        <f t="shared" si="156"/>
        <v>0</v>
      </c>
      <c r="TV16" s="494"/>
      <c r="TW16" s="493">
        <f t="shared" ref="TW16" si="2068">((TW39+TX39)-(TW38+TX38))/2</f>
        <v>0</v>
      </c>
      <c r="TX16" s="494"/>
      <c r="TY16" s="493">
        <f t="shared" ref="TY16:TY18" si="2069">((TY40+TZ39)-(TY39+TZ38))/2</f>
        <v>0</v>
      </c>
      <c r="TZ16" s="494"/>
      <c r="UA16" s="493">
        <f t="shared" si="159"/>
        <v>0</v>
      </c>
      <c r="UB16" s="494"/>
      <c r="UC16" s="493">
        <f t="shared" ref="UC16" si="2070">((UC39+UD39)-(UC38+UD38))/2</f>
        <v>0</v>
      </c>
      <c r="UD16" s="494"/>
      <c r="UE16" s="493">
        <f t="shared" ref="UE16" si="2071">((UE39+UF39)-(UE38+UF38))/2</f>
        <v>0</v>
      </c>
      <c r="UF16" s="494"/>
      <c r="UG16" s="493">
        <f t="shared" si="162"/>
        <v>0</v>
      </c>
      <c r="UH16" s="494"/>
      <c r="UI16" s="493">
        <f t="shared" ref="UI16" si="2072">((UI39+UJ39)-(UI38+UJ38))/2</f>
        <v>0</v>
      </c>
      <c r="UJ16" s="494"/>
      <c r="UK16" s="493">
        <f t="shared" ref="UK16" si="2073">((UK39+UL39)-(UK38+UL38))/2</f>
        <v>0</v>
      </c>
      <c r="UL16" s="494"/>
      <c r="UM16" s="493">
        <f t="shared" si="165"/>
        <v>0</v>
      </c>
      <c r="UN16" s="494"/>
      <c r="UO16" s="493">
        <f t="shared" ref="UO16" si="2074">((UO39+UP39)-(UO38+UP38))/2</f>
        <v>0</v>
      </c>
      <c r="UP16" s="494"/>
      <c r="UQ16" s="493">
        <f t="shared" ref="UQ16" si="2075">((UQ39+UR39)-(UQ38+UR38))/2</f>
        <v>0</v>
      </c>
      <c r="UR16" s="494"/>
      <c r="US16" s="493">
        <f t="shared" si="168"/>
        <v>0</v>
      </c>
      <c r="UT16" s="494"/>
      <c r="UU16" s="493">
        <f t="shared" ref="UU16" si="2076">((UU39+UV39)-(UU38+UV38))/2</f>
        <v>0</v>
      </c>
      <c r="UV16" s="494"/>
      <c r="UW16" s="493">
        <f t="shared" ref="UW16" si="2077">((UW39+UX39)-(UW38+UX38))/2</f>
        <v>0</v>
      </c>
      <c r="UX16" s="494"/>
      <c r="UY16" s="493">
        <f t="shared" si="171"/>
        <v>0</v>
      </c>
      <c r="UZ16" s="494"/>
      <c r="VA16" s="493">
        <f t="shared" ref="VA16" si="2078">((VA39+VB39)-(VA38+VB38))/2</f>
        <v>0</v>
      </c>
      <c r="VB16" s="494"/>
      <c r="VC16" s="493">
        <f t="shared" ref="VC16" si="2079">((VC39+VD39)-(VC38+VD38))/2</f>
        <v>0</v>
      </c>
      <c r="VD16" s="494"/>
      <c r="VE16" s="493">
        <f t="shared" si="464"/>
        <v>0</v>
      </c>
      <c r="VF16" s="494"/>
      <c r="VG16" s="493">
        <f t="shared" ref="VG16" si="2080">((VG39+VH39)-(VG38+VH38))/2</f>
        <v>0</v>
      </c>
      <c r="VH16" s="494"/>
      <c r="VI16" s="493">
        <f t="shared" ref="VI16" si="2081">((VI39+VJ39)-(VI38+VJ38))/2</f>
        <v>0</v>
      </c>
      <c r="VJ16" s="494"/>
      <c r="VK16" s="493">
        <f t="shared" si="467"/>
        <v>0</v>
      </c>
      <c r="VL16" s="494"/>
      <c r="VM16" s="493">
        <f t="shared" ref="VM16" si="2082">((VM39+VN39)-(VM38+VN38))/2</f>
        <v>0</v>
      </c>
      <c r="VN16" s="494"/>
      <c r="VO16" s="493">
        <f t="shared" ref="VO16" si="2083">((VO39+VP39)-(VO38+VP38))/2</f>
        <v>0</v>
      </c>
      <c r="VP16" s="494"/>
      <c r="VQ16" s="493">
        <f t="shared" si="178"/>
        <v>0</v>
      </c>
      <c r="VR16" s="494"/>
      <c r="VS16" s="493">
        <f t="shared" ref="VS16" si="2084">((VS39+VT39)-(VS38+VT38))/2</f>
        <v>0</v>
      </c>
      <c r="VT16" s="494"/>
      <c r="VU16" s="493">
        <f t="shared" si="1936"/>
        <v>0</v>
      </c>
      <c r="VV16" s="494"/>
      <c r="VW16" s="493">
        <f t="shared" si="181"/>
        <v>0</v>
      </c>
      <c r="VX16" s="494"/>
      <c r="VY16" s="493">
        <f t="shared" ref="VY16" si="2085">((VY39+VZ39)-(VY38+VZ38))/2</f>
        <v>0</v>
      </c>
      <c r="VZ16" s="494"/>
      <c r="WA16" s="493">
        <f t="shared" si="1067"/>
        <v>0</v>
      </c>
      <c r="WB16" s="494"/>
      <c r="WC16" s="493">
        <f t="shared" si="184"/>
        <v>0</v>
      </c>
      <c r="WD16" s="494"/>
      <c r="WE16" s="493">
        <f t="shared" ref="WE16" si="2086">((WE39+WF39)-(WE38+WF38))/2</f>
        <v>0</v>
      </c>
      <c r="WF16" s="494"/>
      <c r="WG16" s="493">
        <f t="shared" ref="WG16" si="2087">((WG39+WH39)-(WG38+WH38))/2</f>
        <v>0</v>
      </c>
      <c r="WH16" s="494"/>
      <c r="WI16" s="493">
        <f t="shared" si="187"/>
        <v>0</v>
      </c>
      <c r="WJ16" s="494"/>
      <c r="WK16" s="493">
        <f t="shared" ref="WK16" si="2088">((WK39+WL39)-(WK38+WL38))/2</f>
        <v>0</v>
      </c>
      <c r="WL16" s="494"/>
      <c r="WM16" s="493">
        <f t="shared" ref="WM16" si="2089">((WM39+WN39)-(WM38+WN38))/2</f>
        <v>0</v>
      </c>
      <c r="WN16" s="494"/>
      <c r="WO16" s="493">
        <f t="shared" si="190"/>
        <v>0</v>
      </c>
      <c r="WP16" s="494"/>
      <c r="WQ16" s="493">
        <f t="shared" si="477"/>
        <v>0</v>
      </c>
      <c r="WR16" s="494"/>
      <c r="WS16" s="493">
        <f t="shared" ref="WS16" si="2090">((WS39+WT39)-(WS38+WT38))/2</f>
        <v>0</v>
      </c>
      <c r="WT16" s="494"/>
      <c r="WU16" s="493">
        <f t="shared" si="193"/>
        <v>0</v>
      </c>
      <c r="WV16" s="494"/>
      <c r="WW16" s="493">
        <f t="shared" ref="WW16" si="2091">((WW39+WX39)-(WW38+WX38))/2</f>
        <v>0</v>
      </c>
      <c r="WX16" s="494"/>
      <c r="WY16" s="493">
        <f t="shared" ref="WY16" si="2092">((WY39+WZ39)-(WY38+WZ38))/2</f>
        <v>0</v>
      </c>
      <c r="WZ16" s="494"/>
      <c r="XA16" s="493">
        <f t="shared" si="196"/>
        <v>0</v>
      </c>
      <c r="XB16" s="494"/>
      <c r="XC16" s="493">
        <f t="shared" ref="XC16" si="2093">((XC39+XD39)-(XC38+XD38))/2</f>
        <v>0</v>
      </c>
      <c r="XD16" s="494"/>
      <c r="XE16" s="493">
        <f t="shared" ref="XE16" si="2094">((XE39+XF39)-(XE38+XF38))/2</f>
        <v>0</v>
      </c>
      <c r="XF16" s="494"/>
      <c r="XG16" s="493">
        <f t="shared" si="199"/>
        <v>0</v>
      </c>
      <c r="XH16" s="494"/>
      <c r="XI16" s="493">
        <f t="shared" ref="XI16" si="2095">((XI39+XJ39)-(XI38+XJ38))/2</f>
        <v>0</v>
      </c>
      <c r="XJ16" s="494"/>
      <c r="XK16" s="493">
        <f t="shared" ref="XK16" si="2096">((XK39+XL39)-(XK38+XL38))/2</f>
        <v>0</v>
      </c>
      <c r="XL16" s="494"/>
      <c r="XM16" s="493">
        <f t="shared" si="202"/>
        <v>0</v>
      </c>
      <c r="XN16" s="494"/>
      <c r="XO16" s="493">
        <f t="shared" si="933"/>
        <v>0</v>
      </c>
      <c r="XP16" s="494"/>
      <c r="XQ16" s="493">
        <f t="shared" ref="XQ16" si="2097">((XQ39+XR39)-(XQ38+XR38))/2</f>
        <v>0</v>
      </c>
      <c r="XR16" s="494"/>
      <c r="XS16" s="493">
        <f t="shared" si="205"/>
        <v>0</v>
      </c>
      <c r="XT16" s="494"/>
      <c r="XU16" s="493">
        <f t="shared" ref="XU16" si="2098">((XU39+XV39)-(XU38+XV38))/2</f>
        <v>0</v>
      </c>
      <c r="XV16" s="494"/>
      <c r="XW16" s="493">
        <f t="shared" ref="XW16" si="2099">((XW39+XX39)-(XW38+XX38))/2</f>
        <v>0</v>
      </c>
      <c r="XX16" s="494"/>
      <c r="XY16" s="493">
        <f t="shared" si="208"/>
        <v>0</v>
      </c>
      <c r="XZ16" s="494"/>
      <c r="YA16" s="493">
        <f t="shared" ref="YA16" si="2100">((YA39+YB39)-(YA38+YB38))/2</f>
        <v>0</v>
      </c>
      <c r="YB16" s="494"/>
      <c r="YC16" s="493">
        <f t="shared" ref="YC16" si="2101">((YC39+YD39)-(YC38+YD38))/2</f>
        <v>0</v>
      </c>
      <c r="YD16" s="494"/>
      <c r="YE16" s="493">
        <f>((YE40+YF39)-(YE38+YF38))/2</f>
        <v>0</v>
      </c>
      <c r="YF16" s="494"/>
      <c r="YG16" s="493">
        <f t="shared" ref="YG16" si="2102">((YG39+YH39)-(YG38+YH38))/2</f>
        <v>0</v>
      </c>
      <c r="YH16" s="494"/>
      <c r="YI16" s="493">
        <f t="shared" ref="YI16" si="2103">((YI39+YJ39)-(YI38+YJ38))/2</f>
        <v>0</v>
      </c>
      <c r="YJ16" s="494"/>
      <c r="YK16" s="493">
        <f t="shared" si="214"/>
        <v>0</v>
      </c>
      <c r="YL16" s="494"/>
      <c r="YM16" s="493">
        <f t="shared" ref="YM16" si="2104">((YM39+YN39)-(YM38+YN38))/2</f>
        <v>0</v>
      </c>
      <c r="YN16" s="494"/>
      <c r="YO16" s="493">
        <f t="shared" si="216"/>
        <v>0</v>
      </c>
      <c r="YP16" s="494"/>
      <c r="YQ16" s="493">
        <f t="shared" si="217"/>
        <v>0</v>
      </c>
      <c r="YR16" s="494"/>
      <c r="YS16" s="493">
        <f t="shared" ref="YS16" si="2105">((YS39+YT39)-(YS38+YT38))/2</f>
        <v>0</v>
      </c>
      <c r="YT16" s="494"/>
      <c r="YU16" s="493">
        <f t="shared" ref="YU16" si="2106">((YU39+YV39)-(YU38+YV38))/2</f>
        <v>0</v>
      </c>
      <c r="YV16" s="494"/>
      <c r="YW16" s="493">
        <f t="shared" si="220"/>
        <v>0</v>
      </c>
      <c r="YX16" s="494"/>
      <c r="YY16" s="493">
        <f t="shared" si="496"/>
        <v>0</v>
      </c>
      <c r="YZ16" s="494"/>
      <c r="ZA16" s="493">
        <f t="shared" ref="ZA16" si="2107">((ZA39+ZB39)-(ZA38+ZB38))/2</f>
        <v>0</v>
      </c>
      <c r="ZB16" s="494"/>
      <c r="ZC16" s="493">
        <f t="shared" si="1239"/>
        <v>0</v>
      </c>
      <c r="ZD16" s="494"/>
      <c r="ZE16" s="493">
        <f t="shared" ref="ZE16" si="2108">((ZE39+ZF39)-(ZE38+ZF38))/2</f>
        <v>0</v>
      </c>
      <c r="ZF16" s="494"/>
      <c r="ZG16" s="493">
        <f t="shared" ref="ZG16" si="2109">((ZG39+ZH39)-(ZG38+ZH38))/2</f>
        <v>0</v>
      </c>
      <c r="ZH16" s="494"/>
      <c r="ZI16" s="493">
        <f t="shared" ref="ZI16:ZI17" si="2110">((ZI40+ZJ40)-(ZI38+ZJ38))/2</f>
        <v>0</v>
      </c>
      <c r="ZJ16" s="494"/>
      <c r="ZK16" s="493">
        <f t="shared" ref="ZK16" si="2111">((ZK39+ZL39)-(ZK38+ZL38))/2</f>
        <v>0</v>
      </c>
      <c r="ZL16" s="494"/>
      <c r="ZM16" s="493">
        <f t="shared" ref="ZM16" si="2112">((ZM39+ZN39)-(ZM38+ZN38))/2</f>
        <v>0</v>
      </c>
      <c r="ZN16" s="494"/>
      <c r="ZO16" s="493">
        <f t="shared" si="502"/>
        <v>0</v>
      </c>
      <c r="ZP16" s="494"/>
      <c r="ZQ16" s="493">
        <f t="shared" ref="ZQ16" si="2113">((ZQ39+ZR39)-(ZQ38+ZR38))/2</f>
        <v>0</v>
      </c>
      <c r="ZR16" s="494"/>
      <c r="ZS16" s="493">
        <f t="shared" ref="ZS16" si="2114">((ZS39+ZT39)-(ZS38+ZT38))/2</f>
        <v>0</v>
      </c>
      <c r="ZT16" s="494"/>
      <c r="ZU16" s="493">
        <f t="shared" si="230"/>
        <v>0</v>
      </c>
      <c r="ZV16" s="494"/>
      <c r="ZW16" s="493">
        <f t="shared" ref="ZW16" si="2115">((ZW39+ZX39)-(ZW38+ZX38))/2</f>
        <v>0</v>
      </c>
      <c r="ZX16" s="494"/>
      <c r="ZY16" s="493">
        <f t="shared" ref="ZY16" si="2116">((ZY39+ZZ39)-(ZY38+ZZ38))/2</f>
        <v>0</v>
      </c>
      <c r="ZZ16" s="494"/>
      <c r="AAA16" s="493">
        <f t="shared" si="233"/>
        <v>0</v>
      </c>
      <c r="AAB16" s="494"/>
      <c r="AAC16" s="493">
        <f t="shared" ref="AAC16" si="2117">((AAC39+AAD39)-(AAC38+AAD38))/2</f>
        <v>0</v>
      </c>
      <c r="AAD16" s="494"/>
      <c r="AAE16" s="493">
        <f t="shared" ref="AAE16" si="2118">((AAE39+AAF39)-(AAE38+AAF38))/2</f>
        <v>0</v>
      </c>
      <c r="AAF16" s="494"/>
      <c r="AAG16" s="493">
        <f t="shared" si="236"/>
        <v>0</v>
      </c>
      <c r="AAH16" s="494"/>
      <c r="AAI16" s="493">
        <f t="shared" ref="AAI16" si="2119">((AAI39+AAJ39)-(AAI38+AAJ38))/2</f>
        <v>0</v>
      </c>
      <c r="AAJ16" s="494"/>
      <c r="AAK16" s="493">
        <f t="shared" ref="AAK16" si="2120">((AAK39+AAL39)-(AAK38+AAL38))/2</f>
        <v>0</v>
      </c>
      <c r="AAL16" s="494"/>
      <c r="AAM16" s="493">
        <f t="shared" si="239"/>
        <v>0</v>
      </c>
      <c r="AAN16" s="494"/>
      <c r="AAO16" s="493">
        <f t="shared" si="1250"/>
        <v>0</v>
      </c>
      <c r="AAP16" s="494"/>
      <c r="AAQ16" s="493">
        <f t="shared" si="1100"/>
        <v>0</v>
      </c>
      <c r="AAR16" s="494"/>
      <c r="AAS16" s="493">
        <f t="shared" si="241"/>
        <v>0</v>
      </c>
      <c r="AAT16" s="494"/>
      <c r="AAU16" s="493">
        <f t="shared" ref="AAU16" si="2121">((AAU39+AAV39)-(AAU38+AAV38))/2</f>
        <v>0</v>
      </c>
      <c r="AAV16" s="494"/>
      <c r="AAW16" s="493">
        <f t="shared" ref="AAW16" si="2122">((AAW39+AAX39)-(AAW38+AAX38))/2</f>
        <v>0</v>
      </c>
      <c r="AAX16" s="494"/>
      <c r="AAY16" s="493">
        <f t="shared" si="1829"/>
        <v>0</v>
      </c>
      <c r="AAZ16" s="494"/>
      <c r="ABA16" s="493">
        <f t="shared" ref="ABA16" si="2123">((ABA39+ABB39)-(ABA38+ABB38))/2</f>
        <v>0</v>
      </c>
      <c r="ABB16" s="494"/>
      <c r="ABC16" s="493">
        <f t="shared" ref="ABC16" si="2124">((ABC39+ABD39)-(ABC38+ABD38))/2</f>
        <v>0</v>
      </c>
      <c r="ABD16" s="494"/>
      <c r="ABE16" s="379">
        <f t="shared" si="516"/>
        <v>123</v>
      </c>
      <c r="ABF16" s="377"/>
      <c r="ABG16" s="481"/>
      <c r="ABH16" s="481"/>
      <c r="ABI16" s="481"/>
      <c r="ABJ16" s="481"/>
      <c r="ABK16" s="481"/>
      <c r="ABL16" s="481"/>
      <c r="ABM16" s="481"/>
      <c r="ABN16" s="481"/>
      <c r="ABO16" s="481"/>
      <c r="ABP16" s="481"/>
      <c r="ABQ16" s="481"/>
      <c r="ABR16" s="481"/>
      <c r="ABS16" s="481"/>
      <c r="ABT16" s="481"/>
      <c r="ABU16" s="481"/>
      <c r="ABV16" s="481"/>
      <c r="ABW16" s="481"/>
      <c r="ABX16" s="481"/>
      <c r="ABY16" s="481"/>
      <c r="ABZ16" s="481"/>
      <c r="ACA16" s="481"/>
      <c r="ACB16" s="481"/>
      <c r="ACC16" s="481"/>
      <c r="ACD16" s="481"/>
      <c r="ACE16" s="481"/>
      <c r="ACF16" s="481"/>
      <c r="ACG16" s="481"/>
      <c r="ACH16" s="481"/>
      <c r="ACI16" s="481"/>
      <c r="ACJ16" s="481"/>
      <c r="ACK16" s="481"/>
      <c r="ACL16" s="481"/>
      <c r="ACM16" s="481"/>
      <c r="ACN16" s="481"/>
      <c r="ACO16" s="481"/>
      <c r="ACP16" s="481"/>
      <c r="ACQ16" s="481"/>
      <c r="ACR16" s="481"/>
      <c r="ACS16" s="481"/>
      <c r="ACT16" s="481"/>
      <c r="ACU16" s="481"/>
      <c r="ACV16" s="481"/>
      <c r="ACW16" s="481"/>
      <c r="ACX16" s="481"/>
      <c r="ACY16" s="481"/>
      <c r="ACZ16" s="481"/>
      <c r="ADA16" s="481"/>
      <c r="ADB16" s="481"/>
      <c r="ADC16" s="481"/>
      <c r="ADD16" s="481"/>
      <c r="ADE16" s="481"/>
      <c r="ADF16" s="481"/>
      <c r="ADG16" s="481"/>
      <c r="ADH16" s="481"/>
      <c r="ADI16" s="481"/>
      <c r="ADJ16" s="481"/>
      <c r="ADK16" s="335"/>
      <c r="ADL16" s="335"/>
      <c r="ADM16" s="335"/>
      <c r="ADN16" s="335"/>
      <c r="ADO16" s="335"/>
      <c r="ADP16" s="335"/>
      <c r="ADQ16" s="335"/>
      <c r="ADR16" s="335"/>
      <c r="ADS16" s="335"/>
      <c r="ADT16" s="335"/>
      <c r="ADU16" s="335"/>
      <c r="ADV16" s="335"/>
      <c r="ADW16" s="335"/>
      <c r="ADX16" s="335"/>
      <c r="ADY16" s="335"/>
      <c r="ADZ16" s="335"/>
      <c r="AEA16" s="335"/>
      <c r="AEB16" s="335"/>
      <c r="AEC16" s="335"/>
      <c r="AED16" s="335"/>
      <c r="AEE16" s="335"/>
      <c r="AEF16" s="335"/>
      <c r="AEG16" s="335"/>
      <c r="AEH16" s="335"/>
      <c r="AEI16" s="335"/>
      <c r="AEJ16" s="335"/>
      <c r="AEK16" s="335"/>
      <c r="AEL16" s="335"/>
      <c r="AEM16" s="335"/>
      <c r="AEN16" s="335"/>
      <c r="AEO16" s="335"/>
      <c r="AEP16" s="335"/>
      <c r="AEQ16" s="335"/>
      <c r="AER16" s="335"/>
      <c r="AES16" s="335"/>
      <c r="AET16" s="335"/>
      <c r="AEU16" s="335"/>
      <c r="AEV16" s="335"/>
      <c r="AEW16" s="335"/>
      <c r="AEX16" s="335"/>
      <c r="AEY16" s="335"/>
      <c r="AEZ16" s="335"/>
      <c r="AFA16" s="335"/>
      <c r="AFB16" s="335"/>
      <c r="AFC16" s="335"/>
      <c r="AFD16" s="335"/>
      <c r="AFE16" s="335"/>
      <c r="AFF16" s="335"/>
      <c r="AFG16" s="335"/>
      <c r="AFH16" s="335"/>
      <c r="AFI16" s="335"/>
      <c r="AFJ16" s="335"/>
      <c r="AFK16" s="335"/>
      <c r="AFL16" s="335"/>
      <c r="AFM16" s="335"/>
      <c r="AFN16" s="335"/>
      <c r="AFO16" s="335"/>
      <c r="AFP16" s="335"/>
      <c r="AFQ16" s="335"/>
      <c r="AFR16" s="335"/>
      <c r="AFS16" s="335"/>
      <c r="AFT16" s="335"/>
      <c r="AFU16" s="335"/>
      <c r="AFV16" s="335"/>
      <c r="AFW16" s="335"/>
      <c r="AFX16" s="335"/>
      <c r="AFY16" s="335"/>
      <c r="AFZ16" s="335"/>
      <c r="AGA16" s="335"/>
      <c r="AGB16" s="335"/>
      <c r="AGC16" s="335"/>
      <c r="AGD16" s="335"/>
      <c r="AGE16" s="335"/>
      <c r="AGF16" s="335"/>
      <c r="AGG16" s="335"/>
      <c r="AGH16" s="335"/>
      <c r="AGI16" s="335"/>
      <c r="AGJ16" s="335"/>
      <c r="AGK16" s="335"/>
      <c r="AGL16" s="335"/>
      <c r="AGM16" s="335"/>
      <c r="AGN16" s="335"/>
      <c r="AGO16" s="335"/>
      <c r="AGP16" s="335"/>
      <c r="AGQ16" s="335"/>
      <c r="AGR16" s="335"/>
      <c r="AGS16" s="335"/>
      <c r="AGT16" s="335"/>
      <c r="AGU16" s="335"/>
      <c r="AGV16" s="335"/>
      <c r="AGW16" s="335"/>
      <c r="AGX16" s="335"/>
      <c r="AGY16" s="335"/>
      <c r="AGZ16" s="335"/>
      <c r="AHA16" s="335"/>
      <c r="AHB16" s="335"/>
      <c r="AHC16" s="335"/>
      <c r="AHD16" s="335"/>
      <c r="AHE16" s="335"/>
      <c r="AHF16" s="335"/>
      <c r="AHG16" s="335"/>
      <c r="AHH16" s="335"/>
      <c r="AHI16" s="335"/>
      <c r="AHJ16" s="335"/>
      <c r="AHK16" s="335"/>
      <c r="AHL16" s="335"/>
      <c r="AHM16" s="335"/>
      <c r="AHN16" s="335"/>
      <c r="AHO16" s="335"/>
      <c r="AHP16" s="335"/>
      <c r="AHQ16" s="335"/>
      <c r="AHR16" s="335"/>
      <c r="AHS16" s="335"/>
      <c r="AHT16" s="335"/>
      <c r="AHU16" s="335"/>
      <c r="AHV16" s="335"/>
      <c r="AHW16" s="335"/>
      <c r="AHX16" s="335"/>
      <c r="AHY16" s="335"/>
      <c r="AHZ16" s="335"/>
      <c r="AIA16" s="335"/>
      <c r="AIB16" s="335"/>
      <c r="AIC16" s="339"/>
    </row>
    <row r="17" spans="1:913" s="161" customFormat="1">
      <c r="A17" s="172"/>
      <c r="B17" s="177">
        <v>0.91666666666666696</v>
      </c>
      <c r="C17" s="493">
        <f t="shared" si="246"/>
        <v>0</v>
      </c>
      <c r="D17" s="494"/>
      <c r="E17" s="493">
        <f t="shared" si="0"/>
        <v>0</v>
      </c>
      <c r="F17" s="494"/>
      <c r="G17" s="493">
        <f t="shared" si="1"/>
        <v>0</v>
      </c>
      <c r="H17" s="494"/>
      <c r="I17" s="493">
        <f t="shared" si="1690"/>
        <v>0</v>
      </c>
      <c r="J17" s="494"/>
      <c r="K17" s="493">
        <f t="shared" si="2"/>
        <v>0</v>
      </c>
      <c r="L17" s="494"/>
      <c r="M17" s="493">
        <f t="shared" si="3"/>
        <v>0</v>
      </c>
      <c r="N17" s="494"/>
      <c r="O17" s="493">
        <f t="shared" si="517"/>
        <v>0</v>
      </c>
      <c r="P17" s="494"/>
      <c r="Q17" s="493">
        <f t="shared" si="248"/>
        <v>0</v>
      </c>
      <c r="R17" s="494"/>
      <c r="S17" s="493">
        <f t="shared" si="249"/>
        <v>0</v>
      </c>
      <c r="T17" s="494"/>
      <c r="U17" s="493">
        <f t="shared" si="250"/>
        <v>0</v>
      </c>
      <c r="V17" s="494"/>
      <c r="W17" s="493">
        <f t="shared" si="1974"/>
        <v>0</v>
      </c>
      <c r="X17" s="494"/>
      <c r="Y17" s="493">
        <f t="shared" si="252"/>
        <v>0</v>
      </c>
      <c r="Z17" s="494"/>
      <c r="AA17" s="493">
        <f t="shared" si="253"/>
        <v>0</v>
      </c>
      <c r="AB17" s="494"/>
      <c r="AC17" s="493">
        <f t="shared" si="254"/>
        <v>0</v>
      </c>
      <c r="AD17" s="494"/>
      <c r="AE17" s="493">
        <f t="shared" si="255"/>
        <v>0</v>
      </c>
      <c r="AF17" s="494"/>
      <c r="AG17" s="493">
        <f t="shared" ref="AG17:AG19" si="2125">((AG41+AH41)-(AG39+AH39))/2</f>
        <v>0</v>
      </c>
      <c r="AH17" s="494"/>
      <c r="AI17" s="493">
        <f>((AI40+AJ40)-(AI39+AJ39))/2</f>
        <v>0</v>
      </c>
      <c r="AJ17" s="494"/>
      <c r="AK17" s="493">
        <f t="shared" si="258"/>
        <v>0</v>
      </c>
      <c r="AL17" s="494"/>
      <c r="AM17" s="493">
        <f t="shared" si="259"/>
        <v>0</v>
      </c>
      <c r="AN17" s="494"/>
      <c r="AO17" s="493">
        <f t="shared" si="260"/>
        <v>0</v>
      </c>
      <c r="AP17" s="494"/>
      <c r="AQ17" s="493">
        <f t="shared" si="261"/>
        <v>0</v>
      </c>
      <c r="AR17" s="494"/>
      <c r="AS17" s="493">
        <f t="shared" si="262"/>
        <v>0</v>
      </c>
      <c r="AT17" s="494"/>
      <c r="AU17" s="493">
        <f t="shared" si="263"/>
        <v>0</v>
      </c>
      <c r="AV17" s="494"/>
      <c r="AW17" s="493">
        <f t="shared" si="264"/>
        <v>0</v>
      </c>
      <c r="AX17" s="494"/>
      <c r="AY17" s="493">
        <f t="shared" si="265"/>
        <v>0</v>
      </c>
      <c r="AZ17" s="494"/>
      <c r="BA17" s="493">
        <f t="shared" si="266"/>
        <v>0</v>
      </c>
      <c r="BB17" s="494"/>
      <c r="BC17" s="493">
        <f t="shared" si="267"/>
        <v>0</v>
      </c>
      <c r="BD17" s="494"/>
      <c r="BE17" s="493">
        <f t="shared" si="268"/>
        <v>0</v>
      </c>
      <c r="BF17" s="494"/>
      <c r="BG17" s="493">
        <f t="shared" si="269"/>
        <v>0</v>
      </c>
      <c r="BH17" s="494"/>
      <c r="BI17" s="493">
        <f t="shared" si="270"/>
        <v>0</v>
      </c>
      <c r="BJ17" s="494"/>
      <c r="BK17" s="493">
        <f t="shared" si="271"/>
        <v>0</v>
      </c>
      <c r="BL17" s="494"/>
      <c r="BM17" s="493">
        <f t="shared" si="272"/>
        <v>0</v>
      </c>
      <c r="BN17" s="494"/>
      <c r="BO17" s="493">
        <f t="shared" si="273"/>
        <v>0</v>
      </c>
      <c r="BP17" s="494"/>
      <c r="BQ17" s="493">
        <f t="shared" si="274"/>
        <v>0</v>
      </c>
      <c r="BR17" s="494"/>
      <c r="BS17" s="493">
        <f t="shared" si="275"/>
        <v>0</v>
      </c>
      <c r="BT17" s="494"/>
      <c r="BU17" s="493">
        <f t="shared" si="276"/>
        <v>0</v>
      </c>
      <c r="BV17" s="494"/>
      <c r="BW17" s="493">
        <f t="shared" si="665"/>
        <v>0</v>
      </c>
      <c r="BX17" s="494"/>
      <c r="BY17" s="493">
        <f t="shared" si="277"/>
        <v>0</v>
      </c>
      <c r="BZ17" s="494"/>
      <c r="CA17" s="493">
        <f t="shared" si="278"/>
        <v>0</v>
      </c>
      <c r="CB17" s="494"/>
      <c r="CC17" s="493">
        <f t="shared" si="279"/>
        <v>0</v>
      </c>
      <c r="CD17" s="494"/>
      <c r="CE17" s="493">
        <f t="shared" si="280"/>
        <v>0</v>
      </c>
      <c r="CF17" s="494"/>
      <c r="CG17" s="493">
        <f t="shared" si="281"/>
        <v>0</v>
      </c>
      <c r="CH17" s="494"/>
      <c r="CI17" s="493">
        <f t="shared" si="282"/>
        <v>0</v>
      </c>
      <c r="CJ17" s="494"/>
      <c r="CK17" s="493">
        <f t="shared" si="283"/>
        <v>0</v>
      </c>
      <c r="CL17" s="494"/>
      <c r="CM17" s="493">
        <f t="shared" si="284"/>
        <v>0</v>
      </c>
      <c r="CN17" s="494"/>
      <c r="CO17" s="493">
        <f t="shared" si="285"/>
        <v>0</v>
      </c>
      <c r="CP17" s="494"/>
      <c r="CQ17" s="493">
        <f t="shared" ref="CQ17:CQ18" si="2126">((CQ41+CR40)-(CQ40+CR39))/2</f>
        <v>0</v>
      </c>
      <c r="CR17" s="494"/>
      <c r="CS17" s="493">
        <f t="shared" si="287"/>
        <v>0</v>
      </c>
      <c r="CT17" s="494"/>
      <c r="CU17" s="493">
        <f t="shared" si="1542"/>
        <v>0</v>
      </c>
      <c r="CV17" s="494"/>
      <c r="CW17" s="493">
        <f t="shared" si="289"/>
        <v>0</v>
      </c>
      <c r="CX17" s="494"/>
      <c r="CY17" s="493">
        <f t="shared" si="290"/>
        <v>0</v>
      </c>
      <c r="CZ17" s="494"/>
      <c r="DA17" s="493">
        <f t="shared" si="291"/>
        <v>0</v>
      </c>
      <c r="DB17" s="494"/>
      <c r="DC17" s="493">
        <f t="shared" si="1975"/>
        <v>0</v>
      </c>
      <c r="DD17" s="494"/>
      <c r="DE17" s="493">
        <f t="shared" si="293"/>
        <v>0</v>
      </c>
      <c r="DF17" s="494"/>
      <c r="DG17" s="493">
        <f t="shared" si="294"/>
        <v>0</v>
      </c>
      <c r="DH17" s="494"/>
      <c r="DI17" s="493">
        <f t="shared" si="295"/>
        <v>0</v>
      </c>
      <c r="DJ17" s="494"/>
      <c r="DK17" s="493">
        <f t="shared" si="296"/>
        <v>0</v>
      </c>
      <c r="DL17" s="494"/>
      <c r="DM17" s="493">
        <f t="shared" si="297"/>
        <v>0</v>
      </c>
      <c r="DN17" s="494"/>
      <c r="DO17" s="493">
        <f t="shared" si="298"/>
        <v>0</v>
      </c>
      <c r="DP17" s="494"/>
      <c r="DQ17" s="493">
        <f t="shared" si="666"/>
        <v>0</v>
      </c>
      <c r="DR17" s="494"/>
      <c r="DS17" s="493">
        <f t="shared" si="300"/>
        <v>0</v>
      </c>
      <c r="DT17" s="494"/>
      <c r="DU17" s="493">
        <f t="shared" si="301"/>
        <v>0</v>
      </c>
      <c r="DV17" s="494"/>
      <c r="DW17" s="493">
        <f t="shared" si="302"/>
        <v>0</v>
      </c>
      <c r="DX17" s="494"/>
      <c r="DY17" s="493">
        <f t="shared" si="303"/>
        <v>0</v>
      </c>
      <c r="DZ17" s="494"/>
      <c r="EA17" s="493">
        <f t="shared" si="304"/>
        <v>0</v>
      </c>
      <c r="EB17" s="494"/>
      <c r="EC17" s="493">
        <f t="shared" si="305"/>
        <v>0</v>
      </c>
      <c r="ED17" s="494"/>
      <c r="EE17" s="493">
        <f>((EE40+EF40)-(EE39+EF39))/2</f>
        <v>0</v>
      </c>
      <c r="EF17" s="494"/>
      <c r="EG17" s="493">
        <f t="shared" si="1544"/>
        <v>0</v>
      </c>
      <c r="EH17" s="494"/>
      <c r="EI17" s="493">
        <f t="shared" si="1545"/>
        <v>0</v>
      </c>
      <c r="EJ17" s="494"/>
      <c r="EK17" s="493">
        <f t="shared" si="1546"/>
        <v>0</v>
      </c>
      <c r="EL17" s="494"/>
      <c r="EM17" s="493">
        <f t="shared" si="1547"/>
        <v>0</v>
      </c>
      <c r="EN17" s="494"/>
      <c r="EO17" s="493">
        <f t="shared" ref="EO17:EO21" si="2127">((EO40+EP40)-(EO39+EP39))/2</f>
        <v>0</v>
      </c>
      <c r="EP17" s="494"/>
      <c r="EQ17" s="493">
        <f t="shared" si="307"/>
        <v>0</v>
      </c>
      <c r="ER17" s="494"/>
      <c r="ES17" s="493">
        <f t="shared" si="308"/>
        <v>0</v>
      </c>
      <c r="ET17" s="494"/>
      <c r="EU17" s="493">
        <f t="shared" si="309"/>
        <v>0</v>
      </c>
      <c r="EV17" s="494"/>
      <c r="EW17" s="493">
        <f t="shared" si="310"/>
        <v>0</v>
      </c>
      <c r="EX17" s="494"/>
      <c r="EY17" s="493">
        <f t="shared" si="311"/>
        <v>0</v>
      </c>
      <c r="EZ17" s="494"/>
      <c r="FA17" s="493">
        <f t="shared" si="312"/>
        <v>0</v>
      </c>
      <c r="FB17" s="494"/>
      <c r="FC17" s="493">
        <f t="shared" si="313"/>
        <v>0</v>
      </c>
      <c r="FD17" s="494"/>
      <c r="FE17" s="493">
        <f t="shared" si="314"/>
        <v>0</v>
      </c>
      <c r="FF17" s="494"/>
      <c r="FG17" s="493">
        <f t="shared" si="315"/>
        <v>0</v>
      </c>
      <c r="FH17" s="494"/>
      <c r="FI17" s="493">
        <f t="shared" si="316"/>
        <v>0</v>
      </c>
      <c r="FJ17" s="494"/>
      <c r="FK17" s="493">
        <f t="shared" si="317"/>
        <v>0</v>
      </c>
      <c r="FL17" s="494"/>
      <c r="FM17" s="493">
        <f t="shared" si="318"/>
        <v>0</v>
      </c>
      <c r="FN17" s="494"/>
      <c r="FO17" s="493">
        <f t="shared" si="319"/>
        <v>0</v>
      </c>
      <c r="FP17" s="494"/>
      <c r="FQ17" s="493">
        <f t="shared" si="320"/>
        <v>0</v>
      </c>
      <c r="FR17" s="494"/>
      <c r="FS17" s="493">
        <f t="shared" si="321"/>
        <v>0</v>
      </c>
      <c r="FT17" s="494"/>
      <c r="FU17" s="493">
        <f t="shared" si="322"/>
        <v>0</v>
      </c>
      <c r="FV17" s="494"/>
      <c r="FW17" s="493">
        <f t="shared" si="323"/>
        <v>0</v>
      </c>
      <c r="FX17" s="494"/>
      <c r="FY17" s="493">
        <f t="shared" si="324"/>
        <v>0</v>
      </c>
      <c r="FZ17" s="494"/>
      <c r="GA17" s="493">
        <f t="shared" si="325"/>
        <v>0</v>
      </c>
      <c r="GB17" s="494"/>
      <c r="GC17" s="493">
        <f t="shared" si="326"/>
        <v>0</v>
      </c>
      <c r="GD17" s="494"/>
      <c r="GE17" s="493">
        <f t="shared" si="327"/>
        <v>0</v>
      </c>
      <c r="GF17" s="494"/>
      <c r="GG17" s="493">
        <f t="shared" si="328"/>
        <v>0</v>
      </c>
      <c r="GH17" s="494"/>
      <c r="GI17" s="493">
        <f t="shared" si="329"/>
        <v>0</v>
      </c>
      <c r="GJ17" s="494"/>
      <c r="GK17" s="493">
        <f t="shared" si="330"/>
        <v>0</v>
      </c>
      <c r="GL17" s="494"/>
      <c r="GM17" s="493">
        <f t="shared" si="331"/>
        <v>0</v>
      </c>
      <c r="GN17" s="494"/>
      <c r="GO17" s="493">
        <f t="shared" si="1976"/>
        <v>0</v>
      </c>
      <c r="GP17" s="494"/>
      <c r="GQ17" s="493">
        <f t="shared" si="333"/>
        <v>0</v>
      </c>
      <c r="GR17" s="494"/>
      <c r="GS17" s="493">
        <f t="shared" si="334"/>
        <v>0</v>
      </c>
      <c r="GT17" s="494"/>
      <c r="GU17" s="493">
        <f t="shared" si="1109"/>
        <v>0</v>
      </c>
      <c r="GV17" s="494"/>
      <c r="GW17" s="493">
        <f t="shared" si="1110"/>
        <v>0</v>
      </c>
      <c r="GX17" s="494"/>
      <c r="GY17" s="493">
        <f t="shared" si="1111"/>
        <v>0</v>
      </c>
      <c r="GZ17" s="494"/>
      <c r="HA17" s="493">
        <f t="shared" si="335"/>
        <v>0</v>
      </c>
      <c r="HB17" s="494"/>
      <c r="HC17" s="493">
        <f t="shared" si="336"/>
        <v>0</v>
      </c>
      <c r="HD17" s="494"/>
      <c r="HE17" s="493">
        <f t="shared" si="1548"/>
        <v>0</v>
      </c>
      <c r="HF17" s="494"/>
      <c r="HG17" s="493">
        <f t="shared" si="338"/>
        <v>0</v>
      </c>
      <c r="HH17" s="494"/>
      <c r="HI17" s="493">
        <f t="shared" si="339"/>
        <v>0</v>
      </c>
      <c r="HJ17" s="494"/>
      <c r="HK17" s="493">
        <f t="shared" si="340"/>
        <v>0</v>
      </c>
      <c r="HL17" s="494"/>
      <c r="HM17" s="493">
        <f t="shared" si="341"/>
        <v>0</v>
      </c>
      <c r="HN17" s="494"/>
      <c r="HO17" s="493">
        <f t="shared" si="342"/>
        <v>0</v>
      </c>
      <c r="HP17" s="494"/>
      <c r="HQ17" s="493">
        <f t="shared" si="343"/>
        <v>0</v>
      </c>
      <c r="HR17" s="494"/>
      <c r="HS17" s="493">
        <f t="shared" si="344"/>
        <v>0</v>
      </c>
      <c r="HT17" s="494"/>
      <c r="HU17" s="493">
        <f t="shared" si="345"/>
        <v>0</v>
      </c>
      <c r="HV17" s="494"/>
      <c r="HW17" s="493">
        <f t="shared" si="346"/>
        <v>0</v>
      </c>
      <c r="HX17" s="494"/>
      <c r="HY17" s="493">
        <f t="shared" si="347"/>
        <v>0</v>
      </c>
      <c r="HZ17" s="494"/>
      <c r="IA17" s="493">
        <f t="shared" si="348"/>
        <v>0</v>
      </c>
      <c r="IB17" s="494"/>
      <c r="IC17" s="493">
        <f t="shared" si="349"/>
        <v>0</v>
      </c>
      <c r="ID17" s="494"/>
      <c r="IE17" s="493">
        <f t="shared" si="1977"/>
        <v>0</v>
      </c>
      <c r="IF17" s="494"/>
      <c r="IG17" s="493">
        <f t="shared" si="351"/>
        <v>0</v>
      </c>
      <c r="IH17" s="494"/>
      <c r="II17" s="493">
        <f t="shared" si="352"/>
        <v>0</v>
      </c>
      <c r="IJ17" s="494"/>
      <c r="IK17" s="493">
        <f t="shared" si="353"/>
        <v>0</v>
      </c>
      <c r="IL17" s="494"/>
      <c r="IM17" s="493">
        <f t="shared" si="354"/>
        <v>0</v>
      </c>
      <c r="IN17" s="494"/>
      <c r="IO17" s="493">
        <f t="shared" si="355"/>
        <v>0</v>
      </c>
      <c r="IP17" s="494"/>
      <c r="IQ17" s="493">
        <f t="shared" si="356"/>
        <v>0</v>
      </c>
      <c r="IR17" s="494"/>
      <c r="IS17" s="493">
        <f t="shared" si="357"/>
        <v>0</v>
      </c>
      <c r="IT17" s="494"/>
      <c r="IU17" s="493">
        <f t="shared" si="14"/>
        <v>0</v>
      </c>
      <c r="IV17" s="494"/>
      <c r="IW17" s="493">
        <f t="shared" si="15"/>
        <v>0</v>
      </c>
      <c r="IX17" s="494"/>
      <c r="IY17" s="493">
        <f t="shared" si="16"/>
        <v>0</v>
      </c>
      <c r="IZ17" s="494"/>
      <c r="JA17" s="493">
        <f t="shared" ref="JA17" si="2128">((JA40+JB40)-(JA39+JB39))/2</f>
        <v>0</v>
      </c>
      <c r="JB17" s="494"/>
      <c r="JC17" s="493">
        <f t="shared" ref="JC17" si="2129">((JC40+JD40)-(JC39+JD39))/2</f>
        <v>0</v>
      </c>
      <c r="JD17" s="494"/>
      <c r="JE17" s="493">
        <f t="shared" si="19"/>
        <v>0</v>
      </c>
      <c r="JF17" s="494"/>
      <c r="JG17" s="493">
        <f t="shared" ref="JG17" si="2130">((JG40+JH40)-(JG39+JH39))/2</f>
        <v>0</v>
      </c>
      <c r="JH17" s="494"/>
      <c r="JI17" s="493">
        <f t="shared" ref="JI17" si="2131">((JI40+JJ40)-(JI39+JJ39))/2</f>
        <v>0</v>
      </c>
      <c r="JJ17" s="494"/>
      <c r="JK17" s="493">
        <f t="shared" si="22"/>
        <v>0</v>
      </c>
      <c r="JL17" s="494"/>
      <c r="JM17" s="493">
        <f t="shared" ref="JM17" si="2132">((JM40+JN40)-(JM39+JN39))/2</f>
        <v>0</v>
      </c>
      <c r="JN17" s="494"/>
      <c r="JO17" s="493">
        <f t="shared" ref="JO17" si="2133">((JO40+JP40)-(JO39+JP39))/2</f>
        <v>0</v>
      </c>
      <c r="JP17" s="494"/>
      <c r="JQ17" s="493">
        <f t="shared" si="25"/>
        <v>0</v>
      </c>
      <c r="JR17" s="494"/>
      <c r="JS17" s="493">
        <f t="shared" ref="JS17" si="2134">((JS40+JT40)-(JS39+JT39))/2</f>
        <v>0</v>
      </c>
      <c r="JT17" s="494"/>
      <c r="JU17" s="493">
        <f t="shared" ref="JU17" si="2135">((JU40+JV40)-(JU39+JV39))/2</f>
        <v>0</v>
      </c>
      <c r="JV17" s="494"/>
      <c r="JW17" s="493">
        <f t="shared" si="28"/>
        <v>0</v>
      </c>
      <c r="JX17" s="494"/>
      <c r="JY17" s="493">
        <f t="shared" ref="JY17" si="2136">((JY40+JZ40)-(JY39+JZ39))/2</f>
        <v>0</v>
      </c>
      <c r="JZ17" s="494"/>
      <c r="KA17" s="493">
        <f t="shared" ref="KA17" si="2137">((KA40+KB40)-(KA39+KB39))/2</f>
        <v>0</v>
      </c>
      <c r="KB17" s="494"/>
      <c r="KC17" s="493">
        <f t="shared" si="31"/>
        <v>0</v>
      </c>
      <c r="KD17" s="494"/>
      <c r="KE17" s="493">
        <f t="shared" ref="KE17" si="2138">((KE40+KF41)-(KE39+KF40))/2</f>
        <v>0</v>
      </c>
      <c r="KF17" s="494"/>
      <c r="KG17" s="493">
        <f t="shared" ref="KG17" si="2139">((KG40+KH40)-(KG39+KH39))/2</f>
        <v>0</v>
      </c>
      <c r="KH17" s="494"/>
      <c r="KI17" s="493">
        <f t="shared" si="34"/>
        <v>0</v>
      </c>
      <c r="KJ17" s="494"/>
      <c r="KK17" s="493">
        <f t="shared" ref="KK17" si="2140">((KK40+KL40)-(KK39+KL39))/2</f>
        <v>0</v>
      </c>
      <c r="KL17" s="494"/>
      <c r="KM17" s="493">
        <f t="shared" ref="KM17" si="2141">((KM40+KN40)-(KM39+KN39))/2</f>
        <v>0</v>
      </c>
      <c r="KN17" s="494"/>
      <c r="KO17" s="493">
        <f t="shared" si="37"/>
        <v>0</v>
      </c>
      <c r="KP17" s="494"/>
      <c r="KQ17" s="493">
        <f t="shared" ref="KQ17" si="2142">((KQ40+KR40)-(KQ39+KR39))/2</f>
        <v>0</v>
      </c>
      <c r="KR17" s="494"/>
      <c r="KS17" s="493">
        <f t="shared" ref="KS17" si="2143">((KS40+KT40)-(KS39+KT39))/2</f>
        <v>0</v>
      </c>
      <c r="KT17" s="494"/>
      <c r="KU17" s="493">
        <f t="shared" si="40"/>
        <v>0</v>
      </c>
      <c r="KV17" s="494"/>
      <c r="KW17" s="493">
        <f t="shared" ref="KW17" si="2144">((KW40+KX40)-(KW39+KX39))/2</f>
        <v>0</v>
      </c>
      <c r="KX17" s="494"/>
      <c r="KY17" s="493">
        <f t="shared" ref="KY17" si="2145">((KY40+KZ40)-(KY39+KZ39))/2</f>
        <v>0</v>
      </c>
      <c r="KZ17" s="494"/>
      <c r="LA17" s="493">
        <f>((LA40+LB41)-(LA39+LB40))/2</f>
        <v>0</v>
      </c>
      <c r="LB17" s="494"/>
      <c r="LC17" s="493">
        <f t="shared" si="376"/>
        <v>0</v>
      </c>
      <c r="LD17" s="494"/>
      <c r="LE17" s="493">
        <f t="shared" si="377"/>
        <v>0</v>
      </c>
      <c r="LF17" s="494"/>
      <c r="LG17" s="493">
        <f t="shared" si="378"/>
        <v>0</v>
      </c>
      <c r="LH17" s="494"/>
      <c r="LI17" s="493">
        <f t="shared" ref="LI17" si="2146">((LI40+LJ40)-(LI39+LJ39))/2</f>
        <v>0</v>
      </c>
      <c r="LJ17" s="494"/>
      <c r="LK17" s="493">
        <f t="shared" ref="LK17" si="2147">((LK40+LL40)-(LK39+LL39))/2</f>
        <v>0</v>
      </c>
      <c r="LL17" s="494"/>
      <c r="LM17" s="493">
        <f t="shared" si="49"/>
        <v>0</v>
      </c>
      <c r="LN17" s="494"/>
      <c r="LO17" s="493">
        <f t="shared" ref="LO17" si="2148">((LO40+LP40)-(LO39+LP39))/2</f>
        <v>0</v>
      </c>
      <c r="LP17" s="494"/>
      <c r="LQ17" s="493">
        <f t="shared" ref="LQ17" si="2149">((LQ40+LR40)-(LQ39+LR39))/2</f>
        <v>0</v>
      </c>
      <c r="LR17" s="494"/>
      <c r="LS17" s="493">
        <f t="shared" si="52"/>
        <v>0</v>
      </c>
      <c r="LT17" s="494"/>
      <c r="LU17" s="493">
        <f t="shared" ref="LU17" si="2150">((LU40+LV40)-(LU39+LV39))/2</f>
        <v>0</v>
      </c>
      <c r="LV17" s="494"/>
      <c r="LW17" s="493">
        <f t="shared" ref="LW17" si="2151">((LW40+LX40)-(LW39+LX39))/2</f>
        <v>0</v>
      </c>
      <c r="LX17" s="494"/>
      <c r="LY17" s="493">
        <f t="shared" si="55"/>
        <v>0</v>
      </c>
      <c r="LZ17" s="494"/>
      <c r="MA17" s="493">
        <f t="shared" ref="MA17" si="2152">((MA40+MB40)-(MA39+MB39))/2</f>
        <v>0</v>
      </c>
      <c r="MB17" s="494"/>
      <c r="MC17" s="493">
        <f t="shared" ref="MC17" si="2153">((MC40+MD40)-(MC39+MD39))/2</f>
        <v>0</v>
      </c>
      <c r="MD17" s="494"/>
      <c r="ME17" s="493">
        <f t="shared" si="58"/>
        <v>0</v>
      </c>
      <c r="MF17" s="494"/>
      <c r="MG17" s="493">
        <f t="shared" ref="MG17" si="2154">((MG40+MH40)-(MG39+MH39))/2</f>
        <v>0</v>
      </c>
      <c r="MH17" s="494"/>
      <c r="MI17" s="493">
        <f t="shared" ref="MI17" si="2155">((MI40+MJ40)-(MI39+MJ39))/2</f>
        <v>0</v>
      </c>
      <c r="MJ17" s="494"/>
      <c r="MK17" s="493">
        <f t="shared" si="61"/>
        <v>0</v>
      </c>
      <c r="ML17" s="494"/>
      <c r="MM17" s="493">
        <f t="shared" ref="MM17" si="2156">((MM40+MN40)-(MM39+MN39))/2</f>
        <v>0</v>
      </c>
      <c r="MN17" s="494"/>
      <c r="MO17" s="493">
        <f t="shared" ref="MO17" si="2157">((MO40+MP40)-(MO39+MP39))/2</f>
        <v>0</v>
      </c>
      <c r="MP17" s="494"/>
      <c r="MQ17" s="493">
        <f t="shared" si="64"/>
        <v>0</v>
      </c>
      <c r="MR17" s="494"/>
      <c r="MS17" s="493">
        <f t="shared" ref="MS17" si="2158">((MS40+MT40)-(MS39+MT39))/2</f>
        <v>0</v>
      </c>
      <c r="MT17" s="494"/>
      <c r="MU17" s="493">
        <f t="shared" ref="MU17" si="2159">((MU40+MV40)-(MU39+MV39))/2</f>
        <v>0</v>
      </c>
      <c r="MV17" s="494"/>
      <c r="MW17" s="493">
        <f t="shared" si="67"/>
        <v>0</v>
      </c>
      <c r="MX17" s="494"/>
      <c r="MY17" s="493">
        <f t="shared" ref="MY17" si="2160">((MY40+MZ40)-(MY39+MZ39))/2</f>
        <v>0</v>
      </c>
      <c r="MZ17" s="494"/>
      <c r="NA17" s="493">
        <f t="shared" ref="NA17" si="2161">((NA40+NB40)-(NA39+NB39))/2</f>
        <v>0</v>
      </c>
      <c r="NB17" s="494"/>
      <c r="NC17" s="493">
        <f t="shared" si="70"/>
        <v>0</v>
      </c>
      <c r="ND17" s="494"/>
      <c r="NE17" s="493">
        <f t="shared" ref="NE17" si="2162">((NE40+NF40)-(NE39+NF39))/2</f>
        <v>0</v>
      </c>
      <c r="NF17" s="494"/>
      <c r="NG17" s="493">
        <f t="shared" ref="NG17" si="2163">((NG40+NH40)-(NG39+NH39))/2</f>
        <v>0</v>
      </c>
      <c r="NH17" s="494"/>
      <c r="NI17" s="493">
        <f t="shared" si="73"/>
        <v>0</v>
      </c>
      <c r="NJ17" s="494"/>
      <c r="NK17" s="493">
        <f t="shared" ref="NK17" si="2164">((NK40+NL40)-(NK39+NL39))/2</f>
        <v>0</v>
      </c>
      <c r="NL17" s="494"/>
      <c r="NM17" s="493">
        <f t="shared" ref="NM17" si="2165">((NM40+NN40)-(NM39+NN39))/2</f>
        <v>0</v>
      </c>
      <c r="NN17" s="494"/>
      <c r="NO17" s="493">
        <f t="shared" si="76"/>
        <v>0</v>
      </c>
      <c r="NP17" s="494"/>
      <c r="NQ17" s="493">
        <f t="shared" ref="NQ17" si="2166">((NQ40+NR40)-(NQ39+NR39))/2</f>
        <v>0</v>
      </c>
      <c r="NR17" s="494"/>
      <c r="NS17" s="493">
        <f t="shared" ref="NS17" si="2167">((NS40+NT40)-(NS39+NT39))/2</f>
        <v>0</v>
      </c>
      <c r="NT17" s="494"/>
      <c r="NU17" s="493">
        <f t="shared" si="79"/>
        <v>0</v>
      </c>
      <c r="NV17" s="494"/>
      <c r="NW17" s="493">
        <f t="shared" ref="NW17" si="2168">((NW40+NX40)-(NW39+NX39))/2</f>
        <v>0</v>
      </c>
      <c r="NX17" s="494"/>
      <c r="NY17" s="493">
        <f t="shared" ref="NY17" si="2169">((NY40+NZ40)-(NY39+NZ39))/2</f>
        <v>0</v>
      </c>
      <c r="NZ17" s="494"/>
      <c r="OA17" s="493">
        <f t="shared" si="82"/>
        <v>0</v>
      </c>
      <c r="OB17" s="494"/>
      <c r="OC17" s="493">
        <f t="shared" ref="OC17" si="2170">((OC40+OD40)-(OC39+OD39))/2</f>
        <v>0</v>
      </c>
      <c r="OD17" s="494"/>
      <c r="OE17" s="493">
        <f t="shared" ref="OE17" si="2171">((OE40+OF40)-(OE39+OF39))/2</f>
        <v>0</v>
      </c>
      <c r="OF17" s="494"/>
      <c r="OG17" s="493">
        <f t="shared" si="85"/>
        <v>0</v>
      </c>
      <c r="OH17" s="494"/>
      <c r="OI17" s="493">
        <f t="shared" ref="OI17" si="2172">((OI40+OJ40)-(OI39+OJ39))/2</f>
        <v>0</v>
      </c>
      <c r="OJ17" s="494"/>
      <c r="OK17" s="493">
        <f t="shared" ref="OK17" si="2173">((OK40+OL40)-(OK39+OL39))/2</f>
        <v>0</v>
      </c>
      <c r="OL17" s="494"/>
      <c r="OM17" s="493">
        <f t="shared" si="88"/>
        <v>0</v>
      </c>
      <c r="ON17" s="494"/>
      <c r="OO17" s="493">
        <f t="shared" ref="OO17" si="2174">((OO40+OP40)-(OO39+OP39))/2</f>
        <v>0</v>
      </c>
      <c r="OP17" s="494"/>
      <c r="OQ17" s="493">
        <f t="shared" ref="OQ17" si="2175">((OQ40+OR40)-(OQ39+OR39))/2</f>
        <v>0</v>
      </c>
      <c r="OR17" s="494"/>
      <c r="OS17" s="493">
        <f t="shared" si="91"/>
        <v>0</v>
      </c>
      <c r="OT17" s="494"/>
      <c r="OU17" s="493">
        <f t="shared" ref="OU17" si="2176">((OU40+OV40)-(OU39+OV39))/2</f>
        <v>0</v>
      </c>
      <c r="OV17" s="494"/>
      <c r="OW17" s="493">
        <f t="shared" ref="OW17" si="2177">((OW40+OX40)-(OW39+OX39))/2</f>
        <v>0</v>
      </c>
      <c r="OX17" s="494"/>
      <c r="OY17" s="493">
        <f t="shared" si="94"/>
        <v>0</v>
      </c>
      <c r="OZ17" s="494"/>
      <c r="PA17" s="493">
        <f t="shared" ref="PA17" si="2178">((PA40+PB40)-(PA39+PB39))/2</f>
        <v>0</v>
      </c>
      <c r="PB17" s="494"/>
      <c r="PC17" s="493">
        <f t="shared" ref="PC17" si="2179">((PC40+PD40)-(PC39+PD39))/2</f>
        <v>0</v>
      </c>
      <c r="PD17" s="494"/>
      <c r="PE17" s="493">
        <f t="shared" si="97"/>
        <v>0</v>
      </c>
      <c r="PF17" s="494"/>
      <c r="PG17" s="493">
        <f t="shared" ref="PG17" si="2180">((PG40+PH40)-(PG39+PH39))/2</f>
        <v>0</v>
      </c>
      <c r="PH17" s="494"/>
      <c r="PI17" s="493">
        <f t="shared" ref="PI17" si="2181">((PI40+PJ40)-(PI39+PJ39))/2</f>
        <v>0</v>
      </c>
      <c r="PJ17" s="494"/>
      <c r="PK17" s="493">
        <f t="shared" si="100"/>
        <v>0</v>
      </c>
      <c r="PL17" s="494"/>
      <c r="PM17" s="493">
        <f t="shared" ref="PM17" si="2182">((PM40+PN40)-(PM39+PN39))/2</f>
        <v>0</v>
      </c>
      <c r="PN17" s="494"/>
      <c r="PO17" s="493">
        <f t="shared" ref="PO17" si="2183">((PO40+PP40)-(PO39+PP39))/2</f>
        <v>0</v>
      </c>
      <c r="PP17" s="494"/>
      <c r="PQ17" s="493">
        <f t="shared" si="103"/>
        <v>0</v>
      </c>
      <c r="PR17" s="494"/>
      <c r="PS17" s="493">
        <f t="shared" ref="PS17" si="2184">((PS40+PT40)-(PS39+PT39))/2</f>
        <v>0</v>
      </c>
      <c r="PT17" s="494"/>
      <c r="PU17" s="493">
        <f t="shared" ref="PU17" si="2185">((PU40+PV40)-(PU39+PV39))/2</f>
        <v>0</v>
      </c>
      <c r="PV17" s="494"/>
      <c r="PW17" s="493">
        <f t="shared" si="106"/>
        <v>0</v>
      </c>
      <c r="PX17" s="494"/>
      <c r="PY17" s="493">
        <f t="shared" ref="PY17" si="2186">((PY40+PZ40)-(PY39+PZ39))/2</f>
        <v>0</v>
      </c>
      <c r="PZ17" s="494"/>
      <c r="QA17" s="493">
        <f t="shared" ref="QA17" si="2187">((QA40+QB40)-(QA39+QB39))/2</f>
        <v>0</v>
      </c>
      <c r="QB17" s="494"/>
      <c r="QC17" s="493">
        <f t="shared" si="109"/>
        <v>0</v>
      </c>
      <c r="QD17" s="494"/>
      <c r="QE17" s="493">
        <f t="shared" ref="QE17" si="2188">((QE40+QF40)-(QE39+QF39))/2</f>
        <v>0</v>
      </c>
      <c r="QF17" s="494"/>
      <c r="QG17" s="493">
        <f t="shared" ref="QG17" si="2189">((QG40+QH40)-(QG39+QH39))/2</f>
        <v>0</v>
      </c>
      <c r="QH17" s="494"/>
      <c r="QI17" s="493">
        <f t="shared" si="112"/>
        <v>0</v>
      </c>
      <c r="QJ17" s="494"/>
      <c r="QK17" s="493">
        <f t="shared" ref="QK17" si="2190">((QK40+QL40)-(QK39+QL39))/2</f>
        <v>0</v>
      </c>
      <c r="QL17" s="494"/>
      <c r="QM17" s="493">
        <f t="shared" ref="QM17" si="2191">((QM40+QN40)-(QM39+QN39))/2</f>
        <v>0</v>
      </c>
      <c r="QN17" s="494"/>
      <c r="QO17" s="493">
        <f t="shared" si="115"/>
        <v>0</v>
      </c>
      <c r="QP17" s="494"/>
      <c r="QQ17" s="493">
        <f t="shared" ref="QQ17" si="2192">((QQ40+QR40)-(QQ39+QR39))/2</f>
        <v>0</v>
      </c>
      <c r="QR17" s="494"/>
      <c r="QS17" s="493">
        <f t="shared" ref="QS17" si="2193">((QS40+QT40)-(QS39+QT39))/2</f>
        <v>0</v>
      </c>
      <c r="QT17" s="494"/>
      <c r="QU17" s="493">
        <f t="shared" si="118"/>
        <v>0</v>
      </c>
      <c r="QV17" s="494"/>
      <c r="QW17" s="493">
        <f t="shared" ref="QW17" si="2194">((QW40+QX40)-(QW39+QX39))/2</f>
        <v>0</v>
      </c>
      <c r="QX17" s="494"/>
      <c r="QY17" s="493">
        <f t="shared" ref="QY17" si="2195">((QY40+QZ40)-(QY39+QZ39))/2</f>
        <v>0</v>
      </c>
      <c r="QZ17" s="494"/>
      <c r="RA17" s="493">
        <f t="shared" si="121"/>
        <v>0</v>
      </c>
      <c r="RB17" s="494"/>
      <c r="RC17" s="493">
        <f t="shared" ref="RC17" si="2196">((RC40+RD40)-(RC39+RD39))/2</f>
        <v>0</v>
      </c>
      <c r="RD17" s="494"/>
      <c r="RE17" s="493">
        <f t="shared" ref="RE17" si="2197">((RE40+RF40)-(RE39+RF39))/2</f>
        <v>0</v>
      </c>
      <c r="RF17" s="494"/>
      <c r="RG17" s="493">
        <f t="shared" si="124"/>
        <v>0</v>
      </c>
      <c r="RH17" s="494"/>
      <c r="RI17" s="493">
        <f t="shared" ref="RI17" si="2198">((RI40+RJ40)-(RI39+RJ39))/2</f>
        <v>0</v>
      </c>
      <c r="RJ17" s="494"/>
      <c r="RK17" s="493">
        <f t="shared" ref="RK17" si="2199">((RK40+RL40)-(RK39+RL39))/2</f>
        <v>0</v>
      </c>
      <c r="RL17" s="494"/>
      <c r="RM17" s="493">
        <f t="shared" si="126"/>
        <v>0</v>
      </c>
      <c r="RN17" s="494"/>
      <c r="RO17" s="493">
        <f t="shared" ref="RO17" si="2200">((RO40+RP40)-(RO39+RP39))/2</f>
        <v>0</v>
      </c>
      <c r="RP17" s="494"/>
      <c r="RQ17" s="493">
        <f t="shared" ref="RQ17" si="2201">((RQ40+RR40)-(RQ39+RR39))/2</f>
        <v>0</v>
      </c>
      <c r="RR17" s="494"/>
      <c r="RS17" s="493">
        <f t="shared" si="129"/>
        <v>0</v>
      </c>
      <c r="RT17" s="494"/>
      <c r="RU17" s="493">
        <f t="shared" ref="RU17" si="2202">((RU40+RV40)-(RU39+RV39))/2</f>
        <v>0</v>
      </c>
      <c r="RV17" s="494"/>
      <c r="RW17" s="493">
        <f t="shared" ref="RW17" si="2203">((RW40+RX40)-(RW39+RX39))/2</f>
        <v>0</v>
      </c>
      <c r="RX17" s="494"/>
      <c r="RY17" s="493">
        <f t="shared" si="132"/>
        <v>0</v>
      </c>
      <c r="RZ17" s="494"/>
      <c r="SA17" s="493">
        <f t="shared" ref="SA17" si="2204">((SA40+SB40)-(SA39+SB39))/2</f>
        <v>0</v>
      </c>
      <c r="SB17" s="494"/>
      <c r="SC17" s="493">
        <f t="shared" ref="SC17" si="2205">((SC40+SD40)-(SC39+SD39))/2</f>
        <v>0</v>
      </c>
      <c r="SD17" s="494"/>
      <c r="SE17" s="493">
        <f t="shared" si="135"/>
        <v>0</v>
      </c>
      <c r="SF17" s="494"/>
      <c r="SG17" s="493">
        <f t="shared" ref="SG17" si="2206">((SG40+SH40)-(SG39+SH39))/2</f>
        <v>0</v>
      </c>
      <c r="SH17" s="494"/>
      <c r="SI17" s="493">
        <f t="shared" ref="SI17" si="2207">((SI40+SJ40)-(SI39+SJ39))/2</f>
        <v>0</v>
      </c>
      <c r="SJ17" s="494"/>
      <c r="SK17" s="493">
        <f t="shared" si="138"/>
        <v>0</v>
      </c>
      <c r="SL17" s="494"/>
      <c r="SM17" s="493">
        <f t="shared" ref="SM17" si="2208">((SM40+SN40)-(SM39+SN39))/2</f>
        <v>0</v>
      </c>
      <c r="SN17" s="494"/>
      <c r="SO17" s="493">
        <f t="shared" ref="SO17" si="2209">((SO40+SP40)-(SO39+SP39))/2</f>
        <v>0</v>
      </c>
      <c r="SP17" s="494"/>
      <c r="SQ17" s="493">
        <f t="shared" si="141"/>
        <v>0</v>
      </c>
      <c r="SR17" s="494"/>
      <c r="SS17" s="493">
        <f t="shared" ref="SS17" si="2210">((SS40+ST40)-(SS39+ST39))/2</f>
        <v>0</v>
      </c>
      <c r="ST17" s="494"/>
      <c r="SU17" s="493">
        <f t="shared" ref="SU17" si="2211">((SU40+SV40)-(SU39+SV39))/2</f>
        <v>0</v>
      </c>
      <c r="SV17" s="494"/>
      <c r="SW17" s="493">
        <f t="shared" si="144"/>
        <v>0</v>
      </c>
      <c r="SX17" s="494"/>
      <c r="SY17" s="493">
        <f t="shared" ref="SY17" si="2212">((SY40+SZ40)-(SY39+SZ39))/2</f>
        <v>0</v>
      </c>
      <c r="SZ17" s="494"/>
      <c r="TA17" s="493">
        <f t="shared" ref="TA17" si="2213">((TA40+TB40)-(TA39+TB39))/2</f>
        <v>0</v>
      </c>
      <c r="TB17" s="494"/>
      <c r="TC17" s="493">
        <f t="shared" si="147"/>
        <v>0</v>
      </c>
      <c r="TD17" s="494"/>
      <c r="TE17" s="493">
        <f t="shared" ref="TE17" si="2214">((TE40+TF40)-(TE39+TF39))/2</f>
        <v>0</v>
      </c>
      <c r="TF17" s="494"/>
      <c r="TG17" s="493">
        <f t="shared" ref="TG17" si="2215">((TG40+TH40)-(TG39+TH39))/2</f>
        <v>0</v>
      </c>
      <c r="TH17" s="494"/>
      <c r="TI17" s="493">
        <f t="shared" si="150"/>
        <v>0</v>
      </c>
      <c r="TJ17" s="494"/>
      <c r="TK17" s="493">
        <f t="shared" ref="TK17" si="2216">((TK40+TL40)-(TK39+TL39))/2</f>
        <v>0</v>
      </c>
      <c r="TL17" s="494"/>
      <c r="TM17" s="493">
        <f t="shared" ref="TM17" si="2217">((TM40+TN40)-(TM39+TN39))/2</f>
        <v>0</v>
      </c>
      <c r="TN17" s="494"/>
      <c r="TO17" s="493">
        <f t="shared" si="153"/>
        <v>0</v>
      </c>
      <c r="TP17" s="494"/>
      <c r="TQ17" s="493">
        <f t="shared" ref="TQ17" si="2218">((TQ40+TR40)-(TQ39+TR39))/2</f>
        <v>0</v>
      </c>
      <c r="TR17" s="494"/>
      <c r="TS17" s="493">
        <f>((TS39+TT39)-(TS38+TT38))/2</f>
        <v>0</v>
      </c>
      <c r="TT17" s="494"/>
      <c r="TU17" s="493">
        <f t="shared" si="156"/>
        <v>0</v>
      </c>
      <c r="TV17" s="494"/>
      <c r="TW17" s="493">
        <f t="shared" ref="TW17" si="2219">((TW40+TX40)-(TW39+TX39))/2</f>
        <v>0</v>
      </c>
      <c r="TX17" s="494"/>
      <c r="TY17" s="493">
        <f t="shared" si="2069"/>
        <v>0</v>
      </c>
      <c r="TZ17" s="494"/>
      <c r="UA17" s="493">
        <f t="shared" si="159"/>
        <v>0</v>
      </c>
      <c r="UB17" s="494"/>
      <c r="UC17" s="493">
        <f t="shared" ref="UC17" si="2220">((UC40+UD40)-(UC39+UD39))/2</f>
        <v>0</v>
      </c>
      <c r="UD17" s="494"/>
      <c r="UE17" s="493">
        <f t="shared" ref="UE17" si="2221">((UE40+UF40)-(UE39+UF39))/2</f>
        <v>0</v>
      </c>
      <c r="UF17" s="494"/>
      <c r="UG17" s="493">
        <f t="shared" si="162"/>
        <v>0</v>
      </c>
      <c r="UH17" s="494"/>
      <c r="UI17" s="493">
        <f t="shared" ref="UI17" si="2222">((UI40+UJ40)-(UI39+UJ39))/2</f>
        <v>0</v>
      </c>
      <c r="UJ17" s="494"/>
      <c r="UK17" s="493">
        <f t="shared" ref="UK17" si="2223">((UK40+UL40)-(UK39+UL39))/2</f>
        <v>0</v>
      </c>
      <c r="UL17" s="494"/>
      <c r="UM17" s="493">
        <f t="shared" si="165"/>
        <v>0</v>
      </c>
      <c r="UN17" s="494"/>
      <c r="UO17" s="493">
        <f t="shared" ref="UO17" si="2224">((UO40+UP40)-(UO39+UP39))/2</f>
        <v>0</v>
      </c>
      <c r="UP17" s="494"/>
      <c r="UQ17" s="493">
        <f t="shared" ref="UQ17" si="2225">((UQ40+UR40)-(UQ39+UR39))/2</f>
        <v>0</v>
      </c>
      <c r="UR17" s="494"/>
      <c r="US17" s="493">
        <f t="shared" si="168"/>
        <v>0</v>
      </c>
      <c r="UT17" s="494"/>
      <c r="UU17" s="493">
        <f t="shared" ref="UU17" si="2226">((UU40+UV40)-(UU39+UV39))/2</f>
        <v>0</v>
      </c>
      <c r="UV17" s="494"/>
      <c r="UW17" s="493">
        <f t="shared" ref="UW17" si="2227">((UW40+UX40)-(UW39+UX39))/2</f>
        <v>0</v>
      </c>
      <c r="UX17" s="494"/>
      <c r="UY17" s="493">
        <f t="shared" si="171"/>
        <v>0</v>
      </c>
      <c r="UZ17" s="494"/>
      <c r="VA17" s="493">
        <f t="shared" ref="VA17" si="2228">((VA40+VB40)-(VA39+VB39))/2</f>
        <v>0</v>
      </c>
      <c r="VB17" s="494"/>
      <c r="VC17" s="493">
        <f t="shared" ref="VC17" si="2229">((VC40+VD40)-(VC39+VD39))/2</f>
        <v>0</v>
      </c>
      <c r="VD17" s="494"/>
      <c r="VE17" s="493">
        <f t="shared" si="464"/>
        <v>0</v>
      </c>
      <c r="VF17" s="494"/>
      <c r="VG17" s="493">
        <f t="shared" ref="VG17" si="2230">((VG40+VH40)-(VG39+VH39))/2</f>
        <v>0</v>
      </c>
      <c r="VH17" s="494"/>
      <c r="VI17" s="493">
        <f t="shared" ref="VI17" si="2231">((VI40+VJ40)-(VI39+VJ39))/2</f>
        <v>0</v>
      </c>
      <c r="VJ17" s="494"/>
      <c r="VK17" s="493">
        <f t="shared" si="467"/>
        <v>0</v>
      </c>
      <c r="VL17" s="494"/>
      <c r="VM17" s="493">
        <f t="shared" ref="VM17" si="2232">((VM40+VN40)-(VM39+VN39))/2</f>
        <v>0</v>
      </c>
      <c r="VN17" s="494"/>
      <c r="VO17" s="493">
        <f t="shared" ref="VO17" si="2233">((VO40+VP40)-(VO39+VP39))/2</f>
        <v>0</v>
      </c>
      <c r="VP17" s="494"/>
      <c r="VQ17" s="493">
        <f t="shared" si="178"/>
        <v>0</v>
      </c>
      <c r="VR17" s="494"/>
      <c r="VS17" s="493">
        <f t="shared" ref="VS17" si="2234">((VS40+VT40)-(VS39+VT39))/2</f>
        <v>0</v>
      </c>
      <c r="VT17" s="494"/>
      <c r="VU17" s="493">
        <f t="shared" si="1936"/>
        <v>0</v>
      </c>
      <c r="VV17" s="494"/>
      <c r="VW17" s="493">
        <f t="shared" si="181"/>
        <v>0</v>
      </c>
      <c r="VX17" s="494"/>
      <c r="VY17" s="493">
        <f t="shared" ref="VY17" si="2235">((VY40+VZ40)-(VY39+VZ39))/2</f>
        <v>0</v>
      </c>
      <c r="VZ17" s="494"/>
      <c r="WA17" s="493">
        <f t="shared" si="1067"/>
        <v>0</v>
      </c>
      <c r="WB17" s="494"/>
      <c r="WC17" s="493">
        <f t="shared" si="184"/>
        <v>0</v>
      </c>
      <c r="WD17" s="494"/>
      <c r="WE17" s="493">
        <f t="shared" ref="WE17" si="2236">((WE40+WF40)-(WE39+WF39))/2</f>
        <v>0</v>
      </c>
      <c r="WF17" s="494"/>
      <c r="WG17" s="493">
        <f t="shared" ref="WG17" si="2237">((WG40+WH40)-(WG39+WH39))/2</f>
        <v>0</v>
      </c>
      <c r="WH17" s="494"/>
      <c r="WI17" s="493">
        <f t="shared" si="187"/>
        <v>0</v>
      </c>
      <c r="WJ17" s="494"/>
      <c r="WK17" s="493">
        <f t="shared" ref="WK17" si="2238">((WK40+WL40)-(WK39+WL39))/2</f>
        <v>0</v>
      </c>
      <c r="WL17" s="494"/>
      <c r="WM17" s="493">
        <f t="shared" ref="WM17" si="2239">((WM40+WN40)-(WM39+WN39))/2</f>
        <v>0</v>
      </c>
      <c r="WN17" s="494"/>
      <c r="WO17" s="493">
        <f t="shared" si="190"/>
        <v>0</v>
      </c>
      <c r="WP17" s="494"/>
      <c r="WQ17" s="493">
        <f t="shared" si="477"/>
        <v>0</v>
      </c>
      <c r="WR17" s="494"/>
      <c r="WS17" s="493">
        <f t="shared" ref="WS17" si="2240">((WS40+WT40)-(WS39+WT39))/2</f>
        <v>0</v>
      </c>
      <c r="WT17" s="494"/>
      <c r="WU17" s="493">
        <f t="shared" si="193"/>
        <v>0</v>
      </c>
      <c r="WV17" s="494"/>
      <c r="WW17" s="493">
        <f t="shared" ref="WW17" si="2241">((WW40+WX40)-(WW39+WX39))/2</f>
        <v>0</v>
      </c>
      <c r="WX17" s="494"/>
      <c r="WY17" s="493">
        <f t="shared" ref="WY17" si="2242">((WY40+WZ40)-(WY39+WZ39))/2</f>
        <v>0</v>
      </c>
      <c r="WZ17" s="494"/>
      <c r="XA17" s="493">
        <f t="shared" si="196"/>
        <v>0</v>
      </c>
      <c r="XB17" s="494"/>
      <c r="XC17" s="493">
        <f t="shared" ref="XC17" si="2243">((XC40+XD40)-(XC39+XD39))/2</f>
        <v>0</v>
      </c>
      <c r="XD17" s="494"/>
      <c r="XE17" s="493">
        <f t="shared" ref="XE17" si="2244">((XE40+XF40)-(XE39+XF39))/2</f>
        <v>0</v>
      </c>
      <c r="XF17" s="494"/>
      <c r="XG17" s="493">
        <f t="shared" si="199"/>
        <v>0</v>
      </c>
      <c r="XH17" s="494"/>
      <c r="XI17" s="493">
        <f t="shared" ref="XI17" si="2245">((XI40+XJ40)-(XI39+XJ39))/2</f>
        <v>0</v>
      </c>
      <c r="XJ17" s="494"/>
      <c r="XK17" s="493">
        <f t="shared" ref="XK17" si="2246">((XK40+XL40)-(XK39+XL39))/2</f>
        <v>0</v>
      </c>
      <c r="XL17" s="494"/>
      <c r="XM17" s="493">
        <f t="shared" si="202"/>
        <v>0</v>
      </c>
      <c r="XN17" s="494"/>
      <c r="XO17" s="493">
        <f t="shared" si="933"/>
        <v>0</v>
      </c>
      <c r="XP17" s="494"/>
      <c r="XQ17" s="493">
        <f t="shared" ref="XQ17" si="2247">((XQ40+XR40)-(XQ39+XR39))/2</f>
        <v>0</v>
      </c>
      <c r="XR17" s="494"/>
      <c r="XS17" s="493">
        <f t="shared" si="205"/>
        <v>0</v>
      </c>
      <c r="XT17" s="494"/>
      <c r="XU17" s="493">
        <f t="shared" ref="XU17" si="2248">((XU40+XV40)-(XU39+XV39))/2</f>
        <v>0</v>
      </c>
      <c r="XV17" s="494"/>
      <c r="XW17" s="493">
        <f t="shared" ref="XW17" si="2249">((XW40+XX40)-(XW39+XX39))/2</f>
        <v>0</v>
      </c>
      <c r="XX17" s="494"/>
      <c r="XY17" s="493">
        <f t="shared" si="208"/>
        <v>0</v>
      </c>
      <c r="XZ17" s="494"/>
      <c r="YA17" s="493">
        <f t="shared" ref="YA17" si="2250">((YA40+YB40)-(YA39+YB39))/2</f>
        <v>0</v>
      </c>
      <c r="YB17" s="494"/>
      <c r="YC17" s="493">
        <f t="shared" ref="YC17" si="2251">((YC40+YD40)-(YC39+YD39))/2</f>
        <v>0</v>
      </c>
      <c r="YD17" s="494"/>
      <c r="YE17" s="493">
        <f>((YE41+YF40)-(YE40+YF39))/2</f>
        <v>0</v>
      </c>
      <c r="YF17" s="494"/>
      <c r="YG17" s="493">
        <f t="shared" ref="YG17" si="2252">((YG40+YH40)-(YG39+YH39))/2</f>
        <v>0</v>
      </c>
      <c r="YH17" s="494"/>
      <c r="YI17" s="493">
        <f t="shared" ref="YI17" si="2253">((YI40+YJ40)-(YI39+YJ39))/2</f>
        <v>0</v>
      </c>
      <c r="YJ17" s="494"/>
      <c r="YK17" s="493">
        <f t="shared" si="214"/>
        <v>0</v>
      </c>
      <c r="YL17" s="494"/>
      <c r="YM17" s="493">
        <f t="shared" ref="YM17" si="2254">((YM40+YN40)-(YM39+YN39))/2</f>
        <v>0</v>
      </c>
      <c r="YN17" s="494"/>
      <c r="YO17" s="493">
        <f t="shared" ref="YO17:YO19" si="2255">((YO41+YP41)-(YO40+YP40))/2</f>
        <v>0</v>
      </c>
      <c r="YP17" s="494"/>
      <c r="YQ17" s="493">
        <f t="shared" si="217"/>
        <v>0</v>
      </c>
      <c r="YR17" s="494"/>
      <c r="YS17" s="493">
        <f t="shared" ref="YS17" si="2256">((YS40+YT40)-(YS39+YT39))/2</f>
        <v>0</v>
      </c>
      <c r="YT17" s="494"/>
      <c r="YU17" s="493">
        <f t="shared" ref="YU17" si="2257">((YU40+YV40)-(YU39+YV39))/2</f>
        <v>0</v>
      </c>
      <c r="YV17" s="494"/>
      <c r="YW17" s="493">
        <f t="shared" si="220"/>
        <v>0</v>
      </c>
      <c r="YX17" s="494"/>
      <c r="YY17" s="493">
        <f t="shared" si="496"/>
        <v>0</v>
      </c>
      <c r="YZ17" s="494"/>
      <c r="ZA17" s="493">
        <f t="shared" ref="ZA17" si="2258">((ZA40+ZB40)-(ZA39+ZB39))/2</f>
        <v>0</v>
      </c>
      <c r="ZB17" s="494"/>
      <c r="ZC17" s="493">
        <f t="shared" si="1239"/>
        <v>0</v>
      </c>
      <c r="ZD17" s="494"/>
      <c r="ZE17" s="493">
        <f t="shared" ref="ZE17" si="2259">((ZE40+ZF40)-(ZE39+ZF39))/2</f>
        <v>0</v>
      </c>
      <c r="ZF17" s="494"/>
      <c r="ZG17" s="493">
        <f t="shared" ref="ZG17" si="2260">((ZG40+ZH40)-(ZG39+ZH39))/2</f>
        <v>0</v>
      </c>
      <c r="ZH17" s="494"/>
      <c r="ZI17" s="493">
        <f t="shared" si="2110"/>
        <v>0</v>
      </c>
      <c r="ZJ17" s="494"/>
      <c r="ZK17" s="493">
        <f t="shared" ref="ZK17" si="2261">((ZK40+ZL40)-(ZK39+ZL39))/2</f>
        <v>0</v>
      </c>
      <c r="ZL17" s="494"/>
      <c r="ZM17" s="493">
        <f t="shared" ref="ZM17" si="2262">((ZM40+ZN40)-(ZM39+ZN39))/2</f>
        <v>0</v>
      </c>
      <c r="ZN17" s="494"/>
      <c r="ZO17" s="493">
        <f t="shared" si="502"/>
        <v>0</v>
      </c>
      <c r="ZP17" s="494"/>
      <c r="ZQ17" s="493">
        <f t="shared" ref="ZQ17" si="2263">((ZQ40+ZR40)-(ZQ39+ZR39))/2</f>
        <v>0</v>
      </c>
      <c r="ZR17" s="494"/>
      <c r="ZS17" s="493">
        <f t="shared" ref="ZS17" si="2264">((ZS40+ZT40)-(ZS39+ZT39))/2</f>
        <v>0</v>
      </c>
      <c r="ZT17" s="494"/>
      <c r="ZU17" s="493">
        <f t="shared" si="230"/>
        <v>0</v>
      </c>
      <c r="ZV17" s="494"/>
      <c r="ZW17" s="493">
        <f t="shared" ref="ZW17" si="2265">((ZW40+ZX40)-(ZW39+ZX39))/2</f>
        <v>0</v>
      </c>
      <c r="ZX17" s="494"/>
      <c r="ZY17" s="493">
        <f t="shared" ref="ZY17" si="2266">((ZY40+ZZ40)-(ZY39+ZZ39))/2</f>
        <v>0</v>
      </c>
      <c r="ZZ17" s="494"/>
      <c r="AAA17" s="493">
        <f t="shared" si="233"/>
        <v>0</v>
      </c>
      <c r="AAB17" s="494"/>
      <c r="AAC17" s="493">
        <f t="shared" ref="AAC17" si="2267">((AAC40+AAD40)-(AAC39+AAD39))/2</f>
        <v>0</v>
      </c>
      <c r="AAD17" s="494"/>
      <c r="AAE17" s="493">
        <f t="shared" ref="AAE17" si="2268">((AAE40+AAF40)-(AAE39+AAF39))/2</f>
        <v>0</v>
      </c>
      <c r="AAF17" s="494"/>
      <c r="AAG17" s="493">
        <f t="shared" si="236"/>
        <v>0</v>
      </c>
      <c r="AAH17" s="494"/>
      <c r="AAI17" s="493">
        <f t="shared" ref="AAI17" si="2269">((AAI40+AAJ40)-(AAI39+AAJ39))/2</f>
        <v>0</v>
      </c>
      <c r="AAJ17" s="494"/>
      <c r="AAK17" s="493">
        <f t="shared" ref="AAK17" si="2270">((AAK40+AAL40)-(AAK39+AAL39))/2</f>
        <v>0</v>
      </c>
      <c r="AAL17" s="494"/>
      <c r="AAM17" s="493">
        <f t="shared" si="239"/>
        <v>0</v>
      </c>
      <c r="AAN17" s="494"/>
      <c r="AAO17" s="493">
        <f t="shared" ref="AAO17" si="2271">((AAO40+AAP40)-(AAO39+AAP39))/2</f>
        <v>0</v>
      </c>
      <c r="AAP17" s="494"/>
      <c r="AAQ17" s="493">
        <f t="shared" ref="AAQ17" si="2272">((AAQ40+AAR40)-(AAQ39+AAR39))/2</f>
        <v>0</v>
      </c>
      <c r="AAR17" s="494"/>
      <c r="AAS17" s="493">
        <f t="shared" si="241"/>
        <v>0</v>
      </c>
      <c r="AAT17" s="494"/>
      <c r="AAU17" s="493">
        <f t="shared" ref="AAU17" si="2273">((AAU40+AAV40)-(AAU39+AAV39))/2</f>
        <v>0</v>
      </c>
      <c r="AAV17" s="494"/>
      <c r="AAW17" s="493">
        <f t="shared" ref="AAW17" si="2274">((AAW40+AAX40)-(AAW39+AAX39))/2</f>
        <v>0</v>
      </c>
      <c r="AAX17" s="494"/>
      <c r="AAY17" s="493">
        <f t="shared" si="1829"/>
        <v>0</v>
      </c>
      <c r="AAZ17" s="494"/>
      <c r="ABA17" s="493">
        <f t="shared" ref="ABA17" si="2275">((ABA40+ABB40)-(ABA39+ABB39))/2</f>
        <v>0</v>
      </c>
      <c r="ABB17" s="494"/>
      <c r="ABC17" s="493">
        <f t="shared" ref="ABC17" si="2276">((ABC40+ABD40)-(ABC39+ABD39))/2</f>
        <v>0</v>
      </c>
      <c r="ABD17" s="494"/>
      <c r="ABE17" s="379">
        <f t="shared" si="516"/>
        <v>0</v>
      </c>
      <c r="ABF17" s="377"/>
      <c r="ABG17" s="481"/>
      <c r="ABH17" s="481"/>
      <c r="ABI17" s="481"/>
      <c r="ABJ17" s="481"/>
      <c r="ABK17" s="481"/>
      <c r="ABL17" s="481"/>
      <c r="ABM17" s="481"/>
      <c r="ABN17" s="481"/>
      <c r="ABO17" s="481"/>
      <c r="ABP17" s="481"/>
      <c r="ABQ17" s="481"/>
      <c r="ABR17" s="481"/>
      <c r="ABS17" s="481"/>
      <c r="ABT17" s="481"/>
      <c r="ABU17" s="481"/>
      <c r="ABV17" s="481"/>
      <c r="ABW17" s="481"/>
      <c r="ABX17" s="481"/>
      <c r="ABY17" s="481"/>
      <c r="ABZ17" s="481"/>
      <c r="ACA17" s="481"/>
      <c r="ACB17" s="481"/>
      <c r="ACC17" s="481"/>
      <c r="ACD17" s="481"/>
      <c r="ACE17" s="481"/>
      <c r="ACF17" s="481"/>
      <c r="ACG17" s="481"/>
      <c r="ACH17" s="481"/>
      <c r="ACI17" s="481"/>
      <c r="ACJ17" s="481"/>
      <c r="ACK17" s="481"/>
      <c r="ACL17" s="481"/>
      <c r="ACM17" s="481"/>
      <c r="ACN17" s="481"/>
      <c r="ACO17" s="481"/>
      <c r="ACP17" s="481"/>
      <c r="ACQ17" s="481"/>
      <c r="ACR17" s="481"/>
      <c r="ACS17" s="481"/>
      <c r="ACT17" s="481"/>
      <c r="ACU17" s="481"/>
      <c r="ACV17" s="481"/>
      <c r="ACW17" s="481"/>
      <c r="ACX17" s="481"/>
      <c r="ACY17" s="481"/>
      <c r="ACZ17" s="481"/>
      <c r="ADA17" s="481"/>
      <c r="ADB17" s="481"/>
      <c r="ADC17" s="481"/>
      <c r="ADD17" s="481"/>
      <c r="ADE17" s="481"/>
      <c r="ADF17" s="481"/>
      <c r="ADG17" s="481"/>
      <c r="ADH17" s="481"/>
      <c r="ADI17" s="481"/>
      <c r="ADJ17" s="481"/>
      <c r="ADK17" s="335"/>
      <c r="ADL17" s="335"/>
      <c r="ADM17" s="335"/>
      <c r="ADN17" s="335"/>
      <c r="ADO17" s="335"/>
      <c r="ADP17" s="335"/>
      <c r="ADQ17" s="335"/>
      <c r="ADR17" s="335"/>
      <c r="ADS17" s="335"/>
      <c r="ADT17" s="335"/>
      <c r="ADU17" s="335"/>
      <c r="ADV17" s="335"/>
      <c r="ADW17" s="335"/>
      <c r="ADX17" s="335"/>
      <c r="ADY17" s="335"/>
      <c r="ADZ17" s="335"/>
      <c r="AEA17" s="335"/>
      <c r="AEB17" s="335"/>
      <c r="AEC17" s="335"/>
      <c r="AED17" s="335"/>
      <c r="AEE17" s="335"/>
      <c r="AEF17" s="335"/>
      <c r="AEG17" s="335"/>
      <c r="AEH17" s="335"/>
      <c r="AEI17" s="335"/>
      <c r="AEJ17" s="335"/>
      <c r="AEK17" s="335"/>
      <c r="AEL17" s="335"/>
      <c r="AEM17" s="335"/>
      <c r="AEN17" s="335"/>
      <c r="AEO17" s="335"/>
      <c r="AEP17" s="335"/>
      <c r="AEQ17" s="335"/>
      <c r="AER17" s="335"/>
      <c r="AES17" s="335"/>
      <c r="AET17" s="335"/>
      <c r="AEU17" s="335"/>
      <c r="AEV17" s="335"/>
      <c r="AEW17" s="335"/>
      <c r="AEX17" s="335"/>
      <c r="AEY17" s="335"/>
      <c r="AEZ17" s="335"/>
      <c r="AFA17" s="335"/>
      <c r="AFB17" s="335"/>
      <c r="AFC17" s="335"/>
      <c r="AFD17" s="335"/>
      <c r="AFE17" s="335"/>
      <c r="AFF17" s="335"/>
      <c r="AFG17" s="335"/>
      <c r="AFH17" s="335"/>
      <c r="AFI17" s="335"/>
      <c r="AFJ17" s="335"/>
      <c r="AFK17" s="335"/>
      <c r="AFL17" s="335"/>
      <c r="AFM17" s="335"/>
      <c r="AFN17" s="335"/>
      <c r="AFO17" s="335"/>
      <c r="AFP17" s="335"/>
      <c r="AFQ17" s="335"/>
      <c r="AFR17" s="335"/>
      <c r="AFS17" s="335"/>
      <c r="AFT17" s="335"/>
      <c r="AFU17" s="335"/>
      <c r="AFV17" s="335"/>
      <c r="AFW17" s="335"/>
      <c r="AFX17" s="335"/>
      <c r="AFY17" s="335"/>
      <c r="AFZ17" s="335"/>
      <c r="AGA17" s="335"/>
      <c r="AGB17" s="335"/>
      <c r="AGC17" s="335"/>
      <c r="AGD17" s="335"/>
      <c r="AGE17" s="335"/>
      <c r="AGF17" s="335"/>
      <c r="AGG17" s="335"/>
      <c r="AGH17" s="335"/>
      <c r="AGI17" s="335"/>
      <c r="AGJ17" s="335"/>
      <c r="AGK17" s="335"/>
      <c r="AGL17" s="335"/>
      <c r="AGM17" s="335"/>
      <c r="AGN17" s="335"/>
      <c r="AGO17" s="335"/>
      <c r="AGP17" s="335"/>
      <c r="AGQ17" s="335"/>
      <c r="AGR17" s="335"/>
      <c r="AGS17" s="335"/>
      <c r="AGT17" s="335"/>
      <c r="AGU17" s="335"/>
      <c r="AGV17" s="335"/>
      <c r="AGW17" s="335"/>
      <c r="AGX17" s="335"/>
      <c r="AGY17" s="335"/>
      <c r="AGZ17" s="335"/>
      <c r="AHA17" s="335"/>
      <c r="AHB17" s="335"/>
      <c r="AHC17" s="335"/>
      <c r="AHD17" s="335"/>
      <c r="AHE17" s="335"/>
      <c r="AHF17" s="335"/>
      <c r="AHG17" s="335"/>
      <c r="AHH17" s="335"/>
      <c r="AHI17" s="335"/>
      <c r="AHJ17" s="335"/>
      <c r="AHK17" s="335"/>
      <c r="AHL17" s="335"/>
      <c r="AHM17" s="335"/>
      <c r="AHN17" s="335"/>
      <c r="AHO17" s="335"/>
      <c r="AHP17" s="335"/>
      <c r="AHQ17" s="335"/>
      <c r="AHR17" s="335"/>
      <c r="AHS17" s="335"/>
      <c r="AHT17" s="335"/>
      <c r="AHU17" s="335"/>
      <c r="AHV17" s="335"/>
      <c r="AHW17" s="335"/>
      <c r="AHX17" s="335"/>
      <c r="AHY17" s="335"/>
      <c r="AHZ17" s="335"/>
      <c r="AIA17" s="335"/>
      <c r="AIB17" s="335"/>
      <c r="AIC17" s="339"/>
    </row>
    <row r="18" spans="1:913" s="161" customFormat="1">
      <c r="A18" s="172"/>
      <c r="B18" s="177">
        <v>0.95833333333333304</v>
      </c>
      <c r="C18" s="493">
        <f t="shared" si="246"/>
        <v>0</v>
      </c>
      <c r="D18" s="494"/>
      <c r="E18" s="493">
        <f t="shared" si="0"/>
        <v>0</v>
      </c>
      <c r="F18" s="494"/>
      <c r="G18" s="493">
        <f t="shared" si="1"/>
        <v>0</v>
      </c>
      <c r="H18" s="494"/>
      <c r="I18" s="493">
        <f t="shared" si="1690"/>
        <v>0</v>
      </c>
      <c r="J18" s="494"/>
      <c r="K18" s="493">
        <f t="shared" si="2"/>
        <v>0</v>
      </c>
      <c r="L18" s="494"/>
      <c r="M18" s="493">
        <f t="shared" si="3"/>
        <v>0</v>
      </c>
      <c r="N18" s="494"/>
      <c r="O18" s="493">
        <f t="shared" si="517"/>
        <v>0</v>
      </c>
      <c r="P18" s="494"/>
      <c r="Q18" s="493">
        <f t="shared" si="248"/>
        <v>0</v>
      </c>
      <c r="R18" s="494"/>
      <c r="S18" s="493">
        <f t="shared" si="249"/>
        <v>0</v>
      </c>
      <c r="T18" s="494"/>
      <c r="U18" s="493">
        <f t="shared" si="250"/>
        <v>0</v>
      </c>
      <c r="V18" s="494"/>
      <c r="W18" s="493">
        <f t="shared" si="1974"/>
        <v>0</v>
      </c>
      <c r="X18" s="494"/>
      <c r="Y18" s="493">
        <f t="shared" si="252"/>
        <v>0</v>
      </c>
      <c r="Z18" s="494"/>
      <c r="AA18" s="493">
        <f t="shared" si="253"/>
        <v>0</v>
      </c>
      <c r="AB18" s="494"/>
      <c r="AC18" s="493">
        <f t="shared" si="254"/>
        <v>0</v>
      </c>
      <c r="AD18" s="494"/>
      <c r="AE18" s="493">
        <f t="shared" si="255"/>
        <v>0</v>
      </c>
      <c r="AF18" s="494"/>
      <c r="AG18" s="493">
        <f t="shared" si="2125"/>
        <v>0</v>
      </c>
      <c r="AH18" s="494"/>
      <c r="AI18" s="493">
        <f>((AI41+AJ41)-(AI40+AJ40))/2</f>
        <v>0</v>
      </c>
      <c r="AJ18" s="494"/>
      <c r="AK18" s="493">
        <f t="shared" si="258"/>
        <v>0</v>
      </c>
      <c r="AL18" s="494"/>
      <c r="AM18" s="493">
        <f t="shared" si="259"/>
        <v>0</v>
      </c>
      <c r="AN18" s="494"/>
      <c r="AO18" s="493">
        <f t="shared" si="260"/>
        <v>0</v>
      </c>
      <c r="AP18" s="494"/>
      <c r="AQ18" s="493">
        <f t="shared" si="261"/>
        <v>0</v>
      </c>
      <c r="AR18" s="494"/>
      <c r="AS18" s="493">
        <f t="shared" si="262"/>
        <v>0</v>
      </c>
      <c r="AT18" s="494"/>
      <c r="AU18" s="493">
        <f t="shared" si="263"/>
        <v>0</v>
      </c>
      <c r="AV18" s="494"/>
      <c r="AW18" s="493">
        <f t="shared" si="264"/>
        <v>0</v>
      </c>
      <c r="AX18" s="494"/>
      <c r="AY18" s="493">
        <f t="shared" si="265"/>
        <v>0</v>
      </c>
      <c r="AZ18" s="494"/>
      <c r="BA18" s="493">
        <f t="shared" si="266"/>
        <v>0</v>
      </c>
      <c r="BB18" s="494"/>
      <c r="BC18" s="493">
        <f t="shared" si="267"/>
        <v>0</v>
      </c>
      <c r="BD18" s="494"/>
      <c r="BE18" s="493">
        <f t="shared" si="268"/>
        <v>0</v>
      </c>
      <c r="BF18" s="494"/>
      <c r="BG18" s="493">
        <f t="shared" si="269"/>
        <v>0</v>
      </c>
      <c r="BH18" s="494"/>
      <c r="BI18" s="493">
        <f t="shared" si="270"/>
        <v>0</v>
      </c>
      <c r="BJ18" s="494"/>
      <c r="BK18" s="493">
        <f t="shared" si="271"/>
        <v>0</v>
      </c>
      <c r="BL18" s="494"/>
      <c r="BM18" s="493">
        <f t="shared" si="272"/>
        <v>0</v>
      </c>
      <c r="BN18" s="494"/>
      <c r="BO18" s="493">
        <f t="shared" si="273"/>
        <v>0</v>
      </c>
      <c r="BP18" s="494"/>
      <c r="BQ18" s="493">
        <f t="shared" si="274"/>
        <v>0</v>
      </c>
      <c r="BR18" s="494"/>
      <c r="BS18" s="493">
        <f t="shared" si="275"/>
        <v>0</v>
      </c>
      <c r="BT18" s="494"/>
      <c r="BU18" s="493">
        <f t="shared" si="276"/>
        <v>0</v>
      </c>
      <c r="BV18" s="494"/>
      <c r="BW18" s="493">
        <f t="shared" si="665"/>
        <v>0</v>
      </c>
      <c r="BX18" s="494"/>
      <c r="BY18" s="493">
        <f t="shared" si="277"/>
        <v>0</v>
      </c>
      <c r="BZ18" s="494"/>
      <c r="CA18" s="493">
        <f t="shared" si="278"/>
        <v>0</v>
      </c>
      <c r="CB18" s="494"/>
      <c r="CC18" s="493">
        <f t="shared" si="279"/>
        <v>0</v>
      </c>
      <c r="CD18" s="494"/>
      <c r="CE18" s="493">
        <f t="shared" si="280"/>
        <v>0</v>
      </c>
      <c r="CF18" s="494"/>
      <c r="CG18" s="493">
        <f t="shared" si="281"/>
        <v>0</v>
      </c>
      <c r="CH18" s="494"/>
      <c r="CI18" s="493">
        <f t="shared" si="282"/>
        <v>0</v>
      </c>
      <c r="CJ18" s="494"/>
      <c r="CK18" s="493">
        <f>((CK41+CL41)-(CK40+CL40))/2</f>
        <v>0</v>
      </c>
      <c r="CL18" s="494"/>
      <c r="CM18" s="493">
        <f>((CM41+CN41)-(CM40+CN40))/2</f>
        <v>0</v>
      </c>
      <c r="CN18" s="494"/>
      <c r="CO18" s="493">
        <f t="shared" si="285"/>
        <v>0</v>
      </c>
      <c r="CP18" s="494"/>
      <c r="CQ18" s="493">
        <f t="shared" si="2126"/>
        <v>0</v>
      </c>
      <c r="CR18" s="494"/>
      <c r="CS18" s="493">
        <f t="shared" si="287"/>
        <v>0</v>
      </c>
      <c r="CT18" s="494"/>
      <c r="CU18" s="493">
        <f t="shared" ref="CU18:CU21" si="2277">((CU41+CV41)-(CU40+CV40))/2</f>
        <v>0</v>
      </c>
      <c r="CV18" s="494"/>
      <c r="CW18" s="493">
        <f t="shared" si="289"/>
        <v>0</v>
      </c>
      <c r="CX18" s="494"/>
      <c r="CY18" s="493">
        <f t="shared" si="290"/>
        <v>0</v>
      </c>
      <c r="CZ18" s="494"/>
      <c r="DA18" s="493">
        <f t="shared" si="291"/>
        <v>0</v>
      </c>
      <c r="DB18" s="494"/>
      <c r="DC18" s="493">
        <f t="shared" si="292"/>
        <v>0</v>
      </c>
      <c r="DD18" s="494"/>
      <c r="DE18" s="493">
        <f t="shared" si="293"/>
        <v>0</v>
      </c>
      <c r="DF18" s="494"/>
      <c r="DG18" s="493">
        <f t="shared" si="294"/>
        <v>0</v>
      </c>
      <c r="DH18" s="494"/>
      <c r="DI18" s="493">
        <f t="shared" si="295"/>
        <v>0</v>
      </c>
      <c r="DJ18" s="494"/>
      <c r="DK18" s="493">
        <f t="shared" si="296"/>
        <v>0</v>
      </c>
      <c r="DL18" s="494"/>
      <c r="DM18" s="493">
        <f t="shared" si="297"/>
        <v>0</v>
      </c>
      <c r="DN18" s="494"/>
      <c r="DO18" s="493">
        <f t="shared" si="298"/>
        <v>0</v>
      </c>
      <c r="DP18" s="494"/>
      <c r="DQ18" s="493">
        <f t="shared" si="666"/>
        <v>0</v>
      </c>
      <c r="DR18" s="494"/>
      <c r="DS18" s="493">
        <f t="shared" si="300"/>
        <v>0</v>
      </c>
      <c r="DT18" s="494"/>
      <c r="DU18" s="493">
        <f t="shared" si="301"/>
        <v>0</v>
      </c>
      <c r="DV18" s="494"/>
      <c r="DW18" s="493">
        <f t="shared" si="302"/>
        <v>0</v>
      </c>
      <c r="DX18" s="494"/>
      <c r="DY18" s="493">
        <f t="shared" si="303"/>
        <v>0</v>
      </c>
      <c r="DZ18" s="494"/>
      <c r="EA18" s="493">
        <f t="shared" si="304"/>
        <v>0</v>
      </c>
      <c r="EB18" s="494"/>
      <c r="EC18" s="493">
        <f t="shared" si="305"/>
        <v>0</v>
      </c>
      <c r="ED18" s="494"/>
      <c r="EE18" s="493">
        <f>((EE41+EF41)-(EE40+EF40))/2</f>
        <v>0</v>
      </c>
      <c r="EF18" s="494"/>
      <c r="EG18" s="493">
        <f t="shared" si="1544"/>
        <v>0</v>
      </c>
      <c r="EH18" s="494"/>
      <c r="EI18" s="493">
        <f t="shared" si="1545"/>
        <v>0</v>
      </c>
      <c r="EJ18" s="494"/>
      <c r="EK18" s="493">
        <f t="shared" si="1546"/>
        <v>0</v>
      </c>
      <c r="EL18" s="494"/>
      <c r="EM18" s="493">
        <f t="shared" si="1547"/>
        <v>0</v>
      </c>
      <c r="EN18" s="494"/>
      <c r="EO18" s="493">
        <f t="shared" si="2127"/>
        <v>0</v>
      </c>
      <c r="EP18" s="494"/>
      <c r="EQ18" s="493">
        <f t="shared" si="307"/>
        <v>0</v>
      </c>
      <c r="ER18" s="494"/>
      <c r="ES18" s="493">
        <f t="shared" si="308"/>
        <v>0</v>
      </c>
      <c r="ET18" s="494"/>
      <c r="EU18" s="493">
        <f t="shared" si="309"/>
        <v>0</v>
      </c>
      <c r="EV18" s="494"/>
      <c r="EW18" s="493">
        <f t="shared" si="310"/>
        <v>0</v>
      </c>
      <c r="EX18" s="494"/>
      <c r="EY18" s="493">
        <f t="shared" si="311"/>
        <v>0</v>
      </c>
      <c r="EZ18" s="494"/>
      <c r="FA18" s="493">
        <f t="shared" si="312"/>
        <v>0</v>
      </c>
      <c r="FB18" s="494"/>
      <c r="FC18" s="493">
        <f t="shared" si="313"/>
        <v>0</v>
      </c>
      <c r="FD18" s="494"/>
      <c r="FE18" s="493">
        <f t="shared" si="314"/>
        <v>0</v>
      </c>
      <c r="FF18" s="494"/>
      <c r="FG18" s="493">
        <f t="shared" si="315"/>
        <v>0</v>
      </c>
      <c r="FH18" s="494"/>
      <c r="FI18" s="493">
        <f t="shared" si="316"/>
        <v>0</v>
      </c>
      <c r="FJ18" s="494"/>
      <c r="FK18" s="493">
        <f t="shared" si="317"/>
        <v>0</v>
      </c>
      <c r="FL18" s="494"/>
      <c r="FM18" s="493">
        <f t="shared" si="318"/>
        <v>0</v>
      </c>
      <c r="FN18" s="494"/>
      <c r="FO18" s="493">
        <f t="shared" si="319"/>
        <v>0</v>
      </c>
      <c r="FP18" s="494"/>
      <c r="FQ18" s="493">
        <f t="shared" si="320"/>
        <v>0</v>
      </c>
      <c r="FR18" s="494"/>
      <c r="FS18" s="493">
        <f t="shared" si="321"/>
        <v>0</v>
      </c>
      <c r="FT18" s="494"/>
      <c r="FU18" s="493">
        <f t="shared" si="322"/>
        <v>0</v>
      </c>
      <c r="FV18" s="494"/>
      <c r="FW18" s="493">
        <f t="shared" si="323"/>
        <v>0</v>
      </c>
      <c r="FX18" s="494"/>
      <c r="FY18" s="493">
        <f t="shared" si="324"/>
        <v>0</v>
      </c>
      <c r="FZ18" s="494"/>
      <c r="GA18" s="493">
        <f t="shared" si="325"/>
        <v>0</v>
      </c>
      <c r="GB18" s="494"/>
      <c r="GC18" s="493">
        <f t="shared" si="326"/>
        <v>0</v>
      </c>
      <c r="GD18" s="494"/>
      <c r="GE18" s="493">
        <f t="shared" si="327"/>
        <v>0</v>
      </c>
      <c r="GF18" s="494"/>
      <c r="GG18" s="493">
        <f t="shared" si="328"/>
        <v>0</v>
      </c>
      <c r="GH18" s="494"/>
      <c r="GI18" s="493">
        <f t="shared" si="329"/>
        <v>0</v>
      </c>
      <c r="GJ18" s="494"/>
      <c r="GK18" s="493">
        <f t="shared" si="330"/>
        <v>0</v>
      </c>
      <c r="GL18" s="494"/>
      <c r="GM18" s="493">
        <f t="shared" si="331"/>
        <v>0</v>
      </c>
      <c r="GN18" s="494"/>
      <c r="GO18" s="493">
        <f t="shared" si="1976"/>
        <v>0</v>
      </c>
      <c r="GP18" s="494"/>
      <c r="GQ18" s="493">
        <f t="shared" si="333"/>
        <v>0</v>
      </c>
      <c r="GR18" s="494"/>
      <c r="GS18" s="493">
        <f t="shared" si="334"/>
        <v>0</v>
      </c>
      <c r="GT18" s="494"/>
      <c r="GU18" s="493">
        <f t="shared" si="1109"/>
        <v>0</v>
      </c>
      <c r="GV18" s="494"/>
      <c r="GW18" s="493">
        <f t="shared" si="1110"/>
        <v>0</v>
      </c>
      <c r="GX18" s="494"/>
      <c r="GY18" s="493">
        <f t="shared" si="1111"/>
        <v>0</v>
      </c>
      <c r="GZ18" s="494"/>
      <c r="HA18" s="493">
        <f t="shared" si="335"/>
        <v>0</v>
      </c>
      <c r="HB18" s="494"/>
      <c r="HC18" s="493">
        <f t="shared" si="336"/>
        <v>0</v>
      </c>
      <c r="HD18" s="494"/>
      <c r="HE18" s="493">
        <f t="shared" si="1548"/>
        <v>0</v>
      </c>
      <c r="HF18" s="494"/>
      <c r="HG18" s="493">
        <f t="shared" si="338"/>
        <v>0</v>
      </c>
      <c r="HH18" s="494"/>
      <c r="HI18" s="493">
        <f t="shared" si="339"/>
        <v>0</v>
      </c>
      <c r="HJ18" s="494"/>
      <c r="HK18" s="493">
        <f t="shared" si="340"/>
        <v>0</v>
      </c>
      <c r="HL18" s="494"/>
      <c r="HM18" s="493">
        <f t="shared" si="341"/>
        <v>0</v>
      </c>
      <c r="HN18" s="494"/>
      <c r="HO18" s="493">
        <f t="shared" si="342"/>
        <v>0</v>
      </c>
      <c r="HP18" s="494"/>
      <c r="HQ18" s="493">
        <f t="shared" si="343"/>
        <v>0</v>
      </c>
      <c r="HR18" s="494"/>
      <c r="HS18" s="493">
        <f t="shared" si="344"/>
        <v>0</v>
      </c>
      <c r="HT18" s="494"/>
      <c r="HU18" s="493">
        <f t="shared" si="345"/>
        <v>0</v>
      </c>
      <c r="HV18" s="494"/>
      <c r="HW18" s="493">
        <f t="shared" si="346"/>
        <v>0</v>
      </c>
      <c r="HX18" s="494"/>
      <c r="HY18" s="493">
        <f t="shared" si="347"/>
        <v>0</v>
      </c>
      <c r="HZ18" s="494"/>
      <c r="IA18" s="493">
        <f t="shared" si="348"/>
        <v>0</v>
      </c>
      <c r="IB18" s="494"/>
      <c r="IC18" s="493">
        <f t="shared" si="349"/>
        <v>0</v>
      </c>
      <c r="ID18" s="494"/>
      <c r="IE18" s="493">
        <f t="shared" si="1977"/>
        <v>0</v>
      </c>
      <c r="IF18" s="494"/>
      <c r="IG18" s="493">
        <f t="shared" si="351"/>
        <v>0</v>
      </c>
      <c r="IH18" s="494"/>
      <c r="II18" s="493">
        <f t="shared" si="352"/>
        <v>0</v>
      </c>
      <c r="IJ18" s="494"/>
      <c r="IK18" s="493">
        <f t="shared" si="353"/>
        <v>0</v>
      </c>
      <c r="IL18" s="494"/>
      <c r="IM18" s="493">
        <f t="shared" si="354"/>
        <v>0</v>
      </c>
      <c r="IN18" s="494"/>
      <c r="IO18" s="493">
        <f t="shared" si="355"/>
        <v>0</v>
      </c>
      <c r="IP18" s="494"/>
      <c r="IQ18" s="493">
        <f t="shared" si="356"/>
        <v>0</v>
      </c>
      <c r="IR18" s="494"/>
      <c r="IS18" s="493">
        <f t="shared" si="357"/>
        <v>0</v>
      </c>
      <c r="IT18" s="494"/>
      <c r="IU18" s="493">
        <f t="shared" si="14"/>
        <v>0</v>
      </c>
      <c r="IV18" s="494"/>
      <c r="IW18" s="493">
        <f t="shared" si="15"/>
        <v>0</v>
      </c>
      <c r="IX18" s="494"/>
      <c r="IY18" s="493">
        <f t="shared" si="16"/>
        <v>0</v>
      </c>
      <c r="IZ18" s="494"/>
      <c r="JA18" s="493">
        <f t="shared" ref="JA18" si="2278">((JA41+JB41)-(JA40+JB40))/2</f>
        <v>0</v>
      </c>
      <c r="JB18" s="494"/>
      <c r="JC18" s="493">
        <f t="shared" ref="JC18" si="2279">((JC41+JD41)-(JC40+JD40))/2</f>
        <v>0</v>
      </c>
      <c r="JD18" s="494"/>
      <c r="JE18" s="493">
        <f t="shared" si="19"/>
        <v>0</v>
      </c>
      <c r="JF18" s="494"/>
      <c r="JG18" s="493">
        <f t="shared" ref="JG18" si="2280">((JG41+JH41)-(JG40+JH40))/2</f>
        <v>0</v>
      </c>
      <c r="JH18" s="494"/>
      <c r="JI18" s="493">
        <f t="shared" ref="JI18" si="2281">((JI41+JJ41)-(JI40+JJ40))/2</f>
        <v>0</v>
      </c>
      <c r="JJ18" s="494"/>
      <c r="JK18" s="493">
        <f t="shared" si="22"/>
        <v>0</v>
      </c>
      <c r="JL18" s="494"/>
      <c r="JM18" s="493">
        <f t="shared" ref="JM18" si="2282">((JM41+JN41)-(JM40+JN40))/2</f>
        <v>0</v>
      </c>
      <c r="JN18" s="494"/>
      <c r="JO18" s="493">
        <f t="shared" ref="JO18" si="2283">((JO41+JP41)-(JO40+JP40))/2</f>
        <v>0</v>
      </c>
      <c r="JP18" s="494"/>
      <c r="JQ18" s="493">
        <f t="shared" si="25"/>
        <v>0</v>
      </c>
      <c r="JR18" s="494"/>
      <c r="JS18" s="493">
        <f t="shared" ref="JS18" si="2284">((JS41+JT41)-(JS40+JT40))/2</f>
        <v>0</v>
      </c>
      <c r="JT18" s="494"/>
      <c r="JU18" s="493">
        <f t="shared" ref="JU18" si="2285">((JU41+JV41)-(JU40+JV40))/2</f>
        <v>0</v>
      </c>
      <c r="JV18" s="494"/>
      <c r="JW18" s="493">
        <f t="shared" si="28"/>
        <v>0</v>
      </c>
      <c r="JX18" s="494"/>
      <c r="JY18" s="493">
        <f t="shared" ref="JY18" si="2286">((JY41+JZ41)-(JY40+JZ40))/2</f>
        <v>0</v>
      </c>
      <c r="JZ18" s="494"/>
      <c r="KA18" s="493">
        <f t="shared" ref="KA18" si="2287">((KA41+KB41)-(KA40+KB40))/2</f>
        <v>0</v>
      </c>
      <c r="KB18" s="494"/>
      <c r="KC18" s="493">
        <f t="shared" si="31"/>
        <v>0</v>
      </c>
      <c r="KD18" s="494"/>
      <c r="KE18" s="493">
        <f t="shared" ref="KE18" si="2288">((KE41+KF41)-(KE40+KF40))/2</f>
        <v>0</v>
      </c>
      <c r="KF18" s="494"/>
      <c r="KG18" s="493">
        <f t="shared" ref="KG18" si="2289">((KG41+KH41)-(KG40+KH40))/2</f>
        <v>0</v>
      </c>
      <c r="KH18" s="494"/>
      <c r="KI18" s="493">
        <f t="shared" si="34"/>
        <v>0</v>
      </c>
      <c r="KJ18" s="494"/>
      <c r="KK18" s="493">
        <f t="shared" ref="KK18" si="2290">((KK41+KL41)-(KK40+KL40))/2</f>
        <v>0</v>
      </c>
      <c r="KL18" s="494"/>
      <c r="KM18" s="493">
        <f t="shared" ref="KM18" si="2291">((KM41+KN41)-(KM40+KN40))/2</f>
        <v>0</v>
      </c>
      <c r="KN18" s="494"/>
      <c r="KO18" s="493">
        <f t="shared" si="37"/>
        <v>0</v>
      </c>
      <c r="KP18" s="494"/>
      <c r="KQ18" s="493">
        <f t="shared" ref="KQ18" si="2292">((KQ41+KR41)-(KQ40+KR40))/2</f>
        <v>0</v>
      </c>
      <c r="KR18" s="494"/>
      <c r="KS18" s="493">
        <f t="shared" ref="KS18" si="2293">((KS41+KT41)-(KS40+KT40))/2</f>
        <v>0</v>
      </c>
      <c r="KT18" s="494"/>
      <c r="KU18" s="493">
        <f t="shared" si="40"/>
        <v>0</v>
      </c>
      <c r="KV18" s="494"/>
      <c r="KW18" s="493">
        <f t="shared" ref="KW18" si="2294">((KW41+KX41)-(KW40+KX40))/2</f>
        <v>0</v>
      </c>
      <c r="KX18" s="494"/>
      <c r="KY18" s="493">
        <f t="shared" ref="KY18" si="2295">((KY41+KZ41)-(KY40+KZ40))/2</f>
        <v>0</v>
      </c>
      <c r="KZ18" s="494"/>
      <c r="LA18" s="493">
        <f>((LA41+LB42)-(LA40+LB41))/2</f>
        <v>0</v>
      </c>
      <c r="LB18" s="494"/>
      <c r="LC18" s="493">
        <f t="shared" si="376"/>
        <v>0</v>
      </c>
      <c r="LD18" s="494"/>
      <c r="LE18" s="493">
        <f t="shared" si="377"/>
        <v>0</v>
      </c>
      <c r="LF18" s="494"/>
      <c r="LG18" s="493">
        <f t="shared" si="378"/>
        <v>0</v>
      </c>
      <c r="LH18" s="494"/>
      <c r="LI18" s="493">
        <f t="shared" ref="LI18" si="2296">((LI41+LJ41)-(LI40+LJ40))/2</f>
        <v>0</v>
      </c>
      <c r="LJ18" s="494"/>
      <c r="LK18" s="493">
        <f t="shared" ref="LK18" si="2297">((LK41+LL41)-(LK40+LL40))/2</f>
        <v>0</v>
      </c>
      <c r="LL18" s="494"/>
      <c r="LM18" s="493">
        <f t="shared" si="49"/>
        <v>0</v>
      </c>
      <c r="LN18" s="494"/>
      <c r="LO18" s="493">
        <f t="shared" ref="LO18" si="2298">((LO41+LP41)-(LO40+LP40))/2</f>
        <v>0</v>
      </c>
      <c r="LP18" s="494"/>
      <c r="LQ18" s="493">
        <f t="shared" ref="LQ18" si="2299">((LQ41+LR41)-(LQ40+LR40))/2</f>
        <v>0</v>
      </c>
      <c r="LR18" s="494"/>
      <c r="LS18" s="493">
        <f t="shared" si="52"/>
        <v>0</v>
      </c>
      <c r="LT18" s="494"/>
      <c r="LU18" s="493">
        <f t="shared" ref="LU18" si="2300">((LU41+LV41)-(LU40+LV40))/2</f>
        <v>0</v>
      </c>
      <c r="LV18" s="494"/>
      <c r="LW18" s="493">
        <f t="shared" ref="LW18" si="2301">((LW41+LX41)-(LW40+LX40))/2</f>
        <v>0</v>
      </c>
      <c r="LX18" s="494"/>
      <c r="LY18" s="493">
        <f t="shared" si="55"/>
        <v>0</v>
      </c>
      <c r="LZ18" s="494"/>
      <c r="MA18" s="493">
        <f t="shared" ref="MA18" si="2302">((MA41+MB41)-(MA40+MB40))/2</f>
        <v>0</v>
      </c>
      <c r="MB18" s="494"/>
      <c r="MC18" s="493">
        <f t="shared" ref="MC18" si="2303">((MC41+MD41)-(MC40+MD40))/2</f>
        <v>0</v>
      </c>
      <c r="MD18" s="494"/>
      <c r="ME18" s="493">
        <f t="shared" si="58"/>
        <v>0</v>
      </c>
      <c r="MF18" s="494"/>
      <c r="MG18" s="493">
        <f t="shared" ref="MG18" si="2304">((MG41+MH41)-(MG40+MH40))/2</f>
        <v>0</v>
      </c>
      <c r="MH18" s="494"/>
      <c r="MI18" s="493">
        <f t="shared" ref="MI18" si="2305">((MI41+MJ41)-(MI40+MJ40))/2</f>
        <v>0</v>
      </c>
      <c r="MJ18" s="494"/>
      <c r="MK18" s="493">
        <f t="shared" si="61"/>
        <v>0</v>
      </c>
      <c r="ML18" s="494"/>
      <c r="MM18" s="493">
        <f t="shared" ref="MM18" si="2306">((MM41+MN41)-(MM40+MN40))/2</f>
        <v>0</v>
      </c>
      <c r="MN18" s="494"/>
      <c r="MO18" s="493">
        <f t="shared" ref="MO18" si="2307">((MO41+MP41)-(MO40+MP40))/2</f>
        <v>0</v>
      </c>
      <c r="MP18" s="494"/>
      <c r="MQ18" s="493">
        <f t="shared" si="64"/>
        <v>0</v>
      </c>
      <c r="MR18" s="494"/>
      <c r="MS18" s="493">
        <f t="shared" ref="MS18" si="2308">((MS41+MT41)-(MS40+MT40))/2</f>
        <v>0</v>
      </c>
      <c r="MT18" s="494"/>
      <c r="MU18" s="493">
        <f t="shared" ref="MU18" si="2309">((MU41+MV41)-(MU40+MV40))/2</f>
        <v>0</v>
      </c>
      <c r="MV18" s="494"/>
      <c r="MW18" s="493">
        <f t="shared" si="67"/>
        <v>0</v>
      </c>
      <c r="MX18" s="494"/>
      <c r="MY18" s="493">
        <f t="shared" ref="MY18" si="2310">((MY41+MZ41)-(MY40+MZ40))/2</f>
        <v>0</v>
      </c>
      <c r="MZ18" s="494"/>
      <c r="NA18" s="493">
        <f t="shared" ref="NA18" si="2311">((NA41+NB41)-(NA40+NB40))/2</f>
        <v>0</v>
      </c>
      <c r="NB18" s="494"/>
      <c r="NC18" s="493">
        <f t="shared" si="70"/>
        <v>0</v>
      </c>
      <c r="ND18" s="494"/>
      <c r="NE18" s="493">
        <f t="shared" ref="NE18" si="2312">((NE41+NF41)-(NE40+NF40))/2</f>
        <v>0</v>
      </c>
      <c r="NF18" s="494"/>
      <c r="NG18" s="493">
        <f t="shared" ref="NG18" si="2313">((NG41+NH41)-(NG40+NH40))/2</f>
        <v>0</v>
      </c>
      <c r="NH18" s="494"/>
      <c r="NI18" s="493">
        <f t="shared" si="73"/>
        <v>0</v>
      </c>
      <c r="NJ18" s="494"/>
      <c r="NK18" s="493">
        <f t="shared" ref="NK18" si="2314">((NK41+NL41)-(NK40+NL40))/2</f>
        <v>0</v>
      </c>
      <c r="NL18" s="494"/>
      <c r="NM18" s="493">
        <f t="shared" ref="NM18" si="2315">((NM41+NN41)-(NM40+NN40))/2</f>
        <v>0</v>
      </c>
      <c r="NN18" s="494"/>
      <c r="NO18" s="493">
        <f t="shared" si="76"/>
        <v>0</v>
      </c>
      <c r="NP18" s="494"/>
      <c r="NQ18" s="493">
        <f t="shared" ref="NQ18" si="2316">((NQ41+NR41)-(NQ40+NR40))/2</f>
        <v>0</v>
      </c>
      <c r="NR18" s="494"/>
      <c r="NS18" s="493">
        <f t="shared" ref="NS18" si="2317">((NS41+NT41)-(NS40+NT40))/2</f>
        <v>0</v>
      </c>
      <c r="NT18" s="494"/>
      <c r="NU18" s="493">
        <f t="shared" si="79"/>
        <v>0</v>
      </c>
      <c r="NV18" s="494"/>
      <c r="NW18" s="493">
        <f t="shared" ref="NW18" si="2318">((NW41+NX41)-(NW40+NX40))/2</f>
        <v>0</v>
      </c>
      <c r="NX18" s="494"/>
      <c r="NY18" s="493">
        <f t="shared" ref="NY18" si="2319">((NY41+NZ41)-(NY40+NZ40))/2</f>
        <v>0</v>
      </c>
      <c r="NZ18" s="494"/>
      <c r="OA18" s="493">
        <f t="shared" si="82"/>
        <v>0</v>
      </c>
      <c r="OB18" s="494"/>
      <c r="OC18" s="493">
        <f t="shared" ref="OC18" si="2320">((OC41+OD41)-(OC40+OD40))/2</f>
        <v>0</v>
      </c>
      <c r="OD18" s="494"/>
      <c r="OE18" s="493">
        <f t="shared" ref="OE18" si="2321">((OE41+OF41)-(OE40+OF40))/2</f>
        <v>0</v>
      </c>
      <c r="OF18" s="494"/>
      <c r="OG18" s="493">
        <f t="shared" si="85"/>
        <v>0</v>
      </c>
      <c r="OH18" s="494"/>
      <c r="OI18" s="493">
        <f t="shared" ref="OI18" si="2322">((OI41+OJ41)-(OI40+OJ40))/2</f>
        <v>0</v>
      </c>
      <c r="OJ18" s="494"/>
      <c r="OK18" s="493">
        <f t="shared" ref="OK18" si="2323">((OK41+OL41)-(OK40+OL40))/2</f>
        <v>0</v>
      </c>
      <c r="OL18" s="494"/>
      <c r="OM18" s="493">
        <f t="shared" si="88"/>
        <v>0</v>
      </c>
      <c r="ON18" s="494"/>
      <c r="OO18" s="493">
        <f t="shared" ref="OO18" si="2324">((OO41+OP41)-(OO40+OP40))/2</f>
        <v>0</v>
      </c>
      <c r="OP18" s="494"/>
      <c r="OQ18" s="493">
        <f t="shared" ref="OQ18" si="2325">((OQ41+OR41)-(OQ40+OR40))/2</f>
        <v>0</v>
      </c>
      <c r="OR18" s="494"/>
      <c r="OS18" s="493">
        <f t="shared" si="91"/>
        <v>0</v>
      </c>
      <c r="OT18" s="494"/>
      <c r="OU18" s="493">
        <f t="shared" ref="OU18" si="2326">((OU41+OV41)-(OU40+OV40))/2</f>
        <v>0</v>
      </c>
      <c r="OV18" s="494"/>
      <c r="OW18" s="493">
        <f t="shared" ref="OW18" si="2327">((OW41+OX41)-(OW40+OX40))/2</f>
        <v>0</v>
      </c>
      <c r="OX18" s="494"/>
      <c r="OY18" s="493">
        <f t="shared" si="94"/>
        <v>0</v>
      </c>
      <c r="OZ18" s="494"/>
      <c r="PA18" s="493">
        <f t="shared" ref="PA18" si="2328">((PA41+PB41)-(PA40+PB40))/2</f>
        <v>0</v>
      </c>
      <c r="PB18" s="494"/>
      <c r="PC18" s="493">
        <f t="shared" ref="PC18" si="2329">((PC41+PD41)-(PC40+PD40))/2</f>
        <v>0</v>
      </c>
      <c r="PD18" s="494"/>
      <c r="PE18" s="493">
        <f t="shared" si="97"/>
        <v>0</v>
      </c>
      <c r="PF18" s="494"/>
      <c r="PG18" s="493">
        <f t="shared" ref="PG18" si="2330">((PG41+PH41)-(PG40+PH40))/2</f>
        <v>0</v>
      </c>
      <c r="PH18" s="494"/>
      <c r="PI18" s="493">
        <f t="shared" ref="PI18" si="2331">((PI41+PJ41)-(PI40+PJ40))/2</f>
        <v>0</v>
      </c>
      <c r="PJ18" s="494"/>
      <c r="PK18" s="493">
        <f t="shared" si="100"/>
        <v>0</v>
      </c>
      <c r="PL18" s="494"/>
      <c r="PM18" s="493">
        <f t="shared" ref="PM18" si="2332">((PM41+PN41)-(PM40+PN40))/2</f>
        <v>0</v>
      </c>
      <c r="PN18" s="494"/>
      <c r="PO18" s="493">
        <f t="shared" ref="PO18" si="2333">((PO41+PP41)-(PO40+PP40))/2</f>
        <v>0</v>
      </c>
      <c r="PP18" s="494"/>
      <c r="PQ18" s="493">
        <f t="shared" si="103"/>
        <v>0</v>
      </c>
      <c r="PR18" s="494"/>
      <c r="PS18" s="493">
        <f t="shared" ref="PS18" si="2334">((PS41+PT41)-(PS40+PT40))/2</f>
        <v>0</v>
      </c>
      <c r="PT18" s="494"/>
      <c r="PU18" s="493">
        <f t="shared" ref="PU18" si="2335">((PU41+PV41)-(PU40+PV40))/2</f>
        <v>0</v>
      </c>
      <c r="PV18" s="494"/>
      <c r="PW18" s="493">
        <f t="shared" si="106"/>
        <v>0</v>
      </c>
      <c r="PX18" s="494"/>
      <c r="PY18" s="493">
        <f t="shared" ref="PY18" si="2336">((PY41+PZ41)-(PY40+PZ40))/2</f>
        <v>0</v>
      </c>
      <c r="PZ18" s="494"/>
      <c r="QA18" s="493">
        <f t="shared" ref="QA18" si="2337">((QA41+QB41)-(QA40+QB40))/2</f>
        <v>0</v>
      </c>
      <c r="QB18" s="494"/>
      <c r="QC18" s="493">
        <f t="shared" si="109"/>
        <v>0</v>
      </c>
      <c r="QD18" s="494"/>
      <c r="QE18" s="493">
        <f t="shared" ref="QE18" si="2338">((QE41+QF41)-(QE40+QF40))/2</f>
        <v>0</v>
      </c>
      <c r="QF18" s="494"/>
      <c r="QG18" s="493">
        <f t="shared" ref="QG18" si="2339">((QG41+QH41)-(QG40+QH40))/2</f>
        <v>0</v>
      </c>
      <c r="QH18" s="494"/>
      <c r="QI18" s="493">
        <f t="shared" si="112"/>
        <v>0</v>
      </c>
      <c r="QJ18" s="494"/>
      <c r="QK18" s="493">
        <f t="shared" ref="QK18" si="2340">((QK41+QL41)-(QK40+QL40))/2</f>
        <v>0</v>
      </c>
      <c r="QL18" s="494"/>
      <c r="QM18" s="493">
        <f t="shared" ref="QM18" si="2341">((QM41+QN41)-(QM40+QN40))/2</f>
        <v>0</v>
      </c>
      <c r="QN18" s="494"/>
      <c r="QO18" s="493">
        <f t="shared" si="115"/>
        <v>0</v>
      </c>
      <c r="QP18" s="494"/>
      <c r="QQ18" s="493">
        <f t="shared" ref="QQ18" si="2342">((QQ41+QR41)-(QQ40+QR40))/2</f>
        <v>0</v>
      </c>
      <c r="QR18" s="494"/>
      <c r="QS18" s="493">
        <f t="shared" ref="QS18" si="2343">((QS41+QT41)-(QS40+QT40))/2</f>
        <v>0</v>
      </c>
      <c r="QT18" s="494"/>
      <c r="QU18" s="493">
        <f t="shared" si="118"/>
        <v>0</v>
      </c>
      <c r="QV18" s="494"/>
      <c r="QW18" s="493">
        <f t="shared" ref="QW18" si="2344">((QW41+QX41)-(QW40+QX40))/2</f>
        <v>0</v>
      </c>
      <c r="QX18" s="494"/>
      <c r="QY18" s="493">
        <f t="shared" ref="QY18" si="2345">((QY41+QZ41)-(QY40+QZ40))/2</f>
        <v>0</v>
      </c>
      <c r="QZ18" s="494"/>
      <c r="RA18" s="493">
        <f t="shared" si="121"/>
        <v>0</v>
      </c>
      <c r="RB18" s="494"/>
      <c r="RC18" s="493">
        <f t="shared" ref="RC18" si="2346">((RC41+RD41)-(RC40+RD40))/2</f>
        <v>0</v>
      </c>
      <c r="RD18" s="494"/>
      <c r="RE18" s="493">
        <f t="shared" ref="RE18" si="2347">((RE41+RF41)-(RE40+RF40))/2</f>
        <v>0</v>
      </c>
      <c r="RF18" s="494"/>
      <c r="RG18" s="493">
        <f t="shared" si="124"/>
        <v>0</v>
      </c>
      <c r="RH18" s="494"/>
      <c r="RI18" s="493">
        <f t="shared" ref="RI18" si="2348">((RI41+RJ41)-(RI40+RJ40))/2</f>
        <v>0</v>
      </c>
      <c r="RJ18" s="494"/>
      <c r="RK18" s="493">
        <f t="shared" ref="RK18" si="2349">((RK41+RL41)-(RK40+RL40))/2</f>
        <v>0</v>
      </c>
      <c r="RL18" s="494"/>
      <c r="RM18" s="493">
        <f t="shared" si="126"/>
        <v>0</v>
      </c>
      <c r="RN18" s="494"/>
      <c r="RO18" s="493">
        <f t="shared" ref="RO18" si="2350">((RO41+RP41)-(RO40+RP40))/2</f>
        <v>0</v>
      </c>
      <c r="RP18" s="494"/>
      <c r="RQ18" s="493">
        <f t="shared" ref="RQ18" si="2351">((RQ41+RR41)-(RQ40+RR40))/2</f>
        <v>0</v>
      </c>
      <c r="RR18" s="494"/>
      <c r="RS18" s="493">
        <f t="shared" si="129"/>
        <v>0</v>
      </c>
      <c r="RT18" s="494"/>
      <c r="RU18" s="493">
        <f t="shared" ref="RU18" si="2352">((RU41+RV41)-(RU40+RV40))/2</f>
        <v>0</v>
      </c>
      <c r="RV18" s="494"/>
      <c r="RW18" s="493">
        <f t="shared" ref="RW18" si="2353">((RW41+RX41)-(RW40+RX40))/2</f>
        <v>0</v>
      </c>
      <c r="RX18" s="494"/>
      <c r="RY18" s="493">
        <f t="shared" si="132"/>
        <v>0</v>
      </c>
      <c r="RZ18" s="494"/>
      <c r="SA18" s="493">
        <f t="shared" ref="SA18" si="2354">((SA41+SB41)-(SA40+SB40))/2</f>
        <v>0</v>
      </c>
      <c r="SB18" s="494"/>
      <c r="SC18" s="493">
        <f t="shared" ref="SC18" si="2355">((SC41+SD41)-(SC40+SD40))/2</f>
        <v>0</v>
      </c>
      <c r="SD18" s="494"/>
      <c r="SE18" s="493">
        <f t="shared" si="135"/>
        <v>0</v>
      </c>
      <c r="SF18" s="494"/>
      <c r="SG18" s="493">
        <f t="shared" ref="SG18" si="2356">((SG41+SH41)-(SG40+SH40))/2</f>
        <v>0</v>
      </c>
      <c r="SH18" s="494"/>
      <c r="SI18" s="493">
        <f t="shared" ref="SI18" si="2357">((SI41+SJ41)-(SI40+SJ40))/2</f>
        <v>0</v>
      </c>
      <c r="SJ18" s="494"/>
      <c r="SK18" s="493">
        <f t="shared" si="138"/>
        <v>0</v>
      </c>
      <c r="SL18" s="494"/>
      <c r="SM18" s="493">
        <f t="shared" ref="SM18" si="2358">((SM41+SN41)-(SM40+SN40))/2</f>
        <v>0</v>
      </c>
      <c r="SN18" s="494"/>
      <c r="SO18" s="493">
        <f t="shared" ref="SO18" si="2359">((SO41+SP41)-(SO40+SP40))/2</f>
        <v>0</v>
      </c>
      <c r="SP18" s="494"/>
      <c r="SQ18" s="493">
        <f t="shared" si="141"/>
        <v>0</v>
      </c>
      <c r="SR18" s="494"/>
      <c r="SS18" s="493">
        <f t="shared" ref="SS18" si="2360">((SS41+ST41)-(SS40+ST40))/2</f>
        <v>0</v>
      </c>
      <c r="ST18" s="494"/>
      <c r="SU18" s="493">
        <f t="shared" ref="SU18" si="2361">((SU41+SV41)-(SU40+SV40))/2</f>
        <v>0</v>
      </c>
      <c r="SV18" s="494"/>
      <c r="SW18" s="493">
        <f t="shared" si="144"/>
        <v>0</v>
      </c>
      <c r="SX18" s="494"/>
      <c r="SY18" s="493">
        <f t="shared" ref="SY18" si="2362">((SY41+SZ41)-(SY40+SZ40))/2</f>
        <v>0</v>
      </c>
      <c r="SZ18" s="494"/>
      <c r="TA18" s="493">
        <f t="shared" ref="TA18" si="2363">((TA41+TB41)-(TA40+TB40))/2</f>
        <v>0</v>
      </c>
      <c r="TB18" s="494"/>
      <c r="TC18" s="493">
        <f t="shared" si="147"/>
        <v>0</v>
      </c>
      <c r="TD18" s="494"/>
      <c r="TE18" s="493">
        <f t="shared" ref="TE18" si="2364">((TE41+TF41)-(TE40+TF40))/2</f>
        <v>0</v>
      </c>
      <c r="TF18" s="494"/>
      <c r="TG18" s="493">
        <f t="shared" ref="TG18" si="2365">((TG41+TH41)-(TG40+TH40))/2</f>
        <v>0</v>
      </c>
      <c r="TH18" s="494"/>
      <c r="TI18" s="493">
        <f t="shared" si="150"/>
        <v>0</v>
      </c>
      <c r="TJ18" s="494"/>
      <c r="TK18" s="493">
        <f t="shared" ref="TK18" si="2366">((TK41+TL41)-(TK40+TL40))/2</f>
        <v>0</v>
      </c>
      <c r="TL18" s="494"/>
      <c r="TM18" s="493">
        <f t="shared" ref="TM18" si="2367">((TM41+TN41)-(TM40+TN40))/2</f>
        <v>0</v>
      </c>
      <c r="TN18" s="494"/>
      <c r="TO18" s="493">
        <f t="shared" si="153"/>
        <v>0</v>
      </c>
      <c r="TP18" s="494"/>
      <c r="TQ18" s="493">
        <f t="shared" ref="TQ18" si="2368">((TQ41+TR41)-(TQ40+TR40))/2</f>
        <v>0</v>
      </c>
      <c r="TR18" s="494"/>
      <c r="TS18" s="493">
        <f>((TS41+TT41)-(TS39+TT39))/2</f>
        <v>0</v>
      </c>
      <c r="TT18" s="494"/>
      <c r="TU18" s="493">
        <f t="shared" si="156"/>
        <v>0</v>
      </c>
      <c r="TV18" s="494"/>
      <c r="TW18" s="493">
        <f t="shared" ref="TW18" si="2369">((TW41+TX41)-(TW40+TX40))/2</f>
        <v>0</v>
      </c>
      <c r="TX18" s="494"/>
      <c r="TY18" s="493">
        <f t="shared" si="2069"/>
        <v>0</v>
      </c>
      <c r="TZ18" s="494"/>
      <c r="UA18" s="493">
        <f t="shared" si="159"/>
        <v>0</v>
      </c>
      <c r="UB18" s="494"/>
      <c r="UC18" s="493">
        <f t="shared" ref="UC18" si="2370">((UC41+UD41)-(UC40+UD40))/2</f>
        <v>0</v>
      </c>
      <c r="UD18" s="494"/>
      <c r="UE18" s="493">
        <f t="shared" ref="UE18" si="2371">((UE41+UF41)-(UE40+UF40))/2</f>
        <v>0</v>
      </c>
      <c r="UF18" s="494"/>
      <c r="UG18" s="493">
        <f t="shared" si="162"/>
        <v>0</v>
      </c>
      <c r="UH18" s="494"/>
      <c r="UI18" s="493">
        <f t="shared" ref="UI18" si="2372">((UI41+UJ41)-(UI40+UJ40))/2</f>
        <v>0</v>
      </c>
      <c r="UJ18" s="494"/>
      <c r="UK18" s="493">
        <f t="shared" ref="UK18" si="2373">((UK41+UL41)-(UK40+UL40))/2</f>
        <v>0</v>
      </c>
      <c r="UL18" s="494"/>
      <c r="UM18" s="493">
        <f t="shared" si="165"/>
        <v>0</v>
      </c>
      <c r="UN18" s="494"/>
      <c r="UO18" s="493">
        <f t="shared" ref="UO18" si="2374">((UO41+UP41)-(UO40+UP40))/2</f>
        <v>0</v>
      </c>
      <c r="UP18" s="494"/>
      <c r="UQ18" s="493">
        <f t="shared" ref="UQ18" si="2375">((UQ41+UR41)-(UQ40+UR40))/2</f>
        <v>0</v>
      </c>
      <c r="UR18" s="494"/>
      <c r="US18" s="493">
        <f t="shared" si="168"/>
        <v>0</v>
      </c>
      <c r="UT18" s="494"/>
      <c r="UU18" s="493">
        <f t="shared" ref="UU18" si="2376">((UU41+UV41)-(UU40+UV40))/2</f>
        <v>0</v>
      </c>
      <c r="UV18" s="494"/>
      <c r="UW18" s="493">
        <f t="shared" ref="UW18" si="2377">((UW41+UX41)-(UW40+UX40))/2</f>
        <v>0</v>
      </c>
      <c r="UX18" s="494"/>
      <c r="UY18" s="493">
        <f t="shared" si="171"/>
        <v>0</v>
      </c>
      <c r="UZ18" s="494"/>
      <c r="VA18" s="493">
        <f t="shared" ref="VA18" si="2378">((VA41+VB41)-(VA40+VB40))/2</f>
        <v>0</v>
      </c>
      <c r="VB18" s="494"/>
      <c r="VC18" s="493">
        <f t="shared" ref="VC18" si="2379">((VC41+VD41)-(VC40+VD40))/2</f>
        <v>0</v>
      </c>
      <c r="VD18" s="494"/>
      <c r="VE18" s="493">
        <f t="shared" si="464"/>
        <v>0</v>
      </c>
      <c r="VF18" s="494"/>
      <c r="VG18" s="493">
        <f t="shared" ref="VG18" si="2380">((VG41+VH41)-(VG40+VH40))/2</f>
        <v>0</v>
      </c>
      <c r="VH18" s="494"/>
      <c r="VI18" s="493">
        <f t="shared" ref="VI18" si="2381">((VI41+VJ41)-(VI40+VJ40))/2</f>
        <v>0</v>
      </c>
      <c r="VJ18" s="494"/>
      <c r="VK18" s="493">
        <f t="shared" si="467"/>
        <v>0</v>
      </c>
      <c r="VL18" s="494"/>
      <c r="VM18" s="493">
        <f t="shared" ref="VM18" si="2382">((VM41+VN41)-(VM40+VN40))/2</f>
        <v>0</v>
      </c>
      <c r="VN18" s="494"/>
      <c r="VO18" s="493">
        <f t="shared" ref="VO18" si="2383">((VO41+VP41)-(VO40+VP40))/2</f>
        <v>0</v>
      </c>
      <c r="VP18" s="494"/>
      <c r="VQ18" s="493">
        <f t="shared" si="178"/>
        <v>0</v>
      </c>
      <c r="VR18" s="494"/>
      <c r="VS18" s="493">
        <f t="shared" ref="VS18" si="2384">((VS41+VT41)-(VS40+VT40))/2</f>
        <v>0</v>
      </c>
      <c r="VT18" s="494"/>
      <c r="VU18" s="493">
        <f t="shared" si="1936"/>
        <v>0</v>
      </c>
      <c r="VV18" s="494"/>
      <c r="VW18" s="493">
        <f t="shared" si="181"/>
        <v>0</v>
      </c>
      <c r="VX18" s="494"/>
      <c r="VY18" s="493">
        <f t="shared" ref="VY18" si="2385">((VY41+VZ41)-(VY40+VZ40))/2</f>
        <v>0</v>
      </c>
      <c r="VZ18" s="494"/>
      <c r="WA18" s="493">
        <f t="shared" si="1067"/>
        <v>0</v>
      </c>
      <c r="WB18" s="494"/>
      <c r="WC18" s="493">
        <f t="shared" si="184"/>
        <v>0</v>
      </c>
      <c r="WD18" s="494"/>
      <c r="WE18" s="493">
        <f t="shared" ref="WE18" si="2386">((WE41+WF41)-(WE40+WF40))/2</f>
        <v>0</v>
      </c>
      <c r="WF18" s="494"/>
      <c r="WG18" s="493">
        <f t="shared" ref="WG18" si="2387">((WG41+WH41)-(WG40+WH40))/2</f>
        <v>0</v>
      </c>
      <c r="WH18" s="494"/>
      <c r="WI18" s="493">
        <f t="shared" si="187"/>
        <v>0</v>
      </c>
      <c r="WJ18" s="494"/>
      <c r="WK18" s="493">
        <f t="shared" ref="WK18" si="2388">((WK41+WL41)-(WK40+WL40))/2</f>
        <v>0</v>
      </c>
      <c r="WL18" s="494"/>
      <c r="WM18" s="493">
        <f t="shared" ref="WM18" si="2389">((WM41+WN41)-(WM40+WN40))/2</f>
        <v>0</v>
      </c>
      <c r="WN18" s="494"/>
      <c r="WO18" s="493">
        <f t="shared" si="190"/>
        <v>0</v>
      </c>
      <c r="WP18" s="494"/>
      <c r="WQ18" s="493">
        <f t="shared" si="477"/>
        <v>0</v>
      </c>
      <c r="WR18" s="494"/>
      <c r="WS18" s="493">
        <f t="shared" ref="WS18" si="2390">((WS41+WT41)-(WS40+WT40))/2</f>
        <v>0</v>
      </c>
      <c r="WT18" s="494"/>
      <c r="WU18" s="493">
        <f t="shared" si="193"/>
        <v>0</v>
      </c>
      <c r="WV18" s="494"/>
      <c r="WW18" s="493">
        <f t="shared" ref="WW18" si="2391">((WW41+WX41)-(WW40+WX40))/2</f>
        <v>0</v>
      </c>
      <c r="WX18" s="494"/>
      <c r="WY18" s="493">
        <f t="shared" ref="WY18" si="2392">((WY41+WZ41)-(WY40+WZ40))/2</f>
        <v>0</v>
      </c>
      <c r="WZ18" s="494"/>
      <c r="XA18" s="493">
        <f t="shared" si="196"/>
        <v>0</v>
      </c>
      <c r="XB18" s="494"/>
      <c r="XC18" s="493">
        <f t="shared" ref="XC18" si="2393">((XC41+XD41)-(XC40+XD40))/2</f>
        <v>0</v>
      </c>
      <c r="XD18" s="494"/>
      <c r="XE18" s="493">
        <f t="shared" ref="XE18" si="2394">((XE41+XF41)-(XE40+XF40))/2</f>
        <v>0</v>
      </c>
      <c r="XF18" s="494"/>
      <c r="XG18" s="493">
        <f t="shared" si="199"/>
        <v>0</v>
      </c>
      <c r="XH18" s="494"/>
      <c r="XI18" s="493">
        <f t="shared" ref="XI18" si="2395">((XI41+XJ41)-(XI40+XJ40))/2</f>
        <v>0</v>
      </c>
      <c r="XJ18" s="494"/>
      <c r="XK18" s="493">
        <f t="shared" ref="XK18" si="2396">((XK41+XL41)-(XK40+XL40))/2</f>
        <v>0</v>
      </c>
      <c r="XL18" s="494"/>
      <c r="XM18" s="493">
        <f t="shared" si="202"/>
        <v>0</v>
      </c>
      <c r="XN18" s="494"/>
      <c r="XO18" s="493">
        <f t="shared" si="933"/>
        <v>0</v>
      </c>
      <c r="XP18" s="494"/>
      <c r="XQ18" s="493">
        <f t="shared" ref="XQ18" si="2397">((XQ41+XR41)-(XQ40+XR40))/2</f>
        <v>0</v>
      </c>
      <c r="XR18" s="494"/>
      <c r="XS18" s="493">
        <f t="shared" si="205"/>
        <v>0</v>
      </c>
      <c r="XT18" s="494"/>
      <c r="XU18" s="493">
        <f t="shared" ref="XU18" si="2398">((XU41+XV41)-(XU40+XV40))/2</f>
        <v>0</v>
      </c>
      <c r="XV18" s="494"/>
      <c r="XW18" s="493">
        <f t="shared" ref="XW18" si="2399">((XW41+XX41)-(XW40+XX40))/2</f>
        <v>0</v>
      </c>
      <c r="XX18" s="494"/>
      <c r="XY18" s="493">
        <f t="shared" si="208"/>
        <v>0</v>
      </c>
      <c r="XZ18" s="494"/>
      <c r="YA18" s="493">
        <f t="shared" ref="YA18" si="2400">((YA41+YB41)-(YA40+YB40))/2</f>
        <v>0</v>
      </c>
      <c r="YB18" s="494"/>
      <c r="YC18" s="493">
        <f t="shared" ref="YC18" si="2401">((YC41+YD41)-(YC40+YD40))/2</f>
        <v>0</v>
      </c>
      <c r="YD18" s="494"/>
      <c r="YE18" s="493">
        <f>((YE42+YF41)-(YE41+YF40))/2</f>
        <v>0</v>
      </c>
      <c r="YF18" s="494"/>
      <c r="YG18" s="493">
        <f t="shared" ref="YG18" si="2402">((YG41+YH41)-(YG40+YH40))/2</f>
        <v>0</v>
      </c>
      <c r="YH18" s="494"/>
      <c r="YI18" s="493">
        <f t="shared" ref="YI18" si="2403">((YI41+YJ41)-(YI40+YJ40))/2</f>
        <v>0</v>
      </c>
      <c r="YJ18" s="494"/>
      <c r="YK18" s="493">
        <f t="shared" si="214"/>
        <v>0</v>
      </c>
      <c r="YL18" s="494"/>
      <c r="YM18" s="493">
        <f t="shared" ref="YM18" si="2404">((YM41+YN41)-(YM40+YN40))/2</f>
        <v>0</v>
      </c>
      <c r="YN18" s="494"/>
      <c r="YO18" s="493">
        <f t="shared" si="2255"/>
        <v>0</v>
      </c>
      <c r="YP18" s="494"/>
      <c r="YQ18" s="493">
        <f t="shared" si="217"/>
        <v>0</v>
      </c>
      <c r="YR18" s="494"/>
      <c r="YS18" s="493">
        <f t="shared" ref="YS18" si="2405">((YS41+YT41)-(YS40+YT40))/2</f>
        <v>0</v>
      </c>
      <c r="YT18" s="494"/>
      <c r="YU18" s="493">
        <f t="shared" ref="YU18" si="2406">((YU41+YV41)-(YU40+YV40))/2</f>
        <v>0</v>
      </c>
      <c r="YV18" s="494"/>
      <c r="YW18" s="493">
        <f t="shared" si="220"/>
        <v>0</v>
      </c>
      <c r="YX18" s="494"/>
      <c r="YY18" s="493">
        <f t="shared" si="496"/>
        <v>0</v>
      </c>
      <c r="YZ18" s="494"/>
      <c r="ZA18" s="493">
        <f t="shared" ref="ZA18" si="2407">((ZA41+ZB41)-(ZA40+ZB40))/2</f>
        <v>0</v>
      </c>
      <c r="ZB18" s="494"/>
      <c r="ZC18" s="493">
        <f t="shared" si="1239"/>
        <v>0</v>
      </c>
      <c r="ZD18" s="494"/>
      <c r="ZE18" s="493">
        <f t="shared" ref="ZE18" si="2408">((ZE41+ZF41)-(ZE40+ZF40))/2</f>
        <v>0</v>
      </c>
      <c r="ZF18" s="494"/>
      <c r="ZG18" s="493">
        <f t="shared" ref="ZG18" si="2409">((ZG41+ZH41)-(ZG40+ZH40))/2</f>
        <v>0</v>
      </c>
      <c r="ZH18" s="494"/>
      <c r="ZI18" s="493">
        <f t="shared" si="799"/>
        <v>0</v>
      </c>
      <c r="ZJ18" s="494"/>
      <c r="ZK18" s="493">
        <f t="shared" ref="ZK18" si="2410">((ZK41+ZL41)-(ZK40+ZL40))/2</f>
        <v>0</v>
      </c>
      <c r="ZL18" s="494"/>
      <c r="ZM18" s="493">
        <f t="shared" ref="ZM18" si="2411">((ZM41+ZN41)-(ZM40+ZN40))/2</f>
        <v>0</v>
      </c>
      <c r="ZN18" s="494"/>
      <c r="ZO18" s="493">
        <f t="shared" ref="ZO18:ZO19" si="2412">((ZO41+ZP41)-(ZO40+ZP40))/2</f>
        <v>0</v>
      </c>
      <c r="ZP18" s="494"/>
      <c r="ZQ18" s="493">
        <f t="shared" ref="ZQ18" si="2413">((ZQ41+ZR41)-(ZQ40+ZR40))/2</f>
        <v>0</v>
      </c>
      <c r="ZR18" s="494"/>
      <c r="ZS18" s="493">
        <f t="shared" ref="ZS18" si="2414">((ZS41+ZT41)-(ZS40+ZT40))/2</f>
        <v>0</v>
      </c>
      <c r="ZT18" s="494"/>
      <c r="ZU18" s="493">
        <f t="shared" si="230"/>
        <v>0</v>
      </c>
      <c r="ZV18" s="494"/>
      <c r="ZW18" s="493">
        <f t="shared" ref="ZW18" si="2415">((ZW41+ZX41)-(ZW40+ZX40))/2</f>
        <v>0</v>
      </c>
      <c r="ZX18" s="494"/>
      <c r="ZY18" s="493">
        <f t="shared" ref="ZY18" si="2416">((ZY41+ZZ41)-(ZY40+ZZ40))/2</f>
        <v>0</v>
      </c>
      <c r="ZZ18" s="494"/>
      <c r="AAA18" s="493">
        <f t="shared" si="233"/>
        <v>0</v>
      </c>
      <c r="AAB18" s="494"/>
      <c r="AAC18" s="493">
        <f t="shared" ref="AAC18" si="2417">((AAC41+AAD41)-(AAC40+AAD40))/2</f>
        <v>0</v>
      </c>
      <c r="AAD18" s="494"/>
      <c r="AAE18" s="493">
        <f t="shared" ref="AAE18" si="2418">((AAE41+AAF41)-(AAE40+AAF40))/2</f>
        <v>0</v>
      </c>
      <c r="AAF18" s="494"/>
      <c r="AAG18" s="493">
        <f t="shared" si="236"/>
        <v>0</v>
      </c>
      <c r="AAH18" s="494"/>
      <c r="AAI18" s="493">
        <f t="shared" ref="AAI18" si="2419">((AAI41+AAJ41)-(AAI40+AAJ40))/2</f>
        <v>0</v>
      </c>
      <c r="AAJ18" s="494"/>
      <c r="AAK18" s="493">
        <f t="shared" ref="AAK18" si="2420">((AAK41+AAL41)-(AAK40+AAL40))/2</f>
        <v>0</v>
      </c>
      <c r="AAL18" s="494"/>
      <c r="AAM18" s="493">
        <f t="shared" si="239"/>
        <v>0</v>
      </c>
      <c r="AAN18" s="494"/>
      <c r="AAO18" s="493">
        <f t="shared" ref="AAO18" si="2421">((AAO41+AAP41)-(AAO40+AAP40))/2</f>
        <v>0</v>
      </c>
      <c r="AAP18" s="494"/>
      <c r="AAQ18" s="493">
        <f t="shared" ref="AAQ18" si="2422">((AAQ41+AAR41)-(AAQ40+AAR40))/2</f>
        <v>0</v>
      </c>
      <c r="AAR18" s="494"/>
      <c r="AAS18" s="493">
        <f t="shared" si="241"/>
        <v>0</v>
      </c>
      <c r="AAT18" s="494"/>
      <c r="AAU18" s="493">
        <f t="shared" ref="AAU18" si="2423">((AAU41+AAV41)-(AAU40+AAV40))/2</f>
        <v>0</v>
      </c>
      <c r="AAV18" s="494"/>
      <c r="AAW18" s="493">
        <f t="shared" ref="AAW18" si="2424">((AAW41+AAX41)-(AAW40+AAX40))/2</f>
        <v>0</v>
      </c>
      <c r="AAX18" s="494"/>
      <c r="AAY18" s="493">
        <f t="shared" si="1829"/>
        <v>0</v>
      </c>
      <c r="AAZ18" s="494"/>
      <c r="ABA18" s="493">
        <f t="shared" ref="ABA18" si="2425">((ABA41+ABB41)-(ABA40+ABB40))/2</f>
        <v>0</v>
      </c>
      <c r="ABB18" s="494"/>
      <c r="ABC18" s="493">
        <f t="shared" ref="ABC18" si="2426">((ABC41+ABD41)-(ABC40+ABD40))/2</f>
        <v>0</v>
      </c>
      <c r="ABD18" s="494"/>
      <c r="ABE18" s="379">
        <f t="shared" si="516"/>
        <v>0</v>
      </c>
      <c r="ABF18" s="377"/>
      <c r="ABG18" s="481"/>
      <c r="ABH18" s="481"/>
      <c r="ABI18" s="481"/>
      <c r="ABJ18" s="481"/>
      <c r="ABK18" s="481"/>
      <c r="ABL18" s="481"/>
      <c r="ABM18" s="481"/>
      <c r="ABN18" s="481"/>
      <c r="ABO18" s="481"/>
      <c r="ABP18" s="481"/>
      <c r="ABQ18" s="481"/>
      <c r="ABR18" s="481"/>
      <c r="ABS18" s="481"/>
      <c r="ABT18" s="481"/>
      <c r="ABU18" s="481"/>
      <c r="ABV18" s="481"/>
      <c r="ABW18" s="481"/>
      <c r="ABX18" s="481"/>
      <c r="ABY18" s="481"/>
      <c r="ABZ18" s="481"/>
      <c r="ACA18" s="481"/>
      <c r="ACB18" s="481"/>
      <c r="ACC18" s="481"/>
      <c r="ACD18" s="481"/>
      <c r="ACE18" s="481"/>
      <c r="ACF18" s="481"/>
      <c r="ACG18" s="481"/>
      <c r="ACH18" s="481"/>
      <c r="ACI18" s="481"/>
      <c r="ACJ18" s="481"/>
      <c r="ACK18" s="481"/>
      <c r="ACL18" s="481"/>
      <c r="ACM18" s="481"/>
      <c r="ACN18" s="481"/>
      <c r="ACO18" s="481"/>
      <c r="ACP18" s="481"/>
      <c r="ACQ18" s="481"/>
      <c r="ACR18" s="481"/>
      <c r="ACS18" s="481"/>
      <c r="ACT18" s="481"/>
      <c r="ACU18" s="481"/>
      <c r="ACV18" s="481"/>
      <c r="ACW18" s="481"/>
      <c r="ACX18" s="481"/>
      <c r="ACY18" s="481"/>
      <c r="ACZ18" s="481"/>
      <c r="ADA18" s="481"/>
      <c r="ADB18" s="481"/>
      <c r="ADC18" s="481"/>
      <c r="ADD18" s="481"/>
      <c r="ADE18" s="481"/>
      <c r="ADF18" s="481"/>
      <c r="ADG18" s="481"/>
      <c r="ADH18" s="481"/>
      <c r="ADI18" s="481"/>
      <c r="ADJ18" s="481"/>
      <c r="ADK18" s="335"/>
      <c r="ADL18" s="335"/>
      <c r="ADM18" s="335"/>
      <c r="ADN18" s="335"/>
      <c r="ADO18" s="335"/>
      <c r="ADP18" s="335"/>
      <c r="ADQ18" s="335"/>
      <c r="ADR18" s="335"/>
      <c r="ADS18" s="335"/>
      <c r="ADT18" s="335"/>
      <c r="ADU18" s="335"/>
      <c r="ADV18" s="335"/>
      <c r="ADW18" s="335"/>
      <c r="ADX18" s="335"/>
      <c r="ADY18" s="335"/>
      <c r="ADZ18" s="335"/>
      <c r="AEA18" s="335"/>
      <c r="AEB18" s="335"/>
      <c r="AEC18" s="335"/>
      <c r="AED18" s="335"/>
      <c r="AEE18" s="335"/>
      <c r="AEF18" s="335"/>
      <c r="AEG18" s="335"/>
      <c r="AEH18" s="335"/>
      <c r="AEI18" s="335"/>
      <c r="AEJ18" s="335"/>
      <c r="AEK18" s="335"/>
      <c r="AEL18" s="335"/>
      <c r="AEM18" s="335"/>
      <c r="AEN18" s="335"/>
      <c r="AEO18" s="335"/>
      <c r="AEP18" s="335"/>
      <c r="AEQ18" s="335"/>
      <c r="AER18" s="335"/>
      <c r="AES18" s="335"/>
      <c r="AET18" s="335"/>
      <c r="AEU18" s="335"/>
      <c r="AEV18" s="335"/>
      <c r="AEW18" s="335"/>
      <c r="AEX18" s="335"/>
      <c r="AEY18" s="335"/>
      <c r="AEZ18" s="335"/>
      <c r="AFA18" s="335"/>
      <c r="AFB18" s="335"/>
      <c r="AFC18" s="335"/>
      <c r="AFD18" s="335"/>
      <c r="AFE18" s="335"/>
      <c r="AFF18" s="335"/>
      <c r="AFG18" s="335"/>
      <c r="AFH18" s="335"/>
      <c r="AFI18" s="335"/>
      <c r="AFJ18" s="335"/>
      <c r="AFK18" s="335"/>
      <c r="AFL18" s="335"/>
      <c r="AFM18" s="335"/>
      <c r="AFN18" s="335"/>
      <c r="AFO18" s="335"/>
      <c r="AFP18" s="335"/>
      <c r="AFQ18" s="335"/>
      <c r="AFR18" s="335"/>
      <c r="AFS18" s="335"/>
      <c r="AFT18" s="335"/>
      <c r="AFU18" s="335"/>
      <c r="AFV18" s="335"/>
      <c r="AFW18" s="335"/>
      <c r="AFX18" s="335"/>
      <c r="AFY18" s="335"/>
      <c r="AFZ18" s="335"/>
      <c r="AGA18" s="335"/>
      <c r="AGB18" s="335"/>
      <c r="AGC18" s="335"/>
      <c r="AGD18" s="335"/>
      <c r="AGE18" s="335"/>
      <c r="AGF18" s="335"/>
      <c r="AGG18" s="335"/>
      <c r="AGH18" s="335"/>
      <c r="AGI18" s="335"/>
      <c r="AGJ18" s="335"/>
      <c r="AGK18" s="335"/>
      <c r="AGL18" s="335"/>
      <c r="AGM18" s="335"/>
      <c r="AGN18" s="335"/>
      <c r="AGO18" s="335"/>
      <c r="AGP18" s="335"/>
      <c r="AGQ18" s="335"/>
      <c r="AGR18" s="335"/>
      <c r="AGS18" s="335"/>
      <c r="AGT18" s="335"/>
      <c r="AGU18" s="335"/>
      <c r="AGV18" s="335"/>
      <c r="AGW18" s="335"/>
      <c r="AGX18" s="335"/>
      <c r="AGY18" s="335"/>
      <c r="AGZ18" s="335"/>
      <c r="AHA18" s="335"/>
      <c r="AHB18" s="335"/>
      <c r="AHC18" s="335"/>
      <c r="AHD18" s="335"/>
      <c r="AHE18" s="335"/>
      <c r="AHF18" s="335"/>
      <c r="AHG18" s="335"/>
      <c r="AHH18" s="335"/>
      <c r="AHI18" s="335"/>
      <c r="AHJ18" s="335"/>
      <c r="AHK18" s="335"/>
      <c r="AHL18" s="335"/>
      <c r="AHM18" s="335"/>
      <c r="AHN18" s="335"/>
      <c r="AHO18" s="335"/>
      <c r="AHP18" s="335"/>
      <c r="AHQ18" s="335"/>
      <c r="AHR18" s="335"/>
      <c r="AHS18" s="335"/>
      <c r="AHT18" s="335"/>
      <c r="AHU18" s="335"/>
      <c r="AHV18" s="335"/>
      <c r="AHW18" s="335"/>
      <c r="AHX18" s="335"/>
      <c r="AHY18" s="335"/>
      <c r="AHZ18" s="335"/>
      <c r="AIA18" s="335"/>
      <c r="AIB18" s="335"/>
      <c r="AIC18" s="339"/>
    </row>
    <row r="19" spans="1:913" s="161" customFormat="1">
      <c r="A19" s="172"/>
      <c r="B19" s="177">
        <v>1</v>
      </c>
      <c r="C19" s="493">
        <f t="shared" si="246"/>
        <v>0</v>
      </c>
      <c r="D19" s="494"/>
      <c r="E19" s="493">
        <f t="shared" si="0"/>
        <v>0</v>
      </c>
      <c r="F19" s="494"/>
      <c r="G19" s="493">
        <f t="shared" si="1"/>
        <v>0</v>
      </c>
      <c r="H19" s="494"/>
      <c r="I19" s="493">
        <f t="shared" si="1690"/>
        <v>0</v>
      </c>
      <c r="J19" s="494"/>
      <c r="K19" s="493">
        <f t="shared" si="2"/>
        <v>0</v>
      </c>
      <c r="L19" s="494"/>
      <c r="M19" s="493">
        <f t="shared" si="3"/>
        <v>0</v>
      </c>
      <c r="N19" s="494"/>
      <c r="O19" s="493">
        <f t="shared" si="517"/>
        <v>0</v>
      </c>
      <c r="P19" s="494"/>
      <c r="Q19" s="493">
        <f t="shared" si="248"/>
        <v>0</v>
      </c>
      <c r="R19" s="494"/>
      <c r="S19" s="493">
        <f t="shared" si="249"/>
        <v>0</v>
      </c>
      <c r="T19" s="494"/>
      <c r="U19" s="493">
        <f t="shared" si="250"/>
        <v>0</v>
      </c>
      <c r="V19" s="494"/>
      <c r="W19" s="493">
        <f t="shared" si="1974"/>
        <v>0</v>
      </c>
      <c r="X19" s="494"/>
      <c r="Y19" s="493">
        <f t="shared" si="252"/>
        <v>0</v>
      </c>
      <c r="Z19" s="494"/>
      <c r="AA19" s="493">
        <f t="shared" si="253"/>
        <v>0</v>
      </c>
      <c r="AB19" s="494"/>
      <c r="AC19" s="493">
        <f t="shared" si="254"/>
        <v>0</v>
      </c>
      <c r="AD19" s="494"/>
      <c r="AE19" s="493">
        <f t="shared" si="255"/>
        <v>0</v>
      </c>
      <c r="AF19" s="494"/>
      <c r="AG19" s="493">
        <f t="shared" si="2125"/>
        <v>0</v>
      </c>
      <c r="AH19" s="494"/>
      <c r="AI19" s="493">
        <f>((AI42+AJ42)-(AI41+AJ41))/2</f>
        <v>0</v>
      </c>
      <c r="AJ19" s="494"/>
      <c r="AK19" s="493">
        <f t="shared" si="258"/>
        <v>0</v>
      </c>
      <c r="AL19" s="494"/>
      <c r="AM19" s="493">
        <f t="shared" si="259"/>
        <v>0</v>
      </c>
      <c r="AN19" s="494"/>
      <c r="AO19" s="493">
        <f t="shared" si="260"/>
        <v>0</v>
      </c>
      <c r="AP19" s="494"/>
      <c r="AQ19" s="493">
        <f t="shared" si="261"/>
        <v>0</v>
      </c>
      <c r="AR19" s="494"/>
      <c r="AS19" s="493">
        <f t="shared" si="262"/>
        <v>0</v>
      </c>
      <c r="AT19" s="494"/>
      <c r="AU19" s="493">
        <f t="shared" si="263"/>
        <v>0</v>
      </c>
      <c r="AV19" s="494"/>
      <c r="AW19" s="493">
        <f t="shared" si="264"/>
        <v>0</v>
      </c>
      <c r="AX19" s="494"/>
      <c r="AY19" s="493">
        <f t="shared" si="265"/>
        <v>0</v>
      </c>
      <c r="AZ19" s="494"/>
      <c r="BA19" s="493">
        <f t="shared" si="266"/>
        <v>0</v>
      </c>
      <c r="BB19" s="494"/>
      <c r="BC19" s="493">
        <f t="shared" si="267"/>
        <v>0</v>
      </c>
      <c r="BD19" s="494"/>
      <c r="BE19" s="493">
        <f t="shared" si="268"/>
        <v>0</v>
      </c>
      <c r="BF19" s="494"/>
      <c r="BG19" s="493">
        <f t="shared" si="269"/>
        <v>0</v>
      </c>
      <c r="BH19" s="494"/>
      <c r="BI19" s="493">
        <f t="shared" si="270"/>
        <v>0</v>
      </c>
      <c r="BJ19" s="494"/>
      <c r="BK19" s="493">
        <f t="shared" si="271"/>
        <v>0</v>
      </c>
      <c r="BL19" s="494"/>
      <c r="BM19" s="493">
        <f t="shared" si="272"/>
        <v>0</v>
      </c>
      <c r="BN19" s="494"/>
      <c r="BO19" s="493">
        <f t="shared" si="273"/>
        <v>0</v>
      </c>
      <c r="BP19" s="494"/>
      <c r="BQ19" s="493">
        <f t="shared" si="274"/>
        <v>0</v>
      </c>
      <c r="BR19" s="494"/>
      <c r="BS19" s="493">
        <f t="shared" si="275"/>
        <v>0</v>
      </c>
      <c r="BT19" s="494"/>
      <c r="BU19" s="493">
        <f t="shared" si="276"/>
        <v>0</v>
      </c>
      <c r="BV19" s="494"/>
      <c r="BW19" s="493">
        <f t="shared" si="665"/>
        <v>0</v>
      </c>
      <c r="BX19" s="494"/>
      <c r="BY19" s="493">
        <f t="shared" si="277"/>
        <v>0</v>
      </c>
      <c r="BZ19" s="494"/>
      <c r="CA19" s="493">
        <f t="shared" si="278"/>
        <v>0</v>
      </c>
      <c r="CB19" s="494"/>
      <c r="CC19" s="493">
        <f t="shared" si="279"/>
        <v>0</v>
      </c>
      <c r="CD19" s="494"/>
      <c r="CE19" s="493">
        <f t="shared" si="280"/>
        <v>0</v>
      </c>
      <c r="CF19" s="494"/>
      <c r="CG19" s="493">
        <f t="shared" si="281"/>
        <v>0</v>
      </c>
      <c r="CH19" s="494"/>
      <c r="CI19" s="493">
        <f t="shared" si="282"/>
        <v>0</v>
      </c>
      <c r="CJ19" s="494"/>
      <c r="CK19" s="493">
        <f>((CK42+CL42)-(CK41+CL41))/2</f>
        <v>0</v>
      </c>
      <c r="CL19" s="494"/>
      <c r="CM19" s="493">
        <f>((CM42+CN42)-(CM41+CN41))/2</f>
        <v>0</v>
      </c>
      <c r="CN19" s="494"/>
      <c r="CO19" s="493">
        <f t="shared" si="285"/>
        <v>0</v>
      </c>
      <c r="CP19" s="494"/>
      <c r="CQ19" s="493">
        <f t="shared" si="286"/>
        <v>0</v>
      </c>
      <c r="CR19" s="494"/>
      <c r="CS19" s="493">
        <f t="shared" si="287"/>
        <v>0</v>
      </c>
      <c r="CT19" s="494"/>
      <c r="CU19" s="493">
        <f t="shared" si="2277"/>
        <v>0</v>
      </c>
      <c r="CV19" s="494"/>
      <c r="CW19" s="493">
        <f t="shared" si="289"/>
        <v>0</v>
      </c>
      <c r="CX19" s="494"/>
      <c r="CY19" s="493">
        <f t="shared" si="290"/>
        <v>0</v>
      </c>
      <c r="CZ19" s="494"/>
      <c r="DA19" s="493">
        <f t="shared" si="291"/>
        <v>0</v>
      </c>
      <c r="DB19" s="494"/>
      <c r="DC19" s="493">
        <f t="shared" si="292"/>
        <v>0</v>
      </c>
      <c r="DD19" s="494"/>
      <c r="DE19" s="493">
        <f t="shared" si="293"/>
        <v>0</v>
      </c>
      <c r="DF19" s="494"/>
      <c r="DG19" s="493">
        <f t="shared" si="294"/>
        <v>0</v>
      </c>
      <c r="DH19" s="494"/>
      <c r="DI19" s="493">
        <f t="shared" si="295"/>
        <v>0</v>
      </c>
      <c r="DJ19" s="494"/>
      <c r="DK19" s="493">
        <f t="shared" si="296"/>
        <v>0</v>
      </c>
      <c r="DL19" s="494"/>
      <c r="DM19" s="493">
        <f t="shared" si="297"/>
        <v>0</v>
      </c>
      <c r="DN19" s="494"/>
      <c r="DO19" s="493">
        <f t="shared" si="298"/>
        <v>0</v>
      </c>
      <c r="DP19" s="494"/>
      <c r="DQ19" s="493">
        <f t="shared" si="666"/>
        <v>0</v>
      </c>
      <c r="DR19" s="494"/>
      <c r="DS19" s="493">
        <f t="shared" si="300"/>
        <v>0</v>
      </c>
      <c r="DT19" s="494"/>
      <c r="DU19" s="493">
        <f t="shared" si="301"/>
        <v>0</v>
      </c>
      <c r="DV19" s="494"/>
      <c r="DW19" s="493">
        <f t="shared" si="302"/>
        <v>0</v>
      </c>
      <c r="DX19" s="494"/>
      <c r="DY19" s="493">
        <f t="shared" si="303"/>
        <v>0</v>
      </c>
      <c r="DZ19" s="494"/>
      <c r="EA19" s="493">
        <f t="shared" si="304"/>
        <v>0</v>
      </c>
      <c r="EB19" s="494"/>
      <c r="EC19" s="493">
        <f t="shared" si="305"/>
        <v>0</v>
      </c>
      <c r="ED19" s="494"/>
      <c r="EE19" s="493">
        <f>((EE42+EF42)-(EE41+EF41))/2</f>
        <v>0</v>
      </c>
      <c r="EF19" s="494"/>
      <c r="EG19" s="493">
        <f t="shared" si="1544"/>
        <v>0</v>
      </c>
      <c r="EH19" s="494"/>
      <c r="EI19" s="493">
        <f t="shared" si="1545"/>
        <v>0</v>
      </c>
      <c r="EJ19" s="494"/>
      <c r="EK19" s="493">
        <f t="shared" si="1546"/>
        <v>0</v>
      </c>
      <c r="EL19" s="494"/>
      <c r="EM19" s="493">
        <f t="shared" si="1547"/>
        <v>0</v>
      </c>
      <c r="EN19" s="494"/>
      <c r="EO19" s="493">
        <f t="shared" si="2127"/>
        <v>0</v>
      </c>
      <c r="EP19" s="494"/>
      <c r="EQ19" s="493">
        <f t="shared" si="307"/>
        <v>0</v>
      </c>
      <c r="ER19" s="494"/>
      <c r="ES19" s="493">
        <f t="shared" si="308"/>
        <v>0</v>
      </c>
      <c r="ET19" s="494"/>
      <c r="EU19" s="493">
        <f t="shared" si="309"/>
        <v>0</v>
      </c>
      <c r="EV19" s="494"/>
      <c r="EW19" s="493">
        <f t="shared" si="310"/>
        <v>0</v>
      </c>
      <c r="EX19" s="494"/>
      <c r="EY19" s="493">
        <f t="shared" si="311"/>
        <v>0</v>
      </c>
      <c r="EZ19" s="494"/>
      <c r="FA19" s="493">
        <f t="shared" si="312"/>
        <v>0</v>
      </c>
      <c r="FB19" s="494"/>
      <c r="FC19" s="493">
        <f t="shared" si="313"/>
        <v>0</v>
      </c>
      <c r="FD19" s="494"/>
      <c r="FE19" s="493">
        <f t="shared" si="314"/>
        <v>0</v>
      </c>
      <c r="FF19" s="494"/>
      <c r="FG19" s="493">
        <f t="shared" si="315"/>
        <v>0</v>
      </c>
      <c r="FH19" s="494"/>
      <c r="FI19" s="493">
        <f t="shared" si="316"/>
        <v>0</v>
      </c>
      <c r="FJ19" s="494"/>
      <c r="FK19" s="493">
        <f t="shared" si="317"/>
        <v>0</v>
      </c>
      <c r="FL19" s="494"/>
      <c r="FM19" s="493">
        <f t="shared" si="318"/>
        <v>0</v>
      </c>
      <c r="FN19" s="494"/>
      <c r="FO19" s="493">
        <f t="shared" si="319"/>
        <v>0</v>
      </c>
      <c r="FP19" s="494"/>
      <c r="FQ19" s="493">
        <f t="shared" si="320"/>
        <v>0</v>
      </c>
      <c r="FR19" s="494"/>
      <c r="FS19" s="493">
        <f t="shared" si="321"/>
        <v>0</v>
      </c>
      <c r="FT19" s="494"/>
      <c r="FU19" s="493">
        <f t="shared" si="322"/>
        <v>0</v>
      </c>
      <c r="FV19" s="494"/>
      <c r="FW19" s="493">
        <f t="shared" si="323"/>
        <v>0</v>
      </c>
      <c r="FX19" s="494"/>
      <c r="FY19" s="493">
        <f t="shared" si="324"/>
        <v>0</v>
      </c>
      <c r="FZ19" s="494"/>
      <c r="GA19" s="493">
        <f t="shared" si="325"/>
        <v>0</v>
      </c>
      <c r="GB19" s="494"/>
      <c r="GC19" s="493">
        <f t="shared" si="326"/>
        <v>0</v>
      </c>
      <c r="GD19" s="494"/>
      <c r="GE19" s="493">
        <f t="shared" si="327"/>
        <v>0</v>
      </c>
      <c r="GF19" s="494"/>
      <c r="GG19" s="493">
        <f t="shared" si="328"/>
        <v>0</v>
      </c>
      <c r="GH19" s="494"/>
      <c r="GI19" s="493">
        <f t="shared" si="329"/>
        <v>0</v>
      </c>
      <c r="GJ19" s="494"/>
      <c r="GK19" s="493">
        <f t="shared" si="330"/>
        <v>0</v>
      </c>
      <c r="GL19" s="494"/>
      <c r="GM19" s="493">
        <f t="shared" si="331"/>
        <v>0</v>
      </c>
      <c r="GN19" s="494"/>
      <c r="GO19" s="493">
        <f t="shared" si="1976"/>
        <v>0</v>
      </c>
      <c r="GP19" s="494"/>
      <c r="GQ19" s="493">
        <f t="shared" si="333"/>
        <v>0</v>
      </c>
      <c r="GR19" s="494"/>
      <c r="GS19" s="493">
        <f t="shared" si="334"/>
        <v>0</v>
      </c>
      <c r="GT19" s="494"/>
      <c r="GU19" s="493">
        <f t="shared" si="1109"/>
        <v>0</v>
      </c>
      <c r="GV19" s="494"/>
      <c r="GW19" s="493">
        <f t="shared" si="1110"/>
        <v>0</v>
      </c>
      <c r="GX19" s="494"/>
      <c r="GY19" s="493">
        <f t="shared" si="1111"/>
        <v>0</v>
      </c>
      <c r="GZ19" s="494"/>
      <c r="HA19" s="493">
        <f t="shared" si="335"/>
        <v>0</v>
      </c>
      <c r="HB19" s="494"/>
      <c r="HC19" s="493">
        <f t="shared" si="336"/>
        <v>0</v>
      </c>
      <c r="HD19" s="494"/>
      <c r="HE19" s="493">
        <f t="shared" si="1548"/>
        <v>0</v>
      </c>
      <c r="HF19" s="494"/>
      <c r="HG19" s="493">
        <f t="shared" si="338"/>
        <v>0</v>
      </c>
      <c r="HH19" s="494"/>
      <c r="HI19" s="493">
        <f t="shared" si="339"/>
        <v>0</v>
      </c>
      <c r="HJ19" s="494"/>
      <c r="HK19" s="493">
        <f t="shared" si="340"/>
        <v>0</v>
      </c>
      <c r="HL19" s="494"/>
      <c r="HM19" s="493">
        <f t="shared" si="341"/>
        <v>0</v>
      </c>
      <c r="HN19" s="494"/>
      <c r="HO19" s="493">
        <f t="shared" si="342"/>
        <v>0</v>
      </c>
      <c r="HP19" s="494"/>
      <c r="HQ19" s="493">
        <f t="shared" si="343"/>
        <v>0</v>
      </c>
      <c r="HR19" s="494"/>
      <c r="HS19" s="493">
        <f t="shared" si="344"/>
        <v>0</v>
      </c>
      <c r="HT19" s="494"/>
      <c r="HU19" s="493">
        <f t="shared" si="345"/>
        <v>0</v>
      </c>
      <c r="HV19" s="494"/>
      <c r="HW19" s="493">
        <f t="shared" si="346"/>
        <v>0</v>
      </c>
      <c r="HX19" s="494"/>
      <c r="HY19" s="493">
        <f t="shared" si="347"/>
        <v>0</v>
      </c>
      <c r="HZ19" s="494"/>
      <c r="IA19" s="493">
        <f t="shared" si="348"/>
        <v>0</v>
      </c>
      <c r="IB19" s="494"/>
      <c r="IC19" s="493">
        <f t="shared" si="349"/>
        <v>0</v>
      </c>
      <c r="ID19" s="494"/>
      <c r="IE19" s="493">
        <f t="shared" si="1977"/>
        <v>0</v>
      </c>
      <c r="IF19" s="494"/>
      <c r="IG19" s="493">
        <f t="shared" si="351"/>
        <v>0</v>
      </c>
      <c r="IH19" s="494"/>
      <c r="II19" s="493">
        <f t="shared" si="352"/>
        <v>0</v>
      </c>
      <c r="IJ19" s="494"/>
      <c r="IK19" s="493">
        <f t="shared" si="353"/>
        <v>0</v>
      </c>
      <c r="IL19" s="494"/>
      <c r="IM19" s="493">
        <f t="shared" si="354"/>
        <v>0</v>
      </c>
      <c r="IN19" s="494"/>
      <c r="IO19" s="493">
        <f t="shared" si="355"/>
        <v>0</v>
      </c>
      <c r="IP19" s="494"/>
      <c r="IQ19" s="493">
        <f t="shared" si="356"/>
        <v>0</v>
      </c>
      <c r="IR19" s="494"/>
      <c r="IS19" s="493">
        <f t="shared" si="357"/>
        <v>0</v>
      </c>
      <c r="IT19" s="494"/>
      <c r="IU19" s="493">
        <f t="shared" si="14"/>
        <v>0</v>
      </c>
      <c r="IV19" s="494"/>
      <c r="IW19" s="493">
        <f t="shared" si="15"/>
        <v>0</v>
      </c>
      <c r="IX19" s="494"/>
      <c r="IY19" s="493">
        <f t="shared" si="16"/>
        <v>0</v>
      </c>
      <c r="IZ19" s="494"/>
      <c r="JA19" s="493">
        <f t="shared" ref="JA19:JA21" si="2427">((JA42+JB42)-(JA41+JB41))/2</f>
        <v>0</v>
      </c>
      <c r="JB19" s="494"/>
      <c r="JC19" s="493">
        <f t="shared" ref="JC19:JC21" si="2428">((JC42+JD42)-(JC41+JD41))/2</f>
        <v>0</v>
      </c>
      <c r="JD19" s="494"/>
      <c r="JE19" s="493">
        <f t="shared" si="19"/>
        <v>0</v>
      </c>
      <c r="JF19" s="494"/>
      <c r="JG19" s="493">
        <f t="shared" ref="JG19:JG21" si="2429">((JG42+JH42)-(JG41+JH41))/2</f>
        <v>0</v>
      </c>
      <c r="JH19" s="494"/>
      <c r="JI19" s="493">
        <f t="shared" ref="JI19:JI21" si="2430">((JI42+JJ42)-(JI41+JJ41))/2</f>
        <v>0</v>
      </c>
      <c r="JJ19" s="494"/>
      <c r="JK19" s="493">
        <f t="shared" si="22"/>
        <v>0</v>
      </c>
      <c r="JL19" s="494"/>
      <c r="JM19" s="493">
        <f t="shared" ref="JM19:JM21" si="2431">((JM42+JN42)-(JM41+JN41))/2</f>
        <v>0</v>
      </c>
      <c r="JN19" s="494"/>
      <c r="JO19" s="493">
        <f t="shared" ref="JO19:JO21" si="2432">((JO42+JP42)-(JO41+JP41))/2</f>
        <v>0</v>
      </c>
      <c r="JP19" s="494"/>
      <c r="JQ19" s="493">
        <f t="shared" si="25"/>
        <v>0</v>
      </c>
      <c r="JR19" s="494"/>
      <c r="JS19" s="493">
        <f t="shared" ref="JS19:JS21" si="2433">((JS42+JT42)-(JS41+JT41))/2</f>
        <v>0</v>
      </c>
      <c r="JT19" s="494"/>
      <c r="JU19" s="493">
        <f t="shared" ref="JU19:JU21" si="2434">((JU42+JV42)-(JU41+JV41))/2</f>
        <v>0</v>
      </c>
      <c r="JV19" s="494"/>
      <c r="JW19" s="493">
        <f t="shared" si="28"/>
        <v>0</v>
      </c>
      <c r="JX19" s="494"/>
      <c r="JY19" s="493">
        <f t="shared" ref="JY19:JY21" si="2435">((JY42+JZ42)-(JY41+JZ41))/2</f>
        <v>0</v>
      </c>
      <c r="JZ19" s="494"/>
      <c r="KA19" s="493">
        <f t="shared" ref="KA19:KA21" si="2436">((KA42+KB42)-(KA41+KB41))/2</f>
        <v>0</v>
      </c>
      <c r="KB19" s="494"/>
      <c r="KC19" s="493">
        <f t="shared" si="31"/>
        <v>0</v>
      </c>
      <c r="KD19" s="494"/>
      <c r="KE19" s="493">
        <f t="shared" ref="KE19:KE21" si="2437">((KE42+KF42)-(KE41+KF41))/2</f>
        <v>0</v>
      </c>
      <c r="KF19" s="494"/>
      <c r="KG19" s="493">
        <f t="shared" ref="KG19:KG21" si="2438">((KG42+KH42)-(KG41+KH41))/2</f>
        <v>0</v>
      </c>
      <c r="KH19" s="494"/>
      <c r="KI19" s="493">
        <f t="shared" si="34"/>
        <v>0</v>
      </c>
      <c r="KJ19" s="494"/>
      <c r="KK19" s="493">
        <f t="shared" ref="KK19:KK21" si="2439">((KK42+KL42)-(KK41+KL41))/2</f>
        <v>0</v>
      </c>
      <c r="KL19" s="494"/>
      <c r="KM19" s="493">
        <f t="shared" ref="KM19:KM21" si="2440">((KM42+KN42)-(KM41+KN41))/2</f>
        <v>0</v>
      </c>
      <c r="KN19" s="494"/>
      <c r="KO19" s="493">
        <f t="shared" si="37"/>
        <v>0</v>
      </c>
      <c r="KP19" s="494"/>
      <c r="KQ19" s="493">
        <f t="shared" ref="KQ19:KQ21" si="2441">((KQ42+KR42)-(KQ41+KR41))/2</f>
        <v>0</v>
      </c>
      <c r="KR19" s="494"/>
      <c r="KS19" s="493">
        <f t="shared" ref="KS19:KS21" si="2442">((KS42+KT42)-(KS41+KT41))/2</f>
        <v>0</v>
      </c>
      <c r="KT19" s="494"/>
      <c r="KU19" s="493">
        <f t="shared" si="40"/>
        <v>0</v>
      </c>
      <c r="KV19" s="494"/>
      <c r="KW19" s="493">
        <f t="shared" ref="KW19:KW21" si="2443">((KW42+KX42)-(KW41+KX41))/2</f>
        <v>0</v>
      </c>
      <c r="KX19" s="494"/>
      <c r="KY19" s="493">
        <f t="shared" ref="KY19:KY21" si="2444">((KY42+KZ42)-(KY41+KZ41))/2</f>
        <v>0</v>
      </c>
      <c r="KZ19" s="494"/>
      <c r="LA19" s="493">
        <f t="shared" ref="LA19:LA20" si="2445">((LA42+LB43)-(LA41+LB42))/2</f>
        <v>0</v>
      </c>
      <c r="LB19" s="494"/>
      <c r="LC19" s="493">
        <f t="shared" si="376"/>
        <v>0</v>
      </c>
      <c r="LD19" s="494"/>
      <c r="LE19" s="493">
        <f t="shared" si="377"/>
        <v>0</v>
      </c>
      <c r="LF19" s="494"/>
      <c r="LG19" s="493">
        <f t="shared" si="378"/>
        <v>0</v>
      </c>
      <c r="LH19" s="494"/>
      <c r="LI19" s="493">
        <f t="shared" ref="LI19:LI21" si="2446">((LI42+LJ42)-(LI41+LJ41))/2</f>
        <v>0</v>
      </c>
      <c r="LJ19" s="494"/>
      <c r="LK19" s="493">
        <f t="shared" ref="LK19:LK21" si="2447">((LK42+LL42)-(LK41+LL41))/2</f>
        <v>0</v>
      </c>
      <c r="LL19" s="494"/>
      <c r="LM19" s="493">
        <f t="shared" si="49"/>
        <v>0</v>
      </c>
      <c r="LN19" s="494"/>
      <c r="LO19" s="493">
        <f t="shared" ref="LO19:LO21" si="2448">((LO42+LP42)-(LO41+LP41))/2</f>
        <v>0</v>
      </c>
      <c r="LP19" s="494"/>
      <c r="LQ19" s="493">
        <f t="shared" ref="LQ19:LQ21" si="2449">((LQ42+LR42)-(LQ41+LR41))/2</f>
        <v>0</v>
      </c>
      <c r="LR19" s="494"/>
      <c r="LS19" s="493">
        <f t="shared" si="52"/>
        <v>0</v>
      </c>
      <c r="LT19" s="494"/>
      <c r="LU19" s="493">
        <f t="shared" ref="LU19:LU21" si="2450">((LU42+LV42)-(LU41+LV41))/2</f>
        <v>0</v>
      </c>
      <c r="LV19" s="494"/>
      <c r="LW19" s="493">
        <f t="shared" ref="LW19:LW21" si="2451">((LW42+LX42)-(LW41+LX41))/2</f>
        <v>0</v>
      </c>
      <c r="LX19" s="494"/>
      <c r="LY19" s="493">
        <f t="shared" si="55"/>
        <v>0</v>
      </c>
      <c r="LZ19" s="494"/>
      <c r="MA19" s="493">
        <f t="shared" ref="MA19:MA21" si="2452">((MA42+MB42)-(MA41+MB41))/2</f>
        <v>0</v>
      </c>
      <c r="MB19" s="494"/>
      <c r="MC19" s="493">
        <f t="shared" ref="MC19:MC21" si="2453">((MC42+MD42)-(MC41+MD41))/2</f>
        <v>0</v>
      </c>
      <c r="MD19" s="494"/>
      <c r="ME19" s="493">
        <f t="shared" si="58"/>
        <v>0</v>
      </c>
      <c r="MF19" s="494"/>
      <c r="MG19" s="493">
        <f t="shared" ref="MG19:MG21" si="2454">((MG42+MH42)-(MG41+MH41))/2</f>
        <v>0</v>
      </c>
      <c r="MH19" s="494"/>
      <c r="MI19" s="493">
        <f t="shared" ref="MI19:MI21" si="2455">((MI42+MJ42)-(MI41+MJ41))/2</f>
        <v>0</v>
      </c>
      <c r="MJ19" s="494"/>
      <c r="MK19" s="493">
        <f t="shared" si="61"/>
        <v>0</v>
      </c>
      <c r="ML19" s="494"/>
      <c r="MM19" s="493">
        <f t="shared" ref="MM19:MM21" si="2456">((MM42+MN42)-(MM41+MN41))/2</f>
        <v>0</v>
      </c>
      <c r="MN19" s="494"/>
      <c r="MO19" s="493">
        <f t="shared" ref="MO19:MO21" si="2457">((MO42+MP42)-(MO41+MP41))/2</f>
        <v>0</v>
      </c>
      <c r="MP19" s="494"/>
      <c r="MQ19" s="493">
        <f t="shared" si="64"/>
        <v>0</v>
      </c>
      <c r="MR19" s="494"/>
      <c r="MS19" s="493">
        <f t="shared" ref="MS19:MS21" si="2458">((MS42+MT42)-(MS41+MT41))/2</f>
        <v>0</v>
      </c>
      <c r="MT19" s="494"/>
      <c r="MU19" s="493">
        <f t="shared" ref="MU19:MU21" si="2459">((MU42+MV42)-(MU41+MV41))/2</f>
        <v>0</v>
      </c>
      <c r="MV19" s="494"/>
      <c r="MW19" s="493">
        <f t="shared" si="67"/>
        <v>0</v>
      </c>
      <c r="MX19" s="494"/>
      <c r="MY19" s="493">
        <f t="shared" ref="MY19:MY21" si="2460">((MY42+MZ42)-(MY41+MZ41))/2</f>
        <v>0</v>
      </c>
      <c r="MZ19" s="494"/>
      <c r="NA19" s="493">
        <f t="shared" ref="NA19:NA21" si="2461">((NA42+NB42)-(NA41+NB41))/2</f>
        <v>0</v>
      </c>
      <c r="NB19" s="494"/>
      <c r="NC19" s="493">
        <f t="shared" si="70"/>
        <v>0</v>
      </c>
      <c r="ND19" s="494"/>
      <c r="NE19" s="493">
        <f t="shared" ref="NE19:NE21" si="2462">((NE42+NF42)-(NE41+NF41))/2</f>
        <v>0</v>
      </c>
      <c r="NF19" s="494"/>
      <c r="NG19" s="493">
        <f t="shared" ref="NG19:NG21" si="2463">((NG42+NH42)-(NG41+NH41))/2</f>
        <v>0</v>
      </c>
      <c r="NH19" s="494"/>
      <c r="NI19" s="493">
        <f t="shared" si="73"/>
        <v>0</v>
      </c>
      <c r="NJ19" s="494"/>
      <c r="NK19" s="493">
        <f t="shared" ref="NK19:NK21" si="2464">((NK42+NL42)-(NK41+NL41))/2</f>
        <v>0</v>
      </c>
      <c r="NL19" s="494"/>
      <c r="NM19" s="493">
        <f t="shared" ref="NM19:NM21" si="2465">((NM42+NN42)-(NM41+NN41))/2</f>
        <v>0</v>
      </c>
      <c r="NN19" s="494"/>
      <c r="NO19" s="493">
        <f t="shared" si="76"/>
        <v>0</v>
      </c>
      <c r="NP19" s="494"/>
      <c r="NQ19" s="493">
        <f t="shared" ref="NQ19:NQ21" si="2466">((NQ42+NR42)-(NQ41+NR41))/2</f>
        <v>0</v>
      </c>
      <c r="NR19" s="494"/>
      <c r="NS19" s="493">
        <f t="shared" ref="NS19:NS21" si="2467">((NS42+NT42)-(NS41+NT41))/2</f>
        <v>0</v>
      </c>
      <c r="NT19" s="494"/>
      <c r="NU19" s="493">
        <f t="shared" si="79"/>
        <v>0</v>
      </c>
      <c r="NV19" s="494"/>
      <c r="NW19" s="493">
        <f t="shared" ref="NW19:NW21" si="2468">((NW42+NX42)-(NW41+NX41))/2</f>
        <v>0</v>
      </c>
      <c r="NX19" s="494"/>
      <c r="NY19" s="493">
        <f t="shared" ref="NY19:NY21" si="2469">((NY42+NZ42)-(NY41+NZ41))/2</f>
        <v>0</v>
      </c>
      <c r="NZ19" s="494"/>
      <c r="OA19" s="493">
        <f t="shared" si="82"/>
        <v>0</v>
      </c>
      <c r="OB19" s="494"/>
      <c r="OC19" s="493">
        <f t="shared" ref="OC19:OC21" si="2470">((OC42+OD42)-(OC41+OD41))/2</f>
        <v>0</v>
      </c>
      <c r="OD19" s="494"/>
      <c r="OE19" s="493">
        <f t="shared" ref="OE19:OE21" si="2471">((OE42+OF42)-(OE41+OF41))/2</f>
        <v>0</v>
      </c>
      <c r="OF19" s="494"/>
      <c r="OG19" s="493">
        <f t="shared" si="85"/>
        <v>0</v>
      </c>
      <c r="OH19" s="494"/>
      <c r="OI19" s="493">
        <f t="shared" ref="OI19:OI21" si="2472">((OI42+OJ42)-(OI41+OJ41))/2</f>
        <v>0</v>
      </c>
      <c r="OJ19" s="494"/>
      <c r="OK19" s="493">
        <f t="shared" ref="OK19:OK21" si="2473">((OK42+OL42)-(OK41+OL41))/2</f>
        <v>0</v>
      </c>
      <c r="OL19" s="494"/>
      <c r="OM19" s="493">
        <f t="shared" si="88"/>
        <v>0</v>
      </c>
      <c r="ON19" s="494"/>
      <c r="OO19" s="493">
        <f t="shared" ref="OO19:OO21" si="2474">((OO42+OP42)-(OO41+OP41))/2</f>
        <v>0</v>
      </c>
      <c r="OP19" s="494"/>
      <c r="OQ19" s="493">
        <f t="shared" ref="OQ19:OQ21" si="2475">((OQ42+OR42)-(OQ41+OR41))/2</f>
        <v>0</v>
      </c>
      <c r="OR19" s="494"/>
      <c r="OS19" s="493">
        <f t="shared" si="91"/>
        <v>0</v>
      </c>
      <c r="OT19" s="494"/>
      <c r="OU19" s="493">
        <f t="shared" ref="OU19:OU21" si="2476">((OU42+OV42)-(OU41+OV41))/2</f>
        <v>0</v>
      </c>
      <c r="OV19" s="494"/>
      <c r="OW19" s="493">
        <f t="shared" ref="OW19:OW21" si="2477">((OW42+OX42)-(OW41+OX41))/2</f>
        <v>0</v>
      </c>
      <c r="OX19" s="494"/>
      <c r="OY19" s="493">
        <f t="shared" si="94"/>
        <v>0</v>
      </c>
      <c r="OZ19" s="494"/>
      <c r="PA19" s="493">
        <f t="shared" ref="PA19:PA21" si="2478">((PA42+PB42)-(PA41+PB41))/2</f>
        <v>0</v>
      </c>
      <c r="PB19" s="494"/>
      <c r="PC19" s="493">
        <f t="shared" ref="PC19:PC21" si="2479">((PC42+PD42)-(PC41+PD41))/2</f>
        <v>0</v>
      </c>
      <c r="PD19" s="494"/>
      <c r="PE19" s="493">
        <f t="shared" si="97"/>
        <v>0</v>
      </c>
      <c r="PF19" s="494"/>
      <c r="PG19" s="493">
        <f t="shared" ref="PG19:PG21" si="2480">((PG42+PH42)-(PG41+PH41))/2</f>
        <v>0</v>
      </c>
      <c r="PH19" s="494"/>
      <c r="PI19" s="493">
        <f t="shared" ref="PI19:PI21" si="2481">((PI42+PJ42)-(PI41+PJ41))/2</f>
        <v>0</v>
      </c>
      <c r="PJ19" s="494"/>
      <c r="PK19" s="493">
        <f t="shared" si="100"/>
        <v>0</v>
      </c>
      <c r="PL19" s="494"/>
      <c r="PM19" s="493">
        <f t="shared" ref="PM19:PM21" si="2482">((PM42+PN42)-(PM41+PN41))/2</f>
        <v>0</v>
      </c>
      <c r="PN19" s="494"/>
      <c r="PO19" s="493">
        <f t="shared" ref="PO19:PO21" si="2483">((PO42+PP42)-(PO41+PP41))/2</f>
        <v>0</v>
      </c>
      <c r="PP19" s="494"/>
      <c r="PQ19" s="493">
        <f t="shared" si="103"/>
        <v>0</v>
      </c>
      <c r="PR19" s="494"/>
      <c r="PS19" s="493">
        <f t="shared" ref="PS19:PS21" si="2484">((PS42+PT42)-(PS41+PT41))/2</f>
        <v>0</v>
      </c>
      <c r="PT19" s="494"/>
      <c r="PU19" s="493">
        <f t="shared" ref="PU19:PU21" si="2485">((PU42+PV42)-(PU41+PV41))/2</f>
        <v>0</v>
      </c>
      <c r="PV19" s="494"/>
      <c r="PW19" s="493">
        <f t="shared" si="106"/>
        <v>0</v>
      </c>
      <c r="PX19" s="494"/>
      <c r="PY19" s="493">
        <f t="shared" ref="PY19:PY21" si="2486">((PY42+PZ42)-(PY41+PZ41))/2</f>
        <v>0</v>
      </c>
      <c r="PZ19" s="494"/>
      <c r="QA19" s="493">
        <f t="shared" ref="QA19:QA21" si="2487">((QA42+QB42)-(QA41+QB41))/2</f>
        <v>0</v>
      </c>
      <c r="QB19" s="494"/>
      <c r="QC19" s="493">
        <f t="shared" si="109"/>
        <v>0</v>
      </c>
      <c r="QD19" s="494"/>
      <c r="QE19" s="493">
        <f t="shared" ref="QE19:QE21" si="2488">((QE42+QF42)-(QE41+QF41))/2</f>
        <v>0</v>
      </c>
      <c r="QF19" s="494"/>
      <c r="QG19" s="493">
        <f t="shared" ref="QG19:QG21" si="2489">((QG42+QH42)-(QG41+QH41))/2</f>
        <v>0</v>
      </c>
      <c r="QH19" s="494"/>
      <c r="QI19" s="493">
        <f t="shared" si="112"/>
        <v>0</v>
      </c>
      <c r="QJ19" s="494"/>
      <c r="QK19" s="493">
        <f t="shared" ref="QK19:QK21" si="2490">((QK42+QL42)-(QK41+QL41))/2</f>
        <v>0</v>
      </c>
      <c r="QL19" s="494"/>
      <c r="QM19" s="493">
        <f t="shared" ref="QM19:QM21" si="2491">((QM42+QN42)-(QM41+QN41))/2</f>
        <v>0</v>
      </c>
      <c r="QN19" s="494"/>
      <c r="QO19" s="493">
        <f t="shared" si="115"/>
        <v>0</v>
      </c>
      <c r="QP19" s="494"/>
      <c r="QQ19" s="493">
        <f t="shared" ref="QQ19:QQ21" si="2492">((QQ42+QR42)-(QQ41+QR41))/2</f>
        <v>0</v>
      </c>
      <c r="QR19" s="494"/>
      <c r="QS19" s="493">
        <f t="shared" ref="QS19:QS21" si="2493">((QS42+QT42)-(QS41+QT41))/2</f>
        <v>0</v>
      </c>
      <c r="QT19" s="494"/>
      <c r="QU19" s="493">
        <f t="shared" si="118"/>
        <v>0</v>
      </c>
      <c r="QV19" s="494"/>
      <c r="QW19" s="493">
        <f t="shared" ref="QW19:QW21" si="2494">((QW42+QX42)-(QW41+QX41))/2</f>
        <v>0</v>
      </c>
      <c r="QX19" s="494"/>
      <c r="QY19" s="493">
        <f t="shared" ref="QY19:QY21" si="2495">((QY42+QZ42)-(QY41+QZ41))/2</f>
        <v>0</v>
      </c>
      <c r="QZ19" s="494"/>
      <c r="RA19" s="493">
        <f t="shared" si="121"/>
        <v>0</v>
      </c>
      <c r="RB19" s="494"/>
      <c r="RC19" s="493">
        <f t="shared" ref="RC19:RC21" si="2496">((RC42+RD42)-(RC41+RD41))/2</f>
        <v>0</v>
      </c>
      <c r="RD19" s="494"/>
      <c r="RE19" s="493">
        <f t="shared" ref="RE19:RE21" si="2497">((RE42+RF42)-(RE41+RF41))/2</f>
        <v>0</v>
      </c>
      <c r="RF19" s="494"/>
      <c r="RG19" s="493">
        <f t="shared" si="124"/>
        <v>0</v>
      </c>
      <c r="RH19" s="494"/>
      <c r="RI19" s="493">
        <f t="shared" ref="RI19:RI21" si="2498">((RI42+RJ42)-(RI41+RJ41))/2</f>
        <v>0</v>
      </c>
      <c r="RJ19" s="494"/>
      <c r="RK19" s="493">
        <f t="shared" ref="RK19:RK21" si="2499">((RK42+RL42)-(RK41+RL41))/2</f>
        <v>0</v>
      </c>
      <c r="RL19" s="494"/>
      <c r="RM19" s="493">
        <f t="shared" si="126"/>
        <v>0</v>
      </c>
      <c r="RN19" s="494"/>
      <c r="RO19" s="493">
        <f t="shared" ref="RO19:RO21" si="2500">((RO42+RP42)-(RO41+RP41))/2</f>
        <v>0</v>
      </c>
      <c r="RP19" s="494"/>
      <c r="RQ19" s="493">
        <f t="shared" ref="RQ19:RQ21" si="2501">((RQ42+RR42)-(RQ41+RR41))/2</f>
        <v>0</v>
      </c>
      <c r="RR19" s="494"/>
      <c r="RS19" s="493">
        <f t="shared" si="129"/>
        <v>0</v>
      </c>
      <c r="RT19" s="494"/>
      <c r="RU19" s="493">
        <f t="shared" ref="RU19:RU21" si="2502">((RU42+RV42)-(RU41+RV41))/2</f>
        <v>0</v>
      </c>
      <c r="RV19" s="494"/>
      <c r="RW19" s="493">
        <f t="shared" ref="RW19:RW21" si="2503">((RW42+RX42)-(RW41+RX41))/2</f>
        <v>0</v>
      </c>
      <c r="RX19" s="494"/>
      <c r="RY19" s="493">
        <f t="shared" si="132"/>
        <v>0</v>
      </c>
      <c r="RZ19" s="494"/>
      <c r="SA19" s="493">
        <f t="shared" ref="SA19:SA21" si="2504">((SA42+SB42)-(SA41+SB41))/2</f>
        <v>0</v>
      </c>
      <c r="SB19" s="494"/>
      <c r="SC19" s="493">
        <f t="shared" ref="SC19:SC21" si="2505">((SC42+SD42)-(SC41+SD41))/2</f>
        <v>0</v>
      </c>
      <c r="SD19" s="494"/>
      <c r="SE19" s="493">
        <f t="shared" si="135"/>
        <v>0</v>
      </c>
      <c r="SF19" s="494"/>
      <c r="SG19" s="493">
        <f t="shared" ref="SG19:SG21" si="2506">((SG42+SH42)-(SG41+SH41))/2</f>
        <v>0</v>
      </c>
      <c r="SH19" s="494"/>
      <c r="SI19" s="493">
        <f t="shared" ref="SI19:SI21" si="2507">((SI42+SJ42)-(SI41+SJ41))/2</f>
        <v>0</v>
      </c>
      <c r="SJ19" s="494"/>
      <c r="SK19" s="493">
        <f t="shared" si="138"/>
        <v>0</v>
      </c>
      <c r="SL19" s="494"/>
      <c r="SM19" s="493">
        <f t="shared" ref="SM19:SM21" si="2508">((SM42+SN42)-(SM41+SN41))/2</f>
        <v>0</v>
      </c>
      <c r="SN19" s="494"/>
      <c r="SO19" s="493">
        <f t="shared" ref="SO19:SO21" si="2509">((SO42+SP42)-(SO41+SP41))/2</f>
        <v>0</v>
      </c>
      <c r="SP19" s="494"/>
      <c r="SQ19" s="493">
        <f t="shared" si="141"/>
        <v>0</v>
      </c>
      <c r="SR19" s="494"/>
      <c r="SS19" s="493">
        <f t="shared" ref="SS19:SS21" si="2510">((SS42+ST42)-(SS41+ST41))/2</f>
        <v>0</v>
      </c>
      <c r="ST19" s="494"/>
      <c r="SU19" s="493">
        <f t="shared" ref="SU19:SU21" si="2511">((SU42+SV42)-(SU41+SV41))/2</f>
        <v>0</v>
      </c>
      <c r="SV19" s="494"/>
      <c r="SW19" s="493">
        <f t="shared" si="144"/>
        <v>0</v>
      </c>
      <c r="SX19" s="494"/>
      <c r="SY19" s="493">
        <f t="shared" ref="SY19:SY21" si="2512">((SY42+SZ42)-(SY41+SZ41))/2</f>
        <v>0</v>
      </c>
      <c r="SZ19" s="494"/>
      <c r="TA19" s="493">
        <f t="shared" ref="TA19:TA21" si="2513">((TA42+TB42)-(TA41+TB41))/2</f>
        <v>0</v>
      </c>
      <c r="TB19" s="494"/>
      <c r="TC19" s="493">
        <f t="shared" si="147"/>
        <v>0</v>
      </c>
      <c r="TD19" s="494"/>
      <c r="TE19" s="493">
        <f t="shared" ref="TE19:TE21" si="2514">((TE42+TF42)-(TE41+TF41))/2</f>
        <v>0</v>
      </c>
      <c r="TF19" s="494"/>
      <c r="TG19" s="493">
        <f t="shared" ref="TG19:TG21" si="2515">((TG42+TH42)-(TG41+TH41))/2</f>
        <v>0</v>
      </c>
      <c r="TH19" s="494"/>
      <c r="TI19" s="493">
        <f t="shared" si="150"/>
        <v>0</v>
      </c>
      <c r="TJ19" s="494"/>
      <c r="TK19" s="493">
        <f t="shared" ref="TK19:TK21" si="2516">((TK42+TL42)-(TK41+TL41))/2</f>
        <v>0</v>
      </c>
      <c r="TL19" s="494"/>
      <c r="TM19" s="493">
        <f t="shared" ref="TM19:TM21" si="2517">((TM42+TN42)-(TM41+TN41))/2</f>
        <v>0</v>
      </c>
      <c r="TN19" s="494"/>
      <c r="TO19" s="493">
        <f t="shared" si="153"/>
        <v>0</v>
      </c>
      <c r="TP19" s="494"/>
      <c r="TQ19" s="493">
        <f t="shared" ref="TQ19:TQ21" si="2518">((TQ42+TR42)-(TQ41+TR41))/2</f>
        <v>0</v>
      </c>
      <c r="TR19" s="494"/>
      <c r="TS19" s="493">
        <f t="shared" ref="TS19:TS21" si="2519">((TS42+TT42)-(TS41+TT41))/2</f>
        <v>0</v>
      </c>
      <c r="TT19" s="494"/>
      <c r="TU19" s="493">
        <f t="shared" si="156"/>
        <v>0</v>
      </c>
      <c r="TV19" s="494"/>
      <c r="TW19" s="493">
        <f t="shared" ref="TW19:TW21" si="2520">((TW42+TX42)-(TW41+TX41))/2</f>
        <v>0</v>
      </c>
      <c r="TX19" s="494"/>
      <c r="TY19" s="493">
        <f t="shared" ref="TY19:TY21" si="2521">((TY42+TZ42)-(TY41+TZ41))/2</f>
        <v>0</v>
      </c>
      <c r="TZ19" s="494"/>
      <c r="UA19" s="493">
        <f t="shared" si="159"/>
        <v>0</v>
      </c>
      <c r="UB19" s="494"/>
      <c r="UC19" s="493">
        <f t="shared" ref="UC19:UC21" si="2522">((UC42+UD42)-(UC41+UD41))/2</f>
        <v>0</v>
      </c>
      <c r="UD19" s="494"/>
      <c r="UE19" s="493">
        <f t="shared" ref="UE19:UE21" si="2523">((UE42+UF42)-(UE41+UF41))/2</f>
        <v>0</v>
      </c>
      <c r="UF19" s="494"/>
      <c r="UG19" s="493">
        <f t="shared" si="162"/>
        <v>0</v>
      </c>
      <c r="UH19" s="494"/>
      <c r="UI19" s="493">
        <f t="shared" ref="UI19:UI21" si="2524">((UI42+UJ42)-(UI41+UJ41))/2</f>
        <v>0</v>
      </c>
      <c r="UJ19" s="494"/>
      <c r="UK19" s="493">
        <f t="shared" ref="UK19:UK21" si="2525">((UK42+UL42)-(UK41+UL41))/2</f>
        <v>0</v>
      </c>
      <c r="UL19" s="494"/>
      <c r="UM19" s="493">
        <f t="shared" si="165"/>
        <v>0</v>
      </c>
      <c r="UN19" s="494"/>
      <c r="UO19" s="493">
        <f t="shared" ref="UO19:UO21" si="2526">((UO42+UP42)-(UO41+UP41))/2</f>
        <v>0</v>
      </c>
      <c r="UP19" s="494"/>
      <c r="UQ19" s="493">
        <f t="shared" ref="UQ19:UQ21" si="2527">((UQ42+UR42)-(UQ41+UR41))/2</f>
        <v>0</v>
      </c>
      <c r="UR19" s="494"/>
      <c r="US19" s="493">
        <f t="shared" si="168"/>
        <v>0</v>
      </c>
      <c r="UT19" s="494"/>
      <c r="UU19" s="493">
        <f t="shared" ref="UU19:UU21" si="2528">((UU42+UV42)-(UU41+UV41))/2</f>
        <v>0</v>
      </c>
      <c r="UV19" s="494"/>
      <c r="UW19" s="493">
        <f t="shared" ref="UW19:UW21" si="2529">((UW42+UX42)-(UW41+UX41))/2</f>
        <v>0</v>
      </c>
      <c r="UX19" s="494"/>
      <c r="UY19" s="493">
        <f t="shared" si="171"/>
        <v>0</v>
      </c>
      <c r="UZ19" s="494"/>
      <c r="VA19" s="493">
        <f t="shared" ref="VA19:VA21" si="2530">((VA42+VB42)-(VA41+VB41))/2</f>
        <v>0</v>
      </c>
      <c r="VB19" s="494"/>
      <c r="VC19" s="493">
        <f t="shared" ref="VC19:VC21" si="2531">((VC42+VD42)-(VC41+VD41))/2</f>
        <v>0</v>
      </c>
      <c r="VD19" s="494"/>
      <c r="VE19" s="493">
        <f t="shared" si="464"/>
        <v>0</v>
      </c>
      <c r="VF19" s="494"/>
      <c r="VG19" s="493">
        <f t="shared" ref="VG19:VG21" si="2532">((VG42+VH42)-(VG41+VH41))/2</f>
        <v>0</v>
      </c>
      <c r="VH19" s="494"/>
      <c r="VI19" s="493">
        <f t="shared" ref="VI19:VI21" si="2533">((VI42+VJ42)-(VI41+VJ41))/2</f>
        <v>0</v>
      </c>
      <c r="VJ19" s="494"/>
      <c r="VK19" s="493">
        <f t="shared" si="467"/>
        <v>0</v>
      </c>
      <c r="VL19" s="494"/>
      <c r="VM19" s="493">
        <f t="shared" ref="VM19:VM21" si="2534">((VM42+VN42)-(VM41+VN41))/2</f>
        <v>0</v>
      </c>
      <c r="VN19" s="494"/>
      <c r="VO19" s="493">
        <f t="shared" ref="VO19:VO21" si="2535">((VO42+VP42)-(VO41+VP41))/2</f>
        <v>0</v>
      </c>
      <c r="VP19" s="494"/>
      <c r="VQ19" s="493">
        <f t="shared" si="178"/>
        <v>0</v>
      </c>
      <c r="VR19" s="494"/>
      <c r="VS19" s="493">
        <f t="shared" ref="VS19:VS21" si="2536">((VS42+VT42)-(VS41+VT41))/2</f>
        <v>0</v>
      </c>
      <c r="VT19" s="494"/>
      <c r="VU19" s="493">
        <f t="shared" si="1936"/>
        <v>0</v>
      </c>
      <c r="VV19" s="494"/>
      <c r="VW19" s="493">
        <f t="shared" si="181"/>
        <v>0</v>
      </c>
      <c r="VX19" s="494"/>
      <c r="VY19" s="493">
        <f t="shared" ref="VY19:VY21" si="2537">((VY42+VZ42)-(VY41+VZ41))/2</f>
        <v>0</v>
      </c>
      <c r="VZ19" s="494"/>
      <c r="WA19" s="493">
        <f>((WA38+WB37)-(WA37+WB36))/2</f>
        <v>0</v>
      </c>
      <c r="WB19" s="494"/>
      <c r="WC19" s="493">
        <f t="shared" si="184"/>
        <v>0</v>
      </c>
      <c r="WD19" s="494"/>
      <c r="WE19" s="493">
        <f t="shared" ref="WE19:WE21" si="2538">((WE42+WF42)-(WE41+WF41))/2</f>
        <v>0</v>
      </c>
      <c r="WF19" s="494"/>
      <c r="WG19" s="493">
        <f t="shared" ref="WG19:WG21" si="2539">((WG42+WH42)-(WG41+WH41))/2</f>
        <v>0</v>
      </c>
      <c r="WH19" s="494"/>
      <c r="WI19" s="493">
        <f t="shared" si="187"/>
        <v>0</v>
      </c>
      <c r="WJ19" s="494"/>
      <c r="WK19" s="493">
        <f t="shared" ref="WK19:WK21" si="2540">((WK42+WL42)-(WK41+WL41))/2</f>
        <v>0</v>
      </c>
      <c r="WL19" s="494"/>
      <c r="WM19" s="493">
        <f t="shared" ref="WM19:WM21" si="2541">((WM42+WN42)-(WM41+WN41))/2</f>
        <v>0</v>
      </c>
      <c r="WN19" s="494"/>
      <c r="WO19" s="493">
        <f t="shared" si="190"/>
        <v>0</v>
      </c>
      <c r="WP19" s="494"/>
      <c r="WQ19" s="493">
        <f t="shared" si="477"/>
        <v>0</v>
      </c>
      <c r="WR19" s="494"/>
      <c r="WS19" s="493">
        <f t="shared" ref="WS19:WS21" si="2542">((WS42+WT42)-(WS41+WT41))/2</f>
        <v>0</v>
      </c>
      <c r="WT19" s="494"/>
      <c r="WU19" s="493">
        <f t="shared" si="193"/>
        <v>0</v>
      </c>
      <c r="WV19" s="494"/>
      <c r="WW19" s="493">
        <f t="shared" ref="WW19:WW21" si="2543">((WW42+WX42)-(WW41+WX41))/2</f>
        <v>0</v>
      </c>
      <c r="WX19" s="494"/>
      <c r="WY19" s="493">
        <f t="shared" ref="WY19:WY21" si="2544">((WY42+WZ42)-(WY41+WZ41))/2</f>
        <v>0</v>
      </c>
      <c r="WZ19" s="494"/>
      <c r="XA19" s="493">
        <f t="shared" si="196"/>
        <v>0</v>
      </c>
      <c r="XB19" s="494"/>
      <c r="XC19" s="493">
        <f t="shared" ref="XC19:XC21" si="2545">((XC42+XD42)-(XC41+XD41))/2</f>
        <v>0</v>
      </c>
      <c r="XD19" s="494"/>
      <c r="XE19" s="493">
        <f t="shared" ref="XE19:XE21" si="2546">((XE42+XF42)-(XE41+XF41))/2</f>
        <v>0</v>
      </c>
      <c r="XF19" s="494"/>
      <c r="XG19" s="493">
        <f t="shared" si="199"/>
        <v>0</v>
      </c>
      <c r="XH19" s="494"/>
      <c r="XI19" s="493">
        <f t="shared" ref="XI19:XI21" si="2547">((XI42+XJ42)-(XI41+XJ41))/2</f>
        <v>0</v>
      </c>
      <c r="XJ19" s="494"/>
      <c r="XK19" s="493">
        <f t="shared" ref="XK19:XK21" si="2548">((XK42+XL42)-(XK41+XL41))/2</f>
        <v>0</v>
      </c>
      <c r="XL19" s="494"/>
      <c r="XM19" s="493">
        <f t="shared" si="202"/>
        <v>0</v>
      </c>
      <c r="XN19" s="494"/>
      <c r="XO19" s="493">
        <f t="shared" si="933"/>
        <v>0</v>
      </c>
      <c r="XP19" s="494"/>
      <c r="XQ19" s="493">
        <f t="shared" ref="XQ19:XQ21" si="2549">((XQ42+XR42)-(XQ41+XR41))/2</f>
        <v>0</v>
      </c>
      <c r="XR19" s="494"/>
      <c r="XS19" s="493">
        <f t="shared" si="205"/>
        <v>0</v>
      </c>
      <c r="XT19" s="494"/>
      <c r="XU19" s="493">
        <f t="shared" ref="XU19:XU21" si="2550">((XU42+XV42)-(XU41+XV41))/2</f>
        <v>0</v>
      </c>
      <c r="XV19" s="494"/>
      <c r="XW19" s="493">
        <f t="shared" ref="XW19:XW21" si="2551">((XW42+XX42)-(XW41+XX41))/2</f>
        <v>0</v>
      </c>
      <c r="XX19" s="494"/>
      <c r="XY19" s="493">
        <f t="shared" si="208"/>
        <v>0</v>
      </c>
      <c r="XZ19" s="494"/>
      <c r="YA19" s="493">
        <f t="shared" ref="YA19:YA21" si="2552">((YA42+YB42)-(YA41+YB41))/2</f>
        <v>0</v>
      </c>
      <c r="YB19" s="494"/>
      <c r="YC19" s="493">
        <f t="shared" ref="YC19:YC21" si="2553">((YC42+YD42)-(YC41+YD41))/2</f>
        <v>0</v>
      </c>
      <c r="YD19" s="494"/>
      <c r="YE19" s="493">
        <f>((YE43+YF42)-(YE42+YF41))/2</f>
        <v>0</v>
      </c>
      <c r="YF19" s="494"/>
      <c r="YG19" s="493">
        <f t="shared" ref="YG19:YG21" si="2554">((YG42+YH42)-(YG41+YH41))/2</f>
        <v>0</v>
      </c>
      <c r="YH19" s="494"/>
      <c r="YI19" s="493">
        <f t="shared" ref="YI19:YI21" si="2555">((YI42+YJ42)-(YI41+YJ41))/2</f>
        <v>0</v>
      </c>
      <c r="YJ19" s="494"/>
      <c r="YK19" s="493">
        <f t="shared" si="214"/>
        <v>0</v>
      </c>
      <c r="YL19" s="494"/>
      <c r="YM19" s="493">
        <f t="shared" ref="YM19:YM21" si="2556">((YM42+YN42)-(YM41+YN41))/2</f>
        <v>0</v>
      </c>
      <c r="YN19" s="494"/>
      <c r="YO19" s="493">
        <f t="shared" si="2255"/>
        <v>0</v>
      </c>
      <c r="YP19" s="494"/>
      <c r="YQ19" s="493">
        <f t="shared" si="217"/>
        <v>0</v>
      </c>
      <c r="YR19" s="494"/>
      <c r="YS19" s="493">
        <f t="shared" ref="YS19:YS21" si="2557">((YS42+YT42)-(YS41+YT41))/2</f>
        <v>0</v>
      </c>
      <c r="YT19" s="494"/>
      <c r="YU19" s="493">
        <f t="shared" ref="YU19:YU21" si="2558">((YU42+YV42)-(YU41+YV41))/2</f>
        <v>0</v>
      </c>
      <c r="YV19" s="494"/>
      <c r="YW19" s="493">
        <f t="shared" si="220"/>
        <v>0</v>
      </c>
      <c r="YX19" s="494"/>
      <c r="YY19" s="493">
        <f t="shared" si="496"/>
        <v>0</v>
      </c>
      <c r="YZ19" s="494"/>
      <c r="ZA19" s="493">
        <f t="shared" ref="ZA19:ZA21" si="2559">((ZA42+ZB42)-(ZA41+ZB41))/2</f>
        <v>0</v>
      </c>
      <c r="ZB19" s="494"/>
      <c r="ZC19" s="493">
        <f t="shared" si="1239"/>
        <v>0</v>
      </c>
      <c r="ZD19" s="494"/>
      <c r="ZE19" s="493">
        <f t="shared" ref="ZE19:ZE21" si="2560">((ZE42+ZF42)-(ZE41+ZF41))/2</f>
        <v>0</v>
      </c>
      <c r="ZF19" s="494"/>
      <c r="ZG19" s="493">
        <f t="shared" ref="ZG19:ZG21" si="2561">((ZG42+ZH42)-(ZG41+ZH41))/2</f>
        <v>0</v>
      </c>
      <c r="ZH19" s="494"/>
      <c r="ZI19" s="493">
        <f t="shared" si="799"/>
        <v>0</v>
      </c>
      <c r="ZJ19" s="494"/>
      <c r="ZK19" s="493">
        <f t="shared" ref="ZK19:ZK21" si="2562">((ZK42+ZL42)-(ZK41+ZL41))/2</f>
        <v>0</v>
      </c>
      <c r="ZL19" s="494"/>
      <c r="ZM19" s="493">
        <f t="shared" ref="ZM19:ZM21" si="2563">((ZM42+ZN42)-(ZM41+ZN41))/2</f>
        <v>0</v>
      </c>
      <c r="ZN19" s="494"/>
      <c r="ZO19" s="493">
        <f t="shared" si="2412"/>
        <v>0</v>
      </c>
      <c r="ZP19" s="494"/>
      <c r="ZQ19" s="493">
        <f t="shared" ref="ZQ19:ZQ21" si="2564">((ZQ42+ZR42)-(ZQ41+ZR41))/2</f>
        <v>0</v>
      </c>
      <c r="ZR19" s="494"/>
      <c r="ZS19" s="493">
        <f t="shared" ref="ZS19:ZS21" si="2565">((ZS42+ZT42)-(ZS41+ZT41))/2</f>
        <v>0</v>
      </c>
      <c r="ZT19" s="494"/>
      <c r="ZU19" s="493">
        <f t="shared" si="230"/>
        <v>0</v>
      </c>
      <c r="ZV19" s="494"/>
      <c r="ZW19" s="493">
        <f t="shared" ref="ZW19:ZW21" si="2566">((ZW42+ZX42)-(ZW41+ZX41))/2</f>
        <v>0</v>
      </c>
      <c r="ZX19" s="494"/>
      <c r="ZY19" s="493">
        <f t="shared" ref="ZY19:ZY21" si="2567">((ZY42+ZZ42)-(ZY41+ZZ41))/2</f>
        <v>0</v>
      </c>
      <c r="ZZ19" s="494"/>
      <c r="AAA19" s="493">
        <f t="shared" si="233"/>
        <v>0</v>
      </c>
      <c r="AAB19" s="494"/>
      <c r="AAC19" s="493">
        <f t="shared" ref="AAC19:AAC21" si="2568">((AAC42+AAD42)-(AAC41+AAD41))/2</f>
        <v>0</v>
      </c>
      <c r="AAD19" s="494"/>
      <c r="AAE19" s="493">
        <f t="shared" ref="AAE19:AAE21" si="2569">((AAE42+AAF42)-(AAE41+AAF41))/2</f>
        <v>0</v>
      </c>
      <c r="AAF19" s="494"/>
      <c r="AAG19" s="493">
        <f t="shared" si="236"/>
        <v>0</v>
      </c>
      <c r="AAH19" s="494"/>
      <c r="AAI19" s="493">
        <f t="shared" ref="AAI19:AAI21" si="2570">((AAI42+AAJ42)-(AAI41+AAJ41))/2</f>
        <v>0</v>
      </c>
      <c r="AAJ19" s="494"/>
      <c r="AAK19" s="493">
        <f t="shared" ref="AAK19:AAK21" si="2571">((AAK42+AAL42)-(AAK41+AAL41))/2</f>
        <v>0</v>
      </c>
      <c r="AAL19" s="494"/>
      <c r="AAM19" s="493">
        <f t="shared" si="239"/>
        <v>0</v>
      </c>
      <c r="AAN19" s="494"/>
      <c r="AAO19" s="493">
        <f t="shared" ref="AAO19:AAO21" si="2572">((AAO42+AAP42)-(AAO41+AAP41))/2</f>
        <v>0</v>
      </c>
      <c r="AAP19" s="494"/>
      <c r="AAQ19" s="493">
        <f t="shared" ref="AAQ19:AAQ21" si="2573">((AAQ42+AAR42)-(AAQ41+AAR41))/2</f>
        <v>0</v>
      </c>
      <c r="AAR19" s="494"/>
      <c r="AAS19" s="493">
        <f t="shared" si="241"/>
        <v>0</v>
      </c>
      <c r="AAT19" s="494"/>
      <c r="AAU19" s="493">
        <f t="shared" ref="AAU19:AAU21" si="2574">((AAU42+AAV42)-(AAU41+AAV41))/2</f>
        <v>0</v>
      </c>
      <c r="AAV19" s="494"/>
      <c r="AAW19" s="493">
        <f t="shared" ref="AAW19:AAW21" si="2575">((AAW42+AAX42)-(AAW41+AAX41))/2</f>
        <v>0</v>
      </c>
      <c r="AAX19" s="494"/>
      <c r="AAY19" s="493">
        <f t="shared" si="1829"/>
        <v>0</v>
      </c>
      <c r="AAZ19" s="494"/>
      <c r="ABA19" s="493">
        <f t="shared" ref="ABA19:ABA21" si="2576">((ABA42+ABB42)-(ABA41+ABB41))/2</f>
        <v>0</v>
      </c>
      <c r="ABB19" s="494"/>
      <c r="ABC19" s="493">
        <f t="shared" ref="ABC19:ABC21" si="2577">((ABC42+ABD42)-(ABC41+ABD41))/2</f>
        <v>0</v>
      </c>
      <c r="ABD19" s="494"/>
      <c r="ABE19" s="379">
        <f t="shared" si="516"/>
        <v>0</v>
      </c>
      <c r="ABF19" s="377"/>
      <c r="ABG19" s="481"/>
      <c r="ABH19" s="481"/>
      <c r="ABI19" s="481"/>
      <c r="ABJ19" s="481"/>
      <c r="ABK19" s="481"/>
      <c r="ABL19" s="481"/>
      <c r="ABM19" s="481"/>
      <c r="ABN19" s="481"/>
      <c r="ABO19" s="481"/>
      <c r="ABP19" s="481"/>
      <c r="ABQ19" s="481"/>
      <c r="ABR19" s="481"/>
      <c r="ABS19" s="481"/>
      <c r="ABT19" s="481"/>
      <c r="ABU19" s="481"/>
      <c r="ABV19" s="481"/>
      <c r="ABW19" s="481"/>
      <c r="ABX19" s="481"/>
      <c r="ABY19" s="481"/>
      <c r="ABZ19" s="481"/>
      <c r="ACA19" s="481"/>
      <c r="ACB19" s="481"/>
      <c r="ACC19" s="481"/>
      <c r="ACD19" s="481"/>
      <c r="ACE19" s="481"/>
      <c r="ACF19" s="481"/>
      <c r="ACG19" s="481"/>
      <c r="ACH19" s="481"/>
      <c r="ACI19" s="481"/>
      <c r="ACJ19" s="481"/>
      <c r="ACK19" s="481"/>
      <c r="ACL19" s="481"/>
      <c r="ACM19" s="481"/>
      <c r="ACN19" s="481"/>
      <c r="ACO19" s="481"/>
      <c r="ACP19" s="481"/>
      <c r="ACQ19" s="481"/>
      <c r="ACR19" s="481"/>
      <c r="ACS19" s="481"/>
      <c r="ACT19" s="481"/>
      <c r="ACU19" s="481"/>
      <c r="ACV19" s="481"/>
      <c r="ACW19" s="481"/>
      <c r="ACX19" s="481"/>
      <c r="ACY19" s="481"/>
      <c r="ACZ19" s="481"/>
      <c r="ADA19" s="481"/>
      <c r="ADB19" s="481"/>
      <c r="ADC19" s="481"/>
      <c r="ADD19" s="481"/>
      <c r="ADE19" s="481"/>
      <c r="ADF19" s="481"/>
      <c r="ADG19" s="481"/>
      <c r="ADH19" s="481"/>
      <c r="ADI19" s="481"/>
      <c r="ADJ19" s="481"/>
      <c r="ADK19" s="335"/>
      <c r="ADL19" s="335"/>
      <c r="ADM19" s="335"/>
      <c r="ADN19" s="335"/>
      <c r="ADO19" s="335"/>
      <c r="ADP19" s="335"/>
      <c r="ADQ19" s="335"/>
      <c r="ADR19" s="335"/>
      <c r="ADS19" s="335"/>
      <c r="ADT19" s="335"/>
      <c r="ADU19" s="335"/>
      <c r="ADV19" s="335"/>
      <c r="ADW19" s="335"/>
      <c r="ADX19" s="335"/>
      <c r="ADY19" s="335"/>
      <c r="ADZ19" s="335"/>
      <c r="AEA19" s="335"/>
      <c r="AEB19" s="335"/>
      <c r="AEC19" s="335"/>
      <c r="AED19" s="335"/>
      <c r="AEE19" s="335"/>
      <c r="AEF19" s="335"/>
      <c r="AEG19" s="335"/>
      <c r="AEH19" s="335"/>
      <c r="AEI19" s="335"/>
      <c r="AEJ19" s="335"/>
      <c r="AEK19" s="335"/>
      <c r="AEL19" s="335"/>
      <c r="AEM19" s="335"/>
      <c r="AEN19" s="335"/>
      <c r="AEO19" s="335"/>
      <c r="AEP19" s="335"/>
      <c r="AEQ19" s="335"/>
      <c r="AER19" s="335"/>
      <c r="AES19" s="335"/>
      <c r="AET19" s="335"/>
      <c r="AEU19" s="335"/>
      <c r="AEV19" s="335"/>
      <c r="AEW19" s="335"/>
      <c r="AEX19" s="335"/>
      <c r="AEY19" s="335"/>
      <c r="AEZ19" s="335"/>
      <c r="AFA19" s="335"/>
      <c r="AFB19" s="335"/>
      <c r="AFC19" s="335"/>
      <c r="AFD19" s="335"/>
      <c r="AFE19" s="335"/>
      <c r="AFF19" s="335"/>
      <c r="AFG19" s="335"/>
      <c r="AFH19" s="335"/>
      <c r="AFI19" s="335"/>
      <c r="AFJ19" s="335"/>
      <c r="AFK19" s="335"/>
      <c r="AFL19" s="335"/>
      <c r="AFM19" s="335"/>
      <c r="AFN19" s="335"/>
      <c r="AFO19" s="335"/>
      <c r="AFP19" s="335"/>
      <c r="AFQ19" s="335"/>
      <c r="AFR19" s="335"/>
      <c r="AFS19" s="335"/>
      <c r="AFT19" s="335"/>
      <c r="AFU19" s="335"/>
      <c r="AFV19" s="335"/>
      <c r="AFW19" s="335"/>
      <c r="AFX19" s="335"/>
      <c r="AFY19" s="335"/>
      <c r="AFZ19" s="335"/>
      <c r="AGA19" s="335"/>
      <c r="AGB19" s="335"/>
      <c r="AGC19" s="335"/>
      <c r="AGD19" s="335"/>
      <c r="AGE19" s="335"/>
      <c r="AGF19" s="335"/>
      <c r="AGG19" s="335"/>
      <c r="AGH19" s="335"/>
      <c r="AGI19" s="335"/>
      <c r="AGJ19" s="335"/>
      <c r="AGK19" s="335"/>
      <c r="AGL19" s="335"/>
      <c r="AGM19" s="335"/>
      <c r="AGN19" s="335"/>
      <c r="AGO19" s="335"/>
      <c r="AGP19" s="335"/>
      <c r="AGQ19" s="335"/>
      <c r="AGR19" s="335"/>
      <c r="AGS19" s="335"/>
      <c r="AGT19" s="335"/>
      <c r="AGU19" s="335"/>
      <c r="AGV19" s="335"/>
      <c r="AGW19" s="335"/>
      <c r="AGX19" s="335"/>
      <c r="AGY19" s="335"/>
      <c r="AGZ19" s="335"/>
      <c r="AHA19" s="335"/>
      <c r="AHB19" s="335"/>
      <c r="AHC19" s="335"/>
      <c r="AHD19" s="335"/>
      <c r="AHE19" s="335"/>
      <c r="AHF19" s="335"/>
      <c r="AHG19" s="335"/>
      <c r="AHH19" s="335"/>
      <c r="AHI19" s="335"/>
      <c r="AHJ19" s="335"/>
      <c r="AHK19" s="335"/>
      <c r="AHL19" s="335"/>
      <c r="AHM19" s="335"/>
      <c r="AHN19" s="335"/>
      <c r="AHO19" s="335"/>
      <c r="AHP19" s="335"/>
      <c r="AHQ19" s="335"/>
      <c r="AHR19" s="335"/>
      <c r="AHS19" s="335"/>
      <c r="AHT19" s="335"/>
      <c r="AHU19" s="335"/>
      <c r="AHV19" s="335"/>
      <c r="AHW19" s="335"/>
      <c r="AHX19" s="335"/>
      <c r="AHY19" s="335"/>
      <c r="AHZ19" s="335"/>
      <c r="AIA19" s="335"/>
      <c r="AIB19" s="335"/>
      <c r="AIC19" s="339"/>
    </row>
    <row r="20" spans="1:913" s="171" customFormat="1" ht="12" customHeight="1">
      <c r="B20" s="177">
        <v>1.0416666666666701</v>
      </c>
      <c r="C20" s="493">
        <f t="shared" si="246"/>
        <v>0</v>
      </c>
      <c r="D20" s="494"/>
      <c r="E20" s="493">
        <f t="shared" si="0"/>
        <v>0</v>
      </c>
      <c r="F20" s="494"/>
      <c r="G20" s="493">
        <f t="shared" si="1"/>
        <v>0</v>
      </c>
      <c r="H20" s="494"/>
      <c r="I20" s="493">
        <f t="shared" si="1690"/>
        <v>0</v>
      </c>
      <c r="J20" s="494"/>
      <c r="K20" s="493">
        <f t="shared" si="2"/>
        <v>0</v>
      </c>
      <c r="L20" s="494"/>
      <c r="M20" s="493">
        <f t="shared" si="3"/>
        <v>0</v>
      </c>
      <c r="N20" s="494"/>
      <c r="O20" s="493">
        <f t="shared" si="517"/>
        <v>0</v>
      </c>
      <c r="P20" s="494"/>
      <c r="Q20" s="493">
        <f t="shared" si="248"/>
        <v>0</v>
      </c>
      <c r="R20" s="494"/>
      <c r="S20" s="493">
        <f t="shared" si="249"/>
        <v>0</v>
      </c>
      <c r="T20" s="494"/>
      <c r="U20" s="493">
        <f t="shared" si="250"/>
        <v>0</v>
      </c>
      <c r="V20" s="494"/>
      <c r="W20" s="493">
        <f t="shared" si="1974"/>
        <v>0</v>
      </c>
      <c r="X20" s="494"/>
      <c r="Y20" s="493">
        <f t="shared" si="252"/>
        <v>0</v>
      </c>
      <c r="Z20" s="494"/>
      <c r="AA20" s="493">
        <f t="shared" si="253"/>
        <v>0</v>
      </c>
      <c r="AB20" s="494"/>
      <c r="AC20" s="493">
        <f>((AC43+AD43)-(AC42+AD42))/2</f>
        <v>0</v>
      </c>
      <c r="AD20" s="494"/>
      <c r="AE20" s="493">
        <f t="shared" si="255"/>
        <v>0</v>
      </c>
      <c r="AF20" s="494"/>
      <c r="AG20" s="493">
        <f t="shared" si="256"/>
        <v>0</v>
      </c>
      <c r="AH20" s="494"/>
      <c r="AI20" s="493">
        <f>((AI43+AJ43)-(AI42+AJ42))/2</f>
        <v>0</v>
      </c>
      <c r="AJ20" s="494"/>
      <c r="AK20" s="493">
        <f t="shared" si="258"/>
        <v>0</v>
      </c>
      <c r="AL20" s="494"/>
      <c r="AM20" s="493">
        <f t="shared" si="259"/>
        <v>0</v>
      </c>
      <c r="AN20" s="494"/>
      <c r="AO20" s="493">
        <f t="shared" si="260"/>
        <v>0</v>
      </c>
      <c r="AP20" s="494"/>
      <c r="AQ20" s="493">
        <f t="shared" si="261"/>
        <v>0</v>
      </c>
      <c r="AR20" s="494"/>
      <c r="AS20" s="493">
        <f t="shared" si="262"/>
        <v>0</v>
      </c>
      <c r="AT20" s="494"/>
      <c r="AU20" s="493">
        <f t="shared" si="263"/>
        <v>0</v>
      </c>
      <c r="AV20" s="494"/>
      <c r="AW20" s="493">
        <f t="shared" si="264"/>
        <v>0</v>
      </c>
      <c r="AX20" s="494"/>
      <c r="AY20" s="493">
        <f t="shared" si="265"/>
        <v>0</v>
      </c>
      <c r="AZ20" s="494"/>
      <c r="BA20" s="493">
        <f t="shared" si="266"/>
        <v>0</v>
      </c>
      <c r="BB20" s="494"/>
      <c r="BC20" s="493">
        <f t="shared" si="267"/>
        <v>0</v>
      </c>
      <c r="BD20" s="494"/>
      <c r="BE20" s="493">
        <f t="shared" si="268"/>
        <v>0</v>
      </c>
      <c r="BF20" s="494"/>
      <c r="BG20" s="493">
        <f t="shared" si="269"/>
        <v>0</v>
      </c>
      <c r="BH20" s="494"/>
      <c r="BI20" s="493">
        <f t="shared" si="270"/>
        <v>0</v>
      </c>
      <c r="BJ20" s="494"/>
      <c r="BK20" s="493">
        <f t="shared" si="271"/>
        <v>0</v>
      </c>
      <c r="BL20" s="494"/>
      <c r="BM20" s="493">
        <f t="shared" si="272"/>
        <v>0</v>
      </c>
      <c r="BN20" s="494"/>
      <c r="BO20" s="493">
        <f t="shared" si="273"/>
        <v>0</v>
      </c>
      <c r="BP20" s="494"/>
      <c r="BQ20" s="493">
        <f t="shared" si="274"/>
        <v>0</v>
      </c>
      <c r="BR20" s="494"/>
      <c r="BS20" s="493">
        <f t="shared" si="275"/>
        <v>0</v>
      </c>
      <c r="BT20" s="494"/>
      <c r="BU20" s="493">
        <f t="shared" si="276"/>
        <v>0</v>
      </c>
      <c r="BV20" s="494"/>
      <c r="BW20" s="493">
        <f t="shared" si="665"/>
        <v>0</v>
      </c>
      <c r="BX20" s="494"/>
      <c r="BY20" s="493">
        <f t="shared" si="277"/>
        <v>0</v>
      </c>
      <c r="BZ20" s="494"/>
      <c r="CA20" s="493">
        <f t="shared" si="278"/>
        <v>0</v>
      </c>
      <c r="CB20" s="494"/>
      <c r="CC20" s="493">
        <f t="shared" si="279"/>
        <v>0</v>
      </c>
      <c r="CD20" s="494"/>
      <c r="CE20" s="493">
        <f t="shared" si="280"/>
        <v>0</v>
      </c>
      <c r="CF20" s="494"/>
      <c r="CG20" s="493">
        <f t="shared" si="281"/>
        <v>0</v>
      </c>
      <c r="CH20" s="494"/>
      <c r="CI20" s="493">
        <f t="shared" si="282"/>
        <v>0</v>
      </c>
      <c r="CJ20" s="494"/>
      <c r="CK20" s="493">
        <f t="shared" si="283"/>
        <v>0</v>
      </c>
      <c r="CL20" s="494"/>
      <c r="CM20" s="493">
        <f t="shared" si="284"/>
        <v>0</v>
      </c>
      <c r="CN20" s="494"/>
      <c r="CO20" s="493">
        <f t="shared" si="285"/>
        <v>0</v>
      </c>
      <c r="CP20" s="494"/>
      <c r="CQ20" s="493">
        <f t="shared" si="286"/>
        <v>0</v>
      </c>
      <c r="CR20" s="494"/>
      <c r="CS20" s="493">
        <f t="shared" si="287"/>
        <v>0</v>
      </c>
      <c r="CT20" s="494"/>
      <c r="CU20" s="493">
        <f t="shared" si="2277"/>
        <v>0</v>
      </c>
      <c r="CV20" s="494"/>
      <c r="CW20" s="493">
        <f t="shared" si="289"/>
        <v>0</v>
      </c>
      <c r="CX20" s="494"/>
      <c r="CY20" s="493">
        <f t="shared" si="290"/>
        <v>0</v>
      </c>
      <c r="CZ20" s="494"/>
      <c r="DA20" s="493">
        <f t="shared" si="291"/>
        <v>0</v>
      </c>
      <c r="DB20" s="494"/>
      <c r="DC20" s="493">
        <f t="shared" si="292"/>
        <v>0</v>
      </c>
      <c r="DD20" s="494"/>
      <c r="DE20" s="493">
        <f t="shared" si="293"/>
        <v>0</v>
      </c>
      <c r="DF20" s="494"/>
      <c r="DG20" s="493">
        <f t="shared" si="294"/>
        <v>0</v>
      </c>
      <c r="DH20" s="494"/>
      <c r="DI20" s="493">
        <f t="shared" si="295"/>
        <v>0</v>
      </c>
      <c r="DJ20" s="494"/>
      <c r="DK20" s="493">
        <f t="shared" si="296"/>
        <v>0</v>
      </c>
      <c r="DL20" s="494"/>
      <c r="DM20" s="493">
        <f t="shared" si="297"/>
        <v>0</v>
      </c>
      <c r="DN20" s="494"/>
      <c r="DO20" s="493">
        <f t="shared" si="298"/>
        <v>0</v>
      </c>
      <c r="DP20" s="494"/>
      <c r="DQ20" s="493">
        <f t="shared" si="666"/>
        <v>0</v>
      </c>
      <c r="DR20" s="494"/>
      <c r="DS20" s="493">
        <f t="shared" si="300"/>
        <v>0</v>
      </c>
      <c r="DT20" s="494"/>
      <c r="DU20" s="493">
        <f t="shared" si="301"/>
        <v>0</v>
      </c>
      <c r="DV20" s="494"/>
      <c r="DW20" s="493">
        <f t="shared" si="302"/>
        <v>0</v>
      </c>
      <c r="DX20" s="494"/>
      <c r="DY20" s="493">
        <f t="shared" si="303"/>
        <v>0</v>
      </c>
      <c r="DZ20" s="494"/>
      <c r="EA20" s="493">
        <f t="shared" si="304"/>
        <v>0</v>
      </c>
      <c r="EB20" s="494"/>
      <c r="EC20" s="493">
        <f t="shared" si="305"/>
        <v>0</v>
      </c>
      <c r="ED20" s="494"/>
      <c r="EE20" s="493">
        <f t="shared" si="1543"/>
        <v>0</v>
      </c>
      <c r="EF20" s="494"/>
      <c r="EG20" s="493">
        <f t="shared" si="1544"/>
        <v>0</v>
      </c>
      <c r="EH20" s="494"/>
      <c r="EI20" s="493">
        <f t="shared" si="1545"/>
        <v>0</v>
      </c>
      <c r="EJ20" s="494"/>
      <c r="EK20" s="493">
        <f t="shared" si="1546"/>
        <v>0</v>
      </c>
      <c r="EL20" s="494"/>
      <c r="EM20" s="493">
        <f t="shared" si="1547"/>
        <v>0</v>
      </c>
      <c r="EN20" s="494"/>
      <c r="EO20" s="493">
        <f t="shared" si="2127"/>
        <v>0</v>
      </c>
      <c r="EP20" s="494"/>
      <c r="EQ20" s="493">
        <f t="shared" si="307"/>
        <v>0</v>
      </c>
      <c r="ER20" s="494"/>
      <c r="ES20" s="493">
        <f t="shared" si="308"/>
        <v>0</v>
      </c>
      <c r="ET20" s="494"/>
      <c r="EU20" s="493">
        <f t="shared" si="309"/>
        <v>0</v>
      </c>
      <c r="EV20" s="494"/>
      <c r="EW20" s="493">
        <f t="shared" si="310"/>
        <v>0</v>
      </c>
      <c r="EX20" s="494"/>
      <c r="EY20" s="493">
        <f t="shared" si="311"/>
        <v>0</v>
      </c>
      <c r="EZ20" s="494"/>
      <c r="FA20" s="493">
        <f t="shared" si="312"/>
        <v>0</v>
      </c>
      <c r="FB20" s="494"/>
      <c r="FC20" s="493">
        <f t="shared" si="313"/>
        <v>0</v>
      </c>
      <c r="FD20" s="494"/>
      <c r="FE20" s="493">
        <f t="shared" si="314"/>
        <v>0</v>
      </c>
      <c r="FF20" s="494"/>
      <c r="FG20" s="493">
        <f t="shared" si="315"/>
        <v>0</v>
      </c>
      <c r="FH20" s="494"/>
      <c r="FI20" s="493">
        <f t="shared" si="316"/>
        <v>0</v>
      </c>
      <c r="FJ20" s="494"/>
      <c r="FK20" s="493">
        <f t="shared" si="317"/>
        <v>0</v>
      </c>
      <c r="FL20" s="494"/>
      <c r="FM20" s="493">
        <f t="shared" si="318"/>
        <v>0</v>
      </c>
      <c r="FN20" s="494"/>
      <c r="FO20" s="493">
        <f t="shared" si="319"/>
        <v>0</v>
      </c>
      <c r="FP20" s="494"/>
      <c r="FQ20" s="493">
        <f t="shared" si="320"/>
        <v>0</v>
      </c>
      <c r="FR20" s="494"/>
      <c r="FS20" s="493">
        <f t="shared" si="321"/>
        <v>0</v>
      </c>
      <c r="FT20" s="494"/>
      <c r="FU20" s="493">
        <f t="shared" si="322"/>
        <v>0</v>
      </c>
      <c r="FV20" s="494"/>
      <c r="FW20" s="493">
        <f t="shared" si="323"/>
        <v>0</v>
      </c>
      <c r="FX20" s="494"/>
      <c r="FY20" s="493">
        <f t="shared" si="324"/>
        <v>0</v>
      </c>
      <c r="FZ20" s="494"/>
      <c r="GA20" s="493">
        <f t="shared" si="325"/>
        <v>0</v>
      </c>
      <c r="GB20" s="494"/>
      <c r="GC20" s="493">
        <f t="shared" si="326"/>
        <v>0</v>
      </c>
      <c r="GD20" s="494"/>
      <c r="GE20" s="493">
        <f t="shared" si="327"/>
        <v>0</v>
      </c>
      <c r="GF20" s="494"/>
      <c r="GG20" s="493">
        <f t="shared" si="328"/>
        <v>0</v>
      </c>
      <c r="GH20" s="494"/>
      <c r="GI20" s="493">
        <f t="shared" si="329"/>
        <v>0</v>
      </c>
      <c r="GJ20" s="494"/>
      <c r="GK20" s="493">
        <f t="shared" si="330"/>
        <v>0</v>
      </c>
      <c r="GL20" s="494"/>
      <c r="GM20" s="493">
        <f t="shared" si="331"/>
        <v>0</v>
      </c>
      <c r="GN20" s="494"/>
      <c r="GO20" s="493">
        <f t="shared" si="1976"/>
        <v>0</v>
      </c>
      <c r="GP20" s="494"/>
      <c r="GQ20" s="493">
        <f t="shared" si="333"/>
        <v>0</v>
      </c>
      <c r="GR20" s="494"/>
      <c r="GS20" s="493">
        <f t="shared" si="334"/>
        <v>0</v>
      </c>
      <c r="GT20" s="494"/>
      <c r="GU20" s="493">
        <f t="shared" si="1109"/>
        <v>0</v>
      </c>
      <c r="GV20" s="494"/>
      <c r="GW20" s="493">
        <f t="shared" si="1110"/>
        <v>0</v>
      </c>
      <c r="GX20" s="494"/>
      <c r="GY20" s="493">
        <f t="shared" si="1111"/>
        <v>0</v>
      </c>
      <c r="GZ20" s="494"/>
      <c r="HA20" s="493">
        <f t="shared" si="335"/>
        <v>0</v>
      </c>
      <c r="HB20" s="494"/>
      <c r="HC20" s="493">
        <f t="shared" si="336"/>
        <v>0</v>
      </c>
      <c r="HD20" s="494"/>
      <c r="HE20" s="493">
        <f t="shared" si="1548"/>
        <v>0</v>
      </c>
      <c r="HF20" s="494"/>
      <c r="HG20" s="493">
        <f t="shared" si="338"/>
        <v>0</v>
      </c>
      <c r="HH20" s="494"/>
      <c r="HI20" s="493">
        <f t="shared" si="339"/>
        <v>0</v>
      </c>
      <c r="HJ20" s="494"/>
      <c r="HK20" s="493">
        <f t="shared" si="340"/>
        <v>0</v>
      </c>
      <c r="HL20" s="494"/>
      <c r="HM20" s="493">
        <f t="shared" si="341"/>
        <v>0</v>
      </c>
      <c r="HN20" s="494"/>
      <c r="HO20" s="493">
        <f t="shared" si="342"/>
        <v>0</v>
      </c>
      <c r="HP20" s="494"/>
      <c r="HQ20" s="493">
        <f t="shared" si="343"/>
        <v>0</v>
      </c>
      <c r="HR20" s="494"/>
      <c r="HS20" s="493">
        <f t="shared" si="344"/>
        <v>0</v>
      </c>
      <c r="HT20" s="494"/>
      <c r="HU20" s="493">
        <f t="shared" si="345"/>
        <v>0</v>
      </c>
      <c r="HV20" s="494"/>
      <c r="HW20" s="493">
        <f t="shared" si="346"/>
        <v>0</v>
      </c>
      <c r="HX20" s="494"/>
      <c r="HY20" s="493">
        <f t="shared" si="347"/>
        <v>0</v>
      </c>
      <c r="HZ20" s="494"/>
      <c r="IA20" s="493">
        <f t="shared" si="348"/>
        <v>0</v>
      </c>
      <c r="IB20" s="494"/>
      <c r="IC20" s="493">
        <f t="shared" si="349"/>
        <v>0</v>
      </c>
      <c r="ID20" s="494"/>
      <c r="IE20" s="493">
        <f t="shared" si="1977"/>
        <v>0</v>
      </c>
      <c r="IF20" s="494"/>
      <c r="IG20" s="493">
        <f t="shared" si="351"/>
        <v>0</v>
      </c>
      <c r="IH20" s="494"/>
      <c r="II20" s="493">
        <f t="shared" si="352"/>
        <v>0</v>
      </c>
      <c r="IJ20" s="494"/>
      <c r="IK20" s="493">
        <f t="shared" si="353"/>
        <v>0</v>
      </c>
      <c r="IL20" s="494"/>
      <c r="IM20" s="493">
        <f t="shared" si="354"/>
        <v>0</v>
      </c>
      <c r="IN20" s="494"/>
      <c r="IO20" s="493">
        <f t="shared" si="355"/>
        <v>0</v>
      </c>
      <c r="IP20" s="494"/>
      <c r="IQ20" s="493">
        <f t="shared" si="356"/>
        <v>0</v>
      </c>
      <c r="IR20" s="494"/>
      <c r="IS20" s="493">
        <f t="shared" si="357"/>
        <v>0</v>
      </c>
      <c r="IT20" s="494"/>
      <c r="IU20" s="493">
        <f t="shared" ref="IU20:IU21" si="2578">((IU43+IV43)-(IU42+IV42))/2</f>
        <v>0</v>
      </c>
      <c r="IV20" s="494"/>
      <c r="IW20" s="493">
        <f t="shared" ref="IW20:IW21" si="2579">((IW43+IX43)-(IW42+IX42))/2</f>
        <v>0</v>
      </c>
      <c r="IX20" s="494"/>
      <c r="IY20" s="493">
        <f t="shared" ref="IY20:IY21" si="2580">((IY43+IZ43)-(IY42+IZ42))/2</f>
        <v>0</v>
      </c>
      <c r="IZ20" s="494"/>
      <c r="JA20" s="493">
        <f t="shared" si="2427"/>
        <v>0</v>
      </c>
      <c r="JB20" s="494"/>
      <c r="JC20" s="493">
        <f t="shared" si="2428"/>
        <v>0</v>
      </c>
      <c r="JD20" s="494"/>
      <c r="JE20" s="493">
        <f t="shared" ref="JE20:JE21" si="2581">((JE43+JF43)-(JE42+JF42))/2</f>
        <v>0</v>
      </c>
      <c r="JF20" s="494"/>
      <c r="JG20" s="493">
        <f t="shared" si="2429"/>
        <v>0</v>
      </c>
      <c r="JH20" s="494"/>
      <c r="JI20" s="493">
        <f t="shared" si="2430"/>
        <v>0</v>
      </c>
      <c r="JJ20" s="494"/>
      <c r="JK20" s="493">
        <f t="shared" ref="JK20:JK21" si="2582">((JK43+JL43)-(JK42+JL42))/2</f>
        <v>0</v>
      </c>
      <c r="JL20" s="494"/>
      <c r="JM20" s="493">
        <f t="shared" si="2431"/>
        <v>0</v>
      </c>
      <c r="JN20" s="494"/>
      <c r="JO20" s="493">
        <f t="shared" si="2432"/>
        <v>0</v>
      </c>
      <c r="JP20" s="494"/>
      <c r="JQ20" s="493">
        <f t="shared" ref="JQ20:JQ21" si="2583">((JQ43+JR43)-(JQ42+JR42))/2</f>
        <v>0</v>
      </c>
      <c r="JR20" s="494"/>
      <c r="JS20" s="493">
        <f t="shared" si="2433"/>
        <v>0</v>
      </c>
      <c r="JT20" s="494"/>
      <c r="JU20" s="493">
        <f t="shared" si="2434"/>
        <v>0</v>
      </c>
      <c r="JV20" s="494"/>
      <c r="JW20" s="493">
        <f t="shared" ref="JW20:JW21" si="2584">((JW43+JX43)-(JW42+JX42))/2</f>
        <v>0</v>
      </c>
      <c r="JX20" s="494"/>
      <c r="JY20" s="493">
        <f t="shared" si="2435"/>
        <v>0</v>
      </c>
      <c r="JZ20" s="494"/>
      <c r="KA20" s="493">
        <f t="shared" si="2436"/>
        <v>0</v>
      </c>
      <c r="KB20" s="494"/>
      <c r="KC20" s="493">
        <f t="shared" ref="KC20:KC21" si="2585">((KC43+KD43)-(KC42+KD42))/2</f>
        <v>0</v>
      </c>
      <c r="KD20" s="494"/>
      <c r="KE20" s="493">
        <f t="shared" si="2437"/>
        <v>0</v>
      </c>
      <c r="KF20" s="494"/>
      <c r="KG20" s="493">
        <f t="shared" si="2438"/>
        <v>0</v>
      </c>
      <c r="KH20" s="494"/>
      <c r="KI20" s="493">
        <f t="shared" ref="KI20:KI21" si="2586">((KI43+KJ43)-(KI42+KJ42))/2</f>
        <v>0</v>
      </c>
      <c r="KJ20" s="494"/>
      <c r="KK20" s="493">
        <f t="shared" si="2439"/>
        <v>0</v>
      </c>
      <c r="KL20" s="494"/>
      <c r="KM20" s="493">
        <f t="shared" si="2440"/>
        <v>0</v>
      </c>
      <c r="KN20" s="494"/>
      <c r="KO20" s="493">
        <f t="shared" ref="KO20:KO21" si="2587">((KO43+KP43)-(KO42+KP42))/2</f>
        <v>0</v>
      </c>
      <c r="KP20" s="494"/>
      <c r="KQ20" s="493">
        <f t="shared" si="2441"/>
        <v>0</v>
      </c>
      <c r="KR20" s="494"/>
      <c r="KS20" s="493">
        <f t="shared" si="2442"/>
        <v>0</v>
      </c>
      <c r="KT20" s="494"/>
      <c r="KU20" s="493">
        <f t="shared" ref="KU20:KU21" si="2588">((KU43+KV43)-(KU42+KV42))/2</f>
        <v>0</v>
      </c>
      <c r="KV20" s="494"/>
      <c r="KW20" s="493">
        <f t="shared" si="2443"/>
        <v>0</v>
      </c>
      <c r="KX20" s="494"/>
      <c r="KY20" s="493">
        <f t="shared" si="2444"/>
        <v>0</v>
      </c>
      <c r="KZ20" s="494"/>
      <c r="LA20" s="493">
        <f t="shared" si="2445"/>
        <v>0</v>
      </c>
      <c r="LB20" s="494"/>
      <c r="LC20" s="493">
        <f t="shared" si="376"/>
        <v>0</v>
      </c>
      <c r="LD20" s="494"/>
      <c r="LE20" s="493">
        <f t="shared" si="377"/>
        <v>0</v>
      </c>
      <c r="LF20" s="494"/>
      <c r="LG20" s="493">
        <f t="shared" si="378"/>
        <v>0</v>
      </c>
      <c r="LH20" s="494"/>
      <c r="LI20" s="493">
        <f t="shared" si="2446"/>
        <v>0</v>
      </c>
      <c r="LJ20" s="494"/>
      <c r="LK20" s="493">
        <f t="shared" si="2447"/>
        <v>0</v>
      </c>
      <c r="LL20" s="494"/>
      <c r="LM20" s="493">
        <f t="shared" ref="LM20:LM21" si="2589">((LM43+LN43)-(LM42+LN42))/2</f>
        <v>0</v>
      </c>
      <c r="LN20" s="494"/>
      <c r="LO20" s="493">
        <f t="shared" si="2448"/>
        <v>0</v>
      </c>
      <c r="LP20" s="494"/>
      <c r="LQ20" s="493">
        <f t="shared" si="2449"/>
        <v>0</v>
      </c>
      <c r="LR20" s="494"/>
      <c r="LS20" s="493">
        <f t="shared" ref="LS20:LS21" si="2590">((LS43+LT43)-(LS42+LT42))/2</f>
        <v>0</v>
      </c>
      <c r="LT20" s="494"/>
      <c r="LU20" s="493">
        <f t="shared" si="2450"/>
        <v>0</v>
      </c>
      <c r="LV20" s="494"/>
      <c r="LW20" s="493">
        <f t="shared" si="2451"/>
        <v>0</v>
      </c>
      <c r="LX20" s="494"/>
      <c r="LY20" s="493">
        <f t="shared" ref="LY20:LY21" si="2591">((LY43+LZ43)-(LY42+LZ42))/2</f>
        <v>0</v>
      </c>
      <c r="LZ20" s="494"/>
      <c r="MA20" s="493">
        <f t="shared" si="2452"/>
        <v>0</v>
      </c>
      <c r="MB20" s="494"/>
      <c r="MC20" s="493">
        <f t="shared" si="2453"/>
        <v>0</v>
      </c>
      <c r="MD20" s="494"/>
      <c r="ME20" s="493">
        <f t="shared" ref="ME20:ME21" si="2592">((ME43+MF43)-(ME42+MF42))/2</f>
        <v>0</v>
      </c>
      <c r="MF20" s="494"/>
      <c r="MG20" s="493">
        <f t="shared" si="2454"/>
        <v>0</v>
      </c>
      <c r="MH20" s="494"/>
      <c r="MI20" s="493">
        <f t="shared" si="2455"/>
        <v>0</v>
      </c>
      <c r="MJ20" s="494"/>
      <c r="MK20" s="493">
        <f t="shared" ref="MK20:MK21" si="2593">((MK43+ML43)-(MK42+ML42))/2</f>
        <v>0</v>
      </c>
      <c r="ML20" s="494"/>
      <c r="MM20" s="493">
        <f t="shared" si="2456"/>
        <v>0</v>
      </c>
      <c r="MN20" s="494"/>
      <c r="MO20" s="493">
        <f t="shared" si="2457"/>
        <v>0</v>
      </c>
      <c r="MP20" s="494"/>
      <c r="MQ20" s="493">
        <f t="shared" ref="MQ20:MQ21" si="2594">((MQ43+MR43)-(MQ42+MR42))/2</f>
        <v>0</v>
      </c>
      <c r="MR20" s="494"/>
      <c r="MS20" s="493">
        <f t="shared" si="2458"/>
        <v>0</v>
      </c>
      <c r="MT20" s="494"/>
      <c r="MU20" s="493">
        <f t="shared" si="2459"/>
        <v>0</v>
      </c>
      <c r="MV20" s="494"/>
      <c r="MW20" s="493">
        <f t="shared" ref="MW20:MW21" si="2595">((MW43+MX43)-(MW42+MX42))/2</f>
        <v>0</v>
      </c>
      <c r="MX20" s="494"/>
      <c r="MY20" s="493">
        <f t="shared" si="2460"/>
        <v>0</v>
      </c>
      <c r="MZ20" s="494"/>
      <c r="NA20" s="493">
        <f t="shared" si="2461"/>
        <v>0</v>
      </c>
      <c r="NB20" s="494"/>
      <c r="NC20" s="493">
        <f t="shared" ref="NC20:NC21" si="2596">((NC43+ND43)-(NC42+ND42))/2</f>
        <v>0</v>
      </c>
      <c r="ND20" s="494"/>
      <c r="NE20" s="493">
        <f t="shared" si="2462"/>
        <v>0</v>
      </c>
      <c r="NF20" s="494"/>
      <c r="NG20" s="493">
        <f t="shared" si="2463"/>
        <v>0</v>
      </c>
      <c r="NH20" s="494"/>
      <c r="NI20" s="493">
        <f t="shared" ref="NI20:NI21" si="2597">((NI43+NJ43)-(NI42+NJ42))/2</f>
        <v>0</v>
      </c>
      <c r="NJ20" s="494"/>
      <c r="NK20" s="493">
        <f t="shared" si="2464"/>
        <v>0</v>
      </c>
      <c r="NL20" s="494"/>
      <c r="NM20" s="493">
        <f t="shared" si="2465"/>
        <v>0</v>
      </c>
      <c r="NN20" s="494"/>
      <c r="NO20" s="493">
        <f t="shared" ref="NO20:NO21" si="2598">((NO43+NP43)-(NO42+NP42))/2</f>
        <v>0</v>
      </c>
      <c r="NP20" s="494"/>
      <c r="NQ20" s="493">
        <f t="shared" si="2466"/>
        <v>0</v>
      </c>
      <c r="NR20" s="494"/>
      <c r="NS20" s="493">
        <f t="shared" si="2467"/>
        <v>0</v>
      </c>
      <c r="NT20" s="494"/>
      <c r="NU20" s="493">
        <f t="shared" ref="NU20:NU21" si="2599">((NU43+NV43)-(NU42+NV42))/2</f>
        <v>0</v>
      </c>
      <c r="NV20" s="494"/>
      <c r="NW20" s="493">
        <f t="shared" si="2468"/>
        <v>0</v>
      </c>
      <c r="NX20" s="494"/>
      <c r="NY20" s="493">
        <f t="shared" si="2469"/>
        <v>0</v>
      </c>
      <c r="NZ20" s="494"/>
      <c r="OA20" s="493">
        <f t="shared" ref="OA20:OA21" si="2600">((OA43+OB43)-(OA42+OB42))/2</f>
        <v>0</v>
      </c>
      <c r="OB20" s="494"/>
      <c r="OC20" s="493">
        <f t="shared" si="2470"/>
        <v>0</v>
      </c>
      <c r="OD20" s="494"/>
      <c r="OE20" s="493">
        <f t="shared" si="2471"/>
        <v>0</v>
      </c>
      <c r="OF20" s="494"/>
      <c r="OG20" s="493">
        <f t="shared" ref="OG20:OG21" si="2601">((OG43+OH43)-(OG42+OH42))/2</f>
        <v>0</v>
      </c>
      <c r="OH20" s="494"/>
      <c r="OI20" s="493">
        <f t="shared" si="2472"/>
        <v>0</v>
      </c>
      <c r="OJ20" s="494"/>
      <c r="OK20" s="493">
        <f t="shared" si="2473"/>
        <v>0</v>
      </c>
      <c r="OL20" s="494"/>
      <c r="OM20" s="493">
        <f t="shared" ref="OM20:OM21" si="2602">((OM43+ON43)-(OM42+ON42))/2</f>
        <v>0</v>
      </c>
      <c r="ON20" s="494"/>
      <c r="OO20" s="493">
        <f t="shared" si="2474"/>
        <v>0</v>
      </c>
      <c r="OP20" s="494"/>
      <c r="OQ20" s="493">
        <f t="shared" si="2475"/>
        <v>0</v>
      </c>
      <c r="OR20" s="494"/>
      <c r="OS20" s="493">
        <f t="shared" ref="OS20:OS21" si="2603">((OS43+OT43)-(OS42+OT42))/2</f>
        <v>0</v>
      </c>
      <c r="OT20" s="494"/>
      <c r="OU20" s="493">
        <f t="shared" si="2476"/>
        <v>0</v>
      </c>
      <c r="OV20" s="494"/>
      <c r="OW20" s="493">
        <f t="shared" si="2477"/>
        <v>0</v>
      </c>
      <c r="OX20" s="494"/>
      <c r="OY20" s="493">
        <f t="shared" ref="OY20:OY21" si="2604">((OY43+OZ43)-(OY42+OZ42))/2</f>
        <v>0</v>
      </c>
      <c r="OZ20" s="494"/>
      <c r="PA20" s="493">
        <f t="shared" si="2478"/>
        <v>0</v>
      </c>
      <c r="PB20" s="494"/>
      <c r="PC20" s="493">
        <f t="shared" si="2479"/>
        <v>0</v>
      </c>
      <c r="PD20" s="494"/>
      <c r="PE20" s="493">
        <f t="shared" ref="PE20:PE21" si="2605">((PE43+PF43)-(PE42+PF42))/2</f>
        <v>0</v>
      </c>
      <c r="PF20" s="494"/>
      <c r="PG20" s="493">
        <f t="shared" si="2480"/>
        <v>0</v>
      </c>
      <c r="PH20" s="494"/>
      <c r="PI20" s="493">
        <f t="shared" si="2481"/>
        <v>0</v>
      </c>
      <c r="PJ20" s="494"/>
      <c r="PK20" s="493">
        <f t="shared" ref="PK20:PK21" si="2606">((PK43+PL43)-(PK42+PL42))/2</f>
        <v>0</v>
      </c>
      <c r="PL20" s="494"/>
      <c r="PM20" s="493">
        <f t="shared" si="2482"/>
        <v>0</v>
      </c>
      <c r="PN20" s="494"/>
      <c r="PO20" s="493">
        <f t="shared" si="2483"/>
        <v>0</v>
      </c>
      <c r="PP20" s="494"/>
      <c r="PQ20" s="493">
        <f t="shared" ref="PQ20:PQ21" si="2607">((PQ43+PR43)-(PQ42+PR42))/2</f>
        <v>0</v>
      </c>
      <c r="PR20" s="494"/>
      <c r="PS20" s="493">
        <f t="shared" si="2484"/>
        <v>0</v>
      </c>
      <c r="PT20" s="494"/>
      <c r="PU20" s="493">
        <f t="shared" si="2485"/>
        <v>0</v>
      </c>
      <c r="PV20" s="494"/>
      <c r="PW20" s="493">
        <f t="shared" ref="PW20:PW21" si="2608">((PW43+PX43)-(PW42+PX42))/2</f>
        <v>0</v>
      </c>
      <c r="PX20" s="494"/>
      <c r="PY20" s="493">
        <f t="shared" si="2486"/>
        <v>0</v>
      </c>
      <c r="PZ20" s="494"/>
      <c r="QA20" s="493">
        <f t="shared" si="2487"/>
        <v>0</v>
      </c>
      <c r="QB20" s="494"/>
      <c r="QC20" s="493">
        <f t="shared" ref="QC20:QC21" si="2609">((QC43+QD43)-(QC42+QD42))/2</f>
        <v>0</v>
      </c>
      <c r="QD20" s="494"/>
      <c r="QE20" s="493">
        <f t="shared" si="2488"/>
        <v>0</v>
      </c>
      <c r="QF20" s="494"/>
      <c r="QG20" s="493">
        <f t="shared" si="2489"/>
        <v>0</v>
      </c>
      <c r="QH20" s="494"/>
      <c r="QI20" s="493">
        <f t="shared" ref="QI20:QI21" si="2610">((QI43+QJ43)-(QI42+QJ42))/2</f>
        <v>0</v>
      </c>
      <c r="QJ20" s="494"/>
      <c r="QK20" s="493">
        <f t="shared" si="2490"/>
        <v>0</v>
      </c>
      <c r="QL20" s="494"/>
      <c r="QM20" s="493">
        <f t="shared" si="2491"/>
        <v>0</v>
      </c>
      <c r="QN20" s="494"/>
      <c r="QO20" s="493">
        <f t="shared" ref="QO20:QO21" si="2611">((QO43+QP43)-(QO42+QP42))/2</f>
        <v>0</v>
      </c>
      <c r="QP20" s="494"/>
      <c r="QQ20" s="493">
        <f t="shared" si="2492"/>
        <v>0</v>
      </c>
      <c r="QR20" s="494"/>
      <c r="QS20" s="493">
        <f t="shared" si="2493"/>
        <v>0</v>
      </c>
      <c r="QT20" s="494"/>
      <c r="QU20" s="493">
        <f t="shared" ref="QU20:QU21" si="2612">((QU43+QV43)-(QU42+QV42))/2</f>
        <v>0</v>
      </c>
      <c r="QV20" s="494"/>
      <c r="QW20" s="493">
        <f t="shared" si="2494"/>
        <v>0</v>
      </c>
      <c r="QX20" s="494"/>
      <c r="QY20" s="493">
        <f t="shared" si="2495"/>
        <v>0</v>
      </c>
      <c r="QZ20" s="494"/>
      <c r="RA20" s="493">
        <f t="shared" ref="RA20:RA21" si="2613">((RA43+RB43)-(RA42+RB42))/2</f>
        <v>0</v>
      </c>
      <c r="RB20" s="494"/>
      <c r="RC20" s="493">
        <f t="shared" si="2496"/>
        <v>0</v>
      </c>
      <c r="RD20" s="494"/>
      <c r="RE20" s="493">
        <f t="shared" si="2497"/>
        <v>0</v>
      </c>
      <c r="RF20" s="494"/>
      <c r="RG20" s="493">
        <f t="shared" ref="RG20:RG21" si="2614">((RG43+RH43)-(RG42+RH42))/2</f>
        <v>0</v>
      </c>
      <c r="RH20" s="494"/>
      <c r="RI20" s="493">
        <f t="shared" si="2498"/>
        <v>0</v>
      </c>
      <c r="RJ20" s="494"/>
      <c r="RK20" s="493">
        <f t="shared" si="2499"/>
        <v>0</v>
      </c>
      <c r="RL20" s="494"/>
      <c r="RM20" s="493">
        <f t="shared" ref="RM20:RM21" si="2615">((RM43+RN43)-(RM42+RN42))/2</f>
        <v>0</v>
      </c>
      <c r="RN20" s="494"/>
      <c r="RO20" s="493">
        <f t="shared" si="2500"/>
        <v>0</v>
      </c>
      <c r="RP20" s="494"/>
      <c r="RQ20" s="493">
        <f t="shared" si="2501"/>
        <v>0</v>
      </c>
      <c r="RR20" s="494"/>
      <c r="RS20" s="493">
        <f t="shared" ref="RS20:RS21" si="2616">((RS43+RT43)-(RS42+RT42))/2</f>
        <v>0</v>
      </c>
      <c r="RT20" s="494"/>
      <c r="RU20" s="493">
        <f t="shared" si="2502"/>
        <v>0</v>
      </c>
      <c r="RV20" s="494"/>
      <c r="RW20" s="493">
        <f t="shared" si="2503"/>
        <v>0</v>
      </c>
      <c r="RX20" s="494"/>
      <c r="RY20" s="493">
        <f t="shared" ref="RY20:RY21" si="2617">((RY43+RZ43)-(RY42+RZ42))/2</f>
        <v>0</v>
      </c>
      <c r="RZ20" s="494"/>
      <c r="SA20" s="493">
        <f t="shared" si="2504"/>
        <v>0</v>
      </c>
      <c r="SB20" s="494"/>
      <c r="SC20" s="493">
        <f t="shared" si="2505"/>
        <v>0</v>
      </c>
      <c r="SD20" s="494"/>
      <c r="SE20" s="493">
        <f t="shared" ref="SE20:SE21" si="2618">((SE43+SF43)-(SE42+SF42))/2</f>
        <v>0</v>
      </c>
      <c r="SF20" s="494"/>
      <c r="SG20" s="493">
        <f t="shared" si="2506"/>
        <v>0</v>
      </c>
      <c r="SH20" s="494"/>
      <c r="SI20" s="493">
        <f t="shared" si="2507"/>
        <v>0</v>
      </c>
      <c r="SJ20" s="494"/>
      <c r="SK20" s="493">
        <f t="shared" ref="SK20:SK21" si="2619">((SK43+SL43)-(SK42+SL42))/2</f>
        <v>0</v>
      </c>
      <c r="SL20" s="494"/>
      <c r="SM20" s="493">
        <f t="shared" si="2508"/>
        <v>0</v>
      </c>
      <c r="SN20" s="494"/>
      <c r="SO20" s="493">
        <f t="shared" si="2509"/>
        <v>0</v>
      </c>
      <c r="SP20" s="494"/>
      <c r="SQ20" s="493">
        <f t="shared" ref="SQ20:SQ21" si="2620">((SQ43+SR43)-(SQ42+SR42))/2</f>
        <v>0</v>
      </c>
      <c r="SR20" s="494"/>
      <c r="SS20" s="493">
        <f t="shared" si="2510"/>
        <v>0</v>
      </c>
      <c r="ST20" s="494"/>
      <c r="SU20" s="493">
        <f t="shared" si="2511"/>
        <v>0</v>
      </c>
      <c r="SV20" s="494"/>
      <c r="SW20" s="493">
        <f t="shared" ref="SW20:SW21" si="2621">((SW43+SX43)-(SW42+SX42))/2</f>
        <v>0</v>
      </c>
      <c r="SX20" s="494"/>
      <c r="SY20" s="493">
        <f t="shared" si="2512"/>
        <v>0</v>
      </c>
      <c r="SZ20" s="494"/>
      <c r="TA20" s="493">
        <f t="shared" si="2513"/>
        <v>0</v>
      </c>
      <c r="TB20" s="494"/>
      <c r="TC20" s="493">
        <f t="shared" ref="TC20:TC21" si="2622">((TC43+TD43)-(TC42+TD42))/2</f>
        <v>0</v>
      </c>
      <c r="TD20" s="494"/>
      <c r="TE20" s="493">
        <f t="shared" si="2514"/>
        <v>0</v>
      </c>
      <c r="TF20" s="494"/>
      <c r="TG20" s="493">
        <f t="shared" si="2515"/>
        <v>0</v>
      </c>
      <c r="TH20" s="494"/>
      <c r="TI20" s="493">
        <f t="shared" ref="TI20:TI21" si="2623">((TI43+TJ43)-(TI42+TJ42))/2</f>
        <v>0</v>
      </c>
      <c r="TJ20" s="494"/>
      <c r="TK20" s="493">
        <f t="shared" si="2516"/>
        <v>0</v>
      </c>
      <c r="TL20" s="494"/>
      <c r="TM20" s="493">
        <f t="shared" si="2517"/>
        <v>0</v>
      </c>
      <c r="TN20" s="494"/>
      <c r="TO20" s="493">
        <f t="shared" ref="TO20:TO21" si="2624">((TO43+TP43)-(TO42+TP42))/2</f>
        <v>0</v>
      </c>
      <c r="TP20" s="494"/>
      <c r="TQ20" s="493">
        <f t="shared" si="2518"/>
        <v>0</v>
      </c>
      <c r="TR20" s="494"/>
      <c r="TS20" s="493">
        <f t="shared" si="2519"/>
        <v>0</v>
      </c>
      <c r="TT20" s="494"/>
      <c r="TU20" s="493">
        <f t="shared" ref="TU20:TU21" si="2625">((TU43+TV43)-(TU42+TV42))/2</f>
        <v>0</v>
      </c>
      <c r="TV20" s="494"/>
      <c r="TW20" s="493">
        <f t="shared" si="2520"/>
        <v>0</v>
      </c>
      <c r="TX20" s="494"/>
      <c r="TY20" s="493">
        <f t="shared" si="2521"/>
        <v>0</v>
      </c>
      <c r="TZ20" s="494"/>
      <c r="UA20" s="493">
        <f t="shared" ref="UA20:UA21" si="2626">((UA43+UB43)-(UA42+UB42))/2</f>
        <v>0</v>
      </c>
      <c r="UB20" s="494"/>
      <c r="UC20" s="493">
        <f t="shared" si="2522"/>
        <v>0</v>
      </c>
      <c r="UD20" s="494"/>
      <c r="UE20" s="493">
        <f t="shared" si="2523"/>
        <v>0</v>
      </c>
      <c r="UF20" s="494"/>
      <c r="UG20" s="493">
        <f t="shared" ref="UG20:UG21" si="2627">((UG43+UH43)-(UG42+UH42))/2</f>
        <v>0</v>
      </c>
      <c r="UH20" s="494"/>
      <c r="UI20" s="493">
        <f t="shared" si="2524"/>
        <v>0</v>
      </c>
      <c r="UJ20" s="494"/>
      <c r="UK20" s="493">
        <f t="shared" si="2525"/>
        <v>0</v>
      </c>
      <c r="UL20" s="494"/>
      <c r="UM20" s="493">
        <f t="shared" ref="UM20:UM21" si="2628">((UM43+UN43)-(UM42+UN42))/2</f>
        <v>0</v>
      </c>
      <c r="UN20" s="494"/>
      <c r="UO20" s="493">
        <f t="shared" si="2526"/>
        <v>0</v>
      </c>
      <c r="UP20" s="494"/>
      <c r="UQ20" s="493">
        <f t="shared" si="2527"/>
        <v>0</v>
      </c>
      <c r="UR20" s="494"/>
      <c r="US20" s="493">
        <f t="shared" ref="US20:US21" si="2629">((US43+UT43)-(US42+UT42))/2</f>
        <v>0</v>
      </c>
      <c r="UT20" s="494"/>
      <c r="UU20" s="493">
        <f t="shared" si="2528"/>
        <v>0</v>
      </c>
      <c r="UV20" s="494"/>
      <c r="UW20" s="493">
        <f t="shared" si="2529"/>
        <v>0</v>
      </c>
      <c r="UX20" s="494"/>
      <c r="UY20" s="493">
        <f t="shared" ref="UY20:UY21" si="2630">((UY43+UZ43)-(UY42+UZ42))/2</f>
        <v>0</v>
      </c>
      <c r="UZ20" s="494"/>
      <c r="VA20" s="493">
        <f t="shared" si="2530"/>
        <v>0</v>
      </c>
      <c r="VB20" s="494"/>
      <c r="VC20" s="493">
        <f t="shared" si="2531"/>
        <v>0</v>
      </c>
      <c r="VD20" s="494"/>
      <c r="VE20" s="493">
        <f t="shared" ref="VE20:VE21" si="2631">((VE43+VF43)-(VE42+VF42))/2</f>
        <v>0</v>
      </c>
      <c r="VF20" s="494"/>
      <c r="VG20" s="493">
        <f t="shared" si="2532"/>
        <v>0</v>
      </c>
      <c r="VH20" s="494"/>
      <c r="VI20" s="493">
        <f t="shared" si="2533"/>
        <v>0</v>
      </c>
      <c r="VJ20" s="494"/>
      <c r="VK20" s="493">
        <f t="shared" si="467"/>
        <v>0</v>
      </c>
      <c r="VL20" s="494"/>
      <c r="VM20" s="493">
        <f t="shared" si="2534"/>
        <v>0</v>
      </c>
      <c r="VN20" s="494"/>
      <c r="VO20" s="493">
        <f t="shared" si="2535"/>
        <v>0</v>
      </c>
      <c r="VP20" s="494"/>
      <c r="VQ20" s="493">
        <f t="shared" ref="VQ20:VQ21" si="2632">((VQ43+VR43)-(VQ42+VR42))/2</f>
        <v>0</v>
      </c>
      <c r="VR20" s="494"/>
      <c r="VS20" s="493">
        <f t="shared" si="2536"/>
        <v>0</v>
      </c>
      <c r="VT20" s="494"/>
      <c r="VU20" s="493">
        <f t="shared" si="1936"/>
        <v>0</v>
      </c>
      <c r="VV20" s="494"/>
      <c r="VW20" s="493">
        <f t="shared" ref="VW20:VW21" si="2633">((VW43+VX43)-(VW42+VX42))/2</f>
        <v>0</v>
      </c>
      <c r="VX20" s="494"/>
      <c r="VY20" s="493">
        <f t="shared" si="2537"/>
        <v>0</v>
      </c>
      <c r="VZ20" s="494"/>
      <c r="WA20" s="493">
        <f>((WA39+WB38)-(WA38+WB37))/2</f>
        <v>0</v>
      </c>
      <c r="WB20" s="494"/>
      <c r="WC20" s="493">
        <f t="shared" ref="WC20:WC21" si="2634">((WC43+WD43)-(WC42+WD42))/2</f>
        <v>0</v>
      </c>
      <c r="WD20" s="494"/>
      <c r="WE20" s="493">
        <f t="shared" si="2538"/>
        <v>0</v>
      </c>
      <c r="WF20" s="494"/>
      <c r="WG20" s="493">
        <f t="shared" si="2539"/>
        <v>0</v>
      </c>
      <c r="WH20" s="494"/>
      <c r="WI20" s="493">
        <f t="shared" ref="WI20:WI21" si="2635">((WI43+WJ43)-(WI42+WJ42))/2</f>
        <v>0</v>
      </c>
      <c r="WJ20" s="494"/>
      <c r="WK20" s="493">
        <f t="shared" si="2540"/>
        <v>0</v>
      </c>
      <c r="WL20" s="494"/>
      <c r="WM20" s="493">
        <f t="shared" si="2541"/>
        <v>0</v>
      </c>
      <c r="WN20" s="494"/>
      <c r="WO20" s="493">
        <f t="shared" ref="WO20:WO21" si="2636">((WO43+WP43)-(WO42+WP42))/2</f>
        <v>0</v>
      </c>
      <c r="WP20" s="494"/>
      <c r="WQ20" s="493">
        <f t="shared" si="477"/>
        <v>0</v>
      </c>
      <c r="WR20" s="494"/>
      <c r="WS20" s="493">
        <f t="shared" si="2542"/>
        <v>0</v>
      </c>
      <c r="WT20" s="494"/>
      <c r="WU20" s="493">
        <f t="shared" ref="WU20:WU21" si="2637">((WU43+WV43)-(WU42+WV42))/2</f>
        <v>0</v>
      </c>
      <c r="WV20" s="494"/>
      <c r="WW20" s="493">
        <f t="shared" si="2543"/>
        <v>0</v>
      </c>
      <c r="WX20" s="494"/>
      <c r="WY20" s="493">
        <f t="shared" si="2544"/>
        <v>0</v>
      </c>
      <c r="WZ20" s="494"/>
      <c r="XA20" s="493">
        <f t="shared" ref="XA20:XA21" si="2638">((XA43+XB43)-(XA42+XB42))/2</f>
        <v>0</v>
      </c>
      <c r="XB20" s="494"/>
      <c r="XC20" s="493">
        <f t="shared" si="2545"/>
        <v>0</v>
      </c>
      <c r="XD20" s="494"/>
      <c r="XE20" s="493">
        <f t="shared" si="2546"/>
        <v>0</v>
      </c>
      <c r="XF20" s="494"/>
      <c r="XG20" s="493">
        <f t="shared" ref="XG20:XG21" si="2639">((XG43+XH43)-(XG42+XH42))/2</f>
        <v>0</v>
      </c>
      <c r="XH20" s="494"/>
      <c r="XI20" s="493">
        <f t="shared" si="2547"/>
        <v>0</v>
      </c>
      <c r="XJ20" s="494"/>
      <c r="XK20" s="493">
        <f t="shared" si="2548"/>
        <v>0</v>
      </c>
      <c r="XL20" s="494"/>
      <c r="XM20" s="493">
        <f t="shared" ref="XM20:XM21" si="2640">((XM43+XN43)-(XM42+XN42))/2</f>
        <v>0</v>
      </c>
      <c r="XN20" s="494"/>
      <c r="XO20" s="493">
        <f t="shared" ref="XO20" si="2641">((XO44+XP43)-(XO43+XP42))/2</f>
        <v>0</v>
      </c>
      <c r="XP20" s="494"/>
      <c r="XQ20" s="493">
        <f t="shared" si="2549"/>
        <v>0</v>
      </c>
      <c r="XR20" s="494"/>
      <c r="XS20" s="493">
        <f t="shared" ref="XS20:XS21" si="2642">((XS43+XT43)-(XS42+XT42))/2</f>
        <v>0</v>
      </c>
      <c r="XT20" s="494"/>
      <c r="XU20" s="493">
        <f t="shared" si="2550"/>
        <v>0</v>
      </c>
      <c r="XV20" s="494"/>
      <c r="XW20" s="493">
        <f t="shared" si="2551"/>
        <v>0</v>
      </c>
      <c r="XX20" s="494"/>
      <c r="XY20" s="493">
        <f t="shared" ref="XY20:XY21" si="2643">((XY43+XZ43)-(XY42+XZ42))/2</f>
        <v>0</v>
      </c>
      <c r="XZ20" s="494"/>
      <c r="YA20" s="493">
        <f t="shared" si="2552"/>
        <v>0</v>
      </c>
      <c r="YB20" s="494"/>
      <c r="YC20" s="493">
        <f t="shared" si="2553"/>
        <v>0</v>
      </c>
      <c r="YD20" s="494"/>
      <c r="YE20" s="493" t="e">
        <f>((#REF!+YF43)-(YE43+YF42))/2</f>
        <v>#REF!</v>
      </c>
      <c r="YF20" s="494"/>
      <c r="YG20" s="493">
        <f t="shared" si="2554"/>
        <v>0</v>
      </c>
      <c r="YH20" s="494"/>
      <c r="YI20" s="493">
        <f t="shared" si="2555"/>
        <v>0</v>
      </c>
      <c r="YJ20" s="494"/>
      <c r="YK20" s="493">
        <f t="shared" ref="YK20:YK21" si="2644">((YK43+YL43)-(YK42+YL42))/2</f>
        <v>0</v>
      </c>
      <c r="YL20" s="494"/>
      <c r="YM20" s="493">
        <f t="shared" si="2556"/>
        <v>0</v>
      </c>
      <c r="YN20" s="494"/>
      <c r="YO20" s="493">
        <f t="shared" ref="YO20:YO21" si="2645">((YO43+YP43)-(YO42+YP42))/2</f>
        <v>0</v>
      </c>
      <c r="YP20" s="494"/>
      <c r="YQ20" s="493">
        <f t="shared" ref="YQ20:YQ21" si="2646">((YQ43+YR43)-(YQ42+YR42))/2</f>
        <v>0</v>
      </c>
      <c r="YR20" s="494"/>
      <c r="YS20" s="493">
        <f t="shared" si="2557"/>
        <v>0</v>
      </c>
      <c r="YT20" s="494"/>
      <c r="YU20" s="493">
        <f t="shared" si="2558"/>
        <v>0</v>
      </c>
      <c r="YV20" s="494"/>
      <c r="YW20" s="493">
        <f t="shared" ref="YW20:YW21" si="2647">((YW43+YX43)-(YW42+YX42))/2</f>
        <v>0</v>
      </c>
      <c r="YX20" s="494"/>
      <c r="YY20" s="493">
        <f t="shared" si="496"/>
        <v>0</v>
      </c>
      <c r="YZ20" s="494"/>
      <c r="ZA20" s="493">
        <f t="shared" si="2559"/>
        <v>0</v>
      </c>
      <c r="ZB20" s="494"/>
      <c r="ZC20" s="493">
        <f t="shared" ref="ZC20:ZC21" si="2648">((ZC43+ZD43)-(ZC42+ZD42))/2</f>
        <v>0</v>
      </c>
      <c r="ZD20" s="494"/>
      <c r="ZE20" s="493">
        <f t="shared" si="2560"/>
        <v>0</v>
      </c>
      <c r="ZF20" s="494"/>
      <c r="ZG20" s="493">
        <f t="shared" si="2561"/>
        <v>0</v>
      </c>
      <c r="ZH20" s="494"/>
      <c r="ZI20" s="493">
        <f t="shared" ref="ZI20:ZI21" si="2649">((ZI43+ZJ43)-(ZI42+ZJ42))/2</f>
        <v>0</v>
      </c>
      <c r="ZJ20" s="494"/>
      <c r="ZK20" s="493">
        <f t="shared" si="2562"/>
        <v>0</v>
      </c>
      <c r="ZL20" s="494"/>
      <c r="ZM20" s="493">
        <f t="shared" si="2563"/>
        <v>0</v>
      </c>
      <c r="ZN20" s="494"/>
      <c r="ZO20" s="493">
        <f t="shared" ref="ZO20:ZO21" si="2650">((ZO43+ZP43)-(ZO42+ZP42))/2</f>
        <v>0</v>
      </c>
      <c r="ZP20" s="494"/>
      <c r="ZQ20" s="493">
        <f t="shared" si="2564"/>
        <v>0</v>
      </c>
      <c r="ZR20" s="494"/>
      <c r="ZS20" s="493">
        <f t="shared" si="2565"/>
        <v>0</v>
      </c>
      <c r="ZT20" s="494"/>
      <c r="ZU20" s="493">
        <f t="shared" ref="ZU20:ZU21" si="2651">((ZU43+ZV43)-(ZU42+ZV42))/2</f>
        <v>0</v>
      </c>
      <c r="ZV20" s="494"/>
      <c r="ZW20" s="493">
        <f t="shared" si="2566"/>
        <v>0</v>
      </c>
      <c r="ZX20" s="494"/>
      <c r="ZY20" s="493">
        <f t="shared" si="2567"/>
        <v>0</v>
      </c>
      <c r="ZZ20" s="494"/>
      <c r="AAA20" s="493">
        <f t="shared" ref="AAA20:AAA21" si="2652">((AAA43+AAB43)-(AAA42+AAB42))/2</f>
        <v>0</v>
      </c>
      <c r="AAB20" s="494"/>
      <c r="AAC20" s="493">
        <f t="shared" si="2568"/>
        <v>0</v>
      </c>
      <c r="AAD20" s="494"/>
      <c r="AAE20" s="493">
        <f t="shared" si="2569"/>
        <v>0</v>
      </c>
      <c r="AAF20" s="494"/>
      <c r="AAG20" s="493">
        <f t="shared" ref="AAG20:AAG21" si="2653">((AAG43+AAH43)-(AAG42+AAH42))/2</f>
        <v>0</v>
      </c>
      <c r="AAH20" s="494"/>
      <c r="AAI20" s="493">
        <f t="shared" si="2570"/>
        <v>0</v>
      </c>
      <c r="AAJ20" s="494"/>
      <c r="AAK20" s="493">
        <f t="shared" si="2571"/>
        <v>0</v>
      </c>
      <c r="AAL20" s="494"/>
      <c r="AAM20" s="493">
        <f t="shared" ref="AAM20:AAM21" si="2654">((AAM43+AAN43)-(AAM42+AAN42))/2</f>
        <v>0</v>
      </c>
      <c r="AAN20" s="494"/>
      <c r="AAO20" s="493">
        <f t="shared" si="2572"/>
        <v>0</v>
      </c>
      <c r="AAP20" s="494"/>
      <c r="AAQ20" s="493">
        <f t="shared" si="2573"/>
        <v>0</v>
      </c>
      <c r="AAR20" s="494"/>
      <c r="AAS20" s="493">
        <f t="shared" ref="AAS20:AAS21" si="2655">((AAS43+AAT43)-(AAS42+AAT42))/2</f>
        <v>0</v>
      </c>
      <c r="AAT20" s="494"/>
      <c r="AAU20" s="493">
        <f t="shared" si="2574"/>
        <v>0</v>
      </c>
      <c r="AAV20" s="494"/>
      <c r="AAW20" s="493">
        <f t="shared" si="2575"/>
        <v>0</v>
      </c>
      <c r="AAX20" s="494"/>
      <c r="AAY20" s="493">
        <f t="shared" ref="AAY20:AAY21" si="2656">((AAY43+AAZ43)-(AAY42+AAZ42))/2</f>
        <v>0</v>
      </c>
      <c r="AAZ20" s="494"/>
      <c r="ABA20" s="493">
        <f t="shared" si="2576"/>
        <v>0</v>
      </c>
      <c r="ABB20" s="494"/>
      <c r="ABC20" s="493">
        <f t="shared" si="2577"/>
        <v>0</v>
      </c>
      <c r="ABD20" s="494"/>
      <c r="ABE20" s="379">
        <f t="shared" si="516"/>
        <v>0</v>
      </c>
      <c r="ABF20" s="375"/>
      <c r="ABG20" s="335"/>
      <c r="ABH20" s="335"/>
      <c r="ABI20" s="335"/>
      <c r="ABJ20" s="335"/>
      <c r="ABK20" s="335"/>
      <c r="ABL20" s="335"/>
      <c r="ABM20" s="335"/>
      <c r="ABN20" s="335"/>
      <c r="ABO20" s="335"/>
      <c r="ABP20" s="335"/>
      <c r="ABQ20" s="335"/>
      <c r="ABR20" s="335"/>
      <c r="ABS20" s="335"/>
      <c r="ABT20" s="335"/>
      <c r="ABU20" s="335"/>
      <c r="ABV20" s="335"/>
      <c r="ABW20" s="335"/>
      <c r="ABX20" s="335"/>
      <c r="ABY20" s="335"/>
      <c r="ABZ20" s="335"/>
      <c r="ACA20" s="335"/>
      <c r="ACB20" s="335"/>
      <c r="ACC20" s="335"/>
      <c r="ACD20" s="335"/>
      <c r="ACE20" s="335"/>
      <c r="ACF20" s="335"/>
      <c r="ACG20" s="335"/>
      <c r="ACH20" s="335"/>
      <c r="ACI20" s="335"/>
      <c r="ACJ20" s="335"/>
      <c r="ACK20" s="335"/>
      <c r="ACL20" s="335"/>
      <c r="ACM20" s="335"/>
      <c r="ACN20" s="335"/>
      <c r="ACO20" s="335"/>
      <c r="ACP20" s="335"/>
      <c r="ACQ20" s="335"/>
      <c r="ACR20" s="335"/>
      <c r="ACS20" s="335"/>
      <c r="ACT20" s="335"/>
      <c r="ACU20" s="335"/>
      <c r="ACV20" s="335"/>
      <c r="ACW20" s="335"/>
      <c r="ACX20" s="335"/>
      <c r="ACY20" s="335"/>
      <c r="ACZ20" s="335"/>
      <c r="ADA20" s="335"/>
      <c r="ADB20" s="335"/>
      <c r="ADC20" s="335"/>
      <c r="ADD20" s="335"/>
      <c r="ADE20" s="335"/>
      <c r="ADF20" s="335"/>
      <c r="ADG20" s="335"/>
      <c r="ADH20" s="335"/>
      <c r="ADI20" s="335"/>
      <c r="ADJ20" s="335"/>
      <c r="ADK20" s="335"/>
      <c r="ADL20" s="335"/>
      <c r="ADM20" s="335"/>
      <c r="ADN20" s="335"/>
      <c r="ADO20" s="335"/>
      <c r="ADP20" s="335"/>
      <c r="ADQ20" s="335"/>
      <c r="ADR20" s="335"/>
      <c r="ADS20" s="335"/>
      <c r="ADT20" s="335"/>
      <c r="ADU20" s="335"/>
      <c r="ADV20" s="335"/>
      <c r="ADW20" s="335"/>
      <c r="ADX20" s="335"/>
      <c r="ADY20" s="335"/>
      <c r="ADZ20" s="335"/>
      <c r="AEA20" s="335"/>
      <c r="AEB20" s="335"/>
      <c r="AEC20" s="335"/>
      <c r="AED20" s="335"/>
      <c r="AEE20" s="335"/>
      <c r="AEF20" s="335"/>
      <c r="AEG20" s="335"/>
      <c r="AEH20" s="335"/>
      <c r="AEI20" s="335"/>
      <c r="AEJ20" s="335"/>
      <c r="AEK20" s="335"/>
      <c r="AEL20" s="335"/>
      <c r="AEM20" s="335"/>
      <c r="AEN20" s="335"/>
      <c r="AEO20" s="335"/>
      <c r="AEP20" s="335"/>
      <c r="AEQ20" s="335"/>
      <c r="AER20" s="335"/>
      <c r="AES20" s="335"/>
      <c r="AET20" s="335"/>
      <c r="AEU20" s="335"/>
      <c r="AEV20" s="335"/>
      <c r="AEW20" s="335"/>
      <c r="AEX20" s="335"/>
      <c r="AEY20" s="335"/>
      <c r="AEZ20" s="335"/>
      <c r="AFA20" s="335"/>
      <c r="AFB20" s="335"/>
      <c r="AFC20" s="335"/>
      <c r="AFD20" s="335"/>
      <c r="AFE20" s="335"/>
      <c r="AFF20" s="335"/>
      <c r="AFG20" s="335"/>
      <c r="AFH20" s="335"/>
      <c r="AFI20" s="335"/>
      <c r="AFJ20" s="335"/>
      <c r="AFK20" s="335"/>
      <c r="AFL20" s="335"/>
      <c r="AFM20" s="335"/>
      <c r="AFN20" s="335"/>
      <c r="AFO20" s="335"/>
      <c r="AFP20" s="335"/>
      <c r="AFQ20" s="335"/>
      <c r="AFR20" s="335"/>
      <c r="AFS20" s="335"/>
      <c r="AFT20" s="335"/>
      <c r="AFU20" s="335"/>
      <c r="AFV20" s="335"/>
      <c r="AFW20" s="335"/>
      <c r="AFX20" s="335"/>
      <c r="AFY20" s="335"/>
      <c r="AFZ20" s="335"/>
      <c r="AGA20" s="335"/>
      <c r="AGB20" s="335"/>
      <c r="AGC20" s="335"/>
      <c r="AGD20" s="335"/>
      <c r="AGE20" s="335"/>
      <c r="AGF20" s="335"/>
      <c r="AGG20" s="335"/>
      <c r="AGH20" s="335"/>
      <c r="AGI20" s="335"/>
      <c r="AGJ20" s="335"/>
      <c r="AGK20" s="335"/>
      <c r="AGL20" s="335"/>
      <c r="AGM20" s="335"/>
      <c r="AGN20" s="335"/>
      <c r="AGO20" s="335"/>
      <c r="AGP20" s="335"/>
      <c r="AGQ20" s="335"/>
      <c r="AGR20" s="335"/>
      <c r="AGS20" s="335"/>
      <c r="AGT20" s="335"/>
      <c r="AGU20" s="335"/>
      <c r="AGV20" s="335"/>
      <c r="AGW20" s="335"/>
      <c r="AGX20" s="335"/>
      <c r="AGY20" s="335"/>
      <c r="AGZ20" s="335"/>
      <c r="AHA20" s="335"/>
      <c r="AHB20" s="335"/>
      <c r="AHC20" s="335"/>
      <c r="AHD20" s="335"/>
      <c r="AHE20" s="335"/>
      <c r="AHF20" s="335"/>
      <c r="AHG20" s="335"/>
      <c r="AHH20" s="335"/>
      <c r="AHI20" s="335"/>
      <c r="AHJ20" s="335"/>
      <c r="AHK20" s="335"/>
      <c r="AHL20" s="335"/>
      <c r="AHM20" s="335"/>
      <c r="AHN20" s="335"/>
      <c r="AHO20" s="335"/>
      <c r="AHP20" s="335"/>
      <c r="AHQ20" s="335"/>
      <c r="AHR20" s="335"/>
      <c r="AHS20" s="335"/>
      <c r="AHT20" s="335"/>
      <c r="AHU20" s="335"/>
      <c r="AHV20" s="335"/>
      <c r="AHW20" s="335"/>
      <c r="AHX20" s="335"/>
      <c r="AHY20" s="335"/>
      <c r="AHZ20" s="335"/>
      <c r="AIA20" s="335"/>
      <c r="AIB20" s="335"/>
    </row>
    <row r="21" spans="1:913" s="171" customFormat="1" ht="12" customHeight="1">
      <c r="B21" s="177">
        <v>1.0833333333333299</v>
      </c>
      <c r="C21" s="493">
        <f t="shared" si="246"/>
        <v>0</v>
      </c>
      <c r="D21" s="494"/>
      <c r="E21" s="493">
        <f t="shared" si="0"/>
        <v>0</v>
      </c>
      <c r="F21" s="494"/>
      <c r="G21" s="493">
        <f t="shared" si="1"/>
        <v>0</v>
      </c>
      <c r="H21" s="494"/>
      <c r="I21" s="493">
        <f t="shared" si="1690"/>
        <v>0</v>
      </c>
      <c r="J21" s="494"/>
      <c r="K21" s="493">
        <f t="shared" si="2"/>
        <v>0</v>
      </c>
      <c r="L21" s="494"/>
      <c r="M21" s="493">
        <f t="shared" si="3"/>
        <v>0</v>
      </c>
      <c r="N21" s="494"/>
      <c r="O21" s="493">
        <f t="shared" si="517"/>
        <v>0</v>
      </c>
      <c r="P21" s="494"/>
      <c r="Q21" s="493">
        <f t="shared" si="248"/>
        <v>0</v>
      </c>
      <c r="R21" s="494"/>
      <c r="S21" s="493">
        <f t="shared" si="249"/>
        <v>0</v>
      </c>
      <c r="T21" s="494"/>
      <c r="U21" s="493">
        <f t="shared" si="250"/>
        <v>0</v>
      </c>
      <c r="V21" s="494"/>
      <c r="W21" s="493">
        <f t="shared" si="251"/>
        <v>0</v>
      </c>
      <c r="X21" s="494"/>
      <c r="Y21" s="493">
        <f t="shared" si="252"/>
        <v>0</v>
      </c>
      <c r="Z21" s="494"/>
      <c r="AA21" s="493">
        <f t="shared" si="253"/>
        <v>0</v>
      </c>
      <c r="AB21" s="494"/>
      <c r="AC21" s="493">
        <f>((AC44+AD44)-(AC43+AD43))/2</f>
        <v>0</v>
      </c>
      <c r="AD21" s="494"/>
      <c r="AE21" s="493">
        <f t="shared" si="255"/>
        <v>0</v>
      </c>
      <c r="AF21" s="494"/>
      <c r="AG21" s="493">
        <f t="shared" si="256"/>
        <v>0</v>
      </c>
      <c r="AH21" s="494"/>
      <c r="AI21" s="493">
        <f>((AI44+AJ44)-(AI43+AJ43))/2</f>
        <v>0</v>
      </c>
      <c r="AJ21" s="494"/>
      <c r="AK21" s="493">
        <f t="shared" si="258"/>
        <v>0</v>
      </c>
      <c r="AL21" s="494"/>
      <c r="AM21" s="493">
        <f t="shared" si="259"/>
        <v>0</v>
      </c>
      <c r="AN21" s="494"/>
      <c r="AO21" s="493">
        <f t="shared" si="260"/>
        <v>0</v>
      </c>
      <c r="AP21" s="494"/>
      <c r="AQ21" s="493">
        <f t="shared" si="261"/>
        <v>0</v>
      </c>
      <c r="AR21" s="494"/>
      <c r="AS21" s="493">
        <f t="shared" si="262"/>
        <v>0</v>
      </c>
      <c r="AT21" s="494"/>
      <c r="AU21" s="493">
        <f t="shared" si="263"/>
        <v>0</v>
      </c>
      <c r="AV21" s="494"/>
      <c r="AW21" s="493">
        <f t="shared" si="264"/>
        <v>0</v>
      </c>
      <c r="AX21" s="494"/>
      <c r="AY21" s="493">
        <f t="shared" si="265"/>
        <v>0</v>
      </c>
      <c r="AZ21" s="494"/>
      <c r="BA21" s="493">
        <f t="shared" si="266"/>
        <v>0</v>
      </c>
      <c r="BB21" s="494"/>
      <c r="BC21" s="493">
        <f t="shared" si="267"/>
        <v>0</v>
      </c>
      <c r="BD21" s="494"/>
      <c r="BE21" s="493">
        <f t="shared" si="268"/>
        <v>0</v>
      </c>
      <c r="BF21" s="494"/>
      <c r="BG21" s="493">
        <f t="shared" si="269"/>
        <v>0</v>
      </c>
      <c r="BH21" s="494"/>
      <c r="BI21" s="493">
        <f t="shared" si="270"/>
        <v>0</v>
      </c>
      <c r="BJ21" s="494"/>
      <c r="BK21" s="493">
        <f t="shared" si="271"/>
        <v>0</v>
      </c>
      <c r="BL21" s="494"/>
      <c r="BM21" s="493">
        <f t="shared" si="272"/>
        <v>0</v>
      </c>
      <c r="BN21" s="494"/>
      <c r="BO21" s="493">
        <f t="shared" si="273"/>
        <v>0</v>
      </c>
      <c r="BP21" s="494"/>
      <c r="BQ21" s="493">
        <f t="shared" si="274"/>
        <v>0</v>
      </c>
      <c r="BR21" s="494"/>
      <c r="BS21" s="493">
        <f t="shared" si="275"/>
        <v>0</v>
      </c>
      <c r="BT21" s="494"/>
      <c r="BU21" s="493">
        <f t="shared" si="276"/>
        <v>0</v>
      </c>
      <c r="BV21" s="494"/>
      <c r="BW21" s="493">
        <f t="shared" si="665"/>
        <v>0</v>
      </c>
      <c r="BX21" s="494"/>
      <c r="BY21" s="493">
        <f t="shared" si="277"/>
        <v>0</v>
      </c>
      <c r="BZ21" s="494"/>
      <c r="CA21" s="493">
        <f t="shared" si="278"/>
        <v>0</v>
      </c>
      <c r="CB21" s="494"/>
      <c r="CC21" s="493">
        <f t="shared" si="279"/>
        <v>0</v>
      </c>
      <c r="CD21" s="494"/>
      <c r="CE21" s="493">
        <f t="shared" si="280"/>
        <v>0</v>
      </c>
      <c r="CF21" s="494"/>
      <c r="CG21" s="493">
        <f t="shared" si="281"/>
        <v>0</v>
      </c>
      <c r="CH21" s="494"/>
      <c r="CI21" s="493">
        <f t="shared" si="282"/>
        <v>0</v>
      </c>
      <c r="CJ21" s="494"/>
      <c r="CK21" s="493">
        <f t="shared" si="283"/>
        <v>0</v>
      </c>
      <c r="CL21" s="494"/>
      <c r="CM21" s="493">
        <f t="shared" si="284"/>
        <v>0</v>
      </c>
      <c r="CN21" s="494"/>
      <c r="CO21" s="493">
        <f t="shared" si="285"/>
        <v>0</v>
      </c>
      <c r="CP21" s="494"/>
      <c r="CQ21" s="493">
        <f t="shared" si="286"/>
        <v>0</v>
      </c>
      <c r="CR21" s="494"/>
      <c r="CS21" s="493">
        <f t="shared" si="287"/>
        <v>0</v>
      </c>
      <c r="CT21" s="494"/>
      <c r="CU21" s="493">
        <f t="shared" si="2277"/>
        <v>0</v>
      </c>
      <c r="CV21" s="494"/>
      <c r="CW21" s="493">
        <f t="shared" si="289"/>
        <v>0</v>
      </c>
      <c r="CX21" s="494"/>
      <c r="CY21" s="493">
        <f t="shared" si="290"/>
        <v>0</v>
      </c>
      <c r="CZ21" s="494"/>
      <c r="DA21" s="493">
        <f t="shared" si="291"/>
        <v>0</v>
      </c>
      <c r="DB21" s="494"/>
      <c r="DC21" s="493">
        <f t="shared" si="292"/>
        <v>0</v>
      </c>
      <c r="DD21" s="494"/>
      <c r="DE21" s="493">
        <f t="shared" si="293"/>
        <v>0</v>
      </c>
      <c r="DF21" s="494"/>
      <c r="DG21" s="493">
        <f t="shared" si="294"/>
        <v>0</v>
      </c>
      <c r="DH21" s="494"/>
      <c r="DI21" s="493">
        <f t="shared" si="295"/>
        <v>0</v>
      </c>
      <c r="DJ21" s="494"/>
      <c r="DK21" s="493">
        <f t="shared" si="296"/>
        <v>0</v>
      </c>
      <c r="DL21" s="494"/>
      <c r="DM21" s="493">
        <f t="shared" si="297"/>
        <v>0</v>
      </c>
      <c r="DN21" s="494"/>
      <c r="DO21" s="493">
        <f t="shared" si="298"/>
        <v>0</v>
      </c>
      <c r="DP21" s="494"/>
      <c r="DQ21" s="493">
        <f t="shared" si="666"/>
        <v>0</v>
      </c>
      <c r="DR21" s="494"/>
      <c r="DS21" s="493">
        <f t="shared" si="300"/>
        <v>0</v>
      </c>
      <c r="DT21" s="494"/>
      <c r="DU21" s="493">
        <f t="shared" si="301"/>
        <v>0</v>
      </c>
      <c r="DV21" s="494"/>
      <c r="DW21" s="493">
        <f t="shared" si="302"/>
        <v>0</v>
      </c>
      <c r="DX21" s="494"/>
      <c r="DY21" s="493">
        <f t="shared" si="303"/>
        <v>0</v>
      </c>
      <c r="DZ21" s="494"/>
      <c r="EA21" s="493">
        <f t="shared" si="304"/>
        <v>0</v>
      </c>
      <c r="EB21" s="494"/>
      <c r="EC21" s="493">
        <f t="shared" si="305"/>
        <v>0</v>
      </c>
      <c r="ED21" s="494"/>
      <c r="EE21" s="493">
        <f t="shared" si="1543"/>
        <v>0</v>
      </c>
      <c r="EF21" s="494"/>
      <c r="EG21" s="493">
        <f t="shared" si="1544"/>
        <v>0</v>
      </c>
      <c r="EH21" s="494"/>
      <c r="EI21" s="493">
        <f t="shared" si="1545"/>
        <v>0</v>
      </c>
      <c r="EJ21" s="494"/>
      <c r="EK21" s="493">
        <f t="shared" si="1546"/>
        <v>0</v>
      </c>
      <c r="EL21" s="494"/>
      <c r="EM21" s="493">
        <f t="shared" si="1547"/>
        <v>0</v>
      </c>
      <c r="EN21" s="494"/>
      <c r="EO21" s="493">
        <f t="shared" si="2127"/>
        <v>0</v>
      </c>
      <c r="EP21" s="494"/>
      <c r="EQ21" s="493">
        <f t="shared" si="307"/>
        <v>0</v>
      </c>
      <c r="ER21" s="494"/>
      <c r="ES21" s="493">
        <f t="shared" si="308"/>
        <v>0</v>
      </c>
      <c r="ET21" s="494"/>
      <c r="EU21" s="493">
        <f t="shared" si="309"/>
        <v>0</v>
      </c>
      <c r="EV21" s="494"/>
      <c r="EW21" s="493">
        <f t="shared" si="310"/>
        <v>0</v>
      </c>
      <c r="EX21" s="494"/>
      <c r="EY21" s="493">
        <f t="shared" si="311"/>
        <v>0</v>
      </c>
      <c r="EZ21" s="494"/>
      <c r="FA21" s="493">
        <f t="shared" si="312"/>
        <v>0</v>
      </c>
      <c r="FB21" s="494"/>
      <c r="FC21" s="493">
        <f t="shared" si="313"/>
        <v>0</v>
      </c>
      <c r="FD21" s="494"/>
      <c r="FE21" s="493">
        <f t="shared" si="314"/>
        <v>0</v>
      </c>
      <c r="FF21" s="494"/>
      <c r="FG21" s="493">
        <f t="shared" si="315"/>
        <v>0</v>
      </c>
      <c r="FH21" s="494"/>
      <c r="FI21" s="493">
        <f t="shared" si="316"/>
        <v>0</v>
      </c>
      <c r="FJ21" s="494"/>
      <c r="FK21" s="493">
        <f t="shared" si="317"/>
        <v>0</v>
      </c>
      <c r="FL21" s="494"/>
      <c r="FM21" s="493">
        <f t="shared" si="318"/>
        <v>0</v>
      </c>
      <c r="FN21" s="494"/>
      <c r="FO21" s="493">
        <f t="shared" si="319"/>
        <v>0</v>
      </c>
      <c r="FP21" s="494"/>
      <c r="FQ21" s="493">
        <f t="shared" si="320"/>
        <v>0</v>
      </c>
      <c r="FR21" s="494"/>
      <c r="FS21" s="493">
        <f t="shared" si="321"/>
        <v>0</v>
      </c>
      <c r="FT21" s="494"/>
      <c r="FU21" s="493">
        <f t="shared" si="322"/>
        <v>0</v>
      </c>
      <c r="FV21" s="494"/>
      <c r="FW21" s="493">
        <f t="shared" si="323"/>
        <v>0</v>
      </c>
      <c r="FX21" s="494"/>
      <c r="FY21" s="493">
        <f t="shared" si="324"/>
        <v>0</v>
      </c>
      <c r="FZ21" s="494"/>
      <c r="GA21" s="493">
        <f t="shared" si="325"/>
        <v>0</v>
      </c>
      <c r="GB21" s="494"/>
      <c r="GC21" s="493">
        <f t="shared" si="326"/>
        <v>0</v>
      </c>
      <c r="GD21" s="494"/>
      <c r="GE21" s="493">
        <f t="shared" si="327"/>
        <v>0</v>
      </c>
      <c r="GF21" s="494"/>
      <c r="GG21" s="493">
        <f t="shared" si="328"/>
        <v>0</v>
      </c>
      <c r="GH21" s="494"/>
      <c r="GI21" s="493">
        <f t="shared" si="329"/>
        <v>0</v>
      </c>
      <c r="GJ21" s="494"/>
      <c r="GK21" s="493">
        <f t="shared" si="330"/>
        <v>0</v>
      </c>
      <c r="GL21" s="494"/>
      <c r="GM21" s="493">
        <f t="shared" si="331"/>
        <v>0</v>
      </c>
      <c r="GN21" s="494"/>
      <c r="GO21" s="493">
        <f t="shared" si="1976"/>
        <v>0</v>
      </c>
      <c r="GP21" s="494"/>
      <c r="GQ21" s="493">
        <f t="shared" si="333"/>
        <v>0</v>
      </c>
      <c r="GR21" s="494"/>
      <c r="GS21" s="493">
        <f t="shared" si="334"/>
        <v>0</v>
      </c>
      <c r="GT21" s="494"/>
      <c r="GU21" s="493">
        <f t="shared" si="1109"/>
        <v>0</v>
      </c>
      <c r="GV21" s="494"/>
      <c r="GW21" s="493">
        <f t="shared" si="1110"/>
        <v>0</v>
      </c>
      <c r="GX21" s="494"/>
      <c r="GY21" s="493">
        <f t="shared" si="1111"/>
        <v>0</v>
      </c>
      <c r="GZ21" s="494"/>
      <c r="HA21" s="493">
        <f t="shared" si="335"/>
        <v>0</v>
      </c>
      <c r="HB21" s="494"/>
      <c r="HC21" s="493">
        <f t="shared" si="336"/>
        <v>0</v>
      </c>
      <c r="HD21" s="494"/>
      <c r="HE21" s="493">
        <f t="shared" si="1548"/>
        <v>0</v>
      </c>
      <c r="HF21" s="494"/>
      <c r="HG21" s="493">
        <f t="shared" si="338"/>
        <v>0</v>
      </c>
      <c r="HH21" s="494"/>
      <c r="HI21" s="493">
        <f t="shared" si="339"/>
        <v>0</v>
      </c>
      <c r="HJ21" s="494"/>
      <c r="HK21" s="493">
        <f t="shared" si="340"/>
        <v>0</v>
      </c>
      <c r="HL21" s="494"/>
      <c r="HM21" s="493">
        <f t="shared" si="341"/>
        <v>0</v>
      </c>
      <c r="HN21" s="494"/>
      <c r="HO21" s="493">
        <f t="shared" si="342"/>
        <v>0</v>
      </c>
      <c r="HP21" s="494"/>
      <c r="HQ21" s="493">
        <f t="shared" si="343"/>
        <v>0</v>
      </c>
      <c r="HR21" s="494"/>
      <c r="HS21" s="493">
        <f t="shared" si="344"/>
        <v>0</v>
      </c>
      <c r="HT21" s="494"/>
      <c r="HU21" s="493">
        <f t="shared" si="345"/>
        <v>0</v>
      </c>
      <c r="HV21" s="494"/>
      <c r="HW21" s="493">
        <f t="shared" si="346"/>
        <v>0</v>
      </c>
      <c r="HX21" s="494"/>
      <c r="HY21" s="493">
        <f>((IA26+IB26)-(HY43+HZ43))/2</f>
        <v>0</v>
      </c>
      <c r="HZ21" s="494"/>
      <c r="IA21" s="493">
        <f t="shared" si="348"/>
        <v>0</v>
      </c>
      <c r="IB21" s="494"/>
      <c r="IC21" s="493">
        <f t="shared" si="349"/>
        <v>0</v>
      </c>
      <c r="ID21" s="494"/>
      <c r="IE21" s="493">
        <f t="shared" si="1977"/>
        <v>0</v>
      </c>
      <c r="IF21" s="494"/>
      <c r="IG21" s="493">
        <f t="shared" si="351"/>
        <v>0</v>
      </c>
      <c r="IH21" s="494"/>
      <c r="II21" s="493">
        <f t="shared" si="352"/>
        <v>0</v>
      </c>
      <c r="IJ21" s="494"/>
      <c r="IK21" s="493">
        <f t="shared" si="353"/>
        <v>0</v>
      </c>
      <c r="IL21" s="494"/>
      <c r="IM21" s="493">
        <f t="shared" si="354"/>
        <v>0</v>
      </c>
      <c r="IN21" s="494"/>
      <c r="IO21" s="493">
        <f t="shared" si="355"/>
        <v>0</v>
      </c>
      <c r="IP21" s="494"/>
      <c r="IQ21" s="493">
        <f t="shared" si="356"/>
        <v>0</v>
      </c>
      <c r="IR21" s="494"/>
      <c r="IS21" s="493">
        <f t="shared" si="357"/>
        <v>0</v>
      </c>
      <c r="IT21" s="494"/>
      <c r="IU21" s="493">
        <f t="shared" si="2578"/>
        <v>0</v>
      </c>
      <c r="IV21" s="494"/>
      <c r="IW21" s="493">
        <f t="shared" si="2579"/>
        <v>0</v>
      </c>
      <c r="IX21" s="494"/>
      <c r="IY21" s="493">
        <f t="shared" si="2580"/>
        <v>0</v>
      </c>
      <c r="IZ21" s="494"/>
      <c r="JA21" s="493">
        <f t="shared" si="2427"/>
        <v>0</v>
      </c>
      <c r="JB21" s="494"/>
      <c r="JC21" s="493">
        <f t="shared" si="2428"/>
        <v>0</v>
      </c>
      <c r="JD21" s="494"/>
      <c r="JE21" s="493">
        <f t="shared" si="2581"/>
        <v>0</v>
      </c>
      <c r="JF21" s="494"/>
      <c r="JG21" s="493">
        <f t="shared" si="2429"/>
        <v>0</v>
      </c>
      <c r="JH21" s="494"/>
      <c r="JI21" s="493">
        <f t="shared" si="2430"/>
        <v>0</v>
      </c>
      <c r="JJ21" s="494"/>
      <c r="JK21" s="493">
        <f t="shared" si="2582"/>
        <v>0</v>
      </c>
      <c r="JL21" s="494"/>
      <c r="JM21" s="493">
        <f t="shared" si="2431"/>
        <v>0</v>
      </c>
      <c r="JN21" s="494"/>
      <c r="JO21" s="493">
        <f t="shared" si="2432"/>
        <v>0</v>
      </c>
      <c r="JP21" s="494"/>
      <c r="JQ21" s="493">
        <f t="shared" si="2583"/>
        <v>0</v>
      </c>
      <c r="JR21" s="494"/>
      <c r="JS21" s="493">
        <f t="shared" si="2433"/>
        <v>0</v>
      </c>
      <c r="JT21" s="494"/>
      <c r="JU21" s="493">
        <f t="shared" si="2434"/>
        <v>0</v>
      </c>
      <c r="JV21" s="494"/>
      <c r="JW21" s="493">
        <f t="shared" si="2584"/>
        <v>0</v>
      </c>
      <c r="JX21" s="494"/>
      <c r="JY21" s="493">
        <f t="shared" si="2435"/>
        <v>0</v>
      </c>
      <c r="JZ21" s="494"/>
      <c r="KA21" s="493">
        <f t="shared" si="2436"/>
        <v>0</v>
      </c>
      <c r="KB21" s="494"/>
      <c r="KC21" s="493">
        <f t="shared" si="2585"/>
        <v>0</v>
      </c>
      <c r="KD21" s="494"/>
      <c r="KE21" s="493">
        <f t="shared" si="2437"/>
        <v>0</v>
      </c>
      <c r="KF21" s="494"/>
      <c r="KG21" s="493">
        <f t="shared" si="2438"/>
        <v>0</v>
      </c>
      <c r="KH21" s="494"/>
      <c r="KI21" s="493">
        <f t="shared" si="2586"/>
        <v>0</v>
      </c>
      <c r="KJ21" s="494"/>
      <c r="KK21" s="493">
        <f t="shared" si="2439"/>
        <v>0</v>
      </c>
      <c r="KL21" s="494"/>
      <c r="KM21" s="493">
        <f t="shared" si="2440"/>
        <v>0</v>
      </c>
      <c r="KN21" s="494"/>
      <c r="KO21" s="493">
        <f t="shared" si="2587"/>
        <v>0</v>
      </c>
      <c r="KP21" s="494"/>
      <c r="KQ21" s="493">
        <f t="shared" si="2441"/>
        <v>0</v>
      </c>
      <c r="KR21" s="494"/>
      <c r="KS21" s="493">
        <f t="shared" si="2442"/>
        <v>0</v>
      </c>
      <c r="KT21" s="494"/>
      <c r="KU21" s="493">
        <f t="shared" si="2588"/>
        <v>0</v>
      </c>
      <c r="KV21" s="494"/>
      <c r="KW21" s="493">
        <f t="shared" si="2443"/>
        <v>0</v>
      </c>
      <c r="KX21" s="494"/>
      <c r="KY21" s="493">
        <f t="shared" si="2444"/>
        <v>0</v>
      </c>
      <c r="KZ21" s="494"/>
      <c r="LA21" s="493">
        <f t="shared" ref="LA21" si="2657">((LA44+LB44)-(LA43+LB43))/2</f>
        <v>0</v>
      </c>
      <c r="LB21" s="494"/>
      <c r="LC21" s="493">
        <f t="shared" si="376"/>
        <v>0</v>
      </c>
      <c r="LD21" s="494"/>
      <c r="LE21" s="493">
        <f t="shared" si="377"/>
        <v>0</v>
      </c>
      <c r="LF21" s="494"/>
      <c r="LG21" s="493">
        <f t="shared" si="378"/>
        <v>0</v>
      </c>
      <c r="LH21" s="494"/>
      <c r="LI21" s="493">
        <f t="shared" si="2446"/>
        <v>0</v>
      </c>
      <c r="LJ21" s="494"/>
      <c r="LK21" s="493">
        <f t="shared" si="2447"/>
        <v>0</v>
      </c>
      <c r="LL21" s="494"/>
      <c r="LM21" s="493">
        <f t="shared" si="2589"/>
        <v>0</v>
      </c>
      <c r="LN21" s="494"/>
      <c r="LO21" s="493">
        <f t="shared" si="2448"/>
        <v>0</v>
      </c>
      <c r="LP21" s="494"/>
      <c r="LQ21" s="493">
        <f t="shared" si="2449"/>
        <v>0</v>
      </c>
      <c r="LR21" s="494"/>
      <c r="LS21" s="493">
        <f t="shared" si="2590"/>
        <v>0</v>
      </c>
      <c r="LT21" s="494"/>
      <c r="LU21" s="493">
        <f t="shared" si="2450"/>
        <v>0</v>
      </c>
      <c r="LV21" s="494"/>
      <c r="LW21" s="493">
        <f t="shared" si="2451"/>
        <v>0</v>
      </c>
      <c r="LX21" s="494"/>
      <c r="LY21" s="493">
        <f t="shared" si="2591"/>
        <v>0</v>
      </c>
      <c r="LZ21" s="494"/>
      <c r="MA21" s="493">
        <f t="shared" si="2452"/>
        <v>0</v>
      </c>
      <c r="MB21" s="494"/>
      <c r="MC21" s="493">
        <f t="shared" si="2453"/>
        <v>0</v>
      </c>
      <c r="MD21" s="494"/>
      <c r="ME21" s="493">
        <f t="shared" si="2592"/>
        <v>0</v>
      </c>
      <c r="MF21" s="494"/>
      <c r="MG21" s="493">
        <f t="shared" si="2454"/>
        <v>0</v>
      </c>
      <c r="MH21" s="494"/>
      <c r="MI21" s="493">
        <f t="shared" si="2455"/>
        <v>0</v>
      </c>
      <c r="MJ21" s="494"/>
      <c r="MK21" s="493">
        <f t="shared" si="2593"/>
        <v>0</v>
      </c>
      <c r="ML21" s="494"/>
      <c r="MM21" s="493">
        <f t="shared" si="2456"/>
        <v>0</v>
      </c>
      <c r="MN21" s="494"/>
      <c r="MO21" s="493">
        <f t="shared" si="2457"/>
        <v>0</v>
      </c>
      <c r="MP21" s="494"/>
      <c r="MQ21" s="493">
        <f t="shared" si="2594"/>
        <v>0</v>
      </c>
      <c r="MR21" s="494"/>
      <c r="MS21" s="493">
        <f t="shared" si="2458"/>
        <v>0</v>
      </c>
      <c r="MT21" s="494"/>
      <c r="MU21" s="493">
        <f t="shared" si="2459"/>
        <v>0</v>
      </c>
      <c r="MV21" s="494"/>
      <c r="MW21" s="493">
        <f t="shared" si="2595"/>
        <v>0</v>
      </c>
      <c r="MX21" s="494"/>
      <c r="MY21" s="493">
        <f t="shared" si="2460"/>
        <v>0</v>
      </c>
      <c r="MZ21" s="494"/>
      <c r="NA21" s="493">
        <f t="shared" si="2461"/>
        <v>0</v>
      </c>
      <c r="NB21" s="494"/>
      <c r="NC21" s="493">
        <f t="shared" si="2596"/>
        <v>0</v>
      </c>
      <c r="ND21" s="494"/>
      <c r="NE21" s="493">
        <f t="shared" si="2462"/>
        <v>0</v>
      </c>
      <c r="NF21" s="494"/>
      <c r="NG21" s="493">
        <f t="shared" si="2463"/>
        <v>0</v>
      </c>
      <c r="NH21" s="494"/>
      <c r="NI21" s="493">
        <f t="shared" si="2597"/>
        <v>0</v>
      </c>
      <c r="NJ21" s="494"/>
      <c r="NK21" s="493">
        <f t="shared" si="2464"/>
        <v>0</v>
      </c>
      <c r="NL21" s="494"/>
      <c r="NM21" s="493">
        <f t="shared" si="2465"/>
        <v>0</v>
      </c>
      <c r="NN21" s="494"/>
      <c r="NO21" s="493">
        <f t="shared" si="2598"/>
        <v>0</v>
      </c>
      <c r="NP21" s="494"/>
      <c r="NQ21" s="493">
        <f t="shared" si="2466"/>
        <v>0</v>
      </c>
      <c r="NR21" s="494"/>
      <c r="NS21" s="493">
        <f t="shared" si="2467"/>
        <v>0</v>
      </c>
      <c r="NT21" s="494"/>
      <c r="NU21" s="493">
        <f t="shared" si="2599"/>
        <v>0</v>
      </c>
      <c r="NV21" s="494"/>
      <c r="NW21" s="493">
        <f t="shared" si="2468"/>
        <v>0</v>
      </c>
      <c r="NX21" s="494"/>
      <c r="NY21" s="493">
        <f t="shared" si="2469"/>
        <v>0</v>
      </c>
      <c r="NZ21" s="494"/>
      <c r="OA21" s="493">
        <f t="shared" si="2600"/>
        <v>0</v>
      </c>
      <c r="OB21" s="494"/>
      <c r="OC21" s="493">
        <f t="shared" si="2470"/>
        <v>0</v>
      </c>
      <c r="OD21" s="494"/>
      <c r="OE21" s="493">
        <f t="shared" si="2471"/>
        <v>0</v>
      </c>
      <c r="OF21" s="494"/>
      <c r="OG21" s="493">
        <f t="shared" si="2601"/>
        <v>0</v>
      </c>
      <c r="OH21" s="494"/>
      <c r="OI21" s="493">
        <f t="shared" si="2472"/>
        <v>0</v>
      </c>
      <c r="OJ21" s="494"/>
      <c r="OK21" s="493">
        <f t="shared" si="2473"/>
        <v>0</v>
      </c>
      <c r="OL21" s="494"/>
      <c r="OM21" s="493">
        <f t="shared" si="2602"/>
        <v>0</v>
      </c>
      <c r="ON21" s="494"/>
      <c r="OO21" s="493">
        <f t="shared" si="2474"/>
        <v>0</v>
      </c>
      <c r="OP21" s="494"/>
      <c r="OQ21" s="493">
        <f t="shared" si="2475"/>
        <v>0</v>
      </c>
      <c r="OR21" s="494"/>
      <c r="OS21" s="493">
        <f t="shared" si="2603"/>
        <v>0</v>
      </c>
      <c r="OT21" s="494"/>
      <c r="OU21" s="493">
        <f t="shared" si="2476"/>
        <v>0</v>
      </c>
      <c r="OV21" s="494"/>
      <c r="OW21" s="493">
        <f t="shared" si="2477"/>
        <v>0</v>
      </c>
      <c r="OX21" s="494"/>
      <c r="OY21" s="493">
        <f t="shared" si="2604"/>
        <v>0</v>
      </c>
      <c r="OZ21" s="494"/>
      <c r="PA21" s="493">
        <f t="shared" si="2478"/>
        <v>0</v>
      </c>
      <c r="PB21" s="494"/>
      <c r="PC21" s="493">
        <f t="shared" si="2479"/>
        <v>0</v>
      </c>
      <c r="PD21" s="494"/>
      <c r="PE21" s="493">
        <f t="shared" si="2605"/>
        <v>0</v>
      </c>
      <c r="PF21" s="494"/>
      <c r="PG21" s="493">
        <f t="shared" si="2480"/>
        <v>0</v>
      </c>
      <c r="PH21" s="494"/>
      <c r="PI21" s="493">
        <f t="shared" si="2481"/>
        <v>0</v>
      </c>
      <c r="PJ21" s="494"/>
      <c r="PK21" s="493">
        <f t="shared" si="2606"/>
        <v>0</v>
      </c>
      <c r="PL21" s="494"/>
      <c r="PM21" s="493">
        <f t="shared" si="2482"/>
        <v>0</v>
      </c>
      <c r="PN21" s="494"/>
      <c r="PO21" s="493">
        <f t="shared" si="2483"/>
        <v>0</v>
      </c>
      <c r="PP21" s="494"/>
      <c r="PQ21" s="493">
        <f t="shared" si="2607"/>
        <v>0</v>
      </c>
      <c r="PR21" s="494"/>
      <c r="PS21" s="493">
        <f t="shared" si="2484"/>
        <v>0</v>
      </c>
      <c r="PT21" s="494"/>
      <c r="PU21" s="493">
        <f t="shared" si="2485"/>
        <v>0</v>
      </c>
      <c r="PV21" s="494"/>
      <c r="PW21" s="493">
        <f t="shared" si="2608"/>
        <v>0</v>
      </c>
      <c r="PX21" s="494"/>
      <c r="PY21" s="493">
        <f t="shared" si="2486"/>
        <v>0</v>
      </c>
      <c r="PZ21" s="494"/>
      <c r="QA21" s="493">
        <f t="shared" si="2487"/>
        <v>0</v>
      </c>
      <c r="QB21" s="494"/>
      <c r="QC21" s="493">
        <f t="shared" si="2609"/>
        <v>0</v>
      </c>
      <c r="QD21" s="494"/>
      <c r="QE21" s="493">
        <f t="shared" si="2488"/>
        <v>0</v>
      </c>
      <c r="QF21" s="494"/>
      <c r="QG21" s="493">
        <f t="shared" si="2489"/>
        <v>0</v>
      </c>
      <c r="QH21" s="494"/>
      <c r="QI21" s="493">
        <f t="shared" si="2610"/>
        <v>0</v>
      </c>
      <c r="QJ21" s="494"/>
      <c r="QK21" s="493">
        <f t="shared" si="2490"/>
        <v>0</v>
      </c>
      <c r="QL21" s="494"/>
      <c r="QM21" s="493">
        <f t="shared" si="2491"/>
        <v>0</v>
      </c>
      <c r="QN21" s="494"/>
      <c r="QO21" s="493">
        <f t="shared" si="2611"/>
        <v>0</v>
      </c>
      <c r="QP21" s="494"/>
      <c r="QQ21" s="493">
        <f t="shared" si="2492"/>
        <v>0</v>
      </c>
      <c r="QR21" s="494"/>
      <c r="QS21" s="493">
        <f t="shared" si="2493"/>
        <v>0</v>
      </c>
      <c r="QT21" s="494"/>
      <c r="QU21" s="493">
        <f t="shared" si="2612"/>
        <v>0</v>
      </c>
      <c r="QV21" s="494"/>
      <c r="QW21" s="493">
        <f t="shared" si="2494"/>
        <v>0</v>
      </c>
      <c r="QX21" s="494"/>
      <c r="QY21" s="493">
        <f t="shared" si="2495"/>
        <v>0</v>
      </c>
      <c r="QZ21" s="494"/>
      <c r="RA21" s="493">
        <f t="shared" si="2613"/>
        <v>0</v>
      </c>
      <c r="RB21" s="494"/>
      <c r="RC21" s="493">
        <f t="shared" si="2496"/>
        <v>0</v>
      </c>
      <c r="RD21" s="494"/>
      <c r="RE21" s="493">
        <f t="shared" si="2497"/>
        <v>0</v>
      </c>
      <c r="RF21" s="494"/>
      <c r="RG21" s="493">
        <f t="shared" si="2614"/>
        <v>0</v>
      </c>
      <c r="RH21" s="494"/>
      <c r="RI21" s="493">
        <f t="shared" si="2498"/>
        <v>0</v>
      </c>
      <c r="RJ21" s="494"/>
      <c r="RK21" s="493">
        <f t="shared" si="2499"/>
        <v>0</v>
      </c>
      <c r="RL21" s="494"/>
      <c r="RM21" s="493">
        <f t="shared" si="2615"/>
        <v>0</v>
      </c>
      <c r="RN21" s="494"/>
      <c r="RO21" s="493">
        <f t="shared" si="2500"/>
        <v>0</v>
      </c>
      <c r="RP21" s="494"/>
      <c r="RQ21" s="493">
        <f t="shared" si="2501"/>
        <v>0</v>
      </c>
      <c r="RR21" s="494"/>
      <c r="RS21" s="493">
        <f t="shared" si="2616"/>
        <v>0</v>
      </c>
      <c r="RT21" s="494"/>
      <c r="RU21" s="493">
        <f t="shared" si="2502"/>
        <v>0</v>
      </c>
      <c r="RV21" s="494"/>
      <c r="RW21" s="493">
        <f t="shared" si="2503"/>
        <v>0</v>
      </c>
      <c r="RX21" s="494"/>
      <c r="RY21" s="493">
        <f t="shared" si="2617"/>
        <v>0</v>
      </c>
      <c r="RZ21" s="494"/>
      <c r="SA21" s="493">
        <f t="shared" si="2504"/>
        <v>0</v>
      </c>
      <c r="SB21" s="494"/>
      <c r="SC21" s="493">
        <f t="shared" si="2505"/>
        <v>0</v>
      </c>
      <c r="SD21" s="494"/>
      <c r="SE21" s="493">
        <f t="shared" si="2618"/>
        <v>0</v>
      </c>
      <c r="SF21" s="494"/>
      <c r="SG21" s="493">
        <f t="shared" si="2506"/>
        <v>0</v>
      </c>
      <c r="SH21" s="494"/>
      <c r="SI21" s="493">
        <f t="shared" si="2507"/>
        <v>0</v>
      </c>
      <c r="SJ21" s="494"/>
      <c r="SK21" s="493">
        <f t="shared" si="2619"/>
        <v>0</v>
      </c>
      <c r="SL21" s="494"/>
      <c r="SM21" s="493">
        <f t="shared" si="2508"/>
        <v>0</v>
      </c>
      <c r="SN21" s="494"/>
      <c r="SO21" s="493">
        <f t="shared" si="2509"/>
        <v>0</v>
      </c>
      <c r="SP21" s="494"/>
      <c r="SQ21" s="493">
        <f t="shared" si="2620"/>
        <v>0</v>
      </c>
      <c r="SR21" s="494"/>
      <c r="SS21" s="493">
        <f t="shared" si="2510"/>
        <v>0</v>
      </c>
      <c r="ST21" s="494"/>
      <c r="SU21" s="493">
        <f t="shared" si="2511"/>
        <v>0</v>
      </c>
      <c r="SV21" s="494"/>
      <c r="SW21" s="493">
        <f t="shared" si="2621"/>
        <v>0</v>
      </c>
      <c r="SX21" s="494"/>
      <c r="SY21" s="493">
        <f t="shared" si="2512"/>
        <v>0</v>
      </c>
      <c r="SZ21" s="494"/>
      <c r="TA21" s="493">
        <f t="shared" si="2513"/>
        <v>0</v>
      </c>
      <c r="TB21" s="494"/>
      <c r="TC21" s="493">
        <f t="shared" si="2622"/>
        <v>0</v>
      </c>
      <c r="TD21" s="494"/>
      <c r="TE21" s="493">
        <f t="shared" si="2514"/>
        <v>0</v>
      </c>
      <c r="TF21" s="494"/>
      <c r="TG21" s="493">
        <f t="shared" si="2515"/>
        <v>0</v>
      </c>
      <c r="TH21" s="494"/>
      <c r="TI21" s="493">
        <f t="shared" si="2623"/>
        <v>0</v>
      </c>
      <c r="TJ21" s="494"/>
      <c r="TK21" s="493">
        <f t="shared" si="2516"/>
        <v>0</v>
      </c>
      <c r="TL21" s="494"/>
      <c r="TM21" s="493">
        <f t="shared" si="2517"/>
        <v>0</v>
      </c>
      <c r="TN21" s="494"/>
      <c r="TO21" s="493">
        <f t="shared" si="2624"/>
        <v>0</v>
      </c>
      <c r="TP21" s="494"/>
      <c r="TQ21" s="493">
        <f t="shared" si="2518"/>
        <v>0</v>
      </c>
      <c r="TR21" s="494"/>
      <c r="TS21" s="493">
        <f t="shared" si="2519"/>
        <v>0</v>
      </c>
      <c r="TT21" s="494"/>
      <c r="TU21" s="493">
        <f t="shared" si="2625"/>
        <v>0</v>
      </c>
      <c r="TV21" s="494"/>
      <c r="TW21" s="493">
        <f t="shared" si="2520"/>
        <v>0</v>
      </c>
      <c r="TX21" s="494"/>
      <c r="TY21" s="493">
        <f t="shared" si="2521"/>
        <v>0</v>
      </c>
      <c r="TZ21" s="494"/>
      <c r="UA21" s="493">
        <f t="shared" si="2626"/>
        <v>0</v>
      </c>
      <c r="UB21" s="494"/>
      <c r="UC21" s="493">
        <f t="shared" si="2522"/>
        <v>0</v>
      </c>
      <c r="UD21" s="494"/>
      <c r="UE21" s="493">
        <f t="shared" si="2523"/>
        <v>0</v>
      </c>
      <c r="UF21" s="494"/>
      <c r="UG21" s="493">
        <f t="shared" si="2627"/>
        <v>0</v>
      </c>
      <c r="UH21" s="494"/>
      <c r="UI21" s="493">
        <f t="shared" si="2524"/>
        <v>0</v>
      </c>
      <c r="UJ21" s="494"/>
      <c r="UK21" s="493">
        <f t="shared" si="2525"/>
        <v>0</v>
      </c>
      <c r="UL21" s="494"/>
      <c r="UM21" s="493">
        <f t="shared" si="2628"/>
        <v>0</v>
      </c>
      <c r="UN21" s="494"/>
      <c r="UO21" s="493">
        <f t="shared" si="2526"/>
        <v>0</v>
      </c>
      <c r="UP21" s="494"/>
      <c r="UQ21" s="493">
        <f t="shared" si="2527"/>
        <v>0</v>
      </c>
      <c r="UR21" s="494"/>
      <c r="US21" s="493">
        <f t="shared" si="2629"/>
        <v>0</v>
      </c>
      <c r="UT21" s="494"/>
      <c r="UU21" s="493">
        <f t="shared" si="2528"/>
        <v>0</v>
      </c>
      <c r="UV21" s="494"/>
      <c r="UW21" s="493">
        <f t="shared" si="2529"/>
        <v>0</v>
      </c>
      <c r="UX21" s="494"/>
      <c r="UY21" s="493">
        <f t="shared" si="2630"/>
        <v>0</v>
      </c>
      <c r="UZ21" s="494"/>
      <c r="VA21" s="493">
        <f t="shared" si="2530"/>
        <v>0</v>
      </c>
      <c r="VB21" s="494"/>
      <c r="VC21" s="493">
        <f t="shared" si="2531"/>
        <v>0</v>
      </c>
      <c r="VD21" s="494"/>
      <c r="VE21" s="493">
        <f t="shared" si="2631"/>
        <v>0</v>
      </c>
      <c r="VF21" s="494"/>
      <c r="VG21" s="493">
        <f t="shared" si="2532"/>
        <v>0</v>
      </c>
      <c r="VH21" s="494"/>
      <c r="VI21" s="493">
        <f t="shared" si="2533"/>
        <v>0</v>
      </c>
      <c r="VJ21" s="494"/>
      <c r="VK21" s="493">
        <f t="shared" si="467"/>
        <v>0</v>
      </c>
      <c r="VL21" s="494"/>
      <c r="VM21" s="493">
        <f t="shared" si="2534"/>
        <v>0</v>
      </c>
      <c r="VN21" s="494"/>
      <c r="VO21" s="493">
        <f t="shared" si="2535"/>
        <v>0</v>
      </c>
      <c r="VP21" s="494"/>
      <c r="VQ21" s="493">
        <f t="shared" si="2632"/>
        <v>0</v>
      </c>
      <c r="VR21" s="494"/>
      <c r="VS21" s="493">
        <f t="shared" si="2536"/>
        <v>0</v>
      </c>
      <c r="VT21" s="494"/>
      <c r="VU21" s="493">
        <f t="shared" si="1936"/>
        <v>0</v>
      </c>
      <c r="VV21" s="494"/>
      <c r="VW21" s="493">
        <f t="shared" si="2633"/>
        <v>0</v>
      </c>
      <c r="VX21" s="494"/>
      <c r="VY21" s="493">
        <f t="shared" si="2537"/>
        <v>0</v>
      </c>
      <c r="VZ21" s="494"/>
      <c r="WA21" s="493">
        <f>((WA40+WB39)-(WA39+WB38))/2</f>
        <v>0</v>
      </c>
      <c r="WB21" s="494"/>
      <c r="WC21" s="493">
        <f t="shared" si="2634"/>
        <v>0</v>
      </c>
      <c r="WD21" s="494"/>
      <c r="WE21" s="493">
        <f t="shared" si="2538"/>
        <v>0</v>
      </c>
      <c r="WF21" s="494"/>
      <c r="WG21" s="493">
        <f t="shared" si="2539"/>
        <v>0</v>
      </c>
      <c r="WH21" s="494"/>
      <c r="WI21" s="493">
        <f t="shared" si="2635"/>
        <v>0</v>
      </c>
      <c r="WJ21" s="494"/>
      <c r="WK21" s="493">
        <f t="shared" si="2540"/>
        <v>0</v>
      </c>
      <c r="WL21" s="494"/>
      <c r="WM21" s="493">
        <f t="shared" si="2541"/>
        <v>0</v>
      </c>
      <c r="WN21" s="494"/>
      <c r="WO21" s="493">
        <f t="shared" si="2636"/>
        <v>0</v>
      </c>
      <c r="WP21" s="494"/>
      <c r="WQ21" s="493">
        <f t="shared" si="477"/>
        <v>0</v>
      </c>
      <c r="WR21" s="494"/>
      <c r="WS21" s="493">
        <f t="shared" si="2542"/>
        <v>0</v>
      </c>
      <c r="WT21" s="494"/>
      <c r="WU21" s="493">
        <f t="shared" si="2637"/>
        <v>0</v>
      </c>
      <c r="WV21" s="494"/>
      <c r="WW21" s="493">
        <f t="shared" si="2543"/>
        <v>0</v>
      </c>
      <c r="WX21" s="494"/>
      <c r="WY21" s="493">
        <f t="shared" si="2544"/>
        <v>0</v>
      </c>
      <c r="WZ21" s="494"/>
      <c r="XA21" s="493">
        <f t="shared" si="2638"/>
        <v>0</v>
      </c>
      <c r="XB21" s="494"/>
      <c r="XC21" s="493">
        <f t="shared" si="2545"/>
        <v>0</v>
      </c>
      <c r="XD21" s="494"/>
      <c r="XE21" s="493">
        <f t="shared" si="2546"/>
        <v>0</v>
      </c>
      <c r="XF21" s="494"/>
      <c r="XG21" s="493">
        <f t="shared" si="2639"/>
        <v>0</v>
      </c>
      <c r="XH21" s="494"/>
      <c r="XI21" s="493">
        <f t="shared" si="2547"/>
        <v>0</v>
      </c>
      <c r="XJ21" s="494"/>
      <c r="XK21" s="493">
        <f t="shared" si="2548"/>
        <v>0</v>
      </c>
      <c r="XL21" s="494"/>
      <c r="XM21" s="493">
        <f t="shared" si="2640"/>
        <v>0</v>
      </c>
      <c r="XN21" s="494"/>
      <c r="XO21" s="493">
        <f t="shared" ref="XO21" si="2658">((XO44+XP44)-(XO43+XP43))/2</f>
        <v>0</v>
      </c>
      <c r="XP21" s="494"/>
      <c r="XQ21" s="493">
        <f t="shared" si="2549"/>
        <v>0</v>
      </c>
      <c r="XR21" s="494"/>
      <c r="XS21" s="493">
        <f t="shared" si="2642"/>
        <v>0</v>
      </c>
      <c r="XT21" s="494"/>
      <c r="XU21" s="493">
        <f t="shared" si="2550"/>
        <v>0</v>
      </c>
      <c r="XV21" s="494"/>
      <c r="XW21" s="493">
        <f t="shared" si="2551"/>
        <v>0</v>
      </c>
      <c r="XX21" s="494"/>
      <c r="XY21" s="493">
        <f t="shared" si="2643"/>
        <v>0</v>
      </c>
      <c r="XZ21" s="494"/>
      <c r="YA21" s="493">
        <f t="shared" si="2552"/>
        <v>0</v>
      </c>
      <c r="YB21" s="494"/>
      <c r="YC21" s="493">
        <f t="shared" si="2553"/>
        <v>0</v>
      </c>
      <c r="YD21" s="494"/>
      <c r="YE21" s="493" t="e">
        <f>((YE44+YF44)-(#REF!+YF43))/2</f>
        <v>#REF!</v>
      </c>
      <c r="YF21" s="494"/>
      <c r="YG21" s="493">
        <f t="shared" si="2554"/>
        <v>0</v>
      </c>
      <c r="YH21" s="494"/>
      <c r="YI21" s="493">
        <f t="shared" si="2555"/>
        <v>0</v>
      </c>
      <c r="YJ21" s="494"/>
      <c r="YK21" s="493">
        <f t="shared" si="2644"/>
        <v>0</v>
      </c>
      <c r="YL21" s="494"/>
      <c r="YM21" s="493">
        <f t="shared" si="2556"/>
        <v>0</v>
      </c>
      <c r="YN21" s="494"/>
      <c r="YO21" s="493">
        <f t="shared" si="2645"/>
        <v>0</v>
      </c>
      <c r="YP21" s="494"/>
      <c r="YQ21" s="493">
        <f t="shared" si="2646"/>
        <v>0</v>
      </c>
      <c r="YR21" s="494"/>
      <c r="YS21" s="493">
        <f t="shared" si="2557"/>
        <v>0</v>
      </c>
      <c r="YT21" s="494"/>
      <c r="YU21" s="493">
        <f t="shared" si="2558"/>
        <v>0</v>
      </c>
      <c r="YV21" s="494"/>
      <c r="YW21" s="493">
        <f t="shared" si="2647"/>
        <v>0</v>
      </c>
      <c r="YX21" s="494"/>
      <c r="YY21" s="493">
        <f t="shared" si="496"/>
        <v>0</v>
      </c>
      <c r="YZ21" s="494"/>
      <c r="ZA21" s="493">
        <f t="shared" si="2559"/>
        <v>0</v>
      </c>
      <c r="ZB21" s="494"/>
      <c r="ZC21" s="493">
        <f t="shared" si="2648"/>
        <v>0</v>
      </c>
      <c r="ZD21" s="494"/>
      <c r="ZE21" s="493">
        <f t="shared" si="2560"/>
        <v>0</v>
      </c>
      <c r="ZF21" s="494"/>
      <c r="ZG21" s="493">
        <f t="shared" si="2561"/>
        <v>0</v>
      </c>
      <c r="ZH21" s="494"/>
      <c r="ZI21" s="493">
        <f t="shared" si="2649"/>
        <v>0</v>
      </c>
      <c r="ZJ21" s="494"/>
      <c r="ZK21" s="493">
        <f t="shared" si="2562"/>
        <v>0</v>
      </c>
      <c r="ZL21" s="494"/>
      <c r="ZM21" s="493">
        <f t="shared" si="2563"/>
        <v>0</v>
      </c>
      <c r="ZN21" s="494"/>
      <c r="ZO21" s="493">
        <f t="shared" si="2650"/>
        <v>0</v>
      </c>
      <c r="ZP21" s="494"/>
      <c r="ZQ21" s="493">
        <f t="shared" si="2564"/>
        <v>0</v>
      </c>
      <c r="ZR21" s="494"/>
      <c r="ZS21" s="493">
        <f t="shared" si="2565"/>
        <v>0</v>
      </c>
      <c r="ZT21" s="494"/>
      <c r="ZU21" s="493">
        <f t="shared" si="2651"/>
        <v>0</v>
      </c>
      <c r="ZV21" s="494"/>
      <c r="ZW21" s="493">
        <f t="shared" si="2566"/>
        <v>0</v>
      </c>
      <c r="ZX21" s="494"/>
      <c r="ZY21" s="493">
        <f t="shared" si="2567"/>
        <v>0</v>
      </c>
      <c r="ZZ21" s="494"/>
      <c r="AAA21" s="493">
        <f t="shared" si="2652"/>
        <v>0</v>
      </c>
      <c r="AAB21" s="494"/>
      <c r="AAC21" s="493">
        <f t="shared" si="2568"/>
        <v>0</v>
      </c>
      <c r="AAD21" s="494"/>
      <c r="AAE21" s="493">
        <f t="shared" si="2569"/>
        <v>0</v>
      </c>
      <c r="AAF21" s="494"/>
      <c r="AAG21" s="493">
        <f t="shared" si="2653"/>
        <v>0</v>
      </c>
      <c r="AAH21" s="494"/>
      <c r="AAI21" s="493">
        <f t="shared" si="2570"/>
        <v>0</v>
      </c>
      <c r="AAJ21" s="494"/>
      <c r="AAK21" s="493">
        <f t="shared" si="2571"/>
        <v>0</v>
      </c>
      <c r="AAL21" s="494"/>
      <c r="AAM21" s="493">
        <f t="shared" si="2654"/>
        <v>0</v>
      </c>
      <c r="AAN21" s="494"/>
      <c r="AAO21" s="493">
        <f t="shared" si="2572"/>
        <v>0</v>
      </c>
      <c r="AAP21" s="494"/>
      <c r="AAQ21" s="493">
        <f t="shared" si="2573"/>
        <v>0</v>
      </c>
      <c r="AAR21" s="494"/>
      <c r="AAS21" s="493">
        <f t="shared" si="2655"/>
        <v>0</v>
      </c>
      <c r="AAT21" s="494"/>
      <c r="AAU21" s="493">
        <f t="shared" si="2574"/>
        <v>0</v>
      </c>
      <c r="AAV21" s="494"/>
      <c r="AAW21" s="493">
        <f t="shared" si="2575"/>
        <v>0</v>
      </c>
      <c r="AAX21" s="494"/>
      <c r="AAY21" s="493">
        <f t="shared" si="2656"/>
        <v>0</v>
      </c>
      <c r="AAZ21" s="494"/>
      <c r="ABA21" s="493">
        <f t="shared" si="2576"/>
        <v>0</v>
      </c>
      <c r="ABB21" s="494"/>
      <c r="ABC21" s="493">
        <f t="shared" si="2577"/>
        <v>0</v>
      </c>
      <c r="ABD21" s="494"/>
      <c r="ABE21" s="379">
        <f t="shared" si="516"/>
        <v>0</v>
      </c>
      <c r="ABF21" s="375"/>
      <c r="ABG21" s="335"/>
      <c r="ABH21" s="335"/>
      <c r="ABI21" s="335"/>
      <c r="ABJ21" s="335"/>
      <c r="ABK21" s="335"/>
      <c r="ABL21" s="335"/>
      <c r="ABM21" s="335"/>
      <c r="ABN21" s="335"/>
      <c r="ABO21" s="335"/>
      <c r="ABP21" s="335"/>
      <c r="ABQ21" s="335"/>
      <c r="ABR21" s="335"/>
      <c r="ABS21" s="335"/>
      <c r="ABT21" s="335"/>
      <c r="ABU21" s="335"/>
      <c r="ABV21" s="335"/>
      <c r="ABW21" s="335"/>
      <c r="ABX21" s="335"/>
      <c r="ABY21" s="335"/>
      <c r="ABZ21" s="335"/>
      <c r="ACA21" s="335"/>
      <c r="ACB21" s="335"/>
      <c r="ACC21" s="335"/>
      <c r="ACD21" s="335"/>
      <c r="ACE21" s="335"/>
      <c r="ACF21" s="335"/>
      <c r="ACG21" s="335"/>
      <c r="ACH21" s="335"/>
      <c r="ACI21" s="335"/>
      <c r="ACJ21" s="335"/>
      <c r="ACK21" s="335"/>
      <c r="ACL21" s="335"/>
      <c r="ACM21" s="335"/>
      <c r="ACN21" s="335"/>
      <c r="ACO21" s="335"/>
      <c r="ACP21" s="335"/>
      <c r="ACQ21" s="335"/>
      <c r="ACR21" s="335"/>
      <c r="ACS21" s="335"/>
      <c r="ACT21" s="335"/>
      <c r="ACU21" s="335"/>
      <c r="ACV21" s="335"/>
      <c r="ACW21" s="335"/>
      <c r="ACX21" s="335"/>
      <c r="ACY21" s="335"/>
      <c r="ACZ21" s="335"/>
      <c r="ADA21" s="335"/>
      <c r="ADB21" s="335"/>
      <c r="ADC21" s="335"/>
      <c r="ADD21" s="335"/>
      <c r="ADE21" s="335"/>
      <c r="ADF21" s="335"/>
      <c r="ADG21" s="335"/>
      <c r="ADH21" s="335"/>
      <c r="ADI21" s="335"/>
      <c r="ADJ21" s="335"/>
      <c r="ADK21" s="335"/>
      <c r="ADL21" s="335"/>
      <c r="ADM21" s="335"/>
      <c r="ADN21" s="335"/>
      <c r="ADO21" s="335"/>
      <c r="ADP21" s="335"/>
      <c r="ADQ21" s="335"/>
      <c r="ADR21" s="335"/>
      <c r="ADS21" s="335"/>
      <c r="ADT21" s="335"/>
      <c r="ADU21" s="335"/>
      <c r="ADV21" s="335"/>
      <c r="ADW21" s="335"/>
      <c r="ADX21" s="335"/>
      <c r="ADY21" s="335"/>
      <c r="ADZ21" s="335"/>
      <c r="AEA21" s="335"/>
      <c r="AEB21" s="335"/>
      <c r="AEC21" s="335"/>
      <c r="AED21" s="335"/>
      <c r="AEE21" s="335"/>
      <c r="AEF21" s="335"/>
      <c r="AEG21" s="335"/>
      <c r="AEH21" s="335"/>
      <c r="AEI21" s="335"/>
      <c r="AEJ21" s="335"/>
      <c r="AEK21" s="335"/>
      <c r="AEL21" s="335"/>
      <c r="AEM21" s="335"/>
      <c r="AEN21" s="335"/>
      <c r="AEO21" s="335"/>
      <c r="AEP21" s="335"/>
      <c r="AEQ21" s="335"/>
      <c r="AER21" s="335"/>
      <c r="AES21" s="335"/>
      <c r="AET21" s="335"/>
      <c r="AEU21" s="335"/>
      <c r="AEV21" s="335"/>
      <c r="AEW21" s="335"/>
      <c r="AEX21" s="335"/>
      <c r="AEY21" s="335"/>
      <c r="AEZ21" s="335"/>
      <c r="AFA21" s="335"/>
      <c r="AFB21" s="335"/>
      <c r="AFC21" s="335"/>
      <c r="AFD21" s="335"/>
      <c r="AFE21" s="335"/>
      <c r="AFF21" s="335"/>
      <c r="AFG21" s="335"/>
      <c r="AFH21" s="335"/>
      <c r="AFI21" s="335"/>
      <c r="AFJ21" s="335"/>
      <c r="AFK21" s="335"/>
      <c r="AFL21" s="335"/>
      <c r="AFM21" s="335"/>
      <c r="AFN21" s="335"/>
      <c r="AFO21" s="335"/>
      <c r="AFP21" s="335"/>
      <c r="AFQ21" s="335"/>
      <c r="AFR21" s="335"/>
      <c r="AFS21" s="335"/>
      <c r="AFT21" s="335"/>
      <c r="AFU21" s="335"/>
      <c r="AFV21" s="335"/>
      <c r="AFW21" s="335"/>
      <c r="AFX21" s="335"/>
      <c r="AFY21" s="335"/>
      <c r="AFZ21" s="335"/>
      <c r="AGA21" s="335"/>
      <c r="AGB21" s="335"/>
      <c r="AGC21" s="335"/>
      <c r="AGD21" s="335"/>
      <c r="AGE21" s="335"/>
      <c r="AGF21" s="335"/>
      <c r="AGG21" s="335"/>
      <c r="AGH21" s="335"/>
      <c r="AGI21" s="335"/>
      <c r="AGJ21" s="335"/>
      <c r="AGK21" s="335"/>
      <c r="AGL21" s="335"/>
      <c r="AGM21" s="335"/>
      <c r="AGN21" s="335"/>
      <c r="AGO21" s="335"/>
      <c r="AGP21" s="335"/>
      <c r="AGQ21" s="335"/>
      <c r="AGR21" s="335"/>
      <c r="AGS21" s="335"/>
      <c r="AGT21" s="335"/>
      <c r="AGU21" s="335"/>
      <c r="AGV21" s="335"/>
      <c r="AGW21" s="335"/>
      <c r="AGX21" s="335"/>
      <c r="AGY21" s="335"/>
      <c r="AGZ21" s="335"/>
      <c r="AHA21" s="335"/>
      <c r="AHB21" s="335"/>
      <c r="AHC21" s="335"/>
      <c r="AHD21" s="335"/>
      <c r="AHE21" s="335"/>
      <c r="AHF21" s="335"/>
      <c r="AHG21" s="335"/>
      <c r="AHH21" s="335"/>
      <c r="AHI21" s="335"/>
      <c r="AHJ21" s="335"/>
      <c r="AHK21" s="335"/>
      <c r="AHL21" s="335"/>
      <c r="AHM21" s="335"/>
      <c r="AHN21" s="335"/>
      <c r="AHO21" s="335"/>
      <c r="AHP21" s="335"/>
      <c r="AHQ21" s="335"/>
      <c r="AHR21" s="335"/>
      <c r="AHS21" s="335"/>
      <c r="AHT21" s="335"/>
      <c r="AHU21" s="335"/>
      <c r="AHV21" s="335"/>
      <c r="AHW21" s="335"/>
      <c r="AHX21" s="335"/>
      <c r="AHY21" s="335"/>
      <c r="AHZ21" s="335"/>
      <c r="AIA21" s="335"/>
      <c r="AIB21" s="335"/>
    </row>
    <row r="22" spans="1:913" s="171" customFormat="1" ht="12" customHeight="1">
      <c r="B22" s="175"/>
      <c r="ABE22" s="336"/>
      <c r="ABF22" s="335"/>
      <c r="ABG22" s="335"/>
      <c r="ABH22" s="335"/>
      <c r="ABI22" s="335"/>
      <c r="ABJ22" s="335"/>
      <c r="ABK22" s="335"/>
      <c r="ABL22" s="335"/>
      <c r="ABM22" s="335"/>
      <c r="ABN22" s="335"/>
      <c r="ABO22" s="335"/>
      <c r="ABP22" s="335"/>
      <c r="ABQ22" s="335"/>
      <c r="ABR22" s="335"/>
      <c r="ABS22" s="335"/>
      <c r="ABT22" s="335"/>
      <c r="ABU22" s="335"/>
      <c r="ABV22" s="335"/>
      <c r="ABW22" s="335"/>
      <c r="ABX22" s="335"/>
      <c r="ABY22" s="335"/>
      <c r="ABZ22" s="335"/>
      <c r="ACA22" s="335"/>
      <c r="ACB22" s="335"/>
      <c r="ACC22" s="335"/>
      <c r="ACD22" s="335"/>
      <c r="ACE22" s="335"/>
      <c r="ACF22" s="335"/>
      <c r="ACG22" s="335"/>
      <c r="ACH22" s="335"/>
      <c r="ACI22" s="335"/>
      <c r="ACJ22" s="335"/>
      <c r="ACK22" s="335"/>
      <c r="ACL22" s="335"/>
      <c r="ACM22" s="335"/>
      <c r="ACN22" s="335"/>
      <c r="ACO22" s="335"/>
      <c r="ACP22" s="335"/>
      <c r="ACQ22" s="335"/>
      <c r="ACR22" s="335"/>
      <c r="ACS22" s="335"/>
      <c r="ACT22" s="335"/>
      <c r="ACU22" s="335"/>
      <c r="ACV22" s="335"/>
      <c r="ACW22" s="335"/>
      <c r="ACX22" s="335"/>
      <c r="ACY22" s="335"/>
      <c r="ACZ22" s="335"/>
      <c r="ADA22" s="335"/>
      <c r="ADB22" s="335"/>
      <c r="ADC22" s="335"/>
      <c r="ADD22" s="335"/>
      <c r="ADE22" s="335"/>
      <c r="ADF22" s="335"/>
      <c r="ADG22" s="335"/>
      <c r="ADH22" s="335"/>
      <c r="ADI22" s="335"/>
      <c r="ADJ22" s="335"/>
      <c r="ADK22" s="335"/>
      <c r="ADL22" s="335"/>
      <c r="ADM22" s="335"/>
      <c r="ADN22" s="335"/>
      <c r="ADO22" s="335"/>
      <c r="ADP22" s="335"/>
      <c r="ADQ22" s="335"/>
      <c r="ADR22" s="335"/>
      <c r="ADS22" s="335"/>
      <c r="ADT22" s="335"/>
      <c r="ADU22" s="335"/>
      <c r="ADV22" s="335"/>
      <c r="ADW22" s="335"/>
      <c r="ADX22" s="335"/>
      <c r="ADY22" s="335"/>
      <c r="ADZ22" s="335"/>
      <c r="AEA22" s="335"/>
      <c r="AEB22" s="335"/>
      <c r="AEC22" s="335"/>
      <c r="AED22" s="335"/>
      <c r="AEE22" s="335"/>
      <c r="AEF22" s="335"/>
      <c r="AEG22" s="335"/>
      <c r="AEH22" s="335"/>
      <c r="AEI22" s="335"/>
      <c r="AEJ22" s="335"/>
      <c r="AEK22" s="335"/>
      <c r="AEL22" s="335"/>
      <c r="AEM22" s="335"/>
      <c r="AEN22" s="335"/>
      <c r="AEO22" s="335"/>
      <c r="AEP22" s="335"/>
      <c r="AEQ22" s="335"/>
      <c r="AER22" s="335"/>
      <c r="AES22" s="335"/>
      <c r="AET22" s="335"/>
      <c r="AEU22" s="335"/>
      <c r="AEV22" s="335"/>
      <c r="AEW22" s="335"/>
      <c r="AEX22" s="335"/>
      <c r="AEY22" s="335"/>
      <c r="AEZ22" s="335"/>
      <c r="AFA22" s="335"/>
      <c r="AFB22" s="335"/>
      <c r="AFC22" s="335"/>
      <c r="AFD22" s="335"/>
      <c r="AFE22" s="335"/>
      <c r="AFF22" s="335"/>
      <c r="AFG22" s="335"/>
      <c r="AFH22" s="335"/>
      <c r="AFI22" s="335"/>
      <c r="AFJ22" s="335"/>
      <c r="AFK22" s="335"/>
      <c r="AFL22" s="335"/>
      <c r="AFM22" s="335"/>
      <c r="AFN22" s="335"/>
      <c r="AFO22" s="335"/>
      <c r="AFP22" s="335"/>
      <c r="AFQ22" s="335"/>
      <c r="AFR22" s="335"/>
      <c r="AFS22" s="335"/>
      <c r="AFT22" s="335"/>
      <c r="AFU22" s="335"/>
      <c r="AFV22" s="335"/>
      <c r="AFW22" s="335"/>
      <c r="AFX22" s="335"/>
      <c r="AFY22" s="335"/>
      <c r="AFZ22" s="335"/>
      <c r="AGA22" s="335"/>
      <c r="AGB22" s="335"/>
      <c r="AGC22" s="335"/>
      <c r="AGD22" s="335"/>
      <c r="AGE22" s="335"/>
      <c r="AGF22" s="335"/>
      <c r="AGG22" s="335"/>
      <c r="AGH22" s="335"/>
      <c r="AGI22" s="335"/>
      <c r="AGJ22" s="335"/>
      <c r="AGK22" s="335"/>
      <c r="AGL22" s="335"/>
      <c r="AGM22" s="335"/>
      <c r="AGN22" s="335"/>
      <c r="AGO22" s="335"/>
      <c r="AGP22" s="335"/>
      <c r="AGQ22" s="335"/>
      <c r="AGR22" s="335"/>
      <c r="AGS22" s="335"/>
      <c r="AGT22" s="335"/>
      <c r="AGU22" s="335"/>
      <c r="AGV22" s="335"/>
      <c r="AGW22" s="335"/>
      <c r="AGX22" s="335"/>
      <c r="AGY22" s="335"/>
      <c r="AGZ22" s="335"/>
      <c r="AHA22" s="335"/>
      <c r="AHB22" s="335"/>
      <c r="AHC22" s="335"/>
      <c r="AHD22" s="335"/>
      <c r="AHE22" s="335"/>
      <c r="AHF22" s="335"/>
      <c r="AHG22" s="335"/>
      <c r="AHH22" s="335"/>
      <c r="AHI22" s="335"/>
      <c r="AHJ22" s="335"/>
      <c r="AHK22" s="335"/>
      <c r="AHL22" s="335"/>
      <c r="AHM22" s="335"/>
      <c r="AHN22" s="335"/>
      <c r="AHO22" s="335"/>
      <c r="AHP22" s="335"/>
      <c r="AHQ22" s="335"/>
      <c r="AHR22" s="335"/>
      <c r="AHS22" s="335"/>
      <c r="AHT22" s="335"/>
      <c r="AHU22" s="335"/>
      <c r="AHV22" s="335"/>
      <c r="AHW22" s="335"/>
      <c r="AHX22" s="335"/>
      <c r="AHY22" s="335"/>
      <c r="AHZ22" s="335"/>
      <c r="AIA22" s="335"/>
      <c r="AIB22" s="335"/>
    </row>
    <row r="23" spans="1:913" s="171" customFormat="1" ht="12" customHeight="1">
      <c r="B23" s="175"/>
      <c r="E23" s="496"/>
      <c r="F23" s="496"/>
      <c r="ABE23" s="336"/>
      <c r="ABF23" s="335"/>
      <c r="ABG23" s="335"/>
      <c r="ABH23" s="335"/>
      <c r="ABI23" s="335"/>
      <c r="ABJ23" s="335"/>
      <c r="ABK23" s="335"/>
      <c r="ABL23" s="335"/>
      <c r="ABM23" s="335"/>
      <c r="ABN23" s="335"/>
      <c r="ABO23" s="335"/>
      <c r="ABP23" s="335"/>
      <c r="ABQ23" s="335"/>
      <c r="ABR23" s="335"/>
      <c r="ABS23" s="335"/>
      <c r="ABT23" s="335"/>
      <c r="ABU23" s="335"/>
      <c r="ABV23" s="335"/>
      <c r="ABW23" s="335"/>
      <c r="ABX23" s="335"/>
      <c r="ABY23" s="335"/>
      <c r="ABZ23" s="335"/>
      <c r="ACA23" s="335"/>
      <c r="ACB23" s="335"/>
      <c r="ACC23" s="335"/>
      <c r="ACD23" s="335"/>
      <c r="ACE23" s="335"/>
      <c r="ACF23" s="335"/>
      <c r="ACG23" s="335"/>
      <c r="ACH23" s="335"/>
      <c r="ACI23" s="335"/>
      <c r="ACJ23" s="335"/>
      <c r="ACK23" s="335"/>
      <c r="ACL23" s="335"/>
      <c r="ACM23" s="335"/>
      <c r="ACN23" s="335"/>
      <c r="ACO23" s="335"/>
      <c r="ACP23" s="335"/>
      <c r="ACQ23" s="335"/>
      <c r="ACR23" s="335"/>
      <c r="ACS23" s="335"/>
      <c r="ACT23" s="335"/>
      <c r="ACU23" s="335"/>
      <c r="ACV23" s="335"/>
      <c r="ACW23" s="335"/>
      <c r="ACX23" s="335"/>
      <c r="ACY23" s="335"/>
      <c r="ACZ23" s="335"/>
      <c r="ADA23" s="335"/>
      <c r="ADB23" s="335"/>
      <c r="ADC23" s="335"/>
      <c r="ADD23" s="335"/>
      <c r="ADE23" s="335"/>
      <c r="ADF23" s="335"/>
      <c r="ADG23" s="335"/>
      <c r="ADH23" s="335"/>
      <c r="ADI23" s="335"/>
      <c r="ADJ23" s="335"/>
      <c r="ADK23" s="335"/>
      <c r="ADL23" s="335"/>
      <c r="ADM23" s="335"/>
      <c r="ADN23" s="335"/>
      <c r="ADO23" s="335"/>
      <c r="ADP23" s="335"/>
      <c r="ADQ23" s="335"/>
      <c r="ADR23" s="335"/>
      <c r="ADS23" s="335"/>
      <c r="ADT23" s="335"/>
      <c r="ADU23" s="335"/>
      <c r="ADV23" s="335"/>
      <c r="ADW23" s="335"/>
      <c r="ADX23" s="335"/>
      <c r="ADY23" s="335"/>
      <c r="ADZ23" s="335"/>
      <c r="AEA23" s="335"/>
      <c r="AEB23" s="335"/>
      <c r="AEC23" s="335"/>
      <c r="AED23" s="335"/>
      <c r="AEE23" s="335"/>
      <c r="AEF23" s="335"/>
      <c r="AEG23" s="335"/>
      <c r="AEH23" s="335"/>
      <c r="AEI23" s="335"/>
      <c r="AEJ23" s="335"/>
      <c r="AEK23" s="335"/>
      <c r="AEL23" s="335"/>
      <c r="AEM23" s="335"/>
      <c r="AEN23" s="335"/>
      <c r="AEO23" s="335"/>
      <c r="AEP23" s="335"/>
      <c r="AEQ23" s="335"/>
      <c r="AER23" s="335"/>
      <c r="AES23" s="335"/>
      <c r="AET23" s="335"/>
      <c r="AEU23" s="335"/>
      <c r="AEV23" s="335"/>
      <c r="AEW23" s="335"/>
      <c r="AEX23" s="335"/>
      <c r="AEY23" s="335"/>
      <c r="AEZ23" s="335"/>
      <c r="AFA23" s="335"/>
      <c r="AFB23" s="335"/>
      <c r="AFC23" s="335"/>
      <c r="AFD23" s="335"/>
      <c r="AFE23" s="335"/>
      <c r="AFF23" s="335"/>
      <c r="AFG23" s="335"/>
      <c r="AFH23" s="335"/>
      <c r="AFI23" s="335"/>
      <c r="AFJ23" s="335"/>
      <c r="AFK23" s="335"/>
      <c r="AFL23" s="335"/>
      <c r="AFM23" s="335"/>
      <c r="AFN23" s="335"/>
      <c r="AFO23" s="335"/>
      <c r="AFP23" s="335"/>
      <c r="AFQ23" s="335"/>
      <c r="AFR23" s="335"/>
      <c r="AFS23" s="335"/>
      <c r="AFT23" s="335"/>
      <c r="AFU23" s="335"/>
      <c r="AFV23" s="335"/>
      <c r="AFW23" s="335"/>
      <c r="AFX23" s="335"/>
      <c r="AFY23" s="335"/>
      <c r="AFZ23" s="335"/>
      <c r="AGA23" s="335"/>
      <c r="AGB23" s="335"/>
      <c r="AGC23" s="335"/>
      <c r="AGD23" s="335"/>
      <c r="AGE23" s="335"/>
      <c r="AGF23" s="335"/>
      <c r="AGG23" s="335"/>
      <c r="AGH23" s="335"/>
      <c r="AGI23" s="335"/>
      <c r="AGJ23" s="335"/>
      <c r="AGK23" s="335"/>
      <c r="AGL23" s="335"/>
      <c r="AGM23" s="335"/>
      <c r="AGN23" s="335"/>
      <c r="AGO23" s="335"/>
      <c r="AGP23" s="335"/>
      <c r="AGQ23" s="335"/>
      <c r="AGR23" s="335"/>
      <c r="AGS23" s="335"/>
      <c r="AGT23" s="335"/>
      <c r="AGU23" s="335"/>
      <c r="AGV23" s="335"/>
      <c r="AGW23" s="335"/>
      <c r="AGX23" s="335"/>
      <c r="AGY23" s="335"/>
      <c r="AGZ23" s="335"/>
      <c r="AHA23" s="335"/>
      <c r="AHB23" s="335"/>
      <c r="AHC23" s="335"/>
      <c r="AHD23" s="335"/>
      <c r="AHE23" s="335"/>
      <c r="AHF23" s="335"/>
      <c r="AHG23" s="335"/>
      <c r="AHH23" s="335"/>
      <c r="AHI23" s="335"/>
      <c r="AHJ23" s="335"/>
      <c r="AHK23" s="335"/>
      <c r="AHL23" s="335"/>
      <c r="AHM23" s="335"/>
      <c r="AHN23" s="335"/>
      <c r="AHO23" s="335"/>
      <c r="AHP23" s="335"/>
      <c r="AHQ23" s="335"/>
      <c r="AHR23" s="335"/>
      <c r="AHS23" s="335"/>
      <c r="AHT23" s="335"/>
      <c r="AHU23" s="335"/>
      <c r="AHV23" s="335"/>
      <c r="AHW23" s="335"/>
      <c r="AHX23" s="335"/>
      <c r="AHY23" s="335"/>
      <c r="AHZ23" s="335"/>
      <c r="AIA23" s="335"/>
      <c r="AIB23" s="335"/>
    </row>
    <row r="24" spans="1:913" s="171" customFormat="1" ht="12" customHeight="1">
      <c r="B24" s="175"/>
      <c r="ABE24" s="336"/>
      <c r="ABF24" s="335"/>
      <c r="ABG24" s="335"/>
      <c r="ABH24" s="335"/>
      <c r="ABI24" s="335"/>
      <c r="ABJ24" s="335"/>
      <c r="ABK24" s="335"/>
      <c r="ABL24" s="335"/>
      <c r="ABM24" s="335"/>
      <c r="ABN24" s="335"/>
      <c r="ABO24" s="335"/>
      <c r="ABP24" s="335"/>
      <c r="ABQ24" s="335"/>
      <c r="ABR24" s="335"/>
      <c r="ABS24" s="335"/>
      <c r="ABT24" s="335"/>
      <c r="ABU24" s="335"/>
      <c r="ABV24" s="335"/>
      <c r="ABW24" s="335"/>
      <c r="ABX24" s="335"/>
      <c r="ABY24" s="335"/>
      <c r="ABZ24" s="335"/>
      <c r="ACA24" s="335"/>
      <c r="ACB24" s="335"/>
      <c r="ACC24" s="335"/>
      <c r="ACD24" s="335"/>
      <c r="ACE24" s="335"/>
      <c r="ACF24" s="335"/>
      <c r="ACG24" s="335"/>
      <c r="ACH24" s="335"/>
      <c r="ACI24" s="335"/>
      <c r="ACJ24" s="335"/>
      <c r="ACK24" s="335"/>
      <c r="ACL24" s="335"/>
      <c r="ACM24" s="335"/>
      <c r="ACN24" s="335"/>
      <c r="ACO24" s="335"/>
      <c r="ACP24" s="335"/>
      <c r="ACQ24" s="335"/>
      <c r="ACR24" s="335"/>
      <c r="ACS24" s="335"/>
      <c r="ACT24" s="335"/>
      <c r="ACU24" s="335"/>
      <c r="ACV24" s="335"/>
      <c r="ACW24" s="335"/>
      <c r="ACX24" s="335"/>
      <c r="ACY24" s="335"/>
      <c r="ACZ24" s="335"/>
      <c r="ADA24" s="335"/>
      <c r="ADB24" s="335"/>
      <c r="ADC24" s="335"/>
      <c r="ADD24" s="335"/>
      <c r="ADE24" s="335"/>
      <c r="ADF24" s="335"/>
      <c r="ADG24" s="335"/>
      <c r="ADH24" s="335"/>
      <c r="ADI24" s="335"/>
      <c r="ADJ24" s="335"/>
      <c r="ADK24" s="335"/>
      <c r="ADL24" s="335"/>
      <c r="ADM24" s="335"/>
      <c r="ADN24" s="335"/>
      <c r="ADO24" s="335"/>
      <c r="ADP24" s="335"/>
      <c r="ADQ24" s="335"/>
      <c r="ADR24" s="335"/>
      <c r="ADS24" s="335"/>
      <c r="ADT24" s="335"/>
      <c r="ADU24" s="335"/>
      <c r="ADV24" s="335"/>
      <c r="ADW24" s="335"/>
      <c r="ADX24" s="335"/>
      <c r="ADY24" s="335"/>
      <c r="ADZ24" s="335"/>
      <c r="AEA24" s="335"/>
      <c r="AEB24" s="335"/>
      <c r="AEC24" s="335"/>
      <c r="AED24" s="335"/>
      <c r="AEE24" s="335"/>
      <c r="AEF24" s="335"/>
      <c r="AEG24" s="335"/>
      <c r="AEH24" s="335"/>
      <c r="AEI24" s="335"/>
      <c r="AEJ24" s="335"/>
      <c r="AEK24" s="335"/>
      <c r="AEL24" s="335"/>
      <c r="AEM24" s="335"/>
      <c r="AEN24" s="335"/>
      <c r="AEO24" s="335"/>
      <c r="AEP24" s="335"/>
      <c r="AEQ24" s="335"/>
      <c r="AER24" s="335"/>
      <c r="AES24" s="335"/>
      <c r="AET24" s="335"/>
      <c r="AEU24" s="335"/>
      <c r="AEV24" s="335"/>
      <c r="AEW24" s="335"/>
      <c r="AEX24" s="335"/>
      <c r="AEY24" s="335"/>
      <c r="AEZ24" s="335"/>
      <c r="AFA24" s="335"/>
      <c r="AFB24" s="335"/>
      <c r="AFC24" s="335"/>
      <c r="AFD24" s="335"/>
      <c r="AFE24" s="335"/>
      <c r="AFF24" s="335"/>
      <c r="AFG24" s="335"/>
      <c r="AFH24" s="335"/>
      <c r="AFI24" s="335"/>
      <c r="AFJ24" s="335"/>
      <c r="AFK24" s="335"/>
      <c r="AFL24" s="335"/>
      <c r="AFM24" s="335"/>
      <c r="AFN24" s="335"/>
      <c r="AFO24" s="335"/>
      <c r="AFP24" s="335"/>
      <c r="AFQ24" s="335"/>
      <c r="AFR24" s="335"/>
      <c r="AFS24" s="335"/>
      <c r="AFT24" s="335"/>
      <c r="AFU24" s="335"/>
      <c r="AFV24" s="335"/>
      <c r="AFW24" s="335"/>
      <c r="AFX24" s="335"/>
      <c r="AFY24" s="335"/>
      <c r="AFZ24" s="335"/>
      <c r="AGA24" s="335"/>
      <c r="AGB24" s="335"/>
      <c r="AGC24" s="335"/>
      <c r="AGD24" s="335"/>
      <c r="AGE24" s="335"/>
      <c r="AGF24" s="335"/>
      <c r="AGG24" s="335"/>
      <c r="AGH24" s="335"/>
      <c r="AGI24" s="335"/>
      <c r="AGJ24" s="335"/>
      <c r="AGK24" s="335"/>
      <c r="AGL24" s="335"/>
      <c r="AGM24" s="335"/>
      <c r="AGN24" s="335"/>
      <c r="AGO24" s="335"/>
      <c r="AGP24" s="335"/>
      <c r="AGQ24" s="335"/>
      <c r="AGR24" s="335"/>
      <c r="AGS24" s="335"/>
      <c r="AGT24" s="335"/>
      <c r="AGU24" s="335"/>
      <c r="AGV24" s="335"/>
      <c r="AGW24" s="335"/>
      <c r="AGX24" s="335"/>
      <c r="AGY24" s="335"/>
      <c r="AGZ24" s="335"/>
      <c r="AHA24" s="335"/>
      <c r="AHB24" s="335"/>
      <c r="AHC24" s="335"/>
      <c r="AHD24" s="335"/>
      <c r="AHE24" s="335"/>
      <c r="AHF24" s="335"/>
      <c r="AHG24" s="335"/>
      <c r="AHH24" s="335"/>
      <c r="AHI24" s="335"/>
      <c r="AHJ24" s="335"/>
      <c r="AHK24" s="335"/>
      <c r="AHL24" s="335"/>
      <c r="AHM24" s="335"/>
      <c r="AHN24" s="335"/>
      <c r="AHO24" s="335"/>
      <c r="AHP24" s="335"/>
      <c r="AHQ24" s="335"/>
      <c r="AHR24" s="335"/>
      <c r="AHS24" s="335"/>
      <c r="AHT24" s="335"/>
      <c r="AHU24" s="335"/>
      <c r="AHV24" s="335"/>
      <c r="AHW24" s="335"/>
      <c r="AHX24" s="335"/>
      <c r="AHY24" s="335"/>
      <c r="AHZ24" s="335"/>
      <c r="AIA24" s="335"/>
      <c r="AIB24" s="335"/>
    </row>
    <row r="25" spans="1:913" s="178" customFormat="1">
      <c r="A25" s="179"/>
      <c r="B25" s="179"/>
      <c r="C25" s="178" t="s">
        <v>99</v>
      </c>
      <c r="D25" s="178" t="s">
        <v>100</v>
      </c>
      <c r="E25" s="178" t="s">
        <v>99</v>
      </c>
      <c r="F25" s="178" t="s">
        <v>100</v>
      </c>
      <c r="G25" s="178" t="s">
        <v>99</v>
      </c>
      <c r="H25" s="178" t="s">
        <v>100</v>
      </c>
      <c r="I25" s="178" t="s">
        <v>99</v>
      </c>
      <c r="J25" s="178" t="s">
        <v>100</v>
      </c>
      <c r="K25" s="178" t="s">
        <v>99</v>
      </c>
      <c r="L25" s="178" t="s">
        <v>100</v>
      </c>
      <c r="M25" s="178" t="s">
        <v>99</v>
      </c>
      <c r="N25" s="178" t="s">
        <v>100</v>
      </c>
      <c r="O25" s="178" t="s">
        <v>99</v>
      </c>
      <c r="P25" s="178" t="s">
        <v>100</v>
      </c>
      <c r="Q25" s="178" t="s">
        <v>99</v>
      </c>
      <c r="R25" s="178" t="s">
        <v>100</v>
      </c>
      <c r="S25" s="178" t="s">
        <v>99</v>
      </c>
      <c r="T25" s="178" t="s">
        <v>100</v>
      </c>
      <c r="U25" s="178" t="s">
        <v>99</v>
      </c>
      <c r="V25" s="178" t="s">
        <v>100</v>
      </c>
      <c r="W25" s="178" t="s">
        <v>99</v>
      </c>
      <c r="X25" s="178" t="s">
        <v>100</v>
      </c>
      <c r="Y25" s="178" t="s">
        <v>99</v>
      </c>
      <c r="Z25" s="178" t="s">
        <v>100</v>
      </c>
      <c r="AA25" s="178" t="s">
        <v>99</v>
      </c>
      <c r="AB25" s="178" t="s">
        <v>100</v>
      </c>
      <c r="AC25" s="178" t="s">
        <v>99</v>
      </c>
      <c r="AD25" s="178" t="s">
        <v>100</v>
      </c>
      <c r="AE25" s="178" t="s">
        <v>99</v>
      </c>
      <c r="AF25" s="178" t="s">
        <v>100</v>
      </c>
      <c r="AG25" s="178" t="s">
        <v>99</v>
      </c>
      <c r="AH25" s="178" t="s">
        <v>100</v>
      </c>
      <c r="AI25" s="178" t="s">
        <v>99</v>
      </c>
      <c r="AJ25" s="178" t="s">
        <v>100</v>
      </c>
      <c r="AK25" s="178" t="s">
        <v>99</v>
      </c>
      <c r="AL25" s="178" t="s">
        <v>100</v>
      </c>
      <c r="AM25" s="178" t="s">
        <v>99</v>
      </c>
      <c r="AN25" s="178" t="s">
        <v>100</v>
      </c>
      <c r="AO25" s="178" t="s">
        <v>99</v>
      </c>
      <c r="AP25" s="178" t="s">
        <v>100</v>
      </c>
      <c r="AQ25" s="178" t="s">
        <v>99</v>
      </c>
      <c r="AR25" s="178" t="s">
        <v>100</v>
      </c>
      <c r="AS25" s="178" t="s">
        <v>99</v>
      </c>
      <c r="AT25" s="178" t="s">
        <v>100</v>
      </c>
      <c r="AU25" s="178" t="s">
        <v>99</v>
      </c>
      <c r="AV25" s="178" t="s">
        <v>100</v>
      </c>
      <c r="AW25" s="178" t="s">
        <v>99</v>
      </c>
      <c r="AX25" s="178" t="s">
        <v>100</v>
      </c>
      <c r="AY25" s="178" t="s">
        <v>99</v>
      </c>
      <c r="AZ25" s="178" t="s">
        <v>100</v>
      </c>
      <c r="BA25" s="178" t="s">
        <v>99</v>
      </c>
      <c r="BB25" s="178" t="s">
        <v>100</v>
      </c>
      <c r="BC25" s="178" t="s">
        <v>99</v>
      </c>
      <c r="BD25" s="178" t="s">
        <v>100</v>
      </c>
      <c r="BE25" s="178" t="s">
        <v>99</v>
      </c>
      <c r="BF25" s="178" t="s">
        <v>100</v>
      </c>
      <c r="BG25" s="178" t="s">
        <v>99</v>
      </c>
      <c r="BH25" s="178" t="s">
        <v>100</v>
      </c>
      <c r="BI25" s="178" t="s">
        <v>99</v>
      </c>
      <c r="BJ25" s="178" t="s">
        <v>100</v>
      </c>
      <c r="BK25" s="178" t="s">
        <v>99</v>
      </c>
      <c r="BL25" s="178" t="s">
        <v>100</v>
      </c>
      <c r="BM25" s="178" t="s">
        <v>99</v>
      </c>
      <c r="BN25" s="178" t="s">
        <v>100</v>
      </c>
      <c r="BO25" s="178" t="s">
        <v>99</v>
      </c>
      <c r="BP25" s="178" t="s">
        <v>100</v>
      </c>
      <c r="BQ25" s="178" t="s">
        <v>99</v>
      </c>
      <c r="BR25" s="178" t="s">
        <v>100</v>
      </c>
      <c r="BS25" s="178" t="s">
        <v>99</v>
      </c>
      <c r="BT25" s="178" t="s">
        <v>100</v>
      </c>
      <c r="BU25" s="178" t="s">
        <v>99</v>
      </c>
      <c r="BV25" s="178" t="s">
        <v>100</v>
      </c>
      <c r="BW25" s="178" t="s">
        <v>99</v>
      </c>
      <c r="BX25" s="178" t="s">
        <v>100</v>
      </c>
      <c r="BY25" s="178" t="s">
        <v>99</v>
      </c>
      <c r="BZ25" s="178" t="s">
        <v>100</v>
      </c>
      <c r="CA25" s="178" t="s">
        <v>99</v>
      </c>
      <c r="CB25" s="178" t="s">
        <v>100</v>
      </c>
      <c r="CC25" s="178" t="s">
        <v>99</v>
      </c>
      <c r="CD25" s="178" t="s">
        <v>100</v>
      </c>
      <c r="CE25" s="178" t="s">
        <v>99</v>
      </c>
      <c r="CF25" s="178" t="s">
        <v>100</v>
      </c>
      <c r="CG25" s="178" t="s">
        <v>99</v>
      </c>
      <c r="CH25" s="178" t="s">
        <v>100</v>
      </c>
      <c r="CI25" s="178" t="s">
        <v>99</v>
      </c>
      <c r="CJ25" s="178" t="s">
        <v>100</v>
      </c>
      <c r="CK25" s="178" t="s">
        <v>99</v>
      </c>
      <c r="CL25" s="178" t="s">
        <v>100</v>
      </c>
      <c r="CM25" s="178" t="s">
        <v>99</v>
      </c>
      <c r="CN25" s="178" t="s">
        <v>100</v>
      </c>
      <c r="CO25" s="178" t="s">
        <v>99</v>
      </c>
      <c r="CP25" s="178" t="s">
        <v>100</v>
      </c>
      <c r="CQ25" s="178" t="s">
        <v>99</v>
      </c>
      <c r="CR25" s="178" t="s">
        <v>100</v>
      </c>
      <c r="CS25" s="178" t="s">
        <v>99</v>
      </c>
      <c r="CT25" s="178" t="s">
        <v>100</v>
      </c>
      <c r="CU25" s="178" t="s">
        <v>99</v>
      </c>
      <c r="CV25" s="178" t="s">
        <v>100</v>
      </c>
      <c r="CW25" s="178" t="s">
        <v>99</v>
      </c>
      <c r="CX25" s="178" t="s">
        <v>100</v>
      </c>
      <c r="CY25" s="178" t="s">
        <v>99</v>
      </c>
      <c r="CZ25" s="178" t="s">
        <v>100</v>
      </c>
      <c r="DA25" s="178" t="s">
        <v>99</v>
      </c>
      <c r="DB25" s="178" t="s">
        <v>100</v>
      </c>
      <c r="DC25" s="178" t="s">
        <v>99</v>
      </c>
      <c r="DD25" s="178" t="s">
        <v>100</v>
      </c>
      <c r="DE25" s="178" t="s">
        <v>99</v>
      </c>
      <c r="DF25" s="178" t="s">
        <v>100</v>
      </c>
      <c r="DG25" s="178" t="s">
        <v>99</v>
      </c>
      <c r="DH25" s="178" t="s">
        <v>100</v>
      </c>
      <c r="DI25" s="178" t="s">
        <v>99</v>
      </c>
      <c r="DJ25" s="178" t="s">
        <v>100</v>
      </c>
      <c r="DK25" s="178" t="s">
        <v>99</v>
      </c>
      <c r="DL25" s="178" t="s">
        <v>100</v>
      </c>
      <c r="DM25" s="178" t="s">
        <v>99</v>
      </c>
      <c r="DN25" s="178" t="s">
        <v>100</v>
      </c>
      <c r="DO25" s="178" t="s">
        <v>99</v>
      </c>
      <c r="DP25" s="178" t="s">
        <v>100</v>
      </c>
      <c r="DQ25" s="178" t="s">
        <v>99</v>
      </c>
      <c r="DR25" s="178" t="s">
        <v>100</v>
      </c>
      <c r="DS25" s="178" t="s">
        <v>99</v>
      </c>
      <c r="DT25" s="178" t="s">
        <v>100</v>
      </c>
      <c r="DU25" s="178" t="s">
        <v>99</v>
      </c>
      <c r="DV25" s="178" t="s">
        <v>100</v>
      </c>
      <c r="DW25" s="178" t="s">
        <v>99</v>
      </c>
      <c r="DX25" s="178" t="s">
        <v>100</v>
      </c>
      <c r="DY25" s="178" t="s">
        <v>99</v>
      </c>
      <c r="DZ25" s="178" t="s">
        <v>100</v>
      </c>
      <c r="EA25" s="178" t="s">
        <v>99</v>
      </c>
      <c r="EB25" s="178" t="s">
        <v>100</v>
      </c>
      <c r="EC25" s="178" t="s">
        <v>99</v>
      </c>
      <c r="ED25" s="178" t="s">
        <v>100</v>
      </c>
      <c r="EE25" s="178" t="s">
        <v>99</v>
      </c>
      <c r="EF25" s="178" t="s">
        <v>100</v>
      </c>
      <c r="EG25" s="178" t="s">
        <v>99</v>
      </c>
      <c r="EH25" s="178" t="s">
        <v>100</v>
      </c>
      <c r="EI25" s="178" t="s">
        <v>99</v>
      </c>
      <c r="EJ25" s="178" t="s">
        <v>100</v>
      </c>
      <c r="EK25" s="178" t="s">
        <v>99</v>
      </c>
      <c r="EL25" s="178" t="s">
        <v>100</v>
      </c>
      <c r="EM25" s="178" t="s">
        <v>99</v>
      </c>
      <c r="EN25" s="178" t="s">
        <v>100</v>
      </c>
      <c r="EO25" s="178" t="s">
        <v>99</v>
      </c>
      <c r="EP25" s="178" t="s">
        <v>100</v>
      </c>
      <c r="EQ25" s="178" t="s">
        <v>99</v>
      </c>
      <c r="ER25" s="178" t="s">
        <v>100</v>
      </c>
      <c r="ES25" s="178" t="s">
        <v>99</v>
      </c>
      <c r="ET25" s="178" t="s">
        <v>100</v>
      </c>
      <c r="EU25" s="178" t="s">
        <v>99</v>
      </c>
      <c r="EV25" s="178" t="s">
        <v>100</v>
      </c>
      <c r="EW25" s="178" t="s">
        <v>99</v>
      </c>
      <c r="EX25" s="178" t="s">
        <v>100</v>
      </c>
      <c r="EY25" s="178" t="s">
        <v>99</v>
      </c>
      <c r="EZ25" s="178" t="s">
        <v>100</v>
      </c>
      <c r="FA25" s="178" t="s">
        <v>99</v>
      </c>
      <c r="FB25" s="178" t="s">
        <v>100</v>
      </c>
      <c r="FC25" s="178" t="s">
        <v>99</v>
      </c>
      <c r="FD25" s="178" t="s">
        <v>100</v>
      </c>
      <c r="FE25" s="178" t="s">
        <v>99</v>
      </c>
      <c r="FF25" s="178" t="s">
        <v>100</v>
      </c>
      <c r="FG25" s="178" t="s">
        <v>99</v>
      </c>
      <c r="FH25" s="178" t="s">
        <v>100</v>
      </c>
      <c r="FI25" s="178" t="s">
        <v>99</v>
      </c>
      <c r="FJ25" s="178" t="s">
        <v>100</v>
      </c>
      <c r="FK25" s="178" t="s">
        <v>99</v>
      </c>
      <c r="FL25" s="178" t="s">
        <v>100</v>
      </c>
      <c r="FM25" s="178" t="s">
        <v>99</v>
      </c>
      <c r="FN25" s="178" t="s">
        <v>100</v>
      </c>
      <c r="FO25" s="178" t="s">
        <v>99</v>
      </c>
      <c r="FP25" s="178" t="s">
        <v>100</v>
      </c>
      <c r="FQ25" s="178" t="s">
        <v>99</v>
      </c>
      <c r="FR25" s="178" t="s">
        <v>100</v>
      </c>
      <c r="FS25" s="178" t="s">
        <v>99</v>
      </c>
      <c r="FT25" s="178" t="s">
        <v>100</v>
      </c>
      <c r="FU25" s="178" t="s">
        <v>99</v>
      </c>
      <c r="FV25" s="178" t="s">
        <v>100</v>
      </c>
      <c r="FW25" s="178" t="s">
        <v>99</v>
      </c>
      <c r="FX25" s="178" t="s">
        <v>100</v>
      </c>
      <c r="FY25" s="178" t="s">
        <v>99</v>
      </c>
      <c r="FZ25" s="178" t="s">
        <v>100</v>
      </c>
      <c r="GA25" s="178" t="s">
        <v>99</v>
      </c>
      <c r="GB25" s="178" t="s">
        <v>100</v>
      </c>
      <c r="GC25" s="178" t="s">
        <v>99</v>
      </c>
      <c r="GD25" s="178" t="s">
        <v>100</v>
      </c>
      <c r="GE25" s="178" t="s">
        <v>99</v>
      </c>
      <c r="GF25" s="178" t="s">
        <v>100</v>
      </c>
      <c r="GG25" s="178" t="s">
        <v>99</v>
      </c>
      <c r="GH25" s="178" t="s">
        <v>100</v>
      </c>
      <c r="GI25" s="178" t="s">
        <v>99</v>
      </c>
      <c r="GJ25" s="178" t="s">
        <v>100</v>
      </c>
      <c r="GK25" s="178" t="s">
        <v>99</v>
      </c>
      <c r="GL25" s="178" t="s">
        <v>100</v>
      </c>
      <c r="GM25" s="178" t="s">
        <v>99</v>
      </c>
      <c r="GN25" s="178" t="s">
        <v>100</v>
      </c>
      <c r="GO25" s="178" t="s">
        <v>99</v>
      </c>
      <c r="GP25" s="178" t="s">
        <v>100</v>
      </c>
      <c r="GQ25" s="178" t="s">
        <v>99</v>
      </c>
      <c r="GR25" s="178" t="s">
        <v>100</v>
      </c>
      <c r="GS25" s="178" t="s">
        <v>99</v>
      </c>
      <c r="GT25" s="178" t="s">
        <v>100</v>
      </c>
      <c r="GU25" s="178" t="s">
        <v>99</v>
      </c>
      <c r="GV25" s="178" t="s">
        <v>100</v>
      </c>
      <c r="GW25" s="178" t="s">
        <v>99</v>
      </c>
      <c r="GX25" s="178" t="s">
        <v>100</v>
      </c>
      <c r="GY25" s="178" t="s">
        <v>99</v>
      </c>
      <c r="GZ25" s="178" t="s">
        <v>100</v>
      </c>
      <c r="HA25" s="178" t="s">
        <v>99</v>
      </c>
      <c r="HB25" s="178" t="s">
        <v>100</v>
      </c>
      <c r="HC25" s="178" t="s">
        <v>99</v>
      </c>
      <c r="HD25" s="178" t="s">
        <v>100</v>
      </c>
      <c r="HE25" s="178" t="s">
        <v>99</v>
      </c>
      <c r="HF25" s="178" t="s">
        <v>100</v>
      </c>
      <c r="HG25" s="178" t="s">
        <v>99</v>
      </c>
      <c r="HH25" s="178" t="s">
        <v>100</v>
      </c>
      <c r="HI25" s="178" t="s">
        <v>99</v>
      </c>
      <c r="HJ25" s="178" t="s">
        <v>100</v>
      </c>
      <c r="HK25" s="178" t="s">
        <v>99</v>
      </c>
      <c r="HL25" s="178" t="s">
        <v>100</v>
      </c>
      <c r="HM25" s="178" t="s">
        <v>99</v>
      </c>
      <c r="HN25" s="178" t="s">
        <v>100</v>
      </c>
      <c r="HO25" s="178" t="s">
        <v>99</v>
      </c>
      <c r="HP25" s="178" t="s">
        <v>100</v>
      </c>
      <c r="HQ25" s="178" t="s">
        <v>99</v>
      </c>
      <c r="HR25" s="178" t="s">
        <v>100</v>
      </c>
      <c r="HS25" s="178" t="s">
        <v>99</v>
      </c>
      <c r="HT25" s="178" t="s">
        <v>100</v>
      </c>
      <c r="HU25" s="178" t="s">
        <v>99</v>
      </c>
      <c r="HV25" s="178" t="s">
        <v>100</v>
      </c>
      <c r="HW25" s="178" t="s">
        <v>99</v>
      </c>
      <c r="HX25" s="178" t="s">
        <v>100</v>
      </c>
      <c r="HY25" s="178" t="s">
        <v>99</v>
      </c>
      <c r="HZ25" s="178" t="s">
        <v>100</v>
      </c>
      <c r="IA25" s="178" t="s">
        <v>99</v>
      </c>
      <c r="IB25" s="178" t="s">
        <v>100</v>
      </c>
      <c r="IC25" s="178" t="s">
        <v>99</v>
      </c>
      <c r="ID25" s="178" t="s">
        <v>100</v>
      </c>
      <c r="IE25" s="178" t="s">
        <v>99</v>
      </c>
      <c r="IF25" s="178" t="s">
        <v>100</v>
      </c>
      <c r="IG25" s="178" t="s">
        <v>99</v>
      </c>
      <c r="IH25" s="178" t="s">
        <v>100</v>
      </c>
      <c r="II25" s="178" t="s">
        <v>99</v>
      </c>
      <c r="IJ25" s="178" t="s">
        <v>100</v>
      </c>
      <c r="IK25" s="178" t="s">
        <v>99</v>
      </c>
      <c r="IL25" s="178" t="s">
        <v>100</v>
      </c>
      <c r="IM25" s="178" t="s">
        <v>99</v>
      </c>
      <c r="IN25" s="178" t="s">
        <v>100</v>
      </c>
      <c r="IO25" s="178" t="s">
        <v>99</v>
      </c>
      <c r="IP25" s="178" t="s">
        <v>100</v>
      </c>
      <c r="IQ25" s="178" t="s">
        <v>99</v>
      </c>
      <c r="IR25" s="178" t="s">
        <v>100</v>
      </c>
      <c r="IS25" s="178" t="s">
        <v>99</v>
      </c>
      <c r="IT25" s="178" t="s">
        <v>100</v>
      </c>
      <c r="IU25" s="178" t="s">
        <v>99</v>
      </c>
      <c r="IV25" s="178" t="s">
        <v>100</v>
      </c>
      <c r="IW25" s="178" t="s">
        <v>99</v>
      </c>
      <c r="IX25" s="178" t="s">
        <v>100</v>
      </c>
      <c r="IY25" s="178" t="s">
        <v>99</v>
      </c>
      <c r="IZ25" s="178" t="s">
        <v>100</v>
      </c>
      <c r="JA25" s="178" t="s">
        <v>99</v>
      </c>
      <c r="JB25" s="178" t="s">
        <v>100</v>
      </c>
      <c r="JC25" s="178" t="s">
        <v>99</v>
      </c>
      <c r="JD25" s="178" t="s">
        <v>100</v>
      </c>
      <c r="JE25" s="178" t="s">
        <v>99</v>
      </c>
      <c r="JF25" s="178" t="s">
        <v>100</v>
      </c>
      <c r="JG25" s="178" t="s">
        <v>99</v>
      </c>
      <c r="JH25" s="178" t="s">
        <v>100</v>
      </c>
      <c r="JI25" s="178" t="s">
        <v>99</v>
      </c>
      <c r="JJ25" s="178" t="s">
        <v>100</v>
      </c>
      <c r="JK25" s="178" t="s">
        <v>99</v>
      </c>
      <c r="JL25" s="178" t="s">
        <v>100</v>
      </c>
      <c r="JM25" s="178" t="s">
        <v>99</v>
      </c>
      <c r="JN25" s="178" t="s">
        <v>100</v>
      </c>
      <c r="JO25" s="178" t="s">
        <v>99</v>
      </c>
      <c r="JP25" s="178" t="s">
        <v>100</v>
      </c>
      <c r="JQ25" s="178" t="s">
        <v>99</v>
      </c>
      <c r="JR25" s="178" t="s">
        <v>100</v>
      </c>
      <c r="JS25" s="178" t="s">
        <v>99</v>
      </c>
      <c r="JT25" s="178" t="s">
        <v>100</v>
      </c>
      <c r="JU25" s="178" t="s">
        <v>99</v>
      </c>
      <c r="JV25" s="178" t="s">
        <v>100</v>
      </c>
      <c r="JW25" s="178" t="s">
        <v>99</v>
      </c>
      <c r="JX25" s="178" t="s">
        <v>100</v>
      </c>
      <c r="JY25" s="178" t="s">
        <v>99</v>
      </c>
      <c r="JZ25" s="178" t="s">
        <v>100</v>
      </c>
      <c r="KA25" s="178" t="s">
        <v>99</v>
      </c>
      <c r="KB25" s="178" t="s">
        <v>100</v>
      </c>
      <c r="KC25" s="178" t="s">
        <v>99</v>
      </c>
      <c r="KD25" s="178" t="s">
        <v>100</v>
      </c>
      <c r="KE25" s="178" t="s">
        <v>99</v>
      </c>
      <c r="KF25" s="178" t="s">
        <v>100</v>
      </c>
      <c r="KG25" s="178" t="s">
        <v>99</v>
      </c>
      <c r="KH25" s="178" t="s">
        <v>100</v>
      </c>
      <c r="KI25" s="178" t="s">
        <v>99</v>
      </c>
      <c r="KJ25" s="178" t="s">
        <v>100</v>
      </c>
      <c r="KK25" s="178" t="s">
        <v>99</v>
      </c>
      <c r="KL25" s="178" t="s">
        <v>100</v>
      </c>
      <c r="KM25" s="178" t="s">
        <v>99</v>
      </c>
      <c r="KN25" s="178" t="s">
        <v>100</v>
      </c>
      <c r="KO25" s="178" t="s">
        <v>99</v>
      </c>
      <c r="KP25" s="178" t="s">
        <v>100</v>
      </c>
      <c r="KQ25" s="178" t="s">
        <v>99</v>
      </c>
      <c r="KR25" s="178" t="s">
        <v>100</v>
      </c>
      <c r="KS25" s="178" t="s">
        <v>99</v>
      </c>
      <c r="KT25" s="178" t="s">
        <v>100</v>
      </c>
      <c r="KU25" s="178" t="s">
        <v>99</v>
      </c>
      <c r="KV25" s="178" t="s">
        <v>100</v>
      </c>
      <c r="KW25" s="178" t="s">
        <v>99</v>
      </c>
      <c r="KX25" s="178" t="s">
        <v>100</v>
      </c>
      <c r="KY25" s="178" t="s">
        <v>99</v>
      </c>
      <c r="KZ25" s="178" t="s">
        <v>100</v>
      </c>
      <c r="LA25" s="178" t="s">
        <v>99</v>
      </c>
      <c r="LB25" s="178" t="s">
        <v>100</v>
      </c>
      <c r="LC25" s="178" t="s">
        <v>99</v>
      </c>
      <c r="LD25" s="178" t="s">
        <v>100</v>
      </c>
      <c r="LE25" s="178" t="s">
        <v>99</v>
      </c>
      <c r="LF25" s="178" t="s">
        <v>100</v>
      </c>
      <c r="LG25" s="178" t="s">
        <v>99</v>
      </c>
      <c r="LH25" s="178" t="s">
        <v>100</v>
      </c>
      <c r="LI25" s="178" t="s">
        <v>99</v>
      </c>
      <c r="LJ25" s="178" t="s">
        <v>100</v>
      </c>
      <c r="LK25" s="178" t="s">
        <v>99</v>
      </c>
      <c r="LL25" s="178" t="s">
        <v>100</v>
      </c>
      <c r="LM25" s="178" t="s">
        <v>99</v>
      </c>
      <c r="LN25" s="178" t="s">
        <v>100</v>
      </c>
      <c r="LO25" s="178" t="s">
        <v>99</v>
      </c>
      <c r="LP25" s="178" t="s">
        <v>100</v>
      </c>
      <c r="LQ25" s="178" t="s">
        <v>99</v>
      </c>
      <c r="LR25" s="178" t="s">
        <v>100</v>
      </c>
      <c r="LS25" s="178" t="s">
        <v>99</v>
      </c>
      <c r="LT25" s="178" t="s">
        <v>100</v>
      </c>
      <c r="LU25" s="178" t="s">
        <v>99</v>
      </c>
      <c r="LV25" s="178" t="s">
        <v>100</v>
      </c>
      <c r="LW25" s="178" t="s">
        <v>99</v>
      </c>
      <c r="LX25" s="178" t="s">
        <v>100</v>
      </c>
      <c r="LY25" s="178" t="s">
        <v>99</v>
      </c>
      <c r="LZ25" s="178" t="s">
        <v>100</v>
      </c>
      <c r="MA25" s="178" t="s">
        <v>99</v>
      </c>
      <c r="MB25" s="178" t="s">
        <v>100</v>
      </c>
      <c r="MC25" s="178" t="s">
        <v>99</v>
      </c>
      <c r="MD25" s="178" t="s">
        <v>100</v>
      </c>
      <c r="ME25" s="178" t="s">
        <v>99</v>
      </c>
      <c r="MF25" s="178" t="s">
        <v>100</v>
      </c>
      <c r="MG25" s="178" t="s">
        <v>99</v>
      </c>
      <c r="MH25" s="178" t="s">
        <v>100</v>
      </c>
      <c r="MI25" s="178" t="s">
        <v>99</v>
      </c>
      <c r="MJ25" s="178" t="s">
        <v>100</v>
      </c>
      <c r="MK25" s="178" t="s">
        <v>99</v>
      </c>
      <c r="ML25" s="178" t="s">
        <v>100</v>
      </c>
      <c r="MM25" s="178" t="s">
        <v>99</v>
      </c>
      <c r="MN25" s="178" t="s">
        <v>100</v>
      </c>
      <c r="MO25" s="178" t="s">
        <v>99</v>
      </c>
      <c r="MP25" s="178" t="s">
        <v>100</v>
      </c>
      <c r="MQ25" s="178" t="s">
        <v>99</v>
      </c>
      <c r="MR25" s="178" t="s">
        <v>100</v>
      </c>
      <c r="MS25" s="178" t="s">
        <v>99</v>
      </c>
      <c r="MT25" s="178" t="s">
        <v>100</v>
      </c>
      <c r="MU25" s="178" t="s">
        <v>99</v>
      </c>
      <c r="MV25" s="178" t="s">
        <v>100</v>
      </c>
      <c r="MW25" s="178" t="s">
        <v>99</v>
      </c>
      <c r="MX25" s="178" t="s">
        <v>100</v>
      </c>
      <c r="MY25" s="178" t="s">
        <v>99</v>
      </c>
      <c r="MZ25" s="178" t="s">
        <v>100</v>
      </c>
      <c r="NA25" s="178" t="s">
        <v>99</v>
      </c>
      <c r="NB25" s="178" t="s">
        <v>100</v>
      </c>
      <c r="NC25" s="178" t="s">
        <v>99</v>
      </c>
      <c r="ND25" s="178" t="s">
        <v>100</v>
      </c>
      <c r="NE25" s="178" t="s">
        <v>99</v>
      </c>
      <c r="NF25" s="178" t="s">
        <v>100</v>
      </c>
      <c r="NG25" s="178" t="s">
        <v>99</v>
      </c>
      <c r="NH25" s="178" t="s">
        <v>100</v>
      </c>
      <c r="NI25" s="178" t="s">
        <v>99</v>
      </c>
      <c r="NJ25" s="178" t="s">
        <v>100</v>
      </c>
      <c r="NK25" s="178" t="s">
        <v>99</v>
      </c>
      <c r="NL25" s="178" t="s">
        <v>100</v>
      </c>
      <c r="NM25" s="178" t="s">
        <v>99</v>
      </c>
      <c r="NN25" s="178" t="s">
        <v>100</v>
      </c>
      <c r="NO25" s="178" t="s">
        <v>99</v>
      </c>
      <c r="NP25" s="178" t="s">
        <v>100</v>
      </c>
      <c r="NQ25" s="178" t="s">
        <v>99</v>
      </c>
      <c r="NR25" s="178" t="s">
        <v>100</v>
      </c>
      <c r="NS25" s="178" t="s">
        <v>99</v>
      </c>
      <c r="NT25" s="178" t="s">
        <v>100</v>
      </c>
      <c r="NU25" s="178" t="s">
        <v>99</v>
      </c>
      <c r="NV25" s="178" t="s">
        <v>100</v>
      </c>
      <c r="NW25" s="178" t="s">
        <v>99</v>
      </c>
      <c r="NX25" s="178" t="s">
        <v>100</v>
      </c>
      <c r="NY25" s="178" t="s">
        <v>99</v>
      </c>
      <c r="NZ25" s="178" t="s">
        <v>100</v>
      </c>
      <c r="OA25" s="178" t="s">
        <v>99</v>
      </c>
      <c r="OB25" s="178" t="s">
        <v>100</v>
      </c>
      <c r="OC25" s="178" t="s">
        <v>99</v>
      </c>
      <c r="OD25" s="178" t="s">
        <v>100</v>
      </c>
      <c r="OE25" s="178" t="s">
        <v>99</v>
      </c>
      <c r="OF25" s="178" t="s">
        <v>100</v>
      </c>
      <c r="OG25" s="178" t="s">
        <v>99</v>
      </c>
      <c r="OH25" s="178" t="s">
        <v>100</v>
      </c>
      <c r="OI25" s="178" t="s">
        <v>99</v>
      </c>
      <c r="OJ25" s="178" t="s">
        <v>100</v>
      </c>
      <c r="OK25" s="178" t="s">
        <v>99</v>
      </c>
      <c r="OL25" s="178" t="s">
        <v>100</v>
      </c>
      <c r="OM25" s="178" t="s">
        <v>99</v>
      </c>
      <c r="ON25" s="178" t="s">
        <v>100</v>
      </c>
      <c r="OO25" s="178" t="s">
        <v>99</v>
      </c>
      <c r="OP25" s="178" t="s">
        <v>100</v>
      </c>
      <c r="OQ25" s="178" t="s">
        <v>99</v>
      </c>
      <c r="OR25" s="178" t="s">
        <v>100</v>
      </c>
      <c r="OS25" s="178" t="s">
        <v>99</v>
      </c>
      <c r="OT25" s="178" t="s">
        <v>100</v>
      </c>
      <c r="OU25" s="178" t="s">
        <v>99</v>
      </c>
      <c r="OV25" s="178" t="s">
        <v>100</v>
      </c>
      <c r="OW25" s="178" t="s">
        <v>99</v>
      </c>
      <c r="OX25" s="178" t="s">
        <v>100</v>
      </c>
      <c r="OY25" s="178" t="s">
        <v>99</v>
      </c>
      <c r="OZ25" s="178" t="s">
        <v>100</v>
      </c>
      <c r="PA25" s="178" t="s">
        <v>99</v>
      </c>
      <c r="PB25" s="178" t="s">
        <v>100</v>
      </c>
      <c r="PC25" s="245" t="s">
        <v>99</v>
      </c>
      <c r="PD25" s="245" t="s">
        <v>100</v>
      </c>
      <c r="PE25" s="245" t="s">
        <v>99</v>
      </c>
      <c r="PF25" s="245" t="s">
        <v>100</v>
      </c>
      <c r="PG25" s="245" t="s">
        <v>99</v>
      </c>
      <c r="PH25" s="245" t="s">
        <v>100</v>
      </c>
      <c r="PI25" s="245" t="s">
        <v>99</v>
      </c>
      <c r="PJ25" s="245" t="s">
        <v>100</v>
      </c>
      <c r="PK25" s="245" t="s">
        <v>99</v>
      </c>
      <c r="PL25" s="245" t="s">
        <v>100</v>
      </c>
      <c r="PM25" s="245" t="s">
        <v>99</v>
      </c>
      <c r="PN25" s="245" t="s">
        <v>100</v>
      </c>
      <c r="PO25" s="245" t="s">
        <v>99</v>
      </c>
      <c r="PP25" s="245" t="s">
        <v>100</v>
      </c>
      <c r="PQ25" s="178" t="s">
        <v>99</v>
      </c>
      <c r="PR25" s="178" t="s">
        <v>100</v>
      </c>
      <c r="PS25" s="178" t="s">
        <v>99</v>
      </c>
      <c r="PT25" s="178" t="s">
        <v>100</v>
      </c>
      <c r="PU25" s="178" t="s">
        <v>99</v>
      </c>
      <c r="PV25" s="178" t="s">
        <v>100</v>
      </c>
      <c r="PW25" s="178" t="s">
        <v>99</v>
      </c>
      <c r="PX25" s="178" t="s">
        <v>100</v>
      </c>
      <c r="PY25" s="178" t="s">
        <v>99</v>
      </c>
      <c r="PZ25" s="178" t="s">
        <v>100</v>
      </c>
      <c r="QA25" s="178" t="s">
        <v>99</v>
      </c>
      <c r="QB25" s="178" t="s">
        <v>100</v>
      </c>
      <c r="QC25" s="178" t="s">
        <v>99</v>
      </c>
      <c r="QD25" s="178" t="s">
        <v>100</v>
      </c>
      <c r="QE25" s="178" t="s">
        <v>99</v>
      </c>
      <c r="QF25" s="178" t="s">
        <v>100</v>
      </c>
      <c r="QG25" s="178" t="s">
        <v>99</v>
      </c>
      <c r="QH25" s="178" t="s">
        <v>100</v>
      </c>
      <c r="QI25" s="178" t="s">
        <v>99</v>
      </c>
      <c r="QJ25" s="178" t="s">
        <v>100</v>
      </c>
      <c r="QK25" s="178" t="s">
        <v>99</v>
      </c>
      <c r="QL25" s="178" t="s">
        <v>100</v>
      </c>
      <c r="QM25" s="178" t="s">
        <v>99</v>
      </c>
      <c r="QN25" s="178" t="s">
        <v>100</v>
      </c>
      <c r="QO25" s="178" t="s">
        <v>99</v>
      </c>
      <c r="QP25" s="178" t="s">
        <v>100</v>
      </c>
      <c r="QQ25" s="178" t="s">
        <v>99</v>
      </c>
      <c r="QR25" s="178" t="s">
        <v>100</v>
      </c>
      <c r="QS25" s="178" t="s">
        <v>99</v>
      </c>
      <c r="QT25" s="178" t="s">
        <v>100</v>
      </c>
      <c r="QU25" s="178" t="s">
        <v>99</v>
      </c>
      <c r="QV25" s="178" t="s">
        <v>100</v>
      </c>
      <c r="QW25" s="178" t="s">
        <v>99</v>
      </c>
      <c r="QX25" s="178" t="s">
        <v>100</v>
      </c>
      <c r="QY25" s="178" t="s">
        <v>99</v>
      </c>
      <c r="QZ25" s="178" t="s">
        <v>100</v>
      </c>
      <c r="RA25" s="178" t="s">
        <v>99</v>
      </c>
      <c r="RB25" s="178" t="s">
        <v>100</v>
      </c>
      <c r="RC25" s="178" t="s">
        <v>99</v>
      </c>
      <c r="RD25" s="178" t="s">
        <v>100</v>
      </c>
      <c r="RE25" s="178" t="s">
        <v>99</v>
      </c>
      <c r="RF25" s="178" t="s">
        <v>100</v>
      </c>
      <c r="RG25" s="178" t="s">
        <v>99</v>
      </c>
      <c r="RH25" s="178" t="s">
        <v>100</v>
      </c>
      <c r="RI25" s="178" t="s">
        <v>99</v>
      </c>
      <c r="RJ25" s="178" t="s">
        <v>100</v>
      </c>
      <c r="RK25" s="178" t="s">
        <v>99</v>
      </c>
      <c r="RL25" s="178" t="s">
        <v>100</v>
      </c>
      <c r="RM25" s="178" t="s">
        <v>99</v>
      </c>
      <c r="RN25" s="178" t="s">
        <v>100</v>
      </c>
      <c r="RO25" s="178" t="s">
        <v>99</v>
      </c>
      <c r="RP25" s="178" t="s">
        <v>100</v>
      </c>
      <c r="RQ25" s="178" t="s">
        <v>99</v>
      </c>
      <c r="RR25" s="178" t="s">
        <v>100</v>
      </c>
      <c r="RS25" s="178" t="s">
        <v>99</v>
      </c>
      <c r="RT25" s="178" t="s">
        <v>100</v>
      </c>
      <c r="RU25" s="178" t="s">
        <v>99</v>
      </c>
      <c r="RV25" s="178" t="s">
        <v>100</v>
      </c>
      <c r="RW25" s="178" t="s">
        <v>99</v>
      </c>
      <c r="RX25" s="178" t="s">
        <v>100</v>
      </c>
      <c r="RY25" s="178" t="s">
        <v>99</v>
      </c>
      <c r="RZ25" s="178" t="s">
        <v>100</v>
      </c>
      <c r="SA25" s="178" t="s">
        <v>99</v>
      </c>
      <c r="SB25" s="178" t="s">
        <v>100</v>
      </c>
      <c r="SC25" s="178" t="s">
        <v>99</v>
      </c>
      <c r="SD25" s="178" t="s">
        <v>100</v>
      </c>
      <c r="SE25" s="178" t="s">
        <v>99</v>
      </c>
      <c r="SF25" s="178" t="s">
        <v>100</v>
      </c>
      <c r="SG25" s="178" t="s">
        <v>99</v>
      </c>
      <c r="SH25" s="178" t="s">
        <v>100</v>
      </c>
      <c r="SI25" s="178" t="s">
        <v>99</v>
      </c>
      <c r="SJ25" s="178" t="s">
        <v>100</v>
      </c>
      <c r="SK25" s="178" t="s">
        <v>99</v>
      </c>
      <c r="SL25" s="178" t="s">
        <v>100</v>
      </c>
      <c r="SM25" s="178" t="s">
        <v>99</v>
      </c>
      <c r="SN25" s="178" t="s">
        <v>100</v>
      </c>
      <c r="SO25" s="178" t="s">
        <v>99</v>
      </c>
      <c r="SP25" s="178" t="s">
        <v>100</v>
      </c>
      <c r="SQ25" s="178" t="s">
        <v>99</v>
      </c>
      <c r="SR25" s="178" t="s">
        <v>100</v>
      </c>
      <c r="SS25" s="178" t="s">
        <v>99</v>
      </c>
      <c r="ST25" s="178" t="s">
        <v>100</v>
      </c>
      <c r="SU25" s="178" t="s">
        <v>99</v>
      </c>
      <c r="SV25" s="178" t="s">
        <v>100</v>
      </c>
      <c r="SW25" s="178" t="s">
        <v>99</v>
      </c>
      <c r="SX25" s="178" t="s">
        <v>100</v>
      </c>
      <c r="SY25" s="178" t="s">
        <v>99</v>
      </c>
      <c r="SZ25" s="178" t="s">
        <v>100</v>
      </c>
      <c r="TA25" s="178" t="s">
        <v>99</v>
      </c>
      <c r="TB25" s="178" t="s">
        <v>100</v>
      </c>
      <c r="TC25" s="178" t="s">
        <v>99</v>
      </c>
      <c r="TD25" s="178" t="s">
        <v>100</v>
      </c>
      <c r="TE25" s="178" t="s">
        <v>99</v>
      </c>
      <c r="TF25" s="178" t="s">
        <v>100</v>
      </c>
      <c r="TG25" s="178" t="s">
        <v>99</v>
      </c>
      <c r="TH25" s="178" t="s">
        <v>100</v>
      </c>
      <c r="TI25" s="178" t="s">
        <v>99</v>
      </c>
      <c r="TJ25" s="178" t="s">
        <v>100</v>
      </c>
      <c r="TK25" s="178" t="s">
        <v>99</v>
      </c>
      <c r="TL25" s="178" t="s">
        <v>100</v>
      </c>
      <c r="TM25" s="178" t="s">
        <v>99</v>
      </c>
      <c r="TN25" s="178" t="s">
        <v>100</v>
      </c>
      <c r="TO25" s="178" t="s">
        <v>99</v>
      </c>
      <c r="TP25" s="178" t="s">
        <v>100</v>
      </c>
      <c r="TQ25" s="178" t="s">
        <v>99</v>
      </c>
      <c r="TR25" s="178" t="s">
        <v>100</v>
      </c>
      <c r="TS25" s="178" t="s">
        <v>99</v>
      </c>
      <c r="TT25" s="178" t="s">
        <v>100</v>
      </c>
      <c r="TU25" s="178" t="s">
        <v>99</v>
      </c>
      <c r="TV25" s="178" t="s">
        <v>100</v>
      </c>
      <c r="TW25" s="178" t="s">
        <v>99</v>
      </c>
      <c r="TX25" s="178" t="s">
        <v>100</v>
      </c>
      <c r="TY25" s="178" t="s">
        <v>99</v>
      </c>
      <c r="TZ25" s="178" t="s">
        <v>100</v>
      </c>
      <c r="UA25" s="178" t="s">
        <v>99</v>
      </c>
      <c r="UB25" s="178" t="s">
        <v>100</v>
      </c>
      <c r="UC25" s="178" t="s">
        <v>99</v>
      </c>
      <c r="UD25" s="178" t="s">
        <v>100</v>
      </c>
      <c r="UE25" s="178" t="s">
        <v>99</v>
      </c>
      <c r="UF25" s="178" t="s">
        <v>100</v>
      </c>
      <c r="UG25" s="178" t="s">
        <v>99</v>
      </c>
      <c r="UH25" s="178" t="s">
        <v>100</v>
      </c>
      <c r="UI25" s="178" t="s">
        <v>99</v>
      </c>
      <c r="UJ25" s="178" t="s">
        <v>100</v>
      </c>
      <c r="UK25" s="178" t="s">
        <v>99</v>
      </c>
      <c r="UL25" s="178" t="s">
        <v>100</v>
      </c>
      <c r="UM25" s="178" t="s">
        <v>99</v>
      </c>
      <c r="UN25" s="178" t="s">
        <v>100</v>
      </c>
      <c r="UO25" s="178" t="s">
        <v>99</v>
      </c>
      <c r="UP25" s="178" t="s">
        <v>100</v>
      </c>
      <c r="UQ25" s="178" t="s">
        <v>99</v>
      </c>
      <c r="UR25" s="178" t="s">
        <v>100</v>
      </c>
      <c r="US25" s="178" t="s">
        <v>99</v>
      </c>
      <c r="UT25" s="178" t="s">
        <v>100</v>
      </c>
      <c r="UU25" s="178" t="s">
        <v>99</v>
      </c>
      <c r="UV25" s="178" t="s">
        <v>100</v>
      </c>
      <c r="UW25" s="178" t="s">
        <v>99</v>
      </c>
      <c r="UX25" s="178" t="s">
        <v>100</v>
      </c>
      <c r="UY25" s="178" t="s">
        <v>99</v>
      </c>
      <c r="UZ25" s="178" t="s">
        <v>100</v>
      </c>
      <c r="VA25" s="178" t="s">
        <v>99</v>
      </c>
      <c r="VB25" s="178" t="s">
        <v>100</v>
      </c>
      <c r="VC25" s="178" t="s">
        <v>99</v>
      </c>
      <c r="VD25" s="178" t="s">
        <v>100</v>
      </c>
      <c r="VE25" s="178" t="s">
        <v>99</v>
      </c>
      <c r="VF25" s="178" t="s">
        <v>100</v>
      </c>
      <c r="VG25" s="178" t="s">
        <v>99</v>
      </c>
      <c r="VH25" s="178" t="s">
        <v>100</v>
      </c>
      <c r="VI25" s="178" t="s">
        <v>99</v>
      </c>
      <c r="VJ25" s="178" t="s">
        <v>100</v>
      </c>
      <c r="VK25" s="178" t="s">
        <v>99</v>
      </c>
      <c r="VL25" s="178" t="s">
        <v>100</v>
      </c>
      <c r="VM25" s="178" t="s">
        <v>99</v>
      </c>
      <c r="VN25" s="178" t="s">
        <v>100</v>
      </c>
      <c r="VO25" s="178" t="s">
        <v>99</v>
      </c>
      <c r="VP25" s="178" t="s">
        <v>100</v>
      </c>
      <c r="VQ25" s="178" t="s">
        <v>99</v>
      </c>
      <c r="VR25" s="178" t="s">
        <v>100</v>
      </c>
      <c r="VS25" s="178" t="s">
        <v>99</v>
      </c>
      <c r="VT25" s="178" t="s">
        <v>100</v>
      </c>
      <c r="VU25" s="178" t="s">
        <v>99</v>
      </c>
      <c r="VV25" s="178" t="s">
        <v>100</v>
      </c>
      <c r="VW25" s="178" t="s">
        <v>99</v>
      </c>
      <c r="VX25" s="178" t="s">
        <v>100</v>
      </c>
      <c r="VY25" s="178" t="s">
        <v>99</v>
      </c>
      <c r="VZ25" s="178" t="s">
        <v>100</v>
      </c>
      <c r="WA25" s="178" t="s">
        <v>99</v>
      </c>
      <c r="WB25" s="178" t="s">
        <v>100</v>
      </c>
      <c r="WC25" s="178" t="s">
        <v>99</v>
      </c>
      <c r="WD25" s="178" t="s">
        <v>100</v>
      </c>
      <c r="WE25" s="178" t="s">
        <v>99</v>
      </c>
      <c r="WF25" s="178" t="s">
        <v>100</v>
      </c>
      <c r="WG25" s="178" t="s">
        <v>99</v>
      </c>
      <c r="WH25" s="178" t="s">
        <v>100</v>
      </c>
      <c r="WI25" s="178" t="s">
        <v>99</v>
      </c>
      <c r="WJ25" s="178" t="s">
        <v>100</v>
      </c>
      <c r="WK25" s="178" t="s">
        <v>99</v>
      </c>
      <c r="WL25" s="178" t="s">
        <v>100</v>
      </c>
      <c r="WM25" s="178" t="s">
        <v>99</v>
      </c>
      <c r="WN25" s="178" t="s">
        <v>100</v>
      </c>
      <c r="WO25" s="178" t="s">
        <v>99</v>
      </c>
      <c r="WP25" s="178" t="s">
        <v>100</v>
      </c>
      <c r="WQ25" s="178" t="s">
        <v>99</v>
      </c>
      <c r="WR25" s="178" t="s">
        <v>100</v>
      </c>
      <c r="WS25" s="178" t="s">
        <v>99</v>
      </c>
      <c r="WT25" s="178" t="s">
        <v>100</v>
      </c>
      <c r="WU25" s="178" t="s">
        <v>99</v>
      </c>
      <c r="WV25" s="178" t="s">
        <v>100</v>
      </c>
      <c r="WW25" s="178" t="s">
        <v>99</v>
      </c>
      <c r="WX25" s="178" t="s">
        <v>100</v>
      </c>
      <c r="WY25" s="178" t="s">
        <v>99</v>
      </c>
      <c r="WZ25" s="178" t="s">
        <v>100</v>
      </c>
      <c r="XA25" s="178" t="s">
        <v>99</v>
      </c>
      <c r="XB25" s="178" t="s">
        <v>100</v>
      </c>
      <c r="XC25" s="178" t="s">
        <v>99</v>
      </c>
      <c r="XD25" s="178" t="s">
        <v>100</v>
      </c>
      <c r="XE25" s="178" t="s">
        <v>99</v>
      </c>
      <c r="XF25" s="178" t="s">
        <v>100</v>
      </c>
      <c r="XG25" s="178" t="s">
        <v>99</v>
      </c>
      <c r="XH25" s="178" t="s">
        <v>100</v>
      </c>
      <c r="XI25" s="178" t="s">
        <v>99</v>
      </c>
      <c r="XJ25" s="178" t="s">
        <v>100</v>
      </c>
      <c r="XK25" s="178" t="s">
        <v>99</v>
      </c>
      <c r="XL25" s="178" t="s">
        <v>100</v>
      </c>
      <c r="XM25" s="178" t="s">
        <v>99</v>
      </c>
      <c r="XN25" s="178" t="s">
        <v>100</v>
      </c>
      <c r="XO25" s="178" t="s">
        <v>99</v>
      </c>
      <c r="XP25" s="178" t="s">
        <v>100</v>
      </c>
      <c r="XQ25" s="178" t="s">
        <v>99</v>
      </c>
      <c r="XR25" s="178" t="s">
        <v>100</v>
      </c>
      <c r="XS25" s="178" t="s">
        <v>99</v>
      </c>
      <c r="XT25" s="178" t="s">
        <v>100</v>
      </c>
      <c r="XU25" s="178" t="s">
        <v>99</v>
      </c>
      <c r="XV25" s="178" t="s">
        <v>100</v>
      </c>
      <c r="XW25" s="178" t="s">
        <v>99</v>
      </c>
      <c r="XX25" s="178" t="s">
        <v>100</v>
      </c>
      <c r="XY25" s="178" t="s">
        <v>99</v>
      </c>
      <c r="XZ25" s="178" t="s">
        <v>100</v>
      </c>
      <c r="YA25" s="178" t="s">
        <v>99</v>
      </c>
      <c r="YB25" s="178" t="s">
        <v>100</v>
      </c>
      <c r="YC25" s="178" t="s">
        <v>99</v>
      </c>
      <c r="YD25" s="178" t="s">
        <v>100</v>
      </c>
      <c r="YE25" s="178" t="s">
        <v>99</v>
      </c>
      <c r="YF25" s="178" t="s">
        <v>100</v>
      </c>
      <c r="YG25" s="178" t="s">
        <v>99</v>
      </c>
      <c r="YH25" s="178" t="s">
        <v>100</v>
      </c>
      <c r="YI25" s="178" t="s">
        <v>99</v>
      </c>
      <c r="YJ25" s="178" t="s">
        <v>100</v>
      </c>
      <c r="YK25" s="178" t="s">
        <v>99</v>
      </c>
      <c r="YL25" s="178" t="s">
        <v>100</v>
      </c>
      <c r="YM25" s="178" t="s">
        <v>99</v>
      </c>
      <c r="YN25" s="178" t="s">
        <v>100</v>
      </c>
      <c r="YO25" s="178" t="s">
        <v>99</v>
      </c>
      <c r="YP25" s="178" t="s">
        <v>100</v>
      </c>
      <c r="YQ25" s="178" t="s">
        <v>99</v>
      </c>
      <c r="YR25" s="178" t="s">
        <v>100</v>
      </c>
      <c r="YS25" s="178" t="s">
        <v>99</v>
      </c>
      <c r="YT25" s="178" t="s">
        <v>100</v>
      </c>
      <c r="YU25" s="178" t="s">
        <v>99</v>
      </c>
      <c r="YV25" s="178" t="s">
        <v>100</v>
      </c>
      <c r="YW25" s="178" t="s">
        <v>99</v>
      </c>
      <c r="YX25" s="178" t="s">
        <v>100</v>
      </c>
      <c r="YY25" s="178" t="s">
        <v>99</v>
      </c>
      <c r="YZ25" s="178" t="s">
        <v>100</v>
      </c>
      <c r="ZA25" s="178" t="s">
        <v>99</v>
      </c>
      <c r="ZB25" s="178" t="s">
        <v>100</v>
      </c>
      <c r="ZC25" s="178" t="s">
        <v>99</v>
      </c>
      <c r="ZD25" s="178" t="s">
        <v>100</v>
      </c>
      <c r="ZE25" s="178" t="s">
        <v>99</v>
      </c>
      <c r="ZF25" s="178" t="s">
        <v>100</v>
      </c>
      <c r="ZG25" s="178" t="s">
        <v>99</v>
      </c>
      <c r="ZH25" s="178" t="s">
        <v>100</v>
      </c>
      <c r="ZI25" s="178" t="s">
        <v>99</v>
      </c>
      <c r="ZJ25" s="178" t="s">
        <v>100</v>
      </c>
      <c r="ZK25" s="178" t="s">
        <v>99</v>
      </c>
      <c r="ZL25" s="178" t="s">
        <v>100</v>
      </c>
      <c r="ZM25" s="178" t="s">
        <v>99</v>
      </c>
      <c r="ZN25" s="178" t="s">
        <v>100</v>
      </c>
      <c r="ZO25" s="178" t="s">
        <v>99</v>
      </c>
      <c r="ZP25" s="178" t="s">
        <v>100</v>
      </c>
      <c r="ZQ25" s="178" t="s">
        <v>99</v>
      </c>
      <c r="ZR25" s="178" t="s">
        <v>100</v>
      </c>
      <c r="ZS25" s="178" t="s">
        <v>99</v>
      </c>
      <c r="ZT25" s="178" t="s">
        <v>100</v>
      </c>
      <c r="ZU25" s="178" t="s">
        <v>99</v>
      </c>
      <c r="ZV25" s="178" t="s">
        <v>100</v>
      </c>
      <c r="ZW25" s="178" t="s">
        <v>99</v>
      </c>
      <c r="ZX25" s="178" t="s">
        <v>100</v>
      </c>
      <c r="ZY25" s="178" t="s">
        <v>99</v>
      </c>
      <c r="ZZ25" s="178" t="s">
        <v>100</v>
      </c>
      <c r="AAA25" s="178" t="s">
        <v>99</v>
      </c>
      <c r="AAB25" s="178" t="s">
        <v>100</v>
      </c>
      <c r="AAC25" s="178" t="s">
        <v>99</v>
      </c>
      <c r="AAD25" s="178" t="s">
        <v>100</v>
      </c>
      <c r="AAE25" s="178" t="s">
        <v>99</v>
      </c>
      <c r="AAF25" s="178" t="s">
        <v>100</v>
      </c>
      <c r="AAG25" s="178" t="s">
        <v>99</v>
      </c>
      <c r="AAH25" s="178" t="s">
        <v>100</v>
      </c>
      <c r="AAI25" s="178" t="s">
        <v>99</v>
      </c>
      <c r="AAJ25" s="178" t="s">
        <v>100</v>
      </c>
      <c r="AAK25" s="178" t="s">
        <v>99</v>
      </c>
      <c r="AAL25" s="178" t="s">
        <v>100</v>
      </c>
      <c r="AAM25" s="178" t="s">
        <v>99</v>
      </c>
      <c r="AAN25" s="178" t="s">
        <v>100</v>
      </c>
      <c r="AAO25" s="178" t="s">
        <v>99</v>
      </c>
      <c r="AAP25" s="178" t="s">
        <v>100</v>
      </c>
      <c r="AAQ25" s="178" t="s">
        <v>99</v>
      </c>
      <c r="AAR25" s="178" t="s">
        <v>100</v>
      </c>
      <c r="AAS25" s="178" t="s">
        <v>99</v>
      </c>
      <c r="AAT25" s="178" t="s">
        <v>100</v>
      </c>
      <c r="AAU25" s="178" t="s">
        <v>99</v>
      </c>
      <c r="AAV25" s="178" t="s">
        <v>100</v>
      </c>
      <c r="AAW25" s="178" t="s">
        <v>99</v>
      </c>
      <c r="AAX25" s="178" t="s">
        <v>100</v>
      </c>
      <c r="AAY25" s="178" t="s">
        <v>99</v>
      </c>
      <c r="AAZ25" s="178" t="s">
        <v>100</v>
      </c>
      <c r="ABA25" s="178" t="s">
        <v>99</v>
      </c>
      <c r="ABB25" s="178" t="s">
        <v>100</v>
      </c>
      <c r="ABC25" s="178" t="s">
        <v>99</v>
      </c>
      <c r="ABD25" s="178" t="s">
        <v>100</v>
      </c>
      <c r="ABE25" s="336"/>
      <c r="ABF25" s="336"/>
      <c r="ABG25" s="336"/>
      <c r="ABH25" s="336"/>
      <c r="ABI25" s="336"/>
      <c r="ABJ25" s="336"/>
      <c r="ABK25" s="336"/>
      <c r="ABL25" s="336"/>
      <c r="ABM25" s="336"/>
      <c r="ABN25" s="336"/>
      <c r="ABO25" s="336"/>
      <c r="ABP25" s="336"/>
      <c r="ABQ25" s="336"/>
      <c r="ABR25" s="336"/>
      <c r="ABS25" s="336"/>
      <c r="ABT25" s="336"/>
      <c r="ABU25" s="336"/>
      <c r="ABV25" s="336"/>
      <c r="ABW25" s="336"/>
      <c r="ABX25" s="336"/>
      <c r="ABY25" s="336"/>
      <c r="ABZ25" s="336"/>
      <c r="ACA25" s="336"/>
      <c r="ACB25" s="336"/>
      <c r="ACC25" s="336"/>
      <c r="ACD25" s="336"/>
      <c r="ACE25" s="336"/>
      <c r="ACF25" s="336"/>
      <c r="ACG25" s="336"/>
      <c r="ACH25" s="336"/>
      <c r="ACI25" s="336"/>
      <c r="ACJ25" s="336"/>
      <c r="ACK25" s="336"/>
      <c r="ACL25" s="336"/>
      <c r="ACM25" s="336"/>
      <c r="ACN25" s="336"/>
      <c r="ACO25" s="336"/>
      <c r="ACP25" s="336"/>
      <c r="ACQ25" s="336"/>
      <c r="ACR25" s="336"/>
      <c r="ACS25" s="336"/>
      <c r="ACT25" s="336"/>
      <c r="ACU25" s="336"/>
      <c r="ACV25" s="336"/>
      <c r="ACW25" s="336"/>
      <c r="ACX25" s="336"/>
      <c r="ACY25" s="336"/>
      <c r="ACZ25" s="336"/>
      <c r="ADA25" s="336"/>
      <c r="ADB25" s="336"/>
      <c r="ADC25" s="336"/>
      <c r="ADD25" s="336"/>
      <c r="ADE25" s="336"/>
      <c r="ADF25" s="336"/>
      <c r="ADG25" s="336"/>
      <c r="ADH25" s="336"/>
      <c r="ADI25" s="336"/>
      <c r="ADJ25" s="336"/>
      <c r="ADK25" s="336"/>
      <c r="ADL25" s="336"/>
      <c r="ADM25" s="336"/>
      <c r="ADN25" s="336"/>
      <c r="ADO25" s="336"/>
      <c r="ADP25" s="336"/>
      <c r="ADQ25" s="336"/>
      <c r="ADR25" s="336"/>
      <c r="ADS25" s="336"/>
      <c r="ADT25" s="336"/>
      <c r="ADU25" s="336"/>
      <c r="ADV25" s="336"/>
      <c r="ADW25" s="336"/>
      <c r="ADX25" s="336"/>
      <c r="ADY25" s="336"/>
      <c r="ADZ25" s="336"/>
      <c r="AEA25" s="336"/>
      <c r="AEB25" s="336"/>
      <c r="AEC25" s="336"/>
      <c r="AED25" s="336"/>
      <c r="AEE25" s="336"/>
      <c r="AEF25" s="336"/>
      <c r="AEG25" s="336"/>
      <c r="AEH25" s="336"/>
      <c r="AEI25" s="336"/>
      <c r="AEJ25" s="336"/>
      <c r="AEK25" s="336"/>
      <c r="AEL25" s="336"/>
      <c r="AEM25" s="336"/>
      <c r="AEN25" s="336"/>
      <c r="AEO25" s="336"/>
      <c r="AEP25" s="336"/>
      <c r="AEQ25" s="336"/>
      <c r="AER25" s="336"/>
      <c r="AES25" s="336"/>
      <c r="AET25" s="336"/>
      <c r="AEU25" s="336"/>
      <c r="AEV25" s="336"/>
      <c r="AEW25" s="336"/>
      <c r="AEX25" s="336"/>
      <c r="AEY25" s="336"/>
      <c r="AEZ25" s="336"/>
      <c r="AFA25" s="336"/>
      <c r="AFB25" s="336"/>
      <c r="AFC25" s="336"/>
      <c r="AFD25" s="336"/>
      <c r="AFE25" s="336"/>
      <c r="AFF25" s="336"/>
      <c r="AFG25" s="336"/>
      <c r="AFH25" s="336"/>
      <c r="AFI25" s="336"/>
      <c r="AFJ25" s="336"/>
      <c r="AFK25" s="336"/>
      <c r="AFL25" s="336"/>
      <c r="AFM25" s="336"/>
      <c r="AFN25" s="336"/>
      <c r="AFO25" s="336"/>
      <c r="AFP25" s="336"/>
      <c r="AFQ25" s="336"/>
      <c r="AFR25" s="336"/>
      <c r="AFS25" s="336"/>
      <c r="AFT25" s="336"/>
      <c r="AFU25" s="336"/>
      <c r="AFV25" s="336"/>
      <c r="AFW25" s="336"/>
      <c r="AFX25" s="336"/>
      <c r="AFY25" s="336"/>
      <c r="AFZ25" s="336"/>
      <c r="AGA25" s="336"/>
      <c r="AGB25" s="336"/>
      <c r="AGC25" s="336"/>
      <c r="AGD25" s="336"/>
      <c r="AGE25" s="336"/>
      <c r="AGF25" s="336"/>
      <c r="AGG25" s="336"/>
      <c r="AGH25" s="336"/>
      <c r="AGI25" s="336"/>
      <c r="AGJ25" s="336"/>
      <c r="AGK25" s="336"/>
      <c r="AGL25" s="336"/>
      <c r="AGM25" s="336"/>
      <c r="AGN25" s="336"/>
      <c r="AGO25" s="336"/>
      <c r="AGP25" s="336"/>
      <c r="AGQ25" s="336"/>
      <c r="AGR25" s="336"/>
      <c r="AGS25" s="336"/>
      <c r="AGT25" s="336"/>
      <c r="AGU25" s="336"/>
      <c r="AGV25" s="336"/>
      <c r="AGW25" s="336"/>
      <c r="AGX25" s="336"/>
      <c r="AGY25" s="336"/>
      <c r="AGZ25" s="336"/>
      <c r="AHA25" s="336"/>
      <c r="AHB25" s="336"/>
      <c r="AHC25" s="336"/>
      <c r="AHD25" s="336"/>
      <c r="AHE25" s="336"/>
      <c r="AHF25" s="336"/>
      <c r="AHG25" s="336"/>
      <c r="AHH25" s="336"/>
      <c r="AHI25" s="336"/>
      <c r="AHJ25" s="336"/>
      <c r="AHK25" s="336"/>
      <c r="AHL25" s="336"/>
      <c r="AHM25" s="336"/>
      <c r="AHN25" s="336"/>
      <c r="AHO25" s="336"/>
      <c r="AHP25" s="336"/>
      <c r="AHQ25" s="336"/>
      <c r="AHR25" s="336"/>
      <c r="AHS25" s="336"/>
      <c r="AHT25" s="336"/>
      <c r="AHU25" s="336"/>
      <c r="AHV25" s="336"/>
      <c r="AHW25" s="336"/>
      <c r="AHX25" s="336"/>
      <c r="AHY25" s="336"/>
      <c r="AHZ25" s="336"/>
      <c r="AIA25" s="336"/>
      <c r="AIB25" s="336"/>
      <c r="AIC25" s="340"/>
    </row>
    <row r="26" spans="1:913" s="170" customFormat="1">
      <c r="A26" s="172"/>
      <c r="B26" s="178" t="s">
        <v>101</v>
      </c>
      <c r="C26" s="345">
        <v>0</v>
      </c>
      <c r="D26" s="345">
        <v>0</v>
      </c>
      <c r="E26" s="345">
        <f>C44</f>
        <v>0</v>
      </c>
      <c r="F26" s="345">
        <f>D44</f>
        <v>0</v>
      </c>
      <c r="G26" s="345">
        <f t="shared" ref="G26:BR26" si="2659">E44</f>
        <v>0</v>
      </c>
      <c r="H26" s="345">
        <f t="shared" si="2659"/>
        <v>0</v>
      </c>
      <c r="I26" s="345">
        <f t="shared" si="2659"/>
        <v>0</v>
      </c>
      <c r="J26" s="345">
        <f t="shared" si="2659"/>
        <v>0</v>
      </c>
      <c r="K26" s="345">
        <f t="shared" si="2659"/>
        <v>0</v>
      </c>
      <c r="L26" s="345">
        <f t="shared" si="2659"/>
        <v>0</v>
      </c>
      <c r="M26" s="345">
        <f t="shared" si="2659"/>
        <v>0</v>
      </c>
      <c r="N26" s="345">
        <f t="shared" si="2659"/>
        <v>0</v>
      </c>
      <c r="O26" s="345">
        <f t="shared" si="2659"/>
        <v>0</v>
      </c>
      <c r="P26" s="345">
        <f t="shared" si="2659"/>
        <v>0</v>
      </c>
      <c r="Q26" s="345">
        <f t="shared" si="2659"/>
        <v>0</v>
      </c>
      <c r="R26" s="345">
        <f t="shared" si="2659"/>
        <v>0</v>
      </c>
      <c r="S26" s="345">
        <f t="shared" si="2659"/>
        <v>0</v>
      </c>
      <c r="T26" s="345">
        <f t="shared" si="2659"/>
        <v>0</v>
      </c>
      <c r="U26" s="345">
        <f t="shared" si="2659"/>
        <v>0</v>
      </c>
      <c r="V26" s="345">
        <f t="shared" si="2659"/>
        <v>0</v>
      </c>
      <c r="W26" s="345">
        <f t="shared" si="2659"/>
        <v>0</v>
      </c>
      <c r="X26" s="345">
        <f t="shared" si="2659"/>
        <v>0</v>
      </c>
      <c r="Y26" s="345">
        <f t="shared" si="2659"/>
        <v>0</v>
      </c>
      <c r="Z26" s="345">
        <f t="shared" si="2659"/>
        <v>0</v>
      </c>
      <c r="AA26" s="345">
        <f t="shared" si="2659"/>
        <v>0</v>
      </c>
      <c r="AB26" s="345">
        <f t="shared" si="2659"/>
        <v>0</v>
      </c>
      <c r="AC26" s="345">
        <f t="shared" si="2659"/>
        <v>0</v>
      </c>
      <c r="AD26" s="345">
        <f t="shared" si="2659"/>
        <v>0</v>
      </c>
      <c r="AE26" s="345">
        <f>AC44</f>
        <v>0</v>
      </c>
      <c r="AF26" s="345">
        <f>AD44</f>
        <v>0</v>
      </c>
      <c r="AG26" s="345">
        <f t="shared" si="2659"/>
        <v>0</v>
      </c>
      <c r="AH26" s="345">
        <f t="shared" si="2659"/>
        <v>0</v>
      </c>
      <c r="AI26" s="345">
        <f t="shared" si="2659"/>
        <v>0</v>
      </c>
      <c r="AJ26" s="345">
        <f t="shared" si="2659"/>
        <v>0</v>
      </c>
      <c r="AK26" s="345">
        <f t="shared" si="2659"/>
        <v>0</v>
      </c>
      <c r="AL26" s="345">
        <f t="shared" si="2659"/>
        <v>0</v>
      </c>
      <c r="AM26" s="345">
        <f t="shared" si="2659"/>
        <v>0</v>
      </c>
      <c r="AN26" s="345">
        <f t="shared" si="2659"/>
        <v>0</v>
      </c>
      <c r="AO26" s="345">
        <f t="shared" si="2659"/>
        <v>0</v>
      </c>
      <c r="AP26" s="345">
        <f t="shared" si="2659"/>
        <v>0</v>
      </c>
      <c r="AQ26" s="345">
        <f t="shared" si="2659"/>
        <v>0</v>
      </c>
      <c r="AR26" s="345">
        <f t="shared" si="2659"/>
        <v>0</v>
      </c>
      <c r="AS26" s="345">
        <f t="shared" si="2659"/>
        <v>0</v>
      </c>
      <c r="AT26" s="345">
        <f t="shared" si="2659"/>
        <v>0</v>
      </c>
      <c r="AU26" s="345">
        <f t="shared" si="2659"/>
        <v>0</v>
      </c>
      <c r="AV26" s="345">
        <f t="shared" si="2659"/>
        <v>0</v>
      </c>
      <c r="AW26" s="345">
        <f t="shared" si="2659"/>
        <v>0</v>
      </c>
      <c r="AX26" s="345">
        <f t="shared" si="2659"/>
        <v>0</v>
      </c>
      <c r="AY26" s="345">
        <f t="shared" si="2659"/>
        <v>0</v>
      </c>
      <c r="AZ26" s="345">
        <f t="shared" si="2659"/>
        <v>0</v>
      </c>
      <c r="BA26" s="345">
        <f t="shared" si="2659"/>
        <v>0</v>
      </c>
      <c r="BB26" s="345">
        <f t="shared" si="2659"/>
        <v>0</v>
      </c>
      <c r="BC26" s="345">
        <f t="shared" si="2659"/>
        <v>0</v>
      </c>
      <c r="BD26" s="345">
        <f t="shared" si="2659"/>
        <v>0</v>
      </c>
      <c r="BE26" s="345">
        <f t="shared" si="2659"/>
        <v>0</v>
      </c>
      <c r="BF26" s="345">
        <f t="shared" si="2659"/>
        <v>0</v>
      </c>
      <c r="BG26" s="345">
        <f t="shared" si="2659"/>
        <v>0</v>
      </c>
      <c r="BH26" s="345">
        <f t="shared" si="2659"/>
        <v>0</v>
      </c>
      <c r="BI26" s="345">
        <f t="shared" si="2659"/>
        <v>0</v>
      </c>
      <c r="BJ26" s="345">
        <f t="shared" si="2659"/>
        <v>0</v>
      </c>
      <c r="BK26" s="345">
        <f t="shared" si="2659"/>
        <v>0</v>
      </c>
      <c r="BL26" s="345">
        <f t="shared" si="2659"/>
        <v>0</v>
      </c>
      <c r="BM26" s="345">
        <f t="shared" si="2659"/>
        <v>0</v>
      </c>
      <c r="BN26" s="345">
        <f t="shared" si="2659"/>
        <v>0</v>
      </c>
      <c r="BO26" s="345">
        <f t="shared" si="2659"/>
        <v>0</v>
      </c>
      <c r="BP26" s="345">
        <f t="shared" si="2659"/>
        <v>0</v>
      </c>
      <c r="BQ26" s="345">
        <f t="shared" si="2659"/>
        <v>0</v>
      </c>
      <c r="BR26" s="345">
        <f t="shared" si="2659"/>
        <v>0</v>
      </c>
      <c r="BS26" s="345">
        <f t="shared" ref="BS26:ED26" si="2660">BQ44</f>
        <v>0</v>
      </c>
      <c r="BT26" s="345">
        <f t="shared" si="2660"/>
        <v>0</v>
      </c>
      <c r="BU26" s="345">
        <f t="shared" si="2660"/>
        <v>0</v>
      </c>
      <c r="BV26" s="345">
        <f t="shared" si="2660"/>
        <v>0</v>
      </c>
      <c r="BW26" s="345">
        <f t="shared" si="2660"/>
        <v>0</v>
      </c>
      <c r="BX26" s="345">
        <f t="shared" si="2660"/>
        <v>0</v>
      </c>
      <c r="BY26" s="345">
        <f t="shared" si="2660"/>
        <v>0</v>
      </c>
      <c r="BZ26" s="345">
        <f t="shared" si="2660"/>
        <v>0</v>
      </c>
      <c r="CA26" s="345">
        <f t="shared" si="2660"/>
        <v>0</v>
      </c>
      <c r="CB26" s="345">
        <f t="shared" si="2660"/>
        <v>0</v>
      </c>
      <c r="CC26" s="345">
        <f t="shared" si="2660"/>
        <v>0</v>
      </c>
      <c r="CD26" s="345">
        <f t="shared" si="2660"/>
        <v>0</v>
      </c>
      <c r="CE26" s="345">
        <f t="shared" si="2660"/>
        <v>0</v>
      </c>
      <c r="CF26" s="345">
        <f t="shared" si="2660"/>
        <v>0</v>
      </c>
      <c r="CG26" s="345">
        <f t="shared" si="2660"/>
        <v>0</v>
      </c>
      <c r="CH26" s="345">
        <f t="shared" si="2660"/>
        <v>0</v>
      </c>
      <c r="CI26" s="345">
        <f t="shared" si="2660"/>
        <v>0</v>
      </c>
      <c r="CJ26" s="345">
        <f t="shared" si="2660"/>
        <v>0</v>
      </c>
      <c r="CK26" s="345">
        <f t="shared" si="2660"/>
        <v>0</v>
      </c>
      <c r="CL26" s="345">
        <f t="shared" si="2660"/>
        <v>0</v>
      </c>
      <c r="CM26" s="345">
        <f t="shared" si="2660"/>
        <v>0</v>
      </c>
      <c r="CN26" s="345">
        <f t="shared" si="2660"/>
        <v>0</v>
      </c>
      <c r="CO26" s="345">
        <f t="shared" si="2660"/>
        <v>0</v>
      </c>
      <c r="CP26" s="345">
        <f t="shared" si="2660"/>
        <v>0</v>
      </c>
      <c r="CQ26" s="345">
        <f t="shared" si="2660"/>
        <v>0</v>
      </c>
      <c r="CR26" s="345">
        <f t="shared" si="2660"/>
        <v>0</v>
      </c>
      <c r="CS26" s="345">
        <f t="shared" si="2660"/>
        <v>0</v>
      </c>
      <c r="CT26" s="345">
        <f t="shared" si="2660"/>
        <v>0</v>
      </c>
      <c r="CU26" s="345">
        <f t="shared" si="2660"/>
        <v>0</v>
      </c>
      <c r="CV26" s="345">
        <f t="shared" si="2660"/>
        <v>0</v>
      </c>
      <c r="CW26" s="345">
        <f t="shared" si="2660"/>
        <v>0</v>
      </c>
      <c r="CX26" s="345">
        <f t="shared" si="2660"/>
        <v>0</v>
      </c>
      <c r="CY26" s="345">
        <f t="shared" si="2660"/>
        <v>0</v>
      </c>
      <c r="CZ26" s="345">
        <f t="shared" si="2660"/>
        <v>0</v>
      </c>
      <c r="DA26" s="345">
        <f t="shared" si="2660"/>
        <v>0</v>
      </c>
      <c r="DB26" s="345">
        <f t="shared" si="2660"/>
        <v>0</v>
      </c>
      <c r="DC26" s="345">
        <f t="shared" si="2660"/>
        <v>0</v>
      </c>
      <c r="DD26" s="345">
        <f t="shared" si="2660"/>
        <v>0</v>
      </c>
      <c r="DE26" s="345">
        <f t="shared" si="2660"/>
        <v>0</v>
      </c>
      <c r="DF26" s="345">
        <f t="shared" si="2660"/>
        <v>0</v>
      </c>
      <c r="DG26" s="345">
        <f t="shared" si="2660"/>
        <v>0</v>
      </c>
      <c r="DH26" s="345">
        <f t="shared" si="2660"/>
        <v>0</v>
      </c>
      <c r="DI26" s="345">
        <f t="shared" si="2660"/>
        <v>0</v>
      </c>
      <c r="DJ26" s="345">
        <f t="shared" si="2660"/>
        <v>0</v>
      </c>
      <c r="DK26" s="345">
        <f t="shared" si="2660"/>
        <v>0</v>
      </c>
      <c r="DL26" s="345">
        <f t="shared" si="2660"/>
        <v>0</v>
      </c>
      <c r="DM26" s="345">
        <f t="shared" si="2660"/>
        <v>0</v>
      </c>
      <c r="DN26" s="345">
        <f t="shared" si="2660"/>
        <v>0</v>
      </c>
      <c r="DO26" s="345">
        <f t="shared" si="2660"/>
        <v>0</v>
      </c>
      <c r="DP26" s="345">
        <f t="shared" si="2660"/>
        <v>0</v>
      </c>
      <c r="DQ26" s="345">
        <f t="shared" si="2660"/>
        <v>0</v>
      </c>
      <c r="DR26" s="345">
        <f t="shared" si="2660"/>
        <v>0</v>
      </c>
      <c r="DS26" s="345">
        <f t="shared" si="2660"/>
        <v>0</v>
      </c>
      <c r="DT26" s="345">
        <f t="shared" si="2660"/>
        <v>0</v>
      </c>
      <c r="DU26" s="345">
        <f t="shared" si="2660"/>
        <v>0</v>
      </c>
      <c r="DV26" s="345">
        <f t="shared" si="2660"/>
        <v>0</v>
      </c>
      <c r="DW26" s="345">
        <v>905402</v>
      </c>
      <c r="DX26" s="345">
        <v>778864</v>
      </c>
      <c r="DY26" s="345">
        <f t="shared" si="2660"/>
        <v>0</v>
      </c>
      <c r="DZ26" s="345">
        <f t="shared" si="2660"/>
        <v>0</v>
      </c>
      <c r="EA26" s="345">
        <f t="shared" si="2660"/>
        <v>0</v>
      </c>
      <c r="EB26" s="345">
        <f t="shared" si="2660"/>
        <v>0</v>
      </c>
      <c r="EC26" s="345">
        <f t="shared" si="2660"/>
        <v>0</v>
      </c>
      <c r="ED26" s="345">
        <f t="shared" si="2660"/>
        <v>0</v>
      </c>
      <c r="EE26" s="345">
        <f t="shared" ref="EE26:GP26" si="2661">EC44</f>
        <v>0</v>
      </c>
      <c r="EF26" s="345">
        <f t="shared" si="2661"/>
        <v>0</v>
      </c>
      <c r="EG26" s="345">
        <f t="shared" si="2661"/>
        <v>0</v>
      </c>
      <c r="EH26" s="345">
        <f t="shared" si="2661"/>
        <v>0</v>
      </c>
      <c r="EI26" s="345">
        <f t="shared" si="2661"/>
        <v>0</v>
      </c>
      <c r="EJ26" s="345">
        <f t="shared" si="2661"/>
        <v>0</v>
      </c>
      <c r="EK26" s="345">
        <v>909618</v>
      </c>
      <c r="EL26" s="345">
        <v>782767</v>
      </c>
      <c r="EM26" s="345">
        <f t="shared" si="2661"/>
        <v>0</v>
      </c>
      <c r="EN26" s="345">
        <f t="shared" si="2661"/>
        <v>0</v>
      </c>
      <c r="EO26" s="345">
        <f t="shared" si="2661"/>
        <v>0</v>
      </c>
      <c r="EP26" s="345">
        <f t="shared" si="2661"/>
        <v>0</v>
      </c>
      <c r="EQ26" s="345">
        <f t="shared" si="2661"/>
        <v>0</v>
      </c>
      <c r="ER26" s="345">
        <f t="shared" si="2661"/>
        <v>0</v>
      </c>
      <c r="ES26" s="345">
        <f t="shared" si="2661"/>
        <v>0</v>
      </c>
      <c r="ET26" s="345">
        <f t="shared" si="2661"/>
        <v>0</v>
      </c>
      <c r="EU26" s="345">
        <f t="shared" si="2661"/>
        <v>0</v>
      </c>
      <c r="EV26" s="345">
        <f t="shared" si="2661"/>
        <v>0</v>
      </c>
      <c r="EW26" s="345">
        <f t="shared" si="2661"/>
        <v>0</v>
      </c>
      <c r="EX26" s="345">
        <f t="shared" si="2661"/>
        <v>0</v>
      </c>
      <c r="EY26" s="345">
        <v>914275</v>
      </c>
      <c r="EZ26" s="345">
        <v>787197</v>
      </c>
      <c r="FA26" s="345">
        <f t="shared" si="2661"/>
        <v>0</v>
      </c>
      <c r="FB26" s="345">
        <f t="shared" si="2661"/>
        <v>0</v>
      </c>
      <c r="FC26" s="345">
        <f t="shared" si="2661"/>
        <v>0</v>
      </c>
      <c r="FD26" s="345">
        <f t="shared" si="2661"/>
        <v>0</v>
      </c>
      <c r="FE26" s="345">
        <f t="shared" si="2661"/>
        <v>0</v>
      </c>
      <c r="FF26" s="345">
        <f t="shared" si="2661"/>
        <v>0</v>
      </c>
      <c r="FG26" s="345">
        <f t="shared" si="2661"/>
        <v>0</v>
      </c>
      <c r="FH26" s="345">
        <f t="shared" si="2661"/>
        <v>0</v>
      </c>
      <c r="FI26" s="345">
        <f t="shared" si="2661"/>
        <v>0</v>
      </c>
      <c r="FJ26" s="345">
        <f t="shared" si="2661"/>
        <v>0</v>
      </c>
      <c r="FK26" s="345">
        <f t="shared" si="2661"/>
        <v>0</v>
      </c>
      <c r="FL26" s="345">
        <f t="shared" si="2661"/>
        <v>0</v>
      </c>
      <c r="FM26" s="345">
        <v>920271</v>
      </c>
      <c r="FN26" s="345">
        <v>792958</v>
      </c>
      <c r="FO26" s="345">
        <f t="shared" si="2661"/>
        <v>0</v>
      </c>
      <c r="FP26" s="345">
        <f t="shared" si="2661"/>
        <v>0</v>
      </c>
      <c r="FQ26" s="345">
        <f t="shared" si="2661"/>
        <v>0</v>
      </c>
      <c r="FR26" s="345">
        <f t="shared" si="2661"/>
        <v>0</v>
      </c>
      <c r="FS26" s="345">
        <f t="shared" si="2661"/>
        <v>0</v>
      </c>
      <c r="FT26" s="345">
        <f t="shared" si="2661"/>
        <v>0</v>
      </c>
      <c r="FU26" s="345">
        <f t="shared" si="2661"/>
        <v>0</v>
      </c>
      <c r="FV26" s="345">
        <f t="shared" si="2661"/>
        <v>0</v>
      </c>
      <c r="FW26" s="345">
        <f t="shared" si="2661"/>
        <v>0</v>
      </c>
      <c r="FX26" s="345">
        <f t="shared" si="2661"/>
        <v>0</v>
      </c>
      <c r="FY26" s="345">
        <f t="shared" si="2661"/>
        <v>0</v>
      </c>
      <c r="FZ26" s="345">
        <f t="shared" si="2661"/>
        <v>0</v>
      </c>
      <c r="GA26" s="345">
        <f t="shared" si="2661"/>
        <v>0</v>
      </c>
      <c r="GB26" s="345">
        <f t="shared" si="2661"/>
        <v>0</v>
      </c>
      <c r="GC26" s="345">
        <f t="shared" si="2661"/>
        <v>0</v>
      </c>
      <c r="GD26" s="345">
        <f t="shared" si="2661"/>
        <v>0</v>
      </c>
      <c r="GE26" s="345">
        <f t="shared" si="2661"/>
        <v>0</v>
      </c>
      <c r="GF26" s="345">
        <f t="shared" si="2661"/>
        <v>0</v>
      </c>
      <c r="GG26" s="345">
        <f t="shared" si="2661"/>
        <v>0</v>
      </c>
      <c r="GH26" s="345">
        <f t="shared" si="2661"/>
        <v>0</v>
      </c>
      <c r="GI26" s="345">
        <f t="shared" si="2661"/>
        <v>0</v>
      </c>
      <c r="GJ26" s="345">
        <f t="shared" si="2661"/>
        <v>0</v>
      </c>
      <c r="GK26" s="345">
        <f t="shared" si="2661"/>
        <v>0</v>
      </c>
      <c r="GL26" s="345">
        <f t="shared" si="2661"/>
        <v>0</v>
      </c>
      <c r="GM26" s="345">
        <f t="shared" si="2661"/>
        <v>0</v>
      </c>
      <c r="GN26" s="345">
        <f t="shared" si="2661"/>
        <v>0</v>
      </c>
      <c r="GO26" s="345">
        <f t="shared" si="2661"/>
        <v>0</v>
      </c>
      <c r="GP26" s="345">
        <f t="shared" si="2661"/>
        <v>0</v>
      </c>
      <c r="GQ26" s="345">
        <f t="shared" ref="GQ26:JB26" si="2662">GO44</f>
        <v>0</v>
      </c>
      <c r="GR26" s="345">
        <f t="shared" si="2662"/>
        <v>0</v>
      </c>
      <c r="GS26" s="345">
        <f t="shared" si="2662"/>
        <v>0</v>
      </c>
      <c r="GT26" s="345">
        <f t="shared" si="2662"/>
        <v>0</v>
      </c>
      <c r="GU26" s="345">
        <f t="shared" si="2662"/>
        <v>0</v>
      </c>
      <c r="GV26" s="345">
        <f t="shared" si="2662"/>
        <v>0</v>
      </c>
      <c r="GW26" s="345">
        <f t="shared" si="2662"/>
        <v>0</v>
      </c>
      <c r="GX26" s="345">
        <f t="shared" si="2662"/>
        <v>0</v>
      </c>
      <c r="GY26" s="345">
        <f t="shared" si="2662"/>
        <v>0</v>
      </c>
      <c r="GZ26" s="345">
        <f t="shared" si="2662"/>
        <v>0</v>
      </c>
      <c r="HA26" s="345">
        <f t="shared" si="2662"/>
        <v>0</v>
      </c>
      <c r="HB26" s="345">
        <f t="shared" si="2662"/>
        <v>0</v>
      </c>
      <c r="HC26" s="345">
        <f t="shared" si="2662"/>
        <v>0</v>
      </c>
      <c r="HD26" s="345">
        <f t="shared" si="2662"/>
        <v>0</v>
      </c>
      <c r="HE26" s="345">
        <f t="shared" si="2662"/>
        <v>0</v>
      </c>
      <c r="HF26" s="345">
        <f t="shared" si="2662"/>
        <v>0</v>
      </c>
      <c r="HG26" s="345">
        <f t="shared" si="2662"/>
        <v>0</v>
      </c>
      <c r="HH26" s="345">
        <f t="shared" si="2662"/>
        <v>0</v>
      </c>
      <c r="HI26" s="345">
        <f t="shared" si="2662"/>
        <v>0</v>
      </c>
      <c r="HJ26" s="345">
        <f t="shared" si="2662"/>
        <v>0</v>
      </c>
      <c r="HK26" s="345">
        <f t="shared" si="2662"/>
        <v>0</v>
      </c>
      <c r="HL26" s="345">
        <f t="shared" si="2662"/>
        <v>0</v>
      </c>
      <c r="HM26" s="345">
        <f t="shared" si="2662"/>
        <v>0</v>
      </c>
      <c r="HN26" s="345">
        <f t="shared" si="2662"/>
        <v>0</v>
      </c>
      <c r="HO26" s="345">
        <f t="shared" si="2662"/>
        <v>0</v>
      </c>
      <c r="HP26" s="345">
        <f t="shared" si="2662"/>
        <v>0</v>
      </c>
      <c r="HQ26" s="345">
        <f t="shared" si="2662"/>
        <v>0</v>
      </c>
      <c r="HR26" s="345">
        <f t="shared" si="2662"/>
        <v>0</v>
      </c>
      <c r="HS26" s="345">
        <f t="shared" si="2662"/>
        <v>0</v>
      </c>
      <c r="HT26" s="345">
        <f t="shared" si="2662"/>
        <v>0</v>
      </c>
      <c r="HU26" s="345">
        <f t="shared" si="2662"/>
        <v>0</v>
      </c>
      <c r="HV26" s="345">
        <f t="shared" si="2662"/>
        <v>0</v>
      </c>
      <c r="HW26" s="345">
        <f t="shared" si="2662"/>
        <v>0</v>
      </c>
      <c r="HX26" s="345">
        <f t="shared" si="2662"/>
        <v>0</v>
      </c>
      <c r="HY26" s="345">
        <f t="shared" si="2662"/>
        <v>0</v>
      </c>
      <c r="HZ26" s="345">
        <f t="shared" si="2662"/>
        <v>0</v>
      </c>
      <c r="IA26" s="345">
        <f t="shared" si="2662"/>
        <v>0</v>
      </c>
      <c r="IB26" s="345">
        <f t="shared" si="2662"/>
        <v>0</v>
      </c>
      <c r="IC26" s="345">
        <f t="shared" si="2662"/>
        <v>0</v>
      </c>
      <c r="ID26" s="345">
        <f t="shared" si="2662"/>
        <v>0</v>
      </c>
      <c r="IE26" s="345">
        <f t="shared" si="2662"/>
        <v>0</v>
      </c>
      <c r="IF26" s="345">
        <f t="shared" si="2662"/>
        <v>0</v>
      </c>
      <c r="IG26" s="345">
        <f t="shared" si="2662"/>
        <v>0</v>
      </c>
      <c r="IH26" s="345">
        <f t="shared" si="2662"/>
        <v>0</v>
      </c>
      <c r="II26" s="345">
        <f t="shared" si="2662"/>
        <v>0</v>
      </c>
      <c r="IJ26" s="345">
        <f t="shared" si="2662"/>
        <v>0</v>
      </c>
      <c r="IK26" s="345">
        <f t="shared" si="2662"/>
        <v>0</v>
      </c>
      <c r="IL26" s="345">
        <f t="shared" si="2662"/>
        <v>0</v>
      </c>
      <c r="IM26" s="345">
        <f t="shared" si="2662"/>
        <v>0</v>
      </c>
      <c r="IN26" s="345">
        <f t="shared" si="2662"/>
        <v>0</v>
      </c>
      <c r="IO26" s="345">
        <f t="shared" si="2662"/>
        <v>0</v>
      </c>
      <c r="IP26" s="345">
        <f t="shared" si="2662"/>
        <v>0</v>
      </c>
      <c r="IQ26" s="345">
        <f t="shared" si="2662"/>
        <v>0</v>
      </c>
      <c r="IR26" s="345">
        <f t="shared" si="2662"/>
        <v>0</v>
      </c>
      <c r="IS26" s="345">
        <f t="shared" si="2662"/>
        <v>0</v>
      </c>
      <c r="IT26" s="345">
        <f t="shared" si="2662"/>
        <v>0</v>
      </c>
      <c r="IU26" s="345">
        <f t="shared" si="2662"/>
        <v>0</v>
      </c>
      <c r="IV26" s="345">
        <f t="shared" si="2662"/>
        <v>0</v>
      </c>
      <c r="IW26" s="345">
        <f t="shared" si="2662"/>
        <v>0</v>
      </c>
      <c r="IX26" s="345">
        <f t="shared" si="2662"/>
        <v>0</v>
      </c>
      <c r="IY26" s="345">
        <f t="shared" si="2662"/>
        <v>0</v>
      </c>
      <c r="IZ26" s="345">
        <f t="shared" si="2662"/>
        <v>0</v>
      </c>
      <c r="JA26" s="345">
        <f t="shared" si="2662"/>
        <v>0</v>
      </c>
      <c r="JB26" s="345">
        <f t="shared" si="2662"/>
        <v>0</v>
      </c>
      <c r="JC26" s="345">
        <f t="shared" ref="JC26:LN26" si="2663">JA44</f>
        <v>0</v>
      </c>
      <c r="JD26" s="345">
        <f t="shared" si="2663"/>
        <v>0</v>
      </c>
      <c r="JE26" s="345">
        <f t="shared" si="2663"/>
        <v>0</v>
      </c>
      <c r="JF26" s="345">
        <f t="shared" si="2663"/>
        <v>0</v>
      </c>
      <c r="JG26" s="345">
        <f t="shared" si="2663"/>
        <v>0</v>
      </c>
      <c r="JH26" s="345">
        <f t="shared" si="2663"/>
        <v>0</v>
      </c>
      <c r="JI26" s="345">
        <f t="shared" si="2663"/>
        <v>0</v>
      </c>
      <c r="JJ26" s="345">
        <f t="shared" si="2663"/>
        <v>0</v>
      </c>
      <c r="JK26" s="345">
        <f t="shared" si="2663"/>
        <v>0</v>
      </c>
      <c r="JL26" s="345">
        <f t="shared" si="2663"/>
        <v>0</v>
      </c>
      <c r="JM26" s="345">
        <f t="shared" si="2663"/>
        <v>0</v>
      </c>
      <c r="JN26" s="345">
        <f t="shared" si="2663"/>
        <v>0</v>
      </c>
      <c r="JO26" s="345">
        <f t="shared" si="2663"/>
        <v>0</v>
      </c>
      <c r="JP26" s="345">
        <f t="shared" si="2663"/>
        <v>0</v>
      </c>
      <c r="JQ26" s="345">
        <f t="shared" si="2663"/>
        <v>0</v>
      </c>
      <c r="JR26" s="345">
        <f t="shared" si="2663"/>
        <v>0</v>
      </c>
      <c r="JS26" s="345">
        <f t="shared" si="2663"/>
        <v>0</v>
      </c>
      <c r="JT26" s="345">
        <f t="shared" si="2663"/>
        <v>0</v>
      </c>
      <c r="JU26" s="345">
        <f t="shared" si="2663"/>
        <v>0</v>
      </c>
      <c r="JV26" s="345">
        <f t="shared" si="2663"/>
        <v>0</v>
      </c>
      <c r="JW26" s="345">
        <f t="shared" si="2663"/>
        <v>0</v>
      </c>
      <c r="JX26" s="345">
        <f t="shared" si="2663"/>
        <v>0</v>
      </c>
      <c r="JY26" s="345">
        <f t="shared" si="2663"/>
        <v>0</v>
      </c>
      <c r="JZ26" s="345">
        <f t="shared" si="2663"/>
        <v>0</v>
      </c>
      <c r="KA26" s="345">
        <f t="shared" si="2663"/>
        <v>0</v>
      </c>
      <c r="KB26" s="345">
        <f t="shared" si="2663"/>
        <v>0</v>
      </c>
      <c r="KC26" s="345">
        <f t="shared" si="2663"/>
        <v>0</v>
      </c>
      <c r="KD26" s="345">
        <f t="shared" si="2663"/>
        <v>0</v>
      </c>
      <c r="KE26" s="345">
        <f t="shared" si="2663"/>
        <v>0</v>
      </c>
      <c r="KF26" s="345">
        <f t="shared" si="2663"/>
        <v>0</v>
      </c>
      <c r="KG26" s="345">
        <f t="shared" si="2663"/>
        <v>0</v>
      </c>
      <c r="KH26" s="345">
        <f t="shared" si="2663"/>
        <v>0</v>
      </c>
      <c r="KI26" s="345">
        <f t="shared" si="2663"/>
        <v>0</v>
      </c>
      <c r="KJ26" s="345">
        <f t="shared" si="2663"/>
        <v>0</v>
      </c>
      <c r="KK26" s="345">
        <f t="shared" si="2663"/>
        <v>0</v>
      </c>
      <c r="KL26" s="345">
        <f t="shared" si="2663"/>
        <v>0</v>
      </c>
      <c r="KM26" s="345">
        <f t="shared" si="2663"/>
        <v>0</v>
      </c>
      <c r="KN26" s="345">
        <f t="shared" si="2663"/>
        <v>0</v>
      </c>
      <c r="KO26" s="345">
        <f t="shared" si="2663"/>
        <v>0</v>
      </c>
      <c r="KP26" s="345">
        <f t="shared" si="2663"/>
        <v>0</v>
      </c>
      <c r="KQ26" s="345">
        <f t="shared" si="2663"/>
        <v>0</v>
      </c>
      <c r="KR26" s="345">
        <f t="shared" si="2663"/>
        <v>0</v>
      </c>
      <c r="KS26" s="345">
        <f t="shared" si="2663"/>
        <v>0</v>
      </c>
      <c r="KT26" s="345">
        <f t="shared" si="2663"/>
        <v>0</v>
      </c>
      <c r="KU26" s="345">
        <f t="shared" si="2663"/>
        <v>0</v>
      </c>
      <c r="KV26" s="345">
        <f t="shared" si="2663"/>
        <v>0</v>
      </c>
      <c r="KW26" s="345">
        <f t="shared" si="2663"/>
        <v>0</v>
      </c>
      <c r="KX26" s="345">
        <f t="shared" si="2663"/>
        <v>0</v>
      </c>
      <c r="KY26" s="345">
        <f t="shared" si="2663"/>
        <v>0</v>
      </c>
      <c r="KZ26" s="345">
        <f t="shared" si="2663"/>
        <v>0</v>
      </c>
      <c r="LA26" s="345">
        <f t="shared" si="2663"/>
        <v>0</v>
      </c>
      <c r="LB26" s="345">
        <f t="shared" si="2663"/>
        <v>0</v>
      </c>
      <c r="LC26" s="345">
        <f t="shared" si="2663"/>
        <v>0</v>
      </c>
      <c r="LD26" s="345">
        <f t="shared" si="2663"/>
        <v>0</v>
      </c>
      <c r="LE26" s="345">
        <f t="shared" si="2663"/>
        <v>0</v>
      </c>
      <c r="LF26" s="345">
        <f t="shared" si="2663"/>
        <v>0</v>
      </c>
      <c r="LG26" s="345">
        <f t="shared" si="2663"/>
        <v>0</v>
      </c>
      <c r="LH26" s="345">
        <f t="shared" si="2663"/>
        <v>0</v>
      </c>
      <c r="LI26" s="345">
        <f t="shared" si="2663"/>
        <v>0</v>
      </c>
      <c r="LJ26" s="345">
        <f t="shared" si="2663"/>
        <v>0</v>
      </c>
      <c r="LK26" s="345">
        <f t="shared" si="2663"/>
        <v>0</v>
      </c>
      <c r="LL26" s="345">
        <f t="shared" si="2663"/>
        <v>0</v>
      </c>
      <c r="LM26" s="345">
        <f t="shared" si="2663"/>
        <v>0</v>
      </c>
      <c r="LN26" s="345">
        <f t="shared" si="2663"/>
        <v>0</v>
      </c>
      <c r="LO26" s="345">
        <f t="shared" ref="LO26:NZ26" si="2664">LM44</f>
        <v>0</v>
      </c>
      <c r="LP26" s="345">
        <f t="shared" si="2664"/>
        <v>0</v>
      </c>
      <c r="LQ26" s="345">
        <f t="shared" si="2664"/>
        <v>0</v>
      </c>
      <c r="LR26" s="345">
        <f t="shared" si="2664"/>
        <v>0</v>
      </c>
      <c r="LS26" s="345">
        <f t="shared" si="2664"/>
        <v>0</v>
      </c>
      <c r="LT26" s="345">
        <f t="shared" si="2664"/>
        <v>0</v>
      </c>
      <c r="LU26" s="345">
        <f t="shared" si="2664"/>
        <v>0</v>
      </c>
      <c r="LV26" s="345">
        <f t="shared" si="2664"/>
        <v>0</v>
      </c>
      <c r="LW26" s="345">
        <f t="shared" si="2664"/>
        <v>0</v>
      </c>
      <c r="LX26" s="345">
        <f t="shared" si="2664"/>
        <v>0</v>
      </c>
      <c r="LY26" s="345">
        <f t="shared" si="2664"/>
        <v>0</v>
      </c>
      <c r="LZ26" s="345">
        <f t="shared" si="2664"/>
        <v>0</v>
      </c>
      <c r="MA26" s="345">
        <f t="shared" si="2664"/>
        <v>0</v>
      </c>
      <c r="MB26" s="345">
        <f t="shared" si="2664"/>
        <v>0</v>
      </c>
      <c r="MC26" s="345">
        <f t="shared" si="2664"/>
        <v>0</v>
      </c>
      <c r="MD26" s="345">
        <f t="shared" si="2664"/>
        <v>0</v>
      </c>
      <c r="ME26" s="345">
        <f t="shared" si="2664"/>
        <v>0</v>
      </c>
      <c r="MF26" s="345">
        <f t="shared" si="2664"/>
        <v>0</v>
      </c>
      <c r="MG26" s="345">
        <f t="shared" si="2664"/>
        <v>0</v>
      </c>
      <c r="MH26" s="345">
        <f t="shared" si="2664"/>
        <v>0</v>
      </c>
      <c r="MI26" s="345">
        <f t="shared" si="2664"/>
        <v>0</v>
      </c>
      <c r="MJ26" s="345">
        <f t="shared" si="2664"/>
        <v>0</v>
      </c>
      <c r="MK26" s="345">
        <f t="shared" si="2664"/>
        <v>0</v>
      </c>
      <c r="ML26" s="345">
        <f t="shared" si="2664"/>
        <v>0</v>
      </c>
      <c r="MM26" s="345">
        <f t="shared" si="2664"/>
        <v>0</v>
      </c>
      <c r="MN26" s="345">
        <f t="shared" si="2664"/>
        <v>0</v>
      </c>
      <c r="MO26" s="345">
        <f t="shared" si="2664"/>
        <v>0</v>
      </c>
      <c r="MP26" s="345">
        <f t="shared" si="2664"/>
        <v>0</v>
      </c>
      <c r="MQ26" s="345">
        <f t="shared" si="2664"/>
        <v>0</v>
      </c>
      <c r="MR26" s="345">
        <f t="shared" si="2664"/>
        <v>0</v>
      </c>
      <c r="MS26" s="345">
        <f t="shared" si="2664"/>
        <v>0</v>
      </c>
      <c r="MT26" s="345">
        <f t="shared" si="2664"/>
        <v>0</v>
      </c>
      <c r="MU26" s="345">
        <f t="shared" si="2664"/>
        <v>0</v>
      </c>
      <c r="MV26" s="345">
        <f t="shared" si="2664"/>
        <v>0</v>
      </c>
      <c r="MW26" s="345">
        <f t="shared" si="2664"/>
        <v>0</v>
      </c>
      <c r="MX26" s="345">
        <f t="shared" si="2664"/>
        <v>0</v>
      </c>
      <c r="MY26" s="345">
        <f t="shared" si="2664"/>
        <v>0</v>
      </c>
      <c r="MZ26" s="345">
        <f t="shared" si="2664"/>
        <v>0</v>
      </c>
      <c r="NA26" s="345">
        <f t="shared" si="2664"/>
        <v>0</v>
      </c>
      <c r="NB26" s="345">
        <f t="shared" si="2664"/>
        <v>0</v>
      </c>
      <c r="NC26" s="345">
        <f t="shared" si="2664"/>
        <v>0</v>
      </c>
      <c r="ND26" s="345">
        <f t="shared" si="2664"/>
        <v>0</v>
      </c>
      <c r="NE26" s="345">
        <f t="shared" si="2664"/>
        <v>0</v>
      </c>
      <c r="NF26" s="345">
        <f t="shared" si="2664"/>
        <v>0</v>
      </c>
      <c r="NG26" s="345">
        <f t="shared" si="2664"/>
        <v>0</v>
      </c>
      <c r="NH26" s="345">
        <f t="shared" si="2664"/>
        <v>0</v>
      </c>
      <c r="NI26" s="345">
        <f t="shared" si="2664"/>
        <v>0</v>
      </c>
      <c r="NJ26" s="345">
        <f t="shared" si="2664"/>
        <v>0</v>
      </c>
      <c r="NK26" s="345">
        <f t="shared" si="2664"/>
        <v>0</v>
      </c>
      <c r="NL26" s="345">
        <f t="shared" si="2664"/>
        <v>0</v>
      </c>
      <c r="NM26" s="345">
        <f t="shared" si="2664"/>
        <v>0</v>
      </c>
      <c r="NN26" s="345">
        <f t="shared" si="2664"/>
        <v>0</v>
      </c>
      <c r="NO26" s="345">
        <f t="shared" si="2664"/>
        <v>0</v>
      </c>
      <c r="NP26" s="345">
        <f t="shared" si="2664"/>
        <v>0</v>
      </c>
      <c r="NQ26" s="345">
        <f t="shared" si="2664"/>
        <v>0</v>
      </c>
      <c r="NR26" s="345">
        <f t="shared" si="2664"/>
        <v>0</v>
      </c>
      <c r="NS26" s="345">
        <f t="shared" si="2664"/>
        <v>0</v>
      </c>
      <c r="NT26" s="345">
        <f t="shared" si="2664"/>
        <v>0</v>
      </c>
      <c r="NU26" s="345">
        <f t="shared" si="2664"/>
        <v>0</v>
      </c>
      <c r="NV26" s="345">
        <f t="shared" si="2664"/>
        <v>0</v>
      </c>
      <c r="NW26" s="345">
        <f t="shared" si="2664"/>
        <v>0</v>
      </c>
      <c r="NX26" s="345">
        <f t="shared" si="2664"/>
        <v>0</v>
      </c>
      <c r="NY26" s="345">
        <f t="shared" si="2664"/>
        <v>0</v>
      </c>
      <c r="NZ26" s="345">
        <f t="shared" si="2664"/>
        <v>0</v>
      </c>
      <c r="OA26" s="345">
        <f t="shared" ref="OA26:QL26" si="2665">NY44</f>
        <v>0</v>
      </c>
      <c r="OB26" s="345">
        <f t="shared" si="2665"/>
        <v>0</v>
      </c>
      <c r="OC26" s="345">
        <f t="shared" si="2665"/>
        <v>0</v>
      </c>
      <c r="OD26" s="345">
        <f t="shared" si="2665"/>
        <v>0</v>
      </c>
      <c r="OE26" s="345">
        <f t="shared" si="2665"/>
        <v>0</v>
      </c>
      <c r="OF26" s="345">
        <f t="shared" si="2665"/>
        <v>0</v>
      </c>
      <c r="OG26" s="345">
        <f t="shared" si="2665"/>
        <v>0</v>
      </c>
      <c r="OH26" s="345">
        <f t="shared" si="2665"/>
        <v>0</v>
      </c>
      <c r="OI26" s="345">
        <f t="shared" si="2665"/>
        <v>0</v>
      </c>
      <c r="OJ26" s="345">
        <f t="shared" si="2665"/>
        <v>0</v>
      </c>
      <c r="OK26" s="345">
        <f t="shared" si="2665"/>
        <v>0</v>
      </c>
      <c r="OL26" s="345">
        <f t="shared" si="2665"/>
        <v>0</v>
      </c>
      <c r="OM26" s="345">
        <f t="shared" si="2665"/>
        <v>0</v>
      </c>
      <c r="ON26" s="345">
        <f t="shared" si="2665"/>
        <v>0</v>
      </c>
      <c r="OO26" s="345">
        <f t="shared" si="2665"/>
        <v>0</v>
      </c>
      <c r="OP26" s="345">
        <f t="shared" si="2665"/>
        <v>0</v>
      </c>
      <c r="OQ26" s="345">
        <f t="shared" si="2665"/>
        <v>0</v>
      </c>
      <c r="OR26" s="345">
        <f t="shared" si="2665"/>
        <v>0</v>
      </c>
      <c r="OS26" s="345">
        <f t="shared" si="2665"/>
        <v>0</v>
      </c>
      <c r="OT26" s="345">
        <f t="shared" si="2665"/>
        <v>0</v>
      </c>
      <c r="OU26" s="345">
        <f t="shared" si="2665"/>
        <v>0</v>
      </c>
      <c r="OV26" s="345">
        <f t="shared" si="2665"/>
        <v>0</v>
      </c>
      <c r="OW26" s="345">
        <f t="shared" si="2665"/>
        <v>0</v>
      </c>
      <c r="OX26" s="345">
        <f t="shared" si="2665"/>
        <v>0</v>
      </c>
      <c r="OY26" s="345">
        <f t="shared" si="2665"/>
        <v>0</v>
      </c>
      <c r="OZ26" s="345">
        <f t="shared" si="2665"/>
        <v>0</v>
      </c>
      <c r="PA26" s="345">
        <f t="shared" si="2665"/>
        <v>0</v>
      </c>
      <c r="PB26" s="345">
        <f t="shared" si="2665"/>
        <v>0</v>
      </c>
      <c r="PC26" s="345">
        <f t="shared" si="2665"/>
        <v>0</v>
      </c>
      <c r="PD26" s="345">
        <f t="shared" si="2665"/>
        <v>0</v>
      </c>
      <c r="PE26" s="345">
        <f t="shared" si="2665"/>
        <v>0</v>
      </c>
      <c r="PF26" s="345">
        <f t="shared" si="2665"/>
        <v>0</v>
      </c>
      <c r="PG26" s="345">
        <f t="shared" si="2665"/>
        <v>0</v>
      </c>
      <c r="PH26" s="345">
        <f t="shared" si="2665"/>
        <v>0</v>
      </c>
      <c r="PI26" s="345">
        <f t="shared" si="2665"/>
        <v>0</v>
      </c>
      <c r="PJ26" s="345">
        <f t="shared" si="2665"/>
        <v>0</v>
      </c>
      <c r="PK26" s="345">
        <f t="shared" si="2665"/>
        <v>0</v>
      </c>
      <c r="PL26" s="345">
        <f t="shared" si="2665"/>
        <v>0</v>
      </c>
      <c r="PM26" s="345">
        <f t="shared" si="2665"/>
        <v>0</v>
      </c>
      <c r="PN26" s="345">
        <f t="shared" si="2665"/>
        <v>0</v>
      </c>
      <c r="PO26" s="345">
        <f t="shared" si="2665"/>
        <v>0</v>
      </c>
      <c r="PP26" s="345">
        <f t="shared" si="2665"/>
        <v>0</v>
      </c>
      <c r="PQ26" s="345">
        <f t="shared" si="2665"/>
        <v>0</v>
      </c>
      <c r="PR26" s="345">
        <f t="shared" si="2665"/>
        <v>0</v>
      </c>
      <c r="PS26" s="345">
        <f t="shared" si="2665"/>
        <v>0</v>
      </c>
      <c r="PT26" s="345">
        <f t="shared" si="2665"/>
        <v>0</v>
      </c>
      <c r="PU26" s="345">
        <f t="shared" si="2665"/>
        <v>0</v>
      </c>
      <c r="PV26" s="345">
        <f t="shared" si="2665"/>
        <v>0</v>
      </c>
      <c r="PW26" s="345">
        <f t="shared" si="2665"/>
        <v>0</v>
      </c>
      <c r="PX26" s="345">
        <f t="shared" si="2665"/>
        <v>0</v>
      </c>
      <c r="PY26" s="345">
        <f t="shared" si="2665"/>
        <v>0</v>
      </c>
      <c r="PZ26" s="345">
        <f t="shared" si="2665"/>
        <v>0</v>
      </c>
      <c r="QA26" s="345">
        <f t="shared" si="2665"/>
        <v>0</v>
      </c>
      <c r="QB26" s="345">
        <f t="shared" si="2665"/>
        <v>0</v>
      </c>
      <c r="QC26" s="345">
        <f t="shared" si="2665"/>
        <v>0</v>
      </c>
      <c r="QD26" s="345">
        <f t="shared" si="2665"/>
        <v>0</v>
      </c>
      <c r="QE26" s="345">
        <f t="shared" si="2665"/>
        <v>0</v>
      </c>
      <c r="QF26" s="345">
        <f t="shared" si="2665"/>
        <v>0</v>
      </c>
      <c r="QG26" s="345">
        <f t="shared" si="2665"/>
        <v>0</v>
      </c>
      <c r="QH26" s="345">
        <f t="shared" si="2665"/>
        <v>0</v>
      </c>
      <c r="QI26" s="345">
        <f t="shared" si="2665"/>
        <v>0</v>
      </c>
      <c r="QJ26" s="345">
        <f t="shared" si="2665"/>
        <v>0</v>
      </c>
      <c r="QK26" s="345">
        <f t="shared" si="2665"/>
        <v>0</v>
      </c>
      <c r="QL26" s="345">
        <f t="shared" si="2665"/>
        <v>0</v>
      </c>
      <c r="QM26" s="345">
        <f t="shared" ref="QM26:SX26" si="2666">QK44</f>
        <v>0</v>
      </c>
      <c r="QN26" s="345">
        <f t="shared" si="2666"/>
        <v>0</v>
      </c>
      <c r="QO26" s="345">
        <f t="shared" si="2666"/>
        <v>0</v>
      </c>
      <c r="QP26" s="345">
        <f t="shared" si="2666"/>
        <v>0</v>
      </c>
      <c r="QQ26" s="345">
        <f t="shared" si="2666"/>
        <v>0</v>
      </c>
      <c r="QR26" s="345">
        <f t="shared" si="2666"/>
        <v>0</v>
      </c>
      <c r="QS26" s="345">
        <f t="shared" si="2666"/>
        <v>0</v>
      </c>
      <c r="QT26" s="345">
        <f t="shared" si="2666"/>
        <v>0</v>
      </c>
      <c r="QU26" s="345">
        <f t="shared" si="2666"/>
        <v>0</v>
      </c>
      <c r="QV26" s="345">
        <f t="shared" si="2666"/>
        <v>0</v>
      </c>
      <c r="QW26" s="345">
        <f t="shared" si="2666"/>
        <v>0</v>
      </c>
      <c r="QX26" s="345">
        <f t="shared" si="2666"/>
        <v>0</v>
      </c>
      <c r="QY26" s="345">
        <f t="shared" si="2666"/>
        <v>0</v>
      </c>
      <c r="QZ26" s="345">
        <f t="shared" si="2666"/>
        <v>0</v>
      </c>
      <c r="RA26" s="345">
        <f t="shared" si="2666"/>
        <v>0</v>
      </c>
      <c r="RB26" s="345">
        <f t="shared" si="2666"/>
        <v>0</v>
      </c>
      <c r="RC26" s="345">
        <f t="shared" si="2666"/>
        <v>0</v>
      </c>
      <c r="RD26" s="345">
        <f t="shared" si="2666"/>
        <v>0</v>
      </c>
      <c r="RE26" s="345">
        <f t="shared" si="2666"/>
        <v>0</v>
      </c>
      <c r="RF26" s="345">
        <f t="shared" si="2666"/>
        <v>0</v>
      </c>
      <c r="RG26" s="345">
        <f t="shared" si="2666"/>
        <v>0</v>
      </c>
      <c r="RH26" s="345">
        <f t="shared" si="2666"/>
        <v>0</v>
      </c>
      <c r="RI26" s="345">
        <f t="shared" si="2666"/>
        <v>0</v>
      </c>
      <c r="RJ26" s="345">
        <f t="shared" si="2666"/>
        <v>0</v>
      </c>
      <c r="RK26" s="345">
        <f t="shared" si="2666"/>
        <v>0</v>
      </c>
      <c r="RL26" s="345">
        <f t="shared" si="2666"/>
        <v>0</v>
      </c>
      <c r="RM26" s="345">
        <f t="shared" si="2666"/>
        <v>0</v>
      </c>
      <c r="RN26" s="345">
        <f t="shared" si="2666"/>
        <v>0</v>
      </c>
      <c r="RO26" s="345">
        <f t="shared" si="2666"/>
        <v>0</v>
      </c>
      <c r="RP26" s="345">
        <f t="shared" si="2666"/>
        <v>0</v>
      </c>
      <c r="RQ26" s="345">
        <f t="shared" si="2666"/>
        <v>0</v>
      </c>
      <c r="RR26" s="345">
        <f t="shared" si="2666"/>
        <v>0</v>
      </c>
      <c r="RS26" s="345">
        <f t="shared" si="2666"/>
        <v>0</v>
      </c>
      <c r="RT26" s="345">
        <f t="shared" si="2666"/>
        <v>0</v>
      </c>
      <c r="RU26" s="345">
        <f t="shared" si="2666"/>
        <v>0</v>
      </c>
      <c r="RV26" s="345">
        <f t="shared" si="2666"/>
        <v>0</v>
      </c>
      <c r="RW26" s="345">
        <f t="shared" si="2666"/>
        <v>0</v>
      </c>
      <c r="RX26" s="345">
        <f t="shared" si="2666"/>
        <v>0</v>
      </c>
      <c r="RY26" s="345">
        <f t="shared" si="2666"/>
        <v>0</v>
      </c>
      <c r="RZ26" s="345">
        <f t="shared" si="2666"/>
        <v>0</v>
      </c>
      <c r="SA26" s="345">
        <f t="shared" si="2666"/>
        <v>0</v>
      </c>
      <c r="SB26" s="345">
        <f t="shared" si="2666"/>
        <v>0</v>
      </c>
      <c r="SC26" s="345">
        <f t="shared" si="2666"/>
        <v>0</v>
      </c>
      <c r="SD26" s="345">
        <f t="shared" si="2666"/>
        <v>0</v>
      </c>
      <c r="SE26" s="345">
        <f t="shared" si="2666"/>
        <v>0</v>
      </c>
      <c r="SF26" s="345">
        <f t="shared" si="2666"/>
        <v>0</v>
      </c>
      <c r="SG26" s="345">
        <f t="shared" si="2666"/>
        <v>0</v>
      </c>
      <c r="SH26" s="345">
        <f t="shared" si="2666"/>
        <v>0</v>
      </c>
      <c r="SI26" s="345">
        <f t="shared" si="2666"/>
        <v>0</v>
      </c>
      <c r="SJ26" s="345">
        <f t="shared" si="2666"/>
        <v>0</v>
      </c>
      <c r="SK26" s="345">
        <f t="shared" si="2666"/>
        <v>0</v>
      </c>
      <c r="SL26" s="345">
        <f t="shared" si="2666"/>
        <v>0</v>
      </c>
      <c r="SM26" s="345">
        <f t="shared" si="2666"/>
        <v>0</v>
      </c>
      <c r="SN26" s="345">
        <f t="shared" si="2666"/>
        <v>0</v>
      </c>
      <c r="SO26" s="345">
        <f t="shared" si="2666"/>
        <v>0</v>
      </c>
      <c r="SP26" s="345">
        <f t="shared" si="2666"/>
        <v>0</v>
      </c>
      <c r="SQ26" s="345">
        <f t="shared" si="2666"/>
        <v>0</v>
      </c>
      <c r="SR26" s="345">
        <f t="shared" si="2666"/>
        <v>0</v>
      </c>
      <c r="SS26" s="345">
        <f t="shared" si="2666"/>
        <v>0</v>
      </c>
      <c r="ST26" s="345">
        <f t="shared" si="2666"/>
        <v>0</v>
      </c>
      <c r="SU26" s="345">
        <f t="shared" si="2666"/>
        <v>0</v>
      </c>
      <c r="SV26" s="345">
        <f t="shared" si="2666"/>
        <v>0</v>
      </c>
      <c r="SW26" s="345">
        <f t="shared" si="2666"/>
        <v>0</v>
      </c>
      <c r="SX26" s="345">
        <f t="shared" si="2666"/>
        <v>0</v>
      </c>
      <c r="SY26" s="345">
        <f t="shared" ref="SY26:VJ26" si="2667">SW44</f>
        <v>0</v>
      </c>
      <c r="SZ26" s="345">
        <f t="shared" si="2667"/>
        <v>0</v>
      </c>
      <c r="TA26" s="345">
        <f t="shared" si="2667"/>
        <v>0</v>
      </c>
      <c r="TB26" s="345">
        <f t="shared" si="2667"/>
        <v>0</v>
      </c>
      <c r="TC26" s="345">
        <f t="shared" si="2667"/>
        <v>0</v>
      </c>
      <c r="TD26" s="345">
        <f t="shared" si="2667"/>
        <v>0</v>
      </c>
      <c r="TE26" s="345">
        <f t="shared" si="2667"/>
        <v>0</v>
      </c>
      <c r="TF26" s="345">
        <f t="shared" si="2667"/>
        <v>0</v>
      </c>
      <c r="TG26" s="345">
        <f t="shared" si="2667"/>
        <v>0</v>
      </c>
      <c r="TH26" s="345">
        <f t="shared" si="2667"/>
        <v>0</v>
      </c>
      <c r="TI26" s="345">
        <f t="shared" si="2667"/>
        <v>0</v>
      </c>
      <c r="TJ26" s="345">
        <f t="shared" si="2667"/>
        <v>0</v>
      </c>
      <c r="TK26" s="345">
        <f t="shared" si="2667"/>
        <v>0</v>
      </c>
      <c r="TL26" s="345">
        <f t="shared" si="2667"/>
        <v>0</v>
      </c>
      <c r="TM26" s="345">
        <f t="shared" si="2667"/>
        <v>0</v>
      </c>
      <c r="TN26" s="345">
        <f t="shared" si="2667"/>
        <v>0</v>
      </c>
      <c r="TO26" s="345">
        <f t="shared" si="2667"/>
        <v>0</v>
      </c>
      <c r="TP26" s="345">
        <f t="shared" si="2667"/>
        <v>0</v>
      </c>
      <c r="TQ26" s="345">
        <f t="shared" si="2667"/>
        <v>0</v>
      </c>
      <c r="TR26" s="345">
        <f t="shared" si="2667"/>
        <v>0</v>
      </c>
      <c r="TS26" s="345">
        <f t="shared" si="2667"/>
        <v>0</v>
      </c>
      <c r="TT26" s="345">
        <f t="shared" si="2667"/>
        <v>0</v>
      </c>
      <c r="TU26" s="345">
        <f t="shared" si="2667"/>
        <v>0</v>
      </c>
      <c r="TV26" s="345">
        <f t="shared" si="2667"/>
        <v>0</v>
      </c>
      <c r="TW26" s="345">
        <f t="shared" si="2667"/>
        <v>0</v>
      </c>
      <c r="TX26" s="345">
        <f t="shared" si="2667"/>
        <v>0</v>
      </c>
      <c r="TY26" s="345">
        <f t="shared" si="2667"/>
        <v>0</v>
      </c>
      <c r="TZ26" s="345">
        <f t="shared" si="2667"/>
        <v>0</v>
      </c>
      <c r="UA26" s="345">
        <f t="shared" si="2667"/>
        <v>0</v>
      </c>
      <c r="UB26" s="345">
        <f t="shared" si="2667"/>
        <v>0</v>
      </c>
      <c r="UC26" s="345">
        <f t="shared" si="2667"/>
        <v>0</v>
      </c>
      <c r="UD26" s="345">
        <f t="shared" si="2667"/>
        <v>0</v>
      </c>
      <c r="UE26" s="345">
        <f t="shared" si="2667"/>
        <v>0</v>
      </c>
      <c r="UF26" s="345">
        <f t="shared" si="2667"/>
        <v>0</v>
      </c>
      <c r="UG26" s="345">
        <f t="shared" si="2667"/>
        <v>0</v>
      </c>
      <c r="UH26" s="345">
        <f t="shared" si="2667"/>
        <v>0</v>
      </c>
      <c r="UI26" s="345">
        <f t="shared" si="2667"/>
        <v>0</v>
      </c>
      <c r="UJ26" s="345">
        <f t="shared" si="2667"/>
        <v>0</v>
      </c>
      <c r="UK26" s="345">
        <f t="shared" si="2667"/>
        <v>0</v>
      </c>
      <c r="UL26" s="345">
        <f t="shared" si="2667"/>
        <v>0</v>
      </c>
      <c r="UM26" s="345">
        <f t="shared" si="2667"/>
        <v>0</v>
      </c>
      <c r="UN26" s="345">
        <f t="shared" si="2667"/>
        <v>0</v>
      </c>
      <c r="UO26" s="345">
        <f t="shared" si="2667"/>
        <v>0</v>
      </c>
      <c r="UP26" s="345">
        <f t="shared" si="2667"/>
        <v>0</v>
      </c>
      <c r="UQ26" s="345">
        <f t="shared" si="2667"/>
        <v>0</v>
      </c>
      <c r="UR26" s="345">
        <f t="shared" si="2667"/>
        <v>0</v>
      </c>
      <c r="US26" s="345">
        <f t="shared" si="2667"/>
        <v>0</v>
      </c>
      <c r="UT26" s="345">
        <f t="shared" si="2667"/>
        <v>0</v>
      </c>
      <c r="UU26" s="345">
        <f t="shared" si="2667"/>
        <v>0</v>
      </c>
      <c r="UV26" s="345">
        <f t="shared" si="2667"/>
        <v>0</v>
      </c>
      <c r="UW26" s="345">
        <f t="shared" si="2667"/>
        <v>0</v>
      </c>
      <c r="UX26" s="345">
        <f t="shared" si="2667"/>
        <v>0</v>
      </c>
      <c r="UY26" s="345">
        <f t="shared" si="2667"/>
        <v>0</v>
      </c>
      <c r="UZ26" s="345">
        <f t="shared" si="2667"/>
        <v>0</v>
      </c>
      <c r="VA26" s="345">
        <f t="shared" si="2667"/>
        <v>0</v>
      </c>
      <c r="VB26" s="345">
        <f t="shared" si="2667"/>
        <v>0</v>
      </c>
      <c r="VC26" s="345">
        <f t="shared" si="2667"/>
        <v>0</v>
      </c>
      <c r="VD26" s="345">
        <f t="shared" si="2667"/>
        <v>0</v>
      </c>
      <c r="VE26" s="345">
        <f t="shared" si="2667"/>
        <v>0</v>
      </c>
      <c r="VF26" s="345">
        <f t="shared" si="2667"/>
        <v>0</v>
      </c>
      <c r="VG26" s="345">
        <f t="shared" si="2667"/>
        <v>0</v>
      </c>
      <c r="VH26" s="345">
        <f t="shared" si="2667"/>
        <v>0</v>
      </c>
      <c r="VI26" s="345">
        <f t="shared" si="2667"/>
        <v>0</v>
      </c>
      <c r="VJ26" s="345">
        <f t="shared" si="2667"/>
        <v>0</v>
      </c>
      <c r="VK26" s="345">
        <f t="shared" ref="VK26:XV26" si="2668">VI44</f>
        <v>0</v>
      </c>
      <c r="VL26" s="345">
        <f t="shared" si="2668"/>
        <v>0</v>
      </c>
      <c r="VM26" s="345">
        <f t="shared" si="2668"/>
        <v>0</v>
      </c>
      <c r="VN26" s="345">
        <f t="shared" si="2668"/>
        <v>0</v>
      </c>
      <c r="VO26" s="345">
        <f t="shared" si="2668"/>
        <v>0</v>
      </c>
      <c r="VP26" s="345">
        <f t="shared" si="2668"/>
        <v>0</v>
      </c>
      <c r="VQ26" s="345">
        <f t="shared" si="2668"/>
        <v>0</v>
      </c>
      <c r="VR26" s="345">
        <f t="shared" si="2668"/>
        <v>0</v>
      </c>
      <c r="VS26" s="345">
        <f t="shared" si="2668"/>
        <v>0</v>
      </c>
      <c r="VT26" s="345">
        <f t="shared" si="2668"/>
        <v>0</v>
      </c>
      <c r="VU26" s="345">
        <f t="shared" si="2668"/>
        <v>0</v>
      </c>
      <c r="VV26" s="345">
        <f t="shared" si="2668"/>
        <v>0</v>
      </c>
      <c r="VW26" s="345">
        <f t="shared" si="2668"/>
        <v>0</v>
      </c>
      <c r="VX26" s="345">
        <f t="shared" si="2668"/>
        <v>0</v>
      </c>
      <c r="VY26" s="345">
        <f t="shared" si="2668"/>
        <v>0</v>
      </c>
      <c r="VZ26" s="345">
        <f t="shared" si="2668"/>
        <v>0</v>
      </c>
      <c r="WA26" s="345">
        <f t="shared" si="2668"/>
        <v>0</v>
      </c>
      <c r="WB26" s="345">
        <f t="shared" si="2668"/>
        <v>0</v>
      </c>
      <c r="WC26" s="345">
        <f t="shared" si="2668"/>
        <v>0</v>
      </c>
      <c r="WD26" s="345">
        <f t="shared" si="2668"/>
        <v>0</v>
      </c>
      <c r="WE26" s="345">
        <f t="shared" si="2668"/>
        <v>0</v>
      </c>
      <c r="WF26" s="345">
        <f t="shared" si="2668"/>
        <v>0</v>
      </c>
      <c r="WG26" s="345">
        <f t="shared" si="2668"/>
        <v>0</v>
      </c>
      <c r="WH26" s="345">
        <f t="shared" si="2668"/>
        <v>0</v>
      </c>
      <c r="WI26" s="345">
        <f t="shared" si="2668"/>
        <v>0</v>
      </c>
      <c r="WJ26" s="345">
        <f t="shared" si="2668"/>
        <v>0</v>
      </c>
      <c r="WK26" s="345">
        <f t="shared" si="2668"/>
        <v>0</v>
      </c>
      <c r="WL26" s="345">
        <f t="shared" si="2668"/>
        <v>0</v>
      </c>
      <c r="WM26" s="345">
        <f t="shared" si="2668"/>
        <v>0</v>
      </c>
      <c r="WN26" s="345">
        <f t="shared" si="2668"/>
        <v>0</v>
      </c>
      <c r="WO26" s="345">
        <f t="shared" si="2668"/>
        <v>0</v>
      </c>
      <c r="WP26" s="345">
        <f t="shared" si="2668"/>
        <v>0</v>
      </c>
      <c r="WQ26" s="345">
        <f t="shared" si="2668"/>
        <v>0</v>
      </c>
      <c r="WR26" s="345">
        <f t="shared" si="2668"/>
        <v>0</v>
      </c>
      <c r="WS26" s="345">
        <f t="shared" si="2668"/>
        <v>0</v>
      </c>
      <c r="WT26" s="345">
        <f t="shared" si="2668"/>
        <v>0</v>
      </c>
      <c r="WU26" s="345">
        <f t="shared" si="2668"/>
        <v>0</v>
      </c>
      <c r="WV26" s="345">
        <f t="shared" si="2668"/>
        <v>0</v>
      </c>
      <c r="WW26" s="345">
        <f t="shared" si="2668"/>
        <v>0</v>
      </c>
      <c r="WX26" s="345">
        <f t="shared" si="2668"/>
        <v>0</v>
      </c>
      <c r="WY26" s="345">
        <f t="shared" si="2668"/>
        <v>0</v>
      </c>
      <c r="WZ26" s="345">
        <f t="shared" si="2668"/>
        <v>0</v>
      </c>
      <c r="XA26" s="345">
        <f t="shared" si="2668"/>
        <v>0</v>
      </c>
      <c r="XB26" s="345">
        <f t="shared" si="2668"/>
        <v>0</v>
      </c>
      <c r="XC26" s="345">
        <f t="shared" si="2668"/>
        <v>0</v>
      </c>
      <c r="XD26" s="345">
        <f t="shared" si="2668"/>
        <v>0</v>
      </c>
      <c r="XE26" s="345">
        <f t="shared" si="2668"/>
        <v>0</v>
      </c>
      <c r="XF26" s="345">
        <f t="shared" si="2668"/>
        <v>0</v>
      </c>
      <c r="XG26" s="345">
        <f t="shared" si="2668"/>
        <v>0</v>
      </c>
      <c r="XH26" s="345">
        <f t="shared" si="2668"/>
        <v>0</v>
      </c>
      <c r="XI26" s="345">
        <f t="shared" si="2668"/>
        <v>0</v>
      </c>
      <c r="XJ26" s="345">
        <f t="shared" si="2668"/>
        <v>0</v>
      </c>
      <c r="XK26" s="345">
        <f t="shared" si="2668"/>
        <v>0</v>
      </c>
      <c r="XL26" s="345">
        <f t="shared" si="2668"/>
        <v>0</v>
      </c>
      <c r="XM26" s="345">
        <f t="shared" si="2668"/>
        <v>0</v>
      </c>
      <c r="XN26" s="345">
        <f t="shared" si="2668"/>
        <v>0</v>
      </c>
      <c r="XO26" s="345">
        <f t="shared" si="2668"/>
        <v>0</v>
      </c>
      <c r="XP26" s="345">
        <f t="shared" si="2668"/>
        <v>0</v>
      </c>
      <c r="XQ26" s="345">
        <f t="shared" si="2668"/>
        <v>0</v>
      </c>
      <c r="XR26" s="345">
        <f t="shared" si="2668"/>
        <v>0</v>
      </c>
      <c r="XS26" s="345">
        <f t="shared" si="2668"/>
        <v>0</v>
      </c>
      <c r="XT26" s="345">
        <f t="shared" si="2668"/>
        <v>0</v>
      </c>
      <c r="XU26" s="345">
        <f t="shared" si="2668"/>
        <v>0</v>
      </c>
      <c r="XV26" s="345">
        <f t="shared" si="2668"/>
        <v>0</v>
      </c>
      <c r="XW26" s="345">
        <f t="shared" ref="XW26:AAH26" si="2669">XU44</f>
        <v>0</v>
      </c>
      <c r="XX26" s="345">
        <f t="shared" si="2669"/>
        <v>0</v>
      </c>
      <c r="XY26" s="345">
        <f t="shared" si="2669"/>
        <v>0</v>
      </c>
      <c r="XZ26" s="345">
        <f t="shared" si="2669"/>
        <v>0</v>
      </c>
      <c r="YA26" s="345">
        <f t="shared" si="2669"/>
        <v>0</v>
      </c>
      <c r="YB26" s="345">
        <f t="shared" si="2669"/>
        <v>0</v>
      </c>
      <c r="YC26" s="345">
        <f t="shared" si="2669"/>
        <v>0</v>
      </c>
      <c r="YD26" s="345">
        <f t="shared" si="2669"/>
        <v>0</v>
      </c>
      <c r="YE26" s="345">
        <f t="shared" si="2669"/>
        <v>0</v>
      </c>
      <c r="YF26" s="345">
        <f t="shared" si="2669"/>
        <v>0</v>
      </c>
      <c r="YG26" s="345">
        <f t="shared" si="2669"/>
        <v>0</v>
      </c>
      <c r="YH26" s="345">
        <f t="shared" si="2669"/>
        <v>0</v>
      </c>
      <c r="YI26" s="345">
        <f t="shared" si="2669"/>
        <v>0</v>
      </c>
      <c r="YJ26" s="345">
        <f t="shared" si="2669"/>
        <v>0</v>
      </c>
      <c r="YK26" s="345">
        <f t="shared" si="2669"/>
        <v>0</v>
      </c>
      <c r="YL26" s="345">
        <f t="shared" si="2669"/>
        <v>0</v>
      </c>
      <c r="YM26" s="345">
        <f t="shared" si="2669"/>
        <v>0</v>
      </c>
      <c r="YN26" s="345">
        <f t="shared" si="2669"/>
        <v>0</v>
      </c>
      <c r="YO26" s="345">
        <f t="shared" si="2669"/>
        <v>0</v>
      </c>
      <c r="YP26" s="345">
        <f t="shared" si="2669"/>
        <v>0</v>
      </c>
      <c r="YQ26" s="345">
        <f t="shared" si="2669"/>
        <v>0</v>
      </c>
      <c r="YR26" s="345">
        <f t="shared" si="2669"/>
        <v>0</v>
      </c>
      <c r="YS26" s="345">
        <f t="shared" si="2669"/>
        <v>0</v>
      </c>
      <c r="YT26" s="345">
        <f t="shared" si="2669"/>
        <v>0</v>
      </c>
      <c r="YU26" s="345">
        <f t="shared" si="2669"/>
        <v>0</v>
      </c>
      <c r="YV26" s="345">
        <f t="shared" si="2669"/>
        <v>0</v>
      </c>
      <c r="YW26" s="345">
        <f t="shared" si="2669"/>
        <v>0</v>
      </c>
      <c r="YX26" s="345">
        <f t="shared" si="2669"/>
        <v>0</v>
      </c>
      <c r="YY26" s="345">
        <f t="shared" si="2669"/>
        <v>0</v>
      </c>
      <c r="YZ26" s="345">
        <f t="shared" si="2669"/>
        <v>0</v>
      </c>
      <c r="ZA26" s="345">
        <f t="shared" si="2669"/>
        <v>0</v>
      </c>
      <c r="ZB26" s="345">
        <f t="shared" si="2669"/>
        <v>0</v>
      </c>
      <c r="ZC26" s="345">
        <f t="shared" si="2669"/>
        <v>0</v>
      </c>
      <c r="ZD26" s="345">
        <f t="shared" si="2669"/>
        <v>0</v>
      </c>
      <c r="ZE26" s="345">
        <f t="shared" si="2669"/>
        <v>0</v>
      </c>
      <c r="ZF26" s="345">
        <f t="shared" si="2669"/>
        <v>0</v>
      </c>
      <c r="ZG26" s="345">
        <f t="shared" si="2669"/>
        <v>0</v>
      </c>
      <c r="ZH26" s="345">
        <f t="shared" si="2669"/>
        <v>0</v>
      </c>
      <c r="ZI26" s="345">
        <f t="shared" si="2669"/>
        <v>0</v>
      </c>
      <c r="ZJ26" s="345">
        <f t="shared" si="2669"/>
        <v>0</v>
      </c>
      <c r="ZK26" s="345">
        <f t="shared" si="2669"/>
        <v>0</v>
      </c>
      <c r="ZL26" s="345">
        <f t="shared" si="2669"/>
        <v>0</v>
      </c>
      <c r="ZM26" s="345">
        <f t="shared" si="2669"/>
        <v>0</v>
      </c>
      <c r="ZN26" s="345">
        <f t="shared" si="2669"/>
        <v>0</v>
      </c>
      <c r="ZO26" s="345">
        <f t="shared" si="2669"/>
        <v>0</v>
      </c>
      <c r="ZP26" s="345">
        <f t="shared" si="2669"/>
        <v>0</v>
      </c>
      <c r="ZQ26" s="345">
        <f t="shared" si="2669"/>
        <v>0</v>
      </c>
      <c r="ZR26" s="345">
        <f t="shared" si="2669"/>
        <v>0</v>
      </c>
      <c r="ZS26" s="345">
        <f t="shared" si="2669"/>
        <v>0</v>
      </c>
      <c r="ZT26" s="345">
        <f t="shared" si="2669"/>
        <v>0</v>
      </c>
      <c r="ZU26" s="345">
        <f t="shared" si="2669"/>
        <v>0</v>
      </c>
      <c r="ZV26" s="345">
        <f t="shared" si="2669"/>
        <v>0</v>
      </c>
      <c r="ZW26" s="345">
        <f t="shared" si="2669"/>
        <v>0</v>
      </c>
      <c r="ZX26" s="345">
        <f t="shared" si="2669"/>
        <v>0</v>
      </c>
      <c r="ZY26" s="345">
        <f t="shared" si="2669"/>
        <v>0</v>
      </c>
      <c r="ZZ26" s="345">
        <f t="shared" si="2669"/>
        <v>0</v>
      </c>
      <c r="AAA26" s="345">
        <f t="shared" si="2669"/>
        <v>0</v>
      </c>
      <c r="AAB26" s="345">
        <f t="shared" si="2669"/>
        <v>0</v>
      </c>
      <c r="AAC26" s="345">
        <f t="shared" si="2669"/>
        <v>0</v>
      </c>
      <c r="AAD26" s="345">
        <f t="shared" si="2669"/>
        <v>0</v>
      </c>
      <c r="AAE26" s="345">
        <f t="shared" si="2669"/>
        <v>0</v>
      </c>
      <c r="AAF26" s="345">
        <f t="shared" si="2669"/>
        <v>0</v>
      </c>
      <c r="AAG26" s="345">
        <f t="shared" si="2669"/>
        <v>0</v>
      </c>
      <c r="AAH26" s="345">
        <f t="shared" si="2669"/>
        <v>0</v>
      </c>
      <c r="AAI26" s="345">
        <f t="shared" ref="AAI26:ABD26" si="2670">AAG44</f>
        <v>0</v>
      </c>
      <c r="AAJ26" s="345">
        <f t="shared" si="2670"/>
        <v>0</v>
      </c>
      <c r="AAK26" s="345">
        <f t="shared" si="2670"/>
        <v>0</v>
      </c>
      <c r="AAL26" s="345">
        <f t="shared" si="2670"/>
        <v>0</v>
      </c>
      <c r="AAM26" s="345">
        <f t="shared" si="2670"/>
        <v>0</v>
      </c>
      <c r="AAN26" s="345">
        <f t="shared" si="2670"/>
        <v>0</v>
      </c>
      <c r="AAO26" s="345">
        <f t="shared" si="2670"/>
        <v>0</v>
      </c>
      <c r="AAP26" s="345">
        <f t="shared" si="2670"/>
        <v>0</v>
      </c>
      <c r="AAQ26" s="345">
        <f t="shared" si="2670"/>
        <v>0</v>
      </c>
      <c r="AAR26" s="345">
        <f t="shared" si="2670"/>
        <v>0</v>
      </c>
      <c r="AAS26" s="345">
        <f t="shared" si="2670"/>
        <v>0</v>
      </c>
      <c r="AAT26" s="345">
        <f t="shared" si="2670"/>
        <v>0</v>
      </c>
      <c r="AAU26" s="345">
        <f t="shared" si="2670"/>
        <v>0</v>
      </c>
      <c r="AAV26" s="345">
        <f t="shared" si="2670"/>
        <v>0</v>
      </c>
      <c r="AAW26" s="345">
        <f t="shared" si="2670"/>
        <v>0</v>
      </c>
      <c r="AAX26" s="345">
        <f t="shared" si="2670"/>
        <v>0</v>
      </c>
      <c r="AAY26" s="345">
        <f t="shared" si="2670"/>
        <v>0</v>
      </c>
      <c r="AAZ26" s="345">
        <f t="shared" si="2670"/>
        <v>0</v>
      </c>
      <c r="ABA26" s="345">
        <f t="shared" si="2670"/>
        <v>0</v>
      </c>
      <c r="ABB26" s="345">
        <f t="shared" si="2670"/>
        <v>0</v>
      </c>
      <c r="ABC26" s="345">
        <f t="shared" si="2670"/>
        <v>0</v>
      </c>
      <c r="ABD26" s="345">
        <f t="shared" si="2670"/>
        <v>0</v>
      </c>
      <c r="ABE26" s="336"/>
      <c r="ABF26" s="335"/>
      <c r="ABG26" s="335"/>
      <c r="ABH26" s="335"/>
      <c r="ABI26" s="335"/>
      <c r="ABJ26" s="335"/>
      <c r="ABK26" s="335"/>
      <c r="ABL26" s="335"/>
      <c r="ABM26" s="335"/>
      <c r="ABN26" s="335"/>
      <c r="ABO26" s="335"/>
      <c r="ABP26" s="335"/>
      <c r="ABQ26" s="335"/>
      <c r="ABR26" s="335"/>
      <c r="ABS26" s="335"/>
      <c r="ABT26" s="335"/>
      <c r="ABU26" s="335"/>
      <c r="ABV26" s="335"/>
      <c r="ABW26" s="335"/>
      <c r="ABX26" s="335"/>
      <c r="ABY26" s="335"/>
      <c r="ABZ26" s="335"/>
      <c r="ACA26" s="335"/>
      <c r="ACB26" s="335"/>
      <c r="ACC26" s="335"/>
      <c r="ACD26" s="335"/>
      <c r="ACE26" s="335"/>
      <c r="ACF26" s="335"/>
      <c r="ACG26" s="335"/>
      <c r="ACH26" s="335"/>
      <c r="ACI26" s="335"/>
      <c r="ACJ26" s="335">
        <f t="shared" ref="ACJ26" si="2671">ACH44</f>
        <v>0</v>
      </c>
      <c r="ACK26" s="335">
        <f t="shared" ref="ACK26" si="2672">ACI44</f>
        <v>0</v>
      </c>
      <c r="ACL26" s="335">
        <f t="shared" ref="ACL26" si="2673">ACJ44</f>
        <v>0</v>
      </c>
      <c r="ACM26" s="335">
        <f t="shared" ref="ACM26" si="2674">ACK44</f>
        <v>0</v>
      </c>
      <c r="ACN26" s="335">
        <f t="shared" ref="ACN26" si="2675">ACL44</f>
        <v>0</v>
      </c>
      <c r="ACO26" s="335">
        <f t="shared" ref="ACO26" si="2676">ACM44</f>
        <v>0</v>
      </c>
      <c r="ACP26" s="335">
        <f t="shared" ref="ACP26" si="2677">ACN44</f>
        <v>0</v>
      </c>
      <c r="ACQ26" s="335">
        <f t="shared" ref="ACQ26" si="2678">ACO44</f>
        <v>0</v>
      </c>
      <c r="ACR26" s="335">
        <f t="shared" ref="ACR26" si="2679">ACP44</f>
        <v>0</v>
      </c>
      <c r="ACS26" s="335">
        <f t="shared" ref="ACS26" si="2680">ACQ44</f>
        <v>0</v>
      </c>
      <c r="ACT26" s="335">
        <f t="shared" ref="ACT26" si="2681">ACR44</f>
        <v>0</v>
      </c>
      <c r="ACU26" s="335">
        <f t="shared" ref="ACU26" si="2682">ACS44</f>
        <v>0</v>
      </c>
      <c r="ACV26" s="335">
        <f t="shared" ref="ACV26" si="2683">ACT44</f>
        <v>0</v>
      </c>
      <c r="ACW26" s="335">
        <f t="shared" ref="ACW26" si="2684">ACU44</f>
        <v>0</v>
      </c>
      <c r="ACX26" s="335">
        <f t="shared" ref="ACX26" si="2685">ACV44</f>
        <v>0</v>
      </c>
      <c r="ACY26" s="335">
        <f t="shared" ref="ACY26" si="2686">ACW44</f>
        <v>0</v>
      </c>
      <c r="ACZ26" s="335">
        <f t="shared" ref="ACZ26" si="2687">ACX44</f>
        <v>0</v>
      </c>
      <c r="ADA26" s="335">
        <f t="shared" ref="ADA26" si="2688">ACY44</f>
        <v>0</v>
      </c>
      <c r="ADB26" s="335">
        <f t="shared" ref="ADB26" si="2689">ACZ44</f>
        <v>0</v>
      </c>
      <c r="ADC26" s="335">
        <f t="shared" ref="ADC26" si="2690">ADA44</f>
        <v>0</v>
      </c>
      <c r="ADD26" s="335">
        <f t="shared" ref="ADD26" si="2691">ADB44</f>
        <v>0</v>
      </c>
      <c r="ADE26" s="335">
        <f t="shared" ref="ADE26" si="2692">ADC44</f>
        <v>0</v>
      </c>
      <c r="ADF26" s="335">
        <f t="shared" ref="ADF26" si="2693">ADD44</f>
        <v>0</v>
      </c>
      <c r="ADG26" s="335">
        <f t="shared" ref="ADG26" si="2694">ADE44</f>
        <v>0</v>
      </c>
      <c r="ADH26" s="335">
        <f t="shared" ref="ADH26" si="2695">ADF44</f>
        <v>0</v>
      </c>
      <c r="ADI26" s="335">
        <f t="shared" ref="ADI26" si="2696">ADG44</f>
        <v>0</v>
      </c>
      <c r="ADJ26" s="335">
        <f t="shared" ref="ADJ26" si="2697">ADH44</f>
        <v>0</v>
      </c>
      <c r="ADK26" s="335">
        <f t="shared" ref="ADK26" si="2698">ADI44</f>
        <v>0</v>
      </c>
      <c r="ADL26" s="335">
        <f t="shared" ref="ADL26" si="2699">ADJ44</f>
        <v>0</v>
      </c>
      <c r="ADM26" s="335">
        <f t="shared" ref="ADM26" si="2700">ADK44</f>
        <v>0</v>
      </c>
      <c r="ADN26" s="335">
        <f t="shared" ref="ADN26" si="2701">ADL44</f>
        <v>0</v>
      </c>
      <c r="ADO26" s="335">
        <f t="shared" ref="ADO26" si="2702">ADM44</f>
        <v>0</v>
      </c>
      <c r="ADP26" s="335">
        <f t="shared" ref="ADP26" si="2703">ADN44</f>
        <v>0</v>
      </c>
      <c r="ADQ26" s="335">
        <f t="shared" ref="ADQ26" si="2704">ADO44</f>
        <v>0</v>
      </c>
      <c r="ADR26" s="335">
        <f t="shared" ref="ADR26" si="2705">ADP44</f>
        <v>0</v>
      </c>
      <c r="ADS26" s="335">
        <f t="shared" ref="ADS26" si="2706">ADQ44</f>
        <v>0</v>
      </c>
      <c r="ADT26" s="335">
        <f t="shared" ref="ADT26" si="2707">ADR44</f>
        <v>0</v>
      </c>
      <c r="ADU26" s="335">
        <f t="shared" ref="ADU26" si="2708">ADS44</f>
        <v>0</v>
      </c>
      <c r="ADV26" s="335">
        <f t="shared" ref="ADV26" si="2709">ADT44</f>
        <v>0</v>
      </c>
      <c r="ADW26" s="335">
        <f t="shared" ref="ADW26" si="2710">ADU44</f>
        <v>0</v>
      </c>
      <c r="ADX26" s="335">
        <f t="shared" ref="ADX26" si="2711">ADV44</f>
        <v>0</v>
      </c>
      <c r="ADY26" s="335">
        <f t="shared" ref="ADY26" si="2712">ADW44</f>
        <v>0</v>
      </c>
      <c r="ADZ26" s="335">
        <f t="shared" ref="ADZ26" si="2713">ADX44</f>
        <v>0</v>
      </c>
      <c r="AEA26" s="335">
        <f t="shared" ref="AEA26" si="2714">ADY44</f>
        <v>0</v>
      </c>
      <c r="AEB26" s="335">
        <f t="shared" ref="AEB26" si="2715">ADZ44</f>
        <v>0</v>
      </c>
      <c r="AEC26" s="335">
        <f t="shared" ref="AEC26" si="2716">AEA44</f>
        <v>0</v>
      </c>
      <c r="AED26" s="335">
        <f t="shared" ref="AED26" si="2717">AEB44</f>
        <v>0</v>
      </c>
      <c r="AEE26" s="335">
        <f t="shared" ref="AEE26" si="2718">AEC44</f>
        <v>0</v>
      </c>
      <c r="AEF26" s="335">
        <f t="shared" ref="AEF26" si="2719">AED44</f>
        <v>0</v>
      </c>
      <c r="AEG26" s="335">
        <f t="shared" ref="AEG26" si="2720">AEE44</f>
        <v>0</v>
      </c>
      <c r="AEH26" s="335">
        <f t="shared" ref="AEH26" si="2721">AEF44</f>
        <v>0</v>
      </c>
      <c r="AEI26" s="335">
        <f t="shared" ref="AEI26" si="2722">AEG44</f>
        <v>0</v>
      </c>
      <c r="AEJ26" s="335">
        <f t="shared" ref="AEJ26" si="2723">AEH44</f>
        <v>0</v>
      </c>
      <c r="AEK26" s="335">
        <f t="shared" ref="AEK26" si="2724">AEI44</f>
        <v>0</v>
      </c>
      <c r="AEL26" s="335">
        <f t="shared" ref="AEL26" si="2725">AEJ44</f>
        <v>0</v>
      </c>
      <c r="AEM26" s="335">
        <f t="shared" ref="AEM26" si="2726">AEK44</f>
        <v>0</v>
      </c>
      <c r="AEN26" s="335">
        <f t="shared" ref="AEN26" si="2727">AEL44</f>
        <v>0</v>
      </c>
      <c r="AEO26" s="335">
        <f t="shared" ref="AEO26" si="2728">AEM44</f>
        <v>0</v>
      </c>
      <c r="AEP26" s="335">
        <f t="shared" ref="AEP26" si="2729">AEN44</f>
        <v>0</v>
      </c>
      <c r="AEQ26" s="335">
        <f t="shared" ref="AEQ26" si="2730">AEO44</f>
        <v>0</v>
      </c>
      <c r="AER26" s="335">
        <f t="shared" ref="AER26" si="2731">AEP44</f>
        <v>0</v>
      </c>
      <c r="AES26" s="335">
        <f t="shared" ref="AES26" si="2732">AEQ44</f>
        <v>0</v>
      </c>
      <c r="AET26" s="335">
        <f t="shared" ref="AET26" si="2733">AER44</f>
        <v>0</v>
      </c>
      <c r="AEU26" s="335">
        <f t="shared" ref="AEU26" si="2734">AES44</f>
        <v>0</v>
      </c>
      <c r="AEV26" s="335">
        <f t="shared" ref="AEV26" si="2735">AET44</f>
        <v>0</v>
      </c>
      <c r="AEW26" s="335"/>
      <c r="AEX26" s="335"/>
      <c r="AEY26" s="335"/>
      <c r="AEZ26" s="335"/>
      <c r="AFA26" s="335"/>
      <c r="AFB26" s="335"/>
      <c r="AFC26" s="335"/>
      <c r="AFD26" s="335"/>
      <c r="AFE26" s="335"/>
      <c r="AFF26" s="335"/>
      <c r="AFG26" s="335"/>
      <c r="AFH26" s="335"/>
      <c r="AFI26" s="335"/>
      <c r="AFJ26" s="335"/>
      <c r="AFK26" s="335"/>
      <c r="AFL26" s="335"/>
      <c r="AFM26" s="335"/>
      <c r="AFN26" s="335"/>
      <c r="AFO26" s="335"/>
      <c r="AFP26" s="335"/>
      <c r="AFQ26" s="335"/>
      <c r="AFR26" s="335"/>
      <c r="AFS26" s="335"/>
      <c r="AFT26" s="335"/>
      <c r="AFU26" s="335"/>
      <c r="AFV26" s="335"/>
      <c r="AFW26" s="335"/>
      <c r="AFX26" s="335"/>
      <c r="AFY26" s="335"/>
      <c r="AFZ26" s="335"/>
      <c r="AGA26" s="335"/>
      <c r="AGB26" s="335"/>
      <c r="AGC26" s="335"/>
      <c r="AGD26" s="335"/>
      <c r="AGE26" s="335"/>
      <c r="AGF26" s="335"/>
      <c r="AGG26" s="335"/>
      <c r="AGH26" s="335"/>
      <c r="AGI26" s="335"/>
      <c r="AGJ26" s="335"/>
      <c r="AGK26" s="335"/>
      <c r="AGL26" s="335"/>
      <c r="AGM26" s="335"/>
      <c r="AGN26" s="335"/>
      <c r="AGO26" s="335"/>
      <c r="AGP26" s="335"/>
      <c r="AGQ26" s="335"/>
      <c r="AGR26" s="335"/>
      <c r="AGS26" s="335"/>
      <c r="AGT26" s="335"/>
      <c r="AGU26" s="335"/>
      <c r="AGV26" s="335"/>
      <c r="AGW26" s="335"/>
      <c r="AGX26" s="335"/>
      <c r="AGY26" s="335"/>
      <c r="AGZ26" s="335"/>
      <c r="AHA26" s="335"/>
      <c r="AHB26" s="335"/>
      <c r="AHC26" s="335"/>
      <c r="AHD26" s="335"/>
      <c r="AHE26" s="335"/>
      <c r="AHF26" s="335"/>
      <c r="AHG26" s="335"/>
      <c r="AHH26" s="335"/>
      <c r="AHI26" s="335"/>
      <c r="AHJ26" s="335"/>
      <c r="AHK26" s="335"/>
      <c r="AHL26" s="335"/>
      <c r="AHM26" s="335"/>
      <c r="AHN26" s="335"/>
      <c r="AHO26" s="335"/>
      <c r="AHP26" s="335"/>
      <c r="AHQ26" s="335"/>
      <c r="AHR26" s="335"/>
      <c r="AHS26" s="335"/>
      <c r="AHT26" s="335"/>
      <c r="AHU26" s="335"/>
      <c r="AHV26" s="335"/>
      <c r="AHW26" s="335"/>
      <c r="AHX26" s="335"/>
      <c r="AHY26" s="335"/>
      <c r="AHZ26" s="335"/>
      <c r="AIA26" s="335"/>
      <c r="AIB26" s="335"/>
      <c r="AIC26" s="341"/>
    </row>
    <row r="27" spans="1:913" s="161" customFormat="1">
      <c r="A27" s="172"/>
      <c r="B27" s="177">
        <v>0.375</v>
      </c>
      <c r="C27" s="190"/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Y27" s="216"/>
      <c r="Z27" s="216"/>
      <c r="AA27" s="216"/>
      <c r="AB27" s="216"/>
      <c r="AC27" s="216"/>
      <c r="AD27" s="216"/>
      <c r="AE27" s="216"/>
      <c r="AF27" s="216"/>
      <c r="AG27" s="216"/>
      <c r="AH27" s="216"/>
      <c r="AI27" s="216"/>
      <c r="AJ27" s="216"/>
      <c r="AK27" s="216"/>
      <c r="AL27" s="216"/>
      <c r="AM27" s="216"/>
      <c r="AN27" s="216"/>
      <c r="AO27" s="216"/>
      <c r="AP27" s="216"/>
      <c r="AQ27" s="216"/>
      <c r="AR27" s="216"/>
      <c r="AS27" s="216"/>
      <c r="AT27" s="216"/>
      <c r="AU27" s="216"/>
      <c r="AV27" s="216"/>
      <c r="AW27" s="216"/>
      <c r="AX27" s="216"/>
      <c r="AY27" s="190"/>
      <c r="AZ27" s="190"/>
      <c r="BA27" s="216"/>
      <c r="BB27" s="216"/>
      <c r="BC27" s="216"/>
      <c r="BD27" s="216"/>
      <c r="BE27" s="216"/>
      <c r="BF27" s="216"/>
      <c r="BG27" s="216"/>
      <c r="BH27" s="216"/>
      <c r="BI27" s="216"/>
      <c r="BJ27" s="216"/>
      <c r="BK27" s="216"/>
      <c r="BL27" s="216"/>
      <c r="BM27" s="216"/>
      <c r="BN27" s="216"/>
      <c r="BO27" s="216"/>
      <c r="BP27" s="216"/>
      <c r="BQ27" s="216"/>
      <c r="BR27" s="216"/>
      <c r="BS27" s="216"/>
      <c r="BT27" s="216"/>
      <c r="BU27" s="216"/>
      <c r="BV27" s="216"/>
      <c r="BW27" s="216"/>
      <c r="BX27" s="216"/>
      <c r="BY27" s="216"/>
      <c r="BZ27" s="216"/>
      <c r="CA27" s="216"/>
      <c r="CB27" s="216"/>
      <c r="CC27" s="216"/>
      <c r="CD27" s="216"/>
      <c r="CE27" s="216"/>
      <c r="CF27" s="216"/>
      <c r="CG27" s="216"/>
      <c r="CH27" s="216"/>
      <c r="CI27" s="216"/>
      <c r="CJ27" s="216"/>
      <c r="CK27" s="216"/>
      <c r="CL27" s="216"/>
      <c r="CM27" s="216"/>
      <c r="CN27" s="216"/>
      <c r="CO27" s="216"/>
      <c r="CP27" s="216"/>
      <c r="CQ27" s="216"/>
      <c r="CR27" s="216"/>
      <c r="CS27" s="216"/>
      <c r="CT27" s="216"/>
      <c r="CU27" s="216"/>
      <c r="CV27" s="216"/>
      <c r="CW27" s="216"/>
      <c r="CX27" s="216"/>
      <c r="CY27" s="216"/>
      <c r="CZ27" s="216"/>
      <c r="DA27" s="216"/>
      <c r="DB27" s="216"/>
      <c r="DC27" s="216"/>
      <c r="DD27" s="216"/>
      <c r="DE27" s="216"/>
      <c r="DF27" s="216"/>
      <c r="DG27" s="216"/>
      <c r="DH27" s="216"/>
      <c r="DI27" s="216"/>
      <c r="DJ27" s="216"/>
      <c r="DK27" s="216"/>
      <c r="DL27" s="216"/>
      <c r="DM27" s="216"/>
      <c r="DN27" s="216"/>
      <c r="DO27" s="216"/>
      <c r="DP27" s="216"/>
      <c r="DQ27" s="216"/>
      <c r="DR27" s="216"/>
      <c r="DS27" s="216"/>
      <c r="DT27" s="216"/>
      <c r="DU27" s="216"/>
      <c r="DV27" s="216"/>
      <c r="DW27" s="190"/>
      <c r="DX27" s="190"/>
      <c r="DY27" s="216"/>
      <c r="DZ27" s="216"/>
      <c r="EA27" s="216"/>
      <c r="EB27" s="216"/>
      <c r="EC27" s="216"/>
      <c r="ED27" s="216"/>
      <c r="EE27" s="216"/>
      <c r="EF27" s="216"/>
      <c r="EG27" s="216"/>
      <c r="EH27" s="216"/>
      <c r="EI27" s="216"/>
      <c r="EJ27" s="216"/>
      <c r="EK27" s="190"/>
      <c r="EL27" s="190"/>
      <c r="EM27" s="216"/>
      <c r="EN27" s="216"/>
      <c r="EO27" s="190"/>
      <c r="EP27" s="216"/>
      <c r="EQ27" s="216"/>
      <c r="ER27" s="216"/>
      <c r="ES27" s="216"/>
      <c r="ET27" s="216"/>
      <c r="EU27" s="216"/>
      <c r="EV27" s="216"/>
      <c r="EW27" s="216"/>
      <c r="EX27" s="216"/>
      <c r="EY27" s="190"/>
      <c r="EZ27" s="190"/>
      <c r="FA27" s="216"/>
      <c r="FB27" s="216"/>
      <c r="FC27" s="216"/>
      <c r="FD27" s="216"/>
      <c r="FE27" s="216"/>
      <c r="FF27" s="216"/>
      <c r="FG27" s="216"/>
      <c r="FH27" s="216"/>
      <c r="FI27" s="216"/>
      <c r="FJ27" s="216"/>
      <c r="FK27" s="216"/>
      <c r="FL27" s="216"/>
      <c r="FM27" s="190"/>
      <c r="FN27" s="190"/>
      <c r="FO27" s="216"/>
      <c r="FP27" s="216"/>
      <c r="FQ27" s="216"/>
      <c r="FR27" s="216"/>
      <c r="FS27" s="216"/>
      <c r="FT27" s="216"/>
      <c r="FU27" s="216"/>
      <c r="FV27" s="216"/>
      <c r="FW27" s="216"/>
      <c r="FX27" s="216"/>
      <c r="FY27" s="216"/>
      <c r="FZ27" s="216"/>
      <c r="GA27" s="216"/>
      <c r="GB27" s="216"/>
      <c r="GC27" s="217"/>
      <c r="GD27" s="217"/>
      <c r="GE27" s="217"/>
      <c r="GF27" s="217"/>
      <c r="GG27" s="217"/>
      <c r="GH27" s="217"/>
      <c r="GI27" s="216"/>
      <c r="GJ27" s="216"/>
      <c r="GK27" s="216"/>
      <c r="GL27" s="216"/>
      <c r="GM27" s="217"/>
      <c r="GN27" s="217"/>
      <c r="GO27" s="217"/>
      <c r="GP27" s="217"/>
      <c r="GQ27" s="217"/>
      <c r="GR27" s="218"/>
      <c r="GS27" s="217"/>
      <c r="GT27" s="217"/>
      <c r="GU27" s="217"/>
      <c r="GV27" s="217"/>
      <c r="GW27" s="216"/>
      <c r="GX27" s="216"/>
      <c r="GY27" s="190"/>
      <c r="GZ27" s="190"/>
      <c r="HA27" s="190"/>
      <c r="HB27" s="190"/>
      <c r="HC27" s="190"/>
      <c r="HD27" s="190"/>
      <c r="HE27" s="190"/>
      <c r="HF27" s="190"/>
      <c r="HG27" s="190"/>
      <c r="HH27" s="190"/>
      <c r="HI27" s="190"/>
      <c r="HJ27" s="190"/>
      <c r="HK27" s="190"/>
      <c r="HL27" s="190"/>
      <c r="HM27" s="190"/>
      <c r="HN27" s="190"/>
      <c r="HO27" s="190"/>
      <c r="HP27" s="190"/>
      <c r="HQ27" s="190"/>
      <c r="HR27" s="190"/>
      <c r="HS27" s="190"/>
      <c r="HT27" s="190"/>
      <c r="HU27" s="190"/>
      <c r="HV27" s="190"/>
      <c r="HW27" s="190"/>
      <c r="HX27" s="190"/>
      <c r="HY27" s="190"/>
      <c r="HZ27" s="190"/>
      <c r="IA27" s="190"/>
      <c r="IB27" s="190"/>
      <c r="IC27" s="190"/>
      <c r="ID27" s="190"/>
      <c r="IE27" s="190"/>
      <c r="IF27" s="190"/>
      <c r="IG27" s="190"/>
      <c r="IH27" s="190"/>
      <c r="II27" s="190"/>
      <c r="IJ27" s="190"/>
      <c r="IK27" s="190"/>
      <c r="IL27" s="190"/>
      <c r="IM27" s="190"/>
      <c r="IN27" s="190"/>
      <c r="IO27" s="190"/>
      <c r="IP27" s="190"/>
      <c r="IQ27" s="190"/>
      <c r="IR27" s="190"/>
      <c r="IS27" s="190"/>
      <c r="IT27" s="190"/>
      <c r="IU27" s="190"/>
      <c r="IV27" s="190"/>
      <c r="IW27" s="190"/>
      <c r="IX27" s="190"/>
      <c r="IY27" s="190"/>
      <c r="IZ27" s="190"/>
      <c r="JA27" s="190"/>
      <c r="JB27" s="190"/>
      <c r="JC27" s="190"/>
      <c r="JD27" s="190"/>
      <c r="JE27" s="190"/>
      <c r="JF27" s="190"/>
      <c r="JG27" s="190"/>
      <c r="JH27" s="190"/>
      <c r="JI27" s="190"/>
      <c r="JJ27" s="190"/>
      <c r="JK27" s="190"/>
      <c r="JL27" s="190"/>
      <c r="JM27" s="190"/>
      <c r="JN27" s="190"/>
      <c r="JO27" s="190"/>
      <c r="JP27" s="190"/>
      <c r="JQ27" s="190"/>
      <c r="JR27" s="190"/>
      <c r="JS27" s="190"/>
      <c r="JT27" s="190"/>
      <c r="JU27" s="190"/>
      <c r="JV27" s="190"/>
      <c r="JW27" s="190"/>
      <c r="JX27" s="190"/>
      <c r="JY27" s="190"/>
      <c r="JZ27" s="190"/>
      <c r="KA27" s="190"/>
      <c r="KB27" s="190"/>
      <c r="KC27" s="190"/>
      <c r="KD27" s="190"/>
      <c r="KE27" s="190"/>
      <c r="KF27" s="190"/>
      <c r="KG27" s="190"/>
      <c r="KH27" s="190"/>
      <c r="KI27" s="190"/>
      <c r="KJ27" s="190"/>
      <c r="KK27" s="190"/>
      <c r="KL27" s="190"/>
      <c r="KM27" s="190"/>
      <c r="KN27" s="190"/>
      <c r="KO27" s="190"/>
      <c r="KP27" s="190"/>
      <c r="KQ27" s="190"/>
      <c r="KR27" s="190"/>
      <c r="KS27" s="190"/>
      <c r="KT27" s="190"/>
      <c r="KU27" s="190"/>
      <c r="KV27" s="190"/>
      <c r="KW27" s="190"/>
      <c r="KX27" s="190"/>
      <c r="KY27" s="190"/>
      <c r="KZ27" s="190"/>
      <c r="LA27" s="190"/>
      <c r="LB27" s="190"/>
      <c r="LC27" s="190"/>
      <c r="LD27" s="190"/>
      <c r="LE27" s="190"/>
      <c r="LF27" s="190"/>
      <c r="LG27" s="190"/>
      <c r="LH27" s="190"/>
      <c r="LI27" s="190"/>
      <c r="LJ27" s="190"/>
      <c r="LK27" s="190"/>
      <c r="LL27" s="190"/>
      <c r="LM27" s="190"/>
      <c r="LN27" s="190"/>
      <c r="LO27" s="190"/>
      <c r="LP27" s="190"/>
      <c r="LQ27" s="190"/>
      <c r="LR27" s="190"/>
      <c r="LS27" s="190"/>
      <c r="LT27" s="190"/>
      <c r="LU27" s="190"/>
      <c r="LV27" s="190"/>
      <c r="LW27" s="190"/>
      <c r="LX27" s="190"/>
      <c r="LY27" s="190"/>
      <c r="LZ27" s="190"/>
      <c r="MA27" s="190"/>
      <c r="MB27" s="190"/>
      <c r="MC27" s="190"/>
      <c r="MD27" s="190"/>
      <c r="ME27" s="190"/>
      <c r="MF27" s="190"/>
      <c r="MG27" s="190"/>
      <c r="MH27" s="190"/>
      <c r="MI27" s="190"/>
      <c r="MJ27" s="190"/>
      <c r="MK27" s="190"/>
      <c r="ML27" s="190"/>
      <c r="MM27" s="190"/>
      <c r="MN27" s="190"/>
      <c r="MO27" s="190"/>
      <c r="MP27" s="190"/>
      <c r="MQ27" s="190"/>
      <c r="MR27" s="190"/>
      <c r="MS27" s="190"/>
      <c r="MT27" s="190"/>
      <c r="MU27" s="190"/>
      <c r="MV27" s="190"/>
      <c r="MW27" s="190"/>
      <c r="MX27" s="190"/>
      <c r="MY27" s="190"/>
      <c r="MZ27" s="190"/>
      <c r="NA27" s="190"/>
      <c r="NB27" s="190"/>
      <c r="NC27" s="190"/>
      <c r="ND27" s="190"/>
      <c r="NE27" s="190"/>
      <c r="NF27" s="190"/>
      <c r="NG27" s="190"/>
      <c r="NH27" s="190"/>
      <c r="NI27" s="190"/>
      <c r="NJ27" s="190"/>
      <c r="NK27" s="190"/>
      <c r="NL27" s="190"/>
      <c r="NM27" s="190"/>
      <c r="NN27" s="190"/>
      <c r="NO27" s="190"/>
      <c r="NP27" s="190"/>
      <c r="NQ27" s="190"/>
      <c r="NR27" s="190"/>
      <c r="NS27" s="190"/>
      <c r="NT27" s="190"/>
      <c r="NU27" s="190"/>
      <c r="NV27" s="190"/>
      <c r="NW27" s="190"/>
      <c r="NX27" s="190"/>
      <c r="NY27" s="190"/>
      <c r="NZ27" s="190"/>
      <c r="OA27" s="190"/>
      <c r="OB27" s="190"/>
      <c r="OC27" s="190"/>
      <c r="OD27" s="190"/>
      <c r="OE27" s="190"/>
      <c r="OF27" s="190"/>
      <c r="OG27" s="190"/>
      <c r="OH27" s="190"/>
      <c r="OI27" s="190"/>
      <c r="OJ27" s="190"/>
      <c r="OK27" s="190"/>
      <c r="OL27" s="190"/>
      <c r="OM27" s="190"/>
      <c r="ON27" s="190"/>
      <c r="OO27" s="190"/>
      <c r="OP27" s="190"/>
      <c r="OQ27" s="190"/>
      <c r="OR27" s="190"/>
      <c r="OS27" s="190"/>
      <c r="OT27" s="190"/>
      <c r="OU27" s="190"/>
      <c r="OV27" s="190"/>
      <c r="OW27" s="190"/>
      <c r="OX27" s="190"/>
      <c r="OY27" s="190"/>
      <c r="OZ27" s="190"/>
      <c r="PA27" s="190"/>
      <c r="PB27" s="291"/>
      <c r="PC27" s="246"/>
      <c r="PD27" s="247"/>
      <c r="PE27" s="246"/>
      <c r="PF27" s="247"/>
      <c r="PG27" s="246"/>
      <c r="PH27" s="247"/>
      <c r="PI27" s="246"/>
      <c r="PJ27" s="247"/>
      <c r="PK27" s="190"/>
      <c r="PL27" s="291"/>
      <c r="PM27" s="246"/>
      <c r="PN27" s="247"/>
      <c r="PO27" s="292"/>
      <c r="PP27" s="247"/>
      <c r="PQ27" s="246"/>
      <c r="PR27" s="247"/>
      <c r="PS27" s="246"/>
      <c r="PT27" s="247"/>
      <c r="PU27" s="246"/>
      <c r="PV27" s="247"/>
      <c r="PW27" s="246"/>
      <c r="PX27" s="247"/>
      <c r="PY27" s="246"/>
      <c r="PZ27" s="247"/>
      <c r="QA27" s="246"/>
      <c r="QB27" s="247"/>
      <c r="QC27" s="246"/>
      <c r="QD27" s="247"/>
      <c r="QE27" s="246"/>
      <c r="QF27" s="247"/>
      <c r="QG27" s="246"/>
      <c r="QH27" s="247"/>
      <c r="QI27" s="246"/>
      <c r="QJ27" s="247"/>
      <c r="QK27" s="246"/>
      <c r="QL27" s="247"/>
      <c r="QM27" s="246"/>
      <c r="QN27" s="247"/>
      <c r="QO27" s="246"/>
      <c r="QP27" s="247"/>
      <c r="QQ27" s="246"/>
      <c r="QR27" s="247"/>
      <c r="QS27" s="246"/>
      <c r="QT27" s="247"/>
      <c r="QU27" s="246"/>
      <c r="QV27" s="247"/>
      <c r="QW27" s="246"/>
      <c r="QX27" s="247"/>
      <c r="QY27" s="246"/>
      <c r="QZ27" s="247"/>
      <c r="RA27" s="246"/>
      <c r="RB27" s="247"/>
      <c r="RC27" s="246"/>
      <c r="RD27" s="190"/>
      <c r="RE27" s="190"/>
      <c r="RF27" s="190"/>
      <c r="RG27" s="190"/>
      <c r="RH27" s="190"/>
      <c r="RI27" s="190"/>
      <c r="RJ27" s="190"/>
      <c r="RK27" s="190"/>
      <c r="RL27" s="190"/>
      <c r="RM27" s="190"/>
      <c r="RN27" s="190"/>
      <c r="RO27" s="190"/>
      <c r="RP27" s="190"/>
      <c r="RQ27" s="190"/>
      <c r="RR27" s="190"/>
      <c r="RS27" s="190"/>
      <c r="RT27" s="190"/>
      <c r="RU27" s="190"/>
      <c r="RV27" s="190"/>
      <c r="RW27" s="190"/>
      <c r="RX27" s="190"/>
      <c r="RY27" s="190"/>
      <c r="RZ27" s="190"/>
      <c r="SA27" s="190"/>
      <c r="SB27" s="190"/>
      <c r="SC27" s="190"/>
      <c r="SD27" s="190"/>
      <c r="SE27" s="190"/>
      <c r="SF27" s="190"/>
      <c r="SG27" s="190"/>
      <c r="SH27" s="190"/>
      <c r="SI27" s="190"/>
      <c r="SJ27" s="190"/>
      <c r="SK27" s="190"/>
      <c r="SL27" s="190"/>
      <c r="SM27" s="190"/>
      <c r="SN27" s="190"/>
      <c r="SO27" s="190"/>
      <c r="SP27" s="190"/>
      <c r="SQ27" s="190"/>
      <c r="SR27" s="190"/>
      <c r="SS27" s="190"/>
      <c r="ST27" s="190"/>
      <c r="SU27" s="190"/>
      <c r="SV27" s="190"/>
      <c r="SW27" s="190"/>
      <c r="SX27" s="190"/>
      <c r="SY27" s="190"/>
      <c r="SZ27" s="190"/>
      <c r="TA27" s="190"/>
      <c r="TB27" s="190"/>
      <c r="TC27" s="190"/>
      <c r="TD27" s="190"/>
      <c r="TE27" s="190"/>
      <c r="TF27" s="190"/>
      <c r="TG27" s="190"/>
      <c r="TH27" s="190"/>
      <c r="TI27" s="190"/>
      <c r="TJ27" s="190"/>
      <c r="TK27" s="190"/>
      <c r="TL27" s="190"/>
      <c r="TM27" s="190"/>
      <c r="TN27" s="190"/>
      <c r="TO27" s="190"/>
      <c r="TP27" s="190"/>
      <c r="TQ27" s="190"/>
      <c r="TR27" s="190"/>
      <c r="TS27" s="190"/>
      <c r="TT27" s="190"/>
      <c r="TU27" s="190"/>
      <c r="TV27" s="190"/>
      <c r="TW27" s="190"/>
      <c r="TX27" s="190"/>
      <c r="TY27" s="190"/>
      <c r="TZ27" s="190"/>
      <c r="UA27" s="190"/>
      <c r="UB27" s="190"/>
      <c r="UC27" s="190"/>
      <c r="UD27" s="190"/>
      <c r="UE27" s="190"/>
      <c r="UF27" s="190"/>
      <c r="UG27" s="190"/>
      <c r="UH27" s="190"/>
      <c r="UI27" s="190"/>
      <c r="UJ27" s="190"/>
      <c r="UK27" s="190"/>
      <c r="UL27" s="190"/>
      <c r="UM27" s="190"/>
      <c r="UN27" s="190"/>
      <c r="UO27" s="190"/>
      <c r="UP27" s="190"/>
      <c r="UQ27" s="190"/>
      <c r="UR27" s="190"/>
      <c r="US27" s="190"/>
      <c r="UT27" s="190"/>
      <c r="UU27" s="190"/>
      <c r="UV27" s="190"/>
      <c r="UW27" s="190"/>
      <c r="UX27" s="190"/>
      <c r="UY27" s="190"/>
      <c r="UZ27" s="190"/>
      <c r="VA27" s="190"/>
      <c r="VB27" s="190"/>
      <c r="VC27" s="190"/>
      <c r="VD27" s="190"/>
      <c r="VE27" s="190"/>
      <c r="VF27" s="190"/>
      <c r="VG27" s="190"/>
      <c r="VH27" s="190"/>
      <c r="VI27" s="190"/>
      <c r="VJ27" s="190"/>
      <c r="VK27" s="190"/>
      <c r="VL27" s="190"/>
      <c r="VM27" s="190"/>
      <c r="VN27" s="190"/>
      <c r="VO27" s="190"/>
      <c r="VP27" s="190"/>
      <c r="VQ27" s="190"/>
      <c r="VR27" s="190"/>
      <c r="VS27" s="190"/>
      <c r="VT27" s="190"/>
      <c r="VU27" s="190"/>
      <c r="VV27" s="190"/>
      <c r="VW27" s="190"/>
      <c r="VX27" s="190"/>
      <c r="VY27" s="190"/>
      <c r="VZ27" s="190"/>
      <c r="WA27" s="190"/>
      <c r="WB27" s="190"/>
      <c r="WC27" s="190"/>
      <c r="WD27" s="190"/>
      <c r="WE27" s="190"/>
      <c r="WF27" s="190"/>
      <c r="WG27" s="190"/>
      <c r="WH27" s="190"/>
      <c r="WI27" s="190"/>
      <c r="WJ27" s="190"/>
      <c r="WK27" s="190"/>
      <c r="WL27" s="190"/>
      <c r="WM27" s="190"/>
      <c r="WN27" s="190"/>
      <c r="WO27" s="190"/>
      <c r="WP27" s="190"/>
      <c r="WQ27" s="190"/>
      <c r="WR27" s="190"/>
      <c r="WS27" s="190"/>
      <c r="WT27" s="190"/>
      <c r="WU27" s="190"/>
      <c r="WV27" s="190"/>
      <c r="WW27" s="190"/>
      <c r="WX27" s="190"/>
      <c r="WY27" s="190"/>
      <c r="WZ27" s="190"/>
      <c r="XA27" s="190"/>
      <c r="XB27" s="190"/>
      <c r="XC27" s="190"/>
      <c r="XD27" s="190"/>
      <c r="XE27" s="190"/>
      <c r="XF27" s="190"/>
      <c r="XG27" s="190"/>
      <c r="XH27" s="190"/>
      <c r="XI27" s="190"/>
      <c r="XJ27" s="190"/>
      <c r="XK27" s="190"/>
      <c r="XL27" s="190"/>
      <c r="XM27" s="190"/>
      <c r="XN27" s="190"/>
      <c r="XO27" s="190"/>
      <c r="XP27" s="190"/>
      <c r="XQ27" s="190"/>
      <c r="XR27" s="190"/>
      <c r="XS27" s="190"/>
      <c r="XT27" s="190"/>
      <c r="XU27" s="190"/>
      <c r="XV27" s="190"/>
      <c r="XW27" s="190"/>
      <c r="XX27" s="190"/>
      <c r="XY27" s="190"/>
      <c r="XZ27" s="190"/>
      <c r="YA27" s="190"/>
      <c r="YB27" s="190"/>
      <c r="YC27" s="190"/>
      <c r="YD27" s="190"/>
      <c r="YE27" s="190"/>
      <c r="YF27" s="190"/>
      <c r="YG27" s="190"/>
      <c r="YH27" s="190"/>
      <c r="YI27" s="190"/>
      <c r="YJ27" s="190"/>
      <c r="YK27" s="190"/>
      <c r="YL27" s="190"/>
      <c r="YM27" s="190"/>
      <c r="YN27" s="190"/>
      <c r="YO27" s="190"/>
      <c r="YP27" s="190"/>
      <c r="YQ27" s="190"/>
      <c r="YR27" s="190"/>
      <c r="YS27" s="190"/>
      <c r="YT27" s="190"/>
      <c r="YU27" s="190"/>
      <c r="YV27" s="190"/>
      <c r="YW27" s="190"/>
      <c r="YX27" s="190"/>
      <c r="YY27" s="190"/>
      <c r="YZ27" s="190"/>
      <c r="ZA27" s="190"/>
      <c r="ZB27" s="190"/>
      <c r="ZC27" s="190"/>
      <c r="ZD27" s="190"/>
      <c r="ZE27" s="190"/>
      <c r="ZF27" s="190"/>
      <c r="ZG27" s="190"/>
      <c r="ZH27" s="190"/>
      <c r="ZI27" s="190"/>
      <c r="ZJ27" s="190"/>
      <c r="ZK27" s="190"/>
      <c r="ZL27" s="190"/>
      <c r="ZM27" s="190"/>
      <c r="ZN27" s="190"/>
      <c r="ZO27" s="190"/>
      <c r="ZP27" s="190"/>
      <c r="ZQ27" s="190"/>
      <c r="ZR27" s="190"/>
      <c r="ZS27" s="190"/>
      <c r="ZT27" s="190"/>
      <c r="ZU27" s="190"/>
      <c r="ZV27" s="190"/>
      <c r="ZW27" s="190"/>
      <c r="ZX27" s="190"/>
      <c r="ZY27" s="190"/>
      <c r="ZZ27" s="190"/>
      <c r="AAA27" s="190"/>
      <c r="AAB27" s="190"/>
      <c r="AAC27" s="190"/>
      <c r="AAD27" s="190"/>
      <c r="AAE27" s="190"/>
      <c r="AAF27" s="190"/>
      <c r="AAG27" s="190"/>
      <c r="AAH27" s="190"/>
      <c r="AAI27" s="190"/>
      <c r="AAJ27" s="190"/>
      <c r="AAK27" s="190"/>
      <c r="AAL27" s="190"/>
      <c r="AAM27" s="190"/>
      <c r="AAN27" s="190"/>
      <c r="AAO27" s="190"/>
      <c r="AAP27" s="190"/>
      <c r="AAQ27" s="190"/>
      <c r="AAR27" s="190"/>
      <c r="AAS27" s="190"/>
      <c r="AAT27" s="190"/>
      <c r="AAU27" s="190"/>
      <c r="AAV27" s="190"/>
      <c r="AAW27" s="190"/>
      <c r="AAX27" s="190"/>
      <c r="AAY27" s="190"/>
      <c r="AAZ27" s="190"/>
      <c r="ABA27" s="190"/>
      <c r="ABB27" s="190"/>
      <c r="ABC27" s="190"/>
      <c r="ABD27" s="190"/>
      <c r="ABE27" s="336"/>
      <c r="ABF27" s="335"/>
      <c r="ABG27" s="335"/>
      <c r="ABH27" s="335"/>
      <c r="ABI27" s="335"/>
      <c r="ABJ27" s="335"/>
      <c r="ABK27" s="335"/>
      <c r="ABL27" s="335"/>
      <c r="ABM27" s="335"/>
      <c r="ABN27" s="335"/>
      <c r="ABO27" s="335"/>
      <c r="ABP27" s="335"/>
      <c r="ABQ27" s="335"/>
      <c r="ABR27" s="335"/>
      <c r="ABS27" s="335"/>
      <c r="ABT27" s="335"/>
      <c r="ABU27" s="335"/>
      <c r="ABV27" s="335"/>
      <c r="ABW27" s="335"/>
      <c r="ABX27" s="335"/>
      <c r="ABY27" s="335"/>
      <c r="ABZ27" s="335"/>
      <c r="ACA27" s="335"/>
      <c r="ACB27" s="335"/>
      <c r="ACC27" s="335"/>
      <c r="ACD27" s="335"/>
      <c r="ACE27" s="335"/>
      <c r="ACF27" s="335"/>
      <c r="ACG27" s="335"/>
      <c r="ACH27" s="335"/>
      <c r="ACI27" s="335"/>
      <c r="ACJ27" s="335"/>
      <c r="ACK27" s="335"/>
      <c r="ACL27" s="335"/>
      <c r="ACM27" s="335"/>
      <c r="ACN27" s="335"/>
      <c r="ACO27" s="335"/>
      <c r="ACP27" s="335"/>
      <c r="ACQ27" s="335"/>
      <c r="ACR27" s="335"/>
      <c r="ACS27" s="335"/>
      <c r="ACT27" s="335"/>
      <c r="ACU27" s="335"/>
      <c r="ACV27" s="335"/>
      <c r="ACW27" s="335"/>
      <c r="ACX27" s="335"/>
      <c r="ACY27" s="335"/>
      <c r="ACZ27" s="335"/>
      <c r="ADA27" s="335"/>
      <c r="ADB27" s="335"/>
      <c r="ADC27" s="335"/>
      <c r="ADD27" s="335"/>
      <c r="ADE27" s="335"/>
      <c r="ADF27" s="335"/>
      <c r="ADG27" s="335"/>
      <c r="ADH27" s="335"/>
      <c r="ADI27" s="335"/>
      <c r="ADJ27" s="335"/>
      <c r="ADK27" s="335"/>
      <c r="ADL27" s="335"/>
      <c r="ADM27" s="335"/>
      <c r="ADN27" s="335"/>
      <c r="ADO27" s="335"/>
      <c r="ADP27" s="335"/>
      <c r="ADQ27" s="335"/>
      <c r="ADR27" s="335"/>
      <c r="ADS27" s="335"/>
      <c r="ADT27" s="335"/>
      <c r="ADU27" s="335"/>
      <c r="ADV27" s="335"/>
      <c r="ADW27" s="335"/>
      <c r="ADX27" s="335"/>
      <c r="ADY27" s="335"/>
      <c r="ADZ27" s="335"/>
      <c r="AEA27" s="335"/>
      <c r="AEB27" s="335"/>
      <c r="AEC27" s="335"/>
      <c r="AED27" s="335"/>
      <c r="AEE27" s="335"/>
      <c r="AEF27" s="335"/>
      <c r="AEG27" s="335"/>
      <c r="AEH27" s="335"/>
      <c r="AEI27" s="335"/>
      <c r="AEJ27" s="335"/>
      <c r="AEK27" s="335"/>
      <c r="AEL27" s="335"/>
      <c r="AEM27" s="335"/>
      <c r="AEN27" s="335"/>
      <c r="AEO27" s="335"/>
      <c r="AEP27" s="335"/>
      <c r="AEQ27" s="335"/>
      <c r="AER27" s="335"/>
      <c r="AES27" s="335"/>
      <c r="AET27" s="335"/>
      <c r="AEU27" s="335"/>
      <c r="AEV27" s="335"/>
      <c r="AEW27" s="335"/>
      <c r="AEX27" s="335"/>
      <c r="AEY27" s="335"/>
      <c r="AEZ27" s="335"/>
      <c r="AFA27" s="335"/>
      <c r="AFB27" s="335"/>
      <c r="AFC27" s="335"/>
      <c r="AFD27" s="335"/>
      <c r="AFE27" s="335"/>
      <c r="AFF27" s="335"/>
      <c r="AFG27" s="335"/>
      <c r="AFH27" s="335"/>
      <c r="AFI27" s="335"/>
      <c r="AFJ27" s="335"/>
      <c r="AFK27" s="335"/>
      <c r="AFL27" s="335"/>
      <c r="AFM27" s="335"/>
      <c r="AFN27" s="335"/>
      <c r="AFO27" s="335"/>
      <c r="AFP27" s="335"/>
      <c r="AFQ27" s="335"/>
      <c r="AFR27" s="335"/>
      <c r="AFS27" s="335"/>
      <c r="AFT27" s="335"/>
      <c r="AFU27" s="335"/>
      <c r="AFV27" s="335"/>
      <c r="AFW27" s="335"/>
      <c r="AFX27" s="335"/>
      <c r="AFY27" s="335"/>
      <c r="AFZ27" s="335"/>
      <c r="AGA27" s="335"/>
      <c r="AGB27" s="335"/>
      <c r="AGC27" s="335"/>
      <c r="AGD27" s="335"/>
      <c r="AGE27" s="335"/>
      <c r="AGF27" s="335"/>
      <c r="AGG27" s="335"/>
      <c r="AGH27" s="335"/>
      <c r="AGI27" s="335"/>
      <c r="AGJ27" s="335"/>
      <c r="AGK27" s="335"/>
      <c r="AGL27" s="335"/>
      <c r="AGM27" s="335"/>
      <c r="AGN27" s="335"/>
      <c r="AGO27" s="335"/>
      <c r="AGP27" s="335"/>
      <c r="AGQ27" s="335"/>
      <c r="AGR27" s="335"/>
      <c r="AGS27" s="335"/>
      <c r="AGT27" s="335"/>
      <c r="AGU27" s="335"/>
      <c r="AGV27" s="335"/>
      <c r="AGW27" s="335"/>
      <c r="AGX27" s="335"/>
      <c r="AGY27" s="335"/>
      <c r="AGZ27" s="335"/>
      <c r="AHA27" s="335"/>
      <c r="AHB27" s="335"/>
      <c r="AHC27" s="335"/>
      <c r="AHD27" s="335"/>
      <c r="AHE27" s="335"/>
      <c r="AHF27" s="335"/>
      <c r="AHG27" s="335"/>
      <c r="AHH27" s="335"/>
      <c r="AHI27" s="335"/>
      <c r="AHJ27" s="335"/>
      <c r="AHK27" s="335"/>
      <c r="AHL27" s="335"/>
      <c r="AHM27" s="335"/>
      <c r="AHN27" s="335"/>
      <c r="AHO27" s="335"/>
      <c r="AHP27" s="335"/>
      <c r="AHQ27" s="335"/>
      <c r="AHR27" s="335"/>
      <c r="AHS27" s="335"/>
      <c r="AHT27" s="335"/>
      <c r="AHU27" s="335"/>
      <c r="AHV27" s="335"/>
      <c r="AHW27" s="335"/>
      <c r="AHX27" s="335"/>
      <c r="AHY27" s="335"/>
      <c r="AHZ27" s="335"/>
      <c r="AIA27" s="335"/>
      <c r="AIB27" s="335"/>
      <c r="AIC27" s="339"/>
    </row>
    <row r="28" spans="1:913" s="161" customFormat="1">
      <c r="A28" s="172"/>
      <c r="B28" s="177">
        <v>0.41666666666666702</v>
      </c>
      <c r="C28" s="190"/>
      <c r="D28" s="190"/>
      <c r="E28" s="190"/>
      <c r="F28" s="190"/>
      <c r="G28" s="190"/>
      <c r="H28" s="190"/>
      <c r="I28" s="190"/>
      <c r="J28" s="190"/>
      <c r="K28" s="190"/>
      <c r="L28" s="190"/>
      <c r="M28" s="190"/>
      <c r="N28" s="190"/>
      <c r="O28" s="216"/>
      <c r="P28" s="216"/>
      <c r="Q28" s="216"/>
      <c r="R28" s="216"/>
      <c r="S28" s="216"/>
      <c r="T28" s="216"/>
      <c r="U28" s="216"/>
      <c r="V28" s="216"/>
      <c r="W28" s="216"/>
      <c r="X28" s="216"/>
      <c r="Y28" s="216"/>
      <c r="Z28" s="216"/>
      <c r="AA28" s="216"/>
      <c r="AB28" s="216"/>
      <c r="AC28" s="216"/>
      <c r="AD28" s="216"/>
      <c r="AE28" s="216"/>
      <c r="AF28" s="216"/>
      <c r="AG28" s="216"/>
      <c r="AH28" s="216"/>
      <c r="AI28" s="216"/>
      <c r="AJ28" s="216"/>
      <c r="AK28" s="216"/>
      <c r="AL28" s="216"/>
      <c r="AM28" s="216"/>
      <c r="AN28" s="216"/>
      <c r="AO28" s="216"/>
      <c r="AP28" s="216"/>
      <c r="AQ28" s="216"/>
      <c r="AR28" s="216"/>
      <c r="AS28" s="216"/>
      <c r="AT28" s="216"/>
      <c r="AU28" s="216"/>
      <c r="AV28" s="216"/>
      <c r="AW28" s="216"/>
      <c r="AX28" s="216"/>
      <c r="AY28" s="216"/>
      <c r="AZ28" s="216"/>
      <c r="BA28" s="216"/>
      <c r="BB28" s="216"/>
      <c r="BC28" s="216"/>
      <c r="BD28" s="216"/>
      <c r="BE28" s="216"/>
      <c r="BF28" s="216"/>
      <c r="BG28" s="216"/>
      <c r="BH28" s="216"/>
      <c r="BI28" s="216"/>
      <c r="BJ28" s="216"/>
      <c r="BK28" s="216"/>
      <c r="BL28" s="216"/>
      <c r="BM28" s="216"/>
      <c r="BN28" s="216"/>
      <c r="BO28" s="216"/>
      <c r="BP28" s="216"/>
      <c r="BQ28" s="216"/>
      <c r="BR28" s="216"/>
      <c r="BS28" s="216"/>
      <c r="BT28" s="216"/>
      <c r="BU28" s="216"/>
      <c r="BV28" s="216"/>
      <c r="BW28" s="216"/>
      <c r="BX28" s="216"/>
      <c r="BY28" s="216"/>
      <c r="BZ28" s="216"/>
      <c r="CA28" s="216"/>
      <c r="CB28" s="216"/>
      <c r="CC28" s="216"/>
      <c r="CD28" s="216"/>
      <c r="CE28" s="216"/>
      <c r="CF28" s="216"/>
      <c r="CG28" s="216"/>
      <c r="CH28" s="216"/>
      <c r="CI28" s="216"/>
      <c r="CJ28" s="216"/>
      <c r="CK28" s="216"/>
      <c r="CL28" s="216"/>
      <c r="CM28" s="216"/>
      <c r="CN28" s="216"/>
      <c r="CO28" s="216"/>
      <c r="CP28" s="216"/>
      <c r="CQ28" s="216"/>
      <c r="CR28" s="216"/>
      <c r="CS28" s="216"/>
      <c r="CT28" s="216"/>
      <c r="CU28" s="216"/>
      <c r="CV28" s="216"/>
      <c r="CW28" s="216"/>
      <c r="CX28" s="216"/>
      <c r="CY28" s="216"/>
      <c r="CZ28" s="216"/>
      <c r="DA28" s="216"/>
      <c r="DB28" s="216"/>
      <c r="DC28" s="216"/>
      <c r="DD28" s="216"/>
      <c r="DE28" s="216"/>
      <c r="DF28" s="216"/>
      <c r="DG28" s="216"/>
      <c r="DH28" s="216"/>
      <c r="DI28" s="190"/>
      <c r="DJ28" s="216"/>
      <c r="DK28" s="216"/>
      <c r="DL28" s="216"/>
      <c r="DM28" s="216"/>
      <c r="DN28" s="216"/>
      <c r="DO28" s="216"/>
      <c r="DP28" s="216"/>
      <c r="DQ28" s="216"/>
      <c r="DR28" s="216"/>
      <c r="DS28" s="216"/>
      <c r="DT28" s="216"/>
      <c r="DU28" s="216"/>
      <c r="DV28" s="216"/>
      <c r="DW28" s="190"/>
      <c r="DX28" s="190"/>
      <c r="DY28" s="216"/>
      <c r="DZ28" s="216"/>
      <c r="EA28" s="216"/>
      <c r="EB28" s="216"/>
      <c r="EC28" s="216"/>
      <c r="ED28" s="216"/>
      <c r="EE28" s="216"/>
      <c r="EF28" s="216"/>
      <c r="EG28" s="216"/>
      <c r="EH28" s="216"/>
      <c r="EI28" s="216"/>
      <c r="EJ28" s="216"/>
      <c r="EK28" s="190"/>
      <c r="EL28" s="190"/>
      <c r="EM28" s="216"/>
      <c r="EN28" s="216"/>
      <c r="EO28" s="190"/>
      <c r="EP28" s="216"/>
      <c r="EQ28" s="216"/>
      <c r="ER28" s="216"/>
      <c r="ES28" s="216"/>
      <c r="ET28" s="216"/>
      <c r="EU28" s="216"/>
      <c r="EV28" s="216"/>
      <c r="EW28" s="216"/>
      <c r="EX28" s="216"/>
      <c r="EY28" s="190"/>
      <c r="EZ28" s="190"/>
      <c r="FA28" s="216"/>
      <c r="FB28" s="216"/>
      <c r="FC28" s="216"/>
      <c r="FD28" s="216"/>
      <c r="FE28" s="216"/>
      <c r="FF28" s="216"/>
      <c r="FG28" s="216"/>
      <c r="FH28" s="216"/>
      <c r="FI28" s="216"/>
      <c r="FJ28" s="216"/>
      <c r="FK28" s="216"/>
      <c r="FL28" s="216"/>
      <c r="FM28" s="190"/>
      <c r="FN28" s="190"/>
      <c r="FO28" s="216"/>
      <c r="FP28" s="216"/>
      <c r="FQ28" s="216"/>
      <c r="FR28" s="216"/>
      <c r="FS28" s="216"/>
      <c r="FT28" s="216"/>
      <c r="FU28" s="216"/>
      <c r="FV28" s="216"/>
      <c r="FW28" s="216"/>
      <c r="FX28" s="216"/>
      <c r="FY28" s="216"/>
      <c r="FZ28" s="216"/>
      <c r="GA28" s="216"/>
      <c r="GB28" s="216"/>
      <c r="GC28" s="217"/>
      <c r="GD28" s="217"/>
      <c r="GE28" s="217"/>
      <c r="GF28" s="217"/>
      <c r="GG28" s="217"/>
      <c r="GH28" s="217"/>
      <c r="GI28" s="216"/>
      <c r="GJ28" s="216"/>
      <c r="GK28" s="216"/>
      <c r="GL28" s="216"/>
      <c r="GM28" s="217"/>
      <c r="GN28" s="217"/>
      <c r="GO28" s="217"/>
      <c r="GP28" s="217"/>
      <c r="GQ28" s="217"/>
      <c r="GR28" s="218"/>
      <c r="GS28" s="217"/>
      <c r="GT28" s="217"/>
      <c r="GU28" s="217"/>
      <c r="GV28" s="217"/>
      <c r="GW28" s="216"/>
      <c r="GX28" s="216"/>
      <c r="GY28" s="190"/>
      <c r="GZ28" s="190"/>
      <c r="HA28" s="190"/>
      <c r="HB28" s="190"/>
      <c r="HC28" s="190"/>
      <c r="HD28" s="190"/>
      <c r="HE28" s="190"/>
      <c r="HF28" s="190"/>
      <c r="HG28" s="190"/>
      <c r="HH28" s="190"/>
      <c r="HI28" s="190"/>
      <c r="HJ28" s="190"/>
      <c r="HK28" s="190"/>
      <c r="HL28" s="190"/>
      <c r="HM28" s="190"/>
      <c r="HN28" s="190"/>
      <c r="HO28" s="190"/>
      <c r="HP28" s="190"/>
      <c r="HQ28" s="190"/>
      <c r="HR28" s="190"/>
      <c r="HS28" s="190"/>
      <c r="HT28" s="190"/>
      <c r="HU28" s="190"/>
      <c r="HV28" s="190"/>
      <c r="HW28" s="190"/>
      <c r="HX28" s="190"/>
      <c r="HY28" s="190"/>
      <c r="HZ28" s="190"/>
      <c r="IA28" s="190"/>
      <c r="IB28" s="190"/>
      <c r="IC28" s="190"/>
      <c r="ID28" s="190"/>
      <c r="IE28" s="190"/>
      <c r="IF28" s="190"/>
      <c r="IG28" s="190"/>
      <c r="IH28" s="190"/>
      <c r="II28" s="190"/>
      <c r="IJ28" s="190"/>
      <c r="IK28" s="190"/>
      <c r="IL28" s="190"/>
      <c r="IM28" s="190"/>
      <c r="IN28" s="190"/>
      <c r="IO28" s="190"/>
      <c r="IP28" s="190"/>
      <c r="IQ28" s="190"/>
      <c r="IR28" s="190"/>
      <c r="IS28" s="190"/>
      <c r="IT28" s="190"/>
      <c r="IU28" s="190"/>
      <c r="IV28" s="190"/>
      <c r="IW28" s="190"/>
      <c r="IX28" s="190"/>
      <c r="IY28" s="190"/>
      <c r="IZ28" s="190"/>
      <c r="JA28" s="190"/>
      <c r="JB28" s="190"/>
      <c r="JC28" s="190"/>
      <c r="JD28" s="190"/>
      <c r="JE28" s="190"/>
      <c r="JF28" s="190"/>
      <c r="JG28" s="190"/>
      <c r="JH28" s="190"/>
      <c r="JI28" s="190"/>
      <c r="JJ28" s="190"/>
      <c r="JK28" s="190"/>
      <c r="JL28" s="190"/>
      <c r="JM28" s="190"/>
      <c r="JN28" s="190"/>
      <c r="JO28" s="190"/>
      <c r="JP28" s="190"/>
      <c r="JQ28" s="190"/>
      <c r="JR28" s="190"/>
      <c r="JS28" s="190"/>
      <c r="JT28" s="190"/>
      <c r="JU28" s="190"/>
      <c r="JV28" s="190"/>
      <c r="JW28" s="190"/>
      <c r="JX28" s="190"/>
      <c r="JY28" s="190"/>
      <c r="JZ28" s="190"/>
      <c r="KA28" s="190"/>
      <c r="KB28" s="190"/>
      <c r="KC28" s="190"/>
      <c r="KD28" s="190"/>
      <c r="KE28" s="190"/>
      <c r="KF28" s="190"/>
      <c r="KG28" s="190"/>
      <c r="KH28" s="190"/>
      <c r="KI28" s="190"/>
      <c r="KJ28" s="190"/>
      <c r="KK28" s="190"/>
      <c r="KL28" s="190"/>
      <c r="KM28" s="190"/>
      <c r="KN28" s="190"/>
      <c r="KO28" s="190"/>
      <c r="KP28" s="190"/>
      <c r="KQ28" s="190"/>
      <c r="KR28" s="190"/>
      <c r="KS28" s="190"/>
      <c r="KT28" s="190"/>
      <c r="KU28" s="190"/>
      <c r="KV28" s="190"/>
      <c r="KW28" s="190"/>
      <c r="KX28" s="190"/>
      <c r="KY28" s="190"/>
      <c r="KZ28" s="190"/>
      <c r="LA28" s="190"/>
      <c r="LB28" s="190"/>
      <c r="LC28" s="190"/>
      <c r="LD28" s="190"/>
      <c r="LE28" s="190"/>
      <c r="LF28" s="190"/>
      <c r="LG28" s="190"/>
      <c r="LH28" s="190"/>
      <c r="LI28" s="190"/>
      <c r="LJ28" s="190"/>
      <c r="LK28" s="190"/>
      <c r="LL28" s="190"/>
      <c r="LM28" s="190"/>
      <c r="LN28" s="190"/>
      <c r="LO28" s="190"/>
      <c r="LP28" s="190"/>
      <c r="LQ28" s="190"/>
      <c r="LR28" s="190"/>
      <c r="LS28" s="190"/>
      <c r="LT28" s="190"/>
      <c r="LU28" s="190"/>
      <c r="LV28" s="190"/>
      <c r="LW28" s="190"/>
      <c r="LX28" s="190"/>
      <c r="LY28" s="190"/>
      <c r="LZ28" s="190"/>
      <c r="MA28" s="190"/>
      <c r="MB28" s="190"/>
      <c r="MC28" s="190"/>
      <c r="MD28" s="190"/>
      <c r="ME28" s="190"/>
      <c r="MF28" s="190"/>
      <c r="MG28" s="190"/>
      <c r="MH28" s="190"/>
      <c r="MI28" s="190"/>
      <c r="MJ28" s="190"/>
      <c r="MK28" s="190"/>
      <c r="ML28" s="190"/>
      <c r="MM28" s="190"/>
      <c r="MN28" s="190"/>
      <c r="MO28" s="190"/>
      <c r="MP28" s="190"/>
      <c r="MQ28" s="190"/>
      <c r="MR28" s="190"/>
      <c r="MS28" s="190"/>
      <c r="MT28" s="190"/>
      <c r="MU28" s="190"/>
      <c r="MV28" s="190"/>
      <c r="MW28" s="190"/>
      <c r="MX28" s="190"/>
      <c r="MY28" s="190"/>
      <c r="MZ28" s="190"/>
      <c r="NA28" s="190"/>
      <c r="NB28" s="190"/>
      <c r="NC28" s="190"/>
      <c r="ND28" s="190"/>
      <c r="NE28" s="190"/>
      <c r="NF28" s="190"/>
      <c r="NG28" s="190"/>
      <c r="NH28" s="190"/>
      <c r="NI28" s="190"/>
      <c r="NJ28" s="190"/>
      <c r="NK28" s="190"/>
      <c r="NL28" s="190"/>
      <c r="NM28" s="190"/>
      <c r="NN28" s="190"/>
      <c r="NO28" s="190"/>
      <c r="NP28" s="190"/>
      <c r="NQ28" s="190"/>
      <c r="NR28" s="190"/>
      <c r="NS28" s="190"/>
      <c r="NT28" s="190"/>
      <c r="NU28" s="190"/>
      <c r="NV28" s="190"/>
      <c r="NW28" s="190"/>
      <c r="NX28" s="190"/>
      <c r="NY28" s="190"/>
      <c r="NZ28" s="190"/>
      <c r="OA28" s="190"/>
      <c r="OB28" s="190"/>
      <c r="OC28" s="190"/>
      <c r="OD28" s="190"/>
      <c r="OE28" s="190"/>
      <c r="OF28" s="190"/>
      <c r="OG28" s="190"/>
      <c r="OH28" s="190"/>
      <c r="OI28" s="190"/>
      <c r="OJ28" s="190"/>
      <c r="OK28" s="190"/>
      <c r="OL28" s="190"/>
      <c r="OM28" s="190"/>
      <c r="ON28" s="190"/>
      <c r="OO28" s="190"/>
      <c r="OP28" s="190"/>
      <c r="OQ28" s="190"/>
      <c r="OR28" s="190"/>
      <c r="OS28" s="190"/>
      <c r="OT28" s="190"/>
      <c r="OU28" s="190"/>
      <c r="OV28" s="190"/>
      <c r="OW28" s="190"/>
      <c r="OX28" s="190"/>
      <c r="OY28" s="190"/>
      <c r="OZ28" s="190"/>
      <c r="PA28" s="190"/>
      <c r="PB28" s="291"/>
      <c r="PC28" s="246"/>
      <c r="PD28" s="247"/>
      <c r="PE28" s="246"/>
      <c r="PF28" s="247"/>
      <c r="PG28" s="246"/>
      <c r="PH28" s="247"/>
      <c r="PI28" s="246"/>
      <c r="PJ28" s="247"/>
      <c r="PK28" s="190"/>
      <c r="PL28" s="291"/>
      <c r="PM28" s="246"/>
      <c r="PN28" s="247"/>
      <c r="PO28" s="292"/>
      <c r="PP28" s="247"/>
      <c r="PQ28" s="246"/>
      <c r="PR28" s="247"/>
      <c r="PS28" s="246"/>
      <c r="PT28" s="247"/>
      <c r="PU28" s="246"/>
      <c r="PV28" s="247"/>
      <c r="PW28" s="246"/>
      <c r="PX28" s="247"/>
      <c r="PY28" s="246"/>
      <c r="PZ28" s="247"/>
      <c r="QA28" s="246"/>
      <c r="QB28" s="247"/>
      <c r="QC28" s="246"/>
      <c r="QD28" s="247"/>
      <c r="QE28" s="246"/>
      <c r="QF28" s="247"/>
      <c r="QG28" s="246"/>
      <c r="QH28" s="247"/>
      <c r="QI28" s="246"/>
      <c r="QJ28" s="247"/>
      <c r="QK28" s="246"/>
      <c r="QL28" s="247"/>
      <c r="QM28" s="246"/>
      <c r="QN28" s="247"/>
      <c r="QO28" s="246"/>
      <c r="QP28" s="247"/>
      <c r="QQ28" s="246"/>
      <c r="QR28" s="247"/>
      <c r="QS28" s="246"/>
      <c r="QT28" s="247"/>
      <c r="QU28" s="246"/>
      <c r="QV28" s="247"/>
      <c r="QW28" s="246"/>
      <c r="QX28" s="247"/>
      <c r="QY28" s="246"/>
      <c r="QZ28" s="247"/>
      <c r="RA28" s="246"/>
      <c r="RB28" s="247"/>
      <c r="RC28" s="246"/>
      <c r="RD28" s="190"/>
      <c r="RE28" s="190"/>
      <c r="RF28" s="190"/>
      <c r="RG28" s="190"/>
      <c r="RH28" s="190"/>
      <c r="RI28" s="190"/>
      <c r="RJ28" s="190"/>
      <c r="RK28" s="190"/>
      <c r="RL28" s="190"/>
      <c r="RM28" s="190"/>
      <c r="RN28" s="190"/>
      <c r="RO28" s="190"/>
      <c r="RP28" s="190"/>
      <c r="RQ28" s="190"/>
      <c r="RR28" s="190"/>
      <c r="RS28" s="190"/>
      <c r="RT28" s="190"/>
      <c r="RU28" s="190"/>
      <c r="RV28" s="190"/>
      <c r="RW28" s="190"/>
      <c r="RX28" s="190"/>
      <c r="RY28" s="190"/>
      <c r="RZ28" s="190"/>
      <c r="SA28" s="190"/>
      <c r="SB28" s="190"/>
      <c r="SC28" s="190"/>
      <c r="SD28" s="190"/>
      <c r="SE28" s="190"/>
      <c r="SF28" s="190"/>
      <c r="SG28" s="190"/>
      <c r="SH28" s="190"/>
      <c r="SI28" s="190"/>
      <c r="SJ28" s="190"/>
      <c r="SK28" s="190"/>
      <c r="SL28" s="190"/>
      <c r="SM28" s="190"/>
      <c r="SN28" s="190"/>
      <c r="SO28" s="190"/>
      <c r="SP28" s="190"/>
      <c r="SQ28" s="190"/>
      <c r="SR28" s="190"/>
      <c r="SS28" s="190"/>
      <c r="ST28" s="190"/>
      <c r="SU28" s="190"/>
      <c r="SV28" s="190"/>
      <c r="SW28" s="190"/>
      <c r="SX28" s="190"/>
      <c r="SY28" s="190"/>
      <c r="SZ28" s="190"/>
      <c r="TA28" s="190"/>
      <c r="TB28" s="190"/>
      <c r="TC28" s="190"/>
      <c r="TD28" s="190"/>
      <c r="TE28" s="190"/>
      <c r="TF28" s="190"/>
      <c r="TG28" s="190"/>
      <c r="TH28" s="190"/>
      <c r="TI28" s="190"/>
      <c r="TJ28" s="190"/>
      <c r="TK28" s="190"/>
      <c r="TL28" s="190"/>
      <c r="TM28" s="190"/>
      <c r="TN28" s="190"/>
      <c r="TO28" s="190"/>
      <c r="TP28" s="190"/>
      <c r="TQ28" s="190"/>
      <c r="TR28" s="190"/>
      <c r="TS28" s="190"/>
      <c r="TT28" s="190"/>
      <c r="TU28" s="190"/>
      <c r="TV28" s="190"/>
      <c r="TW28" s="190"/>
      <c r="TX28" s="190"/>
      <c r="TY28" s="190"/>
      <c r="TZ28" s="190"/>
      <c r="UA28" s="190"/>
      <c r="UB28" s="190"/>
      <c r="UC28" s="190"/>
      <c r="UD28" s="190"/>
      <c r="UE28" s="190"/>
      <c r="UF28" s="190"/>
      <c r="UG28" s="190"/>
      <c r="UH28" s="190"/>
      <c r="UI28" s="190"/>
      <c r="UJ28" s="190"/>
      <c r="UK28" s="190"/>
      <c r="UL28" s="190"/>
      <c r="UM28" s="190"/>
      <c r="UN28" s="190"/>
      <c r="UO28" s="190"/>
      <c r="UP28" s="190"/>
      <c r="UQ28" s="190"/>
      <c r="UR28" s="190"/>
      <c r="US28" s="190"/>
      <c r="UT28" s="190"/>
      <c r="UU28" s="190"/>
      <c r="UV28" s="190"/>
      <c r="UW28" s="190"/>
      <c r="UX28" s="190"/>
      <c r="UY28" s="190"/>
      <c r="UZ28" s="190"/>
      <c r="VA28" s="190"/>
      <c r="VB28" s="190"/>
      <c r="VC28" s="190"/>
      <c r="VD28" s="190"/>
      <c r="VE28" s="190"/>
      <c r="VF28" s="190"/>
      <c r="VG28" s="190"/>
      <c r="VH28" s="190"/>
      <c r="VI28" s="190"/>
      <c r="VJ28" s="190"/>
      <c r="VK28" s="190"/>
      <c r="VL28" s="190"/>
      <c r="VM28" s="190"/>
      <c r="VN28" s="190"/>
      <c r="VO28" s="190"/>
      <c r="VP28" s="190"/>
      <c r="VQ28" s="190"/>
      <c r="VR28" s="190"/>
      <c r="VS28" s="190"/>
      <c r="VT28" s="190"/>
      <c r="VU28" s="190"/>
      <c r="VV28" s="190"/>
      <c r="VW28" s="190"/>
      <c r="VX28" s="190"/>
      <c r="VY28" s="190"/>
      <c r="VZ28" s="190"/>
      <c r="WA28" s="190"/>
      <c r="WB28" s="190"/>
      <c r="WC28" s="190"/>
      <c r="WD28" s="190"/>
      <c r="WE28" s="190"/>
      <c r="WF28" s="190"/>
      <c r="WG28" s="190"/>
      <c r="WH28" s="190"/>
      <c r="WI28" s="190"/>
      <c r="WJ28" s="190"/>
      <c r="WK28" s="190"/>
      <c r="WL28" s="190"/>
      <c r="WM28" s="190"/>
      <c r="WN28" s="190"/>
      <c r="WO28" s="190"/>
      <c r="WP28" s="190"/>
      <c r="WQ28" s="190"/>
      <c r="WR28" s="190"/>
      <c r="WS28" s="190"/>
      <c r="WT28" s="190"/>
      <c r="WU28" s="190"/>
      <c r="WV28" s="190"/>
      <c r="WW28" s="190"/>
      <c r="WX28" s="190"/>
      <c r="WY28" s="190"/>
      <c r="WZ28" s="190"/>
      <c r="XA28" s="190"/>
      <c r="XB28" s="190"/>
      <c r="XC28" s="190"/>
      <c r="XD28" s="190"/>
      <c r="XE28" s="190"/>
      <c r="XF28" s="190"/>
      <c r="XG28" s="190"/>
      <c r="XH28" s="190"/>
      <c r="XI28" s="190"/>
      <c r="XJ28" s="190"/>
      <c r="XK28" s="190"/>
      <c r="XL28" s="190"/>
      <c r="XM28" s="190"/>
      <c r="XN28" s="190"/>
      <c r="XO28" s="190"/>
      <c r="XP28" s="190"/>
      <c r="XQ28" s="190"/>
      <c r="XR28" s="190"/>
      <c r="XS28" s="190"/>
      <c r="XT28" s="190"/>
      <c r="XU28" s="190"/>
      <c r="XV28" s="190"/>
      <c r="XW28" s="190"/>
      <c r="XX28" s="190"/>
      <c r="XY28" s="190"/>
      <c r="XZ28" s="190"/>
      <c r="YA28" s="190"/>
      <c r="YB28" s="190"/>
      <c r="YC28" s="190"/>
      <c r="YD28" s="190"/>
      <c r="YE28" s="190"/>
      <c r="YF28" s="190"/>
      <c r="YG28" s="190"/>
      <c r="YH28" s="190"/>
      <c r="YI28" s="190"/>
      <c r="YJ28" s="190"/>
      <c r="YK28" s="190"/>
      <c r="YL28" s="190"/>
      <c r="YM28" s="190"/>
      <c r="YN28" s="190"/>
      <c r="YO28" s="190"/>
      <c r="YP28" s="190"/>
      <c r="YQ28" s="190"/>
      <c r="YR28" s="190"/>
      <c r="YS28" s="190"/>
      <c r="YT28" s="190"/>
      <c r="YU28" s="190"/>
      <c r="YV28" s="190"/>
      <c r="YW28" s="190"/>
      <c r="YX28" s="190"/>
      <c r="YY28" s="190"/>
      <c r="YZ28" s="190"/>
      <c r="ZA28" s="190"/>
      <c r="ZB28" s="190"/>
      <c r="ZC28" s="190"/>
      <c r="ZD28" s="190"/>
      <c r="ZE28" s="190"/>
      <c r="ZF28" s="190"/>
      <c r="ZG28" s="190"/>
      <c r="ZH28" s="190"/>
      <c r="ZI28" s="190"/>
      <c r="ZJ28" s="190"/>
      <c r="ZK28" s="190"/>
      <c r="ZL28" s="190"/>
      <c r="ZM28" s="190"/>
      <c r="ZN28" s="190"/>
      <c r="ZO28" s="190"/>
      <c r="ZP28" s="190"/>
      <c r="ZQ28" s="190"/>
      <c r="ZR28" s="190"/>
      <c r="ZS28" s="190"/>
      <c r="ZT28" s="190"/>
      <c r="ZU28" s="190"/>
      <c r="ZV28" s="190"/>
      <c r="ZW28" s="190"/>
      <c r="ZX28" s="190"/>
      <c r="ZY28" s="190"/>
      <c r="ZZ28" s="190"/>
      <c r="AAA28" s="190"/>
      <c r="AAB28" s="190"/>
      <c r="AAC28" s="190"/>
      <c r="AAD28" s="190"/>
      <c r="AAE28" s="190"/>
      <c r="AAF28" s="190"/>
      <c r="AAG28" s="190"/>
      <c r="AAH28" s="190"/>
      <c r="AAI28" s="190"/>
      <c r="AAJ28" s="190"/>
      <c r="AAK28" s="190"/>
      <c r="AAL28" s="190"/>
      <c r="AAM28" s="190"/>
      <c r="AAN28" s="190"/>
      <c r="AAO28" s="190"/>
      <c r="AAP28" s="190"/>
      <c r="AAQ28" s="190"/>
      <c r="AAR28" s="190"/>
      <c r="AAS28" s="190"/>
      <c r="AAT28" s="190"/>
      <c r="AAU28" s="190"/>
      <c r="AAV28" s="190"/>
      <c r="AAW28" s="190"/>
      <c r="AAX28" s="190"/>
      <c r="AAY28" s="190"/>
      <c r="AAZ28" s="190"/>
      <c r="ABA28" s="190"/>
      <c r="ABB28" s="190"/>
      <c r="ABC28" s="190"/>
      <c r="ABD28" s="190"/>
      <c r="ABE28" s="336"/>
      <c r="ABF28" s="335"/>
      <c r="ABG28" s="335"/>
      <c r="ABH28" s="335"/>
      <c r="ABI28" s="335"/>
      <c r="ABJ28" s="335"/>
      <c r="ABK28" s="335"/>
      <c r="ABL28" s="335"/>
      <c r="ABM28" s="335"/>
      <c r="ABN28" s="335"/>
      <c r="ABO28" s="335"/>
      <c r="ABP28" s="335"/>
      <c r="ABQ28" s="335"/>
      <c r="ABR28" s="335"/>
      <c r="ABS28" s="335"/>
      <c r="ABT28" s="335"/>
      <c r="ABU28" s="335"/>
      <c r="ABV28" s="335"/>
      <c r="ABW28" s="335"/>
      <c r="ABX28" s="335"/>
      <c r="ABY28" s="335"/>
      <c r="ABZ28" s="335"/>
      <c r="ACA28" s="335"/>
      <c r="ACB28" s="335"/>
      <c r="ACC28" s="335"/>
      <c r="ACD28" s="335"/>
      <c r="ACE28" s="335"/>
      <c r="ACF28" s="335"/>
      <c r="ACG28" s="335"/>
      <c r="ACH28" s="335"/>
      <c r="ACI28" s="335"/>
      <c r="ACJ28" s="335"/>
      <c r="ACK28" s="335"/>
      <c r="ACL28" s="335"/>
      <c r="ACM28" s="335"/>
      <c r="ACN28" s="335"/>
      <c r="ACO28" s="335"/>
      <c r="ACP28" s="335"/>
      <c r="ACQ28" s="335"/>
      <c r="ACR28" s="335"/>
      <c r="ACS28" s="335"/>
      <c r="ACT28" s="335"/>
      <c r="ACU28" s="335"/>
      <c r="ACV28" s="335"/>
      <c r="ACW28" s="335"/>
      <c r="ACX28" s="335"/>
      <c r="ACY28" s="335"/>
      <c r="ACZ28" s="335"/>
      <c r="ADA28" s="335"/>
      <c r="ADB28" s="335"/>
      <c r="ADC28" s="335"/>
      <c r="ADD28" s="335"/>
      <c r="ADE28" s="335"/>
      <c r="ADF28" s="335"/>
      <c r="ADG28" s="335"/>
      <c r="ADH28" s="335"/>
      <c r="ADI28" s="335"/>
      <c r="ADJ28" s="335"/>
      <c r="ADK28" s="335"/>
      <c r="ADL28" s="335"/>
      <c r="ADM28" s="335"/>
      <c r="ADN28" s="335"/>
      <c r="ADO28" s="335"/>
      <c r="ADP28" s="335"/>
      <c r="ADQ28" s="335"/>
      <c r="ADR28" s="335"/>
      <c r="ADS28" s="335"/>
      <c r="ADT28" s="335"/>
      <c r="ADU28" s="335"/>
      <c r="ADV28" s="335"/>
      <c r="ADW28" s="335"/>
      <c r="ADX28" s="335"/>
      <c r="ADY28" s="335"/>
      <c r="ADZ28" s="335"/>
      <c r="AEA28" s="335"/>
      <c r="AEB28" s="335"/>
      <c r="AEC28" s="335"/>
      <c r="AED28" s="335"/>
      <c r="AEE28" s="335"/>
      <c r="AEF28" s="335"/>
      <c r="AEG28" s="335"/>
      <c r="AEH28" s="335"/>
      <c r="AEI28" s="335"/>
      <c r="AEJ28" s="335"/>
      <c r="AEK28" s="335"/>
      <c r="AEL28" s="335"/>
      <c r="AEM28" s="335"/>
      <c r="AEN28" s="335"/>
      <c r="AEO28" s="335"/>
      <c r="AEP28" s="335"/>
      <c r="AEQ28" s="335"/>
      <c r="AER28" s="335"/>
      <c r="AES28" s="335"/>
      <c r="AET28" s="335"/>
      <c r="AEU28" s="335"/>
      <c r="AEV28" s="335"/>
      <c r="AEW28" s="335"/>
      <c r="AEX28" s="335"/>
      <c r="AEY28" s="335"/>
      <c r="AEZ28" s="335"/>
      <c r="AFA28" s="335"/>
      <c r="AFB28" s="335"/>
      <c r="AFC28" s="335"/>
      <c r="AFD28" s="335"/>
      <c r="AFE28" s="335"/>
      <c r="AFF28" s="335"/>
      <c r="AFG28" s="335"/>
      <c r="AFH28" s="335"/>
      <c r="AFI28" s="335"/>
      <c r="AFJ28" s="335"/>
      <c r="AFK28" s="335"/>
      <c r="AFL28" s="335"/>
      <c r="AFM28" s="335"/>
      <c r="AFN28" s="335"/>
      <c r="AFO28" s="335"/>
      <c r="AFP28" s="335"/>
      <c r="AFQ28" s="335"/>
      <c r="AFR28" s="335"/>
      <c r="AFS28" s="335"/>
      <c r="AFT28" s="335"/>
      <c r="AFU28" s="335"/>
      <c r="AFV28" s="335"/>
      <c r="AFW28" s="335"/>
      <c r="AFX28" s="335"/>
      <c r="AFY28" s="335"/>
      <c r="AFZ28" s="335"/>
      <c r="AGA28" s="335"/>
      <c r="AGB28" s="335"/>
      <c r="AGC28" s="335"/>
      <c r="AGD28" s="335"/>
      <c r="AGE28" s="335"/>
      <c r="AGF28" s="335"/>
      <c r="AGG28" s="335"/>
      <c r="AGH28" s="335"/>
      <c r="AGI28" s="335"/>
      <c r="AGJ28" s="335"/>
      <c r="AGK28" s="335"/>
      <c r="AGL28" s="335"/>
      <c r="AGM28" s="335"/>
      <c r="AGN28" s="335"/>
      <c r="AGO28" s="335"/>
      <c r="AGP28" s="335"/>
      <c r="AGQ28" s="335"/>
      <c r="AGR28" s="335"/>
      <c r="AGS28" s="335"/>
      <c r="AGT28" s="335"/>
      <c r="AGU28" s="335"/>
      <c r="AGV28" s="335"/>
      <c r="AGW28" s="335"/>
      <c r="AGX28" s="335"/>
      <c r="AGY28" s="335"/>
      <c r="AGZ28" s="335"/>
      <c r="AHA28" s="335"/>
      <c r="AHB28" s="335"/>
      <c r="AHC28" s="335"/>
      <c r="AHD28" s="335"/>
      <c r="AHE28" s="335"/>
      <c r="AHF28" s="335"/>
      <c r="AHG28" s="335"/>
      <c r="AHH28" s="335"/>
      <c r="AHI28" s="335"/>
      <c r="AHJ28" s="335"/>
      <c r="AHK28" s="335"/>
      <c r="AHL28" s="335"/>
      <c r="AHM28" s="335"/>
      <c r="AHN28" s="335"/>
      <c r="AHO28" s="335"/>
      <c r="AHP28" s="335"/>
      <c r="AHQ28" s="335"/>
      <c r="AHR28" s="335"/>
      <c r="AHS28" s="335"/>
      <c r="AHT28" s="335"/>
      <c r="AHU28" s="335"/>
      <c r="AHV28" s="335"/>
      <c r="AHW28" s="335"/>
      <c r="AHX28" s="335"/>
      <c r="AHY28" s="335"/>
      <c r="AHZ28" s="335"/>
      <c r="AIA28" s="335"/>
      <c r="AIB28" s="335"/>
      <c r="AIC28" s="339"/>
    </row>
    <row r="29" spans="1:913" s="161" customFormat="1">
      <c r="A29" s="172"/>
      <c r="B29" s="177">
        <v>0.45833333333333298</v>
      </c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Y29" s="216"/>
      <c r="Z29" s="216"/>
      <c r="AA29" s="216"/>
      <c r="AB29" s="216"/>
      <c r="AC29" s="216"/>
      <c r="AD29" s="216"/>
      <c r="AE29" s="216"/>
      <c r="AF29" s="216"/>
      <c r="AG29" s="216"/>
      <c r="AH29" s="216"/>
      <c r="AI29" s="216"/>
      <c r="AJ29" s="216"/>
      <c r="AK29" s="216"/>
      <c r="AL29" s="216"/>
      <c r="AM29" s="216"/>
      <c r="AN29" s="216"/>
      <c r="AO29" s="216"/>
      <c r="AP29" s="216"/>
      <c r="AQ29" s="216"/>
      <c r="AR29" s="216"/>
      <c r="AS29" s="216"/>
      <c r="AT29" s="216"/>
      <c r="AU29" s="216"/>
      <c r="AV29" s="216"/>
      <c r="AW29" s="216"/>
      <c r="AX29" s="216"/>
      <c r="AY29" s="216"/>
      <c r="AZ29" s="216"/>
      <c r="BA29" s="216"/>
      <c r="BB29" s="216"/>
      <c r="BC29" s="216"/>
      <c r="BD29" s="216"/>
      <c r="BE29" s="216"/>
      <c r="BF29" s="216"/>
      <c r="BG29" s="216"/>
      <c r="BH29" s="216"/>
      <c r="BI29" s="216"/>
      <c r="BJ29" s="216"/>
      <c r="BK29" s="216"/>
      <c r="BL29" s="216"/>
      <c r="BM29" s="216"/>
      <c r="BN29" s="216"/>
      <c r="BO29" s="216"/>
      <c r="BP29" s="216"/>
      <c r="BQ29" s="216"/>
      <c r="BR29" s="216"/>
      <c r="BS29" s="216"/>
      <c r="BT29" s="216"/>
      <c r="BU29" s="216"/>
      <c r="BV29" s="216"/>
      <c r="BW29" s="216"/>
      <c r="BX29" s="216"/>
      <c r="BY29" s="216"/>
      <c r="BZ29" s="216"/>
      <c r="CA29" s="216"/>
      <c r="CB29" s="216"/>
      <c r="CC29" s="216"/>
      <c r="CD29" s="190"/>
      <c r="CE29" s="216"/>
      <c r="CF29" s="216"/>
      <c r="CG29" s="216"/>
      <c r="CH29" s="216"/>
      <c r="CI29" s="216"/>
      <c r="CJ29" s="216"/>
      <c r="CK29" s="216"/>
      <c r="CL29" s="216"/>
      <c r="CM29" s="216"/>
      <c r="CN29" s="216"/>
      <c r="CO29" s="216"/>
      <c r="CP29" s="216"/>
      <c r="CQ29" s="216"/>
      <c r="CR29" s="216"/>
      <c r="CS29" s="216"/>
      <c r="CT29" s="216"/>
      <c r="CU29" s="216"/>
      <c r="CV29" s="216"/>
      <c r="CW29" s="216"/>
      <c r="CX29" s="216"/>
      <c r="CY29" s="216"/>
      <c r="CZ29" s="216"/>
      <c r="DA29" s="216"/>
      <c r="DB29" s="216"/>
      <c r="DC29" s="216"/>
      <c r="DD29" s="216"/>
      <c r="DE29" s="216"/>
      <c r="DF29" s="216"/>
      <c r="DG29" s="216"/>
      <c r="DH29" s="216"/>
      <c r="DI29" s="216"/>
      <c r="DJ29" s="216"/>
      <c r="DK29" s="216"/>
      <c r="DL29" s="216"/>
      <c r="DM29" s="216"/>
      <c r="DN29" s="216"/>
      <c r="DO29" s="216"/>
      <c r="DP29" s="216"/>
      <c r="DQ29" s="216"/>
      <c r="DR29" s="216"/>
      <c r="DS29" s="216"/>
      <c r="DT29" s="216"/>
      <c r="DU29" s="216"/>
      <c r="DV29" s="216"/>
      <c r="DW29" s="190"/>
      <c r="DX29" s="190"/>
      <c r="DY29" s="216"/>
      <c r="DZ29" s="216"/>
      <c r="EA29" s="216"/>
      <c r="EB29" s="216"/>
      <c r="EC29" s="216"/>
      <c r="ED29" s="216"/>
      <c r="EE29" s="216"/>
      <c r="EF29" s="216"/>
      <c r="EG29" s="216"/>
      <c r="EH29" s="216"/>
      <c r="EI29" s="216"/>
      <c r="EJ29" s="216"/>
      <c r="EK29" s="190"/>
      <c r="EL29" s="190"/>
      <c r="EM29" s="216"/>
      <c r="EN29" s="216"/>
      <c r="EO29" s="190"/>
      <c r="EP29" s="216"/>
      <c r="EQ29" s="216"/>
      <c r="ER29" s="216"/>
      <c r="ES29" s="216"/>
      <c r="ET29" s="216"/>
      <c r="EU29" s="216"/>
      <c r="EV29" s="216"/>
      <c r="EW29" s="216"/>
      <c r="EX29" s="216"/>
      <c r="EY29" s="190"/>
      <c r="EZ29" s="190"/>
      <c r="FA29" s="216"/>
      <c r="FB29" s="216"/>
      <c r="FC29" s="216"/>
      <c r="FD29" s="216"/>
      <c r="FE29" s="216"/>
      <c r="FF29" s="216"/>
      <c r="FG29" s="216"/>
      <c r="FH29" s="216"/>
      <c r="FI29" s="216"/>
      <c r="FJ29" s="216"/>
      <c r="FK29" s="216"/>
      <c r="FL29" s="216"/>
      <c r="FM29" s="190"/>
      <c r="FN29" s="190"/>
      <c r="FO29" s="216"/>
      <c r="FP29" s="216"/>
      <c r="FQ29" s="216"/>
      <c r="FR29" s="216"/>
      <c r="FS29" s="216"/>
      <c r="FT29" s="216"/>
      <c r="FU29" s="216"/>
      <c r="FV29" s="216"/>
      <c r="FW29" s="216"/>
      <c r="FX29" s="216"/>
      <c r="FY29" s="216"/>
      <c r="FZ29" s="216"/>
      <c r="GA29" s="216"/>
      <c r="GB29" s="216"/>
      <c r="GC29" s="217"/>
      <c r="GD29" s="217"/>
      <c r="GE29" s="217"/>
      <c r="GF29" s="217"/>
      <c r="GG29" s="217"/>
      <c r="GH29" s="217"/>
      <c r="GI29" s="216"/>
      <c r="GJ29" s="216"/>
      <c r="GK29" s="216"/>
      <c r="GL29" s="216"/>
      <c r="GM29" s="217"/>
      <c r="GN29" s="217"/>
      <c r="GO29" s="217"/>
      <c r="GP29" s="217"/>
      <c r="GQ29" s="217"/>
      <c r="GR29" s="218"/>
      <c r="GS29" s="217"/>
      <c r="GT29" s="217"/>
      <c r="GU29" s="217"/>
      <c r="GV29" s="217"/>
      <c r="GW29" s="216"/>
      <c r="GX29" s="216"/>
      <c r="GY29" s="190"/>
      <c r="GZ29" s="190"/>
      <c r="HA29" s="190"/>
      <c r="HB29" s="190"/>
      <c r="HC29" s="190"/>
      <c r="HD29" s="190"/>
      <c r="HE29" s="190"/>
      <c r="HF29" s="190"/>
      <c r="HG29" s="190"/>
      <c r="HH29" s="190"/>
      <c r="HI29" s="190"/>
      <c r="HJ29" s="190"/>
      <c r="HK29" s="190"/>
      <c r="HL29" s="190"/>
      <c r="HM29" s="190"/>
      <c r="HN29" s="190"/>
      <c r="HO29" s="190"/>
      <c r="HP29" s="190"/>
      <c r="HQ29" s="190"/>
      <c r="HR29" s="190"/>
      <c r="HS29" s="190"/>
      <c r="HT29" s="190"/>
      <c r="HU29" s="190"/>
      <c r="HV29" s="190"/>
      <c r="HW29" s="190"/>
      <c r="HX29" s="190"/>
      <c r="HY29" s="190"/>
      <c r="HZ29" s="190"/>
      <c r="IA29" s="190"/>
      <c r="IB29" s="190"/>
      <c r="IC29" s="190"/>
      <c r="ID29" s="190"/>
      <c r="IE29" s="190"/>
      <c r="IF29" s="190"/>
      <c r="IG29" s="190"/>
      <c r="IH29" s="190"/>
      <c r="II29" s="190"/>
      <c r="IJ29" s="190"/>
      <c r="IK29" s="190"/>
      <c r="IL29" s="190"/>
      <c r="IM29" s="190"/>
      <c r="IN29" s="190"/>
      <c r="IO29" s="190"/>
      <c r="IP29" s="190"/>
      <c r="IQ29" s="190"/>
      <c r="IR29" s="190"/>
      <c r="IS29" s="190"/>
      <c r="IT29" s="190"/>
      <c r="IU29" s="190"/>
      <c r="IV29" s="190"/>
      <c r="IW29" s="190"/>
      <c r="IX29" s="190"/>
      <c r="IY29" s="190"/>
      <c r="IZ29" s="190"/>
      <c r="JA29" s="190"/>
      <c r="JB29" s="190"/>
      <c r="JC29" s="190"/>
      <c r="JD29" s="190"/>
      <c r="JE29" s="190"/>
      <c r="JF29" s="190"/>
      <c r="JG29" s="190"/>
      <c r="JH29" s="190"/>
      <c r="JI29" s="190"/>
      <c r="JJ29" s="190"/>
      <c r="JK29" s="190"/>
      <c r="JL29" s="190"/>
      <c r="JM29" s="190"/>
      <c r="JN29" s="190"/>
      <c r="JO29" s="190"/>
      <c r="JP29" s="190"/>
      <c r="JQ29" s="190"/>
      <c r="JR29" s="190"/>
      <c r="JS29" s="190"/>
      <c r="JT29" s="190"/>
      <c r="JU29" s="190"/>
      <c r="JV29" s="190"/>
      <c r="JW29" s="190"/>
      <c r="JX29" s="190"/>
      <c r="JY29" s="190"/>
      <c r="JZ29" s="190"/>
      <c r="KA29" s="190"/>
      <c r="KB29" s="190"/>
      <c r="KC29" s="190"/>
      <c r="KD29" s="190"/>
      <c r="KE29" s="190"/>
      <c r="KF29" s="190"/>
      <c r="KG29" s="190"/>
      <c r="KH29" s="190"/>
      <c r="KI29" s="190"/>
      <c r="KJ29" s="190"/>
      <c r="KK29" s="190"/>
      <c r="KL29" s="190"/>
      <c r="KM29" s="190"/>
      <c r="KN29" s="190"/>
      <c r="KO29" s="190"/>
      <c r="KP29" s="190"/>
      <c r="KQ29" s="190"/>
      <c r="KR29" s="190"/>
      <c r="KS29" s="190"/>
      <c r="KT29" s="190"/>
      <c r="KU29" s="190"/>
      <c r="KV29" s="190"/>
      <c r="KW29" s="190"/>
      <c r="KX29" s="190"/>
      <c r="KY29" s="190"/>
      <c r="KZ29" s="190"/>
      <c r="LA29" s="190"/>
      <c r="LB29" s="190"/>
      <c r="LC29" s="190"/>
      <c r="LD29" s="190"/>
      <c r="LE29" s="190"/>
      <c r="LF29" s="190"/>
      <c r="LG29" s="190"/>
      <c r="LH29" s="190"/>
      <c r="LI29" s="190"/>
      <c r="LJ29" s="190"/>
      <c r="LK29" s="190"/>
      <c r="LL29" s="190"/>
      <c r="LM29" s="190"/>
      <c r="LN29" s="190"/>
      <c r="LO29" s="190"/>
      <c r="LP29" s="190"/>
      <c r="LQ29" s="190"/>
      <c r="LR29" s="190"/>
      <c r="LS29" s="190"/>
      <c r="LT29" s="190"/>
      <c r="LU29" s="190"/>
      <c r="LV29" s="190"/>
      <c r="LW29" s="190"/>
      <c r="LX29" s="190"/>
      <c r="LY29" s="190"/>
      <c r="LZ29" s="190"/>
      <c r="MA29" s="190"/>
      <c r="MB29" s="190"/>
      <c r="MC29" s="190"/>
      <c r="MD29" s="190"/>
      <c r="ME29" s="190"/>
      <c r="MF29" s="190"/>
      <c r="MG29" s="190"/>
      <c r="MH29" s="190"/>
      <c r="MI29" s="190"/>
      <c r="MJ29" s="190"/>
      <c r="MK29" s="190"/>
      <c r="ML29" s="190"/>
      <c r="MM29" s="190"/>
      <c r="MN29" s="190"/>
      <c r="MO29" s="190"/>
      <c r="MP29" s="190"/>
      <c r="MQ29" s="190"/>
      <c r="MR29" s="190"/>
      <c r="MS29" s="190"/>
      <c r="MT29" s="190"/>
      <c r="MU29" s="190"/>
      <c r="MV29" s="190"/>
      <c r="MW29" s="190"/>
      <c r="MX29" s="190"/>
      <c r="MY29" s="190"/>
      <c r="MZ29" s="190"/>
      <c r="NA29" s="190"/>
      <c r="NB29" s="190"/>
      <c r="NC29" s="190"/>
      <c r="ND29" s="190"/>
      <c r="NE29" s="190"/>
      <c r="NF29" s="190"/>
      <c r="NG29" s="190"/>
      <c r="NH29" s="190"/>
      <c r="NI29" s="190"/>
      <c r="NJ29" s="190"/>
      <c r="NK29" s="190"/>
      <c r="NL29" s="190"/>
      <c r="NM29" s="190"/>
      <c r="NN29" s="190"/>
      <c r="NO29" s="190"/>
      <c r="NP29" s="190"/>
      <c r="NQ29" s="190"/>
      <c r="NR29" s="190"/>
      <c r="NS29" s="190"/>
      <c r="NT29" s="190"/>
      <c r="NU29" s="190"/>
      <c r="NV29" s="190"/>
      <c r="NW29" s="190"/>
      <c r="NX29" s="190"/>
      <c r="NY29" s="190"/>
      <c r="NZ29" s="190"/>
      <c r="OA29" s="190"/>
      <c r="OB29" s="190"/>
      <c r="OC29" s="190"/>
      <c r="OD29" s="190"/>
      <c r="OE29" s="190"/>
      <c r="OF29" s="190"/>
      <c r="OG29" s="190"/>
      <c r="OH29" s="190"/>
      <c r="OI29" s="190"/>
      <c r="OJ29" s="190"/>
      <c r="OK29" s="190"/>
      <c r="OL29" s="190"/>
      <c r="OM29" s="190"/>
      <c r="ON29" s="190"/>
      <c r="OO29" s="190"/>
      <c r="OP29" s="190"/>
      <c r="OQ29" s="190"/>
      <c r="OR29" s="190"/>
      <c r="OS29" s="190"/>
      <c r="OT29" s="190"/>
      <c r="OU29" s="190"/>
      <c r="OV29" s="190"/>
      <c r="OW29" s="190"/>
      <c r="OX29" s="190"/>
      <c r="OY29" s="190"/>
      <c r="OZ29" s="190"/>
      <c r="PA29" s="190"/>
      <c r="PB29" s="291"/>
      <c r="PC29" s="246"/>
      <c r="PD29" s="247"/>
      <c r="PE29" s="246"/>
      <c r="PF29" s="247"/>
      <c r="PG29" s="246"/>
      <c r="PH29" s="247"/>
      <c r="PI29" s="246"/>
      <c r="PJ29" s="247"/>
      <c r="PK29" s="190"/>
      <c r="PL29" s="291"/>
      <c r="PM29" s="246"/>
      <c r="PN29" s="247"/>
      <c r="PO29" s="292"/>
      <c r="PP29" s="247"/>
      <c r="PQ29" s="246"/>
      <c r="PR29" s="247"/>
      <c r="PS29" s="246"/>
      <c r="PT29" s="247"/>
      <c r="PU29" s="246"/>
      <c r="PV29" s="247"/>
      <c r="PW29" s="246"/>
      <c r="PX29" s="247"/>
      <c r="PY29" s="246"/>
      <c r="PZ29" s="247"/>
      <c r="QA29" s="246"/>
      <c r="QB29" s="247"/>
      <c r="QC29" s="246"/>
      <c r="QD29" s="247"/>
      <c r="QE29" s="246"/>
      <c r="QF29" s="247"/>
      <c r="QG29" s="246"/>
      <c r="QH29" s="247"/>
      <c r="QI29" s="246"/>
      <c r="QJ29" s="247"/>
      <c r="QK29" s="246"/>
      <c r="QL29" s="247"/>
      <c r="QM29" s="246"/>
      <c r="QN29" s="247"/>
      <c r="QO29" s="246"/>
      <c r="QP29" s="247"/>
      <c r="QQ29" s="246"/>
      <c r="QR29" s="247"/>
      <c r="QS29" s="246"/>
      <c r="QT29" s="247"/>
      <c r="QU29" s="246"/>
      <c r="QV29" s="247"/>
      <c r="QW29" s="246"/>
      <c r="QX29" s="247"/>
      <c r="QY29" s="246"/>
      <c r="QZ29" s="247"/>
      <c r="RA29" s="246"/>
      <c r="RB29" s="247"/>
      <c r="RC29" s="246"/>
      <c r="RD29" s="190"/>
      <c r="RE29" s="190"/>
      <c r="RF29" s="190"/>
      <c r="RG29" s="190"/>
      <c r="RH29" s="190"/>
      <c r="RI29" s="190"/>
      <c r="RJ29" s="190"/>
      <c r="RK29" s="190"/>
      <c r="RL29" s="190"/>
      <c r="RM29" s="190"/>
      <c r="RN29" s="190"/>
      <c r="RO29" s="190"/>
      <c r="RP29" s="190"/>
      <c r="RQ29" s="190"/>
      <c r="RR29" s="190"/>
      <c r="RS29" s="190"/>
      <c r="RT29" s="190"/>
      <c r="RU29" s="190"/>
      <c r="RV29" s="190"/>
      <c r="RW29" s="190"/>
      <c r="RX29" s="190"/>
      <c r="RY29" s="190"/>
      <c r="RZ29" s="190"/>
      <c r="SA29" s="190"/>
      <c r="SB29" s="190"/>
      <c r="SC29" s="190"/>
      <c r="SD29" s="190"/>
      <c r="SE29" s="190"/>
      <c r="SF29" s="190"/>
      <c r="SG29" s="190"/>
      <c r="SH29" s="190"/>
      <c r="SI29" s="190"/>
      <c r="SJ29" s="190"/>
      <c r="SK29" s="190"/>
      <c r="SL29" s="190"/>
      <c r="SM29" s="190"/>
      <c r="SN29" s="190"/>
      <c r="SO29" s="190"/>
      <c r="SP29" s="190"/>
      <c r="SQ29" s="190"/>
      <c r="SR29" s="190"/>
      <c r="SS29" s="190"/>
      <c r="ST29" s="190"/>
      <c r="SU29" s="190"/>
      <c r="SV29" s="190"/>
      <c r="SW29" s="190"/>
      <c r="SX29" s="190"/>
      <c r="SY29" s="190"/>
      <c r="SZ29" s="190"/>
      <c r="TA29" s="190"/>
      <c r="TB29" s="190"/>
      <c r="TC29" s="190"/>
      <c r="TD29" s="190"/>
      <c r="TE29" s="190"/>
      <c r="TF29" s="190"/>
      <c r="TG29" s="190"/>
      <c r="TH29" s="190"/>
      <c r="TI29" s="190"/>
      <c r="TJ29" s="190"/>
      <c r="TK29" s="190"/>
      <c r="TL29" s="190"/>
      <c r="TM29" s="190"/>
      <c r="TN29" s="190"/>
      <c r="TO29" s="190"/>
      <c r="TP29" s="190"/>
      <c r="TQ29" s="190"/>
      <c r="TR29" s="190"/>
      <c r="TS29" s="190"/>
      <c r="TT29" s="190"/>
      <c r="TU29" s="190"/>
      <c r="TV29" s="190"/>
      <c r="TW29" s="190"/>
      <c r="TX29" s="190"/>
      <c r="TY29" s="190"/>
      <c r="TZ29" s="190"/>
      <c r="UA29" s="190"/>
      <c r="UB29" s="190"/>
      <c r="UC29" s="190"/>
      <c r="UD29" s="190"/>
      <c r="UE29" s="190"/>
      <c r="UF29" s="190"/>
      <c r="UG29" s="190"/>
      <c r="UH29" s="190"/>
      <c r="UI29" s="190"/>
      <c r="UJ29" s="190"/>
      <c r="UK29" s="190"/>
      <c r="UL29" s="190"/>
      <c r="UM29" s="190"/>
      <c r="UN29" s="190"/>
      <c r="UO29" s="190"/>
      <c r="UP29" s="190"/>
      <c r="UQ29" s="190"/>
      <c r="UR29" s="190"/>
      <c r="US29" s="190"/>
      <c r="UT29" s="190"/>
      <c r="UU29" s="190"/>
      <c r="UV29" s="190"/>
      <c r="UW29" s="190"/>
      <c r="UX29" s="190"/>
      <c r="UY29" s="190"/>
      <c r="UZ29" s="190"/>
      <c r="VA29" s="190"/>
      <c r="VB29" s="190"/>
      <c r="VC29" s="190"/>
      <c r="VD29" s="190"/>
      <c r="VE29" s="190"/>
      <c r="VF29" s="190"/>
      <c r="VG29" s="190"/>
      <c r="VH29" s="190"/>
      <c r="VI29" s="190"/>
      <c r="VJ29" s="190"/>
      <c r="VK29" s="190"/>
      <c r="VL29" s="190"/>
      <c r="VM29" s="190"/>
      <c r="VN29" s="190"/>
      <c r="VO29" s="190"/>
      <c r="VP29" s="190"/>
      <c r="VQ29" s="190"/>
      <c r="VR29" s="190"/>
      <c r="VS29" s="190"/>
      <c r="VT29" s="190"/>
      <c r="VU29" s="190"/>
      <c r="VV29" s="190"/>
      <c r="VW29" s="190"/>
      <c r="VX29" s="190"/>
      <c r="VY29" s="190"/>
      <c r="VZ29" s="190"/>
      <c r="WA29" s="190"/>
      <c r="WB29" s="190"/>
      <c r="WC29" s="190"/>
      <c r="WD29" s="190"/>
      <c r="WE29" s="190"/>
      <c r="WF29" s="190"/>
      <c r="WG29" s="190"/>
      <c r="WH29" s="190"/>
      <c r="WI29" s="190"/>
      <c r="WJ29" s="190"/>
      <c r="WK29" s="190"/>
      <c r="WL29" s="190"/>
      <c r="WM29" s="190"/>
      <c r="WN29" s="190"/>
      <c r="WO29" s="190"/>
      <c r="WP29" s="190"/>
      <c r="WQ29" s="190"/>
      <c r="WR29" s="190"/>
      <c r="WS29" s="190"/>
      <c r="WT29" s="190"/>
      <c r="WU29" s="190"/>
      <c r="WV29" s="190"/>
      <c r="WW29" s="190"/>
      <c r="WX29" s="190"/>
      <c r="WY29" s="190"/>
      <c r="WZ29" s="190"/>
      <c r="XA29" s="190"/>
      <c r="XB29" s="190"/>
      <c r="XC29" s="190"/>
      <c r="XD29" s="190"/>
      <c r="XE29" s="190"/>
      <c r="XF29" s="190"/>
      <c r="XG29" s="190"/>
      <c r="XH29" s="190"/>
      <c r="XI29" s="190"/>
      <c r="XJ29" s="190"/>
      <c r="XK29" s="190"/>
      <c r="XL29" s="190"/>
      <c r="XM29" s="190"/>
      <c r="XN29" s="190"/>
      <c r="XO29" s="190"/>
      <c r="XP29" s="190"/>
      <c r="XQ29" s="190"/>
      <c r="XR29" s="190"/>
      <c r="XS29" s="190"/>
      <c r="XT29" s="190"/>
      <c r="XU29" s="190"/>
      <c r="XV29" s="190"/>
      <c r="XW29" s="190"/>
      <c r="XX29" s="190"/>
      <c r="XY29" s="190"/>
      <c r="XZ29" s="190"/>
      <c r="YA29" s="190"/>
      <c r="YB29" s="190"/>
      <c r="YC29" s="190"/>
      <c r="YD29" s="190"/>
      <c r="YE29" s="190"/>
      <c r="YF29" s="190"/>
      <c r="YG29" s="190"/>
      <c r="YH29" s="190"/>
      <c r="YI29" s="190"/>
      <c r="YJ29" s="190"/>
      <c r="YK29" s="190"/>
      <c r="YL29" s="190"/>
      <c r="YM29" s="190"/>
      <c r="YN29" s="190"/>
      <c r="YO29" s="190"/>
      <c r="YP29" s="190"/>
      <c r="YQ29" s="190"/>
      <c r="YR29" s="190"/>
      <c r="YS29" s="190"/>
      <c r="YT29" s="190"/>
      <c r="YU29" s="190"/>
      <c r="YV29" s="190"/>
      <c r="YW29" s="190"/>
      <c r="YX29" s="190"/>
      <c r="YY29" s="190"/>
      <c r="YZ29" s="190"/>
      <c r="ZA29" s="190"/>
      <c r="ZB29" s="190"/>
      <c r="ZC29" s="190"/>
      <c r="ZD29" s="190"/>
      <c r="ZE29" s="190"/>
      <c r="ZF29" s="190"/>
      <c r="ZG29" s="190"/>
      <c r="ZH29" s="190"/>
      <c r="ZI29" s="190"/>
      <c r="ZJ29" s="190"/>
      <c r="ZK29" s="190"/>
      <c r="ZL29" s="190"/>
      <c r="ZM29" s="190"/>
      <c r="ZN29" s="190"/>
      <c r="ZO29" s="190"/>
      <c r="ZP29" s="190"/>
      <c r="ZQ29" s="190"/>
      <c r="ZR29" s="190"/>
      <c r="ZS29" s="190"/>
      <c r="ZT29" s="190"/>
      <c r="ZU29" s="190"/>
      <c r="ZV29" s="190"/>
      <c r="ZW29" s="190"/>
      <c r="ZX29" s="190"/>
      <c r="ZY29" s="190"/>
      <c r="ZZ29" s="190"/>
      <c r="AAA29" s="190"/>
      <c r="AAB29" s="190"/>
      <c r="AAC29" s="190"/>
      <c r="AAD29" s="190"/>
      <c r="AAE29" s="190"/>
      <c r="AAF29" s="190"/>
      <c r="AAG29" s="190"/>
      <c r="AAH29" s="190"/>
      <c r="AAI29" s="190"/>
      <c r="AAJ29" s="190"/>
      <c r="AAK29" s="190"/>
      <c r="AAL29" s="190"/>
      <c r="AAM29" s="190"/>
      <c r="AAN29" s="190"/>
      <c r="AAO29" s="190"/>
      <c r="AAP29" s="190"/>
      <c r="AAQ29" s="190"/>
      <c r="AAR29" s="190"/>
      <c r="AAS29" s="190"/>
      <c r="AAT29" s="190"/>
      <c r="AAU29" s="190"/>
      <c r="AAV29" s="190"/>
      <c r="AAW29" s="190"/>
      <c r="AAX29" s="190"/>
      <c r="AAY29" s="190"/>
      <c r="AAZ29" s="190"/>
      <c r="ABA29" s="190"/>
      <c r="ABB29" s="190"/>
      <c r="ABC29" s="190"/>
      <c r="ABD29" s="190"/>
      <c r="ABE29" s="336"/>
      <c r="ABF29" s="335"/>
      <c r="ABG29" s="335"/>
      <c r="ABH29" s="335"/>
      <c r="ABI29" s="335"/>
      <c r="ABJ29" s="335"/>
      <c r="ABK29" s="335"/>
      <c r="ABL29" s="335"/>
      <c r="ABM29" s="335"/>
      <c r="ABN29" s="335"/>
      <c r="ABO29" s="335"/>
      <c r="ABP29" s="335"/>
      <c r="ABQ29" s="335"/>
      <c r="ABR29" s="335"/>
      <c r="ABS29" s="335"/>
      <c r="ABT29" s="335"/>
      <c r="ABU29" s="335"/>
      <c r="ABV29" s="335"/>
      <c r="ABW29" s="335"/>
      <c r="ABX29" s="335"/>
      <c r="ABY29" s="335"/>
      <c r="ABZ29" s="335"/>
      <c r="ACA29" s="335"/>
      <c r="ACB29" s="335"/>
      <c r="ACC29" s="335"/>
      <c r="ACD29" s="335"/>
      <c r="ACE29" s="335"/>
      <c r="ACF29" s="335"/>
      <c r="ACG29" s="335"/>
      <c r="ACH29" s="335"/>
      <c r="ACI29" s="335"/>
      <c r="ACJ29" s="335"/>
      <c r="ACK29" s="335"/>
      <c r="ACL29" s="335"/>
      <c r="ACM29" s="335"/>
      <c r="ACN29" s="335"/>
      <c r="ACO29" s="335"/>
      <c r="ACP29" s="335"/>
      <c r="ACQ29" s="335"/>
      <c r="ACR29" s="335"/>
      <c r="ACS29" s="335"/>
      <c r="ACT29" s="335"/>
      <c r="ACU29" s="335"/>
      <c r="ACV29" s="335"/>
      <c r="ACW29" s="335"/>
      <c r="ACX29" s="335"/>
      <c r="ACY29" s="335"/>
      <c r="ACZ29" s="335"/>
      <c r="ADA29" s="335"/>
      <c r="ADB29" s="335"/>
      <c r="ADC29" s="335"/>
      <c r="ADD29" s="335"/>
      <c r="ADE29" s="335"/>
      <c r="ADF29" s="335"/>
      <c r="ADG29" s="335"/>
      <c r="ADH29" s="335"/>
      <c r="ADI29" s="335"/>
      <c r="ADJ29" s="335"/>
      <c r="ADK29" s="335"/>
      <c r="ADL29" s="335"/>
      <c r="ADM29" s="335"/>
      <c r="ADN29" s="335"/>
      <c r="ADO29" s="335"/>
      <c r="ADP29" s="335"/>
      <c r="ADQ29" s="335"/>
      <c r="ADR29" s="335"/>
      <c r="ADS29" s="335"/>
      <c r="ADT29" s="335"/>
      <c r="ADU29" s="335"/>
      <c r="ADV29" s="335"/>
      <c r="ADW29" s="335"/>
      <c r="ADX29" s="335"/>
      <c r="ADY29" s="335"/>
      <c r="ADZ29" s="335"/>
      <c r="AEA29" s="335"/>
      <c r="AEB29" s="335"/>
      <c r="AEC29" s="335"/>
      <c r="AED29" s="335"/>
      <c r="AEE29" s="335"/>
      <c r="AEF29" s="335"/>
      <c r="AEG29" s="335"/>
      <c r="AEH29" s="335"/>
      <c r="AEI29" s="335"/>
      <c r="AEJ29" s="335"/>
      <c r="AEK29" s="335"/>
      <c r="AEL29" s="335"/>
      <c r="AEM29" s="335"/>
      <c r="AEN29" s="335"/>
      <c r="AEO29" s="335"/>
      <c r="AEP29" s="335"/>
      <c r="AEQ29" s="335"/>
      <c r="AER29" s="335"/>
      <c r="AES29" s="335"/>
      <c r="AET29" s="335"/>
      <c r="AEU29" s="335"/>
      <c r="AEV29" s="335"/>
      <c r="AEW29" s="335"/>
      <c r="AEX29" s="335"/>
      <c r="AEY29" s="335"/>
      <c r="AEZ29" s="335"/>
      <c r="AFA29" s="335"/>
      <c r="AFB29" s="335"/>
      <c r="AFC29" s="335"/>
      <c r="AFD29" s="335"/>
      <c r="AFE29" s="335"/>
      <c r="AFF29" s="335"/>
      <c r="AFG29" s="335"/>
      <c r="AFH29" s="335"/>
      <c r="AFI29" s="335"/>
      <c r="AFJ29" s="335"/>
      <c r="AFK29" s="335"/>
      <c r="AFL29" s="335"/>
      <c r="AFM29" s="335"/>
      <c r="AFN29" s="335"/>
      <c r="AFO29" s="335"/>
      <c r="AFP29" s="335"/>
      <c r="AFQ29" s="335"/>
      <c r="AFR29" s="335"/>
      <c r="AFS29" s="335"/>
      <c r="AFT29" s="335"/>
      <c r="AFU29" s="335"/>
      <c r="AFV29" s="335"/>
      <c r="AFW29" s="335"/>
      <c r="AFX29" s="335"/>
      <c r="AFY29" s="335"/>
      <c r="AFZ29" s="335"/>
      <c r="AGA29" s="335"/>
      <c r="AGB29" s="335"/>
      <c r="AGC29" s="335"/>
      <c r="AGD29" s="335"/>
      <c r="AGE29" s="335"/>
      <c r="AGF29" s="335"/>
      <c r="AGG29" s="335"/>
      <c r="AGH29" s="335"/>
      <c r="AGI29" s="335"/>
      <c r="AGJ29" s="335"/>
      <c r="AGK29" s="335"/>
      <c r="AGL29" s="335"/>
      <c r="AGM29" s="335"/>
      <c r="AGN29" s="335"/>
      <c r="AGO29" s="335"/>
      <c r="AGP29" s="335"/>
      <c r="AGQ29" s="335"/>
      <c r="AGR29" s="335"/>
      <c r="AGS29" s="335"/>
      <c r="AGT29" s="335"/>
      <c r="AGU29" s="335"/>
      <c r="AGV29" s="335"/>
      <c r="AGW29" s="335"/>
      <c r="AGX29" s="335"/>
      <c r="AGY29" s="335"/>
      <c r="AGZ29" s="335"/>
      <c r="AHA29" s="335"/>
      <c r="AHB29" s="335"/>
      <c r="AHC29" s="335"/>
      <c r="AHD29" s="335"/>
      <c r="AHE29" s="335"/>
      <c r="AHF29" s="335"/>
      <c r="AHG29" s="335"/>
      <c r="AHH29" s="335"/>
      <c r="AHI29" s="335"/>
      <c r="AHJ29" s="335"/>
      <c r="AHK29" s="335"/>
      <c r="AHL29" s="335"/>
      <c r="AHM29" s="335"/>
      <c r="AHN29" s="335"/>
      <c r="AHO29" s="335"/>
      <c r="AHP29" s="335"/>
      <c r="AHQ29" s="335"/>
      <c r="AHR29" s="335"/>
      <c r="AHS29" s="335"/>
      <c r="AHT29" s="335"/>
      <c r="AHU29" s="335"/>
      <c r="AHV29" s="335"/>
      <c r="AHW29" s="335"/>
      <c r="AHX29" s="335"/>
      <c r="AHY29" s="335"/>
      <c r="AHZ29" s="335"/>
      <c r="AIA29" s="335"/>
      <c r="AIB29" s="335"/>
      <c r="AIC29" s="339"/>
    </row>
    <row r="30" spans="1:913" s="161" customFormat="1">
      <c r="A30" s="172"/>
      <c r="B30" s="177">
        <v>0.5</v>
      </c>
      <c r="C30" s="190"/>
      <c r="D30" s="190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216"/>
      <c r="P30" s="216"/>
      <c r="Q30" s="216"/>
      <c r="R30" s="216"/>
      <c r="S30" s="216"/>
      <c r="T30" s="216"/>
      <c r="U30" s="216"/>
      <c r="V30" s="216"/>
      <c r="W30" s="216"/>
      <c r="X30" s="216"/>
      <c r="Y30" s="216"/>
      <c r="Z30" s="216"/>
      <c r="AA30" s="216"/>
      <c r="AB30" s="216"/>
      <c r="AC30" s="216"/>
      <c r="AD30" s="216"/>
      <c r="AE30" s="216"/>
      <c r="AF30" s="216"/>
      <c r="AG30" s="216"/>
      <c r="AH30" s="216"/>
      <c r="AI30" s="216"/>
      <c r="AJ30" s="216"/>
      <c r="AK30" s="216"/>
      <c r="AL30" s="216"/>
      <c r="AM30" s="216"/>
      <c r="AN30" s="216"/>
      <c r="AO30" s="216"/>
      <c r="AP30" s="216"/>
      <c r="AQ30" s="216"/>
      <c r="AR30" s="216"/>
      <c r="AS30" s="216"/>
      <c r="AT30" s="216"/>
      <c r="AU30" s="216"/>
      <c r="AV30" s="216"/>
      <c r="AW30" s="216"/>
      <c r="AX30" s="216"/>
      <c r="AY30" s="216"/>
      <c r="AZ30" s="216"/>
      <c r="BA30" s="216"/>
      <c r="BB30" s="216"/>
      <c r="BC30" s="216"/>
      <c r="BD30" s="216"/>
      <c r="BE30" s="216"/>
      <c r="BF30" s="216"/>
      <c r="BG30" s="216"/>
      <c r="BH30" s="216"/>
      <c r="BI30" s="216"/>
      <c r="BJ30" s="216"/>
      <c r="BK30" s="216"/>
      <c r="BL30" s="216"/>
      <c r="BM30" s="216"/>
      <c r="BN30" s="216"/>
      <c r="BO30" s="216"/>
      <c r="BP30" s="216"/>
      <c r="BQ30" s="216"/>
      <c r="BR30" s="216"/>
      <c r="BS30" s="216"/>
      <c r="BT30" s="216"/>
      <c r="BU30" s="216"/>
      <c r="BV30" s="190"/>
      <c r="BW30" s="216"/>
      <c r="BX30" s="216"/>
      <c r="BY30" s="216"/>
      <c r="BZ30" s="216"/>
      <c r="CA30" s="216"/>
      <c r="CB30" s="216"/>
      <c r="CC30" s="216"/>
      <c r="CD30" s="190"/>
      <c r="CE30" s="216"/>
      <c r="CF30" s="216"/>
      <c r="CG30" s="216"/>
      <c r="CH30" s="216"/>
      <c r="CI30" s="216"/>
      <c r="CJ30" s="216"/>
      <c r="CK30" s="216"/>
      <c r="CL30" s="216"/>
      <c r="CM30" s="216"/>
      <c r="CN30" s="216"/>
      <c r="CO30" s="216"/>
      <c r="CP30" s="216"/>
      <c r="CQ30" s="216"/>
      <c r="CR30" s="216"/>
      <c r="CS30" s="216"/>
      <c r="CT30" s="216"/>
      <c r="CU30" s="216"/>
      <c r="CV30" s="216"/>
      <c r="CW30" s="216"/>
      <c r="CX30" s="216"/>
      <c r="CY30" s="216"/>
      <c r="CZ30" s="216"/>
      <c r="DA30" s="216"/>
      <c r="DB30" s="216"/>
      <c r="DC30" s="216"/>
      <c r="DD30" s="216"/>
      <c r="DE30" s="216"/>
      <c r="DF30" s="216"/>
      <c r="DG30" s="216"/>
      <c r="DH30" s="216"/>
      <c r="DI30" s="190"/>
      <c r="DJ30" s="216"/>
      <c r="DK30" s="216"/>
      <c r="DL30" s="216"/>
      <c r="DM30" s="216"/>
      <c r="DN30" s="216"/>
      <c r="DO30" s="216"/>
      <c r="DP30" s="216"/>
      <c r="DQ30" s="216"/>
      <c r="DR30" s="216"/>
      <c r="DS30" s="216"/>
      <c r="DT30" s="216"/>
      <c r="DU30" s="216"/>
      <c r="DV30" s="216"/>
      <c r="DW30" s="190"/>
      <c r="DX30" s="190"/>
      <c r="DY30" s="216"/>
      <c r="DZ30" s="216"/>
      <c r="EA30" s="216"/>
      <c r="EB30" s="216"/>
      <c r="EC30" s="216"/>
      <c r="ED30" s="216"/>
      <c r="EE30" s="216"/>
      <c r="EF30" s="216"/>
      <c r="EG30" s="216"/>
      <c r="EH30" s="216"/>
      <c r="EI30" s="216"/>
      <c r="EJ30" s="216"/>
      <c r="EK30" s="190"/>
      <c r="EL30" s="190"/>
      <c r="EM30" s="216"/>
      <c r="EN30" s="216"/>
      <c r="EO30" s="190"/>
      <c r="EP30" s="216"/>
      <c r="EQ30" s="216"/>
      <c r="ER30" s="216"/>
      <c r="ES30" s="216"/>
      <c r="ET30" s="216"/>
      <c r="EU30" s="216"/>
      <c r="EV30" s="216"/>
      <c r="EW30" s="216"/>
      <c r="EX30" s="216"/>
      <c r="EY30" s="190"/>
      <c r="EZ30" s="190"/>
      <c r="FA30" s="216"/>
      <c r="FB30" s="216"/>
      <c r="FC30" s="216"/>
      <c r="FD30" s="216"/>
      <c r="FE30" s="216"/>
      <c r="FF30" s="216"/>
      <c r="FG30" s="216"/>
      <c r="FH30" s="216"/>
      <c r="FI30" s="216"/>
      <c r="FJ30" s="216"/>
      <c r="FK30" s="216"/>
      <c r="FL30" s="216"/>
      <c r="FM30" s="190"/>
      <c r="FN30" s="190"/>
      <c r="FO30" s="216"/>
      <c r="FP30" s="216"/>
      <c r="FQ30" s="216"/>
      <c r="FR30" s="216"/>
      <c r="FS30" s="216"/>
      <c r="FT30" s="216"/>
      <c r="FU30" s="216"/>
      <c r="FV30" s="216"/>
      <c r="FW30" s="216"/>
      <c r="FX30" s="216"/>
      <c r="FY30" s="216"/>
      <c r="FZ30" s="216"/>
      <c r="GA30" s="216"/>
      <c r="GB30" s="216"/>
      <c r="GC30" s="217"/>
      <c r="GD30" s="217"/>
      <c r="GE30" s="217"/>
      <c r="GF30" s="217"/>
      <c r="GG30" s="217"/>
      <c r="GH30" s="217"/>
      <c r="GI30" s="216"/>
      <c r="GJ30" s="216"/>
      <c r="GK30" s="216"/>
      <c r="GL30" s="216"/>
      <c r="GM30" s="217"/>
      <c r="GN30" s="217"/>
      <c r="GO30" s="217"/>
      <c r="GP30" s="217"/>
      <c r="GQ30" s="217"/>
      <c r="GR30" s="218"/>
      <c r="GS30" s="217"/>
      <c r="GT30" s="217"/>
      <c r="GU30" s="217"/>
      <c r="GV30" s="217"/>
      <c r="GW30" s="216"/>
      <c r="GX30" s="216"/>
      <c r="GY30" s="190"/>
      <c r="GZ30" s="190"/>
      <c r="HA30" s="190"/>
      <c r="HB30" s="190"/>
      <c r="HC30" s="190"/>
      <c r="HD30" s="190"/>
      <c r="HE30" s="190"/>
      <c r="HF30" s="190"/>
      <c r="HG30" s="190"/>
      <c r="HH30" s="190"/>
      <c r="HI30" s="190"/>
      <c r="HJ30" s="190"/>
      <c r="HK30" s="190"/>
      <c r="HL30" s="190"/>
      <c r="HM30" s="190"/>
      <c r="HN30" s="190"/>
      <c r="HO30" s="190"/>
      <c r="HP30" s="190"/>
      <c r="HQ30" s="190"/>
      <c r="HR30" s="190"/>
      <c r="HS30" s="190"/>
      <c r="HT30" s="190"/>
      <c r="HU30" s="190"/>
      <c r="HV30" s="190"/>
      <c r="HW30" s="190"/>
      <c r="HX30" s="190"/>
      <c r="HY30" s="190"/>
      <c r="HZ30" s="190"/>
      <c r="IA30" s="190"/>
      <c r="IB30" s="190"/>
      <c r="IC30" s="190"/>
      <c r="ID30" s="190"/>
      <c r="IE30" s="190"/>
      <c r="IF30" s="190"/>
      <c r="IG30" s="190"/>
      <c r="IH30" s="190"/>
      <c r="II30" s="190"/>
      <c r="IJ30" s="190"/>
      <c r="IK30" s="190"/>
      <c r="IL30" s="190"/>
      <c r="IM30" s="190"/>
      <c r="IN30" s="190"/>
      <c r="IO30" s="190"/>
      <c r="IP30" s="190"/>
      <c r="IQ30" s="190"/>
      <c r="IR30" s="190"/>
      <c r="IS30" s="190"/>
      <c r="IT30" s="190"/>
      <c r="IU30" s="190"/>
      <c r="IV30" s="190"/>
      <c r="IW30" s="190"/>
      <c r="IX30" s="190"/>
      <c r="IY30" s="190"/>
      <c r="IZ30" s="190"/>
      <c r="JA30" s="190"/>
      <c r="JB30" s="190"/>
      <c r="JC30" s="190"/>
      <c r="JD30" s="190"/>
      <c r="JE30" s="190"/>
      <c r="JF30" s="190"/>
      <c r="JG30" s="190"/>
      <c r="JH30" s="190"/>
      <c r="JI30" s="190"/>
      <c r="JJ30" s="190"/>
      <c r="JK30" s="190"/>
      <c r="JL30" s="190"/>
      <c r="JM30" s="190"/>
      <c r="JN30" s="190"/>
      <c r="JO30" s="190"/>
      <c r="JP30" s="190"/>
      <c r="JQ30" s="190"/>
      <c r="JR30" s="190"/>
      <c r="JS30" s="190"/>
      <c r="JT30" s="190"/>
      <c r="JU30" s="190"/>
      <c r="JV30" s="190"/>
      <c r="JW30" s="190"/>
      <c r="JX30" s="190"/>
      <c r="JY30" s="190"/>
      <c r="JZ30" s="190"/>
      <c r="KA30" s="190"/>
      <c r="KB30" s="190"/>
      <c r="KC30" s="190"/>
      <c r="KD30" s="190"/>
      <c r="KE30" s="190"/>
      <c r="KF30" s="190"/>
      <c r="KG30" s="190"/>
      <c r="KH30" s="190"/>
      <c r="KI30" s="190"/>
      <c r="KJ30" s="190"/>
      <c r="KK30" s="190"/>
      <c r="KL30" s="190"/>
      <c r="KM30" s="190"/>
      <c r="KN30" s="190"/>
      <c r="KO30" s="190"/>
      <c r="KP30" s="190"/>
      <c r="KQ30" s="190"/>
      <c r="KR30" s="190"/>
      <c r="KS30" s="190"/>
      <c r="KT30" s="190"/>
      <c r="KU30" s="190"/>
      <c r="KV30" s="190"/>
      <c r="KW30" s="190"/>
      <c r="KX30" s="190"/>
      <c r="KY30" s="190"/>
      <c r="KZ30" s="190"/>
      <c r="LA30" s="190"/>
      <c r="LB30" s="190"/>
      <c r="LC30" s="190"/>
      <c r="LD30" s="190"/>
      <c r="LE30" s="190"/>
      <c r="LF30" s="190"/>
      <c r="LG30" s="190"/>
      <c r="LH30" s="190"/>
      <c r="LI30" s="190"/>
      <c r="LJ30" s="190"/>
      <c r="LK30" s="190"/>
      <c r="LL30" s="190"/>
      <c r="LM30" s="190"/>
      <c r="LN30" s="190"/>
      <c r="LO30" s="190"/>
      <c r="LP30" s="190"/>
      <c r="LQ30" s="190"/>
      <c r="LR30" s="190"/>
      <c r="LS30" s="190"/>
      <c r="LT30" s="190"/>
      <c r="LU30" s="190"/>
      <c r="LV30" s="190"/>
      <c r="LW30" s="190"/>
      <c r="LX30" s="190"/>
      <c r="LY30" s="190"/>
      <c r="LZ30" s="190"/>
      <c r="MA30" s="190"/>
      <c r="MB30" s="190"/>
      <c r="MC30" s="190"/>
      <c r="MD30" s="190"/>
      <c r="ME30" s="190"/>
      <c r="MF30" s="190"/>
      <c r="MG30" s="190"/>
      <c r="MH30" s="190"/>
      <c r="MI30" s="190"/>
      <c r="MJ30" s="190"/>
      <c r="MK30" s="190"/>
      <c r="ML30" s="190"/>
      <c r="MM30" s="190"/>
      <c r="MN30" s="190"/>
      <c r="MO30" s="190"/>
      <c r="MP30" s="190"/>
      <c r="MQ30" s="190"/>
      <c r="MR30" s="190"/>
      <c r="MS30" s="190"/>
      <c r="MT30" s="190"/>
      <c r="MU30" s="190"/>
      <c r="MV30" s="190"/>
      <c r="MW30" s="190"/>
      <c r="MX30" s="190"/>
      <c r="MY30" s="190"/>
      <c r="MZ30" s="190"/>
      <c r="NA30" s="190"/>
      <c r="NB30" s="190"/>
      <c r="NC30" s="190"/>
      <c r="ND30" s="190"/>
      <c r="NE30" s="190"/>
      <c r="NF30" s="190"/>
      <c r="NG30" s="190"/>
      <c r="NH30" s="190"/>
      <c r="NI30" s="190"/>
      <c r="NJ30" s="190"/>
      <c r="NK30" s="190"/>
      <c r="NL30" s="190"/>
      <c r="NM30" s="190"/>
      <c r="NN30" s="190"/>
      <c r="NO30" s="190"/>
      <c r="NP30" s="190"/>
      <c r="NQ30" s="190"/>
      <c r="NR30" s="190"/>
      <c r="NS30" s="190"/>
      <c r="NT30" s="190"/>
      <c r="NU30" s="190"/>
      <c r="NV30" s="190"/>
      <c r="NW30" s="190"/>
      <c r="NX30" s="190"/>
      <c r="NY30" s="190"/>
      <c r="NZ30" s="190"/>
      <c r="OA30" s="190"/>
      <c r="OB30" s="190"/>
      <c r="OC30" s="190"/>
      <c r="OD30" s="190"/>
      <c r="OE30" s="190"/>
      <c r="OF30" s="190"/>
      <c r="OG30" s="190"/>
      <c r="OH30" s="190"/>
      <c r="OI30" s="190"/>
      <c r="OJ30" s="190"/>
      <c r="OK30" s="190"/>
      <c r="OL30" s="190"/>
      <c r="OM30" s="190"/>
      <c r="ON30" s="190"/>
      <c r="OO30" s="190"/>
      <c r="OP30" s="190"/>
      <c r="OQ30" s="190"/>
      <c r="OR30" s="190"/>
      <c r="OS30" s="190"/>
      <c r="OT30" s="190"/>
      <c r="OU30" s="190"/>
      <c r="OV30" s="190"/>
      <c r="OW30" s="190"/>
      <c r="OX30" s="190"/>
      <c r="OY30" s="190"/>
      <c r="OZ30" s="190"/>
      <c r="PA30" s="190"/>
      <c r="PB30" s="291"/>
      <c r="PC30" s="246"/>
      <c r="PD30" s="247"/>
      <c r="PE30" s="246"/>
      <c r="PF30" s="247"/>
      <c r="PG30" s="246"/>
      <c r="PH30" s="247"/>
      <c r="PI30" s="246"/>
      <c r="PJ30" s="247"/>
      <c r="PK30" s="190"/>
      <c r="PL30" s="291"/>
      <c r="PM30" s="246"/>
      <c r="PN30" s="247"/>
      <c r="PO30" s="292"/>
      <c r="PP30" s="247"/>
      <c r="PQ30" s="246"/>
      <c r="PR30" s="247"/>
      <c r="PS30" s="246"/>
      <c r="PT30" s="247"/>
      <c r="PU30" s="246"/>
      <c r="PV30" s="247"/>
      <c r="PW30" s="246"/>
      <c r="PX30" s="247"/>
      <c r="PY30" s="246"/>
      <c r="PZ30" s="247"/>
      <c r="QA30" s="246"/>
      <c r="QB30" s="247"/>
      <c r="QC30" s="246"/>
      <c r="QD30" s="247"/>
      <c r="QE30" s="246"/>
      <c r="QF30" s="247"/>
      <c r="QG30" s="246"/>
      <c r="QH30" s="247"/>
      <c r="QI30" s="246"/>
      <c r="QJ30" s="247"/>
      <c r="QK30" s="246"/>
      <c r="QL30" s="247"/>
      <c r="QM30" s="246"/>
      <c r="QN30" s="247"/>
      <c r="QO30" s="246"/>
      <c r="QP30" s="247"/>
      <c r="QQ30" s="246"/>
      <c r="QR30" s="247"/>
      <c r="QS30" s="246"/>
      <c r="QT30" s="247"/>
      <c r="QU30" s="246"/>
      <c r="QV30" s="247"/>
      <c r="QW30" s="246"/>
      <c r="QX30" s="247"/>
      <c r="QY30" s="246"/>
      <c r="QZ30" s="247"/>
      <c r="RA30" s="246"/>
      <c r="RB30" s="247"/>
      <c r="RC30" s="246"/>
      <c r="RD30" s="190"/>
      <c r="RE30" s="190"/>
      <c r="RF30" s="190"/>
      <c r="RG30" s="190"/>
      <c r="RH30" s="190"/>
      <c r="RI30" s="190"/>
      <c r="RJ30" s="190"/>
      <c r="RK30" s="190"/>
      <c r="RL30" s="190"/>
      <c r="RM30" s="190"/>
      <c r="RN30" s="190"/>
      <c r="RO30" s="190"/>
      <c r="RP30" s="190"/>
      <c r="RQ30" s="190"/>
      <c r="RR30" s="190"/>
      <c r="RS30" s="190"/>
      <c r="RT30" s="190"/>
      <c r="RU30" s="190"/>
      <c r="RV30" s="190"/>
      <c r="RW30" s="190"/>
      <c r="RX30" s="190"/>
      <c r="RY30" s="190"/>
      <c r="RZ30" s="190"/>
      <c r="SA30" s="190"/>
      <c r="SB30" s="190"/>
      <c r="SC30" s="190"/>
      <c r="SD30" s="190"/>
      <c r="SE30" s="190"/>
      <c r="SF30" s="190"/>
      <c r="SG30" s="190"/>
      <c r="SH30" s="190"/>
      <c r="SI30" s="190"/>
      <c r="SJ30" s="190"/>
      <c r="SK30" s="190"/>
      <c r="SL30" s="190"/>
      <c r="SM30" s="190"/>
      <c r="SN30" s="190"/>
      <c r="SO30" s="190"/>
      <c r="SP30" s="190"/>
      <c r="SQ30" s="190"/>
      <c r="SR30" s="190"/>
      <c r="SS30" s="190"/>
      <c r="ST30" s="190"/>
      <c r="SU30" s="190"/>
      <c r="SV30" s="190"/>
      <c r="SW30" s="190"/>
      <c r="SX30" s="190"/>
      <c r="SY30" s="190"/>
      <c r="SZ30" s="190"/>
      <c r="TA30" s="190"/>
      <c r="TB30" s="190"/>
      <c r="TC30" s="190"/>
      <c r="TD30" s="190"/>
      <c r="TE30" s="190"/>
      <c r="TF30" s="190"/>
      <c r="TG30" s="190"/>
      <c r="TH30" s="190"/>
      <c r="TI30" s="190"/>
      <c r="TJ30" s="190"/>
      <c r="TK30" s="190"/>
      <c r="TL30" s="190"/>
      <c r="TM30" s="190"/>
      <c r="TN30" s="190"/>
      <c r="TO30" s="190"/>
      <c r="TP30" s="190"/>
      <c r="TQ30" s="190"/>
      <c r="TR30" s="190"/>
      <c r="TS30" s="190"/>
      <c r="TT30" s="190"/>
      <c r="TU30" s="190"/>
      <c r="TV30" s="190"/>
      <c r="TW30" s="190"/>
      <c r="TX30" s="190"/>
      <c r="TY30" s="190"/>
      <c r="TZ30" s="190"/>
      <c r="UA30" s="190"/>
      <c r="UB30" s="190"/>
      <c r="UC30" s="190"/>
      <c r="UD30" s="190"/>
      <c r="UE30" s="190"/>
      <c r="UF30" s="190"/>
      <c r="UG30" s="190"/>
      <c r="UH30" s="190"/>
      <c r="UI30" s="190"/>
      <c r="UJ30" s="190"/>
      <c r="UK30" s="190"/>
      <c r="UL30" s="190"/>
      <c r="UM30" s="190"/>
      <c r="UN30" s="190"/>
      <c r="UO30" s="190"/>
      <c r="UP30" s="190"/>
      <c r="UQ30" s="190"/>
      <c r="UR30" s="190"/>
      <c r="US30" s="190"/>
      <c r="UT30" s="190"/>
      <c r="UU30" s="190"/>
      <c r="UV30" s="190"/>
      <c r="UW30" s="190"/>
      <c r="UX30" s="190"/>
      <c r="UY30" s="190"/>
      <c r="UZ30" s="190"/>
      <c r="VA30" s="190"/>
      <c r="VB30" s="190"/>
      <c r="VC30" s="190"/>
      <c r="VD30" s="190"/>
      <c r="VE30" s="190"/>
      <c r="VF30" s="190"/>
      <c r="VG30" s="190"/>
      <c r="VH30" s="190"/>
      <c r="VI30" s="190"/>
      <c r="VJ30" s="190"/>
      <c r="VK30" s="190"/>
      <c r="VL30" s="190"/>
      <c r="VM30" s="190"/>
      <c r="VN30" s="190"/>
      <c r="VO30" s="190"/>
      <c r="VP30" s="190"/>
      <c r="VQ30" s="190"/>
      <c r="VR30" s="190"/>
      <c r="VS30" s="190"/>
      <c r="VT30" s="190"/>
      <c r="VU30" s="190"/>
      <c r="VV30" s="190"/>
      <c r="VW30" s="190"/>
      <c r="VX30" s="190"/>
      <c r="VY30" s="190"/>
      <c r="VZ30" s="190"/>
      <c r="WA30" s="190"/>
      <c r="WB30" s="190"/>
      <c r="WC30" s="190"/>
      <c r="WD30" s="190"/>
      <c r="WE30" s="190"/>
      <c r="WF30" s="190"/>
      <c r="WG30" s="190"/>
      <c r="WH30" s="190"/>
      <c r="WI30" s="190"/>
      <c r="WJ30" s="190"/>
      <c r="WK30" s="190"/>
      <c r="WL30" s="190"/>
      <c r="WM30" s="190"/>
      <c r="WN30" s="190"/>
      <c r="WO30" s="190"/>
      <c r="WP30" s="190"/>
      <c r="WQ30" s="190"/>
      <c r="WR30" s="190"/>
      <c r="WS30" s="190"/>
      <c r="WT30" s="190"/>
      <c r="WU30" s="190"/>
      <c r="WV30" s="190"/>
      <c r="WW30" s="190"/>
      <c r="WX30" s="190"/>
      <c r="WY30" s="190"/>
      <c r="WZ30" s="190"/>
      <c r="XA30" s="190"/>
      <c r="XB30" s="190"/>
      <c r="XC30" s="190"/>
      <c r="XD30" s="190"/>
      <c r="XE30" s="190"/>
      <c r="XF30" s="190"/>
      <c r="XG30" s="190"/>
      <c r="XH30" s="190"/>
      <c r="XI30" s="190"/>
      <c r="XJ30" s="190"/>
      <c r="XK30" s="190"/>
      <c r="XL30" s="190"/>
      <c r="XM30" s="190"/>
      <c r="XN30" s="190"/>
      <c r="XO30" s="190"/>
      <c r="XP30" s="190"/>
      <c r="XQ30" s="190"/>
      <c r="XR30" s="190"/>
      <c r="XS30" s="190"/>
      <c r="XT30" s="190"/>
      <c r="XU30" s="190"/>
      <c r="XV30" s="190"/>
      <c r="XW30" s="190"/>
      <c r="XX30" s="190"/>
      <c r="XY30" s="190"/>
      <c r="XZ30" s="190"/>
      <c r="YA30" s="190"/>
      <c r="YB30" s="190"/>
      <c r="YC30" s="190"/>
      <c r="YD30" s="190"/>
      <c r="YE30" s="190"/>
      <c r="YF30" s="190"/>
      <c r="YG30" s="190"/>
      <c r="YH30" s="190"/>
      <c r="YI30" s="190"/>
      <c r="YJ30" s="190"/>
      <c r="YK30" s="190"/>
      <c r="YL30" s="190"/>
      <c r="YM30" s="190"/>
      <c r="YN30" s="190"/>
      <c r="YO30" s="190"/>
      <c r="YP30" s="190"/>
      <c r="YQ30" s="190"/>
      <c r="YR30" s="190"/>
      <c r="YS30" s="190"/>
      <c r="YT30" s="190"/>
      <c r="YU30" s="190"/>
      <c r="YV30" s="190"/>
      <c r="YW30" s="190"/>
      <c r="YX30" s="190"/>
      <c r="YY30" s="190"/>
      <c r="YZ30" s="190"/>
      <c r="ZA30" s="190"/>
      <c r="ZB30" s="190"/>
      <c r="ZC30" s="190"/>
      <c r="ZD30" s="190"/>
      <c r="ZE30" s="190"/>
      <c r="ZF30" s="190"/>
      <c r="ZG30" s="190"/>
      <c r="ZH30" s="190"/>
      <c r="ZI30" s="190"/>
      <c r="ZJ30" s="190"/>
      <c r="ZK30" s="190"/>
      <c r="ZL30" s="190"/>
      <c r="ZM30" s="190"/>
      <c r="ZN30" s="190"/>
      <c r="ZO30" s="190"/>
      <c r="ZP30" s="190"/>
      <c r="ZQ30" s="190"/>
      <c r="ZR30" s="190"/>
      <c r="ZS30" s="190"/>
      <c r="ZT30" s="190"/>
      <c r="ZU30" s="190"/>
      <c r="ZV30" s="190"/>
      <c r="ZW30" s="190"/>
      <c r="ZX30" s="190"/>
      <c r="ZY30" s="190"/>
      <c r="ZZ30" s="190"/>
      <c r="AAA30" s="190"/>
      <c r="AAB30" s="190"/>
      <c r="AAC30" s="190"/>
      <c r="AAD30" s="190"/>
      <c r="AAE30" s="190"/>
      <c r="AAF30" s="190"/>
      <c r="AAG30" s="190"/>
      <c r="AAH30" s="190"/>
      <c r="AAI30" s="190"/>
      <c r="AAJ30" s="190"/>
      <c r="AAK30" s="190"/>
      <c r="AAL30" s="190"/>
      <c r="AAM30" s="190"/>
      <c r="AAN30" s="190"/>
      <c r="AAO30" s="190"/>
      <c r="AAP30" s="190"/>
      <c r="AAQ30" s="190"/>
      <c r="AAR30" s="190"/>
      <c r="AAS30" s="190"/>
      <c r="AAT30" s="190"/>
      <c r="AAU30" s="190"/>
      <c r="AAV30" s="190"/>
      <c r="AAW30" s="190"/>
      <c r="AAX30" s="190"/>
      <c r="AAY30" s="190"/>
      <c r="AAZ30" s="190"/>
      <c r="ABA30" s="190"/>
      <c r="ABB30" s="190"/>
      <c r="ABC30" s="190"/>
      <c r="ABD30" s="190"/>
      <c r="ABE30" s="336"/>
      <c r="ABF30" s="335"/>
      <c r="ABG30" s="335"/>
      <c r="ABH30" s="335"/>
      <c r="ABI30" s="335"/>
      <c r="ABJ30" s="335"/>
      <c r="ABK30" s="335"/>
      <c r="ABL30" s="335"/>
      <c r="ABM30" s="335"/>
      <c r="ABN30" s="335"/>
      <c r="ABO30" s="335"/>
      <c r="ABP30" s="335"/>
      <c r="ABQ30" s="335"/>
      <c r="ABR30" s="335"/>
      <c r="ABS30" s="335"/>
      <c r="ABT30" s="335"/>
      <c r="ABU30" s="335"/>
      <c r="ABV30" s="335"/>
      <c r="ABW30" s="335"/>
      <c r="ABX30" s="335"/>
      <c r="ABY30" s="335"/>
      <c r="ABZ30" s="335"/>
      <c r="ACA30" s="335"/>
      <c r="ACB30" s="335"/>
      <c r="ACC30" s="335"/>
      <c r="ACD30" s="335"/>
      <c r="ACE30" s="335"/>
      <c r="ACF30" s="335"/>
      <c r="ACG30" s="335"/>
      <c r="ACH30" s="335"/>
      <c r="ACI30" s="335"/>
      <c r="ACJ30" s="335"/>
      <c r="ACK30" s="335"/>
      <c r="ACL30" s="335"/>
      <c r="ACM30" s="335"/>
      <c r="ACN30" s="335"/>
      <c r="ACO30" s="335"/>
      <c r="ACP30" s="335"/>
      <c r="ACQ30" s="335"/>
      <c r="ACR30" s="335"/>
      <c r="ACS30" s="335"/>
      <c r="ACT30" s="335"/>
      <c r="ACU30" s="335"/>
      <c r="ACV30" s="335"/>
      <c r="ACW30" s="335"/>
      <c r="ACX30" s="335"/>
      <c r="ACY30" s="335"/>
      <c r="ACZ30" s="335"/>
      <c r="ADA30" s="335"/>
      <c r="ADB30" s="335"/>
      <c r="ADC30" s="335"/>
      <c r="ADD30" s="335"/>
      <c r="ADE30" s="335"/>
      <c r="ADF30" s="335"/>
      <c r="ADG30" s="335"/>
      <c r="ADH30" s="335"/>
      <c r="ADI30" s="335"/>
      <c r="ADJ30" s="335"/>
      <c r="ADK30" s="335"/>
      <c r="ADL30" s="335"/>
      <c r="ADM30" s="335"/>
      <c r="ADN30" s="335"/>
      <c r="ADO30" s="335"/>
      <c r="ADP30" s="335"/>
      <c r="ADQ30" s="335"/>
      <c r="ADR30" s="335"/>
      <c r="ADS30" s="335"/>
      <c r="ADT30" s="335"/>
      <c r="ADU30" s="335"/>
      <c r="ADV30" s="335"/>
      <c r="ADW30" s="335"/>
      <c r="ADX30" s="335"/>
      <c r="ADY30" s="335"/>
      <c r="ADZ30" s="335"/>
      <c r="AEA30" s="335"/>
      <c r="AEB30" s="335"/>
      <c r="AEC30" s="335"/>
      <c r="AED30" s="335"/>
      <c r="AEE30" s="335"/>
      <c r="AEF30" s="335"/>
      <c r="AEG30" s="335"/>
      <c r="AEH30" s="335"/>
      <c r="AEI30" s="335"/>
      <c r="AEJ30" s="335"/>
      <c r="AEK30" s="335"/>
      <c r="AEL30" s="335"/>
      <c r="AEM30" s="335"/>
      <c r="AEN30" s="335"/>
      <c r="AEO30" s="335"/>
      <c r="AEP30" s="335"/>
      <c r="AEQ30" s="335"/>
      <c r="AER30" s="335"/>
      <c r="AES30" s="335"/>
      <c r="AET30" s="335"/>
      <c r="AEU30" s="335"/>
      <c r="AEV30" s="335"/>
      <c r="AEW30" s="335"/>
      <c r="AEX30" s="335"/>
      <c r="AEY30" s="335"/>
      <c r="AEZ30" s="335"/>
      <c r="AFA30" s="335"/>
      <c r="AFB30" s="335"/>
      <c r="AFC30" s="335"/>
      <c r="AFD30" s="335"/>
      <c r="AFE30" s="335"/>
      <c r="AFF30" s="335"/>
      <c r="AFG30" s="335"/>
      <c r="AFH30" s="335"/>
      <c r="AFI30" s="335"/>
      <c r="AFJ30" s="335"/>
      <c r="AFK30" s="335"/>
      <c r="AFL30" s="335"/>
      <c r="AFM30" s="335"/>
      <c r="AFN30" s="335"/>
      <c r="AFO30" s="335"/>
      <c r="AFP30" s="335"/>
      <c r="AFQ30" s="335"/>
      <c r="AFR30" s="335"/>
      <c r="AFS30" s="335"/>
      <c r="AFT30" s="335"/>
      <c r="AFU30" s="335"/>
      <c r="AFV30" s="335"/>
      <c r="AFW30" s="335"/>
      <c r="AFX30" s="335"/>
      <c r="AFY30" s="335"/>
      <c r="AFZ30" s="335"/>
      <c r="AGA30" s="335"/>
      <c r="AGB30" s="335"/>
      <c r="AGC30" s="335"/>
      <c r="AGD30" s="335"/>
      <c r="AGE30" s="335"/>
      <c r="AGF30" s="335"/>
      <c r="AGG30" s="335"/>
      <c r="AGH30" s="335"/>
      <c r="AGI30" s="335"/>
      <c r="AGJ30" s="335"/>
      <c r="AGK30" s="335"/>
      <c r="AGL30" s="335"/>
      <c r="AGM30" s="335"/>
      <c r="AGN30" s="335"/>
      <c r="AGO30" s="335"/>
      <c r="AGP30" s="335"/>
      <c r="AGQ30" s="335"/>
      <c r="AGR30" s="335"/>
      <c r="AGS30" s="335"/>
      <c r="AGT30" s="335"/>
      <c r="AGU30" s="335"/>
      <c r="AGV30" s="335"/>
      <c r="AGW30" s="335"/>
      <c r="AGX30" s="335"/>
      <c r="AGY30" s="335"/>
      <c r="AGZ30" s="335"/>
      <c r="AHA30" s="335"/>
      <c r="AHB30" s="335"/>
      <c r="AHC30" s="335"/>
      <c r="AHD30" s="335"/>
      <c r="AHE30" s="335"/>
      <c r="AHF30" s="335"/>
      <c r="AHG30" s="335"/>
      <c r="AHH30" s="335"/>
      <c r="AHI30" s="335"/>
      <c r="AHJ30" s="335"/>
      <c r="AHK30" s="335"/>
      <c r="AHL30" s="335"/>
      <c r="AHM30" s="335"/>
      <c r="AHN30" s="335"/>
      <c r="AHO30" s="335"/>
      <c r="AHP30" s="335"/>
      <c r="AHQ30" s="335"/>
      <c r="AHR30" s="335"/>
      <c r="AHS30" s="335"/>
      <c r="AHT30" s="335"/>
      <c r="AHU30" s="335"/>
      <c r="AHV30" s="335"/>
      <c r="AHW30" s="335"/>
      <c r="AHX30" s="335"/>
      <c r="AHY30" s="335"/>
      <c r="AHZ30" s="335"/>
      <c r="AIA30" s="335"/>
      <c r="AIB30" s="335"/>
      <c r="AIC30" s="339"/>
    </row>
    <row r="31" spans="1:913" s="161" customFormat="1">
      <c r="A31" s="172"/>
      <c r="B31" s="177">
        <v>0.54166666666666696</v>
      </c>
      <c r="C31" s="190"/>
      <c r="D31" s="190"/>
      <c r="E31" s="190"/>
      <c r="F31" s="190"/>
      <c r="G31" s="190"/>
      <c r="H31" s="190"/>
      <c r="I31" s="190"/>
      <c r="J31" s="190"/>
      <c r="K31" s="190"/>
      <c r="L31" s="190"/>
      <c r="M31" s="190"/>
      <c r="N31" s="190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Y31" s="216"/>
      <c r="Z31" s="216"/>
      <c r="AA31" s="216"/>
      <c r="AB31" s="216"/>
      <c r="AC31" s="216"/>
      <c r="AD31" s="216"/>
      <c r="AE31" s="216"/>
      <c r="AF31" s="216"/>
      <c r="AG31" s="216"/>
      <c r="AH31" s="216"/>
      <c r="AI31" s="216"/>
      <c r="AJ31" s="216"/>
      <c r="AK31" s="216"/>
      <c r="AL31" s="216"/>
      <c r="AM31" s="216"/>
      <c r="AN31" s="216"/>
      <c r="AO31" s="216"/>
      <c r="AP31" s="216"/>
      <c r="AQ31" s="216"/>
      <c r="AR31" s="216"/>
      <c r="AS31" s="216"/>
      <c r="AT31" s="216"/>
      <c r="AU31" s="216"/>
      <c r="AV31" s="216"/>
      <c r="AW31" s="216"/>
      <c r="AX31" s="216"/>
      <c r="AY31" s="216"/>
      <c r="AZ31" s="216"/>
      <c r="BA31" s="216"/>
      <c r="BB31" s="216"/>
      <c r="BC31" s="216"/>
      <c r="BD31" s="216"/>
      <c r="BE31" s="216"/>
      <c r="BF31" s="216"/>
      <c r="BG31" s="216"/>
      <c r="BH31" s="216"/>
      <c r="BI31" s="216"/>
      <c r="BJ31" s="216"/>
      <c r="BK31" s="216"/>
      <c r="BL31" s="216"/>
      <c r="BM31" s="216"/>
      <c r="BN31" s="216"/>
      <c r="BO31" s="216"/>
      <c r="BP31" s="216"/>
      <c r="BQ31" s="216"/>
      <c r="BR31" s="216"/>
      <c r="BS31" s="216"/>
      <c r="BT31" s="216"/>
      <c r="BU31" s="216"/>
      <c r="BV31" s="216"/>
      <c r="BW31" s="216"/>
      <c r="BX31" s="216"/>
      <c r="BY31" s="216"/>
      <c r="BZ31" s="216"/>
      <c r="CA31" s="216"/>
      <c r="CB31" s="216"/>
      <c r="CC31" s="216"/>
      <c r="CD31" s="216"/>
      <c r="CE31" s="216"/>
      <c r="CF31" s="216"/>
      <c r="CG31" s="216"/>
      <c r="CH31" s="216"/>
      <c r="CI31" s="216"/>
      <c r="CJ31" s="216"/>
      <c r="CK31" s="216"/>
      <c r="CL31" s="216"/>
      <c r="CM31" s="216"/>
      <c r="CN31" s="216"/>
      <c r="CO31" s="216"/>
      <c r="CP31" s="216"/>
      <c r="CQ31" s="216"/>
      <c r="CR31" s="216"/>
      <c r="CS31" s="216"/>
      <c r="CT31" s="216"/>
      <c r="CU31" s="216"/>
      <c r="CV31" s="216"/>
      <c r="CW31" s="216"/>
      <c r="CX31" s="216"/>
      <c r="CY31" s="216"/>
      <c r="CZ31" s="216"/>
      <c r="DA31" s="216"/>
      <c r="DB31" s="216"/>
      <c r="DC31" s="216"/>
      <c r="DD31" s="219"/>
      <c r="DE31" s="216"/>
      <c r="DF31" s="216"/>
      <c r="DG31" s="216"/>
      <c r="DH31" s="216"/>
      <c r="DI31" s="216"/>
      <c r="DJ31" s="216"/>
      <c r="DK31" s="216"/>
      <c r="DL31" s="216"/>
      <c r="DM31" s="216"/>
      <c r="DN31" s="216"/>
      <c r="DO31" s="216"/>
      <c r="DP31" s="216"/>
      <c r="DQ31" s="216"/>
      <c r="DR31" s="216"/>
      <c r="DS31" s="216"/>
      <c r="DT31" s="216"/>
      <c r="DU31" s="216"/>
      <c r="DV31" s="216"/>
      <c r="DW31" s="216"/>
      <c r="DX31" s="216"/>
      <c r="DY31" s="216"/>
      <c r="DZ31" s="216"/>
      <c r="EA31" s="216"/>
      <c r="EB31" s="216"/>
      <c r="EC31" s="216"/>
      <c r="ED31" s="216"/>
      <c r="EE31" s="216"/>
      <c r="EF31" s="216"/>
      <c r="EG31" s="216"/>
      <c r="EH31" s="216"/>
      <c r="EI31" s="216"/>
      <c r="EJ31" s="216"/>
      <c r="EK31" s="216"/>
      <c r="EL31" s="216"/>
      <c r="EM31" s="216"/>
      <c r="EN31" s="216"/>
      <c r="EO31" s="190"/>
      <c r="EP31" s="216"/>
      <c r="EQ31" s="216"/>
      <c r="ER31" s="216"/>
      <c r="ES31" s="216"/>
      <c r="ET31" s="216"/>
      <c r="EU31" s="216"/>
      <c r="EV31" s="216"/>
      <c r="EW31" s="216"/>
      <c r="EX31" s="216"/>
      <c r="EY31" s="190"/>
      <c r="EZ31" s="190"/>
      <c r="FA31" s="216"/>
      <c r="FB31" s="216"/>
      <c r="FC31" s="216"/>
      <c r="FD31" s="216"/>
      <c r="FE31" s="216"/>
      <c r="FF31" s="216"/>
      <c r="FG31" s="216"/>
      <c r="FH31" s="216"/>
      <c r="FI31" s="216"/>
      <c r="FJ31" s="216"/>
      <c r="FK31" s="216"/>
      <c r="FL31" s="216"/>
      <c r="FM31" s="216"/>
      <c r="FN31" s="216"/>
      <c r="FO31" s="216"/>
      <c r="FP31" s="216"/>
      <c r="FQ31" s="216"/>
      <c r="FR31" s="216"/>
      <c r="FS31" s="216"/>
      <c r="FT31" s="216"/>
      <c r="FU31" s="216"/>
      <c r="FV31" s="216"/>
      <c r="FW31" s="216"/>
      <c r="FX31" s="216"/>
      <c r="FY31" s="216"/>
      <c r="FZ31" s="216"/>
      <c r="GA31" s="216"/>
      <c r="GB31" s="216"/>
      <c r="GC31" s="217"/>
      <c r="GD31" s="217"/>
      <c r="GE31" s="217"/>
      <c r="GF31" s="217"/>
      <c r="GG31" s="190"/>
      <c r="GH31" s="216"/>
      <c r="GI31" s="216"/>
      <c r="GJ31" s="216"/>
      <c r="GK31" s="216"/>
      <c r="GL31" s="216"/>
      <c r="GM31" s="217"/>
      <c r="GN31" s="217"/>
      <c r="GO31" s="217"/>
      <c r="GP31" s="217"/>
      <c r="GQ31" s="217"/>
      <c r="GR31" s="218"/>
      <c r="GS31" s="217"/>
      <c r="GT31" s="217"/>
      <c r="GU31" s="216"/>
      <c r="GV31" s="216"/>
      <c r="GW31" s="216"/>
      <c r="GX31" s="216"/>
      <c r="GY31" s="190"/>
      <c r="GZ31" s="190"/>
      <c r="HA31" s="190"/>
      <c r="HB31" s="190"/>
      <c r="HC31" s="190"/>
      <c r="HD31" s="190"/>
      <c r="HE31" s="190"/>
      <c r="HF31" s="190"/>
      <c r="HG31" s="190"/>
      <c r="HH31" s="190"/>
      <c r="HI31" s="190"/>
      <c r="HJ31" s="190"/>
      <c r="HK31" s="190"/>
      <c r="HL31" s="190"/>
      <c r="HM31" s="190"/>
      <c r="HN31" s="190"/>
      <c r="HO31" s="190"/>
      <c r="HP31" s="190"/>
      <c r="HQ31" s="190"/>
      <c r="HR31" s="190"/>
      <c r="HS31" s="190"/>
      <c r="HT31" s="190"/>
      <c r="HU31" s="190"/>
      <c r="HV31" s="190"/>
      <c r="HW31" s="190"/>
      <c r="HX31" s="190"/>
      <c r="HY31" s="190"/>
      <c r="HZ31" s="190"/>
      <c r="IA31" s="190"/>
      <c r="IB31" s="190"/>
      <c r="IC31" s="190"/>
      <c r="ID31" s="190"/>
      <c r="IE31" s="190"/>
      <c r="IF31" s="190"/>
      <c r="IG31" s="190"/>
      <c r="IH31" s="190"/>
      <c r="II31" s="190"/>
      <c r="IJ31" s="190"/>
      <c r="IK31" s="190"/>
      <c r="IL31" s="190"/>
      <c r="IM31" s="190"/>
      <c r="IN31" s="190"/>
      <c r="IO31" s="190"/>
      <c r="IP31" s="190"/>
      <c r="IQ31" s="190"/>
      <c r="IR31" s="190"/>
      <c r="IS31" s="190"/>
      <c r="IT31" s="190"/>
      <c r="IU31" s="190"/>
      <c r="IV31" s="190"/>
      <c r="IW31" s="190"/>
      <c r="IX31" s="190"/>
      <c r="IY31" s="190"/>
      <c r="IZ31" s="190"/>
      <c r="JA31" s="190"/>
      <c r="JB31" s="190"/>
      <c r="JC31" s="190"/>
      <c r="JD31" s="190"/>
      <c r="JE31" s="190"/>
      <c r="JF31" s="190"/>
      <c r="JG31" s="190"/>
      <c r="JH31" s="190"/>
      <c r="JI31" s="190"/>
      <c r="JJ31" s="190"/>
      <c r="JK31" s="190"/>
      <c r="JL31" s="190"/>
      <c r="JM31" s="190"/>
      <c r="JN31" s="190"/>
      <c r="JO31" s="190"/>
      <c r="JP31" s="190"/>
      <c r="JQ31" s="190"/>
      <c r="JR31" s="190"/>
      <c r="JS31" s="190"/>
      <c r="JT31" s="190"/>
      <c r="JU31" s="190"/>
      <c r="JV31" s="190"/>
      <c r="JW31" s="190"/>
      <c r="JX31" s="190"/>
      <c r="JY31" s="190"/>
      <c r="JZ31" s="190"/>
      <c r="KA31" s="190"/>
      <c r="KB31" s="190"/>
      <c r="KC31" s="190"/>
      <c r="KD31" s="190"/>
      <c r="KE31" s="190"/>
      <c r="KF31" s="190"/>
      <c r="KG31" s="190"/>
      <c r="KH31" s="190"/>
      <c r="KI31" s="190"/>
      <c r="KJ31" s="190"/>
      <c r="KK31" s="190"/>
      <c r="KL31" s="190"/>
      <c r="KM31" s="190"/>
      <c r="KN31" s="190"/>
      <c r="KO31" s="190"/>
      <c r="KP31" s="190"/>
      <c r="KQ31" s="190"/>
      <c r="KR31" s="190"/>
      <c r="KS31" s="190"/>
      <c r="KT31" s="190"/>
      <c r="KU31" s="190"/>
      <c r="KV31" s="190"/>
      <c r="KW31" s="190"/>
      <c r="KX31" s="190"/>
      <c r="KY31" s="190"/>
      <c r="KZ31" s="190"/>
      <c r="LA31" s="190"/>
      <c r="LB31" s="190"/>
      <c r="LC31" s="190"/>
      <c r="LD31" s="190"/>
      <c r="LE31" s="190"/>
      <c r="LF31" s="190"/>
      <c r="LG31" s="190"/>
      <c r="LH31" s="190"/>
      <c r="LI31" s="190"/>
      <c r="LJ31" s="190"/>
      <c r="LK31" s="190"/>
      <c r="LL31" s="190"/>
      <c r="LM31" s="190"/>
      <c r="LN31" s="190"/>
      <c r="LO31" s="190"/>
      <c r="LP31" s="190"/>
      <c r="LQ31" s="190"/>
      <c r="LR31" s="190"/>
      <c r="LS31" s="190"/>
      <c r="LT31" s="190"/>
      <c r="LU31" s="190"/>
      <c r="LV31" s="190"/>
      <c r="LW31" s="190"/>
      <c r="LX31" s="190"/>
      <c r="LY31" s="190"/>
      <c r="LZ31" s="190"/>
      <c r="MA31" s="190"/>
      <c r="MB31" s="190"/>
      <c r="MC31" s="190"/>
      <c r="MD31" s="190"/>
      <c r="ME31" s="190"/>
      <c r="MF31" s="190"/>
      <c r="MG31" s="190"/>
      <c r="MH31" s="190"/>
      <c r="MI31" s="190"/>
      <c r="MJ31" s="190"/>
      <c r="MK31" s="190"/>
      <c r="ML31" s="190"/>
      <c r="MM31" s="190"/>
      <c r="MN31" s="190"/>
      <c r="MO31" s="190"/>
      <c r="MP31" s="190"/>
      <c r="MQ31" s="190"/>
      <c r="MR31" s="190"/>
      <c r="MS31" s="190"/>
      <c r="MT31" s="190"/>
      <c r="MU31" s="190"/>
      <c r="MV31" s="190"/>
      <c r="MW31" s="190"/>
      <c r="MX31" s="190"/>
      <c r="MY31" s="190"/>
      <c r="MZ31" s="190"/>
      <c r="NA31" s="190"/>
      <c r="NB31" s="190"/>
      <c r="NC31" s="190"/>
      <c r="ND31" s="190"/>
      <c r="NE31" s="190"/>
      <c r="NF31" s="190"/>
      <c r="NG31" s="190"/>
      <c r="NH31" s="190"/>
      <c r="NI31" s="190"/>
      <c r="NJ31" s="190"/>
      <c r="NK31" s="190"/>
      <c r="NL31" s="190"/>
      <c r="NM31" s="190"/>
      <c r="NN31" s="190"/>
      <c r="NO31" s="190"/>
      <c r="NP31" s="190"/>
      <c r="NQ31" s="190"/>
      <c r="NR31" s="190"/>
      <c r="NS31" s="190"/>
      <c r="NT31" s="190"/>
      <c r="NU31" s="190"/>
      <c r="NV31" s="190"/>
      <c r="NW31" s="190"/>
      <c r="NX31" s="190"/>
      <c r="NY31" s="190"/>
      <c r="NZ31" s="190"/>
      <c r="OA31" s="190"/>
      <c r="OB31" s="190"/>
      <c r="OC31" s="190"/>
      <c r="OD31" s="190"/>
      <c r="OE31" s="190"/>
      <c r="OF31" s="190"/>
      <c r="OG31" s="190"/>
      <c r="OH31" s="190"/>
      <c r="OI31" s="190"/>
      <c r="OJ31" s="190"/>
      <c r="OK31" s="190"/>
      <c r="OL31" s="190"/>
      <c r="OM31" s="190"/>
      <c r="ON31" s="190"/>
      <c r="OO31" s="190"/>
      <c r="OP31" s="190"/>
      <c r="OQ31" s="190"/>
      <c r="OR31" s="190"/>
      <c r="OS31" s="190"/>
      <c r="OT31" s="190"/>
      <c r="OU31" s="190"/>
      <c r="OV31" s="190"/>
      <c r="OW31" s="190"/>
      <c r="OX31" s="190"/>
      <c r="OY31" s="190"/>
      <c r="OZ31" s="190"/>
      <c r="PA31" s="190"/>
      <c r="PB31" s="291"/>
      <c r="PC31" s="246"/>
      <c r="PD31" s="247"/>
      <c r="PE31" s="246"/>
      <c r="PF31" s="247"/>
      <c r="PG31" s="246"/>
      <c r="PH31" s="247"/>
      <c r="PI31" s="246"/>
      <c r="PJ31" s="247"/>
      <c r="PK31" s="190"/>
      <c r="PL31" s="291"/>
      <c r="PM31" s="246"/>
      <c r="PN31" s="247"/>
      <c r="PO31" s="292"/>
      <c r="PP31" s="247"/>
      <c r="PQ31" s="246"/>
      <c r="PR31" s="247"/>
      <c r="PS31" s="246"/>
      <c r="PT31" s="247"/>
      <c r="PU31" s="246"/>
      <c r="PV31" s="247"/>
      <c r="PW31" s="246"/>
      <c r="PX31" s="247"/>
      <c r="PY31" s="246"/>
      <c r="PZ31" s="247"/>
      <c r="QA31" s="246"/>
      <c r="QB31" s="247"/>
      <c r="QC31" s="246"/>
      <c r="QD31" s="247"/>
      <c r="QE31" s="246"/>
      <c r="QF31" s="247"/>
      <c r="QG31" s="246"/>
      <c r="QH31" s="247"/>
      <c r="QI31" s="246"/>
      <c r="QJ31" s="247"/>
      <c r="QK31" s="246"/>
      <c r="QL31" s="247"/>
      <c r="QM31" s="246"/>
      <c r="QN31" s="247"/>
      <c r="QO31" s="246"/>
      <c r="QP31" s="247"/>
      <c r="QQ31" s="246"/>
      <c r="QR31" s="247"/>
      <c r="QS31" s="246"/>
      <c r="QT31" s="247"/>
      <c r="QU31" s="246"/>
      <c r="QV31" s="247"/>
      <c r="QW31" s="246"/>
      <c r="QX31" s="247"/>
      <c r="QY31" s="246"/>
      <c r="QZ31" s="247"/>
      <c r="RA31" s="246"/>
      <c r="RB31" s="247"/>
      <c r="RC31" s="246"/>
      <c r="RD31" s="190"/>
      <c r="RE31" s="190"/>
      <c r="RF31" s="190"/>
      <c r="RG31" s="190"/>
      <c r="RH31" s="190"/>
      <c r="RI31" s="190"/>
      <c r="RJ31" s="190"/>
      <c r="RK31" s="190"/>
      <c r="RL31" s="190"/>
      <c r="RM31" s="190"/>
      <c r="RN31" s="190"/>
      <c r="RO31" s="190"/>
      <c r="RP31" s="190"/>
      <c r="RQ31" s="190"/>
      <c r="RR31" s="190"/>
      <c r="RS31" s="190"/>
      <c r="RT31" s="190"/>
      <c r="RU31" s="190"/>
      <c r="RV31" s="190"/>
      <c r="RW31" s="190"/>
      <c r="RX31" s="190"/>
      <c r="RY31" s="190"/>
      <c r="RZ31" s="190"/>
      <c r="SA31" s="190"/>
      <c r="SB31" s="190"/>
      <c r="SC31" s="190"/>
      <c r="SD31" s="190"/>
      <c r="SE31" s="190"/>
      <c r="SF31" s="190"/>
      <c r="SG31" s="190"/>
      <c r="SH31" s="190"/>
      <c r="SI31" s="190"/>
      <c r="SJ31" s="190"/>
      <c r="SK31" s="190"/>
      <c r="SL31" s="190"/>
      <c r="SM31" s="190"/>
      <c r="SN31" s="190"/>
      <c r="SO31" s="190"/>
      <c r="SP31" s="190"/>
      <c r="SQ31" s="190"/>
      <c r="SR31" s="190"/>
      <c r="SS31" s="190"/>
      <c r="ST31" s="190"/>
      <c r="SU31" s="190"/>
      <c r="SV31" s="190"/>
      <c r="SW31" s="190"/>
      <c r="SX31" s="190"/>
      <c r="SY31" s="190"/>
      <c r="SZ31" s="190"/>
      <c r="TA31" s="190"/>
      <c r="TB31" s="190"/>
      <c r="TC31" s="190"/>
      <c r="TD31" s="190"/>
      <c r="TE31" s="190"/>
      <c r="TF31" s="190"/>
      <c r="TG31" s="190"/>
      <c r="TH31" s="190"/>
      <c r="TI31" s="190"/>
      <c r="TJ31" s="190"/>
      <c r="TK31" s="190"/>
      <c r="TL31" s="190"/>
      <c r="TM31" s="190"/>
      <c r="TN31" s="190"/>
      <c r="TO31" s="190"/>
      <c r="TP31" s="190"/>
      <c r="TQ31" s="190"/>
      <c r="TR31" s="190"/>
      <c r="TS31" s="190"/>
      <c r="TT31" s="190"/>
      <c r="TU31" s="190"/>
      <c r="TV31" s="190"/>
      <c r="TW31" s="190"/>
      <c r="TX31" s="190"/>
      <c r="TY31" s="190"/>
      <c r="TZ31" s="190"/>
      <c r="UA31" s="190"/>
      <c r="UB31" s="190"/>
      <c r="UC31" s="190"/>
      <c r="UD31" s="190"/>
      <c r="UE31" s="190"/>
      <c r="UF31" s="190"/>
      <c r="UG31" s="190"/>
      <c r="UH31" s="190"/>
      <c r="UI31" s="190"/>
      <c r="UJ31" s="190"/>
      <c r="UK31" s="190"/>
      <c r="UL31" s="190"/>
      <c r="UM31" s="190"/>
      <c r="UN31" s="190"/>
      <c r="UO31" s="190"/>
      <c r="UP31" s="190"/>
      <c r="UQ31" s="190"/>
      <c r="UR31" s="190"/>
      <c r="US31" s="190"/>
      <c r="UT31" s="190"/>
      <c r="UU31" s="190"/>
      <c r="UV31" s="190"/>
      <c r="UW31" s="190"/>
      <c r="UX31" s="190"/>
      <c r="UY31" s="190"/>
      <c r="UZ31" s="190"/>
      <c r="VA31" s="190"/>
      <c r="VB31" s="190"/>
      <c r="VC31" s="190"/>
      <c r="VD31" s="190"/>
      <c r="VE31" s="190"/>
      <c r="VF31" s="190"/>
      <c r="VG31" s="190"/>
      <c r="VH31" s="190"/>
      <c r="VI31" s="190"/>
      <c r="VJ31" s="190"/>
      <c r="VK31" s="190"/>
      <c r="VL31" s="190"/>
      <c r="VM31" s="190"/>
      <c r="VN31" s="190"/>
      <c r="VO31" s="190"/>
      <c r="VP31" s="190"/>
      <c r="VQ31" s="190"/>
      <c r="VR31" s="190"/>
      <c r="VS31" s="190"/>
      <c r="VT31" s="190"/>
      <c r="VU31" s="190"/>
      <c r="VV31" s="190"/>
      <c r="VW31" s="190"/>
      <c r="VX31" s="190"/>
      <c r="VY31" s="190"/>
      <c r="VZ31" s="190"/>
      <c r="WA31" s="190"/>
      <c r="WB31" s="190"/>
      <c r="WC31" s="190"/>
      <c r="WD31" s="190"/>
      <c r="WE31" s="190"/>
      <c r="WF31" s="190"/>
      <c r="WG31" s="190"/>
      <c r="WH31" s="190"/>
      <c r="WI31" s="190"/>
      <c r="WJ31" s="190"/>
      <c r="WK31" s="190"/>
      <c r="WL31" s="190"/>
      <c r="WM31" s="190"/>
      <c r="WN31" s="190"/>
      <c r="WO31" s="190"/>
      <c r="WP31" s="190"/>
      <c r="WQ31" s="190"/>
      <c r="WR31" s="190"/>
      <c r="WS31" s="190"/>
      <c r="WT31" s="190"/>
      <c r="WU31" s="190"/>
      <c r="WV31" s="190"/>
      <c r="WW31" s="190"/>
      <c r="WX31" s="190"/>
      <c r="WY31" s="190"/>
      <c r="WZ31" s="190"/>
      <c r="XA31" s="190"/>
      <c r="XB31" s="190"/>
      <c r="XC31" s="190"/>
      <c r="XD31" s="190"/>
      <c r="XE31" s="190"/>
      <c r="XF31" s="190"/>
      <c r="XG31" s="190"/>
      <c r="XH31" s="190"/>
      <c r="XI31" s="190"/>
      <c r="XJ31" s="190"/>
      <c r="XK31" s="190"/>
      <c r="XL31" s="190"/>
      <c r="XM31" s="190"/>
      <c r="XN31" s="190"/>
      <c r="XO31" s="190"/>
      <c r="XP31" s="190"/>
      <c r="XQ31" s="190"/>
      <c r="XR31" s="190"/>
      <c r="XS31" s="190"/>
      <c r="XT31" s="190"/>
      <c r="XU31" s="190"/>
      <c r="XV31" s="190"/>
      <c r="XW31" s="190"/>
      <c r="XX31" s="190"/>
      <c r="XY31" s="190"/>
      <c r="XZ31" s="190"/>
      <c r="YA31" s="190"/>
      <c r="YB31" s="190"/>
      <c r="YC31" s="190"/>
      <c r="YD31" s="190"/>
      <c r="YE31" s="190"/>
      <c r="YF31" s="190"/>
      <c r="YG31" s="190"/>
      <c r="YH31" s="190"/>
      <c r="YI31" s="190"/>
      <c r="YJ31" s="190"/>
      <c r="YK31" s="190"/>
      <c r="YL31" s="190"/>
      <c r="YM31" s="190"/>
      <c r="YN31" s="190"/>
      <c r="YO31" s="190"/>
      <c r="YP31" s="190"/>
      <c r="YQ31" s="190"/>
      <c r="YR31" s="190"/>
      <c r="YS31" s="190"/>
      <c r="YT31" s="190"/>
      <c r="YU31" s="190"/>
      <c r="YV31" s="190"/>
      <c r="YW31" s="190"/>
      <c r="YX31" s="190"/>
      <c r="YY31" s="190"/>
      <c r="YZ31" s="190"/>
      <c r="ZA31" s="190"/>
      <c r="ZB31" s="190"/>
      <c r="ZC31" s="190"/>
      <c r="ZD31" s="190"/>
      <c r="ZE31" s="190"/>
      <c r="ZF31" s="190"/>
      <c r="ZG31" s="190"/>
      <c r="ZH31" s="190"/>
      <c r="ZI31" s="190"/>
      <c r="ZJ31" s="190"/>
      <c r="ZK31" s="190"/>
      <c r="ZL31" s="190"/>
      <c r="ZM31" s="190"/>
      <c r="ZN31" s="190"/>
      <c r="ZO31" s="190"/>
      <c r="ZP31" s="190"/>
      <c r="ZQ31" s="190"/>
      <c r="ZR31" s="190"/>
      <c r="ZS31" s="190"/>
      <c r="ZT31" s="190"/>
      <c r="ZU31" s="190"/>
      <c r="ZV31" s="190"/>
      <c r="ZW31" s="190"/>
      <c r="ZX31" s="190"/>
      <c r="ZY31" s="190"/>
      <c r="ZZ31" s="190"/>
      <c r="AAA31" s="190"/>
      <c r="AAB31" s="190"/>
      <c r="AAC31" s="190"/>
      <c r="AAD31" s="190"/>
      <c r="AAE31" s="190"/>
      <c r="AAF31" s="190"/>
      <c r="AAG31" s="190"/>
      <c r="AAH31" s="190"/>
      <c r="AAI31" s="190"/>
      <c r="AAJ31" s="190"/>
      <c r="AAK31" s="190"/>
      <c r="AAL31" s="190"/>
      <c r="AAM31" s="190"/>
      <c r="AAN31" s="190"/>
      <c r="AAO31" s="190"/>
      <c r="AAP31" s="190"/>
      <c r="AAQ31" s="190"/>
      <c r="AAR31" s="190"/>
      <c r="AAS31" s="190"/>
      <c r="AAT31" s="190"/>
      <c r="AAU31" s="190"/>
      <c r="AAV31" s="190"/>
      <c r="AAW31" s="190"/>
      <c r="AAX31" s="190"/>
      <c r="AAY31" s="190"/>
      <c r="AAZ31" s="190"/>
      <c r="ABA31" s="190"/>
      <c r="ABB31" s="190"/>
      <c r="ABC31" s="190"/>
      <c r="ABD31" s="190"/>
      <c r="ABE31" s="336"/>
      <c r="ABF31" s="335"/>
      <c r="ABG31" s="335"/>
      <c r="ABH31" s="335"/>
      <c r="ABI31" s="335"/>
      <c r="ABJ31" s="335"/>
      <c r="ABK31" s="335"/>
      <c r="ABL31" s="335"/>
      <c r="ABM31" s="335"/>
      <c r="ABN31" s="335"/>
      <c r="ABO31" s="335"/>
      <c r="ABP31" s="335"/>
      <c r="ABQ31" s="335"/>
      <c r="ABR31" s="335"/>
      <c r="ABS31" s="335"/>
      <c r="ABT31" s="335"/>
      <c r="ABU31" s="335"/>
      <c r="ABV31" s="335"/>
      <c r="ABW31" s="335"/>
      <c r="ABX31" s="335"/>
      <c r="ABY31" s="335"/>
      <c r="ABZ31" s="335"/>
      <c r="ACA31" s="335"/>
      <c r="ACB31" s="335"/>
      <c r="ACC31" s="335"/>
      <c r="ACD31" s="335"/>
      <c r="ACE31" s="335"/>
      <c r="ACF31" s="335"/>
      <c r="ACG31" s="335"/>
      <c r="ACH31" s="335"/>
      <c r="ACI31" s="335"/>
      <c r="ACJ31" s="335"/>
      <c r="ACK31" s="335"/>
      <c r="ACL31" s="335"/>
      <c r="ACM31" s="335"/>
      <c r="ACN31" s="335"/>
      <c r="ACO31" s="335"/>
      <c r="ACP31" s="335"/>
      <c r="ACQ31" s="335"/>
      <c r="ACR31" s="335"/>
      <c r="ACS31" s="335"/>
      <c r="ACT31" s="335"/>
      <c r="ACU31" s="335"/>
      <c r="ACV31" s="335"/>
      <c r="ACW31" s="335"/>
      <c r="ACX31" s="335"/>
      <c r="ACY31" s="335"/>
      <c r="ACZ31" s="335"/>
      <c r="ADA31" s="335"/>
      <c r="ADB31" s="335"/>
      <c r="ADC31" s="335"/>
      <c r="ADD31" s="335"/>
      <c r="ADE31" s="335"/>
      <c r="ADF31" s="335"/>
      <c r="ADG31" s="335"/>
      <c r="ADH31" s="335"/>
      <c r="ADI31" s="335"/>
      <c r="ADJ31" s="335"/>
      <c r="ADK31" s="335"/>
      <c r="ADL31" s="335"/>
      <c r="ADM31" s="335"/>
      <c r="ADN31" s="335"/>
      <c r="ADO31" s="335"/>
      <c r="ADP31" s="335"/>
      <c r="ADQ31" s="335"/>
      <c r="ADR31" s="335"/>
      <c r="ADS31" s="335"/>
      <c r="ADT31" s="335"/>
      <c r="ADU31" s="335"/>
      <c r="ADV31" s="335"/>
      <c r="ADW31" s="335"/>
      <c r="ADX31" s="335"/>
      <c r="ADY31" s="335"/>
      <c r="ADZ31" s="335"/>
      <c r="AEA31" s="335"/>
      <c r="AEB31" s="335"/>
      <c r="AEC31" s="335"/>
      <c r="AED31" s="335"/>
      <c r="AEE31" s="335"/>
      <c r="AEF31" s="335"/>
      <c r="AEG31" s="335"/>
      <c r="AEH31" s="335"/>
      <c r="AEI31" s="335"/>
      <c r="AEJ31" s="335"/>
      <c r="AEK31" s="335"/>
      <c r="AEL31" s="335"/>
      <c r="AEM31" s="335"/>
      <c r="AEN31" s="335"/>
      <c r="AEO31" s="335"/>
      <c r="AEP31" s="335"/>
      <c r="AEQ31" s="335"/>
      <c r="AER31" s="335"/>
      <c r="AES31" s="335"/>
      <c r="AET31" s="335"/>
      <c r="AEU31" s="335"/>
      <c r="AEV31" s="335"/>
      <c r="AEW31" s="335"/>
      <c r="AEX31" s="335"/>
      <c r="AEY31" s="335"/>
      <c r="AEZ31" s="335"/>
      <c r="AFA31" s="335"/>
      <c r="AFB31" s="335"/>
      <c r="AFC31" s="335"/>
      <c r="AFD31" s="335"/>
      <c r="AFE31" s="335"/>
      <c r="AFF31" s="335"/>
      <c r="AFG31" s="335"/>
      <c r="AFH31" s="335"/>
      <c r="AFI31" s="335"/>
      <c r="AFJ31" s="335"/>
      <c r="AFK31" s="335"/>
      <c r="AFL31" s="335"/>
      <c r="AFM31" s="335"/>
      <c r="AFN31" s="335"/>
      <c r="AFO31" s="335"/>
      <c r="AFP31" s="335"/>
      <c r="AFQ31" s="335"/>
      <c r="AFR31" s="335"/>
      <c r="AFS31" s="335"/>
      <c r="AFT31" s="335"/>
      <c r="AFU31" s="335"/>
      <c r="AFV31" s="335"/>
      <c r="AFW31" s="335"/>
      <c r="AFX31" s="335"/>
      <c r="AFY31" s="335"/>
      <c r="AFZ31" s="335"/>
      <c r="AGA31" s="335"/>
      <c r="AGB31" s="335"/>
      <c r="AGC31" s="335"/>
      <c r="AGD31" s="335"/>
      <c r="AGE31" s="335"/>
      <c r="AGF31" s="335"/>
      <c r="AGG31" s="335"/>
      <c r="AGH31" s="335"/>
      <c r="AGI31" s="335"/>
      <c r="AGJ31" s="335"/>
      <c r="AGK31" s="335"/>
      <c r="AGL31" s="335"/>
      <c r="AGM31" s="335"/>
      <c r="AGN31" s="335"/>
      <c r="AGO31" s="335"/>
      <c r="AGP31" s="335"/>
      <c r="AGQ31" s="335"/>
      <c r="AGR31" s="335"/>
      <c r="AGS31" s="335"/>
      <c r="AGT31" s="335"/>
      <c r="AGU31" s="335"/>
      <c r="AGV31" s="335"/>
      <c r="AGW31" s="335"/>
      <c r="AGX31" s="335"/>
      <c r="AGY31" s="335"/>
      <c r="AGZ31" s="335"/>
      <c r="AHA31" s="335"/>
      <c r="AHB31" s="335"/>
      <c r="AHC31" s="335"/>
      <c r="AHD31" s="335"/>
      <c r="AHE31" s="335"/>
      <c r="AHF31" s="335"/>
      <c r="AHG31" s="335"/>
      <c r="AHH31" s="335"/>
      <c r="AHI31" s="335"/>
      <c r="AHJ31" s="335"/>
      <c r="AHK31" s="335"/>
      <c r="AHL31" s="335"/>
      <c r="AHM31" s="335"/>
      <c r="AHN31" s="335"/>
      <c r="AHO31" s="335"/>
      <c r="AHP31" s="335"/>
      <c r="AHQ31" s="335"/>
      <c r="AHR31" s="335"/>
      <c r="AHS31" s="335"/>
      <c r="AHT31" s="335"/>
      <c r="AHU31" s="335"/>
      <c r="AHV31" s="335"/>
      <c r="AHW31" s="335"/>
      <c r="AHX31" s="335"/>
      <c r="AHY31" s="335"/>
      <c r="AHZ31" s="335"/>
      <c r="AIA31" s="335"/>
      <c r="AIB31" s="335"/>
      <c r="AIC31" s="339"/>
    </row>
    <row r="32" spans="1:913" s="161" customFormat="1">
      <c r="A32" s="172"/>
      <c r="B32" s="177">
        <v>0.58333333333333304</v>
      </c>
      <c r="C32" s="190"/>
      <c r="D32" s="190"/>
      <c r="E32" s="190"/>
      <c r="F32" s="190"/>
      <c r="G32" s="190"/>
      <c r="H32" s="190"/>
      <c r="I32" s="190"/>
      <c r="J32" s="190"/>
      <c r="K32" s="190"/>
      <c r="L32" s="190"/>
      <c r="M32" s="190"/>
      <c r="N32" s="190"/>
      <c r="O32" s="216"/>
      <c r="P32" s="216"/>
      <c r="Q32" s="216"/>
      <c r="R32" s="216"/>
      <c r="S32" s="216"/>
      <c r="T32" s="216"/>
      <c r="U32" s="216"/>
      <c r="V32" s="216"/>
      <c r="W32" s="216"/>
      <c r="X32" s="216"/>
      <c r="Y32" s="216"/>
      <c r="Z32" s="216"/>
      <c r="AA32" s="216"/>
      <c r="AB32" s="216"/>
      <c r="AC32" s="216"/>
      <c r="AD32" s="216"/>
      <c r="AE32" s="216"/>
      <c r="AF32" s="216"/>
      <c r="AG32" s="216"/>
      <c r="AH32" s="216"/>
      <c r="AI32" s="216"/>
      <c r="AJ32" s="216"/>
      <c r="AK32" s="216"/>
      <c r="AL32" s="216"/>
      <c r="AM32" s="216"/>
      <c r="AN32" s="216"/>
      <c r="AO32" s="216"/>
      <c r="AP32" s="216"/>
      <c r="AQ32" s="216"/>
      <c r="AR32" s="216"/>
      <c r="AS32" s="216"/>
      <c r="AT32" s="216"/>
      <c r="AU32" s="216"/>
      <c r="AV32" s="216"/>
      <c r="AW32" s="216"/>
      <c r="AX32" s="216"/>
      <c r="AY32" s="216"/>
      <c r="AZ32" s="216"/>
      <c r="BA32" s="216"/>
      <c r="BB32" s="216"/>
      <c r="BC32" s="216"/>
      <c r="BD32" s="216"/>
      <c r="BE32" s="216"/>
      <c r="BF32" s="216"/>
      <c r="BG32" s="216"/>
      <c r="BH32" s="216"/>
      <c r="BI32" s="216"/>
      <c r="BJ32" s="216"/>
      <c r="BK32" s="216"/>
      <c r="BL32" s="216"/>
      <c r="BM32" s="216"/>
      <c r="BN32" s="216"/>
      <c r="BO32" s="216"/>
      <c r="BP32" s="216"/>
      <c r="BQ32" s="216"/>
      <c r="BR32" s="216"/>
      <c r="BS32" s="216"/>
      <c r="BT32" s="216"/>
      <c r="BU32" s="216"/>
      <c r="BV32" s="216"/>
      <c r="BW32" s="216"/>
      <c r="BX32" s="216"/>
      <c r="BY32" s="216"/>
      <c r="BZ32" s="216"/>
      <c r="CA32" s="216"/>
      <c r="CB32" s="216"/>
      <c r="CC32" s="216"/>
      <c r="CD32" s="216"/>
      <c r="CE32" s="216"/>
      <c r="CF32" s="216"/>
      <c r="CG32" s="216"/>
      <c r="CH32" s="216"/>
      <c r="CI32" s="216"/>
      <c r="CJ32" s="216"/>
      <c r="CK32" s="216"/>
      <c r="CL32" s="216"/>
      <c r="CM32" s="216"/>
      <c r="CN32" s="216"/>
      <c r="CO32" s="216"/>
      <c r="CP32" s="216"/>
      <c r="CQ32" s="216"/>
      <c r="CR32" s="216"/>
      <c r="CS32" s="216"/>
      <c r="CT32" s="216"/>
      <c r="CU32" s="216"/>
      <c r="CV32" s="216"/>
      <c r="CW32" s="216"/>
      <c r="CX32" s="216"/>
      <c r="CY32" s="216"/>
      <c r="CZ32" s="216"/>
      <c r="DA32" s="216"/>
      <c r="DB32" s="216"/>
      <c r="DC32" s="216"/>
      <c r="DD32" s="216"/>
      <c r="DE32" s="216"/>
      <c r="DF32" s="216"/>
      <c r="DG32" s="216"/>
      <c r="DH32" s="216"/>
      <c r="DI32" s="216"/>
      <c r="DJ32" s="216"/>
      <c r="DK32" s="216"/>
      <c r="DL32" s="216"/>
      <c r="DM32" s="216"/>
      <c r="DN32" s="216"/>
      <c r="DO32" s="216"/>
      <c r="DP32" s="216"/>
      <c r="DQ32" s="216"/>
      <c r="DR32" s="216"/>
      <c r="DS32" s="216"/>
      <c r="DT32" s="216"/>
      <c r="DU32" s="216"/>
      <c r="DV32" s="216"/>
      <c r="DW32" s="216"/>
      <c r="DX32" s="216"/>
      <c r="DY32" s="216"/>
      <c r="DZ32" s="216"/>
      <c r="EA32" s="216"/>
      <c r="EB32" s="216"/>
      <c r="EC32" s="216"/>
      <c r="ED32" s="216"/>
      <c r="EE32" s="216"/>
      <c r="EF32" s="216"/>
      <c r="EG32" s="216"/>
      <c r="EH32" s="216"/>
      <c r="EI32" s="216"/>
      <c r="EJ32" s="216"/>
      <c r="EK32" s="216"/>
      <c r="EL32" s="216"/>
      <c r="EM32" s="216"/>
      <c r="EN32" s="216"/>
      <c r="EO32" s="190"/>
      <c r="EP32" s="216"/>
      <c r="EQ32" s="216"/>
      <c r="ER32" s="216"/>
      <c r="ES32" s="216"/>
      <c r="ET32" s="216"/>
      <c r="EU32" s="216"/>
      <c r="EV32" s="216"/>
      <c r="EW32" s="216"/>
      <c r="EX32" s="216"/>
      <c r="EY32" s="216"/>
      <c r="EZ32" s="216"/>
      <c r="FA32" s="216"/>
      <c r="FB32" s="216"/>
      <c r="FC32" s="216"/>
      <c r="FD32" s="216"/>
      <c r="FE32" s="216"/>
      <c r="FF32" s="216"/>
      <c r="FG32" s="216"/>
      <c r="FH32" s="216"/>
      <c r="FI32" s="216"/>
      <c r="FJ32" s="216"/>
      <c r="FK32" s="216"/>
      <c r="FL32" s="216"/>
      <c r="FM32" s="216"/>
      <c r="FN32" s="216"/>
      <c r="FO32" s="216"/>
      <c r="FP32" s="216"/>
      <c r="FQ32" s="216"/>
      <c r="FR32" s="216"/>
      <c r="FS32" s="216"/>
      <c r="FT32" s="216"/>
      <c r="FU32" s="216"/>
      <c r="FV32" s="216"/>
      <c r="FW32" s="216"/>
      <c r="FX32" s="216"/>
      <c r="FY32" s="216"/>
      <c r="FZ32" s="216"/>
      <c r="GA32" s="216"/>
      <c r="GB32" s="216"/>
      <c r="GC32" s="217"/>
      <c r="GD32" s="217"/>
      <c r="GE32" s="217"/>
      <c r="GF32" s="217"/>
      <c r="GG32" s="216"/>
      <c r="GH32" s="216"/>
      <c r="GI32" s="216"/>
      <c r="GJ32" s="216"/>
      <c r="GK32" s="216"/>
      <c r="GL32" s="216"/>
      <c r="GM32" s="217"/>
      <c r="GN32" s="217"/>
      <c r="GO32" s="217"/>
      <c r="GP32" s="217"/>
      <c r="GQ32" s="217"/>
      <c r="GR32" s="218"/>
      <c r="GS32" s="217"/>
      <c r="GT32" s="217"/>
      <c r="GU32" s="216"/>
      <c r="GV32" s="216"/>
      <c r="GW32" s="216"/>
      <c r="GX32" s="216"/>
      <c r="GY32" s="190"/>
      <c r="GZ32" s="190"/>
      <c r="HA32" s="190"/>
      <c r="HB32" s="190"/>
      <c r="HC32" s="190"/>
      <c r="HD32" s="190"/>
      <c r="HE32" s="190"/>
      <c r="HF32" s="190"/>
      <c r="HG32" s="190"/>
      <c r="HH32" s="190"/>
      <c r="HI32" s="190"/>
      <c r="HJ32" s="190"/>
      <c r="HK32" s="190"/>
      <c r="HL32" s="190"/>
      <c r="HM32" s="190"/>
      <c r="HN32" s="190"/>
      <c r="HO32" s="190"/>
      <c r="HP32" s="190"/>
      <c r="HQ32" s="190"/>
      <c r="HR32" s="190"/>
      <c r="HS32" s="190"/>
      <c r="HT32" s="190"/>
      <c r="HU32" s="190"/>
      <c r="HV32" s="190"/>
      <c r="HW32" s="190"/>
      <c r="HX32" s="190"/>
      <c r="HY32" s="190"/>
      <c r="HZ32" s="190"/>
      <c r="IA32" s="190"/>
      <c r="IB32" s="190"/>
      <c r="IC32" s="190"/>
      <c r="ID32" s="190"/>
      <c r="IE32" s="190"/>
      <c r="IF32" s="190"/>
      <c r="IG32" s="190"/>
      <c r="IH32" s="190"/>
      <c r="II32" s="190"/>
      <c r="IJ32" s="190"/>
      <c r="IK32" s="190"/>
      <c r="IL32" s="190"/>
      <c r="IM32" s="190"/>
      <c r="IN32" s="190"/>
      <c r="IO32" s="190"/>
      <c r="IP32" s="190"/>
      <c r="IQ32" s="190"/>
      <c r="IR32" s="190"/>
      <c r="IS32" s="190"/>
      <c r="IT32" s="190"/>
      <c r="IU32" s="190"/>
      <c r="IV32" s="190"/>
      <c r="IW32" s="190"/>
      <c r="IX32" s="190"/>
      <c r="IY32" s="190"/>
      <c r="IZ32" s="190"/>
      <c r="JA32" s="190"/>
      <c r="JB32" s="190"/>
      <c r="JC32" s="190"/>
      <c r="JD32" s="190"/>
      <c r="JE32" s="190"/>
      <c r="JF32" s="190"/>
      <c r="JG32" s="190"/>
      <c r="JH32" s="190"/>
      <c r="JI32" s="190"/>
      <c r="JJ32" s="190"/>
      <c r="JK32" s="190"/>
      <c r="JL32" s="190"/>
      <c r="JM32" s="190"/>
      <c r="JN32" s="190"/>
      <c r="JO32" s="190"/>
      <c r="JP32" s="190"/>
      <c r="JQ32" s="190"/>
      <c r="JR32" s="190"/>
      <c r="JS32" s="190"/>
      <c r="JT32" s="190"/>
      <c r="JU32" s="190"/>
      <c r="JV32" s="190"/>
      <c r="JW32" s="190"/>
      <c r="JX32" s="190"/>
      <c r="JY32" s="190"/>
      <c r="JZ32" s="190"/>
      <c r="KA32" s="190"/>
      <c r="KB32" s="190"/>
      <c r="KC32" s="190"/>
      <c r="KD32" s="190"/>
      <c r="KE32" s="190"/>
      <c r="KF32" s="190"/>
      <c r="KG32" s="190"/>
      <c r="KH32" s="190"/>
      <c r="KI32" s="190"/>
      <c r="KJ32" s="190"/>
      <c r="KK32" s="190"/>
      <c r="KL32" s="190"/>
      <c r="KM32" s="190"/>
      <c r="KN32" s="190"/>
      <c r="KO32" s="190"/>
      <c r="KP32" s="190"/>
      <c r="KQ32" s="190"/>
      <c r="KR32" s="190"/>
      <c r="KS32" s="190"/>
      <c r="KT32" s="190"/>
      <c r="KU32" s="190"/>
      <c r="KV32" s="190"/>
      <c r="KW32" s="190"/>
      <c r="KX32" s="190"/>
      <c r="KY32" s="190"/>
      <c r="KZ32" s="190"/>
      <c r="LA32" s="190"/>
      <c r="LB32" s="190"/>
      <c r="LC32" s="190"/>
      <c r="LD32" s="190"/>
      <c r="LE32" s="190"/>
      <c r="LF32" s="190"/>
      <c r="LG32" s="190"/>
      <c r="LH32" s="190"/>
      <c r="LI32" s="190"/>
      <c r="LJ32" s="190"/>
      <c r="LK32" s="190"/>
      <c r="LL32" s="190"/>
      <c r="LM32" s="190"/>
      <c r="LN32" s="190"/>
      <c r="LO32" s="190"/>
      <c r="LP32" s="190"/>
      <c r="LQ32" s="190"/>
      <c r="LR32" s="190"/>
      <c r="LS32" s="190"/>
      <c r="LT32" s="190"/>
      <c r="LU32" s="190"/>
      <c r="LV32" s="190"/>
      <c r="LW32" s="190"/>
      <c r="LX32" s="190"/>
      <c r="LY32" s="190"/>
      <c r="LZ32" s="190"/>
      <c r="MA32" s="190"/>
      <c r="MB32" s="190"/>
      <c r="MC32" s="190"/>
      <c r="MD32" s="190"/>
      <c r="ME32" s="190"/>
      <c r="MF32" s="190"/>
      <c r="MG32" s="190"/>
      <c r="MH32" s="190"/>
      <c r="MI32" s="190"/>
      <c r="MJ32" s="190"/>
      <c r="MK32" s="190"/>
      <c r="ML32" s="190"/>
      <c r="MM32" s="190"/>
      <c r="MN32" s="190"/>
      <c r="MO32" s="190"/>
      <c r="MP32" s="190"/>
      <c r="MQ32" s="190"/>
      <c r="MR32" s="190"/>
      <c r="MS32" s="190"/>
      <c r="MT32" s="190"/>
      <c r="MU32" s="190"/>
      <c r="MV32" s="190"/>
      <c r="MW32" s="190"/>
      <c r="MX32" s="190"/>
      <c r="MY32" s="190"/>
      <c r="MZ32" s="190"/>
      <c r="NA32" s="190"/>
      <c r="NB32" s="190"/>
      <c r="NC32" s="190"/>
      <c r="ND32" s="190"/>
      <c r="NE32" s="190"/>
      <c r="NF32" s="190"/>
      <c r="NG32" s="190"/>
      <c r="NH32" s="190"/>
      <c r="NI32" s="190"/>
      <c r="NJ32" s="190"/>
      <c r="NK32" s="190"/>
      <c r="NL32" s="190"/>
      <c r="NM32" s="190"/>
      <c r="NN32" s="190"/>
      <c r="NO32" s="190"/>
      <c r="NP32" s="190"/>
      <c r="NQ32" s="190"/>
      <c r="NR32" s="190"/>
      <c r="NS32" s="190"/>
      <c r="NT32" s="190"/>
      <c r="NU32" s="190"/>
      <c r="NV32" s="190"/>
      <c r="NW32" s="190"/>
      <c r="NX32" s="190"/>
      <c r="NY32" s="190"/>
      <c r="NZ32" s="190"/>
      <c r="OA32" s="190"/>
      <c r="OB32" s="190"/>
      <c r="OC32" s="190"/>
      <c r="OD32" s="190"/>
      <c r="OE32" s="190"/>
      <c r="OF32" s="190"/>
      <c r="OG32" s="190"/>
      <c r="OH32" s="190"/>
      <c r="OI32" s="190"/>
      <c r="OJ32" s="190"/>
      <c r="OK32" s="190"/>
      <c r="OL32" s="190"/>
      <c r="OM32" s="190"/>
      <c r="ON32" s="190"/>
      <c r="OO32" s="190"/>
      <c r="OP32" s="190"/>
      <c r="OQ32" s="190"/>
      <c r="OR32" s="190"/>
      <c r="OS32" s="190"/>
      <c r="OT32" s="190"/>
      <c r="OU32" s="190"/>
      <c r="OV32" s="190"/>
      <c r="OW32" s="190"/>
      <c r="OX32" s="190"/>
      <c r="OY32" s="190"/>
      <c r="OZ32" s="190"/>
      <c r="PA32" s="190"/>
      <c r="PB32" s="291"/>
      <c r="PC32" s="246"/>
      <c r="PD32" s="247"/>
      <c r="PE32" s="246"/>
      <c r="PF32" s="247"/>
      <c r="PG32" s="246"/>
      <c r="PH32" s="247"/>
      <c r="PI32" s="246"/>
      <c r="PJ32" s="247"/>
      <c r="PK32" s="190"/>
      <c r="PL32" s="291"/>
      <c r="PM32" s="246"/>
      <c r="PN32" s="247"/>
      <c r="PO32" s="292"/>
      <c r="PP32" s="247"/>
      <c r="PQ32" s="246"/>
      <c r="PR32" s="247"/>
      <c r="PS32" s="246"/>
      <c r="PT32" s="247"/>
      <c r="PU32" s="246"/>
      <c r="PV32" s="247"/>
      <c r="PW32" s="246"/>
      <c r="PX32" s="247"/>
      <c r="PY32" s="246"/>
      <c r="PZ32" s="247"/>
      <c r="QA32" s="246"/>
      <c r="QB32" s="247"/>
      <c r="QC32" s="246"/>
      <c r="QD32" s="247"/>
      <c r="QE32" s="246"/>
      <c r="QF32" s="247"/>
      <c r="QG32" s="246"/>
      <c r="QH32" s="247"/>
      <c r="QI32" s="246"/>
      <c r="QJ32" s="247"/>
      <c r="QK32" s="246"/>
      <c r="QL32" s="247"/>
      <c r="QM32" s="246"/>
      <c r="QN32" s="247"/>
      <c r="QO32" s="246"/>
      <c r="QP32" s="247"/>
      <c r="QQ32" s="246"/>
      <c r="QR32" s="247"/>
      <c r="QS32" s="246"/>
      <c r="QT32" s="247"/>
      <c r="QU32" s="246"/>
      <c r="QV32" s="247"/>
      <c r="QW32" s="246"/>
      <c r="QX32" s="247"/>
      <c r="QY32" s="246"/>
      <c r="QZ32" s="247"/>
      <c r="RA32" s="246"/>
      <c r="RB32" s="247"/>
      <c r="RC32" s="246"/>
      <c r="RD32" s="190"/>
      <c r="RE32" s="190"/>
      <c r="RF32" s="190"/>
      <c r="RG32" s="190"/>
      <c r="RH32" s="190"/>
      <c r="RI32" s="190"/>
      <c r="RJ32" s="190"/>
      <c r="RK32" s="190"/>
      <c r="RL32" s="190"/>
      <c r="RM32" s="190"/>
      <c r="RN32" s="190"/>
      <c r="RO32" s="190"/>
      <c r="RP32" s="190"/>
      <c r="RQ32" s="190"/>
      <c r="RR32" s="190"/>
      <c r="RS32" s="190"/>
      <c r="RT32" s="190"/>
      <c r="RU32" s="190"/>
      <c r="RV32" s="190"/>
      <c r="RW32" s="190"/>
      <c r="RX32" s="190"/>
      <c r="RY32" s="190"/>
      <c r="RZ32" s="190"/>
      <c r="SA32" s="190"/>
      <c r="SB32" s="190"/>
      <c r="SC32" s="190"/>
      <c r="SD32" s="190"/>
      <c r="SE32" s="190"/>
      <c r="SF32" s="190"/>
      <c r="SG32" s="190"/>
      <c r="SH32" s="190"/>
      <c r="SI32" s="190"/>
      <c r="SJ32" s="190"/>
      <c r="SK32" s="190"/>
      <c r="SL32" s="190"/>
      <c r="SM32" s="190"/>
      <c r="SN32" s="190"/>
      <c r="SO32" s="190"/>
      <c r="SP32" s="190"/>
      <c r="SQ32" s="190"/>
      <c r="SR32" s="190"/>
      <c r="SS32" s="190"/>
      <c r="ST32" s="190"/>
      <c r="SU32" s="190"/>
      <c r="SV32" s="190"/>
      <c r="SW32" s="190"/>
      <c r="SX32" s="190"/>
      <c r="SY32" s="190"/>
      <c r="SZ32" s="190"/>
      <c r="TA32" s="190"/>
      <c r="TB32" s="190"/>
      <c r="TC32" s="190"/>
      <c r="TD32" s="190"/>
      <c r="TE32" s="190"/>
      <c r="TF32" s="190"/>
      <c r="TG32" s="190"/>
      <c r="TH32" s="190"/>
      <c r="TI32" s="190"/>
      <c r="TJ32" s="190"/>
      <c r="TK32" s="190"/>
      <c r="TL32" s="190"/>
      <c r="TM32" s="190"/>
      <c r="TN32" s="190"/>
      <c r="TO32" s="190"/>
      <c r="TP32" s="190"/>
      <c r="TQ32" s="190"/>
      <c r="TR32" s="190"/>
      <c r="TS32" s="190"/>
      <c r="TT32" s="190"/>
      <c r="TU32" s="190"/>
      <c r="TV32" s="190"/>
      <c r="TW32" s="190"/>
      <c r="TX32" s="190"/>
      <c r="TY32" s="190"/>
      <c r="TZ32" s="190"/>
      <c r="UA32" s="190"/>
      <c r="UB32" s="190"/>
      <c r="UC32" s="190"/>
      <c r="UD32" s="190"/>
      <c r="UE32" s="190"/>
      <c r="UF32" s="190"/>
      <c r="UG32" s="190"/>
      <c r="UH32" s="190"/>
      <c r="UI32" s="190"/>
      <c r="UJ32" s="190"/>
      <c r="UK32" s="190"/>
      <c r="UL32" s="190"/>
      <c r="UM32" s="190"/>
      <c r="UN32" s="190"/>
      <c r="UO32" s="190"/>
      <c r="UP32" s="190"/>
      <c r="UQ32" s="190"/>
      <c r="UR32" s="190"/>
      <c r="US32" s="190"/>
      <c r="UT32" s="190"/>
      <c r="UU32" s="190"/>
      <c r="UV32" s="190"/>
      <c r="UW32" s="190"/>
      <c r="UX32" s="190"/>
      <c r="UY32" s="190"/>
      <c r="UZ32" s="190"/>
      <c r="VA32" s="190"/>
      <c r="VB32" s="190"/>
      <c r="VC32" s="190"/>
      <c r="VD32" s="190"/>
      <c r="VE32" s="190"/>
      <c r="VF32" s="190"/>
      <c r="VG32" s="190"/>
      <c r="VH32" s="190"/>
      <c r="VI32" s="190"/>
      <c r="VJ32" s="190"/>
      <c r="VK32" s="190"/>
      <c r="VL32" s="190"/>
      <c r="VM32" s="190"/>
      <c r="VN32" s="190"/>
      <c r="VO32" s="190"/>
      <c r="VP32" s="190"/>
      <c r="VQ32" s="190"/>
      <c r="VR32" s="190"/>
      <c r="VS32" s="190"/>
      <c r="VT32" s="190"/>
      <c r="VU32" s="190"/>
      <c r="VV32" s="190"/>
      <c r="VW32" s="190"/>
      <c r="VX32" s="190"/>
      <c r="VY32" s="190"/>
      <c r="VZ32" s="190"/>
      <c r="WA32" s="190"/>
      <c r="WB32" s="190"/>
      <c r="WC32" s="190"/>
      <c r="WD32" s="190"/>
      <c r="WE32" s="190"/>
      <c r="WF32" s="190"/>
      <c r="WG32" s="190"/>
      <c r="WH32" s="190"/>
      <c r="WI32" s="190"/>
      <c r="WJ32" s="190"/>
      <c r="WK32" s="190"/>
      <c r="WL32" s="190"/>
      <c r="WM32" s="190"/>
      <c r="WN32" s="190"/>
      <c r="WO32" s="190"/>
      <c r="WP32" s="190"/>
      <c r="WQ32" s="190"/>
      <c r="WR32" s="190"/>
      <c r="WS32" s="190"/>
      <c r="WT32" s="190"/>
      <c r="WU32" s="190"/>
      <c r="WV32" s="190"/>
      <c r="WW32" s="190"/>
      <c r="WX32" s="190"/>
      <c r="WY32" s="190"/>
      <c r="WZ32" s="190"/>
      <c r="XA32" s="190"/>
      <c r="XB32" s="190"/>
      <c r="XC32" s="190"/>
      <c r="XD32" s="190"/>
      <c r="XE32" s="190"/>
      <c r="XF32" s="190"/>
      <c r="XG32" s="190"/>
      <c r="XH32" s="190"/>
      <c r="XI32" s="190"/>
      <c r="XJ32" s="190"/>
      <c r="XK32" s="190"/>
      <c r="XL32" s="190"/>
      <c r="XM32" s="190"/>
      <c r="XN32" s="190"/>
      <c r="XO32" s="190"/>
      <c r="XP32" s="190"/>
      <c r="XQ32" s="190"/>
      <c r="XR32" s="190"/>
      <c r="XS32" s="190"/>
      <c r="XT32" s="190"/>
      <c r="XU32" s="190"/>
      <c r="XV32" s="190"/>
      <c r="XW32" s="190"/>
      <c r="XX32" s="190"/>
      <c r="XY32" s="190"/>
      <c r="XZ32" s="190"/>
      <c r="YA32" s="190"/>
      <c r="YB32" s="190"/>
      <c r="YC32" s="190"/>
      <c r="YD32" s="190"/>
      <c r="YE32" s="190"/>
      <c r="YF32" s="190"/>
      <c r="YG32" s="190"/>
      <c r="YH32" s="190"/>
      <c r="YI32" s="190"/>
      <c r="YJ32" s="190"/>
      <c r="YK32" s="190"/>
      <c r="YL32" s="190"/>
      <c r="YM32" s="190"/>
      <c r="YN32" s="190"/>
      <c r="YO32" s="190"/>
      <c r="YP32" s="190"/>
      <c r="YQ32" s="190"/>
      <c r="YR32" s="190"/>
      <c r="YS32" s="190"/>
      <c r="YT32" s="190"/>
      <c r="YU32" s="190"/>
      <c r="YV32" s="190"/>
      <c r="YW32" s="190"/>
      <c r="YX32" s="190"/>
      <c r="YY32" s="190"/>
      <c r="YZ32" s="190"/>
      <c r="ZA32" s="190"/>
      <c r="ZB32" s="190"/>
      <c r="ZC32" s="190"/>
      <c r="ZD32" s="190"/>
      <c r="ZE32" s="190"/>
      <c r="ZF32" s="190"/>
      <c r="ZG32" s="190"/>
      <c r="ZH32" s="190"/>
      <c r="ZI32" s="190"/>
      <c r="ZJ32" s="190"/>
      <c r="ZK32" s="190"/>
      <c r="ZL32" s="190"/>
      <c r="ZM32" s="190"/>
      <c r="ZN32" s="190"/>
      <c r="ZO32" s="190"/>
      <c r="ZP32" s="190"/>
      <c r="ZQ32" s="190"/>
      <c r="ZR32" s="190"/>
      <c r="ZS32" s="190"/>
      <c r="ZT32" s="190"/>
      <c r="ZU32" s="190"/>
      <c r="ZV32" s="190"/>
      <c r="ZW32" s="190"/>
      <c r="ZX32" s="190"/>
      <c r="ZY32" s="190"/>
      <c r="ZZ32" s="190"/>
      <c r="AAA32" s="190"/>
      <c r="AAB32" s="190"/>
      <c r="AAC32" s="190"/>
      <c r="AAD32" s="190"/>
      <c r="AAE32" s="190"/>
      <c r="AAF32" s="190"/>
      <c r="AAG32" s="190"/>
      <c r="AAH32" s="190"/>
      <c r="AAI32" s="190"/>
      <c r="AAJ32" s="190"/>
      <c r="AAK32" s="190"/>
      <c r="AAL32" s="190"/>
      <c r="AAM32" s="190"/>
      <c r="AAN32" s="190"/>
      <c r="AAO32" s="190"/>
      <c r="AAP32" s="190"/>
      <c r="AAQ32" s="190"/>
      <c r="AAR32" s="190"/>
      <c r="AAS32" s="190"/>
      <c r="AAT32" s="190"/>
      <c r="AAU32" s="190"/>
      <c r="AAV32" s="190"/>
      <c r="AAW32" s="190"/>
      <c r="AAX32" s="190"/>
      <c r="AAY32" s="190"/>
      <c r="AAZ32" s="190"/>
      <c r="ABA32" s="190"/>
      <c r="ABB32" s="190"/>
      <c r="ABC32" s="190"/>
      <c r="ABD32" s="190"/>
      <c r="ABE32" s="336"/>
      <c r="ABF32" s="335"/>
      <c r="ABG32" s="335"/>
      <c r="ABH32" s="335"/>
      <c r="ABI32" s="335"/>
      <c r="ABJ32" s="335"/>
      <c r="ABK32" s="335"/>
      <c r="ABL32" s="335"/>
      <c r="ABM32" s="335"/>
      <c r="ABN32" s="335"/>
      <c r="ABO32" s="335"/>
      <c r="ABP32" s="335"/>
      <c r="ABQ32" s="335"/>
      <c r="ABR32" s="335"/>
      <c r="ABS32" s="335"/>
      <c r="ABT32" s="335"/>
      <c r="ABU32" s="335"/>
      <c r="ABV32" s="335"/>
      <c r="ABW32" s="335"/>
      <c r="ABX32" s="335"/>
      <c r="ABY32" s="335"/>
      <c r="ABZ32" s="335"/>
      <c r="ACA32" s="335"/>
      <c r="ACB32" s="335"/>
      <c r="ACC32" s="335"/>
      <c r="ACD32" s="335"/>
      <c r="ACE32" s="335"/>
      <c r="ACF32" s="335"/>
      <c r="ACG32" s="335"/>
      <c r="ACH32" s="335"/>
      <c r="ACI32" s="335"/>
      <c r="ACJ32" s="335"/>
      <c r="ACK32" s="335"/>
      <c r="ACL32" s="335"/>
      <c r="ACM32" s="335"/>
      <c r="ACN32" s="335"/>
      <c r="ACO32" s="335"/>
      <c r="ACP32" s="335"/>
      <c r="ACQ32" s="335"/>
      <c r="ACR32" s="335"/>
      <c r="ACS32" s="335"/>
      <c r="ACT32" s="335"/>
      <c r="ACU32" s="335"/>
      <c r="ACV32" s="335"/>
      <c r="ACW32" s="335"/>
      <c r="ACX32" s="335"/>
      <c r="ACY32" s="335"/>
      <c r="ACZ32" s="335"/>
      <c r="ADA32" s="335"/>
      <c r="ADB32" s="335"/>
      <c r="ADC32" s="335"/>
      <c r="ADD32" s="335"/>
      <c r="ADE32" s="335"/>
      <c r="ADF32" s="335"/>
      <c r="ADG32" s="335"/>
      <c r="ADH32" s="335"/>
      <c r="ADI32" s="335"/>
      <c r="ADJ32" s="335"/>
      <c r="ADK32" s="335"/>
      <c r="ADL32" s="335"/>
      <c r="ADM32" s="335"/>
      <c r="ADN32" s="335"/>
      <c r="ADO32" s="335"/>
      <c r="ADP32" s="335"/>
      <c r="ADQ32" s="335"/>
      <c r="ADR32" s="335"/>
      <c r="ADS32" s="335"/>
      <c r="ADT32" s="335"/>
      <c r="ADU32" s="335"/>
      <c r="ADV32" s="335"/>
      <c r="ADW32" s="335"/>
      <c r="ADX32" s="335"/>
      <c r="ADY32" s="335"/>
      <c r="ADZ32" s="335"/>
      <c r="AEA32" s="335"/>
      <c r="AEB32" s="335"/>
      <c r="AEC32" s="335"/>
      <c r="AED32" s="335"/>
      <c r="AEE32" s="335"/>
      <c r="AEF32" s="335"/>
      <c r="AEG32" s="335"/>
      <c r="AEH32" s="335"/>
      <c r="AEI32" s="335"/>
      <c r="AEJ32" s="335"/>
      <c r="AEK32" s="335"/>
      <c r="AEL32" s="335"/>
      <c r="AEM32" s="335"/>
      <c r="AEN32" s="335"/>
      <c r="AEO32" s="335"/>
      <c r="AEP32" s="335"/>
      <c r="AEQ32" s="335"/>
      <c r="AER32" s="335"/>
      <c r="AES32" s="335"/>
      <c r="AET32" s="335"/>
      <c r="AEU32" s="335"/>
      <c r="AEV32" s="335"/>
      <c r="AEW32" s="335"/>
      <c r="AEX32" s="335"/>
      <c r="AEY32" s="335"/>
      <c r="AEZ32" s="335"/>
      <c r="AFA32" s="335"/>
      <c r="AFB32" s="335"/>
      <c r="AFC32" s="335"/>
      <c r="AFD32" s="335"/>
      <c r="AFE32" s="335"/>
      <c r="AFF32" s="335"/>
      <c r="AFG32" s="335"/>
      <c r="AFH32" s="335"/>
      <c r="AFI32" s="335"/>
      <c r="AFJ32" s="335"/>
      <c r="AFK32" s="335"/>
      <c r="AFL32" s="335"/>
      <c r="AFM32" s="335"/>
      <c r="AFN32" s="335"/>
      <c r="AFO32" s="335"/>
      <c r="AFP32" s="335"/>
      <c r="AFQ32" s="335"/>
      <c r="AFR32" s="335"/>
      <c r="AFS32" s="335"/>
      <c r="AFT32" s="335"/>
      <c r="AFU32" s="335"/>
      <c r="AFV32" s="335"/>
      <c r="AFW32" s="335"/>
      <c r="AFX32" s="335"/>
      <c r="AFY32" s="335"/>
      <c r="AFZ32" s="335"/>
      <c r="AGA32" s="335"/>
      <c r="AGB32" s="335"/>
      <c r="AGC32" s="335"/>
      <c r="AGD32" s="335"/>
      <c r="AGE32" s="335"/>
      <c r="AGF32" s="335"/>
      <c r="AGG32" s="335"/>
      <c r="AGH32" s="335"/>
      <c r="AGI32" s="335"/>
      <c r="AGJ32" s="335"/>
      <c r="AGK32" s="335"/>
      <c r="AGL32" s="335"/>
      <c r="AGM32" s="335"/>
      <c r="AGN32" s="335"/>
      <c r="AGO32" s="335"/>
      <c r="AGP32" s="335"/>
      <c r="AGQ32" s="335"/>
      <c r="AGR32" s="335"/>
      <c r="AGS32" s="335"/>
      <c r="AGT32" s="335"/>
      <c r="AGU32" s="335"/>
      <c r="AGV32" s="335"/>
      <c r="AGW32" s="335"/>
      <c r="AGX32" s="335"/>
      <c r="AGY32" s="335"/>
      <c r="AGZ32" s="335"/>
      <c r="AHA32" s="335"/>
      <c r="AHB32" s="335"/>
      <c r="AHC32" s="335"/>
      <c r="AHD32" s="335"/>
      <c r="AHE32" s="335"/>
      <c r="AHF32" s="335"/>
      <c r="AHG32" s="335"/>
      <c r="AHH32" s="335"/>
      <c r="AHI32" s="335"/>
      <c r="AHJ32" s="335"/>
      <c r="AHK32" s="335"/>
      <c r="AHL32" s="335"/>
      <c r="AHM32" s="335"/>
      <c r="AHN32" s="335"/>
      <c r="AHO32" s="335"/>
      <c r="AHP32" s="335"/>
      <c r="AHQ32" s="335"/>
      <c r="AHR32" s="335"/>
      <c r="AHS32" s="335"/>
      <c r="AHT32" s="335"/>
      <c r="AHU32" s="335"/>
      <c r="AHV32" s="335"/>
      <c r="AHW32" s="335"/>
      <c r="AHX32" s="335"/>
      <c r="AHY32" s="335"/>
      <c r="AHZ32" s="335"/>
      <c r="AIA32" s="335"/>
      <c r="AIB32" s="335"/>
      <c r="AIC32" s="339"/>
    </row>
    <row r="33" spans="1:913" s="161" customFormat="1">
      <c r="A33" s="172"/>
      <c r="B33" s="177">
        <v>0.625</v>
      </c>
      <c r="C33" s="190"/>
      <c r="D33" s="190"/>
      <c r="E33" s="190"/>
      <c r="F33" s="190"/>
      <c r="G33" s="190"/>
      <c r="H33" s="190"/>
      <c r="I33" s="190"/>
      <c r="J33" s="190"/>
      <c r="K33" s="190"/>
      <c r="L33" s="190"/>
      <c r="M33" s="190"/>
      <c r="N33" s="190"/>
      <c r="O33" s="216"/>
      <c r="P33" s="216"/>
      <c r="Q33" s="216"/>
      <c r="R33" s="216"/>
      <c r="S33" s="216"/>
      <c r="T33" s="216"/>
      <c r="U33" s="216"/>
      <c r="V33" s="216"/>
      <c r="W33" s="216"/>
      <c r="X33" s="216"/>
      <c r="Y33" s="216"/>
      <c r="Z33" s="216"/>
      <c r="AA33" s="216"/>
      <c r="AB33" s="216"/>
      <c r="AC33" s="216"/>
      <c r="AD33" s="216"/>
      <c r="AE33" s="216"/>
      <c r="AF33" s="216"/>
      <c r="AG33" s="216"/>
      <c r="AH33" s="216"/>
      <c r="AI33" s="216"/>
      <c r="AJ33" s="216"/>
      <c r="AK33" s="216"/>
      <c r="AL33" s="216"/>
      <c r="AM33" s="216"/>
      <c r="AN33" s="216"/>
      <c r="AO33" s="216"/>
      <c r="AP33" s="216"/>
      <c r="AQ33" s="216"/>
      <c r="AR33" s="216"/>
      <c r="AS33" s="216"/>
      <c r="AT33" s="216"/>
      <c r="AU33" s="216"/>
      <c r="AV33" s="216"/>
      <c r="AW33" s="216"/>
      <c r="AX33" s="216"/>
      <c r="AY33" s="216"/>
      <c r="AZ33" s="216"/>
      <c r="BA33" s="216"/>
      <c r="BB33" s="216"/>
      <c r="BC33" s="216"/>
      <c r="BD33" s="216"/>
      <c r="BE33" s="216"/>
      <c r="BF33" s="216"/>
      <c r="BG33" s="216"/>
      <c r="BH33" s="216"/>
      <c r="BI33" s="216"/>
      <c r="BJ33" s="216"/>
      <c r="BK33" s="216"/>
      <c r="BL33" s="216"/>
      <c r="BM33" s="216"/>
      <c r="BN33" s="216"/>
      <c r="BO33" s="216"/>
      <c r="BP33" s="216"/>
      <c r="BQ33" s="216"/>
      <c r="BR33" s="216"/>
      <c r="BS33" s="216"/>
      <c r="BT33" s="216"/>
      <c r="BU33" s="216"/>
      <c r="BV33" s="216"/>
      <c r="BW33" s="216"/>
      <c r="BX33" s="216"/>
      <c r="BY33" s="216"/>
      <c r="BZ33" s="216"/>
      <c r="CA33" s="216"/>
      <c r="CB33" s="216"/>
      <c r="CC33" s="216"/>
      <c r="CD33" s="216"/>
      <c r="CE33" s="216"/>
      <c r="CF33" s="216"/>
      <c r="CG33" s="216"/>
      <c r="CH33" s="216"/>
      <c r="CI33" s="216"/>
      <c r="CJ33" s="216"/>
      <c r="CK33" s="216"/>
      <c r="CL33" s="216"/>
      <c r="CM33" s="216"/>
      <c r="CN33" s="216"/>
      <c r="CO33" s="216"/>
      <c r="CP33" s="216"/>
      <c r="CQ33" s="190"/>
      <c r="CR33" s="216"/>
      <c r="CS33" s="216"/>
      <c r="CT33" s="216"/>
      <c r="CU33" s="216"/>
      <c r="CV33" s="216"/>
      <c r="CW33" s="216"/>
      <c r="CX33" s="216"/>
      <c r="CY33" s="216"/>
      <c r="CZ33" s="216"/>
      <c r="DA33" s="216"/>
      <c r="DB33" s="190"/>
      <c r="DC33" s="190"/>
      <c r="DD33" s="216"/>
      <c r="DE33" s="216"/>
      <c r="DF33" s="216"/>
      <c r="DG33" s="216"/>
      <c r="DH33" s="216"/>
      <c r="DI33" s="216"/>
      <c r="DJ33" s="216"/>
      <c r="DK33" s="216"/>
      <c r="DL33" s="216"/>
      <c r="DM33" s="216"/>
      <c r="DN33" s="216"/>
      <c r="DO33" s="216"/>
      <c r="DP33" s="216"/>
      <c r="DQ33" s="216"/>
      <c r="DR33" s="216"/>
      <c r="DS33" s="216"/>
      <c r="DT33" s="216"/>
      <c r="DU33" s="216"/>
      <c r="DV33" s="216"/>
      <c r="DW33" s="216"/>
      <c r="DX33" s="216"/>
      <c r="DY33" s="216"/>
      <c r="DZ33" s="216"/>
      <c r="EA33" s="216"/>
      <c r="EB33" s="216"/>
      <c r="EC33" s="216"/>
      <c r="ED33" s="216"/>
      <c r="EE33" s="216"/>
      <c r="EF33" s="216"/>
      <c r="EG33" s="216"/>
      <c r="EH33" s="216"/>
      <c r="EI33" s="216"/>
      <c r="EJ33" s="216"/>
      <c r="EK33" s="216"/>
      <c r="EL33" s="216"/>
      <c r="EM33" s="216"/>
      <c r="EN33" s="216"/>
      <c r="EO33" s="190"/>
      <c r="EP33" s="216"/>
      <c r="EQ33" s="216"/>
      <c r="ER33" s="216"/>
      <c r="ES33" s="216"/>
      <c r="ET33" s="216"/>
      <c r="EU33" s="216"/>
      <c r="EV33" s="216"/>
      <c r="EW33" s="216"/>
      <c r="EX33" s="216"/>
      <c r="EY33" s="216"/>
      <c r="EZ33" s="216"/>
      <c r="FA33" s="216"/>
      <c r="FB33" s="216"/>
      <c r="FC33" s="216"/>
      <c r="FD33" s="216"/>
      <c r="FE33" s="216"/>
      <c r="FF33" s="216"/>
      <c r="FG33" s="216"/>
      <c r="FH33" s="216"/>
      <c r="FI33" s="216"/>
      <c r="FJ33" s="216"/>
      <c r="FK33" s="216"/>
      <c r="FL33" s="216"/>
      <c r="FM33" s="216"/>
      <c r="FN33" s="216"/>
      <c r="FO33" s="216"/>
      <c r="FP33" s="216"/>
      <c r="FQ33" s="216"/>
      <c r="FR33" s="216"/>
      <c r="FS33" s="216"/>
      <c r="FT33" s="216"/>
      <c r="FU33" s="216"/>
      <c r="FV33" s="216"/>
      <c r="FW33" s="216"/>
      <c r="FX33" s="216"/>
      <c r="FY33" s="216"/>
      <c r="FZ33" s="216"/>
      <c r="GA33" s="216"/>
      <c r="GB33" s="216"/>
      <c r="GC33" s="217"/>
      <c r="GD33" s="217"/>
      <c r="GE33" s="217"/>
      <c r="GF33" s="217"/>
      <c r="GG33" s="216"/>
      <c r="GH33" s="216"/>
      <c r="GI33" s="216"/>
      <c r="GJ33" s="216"/>
      <c r="GK33" s="216"/>
      <c r="GL33" s="216"/>
      <c r="GM33" s="217"/>
      <c r="GN33" s="217"/>
      <c r="GO33" s="217"/>
      <c r="GP33" s="217"/>
      <c r="GQ33" s="217"/>
      <c r="GR33" s="218"/>
      <c r="GS33" s="217"/>
      <c r="GT33" s="217"/>
      <c r="GU33" s="216"/>
      <c r="GV33" s="216"/>
      <c r="GW33" s="216"/>
      <c r="GX33" s="216"/>
      <c r="GY33" s="190"/>
      <c r="GZ33" s="190"/>
      <c r="HA33" s="190"/>
      <c r="HB33" s="190"/>
      <c r="HC33" s="190"/>
      <c r="HD33" s="190"/>
      <c r="HE33" s="190"/>
      <c r="HF33" s="190"/>
      <c r="HG33" s="190"/>
      <c r="HH33" s="190"/>
      <c r="HI33" s="190"/>
      <c r="HJ33" s="190"/>
      <c r="HK33" s="190"/>
      <c r="HL33" s="190"/>
      <c r="HM33" s="190"/>
      <c r="HN33" s="190"/>
      <c r="HO33" s="190"/>
      <c r="HP33" s="190"/>
      <c r="HQ33" s="190"/>
      <c r="HR33" s="190"/>
      <c r="HS33" s="190"/>
      <c r="HT33" s="190"/>
      <c r="HU33" s="190"/>
      <c r="HV33" s="190"/>
      <c r="HW33" s="190"/>
      <c r="HX33" s="190"/>
      <c r="HY33" s="190"/>
      <c r="HZ33" s="190"/>
      <c r="IA33" s="190"/>
      <c r="IB33" s="190"/>
      <c r="IC33" s="190"/>
      <c r="ID33" s="190"/>
      <c r="IE33" s="190"/>
      <c r="IF33" s="190"/>
      <c r="IG33" s="190"/>
      <c r="IH33" s="190"/>
      <c r="II33" s="190"/>
      <c r="IJ33" s="190"/>
      <c r="IK33" s="190"/>
      <c r="IL33" s="190"/>
      <c r="IM33" s="190"/>
      <c r="IN33" s="190"/>
      <c r="IO33" s="190"/>
      <c r="IP33" s="190"/>
      <c r="IQ33" s="190"/>
      <c r="IR33" s="190"/>
      <c r="IS33" s="190"/>
      <c r="IT33" s="190"/>
      <c r="IU33" s="190"/>
      <c r="IV33" s="190"/>
      <c r="IW33" s="190"/>
      <c r="IX33" s="190"/>
      <c r="IY33" s="190"/>
      <c r="IZ33" s="190"/>
      <c r="JA33" s="190"/>
      <c r="JB33" s="190"/>
      <c r="JC33" s="190"/>
      <c r="JD33" s="190"/>
      <c r="JE33" s="190"/>
      <c r="JF33" s="190"/>
      <c r="JG33" s="190"/>
      <c r="JH33" s="190"/>
      <c r="JI33" s="190"/>
      <c r="JJ33" s="190"/>
      <c r="JK33" s="190"/>
      <c r="JL33" s="190"/>
      <c r="JM33" s="190"/>
      <c r="JN33" s="190"/>
      <c r="JO33" s="190"/>
      <c r="JP33" s="190"/>
      <c r="JQ33" s="190"/>
      <c r="JR33" s="190"/>
      <c r="JS33" s="190"/>
      <c r="JT33" s="190"/>
      <c r="JU33" s="190"/>
      <c r="JV33" s="190"/>
      <c r="JW33" s="190"/>
      <c r="JX33" s="190"/>
      <c r="JY33" s="190"/>
      <c r="JZ33" s="190"/>
      <c r="KA33" s="190"/>
      <c r="KB33" s="190"/>
      <c r="KC33" s="190"/>
      <c r="KD33" s="190"/>
      <c r="KE33" s="190"/>
      <c r="KF33" s="190"/>
      <c r="KG33" s="190"/>
      <c r="KH33" s="190"/>
      <c r="KI33" s="190"/>
      <c r="KJ33" s="190"/>
      <c r="KK33" s="190"/>
      <c r="KL33" s="190"/>
      <c r="KM33" s="190"/>
      <c r="KN33" s="190"/>
      <c r="KO33" s="190"/>
      <c r="KP33" s="190"/>
      <c r="KQ33" s="190"/>
      <c r="KR33" s="190"/>
      <c r="KS33" s="190"/>
      <c r="KT33" s="190"/>
      <c r="KU33" s="190"/>
      <c r="KV33" s="190"/>
      <c r="KW33" s="190"/>
      <c r="KX33" s="190"/>
      <c r="KY33" s="190"/>
      <c r="KZ33" s="190"/>
      <c r="LA33" s="190"/>
      <c r="LB33" s="190"/>
      <c r="LC33" s="190"/>
      <c r="LD33" s="190"/>
      <c r="LE33" s="190"/>
      <c r="LF33" s="190"/>
      <c r="LG33" s="190"/>
      <c r="LH33" s="190"/>
      <c r="LI33" s="190"/>
      <c r="LJ33" s="190"/>
      <c r="LK33" s="190"/>
      <c r="LL33" s="190"/>
      <c r="LM33" s="190"/>
      <c r="LN33" s="190"/>
      <c r="LO33" s="190"/>
      <c r="LP33" s="190"/>
      <c r="LQ33" s="190"/>
      <c r="LR33" s="190"/>
      <c r="LS33" s="190"/>
      <c r="LT33" s="190"/>
      <c r="LU33" s="190"/>
      <c r="LV33" s="190"/>
      <c r="LW33" s="190"/>
      <c r="LX33" s="190"/>
      <c r="LY33" s="190"/>
      <c r="LZ33" s="190"/>
      <c r="MA33" s="190"/>
      <c r="MB33" s="190"/>
      <c r="MC33" s="190"/>
      <c r="MD33" s="190"/>
      <c r="ME33" s="190"/>
      <c r="MF33" s="190"/>
      <c r="MG33" s="190"/>
      <c r="MH33" s="190"/>
      <c r="MI33" s="190"/>
      <c r="MJ33" s="190"/>
      <c r="MK33" s="190"/>
      <c r="ML33" s="190"/>
      <c r="MM33" s="190"/>
      <c r="MN33" s="190"/>
      <c r="MO33" s="190"/>
      <c r="MP33" s="190"/>
      <c r="MQ33" s="190"/>
      <c r="MR33" s="190"/>
      <c r="MS33" s="190"/>
      <c r="MT33" s="190"/>
      <c r="MU33" s="190"/>
      <c r="MV33" s="190"/>
      <c r="MW33" s="190"/>
      <c r="MX33" s="190"/>
      <c r="MY33" s="190"/>
      <c r="MZ33" s="190"/>
      <c r="NA33" s="190"/>
      <c r="NB33" s="190"/>
      <c r="NC33" s="190"/>
      <c r="ND33" s="190"/>
      <c r="NE33" s="190"/>
      <c r="NF33" s="190"/>
      <c r="NG33" s="190"/>
      <c r="NH33" s="190"/>
      <c r="NI33" s="190"/>
      <c r="NJ33" s="190"/>
      <c r="NK33" s="190"/>
      <c r="NL33" s="190"/>
      <c r="NM33" s="190"/>
      <c r="NN33" s="190"/>
      <c r="NO33" s="190"/>
      <c r="NP33" s="190"/>
      <c r="NQ33" s="190"/>
      <c r="NR33" s="190"/>
      <c r="NS33" s="190"/>
      <c r="NT33" s="190"/>
      <c r="NU33" s="190"/>
      <c r="NV33" s="190"/>
      <c r="NW33" s="190"/>
      <c r="NX33" s="190"/>
      <c r="NY33" s="190"/>
      <c r="NZ33" s="190"/>
      <c r="OA33" s="190"/>
      <c r="OB33" s="190"/>
      <c r="OC33" s="190"/>
      <c r="OD33" s="190"/>
      <c r="OE33" s="190"/>
      <c r="OF33" s="190"/>
      <c r="OG33" s="190"/>
      <c r="OH33" s="190"/>
      <c r="OI33" s="190"/>
      <c r="OJ33" s="190"/>
      <c r="OK33" s="190"/>
      <c r="OL33" s="190"/>
      <c r="OM33" s="190"/>
      <c r="ON33" s="190"/>
      <c r="OO33" s="190"/>
      <c r="OP33" s="190"/>
      <c r="OQ33" s="190"/>
      <c r="OR33" s="190"/>
      <c r="OS33" s="190"/>
      <c r="OT33" s="190"/>
      <c r="OU33" s="190"/>
      <c r="OV33" s="190"/>
      <c r="OW33" s="190"/>
      <c r="OX33" s="190"/>
      <c r="OY33" s="190"/>
      <c r="OZ33" s="190"/>
      <c r="PA33" s="190"/>
      <c r="PB33" s="291"/>
      <c r="PC33" s="246"/>
      <c r="PD33" s="247"/>
      <c r="PE33" s="246"/>
      <c r="PF33" s="247"/>
      <c r="PG33" s="246"/>
      <c r="PH33" s="247"/>
      <c r="PI33" s="246"/>
      <c r="PJ33" s="247"/>
      <c r="PK33" s="190"/>
      <c r="PL33" s="291"/>
      <c r="PM33" s="246"/>
      <c r="PN33" s="247"/>
      <c r="PO33" s="292"/>
      <c r="PP33" s="247"/>
      <c r="PQ33" s="246"/>
      <c r="PR33" s="247"/>
      <c r="PS33" s="246"/>
      <c r="PT33" s="247"/>
      <c r="PU33" s="246"/>
      <c r="PV33" s="247"/>
      <c r="PW33" s="246"/>
      <c r="PX33" s="247"/>
      <c r="PY33" s="246"/>
      <c r="PZ33" s="247"/>
      <c r="QA33" s="246"/>
      <c r="QB33" s="247"/>
      <c r="QC33" s="246"/>
      <c r="QD33" s="247"/>
      <c r="QE33" s="246"/>
      <c r="QF33" s="247"/>
      <c r="QG33" s="246"/>
      <c r="QH33" s="247"/>
      <c r="QI33" s="246"/>
      <c r="QJ33" s="247"/>
      <c r="QK33" s="246"/>
      <c r="QL33" s="247"/>
      <c r="QM33" s="246"/>
      <c r="QN33" s="247"/>
      <c r="QO33" s="246"/>
      <c r="QP33" s="247"/>
      <c r="QQ33" s="246"/>
      <c r="QR33" s="247"/>
      <c r="QS33" s="246"/>
      <c r="QT33" s="247"/>
      <c r="QU33" s="246"/>
      <c r="QV33" s="247"/>
      <c r="QW33" s="246"/>
      <c r="QX33" s="247"/>
      <c r="QY33" s="246"/>
      <c r="QZ33" s="247"/>
      <c r="RA33" s="246"/>
      <c r="RB33" s="247"/>
      <c r="RC33" s="246"/>
      <c r="RD33" s="190"/>
      <c r="RE33" s="190"/>
      <c r="RF33" s="190"/>
      <c r="RG33" s="190"/>
      <c r="RH33" s="190"/>
      <c r="RI33" s="190"/>
      <c r="RJ33" s="190"/>
      <c r="RK33" s="190"/>
      <c r="RL33" s="190"/>
      <c r="RM33" s="190"/>
      <c r="RN33" s="190"/>
      <c r="RO33" s="190"/>
      <c r="RP33" s="190"/>
      <c r="RQ33" s="190"/>
      <c r="RR33" s="190"/>
      <c r="RS33" s="190"/>
      <c r="RT33" s="190"/>
      <c r="RU33" s="190"/>
      <c r="RV33" s="190"/>
      <c r="RW33" s="190"/>
      <c r="RX33" s="190"/>
      <c r="RY33" s="190"/>
      <c r="RZ33" s="190"/>
      <c r="SA33" s="190"/>
      <c r="SB33" s="190"/>
      <c r="SC33" s="190"/>
      <c r="SD33" s="190"/>
      <c r="SE33" s="190"/>
      <c r="SF33" s="190"/>
      <c r="SG33" s="190"/>
      <c r="SH33" s="190"/>
      <c r="SI33" s="190"/>
      <c r="SJ33" s="190"/>
      <c r="SK33" s="190"/>
      <c r="SL33" s="190"/>
      <c r="SM33" s="190"/>
      <c r="SN33" s="190"/>
      <c r="SO33" s="190"/>
      <c r="SP33" s="190"/>
      <c r="SQ33" s="190"/>
      <c r="SR33" s="190"/>
      <c r="SS33" s="190"/>
      <c r="ST33" s="190"/>
      <c r="SU33" s="190"/>
      <c r="SV33" s="190"/>
      <c r="SW33" s="190"/>
      <c r="SX33" s="190"/>
      <c r="SY33" s="190"/>
      <c r="SZ33" s="190"/>
      <c r="TA33" s="190"/>
      <c r="TB33" s="190"/>
      <c r="TC33" s="190"/>
      <c r="TD33" s="190"/>
      <c r="TE33" s="190"/>
      <c r="TF33" s="190"/>
      <c r="TG33" s="190"/>
      <c r="TH33" s="190"/>
      <c r="TI33" s="190"/>
      <c r="TJ33" s="190"/>
      <c r="TK33" s="190"/>
      <c r="TL33" s="190"/>
      <c r="TM33" s="190"/>
      <c r="TN33" s="190"/>
      <c r="TO33" s="190"/>
      <c r="TP33" s="190"/>
      <c r="TQ33" s="190"/>
      <c r="TR33" s="190"/>
      <c r="TS33" s="190"/>
      <c r="TT33" s="190"/>
      <c r="TU33" s="190"/>
      <c r="TV33" s="190"/>
      <c r="TW33" s="190"/>
      <c r="TX33" s="190"/>
      <c r="TY33" s="190"/>
      <c r="TZ33" s="190"/>
      <c r="UA33" s="190"/>
      <c r="UB33" s="190"/>
      <c r="UC33" s="190"/>
      <c r="UD33" s="190"/>
      <c r="UE33" s="190"/>
      <c r="UF33" s="190"/>
      <c r="UG33" s="190"/>
      <c r="UH33" s="190"/>
      <c r="UI33" s="190"/>
      <c r="UJ33" s="190"/>
      <c r="UK33" s="190"/>
      <c r="UL33" s="190"/>
      <c r="UM33" s="190"/>
      <c r="UN33" s="190"/>
      <c r="UO33" s="190"/>
      <c r="UP33" s="190"/>
      <c r="UQ33" s="190"/>
      <c r="UR33" s="190"/>
      <c r="US33" s="190"/>
      <c r="UT33" s="190"/>
      <c r="UU33" s="190"/>
      <c r="UV33" s="190"/>
      <c r="UW33" s="190"/>
      <c r="UX33" s="190"/>
      <c r="UY33" s="190"/>
      <c r="UZ33" s="190"/>
      <c r="VA33" s="190"/>
      <c r="VB33" s="190"/>
      <c r="VC33" s="190"/>
      <c r="VD33" s="190"/>
      <c r="VE33" s="190"/>
      <c r="VF33" s="190"/>
      <c r="VG33" s="190"/>
      <c r="VH33" s="190"/>
      <c r="VI33" s="190"/>
      <c r="VJ33" s="190"/>
      <c r="VK33" s="190"/>
      <c r="VL33" s="190"/>
      <c r="VM33" s="190"/>
      <c r="VN33" s="190"/>
      <c r="VO33" s="190"/>
      <c r="VP33" s="190"/>
      <c r="VQ33" s="190"/>
      <c r="VR33" s="190"/>
      <c r="VS33" s="190"/>
      <c r="VT33" s="190"/>
      <c r="VU33" s="190"/>
      <c r="VV33" s="190"/>
      <c r="VW33" s="190"/>
      <c r="VX33" s="190"/>
      <c r="VY33" s="190"/>
      <c r="VZ33" s="190"/>
      <c r="WA33" s="190"/>
      <c r="WB33" s="190"/>
      <c r="WC33" s="190"/>
      <c r="WD33" s="190"/>
      <c r="WE33" s="190"/>
      <c r="WF33" s="190"/>
      <c r="WG33" s="190"/>
      <c r="WH33" s="190"/>
      <c r="WI33" s="190"/>
      <c r="WJ33" s="190"/>
      <c r="WK33" s="190"/>
      <c r="WL33" s="190"/>
      <c r="WM33" s="190"/>
      <c r="WN33" s="190"/>
      <c r="WO33" s="190"/>
      <c r="WP33" s="190"/>
      <c r="WQ33" s="190"/>
      <c r="WR33" s="190"/>
      <c r="WS33" s="190"/>
      <c r="WT33" s="190"/>
      <c r="WU33" s="190"/>
      <c r="WV33" s="190"/>
      <c r="WW33" s="190"/>
      <c r="WX33" s="190"/>
      <c r="WY33" s="190"/>
      <c r="WZ33" s="190"/>
      <c r="XA33" s="190"/>
      <c r="XB33" s="190"/>
      <c r="XC33" s="190"/>
      <c r="XD33" s="190"/>
      <c r="XE33" s="190"/>
      <c r="XF33" s="190"/>
      <c r="XG33" s="190"/>
      <c r="XH33" s="190"/>
      <c r="XI33" s="190"/>
      <c r="XJ33" s="190"/>
      <c r="XK33" s="190"/>
      <c r="XL33" s="190"/>
      <c r="XM33" s="190"/>
      <c r="XN33" s="190"/>
      <c r="XO33" s="190"/>
      <c r="XP33" s="190"/>
      <c r="XQ33" s="190"/>
      <c r="XR33" s="190"/>
      <c r="XS33" s="190"/>
      <c r="XT33" s="190"/>
      <c r="XU33" s="190"/>
      <c r="XV33" s="190"/>
      <c r="XW33" s="190"/>
      <c r="XX33" s="190"/>
      <c r="XY33" s="190"/>
      <c r="XZ33" s="190"/>
      <c r="YA33" s="190"/>
      <c r="YB33" s="190"/>
      <c r="YC33" s="190"/>
      <c r="YD33" s="190"/>
      <c r="YE33" s="190"/>
      <c r="YF33" s="190"/>
      <c r="YG33" s="190"/>
      <c r="YH33" s="190"/>
      <c r="YI33" s="190"/>
      <c r="YJ33" s="190"/>
      <c r="YK33" s="190"/>
      <c r="YL33" s="190"/>
      <c r="YM33" s="190"/>
      <c r="YN33" s="190"/>
      <c r="YO33" s="190"/>
      <c r="YP33" s="190"/>
      <c r="YQ33" s="190"/>
      <c r="YR33" s="190"/>
      <c r="YS33" s="190"/>
      <c r="YT33" s="190"/>
      <c r="YU33" s="190"/>
      <c r="YV33" s="190"/>
      <c r="YW33" s="190"/>
      <c r="YX33" s="190"/>
      <c r="YY33" s="190"/>
      <c r="YZ33" s="190"/>
      <c r="ZA33" s="190"/>
      <c r="ZB33" s="190"/>
      <c r="ZC33" s="190"/>
      <c r="ZD33" s="190"/>
      <c r="ZE33" s="190"/>
      <c r="ZF33" s="190"/>
      <c r="ZG33" s="190"/>
      <c r="ZH33" s="190"/>
      <c r="ZI33" s="190"/>
      <c r="ZJ33" s="190"/>
      <c r="ZK33" s="190"/>
      <c r="ZL33" s="190"/>
      <c r="ZM33" s="190"/>
      <c r="ZN33" s="190"/>
      <c r="ZO33" s="190"/>
      <c r="ZP33" s="190"/>
      <c r="ZQ33" s="190"/>
      <c r="ZR33" s="190"/>
      <c r="ZS33" s="190"/>
      <c r="ZT33" s="190"/>
      <c r="ZU33" s="190"/>
      <c r="ZV33" s="190"/>
      <c r="ZW33" s="190"/>
      <c r="ZX33" s="190"/>
      <c r="ZY33" s="190"/>
      <c r="ZZ33" s="190"/>
      <c r="AAA33" s="190"/>
      <c r="AAB33" s="190"/>
      <c r="AAC33" s="190"/>
      <c r="AAD33" s="190"/>
      <c r="AAE33" s="190"/>
      <c r="AAF33" s="190"/>
      <c r="AAG33" s="190"/>
      <c r="AAH33" s="190"/>
      <c r="AAI33" s="190"/>
      <c r="AAJ33" s="190"/>
      <c r="AAK33" s="190"/>
      <c r="AAL33" s="190"/>
      <c r="AAM33" s="190"/>
      <c r="AAN33" s="190"/>
      <c r="AAO33" s="190"/>
      <c r="AAP33" s="190"/>
      <c r="AAQ33" s="190"/>
      <c r="AAR33" s="190"/>
      <c r="AAS33" s="190"/>
      <c r="AAT33" s="190"/>
      <c r="AAU33" s="190"/>
      <c r="AAV33" s="190"/>
      <c r="AAW33" s="190"/>
      <c r="AAX33" s="190"/>
      <c r="AAY33" s="190"/>
      <c r="AAZ33" s="190"/>
      <c r="ABA33" s="190"/>
      <c r="ABB33" s="190"/>
      <c r="ABC33" s="190"/>
      <c r="ABD33" s="190"/>
      <c r="ABE33" s="336"/>
      <c r="ABF33" s="335"/>
      <c r="ABG33" s="335"/>
      <c r="ABH33" s="335"/>
      <c r="ABI33" s="335"/>
      <c r="ABJ33" s="335"/>
      <c r="ABK33" s="335"/>
      <c r="ABL33" s="335"/>
      <c r="ABM33" s="335"/>
      <c r="ABN33" s="335"/>
      <c r="ABO33" s="335"/>
      <c r="ABP33" s="335"/>
      <c r="ABQ33" s="335"/>
      <c r="ABR33" s="335"/>
      <c r="ABS33" s="335"/>
      <c r="ABT33" s="335"/>
      <c r="ABU33" s="335"/>
      <c r="ABV33" s="335"/>
      <c r="ABW33" s="335"/>
      <c r="ABX33" s="335"/>
      <c r="ABY33" s="335"/>
      <c r="ABZ33" s="335"/>
      <c r="ACA33" s="335"/>
      <c r="ACB33" s="335"/>
      <c r="ACC33" s="335"/>
      <c r="ACD33" s="335"/>
      <c r="ACE33" s="335"/>
      <c r="ACF33" s="335"/>
      <c r="ACG33" s="335"/>
      <c r="ACH33" s="335"/>
      <c r="ACI33" s="335"/>
      <c r="ACJ33" s="335"/>
      <c r="ACK33" s="335"/>
      <c r="ACL33" s="335"/>
      <c r="ACM33" s="335"/>
      <c r="ACN33" s="335"/>
      <c r="ACO33" s="335"/>
      <c r="ACP33" s="335"/>
      <c r="ACQ33" s="335"/>
      <c r="ACR33" s="335"/>
      <c r="ACS33" s="335"/>
      <c r="ACT33" s="335"/>
      <c r="ACU33" s="335"/>
      <c r="ACV33" s="335"/>
      <c r="ACW33" s="335"/>
      <c r="ACX33" s="335"/>
      <c r="ACY33" s="335"/>
      <c r="ACZ33" s="335"/>
      <c r="ADA33" s="335"/>
      <c r="ADB33" s="335"/>
      <c r="ADC33" s="335"/>
      <c r="ADD33" s="335"/>
      <c r="ADE33" s="335"/>
      <c r="ADF33" s="335"/>
      <c r="ADG33" s="335"/>
      <c r="ADH33" s="335"/>
      <c r="ADI33" s="335"/>
      <c r="ADJ33" s="335"/>
      <c r="ADK33" s="335"/>
      <c r="ADL33" s="335"/>
      <c r="ADM33" s="335"/>
      <c r="ADN33" s="335"/>
      <c r="ADO33" s="335"/>
      <c r="ADP33" s="335"/>
      <c r="ADQ33" s="335"/>
      <c r="ADR33" s="335"/>
      <c r="ADS33" s="335"/>
      <c r="ADT33" s="335"/>
      <c r="ADU33" s="335"/>
      <c r="ADV33" s="335"/>
      <c r="ADW33" s="335"/>
      <c r="ADX33" s="335"/>
      <c r="ADY33" s="335"/>
      <c r="ADZ33" s="335"/>
      <c r="AEA33" s="335"/>
      <c r="AEB33" s="335"/>
      <c r="AEC33" s="335"/>
      <c r="AED33" s="335"/>
      <c r="AEE33" s="335"/>
      <c r="AEF33" s="335"/>
      <c r="AEG33" s="335"/>
      <c r="AEH33" s="335"/>
      <c r="AEI33" s="335"/>
      <c r="AEJ33" s="335"/>
      <c r="AEK33" s="335"/>
      <c r="AEL33" s="335"/>
      <c r="AEM33" s="335"/>
      <c r="AEN33" s="335"/>
      <c r="AEO33" s="335"/>
      <c r="AEP33" s="335"/>
      <c r="AEQ33" s="335"/>
      <c r="AER33" s="335"/>
      <c r="AES33" s="335"/>
      <c r="AET33" s="335"/>
      <c r="AEU33" s="335"/>
      <c r="AEV33" s="335"/>
      <c r="AEW33" s="335"/>
      <c r="AEX33" s="335"/>
      <c r="AEY33" s="335"/>
      <c r="AEZ33" s="335"/>
      <c r="AFA33" s="335"/>
      <c r="AFB33" s="335"/>
      <c r="AFC33" s="335"/>
      <c r="AFD33" s="335"/>
      <c r="AFE33" s="335"/>
      <c r="AFF33" s="335"/>
      <c r="AFG33" s="335"/>
      <c r="AFH33" s="335"/>
      <c r="AFI33" s="335"/>
      <c r="AFJ33" s="335"/>
      <c r="AFK33" s="335"/>
      <c r="AFL33" s="335"/>
      <c r="AFM33" s="335"/>
      <c r="AFN33" s="335"/>
      <c r="AFO33" s="335"/>
      <c r="AFP33" s="335"/>
      <c r="AFQ33" s="335"/>
      <c r="AFR33" s="335"/>
      <c r="AFS33" s="335"/>
      <c r="AFT33" s="335"/>
      <c r="AFU33" s="335"/>
      <c r="AFV33" s="335"/>
      <c r="AFW33" s="335"/>
      <c r="AFX33" s="335"/>
      <c r="AFY33" s="335"/>
      <c r="AFZ33" s="335"/>
      <c r="AGA33" s="335"/>
      <c r="AGB33" s="335"/>
      <c r="AGC33" s="335"/>
      <c r="AGD33" s="335"/>
      <c r="AGE33" s="335"/>
      <c r="AGF33" s="335"/>
      <c r="AGG33" s="335"/>
      <c r="AGH33" s="335"/>
      <c r="AGI33" s="335"/>
      <c r="AGJ33" s="335"/>
      <c r="AGK33" s="335"/>
      <c r="AGL33" s="335"/>
      <c r="AGM33" s="335"/>
      <c r="AGN33" s="335"/>
      <c r="AGO33" s="335"/>
      <c r="AGP33" s="335"/>
      <c r="AGQ33" s="335"/>
      <c r="AGR33" s="335"/>
      <c r="AGS33" s="335"/>
      <c r="AGT33" s="335"/>
      <c r="AGU33" s="335"/>
      <c r="AGV33" s="335"/>
      <c r="AGW33" s="335"/>
      <c r="AGX33" s="335"/>
      <c r="AGY33" s="335"/>
      <c r="AGZ33" s="335"/>
      <c r="AHA33" s="335"/>
      <c r="AHB33" s="335"/>
      <c r="AHC33" s="335"/>
      <c r="AHD33" s="335"/>
      <c r="AHE33" s="335"/>
      <c r="AHF33" s="335"/>
      <c r="AHG33" s="335"/>
      <c r="AHH33" s="335"/>
      <c r="AHI33" s="335"/>
      <c r="AHJ33" s="335"/>
      <c r="AHK33" s="335"/>
      <c r="AHL33" s="335"/>
      <c r="AHM33" s="335"/>
      <c r="AHN33" s="335"/>
      <c r="AHO33" s="335"/>
      <c r="AHP33" s="335"/>
      <c r="AHQ33" s="335"/>
      <c r="AHR33" s="335"/>
      <c r="AHS33" s="335"/>
      <c r="AHT33" s="335"/>
      <c r="AHU33" s="335"/>
      <c r="AHV33" s="335"/>
      <c r="AHW33" s="335"/>
      <c r="AHX33" s="335"/>
      <c r="AHY33" s="335"/>
      <c r="AHZ33" s="335"/>
      <c r="AIA33" s="335"/>
      <c r="AIB33" s="335"/>
      <c r="AIC33" s="339"/>
    </row>
    <row r="34" spans="1:913" s="161" customFormat="1">
      <c r="A34" s="172"/>
      <c r="B34" s="177">
        <v>0.66666666666666696</v>
      </c>
      <c r="C34" s="190"/>
      <c r="D34" s="190"/>
      <c r="E34" s="190"/>
      <c r="F34" s="190"/>
      <c r="G34" s="190"/>
      <c r="H34" s="190"/>
      <c r="I34" s="190"/>
      <c r="J34" s="190"/>
      <c r="K34" s="190"/>
      <c r="L34" s="190"/>
      <c r="M34" s="190"/>
      <c r="N34" s="190"/>
      <c r="O34" s="216"/>
      <c r="P34" s="216"/>
      <c r="Q34" s="216"/>
      <c r="R34" s="216"/>
      <c r="S34" s="216"/>
      <c r="T34" s="216"/>
      <c r="U34" s="216"/>
      <c r="V34" s="216"/>
      <c r="W34" s="216"/>
      <c r="X34" s="216"/>
      <c r="Y34" s="216"/>
      <c r="Z34" s="216"/>
      <c r="AA34" s="216"/>
      <c r="AB34" s="216"/>
      <c r="AC34" s="216"/>
      <c r="AD34" s="216"/>
      <c r="AE34" s="216"/>
      <c r="AF34" s="216"/>
      <c r="AG34" s="216"/>
      <c r="AH34" s="216"/>
      <c r="AI34" s="216"/>
      <c r="AJ34" s="216"/>
      <c r="AK34" s="216"/>
      <c r="AL34" s="216"/>
      <c r="AM34" s="216"/>
      <c r="AN34" s="216"/>
      <c r="AO34" s="216"/>
      <c r="AP34" s="216"/>
      <c r="AQ34" s="216"/>
      <c r="AR34" s="216"/>
      <c r="AS34" s="216"/>
      <c r="AT34" s="216"/>
      <c r="AU34" s="216"/>
      <c r="AV34" s="216"/>
      <c r="AW34" s="216"/>
      <c r="AX34" s="216"/>
      <c r="AY34" s="216"/>
      <c r="AZ34" s="216"/>
      <c r="BA34" s="216"/>
      <c r="BB34" s="216"/>
      <c r="BC34" s="216"/>
      <c r="BD34" s="216"/>
      <c r="BE34" s="216"/>
      <c r="BF34" s="216"/>
      <c r="BG34" s="216"/>
      <c r="BH34" s="216"/>
      <c r="BI34" s="216"/>
      <c r="BJ34" s="216"/>
      <c r="BK34" s="216"/>
      <c r="BL34" s="216"/>
      <c r="BM34" s="216"/>
      <c r="BN34" s="216"/>
      <c r="BO34" s="216"/>
      <c r="BP34" s="216"/>
      <c r="BQ34" s="216"/>
      <c r="BR34" s="216"/>
      <c r="BS34" s="216"/>
      <c r="BT34" s="216"/>
      <c r="BU34" s="216"/>
      <c r="BV34" s="216"/>
      <c r="BW34" s="216"/>
      <c r="BX34" s="216"/>
      <c r="BY34" s="216"/>
      <c r="BZ34" s="216"/>
      <c r="CA34" s="216"/>
      <c r="CB34" s="216"/>
      <c r="CC34" s="216"/>
      <c r="CD34" s="216"/>
      <c r="CE34" s="216"/>
      <c r="CF34" s="216"/>
      <c r="CG34" s="216"/>
      <c r="CH34" s="216"/>
      <c r="CI34" s="216"/>
      <c r="CJ34" s="216"/>
      <c r="CK34" s="216"/>
      <c r="CL34" s="216"/>
      <c r="CM34" s="216"/>
      <c r="CN34" s="216"/>
      <c r="CO34" s="216"/>
      <c r="CP34" s="216"/>
      <c r="CQ34" s="190"/>
      <c r="CR34" s="216"/>
      <c r="CS34" s="216"/>
      <c r="CT34" s="216"/>
      <c r="CU34" s="216"/>
      <c r="CV34" s="216"/>
      <c r="CW34" s="216"/>
      <c r="CX34" s="216"/>
      <c r="CY34" s="216"/>
      <c r="CZ34" s="216"/>
      <c r="DA34" s="216"/>
      <c r="DB34" s="216"/>
      <c r="DC34" s="216"/>
      <c r="DD34" s="216"/>
      <c r="DE34" s="216"/>
      <c r="DF34" s="216"/>
      <c r="DG34" s="216"/>
      <c r="DH34" s="216"/>
      <c r="DI34" s="216"/>
      <c r="DJ34" s="216"/>
      <c r="DK34" s="216"/>
      <c r="DL34" s="216"/>
      <c r="DM34" s="216"/>
      <c r="DN34" s="216"/>
      <c r="DO34" s="216"/>
      <c r="DP34" s="216"/>
      <c r="DQ34" s="216"/>
      <c r="DR34" s="216"/>
      <c r="DS34" s="216"/>
      <c r="DT34" s="216"/>
      <c r="DU34" s="216"/>
      <c r="DV34" s="216"/>
      <c r="DW34" s="216"/>
      <c r="DX34" s="216"/>
      <c r="DY34" s="216"/>
      <c r="DZ34" s="216"/>
      <c r="EA34" s="216"/>
      <c r="EB34" s="216"/>
      <c r="EC34" s="216"/>
      <c r="ED34" s="216"/>
      <c r="EE34" s="216"/>
      <c r="EF34" s="216"/>
      <c r="EG34" s="216"/>
      <c r="EH34" s="216"/>
      <c r="EI34" s="216"/>
      <c r="EJ34" s="216"/>
      <c r="EK34" s="216"/>
      <c r="EL34" s="216"/>
      <c r="EM34" s="216"/>
      <c r="EN34" s="216"/>
      <c r="EO34" s="216"/>
      <c r="EP34" s="216"/>
      <c r="EQ34" s="216"/>
      <c r="ER34" s="216"/>
      <c r="ES34" s="216"/>
      <c r="ET34" s="216"/>
      <c r="EU34" s="216"/>
      <c r="EV34" s="216"/>
      <c r="EW34" s="216"/>
      <c r="EX34" s="216"/>
      <c r="EY34" s="216"/>
      <c r="EZ34" s="216"/>
      <c r="FA34" s="216"/>
      <c r="FB34" s="216"/>
      <c r="FC34" s="216"/>
      <c r="FD34" s="216"/>
      <c r="FE34" s="216"/>
      <c r="FF34" s="216"/>
      <c r="FG34" s="216"/>
      <c r="FH34" s="216"/>
      <c r="FI34" s="216"/>
      <c r="FJ34" s="216"/>
      <c r="FK34" s="216"/>
      <c r="FL34" s="216"/>
      <c r="FM34" s="216"/>
      <c r="FN34" s="216"/>
      <c r="FO34" s="216"/>
      <c r="FP34" s="216"/>
      <c r="FQ34" s="216"/>
      <c r="FR34" s="216"/>
      <c r="FS34" s="216"/>
      <c r="FT34" s="216"/>
      <c r="FU34" s="216"/>
      <c r="FV34" s="216"/>
      <c r="FW34" s="216"/>
      <c r="FX34" s="216"/>
      <c r="FY34" s="216"/>
      <c r="FZ34" s="216"/>
      <c r="GA34" s="216"/>
      <c r="GB34" s="216"/>
      <c r="GC34" s="217"/>
      <c r="GD34" s="217"/>
      <c r="GE34" s="217"/>
      <c r="GF34" s="217"/>
      <c r="GG34" s="216"/>
      <c r="GH34" s="216"/>
      <c r="GI34" s="216"/>
      <c r="GJ34" s="216"/>
      <c r="GK34" s="216"/>
      <c r="GL34" s="216"/>
      <c r="GM34" s="217"/>
      <c r="GN34" s="217"/>
      <c r="GO34" s="217"/>
      <c r="GP34" s="217"/>
      <c r="GQ34" s="217"/>
      <c r="GR34" s="218"/>
      <c r="GS34" s="217"/>
      <c r="GT34" s="217"/>
      <c r="GU34" s="216"/>
      <c r="GV34" s="216"/>
      <c r="GW34" s="216"/>
      <c r="GX34" s="216"/>
      <c r="GY34" s="190"/>
      <c r="GZ34" s="190"/>
      <c r="HA34" s="190"/>
      <c r="HB34" s="190"/>
      <c r="HC34" s="190"/>
      <c r="HD34" s="190"/>
      <c r="HE34" s="190"/>
      <c r="HF34" s="190"/>
      <c r="HG34" s="190"/>
      <c r="HH34" s="190"/>
      <c r="HI34" s="190"/>
      <c r="HJ34" s="190"/>
      <c r="HK34" s="190"/>
      <c r="HL34" s="190"/>
      <c r="HM34" s="190"/>
      <c r="HN34" s="190"/>
      <c r="HO34" s="190"/>
      <c r="HP34" s="190"/>
      <c r="HQ34" s="190"/>
      <c r="HR34" s="190"/>
      <c r="HS34" s="190"/>
      <c r="HT34" s="190"/>
      <c r="HU34" s="190"/>
      <c r="HV34" s="190"/>
      <c r="HW34" s="190"/>
      <c r="HX34" s="190"/>
      <c r="HY34" s="190"/>
      <c r="HZ34" s="190"/>
      <c r="IA34" s="190"/>
      <c r="IB34" s="190"/>
      <c r="IC34" s="190"/>
      <c r="ID34" s="190"/>
      <c r="IE34" s="190"/>
      <c r="IF34" s="190"/>
      <c r="IG34" s="190"/>
      <c r="IH34" s="190"/>
      <c r="II34" s="190"/>
      <c r="IJ34" s="190"/>
      <c r="IK34" s="190"/>
      <c r="IL34" s="190"/>
      <c r="IM34" s="190"/>
      <c r="IN34" s="190"/>
      <c r="IO34" s="190"/>
      <c r="IP34" s="190"/>
      <c r="IQ34" s="190"/>
      <c r="IR34" s="190"/>
      <c r="IS34" s="190"/>
      <c r="IT34" s="190"/>
      <c r="IU34" s="190"/>
      <c r="IV34" s="190"/>
      <c r="IW34" s="190"/>
      <c r="IX34" s="190"/>
      <c r="IY34" s="190"/>
      <c r="IZ34" s="190"/>
      <c r="JA34" s="190"/>
      <c r="JB34" s="190"/>
      <c r="JC34" s="190"/>
      <c r="JD34" s="190"/>
      <c r="JE34" s="190"/>
      <c r="JF34" s="190"/>
      <c r="JG34" s="190"/>
      <c r="JH34" s="190"/>
      <c r="JI34" s="190"/>
      <c r="JJ34" s="190"/>
      <c r="JK34" s="190"/>
      <c r="JL34" s="190"/>
      <c r="JM34" s="190"/>
      <c r="JN34" s="190"/>
      <c r="JO34" s="190"/>
      <c r="JP34" s="190"/>
      <c r="JQ34" s="190"/>
      <c r="JR34" s="190"/>
      <c r="JS34" s="190"/>
      <c r="JT34" s="190"/>
      <c r="JU34" s="190"/>
      <c r="JV34" s="190"/>
      <c r="JW34" s="190"/>
      <c r="JX34" s="190"/>
      <c r="JY34" s="190"/>
      <c r="JZ34" s="190"/>
      <c r="KA34" s="190"/>
      <c r="KB34" s="190"/>
      <c r="KC34" s="190"/>
      <c r="KD34" s="190"/>
      <c r="KE34" s="190"/>
      <c r="KF34" s="190"/>
      <c r="KG34" s="190"/>
      <c r="KH34" s="190"/>
      <c r="KI34" s="190"/>
      <c r="KJ34" s="190"/>
      <c r="KK34" s="190"/>
      <c r="KL34" s="190"/>
      <c r="KM34" s="190"/>
      <c r="KN34" s="190"/>
      <c r="KO34" s="190"/>
      <c r="KP34" s="190"/>
      <c r="KQ34" s="190"/>
      <c r="KR34" s="190"/>
      <c r="KS34" s="190"/>
      <c r="KT34" s="190"/>
      <c r="KU34" s="190"/>
      <c r="KV34" s="190"/>
      <c r="KW34" s="190"/>
      <c r="KX34" s="190"/>
      <c r="KY34" s="190"/>
      <c r="KZ34" s="190"/>
      <c r="LA34" s="190"/>
      <c r="LB34" s="190"/>
      <c r="LC34" s="190"/>
      <c r="LD34" s="190"/>
      <c r="LE34" s="190"/>
      <c r="LF34" s="190"/>
      <c r="LG34" s="190"/>
      <c r="LH34" s="190"/>
      <c r="LI34" s="190"/>
      <c r="LJ34" s="190"/>
      <c r="LK34" s="190"/>
      <c r="LL34" s="190"/>
      <c r="LM34" s="190"/>
      <c r="LN34" s="190"/>
      <c r="LO34" s="190"/>
      <c r="LP34" s="190"/>
      <c r="LQ34" s="190"/>
      <c r="LR34" s="190"/>
      <c r="LS34" s="190"/>
      <c r="LT34" s="190"/>
      <c r="LU34" s="190"/>
      <c r="LV34" s="190"/>
      <c r="LW34" s="190"/>
      <c r="LX34" s="190"/>
      <c r="LY34" s="190"/>
      <c r="LZ34" s="190"/>
      <c r="MA34" s="190"/>
      <c r="MB34" s="190"/>
      <c r="MC34" s="190"/>
      <c r="MD34" s="190"/>
      <c r="ME34" s="190"/>
      <c r="MF34" s="190"/>
      <c r="MG34" s="190"/>
      <c r="MH34" s="190"/>
      <c r="MI34" s="190"/>
      <c r="MJ34" s="190"/>
      <c r="MK34" s="190"/>
      <c r="ML34" s="190"/>
      <c r="MM34" s="190"/>
      <c r="MN34" s="190"/>
      <c r="MO34" s="190"/>
      <c r="MP34" s="190"/>
      <c r="MQ34" s="190"/>
      <c r="MR34" s="190"/>
      <c r="MS34" s="190"/>
      <c r="MT34" s="190"/>
      <c r="MU34" s="190"/>
      <c r="MV34" s="190"/>
      <c r="MW34" s="190"/>
      <c r="MX34" s="190"/>
      <c r="MY34" s="190"/>
      <c r="MZ34" s="190"/>
      <c r="NA34" s="190"/>
      <c r="NB34" s="190"/>
      <c r="NC34" s="190"/>
      <c r="ND34" s="190"/>
      <c r="NE34" s="190"/>
      <c r="NF34" s="190"/>
      <c r="NG34" s="190"/>
      <c r="NH34" s="190"/>
      <c r="NI34" s="190"/>
      <c r="NJ34" s="190"/>
      <c r="NK34" s="190"/>
      <c r="NL34" s="190"/>
      <c r="NM34" s="190"/>
      <c r="NN34" s="190"/>
      <c r="NO34" s="190"/>
      <c r="NP34" s="190"/>
      <c r="NQ34" s="190"/>
      <c r="NR34" s="190"/>
      <c r="NS34" s="190"/>
      <c r="NT34" s="190"/>
      <c r="NU34" s="190"/>
      <c r="NV34" s="190"/>
      <c r="NW34" s="190"/>
      <c r="NX34" s="190"/>
      <c r="NY34" s="190"/>
      <c r="NZ34" s="190"/>
      <c r="OA34" s="190"/>
      <c r="OB34" s="190"/>
      <c r="OC34" s="190"/>
      <c r="OD34" s="190"/>
      <c r="OE34" s="190"/>
      <c r="OF34" s="190"/>
      <c r="OG34" s="190"/>
      <c r="OH34" s="190"/>
      <c r="OI34" s="190"/>
      <c r="OJ34" s="190"/>
      <c r="OK34" s="190"/>
      <c r="OL34" s="190"/>
      <c r="OM34" s="190"/>
      <c r="ON34" s="190"/>
      <c r="OO34" s="190"/>
      <c r="OP34" s="190"/>
      <c r="OQ34" s="190"/>
      <c r="OR34" s="190"/>
      <c r="OS34" s="190"/>
      <c r="OT34" s="190"/>
      <c r="OU34" s="190"/>
      <c r="OV34" s="190"/>
      <c r="OW34" s="190"/>
      <c r="OX34" s="190"/>
      <c r="OY34" s="190"/>
      <c r="OZ34" s="190"/>
      <c r="PA34" s="190"/>
      <c r="PB34" s="291"/>
      <c r="PC34" s="246"/>
      <c r="PD34" s="247"/>
      <c r="PE34" s="246"/>
      <c r="PF34" s="247"/>
      <c r="PG34" s="246"/>
      <c r="PH34" s="247"/>
      <c r="PI34" s="246"/>
      <c r="PJ34" s="247"/>
      <c r="PK34" s="190"/>
      <c r="PL34" s="291"/>
      <c r="PM34" s="246"/>
      <c r="PN34" s="247"/>
      <c r="PO34" s="292"/>
      <c r="PP34" s="247"/>
      <c r="PQ34" s="246"/>
      <c r="PR34" s="247"/>
      <c r="PS34" s="246"/>
      <c r="PT34" s="247"/>
      <c r="PU34" s="246"/>
      <c r="PV34" s="247"/>
      <c r="PW34" s="246"/>
      <c r="PX34" s="247"/>
      <c r="PY34" s="246"/>
      <c r="PZ34" s="247"/>
      <c r="QA34" s="246"/>
      <c r="QB34" s="247"/>
      <c r="QC34" s="246"/>
      <c r="QD34" s="247"/>
      <c r="QE34" s="246"/>
      <c r="QF34" s="247"/>
      <c r="QG34" s="246"/>
      <c r="QH34" s="247"/>
      <c r="QI34" s="246"/>
      <c r="QJ34" s="247"/>
      <c r="QK34" s="246"/>
      <c r="QL34" s="247"/>
      <c r="QM34" s="246"/>
      <c r="QN34" s="247"/>
      <c r="QO34" s="246"/>
      <c r="QP34" s="247"/>
      <c r="QQ34" s="246"/>
      <c r="QR34" s="247"/>
      <c r="QS34" s="246"/>
      <c r="QT34" s="247"/>
      <c r="QU34" s="246"/>
      <c r="QV34" s="247"/>
      <c r="QW34" s="246"/>
      <c r="QX34" s="247"/>
      <c r="QY34" s="246"/>
      <c r="QZ34" s="247"/>
      <c r="RA34" s="246"/>
      <c r="RB34" s="247"/>
      <c r="RC34" s="246"/>
      <c r="RD34" s="190"/>
      <c r="RE34" s="190"/>
      <c r="RF34" s="190"/>
      <c r="RG34" s="190"/>
      <c r="RH34" s="190"/>
      <c r="RI34" s="190"/>
      <c r="RJ34" s="190"/>
      <c r="RK34" s="190"/>
      <c r="RL34" s="190"/>
      <c r="RM34" s="190"/>
      <c r="RN34" s="190"/>
      <c r="RO34" s="190"/>
      <c r="RP34" s="190"/>
      <c r="RQ34" s="190"/>
      <c r="RR34" s="190"/>
      <c r="RS34" s="190"/>
      <c r="RT34" s="190"/>
      <c r="RU34" s="190"/>
      <c r="RV34" s="190"/>
      <c r="RW34" s="190"/>
      <c r="RX34" s="190"/>
      <c r="RY34" s="190"/>
      <c r="RZ34" s="190"/>
      <c r="SA34" s="190"/>
      <c r="SB34" s="190"/>
      <c r="SC34" s="190"/>
      <c r="SD34" s="190"/>
      <c r="SE34" s="190"/>
      <c r="SF34" s="190"/>
      <c r="SG34" s="190"/>
      <c r="SH34" s="190"/>
      <c r="SI34" s="190"/>
      <c r="SJ34" s="190"/>
      <c r="SK34" s="190"/>
      <c r="SL34" s="190"/>
      <c r="SM34" s="190"/>
      <c r="SN34" s="190"/>
      <c r="SO34" s="190"/>
      <c r="SP34" s="190"/>
      <c r="SQ34" s="190"/>
      <c r="SR34" s="190"/>
      <c r="SS34" s="190"/>
      <c r="ST34" s="190"/>
      <c r="SU34" s="190"/>
      <c r="SV34" s="190"/>
      <c r="SW34" s="190"/>
      <c r="SX34" s="190"/>
      <c r="SY34" s="190"/>
      <c r="SZ34" s="190"/>
      <c r="TA34" s="190"/>
      <c r="TB34" s="190"/>
      <c r="TC34" s="190"/>
      <c r="TD34" s="190"/>
      <c r="TE34" s="190"/>
      <c r="TF34" s="190"/>
      <c r="TG34" s="190"/>
      <c r="TH34" s="190"/>
      <c r="TI34" s="190"/>
      <c r="TJ34" s="190"/>
      <c r="TK34" s="190"/>
      <c r="TL34" s="190"/>
      <c r="TM34" s="190"/>
      <c r="TN34" s="190"/>
      <c r="TO34" s="190"/>
      <c r="TP34" s="190"/>
      <c r="TQ34" s="190"/>
      <c r="TR34" s="190"/>
      <c r="TS34" s="190"/>
      <c r="TT34" s="190"/>
      <c r="TU34" s="190"/>
      <c r="TV34" s="190"/>
      <c r="TW34" s="190"/>
      <c r="TX34" s="190"/>
      <c r="TY34" s="190"/>
      <c r="TZ34" s="190"/>
      <c r="UA34" s="190"/>
      <c r="UB34" s="190"/>
      <c r="UC34" s="190"/>
      <c r="UD34" s="190"/>
      <c r="UE34" s="190"/>
      <c r="UF34" s="190"/>
      <c r="UG34" s="190"/>
      <c r="UH34" s="190"/>
      <c r="UI34" s="190"/>
      <c r="UJ34" s="190"/>
      <c r="UK34" s="190"/>
      <c r="UL34" s="190"/>
      <c r="UM34" s="190"/>
      <c r="UN34" s="190"/>
      <c r="UO34" s="190"/>
      <c r="UP34" s="190"/>
      <c r="UQ34" s="190"/>
      <c r="UR34" s="190"/>
      <c r="US34" s="190"/>
      <c r="UT34" s="190"/>
      <c r="UU34" s="190"/>
      <c r="UV34" s="190"/>
      <c r="UW34" s="190"/>
      <c r="UX34" s="190"/>
      <c r="UY34" s="190"/>
      <c r="UZ34" s="190"/>
      <c r="VA34" s="190"/>
      <c r="VB34" s="190"/>
      <c r="VC34" s="190"/>
      <c r="VD34" s="190"/>
      <c r="VE34" s="190"/>
      <c r="VF34" s="190"/>
      <c r="VG34" s="190"/>
      <c r="VH34" s="190"/>
      <c r="VI34" s="190"/>
      <c r="VJ34" s="190"/>
      <c r="VK34" s="190"/>
      <c r="VL34" s="190"/>
      <c r="VM34" s="190"/>
      <c r="VN34" s="190"/>
      <c r="VO34" s="190"/>
      <c r="VP34" s="190"/>
      <c r="VQ34" s="190"/>
      <c r="VR34" s="190"/>
      <c r="VS34" s="190"/>
      <c r="VT34" s="190"/>
      <c r="VU34" s="190"/>
      <c r="VV34" s="190"/>
      <c r="VW34" s="190"/>
      <c r="VX34" s="190"/>
      <c r="VY34" s="190"/>
      <c r="VZ34" s="190"/>
      <c r="WA34" s="190"/>
      <c r="WB34" s="190"/>
      <c r="WC34" s="190"/>
      <c r="WD34" s="190"/>
      <c r="WE34" s="190"/>
      <c r="WF34" s="190"/>
      <c r="WG34" s="190"/>
      <c r="WH34" s="190"/>
      <c r="WI34" s="190"/>
      <c r="WJ34" s="190"/>
      <c r="WK34" s="190"/>
      <c r="WL34" s="190"/>
      <c r="WM34" s="190"/>
      <c r="WN34" s="190"/>
      <c r="WO34" s="190"/>
      <c r="WP34" s="190"/>
      <c r="WQ34" s="190"/>
      <c r="WR34" s="190"/>
      <c r="WS34" s="190"/>
      <c r="WT34" s="190"/>
      <c r="WU34" s="190"/>
      <c r="WV34" s="190"/>
      <c r="WW34" s="190"/>
      <c r="WX34" s="190"/>
      <c r="WY34" s="190"/>
      <c r="WZ34" s="190"/>
      <c r="XA34" s="190"/>
      <c r="XB34" s="190"/>
      <c r="XC34" s="190"/>
      <c r="XD34" s="190"/>
      <c r="XE34" s="190"/>
      <c r="XF34" s="190"/>
      <c r="XG34" s="190"/>
      <c r="XH34" s="190"/>
      <c r="XI34" s="190"/>
      <c r="XJ34" s="190"/>
      <c r="XK34" s="190"/>
      <c r="XL34" s="190"/>
      <c r="XM34" s="190"/>
      <c r="XN34" s="190"/>
      <c r="XO34" s="190"/>
      <c r="XP34" s="190"/>
      <c r="XQ34" s="190"/>
      <c r="XR34" s="190"/>
      <c r="XS34" s="190"/>
      <c r="XT34" s="190"/>
      <c r="XU34" s="190"/>
      <c r="XV34" s="190"/>
      <c r="XW34" s="190"/>
      <c r="XX34" s="190"/>
      <c r="XY34" s="190"/>
      <c r="XZ34" s="190"/>
      <c r="YA34" s="190"/>
      <c r="YB34" s="190"/>
      <c r="YC34" s="190"/>
      <c r="YD34" s="190"/>
      <c r="YE34" s="190"/>
      <c r="YF34" s="190"/>
      <c r="YG34" s="190"/>
      <c r="YH34" s="190"/>
      <c r="YI34" s="190"/>
      <c r="YJ34" s="190"/>
      <c r="YK34" s="190"/>
      <c r="YL34" s="190"/>
      <c r="YM34" s="190"/>
      <c r="YN34" s="190"/>
      <c r="YO34" s="190"/>
      <c r="YP34" s="190"/>
      <c r="YQ34" s="190"/>
      <c r="YR34" s="190"/>
      <c r="YS34" s="190"/>
      <c r="YT34" s="190"/>
      <c r="YU34" s="190"/>
      <c r="YV34" s="190"/>
      <c r="YW34" s="190"/>
      <c r="YX34" s="190"/>
      <c r="YY34" s="190"/>
      <c r="YZ34" s="190"/>
      <c r="ZA34" s="190"/>
      <c r="ZB34" s="190"/>
      <c r="ZC34" s="190"/>
      <c r="ZD34" s="190"/>
      <c r="ZE34" s="190"/>
      <c r="ZF34" s="190"/>
      <c r="ZG34" s="190"/>
      <c r="ZH34" s="190"/>
      <c r="ZI34" s="190"/>
      <c r="ZJ34" s="190"/>
      <c r="ZK34" s="190"/>
      <c r="ZL34" s="190"/>
      <c r="ZM34" s="190"/>
      <c r="ZN34" s="190"/>
      <c r="ZO34" s="190"/>
      <c r="ZP34" s="190"/>
      <c r="ZQ34" s="190"/>
      <c r="ZR34" s="190"/>
      <c r="ZS34" s="190"/>
      <c r="ZT34" s="190"/>
      <c r="ZU34" s="190"/>
      <c r="ZV34" s="190"/>
      <c r="ZW34" s="190"/>
      <c r="ZX34" s="190"/>
      <c r="ZY34" s="190"/>
      <c r="ZZ34" s="190"/>
      <c r="AAA34" s="190"/>
      <c r="AAB34" s="190"/>
      <c r="AAC34" s="190"/>
      <c r="AAD34" s="190"/>
      <c r="AAE34" s="190"/>
      <c r="AAF34" s="190"/>
      <c r="AAG34" s="190"/>
      <c r="AAH34" s="190"/>
      <c r="AAI34" s="190"/>
      <c r="AAJ34" s="190"/>
      <c r="AAK34" s="190"/>
      <c r="AAL34" s="190"/>
      <c r="AAM34" s="190"/>
      <c r="AAN34" s="190"/>
      <c r="AAO34" s="190"/>
      <c r="AAP34" s="190"/>
      <c r="AAQ34" s="190"/>
      <c r="AAR34" s="190"/>
      <c r="AAS34" s="190"/>
      <c r="AAT34" s="190"/>
      <c r="AAU34" s="190"/>
      <c r="AAV34" s="190"/>
      <c r="AAW34" s="190"/>
      <c r="AAX34" s="190"/>
      <c r="AAY34" s="190"/>
      <c r="AAZ34" s="190"/>
      <c r="ABA34" s="190"/>
      <c r="ABB34" s="190"/>
      <c r="ABC34" s="190"/>
      <c r="ABD34" s="190"/>
      <c r="ABE34" s="336"/>
      <c r="ABF34" s="335"/>
      <c r="ABG34" s="335"/>
      <c r="ABH34" s="335"/>
      <c r="ABI34" s="335"/>
      <c r="ABJ34" s="335"/>
      <c r="ABK34" s="335"/>
      <c r="ABL34" s="335"/>
      <c r="ABM34" s="335"/>
      <c r="ABN34" s="335"/>
      <c r="ABO34" s="335"/>
      <c r="ABP34" s="335"/>
      <c r="ABQ34" s="335"/>
      <c r="ABR34" s="335"/>
      <c r="ABS34" s="335"/>
      <c r="ABT34" s="335"/>
      <c r="ABU34" s="335"/>
      <c r="ABV34" s="335"/>
      <c r="ABW34" s="335"/>
      <c r="ABX34" s="335"/>
      <c r="ABY34" s="335"/>
      <c r="ABZ34" s="335"/>
      <c r="ACA34" s="335"/>
      <c r="ACB34" s="335"/>
      <c r="ACC34" s="335"/>
      <c r="ACD34" s="335"/>
      <c r="ACE34" s="335"/>
      <c r="ACF34" s="335"/>
      <c r="ACG34" s="335"/>
      <c r="ACH34" s="335"/>
      <c r="ACI34" s="335"/>
      <c r="ACJ34" s="335"/>
      <c r="ACK34" s="335"/>
      <c r="ACL34" s="335"/>
      <c r="ACM34" s="335"/>
      <c r="ACN34" s="335"/>
      <c r="ACO34" s="335"/>
      <c r="ACP34" s="335"/>
      <c r="ACQ34" s="335"/>
      <c r="ACR34" s="335"/>
      <c r="ACS34" s="335"/>
      <c r="ACT34" s="335"/>
      <c r="ACU34" s="335"/>
      <c r="ACV34" s="335"/>
      <c r="ACW34" s="335"/>
      <c r="ACX34" s="335"/>
      <c r="ACY34" s="335"/>
      <c r="ACZ34" s="335"/>
      <c r="ADA34" s="335"/>
      <c r="ADB34" s="335"/>
      <c r="ADC34" s="335"/>
      <c r="ADD34" s="335"/>
      <c r="ADE34" s="335"/>
      <c r="ADF34" s="335"/>
      <c r="ADG34" s="335"/>
      <c r="ADH34" s="335"/>
      <c r="ADI34" s="335"/>
      <c r="ADJ34" s="335"/>
      <c r="ADK34" s="335"/>
      <c r="ADL34" s="335"/>
      <c r="ADM34" s="335"/>
      <c r="ADN34" s="335"/>
      <c r="ADO34" s="335"/>
      <c r="ADP34" s="335"/>
      <c r="ADQ34" s="335"/>
      <c r="ADR34" s="335"/>
      <c r="ADS34" s="335"/>
      <c r="ADT34" s="335"/>
      <c r="ADU34" s="335"/>
      <c r="ADV34" s="335"/>
      <c r="ADW34" s="335"/>
      <c r="ADX34" s="335"/>
      <c r="ADY34" s="335"/>
      <c r="ADZ34" s="335"/>
      <c r="AEA34" s="335"/>
      <c r="AEB34" s="335"/>
      <c r="AEC34" s="335"/>
      <c r="AED34" s="335"/>
      <c r="AEE34" s="335"/>
      <c r="AEF34" s="335"/>
      <c r="AEG34" s="335"/>
      <c r="AEH34" s="335"/>
      <c r="AEI34" s="335"/>
      <c r="AEJ34" s="335"/>
      <c r="AEK34" s="335"/>
      <c r="AEL34" s="335"/>
      <c r="AEM34" s="335"/>
      <c r="AEN34" s="335"/>
      <c r="AEO34" s="335"/>
      <c r="AEP34" s="335"/>
      <c r="AEQ34" s="335"/>
      <c r="AER34" s="335"/>
      <c r="AES34" s="335"/>
      <c r="AET34" s="335"/>
      <c r="AEU34" s="335"/>
      <c r="AEV34" s="335"/>
      <c r="AEW34" s="335"/>
      <c r="AEX34" s="335"/>
      <c r="AEY34" s="335"/>
      <c r="AEZ34" s="335"/>
      <c r="AFA34" s="335"/>
      <c r="AFB34" s="335"/>
      <c r="AFC34" s="335"/>
      <c r="AFD34" s="335"/>
      <c r="AFE34" s="335"/>
      <c r="AFF34" s="335"/>
      <c r="AFG34" s="335"/>
      <c r="AFH34" s="335"/>
      <c r="AFI34" s="335"/>
      <c r="AFJ34" s="335"/>
      <c r="AFK34" s="335"/>
      <c r="AFL34" s="335"/>
      <c r="AFM34" s="335"/>
      <c r="AFN34" s="335"/>
      <c r="AFO34" s="335"/>
      <c r="AFP34" s="335"/>
      <c r="AFQ34" s="335"/>
      <c r="AFR34" s="335"/>
      <c r="AFS34" s="335"/>
      <c r="AFT34" s="335"/>
      <c r="AFU34" s="335"/>
      <c r="AFV34" s="335"/>
      <c r="AFW34" s="335"/>
      <c r="AFX34" s="335"/>
      <c r="AFY34" s="335"/>
      <c r="AFZ34" s="335"/>
      <c r="AGA34" s="335"/>
      <c r="AGB34" s="335"/>
      <c r="AGC34" s="335"/>
      <c r="AGD34" s="335"/>
      <c r="AGE34" s="335"/>
      <c r="AGF34" s="335"/>
      <c r="AGG34" s="335"/>
      <c r="AGH34" s="335"/>
      <c r="AGI34" s="335"/>
      <c r="AGJ34" s="335"/>
      <c r="AGK34" s="335"/>
      <c r="AGL34" s="335"/>
      <c r="AGM34" s="335"/>
      <c r="AGN34" s="335"/>
      <c r="AGO34" s="335"/>
      <c r="AGP34" s="335"/>
      <c r="AGQ34" s="335"/>
      <c r="AGR34" s="335"/>
      <c r="AGS34" s="335"/>
      <c r="AGT34" s="335"/>
      <c r="AGU34" s="335"/>
      <c r="AGV34" s="335"/>
      <c r="AGW34" s="335"/>
      <c r="AGX34" s="335"/>
      <c r="AGY34" s="335"/>
      <c r="AGZ34" s="335"/>
      <c r="AHA34" s="335"/>
      <c r="AHB34" s="335"/>
      <c r="AHC34" s="335"/>
      <c r="AHD34" s="335"/>
      <c r="AHE34" s="335"/>
      <c r="AHF34" s="335"/>
      <c r="AHG34" s="335"/>
      <c r="AHH34" s="335"/>
      <c r="AHI34" s="335"/>
      <c r="AHJ34" s="335"/>
      <c r="AHK34" s="335"/>
      <c r="AHL34" s="335"/>
      <c r="AHM34" s="335"/>
      <c r="AHN34" s="335"/>
      <c r="AHO34" s="335"/>
      <c r="AHP34" s="335"/>
      <c r="AHQ34" s="335"/>
      <c r="AHR34" s="335"/>
      <c r="AHS34" s="335"/>
      <c r="AHT34" s="335"/>
      <c r="AHU34" s="335"/>
      <c r="AHV34" s="335"/>
      <c r="AHW34" s="335"/>
      <c r="AHX34" s="335"/>
      <c r="AHY34" s="335"/>
      <c r="AHZ34" s="335"/>
      <c r="AIA34" s="335"/>
      <c r="AIB34" s="335"/>
      <c r="AIC34" s="339"/>
    </row>
    <row r="35" spans="1:913" s="161" customFormat="1">
      <c r="A35" s="172"/>
      <c r="B35" s="177">
        <v>0.70833333333333304</v>
      </c>
      <c r="C35" s="190"/>
      <c r="D35" s="190"/>
      <c r="E35" s="190"/>
      <c r="F35" s="190"/>
      <c r="G35" s="190"/>
      <c r="H35" s="190"/>
      <c r="I35" s="190"/>
      <c r="J35" s="190"/>
      <c r="K35" s="190"/>
      <c r="L35" s="190"/>
      <c r="M35" s="190"/>
      <c r="N35" s="190"/>
      <c r="O35" s="216"/>
      <c r="P35" s="216"/>
      <c r="Q35" s="216"/>
      <c r="R35" s="216"/>
      <c r="S35" s="216"/>
      <c r="T35" s="216"/>
      <c r="U35" s="216"/>
      <c r="V35" s="216"/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6"/>
      <c r="AI35" s="216"/>
      <c r="AJ35" s="216"/>
      <c r="AK35" s="216"/>
      <c r="AL35" s="216"/>
      <c r="AM35" s="216"/>
      <c r="AN35" s="216"/>
      <c r="AO35" s="216"/>
      <c r="AP35" s="216"/>
      <c r="AQ35" s="216"/>
      <c r="AR35" s="216"/>
      <c r="AS35" s="216"/>
      <c r="AT35" s="216"/>
      <c r="AU35" s="216"/>
      <c r="AV35" s="216"/>
      <c r="AW35" s="216"/>
      <c r="AX35" s="216"/>
      <c r="AY35" s="216"/>
      <c r="AZ35" s="216"/>
      <c r="BA35" s="216"/>
      <c r="BB35" s="216"/>
      <c r="BC35" s="216"/>
      <c r="BD35" s="216"/>
      <c r="BE35" s="216"/>
      <c r="BF35" s="216"/>
      <c r="BG35" s="216"/>
      <c r="BH35" s="216"/>
      <c r="BI35" s="216"/>
      <c r="BJ35" s="216"/>
      <c r="BK35" s="216"/>
      <c r="BL35" s="216"/>
      <c r="BM35" s="216"/>
      <c r="BN35" s="216"/>
      <c r="BO35" s="216"/>
      <c r="BP35" s="216"/>
      <c r="BQ35" s="216"/>
      <c r="BR35" s="216"/>
      <c r="BS35" s="216"/>
      <c r="BT35" s="216"/>
      <c r="BU35" s="216"/>
      <c r="BV35" s="216"/>
      <c r="BW35" s="216"/>
      <c r="BX35" s="216"/>
      <c r="BY35" s="216"/>
      <c r="BZ35" s="216"/>
      <c r="CA35" s="216"/>
      <c r="CB35" s="216"/>
      <c r="CC35" s="216"/>
      <c r="CD35" s="216"/>
      <c r="CE35" s="216"/>
      <c r="CF35" s="216"/>
      <c r="CG35" s="216"/>
      <c r="CH35" s="216"/>
      <c r="CI35" s="216"/>
      <c r="CJ35" s="216"/>
      <c r="CK35" s="216"/>
      <c r="CL35" s="216"/>
      <c r="CM35" s="216"/>
      <c r="CN35" s="216"/>
      <c r="CO35" s="216"/>
      <c r="CP35" s="216"/>
      <c r="CQ35" s="190"/>
      <c r="CR35" s="216"/>
      <c r="CS35" s="216"/>
      <c r="CT35" s="216"/>
      <c r="CU35" s="216"/>
      <c r="CV35" s="216"/>
      <c r="CW35" s="216"/>
      <c r="CX35" s="216"/>
      <c r="CY35" s="216"/>
      <c r="CZ35" s="216"/>
      <c r="DA35" s="216"/>
      <c r="DB35" s="216"/>
      <c r="DC35" s="216"/>
      <c r="DD35" s="216"/>
      <c r="DE35" s="216"/>
      <c r="DF35" s="216"/>
      <c r="DG35" s="216"/>
      <c r="DH35" s="216"/>
      <c r="DI35" s="216"/>
      <c r="DJ35" s="216"/>
      <c r="DK35" s="216"/>
      <c r="DL35" s="216"/>
      <c r="DM35" s="216"/>
      <c r="DN35" s="216"/>
      <c r="DO35" s="216"/>
      <c r="DP35" s="216"/>
      <c r="DQ35" s="216"/>
      <c r="DR35" s="216"/>
      <c r="DS35" s="216"/>
      <c r="DT35" s="216"/>
      <c r="DU35" s="216"/>
      <c r="DV35" s="216"/>
      <c r="DW35" s="216"/>
      <c r="DX35" s="216"/>
      <c r="DY35" s="216"/>
      <c r="DZ35" s="216"/>
      <c r="EA35" s="216"/>
      <c r="EB35" s="216"/>
      <c r="EC35" s="216"/>
      <c r="ED35" s="216"/>
      <c r="EE35" s="216"/>
      <c r="EF35" s="216"/>
      <c r="EG35" s="216"/>
      <c r="EH35" s="216"/>
      <c r="EI35" s="216"/>
      <c r="EJ35" s="216"/>
      <c r="EK35" s="216"/>
      <c r="EL35" s="216"/>
      <c r="EM35" s="216"/>
      <c r="EN35" s="216"/>
      <c r="EO35" s="216"/>
      <c r="EP35" s="216"/>
      <c r="EQ35" s="216"/>
      <c r="ER35" s="216"/>
      <c r="ES35" s="216"/>
      <c r="ET35" s="216"/>
      <c r="EU35" s="216"/>
      <c r="EV35" s="216"/>
      <c r="EW35" s="216"/>
      <c r="EX35" s="216"/>
      <c r="EY35" s="216"/>
      <c r="EZ35" s="216"/>
      <c r="FA35" s="216"/>
      <c r="FB35" s="216"/>
      <c r="FC35" s="216"/>
      <c r="FD35" s="216"/>
      <c r="FE35" s="216"/>
      <c r="FF35" s="216"/>
      <c r="FG35" s="216"/>
      <c r="FH35" s="216"/>
      <c r="FI35" s="216"/>
      <c r="FJ35" s="216"/>
      <c r="FK35" s="216"/>
      <c r="FL35" s="216"/>
      <c r="FM35" s="216"/>
      <c r="FN35" s="216"/>
      <c r="FO35" s="216"/>
      <c r="FP35" s="216"/>
      <c r="FQ35" s="216"/>
      <c r="FR35" s="216"/>
      <c r="FS35" s="216"/>
      <c r="FT35" s="216"/>
      <c r="FU35" s="216"/>
      <c r="FV35" s="216"/>
      <c r="FW35" s="216"/>
      <c r="FX35" s="216"/>
      <c r="FY35" s="216"/>
      <c r="FZ35" s="216"/>
      <c r="GA35" s="216"/>
      <c r="GB35" s="216"/>
      <c r="GC35" s="217"/>
      <c r="GD35" s="217"/>
      <c r="GE35" s="217"/>
      <c r="GF35" s="217"/>
      <c r="GG35" s="216"/>
      <c r="GH35" s="216"/>
      <c r="GI35" s="216"/>
      <c r="GJ35" s="216"/>
      <c r="GK35" s="216"/>
      <c r="GL35" s="216"/>
      <c r="GM35" s="217"/>
      <c r="GN35" s="217"/>
      <c r="GO35" s="217"/>
      <c r="GP35" s="217"/>
      <c r="GQ35" s="217"/>
      <c r="GR35" s="218"/>
      <c r="GS35" s="217"/>
      <c r="GT35" s="217"/>
      <c r="GU35" s="216"/>
      <c r="GV35" s="216"/>
      <c r="GW35" s="216"/>
      <c r="GX35" s="216"/>
      <c r="GY35" s="190"/>
      <c r="GZ35" s="190"/>
      <c r="HA35" s="190"/>
      <c r="HB35" s="190"/>
      <c r="HC35" s="190"/>
      <c r="HD35" s="190"/>
      <c r="HE35" s="190"/>
      <c r="HF35" s="190"/>
      <c r="HG35" s="190"/>
      <c r="HH35" s="190"/>
      <c r="HI35" s="190"/>
      <c r="HJ35" s="190"/>
      <c r="HK35" s="190"/>
      <c r="HL35" s="190"/>
      <c r="HM35" s="190"/>
      <c r="HN35" s="190"/>
      <c r="HO35" s="190"/>
      <c r="HP35" s="190"/>
      <c r="HQ35" s="190"/>
      <c r="HR35" s="190"/>
      <c r="HS35" s="190"/>
      <c r="HT35" s="190"/>
      <c r="HU35" s="190"/>
      <c r="HV35" s="190"/>
      <c r="HW35" s="190"/>
      <c r="HX35" s="190"/>
      <c r="HY35" s="190"/>
      <c r="HZ35" s="190"/>
      <c r="IA35" s="190"/>
      <c r="IB35" s="190"/>
      <c r="IC35" s="190"/>
      <c r="ID35" s="190"/>
      <c r="IE35" s="190"/>
      <c r="IF35" s="190"/>
      <c r="IG35" s="190"/>
      <c r="IH35" s="190"/>
      <c r="II35" s="190"/>
      <c r="IJ35" s="190"/>
      <c r="IK35" s="190"/>
      <c r="IL35" s="190"/>
      <c r="IM35" s="190"/>
      <c r="IN35" s="190"/>
      <c r="IO35" s="190"/>
      <c r="IP35" s="190"/>
      <c r="IQ35" s="190"/>
      <c r="IR35" s="190"/>
      <c r="IS35" s="190"/>
      <c r="IT35" s="190"/>
      <c r="IU35" s="190"/>
      <c r="IV35" s="190"/>
      <c r="IW35" s="190"/>
      <c r="IX35" s="190"/>
      <c r="IY35" s="190"/>
      <c r="IZ35" s="190"/>
      <c r="JA35" s="190"/>
      <c r="JB35" s="190"/>
      <c r="JC35" s="190"/>
      <c r="JD35" s="190"/>
      <c r="JE35" s="190"/>
      <c r="JF35" s="190"/>
      <c r="JG35" s="190"/>
      <c r="JH35" s="190"/>
      <c r="JI35" s="190"/>
      <c r="JJ35" s="190"/>
      <c r="JK35" s="190"/>
      <c r="JL35" s="190"/>
      <c r="JM35" s="190"/>
      <c r="JN35" s="190"/>
      <c r="JO35" s="190"/>
      <c r="JP35" s="190"/>
      <c r="JQ35" s="190"/>
      <c r="JR35" s="190"/>
      <c r="JS35" s="190"/>
      <c r="JT35" s="190"/>
      <c r="JU35" s="190"/>
      <c r="JV35" s="190"/>
      <c r="JW35" s="190"/>
      <c r="JX35" s="190"/>
      <c r="JY35" s="190"/>
      <c r="JZ35" s="190"/>
      <c r="KA35" s="190"/>
      <c r="KB35" s="190"/>
      <c r="KC35" s="190"/>
      <c r="KD35" s="190"/>
      <c r="KE35" s="190"/>
      <c r="KF35" s="190"/>
      <c r="KG35" s="190"/>
      <c r="KH35" s="190"/>
      <c r="KI35" s="190"/>
      <c r="KJ35" s="190"/>
      <c r="KK35" s="190"/>
      <c r="KL35" s="190"/>
      <c r="KM35" s="190"/>
      <c r="KN35" s="190"/>
      <c r="KO35" s="190"/>
      <c r="KP35" s="190"/>
      <c r="KQ35" s="190"/>
      <c r="KR35" s="190"/>
      <c r="KS35" s="190"/>
      <c r="KT35" s="190"/>
      <c r="KU35" s="190"/>
      <c r="KV35" s="190"/>
      <c r="KW35" s="190"/>
      <c r="KX35" s="190"/>
      <c r="KY35" s="190"/>
      <c r="KZ35" s="190"/>
      <c r="LA35" s="190"/>
      <c r="LB35" s="190"/>
      <c r="LC35" s="190"/>
      <c r="LD35" s="190"/>
      <c r="LE35" s="190"/>
      <c r="LF35" s="190"/>
      <c r="LG35" s="190"/>
      <c r="LH35" s="190"/>
      <c r="LI35" s="190"/>
      <c r="LJ35" s="190"/>
      <c r="LK35" s="190"/>
      <c r="LL35" s="190"/>
      <c r="LM35" s="190"/>
      <c r="LN35" s="190"/>
      <c r="LO35" s="190"/>
      <c r="LP35" s="190"/>
      <c r="LQ35" s="190"/>
      <c r="LR35" s="190"/>
      <c r="LS35" s="190"/>
      <c r="LT35" s="190"/>
      <c r="LU35" s="190"/>
      <c r="LV35" s="190"/>
      <c r="LW35" s="190"/>
      <c r="LX35" s="190"/>
      <c r="LY35" s="190"/>
      <c r="LZ35" s="190"/>
      <c r="MA35" s="190"/>
      <c r="MB35" s="190"/>
      <c r="MC35" s="190"/>
      <c r="MD35" s="190"/>
      <c r="ME35" s="190"/>
      <c r="MF35" s="190"/>
      <c r="MG35" s="190"/>
      <c r="MH35" s="190"/>
      <c r="MI35" s="190"/>
      <c r="MJ35" s="190"/>
      <c r="MK35" s="190"/>
      <c r="ML35" s="190"/>
      <c r="MM35" s="190"/>
      <c r="MN35" s="190"/>
      <c r="MO35" s="190"/>
      <c r="MP35" s="190"/>
      <c r="MQ35" s="190"/>
      <c r="MR35" s="190"/>
      <c r="MS35" s="190"/>
      <c r="MT35" s="190"/>
      <c r="MU35" s="190"/>
      <c r="MV35" s="190"/>
      <c r="MW35" s="190"/>
      <c r="MX35" s="190"/>
      <c r="MY35" s="190"/>
      <c r="MZ35" s="190"/>
      <c r="NA35" s="190"/>
      <c r="NB35" s="190"/>
      <c r="NC35" s="190"/>
      <c r="ND35" s="190"/>
      <c r="NE35" s="190"/>
      <c r="NF35" s="190"/>
      <c r="NG35" s="190"/>
      <c r="NH35" s="190"/>
      <c r="NI35" s="190"/>
      <c r="NJ35" s="190"/>
      <c r="NK35" s="190"/>
      <c r="NL35" s="190"/>
      <c r="NM35" s="190"/>
      <c r="NN35" s="190"/>
      <c r="NO35" s="190"/>
      <c r="NP35" s="190"/>
      <c r="NQ35" s="190"/>
      <c r="NR35" s="190"/>
      <c r="NS35" s="190"/>
      <c r="NT35" s="190"/>
      <c r="NU35" s="190"/>
      <c r="NV35" s="190"/>
      <c r="NW35" s="190"/>
      <c r="NX35" s="190"/>
      <c r="NY35" s="190"/>
      <c r="NZ35" s="190"/>
      <c r="OA35" s="190"/>
      <c r="OB35" s="190"/>
      <c r="OC35" s="190"/>
      <c r="OD35" s="190"/>
      <c r="OE35" s="190"/>
      <c r="OF35" s="190"/>
      <c r="OG35" s="190"/>
      <c r="OH35" s="190"/>
      <c r="OI35" s="190"/>
      <c r="OJ35" s="190"/>
      <c r="OK35" s="190"/>
      <c r="OL35" s="190"/>
      <c r="OM35" s="190"/>
      <c r="ON35" s="190"/>
      <c r="OO35" s="190"/>
      <c r="OP35" s="190"/>
      <c r="OQ35" s="190"/>
      <c r="OR35" s="190"/>
      <c r="OS35" s="190"/>
      <c r="OT35" s="190"/>
      <c r="OU35" s="190"/>
      <c r="OV35" s="190"/>
      <c r="OW35" s="190"/>
      <c r="OX35" s="190"/>
      <c r="OY35" s="190"/>
      <c r="OZ35" s="190"/>
      <c r="PA35" s="190"/>
      <c r="PB35" s="291"/>
      <c r="PC35" s="246"/>
      <c r="PD35" s="247"/>
      <c r="PE35" s="246"/>
      <c r="PF35" s="247"/>
      <c r="PG35" s="246"/>
      <c r="PH35" s="247"/>
      <c r="PI35" s="246"/>
      <c r="PJ35" s="247"/>
      <c r="PK35" s="190"/>
      <c r="PL35" s="291"/>
      <c r="PM35" s="246"/>
      <c r="PN35" s="247"/>
      <c r="PO35" s="292"/>
      <c r="PP35" s="247"/>
      <c r="PQ35" s="246"/>
      <c r="PR35" s="247"/>
      <c r="PS35" s="246"/>
      <c r="PT35" s="247"/>
      <c r="PU35" s="246"/>
      <c r="PV35" s="247"/>
      <c r="PW35" s="246"/>
      <c r="PX35" s="247"/>
      <c r="PY35" s="246"/>
      <c r="PZ35" s="247"/>
      <c r="QA35" s="246"/>
      <c r="QB35" s="247"/>
      <c r="QC35" s="246"/>
      <c r="QD35" s="247"/>
      <c r="QE35" s="246"/>
      <c r="QF35" s="247"/>
      <c r="QG35" s="246"/>
      <c r="QH35" s="247"/>
      <c r="QI35" s="246"/>
      <c r="QJ35" s="247"/>
      <c r="QK35" s="246"/>
      <c r="QL35" s="247"/>
      <c r="QM35" s="246"/>
      <c r="QN35" s="247"/>
      <c r="QO35" s="246"/>
      <c r="QP35" s="247"/>
      <c r="QQ35" s="246"/>
      <c r="QR35" s="247"/>
      <c r="QS35" s="246"/>
      <c r="QT35" s="247"/>
      <c r="QU35" s="246"/>
      <c r="QV35" s="247"/>
      <c r="QW35" s="246"/>
      <c r="QX35" s="247"/>
      <c r="QY35" s="246"/>
      <c r="QZ35" s="247"/>
      <c r="RA35" s="246"/>
      <c r="RB35" s="247"/>
      <c r="RC35" s="246"/>
      <c r="RD35" s="190"/>
      <c r="RE35" s="190"/>
      <c r="RF35" s="190"/>
      <c r="RG35" s="190"/>
      <c r="RH35" s="190"/>
      <c r="RI35" s="190"/>
      <c r="RJ35" s="190"/>
      <c r="RK35" s="190"/>
      <c r="RL35" s="190"/>
      <c r="RM35" s="190"/>
      <c r="RN35" s="190"/>
      <c r="RO35" s="190"/>
      <c r="RP35" s="190"/>
      <c r="RQ35" s="190"/>
      <c r="RR35" s="190"/>
      <c r="RS35" s="190"/>
      <c r="RT35" s="190"/>
      <c r="RU35" s="190"/>
      <c r="RV35" s="190"/>
      <c r="RW35" s="190"/>
      <c r="RX35" s="190"/>
      <c r="RY35" s="190"/>
      <c r="RZ35" s="190"/>
      <c r="SA35" s="190"/>
      <c r="SB35" s="190"/>
      <c r="SC35" s="190"/>
      <c r="SD35" s="190"/>
      <c r="SE35" s="190"/>
      <c r="SF35" s="190"/>
      <c r="SG35" s="190"/>
      <c r="SH35" s="190"/>
      <c r="SI35" s="190"/>
      <c r="SJ35" s="190"/>
      <c r="SK35" s="190"/>
      <c r="SL35" s="190"/>
      <c r="SM35" s="190"/>
      <c r="SN35" s="190"/>
      <c r="SO35" s="190"/>
      <c r="SP35" s="190"/>
      <c r="SQ35" s="190"/>
      <c r="SR35" s="190"/>
      <c r="SS35" s="190"/>
      <c r="ST35" s="190"/>
      <c r="SU35" s="190"/>
      <c r="SV35" s="190"/>
      <c r="SW35" s="190"/>
      <c r="SX35" s="190"/>
      <c r="SY35" s="190"/>
      <c r="SZ35" s="190"/>
      <c r="TA35" s="190"/>
      <c r="TB35" s="190"/>
      <c r="TC35" s="190"/>
      <c r="TD35" s="190"/>
      <c r="TE35" s="190"/>
      <c r="TF35" s="190"/>
      <c r="TG35" s="190"/>
      <c r="TH35" s="190"/>
      <c r="TI35" s="190"/>
      <c r="TJ35" s="190"/>
      <c r="TK35" s="190"/>
      <c r="TL35" s="190"/>
      <c r="TM35" s="190"/>
      <c r="TN35" s="190"/>
      <c r="TO35" s="190"/>
      <c r="TP35" s="190"/>
      <c r="TQ35" s="190"/>
      <c r="TR35" s="190"/>
      <c r="TS35" s="190"/>
      <c r="TT35" s="190"/>
      <c r="TU35" s="190"/>
      <c r="TV35" s="190"/>
      <c r="TW35" s="190"/>
      <c r="TX35" s="190"/>
      <c r="TY35" s="190"/>
      <c r="TZ35" s="190"/>
      <c r="UA35" s="190"/>
      <c r="UB35" s="190"/>
      <c r="UC35" s="190"/>
      <c r="UD35" s="190"/>
      <c r="UE35" s="190"/>
      <c r="UF35" s="190"/>
      <c r="UG35" s="190"/>
      <c r="UH35" s="190"/>
      <c r="UI35" s="190"/>
      <c r="UJ35" s="190"/>
      <c r="UK35" s="190"/>
      <c r="UL35" s="190"/>
      <c r="UM35" s="190"/>
      <c r="UN35" s="190"/>
      <c r="UO35" s="190"/>
      <c r="UP35" s="190"/>
      <c r="UQ35" s="190"/>
      <c r="UR35" s="190"/>
      <c r="US35" s="190"/>
      <c r="UT35" s="190"/>
      <c r="UU35" s="190"/>
      <c r="UV35" s="190"/>
      <c r="UW35" s="190"/>
      <c r="UX35" s="190"/>
      <c r="UY35" s="190"/>
      <c r="UZ35" s="190"/>
      <c r="VA35" s="190"/>
      <c r="VB35" s="190"/>
      <c r="VC35" s="190"/>
      <c r="VD35" s="190"/>
      <c r="VE35" s="190"/>
      <c r="VF35" s="190"/>
      <c r="VG35" s="190"/>
      <c r="VH35" s="190"/>
      <c r="VI35" s="190"/>
      <c r="VJ35" s="190"/>
      <c r="VK35" s="190"/>
      <c r="VL35" s="190"/>
      <c r="VM35" s="190"/>
      <c r="VN35" s="190"/>
      <c r="VO35" s="190"/>
      <c r="VP35" s="190"/>
      <c r="VQ35" s="190"/>
      <c r="VR35" s="190"/>
      <c r="VS35" s="190"/>
      <c r="VT35" s="190"/>
      <c r="VU35" s="190"/>
      <c r="VV35" s="190"/>
      <c r="VW35" s="190"/>
      <c r="VX35" s="190"/>
      <c r="VY35" s="190"/>
      <c r="VZ35" s="190"/>
      <c r="WA35" s="190"/>
      <c r="WB35" s="190"/>
      <c r="WC35" s="190"/>
      <c r="WD35" s="190"/>
      <c r="WE35" s="190"/>
      <c r="WF35" s="190"/>
      <c r="WG35" s="190"/>
      <c r="WH35" s="190"/>
      <c r="WI35" s="190"/>
      <c r="WJ35" s="190"/>
      <c r="WK35" s="190"/>
      <c r="WL35" s="190"/>
      <c r="WM35" s="190"/>
      <c r="WN35" s="190"/>
      <c r="WO35" s="190"/>
      <c r="WP35" s="190"/>
      <c r="WQ35" s="190"/>
      <c r="WR35" s="190"/>
      <c r="WS35" s="190"/>
      <c r="WT35" s="190"/>
      <c r="WU35" s="190"/>
      <c r="WV35" s="190"/>
      <c r="WW35" s="190"/>
      <c r="WX35" s="190"/>
      <c r="WY35" s="190"/>
      <c r="WZ35" s="190"/>
      <c r="XA35" s="190"/>
      <c r="XB35" s="190"/>
      <c r="XC35" s="190"/>
      <c r="XD35" s="190"/>
      <c r="XE35" s="190"/>
      <c r="XF35" s="190"/>
      <c r="XG35" s="190"/>
      <c r="XH35" s="190"/>
      <c r="XI35" s="190"/>
      <c r="XJ35" s="190"/>
      <c r="XK35" s="190"/>
      <c r="XL35" s="190"/>
      <c r="XM35" s="190"/>
      <c r="XN35" s="190"/>
      <c r="XO35" s="190"/>
      <c r="XP35" s="190"/>
      <c r="XQ35" s="190"/>
      <c r="XR35" s="190"/>
      <c r="XS35" s="190"/>
      <c r="XT35" s="190"/>
      <c r="XU35" s="190"/>
      <c r="XV35" s="190"/>
      <c r="XW35" s="190"/>
      <c r="XX35" s="190"/>
      <c r="XY35" s="190"/>
      <c r="XZ35" s="190"/>
      <c r="YA35" s="190"/>
      <c r="YB35" s="190"/>
      <c r="YC35" s="190"/>
      <c r="YD35" s="190"/>
      <c r="YE35" s="190"/>
      <c r="YF35" s="190"/>
      <c r="YG35" s="190"/>
      <c r="YH35" s="190"/>
      <c r="YI35" s="190"/>
      <c r="YJ35" s="190"/>
      <c r="YK35" s="190"/>
      <c r="YL35" s="190"/>
      <c r="YM35" s="190"/>
      <c r="YN35" s="190"/>
      <c r="YO35" s="190"/>
      <c r="YP35" s="190"/>
      <c r="YQ35" s="190"/>
      <c r="YR35" s="190"/>
      <c r="YS35" s="190"/>
      <c r="YT35" s="190"/>
      <c r="YU35" s="190"/>
      <c r="YV35" s="190"/>
      <c r="YW35" s="190"/>
      <c r="YX35" s="190"/>
      <c r="YY35" s="190"/>
      <c r="YZ35" s="190"/>
      <c r="ZA35" s="190"/>
      <c r="ZB35" s="190"/>
      <c r="ZC35" s="190"/>
      <c r="ZD35" s="190"/>
      <c r="ZE35" s="190"/>
      <c r="ZF35" s="190"/>
      <c r="ZG35" s="190"/>
      <c r="ZH35" s="190"/>
      <c r="ZI35" s="190"/>
      <c r="ZJ35" s="190"/>
      <c r="ZK35" s="190"/>
      <c r="ZL35" s="190"/>
      <c r="ZM35" s="190"/>
      <c r="ZN35" s="190"/>
      <c r="ZO35" s="190"/>
      <c r="ZP35" s="190"/>
      <c r="ZQ35" s="190"/>
      <c r="ZR35" s="190"/>
      <c r="ZS35" s="190"/>
      <c r="ZT35" s="190"/>
      <c r="ZU35" s="190"/>
      <c r="ZV35" s="190"/>
      <c r="ZW35" s="190"/>
      <c r="ZX35" s="190"/>
      <c r="ZY35" s="190"/>
      <c r="ZZ35" s="190"/>
      <c r="AAA35" s="190"/>
      <c r="AAB35" s="190"/>
      <c r="AAC35" s="190"/>
      <c r="AAD35" s="190"/>
      <c r="AAE35" s="190"/>
      <c r="AAF35" s="190"/>
      <c r="AAG35" s="190"/>
      <c r="AAH35" s="190"/>
      <c r="AAI35" s="190"/>
      <c r="AAJ35" s="190"/>
      <c r="AAK35" s="190"/>
      <c r="AAL35" s="190"/>
      <c r="AAM35" s="190"/>
      <c r="AAN35" s="190"/>
      <c r="AAO35" s="190"/>
      <c r="AAP35" s="190"/>
      <c r="AAQ35" s="190"/>
      <c r="AAR35" s="190"/>
      <c r="AAS35" s="190"/>
      <c r="AAT35" s="190"/>
      <c r="AAU35" s="190"/>
      <c r="AAV35" s="190"/>
      <c r="AAW35" s="190"/>
      <c r="AAX35" s="190"/>
      <c r="AAY35" s="190"/>
      <c r="AAZ35" s="190"/>
      <c r="ABA35" s="190"/>
      <c r="ABB35" s="190"/>
      <c r="ABC35" s="190"/>
      <c r="ABD35" s="190"/>
      <c r="ABE35" s="336"/>
      <c r="ABF35" s="335"/>
      <c r="ABG35" s="335"/>
      <c r="ABH35" s="335"/>
      <c r="ABI35" s="335"/>
      <c r="ABJ35" s="335"/>
      <c r="ABK35" s="335"/>
      <c r="ABL35" s="335"/>
      <c r="ABM35" s="335"/>
      <c r="ABN35" s="335"/>
      <c r="ABO35" s="335"/>
      <c r="ABP35" s="335"/>
      <c r="ABQ35" s="335"/>
      <c r="ABR35" s="335"/>
      <c r="ABS35" s="335"/>
      <c r="ABT35" s="335"/>
      <c r="ABU35" s="335"/>
      <c r="ABV35" s="335"/>
      <c r="ABW35" s="335"/>
      <c r="ABX35" s="335"/>
      <c r="ABY35" s="335"/>
      <c r="ABZ35" s="335"/>
      <c r="ACA35" s="335"/>
      <c r="ACB35" s="335"/>
      <c r="ACC35" s="335"/>
      <c r="ACD35" s="335"/>
      <c r="ACE35" s="335"/>
      <c r="ACF35" s="335"/>
      <c r="ACG35" s="335"/>
      <c r="ACH35" s="335"/>
      <c r="ACI35" s="335"/>
      <c r="ACJ35" s="335"/>
      <c r="ACK35" s="335"/>
      <c r="ACL35" s="335"/>
      <c r="ACM35" s="335"/>
      <c r="ACN35" s="335"/>
      <c r="ACO35" s="335"/>
      <c r="ACP35" s="335"/>
      <c r="ACQ35" s="335"/>
      <c r="ACR35" s="335"/>
      <c r="ACS35" s="335"/>
      <c r="ACT35" s="335"/>
      <c r="ACU35" s="335"/>
      <c r="ACV35" s="335"/>
      <c r="ACW35" s="335"/>
      <c r="ACX35" s="335"/>
      <c r="ACY35" s="335"/>
      <c r="ACZ35" s="335"/>
      <c r="ADA35" s="335"/>
      <c r="ADB35" s="335"/>
      <c r="ADC35" s="335"/>
      <c r="ADD35" s="335"/>
      <c r="ADE35" s="335"/>
      <c r="ADF35" s="335"/>
      <c r="ADG35" s="335"/>
      <c r="ADH35" s="335"/>
      <c r="ADI35" s="335"/>
      <c r="ADJ35" s="335"/>
      <c r="ADK35" s="335"/>
      <c r="ADL35" s="335"/>
      <c r="ADM35" s="335"/>
      <c r="ADN35" s="335"/>
      <c r="ADO35" s="335"/>
      <c r="ADP35" s="335"/>
      <c r="ADQ35" s="335"/>
      <c r="ADR35" s="335"/>
      <c r="ADS35" s="335"/>
      <c r="ADT35" s="335"/>
      <c r="ADU35" s="335"/>
      <c r="ADV35" s="335"/>
      <c r="ADW35" s="335"/>
      <c r="ADX35" s="335"/>
      <c r="ADY35" s="335"/>
      <c r="ADZ35" s="335"/>
      <c r="AEA35" s="335"/>
      <c r="AEB35" s="335"/>
      <c r="AEC35" s="335"/>
      <c r="AED35" s="335"/>
      <c r="AEE35" s="335"/>
      <c r="AEF35" s="335"/>
      <c r="AEG35" s="335"/>
      <c r="AEH35" s="335"/>
      <c r="AEI35" s="335"/>
      <c r="AEJ35" s="335"/>
      <c r="AEK35" s="335"/>
      <c r="AEL35" s="335"/>
      <c r="AEM35" s="335"/>
      <c r="AEN35" s="335"/>
      <c r="AEO35" s="335"/>
      <c r="AEP35" s="335"/>
      <c r="AEQ35" s="335"/>
      <c r="AER35" s="335"/>
      <c r="AES35" s="335"/>
      <c r="AET35" s="335"/>
      <c r="AEU35" s="335"/>
      <c r="AEV35" s="335"/>
      <c r="AEW35" s="335"/>
      <c r="AEX35" s="335"/>
      <c r="AEY35" s="335"/>
      <c r="AEZ35" s="335"/>
      <c r="AFA35" s="335"/>
      <c r="AFB35" s="335"/>
      <c r="AFC35" s="335"/>
      <c r="AFD35" s="335"/>
      <c r="AFE35" s="335"/>
      <c r="AFF35" s="335"/>
      <c r="AFG35" s="335"/>
      <c r="AFH35" s="335"/>
      <c r="AFI35" s="335"/>
      <c r="AFJ35" s="335"/>
      <c r="AFK35" s="335"/>
      <c r="AFL35" s="335"/>
      <c r="AFM35" s="335"/>
      <c r="AFN35" s="335"/>
      <c r="AFO35" s="335"/>
      <c r="AFP35" s="335"/>
      <c r="AFQ35" s="335"/>
      <c r="AFR35" s="335"/>
      <c r="AFS35" s="335"/>
      <c r="AFT35" s="335"/>
      <c r="AFU35" s="335"/>
      <c r="AFV35" s="335"/>
      <c r="AFW35" s="335"/>
      <c r="AFX35" s="335"/>
      <c r="AFY35" s="335"/>
      <c r="AFZ35" s="335"/>
      <c r="AGA35" s="335"/>
      <c r="AGB35" s="335"/>
      <c r="AGC35" s="335"/>
      <c r="AGD35" s="335"/>
      <c r="AGE35" s="335"/>
      <c r="AGF35" s="335"/>
      <c r="AGG35" s="335"/>
      <c r="AGH35" s="335"/>
      <c r="AGI35" s="335"/>
      <c r="AGJ35" s="335"/>
      <c r="AGK35" s="335"/>
      <c r="AGL35" s="335"/>
      <c r="AGM35" s="335"/>
      <c r="AGN35" s="335"/>
      <c r="AGO35" s="335"/>
      <c r="AGP35" s="335"/>
      <c r="AGQ35" s="335"/>
      <c r="AGR35" s="335"/>
      <c r="AGS35" s="335"/>
      <c r="AGT35" s="335"/>
      <c r="AGU35" s="335"/>
      <c r="AGV35" s="335"/>
      <c r="AGW35" s="335"/>
      <c r="AGX35" s="335"/>
      <c r="AGY35" s="335"/>
      <c r="AGZ35" s="335"/>
      <c r="AHA35" s="335"/>
      <c r="AHB35" s="335"/>
      <c r="AHC35" s="335"/>
      <c r="AHD35" s="335"/>
      <c r="AHE35" s="335"/>
      <c r="AHF35" s="335"/>
      <c r="AHG35" s="335"/>
      <c r="AHH35" s="335"/>
      <c r="AHI35" s="335"/>
      <c r="AHJ35" s="335"/>
      <c r="AHK35" s="335"/>
      <c r="AHL35" s="335"/>
      <c r="AHM35" s="335"/>
      <c r="AHN35" s="335"/>
      <c r="AHO35" s="335"/>
      <c r="AHP35" s="335"/>
      <c r="AHQ35" s="335"/>
      <c r="AHR35" s="335"/>
      <c r="AHS35" s="335"/>
      <c r="AHT35" s="335"/>
      <c r="AHU35" s="335"/>
      <c r="AHV35" s="335"/>
      <c r="AHW35" s="335"/>
      <c r="AHX35" s="335"/>
      <c r="AHY35" s="335"/>
      <c r="AHZ35" s="335"/>
      <c r="AIA35" s="335"/>
      <c r="AIB35" s="335"/>
      <c r="AIC35" s="339"/>
    </row>
    <row r="36" spans="1:913" s="161" customFormat="1">
      <c r="A36" s="172"/>
      <c r="B36" s="177">
        <v>0.75</v>
      </c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216"/>
      <c r="P36" s="216"/>
      <c r="Q36" s="216"/>
      <c r="R36" s="216"/>
      <c r="S36" s="216"/>
      <c r="T36" s="216"/>
      <c r="U36" s="216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6"/>
      <c r="AI36" s="216"/>
      <c r="AJ36" s="216"/>
      <c r="AK36" s="216"/>
      <c r="AL36" s="216"/>
      <c r="AM36" s="216"/>
      <c r="AN36" s="216"/>
      <c r="AO36" s="216"/>
      <c r="AP36" s="216"/>
      <c r="AQ36" s="216"/>
      <c r="AR36" s="216"/>
      <c r="AS36" s="216"/>
      <c r="AT36" s="216"/>
      <c r="AU36" s="216"/>
      <c r="AV36" s="216"/>
      <c r="AW36" s="216"/>
      <c r="AX36" s="216"/>
      <c r="AY36" s="216"/>
      <c r="AZ36" s="216"/>
      <c r="BA36" s="216"/>
      <c r="BB36" s="216"/>
      <c r="BC36" s="216"/>
      <c r="BD36" s="216"/>
      <c r="BE36" s="216"/>
      <c r="BF36" s="216"/>
      <c r="BG36" s="216"/>
      <c r="BH36" s="216"/>
      <c r="BI36" s="216"/>
      <c r="BJ36" s="216"/>
      <c r="BK36" s="216"/>
      <c r="BL36" s="216"/>
      <c r="BM36" s="216"/>
      <c r="BN36" s="216"/>
      <c r="BO36" s="216"/>
      <c r="BP36" s="216"/>
      <c r="BQ36" s="216"/>
      <c r="BR36" s="216"/>
      <c r="BS36" s="216"/>
      <c r="BT36" s="216"/>
      <c r="BU36" s="216"/>
      <c r="BV36" s="216"/>
      <c r="BW36" s="216"/>
      <c r="BX36" s="216"/>
      <c r="BY36" s="216"/>
      <c r="BZ36" s="216"/>
      <c r="CA36" s="216"/>
      <c r="CB36" s="216"/>
      <c r="CC36" s="216"/>
      <c r="CD36" s="216"/>
      <c r="CE36" s="216"/>
      <c r="CF36" s="216"/>
      <c r="CG36" s="216"/>
      <c r="CH36" s="216"/>
      <c r="CI36" s="216"/>
      <c r="CJ36" s="216"/>
      <c r="CK36" s="216"/>
      <c r="CL36" s="216"/>
      <c r="CM36" s="216"/>
      <c r="CN36" s="216"/>
      <c r="CO36" s="216"/>
      <c r="CP36" s="216"/>
      <c r="CQ36" s="190"/>
      <c r="CR36" s="216"/>
      <c r="CS36" s="216"/>
      <c r="CT36" s="216"/>
      <c r="CU36" s="216"/>
      <c r="CV36" s="216"/>
      <c r="CW36" s="216"/>
      <c r="CX36" s="216"/>
      <c r="CY36" s="216"/>
      <c r="CZ36" s="216"/>
      <c r="DA36" s="216"/>
      <c r="DB36" s="216"/>
      <c r="DC36" s="216"/>
      <c r="DD36" s="216"/>
      <c r="DE36" s="216"/>
      <c r="DF36" s="216"/>
      <c r="DG36" s="216"/>
      <c r="DH36" s="216"/>
      <c r="DI36" s="216"/>
      <c r="DJ36" s="216"/>
      <c r="DK36" s="216"/>
      <c r="DL36" s="216"/>
      <c r="DM36" s="216"/>
      <c r="DN36" s="216"/>
      <c r="DO36" s="216"/>
      <c r="DP36" s="216"/>
      <c r="DQ36" s="216"/>
      <c r="DR36" s="216"/>
      <c r="DS36" s="216"/>
      <c r="DT36" s="216"/>
      <c r="DU36" s="216"/>
      <c r="DV36" s="216"/>
      <c r="DW36" s="216"/>
      <c r="DX36" s="216"/>
      <c r="DY36" s="216"/>
      <c r="DZ36" s="216"/>
      <c r="EA36" s="216"/>
      <c r="EB36" s="216"/>
      <c r="EC36" s="216"/>
      <c r="ED36" s="216"/>
      <c r="EE36" s="216"/>
      <c r="EF36" s="216"/>
      <c r="EG36" s="216"/>
      <c r="EH36" s="216"/>
      <c r="EI36" s="216"/>
      <c r="EJ36" s="216"/>
      <c r="EK36" s="216"/>
      <c r="EL36" s="216"/>
      <c r="EM36" s="216"/>
      <c r="EN36" s="216"/>
      <c r="EO36" s="216"/>
      <c r="EP36" s="216"/>
      <c r="EQ36" s="216"/>
      <c r="ER36" s="216"/>
      <c r="ES36" s="216"/>
      <c r="ET36" s="216"/>
      <c r="EU36" s="216"/>
      <c r="EV36" s="216"/>
      <c r="EW36" s="216"/>
      <c r="EX36" s="216"/>
      <c r="EY36" s="216"/>
      <c r="EZ36" s="216"/>
      <c r="FA36" s="216"/>
      <c r="FB36" s="216"/>
      <c r="FC36" s="216"/>
      <c r="FD36" s="216"/>
      <c r="FE36" s="216"/>
      <c r="FF36" s="216"/>
      <c r="FG36" s="216"/>
      <c r="FH36" s="216"/>
      <c r="FI36" s="216"/>
      <c r="FJ36" s="216"/>
      <c r="FK36" s="216"/>
      <c r="FL36" s="216"/>
      <c r="FM36" s="216"/>
      <c r="FN36" s="216"/>
      <c r="FO36" s="216"/>
      <c r="FP36" s="216"/>
      <c r="FQ36" s="216"/>
      <c r="FR36" s="216"/>
      <c r="FS36" s="216"/>
      <c r="FT36" s="216"/>
      <c r="FU36" s="216"/>
      <c r="FV36" s="216"/>
      <c r="FW36" s="216"/>
      <c r="FX36" s="216"/>
      <c r="FY36" s="216"/>
      <c r="FZ36" s="216"/>
      <c r="GA36" s="216"/>
      <c r="GB36" s="216"/>
      <c r="GC36" s="217"/>
      <c r="GD36" s="217"/>
      <c r="GE36" s="217"/>
      <c r="GF36" s="217"/>
      <c r="GG36" s="216"/>
      <c r="GH36" s="216"/>
      <c r="GI36" s="216"/>
      <c r="GJ36" s="216"/>
      <c r="GK36" s="216"/>
      <c r="GL36" s="216"/>
      <c r="GM36" s="217"/>
      <c r="GN36" s="217"/>
      <c r="GO36" s="217"/>
      <c r="GP36" s="217"/>
      <c r="GQ36" s="217"/>
      <c r="GR36" s="218"/>
      <c r="GS36" s="217"/>
      <c r="GT36" s="217"/>
      <c r="GU36" s="216"/>
      <c r="GV36" s="216"/>
      <c r="GW36" s="216"/>
      <c r="GX36" s="216"/>
      <c r="GY36" s="190"/>
      <c r="GZ36" s="190"/>
      <c r="HA36" s="190"/>
      <c r="HB36" s="190"/>
      <c r="HC36" s="190"/>
      <c r="HD36" s="190"/>
      <c r="HE36" s="190"/>
      <c r="HF36" s="190"/>
      <c r="HG36" s="190"/>
      <c r="HH36" s="190"/>
      <c r="HI36" s="190"/>
      <c r="HJ36" s="190"/>
      <c r="HK36" s="190"/>
      <c r="HL36" s="190"/>
      <c r="HM36" s="190"/>
      <c r="HN36" s="190"/>
      <c r="HO36" s="190"/>
      <c r="HP36" s="190"/>
      <c r="HQ36" s="190"/>
      <c r="HR36" s="190"/>
      <c r="HS36" s="190"/>
      <c r="HT36" s="190"/>
      <c r="HU36" s="190"/>
      <c r="HV36" s="190"/>
      <c r="HW36" s="190"/>
      <c r="HX36" s="190"/>
      <c r="HY36" s="190"/>
      <c r="HZ36" s="190"/>
      <c r="IA36" s="190"/>
      <c r="IB36" s="190"/>
      <c r="IC36" s="190"/>
      <c r="ID36" s="190"/>
      <c r="IE36" s="190"/>
      <c r="IF36" s="190"/>
      <c r="IG36" s="190"/>
      <c r="IH36" s="190"/>
      <c r="II36" s="190"/>
      <c r="IJ36" s="190"/>
      <c r="IK36" s="190"/>
      <c r="IL36" s="190"/>
      <c r="IM36" s="190"/>
      <c r="IN36" s="190"/>
      <c r="IO36" s="190"/>
      <c r="IP36" s="190"/>
      <c r="IQ36" s="190"/>
      <c r="IR36" s="190"/>
      <c r="IS36" s="190"/>
      <c r="IT36" s="190"/>
      <c r="IU36" s="190"/>
      <c r="IV36" s="190"/>
      <c r="IW36" s="190"/>
      <c r="IX36" s="190"/>
      <c r="IY36" s="190"/>
      <c r="IZ36" s="190"/>
      <c r="JA36" s="190"/>
      <c r="JB36" s="190"/>
      <c r="JC36" s="190"/>
      <c r="JD36" s="190"/>
      <c r="JE36" s="190"/>
      <c r="JF36" s="190"/>
      <c r="JG36" s="190"/>
      <c r="JH36" s="190"/>
      <c r="JI36" s="190"/>
      <c r="JJ36" s="190"/>
      <c r="JK36" s="190"/>
      <c r="JL36" s="190"/>
      <c r="JM36" s="190"/>
      <c r="JN36" s="190"/>
      <c r="JO36" s="190"/>
      <c r="JP36" s="190"/>
      <c r="JQ36" s="190"/>
      <c r="JR36" s="190"/>
      <c r="JS36" s="190"/>
      <c r="JT36" s="190"/>
      <c r="JU36" s="190"/>
      <c r="JV36" s="190"/>
      <c r="JW36" s="190"/>
      <c r="JX36" s="190"/>
      <c r="JY36" s="190"/>
      <c r="JZ36" s="190"/>
      <c r="KA36" s="190"/>
      <c r="KB36" s="190"/>
      <c r="KC36" s="190"/>
      <c r="KD36" s="190"/>
      <c r="KE36" s="190"/>
      <c r="KF36" s="190"/>
      <c r="KG36" s="190"/>
      <c r="KH36" s="190"/>
      <c r="KI36" s="190"/>
      <c r="KJ36" s="190"/>
      <c r="KK36" s="190"/>
      <c r="KL36" s="190"/>
      <c r="KM36" s="190"/>
      <c r="KN36" s="190"/>
      <c r="KO36" s="190"/>
      <c r="KP36" s="190"/>
      <c r="KQ36" s="190"/>
      <c r="KR36" s="190"/>
      <c r="KS36" s="190"/>
      <c r="KT36" s="190"/>
      <c r="KU36" s="190"/>
      <c r="KV36" s="190"/>
      <c r="KW36" s="190"/>
      <c r="KX36" s="190"/>
      <c r="KY36" s="190"/>
      <c r="KZ36" s="190"/>
      <c r="LA36" s="190"/>
      <c r="LB36" s="190"/>
      <c r="LC36" s="190"/>
      <c r="LD36" s="190"/>
      <c r="LE36" s="190"/>
      <c r="LF36" s="190"/>
      <c r="LG36" s="190"/>
      <c r="LH36" s="190"/>
      <c r="LI36" s="190"/>
      <c r="LJ36" s="190"/>
      <c r="LK36" s="190"/>
      <c r="LL36" s="190"/>
      <c r="LM36" s="190"/>
      <c r="LN36" s="190"/>
      <c r="LO36" s="190"/>
      <c r="LP36" s="190"/>
      <c r="LQ36" s="190"/>
      <c r="LR36" s="190"/>
      <c r="LS36" s="190"/>
      <c r="LT36" s="190"/>
      <c r="LU36" s="190"/>
      <c r="LV36" s="190"/>
      <c r="LW36" s="190"/>
      <c r="LX36" s="190"/>
      <c r="LY36" s="190"/>
      <c r="LZ36" s="190"/>
      <c r="MA36" s="190"/>
      <c r="MB36" s="190"/>
      <c r="MC36" s="190"/>
      <c r="MD36" s="190"/>
      <c r="ME36" s="190"/>
      <c r="MF36" s="190"/>
      <c r="MG36" s="190"/>
      <c r="MH36" s="190"/>
      <c r="MI36" s="190"/>
      <c r="MJ36" s="190"/>
      <c r="MK36" s="190"/>
      <c r="ML36" s="190"/>
      <c r="MM36" s="190"/>
      <c r="MN36" s="190"/>
      <c r="MO36" s="190"/>
      <c r="MP36" s="190"/>
      <c r="MQ36" s="190"/>
      <c r="MR36" s="190"/>
      <c r="MS36" s="190"/>
      <c r="MT36" s="190"/>
      <c r="MU36" s="190"/>
      <c r="MV36" s="190"/>
      <c r="MW36" s="190"/>
      <c r="MX36" s="190"/>
      <c r="MY36" s="190"/>
      <c r="MZ36" s="190"/>
      <c r="NA36" s="190"/>
      <c r="NB36" s="190"/>
      <c r="NC36" s="190"/>
      <c r="ND36" s="190"/>
      <c r="NE36" s="190"/>
      <c r="NF36" s="190"/>
      <c r="NG36" s="190"/>
      <c r="NH36" s="190"/>
      <c r="NI36" s="190"/>
      <c r="NJ36" s="190"/>
      <c r="NK36" s="190"/>
      <c r="NL36" s="190"/>
      <c r="NM36" s="190"/>
      <c r="NN36" s="190"/>
      <c r="NO36" s="190"/>
      <c r="NP36" s="190"/>
      <c r="NQ36" s="190"/>
      <c r="NR36" s="190"/>
      <c r="NS36" s="190"/>
      <c r="NT36" s="190"/>
      <c r="NU36" s="190"/>
      <c r="NV36" s="190"/>
      <c r="NW36" s="190"/>
      <c r="NX36" s="190"/>
      <c r="NY36" s="190"/>
      <c r="NZ36" s="190"/>
      <c r="OA36" s="190"/>
      <c r="OB36" s="190"/>
      <c r="OC36" s="190"/>
      <c r="OD36" s="190"/>
      <c r="OE36" s="190"/>
      <c r="OF36" s="190"/>
      <c r="OG36" s="190"/>
      <c r="OH36" s="190"/>
      <c r="OI36" s="190"/>
      <c r="OJ36" s="190"/>
      <c r="OK36" s="190"/>
      <c r="OL36" s="190"/>
      <c r="OM36" s="190"/>
      <c r="ON36" s="190"/>
      <c r="OO36" s="190"/>
      <c r="OP36" s="190"/>
      <c r="OQ36" s="190"/>
      <c r="OR36" s="190"/>
      <c r="OS36" s="190"/>
      <c r="OT36" s="190"/>
      <c r="OU36" s="190"/>
      <c r="OV36" s="190"/>
      <c r="OW36" s="190"/>
      <c r="OX36" s="190"/>
      <c r="OY36" s="190"/>
      <c r="OZ36" s="190"/>
      <c r="PA36" s="190"/>
      <c r="PB36" s="291"/>
      <c r="PC36" s="246"/>
      <c r="PD36" s="247"/>
      <c r="PE36" s="246"/>
      <c r="PF36" s="247"/>
      <c r="PG36" s="246"/>
      <c r="PH36" s="247"/>
      <c r="PI36" s="246"/>
      <c r="PJ36" s="247"/>
      <c r="PK36" s="190"/>
      <c r="PL36" s="291"/>
      <c r="PM36" s="246"/>
      <c r="PN36" s="247"/>
      <c r="PO36" s="292"/>
      <c r="PP36" s="247"/>
      <c r="PQ36" s="246"/>
      <c r="PR36" s="247"/>
      <c r="PS36" s="246"/>
      <c r="PT36" s="247"/>
      <c r="PU36" s="246"/>
      <c r="PV36" s="247"/>
      <c r="PW36" s="246"/>
      <c r="PX36" s="247"/>
      <c r="PY36" s="246"/>
      <c r="PZ36" s="247"/>
      <c r="QA36" s="246"/>
      <c r="QB36" s="247"/>
      <c r="QC36" s="246"/>
      <c r="QD36" s="247"/>
      <c r="QE36" s="246"/>
      <c r="QF36" s="247"/>
      <c r="QG36" s="246"/>
      <c r="QH36" s="247"/>
      <c r="QI36" s="246"/>
      <c r="QJ36" s="247"/>
      <c r="QK36" s="246"/>
      <c r="QL36" s="247"/>
      <c r="QM36" s="246"/>
      <c r="QN36" s="247"/>
      <c r="QO36" s="246"/>
      <c r="QP36" s="247"/>
      <c r="QQ36" s="246"/>
      <c r="QR36" s="247"/>
      <c r="QS36" s="246"/>
      <c r="QT36" s="247"/>
      <c r="QU36" s="246"/>
      <c r="QV36" s="247"/>
      <c r="QW36" s="246"/>
      <c r="QX36" s="247"/>
      <c r="QY36" s="246"/>
      <c r="QZ36" s="247"/>
      <c r="RA36" s="246"/>
      <c r="RB36" s="247"/>
      <c r="RC36" s="246"/>
      <c r="RD36" s="190"/>
      <c r="RE36" s="190"/>
      <c r="RF36" s="190"/>
      <c r="RG36" s="190"/>
      <c r="RH36" s="190"/>
      <c r="RI36" s="190"/>
      <c r="RJ36" s="190"/>
      <c r="RK36" s="190"/>
      <c r="RL36" s="190"/>
      <c r="RM36" s="190"/>
      <c r="RN36" s="190"/>
      <c r="RO36" s="190"/>
      <c r="RP36" s="190"/>
      <c r="RQ36" s="190"/>
      <c r="RR36" s="190"/>
      <c r="RS36" s="190"/>
      <c r="RT36" s="190"/>
      <c r="RU36" s="190"/>
      <c r="RV36" s="190"/>
      <c r="RW36" s="190"/>
      <c r="RX36" s="190"/>
      <c r="RY36" s="190"/>
      <c r="RZ36" s="190"/>
      <c r="SA36" s="190"/>
      <c r="SB36" s="190"/>
      <c r="SC36" s="190"/>
      <c r="SD36" s="190"/>
      <c r="SE36" s="190"/>
      <c r="SF36" s="190"/>
      <c r="SG36" s="190"/>
      <c r="SH36" s="190"/>
      <c r="SI36" s="190"/>
      <c r="SJ36" s="190"/>
      <c r="SK36" s="190"/>
      <c r="SL36" s="190"/>
      <c r="SM36" s="190"/>
      <c r="SN36" s="190"/>
      <c r="SO36" s="190"/>
      <c r="SP36" s="190"/>
      <c r="SQ36" s="190"/>
      <c r="SR36" s="190"/>
      <c r="SS36" s="190"/>
      <c r="ST36" s="190"/>
      <c r="SU36" s="190"/>
      <c r="SV36" s="190"/>
      <c r="SW36" s="190"/>
      <c r="SX36" s="190"/>
      <c r="SY36" s="190"/>
      <c r="SZ36" s="190"/>
      <c r="TA36" s="190"/>
      <c r="TB36" s="190"/>
      <c r="TC36" s="190"/>
      <c r="TD36" s="190"/>
      <c r="TE36" s="190"/>
      <c r="TF36" s="190"/>
      <c r="TG36" s="190"/>
      <c r="TH36" s="190"/>
      <c r="TI36" s="190"/>
      <c r="TJ36" s="190"/>
      <c r="TK36" s="190"/>
      <c r="TL36" s="190"/>
      <c r="TM36" s="190"/>
      <c r="TN36" s="190"/>
      <c r="TO36" s="190"/>
      <c r="TP36" s="190"/>
      <c r="TQ36" s="190"/>
      <c r="TR36" s="190"/>
      <c r="TS36" s="190"/>
      <c r="TT36" s="190"/>
      <c r="TU36" s="190"/>
      <c r="TV36" s="190"/>
      <c r="TW36" s="190"/>
      <c r="TX36" s="190"/>
      <c r="TY36" s="190"/>
      <c r="TZ36" s="190"/>
      <c r="UA36" s="190"/>
      <c r="UB36" s="190"/>
      <c r="UC36" s="190"/>
      <c r="UD36" s="190"/>
      <c r="UE36" s="190"/>
      <c r="UF36" s="190"/>
      <c r="UG36" s="190"/>
      <c r="UH36" s="190"/>
      <c r="UI36" s="190"/>
      <c r="UJ36" s="190"/>
      <c r="UK36" s="190"/>
      <c r="UL36" s="190"/>
      <c r="UM36" s="190"/>
      <c r="UN36" s="190"/>
      <c r="UO36" s="190"/>
      <c r="UP36" s="190"/>
      <c r="UQ36" s="190"/>
      <c r="UR36" s="190"/>
      <c r="US36" s="190"/>
      <c r="UT36" s="190"/>
      <c r="UU36" s="190"/>
      <c r="UV36" s="190"/>
      <c r="UW36" s="190"/>
      <c r="UX36" s="190"/>
      <c r="UY36" s="190"/>
      <c r="UZ36" s="190"/>
      <c r="VA36" s="190"/>
      <c r="VB36" s="190"/>
      <c r="VC36" s="190"/>
      <c r="VD36" s="190"/>
      <c r="VE36" s="190"/>
      <c r="VF36" s="190"/>
      <c r="VG36" s="190"/>
      <c r="VH36" s="190"/>
      <c r="VI36" s="190"/>
      <c r="VJ36" s="190"/>
      <c r="VK36" s="190"/>
      <c r="VL36" s="190"/>
      <c r="VM36" s="190"/>
      <c r="VN36" s="190"/>
      <c r="VO36" s="190"/>
      <c r="VP36" s="190"/>
      <c r="VQ36" s="190"/>
      <c r="VR36" s="190"/>
      <c r="VS36" s="190"/>
      <c r="VT36" s="190"/>
      <c r="VU36" s="190"/>
      <c r="VV36" s="190"/>
      <c r="VW36" s="190"/>
      <c r="VX36" s="190"/>
      <c r="VY36" s="190"/>
      <c r="VZ36" s="190"/>
      <c r="WA36" s="190"/>
      <c r="WB36" s="190"/>
      <c r="WC36" s="190"/>
      <c r="WD36" s="190"/>
      <c r="WE36" s="190"/>
      <c r="WF36" s="190"/>
      <c r="WG36" s="190"/>
      <c r="WH36" s="190"/>
      <c r="WI36" s="190"/>
      <c r="WJ36" s="190"/>
      <c r="WK36" s="190"/>
      <c r="WL36" s="190"/>
      <c r="WM36" s="190"/>
      <c r="WN36" s="190"/>
      <c r="WO36" s="190"/>
      <c r="WP36" s="190"/>
      <c r="WQ36" s="190"/>
      <c r="WR36" s="190"/>
      <c r="WS36" s="190"/>
      <c r="WT36" s="190"/>
      <c r="WU36" s="190"/>
      <c r="WV36" s="190"/>
      <c r="WW36" s="190"/>
      <c r="WX36" s="190"/>
      <c r="WY36" s="190"/>
      <c r="WZ36" s="190"/>
      <c r="XA36" s="190"/>
      <c r="XB36" s="190"/>
      <c r="XC36" s="190"/>
      <c r="XD36" s="190"/>
      <c r="XE36" s="190"/>
      <c r="XF36" s="190"/>
      <c r="XG36" s="190"/>
      <c r="XH36" s="190"/>
      <c r="XI36" s="190"/>
      <c r="XJ36" s="190"/>
      <c r="XK36" s="190"/>
      <c r="XL36" s="190"/>
      <c r="XM36" s="190"/>
      <c r="XN36" s="190"/>
      <c r="XO36" s="190"/>
      <c r="XP36" s="190"/>
      <c r="XQ36" s="190"/>
      <c r="XR36" s="190"/>
      <c r="XS36" s="190"/>
      <c r="XT36" s="190"/>
      <c r="XU36" s="190"/>
      <c r="XV36" s="190"/>
      <c r="XW36" s="190"/>
      <c r="XX36" s="190"/>
      <c r="XY36" s="190"/>
      <c r="XZ36" s="190"/>
      <c r="YA36" s="190"/>
      <c r="YB36" s="190"/>
      <c r="YC36" s="190"/>
      <c r="YD36" s="190"/>
      <c r="YE36" s="190"/>
      <c r="YF36" s="190"/>
      <c r="YG36" s="190"/>
      <c r="YH36" s="190"/>
      <c r="YI36" s="190"/>
      <c r="YJ36" s="190"/>
      <c r="YK36" s="190"/>
      <c r="YL36" s="190"/>
      <c r="YM36" s="190"/>
      <c r="YN36" s="190"/>
      <c r="YO36" s="190"/>
      <c r="YP36" s="190"/>
      <c r="YQ36" s="190"/>
      <c r="YR36" s="190"/>
      <c r="YS36" s="190"/>
      <c r="YT36" s="190"/>
      <c r="YU36" s="190"/>
      <c r="YV36" s="190"/>
      <c r="YW36" s="190"/>
      <c r="YX36" s="190"/>
      <c r="YY36" s="190"/>
      <c r="YZ36" s="190"/>
      <c r="ZA36" s="190"/>
      <c r="ZB36" s="190"/>
      <c r="ZC36" s="190"/>
      <c r="ZD36" s="190"/>
      <c r="ZE36" s="190"/>
      <c r="ZF36" s="190"/>
      <c r="ZG36" s="190"/>
      <c r="ZH36" s="190"/>
      <c r="ZI36" s="190"/>
      <c r="ZJ36" s="190"/>
      <c r="ZK36" s="190"/>
      <c r="ZL36" s="190"/>
      <c r="ZM36" s="190"/>
      <c r="ZN36" s="190"/>
      <c r="ZO36" s="190"/>
      <c r="ZP36" s="190"/>
      <c r="ZQ36" s="190"/>
      <c r="ZR36" s="190"/>
      <c r="ZS36" s="190"/>
      <c r="ZT36" s="190"/>
      <c r="ZU36" s="190"/>
      <c r="ZV36" s="190"/>
      <c r="ZW36" s="190"/>
      <c r="ZX36" s="190"/>
      <c r="ZY36" s="190"/>
      <c r="ZZ36" s="190"/>
      <c r="AAA36" s="190"/>
      <c r="AAB36" s="190"/>
      <c r="AAC36" s="190"/>
      <c r="AAD36" s="190"/>
      <c r="AAE36" s="190"/>
      <c r="AAF36" s="190"/>
      <c r="AAG36" s="190"/>
      <c r="AAH36" s="190"/>
      <c r="AAI36" s="190"/>
      <c r="AAJ36" s="190"/>
      <c r="AAK36" s="190"/>
      <c r="AAL36" s="190"/>
      <c r="AAM36" s="190"/>
      <c r="AAN36" s="190"/>
      <c r="AAO36" s="190"/>
      <c r="AAP36" s="190"/>
      <c r="AAQ36" s="190"/>
      <c r="AAR36" s="190"/>
      <c r="AAS36" s="190"/>
      <c r="AAT36" s="190"/>
      <c r="AAU36" s="190"/>
      <c r="AAV36" s="190"/>
      <c r="AAW36" s="190"/>
      <c r="AAX36" s="190"/>
      <c r="AAY36" s="190"/>
      <c r="AAZ36" s="190"/>
      <c r="ABA36" s="190"/>
      <c r="ABB36" s="190"/>
      <c r="ABC36" s="190"/>
      <c r="ABD36" s="190"/>
      <c r="ABE36" s="336"/>
      <c r="ABF36" s="335"/>
      <c r="ABG36" s="335"/>
      <c r="ABH36" s="335"/>
      <c r="ABI36" s="335"/>
      <c r="ABJ36" s="335"/>
      <c r="ABK36" s="335"/>
      <c r="ABL36" s="335"/>
      <c r="ABM36" s="335"/>
      <c r="ABN36" s="335"/>
      <c r="ABO36" s="335"/>
      <c r="ABP36" s="335"/>
      <c r="ABQ36" s="335"/>
      <c r="ABR36" s="335"/>
      <c r="ABS36" s="335"/>
      <c r="ABT36" s="335"/>
      <c r="ABU36" s="335"/>
      <c r="ABV36" s="335"/>
      <c r="ABW36" s="335"/>
      <c r="ABX36" s="335"/>
      <c r="ABY36" s="335"/>
      <c r="ABZ36" s="335"/>
      <c r="ACA36" s="335"/>
      <c r="ACB36" s="335"/>
      <c r="ACC36" s="335"/>
      <c r="ACD36" s="335"/>
      <c r="ACE36" s="335"/>
      <c r="ACF36" s="335"/>
      <c r="ACG36" s="335"/>
      <c r="ACH36" s="335"/>
      <c r="ACI36" s="335"/>
      <c r="ACJ36" s="335"/>
      <c r="ACK36" s="335"/>
      <c r="ACL36" s="335"/>
      <c r="ACM36" s="335"/>
      <c r="ACN36" s="335"/>
      <c r="ACO36" s="335"/>
      <c r="ACP36" s="335"/>
      <c r="ACQ36" s="335"/>
      <c r="ACR36" s="335"/>
      <c r="ACS36" s="335"/>
      <c r="ACT36" s="335"/>
      <c r="ACU36" s="335"/>
      <c r="ACV36" s="335"/>
      <c r="ACW36" s="335"/>
      <c r="ACX36" s="335"/>
      <c r="ACY36" s="335"/>
      <c r="ACZ36" s="335"/>
      <c r="ADA36" s="335"/>
      <c r="ADB36" s="335"/>
      <c r="ADC36" s="335"/>
      <c r="ADD36" s="335"/>
      <c r="ADE36" s="335"/>
      <c r="ADF36" s="335"/>
      <c r="ADG36" s="335"/>
      <c r="ADH36" s="335"/>
      <c r="ADI36" s="335"/>
      <c r="ADJ36" s="335"/>
      <c r="ADK36" s="335"/>
      <c r="ADL36" s="335"/>
      <c r="ADM36" s="335"/>
      <c r="ADN36" s="335"/>
      <c r="ADO36" s="335"/>
      <c r="ADP36" s="335"/>
      <c r="ADQ36" s="335"/>
      <c r="ADR36" s="335"/>
      <c r="ADS36" s="335"/>
      <c r="ADT36" s="335"/>
      <c r="ADU36" s="335"/>
      <c r="ADV36" s="335"/>
      <c r="ADW36" s="335"/>
      <c r="ADX36" s="335"/>
      <c r="ADY36" s="335"/>
      <c r="ADZ36" s="335"/>
      <c r="AEA36" s="335"/>
      <c r="AEB36" s="335"/>
      <c r="AEC36" s="335"/>
      <c r="AED36" s="335"/>
      <c r="AEE36" s="335"/>
      <c r="AEF36" s="335"/>
      <c r="AEG36" s="335"/>
      <c r="AEH36" s="335"/>
      <c r="AEI36" s="335"/>
      <c r="AEJ36" s="335"/>
      <c r="AEK36" s="335"/>
      <c r="AEL36" s="335"/>
      <c r="AEM36" s="335"/>
      <c r="AEN36" s="335"/>
      <c r="AEO36" s="335"/>
      <c r="AEP36" s="335"/>
      <c r="AEQ36" s="335"/>
      <c r="AER36" s="335"/>
      <c r="AES36" s="335"/>
      <c r="AET36" s="335"/>
      <c r="AEU36" s="335"/>
      <c r="AEV36" s="335"/>
      <c r="AEW36" s="335"/>
      <c r="AEX36" s="335"/>
      <c r="AEY36" s="335"/>
      <c r="AEZ36" s="335"/>
      <c r="AFA36" s="335"/>
      <c r="AFB36" s="335"/>
      <c r="AFC36" s="335"/>
      <c r="AFD36" s="335"/>
      <c r="AFE36" s="335"/>
      <c r="AFF36" s="335"/>
      <c r="AFG36" s="335"/>
      <c r="AFH36" s="335"/>
      <c r="AFI36" s="335"/>
      <c r="AFJ36" s="335"/>
      <c r="AFK36" s="335"/>
      <c r="AFL36" s="335"/>
      <c r="AFM36" s="335"/>
      <c r="AFN36" s="335"/>
      <c r="AFO36" s="335"/>
      <c r="AFP36" s="335"/>
      <c r="AFQ36" s="335"/>
      <c r="AFR36" s="335"/>
      <c r="AFS36" s="335"/>
      <c r="AFT36" s="335"/>
      <c r="AFU36" s="335"/>
      <c r="AFV36" s="335"/>
      <c r="AFW36" s="335"/>
      <c r="AFX36" s="335"/>
      <c r="AFY36" s="335"/>
      <c r="AFZ36" s="335"/>
      <c r="AGA36" s="335"/>
      <c r="AGB36" s="335"/>
      <c r="AGC36" s="335"/>
      <c r="AGD36" s="335"/>
      <c r="AGE36" s="335"/>
      <c r="AGF36" s="335"/>
      <c r="AGG36" s="335"/>
      <c r="AGH36" s="335"/>
      <c r="AGI36" s="335"/>
      <c r="AGJ36" s="335"/>
      <c r="AGK36" s="335"/>
      <c r="AGL36" s="335"/>
      <c r="AGM36" s="335"/>
      <c r="AGN36" s="335"/>
      <c r="AGO36" s="335"/>
      <c r="AGP36" s="335"/>
      <c r="AGQ36" s="335"/>
      <c r="AGR36" s="335"/>
      <c r="AGS36" s="335"/>
      <c r="AGT36" s="335"/>
      <c r="AGU36" s="335"/>
      <c r="AGV36" s="335"/>
      <c r="AGW36" s="335"/>
      <c r="AGX36" s="335"/>
      <c r="AGY36" s="335"/>
      <c r="AGZ36" s="335"/>
      <c r="AHA36" s="335"/>
      <c r="AHB36" s="335"/>
      <c r="AHC36" s="335"/>
      <c r="AHD36" s="335"/>
      <c r="AHE36" s="335"/>
      <c r="AHF36" s="335"/>
      <c r="AHG36" s="335"/>
      <c r="AHH36" s="335"/>
      <c r="AHI36" s="335"/>
      <c r="AHJ36" s="335"/>
      <c r="AHK36" s="335"/>
      <c r="AHL36" s="335"/>
      <c r="AHM36" s="335"/>
      <c r="AHN36" s="335"/>
      <c r="AHO36" s="335"/>
      <c r="AHP36" s="335"/>
      <c r="AHQ36" s="335"/>
      <c r="AHR36" s="335"/>
      <c r="AHS36" s="335"/>
      <c r="AHT36" s="335"/>
      <c r="AHU36" s="335"/>
      <c r="AHV36" s="335"/>
      <c r="AHW36" s="335"/>
      <c r="AHX36" s="335"/>
      <c r="AHY36" s="335"/>
      <c r="AHZ36" s="335"/>
      <c r="AIA36" s="335"/>
      <c r="AIB36" s="335"/>
      <c r="AIC36" s="339"/>
    </row>
    <row r="37" spans="1:913" s="161" customFormat="1">
      <c r="A37" s="172"/>
      <c r="B37" s="177">
        <v>0.79166666666666696</v>
      </c>
      <c r="C37" s="190"/>
      <c r="D37" s="190"/>
      <c r="E37" s="190"/>
      <c r="F37" s="190"/>
      <c r="G37" s="190"/>
      <c r="H37" s="190"/>
      <c r="I37" s="190"/>
      <c r="J37" s="190"/>
      <c r="K37" s="190"/>
      <c r="L37" s="190"/>
      <c r="M37" s="190"/>
      <c r="N37" s="190"/>
      <c r="O37" s="216"/>
      <c r="P37" s="216"/>
      <c r="Q37" s="216"/>
      <c r="R37" s="216"/>
      <c r="S37" s="216"/>
      <c r="T37" s="216"/>
      <c r="U37" s="216"/>
      <c r="V37" s="216"/>
      <c r="W37" s="216"/>
      <c r="X37" s="190"/>
      <c r="Y37" s="216"/>
      <c r="Z37" s="216"/>
      <c r="AA37" s="216"/>
      <c r="AB37" s="216"/>
      <c r="AC37" s="216"/>
      <c r="AD37" s="216"/>
      <c r="AE37" s="216"/>
      <c r="AF37" s="216"/>
      <c r="AG37" s="216"/>
      <c r="AH37" s="216"/>
      <c r="AI37" s="216"/>
      <c r="AJ37" s="216"/>
      <c r="AK37" s="216"/>
      <c r="AL37" s="216"/>
      <c r="AM37" s="216"/>
      <c r="AN37" s="216"/>
      <c r="AO37" s="216"/>
      <c r="AP37" s="216"/>
      <c r="AQ37" s="216"/>
      <c r="AR37" s="216"/>
      <c r="AS37" s="216"/>
      <c r="AT37" s="216"/>
      <c r="AU37" s="216"/>
      <c r="AV37" s="216"/>
      <c r="AW37" s="216"/>
      <c r="AX37" s="216"/>
      <c r="AY37" s="216"/>
      <c r="AZ37" s="216"/>
      <c r="BA37" s="216"/>
      <c r="BB37" s="216"/>
      <c r="BC37" s="216"/>
      <c r="BD37" s="216"/>
      <c r="BE37" s="216"/>
      <c r="BF37" s="216"/>
      <c r="BG37" s="216"/>
      <c r="BH37" s="216"/>
      <c r="BI37" s="216"/>
      <c r="BJ37" s="216"/>
      <c r="BK37" s="216"/>
      <c r="BL37" s="216"/>
      <c r="BM37" s="216"/>
      <c r="BN37" s="216"/>
      <c r="BO37" s="216"/>
      <c r="BP37" s="216"/>
      <c r="BQ37" s="216"/>
      <c r="BR37" s="216"/>
      <c r="BS37" s="216"/>
      <c r="BT37" s="216"/>
      <c r="BU37" s="216"/>
      <c r="BV37" s="216"/>
      <c r="BW37" s="216"/>
      <c r="BX37" s="216"/>
      <c r="BY37" s="216"/>
      <c r="BZ37" s="216"/>
      <c r="CA37" s="216"/>
      <c r="CB37" s="216"/>
      <c r="CC37" s="216"/>
      <c r="CD37" s="216"/>
      <c r="CE37" s="216"/>
      <c r="CF37" s="216"/>
      <c r="CG37" s="216"/>
      <c r="CH37" s="216"/>
      <c r="CI37" s="216"/>
      <c r="CJ37" s="216"/>
      <c r="CK37" s="216"/>
      <c r="CL37" s="216"/>
      <c r="CM37" s="216"/>
      <c r="CN37" s="216"/>
      <c r="CO37" s="216"/>
      <c r="CP37" s="216"/>
      <c r="CQ37" s="190"/>
      <c r="CR37" s="216"/>
      <c r="CS37" s="216"/>
      <c r="CT37" s="216"/>
      <c r="CU37" s="216"/>
      <c r="CV37" s="216"/>
      <c r="CW37" s="216"/>
      <c r="CX37" s="216"/>
      <c r="CY37" s="216"/>
      <c r="CZ37" s="216"/>
      <c r="DA37" s="216"/>
      <c r="DB37" s="216"/>
      <c r="DC37" s="216"/>
      <c r="DD37" s="216"/>
      <c r="DE37" s="216"/>
      <c r="DF37" s="216"/>
      <c r="DG37" s="216"/>
      <c r="DH37" s="216"/>
      <c r="DI37" s="216"/>
      <c r="DJ37" s="216"/>
      <c r="DK37" s="216"/>
      <c r="DL37" s="216"/>
      <c r="DM37" s="216"/>
      <c r="DN37" s="216"/>
      <c r="DO37" s="216"/>
      <c r="DP37" s="216"/>
      <c r="DQ37" s="216"/>
      <c r="DR37" s="216"/>
      <c r="DS37" s="216"/>
      <c r="DT37" s="216"/>
      <c r="DU37" s="216"/>
      <c r="DV37" s="216"/>
      <c r="DW37" s="216"/>
      <c r="DX37" s="216"/>
      <c r="DY37" s="216"/>
      <c r="DZ37" s="216"/>
      <c r="EA37" s="216"/>
      <c r="EB37" s="216"/>
      <c r="EC37" s="216"/>
      <c r="ED37" s="216"/>
      <c r="EE37" s="216"/>
      <c r="EF37" s="216"/>
      <c r="EG37" s="216"/>
      <c r="EH37" s="216"/>
      <c r="EI37" s="216"/>
      <c r="EJ37" s="216"/>
      <c r="EK37" s="216"/>
      <c r="EL37" s="216"/>
      <c r="EM37" s="216"/>
      <c r="EN37" s="216"/>
      <c r="EO37" s="216"/>
      <c r="EP37" s="216"/>
      <c r="EQ37" s="216"/>
      <c r="ER37" s="216"/>
      <c r="ES37" s="216"/>
      <c r="ET37" s="216"/>
      <c r="EU37" s="216"/>
      <c r="EV37" s="216"/>
      <c r="EW37" s="216"/>
      <c r="EX37" s="216"/>
      <c r="EY37" s="216"/>
      <c r="EZ37" s="216"/>
      <c r="FA37" s="216"/>
      <c r="FB37" s="216"/>
      <c r="FC37" s="216"/>
      <c r="FD37" s="216"/>
      <c r="FE37" s="216"/>
      <c r="FF37" s="216"/>
      <c r="FG37" s="216"/>
      <c r="FH37" s="216"/>
      <c r="FI37" s="216"/>
      <c r="FJ37" s="216"/>
      <c r="FK37" s="216"/>
      <c r="FL37" s="216"/>
      <c r="FM37" s="216"/>
      <c r="FN37" s="216"/>
      <c r="FO37" s="216"/>
      <c r="FP37" s="216"/>
      <c r="FQ37" s="216"/>
      <c r="FR37" s="216"/>
      <c r="FS37" s="216"/>
      <c r="FT37" s="216"/>
      <c r="FU37" s="216"/>
      <c r="FV37" s="216"/>
      <c r="FW37" s="216"/>
      <c r="FX37" s="216"/>
      <c r="FY37" s="216"/>
      <c r="FZ37" s="216"/>
      <c r="GA37" s="216"/>
      <c r="GB37" s="216"/>
      <c r="GC37" s="217"/>
      <c r="GD37" s="217"/>
      <c r="GE37" s="217"/>
      <c r="GF37" s="217"/>
      <c r="GG37" s="216"/>
      <c r="GH37" s="216"/>
      <c r="GI37" s="216"/>
      <c r="GJ37" s="216"/>
      <c r="GK37" s="216"/>
      <c r="GL37" s="216"/>
      <c r="GM37" s="217"/>
      <c r="GN37" s="217"/>
      <c r="GO37" s="217"/>
      <c r="GP37" s="217"/>
      <c r="GQ37" s="217"/>
      <c r="GR37" s="218"/>
      <c r="GS37" s="217"/>
      <c r="GT37" s="217"/>
      <c r="GU37" s="216"/>
      <c r="GV37" s="216"/>
      <c r="GW37" s="216"/>
      <c r="GX37" s="216"/>
      <c r="GY37" s="190"/>
      <c r="GZ37" s="190"/>
      <c r="HA37" s="190"/>
      <c r="HB37" s="190"/>
      <c r="HC37" s="190"/>
      <c r="HD37" s="190"/>
      <c r="HE37" s="190"/>
      <c r="HF37" s="190"/>
      <c r="HG37" s="190"/>
      <c r="HH37" s="190"/>
      <c r="HI37" s="190"/>
      <c r="HJ37" s="190"/>
      <c r="HK37" s="190"/>
      <c r="HL37" s="190"/>
      <c r="HM37" s="190"/>
      <c r="HN37" s="190"/>
      <c r="HO37" s="190"/>
      <c r="HP37" s="190"/>
      <c r="HQ37" s="190"/>
      <c r="HR37" s="190"/>
      <c r="HS37" s="190"/>
      <c r="HT37" s="190"/>
      <c r="HU37" s="190"/>
      <c r="HV37" s="190"/>
      <c r="HW37" s="190"/>
      <c r="HX37" s="190"/>
      <c r="HY37" s="190"/>
      <c r="HZ37" s="190"/>
      <c r="IA37" s="190"/>
      <c r="IB37" s="190"/>
      <c r="IC37" s="190"/>
      <c r="ID37" s="190"/>
      <c r="IE37" s="190"/>
      <c r="IF37" s="190"/>
      <c r="IG37" s="190"/>
      <c r="IH37" s="190"/>
      <c r="II37" s="190"/>
      <c r="IJ37" s="190"/>
      <c r="IK37" s="190"/>
      <c r="IL37" s="190"/>
      <c r="IM37" s="190"/>
      <c r="IN37" s="190"/>
      <c r="IO37" s="190"/>
      <c r="IP37" s="190"/>
      <c r="IQ37" s="190"/>
      <c r="IR37" s="190"/>
      <c r="IS37" s="190"/>
      <c r="IT37" s="190"/>
      <c r="IU37" s="190"/>
      <c r="IV37" s="190"/>
      <c r="IW37" s="190"/>
      <c r="IX37" s="190"/>
      <c r="IY37" s="190"/>
      <c r="IZ37" s="190"/>
      <c r="JA37" s="190"/>
      <c r="JB37" s="190"/>
      <c r="JC37" s="190"/>
      <c r="JD37" s="190"/>
      <c r="JE37" s="190"/>
      <c r="JF37" s="190"/>
      <c r="JG37" s="190"/>
      <c r="JH37" s="190"/>
      <c r="JI37" s="190"/>
      <c r="JJ37" s="190"/>
      <c r="JK37" s="190"/>
      <c r="JL37" s="190"/>
      <c r="JM37" s="190"/>
      <c r="JN37" s="190"/>
      <c r="JO37" s="190"/>
      <c r="JP37" s="190"/>
      <c r="JQ37" s="190"/>
      <c r="JR37" s="190"/>
      <c r="JS37" s="190"/>
      <c r="JT37" s="190"/>
      <c r="JU37" s="190"/>
      <c r="JV37" s="190"/>
      <c r="JW37" s="190"/>
      <c r="JX37" s="190"/>
      <c r="JY37" s="190"/>
      <c r="JZ37" s="190"/>
      <c r="KA37" s="190"/>
      <c r="KB37" s="190"/>
      <c r="KC37" s="190"/>
      <c r="KD37" s="190"/>
      <c r="KE37" s="190"/>
      <c r="KF37" s="190"/>
      <c r="KG37" s="190"/>
      <c r="KH37" s="190"/>
      <c r="KI37" s="190"/>
      <c r="KJ37" s="190"/>
      <c r="KK37" s="190"/>
      <c r="KL37" s="190"/>
      <c r="KM37" s="190"/>
      <c r="KN37" s="190"/>
      <c r="KO37" s="190"/>
      <c r="KP37" s="190"/>
      <c r="KQ37" s="190"/>
      <c r="KR37" s="190"/>
      <c r="KS37" s="190"/>
      <c r="KT37" s="190"/>
      <c r="KU37" s="190"/>
      <c r="KV37" s="190"/>
      <c r="KW37" s="190"/>
      <c r="KX37" s="190"/>
      <c r="KY37" s="190"/>
      <c r="KZ37" s="190"/>
      <c r="LA37" s="190"/>
      <c r="LB37" s="190"/>
      <c r="LC37" s="190"/>
      <c r="LD37" s="190"/>
      <c r="LE37" s="190"/>
      <c r="LF37" s="190"/>
      <c r="LG37" s="190"/>
      <c r="LH37" s="190"/>
      <c r="LI37" s="190"/>
      <c r="LJ37" s="190"/>
      <c r="LK37" s="190"/>
      <c r="LL37" s="190"/>
      <c r="LM37" s="190"/>
      <c r="LN37" s="190"/>
      <c r="LO37" s="190"/>
      <c r="LP37" s="190"/>
      <c r="LQ37" s="190"/>
      <c r="LR37" s="190"/>
      <c r="LS37" s="190"/>
      <c r="LT37" s="190"/>
      <c r="LU37" s="190"/>
      <c r="LV37" s="190"/>
      <c r="LW37" s="190"/>
      <c r="LX37" s="190"/>
      <c r="LY37" s="190"/>
      <c r="LZ37" s="190"/>
      <c r="MA37" s="190"/>
      <c r="MB37" s="190"/>
      <c r="MC37" s="190"/>
      <c r="MD37" s="190"/>
      <c r="ME37" s="190"/>
      <c r="MF37" s="190"/>
      <c r="MG37" s="190"/>
      <c r="MH37" s="190"/>
      <c r="MI37" s="190"/>
      <c r="MJ37" s="190"/>
      <c r="MK37" s="190"/>
      <c r="ML37" s="190"/>
      <c r="MM37" s="190"/>
      <c r="MN37" s="190"/>
      <c r="MO37" s="190"/>
      <c r="MP37" s="190"/>
      <c r="MQ37" s="190"/>
      <c r="MR37" s="190"/>
      <c r="MS37" s="190"/>
      <c r="MT37" s="190"/>
      <c r="MU37" s="190"/>
      <c r="MV37" s="190"/>
      <c r="MW37" s="190"/>
      <c r="MX37" s="190"/>
      <c r="MY37" s="190"/>
      <c r="MZ37" s="190"/>
      <c r="NA37" s="190"/>
      <c r="NB37" s="190"/>
      <c r="NC37" s="190"/>
      <c r="ND37" s="190"/>
      <c r="NE37" s="190"/>
      <c r="NF37" s="190"/>
      <c r="NG37" s="190"/>
      <c r="NH37" s="190"/>
      <c r="NI37" s="190"/>
      <c r="NJ37" s="190"/>
      <c r="NK37" s="190"/>
      <c r="NL37" s="190"/>
      <c r="NM37" s="190"/>
      <c r="NN37" s="190"/>
      <c r="NO37" s="190"/>
      <c r="NP37" s="190"/>
      <c r="NQ37" s="190"/>
      <c r="NR37" s="190"/>
      <c r="NS37" s="190"/>
      <c r="NT37" s="190"/>
      <c r="NU37" s="190"/>
      <c r="NV37" s="190"/>
      <c r="NW37" s="190"/>
      <c r="NX37" s="190"/>
      <c r="NY37" s="190"/>
      <c r="NZ37" s="190"/>
      <c r="OA37" s="190"/>
      <c r="OB37" s="190"/>
      <c r="OC37" s="190"/>
      <c r="OD37" s="190"/>
      <c r="OE37" s="190"/>
      <c r="OF37" s="190"/>
      <c r="OG37" s="190"/>
      <c r="OH37" s="190"/>
      <c r="OI37" s="190"/>
      <c r="OJ37" s="190"/>
      <c r="OK37" s="190"/>
      <c r="OL37" s="190"/>
      <c r="OM37" s="190"/>
      <c r="ON37" s="190"/>
      <c r="OO37" s="190"/>
      <c r="OP37" s="190"/>
      <c r="OQ37" s="190"/>
      <c r="OR37" s="190"/>
      <c r="OS37" s="190"/>
      <c r="OT37" s="190"/>
      <c r="OU37" s="190"/>
      <c r="OV37" s="190"/>
      <c r="OW37" s="190"/>
      <c r="OX37" s="190"/>
      <c r="OY37" s="190"/>
      <c r="OZ37" s="190"/>
      <c r="PA37" s="190"/>
      <c r="PB37" s="291"/>
      <c r="PC37" s="246"/>
      <c r="PD37" s="247"/>
      <c r="PE37" s="246"/>
      <c r="PF37" s="247"/>
      <c r="PG37" s="246"/>
      <c r="PH37" s="247"/>
      <c r="PI37" s="246"/>
      <c r="PJ37" s="247"/>
      <c r="PK37" s="190"/>
      <c r="PL37" s="291"/>
      <c r="PM37" s="246"/>
      <c r="PN37" s="247"/>
      <c r="PO37" s="292"/>
      <c r="PP37" s="247"/>
      <c r="PQ37" s="246"/>
      <c r="PR37" s="247"/>
      <c r="PS37" s="246"/>
      <c r="PT37" s="247"/>
      <c r="PU37" s="246"/>
      <c r="PV37" s="247"/>
      <c r="PW37" s="246"/>
      <c r="PX37" s="247"/>
      <c r="PY37" s="246"/>
      <c r="PZ37" s="247"/>
      <c r="QA37" s="246"/>
      <c r="QB37" s="247"/>
      <c r="QC37" s="246"/>
      <c r="QD37" s="247"/>
      <c r="QE37" s="246"/>
      <c r="QF37" s="247"/>
      <c r="QG37" s="246"/>
      <c r="QH37" s="247"/>
      <c r="QI37" s="246"/>
      <c r="QJ37" s="247"/>
      <c r="QK37" s="246"/>
      <c r="QL37" s="247"/>
      <c r="QM37" s="246"/>
      <c r="QN37" s="247"/>
      <c r="QO37" s="246"/>
      <c r="QP37" s="247"/>
      <c r="QQ37" s="246"/>
      <c r="QR37" s="247"/>
      <c r="QS37" s="246"/>
      <c r="QT37" s="247"/>
      <c r="QU37" s="246"/>
      <c r="QV37" s="247"/>
      <c r="QW37" s="246"/>
      <c r="QX37" s="247"/>
      <c r="QY37" s="246"/>
      <c r="QZ37" s="247"/>
      <c r="RA37" s="246"/>
      <c r="RB37" s="247"/>
      <c r="RC37" s="246"/>
      <c r="RD37" s="190"/>
      <c r="RE37" s="190"/>
      <c r="RF37" s="190"/>
      <c r="RG37" s="190"/>
      <c r="RH37" s="190"/>
      <c r="RI37" s="190"/>
      <c r="RJ37" s="190"/>
      <c r="RK37" s="190"/>
      <c r="RL37" s="190"/>
      <c r="RM37" s="190"/>
      <c r="RN37" s="190"/>
      <c r="RO37" s="190"/>
      <c r="RP37" s="190"/>
      <c r="RQ37" s="190"/>
      <c r="RR37" s="190"/>
      <c r="RS37" s="190"/>
      <c r="RT37" s="190"/>
      <c r="RU37" s="190"/>
      <c r="RV37" s="190"/>
      <c r="RW37" s="190"/>
      <c r="RX37" s="190"/>
      <c r="RY37" s="190"/>
      <c r="RZ37" s="190"/>
      <c r="SA37" s="190"/>
      <c r="SB37" s="190"/>
      <c r="SC37" s="190"/>
      <c r="SD37" s="190"/>
      <c r="SE37" s="190"/>
      <c r="SF37" s="190"/>
      <c r="SG37" s="190"/>
      <c r="SH37" s="190"/>
      <c r="SI37" s="190"/>
      <c r="SJ37" s="190"/>
      <c r="SK37" s="190"/>
      <c r="SL37" s="190"/>
      <c r="SM37" s="190"/>
      <c r="SN37" s="190"/>
      <c r="SO37" s="190"/>
      <c r="SP37" s="190"/>
      <c r="SQ37" s="190"/>
      <c r="SR37" s="190"/>
      <c r="SS37" s="190"/>
      <c r="ST37" s="190"/>
      <c r="SU37" s="190"/>
      <c r="SV37" s="190"/>
      <c r="SW37" s="190"/>
      <c r="SX37" s="190"/>
      <c r="SY37" s="190"/>
      <c r="SZ37" s="190"/>
      <c r="TA37" s="190"/>
      <c r="TB37" s="190"/>
      <c r="TC37" s="190"/>
      <c r="TD37" s="190"/>
      <c r="TE37" s="190"/>
      <c r="TF37" s="190"/>
      <c r="TG37" s="190"/>
      <c r="TH37" s="190"/>
      <c r="TI37" s="190"/>
      <c r="TJ37" s="190"/>
      <c r="TK37" s="190"/>
      <c r="TL37" s="190"/>
      <c r="TM37" s="190"/>
      <c r="TN37" s="190"/>
      <c r="TO37" s="190"/>
      <c r="TP37" s="190"/>
      <c r="TQ37" s="190"/>
      <c r="TR37" s="190"/>
      <c r="TS37" s="190"/>
      <c r="TT37" s="190"/>
      <c r="TU37" s="190"/>
      <c r="TV37" s="190"/>
      <c r="TW37" s="190"/>
      <c r="TX37" s="190"/>
      <c r="TY37" s="190"/>
      <c r="TZ37" s="190"/>
      <c r="UA37" s="190"/>
      <c r="UB37" s="190"/>
      <c r="UC37" s="190"/>
      <c r="UD37" s="190"/>
      <c r="UE37" s="190"/>
      <c r="UF37" s="190"/>
      <c r="UG37" s="190"/>
      <c r="UH37" s="190"/>
      <c r="UI37" s="190"/>
      <c r="UJ37" s="190"/>
      <c r="UK37" s="190"/>
      <c r="UL37" s="190"/>
      <c r="UM37" s="190"/>
      <c r="UN37" s="190"/>
      <c r="UO37" s="190"/>
      <c r="UP37" s="190"/>
      <c r="UQ37" s="190"/>
      <c r="UR37" s="190"/>
      <c r="US37" s="190"/>
      <c r="UT37" s="190"/>
      <c r="UU37" s="190"/>
      <c r="UV37" s="190"/>
      <c r="UW37" s="190"/>
      <c r="UX37" s="190"/>
      <c r="UY37" s="190"/>
      <c r="UZ37" s="190"/>
      <c r="VA37" s="190"/>
      <c r="VB37" s="190"/>
      <c r="VC37" s="190"/>
      <c r="VD37" s="190"/>
      <c r="VE37" s="190"/>
      <c r="VF37" s="190"/>
      <c r="VG37" s="190"/>
      <c r="VH37" s="190"/>
      <c r="VI37" s="190"/>
      <c r="VJ37" s="190"/>
      <c r="VK37" s="190"/>
      <c r="VL37" s="190"/>
      <c r="VM37" s="190"/>
      <c r="VN37" s="190"/>
      <c r="VO37" s="190"/>
      <c r="VP37" s="190"/>
      <c r="VQ37" s="190"/>
      <c r="VR37" s="190"/>
      <c r="VS37" s="190"/>
      <c r="VT37" s="190"/>
      <c r="VU37" s="190"/>
      <c r="VV37" s="190"/>
      <c r="VW37" s="190"/>
      <c r="VX37" s="190"/>
      <c r="VY37" s="190"/>
      <c r="VZ37" s="190"/>
      <c r="WA37" s="190"/>
      <c r="WB37" s="190"/>
      <c r="WC37" s="190"/>
      <c r="WD37" s="190"/>
      <c r="WE37" s="190"/>
      <c r="WF37" s="190"/>
      <c r="WG37" s="190"/>
      <c r="WH37" s="190"/>
      <c r="WI37" s="190"/>
      <c r="WJ37" s="190"/>
      <c r="WK37" s="190"/>
      <c r="WL37" s="190"/>
      <c r="WM37" s="190"/>
      <c r="WN37" s="190"/>
      <c r="WO37" s="190"/>
      <c r="WP37" s="190"/>
      <c r="WQ37" s="190"/>
      <c r="WR37" s="190"/>
      <c r="WS37" s="190"/>
      <c r="WT37" s="190"/>
      <c r="WU37" s="190"/>
      <c r="WV37" s="190"/>
      <c r="WW37" s="190"/>
      <c r="WX37" s="190"/>
      <c r="WY37" s="190"/>
      <c r="WZ37" s="190"/>
      <c r="XA37" s="190"/>
      <c r="XB37" s="190"/>
      <c r="XC37" s="190"/>
      <c r="XD37" s="190"/>
      <c r="XE37" s="190"/>
      <c r="XF37" s="190"/>
      <c r="XG37" s="190"/>
      <c r="XH37" s="190"/>
      <c r="XI37" s="190"/>
      <c r="XJ37" s="190"/>
      <c r="XK37" s="190"/>
      <c r="XL37" s="190"/>
      <c r="XM37" s="190"/>
      <c r="XN37" s="190"/>
      <c r="XO37" s="190"/>
      <c r="XP37" s="190"/>
      <c r="XQ37" s="190"/>
      <c r="XR37" s="190"/>
      <c r="XS37" s="190"/>
      <c r="XT37" s="190"/>
      <c r="XU37" s="190"/>
      <c r="XV37" s="190"/>
      <c r="XW37" s="190"/>
      <c r="XX37" s="190"/>
      <c r="XY37" s="190"/>
      <c r="XZ37" s="190"/>
      <c r="YA37" s="190"/>
      <c r="YB37" s="190"/>
      <c r="YC37" s="190"/>
      <c r="YD37" s="190"/>
      <c r="YE37" s="190"/>
      <c r="YF37" s="190"/>
      <c r="YG37" s="190"/>
      <c r="YH37" s="190"/>
      <c r="YI37" s="190"/>
      <c r="YJ37" s="190"/>
      <c r="YK37" s="190"/>
      <c r="YL37" s="190"/>
      <c r="YM37" s="190"/>
      <c r="YN37" s="190"/>
      <c r="YO37" s="190"/>
      <c r="YP37" s="190"/>
      <c r="YQ37" s="190"/>
      <c r="YR37" s="190"/>
      <c r="YS37" s="190"/>
      <c r="YT37" s="190"/>
      <c r="YU37" s="190"/>
      <c r="YV37" s="190"/>
      <c r="YW37" s="190"/>
      <c r="YX37" s="190"/>
      <c r="YY37" s="190"/>
      <c r="YZ37" s="190"/>
      <c r="ZA37" s="190"/>
      <c r="ZB37" s="190"/>
      <c r="ZC37" s="190"/>
      <c r="ZD37" s="190"/>
      <c r="ZE37" s="190"/>
      <c r="ZF37" s="190"/>
      <c r="ZG37" s="190"/>
      <c r="ZH37" s="190"/>
      <c r="ZI37" s="190"/>
      <c r="ZJ37" s="190"/>
      <c r="ZK37" s="190"/>
      <c r="ZL37" s="190"/>
      <c r="ZM37" s="190"/>
      <c r="ZN37" s="190"/>
      <c r="ZO37" s="190"/>
      <c r="ZP37" s="190"/>
      <c r="ZQ37" s="190"/>
      <c r="ZR37" s="190"/>
      <c r="ZS37" s="190"/>
      <c r="ZT37" s="190"/>
      <c r="ZU37" s="190"/>
      <c r="ZV37" s="190"/>
      <c r="ZW37" s="190"/>
      <c r="ZX37" s="190"/>
      <c r="ZY37" s="190"/>
      <c r="ZZ37" s="190"/>
      <c r="AAA37" s="190"/>
      <c r="AAB37" s="190"/>
      <c r="AAC37" s="190"/>
      <c r="AAD37" s="190"/>
      <c r="AAE37" s="190"/>
      <c r="AAF37" s="190"/>
      <c r="AAG37" s="190"/>
      <c r="AAH37" s="190"/>
      <c r="AAI37" s="190"/>
      <c r="AAJ37" s="190"/>
      <c r="AAK37" s="190"/>
      <c r="AAL37" s="190"/>
      <c r="AAM37" s="190"/>
      <c r="AAN37" s="190"/>
      <c r="AAO37" s="190"/>
      <c r="AAP37" s="190"/>
      <c r="AAQ37" s="190"/>
      <c r="AAR37" s="190"/>
      <c r="AAS37" s="190"/>
      <c r="AAT37" s="190"/>
      <c r="AAU37" s="190"/>
      <c r="AAV37" s="190"/>
      <c r="AAW37" s="190"/>
      <c r="AAX37" s="190"/>
      <c r="AAY37" s="190"/>
      <c r="AAZ37" s="190"/>
      <c r="ABA37" s="190"/>
      <c r="ABB37" s="190"/>
      <c r="ABC37" s="190"/>
      <c r="ABD37" s="190"/>
      <c r="ABE37" s="336"/>
      <c r="ABF37" s="335"/>
      <c r="ABG37" s="335"/>
      <c r="ABH37" s="335"/>
      <c r="ABI37" s="335"/>
      <c r="ABJ37" s="335"/>
      <c r="ABK37" s="335"/>
      <c r="ABL37" s="335"/>
      <c r="ABM37" s="335"/>
      <c r="ABN37" s="335"/>
      <c r="ABO37" s="335"/>
      <c r="ABP37" s="335"/>
      <c r="ABQ37" s="335"/>
      <c r="ABR37" s="335"/>
      <c r="ABS37" s="335"/>
      <c r="ABT37" s="335"/>
      <c r="ABU37" s="335"/>
      <c r="ABV37" s="335"/>
      <c r="ABW37" s="335"/>
      <c r="ABX37" s="335"/>
      <c r="ABY37" s="335"/>
      <c r="ABZ37" s="335"/>
      <c r="ACA37" s="335"/>
      <c r="ACB37" s="335"/>
      <c r="ACC37" s="335"/>
      <c r="ACD37" s="335"/>
      <c r="ACE37" s="335"/>
      <c r="ACF37" s="335"/>
      <c r="ACG37" s="335"/>
      <c r="ACH37" s="335"/>
      <c r="ACI37" s="335"/>
      <c r="ACJ37" s="335"/>
      <c r="ACK37" s="335"/>
      <c r="ACL37" s="335"/>
      <c r="ACM37" s="335"/>
      <c r="ACN37" s="335"/>
      <c r="ACO37" s="335"/>
      <c r="ACP37" s="335"/>
      <c r="ACQ37" s="335"/>
      <c r="ACR37" s="335"/>
      <c r="ACS37" s="335"/>
      <c r="ACT37" s="335"/>
      <c r="ACU37" s="335"/>
      <c r="ACV37" s="335"/>
      <c r="ACW37" s="335"/>
      <c r="ACX37" s="335"/>
      <c r="ACY37" s="335"/>
      <c r="ACZ37" s="335"/>
      <c r="ADA37" s="335"/>
      <c r="ADB37" s="335"/>
      <c r="ADC37" s="335"/>
      <c r="ADD37" s="335"/>
      <c r="ADE37" s="335"/>
      <c r="ADF37" s="335"/>
      <c r="ADG37" s="335"/>
      <c r="ADH37" s="335"/>
      <c r="ADI37" s="335"/>
      <c r="ADJ37" s="335"/>
      <c r="ADK37" s="335"/>
      <c r="ADL37" s="335"/>
      <c r="ADM37" s="335"/>
      <c r="ADN37" s="335"/>
      <c r="ADO37" s="335"/>
      <c r="ADP37" s="335"/>
      <c r="ADQ37" s="335"/>
      <c r="ADR37" s="335"/>
      <c r="ADS37" s="335"/>
      <c r="ADT37" s="335"/>
      <c r="ADU37" s="335"/>
      <c r="ADV37" s="335"/>
      <c r="ADW37" s="335"/>
      <c r="ADX37" s="335"/>
      <c r="ADY37" s="335"/>
      <c r="ADZ37" s="335"/>
      <c r="AEA37" s="335"/>
      <c r="AEB37" s="335"/>
      <c r="AEC37" s="335"/>
      <c r="AED37" s="335"/>
      <c r="AEE37" s="335"/>
      <c r="AEF37" s="335"/>
      <c r="AEG37" s="335"/>
      <c r="AEH37" s="335"/>
      <c r="AEI37" s="335"/>
      <c r="AEJ37" s="335"/>
      <c r="AEK37" s="335"/>
      <c r="AEL37" s="335"/>
      <c r="AEM37" s="335"/>
      <c r="AEN37" s="335"/>
      <c r="AEO37" s="335"/>
      <c r="AEP37" s="335"/>
      <c r="AEQ37" s="335"/>
      <c r="AER37" s="335"/>
      <c r="AES37" s="335"/>
      <c r="AET37" s="335"/>
      <c r="AEU37" s="335"/>
      <c r="AEV37" s="335"/>
      <c r="AEW37" s="335"/>
      <c r="AEX37" s="335"/>
      <c r="AEY37" s="335"/>
      <c r="AEZ37" s="335"/>
      <c r="AFA37" s="335"/>
      <c r="AFB37" s="335"/>
      <c r="AFC37" s="335"/>
      <c r="AFD37" s="335"/>
      <c r="AFE37" s="335"/>
      <c r="AFF37" s="335"/>
      <c r="AFG37" s="335"/>
      <c r="AFH37" s="335"/>
      <c r="AFI37" s="335"/>
      <c r="AFJ37" s="335"/>
      <c r="AFK37" s="335"/>
      <c r="AFL37" s="335"/>
      <c r="AFM37" s="335"/>
      <c r="AFN37" s="335"/>
      <c r="AFO37" s="335"/>
      <c r="AFP37" s="335"/>
      <c r="AFQ37" s="335"/>
      <c r="AFR37" s="335"/>
      <c r="AFS37" s="335"/>
      <c r="AFT37" s="335"/>
      <c r="AFU37" s="335"/>
      <c r="AFV37" s="335"/>
      <c r="AFW37" s="335"/>
      <c r="AFX37" s="335"/>
      <c r="AFY37" s="335"/>
      <c r="AFZ37" s="335"/>
      <c r="AGA37" s="335"/>
      <c r="AGB37" s="335"/>
      <c r="AGC37" s="335"/>
      <c r="AGD37" s="335"/>
      <c r="AGE37" s="335"/>
      <c r="AGF37" s="335"/>
      <c r="AGG37" s="335"/>
      <c r="AGH37" s="335"/>
      <c r="AGI37" s="335"/>
      <c r="AGJ37" s="335"/>
      <c r="AGK37" s="335"/>
      <c r="AGL37" s="335"/>
      <c r="AGM37" s="335"/>
      <c r="AGN37" s="335"/>
      <c r="AGO37" s="335"/>
      <c r="AGP37" s="335"/>
      <c r="AGQ37" s="335"/>
      <c r="AGR37" s="335"/>
      <c r="AGS37" s="335"/>
      <c r="AGT37" s="335"/>
      <c r="AGU37" s="335"/>
      <c r="AGV37" s="335"/>
      <c r="AGW37" s="335"/>
      <c r="AGX37" s="335"/>
      <c r="AGY37" s="335"/>
      <c r="AGZ37" s="335"/>
      <c r="AHA37" s="335"/>
      <c r="AHB37" s="335"/>
      <c r="AHC37" s="335"/>
      <c r="AHD37" s="335"/>
      <c r="AHE37" s="335"/>
      <c r="AHF37" s="335"/>
      <c r="AHG37" s="335"/>
      <c r="AHH37" s="335"/>
      <c r="AHI37" s="335"/>
      <c r="AHJ37" s="335"/>
      <c r="AHK37" s="335"/>
      <c r="AHL37" s="335"/>
      <c r="AHM37" s="335"/>
      <c r="AHN37" s="335"/>
      <c r="AHO37" s="335"/>
      <c r="AHP37" s="335"/>
      <c r="AHQ37" s="335"/>
      <c r="AHR37" s="335"/>
      <c r="AHS37" s="335"/>
      <c r="AHT37" s="335"/>
      <c r="AHU37" s="335"/>
      <c r="AHV37" s="335"/>
      <c r="AHW37" s="335"/>
      <c r="AHX37" s="335"/>
      <c r="AHY37" s="335"/>
      <c r="AHZ37" s="335"/>
      <c r="AIA37" s="335"/>
      <c r="AIB37" s="335"/>
      <c r="AIC37" s="339"/>
    </row>
    <row r="38" spans="1:913" s="161" customFormat="1">
      <c r="A38" s="172"/>
      <c r="B38" s="177">
        <v>0.83333333333333304</v>
      </c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216"/>
      <c r="P38" s="216"/>
      <c r="Q38" s="216"/>
      <c r="R38" s="216"/>
      <c r="S38" s="216"/>
      <c r="T38" s="216"/>
      <c r="U38" s="216"/>
      <c r="V38" s="216"/>
      <c r="W38" s="216"/>
      <c r="X38" s="216"/>
      <c r="Y38" s="216"/>
      <c r="Z38" s="216"/>
      <c r="AA38" s="216"/>
      <c r="AB38" s="216"/>
      <c r="AC38" s="216"/>
      <c r="AD38" s="216"/>
      <c r="AE38" s="216"/>
      <c r="AF38" s="216"/>
      <c r="AG38" s="216"/>
      <c r="AH38" s="216"/>
      <c r="AI38" s="216"/>
      <c r="AJ38" s="216"/>
      <c r="AK38" s="216"/>
      <c r="AL38" s="216"/>
      <c r="AM38" s="216"/>
      <c r="AN38" s="216"/>
      <c r="AO38" s="216"/>
      <c r="AP38" s="216"/>
      <c r="AQ38" s="216"/>
      <c r="AR38" s="216"/>
      <c r="AS38" s="216"/>
      <c r="AT38" s="216"/>
      <c r="AU38" s="216"/>
      <c r="AV38" s="216"/>
      <c r="AW38" s="216"/>
      <c r="AX38" s="216"/>
      <c r="AY38" s="216"/>
      <c r="AZ38" s="216"/>
      <c r="BA38" s="216"/>
      <c r="BB38" s="216"/>
      <c r="BC38" s="216"/>
      <c r="BD38" s="216"/>
      <c r="BE38" s="216"/>
      <c r="BF38" s="216"/>
      <c r="BG38" s="216"/>
      <c r="BH38" s="216"/>
      <c r="BI38" s="216"/>
      <c r="BJ38" s="216"/>
      <c r="BK38" s="216"/>
      <c r="BL38" s="216"/>
      <c r="BM38" s="216"/>
      <c r="BN38" s="216"/>
      <c r="BO38" s="216"/>
      <c r="BP38" s="216"/>
      <c r="BQ38" s="216"/>
      <c r="BR38" s="216"/>
      <c r="BS38" s="216"/>
      <c r="BT38" s="216"/>
      <c r="BU38" s="216"/>
      <c r="BV38" s="216"/>
      <c r="BW38" s="216"/>
      <c r="BX38" s="216"/>
      <c r="BY38" s="216"/>
      <c r="BZ38" s="216"/>
      <c r="CA38" s="216"/>
      <c r="CB38" s="216"/>
      <c r="CC38" s="216"/>
      <c r="CD38" s="216"/>
      <c r="CE38" s="216"/>
      <c r="CF38" s="216"/>
      <c r="CG38" s="216"/>
      <c r="CH38" s="216"/>
      <c r="CI38" s="216"/>
      <c r="CJ38" s="216"/>
      <c r="CK38" s="216"/>
      <c r="CL38" s="216"/>
      <c r="CM38" s="216"/>
      <c r="CN38" s="216"/>
      <c r="CO38" s="216"/>
      <c r="CP38" s="216"/>
      <c r="CQ38" s="190"/>
      <c r="CR38" s="216"/>
      <c r="CS38" s="216"/>
      <c r="CT38" s="216"/>
      <c r="CU38" s="216"/>
      <c r="CV38" s="216"/>
      <c r="CW38" s="216"/>
      <c r="CX38" s="216"/>
      <c r="CY38" s="216"/>
      <c r="CZ38" s="216"/>
      <c r="DA38" s="216"/>
      <c r="DB38" s="216"/>
      <c r="DC38" s="216"/>
      <c r="DD38" s="216"/>
      <c r="DE38" s="216"/>
      <c r="DF38" s="216"/>
      <c r="DG38" s="216"/>
      <c r="DH38" s="216"/>
      <c r="DI38" s="216"/>
      <c r="DJ38" s="216"/>
      <c r="DK38" s="216"/>
      <c r="DL38" s="216"/>
      <c r="DM38" s="216"/>
      <c r="DN38" s="216"/>
      <c r="DO38" s="216"/>
      <c r="DP38" s="216"/>
      <c r="DQ38" s="216"/>
      <c r="DR38" s="216"/>
      <c r="DS38" s="216"/>
      <c r="DT38" s="216"/>
      <c r="DU38" s="216"/>
      <c r="DV38" s="216"/>
      <c r="DW38" s="216"/>
      <c r="DX38" s="216"/>
      <c r="DY38" s="216"/>
      <c r="DZ38" s="216"/>
      <c r="EA38" s="216"/>
      <c r="EB38" s="216"/>
      <c r="EC38" s="216"/>
      <c r="ED38" s="216"/>
      <c r="EE38" s="216"/>
      <c r="EF38" s="216"/>
      <c r="EG38" s="216"/>
      <c r="EH38" s="216"/>
      <c r="EI38" s="216"/>
      <c r="EJ38" s="216"/>
      <c r="EK38" s="216"/>
      <c r="EL38" s="216"/>
      <c r="EM38" s="216"/>
      <c r="EN38" s="216"/>
      <c r="EO38" s="216"/>
      <c r="EP38" s="216"/>
      <c r="EQ38" s="216"/>
      <c r="ER38" s="216"/>
      <c r="ES38" s="216"/>
      <c r="ET38" s="216"/>
      <c r="EU38" s="216"/>
      <c r="EV38" s="216"/>
      <c r="EW38" s="216"/>
      <c r="EX38" s="216"/>
      <c r="EY38" s="216"/>
      <c r="EZ38" s="216"/>
      <c r="FA38" s="216"/>
      <c r="FB38" s="216"/>
      <c r="FC38" s="216"/>
      <c r="FD38" s="216"/>
      <c r="FE38" s="216"/>
      <c r="FF38" s="216"/>
      <c r="FG38" s="216"/>
      <c r="FH38" s="216"/>
      <c r="FI38" s="216"/>
      <c r="FJ38" s="216"/>
      <c r="FK38" s="216"/>
      <c r="FL38" s="216"/>
      <c r="FM38" s="216"/>
      <c r="FN38" s="216"/>
      <c r="FO38" s="216"/>
      <c r="FP38" s="216"/>
      <c r="FQ38" s="216"/>
      <c r="FR38" s="216"/>
      <c r="FS38" s="216"/>
      <c r="FT38" s="216"/>
      <c r="FU38" s="216"/>
      <c r="FV38" s="216"/>
      <c r="FW38" s="216"/>
      <c r="FX38" s="216"/>
      <c r="FY38" s="216"/>
      <c r="FZ38" s="216"/>
      <c r="GA38" s="216"/>
      <c r="GB38" s="216"/>
      <c r="GC38" s="217"/>
      <c r="GD38" s="217"/>
      <c r="GE38" s="217"/>
      <c r="GF38" s="217"/>
      <c r="GG38" s="216"/>
      <c r="GH38" s="216"/>
      <c r="GI38" s="216"/>
      <c r="GJ38" s="216"/>
      <c r="GK38" s="216"/>
      <c r="GL38" s="216"/>
      <c r="GM38" s="217"/>
      <c r="GN38" s="217"/>
      <c r="GO38" s="217"/>
      <c r="GP38" s="217"/>
      <c r="GQ38" s="217"/>
      <c r="GR38" s="218"/>
      <c r="GS38" s="217"/>
      <c r="GT38" s="217"/>
      <c r="GU38" s="216"/>
      <c r="GV38" s="216"/>
      <c r="GW38" s="216"/>
      <c r="GX38" s="216"/>
      <c r="GY38" s="190"/>
      <c r="GZ38" s="190"/>
      <c r="HA38" s="190"/>
      <c r="HB38" s="190"/>
      <c r="HC38" s="190"/>
      <c r="HD38" s="190"/>
      <c r="HE38" s="190"/>
      <c r="HF38" s="190"/>
      <c r="HG38" s="190"/>
      <c r="HH38" s="190"/>
      <c r="HI38" s="190"/>
      <c r="HJ38" s="190"/>
      <c r="HK38" s="190"/>
      <c r="HL38" s="190"/>
      <c r="HM38" s="190"/>
      <c r="HN38" s="190"/>
      <c r="HO38" s="190"/>
      <c r="HP38" s="190"/>
      <c r="HQ38" s="190"/>
      <c r="HR38" s="190"/>
      <c r="HS38" s="190"/>
      <c r="HT38" s="190"/>
      <c r="HU38" s="190"/>
      <c r="HV38" s="190"/>
      <c r="HW38" s="190"/>
      <c r="HX38" s="190"/>
      <c r="HY38" s="190"/>
      <c r="HZ38" s="190"/>
      <c r="IA38" s="190"/>
      <c r="IB38" s="190"/>
      <c r="IC38" s="190"/>
      <c r="ID38" s="190"/>
      <c r="IE38" s="190"/>
      <c r="IF38" s="190"/>
      <c r="IG38" s="190"/>
      <c r="IH38" s="190"/>
      <c r="II38" s="190"/>
      <c r="IJ38" s="190"/>
      <c r="IK38" s="190"/>
      <c r="IL38" s="190"/>
      <c r="IM38" s="190"/>
      <c r="IN38" s="190"/>
      <c r="IO38" s="190"/>
      <c r="IP38" s="190"/>
      <c r="IQ38" s="190"/>
      <c r="IR38" s="190"/>
      <c r="IS38" s="190"/>
      <c r="IT38" s="190"/>
      <c r="IU38" s="190"/>
      <c r="IV38" s="190"/>
      <c r="IW38" s="190"/>
      <c r="IX38" s="190"/>
      <c r="IY38" s="190"/>
      <c r="IZ38" s="190"/>
      <c r="JA38" s="190"/>
      <c r="JB38" s="190"/>
      <c r="JC38" s="190"/>
      <c r="JD38" s="190"/>
      <c r="JE38" s="190"/>
      <c r="JF38" s="190"/>
      <c r="JG38" s="190"/>
      <c r="JH38" s="190"/>
      <c r="JI38" s="190"/>
      <c r="JJ38" s="190"/>
      <c r="JK38" s="190"/>
      <c r="JL38" s="190"/>
      <c r="JM38" s="190"/>
      <c r="JN38" s="190"/>
      <c r="JO38" s="190"/>
      <c r="JP38" s="190"/>
      <c r="JQ38" s="190"/>
      <c r="JR38" s="190"/>
      <c r="JS38" s="190"/>
      <c r="JT38" s="190"/>
      <c r="JU38" s="190"/>
      <c r="JV38" s="190"/>
      <c r="JW38" s="190"/>
      <c r="JX38" s="190"/>
      <c r="JY38" s="190"/>
      <c r="JZ38" s="190"/>
      <c r="KA38" s="190"/>
      <c r="KB38" s="190"/>
      <c r="KC38" s="190"/>
      <c r="KD38" s="190"/>
      <c r="KE38" s="190"/>
      <c r="KF38" s="190"/>
      <c r="KG38" s="190"/>
      <c r="KH38" s="190"/>
      <c r="KI38" s="190"/>
      <c r="KJ38" s="190"/>
      <c r="KK38" s="190"/>
      <c r="KL38" s="190"/>
      <c r="KM38" s="190"/>
      <c r="KN38" s="190"/>
      <c r="KO38" s="190"/>
      <c r="KP38" s="190"/>
      <c r="KQ38" s="190"/>
      <c r="KR38" s="190"/>
      <c r="KS38" s="190"/>
      <c r="KT38" s="190"/>
      <c r="KU38" s="190"/>
      <c r="KV38" s="190"/>
      <c r="KW38" s="190"/>
      <c r="KX38" s="190"/>
      <c r="KY38" s="190"/>
      <c r="KZ38" s="190"/>
      <c r="LA38" s="190"/>
      <c r="LB38" s="190"/>
      <c r="LC38" s="190"/>
      <c r="LD38" s="190"/>
      <c r="LE38" s="190"/>
      <c r="LF38" s="190"/>
      <c r="LG38" s="190"/>
      <c r="LH38" s="190"/>
      <c r="LI38" s="190"/>
      <c r="LJ38" s="190"/>
      <c r="LK38" s="190"/>
      <c r="LL38" s="190"/>
      <c r="LM38" s="190"/>
      <c r="LN38" s="190"/>
      <c r="LO38" s="190"/>
      <c r="LP38" s="190"/>
      <c r="LQ38" s="190"/>
      <c r="LR38" s="190"/>
      <c r="LS38" s="190"/>
      <c r="LT38" s="190"/>
      <c r="LU38" s="190"/>
      <c r="LV38" s="190"/>
      <c r="LW38" s="190"/>
      <c r="LX38" s="190"/>
      <c r="LY38" s="190"/>
      <c r="LZ38" s="190"/>
      <c r="MA38" s="190"/>
      <c r="MB38" s="190"/>
      <c r="MC38" s="190"/>
      <c r="MD38" s="190"/>
      <c r="ME38" s="190"/>
      <c r="MF38" s="190"/>
      <c r="MG38" s="190"/>
      <c r="MH38" s="190"/>
      <c r="MI38" s="190"/>
      <c r="MJ38" s="190"/>
      <c r="MK38" s="190"/>
      <c r="ML38" s="190"/>
      <c r="MM38" s="190"/>
      <c r="MN38" s="190"/>
      <c r="MO38" s="190"/>
      <c r="MP38" s="190"/>
      <c r="MQ38" s="190"/>
      <c r="MR38" s="190"/>
      <c r="MS38" s="190"/>
      <c r="MT38" s="190"/>
      <c r="MU38" s="190"/>
      <c r="MV38" s="190"/>
      <c r="MW38" s="190"/>
      <c r="MX38" s="190"/>
      <c r="MY38" s="190"/>
      <c r="MZ38" s="190"/>
      <c r="NA38" s="190"/>
      <c r="NB38" s="190"/>
      <c r="NC38" s="190"/>
      <c r="ND38" s="190"/>
      <c r="NE38" s="190"/>
      <c r="NF38" s="190"/>
      <c r="NG38" s="190"/>
      <c r="NH38" s="190"/>
      <c r="NI38" s="190"/>
      <c r="NJ38" s="190"/>
      <c r="NK38" s="190"/>
      <c r="NL38" s="190"/>
      <c r="NM38" s="190"/>
      <c r="NN38" s="190"/>
      <c r="NO38" s="190"/>
      <c r="NP38" s="190"/>
      <c r="NQ38" s="190"/>
      <c r="NR38" s="190"/>
      <c r="NS38" s="190"/>
      <c r="NT38" s="190"/>
      <c r="NU38" s="190"/>
      <c r="NV38" s="190"/>
      <c r="NW38" s="190"/>
      <c r="NX38" s="190"/>
      <c r="NY38" s="190"/>
      <c r="NZ38" s="190"/>
      <c r="OA38" s="190"/>
      <c r="OB38" s="190"/>
      <c r="OC38" s="190"/>
      <c r="OD38" s="190"/>
      <c r="OE38" s="190"/>
      <c r="OF38" s="190"/>
      <c r="OG38" s="190"/>
      <c r="OH38" s="190"/>
      <c r="OI38" s="190"/>
      <c r="OJ38" s="190"/>
      <c r="OK38" s="190"/>
      <c r="OL38" s="190"/>
      <c r="OM38" s="190"/>
      <c r="ON38" s="190"/>
      <c r="OO38" s="190"/>
      <c r="OP38" s="190"/>
      <c r="OQ38" s="190"/>
      <c r="OR38" s="190"/>
      <c r="OS38" s="190"/>
      <c r="OT38" s="190"/>
      <c r="OU38" s="190"/>
      <c r="OV38" s="190"/>
      <c r="OW38" s="190"/>
      <c r="OX38" s="190"/>
      <c r="OY38" s="190"/>
      <c r="OZ38" s="190"/>
      <c r="PA38" s="190"/>
      <c r="PB38" s="291"/>
      <c r="PC38" s="246"/>
      <c r="PD38" s="247"/>
      <c r="PE38" s="246"/>
      <c r="PF38" s="247"/>
      <c r="PG38" s="246"/>
      <c r="PH38" s="247"/>
      <c r="PI38" s="246"/>
      <c r="PJ38" s="247"/>
      <c r="PK38" s="190"/>
      <c r="PL38" s="291"/>
      <c r="PM38" s="246"/>
      <c r="PN38" s="247"/>
      <c r="PO38" s="292"/>
      <c r="PP38" s="247"/>
      <c r="PQ38" s="246"/>
      <c r="PR38" s="247"/>
      <c r="PS38" s="246"/>
      <c r="PT38" s="247"/>
      <c r="PU38" s="246"/>
      <c r="PV38" s="247"/>
      <c r="PW38" s="246"/>
      <c r="PX38" s="247"/>
      <c r="PY38" s="246"/>
      <c r="PZ38" s="247"/>
      <c r="QA38" s="246"/>
      <c r="QB38" s="247"/>
      <c r="QC38" s="246"/>
      <c r="QD38" s="247"/>
      <c r="QE38" s="246"/>
      <c r="QF38" s="247"/>
      <c r="QG38" s="246"/>
      <c r="QH38" s="247"/>
      <c r="QI38" s="246"/>
      <c r="QJ38" s="247"/>
      <c r="QK38" s="246"/>
      <c r="QL38" s="247"/>
      <c r="QM38" s="246"/>
      <c r="QN38" s="247"/>
      <c r="QO38" s="246"/>
      <c r="QP38" s="247"/>
      <c r="QQ38" s="246"/>
      <c r="QR38" s="247"/>
      <c r="QS38" s="246"/>
      <c r="QT38" s="247"/>
      <c r="QU38" s="246"/>
      <c r="QV38" s="247"/>
      <c r="QW38" s="246"/>
      <c r="QX38" s="247"/>
      <c r="QY38" s="246"/>
      <c r="QZ38" s="247"/>
      <c r="RA38" s="246"/>
      <c r="RB38" s="247"/>
      <c r="RC38" s="246"/>
      <c r="RD38" s="190"/>
      <c r="RE38" s="190"/>
      <c r="RF38" s="190"/>
      <c r="RG38" s="190"/>
      <c r="RH38" s="190"/>
      <c r="RI38" s="190"/>
      <c r="RJ38" s="190"/>
      <c r="RK38" s="190"/>
      <c r="RL38" s="190"/>
      <c r="RM38" s="190"/>
      <c r="RN38" s="190"/>
      <c r="RO38" s="190"/>
      <c r="RP38" s="190"/>
      <c r="RQ38" s="190"/>
      <c r="RR38" s="190"/>
      <c r="RS38" s="190"/>
      <c r="RT38" s="190"/>
      <c r="RU38" s="190"/>
      <c r="RV38" s="190"/>
      <c r="RW38" s="190"/>
      <c r="RX38" s="190"/>
      <c r="RY38" s="190"/>
      <c r="RZ38" s="190"/>
      <c r="SA38" s="190"/>
      <c r="SB38" s="190"/>
      <c r="SC38" s="190"/>
      <c r="SD38" s="190"/>
      <c r="SE38" s="190"/>
      <c r="SF38" s="190"/>
      <c r="SG38" s="190"/>
      <c r="SH38" s="190"/>
      <c r="SI38" s="190"/>
      <c r="SJ38" s="190"/>
      <c r="SK38" s="190"/>
      <c r="SL38" s="190"/>
      <c r="SM38" s="190"/>
      <c r="SN38" s="190"/>
      <c r="SO38" s="190"/>
      <c r="SP38" s="190"/>
      <c r="SQ38" s="190"/>
      <c r="SR38" s="190"/>
      <c r="SS38" s="190"/>
      <c r="ST38" s="190"/>
      <c r="SU38" s="190"/>
      <c r="SV38" s="190"/>
      <c r="SW38" s="190"/>
      <c r="SX38" s="190"/>
      <c r="SY38" s="190"/>
      <c r="SZ38" s="190"/>
      <c r="TA38" s="190"/>
      <c r="TB38" s="190"/>
      <c r="TC38" s="190"/>
      <c r="TD38" s="190"/>
      <c r="TE38" s="190"/>
      <c r="TF38" s="190"/>
      <c r="TG38" s="190"/>
      <c r="TH38" s="190"/>
      <c r="TI38" s="190"/>
      <c r="TJ38" s="190"/>
      <c r="TK38" s="190"/>
      <c r="TL38" s="190"/>
      <c r="TM38" s="190"/>
      <c r="TN38" s="190"/>
      <c r="TO38" s="190"/>
      <c r="TP38" s="190"/>
      <c r="TQ38" s="190"/>
      <c r="TR38" s="190"/>
      <c r="TS38" s="190"/>
      <c r="TT38" s="190"/>
      <c r="TU38" s="190"/>
      <c r="TV38" s="190"/>
      <c r="TW38" s="190"/>
      <c r="TX38" s="190"/>
      <c r="TY38" s="190"/>
      <c r="TZ38" s="190"/>
      <c r="UA38" s="190"/>
      <c r="UB38" s="190"/>
      <c r="UC38" s="190"/>
      <c r="UD38" s="190"/>
      <c r="UE38" s="190"/>
      <c r="UF38" s="190"/>
      <c r="UG38" s="190"/>
      <c r="UH38" s="190"/>
      <c r="UI38" s="190"/>
      <c r="UJ38" s="190"/>
      <c r="UK38" s="190"/>
      <c r="UL38" s="190"/>
      <c r="UM38" s="190"/>
      <c r="UN38" s="190"/>
      <c r="UO38" s="190"/>
      <c r="UP38" s="190"/>
      <c r="UQ38" s="190"/>
      <c r="UR38" s="190"/>
      <c r="US38" s="190"/>
      <c r="UT38" s="190"/>
      <c r="UU38" s="190"/>
      <c r="UV38" s="190"/>
      <c r="UW38" s="190"/>
      <c r="UX38" s="190"/>
      <c r="UY38" s="190"/>
      <c r="UZ38" s="190"/>
      <c r="VA38" s="190"/>
      <c r="VB38" s="190"/>
      <c r="VC38" s="190"/>
      <c r="VD38" s="190"/>
      <c r="VE38" s="190"/>
      <c r="VF38" s="190"/>
      <c r="VG38" s="190"/>
      <c r="VH38" s="190"/>
      <c r="VI38" s="190"/>
      <c r="VJ38" s="190"/>
      <c r="VK38" s="190"/>
      <c r="VL38" s="190"/>
      <c r="VM38" s="190"/>
      <c r="VN38" s="190"/>
      <c r="VO38" s="190"/>
      <c r="VP38" s="190"/>
      <c r="VQ38" s="190"/>
      <c r="VR38" s="190"/>
      <c r="VS38" s="190"/>
      <c r="VT38" s="190"/>
      <c r="VU38" s="190"/>
      <c r="VV38" s="190"/>
      <c r="VW38" s="190"/>
      <c r="VX38" s="190"/>
      <c r="VY38" s="190"/>
      <c r="VZ38" s="190"/>
      <c r="WA38" s="190"/>
      <c r="WB38" s="190"/>
      <c r="WC38" s="190"/>
      <c r="WD38" s="190"/>
      <c r="WE38" s="190"/>
      <c r="WF38" s="190"/>
      <c r="WG38" s="190"/>
      <c r="WH38" s="190"/>
      <c r="WI38" s="190"/>
      <c r="WJ38" s="190"/>
      <c r="WK38" s="190"/>
      <c r="WL38" s="190"/>
      <c r="WM38" s="190"/>
      <c r="WN38" s="190"/>
      <c r="WO38" s="190"/>
      <c r="WP38" s="190"/>
      <c r="WQ38" s="190"/>
      <c r="WR38" s="190"/>
      <c r="WS38" s="190"/>
      <c r="WT38" s="190"/>
      <c r="WU38" s="190"/>
      <c r="WV38" s="190"/>
      <c r="WW38" s="190"/>
      <c r="WX38" s="190"/>
      <c r="WY38" s="190"/>
      <c r="WZ38" s="190"/>
      <c r="XA38" s="190"/>
      <c r="XB38" s="190"/>
      <c r="XC38" s="190"/>
      <c r="XD38" s="190"/>
      <c r="XE38" s="190"/>
      <c r="XF38" s="190"/>
      <c r="XG38" s="190"/>
      <c r="XH38" s="190"/>
      <c r="XI38" s="190"/>
      <c r="XJ38" s="190"/>
      <c r="XK38" s="190"/>
      <c r="XL38" s="190"/>
      <c r="XM38" s="190"/>
      <c r="XN38" s="190"/>
      <c r="XO38" s="190"/>
      <c r="XP38" s="190"/>
      <c r="XQ38" s="190"/>
      <c r="XR38" s="190"/>
      <c r="XS38" s="190"/>
      <c r="XT38" s="190"/>
      <c r="XU38" s="190"/>
      <c r="XV38" s="190"/>
      <c r="XW38" s="190"/>
      <c r="XX38" s="190"/>
      <c r="XY38" s="190"/>
      <c r="XZ38" s="190"/>
      <c r="YA38" s="190"/>
      <c r="YB38" s="190"/>
      <c r="YC38" s="190"/>
      <c r="YD38" s="190"/>
      <c r="YE38" s="190"/>
      <c r="YF38" s="190"/>
      <c r="YG38" s="190"/>
      <c r="YH38" s="190"/>
      <c r="YI38" s="190"/>
      <c r="YJ38" s="190"/>
      <c r="YK38" s="190"/>
      <c r="YL38" s="190"/>
      <c r="YM38" s="190"/>
      <c r="YN38" s="190"/>
      <c r="YO38" s="190"/>
      <c r="YP38" s="190"/>
      <c r="YQ38" s="190"/>
      <c r="YR38" s="190"/>
      <c r="YS38" s="190"/>
      <c r="YT38" s="190"/>
      <c r="YU38" s="190"/>
      <c r="YV38" s="190"/>
      <c r="YW38" s="190"/>
      <c r="YX38" s="190"/>
      <c r="YY38" s="190"/>
      <c r="YZ38" s="190"/>
      <c r="ZA38" s="190"/>
      <c r="ZB38" s="190"/>
      <c r="ZC38" s="190"/>
      <c r="ZD38" s="190"/>
      <c r="ZE38" s="190"/>
      <c r="ZF38" s="190"/>
      <c r="ZG38" s="190"/>
      <c r="ZH38" s="190"/>
      <c r="ZI38" s="190"/>
      <c r="ZJ38" s="190"/>
      <c r="ZK38" s="190"/>
      <c r="ZL38" s="190"/>
      <c r="ZM38" s="190"/>
      <c r="ZN38" s="190"/>
      <c r="ZO38" s="190"/>
      <c r="ZP38" s="190"/>
      <c r="ZQ38" s="190"/>
      <c r="ZR38" s="190"/>
      <c r="ZS38" s="190"/>
      <c r="ZT38" s="190"/>
      <c r="ZU38" s="190"/>
      <c r="ZV38" s="190"/>
      <c r="ZW38" s="190"/>
      <c r="ZX38" s="190"/>
      <c r="ZY38" s="190"/>
      <c r="ZZ38" s="190"/>
      <c r="AAA38" s="190"/>
      <c r="AAB38" s="190"/>
      <c r="AAC38" s="190"/>
      <c r="AAD38" s="190"/>
      <c r="AAE38" s="190"/>
      <c r="AAF38" s="190"/>
      <c r="AAG38" s="190"/>
      <c r="AAH38" s="190"/>
      <c r="AAI38" s="190"/>
      <c r="AAJ38" s="190"/>
      <c r="AAK38" s="190"/>
      <c r="AAL38" s="190"/>
      <c r="AAM38" s="190"/>
      <c r="AAN38" s="190"/>
      <c r="AAO38" s="190"/>
      <c r="AAP38" s="190"/>
      <c r="AAQ38" s="190"/>
      <c r="AAR38" s="190"/>
      <c r="AAS38" s="190"/>
      <c r="AAT38" s="190"/>
      <c r="AAU38" s="190"/>
      <c r="AAV38" s="190"/>
      <c r="AAW38" s="190"/>
      <c r="AAX38" s="190"/>
      <c r="AAY38" s="190"/>
      <c r="AAZ38" s="190"/>
      <c r="ABA38" s="190"/>
      <c r="ABB38" s="190"/>
      <c r="ABC38" s="190"/>
      <c r="ABD38" s="190"/>
      <c r="ABE38" s="336"/>
      <c r="ABF38" s="335"/>
      <c r="ABG38" s="335"/>
      <c r="ABH38" s="335"/>
      <c r="ABI38" s="335"/>
      <c r="ABJ38" s="335"/>
      <c r="ABK38" s="335"/>
      <c r="ABL38" s="335"/>
      <c r="ABM38" s="335"/>
      <c r="ABN38" s="335"/>
      <c r="ABO38" s="335"/>
      <c r="ABP38" s="335"/>
      <c r="ABQ38" s="335"/>
      <c r="ABR38" s="335"/>
      <c r="ABS38" s="335"/>
      <c r="ABT38" s="335"/>
      <c r="ABU38" s="335"/>
      <c r="ABV38" s="335"/>
      <c r="ABW38" s="335"/>
      <c r="ABX38" s="335"/>
      <c r="ABY38" s="335"/>
      <c r="ABZ38" s="335"/>
      <c r="ACA38" s="335"/>
      <c r="ACB38" s="335"/>
      <c r="ACC38" s="335"/>
      <c r="ACD38" s="335"/>
      <c r="ACE38" s="335"/>
      <c r="ACF38" s="335"/>
      <c r="ACG38" s="335"/>
      <c r="ACH38" s="335"/>
      <c r="ACI38" s="335"/>
      <c r="ACJ38" s="335"/>
      <c r="ACK38" s="335"/>
      <c r="ACL38" s="335"/>
      <c r="ACM38" s="335"/>
      <c r="ACN38" s="335"/>
      <c r="ACO38" s="335"/>
      <c r="ACP38" s="335"/>
      <c r="ACQ38" s="335"/>
      <c r="ACR38" s="335"/>
      <c r="ACS38" s="335"/>
      <c r="ACT38" s="335"/>
      <c r="ACU38" s="335"/>
      <c r="ACV38" s="335"/>
      <c r="ACW38" s="335"/>
      <c r="ACX38" s="335"/>
      <c r="ACY38" s="335"/>
      <c r="ACZ38" s="335"/>
      <c r="ADA38" s="335"/>
      <c r="ADB38" s="335"/>
      <c r="ADC38" s="335"/>
      <c r="ADD38" s="335"/>
      <c r="ADE38" s="335"/>
      <c r="ADF38" s="335"/>
      <c r="ADG38" s="335"/>
      <c r="ADH38" s="335"/>
      <c r="ADI38" s="335"/>
      <c r="ADJ38" s="335"/>
      <c r="ADK38" s="335"/>
      <c r="ADL38" s="335"/>
      <c r="ADM38" s="335"/>
      <c r="ADN38" s="335"/>
      <c r="ADO38" s="335"/>
      <c r="ADP38" s="335"/>
      <c r="ADQ38" s="335"/>
      <c r="ADR38" s="335"/>
      <c r="ADS38" s="335"/>
      <c r="ADT38" s="335"/>
      <c r="ADU38" s="335"/>
      <c r="ADV38" s="335"/>
      <c r="ADW38" s="335"/>
      <c r="ADX38" s="335"/>
      <c r="ADY38" s="335"/>
      <c r="ADZ38" s="335"/>
      <c r="AEA38" s="335"/>
      <c r="AEB38" s="335"/>
      <c r="AEC38" s="335"/>
      <c r="AED38" s="335"/>
      <c r="AEE38" s="335"/>
      <c r="AEF38" s="335"/>
      <c r="AEG38" s="335"/>
      <c r="AEH38" s="335"/>
      <c r="AEI38" s="335"/>
      <c r="AEJ38" s="335"/>
      <c r="AEK38" s="335"/>
      <c r="AEL38" s="335"/>
      <c r="AEM38" s="335"/>
      <c r="AEN38" s="335"/>
      <c r="AEO38" s="335"/>
      <c r="AEP38" s="335"/>
      <c r="AEQ38" s="335"/>
      <c r="AER38" s="335"/>
      <c r="AES38" s="335"/>
      <c r="AET38" s="335"/>
      <c r="AEU38" s="335"/>
      <c r="AEV38" s="335"/>
      <c r="AEW38" s="335"/>
      <c r="AEX38" s="335"/>
      <c r="AEY38" s="335"/>
      <c r="AEZ38" s="335"/>
      <c r="AFA38" s="335"/>
      <c r="AFB38" s="335"/>
      <c r="AFC38" s="335"/>
      <c r="AFD38" s="335"/>
      <c r="AFE38" s="335"/>
      <c r="AFF38" s="335"/>
      <c r="AFG38" s="335"/>
      <c r="AFH38" s="335"/>
      <c r="AFI38" s="335"/>
      <c r="AFJ38" s="335"/>
      <c r="AFK38" s="335"/>
      <c r="AFL38" s="335"/>
      <c r="AFM38" s="335"/>
      <c r="AFN38" s="335"/>
      <c r="AFO38" s="335"/>
      <c r="AFP38" s="335"/>
      <c r="AFQ38" s="335"/>
      <c r="AFR38" s="335"/>
      <c r="AFS38" s="335"/>
      <c r="AFT38" s="335"/>
      <c r="AFU38" s="335"/>
      <c r="AFV38" s="335"/>
      <c r="AFW38" s="335"/>
      <c r="AFX38" s="335"/>
      <c r="AFY38" s="335"/>
      <c r="AFZ38" s="335"/>
      <c r="AGA38" s="335"/>
      <c r="AGB38" s="335"/>
      <c r="AGC38" s="335"/>
      <c r="AGD38" s="335"/>
      <c r="AGE38" s="335"/>
      <c r="AGF38" s="335"/>
      <c r="AGG38" s="335"/>
      <c r="AGH38" s="335"/>
      <c r="AGI38" s="335"/>
      <c r="AGJ38" s="335"/>
      <c r="AGK38" s="335"/>
      <c r="AGL38" s="335"/>
      <c r="AGM38" s="335"/>
      <c r="AGN38" s="335"/>
      <c r="AGO38" s="335"/>
      <c r="AGP38" s="335"/>
      <c r="AGQ38" s="335"/>
      <c r="AGR38" s="335"/>
      <c r="AGS38" s="335"/>
      <c r="AGT38" s="335"/>
      <c r="AGU38" s="335"/>
      <c r="AGV38" s="335"/>
      <c r="AGW38" s="335"/>
      <c r="AGX38" s="335"/>
      <c r="AGY38" s="335"/>
      <c r="AGZ38" s="335"/>
      <c r="AHA38" s="335"/>
      <c r="AHB38" s="335"/>
      <c r="AHC38" s="335"/>
      <c r="AHD38" s="335"/>
      <c r="AHE38" s="335"/>
      <c r="AHF38" s="335"/>
      <c r="AHG38" s="335"/>
      <c r="AHH38" s="335"/>
      <c r="AHI38" s="335"/>
      <c r="AHJ38" s="335"/>
      <c r="AHK38" s="335"/>
      <c r="AHL38" s="335"/>
      <c r="AHM38" s="335"/>
      <c r="AHN38" s="335"/>
      <c r="AHO38" s="335"/>
      <c r="AHP38" s="335"/>
      <c r="AHQ38" s="335"/>
      <c r="AHR38" s="335"/>
      <c r="AHS38" s="335"/>
      <c r="AHT38" s="335"/>
      <c r="AHU38" s="335"/>
      <c r="AHV38" s="335"/>
      <c r="AHW38" s="335"/>
      <c r="AHX38" s="335"/>
      <c r="AHY38" s="335"/>
      <c r="AHZ38" s="335"/>
      <c r="AIA38" s="335"/>
      <c r="AIB38" s="335"/>
      <c r="AIC38" s="339"/>
    </row>
    <row r="39" spans="1:913" s="161" customFormat="1">
      <c r="A39" s="172"/>
      <c r="B39" s="177">
        <v>0.875</v>
      </c>
      <c r="C39" s="190"/>
      <c r="D39" s="190"/>
      <c r="E39" s="190"/>
      <c r="F39" s="190"/>
      <c r="G39" s="190"/>
      <c r="H39" s="190"/>
      <c r="I39" s="190"/>
      <c r="J39" s="190"/>
      <c r="K39" s="190"/>
      <c r="L39" s="190"/>
      <c r="M39" s="190"/>
      <c r="N39" s="190"/>
      <c r="O39" s="216"/>
      <c r="P39" s="216"/>
      <c r="Q39" s="216"/>
      <c r="R39" s="216"/>
      <c r="S39" s="216"/>
      <c r="T39" s="216"/>
      <c r="U39" s="216"/>
      <c r="V39" s="216"/>
      <c r="W39" s="216"/>
      <c r="X39" s="216"/>
      <c r="Y39" s="216"/>
      <c r="Z39" s="216"/>
      <c r="AA39" s="216"/>
      <c r="AB39" s="216"/>
      <c r="AC39" s="216"/>
      <c r="AD39" s="216"/>
      <c r="AE39" s="216"/>
      <c r="AF39" s="216"/>
      <c r="AG39" s="190"/>
      <c r="AH39" s="190"/>
      <c r="AI39" s="216"/>
      <c r="AJ39" s="216"/>
      <c r="AK39" s="216"/>
      <c r="AL39" s="216"/>
      <c r="AM39" s="216"/>
      <c r="AN39" s="216"/>
      <c r="AO39" s="216"/>
      <c r="AP39" s="216"/>
      <c r="AQ39" s="216"/>
      <c r="AR39" s="216"/>
      <c r="AS39" s="216"/>
      <c r="AT39" s="216"/>
      <c r="AU39" s="216"/>
      <c r="AV39" s="216"/>
      <c r="AW39" s="216"/>
      <c r="AX39" s="216"/>
      <c r="AY39" s="216"/>
      <c r="AZ39" s="216"/>
      <c r="BA39" s="216"/>
      <c r="BB39" s="216"/>
      <c r="BC39" s="216"/>
      <c r="BD39" s="216"/>
      <c r="BE39" s="216"/>
      <c r="BF39" s="216"/>
      <c r="BG39" s="216"/>
      <c r="BH39" s="216"/>
      <c r="BI39" s="216"/>
      <c r="BJ39" s="216"/>
      <c r="BK39" s="216"/>
      <c r="BL39" s="216"/>
      <c r="BM39" s="216"/>
      <c r="BN39" s="216"/>
      <c r="BO39" s="216"/>
      <c r="BP39" s="216"/>
      <c r="BQ39" s="216"/>
      <c r="BR39" s="216"/>
      <c r="BS39" s="216"/>
      <c r="BT39" s="216"/>
      <c r="BU39" s="216"/>
      <c r="BV39" s="216"/>
      <c r="BW39" s="216"/>
      <c r="BX39" s="216"/>
      <c r="BY39" s="216"/>
      <c r="BZ39" s="216"/>
      <c r="CA39" s="216"/>
      <c r="CB39" s="216"/>
      <c r="CC39" s="216"/>
      <c r="CD39" s="216"/>
      <c r="CE39" s="216"/>
      <c r="CF39" s="216"/>
      <c r="CG39" s="216"/>
      <c r="CH39" s="216"/>
      <c r="CI39" s="216"/>
      <c r="CJ39" s="216"/>
      <c r="CK39" s="216"/>
      <c r="CL39" s="216"/>
      <c r="CM39" s="216"/>
      <c r="CN39" s="216"/>
      <c r="CO39" s="216"/>
      <c r="CP39" s="216"/>
      <c r="CQ39" s="190"/>
      <c r="CR39" s="216"/>
      <c r="CS39" s="216"/>
      <c r="CT39" s="216"/>
      <c r="CU39" s="216"/>
      <c r="CV39" s="216"/>
      <c r="CW39" s="216"/>
      <c r="CX39" s="216"/>
      <c r="CY39" s="216"/>
      <c r="CZ39" s="216"/>
      <c r="DA39" s="216"/>
      <c r="DB39" s="216"/>
      <c r="DC39" s="216"/>
      <c r="DD39" s="216"/>
      <c r="DE39" s="216"/>
      <c r="DF39" s="216"/>
      <c r="DG39" s="216"/>
      <c r="DH39" s="216"/>
      <c r="DI39" s="216"/>
      <c r="DJ39" s="216"/>
      <c r="DK39" s="216"/>
      <c r="DL39" s="216"/>
      <c r="DM39" s="216"/>
      <c r="DN39" s="216"/>
      <c r="DO39" s="216"/>
      <c r="DP39" s="216"/>
      <c r="DQ39" s="216"/>
      <c r="DR39" s="216"/>
      <c r="DS39" s="216"/>
      <c r="DT39" s="216"/>
      <c r="DU39" s="216"/>
      <c r="DV39" s="216"/>
      <c r="DW39" s="216"/>
      <c r="DX39" s="216"/>
      <c r="DY39" s="216"/>
      <c r="DZ39" s="216"/>
      <c r="EA39" s="216"/>
      <c r="EB39" s="216"/>
      <c r="EC39" s="216"/>
      <c r="ED39" s="216"/>
      <c r="EE39" s="216"/>
      <c r="EF39" s="216"/>
      <c r="EG39" s="216"/>
      <c r="EH39" s="216"/>
      <c r="EI39" s="216"/>
      <c r="EJ39" s="216"/>
      <c r="EK39" s="216"/>
      <c r="EL39" s="216"/>
      <c r="EM39" s="216"/>
      <c r="EN39" s="216"/>
      <c r="EO39" s="216"/>
      <c r="EP39" s="216"/>
      <c r="EQ39" s="216"/>
      <c r="ER39" s="216"/>
      <c r="ES39" s="216"/>
      <c r="ET39" s="216"/>
      <c r="EU39" s="216"/>
      <c r="EV39" s="216"/>
      <c r="EW39" s="216"/>
      <c r="EX39" s="216"/>
      <c r="EY39" s="216"/>
      <c r="EZ39" s="216"/>
      <c r="FA39" s="216"/>
      <c r="FB39" s="216"/>
      <c r="FC39" s="216"/>
      <c r="FD39" s="216"/>
      <c r="FE39" s="216"/>
      <c r="FF39" s="216"/>
      <c r="FG39" s="216"/>
      <c r="FH39" s="216"/>
      <c r="FI39" s="216"/>
      <c r="FJ39" s="216"/>
      <c r="FK39" s="216"/>
      <c r="FL39" s="216"/>
      <c r="FM39" s="216"/>
      <c r="FN39" s="216"/>
      <c r="FO39" s="216"/>
      <c r="FP39" s="216"/>
      <c r="FQ39" s="216"/>
      <c r="FR39" s="216"/>
      <c r="FS39" s="216"/>
      <c r="FT39" s="216"/>
      <c r="FU39" s="216"/>
      <c r="FV39" s="216"/>
      <c r="FW39" s="216"/>
      <c r="FX39" s="216"/>
      <c r="FY39" s="216"/>
      <c r="FZ39" s="216"/>
      <c r="GA39" s="216"/>
      <c r="GB39" s="216"/>
      <c r="GC39" s="217"/>
      <c r="GD39" s="217"/>
      <c r="GE39" s="217"/>
      <c r="GF39" s="217"/>
      <c r="GG39" s="216"/>
      <c r="GH39" s="216"/>
      <c r="GI39" s="216"/>
      <c r="GJ39" s="216"/>
      <c r="GK39" s="216"/>
      <c r="GL39" s="216"/>
      <c r="GM39" s="217"/>
      <c r="GN39" s="217"/>
      <c r="GO39" s="217"/>
      <c r="GP39" s="217"/>
      <c r="GQ39" s="217"/>
      <c r="GR39" s="218"/>
      <c r="GS39" s="217"/>
      <c r="GT39" s="217"/>
      <c r="GU39" s="216"/>
      <c r="GV39" s="216"/>
      <c r="GW39" s="216"/>
      <c r="GX39" s="216"/>
      <c r="GY39" s="190"/>
      <c r="GZ39" s="190"/>
      <c r="HA39" s="190"/>
      <c r="HB39" s="190"/>
      <c r="HC39" s="190"/>
      <c r="HD39" s="190"/>
      <c r="HE39" s="190"/>
      <c r="HF39" s="190"/>
      <c r="HG39" s="190"/>
      <c r="HH39" s="190"/>
      <c r="HI39" s="190"/>
      <c r="HJ39" s="190"/>
      <c r="HK39" s="190"/>
      <c r="HL39" s="190"/>
      <c r="HM39" s="190"/>
      <c r="HN39" s="190"/>
      <c r="HO39" s="190"/>
      <c r="HP39" s="190"/>
      <c r="HQ39" s="190"/>
      <c r="HR39" s="190"/>
      <c r="HS39" s="190"/>
      <c r="HT39" s="190"/>
      <c r="HU39" s="190"/>
      <c r="HV39" s="190"/>
      <c r="HW39" s="190"/>
      <c r="HX39" s="190"/>
      <c r="HY39" s="190"/>
      <c r="HZ39" s="190"/>
      <c r="IA39" s="190"/>
      <c r="IB39" s="190"/>
      <c r="IC39" s="190"/>
      <c r="ID39" s="190"/>
      <c r="IE39" s="190"/>
      <c r="IF39" s="190"/>
      <c r="IG39" s="190"/>
      <c r="IH39" s="190"/>
      <c r="II39" s="190"/>
      <c r="IJ39" s="190"/>
      <c r="IK39" s="190"/>
      <c r="IL39" s="190"/>
      <c r="IM39" s="190"/>
      <c r="IN39" s="190"/>
      <c r="IO39" s="190"/>
      <c r="IP39" s="190"/>
      <c r="IQ39" s="190"/>
      <c r="IR39" s="190"/>
      <c r="IS39" s="190"/>
      <c r="IT39" s="190"/>
      <c r="IU39" s="190"/>
      <c r="IV39" s="190"/>
      <c r="IW39" s="190"/>
      <c r="IX39" s="190"/>
      <c r="IY39" s="190"/>
      <c r="IZ39" s="190"/>
      <c r="JA39" s="190"/>
      <c r="JB39" s="190"/>
      <c r="JC39" s="190"/>
      <c r="JD39" s="190"/>
      <c r="JE39" s="190"/>
      <c r="JF39" s="190"/>
      <c r="JG39" s="190"/>
      <c r="JH39" s="190"/>
      <c r="JI39" s="190"/>
      <c r="JJ39" s="190"/>
      <c r="JK39" s="190"/>
      <c r="JL39" s="190"/>
      <c r="JM39" s="190"/>
      <c r="JN39" s="190"/>
      <c r="JO39" s="190"/>
      <c r="JP39" s="190"/>
      <c r="JQ39" s="190"/>
      <c r="JR39" s="190"/>
      <c r="JS39" s="190"/>
      <c r="JT39" s="190"/>
      <c r="JU39" s="190"/>
      <c r="JV39" s="190"/>
      <c r="JW39" s="190"/>
      <c r="JX39" s="190"/>
      <c r="JY39" s="190"/>
      <c r="JZ39" s="190"/>
      <c r="KA39" s="190"/>
      <c r="KB39" s="190"/>
      <c r="KC39" s="190"/>
      <c r="KD39" s="190"/>
      <c r="KE39" s="190"/>
      <c r="KF39" s="190"/>
      <c r="KG39" s="190"/>
      <c r="KH39" s="190"/>
      <c r="KI39" s="190"/>
      <c r="KJ39" s="190"/>
      <c r="KK39" s="190"/>
      <c r="KL39" s="190"/>
      <c r="KM39" s="190"/>
      <c r="KN39" s="190"/>
      <c r="KO39" s="190"/>
      <c r="KP39" s="190"/>
      <c r="KQ39" s="190"/>
      <c r="KR39" s="190"/>
      <c r="KS39" s="190"/>
      <c r="KT39" s="190"/>
      <c r="KU39" s="190"/>
      <c r="KV39" s="190"/>
      <c r="KW39" s="190"/>
      <c r="KX39" s="190"/>
      <c r="KY39" s="190"/>
      <c r="KZ39" s="190"/>
      <c r="LA39" s="190"/>
      <c r="LB39" s="190"/>
      <c r="LC39" s="190"/>
      <c r="LD39" s="190"/>
      <c r="LE39" s="190"/>
      <c r="LF39" s="190"/>
      <c r="LG39" s="190"/>
      <c r="LH39" s="190"/>
      <c r="LI39" s="190"/>
      <c r="LJ39" s="190"/>
      <c r="LK39" s="190"/>
      <c r="LL39" s="190"/>
      <c r="LM39" s="190"/>
      <c r="LN39" s="190"/>
      <c r="LO39" s="190"/>
      <c r="LP39" s="190"/>
      <c r="LQ39" s="190"/>
      <c r="LR39" s="190"/>
      <c r="LS39" s="190"/>
      <c r="LT39" s="190"/>
      <c r="LU39" s="190"/>
      <c r="LV39" s="190"/>
      <c r="LW39" s="190"/>
      <c r="LX39" s="190"/>
      <c r="LY39" s="190"/>
      <c r="LZ39" s="190"/>
      <c r="MA39" s="190"/>
      <c r="MB39" s="190"/>
      <c r="MC39" s="190"/>
      <c r="MD39" s="190"/>
      <c r="ME39" s="190"/>
      <c r="MF39" s="190"/>
      <c r="MG39" s="190"/>
      <c r="MH39" s="190"/>
      <c r="MI39" s="190"/>
      <c r="MJ39" s="190"/>
      <c r="MK39" s="190"/>
      <c r="ML39" s="190"/>
      <c r="MM39" s="190"/>
      <c r="MN39" s="190"/>
      <c r="MO39" s="190"/>
      <c r="MP39" s="190"/>
      <c r="MQ39" s="190"/>
      <c r="MR39" s="190"/>
      <c r="MS39" s="190"/>
      <c r="MT39" s="190"/>
      <c r="MU39" s="190"/>
      <c r="MV39" s="190"/>
      <c r="MW39" s="190"/>
      <c r="MX39" s="190"/>
      <c r="MY39" s="190"/>
      <c r="MZ39" s="190"/>
      <c r="NA39" s="190"/>
      <c r="NB39" s="190"/>
      <c r="NC39" s="190"/>
      <c r="ND39" s="190"/>
      <c r="NE39" s="190"/>
      <c r="NF39" s="190"/>
      <c r="NG39" s="190"/>
      <c r="NH39" s="190"/>
      <c r="NI39" s="190"/>
      <c r="NJ39" s="190"/>
      <c r="NK39" s="190"/>
      <c r="NL39" s="190"/>
      <c r="NM39" s="190"/>
      <c r="NN39" s="190"/>
      <c r="NO39" s="190"/>
      <c r="NP39" s="190"/>
      <c r="NQ39" s="190"/>
      <c r="NR39" s="190"/>
      <c r="NS39" s="190"/>
      <c r="NT39" s="190"/>
      <c r="NU39" s="190"/>
      <c r="NV39" s="190"/>
      <c r="NW39" s="190"/>
      <c r="NX39" s="190"/>
      <c r="NY39" s="190"/>
      <c r="NZ39" s="190"/>
      <c r="OA39" s="190"/>
      <c r="OB39" s="190"/>
      <c r="OC39" s="190"/>
      <c r="OD39" s="190"/>
      <c r="OE39" s="190"/>
      <c r="OF39" s="190"/>
      <c r="OG39" s="190"/>
      <c r="OH39" s="190"/>
      <c r="OI39" s="190"/>
      <c r="OJ39" s="190"/>
      <c r="OK39" s="190"/>
      <c r="OL39" s="190"/>
      <c r="OM39" s="190"/>
      <c r="ON39" s="190"/>
      <c r="OO39" s="190"/>
      <c r="OP39" s="190"/>
      <c r="OQ39" s="190"/>
      <c r="OR39" s="190"/>
      <c r="OS39" s="190"/>
      <c r="OT39" s="190"/>
      <c r="OU39" s="190"/>
      <c r="OV39" s="190"/>
      <c r="OW39" s="190"/>
      <c r="OX39" s="190"/>
      <c r="OY39" s="190"/>
      <c r="OZ39" s="190"/>
      <c r="PA39" s="190"/>
      <c r="PB39" s="291"/>
      <c r="PC39" s="246"/>
      <c r="PD39" s="247"/>
      <c r="PE39" s="246"/>
      <c r="PF39" s="247"/>
      <c r="PG39" s="246"/>
      <c r="PH39" s="247"/>
      <c r="PI39" s="246"/>
      <c r="PJ39" s="247"/>
      <c r="PK39" s="190"/>
      <c r="PL39" s="291"/>
      <c r="PM39" s="246"/>
      <c r="PN39" s="247"/>
      <c r="PO39" s="292"/>
      <c r="PP39" s="247"/>
      <c r="PQ39" s="246"/>
      <c r="PR39" s="247"/>
      <c r="PS39" s="246"/>
      <c r="PT39" s="247"/>
      <c r="PU39" s="246"/>
      <c r="PV39" s="247"/>
      <c r="PW39" s="246"/>
      <c r="PX39" s="247"/>
      <c r="PY39" s="246"/>
      <c r="PZ39" s="247"/>
      <c r="QA39" s="246"/>
      <c r="QB39" s="247"/>
      <c r="QC39" s="246"/>
      <c r="QD39" s="247"/>
      <c r="QE39" s="246"/>
      <c r="QF39" s="247"/>
      <c r="QG39" s="246"/>
      <c r="QH39" s="247"/>
      <c r="QI39" s="246"/>
      <c r="QJ39" s="247"/>
      <c r="QK39" s="246"/>
      <c r="QL39" s="247"/>
      <c r="QM39" s="246"/>
      <c r="QN39" s="247"/>
      <c r="QO39" s="246"/>
      <c r="QP39" s="247"/>
      <c r="QQ39" s="246"/>
      <c r="QR39" s="247"/>
      <c r="QS39" s="246"/>
      <c r="QT39" s="247"/>
      <c r="QU39" s="246"/>
      <c r="QV39" s="247"/>
      <c r="QW39" s="246"/>
      <c r="QX39" s="247"/>
      <c r="QY39" s="246"/>
      <c r="QZ39" s="247"/>
      <c r="RA39" s="246"/>
      <c r="RB39" s="247"/>
      <c r="RC39" s="246"/>
      <c r="RD39" s="190"/>
      <c r="RE39" s="190"/>
      <c r="RF39" s="190"/>
      <c r="RG39" s="190"/>
      <c r="RH39" s="190"/>
      <c r="RI39" s="190"/>
      <c r="RJ39" s="190"/>
      <c r="RK39" s="190"/>
      <c r="RL39" s="190"/>
      <c r="RM39" s="190"/>
      <c r="RN39" s="190"/>
      <c r="RO39" s="190"/>
      <c r="RP39" s="190"/>
      <c r="RQ39" s="190"/>
      <c r="RR39" s="190"/>
      <c r="RS39" s="190"/>
      <c r="RT39" s="190"/>
      <c r="RU39" s="190"/>
      <c r="RV39" s="190"/>
      <c r="RW39" s="190"/>
      <c r="RX39" s="190"/>
      <c r="RY39" s="190"/>
      <c r="RZ39" s="190"/>
      <c r="SA39" s="190"/>
      <c r="SB39" s="190"/>
      <c r="SC39" s="190"/>
      <c r="SD39" s="190"/>
      <c r="SE39" s="190"/>
      <c r="SF39" s="190"/>
      <c r="SG39" s="190"/>
      <c r="SH39" s="190"/>
      <c r="SI39" s="190"/>
      <c r="SJ39" s="190"/>
      <c r="SK39" s="190"/>
      <c r="SL39" s="190"/>
      <c r="SM39" s="190"/>
      <c r="SN39" s="190"/>
      <c r="SO39" s="190"/>
      <c r="SP39" s="190"/>
      <c r="SQ39" s="190"/>
      <c r="SR39" s="190"/>
      <c r="SS39" s="190"/>
      <c r="ST39" s="190"/>
      <c r="SU39" s="190"/>
      <c r="SV39" s="190"/>
      <c r="SW39" s="190"/>
      <c r="SX39" s="190"/>
      <c r="SY39" s="190"/>
      <c r="SZ39" s="190"/>
      <c r="TA39" s="190"/>
      <c r="TB39" s="190"/>
      <c r="TC39" s="190"/>
      <c r="TD39" s="190"/>
      <c r="TE39" s="190"/>
      <c r="TF39" s="190"/>
      <c r="TG39" s="190"/>
      <c r="TH39" s="190"/>
      <c r="TI39" s="190"/>
      <c r="TJ39" s="190"/>
      <c r="TK39" s="190"/>
      <c r="TL39" s="190"/>
      <c r="TM39" s="190"/>
      <c r="TN39" s="190"/>
      <c r="TO39" s="190"/>
      <c r="TP39" s="190"/>
      <c r="TQ39" s="190"/>
      <c r="TR39" s="190"/>
      <c r="TS39" s="190"/>
      <c r="TT39" s="190"/>
      <c r="TU39" s="190"/>
      <c r="TV39" s="190"/>
      <c r="TW39" s="190"/>
      <c r="TX39" s="190"/>
      <c r="TY39" s="190"/>
      <c r="TZ39" s="190"/>
      <c r="UA39" s="190"/>
      <c r="UB39" s="190"/>
      <c r="UC39" s="190"/>
      <c r="UD39" s="190"/>
      <c r="UE39" s="190"/>
      <c r="UF39" s="190"/>
      <c r="UG39" s="190"/>
      <c r="UH39" s="190"/>
      <c r="UI39" s="190"/>
      <c r="UJ39" s="190"/>
      <c r="UK39" s="190"/>
      <c r="UL39" s="190"/>
      <c r="UM39" s="190"/>
      <c r="UN39" s="190"/>
      <c r="UO39" s="190"/>
      <c r="UP39" s="190"/>
      <c r="UQ39" s="190"/>
      <c r="UR39" s="190"/>
      <c r="US39" s="190"/>
      <c r="UT39" s="190"/>
      <c r="UU39" s="190"/>
      <c r="UV39" s="190"/>
      <c r="UW39" s="190"/>
      <c r="UX39" s="190"/>
      <c r="UY39" s="190"/>
      <c r="UZ39" s="190"/>
      <c r="VA39" s="190"/>
      <c r="VB39" s="190"/>
      <c r="VC39" s="190"/>
      <c r="VD39" s="190"/>
      <c r="VE39" s="190"/>
      <c r="VF39" s="190"/>
      <c r="VG39" s="190"/>
      <c r="VH39" s="190"/>
      <c r="VI39" s="190"/>
      <c r="VJ39" s="190"/>
      <c r="VK39" s="190"/>
      <c r="VL39" s="190"/>
      <c r="VM39" s="190"/>
      <c r="VN39" s="190"/>
      <c r="VO39" s="190"/>
      <c r="VP39" s="190"/>
      <c r="VQ39" s="190"/>
      <c r="VR39" s="190"/>
      <c r="VS39" s="190"/>
      <c r="VT39" s="190"/>
      <c r="VU39" s="190"/>
      <c r="VV39" s="190"/>
      <c r="VW39" s="190"/>
      <c r="VX39" s="190"/>
      <c r="VY39" s="190"/>
      <c r="VZ39" s="190"/>
      <c r="WA39" s="190"/>
      <c r="WB39" s="190"/>
      <c r="WC39" s="190"/>
      <c r="WD39" s="190"/>
      <c r="WE39" s="190"/>
      <c r="WF39" s="190"/>
      <c r="WG39" s="190"/>
      <c r="WH39" s="190"/>
      <c r="WI39" s="190"/>
      <c r="WJ39" s="190"/>
      <c r="WK39" s="190"/>
      <c r="WL39" s="190"/>
      <c r="WM39" s="190"/>
      <c r="WN39" s="190"/>
      <c r="WO39" s="190"/>
      <c r="WP39" s="190"/>
      <c r="WQ39" s="190"/>
      <c r="WR39" s="190"/>
      <c r="WS39" s="190"/>
      <c r="WT39" s="190"/>
      <c r="WU39" s="190"/>
      <c r="WV39" s="190"/>
      <c r="WW39" s="190"/>
      <c r="WX39" s="190"/>
      <c r="WY39" s="190"/>
      <c r="WZ39" s="190"/>
      <c r="XA39" s="190"/>
      <c r="XB39" s="190"/>
      <c r="XC39" s="190"/>
      <c r="XD39" s="190"/>
      <c r="XE39" s="190"/>
      <c r="XF39" s="190"/>
      <c r="XG39" s="190"/>
      <c r="XH39" s="190"/>
      <c r="XI39" s="190"/>
      <c r="XJ39" s="190"/>
      <c r="XK39" s="190"/>
      <c r="XL39" s="190"/>
      <c r="XM39" s="190"/>
      <c r="XN39" s="190"/>
      <c r="XO39" s="190"/>
      <c r="XP39" s="190"/>
      <c r="XQ39" s="190"/>
      <c r="XR39" s="190"/>
      <c r="XS39" s="190"/>
      <c r="XT39" s="190"/>
      <c r="XU39" s="190"/>
      <c r="XV39" s="190"/>
      <c r="XW39" s="190"/>
      <c r="XX39" s="190"/>
      <c r="XY39" s="190"/>
      <c r="XZ39" s="190"/>
      <c r="YA39" s="190"/>
      <c r="YB39" s="190"/>
      <c r="YC39" s="190"/>
      <c r="YD39" s="190"/>
      <c r="YE39" s="190"/>
      <c r="YF39" s="190"/>
      <c r="YG39" s="190"/>
      <c r="YH39" s="190"/>
      <c r="YI39" s="190"/>
      <c r="YJ39" s="190"/>
      <c r="YK39" s="190"/>
      <c r="YL39" s="190"/>
      <c r="YM39" s="190"/>
      <c r="YN39" s="190"/>
      <c r="YO39" s="190"/>
      <c r="YP39" s="190"/>
      <c r="YQ39" s="190"/>
      <c r="YR39" s="190"/>
      <c r="YS39" s="190"/>
      <c r="YT39" s="190"/>
      <c r="YU39" s="190"/>
      <c r="YV39" s="190"/>
      <c r="YW39" s="190"/>
      <c r="YX39" s="190"/>
      <c r="YY39" s="190"/>
      <c r="YZ39" s="190"/>
      <c r="ZA39" s="190"/>
      <c r="ZB39" s="190"/>
      <c r="ZC39" s="190"/>
      <c r="ZD39" s="190"/>
      <c r="ZE39" s="190"/>
      <c r="ZF39" s="190"/>
      <c r="ZG39" s="190"/>
      <c r="ZH39" s="190"/>
      <c r="ZI39" s="190"/>
      <c r="ZJ39" s="190"/>
      <c r="ZK39" s="190"/>
      <c r="ZL39" s="190"/>
      <c r="ZM39" s="190"/>
      <c r="ZN39" s="190"/>
      <c r="ZO39" s="190"/>
      <c r="ZP39" s="190"/>
      <c r="ZQ39" s="190"/>
      <c r="ZR39" s="190"/>
      <c r="ZS39" s="190"/>
      <c r="ZT39" s="190"/>
      <c r="ZU39" s="190"/>
      <c r="ZV39" s="190"/>
      <c r="ZW39" s="190"/>
      <c r="ZX39" s="190"/>
      <c r="ZY39" s="190"/>
      <c r="ZZ39" s="190"/>
      <c r="AAA39" s="190"/>
      <c r="AAB39" s="190"/>
      <c r="AAC39" s="190"/>
      <c r="AAD39" s="190"/>
      <c r="AAE39" s="190"/>
      <c r="AAF39" s="190"/>
      <c r="AAG39" s="190"/>
      <c r="AAH39" s="190"/>
      <c r="AAI39" s="190"/>
      <c r="AAJ39" s="190"/>
      <c r="AAK39" s="190"/>
      <c r="AAL39" s="190"/>
      <c r="AAM39" s="190"/>
      <c r="AAN39" s="190"/>
      <c r="AAO39" s="190"/>
      <c r="AAP39" s="190"/>
      <c r="AAQ39" s="190"/>
      <c r="AAR39" s="190"/>
      <c r="AAS39" s="190"/>
      <c r="AAT39" s="190"/>
      <c r="AAU39" s="190"/>
      <c r="AAV39" s="190"/>
      <c r="AAW39" s="190"/>
      <c r="AAX39" s="190"/>
      <c r="AAY39" s="190"/>
      <c r="AAZ39" s="190"/>
      <c r="ABA39" s="190"/>
      <c r="ABB39" s="190"/>
      <c r="ABC39" s="190"/>
      <c r="ABD39" s="190"/>
      <c r="ABE39" s="336"/>
      <c r="ABF39" s="335"/>
      <c r="ABG39" s="335"/>
      <c r="ABH39" s="335"/>
      <c r="ABI39" s="335"/>
      <c r="ABJ39" s="335"/>
      <c r="ABK39" s="335"/>
      <c r="ABL39" s="335"/>
      <c r="ABM39" s="335"/>
      <c r="ABN39" s="335"/>
      <c r="ABO39" s="335"/>
      <c r="ABP39" s="335"/>
      <c r="ABQ39" s="335"/>
      <c r="ABR39" s="335"/>
      <c r="ABS39" s="335"/>
      <c r="ABT39" s="335"/>
      <c r="ABU39" s="335"/>
      <c r="ABV39" s="335"/>
      <c r="ABW39" s="335"/>
      <c r="ABX39" s="335"/>
      <c r="ABY39" s="335"/>
      <c r="ABZ39" s="335"/>
      <c r="ACA39" s="335"/>
      <c r="ACB39" s="335"/>
      <c r="ACC39" s="335"/>
      <c r="ACD39" s="335"/>
      <c r="ACE39" s="335"/>
      <c r="ACF39" s="335"/>
      <c r="ACG39" s="335"/>
      <c r="ACH39" s="335"/>
      <c r="ACI39" s="335"/>
      <c r="ACJ39" s="335"/>
      <c r="ACK39" s="335"/>
      <c r="ACL39" s="335"/>
      <c r="ACM39" s="335"/>
      <c r="ACN39" s="335"/>
      <c r="ACO39" s="335"/>
      <c r="ACP39" s="335"/>
      <c r="ACQ39" s="335"/>
      <c r="ACR39" s="335"/>
      <c r="ACS39" s="335"/>
      <c r="ACT39" s="335"/>
      <c r="ACU39" s="335"/>
      <c r="ACV39" s="335"/>
      <c r="ACW39" s="335"/>
      <c r="ACX39" s="335"/>
      <c r="ACY39" s="335"/>
      <c r="ACZ39" s="335"/>
      <c r="ADA39" s="335"/>
      <c r="ADB39" s="335"/>
      <c r="ADC39" s="335"/>
      <c r="ADD39" s="335"/>
      <c r="ADE39" s="335"/>
      <c r="ADF39" s="335"/>
      <c r="ADG39" s="335"/>
      <c r="ADH39" s="335"/>
      <c r="ADI39" s="335"/>
      <c r="ADJ39" s="335"/>
      <c r="ADK39" s="335"/>
      <c r="ADL39" s="335"/>
      <c r="ADM39" s="335"/>
      <c r="ADN39" s="335"/>
      <c r="ADO39" s="335"/>
      <c r="ADP39" s="335"/>
      <c r="ADQ39" s="335"/>
      <c r="ADR39" s="335"/>
      <c r="ADS39" s="335"/>
      <c r="ADT39" s="335"/>
      <c r="ADU39" s="335"/>
      <c r="ADV39" s="335"/>
      <c r="ADW39" s="335"/>
      <c r="ADX39" s="335"/>
      <c r="ADY39" s="335"/>
      <c r="ADZ39" s="335"/>
      <c r="AEA39" s="335"/>
      <c r="AEB39" s="335"/>
      <c r="AEC39" s="335"/>
      <c r="AED39" s="335"/>
      <c r="AEE39" s="335"/>
      <c r="AEF39" s="335"/>
      <c r="AEG39" s="335"/>
      <c r="AEH39" s="335"/>
      <c r="AEI39" s="335"/>
      <c r="AEJ39" s="335"/>
      <c r="AEK39" s="335"/>
      <c r="AEL39" s="335"/>
      <c r="AEM39" s="335"/>
      <c r="AEN39" s="335"/>
      <c r="AEO39" s="335"/>
      <c r="AEP39" s="335"/>
      <c r="AEQ39" s="335"/>
      <c r="AER39" s="335"/>
      <c r="AES39" s="335"/>
      <c r="AET39" s="335"/>
      <c r="AEU39" s="335"/>
      <c r="AEV39" s="335"/>
      <c r="AEW39" s="335"/>
      <c r="AEX39" s="335"/>
      <c r="AEY39" s="335"/>
      <c r="AEZ39" s="335"/>
      <c r="AFA39" s="335"/>
      <c r="AFB39" s="335"/>
      <c r="AFC39" s="335"/>
      <c r="AFD39" s="335"/>
      <c r="AFE39" s="335"/>
      <c r="AFF39" s="335"/>
      <c r="AFG39" s="335"/>
      <c r="AFH39" s="335"/>
      <c r="AFI39" s="335"/>
      <c r="AFJ39" s="335"/>
      <c r="AFK39" s="335"/>
      <c r="AFL39" s="335"/>
      <c r="AFM39" s="335"/>
      <c r="AFN39" s="335"/>
      <c r="AFO39" s="335"/>
      <c r="AFP39" s="335"/>
      <c r="AFQ39" s="335"/>
      <c r="AFR39" s="335"/>
      <c r="AFS39" s="335"/>
      <c r="AFT39" s="335"/>
      <c r="AFU39" s="335"/>
      <c r="AFV39" s="335"/>
      <c r="AFW39" s="335"/>
      <c r="AFX39" s="335"/>
      <c r="AFY39" s="335"/>
      <c r="AFZ39" s="335"/>
      <c r="AGA39" s="335"/>
      <c r="AGB39" s="335"/>
      <c r="AGC39" s="335"/>
      <c r="AGD39" s="335"/>
      <c r="AGE39" s="335"/>
      <c r="AGF39" s="335"/>
      <c r="AGG39" s="335"/>
      <c r="AGH39" s="335"/>
      <c r="AGI39" s="335"/>
      <c r="AGJ39" s="335"/>
      <c r="AGK39" s="335"/>
      <c r="AGL39" s="335"/>
      <c r="AGM39" s="335"/>
      <c r="AGN39" s="335"/>
      <c r="AGO39" s="335"/>
      <c r="AGP39" s="335"/>
      <c r="AGQ39" s="335"/>
      <c r="AGR39" s="335"/>
      <c r="AGS39" s="335"/>
      <c r="AGT39" s="335"/>
      <c r="AGU39" s="335"/>
      <c r="AGV39" s="335"/>
      <c r="AGW39" s="335"/>
      <c r="AGX39" s="335"/>
      <c r="AGY39" s="335"/>
      <c r="AGZ39" s="335"/>
      <c r="AHA39" s="335"/>
      <c r="AHB39" s="335"/>
      <c r="AHC39" s="335"/>
      <c r="AHD39" s="335"/>
      <c r="AHE39" s="335"/>
      <c r="AHF39" s="335"/>
      <c r="AHG39" s="335"/>
      <c r="AHH39" s="335"/>
      <c r="AHI39" s="335"/>
      <c r="AHJ39" s="335"/>
      <c r="AHK39" s="335"/>
      <c r="AHL39" s="335"/>
      <c r="AHM39" s="335"/>
      <c r="AHN39" s="335"/>
      <c r="AHO39" s="335"/>
      <c r="AHP39" s="335"/>
      <c r="AHQ39" s="335"/>
      <c r="AHR39" s="335"/>
      <c r="AHS39" s="335"/>
      <c r="AHT39" s="335"/>
      <c r="AHU39" s="335"/>
      <c r="AHV39" s="335"/>
      <c r="AHW39" s="335"/>
      <c r="AHX39" s="335"/>
      <c r="AHY39" s="335"/>
      <c r="AHZ39" s="335"/>
      <c r="AIA39" s="335"/>
      <c r="AIB39" s="335"/>
      <c r="AIC39" s="339"/>
    </row>
    <row r="40" spans="1:913" s="161" customFormat="1">
      <c r="A40" s="172"/>
      <c r="B40" s="177">
        <v>0.91666666666666696</v>
      </c>
      <c r="C40" s="190"/>
      <c r="D40" s="190"/>
      <c r="E40" s="190"/>
      <c r="F40" s="190"/>
      <c r="G40" s="190"/>
      <c r="H40" s="190"/>
      <c r="I40" s="190"/>
      <c r="J40" s="190"/>
      <c r="K40" s="190"/>
      <c r="L40" s="190"/>
      <c r="M40" s="190"/>
      <c r="N40" s="190"/>
      <c r="O40" s="216"/>
      <c r="P40" s="216"/>
      <c r="Q40" s="216"/>
      <c r="R40" s="216"/>
      <c r="S40" s="216"/>
      <c r="T40" s="216"/>
      <c r="U40" s="216"/>
      <c r="V40" s="216"/>
      <c r="W40" s="216"/>
      <c r="X40" s="216"/>
      <c r="Y40" s="216"/>
      <c r="Z40" s="216"/>
      <c r="AA40" s="216"/>
      <c r="AB40" s="216"/>
      <c r="AC40" s="216"/>
      <c r="AD40" s="216"/>
      <c r="AE40" s="216"/>
      <c r="AF40" s="216"/>
      <c r="AG40" s="216"/>
      <c r="AH40" s="216"/>
      <c r="AI40" s="216"/>
      <c r="AJ40" s="216"/>
      <c r="AK40" s="216"/>
      <c r="AL40" s="216"/>
      <c r="AM40" s="216"/>
      <c r="AN40" s="216"/>
      <c r="AO40" s="216"/>
      <c r="AP40" s="216"/>
      <c r="AQ40" s="216"/>
      <c r="AR40" s="216"/>
      <c r="AS40" s="216"/>
      <c r="AT40" s="216"/>
      <c r="AU40" s="216"/>
      <c r="AV40" s="216"/>
      <c r="AW40" s="216"/>
      <c r="AX40" s="216"/>
      <c r="AY40" s="216"/>
      <c r="AZ40" s="216"/>
      <c r="BA40" s="216"/>
      <c r="BB40" s="216"/>
      <c r="BC40" s="216"/>
      <c r="BD40" s="216"/>
      <c r="BE40" s="216"/>
      <c r="BF40" s="216"/>
      <c r="BG40" s="216"/>
      <c r="BH40" s="216"/>
      <c r="BI40" s="216"/>
      <c r="BJ40" s="216"/>
      <c r="BK40" s="216"/>
      <c r="BL40" s="216"/>
      <c r="BM40" s="216"/>
      <c r="BN40" s="216"/>
      <c r="BO40" s="216"/>
      <c r="BP40" s="216"/>
      <c r="BQ40" s="216"/>
      <c r="BR40" s="216"/>
      <c r="BS40" s="216"/>
      <c r="BT40" s="216"/>
      <c r="BU40" s="216"/>
      <c r="BV40" s="216"/>
      <c r="BW40" s="216"/>
      <c r="BX40" s="216"/>
      <c r="BY40" s="216"/>
      <c r="BZ40" s="216"/>
      <c r="CA40" s="216"/>
      <c r="CB40" s="216"/>
      <c r="CC40" s="216"/>
      <c r="CD40" s="216"/>
      <c r="CE40" s="216"/>
      <c r="CF40" s="216"/>
      <c r="CG40" s="216"/>
      <c r="CH40" s="216"/>
      <c r="CI40" s="216"/>
      <c r="CJ40" s="216"/>
      <c r="CK40" s="216"/>
      <c r="CL40" s="216"/>
      <c r="CM40" s="216"/>
      <c r="CN40" s="216"/>
      <c r="CO40" s="216"/>
      <c r="CP40" s="216"/>
      <c r="CQ40" s="190"/>
      <c r="CR40" s="216"/>
      <c r="CS40" s="216"/>
      <c r="CT40" s="216"/>
      <c r="CU40" s="216"/>
      <c r="CV40" s="216"/>
      <c r="CW40" s="216"/>
      <c r="CX40" s="216"/>
      <c r="CY40" s="216"/>
      <c r="CZ40" s="216"/>
      <c r="DA40" s="216"/>
      <c r="DB40" s="216"/>
      <c r="DC40" s="216"/>
      <c r="DD40" s="216"/>
      <c r="DE40" s="216"/>
      <c r="DF40" s="216"/>
      <c r="DG40" s="216"/>
      <c r="DH40" s="216"/>
      <c r="DI40" s="216"/>
      <c r="DJ40" s="216"/>
      <c r="DK40" s="216"/>
      <c r="DL40" s="216"/>
      <c r="DM40" s="216"/>
      <c r="DN40" s="216"/>
      <c r="DO40" s="216"/>
      <c r="DP40" s="216"/>
      <c r="DQ40" s="216"/>
      <c r="DR40" s="216"/>
      <c r="DS40" s="216"/>
      <c r="DT40" s="216"/>
      <c r="DU40" s="216"/>
      <c r="DV40" s="216"/>
      <c r="DW40" s="216"/>
      <c r="DX40" s="216"/>
      <c r="DY40" s="216"/>
      <c r="DZ40" s="216"/>
      <c r="EA40" s="216"/>
      <c r="EB40" s="216"/>
      <c r="EC40" s="216"/>
      <c r="ED40" s="216"/>
      <c r="EE40" s="216"/>
      <c r="EF40" s="216"/>
      <c r="EG40" s="216"/>
      <c r="EH40" s="216"/>
      <c r="EI40" s="216"/>
      <c r="EJ40" s="216"/>
      <c r="EK40" s="216"/>
      <c r="EL40" s="216"/>
      <c r="EM40" s="216"/>
      <c r="EN40" s="216"/>
      <c r="EO40" s="216"/>
      <c r="EP40" s="216"/>
      <c r="EQ40" s="216"/>
      <c r="ER40" s="216"/>
      <c r="ES40" s="216"/>
      <c r="ET40" s="216"/>
      <c r="EU40" s="216"/>
      <c r="EV40" s="216"/>
      <c r="EW40" s="216"/>
      <c r="EX40" s="216"/>
      <c r="EY40" s="216"/>
      <c r="EZ40" s="216"/>
      <c r="FA40" s="216"/>
      <c r="FB40" s="216"/>
      <c r="FC40" s="216"/>
      <c r="FD40" s="216"/>
      <c r="FE40" s="216"/>
      <c r="FF40" s="216"/>
      <c r="FG40" s="216"/>
      <c r="FH40" s="216"/>
      <c r="FI40" s="216"/>
      <c r="FJ40" s="216"/>
      <c r="FK40" s="216"/>
      <c r="FL40" s="216"/>
      <c r="FM40" s="216"/>
      <c r="FN40" s="216"/>
      <c r="FO40" s="216"/>
      <c r="FP40" s="216"/>
      <c r="FQ40" s="216"/>
      <c r="FR40" s="216"/>
      <c r="FS40" s="216"/>
      <c r="FT40" s="216"/>
      <c r="FU40" s="216"/>
      <c r="FV40" s="216"/>
      <c r="FW40" s="216"/>
      <c r="FX40" s="216"/>
      <c r="FY40" s="216"/>
      <c r="FZ40" s="216"/>
      <c r="GA40" s="216"/>
      <c r="GB40" s="216"/>
      <c r="GC40" s="217"/>
      <c r="GD40" s="217"/>
      <c r="GE40" s="217"/>
      <c r="GF40" s="217"/>
      <c r="GG40" s="216"/>
      <c r="GH40" s="216"/>
      <c r="GI40" s="216"/>
      <c r="GJ40" s="216"/>
      <c r="GK40" s="216"/>
      <c r="GL40" s="216"/>
      <c r="GM40" s="217"/>
      <c r="GN40" s="217"/>
      <c r="GO40" s="217"/>
      <c r="GP40" s="217"/>
      <c r="GQ40" s="217"/>
      <c r="GR40" s="218"/>
      <c r="GS40" s="217"/>
      <c r="GT40" s="217"/>
      <c r="GU40" s="216"/>
      <c r="GV40" s="216"/>
      <c r="GW40" s="216"/>
      <c r="GX40" s="216"/>
      <c r="GY40" s="190"/>
      <c r="GZ40" s="190"/>
      <c r="HA40" s="190"/>
      <c r="HB40" s="190"/>
      <c r="HC40" s="190"/>
      <c r="HD40" s="190"/>
      <c r="HE40" s="190"/>
      <c r="HF40" s="190"/>
      <c r="HG40" s="190"/>
      <c r="HH40" s="190"/>
      <c r="HI40" s="190"/>
      <c r="HJ40" s="190"/>
      <c r="HK40" s="190"/>
      <c r="HL40" s="190"/>
      <c r="HM40" s="190"/>
      <c r="HN40" s="190"/>
      <c r="HO40" s="190"/>
      <c r="HP40" s="190"/>
      <c r="HQ40" s="190"/>
      <c r="HR40" s="190"/>
      <c r="HS40" s="190"/>
      <c r="HT40" s="190"/>
      <c r="HU40" s="190"/>
      <c r="HV40" s="190"/>
      <c r="HW40" s="190"/>
      <c r="HX40" s="190"/>
      <c r="HY40" s="190"/>
      <c r="HZ40" s="190"/>
      <c r="IA40" s="190"/>
      <c r="IB40" s="190"/>
      <c r="IC40" s="190"/>
      <c r="ID40" s="190"/>
      <c r="IE40" s="190"/>
      <c r="IF40" s="190"/>
      <c r="IG40" s="190"/>
      <c r="IH40" s="190"/>
      <c r="II40" s="190"/>
      <c r="IJ40" s="190"/>
      <c r="IK40" s="190"/>
      <c r="IL40" s="190"/>
      <c r="IM40" s="190"/>
      <c r="IN40" s="190"/>
      <c r="IO40" s="190"/>
      <c r="IP40" s="190"/>
      <c r="IQ40" s="190"/>
      <c r="IR40" s="190"/>
      <c r="IS40" s="190"/>
      <c r="IT40" s="190"/>
      <c r="IU40" s="190"/>
      <c r="IV40" s="190"/>
      <c r="IW40" s="190"/>
      <c r="IX40" s="190"/>
      <c r="IY40" s="190"/>
      <c r="IZ40" s="190"/>
      <c r="JA40" s="190"/>
      <c r="JB40" s="190"/>
      <c r="JC40" s="190"/>
      <c r="JD40" s="190"/>
      <c r="JE40" s="190"/>
      <c r="JF40" s="190"/>
      <c r="JG40" s="190"/>
      <c r="JH40" s="190"/>
      <c r="JI40" s="190"/>
      <c r="JJ40" s="190"/>
      <c r="JK40" s="190"/>
      <c r="JL40" s="190"/>
      <c r="JM40" s="190"/>
      <c r="JN40" s="190"/>
      <c r="JO40" s="190"/>
      <c r="JP40" s="190"/>
      <c r="JQ40" s="190"/>
      <c r="JR40" s="190"/>
      <c r="JS40" s="190"/>
      <c r="JT40" s="190"/>
      <c r="JU40" s="190"/>
      <c r="JV40" s="190"/>
      <c r="JW40" s="190"/>
      <c r="JX40" s="190"/>
      <c r="JY40" s="190"/>
      <c r="JZ40" s="190"/>
      <c r="KA40" s="190"/>
      <c r="KB40" s="190"/>
      <c r="KC40" s="190"/>
      <c r="KD40" s="190"/>
      <c r="KE40" s="190"/>
      <c r="KF40" s="190"/>
      <c r="KG40" s="190"/>
      <c r="KH40" s="190"/>
      <c r="KI40" s="190"/>
      <c r="KJ40" s="190"/>
      <c r="KK40" s="190"/>
      <c r="KL40" s="190"/>
      <c r="KM40" s="190"/>
      <c r="KN40" s="190"/>
      <c r="KO40" s="190"/>
      <c r="KP40" s="190"/>
      <c r="KQ40" s="190"/>
      <c r="KR40" s="190"/>
      <c r="KS40" s="190"/>
      <c r="KT40" s="190"/>
      <c r="KU40" s="190"/>
      <c r="KV40" s="190"/>
      <c r="KW40" s="190"/>
      <c r="KX40" s="190"/>
      <c r="KY40" s="190"/>
      <c r="KZ40" s="190"/>
      <c r="LA40" s="190"/>
      <c r="LB40" s="190"/>
      <c r="LC40" s="190"/>
      <c r="LD40" s="190"/>
      <c r="LE40" s="190"/>
      <c r="LF40" s="190"/>
      <c r="LG40" s="190"/>
      <c r="LH40" s="190"/>
      <c r="LI40" s="190"/>
      <c r="LJ40" s="190"/>
      <c r="LK40" s="190"/>
      <c r="LL40" s="190"/>
      <c r="LM40" s="190"/>
      <c r="LN40" s="190"/>
      <c r="LO40" s="190"/>
      <c r="LP40" s="190"/>
      <c r="LQ40" s="190"/>
      <c r="LR40" s="190"/>
      <c r="LS40" s="190"/>
      <c r="LT40" s="190"/>
      <c r="LU40" s="190"/>
      <c r="LV40" s="190"/>
      <c r="LW40" s="190"/>
      <c r="LX40" s="190"/>
      <c r="LY40" s="190"/>
      <c r="LZ40" s="190"/>
      <c r="MA40" s="190"/>
      <c r="MB40" s="190"/>
      <c r="MC40" s="190"/>
      <c r="MD40" s="190"/>
      <c r="ME40" s="190"/>
      <c r="MF40" s="190"/>
      <c r="MG40" s="190"/>
      <c r="MH40" s="190"/>
      <c r="MI40" s="190"/>
      <c r="MJ40" s="190"/>
      <c r="MK40" s="190"/>
      <c r="ML40" s="190"/>
      <c r="MM40" s="190"/>
      <c r="MN40" s="190"/>
      <c r="MO40" s="190"/>
      <c r="MP40" s="190"/>
      <c r="MQ40" s="190"/>
      <c r="MR40" s="190"/>
      <c r="MS40" s="190"/>
      <c r="MT40" s="190"/>
      <c r="MU40" s="190"/>
      <c r="MV40" s="190"/>
      <c r="MW40" s="190"/>
      <c r="MX40" s="190"/>
      <c r="MY40" s="190"/>
      <c r="MZ40" s="190"/>
      <c r="NA40" s="190"/>
      <c r="NB40" s="190"/>
      <c r="NC40" s="190"/>
      <c r="ND40" s="190"/>
      <c r="NE40" s="190"/>
      <c r="NF40" s="190"/>
      <c r="NG40" s="190"/>
      <c r="NH40" s="190"/>
      <c r="NI40" s="190"/>
      <c r="NJ40" s="190"/>
      <c r="NK40" s="190"/>
      <c r="NL40" s="190"/>
      <c r="NM40" s="190"/>
      <c r="NN40" s="190"/>
      <c r="NO40" s="190"/>
      <c r="NP40" s="190"/>
      <c r="NQ40" s="190"/>
      <c r="NR40" s="190"/>
      <c r="NS40" s="190"/>
      <c r="NT40" s="190"/>
      <c r="NU40" s="190"/>
      <c r="NV40" s="190"/>
      <c r="NW40" s="190"/>
      <c r="NX40" s="190"/>
      <c r="NY40" s="190"/>
      <c r="NZ40" s="190"/>
      <c r="OA40" s="190"/>
      <c r="OB40" s="190"/>
      <c r="OC40" s="190"/>
      <c r="OD40" s="190"/>
      <c r="OE40" s="190"/>
      <c r="OF40" s="190"/>
      <c r="OG40" s="190"/>
      <c r="OH40" s="190"/>
      <c r="OI40" s="190"/>
      <c r="OJ40" s="190"/>
      <c r="OK40" s="190"/>
      <c r="OL40" s="190"/>
      <c r="OM40" s="190"/>
      <c r="ON40" s="190"/>
      <c r="OO40" s="190"/>
      <c r="OP40" s="190"/>
      <c r="OQ40" s="190"/>
      <c r="OR40" s="190"/>
      <c r="OS40" s="190"/>
      <c r="OT40" s="190"/>
      <c r="OU40" s="190"/>
      <c r="OV40" s="190"/>
      <c r="OW40" s="190"/>
      <c r="OX40" s="190"/>
      <c r="OY40" s="190"/>
      <c r="OZ40" s="190"/>
      <c r="PA40" s="190"/>
      <c r="PB40" s="291"/>
      <c r="PC40" s="246"/>
      <c r="PD40" s="247"/>
      <c r="PE40" s="246"/>
      <c r="PF40" s="247"/>
      <c r="PG40" s="246"/>
      <c r="PH40" s="247"/>
      <c r="PI40" s="246"/>
      <c r="PJ40" s="247"/>
      <c r="PK40" s="190"/>
      <c r="PL40" s="291"/>
      <c r="PM40" s="246"/>
      <c r="PN40" s="247"/>
      <c r="PO40" s="292"/>
      <c r="PP40" s="247"/>
      <c r="PQ40" s="246"/>
      <c r="PR40" s="247"/>
      <c r="PS40" s="246"/>
      <c r="PT40" s="247"/>
      <c r="PU40" s="246"/>
      <c r="PV40" s="247"/>
      <c r="PW40" s="246"/>
      <c r="PX40" s="247"/>
      <c r="PY40" s="246"/>
      <c r="PZ40" s="247"/>
      <c r="QA40" s="246"/>
      <c r="QB40" s="247"/>
      <c r="QC40" s="246"/>
      <c r="QD40" s="247"/>
      <c r="QE40" s="246"/>
      <c r="QF40" s="247"/>
      <c r="QG40" s="246"/>
      <c r="QH40" s="247"/>
      <c r="QI40" s="246"/>
      <c r="QJ40" s="247"/>
      <c r="QK40" s="246"/>
      <c r="QL40" s="247"/>
      <c r="QM40" s="246"/>
      <c r="QN40" s="247"/>
      <c r="QO40" s="246"/>
      <c r="QP40" s="247"/>
      <c r="QQ40" s="246"/>
      <c r="QR40" s="247"/>
      <c r="QS40" s="246"/>
      <c r="QT40" s="247"/>
      <c r="QU40" s="246"/>
      <c r="QV40" s="247"/>
      <c r="QW40" s="246"/>
      <c r="QX40" s="247"/>
      <c r="QY40" s="246"/>
      <c r="QZ40" s="247"/>
      <c r="RA40" s="246"/>
      <c r="RB40" s="247"/>
      <c r="RC40" s="246"/>
      <c r="RD40" s="190"/>
      <c r="RE40" s="190"/>
      <c r="RF40" s="190"/>
      <c r="RG40" s="190"/>
      <c r="RH40" s="190"/>
      <c r="RI40" s="190"/>
      <c r="RJ40" s="190"/>
      <c r="RK40" s="190"/>
      <c r="RL40" s="190"/>
      <c r="RM40" s="190"/>
      <c r="RN40" s="190"/>
      <c r="RO40" s="190"/>
      <c r="RP40" s="190"/>
      <c r="RQ40" s="190"/>
      <c r="RR40" s="190"/>
      <c r="RS40" s="190"/>
      <c r="RT40" s="190"/>
      <c r="RU40" s="190"/>
      <c r="RV40" s="190"/>
      <c r="RW40" s="190"/>
      <c r="RX40" s="190"/>
      <c r="RY40" s="190"/>
      <c r="RZ40" s="190"/>
      <c r="SA40" s="190"/>
      <c r="SB40" s="190"/>
      <c r="SC40" s="190"/>
      <c r="SD40" s="190"/>
      <c r="SE40" s="190"/>
      <c r="SF40" s="190"/>
      <c r="SG40" s="190"/>
      <c r="SH40" s="190"/>
      <c r="SI40" s="190"/>
      <c r="SJ40" s="190"/>
      <c r="SK40" s="190"/>
      <c r="SL40" s="190"/>
      <c r="SM40" s="190"/>
      <c r="SN40" s="190"/>
      <c r="SO40" s="190"/>
      <c r="SP40" s="190"/>
      <c r="SQ40" s="190"/>
      <c r="SR40" s="190"/>
      <c r="SS40" s="190"/>
      <c r="ST40" s="190"/>
      <c r="SU40" s="190"/>
      <c r="SV40" s="190"/>
      <c r="SW40" s="190"/>
      <c r="SX40" s="190"/>
      <c r="SY40" s="190"/>
      <c r="SZ40" s="190"/>
      <c r="TA40" s="190"/>
      <c r="TB40" s="190"/>
      <c r="TC40" s="190"/>
      <c r="TD40" s="190"/>
      <c r="TE40" s="190"/>
      <c r="TF40" s="190"/>
      <c r="TG40" s="190"/>
      <c r="TH40" s="190"/>
      <c r="TI40" s="190"/>
      <c r="TJ40" s="190"/>
      <c r="TK40" s="190"/>
      <c r="TL40" s="190"/>
      <c r="TM40" s="190"/>
      <c r="TN40" s="190"/>
      <c r="TO40" s="190"/>
      <c r="TP40" s="190"/>
      <c r="TQ40" s="190"/>
      <c r="TR40" s="190"/>
      <c r="TS40" s="190"/>
      <c r="TT40" s="190"/>
      <c r="TU40" s="190"/>
      <c r="TV40" s="190"/>
      <c r="TW40" s="190"/>
      <c r="TX40" s="190"/>
      <c r="TY40" s="190"/>
      <c r="TZ40" s="190"/>
      <c r="UA40" s="190"/>
      <c r="UB40" s="190"/>
      <c r="UC40" s="190"/>
      <c r="UD40" s="190"/>
      <c r="UE40" s="190"/>
      <c r="UF40" s="190"/>
      <c r="UG40" s="190"/>
      <c r="UH40" s="190"/>
      <c r="UI40" s="190"/>
      <c r="UJ40" s="190"/>
      <c r="UK40" s="190"/>
      <c r="UL40" s="190"/>
      <c r="UM40" s="190"/>
      <c r="UN40" s="190"/>
      <c r="UO40" s="190"/>
      <c r="UP40" s="190"/>
      <c r="UQ40" s="190"/>
      <c r="UR40" s="190"/>
      <c r="US40" s="190"/>
      <c r="UT40" s="190"/>
      <c r="UU40" s="190"/>
      <c r="UV40" s="190"/>
      <c r="UW40" s="190"/>
      <c r="UX40" s="190"/>
      <c r="UY40" s="190"/>
      <c r="UZ40" s="190"/>
      <c r="VA40" s="190"/>
      <c r="VB40" s="190"/>
      <c r="VC40" s="190"/>
      <c r="VD40" s="190"/>
      <c r="VE40" s="190"/>
      <c r="VF40" s="190"/>
      <c r="VG40" s="190"/>
      <c r="VH40" s="190"/>
      <c r="VI40" s="190"/>
      <c r="VJ40" s="190"/>
      <c r="VK40" s="190"/>
      <c r="VL40" s="190"/>
      <c r="VM40" s="190"/>
      <c r="VN40" s="190"/>
      <c r="VO40" s="190"/>
      <c r="VP40" s="190"/>
      <c r="VQ40" s="190"/>
      <c r="VR40" s="190"/>
      <c r="VS40" s="190"/>
      <c r="VT40" s="190"/>
      <c r="VU40" s="190"/>
      <c r="VV40" s="190"/>
      <c r="VW40" s="190"/>
      <c r="VX40" s="190"/>
      <c r="VY40" s="190"/>
      <c r="VZ40" s="190"/>
      <c r="WA40" s="190"/>
      <c r="WB40" s="190"/>
      <c r="WC40" s="190"/>
      <c r="WD40" s="190"/>
      <c r="WE40" s="190"/>
      <c r="WF40" s="190"/>
      <c r="WG40" s="190"/>
      <c r="WH40" s="190"/>
      <c r="WI40" s="190"/>
      <c r="WJ40" s="190"/>
      <c r="WK40" s="190"/>
      <c r="WL40" s="190"/>
      <c r="WM40" s="190"/>
      <c r="WN40" s="190"/>
      <c r="WO40" s="190"/>
      <c r="WP40" s="190"/>
      <c r="WQ40" s="190"/>
      <c r="WR40" s="190"/>
      <c r="WS40" s="190"/>
      <c r="WT40" s="190"/>
      <c r="WU40" s="190"/>
      <c r="WV40" s="190"/>
      <c r="WW40" s="190"/>
      <c r="WX40" s="190"/>
      <c r="WY40" s="190"/>
      <c r="WZ40" s="190"/>
      <c r="XA40" s="190"/>
      <c r="XB40" s="190"/>
      <c r="XC40" s="190"/>
      <c r="XD40" s="190"/>
      <c r="XE40" s="190"/>
      <c r="XF40" s="190"/>
      <c r="XG40" s="190"/>
      <c r="XH40" s="190"/>
      <c r="XI40" s="190"/>
      <c r="XJ40" s="190"/>
      <c r="XK40" s="190"/>
      <c r="XL40" s="190"/>
      <c r="XM40" s="190"/>
      <c r="XN40" s="190"/>
      <c r="XO40" s="190"/>
      <c r="XP40" s="190"/>
      <c r="XQ40" s="190"/>
      <c r="XR40" s="190"/>
      <c r="XS40" s="190"/>
      <c r="XT40" s="190"/>
      <c r="XU40" s="190"/>
      <c r="XV40" s="190"/>
      <c r="XW40" s="190"/>
      <c r="XX40" s="190"/>
      <c r="XY40" s="190"/>
      <c r="XZ40" s="190"/>
      <c r="YA40" s="190"/>
      <c r="YB40" s="190"/>
      <c r="YC40" s="190"/>
      <c r="YD40" s="190"/>
      <c r="YE40" s="190"/>
      <c r="YF40" s="190"/>
      <c r="YG40" s="190"/>
      <c r="YH40" s="190"/>
      <c r="YI40" s="190"/>
      <c r="YJ40" s="190"/>
      <c r="YK40" s="190"/>
      <c r="YL40" s="190"/>
      <c r="YM40" s="190"/>
      <c r="YN40" s="190"/>
      <c r="YO40" s="190"/>
      <c r="YP40" s="190"/>
      <c r="YQ40" s="190"/>
      <c r="YR40" s="190"/>
      <c r="YS40" s="190"/>
      <c r="YT40" s="190"/>
      <c r="YU40" s="190"/>
      <c r="YV40" s="190"/>
      <c r="YW40" s="190"/>
      <c r="YX40" s="190"/>
      <c r="YY40" s="190"/>
      <c r="YZ40" s="190"/>
      <c r="ZA40" s="190"/>
      <c r="ZB40" s="190"/>
      <c r="ZC40" s="190"/>
      <c r="ZD40" s="190"/>
      <c r="ZE40" s="190"/>
      <c r="ZF40" s="190"/>
      <c r="ZG40" s="190"/>
      <c r="ZH40" s="190"/>
      <c r="ZI40" s="190"/>
      <c r="ZJ40" s="190"/>
      <c r="ZK40" s="190"/>
      <c r="ZL40" s="190"/>
      <c r="ZM40" s="190"/>
      <c r="ZN40" s="190"/>
      <c r="ZO40" s="190"/>
      <c r="ZP40" s="190"/>
      <c r="ZQ40" s="190"/>
      <c r="ZR40" s="190"/>
      <c r="ZS40" s="190"/>
      <c r="ZT40" s="190"/>
      <c r="ZU40" s="190"/>
      <c r="ZV40" s="190"/>
      <c r="ZW40" s="190"/>
      <c r="ZX40" s="190"/>
      <c r="ZY40" s="190"/>
      <c r="ZZ40" s="190"/>
      <c r="AAA40" s="190"/>
      <c r="AAB40" s="190"/>
      <c r="AAC40" s="190"/>
      <c r="AAD40" s="190"/>
      <c r="AAE40" s="190"/>
      <c r="AAF40" s="190"/>
      <c r="AAG40" s="190"/>
      <c r="AAH40" s="190"/>
      <c r="AAI40" s="190"/>
      <c r="AAJ40" s="190"/>
      <c r="AAK40" s="344"/>
      <c r="AAL40" s="344"/>
      <c r="AAM40" s="190"/>
      <c r="AAN40" s="190"/>
      <c r="AAO40" s="190"/>
      <c r="AAP40" s="190"/>
      <c r="AAQ40" s="190"/>
      <c r="AAR40" s="190"/>
      <c r="AAS40" s="190"/>
      <c r="AAT40" s="190"/>
      <c r="AAU40" s="190"/>
      <c r="AAV40" s="190"/>
      <c r="AAW40" s="190"/>
      <c r="AAX40" s="190"/>
      <c r="AAY40" s="190"/>
      <c r="AAZ40" s="190"/>
      <c r="ABA40" s="190"/>
      <c r="ABB40" s="190"/>
      <c r="ABC40" s="190"/>
      <c r="ABD40" s="190"/>
      <c r="ABE40" s="336"/>
      <c r="ABF40" s="335"/>
      <c r="ABG40" s="335"/>
      <c r="ABH40" s="335"/>
      <c r="ABI40" s="335"/>
      <c r="ABJ40" s="335"/>
      <c r="ABK40" s="335"/>
      <c r="ABL40" s="335"/>
      <c r="ABM40" s="335"/>
      <c r="ABN40" s="335"/>
      <c r="ABO40" s="335"/>
      <c r="ABP40" s="335"/>
      <c r="ABQ40" s="335"/>
      <c r="ABR40" s="335"/>
      <c r="ABS40" s="335"/>
      <c r="ABT40" s="335"/>
      <c r="ABU40" s="335"/>
      <c r="ABV40" s="335"/>
      <c r="ABW40" s="335"/>
      <c r="ABX40" s="335"/>
      <c r="ABY40" s="335"/>
      <c r="ABZ40" s="335"/>
      <c r="ACA40" s="335"/>
      <c r="ACB40" s="335"/>
      <c r="ACC40" s="335"/>
      <c r="ACD40" s="335"/>
      <c r="ACE40" s="335"/>
      <c r="ACF40" s="335"/>
      <c r="ACG40" s="335"/>
      <c r="ACH40" s="335"/>
      <c r="ACI40" s="335"/>
      <c r="ACJ40" s="335"/>
      <c r="ACK40" s="335"/>
      <c r="ACL40" s="335"/>
      <c r="ACM40" s="335"/>
      <c r="ACN40" s="335"/>
      <c r="ACO40" s="335"/>
      <c r="ACP40" s="335"/>
      <c r="ACQ40" s="335"/>
      <c r="ACR40" s="335"/>
      <c r="ACS40" s="335"/>
      <c r="ACT40" s="335"/>
      <c r="ACU40" s="335"/>
      <c r="ACV40" s="335"/>
      <c r="ACW40" s="335"/>
      <c r="ACX40" s="335"/>
      <c r="ACY40" s="335"/>
      <c r="ACZ40" s="335"/>
      <c r="ADA40" s="335"/>
      <c r="ADB40" s="335"/>
      <c r="ADC40" s="335"/>
      <c r="ADD40" s="335"/>
      <c r="ADE40" s="335"/>
      <c r="ADF40" s="335"/>
      <c r="ADG40" s="335"/>
      <c r="ADH40" s="335"/>
      <c r="ADI40" s="335"/>
      <c r="ADJ40" s="335"/>
      <c r="ADK40" s="335"/>
      <c r="ADL40" s="335"/>
      <c r="ADM40" s="335"/>
      <c r="ADN40" s="335"/>
      <c r="ADO40" s="335"/>
      <c r="ADP40" s="335"/>
      <c r="ADQ40" s="335"/>
      <c r="ADR40" s="335"/>
      <c r="ADS40" s="335"/>
      <c r="ADT40" s="335"/>
      <c r="ADU40" s="335"/>
      <c r="ADV40" s="335"/>
      <c r="ADW40" s="335"/>
      <c r="ADX40" s="335"/>
      <c r="ADY40" s="335"/>
      <c r="ADZ40" s="335"/>
      <c r="AEA40" s="335"/>
      <c r="AEB40" s="335"/>
      <c r="AEC40" s="335"/>
      <c r="AED40" s="335"/>
      <c r="AEE40" s="335"/>
      <c r="AEF40" s="335"/>
      <c r="AEG40" s="335"/>
      <c r="AEH40" s="335"/>
      <c r="AEI40" s="335"/>
      <c r="AEJ40" s="335"/>
      <c r="AEK40" s="335"/>
      <c r="AEL40" s="335"/>
      <c r="AEM40" s="335"/>
      <c r="AEN40" s="335"/>
      <c r="AEO40" s="335"/>
      <c r="AEP40" s="335"/>
      <c r="AEQ40" s="335"/>
      <c r="AER40" s="335"/>
      <c r="AES40" s="335"/>
      <c r="AET40" s="335"/>
      <c r="AEU40" s="335"/>
      <c r="AEV40" s="335"/>
      <c r="AEW40" s="335"/>
      <c r="AEX40" s="335"/>
      <c r="AEY40" s="335"/>
      <c r="AEZ40" s="335"/>
      <c r="AFA40" s="335"/>
      <c r="AFB40" s="335"/>
      <c r="AFC40" s="335"/>
      <c r="AFD40" s="335"/>
      <c r="AFE40" s="335"/>
      <c r="AFF40" s="335"/>
      <c r="AFG40" s="335"/>
      <c r="AFH40" s="335"/>
      <c r="AFI40" s="335"/>
      <c r="AFJ40" s="335"/>
      <c r="AFK40" s="335"/>
      <c r="AFL40" s="335"/>
      <c r="AFM40" s="335"/>
      <c r="AFN40" s="335"/>
      <c r="AFO40" s="335"/>
      <c r="AFP40" s="335"/>
      <c r="AFQ40" s="335"/>
      <c r="AFR40" s="335"/>
      <c r="AFS40" s="335"/>
      <c r="AFT40" s="335"/>
      <c r="AFU40" s="335"/>
      <c r="AFV40" s="335"/>
      <c r="AFW40" s="335"/>
      <c r="AFX40" s="335"/>
      <c r="AFY40" s="335"/>
      <c r="AFZ40" s="335"/>
      <c r="AGA40" s="335"/>
      <c r="AGB40" s="335"/>
      <c r="AGC40" s="335"/>
      <c r="AGD40" s="335"/>
      <c r="AGE40" s="335"/>
      <c r="AGF40" s="335"/>
      <c r="AGG40" s="335"/>
      <c r="AGH40" s="335"/>
      <c r="AGI40" s="335"/>
      <c r="AGJ40" s="335"/>
      <c r="AGK40" s="335"/>
      <c r="AGL40" s="335"/>
      <c r="AGM40" s="335"/>
      <c r="AGN40" s="335"/>
      <c r="AGO40" s="335"/>
      <c r="AGP40" s="335"/>
      <c r="AGQ40" s="335"/>
      <c r="AGR40" s="335"/>
      <c r="AGS40" s="335"/>
      <c r="AGT40" s="335"/>
      <c r="AGU40" s="335"/>
      <c r="AGV40" s="335"/>
      <c r="AGW40" s="335"/>
      <c r="AGX40" s="335"/>
      <c r="AGY40" s="335"/>
      <c r="AGZ40" s="335"/>
      <c r="AHA40" s="335"/>
      <c r="AHB40" s="335"/>
      <c r="AHC40" s="335"/>
      <c r="AHD40" s="335"/>
      <c r="AHE40" s="335"/>
      <c r="AHF40" s="335"/>
      <c r="AHG40" s="335"/>
      <c r="AHH40" s="335"/>
      <c r="AHI40" s="335"/>
      <c r="AHJ40" s="335"/>
      <c r="AHK40" s="335"/>
      <c r="AHL40" s="335"/>
      <c r="AHM40" s="335"/>
      <c r="AHN40" s="335"/>
      <c r="AHO40" s="335"/>
      <c r="AHP40" s="335"/>
      <c r="AHQ40" s="335"/>
      <c r="AHR40" s="335"/>
      <c r="AHS40" s="335"/>
      <c r="AHT40" s="335"/>
      <c r="AHU40" s="335"/>
      <c r="AHV40" s="335"/>
      <c r="AHW40" s="335"/>
      <c r="AHX40" s="335"/>
      <c r="AHY40" s="335"/>
      <c r="AHZ40" s="335"/>
      <c r="AIA40" s="335"/>
      <c r="AIB40" s="335"/>
      <c r="AIC40" s="339"/>
    </row>
    <row r="41" spans="1:913" s="170" customFormat="1">
      <c r="A41" s="172"/>
      <c r="B41" s="177">
        <v>0.95833333333333404</v>
      </c>
      <c r="C41" s="190"/>
      <c r="D41" s="190"/>
      <c r="E41" s="190"/>
      <c r="F41" s="190"/>
      <c r="G41" s="190"/>
      <c r="H41" s="190"/>
      <c r="I41" s="190"/>
      <c r="J41" s="190"/>
      <c r="K41" s="190"/>
      <c r="L41" s="190"/>
      <c r="M41" s="190"/>
      <c r="N41" s="190"/>
      <c r="O41" s="216"/>
      <c r="P41" s="216"/>
      <c r="Q41" s="216"/>
      <c r="R41" s="216"/>
      <c r="S41" s="216"/>
      <c r="T41" s="216"/>
      <c r="U41" s="216"/>
      <c r="V41" s="216"/>
      <c r="W41" s="216"/>
      <c r="X41" s="216"/>
      <c r="Y41" s="216"/>
      <c r="Z41" s="216"/>
      <c r="AA41" s="216"/>
      <c r="AB41" s="216"/>
      <c r="AC41" s="216"/>
      <c r="AD41" s="216"/>
      <c r="AE41" s="216"/>
      <c r="AF41" s="216"/>
      <c r="AG41" s="216"/>
      <c r="AH41" s="216"/>
      <c r="AI41" s="216"/>
      <c r="AJ41" s="216"/>
      <c r="AK41" s="216"/>
      <c r="AL41" s="216"/>
      <c r="AM41" s="216"/>
      <c r="AN41" s="216"/>
      <c r="AO41" s="216"/>
      <c r="AP41" s="216"/>
      <c r="AQ41" s="216"/>
      <c r="AR41" s="216"/>
      <c r="AS41" s="216"/>
      <c r="AT41" s="216"/>
      <c r="AU41" s="216"/>
      <c r="AV41" s="216"/>
      <c r="AW41" s="216"/>
      <c r="AX41" s="216"/>
      <c r="AY41" s="216"/>
      <c r="AZ41" s="216"/>
      <c r="BA41" s="216"/>
      <c r="BB41" s="216"/>
      <c r="BC41" s="216"/>
      <c r="BD41" s="216"/>
      <c r="BE41" s="216"/>
      <c r="BF41" s="216"/>
      <c r="BG41" s="216"/>
      <c r="BH41" s="216"/>
      <c r="BI41" s="216"/>
      <c r="BJ41" s="216"/>
      <c r="BK41" s="216"/>
      <c r="BL41" s="216"/>
      <c r="BM41" s="216"/>
      <c r="BN41" s="216"/>
      <c r="BO41" s="216"/>
      <c r="BP41" s="216"/>
      <c r="BQ41" s="216"/>
      <c r="BR41" s="216"/>
      <c r="BS41" s="216"/>
      <c r="BT41" s="216"/>
      <c r="BU41" s="216"/>
      <c r="BV41" s="216"/>
      <c r="BW41" s="216"/>
      <c r="BX41" s="216"/>
      <c r="BY41" s="216"/>
      <c r="BZ41" s="216"/>
      <c r="CA41" s="216"/>
      <c r="CB41" s="216"/>
      <c r="CC41" s="216"/>
      <c r="CD41" s="216"/>
      <c r="CE41" s="216"/>
      <c r="CF41" s="216"/>
      <c r="CG41" s="216"/>
      <c r="CH41" s="216"/>
      <c r="CI41" s="216"/>
      <c r="CJ41" s="216"/>
      <c r="CK41" s="216"/>
      <c r="CL41" s="216"/>
      <c r="CM41" s="216"/>
      <c r="CN41" s="216"/>
      <c r="CO41" s="216"/>
      <c r="CP41" s="216"/>
      <c r="CQ41" s="190"/>
      <c r="CR41" s="216"/>
      <c r="CS41" s="216"/>
      <c r="CT41" s="216"/>
      <c r="CU41" s="216"/>
      <c r="CV41" s="216"/>
      <c r="CW41" s="216"/>
      <c r="CX41" s="216"/>
      <c r="CY41" s="216"/>
      <c r="CZ41" s="216"/>
      <c r="DA41" s="216"/>
      <c r="DB41" s="216"/>
      <c r="DC41" s="216"/>
      <c r="DD41" s="216"/>
      <c r="DE41" s="216"/>
      <c r="DF41" s="216"/>
      <c r="DG41" s="216"/>
      <c r="DH41" s="216"/>
      <c r="DI41" s="216"/>
      <c r="DJ41" s="216"/>
      <c r="DK41" s="216"/>
      <c r="DL41" s="216"/>
      <c r="DM41" s="216"/>
      <c r="DN41" s="216"/>
      <c r="DO41" s="216"/>
      <c r="DP41" s="216"/>
      <c r="DQ41" s="216"/>
      <c r="DR41" s="216"/>
      <c r="DS41" s="216"/>
      <c r="DT41" s="216"/>
      <c r="DU41" s="216"/>
      <c r="DV41" s="216"/>
      <c r="DW41" s="216"/>
      <c r="DX41" s="216"/>
      <c r="DY41" s="216"/>
      <c r="DZ41" s="216"/>
      <c r="EA41" s="216"/>
      <c r="EB41" s="216"/>
      <c r="EC41" s="216"/>
      <c r="ED41" s="216"/>
      <c r="EE41" s="216"/>
      <c r="EF41" s="216"/>
      <c r="EG41" s="216"/>
      <c r="EH41" s="216"/>
      <c r="EI41" s="216"/>
      <c r="EJ41" s="216"/>
      <c r="EK41" s="216"/>
      <c r="EL41" s="216"/>
      <c r="EM41" s="216"/>
      <c r="EN41" s="216"/>
      <c r="EO41" s="216"/>
      <c r="EP41" s="216"/>
      <c r="EQ41" s="216"/>
      <c r="ER41" s="216"/>
      <c r="ES41" s="216"/>
      <c r="ET41" s="216"/>
      <c r="EU41" s="216"/>
      <c r="EV41" s="216"/>
      <c r="EW41" s="216"/>
      <c r="EX41" s="216"/>
      <c r="EY41" s="216"/>
      <c r="EZ41" s="216"/>
      <c r="FA41" s="216"/>
      <c r="FB41" s="216"/>
      <c r="FC41" s="216"/>
      <c r="FD41" s="216"/>
      <c r="FE41" s="216"/>
      <c r="FF41" s="216"/>
      <c r="FG41" s="216"/>
      <c r="FH41" s="216"/>
      <c r="FI41" s="216"/>
      <c r="FJ41" s="216"/>
      <c r="FK41" s="216"/>
      <c r="FL41" s="216"/>
      <c r="FM41" s="216"/>
      <c r="FN41" s="216"/>
      <c r="FO41" s="216"/>
      <c r="FP41" s="216"/>
      <c r="FQ41" s="216"/>
      <c r="FR41" s="216"/>
      <c r="FS41" s="216"/>
      <c r="FT41" s="216"/>
      <c r="FU41" s="216"/>
      <c r="FV41" s="216"/>
      <c r="FW41" s="216"/>
      <c r="FX41" s="216"/>
      <c r="FY41" s="216"/>
      <c r="FZ41" s="216"/>
      <c r="GA41" s="216"/>
      <c r="GB41" s="216"/>
      <c r="GC41" s="217"/>
      <c r="GD41" s="217"/>
      <c r="GE41" s="217"/>
      <c r="GF41" s="217"/>
      <c r="GG41" s="216"/>
      <c r="GH41" s="216"/>
      <c r="GI41" s="216"/>
      <c r="GJ41" s="216"/>
      <c r="GK41" s="216"/>
      <c r="GL41" s="216"/>
      <c r="GM41" s="217"/>
      <c r="GN41" s="217"/>
      <c r="GO41" s="217"/>
      <c r="GP41" s="217"/>
      <c r="GQ41" s="217"/>
      <c r="GR41" s="218"/>
      <c r="GS41" s="217"/>
      <c r="GT41" s="217"/>
      <c r="GU41" s="216"/>
      <c r="GV41" s="216"/>
      <c r="GW41" s="216"/>
      <c r="GX41" s="216"/>
      <c r="GY41" s="190"/>
      <c r="GZ41" s="190"/>
      <c r="HA41" s="190"/>
      <c r="HB41" s="190"/>
      <c r="HC41" s="190"/>
      <c r="HD41" s="190"/>
      <c r="HE41" s="190"/>
      <c r="HF41" s="190"/>
      <c r="HG41" s="190"/>
      <c r="HH41" s="190"/>
      <c r="HI41" s="190"/>
      <c r="HJ41" s="190"/>
      <c r="HK41" s="190"/>
      <c r="HL41" s="190"/>
      <c r="HM41" s="190"/>
      <c r="HN41" s="190"/>
      <c r="HO41" s="190"/>
      <c r="HP41" s="190"/>
      <c r="HQ41" s="190"/>
      <c r="HR41" s="190"/>
      <c r="HS41" s="190"/>
      <c r="HT41" s="190"/>
      <c r="HU41" s="190"/>
      <c r="HV41" s="190"/>
      <c r="HW41" s="190"/>
      <c r="HX41" s="190"/>
      <c r="HY41" s="190"/>
      <c r="HZ41" s="190"/>
      <c r="IA41" s="190"/>
      <c r="IB41" s="190"/>
      <c r="IC41" s="190"/>
      <c r="ID41" s="190"/>
      <c r="IE41" s="190"/>
      <c r="IF41" s="190"/>
      <c r="IG41" s="190"/>
      <c r="IH41" s="190"/>
      <c r="II41" s="190"/>
      <c r="IJ41" s="190"/>
      <c r="IK41" s="190"/>
      <c r="IL41" s="190"/>
      <c r="IM41" s="190"/>
      <c r="IN41" s="190"/>
      <c r="IO41" s="190"/>
      <c r="IP41" s="190"/>
      <c r="IQ41" s="190"/>
      <c r="IR41" s="190"/>
      <c r="IS41" s="190"/>
      <c r="IT41" s="190"/>
      <c r="IU41" s="190"/>
      <c r="IV41" s="190"/>
      <c r="IW41" s="190"/>
      <c r="IX41" s="190"/>
      <c r="IY41" s="190"/>
      <c r="IZ41" s="190"/>
      <c r="JA41" s="190"/>
      <c r="JB41" s="190"/>
      <c r="JC41" s="190"/>
      <c r="JD41" s="190"/>
      <c r="JE41" s="190"/>
      <c r="JF41" s="190"/>
      <c r="JG41" s="190"/>
      <c r="JH41" s="190"/>
      <c r="JI41" s="190"/>
      <c r="JJ41" s="190"/>
      <c r="JK41" s="190"/>
      <c r="JL41" s="190"/>
      <c r="JM41" s="190"/>
      <c r="JN41" s="190"/>
      <c r="JO41" s="190"/>
      <c r="JP41" s="190"/>
      <c r="JQ41" s="190"/>
      <c r="JR41" s="190"/>
      <c r="JS41" s="190"/>
      <c r="JT41" s="190"/>
      <c r="JU41" s="190"/>
      <c r="JV41" s="190"/>
      <c r="JW41" s="190"/>
      <c r="JX41" s="190"/>
      <c r="JY41" s="190"/>
      <c r="JZ41" s="190"/>
      <c r="KA41" s="190"/>
      <c r="KB41" s="190"/>
      <c r="KC41" s="190"/>
      <c r="KD41" s="190"/>
      <c r="KE41" s="190"/>
      <c r="KF41" s="190"/>
      <c r="KG41" s="190"/>
      <c r="KH41" s="190"/>
      <c r="KI41" s="190"/>
      <c r="KJ41" s="190"/>
      <c r="KK41" s="190"/>
      <c r="KL41" s="190"/>
      <c r="KM41" s="190"/>
      <c r="KN41" s="190"/>
      <c r="KO41" s="190"/>
      <c r="KP41" s="190"/>
      <c r="KQ41" s="190"/>
      <c r="KR41" s="190"/>
      <c r="KS41" s="190"/>
      <c r="KT41" s="190"/>
      <c r="KU41" s="190"/>
      <c r="KV41" s="190"/>
      <c r="KW41" s="190"/>
      <c r="KX41" s="190"/>
      <c r="KY41" s="190"/>
      <c r="KZ41" s="190"/>
      <c r="LA41" s="190"/>
      <c r="LB41" s="190"/>
      <c r="LC41" s="190"/>
      <c r="LD41" s="190"/>
      <c r="LE41" s="190"/>
      <c r="LF41" s="190"/>
      <c r="LG41" s="190"/>
      <c r="LH41" s="190"/>
      <c r="LI41" s="190"/>
      <c r="LJ41" s="190"/>
      <c r="LK41" s="190"/>
      <c r="LL41" s="190"/>
      <c r="LM41" s="190"/>
      <c r="LN41" s="190"/>
      <c r="LO41" s="190"/>
      <c r="LP41" s="190"/>
      <c r="LQ41" s="190"/>
      <c r="LR41" s="190"/>
      <c r="LS41" s="190"/>
      <c r="LT41" s="190"/>
      <c r="LU41" s="190"/>
      <c r="LV41" s="190"/>
      <c r="LW41" s="190"/>
      <c r="LX41" s="190"/>
      <c r="LY41" s="190"/>
      <c r="LZ41" s="190"/>
      <c r="MA41" s="190"/>
      <c r="MB41" s="190"/>
      <c r="MC41" s="190"/>
      <c r="MD41" s="190"/>
      <c r="ME41" s="190"/>
      <c r="MF41" s="190"/>
      <c r="MG41" s="190"/>
      <c r="MH41" s="190"/>
      <c r="MI41" s="190"/>
      <c r="MJ41" s="190"/>
      <c r="MK41" s="190"/>
      <c r="ML41" s="190"/>
      <c r="MM41" s="190"/>
      <c r="MN41" s="190"/>
      <c r="MO41" s="190"/>
      <c r="MP41" s="190"/>
      <c r="MQ41" s="190"/>
      <c r="MR41" s="190"/>
      <c r="MS41" s="190"/>
      <c r="MT41" s="190"/>
      <c r="MU41" s="190"/>
      <c r="MV41" s="190"/>
      <c r="MW41" s="190"/>
      <c r="MX41" s="190"/>
      <c r="MY41" s="190"/>
      <c r="MZ41" s="190"/>
      <c r="NA41" s="190"/>
      <c r="NB41" s="190"/>
      <c r="NC41" s="190"/>
      <c r="ND41" s="190"/>
      <c r="NE41" s="190"/>
      <c r="NF41" s="190"/>
      <c r="NG41" s="190"/>
      <c r="NH41" s="190"/>
      <c r="NI41" s="190"/>
      <c r="NJ41" s="190"/>
      <c r="NK41" s="190"/>
      <c r="NL41" s="190"/>
      <c r="NM41" s="190"/>
      <c r="NN41" s="190"/>
      <c r="NO41" s="190"/>
      <c r="NP41" s="190"/>
      <c r="NQ41" s="190"/>
      <c r="NR41" s="190"/>
      <c r="NS41" s="190"/>
      <c r="NT41" s="190"/>
      <c r="NU41" s="190"/>
      <c r="NV41" s="190"/>
      <c r="NW41" s="190"/>
      <c r="NX41" s="190"/>
      <c r="NY41" s="190"/>
      <c r="NZ41" s="190"/>
      <c r="OA41" s="190"/>
      <c r="OB41" s="190"/>
      <c r="OC41" s="190"/>
      <c r="OD41" s="190"/>
      <c r="OE41" s="190"/>
      <c r="OF41" s="190"/>
      <c r="OG41" s="190"/>
      <c r="OH41" s="190"/>
      <c r="OI41" s="190"/>
      <c r="OJ41" s="190"/>
      <c r="OK41" s="190"/>
      <c r="OL41" s="190"/>
      <c r="OM41" s="190"/>
      <c r="ON41" s="190"/>
      <c r="OO41" s="190"/>
      <c r="OP41" s="190"/>
      <c r="OQ41" s="190"/>
      <c r="OR41" s="190"/>
      <c r="OS41" s="190"/>
      <c r="OT41" s="190"/>
      <c r="OU41" s="190"/>
      <c r="OV41" s="190"/>
      <c r="OW41" s="190"/>
      <c r="OX41" s="190"/>
      <c r="OY41" s="190"/>
      <c r="OZ41" s="190"/>
      <c r="PA41" s="190"/>
      <c r="PB41" s="291"/>
      <c r="PC41" s="246"/>
      <c r="PD41" s="247"/>
      <c r="PE41" s="246"/>
      <c r="PF41" s="247"/>
      <c r="PG41" s="246"/>
      <c r="PH41" s="247"/>
      <c r="PI41" s="246"/>
      <c r="PJ41" s="247"/>
      <c r="PK41" s="190"/>
      <c r="PL41" s="291"/>
      <c r="PM41" s="246"/>
      <c r="PN41" s="247"/>
      <c r="PO41" s="292"/>
      <c r="PP41" s="247"/>
      <c r="PQ41" s="246"/>
      <c r="PR41" s="247"/>
      <c r="PS41" s="246"/>
      <c r="PT41" s="247"/>
      <c r="PU41" s="246"/>
      <c r="PV41" s="247"/>
      <c r="PW41" s="246"/>
      <c r="PX41" s="247"/>
      <c r="PY41" s="246"/>
      <c r="PZ41" s="247"/>
      <c r="QA41" s="246"/>
      <c r="QB41" s="247"/>
      <c r="QC41" s="246"/>
      <c r="QD41" s="247"/>
      <c r="QE41" s="246"/>
      <c r="QF41" s="247"/>
      <c r="QG41" s="246"/>
      <c r="QH41" s="247"/>
      <c r="QI41" s="246"/>
      <c r="QJ41" s="247"/>
      <c r="QK41" s="246"/>
      <c r="QL41" s="247"/>
      <c r="QM41" s="246"/>
      <c r="QN41" s="247"/>
      <c r="QO41" s="246"/>
      <c r="QP41" s="247"/>
      <c r="QQ41" s="246"/>
      <c r="QR41" s="247"/>
      <c r="QS41" s="246"/>
      <c r="QT41" s="247"/>
      <c r="QU41" s="246"/>
      <c r="QV41" s="247"/>
      <c r="QW41" s="246"/>
      <c r="QX41" s="247"/>
      <c r="QY41" s="246"/>
      <c r="QZ41" s="247"/>
      <c r="RA41" s="246"/>
      <c r="RB41" s="247"/>
      <c r="RC41" s="246"/>
      <c r="RD41" s="190"/>
      <c r="RE41" s="190"/>
      <c r="RF41" s="190"/>
      <c r="RG41" s="190"/>
      <c r="RH41" s="190"/>
      <c r="RI41" s="190"/>
      <c r="RJ41" s="190"/>
      <c r="RK41" s="190"/>
      <c r="RL41" s="190"/>
      <c r="RM41" s="190"/>
      <c r="RN41" s="190"/>
      <c r="RO41" s="190"/>
      <c r="RP41" s="190"/>
      <c r="RQ41" s="190"/>
      <c r="RR41" s="190"/>
      <c r="RS41" s="190"/>
      <c r="RT41" s="190"/>
      <c r="RU41" s="190"/>
      <c r="RV41" s="190"/>
      <c r="RW41" s="190"/>
      <c r="RX41" s="190"/>
      <c r="RY41" s="190"/>
      <c r="RZ41" s="190"/>
      <c r="SA41" s="190"/>
      <c r="SB41" s="190"/>
      <c r="SC41" s="190"/>
      <c r="SD41" s="190"/>
      <c r="SE41" s="190"/>
      <c r="SF41" s="190"/>
      <c r="SG41" s="190"/>
      <c r="SH41" s="190"/>
      <c r="SI41" s="190"/>
      <c r="SJ41" s="190"/>
      <c r="SK41" s="190"/>
      <c r="SL41" s="190"/>
      <c r="SM41" s="190"/>
      <c r="SN41" s="190"/>
      <c r="SO41" s="190"/>
      <c r="SP41" s="190"/>
      <c r="SQ41" s="190"/>
      <c r="SR41" s="190"/>
      <c r="SS41" s="190"/>
      <c r="ST41" s="190"/>
      <c r="SU41" s="190"/>
      <c r="SV41" s="190"/>
      <c r="SW41" s="190"/>
      <c r="SX41" s="190"/>
      <c r="SY41" s="190"/>
      <c r="SZ41" s="190"/>
      <c r="TA41" s="190"/>
      <c r="TB41" s="190"/>
      <c r="TC41" s="190"/>
      <c r="TD41" s="190"/>
      <c r="TE41" s="190"/>
      <c r="TF41" s="190"/>
      <c r="TG41" s="190"/>
      <c r="TH41" s="190"/>
      <c r="TI41" s="190"/>
      <c r="TJ41" s="190"/>
      <c r="TK41" s="190"/>
      <c r="TL41" s="190"/>
      <c r="TM41" s="190"/>
      <c r="TN41" s="190"/>
      <c r="TO41" s="190"/>
      <c r="TP41" s="190"/>
      <c r="TQ41" s="190"/>
      <c r="TR41" s="190"/>
      <c r="TS41" s="190"/>
      <c r="TT41" s="190"/>
      <c r="TU41" s="190"/>
      <c r="TV41" s="190"/>
      <c r="TW41" s="190"/>
      <c r="TX41" s="190"/>
      <c r="TY41" s="190"/>
      <c r="TZ41" s="190"/>
      <c r="UA41" s="190"/>
      <c r="UB41" s="190"/>
      <c r="UC41" s="190"/>
      <c r="UD41" s="190"/>
      <c r="UE41" s="190"/>
      <c r="UF41" s="190"/>
      <c r="UG41" s="190"/>
      <c r="UH41" s="190"/>
      <c r="UI41" s="190"/>
      <c r="UJ41" s="190"/>
      <c r="UK41" s="190"/>
      <c r="UL41" s="190"/>
      <c r="UM41" s="190"/>
      <c r="UN41" s="190"/>
      <c r="UO41" s="190"/>
      <c r="UP41" s="190"/>
      <c r="UQ41" s="190"/>
      <c r="UR41" s="190"/>
      <c r="US41" s="190"/>
      <c r="UT41" s="190"/>
      <c r="UU41" s="190"/>
      <c r="UV41" s="190"/>
      <c r="UW41" s="190"/>
      <c r="UX41" s="190"/>
      <c r="UY41" s="190"/>
      <c r="UZ41" s="190"/>
      <c r="VA41" s="190"/>
      <c r="VB41" s="190"/>
      <c r="VC41" s="190"/>
      <c r="VD41" s="190"/>
      <c r="VE41" s="190"/>
      <c r="VF41" s="190"/>
      <c r="VG41" s="190"/>
      <c r="VH41" s="190"/>
      <c r="VI41" s="190"/>
      <c r="VJ41" s="190"/>
      <c r="VK41" s="190"/>
      <c r="VL41" s="190"/>
      <c r="VM41" s="190"/>
      <c r="VN41" s="190"/>
      <c r="VO41" s="190"/>
      <c r="VP41" s="190"/>
      <c r="VQ41" s="190"/>
      <c r="VR41" s="190"/>
      <c r="VS41" s="190"/>
      <c r="VT41" s="190"/>
      <c r="VU41" s="190"/>
      <c r="VV41" s="190"/>
      <c r="VW41" s="190"/>
      <c r="VX41" s="190"/>
      <c r="VY41" s="190"/>
      <c r="VZ41" s="190"/>
      <c r="WA41" s="190"/>
      <c r="WB41" s="190"/>
      <c r="WC41" s="190"/>
      <c r="WD41" s="190"/>
      <c r="WE41" s="190"/>
      <c r="WF41" s="190"/>
      <c r="WG41" s="190"/>
      <c r="WH41" s="190"/>
      <c r="WI41" s="190"/>
      <c r="WJ41" s="190"/>
      <c r="WK41" s="190"/>
      <c r="WL41" s="190"/>
      <c r="WM41" s="190"/>
      <c r="WN41" s="190"/>
      <c r="WO41" s="190"/>
      <c r="WP41" s="190"/>
      <c r="WQ41" s="190"/>
      <c r="WR41" s="190"/>
      <c r="WS41" s="190"/>
      <c r="WT41" s="190"/>
      <c r="WU41" s="190"/>
      <c r="WV41" s="190"/>
      <c r="WW41" s="190"/>
      <c r="WX41" s="190"/>
      <c r="WY41" s="190"/>
      <c r="WZ41" s="190"/>
      <c r="XA41" s="190"/>
      <c r="XB41" s="190"/>
      <c r="XC41" s="190"/>
      <c r="XD41" s="190"/>
      <c r="XE41" s="190"/>
      <c r="XF41" s="190"/>
      <c r="XG41" s="190"/>
      <c r="XH41" s="190"/>
      <c r="XI41" s="190"/>
      <c r="XJ41" s="190"/>
      <c r="XK41" s="190"/>
      <c r="XL41" s="190"/>
      <c r="XM41" s="190"/>
      <c r="XN41" s="190"/>
      <c r="XO41" s="190"/>
      <c r="XP41" s="190"/>
      <c r="XQ41" s="190"/>
      <c r="XR41" s="190"/>
      <c r="XS41" s="190"/>
      <c r="XT41" s="190"/>
      <c r="XU41" s="190"/>
      <c r="XV41" s="190"/>
      <c r="XW41" s="190"/>
      <c r="XX41" s="190"/>
      <c r="XY41" s="190"/>
      <c r="XZ41" s="190"/>
      <c r="YA41" s="190"/>
      <c r="YB41" s="190"/>
      <c r="YC41" s="190"/>
      <c r="YD41" s="190"/>
      <c r="YE41" s="190"/>
      <c r="YF41" s="190"/>
      <c r="YG41" s="190"/>
      <c r="YH41" s="190"/>
      <c r="YI41" s="190"/>
      <c r="YJ41" s="190"/>
      <c r="YK41" s="190"/>
      <c r="YL41" s="190"/>
      <c r="YM41" s="190"/>
      <c r="YN41" s="190"/>
      <c r="YO41" s="190"/>
      <c r="YP41" s="190"/>
      <c r="YQ41" s="190"/>
      <c r="YR41" s="190"/>
      <c r="YS41" s="190"/>
      <c r="YT41" s="190"/>
      <c r="YU41" s="190"/>
      <c r="YV41" s="190"/>
      <c r="YW41" s="190"/>
      <c r="YX41" s="190"/>
      <c r="YY41" s="190"/>
      <c r="YZ41" s="190"/>
      <c r="ZA41" s="190"/>
      <c r="ZB41" s="190"/>
      <c r="ZC41" s="190"/>
      <c r="ZD41" s="190"/>
      <c r="ZE41" s="190"/>
      <c r="ZF41" s="190"/>
      <c r="ZG41" s="190"/>
      <c r="ZH41" s="190"/>
      <c r="ZI41" s="190"/>
      <c r="ZJ41" s="190"/>
      <c r="ZK41" s="190"/>
      <c r="ZL41" s="190"/>
      <c r="ZM41" s="190"/>
      <c r="ZN41" s="190"/>
      <c r="ZO41" s="190"/>
      <c r="ZP41" s="190"/>
      <c r="ZQ41" s="190"/>
      <c r="ZR41" s="190"/>
      <c r="ZS41" s="190"/>
      <c r="ZT41" s="190"/>
      <c r="ZU41" s="190"/>
      <c r="ZV41" s="190"/>
      <c r="ZW41" s="190"/>
      <c r="ZX41" s="190"/>
      <c r="ZY41" s="190"/>
      <c r="ZZ41" s="190"/>
      <c r="AAA41" s="190"/>
      <c r="AAB41" s="190"/>
      <c r="AAC41" s="190"/>
      <c r="AAD41" s="190"/>
      <c r="AAE41" s="190"/>
      <c r="AAF41" s="190"/>
      <c r="AAG41" s="190"/>
      <c r="AAH41" s="190"/>
      <c r="AAI41" s="190"/>
      <c r="AAJ41" s="190"/>
      <c r="AAK41" s="344"/>
      <c r="AAL41" s="344"/>
      <c r="AAM41" s="190"/>
      <c r="AAN41" s="190"/>
      <c r="AAO41" s="190"/>
      <c r="AAP41" s="190"/>
      <c r="AAQ41" s="190"/>
      <c r="AAR41" s="190"/>
      <c r="AAS41" s="190"/>
      <c r="AAT41" s="190"/>
      <c r="AAU41" s="190"/>
      <c r="AAV41" s="190"/>
      <c r="AAW41" s="190"/>
      <c r="AAX41" s="190"/>
      <c r="AAY41" s="190"/>
      <c r="AAZ41" s="190"/>
      <c r="ABA41" s="190"/>
      <c r="ABB41" s="190"/>
      <c r="ABC41" s="190"/>
      <c r="ABD41" s="190"/>
      <c r="ABE41" s="336"/>
      <c r="ABF41" s="335"/>
      <c r="ABG41" s="335"/>
      <c r="ABH41" s="335"/>
      <c r="ABI41" s="335"/>
      <c r="ABJ41" s="335"/>
      <c r="ABK41" s="335"/>
      <c r="ABL41" s="335"/>
      <c r="ABM41" s="335"/>
      <c r="ABN41" s="335"/>
      <c r="ABO41" s="335"/>
      <c r="ABP41" s="335"/>
      <c r="ABQ41" s="335"/>
      <c r="ABR41" s="335"/>
      <c r="ABS41" s="335"/>
      <c r="ABT41" s="335"/>
      <c r="ABU41" s="335"/>
      <c r="ABV41" s="335"/>
      <c r="ABW41" s="335"/>
      <c r="ABX41" s="335"/>
      <c r="ABY41" s="335"/>
      <c r="ABZ41" s="335"/>
      <c r="ACA41" s="335"/>
      <c r="ACB41" s="335"/>
      <c r="ACC41" s="335"/>
      <c r="ACD41" s="335"/>
      <c r="ACE41" s="335"/>
      <c r="ACF41" s="335"/>
      <c r="ACG41" s="335"/>
      <c r="ACH41" s="335"/>
      <c r="ACI41" s="335"/>
      <c r="ACJ41" s="335"/>
      <c r="ACK41" s="335"/>
      <c r="ACL41" s="335"/>
      <c r="ACM41" s="335"/>
      <c r="ACN41" s="335"/>
      <c r="ACO41" s="335"/>
      <c r="ACP41" s="335"/>
      <c r="ACQ41" s="335"/>
      <c r="ACR41" s="335"/>
      <c r="ACS41" s="335"/>
      <c r="ACT41" s="335"/>
      <c r="ACU41" s="335"/>
      <c r="ACV41" s="335"/>
      <c r="ACW41" s="335"/>
      <c r="ACX41" s="335"/>
      <c r="ACY41" s="335"/>
      <c r="ACZ41" s="335"/>
      <c r="ADA41" s="335"/>
      <c r="ADB41" s="335"/>
      <c r="ADC41" s="335"/>
      <c r="ADD41" s="335"/>
      <c r="ADE41" s="335"/>
      <c r="ADF41" s="335"/>
      <c r="ADG41" s="335"/>
      <c r="ADH41" s="335"/>
      <c r="ADI41" s="335"/>
      <c r="ADJ41" s="335"/>
      <c r="ADK41" s="335"/>
      <c r="ADL41" s="335"/>
      <c r="ADM41" s="335"/>
      <c r="ADN41" s="335"/>
      <c r="ADO41" s="335"/>
      <c r="ADP41" s="335"/>
      <c r="ADQ41" s="335"/>
      <c r="ADR41" s="335"/>
      <c r="ADS41" s="335"/>
      <c r="ADT41" s="335"/>
      <c r="ADU41" s="335"/>
      <c r="ADV41" s="335"/>
      <c r="ADW41" s="335"/>
      <c r="ADX41" s="335"/>
      <c r="ADY41" s="335"/>
      <c r="ADZ41" s="335"/>
      <c r="AEA41" s="335"/>
      <c r="AEB41" s="335"/>
      <c r="AEC41" s="335"/>
      <c r="AED41" s="335"/>
      <c r="AEE41" s="335"/>
      <c r="AEF41" s="335"/>
      <c r="AEG41" s="335"/>
      <c r="AEH41" s="335"/>
      <c r="AEI41" s="335"/>
      <c r="AEJ41" s="335"/>
      <c r="AEK41" s="335"/>
      <c r="AEL41" s="335"/>
      <c r="AEM41" s="335"/>
      <c r="AEN41" s="335"/>
      <c r="AEO41" s="335"/>
      <c r="AEP41" s="335"/>
      <c r="AEQ41" s="335"/>
      <c r="AER41" s="335"/>
      <c r="AES41" s="335"/>
      <c r="AET41" s="335"/>
      <c r="AEU41" s="335"/>
      <c r="AEV41" s="335"/>
      <c r="AEW41" s="335"/>
      <c r="AEX41" s="335"/>
      <c r="AEY41" s="335"/>
      <c r="AEZ41" s="335"/>
      <c r="AFA41" s="335"/>
      <c r="AFB41" s="335"/>
      <c r="AFC41" s="335"/>
      <c r="AFD41" s="335"/>
      <c r="AFE41" s="335"/>
      <c r="AFF41" s="335"/>
      <c r="AFG41" s="335"/>
      <c r="AFH41" s="335"/>
      <c r="AFI41" s="335"/>
      <c r="AFJ41" s="335"/>
      <c r="AFK41" s="335"/>
      <c r="AFL41" s="335"/>
      <c r="AFM41" s="335"/>
      <c r="AFN41" s="335"/>
      <c r="AFO41" s="335"/>
      <c r="AFP41" s="335"/>
      <c r="AFQ41" s="335"/>
      <c r="AFR41" s="335"/>
      <c r="AFS41" s="335"/>
      <c r="AFT41" s="335"/>
      <c r="AFU41" s="335"/>
      <c r="AFV41" s="335"/>
      <c r="AFW41" s="335"/>
      <c r="AFX41" s="335"/>
      <c r="AFY41" s="335"/>
      <c r="AFZ41" s="335"/>
      <c r="AGA41" s="335"/>
      <c r="AGB41" s="335"/>
      <c r="AGC41" s="335"/>
      <c r="AGD41" s="335"/>
      <c r="AGE41" s="335"/>
      <c r="AGF41" s="335"/>
      <c r="AGG41" s="335"/>
      <c r="AGH41" s="335"/>
      <c r="AGI41" s="335"/>
      <c r="AGJ41" s="335"/>
      <c r="AGK41" s="335"/>
      <c r="AGL41" s="335"/>
      <c r="AGM41" s="335"/>
      <c r="AGN41" s="335"/>
      <c r="AGO41" s="335"/>
      <c r="AGP41" s="335"/>
      <c r="AGQ41" s="335"/>
      <c r="AGR41" s="335"/>
      <c r="AGS41" s="335"/>
      <c r="AGT41" s="335"/>
      <c r="AGU41" s="335"/>
      <c r="AGV41" s="335"/>
      <c r="AGW41" s="335"/>
      <c r="AGX41" s="335"/>
      <c r="AGY41" s="335"/>
      <c r="AGZ41" s="335"/>
      <c r="AHA41" s="335"/>
      <c r="AHB41" s="335"/>
      <c r="AHC41" s="335"/>
      <c r="AHD41" s="335"/>
      <c r="AHE41" s="335"/>
      <c r="AHF41" s="335"/>
      <c r="AHG41" s="335"/>
      <c r="AHH41" s="335"/>
      <c r="AHI41" s="335"/>
      <c r="AHJ41" s="335"/>
      <c r="AHK41" s="335"/>
      <c r="AHL41" s="335"/>
      <c r="AHM41" s="335"/>
      <c r="AHN41" s="335"/>
      <c r="AHO41" s="335"/>
      <c r="AHP41" s="335"/>
      <c r="AHQ41" s="335"/>
      <c r="AHR41" s="335"/>
      <c r="AHS41" s="335"/>
      <c r="AHT41" s="335"/>
      <c r="AHU41" s="335"/>
      <c r="AHV41" s="335"/>
      <c r="AHW41" s="335"/>
      <c r="AHX41" s="335"/>
      <c r="AHY41" s="335"/>
      <c r="AHZ41" s="335"/>
      <c r="AIA41" s="335"/>
      <c r="AIB41" s="335"/>
      <c r="AIC41" s="341"/>
    </row>
    <row r="42" spans="1:913" s="170" customFormat="1">
      <c r="A42" s="172"/>
      <c r="B42" s="177">
        <v>1</v>
      </c>
      <c r="C42" s="190"/>
      <c r="D42" s="190"/>
      <c r="E42" s="190"/>
      <c r="F42" s="190"/>
      <c r="G42" s="190"/>
      <c r="H42" s="190"/>
      <c r="I42" s="190"/>
      <c r="J42" s="190"/>
      <c r="K42" s="190"/>
      <c r="L42" s="190"/>
      <c r="M42" s="190"/>
      <c r="N42" s="190"/>
      <c r="O42" s="216"/>
      <c r="P42" s="216"/>
      <c r="Q42" s="216"/>
      <c r="R42" s="216"/>
      <c r="S42" s="216"/>
      <c r="T42" s="216"/>
      <c r="U42" s="216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  <c r="AF42" s="216"/>
      <c r="AG42" s="216"/>
      <c r="AH42" s="216"/>
      <c r="AI42" s="216"/>
      <c r="AJ42" s="216"/>
      <c r="AK42" s="216"/>
      <c r="AL42" s="216"/>
      <c r="AM42" s="216"/>
      <c r="AN42" s="216"/>
      <c r="AO42" s="216"/>
      <c r="AP42" s="216"/>
      <c r="AQ42" s="216"/>
      <c r="AR42" s="216"/>
      <c r="AS42" s="216"/>
      <c r="AT42" s="216"/>
      <c r="AU42" s="216"/>
      <c r="AV42" s="216"/>
      <c r="AW42" s="216"/>
      <c r="AX42" s="216"/>
      <c r="AY42" s="216"/>
      <c r="AZ42" s="216"/>
      <c r="BA42" s="216"/>
      <c r="BB42" s="216"/>
      <c r="BC42" s="216"/>
      <c r="BD42" s="216"/>
      <c r="BE42" s="216"/>
      <c r="BF42" s="216"/>
      <c r="BG42" s="216"/>
      <c r="BH42" s="216"/>
      <c r="BI42" s="216"/>
      <c r="BJ42" s="216"/>
      <c r="BK42" s="216"/>
      <c r="BL42" s="216"/>
      <c r="BM42" s="216"/>
      <c r="BN42" s="216"/>
      <c r="BO42" s="216"/>
      <c r="BP42" s="216"/>
      <c r="BQ42" s="216"/>
      <c r="BR42" s="216"/>
      <c r="BS42" s="216"/>
      <c r="BT42" s="216"/>
      <c r="BU42" s="216"/>
      <c r="BV42" s="216"/>
      <c r="BW42" s="216"/>
      <c r="BX42" s="216"/>
      <c r="BY42" s="216"/>
      <c r="BZ42" s="216"/>
      <c r="CA42" s="216"/>
      <c r="CB42" s="216"/>
      <c r="CC42" s="216"/>
      <c r="CD42" s="216"/>
      <c r="CE42" s="216"/>
      <c r="CF42" s="216"/>
      <c r="CG42" s="216"/>
      <c r="CH42" s="216"/>
      <c r="CI42" s="216"/>
      <c r="CJ42" s="216"/>
      <c r="CK42" s="216"/>
      <c r="CL42" s="216"/>
      <c r="CM42" s="216"/>
      <c r="CN42" s="216"/>
      <c r="CO42" s="216"/>
      <c r="CP42" s="216"/>
      <c r="CQ42" s="190"/>
      <c r="CR42" s="216"/>
      <c r="CS42" s="216"/>
      <c r="CT42" s="216"/>
      <c r="CU42" s="216"/>
      <c r="CV42" s="216"/>
      <c r="CW42" s="216"/>
      <c r="CX42" s="216"/>
      <c r="CY42" s="216"/>
      <c r="CZ42" s="216"/>
      <c r="DA42" s="216"/>
      <c r="DB42" s="216"/>
      <c r="DC42" s="216"/>
      <c r="DD42" s="216"/>
      <c r="DE42" s="216"/>
      <c r="DF42" s="216"/>
      <c r="DG42" s="216"/>
      <c r="DH42" s="216"/>
      <c r="DI42" s="216"/>
      <c r="DJ42" s="216"/>
      <c r="DK42" s="216"/>
      <c r="DL42" s="216"/>
      <c r="DM42" s="216"/>
      <c r="DN42" s="216"/>
      <c r="DO42" s="216"/>
      <c r="DP42" s="216"/>
      <c r="DQ42" s="216"/>
      <c r="DR42" s="216"/>
      <c r="DS42" s="216"/>
      <c r="DT42" s="216"/>
      <c r="DU42" s="216"/>
      <c r="DV42" s="216"/>
      <c r="DW42" s="216"/>
      <c r="DX42" s="216"/>
      <c r="DY42" s="216"/>
      <c r="DZ42" s="216"/>
      <c r="EA42" s="216"/>
      <c r="EB42" s="216"/>
      <c r="EC42" s="216"/>
      <c r="ED42" s="216"/>
      <c r="EE42" s="216"/>
      <c r="EF42" s="216"/>
      <c r="EG42" s="216"/>
      <c r="EH42" s="216"/>
      <c r="EI42" s="216"/>
      <c r="EJ42" s="216"/>
      <c r="EK42" s="216"/>
      <c r="EL42" s="216"/>
      <c r="EM42" s="216"/>
      <c r="EN42" s="216"/>
      <c r="EO42" s="216"/>
      <c r="EP42" s="216"/>
      <c r="EQ42" s="216"/>
      <c r="ER42" s="216"/>
      <c r="ES42" s="216"/>
      <c r="ET42" s="216"/>
      <c r="EU42" s="216"/>
      <c r="EV42" s="216"/>
      <c r="EW42" s="216"/>
      <c r="EX42" s="216"/>
      <c r="EY42" s="216"/>
      <c r="EZ42" s="216"/>
      <c r="FA42" s="216"/>
      <c r="FB42" s="216"/>
      <c r="FC42" s="216"/>
      <c r="FD42" s="216"/>
      <c r="FE42" s="216"/>
      <c r="FF42" s="216"/>
      <c r="FG42" s="216"/>
      <c r="FH42" s="216"/>
      <c r="FI42" s="216"/>
      <c r="FJ42" s="216"/>
      <c r="FK42" s="216"/>
      <c r="FL42" s="216"/>
      <c r="FM42" s="216"/>
      <c r="FN42" s="216"/>
      <c r="FO42" s="216"/>
      <c r="FP42" s="216"/>
      <c r="FQ42" s="216"/>
      <c r="FR42" s="216"/>
      <c r="FS42" s="216"/>
      <c r="FT42" s="216"/>
      <c r="FU42" s="216"/>
      <c r="FV42" s="216"/>
      <c r="FW42" s="216"/>
      <c r="FX42" s="216"/>
      <c r="FY42" s="216"/>
      <c r="FZ42" s="216"/>
      <c r="GA42" s="216"/>
      <c r="GB42" s="216"/>
      <c r="GC42" s="217"/>
      <c r="GD42" s="217"/>
      <c r="GE42" s="217"/>
      <c r="GF42" s="217"/>
      <c r="GG42" s="216"/>
      <c r="GH42" s="216"/>
      <c r="GI42" s="216"/>
      <c r="GJ42" s="216"/>
      <c r="GK42" s="216"/>
      <c r="GL42" s="216"/>
      <c r="GM42" s="217"/>
      <c r="GN42" s="217"/>
      <c r="GO42" s="217"/>
      <c r="GP42" s="217"/>
      <c r="GQ42" s="217"/>
      <c r="GR42" s="218"/>
      <c r="GS42" s="217"/>
      <c r="GT42" s="217"/>
      <c r="GU42" s="216"/>
      <c r="GV42" s="216"/>
      <c r="GW42" s="216"/>
      <c r="GX42" s="216"/>
      <c r="GY42" s="190"/>
      <c r="GZ42" s="190"/>
      <c r="HA42" s="190"/>
      <c r="HB42" s="190"/>
      <c r="HC42" s="190"/>
      <c r="HD42" s="190"/>
      <c r="HE42" s="190"/>
      <c r="HF42" s="190"/>
      <c r="HG42" s="190"/>
      <c r="HH42" s="190"/>
      <c r="HI42" s="190"/>
      <c r="HJ42" s="190"/>
      <c r="HK42" s="190"/>
      <c r="HL42" s="190"/>
      <c r="HM42" s="190"/>
      <c r="HN42" s="190"/>
      <c r="HO42" s="190"/>
      <c r="HP42" s="190"/>
      <c r="HQ42" s="190"/>
      <c r="HR42" s="190"/>
      <c r="HS42" s="190"/>
      <c r="HT42" s="190"/>
      <c r="HU42" s="190"/>
      <c r="HV42" s="190"/>
      <c r="HW42" s="190"/>
      <c r="HX42" s="190"/>
      <c r="HY42" s="190"/>
      <c r="HZ42" s="190"/>
      <c r="IA42" s="190"/>
      <c r="IB42" s="190"/>
      <c r="IC42" s="190"/>
      <c r="ID42" s="190"/>
      <c r="IE42" s="190"/>
      <c r="IF42" s="190"/>
      <c r="IG42" s="190"/>
      <c r="IH42" s="190"/>
      <c r="II42" s="190"/>
      <c r="IJ42" s="190"/>
      <c r="IK42" s="190"/>
      <c r="IL42" s="190"/>
      <c r="IM42" s="190"/>
      <c r="IN42" s="190"/>
      <c r="IO42" s="190"/>
      <c r="IP42" s="190"/>
      <c r="IQ42" s="190"/>
      <c r="IR42" s="190"/>
      <c r="IS42" s="190"/>
      <c r="IT42" s="190"/>
      <c r="IU42" s="190"/>
      <c r="IV42" s="190"/>
      <c r="IW42" s="190"/>
      <c r="IX42" s="190"/>
      <c r="IY42" s="190"/>
      <c r="IZ42" s="190"/>
      <c r="JA42" s="190"/>
      <c r="JB42" s="190"/>
      <c r="JC42" s="190"/>
      <c r="JD42" s="190"/>
      <c r="JE42" s="190"/>
      <c r="JF42" s="190"/>
      <c r="JG42" s="190"/>
      <c r="JH42" s="190"/>
      <c r="JI42" s="190"/>
      <c r="JJ42" s="190"/>
      <c r="JK42" s="190"/>
      <c r="JL42" s="190"/>
      <c r="JM42" s="190"/>
      <c r="JN42" s="190"/>
      <c r="JO42" s="190"/>
      <c r="JP42" s="190"/>
      <c r="JQ42" s="190"/>
      <c r="JR42" s="190"/>
      <c r="JS42" s="190"/>
      <c r="JT42" s="190"/>
      <c r="JU42" s="190"/>
      <c r="JV42" s="190"/>
      <c r="JW42" s="190"/>
      <c r="JX42" s="190"/>
      <c r="JY42" s="190"/>
      <c r="JZ42" s="190"/>
      <c r="KA42" s="190"/>
      <c r="KB42" s="190"/>
      <c r="KC42" s="190"/>
      <c r="KD42" s="190"/>
      <c r="KE42" s="190"/>
      <c r="KF42" s="190"/>
      <c r="KG42" s="190"/>
      <c r="KH42" s="190"/>
      <c r="KI42" s="190"/>
      <c r="KJ42" s="190"/>
      <c r="KK42" s="190"/>
      <c r="KL42" s="190"/>
      <c r="KM42" s="190"/>
      <c r="KN42" s="190"/>
      <c r="KO42" s="190"/>
      <c r="KP42" s="190"/>
      <c r="KQ42" s="190"/>
      <c r="KR42" s="190"/>
      <c r="KS42" s="190"/>
      <c r="KT42" s="190"/>
      <c r="KU42" s="190"/>
      <c r="KV42" s="190"/>
      <c r="KW42" s="190"/>
      <c r="KX42" s="190"/>
      <c r="KY42" s="190"/>
      <c r="KZ42" s="190"/>
      <c r="LA42" s="190"/>
      <c r="LB42" s="190"/>
      <c r="LC42" s="190"/>
      <c r="LD42" s="190"/>
      <c r="LE42" s="190"/>
      <c r="LF42" s="190"/>
      <c r="LG42" s="190"/>
      <c r="LH42" s="190"/>
      <c r="LI42" s="190"/>
      <c r="LJ42" s="190"/>
      <c r="LK42" s="190"/>
      <c r="LL42" s="190"/>
      <c r="LM42" s="190"/>
      <c r="LN42" s="190"/>
      <c r="LO42" s="190"/>
      <c r="LP42" s="190"/>
      <c r="LQ42" s="190"/>
      <c r="LR42" s="190"/>
      <c r="LS42" s="190"/>
      <c r="LT42" s="190"/>
      <c r="LU42" s="190"/>
      <c r="LV42" s="190"/>
      <c r="LW42" s="190"/>
      <c r="LX42" s="190"/>
      <c r="LY42" s="190"/>
      <c r="LZ42" s="190"/>
      <c r="MA42" s="190"/>
      <c r="MB42" s="190"/>
      <c r="MC42" s="190"/>
      <c r="MD42" s="190"/>
      <c r="ME42" s="190"/>
      <c r="MF42" s="190"/>
      <c r="MG42" s="190"/>
      <c r="MH42" s="190"/>
      <c r="MI42" s="190"/>
      <c r="MJ42" s="190"/>
      <c r="MK42" s="190"/>
      <c r="ML42" s="190"/>
      <c r="MM42" s="190"/>
      <c r="MN42" s="190"/>
      <c r="MO42" s="190"/>
      <c r="MP42" s="190"/>
      <c r="MQ42" s="190"/>
      <c r="MR42" s="190"/>
      <c r="MS42" s="190"/>
      <c r="MT42" s="190"/>
      <c r="MU42" s="190"/>
      <c r="MV42" s="190"/>
      <c r="MW42" s="190"/>
      <c r="MX42" s="190"/>
      <c r="MY42" s="190"/>
      <c r="MZ42" s="190"/>
      <c r="NA42" s="190"/>
      <c r="NB42" s="190"/>
      <c r="NC42" s="190"/>
      <c r="ND42" s="190"/>
      <c r="NE42" s="190"/>
      <c r="NF42" s="190"/>
      <c r="NG42" s="190"/>
      <c r="NH42" s="190"/>
      <c r="NI42" s="190"/>
      <c r="NJ42" s="190"/>
      <c r="NK42" s="190"/>
      <c r="NL42" s="190"/>
      <c r="NM42" s="190"/>
      <c r="NN42" s="190"/>
      <c r="NO42" s="190"/>
      <c r="NP42" s="190"/>
      <c r="NQ42" s="190"/>
      <c r="NR42" s="190"/>
      <c r="NS42" s="190"/>
      <c r="NT42" s="190"/>
      <c r="NU42" s="190"/>
      <c r="NV42" s="190"/>
      <c r="NW42" s="190"/>
      <c r="NX42" s="190"/>
      <c r="NY42" s="190"/>
      <c r="NZ42" s="190"/>
      <c r="OA42" s="190"/>
      <c r="OB42" s="190"/>
      <c r="OC42" s="190"/>
      <c r="OD42" s="190"/>
      <c r="OE42" s="190"/>
      <c r="OF42" s="190"/>
      <c r="OG42" s="190"/>
      <c r="OH42" s="190"/>
      <c r="OI42" s="190"/>
      <c r="OJ42" s="190"/>
      <c r="OK42" s="190"/>
      <c r="OL42" s="190"/>
      <c r="OM42" s="190"/>
      <c r="ON42" s="190"/>
      <c r="OO42" s="190"/>
      <c r="OP42" s="190"/>
      <c r="OQ42" s="190"/>
      <c r="OR42" s="190"/>
      <c r="OS42" s="190"/>
      <c r="OT42" s="190"/>
      <c r="OU42" s="190"/>
      <c r="OV42" s="190"/>
      <c r="OW42" s="190"/>
      <c r="OX42" s="190"/>
      <c r="OY42" s="190"/>
      <c r="OZ42" s="190"/>
      <c r="PA42" s="190"/>
      <c r="PB42" s="291"/>
      <c r="PC42" s="246"/>
      <c r="PD42" s="247"/>
      <c r="PE42" s="246"/>
      <c r="PF42" s="247"/>
      <c r="PG42" s="246"/>
      <c r="PH42" s="247"/>
      <c r="PI42" s="246"/>
      <c r="PJ42" s="247"/>
      <c r="PK42" s="190"/>
      <c r="PL42" s="291"/>
      <c r="PM42" s="246"/>
      <c r="PN42" s="247"/>
      <c r="PO42" s="292"/>
      <c r="PP42" s="247"/>
      <c r="PQ42" s="246"/>
      <c r="PR42" s="247"/>
      <c r="PS42" s="246"/>
      <c r="PT42" s="247"/>
      <c r="PU42" s="246"/>
      <c r="PV42" s="247"/>
      <c r="PW42" s="246"/>
      <c r="PX42" s="247"/>
      <c r="PY42" s="246"/>
      <c r="PZ42" s="247"/>
      <c r="QA42" s="246"/>
      <c r="QB42" s="247"/>
      <c r="QC42" s="246"/>
      <c r="QD42" s="247"/>
      <c r="QE42" s="246"/>
      <c r="QF42" s="247"/>
      <c r="QG42" s="246"/>
      <c r="QH42" s="247"/>
      <c r="QI42" s="246"/>
      <c r="QJ42" s="247"/>
      <c r="QK42" s="246"/>
      <c r="QL42" s="247"/>
      <c r="QM42" s="246"/>
      <c r="QN42" s="247"/>
      <c r="QO42" s="246"/>
      <c r="QP42" s="247"/>
      <c r="QQ42" s="246"/>
      <c r="QR42" s="247"/>
      <c r="QS42" s="246"/>
      <c r="QT42" s="247"/>
      <c r="QU42" s="246"/>
      <c r="QV42" s="247"/>
      <c r="QW42" s="246"/>
      <c r="QX42" s="247"/>
      <c r="QY42" s="246"/>
      <c r="QZ42" s="247"/>
      <c r="RA42" s="246"/>
      <c r="RB42" s="247"/>
      <c r="RC42" s="246"/>
      <c r="RD42" s="190"/>
      <c r="RE42" s="190"/>
      <c r="RF42" s="190"/>
      <c r="RG42" s="190"/>
      <c r="RH42" s="190"/>
      <c r="RI42" s="190"/>
      <c r="RJ42" s="190"/>
      <c r="RK42" s="190"/>
      <c r="RL42" s="190"/>
      <c r="RM42" s="190"/>
      <c r="RN42" s="190"/>
      <c r="RO42" s="190"/>
      <c r="RP42" s="190"/>
      <c r="RQ42" s="190"/>
      <c r="RR42" s="190"/>
      <c r="RS42" s="190"/>
      <c r="RT42" s="190"/>
      <c r="RU42" s="190"/>
      <c r="RV42" s="190"/>
      <c r="RW42" s="190"/>
      <c r="RX42" s="190"/>
      <c r="RY42" s="190"/>
      <c r="RZ42" s="190"/>
      <c r="SA42" s="190"/>
      <c r="SB42" s="190"/>
      <c r="SC42" s="190"/>
      <c r="SD42" s="190"/>
      <c r="SE42" s="190"/>
      <c r="SF42" s="190"/>
      <c r="SG42" s="190"/>
      <c r="SH42" s="190"/>
      <c r="SI42" s="190"/>
      <c r="SJ42" s="190"/>
      <c r="SK42" s="190"/>
      <c r="SL42" s="190"/>
      <c r="SM42" s="190"/>
      <c r="SN42" s="190"/>
      <c r="SO42" s="190"/>
      <c r="SP42" s="190"/>
      <c r="SQ42" s="190"/>
      <c r="SR42" s="190"/>
      <c r="SS42" s="190"/>
      <c r="ST42" s="190"/>
      <c r="SU42" s="190"/>
      <c r="SV42" s="190"/>
      <c r="SW42" s="190"/>
      <c r="SX42" s="190"/>
      <c r="SY42" s="190"/>
      <c r="SZ42" s="190"/>
      <c r="TA42" s="190"/>
      <c r="TB42" s="190"/>
      <c r="TC42" s="190"/>
      <c r="TD42" s="190"/>
      <c r="TE42" s="190"/>
      <c r="TF42" s="190"/>
      <c r="TG42" s="190"/>
      <c r="TH42" s="190"/>
      <c r="TI42" s="190"/>
      <c r="TJ42" s="190"/>
      <c r="TK42" s="190"/>
      <c r="TL42" s="190"/>
      <c r="TM42" s="190"/>
      <c r="TN42" s="190"/>
      <c r="TO42" s="190"/>
      <c r="TP42" s="190"/>
      <c r="TQ42" s="190"/>
      <c r="TR42" s="190"/>
      <c r="TS42" s="190"/>
      <c r="TT42" s="190"/>
      <c r="TU42" s="190"/>
      <c r="TV42" s="190"/>
      <c r="TW42" s="190"/>
      <c r="TX42" s="190"/>
      <c r="TY42" s="190"/>
      <c r="TZ42" s="190"/>
      <c r="UA42" s="190"/>
      <c r="UB42" s="190"/>
      <c r="UC42" s="190"/>
      <c r="UD42" s="190"/>
      <c r="UE42" s="190"/>
      <c r="UF42" s="190"/>
      <c r="UG42" s="190"/>
      <c r="UH42" s="190"/>
      <c r="UI42" s="190"/>
      <c r="UJ42" s="190"/>
      <c r="UK42" s="190"/>
      <c r="UL42" s="190"/>
      <c r="UM42" s="190"/>
      <c r="UN42" s="190"/>
      <c r="UO42" s="190"/>
      <c r="UP42" s="190"/>
      <c r="UQ42" s="190"/>
      <c r="UR42" s="190"/>
      <c r="US42" s="190"/>
      <c r="UT42" s="190"/>
      <c r="UU42" s="190"/>
      <c r="UV42" s="190"/>
      <c r="UW42" s="190"/>
      <c r="UX42" s="190"/>
      <c r="UY42" s="190"/>
      <c r="UZ42" s="190"/>
      <c r="VA42" s="190"/>
      <c r="VB42" s="190"/>
      <c r="VC42" s="190"/>
      <c r="VD42" s="190"/>
      <c r="VE42" s="190"/>
      <c r="VF42" s="190"/>
      <c r="VG42" s="190"/>
      <c r="VH42" s="190"/>
      <c r="VI42" s="190"/>
      <c r="VJ42" s="190"/>
      <c r="VK42" s="190"/>
      <c r="VL42" s="190"/>
      <c r="VM42" s="190"/>
      <c r="VN42" s="190"/>
      <c r="VO42" s="190"/>
      <c r="VP42" s="190"/>
      <c r="VQ42" s="190"/>
      <c r="VR42" s="190"/>
      <c r="VS42" s="190"/>
      <c r="VT42" s="190"/>
      <c r="VU42" s="190"/>
      <c r="VV42" s="190"/>
      <c r="VW42" s="190"/>
      <c r="VX42" s="190"/>
      <c r="VY42" s="190"/>
      <c r="VZ42" s="190"/>
      <c r="WA42" s="190"/>
      <c r="WB42" s="190"/>
      <c r="WC42" s="190"/>
      <c r="WD42" s="190"/>
      <c r="WE42" s="190"/>
      <c r="WF42" s="190"/>
      <c r="WG42" s="190"/>
      <c r="WH42" s="190"/>
      <c r="WI42" s="190"/>
      <c r="WJ42" s="190"/>
      <c r="WK42" s="190"/>
      <c r="WL42" s="190"/>
      <c r="WM42" s="190"/>
      <c r="WN42" s="190"/>
      <c r="WO42" s="190"/>
      <c r="WP42" s="190"/>
      <c r="WQ42" s="190"/>
      <c r="WR42" s="190"/>
      <c r="WS42" s="190"/>
      <c r="WT42" s="190"/>
      <c r="WU42" s="190"/>
      <c r="WV42" s="190"/>
      <c r="WW42" s="190"/>
      <c r="WX42" s="190"/>
      <c r="WY42" s="190"/>
      <c r="WZ42" s="190"/>
      <c r="XA42" s="190"/>
      <c r="XB42" s="190"/>
      <c r="XC42" s="190"/>
      <c r="XD42" s="190"/>
      <c r="XE42" s="190"/>
      <c r="XF42" s="190"/>
      <c r="XG42" s="190"/>
      <c r="XH42" s="190"/>
      <c r="XI42" s="190"/>
      <c r="XJ42" s="190"/>
      <c r="XK42" s="190"/>
      <c r="XL42" s="190"/>
      <c r="XM42" s="190"/>
      <c r="XN42" s="190"/>
      <c r="XO42" s="190"/>
      <c r="XP42" s="190"/>
      <c r="XQ42" s="190"/>
      <c r="XR42" s="190"/>
      <c r="XS42" s="190"/>
      <c r="XT42" s="190"/>
      <c r="XU42" s="190"/>
      <c r="XV42" s="190"/>
      <c r="XW42" s="190"/>
      <c r="XX42" s="190"/>
      <c r="XY42" s="190"/>
      <c r="XZ42" s="190"/>
      <c r="YA42" s="190"/>
      <c r="YB42" s="190"/>
      <c r="YC42" s="190"/>
      <c r="YD42" s="190"/>
      <c r="YE42" s="190"/>
      <c r="YF42" s="190"/>
      <c r="YG42" s="190"/>
      <c r="YH42" s="190"/>
      <c r="YI42" s="190"/>
      <c r="YJ42" s="190"/>
      <c r="YK42" s="190"/>
      <c r="YL42" s="190"/>
      <c r="YM42" s="190"/>
      <c r="YN42" s="190"/>
      <c r="YO42" s="190"/>
      <c r="YP42" s="190"/>
      <c r="YQ42" s="190"/>
      <c r="YR42" s="190"/>
      <c r="YS42" s="190"/>
      <c r="YT42" s="190"/>
      <c r="YU42" s="190"/>
      <c r="YV42" s="190"/>
      <c r="YW42" s="190"/>
      <c r="YX42" s="190"/>
      <c r="YY42" s="190"/>
      <c r="YZ42" s="190"/>
      <c r="ZA42" s="190"/>
      <c r="ZB42" s="190"/>
      <c r="ZC42" s="190"/>
      <c r="ZD42" s="190"/>
      <c r="ZE42" s="190"/>
      <c r="ZF42" s="190"/>
      <c r="ZG42" s="190"/>
      <c r="ZH42" s="190"/>
      <c r="ZI42" s="190"/>
      <c r="ZJ42" s="190"/>
      <c r="ZK42" s="190"/>
      <c r="ZL42" s="190"/>
      <c r="ZM42" s="190"/>
      <c r="ZN42" s="190"/>
      <c r="ZO42" s="190"/>
      <c r="ZP42" s="190"/>
      <c r="ZQ42" s="190"/>
      <c r="ZR42" s="190"/>
      <c r="ZS42" s="190"/>
      <c r="ZT42" s="190"/>
      <c r="ZU42" s="190"/>
      <c r="ZV42" s="190"/>
      <c r="ZW42" s="190"/>
      <c r="ZX42" s="190"/>
      <c r="ZY42" s="190"/>
      <c r="ZZ42" s="190"/>
      <c r="AAA42" s="190"/>
      <c r="AAB42" s="190"/>
      <c r="AAC42" s="190"/>
      <c r="AAD42" s="190"/>
      <c r="AAE42" s="190"/>
      <c r="AAF42" s="190"/>
      <c r="AAG42" s="190"/>
      <c r="AAH42" s="190"/>
      <c r="AAI42" s="190"/>
      <c r="AAJ42" s="190"/>
      <c r="AAK42" s="344"/>
      <c r="AAL42" s="344"/>
      <c r="AAM42" s="190"/>
      <c r="AAN42" s="190"/>
      <c r="AAO42" s="190"/>
      <c r="AAP42" s="190"/>
      <c r="AAQ42" s="190"/>
      <c r="AAR42" s="190"/>
      <c r="AAS42" s="190"/>
      <c r="AAT42" s="190"/>
      <c r="AAU42" s="190"/>
      <c r="AAV42" s="190"/>
      <c r="AAW42" s="190"/>
      <c r="AAX42" s="190"/>
      <c r="AAY42" s="190"/>
      <c r="AAZ42" s="190"/>
      <c r="ABA42" s="190"/>
      <c r="ABB42" s="190"/>
      <c r="ABC42" s="190"/>
      <c r="ABD42" s="190"/>
      <c r="ABE42" s="336"/>
      <c r="ABF42" s="335"/>
      <c r="ABG42" s="335"/>
      <c r="ABH42" s="335"/>
      <c r="ABI42" s="335"/>
      <c r="ABJ42" s="335"/>
      <c r="ABK42" s="335"/>
      <c r="ABL42" s="335"/>
      <c r="ABM42" s="335"/>
      <c r="ABN42" s="335"/>
      <c r="ABO42" s="335"/>
      <c r="ABP42" s="335"/>
      <c r="ABQ42" s="335"/>
      <c r="ABR42" s="335"/>
      <c r="ABS42" s="335"/>
      <c r="ABT42" s="335"/>
      <c r="ABU42" s="335"/>
      <c r="ABV42" s="335"/>
      <c r="ABW42" s="335"/>
      <c r="ABX42" s="335"/>
      <c r="ABY42" s="335"/>
      <c r="ABZ42" s="335"/>
      <c r="ACA42" s="335"/>
      <c r="ACB42" s="335"/>
      <c r="ACC42" s="335"/>
      <c r="ACD42" s="335"/>
      <c r="ACE42" s="335"/>
      <c r="ACF42" s="335"/>
      <c r="ACG42" s="335"/>
      <c r="ACH42" s="335"/>
      <c r="ACI42" s="335"/>
      <c r="ACJ42" s="335"/>
      <c r="ACK42" s="335"/>
      <c r="ACL42" s="335"/>
      <c r="ACM42" s="335"/>
      <c r="ACN42" s="335"/>
      <c r="ACO42" s="335"/>
      <c r="ACP42" s="335"/>
      <c r="ACQ42" s="335"/>
      <c r="ACR42" s="335"/>
      <c r="ACS42" s="335"/>
      <c r="ACT42" s="335"/>
      <c r="ACU42" s="335"/>
      <c r="ACV42" s="335"/>
      <c r="ACW42" s="335"/>
      <c r="ACX42" s="335"/>
      <c r="ACY42" s="335"/>
      <c r="ACZ42" s="335"/>
      <c r="ADA42" s="335"/>
      <c r="ADB42" s="335"/>
      <c r="ADC42" s="335"/>
      <c r="ADD42" s="335"/>
      <c r="ADE42" s="335"/>
      <c r="ADF42" s="335"/>
      <c r="ADG42" s="335"/>
      <c r="ADH42" s="335"/>
      <c r="ADI42" s="335"/>
      <c r="ADJ42" s="335"/>
      <c r="ADK42" s="335"/>
      <c r="ADL42" s="335"/>
      <c r="ADM42" s="335"/>
      <c r="ADN42" s="335"/>
      <c r="ADO42" s="335"/>
      <c r="ADP42" s="335"/>
      <c r="ADQ42" s="335"/>
      <c r="ADR42" s="335"/>
      <c r="ADS42" s="335"/>
      <c r="ADT42" s="335"/>
      <c r="ADU42" s="335"/>
      <c r="ADV42" s="335"/>
      <c r="ADW42" s="335"/>
      <c r="ADX42" s="335"/>
      <c r="ADY42" s="335"/>
      <c r="ADZ42" s="335"/>
      <c r="AEA42" s="335"/>
      <c r="AEB42" s="335"/>
      <c r="AEC42" s="335"/>
      <c r="AED42" s="335"/>
      <c r="AEE42" s="335"/>
      <c r="AEF42" s="335"/>
      <c r="AEG42" s="335"/>
      <c r="AEH42" s="335"/>
      <c r="AEI42" s="335"/>
      <c r="AEJ42" s="335"/>
      <c r="AEK42" s="335"/>
      <c r="AEL42" s="335"/>
      <c r="AEM42" s="335"/>
      <c r="AEN42" s="335"/>
      <c r="AEO42" s="335"/>
      <c r="AEP42" s="335"/>
      <c r="AEQ42" s="335"/>
      <c r="AER42" s="335"/>
      <c r="AES42" s="335"/>
      <c r="AET42" s="335"/>
      <c r="AEU42" s="335"/>
      <c r="AEV42" s="335"/>
      <c r="AEW42" s="335"/>
      <c r="AEX42" s="335"/>
      <c r="AEY42" s="335"/>
      <c r="AEZ42" s="335"/>
      <c r="AFA42" s="335"/>
      <c r="AFB42" s="335"/>
      <c r="AFC42" s="335"/>
      <c r="AFD42" s="335"/>
      <c r="AFE42" s="335"/>
      <c r="AFF42" s="335"/>
      <c r="AFG42" s="335"/>
      <c r="AFH42" s="335"/>
      <c r="AFI42" s="335"/>
      <c r="AFJ42" s="335"/>
      <c r="AFK42" s="335"/>
      <c r="AFL42" s="335"/>
      <c r="AFM42" s="335"/>
      <c r="AFN42" s="335"/>
      <c r="AFO42" s="335"/>
      <c r="AFP42" s="335"/>
      <c r="AFQ42" s="335"/>
      <c r="AFR42" s="335"/>
      <c r="AFS42" s="335"/>
      <c r="AFT42" s="335"/>
      <c r="AFU42" s="335"/>
      <c r="AFV42" s="335"/>
      <c r="AFW42" s="335"/>
      <c r="AFX42" s="335"/>
      <c r="AFY42" s="335"/>
      <c r="AFZ42" s="335"/>
      <c r="AGA42" s="335"/>
      <c r="AGB42" s="335"/>
      <c r="AGC42" s="335"/>
      <c r="AGD42" s="335"/>
      <c r="AGE42" s="335"/>
      <c r="AGF42" s="335"/>
      <c r="AGG42" s="335"/>
      <c r="AGH42" s="335"/>
      <c r="AGI42" s="335"/>
      <c r="AGJ42" s="335"/>
      <c r="AGK42" s="335"/>
      <c r="AGL42" s="335"/>
      <c r="AGM42" s="335"/>
      <c r="AGN42" s="335"/>
      <c r="AGO42" s="335"/>
      <c r="AGP42" s="335"/>
      <c r="AGQ42" s="335"/>
      <c r="AGR42" s="335"/>
      <c r="AGS42" s="335"/>
      <c r="AGT42" s="335"/>
      <c r="AGU42" s="335"/>
      <c r="AGV42" s="335"/>
      <c r="AGW42" s="335"/>
      <c r="AGX42" s="335"/>
      <c r="AGY42" s="335"/>
      <c r="AGZ42" s="335"/>
      <c r="AHA42" s="335"/>
      <c r="AHB42" s="335"/>
      <c r="AHC42" s="335"/>
      <c r="AHD42" s="335"/>
      <c r="AHE42" s="335"/>
      <c r="AHF42" s="335"/>
      <c r="AHG42" s="335"/>
      <c r="AHH42" s="335"/>
      <c r="AHI42" s="335"/>
      <c r="AHJ42" s="335"/>
      <c r="AHK42" s="335"/>
      <c r="AHL42" s="335"/>
      <c r="AHM42" s="335"/>
      <c r="AHN42" s="335"/>
      <c r="AHO42" s="335"/>
      <c r="AHP42" s="335"/>
      <c r="AHQ42" s="335"/>
      <c r="AHR42" s="335"/>
      <c r="AHS42" s="335"/>
      <c r="AHT42" s="335"/>
      <c r="AHU42" s="335"/>
      <c r="AHV42" s="335"/>
      <c r="AHW42" s="335"/>
      <c r="AHX42" s="335"/>
      <c r="AHY42" s="335"/>
      <c r="AHZ42" s="335"/>
      <c r="AIA42" s="335"/>
      <c r="AIB42" s="335"/>
      <c r="AIC42" s="341"/>
    </row>
    <row r="43" spans="1:913" s="170" customFormat="1">
      <c r="A43" s="172"/>
      <c r="B43" s="177">
        <v>1.0416666666666701</v>
      </c>
      <c r="C43" s="190"/>
      <c r="D43" s="190"/>
      <c r="E43" s="190"/>
      <c r="F43" s="190"/>
      <c r="G43" s="190"/>
      <c r="H43" s="190"/>
      <c r="I43" s="190"/>
      <c r="J43" s="190"/>
      <c r="K43" s="190"/>
      <c r="L43" s="190"/>
      <c r="M43" s="190"/>
      <c r="N43" s="190"/>
      <c r="O43" s="216"/>
      <c r="P43" s="216"/>
      <c r="Q43" s="216"/>
      <c r="R43" s="216"/>
      <c r="S43" s="216"/>
      <c r="T43" s="216"/>
      <c r="U43" s="216"/>
      <c r="V43" s="216"/>
      <c r="W43" s="216"/>
      <c r="X43" s="216"/>
      <c r="Y43" s="216"/>
      <c r="Z43" s="216"/>
      <c r="AA43" s="216"/>
      <c r="AB43" s="216"/>
      <c r="AC43" s="216"/>
      <c r="AD43" s="216"/>
      <c r="AE43" s="216"/>
      <c r="AF43" s="216"/>
      <c r="AG43" s="216"/>
      <c r="AH43" s="216"/>
      <c r="AI43" s="216"/>
      <c r="AJ43" s="216"/>
      <c r="AK43" s="216"/>
      <c r="AL43" s="216"/>
      <c r="AM43" s="216"/>
      <c r="AN43" s="216"/>
      <c r="AO43" s="216"/>
      <c r="AP43" s="216"/>
      <c r="AQ43" s="216"/>
      <c r="AR43" s="216"/>
      <c r="AS43" s="216"/>
      <c r="AT43" s="216"/>
      <c r="AU43" s="216"/>
      <c r="AV43" s="216"/>
      <c r="AW43" s="216"/>
      <c r="AX43" s="216"/>
      <c r="AY43" s="216"/>
      <c r="AZ43" s="216"/>
      <c r="BA43" s="216"/>
      <c r="BB43" s="216"/>
      <c r="BC43" s="216"/>
      <c r="BD43" s="216"/>
      <c r="BE43" s="216"/>
      <c r="BF43" s="216"/>
      <c r="BG43" s="216"/>
      <c r="BH43" s="216"/>
      <c r="BI43" s="216"/>
      <c r="BJ43" s="216"/>
      <c r="BK43" s="216"/>
      <c r="BL43" s="216"/>
      <c r="BM43" s="216"/>
      <c r="BN43" s="216"/>
      <c r="BO43" s="216"/>
      <c r="BP43" s="216"/>
      <c r="BQ43" s="216"/>
      <c r="BR43" s="216"/>
      <c r="BS43" s="216"/>
      <c r="BT43" s="216"/>
      <c r="BU43" s="216"/>
      <c r="BV43" s="216"/>
      <c r="BW43" s="216"/>
      <c r="BX43" s="216"/>
      <c r="BY43" s="216"/>
      <c r="BZ43" s="216"/>
      <c r="CA43" s="216"/>
      <c r="CB43" s="216"/>
      <c r="CC43" s="216"/>
      <c r="CD43" s="216"/>
      <c r="CE43" s="216"/>
      <c r="CF43" s="216"/>
      <c r="CG43" s="216"/>
      <c r="CH43" s="216"/>
      <c r="CI43" s="216"/>
      <c r="CJ43" s="216"/>
      <c r="CK43" s="216"/>
      <c r="CL43" s="216"/>
      <c r="CM43" s="216"/>
      <c r="CN43" s="216"/>
      <c r="CO43" s="216"/>
      <c r="CP43" s="216"/>
      <c r="CQ43" s="190"/>
      <c r="CR43" s="216"/>
      <c r="CS43" s="216"/>
      <c r="CT43" s="216"/>
      <c r="CU43" s="216"/>
      <c r="CV43" s="216"/>
      <c r="CW43" s="216"/>
      <c r="CX43" s="216"/>
      <c r="CY43" s="216"/>
      <c r="CZ43" s="216"/>
      <c r="DA43" s="216"/>
      <c r="DB43" s="216"/>
      <c r="DC43" s="216"/>
      <c r="DD43" s="216"/>
      <c r="DE43" s="216"/>
      <c r="DF43" s="216"/>
      <c r="DG43" s="216"/>
      <c r="DH43" s="216"/>
      <c r="DI43" s="216"/>
      <c r="DJ43" s="216"/>
      <c r="DK43" s="216"/>
      <c r="DL43" s="216"/>
      <c r="DM43" s="216"/>
      <c r="DN43" s="216"/>
      <c r="DO43" s="216"/>
      <c r="DP43" s="216"/>
      <c r="DQ43" s="216"/>
      <c r="DR43" s="216"/>
      <c r="DS43" s="216"/>
      <c r="DT43" s="216"/>
      <c r="DU43" s="216"/>
      <c r="DV43" s="216"/>
      <c r="DW43" s="216"/>
      <c r="DX43" s="216"/>
      <c r="DY43" s="216"/>
      <c r="DZ43" s="216"/>
      <c r="EA43" s="216"/>
      <c r="EB43" s="216"/>
      <c r="EC43" s="216"/>
      <c r="ED43" s="216"/>
      <c r="EE43" s="216"/>
      <c r="EF43" s="216"/>
      <c r="EG43" s="216"/>
      <c r="EH43" s="216"/>
      <c r="EI43" s="216"/>
      <c r="EJ43" s="216"/>
      <c r="EK43" s="216"/>
      <c r="EL43" s="216"/>
      <c r="EM43" s="216"/>
      <c r="EN43" s="216"/>
      <c r="EO43" s="216"/>
      <c r="EP43" s="216"/>
      <c r="EQ43" s="216"/>
      <c r="ER43" s="216"/>
      <c r="ES43" s="216"/>
      <c r="ET43" s="216"/>
      <c r="EU43" s="216"/>
      <c r="EV43" s="216"/>
      <c r="EW43" s="216"/>
      <c r="EX43" s="216"/>
      <c r="EY43" s="216"/>
      <c r="EZ43" s="216"/>
      <c r="FA43" s="216"/>
      <c r="FB43" s="216"/>
      <c r="FC43" s="216"/>
      <c r="FD43" s="216"/>
      <c r="FE43" s="216"/>
      <c r="FF43" s="216"/>
      <c r="FG43" s="216"/>
      <c r="FH43" s="216"/>
      <c r="FI43" s="216"/>
      <c r="FJ43" s="216"/>
      <c r="FK43" s="216"/>
      <c r="FL43" s="216"/>
      <c r="FM43" s="216"/>
      <c r="FN43" s="216"/>
      <c r="FO43" s="216"/>
      <c r="FP43" s="216"/>
      <c r="FQ43" s="216"/>
      <c r="FR43" s="216"/>
      <c r="FS43" s="216"/>
      <c r="FT43" s="216"/>
      <c r="FU43" s="216"/>
      <c r="FV43" s="216"/>
      <c r="FW43" s="216"/>
      <c r="FX43" s="216"/>
      <c r="FY43" s="216"/>
      <c r="FZ43" s="216"/>
      <c r="GA43" s="216"/>
      <c r="GB43" s="216"/>
      <c r="GC43" s="217"/>
      <c r="GD43" s="217"/>
      <c r="GE43" s="217"/>
      <c r="GF43" s="217"/>
      <c r="GG43" s="216"/>
      <c r="GH43" s="216"/>
      <c r="GI43" s="216"/>
      <c r="GJ43" s="216"/>
      <c r="GK43" s="216"/>
      <c r="GL43" s="216"/>
      <c r="GM43" s="217"/>
      <c r="GN43" s="217"/>
      <c r="GO43" s="217"/>
      <c r="GP43" s="217"/>
      <c r="GQ43" s="217"/>
      <c r="GR43" s="218"/>
      <c r="GS43" s="217"/>
      <c r="GT43" s="217"/>
      <c r="GU43" s="216"/>
      <c r="GV43" s="216"/>
      <c r="GW43" s="216"/>
      <c r="GX43" s="216"/>
      <c r="GY43" s="190"/>
      <c r="GZ43" s="190"/>
      <c r="HA43" s="190"/>
      <c r="HB43" s="190"/>
      <c r="HC43" s="190"/>
      <c r="HD43" s="190"/>
      <c r="HE43" s="190"/>
      <c r="HF43" s="190"/>
      <c r="HG43" s="190"/>
      <c r="HH43" s="190"/>
      <c r="HI43" s="190"/>
      <c r="HJ43" s="190"/>
      <c r="HK43" s="190"/>
      <c r="HL43" s="190"/>
      <c r="HM43" s="190"/>
      <c r="HN43" s="190"/>
      <c r="HO43" s="190"/>
      <c r="HP43" s="190"/>
      <c r="HQ43" s="190"/>
      <c r="HR43" s="190"/>
      <c r="HS43" s="190"/>
      <c r="HT43" s="190"/>
      <c r="HU43" s="190"/>
      <c r="HV43" s="190"/>
      <c r="HW43" s="190"/>
      <c r="HX43" s="190"/>
      <c r="HY43" s="190"/>
      <c r="HZ43" s="190"/>
      <c r="IA43" s="190"/>
      <c r="IB43" s="190"/>
      <c r="IC43" s="190"/>
      <c r="ID43" s="190"/>
      <c r="IE43" s="190"/>
      <c r="IF43" s="190"/>
      <c r="IG43" s="190"/>
      <c r="IH43" s="190"/>
      <c r="II43" s="190"/>
      <c r="IJ43" s="190"/>
      <c r="IK43" s="190"/>
      <c r="IL43" s="190"/>
      <c r="IM43" s="190"/>
      <c r="IN43" s="190"/>
      <c r="IO43" s="190"/>
      <c r="IP43" s="190"/>
      <c r="IQ43" s="190"/>
      <c r="IR43" s="190"/>
      <c r="IS43" s="190"/>
      <c r="IT43" s="190"/>
      <c r="IU43" s="190"/>
      <c r="IV43" s="190"/>
      <c r="IW43" s="190"/>
      <c r="IX43" s="190"/>
      <c r="IY43" s="190"/>
      <c r="IZ43" s="190"/>
      <c r="JA43" s="190"/>
      <c r="JB43" s="190"/>
      <c r="JC43" s="190"/>
      <c r="JD43" s="190"/>
      <c r="JE43" s="190"/>
      <c r="JF43" s="190"/>
      <c r="JG43" s="190"/>
      <c r="JH43" s="190"/>
      <c r="JI43" s="190"/>
      <c r="JJ43" s="190"/>
      <c r="JK43" s="190"/>
      <c r="JL43" s="190"/>
      <c r="JM43" s="190"/>
      <c r="JN43" s="190"/>
      <c r="JO43" s="190"/>
      <c r="JP43" s="190"/>
      <c r="JQ43" s="190"/>
      <c r="JR43" s="190"/>
      <c r="JS43" s="190"/>
      <c r="JT43" s="190"/>
      <c r="JU43" s="190"/>
      <c r="JV43" s="190"/>
      <c r="JW43" s="190"/>
      <c r="JX43" s="190"/>
      <c r="JY43" s="190"/>
      <c r="JZ43" s="190"/>
      <c r="KA43" s="190"/>
      <c r="KB43" s="190"/>
      <c r="KC43" s="190"/>
      <c r="KD43" s="190"/>
      <c r="KE43" s="190"/>
      <c r="KF43" s="190"/>
      <c r="KG43" s="190"/>
      <c r="KH43" s="190"/>
      <c r="KI43" s="190"/>
      <c r="KJ43" s="190"/>
      <c r="KK43" s="190"/>
      <c r="KL43" s="190"/>
      <c r="KM43" s="190"/>
      <c r="KN43" s="190"/>
      <c r="KO43" s="190"/>
      <c r="KP43" s="190"/>
      <c r="KQ43" s="190"/>
      <c r="KR43" s="190"/>
      <c r="KS43" s="190"/>
      <c r="KT43" s="190"/>
      <c r="KU43" s="190"/>
      <c r="KV43" s="190"/>
      <c r="KW43" s="190"/>
      <c r="KX43" s="190"/>
      <c r="KY43" s="190"/>
      <c r="KZ43" s="190"/>
      <c r="LA43" s="190"/>
      <c r="LB43" s="190"/>
      <c r="LC43" s="190"/>
      <c r="LD43" s="190"/>
      <c r="LE43" s="190"/>
      <c r="LF43" s="190"/>
      <c r="LG43" s="190"/>
      <c r="LH43" s="190"/>
      <c r="LI43" s="190"/>
      <c r="LJ43" s="190"/>
      <c r="LK43" s="190"/>
      <c r="LL43" s="190"/>
      <c r="LM43" s="190"/>
      <c r="LN43" s="190"/>
      <c r="LO43" s="190"/>
      <c r="LP43" s="190"/>
      <c r="LQ43" s="190"/>
      <c r="LR43" s="190"/>
      <c r="LS43" s="190"/>
      <c r="LT43" s="190"/>
      <c r="LU43" s="190"/>
      <c r="LV43" s="190"/>
      <c r="LW43" s="190"/>
      <c r="LX43" s="190"/>
      <c r="LY43" s="190"/>
      <c r="LZ43" s="190"/>
      <c r="MA43" s="190"/>
      <c r="MB43" s="190"/>
      <c r="MC43" s="190"/>
      <c r="MD43" s="190"/>
      <c r="ME43" s="190"/>
      <c r="MF43" s="190"/>
      <c r="MG43" s="190"/>
      <c r="MH43" s="190"/>
      <c r="MI43" s="190"/>
      <c r="MJ43" s="190"/>
      <c r="MK43" s="190"/>
      <c r="ML43" s="190"/>
      <c r="MM43" s="190"/>
      <c r="MN43" s="190"/>
      <c r="MO43" s="190"/>
      <c r="MP43" s="190"/>
      <c r="MQ43" s="190"/>
      <c r="MR43" s="190"/>
      <c r="MS43" s="190"/>
      <c r="MT43" s="190"/>
      <c r="MU43" s="190"/>
      <c r="MV43" s="190"/>
      <c r="MW43" s="190"/>
      <c r="MX43" s="190"/>
      <c r="MY43" s="190"/>
      <c r="MZ43" s="190"/>
      <c r="NA43" s="190"/>
      <c r="NB43" s="190"/>
      <c r="NC43" s="190"/>
      <c r="ND43" s="190"/>
      <c r="NE43" s="190"/>
      <c r="NF43" s="190"/>
      <c r="NG43" s="190"/>
      <c r="NH43" s="190"/>
      <c r="NI43" s="190"/>
      <c r="NJ43" s="190"/>
      <c r="NK43" s="190"/>
      <c r="NL43" s="190"/>
      <c r="NM43" s="190"/>
      <c r="NN43" s="190"/>
      <c r="NO43" s="190"/>
      <c r="NP43" s="190"/>
      <c r="NQ43" s="190"/>
      <c r="NR43" s="190"/>
      <c r="NS43" s="190"/>
      <c r="NT43" s="190"/>
      <c r="NU43" s="190"/>
      <c r="NV43" s="190"/>
      <c r="NW43" s="190"/>
      <c r="NX43" s="190"/>
      <c r="NY43" s="190"/>
      <c r="NZ43" s="190"/>
      <c r="OA43" s="190"/>
      <c r="OB43" s="190"/>
      <c r="OC43" s="190"/>
      <c r="OD43" s="190"/>
      <c r="OE43" s="190"/>
      <c r="OF43" s="190"/>
      <c r="OG43" s="190"/>
      <c r="OH43" s="190"/>
      <c r="OI43" s="190"/>
      <c r="OJ43" s="190"/>
      <c r="OK43" s="190"/>
      <c r="OL43" s="190"/>
      <c r="OM43" s="190"/>
      <c r="ON43" s="190"/>
      <c r="OO43" s="190"/>
      <c r="OP43" s="190"/>
      <c r="OQ43" s="190"/>
      <c r="OR43" s="190"/>
      <c r="OS43" s="190"/>
      <c r="OT43" s="190"/>
      <c r="OU43" s="190"/>
      <c r="OV43" s="190"/>
      <c r="OW43" s="190"/>
      <c r="OX43" s="190"/>
      <c r="OY43" s="190"/>
      <c r="OZ43" s="190"/>
      <c r="PA43" s="190"/>
      <c r="PB43" s="291"/>
      <c r="PC43" s="246"/>
      <c r="PD43" s="247"/>
      <c r="PE43" s="246"/>
      <c r="PF43" s="247"/>
      <c r="PG43" s="246"/>
      <c r="PH43" s="247"/>
      <c r="PI43" s="246"/>
      <c r="PJ43" s="247"/>
      <c r="PK43" s="190"/>
      <c r="PL43" s="291"/>
      <c r="PM43" s="246"/>
      <c r="PN43" s="247"/>
      <c r="PO43" s="292"/>
      <c r="PP43" s="247"/>
      <c r="PQ43" s="246"/>
      <c r="PR43" s="247"/>
      <c r="PS43" s="246"/>
      <c r="PT43" s="247"/>
      <c r="PU43" s="246"/>
      <c r="PV43" s="247"/>
      <c r="PW43" s="246"/>
      <c r="PX43" s="247"/>
      <c r="PY43" s="246"/>
      <c r="PZ43" s="247"/>
      <c r="QA43" s="246"/>
      <c r="QB43" s="247"/>
      <c r="QC43" s="246"/>
      <c r="QD43" s="247"/>
      <c r="QE43" s="246"/>
      <c r="QF43" s="247"/>
      <c r="QG43" s="246"/>
      <c r="QH43" s="247"/>
      <c r="QI43" s="246"/>
      <c r="QJ43" s="247"/>
      <c r="QK43" s="246"/>
      <c r="QL43" s="247"/>
      <c r="QM43" s="246"/>
      <c r="QN43" s="247"/>
      <c r="QO43" s="246"/>
      <c r="QP43" s="247"/>
      <c r="QQ43" s="246"/>
      <c r="QR43" s="247"/>
      <c r="QS43" s="246"/>
      <c r="QT43" s="247"/>
      <c r="QU43" s="246"/>
      <c r="QV43" s="247"/>
      <c r="QW43" s="246"/>
      <c r="QX43" s="247"/>
      <c r="QY43" s="246"/>
      <c r="QZ43" s="247"/>
      <c r="RA43" s="246"/>
      <c r="RB43" s="247"/>
      <c r="RC43" s="246"/>
      <c r="RD43" s="190"/>
      <c r="RE43" s="190"/>
      <c r="RF43" s="190"/>
      <c r="RG43" s="190"/>
      <c r="RH43" s="190"/>
      <c r="RI43" s="190"/>
      <c r="RJ43" s="190"/>
      <c r="RK43" s="190"/>
      <c r="RL43" s="190"/>
      <c r="RM43" s="190"/>
      <c r="RN43" s="190"/>
      <c r="RO43" s="190"/>
      <c r="RP43" s="190"/>
      <c r="RQ43" s="190"/>
      <c r="RR43" s="190"/>
      <c r="RS43" s="190"/>
      <c r="RT43" s="190"/>
      <c r="RU43" s="190"/>
      <c r="RV43" s="190"/>
      <c r="RW43" s="190"/>
      <c r="RX43" s="190"/>
      <c r="RY43" s="190"/>
      <c r="RZ43" s="190"/>
      <c r="SA43" s="190"/>
      <c r="SB43" s="190"/>
      <c r="SC43" s="190"/>
      <c r="SD43" s="190"/>
      <c r="SE43" s="190"/>
      <c r="SF43" s="190"/>
      <c r="SG43" s="190"/>
      <c r="SH43" s="190"/>
      <c r="SI43" s="190"/>
      <c r="SJ43" s="190"/>
      <c r="SK43" s="190"/>
      <c r="SL43" s="190"/>
      <c r="SM43" s="190"/>
      <c r="SN43" s="190"/>
      <c r="SO43" s="190"/>
      <c r="SP43" s="190"/>
      <c r="SQ43" s="190"/>
      <c r="SR43" s="190"/>
      <c r="SS43" s="190"/>
      <c r="ST43" s="190"/>
      <c r="SU43" s="190"/>
      <c r="SV43" s="190"/>
      <c r="SW43" s="190"/>
      <c r="SX43" s="190"/>
      <c r="SY43" s="190"/>
      <c r="SZ43" s="190"/>
      <c r="TA43" s="190"/>
      <c r="TB43" s="190"/>
      <c r="TC43" s="190"/>
      <c r="TD43" s="190"/>
      <c r="TE43" s="190"/>
      <c r="TF43" s="190"/>
      <c r="TG43" s="190"/>
      <c r="TH43" s="190"/>
      <c r="TI43" s="190"/>
      <c r="TJ43" s="190"/>
      <c r="TK43" s="190"/>
      <c r="TL43" s="190"/>
      <c r="TM43" s="190"/>
      <c r="TN43" s="190"/>
      <c r="TO43" s="190"/>
      <c r="TP43" s="190"/>
      <c r="TQ43" s="190"/>
      <c r="TR43" s="190"/>
      <c r="TS43" s="190"/>
      <c r="TT43" s="190"/>
      <c r="TU43" s="190"/>
      <c r="TV43" s="190"/>
      <c r="TW43" s="190"/>
      <c r="TX43" s="190"/>
      <c r="TY43" s="190"/>
      <c r="TZ43" s="190"/>
      <c r="UA43" s="190"/>
      <c r="UB43" s="190"/>
      <c r="UC43" s="190"/>
      <c r="UD43" s="190"/>
      <c r="UE43" s="190"/>
      <c r="UF43" s="190"/>
      <c r="UG43" s="190"/>
      <c r="UH43" s="190"/>
      <c r="UI43" s="190"/>
      <c r="UJ43" s="190"/>
      <c r="UK43" s="190"/>
      <c r="UL43" s="190"/>
      <c r="UM43" s="190"/>
      <c r="UN43" s="190"/>
      <c r="UO43" s="190"/>
      <c r="UP43" s="190"/>
      <c r="UQ43" s="190"/>
      <c r="UR43" s="190"/>
      <c r="US43" s="190"/>
      <c r="UT43" s="190"/>
      <c r="UU43" s="190"/>
      <c r="UV43" s="190"/>
      <c r="UW43" s="190"/>
      <c r="UX43" s="190"/>
      <c r="UY43" s="190"/>
      <c r="UZ43" s="190"/>
      <c r="VA43" s="190"/>
      <c r="VB43" s="190"/>
      <c r="VC43" s="190"/>
      <c r="VD43" s="190"/>
      <c r="VE43" s="190"/>
      <c r="VF43" s="190"/>
      <c r="VG43" s="190"/>
      <c r="VH43" s="190"/>
      <c r="VI43" s="190"/>
      <c r="VJ43" s="190"/>
      <c r="VK43" s="190"/>
      <c r="VL43" s="190"/>
      <c r="VM43" s="190"/>
      <c r="VN43" s="190"/>
      <c r="VO43" s="190"/>
      <c r="VP43" s="190"/>
      <c r="VQ43" s="190"/>
      <c r="VR43" s="190"/>
      <c r="VS43" s="190"/>
      <c r="VT43" s="190"/>
      <c r="VU43" s="190"/>
      <c r="VV43" s="190"/>
      <c r="VW43" s="190"/>
      <c r="VX43" s="190"/>
      <c r="VY43" s="190"/>
      <c r="VZ43" s="190"/>
      <c r="WA43" s="190"/>
      <c r="WB43" s="190"/>
      <c r="WC43" s="190"/>
      <c r="WD43" s="190"/>
      <c r="WE43" s="190"/>
      <c r="WF43" s="190"/>
      <c r="WG43" s="190"/>
      <c r="WH43" s="190"/>
      <c r="WI43" s="190"/>
      <c r="WJ43" s="190"/>
      <c r="WK43" s="190"/>
      <c r="WL43" s="190"/>
      <c r="WM43" s="190"/>
      <c r="WN43" s="190"/>
      <c r="WO43" s="190"/>
      <c r="WP43" s="190"/>
      <c r="WQ43" s="190"/>
      <c r="WR43" s="190"/>
      <c r="WS43" s="190"/>
      <c r="WT43" s="190"/>
      <c r="WU43" s="190"/>
      <c r="WV43" s="190"/>
      <c r="WW43" s="190"/>
      <c r="WX43" s="190"/>
      <c r="WY43" s="190"/>
      <c r="WZ43" s="190"/>
      <c r="XA43" s="190"/>
      <c r="XB43" s="190"/>
      <c r="XC43" s="190"/>
      <c r="XD43" s="190"/>
      <c r="XE43" s="190"/>
      <c r="XF43" s="190"/>
      <c r="XG43" s="190"/>
      <c r="XH43" s="190"/>
      <c r="XI43" s="190"/>
      <c r="XJ43" s="190"/>
      <c r="XK43" s="190"/>
      <c r="XL43" s="190"/>
      <c r="XM43" s="190"/>
      <c r="XN43" s="190"/>
      <c r="XO43" s="190"/>
      <c r="XP43" s="190"/>
      <c r="XQ43" s="190"/>
      <c r="XR43" s="190"/>
      <c r="XS43" s="190"/>
      <c r="XT43" s="190"/>
      <c r="XU43" s="190"/>
      <c r="XV43" s="190"/>
      <c r="XW43" s="190"/>
      <c r="XX43" s="190"/>
      <c r="XY43" s="190"/>
      <c r="XZ43" s="190"/>
      <c r="YA43" s="190"/>
      <c r="YB43" s="190"/>
      <c r="YC43" s="190"/>
      <c r="YD43" s="190"/>
      <c r="YE43" s="190"/>
      <c r="YF43" s="190"/>
      <c r="YG43" s="190"/>
      <c r="YH43" s="190"/>
      <c r="YI43" s="190"/>
      <c r="YJ43" s="190"/>
      <c r="YK43" s="190"/>
      <c r="YL43" s="190"/>
      <c r="YM43" s="190"/>
      <c r="YN43" s="190"/>
      <c r="YO43" s="190"/>
      <c r="YP43" s="190"/>
      <c r="YQ43" s="190"/>
      <c r="YR43" s="190"/>
      <c r="YS43" s="190"/>
      <c r="YT43" s="190"/>
      <c r="YU43" s="190"/>
      <c r="YV43" s="190"/>
      <c r="YW43" s="190"/>
      <c r="YX43" s="190"/>
      <c r="YY43" s="190"/>
      <c r="YZ43" s="190"/>
      <c r="ZA43" s="190"/>
      <c r="ZB43" s="190"/>
      <c r="ZC43" s="190"/>
      <c r="ZD43" s="190"/>
      <c r="ZE43" s="190"/>
      <c r="ZF43" s="190"/>
      <c r="ZG43" s="190"/>
      <c r="ZH43" s="190"/>
      <c r="ZI43" s="190"/>
      <c r="ZJ43" s="190"/>
      <c r="ZK43" s="190"/>
      <c r="ZL43" s="190"/>
      <c r="ZM43" s="190"/>
      <c r="ZN43" s="190"/>
      <c r="ZO43" s="190"/>
      <c r="ZP43" s="190"/>
      <c r="ZQ43" s="190"/>
      <c r="ZR43" s="190"/>
      <c r="ZS43" s="190"/>
      <c r="ZT43" s="190"/>
      <c r="ZU43" s="190"/>
      <c r="ZV43" s="190"/>
      <c r="ZW43" s="190"/>
      <c r="ZX43" s="190"/>
      <c r="ZY43" s="190"/>
      <c r="ZZ43" s="190"/>
      <c r="AAA43" s="190"/>
      <c r="AAB43" s="190"/>
      <c r="AAC43" s="190"/>
      <c r="AAD43" s="190"/>
      <c r="AAE43" s="190"/>
      <c r="AAF43" s="190"/>
      <c r="AAG43" s="190"/>
      <c r="AAH43" s="190"/>
      <c r="AAI43" s="190"/>
      <c r="AAJ43" s="190"/>
      <c r="AAK43" s="344"/>
      <c r="AAL43" s="344"/>
      <c r="AAM43" s="190"/>
      <c r="AAN43" s="190"/>
      <c r="AAO43" s="190"/>
      <c r="AAP43" s="190"/>
      <c r="AAQ43" s="190"/>
      <c r="AAR43" s="190"/>
      <c r="AAS43" s="190"/>
      <c r="AAT43" s="190"/>
      <c r="AAU43" s="190"/>
      <c r="AAV43" s="190"/>
      <c r="AAW43" s="190"/>
      <c r="AAX43" s="190"/>
      <c r="AAY43" s="190"/>
      <c r="AAZ43" s="190"/>
      <c r="ABA43" s="190"/>
      <c r="ABB43" s="190"/>
      <c r="ABC43" s="190"/>
      <c r="ABD43" s="190"/>
      <c r="ABE43" s="336"/>
      <c r="ABF43" s="335"/>
      <c r="ABG43" s="335"/>
      <c r="ABH43" s="335"/>
      <c r="ABI43" s="335"/>
      <c r="ABJ43" s="335"/>
      <c r="ABK43" s="335"/>
      <c r="ABL43" s="335"/>
      <c r="ABM43" s="335"/>
      <c r="ABN43" s="335"/>
      <c r="ABO43" s="335"/>
      <c r="ABP43" s="335"/>
      <c r="ABQ43" s="335"/>
      <c r="ABR43" s="335"/>
      <c r="ABS43" s="335"/>
      <c r="ABT43" s="335"/>
      <c r="ABU43" s="335"/>
      <c r="ABV43" s="335"/>
      <c r="ABW43" s="335"/>
      <c r="ABX43" s="335"/>
      <c r="ABY43" s="335"/>
      <c r="ABZ43" s="335"/>
      <c r="ACA43" s="335"/>
      <c r="ACB43" s="335"/>
      <c r="ACC43" s="335"/>
      <c r="ACD43" s="335"/>
      <c r="ACE43" s="335"/>
      <c r="ACF43" s="335"/>
      <c r="ACG43" s="335"/>
      <c r="ACH43" s="335"/>
      <c r="ACI43" s="335"/>
      <c r="ACJ43" s="335"/>
      <c r="ACK43" s="335"/>
      <c r="ACL43" s="335"/>
      <c r="ACM43" s="335"/>
      <c r="ACN43" s="335"/>
      <c r="ACO43" s="335"/>
      <c r="ACP43" s="335"/>
      <c r="ACQ43" s="335"/>
      <c r="ACR43" s="335"/>
      <c r="ACS43" s="335"/>
      <c r="ACT43" s="335"/>
      <c r="ACU43" s="335"/>
      <c r="ACV43" s="335"/>
      <c r="ACW43" s="335"/>
      <c r="ACX43" s="335"/>
      <c r="ACY43" s="335"/>
      <c r="ACZ43" s="335"/>
      <c r="ADA43" s="335"/>
      <c r="ADB43" s="335"/>
      <c r="ADC43" s="335"/>
      <c r="ADD43" s="335"/>
      <c r="ADE43" s="335"/>
      <c r="ADF43" s="335"/>
      <c r="ADG43" s="335"/>
      <c r="ADH43" s="335"/>
      <c r="ADI43" s="335"/>
      <c r="ADJ43" s="335"/>
      <c r="ADK43" s="335"/>
      <c r="ADL43" s="335"/>
      <c r="ADM43" s="335"/>
      <c r="ADN43" s="335"/>
      <c r="ADO43" s="335"/>
      <c r="ADP43" s="335"/>
      <c r="ADQ43" s="335"/>
      <c r="ADR43" s="335"/>
      <c r="ADS43" s="335"/>
      <c r="ADT43" s="335"/>
      <c r="ADU43" s="335"/>
      <c r="ADV43" s="335"/>
      <c r="ADW43" s="335"/>
      <c r="ADX43" s="335"/>
      <c r="ADY43" s="335"/>
      <c r="ADZ43" s="335"/>
      <c r="AEA43" s="335"/>
      <c r="AEB43" s="335"/>
      <c r="AEC43" s="335"/>
      <c r="AED43" s="335"/>
      <c r="AEE43" s="335"/>
      <c r="AEF43" s="335"/>
      <c r="AEG43" s="335"/>
      <c r="AEH43" s="335"/>
      <c r="AEI43" s="335"/>
      <c r="AEJ43" s="335"/>
      <c r="AEK43" s="335"/>
      <c r="AEL43" s="335"/>
      <c r="AEM43" s="335"/>
      <c r="AEN43" s="335"/>
      <c r="AEO43" s="335"/>
      <c r="AEP43" s="335"/>
      <c r="AEQ43" s="335"/>
      <c r="AER43" s="335"/>
      <c r="AES43" s="335"/>
      <c r="AET43" s="335"/>
      <c r="AEU43" s="335"/>
      <c r="AEV43" s="335"/>
      <c r="AEW43" s="335"/>
      <c r="AEX43" s="335"/>
      <c r="AEY43" s="335"/>
      <c r="AEZ43" s="335"/>
      <c r="AFA43" s="335"/>
      <c r="AFB43" s="335"/>
      <c r="AFC43" s="335"/>
      <c r="AFD43" s="335"/>
      <c r="AFE43" s="335"/>
      <c r="AFF43" s="335"/>
      <c r="AFG43" s="335"/>
      <c r="AFH43" s="335"/>
      <c r="AFI43" s="335"/>
      <c r="AFJ43" s="335"/>
      <c r="AFK43" s="335"/>
      <c r="AFL43" s="335"/>
      <c r="AFM43" s="335"/>
      <c r="AFN43" s="335"/>
      <c r="AFO43" s="335"/>
      <c r="AFP43" s="335"/>
      <c r="AFQ43" s="335"/>
      <c r="AFR43" s="335"/>
      <c r="AFS43" s="335"/>
      <c r="AFT43" s="335"/>
      <c r="AFU43" s="335"/>
      <c r="AFV43" s="335"/>
      <c r="AFW43" s="335"/>
      <c r="AFX43" s="335"/>
      <c r="AFY43" s="335"/>
      <c r="AFZ43" s="335"/>
      <c r="AGA43" s="335"/>
      <c r="AGB43" s="335"/>
      <c r="AGC43" s="335"/>
      <c r="AGD43" s="335"/>
      <c r="AGE43" s="335"/>
      <c r="AGF43" s="335"/>
      <c r="AGG43" s="335"/>
      <c r="AGH43" s="335"/>
      <c r="AGI43" s="335"/>
      <c r="AGJ43" s="335"/>
      <c r="AGK43" s="335"/>
      <c r="AGL43" s="335"/>
      <c r="AGM43" s="335"/>
      <c r="AGN43" s="335"/>
      <c r="AGO43" s="335"/>
      <c r="AGP43" s="335"/>
      <c r="AGQ43" s="335"/>
      <c r="AGR43" s="335"/>
      <c r="AGS43" s="335"/>
      <c r="AGT43" s="335"/>
      <c r="AGU43" s="335"/>
      <c r="AGV43" s="335"/>
      <c r="AGW43" s="335"/>
      <c r="AGX43" s="335"/>
      <c r="AGY43" s="335"/>
      <c r="AGZ43" s="335"/>
      <c r="AHA43" s="335"/>
      <c r="AHB43" s="335"/>
      <c r="AHC43" s="335"/>
      <c r="AHD43" s="335"/>
      <c r="AHE43" s="335"/>
      <c r="AHF43" s="335"/>
      <c r="AHG43" s="335"/>
      <c r="AHH43" s="335"/>
      <c r="AHI43" s="335"/>
      <c r="AHJ43" s="335"/>
      <c r="AHK43" s="335"/>
      <c r="AHL43" s="335"/>
      <c r="AHM43" s="335"/>
      <c r="AHN43" s="335"/>
      <c r="AHO43" s="335"/>
      <c r="AHP43" s="335"/>
      <c r="AHQ43" s="335"/>
      <c r="AHR43" s="335"/>
      <c r="AHS43" s="335"/>
      <c r="AHT43" s="335"/>
      <c r="AHU43" s="335"/>
      <c r="AHV43" s="335"/>
      <c r="AHW43" s="335"/>
      <c r="AHX43" s="335"/>
      <c r="AHY43" s="335"/>
      <c r="AHZ43" s="335"/>
      <c r="AIA43" s="335"/>
      <c r="AIB43" s="335"/>
      <c r="AIC43" s="341"/>
    </row>
    <row r="44" spans="1:913" s="190" customFormat="1">
      <c r="A44" s="172"/>
      <c r="B44" s="234">
        <v>1.0833333333333399</v>
      </c>
      <c r="O44" s="216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/>
      <c r="AA44" s="216"/>
      <c r="AB44" s="216"/>
      <c r="AC44" s="216"/>
      <c r="AD44" s="216"/>
      <c r="AE44" s="216"/>
      <c r="AF44" s="216"/>
      <c r="AG44" s="216"/>
      <c r="AH44" s="216"/>
      <c r="AI44" s="216"/>
      <c r="AJ44" s="216"/>
      <c r="AK44" s="216"/>
      <c r="AL44" s="216"/>
      <c r="AM44" s="216"/>
      <c r="AN44" s="216"/>
      <c r="AO44" s="216"/>
      <c r="AP44" s="216"/>
      <c r="AQ44" s="216"/>
      <c r="AR44" s="216"/>
      <c r="AS44" s="216"/>
      <c r="AT44" s="216"/>
      <c r="AU44" s="216"/>
      <c r="AV44" s="216"/>
      <c r="AW44" s="216"/>
      <c r="AX44" s="216"/>
      <c r="AY44" s="216"/>
      <c r="AZ44" s="216"/>
      <c r="BA44" s="216"/>
      <c r="BB44" s="216"/>
      <c r="BC44" s="216"/>
      <c r="BD44" s="216"/>
      <c r="BE44" s="216"/>
      <c r="BF44" s="216"/>
      <c r="BG44" s="216"/>
      <c r="BH44" s="216"/>
      <c r="BI44" s="216"/>
      <c r="BJ44" s="216"/>
      <c r="BK44" s="216"/>
      <c r="BL44" s="216"/>
      <c r="BM44" s="216"/>
      <c r="BN44" s="216"/>
      <c r="BO44" s="216"/>
      <c r="BP44" s="216"/>
      <c r="BQ44" s="216"/>
      <c r="BR44" s="216"/>
      <c r="BS44" s="216"/>
      <c r="BT44" s="216"/>
      <c r="BU44" s="216"/>
      <c r="BV44" s="216"/>
      <c r="BW44" s="216"/>
      <c r="BX44" s="216"/>
      <c r="BY44" s="216"/>
      <c r="BZ44" s="216"/>
      <c r="CA44" s="216"/>
      <c r="CB44" s="216"/>
      <c r="CC44" s="216"/>
      <c r="CD44" s="216"/>
      <c r="CE44" s="216"/>
      <c r="CF44" s="216"/>
      <c r="CG44" s="216"/>
      <c r="CH44" s="216"/>
      <c r="CI44" s="216"/>
      <c r="CJ44" s="216"/>
      <c r="CK44" s="216"/>
      <c r="CL44" s="216"/>
      <c r="CM44" s="216"/>
      <c r="CN44" s="216"/>
      <c r="CO44" s="216"/>
      <c r="CP44" s="216"/>
      <c r="CR44" s="216"/>
      <c r="CS44" s="216"/>
      <c r="CT44" s="216"/>
      <c r="CU44" s="216"/>
      <c r="CV44" s="216"/>
      <c r="CW44" s="216"/>
      <c r="CX44" s="216"/>
      <c r="CY44" s="216"/>
      <c r="CZ44" s="216"/>
      <c r="DA44" s="216"/>
      <c r="DB44" s="216"/>
      <c r="DC44" s="216"/>
      <c r="DD44" s="216"/>
      <c r="DE44" s="216"/>
      <c r="DF44" s="216"/>
      <c r="DG44" s="216"/>
      <c r="DH44" s="216"/>
      <c r="DI44" s="216"/>
      <c r="DJ44" s="216"/>
      <c r="DK44" s="216"/>
      <c r="DL44" s="216"/>
      <c r="DM44" s="216"/>
      <c r="DN44" s="216"/>
      <c r="DO44" s="216"/>
      <c r="DP44" s="216"/>
      <c r="DQ44" s="216"/>
      <c r="DR44" s="216"/>
      <c r="DS44" s="216"/>
      <c r="DT44" s="216"/>
      <c r="DU44" s="216"/>
      <c r="DV44" s="216"/>
      <c r="DW44" s="216"/>
      <c r="DX44" s="216"/>
      <c r="DY44" s="216"/>
      <c r="DZ44" s="216"/>
      <c r="EA44" s="216"/>
      <c r="EB44" s="216"/>
      <c r="EC44" s="216"/>
      <c r="ED44" s="216"/>
      <c r="EE44" s="216"/>
      <c r="EF44" s="216"/>
      <c r="EG44" s="216"/>
      <c r="EH44" s="216"/>
      <c r="EI44" s="216"/>
      <c r="EJ44" s="216"/>
      <c r="EK44" s="216"/>
      <c r="EL44" s="216"/>
      <c r="EM44" s="216"/>
      <c r="EN44" s="216"/>
      <c r="EO44" s="216"/>
      <c r="EP44" s="216"/>
      <c r="EQ44" s="216"/>
      <c r="ER44" s="216"/>
      <c r="ES44" s="216"/>
      <c r="ET44" s="216"/>
      <c r="EU44" s="216"/>
      <c r="EV44" s="216"/>
      <c r="EW44" s="216"/>
      <c r="EX44" s="216"/>
      <c r="EY44" s="216"/>
      <c r="EZ44" s="216"/>
      <c r="FA44" s="216"/>
      <c r="FB44" s="216"/>
      <c r="FC44" s="216"/>
      <c r="FD44" s="216"/>
      <c r="FE44" s="216"/>
      <c r="FF44" s="216"/>
      <c r="FG44" s="216"/>
      <c r="FH44" s="216"/>
      <c r="FI44" s="216"/>
      <c r="FJ44" s="216"/>
      <c r="FK44" s="216"/>
      <c r="FL44" s="216"/>
      <c r="FM44" s="216"/>
      <c r="FN44" s="216"/>
      <c r="FO44" s="216"/>
      <c r="FP44" s="216"/>
      <c r="FQ44" s="216"/>
      <c r="FR44" s="216"/>
      <c r="FS44" s="216"/>
      <c r="FT44" s="216"/>
      <c r="FU44" s="216"/>
      <c r="FV44" s="216"/>
      <c r="FW44" s="216"/>
      <c r="FX44" s="216"/>
      <c r="FY44" s="216"/>
      <c r="FZ44" s="216"/>
      <c r="GA44" s="216"/>
      <c r="GB44" s="216"/>
      <c r="GC44" s="217"/>
      <c r="GD44" s="217"/>
      <c r="GE44" s="217"/>
      <c r="GF44" s="217"/>
      <c r="GG44" s="216"/>
      <c r="GH44" s="216"/>
      <c r="GI44" s="216"/>
      <c r="GJ44" s="216"/>
      <c r="GK44" s="216"/>
      <c r="GL44" s="216"/>
      <c r="GM44" s="217"/>
      <c r="GN44" s="217"/>
      <c r="GO44" s="217"/>
      <c r="GP44" s="217"/>
      <c r="GQ44" s="217"/>
      <c r="GR44" s="218"/>
      <c r="GS44" s="217"/>
      <c r="GT44" s="217"/>
      <c r="GU44" s="216"/>
      <c r="GV44" s="216"/>
      <c r="GW44" s="216"/>
      <c r="GX44" s="216"/>
      <c r="PB44" s="291"/>
      <c r="PC44" s="246"/>
      <c r="PD44" s="247"/>
      <c r="PE44" s="246"/>
      <c r="PF44" s="247"/>
      <c r="PG44" s="246"/>
      <c r="PH44" s="247"/>
      <c r="PI44" s="246"/>
      <c r="PJ44" s="247"/>
      <c r="PL44" s="291"/>
      <c r="PM44" s="246"/>
      <c r="PN44" s="247"/>
      <c r="PO44" s="292"/>
      <c r="PP44" s="247"/>
      <c r="PQ44" s="246"/>
      <c r="PR44" s="247"/>
      <c r="PS44" s="246"/>
      <c r="PT44" s="247"/>
      <c r="PU44" s="246"/>
      <c r="PV44" s="247"/>
      <c r="PW44" s="246"/>
      <c r="PX44" s="247"/>
      <c r="PY44" s="246"/>
      <c r="PZ44" s="247"/>
      <c r="QA44" s="246"/>
      <c r="QB44" s="247"/>
      <c r="QC44" s="246"/>
      <c r="QD44" s="247"/>
      <c r="QE44" s="246"/>
      <c r="QF44" s="247"/>
      <c r="QG44" s="246"/>
      <c r="QH44" s="247"/>
      <c r="QI44" s="246"/>
      <c r="QJ44" s="247"/>
      <c r="QK44" s="246"/>
      <c r="QL44" s="247"/>
      <c r="QM44" s="246"/>
      <c r="QN44" s="247"/>
      <c r="QO44" s="246"/>
      <c r="QP44" s="247"/>
      <c r="QQ44" s="246"/>
      <c r="QR44" s="247"/>
      <c r="QS44" s="246"/>
      <c r="QT44" s="247"/>
      <c r="QU44" s="246"/>
      <c r="QV44" s="247"/>
      <c r="QW44" s="246"/>
      <c r="QX44" s="247"/>
      <c r="QY44" s="246"/>
      <c r="QZ44" s="247"/>
      <c r="RA44" s="246"/>
      <c r="RB44" s="247"/>
      <c r="RC44" s="246"/>
      <c r="AAK44" s="344"/>
      <c r="AAL44" s="344"/>
      <c r="ABE44" s="336"/>
      <c r="ABF44" s="335"/>
      <c r="ABG44" s="335"/>
      <c r="ABH44" s="335"/>
      <c r="ABI44" s="335"/>
      <c r="ABJ44" s="335"/>
      <c r="ABK44" s="335"/>
      <c r="ABL44" s="335"/>
      <c r="ABM44" s="335"/>
      <c r="ABN44" s="335"/>
      <c r="ABO44" s="335"/>
      <c r="ABP44" s="335"/>
      <c r="ABQ44" s="335"/>
      <c r="ABR44" s="335"/>
      <c r="ABS44" s="335"/>
      <c r="ABT44" s="335"/>
      <c r="ABU44" s="335"/>
      <c r="ABV44" s="335"/>
      <c r="ABW44" s="335"/>
      <c r="ABX44" s="335"/>
      <c r="ABY44" s="335"/>
      <c r="ABZ44" s="335"/>
      <c r="ACA44" s="335"/>
      <c r="ACB44" s="335"/>
      <c r="ACC44" s="335"/>
      <c r="ACD44" s="335"/>
      <c r="ACE44" s="335"/>
      <c r="ACF44" s="335"/>
      <c r="ACG44" s="335"/>
      <c r="ACH44" s="335"/>
      <c r="ACI44" s="335"/>
      <c r="ACJ44" s="335"/>
      <c r="ACK44" s="335"/>
      <c r="ACL44" s="335"/>
      <c r="ACM44" s="335"/>
      <c r="ACN44" s="335"/>
      <c r="ACO44" s="335"/>
      <c r="ACP44" s="335"/>
      <c r="ACQ44" s="335"/>
      <c r="ACR44" s="335"/>
      <c r="ACS44" s="335"/>
      <c r="ACT44" s="335"/>
      <c r="ACU44" s="335"/>
      <c r="ACV44" s="335"/>
      <c r="ACW44" s="335"/>
      <c r="ACX44" s="335"/>
      <c r="ACY44" s="335"/>
      <c r="ACZ44" s="335"/>
      <c r="ADA44" s="335"/>
      <c r="ADB44" s="335"/>
      <c r="ADC44" s="335"/>
      <c r="ADD44" s="335"/>
      <c r="ADE44" s="335"/>
      <c r="ADF44" s="335"/>
      <c r="ADG44" s="335"/>
      <c r="ADH44" s="335"/>
      <c r="ADI44" s="335"/>
      <c r="ADJ44" s="335"/>
      <c r="ADK44" s="335"/>
      <c r="ADL44" s="335"/>
      <c r="ADM44" s="335"/>
      <c r="ADN44" s="335"/>
      <c r="ADO44" s="335"/>
      <c r="ADP44" s="335"/>
      <c r="ADQ44" s="335"/>
      <c r="ADR44" s="335"/>
      <c r="ADS44" s="335"/>
      <c r="ADT44" s="335"/>
      <c r="ADU44" s="335"/>
      <c r="ADV44" s="335"/>
      <c r="ADW44" s="335"/>
      <c r="ADX44" s="335"/>
      <c r="ADY44" s="335"/>
      <c r="ADZ44" s="335"/>
      <c r="AEA44" s="335"/>
      <c r="AEB44" s="335"/>
      <c r="AEC44" s="335"/>
      <c r="AED44" s="335"/>
      <c r="AEE44" s="335"/>
      <c r="AEF44" s="335"/>
      <c r="AEG44" s="335"/>
      <c r="AEH44" s="335"/>
      <c r="AEI44" s="335"/>
      <c r="AEJ44" s="335"/>
      <c r="AEK44" s="335"/>
      <c r="AEL44" s="335"/>
      <c r="AEM44" s="335"/>
      <c r="AEN44" s="335"/>
      <c r="AEO44" s="335"/>
      <c r="AEP44" s="335"/>
      <c r="AEQ44" s="335"/>
      <c r="AER44" s="335"/>
      <c r="AES44" s="335"/>
      <c r="AET44" s="335"/>
      <c r="AEU44" s="335"/>
      <c r="AEV44" s="335"/>
      <c r="AEW44" s="335"/>
      <c r="AEX44" s="335"/>
      <c r="AEY44" s="335"/>
      <c r="AEZ44" s="335"/>
      <c r="AFA44" s="335"/>
      <c r="AFB44" s="335"/>
      <c r="AFC44" s="335"/>
      <c r="AFD44" s="335"/>
      <c r="AFE44" s="335"/>
      <c r="AFF44" s="335"/>
      <c r="AFG44" s="335"/>
      <c r="AFH44" s="335"/>
      <c r="AFI44" s="335"/>
      <c r="AFJ44" s="335"/>
      <c r="AFK44" s="335"/>
      <c r="AFL44" s="335"/>
      <c r="AFM44" s="335"/>
      <c r="AFN44" s="335"/>
      <c r="AFO44" s="335"/>
      <c r="AFP44" s="335"/>
      <c r="AFQ44" s="335"/>
      <c r="AFR44" s="335"/>
      <c r="AFS44" s="335"/>
      <c r="AFT44" s="335"/>
      <c r="AFU44" s="335"/>
      <c r="AFV44" s="335"/>
      <c r="AFW44" s="335"/>
      <c r="AFX44" s="335"/>
      <c r="AFY44" s="335"/>
      <c r="AFZ44" s="335"/>
      <c r="AGA44" s="335"/>
      <c r="AGB44" s="335"/>
      <c r="AGC44" s="335"/>
      <c r="AGD44" s="335"/>
      <c r="AGE44" s="335"/>
      <c r="AGF44" s="335"/>
      <c r="AGG44" s="335"/>
      <c r="AGH44" s="335"/>
      <c r="AGI44" s="335"/>
      <c r="AGJ44" s="335"/>
      <c r="AGK44" s="335"/>
      <c r="AGL44" s="335"/>
      <c r="AGM44" s="335"/>
      <c r="AGN44" s="335"/>
      <c r="AGO44" s="335"/>
      <c r="AGP44" s="335"/>
      <c r="AGQ44" s="335"/>
      <c r="AGR44" s="335"/>
      <c r="AGS44" s="335"/>
      <c r="AGT44" s="335"/>
      <c r="AGU44" s="335"/>
      <c r="AGV44" s="335"/>
      <c r="AGW44" s="335"/>
      <c r="AGX44" s="335"/>
      <c r="AGY44" s="335"/>
      <c r="AGZ44" s="335"/>
      <c r="AHA44" s="335"/>
      <c r="AHB44" s="335"/>
      <c r="AHC44" s="335"/>
      <c r="AHD44" s="335"/>
      <c r="AHE44" s="335"/>
      <c r="AHF44" s="335"/>
      <c r="AHG44" s="335"/>
      <c r="AHH44" s="335"/>
      <c r="AHI44" s="335"/>
      <c r="AHJ44" s="335"/>
      <c r="AHK44" s="335"/>
      <c r="AHL44" s="335"/>
      <c r="AHM44" s="335"/>
      <c r="AHN44" s="335"/>
      <c r="AHO44" s="335"/>
      <c r="AHP44" s="335"/>
      <c r="AHQ44" s="335"/>
      <c r="AHR44" s="335"/>
      <c r="AHS44" s="335"/>
      <c r="AHT44" s="335"/>
      <c r="AHU44" s="335"/>
      <c r="AHV44" s="335"/>
      <c r="AHW44" s="335"/>
      <c r="AHX44" s="335"/>
      <c r="AHY44" s="335"/>
      <c r="AHZ44" s="335"/>
      <c r="AIA44" s="335"/>
      <c r="AIB44" s="335"/>
      <c r="AIC44" s="292"/>
    </row>
    <row r="45" spans="1:913" s="171" customFormat="1" ht="16.5" customHeight="1">
      <c r="B45" s="179"/>
      <c r="C45" s="495"/>
      <c r="D45" s="495"/>
      <c r="E45" s="495"/>
      <c r="F45" s="495"/>
      <c r="G45" s="495"/>
      <c r="H45" s="495"/>
      <c r="I45" s="495"/>
      <c r="J45" s="495"/>
      <c r="K45" s="495"/>
      <c r="L45" s="495"/>
      <c r="M45" s="495"/>
      <c r="N45" s="495"/>
      <c r="O45" s="495"/>
      <c r="P45" s="495"/>
      <c r="Q45" s="495"/>
      <c r="R45" s="495"/>
      <c r="S45" s="495"/>
      <c r="T45" s="495"/>
      <c r="U45" s="495"/>
      <c r="V45" s="495"/>
      <c r="W45" s="495"/>
      <c r="X45" s="495"/>
      <c r="Y45" s="495"/>
      <c r="Z45" s="495"/>
      <c r="AA45" s="495"/>
      <c r="AB45" s="495"/>
      <c r="AC45" s="495"/>
      <c r="AD45" s="495"/>
      <c r="AE45" s="495"/>
      <c r="AF45" s="495"/>
      <c r="AG45" s="495"/>
      <c r="AH45" s="495"/>
      <c r="AI45" s="495"/>
      <c r="AJ45" s="495"/>
      <c r="AK45" s="495"/>
      <c r="AL45" s="495"/>
      <c r="AM45" s="495"/>
      <c r="AN45" s="495"/>
      <c r="AO45" s="495"/>
      <c r="AP45" s="495"/>
      <c r="AQ45" s="495"/>
      <c r="AR45" s="495"/>
      <c r="AS45" s="495"/>
      <c r="AT45" s="495"/>
      <c r="AU45" s="495"/>
      <c r="AV45" s="495"/>
      <c r="AW45" s="495"/>
      <c r="AX45" s="495"/>
      <c r="AY45" s="495"/>
      <c r="AZ45" s="495"/>
      <c r="BA45" s="495"/>
      <c r="BB45" s="495"/>
      <c r="BC45" s="495"/>
      <c r="BD45" s="495"/>
      <c r="BE45" s="495"/>
      <c r="BF45" s="495"/>
      <c r="BG45" s="495"/>
      <c r="BH45" s="495"/>
      <c r="BI45" s="495"/>
      <c r="BJ45" s="495"/>
      <c r="BK45" s="495"/>
      <c r="BL45" s="495"/>
      <c r="BM45" s="495"/>
      <c r="BN45" s="495"/>
      <c r="BO45" s="495"/>
      <c r="BP45" s="495"/>
      <c r="BQ45" s="495"/>
      <c r="BR45" s="495"/>
      <c r="BS45" s="495"/>
      <c r="BT45" s="495"/>
      <c r="BU45" s="495"/>
      <c r="BV45" s="495"/>
      <c r="BW45" s="495"/>
      <c r="BX45" s="495"/>
      <c r="BY45" s="495"/>
      <c r="BZ45" s="495"/>
      <c r="CA45" s="495"/>
      <c r="CB45" s="495"/>
      <c r="CC45" s="495"/>
      <c r="CD45" s="495"/>
      <c r="CE45" s="495"/>
      <c r="CF45" s="495"/>
      <c r="CG45" s="495"/>
      <c r="CH45" s="495"/>
      <c r="CI45" s="495"/>
      <c r="CJ45" s="495"/>
      <c r="CK45" s="495"/>
      <c r="CL45" s="495"/>
      <c r="CM45" s="495"/>
      <c r="CN45" s="495"/>
      <c r="CO45" s="495"/>
      <c r="CP45" s="495"/>
      <c r="CQ45" s="495"/>
      <c r="CR45" s="495"/>
      <c r="CS45" s="495"/>
      <c r="CT45" s="495"/>
      <c r="CU45" s="495"/>
      <c r="CV45" s="495"/>
      <c r="CW45" s="495"/>
      <c r="CX45" s="495"/>
      <c r="CY45" s="495"/>
      <c r="CZ45" s="495"/>
      <c r="DA45" s="495"/>
      <c r="DB45" s="495"/>
      <c r="DC45" s="495"/>
      <c r="DD45" s="495"/>
      <c r="DE45" s="495"/>
      <c r="DF45" s="495"/>
      <c r="DG45" s="495"/>
      <c r="DH45" s="495"/>
      <c r="DI45" s="495"/>
      <c r="DJ45" s="495"/>
      <c r="DK45" s="495"/>
      <c r="DL45" s="495"/>
      <c r="DM45" s="495"/>
      <c r="DN45" s="495"/>
      <c r="DO45" s="495"/>
      <c r="DP45" s="495"/>
      <c r="DQ45" s="495"/>
      <c r="DR45" s="495"/>
      <c r="DS45" s="495"/>
      <c r="DT45" s="495"/>
      <c r="DU45" s="495"/>
      <c r="DV45" s="495"/>
      <c r="DW45" s="495"/>
      <c r="DX45" s="495"/>
      <c r="DY45" s="495"/>
      <c r="DZ45" s="495"/>
      <c r="EA45" s="495"/>
      <c r="EB45" s="495"/>
      <c r="EC45" s="495"/>
      <c r="ED45" s="495"/>
      <c r="EE45" s="495"/>
      <c r="EF45" s="495"/>
      <c r="EG45" s="495"/>
      <c r="EH45" s="495"/>
      <c r="EI45" s="495"/>
      <c r="EJ45" s="495"/>
      <c r="EK45" s="495"/>
      <c r="EL45" s="495"/>
      <c r="EM45" s="495"/>
      <c r="EN45" s="495"/>
      <c r="EO45" s="495"/>
      <c r="EP45" s="495"/>
      <c r="EQ45" s="495"/>
      <c r="ER45" s="495"/>
      <c r="ES45" s="495"/>
      <c r="ET45" s="495"/>
      <c r="EU45" s="495"/>
      <c r="EV45" s="495"/>
      <c r="EW45" s="495"/>
      <c r="EX45" s="495"/>
      <c r="EY45" s="495"/>
      <c r="EZ45" s="495"/>
      <c r="FA45" s="495"/>
      <c r="FB45" s="495"/>
      <c r="FC45" s="495"/>
      <c r="FD45" s="495"/>
      <c r="FE45" s="495"/>
      <c r="FF45" s="495"/>
      <c r="FG45" s="495"/>
      <c r="FH45" s="495"/>
      <c r="FI45" s="495"/>
      <c r="FJ45" s="495"/>
      <c r="FK45" s="495"/>
      <c r="FL45" s="495"/>
      <c r="FM45" s="495"/>
      <c r="FN45" s="495"/>
      <c r="FO45" s="495"/>
      <c r="FP45" s="495"/>
      <c r="FQ45" s="495"/>
      <c r="FR45" s="495"/>
      <c r="FS45" s="495"/>
      <c r="FT45" s="495"/>
      <c r="FU45" s="495"/>
      <c r="FV45" s="495"/>
      <c r="FW45" s="495"/>
      <c r="FX45" s="495"/>
      <c r="FY45" s="495"/>
      <c r="FZ45" s="495"/>
      <c r="GA45" s="495"/>
      <c r="GB45" s="495"/>
      <c r="GC45" s="495"/>
      <c r="GD45" s="495"/>
      <c r="GE45" s="495"/>
      <c r="GF45" s="495"/>
      <c r="GG45" s="495"/>
      <c r="GH45" s="495"/>
      <c r="GI45" s="495"/>
      <c r="GJ45" s="495"/>
      <c r="GK45" s="495"/>
      <c r="GL45" s="495"/>
      <c r="GM45" s="495"/>
      <c r="GN45" s="495"/>
      <c r="GO45" s="495"/>
      <c r="GP45" s="495"/>
      <c r="GQ45" s="495"/>
      <c r="GR45" s="495"/>
      <c r="GS45" s="495"/>
      <c r="GT45" s="495"/>
      <c r="GU45" s="495"/>
      <c r="GV45" s="495"/>
      <c r="GW45" s="495"/>
      <c r="GX45" s="495"/>
      <c r="GY45" s="495"/>
      <c r="GZ45" s="495"/>
      <c r="HA45" s="495"/>
      <c r="HB45" s="495"/>
      <c r="HC45" s="495"/>
      <c r="HD45" s="495"/>
      <c r="HE45" s="495"/>
      <c r="HF45" s="495"/>
      <c r="HG45" s="495"/>
      <c r="HH45" s="495"/>
      <c r="HI45" s="495"/>
      <c r="HJ45" s="495"/>
      <c r="HK45" s="495"/>
      <c r="HL45" s="495"/>
      <c r="HM45" s="495"/>
      <c r="HN45" s="495"/>
      <c r="HO45" s="495"/>
      <c r="HP45" s="495"/>
      <c r="HQ45" s="495"/>
      <c r="HR45" s="495"/>
      <c r="HS45" s="495"/>
      <c r="HT45" s="495"/>
      <c r="HU45" s="495"/>
      <c r="HV45" s="495"/>
      <c r="HW45" s="495"/>
      <c r="HX45" s="495"/>
      <c r="HY45" s="495"/>
      <c r="HZ45" s="495"/>
      <c r="IA45" s="495"/>
      <c r="IB45" s="495"/>
      <c r="IC45" s="495"/>
      <c r="ID45" s="495"/>
      <c r="IE45" s="495"/>
      <c r="IF45" s="495"/>
      <c r="IG45" s="495"/>
      <c r="IH45" s="495"/>
      <c r="II45" s="495"/>
      <c r="IJ45" s="495"/>
      <c r="IK45" s="495"/>
      <c r="IL45" s="495"/>
      <c r="IM45" s="495"/>
      <c r="IN45" s="495"/>
      <c r="IO45" s="495"/>
      <c r="IP45" s="495"/>
      <c r="IQ45" s="495"/>
      <c r="IR45" s="495"/>
      <c r="IS45" s="495"/>
      <c r="IT45" s="495"/>
      <c r="IU45" s="189"/>
      <c r="IV45" s="189"/>
      <c r="NM45" s="171">
        <v>523</v>
      </c>
      <c r="YE45" s="215"/>
      <c r="YF45" s="215"/>
      <c r="YG45" s="215"/>
      <c r="YH45" s="215"/>
      <c r="YI45" s="215"/>
      <c r="YJ45" s="215"/>
      <c r="YK45" s="215"/>
      <c r="YL45" s="215"/>
      <c r="YM45" s="215"/>
      <c r="YN45" s="215"/>
      <c r="YO45" s="215"/>
      <c r="YP45" s="215"/>
      <c r="YQ45" s="215"/>
      <c r="YR45" s="215"/>
      <c r="YS45" s="215"/>
      <c r="YT45" s="215"/>
      <c r="YU45" s="215"/>
      <c r="YV45" s="215"/>
      <c r="YW45" s="215"/>
      <c r="YX45" s="215"/>
      <c r="YY45" s="215"/>
      <c r="YZ45" s="215"/>
      <c r="ZA45" s="215"/>
      <c r="ZB45" s="215"/>
      <c r="ZC45" s="215"/>
      <c r="ZD45" s="215"/>
      <c r="ABE45" s="336"/>
      <c r="ABF45" s="335"/>
      <c r="ABG45" s="335"/>
      <c r="ABH45" s="335"/>
      <c r="ABI45" s="335"/>
      <c r="ABJ45" s="335"/>
      <c r="ABK45" s="335"/>
      <c r="ABL45" s="335"/>
      <c r="ABM45" s="335"/>
      <c r="ABN45" s="335"/>
      <c r="ABO45" s="335"/>
      <c r="ABP45" s="335"/>
      <c r="ABQ45" s="335"/>
      <c r="ABR45" s="335"/>
      <c r="ABS45" s="335"/>
      <c r="ABT45" s="335"/>
      <c r="ABU45" s="335"/>
      <c r="ABV45" s="335"/>
      <c r="ABW45" s="335"/>
      <c r="ABX45" s="335"/>
      <c r="ABY45" s="335"/>
      <c r="ABZ45" s="335"/>
      <c r="ACA45" s="335"/>
      <c r="ACB45" s="335"/>
      <c r="ACC45" s="335"/>
      <c r="ACD45" s="335"/>
      <c r="ACE45" s="335"/>
      <c r="ACF45" s="335"/>
      <c r="ACG45" s="335"/>
      <c r="ACH45" s="335"/>
      <c r="ACI45" s="335"/>
      <c r="ACJ45" s="335"/>
      <c r="ACK45" s="335"/>
      <c r="ACL45" s="335"/>
      <c r="ACM45" s="335"/>
      <c r="ACN45" s="335"/>
      <c r="ACO45" s="335"/>
      <c r="ACP45" s="335"/>
      <c r="ACQ45" s="335"/>
      <c r="ACR45" s="335"/>
      <c r="ACS45" s="335"/>
      <c r="ACT45" s="335"/>
      <c r="ACU45" s="335"/>
      <c r="ACV45" s="335"/>
      <c r="ACW45" s="335"/>
      <c r="ACX45" s="335"/>
      <c r="ACY45" s="335"/>
      <c r="ACZ45" s="335"/>
      <c r="ADA45" s="335"/>
      <c r="ADB45" s="335"/>
      <c r="ADC45" s="335"/>
      <c r="ADD45" s="335"/>
      <c r="ADE45" s="335"/>
      <c r="ADF45" s="335"/>
      <c r="ADG45" s="335"/>
      <c r="ADH45" s="335"/>
      <c r="ADI45" s="335"/>
      <c r="ADJ45" s="335"/>
      <c r="ADK45" s="335"/>
      <c r="ADL45" s="335"/>
      <c r="ADM45" s="335"/>
      <c r="ADN45" s="335"/>
      <c r="ADO45" s="335"/>
      <c r="ADP45" s="335"/>
      <c r="ADQ45" s="335"/>
      <c r="ADR45" s="335"/>
      <c r="ADS45" s="335"/>
      <c r="ADT45" s="335"/>
      <c r="ADU45" s="335"/>
      <c r="ADV45" s="335"/>
      <c r="ADW45" s="335"/>
      <c r="ADX45" s="335"/>
      <c r="ADY45" s="335"/>
      <c r="ADZ45" s="335"/>
      <c r="AEA45" s="335"/>
      <c r="AEB45" s="335"/>
      <c r="AEC45" s="335"/>
      <c r="AED45" s="335"/>
      <c r="AEE45" s="335"/>
      <c r="AEF45" s="335"/>
      <c r="AEG45" s="335"/>
      <c r="AEH45" s="335"/>
      <c r="AEI45" s="335"/>
      <c r="AEJ45" s="335"/>
      <c r="AEK45" s="335"/>
      <c r="AEL45" s="335"/>
      <c r="AEM45" s="335"/>
      <c r="AEN45" s="335"/>
      <c r="AEO45" s="335"/>
      <c r="AEP45" s="335"/>
      <c r="AEQ45" s="335"/>
      <c r="AER45" s="335"/>
      <c r="AES45" s="335"/>
      <c r="AET45" s="335"/>
      <c r="AEU45" s="335"/>
      <c r="AEV45" s="335"/>
      <c r="AEW45" s="335"/>
      <c r="AEX45" s="335"/>
      <c r="AEY45" s="335"/>
      <c r="AEZ45" s="335"/>
      <c r="AFA45" s="335"/>
      <c r="AFB45" s="335"/>
      <c r="AFC45" s="335"/>
      <c r="AFD45" s="335"/>
      <c r="AFE45" s="335"/>
      <c r="AFF45" s="335"/>
      <c r="AFG45" s="335"/>
      <c r="AFH45" s="335"/>
      <c r="AFI45" s="335"/>
      <c r="AFJ45" s="335"/>
      <c r="AFK45" s="335"/>
      <c r="AFL45" s="335"/>
      <c r="AFM45" s="335"/>
      <c r="AFN45" s="335"/>
      <c r="AFO45" s="335"/>
      <c r="AFP45" s="335"/>
      <c r="AFQ45" s="335"/>
      <c r="AFR45" s="335"/>
      <c r="AFS45" s="335"/>
      <c r="AFT45" s="335"/>
      <c r="AFU45" s="335"/>
      <c r="AFV45" s="335"/>
      <c r="AFW45" s="335"/>
      <c r="AFX45" s="335"/>
      <c r="AFY45" s="335"/>
      <c r="AFZ45" s="335"/>
      <c r="AGA45" s="335"/>
      <c r="AGB45" s="335"/>
      <c r="AGC45" s="335"/>
      <c r="AGD45" s="335"/>
      <c r="AGE45" s="335"/>
      <c r="AGF45" s="335"/>
      <c r="AGG45" s="335"/>
      <c r="AGH45" s="335"/>
      <c r="AGI45" s="335"/>
      <c r="AGJ45" s="335"/>
      <c r="AGK45" s="335"/>
      <c r="AGL45" s="335"/>
      <c r="AGM45" s="335"/>
      <c r="AGN45" s="335"/>
      <c r="AGO45" s="335"/>
      <c r="AGP45" s="335"/>
      <c r="AGQ45" s="335"/>
      <c r="AGR45" s="335"/>
      <c r="AGS45" s="335"/>
      <c r="AGT45" s="335"/>
      <c r="AGU45" s="335"/>
      <c r="AGV45" s="335"/>
      <c r="AGW45" s="335"/>
      <c r="AGX45" s="335"/>
      <c r="AGY45" s="335"/>
      <c r="AGZ45" s="335"/>
      <c r="AHA45" s="335"/>
      <c r="AHB45" s="335"/>
      <c r="AHC45" s="335"/>
      <c r="AHD45" s="335"/>
      <c r="AHE45" s="335"/>
      <c r="AHF45" s="335"/>
      <c r="AHG45" s="335"/>
      <c r="AHH45" s="335"/>
      <c r="AHI45" s="335"/>
      <c r="AHJ45" s="335"/>
      <c r="AHK45" s="335"/>
      <c r="AHL45" s="335"/>
      <c r="AHM45" s="335"/>
      <c r="AHN45" s="335"/>
      <c r="AHO45" s="335"/>
      <c r="AHP45" s="335"/>
      <c r="AHQ45" s="335"/>
      <c r="AHR45" s="335"/>
      <c r="AHS45" s="335"/>
      <c r="AHT45" s="335"/>
      <c r="AHU45" s="335"/>
      <c r="AHV45" s="335"/>
      <c r="AHW45" s="335"/>
      <c r="AHX45" s="335"/>
      <c r="AHY45" s="335"/>
      <c r="AHZ45" s="335"/>
      <c r="AIA45" s="335"/>
      <c r="AIB45" s="335"/>
    </row>
    <row r="46" spans="1:913" s="186" customFormat="1" ht="18.75" customHeight="1">
      <c r="A46" s="184"/>
      <c r="B46" s="185"/>
      <c r="C46" s="490">
        <v>40910</v>
      </c>
      <c r="D46" s="491"/>
      <c r="E46" s="490">
        <v>40911</v>
      </c>
      <c r="F46" s="491"/>
      <c r="G46" s="490">
        <v>40912</v>
      </c>
      <c r="H46" s="491"/>
      <c r="I46" s="490">
        <v>40913</v>
      </c>
      <c r="J46" s="491"/>
      <c r="K46" s="490">
        <v>40914</v>
      </c>
      <c r="L46" s="491"/>
      <c r="M46" s="490">
        <v>40915</v>
      </c>
      <c r="N46" s="491"/>
      <c r="O46" s="490">
        <v>40916</v>
      </c>
      <c r="P46" s="491"/>
      <c r="Q46" s="490">
        <v>40917</v>
      </c>
      <c r="R46" s="491"/>
      <c r="S46" s="490">
        <v>40918</v>
      </c>
      <c r="T46" s="491"/>
      <c r="U46" s="490">
        <v>40919</v>
      </c>
      <c r="V46" s="491"/>
      <c r="W46" s="490">
        <v>40920</v>
      </c>
      <c r="X46" s="491"/>
      <c r="Y46" s="490">
        <v>40921</v>
      </c>
      <c r="Z46" s="491"/>
      <c r="AA46" s="490">
        <v>40922</v>
      </c>
      <c r="AB46" s="491"/>
      <c r="AC46" s="490">
        <v>40923</v>
      </c>
      <c r="AD46" s="491"/>
      <c r="AE46" s="490">
        <v>40924</v>
      </c>
      <c r="AF46" s="491"/>
      <c r="AG46" s="490">
        <v>40925</v>
      </c>
      <c r="AH46" s="491"/>
      <c r="AI46" s="490">
        <v>40926</v>
      </c>
      <c r="AJ46" s="491"/>
      <c r="AK46" s="490">
        <v>40927</v>
      </c>
      <c r="AL46" s="491"/>
      <c r="AM46" s="490">
        <v>40928</v>
      </c>
      <c r="AN46" s="491"/>
      <c r="AO46" s="490">
        <v>40929</v>
      </c>
      <c r="AP46" s="491"/>
      <c r="AQ46" s="490">
        <v>40930</v>
      </c>
      <c r="AR46" s="491"/>
      <c r="AS46" s="490">
        <v>40931</v>
      </c>
      <c r="AT46" s="491"/>
      <c r="AU46" s="490">
        <v>40932</v>
      </c>
      <c r="AV46" s="491"/>
      <c r="AW46" s="490">
        <v>40933</v>
      </c>
      <c r="AX46" s="491"/>
      <c r="AY46" s="490">
        <v>40934</v>
      </c>
      <c r="AZ46" s="491"/>
      <c r="BA46" s="490">
        <v>40935</v>
      </c>
      <c r="BB46" s="491"/>
      <c r="BC46" s="490">
        <v>40936</v>
      </c>
      <c r="BD46" s="491"/>
      <c r="BE46" s="490">
        <v>40937</v>
      </c>
      <c r="BF46" s="491"/>
      <c r="BG46" s="490">
        <v>40938</v>
      </c>
      <c r="BH46" s="491"/>
      <c r="BI46" s="490">
        <v>40939</v>
      </c>
      <c r="BJ46" s="491"/>
      <c r="BK46" s="490">
        <v>40940</v>
      </c>
      <c r="BL46" s="491"/>
      <c r="BM46" s="490">
        <v>40941</v>
      </c>
      <c r="BN46" s="491"/>
      <c r="BO46" s="490">
        <v>40942</v>
      </c>
      <c r="BP46" s="491"/>
      <c r="BQ46" s="490">
        <v>40943</v>
      </c>
      <c r="BR46" s="491"/>
      <c r="BS46" s="490">
        <v>40944</v>
      </c>
      <c r="BT46" s="491"/>
      <c r="BU46" s="490">
        <v>40945</v>
      </c>
      <c r="BV46" s="491"/>
      <c r="BW46" s="490">
        <v>40946</v>
      </c>
      <c r="BX46" s="491"/>
      <c r="BY46" s="490">
        <v>40947</v>
      </c>
      <c r="BZ46" s="491"/>
      <c r="CA46" s="490">
        <v>40948</v>
      </c>
      <c r="CB46" s="491"/>
      <c r="CC46" s="490">
        <v>40949</v>
      </c>
      <c r="CD46" s="491"/>
      <c r="CE46" s="490">
        <v>40950</v>
      </c>
      <c r="CF46" s="491"/>
      <c r="CG46" s="490">
        <v>40951</v>
      </c>
      <c r="CH46" s="491"/>
      <c r="CI46" s="490">
        <v>40952</v>
      </c>
      <c r="CJ46" s="491"/>
      <c r="CK46" s="490">
        <v>40953</v>
      </c>
      <c r="CL46" s="491"/>
      <c r="CM46" s="490">
        <v>40954</v>
      </c>
      <c r="CN46" s="491"/>
      <c r="CO46" s="490">
        <v>40955</v>
      </c>
      <c r="CP46" s="491"/>
      <c r="CQ46" s="490">
        <v>40956</v>
      </c>
      <c r="CR46" s="491"/>
      <c r="CS46" s="490">
        <v>40957</v>
      </c>
      <c r="CT46" s="491"/>
      <c r="CU46" s="490">
        <v>40958</v>
      </c>
      <c r="CV46" s="491"/>
      <c r="CW46" s="490">
        <v>40959</v>
      </c>
      <c r="CX46" s="491"/>
      <c r="CY46" s="490">
        <v>40960</v>
      </c>
      <c r="CZ46" s="491"/>
      <c r="DA46" s="490">
        <v>40961</v>
      </c>
      <c r="DB46" s="491"/>
      <c r="DC46" s="490">
        <v>40962</v>
      </c>
      <c r="DD46" s="491"/>
      <c r="DE46" s="490">
        <v>40963</v>
      </c>
      <c r="DF46" s="491"/>
      <c r="DG46" s="490">
        <v>40964</v>
      </c>
      <c r="DH46" s="491"/>
      <c r="DI46" s="490">
        <v>40965</v>
      </c>
      <c r="DJ46" s="491"/>
      <c r="DK46" s="490">
        <v>40966</v>
      </c>
      <c r="DL46" s="491"/>
      <c r="DM46" s="490">
        <v>40967</v>
      </c>
      <c r="DN46" s="491"/>
      <c r="DO46" s="490">
        <v>40968</v>
      </c>
      <c r="DP46" s="491"/>
      <c r="DQ46" s="490">
        <v>40969</v>
      </c>
      <c r="DR46" s="491"/>
      <c r="DS46" s="490">
        <v>40970</v>
      </c>
      <c r="DT46" s="491"/>
      <c r="DU46" s="490">
        <v>40971</v>
      </c>
      <c r="DV46" s="491"/>
      <c r="DW46" s="490">
        <v>40972</v>
      </c>
      <c r="DX46" s="491"/>
      <c r="DY46" s="490">
        <v>40973</v>
      </c>
      <c r="DZ46" s="491"/>
      <c r="EA46" s="490">
        <v>40974</v>
      </c>
      <c r="EB46" s="491"/>
      <c r="EC46" s="490">
        <v>40975</v>
      </c>
      <c r="ED46" s="491"/>
      <c r="EE46" s="490">
        <v>40976</v>
      </c>
      <c r="EF46" s="491"/>
      <c r="EG46" s="490">
        <v>40977</v>
      </c>
      <c r="EH46" s="491"/>
      <c r="EI46" s="490">
        <v>40978</v>
      </c>
      <c r="EJ46" s="491"/>
      <c r="EK46" s="490">
        <v>40979</v>
      </c>
      <c r="EL46" s="491"/>
      <c r="EM46" s="490">
        <v>40980</v>
      </c>
      <c r="EN46" s="491"/>
      <c r="EO46" s="490">
        <v>40981</v>
      </c>
      <c r="EP46" s="491"/>
      <c r="EQ46" s="490">
        <v>40982</v>
      </c>
      <c r="ER46" s="491"/>
      <c r="ES46" s="490">
        <v>40983</v>
      </c>
      <c r="ET46" s="491"/>
      <c r="EU46" s="490">
        <v>40984</v>
      </c>
      <c r="EV46" s="491"/>
      <c r="EW46" s="490">
        <v>40985</v>
      </c>
      <c r="EX46" s="491"/>
      <c r="EY46" s="490">
        <v>40986</v>
      </c>
      <c r="EZ46" s="491"/>
      <c r="FA46" s="490">
        <v>40987</v>
      </c>
      <c r="FB46" s="491"/>
      <c r="FC46" s="490">
        <v>40988</v>
      </c>
      <c r="FD46" s="491"/>
      <c r="FE46" s="490">
        <v>40989</v>
      </c>
      <c r="FF46" s="491"/>
      <c r="FG46" s="490">
        <v>40990</v>
      </c>
      <c r="FH46" s="491"/>
      <c r="FI46" s="490">
        <v>40991</v>
      </c>
      <c r="FJ46" s="491"/>
      <c r="FK46" s="490">
        <v>40992</v>
      </c>
      <c r="FL46" s="491"/>
      <c r="FM46" s="490">
        <v>40993</v>
      </c>
      <c r="FN46" s="491"/>
      <c r="FO46" s="490">
        <v>40994</v>
      </c>
      <c r="FP46" s="491"/>
      <c r="FQ46" s="490">
        <v>40995</v>
      </c>
      <c r="FR46" s="491"/>
      <c r="FS46" s="490">
        <v>40996</v>
      </c>
      <c r="FT46" s="491"/>
      <c r="FU46" s="490">
        <v>40997</v>
      </c>
      <c r="FV46" s="491"/>
      <c r="FW46" s="490">
        <v>40998</v>
      </c>
      <c r="FX46" s="491"/>
      <c r="FY46" s="490">
        <v>40999</v>
      </c>
      <c r="FZ46" s="491"/>
      <c r="GA46" s="490">
        <v>41000</v>
      </c>
      <c r="GB46" s="491"/>
      <c r="GC46" s="490">
        <v>41001</v>
      </c>
      <c r="GD46" s="491"/>
      <c r="GE46" s="490">
        <v>41002</v>
      </c>
      <c r="GF46" s="491"/>
      <c r="GG46" s="490">
        <v>41003</v>
      </c>
      <c r="GH46" s="491"/>
      <c r="GI46" s="490">
        <v>41004</v>
      </c>
      <c r="GJ46" s="491"/>
      <c r="GK46" s="490">
        <v>41005</v>
      </c>
      <c r="GL46" s="491"/>
      <c r="GM46" s="490">
        <v>41006</v>
      </c>
      <c r="GN46" s="491"/>
      <c r="GO46" s="490">
        <v>41007</v>
      </c>
      <c r="GP46" s="491"/>
      <c r="GQ46" s="490">
        <v>41008</v>
      </c>
      <c r="GR46" s="491"/>
      <c r="GS46" s="490">
        <v>41009</v>
      </c>
      <c r="GT46" s="491"/>
      <c r="GU46" s="490">
        <v>41010</v>
      </c>
      <c r="GV46" s="491"/>
      <c r="GW46" s="490">
        <v>41011</v>
      </c>
      <c r="GX46" s="491"/>
      <c r="GY46" s="490">
        <v>41012</v>
      </c>
      <c r="GZ46" s="491"/>
      <c r="HA46" s="490">
        <v>41013</v>
      </c>
      <c r="HB46" s="491"/>
      <c r="HC46" s="490">
        <v>41014</v>
      </c>
      <c r="HD46" s="491"/>
      <c r="HE46" s="490">
        <v>41015</v>
      </c>
      <c r="HF46" s="491"/>
      <c r="HG46" s="490">
        <v>41016</v>
      </c>
      <c r="HH46" s="491"/>
      <c r="HI46" s="490">
        <v>41017</v>
      </c>
      <c r="HJ46" s="491"/>
      <c r="HK46" s="490">
        <v>41018</v>
      </c>
      <c r="HL46" s="491"/>
      <c r="HM46" s="490">
        <v>41019</v>
      </c>
      <c r="HN46" s="491"/>
      <c r="HO46" s="490">
        <v>41020</v>
      </c>
      <c r="HP46" s="491"/>
      <c r="HQ46" s="490">
        <v>41021</v>
      </c>
      <c r="HR46" s="491"/>
      <c r="HS46" s="490">
        <v>41022</v>
      </c>
      <c r="HT46" s="491"/>
      <c r="HU46" s="490">
        <v>41023</v>
      </c>
      <c r="HV46" s="491"/>
      <c r="HW46" s="490">
        <v>41024</v>
      </c>
      <c r="HX46" s="491"/>
      <c r="HY46" s="490">
        <v>41025</v>
      </c>
      <c r="HZ46" s="491"/>
      <c r="IA46" s="490">
        <v>41026</v>
      </c>
      <c r="IB46" s="491"/>
      <c r="IC46" s="490">
        <v>41027</v>
      </c>
      <c r="ID46" s="491"/>
      <c r="IE46" s="490">
        <v>41028</v>
      </c>
      <c r="IF46" s="491"/>
      <c r="IG46" s="490">
        <v>41029</v>
      </c>
      <c r="IH46" s="491"/>
      <c r="II46" s="490">
        <v>41030</v>
      </c>
      <c r="IJ46" s="491"/>
      <c r="IK46" s="490">
        <v>41031</v>
      </c>
      <c r="IL46" s="491"/>
      <c r="IM46" s="490">
        <v>41032</v>
      </c>
      <c r="IN46" s="491"/>
      <c r="IO46" s="490">
        <v>41033</v>
      </c>
      <c r="IP46" s="491"/>
      <c r="IQ46" s="490">
        <v>41034</v>
      </c>
      <c r="IR46" s="491"/>
      <c r="IS46" s="490">
        <v>41035</v>
      </c>
      <c r="IT46" s="491"/>
      <c r="IU46" s="490">
        <v>41036</v>
      </c>
      <c r="IV46" s="491"/>
      <c r="IW46" s="490">
        <v>41037</v>
      </c>
      <c r="IX46" s="491"/>
      <c r="IY46" s="490">
        <v>41038</v>
      </c>
      <c r="IZ46" s="491"/>
      <c r="JA46" s="490">
        <v>41039</v>
      </c>
      <c r="JB46" s="491"/>
      <c r="JC46" s="490">
        <v>41040</v>
      </c>
      <c r="JD46" s="491"/>
      <c r="JE46" s="490">
        <v>41041</v>
      </c>
      <c r="JF46" s="491"/>
      <c r="JG46" s="490">
        <v>41042</v>
      </c>
      <c r="JH46" s="491"/>
      <c r="JI46" s="490">
        <v>41043</v>
      </c>
      <c r="JJ46" s="491"/>
      <c r="JK46" s="490">
        <v>41044</v>
      </c>
      <c r="JL46" s="491"/>
      <c r="JM46" s="490">
        <v>41045</v>
      </c>
      <c r="JN46" s="491"/>
      <c r="JO46" s="490">
        <v>41046</v>
      </c>
      <c r="JP46" s="491"/>
      <c r="JQ46" s="490">
        <v>41047</v>
      </c>
      <c r="JR46" s="491"/>
      <c r="JS46" s="490">
        <v>41048</v>
      </c>
      <c r="JT46" s="491"/>
      <c r="JU46" s="490">
        <v>41049</v>
      </c>
      <c r="JV46" s="491"/>
      <c r="JW46" s="490">
        <v>41050</v>
      </c>
      <c r="JX46" s="491"/>
      <c r="JY46" s="490">
        <v>41051</v>
      </c>
      <c r="JZ46" s="491"/>
      <c r="KA46" s="490">
        <v>41052</v>
      </c>
      <c r="KB46" s="491"/>
      <c r="KC46" s="490">
        <v>41053</v>
      </c>
      <c r="KD46" s="491"/>
      <c r="KE46" s="490">
        <v>41054</v>
      </c>
      <c r="KF46" s="491"/>
      <c r="KG46" s="490">
        <v>41055</v>
      </c>
      <c r="KH46" s="491"/>
      <c r="KI46" s="490">
        <v>41056</v>
      </c>
      <c r="KJ46" s="491"/>
      <c r="KK46" s="490">
        <v>41057</v>
      </c>
      <c r="KL46" s="491"/>
      <c r="KM46" s="490">
        <v>41058</v>
      </c>
      <c r="KN46" s="491"/>
      <c r="KO46" s="490">
        <v>41059</v>
      </c>
      <c r="KP46" s="491"/>
      <c r="KQ46" s="490">
        <v>41060</v>
      </c>
      <c r="KR46" s="491"/>
      <c r="KS46" s="490">
        <v>41061</v>
      </c>
      <c r="KT46" s="491"/>
      <c r="KU46" s="490">
        <v>41062</v>
      </c>
      <c r="KV46" s="491"/>
      <c r="KW46" s="490">
        <v>41063</v>
      </c>
      <c r="KX46" s="491"/>
      <c r="KY46" s="490">
        <v>41064</v>
      </c>
      <c r="KZ46" s="491"/>
      <c r="LA46" s="490">
        <v>41065</v>
      </c>
      <c r="LB46" s="491"/>
      <c r="LC46" s="490">
        <v>41066</v>
      </c>
      <c r="LD46" s="491"/>
      <c r="LE46" s="490">
        <v>41067</v>
      </c>
      <c r="LF46" s="491"/>
      <c r="LG46" s="490">
        <v>41068</v>
      </c>
      <c r="LH46" s="491"/>
      <c r="LI46" s="490">
        <v>41069</v>
      </c>
      <c r="LJ46" s="491"/>
      <c r="LK46" s="490">
        <v>41070</v>
      </c>
      <c r="LL46" s="491"/>
      <c r="LM46" s="490">
        <v>41071</v>
      </c>
      <c r="LN46" s="491"/>
      <c r="LO46" s="490">
        <v>41072</v>
      </c>
      <c r="LP46" s="491"/>
      <c r="LQ46" s="490">
        <v>41073</v>
      </c>
      <c r="LR46" s="491"/>
      <c r="LS46" s="490">
        <v>41074</v>
      </c>
      <c r="LT46" s="491"/>
      <c r="LU46" s="490">
        <v>41075</v>
      </c>
      <c r="LV46" s="491"/>
      <c r="LW46" s="490">
        <v>41076</v>
      </c>
      <c r="LX46" s="491"/>
      <c r="LY46" s="490">
        <v>41077</v>
      </c>
      <c r="LZ46" s="491"/>
      <c r="MA46" s="490">
        <v>41078</v>
      </c>
      <c r="MB46" s="491"/>
      <c r="MC46" s="490">
        <v>41079</v>
      </c>
      <c r="MD46" s="491"/>
      <c r="ME46" s="490">
        <v>41080</v>
      </c>
      <c r="MF46" s="491"/>
      <c r="MG46" s="490">
        <v>41081</v>
      </c>
      <c r="MH46" s="491"/>
      <c r="MI46" s="490">
        <v>41082</v>
      </c>
      <c r="MJ46" s="491"/>
      <c r="MK46" s="490">
        <v>41083</v>
      </c>
      <c r="ML46" s="491"/>
      <c r="MM46" s="490">
        <v>41084</v>
      </c>
      <c r="MN46" s="491"/>
      <c r="MO46" s="490">
        <v>41085</v>
      </c>
      <c r="MP46" s="491"/>
      <c r="MQ46" s="490">
        <v>41086</v>
      </c>
      <c r="MR46" s="491"/>
      <c r="MS46" s="490">
        <v>41087</v>
      </c>
      <c r="MT46" s="491"/>
      <c r="MU46" s="490">
        <v>41088</v>
      </c>
      <c r="MV46" s="491"/>
      <c r="MW46" s="490">
        <v>41089</v>
      </c>
      <c r="MX46" s="491"/>
      <c r="MY46" s="490">
        <v>41090</v>
      </c>
      <c r="MZ46" s="491"/>
      <c r="NA46" s="490">
        <v>41091</v>
      </c>
      <c r="NB46" s="491"/>
      <c r="NC46" s="490">
        <v>41092</v>
      </c>
      <c r="ND46" s="491"/>
      <c r="NE46" s="490">
        <v>41093</v>
      </c>
      <c r="NF46" s="491"/>
      <c r="NG46" s="490">
        <v>41094</v>
      </c>
      <c r="NH46" s="491"/>
      <c r="NI46" s="490">
        <v>41095</v>
      </c>
      <c r="NJ46" s="491"/>
      <c r="NK46" s="490">
        <v>41096</v>
      </c>
      <c r="NL46" s="491"/>
      <c r="NM46" s="490">
        <v>41097</v>
      </c>
      <c r="NN46" s="491"/>
      <c r="NO46" s="490">
        <v>41098</v>
      </c>
      <c r="NP46" s="491"/>
      <c r="NQ46" s="490">
        <v>41099</v>
      </c>
      <c r="NR46" s="491"/>
      <c r="NS46" s="490">
        <v>41100</v>
      </c>
      <c r="NT46" s="491"/>
      <c r="NU46" s="490">
        <v>41101</v>
      </c>
      <c r="NV46" s="491"/>
      <c r="NW46" s="490">
        <v>41102</v>
      </c>
      <c r="NX46" s="491"/>
      <c r="NY46" s="490">
        <v>41103</v>
      </c>
      <c r="NZ46" s="491"/>
      <c r="OA46" s="490">
        <v>41104</v>
      </c>
      <c r="OB46" s="491"/>
      <c r="OC46" s="490">
        <v>41105</v>
      </c>
      <c r="OD46" s="491"/>
      <c r="OE46" s="490">
        <v>41106</v>
      </c>
      <c r="OF46" s="491"/>
      <c r="OG46" s="490">
        <v>41107</v>
      </c>
      <c r="OH46" s="491"/>
      <c r="OI46" s="490">
        <v>41108</v>
      </c>
      <c r="OJ46" s="491"/>
      <c r="OK46" s="490">
        <v>41109</v>
      </c>
      <c r="OL46" s="491"/>
      <c r="OM46" s="490">
        <v>41110</v>
      </c>
      <c r="ON46" s="491"/>
      <c r="OO46" s="490">
        <v>41111</v>
      </c>
      <c r="OP46" s="491"/>
      <c r="OQ46" s="490">
        <v>41112</v>
      </c>
      <c r="OR46" s="491"/>
      <c r="OS46" s="490">
        <v>41113</v>
      </c>
      <c r="OT46" s="491"/>
      <c r="OU46" s="490">
        <v>41114</v>
      </c>
      <c r="OV46" s="491"/>
      <c r="OW46" s="490">
        <v>41115</v>
      </c>
      <c r="OX46" s="491"/>
      <c r="OY46" s="490">
        <v>41116</v>
      </c>
      <c r="OZ46" s="491"/>
      <c r="PA46" s="490">
        <v>41117</v>
      </c>
      <c r="PB46" s="491"/>
      <c r="PC46" s="490">
        <v>41118</v>
      </c>
      <c r="PD46" s="491"/>
      <c r="PE46" s="490">
        <v>41119</v>
      </c>
      <c r="PF46" s="491"/>
      <c r="PG46" s="490">
        <v>41120</v>
      </c>
      <c r="PH46" s="491"/>
      <c r="PI46" s="490">
        <v>41121</v>
      </c>
      <c r="PJ46" s="491"/>
      <c r="PK46" s="490">
        <v>41122</v>
      </c>
      <c r="PL46" s="491"/>
      <c r="PM46" s="490">
        <v>41123</v>
      </c>
      <c r="PN46" s="491"/>
      <c r="PO46" s="490">
        <v>41124</v>
      </c>
      <c r="PP46" s="491"/>
      <c r="PQ46" s="490">
        <v>41125</v>
      </c>
      <c r="PR46" s="491"/>
      <c r="PS46" s="490">
        <v>41126</v>
      </c>
      <c r="PT46" s="491"/>
      <c r="PU46" s="490">
        <v>41127</v>
      </c>
      <c r="PV46" s="491"/>
      <c r="PW46" s="490">
        <v>41128</v>
      </c>
      <c r="PX46" s="491"/>
      <c r="PY46" s="490">
        <v>41129</v>
      </c>
      <c r="PZ46" s="491"/>
      <c r="QA46" s="490">
        <v>41130</v>
      </c>
      <c r="QB46" s="491"/>
      <c r="QC46" s="490">
        <v>41131</v>
      </c>
      <c r="QD46" s="491"/>
      <c r="QE46" s="490">
        <v>41132</v>
      </c>
      <c r="QF46" s="491"/>
      <c r="QG46" s="490">
        <v>41133</v>
      </c>
      <c r="QH46" s="491"/>
      <c r="QI46" s="490">
        <v>41134</v>
      </c>
      <c r="QJ46" s="491"/>
      <c r="QK46" s="490">
        <v>41135</v>
      </c>
      <c r="QL46" s="491"/>
      <c r="QM46" s="490">
        <v>41136</v>
      </c>
      <c r="QN46" s="491"/>
      <c r="QO46" s="490">
        <v>41137</v>
      </c>
      <c r="QP46" s="491"/>
      <c r="QQ46" s="490">
        <v>41138</v>
      </c>
      <c r="QR46" s="491"/>
      <c r="QS46" s="490">
        <v>41139</v>
      </c>
      <c r="QT46" s="491"/>
      <c r="QU46" s="490">
        <v>41140</v>
      </c>
      <c r="QV46" s="491"/>
      <c r="QW46" s="490">
        <v>41141</v>
      </c>
      <c r="QX46" s="491"/>
      <c r="QY46" s="490">
        <v>41142</v>
      </c>
      <c r="QZ46" s="491"/>
      <c r="RA46" s="490">
        <v>41143</v>
      </c>
      <c r="RB46" s="491"/>
      <c r="RC46" s="490">
        <v>41144</v>
      </c>
      <c r="RD46" s="491"/>
      <c r="RE46" s="490">
        <v>41145</v>
      </c>
      <c r="RF46" s="491"/>
      <c r="RG46" s="490">
        <v>41146</v>
      </c>
      <c r="RH46" s="491"/>
      <c r="RI46" s="490">
        <v>41147</v>
      </c>
      <c r="RJ46" s="491"/>
      <c r="RK46" s="490">
        <v>41148</v>
      </c>
      <c r="RL46" s="491"/>
      <c r="RM46" s="490">
        <v>41149</v>
      </c>
      <c r="RN46" s="491"/>
      <c r="RO46" s="490">
        <v>41150</v>
      </c>
      <c r="RP46" s="491"/>
      <c r="RQ46" s="490">
        <v>41151</v>
      </c>
      <c r="RR46" s="491"/>
      <c r="RS46" s="490">
        <v>41152</v>
      </c>
      <c r="RT46" s="491"/>
      <c r="RU46" s="490">
        <v>41153</v>
      </c>
      <c r="RV46" s="491"/>
      <c r="RW46" s="490">
        <v>41154</v>
      </c>
      <c r="RX46" s="491"/>
      <c r="RY46" s="490">
        <v>41155</v>
      </c>
      <c r="RZ46" s="491"/>
      <c r="SA46" s="490">
        <v>41156</v>
      </c>
      <c r="SB46" s="491"/>
      <c r="SC46" s="490">
        <v>41157</v>
      </c>
      <c r="SD46" s="491"/>
      <c r="SE46" s="490">
        <v>41158</v>
      </c>
      <c r="SF46" s="491"/>
      <c r="SG46" s="490">
        <v>41159</v>
      </c>
      <c r="SH46" s="491"/>
      <c r="SI46" s="490">
        <v>41160</v>
      </c>
      <c r="SJ46" s="491"/>
      <c r="SK46" s="490">
        <v>41161</v>
      </c>
      <c r="SL46" s="491"/>
      <c r="SM46" s="490">
        <v>41162</v>
      </c>
      <c r="SN46" s="491"/>
      <c r="SO46" s="490">
        <v>41163</v>
      </c>
      <c r="SP46" s="491"/>
      <c r="SQ46" s="490">
        <v>41164</v>
      </c>
      <c r="SR46" s="491"/>
      <c r="SS46" s="490">
        <v>41165</v>
      </c>
      <c r="ST46" s="491"/>
      <c r="SU46" s="490">
        <v>41166</v>
      </c>
      <c r="SV46" s="491"/>
      <c r="SW46" s="490">
        <v>41167</v>
      </c>
      <c r="SX46" s="491"/>
      <c r="SY46" s="490">
        <v>41168</v>
      </c>
      <c r="SZ46" s="491"/>
      <c r="TA46" s="490">
        <v>41169</v>
      </c>
      <c r="TB46" s="491"/>
      <c r="TC46" s="490">
        <v>41170</v>
      </c>
      <c r="TD46" s="491"/>
      <c r="TE46" s="490">
        <v>41171</v>
      </c>
      <c r="TF46" s="491"/>
      <c r="TG46" s="490">
        <v>41172</v>
      </c>
      <c r="TH46" s="491"/>
      <c r="TI46" s="490">
        <v>41173</v>
      </c>
      <c r="TJ46" s="491"/>
      <c r="TK46" s="490">
        <v>41174</v>
      </c>
      <c r="TL46" s="491"/>
      <c r="TM46" s="490">
        <v>41175</v>
      </c>
      <c r="TN46" s="491"/>
      <c r="TO46" s="490">
        <v>41176</v>
      </c>
      <c r="TP46" s="491"/>
      <c r="TQ46" s="490">
        <v>41177</v>
      </c>
      <c r="TR46" s="491"/>
      <c r="TS46" s="490">
        <v>41178</v>
      </c>
      <c r="TT46" s="491"/>
      <c r="TU46" s="490">
        <v>41179</v>
      </c>
      <c r="TV46" s="491"/>
      <c r="TW46" s="490">
        <v>41180</v>
      </c>
      <c r="TX46" s="491"/>
      <c r="TY46" s="490">
        <v>41181</v>
      </c>
      <c r="TZ46" s="491"/>
      <c r="UA46" s="490">
        <v>41182</v>
      </c>
      <c r="UB46" s="491"/>
      <c r="UC46" s="490">
        <v>41183</v>
      </c>
      <c r="UD46" s="491"/>
      <c r="UE46" s="490">
        <v>41184</v>
      </c>
      <c r="UF46" s="491"/>
      <c r="UG46" s="490">
        <v>41185</v>
      </c>
      <c r="UH46" s="491"/>
      <c r="UI46" s="490">
        <v>41186</v>
      </c>
      <c r="UJ46" s="491"/>
      <c r="UK46" s="490">
        <v>41187</v>
      </c>
      <c r="UL46" s="491"/>
      <c r="UM46" s="490">
        <v>41188</v>
      </c>
      <c r="UN46" s="491"/>
      <c r="UO46" s="490">
        <v>41189</v>
      </c>
      <c r="UP46" s="491"/>
      <c r="UQ46" s="490">
        <v>41190</v>
      </c>
      <c r="UR46" s="491"/>
      <c r="US46" s="490">
        <v>41191</v>
      </c>
      <c r="UT46" s="491"/>
      <c r="UU46" s="490">
        <v>41192</v>
      </c>
      <c r="UV46" s="491"/>
      <c r="UW46" s="490">
        <v>41193</v>
      </c>
      <c r="UX46" s="491"/>
      <c r="UY46" s="490">
        <v>41194</v>
      </c>
      <c r="UZ46" s="491"/>
      <c r="VA46" s="490">
        <v>41195</v>
      </c>
      <c r="VB46" s="491"/>
      <c r="VC46" s="490">
        <v>41196</v>
      </c>
      <c r="VD46" s="491"/>
      <c r="VE46" s="490">
        <v>41197</v>
      </c>
      <c r="VF46" s="491"/>
      <c r="VG46" s="490">
        <v>41198</v>
      </c>
      <c r="VH46" s="491"/>
      <c r="VI46" s="490">
        <v>41199</v>
      </c>
      <c r="VJ46" s="491"/>
      <c r="VK46" s="490">
        <v>41200</v>
      </c>
      <c r="VL46" s="491"/>
      <c r="VM46" s="490">
        <v>41201</v>
      </c>
      <c r="VN46" s="491"/>
      <c r="VO46" s="490">
        <v>41202</v>
      </c>
      <c r="VP46" s="491"/>
      <c r="VQ46" s="490">
        <v>41203</v>
      </c>
      <c r="VR46" s="491"/>
      <c r="VS46" s="490">
        <v>41204</v>
      </c>
      <c r="VT46" s="491"/>
      <c r="VU46" s="490">
        <v>41205</v>
      </c>
      <c r="VV46" s="491"/>
      <c r="VW46" s="490">
        <v>41206</v>
      </c>
      <c r="VX46" s="491"/>
      <c r="VY46" s="490">
        <v>41207</v>
      </c>
      <c r="VZ46" s="491"/>
      <c r="WA46" s="490">
        <v>41208</v>
      </c>
      <c r="WB46" s="491"/>
      <c r="WC46" s="490">
        <v>41209</v>
      </c>
      <c r="WD46" s="491"/>
      <c r="WE46" s="490">
        <v>41210</v>
      </c>
      <c r="WF46" s="491"/>
      <c r="WG46" s="490">
        <v>41211</v>
      </c>
      <c r="WH46" s="491"/>
      <c r="WI46" s="490">
        <v>41212</v>
      </c>
      <c r="WJ46" s="491"/>
      <c r="WK46" s="490">
        <v>41213</v>
      </c>
      <c r="WL46" s="491"/>
      <c r="WM46" s="490">
        <v>41214</v>
      </c>
      <c r="WN46" s="491"/>
      <c r="WO46" s="490">
        <v>41215</v>
      </c>
      <c r="WP46" s="491"/>
      <c r="WQ46" s="490">
        <v>41216</v>
      </c>
      <c r="WR46" s="491"/>
      <c r="WS46" s="490">
        <v>41217</v>
      </c>
      <c r="WT46" s="491"/>
      <c r="WU46" s="490">
        <v>41218</v>
      </c>
      <c r="WV46" s="491"/>
      <c r="WW46" s="490">
        <v>41219</v>
      </c>
      <c r="WX46" s="491"/>
      <c r="WY46" s="490">
        <v>41220</v>
      </c>
      <c r="WZ46" s="491"/>
      <c r="XA46" s="490">
        <v>41221</v>
      </c>
      <c r="XB46" s="491"/>
      <c r="XC46" s="490">
        <v>41222</v>
      </c>
      <c r="XD46" s="491"/>
      <c r="XE46" s="490">
        <v>41223</v>
      </c>
      <c r="XF46" s="491"/>
      <c r="XG46" s="490">
        <v>41224</v>
      </c>
      <c r="XH46" s="491"/>
      <c r="XI46" s="490">
        <v>41225</v>
      </c>
      <c r="XJ46" s="491"/>
      <c r="XK46" s="490">
        <v>41226</v>
      </c>
      <c r="XL46" s="491"/>
      <c r="XM46" s="490">
        <v>41227</v>
      </c>
      <c r="XN46" s="491"/>
      <c r="XO46" s="490">
        <v>41228</v>
      </c>
      <c r="XP46" s="491"/>
      <c r="XQ46" s="490">
        <v>41229</v>
      </c>
      <c r="XR46" s="491"/>
      <c r="XS46" s="490">
        <v>41230</v>
      </c>
      <c r="XT46" s="491"/>
      <c r="XU46" s="490">
        <v>41231</v>
      </c>
      <c r="XV46" s="491"/>
      <c r="XW46" s="490">
        <v>41232</v>
      </c>
      <c r="XX46" s="491"/>
      <c r="XY46" s="490">
        <v>41233</v>
      </c>
      <c r="XZ46" s="491"/>
      <c r="YA46" s="490">
        <v>41234</v>
      </c>
      <c r="YB46" s="491"/>
      <c r="YC46" s="490">
        <v>41235</v>
      </c>
      <c r="YD46" s="491"/>
      <c r="YE46" s="490">
        <v>41236</v>
      </c>
      <c r="YF46" s="491"/>
      <c r="YG46" s="490">
        <v>41237</v>
      </c>
      <c r="YH46" s="491"/>
      <c r="YI46" s="490">
        <v>41238</v>
      </c>
      <c r="YJ46" s="491"/>
      <c r="YK46" s="490">
        <v>41239</v>
      </c>
      <c r="YL46" s="491"/>
      <c r="YM46" s="490">
        <v>41240</v>
      </c>
      <c r="YN46" s="491"/>
      <c r="YO46" s="490">
        <v>41241</v>
      </c>
      <c r="YP46" s="491"/>
      <c r="YQ46" s="490">
        <v>41242</v>
      </c>
      <c r="YR46" s="491"/>
      <c r="YS46" s="490">
        <v>41243</v>
      </c>
      <c r="YT46" s="491"/>
      <c r="YU46" s="490">
        <v>41244</v>
      </c>
      <c r="YV46" s="491"/>
      <c r="YW46" s="490">
        <v>41245</v>
      </c>
      <c r="YX46" s="491"/>
      <c r="YY46" s="490">
        <v>41246</v>
      </c>
      <c r="YZ46" s="491"/>
      <c r="ZA46" s="490">
        <v>41247</v>
      </c>
      <c r="ZB46" s="491"/>
      <c r="ZC46" s="490">
        <v>41248</v>
      </c>
      <c r="ZD46" s="491"/>
      <c r="ZE46" s="490">
        <v>41249</v>
      </c>
      <c r="ZF46" s="491"/>
      <c r="ZG46" s="490">
        <v>41250</v>
      </c>
      <c r="ZH46" s="491"/>
      <c r="ZI46" s="490">
        <v>41251</v>
      </c>
      <c r="ZJ46" s="491"/>
      <c r="ZK46" s="490">
        <v>41252</v>
      </c>
      <c r="ZL46" s="491"/>
      <c r="ZM46" s="490">
        <v>41253</v>
      </c>
      <c r="ZN46" s="491"/>
      <c r="ZO46" s="490">
        <v>41254</v>
      </c>
      <c r="ZP46" s="491"/>
      <c r="ZQ46" s="490">
        <v>41255</v>
      </c>
      <c r="ZR46" s="491"/>
      <c r="ZS46" s="490">
        <v>41256</v>
      </c>
      <c r="ZT46" s="491"/>
      <c r="ZU46" s="490">
        <v>41257</v>
      </c>
      <c r="ZV46" s="491"/>
      <c r="ZW46" s="490">
        <v>41258</v>
      </c>
      <c r="ZX46" s="491"/>
      <c r="ZY46" s="490">
        <v>41259</v>
      </c>
      <c r="ZZ46" s="491"/>
      <c r="AAA46" s="490">
        <v>41260</v>
      </c>
      <c r="AAB46" s="491"/>
      <c r="AAC46" s="490">
        <v>41261</v>
      </c>
      <c r="AAD46" s="491"/>
      <c r="AAE46" s="490">
        <v>41262</v>
      </c>
      <c r="AAF46" s="491"/>
      <c r="AAG46" s="490">
        <v>41263</v>
      </c>
      <c r="AAH46" s="491"/>
      <c r="AAI46" s="490">
        <v>41264</v>
      </c>
      <c r="AAJ46" s="491"/>
      <c r="AAK46" s="490">
        <v>41265</v>
      </c>
      <c r="AAL46" s="491"/>
      <c r="AAM46" s="490">
        <v>41266</v>
      </c>
      <c r="AAN46" s="491"/>
      <c r="AAO46" s="490">
        <v>41267</v>
      </c>
      <c r="AAP46" s="491"/>
      <c r="AAQ46" s="490">
        <v>41268</v>
      </c>
      <c r="AAR46" s="491"/>
      <c r="AAS46" s="490">
        <v>41269</v>
      </c>
      <c r="AAT46" s="491"/>
      <c r="AAU46" s="490">
        <v>41270</v>
      </c>
      <c r="AAV46" s="491"/>
      <c r="AAW46" s="490">
        <v>41271</v>
      </c>
      <c r="AAX46" s="491"/>
      <c r="AAY46" s="490">
        <v>41272</v>
      </c>
      <c r="AAZ46" s="491"/>
      <c r="ABA46" s="490">
        <v>41273</v>
      </c>
      <c r="ABB46" s="491"/>
      <c r="ABC46" s="490">
        <v>41274</v>
      </c>
      <c r="ABD46" s="491"/>
      <c r="ABE46" s="380"/>
      <c r="ABF46" s="343"/>
      <c r="ABG46" s="343"/>
      <c r="ABH46" s="343"/>
      <c r="ABI46" s="343"/>
      <c r="ABJ46" s="343"/>
      <c r="ABK46" s="343"/>
      <c r="ABL46" s="343"/>
      <c r="ABM46" s="343"/>
      <c r="ABN46" s="343"/>
      <c r="ABO46" s="343"/>
      <c r="ABP46" s="343"/>
      <c r="ABQ46" s="343"/>
      <c r="ABR46" s="343"/>
      <c r="ABS46" s="343"/>
      <c r="ABT46" s="343"/>
      <c r="ABU46" s="343"/>
      <c r="ABV46" s="343"/>
      <c r="ABW46" s="343"/>
      <c r="ABX46" s="343"/>
      <c r="ABY46" s="343"/>
      <c r="ABZ46" s="343"/>
      <c r="ACA46" s="343"/>
      <c r="ACB46" s="343"/>
      <c r="ACC46" s="343"/>
      <c r="ACD46" s="343"/>
      <c r="ACE46" s="343"/>
      <c r="ACF46" s="343"/>
      <c r="ACG46" s="343"/>
      <c r="ACH46" s="343"/>
      <c r="ACI46" s="343"/>
      <c r="ACJ46" s="343"/>
      <c r="ACK46" s="343"/>
      <c r="ACL46" s="343"/>
      <c r="ACM46" s="343"/>
      <c r="ACN46" s="343"/>
      <c r="ACO46" s="343"/>
      <c r="ACP46" s="343"/>
      <c r="ACQ46" s="343"/>
      <c r="ACR46" s="343"/>
      <c r="ACS46" s="343"/>
      <c r="ACT46" s="343"/>
      <c r="ACU46" s="343"/>
      <c r="ACV46" s="343"/>
      <c r="ACW46" s="343"/>
      <c r="ACX46" s="343"/>
      <c r="ACY46" s="343"/>
      <c r="ACZ46" s="343"/>
      <c r="ADA46" s="343"/>
      <c r="ADB46" s="343"/>
      <c r="ADC46" s="343"/>
      <c r="ADD46" s="343"/>
      <c r="ADE46" s="343"/>
      <c r="ADF46" s="343"/>
      <c r="ADG46" s="343"/>
      <c r="ADH46" s="343"/>
      <c r="ADI46" s="343"/>
      <c r="ADJ46" s="343"/>
      <c r="ADK46" s="343"/>
      <c r="ADL46" s="343"/>
      <c r="ADM46" s="343"/>
      <c r="ADN46" s="343"/>
      <c r="ADO46" s="343"/>
      <c r="ADP46" s="343"/>
      <c r="ADQ46" s="343"/>
      <c r="ADR46" s="343"/>
      <c r="ADS46" s="343"/>
      <c r="ADT46" s="343"/>
      <c r="ADU46" s="343"/>
      <c r="ADV46" s="343"/>
      <c r="ADW46" s="343"/>
      <c r="ADX46" s="343"/>
      <c r="ADY46" s="343"/>
      <c r="ADZ46" s="343"/>
      <c r="AEA46" s="343"/>
      <c r="AEB46" s="343"/>
      <c r="AEC46" s="343"/>
      <c r="AED46" s="343"/>
      <c r="AEE46" s="343"/>
      <c r="AEF46" s="343"/>
      <c r="AEG46" s="343"/>
      <c r="AEH46" s="343"/>
      <c r="AEI46" s="343"/>
      <c r="AEJ46" s="343"/>
      <c r="AEK46" s="343"/>
      <c r="AEL46" s="343"/>
      <c r="AEM46" s="343"/>
      <c r="AEN46" s="343"/>
      <c r="AEO46" s="343"/>
      <c r="AEP46" s="343"/>
      <c r="AEQ46" s="343"/>
      <c r="AER46" s="343"/>
      <c r="AES46" s="343"/>
      <c r="AET46" s="343"/>
      <c r="AEU46" s="343"/>
      <c r="AEV46" s="343"/>
      <c r="AEW46" s="343"/>
      <c r="AEX46" s="343"/>
      <c r="AEY46" s="343"/>
      <c r="AEZ46" s="343"/>
      <c r="AFA46" s="343"/>
      <c r="AFB46" s="343"/>
      <c r="AFC46" s="343"/>
      <c r="AFD46" s="343"/>
      <c r="AFE46" s="343"/>
      <c r="AFF46" s="343"/>
      <c r="AFG46" s="343"/>
      <c r="AFH46" s="343"/>
      <c r="AFI46" s="343"/>
      <c r="AFJ46" s="343"/>
      <c r="AFK46" s="343"/>
      <c r="AFL46" s="343"/>
      <c r="AFM46" s="343"/>
      <c r="AFN46" s="343"/>
      <c r="AFO46" s="343"/>
      <c r="AFP46" s="343"/>
      <c r="AFQ46" s="343"/>
      <c r="AFR46" s="343"/>
      <c r="AFS46" s="343"/>
      <c r="AFT46" s="343"/>
      <c r="AFU46" s="343"/>
      <c r="AFV46" s="343"/>
      <c r="AFW46" s="343"/>
      <c r="AFX46" s="343"/>
      <c r="AFY46" s="343"/>
      <c r="AFZ46" s="343"/>
      <c r="AGA46" s="343"/>
      <c r="AGB46" s="343"/>
      <c r="AGC46" s="343"/>
      <c r="AGD46" s="343"/>
      <c r="AGE46" s="343"/>
      <c r="AGF46" s="343"/>
      <c r="AGG46" s="343"/>
      <c r="AGH46" s="343"/>
      <c r="AGI46" s="343"/>
      <c r="AGJ46" s="343"/>
      <c r="AGK46" s="343"/>
      <c r="AGL46" s="343"/>
      <c r="AGM46" s="343"/>
      <c r="AGN46" s="343"/>
      <c r="AGO46" s="343"/>
      <c r="AGP46" s="343"/>
      <c r="AGQ46" s="343"/>
      <c r="AGR46" s="343"/>
      <c r="AGS46" s="343"/>
      <c r="AGT46" s="343"/>
      <c r="AGU46" s="343"/>
      <c r="AGV46" s="343"/>
      <c r="AGW46" s="343"/>
      <c r="AGX46" s="343"/>
      <c r="AGY46" s="343"/>
      <c r="AGZ46" s="343"/>
      <c r="AHA46" s="343"/>
      <c r="AHB46" s="343"/>
      <c r="AHC46" s="343"/>
      <c r="AHD46" s="343"/>
      <c r="AHE46" s="343"/>
      <c r="AHF46" s="343"/>
      <c r="AHG46" s="343"/>
      <c r="AHH46" s="343"/>
      <c r="AHI46" s="343"/>
      <c r="AHJ46" s="343"/>
      <c r="AHK46" s="343"/>
      <c r="AHL46" s="343"/>
      <c r="AHM46" s="343"/>
      <c r="AHN46" s="343"/>
      <c r="AHO46" s="343"/>
      <c r="AHP46" s="343"/>
      <c r="AHQ46" s="343"/>
      <c r="AHR46" s="343"/>
      <c r="AHS46" s="343"/>
      <c r="AHT46" s="343"/>
      <c r="AHU46" s="343"/>
      <c r="AHV46" s="343"/>
      <c r="AHW46" s="343"/>
      <c r="AHX46" s="343"/>
      <c r="AHY46" s="343"/>
      <c r="AHZ46" s="343"/>
      <c r="AIA46" s="343"/>
      <c r="AIB46" s="343"/>
      <c r="AIC46" s="293"/>
    </row>
    <row r="47" spans="1:913" s="179" customFormat="1" ht="16.5" customHeight="1">
      <c r="B47" s="182" t="s">
        <v>104</v>
      </c>
      <c r="C47" s="183">
        <f t="shared" ref="C47:P47" si="2736">(C44-C26)/2</f>
        <v>0</v>
      </c>
      <c r="D47" s="183">
        <f t="shared" si="2736"/>
        <v>0</v>
      </c>
      <c r="E47" s="183">
        <f t="shared" si="2736"/>
        <v>0</v>
      </c>
      <c r="F47" s="183">
        <f t="shared" si="2736"/>
        <v>0</v>
      </c>
      <c r="G47" s="183">
        <f t="shared" si="2736"/>
        <v>0</v>
      </c>
      <c r="H47" s="183">
        <f t="shared" si="2736"/>
        <v>0</v>
      </c>
      <c r="I47" s="183">
        <f t="shared" si="2736"/>
        <v>0</v>
      </c>
      <c r="J47" s="183">
        <f t="shared" si="2736"/>
        <v>0</v>
      </c>
      <c r="K47" s="183">
        <f t="shared" si="2736"/>
        <v>0</v>
      </c>
      <c r="L47" s="183">
        <f t="shared" si="2736"/>
        <v>0</v>
      </c>
      <c r="M47" s="183">
        <f t="shared" si="2736"/>
        <v>0</v>
      </c>
      <c r="N47" s="183">
        <f t="shared" si="2736"/>
        <v>0</v>
      </c>
      <c r="O47" s="183">
        <f t="shared" si="2736"/>
        <v>0</v>
      </c>
      <c r="P47" s="183">
        <f t="shared" si="2736"/>
        <v>0</v>
      </c>
      <c r="Q47" s="183">
        <f t="shared" ref="Q47:BR47" si="2737">(Q44-Q26)/2</f>
        <v>0</v>
      </c>
      <c r="R47" s="183">
        <f t="shared" si="2737"/>
        <v>0</v>
      </c>
      <c r="S47" s="183">
        <f t="shared" si="2737"/>
        <v>0</v>
      </c>
      <c r="T47" s="183">
        <f t="shared" si="2737"/>
        <v>0</v>
      </c>
      <c r="U47" s="183">
        <f t="shared" si="2737"/>
        <v>0</v>
      </c>
      <c r="V47" s="183">
        <f t="shared" si="2737"/>
        <v>0</v>
      </c>
      <c r="W47" s="183">
        <f t="shared" si="2737"/>
        <v>0</v>
      </c>
      <c r="X47" s="183">
        <f t="shared" si="2737"/>
        <v>0</v>
      </c>
      <c r="Y47" s="183">
        <f t="shared" si="2737"/>
        <v>0</v>
      </c>
      <c r="Z47" s="183">
        <f t="shared" si="2737"/>
        <v>0</v>
      </c>
      <c r="AA47" s="183">
        <f t="shared" si="2737"/>
        <v>0</v>
      </c>
      <c r="AB47" s="183">
        <f t="shared" si="2737"/>
        <v>0</v>
      </c>
      <c r="AC47" s="183">
        <f>(AC44-AC26)/2</f>
        <v>0</v>
      </c>
      <c r="AD47" s="183">
        <f>(AD44-AD26)/2</f>
        <v>0</v>
      </c>
      <c r="AE47" s="183">
        <f t="shared" si="2737"/>
        <v>0</v>
      </c>
      <c r="AF47" s="183">
        <f t="shared" si="2737"/>
        <v>0</v>
      </c>
      <c r="AG47" s="183">
        <f t="shared" si="2737"/>
        <v>0</v>
      </c>
      <c r="AH47" s="183">
        <f t="shared" si="2737"/>
        <v>0</v>
      </c>
      <c r="AI47" s="183">
        <f t="shared" si="2737"/>
        <v>0</v>
      </c>
      <c r="AJ47" s="183">
        <f t="shared" si="2737"/>
        <v>0</v>
      </c>
      <c r="AK47" s="183">
        <f t="shared" si="2737"/>
        <v>0</v>
      </c>
      <c r="AL47" s="183">
        <f t="shared" si="2737"/>
        <v>0</v>
      </c>
      <c r="AM47" s="183">
        <f t="shared" si="2737"/>
        <v>0</v>
      </c>
      <c r="AN47" s="183">
        <f t="shared" si="2737"/>
        <v>0</v>
      </c>
      <c r="AO47" s="183">
        <f t="shared" si="2737"/>
        <v>0</v>
      </c>
      <c r="AP47" s="183">
        <f t="shared" si="2737"/>
        <v>0</v>
      </c>
      <c r="AQ47" s="183">
        <f t="shared" si="2737"/>
        <v>0</v>
      </c>
      <c r="AR47" s="183">
        <f t="shared" si="2737"/>
        <v>0</v>
      </c>
      <c r="AS47" s="183">
        <f t="shared" si="2737"/>
        <v>0</v>
      </c>
      <c r="AT47" s="183">
        <f t="shared" si="2737"/>
        <v>0</v>
      </c>
      <c r="AU47" s="183">
        <f t="shared" si="2737"/>
        <v>0</v>
      </c>
      <c r="AV47" s="183">
        <f t="shared" si="2737"/>
        <v>0</v>
      </c>
      <c r="AW47" s="183">
        <f t="shared" si="2737"/>
        <v>0</v>
      </c>
      <c r="AX47" s="183">
        <f t="shared" si="2737"/>
        <v>0</v>
      </c>
      <c r="AY47" s="183">
        <f t="shared" si="2737"/>
        <v>0</v>
      </c>
      <c r="AZ47" s="183">
        <f t="shared" si="2737"/>
        <v>0</v>
      </c>
      <c r="BA47" s="183">
        <f t="shared" si="2737"/>
        <v>0</v>
      </c>
      <c r="BB47" s="183">
        <f t="shared" si="2737"/>
        <v>0</v>
      </c>
      <c r="BC47" s="183">
        <f t="shared" si="2737"/>
        <v>0</v>
      </c>
      <c r="BD47" s="183">
        <f t="shared" si="2737"/>
        <v>0</v>
      </c>
      <c r="BE47" s="183">
        <f t="shared" si="2737"/>
        <v>0</v>
      </c>
      <c r="BF47" s="183">
        <f t="shared" si="2737"/>
        <v>0</v>
      </c>
      <c r="BG47" s="183">
        <f t="shared" si="2737"/>
        <v>0</v>
      </c>
      <c r="BH47" s="183">
        <f t="shared" si="2737"/>
        <v>0</v>
      </c>
      <c r="BI47" s="183">
        <f t="shared" si="2737"/>
        <v>0</v>
      </c>
      <c r="BJ47" s="183">
        <f t="shared" si="2737"/>
        <v>0</v>
      </c>
      <c r="BK47" s="183">
        <f t="shared" si="2737"/>
        <v>0</v>
      </c>
      <c r="BL47" s="183">
        <f t="shared" si="2737"/>
        <v>0</v>
      </c>
      <c r="BM47" s="183">
        <f t="shared" si="2737"/>
        <v>0</v>
      </c>
      <c r="BN47" s="183">
        <f t="shared" si="2737"/>
        <v>0</v>
      </c>
      <c r="BO47" s="183">
        <f t="shared" si="2737"/>
        <v>0</v>
      </c>
      <c r="BP47" s="183">
        <f t="shared" si="2737"/>
        <v>0</v>
      </c>
      <c r="BQ47" s="183">
        <f t="shared" si="2737"/>
        <v>0</v>
      </c>
      <c r="BR47" s="183">
        <f t="shared" si="2737"/>
        <v>0</v>
      </c>
      <c r="BS47" s="183">
        <f t="shared" ref="BS47:EN47" si="2738">(BS44-BS26)/2</f>
        <v>0</v>
      </c>
      <c r="BT47" s="183">
        <f t="shared" si="2738"/>
        <v>0</v>
      </c>
      <c r="BU47" s="183">
        <f t="shared" si="2738"/>
        <v>0</v>
      </c>
      <c r="BV47" s="183">
        <f t="shared" si="2738"/>
        <v>0</v>
      </c>
      <c r="BW47" s="183">
        <f t="shared" si="2738"/>
        <v>0</v>
      </c>
      <c r="BX47" s="183">
        <f t="shared" si="2738"/>
        <v>0</v>
      </c>
      <c r="BY47" s="183">
        <f t="shared" si="2738"/>
        <v>0</v>
      </c>
      <c r="BZ47" s="183">
        <f t="shared" si="2738"/>
        <v>0</v>
      </c>
      <c r="CA47" s="183">
        <f t="shared" si="2738"/>
        <v>0</v>
      </c>
      <c r="CB47" s="183">
        <f t="shared" si="2738"/>
        <v>0</v>
      </c>
      <c r="CC47" s="183">
        <f t="shared" si="2738"/>
        <v>0</v>
      </c>
      <c r="CD47" s="183">
        <f t="shared" si="2738"/>
        <v>0</v>
      </c>
      <c r="CE47" s="183">
        <f t="shared" si="2738"/>
        <v>0</v>
      </c>
      <c r="CF47" s="183">
        <f t="shared" si="2738"/>
        <v>0</v>
      </c>
      <c r="CG47" s="183">
        <f t="shared" si="2738"/>
        <v>0</v>
      </c>
      <c r="CH47" s="183">
        <f t="shared" si="2738"/>
        <v>0</v>
      </c>
      <c r="CI47" s="183">
        <f t="shared" si="2738"/>
        <v>0</v>
      </c>
      <c r="CJ47" s="183">
        <f t="shared" si="2738"/>
        <v>0</v>
      </c>
      <c r="CK47" s="183">
        <f t="shared" si="2738"/>
        <v>0</v>
      </c>
      <c r="CL47" s="183">
        <f t="shared" si="2738"/>
        <v>0</v>
      </c>
      <c r="CM47" s="183">
        <f t="shared" si="2738"/>
        <v>0</v>
      </c>
      <c r="CN47" s="183">
        <f t="shared" si="2738"/>
        <v>0</v>
      </c>
      <c r="CO47" s="183">
        <f t="shared" si="2738"/>
        <v>0</v>
      </c>
      <c r="CP47" s="183">
        <f t="shared" si="2738"/>
        <v>0</v>
      </c>
      <c r="CQ47" s="183">
        <f t="shared" si="2738"/>
        <v>0</v>
      </c>
      <c r="CR47" s="183">
        <f t="shared" si="2738"/>
        <v>0</v>
      </c>
      <c r="CS47" s="183">
        <f t="shared" si="2738"/>
        <v>0</v>
      </c>
      <c r="CT47" s="183">
        <f t="shared" si="2738"/>
        <v>0</v>
      </c>
      <c r="CU47" s="183">
        <f t="shared" si="2738"/>
        <v>0</v>
      </c>
      <c r="CV47" s="183">
        <f t="shared" si="2738"/>
        <v>0</v>
      </c>
      <c r="CW47" s="183">
        <f t="shared" si="2738"/>
        <v>0</v>
      </c>
      <c r="CX47" s="183">
        <f t="shared" si="2738"/>
        <v>0</v>
      </c>
      <c r="CY47" s="183">
        <f t="shared" si="2738"/>
        <v>0</v>
      </c>
      <c r="CZ47" s="183">
        <f t="shared" si="2738"/>
        <v>0</v>
      </c>
      <c r="DA47" s="183">
        <f t="shared" si="2738"/>
        <v>0</v>
      </c>
      <c r="DB47" s="183">
        <f t="shared" si="2738"/>
        <v>0</v>
      </c>
      <c r="DC47" s="183">
        <f t="shared" si="2738"/>
        <v>0</v>
      </c>
      <c r="DD47" s="183">
        <f t="shared" si="2738"/>
        <v>0</v>
      </c>
      <c r="DE47" s="183">
        <f t="shared" si="2738"/>
        <v>0</v>
      </c>
      <c r="DF47" s="183">
        <f t="shared" si="2738"/>
        <v>0</v>
      </c>
      <c r="DG47" s="183">
        <f t="shared" si="2738"/>
        <v>0</v>
      </c>
      <c r="DH47" s="183">
        <f t="shared" si="2738"/>
        <v>0</v>
      </c>
      <c r="DI47" s="183">
        <f t="shared" si="2738"/>
        <v>0</v>
      </c>
      <c r="DJ47" s="183">
        <f t="shared" si="2738"/>
        <v>0</v>
      </c>
      <c r="DK47" s="183">
        <f t="shared" si="2738"/>
        <v>0</v>
      </c>
      <c r="DL47" s="183">
        <f t="shared" si="2738"/>
        <v>0</v>
      </c>
      <c r="DM47" s="183">
        <f t="shared" si="2738"/>
        <v>0</v>
      </c>
      <c r="DN47" s="183">
        <f t="shared" si="2738"/>
        <v>0</v>
      </c>
      <c r="DO47" s="183">
        <f t="shared" si="2738"/>
        <v>0</v>
      </c>
      <c r="DP47" s="183">
        <f t="shared" si="2738"/>
        <v>0</v>
      </c>
      <c r="DQ47" s="183">
        <f>(DQ44-DQ27)/2</f>
        <v>0</v>
      </c>
      <c r="DR47" s="183">
        <f t="shared" si="2738"/>
        <v>0</v>
      </c>
      <c r="DS47" s="183">
        <f t="shared" si="2738"/>
        <v>0</v>
      </c>
      <c r="DT47" s="183">
        <f t="shared" si="2738"/>
        <v>0</v>
      </c>
      <c r="DU47" s="183">
        <f t="shared" si="2738"/>
        <v>0</v>
      </c>
      <c r="DV47" s="183">
        <f t="shared" si="2738"/>
        <v>0</v>
      </c>
      <c r="DW47" s="183">
        <f t="shared" si="2738"/>
        <v>-452701</v>
      </c>
      <c r="DX47" s="183">
        <f t="shared" si="2738"/>
        <v>-389432</v>
      </c>
      <c r="DY47" s="183">
        <f t="shared" si="2738"/>
        <v>0</v>
      </c>
      <c r="DZ47" s="183">
        <f t="shared" si="2738"/>
        <v>0</v>
      </c>
      <c r="EA47" s="183">
        <f t="shared" si="2738"/>
        <v>0</v>
      </c>
      <c r="EB47" s="183">
        <f t="shared" si="2738"/>
        <v>0</v>
      </c>
      <c r="EC47" s="183">
        <f t="shared" si="2738"/>
        <v>0</v>
      </c>
      <c r="ED47" s="183">
        <f t="shared" si="2738"/>
        <v>0</v>
      </c>
      <c r="EE47" s="183">
        <f t="shared" ref="EE47:GP47" si="2739">(EE44-EE26)/2</f>
        <v>0</v>
      </c>
      <c r="EF47" s="183">
        <f t="shared" si="2738"/>
        <v>0</v>
      </c>
      <c r="EG47" s="183">
        <f t="shared" si="2739"/>
        <v>0</v>
      </c>
      <c r="EH47" s="183">
        <f t="shared" si="2738"/>
        <v>0</v>
      </c>
      <c r="EI47" s="183">
        <f t="shared" si="2739"/>
        <v>0</v>
      </c>
      <c r="EJ47" s="183">
        <f t="shared" si="2738"/>
        <v>0</v>
      </c>
      <c r="EK47" s="183">
        <f t="shared" si="2739"/>
        <v>-454809</v>
      </c>
      <c r="EL47" s="183">
        <f t="shared" si="2738"/>
        <v>-391383.5</v>
      </c>
      <c r="EM47" s="183">
        <f t="shared" si="2739"/>
        <v>0</v>
      </c>
      <c r="EN47" s="183">
        <f t="shared" si="2738"/>
        <v>0</v>
      </c>
      <c r="EO47" s="183">
        <f t="shared" si="2739"/>
        <v>0</v>
      </c>
      <c r="EP47" s="183">
        <f t="shared" si="2739"/>
        <v>0</v>
      </c>
      <c r="EQ47" s="183">
        <f t="shared" si="2739"/>
        <v>0</v>
      </c>
      <c r="ER47" s="183">
        <f t="shared" si="2739"/>
        <v>0</v>
      </c>
      <c r="ES47" s="183">
        <f t="shared" si="2739"/>
        <v>0</v>
      </c>
      <c r="ET47" s="183">
        <f t="shared" si="2739"/>
        <v>0</v>
      </c>
      <c r="EU47" s="183">
        <f t="shared" si="2739"/>
        <v>0</v>
      </c>
      <c r="EV47" s="183">
        <f t="shared" si="2739"/>
        <v>0</v>
      </c>
      <c r="EW47" s="183">
        <f t="shared" si="2739"/>
        <v>0</v>
      </c>
      <c r="EX47" s="183">
        <f t="shared" si="2739"/>
        <v>0</v>
      </c>
      <c r="EY47" s="183">
        <f t="shared" si="2739"/>
        <v>-457137.5</v>
      </c>
      <c r="EZ47" s="183">
        <f t="shared" si="2739"/>
        <v>-393598.5</v>
      </c>
      <c r="FA47" s="183">
        <f t="shared" si="2739"/>
        <v>0</v>
      </c>
      <c r="FB47" s="183">
        <f t="shared" si="2739"/>
        <v>0</v>
      </c>
      <c r="FC47" s="183">
        <f t="shared" si="2739"/>
        <v>0</v>
      </c>
      <c r="FD47" s="183">
        <f t="shared" si="2739"/>
        <v>0</v>
      </c>
      <c r="FE47" s="183">
        <f t="shared" si="2739"/>
        <v>0</v>
      </c>
      <c r="FF47" s="183">
        <f t="shared" si="2739"/>
        <v>0</v>
      </c>
      <c r="FG47" s="183">
        <f t="shared" si="2739"/>
        <v>0</v>
      </c>
      <c r="FH47" s="183">
        <f t="shared" si="2739"/>
        <v>0</v>
      </c>
      <c r="FI47" s="183">
        <f t="shared" si="2739"/>
        <v>0</v>
      </c>
      <c r="FJ47" s="183">
        <f t="shared" si="2739"/>
        <v>0</v>
      </c>
      <c r="FK47" s="183">
        <f t="shared" si="2739"/>
        <v>0</v>
      </c>
      <c r="FL47" s="183">
        <f t="shared" si="2739"/>
        <v>0</v>
      </c>
      <c r="FM47" s="183">
        <f t="shared" si="2739"/>
        <v>-460135.5</v>
      </c>
      <c r="FN47" s="183">
        <f t="shared" si="2739"/>
        <v>-396479</v>
      </c>
      <c r="FO47" s="183">
        <f t="shared" si="2739"/>
        <v>0</v>
      </c>
      <c r="FP47" s="183">
        <f t="shared" si="2739"/>
        <v>0</v>
      </c>
      <c r="FQ47" s="183">
        <f t="shared" si="2739"/>
        <v>0</v>
      </c>
      <c r="FR47" s="183">
        <f t="shared" si="2739"/>
        <v>0</v>
      </c>
      <c r="FS47" s="183">
        <f t="shared" si="2739"/>
        <v>0</v>
      </c>
      <c r="FT47" s="183">
        <f t="shared" si="2739"/>
        <v>0</v>
      </c>
      <c r="FU47" s="183">
        <f t="shared" si="2739"/>
        <v>0</v>
      </c>
      <c r="FV47" s="183">
        <f t="shared" si="2739"/>
        <v>0</v>
      </c>
      <c r="FW47" s="183">
        <f t="shared" si="2739"/>
        <v>0</v>
      </c>
      <c r="FX47" s="183">
        <f t="shared" si="2739"/>
        <v>0</v>
      </c>
      <c r="FY47" s="183">
        <f t="shared" si="2739"/>
        <v>0</v>
      </c>
      <c r="FZ47" s="183">
        <f t="shared" si="2739"/>
        <v>0</v>
      </c>
      <c r="GA47" s="183">
        <f t="shared" si="2739"/>
        <v>0</v>
      </c>
      <c r="GB47" s="183">
        <f t="shared" si="2739"/>
        <v>0</v>
      </c>
      <c r="GC47" s="183">
        <f t="shared" si="2739"/>
        <v>0</v>
      </c>
      <c r="GD47" s="183">
        <f t="shared" si="2739"/>
        <v>0</v>
      </c>
      <c r="GE47" s="183">
        <f t="shared" si="2739"/>
        <v>0</v>
      </c>
      <c r="GF47" s="183">
        <f t="shared" si="2739"/>
        <v>0</v>
      </c>
      <c r="GG47" s="183">
        <f t="shared" si="2739"/>
        <v>0</v>
      </c>
      <c r="GH47" s="183">
        <f t="shared" si="2739"/>
        <v>0</v>
      </c>
      <c r="GI47" s="183">
        <f t="shared" si="2739"/>
        <v>0</v>
      </c>
      <c r="GJ47" s="183">
        <f t="shared" si="2739"/>
        <v>0</v>
      </c>
      <c r="GK47" s="183">
        <f t="shared" si="2739"/>
        <v>0</v>
      </c>
      <c r="GL47" s="183">
        <f t="shared" si="2739"/>
        <v>0</v>
      </c>
      <c r="GM47" s="183">
        <f t="shared" si="2739"/>
        <v>0</v>
      </c>
      <c r="GN47" s="183">
        <f t="shared" si="2739"/>
        <v>0</v>
      </c>
      <c r="GO47" s="183">
        <f t="shared" si="2739"/>
        <v>0</v>
      </c>
      <c r="GP47" s="183">
        <f t="shared" si="2739"/>
        <v>0</v>
      </c>
      <c r="GQ47" s="183">
        <f t="shared" ref="GQ47:IV47" si="2740">(GQ44-GQ26)/2</f>
        <v>0</v>
      </c>
      <c r="GR47" s="183">
        <f t="shared" si="2740"/>
        <v>0</v>
      </c>
      <c r="GS47" s="183">
        <f t="shared" si="2740"/>
        <v>0</v>
      </c>
      <c r="GT47" s="183">
        <f t="shared" si="2740"/>
        <v>0</v>
      </c>
      <c r="GU47" s="183">
        <f t="shared" si="2740"/>
        <v>0</v>
      </c>
      <c r="GV47" s="183">
        <f t="shared" si="2740"/>
        <v>0</v>
      </c>
      <c r="GW47" s="183">
        <f t="shared" si="2740"/>
        <v>0</v>
      </c>
      <c r="GX47" s="183">
        <f t="shared" si="2740"/>
        <v>0</v>
      </c>
      <c r="GY47" s="183">
        <f t="shared" si="2740"/>
        <v>0</v>
      </c>
      <c r="GZ47" s="183">
        <f t="shared" si="2740"/>
        <v>0</v>
      </c>
      <c r="HA47" s="183">
        <f t="shared" si="2740"/>
        <v>0</v>
      </c>
      <c r="HB47" s="183">
        <f t="shared" si="2740"/>
        <v>0</v>
      </c>
      <c r="HC47" s="183">
        <f t="shared" si="2740"/>
        <v>0</v>
      </c>
      <c r="HD47" s="183">
        <f t="shared" si="2740"/>
        <v>0</v>
      </c>
      <c r="HE47" s="183">
        <f t="shared" si="2740"/>
        <v>0</v>
      </c>
      <c r="HF47" s="183">
        <f t="shared" si="2740"/>
        <v>0</v>
      </c>
      <c r="HG47" s="183">
        <f t="shared" si="2740"/>
        <v>0</v>
      </c>
      <c r="HH47" s="183">
        <f t="shared" si="2740"/>
        <v>0</v>
      </c>
      <c r="HI47" s="183">
        <f t="shared" si="2740"/>
        <v>0</v>
      </c>
      <c r="HJ47" s="183">
        <f t="shared" si="2740"/>
        <v>0</v>
      </c>
      <c r="HK47" s="183">
        <f t="shared" si="2740"/>
        <v>0</v>
      </c>
      <c r="HL47" s="183">
        <f t="shared" si="2740"/>
        <v>0</v>
      </c>
      <c r="HM47" s="183">
        <f t="shared" si="2740"/>
        <v>0</v>
      </c>
      <c r="HN47" s="183">
        <f t="shared" si="2740"/>
        <v>0</v>
      </c>
      <c r="HO47" s="183">
        <f t="shared" si="2740"/>
        <v>0</v>
      </c>
      <c r="HP47" s="183">
        <f t="shared" si="2740"/>
        <v>0</v>
      </c>
      <c r="HQ47" s="183">
        <f t="shared" si="2740"/>
        <v>0</v>
      </c>
      <c r="HR47" s="183">
        <f t="shared" si="2740"/>
        <v>0</v>
      </c>
      <c r="HS47" s="183">
        <f t="shared" si="2740"/>
        <v>0</v>
      </c>
      <c r="HT47" s="183">
        <f t="shared" si="2740"/>
        <v>0</v>
      </c>
      <c r="HU47" s="183">
        <f t="shared" si="2740"/>
        <v>0</v>
      </c>
      <c r="HV47" s="183">
        <f t="shared" si="2740"/>
        <v>0</v>
      </c>
      <c r="HW47" s="183">
        <f t="shared" si="2740"/>
        <v>0</v>
      </c>
      <c r="HX47" s="183">
        <f t="shared" si="2740"/>
        <v>0</v>
      </c>
      <c r="HY47" s="183">
        <f t="shared" si="2740"/>
        <v>0</v>
      </c>
      <c r="HZ47" s="183">
        <f t="shared" si="2740"/>
        <v>0</v>
      </c>
      <c r="IA47" s="183">
        <f t="shared" si="2740"/>
        <v>0</v>
      </c>
      <c r="IB47" s="183">
        <f t="shared" si="2740"/>
        <v>0</v>
      </c>
      <c r="IC47" s="183">
        <f>(IC44-IC26)/2</f>
        <v>0</v>
      </c>
      <c r="ID47" s="183">
        <f>(ID44-ID26)/2</f>
        <v>0</v>
      </c>
      <c r="IE47" s="183">
        <f>(IE44-IE26)/2</f>
        <v>0</v>
      </c>
      <c r="IF47" s="183">
        <f>(IF44-IF26)/2</f>
        <v>0</v>
      </c>
      <c r="IG47" s="183">
        <f t="shared" si="2740"/>
        <v>0</v>
      </c>
      <c r="IH47" s="183">
        <f t="shared" si="2740"/>
        <v>0</v>
      </c>
      <c r="II47" s="183">
        <f t="shared" si="2740"/>
        <v>0</v>
      </c>
      <c r="IJ47" s="183">
        <f t="shared" si="2740"/>
        <v>0</v>
      </c>
      <c r="IK47" s="183">
        <f t="shared" si="2740"/>
        <v>0</v>
      </c>
      <c r="IL47" s="183">
        <f t="shared" si="2740"/>
        <v>0</v>
      </c>
      <c r="IM47" s="183">
        <f t="shared" si="2740"/>
        <v>0</v>
      </c>
      <c r="IN47" s="183">
        <f t="shared" si="2740"/>
        <v>0</v>
      </c>
      <c r="IO47" s="183">
        <f t="shared" si="2740"/>
        <v>0</v>
      </c>
      <c r="IP47" s="183">
        <f t="shared" si="2740"/>
        <v>0</v>
      </c>
      <c r="IQ47" s="183">
        <f t="shared" si="2740"/>
        <v>0</v>
      </c>
      <c r="IR47" s="183">
        <f t="shared" si="2740"/>
        <v>0</v>
      </c>
      <c r="IS47" s="183">
        <f t="shared" si="2740"/>
        <v>0</v>
      </c>
      <c r="IT47" s="183">
        <f t="shared" si="2740"/>
        <v>0</v>
      </c>
      <c r="IU47" s="183">
        <f t="shared" si="2740"/>
        <v>0</v>
      </c>
      <c r="IV47" s="183">
        <f t="shared" si="2740"/>
        <v>0</v>
      </c>
      <c r="IW47" s="183">
        <f t="shared" ref="IW47:JD47" si="2741">(IW44-IW26)/2</f>
        <v>0</v>
      </c>
      <c r="IX47" s="183">
        <f t="shared" si="2741"/>
        <v>0</v>
      </c>
      <c r="IY47" s="183">
        <f t="shared" si="2741"/>
        <v>0</v>
      </c>
      <c r="IZ47" s="183">
        <f t="shared" si="2741"/>
        <v>0</v>
      </c>
      <c r="JA47" s="183">
        <f t="shared" si="2741"/>
        <v>0</v>
      </c>
      <c r="JB47" s="183">
        <f t="shared" si="2741"/>
        <v>0</v>
      </c>
      <c r="JC47" s="183">
        <f t="shared" si="2741"/>
        <v>0</v>
      </c>
      <c r="JD47" s="183">
        <f t="shared" si="2741"/>
        <v>0</v>
      </c>
      <c r="JE47" s="183">
        <f t="shared" ref="JE47:LN47" si="2742">(JE44-JE26)/2</f>
        <v>0</v>
      </c>
      <c r="JF47" s="183">
        <f t="shared" si="2742"/>
        <v>0</v>
      </c>
      <c r="JG47" s="183">
        <f t="shared" si="2742"/>
        <v>0</v>
      </c>
      <c r="JH47" s="183">
        <f t="shared" si="2742"/>
        <v>0</v>
      </c>
      <c r="JI47" s="183">
        <f t="shared" si="2742"/>
        <v>0</v>
      </c>
      <c r="JJ47" s="183">
        <f t="shared" si="2742"/>
        <v>0</v>
      </c>
      <c r="JK47" s="183">
        <f t="shared" si="2742"/>
        <v>0</v>
      </c>
      <c r="JL47" s="183">
        <v>0</v>
      </c>
      <c r="JM47" s="183">
        <f t="shared" si="2742"/>
        <v>0</v>
      </c>
      <c r="JN47" s="183">
        <f t="shared" si="2742"/>
        <v>0</v>
      </c>
      <c r="JO47" s="183">
        <f t="shared" si="2742"/>
        <v>0</v>
      </c>
      <c r="JP47" s="183">
        <f t="shared" si="2742"/>
        <v>0</v>
      </c>
      <c r="JQ47" s="183">
        <f t="shared" si="2742"/>
        <v>0</v>
      </c>
      <c r="JR47" s="183">
        <f t="shared" si="2742"/>
        <v>0</v>
      </c>
      <c r="JS47" s="183">
        <f t="shared" si="2742"/>
        <v>0</v>
      </c>
      <c r="JT47" s="183">
        <f t="shared" si="2742"/>
        <v>0</v>
      </c>
      <c r="JU47" s="183">
        <f t="shared" si="2742"/>
        <v>0</v>
      </c>
      <c r="JV47" s="183">
        <f t="shared" si="2742"/>
        <v>0</v>
      </c>
      <c r="JW47" s="183">
        <f t="shared" si="2742"/>
        <v>0</v>
      </c>
      <c r="JX47" s="183">
        <f t="shared" si="2742"/>
        <v>0</v>
      </c>
      <c r="JY47" s="183">
        <f t="shared" si="2742"/>
        <v>0</v>
      </c>
      <c r="JZ47" s="183">
        <f t="shared" si="2742"/>
        <v>0</v>
      </c>
      <c r="KA47" s="183">
        <f t="shared" si="2742"/>
        <v>0</v>
      </c>
      <c r="KB47" s="183">
        <f t="shared" si="2742"/>
        <v>0</v>
      </c>
      <c r="KC47" s="183">
        <f t="shared" si="2742"/>
        <v>0</v>
      </c>
      <c r="KD47" s="183">
        <f t="shared" si="2742"/>
        <v>0</v>
      </c>
      <c r="KE47" s="183">
        <f t="shared" si="2742"/>
        <v>0</v>
      </c>
      <c r="KF47" s="183">
        <f t="shared" si="2742"/>
        <v>0</v>
      </c>
      <c r="KG47" s="183">
        <f t="shared" si="2742"/>
        <v>0</v>
      </c>
      <c r="KH47" s="183">
        <f t="shared" si="2742"/>
        <v>0</v>
      </c>
      <c r="KI47" s="183">
        <f t="shared" si="2742"/>
        <v>0</v>
      </c>
      <c r="KJ47" s="183">
        <f t="shared" si="2742"/>
        <v>0</v>
      </c>
      <c r="KK47" s="183">
        <f t="shared" si="2742"/>
        <v>0</v>
      </c>
      <c r="KL47" s="183">
        <f t="shared" si="2742"/>
        <v>0</v>
      </c>
      <c r="KM47" s="183">
        <f t="shared" si="2742"/>
        <v>0</v>
      </c>
      <c r="KN47" s="183">
        <f t="shared" si="2742"/>
        <v>0</v>
      </c>
      <c r="KO47" s="183">
        <f t="shared" si="2742"/>
        <v>0</v>
      </c>
      <c r="KP47" s="183">
        <f t="shared" si="2742"/>
        <v>0</v>
      </c>
      <c r="KQ47" s="183">
        <f t="shared" si="2742"/>
        <v>0</v>
      </c>
      <c r="KR47" s="183">
        <f t="shared" si="2742"/>
        <v>0</v>
      </c>
      <c r="KS47" s="183">
        <f t="shared" si="2742"/>
        <v>0</v>
      </c>
      <c r="KT47" s="183">
        <f t="shared" si="2742"/>
        <v>0</v>
      </c>
      <c r="KU47" s="183">
        <f t="shared" si="2742"/>
        <v>0</v>
      </c>
      <c r="KV47" s="183">
        <f t="shared" si="2742"/>
        <v>0</v>
      </c>
      <c r="KW47" s="183">
        <f t="shared" si="2742"/>
        <v>0</v>
      </c>
      <c r="KX47" s="183">
        <f t="shared" si="2742"/>
        <v>0</v>
      </c>
      <c r="KY47" s="183">
        <f t="shared" si="2742"/>
        <v>0</v>
      </c>
      <c r="KZ47" s="183">
        <f t="shared" si="2742"/>
        <v>0</v>
      </c>
      <c r="LA47" s="183">
        <f t="shared" si="2742"/>
        <v>0</v>
      </c>
      <c r="LB47" s="183">
        <f t="shared" si="2742"/>
        <v>0</v>
      </c>
      <c r="LC47" s="183">
        <f t="shared" si="2742"/>
        <v>0</v>
      </c>
      <c r="LD47" s="183">
        <f t="shared" si="2742"/>
        <v>0</v>
      </c>
      <c r="LE47" s="183">
        <f t="shared" si="2742"/>
        <v>0</v>
      </c>
      <c r="LF47" s="183">
        <f t="shared" si="2742"/>
        <v>0</v>
      </c>
      <c r="LG47" s="183">
        <f t="shared" si="2742"/>
        <v>0</v>
      </c>
      <c r="LH47" s="183">
        <f t="shared" si="2742"/>
        <v>0</v>
      </c>
      <c r="LI47" s="183">
        <f t="shared" si="2742"/>
        <v>0</v>
      </c>
      <c r="LJ47" s="183">
        <f t="shared" si="2742"/>
        <v>0</v>
      </c>
      <c r="LK47" s="183">
        <f t="shared" si="2742"/>
        <v>0</v>
      </c>
      <c r="LL47" s="183">
        <f t="shared" si="2742"/>
        <v>0</v>
      </c>
      <c r="LM47" s="183">
        <f t="shared" si="2742"/>
        <v>0</v>
      </c>
      <c r="LN47" s="183">
        <f t="shared" si="2742"/>
        <v>0</v>
      </c>
      <c r="LO47" s="183">
        <f t="shared" ref="LO47:LP47" si="2743">(LO44-LO26)/2</f>
        <v>0</v>
      </c>
      <c r="LP47" s="183">
        <f t="shared" si="2743"/>
        <v>0</v>
      </c>
      <c r="LQ47" s="183">
        <f t="shared" ref="LQ47:OB47" si="2744">(LQ44-LQ26)/2</f>
        <v>0</v>
      </c>
      <c r="LR47" s="183">
        <f t="shared" si="2744"/>
        <v>0</v>
      </c>
      <c r="LS47" s="183">
        <f t="shared" si="2744"/>
        <v>0</v>
      </c>
      <c r="LT47" s="183">
        <f t="shared" si="2744"/>
        <v>0</v>
      </c>
      <c r="LU47" s="183">
        <f t="shared" si="2744"/>
        <v>0</v>
      </c>
      <c r="LV47" s="183">
        <f t="shared" si="2744"/>
        <v>0</v>
      </c>
      <c r="LW47" s="183">
        <f t="shared" si="2744"/>
        <v>0</v>
      </c>
      <c r="LX47" s="183">
        <f t="shared" si="2744"/>
        <v>0</v>
      </c>
      <c r="LY47" s="183">
        <f t="shared" si="2744"/>
        <v>0</v>
      </c>
      <c r="LZ47" s="183">
        <f t="shared" si="2744"/>
        <v>0</v>
      </c>
      <c r="MA47" s="183">
        <f t="shared" si="2744"/>
        <v>0</v>
      </c>
      <c r="MB47" s="183">
        <f t="shared" si="2744"/>
        <v>0</v>
      </c>
      <c r="MC47" s="183">
        <f t="shared" si="2744"/>
        <v>0</v>
      </c>
      <c r="MD47" s="183">
        <f t="shared" si="2744"/>
        <v>0</v>
      </c>
      <c r="ME47" s="183">
        <f t="shared" si="2744"/>
        <v>0</v>
      </c>
      <c r="MF47" s="183">
        <f t="shared" si="2744"/>
        <v>0</v>
      </c>
      <c r="MG47" s="183">
        <f t="shared" si="2744"/>
        <v>0</v>
      </c>
      <c r="MH47" s="183">
        <f t="shared" si="2744"/>
        <v>0</v>
      </c>
      <c r="MI47" s="183">
        <f t="shared" si="2744"/>
        <v>0</v>
      </c>
      <c r="MJ47" s="183">
        <f t="shared" si="2744"/>
        <v>0</v>
      </c>
      <c r="MK47" s="183">
        <f t="shared" si="2744"/>
        <v>0</v>
      </c>
      <c r="ML47" s="183">
        <f t="shared" si="2744"/>
        <v>0</v>
      </c>
      <c r="MM47" s="183">
        <f t="shared" si="2744"/>
        <v>0</v>
      </c>
      <c r="MN47" s="183">
        <f t="shared" si="2744"/>
        <v>0</v>
      </c>
      <c r="MO47" s="183">
        <f t="shared" si="2744"/>
        <v>0</v>
      </c>
      <c r="MP47" s="183">
        <f t="shared" si="2744"/>
        <v>0</v>
      </c>
      <c r="MQ47" s="183">
        <f t="shared" si="2744"/>
        <v>0</v>
      </c>
      <c r="MR47" s="183">
        <f t="shared" si="2744"/>
        <v>0</v>
      </c>
      <c r="MS47" s="183">
        <f t="shared" si="2744"/>
        <v>0</v>
      </c>
      <c r="MT47" s="183">
        <f t="shared" si="2744"/>
        <v>0</v>
      </c>
      <c r="MU47" s="183">
        <f t="shared" si="2744"/>
        <v>0</v>
      </c>
      <c r="MV47" s="183">
        <f t="shared" si="2744"/>
        <v>0</v>
      </c>
      <c r="MW47" s="183">
        <f t="shared" si="2744"/>
        <v>0</v>
      </c>
      <c r="MX47" s="183">
        <f t="shared" si="2744"/>
        <v>0</v>
      </c>
      <c r="MY47" s="183">
        <f t="shared" si="2744"/>
        <v>0</v>
      </c>
      <c r="MZ47" s="183">
        <f t="shared" si="2744"/>
        <v>0</v>
      </c>
      <c r="NA47" s="183">
        <f t="shared" si="2744"/>
        <v>0</v>
      </c>
      <c r="NB47" s="183">
        <f t="shared" si="2744"/>
        <v>0</v>
      </c>
      <c r="NC47" s="183">
        <f t="shared" si="2744"/>
        <v>0</v>
      </c>
      <c r="ND47" s="183">
        <f t="shared" si="2744"/>
        <v>0</v>
      </c>
      <c r="NE47" s="183">
        <f t="shared" si="2744"/>
        <v>0</v>
      </c>
      <c r="NF47" s="183">
        <f t="shared" si="2744"/>
        <v>0</v>
      </c>
      <c r="NG47" s="183">
        <f t="shared" si="2744"/>
        <v>0</v>
      </c>
      <c r="NH47" s="183">
        <f t="shared" si="2744"/>
        <v>0</v>
      </c>
      <c r="NI47" s="183">
        <f t="shared" si="2744"/>
        <v>0</v>
      </c>
      <c r="NJ47" s="183">
        <f t="shared" si="2744"/>
        <v>0</v>
      </c>
      <c r="NK47" s="183">
        <f t="shared" si="2744"/>
        <v>0</v>
      </c>
      <c r="NL47" s="183">
        <f t="shared" si="2744"/>
        <v>0</v>
      </c>
      <c r="NM47" s="183">
        <f t="shared" si="2744"/>
        <v>0</v>
      </c>
      <c r="NN47" s="183">
        <f t="shared" si="2744"/>
        <v>0</v>
      </c>
      <c r="NO47" s="183">
        <f t="shared" si="2744"/>
        <v>0</v>
      </c>
      <c r="NP47" s="183">
        <f t="shared" si="2744"/>
        <v>0</v>
      </c>
      <c r="NQ47" s="183">
        <f t="shared" si="2744"/>
        <v>0</v>
      </c>
      <c r="NR47" s="183">
        <f t="shared" si="2744"/>
        <v>0</v>
      </c>
      <c r="NS47" s="183">
        <f t="shared" si="2744"/>
        <v>0</v>
      </c>
      <c r="NT47" s="183">
        <f t="shared" si="2744"/>
        <v>0</v>
      </c>
      <c r="NU47" s="183">
        <f t="shared" si="2744"/>
        <v>0</v>
      </c>
      <c r="NV47" s="183">
        <f t="shared" si="2744"/>
        <v>0</v>
      </c>
      <c r="NW47" s="183">
        <f t="shared" si="2744"/>
        <v>0</v>
      </c>
      <c r="NX47" s="183">
        <f t="shared" si="2744"/>
        <v>0</v>
      </c>
      <c r="NY47" s="183">
        <f t="shared" si="2744"/>
        <v>0</v>
      </c>
      <c r="NZ47" s="183">
        <f t="shared" si="2744"/>
        <v>0</v>
      </c>
      <c r="OA47" s="183">
        <f t="shared" si="2744"/>
        <v>0</v>
      </c>
      <c r="OB47" s="183">
        <f t="shared" si="2744"/>
        <v>0</v>
      </c>
      <c r="OC47" s="183">
        <f t="shared" ref="OC47:QN47" si="2745">(OC44-OC26)/2</f>
        <v>0</v>
      </c>
      <c r="OD47" s="183">
        <f t="shared" si="2745"/>
        <v>0</v>
      </c>
      <c r="OE47" s="183">
        <f t="shared" si="2745"/>
        <v>0</v>
      </c>
      <c r="OF47" s="183">
        <f t="shared" si="2745"/>
        <v>0</v>
      </c>
      <c r="OG47" s="183">
        <f t="shared" si="2745"/>
        <v>0</v>
      </c>
      <c r="OH47" s="183">
        <f t="shared" si="2745"/>
        <v>0</v>
      </c>
      <c r="OI47" s="183">
        <f t="shared" si="2745"/>
        <v>0</v>
      </c>
      <c r="OJ47" s="183">
        <f t="shared" si="2745"/>
        <v>0</v>
      </c>
      <c r="OK47" s="183">
        <f t="shared" si="2745"/>
        <v>0</v>
      </c>
      <c r="OL47" s="183">
        <f t="shared" si="2745"/>
        <v>0</v>
      </c>
      <c r="OM47" s="183">
        <f t="shared" si="2745"/>
        <v>0</v>
      </c>
      <c r="ON47" s="183">
        <f t="shared" si="2745"/>
        <v>0</v>
      </c>
      <c r="OO47" s="183">
        <f t="shared" si="2745"/>
        <v>0</v>
      </c>
      <c r="OP47" s="183">
        <f t="shared" si="2745"/>
        <v>0</v>
      </c>
      <c r="OQ47" s="183">
        <f t="shared" si="2745"/>
        <v>0</v>
      </c>
      <c r="OR47" s="183">
        <f t="shared" si="2745"/>
        <v>0</v>
      </c>
      <c r="OS47" s="183">
        <f t="shared" si="2745"/>
        <v>0</v>
      </c>
      <c r="OT47" s="183">
        <f t="shared" si="2745"/>
        <v>0</v>
      </c>
      <c r="OU47" s="183">
        <f t="shared" si="2745"/>
        <v>0</v>
      </c>
      <c r="OV47" s="183">
        <f t="shared" si="2745"/>
        <v>0</v>
      </c>
      <c r="OW47" s="183">
        <f t="shared" si="2745"/>
        <v>0</v>
      </c>
      <c r="OX47" s="183">
        <f t="shared" si="2745"/>
        <v>0</v>
      </c>
      <c r="OY47" s="183">
        <f t="shared" si="2745"/>
        <v>0</v>
      </c>
      <c r="OZ47" s="183">
        <f t="shared" si="2745"/>
        <v>0</v>
      </c>
      <c r="PA47" s="183">
        <f t="shared" si="2745"/>
        <v>0</v>
      </c>
      <c r="PB47" s="183">
        <f t="shared" si="2745"/>
        <v>0</v>
      </c>
      <c r="PC47" s="183">
        <f t="shared" si="2745"/>
        <v>0</v>
      </c>
      <c r="PD47" s="183">
        <f t="shared" si="2745"/>
        <v>0</v>
      </c>
      <c r="PE47" s="183">
        <f t="shared" si="2745"/>
        <v>0</v>
      </c>
      <c r="PF47" s="183">
        <f t="shared" si="2745"/>
        <v>0</v>
      </c>
      <c r="PG47" s="183">
        <f t="shared" si="2745"/>
        <v>0</v>
      </c>
      <c r="PH47" s="183">
        <f t="shared" si="2745"/>
        <v>0</v>
      </c>
      <c r="PI47" s="183">
        <f t="shared" si="2745"/>
        <v>0</v>
      </c>
      <c r="PJ47" s="183">
        <f t="shared" si="2745"/>
        <v>0</v>
      </c>
      <c r="PK47" s="183">
        <f t="shared" si="2745"/>
        <v>0</v>
      </c>
      <c r="PL47" s="183">
        <f t="shared" si="2745"/>
        <v>0</v>
      </c>
      <c r="PM47" s="183">
        <f t="shared" si="2745"/>
        <v>0</v>
      </c>
      <c r="PN47" s="183">
        <f t="shared" si="2745"/>
        <v>0</v>
      </c>
      <c r="PO47" s="183">
        <f t="shared" si="2745"/>
        <v>0</v>
      </c>
      <c r="PP47" s="183">
        <f t="shared" si="2745"/>
        <v>0</v>
      </c>
      <c r="PQ47" s="183">
        <f t="shared" si="2745"/>
        <v>0</v>
      </c>
      <c r="PR47" s="183">
        <f t="shared" si="2745"/>
        <v>0</v>
      </c>
      <c r="PS47" s="183">
        <f t="shared" si="2745"/>
        <v>0</v>
      </c>
      <c r="PT47" s="183">
        <f t="shared" si="2745"/>
        <v>0</v>
      </c>
      <c r="PU47" s="183">
        <f t="shared" si="2745"/>
        <v>0</v>
      </c>
      <c r="PV47" s="183">
        <f t="shared" si="2745"/>
        <v>0</v>
      </c>
      <c r="PW47" s="183">
        <f t="shared" si="2745"/>
        <v>0</v>
      </c>
      <c r="PX47" s="183">
        <f t="shared" si="2745"/>
        <v>0</v>
      </c>
      <c r="PY47" s="183">
        <f t="shared" si="2745"/>
        <v>0</v>
      </c>
      <c r="PZ47" s="183">
        <f t="shared" si="2745"/>
        <v>0</v>
      </c>
      <c r="QA47" s="183">
        <f t="shared" si="2745"/>
        <v>0</v>
      </c>
      <c r="QB47" s="183">
        <f t="shared" si="2745"/>
        <v>0</v>
      </c>
      <c r="QC47" s="183">
        <f t="shared" si="2745"/>
        <v>0</v>
      </c>
      <c r="QD47" s="183">
        <f t="shared" si="2745"/>
        <v>0</v>
      </c>
      <c r="QE47" s="183">
        <f t="shared" si="2745"/>
        <v>0</v>
      </c>
      <c r="QF47" s="183">
        <f t="shared" si="2745"/>
        <v>0</v>
      </c>
      <c r="QG47" s="183">
        <f t="shared" si="2745"/>
        <v>0</v>
      </c>
      <c r="QH47" s="183">
        <f t="shared" si="2745"/>
        <v>0</v>
      </c>
      <c r="QI47" s="183">
        <f t="shared" si="2745"/>
        <v>0</v>
      </c>
      <c r="QJ47" s="183">
        <f t="shared" si="2745"/>
        <v>0</v>
      </c>
      <c r="QK47" s="183">
        <f t="shared" si="2745"/>
        <v>0</v>
      </c>
      <c r="QL47" s="183">
        <f t="shared" si="2745"/>
        <v>0</v>
      </c>
      <c r="QM47" s="183">
        <f t="shared" si="2745"/>
        <v>0</v>
      </c>
      <c r="QN47" s="183">
        <f t="shared" si="2745"/>
        <v>0</v>
      </c>
      <c r="QO47" s="183">
        <f t="shared" ref="QO47:SZ47" si="2746">(QO44-QO26)/2</f>
        <v>0</v>
      </c>
      <c r="QP47" s="183">
        <f t="shared" si="2746"/>
        <v>0</v>
      </c>
      <c r="QQ47" s="183">
        <f t="shared" si="2746"/>
        <v>0</v>
      </c>
      <c r="QR47" s="183">
        <f t="shared" si="2746"/>
        <v>0</v>
      </c>
      <c r="QS47" s="183">
        <f t="shared" si="2746"/>
        <v>0</v>
      </c>
      <c r="QT47" s="183">
        <f t="shared" si="2746"/>
        <v>0</v>
      </c>
      <c r="QU47" s="183">
        <f t="shared" si="2746"/>
        <v>0</v>
      </c>
      <c r="QV47" s="183">
        <f t="shared" si="2746"/>
        <v>0</v>
      </c>
      <c r="QW47" s="183">
        <f t="shared" si="2746"/>
        <v>0</v>
      </c>
      <c r="QX47" s="183">
        <f t="shared" si="2746"/>
        <v>0</v>
      </c>
      <c r="QY47" s="183">
        <f t="shared" si="2746"/>
        <v>0</v>
      </c>
      <c r="QZ47" s="183">
        <f t="shared" si="2746"/>
        <v>0</v>
      </c>
      <c r="RA47" s="183">
        <f t="shared" si="2746"/>
        <v>0</v>
      </c>
      <c r="RB47" s="183">
        <f t="shared" si="2746"/>
        <v>0</v>
      </c>
      <c r="RC47" s="183">
        <f t="shared" si="2746"/>
        <v>0</v>
      </c>
      <c r="RD47" s="183">
        <f t="shared" si="2746"/>
        <v>0</v>
      </c>
      <c r="RE47" s="183">
        <f t="shared" si="2746"/>
        <v>0</v>
      </c>
      <c r="RF47" s="183">
        <f t="shared" si="2746"/>
        <v>0</v>
      </c>
      <c r="RG47" s="183">
        <f t="shared" si="2746"/>
        <v>0</v>
      </c>
      <c r="RH47" s="183">
        <f t="shared" si="2746"/>
        <v>0</v>
      </c>
      <c r="RI47" s="183">
        <f t="shared" si="2746"/>
        <v>0</v>
      </c>
      <c r="RJ47" s="183">
        <f t="shared" si="2746"/>
        <v>0</v>
      </c>
      <c r="RK47" s="183">
        <f t="shared" si="2746"/>
        <v>0</v>
      </c>
      <c r="RL47" s="183">
        <f t="shared" si="2746"/>
        <v>0</v>
      </c>
      <c r="RM47" s="183">
        <f t="shared" si="2746"/>
        <v>0</v>
      </c>
      <c r="RN47" s="183">
        <f t="shared" si="2746"/>
        <v>0</v>
      </c>
      <c r="RO47" s="183">
        <f t="shared" si="2746"/>
        <v>0</v>
      </c>
      <c r="RP47" s="183">
        <f t="shared" si="2746"/>
        <v>0</v>
      </c>
      <c r="RQ47" s="183">
        <f t="shared" si="2746"/>
        <v>0</v>
      </c>
      <c r="RR47" s="183">
        <f t="shared" si="2746"/>
        <v>0</v>
      </c>
      <c r="RS47" s="183">
        <f t="shared" si="2746"/>
        <v>0</v>
      </c>
      <c r="RT47" s="183">
        <f t="shared" si="2746"/>
        <v>0</v>
      </c>
      <c r="RU47" s="183">
        <f t="shared" si="2746"/>
        <v>0</v>
      </c>
      <c r="RV47" s="183">
        <f t="shared" si="2746"/>
        <v>0</v>
      </c>
      <c r="RW47" s="183">
        <f t="shared" si="2746"/>
        <v>0</v>
      </c>
      <c r="RX47" s="183">
        <f t="shared" si="2746"/>
        <v>0</v>
      </c>
      <c r="RY47" s="183">
        <f t="shared" si="2746"/>
        <v>0</v>
      </c>
      <c r="RZ47" s="183">
        <f t="shared" si="2746"/>
        <v>0</v>
      </c>
      <c r="SA47" s="183">
        <f t="shared" si="2746"/>
        <v>0</v>
      </c>
      <c r="SB47" s="183">
        <f t="shared" si="2746"/>
        <v>0</v>
      </c>
      <c r="SC47" s="183">
        <f t="shared" si="2746"/>
        <v>0</v>
      </c>
      <c r="SD47" s="183">
        <f t="shared" si="2746"/>
        <v>0</v>
      </c>
      <c r="SE47" s="183">
        <f t="shared" si="2746"/>
        <v>0</v>
      </c>
      <c r="SF47" s="183">
        <f t="shared" si="2746"/>
        <v>0</v>
      </c>
      <c r="SG47" s="183">
        <f t="shared" si="2746"/>
        <v>0</v>
      </c>
      <c r="SH47" s="183">
        <f t="shared" si="2746"/>
        <v>0</v>
      </c>
      <c r="SI47" s="183">
        <f t="shared" si="2746"/>
        <v>0</v>
      </c>
      <c r="SJ47" s="183">
        <f t="shared" si="2746"/>
        <v>0</v>
      </c>
      <c r="SK47" s="183">
        <f t="shared" si="2746"/>
        <v>0</v>
      </c>
      <c r="SL47" s="183">
        <f t="shared" si="2746"/>
        <v>0</v>
      </c>
      <c r="SM47" s="183">
        <f t="shared" si="2746"/>
        <v>0</v>
      </c>
      <c r="SN47" s="183">
        <f t="shared" si="2746"/>
        <v>0</v>
      </c>
      <c r="SO47" s="183">
        <f t="shared" si="2746"/>
        <v>0</v>
      </c>
      <c r="SP47" s="183">
        <f t="shared" si="2746"/>
        <v>0</v>
      </c>
      <c r="SQ47" s="183">
        <f t="shared" si="2746"/>
        <v>0</v>
      </c>
      <c r="SR47" s="183">
        <f t="shared" si="2746"/>
        <v>0</v>
      </c>
      <c r="SS47" s="183">
        <f t="shared" si="2746"/>
        <v>0</v>
      </c>
      <c r="ST47" s="183">
        <f t="shared" si="2746"/>
        <v>0</v>
      </c>
      <c r="SU47" s="183">
        <f t="shared" si="2746"/>
        <v>0</v>
      </c>
      <c r="SV47" s="183">
        <f t="shared" si="2746"/>
        <v>0</v>
      </c>
      <c r="SW47" s="183">
        <f t="shared" si="2746"/>
        <v>0</v>
      </c>
      <c r="SX47" s="183">
        <f t="shared" si="2746"/>
        <v>0</v>
      </c>
      <c r="SY47" s="183">
        <f t="shared" si="2746"/>
        <v>0</v>
      </c>
      <c r="SZ47" s="183">
        <f t="shared" si="2746"/>
        <v>0</v>
      </c>
      <c r="TA47" s="183">
        <f t="shared" ref="TA47:VJ47" si="2747">(TA44-TA26)/2</f>
        <v>0</v>
      </c>
      <c r="TB47" s="183">
        <f t="shared" si="2747"/>
        <v>0</v>
      </c>
      <c r="TC47" s="183">
        <f t="shared" si="2747"/>
        <v>0</v>
      </c>
      <c r="TD47" s="183">
        <f t="shared" si="2747"/>
        <v>0</v>
      </c>
      <c r="TE47" s="183">
        <f t="shared" si="2747"/>
        <v>0</v>
      </c>
      <c r="TF47" s="183">
        <f t="shared" si="2747"/>
        <v>0</v>
      </c>
      <c r="TG47" s="183">
        <f t="shared" si="2747"/>
        <v>0</v>
      </c>
      <c r="TH47" s="183">
        <f t="shared" si="2747"/>
        <v>0</v>
      </c>
      <c r="TI47" s="183">
        <f t="shared" si="2747"/>
        <v>0</v>
      </c>
      <c r="TJ47" s="183">
        <f t="shared" si="2747"/>
        <v>0</v>
      </c>
      <c r="TK47" s="183">
        <f t="shared" si="2747"/>
        <v>0</v>
      </c>
      <c r="TL47" s="183">
        <f t="shared" si="2747"/>
        <v>0</v>
      </c>
      <c r="TM47" s="183">
        <f t="shared" si="2747"/>
        <v>0</v>
      </c>
      <c r="TN47" s="183">
        <f t="shared" si="2747"/>
        <v>0</v>
      </c>
      <c r="TO47" s="183">
        <f t="shared" si="2747"/>
        <v>0</v>
      </c>
      <c r="TP47" s="183">
        <f t="shared" si="2747"/>
        <v>0</v>
      </c>
      <c r="TQ47" s="183">
        <f t="shared" si="2747"/>
        <v>0</v>
      </c>
      <c r="TR47" s="183">
        <f t="shared" si="2747"/>
        <v>0</v>
      </c>
      <c r="TS47" s="183">
        <f t="shared" si="2747"/>
        <v>0</v>
      </c>
      <c r="TT47" s="183">
        <f t="shared" si="2747"/>
        <v>0</v>
      </c>
      <c r="TU47" s="183">
        <f t="shared" si="2747"/>
        <v>0</v>
      </c>
      <c r="TV47" s="183">
        <f t="shared" si="2747"/>
        <v>0</v>
      </c>
      <c r="TW47" s="183">
        <f t="shared" si="2747"/>
        <v>0</v>
      </c>
      <c r="TX47" s="183">
        <f t="shared" si="2747"/>
        <v>0</v>
      </c>
      <c r="TY47" s="183">
        <f t="shared" si="2747"/>
        <v>0</v>
      </c>
      <c r="TZ47" s="183">
        <f t="shared" si="2747"/>
        <v>0</v>
      </c>
      <c r="UA47" s="183">
        <f t="shared" si="2747"/>
        <v>0</v>
      </c>
      <c r="UB47" s="183">
        <f t="shared" si="2747"/>
        <v>0</v>
      </c>
      <c r="UC47" s="183">
        <f t="shared" si="2747"/>
        <v>0</v>
      </c>
      <c r="UD47" s="183">
        <f t="shared" si="2747"/>
        <v>0</v>
      </c>
      <c r="UE47" s="183">
        <f t="shared" si="2747"/>
        <v>0</v>
      </c>
      <c r="UF47" s="183">
        <f t="shared" si="2747"/>
        <v>0</v>
      </c>
      <c r="UG47" s="183">
        <f t="shared" si="2747"/>
        <v>0</v>
      </c>
      <c r="UH47" s="183">
        <f t="shared" si="2747"/>
        <v>0</v>
      </c>
      <c r="UI47" s="183">
        <f t="shared" si="2747"/>
        <v>0</v>
      </c>
      <c r="UJ47" s="183">
        <f t="shared" si="2747"/>
        <v>0</v>
      </c>
      <c r="UK47" s="183">
        <f t="shared" si="2747"/>
        <v>0</v>
      </c>
      <c r="UL47" s="183">
        <f t="shared" si="2747"/>
        <v>0</v>
      </c>
      <c r="UM47" s="183">
        <f t="shared" si="2747"/>
        <v>0</v>
      </c>
      <c r="UN47" s="183">
        <f t="shared" si="2747"/>
        <v>0</v>
      </c>
      <c r="UO47" s="183">
        <f t="shared" si="2747"/>
        <v>0</v>
      </c>
      <c r="UP47" s="183">
        <f t="shared" si="2747"/>
        <v>0</v>
      </c>
      <c r="UQ47" s="183">
        <f t="shared" si="2747"/>
        <v>0</v>
      </c>
      <c r="UR47" s="183">
        <f t="shared" si="2747"/>
        <v>0</v>
      </c>
      <c r="US47" s="183">
        <f t="shared" si="2747"/>
        <v>0</v>
      </c>
      <c r="UT47" s="183">
        <f t="shared" si="2747"/>
        <v>0</v>
      </c>
      <c r="UU47" s="183">
        <f t="shared" si="2747"/>
        <v>0</v>
      </c>
      <c r="UV47" s="183">
        <f t="shared" si="2747"/>
        <v>0</v>
      </c>
      <c r="UW47" s="183">
        <f t="shared" si="2747"/>
        <v>0</v>
      </c>
      <c r="UX47" s="183">
        <f t="shared" si="2747"/>
        <v>0</v>
      </c>
      <c r="UY47" s="183">
        <f t="shared" si="2747"/>
        <v>0</v>
      </c>
      <c r="UZ47" s="183">
        <f t="shared" si="2747"/>
        <v>0</v>
      </c>
      <c r="VA47" s="183">
        <f t="shared" si="2747"/>
        <v>0</v>
      </c>
      <c r="VB47" s="183">
        <f t="shared" si="2747"/>
        <v>0</v>
      </c>
      <c r="VC47" s="183">
        <f t="shared" si="2747"/>
        <v>0</v>
      </c>
      <c r="VD47" s="183">
        <f t="shared" si="2747"/>
        <v>0</v>
      </c>
      <c r="VE47" s="183">
        <f t="shared" si="2747"/>
        <v>0</v>
      </c>
      <c r="VF47" s="183">
        <f t="shared" si="2747"/>
        <v>0</v>
      </c>
      <c r="VG47" s="183">
        <f t="shared" si="2747"/>
        <v>0</v>
      </c>
      <c r="VH47" s="183">
        <f t="shared" si="2747"/>
        <v>0</v>
      </c>
      <c r="VI47" s="183">
        <f t="shared" si="2747"/>
        <v>0</v>
      </c>
      <c r="VJ47" s="183">
        <f t="shared" si="2747"/>
        <v>0</v>
      </c>
      <c r="VK47" s="183">
        <f t="shared" ref="VK47:XV47" si="2748">(VK44-VK26)/2</f>
        <v>0</v>
      </c>
      <c r="VL47" s="183">
        <f t="shared" si="2748"/>
        <v>0</v>
      </c>
      <c r="VM47" s="183">
        <f t="shared" si="2748"/>
        <v>0</v>
      </c>
      <c r="VN47" s="183">
        <f t="shared" si="2748"/>
        <v>0</v>
      </c>
      <c r="VO47" s="183">
        <f t="shared" si="2748"/>
        <v>0</v>
      </c>
      <c r="VP47" s="183">
        <f t="shared" si="2748"/>
        <v>0</v>
      </c>
      <c r="VQ47" s="183">
        <f t="shared" si="2748"/>
        <v>0</v>
      </c>
      <c r="VR47" s="183">
        <f t="shared" si="2748"/>
        <v>0</v>
      </c>
      <c r="VS47" s="183">
        <f t="shared" si="2748"/>
        <v>0</v>
      </c>
      <c r="VT47" s="183">
        <f t="shared" si="2748"/>
        <v>0</v>
      </c>
      <c r="VU47" s="183">
        <f t="shared" si="2748"/>
        <v>0</v>
      </c>
      <c r="VV47" s="183">
        <f t="shared" si="2748"/>
        <v>0</v>
      </c>
      <c r="VW47" s="183">
        <f t="shared" si="2748"/>
        <v>0</v>
      </c>
      <c r="VX47" s="183">
        <f t="shared" si="2748"/>
        <v>0</v>
      </c>
      <c r="VY47" s="183">
        <f t="shared" si="2748"/>
        <v>0</v>
      </c>
      <c r="VZ47" s="183">
        <f t="shared" si="2748"/>
        <v>0</v>
      </c>
      <c r="WA47" s="183">
        <f>(WA40-WA26)/2</f>
        <v>0</v>
      </c>
      <c r="WB47" s="183">
        <f>(WB39-WB26)/2</f>
        <v>0</v>
      </c>
      <c r="WC47" s="183">
        <f t="shared" si="2748"/>
        <v>0</v>
      </c>
      <c r="WD47" s="183">
        <f t="shared" si="2748"/>
        <v>0</v>
      </c>
      <c r="WE47" s="183">
        <f t="shared" si="2748"/>
        <v>0</v>
      </c>
      <c r="WF47" s="183">
        <f t="shared" si="2748"/>
        <v>0</v>
      </c>
      <c r="WG47" s="183">
        <f t="shared" si="2748"/>
        <v>0</v>
      </c>
      <c r="WH47" s="183">
        <f t="shared" si="2748"/>
        <v>0</v>
      </c>
      <c r="WI47" s="183">
        <f t="shared" si="2748"/>
        <v>0</v>
      </c>
      <c r="WJ47" s="183">
        <f t="shared" si="2748"/>
        <v>0</v>
      </c>
      <c r="WK47" s="183">
        <f t="shared" si="2748"/>
        <v>0</v>
      </c>
      <c r="WL47" s="183">
        <f t="shared" si="2748"/>
        <v>0</v>
      </c>
      <c r="WM47" s="183">
        <f t="shared" si="2748"/>
        <v>0</v>
      </c>
      <c r="WN47" s="183">
        <f t="shared" si="2748"/>
        <v>0</v>
      </c>
      <c r="WO47" s="183">
        <f t="shared" si="2748"/>
        <v>0</v>
      </c>
      <c r="WP47" s="183">
        <f t="shared" si="2748"/>
        <v>0</v>
      </c>
      <c r="WQ47" s="183">
        <f t="shared" si="2748"/>
        <v>0</v>
      </c>
      <c r="WR47" s="183">
        <f t="shared" si="2748"/>
        <v>0</v>
      </c>
      <c r="WS47" s="183">
        <f t="shared" si="2748"/>
        <v>0</v>
      </c>
      <c r="WT47" s="183">
        <f t="shared" si="2748"/>
        <v>0</v>
      </c>
      <c r="WU47" s="183">
        <f t="shared" si="2748"/>
        <v>0</v>
      </c>
      <c r="WV47" s="183">
        <f t="shared" si="2748"/>
        <v>0</v>
      </c>
      <c r="WW47" s="183">
        <f t="shared" si="2748"/>
        <v>0</v>
      </c>
      <c r="WX47" s="183">
        <f t="shared" si="2748"/>
        <v>0</v>
      </c>
      <c r="WY47" s="183">
        <f t="shared" si="2748"/>
        <v>0</v>
      </c>
      <c r="WZ47" s="183">
        <f t="shared" si="2748"/>
        <v>0</v>
      </c>
      <c r="XA47" s="183">
        <f t="shared" si="2748"/>
        <v>0</v>
      </c>
      <c r="XB47" s="183">
        <f t="shared" si="2748"/>
        <v>0</v>
      </c>
      <c r="XC47" s="183">
        <f t="shared" si="2748"/>
        <v>0</v>
      </c>
      <c r="XD47" s="183">
        <f t="shared" si="2748"/>
        <v>0</v>
      </c>
      <c r="XE47" s="183">
        <f t="shared" si="2748"/>
        <v>0</v>
      </c>
      <c r="XF47" s="183">
        <f t="shared" si="2748"/>
        <v>0</v>
      </c>
      <c r="XG47" s="183">
        <f t="shared" si="2748"/>
        <v>0</v>
      </c>
      <c r="XH47" s="183">
        <f t="shared" si="2748"/>
        <v>0</v>
      </c>
      <c r="XI47" s="183">
        <f t="shared" si="2748"/>
        <v>0</v>
      </c>
      <c r="XJ47" s="183">
        <f t="shared" si="2748"/>
        <v>0</v>
      </c>
      <c r="XK47" s="183">
        <f t="shared" si="2748"/>
        <v>0</v>
      </c>
      <c r="XL47" s="183">
        <f t="shared" si="2748"/>
        <v>0</v>
      </c>
      <c r="XM47" s="183">
        <f t="shared" si="2748"/>
        <v>0</v>
      </c>
      <c r="XN47" s="183">
        <f t="shared" si="2748"/>
        <v>0</v>
      </c>
      <c r="XO47" s="183">
        <f t="shared" si="2748"/>
        <v>0</v>
      </c>
      <c r="XP47" s="183">
        <f t="shared" si="2748"/>
        <v>0</v>
      </c>
      <c r="XQ47" s="183">
        <f t="shared" si="2748"/>
        <v>0</v>
      </c>
      <c r="XR47" s="183">
        <f t="shared" si="2748"/>
        <v>0</v>
      </c>
      <c r="XS47" s="183">
        <f t="shared" si="2748"/>
        <v>0</v>
      </c>
      <c r="XT47" s="183">
        <f t="shared" si="2748"/>
        <v>0</v>
      </c>
      <c r="XU47" s="183">
        <f t="shared" si="2748"/>
        <v>0</v>
      </c>
      <c r="XV47" s="183">
        <f t="shared" si="2748"/>
        <v>0</v>
      </c>
      <c r="XW47" s="183">
        <f t="shared" ref="XW47:YD47" si="2749">(XW44-XW26)/2</f>
        <v>0</v>
      </c>
      <c r="XX47" s="183">
        <f t="shared" si="2749"/>
        <v>0</v>
      </c>
      <c r="XY47" s="183">
        <f t="shared" si="2749"/>
        <v>0</v>
      </c>
      <c r="XZ47" s="183">
        <f t="shared" si="2749"/>
        <v>0</v>
      </c>
      <c r="YA47" s="183">
        <f t="shared" si="2749"/>
        <v>0</v>
      </c>
      <c r="YB47" s="183">
        <f t="shared" si="2749"/>
        <v>0</v>
      </c>
      <c r="YC47" s="183">
        <f t="shared" si="2749"/>
        <v>0</v>
      </c>
      <c r="YD47" s="183">
        <f t="shared" si="2749"/>
        <v>0</v>
      </c>
      <c r="YE47" s="183">
        <f t="shared" ref="YE47:ZD47" si="2750">(YE44-YE26)/2</f>
        <v>0</v>
      </c>
      <c r="YF47" s="183">
        <f t="shared" si="2750"/>
        <v>0</v>
      </c>
      <c r="YG47" s="183">
        <f t="shared" si="2750"/>
        <v>0</v>
      </c>
      <c r="YH47" s="183">
        <f t="shared" si="2750"/>
        <v>0</v>
      </c>
      <c r="YI47" s="183">
        <f t="shared" si="2750"/>
        <v>0</v>
      </c>
      <c r="YJ47" s="183">
        <f t="shared" si="2750"/>
        <v>0</v>
      </c>
      <c r="YK47" s="183">
        <f t="shared" si="2750"/>
        <v>0</v>
      </c>
      <c r="YL47" s="183">
        <f t="shared" si="2750"/>
        <v>0</v>
      </c>
      <c r="YM47" s="183">
        <f t="shared" si="2750"/>
        <v>0</v>
      </c>
      <c r="YN47" s="183">
        <f t="shared" si="2750"/>
        <v>0</v>
      </c>
      <c r="YO47" s="183">
        <f>(YO44-YO27)/2</f>
        <v>0</v>
      </c>
      <c r="YP47" s="183">
        <f>(YP44-YP27)/2</f>
        <v>0</v>
      </c>
      <c r="YQ47" s="183">
        <f t="shared" si="2750"/>
        <v>0</v>
      </c>
      <c r="YR47" s="183">
        <f t="shared" si="2750"/>
        <v>0</v>
      </c>
      <c r="YS47" s="183">
        <f t="shared" si="2750"/>
        <v>0</v>
      </c>
      <c r="YT47" s="183">
        <f t="shared" si="2750"/>
        <v>0</v>
      </c>
      <c r="YU47" s="183">
        <f t="shared" si="2750"/>
        <v>0</v>
      </c>
      <c r="YV47" s="183">
        <f t="shared" si="2750"/>
        <v>0</v>
      </c>
      <c r="YW47" s="183">
        <f t="shared" si="2750"/>
        <v>0</v>
      </c>
      <c r="YX47" s="183">
        <f t="shared" si="2750"/>
        <v>0</v>
      </c>
      <c r="YY47" s="183">
        <f t="shared" si="2750"/>
        <v>0</v>
      </c>
      <c r="YZ47" s="183">
        <f t="shared" si="2750"/>
        <v>0</v>
      </c>
      <c r="ZA47" s="183">
        <f t="shared" si="2750"/>
        <v>0</v>
      </c>
      <c r="ZB47" s="183">
        <f t="shared" si="2750"/>
        <v>0</v>
      </c>
      <c r="ZC47" s="183">
        <f t="shared" si="2750"/>
        <v>0</v>
      </c>
      <c r="ZD47" s="183">
        <f t="shared" si="2750"/>
        <v>0</v>
      </c>
      <c r="ZE47" s="183">
        <f t="shared" ref="ZE47:ZP47" si="2751">(ZE44-ZE26)/2</f>
        <v>0</v>
      </c>
      <c r="ZF47" s="183">
        <f t="shared" si="2751"/>
        <v>0</v>
      </c>
      <c r="ZG47" s="183">
        <f t="shared" si="2751"/>
        <v>0</v>
      </c>
      <c r="ZH47" s="183">
        <f t="shared" si="2751"/>
        <v>0</v>
      </c>
      <c r="ZI47" s="183">
        <f t="shared" si="2751"/>
        <v>0</v>
      </c>
      <c r="ZJ47" s="183">
        <f t="shared" si="2751"/>
        <v>0</v>
      </c>
      <c r="ZK47" s="183">
        <f t="shared" si="2751"/>
        <v>0</v>
      </c>
      <c r="ZL47" s="183">
        <f t="shared" si="2751"/>
        <v>0</v>
      </c>
      <c r="ZM47" s="183">
        <f t="shared" si="2751"/>
        <v>0</v>
      </c>
      <c r="ZN47" s="183">
        <f t="shared" si="2751"/>
        <v>0</v>
      </c>
      <c r="ZO47" s="183">
        <f t="shared" si="2751"/>
        <v>0</v>
      </c>
      <c r="ZP47" s="183">
        <f t="shared" si="2751"/>
        <v>0</v>
      </c>
      <c r="ZQ47" s="183">
        <f t="shared" ref="ZQ47:AAJ47" si="2752">(ZQ44-ZQ26)/2</f>
        <v>0</v>
      </c>
      <c r="ZR47" s="183">
        <f t="shared" si="2752"/>
        <v>0</v>
      </c>
      <c r="ZS47" s="183">
        <f t="shared" si="2752"/>
        <v>0</v>
      </c>
      <c r="ZT47" s="183">
        <f t="shared" si="2752"/>
        <v>0</v>
      </c>
      <c r="ZU47" s="183">
        <f t="shared" si="2752"/>
        <v>0</v>
      </c>
      <c r="ZV47" s="183">
        <f t="shared" si="2752"/>
        <v>0</v>
      </c>
      <c r="ZW47" s="183">
        <f t="shared" si="2752"/>
        <v>0</v>
      </c>
      <c r="ZX47" s="183">
        <f t="shared" si="2752"/>
        <v>0</v>
      </c>
      <c r="ZY47" s="183">
        <f t="shared" si="2752"/>
        <v>0</v>
      </c>
      <c r="ZZ47" s="183">
        <f t="shared" si="2752"/>
        <v>0</v>
      </c>
      <c r="AAA47" s="183">
        <f t="shared" si="2752"/>
        <v>0</v>
      </c>
      <c r="AAB47" s="183">
        <f t="shared" si="2752"/>
        <v>0</v>
      </c>
      <c r="AAC47" s="183">
        <f t="shared" si="2752"/>
        <v>0</v>
      </c>
      <c r="AAD47" s="183">
        <f t="shared" si="2752"/>
        <v>0</v>
      </c>
      <c r="AAE47" s="183">
        <f t="shared" si="2752"/>
        <v>0</v>
      </c>
      <c r="AAF47" s="183">
        <f t="shared" si="2752"/>
        <v>0</v>
      </c>
      <c r="AAG47" s="183">
        <f t="shared" si="2752"/>
        <v>0</v>
      </c>
      <c r="AAH47" s="183">
        <f t="shared" si="2752"/>
        <v>0</v>
      </c>
      <c r="AAI47" s="183">
        <f t="shared" si="2752"/>
        <v>0</v>
      </c>
      <c r="AAJ47" s="183">
        <f t="shared" si="2752"/>
        <v>0</v>
      </c>
      <c r="AAK47" s="183">
        <f t="shared" ref="AAK47:AAT47" si="2753">(AAK44-AAK26)/2</f>
        <v>0</v>
      </c>
      <c r="AAL47" s="183">
        <f t="shared" si="2753"/>
        <v>0</v>
      </c>
      <c r="AAM47" s="183">
        <f t="shared" si="2753"/>
        <v>0</v>
      </c>
      <c r="AAN47" s="183">
        <f t="shared" si="2753"/>
        <v>0</v>
      </c>
      <c r="AAO47" s="183">
        <f t="shared" si="2753"/>
        <v>0</v>
      </c>
      <c r="AAP47" s="183">
        <f t="shared" si="2753"/>
        <v>0</v>
      </c>
      <c r="AAQ47" s="183">
        <f t="shared" si="2753"/>
        <v>0</v>
      </c>
      <c r="AAR47" s="183">
        <f t="shared" si="2753"/>
        <v>0</v>
      </c>
      <c r="AAS47" s="183">
        <f t="shared" si="2753"/>
        <v>0</v>
      </c>
      <c r="AAT47" s="183">
        <f t="shared" si="2753"/>
        <v>0</v>
      </c>
      <c r="AAU47" s="183">
        <f t="shared" ref="AAU47:ABD47" si="2754">(AAU44-AAU26)/2</f>
        <v>0</v>
      </c>
      <c r="AAV47" s="183">
        <f t="shared" si="2754"/>
        <v>0</v>
      </c>
      <c r="AAW47" s="183">
        <f t="shared" si="2754"/>
        <v>0</v>
      </c>
      <c r="AAX47" s="183">
        <f t="shared" si="2754"/>
        <v>0</v>
      </c>
      <c r="AAY47" s="183">
        <f t="shared" si="2754"/>
        <v>0</v>
      </c>
      <c r="AAZ47" s="183">
        <f t="shared" si="2754"/>
        <v>0</v>
      </c>
      <c r="ABA47" s="183">
        <f t="shared" si="2754"/>
        <v>0</v>
      </c>
      <c r="ABB47" s="183">
        <f t="shared" si="2754"/>
        <v>0</v>
      </c>
      <c r="ABC47" s="183">
        <f t="shared" si="2754"/>
        <v>0</v>
      </c>
      <c r="ABD47" s="183">
        <f t="shared" si="2754"/>
        <v>0</v>
      </c>
      <c r="ABE47" s="336"/>
      <c r="ABF47" s="336"/>
      <c r="ABG47" s="336"/>
      <c r="ABH47" s="336"/>
      <c r="ABI47" s="336"/>
      <c r="ABJ47" s="336"/>
      <c r="ABK47" s="336"/>
      <c r="ABL47" s="336"/>
      <c r="ABM47" s="336"/>
      <c r="ABN47" s="336"/>
      <c r="ABO47" s="336"/>
      <c r="ABP47" s="336"/>
      <c r="ABQ47" s="336"/>
      <c r="ABR47" s="336"/>
      <c r="ABS47" s="336"/>
      <c r="ABT47" s="336"/>
      <c r="ABU47" s="336"/>
      <c r="ABV47" s="336"/>
      <c r="ABW47" s="336"/>
      <c r="ABX47" s="336"/>
      <c r="ABY47" s="336"/>
      <c r="ABZ47" s="336"/>
      <c r="ACA47" s="336"/>
      <c r="ACB47" s="336"/>
      <c r="ACC47" s="336"/>
      <c r="ACD47" s="336"/>
      <c r="ACE47" s="336"/>
      <c r="ACF47" s="336"/>
      <c r="ACG47" s="336"/>
      <c r="ACH47" s="336"/>
      <c r="ACI47" s="336"/>
      <c r="ACJ47" s="336"/>
      <c r="ACK47" s="336"/>
      <c r="ACL47" s="336"/>
      <c r="ACM47" s="336"/>
      <c r="ACN47" s="336"/>
      <c r="ACO47" s="336"/>
      <c r="ACP47" s="336"/>
      <c r="ACQ47" s="336"/>
      <c r="ACR47" s="336"/>
      <c r="ACS47" s="336"/>
      <c r="ACT47" s="336"/>
      <c r="ACU47" s="336"/>
      <c r="ACV47" s="336"/>
      <c r="ACW47" s="336"/>
      <c r="ACX47" s="336"/>
      <c r="ACY47" s="336"/>
      <c r="ACZ47" s="336"/>
      <c r="ADA47" s="336"/>
      <c r="ADB47" s="336"/>
      <c r="ADC47" s="336"/>
      <c r="ADD47" s="336"/>
      <c r="ADE47" s="336"/>
      <c r="ADF47" s="336"/>
      <c r="ADG47" s="336"/>
      <c r="ADH47" s="336"/>
      <c r="ADI47" s="336"/>
      <c r="ADJ47" s="336"/>
      <c r="ADK47" s="336"/>
      <c r="ADL47" s="336"/>
      <c r="ADM47" s="336"/>
      <c r="ADN47" s="336"/>
      <c r="ADO47" s="336"/>
      <c r="ADP47" s="336"/>
      <c r="ADQ47" s="336"/>
      <c r="ADR47" s="336"/>
      <c r="ADS47" s="336"/>
      <c r="ADT47" s="336"/>
      <c r="ADU47" s="336"/>
      <c r="ADV47" s="336"/>
      <c r="ADW47" s="336"/>
      <c r="ADX47" s="336"/>
      <c r="ADY47" s="336"/>
      <c r="ADZ47" s="336"/>
      <c r="AEA47" s="336"/>
      <c r="AEB47" s="336"/>
      <c r="AEC47" s="336"/>
      <c r="AED47" s="336"/>
      <c r="AEE47" s="336"/>
      <c r="AEF47" s="336"/>
      <c r="AEG47" s="336"/>
      <c r="AEH47" s="336"/>
      <c r="AEI47" s="336"/>
      <c r="AEJ47" s="336"/>
      <c r="AEK47" s="336"/>
      <c r="AEL47" s="336"/>
      <c r="AEM47" s="336"/>
      <c r="AEN47" s="336"/>
      <c r="AEO47" s="336"/>
      <c r="AEP47" s="336"/>
      <c r="AEQ47" s="336"/>
      <c r="AER47" s="336"/>
      <c r="AES47" s="336"/>
      <c r="AET47" s="336"/>
      <c r="AEU47" s="336"/>
      <c r="AEV47" s="336"/>
      <c r="AEW47" s="336"/>
      <c r="AEX47" s="336"/>
      <c r="AEY47" s="336"/>
      <c r="AEZ47" s="336"/>
      <c r="AFA47" s="336"/>
      <c r="AFB47" s="336"/>
      <c r="AFC47" s="336"/>
      <c r="AFD47" s="336"/>
      <c r="AFE47" s="336"/>
      <c r="AFF47" s="336"/>
      <c r="AFG47" s="336"/>
      <c r="AFH47" s="336"/>
      <c r="AFI47" s="336"/>
      <c r="AFJ47" s="336"/>
      <c r="AFK47" s="336"/>
      <c r="AFL47" s="336"/>
      <c r="AFM47" s="336"/>
      <c r="AFN47" s="336"/>
      <c r="AFO47" s="336"/>
      <c r="AFP47" s="336"/>
      <c r="AFQ47" s="336"/>
      <c r="AFR47" s="336"/>
      <c r="AFS47" s="336"/>
      <c r="AFT47" s="336"/>
      <c r="AFU47" s="336"/>
      <c r="AFV47" s="336"/>
      <c r="AFW47" s="336"/>
      <c r="AFX47" s="336"/>
      <c r="AFY47" s="336"/>
      <c r="AFZ47" s="336"/>
      <c r="AGA47" s="336"/>
      <c r="AGB47" s="336"/>
      <c r="AGC47" s="336"/>
      <c r="AGD47" s="336"/>
      <c r="AGE47" s="336"/>
      <c r="AGF47" s="336"/>
      <c r="AGG47" s="336"/>
      <c r="AGH47" s="336"/>
      <c r="AGI47" s="336"/>
      <c r="AGJ47" s="336"/>
      <c r="AGK47" s="336"/>
      <c r="AGL47" s="336"/>
      <c r="AGM47" s="336"/>
      <c r="AGN47" s="336"/>
      <c r="AGO47" s="336"/>
      <c r="AGP47" s="336"/>
      <c r="AGQ47" s="336"/>
      <c r="AGR47" s="336"/>
      <c r="AGS47" s="336"/>
      <c r="AGT47" s="336"/>
      <c r="AGU47" s="336"/>
      <c r="AGV47" s="336"/>
      <c r="AGW47" s="336"/>
      <c r="AGX47" s="336"/>
      <c r="AGY47" s="336"/>
      <c r="AGZ47" s="336"/>
      <c r="AHA47" s="336"/>
      <c r="AHB47" s="336"/>
      <c r="AHC47" s="336"/>
      <c r="AHD47" s="336"/>
      <c r="AHE47" s="336"/>
      <c r="AHF47" s="336"/>
      <c r="AHG47" s="336"/>
      <c r="AHH47" s="336"/>
      <c r="AHI47" s="336"/>
      <c r="AHJ47" s="336"/>
      <c r="AHK47" s="336"/>
      <c r="AHL47" s="336"/>
      <c r="AHM47" s="336"/>
      <c r="AHN47" s="336"/>
      <c r="AHO47" s="336"/>
      <c r="AHP47" s="336"/>
      <c r="AHQ47" s="336"/>
      <c r="AHR47" s="336"/>
      <c r="AHS47" s="336"/>
      <c r="AHT47" s="336"/>
      <c r="AHU47" s="336"/>
      <c r="AHV47" s="336"/>
      <c r="AHW47" s="336"/>
      <c r="AHX47" s="336"/>
      <c r="AHY47" s="336"/>
      <c r="AHZ47" s="336"/>
      <c r="AIA47" s="336"/>
      <c r="AIB47" s="336"/>
    </row>
    <row r="48" spans="1:913" s="179" customFormat="1" ht="16.5" customHeight="1">
      <c r="B48" s="235" t="s">
        <v>92</v>
      </c>
      <c r="C48" s="482">
        <f>SUM(C47:D47)</f>
        <v>0</v>
      </c>
      <c r="D48" s="483"/>
      <c r="E48" s="482">
        <f t="shared" ref="E48" si="2755">SUM(E47:F47)</f>
        <v>0</v>
      </c>
      <c r="F48" s="483"/>
      <c r="G48" s="482">
        <f t="shared" ref="G48" si="2756">SUM(G47:H47)</f>
        <v>0</v>
      </c>
      <c r="H48" s="483"/>
      <c r="I48" s="482">
        <f t="shared" ref="I48" si="2757">SUM(I47:J47)</f>
        <v>0</v>
      </c>
      <c r="J48" s="483"/>
      <c r="K48" s="482">
        <f t="shared" ref="K48" si="2758">SUM(K47:L47)</f>
        <v>0</v>
      </c>
      <c r="L48" s="483"/>
      <c r="M48" s="482">
        <f t="shared" ref="M48" si="2759">SUM(M47:N47)</f>
        <v>0</v>
      </c>
      <c r="N48" s="483"/>
      <c r="O48" s="482">
        <f t="shared" ref="O48" si="2760">SUM(O47:P47)</f>
        <v>0</v>
      </c>
      <c r="P48" s="483"/>
      <c r="Q48" s="482">
        <f t="shared" ref="Q48" si="2761">SUM(Q47:R47)</f>
        <v>0</v>
      </c>
      <c r="R48" s="483"/>
      <c r="S48" s="482">
        <f t="shared" ref="S48" si="2762">SUM(S47:T47)</f>
        <v>0</v>
      </c>
      <c r="T48" s="483"/>
      <c r="U48" s="482">
        <f t="shared" ref="U48" si="2763">SUM(U47:V47)</f>
        <v>0</v>
      </c>
      <c r="V48" s="483"/>
      <c r="W48" s="482">
        <f t="shared" ref="W48" si="2764">SUM(W47:X47)</f>
        <v>0</v>
      </c>
      <c r="X48" s="483"/>
      <c r="Y48" s="482">
        <f t="shared" ref="Y48" si="2765">SUM(Y47:Z47)</f>
        <v>0</v>
      </c>
      <c r="Z48" s="483"/>
      <c r="AA48" s="482">
        <f t="shared" ref="AA48" si="2766">SUM(AA47:AB47)</f>
        <v>0</v>
      </c>
      <c r="AB48" s="483"/>
      <c r="AC48" s="482">
        <f t="shared" ref="AC48" si="2767">SUM(AC47:AD47)</f>
        <v>0</v>
      </c>
      <c r="AD48" s="483"/>
      <c r="AE48" s="482">
        <f t="shared" ref="AE48" si="2768">SUM(AE47:AF47)</f>
        <v>0</v>
      </c>
      <c r="AF48" s="483"/>
      <c r="AG48" s="482">
        <f t="shared" ref="AG48" si="2769">SUM(AG47:AH47)</f>
        <v>0</v>
      </c>
      <c r="AH48" s="483"/>
      <c r="AI48" s="482">
        <f t="shared" ref="AI48" si="2770">SUM(AI47:AJ47)</f>
        <v>0</v>
      </c>
      <c r="AJ48" s="483"/>
      <c r="AK48" s="482">
        <f t="shared" ref="AK48" si="2771">SUM(AK47:AL47)</f>
        <v>0</v>
      </c>
      <c r="AL48" s="483"/>
      <c r="AM48" s="482">
        <f t="shared" ref="AM48" si="2772">SUM(AM47:AN47)</f>
        <v>0</v>
      </c>
      <c r="AN48" s="483"/>
      <c r="AO48" s="482">
        <f t="shared" ref="AO48" si="2773">SUM(AO47:AP47)</f>
        <v>0</v>
      </c>
      <c r="AP48" s="483"/>
      <c r="AQ48" s="482">
        <f t="shared" ref="AQ48" si="2774">SUM(AQ47:AR47)</f>
        <v>0</v>
      </c>
      <c r="AR48" s="483"/>
      <c r="AS48" s="482">
        <f t="shared" ref="AS48" si="2775">SUM(AS47:AT47)</f>
        <v>0</v>
      </c>
      <c r="AT48" s="483"/>
      <c r="AU48" s="482">
        <f t="shared" ref="AU48" si="2776">SUM(AU47:AV47)</f>
        <v>0</v>
      </c>
      <c r="AV48" s="483"/>
      <c r="AW48" s="482">
        <f t="shared" ref="AW48" si="2777">SUM(AW47:AX47)</f>
        <v>0</v>
      </c>
      <c r="AX48" s="483"/>
      <c r="AY48" s="482">
        <f t="shared" ref="AY48" si="2778">SUM(AY47:AZ47)</f>
        <v>0</v>
      </c>
      <c r="AZ48" s="483"/>
      <c r="BA48" s="482">
        <f t="shared" ref="BA48" si="2779">SUM(BA47:BB47)</f>
        <v>0</v>
      </c>
      <c r="BB48" s="483"/>
      <c r="BC48" s="482">
        <f t="shared" ref="BC48" si="2780">SUM(BC47:BD47)</f>
        <v>0</v>
      </c>
      <c r="BD48" s="483"/>
      <c r="BE48" s="482">
        <f t="shared" ref="BE48" si="2781">SUM(BE47:BF47)</f>
        <v>0</v>
      </c>
      <c r="BF48" s="483"/>
      <c r="BG48" s="482">
        <f t="shared" ref="BG48" si="2782">SUM(BG47:BH47)</f>
        <v>0</v>
      </c>
      <c r="BH48" s="483"/>
      <c r="BI48" s="482">
        <f t="shared" ref="BI48" si="2783">SUM(BI47:BJ47)</f>
        <v>0</v>
      </c>
      <c r="BJ48" s="483"/>
      <c r="BK48" s="482">
        <f t="shared" ref="BK48" si="2784">SUM(BK47:BL47)</f>
        <v>0</v>
      </c>
      <c r="BL48" s="483"/>
      <c r="BM48" s="482">
        <f t="shared" ref="BM48" si="2785">SUM(BM47:BN47)</f>
        <v>0</v>
      </c>
      <c r="BN48" s="483"/>
      <c r="BO48" s="482">
        <f t="shared" ref="BO48" si="2786">SUM(BO47:BP47)</f>
        <v>0</v>
      </c>
      <c r="BP48" s="483"/>
      <c r="BQ48" s="482">
        <f t="shared" ref="BQ48" si="2787">SUM(BQ47:BR47)</f>
        <v>0</v>
      </c>
      <c r="BR48" s="483"/>
      <c r="BS48" s="482">
        <f t="shared" ref="BS48" si="2788">SUM(BS47:BT47)</f>
        <v>0</v>
      </c>
      <c r="BT48" s="483"/>
      <c r="BU48" s="482">
        <f t="shared" ref="BU48" si="2789">SUM(BU47:BV47)</f>
        <v>0</v>
      </c>
      <c r="BV48" s="483"/>
      <c r="BW48" s="482">
        <f t="shared" ref="BW48" si="2790">SUM(BW47:BX47)</f>
        <v>0</v>
      </c>
      <c r="BX48" s="483"/>
      <c r="BY48" s="482">
        <f t="shared" ref="BY48" si="2791">SUM(BY47:BZ47)</f>
        <v>0</v>
      </c>
      <c r="BZ48" s="483"/>
      <c r="CA48" s="482">
        <f t="shared" ref="CA48" si="2792">SUM(CA47:CB47)</f>
        <v>0</v>
      </c>
      <c r="CB48" s="483"/>
      <c r="CC48" s="482">
        <f t="shared" ref="CC48" si="2793">SUM(CC47:CD47)</f>
        <v>0</v>
      </c>
      <c r="CD48" s="483"/>
      <c r="CE48" s="482">
        <f t="shared" ref="CE48" si="2794">SUM(CE47:CF47)</f>
        <v>0</v>
      </c>
      <c r="CF48" s="483"/>
      <c r="CG48" s="482">
        <f t="shared" ref="CG48" si="2795">SUM(CG47:CH47)</f>
        <v>0</v>
      </c>
      <c r="CH48" s="483"/>
      <c r="CI48" s="482">
        <f t="shared" ref="CI48" si="2796">SUM(CI47:CJ47)</f>
        <v>0</v>
      </c>
      <c r="CJ48" s="483"/>
      <c r="CK48" s="482">
        <f t="shared" ref="CK48" si="2797">SUM(CK47:CL47)</f>
        <v>0</v>
      </c>
      <c r="CL48" s="483"/>
      <c r="CM48" s="482">
        <f t="shared" ref="CM48" si="2798">SUM(CM47:CN47)</f>
        <v>0</v>
      </c>
      <c r="CN48" s="483"/>
      <c r="CO48" s="482">
        <f t="shared" ref="CO48" si="2799">SUM(CO47:CP47)</f>
        <v>0</v>
      </c>
      <c r="CP48" s="483"/>
      <c r="CQ48" s="482">
        <f t="shared" ref="CQ48" si="2800">SUM(CQ47:CR47)</f>
        <v>0</v>
      </c>
      <c r="CR48" s="483"/>
      <c r="CS48" s="482">
        <f t="shared" ref="CS48" si="2801">SUM(CS47:CT47)</f>
        <v>0</v>
      </c>
      <c r="CT48" s="483"/>
      <c r="CU48" s="482">
        <f t="shared" ref="CU48" si="2802">SUM(CU47:CV47)</f>
        <v>0</v>
      </c>
      <c r="CV48" s="483"/>
      <c r="CW48" s="482">
        <f t="shared" ref="CW48" si="2803">SUM(CW47:CX47)</f>
        <v>0</v>
      </c>
      <c r="CX48" s="483"/>
      <c r="CY48" s="482">
        <f t="shared" ref="CY48" si="2804">SUM(CY47:CZ47)</f>
        <v>0</v>
      </c>
      <c r="CZ48" s="483"/>
      <c r="DA48" s="482">
        <f t="shared" ref="DA48" si="2805">SUM(DA47:DB47)</f>
        <v>0</v>
      </c>
      <c r="DB48" s="483"/>
      <c r="DC48" s="482">
        <f t="shared" ref="DC48" si="2806">SUM(DC47:DD47)</f>
        <v>0</v>
      </c>
      <c r="DD48" s="483"/>
      <c r="DE48" s="482">
        <f t="shared" ref="DE48" si="2807">SUM(DE47:DF47)</f>
        <v>0</v>
      </c>
      <c r="DF48" s="483"/>
      <c r="DG48" s="482">
        <f t="shared" ref="DG48" si="2808">SUM(DG47:DH47)</f>
        <v>0</v>
      </c>
      <c r="DH48" s="483"/>
      <c r="DI48" s="482">
        <f t="shared" ref="DI48" si="2809">SUM(DI47:DJ47)</f>
        <v>0</v>
      </c>
      <c r="DJ48" s="483"/>
      <c r="DK48" s="482">
        <f t="shared" ref="DK48" si="2810">SUM(DK47:DL47)</f>
        <v>0</v>
      </c>
      <c r="DL48" s="483"/>
      <c r="DM48" s="482">
        <f t="shared" ref="DM48" si="2811">SUM(DM47:DN47)</f>
        <v>0</v>
      </c>
      <c r="DN48" s="483"/>
      <c r="DO48" s="482">
        <f t="shared" ref="DO48" si="2812">SUM(DO47:DP47)</f>
        <v>0</v>
      </c>
      <c r="DP48" s="483"/>
      <c r="DQ48" s="482">
        <f t="shared" ref="DQ48" si="2813">SUM(DQ47:DR47)</f>
        <v>0</v>
      </c>
      <c r="DR48" s="483"/>
      <c r="DS48" s="482">
        <f t="shared" ref="DS48" si="2814">SUM(DS47:DT47)</f>
        <v>0</v>
      </c>
      <c r="DT48" s="483"/>
      <c r="DU48" s="482">
        <f t="shared" ref="DU48" si="2815">SUM(DU47:DV47)</f>
        <v>0</v>
      </c>
      <c r="DV48" s="483"/>
      <c r="DW48" s="482">
        <f t="shared" ref="DW48" si="2816">SUM(DW47:DX47)</f>
        <v>-842133</v>
      </c>
      <c r="DX48" s="483"/>
      <c r="DY48" s="482">
        <f t="shared" ref="DY48" si="2817">SUM(DY47:DZ47)</f>
        <v>0</v>
      </c>
      <c r="DZ48" s="483"/>
      <c r="EA48" s="482">
        <f t="shared" ref="EA48" si="2818">SUM(EA47:EB47)</f>
        <v>0</v>
      </c>
      <c r="EB48" s="483"/>
      <c r="EC48" s="482">
        <f t="shared" ref="EC48" si="2819">SUM(EC47:ED47)</f>
        <v>0</v>
      </c>
      <c r="ED48" s="483"/>
      <c r="EE48" s="482">
        <f t="shared" ref="EE48" si="2820">SUM(EE47:EF47)</f>
        <v>0</v>
      </c>
      <c r="EF48" s="483"/>
      <c r="EG48" s="482">
        <f t="shared" ref="EG48" si="2821">SUM(EG47:EH47)</f>
        <v>0</v>
      </c>
      <c r="EH48" s="483"/>
      <c r="EI48" s="482">
        <f t="shared" ref="EI48" si="2822">SUM(EI47:EJ47)</f>
        <v>0</v>
      </c>
      <c r="EJ48" s="483"/>
      <c r="EK48" s="482">
        <f t="shared" ref="EK48" si="2823">SUM(EK47:EL47)</f>
        <v>-846192.5</v>
      </c>
      <c r="EL48" s="483"/>
      <c r="EM48" s="482">
        <f t="shared" ref="EM48" si="2824">SUM(EM47:EN47)</f>
        <v>0</v>
      </c>
      <c r="EN48" s="483"/>
      <c r="EO48" s="482">
        <f t="shared" ref="EO48" si="2825">SUM(EO47:EP47)</f>
        <v>0</v>
      </c>
      <c r="EP48" s="483"/>
      <c r="EQ48" s="482">
        <f t="shared" ref="EQ48" si="2826">SUM(EQ47:ER47)</f>
        <v>0</v>
      </c>
      <c r="ER48" s="483"/>
      <c r="ES48" s="482">
        <f t="shared" ref="ES48" si="2827">SUM(ES47:ET47)</f>
        <v>0</v>
      </c>
      <c r="ET48" s="483"/>
      <c r="EU48" s="482">
        <f t="shared" ref="EU48" si="2828">SUM(EU47:EV47)</f>
        <v>0</v>
      </c>
      <c r="EV48" s="483"/>
      <c r="EW48" s="482">
        <f t="shared" ref="EW48" si="2829">SUM(EW47:EX47)</f>
        <v>0</v>
      </c>
      <c r="EX48" s="483"/>
      <c r="EY48" s="482">
        <f t="shared" ref="EY48" si="2830">SUM(EY47:EZ47)</f>
        <v>-850736</v>
      </c>
      <c r="EZ48" s="483"/>
      <c r="FA48" s="482">
        <f t="shared" ref="FA48" si="2831">SUM(FA47:FB47)</f>
        <v>0</v>
      </c>
      <c r="FB48" s="483"/>
      <c r="FC48" s="482">
        <f t="shared" ref="FC48" si="2832">SUM(FC47:FD47)</f>
        <v>0</v>
      </c>
      <c r="FD48" s="483"/>
      <c r="FE48" s="482">
        <f t="shared" ref="FE48" si="2833">SUM(FE47:FF47)</f>
        <v>0</v>
      </c>
      <c r="FF48" s="483"/>
      <c r="FG48" s="482">
        <f t="shared" ref="FG48" si="2834">SUM(FG47:FH47)</f>
        <v>0</v>
      </c>
      <c r="FH48" s="483"/>
      <c r="FI48" s="482">
        <f t="shared" ref="FI48" si="2835">SUM(FI47:FJ47)</f>
        <v>0</v>
      </c>
      <c r="FJ48" s="483"/>
      <c r="FK48" s="482">
        <f t="shared" ref="FK48" si="2836">SUM(FK47:FL47)</f>
        <v>0</v>
      </c>
      <c r="FL48" s="483"/>
      <c r="FM48" s="482">
        <f t="shared" ref="FM48" si="2837">SUM(FM47:FN47)</f>
        <v>-856614.5</v>
      </c>
      <c r="FN48" s="483"/>
      <c r="FO48" s="482">
        <f t="shared" ref="FO48" si="2838">SUM(FO47:FP47)</f>
        <v>0</v>
      </c>
      <c r="FP48" s="483"/>
      <c r="FQ48" s="482">
        <f t="shared" ref="FQ48" si="2839">SUM(FQ47:FR47)</f>
        <v>0</v>
      </c>
      <c r="FR48" s="483"/>
      <c r="FS48" s="482">
        <f t="shared" ref="FS48" si="2840">SUM(FS47:FT47)</f>
        <v>0</v>
      </c>
      <c r="FT48" s="483"/>
      <c r="FU48" s="482">
        <f t="shared" ref="FU48" si="2841">SUM(FU47:FV47)</f>
        <v>0</v>
      </c>
      <c r="FV48" s="483"/>
      <c r="FW48" s="482">
        <f t="shared" ref="FW48" si="2842">SUM(FW47:FX47)</f>
        <v>0</v>
      </c>
      <c r="FX48" s="483"/>
      <c r="FY48" s="482">
        <f t="shared" ref="FY48" si="2843">SUM(FY47:FZ47)</f>
        <v>0</v>
      </c>
      <c r="FZ48" s="483"/>
      <c r="GA48" s="482">
        <f t="shared" ref="GA48" si="2844">SUM(GA47:GB47)</f>
        <v>0</v>
      </c>
      <c r="GB48" s="483"/>
      <c r="GC48" s="482">
        <f t="shared" ref="GC48" si="2845">SUM(GC47:GD47)</f>
        <v>0</v>
      </c>
      <c r="GD48" s="483"/>
      <c r="GE48" s="482">
        <f t="shared" ref="GE48" si="2846">SUM(GE47:GF47)</f>
        <v>0</v>
      </c>
      <c r="GF48" s="483"/>
      <c r="GG48" s="482">
        <f t="shared" ref="GG48" si="2847">SUM(GG47:GH47)</f>
        <v>0</v>
      </c>
      <c r="GH48" s="483"/>
      <c r="GI48" s="482">
        <f t="shared" ref="GI48" si="2848">SUM(GI47:GJ47)</f>
        <v>0</v>
      </c>
      <c r="GJ48" s="483"/>
      <c r="GK48" s="482">
        <f t="shared" ref="GK48" si="2849">SUM(GK47:GL47)</f>
        <v>0</v>
      </c>
      <c r="GL48" s="483"/>
      <c r="GM48" s="482">
        <f t="shared" ref="GM48" si="2850">SUM(GM47:GN47)</f>
        <v>0</v>
      </c>
      <c r="GN48" s="483"/>
      <c r="GO48" s="482">
        <f t="shared" ref="GO48" si="2851">SUM(GO47:GP47)</f>
        <v>0</v>
      </c>
      <c r="GP48" s="483"/>
      <c r="GQ48" s="482">
        <f t="shared" ref="GQ48" si="2852">SUM(GQ47:GR47)</f>
        <v>0</v>
      </c>
      <c r="GR48" s="483"/>
      <c r="GS48" s="482">
        <f t="shared" ref="GS48" si="2853">SUM(GS47:GT47)</f>
        <v>0</v>
      </c>
      <c r="GT48" s="483"/>
      <c r="GU48" s="482">
        <f t="shared" ref="GU48" si="2854">SUM(GU47:GV47)</f>
        <v>0</v>
      </c>
      <c r="GV48" s="483"/>
      <c r="GW48" s="482">
        <f t="shared" ref="GW48" si="2855">SUM(GW47:GX47)</f>
        <v>0</v>
      </c>
      <c r="GX48" s="483"/>
      <c r="GY48" s="482">
        <f t="shared" ref="GY48" si="2856">SUM(GY47:GZ47)</f>
        <v>0</v>
      </c>
      <c r="GZ48" s="483"/>
      <c r="HA48" s="482">
        <f t="shared" ref="HA48" si="2857">SUM(HA47:HB47)</f>
        <v>0</v>
      </c>
      <c r="HB48" s="483"/>
      <c r="HC48" s="482">
        <f t="shared" ref="HC48" si="2858">SUM(HC47:HD47)</f>
        <v>0</v>
      </c>
      <c r="HD48" s="483"/>
      <c r="HE48" s="482">
        <f t="shared" ref="HE48" si="2859">SUM(HE47:HF47)</f>
        <v>0</v>
      </c>
      <c r="HF48" s="483"/>
      <c r="HG48" s="482">
        <f t="shared" ref="HG48" si="2860">SUM(HG47:HH47)</f>
        <v>0</v>
      </c>
      <c r="HH48" s="483"/>
      <c r="HI48" s="482">
        <f t="shared" ref="HI48" si="2861">SUM(HI47:HJ47)</f>
        <v>0</v>
      </c>
      <c r="HJ48" s="483"/>
      <c r="HK48" s="482">
        <f t="shared" ref="HK48" si="2862">SUM(HK47:HL47)</f>
        <v>0</v>
      </c>
      <c r="HL48" s="483"/>
      <c r="HM48" s="482">
        <f t="shared" ref="HM48" si="2863">SUM(HM47:HN47)</f>
        <v>0</v>
      </c>
      <c r="HN48" s="483"/>
      <c r="HO48" s="482">
        <f t="shared" ref="HO48" si="2864">SUM(HO47:HP47)</f>
        <v>0</v>
      </c>
      <c r="HP48" s="483"/>
      <c r="HQ48" s="482">
        <f t="shared" ref="HQ48" si="2865">SUM(HQ47:HR47)</f>
        <v>0</v>
      </c>
      <c r="HR48" s="483"/>
      <c r="HS48" s="482">
        <f t="shared" ref="HS48" si="2866">SUM(HS47:HT47)</f>
        <v>0</v>
      </c>
      <c r="HT48" s="483"/>
      <c r="HU48" s="482">
        <f t="shared" ref="HU48" si="2867">SUM(HU47:HV47)</f>
        <v>0</v>
      </c>
      <c r="HV48" s="483"/>
      <c r="HW48" s="482">
        <f t="shared" ref="HW48" si="2868">SUM(HW47:HX47)</f>
        <v>0</v>
      </c>
      <c r="HX48" s="483"/>
      <c r="HY48" s="482">
        <f t="shared" ref="HY48" si="2869">SUM(HY47:HZ47)</f>
        <v>0</v>
      </c>
      <c r="HZ48" s="483"/>
      <c r="IA48" s="482">
        <f t="shared" ref="IA48" si="2870">SUM(IA47:IB47)</f>
        <v>0</v>
      </c>
      <c r="IB48" s="483"/>
      <c r="IC48" s="482">
        <f t="shared" ref="IC48" si="2871">SUM(IC47:ID47)</f>
        <v>0</v>
      </c>
      <c r="ID48" s="483"/>
      <c r="IE48" s="482">
        <f t="shared" ref="IE48" si="2872">SUM(IE47:IF47)</f>
        <v>0</v>
      </c>
      <c r="IF48" s="483"/>
      <c r="IG48" s="482">
        <f t="shared" ref="IG48" si="2873">SUM(IG47:IH47)</f>
        <v>0</v>
      </c>
      <c r="IH48" s="483"/>
      <c r="II48" s="482">
        <f t="shared" ref="II48" si="2874">SUM(II47:IJ47)</f>
        <v>0</v>
      </c>
      <c r="IJ48" s="483"/>
      <c r="IK48" s="482">
        <f t="shared" ref="IK48" si="2875">SUM(IK47:IL47)</f>
        <v>0</v>
      </c>
      <c r="IL48" s="483"/>
      <c r="IM48" s="482">
        <f t="shared" ref="IM48" si="2876">SUM(IM47:IN47)</f>
        <v>0</v>
      </c>
      <c r="IN48" s="483"/>
      <c r="IO48" s="482">
        <f t="shared" ref="IO48" si="2877">SUM(IO47:IP47)</f>
        <v>0</v>
      </c>
      <c r="IP48" s="483"/>
      <c r="IQ48" s="482">
        <f t="shared" ref="IQ48" si="2878">SUM(IQ47:IR47)</f>
        <v>0</v>
      </c>
      <c r="IR48" s="483"/>
      <c r="IS48" s="482">
        <f t="shared" ref="IS48" si="2879">SUM(IS47:IT47)</f>
        <v>0</v>
      </c>
      <c r="IT48" s="483"/>
      <c r="IU48" s="482">
        <f t="shared" ref="IU48" si="2880">SUM(IU47:IV47)</f>
        <v>0</v>
      </c>
      <c r="IV48" s="483"/>
      <c r="IW48" s="482">
        <f t="shared" ref="IW48" si="2881">SUM(IW47:IX47)</f>
        <v>0</v>
      </c>
      <c r="IX48" s="483"/>
      <c r="IY48" s="482">
        <f t="shared" ref="IY48" si="2882">SUM(IY47:IZ47)</f>
        <v>0</v>
      </c>
      <c r="IZ48" s="483"/>
      <c r="JA48" s="482">
        <f t="shared" ref="JA48" si="2883">SUM(JA47:JB47)</f>
        <v>0</v>
      </c>
      <c r="JB48" s="483"/>
      <c r="JC48" s="482">
        <f t="shared" ref="JC48" si="2884">SUM(JC47:JD47)</f>
        <v>0</v>
      </c>
      <c r="JD48" s="483"/>
      <c r="JE48" s="482">
        <f t="shared" ref="JE48" si="2885">SUM(JE47:JF47)</f>
        <v>0</v>
      </c>
      <c r="JF48" s="483"/>
      <c r="JG48" s="482">
        <f t="shared" ref="JG48" si="2886">SUM(JG47:JH47)</f>
        <v>0</v>
      </c>
      <c r="JH48" s="483"/>
      <c r="JI48" s="482">
        <f t="shared" ref="JI48" si="2887">SUM(JI47:JJ47)</f>
        <v>0</v>
      </c>
      <c r="JJ48" s="483"/>
      <c r="JK48" s="482">
        <f t="shared" ref="JK48" si="2888">SUM(JK47:JL47)</f>
        <v>0</v>
      </c>
      <c r="JL48" s="483"/>
      <c r="JM48" s="482">
        <f t="shared" ref="JM48" si="2889">SUM(JM47:JN47)</f>
        <v>0</v>
      </c>
      <c r="JN48" s="483"/>
      <c r="JO48" s="482">
        <f t="shared" ref="JO48" si="2890">SUM(JO47:JP47)</f>
        <v>0</v>
      </c>
      <c r="JP48" s="483"/>
      <c r="JQ48" s="482">
        <f t="shared" ref="JQ48" si="2891">SUM(JQ47:JR47)</f>
        <v>0</v>
      </c>
      <c r="JR48" s="483"/>
      <c r="JS48" s="482">
        <f t="shared" ref="JS48" si="2892">SUM(JS47:JT47)</f>
        <v>0</v>
      </c>
      <c r="JT48" s="483"/>
      <c r="JU48" s="482">
        <f t="shared" ref="JU48" si="2893">SUM(JU47:JV47)</f>
        <v>0</v>
      </c>
      <c r="JV48" s="483"/>
      <c r="JW48" s="482">
        <f t="shared" ref="JW48" si="2894">SUM(JW47:JX47)</f>
        <v>0</v>
      </c>
      <c r="JX48" s="483"/>
      <c r="JY48" s="482">
        <f t="shared" ref="JY48" si="2895">SUM(JY47:JZ47)</f>
        <v>0</v>
      </c>
      <c r="JZ48" s="483"/>
      <c r="KA48" s="482">
        <f t="shared" ref="KA48" si="2896">SUM(KA47:KB47)</f>
        <v>0</v>
      </c>
      <c r="KB48" s="483"/>
      <c r="KC48" s="482">
        <f t="shared" ref="KC48" si="2897">SUM(KC47:KD47)</f>
        <v>0</v>
      </c>
      <c r="KD48" s="483"/>
      <c r="KE48" s="482">
        <f t="shared" ref="KE48" si="2898">SUM(KE47:KF47)</f>
        <v>0</v>
      </c>
      <c r="KF48" s="483"/>
      <c r="KG48" s="482">
        <f t="shared" ref="KG48" si="2899">SUM(KG47:KH47)</f>
        <v>0</v>
      </c>
      <c r="KH48" s="483"/>
      <c r="KI48" s="482">
        <f t="shared" ref="KI48" si="2900">SUM(KI47:KJ47)</f>
        <v>0</v>
      </c>
      <c r="KJ48" s="483"/>
      <c r="KK48" s="482">
        <f t="shared" ref="KK48" si="2901">SUM(KK47:KL47)</f>
        <v>0</v>
      </c>
      <c r="KL48" s="483"/>
      <c r="KM48" s="482">
        <f t="shared" ref="KM48" si="2902">SUM(KM47:KN47)</f>
        <v>0</v>
      </c>
      <c r="KN48" s="483"/>
      <c r="KO48" s="482">
        <f t="shared" ref="KO48" si="2903">SUM(KO47:KP47)</f>
        <v>0</v>
      </c>
      <c r="KP48" s="483"/>
      <c r="KQ48" s="482">
        <f t="shared" ref="KQ48" si="2904">SUM(KQ47:KR47)</f>
        <v>0</v>
      </c>
      <c r="KR48" s="483"/>
      <c r="KS48" s="482">
        <f t="shared" ref="KS48" si="2905">SUM(KS47:KT47)</f>
        <v>0</v>
      </c>
      <c r="KT48" s="483"/>
      <c r="KU48" s="482">
        <f t="shared" ref="KU48" si="2906">SUM(KU47:KV47)</f>
        <v>0</v>
      </c>
      <c r="KV48" s="483"/>
      <c r="KW48" s="482">
        <f t="shared" ref="KW48" si="2907">SUM(KW47:KX47)</f>
        <v>0</v>
      </c>
      <c r="KX48" s="483"/>
      <c r="KY48" s="482">
        <f t="shared" ref="KY48" si="2908">SUM(KY47:KZ47)</f>
        <v>0</v>
      </c>
      <c r="KZ48" s="483"/>
      <c r="LA48" s="482">
        <f t="shared" ref="LA48" si="2909">SUM(LA47:LB47)</f>
        <v>0</v>
      </c>
      <c r="LB48" s="483"/>
      <c r="LC48" s="482">
        <f t="shared" ref="LC48" si="2910">SUM(LC47:LD47)</f>
        <v>0</v>
      </c>
      <c r="LD48" s="483"/>
      <c r="LE48" s="482">
        <f t="shared" ref="LE48" si="2911">SUM(LE47:LF47)</f>
        <v>0</v>
      </c>
      <c r="LF48" s="483"/>
      <c r="LG48" s="482">
        <f t="shared" ref="LG48" si="2912">SUM(LG47:LH47)</f>
        <v>0</v>
      </c>
      <c r="LH48" s="483"/>
      <c r="LI48" s="482">
        <f t="shared" ref="LI48" si="2913">SUM(LI47:LJ47)</f>
        <v>0</v>
      </c>
      <c r="LJ48" s="483"/>
      <c r="LK48" s="482">
        <f t="shared" ref="LK48" si="2914">SUM(LK47:LL47)</f>
        <v>0</v>
      </c>
      <c r="LL48" s="483"/>
      <c r="LM48" s="482">
        <f t="shared" ref="LM48" si="2915">SUM(LM47:LN47)</f>
        <v>0</v>
      </c>
      <c r="LN48" s="483"/>
      <c r="LO48" s="482">
        <f t="shared" ref="LO48" si="2916">SUM(LO47:LP47)</f>
        <v>0</v>
      </c>
      <c r="LP48" s="483"/>
      <c r="LQ48" s="482">
        <f t="shared" ref="LQ48" si="2917">SUM(LQ47:LR47)</f>
        <v>0</v>
      </c>
      <c r="LR48" s="483"/>
      <c r="LS48" s="482">
        <f t="shared" ref="LS48" si="2918">SUM(LS47:LT47)</f>
        <v>0</v>
      </c>
      <c r="LT48" s="483"/>
      <c r="LU48" s="482">
        <f t="shared" ref="LU48" si="2919">SUM(LU47:LV47)</f>
        <v>0</v>
      </c>
      <c r="LV48" s="483"/>
      <c r="LW48" s="482">
        <f t="shared" ref="LW48" si="2920">SUM(LW47:LX47)</f>
        <v>0</v>
      </c>
      <c r="LX48" s="483"/>
      <c r="LY48" s="482">
        <f t="shared" ref="LY48" si="2921">SUM(LY47:LZ47)</f>
        <v>0</v>
      </c>
      <c r="LZ48" s="483"/>
      <c r="MA48" s="482">
        <f t="shared" ref="MA48" si="2922">SUM(MA47:MB47)</f>
        <v>0</v>
      </c>
      <c r="MB48" s="483"/>
      <c r="MC48" s="482">
        <f t="shared" ref="MC48" si="2923">SUM(MC47:MD47)</f>
        <v>0</v>
      </c>
      <c r="MD48" s="483"/>
      <c r="ME48" s="482">
        <f t="shared" ref="ME48" si="2924">SUM(ME47:MF47)</f>
        <v>0</v>
      </c>
      <c r="MF48" s="483"/>
      <c r="MG48" s="482">
        <f t="shared" ref="MG48" si="2925">SUM(MG47:MH47)</f>
        <v>0</v>
      </c>
      <c r="MH48" s="483"/>
      <c r="MI48" s="482">
        <f t="shared" ref="MI48" si="2926">SUM(MI47:MJ47)</f>
        <v>0</v>
      </c>
      <c r="MJ48" s="483"/>
      <c r="MK48" s="482">
        <f t="shared" ref="MK48" si="2927">SUM(MK47:ML47)</f>
        <v>0</v>
      </c>
      <c r="ML48" s="483"/>
      <c r="MM48" s="482">
        <f t="shared" ref="MM48" si="2928">SUM(MM47:MN47)</f>
        <v>0</v>
      </c>
      <c r="MN48" s="483"/>
      <c r="MO48" s="482">
        <f t="shared" ref="MO48" si="2929">SUM(MO47:MP47)</f>
        <v>0</v>
      </c>
      <c r="MP48" s="483"/>
      <c r="MQ48" s="482">
        <f t="shared" ref="MQ48" si="2930">SUM(MQ47:MR47)</f>
        <v>0</v>
      </c>
      <c r="MR48" s="483"/>
      <c r="MS48" s="482">
        <f t="shared" ref="MS48" si="2931">SUM(MS47:MT47)</f>
        <v>0</v>
      </c>
      <c r="MT48" s="483"/>
      <c r="MU48" s="482">
        <f t="shared" ref="MU48" si="2932">SUM(MU47:MV47)</f>
        <v>0</v>
      </c>
      <c r="MV48" s="483"/>
      <c r="MW48" s="482">
        <f t="shared" ref="MW48" si="2933">SUM(MW47:MX47)</f>
        <v>0</v>
      </c>
      <c r="MX48" s="483"/>
      <c r="MY48" s="482">
        <f t="shared" ref="MY48" si="2934">SUM(MY47:MZ47)</f>
        <v>0</v>
      </c>
      <c r="MZ48" s="483"/>
      <c r="NA48" s="482">
        <f t="shared" ref="NA48" si="2935">SUM(NA47:NB47)</f>
        <v>0</v>
      </c>
      <c r="NB48" s="483"/>
      <c r="NC48" s="482">
        <f t="shared" ref="NC48" si="2936">SUM(NC47:ND47)</f>
        <v>0</v>
      </c>
      <c r="ND48" s="483"/>
      <c r="NE48" s="482">
        <f t="shared" ref="NE48" si="2937">SUM(NE47:NF47)</f>
        <v>0</v>
      </c>
      <c r="NF48" s="483"/>
      <c r="NG48" s="482">
        <f t="shared" ref="NG48" si="2938">SUM(NG47:NH47)</f>
        <v>0</v>
      </c>
      <c r="NH48" s="483"/>
      <c r="NI48" s="482">
        <f t="shared" ref="NI48" si="2939">SUM(NI47:NJ47)</f>
        <v>0</v>
      </c>
      <c r="NJ48" s="483"/>
      <c r="NK48" s="482">
        <f t="shared" ref="NK48" si="2940">SUM(NK47:NL47)</f>
        <v>0</v>
      </c>
      <c r="NL48" s="483"/>
      <c r="NM48" s="482">
        <f t="shared" ref="NM48" si="2941">SUM(NM47:NN47)</f>
        <v>0</v>
      </c>
      <c r="NN48" s="483"/>
      <c r="NO48" s="482">
        <f t="shared" ref="NO48" si="2942">SUM(NO47:NP47)</f>
        <v>0</v>
      </c>
      <c r="NP48" s="483"/>
      <c r="NQ48" s="482">
        <f t="shared" ref="NQ48" si="2943">SUM(NQ47:NR47)</f>
        <v>0</v>
      </c>
      <c r="NR48" s="483"/>
      <c r="NS48" s="482">
        <f t="shared" ref="NS48" si="2944">SUM(NS47:NT47)</f>
        <v>0</v>
      </c>
      <c r="NT48" s="483"/>
      <c r="NU48" s="482">
        <f t="shared" ref="NU48" si="2945">SUM(NU47:NV47)</f>
        <v>0</v>
      </c>
      <c r="NV48" s="483"/>
      <c r="NW48" s="482">
        <f t="shared" ref="NW48" si="2946">SUM(NW47:NX47)</f>
        <v>0</v>
      </c>
      <c r="NX48" s="483"/>
      <c r="NY48" s="482">
        <f t="shared" ref="NY48" si="2947">SUM(NY47:NZ47)</f>
        <v>0</v>
      </c>
      <c r="NZ48" s="483"/>
      <c r="OA48" s="482">
        <f t="shared" ref="OA48" si="2948">SUM(OA47:OB47)</f>
        <v>0</v>
      </c>
      <c r="OB48" s="483"/>
      <c r="OC48" s="482">
        <f t="shared" ref="OC48" si="2949">SUM(OC47:OD47)</f>
        <v>0</v>
      </c>
      <c r="OD48" s="483"/>
      <c r="OE48" s="482">
        <f t="shared" ref="OE48" si="2950">SUM(OE47:OF47)</f>
        <v>0</v>
      </c>
      <c r="OF48" s="483"/>
      <c r="OG48" s="482">
        <f t="shared" ref="OG48" si="2951">SUM(OG47:OH47)</f>
        <v>0</v>
      </c>
      <c r="OH48" s="483"/>
      <c r="OI48" s="482">
        <f t="shared" ref="OI48" si="2952">SUM(OI47:OJ47)</f>
        <v>0</v>
      </c>
      <c r="OJ48" s="483"/>
      <c r="OK48" s="482">
        <f t="shared" ref="OK48" si="2953">SUM(OK47:OL47)</f>
        <v>0</v>
      </c>
      <c r="OL48" s="483"/>
      <c r="OM48" s="482">
        <f t="shared" ref="OM48" si="2954">SUM(OM47:ON47)</f>
        <v>0</v>
      </c>
      <c r="ON48" s="483"/>
      <c r="OO48" s="482">
        <f t="shared" ref="OO48" si="2955">SUM(OO47:OP47)</f>
        <v>0</v>
      </c>
      <c r="OP48" s="483"/>
      <c r="OQ48" s="482">
        <f t="shared" ref="OQ48" si="2956">SUM(OQ47:OR47)</f>
        <v>0</v>
      </c>
      <c r="OR48" s="483"/>
      <c r="OS48" s="482">
        <f t="shared" ref="OS48" si="2957">SUM(OS47:OT47)</f>
        <v>0</v>
      </c>
      <c r="OT48" s="483"/>
      <c r="OU48" s="482">
        <f t="shared" ref="OU48" si="2958">SUM(OU47:OV47)</f>
        <v>0</v>
      </c>
      <c r="OV48" s="483"/>
      <c r="OW48" s="482">
        <f t="shared" ref="OW48" si="2959">SUM(OW47:OX47)</f>
        <v>0</v>
      </c>
      <c r="OX48" s="483"/>
      <c r="OY48" s="482">
        <f t="shared" ref="OY48" si="2960">SUM(OY47:OZ47)</f>
        <v>0</v>
      </c>
      <c r="OZ48" s="483"/>
      <c r="PA48" s="482">
        <f t="shared" ref="PA48" si="2961">SUM(PA47:PB47)</f>
        <v>0</v>
      </c>
      <c r="PB48" s="483"/>
      <c r="PC48" s="482">
        <f t="shared" ref="PC48" si="2962">SUM(PC47:PD47)</f>
        <v>0</v>
      </c>
      <c r="PD48" s="483"/>
      <c r="PE48" s="482">
        <f t="shared" ref="PE48" si="2963">SUM(PE47:PF47)</f>
        <v>0</v>
      </c>
      <c r="PF48" s="483"/>
      <c r="PG48" s="482">
        <f t="shared" ref="PG48" si="2964">SUM(PG47:PH47)</f>
        <v>0</v>
      </c>
      <c r="PH48" s="483"/>
      <c r="PI48" s="482">
        <f t="shared" ref="PI48" si="2965">SUM(PI47:PJ47)</f>
        <v>0</v>
      </c>
      <c r="PJ48" s="483"/>
      <c r="PK48" s="482">
        <f t="shared" ref="PK48" si="2966">SUM(PK47:PL47)</f>
        <v>0</v>
      </c>
      <c r="PL48" s="483"/>
      <c r="PM48" s="482">
        <f t="shared" ref="PM48" si="2967">SUM(PM47:PN47)</f>
        <v>0</v>
      </c>
      <c r="PN48" s="483"/>
      <c r="PO48" s="482">
        <f t="shared" ref="PO48" si="2968">SUM(PO47:PP47)</f>
        <v>0</v>
      </c>
      <c r="PP48" s="483"/>
      <c r="PQ48" s="482">
        <f t="shared" ref="PQ48" si="2969">SUM(PQ47:PR47)</f>
        <v>0</v>
      </c>
      <c r="PR48" s="483"/>
      <c r="PS48" s="482">
        <f t="shared" ref="PS48" si="2970">SUM(PS47:PT47)</f>
        <v>0</v>
      </c>
      <c r="PT48" s="483"/>
      <c r="PU48" s="482">
        <f t="shared" ref="PU48" si="2971">SUM(PU47:PV47)</f>
        <v>0</v>
      </c>
      <c r="PV48" s="483"/>
      <c r="PW48" s="482">
        <f t="shared" ref="PW48" si="2972">SUM(PW47:PX47)</f>
        <v>0</v>
      </c>
      <c r="PX48" s="483"/>
      <c r="PY48" s="482">
        <f t="shared" ref="PY48" si="2973">SUM(PY47:PZ47)</f>
        <v>0</v>
      </c>
      <c r="PZ48" s="483"/>
      <c r="QA48" s="482">
        <f t="shared" ref="QA48" si="2974">SUM(QA47:QB47)</f>
        <v>0</v>
      </c>
      <c r="QB48" s="483"/>
      <c r="QC48" s="482">
        <f t="shared" ref="QC48" si="2975">SUM(QC47:QD47)</f>
        <v>0</v>
      </c>
      <c r="QD48" s="483"/>
      <c r="QE48" s="482">
        <f t="shared" ref="QE48" si="2976">SUM(QE47:QF47)</f>
        <v>0</v>
      </c>
      <c r="QF48" s="483"/>
      <c r="QG48" s="482">
        <f t="shared" ref="QG48" si="2977">SUM(QG47:QH47)</f>
        <v>0</v>
      </c>
      <c r="QH48" s="483"/>
      <c r="QI48" s="482">
        <f t="shared" ref="QI48" si="2978">SUM(QI47:QJ47)</f>
        <v>0</v>
      </c>
      <c r="QJ48" s="483"/>
      <c r="QK48" s="482">
        <f t="shared" ref="QK48" si="2979">SUM(QK47:QL47)</f>
        <v>0</v>
      </c>
      <c r="QL48" s="483"/>
      <c r="QM48" s="482">
        <f t="shared" ref="QM48" si="2980">SUM(QM47:QN47)</f>
        <v>0</v>
      </c>
      <c r="QN48" s="483"/>
      <c r="QO48" s="482">
        <f t="shared" ref="QO48" si="2981">SUM(QO47:QP47)</f>
        <v>0</v>
      </c>
      <c r="QP48" s="483"/>
      <c r="QQ48" s="482">
        <f t="shared" ref="QQ48" si="2982">SUM(QQ47:QR47)</f>
        <v>0</v>
      </c>
      <c r="QR48" s="483"/>
      <c r="QS48" s="482">
        <f t="shared" ref="QS48" si="2983">SUM(QS47:QT47)</f>
        <v>0</v>
      </c>
      <c r="QT48" s="483"/>
      <c r="QU48" s="482">
        <f t="shared" ref="QU48" si="2984">SUM(QU47:QV47)</f>
        <v>0</v>
      </c>
      <c r="QV48" s="483"/>
      <c r="QW48" s="482">
        <f t="shared" ref="QW48" si="2985">SUM(QW47:QX47)</f>
        <v>0</v>
      </c>
      <c r="QX48" s="483"/>
      <c r="QY48" s="482">
        <f t="shared" ref="QY48" si="2986">SUM(QY47:QZ47)</f>
        <v>0</v>
      </c>
      <c r="QZ48" s="483"/>
      <c r="RA48" s="482">
        <f t="shared" ref="RA48" si="2987">SUM(RA47:RB47)</f>
        <v>0</v>
      </c>
      <c r="RB48" s="483"/>
      <c r="RC48" s="482">
        <f t="shared" ref="RC48" si="2988">SUM(RC47:RD47)</f>
        <v>0</v>
      </c>
      <c r="RD48" s="483"/>
      <c r="RE48" s="482">
        <f t="shared" ref="RE48" si="2989">SUM(RE47:RF47)</f>
        <v>0</v>
      </c>
      <c r="RF48" s="483"/>
      <c r="RG48" s="482">
        <f t="shared" ref="RG48" si="2990">SUM(RG47:RH47)</f>
        <v>0</v>
      </c>
      <c r="RH48" s="483"/>
      <c r="RI48" s="482">
        <f t="shared" ref="RI48" si="2991">SUM(RI47:RJ47)</f>
        <v>0</v>
      </c>
      <c r="RJ48" s="483"/>
      <c r="RK48" s="482">
        <f t="shared" ref="RK48" si="2992">SUM(RK47:RL47)</f>
        <v>0</v>
      </c>
      <c r="RL48" s="483"/>
      <c r="RM48" s="482">
        <f t="shared" ref="RM48" si="2993">SUM(RM47:RN47)</f>
        <v>0</v>
      </c>
      <c r="RN48" s="483"/>
      <c r="RO48" s="482">
        <f t="shared" ref="RO48" si="2994">SUM(RO47:RP47)</f>
        <v>0</v>
      </c>
      <c r="RP48" s="483"/>
      <c r="RQ48" s="482">
        <f t="shared" ref="RQ48" si="2995">SUM(RQ47:RR47)</f>
        <v>0</v>
      </c>
      <c r="RR48" s="483"/>
      <c r="RS48" s="482">
        <f t="shared" ref="RS48" si="2996">SUM(RS47:RT47)</f>
        <v>0</v>
      </c>
      <c r="RT48" s="483"/>
      <c r="RU48" s="482">
        <f t="shared" ref="RU48" si="2997">SUM(RU47:RV47)</f>
        <v>0</v>
      </c>
      <c r="RV48" s="483"/>
      <c r="RW48" s="482">
        <f t="shared" ref="RW48" si="2998">SUM(RW47:RX47)</f>
        <v>0</v>
      </c>
      <c r="RX48" s="483"/>
      <c r="RY48" s="482">
        <f t="shared" ref="RY48" si="2999">SUM(RY47:RZ47)</f>
        <v>0</v>
      </c>
      <c r="RZ48" s="483"/>
      <c r="SA48" s="482">
        <f t="shared" ref="SA48" si="3000">SUM(SA47:SB47)</f>
        <v>0</v>
      </c>
      <c r="SB48" s="483"/>
      <c r="SC48" s="482">
        <f t="shared" ref="SC48" si="3001">SUM(SC47:SD47)</f>
        <v>0</v>
      </c>
      <c r="SD48" s="483"/>
      <c r="SE48" s="482">
        <f t="shared" ref="SE48" si="3002">SUM(SE47:SF47)</f>
        <v>0</v>
      </c>
      <c r="SF48" s="483"/>
      <c r="SG48" s="482">
        <f t="shared" ref="SG48" si="3003">SUM(SG47:SH47)</f>
        <v>0</v>
      </c>
      <c r="SH48" s="483"/>
      <c r="SI48" s="482">
        <f t="shared" ref="SI48" si="3004">SUM(SI47:SJ47)</f>
        <v>0</v>
      </c>
      <c r="SJ48" s="483"/>
      <c r="SK48" s="482">
        <f t="shared" ref="SK48" si="3005">SUM(SK47:SL47)</f>
        <v>0</v>
      </c>
      <c r="SL48" s="483"/>
      <c r="SM48" s="482">
        <f t="shared" ref="SM48" si="3006">SUM(SM47:SN47)</f>
        <v>0</v>
      </c>
      <c r="SN48" s="483"/>
      <c r="SO48" s="482">
        <f t="shared" ref="SO48" si="3007">SUM(SO47:SP47)</f>
        <v>0</v>
      </c>
      <c r="SP48" s="483"/>
      <c r="SQ48" s="482">
        <f t="shared" ref="SQ48" si="3008">SUM(SQ47:SR47)</f>
        <v>0</v>
      </c>
      <c r="SR48" s="483"/>
      <c r="SS48" s="482">
        <f t="shared" ref="SS48" si="3009">SUM(SS47:ST47)</f>
        <v>0</v>
      </c>
      <c r="ST48" s="483"/>
      <c r="SU48" s="482">
        <f t="shared" ref="SU48" si="3010">SUM(SU47:SV47)</f>
        <v>0</v>
      </c>
      <c r="SV48" s="483"/>
      <c r="SW48" s="482">
        <f t="shared" ref="SW48" si="3011">SUM(SW47:SX47)</f>
        <v>0</v>
      </c>
      <c r="SX48" s="483"/>
      <c r="SY48" s="482">
        <f t="shared" ref="SY48" si="3012">SUM(SY47:SZ47)</f>
        <v>0</v>
      </c>
      <c r="SZ48" s="483"/>
      <c r="TA48" s="482">
        <f t="shared" ref="TA48" si="3013">SUM(TA47:TB47)</f>
        <v>0</v>
      </c>
      <c r="TB48" s="483"/>
      <c r="TC48" s="482">
        <f t="shared" ref="TC48" si="3014">SUM(TC47:TD47)</f>
        <v>0</v>
      </c>
      <c r="TD48" s="483"/>
      <c r="TE48" s="482">
        <f t="shared" ref="TE48" si="3015">SUM(TE47:TF47)</f>
        <v>0</v>
      </c>
      <c r="TF48" s="483"/>
      <c r="TG48" s="482">
        <f t="shared" ref="TG48" si="3016">SUM(TG47:TH47)</f>
        <v>0</v>
      </c>
      <c r="TH48" s="483"/>
      <c r="TI48" s="482">
        <f t="shared" ref="TI48" si="3017">SUM(TI47:TJ47)</f>
        <v>0</v>
      </c>
      <c r="TJ48" s="483"/>
      <c r="TK48" s="482">
        <f t="shared" ref="TK48" si="3018">SUM(TK47:TL47)</f>
        <v>0</v>
      </c>
      <c r="TL48" s="483"/>
      <c r="TM48" s="482">
        <f t="shared" ref="TM48" si="3019">SUM(TM47:TN47)</f>
        <v>0</v>
      </c>
      <c r="TN48" s="483"/>
      <c r="TO48" s="482">
        <f t="shared" ref="TO48" si="3020">SUM(TO47:TP47)</f>
        <v>0</v>
      </c>
      <c r="TP48" s="483"/>
      <c r="TQ48" s="482">
        <f t="shared" ref="TQ48" si="3021">SUM(TQ47:TR47)</f>
        <v>0</v>
      </c>
      <c r="TR48" s="483"/>
      <c r="TS48" s="482">
        <f t="shared" ref="TS48" si="3022">SUM(TS47:TT47)</f>
        <v>0</v>
      </c>
      <c r="TT48" s="483"/>
      <c r="TU48" s="482">
        <f t="shared" ref="TU48" si="3023">SUM(TU47:TV47)</f>
        <v>0</v>
      </c>
      <c r="TV48" s="483"/>
      <c r="TW48" s="482">
        <f t="shared" ref="TW48" si="3024">SUM(TW47:TX47)</f>
        <v>0</v>
      </c>
      <c r="TX48" s="483"/>
      <c r="TY48" s="482">
        <f t="shared" ref="TY48" si="3025">SUM(TY47:TZ47)</f>
        <v>0</v>
      </c>
      <c r="TZ48" s="483"/>
      <c r="UA48" s="482">
        <f t="shared" ref="UA48" si="3026">SUM(UA47:UB47)</f>
        <v>0</v>
      </c>
      <c r="UB48" s="483"/>
      <c r="UC48" s="482">
        <f t="shared" ref="UC48" si="3027">SUM(UC47:UD47)</f>
        <v>0</v>
      </c>
      <c r="UD48" s="483"/>
      <c r="UE48" s="482">
        <f t="shared" ref="UE48" si="3028">SUM(UE47:UF47)</f>
        <v>0</v>
      </c>
      <c r="UF48" s="483"/>
      <c r="UG48" s="482">
        <f t="shared" ref="UG48" si="3029">SUM(UG47:UH47)</f>
        <v>0</v>
      </c>
      <c r="UH48" s="483"/>
      <c r="UI48" s="482">
        <f t="shared" ref="UI48" si="3030">SUM(UI47:UJ47)</f>
        <v>0</v>
      </c>
      <c r="UJ48" s="483"/>
      <c r="UK48" s="482">
        <f t="shared" ref="UK48" si="3031">SUM(UK47:UL47)</f>
        <v>0</v>
      </c>
      <c r="UL48" s="483"/>
      <c r="UM48" s="482">
        <f t="shared" ref="UM48" si="3032">SUM(UM47:UN47)</f>
        <v>0</v>
      </c>
      <c r="UN48" s="483"/>
      <c r="UO48" s="482">
        <f t="shared" ref="UO48" si="3033">SUM(UO47:UP47)</f>
        <v>0</v>
      </c>
      <c r="UP48" s="483"/>
      <c r="UQ48" s="482">
        <f t="shared" ref="UQ48" si="3034">SUM(UQ47:UR47)</f>
        <v>0</v>
      </c>
      <c r="UR48" s="483"/>
      <c r="US48" s="482">
        <f t="shared" ref="US48" si="3035">SUM(US47:UT47)</f>
        <v>0</v>
      </c>
      <c r="UT48" s="483"/>
      <c r="UU48" s="482">
        <f t="shared" ref="UU48" si="3036">SUM(UU47:UV47)</f>
        <v>0</v>
      </c>
      <c r="UV48" s="483"/>
      <c r="UW48" s="482">
        <f t="shared" ref="UW48" si="3037">SUM(UW47:UX47)</f>
        <v>0</v>
      </c>
      <c r="UX48" s="483"/>
      <c r="UY48" s="482">
        <f t="shared" ref="UY48" si="3038">SUM(UY47:UZ47)</f>
        <v>0</v>
      </c>
      <c r="UZ48" s="483"/>
      <c r="VA48" s="482">
        <f t="shared" ref="VA48" si="3039">SUM(VA47:VB47)</f>
        <v>0</v>
      </c>
      <c r="VB48" s="483"/>
      <c r="VC48" s="482">
        <f t="shared" ref="VC48" si="3040">SUM(VC47:VD47)</f>
        <v>0</v>
      </c>
      <c r="VD48" s="483"/>
      <c r="VE48" s="482">
        <f t="shared" ref="VE48" si="3041">SUM(VE47:VF47)</f>
        <v>0</v>
      </c>
      <c r="VF48" s="483"/>
      <c r="VG48" s="482">
        <f t="shared" ref="VG48" si="3042">SUM(VG47:VH47)</f>
        <v>0</v>
      </c>
      <c r="VH48" s="483"/>
      <c r="VI48" s="482">
        <f t="shared" ref="VI48" si="3043">SUM(VI47:VJ47)</f>
        <v>0</v>
      </c>
      <c r="VJ48" s="483"/>
      <c r="VK48" s="482">
        <f t="shared" ref="VK48" si="3044">SUM(VK47:VL47)</f>
        <v>0</v>
      </c>
      <c r="VL48" s="483"/>
      <c r="VM48" s="482">
        <f t="shared" ref="VM48" si="3045">SUM(VM47:VN47)</f>
        <v>0</v>
      </c>
      <c r="VN48" s="483"/>
      <c r="VO48" s="482">
        <f t="shared" ref="VO48" si="3046">SUM(VO47:VP47)</f>
        <v>0</v>
      </c>
      <c r="VP48" s="483"/>
      <c r="VQ48" s="482">
        <f t="shared" ref="VQ48" si="3047">SUM(VQ47:VR47)</f>
        <v>0</v>
      </c>
      <c r="VR48" s="483"/>
      <c r="VS48" s="482">
        <f t="shared" ref="VS48" si="3048">SUM(VS47:VT47)</f>
        <v>0</v>
      </c>
      <c r="VT48" s="483"/>
      <c r="VU48" s="482">
        <f t="shared" ref="VU48" si="3049">SUM(VU47:VV47)</f>
        <v>0</v>
      </c>
      <c r="VV48" s="483"/>
      <c r="VW48" s="482">
        <f t="shared" ref="VW48" si="3050">SUM(VW47:VX47)</f>
        <v>0</v>
      </c>
      <c r="VX48" s="483"/>
      <c r="VY48" s="482">
        <f t="shared" ref="VY48" si="3051">SUM(VY47:VZ47)</f>
        <v>0</v>
      </c>
      <c r="VZ48" s="483"/>
      <c r="WA48" s="482">
        <f t="shared" ref="WA48" si="3052">SUM(WA47:WB47)</f>
        <v>0</v>
      </c>
      <c r="WB48" s="483"/>
      <c r="WC48" s="482">
        <f t="shared" ref="WC48" si="3053">SUM(WC47:WD47)</f>
        <v>0</v>
      </c>
      <c r="WD48" s="483"/>
      <c r="WE48" s="482">
        <f t="shared" ref="WE48" si="3054">SUM(WE47:WF47)</f>
        <v>0</v>
      </c>
      <c r="WF48" s="483"/>
      <c r="WG48" s="482">
        <f t="shared" ref="WG48" si="3055">SUM(WG47:WH47)</f>
        <v>0</v>
      </c>
      <c r="WH48" s="483"/>
      <c r="WI48" s="482">
        <f t="shared" ref="WI48" si="3056">SUM(WI47:WJ47)</f>
        <v>0</v>
      </c>
      <c r="WJ48" s="483"/>
      <c r="WK48" s="482">
        <f t="shared" ref="WK48" si="3057">SUM(WK47:WL47)</f>
        <v>0</v>
      </c>
      <c r="WL48" s="483"/>
      <c r="WM48" s="482">
        <f t="shared" ref="WM48" si="3058">SUM(WM47:WN47)</f>
        <v>0</v>
      </c>
      <c r="WN48" s="483"/>
      <c r="WO48" s="482">
        <f t="shared" ref="WO48" si="3059">SUM(WO47:WP47)</f>
        <v>0</v>
      </c>
      <c r="WP48" s="483"/>
      <c r="WQ48" s="482">
        <f t="shared" ref="WQ48" si="3060">SUM(WQ47:WR47)</f>
        <v>0</v>
      </c>
      <c r="WR48" s="483"/>
      <c r="WS48" s="482">
        <f t="shared" ref="WS48" si="3061">SUM(WS47:WT47)</f>
        <v>0</v>
      </c>
      <c r="WT48" s="483"/>
      <c r="WU48" s="482">
        <f t="shared" ref="WU48" si="3062">SUM(WU47:WV47)</f>
        <v>0</v>
      </c>
      <c r="WV48" s="483"/>
      <c r="WW48" s="482">
        <f t="shared" ref="WW48" si="3063">SUM(WW47:WX47)</f>
        <v>0</v>
      </c>
      <c r="WX48" s="483"/>
      <c r="WY48" s="482">
        <f t="shared" ref="WY48" si="3064">SUM(WY47:WZ47)</f>
        <v>0</v>
      </c>
      <c r="WZ48" s="483"/>
      <c r="XA48" s="482">
        <f t="shared" ref="XA48" si="3065">SUM(XA47:XB47)</f>
        <v>0</v>
      </c>
      <c r="XB48" s="483"/>
      <c r="XC48" s="482">
        <f t="shared" ref="XC48" si="3066">SUM(XC47:XD47)</f>
        <v>0</v>
      </c>
      <c r="XD48" s="483"/>
      <c r="XE48" s="482">
        <f t="shared" ref="XE48" si="3067">SUM(XE47:XF47)</f>
        <v>0</v>
      </c>
      <c r="XF48" s="483"/>
      <c r="XG48" s="482">
        <f t="shared" ref="XG48" si="3068">SUM(XG47:XH47)</f>
        <v>0</v>
      </c>
      <c r="XH48" s="483"/>
      <c r="XI48" s="482">
        <f t="shared" ref="XI48" si="3069">SUM(XI47:XJ47)</f>
        <v>0</v>
      </c>
      <c r="XJ48" s="483"/>
      <c r="XK48" s="482">
        <f t="shared" ref="XK48" si="3070">SUM(XK47:XL47)</f>
        <v>0</v>
      </c>
      <c r="XL48" s="483"/>
      <c r="XM48" s="482">
        <f t="shared" ref="XM48" si="3071">SUM(XM47:XN47)</f>
        <v>0</v>
      </c>
      <c r="XN48" s="483"/>
      <c r="XO48" s="482">
        <f t="shared" ref="XO48" si="3072">SUM(XO47:XP47)</f>
        <v>0</v>
      </c>
      <c r="XP48" s="483"/>
      <c r="XQ48" s="482">
        <f t="shared" ref="XQ48" si="3073">SUM(XQ47:XR47)</f>
        <v>0</v>
      </c>
      <c r="XR48" s="483"/>
      <c r="XS48" s="482">
        <f t="shared" ref="XS48" si="3074">SUM(XS47:XT47)</f>
        <v>0</v>
      </c>
      <c r="XT48" s="483"/>
      <c r="XU48" s="482">
        <f t="shared" ref="XU48" si="3075">SUM(XU47:XV47)</f>
        <v>0</v>
      </c>
      <c r="XV48" s="483"/>
      <c r="XW48" s="482">
        <f t="shared" ref="XW48" si="3076">SUM(XW47:XX47)</f>
        <v>0</v>
      </c>
      <c r="XX48" s="483"/>
      <c r="XY48" s="482">
        <f t="shared" ref="XY48" si="3077">SUM(XY47:XZ47)</f>
        <v>0</v>
      </c>
      <c r="XZ48" s="483"/>
      <c r="YA48" s="482">
        <f t="shared" ref="YA48" si="3078">SUM(YA47:YB47)</f>
        <v>0</v>
      </c>
      <c r="YB48" s="483"/>
      <c r="YC48" s="482">
        <f t="shared" ref="YC48" si="3079">SUM(YC47:YD47)</f>
        <v>0</v>
      </c>
      <c r="YD48" s="483"/>
      <c r="YE48" s="482">
        <f t="shared" ref="YE48" si="3080">SUM(YE47:YF47)</f>
        <v>0</v>
      </c>
      <c r="YF48" s="483"/>
      <c r="YG48" s="482">
        <f t="shared" ref="YG48" si="3081">SUM(YG47:YH47)</f>
        <v>0</v>
      </c>
      <c r="YH48" s="483"/>
      <c r="YI48" s="482">
        <f t="shared" ref="YI48" si="3082">SUM(YI47:YJ47)</f>
        <v>0</v>
      </c>
      <c r="YJ48" s="483"/>
      <c r="YK48" s="482">
        <f t="shared" ref="YK48" si="3083">SUM(YK47:YL47)</f>
        <v>0</v>
      </c>
      <c r="YL48" s="483"/>
      <c r="YM48" s="482">
        <f t="shared" ref="YM48" si="3084">SUM(YM47:YN47)</f>
        <v>0</v>
      </c>
      <c r="YN48" s="483"/>
      <c r="YO48" s="482">
        <f t="shared" ref="YO48" si="3085">SUM(YO47:YP47)</f>
        <v>0</v>
      </c>
      <c r="YP48" s="483"/>
      <c r="YQ48" s="482">
        <f t="shared" ref="YQ48" si="3086">SUM(YQ47:YR47)</f>
        <v>0</v>
      </c>
      <c r="YR48" s="483"/>
      <c r="YS48" s="482">
        <f t="shared" ref="YS48" si="3087">SUM(YS47:YT47)</f>
        <v>0</v>
      </c>
      <c r="YT48" s="483"/>
      <c r="YU48" s="482">
        <f t="shared" ref="YU48" si="3088">SUM(YU47:YV47)</f>
        <v>0</v>
      </c>
      <c r="YV48" s="483"/>
      <c r="YW48" s="482">
        <f t="shared" ref="YW48" si="3089">SUM(YW47:YX47)</f>
        <v>0</v>
      </c>
      <c r="YX48" s="483"/>
      <c r="YY48" s="482">
        <f t="shared" ref="YY48" si="3090">SUM(YY47:YZ47)</f>
        <v>0</v>
      </c>
      <c r="YZ48" s="483"/>
      <c r="ZA48" s="482">
        <f t="shared" ref="ZA48" si="3091">SUM(ZA47:ZB47)</f>
        <v>0</v>
      </c>
      <c r="ZB48" s="483"/>
      <c r="ZC48" s="482">
        <f t="shared" ref="ZC48" si="3092">SUM(ZC47:ZD47)</f>
        <v>0</v>
      </c>
      <c r="ZD48" s="483"/>
      <c r="ZE48" s="482">
        <f t="shared" ref="ZE48" si="3093">SUM(ZE47:ZF47)</f>
        <v>0</v>
      </c>
      <c r="ZF48" s="483"/>
      <c r="ZG48" s="482">
        <f t="shared" ref="ZG48" si="3094">SUM(ZG47:ZH47)</f>
        <v>0</v>
      </c>
      <c r="ZH48" s="483"/>
      <c r="ZI48" s="482">
        <f t="shared" ref="ZI48" si="3095">SUM(ZI47:ZJ47)</f>
        <v>0</v>
      </c>
      <c r="ZJ48" s="483"/>
      <c r="ZK48" s="482">
        <f t="shared" ref="ZK48" si="3096">SUM(ZK47:ZL47)</f>
        <v>0</v>
      </c>
      <c r="ZL48" s="483"/>
      <c r="ZM48" s="482">
        <f t="shared" ref="ZM48" si="3097">SUM(ZM47:ZN47)</f>
        <v>0</v>
      </c>
      <c r="ZN48" s="483"/>
      <c r="ZO48" s="482">
        <f t="shared" ref="ZO48" si="3098">SUM(ZO47:ZP47)</f>
        <v>0</v>
      </c>
      <c r="ZP48" s="483"/>
      <c r="ZQ48" s="482">
        <f t="shared" ref="ZQ48" si="3099">SUM(ZQ47:ZR47)</f>
        <v>0</v>
      </c>
      <c r="ZR48" s="483"/>
      <c r="ZS48" s="482">
        <f t="shared" ref="ZS48" si="3100">SUM(ZS47:ZT47)</f>
        <v>0</v>
      </c>
      <c r="ZT48" s="483"/>
      <c r="ZU48" s="482">
        <f t="shared" ref="ZU48" si="3101">SUM(ZU47:ZV47)</f>
        <v>0</v>
      </c>
      <c r="ZV48" s="483"/>
      <c r="ZW48" s="482">
        <f t="shared" ref="ZW48" si="3102">SUM(ZW47:ZX47)</f>
        <v>0</v>
      </c>
      <c r="ZX48" s="483"/>
      <c r="ZY48" s="482">
        <f t="shared" ref="ZY48" si="3103">SUM(ZY47:ZZ47)</f>
        <v>0</v>
      </c>
      <c r="ZZ48" s="483"/>
      <c r="AAA48" s="482">
        <f t="shared" ref="AAA48" si="3104">SUM(AAA47:AAB47)</f>
        <v>0</v>
      </c>
      <c r="AAB48" s="483"/>
      <c r="AAC48" s="482">
        <f t="shared" ref="AAC48" si="3105">SUM(AAC47:AAD47)</f>
        <v>0</v>
      </c>
      <c r="AAD48" s="483"/>
      <c r="AAE48" s="482">
        <f t="shared" ref="AAE48" si="3106">SUM(AAE47:AAF47)</f>
        <v>0</v>
      </c>
      <c r="AAF48" s="483"/>
      <c r="AAG48" s="482">
        <f t="shared" ref="AAG48" si="3107">SUM(AAG47:AAH47)</f>
        <v>0</v>
      </c>
      <c r="AAH48" s="483"/>
      <c r="AAI48" s="482">
        <f t="shared" ref="AAI48" si="3108">SUM(AAI47:AAJ47)</f>
        <v>0</v>
      </c>
      <c r="AAJ48" s="483"/>
      <c r="AAK48" s="482">
        <f t="shared" ref="AAK48" si="3109">SUM(AAK47:AAL47)</f>
        <v>0</v>
      </c>
      <c r="AAL48" s="483"/>
      <c r="AAM48" s="482">
        <f t="shared" ref="AAM48" si="3110">SUM(AAM47:AAN47)</f>
        <v>0</v>
      </c>
      <c r="AAN48" s="483"/>
      <c r="AAO48" s="482">
        <f t="shared" ref="AAO48" si="3111">SUM(AAO47:AAP47)</f>
        <v>0</v>
      </c>
      <c r="AAP48" s="483"/>
      <c r="AAQ48" s="482">
        <f t="shared" ref="AAQ48" si="3112">SUM(AAQ47:AAR47)</f>
        <v>0</v>
      </c>
      <c r="AAR48" s="483"/>
      <c r="AAS48" s="482">
        <f t="shared" ref="AAS48" si="3113">SUM(AAS47:AAT47)</f>
        <v>0</v>
      </c>
      <c r="AAT48" s="483"/>
      <c r="AAU48" s="482">
        <f t="shared" ref="AAU48" si="3114">SUM(AAU47:AAV47)</f>
        <v>0</v>
      </c>
      <c r="AAV48" s="483"/>
      <c r="AAW48" s="482">
        <f t="shared" ref="AAW48" si="3115">SUM(AAW47:AAX47)</f>
        <v>0</v>
      </c>
      <c r="AAX48" s="483"/>
      <c r="AAY48" s="482">
        <f t="shared" ref="AAY48:ABC48" si="3116">SUM(AAY47:AAZ47)</f>
        <v>0</v>
      </c>
      <c r="AAZ48" s="483"/>
      <c r="ABA48" s="482">
        <f t="shared" si="3116"/>
        <v>0</v>
      </c>
      <c r="ABB48" s="483"/>
      <c r="ABC48" s="482">
        <f t="shared" si="3116"/>
        <v>0</v>
      </c>
      <c r="ABD48" s="483"/>
      <c r="ABE48" s="336"/>
      <c r="ABF48" s="336"/>
      <c r="ABG48" s="336"/>
      <c r="ABH48" s="336"/>
      <c r="ABI48" s="336"/>
      <c r="ABJ48" s="336"/>
      <c r="ABK48" s="336"/>
      <c r="ABL48" s="336"/>
      <c r="ABM48" s="336"/>
      <c r="ABN48" s="336"/>
      <c r="ABO48" s="336"/>
      <c r="ABP48" s="336"/>
      <c r="ABQ48" s="336"/>
      <c r="ABR48" s="336"/>
      <c r="ABS48" s="336"/>
      <c r="ABT48" s="336"/>
      <c r="ABU48" s="336"/>
      <c r="ABV48" s="336"/>
      <c r="ABW48" s="336"/>
      <c r="ABX48" s="336"/>
      <c r="ABY48" s="336"/>
      <c r="ABZ48" s="336"/>
      <c r="ACA48" s="336"/>
      <c r="ACB48" s="336"/>
      <c r="ACC48" s="336"/>
      <c r="ACD48" s="336"/>
      <c r="ACE48" s="336"/>
      <c r="ACF48" s="336"/>
      <c r="ACG48" s="336"/>
      <c r="ACH48" s="336"/>
      <c r="ACI48" s="336"/>
      <c r="ACJ48" s="336"/>
      <c r="ACK48" s="336"/>
      <c r="ACL48" s="336"/>
      <c r="ACM48" s="336"/>
      <c r="ACN48" s="336"/>
      <c r="ACO48" s="336"/>
      <c r="ACP48" s="336"/>
      <c r="ACQ48" s="336"/>
      <c r="ACR48" s="336"/>
      <c r="ACS48" s="336"/>
      <c r="ACT48" s="336"/>
      <c r="ACU48" s="336"/>
      <c r="ACV48" s="336"/>
      <c r="ACW48" s="336"/>
      <c r="ACX48" s="336"/>
      <c r="ACY48" s="336"/>
      <c r="ACZ48" s="336"/>
      <c r="ADA48" s="336"/>
      <c r="ADB48" s="336"/>
      <c r="ADC48" s="336"/>
      <c r="ADD48" s="336"/>
      <c r="ADE48" s="336"/>
      <c r="ADF48" s="336"/>
      <c r="ADG48" s="336"/>
      <c r="ADH48" s="336"/>
      <c r="ADI48" s="336"/>
      <c r="ADJ48" s="336"/>
      <c r="ADK48" s="336"/>
      <c r="ADL48" s="336"/>
      <c r="ADM48" s="336"/>
      <c r="ADN48" s="336"/>
      <c r="ADO48" s="336"/>
      <c r="ADP48" s="336"/>
      <c r="ADQ48" s="336"/>
      <c r="ADR48" s="336"/>
      <c r="ADS48" s="336"/>
      <c r="ADT48" s="336"/>
      <c r="ADU48" s="336"/>
      <c r="ADV48" s="336"/>
      <c r="ADW48" s="336"/>
      <c r="ADX48" s="336"/>
      <c r="ADY48" s="336"/>
      <c r="ADZ48" s="336"/>
      <c r="AEA48" s="336"/>
      <c r="AEB48" s="336"/>
      <c r="AEC48" s="336"/>
      <c r="AED48" s="336"/>
      <c r="AEE48" s="336"/>
      <c r="AEF48" s="336"/>
      <c r="AEG48" s="336"/>
      <c r="AEH48" s="336"/>
      <c r="AEI48" s="336"/>
      <c r="AEJ48" s="336"/>
      <c r="AEK48" s="336"/>
      <c r="AEL48" s="336"/>
      <c r="AEM48" s="336"/>
      <c r="AEN48" s="336"/>
      <c r="AEO48" s="336"/>
      <c r="AEP48" s="336"/>
      <c r="AEQ48" s="336"/>
      <c r="AER48" s="336"/>
      <c r="AES48" s="336"/>
      <c r="AET48" s="336"/>
      <c r="AEU48" s="336"/>
      <c r="AEV48" s="336"/>
      <c r="AEW48" s="336"/>
      <c r="AEX48" s="336"/>
      <c r="AEY48" s="336"/>
      <c r="AEZ48" s="336"/>
      <c r="AFA48" s="336"/>
      <c r="AFB48" s="336"/>
      <c r="AFC48" s="336"/>
      <c r="AFD48" s="336"/>
      <c r="AFE48" s="336"/>
      <c r="AFF48" s="336"/>
      <c r="AFG48" s="336"/>
      <c r="AFH48" s="336"/>
      <c r="AFI48" s="336"/>
      <c r="AFJ48" s="336"/>
      <c r="AFK48" s="336"/>
      <c r="AFL48" s="336"/>
      <c r="AFM48" s="336"/>
      <c r="AFN48" s="336"/>
      <c r="AFO48" s="336"/>
      <c r="AFP48" s="336"/>
      <c r="AFQ48" s="336"/>
      <c r="AFR48" s="336"/>
      <c r="AFS48" s="336"/>
      <c r="AFT48" s="336"/>
      <c r="AFU48" s="336"/>
      <c r="AFV48" s="336"/>
      <c r="AFW48" s="336"/>
      <c r="AFX48" s="336"/>
      <c r="AFY48" s="336"/>
      <c r="AFZ48" s="336"/>
      <c r="AGA48" s="336"/>
      <c r="AGB48" s="336"/>
      <c r="AGC48" s="336"/>
      <c r="AGD48" s="336"/>
      <c r="AGE48" s="336"/>
      <c r="AGF48" s="336"/>
      <c r="AGG48" s="336"/>
      <c r="AGH48" s="336"/>
      <c r="AGI48" s="336"/>
      <c r="AGJ48" s="336"/>
      <c r="AGK48" s="336"/>
      <c r="AGL48" s="336"/>
      <c r="AGM48" s="336"/>
      <c r="AGN48" s="336"/>
      <c r="AGO48" s="336"/>
      <c r="AGP48" s="336"/>
      <c r="AGQ48" s="336"/>
      <c r="AGR48" s="336"/>
      <c r="AGS48" s="336"/>
      <c r="AGT48" s="336"/>
      <c r="AGU48" s="336"/>
      <c r="AGV48" s="336"/>
      <c r="AGW48" s="336"/>
      <c r="AGX48" s="336"/>
      <c r="AGY48" s="336"/>
      <c r="AGZ48" s="336"/>
      <c r="AHA48" s="336"/>
      <c r="AHB48" s="336"/>
      <c r="AHC48" s="336"/>
      <c r="AHD48" s="336"/>
      <c r="AHE48" s="336"/>
      <c r="AHF48" s="336"/>
      <c r="AHG48" s="336"/>
      <c r="AHH48" s="336"/>
      <c r="AHI48" s="336"/>
      <c r="AHJ48" s="336"/>
      <c r="AHK48" s="336"/>
      <c r="AHL48" s="336"/>
      <c r="AHM48" s="336"/>
      <c r="AHN48" s="336"/>
      <c r="AHO48" s="336"/>
      <c r="AHP48" s="336"/>
      <c r="AHQ48" s="336"/>
      <c r="AHR48" s="336"/>
      <c r="AHS48" s="336"/>
      <c r="AHT48" s="336"/>
      <c r="AHU48" s="336"/>
      <c r="AHV48" s="336"/>
      <c r="AHW48" s="336"/>
      <c r="AHX48" s="336"/>
      <c r="AHY48" s="336"/>
      <c r="AHZ48" s="336"/>
      <c r="AIA48" s="336"/>
      <c r="AIB48" s="336"/>
    </row>
    <row r="49" spans="1:912" s="171" customFormat="1" ht="18" customHeight="1">
      <c r="B49" s="175"/>
      <c r="ABE49" s="336"/>
      <c r="ABF49" s="335"/>
      <c r="ABG49" s="335"/>
      <c r="ABH49" s="335"/>
      <c r="ABI49" s="335"/>
      <c r="ABJ49" s="335"/>
      <c r="ABK49" s="335"/>
      <c r="ABL49" s="335"/>
      <c r="ABM49" s="335"/>
      <c r="ABN49" s="335"/>
      <c r="ABO49" s="335"/>
      <c r="ABP49" s="335"/>
      <c r="ABQ49" s="335"/>
      <c r="ABR49" s="335"/>
      <c r="ABS49" s="335"/>
      <c r="ABT49" s="335"/>
      <c r="ABU49" s="335"/>
      <c r="ABV49" s="335"/>
      <c r="ABW49" s="335"/>
      <c r="ABX49" s="335"/>
      <c r="ABY49" s="335"/>
      <c r="ABZ49" s="335"/>
      <c r="ACA49" s="335"/>
      <c r="ACB49" s="335"/>
      <c r="ACC49" s="335"/>
      <c r="ACD49" s="335"/>
      <c r="ACE49" s="335"/>
      <c r="ACF49" s="335"/>
      <c r="ACG49" s="335"/>
      <c r="ACH49" s="335"/>
      <c r="ACI49" s="335"/>
      <c r="ACJ49" s="335"/>
      <c r="ACK49" s="335"/>
      <c r="ACL49" s="335"/>
      <c r="ACM49" s="335"/>
      <c r="ACN49" s="335"/>
      <c r="ACO49" s="335"/>
      <c r="ACP49" s="335"/>
      <c r="ACQ49" s="335"/>
      <c r="ACR49" s="335"/>
      <c r="ACS49" s="335"/>
      <c r="ACT49" s="335"/>
      <c r="ACU49" s="335"/>
      <c r="ACV49" s="335"/>
      <c r="ACW49" s="335"/>
      <c r="ACX49" s="335"/>
      <c r="ACY49" s="335"/>
      <c r="ACZ49" s="335"/>
      <c r="ADA49" s="335"/>
      <c r="ADB49" s="335"/>
      <c r="ADC49" s="335"/>
      <c r="ADD49" s="335"/>
      <c r="ADE49" s="335"/>
      <c r="ADF49" s="335"/>
      <c r="ADG49" s="335"/>
      <c r="ADH49" s="335"/>
      <c r="ADI49" s="335"/>
      <c r="ADJ49" s="335"/>
      <c r="ADK49" s="335"/>
      <c r="ADL49" s="335"/>
      <c r="ADM49" s="335"/>
      <c r="ADN49" s="335"/>
      <c r="ADO49" s="335"/>
      <c r="ADP49" s="335"/>
      <c r="ADQ49" s="335"/>
      <c r="ADR49" s="335"/>
      <c r="ADS49" s="335"/>
      <c r="ADT49" s="335"/>
      <c r="ADU49" s="335"/>
      <c r="ADV49" s="335"/>
      <c r="ADW49" s="335"/>
      <c r="ADX49" s="335"/>
      <c r="ADY49" s="335"/>
      <c r="ADZ49" s="335"/>
      <c r="AEA49" s="335"/>
      <c r="AEB49" s="335"/>
      <c r="AEC49" s="335"/>
      <c r="AED49" s="335"/>
      <c r="AEE49" s="335"/>
      <c r="AEF49" s="335"/>
      <c r="AEG49" s="335"/>
      <c r="AEH49" s="335"/>
      <c r="AEI49" s="335"/>
      <c r="AEJ49" s="335"/>
      <c r="AEK49" s="335"/>
      <c r="AEL49" s="335"/>
      <c r="AEM49" s="335"/>
      <c r="AEN49" s="335"/>
      <c r="AEO49" s="335"/>
      <c r="AEP49" s="335"/>
      <c r="AEQ49" s="335"/>
      <c r="AER49" s="335"/>
      <c r="AES49" s="335"/>
      <c r="AET49" s="335"/>
      <c r="AEU49" s="335"/>
      <c r="AEV49" s="335"/>
      <c r="AEW49" s="335"/>
      <c r="AEX49" s="335"/>
      <c r="AEY49" s="335"/>
      <c r="AEZ49" s="335"/>
      <c r="AFA49" s="335"/>
      <c r="AFB49" s="335"/>
      <c r="AFC49" s="335"/>
      <c r="AFD49" s="335"/>
      <c r="AFE49" s="335"/>
      <c r="AFF49" s="335"/>
      <c r="AFG49" s="335"/>
      <c r="AFH49" s="335"/>
      <c r="AFI49" s="335"/>
      <c r="AFJ49" s="335"/>
      <c r="AFK49" s="335"/>
      <c r="AFL49" s="335"/>
      <c r="AFM49" s="335"/>
      <c r="AFN49" s="335"/>
      <c r="AFO49" s="335"/>
      <c r="AFP49" s="335"/>
      <c r="AFQ49" s="335"/>
      <c r="AFR49" s="335"/>
      <c r="AFS49" s="335"/>
      <c r="AFT49" s="335"/>
      <c r="AFU49" s="335"/>
      <c r="AFV49" s="335"/>
      <c r="AFW49" s="335"/>
      <c r="AFX49" s="335"/>
      <c r="AFY49" s="335"/>
      <c r="AFZ49" s="335"/>
      <c r="AGA49" s="335"/>
      <c r="AGB49" s="335"/>
      <c r="AGC49" s="335"/>
      <c r="AGD49" s="335"/>
      <c r="AGE49" s="335"/>
      <c r="AGF49" s="335"/>
      <c r="AGG49" s="335"/>
      <c r="AGH49" s="335"/>
      <c r="AGI49" s="335"/>
      <c r="AGJ49" s="335"/>
      <c r="AGK49" s="335"/>
      <c r="AGL49" s="335"/>
      <c r="AGM49" s="335"/>
      <c r="AGN49" s="335"/>
      <c r="AGO49" s="335"/>
      <c r="AGP49" s="335"/>
      <c r="AGQ49" s="335"/>
      <c r="AGR49" s="335"/>
      <c r="AGS49" s="335"/>
      <c r="AGT49" s="335"/>
      <c r="AGU49" s="335"/>
      <c r="AGV49" s="335"/>
      <c r="AGW49" s="335"/>
      <c r="AGX49" s="335"/>
      <c r="AGY49" s="335"/>
      <c r="AGZ49" s="335"/>
      <c r="AHA49" s="335"/>
      <c r="AHB49" s="335"/>
      <c r="AHC49" s="335"/>
      <c r="AHD49" s="335"/>
      <c r="AHE49" s="335"/>
      <c r="AHF49" s="335"/>
      <c r="AHG49" s="335"/>
      <c r="AHH49" s="335"/>
      <c r="AHI49" s="335"/>
      <c r="AHJ49" s="335"/>
      <c r="AHK49" s="335"/>
      <c r="AHL49" s="335"/>
      <c r="AHM49" s="335"/>
      <c r="AHN49" s="335"/>
      <c r="AHO49" s="335"/>
      <c r="AHP49" s="335"/>
      <c r="AHQ49" s="335"/>
      <c r="AHR49" s="335"/>
      <c r="AHS49" s="335"/>
      <c r="AHT49" s="335"/>
      <c r="AHU49" s="335"/>
      <c r="AHV49" s="335"/>
      <c r="AHW49" s="335"/>
      <c r="AHX49" s="335"/>
      <c r="AHY49" s="335"/>
      <c r="AHZ49" s="335"/>
      <c r="AIA49" s="335"/>
      <c r="AIB49" s="335"/>
    </row>
    <row r="50" spans="1:912" s="172" customFormat="1" ht="26.25" customHeight="1">
      <c r="B50" s="181"/>
      <c r="ABE50" s="336"/>
      <c r="ABF50" s="335"/>
      <c r="ABG50" s="335"/>
      <c r="ABH50" s="335"/>
      <c r="ABI50" s="335"/>
      <c r="ABJ50" s="335"/>
      <c r="ABK50" s="335"/>
      <c r="ABL50" s="335"/>
      <c r="ABM50" s="335"/>
      <c r="ABN50" s="335"/>
      <c r="ABO50" s="335"/>
      <c r="ABP50" s="335"/>
      <c r="ABQ50" s="335"/>
      <c r="ABR50" s="335"/>
      <c r="ABS50" s="335"/>
      <c r="ABT50" s="335"/>
      <c r="ABU50" s="335"/>
      <c r="ABV50" s="335"/>
      <c r="ABW50" s="335"/>
      <c r="ABX50" s="335"/>
      <c r="ABY50" s="335"/>
      <c r="ABZ50" s="335"/>
      <c r="ACA50" s="335"/>
      <c r="ACB50" s="335"/>
      <c r="ACC50" s="335"/>
      <c r="ACD50" s="335"/>
      <c r="ACE50" s="335"/>
      <c r="ACF50" s="335"/>
      <c r="ACG50" s="335"/>
      <c r="ACH50" s="335"/>
      <c r="ACI50" s="335"/>
      <c r="ACJ50" s="335"/>
      <c r="ACK50" s="335"/>
      <c r="ACL50" s="335"/>
      <c r="ACM50" s="335"/>
      <c r="ACN50" s="335"/>
      <c r="ACO50" s="335"/>
      <c r="ACP50" s="335"/>
      <c r="ACQ50" s="335"/>
      <c r="ACR50" s="335"/>
      <c r="ACS50" s="335"/>
      <c r="ACT50" s="335"/>
      <c r="ACU50" s="335"/>
      <c r="ACV50" s="335"/>
      <c r="ACW50" s="335"/>
      <c r="ACX50" s="335"/>
      <c r="ACY50" s="335"/>
      <c r="ACZ50" s="335"/>
      <c r="ADA50" s="335"/>
      <c r="ADB50" s="335"/>
      <c r="ADC50" s="335"/>
      <c r="ADD50" s="335"/>
      <c r="ADE50" s="335"/>
      <c r="ADF50" s="335"/>
      <c r="ADG50" s="335"/>
      <c r="ADH50" s="335"/>
      <c r="ADI50" s="335"/>
      <c r="ADJ50" s="335"/>
      <c r="ADK50" s="335"/>
      <c r="ADL50" s="335"/>
      <c r="ADM50" s="335"/>
      <c r="ADN50" s="335"/>
      <c r="ADO50" s="335"/>
      <c r="ADP50" s="335"/>
      <c r="ADQ50" s="335"/>
      <c r="ADR50" s="335"/>
      <c r="ADS50" s="335"/>
      <c r="ADT50" s="335"/>
      <c r="ADU50" s="335"/>
      <c r="ADV50" s="335"/>
      <c r="ADW50" s="335"/>
      <c r="ADX50" s="335"/>
      <c r="ADY50" s="335"/>
      <c r="ADZ50" s="335"/>
      <c r="AEA50" s="335"/>
      <c r="AEB50" s="335"/>
      <c r="AEC50" s="335"/>
      <c r="AED50" s="335"/>
      <c r="AEE50" s="335"/>
      <c r="AEF50" s="335"/>
      <c r="AEG50" s="335"/>
      <c r="AEH50" s="335"/>
      <c r="AEI50" s="335"/>
      <c r="AEJ50" s="335"/>
      <c r="AEK50" s="335"/>
      <c r="AEL50" s="335"/>
      <c r="AEM50" s="335"/>
      <c r="AEN50" s="335"/>
      <c r="AEO50" s="335"/>
      <c r="AEP50" s="335"/>
      <c r="AEQ50" s="335"/>
      <c r="AER50" s="335"/>
      <c r="AES50" s="335"/>
      <c r="AET50" s="335"/>
      <c r="AEU50" s="335"/>
      <c r="AEV50" s="335"/>
      <c r="AEW50" s="335"/>
      <c r="AEX50" s="335"/>
      <c r="AEY50" s="335"/>
      <c r="AEZ50" s="335"/>
      <c r="AFA50" s="335"/>
      <c r="AFB50" s="335"/>
      <c r="AFC50" s="335"/>
      <c r="AFD50" s="335"/>
      <c r="AFE50" s="335"/>
      <c r="AFF50" s="335"/>
      <c r="AFG50" s="335"/>
      <c r="AFH50" s="335"/>
      <c r="AFI50" s="335"/>
      <c r="AFJ50" s="335"/>
      <c r="AFK50" s="335"/>
      <c r="AFL50" s="335"/>
      <c r="AFM50" s="335"/>
      <c r="AFN50" s="335"/>
      <c r="AFO50" s="335"/>
      <c r="AFP50" s="335"/>
      <c r="AFQ50" s="335"/>
      <c r="AFR50" s="335"/>
      <c r="AFS50" s="335"/>
      <c r="AFT50" s="335"/>
      <c r="AFU50" s="335"/>
      <c r="AFV50" s="335"/>
      <c r="AFW50" s="335"/>
      <c r="AFX50" s="335"/>
      <c r="AFY50" s="335"/>
      <c r="AFZ50" s="335"/>
      <c r="AGA50" s="335"/>
      <c r="AGB50" s="335"/>
      <c r="AGC50" s="335"/>
      <c r="AGD50" s="335"/>
      <c r="AGE50" s="335"/>
      <c r="AGF50" s="335"/>
      <c r="AGG50" s="335"/>
      <c r="AGH50" s="335"/>
      <c r="AGI50" s="335"/>
      <c r="AGJ50" s="335"/>
      <c r="AGK50" s="335"/>
      <c r="AGL50" s="335"/>
      <c r="AGM50" s="335"/>
      <c r="AGN50" s="335"/>
      <c r="AGO50" s="335"/>
      <c r="AGP50" s="335"/>
      <c r="AGQ50" s="335"/>
      <c r="AGR50" s="335"/>
      <c r="AGS50" s="335"/>
      <c r="AGT50" s="335"/>
      <c r="AGU50" s="335"/>
      <c r="AGV50" s="335"/>
      <c r="AGW50" s="335"/>
      <c r="AGX50" s="335"/>
      <c r="AGY50" s="335"/>
      <c r="AGZ50" s="335"/>
      <c r="AHA50" s="335"/>
      <c r="AHB50" s="335"/>
      <c r="AHC50" s="335"/>
      <c r="AHD50" s="335"/>
      <c r="AHE50" s="335"/>
      <c r="AHF50" s="335"/>
      <c r="AHG50" s="335"/>
      <c r="AHH50" s="335"/>
      <c r="AHI50" s="335"/>
      <c r="AHJ50" s="335"/>
      <c r="AHK50" s="335"/>
      <c r="AHL50" s="335"/>
      <c r="AHM50" s="335"/>
      <c r="AHN50" s="335"/>
      <c r="AHO50" s="335"/>
      <c r="AHP50" s="335"/>
      <c r="AHQ50" s="335"/>
      <c r="AHR50" s="335"/>
      <c r="AHS50" s="335"/>
      <c r="AHT50" s="335"/>
      <c r="AHU50" s="335"/>
      <c r="AHV50" s="335"/>
      <c r="AHW50" s="335"/>
      <c r="AHX50" s="335"/>
      <c r="AHY50" s="335"/>
      <c r="AHZ50" s="335"/>
      <c r="AIA50" s="335"/>
      <c r="AIB50" s="335"/>
    </row>
    <row r="51" spans="1:912" s="172" customFormat="1">
      <c r="B51" s="174"/>
      <c r="ABE51" s="336"/>
      <c r="ABF51" s="335"/>
      <c r="ABG51" s="335"/>
      <c r="ABH51" s="335"/>
      <c r="ABI51" s="335"/>
      <c r="ABJ51" s="335"/>
      <c r="ABK51" s="335"/>
      <c r="ABL51" s="335"/>
      <c r="ABM51" s="335"/>
      <c r="ABN51" s="335"/>
      <c r="ABO51" s="335"/>
      <c r="ABP51" s="335"/>
      <c r="ABQ51" s="335"/>
      <c r="ABR51" s="335"/>
      <c r="ABS51" s="335"/>
      <c r="ABT51" s="335"/>
      <c r="ABU51" s="335"/>
      <c r="ABV51" s="335"/>
      <c r="ABW51" s="335"/>
      <c r="ABX51" s="335"/>
      <c r="ABY51" s="335"/>
      <c r="ABZ51" s="335"/>
      <c r="ACA51" s="335"/>
      <c r="ACB51" s="335"/>
      <c r="ACC51" s="335"/>
      <c r="ACD51" s="335"/>
      <c r="ACE51" s="335"/>
      <c r="ACF51" s="335"/>
      <c r="ACG51" s="335"/>
      <c r="ACH51" s="335"/>
      <c r="ACI51" s="335"/>
      <c r="ACJ51" s="335"/>
      <c r="ACK51" s="335"/>
      <c r="ACL51" s="335"/>
      <c r="ACM51" s="335"/>
      <c r="ACN51" s="335"/>
      <c r="ACO51" s="335"/>
      <c r="ACP51" s="335"/>
      <c r="ACQ51" s="335"/>
      <c r="ACR51" s="335"/>
      <c r="ACS51" s="335"/>
      <c r="ACT51" s="335"/>
      <c r="ACU51" s="335"/>
      <c r="ACV51" s="335"/>
      <c r="ACW51" s="335"/>
      <c r="ACX51" s="335"/>
      <c r="ACY51" s="335"/>
      <c r="ACZ51" s="335"/>
      <c r="ADA51" s="335"/>
      <c r="ADB51" s="335"/>
      <c r="ADC51" s="335"/>
      <c r="ADD51" s="335"/>
      <c r="ADE51" s="335"/>
      <c r="ADF51" s="335"/>
      <c r="ADG51" s="335"/>
      <c r="ADH51" s="335"/>
      <c r="ADI51" s="335"/>
      <c r="ADJ51" s="335"/>
      <c r="ADK51" s="335"/>
      <c r="ADL51" s="335"/>
      <c r="ADM51" s="335"/>
      <c r="ADN51" s="335"/>
      <c r="ADO51" s="335"/>
      <c r="ADP51" s="335"/>
      <c r="ADQ51" s="335"/>
      <c r="ADR51" s="335"/>
      <c r="ADS51" s="335"/>
      <c r="ADT51" s="335"/>
      <c r="ADU51" s="335"/>
      <c r="ADV51" s="335"/>
      <c r="ADW51" s="335"/>
      <c r="ADX51" s="335"/>
      <c r="ADY51" s="335"/>
      <c r="ADZ51" s="335"/>
      <c r="AEA51" s="335"/>
      <c r="AEB51" s="335"/>
      <c r="AEC51" s="335"/>
      <c r="AED51" s="335"/>
      <c r="AEE51" s="335"/>
      <c r="AEF51" s="335"/>
      <c r="AEG51" s="335"/>
      <c r="AEH51" s="335"/>
      <c r="AEI51" s="335"/>
      <c r="AEJ51" s="335"/>
      <c r="AEK51" s="335"/>
      <c r="AEL51" s="335"/>
      <c r="AEM51" s="335"/>
      <c r="AEN51" s="335"/>
      <c r="AEO51" s="335"/>
      <c r="AEP51" s="335"/>
      <c r="AEQ51" s="335"/>
      <c r="AER51" s="335"/>
      <c r="AES51" s="335"/>
      <c r="AET51" s="335"/>
      <c r="AEU51" s="335"/>
      <c r="AEV51" s="335"/>
      <c r="AEW51" s="335"/>
      <c r="AEX51" s="335"/>
      <c r="AEY51" s="335"/>
      <c r="AEZ51" s="335"/>
      <c r="AFA51" s="335"/>
      <c r="AFB51" s="335"/>
      <c r="AFC51" s="335"/>
      <c r="AFD51" s="335"/>
      <c r="AFE51" s="335"/>
      <c r="AFF51" s="335"/>
      <c r="AFG51" s="335"/>
      <c r="AFH51" s="335"/>
      <c r="AFI51" s="335"/>
      <c r="AFJ51" s="335"/>
      <c r="AFK51" s="335"/>
      <c r="AFL51" s="335"/>
      <c r="AFM51" s="335"/>
      <c r="AFN51" s="335"/>
      <c r="AFO51" s="335"/>
      <c r="AFP51" s="335"/>
      <c r="AFQ51" s="335"/>
      <c r="AFR51" s="335"/>
      <c r="AFS51" s="335"/>
      <c r="AFT51" s="335"/>
      <c r="AFU51" s="335"/>
      <c r="AFV51" s="335"/>
      <c r="AFW51" s="335"/>
      <c r="AFX51" s="335"/>
      <c r="AFY51" s="335"/>
      <c r="AFZ51" s="335"/>
      <c r="AGA51" s="335"/>
      <c r="AGB51" s="335"/>
      <c r="AGC51" s="335"/>
      <c r="AGD51" s="335"/>
      <c r="AGE51" s="335"/>
      <c r="AGF51" s="335"/>
      <c r="AGG51" s="335"/>
      <c r="AGH51" s="335"/>
      <c r="AGI51" s="335"/>
      <c r="AGJ51" s="335"/>
      <c r="AGK51" s="335"/>
      <c r="AGL51" s="335"/>
      <c r="AGM51" s="335"/>
      <c r="AGN51" s="335"/>
      <c r="AGO51" s="335"/>
      <c r="AGP51" s="335"/>
      <c r="AGQ51" s="335"/>
      <c r="AGR51" s="335"/>
      <c r="AGS51" s="335"/>
      <c r="AGT51" s="335"/>
      <c r="AGU51" s="335"/>
      <c r="AGV51" s="335"/>
      <c r="AGW51" s="335"/>
      <c r="AGX51" s="335"/>
      <c r="AGY51" s="335"/>
      <c r="AGZ51" s="335"/>
      <c r="AHA51" s="335"/>
      <c r="AHB51" s="335"/>
      <c r="AHC51" s="335"/>
      <c r="AHD51" s="335"/>
      <c r="AHE51" s="335"/>
      <c r="AHF51" s="335"/>
      <c r="AHG51" s="335"/>
      <c r="AHH51" s="335"/>
      <c r="AHI51" s="335"/>
      <c r="AHJ51" s="335"/>
      <c r="AHK51" s="335"/>
      <c r="AHL51" s="335"/>
      <c r="AHM51" s="335"/>
      <c r="AHN51" s="335"/>
      <c r="AHO51" s="335"/>
      <c r="AHP51" s="335"/>
      <c r="AHQ51" s="335"/>
      <c r="AHR51" s="335"/>
      <c r="AHS51" s="335"/>
      <c r="AHT51" s="335"/>
      <c r="AHU51" s="335"/>
      <c r="AHV51" s="335"/>
      <c r="AHW51" s="335"/>
      <c r="AHX51" s="335"/>
      <c r="AHY51" s="335"/>
      <c r="AHZ51" s="335"/>
      <c r="AIA51" s="335"/>
      <c r="AIB51" s="335"/>
    </row>
    <row r="52" spans="1:912" s="172" customFormat="1">
      <c r="B52" s="174"/>
      <c r="ABE52" s="336"/>
      <c r="ABF52" s="335"/>
      <c r="ABG52" s="335"/>
      <c r="ABH52" s="335"/>
      <c r="ABI52" s="335"/>
      <c r="ABJ52" s="335"/>
      <c r="ABK52" s="335"/>
      <c r="ABL52" s="335"/>
      <c r="ABM52" s="335"/>
      <c r="ABN52" s="335"/>
      <c r="ABO52" s="335"/>
      <c r="ABP52" s="335"/>
      <c r="ABQ52" s="335"/>
      <c r="ABR52" s="335"/>
      <c r="ABS52" s="335"/>
      <c r="ABT52" s="335"/>
      <c r="ABU52" s="335"/>
      <c r="ABV52" s="335"/>
      <c r="ABW52" s="335"/>
      <c r="ABX52" s="335"/>
      <c r="ABY52" s="335"/>
      <c r="ABZ52" s="335"/>
      <c r="ACA52" s="335"/>
      <c r="ACB52" s="335"/>
      <c r="ACC52" s="335"/>
      <c r="ACD52" s="335"/>
      <c r="ACE52" s="335"/>
      <c r="ACF52" s="335"/>
      <c r="ACG52" s="335"/>
      <c r="ACH52" s="335"/>
      <c r="ACI52" s="335"/>
      <c r="ACJ52" s="335"/>
      <c r="ACK52" s="335"/>
      <c r="ACL52" s="335"/>
      <c r="ACM52" s="335"/>
      <c r="ACN52" s="335"/>
      <c r="ACO52" s="335"/>
      <c r="ACP52" s="335"/>
      <c r="ACQ52" s="335"/>
      <c r="ACR52" s="335"/>
      <c r="ACS52" s="335"/>
      <c r="ACT52" s="335"/>
      <c r="ACU52" s="335"/>
      <c r="ACV52" s="335"/>
      <c r="ACW52" s="335"/>
      <c r="ACX52" s="335"/>
      <c r="ACY52" s="335"/>
      <c r="ACZ52" s="335"/>
      <c r="ADA52" s="335"/>
      <c r="ADB52" s="335"/>
      <c r="ADC52" s="335"/>
      <c r="ADD52" s="335"/>
      <c r="ADE52" s="335"/>
      <c r="ADF52" s="335"/>
      <c r="ADG52" s="335"/>
      <c r="ADH52" s="335"/>
      <c r="ADI52" s="335"/>
      <c r="ADJ52" s="335"/>
      <c r="ADK52" s="335"/>
      <c r="ADL52" s="335"/>
      <c r="ADM52" s="335"/>
      <c r="ADN52" s="335"/>
      <c r="ADO52" s="335"/>
      <c r="ADP52" s="335"/>
      <c r="ADQ52" s="335"/>
      <c r="ADR52" s="335"/>
      <c r="ADS52" s="335"/>
      <c r="ADT52" s="335"/>
      <c r="ADU52" s="335"/>
      <c r="ADV52" s="335"/>
      <c r="ADW52" s="335"/>
      <c r="ADX52" s="335"/>
      <c r="ADY52" s="335"/>
      <c r="ADZ52" s="335"/>
      <c r="AEA52" s="335"/>
      <c r="AEB52" s="335"/>
      <c r="AEC52" s="335"/>
      <c r="AED52" s="335"/>
      <c r="AEE52" s="335"/>
      <c r="AEF52" s="335"/>
      <c r="AEG52" s="335"/>
      <c r="AEH52" s="335"/>
      <c r="AEI52" s="335"/>
      <c r="AEJ52" s="335"/>
      <c r="AEK52" s="335"/>
      <c r="AEL52" s="335"/>
      <c r="AEM52" s="335"/>
      <c r="AEN52" s="335"/>
      <c r="AEO52" s="335"/>
      <c r="AEP52" s="335"/>
      <c r="AEQ52" s="335"/>
      <c r="AER52" s="335"/>
      <c r="AES52" s="335"/>
      <c r="AET52" s="335"/>
      <c r="AEU52" s="335"/>
      <c r="AEV52" s="335"/>
      <c r="AEW52" s="335"/>
      <c r="AEX52" s="335"/>
      <c r="AEY52" s="335"/>
      <c r="AEZ52" s="335"/>
      <c r="AFA52" s="335"/>
      <c r="AFB52" s="335"/>
      <c r="AFC52" s="335"/>
      <c r="AFD52" s="335"/>
      <c r="AFE52" s="335"/>
      <c r="AFF52" s="335"/>
      <c r="AFG52" s="335"/>
      <c r="AFH52" s="335"/>
      <c r="AFI52" s="335"/>
      <c r="AFJ52" s="335"/>
      <c r="AFK52" s="335"/>
      <c r="AFL52" s="335"/>
      <c r="AFM52" s="335"/>
      <c r="AFN52" s="335"/>
      <c r="AFO52" s="335"/>
      <c r="AFP52" s="335"/>
      <c r="AFQ52" s="335"/>
      <c r="AFR52" s="335"/>
      <c r="AFS52" s="335"/>
      <c r="AFT52" s="335"/>
      <c r="AFU52" s="335"/>
      <c r="AFV52" s="335"/>
      <c r="AFW52" s="335"/>
      <c r="AFX52" s="335"/>
      <c r="AFY52" s="335"/>
      <c r="AFZ52" s="335"/>
      <c r="AGA52" s="335"/>
      <c r="AGB52" s="335"/>
      <c r="AGC52" s="335"/>
      <c r="AGD52" s="335"/>
      <c r="AGE52" s="335"/>
      <c r="AGF52" s="335"/>
      <c r="AGG52" s="335"/>
      <c r="AGH52" s="335"/>
      <c r="AGI52" s="335"/>
      <c r="AGJ52" s="335"/>
      <c r="AGK52" s="335"/>
      <c r="AGL52" s="335"/>
      <c r="AGM52" s="335"/>
      <c r="AGN52" s="335"/>
      <c r="AGO52" s="335"/>
      <c r="AGP52" s="335"/>
      <c r="AGQ52" s="335"/>
      <c r="AGR52" s="335"/>
      <c r="AGS52" s="335"/>
      <c r="AGT52" s="335"/>
      <c r="AGU52" s="335"/>
      <c r="AGV52" s="335"/>
      <c r="AGW52" s="335"/>
      <c r="AGX52" s="335"/>
      <c r="AGY52" s="335"/>
      <c r="AGZ52" s="335"/>
      <c r="AHA52" s="335"/>
      <c r="AHB52" s="335"/>
      <c r="AHC52" s="335"/>
      <c r="AHD52" s="335"/>
      <c r="AHE52" s="335"/>
      <c r="AHF52" s="335"/>
      <c r="AHG52" s="335"/>
      <c r="AHH52" s="335"/>
      <c r="AHI52" s="335"/>
      <c r="AHJ52" s="335"/>
      <c r="AHK52" s="335"/>
      <c r="AHL52" s="335"/>
      <c r="AHM52" s="335"/>
      <c r="AHN52" s="335"/>
      <c r="AHO52" s="335"/>
      <c r="AHP52" s="335"/>
      <c r="AHQ52" s="335"/>
      <c r="AHR52" s="335"/>
      <c r="AHS52" s="335"/>
      <c r="AHT52" s="335"/>
      <c r="AHU52" s="335"/>
      <c r="AHV52" s="335"/>
      <c r="AHW52" s="335"/>
      <c r="AHX52" s="335"/>
      <c r="AHY52" s="335"/>
      <c r="AHZ52" s="335"/>
      <c r="AIA52" s="335"/>
      <c r="AIB52" s="335"/>
    </row>
    <row r="53" spans="1:912" s="172" customFormat="1" ht="17.25" customHeight="1">
      <c r="A53" s="187"/>
      <c r="B53" s="205" t="s">
        <v>118</v>
      </c>
      <c r="C53" s="484" t="s">
        <v>111</v>
      </c>
      <c r="D53" s="485"/>
      <c r="E53" s="486" t="s">
        <v>112</v>
      </c>
      <c r="F53" s="485"/>
      <c r="G53" s="486" t="s">
        <v>113</v>
      </c>
      <c r="H53" s="485"/>
      <c r="I53" s="486" t="s">
        <v>103</v>
      </c>
      <c r="J53" s="485"/>
      <c r="K53" s="486" t="s">
        <v>107</v>
      </c>
      <c r="L53" s="485"/>
      <c r="M53" s="486" t="s">
        <v>108</v>
      </c>
      <c r="N53" s="485"/>
      <c r="ABE53" s="336"/>
      <c r="ABF53" s="335"/>
      <c r="ABG53" s="335"/>
      <c r="ABH53" s="335"/>
      <c r="ABI53" s="335"/>
      <c r="ABJ53" s="335"/>
      <c r="ABK53" s="335"/>
      <c r="ABL53" s="335"/>
      <c r="ABM53" s="335"/>
      <c r="ABN53" s="335"/>
      <c r="ABO53" s="335"/>
      <c r="ABP53" s="335"/>
      <c r="ABQ53" s="335"/>
      <c r="ABR53" s="335"/>
      <c r="ABS53" s="335"/>
      <c r="ABT53" s="335"/>
      <c r="ABU53" s="335"/>
      <c r="ABV53" s="335"/>
      <c r="ABW53" s="335"/>
      <c r="ABX53" s="335"/>
      <c r="ABY53" s="335"/>
      <c r="ABZ53" s="335"/>
      <c r="ACA53" s="335"/>
      <c r="ACB53" s="335"/>
      <c r="ACC53" s="335"/>
      <c r="ACD53" s="335"/>
      <c r="ACE53" s="335"/>
      <c r="ACF53" s="335"/>
      <c r="ACG53" s="335"/>
      <c r="ACH53" s="335"/>
      <c r="ACI53" s="335"/>
      <c r="ACJ53" s="335"/>
      <c r="ACK53" s="335"/>
      <c r="ACL53" s="335"/>
      <c r="ACM53" s="335"/>
      <c r="ACN53" s="335"/>
      <c r="ACO53" s="335"/>
      <c r="ACP53" s="335"/>
      <c r="ACQ53" s="335"/>
      <c r="ACR53" s="335"/>
      <c r="ACS53" s="335"/>
      <c r="ACT53" s="335"/>
      <c r="ACU53" s="335"/>
      <c r="ACV53" s="335"/>
      <c r="ACW53" s="335"/>
      <c r="ACX53" s="335"/>
      <c r="ACY53" s="335"/>
      <c r="ACZ53" s="335"/>
      <c r="ADA53" s="335"/>
      <c r="ADB53" s="335"/>
      <c r="ADC53" s="335"/>
      <c r="ADD53" s="335"/>
      <c r="ADE53" s="335"/>
      <c r="ADF53" s="335"/>
      <c r="ADG53" s="335"/>
      <c r="ADH53" s="335"/>
      <c r="ADI53" s="335"/>
      <c r="ADJ53" s="335"/>
      <c r="ADK53" s="335"/>
      <c r="ADL53" s="335"/>
      <c r="ADM53" s="335"/>
      <c r="ADN53" s="335"/>
      <c r="ADO53" s="335"/>
      <c r="ADP53" s="335"/>
      <c r="ADQ53" s="335"/>
      <c r="ADR53" s="335"/>
      <c r="ADS53" s="335"/>
      <c r="ADT53" s="335"/>
      <c r="ADU53" s="335"/>
      <c r="ADV53" s="335"/>
      <c r="ADW53" s="335"/>
      <c r="ADX53" s="335"/>
      <c r="ADY53" s="335"/>
      <c r="ADZ53" s="335"/>
      <c r="AEA53" s="335"/>
      <c r="AEB53" s="335"/>
      <c r="AEC53" s="335"/>
      <c r="AED53" s="335"/>
      <c r="AEE53" s="335"/>
      <c r="AEF53" s="335"/>
      <c r="AEG53" s="335"/>
      <c r="AEH53" s="335"/>
      <c r="AEI53" s="335"/>
      <c r="AEJ53" s="335"/>
      <c r="AEK53" s="335"/>
      <c r="AEL53" s="335"/>
      <c r="AEM53" s="335"/>
      <c r="AEN53" s="335"/>
      <c r="AEO53" s="335"/>
      <c r="AEP53" s="335"/>
      <c r="AEQ53" s="335"/>
      <c r="AER53" s="335"/>
      <c r="AES53" s="335"/>
      <c r="AET53" s="335"/>
      <c r="AEU53" s="335"/>
      <c r="AEV53" s="335"/>
      <c r="AEW53" s="335"/>
      <c r="AEX53" s="335"/>
      <c r="AEY53" s="335"/>
      <c r="AEZ53" s="335"/>
      <c r="AFA53" s="335"/>
      <c r="AFB53" s="335"/>
      <c r="AFC53" s="335"/>
      <c r="AFD53" s="335"/>
      <c r="AFE53" s="335"/>
      <c r="AFF53" s="335"/>
      <c r="AFG53" s="335"/>
      <c r="AFH53" s="335"/>
      <c r="AFI53" s="335"/>
      <c r="AFJ53" s="335"/>
      <c r="AFK53" s="335"/>
      <c r="AFL53" s="335"/>
      <c r="AFM53" s="335"/>
      <c r="AFN53" s="335"/>
      <c r="AFO53" s="335"/>
      <c r="AFP53" s="335"/>
      <c r="AFQ53" s="335"/>
      <c r="AFR53" s="335"/>
      <c r="AFS53" s="335"/>
      <c r="AFT53" s="335"/>
      <c r="AFU53" s="335"/>
      <c r="AFV53" s="335"/>
      <c r="AFW53" s="335"/>
      <c r="AFX53" s="335"/>
      <c r="AFY53" s="335"/>
      <c r="AFZ53" s="335"/>
      <c r="AGA53" s="335"/>
      <c r="AGB53" s="335"/>
      <c r="AGC53" s="335"/>
      <c r="AGD53" s="335"/>
      <c r="AGE53" s="335"/>
      <c r="AGF53" s="335"/>
      <c r="AGG53" s="335"/>
      <c r="AGH53" s="335"/>
      <c r="AGI53" s="335"/>
      <c r="AGJ53" s="335"/>
      <c r="AGK53" s="335"/>
      <c r="AGL53" s="335"/>
      <c r="AGM53" s="335"/>
      <c r="AGN53" s="335"/>
      <c r="AGO53" s="335"/>
      <c r="AGP53" s="335"/>
      <c r="AGQ53" s="335"/>
      <c r="AGR53" s="335"/>
      <c r="AGS53" s="335"/>
      <c r="AGT53" s="335"/>
      <c r="AGU53" s="335"/>
      <c r="AGV53" s="335"/>
      <c r="AGW53" s="335"/>
      <c r="AGX53" s="335"/>
      <c r="AGY53" s="335"/>
      <c r="AGZ53" s="335"/>
      <c r="AHA53" s="335"/>
      <c r="AHB53" s="335"/>
      <c r="AHC53" s="335"/>
      <c r="AHD53" s="335"/>
      <c r="AHE53" s="335"/>
      <c r="AHF53" s="335"/>
      <c r="AHG53" s="335"/>
      <c r="AHH53" s="335"/>
      <c r="AHI53" s="335"/>
      <c r="AHJ53" s="335"/>
      <c r="AHK53" s="335"/>
      <c r="AHL53" s="335"/>
      <c r="AHM53" s="335"/>
      <c r="AHN53" s="335"/>
      <c r="AHO53" s="335"/>
      <c r="AHP53" s="335"/>
      <c r="AHQ53" s="335"/>
      <c r="AHR53" s="335"/>
      <c r="AHS53" s="335"/>
      <c r="AHT53" s="335"/>
      <c r="AHU53" s="335"/>
      <c r="AHV53" s="335"/>
      <c r="AHW53" s="335"/>
      <c r="AHX53" s="335"/>
      <c r="AHY53" s="335"/>
      <c r="AHZ53" s="335"/>
      <c r="AIA53" s="335"/>
      <c r="AIB53" s="335"/>
    </row>
    <row r="54" spans="1:912" s="172" customFormat="1" ht="18" customHeight="1">
      <c r="A54" s="187"/>
      <c r="B54" s="205" t="s">
        <v>92</v>
      </c>
      <c r="C54" s="487">
        <f>SUM(C48:BJ48)</f>
        <v>0</v>
      </c>
      <c r="D54" s="488"/>
      <c r="E54" s="489">
        <f>SUM(BK48:DP48)</f>
        <v>0</v>
      </c>
      <c r="F54" s="488"/>
      <c r="G54" s="489">
        <f>SUM(DQ48:FZ48)</f>
        <v>-3395676</v>
      </c>
      <c r="H54" s="488"/>
      <c r="I54" s="489"/>
      <c r="J54" s="488"/>
      <c r="K54" s="489"/>
      <c r="L54" s="488"/>
      <c r="M54" s="489"/>
      <c r="N54" s="488"/>
      <c r="ABE54" s="336"/>
      <c r="ABF54" s="335"/>
      <c r="ABG54" s="335"/>
      <c r="ABH54" s="335"/>
      <c r="ABI54" s="335"/>
      <c r="ABJ54" s="335"/>
      <c r="ABK54" s="335"/>
      <c r="ABL54" s="335"/>
      <c r="ABM54" s="335"/>
      <c r="ABN54" s="335"/>
      <c r="ABO54" s="335"/>
      <c r="ABP54" s="335"/>
      <c r="ABQ54" s="335"/>
      <c r="ABR54" s="335"/>
      <c r="ABS54" s="335"/>
      <c r="ABT54" s="335"/>
      <c r="ABU54" s="335"/>
      <c r="ABV54" s="335"/>
      <c r="ABW54" s="335"/>
      <c r="ABX54" s="335"/>
      <c r="ABY54" s="335"/>
      <c r="ABZ54" s="335"/>
      <c r="ACA54" s="335"/>
      <c r="ACB54" s="335"/>
      <c r="ACC54" s="335"/>
      <c r="ACD54" s="335"/>
      <c r="ACE54" s="335"/>
      <c r="ACF54" s="335"/>
      <c r="ACG54" s="335"/>
      <c r="ACH54" s="335"/>
      <c r="ACI54" s="335"/>
      <c r="ACJ54" s="335"/>
      <c r="ACK54" s="335"/>
      <c r="ACL54" s="335"/>
      <c r="ACM54" s="335"/>
      <c r="ACN54" s="335"/>
      <c r="ACO54" s="335"/>
      <c r="ACP54" s="335"/>
      <c r="ACQ54" s="335"/>
      <c r="ACR54" s="335"/>
      <c r="ACS54" s="335"/>
      <c r="ACT54" s="335"/>
      <c r="ACU54" s="335"/>
      <c r="ACV54" s="335"/>
      <c r="ACW54" s="335"/>
      <c r="ACX54" s="335"/>
      <c r="ACY54" s="335"/>
      <c r="ACZ54" s="335"/>
      <c r="ADA54" s="335"/>
      <c r="ADB54" s="335"/>
      <c r="ADC54" s="335"/>
      <c r="ADD54" s="335"/>
      <c r="ADE54" s="335"/>
      <c r="ADF54" s="335"/>
      <c r="ADG54" s="335"/>
      <c r="ADH54" s="335"/>
      <c r="ADI54" s="335"/>
      <c r="ADJ54" s="335"/>
      <c r="ADK54" s="335"/>
      <c r="ADL54" s="335"/>
      <c r="ADM54" s="335"/>
      <c r="ADN54" s="335"/>
      <c r="ADO54" s="335"/>
      <c r="ADP54" s="335"/>
      <c r="ADQ54" s="335"/>
      <c r="ADR54" s="335"/>
      <c r="ADS54" s="335"/>
      <c r="ADT54" s="335"/>
      <c r="ADU54" s="335"/>
      <c r="ADV54" s="335"/>
      <c r="ADW54" s="335"/>
      <c r="ADX54" s="335"/>
      <c r="ADY54" s="335"/>
      <c r="ADZ54" s="335"/>
      <c r="AEA54" s="335"/>
      <c r="AEB54" s="335"/>
      <c r="AEC54" s="335"/>
      <c r="AED54" s="335"/>
      <c r="AEE54" s="335"/>
      <c r="AEF54" s="335"/>
      <c r="AEG54" s="335"/>
      <c r="AEH54" s="335"/>
      <c r="AEI54" s="335"/>
      <c r="AEJ54" s="335"/>
      <c r="AEK54" s="335"/>
      <c r="AEL54" s="335"/>
      <c r="AEM54" s="335"/>
      <c r="AEN54" s="335"/>
      <c r="AEO54" s="335"/>
      <c r="AEP54" s="335"/>
      <c r="AEQ54" s="335"/>
      <c r="AER54" s="335"/>
      <c r="AES54" s="335"/>
      <c r="AET54" s="335"/>
      <c r="AEU54" s="335"/>
      <c r="AEV54" s="335"/>
      <c r="AEW54" s="335"/>
      <c r="AEX54" s="335"/>
      <c r="AEY54" s="335"/>
      <c r="AEZ54" s="335"/>
      <c r="AFA54" s="335"/>
      <c r="AFB54" s="335"/>
      <c r="AFC54" s="335"/>
      <c r="AFD54" s="335"/>
      <c r="AFE54" s="335"/>
      <c r="AFF54" s="335"/>
      <c r="AFG54" s="335"/>
      <c r="AFH54" s="335"/>
      <c r="AFI54" s="335"/>
      <c r="AFJ54" s="335"/>
      <c r="AFK54" s="335"/>
      <c r="AFL54" s="335"/>
      <c r="AFM54" s="335"/>
      <c r="AFN54" s="335"/>
      <c r="AFO54" s="335"/>
      <c r="AFP54" s="335"/>
      <c r="AFQ54" s="335"/>
      <c r="AFR54" s="335"/>
      <c r="AFS54" s="335"/>
      <c r="AFT54" s="335"/>
      <c r="AFU54" s="335"/>
      <c r="AFV54" s="335"/>
      <c r="AFW54" s="335"/>
      <c r="AFX54" s="335"/>
      <c r="AFY54" s="335"/>
      <c r="AFZ54" s="335"/>
      <c r="AGA54" s="335"/>
      <c r="AGB54" s="335"/>
      <c r="AGC54" s="335"/>
      <c r="AGD54" s="335"/>
      <c r="AGE54" s="335"/>
      <c r="AGF54" s="335"/>
      <c r="AGG54" s="335"/>
      <c r="AGH54" s="335"/>
      <c r="AGI54" s="335"/>
      <c r="AGJ54" s="335"/>
      <c r="AGK54" s="335"/>
      <c r="AGL54" s="335"/>
      <c r="AGM54" s="335"/>
      <c r="AGN54" s="335"/>
      <c r="AGO54" s="335"/>
      <c r="AGP54" s="335"/>
      <c r="AGQ54" s="335"/>
      <c r="AGR54" s="335"/>
      <c r="AGS54" s="335"/>
      <c r="AGT54" s="335"/>
      <c r="AGU54" s="335"/>
      <c r="AGV54" s="335"/>
      <c r="AGW54" s="335"/>
      <c r="AGX54" s="335"/>
      <c r="AGY54" s="335"/>
      <c r="AGZ54" s="335"/>
      <c r="AHA54" s="335"/>
      <c r="AHB54" s="335"/>
      <c r="AHC54" s="335"/>
      <c r="AHD54" s="335"/>
      <c r="AHE54" s="335"/>
      <c r="AHF54" s="335"/>
      <c r="AHG54" s="335"/>
      <c r="AHH54" s="335"/>
      <c r="AHI54" s="335"/>
      <c r="AHJ54" s="335"/>
      <c r="AHK54" s="335"/>
      <c r="AHL54" s="335"/>
      <c r="AHM54" s="335"/>
      <c r="AHN54" s="335"/>
      <c r="AHO54" s="335"/>
      <c r="AHP54" s="335"/>
      <c r="AHQ54" s="335"/>
      <c r="AHR54" s="335"/>
      <c r="AHS54" s="335"/>
      <c r="AHT54" s="335"/>
      <c r="AHU54" s="335"/>
      <c r="AHV54" s="335"/>
      <c r="AHW54" s="335"/>
      <c r="AHX54" s="335"/>
      <c r="AHY54" s="335"/>
      <c r="AHZ54" s="335"/>
      <c r="AIA54" s="335"/>
      <c r="AIB54" s="335"/>
    </row>
    <row r="55" spans="1:912" s="172" customFormat="1" ht="15.75">
      <c r="A55" s="187"/>
      <c r="B55" s="188"/>
      <c r="C55" s="187"/>
      <c r="D55" s="187"/>
      <c r="E55" s="187"/>
      <c r="F55" s="187"/>
      <c r="G55" s="187"/>
      <c r="H55" s="187"/>
      <c r="I55" s="187"/>
      <c r="J55" s="187"/>
      <c r="K55" s="187"/>
      <c r="L55" s="187"/>
      <c r="M55" s="187"/>
      <c r="N55" s="187"/>
      <c r="ABE55" s="336"/>
      <c r="ABF55" s="335"/>
      <c r="ABG55" s="335"/>
      <c r="ABH55" s="335"/>
      <c r="ABI55" s="335"/>
      <c r="ABJ55" s="335"/>
      <c r="ABK55" s="335"/>
      <c r="ABL55" s="335"/>
      <c r="ABM55" s="335"/>
      <c r="ABN55" s="335"/>
      <c r="ABO55" s="335"/>
      <c r="ABP55" s="335"/>
      <c r="ABQ55" s="335"/>
      <c r="ABR55" s="335"/>
      <c r="ABS55" s="335"/>
      <c r="ABT55" s="335"/>
      <c r="ABU55" s="335"/>
      <c r="ABV55" s="335"/>
      <c r="ABW55" s="335"/>
      <c r="ABX55" s="335"/>
      <c r="ABY55" s="335"/>
      <c r="ABZ55" s="335"/>
      <c r="ACA55" s="335"/>
      <c r="ACB55" s="335"/>
      <c r="ACC55" s="335"/>
      <c r="ACD55" s="335"/>
      <c r="ACE55" s="335"/>
      <c r="ACF55" s="335"/>
      <c r="ACG55" s="335"/>
      <c r="ACH55" s="335"/>
      <c r="ACI55" s="335"/>
      <c r="ACJ55" s="335"/>
      <c r="ACK55" s="335"/>
      <c r="ACL55" s="335"/>
      <c r="ACM55" s="335"/>
      <c r="ACN55" s="335"/>
      <c r="ACO55" s="335"/>
      <c r="ACP55" s="335"/>
      <c r="ACQ55" s="335"/>
      <c r="ACR55" s="335"/>
      <c r="ACS55" s="335"/>
      <c r="ACT55" s="335"/>
      <c r="ACU55" s="335"/>
      <c r="ACV55" s="335"/>
      <c r="ACW55" s="335"/>
      <c r="ACX55" s="335"/>
      <c r="ACY55" s="335"/>
      <c r="ACZ55" s="335"/>
      <c r="ADA55" s="335"/>
      <c r="ADB55" s="335"/>
      <c r="ADC55" s="335"/>
      <c r="ADD55" s="335"/>
      <c r="ADE55" s="335"/>
      <c r="ADF55" s="335"/>
      <c r="ADG55" s="335"/>
      <c r="ADH55" s="335"/>
      <c r="ADI55" s="335"/>
      <c r="ADJ55" s="335"/>
      <c r="ADK55" s="335"/>
      <c r="ADL55" s="335"/>
      <c r="ADM55" s="335"/>
      <c r="ADN55" s="335"/>
      <c r="ADO55" s="335"/>
      <c r="ADP55" s="335"/>
      <c r="ADQ55" s="335"/>
      <c r="ADR55" s="335"/>
      <c r="ADS55" s="335"/>
      <c r="ADT55" s="335"/>
      <c r="ADU55" s="335"/>
      <c r="ADV55" s="335"/>
      <c r="ADW55" s="335"/>
      <c r="ADX55" s="335"/>
      <c r="ADY55" s="335"/>
      <c r="ADZ55" s="335"/>
      <c r="AEA55" s="335"/>
      <c r="AEB55" s="335"/>
      <c r="AEC55" s="335"/>
      <c r="AED55" s="335"/>
      <c r="AEE55" s="335"/>
      <c r="AEF55" s="335"/>
      <c r="AEG55" s="335"/>
      <c r="AEH55" s="335"/>
      <c r="AEI55" s="335"/>
      <c r="AEJ55" s="335"/>
      <c r="AEK55" s="335"/>
      <c r="AEL55" s="335"/>
      <c r="AEM55" s="335"/>
      <c r="AEN55" s="335"/>
      <c r="AEO55" s="335"/>
      <c r="AEP55" s="335"/>
      <c r="AEQ55" s="335"/>
      <c r="AER55" s="335"/>
      <c r="AES55" s="335"/>
      <c r="AET55" s="335"/>
      <c r="AEU55" s="335"/>
      <c r="AEV55" s="335"/>
      <c r="AEW55" s="335"/>
      <c r="AEX55" s="335"/>
      <c r="AEY55" s="335"/>
      <c r="AEZ55" s="335"/>
      <c r="AFA55" s="335"/>
      <c r="AFB55" s="335"/>
      <c r="AFC55" s="335"/>
      <c r="AFD55" s="335"/>
      <c r="AFE55" s="335"/>
      <c r="AFF55" s="335"/>
      <c r="AFG55" s="335"/>
      <c r="AFH55" s="335"/>
      <c r="AFI55" s="335"/>
      <c r="AFJ55" s="335"/>
      <c r="AFK55" s="335"/>
      <c r="AFL55" s="335"/>
      <c r="AFM55" s="335"/>
      <c r="AFN55" s="335"/>
      <c r="AFO55" s="335"/>
      <c r="AFP55" s="335"/>
      <c r="AFQ55" s="335"/>
      <c r="AFR55" s="335"/>
      <c r="AFS55" s="335"/>
      <c r="AFT55" s="335"/>
      <c r="AFU55" s="335"/>
      <c r="AFV55" s="335"/>
      <c r="AFW55" s="335"/>
      <c r="AFX55" s="335"/>
      <c r="AFY55" s="335"/>
      <c r="AFZ55" s="335"/>
      <c r="AGA55" s="335"/>
      <c r="AGB55" s="335"/>
      <c r="AGC55" s="335"/>
      <c r="AGD55" s="335"/>
      <c r="AGE55" s="335"/>
      <c r="AGF55" s="335"/>
      <c r="AGG55" s="335"/>
      <c r="AGH55" s="335"/>
      <c r="AGI55" s="335"/>
      <c r="AGJ55" s="335"/>
      <c r="AGK55" s="335"/>
      <c r="AGL55" s="335"/>
      <c r="AGM55" s="335"/>
      <c r="AGN55" s="335"/>
      <c r="AGO55" s="335"/>
      <c r="AGP55" s="335"/>
      <c r="AGQ55" s="335"/>
      <c r="AGR55" s="335"/>
      <c r="AGS55" s="335"/>
      <c r="AGT55" s="335"/>
      <c r="AGU55" s="335"/>
      <c r="AGV55" s="335"/>
      <c r="AGW55" s="335"/>
      <c r="AGX55" s="335"/>
      <c r="AGY55" s="335"/>
      <c r="AGZ55" s="335"/>
      <c r="AHA55" s="335"/>
      <c r="AHB55" s="335"/>
      <c r="AHC55" s="335"/>
      <c r="AHD55" s="335"/>
      <c r="AHE55" s="335"/>
      <c r="AHF55" s="335"/>
      <c r="AHG55" s="335"/>
      <c r="AHH55" s="335"/>
      <c r="AHI55" s="335"/>
      <c r="AHJ55" s="335"/>
      <c r="AHK55" s="335"/>
      <c r="AHL55" s="335"/>
      <c r="AHM55" s="335"/>
      <c r="AHN55" s="335"/>
      <c r="AHO55" s="335"/>
      <c r="AHP55" s="335"/>
      <c r="AHQ55" s="335"/>
      <c r="AHR55" s="335"/>
      <c r="AHS55" s="335"/>
      <c r="AHT55" s="335"/>
      <c r="AHU55" s="335"/>
      <c r="AHV55" s="335"/>
      <c r="AHW55" s="335"/>
      <c r="AHX55" s="335"/>
      <c r="AHY55" s="335"/>
      <c r="AHZ55" s="335"/>
      <c r="AIA55" s="335"/>
      <c r="AIB55" s="335"/>
    </row>
    <row r="56" spans="1:912" s="172" customFormat="1" ht="17.25" customHeight="1">
      <c r="A56" s="187"/>
      <c r="B56" s="205" t="s">
        <v>118</v>
      </c>
      <c r="C56" s="484" t="s">
        <v>109</v>
      </c>
      <c r="D56" s="485"/>
      <c r="E56" s="486" t="s">
        <v>110</v>
      </c>
      <c r="F56" s="485"/>
      <c r="G56" s="486" t="s">
        <v>114</v>
      </c>
      <c r="H56" s="485"/>
      <c r="I56" s="486" t="s">
        <v>115</v>
      </c>
      <c r="J56" s="485"/>
      <c r="K56" s="486" t="s">
        <v>116</v>
      </c>
      <c r="L56" s="485"/>
      <c r="M56" s="486" t="s">
        <v>117</v>
      </c>
      <c r="N56" s="485"/>
      <c r="ABE56" s="336"/>
      <c r="ABF56" s="335"/>
      <c r="ABG56" s="335"/>
      <c r="ABH56" s="335"/>
      <c r="ABI56" s="335"/>
      <c r="ABJ56" s="335"/>
      <c r="ABK56" s="335"/>
      <c r="ABL56" s="335"/>
      <c r="ABM56" s="335"/>
      <c r="ABN56" s="335"/>
      <c r="ABO56" s="335"/>
      <c r="ABP56" s="335"/>
      <c r="ABQ56" s="335"/>
      <c r="ABR56" s="335"/>
      <c r="ABS56" s="335"/>
      <c r="ABT56" s="335"/>
      <c r="ABU56" s="335"/>
      <c r="ABV56" s="335"/>
      <c r="ABW56" s="335"/>
      <c r="ABX56" s="335"/>
      <c r="ABY56" s="335"/>
      <c r="ABZ56" s="335"/>
      <c r="ACA56" s="335"/>
      <c r="ACB56" s="335"/>
      <c r="ACC56" s="335"/>
      <c r="ACD56" s="335"/>
      <c r="ACE56" s="335"/>
      <c r="ACF56" s="335"/>
      <c r="ACG56" s="335"/>
      <c r="ACH56" s="335"/>
      <c r="ACI56" s="335"/>
      <c r="ACJ56" s="335"/>
      <c r="ACK56" s="335"/>
      <c r="ACL56" s="335"/>
      <c r="ACM56" s="335"/>
      <c r="ACN56" s="335"/>
      <c r="ACO56" s="335"/>
      <c r="ACP56" s="335"/>
      <c r="ACQ56" s="335"/>
      <c r="ACR56" s="335"/>
      <c r="ACS56" s="335"/>
      <c r="ACT56" s="335"/>
      <c r="ACU56" s="335"/>
      <c r="ACV56" s="335"/>
      <c r="ACW56" s="335"/>
      <c r="ACX56" s="335"/>
      <c r="ACY56" s="335"/>
      <c r="ACZ56" s="335"/>
      <c r="ADA56" s="335"/>
      <c r="ADB56" s="335"/>
      <c r="ADC56" s="335"/>
      <c r="ADD56" s="335"/>
      <c r="ADE56" s="335"/>
      <c r="ADF56" s="335"/>
      <c r="ADG56" s="335"/>
      <c r="ADH56" s="335"/>
      <c r="ADI56" s="335"/>
      <c r="ADJ56" s="335"/>
      <c r="ADK56" s="335"/>
      <c r="ADL56" s="335"/>
      <c r="ADM56" s="335"/>
      <c r="ADN56" s="335"/>
      <c r="ADO56" s="335"/>
      <c r="ADP56" s="335"/>
      <c r="ADQ56" s="335"/>
      <c r="ADR56" s="335"/>
      <c r="ADS56" s="335"/>
      <c r="ADT56" s="335"/>
      <c r="ADU56" s="335"/>
      <c r="ADV56" s="335"/>
      <c r="ADW56" s="335"/>
      <c r="ADX56" s="335"/>
      <c r="ADY56" s="335"/>
      <c r="ADZ56" s="335"/>
      <c r="AEA56" s="335"/>
      <c r="AEB56" s="335"/>
      <c r="AEC56" s="335"/>
      <c r="AED56" s="335"/>
      <c r="AEE56" s="335"/>
      <c r="AEF56" s="335"/>
      <c r="AEG56" s="335"/>
      <c r="AEH56" s="335"/>
      <c r="AEI56" s="335"/>
      <c r="AEJ56" s="335"/>
      <c r="AEK56" s="335"/>
      <c r="AEL56" s="335"/>
      <c r="AEM56" s="335"/>
      <c r="AEN56" s="335"/>
      <c r="AEO56" s="335"/>
      <c r="AEP56" s="335"/>
      <c r="AEQ56" s="335"/>
      <c r="AER56" s="335"/>
      <c r="AES56" s="335"/>
      <c r="AET56" s="335"/>
      <c r="AEU56" s="335"/>
      <c r="AEV56" s="335"/>
      <c r="AEW56" s="335"/>
      <c r="AEX56" s="335"/>
      <c r="AEY56" s="335"/>
      <c r="AEZ56" s="335"/>
      <c r="AFA56" s="335"/>
      <c r="AFB56" s="335"/>
      <c r="AFC56" s="335"/>
      <c r="AFD56" s="335"/>
      <c r="AFE56" s="335"/>
      <c r="AFF56" s="335"/>
      <c r="AFG56" s="335"/>
      <c r="AFH56" s="335"/>
      <c r="AFI56" s="335"/>
      <c r="AFJ56" s="335"/>
      <c r="AFK56" s="335"/>
      <c r="AFL56" s="335"/>
      <c r="AFM56" s="335"/>
      <c r="AFN56" s="335"/>
      <c r="AFO56" s="335"/>
      <c r="AFP56" s="335"/>
      <c r="AFQ56" s="335"/>
      <c r="AFR56" s="335"/>
      <c r="AFS56" s="335"/>
      <c r="AFT56" s="335"/>
      <c r="AFU56" s="335"/>
      <c r="AFV56" s="335"/>
      <c r="AFW56" s="335"/>
      <c r="AFX56" s="335"/>
      <c r="AFY56" s="335"/>
      <c r="AFZ56" s="335"/>
      <c r="AGA56" s="335"/>
      <c r="AGB56" s="335"/>
      <c r="AGC56" s="335"/>
      <c r="AGD56" s="335"/>
      <c r="AGE56" s="335"/>
      <c r="AGF56" s="335"/>
      <c r="AGG56" s="335"/>
      <c r="AGH56" s="335"/>
      <c r="AGI56" s="335"/>
      <c r="AGJ56" s="335"/>
      <c r="AGK56" s="335"/>
      <c r="AGL56" s="335"/>
      <c r="AGM56" s="335"/>
      <c r="AGN56" s="335"/>
      <c r="AGO56" s="335"/>
      <c r="AGP56" s="335"/>
      <c r="AGQ56" s="335"/>
      <c r="AGR56" s="335"/>
      <c r="AGS56" s="335"/>
      <c r="AGT56" s="335"/>
      <c r="AGU56" s="335"/>
      <c r="AGV56" s="335"/>
      <c r="AGW56" s="335"/>
      <c r="AGX56" s="335"/>
      <c r="AGY56" s="335"/>
      <c r="AGZ56" s="335"/>
      <c r="AHA56" s="335"/>
      <c r="AHB56" s="335"/>
      <c r="AHC56" s="335"/>
      <c r="AHD56" s="335"/>
      <c r="AHE56" s="335"/>
      <c r="AHF56" s="335"/>
      <c r="AHG56" s="335"/>
      <c r="AHH56" s="335"/>
      <c r="AHI56" s="335"/>
      <c r="AHJ56" s="335"/>
      <c r="AHK56" s="335"/>
      <c r="AHL56" s="335"/>
      <c r="AHM56" s="335"/>
      <c r="AHN56" s="335"/>
      <c r="AHO56" s="335"/>
      <c r="AHP56" s="335"/>
      <c r="AHQ56" s="335"/>
      <c r="AHR56" s="335"/>
      <c r="AHS56" s="335"/>
      <c r="AHT56" s="335"/>
      <c r="AHU56" s="335"/>
      <c r="AHV56" s="335"/>
      <c r="AHW56" s="335"/>
      <c r="AHX56" s="335"/>
      <c r="AHY56" s="335"/>
      <c r="AHZ56" s="335"/>
      <c r="AIA56" s="335"/>
      <c r="AIB56" s="335"/>
    </row>
    <row r="57" spans="1:912" s="172" customFormat="1" ht="17.25" customHeight="1">
      <c r="A57" s="187"/>
      <c r="B57" s="205" t="s">
        <v>92</v>
      </c>
      <c r="C57" s="487"/>
      <c r="D57" s="488"/>
      <c r="E57" s="489"/>
      <c r="F57" s="488"/>
      <c r="G57" s="489"/>
      <c r="H57" s="488"/>
      <c r="I57" s="489"/>
      <c r="J57" s="488"/>
      <c r="K57" s="489"/>
      <c r="L57" s="488"/>
      <c r="M57" s="489"/>
      <c r="N57" s="488"/>
      <c r="ABE57" s="336"/>
      <c r="ABF57" s="335"/>
      <c r="ABG57" s="335"/>
      <c r="ABH57" s="335"/>
      <c r="ABI57" s="335"/>
      <c r="ABJ57" s="335"/>
      <c r="ABK57" s="335"/>
      <c r="ABL57" s="335"/>
      <c r="ABM57" s="335"/>
      <c r="ABN57" s="335"/>
      <c r="ABO57" s="335"/>
      <c r="ABP57" s="335"/>
      <c r="ABQ57" s="335"/>
      <c r="ABR57" s="335"/>
      <c r="ABS57" s="335"/>
      <c r="ABT57" s="335"/>
      <c r="ABU57" s="335"/>
      <c r="ABV57" s="335"/>
      <c r="ABW57" s="335"/>
      <c r="ABX57" s="335"/>
      <c r="ABY57" s="335"/>
      <c r="ABZ57" s="335"/>
      <c r="ACA57" s="335"/>
      <c r="ACB57" s="335"/>
      <c r="ACC57" s="335"/>
      <c r="ACD57" s="335"/>
      <c r="ACE57" s="335"/>
      <c r="ACF57" s="335"/>
      <c r="ACG57" s="335"/>
      <c r="ACH57" s="335"/>
      <c r="ACI57" s="335"/>
      <c r="ACJ57" s="335"/>
      <c r="ACK57" s="335"/>
      <c r="ACL57" s="335"/>
      <c r="ACM57" s="335"/>
      <c r="ACN57" s="335"/>
      <c r="ACO57" s="335"/>
      <c r="ACP57" s="335"/>
      <c r="ACQ57" s="335"/>
      <c r="ACR57" s="335"/>
      <c r="ACS57" s="335"/>
      <c r="ACT57" s="335"/>
      <c r="ACU57" s="335"/>
      <c r="ACV57" s="335"/>
      <c r="ACW57" s="335"/>
      <c r="ACX57" s="335"/>
      <c r="ACY57" s="335"/>
      <c r="ACZ57" s="335"/>
      <c r="ADA57" s="335"/>
      <c r="ADB57" s="335"/>
      <c r="ADC57" s="335"/>
      <c r="ADD57" s="335"/>
      <c r="ADE57" s="335"/>
      <c r="ADF57" s="335"/>
      <c r="ADG57" s="335"/>
      <c r="ADH57" s="335"/>
      <c r="ADI57" s="335"/>
      <c r="ADJ57" s="335"/>
      <c r="ADK57" s="335"/>
      <c r="ADL57" s="335"/>
      <c r="ADM57" s="335"/>
      <c r="ADN57" s="335"/>
      <c r="ADO57" s="335"/>
      <c r="ADP57" s="335"/>
      <c r="ADQ57" s="335"/>
      <c r="ADR57" s="335"/>
      <c r="ADS57" s="335"/>
      <c r="ADT57" s="335"/>
      <c r="ADU57" s="335"/>
      <c r="ADV57" s="335"/>
      <c r="ADW57" s="335"/>
      <c r="ADX57" s="335"/>
      <c r="ADY57" s="335"/>
      <c r="ADZ57" s="335"/>
      <c r="AEA57" s="335"/>
      <c r="AEB57" s="335"/>
      <c r="AEC57" s="335"/>
      <c r="AED57" s="335"/>
      <c r="AEE57" s="335"/>
      <c r="AEF57" s="335"/>
      <c r="AEG57" s="335"/>
      <c r="AEH57" s="335"/>
      <c r="AEI57" s="335"/>
      <c r="AEJ57" s="335"/>
      <c r="AEK57" s="335"/>
      <c r="AEL57" s="335"/>
      <c r="AEM57" s="335"/>
      <c r="AEN57" s="335"/>
      <c r="AEO57" s="335"/>
      <c r="AEP57" s="335"/>
      <c r="AEQ57" s="335"/>
      <c r="AER57" s="335"/>
      <c r="AES57" s="335"/>
      <c r="AET57" s="335"/>
      <c r="AEU57" s="335"/>
      <c r="AEV57" s="335"/>
      <c r="AEW57" s="335"/>
      <c r="AEX57" s="335"/>
      <c r="AEY57" s="335"/>
      <c r="AEZ57" s="335"/>
      <c r="AFA57" s="335"/>
      <c r="AFB57" s="335"/>
      <c r="AFC57" s="335"/>
      <c r="AFD57" s="335"/>
      <c r="AFE57" s="335"/>
      <c r="AFF57" s="335"/>
      <c r="AFG57" s="335"/>
      <c r="AFH57" s="335"/>
      <c r="AFI57" s="335"/>
      <c r="AFJ57" s="335"/>
      <c r="AFK57" s="335"/>
      <c r="AFL57" s="335"/>
      <c r="AFM57" s="335"/>
      <c r="AFN57" s="335"/>
      <c r="AFO57" s="335"/>
      <c r="AFP57" s="335"/>
      <c r="AFQ57" s="335"/>
      <c r="AFR57" s="335"/>
      <c r="AFS57" s="335"/>
      <c r="AFT57" s="335"/>
      <c r="AFU57" s="335"/>
      <c r="AFV57" s="335"/>
      <c r="AFW57" s="335"/>
      <c r="AFX57" s="335"/>
      <c r="AFY57" s="335"/>
      <c r="AFZ57" s="335"/>
      <c r="AGA57" s="335"/>
      <c r="AGB57" s="335"/>
      <c r="AGC57" s="335"/>
      <c r="AGD57" s="335"/>
      <c r="AGE57" s="335"/>
      <c r="AGF57" s="335"/>
      <c r="AGG57" s="335"/>
      <c r="AGH57" s="335"/>
      <c r="AGI57" s="335"/>
      <c r="AGJ57" s="335"/>
      <c r="AGK57" s="335"/>
      <c r="AGL57" s="335"/>
      <c r="AGM57" s="335"/>
      <c r="AGN57" s="335"/>
      <c r="AGO57" s="335"/>
      <c r="AGP57" s="335"/>
      <c r="AGQ57" s="335"/>
      <c r="AGR57" s="335"/>
      <c r="AGS57" s="335"/>
      <c r="AGT57" s="335"/>
      <c r="AGU57" s="335"/>
      <c r="AGV57" s="335"/>
      <c r="AGW57" s="335"/>
      <c r="AGX57" s="335"/>
      <c r="AGY57" s="335"/>
      <c r="AGZ57" s="335"/>
      <c r="AHA57" s="335"/>
      <c r="AHB57" s="335"/>
      <c r="AHC57" s="335"/>
      <c r="AHD57" s="335"/>
      <c r="AHE57" s="335"/>
      <c r="AHF57" s="335"/>
      <c r="AHG57" s="335"/>
      <c r="AHH57" s="335"/>
      <c r="AHI57" s="335"/>
      <c r="AHJ57" s="335"/>
      <c r="AHK57" s="335"/>
      <c r="AHL57" s="335"/>
      <c r="AHM57" s="335"/>
      <c r="AHN57" s="335"/>
      <c r="AHO57" s="335"/>
      <c r="AHP57" s="335"/>
      <c r="AHQ57" s="335"/>
      <c r="AHR57" s="335"/>
      <c r="AHS57" s="335"/>
      <c r="AHT57" s="335"/>
      <c r="AHU57" s="335"/>
      <c r="AHV57" s="335"/>
      <c r="AHW57" s="335"/>
      <c r="AHX57" s="335"/>
      <c r="AHY57" s="335"/>
      <c r="AHZ57" s="335"/>
      <c r="AIA57" s="335"/>
      <c r="AIB57" s="335"/>
    </row>
    <row r="58" spans="1:912" s="172" customFormat="1">
      <c r="B58" s="174"/>
      <c r="ABE58" s="336"/>
      <c r="ABF58" s="335"/>
      <c r="ABG58" s="335"/>
      <c r="ABH58" s="335"/>
      <c r="ABI58" s="335"/>
      <c r="ABJ58" s="335"/>
      <c r="ABK58" s="335"/>
      <c r="ABL58" s="335"/>
      <c r="ABM58" s="335"/>
      <c r="ABN58" s="335"/>
      <c r="ABO58" s="335"/>
      <c r="ABP58" s="335"/>
      <c r="ABQ58" s="335"/>
      <c r="ABR58" s="335"/>
      <c r="ABS58" s="335"/>
      <c r="ABT58" s="335"/>
      <c r="ABU58" s="335"/>
      <c r="ABV58" s="335"/>
      <c r="ABW58" s="335"/>
      <c r="ABX58" s="335"/>
      <c r="ABY58" s="335"/>
      <c r="ABZ58" s="335"/>
      <c r="ACA58" s="335"/>
      <c r="ACB58" s="335"/>
      <c r="ACC58" s="335"/>
      <c r="ACD58" s="335"/>
      <c r="ACE58" s="335"/>
      <c r="ACF58" s="335"/>
      <c r="ACG58" s="335"/>
      <c r="ACH58" s="335"/>
      <c r="ACI58" s="335"/>
      <c r="ACJ58" s="335"/>
      <c r="ACK58" s="335"/>
      <c r="ACL58" s="335"/>
      <c r="ACM58" s="335"/>
      <c r="ACN58" s="335"/>
      <c r="ACO58" s="335"/>
      <c r="ACP58" s="335"/>
      <c r="ACQ58" s="335"/>
      <c r="ACR58" s="335"/>
      <c r="ACS58" s="335"/>
      <c r="ACT58" s="335"/>
      <c r="ACU58" s="335"/>
      <c r="ACV58" s="335"/>
      <c r="ACW58" s="335"/>
      <c r="ACX58" s="335"/>
      <c r="ACY58" s="335"/>
      <c r="ACZ58" s="335"/>
      <c r="ADA58" s="335"/>
      <c r="ADB58" s="335"/>
      <c r="ADC58" s="335"/>
      <c r="ADD58" s="335"/>
      <c r="ADE58" s="335"/>
      <c r="ADF58" s="335"/>
      <c r="ADG58" s="335"/>
      <c r="ADH58" s="335"/>
      <c r="ADI58" s="335"/>
      <c r="ADJ58" s="335"/>
      <c r="ADK58" s="335"/>
      <c r="ADL58" s="335"/>
      <c r="ADM58" s="335"/>
      <c r="ADN58" s="335"/>
      <c r="ADO58" s="335"/>
      <c r="ADP58" s="335"/>
      <c r="ADQ58" s="335"/>
      <c r="ADR58" s="335"/>
      <c r="ADS58" s="335"/>
      <c r="ADT58" s="335"/>
      <c r="ADU58" s="335"/>
      <c r="ADV58" s="335"/>
      <c r="ADW58" s="335"/>
      <c r="ADX58" s="335"/>
      <c r="ADY58" s="335"/>
      <c r="ADZ58" s="335"/>
      <c r="AEA58" s="335"/>
      <c r="AEB58" s="335"/>
      <c r="AEC58" s="335"/>
      <c r="AED58" s="335"/>
      <c r="AEE58" s="335"/>
      <c r="AEF58" s="335"/>
      <c r="AEG58" s="335"/>
      <c r="AEH58" s="335"/>
      <c r="AEI58" s="335"/>
      <c r="AEJ58" s="335"/>
      <c r="AEK58" s="335"/>
      <c r="AEL58" s="335"/>
      <c r="AEM58" s="335"/>
      <c r="AEN58" s="335"/>
      <c r="AEO58" s="335"/>
      <c r="AEP58" s="335"/>
      <c r="AEQ58" s="335"/>
      <c r="AER58" s="335"/>
      <c r="AES58" s="335"/>
      <c r="AET58" s="335"/>
      <c r="AEU58" s="335"/>
      <c r="AEV58" s="335"/>
      <c r="AEW58" s="335"/>
      <c r="AEX58" s="335"/>
      <c r="AEY58" s="335"/>
      <c r="AEZ58" s="335"/>
      <c r="AFA58" s="335"/>
      <c r="AFB58" s="335"/>
      <c r="AFC58" s="335"/>
      <c r="AFD58" s="335"/>
      <c r="AFE58" s="335"/>
      <c r="AFF58" s="335"/>
      <c r="AFG58" s="335"/>
      <c r="AFH58" s="335"/>
      <c r="AFI58" s="335"/>
      <c r="AFJ58" s="335"/>
      <c r="AFK58" s="335"/>
      <c r="AFL58" s="335"/>
      <c r="AFM58" s="335"/>
      <c r="AFN58" s="335"/>
      <c r="AFO58" s="335"/>
      <c r="AFP58" s="335"/>
      <c r="AFQ58" s="335"/>
      <c r="AFR58" s="335"/>
      <c r="AFS58" s="335"/>
      <c r="AFT58" s="335"/>
      <c r="AFU58" s="335"/>
      <c r="AFV58" s="335"/>
      <c r="AFW58" s="335"/>
      <c r="AFX58" s="335"/>
      <c r="AFY58" s="335"/>
      <c r="AFZ58" s="335"/>
      <c r="AGA58" s="335"/>
      <c r="AGB58" s="335"/>
      <c r="AGC58" s="335"/>
      <c r="AGD58" s="335"/>
      <c r="AGE58" s="335"/>
      <c r="AGF58" s="335"/>
      <c r="AGG58" s="335"/>
      <c r="AGH58" s="335"/>
      <c r="AGI58" s="335"/>
      <c r="AGJ58" s="335"/>
      <c r="AGK58" s="335"/>
      <c r="AGL58" s="335"/>
      <c r="AGM58" s="335"/>
      <c r="AGN58" s="335"/>
      <c r="AGO58" s="335"/>
      <c r="AGP58" s="335"/>
      <c r="AGQ58" s="335"/>
      <c r="AGR58" s="335"/>
      <c r="AGS58" s="335"/>
      <c r="AGT58" s="335"/>
      <c r="AGU58" s="335"/>
      <c r="AGV58" s="335"/>
      <c r="AGW58" s="335"/>
      <c r="AGX58" s="335"/>
      <c r="AGY58" s="335"/>
      <c r="AGZ58" s="335"/>
      <c r="AHA58" s="335"/>
      <c r="AHB58" s="335"/>
      <c r="AHC58" s="335"/>
      <c r="AHD58" s="335"/>
      <c r="AHE58" s="335"/>
      <c r="AHF58" s="335"/>
      <c r="AHG58" s="335"/>
      <c r="AHH58" s="335"/>
      <c r="AHI58" s="335"/>
      <c r="AHJ58" s="335"/>
      <c r="AHK58" s="335"/>
      <c r="AHL58" s="335"/>
      <c r="AHM58" s="335"/>
      <c r="AHN58" s="335"/>
      <c r="AHO58" s="335"/>
      <c r="AHP58" s="335"/>
      <c r="AHQ58" s="335"/>
      <c r="AHR58" s="335"/>
      <c r="AHS58" s="335"/>
      <c r="AHT58" s="335"/>
      <c r="AHU58" s="335"/>
      <c r="AHV58" s="335"/>
      <c r="AHW58" s="335"/>
      <c r="AHX58" s="335"/>
      <c r="AHY58" s="335"/>
      <c r="AHZ58" s="335"/>
      <c r="AIA58" s="335"/>
      <c r="AIB58" s="335"/>
    </row>
    <row r="59" spans="1:912" s="172" customFormat="1">
      <c r="B59" s="174"/>
      <c r="ABE59" s="336"/>
      <c r="ABF59" s="335"/>
      <c r="ABG59" s="335"/>
      <c r="ABH59" s="335"/>
      <c r="ABI59" s="335"/>
      <c r="ABJ59" s="335"/>
      <c r="ABK59" s="335"/>
      <c r="ABL59" s="335"/>
      <c r="ABM59" s="335"/>
      <c r="ABN59" s="335"/>
      <c r="ABO59" s="335"/>
      <c r="ABP59" s="335"/>
      <c r="ABQ59" s="335"/>
      <c r="ABR59" s="335"/>
      <c r="ABS59" s="335"/>
      <c r="ABT59" s="335"/>
      <c r="ABU59" s="335"/>
      <c r="ABV59" s="335"/>
      <c r="ABW59" s="335"/>
      <c r="ABX59" s="335"/>
      <c r="ABY59" s="335"/>
      <c r="ABZ59" s="335"/>
      <c r="ACA59" s="335"/>
      <c r="ACB59" s="335"/>
      <c r="ACC59" s="335"/>
      <c r="ACD59" s="335"/>
      <c r="ACE59" s="335"/>
      <c r="ACF59" s="335"/>
      <c r="ACG59" s="335"/>
      <c r="ACH59" s="335"/>
      <c r="ACI59" s="335"/>
      <c r="ACJ59" s="335"/>
      <c r="ACK59" s="335"/>
      <c r="ACL59" s="335"/>
      <c r="ACM59" s="335"/>
      <c r="ACN59" s="335"/>
      <c r="ACO59" s="335"/>
      <c r="ACP59" s="335"/>
      <c r="ACQ59" s="335"/>
      <c r="ACR59" s="335"/>
      <c r="ACS59" s="335"/>
      <c r="ACT59" s="335"/>
      <c r="ACU59" s="335"/>
      <c r="ACV59" s="335"/>
      <c r="ACW59" s="335"/>
      <c r="ACX59" s="335"/>
      <c r="ACY59" s="335"/>
      <c r="ACZ59" s="335"/>
      <c r="ADA59" s="335"/>
      <c r="ADB59" s="335"/>
      <c r="ADC59" s="335"/>
      <c r="ADD59" s="335"/>
      <c r="ADE59" s="335"/>
      <c r="ADF59" s="335"/>
      <c r="ADG59" s="335"/>
      <c r="ADH59" s="335"/>
      <c r="ADI59" s="335"/>
      <c r="ADJ59" s="335"/>
      <c r="ADK59" s="335"/>
      <c r="ADL59" s="335"/>
      <c r="ADM59" s="335"/>
      <c r="ADN59" s="335"/>
      <c r="ADO59" s="335"/>
      <c r="ADP59" s="335"/>
      <c r="ADQ59" s="335"/>
      <c r="ADR59" s="335"/>
      <c r="ADS59" s="335"/>
      <c r="ADT59" s="335"/>
      <c r="ADU59" s="335"/>
      <c r="ADV59" s="335"/>
      <c r="ADW59" s="335"/>
      <c r="ADX59" s="335"/>
      <c r="ADY59" s="335"/>
      <c r="ADZ59" s="335"/>
      <c r="AEA59" s="335"/>
      <c r="AEB59" s="335"/>
      <c r="AEC59" s="335"/>
      <c r="AED59" s="335"/>
      <c r="AEE59" s="335"/>
      <c r="AEF59" s="335"/>
      <c r="AEG59" s="335"/>
      <c r="AEH59" s="335"/>
      <c r="AEI59" s="335"/>
      <c r="AEJ59" s="335"/>
      <c r="AEK59" s="335"/>
      <c r="AEL59" s="335"/>
      <c r="AEM59" s="335"/>
      <c r="AEN59" s="335"/>
      <c r="AEO59" s="335"/>
      <c r="AEP59" s="335"/>
      <c r="AEQ59" s="335"/>
      <c r="AER59" s="335"/>
      <c r="AES59" s="335"/>
      <c r="AET59" s="335"/>
      <c r="AEU59" s="335"/>
      <c r="AEV59" s="335"/>
      <c r="AEW59" s="335"/>
      <c r="AEX59" s="335"/>
      <c r="AEY59" s="335"/>
      <c r="AEZ59" s="335"/>
      <c r="AFA59" s="335"/>
      <c r="AFB59" s="335"/>
      <c r="AFC59" s="335"/>
      <c r="AFD59" s="335"/>
      <c r="AFE59" s="335"/>
      <c r="AFF59" s="335"/>
      <c r="AFG59" s="335"/>
      <c r="AFH59" s="335"/>
      <c r="AFI59" s="335"/>
      <c r="AFJ59" s="335"/>
      <c r="AFK59" s="335"/>
      <c r="AFL59" s="335"/>
      <c r="AFM59" s="335"/>
      <c r="AFN59" s="335"/>
      <c r="AFO59" s="335"/>
      <c r="AFP59" s="335"/>
      <c r="AFQ59" s="335"/>
      <c r="AFR59" s="335"/>
      <c r="AFS59" s="335"/>
      <c r="AFT59" s="335"/>
      <c r="AFU59" s="335"/>
      <c r="AFV59" s="335"/>
      <c r="AFW59" s="335"/>
      <c r="AFX59" s="335"/>
      <c r="AFY59" s="335"/>
      <c r="AFZ59" s="335"/>
      <c r="AGA59" s="335"/>
      <c r="AGB59" s="335"/>
      <c r="AGC59" s="335"/>
      <c r="AGD59" s="335"/>
      <c r="AGE59" s="335"/>
      <c r="AGF59" s="335"/>
      <c r="AGG59" s="335"/>
      <c r="AGH59" s="335"/>
      <c r="AGI59" s="335"/>
      <c r="AGJ59" s="335"/>
      <c r="AGK59" s="335"/>
      <c r="AGL59" s="335"/>
      <c r="AGM59" s="335"/>
      <c r="AGN59" s="335"/>
      <c r="AGO59" s="335"/>
      <c r="AGP59" s="335"/>
      <c r="AGQ59" s="335"/>
      <c r="AGR59" s="335"/>
      <c r="AGS59" s="335"/>
      <c r="AGT59" s="335"/>
      <c r="AGU59" s="335"/>
      <c r="AGV59" s="335"/>
      <c r="AGW59" s="335"/>
      <c r="AGX59" s="335"/>
      <c r="AGY59" s="335"/>
      <c r="AGZ59" s="335"/>
      <c r="AHA59" s="335"/>
      <c r="AHB59" s="335"/>
      <c r="AHC59" s="335"/>
      <c r="AHD59" s="335"/>
      <c r="AHE59" s="335"/>
      <c r="AHF59" s="335"/>
      <c r="AHG59" s="335"/>
      <c r="AHH59" s="335"/>
      <c r="AHI59" s="335"/>
      <c r="AHJ59" s="335"/>
      <c r="AHK59" s="335"/>
      <c r="AHL59" s="335"/>
      <c r="AHM59" s="335"/>
      <c r="AHN59" s="335"/>
      <c r="AHO59" s="335"/>
      <c r="AHP59" s="335"/>
      <c r="AHQ59" s="335"/>
      <c r="AHR59" s="335"/>
      <c r="AHS59" s="335"/>
      <c r="AHT59" s="335"/>
      <c r="AHU59" s="335"/>
      <c r="AHV59" s="335"/>
      <c r="AHW59" s="335"/>
      <c r="AHX59" s="335"/>
      <c r="AHY59" s="335"/>
      <c r="AHZ59" s="335"/>
      <c r="AIA59" s="335"/>
      <c r="AIB59" s="335"/>
    </row>
    <row r="60" spans="1:912" s="172" customFormat="1">
      <c r="B60" s="174"/>
      <c r="ABE60" s="336"/>
      <c r="ABF60" s="335"/>
      <c r="ABG60" s="335"/>
      <c r="ABH60" s="335"/>
      <c r="ABI60" s="335"/>
      <c r="ABJ60" s="335"/>
      <c r="ABK60" s="335"/>
      <c r="ABL60" s="335"/>
      <c r="ABM60" s="335"/>
      <c r="ABN60" s="335"/>
      <c r="ABO60" s="335"/>
      <c r="ABP60" s="335"/>
      <c r="ABQ60" s="335"/>
      <c r="ABR60" s="335"/>
      <c r="ABS60" s="335"/>
      <c r="ABT60" s="335"/>
      <c r="ABU60" s="335"/>
      <c r="ABV60" s="335"/>
      <c r="ABW60" s="335"/>
      <c r="ABX60" s="335"/>
      <c r="ABY60" s="335"/>
      <c r="ABZ60" s="335"/>
      <c r="ACA60" s="335"/>
      <c r="ACB60" s="335"/>
      <c r="ACC60" s="335"/>
      <c r="ACD60" s="335"/>
      <c r="ACE60" s="335"/>
      <c r="ACF60" s="335"/>
      <c r="ACG60" s="335"/>
      <c r="ACH60" s="335"/>
      <c r="ACI60" s="335"/>
      <c r="ACJ60" s="335"/>
      <c r="ACK60" s="335"/>
      <c r="ACL60" s="335"/>
      <c r="ACM60" s="335"/>
      <c r="ACN60" s="335"/>
      <c r="ACO60" s="335"/>
      <c r="ACP60" s="335"/>
      <c r="ACQ60" s="335"/>
      <c r="ACR60" s="335"/>
      <c r="ACS60" s="335"/>
      <c r="ACT60" s="335"/>
      <c r="ACU60" s="335"/>
      <c r="ACV60" s="335"/>
      <c r="ACW60" s="335"/>
      <c r="ACX60" s="335"/>
      <c r="ACY60" s="335"/>
      <c r="ACZ60" s="335"/>
      <c r="ADA60" s="335"/>
      <c r="ADB60" s="335"/>
      <c r="ADC60" s="335"/>
      <c r="ADD60" s="335"/>
      <c r="ADE60" s="335"/>
      <c r="ADF60" s="335"/>
      <c r="ADG60" s="335"/>
      <c r="ADH60" s="335"/>
      <c r="ADI60" s="335"/>
      <c r="ADJ60" s="335"/>
      <c r="ADK60" s="335"/>
      <c r="ADL60" s="335"/>
      <c r="ADM60" s="335"/>
      <c r="ADN60" s="335"/>
      <c r="ADO60" s="335"/>
      <c r="ADP60" s="335"/>
      <c r="ADQ60" s="335"/>
      <c r="ADR60" s="335"/>
      <c r="ADS60" s="335"/>
      <c r="ADT60" s="335"/>
      <c r="ADU60" s="335"/>
      <c r="ADV60" s="335"/>
      <c r="ADW60" s="335"/>
      <c r="ADX60" s="335"/>
      <c r="ADY60" s="335"/>
      <c r="ADZ60" s="335"/>
      <c r="AEA60" s="335"/>
      <c r="AEB60" s="335"/>
      <c r="AEC60" s="335"/>
      <c r="AED60" s="335"/>
      <c r="AEE60" s="335"/>
      <c r="AEF60" s="335"/>
      <c r="AEG60" s="335"/>
      <c r="AEH60" s="335"/>
      <c r="AEI60" s="335"/>
      <c r="AEJ60" s="335"/>
      <c r="AEK60" s="335"/>
      <c r="AEL60" s="335"/>
      <c r="AEM60" s="335"/>
      <c r="AEN60" s="335"/>
      <c r="AEO60" s="335"/>
      <c r="AEP60" s="335"/>
      <c r="AEQ60" s="335"/>
      <c r="AER60" s="335"/>
      <c r="AES60" s="335"/>
      <c r="AET60" s="335"/>
      <c r="AEU60" s="335"/>
      <c r="AEV60" s="335"/>
      <c r="AEW60" s="335"/>
      <c r="AEX60" s="335"/>
      <c r="AEY60" s="335"/>
      <c r="AEZ60" s="335"/>
      <c r="AFA60" s="335"/>
      <c r="AFB60" s="335"/>
      <c r="AFC60" s="335"/>
      <c r="AFD60" s="335"/>
      <c r="AFE60" s="335"/>
      <c r="AFF60" s="335"/>
      <c r="AFG60" s="335"/>
      <c r="AFH60" s="335"/>
      <c r="AFI60" s="335"/>
      <c r="AFJ60" s="335"/>
      <c r="AFK60" s="335"/>
      <c r="AFL60" s="335"/>
      <c r="AFM60" s="335"/>
      <c r="AFN60" s="335"/>
      <c r="AFO60" s="335"/>
      <c r="AFP60" s="335"/>
      <c r="AFQ60" s="335"/>
      <c r="AFR60" s="335"/>
      <c r="AFS60" s="335"/>
      <c r="AFT60" s="335"/>
      <c r="AFU60" s="335"/>
      <c r="AFV60" s="335"/>
      <c r="AFW60" s="335"/>
      <c r="AFX60" s="335"/>
      <c r="AFY60" s="335"/>
      <c r="AFZ60" s="335"/>
      <c r="AGA60" s="335"/>
      <c r="AGB60" s="335"/>
      <c r="AGC60" s="335"/>
      <c r="AGD60" s="335"/>
      <c r="AGE60" s="335"/>
      <c r="AGF60" s="335"/>
      <c r="AGG60" s="335"/>
      <c r="AGH60" s="335"/>
      <c r="AGI60" s="335"/>
      <c r="AGJ60" s="335"/>
      <c r="AGK60" s="335"/>
      <c r="AGL60" s="335"/>
      <c r="AGM60" s="335"/>
      <c r="AGN60" s="335"/>
      <c r="AGO60" s="335"/>
      <c r="AGP60" s="335"/>
      <c r="AGQ60" s="335"/>
      <c r="AGR60" s="335"/>
      <c r="AGS60" s="335"/>
      <c r="AGT60" s="335"/>
      <c r="AGU60" s="335"/>
      <c r="AGV60" s="335"/>
      <c r="AGW60" s="335"/>
      <c r="AGX60" s="335"/>
      <c r="AGY60" s="335"/>
      <c r="AGZ60" s="335"/>
      <c r="AHA60" s="335"/>
      <c r="AHB60" s="335"/>
      <c r="AHC60" s="335"/>
      <c r="AHD60" s="335"/>
      <c r="AHE60" s="335"/>
      <c r="AHF60" s="335"/>
      <c r="AHG60" s="335"/>
      <c r="AHH60" s="335"/>
      <c r="AHI60" s="335"/>
      <c r="AHJ60" s="335"/>
      <c r="AHK60" s="335"/>
      <c r="AHL60" s="335"/>
      <c r="AHM60" s="335"/>
      <c r="AHN60" s="335"/>
      <c r="AHO60" s="335"/>
      <c r="AHP60" s="335"/>
      <c r="AHQ60" s="335"/>
      <c r="AHR60" s="335"/>
      <c r="AHS60" s="335"/>
      <c r="AHT60" s="335"/>
      <c r="AHU60" s="335"/>
      <c r="AHV60" s="335"/>
      <c r="AHW60" s="335"/>
      <c r="AHX60" s="335"/>
      <c r="AHY60" s="335"/>
      <c r="AHZ60" s="335"/>
      <c r="AIA60" s="335"/>
      <c r="AIB60" s="335"/>
    </row>
    <row r="61" spans="1:912" s="172" customFormat="1">
      <c r="B61" s="174"/>
      <c r="ABE61" s="336"/>
      <c r="ABF61" s="335"/>
      <c r="ABG61" s="335"/>
      <c r="ABH61" s="335"/>
      <c r="ABI61" s="335"/>
      <c r="ABJ61" s="335"/>
      <c r="ABK61" s="335"/>
      <c r="ABL61" s="335"/>
      <c r="ABM61" s="335"/>
      <c r="ABN61" s="335"/>
      <c r="ABO61" s="335"/>
      <c r="ABP61" s="335"/>
      <c r="ABQ61" s="335"/>
      <c r="ABR61" s="335"/>
      <c r="ABS61" s="335"/>
      <c r="ABT61" s="335"/>
      <c r="ABU61" s="335"/>
      <c r="ABV61" s="335"/>
      <c r="ABW61" s="335"/>
      <c r="ABX61" s="335"/>
      <c r="ABY61" s="335"/>
      <c r="ABZ61" s="335"/>
      <c r="ACA61" s="335"/>
      <c r="ACB61" s="335"/>
      <c r="ACC61" s="335"/>
      <c r="ACD61" s="335"/>
      <c r="ACE61" s="335"/>
      <c r="ACF61" s="335"/>
      <c r="ACG61" s="335"/>
      <c r="ACH61" s="335"/>
      <c r="ACI61" s="335"/>
      <c r="ACJ61" s="335"/>
      <c r="ACK61" s="335"/>
      <c r="ACL61" s="335"/>
      <c r="ACM61" s="335"/>
      <c r="ACN61" s="335"/>
      <c r="ACO61" s="335"/>
      <c r="ACP61" s="335"/>
      <c r="ACQ61" s="335"/>
      <c r="ACR61" s="335"/>
      <c r="ACS61" s="335"/>
      <c r="ACT61" s="335"/>
      <c r="ACU61" s="335"/>
      <c r="ACV61" s="335"/>
      <c r="ACW61" s="335"/>
      <c r="ACX61" s="335"/>
      <c r="ACY61" s="335"/>
      <c r="ACZ61" s="335"/>
      <c r="ADA61" s="335"/>
      <c r="ADB61" s="335"/>
      <c r="ADC61" s="335"/>
      <c r="ADD61" s="335"/>
      <c r="ADE61" s="335"/>
      <c r="ADF61" s="335"/>
      <c r="ADG61" s="335"/>
      <c r="ADH61" s="335"/>
      <c r="ADI61" s="335"/>
      <c r="ADJ61" s="335"/>
      <c r="ADK61" s="335"/>
      <c r="ADL61" s="335"/>
      <c r="ADM61" s="335"/>
      <c r="ADN61" s="335"/>
      <c r="ADO61" s="335"/>
      <c r="ADP61" s="335"/>
      <c r="ADQ61" s="335"/>
      <c r="ADR61" s="335"/>
      <c r="ADS61" s="335"/>
      <c r="ADT61" s="335"/>
      <c r="ADU61" s="335"/>
      <c r="ADV61" s="335"/>
      <c r="ADW61" s="335"/>
      <c r="ADX61" s="335"/>
      <c r="ADY61" s="335"/>
      <c r="ADZ61" s="335"/>
      <c r="AEA61" s="335"/>
      <c r="AEB61" s="335"/>
      <c r="AEC61" s="335"/>
      <c r="AED61" s="335"/>
      <c r="AEE61" s="335"/>
      <c r="AEF61" s="335"/>
      <c r="AEG61" s="335"/>
      <c r="AEH61" s="335"/>
      <c r="AEI61" s="335"/>
      <c r="AEJ61" s="335"/>
      <c r="AEK61" s="335"/>
      <c r="AEL61" s="335"/>
      <c r="AEM61" s="335"/>
      <c r="AEN61" s="335"/>
      <c r="AEO61" s="335"/>
      <c r="AEP61" s="335"/>
      <c r="AEQ61" s="335"/>
      <c r="AER61" s="335"/>
      <c r="AES61" s="335"/>
      <c r="AET61" s="335"/>
      <c r="AEU61" s="335"/>
      <c r="AEV61" s="335"/>
      <c r="AEW61" s="335"/>
      <c r="AEX61" s="335"/>
      <c r="AEY61" s="335"/>
      <c r="AEZ61" s="335"/>
      <c r="AFA61" s="335"/>
      <c r="AFB61" s="335"/>
      <c r="AFC61" s="335"/>
      <c r="AFD61" s="335"/>
      <c r="AFE61" s="335"/>
      <c r="AFF61" s="335"/>
      <c r="AFG61" s="335"/>
      <c r="AFH61" s="335"/>
      <c r="AFI61" s="335"/>
      <c r="AFJ61" s="335"/>
      <c r="AFK61" s="335"/>
      <c r="AFL61" s="335"/>
      <c r="AFM61" s="335"/>
      <c r="AFN61" s="335"/>
      <c r="AFO61" s="335"/>
      <c r="AFP61" s="335"/>
      <c r="AFQ61" s="335"/>
      <c r="AFR61" s="335"/>
      <c r="AFS61" s="335"/>
      <c r="AFT61" s="335"/>
      <c r="AFU61" s="335"/>
      <c r="AFV61" s="335"/>
      <c r="AFW61" s="335"/>
      <c r="AFX61" s="335"/>
      <c r="AFY61" s="335"/>
      <c r="AFZ61" s="335"/>
      <c r="AGA61" s="335"/>
      <c r="AGB61" s="335"/>
      <c r="AGC61" s="335"/>
      <c r="AGD61" s="335"/>
      <c r="AGE61" s="335"/>
      <c r="AGF61" s="335"/>
      <c r="AGG61" s="335"/>
      <c r="AGH61" s="335"/>
      <c r="AGI61" s="335"/>
      <c r="AGJ61" s="335"/>
      <c r="AGK61" s="335"/>
      <c r="AGL61" s="335"/>
      <c r="AGM61" s="335"/>
      <c r="AGN61" s="335"/>
      <c r="AGO61" s="335"/>
      <c r="AGP61" s="335"/>
      <c r="AGQ61" s="335"/>
      <c r="AGR61" s="335"/>
      <c r="AGS61" s="335"/>
      <c r="AGT61" s="335"/>
      <c r="AGU61" s="335"/>
      <c r="AGV61" s="335"/>
      <c r="AGW61" s="335"/>
      <c r="AGX61" s="335"/>
      <c r="AGY61" s="335"/>
      <c r="AGZ61" s="335"/>
      <c r="AHA61" s="335"/>
      <c r="AHB61" s="335"/>
      <c r="AHC61" s="335"/>
      <c r="AHD61" s="335"/>
      <c r="AHE61" s="335"/>
      <c r="AHF61" s="335"/>
      <c r="AHG61" s="335"/>
      <c r="AHH61" s="335"/>
      <c r="AHI61" s="335"/>
      <c r="AHJ61" s="335"/>
      <c r="AHK61" s="335"/>
      <c r="AHL61" s="335"/>
      <c r="AHM61" s="335"/>
      <c r="AHN61" s="335"/>
      <c r="AHO61" s="335"/>
      <c r="AHP61" s="335"/>
      <c r="AHQ61" s="335"/>
      <c r="AHR61" s="335"/>
      <c r="AHS61" s="335"/>
      <c r="AHT61" s="335"/>
      <c r="AHU61" s="335"/>
      <c r="AHV61" s="335"/>
      <c r="AHW61" s="335"/>
      <c r="AHX61" s="335"/>
      <c r="AHY61" s="335"/>
      <c r="AHZ61" s="335"/>
      <c r="AIA61" s="335"/>
      <c r="AIB61" s="335"/>
    </row>
    <row r="62" spans="1:912" s="172" customFormat="1">
      <c r="B62" s="174"/>
      <c r="ABE62" s="336"/>
      <c r="ABF62" s="335"/>
      <c r="ABG62" s="335"/>
      <c r="ABH62" s="335"/>
      <c r="ABI62" s="335"/>
      <c r="ABJ62" s="335"/>
      <c r="ABK62" s="335"/>
      <c r="ABL62" s="335"/>
      <c r="ABM62" s="335"/>
      <c r="ABN62" s="335"/>
      <c r="ABO62" s="335"/>
      <c r="ABP62" s="335"/>
      <c r="ABQ62" s="335"/>
      <c r="ABR62" s="335"/>
      <c r="ABS62" s="335"/>
      <c r="ABT62" s="335"/>
      <c r="ABU62" s="335"/>
      <c r="ABV62" s="335"/>
      <c r="ABW62" s="335"/>
      <c r="ABX62" s="335"/>
      <c r="ABY62" s="335"/>
      <c r="ABZ62" s="335"/>
      <c r="ACA62" s="335"/>
      <c r="ACB62" s="335"/>
      <c r="ACC62" s="335"/>
      <c r="ACD62" s="335"/>
      <c r="ACE62" s="335"/>
      <c r="ACF62" s="335"/>
      <c r="ACG62" s="335"/>
      <c r="ACH62" s="335"/>
      <c r="ACI62" s="335"/>
      <c r="ACJ62" s="335"/>
      <c r="ACK62" s="335"/>
      <c r="ACL62" s="335"/>
      <c r="ACM62" s="335"/>
      <c r="ACN62" s="335"/>
      <c r="ACO62" s="335"/>
      <c r="ACP62" s="335"/>
      <c r="ACQ62" s="335"/>
      <c r="ACR62" s="335"/>
      <c r="ACS62" s="335"/>
      <c r="ACT62" s="335"/>
      <c r="ACU62" s="335"/>
      <c r="ACV62" s="335"/>
      <c r="ACW62" s="335"/>
      <c r="ACX62" s="335"/>
      <c r="ACY62" s="335"/>
      <c r="ACZ62" s="335"/>
      <c r="ADA62" s="335"/>
      <c r="ADB62" s="335"/>
      <c r="ADC62" s="335"/>
      <c r="ADD62" s="335"/>
      <c r="ADE62" s="335"/>
      <c r="ADF62" s="335"/>
      <c r="ADG62" s="335"/>
      <c r="ADH62" s="335"/>
      <c r="ADI62" s="335"/>
      <c r="ADJ62" s="335"/>
      <c r="ADK62" s="335"/>
      <c r="ADL62" s="335"/>
      <c r="ADM62" s="335"/>
      <c r="ADN62" s="335"/>
      <c r="ADO62" s="335"/>
      <c r="ADP62" s="335"/>
      <c r="ADQ62" s="335"/>
      <c r="ADR62" s="335"/>
      <c r="ADS62" s="335"/>
      <c r="ADT62" s="335"/>
      <c r="ADU62" s="335"/>
      <c r="ADV62" s="335"/>
      <c r="ADW62" s="335"/>
      <c r="ADX62" s="335"/>
      <c r="ADY62" s="335"/>
      <c r="ADZ62" s="335"/>
      <c r="AEA62" s="335"/>
      <c r="AEB62" s="335"/>
      <c r="AEC62" s="335"/>
      <c r="AED62" s="335"/>
      <c r="AEE62" s="335"/>
      <c r="AEF62" s="335"/>
      <c r="AEG62" s="335"/>
      <c r="AEH62" s="335"/>
      <c r="AEI62" s="335"/>
      <c r="AEJ62" s="335"/>
      <c r="AEK62" s="335"/>
      <c r="AEL62" s="335"/>
      <c r="AEM62" s="335"/>
      <c r="AEN62" s="335"/>
      <c r="AEO62" s="335"/>
      <c r="AEP62" s="335"/>
      <c r="AEQ62" s="335"/>
      <c r="AER62" s="335"/>
      <c r="AES62" s="335"/>
      <c r="AET62" s="335"/>
      <c r="AEU62" s="335"/>
      <c r="AEV62" s="335"/>
      <c r="AEW62" s="335"/>
      <c r="AEX62" s="335"/>
      <c r="AEY62" s="335"/>
      <c r="AEZ62" s="335"/>
      <c r="AFA62" s="335"/>
      <c r="AFB62" s="335"/>
      <c r="AFC62" s="335"/>
      <c r="AFD62" s="335"/>
      <c r="AFE62" s="335"/>
      <c r="AFF62" s="335"/>
      <c r="AFG62" s="335"/>
      <c r="AFH62" s="335"/>
      <c r="AFI62" s="335"/>
      <c r="AFJ62" s="335"/>
      <c r="AFK62" s="335"/>
      <c r="AFL62" s="335"/>
      <c r="AFM62" s="335"/>
      <c r="AFN62" s="335"/>
      <c r="AFO62" s="335"/>
      <c r="AFP62" s="335"/>
      <c r="AFQ62" s="335"/>
      <c r="AFR62" s="335"/>
      <c r="AFS62" s="335"/>
      <c r="AFT62" s="335"/>
      <c r="AFU62" s="335"/>
      <c r="AFV62" s="335"/>
      <c r="AFW62" s="335"/>
      <c r="AFX62" s="335"/>
      <c r="AFY62" s="335"/>
      <c r="AFZ62" s="335"/>
      <c r="AGA62" s="335"/>
      <c r="AGB62" s="335"/>
      <c r="AGC62" s="335"/>
      <c r="AGD62" s="335"/>
      <c r="AGE62" s="335"/>
      <c r="AGF62" s="335"/>
      <c r="AGG62" s="335"/>
      <c r="AGH62" s="335"/>
      <c r="AGI62" s="335"/>
      <c r="AGJ62" s="335"/>
      <c r="AGK62" s="335"/>
      <c r="AGL62" s="335"/>
      <c r="AGM62" s="335"/>
      <c r="AGN62" s="335"/>
      <c r="AGO62" s="335"/>
      <c r="AGP62" s="335"/>
      <c r="AGQ62" s="335"/>
      <c r="AGR62" s="335"/>
      <c r="AGS62" s="335"/>
      <c r="AGT62" s="335"/>
      <c r="AGU62" s="335"/>
      <c r="AGV62" s="335"/>
      <c r="AGW62" s="335"/>
      <c r="AGX62" s="335"/>
      <c r="AGY62" s="335"/>
      <c r="AGZ62" s="335"/>
      <c r="AHA62" s="335"/>
      <c r="AHB62" s="335"/>
      <c r="AHC62" s="335"/>
      <c r="AHD62" s="335"/>
      <c r="AHE62" s="335"/>
      <c r="AHF62" s="335"/>
      <c r="AHG62" s="335"/>
      <c r="AHH62" s="335"/>
      <c r="AHI62" s="335"/>
      <c r="AHJ62" s="335"/>
      <c r="AHK62" s="335"/>
      <c r="AHL62" s="335"/>
      <c r="AHM62" s="335"/>
      <c r="AHN62" s="335"/>
      <c r="AHO62" s="335"/>
      <c r="AHP62" s="335"/>
      <c r="AHQ62" s="335"/>
      <c r="AHR62" s="335"/>
      <c r="AHS62" s="335"/>
      <c r="AHT62" s="335"/>
      <c r="AHU62" s="335"/>
      <c r="AHV62" s="335"/>
      <c r="AHW62" s="335"/>
      <c r="AHX62" s="335"/>
      <c r="AHY62" s="335"/>
      <c r="AHZ62" s="335"/>
      <c r="AIA62" s="335"/>
      <c r="AIB62" s="335"/>
    </row>
    <row r="63" spans="1:912" s="172" customFormat="1">
      <c r="B63" s="174"/>
      <c r="ABE63" s="336"/>
      <c r="ABF63" s="335"/>
      <c r="ABG63" s="335"/>
      <c r="ABH63" s="335"/>
      <c r="ABI63" s="335"/>
      <c r="ABJ63" s="335"/>
      <c r="ABK63" s="335"/>
      <c r="ABL63" s="335"/>
      <c r="ABM63" s="335"/>
      <c r="ABN63" s="335"/>
      <c r="ABO63" s="335"/>
      <c r="ABP63" s="335"/>
      <c r="ABQ63" s="335"/>
      <c r="ABR63" s="335"/>
      <c r="ABS63" s="335"/>
      <c r="ABT63" s="335"/>
      <c r="ABU63" s="335"/>
      <c r="ABV63" s="335"/>
      <c r="ABW63" s="335"/>
      <c r="ABX63" s="335"/>
      <c r="ABY63" s="335"/>
      <c r="ABZ63" s="335"/>
      <c r="ACA63" s="335"/>
      <c r="ACB63" s="335"/>
      <c r="ACC63" s="335"/>
      <c r="ACD63" s="335"/>
      <c r="ACE63" s="335"/>
      <c r="ACF63" s="335"/>
      <c r="ACG63" s="335"/>
      <c r="ACH63" s="335"/>
      <c r="ACI63" s="335"/>
      <c r="ACJ63" s="335"/>
      <c r="ACK63" s="335"/>
      <c r="ACL63" s="335"/>
      <c r="ACM63" s="335"/>
      <c r="ACN63" s="335"/>
      <c r="ACO63" s="335"/>
      <c r="ACP63" s="335"/>
      <c r="ACQ63" s="335"/>
      <c r="ACR63" s="335"/>
      <c r="ACS63" s="335"/>
      <c r="ACT63" s="335"/>
      <c r="ACU63" s="335"/>
      <c r="ACV63" s="335"/>
      <c r="ACW63" s="335"/>
      <c r="ACX63" s="335"/>
      <c r="ACY63" s="335"/>
      <c r="ACZ63" s="335"/>
      <c r="ADA63" s="335"/>
      <c r="ADB63" s="335"/>
      <c r="ADC63" s="335"/>
      <c r="ADD63" s="335"/>
      <c r="ADE63" s="335"/>
      <c r="ADF63" s="335"/>
      <c r="ADG63" s="335"/>
      <c r="ADH63" s="335"/>
      <c r="ADI63" s="335"/>
      <c r="ADJ63" s="335"/>
      <c r="ADK63" s="335"/>
      <c r="ADL63" s="335"/>
      <c r="ADM63" s="335"/>
      <c r="ADN63" s="335"/>
      <c r="ADO63" s="335"/>
      <c r="ADP63" s="335"/>
      <c r="ADQ63" s="335"/>
      <c r="ADR63" s="335"/>
      <c r="ADS63" s="335"/>
      <c r="ADT63" s="335"/>
      <c r="ADU63" s="335"/>
      <c r="ADV63" s="335"/>
      <c r="ADW63" s="335"/>
      <c r="ADX63" s="335"/>
      <c r="ADY63" s="335"/>
      <c r="ADZ63" s="335"/>
      <c r="AEA63" s="335"/>
      <c r="AEB63" s="335"/>
      <c r="AEC63" s="335"/>
      <c r="AED63" s="335"/>
      <c r="AEE63" s="335"/>
      <c r="AEF63" s="335"/>
      <c r="AEG63" s="335"/>
      <c r="AEH63" s="335"/>
      <c r="AEI63" s="335"/>
      <c r="AEJ63" s="335"/>
      <c r="AEK63" s="335"/>
      <c r="AEL63" s="335"/>
      <c r="AEM63" s="335"/>
      <c r="AEN63" s="335"/>
      <c r="AEO63" s="335"/>
      <c r="AEP63" s="335"/>
      <c r="AEQ63" s="335"/>
      <c r="AER63" s="335"/>
      <c r="AES63" s="335"/>
      <c r="AET63" s="335"/>
      <c r="AEU63" s="335"/>
      <c r="AEV63" s="335"/>
      <c r="AEW63" s="335"/>
      <c r="AEX63" s="335"/>
      <c r="AEY63" s="335"/>
      <c r="AEZ63" s="335"/>
      <c r="AFA63" s="335"/>
      <c r="AFB63" s="335"/>
      <c r="AFC63" s="335"/>
      <c r="AFD63" s="335"/>
      <c r="AFE63" s="335"/>
      <c r="AFF63" s="335"/>
      <c r="AFG63" s="335"/>
      <c r="AFH63" s="335"/>
      <c r="AFI63" s="335"/>
      <c r="AFJ63" s="335"/>
      <c r="AFK63" s="335"/>
      <c r="AFL63" s="335"/>
      <c r="AFM63" s="335"/>
      <c r="AFN63" s="335"/>
      <c r="AFO63" s="335"/>
      <c r="AFP63" s="335"/>
      <c r="AFQ63" s="335"/>
      <c r="AFR63" s="335"/>
      <c r="AFS63" s="335"/>
      <c r="AFT63" s="335"/>
      <c r="AFU63" s="335"/>
      <c r="AFV63" s="335"/>
      <c r="AFW63" s="335"/>
      <c r="AFX63" s="335"/>
      <c r="AFY63" s="335"/>
      <c r="AFZ63" s="335"/>
      <c r="AGA63" s="335"/>
      <c r="AGB63" s="335"/>
      <c r="AGC63" s="335"/>
      <c r="AGD63" s="335"/>
      <c r="AGE63" s="335"/>
      <c r="AGF63" s="335"/>
      <c r="AGG63" s="335"/>
      <c r="AGH63" s="335"/>
      <c r="AGI63" s="335"/>
      <c r="AGJ63" s="335"/>
      <c r="AGK63" s="335"/>
      <c r="AGL63" s="335"/>
      <c r="AGM63" s="335"/>
      <c r="AGN63" s="335"/>
      <c r="AGO63" s="335"/>
      <c r="AGP63" s="335"/>
      <c r="AGQ63" s="335"/>
      <c r="AGR63" s="335"/>
      <c r="AGS63" s="335"/>
      <c r="AGT63" s="335"/>
      <c r="AGU63" s="335"/>
      <c r="AGV63" s="335"/>
      <c r="AGW63" s="335"/>
      <c r="AGX63" s="335"/>
      <c r="AGY63" s="335"/>
      <c r="AGZ63" s="335"/>
      <c r="AHA63" s="335"/>
      <c r="AHB63" s="335"/>
      <c r="AHC63" s="335"/>
      <c r="AHD63" s="335"/>
      <c r="AHE63" s="335"/>
      <c r="AHF63" s="335"/>
      <c r="AHG63" s="335"/>
      <c r="AHH63" s="335"/>
      <c r="AHI63" s="335"/>
      <c r="AHJ63" s="335"/>
      <c r="AHK63" s="335"/>
      <c r="AHL63" s="335"/>
      <c r="AHM63" s="335"/>
      <c r="AHN63" s="335"/>
      <c r="AHO63" s="335"/>
      <c r="AHP63" s="335"/>
      <c r="AHQ63" s="335"/>
      <c r="AHR63" s="335"/>
      <c r="AHS63" s="335"/>
      <c r="AHT63" s="335"/>
      <c r="AHU63" s="335"/>
      <c r="AHV63" s="335"/>
      <c r="AHW63" s="335"/>
      <c r="AHX63" s="335"/>
      <c r="AHY63" s="335"/>
      <c r="AHZ63" s="335"/>
      <c r="AIA63" s="335"/>
      <c r="AIB63" s="335"/>
    </row>
    <row r="64" spans="1:912" s="172" customFormat="1">
      <c r="B64" s="174"/>
      <c r="ABE64" s="336"/>
      <c r="ABF64" s="335"/>
      <c r="ABG64" s="335"/>
      <c r="ABH64" s="335"/>
      <c r="ABI64" s="335"/>
      <c r="ABJ64" s="335"/>
      <c r="ABK64" s="335"/>
      <c r="ABL64" s="335"/>
      <c r="ABM64" s="335"/>
      <c r="ABN64" s="335"/>
      <c r="ABO64" s="335"/>
      <c r="ABP64" s="335"/>
      <c r="ABQ64" s="335"/>
      <c r="ABR64" s="335"/>
      <c r="ABS64" s="335"/>
      <c r="ABT64" s="335"/>
      <c r="ABU64" s="335"/>
      <c r="ABV64" s="335"/>
      <c r="ABW64" s="335"/>
      <c r="ABX64" s="335"/>
      <c r="ABY64" s="335"/>
      <c r="ABZ64" s="335"/>
      <c r="ACA64" s="335"/>
      <c r="ACB64" s="335"/>
      <c r="ACC64" s="335"/>
      <c r="ACD64" s="335"/>
      <c r="ACE64" s="335"/>
      <c r="ACF64" s="335"/>
      <c r="ACG64" s="335"/>
      <c r="ACH64" s="335"/>
      <c r="ACI64" s="335"/>
      <c r="ACJ64" s="335"/>
      <c r="ACK64" s="335"/>
      <c r="ACL64" s="335"/>
      <c r="ACM64" s="335"/>
      <c r="ACN64" s="335"/>
      <c r="ACO64" s="335"/>
      <c r="ACP64" s="335"/>
      <c r="ACQ64" s="335"/>
      <c r="ACR64" s="335"/>
      <c r="ACS64" s="335"/>
      <c r="ACT64" s="335"/>
      <c r="ACU64" s="335"/>
      <c r="ACV64" s="335"/>
      <c r="ACW64" s="335"/>
      <c r="ACX64" s="335"/>
      <c r="ACY64" s="335"/>
      <c r="ACZ64" s="335"/>
      <c r="ADA64" s="335"/>
      <c r="ADB64" s="335"/>
      <c r="ADC64" s="335"/>
      <c r="ADD64" s="335"/>
      <c r="ADE64" s="335"/>
      <c r="ADF64" s="335"/>
      <c r="ADG64" s="335"/>
      <c r="ADH64" s="335"/>
      <c r="ADI64" s="335"/>
      <c r="ADJ64" s="335"/>
      <c r="ADK64" s="335"/>
      <c r="ADL64" s="335"/>
      <c r="ADM64" s="335"/>
      <c r="ADN64" s="335"/>
      <c r="ADO64" s="335"/>
      <c r="ADP64" s="335"/>
      <c r="ADQ64" s="335"/>
      <c r="ADR64" s="335"/>
      <c r="ADS64" s="335"/>
      <c r="ADT64" s="335"/>
      <c r="ADU64" s="335"/>
      <c r="ADV64" s="335"/>
      <c r="ADW64" s="335"/>
      <c r="ADX64" s="335"/>
      <c r="ADY64" s="335"/>
      <c r="ADZ64" s="335"/>
      <c r="AEA64" s="335"/>
      <c r="AEB64" s="335"/>
      <c r="AEC64" s="335"/>
      <c r="AED64" s="335"/>
      <c r="AEE64" s="335"/>
      <c r="AEF64" s="335"/>
      <c r="AEG64" s="335"/>
      <c r="AEH64" s="335"/>
      <c r="AEI64" s="335"/>
      <c r="AEJ64" s="335"/>
      <c r="AEK64" s="335"/>
      <c r="AEL64" s="335"/>
      <c r="AEM64" s="335"/>
      <c r="AEN64" s="335"/>
      <c r="AEO64" s="335"/>
      <c r="AEP64" s="335"/>
      <c r="AEQ64" s="335"/>
      <c r="AER64" s="335"/>
      <c r="AES64" s="335"/>
      <c r="AET64" s="335"/>
      <c r="AEU64" s="335"/>
      <c r="AEV64" s="335"/>
      <c r="AEW64" s="335"/>
      <c r="AEX64" s="335"/>
      <c r="AEY64" s="335"/>
      <c r="AEZ64" s="335"/>
      <c r="AFA64" s="335"/>
      <c r="AFB64" s="335"/>
      <c r="AFC64" s="335"/>
      <c r="AFD64" s="335"/>
      <c r="AFE64" s="335"/>
      <c r="AFF64" s="335"/>
      <c r="AFG64" s="335"/>
      <c r="AFH64" s="335"/>
      <c r="AFI64" s="335"/>
      <c r="AFJ64" s="335"/>
      <c r="AFK64" s="335"/>
      <c r="AFL64" s="335"/>
      <c r="AFM64" s="335"/>
      <c r="AFN64" s="335"/>
      <c r="AFO64" s="335"/>
      <c r="AFP64" s="335"/>
      <c r="AFQ64" s="335"/>
      <c r="AFR64" s="335"/>
      <c r="AFS64" s="335"/>
      <c r="AFT64" s="335"/>
      <c r="AFU64" s="335"/>
      <c r="AFV64" s="335"/>
      <c r="AFW64" s="335"/>
      <c r="AFX64" s="335"/>
      <c r="AFY64" s="335"/>
      <c r="AFZ64" s="335"/>
      <c r="AGA64" s="335"/>
      <c r="AGB64" s="335"/>
      <c r="AGC64" s="335"/>
      <c r="AGD64" s="335"/>
      <c r="AGE64" s="335"/>
      <c r="AGF64" s="335"/>
      <c r="AGG64" s="335"/>
      <c r="AGH64" s="335"/>
      <c r="AGI64" s="335"/>
      <c r="AGJ64" s="335"/>
      <c r="AGK64" s="335"/>
      <c r="AGL64" s="335"/>
      <c r="AGM64" s="335"/>
      <c r="AGN64" s="335"/>
      <c r="AGO64" s="335"/>
      <c r="AGP64" s="335"/>
      <c r="AGQ64" s="335"/>
      <c r="AGR64" s="335"/>
      <c r="AGS64" s="335"/>
      <c r="AGT64" s="335"/>
      <c r="AGU64" s="335"/>
      <c r="AGV64" s="335"/>
      <c r="AGW64" s="335"/>
      <c r="AGX64" s="335"/>
      <c r="AGY64" s="335"/>
      <c r="AGZ64" s="335"/>
      <c r="AHA64" s="335"/>
      <c r="AHB64" s="335"/>
      <c r="AHC64" s="335"/>
      <c r="AHD64" s="335"/>
      <c r="AHE64" s="335"/>
      <c r="AHF64" s="335"/>
      <c r="AHG64" s="335"/>
      <c r="AHH64" s="335"/>
      <c r="AHI64" s="335"/>
      <c r="AHJ64" s="335"/>
      <c r="AHK64" s="335"/>
      <c r="AHL64" s="335"/>
      <c r="AHM64" s="335"/>
      <c r="AHN64" s="335"/>
      <c r="AHO64" s="335"/>
      <c r="AHP64" s="335"/>
      <c r="AHQ64" s="335"/>
      <c r="AHR64" s="335"/>
      <c r="AHS64" s="335"/>
      <c r="AHT64" s="335"/>
      <c r="AHU64" s="335"/>
      <c r="AHV64" s="335"/>
      <c r="AHW64" s="335"/>
      <c r="AHX64" s="335"/>
      <c r="AHY64" s="335"/>
      <c r="AHZ64" s="335"/>
      <c r="AIA64" s="335"/>
      <c r="AIB64" s="335"/>
    </row>
    <row r="65" spans="2:912" s="172" customFormat="1">
      <c r="B65" s="174"/>
      <c r="ABE65" s="336"/>
      <c r="ABF65" s="335"/>
      <c r="ABG65" s="335"/>
      <c r="ABH65" s="335"/>
      <c r="ABI65" s="335"/>
      <c r="ABJ65" s="335"/>
      <c r="ABK65" s="335"/>
      <c r="ABL65" s="335"/>
      <c r="ABM65" s="335"/>
      <c r="ABN65" s="335"/>
      <c r="ABO65" s="335"/>
      <c r="ABP65" s="335"/>
      <c r="ABQ65" s="335"/>
      <c r="ABR65" s="335"/>
      <c r="ABS65" s="335"/>
      <c r="ABT65" s="335"/>
      <c r="ABU65" s="335"/>
      <c r="ABV65" s="335"/>
      <c r="ABW65" s="335"/>
      <c r="ABX65" s="335"/>
      <c r="ABY65" s="335"/>
      <c r="ABZ65" s="335"/>
      <c r="ACA65" s="335"/>
      <c r="ACB65" s="335"/>
      <c r="ACC65" s="335"/>
      <c r="ACD65" s="335"/>
      <c r="ACE65" s="335"/>
      <c r="ACF65" s="335"/>
      <c r="ACG65" s="335"/>
      <c r="ACH65" s="335"/>
      <c r="ACI65" s="335"/>
      <c r="ACJ65" s="335"/>
      <c r="ACK65" s="335"/>
      <c r="ACL65" s="335"/>
      <c r="ACM65" s="335"/>
      <c r="ACN65" s="335"/>
      <c r="ACO65" s="335"/>
      <c r="ACP65" s="335"/>
      <c r="ACQ65" s="335"/>
      <c r="ACR65" s="335"/>
      <c r="ACS65" s="335"/>
      <c r="ACT65" s="335"/>
      <c r="ACU65" s="335"/>
      <c r="ACV65" s="335"/>
      <c r="ACW65" s="335"/>
      <c r="ACX65" s="335"/>
      <c r="ACY65" s="335"/>
      <c r="ACZ65" s="335"/>
      <c r="ADA65" s="335"/>
      <c r="ADB65" s="335"/>
      <c r="ADC65" s="335"/>
      <c r="ADD65" s="335"/>
      <c r="ADE65" s="335"/>
      <c r="ADF65" s="335"/>
      <c r="ADG65" s="335"/>
      <c r="ADH65" s="335"/>
      <c r="ADI65" s="335"/>
      <c r="ADJ65" s="335"/>
      <c r="ADK65" s="335"/>
      <c r="ADL65" s="335"/>
      <c r="ADM65" s="335"/>
      <c r="ADN65" s="335"/>
      <c r="ADO65" s="335"/>
      <c r="ADP65" s="335"/>
      <c r="ADQ65" s="335"/>
      <c r="ADR65" s="335"/>
      <c r="ADS65" s="335"/>
      <c r="ADT65" s="335"/>
      <c r="ADU65" s="335"/>
      <c r="ADV65" s="335"/>
      <c r="ADW65" s="335"/>
      <c r="ADX65" s="335"/>
      <c r="ADY65" s="335"/>
      <c r="ADZ65" s="335"/>
      <c r="AEA65" s="335"/>
      <c r="AEB65" s="335"/>
      <c r="AEC65" s="335"/>
      <c r="AED65" s="335"/>
      <c r="AEE65" s="335"/>
      <c r="AEF65" s="335"/>
      <c r="AEG65" s="335"/>
      <c r="AEH65" s="335"/>
      <c r="AEI65" s="335"/>
      <c r="AEJ65" s="335"/>
      <c r="AEK65" s="335"/>
      <c r="AEL65" s="335"/>
      <c r="AEM65" s="335"/>
      <c r="AEN65" s="335"/>
      <c r="AEO65" s="335"/>
      <c r="AEP65" s="335"/>
      <c r="AEQ65" s="335"/>
      <c r="AER65" s="335"/>
      <c r="AES65" s="335"/>
      <c r="AET65" s="335"/>
      <c r="AEU65" s="335"/>
      <c r="AEV65" s="335"/>
      <c r="AEW65" s="335"/>
      <c r="AEX65" s="335"/>
      <c r="AEY65" s="335"/>
      <c r="AEZ65" s="335"/>
      <c r="AFA65" s="335"/>
      <c r="AFB65" s="335"/>
      <c r="AFC65" s="335"/>
      <c r="AFD65" s="335"/>
      <c r="AFE65" s="335"/>
      <c r="AFF65" s="335"/>
      <c r="AFG65" s="335"/>
      <c r="AFH65" s="335"/>
      <c r="AFI65" s="335"/>
      <c r="AFJ65" s="335"/>
      <c r="AFK65" s="335"/>
      <c r="AFL65" s="335"/>
      <c r="AFM65" s="335"/>
      <c r="AFN65" s="335"/>
      <c r="AFO65" s="335"/>
      <c r="AFP65" s="335"/>
      <c r="AFQ65" s="335"/>
      <c r="AFR65" s="335"/>
      <c r="AFS65" s="335"/>
      <c r="AFT65" s="335"/>
      <c r="AFU65" s="335"/>
      <c r="AFV65" s="335"/>
      <c r="AFW65" s="335"/>
      <c r="AFX65" s="335"/>
      <c r="AFY65" s="335"/>
      <c r="AFZ65" s="335"/>
      <c r="AGA65" s="335"/>
      <c r="AGB65" s="335"/>
      <c r="AGC65" s="335"/>
      <c r="AGD65" s="335"/>
      <c r="AGE65" s="335"/>
      <c r="AGF65" s="335"/>
      <c r="AGG65" s="335"/>
      <c r="AGH65" s="335"/>
      <c r="AGI65" s="335"/>
      <c r="AGJ65" s="335"/>
      <c r="AGK65" s="335"/>
      <c r="AGL65" s="335"/>
      <c r="AGM65" s="335"/>
      <c r="AGN65" s="335"/>
      <c r="AGO65" s="335"/>
      <c r="AGP65" s="335"/>
      <c r="AGQ65" s="335"/>
      <c r="AGR65" s="335"/>
      <c r="AGS65" s="335"/>
      <c r="AGT65" s="335"/>
      <c r="AGU65" s="335"/>
      <c r="AGV65" s="335"/>
      <c r="AGW65" s="335"/>
      <c r="AGX65" s="335"/>
      <c r="AGY65" s="335"/>
      <c r="AGZ65" s="335"/>
      <c r="AHA65" s="335"/>
      <c r="AHB65" s="335"/>
      <c r="AHC65" s="335"/>
      <c r="AHD65" s="335"/>
      <c r="AHE65" s="335"/>
      <c r="AHF65" s="335"/>
      <c r="AHG65" s="335"/>
      <c r="AHH65" s="335"/>
      <c r="AHI65" s="335"/>
      <c r="AHJ65" s="335"/>
      <c r="AHK65" s="335"/>
      <c r="AHL65" s="335"/>
      <c r="AHM65" s="335"/>
      <c r="AHN65" s="335"/>
      <c r="AHO65" s="335"/>
      <c r="AHP65" s="335"/>
      <c r="AHQ65" s="335"/>
      <c r="AHR65" s="335"/>
      <c r="AHS65" s="335"/>
      <c r="AHT65" s="335"/>
      <c r="AHU65" s="335"/>
      <c r="AHV65" s="335"/>
      <c r="AHW65" s="335"/>
      <c r="AHX65" s="335"/>
      <c r="AHY65" s="335"/>
      <c r="AHZ65" s="335"/>
      <c r="AIA65" s="335"/>
      <c r="AIB65" s="335"/>
    </row>
    <row r="66" spans="2:912" s="172" customFormat="1">
      <c r="B66" s="174"/>
      <c r="ABE66" s="336"/>
      <c r="ABF66" s="335"/>
      <c r="ABG66" s="335"/>
      <c r="ABH66" s="335"/>
      <c r="ABI66" s="335"/>
      <c r="ABJ66" s="335"/>
      <c r="ABK66" s="335"/>
      <c r="ABL66" s="335"/>
      <c r="ABM66" s="335"/>
      <c r="ABN66" s="335"/>
      <c r="ABO66" s="335"/>
      <c r="ABP66" s="335"/>
      <c r="ABQ66" s="335"/>
      <c r="ABR66" s="335"/>
      <c r="ABS66" s="335"/>
      <c r="ABT66" s="335"/>
      <c r="ABU66" s="335"/>
      <c r="ABV66" s="335"/>
      <c r="ABW66" s="335"/>
      <c r="ABX66" s="335"/>
      <c r="ABY66" s="335"/>
      <c r="ABZ66" s="335"/>
      <c r="ACA66" s="335"/>
      <c r="ACB66" s="335"/>
      <c r="ACC66" s="335"/>
      <c r="ACD66" s="335"/>
      <c r="ACE66" s="335"/>
      <c r="ACF66" s="335"/>
      <c r="ACG66" s="335"/>
      <c r="ACH66" s="335"/>
      <c r="ACI66" s="335"/>
      <c r="ACJ66" s="335"/>
      <c r="ACK66" s="335"/>
      <c r="ACL66" s="335"/>
      <c r="ACM66" s="335"/>
      <c r="ACN66" s="335"/>
      <c r="ACO66" s="335"/>
      <c r="ACP66" s="335"/>
      <c r="ACQ66" s="335"/>
      <c r="ACR66" s="335"/>
      <c r="ACS66" s="335"/>
      <c r="ACT66" s="335"/>
      <c r="ACU66" s="335"/>
      <c r="ACV66" s="335"/>
      <c r="ACW66" s="335"/>
      <c r="ACX66" s="335"/>
      <c r="ACY66" s="335"/>
      <c r="ACZ66" s="335"/>
      <c r="ADA66" s="335"/>
      <c r="ADB66" s="335"/>
      <c r="ADC66" s="335"/>
      <c r="ADD66" s="335"/>
      <c r="ADE66" s="335"/>
      <c r="ADF66" s="335"/>
      <c r="ADG66" s="335"/>
      <c r="ADH66" s="335"/>
      <c r="ADI66" s="335"/>
      <c r="ADJ66" s="335"/>
      <c r="ADK66" s="335"/>
      <c r="ADL66" s="335"/>
      <c r="ADM66" s="335"/>
      <c r="ADN66" s="335"/>
      <c r="ADO66" s="335"/>
      <c r="ADP66" s="335"/>
      <c r="ADQ66" s="335"/>
      <c r="ADR66" s="335"/>
      <c r="ADS66" s="335"/>
      <c r="ADT66" s="335"/>
      <c r="ADU66" s="335"/>
      <c r="ADV66" s="335"/>
      <c r="ADW66" s="335"/>
      <c r="ADX66" s="335"/>
      <c r="ADY66" s="335"/>
      <c r="ADZ66" s="335"/>
      <c r="AEA66" s="335"/>
      <c r="AEB66" s="335"/>
      <c r="AEC66" s="335"/>
      <c r="AED66" s="335"/>
      <c r="AEE66" s="335"/>
      <c r="AEF66" s="335"/>
      <c r="AEG66" s="335"/>
      <c r="AEH66" s="335"/>
      <c r="AEI66" s="335"/>
      <c r="AEJ66" s="335"/>
      <c r="AEK66" s="335"/>
      <c r="AEL66" s="335"/>
      <c r="AEM66" s="335"/>
      <c r="AEN66" s="335"/>
      <c r="AEO66" s="335"/>
      <c r="AEP66" s="335"/>
      <c r="AEQ66" s="335"/>
      <c r="AER66" s="335"/>
      <c r="AES66" s="335"/>
      <c r="AET66" s="335"/>
      <c r="AEU66" s="335"/>
      <c r="AEV66" s="335"/>
      <c r="AEW66" s="335"/>
      <c r="AEX66" s="335"/>
      <c r="AEY66" s="335"/>
      <c r="AEZ66" s="335"/>
      <c r="AFA66" s="335"/>
      <c r="AFB66" s="335"/>
      <c r="AFC66" s="335"/>
      <c r="AFD66" s="335"/>
      <c r="AFE66" s="335"/>
      <c r="AFF66" s="335"/>
      <c r="AFG66" s="335"/>
      <c r="AFH66" s="335"/>
      <c r="AFI66" s="335"/>
      <c r="AFJ66" s="335"/>
      <c r="AFK66" s="335"/>
      <c r="AFL66" s="335"/>
      <c r="AFM66" s="335"/>
      <c r="AFN66" s="335"/>
      <c r="AFO66" s="335"/>
      <c r="AFP66" s="335"/>
      <c r="AFQ66" s="335"/>
      <c r="AFR66" s="335"/>
      <c r="AFS66" s="335"/>
      <c r="AFT66" s="335"/>
      <c r="AFU66" s="335"/>
      <c r="AFV66" s="335"/>
      <c r="AFW66" s="335"/>
      <c r="AFX66" s="335"/>
      <c r="AFY66" s="335"/>
      <c r="AFZ66" s="335"/>
      <c r="AGA66" s="335"/>
      <c r="AGB66" s="335"/>
      <c r="AGC66" s="335"/>
      <c r="AGD66" s="335"/>
      <c r="AGE66" s="335"/>
      <c r="AGF66" s="335"/>
      <c r="AGG66" s="335"/>
      <c r="AGH66" s="335"/>
      <c r="AGI66" s="335"/>
      <c r="AGJ66" s="335"/>
      <c r="AGK66" s="335"/>
      <c r="AGL66" s="335"/>
      <c r="AGM66" s="335"/>
      <c r="AGN66" s="335"/>
      <c r="AGO66" s="335"/>
      <c r="AGP66" s="335"/>
      <c r="AGQ66" s="335"/>
      <c r="AGR66" s="335"/>
      <c r="AGS66" s="335"/>
      <c r="AGT66" s="335"/>
      <c r="AGU66" s="335"/>
      <c r="AGV66" s="335"/>
      <c r="AGW66" s="335"/>
      <c r="AGX66" s="335"/>
      <c r="AGY66" s="335"/>
      <c r="AGZ66" s="335"/>
      <c r="AHA66" s="335"/>
      <c r="AHB66" s="335"/>
      <c r="AHC66" s="335"/>
      <c r="AHD66" s="335"/>
      <c r="AHE66" s="335"/>
      <c r="AHF66" s="335"/>
      <c r="AHG66" s="335"/>
      <c r="AHH66" s="335"/>
      <c r="AHI66" s="335"/>
      <c r="AHJ66" s="335"/>
      <c r="AHK66" s="335"/>
      <c r="AHL66" s="335"/>
      <c r="AHM66" s="335"/>
      <c r="AHN66" s="335"/>
      <c r="AHO66" s="335"/>
      <c r="AHP66" s="335"/>
      <c r="AHQ66" s="335"/>
      <c r="AHR66" s="335"/>
      <c r="AHS66" s="335"/>
      <c r="AHT66" s="335"/>
      <c r="AHU66" s="335"/>
      <c r="AHV66" s="335"/>
      <c r="AHW66" s="335"/>
      <c r="AHX66" s="335"/>
      <c r="AHY66" s="335"/>
      <c r="AHZ66" s="335"/>
      <c r="AIA66" s="335"/>
      <c r="AIB66" s="335"/>
    </row>
    <row r="67" spans="2:912" s="172" customFormat="1">
      <c r="B67" s="174"/>
      <c r="ABE67" s="336"/>
      <c r="ABF67" s="335"/>
      <c r="ABG67" s="335"/>
      <c r="ABH67" s="335"/>
      <c r="ABI67" s="335"/>
      <c r="ABJ67" s="335"/>
      <c r="ABK67" s="335"/>
      <c r="ABL67" s="335"/>
      <c r="ABM67" s="335"/>
      <c r="ABN67" s="335"/>
      <c r="ABO67" s="335"/>
      <c r="ABP67" s="335"/>
      <c r="ABQ67" s="335"/>
      <c r="ABR67" s="335"/>
      <c r="ABS67" s="335"/>
      <c r="ABT67" s="335"/>
      <c r="ABU67" s="335"/>
      <c r="ABV67" s="335"/>
      <c r="ABW67" s="335"/>
      <c r="ABX67" s="335"/>
      <c r="ABY67" s="335"/>
      <c r="ABZ67" s="335"/>
      <c r="ACA67" s="335"/>
      <c r="ACB67" s="335"/>
      <c r="ACC67" s="335"/>
      <c r="ACD67" s="335"/>
      <c r="ACE67" s="335"/>
      <c r="ACF67" s="335"/>
      <c r="ACG67" s="335"/>
      <c r="ACH67" s="335"/>
      <c r="ACI67" s="335"/>
      <c r="ACJ67" s="335"/>
      <c r="ACK67" s="335"/>
      <c r="ACL67" s="335"/>
      <c r="ACM67" s="335"/>
      <c r="ACN67" s="335"/>
      <c r="ACO67" s="335"/>
      <c r="ACP67" s="335"/>
      <c r="ACQ67" s="335"/>
      <c r="ACR67" s="335"/>
      <c r="ACS67" s="335"/>
      <c r="ACT67" s="335"/>
      <c r="ACU67" s="335"/>
      <c r="ACV67" s="335"/>
      <c r="ACW67" s="335"/>
      <c r="ACX67" s="335"/>
      <c r="ACY67" s="335"/>
      <c r="ACZ67" s="335"/>
      <c r="ADA67" s="335"/>
      <c r="ADB67" s="335"/>
      <c r="ADC67" s="335"/>
      <c r="ADD67" s="335"/>
      <c r="ADE67" s="335"/>
      <c r="ADF67" s="335"/>
      <c r="ADG67" s="335"/>
      <c r="ADH67" s="335"/>
      <c r="ADI67" s="335"/>
      <c r="ADJ67" s="335"/>
      <c r="ADK67" s="335"/>
      <c r="ADL67" s="335"/>
      <c r="ADM67" s="335"/>
      <c r="ADN67" s="335"/>
      <c r="ADO67" s="335"/>
      <c r="ADP67" s="335"/>
      <c r="ADQ67" s="335"/>
      <c r="ADR67" s="335"/>
      <c r="ADS67" s="335"/>
      <c r="ADT67" s="335"/>
      <c r="ADU67" s="335"/>
      <c r="ADV67" s="335"/>
      <c r="ADW67" s="335"/>
      <c r="ADX67" s="335"/>
      <c r="ADY67" s="335"/>
      <c r="ADZ67" s="335"/>
      <c r="AEA67" s="335"/>
      <c r="AEB67" s="335"/>
      <c r="AEC67" s="335"/>
      <c r="AED67" s="335"/>
      <c r="AEE67" s="335"/>
      <c r="AEF67" s="335"/>
      <c r="AEG67" s="335"/>
      <c r="AEH67" s="335"/>
      <c r="AEI67" s="335"/>
      <c r="AEJ67" s="335"/>
      <c r="AEK67" s="335"/>
      <c r="AEL67" s="335"/>
      <c r="AEM67" s="335"/>
      <c r="AEN67" s="335"/>
      <c r="AEO67" s="335"/>
      <c r="AEP67" s="335"/>
      <c r="AEQ67" s="335"/>
      <c r="AER67" s="335"/>
      <c r="AES67" s="335"/>
      <c r="AET67" s="335"/>
      <c r="AEU67" s="335"/>
      <c r="AEV67" s="335"/>
      <c r="AEW67" s="335"/>
      <c r="AEX67" s="335"/>
      <c r="AEY67" s="335"/>
      <c r="AEZ67" s="335"/>
      <c r="AFA67" s="335"/>
      <c r="AFB67" s="335"/>
      <c r="AFC67" s="335"/>
      <c r="AFD67" s="335"/>
      <c r="AFE67" s="335"/>
      <c r="AFF67" s="335"/>
      <c r="AFG67" s="335"/>
      <c r="AFH67" s="335"/>
      <c r="AFI67" s="335"/>
      <c r="AFJ67" s="335"/>
      <c r="AFK67" s="335"/>
      <c r="AFL67" s="335"/>
      <c r="AFM67" s="335"/>
      <c r="AFN67" s="335"/>
      <c r="AFO67" s="335"/>
      <c r="AFP67" s="335"/>
      <c r="AFQ67" s="335"/>
      <c r="AFR67" s="335"/>
      <c r="AFS67" s="335"/>
      <c r="AFT67" s="335"/>
      <c r="AFU67" s="335"/>
      <c r="AFV67" s="335"/>
      <c r="AFW67" s="335"/>
      <c r="AFX67" s="335"/>
      <c r="AFY67" s="335"/>
      <c r="AFZ67" s="335"/>
      <c r="AGA67" s="335"/>
      <c r="AGB67" s="335"/>
      <c r="AGC67" s="335"/>
      <c r="AGD67" s="335"/>
      <c r="AGE67" s="335"/>
      <c r="AGF67" s="335"/>
      <c r="AGG67" s="335"/>
      <c r="AGH67" s="335"/>
      <c r="AGI67" s="335"/>
      <c r="AGJ67" s="335"/>
      <c r="AGK67" s="335"/>
      <c r="AGL67" s="335"/>
      <c r="AGM67" s="335"/>
      <c r="AGN67" s="335"/>
      <c r="AGO67" s="335"/>
      <c r="AGP67" s="335"/>
      <c r="AGQ67" s="335"/>
      <c r="AGR67" s="335"/>
      <c r="AGS67" s="335"/>
      <c r="AGT67" s="335"/>
      <c r="AGU67" s="335"/>
      <c r="AGV67" s="335"/>
      <c r="AGW67" s="335"/>
      <c r="AGX67" s="335"/>
      <c r="AGY67" s="335"/>
      <c r="AGZ67" s="335"/>
      <c r="AHA67" s="335"/>
      <c r="AHB67" s="335"/>
      <c r="AHC67" s="335"/>
      <c r="AHD67" s="335"/>
      <c r="AHE67" s="335"/>
      <c r="AHF67" s="335"/>
      <c r="AHG67" s="335"/>
      <c r="AHH67" s="335"/>
      <c r="AHI67" s="335"/>
      <c r="AHJ67" s="335"/>
      <c r="AHK67" s="335"/>
      <c r="AHL67" s="335"/>
      <c r="AHM67" s="335"/>
      <c r="AHN67" s="335"/>
      <c r="AHO67" s="335"/>
      <c r="AHP67" s="335"/>
      <c r="AHQ67" s="335"/>
      <c r="AHR67" s="335"/>
      <c r="AHS67" s="335"/>
      <c r="AHT67" s="335"/>
      <c r="AHU67" s="335"/>
      <c r="AHV67" s="335"/>
      <c r="AHW67" s="335"/>
      <c r="AHX67" s="335"/>
      <c r="AHY67" s="335"/>
      <c r="AHZ67" s="335"/>
      <c r="AIA67" s="335"/>
      <c r="AIB67" s="335"/>
    </row>
    <row r="68" spans="2:912" s="172" customFormat="1">
      <c r="B68" s="174"/>
      <c r="ABE68" s="336"/>
      <c r="ABF68" s="335"/>
      <c r="ABG68" s="335"/>
      <c r="ABH68" s="335"/>
      <c r="ABI68" s="335"/>
      <c r="ABJ68" s="335"/>
      <c r="ABK68" s="335"/>
      <c r="ABL68" s="335"/>
      <c r="ABM68" s="335"/>
      <c r="ABN68" s="335"/>
      <c r="ABO68" s="335"/>
      <c r="ABP68" s="335"/>
      <c r="ABQ68" s="335"/>
      <c r="ABR68" s="335"/>
      <c r="ABS68" s="335"/>
      <c r="ABT68" s="335"/>
      <c r="ABU68" s="335"/>
      <c r="ABV68" s="335"/>
      <c r="ABW68" s="335"/>
      <c r="ABX68" s="335"/>
      <c r="ABY68" s="335"/>
      <c r="ABZ68" s="335"/>
      <c r="ACA68" s="335"/>
      <c r="ACB68" s="335"/>
      <c r="ACC68" s="335"/>
      <c r="ACD68" s="335"/>
      <c r="ACE68" s="335"/>
      <c r="ACF68" s="335"/>
      <c r="ACG68" s="335"/>
      <c r="ACH68" s="335"/>
      <c r="ACI68" s="335"/>
      <c r="ACJ68" s="335"/>
      <c r="ACK68" s="335"/>
      <c r="ACL68" s="335"/>
      <c r="ACM68" s="335"/>
      <c r="ACN68" s="335"/>
      <c r="ACO68" s="335"/>
      <c r="ACP68" s="335"/>
      <c r="ACQ68" s="335"/>
      <c r="ACR68" s="335"/>
      <c r="ACS68" s="335"/>
      <c r="ACT68" s="335"/>
      <c r="ACU68" s="335"/>
      <c r="ACV68" s="335"/>
      <c r="ACW68" s="335"/>
      <c r="ACX68" s="335"/>
      <c r="ACY68" s="335"/>
      <c r="ACZ68" s="335"/>
      <c r="ADA68" s="335"/>
      <c r="ADB68" s="335"/>
      <c r="ADC68" s="335"/>
      <c r="ADD68" s="335"/>
      <c r="ADE68" s="335"/>
      <c r="ADF68" s="335"/>
      <c r="ADG68" s="335"/>
      <c r="ADH68" s="335"/>
      <c r="ADI68" s="335"/>
      <c r="ADJ68" s="335"/>
      <c r="ADK68" s="335"/>
      <c r="ADL68" s="335"/>
      <c r="ADM68" s="335"/>
      <c r="ADN68" s="335"/>
      <c r="ADO68" s="335"/>
      <c r="ADP68" s="335"/>
      <c r="ADQ68" s="335"/>
      <c r="ADR68" s="335"/>
      <c r="ADS68" s="335"/>
      <c r="ADT68" s="335"/>
      <c r="ADU68" s="335"/>
      <c r="ADV68" s="335"/>
      <c r="ADW68" s="335"/>
      <c r="ADX68" s="335"/>
      <c r="ADY68" s="335"/>
      <c r="ADZ68" s="335"/>
      <c r="AEA68" s="335"/>
      <c r="AEB68" s="335"/>
      <c r="AEC68" s="335"/>
      <c r="AED68" s="335"/>
      <c r="AEE68" s="335"/>
      <c r="AEF68" s="335"/>
      <c r="AEG68" s="335"/>
      <c r="AEH68" s="335"/>
      <c r="AEI68" s="335"/>
      <c r="AEJ68" s="335"/>
      <c r="AEK68" s="335"/>
      <c r="AEL68" s="335"/>
      <c r="AEM68" s="335"/>
      <c r="AEN68" s="335"/>
      <c r="AEO68" s="335"/>
      <c r="AEP68" s="335"/>
      <c r="AEQ68" s="335"/>
      <c r="AER68" s="335"/>
      <c r="AES68" s="335"/>
      <c r="AET68" s="335"/>
      <c r="AEU68" s="335"/>
      <c r="AEV68" s="335"/>
      <c r="AEW68" s="335"/>
      <c r="AEX68" s="335"/>
      <c r="AEY68" s="335"/>
      <c r="AEZ68" s="335"/>
      <c r="AFA68" s="335"/>
      <c r="AFB68" s="335"/>
      <c r="AFC68" s="335"/>
      <c r="AFD68" s="335"/>
      <c r="AFE68" s="335"/>
      <c r="AFF68" s="335"/>
      <c r="AFG68" s="335"/>
      <c r="AFH68" s="335"/>
      <c r="AFI68" s="335"/>
      <c r="AFJ68" s="335"/>
      <c r="AFK68" s="335"/>
      <c r="AFL68" s="335"/>
      <c r="AFM68" s="335"/>
      <c r="AFN68" s="335"/>
      <c r="AFO68" s="335"/>
      <c r="AFP68" s="335"/>
      <c r="AFQ68" s="335"/>
      <c r="AFR68" s="335"/>
      <c r="AFS68" s="335"/>
      <c r="AFT68" s="335"/>
      <c r="AFU68" s="335"/>
      <c r="AFV68" s="335"/>
      <c r="AFW68" s="335"/>
      <c r="AFX68" s="335"/>
      <c r="AFY68" s="335"/>
      <c r="AFZ68" s="335"/>
      <c r="AGA68" s="335"/>
      <c r="AGB68" s="335"/>
      <c r="AGC68" s="335"/>
      <c r="AGD68" s="335"/>
      <c r="AGE68" s="335"/>
      <c r="AGF68" s="335"/>
      <c r="AGG68" s="335"/>
      <c r="AGH68" s="335"/>
      <c r="AGI68" s="335"/>
      <c r="AGJ68" s="335"/>
      <c r="AGK68" s="335"/>
      <c r="AGL68" s="335"/>
      <c r="AGM68" s="335"/>
      <c r="AGN68" s="335"/>
      <c r="AGO68" s="335"/>
      <c r="AGP68" s="335"/>
      <c r="AGQ68" s="335"/>
      <c r="AGR68" s="335"/>
      <c r="AGS68" s="335"/>
      <c r="AGT68" s="335"/>
      <c r="AGU68" s="335"/>
      <c r="AGV68" s="335"/>
      <c r="AGW68" s="335"/>
      <c r="AGX68" s="335"/>
      <c r="AGY68" s="335"/>
      <c r="AGZ68" s="335"/>
      <c r="AHA68" s="335"/>
      <c r="AHB68" s="335"/>
      <c r="AHC68" s="335"/>
      <c r="AHD68" s="335"/>
      <c r="AHE68" s="335"/>
      <c r="AHF68" s="335"/>
      <c r="AHG68" s="335"/>
      <c r="AHH68" s="335"/>
      <c r="AHI68" s="335"/>
      <c r="AHJ68" s="335"/>
      <c r="AHK68" s="335"/>
      <c r="AHL68" s="335"/>
      <c r="AHM68" s="335"/>
      <c r="AHN68" s="335"/>
      <c r="AHO68" s="335"/>
      <c r="AHP68" s="335"/>
      <c r="AHQ68" s="335"/>
      <c r="AHR68" s="335"/>
      <c r="AHS68" s="335"/>
      <c r="AHT68" s="335"/>
      <c r="AHU68" s="335"/>
      <c r="AHV68" s="335"/>
      <c r="AHW68" s="335"/>
      <c r="AHX68" s="335"/>
      <c r="AHY68" s="335"/>
      <c r="AHZ68" s="335"/>
      <c r="AIA68" s="335"/>
      <c r="AIB68" s="335"/>
    </row>
    <row r="69" spans="2:912" s="172" customFormat="1">
      <c r="B69" s="174"/>
      <c r="ABE69" s="336"/>
      <c r="ABF69" s="335"/>
      <c r="ABG69" s="335"/>
      <c r="ABH69" s="335"/>
      <c r="ABI69" s="335"/>
      <c r="ABJ69" s="335"/>
      <c r="ABK69" s="335"/>
      <c r="ABL69" s="335"/>
      <c r="ABM69" s="335"/>
      <c r="ABN69" s="335"/>
      <c r="ABO69" s="335"/>
      <c r="ABP69" s="335"/>
      <c r="ABQ69" s="335"/>
      <c r="ABR69" s="335"/>
      <c r="ABS69" s="335"/>
      <c r="ABT69" s="335"/>
      <c r="ABU69" s="335"/>
      <c r="ABV69" s="335"/>
      <c r="ABW69" s="335"/>
      <c r="ABX69" s="335"/>
      <c r="ABY69" s="335"/>
      <c r="ABZ69" s="335"/>
      <c r="ACA69" s="335"/>
      <c r="ACB69" s="335"/>
      <c r="ACC69" s="335"/>
      <c r="ACD69" s="335"/>
      <c r="ACE69" s="335"/>
      <c r="ACF69" s="335"/>
      <c r="ACG69" s="335"/>
      <c r="ACH69" s="335"/>
      <c r="ACI69" s="335"/>
      <c r="ACJ69" s="335"/>
      <c r="ACK69" s="335"/>
      <c r="ACL69" s="335"/>
      <c r="ACM69" s="335"/>
      <c r="ACN69" s="335"/>
      <c r="ACO69" s="335"/>
      <c r="ACP69" s="335"/>
      <c r="ACQ69" s="335"/>
      <c r="ACR69" s="335"/>
      <c r="ACS69" s="335"/>
      <c r="ACT69" s="335"/>
      <c r="ACU69" s="335"/>
      <c r="ACV69" s="335"/>
      <c r="ACW69" s="335"/>
      <c r="ACX69" s="335"/>
      <c r="ACY69" s="335"/>
      <c r="ACZ69" s="335"/>
      <c r="ADA69" s="335"/>
      <c r="ADB69" s="335"/>
      <c r="ADC69" s="335"/>
      <c r="ADD69" s="335"/>
      <c r="ADE69" s="335"/>
      <c r="ADF69" s="335"/>
      <c r="ADG69" s="335"/>
      <c r="ADH69" s="335"/>
      <c r="ADI69" s="335"/>
      <c r="ADJ69" s="335"/>
      <c r="ADK69" s="335"/>
      <c r="ADL69" s="335"/>
      <c r="ADM69" s="335"/>
      <c r="ADN69" s="335"/>
      <c r="ADO69" s="335"/>
      <c r="ADP69" s="335"/>
      <c r="ADQ69" s="335"/>
      <c r="ADR69" s="335"/>
      <c r="ADS69" s="335"/>
      <c r="ADT69" s="335"/>
      <c r="ADU69" s="335"/>
      <c r="ADV69" s="335"/>
      <c r="ADW69" s="335"/>
      <c r="ADX69" s="335"/>
      <c r="ADY69" s="335"/>
      <c r="ADZ69" s="335"/>
      <c r="AEA69" s="335"/>
      <c r="AEB69" s="335"/>
      <c r="AEC69" s="335"/>
      <c r="AED69" s="335"/>
      <c r="AEE69" s="335"/>
      <c r="AEF69" s="335"/>
      <c r="AEG69" s="335"/>
      <c r="AEH69" s="335"/>
      <c r="AEI69" s="335"/>
      <c r="AEJ69" s="335"/>
      <c r="AEK69" s="335"/>
      <c r="AEL69" s="335"/>
      <c r="AEM69" s="335"/>
      <c r="AEN69" s="335"/>
      <c r="AEO69" s="335"/>
      <c r="AEP69" s="335"/>
      <c r="AEQ69" s="335"/>
      <c r="AER69" s="335"/>
      <c r="AES69" s="335"/>
      <c r="AET69" s="335"/>
      <c r="AEU69" s="335"/>
      <c r="AEV69" s="335"/>
      <c r="AEW69" s="335"/>
      <c r="AEX69" s="335"/>
      <c r="AEY69" s="335"/>
      <c r="AEZ69" s="335"/>
      <c r="AFA69" s="335"/>
      <c r="AFB69" s="335"/>
      <c r="AFC69" s="335"/>
      <c r="AFD69" s="335"/>
      <c r="AFE69" s="335"/>
      <c r="AFF69" s="335"/>
      <c r="AFG69" s="335"/>
      <c r="AFH69" s="335"/>
      <c r="AFI69" s="335"/>
      <c r="AFJ69" s="335"/>
      <c r="AFK69" s="335"/>
      <c r="AFL69" s="335"/>
      <c r="AFM69" s="335"/>
      <c r="AFN69" s="335"/>
      <c r="AFO69" s="335"/>
      <c r="AFP69" s="335"/>
      <c r="AFQ69" s="335"/>
      <c r="AFR69" s="335"/>
      <c r="AFS69" s="335"/>
      <c r="AFT69" s="335"/>
      <c r="AFU69" s="335"/>
      <c r="AFV69" s="335"/>
      <c r="AFW69" s="335"/>
      <c r="AFX69" s="335"/>
      <c r="AFY69" s="335"/>
      <c r="AFZ69" s="335"/>
      <c r="AGA69" s="335"/>
      <c r="AGB69" s="335"/>
      <c r="AGC69" s="335"/>
      <c r="AGD69" s="335"/>
      <c r="AGE69" s="335"/>
      <c r="AGF69" s="335"/>
      <c r="AGG69" s="335"/>
      <c r="AGH69" s="335"/>
      <c r="AGI69" s="335"/>
      <c r="AGJ69" s="335"/>
      <c r="AGK69" s="335"/>
      <c r="AGL69" s="335"/>
      <c r="AGM69" s="335"/>
      <c r="AGN69" s="335"/>
      <c r="AGO69" s="335"/>
      <c r="AGP69" s="335"/>
      <c r="AGQ69" s="335"/>
      <c r="AGR69" s="335"/>
      <c r="AGS69" s="335"/>
      <c r="AGT69" s="335"/>
      <c r="AGU69" s="335"/>
      <c r="AGV69" s="335"/>
      <c r="AGW69" s="335"/>
      <c r="AGX69" s="335"/>
      <c r="AGY69" s="335"/>
      <c r="AGZ69" s="335"/>
      <c r="AHA69" s="335"/>
      <c r="AHB69" s="335"/>
      <c r="AHC69" s="335"/>
      <c r="AHD69" s="335"/>
      <c r="AHE69" s="335"/>
      <c r="AHF69" s="335"/>
      <c r="AHG69" s="335"/>
      <c r="AHH69" s="335"/>
      <c r="AHI69" s="335"/>
      <c r="AHJ69" s="335"/>
      <c r="AHK69" s="335"/>
      <c r="AHL69" s="335"/>
      <c r="AHM69" s="335"/>
      <c r="AHN69" s="335"/>
      <c r="AHO69" s="335"/>
      <c r="AHP69" s="335"/>
      <c r="AHQ69" s="335"/>
      <c r="AHR69" s="335"/>
      <c r="AHS69" s="335"/>
      <c r="AHT69" s="335"/>
      <c r="AHU69" s="335"/>
      <c r="AHV69" s="335"/>
      <c r="AHW69" s="335"/>
      <c r="AHX69" s="335"/>
      <c r="AHY69" s="335"/>
      <c r="AHZ69" s="335"/>
      <c r="AIA69" s="335"/>
      <c r="AIB69" s="335"/>
    </row>
    <row r="70" spans="2:912" s="172" customFormat="1">
      <c r="B70" s="174"/>
      <c r="ABE70" s="336"/>
      <c r="ABF70" s="335"/>
      <c r="ABG70" s="335"/>
      <c r="ABH70" s="335"/>
      <c r="ABI70" s="335"/>
      <c r="ABJ70" s="335"/>
      <c r="ABK70" s="335"/>
      <c r="ABL70" s="335"/>
      <c r="ABM70" s="335"/>
      <c r="ABN70" s="335"/>
      <c r="ABO70" s="335"/>
      <c r="ABP70" s="335"/>
      <c r="ABQ70" s="335"/>
      <c r="ABR70" s="335"/>
      <c r="ABS70" s="335"/>
      <c r="ABT70" s="335"/>
      <c r="ABU70" s="335"/>
      <c r="ABV70" s="335"/>
      <c r="ABW70" s="335"/>
      <c r="ABX70" s="335"/>
      <c r="ABY70" s="335"/>
      <c r="ABZ70" s="335"/>
      <c r="ACA70" s="335"/>
      <c r="ACB70" s="335"/>
      <c r="ACC70" s="335"/>
      <c r="ACD70" s="335"/>
      <c r="ACE70" s="335"/>
      <c r="ACF70" s="335"/>
      <c r="ACG70" s="335"/>
      <c r="ACH70" s="335"/>
      <c r="ACI70" s="335"/>
      <c r="ACJ70" s="335"/>
      <c r="ACK70" s="335"/>
      <c r="ACL70" s="335"/>
      <c r="ACM70" s="335"/>
      <c r="ACN70" s="335"/>
      <c r="ACO70" s="335"/>
      <c r="ACP70" s="335"/>
      <c r="ACQ70" s="335"/>
      <c r="ACR70" s="335"/>
      <c r="ACS70" s="335"/>
      <c r="ACT70" s="335"/>
      <c r="ACU70" s="335"/>
      <c r="ACV70" s="335"/>
      <c r="ACW70" s="335"/>
      <c r="ACX70" s="335"/>
      <c r="ACY70" s="335"/>
      <c r="ACZ70" s="335"/>
      <c r="ADA70" s="335"/>
      <c r="ADB70" s="335"/>
      <c r="ADC70" s="335"/>
      <c r="ADD70" s="335"/>
      <c r="ADE70" s="335"/>
      <c r="ADF70" s="335"/>
      <c r="ADG70" s="335"/>
      <c r="ADH70" s="335"/>
      <c r="ADI70" s="335"/>
      <c r="ADJ70" s="335"/>
      <c r="ADK70" s="335"/>
      <c r="ADL70" s="335"/>
      <c r="ADM70" s="335"/>
      <c r="ADN70" s="335"/>
      <c r="ADO70" s="335"/>
      <c r="ADP70" s="335"/>
      <c r="ADQ70" s="335"/>
      <c r="ADR70" s="335"/>
      <c r="ADS70" s="335"/>
      <c r="ADT70" s="335"/>
      <c r="ADU70" s="335"/>
      <c r="ADV70" s="335"/>
      <c r="ADW70" s="335"/>
      <c r="ADX70" s="335"/>
      <c r="ADY70" s="335"/>
      <c r="ADZ70" s="335"/>
      <c r="AEA70" s="335"/>
      <c r="AEB70" s="335"/>
      <c r="AEC70" s="335"/>
      <c r="AED70" s="335"/>
      <c r="AEE70" s="335"/>
      <c r="AEF70" s="335"/>
      <c r="AEG70" s="335"/>
      <c r="AEH70" s="335"/>
      <c r="AEI70" s="335"/>
      <c r="AEJ70" s="335"/>
      <c r="AEK70" s="335"/>
      <c r="AEL70" s="335"/>
      <c r="AEM70" s="335"/>
      <c r="AEN70" s="335"/>
      <c r="AEO70" s="335"/>
      <c r="AEP70" s="335"/>
      <c r="AEQ70" s="335"/>
      <c r="AER70" s="335"/>
      <c r="AES70" s="335"/>
      <c r="AET70" s="335"/>
      <c r="AEU70" s="335"/>
      <c r="AEV70" s="335"/>
      <c r="AEW70" s="335"/>
      <c r="AEX70" s="335"/>
      <c r="AEY70" s="335"/>
      <c r="AEZ70" s="335"/>
      <c r="AFA70" s="335"/>
      <c r="AFB70" s="335"/>
      <c r="AFC70" s="335"/>
      <c r="AFD70" s="335"/>
      <c r="AFE70" s="335"/>
      <c r="AFF70" s="335"/>
      <c r="AFG70" s="335"/>
      <c r="AFH70" s="335"/>
      <c r="AFI70" s="335"/>
      <c r="AFJ70" s="335"/>
      <c r="AFK70" s="335"/>
      <c r="AFL70" s="335"/>
      <c r="AFM70" s="335"/>
      <c r="AFN70" s="335"/>
      <c r="AFO70" s="335"/>
      <c r="AFP70" s="335"/>
      <c r="AFQ70" s="335"/>
      <c r="AFR70" s="335"/>
      <c r="AFS70" s="335"/>
      <c r="AFT70" s="335"/>
      <c r="AFU70" s="335"/>
      <c r="AFV70" s="335"/>
      <c r="AFW70" s="335"/>
      <c r="AFX70" s="335"/>
      <c r="AFY70" s="335"/>
      <c r="AFZ70" s="335"/>
      <c r="AGA70" s="335"/>
      <c r="AGB70" s="335"/>
      <c r="AGC70" s="335"/>
      <c r="AGD70" s="335"/>
      <c r="AGE70" s="335"/>
      <c r="AGF70" s="335"/>
      <c r="AGG70" s="335"/>
      <c r="AGH70" s="335"/>
      <c r="AGI70" s="335"/>
      <c r="AGJ70" s="335"/>
      <c r="AGK70" s="335"/>
      <c r="AGL70" s="335"/>
      <c r="AGM70" s="335"/>
      <c r="AGN70" s="335"/>
      <c r="AGO70" s="335"/>
      <c r="AGP70" s="335"/>
      <c r="AGQ70" s="335"/>
      <c r="AGR70" s="335"/>
      <c r="AGS70" s="335"/>
      <c r="AGT70" s="335"/>
      <c r="AGU70" s="335"/>
      <c r="AGV70" s="335"/>
      <c r="AGW70" s="335"/>
      <c r="AGX70" s="335"/>
      <c r="AGY70" s="335"/>
      <c r="AGZ70" s="335"/>
      <c r="AHA70" s="335"/>
      <c r="AHB70" s="335"/>
      <c r="AHC70" s="335"/>
      <c r="AHD70" s="335"/>
      <c r="AHE70" s="335"/>
      <c r="AHF70" s="335"/>
      <c r="AHG70" s="335"/>
      <c r="AHH70" s="335"/>
      <c r="AHI70" s="335"/>
      <c r="AHJ70" s="335"/>
      <c r="AHK70" s="335"/>
      <c r="AHL70" s="335"/>
      <c r="AHM70" s="335"/>
      <c r="AHN70" s="335"/>
      <c r="AHO70" s="335"/>
      <c r="AHP70" s="335"/>
      <c r="AHQ70" s="335"/>
      <c r="AHR70" s="335"/>
      <c r="AHS70" s="335"/>
      <c r="AHT70" s="335"/>
      <c r="AHU70" s="335"/>
      <c r="AHV70" s="335"/>
      <c r="AHW70" s="335"/>
      <c r="AHX70" s="335"/>
      <c r="AHY70" s="335"/>
      <c r="AHZ70" s="335"/>
      <c r="AIA70" s="335"/>
      <c r="AIB70" s="335"/>
    </row>
    <row r="71" spans="2:912" s="172" customFormat="1">
      <c r="B71" s="174"/>
      <c r="ABE71" s="336"/>
      <c r="ABF71" s="335"/>
      <c r="ABG71" s="335"/>
      <c r="ABH71" s="335"/>
      <c r="ABI71" s="335"/>
      <c r="ABJ71" s="335"/>
      <c r="ABK71" s="335"/>
      <c r="ABL71" s="335"/>
      <c r="ABM71" s="335"/>
      <c r="ABN71" s="335"/>
      <c r="ABO71" s="335"/>
      <c r="ABP71" s="335"/>
      <c r="ABQ71" s="335"/>
      <c r="ABR71" s="335"/>
      <c r="ABS71" s="335"/>
      <c r="ABT71" s="335"/>
      <c r="ABU71" s="335"/>
      <c r="ABV71" s="335"/>
      <c r="ABW71" s="335"/>
      <c r="ABX71" s="335"/>
      <c r="ABY71" s="335"/>
      <c r="ABZ71" s="335"/>
      <c r="ACA71" s="335"/>
      <c r="ACB71" s="335"/>
      <c r="ACC71" s="335"/>
      <c r="ACD71" s="335"/>
      <c r="ACE71" s="335"/>
      <c r="ACF71" s="335"/>
      <c r="ACG71" s="335"/>
      <c r="ACH71" s="335"/>
      <c r="ACI71" s="335"/>
      <c r="ACJ71" s="335"/>
      <c r="ACK71" s="335"/>
      <c r="ACL71" s="335"/>
      <c r="ACM71" s="335"/>
      <c r="ACN71" s="335"/>
      <c r="ACO71" s="335"/>
      <c r="ACP71" s="335"/>
      <c r="ACQ71" s="335"/>
      <c r="ACR71" s="335"/>
      <c r="ACS71" s="335"/>
      <c r="ACT71" s="335"/>
      <c r="ACU71" s="335"/>
      <c r="ACV71" s="335"/>
      <c r="ACW71" s="335"/>
      <c r="ACX71" s="335"/>
      <c r="ACY71" s="335"/>
      <c r="ACZ71" s="335"/>
      <c r="ADA71" s="335"/>
      <c r="ADB71" s="335"/>
      <c r="ADC71" s="335"/>
      <c r="ADD71" s="335"/>
      <c r="ADE71" s="335"/>
      <c r="ADF71" s="335"/>
      <c r="ADG71" s="335"/>
      <c r="ADH71" s="335"/>
      <c r="ADI71" s="335"/>
      <c r="ADJ71" s="335"/>
      <c r="ADK71" s="335"/>
      <c r="ADL71" s="335"/>
      <c r="ADM71" s="335"/>
      <c r="ADN71" s="335"/>
      <c r="ADO71" s="335"/>
      <c r="ADP71" s="335"/>
      <c r="ADQ71" s="335"/>
      <c r="ADR71" s="335"/>
      <c r="ADS71" s="335"/>
      <c r="ADT71" s="335"/>
      <c r="ADU71" s="335"/>
      <c r="ADV71" s="335"/>
      <c r="ADW71" s="335"/>
      <c r="ADX71" s="335"/>
      <c r="ADY71" s="335"/>
      <c r="ADZ71" s="335"/>
      <c r="AEA71" s="335"/>
      <c r="AEB71" s="335"/>
      <c r="AEC71" s="335"/>
      <c r="AED71" s="335"/>
      <c r="AEE71" s="335"/>
      <c r="AEF71" s="335"/>
      <c r="AEG71" s="335"/>
      <c r="AEH71" s="335"/>
      <c r="AEI71" s="335"/>
      <c r="AEJ71" s="335"/>
      <c r="AEK71" s="335"/>
      <c r="AEL71" s="335"/>
      <c r="AEM71" s="335"/>
      <c r="AEN71" s="335"/>
      <c r="AEO71" s="335"/>
      <c r="AEP71" s="335"/>
      <c r="AEQ71" s="335"/>
      <c r="AER71" s="335"/>
      <c r="AES71" s="335"/>
      <c r="AET71" s="335"/>
      <c r="AEU71" s="335"/>
      <c r="AEV71" s="335"/>
      <c r="AEW71" s="335"/>
      <c r="AEX71" s="335"/>
      <c r="AEY71" s="335"/>
      <c r="AEZ71" s="335"/>
      <c r="AFA71" s="335"/>
      <c r="AFB71" s="335"/>
      <c r="AFC71" s="335"/>
      <c r="AFD71" s="335"/>
      <c r="AFE71" s="335"/>
      <c r="AFF71" s="335"/>
      <c r="AFG71" s="335"/>
      <c r="AFH71" s="335"/>
      <c r="AFI71" s="335"/>
      <c r="AFJ71" s="335"/>
      <c r="AFK71" s="335"/>
      <c r="AFL71" s="335"/>
      <c r="AFM71" s="335"/>
      <c r="AFN71" s="335"/>
      <c r="AFO71" s="335"/>
      <c r="AFP71" s="335"/>
      <c r="AFQ71" s="335"/>
      <c r="AFR71" s="335"/>
      <c r="AFS71" s="335"/>
      <c r="AFT71" s="335"/>
      <c r="AFU71" s="335"/>
      <c r="AFV71" s="335"/>
      <c r="AFW71" s="335"/>
      <c r="AFX71" s="335"/>
      <c r="AFY71" s="335"/>
      <c r="AFZ71" s="335"/>
      <c r="AGA71" s="335"/>
      <c r="AGB71" s="335"/>
      <c r="AGC71" s="335"/>
      <c r="AGD71" s="335"/>
      <c r="AGE71" s="335"/>
      <c r="AGF71" s="335"/>
      <c r="AGG71" s="335"/>
      <c r="AGH71" s="335"/>
      <c r="AGI71" s="335"/>
      <c r="AGJ71" s="335"/>
      <c r="AGK71" s="335"/>
      <c r="AGL71" s="335"/>
      <c r="AGM71" s="335"/>
      <c r="AGN71" s="335"/>
      <c r="AGO71" s="335"/>
      <c r="AGP71" s="335"/>
      <c r="AGQ71" s="335"/>
      <c r="AGR71" s="335"/>
      <c r="AGS71" s="335"/>
      <c r="AGT71" s="335"/>
      <c r="AGU71" s="335"/>
      <c r="AGV71" s="335"/>
      <c r="AGW71" s="335"/>
      <c r="AGX71" s="335"/>
      <c r="AGY71" s="335"/>
      <c r="AGZ71" s="335"/>
      <c r="AHA71" s="335"/>
      <c r="AHB71" s="335"/>
      <c r="AHC71" s="335"/>
      <c r="AHD71" s="335"/>
      <c r="AHE71" s="335"/>
      <c r="AHF71" s="335"/>
      <c r="AHG71" s="335"/>
      <c r="AHH71" s="335"/>
      <c r="AHI71" s="335"/>
      <c r="AHJ71" s="335"/>
      <c r="AHK71" s="335"/>
      <c r="AHL71" s="335"/>
      <c r="AHM71" s="335"/>
      <c r="AHN71" s="335"/>
      <c r="AHO71" s="335"/>
      <c r="AHP71" s="335"/>
      <c r="AHQ71" s="335"/>
      <c r="AHR71" s="335"/>
      <c r="AHS71" s="335"/>
      <c r="AHT71" s="335"/>
      <c r="AHU71" s="335"/>
      <c r="AHV71" s="335"/>
      <c r="AHW71" s="335"/>
      <c r="AHX71" s="335"/>
      <c r="AHY71" s="335"/>
      <c r="AHZ71" s="335"/>
      <c r="AIA71" s="335"/>
      <c r="AIB71" s="335"/>
    </row>
    <row r="72" spans="2:912" s="172" customFormat="1">
      <c r="B72" s="174"/>
      <c r="ABE72" s="336"/>
      <c r="ABF72" s="335"/>
      <c r="ABG72" s="335"/>
      <c r="ABH72" s="335"/>
      <c r="ABI72" s="335"/>
      <c r="ABJ72" s="335"/>
      <c r="ABK72" s="335"/>
      <c r="ABL72" s="335"/>
      <c r="ABM72" s="335"/>
      <c r="ABN72" s="335"/>
      <c r="ABO72" s="335"/>
      <c r="ABP72" s="335"/>
      <c r="ABQ72" s="335"/>
      <c r="ABR72" s="335"/>
      <c r="ABS72" s="335"/>
      <c r="ABT72" s="335"/>
      <c r="ABU72" s="335"/>
      <c r="ABV72" s="335"/>
      <c r="ABW72" s="335"/>
      <c r="ABX72" s="335"/>
      <c r="ABY72" s="335"/>
      <c r="ABZ72" s="335"/>
      <c r="ACA72" s="335"/>
      <c r="ACB72" s="335"/>
      <c r="ACC72" s="335"/>
      <c r="ACD72" s="335"/>
      <c r="ACE72" s="335"/>
      <c r="ACF72" s="335"/>
      <c r="ACG72" s="335"/>
      <c r="ACH72" s="335"/>
      <c r="ACI72" s="335"/>
      <c r="ACJ72" s="335"/>
      <c r="ACK72" s="335"/>
      <c r="ACL72" s="335"/>
      <c r="ACM72" s="335"/>
      <c r="ACN72" s="335"/>
      <c r="ACO72" s="335"/>
      <c r="ACP72" s="335"/>
      <c r="ACQ72" s="335"/>
      <c r="ACR72" s="335"/>
      <c r="ACS72" s="335"/>
      <c r="ACT72" s="335"/>
      <c r="ACU72" s="335"/>
      <c r="ACV72" s="335"/>
      <c r="ACW72" s="335"/>
      <c r="ACX72" s="335"/>
      <c r="ACY72" s="335"/>
      <c r="ACZ72" s="335"/>
      <c r="ADA72" s="335"/>
      <c r="ADB72" s="335"/>
      <c r="ADC72" s="335"/>
      <c r="ADD72" s="335"/>
      <c r="ADE72" s="335"/>
      <c r="ADF72" s="335"/>
      <c r="ADG72" s="335"/>
      <c r="ADH72" s="335"/>
      <c r="ADI72" s="335"/>
      <c r="ADJ72" s="335"/>
      <c r="ADK72" s="335"/>
      <c r="ADL72" s="335"/>
      <c r="ADM72" s="335"/>
      <c r="ADN72" s="335"/>
      <c r="ADO72" s="335"/>
      <c r="ADP72" s="335"/>
      <c r="ADQ72" s="335"/>
      <c r="ADR72" s="335"/>
      <c r="ADS72" s="335"/>
      <c r="ADT72" s="335"/>
      <c r="ADU72" s="335"/>
      <c r="ADV72" s="335"/>
      <c r="ADW72" s="335"/>
      <c r="ADX72" s="335"/>
      <c r="ADY72" s="335"/>
      <c r="ADZ72" s="335"/>
      <c r="AEA72" s="335"/>
      <c r="AEB72" s="335"/>
      <c r="AEC72" s="335"/>
      <c r="AED72" s="335"/>
      <c r="AEE72" s="335"/>
      <c r="AEF72" s="335"/>
      <c r="AEG72" s="335"/>
      <c r="AEH72" s="335"/>
      <c r="AEI72" s="335"/>
      <c r="AEJ72" s="335"/>
      <c r="AEK72" s="335"/>
      <c r="AEL72" s="335"/>
      <c r="AEM72" s="335"/>
      <c r="AEN72" s="335"/>
      <c r="AEO72" s="335"/>
      <c r="AEP72" s="335"/>
      <c r="AEQ72" s="335"/>
      <c r="AER72" s="335"/>
      <c r="AES72" s="335"/>
      <c r="AET72" s="335"/>
      <c r="AEU72" s="335"/>
      <c r="AEV72" s="335"/>
      <c r="AEW72" s="335"/>
      <c r="AEX72" s="335"/>
      <c r="AEY72" s="335"/>
      <c r="AEZ72" s="335"/>
      <c r="AFA72" s="335"/>
      <c r="AFB72" s="335"/>
      <c r="AFC72" s="335"/>
      <c r="AFD72" s="335"/>
      <c r="AFE72" s="335"/>
      <c r="AFF72" s="335"/>
      <c r="AFG72" s="335"/>
      <c r="AFH72" s="335"/>
      <c r="AFI72" s="335"/>
      <c r="AFJ72" s="335"/>
      <c r="AFK72" s="335"/>
      <c r="AFL72" s="335"/>
      <c r="AFM72" s="335"/>
      <c r="AFN72" s="335"/>
      <c r="AFO72" s="335"/>
      <c r="AFP72" s="335"/>
      <c r="AFQ72" s="335"/>
      <c r="AFR72" s="335"/>
      <c r="AFS72" s="335"/>
      <c r="AFT72" s="335"/>
      <c r="AFU72" s="335"/>
      <c r="AFV72" s="335"/>
      <c r="AFW72" s="335"/>
      <c r="AFX72" s="335"/>
      <c r="AFY72" s="335"/>
      <c r="AFZ72" s="335"/>
      <c r="AGA72" s="335"/>
      <c r="AGB72" s="335"/>
      <c r="AGC72" s="335"/>
      <c r="AGD72" s="335"/>
      <c r="AGE72" s="335"/>
      <c r="AGF72" s="335"/>
      <c r="AGG72" s="335"/>
      <c r="AGH72" s="335"/>
      <c r="AGI72" s="335"/>
      <c r="AGJ72" s="335"/>
      <c r="AGK72" s="335"/>
      <c r="AGL72" s="335"/>
      <c r="AGM72" s="335"/>
      <c r="AGN72" s="335"/>
      <c r="AGO72" s="335"/>
      <c r="AGP72" s="335"/>
      <c r="AGQ72" s="335"/>
      <c r="AGR72" s="335"/>
      <c r="AGS72" s="335"/>
      <c r="AGT72" s="335"/>
      <c r="AGU72" s="335"/>
      <c r="AGV72" s="335"/>
      <c r="AGW72" s="335"/>
      <c r="AGX72" s="335"/>
      <c r="AGY72" s="335"/>
      <c r="AGZ72" s="335"/>
      <c r="AHA72" s="335"/>
      <c r="AHB72" s="335"/>
      <c r="AHC72" s="335"/>
      <c r="AHD72" s="335"/>
      <c r="AHE72" s="335"/>
      <c r="AHF72" s="335"/>
      <c r="AHG72" s="335"/>
      <c r="AHH72" s="335"/>
      <c r="AHI72" s="335"/>
      <c r="AHJ72" s="335"/>
      <c r="AHK72" s="335"/>
      <c r="AHL72" s="335"/>
      <c r="AHM72" s="335"/>
      <c r="AHN72" s="335"/>
      <c r="AHO72" s="335"/>
      <c r="AHP72" s="335"/>
      <c r="AHQ72" s="335"/>
      <c r="AHR72" s="335"/>
      <c r="AHS72" s="335"/>
      <c r="AHT72" s="335"/>
      <c r="AHU72" s="335"/>
      <c r="AHV72" s="335"/>
      <c r="AHW72" s="335"/>
      <c r="AHX72" s="335"/>
      <c r="AHY72" s="335"/>
      <c r="AHZ72" s="335"/>
      <c r="AIA72" s="335"/>
      <c r="AIB72" s="335"/>
    </row>
    <row r="73" spans="2:912" s="172" customFormat="1">
      <c r="B73" s="174"/>
      <c r="ABE73" s="336"/>
      <c r="ABF73" s="335"/>
      <c r="ABG73" s="335"/>
      <c r="ABH73" s="335"/>
      <c r="ABI73" s="335"/>
      <c r="ABJ73" s="335"/>
      <c r="ABK73" s="335"/>
      <c r="ABL73" s="335"/>
      <c r="ABM73" s="335"/>
      <c r="ABN73" s="335"/>
      <c r="ABO73" s="335"/>
      <c r="ABP73" s="335"/>
      <c r="ABQ73" s="335"/>
      <c r="ABR73" s="335"/>
      <c r="ABS73" s="335"/>
      <c r="ABT73" s="335"/>
      <c r="ABU73" s="335"/>
      <c r="ABV73" s="335"/>
      <c r="ABW73" s="335"/>
      <c r="ABX73" s="335"/>
      <c r="ABY73" s="335"/>
      <c r="ABZ73" s="335"/>
      <c r="ACA73" s="335"/>
      <c r="ACB73" s="335"/>
      <c r="ACC73" s="335"/>
      <c r="ACD73" s="335"/>
      <c r="ACE73" s="335"/>
      <c r="ACF73" s="335"/>
      <c r="ACG73" s="335"/>
      <c r="ACH73" s="335"/>
      <c r="ACI73" s="335"/>
      <c r="ACJ73" s="335"/>
      <c r="ACK73" s="335"/>
      <c r="ACL73" s="335"/>
      <c r="ACM73" s="335"/>
      <c r="ACN73" s="335"/>
      <c r="ACO73" s="335"/>
      <c r="ACP73" s="335"/>
      <c r="ACQ73" s="335"/>
      <c r="ACR73" s="335"/>
      <c r="ACS73" s="335"/>
      <c r="ACT73" s="335"/>
      <c r="ACU73" s="335"/>
      <c r="ACV73" s="335"/>
      <c r="ACW73" s="335"/>
      <c r="ACX73" s="335"/>
      <c r="ACY73" s="335"/>
      <c r="ACZ73" s="335"/>
      <c r="ADA73" s="335"/>
      <c r="ADB73" s="335"/>
      <c r="ADC73" s="335"/>
      <c r="ADD73" s="335"/>
      <c r="ADE73" s="335"/>
      <c r="ADF73" s="335"/>
      <c r="ADG73" s="335"/>
      <c r="ADH73" s="335"/>
      <c r="ADI73" s="335"/>
      <c r="ADJ73" s="335"/>
      <c r="ADK73" s="335"/>
      <c r="ADL73" s="335"/>
      <c r="ADM73" s="335"/>
      <c r="ADN73" s="335"/>
      <c r="ADO73" s="335"/>
      <c r="ADP73" s="335"/>
      <c r="ADQ73" s="335"/>
      <c r="ADR73" s="335"/>
      <c r="ADS73" s="335"/>
      <c r="ADT73" s="335"/>
      <c r="ADU73" s="335"/>
      <c r="ADV73" s="335"/>
      <c r="ADW73" s="335"/>
      <c r="ADX73" s="335"/>
      <c r="ADY73" s="335"/>
      <c r="ADZ73" s="335"/>
      <c r="AEA73" s="335"/>
      <c r="AEB73" s="335"/>
      <c r="AEC73" s="335"/>
      <c r="AED73" s="335"/>
      <c r="AEE73" s="335"/>
      <c r="AEF73" s="335"/>
      <c r="AEG73" s="335"/>
      <c r="AEH73" s="335"/>
      <c r="AEI73" s="335"/>
      <c r="AEJ73" s="335"/>
      <c r="AEK73" s="335"/>
      <c r="AEL73" s="335"/>
      <c r="AEM73" s="335"/>
      <c r="AEN73" s="335"/>
      <c r="AEO73" s="335"/>
      <c r="AEP73" s="335"/>
      <c r="AEQ73" s="335"/>
      <c r="AER73" s="335"/>
      <c r="AES73" s="335"/>
      <c r="AET73" s="335"/>
      <c r="AEU73" s="335"/>
      <c r="AEV73" s="335"/>
      <c r="AEW73" s="335"/>
      <c r="AEX73" s="335"/>
      <c r="AEY73" s="335"/>
      <c r="AEZ73" s="335"/>
      <c r="AFA73" s="335"/>
      <c r="AFB73" s="335"/>
      <c r="AFC73" s="335"/>
      <c r="AFD73" s="335"/>
      <c r="AFE73" s="335"/>
      <c r="AFF73" s="335"/>
      <c r="AFG73" s="335"/>
      <c r="AFH73" s="335"/>
      <c r="AFI73" s="335"/>
      <c r="AFJ73" s="335"/>
      <c r="AFK73" s="335"/>
      <c r="AFL73" s="335"/>
      <c r="AFM73" s="335"/>
      <c r="AFN73" s="335"/>
      <c r="AFO73" s="335"/>
      <c r="AFP73" s="335"/>
      <c r="AFQ73" s="335"/>
      <c r="AFR73" s="335"/>
      <c r="AFS73" s="335"/>
      <c r="AFT73" s="335"/>
      <c r="AFU73" s="335"/>
      <c r="AFV73" s="335"/>
      <c r="AFW73" s="335"/>
      <c r="AFX73" s="335"/>
      <c r="AFY73" s="335"/>
      <c r="AFZ73" s="335"/>
      <c r="AGA73" s="335"/>
      <c r="AGB73" s="335"/>
      <c r="AGC73" s="335"/>
      <c r="AGD73" s="335"/>
      <c r="AGE73" s="335"/>
      <c r="AGF73" s="335"/>
      <c r="AGG73" s="335"/>
      <c r="AGH73" s="335"/>
      <c r="AGI73" s="335"/>
      <c r="AGJ73" s="335"/>
      <c r="AGK73" s="335"/>
      <c r="AGL73" s="335"/>
      <c r="AGM73" s="335"/>
      <c r="AGN73" s="335"/>
      <c r="AGO73" s="335"/>
      <c r="AGP73" s="335"/>
      <c r="AGQ73" s="335"/>
      <c r="AGR73" s="335"/>
      <c r="AGS73" s="335"/>
      <c r="AGT73" s="335"/>
      <c r="AGU73" s="335"/>
      <c r="AGV73" s="335"/>
      <c r="AGW73" s="335"/>
      <c r="AGX73" s="335"/>
      <c r="AGY73" s="335"/>
      <c r="AGZ73" s="335"/>
      <c r="AHA73" s="335"/>
      <c r="AHB73" s="335"/>
      <c r="AHC73" s="335"/>
      <c r="AHD73" s="335"/>
      <c r="AHE73" s="335"/>
      <c r="AHF73" s="335"/>
      <c r="AHG73" s="335"/>
      <c r="AHH73" s="335"/>
      <c r="AHI73" s="335"/>
      <c r="AHJ73" s="335"/>
      <c r="AHK73" s="335"/>
      <c r="AHL73" s="335"/>
      <c r="AHM73" s="335"/>
      <c r="AHN73" s="335"/>
      <c r="AHO73" s="335"/>
      <c r="AHP73" s="335"/>
      <c r="AHQ73" s="335"/>
      <c r="AHR73" s="335"/>
      <c r="AHS73" s="335"/>
      <c r="AHT73" s="335"/>
      <c r="AHU73" s="335"/>
      <c r="AHV73" s="335"/>
      <c r="AHW73" s="335"/>
      <c r="AHX73" s="335"/>
      <c r="AHY73" s="335"/>
      <c r="AHZ73" s="335"/>
      <c r="AIA73" s="335"/>
      <c r="AIB73" s="335"/>
    </row>
    <row r="74" spans="2:912" s="172" customFormat="1">
      <c r="B74" s="174"/>
      <c r="ABE74" s="336"/>
      <c r="ABF74" s="335"/>
      <c r="ABG74" s="335"/>
      <c r="ABH74" s="335"/>
      <c r="ABI74" s="335"/>
      <c r="ABJ74" s="335"/>
      <c r="ABK74" s="335"/>
      <c r="ABL74" s="335"/>
      <c r="ABM74" s="335"/>
      <c r="ABN74" s="335"/>
      <c r="ABO74" s="335"/>
      <c r="ABP74" s="335"/>
      <c r="ABQ74" s="335"/>
      <c r="ABR74" s="335"/>
      <c r="ABS74" s="335"/>
      <c r="ABT74" s="335"/>
      <c r="ABU74" s="335"/>
      <c r="ABV74" s="335"/>
      <c r="ABW74" s="335"/>
      <c r="ABX74" s="335"/>
      <c r="ABY74" s="335"/>
      <c r="ABZ74" s="335"/>
      <c r="ACA74" s="335"/>
      <c r="ACB74" s="335"/>
      <c r="ACC74" s="335"/>
      <c r="ACD74" s="335"/>
      <c r="ACE74" s="335"/>
      <c r="ACF74" s="335"/>
      <c r="ACG74" s="335"/>
      <c r="ACH74" s="335"/>
      <c r="ACI74" s="335"/>
      <c r="ACJ74" s="335"/>
      <c r="ACK74" s="335"/>
      <c r="ACL74" s="335"/>
      <c r="ACM74" s="335"/>
      <c r="ACN74" s="335"/>
      <c r="ACO74" s="335"/>
      <c r="ACP74" s="335"/>
      <c r="ACQ74" s="335"/>
      <c r="ACR74" s="335"/>
      <c r="ACS74" s="335"/>
      <c r="ACT74" s="335"/>
      <c r="ACU74" s="335"/>
      <c r="ACV74" s="335"/>
      <c r="ACW74" s="335"/>
      <c r="ACX74" s="335"/>
      <c r="ACY74" s="335"/>
      <c r="ACZ74" s="335"/>
      <c r="ADA74" s="335"/>
      <c r="ADB74" s="335"/>
      <c r="ADC74" s="335"/>
      <c r="ADD74" s="335"/>
      <c r="ADE74" s="335"/>
      <c r="ADF74" s="335"/>
      <c r="ADG74" s="335"/>
      <c r="ADH74" s="335"/>
      <c r="ADI74" s="335"/>
      <c r="ADJ74" s="335"/>
      <c r="ADK74" s="335"/>
      <c r="ADL74" s="335"/>
      <c r="ADM74" s="335"/>
      <c r="ADN74" s="335"/>
      <c r="ADO74" s="335"/>
      <c r="ADP74" s="335"/>
      <c r="ADQ74" s="335"/>
      <c r="ADR74" s="335"/>
      <c r="ADS74" s="335"/>
      <c r="ADT74" s="335"/>
      <c r="ADU74" s="335"/>
      <c r="ADV74" s="335"/>
      <c r="ADW74" s="335"/>
      <c r="ADX74" s="335"/>
      <c r="ADY74" s="335"/>
      <c r="ADZ74" s="335"/>
      <c r="AEA74" s="335"/>
      <c r="AEB74" s="335"/>
      <c r="AEC74" s="335"/>
      <c r="AED74" s="335"/>
      <c r="AEE74" s="335"/>
      <c r="AEF74" s="335"/>
      <c r="AEG74" s="335"/>
      <c r="AEH74" s="335"/>
      <c r="AEI74" s="335"/>
      <c r="AEJ74" s="335"/>
      <c r="AEK74" s="335"/>
      <c r="AEL74" s="335"/>
      <c r="AEM74" s="335"/>
      <c r="AEN74" s="335"/>
      <c r="AEO74" s="335"/>
      <c r="AEP74" s="335"/>
      <c r="AEQ74" s="335"/>
      <c r="AER74" s="335"/>
      <c r="AES74" s="335"/>
      <c r="AET74" s="335"/>
      <c r="AEU74" s="335"/>
      <c r="AEV74" s="335"/>
      <c r="AEW74" s="335"/>
      <c r="AEX74" s="335"/>
      <c r="AEY74" s="335"/>
      <c r="AEZ74" s="335"/>
      <c r="AFA74" s="335"/>
      <c r="AFB74" s="335"/>
      <c r="AFC74" s="335"/>
      <c r="AFD74" s="335"/>
      <c r="AFE74" s="335"/>
      <c r="AFF74" s="335"/>
      <c r="AFG74" s="335"/>
      <c r="AFH74" s="335"/>
      <c r="AFI74" s="335"/>
      <c r="AFJ74" s="335"/>
      <c r="AFK74" s="335"/>
      <c r="AFL74" s="335"/>
      <c r="AFM74" s="335"/>
      <c r="AFN74" s="335"/>
      <c r="AFO74" s="335"/>
      <c r="AFP74" s="335"/>
      <c r="AFQ74" s="335"/>
      <c r="AFR74" s="335"/>
      <c r="AFS74" s="335"/>
      <c r="AFT74" s="335"/>
      <c r="AFU74" s="335"/>
      <c r="AFV74" s="335"/>
      <c r="AFW74" s="335"/>
      <c r="AFX74" s="335"/>
      <c r="AFY74" s="335"/>
      <c r="AFZ74" s="335"/>
      <c r="AGA74" s="335"/>
      <c r="AGB74" s="335"/>
      <c r="AGC74" s="335"/>
      <c r="AGD74" s="335"/>
      <c r="AGE74" s="335"/>
      <c r="AGF74" s="335"/>
      <c r="AGG74" s="335"/>
      <c r="AGH74" s="335"/>
      <c r="AGI74" s="335"/>
      <c r="AGJ74" s="335"/>
      <c r="AGK74" s="335"/>
      <c r="AGL74" s="335"/>
      <c r="AGM74" s="335"/>
      <c r="AGN74" s="335"/>
      <c r="AGO74" s="335"/>
      <c r="AGP74" s="335"/>
      <c r="AGQ74" s="335"/>
      <c r="AGR74" s="335"/>
      <c r="AGS74" s="335"/>
      <c r="AGT74" s="335"/>
      <c r="AGU74" s="335"/>
      <c r="AGV74" s="335"/>
      <c r="AGW74" s="335"/>
      <c r="AGX74" s="335"/>
      <c r="AGY74" s="335"/>
      <c r="AGZ74" s="335"/>
      <c r="AHA74" s="335"/>
      <c r="AHB74" s="335"/>
      <c r="AHC74" s="335"/>
      <c r="AHD74" s="335"/>
      <c r="AHE74" s="335"/>
      <c r="AHF74" s="335"/>
      <c r="AHG74" s="335"/>
      <c r="AHH74" s="335"/>
      <c r="AHI74" s="335"/>
      <c r="AHJ74" s="335"/>
      <c r="AHK74" s="335"/>
      <c r="AHL74" s="335"/>
      <c r="AHM74" s="335"/>
      <c r="AHN74" s="335"/>
      <c r="AHO74" s="335"/>
      <c r="AHP74" s="335"/>
      <c r="AHQ74" s="335"/>
      <c r="AHR74" s="335"/>
      <c r="AHS74" s="335"/>
      <c r="AHT74" s="335"/>
      <c r="AHU74" s="335"/>
      <c r="AHV74" s="335"/>
      <c r="AHW74" s="335"/>
      <c r="AHX74" s="335"/>
      <c r="AHY74" s="335"/>
      <c r="AHZ74" s="335"/>
      <c r="AIA74" s="335"/>
      <c r="AIB74" s="335"/>
    </row>
    <row r="75" spans="2:912" s="172" customFormat="1">
      <c r="B75" s="174"/>
      <c r="ABE75" s="336"/>
      <c r="ABF75" s="335"/>
      <c r="ABG75" s="335"/>
      <c r="ABH75" s="335"/>
      <c r="ABI75" s="335"/>
      <c r="ABJ75" s="335"/>
      <c r="ABK75" s="335"/>
      <c r="ABL75" s="335"/>
      <c r="ABM75" s="335"/>
      <c r="ABN75" s="335"/>
      <c r="ABO75" s="335"/>
      <c r="ABP75" s="335"/>
      <c r="ABQ75" s="335"/>
      <c r="ABR75" s="335"/>
      <c r="ABS75" s="335"/>
      <c r="ABT75" s="335"/>
      <c r="ABU75" s="335"/>
      <c r="ABV75" s="335"/>
      <c r="ABW75" s="335"/>
      <c r="ABX75" s="335"/>
      <c r="ABY75" s="335"/>
      <c r="ABZ75" s="335"/>
      <c r="ACA75" s="335"/>
      <c r="ACB75" s="335"/>
      <c r="ACC75" s="335"/>
      <c r="ACD75" s="335"/>
      <c r="ACE75" s="335"/>
      <c r="ACF75" s="335"/>
      <c r="ACG75" s="335"/>
      <c r="ACH75" s="335"/>
      <c r="ACI75" s="335"/>
      <c r="ACJ75" s="335"/>
      <c r="ACK75" s="335"/>
      <c r="ACL75" s="335"/>
      <c r="ACM75" s="335"/>
      <c r="ACN75" s="335"/>
      <c r="ACO75" s="335"/>
      <c r="ACP75" s="335"/>
      <c r="ACQ75" s="335"/>
      <c r="ACR75" s="335"/>
      <c r="ACS75" s="335"/>
      <c r="ACT75" s="335"/>
      <c r="ACU75" s="335"/>
      <c r="ACV75" s="335"/>
      <c r="ACW75" s="335"/>
      <c r="ACX75" s="335"/>
      <c r="ACY75" s="335"/>
      <c r="ACZ75" s="335"/>
      <c r="ADA75" s="335"/>
      <c r="ADB75" s="335"/>
      <c r="ADC75" s="335"/>
      <c r="ADD75" s="335"/>
      <c r="ADE75" s="335"/>
      <c r="ADF75" s="335"/>
      <c r="ADG75" s="335"/>
      <c r="ADH75" s="335"/>
      <c r="ADI75" s="335"/>
      <c r="ADJ75" s="335"/>
      <c r="ADK75" s="335"/>
      <c r="ADL75" s="335"/>
      <c r="ADM75" s="335"/>
      <c r="ADN75" s="335"/>
      <c r="ADO75" s="335"/>
      <c r="ADP75" s="335"/>
      <c r="ADQ75" s="335"/>
      <c r="ADR75" s="335"/>
      <c r="ADS75" s="335"/>
      <c r="ADT75" s="335"/>
      <c r="ADU75" s="335"/>
      <c r="ADV75" s="335"/>
      <c r="ADW75" s="335"/>
      <c r="ADX75" s="335"/>
      <c r="ADY75" s="335"/>
      <c r="ADZ75" s="335"/>
      <c r="AEA75" s="335"/>
      <c r="AEB75" s="335"/>
      <c r="AEC75" s="335"/>
      <c r="AED75" s="335"/>
      <c r="AEE75" s="335"/>
      <c r="AEF75" s="335"/>
      <c r="AEG75" s="335"/>
      <c r="AEH75" s="335"/>
      <c r="AEI75" s="335"/>
      <c r="AEJ75" s="335"/>
      <c r="AEK75" s="335"/>
      <c r="AEL75" s="335"/>
      <c r="AEM75" s="335"/>
      <c r="AEN75" s="335"/>
      <c r="AEO75" s="335"/>
      <c r="AEP75" s="335"/>
      <c r="AEQ75" s="335"/>
      <c r="AER75" s="335"/>
      <c r="AES75" s="335"/>
      <c r="AET75" s="335"/>
      <c r="AEU75" s="335"/>
      <c r="AEV75" s="335"/>
      <c r="AEW75" s="335"/>
      <c r="AEX75" s="335"/>
      <c r="AEY75" s="335"/>
      <c r="AEZ75" s="335"/>
      <c r="AFA75" s="335"/>
      <c r="AFB75" s="335"/>
      <c r="AFC75" s="335"/>
      <c r="AFD75" s="335"/>
      <c r="AFE75" s="335"/>
      <c r="AFF75" s="335"/>
      <c r="AFG75" s="335"/>
      <c r="AFH75" s="335"/>
      <c r="AFI75" s="335"/>
      <c r="AFJ75" s="335"/>
      <c r="AFK75" s="335"/>
      <c r="AFL75" s="335"/>
      <c r="AFM75" s="335"/>
      <c r="AFN75" s="335"/>
      <c r="AFO75" s="335"/>
      <c r="AFP75" s="335"/>
      <c r="AFQ75" s="335"/>
      <c r="AFR75" s="335"/>
      <c r="AFS75" s="335"/>
      <c r="AFT75" s="335"/>
      <c r="AFU75" s="335"/>
      <c r="AFV75" s="335"/>
      <c r="AFW75" s="335"/>
      <c r="AFX75" s="335"/>
      <c r="AFY75" s="335"/>
      <c r="AFZ75" s="335"/>
      <c r="AGA75" s="335"/>
      <c r="AGB75" s="335"/>
      <c r="AGC75" s="335"/>
      <c r="AGD75" s="335"/>
      <c r="AGE75" s="335"/>
      <c r="AGF75" s="335"/>
      <c r="AGG75" s="335"/>
      <c r="AGH75" s="335"/>
      <c r="AGI75" s="335"/>
      <c r="AGJ75" s="335"/>
      <c r="AGK75" s="335"/>
      <c r="AGL75" s="335"/>
      <c r="AGM75" s="335"/>
      <c r="AGN75" s="335"/>
      <c r="AGO75" s="335"/>
      <c r="AGP75" s="335"/>
      <c r="AGQ75" s="335"/>
      <c r="AGR75" s="335"/>
      <c r="AGS75" s="335"/>
      <c r="AGT75" s="335"/>
      <c r="AGU75" s="335"/>
      <c r="AGV75" s="335"/>
      <c r="AGW75" s="335"/>
      <c r="AGX75" s="335"/>
      <c r="AGY75" s="335"/>
      <c r="AGZ75" s="335"/>
      <c r="AHA75" s="335"/>
      <c r="AHB75" s="335"/>
      <c r="AHC75" s="335"/>
      <c r="AHD75" s="335"/>
      <c r="AHE75" s="335"/>
      <c r="AHF75" s="335"/>
      <c r="AHG75" s="335"/>
      <c r="AHH75" s="335"/>
      <c r="AHI75" s="335"/>
      <c r="AHJ75" s="335"/>
      <c r="AHK75" s="335"/>
      <c r="AHL75" s="335"/>
      <c r="AHM75" s="335"/>
      <c r="AHN75" s="335"/>
      <c r="AHO75" s="335"/>
      <c r="AHP75" s="335"/>
      <c r="AHQ75" s="335"/>
      <c r="AHR75" s="335"/>
      <c r="AHS75" s="335"/>
      <c r="AHT75" s="335"/>
      <c r="AHU75" s="335"/>
      <c r="AHV75" s="335"/>
      <c r="AHW75" s="335"/>
      <c r="AHX75" s="335"/>
      <c r="AHY75" s="335"/>
      <c r="AHZ75" s="335"/>
      <c r="AIA75" s="335"/>
      <c r="AIB75" s="335"/>
    </row>
    <row r="76" spans="2:912" s="172" customFormat="1">
      <c r="B76" s="174"/>
      <c r="ABE76" s="336"/>
      <c r="ABF76" s="335"/>
      <c r="ABG76" s="335"/>
      <c r="ABH76" s="335"/>
      <c r="ABI76" s="335"/>
      <c r="ABJ76" s="335"/>
      <c r="ABK76" s="335"/>
      <c r="ABL76" s="335"/>
      <c r="ABM76" s="335"/>
      <c r="ABN76" s="335"/>
      <c r="ABO76" s="335"/>
      <c r="ABP76" s="335"/>
      <c r="ABQ76" s="335"/>
      <c r="ABR76" s="335"/>
      <c r="ABS76" s="335"/>
      <c r="ABT76" s="335"/>
      <c r="ABU76" s="335"/>
      <c r="ABV76" s="335"/>
      <c r="ABW76" s="335"/>
      <c r="ABX76" s="335"/>
      <c r="ABY76" s="335"/>
      <c r="ABZ76" s="335"/>
      <c r="ACA76" s="335"/>
      <c r="ACB76" s="335"/>
      <c r="ACC76" s="335"/>
      <c r="ACD76" s="335"/>
      <c r="ACE76" s="335"/>
      <c r="ACF76" s="335"/>
      <c r="ACG76" s="335"/>
      <c r="ACH76" s="335"/>
      <c r="ACI76" s="335"/>
      <c r="ACJ76" s="335"/>
      <c r="ACK76" s="335"/>
      <c r="ACL76" s="335"/>
      <c r="ACM76" s="335"/>
      <c r="ACN76" s="335"/>
      <c r="ACO76" s="335"/>
      <c r="ACP76" s="335"/>
      <c r="ACQ76" s="335"/>
      <c r="ACR76" s="335"/>
      <c r="ACS76" s="335"/>
      <c r="ACT76" s="335"/>
      <c r="ACU76" s="335"/>
      <c r="ACV76" s="335"/>
      <c r="ACW76" s="335"/>
      <c r="ACX76" s="335"/>
      <c r="ACY76" s="335"/>
      <c r="ACZ76" s="335"/>
      <c r="ADA76" s="335"/>
      <c r="ADB76" s="335"/>
      <c r="ADC76" s="335"/>
      <c r="ADD76" s="335"/>
      <c r="ADE76" s="335"/>
      <c r="ADF76" s="335"/>
      <c r="ADG76" s="335"/>
      <c r="ADH76" s="335"/>
      <c r="ADI76" s="335"/>
      <c r="ADJ76" s="335"/>
      <c r="ADK76" s="335"/>
      <c r="ADL76" s="335"/>
      <c r="ADM76" s="335"/>
      <c r="ADN76" s="335"/>
      <c r="ADO76" s="335"/>
      <c r="ADP76" s="335"/>
      <c r="ADQ76" s="335"/>
      <c r="ADR76" s="335"/>
      <c r="ADS76" s="335"/>
      <c r="ADT76" s="335"/>
      <c r="ADU76" s="335"/>
      <c r="ADV76" s="335"/>
      <c r="ADW76" s="335"/>
      <c r="ADX76" s="335"/>
      <c r="ADY76" s="335"/>
      <c r="ADZ76" s="335"/>
      <c r="AEA76" s="335"/>
      <c r="AEB76" s="335"/>
      <c r="AEC76" s="335"/>
      <c r="AED76" s="335"/>
      <c r="AEE76" s="335"/>
      <c r="AEF76" s="335"/>
      <c r="AEG76" s="335"/>
      <c r="AEH76" s="335"/>
      <c r="AEI76" s="335"/>
      <c r="AEJ76" s="335"/>
      <c r="AEK76" s="335"/>
      <c r="AEL76" s="335"/>
      <c r="AEM76" s="335"/>
      <c r="AEN76" s="335"/>
      <c r="AEO76" s="335"/>
      <c r="AEP76" s="335"/>
      <c r="AEQ76" s="335"/>
      <c r="AER76" s="335"/>
      <c r="AES76" s="335"/>
      <c r="AET76" s="335"/>
      <c r="AEU76" s="335"/>
      <c r="AEV76" s="335"/>
      <c r="AEW76" s="335"/>
      <c r="AEX76" s="335"/>
      <c r="AEY76" s="335"/>
      <c r="AEZ76" s="335"/>
      <c r="AFA76" s="335"/>
      <c r="AFB76" s="335"/>
      <c r="AFC76" s="335"/>
      <c r="AFD76" s="335"/>
      <c r="AFE76" s="335"/>
      <c r="AFF76" s="335"/>
      <c r="AFG76" s="335"/>
      <c r="AFH76" s="335"/>
      <c r="AFI76" s="335"/>
      <c r="AFJ76" s="335"/>
      <c r="AFK76" s="335"/>
      <c r="AFL76" s="335"/>
      <c r="AFM76" s="335"/>
      <c r="AFN76" s="335"/>
      <c r="AFO76" s="335"/>
      <c r="AFP76" s="335"/>
      <c r="AFQ76" s="335"/>
      <c r="AFR76" s="335"/>
      <c r="AFS76" s="335"/>
      <c r="AFT76" s="335"/>
      <c r="AFU76" s="335"/>
      <c r="AFV76" s="335"/>
      <c r="AFW76" s="335"/>
      <c r="AFX76" s="335"/>
      <c r="AFY76" s="335"/>
      <c r="AFZ76" s="335"/>
      <c r="AGA76" s="335"/>
      <c r="AGB76" s="335"/>
      <c r="AGC76" s="335"/>
      <c r="AGD76" s="335"/>
      <c r="AGE76" s="335"/>
      <c r="AGF76" s="335"/>
      <c r="AGG76" s="335"/>
      <c r="AGH76" s="335"/>
      <c r="AGI76" s="335"/>
      <c r="AGJ76" s="335"/>
      <c r="AGK76" s="335"/>
      <c r="AGL76" s="335"/>
      <c r="AGM76" s="335"/>
      <c r="AGN76" s="335"/>
      <c r="AGO76" s="335"/>
      <c r="AGP76" s="335"/>
      <c r="AGQ76" s="335"/>
      <c r="AGR76" s="335"/>
      <c r="AGS76" s="335"/>
      <c r="AGT76" s="335"/>
      <c r="AGU76" s="335"/>
      <c r="AGV76" s="335"/>
      <c r="AGW76" s="335"/>
      <c r="AGX76" s="335"/>
      <c r="AGY76" s="335"/>
      <c r="AGZ76" s="335"/>
      <c r="AHA76" s="335"/>
      <c r="AHB76" s="335"/>
      <c r="AHC76" s="335"/>
      <c r="AHD76" s="335"/>
      <c r="AHE76" s="335"/>
      <c r="AHF76" s="335"/>
      <c r="AHG76" s="335"/>
      <c r="AHH76" s="335"/>
      <c r="AHI76" s="335"/>
      <c r="AHJ76" s="335"/>
      <c r="AHK76" s="335"/>
      <c r="AHL76" s="335"/>
      <c r="AHM76" s="335"/>
      <c r="AHN76" s="335"/>
      <c r="AHO76" s="335"/>
      <c r="AHP76" s="335"/>
      <c r="AHQ76" s="335"/>
      <c r="AHR76" s="335"/>
      <c r="AHS76" s="335"/>
      <c r="AHT76" s="335"/>
      <c r="AHU76" s="335"/>
      <c r="AHV76" s="335"/>
      <c r="AHW76" s="335"/>
      <c r="AHX76" s="335"/>
      <c r="AHY76" s="335"/>
      <c r="AHZ76" s="335"/>
      <c r="AIA76" s="335"/>
      <c r="AIB76" s="335"/>
    </row>
    <row r="77" spans="2:912" s="172" customFormat="1">
      <c r="B77" s="174"/>
      <c r="ABE77" s="336"/>
      <c r="ABF77" s="335"/>
      <c r="ABG77" s="335"/>
      <c r="ABH77" s="335"/>
      <c r="ABI77" s="335"/>
      <c r="ABJ77" s="335"/>
      <c r="ABK77" s="335"/>
      <c r="ABL77" s="335"/>
      <c r="ABM77" s="335"/>
      <c r="ABN77" s="335"/>
      <c r="ABO77" s="335"/>
      <c r="ABP77" s="335"/>
      <c r="ABQ77" s="335"/>
      <c r="ABR77" s="335"/>
      <c r="ABS77" s="335"/>
      <c r="ABT77" s="335"/>
      <c r="ABU77" s="335"/>
      <c r="ABV77" s="335"/>
      <c r="ABW77" s="335"/>
      <c r="ABX77" s="335"/>
      <c r="ABY77" s="335"/>
      <c r="ABZ77" s="335"/>
      <c r="ACA77" s="335"/>
      <c r="ACB77" s="335"/>
      <c r="ACC77" s="335"/>
      <c r="ACD77" s="335"/>
      <c r="ACE77" s="335"/>
      <c r="ACF77" s="335"/>
      <c r="ACG77" s="335"/>
      <c r="ACH77" s="335"/>
      <c r="ACI77" s="335"/>
      <c r="ACJ77" s="335"/>
      <c r="ACK77" s="335"/>
      <c r="ACL77" s="335"/>
      <c r="ACM77" s="335"/>
      <c r="ACN77" s="335"/>
      <c r="ACO77" s="335"/>
      <c r="ACP77" s="335"/>
      <c r="ACQ77" s="335"/>
      <c r="ACR77" s="335"/>
      <c r="ACS77" s="335"/>
      <c r="ACT77" s="335"/>
      <c r="ACU77" s="335"/>
      <c r="ACV77" s="335"/>
      <c r="ACW77" s="335"/>
      <c r="ACX77" s="335"/>
      <c r="ACY77" s="335"/>
      <c r="ACZ77" s="335"/>
      <c r="ADA77" s="335"/>
      <c r="ADB77" s="335"/>
      <c r="ADC77" s="335"/>
      <c r="ADD77" s="335"/>
      <c r="ADE77" s="335"/>
      <c r="ADF77" s="335"/>
      <c r="ADG77" s="335"/>
      <c r="ADH77" s="335"/>
      <c r="ADI77" s="335"/>
      <c r="ADJ77" s="335"/>
      <c r="ADK77" s="335"/>
      <c r="ADL77" s="335"/>
      <c r="ADM77" s="335"/>
      <c r="ADN77" s="335"/>
      <c r="ADO77" s="335"/>
      <c r="ADP77" s="335"/>
      <c r="ADQ77" s="335"/>
      <c r="ADR77" s="335"/>
      <c r="ADS77" s="335"/>
      <c r="ADT77" s="335"/>
      <c r="ADU77" s="335"/>
      <c r="ADV77" s="335"/>
      <c r="ADW77" s="335"/>
      <c r="ADX77" s="335"/>
      <c r="ADY77" s="335"/>
      <c r="ADZ77" s="335"/>
      <c r="AEA77" s="335"/>
      <c r="AEB77" s="335"/>
      <c r="AEC77" s="335"/>
      <c r="AED77" s="335"/>
      <c r="AEE77" s="335"/>
      <c r="AEF77" s="335"/>
      <c r="AEG77" s="335"/>
      <c r="AEH77" s="335"/>
      <c r="AEI77" s="335"/>
      <c r="AEJ77" s="335"/>
      <c r="AEK77" s="335"/>
      <c r="AEL77" s="335"/>
      <c r="AEM77" s="335"/>
      <c r="AEN77" s="335"/>
      <c r="AEO77" s="335"/>
      <c r="AEP77" s="335"/>
      <c r="AEQ77" s="335"/>
      <c r="AER77" s="335"/>
      <c r="AES77" s="335"/>
      <c r="AET77" s="335"/>
      <c r="AEU77" s="335"/>
      <c r="AEV77" s="335"/>
      <c r="AEW77" s="335"/>
      <c r="AEX77" s="335"/>
      <c r="AEY77" s="335"/>
      <c r="AEZ77" s="335"/>
      <c r="AFA77" s="335"/>
      <c r="AFB77" s="335"/>
      <c r="AFC77" s="335"/>
      <c r="AFD77" s="335"/>
      <c r="AFE77" s="335"/>
      <c r="AFF77" s="335"/>
      <c r="AFG77" s="335"/>
      <c r="AFH77" s="335"/>
      <c r="AFI77" s="335"/>
      <c r="AFJ77" s="335"/>
      <c r="AFK77" s="335"/>
      <c r="AFL77" s="335"/>
      <c r="AFM77" s="335"/>
      <c r="AFN77" s="335"/>
      <c r="AFO77" s="335"/>
      <c r="AFP77" s="335"/>
      <c r="AFQ77" s="335"/>
      <c r="AFR77" s="335"/>
      <c r="AFS77" s="335"/>
      <c r="AFT77" s="335"/>
      <c r="AFU77" s="335"/>
      <c r="AFV77" s="335"/>
      <c r="AFW77" s="335"/>
      <c r="AFX77" s="335"/>
      <c r="AFY77" s="335"/>
      <c r="AFZ77" s="335"/>
      <c r="AGA77" s="335"/>
      <c r="AGB77" s="335"/>
      <c r="AGC77" s="335"/>
      <c r="AGD77" s="335"/>
      <c r="AGE77" s="335"/>
      <c r="AGF77" s="335"/>
      <c r="AGG77" s="335"/>
      <c r="AGH77" s="335"/>
      <c r="AGI77" s="335"/>
      <c r="AGJ77" s="335"/>
      <c r="AGK77" s="335"/>
      <c r="AGL77" s="335"/>
      <c r="AGM77" s="335"/>
      <c r="AGN77" s="335"/>
      <c r="AGO77" s="335"/>
      <c r="AGP77" s="335"/>
      <c r="AGQ77" s="335"/>
      <c r="AGR77" s="335"/>
      <c r="AGS77" s="335"/>
      <c r="AGT77" s="335"/>
      <c r="AGU77" s="335"/>
      <c r="AGV77" s="335"/>
      <c r="AGW77" s="335"/>
      <c r="AGX77" s="335"/>
      <c r="AGY77" s="335"/>
      <c r="AGZ77" s="335"/>
      <c r="AHA77" s="335"/>
      <c r="AHB77" s="335"/>
      <c r="AHC77" s="335"/>
      <c r="AHD77" s="335"/>
      <c r="AHE77" s="335"/>
      <c r="AHF77" s="335"/>
      <c r="AHG77" s="335"/>
      <c r="AHH77" s="335"/>
      <c r="AHI77" s="335"/>
      <c r="AHJ77" s="335"/>
      <c r="AHK77" s="335"/>
      <c r="AHL77" s="335"/>
      <c r="AHM77" s="335"/>
      <c r="AHN77" s="335"/>
      <c r="AHO77" s="335"/>
      <c r="AHP77" s="335"/>
      <c r="AHQ77" s="335"/>
      <c r="AHR77" s="335"/>
      <c r="AHS77" s="335"/>
      <c r="AHT77" s="335"/>
      <c r="AHU77" s="335"/>
      <c r="AHV77" s="335"/>
      <c r="AHW77" s="335"/>
      <c r="AHX77" s="335"/>
      <c r="AHY77" s="335"/>
      <c r="AHZ77" s="335"/>
      <c r="AIA77" s="335"/>
      <c r="AIB77" s="335"/>
    </row>
    <row r="78" spans="2:912" s="172" customFormat="1">
      <c r="B78" s="174"/>
      <c r="ABE78" s="336"/>
      <c r="ABF78" s="335"/>
      <c r="ABG78" s="335"/>
      <c r="ABH78" s="335"/>
      <c r="ABI78" s="335"/>
      <c r="ABJ78" s="335"/>
      <c r="ABK78" s="335"/>
      <c r="ABL78" s="335"/>
      <c r="ABM78" s="335"/>
      <c r="ABN78" s="335"/>
      <c r="ABO78" s="335"/>
      <c r="ABP78" s="335"/>
      <c r="ABQ78" s="335"/>
      <c r="ABR78" s="335"/>
      <c r="ABS78" s="335"/>
      <c r="ABT78" s="335"/>
      <c r="ABU78" s="335"/>
      <c r="ABV78" s="335"/>
      <c r="ABW78" s="335"/>
      <c r="ABX78" s="335"/>
      <c r="ABY78" s="335"/>
      <c r="ABZ78" s="335"/>
      <c r="ACA78" s="335"/>
      <c r="ACB78" s="335"/>
      <c r="ACC78" s="335"/>
      <c r="ACD78" s="335"/>
      <c r="ACE78" s="335"/>
      <c r="ACF78" s="335"/>
      <c r="ACG78" s="335"/>
      <c r="ACH78" s="335"/>
      <c r="ACI78" s="335"/>
      <c r="ACJ78" s="335"/>
      <c r="ACK78" s="335"/>
      <c r="ACL78" s="335"/>
      <c r="ACM78" s="335"/>
      <c r="ACN78" s="335"/>
      <c r="ACO78" s="335"/>
      <c r="ACP78" s="335"/>
      <c r="ACQ78" s="335"/>
      <c r="ACR78" s="335"/>
      <c r="ACS78" s="335"/>
      <c r="ACT78" s="335"/>
      <c r="ACU78" s="335"/>
      <c r="ACV78" s="335"/>
      <c r="ACW78" s="335"/>
      <c r="ACX78" s="335"/>
      <c r="ACY78" s="335"/>
      <c r="ACZ78" s="335"/>
      <c r="ADA78" s="335"/>
      <c r="ADB78" s="335"/>
      <c r="ADC78" s="335"/>
      <c r="ADD78" s="335"/>
      <c r="ADE78" s="335"/>
      <c r="ADF78" s="335"/>
      <c r="ADG78" s="335"/>
      <c r="ADH78" s="335"/>
      <c r="ADI78" s="335"/>
      <c r="ADJ78" s="335"/>
      <c r="ADK78" s="335"/>
      <c r="ADL78" s="335"/>
      <c r="ADM78" s="335"/>
      <c r="ADN78" s="335"/>
      <c r="ADO78" s="335"/>
      <c r="ADP78" s="335"/>
      <c r="ADQ78" s="335"/>
      <c r="ADR78" s="335"/>
      <c r="ADS78" s="335"/>
      <c r="ADT78" s="335"/>
      <c r="ADU78" s="335"/>
      <c r="ADV78" s="335"/>
      <c r="ADW78" s="335"/>
      <c r="ADX78" s="335"/>
      <c r="ADY78" s="335"/>
      <c r="ADZ78" s="335"/>
      <c r="AEA78" s="335"/>
      <c r="AEB78" s="335"/>
      <c r="AEC78" s="335"/>
      <c r="AED78" s="335"/>
      <c r="AEE78" s="335"/>
      <c r="AEF78" s="335"/>
      <c r="AEG78" s="335"/>
      <c r="AEH78" s="335"/>
      <c r="AEI78" s="335"/>
      <c r="AEJ78" s="335"/>
      <c r="AEK78" s="335"/>
      <c r="AEL78" s="335"/>
      <c r="AEM78" s="335"/>
      <c r="AEN78" s="335"/>
      <c r="AEO78" s="335"/>
      <c r="AEP78" s="335"/>
      <c r="AEQ78" s="335"/>
      <c r="AER78" s="335"/>
      <c r="AES78" s="335"/>
      <c r="AET78" s="335"/>
      <c r="AEU78" s="335"/>
      <c r="AEV78" s="335"/>
      <c r="AEW78" s="335"/>
      <c r="AEX78" s="335"/>
      <c r="AEY78" s="335"/>
      <c r="AEZ78" s="335"/>
      <c r="AFA78" s="335"/>
      <c r="AFB78" s="335"/>
      <c r="AFC78" s="335"/>
      <c r="AFD78" s="335"/>
      <c r="AFE78" s="335"/>
      <c r="AFF78" s="335"/>
      <c r="AFG78" s="335"/>
      <c r="AFH78" s="335"/>
      <c r="AFI78" s="335"/>
      <c r="AFJ78" s="335"/>
      <c r="AFK78" s="335"/>
      <c r="AFL78" s="335"/>
      <c r="AFM78" s="335"/>
      <c r="AFN78" s="335"/>
      <c r="AFO78" s="335"/>
      <c r="AFP78" s="335"/>
      <c r="AFQ78" s="335"/>
      <c r="AFR78" s="335"/>
      <c r="AFS78" s="335"/>
      <c r="AFT78" s="335"/>
      <c r="AFU78" s="335"/>
      <c r="AFV78" s="335"/>
      <c r="AFW78" s="335"/>
      <c r="AFX78" s="335"/>
      <c r="AFY78" s="335"/>
      <c r="AFZ78" s="335"/>
      <c r="AGA78" s="335"/>
      <c r="AGB78" s="335"/>
      <c r="AGC78" s="335"/>
      <c r="AGD78" s="335"/>
      <c r="AGE78" s="335"/>
      <c r="AGF78" s="335"/>
      <c r="AGG78" s="335"/>
      <c r="AGH78" s="335"/>
      <c r="AGI78" s="335"/>
      <c r="AGJ78" s="335"/>
      <c r="AGK78" s="335"/>
      <c r="AGL78" s="335"/>
      <c r="AGM78" s="335"/>
      <c r="AGN78" s="335"/>
      <c r="AGO78" s="335"/>
      <c r="AGP78" s="335"/>
      <c r="AGQ78" s="335"/>
      <c r="AGR78" s="335"/>
      <c r="AGS78" s="335"/>
      <c r="AGT78" s="335"/>
      <c r="AGU78" s="335"/>
      <c r="AGV78" s="335"/>
      <c r="AGW78" s="335"/>
      <c r="AGX78" s="335"/>
      <c r="AGY78" s="335"/>
      <c r="AGZ78" s="335"/>
      <c r="AHA78" s="335"/>
      <c r="AHB78" s="335"/>
      <c r="AHC78" s="335"/>
      <c r="AHD78" s="335"/>
      <c r="AHE78" s="335"/>
      <c r="AHF78" s="335"/>
      <c r="AHG78" s="335"/>
      <c r="AHH78" s="335"/>
      <c r="AHI78" s="335"/>
      <c r="AHJ78" s="335"/>
      <c r="AHK78" s="335"/>
      <c r="AHL78" s="335"/>
      <c r="AHM78" s="335"/>
      <c r="AHN78" s="335"/>
      <c r="AHO78" s="335"/>
      <c r="AHP78" s="335"/>
      <c r="AHQ78" s="335"/>
      <c r="AHR78" s="335"/>
      <c r="AHS78" s="335"/>
      <c r="AHT78" s="335"/>
      <c r="AHU78" s="335"/>
      <c r="AHV78" s="335"/>
      <c r="AHW78" s="335"/>
      <c r="AHX78" s="335"/>
      <c r="AHY78" s="335"/>
      <c r="AHZ78" s="335"/>
      <c r="AIA78" s="335"/>
      <c r="AIB78" s="335"/>
    </row>
    <row r="79" spans="2:912" s="172" customFormat="1">
      <c r="B79" s="174"/>
      <c r="ABE79" s="336"/>
      <c r="ABF79" s="335"/>
      <c r="ABG79" s="335"/>
      <c r="ABH79" s="335"/>
      <c r="ABI79" s="335"/>
      <c r="ABJ79" s="335"/>
      <c r="ABK79" s="335"/>
      <c r="ABL79" s="335"/>
      <c r="ABM79" s="335"/>
      <c r="ABN79" s="335"/>
      <c r="ABO79" s="335"/>
      <c r="ABP79" s="335"/>
      <c r="ABQ79" s="335"/>
      <c r="ABR79" s="335"/>
      <c r="ABS79" s="335"/>
      <c r="ABT79" s="335"/>
      <c r="ABU79" s="335"/>
      <c r="ABV79" s="335"/>
      <c r="ABW79" s="335"/>
      <c r="ABX79" s="335"/>
      <c r="ABY79" s="335"/>
      <c r="ABZ79" s="335"/>
      <c r="ACA79" s="335"/>
      <c r="ACB79" s="335"/>
      <c r="ACC79" s="335"/>
      <c r="ACD79" s="335"/>
      <c r="ACE79" s="335"/>
      <c r="ACF79" s="335"/>
      <c r="ACG79" s="335"/>
      <c r="ACH79" s="335"/>
      <c r="ACI79" s="335"/>
      <c r="ACJ79" s="335"/>
      <c r="ACK79" s="335"/>
      <c r="ACL79" s="335"/>
      <c r="ACM79" s="335"/>
      <c r="ACN79" s="335"/>
      <c r="ACO79" s="335"/>
      <c r="ACP79" s="335"/>
      <c r="ACQ79" s="335"/>
      <c r="ACR79" s="335"/>
      <c r="ACS79" s="335"/>
      <c r="ACT79" s="335"/>
      <c r="ACU79" s="335"/>
      <c r="ACV79" s="335"/>
      <c r="ACW79" s="335"/>
      <c r="ACX79" s="335"/>
      <c r="ACY79" s="335"/>
      <c r="ACZ79" s="335"/>
      <c r="ADA79" s="335"/>
      <c r="ADB79" s="335"/>
      <c r="ADC79" s="335"/>
      <c r="ADD79" s="335"/>
      <c r="ADE79" s="335"/>
      <c r="ADF79" s="335"/>
      <c r="ADG79" s="335"/>
      <c r="ADH79" s="335"/>
      <c r="ADI79" s="335"/>
      <c r="ADJ79" s="335"/>
      <c r="ADK79" s="335"/>
      <c r="ADL79" s="335"/>
      <c r="ADM79" s="335"/>
      <c r="ADN79" s="335"/>
      <c r="ADO79" s="335"/>
      <c r="ADP79" s="335"/>
      <c r="ADQ79" s="335"/>
      <c r="ADR79" s="335"/>
      <c r="ADS79" s="335"/>
      <c r="ADT79" s="335"/>
      <c r="ADU79" s="335"/>
      <c r="ADV79" s="335"/>
      <c r="ADW79" s="335"/>
      <c r="ADX79" s="335"/>
      <c r="ADY79" s="335"/>
      <c r="ADZ79" s="335"/>
      <c r="AEA79" s="335"/>
      <c r="AEB79" s="335"/>
      <c r="AEC79" s="335"/>
      <c r="AED79" s="335"/>
      <c r="AEE79" s="335"/>
      <c r="AEF79" s="335"/>
      <c r="AEG79" s="335"/>
      <c r="AEH79" s="335"/>
      <c r="AEI79" s="335"/>
      <c r="AEJ79" s="335"/>
      <c r="AEK79" s="335"/>
      <c r="AEL79" s="335"/>
      <c r="AEM79" s="335"/>
      <c r="AEN79" s="335"/>
      <c r="AEO79" s="335"/>
      <c r="AEP79" s="335"/>
      <c r="AEQ79" s="335"/>
      <c r="AER79" s="335"/>
      <c r="AES79" s="335"/>
      <c r="AET79" s="335"/>
      <c r="AEU79" s="335"/>
      <c r="AEV79" s="335"/>
      <c r="AEW79" s="335"/>
      <c r="AEX79" s="335"/>
      <c r="AEY79" s="335"/>
      <c r="AEZ79" s="335"/>
      <c r="AFA79" s="335"/>
      <c r="AFB79" s="335"/>
      <c r="AFC79" s="335"/>
      <c r="AFD79" s="335"/>
      <c r="AFE79" s="335"/>
      <c r="AFF79" s="335"/>
      <c r="AFG79" s="335"/>
      <c r="AFH79" s="335"/>
      <c r="AFI79" s="335"/>
      <c r="AFJ79" s="335"/>
      <c r="AFK79" s="335"/>
      <c r="AFL79" s="335"/>
      <c r="AFM79" s="335"/>
      <c r="AFN79" s="335"/>
      <c r="AFO79" s="335"/>
      <c r="AFP79" s="335"/>
      <c r="AFQ79" s="335"/>
      <c r="AFR79" s="335"/>
      <c r="AFS79" s="335"/>
      <c r="AFT79" s="335"/>
      <c r="AFU79" s="335"/>
      <c r="AFV79" s="335"/>
      <c r="AFW79" s="335"/>
      <c r="AFX79" s="335"/>
      <c r="AFY79" s="335"/>
      <c r="AFZ79" s="335"/>
      <c r="AGA79" s="335"/>
      <c r="AGB79" s="335"/>
      <c r="AGC79" s="335"/>
      <c r="AGD79" s="335"/>
      <c r="AGE79" s="335"/>
      <c r="AGF79" s="335"/>
      <c r="AGG79" s="335"/>
      <c r="AGH79" s="335"/>
      <c r="AGI79" s="335"/>
      <c r="AGJ79" s="335"/>
      <c r="AGK79" s="335"/>
      <c r="AGL79" s="335"/>
      <c r="AGM79" s="335"/>
      <c r="AGN79" s="335"/>
      <c r="AGO79" s="335"/>
      <c r="AGP79" s="335"/>
      <c r="AGQ79" s="335"/>
      <c r="AGR79" s="335"/>
      <c r="AGS79" s="335"/>
      <c r="AGT79" s="335"/>
      <c r="AGU79" s="335"/>
      <c r="AGV79" s="335"/>
      <c r="AGW79" s="335"/>
      <c r="AGX79" s="335"/>
      <c r="AGY79" s="335"/>
      <c r="AGZ79" s="335"/>
      <c r="AHA79" s="335"/>
      <c r="AHB79" s="335"/>
      <c r="AHC79" s="335"/>
      <c r="AHD79" s="335"/>
      <c r="AHE79" s="335"/>
      <c r="AHF79" s="335"/>
      <c r="AHG79" s="335"/>
      <c r="AHH79" s="335"/>
      <c r="AHI79" s="335"/>
      <c r="AHJ79" s="335"/>
      <c r="AHK79" s="335"/>
      <c r="AHL79" s="335"/>
      <c r="AHM79" s="335"/>
      <c r="AHN79" s="335"/>
      <c r="AHO79" s="335"/>
      <c r="AHP79" s="335"/>
      <c r="AHQ79" s="335"/>
      <c r="AHR79" s="335"/>
      <c r="AHS79" s="335"/>
      <c r="AHT79" s="335"/>
      <c r="AHU79" s="335"/>
      <c r="AHV79" s="335"/>
      <c r="AHW79" s="335"/>
      <c r="AHX79" s="335"/>
      <c r="AHY79" s="335"/>
      <c r="AHZ79" s="335"/>
      <c r="AIA79" s="335"/>
      <c r="AIB79" s="335"/>
    </row>
    <row r="80" spans="2:912" s="172" customFormat="1">
      <c r="B80" s="174"/>
      <c r="ABE80" s="336"/>
      <c r="ABF80" s="335"/>
      <c r="ABG80" s="335"/>
      <c r="ABH80" s="335"/>
      <c r="ABI80" s="335"/>
      <c r="ABJ80" s="335"/>
      <c r="ABK80" s="335"/>
      <c r="ABL80" s="335"/>
      <c r="ABM80" s="335"/>
      <c r="ABN80" s="335"/>
      <c r="ABO80" s="335"/>
      <c r="ABP80" s="335"/>
      <c r="ABQ80" s="335"/>
      <c r="ABR80" s="335"/>
      <c r="ABS80" s="335"/>
      <c r="ABT80" s="335"/>
      <c r="ABU80" s="335"/>
      <c r="ABV80" s="335"/>
      <c r="ABW80" s="335"/>
      <c r="ABX80" s="335"/>
      <c r="ABY80" s="335"/>
      <c r="ABZ80" s="335"/>
      <c r="ACA80" s="335"/>
      <c r="ACB80" s="335"/>
      <c r="ACC80" s="335"/>
      <c r="ACD80" s="335"/>
      <c r="ACE80" s="335"/>
      <c r="ACF80" s="335"/>
      <c r="ACG80" s="335"/>
      <c r="ACH80" s="335"/>
      <c r="ACI80" s="335"/>
      <c r="ACJ80" s="335"/>
      <c r="ACK80" s="335"/>
      <c r="ACL80" s="335"/>
      <c r="ACM80" s="335"/>
      <c r="ACN80" s="335"/>
      <c r="ACO80" s="335"/>
      <c r="ACP80" s="335"/>
      <c r="ACQ80" s="335"/>
      <c r="ACR80" s="335"/>
      <c r="ACS80" s="335"/>
      <c r="ACT80" s="335"/>
      <c r="ACU80" s="335"/>
      <c r="ACV80" s="335"/>
      <c r="ACW80" s="335"/>
      <c r="ACX80" s="335"/>
      <c r="ACY80" s="335"/>
      <c r="ACZ80" s="335"/>
      <c r="ADA80" s="335"/>
      <c r="ADB80" s="335"/>
      <c r="ADC80" s="335"/>
      <c r="ADD80" s="335"/>
      <c r="ADE80" s="335"/>
      <c r="ADF80" s="335"/>
      <c r="ADG80" s="335"/>
      <c r="ADH80" s="335"/>
      <c r="ADI80" s="335"/>
      <c r="ADJ80" s="335"/>
      <c r="ADK80" s="335"/>
      <c r="ADL80" s="335"/>
      <c r="ADM80" s="335"/>
      <c r="ADN80" s="335"/>
      <c r="ADO80" s="335"/>
      <c r="ADP80" s="335"/>
      <c r="ADQ80" s="335"/>
      <c r="ADR80" s="335"/>
      <c r="ADS80" s="335"/>
      <c r="ADT80" s="335"/>
      <c r="ADU80" s="335"/>
      <c r="ADV80" s="335"/>
      <c r="ADW80" s="335"/>
      <c r="ADX80" s="335"/>
      <c r="ADY80" s="335"/>
      <c r="ADZ80" s="335"/>
      <c r="AEA80" s="335"/>
      <c r="AEB80" s="335"/>
      <c r="AEC80" s="335"/>
      <c r="AED80" s="335"/>
      <c r="AEE80" s="335"/>
      <c r="AEF80" s="335"/>
      <c r="AEG80" s="335"/>
      <c r="AEH80" s="335"/>
      <c r="AEI80" s="335"/>
      <c r="AEJ80" s="335"/>
      <c r="AEK80" s="335"/>
      <c r="AEL80" s="335"/>
      <c r="AEM80" s="335"/>
      <c r="AEN80" s="335"/>
      <c r="AEO80" s="335"/>
      <c r="AEP80" s="335"/>
      <c r="AEQ80" s="335"/>
      <c r="AER80" s="335"/>
      <c r="AES80" s="335"/>
      <c r="AET80" s="335"/>
      <c r="AEU80" s="335"/>
      <c r="AEV80" s="335"/>
      <c r="AEW80" s="335"/>
      <c r="AEX80" s="335"/>
      <c r="AEY80" s="335"/>
      <c r="AEZ80" s="335"/>
      <c r="AFA80" s="335"/>
      <c r="AFB80" s="335"/>
      <c r="AFC80" s="335"/>
      <c r="AFD80" s="335"/>
      <c r="AFE80" s="335"/>
      <c r="AFF80" s="335"/>
      <c r="AFG80" s="335"/>
      <c r="AFH80" s="335"/>
      <c r="AFI80" s="335"/>
      <c r="AFJ80" s="335"/>
      <c r="AFK80" s="335"/>
      <c r="AFL80" s="335"/>
      <c r="AFM80" s="335"/>
      <c r="AFN80" s="335"/>
      <c r="AFO80" s="335"/>
      <c r="AFP80" s="335"/>
      <c r="AFQ80" s="335"/>
      <c r="AFR80" s="335"/>
      <c r="AFS80" s="335"/>
      <c r="AFT80" s="335"/>
      <c r="AFU80" s="335"/>
      <c r="AFV80" s="335"/>
      <c r="AFW80" s="335"/>
      <c r="AFX80" s="335"/>
      <c r="AFY80" s="335"/>
      <c r="AFZ80" s="335"/>
      <c r="AGA80" s="335"/>
      <c r="AGB80" s="335"/>
      <c r="AGC80" s="335"/>
      <c r="AGD80" s="335"/>
      <c r="AGE80" s="335"/>
      <c r="AGF80" s="335"/>
      <c r="AGG80" s="335"/>
      <c r="AGH80" s="335"/>
      <c r="AGI80" s="335"/>
      <c r="AGJ80" s="335"/>
      <c r="AGK80" s="335"/>
      <c r="AGL80" s="335"/>
      <c r="AGM80" s="335"/>
      <c r="AGN80" s="335"/>
      <c r="AGO80" s="335"/>
      <c r="AGP80" s="335"/>
      <c r="AGQ80" s="335"/>
      <c r="AGR80" s="335"/>
      <c r="AGS80" s="335"/>
      <c r="AGT80" s="335"/>
      <c r="AGU80" s="335"/>
      <c r="AGV80" s="335"/>
      <c r="AGW80" s="335"/>
      <c r="AGX80" s="335"/>
      <c r="AGY80" s="335"/>
      <c r="AGZ80" s="335"/>
      <c r="AHA80" s="335"/>
      <c r="AHB80" s="335"/>
      <c r="AHC80" s="335"/>
      <c r="AHD80" s="335"/>
      <c r="AHE80" s="335"/>
      <c r="AHF80" s="335"/>
      <c r="AHG80" s="335"/>
      <c r="AHH80" s="335"/>
      <c r="AHI80" s="335"/>
      <c r="AHJ80" s="335"/>
      <c r="AHK80" s="335"/>
      <c r="AHL80" s="335"/>
      <c r="AHM80" s="335"/>
      <c r="AHN80" s="335"/>
      <c r="AHO80" s="335"/>
      <c r="AHP80" s="335"/>
      <c r="AHQ80" s="335"/>
      <c r="AHR80" s="335"/>
      <c r="AHS80" s="335"/>
      <c r="AHT80" s="335"/>
      <c r="AHU80" s="335"/>
      <c r="AHV80" s="335"/>
      <c r="AHW80" s="335"/>
      <c r="AHX80" s="335"/>
      <c r="AHY80" s="335"/>
      <c r="AHZ80" s="335"/>
      <c r="AIA80" s="335"/>
      <c r="AIB80" s="335"/>
    </row>
    <row r="81" spans="2:912" s="172" customFormat="1">
      <c r="B81" s="174"/>
      <c r="ABE81" s="336"/>
      <c r="ABF81" s="335"/>
      <c r="ABG81" s="335"/>
      <c r="ABH81" s="335"/>
      <c r="ABI81" s="335"/>
      <c r="ABJ81" s="335"/>
      <c r="ABK81" s="335"/>
      <c r="ABL81" s="335"/>
      <c r="ABM81" s="335"/>
      <c r="ABN81" s="335"/>
      <c r="ABO81" s="335"/>
      <c r="ABP81" s="335"/>
      <c r="ABQ81" s="335"/>
      <c r="ABR81" s="335"/>
      <c r="ABS81" s="335"/>
      <c r="ABT81" s="335"/>
      <c r="ABU81" s="335"/>
      <c r="ABV81" s="335"/>
      <c r="ABW81" s="335"/>
      <c r="ABX81" s="335"/>
      <c r="ABY81" s="335"/>
      <c r="ABZ81" s="335"/>
      <c r="ACA81" s="335"/>
      <c r="ACB81" s="335"/>
      <c r="ACC81" s="335"/>
      <c r="ACD81" s="335"/>
      <c r="ACE81" s="335"/>
      <c r="ACF81" s="335"/>
      <c r="ACG81" s="335"/>
      <c r="ACH81" s="335"/>
      <c r="ACI81" s="335"/>
      <c r="ACJ81" s="335"/>
      <c r="ACK81" s="335"/>
      <c r="ACL81" s="335"/>
      <c r="ACM81" s="335"/>
      <c r="ACN81" s="335"/>
      <c r="ACO81" s="335"/>
      <c r="ACP81" s="335"/>
      <c r="ACQ81" s="335"/>
      <c r="ACR81" s="335"/>
      <c r="ACS81" s="335"/>
      <c r="ACT81" s="335"/>
      <c r="ACU81" s="335"/>
      <c r="ACV81" s="335"/>
      <c r="ACW81" s="335"/>
      <c r="ACX81" s="335"/>
      <c r="ACY81" s="335"/>
      <c r="ACZ81" s="335"/>
      <c r="ADA81" s="335"/>
      <c r="ADB81" s="335"/>
      <c r="ADC81" s="335"/>
      <c r="ADD81" s="335"/>
      <c r="ADE81" s="335"/>
      <c r="ADF81" s="335"/>
      <c r="ADG81" s="335"/>
      <c r="ADH81" s="335"/>
      <c r="ADI81" s="335"/>
      <c r="ADJ81" s="335"/>
      <c r="ADK81" s="335"/>
      <c r="ADL81" s="335"/>
      <c r="ADM81" s="335"/>
      <c r="ADN81" s="335"/>
      <c r="ADO81" s="335"/>
      <c r="ADP81" s="335"/>
      <c r="ADQ81" s="335"/>
      <c r="ADR81" s="335"/>
      <c r="ADS81" s="335"/>
      <c r="ADT81" s="335"/>
      <c r="ADU81" s="335"/>
      <c r="ADV81" s="335"/>
      <c r="ADW81" s="335"/>
      <c r="ADX81" s="335"/>
      <c r="ADY81" s="335"/>
      <c r="ADZ81" s="335"/>
      <c r="AEA81" s="335"/>
      <c r="AEB81" s="335"/>
      <c r="AEC81" s="335"/>
      <c r="AED81" s="335"/>
      <c r="AEE81" s="335"/>
      <c r="AEF81" s="335"/>
      <c r="AEG81" s="335"/>
      <c r="AEH81" s="335"/>
      <c r="AEI81" s="335"/>
      <c r="AEJ81" s="335"/>
      <c r="AEK81" s="335"/>
      <c r="AEL81" s="335"/>
      <c r="AEM81" s="335"/>
      <c r="AEN81" s="335"/>
      <c r="AEO81" s="335"/>
      <c r="AEP81" s="335"/>
      <c r="AEQ81" s="335"/>
      <c r="AER81" s="335"/>
      <c r="AES81" s="335"/>
      <c r="AET81" s="335"/>
      <c r="AEU81" s="335"/>
      <c r="AEV81" s="335"/>
      <c r="AEW81" s="335"/>
      <c r="AEX81" s="335"/>
      <c r="AEY81" s="335"/>
      <c r="AEZ81" s="335"/>
      <c r="AFA81" s="335"/>
      <c r="AFB81" s="335"/>
      <c r="AFC81" s="335"/>
      <c r="AFD81" s="335"/>
      <c r="AFE81" s="335"/>
      <c r="AFF81" s="335"/>
      <c r="AFG81" s="335"/>
      <c r="AFH81" s="335"/>
      <c r="AFI81" s="335"/>
      <c r="AFJ81" s="335"/>
      <c r="AFK81" s="335"/>
      <c r="AFL81" s="335"/>
      <c r="AFM81" s="335"/>
      <c r="AFN81" s="335"/>
      <c r="AFO81" s="335"/>
      <c r="AFP81" s="335"/>
      <c r="AFQ81" s="335"/>
      <c r="AFR81" s="335"/>
      <c r="AFS81" s="335"/>
      <c r="AFT81" s="335"/>
      <c r="AFU81" s="335"/>
      <c r="AFV81" s="335"/>
      <c r="AFW81" s="335"/>
      <c r="AFX81" s="335"/>
      <c r="AFY81" s="335"/>
      <c r="AFZ81" s="335"/>
      <c r="AGA81" s="335"/>
      <c r="AGB81" s="335"/>
      <c r="AGC81" s="335"/>
      <c r="AGD81" s="335"/>
      <c r="AGE81" s="335"/>
      <c r="AGF81" s="335"/>
      <c r="AGG81" s="335"/>
      <c r="AGH81" s="335"/>
      <c r="AGI81" s="335"/>
      <c r="AGJ81" s="335"/>
      <c r="AGK81" s="335"/>
      <c r="AGL81" s="335"/>
      <c r="AGM81" s="335"/>
      <c r="AGN81" s="335"/>
      <c r="AGO81" s="335"/>
      <c r="AGP81" s="335"/>
      <c r="AGQ81" s="335"/>
      <c r="AGR81" s="335"/>
      <c r="AGS81" s="335"/>
      <c r="AGT81" s="335"/>
      <c r="AGU81" s="335"/>
      <c r="AGV81" s="335"/>
      <c r="AGW81" s="335"/>
      <c r="AGX81" s="335"/>
      <c r="AGY81" s="335"/>
      <c r="AGZ81" s="335"/>
      <c r="AHA81" s="335"/>
      <c r="AHB81" s="335"/>
      <c r="AHC81" s="335"/>
      <c r="AHD81" s="335"/>
      <c r="AHE81" s="335"/>
      <c r="AHF81" s="335"/>
      <c r="AHG81" s="335"/>
      <c r="AHH81" s="335"/>
      <c r="AHI81" s="335"/>
      <c r="AHJ81" s="335"/>
      <c r="AHK81" s="335"/>
      <c r="AHL81" s="335"/>
      <c r="AHM81" s="335"/>
      <c r="AHN81" s="335"/>
      <c r="AHO81" s="335"/>
      <c r="AHP81" s="335"/>
      <c r="AHQ81" s="335"/>
      <c r="AHR81" s="335"/>
      <c r="AHS81" s="335"/>
      <c r="AHT81" s="335"/>
      <c r="AHU81" s="335"/>
      <c r="AHV81" s="335"/>
      <c r="AHW81" s="335"/>
      <c r="AHX81" s="335"/>
      <c r="AHY81" s="335"/>
      <c r="AHZ81" s="335"/>
      <c r="AIA81" s="335"/>
      <c r="AIB81" s="335"/>
    </row>
    <row r="82" spans="2:912" s="172" customFormat="1">
      <c r="B82" s="174"/>
      <c r="ABE82" s="336"/>
      <c r="ABF82" s="335"/>
      <c r="ABG82" s="335"/>
      <c r="ABH82" s="335"/>
      <c r="ABI82" s="335"/>
      <c r="ABJ82" s="335"/>
      <c r="ABK82" s="335"/>
      <c r="ABL82" s="335"/>
      <c r="ABM82" s="335"/>
      <c r="ABN82" s="335"/>
      <c r="ABO82" s="335"/>
      <c r="ABP82" s="335"/>
      <c r="ABQ82" s="335"/>
      <c r="ABR82" s="335"/>
      <c r="ABS82" s="335"/>
      <c r="ABT82" s="335"/>
      <c r="ABU82" s="335"/>
      <c r="ABV82" s="335"/>
      <c r="ABW82" s="335"/>
      <c r="ABX82" s="335"/>
      <c r="ABY82" s="335"/>
      <c r="ABZ82" s="335"/>
      <c r="ACA82" s="335"/>
      <c r="ACB82" s="335"/>
      <c r="ACC82" s="335"/>
      <c r="ACD82" s="335"/>
      <c r="ACE82" s="335"/>
      <c r="ACF82" s="335"/>
      <c r="ACG82" s="335"/>
      <c r="ACH82" s="335"/>
      <c r="ACI82" s="335"/>
      <c r="ACJ82" s="335"/>
      <c r="ACK82" s="335"/>
      <c r="ACL82" s="335"/>
      <c r="ACM82" s="335"/>
      <c r="ACN82" s="335"/>
      <c r="ACO82" s="335"/>
      <c r="ACP82" s="335"/>
      <c r="ACQ82" s="335"/>
      <c r="ACR82" s="335"/>
      <c r="ACS82" s="335"/>
      <c r="ACT82" s="335"/>
      <c r="ACU82" s="335"/>
      <c r="ACV82" s="335"/>
      <c r="ACW82" s="335"/>
      <c r="ACX82" s="335"/>
      <c r="ACY82" s="335"/>
      <c r="ACZ82" s="335"/>
      <c r="ADA82" s="335"/>
      <c r="ADB82" s="335"/>
      <c r="ADC82" s="335"/>
      <c r="ADD82" s="335"/>
      <c r="ADE82" s="335"/>
      <c r="ADF82" s="335"/>
      <c r="ADG82" s="335"/>
      <c r="ADH82" s="335"/>
      <c r="ADI82" s="335"/>
      <c r="ADJ82" s="335"/>
      <c r="ADK82" s="335"/>
      <c r="ADL82" s="335"/>
      <c r="ADM82" s="335"/>
      <c r="ADN82" s="335"/>
      <c r="ADO82" s="335"/>
      <c r="ADP82" s="335"/>
      <c r="ADQ82" s="335"/>
      <c r="ADR82" s="335"/>
      <c r="ADS82" s="335"/>
      <c r="ADT82" s="335"/>
      <c r="ADU82" s="335"/>
      <c r="ADV82" s="335"/>
      <c r="ADW82" s="335"/>
      <c r="ADX82" s="335"/>
      <c r="ADY82" s="335"/>
      <c r="ADZ82" s="335"/>
      <c r="AEA82" s="335"/>
      <c r="AEB82" s="335"/>
      <c r="AEC82" s="335"/>
      <c r="AED82" s="335"/>
      <c r="AEE82" s="335"/>
      <c r="AEF82" s="335"/>
      <c r="AEG82" s="335"/>
      <c r="AEH82" s="335"/>
      <c r="AEI82" s="335"/>
      <c r="AEJ82" s="335"/>
      <c r="AEK82" s="335"/>
      <c r="AEL82" s="335"/>
      <c r="AEM82" s="335"/>
      <c r="AEN82" s="335"/>
      <c r="AEO82" s="335"/>
      <c r="AEP82" s="335"/>
      <c r="AEQ82" s="335"/>
      <c r="AER82" s="335"/>
      <c r="AES82" s="335"/>
      <c r="AET82" s="335"/>
      <c r="AEU82" s="335"/>
      <c r="AEV82" s="335"/>
      <c r="AEW82" s="335"/>
      <c r="AEX82" s="335"/>
      <c r="AEY82" s="335"/>
      <c r="AEZ82" s="335"/>
      <c r="AFA82" s="335"/>
      <c r="AFB82" s="335"/>
      <c r="AFC82" s="335"/>
      <c r="AFD82" s="335"/>
      <c r="AFE82" s="335"/>
      <c r="AFF82" s="335"/>
      <c r="AFG82" s="335"/>
      <c r="AFH82" s="335"/>
      <c r="AFI82" s="335"/>
      <c r="AFJ82" s="335"/>
      <c r="AFK82" s="335"/>
      <c r="AFL82" s="335"/>
      <c r="AFM82" s="335"/>
      <c r="AFN82" s="335"/>
      <c r="AFO82" s="335"/>
      <c r="AFP82" s="335"/>
      <c r="AFQ82" s="335"/>
      <c r="AFR82" s="335"/>
      <c r="AFS82" s="335"/>
      <c r="AFT82" s="335"/>
      <c r="AFU82" s="335"/>
      <c r="AFV82" s="335"/>
      <c r="AFW82" s="335"/>
      <c r="AFX82" s="335"/>
      <c r="AFY82" s="335"/>
      <c r="AFZ82" s="335"/>
      <c r="AGA82" s="335"/>
      <c r="AGB82" s="335"/>
      <c r="AGC82" s="335"/>
      <c r="AGD82" s="335"/>
      <c r="AGE82" s="335"/>
      <c r="AGF82" s="335"/>
      <c r="AGG82" s="335"/>
      <c r="AGH82" s="335"/>
      <c r="AGI82" s="335"/>
      <c r="AGJ82" s="335"/>
      <c r="AGK82" s="335"/>
      <c r="AGL82" s="335"/>
      <c r="AGM82" s="335"/>
      <c r="AGN82" s="335"/>
      <c r="AGO82" s="335"/>
      <c r="AGP82" s="335"/>
      <c r="AGQ82" s="335"/>
      <c r="AGR82" s="335"/>
      <c r="AGS82" s="335"/>
      <c r="AGT82" s="335"/>
      <c r="AGU82" s="335"/>
      <c r="AGV82" s="335"/>
      <c r="AGW82" s="335"/>
      <c r="AGX82" s="335"/>
      <c r="AGY82" s="335"/>
      <c r="AGZ82" s="335"/>
      <c r="AHA82" s="335"/>
      <c r="AHB82" s="335"/>
      <c r="AHC82" s="335"/>
      <c r="AHD82" s="335"/>
      <c r="AHE82" s="335"/>
      <c r="AHF82" s="335"/>
      <c r="AHG82" s="335"/>
      <c r="AHH82" s="335"/>
      <c r="AHI82" s="335"/>
      <c r="AHJ82" s="335"/>
      <c r="AHK82" s="335"/>
      <c r="AHL82" s="335"/>
      <c r="AHM82" s="335"/>
      <c r="AHN82" s="335"/>
      <c r="AHO82" s="335"/>
      <c r="AHP82" s="335"/>
      <c r="AHQ82" s="335"/>
      <c r="AHR82" s="335"/>
      <c r="AHS82" s="335"/>
      <c r="AHT82" s="335"/>
      <c r="AHU82" s="335"/>
      <c r="AHV82" s="335"/>
      <c r="AHW82" s="335"/>
      <c r="AHX82" s="335"/>
      <c r="AHY82" s="335"/>
      <c r="AHZ82" s="335"/>
      <c r="AIA82" s="335"/>
      <c r="AIB82" s="335"/>
    </row>
    <row r="83" spans="2:912" s="172" customFormat="1">
      <c r="B83" s="174"/>
      <c r="ABE83" s="336"/>
      <c r="ABF83" s="335"/>
      <c r="ABG83" s="335"/>
      <c r="ABH83" s="335"/>
      <c r="ABI83" s="335"/>
      <c r="ABJ83" s="335"/>
      <c r="ABK83" s="335"/>
      <c r="ABL83" s="335"/>
      <c r="ABM83" s="335"/>
      <c r="ABN83" s="335"/>
      <c r="ABO83" s="335"/>
      <c r="ABP83" s="335"/>
      <c r="ABQ83" s="335"/>
      <c r="ABR83" s="335"/>
      <c r="ABS83" s="335"/>
      <c r="ABT83" s="335"/>
      <c r="ABU83" s="335"/>
      <c r="ABV83" s="335"/>
      <c r="ABW83" s="335"/>
      <c r="ABX83" s="335"/>
      <c r="ABY83" s="335"/>
      <c r="ABZ83" s="335"/>
      <c r="ACA83" s="335"/>
      <c r="ACB83" s="335"/>
      <c r="ACC83" s="335"/>
      <c r="ACD83" s="335"/>
      <c r="ACE83" s="335"/>
      <c r="ACF83" s="335"/>
      <c r="ACG83" s="335"/>
      <c r="ACH83" s="335"/>
      <c r="ACI83" s="335"/>
      <c r="ACJ83" s="335"/>
      <c r="ACK83" s="335"/>
      <c r="ACL83" s="335"/>
      <c r="ACM83" s="335"/>
      <c r="ACN83" s="335"/>
      <c r="ACO83" s="335"/>
      <c r="ACP83" s="335"/>
      <c r="ACQ83" s="335"/>
      <c r="ACR83" s="335"/>
      <c r="ACS83" s="335"/>
      <c r="ACT83" s="335"/>
      <c r="ACU83" s="335"/>
      <c r="ACV83" s="335"/>
      <c r="ACW83" s="335"/>
      <c r="ACX83" s="335"/>
      <c r="ACY83" s="335"/>
      <c r="ACZ83" s="335"/>
      <c r="ADA83" s="335"/>
      <c r="ADB83" s="335"/>
      <c r="ADC83" s="335"/>
      <c r="ADD83" s="335"/>
      <c r="ADE83" s="335"/>
      <c r="ADF83" s="335"/>
      <c r="ADG83" s="335"/>
      <c r="ADH83" s="335"/>
      <c r="ADI83" s="335"/>
      <c r="ADJ83" s="335"/>
      <c r="ADK83" s="335"/>
      <c r="ADL83" s="335"/>
      <c r="ADM83" s="335"/>
      <c r="ADN83" s="335"/>
      <c r="ADO83" s="335"/>
      <c r="ADP83" s="335"/>
      <c r="ADQ83" s="335"/>
      <c r="ADR83" s="335"/>
      <c r="ADS83" s="335"/>
      <c r="ADT83" s="335"/>
      <c r="ADU83" s="335"/>
      <c r="ADV83" s="335"/>
      <c r="ADW83" s="335"/>
      <c r="ADX83" s="335"/>
      <c r="ADY83" s="335"/>
      <c r="ADZ83" s="335"/>
      <c r="AEA83" s="335"/>
      <c r="AEB83" s="335"/>
      <c r="AEC83" s="335"/>
      <c r="AED83" s="335"/>
      <c r="AEE83" s="335"/>
      <c r="AEF83" s="335"/>
      <c r="AEG83" s="335"/>
      <c r="AEH83" s="335"/>
      <c r="AEI83" s="335"/>
      <c r="AEJ83" s="335"/>
      <c r="AEK83" s="335"/>
      <c r="AEL83" s="335"/>
      <c r="AEM83" s="335"/>
      <c r="AEN83" s="335"/>
      <c r="AEO83" s="335"/>
      <c r="AEP83" s="335"/>
      <c r="AEQ83" s="335"/>
      <c r="AER83" s="335"/>
      <c r="AES83" s="335"/>
      <c r="AET83" s="335"/>
      <c r="AEU83" s="335"/>
      <c r="AEV83" s="335"/>
      <c r="AEW83" s="335"/>
      <c r="AEX83" s="335"/>
      <c r="AEY83" s="335"/>
      <c r="AEZ83" s="335"/>
      <c r="AFA83" s="335"/>
      <c r="AFB83" s="335"/>
      <c r="AFC83" s="335"/>
      <c r="AFD83" s="335"/>
      <c r="AFE83" s="335"/>
      <c r="AFF83" s="335"/>
      <c r="AFG83" s="335"/>
      <c r="AFH83" s="335"/>
      <c r="AFI83" s="335"/>
      <c r="AFJ83" s="335"/>
      <c r="AFK83" s="335"/>
      <c r="AFL83" s="335"/>
      <c r="AFM83" s="335"/>
      <c r="AFN83" s="335"/>
      <c r="AFO83" s="335"/>
      <c r="AFP83" s="335"/>
      <c r="AFQ83" s="335"/>
      <c r="AFR83" s="335"/>
      <c r="AFS83" s="335"/>
      <c r="AFT83" s="335"/>
      <c r="AFU83" s="335"/>
      <c r="AFV83" s="335"/>
      <c r="AFW83" s="335"/>
      <c r="AFX83" s="335"/>
      <c r="AFY83" s="335"/>
      <c r="AFZ83" s="335"/>
      <c r="AGA83" s="335"/>
      <c r="AGB83" s="335"/>
      <c r="AGC83" s="335"/>
      <c r="AGD83" s="335"/>
      <c r="AGE83" s="335"/>
      <c r="AGF83" s="335"/>
      <c r="AGG83" s="335"/>
      <c r="AGH83" s="335"/>
      <c r="AGI83" s="335"/>
      <c r="AGJ83" s="335"/>
      <c r="AGK83" s="335"/>
      <c r="AGL83" s="335"/>
      <c r="AGM83" s="335"/>
      <c r="AGN83" s="335"/>
      <c r="AGO83" s="335"/>
      <c r="AGP83" s="335"/>
      <c r="AGQ83" s="335"/>
      <c r="AGR83" s="335"/>
      <c r="AGS83" s="335"/>
      <c r="AGT83" s="335"/>
      <c r="AGU83" s="335"/>
      <c r="AGV83" s="335"/>
      <c r="AGW83" s="335"/>
      <c r="AGX83" s="335"/>
      <c r="AGY83" s="335"/>
      <c r="AGZ83" s="335"/>
      <c r="AHA83" s="335"/>
      <c r="AHB83" s="335"/>
      <c r="AHC83" s="335"/>
      <c r="AHD83" s="335"/>
      <c r="AHE83" s="335"/>
      <c r="AHF83" s="335"/>
      <c r="AHG83" s="335"/>
      <c r="AHH83" s="335"/>
      <c r="AHI83" s="335"/>
      <c r="AHJ83" s="335"/>
      <c r="AHK83" s="335"/>
      <c r="AHL83" s="335"/>
      <c r="AHM83" s="335"/>
      <c r="AHN83" s="335"/>
      <c r="AHO83" s="335"/>
      <c r="AHP83" s="335"/>
      <c r="AHQ83" s="335"/>
      <c r="AHR83" s="335"/>
      <c r="AHS83" s="335"/>
      <c r="AHT83" s="335"/>
      <c r="AHU83" s="335"/>
      <c r="AHV83" s="335"/>
      <c r="AHW83" s="335"/>
      <c r="AHX83" s="335"/>
      <c r="AHY83" s="335"/>
      <c r="AHZ83" s="335"/>
      <c r="AIA83" s="335"/>
      <c r="AIB83" s="335"/>
    </row>
    <row r="84" spans="2:912" s="172" customFormat="1">
      <c r="B84" s="174"/>
      <c r="ABE84" s="336"/>
      <c r="ABF84" s="335"/>
      <c r="ABG84" s="335"/>
      <c r="ABH84" s="335"/>
      <c r="ABI84" s="335"/>
      <c r="ABJ84" s="335"/>
      <c r="ABK84" s="335"/>
      <c r="ABL84" s="335"/>
      <c r="ABM84" s="335"/>
      <c r="ABN84" s="335"/>
      <c r="ABO84" s="335"/>
      <c r="ABP84" s="335"/>
      <c r="ABQ84" s="335"/>
      <c r="ABR84" s="335"/>
      <c r="ABS84" s="335"/>
      <c r="ABT84" s="335"/>
      <c r="ABU84" s="335"/>
      <c r="ABV84" s="335"/>
      <c r="ABW84" s="335"/>
      <c r="ABX84" s="335"/>
      <c r="ABY84" s="335"/>
      <c r="ABZ84" s="335"/>
      <c r="ACA84" s="335"/>
      <c r="ACB84" s="335"/>
      <c r="ACC84" s="335"/>
      <c r="ACD84" s="335"/>
      <c r="ACE84" s="335"/>
      <c r="ACF84" s="335"/>
      <c r="ACG84" s="335"/>
      <c r="ACH84" s="335"/>
      <c r="ACI84" s="335"/>
      <c r="ACJ84" s="335"/>
      <c r="ACK84" s="335"/>
      <c r="ACL84" s="335"/>
      <c r="ACM84" s="335"/>
      <c r="ACN84" s="335"/>
      <c r="ACO84" s="335"/>
      <c r="ACP84" s="335"/>
      <c r="ACQ84" s="335"/>
      <c r="ACR84" s="335"/>
      <c r="ACS84" s="335"/>
      <c r="ACT84" s="335"/>
      <c r="ACU84" s="335"/>
      <c r="ACV84" s="335"/>
      <c r="ACW84" s="335"/>
      <c r="ACX84" s="335"/>
      <c r="ACY84" s="335"/>
      <c r="ACZ84" s="335"/>
      <c r="ADA84" s="335"/>
      <c r="ADB84" s="335"/>
      <c r="ADC84" s="335"/>
      <c r="ADD84" s="335"/>
      <c r="ADE84" s="335"/>
      <c r="ADF84" s="335"/>
      <c r="ADG84" s="335"/>
      <c r="ADH84" s="335"/>
      <c r="ADI84" s="335"/>
      <c r="ADJ84" s="335"/>
      <c r="ADK84" s="335"/>
      <c r="ADL84" s="335"/>
      <c r="ADM84" s="335"/>
      <c r="ADN84" s="335"/>
      <c r="ADO84" s="335"/>
      <c r="ADP84" s="335"/>
      <c r="ADQ84" s="335"/>
      <c r="ADR84" s="335"/>
      <c r="ADS84" s="335"/>
      <c r="ADT84" s="335"/>
      <c r="ADU84" s="335"/>
      <c r="ADV84" s="335"/>
      <c r="ADW84" s="335"/>
      <c r="ADX84" s="335"/>
      <c r="ADY84" s="335"/>
      <c r="ADZ84" s="335"/>
      <c r="AEA84" s="335"/>
      <c r="AEB84" s="335"/>
      <c r="AEC84" s="335"/>
      <c r="AED84" s="335"/>
      <c r="AEE84" s="335"/>
      <c r="AEF84" s="335"/>
      <c r="AEG84" s="335"/>
      <c r="AEH84" s="335"/>
      <c r="AEI84" s="335"/>
      <c r="AEJ84" s="335"/>
      <c r="AEK84" s="335"/>
      <c r="AEL84" s="335"/>
      <c r="AEM84" s="335"/>
      <c r="AEN84" s="335"/>
      <c r="AEO84" s="335"/>
      <c r="AEP84" s="335"/>
      <c r="AEQ84" s="335"/>
      <c r="AER84" s="335"/>
      <c r="AES84" s="335"/>
      <c r="AET84" s="335"/>
      <c r="AEU84" s="335"/>
      <c r="AEV84" s="335"/>
      <c r="AEW84" s="335"/>
      <c r="AEX84" s="335"/>
      <c r="AEY84" s="335"/>
      <c r="AEZ84" s="335"/>
      <c r="AFA84" s="335"/>
      <c r="AFB84" s="335"/>
      <c r="AFC84" s="335"/>
      <c r="AFD84" s="335"/>
      <c r="AFE84" s="335"/>
      <c r="AFF84" s="335"/>
      <c r="AFG84" s="335"/>
      <c r="AFH84" s="335"/>
      <c r="AFI84" s="335"/>
      <c r="AFJ84" s="335"/>
      <c r="AFK84" s="335"/>
      <c r="AFL84" s="335"/>
      <c r="AFM84" s="335"/>
      <c r="AFN84" s="335"/>
      <c r="AFO84" s="335"/>
      <c r="AFP84" s="335"/>
      <c r="AFQ84" s="335"/>
      <c r="AFR84" s="335"/>
      <c r="AFS84" s="335"/>
      <c r="AFT84" s="335"/>
      <c r="AFU84" s="335"/>
      <c r="AFV84" s="335"/>
      <c r="AFW84" s="335"/>
      <c r="AFX84" s="335"/>
      <c r="AFY84" s="335"/>
      <c r="AFZ84" s="335"/>
      <c r="AGA84" s="335"/>
      <c r="AGB84" s="335"/>
      <c r="AGC84" s="335"/>
      <c r="AGD84" s="335"/>
      <c r="AGE84" s="335"/>
      <c r="AGF84" s="335"/>
      <c r="AGG84" s="335"/>
      <c r="AGH84" s="335"/>
      <c r="AGI84" s="335"/>
      <c r="AGJ84" s="335"/>
      <c r="AGK84" s="335"/>
      <c r="AGL84" s="335"/>
      <c r="AGM84" s="335"/>
      <c r="AGN84" s="335"/>
      <c r="AGO84" s="335"/>
      <c r="AGP84" s="335"/>
      <c r="AGQ84" s="335"/>
      <c r="AGR84" s="335"/>
      <c r="AGS84" s="335"/>
      <c r="AGT84" s="335"/>
      <c r="AGU84" s="335"/>
      <c r="AGV84" s="335"/>
      <c r="AGW84" s="335"/>
      <c r="AGX84" s="335"/>
      <c r="AGY84" s="335"/>
      <c r="AGZ84" s="335"/>
      <c r="AHA84" s="335"/>
      <c r="AHB84" s="335"/>
      <c r="AHC84" s="335"/>
      <c r="AHD84" s="335"/>
      <c r="AHE84" s="335"/>
      <c r="AHF84" s="335"/>
      <c r="AHG84" s="335"/>
      <c r="AHH84" s="335"/>
      <c r="AHI84" s="335"/>
      <c r="AHJ84" s="335"/>
      <c r="AHK84" s="335"/>
      <c r="AHL84" s="335"/>
      <c r="AHM84" s="335"/>
      <c r="AHN84" s="335"/>
      <c r="AHO84" s="335"/>
      <c r="AHP84" s="335"/>
      <c r="AHQ84" s="335"/>
      <c r="AHR84" s="335"/>
      <c r="AHS84" s="335"/>
      <c r="AHT84" s="335"/>
      <c r="AHU84" s="335"/>
      <c r="AHV84" s="335"/>
      <c r="AHW84" s="335"/>
      <c r="AHX84" s="335"/>
      <c r="AHY84" s="335"/>
      <c r="AHZ84" s="335"/>
      <c r="AIA84" s="335"/>
      <c r="AIB84" s="335"/>
    </row>
    <row r="85" spans="2:912" s="172" customFormat="1">
      <c r="B85" s="174"/>
      <c r="ABE85" s="336"/>
      <c r="ABF85" s="335"/>
      <c r="ABG85" s="335"/>
      <c r="ABH85" s="335"/>
      <c r="ABI85" s="335"/>
      <c r="ABJ85" s="335"/>
      <c r="ABK85" s="335"/>
      <c r="ABL85" s="335"/>
      <c r="ABM85" s="335"/>
      <c r="ABN85" s="335"/>
      <c r="ABO85" s="335"/>
      <c r="ABP85" s="335"/>
      <c r="ABQ85" s="335"/>
      <c r="ABR85" s="335"/>
      <c r="ABS85" s="335"/>
      <c r="ABT85" s="335"/>
      <c r="ABU85" s="335"/>
      <c r="ABV85" s="335"/>
      <c r="ABW85" s="335"/>
      <c r="ABX85" s="335"/>
      <c r="ABY85" s="335"/>
      <c r="ABZ85" s="335"/>
      <c r="ACA85" s="335"/>
      <c r="ACB85" s="335"/>
      <c r="ACC85" s="335"/>
      <c r="ACD85" s="335"/>
      <c r="ACE85" s="335"/>
      <c r="ACF85" s="335"/>
      <c r="ACG85" s="335"/>
      <c r="ACH85" s="335"/>
      <c r="ACI85" s="335"/>
      <c r="ACJ85" s="335"/>
      <c r="ACK85" s="335"/>
      <c r="ACL85" s="335"/>
      <c r="ACM85" s="335"/>
      <c r="ACN85" s="335"/>
      <c r="ACO85" s="335"/>
      <c r="ACP85" s="335"/>
      <c r="ACQ85" s="335"/>
      <c r="ACR85" s="335"/>
      <c r="ACS85" s="335"/>
      <c r="ACT85" s="335"/>
      <c r="ACU85" s="335"/>
      <c r="ACV85" s="335"/>
      <c r="ACW85" s="335"/>
      <c r="ACX85" s="335"/>
      <c r="ACY85" s="335"/>
      <c r="ACZ85" s="335"/>
      <c r="ADA85" s="335"/>
      <c r="ADB85" s="335"/>
      <c r="ADC85" s="335"/>
      <c r="ADD85" s="335"/>
      <c r="ADE85" s="335"/>
      <c r="ADF85" s="335"/>
      <c r="ADG85" s="335"/>
      <c r="ADH85" s="335"/>
      <c r="ADI85" s="335"/>
      <c r="ADJ85" s="335"/>
      <c r="ADK85" s="335"/>
      <c r="ADL85" s="335"/>
      <c r="ADM85" s="335"/>
      <c r="ADN85" s="335"/>
      <c r="ADO85" s="335"/>
      <c r="ADP85" s="335"/>
      <c r="ADQ85" s="335"/>
      <c r="ADR85" s="335"/>
      <c r="ADS85" s="335"/>
      <c r="ADT85" s="335"/>
      <c r="ADU85" s="335"/>
      <c r="ADV85" s="335"/>
      <c r="ADW85" s="335"/>
      <c r="ADX85" s="335"/>
      <c r="ADY85" s="335"/>
      <c r="ADZ85" s="335"/>
      <c r="AEA85" s="335"/>
      <c r="AEB85" s="335"/>
      <c r="AEC85" s="335"/>
      <c r="AED85" s="335"/>
      <c r="AEE85" s="335"/>
      <c r="AEF85" s="335"/>
      <c r="AEG85" s="335"/>
      <c r="AEH85" s="335"/>
      <c r="AEI85" s="335"/>
      <c r="AEJ85" s="335"/>
      <c r="AEK85" s="335"/>
      <c r="AEL85" s="335"/>
      <c r="AEM85" s="335"/>
      <c r="AEN85" s="335"/>
      <c r="AEO85" s="335"/>
      <c r="AEP85" s="335"/>
      <c r="AEQ85" s="335"/>
      <c r="AER85" s="335"/>
      <c r="AES85" s="335"/>
      <c r="AET85" s="335"/>
      <c r="AEU85" s="335"/>
      <c r="AEV85" s="335"/>
      <c r="AEW85" s="335"/>
      <c r="AEX85" s="335"/>
      <c r="AEY85" s="335"/>
      <c r="AEZ85" s="335"/>
      <c r="AFA85" s="335"/>
      <c r="AFB85" s="335"/>
      <c r="AFC85" s="335"/>
      <c r="AFD85" s="335"/>
      <c r="AFE85" s="335"/>
      <c r="AFF85" s="335"/>
      <c r="AFG85" s="335"/>
      <c r="AFH85" s="335"/>
      <c r="AFI85" s="335"/>
      <c r="AFJ85" s="335"/>
      <c r="AFK85" s="335"/>
      <c r="AFL85" s="335"/>
      <c r="AFM85" s="335"/>
      <c r="AFN85" s="335"/>
      <c r="AFO85" s="335"/>
      <c r="AFP85" s="335"/>
      <c r="AFQ85" s="335"/>
      <c r="AFR85" s="335"/>
      <c r="AFS85" s="335"/>
      <c r="AFT85" s="335"/>
      <c r="AFU85" s="335"/>
      <c r="AFV85" s="335"/>
      <c r="AFW85" s="335"/>
      <c r="AFX85" s="335"/>
      <c r="AFY85" s="335"/>
      <c r="AFZ85" s="335"/>
      <c r="AGA85" s="335"/>
      <c r="AGB85" s="335"/>
      <c r="AGC85" s="335"/>
      <c r="AGD85" s="335"/>
      <c r="AGE85" s="335"/>
      <c r="AGF85" s="335"/>
      <c r="AGG85" s="335"/>
      <c r="AGH85" s="335"/>
      <c r="AGI85" s="335"/>
      <c r="AGJ85" s="335"/>
      <c r="AGK85" s="335"/>
      <c r="AGL85" s="335"/>
      <c r="AGM85" s="335"/>
      <c r="AGN85" s="335"/>
      <c r="AGO85" s="335"/>
      <c r="AGP85" s="335"/>
      <c r="AGQ85" s="335"/>
      <c r="AGR85" s="335"/>
      <c r="AGS85" s="335"/>
      <c r="AGT85" s="335"/>
      <c r="AGU85" s="335"/>
      <c r="AGV85" s="335"/>
      <c r="AGW85" s="335"/>
      <c r="AGX85" s="335"/>
      <c r="AGY85" s="335"/>
      <c r="AGZ85" s="335"/>
      <c r="AHA85" s="335"/>
      <c r="AHB85" s="335"/>
      <c r="AHC85" s="335"/>
      <c r="AHD85" s="335"/>
      <c r="AHE85" s="335"/>
      <c r="AHF85" s="335"/>
      <c r="AHG85" s="335"/>
      <c r="AHH85" s="335"/>
      <c r="AHI85" s="335"/>
      <c r="AHJ85" s="335"/>
      <c r="AHK85" s="335"/>
      <c r="AHL85" s="335"/>
      <c r="AHM85" s="335"/>
      <c r="AHN85" s="335"/>
      <c r="AHO85" s="335"/>
      <c r="AHP85" s="335"/>
      <c r="AHQ85" s="335"/>
      <c r="AHR85" s="335"/>
      <c r="AHS85" s="335"/>
      <c r="AHT85" s="335"/>
      <c r="AHU85" s="335"/>
      <c r="AHV85" s="335"/>
      <c r="AHW85" s="335"/>
      <c r="AHX85" s="335"/>
      <c r="AHY85" s="335"/>
      <c r="AHZ85" s="335"/>
      <c r="AIA85" s="335"/>
      <c r="AIB85" s="335"/>
    </row>
    <row r="86" spans="2:912" s="172" customFormat="1">
      <c r="B86" s="174"/>
      <c r="ABE86" s="336"/>
      <c r="ABF86" s="335"/>
      <c r="ABG86" s="335"/>
      <c r="ABH86" s="335"/>
      <c r="ABI86" s="335"/>
      <c r="ABJ86" s="335"/>
      <c r="ABK86" s="335"/>
      <c r="ABL86" s="335"/>
      <c r="ABM86" s="335"/>
      <c r="ABN86" s="335"/>
      <c r="ABO86" s="335"/>
      <c r="ABP86" s="335"/>
      <c r="ABQ86" s="335"/>
      <c r="ABR86" s="335"/>
      <c r="ABS86" s="335"/>
      <c r="ABT86" s="335"/>
      <c r="ABU86" s="335"/>
      <c r="ABV86" s="335"/>
      <c r="ABW86" s="335"/>
      <c r="ABX86" s="335"/>
      <c r="ABY86" s="335"/>
      <c r="ABZ86" s="335"/>
      <c r="ACA86" s="335"/>
      <c r="ACB86" s="335"/>
      <c r="ACC86" s="335"/>
      <c r="ACD86" s="335"/>
      <c r="ACE86" s="335"/>
      <c r="ACF86" s="335"/>
      <c r="ACG86" s="335"/>
      <c r="ACH86" s="335"/>
      <c r="ACI86" s="335"/>
      <c r="ACJ86" s="335"/>
      <c r="ACK86" s="335"/>
      <c r="ACL86" s="335"/>
      <c r="ACM86" s="335"/>
      <c r="ACN86" s="335"/>
      <c r="ACO86" s="335"/>
      <c r="ACP86" s="335"/>
      <c r="ACQ86" s="335"/>
      <c r="ACR86" s="335"/>
      <c r="ACS86" s="335"/>
      <c r="ACT86" s="335"/>
      <c r="ACU86" s="335"/>
      <c r="ACV86" s="335"/>
      <c r="ACW86" s="335"/>
      <c r="ACX86" s="335"/>
      <c r="ACY86" s="335"/>
      <c r="ACZ86" s="335"/>
      <c r="ADA86" s="335"/>
      <c r="ADB86" s="335"/>
      <c r="ADC86" s="335"/>
      <c r="ADD86" s="335"/>
      <c r="ADE86" s="335"/>
      <c r="ADF86" s="335"/>
      <c r="ADG86" s="335"/>
      <c r="ADH86" s="335"/>
      <c r="ADI86" s="335"/>
      <c r="ADJ86" s="335"/>
      <c r="ADK86" s="335"/>
      <c r="ADL86" s="335"/>
      <c r="ADM86" s="335"/>
      <c r="ADN86" s="335"/>
      <c r="ADO86" s="335"/>
      <c r="ADP86" s="335"/>
      <c r="ADQ86" s="335"/>
      <c r="ADR86" s="335"/>
      <c r="ADS86" s="335"/>
      <c r="ADT86" s="335"/>
      <c r="ADU86" s="335"/>
      <c r="ADV86" s="335"/>
      <c r="ADW86" s="335"/>
      <c r="ADX86" s="335"/>
      <c r="ADY86" s="335"/>
      <c r="ADZ86" s="335"/>
      <c r="AEA86" s="335"/>
      <c r="AEB86" s="335"/>
      <c r="AEC86" s="335"/>
      <c r="AED86" s="335"/>
      <c r="AEE86" s="335"/>
      <c r="AEF86" s="335"/>
      <c r="AEG86" s="335"/>
      <c r="AEH86" s="335"/>
      <c r="AEI86" s="335"/>
      <c r="AEJ86" s="335"/>
      <c r="AEK86" s="335"/>
      <c r="AEL86" s="335"/>
      <c r="AEM86" s="335"/>
      <c r="AEN86" s="335"/>
      <c r="AEO86" s="335"/>
      <c r="AEP86" s="335"/>
      <c r="AEQ86" s="335"/>
      <c r="AER86" s="335"/>
      <c r="AES86" s="335"/>
      <c r="AET86" s="335"/>
      <c r="AEU86" s="335"/>
      <c r="AEV86" s="335"/>
      <c r="AEW86" s="335"/>
      <c r="AEX86" s="335"/>
      <c r="AEY86" s="335"/>
      <c r="AEZ86" s="335"/>
      <c r="AFA86" s="335"/>
      <c r="AFB86" s="335"/>
      <c r="AFC86" s="335"/>
      <c r="AFD86" s="335"/>
      <c r="AFE86" s="335"/>
      <c r="AFF86" s="335"/>
      <c r="AFG86" s="335"/>
      <c r="AFH86" s="335"/>
      <c r="AFI86" s="335"/>
      <c r="AFJ86" s="335"/>
      <c r="AFK86" s="335"/>
      <c r="AFL86" s="335"/>
      <c r="AFM86" s="335"/>
      <c r="AFN86" s="335"/>
      <c r="AFO86" s="335"/>
      <c r="AFP86" s="335"/>
      <c r="AFQ86" s="335"/>
      <c r="AFR86" s="335"/>
      <c r="AFS86" s="335"/>
      <c r="AFT86" s="335"/>
      <c r="AFU86" s="335"/>
      <c r="AFV86" s="335"/>
      <c r="AFW86" s="335"/>
      <c r="AFX86" s="335"/>
      <c r="AFY86" s="335"/>
      <c r="AFZ86" s="335"/>
      <c r="AGA86" s="335"/>
      <c r="AGB86" s="335"/>
      <c r="AGC86" s="335"/>
      <c r="AGD86" s="335"/>
      <c r="AGE86" s="335"/>
      <c r="AGF86" s="335"/>
      <c r="AGG86" s="335"/>
      <c r="AGH86" s="335"/>
      <c r="AGI86" s="335"/>
      <c r="AGJ86" s="335"/>
      <c r="AGK86" s="335"/>
      <c r="AGL86" s="335"/>
      <c r="AGM86" s="335"/>
      <c r="AGN86" s="335"/>
      <c r="AGO86" s="335"/>
      <c r="AGP86" s="335"/>
      <c r="AGQ86" s="335"/>
      <c r="AGR86" s="335"/>
      <c r="AGS86" s="335"/>
      <c r="AGT86" s="335"/>
      <c r="AGU86" s="335"/>
      <c r="AGV86" s="335"/>
      <c r="AGW86" s="335"/>
      <c r="AGX86" s="335"/>
      <c r="AGY86" s="335"/>
      <c r="AGZ86" s="335"/>
      <c r="AHA86" s="335"/>
      <c r="AHB86" s="335"/>
      <c r="AHC86" s="335"/>
      <c r="AHD86" s="335"/>
      <c r="AHE86" s="335"/>
      <c r="AHF86" s="335"/>
      <c r="AHG86" s="335"/>
      <c r="AHH86" s="335"/>
      <c r="AHI86" s="335"/>
      <c r="AHJ86" s="335"/>
      <c r="AHK86" s="335"/>
      <c r="AHL86" s="335"/>
      <c r="AHM86" s="335"/>
      <c r="AHN86" s="335"/>
      <c r="AHO86" s="335"/>
      <c r="AHP86" s="335"/>
      <c r="AHQ86" s="335"/>
      <c r="AHR86" s="335"/>
      <c r="AHS86" s="335"/>
      <c r="AHT86" s="335"/>
      <c r="AHU86" s="335"/>
      <c r="AHV86" s="335"/>
      <c r="AHW86" s="335"/>
      <c r="AHX86" s="335"/>
      <c r="AHY86" s="335"/>
      <c r="AHZ86" s="335"/>
      <c r="AIA86" s="335"/>
      <c r="AIB86" s="335"/>
    </row>
    <row r="87" spans="2:912" s="172" customFormat="1">
      <c r="B87" s="174"/>
      <c r="ABE87" s="336"/>
      <c r="ABF87" s="335"/>
      <c r="ABG87" s="335"/>
      <c r="ABH87" s="335"/>
      <c r="ABI87" s="335"/>
      <c r="ABJ87" s="335"/>
      <c r="ABK87" s="335"/>
      <c r="ABL87" s="335"/>
      <c r="ABM87" s="335"/>
      <c r="ABN87" s="335"/>
      <c r="ABO87" s="335"/>
      <c r="ABP87" s="335"/>
      <c r="ABQ87" s="335"/>
      <c r="ABR87" s="335"/>
      <c r="ABS87" s="335"/>
      <c r="ABT87" s="335"/>
      <c r="ABU87" s="335"/>
      <c r="ABV87" s="335"/>
      <c r="ABW87" s="335"/>
      <c r="ABX87" s="335"/>
      <c r="ABY87" s="335"/>
      <c r="ABZ87" s="335"/>
      <c r="ACA87" s="335"/>
      <c r="ACB87" s="335"/>
      <c r="ACC87" s="335"/>
      <c r="ACD87" s="335"/>
      <c r="ACE87" s="335"/>
      <c r="ACF87" s="335"/>
      <c r="ACG87" s="335"/>
      <c r="ACH87" s="335"/>
      <c r="ACI87" s="335"/>
      <c r="ACJ87" s="335"/>
      <c r="ACK87" s="335"/>
      <c r="ACL87" s="335"/>
      <c r="ACM87" s="335"/>
      <c r="ACN87" s="335"/>
      <c r="ACO87" s="335"/>
      <c r="ACP87" s="335"/>
      <c r="ACQ87" s="335"/>
      <c r="ACR87" s="335"/>
      <c r="ACS87" s="335"/>
      <c r="ACT87" s="335"/>
      <c r="ACU87" s="335"/>
      <c r="ACV87" s="335"/>
      <c r="ACW87" s="335"/>
      <c r="ACX87" s="335"/>
      <c r="ACY87" s="335"/>
      <c r="ACZ87" s="335"/>
      <c r="ADA87" s="335"/>
      <c r="ADB87" s="335"/>
      <c r="ADC87" s="335"/>
      <c r="ADD87" s="335"/>
      <c r="ADE87" s="335"/>
      <c r="ADF87" s="335"/>
      <c r="ADG87" s="335"/>
      <c r="ADH87" s="335"/>
      <c r="ADI87" s="335"/>
      <c r="ADJ87" s="335"/>
      <c r="ADK87" s="335"/>
      <c r="ADL87" s="335"/>
      <c r="ADM87" s="335"/>
      <c r="ADN87" s="335"/>
      <c r="ADO87" s="335"/>
      <c r="ADP87" s="335"/>
      <c r="ADQ87" s="335"/>
      <c r="ADR87" s="335"/>
      <c r="ADS87" s="335"/>
      <c r="ADT87" s="335"/>
      <c r="ADU87" s="335"/>
      <c r="ADV87" s="335"/>
      <c r="ADW87" s="335"/>
      <c r="ADX87" s="335"/>
      <c r="ADY87" s="335"/>
      <c r="ADZ87" s="335"/>
      <c r="AEA87" s="335"/>
      <c r="AEB87" s="335"/>
      <c r="AEC87" s="335"/>
      <c r="AED87" s="335"/>
      <c r="AEE87" s="335"/>
      <c r="AEF87" s="335"/>
      <c r="AEG87" s="335"/>
      <c r="AEH87" s="335"/>
      <c r="AEI87" s="335"/>
      <c r="AEJ87" s="335"/>
      <c r="AEK87" s="335"/>
      <c r="AEL87" s="335"/>
      <c r="AEM87" s="335"/>
      <c r="AEN87" s="335"/>
      <c r="AEO87" s="335"/>
      <c r="AEP87" s="335"/>
      <c r="AEQ87" s="335"/>
      <c r="AER87" s="335"/>
      <c r="AES87" s="335"/>
      <c r="AET87" s="335"/>
      <c r="AEU87" s="335"/>
      <c r="AEV87" s="335"/>
      <c r="AEW87" s="335"/>
      <c r="AEX87" s="335"/>
      <c r="AEY87" s="335"/>
      <c r="AEZ87" s="335"/>
      <c r="AFA87" s="335"/>
      <c r="AFB87" s="335"/>
      <c r="AFC87" s="335"/>
      <c r="AFD87" s="335"/>
      <c r="AFE87" s="335"/>
      <c r="AFF87" s="335"/>
      <c r="AFG87" s="335"/>
      <c r="AFH87" s="335"/>
      <c r="AFI87" s="335"/>
      <c r="AFJ87" s="335"/>
      <c r="AFK87" s="335"/>
      <c r="AFL87" s="335"/>
      <c r="AFM87" s="335"/>
      <c r="AFN87" s="335"/>
      <c r="AFO87" s="335"/>
      <c r="AFP87" s="335"/>
      <c r="AFQ87" s="335"/>
      <c r="AFR87" s="335"/>
      <c r="AFS87" s="335"/>
      <c r="AFT87" s="335"/>
      <c r="AFU87" s="335"/>
      <c r="AFV87" s="335"/>
      <c r="AFW87" s="335"/>
      <c r="AFX87" s="335"/>
      <c r="AFY87" s="335"/>
      <c r="AFZ87" s="335"/>
      <c r="AGA87" s="335"/>
      <c r="AGB87" s="335"/>
      <c r="AGC87" s="335"/>
      <c r="AGD87" s="335"/>
      <c r="AGE87" s="335"/>
      <c r="AGF87" s="335"/>
      <c r="AGG87" s="335"/>
      <c r="AGH87" s="335"/>
      <c r="AGI87" s="335"/>
      <c r="AGJ87" s="335"/>
      <c r="AGK87" s="335"/>
      <c r="AGL87" s="335"/>
      <c r="AGM87" s="335"/>
      <c r="AGN87" s="335"/>
      <c r="AGO87" s="335"/>
      <c r="AGP87" s="335"/>
      <c r="AGQ87" s="335"/>
      <c r="AGR87" s="335"/>
      <c r="AGS87" s="335"/>
      <c r="AGT87" s="335"/>
      <c r="AGU87" s="335"/>
      <c r="AGV87" s="335"/>
      <c r="AGW87" s="335"/>
      <c r="AGX87" s="335"/>
      <c r="AGY87" s="335"/>
      <c r="AGZ87" s="335"/>
      <c r="AHA87" s="335"/>
      <c r="AHB87" s="335"/>
      <c r="AHC87" s="335"/>
      <c r="AHD87" s="335"/>
      <c r="AHE87" s="335"/>
      <c r="AHF87" s="335"/>
      <c r="AHG87" s="335"/>
      <c r="AHH87" s="335"/>
      <c r="AHI87" s="335"/>
      <c r="AHJ87" s="335"/>
      <c r="AHK87" s="335"/>
      <c r="AHL87" s="335"/>
      <c r="AHM87" s="335"/>
      <c r="AHN87" s="335"/>
      <c r="AHO87" s="335"/>
      <c r="AHP87" s="335"/>
      <c r="AHQ87" s="335"/>
      <c r="AHR87" s="335"/>
      <c r="AHS87" s="335"/>
      <c r="AHT87" s="335"/>
      <c r="AHU87" s="335"/>
      <c r="AHV87" s="335"/>
      <c r="AHW87" s="335"/>
      <c r="AHX87" s="335"/>
      <c r="AHY87" s="335"/>
      <c r="AHZ87" s="335"/>
      <c r="AIA87" s="335"/>
      <c r="AIB87" s="335"/>
    </row>
    <row r="88" spans="2:912" s="172" customFormat="1">
      <c r="B88" s="174"/>
      <c r="ABE88" s="336"/>
      <c r="ABF88" s="335"/>
      <c r="ABG88" s="335"/>
      <c r="ABH88" s="335"/>
      <c r="ABI88" s="335"/>
      <c r="ABJ88" s="335"/>
      <c r="ABK88" s="335"/>
      <c r="ABL88" s="335"/>
      <c r="ABM88" s="335"/>
      <c r="ABN88" s="335"/>
      <c r="ABO88" s="335"/>
      <c r="ABP88" s="335"/>
      <c r="ABQ88" s="335"/>
      <c r="ABR88" s="335"/>
      <c r="ABS88" s="335"/>
      <c r="ABT88" s="335"/>
      <c r="ABU88" s="335"/>
      <c r="ABV88" s="335"/>
      <c r="ABW88" s="335"/>
      <c r="ABX88" s="335"/>
      <c r="ABY88" s="335"/>
      <c r="ABZ88" s="335"/>
      <c r="ACA88" s="335"/>
      <c r="ACB88" s="335"/>
      <c r="ACC88" s="335"/>
      <c r="ACD88" s="335"/>
      <c r="ACE88" s="335"/>
      <c r="ACF88" s="335"/>
      <c r="ACG88" s="335"/>
      <c r="ACH88" s="335"/>
      <c r="ACI88" s="335"/>
      <c r="ACJ88" s="335"/>
      <c r="ACK88" s="335"/>
      <c r="ACL88" s="335"/>
      <c r="ACM88" s="335"/>
      <c r="ACN88" s="335"/>
      <c r="ACO88" s="335"/>
      <c r="ACP88" s="335"/>
      <c r="ACQ88" s="335"/>
      <c r="ACR88" s="335"/>
      <c r="ACS88" s="335"/>
      <c r="ACT88" s="335"/>
      <c r="ACU88" s="335"/>
      <c r="ACV88" s="335"/>
      <c r="ACW88" s="335"/>
      <c r="ACX88" s="335"/>
      <c r="ACY88" s="335"/>
      <c r="ACZ88" s="335"/>
      <c r="ADA88" s="335"/>
      <c r="ADB88" s="335"/>
      <c r="ADC88" s="335"/>
      <c r="ADD88" s="335"/>
      <c r="ADE88" s="335"/>
      <c r="ADF88" s="335"/>
      <c r="ADG88" s="335"/>
      <c r="ADH88" s="335"/>
      <c r="ADI88" s="335"/>
      <c r="ADJ88" s="335"/>
      <c r="ADK88" s="335"/>
      <c r="ADL88" s="335"/>
      <c r="ADM88" s="335"/>
      <c r="ADN88" s="335"/>
      <c r="ADO88" s="335"/>
      <c r="ADP88" s="335"/>
      <c r="ADQ88" s="335"/>
      <c r="ADR88" s="335"/>
      <c r="ADS88" s="335"/>
      <c r="ADT88" s="335"/>
      <c r="ADU88" s="335"/>
      <c r="ADV88" s="335"/>
      <c r="ADW88" s="335"/>
      <c r="ADX88" s="335"/>
      <c r="ADY88" s="335"/>
      <c r="ADZ88" s="335"/>
      <c r="AEA88" s="335"/>
      <c r="AEB88" s="335"/>
      <c r="AEC88" s="335"/>
      <c r="AED88" s="335"/>
      <c r="AEE88" s="335"/>
      <c r="AEF88" s="335"/>
      <c r="AEG88" s="335"/>
      <c r="AEH88" s="335"/>
      <c r="AEI88" s="335"/>
      <c r="AEJ88" s="335"/>
      <c r="AEK88" s="335"/>
      <c r="AEL88" s="335"/>
      <c r="AEM88" s="335"/>
      <c r="AEN88" s="335"/>
      <c r="AEO88" s="335"/>
      <c r="AEP88" s="335"/>
      <c r="AEQ88" s="335"/>
      <c r="AER88" s="335"/>
      <c r="AES88" s="335"/>
      <c r="AET88" s="335"/>
      <c r="AEU88" s="335"/>
      <c r="AEV88" s="335"/>
      <c r="AEW88" s="335"/>
      <c r="AEX88" s="335"/>
      <c r="AEY88" s="335"/>
      <c r="AEZ88" s="335"/>
      <c r="AFA88" s="335"/>
      <c r="AFB88" s="335"/>
      <c r="AFC88" s="335"/>
      <c r="AFD88" s="335"/>
      <c r="AFE88" s="335"/>
      <c r="AFF88" s="335"/>
      <c r="AFG88" s="335"/>
      <c r="AFH88" s="335"/>
      <c r="AFI88" s="335"/>
      <c r="AFJ88" s="335"/>
      <c r="AFK88" s="335"/>
      <c r="AFL88" s="335"/>
      <c r="AFM88" s="335"/>
      <c r="AFN88" s="335"/>
      <c r="AFO88" s="335"/>
      <c r="AFP88" s="335"/>
      <c r="AFQ88" s="335"/>
      <c r="AFR88" s="335"/>
      <c r="AFS88" s="335"/>
      <c r="AFT88" s="335"/>
      <c r="AFU88" s="335"/>
      <c r="AFV88" s="335"/>
      <c r="AFW88" s="335"/>
      <c r="AFX88" s="335"/>
      <c r="AFY88" s="335"/>
      <c r="AFZ88" s="335"/>
      <c r="AGA88" s="335"/>
      <c r="AGB88" s="335"/>
      <c r="AGC88" s="335"/>
      <c r="AGD88" s="335"/>
      <c r="AGE88" s="335"/>
      <c r="AGF88" s="335"/>
      <c r="AGG88" s="335"/>
      <c r="AGH88" s="335"/>
      <c r="AGI88" s="335"/>
      <c r="AGJ88" s="335"/>
      <c r="AGK88" s="335"/>
      <c r="AGL88" s="335"/>
      <c r="AGM88" s="335"/>
      <c r="AGN88" s="335"/>
      <c r="AGO88" s="335"/>
      <c r="AGP88" s="335"/>
      <c r="AGQ88" s="335"/>
      <c r="AGR88" s="335"/>
      <c r="AGS88" s="335"/>
      <c r="AGT88" s="335"/>
      <c r="AGU88" s="335"/>
      <c r="AGV88" s="335"/>
      <c r="AGW88" s="335"/>
      <c r="AGX88" s="335"/>
      <c r="AGY88" s="335"/>
      <c r="AGZ88" s="335"/>
      <c r="AHA88" s="335"/>
      <c r="AHB88" s="335"/>
      <c r="AHC88" s="335"/>
      <c r="AHD88" s="335"/>
      <c r="AHE88" s="335"/>
      <c r="AHF88" s="335"/>
      <c r="AHG88" s="335"/>
      <c r="AHH88" s="335"/>
      <c r="AHI88" s="335"/>
      <c r="AHJ88" s="335"/>
      <c r="AHK88" s="335"/>
      <c r="AHL88" s="335"/>
      <c r="AHM88" s="335"/>
      <c r="AHN88" s="335"/>
      <c r="AHO88" s="335"/>
      <c r="AHP88" s="335"/>
      <c r="AHQ88" s="335"/>
      <c r="AHR88" s="335"/>
      <c r="AHS88" s="335"/>
      <c r="AHT88" s="335"/>
      <c r="AHU88" s="335"/>
      <c r="AHV88" s="335"/>
      <c r="AHW88" s="335"/>
      <c r="AHX88" s="335"/>
      <c r="AHY88" s="335"/>
      <c r="AHZ88" s="335"/>
      <c r="AIA88" s="335"/>
      <c r="AIB88" s="335"/>
    </row>
    <row r="89" spans="2:912" s="172" customFormat="1">
      <c r="B89" s="174"/>
      <c r="ABE89" s="336"/>
      <c r="ABF89" s="335"/>
      <c r="ABG89" s="335"/>
      <c r="ABH89" s="335"/>
      <c r="ABI89" s="335"/>
      <c r="ABJ89" s="335"/>
      <c r="ABK89" s="335"/>
      <c r="ABL89" s="335"/>
      <c r="ABM89" s="335"/>
      <c r="ABN89" s="335"/>
      <c r="ABO89" s="335"/>
      <c r="ABP89" s="335"/>
      <c r="ABQ89" s="335"/>
      <c r="ABR89" s="335"/>
      <c r="ABS89" s="335"/>
      <c r="ABT89" s="335"/>
      <c r="ABU89" s="335"/>
      <c r="ABV89" s="335"/>
      <c r="ABW89" s="335"/>
      <c r="ABX89" s="335"/>
      <c r="ABY89" s="335"/>
      <c r="ABZ89" s="335"/>
      <c r="ACA89" s="335"/>
      <c r="ACB89" s="335"/>
      <c r="ACC89" s="335"/>
      <c r="ACD89" s="335"/>
      <c r="ACE89" s="335"/>
      <c r="ACF89" s="335"/>
      <c r="ACG89" s="335"/>
      <c r="ACH89" s="335"/>
      <c r="ACI89" s="335"/>
      <c r="ACJ89" s="335"/>
      <c r="ACK89" s="335"/>
      <c r="ACL89" s="335"/>
      <c r="ACM89" s="335"/>
      <c r="ACN89" s="335"/>
      <c r="ACO89" s="335"/>
      <c r="ACP89" s="335"/>
      <c r="ACQ89" s="335"/>
      <c r="ACR89" s="335"/>
      <c r="ACS89" s="335"/>
      <c r="ACT89" s="335"/>
      <c r="ACU89" s="335"/>
      <c r="ACV89" s="335"/>
      <c r="ACW89" s="335"/>
      <c r="ACX89" s="335"/>
      <c r="ACY89" s="335"/>
      <c r="ACZ89" s="335"/>
      <c r="ADA89" s="335"/>
      <c r="ADB89" s="335"/>
      <c r="ADC89" s="335"/>
      <c r="ADD89" s="335"/>
      <c r="ADE89" s="335"/>
      <c r="ADF89" s="335"/>
      <c r="ADG89" s="335"/>
      <c r="ADH89" s="335"/>
      <c r="ADI89" s="335"/>
      <c r="ADJ89" s="335"/>
      <c r="ADK89" s="335"/>
      <c r="ADL89" s="335"/>
      <c r="ADM89" s="335"/>
      <c r="ADN89" s="335"/>
      <c r="ADO89" s="335"/>
      <c r="ADP89" s="335"/>
      <c r="ADQ89" s="335"/>
      <c r="ADR89" s="335"/>
      <c r="ADS89" s="335"/>
      <c r="ADT89" s="335"/>
      <c r="ADU89" s="335"/>
      <c r="ADV89" s="335"/>
      <c r="ADW89" s="335"/>
      <c r="ADX89" s="335"/>
      <c r="ADY89" s="335"/>
      <c r="ADZ89" s="335"/>
      <c r="AEA89" s="335"/>
      <c r="AEB89" s="335"/>
      <c r="AEC89" s="335"/>
      <c r="AED89" s="335"/>
      <c r="AEE89" s="335"/>
      <c r="AEF89" s="335"/>
      <c r="AEG89" s="335"/>
      <c r="AEH89" s="335"/>
      <c r="AEI89" s="335"/>
      <c r="AEJ89" s="335"/>
      <c r="AEK89" s="335"/>
      <c r="AEL89" s="335"/>
      <c r="AEM89" s="335"/>
      <c r="AEN89" s="335"/>
      <c r="AEO89" s="335"/>
      <c r="AEP89" s="335"/>
      <c r="AEQ89" s="335"/>
      <c r="AER89" s="335"/>
      <c r="AES89" s="335"/>
      <c r="AET89" s="335"/>
      <c r="AEU89" s="335"/>
      <c r="AEV89" s="335"/>
      <c r="AEW89" s="335"/>
      <c r="AEX89" s="335"/>
      <c r="AEY89" s="335"/>
      <c r="AEZ89" s="335"/>
      <c r="AFA89" s="335"/>
      <c r="AFB89" s="335"/>
      <c r="AFC89" s="335"/>
      <c r="AFD89" s="335"/>
      <c r="AFE89" s="335"/>
      <c r="AFF89" s="335"/>
      <c r="AFG89" s="335"/>
      <c r="AFH89" s="335"/>
      <c r="AFI89" s="335"/>
      <c r="AFJ89" s="335"/>
      <c r="AFK89" s="335"/>
      <c r="AFL89" s="335"/>
      <c r="AFM89" s="335"/>
      <c r="AFN89" s="335"/>
      <c r="AFO89" s="335"/>
      <c r="AFP89" s="335"/>
      <c r="AFQ89" s="335"/>
      <c r="AFR89" s="335"/>
      <c r="AFS89" s="335"/>
      <c r="AFT89" s="335"/>
      <c r="AFU89" s="335"/>
      <c r="AFV89" s="335"/>
      <c r="AFW89" s="335"/>
      <c r="AFX89" s="335"/>
      <c r="AFY89" s="335"/>
      <c r="AFZ89" s="335"/>
      <c r="AGA89" s="335"/>
      <c r="AGB89" s="335"/>
      <c r="AGC89" s="335"/>
      <c r="AGD89" s="335"/>
      <c r="AGE89" s="335"/>
      <c r="AGF89" s="335"/>
      <c r="AGG89" s="335"/>
      <c r="AGH89" s="335"/>
      <c r="AGI89" s="335"/>
      <c r="AGJ89" s="335"/>
      <c r="AGK89" s="335"/>
      <c r="AGL89" s="335"/>
      <c r="AGM89" s="335"/>
      <c r="AGN89" s="335"/>
      <c r="AGO89" s="335"/>
      <c r="AGP89" s="335"/>
      <c r="AGQ89" s="335"/>
      <c r="AGR89" s="335"/>
      <c r="AGS89" s="335"/>
      <c r="AGT89" s="335"/>
      <c r="AGU89" s="335"/>
      <c r="AGV89" s="335"/>
      <c r="AGW89" s="335"/>
      <c r="AGX89" s="335"/>
      <c r="AGY89" s="335"/>
      <c r="AGZ89" s="335"/>
      <c r="AHA89" s="335"/>
      <c r="AHB89" s="335"/>
      <c r="AHC89" s="335"/>
      <c r="AHD89" s="335"/>
      <c r="AHE89" s="335"/>
      <c r="AHF89" s="335"/>
      <c r="AHG89" s="335"/>
      <c r="AHH89" s="335"/>
      <c r="AHI89" s="335"/>
      <c r="AHJ89" s="335"/>
      <c r="AHK89" s="335"/>
      <c r="AHL89" s="335"/>
      <c r="AHM89" s="335"/>
      <c r="AHN89" s="335"/>
      <c r="AHO89" s="335"/>
      <c r="AHP89" s="335"/>
      <c r="AHQ89" s="335"/>
      <c r="AHR89" s="335"/>
      <c r="AHS89" s="335"/>
      <c r="AHT89" s="335"/>
      <c r="AHU89" s="335"/>
      <c r="AHV89" s="335"/>
      <c r="AHW89" s="335"/>
      <c r="AHX89" s="335"/>
      <c r="AHY89" s="335"/>
      <c r="AHZ89" s="335"/>
      <c r="AIA89" s="335"/>
      <c r="AIB89" s="335"/>
    </row>
    <row r="90" spans="2:912" s="172" customFormat="1">
      <c r="B90" s="174"/>
      <c r="ABE90" s="336"/>
      <c r="ABF90" s="335"/>
      <c r="ABG90" s="335"/>
      <c r="ABH90" s="335"/>
      <c r="ABI90" s="335"/>
      <c r="ABJ90" s="335"/>
      <c r="ABK90" s="335"/>
      <c r="ABL90" s="335"/>
      <c r="ABM90" s="335"/>
      <c r="ABN90" s="335"/>
      <c r="ABO90" s="335"/>
      <c r="ABP90" s="335"/>
      <c r="ABQ90" s="335"/>
      <c r="ABR90" s="335"/>
      <c r="ABS90" s="335"/>
      <c r="ABT90" s="335"/>
      <c r="ABU90" s="335"/>
      <c r="ABV90" s="335"/>
      <c r="ABW90" s="335"/>
      <c r="ABX90" s="335"/>
      <c r="ABY90" s="335"/>
      <c r="ABZ90" s="335"/>
      <c r="ACA90" s="335"/>
      <c r="ACB90" s="335"/>
      <c r="ACC90" s="335"/>
      <c r="ACD90" s="335"/>
      <c r="ACE90" s="335"/>
      <c r="ACF90" s="335"/>
      <c r="ACG90" s="335"/>
      <c r="ACH90" s="335"/>
      <c r="ACI90" s="335"/>
      <c r="ACJ90" s="335"/>
      <c r="ACK90" s="335"/>
      <c r="ACL90" s="335"/>
      <c r="ACM90" s="335"/>
      <c r="ACN90" s="335"/>
      <c r="ACO90" s="335"/>
      <c r="ACP90" s="335"/>
      <c r="ACQ90" s="335"/>
      <c r="ACR90" s="335"/>
      <c r="ACS90" s="335"/>
      <c r="ACT90" s="335"/>
      <c r="ACU90" s="335"/>
      <c r="ACV90" s="335"/>
      <c r="ACW90" s="335"/>
      <c r="ACX90" s="335"/>
      <c r="ACY90" s="335"/>
      <c r="ACZ90" s="335"/>
      <c r="ADA90" s="335"/>
      <c r="ADB90" s="335"/>
      <c r="ADC90" s="335"/>
      <c r="ADD90" s="335"/>
      <c r="ADE90" s="335"/>
      <c r="ADF90" s="335"/>
      <c r="ADG90" s="335"/>
      <c r="ADH90" s="335"/>
      <c r="ADI90" s="335"/>
      <c r="ADJ90" s="335"/>
      <c r="ADK90" s="335"/>
      <c r="ADL90" s="335"/>
      <c r="ADM90" s="335"/>
      <c r="ADN90" s="335"/>
      <c r="ADO90" s="335"/>
      <c r="ADP90" s="335"/>
      <c r="ADQ90" s="335"/>
      <c r="ADR90" s="335"/>
      <c r="ADS90" s="335"/>
      <c r="ADT90" s="335"/>
      <c r="ADU90" s="335"/>
      <c r="ADV90" s="335"/>
      <c r="ADW90" s="335"/>
      <c r="ADX90" s="335"/>
      <c r="ADY90" s="335"/>
      <c r="ADZ90" s="335"/>
      <c r="AEA90" s="335"/>
      <c r="AEB90" s="335"/>
      <c r="AEC90" s="335"/>
      <c r="AED90" s="335"/>
      <c r="AEE90" s="335"/>
      <c r="AEF90" s="335"/>
      <c r="AEG90" s="335"/>
      <c r="AEH90" s="335"/>
      <c r="AEI90" s="335"/>
      <c r="AEJ90" s="335"/>
      <c r="AEK90" s="335"/>
      <c r="AEL90" s="335"/>
      <c r="AEM90" s="335"/>
      <c r="AEN90" s="335"/>
      <c r="AEO90" s="335"/>
      <c r="AEP90" s="335"/>
      <c r="AEQ90" s="335"/>
      <c r="AER90" s="335"/>
      <c r="AES90" s="335"/>
      <c r="AET90" s="335"/>
      <c r="AEU90" s="335"/>
      <c r="AEV90" s="335"/>
      <c r="AEW90" s="335"/>
      <c r="AEX90" s="335"/>
      <c r="AEY90" s="335"/>
      <c r="AEZ90" s="335"/>
      <c r="AFA90" s="335"/>
      <c r="AFB90" s="335"/>
      <c r="AFC90" s="335"/>
      <c r="AFD90" s="335"/>
      <c r="AFE90" s="335"/>
      <c r="AFF90" s="335"/>
      <c r="AFG90" s="335"/>
      <c r="AFH90" s="335"/>
      <c r="AFI90" s="335"/>
      <c r="AFJ90" s="335"/>
      <c r="AFK90" s="335"/>
      <c r="AFL90" s="335"/>
      <c r="AFM90" s="335"/>
      <c r="AFN90" s="335"/>
      <c r="AFO90" s="335"/>
      <c r="AFP90" s="335"/>
      <c r="AFQ90" s="335"/>
      <c r="AFR90" s="335"/>
      <c r="AFS90" s="335"/>
      <c r="AFT90" s="335"/>
      <c r="AFU90" s="335"/>
      <c r="AFV90" s="335"/>
      <c r="AFW90" s="335"/>
      <c r="AFX90" s="335"/>
      <c r="AFY90" s="335"/>
      <c r="AFZ90" s="335"/>
      <c r="AGA90" s="335"/>
      <c r="AGB90" s="335"/>
      <c r="AGC90" s="335"/>
      <c r="AGD90" s="335"/>
      <c r="AGE90" s="335"/>
      <c r="AGF90" s="335"/>
      <c r="AGG90" s="335"/>
      <c r="AGH90" s="335"/>
      <c r="AGI90" s="335"/>
      <c r="AGJ90" s="335"/>
      <c r="AGK90" s="335"/>
      <c r="AGL90" s="335"/>
      <c r="AGM90" s="335"/>
      <c r="AGN90" s="335"/>
      <c r="AGO90" s="335"/>
      <c r="AGP90" s="335"/>
      <c r="AGQ90" s="335"/>
      <c r="AGR90" s="335"/>
      <c r="AGS90" s="335"/>
      <c r="AGT90" s="335"/>
      <c r="AGU90" s="335"/>
      <c r="AGV90" s="335"/>
      <c r="AGW90" s="335"/>
      <c r="AGX90" s="335"/>
      <c r="AGY90" s="335"/>
      <c r="AGZ90" s="335"/>
      <c r="AHA90" s="335"/>
      <c r="AHB90" s="335"/>
      <c r="AHC90" s="335"/>
      <c r="AHD90" s="335"/>
      <c r="AHE90" s="335"/>
      <c r="AHF90" s="335"/>
      <c r="AHG90" s="335"/>
      <c r="AHH90" s="335"/>
      <c r="AHI90" s="335"/>
      <c r="AHJ90" s="335"/>
      <c r="AHK90" s="335"/>
      <c r="AHL90" s="335"/>
      <c r="AHM90" s="335"/>
      <c r="AHN90" s="335"/>
      <c r="AHO90" s="335"/>
      <c r="AHP90" s="335"/>
      <c r="AHQ90" s="335"/>
      <c r="AHR90" s="335"/>
      <c r="AHS90" s="335"/>
      <c r="AHT90" s="335"/>
      <c r="AHU90" s="335"/>
      <c r="AHV90" s="335"/>
      <c r="AHW90" s="335"/>
      <c r="AHX90" s="335"/>
      <c r="AHY90" s="335"/>
      <c r="AHZ90" s="335"/>
      <c r="AIA90" s="335"/>
      <c r="AIB90" s="335"/>
    </row>
    <row r="91" spans="2:912" s="172" customFormat="1">
      <c r="B91" s="174"/>
      <c r="ABE91" s="336"/>
      <c r="ABF91" s="335"/>
      <c r="ABG91" s="335"/>
      <c r="ABH91" s="335"/>
      <c r="ABI91" s="335"/>
      <c r="ABJ91" s="335"/>
      <c r="ABK91" s="335"/>
      <c r="ABL91" s="335"/>
      <c r="ABM91" s="335"/>
      <c r="ABN91" s="335"/>
      <c r="ABO91" s="335"/>
      <c r="ABP91" s="335"/>
      <c r="ABQ91" s="335"/>
      <c r="ABR91" s="335"/>
      <c r="ABS91" s="335"/>
      <c r="ABT91" s="335"/>
      <c r="ABU91" s="335"/>
      <c r="ABV91" s="335"/>
      <c r="ABW91" s="335"/>
      <c r="ABX91" s="335"/>
      <c r="ABY91" s="335"/>
      <c r="ABZ91" s="335"/>
      <c r="ACA91" s="335"/>
      <c r="ACB91" s="335"/>
      <c r="ACC91" s="335"/>
      <c r="ACD91" s="335"/>
      <c r="ACE91" s="335"/>
      <c r="ACF91" s="335"/>
      <c r="ACG91" s="335"/>
      <c r="ACH91" s="335"/>
      <c r="ACI91" s="335"/>
      <c r="ACJ91" s="335"/>
      <c r="ACK91" s="335"/>
      <c r="ACL91" s="335"/>
      <c r="ACM91" s="335"/>
      <c r="ACN91" s="335"/>
      <c r="ACO91" s="335"/>
      <c r="ACP91" s="335"/>
      <c r="ACQ91" s="335"/>
      <c r="ACR91" s="335"/>
      <c r="ACS91" s="335"/>
      <c r="ACT91" s="335"/>
      <c r="ACU91" s="335"/>
      <c r="ACV91" s="335"/>
      <c r="ACW91" s="335"/>
      <c r="ACX91" s="335"/>
      <c r="ACY91" s="335"/>
      <c r="ACZ91" s="335"/>
      <c r="ADA91" s="335"/>
      <c r="ADB91" s="335"/>
      <c r="ADC91" s="335"/>
      <c r="ADD91" s="335"/>
      <c r="ADE91" s="335"/>
      <c r="ADF91" s="335"/>
      <c r="ADG91" s="335"/>
      <c r="ADH91" s="335"/>
      <c r="ADI91" s="335"/>
      <c r="ADJ91" s="335"/>
      <c r="ADK91" s="335"/>
      <c r="ADL91" s="335"/>
      <c r="ADM91" s="335"/>
      <c r="ADN91" s="335"/>
      <c r="ADO91" s="335"/>
      <c r="ADP91" s="335"/>
      <c r="ADQ91" s="335"/>
      <c r="ADR91" s="335"/>
      <c r="ADS91" s="335"/>
      <c r="ADT91" s="335"/>
      <c r="ADU91" s="335"/>
      <c r="ADV91" s="335"/>
      <c r="ADW91" s="335"/>
      <c r="ADX91" s="335"/>
      <c r="ADY91" s="335"/>
      <c r="ADZ91" s="335"/>
      <c r="AEA91" s="335"/>
      <c r="AEB91" s="335"/>
      <c r="AEC91" s="335"/>
      <c r="AED91" s="335"/>
      <c r="AEE91" s="335"/>
      <c r="AEF91" s="335"/>
      <c r="AEG91" s="335"/>
      <c r="AEH91" s="335"/>
      <c r="AEI91" s="335"/>
      <c r="AEJ91" s="335"/>
      <c r="AEK91" s="335"/>
      <c r="AEL91" s="335"/>
      <c r="AEM91" s="335"/>
      <c r="AEN91" s="335"/>
      <c r="AEO91" s="335"/>
      <c r="AEP91" s="335"/>
      <c r="AEQ91" s="335"/>
      <c r="AER91" s="335"/>
      <c r="AES91" s="335"/>
      <c r="AET91" s="335"/>
      <c r="AEU91" s="335"/>
      <c r="AEV91" s="335"/>
      <c r="AEW91" s="335"/>
      <c r="AEX91" s="335"/>
      <c r="AEY91" s="335"/>
      <c r="AEZ91" s="335"/>
      <c r="AFA91" s="335"/>
      <c r="AFB91" s="335"/>
      <c r="AFC91" s="335"/>
      <c r="AFD91" s="335"/>
      <c r="AFE91" s="335"/>
      <c r="AFF91" s="335"/>
      <c r="AFG91" s="335"/>
      <c r="AFH91" s="335"/>
      <c r="AFI91" s="335"/>
      <c r="AFJ91" s="335"/>
      <c r="AFK91" s="335"/>
      <c r="AFL91" s="335"/>
      <c r="AFM91" s="335"/>
      <c r="AFN91" s="335"/>
      <c r="AFO91" s="335"/>
      <c r="AFP91" s="335"/>
      <c r="AFQ91" s="335"/>
      <c r="AFR91" s="335"/>
      <c r="AFS91" s="335"/>
      <c r="AFT91" s="335"/>
      <c r="AFU91" s="335"/>
      <c r="AFV91" s="335"/>
      <c r="AFW91" s="335"/>
      <c r="AFX91" s="335"/>
      <c r="AFY91" s="335"/>
      <c r="AFZ91" s="335"/>
      <c r="AGA91" s="335"/>
      <c r="AGB91" s="335"/>
      <c r="AGC91" s="335"/>
      <c r="AGD91" s="335"/>
      <c r="AGE91" s="335"/>
      <c r="AGF91" s="335"/>
      <c r="AGG91" s="335"/>
      <c r="AGH91" s="335"/>
      <c r="AGI91" s="335"/>
      <c r="AGJ91" s="335"/>
      <c r="AGK91" s="335"/>
      <c r="AGL91" s="335"/>
      <c r="AGM91" s="335"/>
      <c r="AGN91" s="335"/>
      <c r="AGO91" s="335"/>
      <c r="AGP91" s="335"/>
      <c r="AGQ91" s="335"/>
      <c r="AGR91" s="335"/>
      <c r="AGS91" s="335"/>
      <c r="AGT91" s="335"/>
      <c r="AGU91" s="335"/>
      <c r="AGV91" s="335"/>
      <c r="AGW91" s="335"/>
      <c r="AGX91" s="335"/>
      <c r="AGY91" s="335"/>
      <c r="AGZ91" s="335"/>
      <c r="AHA91" s="335"/>
      <c r="AHB91" s="335"/>
      <c r="AHC91" s="335"/>
      <c r="AHD91" s="335"/>
      <c r="AHE91" s="335"/>
      <c r="AHF91" s="335"/>
      <c r="AHG91" s="335"/>
      <c r="AHH91" s="335"/>
      <c r="AHI91" s="335"/>
      <c r="AHJ91" s="335"/>
      <c r="AHK91" s="335"/>
      <c r="AHL91" s="335"/>
      <c r="AHM91" s="335"/>
      <c r="AHN91" s="335"/>
      <c r="AHO91" s="335"/>
      <c r="AHP91" s="335"/>
      <c r="AHQ91" s="335"/>
      <c r="AHR91" s="335"/>
      <c r="AHS91" s="335"/>
      <c r="AHT91" s="335"/>
      <c r="AHU91" s="335"/>
      <c r="AHV91" s="335"/>
      <c r="AHW91" s="335"/>
      <c r="AHX91" s="335"/>
      <c r="AHY91" s="335"/>
      <c r="AHZ91" s="335"/>
      <c r="AIA91" s="335"/>
      <c r="AIB91" s="335"/>
    </row>
    <row r="92" spans="2:912" s="172" customFormat="1">
      <c r="B92" s="174"/>
      <c r="ABE92" s="336"/>
      <c r="ABF92" s="335"/>
      <c r="ABG92" s="335"/>
      <c r="ABH92" s="335"/>
      <c r="ABI92" s="335"/>
      <c r="ABJ92" s="335"/>
      <c r="ABK92" s="335"/>
      <c r="ABL92" s="335"/>
      <c r="ABM92" s="335"/>
      <c r="ABN92" s="335"/>
      <c r="ABO92" s="335"/>
      <c r="ABP92" s="335"/>
      <c r="ABQ92" s="335"/>
      <c r="ABR92" s="335"/>
      <c r="ABS92" s="335"/>
      <c r="ABT92" s="335"/>
      <c r="ABU92" s="335"/>
      <c r="ABV92" s="335"/>
      <c r="ABW92" s="335"/>
      <c r="ABX92" s="335"/>
      <c r="ABY92" s="335"/>
      <c r="ABZ92" s="335"/>
      <c r="ACA92" s="335"/>
      <c r="ACB92" s="335"/>
      <c r="ACC92" s="335"/>
      <c r="ACD92" s="335"/>
      <c r="ACE92" s="335"/>
      <c r="ACF92" s="335"/>
      <c r="ACG92" s="335"/>
      <c r="ACH92" s="335"/>
      <c r="ACI92" s="335"/>
      <c r="ACJ92" s="335"/>
      <c r="ACK92" s="335"/>
      <c r="ACL92" s="335"/>
      <c r="ACM92" s="335"/>
      <c r="ACN92" s="335"/>
      <c r="ACO92" s="335"/>
      <c r="ACP92" s="335"/>
      <c r="ACQ92" s="335"/>
      <c r="ACR92" s="335"/>
      <c r="ACS92" s="335"/>
      <c r="ACT92" s="335"/>
      <c r="ACU92" s="335"/>
      <c r="ACV92" s="335"/>
      <c r="ACW92" s="335"/>
      <c r="ACX92" s="335"/>
      <c r="ACY92" s="335"/>
      <c r="ACZ92" s="335"/>
      <c r="ADA92" s="335"/>
      <c r="ADB92" s="335"/>
      <c r="ADC92" s="335"/>
      <c r="ADD92" s="335"/>
      <c r="ADE92" s="335"/>
      <c r="ADF92" s="335"/>
      <c r="ADG92" s="335"/>
      <c r="ADH92" s="335"/>
      <c r="ADI92" s="335"/>
      <c r="ADJ92" s="335"/>
      <c r="ADK92" s="335"/>
      <c r="ADL92" s="335"/>
      <c r="ADM92" s="335"/>
      <c r="ADN92" s="335"/>
      <c r="ADO92" s="335"/>
      <c r="ADP92" s="335"/>
      <c r="ADQ92" s="335"/>
      <c r="ADR92" s="335"/>
      <c r="ADS92" s="335"/>
      <c r="ADT92" s="335"/>
      <c r="ADU92" s="335"/>
      <c r="ADV92" s="335"/>
      <c r="ADW92" s="335"/>
      <c r="ADX92" s="335"/>
      <c r="ADY92" s="335"/>
      <c r="ADZ92" s="335"/>
      <c r="AEA92" s="335"/>
      <c r="AEB92" s="335"/>
      <c r="AEC92" s="335"/>
      <c r="AED92" s="335"/>
      <c r="AEE92" s="335"/>
      <c r="AEF92" s="335"/>
      <c r="AEG92" s="335"/>
      <c r="AEH92" s="335"/>
      <c r="AEI92" s="335"/>
      <c r="AEJ92" s="335"/>
      <c r="AEK92" s="335"/>
      <c r="AEL92" s="335"/>
      <c r="AEM92" s="335"/>
      <c r="AEN92" s="335"/>
      <c r="AEO92" s="335"/>
      <c r="AEP92" s="335"/>
      <c r="AEQ92" s="335"/>
      <c r="AER92" s="335"/>
      <c r="AES92" s="335"/>
      <c r="AET92" s="335"/>
      <c r="AEU92" s="335"/>
      <c r="AEV92" s="335"/>
      <c r="AEW92" s="335"/>
      <c r="AEX92" s="335"/>
      <c r="AEY92" s="335"/>
      <c r="AEZ92" s="335"/>
      <c r="AFA92" s="335"/>
      <c r="AFB92" s="335"/>
      <c r="AFC92" s="335"/>
      <c r="AFD92" s="335"/>
      <c r="AFE92" s="335"/>
      <c r="AFF92" s="335"/>
      <c r="AFG92" s="335"/>
      <c r="AFH92" s="335"/>
      <c r="AFI92" s="335"/>
      <c r="AFJ92" s="335"/>
      <c r="AFK92" s="335"/>
      <c r="AFL92" s="335"/>
      <c r="AFM92" s="335"/>
      <c r="AFN92" s="335"/>
      <c r="AFO92" s="335"/>
      <c r="AFP92" s="335"/>
      <c r="AFQ92" s="335"/>
      <c r="AFR92" s="335"/>
      <c r="AFS92" s="335"/>
      <c r="AFT92" s="335"/>
      <c r="AFU92" s="335"/>
      <c r="AFV92" s="335"/>
      <c r="AFW92" s="335"/>
      <c r="AFX92" s="335"/>
      <c r="AFY92" s="335"/>
      <c r="AFZ92" s="335"/>
      <c r="AGA92" s="335"/>
      <c r="AGB92" s="335"/>
      <c r="AGC92" s="335"/>
      <c r="AGD92" s="335"/>
      <c r="AGE92" s="335"/>
      <c r="AGF92" s="335"/>
      <c r="AGG92" s="335"/>
      <c r="AGH92" s="335"/>
      <c r="AGI92" s="335"/>
      <c r="AGJ92" s="335"/>
      <c r="AGK92" s="335"/>
      <c r="AGL92" s="335"/>
      <c r="AGM92" s="335"/>
      <c r="AGN92" s="335"/>
      <c r="AGO92" s="335"/>
      <c r="AGP92" s="335"/>
      <c r="AGQ92" s="335"/>
      <c r="AGR92" s="335"/>
      <c r="AGS92" s="335"/>
      <c r="AGT92" s="335"/>
      <c r="AGU92" s="335"/>
      <c r="AGV92" s="335"/>
      <c r="AGW92" s="335"/>
      <c r="AGX92" s="335"/>
      <c r="AGY92" s="335"/>
      <c r="AGZ92" s="335"/>
      <c r="AHA92" s="335"/>
      <c r="AHB92" s="335"/>
      <c r="AHC92" s="335"/>
      <c r="AHD92" s="335"/>
      <c r="AHE92" s="335"/>
      <c r="AHF92" s="335"/>
      <c r="AHG92" s="335"/>
      <c r="AHH92" s="335"/>
      <c r="AHI92" s="335"/>
      <c r="AHJ92" s="335"/>
      <c r="AHK92" s="335"/>
      <c r="AHL92" s="335"/>
      <c r="AHM92" s="335"/>
      <c r="AHN92" s="335"/>
      <c r="AHO92" s="335"/>
      <c r="AHP92" s="335"/>
      <c r="AHQ92" s="335"/>
      <c r="AHR92" s="335"/>
      <c r="AHS92" s="335"/>
      <c r="AHT92" s="335"/>
      <c r="AHU92" s="335"/>
      <c r="AHV92" s="335"/>
      <c r="AHW92" s="335"/>
      <c r="AHX92" s="335"/>
      <c r="AHY92" s="335"/>
      <c r="AHZ92" s="335"/>
      <c r="AIA92" s="335"/>
      <c r="AIB92" s="335"/>
    </row>
    <row r="93" spans="2:912" s="172" customFormat="1">
      <c r="B93" s="174"/>
      <c r="ABE93" s="336"/>
      <c r="ABF93" s="335"/>
      <c r="ABG93" s="335"/>
      <c r="ABH93" s="335"/>
      <c r="ABI93" s="335"/>
      <c r="ABJ93" s="335"/>
      <c r="ABK93" s="335"/>
      <c r="ABL93" s="335"/>
      <c r="ABM93" s="335"/>
      <c r="ABN93" s="335"/>
      <c r="ABO93" s="335"/>
      <c r="ABP93" s="335"/>
      <c r="ABQ93" s="335"/>
      <c r="ABR93" s="335"/>
      <c r="ABS93" s="335"/>
      <c r="ABT93" s="335"/>
      <c r="ABU93" s="335"/>
      <c r="ABV93" s="335"/>
      <c r="ABW93" s="335"/>
      <c r="ABX93" s="335"/>
      <c r="ABY93" s="335"/>
      <c r="ABZ93" s="335"/>
      <c r="ACA93" s="335"/>
      <c r="ACB93" s="335"/>
      <c r="ACC93" s="335"/>
      <c r="ACD93" s="335"/>
      <c r="ACE93" s="335"/>
      <c r="ACF93" s="335"/>
      <c r="ACG93" s="335"/>
      <c r="ACH93" s="335"/>
      <c r="ACI93" s="335"/>
      <c r="ACJ93" s="335"/>
      <c r="ACK93" s="335"/>
      <c r="ACL93" s="335"/>
      <c r="ACM93" s="335"/>
      <c r="ACN93" s="335"/>
      <c r="ACO93" s="335"/>
      <c r="ACP93" s="335"/>
      <c r="ACQ93" s="335"/>
      <c r="ACR93" s="335"/>
      <c r="ACS93" s="335"/>
      <c r="ACT93" s="335"/>
      <c r="ACU93" s="335"/>
      <c r="ACV93" s="335"/>
      <c r="ACW93" s="335"/>
      <c r="ACX93" s="335"/>
      <c r="ACY93" s="335"/>
      <c r="ACZ93" s="335"/>
      <c r="ADA93" s="335"/>
      <c r="ADB93" s="335"/>
      <c r="ADC93" s="335"/>
      <c r="ADD93" s="335"/>
      <c r="ADE93" s="335"/>
      <c r="ADF93" s="335"/>
      <c r="ADG93" s="335"/>
      <c r="ADH93" s="335"/>
      <c r="ADI93" s="335"/>
      <c r="ADJ93" s="335"/>
      <c r="ADK93" s="335"/>
      <c r="ADL93" s="335"/>
      <c r="ADM93" s="335"/>
      <c r="ADN93" s="335"/>
      <c r="ADO93" s="335"/>
      <c r="ADP93" s="335"/>
      <c r="ADQ93" s="335"/>
      <c r="ADR93" s="335"/>
      <c r="ADS93" s="335"/>
      <c r="ADT93" s="335"/>
      <c r="ADU93" s="335"/>
      <c r="ADV93" s="335"/>
      <c r="ADW93" s="335"/>
      <c r="ADX93" s="335"/>
      <c r="ADY93" s="335"/>
      <c r="ADZ93" s="335"/>
      <c r="AEA93" s="335"/>
      <c r="AEB93" s="335"/>
      <c r="AEC93" s="335"/>
      <c r="AED93" s="335"/>
      <c r="AEE93" s="335"/>
      <c r="AEF93" s="335"/>
      <c r="AEG93" s="335"/>
      <c r="AEH93" s="335"/>
      <c r="AEI93" s="335"/>
      <c r="AEJ93" s="335"/>
      <c r="AEK93" s="335"/>
      <c r="AEL93" s="335"/>
      <c r="AEM93" s="335"/>
      <c r="AEN93" s="335"/>
      <c r="AEO93" s="335"/>
      <c r="AEP93" s="335"/>
      <c r="AEQ93" s="335"/>
      <c r="AER93" s="335"/>
      <c r="AES93" s="335"/>
      <c r="AET93" s="335"/>
      <c r="AEU93" s="335"/>
      <c r="AEV93" s="335"/>
      <c r="AEW93" s="335"/>
      <c r="AEX93" s="335"/>
      <c r="AEY93" s="335"/>
      <c r="AEZ93" s="335"/>
      <c r="AFA93" s="335"/>
      <c r="AFB93" s="335"/>
      <c r="AFC93" s="335"/>
      <c r="AFD93" s="335"/>
      <c r="AFE93" s="335"/>
      <c r="AFF93" s="335"/>
      <c r="AFG93" s="335"/>
      <c r="AFH93" s="335"/>
      <c r="AFI93" s="335"/>
      <c r="AFJ93" s="335"/>
      <c r="AFK93" s="335"/>
      <c r="AFL93" s="335"/>
      <c r="AFM93" s="335"/>
      <c r="AFN93" s="335"/>
      <c r="AFO93" s="335"/>
      <c r="AFP93" s="335"/>
      <c r="AFQ93" s="335"/>
      <c r="AFR93" s="335"/>
      <c r="AFS93" s="335"/>
      <c r="AFT93" s="335"/>
      <c r="AFU93" s="335"/>
      <c r="AFV93" s="335"/>
      <c r="AFW93" s="335"/>
      <c r="AFX93" s="335"/>
      <c r="AFY93" s="335"/>
      <c r="AFZ93" s="335"/>
      <c r="AGA93" s="335"/>
      <c r="AGB93" s="335"/>
      <c r="AGC93" s="335"/>
      <c r="AGD93" s="335"/>
      <c r="AGE93" s="335"/>
      <c r="AGF93" s="335"/>
      <c r="AGG93" s="335"/>
      <c r="AGH93" s="335"/>
      <c r="AGI93" s="335"/>
      <c r="AGJ93" s="335"/>
      <c r="AGK93" s="335"/>
      <c r="AGL93" s="335"/>
      <c r="AGM93" s="335"/>
      <c r="AGN93" s="335"/>
      <c r="AGO93" s="335"/>
      <c r="AGP93" s="335"/>
      <c r="AGQ93" s="335"/>
      <c r="AGR93" s="335"/>
      <c r="AGS93" s="335"/>
      <c r="AGT93" s="335"/>
      <c r="AGU93" s="335"/>
      <c r="AGV93" s="335"/>
      <c r="AGW93" s="335"/>
      <c r="AGX93" s="335"/>
      <c r="AGY93" s="335"/>
      <c r="AGZ93" s="335"/>
      <c r="AHA93" s="335"/>
      <c r="AHB93" s="335"/>
      <c r="AHC93" s="335"/>
      <c r="AHD93" s="335"/>
      <c r="AHE93" s="335"/>
      <c r="AHF93" s="335"/>
      <c r="AHG93" s="335"/>
      <c r="AHH93" s="335"/>
      <c r="AHI93" s="335"/>
      <c r="AHJ93" s="335"/>
      <c r="AHK93" s="335"/>
      <c r="AHL93" s="335"/>
      <c r="AHM93" s="335"/>
      <c r="AHN93" s="335"/>
      <c r="AHO93" s="335"/>
      <c r="AHP93" s="335"/>
      <c r="AHQ93" s="335"/>
      <c r="AHR93" s="335"/>
      <c r="AHS93" s="335"/>
      <c r="AHT93" s="335"/>
      <c r="AHU93" s="335"/>
      <c r="AHV93" s="335"/>
      <c r="AHW93" s="335"/>
      <c r="AHX93" s="335"/>
      <c r="AHY93" s="335"/>
      <c r="AHZ93" s="335"/>
      <c r="AIA93" s="335"/>
      <c r="AIB93" s="335"/>
    </row>
    <row r="94" spans="2:912" s="172" customFormat="1">
      <c r="B94" s="174"/>
      <c r="ABE94" s="336"/>
      <c r="ABF94" s="335"/>
      <c r="ABG94" s="335"/>
      <c r="ABH94" s="335"/>
      <c r="ABI94" s="335"/>
      <c r="ABJ94" s="335"/>
      <c r="ABK94" s="335"/>
      <c r="ABL94" s="335"/>
      <c r="ABM94" s="335"/>
      <c r="ABN94" s="335"/>
      <c r="ABO94" s="335"/>
      <c r="ABP94" s="335"/>
      <c r="ABQ94" s="335"/>
      <c r="ABR94" s="335"/>
      <c r="ABS94" s="335"/>
      <c r="ABT94" s="335"/>
      <c r="ABU94" s="335"/>
      <c r="ABV94" s="335"/>
      <c r="ABW94" s="335"/>
      <c r="ABX94" s="335"/>
      <c r="ABY94" s="335"/>
      <c r="ABZ94" s="335"/>
      <c r="ACA94" s="335"/>
      <c r="ACB94" s="335"/>
      <c r="ACC94" s="335"/>
      <c r="ACD94" s="335"/>
      <c r="ACE94" s="335"/>
      <c r="ACF94" s="335"/>
      <c r="ACG94" s="335"/>
      <c r="ACH94" s="335"/>
      <c r="ACI94" s="335"/>
      <c r="ACJ94" s="335"/>
      <c r="ACK94" s="335"/>
      <c r="ACL94" s="335"/>
      <c r="ACM94" s="335"/>
      <c r="ACN94" s="335"/>
      <c r="ACO94" s="335"/>
      <c r="ACP94" s="335"/>
      <c r="ACQ94" s="335"/>
      <c r="ACR94" s="335"/>
      <c r="ACS94" s="335"/>
      <c r="ACT94" s="335"/>
      <c r="ACU94" s="335"/>
      <c r="ACV94" s="335"/>
      <c r="ACW94" s="335"/>
      <c r="ACX94" s="335"/>
      <c r="ACY94" s="335"/>
      <c r="ACZ94" s="335"/>
      <c r="ADA94" s="335"/>
      <c r="ADB94" s="335"/>
      <c r="ADC94" s="335"/>
      <c r="ADD94" s="335"/>
      <c r="ADE94" s="335"/>
      <c r="ADF94" s="335"/>
      <c r="ADG94" s="335"/>
      <c r="ADH94" s="335"/>
      <c r="ADI94" s="335"/>
      <c r="ADJ94" s="335"/>
      <c r="ADK94" s="335"/>
      <c r="ADL94" s="335"/>
      <c r="ADM94" s="335"/>
      <c r="ADN94" s="335"/>
      <c r="ADO94" s="335"/>
      <c r="ADP94" s="335"/>
      <c r="ADQ94" s="335"/>
      <c r="ADR94" s="335"/>
      <c r="ADS94" s="335"/>
      <c r="ADT94" s="335"/>
      <c r="ADU94" s="335"/>
      <c r="ADV94" s="335"/>
      <c r="ADW94" s="335"/>
      <c r="ADX94" s="335"/>
      <c r="ADY94" s="335"/>
      <c r="ADZ94" s="335"/>
      <c r="AEA94" s="335"/>
      <c r="AEB94" s="335"/>
      <c r="AEC94" s="335"/>
      <c r="AED94" s="335"/>
      <c r="AEE94" s="335"/>
      <c r="AEF94" s="335"/>
      <c r="AEG94" s="335"/>
      <c r="AEH94" s="335"/>
      <c r="AEI94" s="335"/>
      <c r="AEJ94" s="335"/>
      <c r="AEK94" s="335"/>
      <c r="AEL94" s="335"/>
      <c r="AEM94" s="335"/>
      <c r="AEN94" s="335"/>
      <c r="AEO94" s="335"/>
      <c r="AEP94" s="335"/>
      <c r="AEQ94" s="335"/>
      <c r="AER94" s="335"/>
      <c r="AES94" s="335"/>
      <c r="AET94" s="335"/>
      <c r="AEU94" s="335"/>
      <c r="AEV94" s="335"/>
      <c r="AEW94" s="335"/>
      <c r="AEX94" s="335"/>
      <c r="AEY94" s="335"/>
      <c r="AEZ94" s="335"/>
      <c r="AFA94" s="335"/>
      <c r="AFB94" s="335"/>
      <c r="AFC94" s="335"/>
      <c r="AFD94" s="335"/>
      <c r="AFE94" s="335"/>
      <c r="AFF94" s="335"/>
      <c r="AFG94" s="335"/>
      <c r="AFH94" s="335"/>
      <c r="AFI94" s="335"/>
      <c r="AFJ94" s="335"/>
      <c r="AFK94" s="335"/>
      <c r="AFL94" s="335"/>
      <c r="AFM94" s="335"/>
      <c r="AFN94" s="335"/>
      <c r="AFO94" s="335"/>
      <c r="AFP94" s="335"/>
      <c r="AFQ94" s="335"/>
      <c r="AFR94" s="335"/>
      <c r="AFS94" s="335"/>
      <c r="AFT94" s="335"/>
      <c r="AFU94" s="335"/>
      <c r="AFV94" s="335"/>
      <c r="AFW94" s="335"/>
      <c r="AFX94" s="335"/>
      <c r="AFY94" s="335"/>
      <c r="AFZ94" s="335"/>
      <c r="AGA94" s="335"/>
      <c r="AGB94" s="335"/>
      <c r="AGC94" s="335"/>
      <c r="AGD94" s="335"/>
      <c r="AGE94" s="335"/>
      <c r="AGF94" s="335"/>
      <c r="AGG94" s="335"/>
      <c r="AGH94" s="335"/>
      <c r="AGI94" s="335"/>
      <c r="AGJ94" s="335"/>
      <c r="AGK94" s="335"/>
      <c r="AGL94" s="335"/>
      <c r="AGM94" s="335"/>
      <c r="AGN94" s="335"/>
      <c r="AGO94" s="335"/>
      <c r="AGP94" s="335"/>
      <c r="AGQ94" s="335"/>
      <c r="AGR94" s="335"/>
      <c r="AGS94" s="335"/>
      <c r="AGT94" s="335"/>
      <c r="AGU94" s="335"/>
      <c r="AGV94" s="335"/>
      <c r="AGW94" s="335"/>
      <c r="AGX94" s="335"/>
      <c r="AGY94" s="335"/>
      <c r="AGZ94" s="335"/>
      <c r="AHA94" s="335"/>
      <c r="AHB94" s="335"/>
      <c r="AHC94" s="335"/>
      <c r="AHD94" s="335"/>
      <c r="AHE94" s="335"/>
      <c r="AHF94" s="335"/>
      <c r="AHG94" s="335"/>
      <c r="AHH94" s="335"/>
      <c r="AHI94" s="335"/>
      <c r="AHJ94" s="335"/>
      <c r="AHK94" s="335"/>
      <c r="AHL94" s="335"/>
      <c r="AHM94" s="335"/>
      <c r="AHN94" s="335"/>
      <c r="AHO94" s="335"/>
      <c r="AHP94" s="335"/>
      <c r="AHQ94" s="335"/>
      <c r="AHR94" s="335"/>
      <c r="AHS94" s="335"/>
      <c r="AHT94" s="335"/>
      <c r="AHU94" s="335"/>
      <c r="AHV94" s="335"/>
      <c r="AHW94" s="335"/>
      <c r="AHX94" s="335"/>
      <c r="AHY94" s="335"/>
      <c r="AHZ94" s="335"/>
      <c r="AIA94" s="335"/>
      <c r="AIB94" s="335"/>
    </row>
    <row r="95" spans="2:912" s="172" customFormat="1">
      <c r="B95" s="174"/>
      <c r="ABE95" s="336"/>
      <c r="ABF95" s="335"/>
      <c r="ABG95" s="335"/>
      <c r="ABH95" s="335"/>
      <c r="ABI95" s="335"/>
      <c r="ABJ95" s="335"/>
      <c r="ABK95" s="335"/>
      <c r="ABL95" s="335"/>
      <c r="ABM95" s="335"/>
      <c r="ABN95" s="335"/>
      <c r="ABO95" s="335"/>
      <c r="ABP95" s="335"/>
      <c r="ABQ95" s="335"/>
      <c r="ABR95" s="335"/>
      <c r="ABS95" s="335"/>
      <c r="ABT95" s="335"/>
      <c r="ABU95" s="335"/>
      <c r="ABV95" s="335"/>
      <c r="ABW95" s="335"/>
      <c r="ABX95" s="335"/>
      <c r="ABY95" s="335"/>
      <c r="ABZ95" s="335"/>
      <c r="ACA95" s="335"/>
      <c r="ACB95" s="335"/>
      <c r="ACC95" s="335"/>
      <c r="ACD95" s="335"/>
      <c r="ACE95" s="335"/>
      <c r="ACF95" s="335"/>
      <c r="ACG95" s="335"/>
      <c r="ACH95" s="335"/>
      <c r="ACI95" s="335"/>
      <c r="ACJ95" s="335"/>
      <c r="ACK95" s="335"/>
      <c r="ACL95" s="335"/>
      <c r="ACM95" s="335"/>
      <c r="ACN95" s="335"/>
      <c r="ACO95" s="335"/>
      <c r="ACP95" s="335"/>
      <c r="ACQ95" s="335"/>
      <c r="ACR95" s="335"/>
      <c r="ACS95" s="335"/>
      <c r="ACT95" s="335"/>
      <c r="ACU95" s="335"/>
      <c r="ACV95" s="335"/>
      <c r="ACW95" s="335"/>
      <c r="ACX95" s="335"/>
      <c r="ACY95" s="335"/>
      <c r="ACZ95" s="335"/>
      <c r="ADA95" s="335"/>
      <c r="ADB95" s="335"/>
      <c r="ADC95" s="335"/>
      <c r="ADD95" s="335"/>
      <c r="ADE95" s="335"/>
      <c r="ADF95" s="335"/>
      <c r="ADG95" s="335"/>
      <c r="ADH95" s="335"/>
      <c r="ADI95" s="335"/>
      <c r="ADJ95" s="335"/>
      <c r="ADK95" s="335"/>
      <c r="ADL95" s="335"/>
      <c r="ADM95" s="335"/>
      <c r="ADN95" s="335"/>
      <c r="ADO95" s="335"/>
      <c r="ADP95" s="335"/>
      <c r="ADQ95" s="335"/>
      <c r="ADR95" s="335"/>
      <c r="ADS95" s="335"/>
      <c r="ADT95" s="335"/>
      <c r="ADU95" s="335"/>
      <c r="ADV95" s="335"/>
      <c r="ADW95" s="335"/>
      <c r="ADX95" s="335"/>
      <c r="ADY95" s="335"/>
      <c r="ADZ95" s="335"/>
      <c r="AEA95" s="335"/>
      <c r="AEB95" s="335"/>
      <c r="AEC95" s="335"/>
      <c r="AED95" s="335"/>
      <c r="AEE95" s="335"/>
      <c r="AEF95" s="335"/>
      <c r="AEG95" s="335"/>
      <c r="AEH95" s="335"/>
      <c r="AEI95" s="335"/>
      <c r="AEJ95" s="335"/>
      <c r="AEK95" s="335"/>
      <c r="AEL95" s="335"/>
      <c r="AEM95" s="335"/>
      <c r="AEN95" s="335"/>
      <c r="AEO95" s="335"/>
      <c r="AEP95" s="335"/>
      <c r="AEQ95" s="335"/>
      <c r="AER95" s="335"/>
      <c r="AES95" s="335"/>
      <c r="AET95" s="335"/>
      <c r="AEU95" s="335"/>
      <c r="AEV95" s="335"/>
      <c r="AEW95" s="335"/>
      <c r="AEX95" s="335"/>
      <c r="AEY95" s="335"/>
      <c r="AEZ95" s="335"/>
      <c r="AFA95" s="335"/>
      <c r="AFB95" s="335"/>
      <c r="AFC95" s="335"/>
      <c r="AFD95" s="335"/>
      <c r="AFE95" s="335"/>
      <c r="AFF95" s="335"/>
      <c r="AFG95" s="335"/>
      <c r="AFH95" s="335"/>
      <c r="AFI95" s="335"/>
      <c r="AFJ95" s="335"/>
      <c r="AFK95" s="335"/>
      <c r="AFL95" s="335"/>
      <c r="AFM95" s="335"/>
      <c r="AFN95" s="335"/>
      <c r="AFO95" s="335"/>
      <c r="AFP95" s="335"/>
      <c r="AFQ95" s="335"/>
      <c r="AFR95" s="335"/>
      <c r="AFS95" s="335"/>
      <c r="AFT95" s="335"/>
      <c r="AFU95" s="335"/>
      <c r="AFV95" s="335"/>
      <c r="AFW95" s="335"/>
      <c r="AFX95" s="335"/>
      <c r="AFY95" s="335"/>
      <c r="AFZ95" s="335"/>
      <c r="AGA95" s="335"/>
      <c r="AGB95" s="335"/>
      <c r="AGC95" s="335"/>
      <c r="AGD95" s="335"/>
      <c r="AGE95" s="335"/>
      <c r="AGF95" s="335"/>
      <c r="AGG95" s="335"/>
      <c r="AGH95" s="335"/>
      <c r="AGI95" s="335"/>
      <c r="AGJ95" s="335"/>
      <c r="AGK95" s="335"/>
      <c r="AGL95" s="335"/>
      <c r="AGM95" s="335"/>
      <c r="AGN95" s="335"/>
      <c r="AGO95" s="335"/>
      <c r="AGP95" s="335"/>
      <c r="AGQ95" s="335"/>
      <c r="AGR95" s="335"/>
      <c r="AGS95" s="335"/>
      <c r="AGT95" s="335"/>
      <c r="AGU95" s="335"/>
      <c r="AGV95" s="335"/>
      <c r="AGW95" s="335"/>
      <c r="AGX95" s="335"/>
      <c r="AGY95" s="335"/>
      <c r="AGZ95" s="335"/>
      <c r="AHA95" s="335"/>
      <c r="AHB95" s="335"/>
      <c r="AHC95" s="335"/>
      <c r="AHD95" s="335"/>
      <c r="AHE95" s="335"/>
      <c r="AHF95" s="335"/>
      <c r="AHG95" s="335"/>
      <c r="AHH95" s="335"/>
      <c r="AHI95" s="335"/>
      <c r="AHJ95" s="335"/>
      <c r="AHK95" s="335"/>
      <c r="AHL95" s="335"/>
      <c r="AHM95" s="335"/>
      <c r="AHN95" s="335"/>
      <c r="AHO95" s="335"/>
      <c r="AHP95" s="335"/>
      <c r="AHQ95" s="335"/>
      <c r="AHR95" s="335"/>
      <c r="AHS95" s="335"/>
      <c r="AHT95" s="335"/>
      <c r="AHU95" s="335"/>
      <c r="AHV95" s="335"/>
      <c r="AHW95" s="335"/>
      <c r="AHX95" s="335"/>
      <c r="AHY95" s="335"/>
      <c r="AHZ95" s="335"/>
      <c r="AIA95" s="335"/>
      <c r="AIB95" s="335"/>
    </row>
    <row r="96" spans="2:912" s="172" customFormat="1">
      <c r="B96" s="174"/>
      <c r="ABE96" s="336"/>
      <c r="ABF96" s="335"/>
      <c r="ABG96" s="335"/>
      <c r="ABH96" s="335"/>
      <c r="ABI96" s="335"/>
      <c r="ABJ96" s="335"/>
      <c r="ABK96" s="335"/>
      <c r="ABL96" s="335"/>
      <c r="ABM96" s="335"/>
      <c r="ABN96" s="335"/>
      <c r="ABO96" s="335"/>
      <c r="ABP96" s="335"/>
      <c r="ABQ96" s="335"/>
      <c r="ABR96" s="335"/>
      <c r="ABS96" s="335"/>
      <c r="ABT96" s="335"/>
      <c r="ABU96" s="335"/>
      <c r="ABV96" s="335"/>
      <c r="ABW96" s="335"/>
      <c r="ABX96" s="335"/>
      <c r="ABY96" s="335"/>
      <c r="ABZ96" s="335"/>
      <c r="ACA96" s="335"/>
      <c r="ACB96" s="335"/>
      <c r="ACC96" s="335"/>
      <c r="ACD96" s="335"/>
      <c r="ACE96" s="335"/>
      <c r="ACF96" s="335"/>
      <c r="ACG96" s="335"/>
      <c r="ACH96" s="335"/>
      <c r="ACI96" s="335"/>
      <c r="ACJ96" s="335"/>
      <c r="ACK96" s="335"/>
      <c r="ACL96" s="335"/>
      <c r="ACM96" s="335"/>
      <c r="ACN96" s="335"/>
      <c r="ACO96" s="335"/>
      <c r="ACP96" s="335"/>
      <c r="ACQ96" s="335"/>
      <c r="ACR96" s="335"/>
      <c r="ACS96" s="335"/>
      <c r="ACT96" s="335"/>
      <c r="ACU96" s="335"/>
      <c r="ACV96" s="335"/>
      <c r="ACW96" s="335"/>
      <c r="ACX96" s="335"/>
      <c r="ACY96" s="335"/>
      <c r="ACZ96" s="335"/>
      <c r="ADA96" s="335"/>
      <c r="ADB96" s="335"/>
      <c r="ADC96" s="335"/>
      <c r="ADD96" s="335"/>
      <c r="ADE96" s="335"/>
      <c r="ADF96" s="335"/>
      <c r="ADG96" s="335"/>
      <c r="ADH96" s="335"/>
      <c r="ADI96" s="335"/>
      <c r="ADJ96" s="335"/>
      <c r="ADK96" s="335"/>
      <c r="ADL96" s="335"/>
      <c r="ADM96" s="335"/>
      <c r="ADN96" s="335"/>
      <c r="ADO96" s="335"/>
      <c r="ADP96" s="335"/>
      <c r="ADQ96" s="335"/>
      <c r="ADR96" s="335"/>
      <c r="ADS96" s="335"/>
      <c r="ADT96" s="335"/>
      <c r="ADU96" s="335"/>
      <c r="ADV96" s="335"/>
      <c r="ADW96" s="335"/>
      <c r="ADX96" s="335"/>
      <c r="ADY96" s="335"/>
      <c r="ADZ96" s="335"/>
      <c r="AEA96" s="335"/>
      <c r="AEB96" s="335"/>
      <c r="AEC96" s="335"/>
      <c r="AED96" s="335"/>
      <c r="AEE96" s="335"/>
      <c r="AEF96" s="335"/>
      <c r="AEG96" s="335"/>
      <c r="AEH96" s="335"/>
      <c r="AEI96" s="335"/>
      <c r="AEJ96" s="335"/>
      <c r="AEK96" s="335"/>
      <c r="AEL96" s="335"/>
      <c r="AEM96" s="335"/>
      <c r="AEN96" s="335"/>
      <c r="AEO96" s="335"/>
      <c r="AEP96" s="335"/>
      <c r="AEQ96" s="335"/>
      <c r="AER96" s="335"/>
      <c r="AES96" s="335"/>
      <c r="AET96" s="335"/>
      <c r="AEU96" s="335"/>
      <c r="AEV96" s="335"/>
      <c r="AEW96" s="335"/>
      <c r="AEX96" s="335"/>
      <c r="AEY96" s="335"/>
      <c r="AEZ96" s="335"/>
      <c r="AFA96" s="335"/>
      <c r="AFB96" s="335"/>
      <c r="AFC96" s="335"/>
      <c r="AFD96" s="335"/>
      <c r="AFE96" s="335"/>
      <c r="AFF96" s="335"/>
      <c r="AFG96" s="335"/>
      <c r="AFH96" s="335"/>
      <c r="AFI96" s="335"/>
      <c r="AFJ96" s="335"/>
      <c r="AFK96" s="335"/>
      <c r="AFL96" s="335"/>
      <c r="AFM96" s="335"/>
      <c r="AFN96" s="335"/>
      <c r="AFO96" s="335"/>
      <c r="AFP96" s="335"/>
      <c r="AFQ96" s="335"/>
      <c r="AFR96" s="335"/>
      <c r="AFS96" s="335"/>
      <c r="AFT96" s="335"/>
      <c r="AFU96" s="335"/>
      <c r="AFV96" s="335"/>
      <c r="AFW96" s="335"/>
      <c r="AFX96" s="335"/>
      <c r="AFY96" s="335"/>
      <c r="AFZ96" s="335"/>
      <c r="AGA96" s="335"/>
      <c r="AGB96" s="335"/>
      <c r="AGC96" s="335"/>
      <c r="AGD96" s="335"/>
      <c r="AGE96" s="335"/>
      <c r="AGF96" s="335"/>
      <c r="AGG96" s="335"/>
      <c r="AGH96" s="335"/>
      <c r="AGI96" s="335"/>
      <c r="AGJ96" s="335"/>
      <c r="AGK96" s="335"/>
      <c r="AGL96" s="335"/>
      <c r="AGM96" s="335"/>
      <c r="AGN96" s="335"/>
      <c r="AGO96" s="335"/>
      <c r="AGP96" s="335"/>
      <c r="AGQ96" s="335"/>
      <c r="AGR96" s="335"/>
      <c r="AGS96" s="335"/>
      <c r="AGT96" s="335"/>
      <c r="AGU96" s="335"/>
      <c r="AGV96" s="335"/>
      <c r="AGW96" s="335"/>
      <c r="AGX96" s="335"/>
      <c r="AGY96" s="335"/>
      <c r="AGZ96" s="335"/>
      <c r="AHA96" s="335"/>
      <c r="AHB96" s="335"/>
      <c r="AHC96" s="335"/>
      <c r="AHD96" s="335"/>
      <c r="AHE96" s="335"/>
      <c r="AHF96" s="335"/>
      <c r="AHG96" s="335"/>
      <c r="AHH96" s="335"/>
      <c r="AHI96" s="335"/>
      <c r="AHJ96" s="335"/>
      <c r="AHK96" s="335"/>
      <c r="AHL96" s="335"/>
      <c r="AHM96" s="335"/>
      <c r="AHN96" s="335"/>
      <c r="AHO96" s="335"/>
      <c r="AHP96" s="335"/>
      <c r="AHQ96" s="335"/>
      <c r="AHR96" s="335"/>
      <c r="AHS96" s="335"/>
      <c r="AHT96" s="335"/>
      <c r="AHU96" s="335"/>
      <c r="AHV96" s="335"/>
      <c r="AHW96" s="335"/>
      <c r="AHX96" s="335"/>
      <c r="AHY96" s="335"/>
      <c r="AHZ96" s="335"/>
      <c r="AIA96" s="335"/>
      <c r="AIB96" s="335"/>
    </row>
    <row r="97" spans="2:912" s="172" customFormat="1">
      <c r="B97" s="174"/>
      <c r="ABE97" s="336"/>
      <c r="ABF97" s="335"/>
      <c r="ABG97" s="335"/>
      <c r="ABH97" s="335"/>
      <c r="ABI97" s="335"/>
      <c r="ABJ97" s="335"/>
      <c r="ABK97" s="335"/>
      <c r="ABL97" s="335"/>
      <c r="ABM97" s="335"/>
      <c r="ABN97" s="335"/>
      <c r="ABO97" s="335"/>
      <c r="ABP97" s="335"/>
      <c r="ABQ97" s="335"/>
      <c r="ABR97" s="335"/>
      <c r="ABS97" s="335"/>
      <c r="ABT97" s="335"/>
      <c r="ABU97" s="335"/>
      <c r="ABV97" s="335"/>
      <c r="ABW97" s="335"/>
      <c r="ABX97" s="335"/>
      <c r="ABY97" s="335"/>
      <c r="ABZ97" s="335"/>
      <c r="ACA97" s="335"/>
      <c r="ACB97" s="335"/>
      <c r="ACC97" s="335"/>
      <c r="ACD97" s="335"/>
      <c r="ACE97" s="335"/>
      <c r="ACF97" s="335"/>
      <c r="ACG97" s="335"/>
      <c r="ACH97" s="335"/>
      <c r="ACI97" s="335"/>
      <c r="ACJ97" s="335"/>
      <c r="ACK97" s="335"/>
      <c r="ACL97" s="335"/>
      <c r="ACM97" s="335"/>
      <c r="ACN97" s="335"/>
      <c r="ACO97" s="335"/>
      <c r="ACP97" s="335"/>
      <c r="ACQ97" s="335"/>
      <c r="ACR97" s="335"/>
      <c r="ACS97" s="335"/>
      <c r="ACT97" s="335"/>
      <c r="ACU97" s="335"/>
      <c r="ACV97" s="335"/>
      <c r="ACW97" s="335"/>
      <c r="ACX97" s="335"/>
      <c r="ACY97" s="335"/>
      <c r="ACZ97" s="335"/>
      <c r="ADA97" s="335"/>
      <c r="ADB97" s="335"/>
      <c r="ADC97" s="335"/>
      <c r="ADD97" s="335"/>
      <c r="ADE97" s="335"/>
      <c r="ADF97" s="335"/>
      <c r="ADG97" s="335"/>
      <c r="ADH97" s="335"/>
      <c r="ADI97" s="335"/>
      <c r="ADJ97" s="335"/>
      <c r="ADK97" s="335"/>
      <c r="ADL97" s="335"/>
      <c r="ADM97" s="335"/>
      <c r="ADN97" s="335"/>
      <c r="ADO97" s="335"/>
      <c r="ADP97" s="335"/>
      <c r="ADQ97" s="335"/>
      <c r="ADR97" s="335"/>
      <c r="ADS97" s="335"/>
      <c r="ADT97" s="335"/>
      <c r="ADU97" s="335"/>
      <c r="ADV97" s="335"/>
      <c r="ADW97" s="335"/>
      <c r="ADX97" s="335"/>
      <c r="ADY97" s="335"/>
      <c r="ADZ97" s="335"/>
      <c r="AEA97" s="335"/>
      <c r="AEB97" s="335"/>
      <c r="AEC97" s="335"/>
      <c r="AED97" s="335"/>
      <c r="AEE97" s="335"/>
      <c r="AEF97" s="335"/>
      <c r="AEG97" s="335"/>
      <c r="AEH97" s="335"/>
      <c r="AEI97" s="335"/>
      <c r="AEJ97" s="335"/>
      <c r="AEK97" s="335"/>
      <c r="AEL97" s="335"/>
      <c r="AEM97" s="335"/>
      <c r="AEN97" s="335"/>
      <c r="AEO97" s="335"/>
      <c r="AEP97" s="335"/>
      <c r="AEQ97" s="335"/>
      <c r="AER97" s="335"/>
      <c r="AES97" s="335"/>
      <c r="AET97" s="335"/>
      <c r="AEU97" s="335"/>
      <c r="AEV97" s="335"/>
      <c r="AEW97" s="335"/>
      <c r="AEX97" s="335"/>
      <c r="AEY97" s="335"/>
      <c r="AEZ97" s="335"/>
      <c r="AFA97" s="335"/>
      <c r="AFB97" s="335"/>
      <c r="AFC97" s="335"/>
      <c r="AFD97" s="335"/>
      <c r="AFE97" s="335"/>
      <c r="AFF97" s="335"/>
      <c r="AFG97" s="335"/>
      <c r="AFH97" s="335"/>
      <c r="AFI97" s="335"/>
      <c r="AFJ97" s="335"/>
      <c r="AFK97" s="335"/>
      <c r="AFL97" s="335"/>
      <c r="AFM97" s="335"/>
      <c r="AFN97" s="335"/>
      <c r="AFO97" s="335"/>
      <c r="AFP97" s="335"/>
      <c r="AFQ97" s="335"/>
      <c r="AFR97" s="335"/>
      <c r="AFS97" s="335"/>
      <c r="AFT97" s="335"/>
      <c r="AFU97" s="335"/>
      <c r="AFV97" s="335"/>
      <c r="AFW97" s="335"/>
      <c r="AFX97" s="335"/>
      <c r="AFY97" s="335"/>
      <c r="AFZ97" s="335"/>
      <c r="AGA97" s="335"/>
      <c r="AGB97" s="335"/>
      <c r="AGC97" s="335"/>
      <c r="AGD97" s="335"/>
      <c r="AGE97" s="335"/>
      <c r="AGF97" s="335"/>
      <c r="AGG97" s="335"/>
      <c r="AGH97" s="335"/>
      <c r="AGI97" s="335"/>
      <c r="AGJ97" s="335"/>
      <c r="AGK97" s="335"/>
      <c r="AGL97" s="335"/>
      <c r="AGM97" s="335"/>
      <c r="AGN97" s="335"/>
      <c r="AGO97" s="335"/>
      <c r="AGP97" s="335"/>
      <c r="AGQ97" s="335"/>
      <c r="AGR97" s="335"/>
      <c r="AGS97" s="335"/>
      <c r="AGT97" s="335"/>
      <c r="AGU97" s="335"/>
      <c r="AGV97" s="335"/>
      <c r="AGW97" s="335"/>
      <c r="AGX97" s="335"/>
      <c r="AGY97" s="335"/>
      <c r="AGZ97" s="335"/>
      <c r="AHA97" s="335"/>
      <c r="AHB97" s="335"/>
      <c r="AHC97" s="335"/>
      <c r="AHD97" s="335"/>
      <c r="AHE97" s="335"/>
      <c r="AHF97" s="335"/>
      <c r="AHG97" s="335"/>
      <c r="AHH97" s="335"/>
      <c r="AHI97" s="335"/>
      <c r="AHJ97" s="335"/>
      <c r="AHK97" s="335"/>
      <c r="AHL97" s="335"/>
      <c r="AHM97" s="335"/>
      <c r="AHN97" s="335"/>
      <c r="AHO97" s="335"/>
      <c r="AHP97" s="335"/>
      <c r="AHQ97" s="335"/>
      <c r="AHR97" s="335"/>
      <c r="AHS97" s="335"/>
      <c r="AHT97" s="335"/>
      <c r="AHU97" s="335"/>
      <c r="AHV97" s="335"/>
      <c r="AHW97" s="335"/>
      <c r="AHX97" s="335"/>
      <c r="AHY97" s="335"/>
      <c r="AHZ97" s="335"/>
      <c r="AIA97" s="335"/>
      <c r="AIB97" s="335"/>
    </row>
    <row r="98" spans="2:912" s="172" customFormat="1">
      <c r="B98" s="174"/>
      <c r="ABE98" s="336"/>
      <c r="ABF98" s="335"/>
      <c r="ABG98" s="335"/>
      <c r="ABH98" s="335"/>
      <c r="ABI98" s="335"/>
      <c r="ABJ98" s="335"/>
      <c r="ABK98" s="335"/>
      <c r="ABL98" s="335"/>
      <c r="ABM98" s="335"/>
      <c r="ABN98" s="335"/>
      <c r="ABO98" s="335"/>
      <c r="ABP98" s="335"/>
      <c r="ABQ98" s="335"/>
      <c r="ABR98" s="335"/>
      <c r="ABS98" s="335"/>
      <c r="ABT98" s="335"/>
      <c r="ABU98" s="335"/>
      <c r="ABV98" s="335"/>
      <c r="ABW98" s="335"/>
      <c r="ABX98" s="335"/>
      <c r="ABY98" s="335"/>
      <c r="ABZ98" s="335"/>
      <c r="ACA98" s="335"/>
      <c r="ACB98" s="335"/>
      <c r="ACC98" s="335"/>
      <c r="ACD98" s="335"/>
      <c r="ACE98" s="335"/>
      <c r="ACF98" s="335"/>
      <c r="ACG98" s="335"/>
      <c r="ACH98" s="335"/>
      <c r="ACI98" s="335"/>
      <c r="ACJ98" s="335"/>
      <c r="ACK98" s="335"/>
      <c r="ACL98" s="335"/>
      <c r="ACM98" s="335"/>
      <c r="ACN98" s="335"/>
      <c r="ACO98" s="335"/>
      <c r="ACP98" s="335"/>
      <c r="ACQ98" s="335"/>
      <c r="ACR98" s="335"/>
      <c r="ACS98" s="335"/>
      <c r="ACT98" s="335"/>
      <c r="ACU98" s="335"/>
      <c r="ACV98" s="335"/>
      <c r="ACW98" s="335"/>
      <c r="ACX98" s="335"/>
      <c r="ACY98" s="335"/>
      <c r="ACZ98" s="335"/>
      <c r="ADA98" s="335"/>
      <c r="ADB98" s="335"/>
      <c r="ADC98" s="335"/>
      <c r="ADD98" s="335"/>
      <c r="ADE98" s="335"/>
      <c r="ADF98" s="335"/>
      <c r="ADG98" s="335"/>
      <c r="ADH98" s="335"/>
      <c r="ADI98" s="335"/>
      <c r="ADJ98" s="335"/>
      <c r="ADK98" s="335"/>
      <c r="ADL98" s="335"/>
      <c r="ADM98" s="335"/>
      <c r="ADN98" s="335"/>
      <c r="ADO98" s="335"/>
      <c r="ADP98" s="335"/>
      <c r="ADQ98" s="335"/>
      <c r="ADR98" s="335"/>
      <c r="ADS98" s="335"/>
      <c r="ADT98" s="335"/>
      <c r="ADU98" s="335"/>
      <c r="ADV98" s="335"/>
      <c r="ADW98" s="335"/>
      <c r="ADX98" s="335"/>
      <c r="ADY98" s="335"/>
      <c r="ADZ98" s="335"/>
      <c r="AEA98" s="335"/>
      <c r="AEB98" s="335"/>
      <c r="AEC98" s="335"/>
      <c r="AED98" s="335"/>
      <c r="AEE98" s="335"/>
      <c r="AEF98" s="335"/>
      <c r="AEG98" s="335"/>
      <c r="AEH98" s="335"/>
      <c r="AEI98" s="335"/>
      <c r="AEJ98" s="335"/>
      <c r="AEK98" s="335"/>
      <c r="AEL98" s="335"/>
      <c r="AEM98" s="335"/>
      <c r="AEN98" s="335"/>
      <c r="AEO98" s="335"/>
      <c r="AEP98" s="335"/>
      <c r="AEQ98" s="335"/>
      <c r="AER98" s="335"/>
      <c r="AES98" s="335"/>
      <c r="AET98" s="335"/>
      <c r="AEU98" s="335"/>
      <c r="AEV98" s="335"/>
      <c r="AEW98" s="335"/>
      <c r="AEX98" s="335"/>
      <c r="AEY98" s="335"/>
      <c r="AEZ98" s="335"/>
      <c r="AFA98" s="335"/>
      <c r="AFB98" s="335"/>
      <c r="AFC98" s="335"/>
      <c r="AFD98" s="335"/>
      <c r="AFE98" s="335"/>
      <c r="AFF98" s="335"/>
      <c r="AFG98" s="335"/>
      <c r="AFH98" s="335"/>
      <c r="AFI98" s="335"/>
      <c r="AFJ98" s="335"/>
      <c r="AFK98" s="335"/>
      <c r="AFL98" s="335"/>
      <c r="AFM98" s="335"/>
      <c r="AFN98" s="335"/>
      <c r="AFO98" s="335"/>
      <c r="AFP98" s="335"/>
      <c r="AFQ98" s="335"/>
      <c r="AFR98" s="335"/>
      <c r="AFS98" s="335"/>
      <c r="AFT98" s="335"/>
      <c r="AFU98" s="335"/>
      <c r="AFV98" s="335"/>
      <c r="AFW98" s="335"/>
      <c r="AFX98" s="335"/>
      <c r="AFY98" s="335"/>
      <c r="AFZ98" s="335"/>
      <c r="AGA98" s="335"/>
      <c r="AGB98" s="335"/>
      <c r="AGC98" s="335"/>
      <c r="AGD98" s="335"/>
      <c r="AGE98" s="335"/>
      <c r="AGF98" s="335"/>
      <c r="AGG98" s="335"/>
      <c r="AGH98" s="335"/>
      <c r="AGI98" s="335"/>
      <c r="AGJ98" s="335"/>
      <c r="AGK98" s="335"/>
      <c r="AGL98" s="335"/>
      <c r="AGM98" s="335"/>
      <c r="AGN98" s="335"/>
      <c r="AGO98" s="335"/>
      <c r="AGP98" s="335"/>
      <c r="AGQ98" s="335"/>
      <c r="AGR98" s="335"/>
      <c r="AGS98" s="335"/>
      <c r="AGT98" s="335"/>
      <c r="AGU98" s="335"/>
      <c r="AGV98" s="335"/>
      <c r="AGW98" s="335"/>
      <c r="AGX98" s="335"/>
      <c r="AGY98" s="335"/>
      <c r="AGZ98" s="335"/>
      <c r="AHA98" s="335"/>
      <c r="AHB98" s="335"/>
      <c r="AHC98" s="335"/>
      <c r="AHD98" s="335"/>
      <c r="AHE98" s="335"/>
      <c r="AHF98" s="335"/>
      <c r="AHG98" s="335"/>
      <c r="AHH98" s="335"/>
      <c r="AHI98" s="335"/>
      <c r="AHJ98" s="335"/>
      <c r="AHK98" s="335"/>
      <c r="AHL98" s="335"/>
      <c r="AHM98" s="335"/>
      <c r="AHN98" s="335"/>
      <c r="AHO98" s="335"/>
      <c r="AHP98" s="335"/>
      <c r="AHQ98" s="335"/>
      <c r="AHR98" s="335"/>
      <c r="AHS98" s="335"/>
      <c r="AHT98" s="335"/>
      <c r="AHU98" s="335"/>
      <c r="AHV98" s="335"/>
      <c r="AHW98" s="335"/>
      <c r="AHX98" s="335"/>
      <c r="AHY98" s="335"/>
      <c r="AHZ98" s="335"/>
      <c r="AIA98" s="335"/>
      <c r="AIB98" s="335"/>
    </row>
    <row r="99" spans="2:912" s="172" customFormat="1">
      <c r="B99" s="174"/>
      <c r="ABE99" s="336"/>
      <c r="ABF99" s="335"/>
      <c r="ABG99" s="335"/>
      <c r="ABH99" s="335"/>
      <c r="ABI99" s="335"/>
      <c r="ABJ99" s="335"/>
      <c r="ABK99" s="335"/>
      <c r="ABL99" s="335"/>
      <c r="ABM99" s="335"/>
      <c r="ABN99" s="335"/>
      <c r="ABO99" s="335"/>
      <c r="ABP99" s="335"/>
      <c r="ABQ99" s="335"/>
      <c r="ABR99" s="335"/>
      <c r="ABS99" s="335"/>
      <c r="ABT99" s="335"/>
      <c r="ABU99" s="335"/>
      <c r="ABV99" s="335"/>
      <c r="ABW99" s="335"/>
      <c r="ABX99" s="335"/>
      <c r="ABY99" s="335"/>
      <c r="ABZ99" s="335"/>
      <c r="ACA99" s="335"/>
      <c r="ACB99" s="335"/>
      <c r="ACC99" s="335"/>
      <c r="ACD99" s="335"/>
      <c r="ACE99" s="335"/>
      <c r="ACF99" s="335"/>
      <c r="ACG99" s="335"/>
      <c r="ACH99" s="335"/>
      <c r="ACI99" s="335"/>
      <c r="ACJ99" s="335"/>
      <c r="ACK99" s="335"/>
      <c r="ACL99" s="335"/>
      <c r="ACM99" s="335"/>
      <c r="ACN99" s="335"/>
      <c r="ACO99" s="335"/>
      <c r="ACP99" s="335"/>
      <c r="ACQ99" s="335"/>
      <c r="ACR99" s="335"/>
      <c r="ACS99" s="335"/>
      <c r="ACT99" s="335"/>
      <c r="ACU99" s="335"/>
      <c r="ACV99" s="335"/>
      <c r="ACW99" s="335"/>
      <c r="ACX99" s="335"/>
      <c r="ACY99" s="335"/>
      <c r="ACZ99" s="335"/>
      <c r="ADA99" s="335"/>
      <c r="ADB99" s="335"/>
      <c r="ADC99" s="335"/>
      <c r="ADD99" s="335"/>
      <c r="ADE99" s="335"/>
      <c r="ADF99" s="335"/>
      <c r="ADG99" s="335"/>
      <c r="ADH99" s="335"/>
      <c r="ADI99" s="335"/>
      <c r="ADJ99" s="335"/>
      <c r="ADK99" s="335"/>
      <c r="ADL99" s="335"/>
      <c r="ADM99" s="335"/>
      <c r="ADN99" s="335"/>
      <c r="ADO99" s="335"/>
      <c r="ADP99" s="335"/>
      <c r="ADQ99" s="335"/>
      <c r="ADR99" s="335"/>
      <c r="ADS99" s="335"/>
      <c r="ADT99" s="335"/>
      <c r="ADU99" s="335"/>
      <c r="ADV99" s="335"/>
      <c r="ADW99" s="335"/>
      <c r="ADX99" s="335"/>
      <c r="ADY99" s="335"/>
      <c r="ADZ99" s="335"/>
      <c r="AEA99" s="335"/>
      <c r="AEB99" s="335"/>
      <c r="AEC99" s="335"/>
      <c r="AED99" s="335"/>
      <c r="AEE99" s="335"/>
      <c r="AEF99" s="335"/>
      <c r="AEG99" s="335"/>
      <c r="AEH99" s="335"/>
      <c r="AEI99" s="335"/>
      <c r="AEJ99" s="335"/>
      <c r="AEK99" s="335"/>
      <c r="AEL99" s="335"/>
      <c r="AEM99" s="335"/>
      <c r="AEN99" s="335"/>
      <c r="AEO99" s="335"/>
      <c r="AEP99" s="335"/>
      <c r="AEQ99" s="335"/>
      <c r="AER99" s="335"/>
      <c r="AES99" s="335"/>
      <c r="AET99" s="335"/>
      <c r="AEU99" s="335"/>
      <c r="AEV99" s="335"/>
      <c r="AEW99" s="335"/>
      <c r="AEX99" s="335"/>
      <c r="AEY99" s="335"/>
      <c r="AEZ99" s="335"/>
      <c r="AFA99" s="335"/>
      <c r="AFB99" s="335"/>
      <c r="AFC99" s="335"/>
      <c r="AFD99" s="335"/>
      <c r="AFE99" s="335"/>
      <c r="AFF99" s="335"/>
      <c r="AFG99" s="335"/>
      <c r="AFH99" s="335"/>
      <c r="AFI99" s="335"/>
      <c r="AFJ99" s="335"/>
      <c r="AFK99" s="335"/>
      <c r="AFL99" s="335"/>
      <c r="AFM99" s="335"/>
      <c r="AFN99" s="335"/>
      <c r="AFO99" s="335"/>
      <c r="AFP99" s="335"/>
      <c r="AFQ99" s="335"/>
      <c r="AFR99" s="335"/>
      <c r="AFS99" s="335"/>
      <c r="AFT99" s="335"/>
      <c r="AFU99" s="335"/>
      <c r="AFV99" s="335"/>
      <c r="AFW99" s="335"/>
      <c r="AFX99" s="335"/>
      <c r="AFY99" s="335"/>
      <c r="AFZ99" s="335"/>
      <c r="AGA99" s="335"/>
      <c r="AGB99" s="335"/>
      <c r="AGC99" s="335"/>
      <c r="AGD99" s="335"/>
      <c r="AGE99" s="335"/>
      <c r="AGF99" s="335"/>
      <c r="AGG99" s="335"/>
      <c r="AGH99" s="335"/>
      <c r="AGI99" s="335"/>
      <c r="AGJ99" s="335"/>
      <c r="AGK99" s="335"/>
      <c r="AGL99" s="335"/>
      <c r="AGM99" s="335"/>
      <c r="AGN99" s="335"/>
      <c r="AGO99" s="335"/>
      <c r="AGP99" s="335"/>
      <c r="AGQ99" s="335"/>
      <c r="AGR99" s="335"/>
      <c r="AGS99" s="335"/>
      <c r="AGT99" s="335"/>
      <c r="AGU99" s="335"/>
      <c r="AGV99" s="335"/>
      <c r="AGW99" s="335"/>
      <c r="AGX99" s="335"/>
      <c r="AGY99" s="335"/>
      <c r="AGZ99" s="335"/>
      <c r="AHA99" s="335"/>
      <c r="AHB99" s="335"/>
      <c r="AHC99" s="335"/>
      <c r="AHD99" s="335"/>
      <c r="AHE99" s="335"/>
      <c r="AHF99" s="335"/>
      <c r="AHG99" s="335"/>
      <c r="AHH99" s="335"/>
      <c r="AHI99" s="335"/>
      <c r="AHJ99" s="335"/>
      <c r="AHK99" s="335"/>
      <c r="AHL99" s="335"/>
      <c r="AHM99" s="335"/>
      <c r="AHN99" s="335"/>
      <c r="AHO99" s="335"/>
      <c r="AHP99" s="335"/>
      <c r="AHQ99" s="335"/>
      <c r="AHR99" s="335"/>
      <c r="AHS99" s="335"/>
      <c r="AHT99" s="335"/>
      <c r="AHU99" s="335"/>
      <c r="AHV99" s="335"/>
      <c r="AHW99" s="335"/>
      <c r="AHX99" s="335"/>
      <c r="AHY99" s="335"/>
      <c r="AHZ99" s="335"/>
      <c r="AIA99" s="335"/>
      <c r="AIB99" s="335"/>
    </row>
    <row r="100" spans="2:912" s="172" customFormat="1">
      <c r="B100" s="174"/>
      <c r="ABE100" s="336"/>
      <c r="ABF100" s="335"/>
      <c r="ABG100" s="335"/>
      <c r="ABH100" s="335"/>
      <c r="ABI100" s="335"/>
      <c r="ABJ100" s="335"/>
      <c r="ABK100" s="335"/>
      <c r="ABL100" s="335"/>
      <c r="ABM100" s="335"/>
      <c r="ABN100" s="335"/>
      <c r="ABO100" s="335"/>
      <c r="ABP100" s="335"/>
      <c r="ABQ100" s="335"/>
      <c r="ABR100" s="335"/>
      <c r="ABS100" s="335"/>
      <c r="ABT100" s="335"/>
      <c r="ABU100" s="335"/>
      <c r="ABV100" s="335"/>
      <c r="ABW100" s="335"/>
      <c r="ABX100" s="335"/>
      <c r="ABY100" s="335"/>
      <c r="ABZ100" s="335"/>
      <c r="ACA100" s="335"/>
      <c r="ACB100" s="335"/>
      <c r="ACC100" s="335"/>
      <c r="ACD100" s="335"/>
      <c r="ACE100" s="335"/>
      <c r="ACF100" s="335"/>
      <c r="ACG100" s="335"/>
      <c r="ACH100" s="335"/>
      <c r="ACI100" s="335"/>
      <c r="ACJ100" s="335"/>
      <c r="ACK100" s="335"/>
      <c r="ACL100" s="335"/>
      <c r="ACM100" s="335"/>
      <c r="ACN100" s="335"/>
      <c r="ACO100" s="335"/>
      <c r="ACP100" s="335"/>
      <c r="ACQ100" s="335"/>
      <c r="ACR100" s="335"/>
      <c r="ACS100" s="335"/>
      <c r="ACT100" s="335"/>
      <c r="ACU100" s="335"/>
      <c r="ACV100" s="335"/>
      <c r="ACW100" s="335"/>
      <c r="ACX100" s="335"/>
      <c r="ACY100" s="335"/>
      <c r="ACZ100" s="335"/>
      <c r="ADA100" s="335"/>
      <c r="ADB100" s="335"/>
      <c r="ADC100" s="335"/>
      <c r="ADD100" s="335"/>
      <c r="ADE100" s="335"/>
      <c r="ADF100" s="335"/>
      <c r="ADG100" s="335"/>
      <c r="ADH100" s="335"/>
      <c r="ADI100" s="335"/>
      <c r="ADJ100" s="335"/>
      <c r="ADK100" s="335"/>
      <c r="ADL100" s="335"/>
      <c r="ADM100" s="335"/>
      <c r="ADN100" s="335"/>
      <c r="ADO100" s="335"/>
      <c r="ADP100" s="335"/>
      <c r="ADQ100" s="335"/>
      <c r="ADR100" s="335"/>
      <c r="ADS100" s="335"/>
      <c r="ADT100" s="335"/>
      <c r="ADU100" s="335"/>
      <c r="ADV100" s="335"/>
      <c r="ADW100" s="335"/>
      <c r="ADX100" s="335"/>
      <c r="ADY100" s="335"/>
      <c r="ADZ100" s="335"/>
      <c r="AEA100" s="335"/>
      <c r="AEB100" s="335"/>
      <c r="AEC100" s="335"/>
      <c r="AED100" s="335"/>
      <c r="AEE100" s="335"/>
      <c r="AEF100" s="335"/>
      <c r="AEG100" s="335"/>
      <c r="AEH100" s="335"/>
      <c r="AEI100" s="335"/>
      <c r="AEJ100" s="335"/>
      <c r="AEK100" s="335"/>
      <c r="AEL100" s="335"/>
      <c r="AEM100" s="335"/>
      <c r="AEN100" s="335"/>
      <c r="AEO100" s="335"/>
      <c r="AEP100" s="335"/>
      <c r="AEQ100" s="335"/>
      <c r="AER100" s="335"/>
      <c r="AES100" s="335"/>
      <c r="AET100" s="335"/>
      <c r="AEU100" s="335"/>
      <c r="AEV100" s="335"/>
      <c r="AEW100" s="335"/>
      <c r="AEX100" s="335"/>
      <c r="AEY100" s="335"/>
      <c r="AEZ100" s="335"/>
      <c r="AFA100" s="335"/>
      <c r="AFB100" s="335"/>
      <c r="AFC100" s="335"/>
      <c r="AFD100" s="335"/>
      <c r="AFE100" s="335"/>
      <c r="AFF100" s="335"/>
      <c r="AFG100" s="335"/>
      <c r="AFH100" s="335"/>
      <c r="AFI100" s="335"/>
      <c r="AFJ100" s="335"/>
      <c r="AFK100" s="335"/>
      <c r="AFL100" s="335"/>
      <c r="AFM100" s="335"/>
      <c r="AFN100" s="335"/>
      <c r="AFO100" s="335"/>
      <c r="AFP100" s="335"/>
      <c r="AFQ100" s="335"/>
      <c r="AFR100" s="335"/>
      <c r="AFS100" s="335"/>
      <c r="AFT100" s="335"/>
      <c r="AFU100" s="335"/>
      <c r="AFV100" s="335"/>
      <c r="AFW100" s="335"/>
      <c r="AFX100" s="335"/>
      <c r="AFY100" s="335"/>
      <c r="AFZ100" s="335"/>
      <c r="AGA100" s="335"/>
      <c r="AGB100" s="335"/>
      <c r="AGC100" s="335"/>
      <c r="AGD100" s="335"/>
      <c r="AGE100" s="335"/>
      <c r="AGF100" s="335"/>
      <c r="AGG100" s="335"/>
      <c r="AGH100" s="335"/>
      <c r="AGI100" s="335"/>
      <c r="AGJ100" s="335"/>
      <c r="AGK100" s="335"/>
      <c r="AGL100" s="335"/>
      <c r="AGM100" s="335"/>
      <c r="AGN100" s="335"/>
      <c r="AGO100" s="335"/>
      <c r="AGP100" s="335"/>
      <c r="AGQ100" s="335"/>
      <c r="AGR100" s="335"/>
      <c r="AGS100" s="335"/>
      <c r="AGT100" s="335"/>
      <c r="AGU100" s="335"/>
      <c r="AGV100" s="335"/>
      <c r="AGW100" s="335"/>
      <c r="AGX100" s="335"/>
      <c r="AGY100" s="335"/>
      <c r="AGZ100" s="335"/>
      <c r="AHA100" s="335"/>
      <c r="AHB100" s="335"/>
      <c r="AHC100" s="335"/>
      <c r="AHD100" s="335"/>
      <c r="AHE100" s="335"/>
      <c r="AHF100" s="335"/>
      <c r="AHG100" s="335"/>
      <c r="AHH100" s="335"/>
      <c r="AHI100" s="335"/>
      <c r="AHJ100" s="335"/>
      <c r="AHK100" s="335"/>
      <c r="AHL100" s="335"/>
      <c r="AHM100" s="335"/>
      <c r="AHN100" s="335"/>
      <c r="AHO100" s="335"/>
      <c r="AHP100" s="335"/>
      <c r="AHQ100" s="335"/>
      <c r="AHR100" s="335"/>
      <c r="AHS100" s="335"/>
      <c r="AHT100" s="335"/>
      <c r="AHU100" s="335"/>
      <c r="AHV100" s="335"/>
      <c r="AHW100" s="335"/>
      <c r="AHX100" s="335"/>
      <c r="AHY100" s="335"/>
      <c r="AHZ100" s="335"/>
      <c r="AIA100" s="335"/>
      <c r="AIB100" s="335"/>
    </row>
    <row r="101" spans="2:912" s="172" customFormat="1">
      <c r="B101" s="174"/>
      <c r="ABE101" s="336"/>
      <c r="ABF101" s="335"/>
      <c r="ABG101" s="335"/>
      <c r="ABH101" s="335"/>
      <c r="ABI101" s="335"/>
      <c r="ABJ101" s="335"/>
      <c r="ABK101" s="335"/>
      <c r="ABL101" s="335"/>
      <c r="ABM101" s="335"/>
      <c r="ABN101" s="335"/>
      <c r="ABO101" s="335"/>
      <c r="ABP101" s="335"/>
      <c r="ABQ101" s="335"/>
      <c r="ABR101" s="335"/>
      <c r="ABS101" s="335"/>
      <c r="ABT101" s="335"/>
      <c r="ABU101" s="335"/>
      <c r="ABV101" s="335"/>
      <c r="ABW101" s="335"/>
      <c r="ABX101" s="335"/>
      <c r="ABY101" s="335"/>
      <c r="ABZ101" s="335"/>
      <c r="ACA101" s="335"/>
      <c r="ACB101" s="335"/>
      <c r="ACC101" s="335"/>
      <c r="ACD101" s="335"/>
      <c r="ACE101" s="335"/>
      <c r="ACF101" s="335"/>
      <c r="ACG101" s="335"/>
      <c r="ACH101" s="335"/>
      <c r="ACI101" s="335"/>
      <c r="ACJ101" s="335"/>
      <c r="ACK101" s="335"/>
      <c r="ACL101" s="335"/>
      <c r="ACM101" s="335"/>
      <c r="ACN101" s="335"/>
      <c r="ACO101" s="335"/>
      <c r="ACP101" s="335"/>
      <c r="ACQ101" s="335"/>
      <c r="ACR101" s="335"/>
      <c r="ACS101" s="335"/>
      <c r="ACT101" s="335"/>
      <c r="ACU101" s="335"/>
      <c r="ACV101" s="335"/>
      <c r="ACW101" s="335"/>
      <c r="ACX101" s="335"/>
      <c r="ACY101" s="335"/>
      <c r="ACZ101" s="335"/>
      <c r="ADA101" s="335"/>
      <c r="ADB101" s="335"/>
      <c r="ADC101" s="335"/>
      <c r="ADD101" s="335"/>
      <c r="ADE101" s="335"/>
      <c r="ADF101" s="335"/>
      <c r="ADG101" s="335"/>
      <c r="ADH101" s="335"/>
      <c r="ADI101" s="335"/>
      <c r="ADJ101" s="335"/>
      <c r="ADK101" s="335"/>
      <c r="ADL101" s="335"/>
      <c r="ADM101" s="335"/>
      <c r="ADN101" s="335"/>
      <c r="ADO101" s="335"/>
      <c r="ADP101" s="335"/>
      <c r="ADQ101" s="335"/>
      <c r="ADR101" s="335"/>
      <c r="ADS101" s="335"/>
      <c r="ADT101" s="335"/>
      <c r="ADU101" s="335"/>
      <c r="ADV101" s="335"/>
      <c r="ADW101" s="335"/>
      <c r="ADX101" s="335"/>
      <c r="ADY101" s="335"/>
      <c r="ADZ101" s="335"/>
      <c r="AEA101" s="335"/>
      <c r="AEB101" s="335"/>
      <c r="AEC101" s="335"/>
      <c r="AED101" s="335"/>
      <c r="AEE101" s="335"/>
      <c r="AEF101" s="335"/>
      <c r="AEG101" s="335"/>
      <c r="AEH101" s="335"/>
      <c r="AEI101" s="335"/>
      <c r="AEJ101" s="335"/>
      <c r="AEK101" s="335"/>
      <c r="AEL101" s="335"/>
      <c r="AEM101" s="335"/>
      <c r="AEN101" s="335"/>
      <c r="AEO101" s="335"/>
      <c r="AEP101" s="335"/>
      <c r="AEQ101" s="335"/>
      <c r="AER101" s="335"/>
      <c r="AES101" s="335"/>
      <c r="AET101" s="335"/>
      <c r="AEU101" s="335"/>
      <c r="AEV101" s="335"/>
      <c r="AEW101" s="335"/>
      <c r="AEX101" s="335"/>
      <c r="AEY101" s="335"/>
      <c r="AEZ101" s="335"/>
      <c r="AFA101" s="335"/>
      <c r="AFB101" s="335"/>
      <c r="AFC101" s="335"/>
      <c r="AFD101" s="335"/>
      <c r="AFE101" s="335"/>
      <c r="AFF101" s="335"/>
      <c r="AFG101" s="335"/>
      <c r="AFH101" s="335"/>
      <c r="AFI101" s="335"/>
      <c r="AFJ101" s="335"/>
      <c r="AFK101" s="335"/>
      <c r="AFL101" s="335"/>
      <c r="AFM101" s="335"/>
      <c r="AFN101" s="335"/>
      <c r="AFO101" s="335"/>
      <c r="AFP101" s="335"/>
      <c r="AFQ101" s="335"/>
      <c r="AFR101" s="335"/>
      <c r="AFS101" s="335"/>
      <c r="AFT101" s="335"/>
      <c r="AFU101" s="335"/>
      <c r="AFV101" s="335"/>
      <c r="AFW101" s="335"/>
      <c r="AFX101" s="335"/>
      <c r="AFY101" s="335"/>
      <c r="AFZ101" s="335"/>
      <c r="AGA101" s="335"/>
      <c r="AGB101" s="335"/>
      <c r="AGC101" s="335"/>
      <c r="AGD101" s="335"/>
      <c r="AGE101" s="335"/>
      <c r="AGF101" s="335"/>
      <c r="AGG101" s="335"/>
      <c r="AGH101" s="335"/>
      <c r="AGI101" s="335"/>
      <c r="AGJ101" s="335"/>
      <c r="AGK101" s="335"/>
      <c r="AGL101" s="335"/>
      <c r="AGM101" s="335"/>
      <c r="AGN101" s="335"/>
      <c r="AGO101" s="335"/>
      <c r="AGP101" s="335"/>
      <c r="AGQ101" s="335"/>
      <c r="AGR101" s="335"/>
      <c r="AGS101" s="335"/>
      <c r="AGT101" s="335"/>
      <c r="AGU101" s="335"/>
      <c r="AGV101" s="335"/>
      <c r="AGW101" s="335"/>
      <c r="AGX101" s="335"/>
      <c r="AGY101" s="335"/>
      <c r="AGZ101" s="335"/>
      <c r="AHA101" s="335"/>
      <c r="AHB101" s="335"/>
      <c r="AHC101" s="335"/>
      <c r="AHD101" s="335"/>
      <c r="AHE101" s="335"/>
      <c r="AHF101" s="335"/>
      <c r="AHG101" s="335"/>
      <c r="AHH101" s="335"/>
      <c r="AHI101" s="335"/>
      <c r="AHJ101" s="335"/>
      <c r="AHK101" s="335"/>
      <c r="AHL101" s="335"/>
      <c r="AHM101" s="335"/>
      <c r="AHN101" s="335"/>
      <c r="AHO101" s="335"/>
      <c r="AHP101" s="335"/>
      <c r="AHQ101" s="335"/>
      <c r="AHR101" s="335"/>
      <c r="AHS101" s="335"/>
      <c r="AHT101" s="335"/>
      <c r="AHU101" s="335"/>
      <c r="AHV101" s="335"/>
      <c r="AHW101" s="335"/>
      <c r="AHX101" s="335"/>
      <c r="AHY101" s="335"/>
      <c r="AHZ101" s="335"/>
      <c r="AIA101" s="335"/>
      <c r="AIB101" s="335"/>
    </row>
    <row r="102" spans="2:912" s="172" customFormat="1">
      <c r="B102" s="174"/>
      <c r="ABE102" s="336"/>
      <c r="ABF102" s="335"/>
      <c r="ABG102" s="335"/>
      <c r="ABH102" s="335"/>
      <c r="ABI102" s="335"/>
      <c r="ABJ102" s="335"/>
      <c r="ABK102" s="335"/>
      <c r="ABL102" s="335"/>
      <c r="ABM102" s="335"/>
      <c r="ABN102" s="335"/>
      <c r="ABO102" s="335"/>
      <c r="ABP102" s="335"/>
      <c r="ABQ102" s="335"/>
      <c r="ABR102" s="335"/>
      <c r="ABS102" s="335"/>
      <c r="ABT102" s="335"/>
      <c r="ABU102" s="335"/>
      <c r="ABV102" s="335"/>
      <c r="ABW102" s="335"/>
      <c r="ABX102" s="335"/>
      <c r="ABY102" s="335"/>
      <c r="ABZ102" s="335"/>
      <c r="ACA102" s="335"/>
      <c r="ACB102" s="335"/>
      <c r="ACC102" s="335"/>
      <c r="ACD102" s="335"/>
      <c r="ACE102" s="335"/>
      <c r="ACF102" s="335"/>
      <c r="ACG102" s="335"/>
      <c r="ACH102" s="335"/>
      <c r="ACI102" s="335"/>
      <c r="ACJ102" s="335"/>
      <c r="ACK102" s="335"/>
      <c r="ACL102" s="335"/>
      <c r="ACM102" s="335"/>
      <c r="ACN102" s="335"/>
      <c r="ACO102" s="335"/>
      <c r="ACP102" s="335"/>
      <c r="ACQ102" s="335"/>
      <c r="ACR102" s="335"/>
      <c r="ACS102" s="335"/>
      <c r="ACT102" s="335"/>
      <c r="ACU102" s="335"/>
      <c r="ACV102" s="335"/>
      <c r="ACW102" s="335"/>
      <c r="ACX102" s="335"/>
      <c r="ACY102" s="335"/>
      <c r="ACZ102" s="335"/>
      <c r="ADA102" s="335"/>
      <c r="ADB102" s="335"/>
      <c r="ADC102" s="335"/>
      <c r="ADD102" s="335"/>
      <c r="ADE102" s="335"/>
      <c r="ADF102" s="335"/>
      <c r="ADG102" s="335"/>
      <c r="ADH102" s="335"/>
      <c r="ADI102" s="335"/>
      <c r="ADJ102" s="335"/>
      <c r="ADK102" s="335"/>
      <c r="ADL102" s="335"/>
      <c r="ADM102" s="335"/>
      <c r="ADN102" s="335"/>
      <c r="ADO102" s="335"/>
      <c r="ADP102" s="335"/>
      <c r="ADQ102" s="335"/>
      <c r="ADR102" s="335"/>
      <c r="ADS102" s="335"/>
      <c r="ADT102" s="335"/>
      <c r="ADU102" s="335"/>
      <c r="ADV102" s="335"/>
      <c r="ADW102" s="335"/>
      <c r="ADX102" s="335"/>
      <c r="ADY102" s="335"/>
      <c r="ADZ102" s="335"/>
      <c r="AEA102" s="335"/>
      <c r="AEB102" s="335"/>
      <c r="AEC102" s="335"/>
      <c r="AED102" s="335"/>
      <c r="AEE102" s="335"/>
      <c r="AEF102" s="335"/>
      <c r="AEG102" s="335"/>
      <c r="AEH102" s="335"/>
      <c r="AEI102" s="335"/>
      <c r="AEJ102" s="335"/>
      <c r="AEK102" s="335"/>
      <c r="AEL102" s="335"/>
      <c r="AEM102" s="335"/>
      <c r="AEN102" s="335"/>
      <c r="AEO102" s="335"/>
      <c r="AEP102" s="335"/>
      <c r="AEQ102" s="335"/>
      <c r="AER102" s="335"/>
      <c r="AES102" s="335"/>
      <c r="AET102" s="335"/>
      <c r="AEU102" s="335"/>
      <c r="AEV102" s="335"/>
      <c r="AEW102" s="335"/>
      <c r="AEX102" s="335"/>
      <c r="AEY102" s="335"/>
      <c r="AEZ102" s="335"/>
      <c r="AFA102" s="335"/>
      <c r="AFB102" s="335"/>
      <c r="AFC102" s="335"/>
      <c r="AFD102" s="335"/>
      <c r="AFE102" s="335"/>
      <c r="AFF102" s="335"/>
      <c r="AFG102" s="335"/>
      <c r="AFH102" s="335"/>
      <c r="AFI102" s="335"/>
      <c r="AFJ102" s="335"/>
      <c r="AFK102" s="335"/>
      <c r="AFL102" s="335"/>
      <c r="AFM102" s="335"/>
      <c r="AFN102" s="335"/>
      <c r="AFO102" s="335"/>
      <c r="AFP102" s="335"/>
      <c r="AFQ102" s="335"/>
      <c r="AFR102" s="335"/>
      <c r="AFS102" s="335"/>
      <c r="AFT102" s="335"/>
      <c r="AFU102" s="335"/>
      <c r="AFV102" s="335"/>
      <c r="AFW102" s="335"/>
      <c r="AFX102" s="335"/>
      <c r="AFY102" s="335"/>
      <c r="AFZ102" s="335"/>
      <c r="AGA102" s="335"/>
      <c r="AGB102" s="335"/>
      <c r="AGC102" s="335"/>
      <c r="AGD102" s="335"/>
      <c r="AGE102" s="335"/>
      <c r="AGF102" s="335"/>
      <c r="AGG102" s="335"/>
      <c r="AGH102" s="335"/>
      <c r="AGI102" s="335"/>
      <c r="AGJ102" s="335"/>
      <c r="AGK102" s="335"/>
      <c r="AGL102" s="335"/>
      <c r="AGM102" s="335"/>
      <c r="AGN102" s="335"/>
      <c r="AGO102" s="335"/>
      <c r="AGP102" s="335"/>
      <c r="AGQ102" s="335"/>
      <c r="AGR102" s="335"/>
      <c r="AGS102" s="335"/>
      <c r="AGT102" s="335"/>
      <c r="AGU102" s="335"/>
      <c r="AGV102" s="335"/>
      <c r="AGW102" s="335"/>
      <c r="AGX102" s="335"/>
      <c r="AGY102" s="335"/>
      <c r="AGZ102" s="335"/>
      <c r="AHA102" s="335"/>
      <c r="AHB102" s="335"/>
      <c r="AHC102" s="335"/>
      <c r="AHD102" s="335"/>
      <c r="AHE102" s="335"/>
      <c r="AHF102" s="335"/>
      <c r="AHG102" s="335"/>
      <c r="AHH102" s="335"/>
      <c r="AHI102" s="335"/>
      <c r="AHJ102" s="335"/>
      <c r="AHK102" s="335"/>
      <c r="AHL102" s="335"/>
      <c r="AHM102" s="335"/>
      <c r="AHN102" s="335"/>
      <c r="AHO102" s="335"/>
      <c r="AHP102" s="335"/>
      <c r="AHQ102" s="335"/>
      <c r="AHR102" s="335"/>
      <c r="AHS102" s="335"/>
      <c r="AHT102" s="335"/>
      <c r="AHU102" s="335"/>
      <c r="AHV102" s="335"/>
      <c r="AHW102" s="335"/>
      <c r="AHX102" s="335"/>
      <c r="AHY102" s="335"/>
      <c r="AHZ102" s="335"/>
      <c r="AIA102" s="335"/>
      <c r="AIB102" s="335"/>
    </row>
    <row r="103" spans="2:912" s="172" customFormat="1">
      <c r="B103" s="174"/>
      <c r="ABE103" s="336"/>
      <c r="ABF103" s="335"/>
      <c r="ABG103" s="335"/>
      <c r="ABH103" s="335"/>
      <c r="ABI103" s="335"/>
      <c r="ABJ103" s="335"/>
      <c r="ABK103" s="335"/>
      <c r="ABL103" s="335"/>
      <c r="ABM103" s="335"/>
      <c r="ABN103" s="335"/>
      <c r="ABO103" s="335"/>
      <c r="ABP103" s="335"/>
      <c r="ABQ103" s="335"/>
      <c r="ABR103" s="335"/>
      <c r="ABS103" s="335"/>
      <c r="ABT103" s="335"/>
      <c r="ABU103" s="335"/>
      <c r="ABV103" s="335"/>
      <c r="ABW103" s="335"/>
      <c r="ABX103" s="335"/>
      <c r="ABY103" s="335"/>
      <c r="ABZ103" s="335"/>
      <c r="ACA103" s="335"/>
      <c r="ACB103" s="335"/>
      <c r="ACC103" s="335"/>
      <c r="ACD103" s="335"/>
      <c r="ACE103" s="335"/>
      <c r="ACF103" s="335"/>
      <c r="ACG103" s="335"/>
      <c r="ACH103" s="335"/>
      <c r="ACI103" s="335"/>
      <c r="ACJ103" s="335"/>
      <c r="ACK103" s="335"/>
      <c r="ACL103" s="335"/>
      <c r="ACM103" s="335"/>
      <c r="ACN103" s="335"/>
      <c r="ACO103" s="335"/>
      <c r="ACP103" s="335"/>
      <c r="ACQ103" s="335"/>
      <c r="ACR103" s="335"/>
      <c r="ACS103" s="335"/>
      <c r="ACT103" s="335"/>
      <c r="ACU103" s="335"/>
      <c r="ACV103" s="335"/>
      <c r="ACW103" s="335"/>
      <c r="ACX103" s="335"/>
      <c r="ACY103" s="335"/>
      <c r="ACZ103" s="335"/>
      <c r="ADA103" s="335"/>
      <c r="ADB103" s="335"/>
      <c r="ADC103" s="335"/>
      <c r="ADD103" s="335"/>
      <c r="ADE103" s="335"/>
      <c r="ADF103" s="335"/>
      <c r="ADG103" s="335"/>
      <c r="ADH103" s="335"/>
      <c r="ADI103" s="335"/>
      <c r="ADJ103" s="335"/>
      <c r="ADK103" s="335"/>
      <c r="ADL103" s="335"/>
      <c r="ADM103" s="335"/>
      <c r="ADN103" s="335"/>
      <c r="ADO103" s="335"/>
      <c r="ADP103" s="335"/>
      <c r="ADQ103" s="335"/>
      <c r="ADR103" s="335"/>
      <c r="ADS103" s="335"/>
      <c r="ADT103" s="335"/>
      <c r="ADU103" s="335"/>
      <c r="ADV103" s="335"/>
      <c r="ADW103" s="335"/>
      <c r="ADX103" s="335"/>
      <c r="ADY103" s="335"/>
      <c r="ADZ103" s="335"/>
      <c r="AEA103" s="335"/>
      <c r="AEB103" s="335"/>
      <c r="AEC103" s="335"/>
      <c r="AED103" s="335"/>
      <c r="AEE103" s="335"/>
      <c r="AEF103" s="335"/>
      <c r="AEG103" s="335"/>
      <c r="AEH103" s="335"/>
      <c r="AEI103" s="335"/>
      <c r="AEJ103" s="335"/>
      <c r="AEK103" s="335"/>
      <c r="AEL103" s="335"/>
      <c r="AEM103" s="335"/>
      <c r="AEN103" s="335"/>
      <c r="AEO103" s="335"/>
      <c r="AEP103" s="335"/>
      <c r="AEQ103" s="335"/>
      <c r="AER103" s="335"/>
      <c r="AES103" s="335"/>
      <c r="AET103" s="335"/>
      <c r="AEU103" s="335"/>
      <c r="AEV103" s="335"/>
      <c r="AEW103" s="335"/>
      <c r="AEX103" s="335"/>
      <c r="AEY103" s="335"/>
      <c r="AEZ103" s="335"/>
      <c r="AFA103" s="335"/>
      <c r="AFB103" s="335"/>
      <c r="AFC103" s="335"/>
      <c r="AFD103" s="335"/>
      <c r="AFE103" s="335"/>
      <c r="AFF103" s="335"/>
      <c r="AFG103" s="335"/>
      <c r="AFH103" s="335"/>
      <c r="AFI103" s="335"/>
      <c r="AFJ103" s="335"/>
      <c r="AFK103" s="335"/>
      <c r="AFL103" s="335"/>
      <c r="AFM103" s="335"/>
      <c r="AFN103" s="335"/>
      <c r="AFO103" s="335"/>
      <c r="AFP103" s="335"/>
      <c r="AFQ103" s="335"/>
      <c r="AFR103" s="335"/>
      <c r="AFS103" s="335"/>
      <c r="AFT103" s="335"/>
      <c r="AFU103" s="335"/>
      <c r="AFV103" s="335"/>
      <c r="AFW103" s="335"/>
      <c r="AFX103" s="335"/>
      <c r="AFY103" s="335"/>
      <c r="AFZ103" s="335"/>
      <c r="AGA103" s="335"/>
      <c r="AGB103" s="335"/>
      <c r="AGC103" s="335"/>
      <c r="AGD103" s="335"/>
      <c r="AGE103" s="335"/>
      <c r="AGF103" s="335"/>
      <c r="AGG103" s="335"/>
      <c r="AGH103" s="335"/>
      <c r="AGI103" s="335"/>
      <c r="AGJ103" s="335"/>
      <c r="AGK103" s="335"/>
      <c r="AGL103" s="335"/>
      <c r="AGM103" s="335"/>
      <c r="AGN103" s="335"/>
      <c r="AGO103" s="335"/>
      <c r="AGP103" s="335"/>
      <c r="AGQ103" s="335"/>
      <c r="AGR103" s="335"/>
      <c r="AGS103" s="335"/>
      <c r="AGT103" s="335"/>
      <c r="AGU103" s="335"/>
      <c r="AGV103" s="335"/>
      <c r="AGW103" s="335"/>
      <c r="AGX103" s="335"/>
      <c r="AGY103" s="335"/>
      <c r="AGZ103" s="335"/>
      <c r="AHA103" s="335"/>
      <c r="AHB103" s="335"/>
      <c r="AHC103" s="335"/>
      <c r="AHD103" s="335"/>
      <c r="AHE103" s="335"/>
      <c r="AHF103" s="335"/>
      <c r="AHG103" s="335"/>
      <c r="AHH103" s="335"/>
      <c r="AHI103" s="335"/>
      <c r="AHJ103" s="335"/>
      <c r="AHK103" s="335"/>
      <c r="AHL103" s="335"/>
      <c r="AHM103" s="335"/>
      <c r="AHN103" s="335"/>
      <c r="AHO103" s="335"/>
      <c r="AHP103" s="335"/>
      <c r="AHQ103" s="335"/>
      <c r="AHR103" s="335"/>
      <c r="AHS103" s="335"/>
      <c r="AHT103" s="335"/>
      <c r="AHU103" s="335"/>
      <c r="AHV103" s="335"/>
      <c r="AHW103" s="335"/>
      <c r="AHX103" s="335"/>
      <c r="AHY103" s="335"/>
      <c r="AHZ103" s="335"/>
      <c r="AIA103" s="335"/>
      <c r="AIB103" s="335"/>
    </row>
    <row r="104" spans="2:912" s="172" customFormat="1">
      <c r="B104" s="174"/>
      <c r="ABE104" s="336"/>
      <c r="ABF104" s="335"/>
      <c r="ABG104" s="335"/>
      <c r="ABH104" s="335"/>
      <c r="ABI104" s="335"/>
      <c r="ABJ104" s="335"/>
      <c r="ABK104" s="335"/>
      <c r="ABL104" s="335"/>
      <c r="ABM104" s="335"/>
      <c r="ABN104" s="335"/>
      <c r="ABO104" s="335"/>
      <c r="ABP104" s="335"/>
      <c r="ABQ104" s="335"/>
      <c r="ABR104" s="335"/>
      <c r="ABS104" s="335"/>
      <c r="ABT104" s="335"/>
      <c r="ABU104" s="335"/>
      <c r="ABV104" s="335"/>
      <c r="ABW104" s="335"/>
      <c r="ABX104" s="335"/>
      <c r="ABY104" s="335"/>
      <c r="ABZ104" s="335"/>
      <c r="ACA104" s="335"/>
      <c r="ACB104" s="335"/>
      <c r="ACC104" s="335"/>
      <c r="ACD104" s="335"/>
      <c r="ACE104" s="335"/>
      <c r="ACF104" s="335"/>
      <c r="ACG104" s="335"/>
      <c r="ACH104" s="335"/>
      <c r="ACI104" s="335"/>
      <c r="ACJ104" s="335"/>
      <c r="ACK104" s="335"/>
      <c r="ACL104" s="335"/>
      <c r="ACM104" s="335"/>
      <c r="ACN104" s="335"/>
      <c r="ACO104" s="335"/>
      <c r="ACP104" s="335"/>
      <c r="ACQ104" s="335"/>
      <c r="ACR104" s="335"/>
      <c r="ACS104" s="335"/>
      <c r="ACT104" s="335"/>
      <c r="ACU104" s="335"/>
      <c r="ACV104" s="335"/>
      <c r="ACW104" s="335"/>
      <c r="ACX104" s="335"/>
      <c r="ACY104" s="335"/>
      <c r="ACZ104" s="335"/>
      <c r="ADA104" s="335"/>
      <c r="ADB104" s="335"/>
      <c r="ADC104" s="335"/>
      <c r="ADD104" s="335"/>
      <c r="ADE104" s="335"/>
      <c r="ADF104" s="335"/>
      <c r="ADG104" s="335"/>
      <c r="ADH104" s="335"/>
      <c r="ADI104" s="335"/>
      <c r="ADJ104" s="335"/>
      <c r="ADK104" s="335"/>
      <c r="ADL104" s="335"/>
      <c r="ADM104" s="335"/>
      <c r="ADN104" s="335"/>
      <c r="ADO104" s="335"/>
      <c r="ADP104" s="335"/>
      <c r="ADQ104" s="335"/>
      <c r="ADR104" s="335"/>
      <c r="ADS104" s="335"/>
      <c r="ADT104" s="335"/>
      <c r="ADU104" s="335"/>
      <c r="ADV104" s="335"/>
      <c r="ADW104" s="335"/>
      <c r="ADX104" s="335"/>
      <c r="ADY104" s="335"/>
      <c r="ADZ104" s="335"/>
      <c r="AEA104" s="335"/>
      <c r="AEB104" s="335"/>
      <c r="AEC104" s="335"/>
      <c r="AED104" s="335"/>
      <c r="AEE104" s="335"/>
      <c r="AEF104" s="335"/>
      <c r="AEG104" s="335"/>
      <c r="AEH104" s="335"/>
      <c r="AEI104" s="335"/>
      <c r="AEJ104" s="335"/>
      <c r="AEK104" s="335"/>
      <c r="AEL104" s="335"/>
      <c r="AEM104" s="335"/>
      <c r="AEN104" s="335"/>
      <c r="AEO104" s="335"/>
      <c r="AEP104" s="335"/>
      <c r="AEQ104" s="335"/>
      <c r="AER104" s="335"/>
      <c r="AES104" s="335"/>
      <c r="AET104" s="335"/>
      <c r="AEU104" s="335"/>
      <c r="AEV104" s="335"/>
      <c r="AEW104" s="335"/>
      <c r="AEX104" s="335"/>
      <c r="AEY104" s="335"/>
      <c r="AEZ104" s="335"/>
      <c r="AFA104" s="335"/>
      <c r="AFB104" s="335"/>
      <c r="AFC104" s="335"/>
      <c r="AFD104" s="335"/>
      <c r="AFE104" s="335"/>
      <c r="AFF104" s="335"/>
      <c r="AFG104" s="335"/>
      <c r="AFH104" s="335"/>
      <c r="AFI104" s="335"/>
      <c r="AFJ104" s="335"/>
      <c r="AFK104" s="335"/>
      <c r="AFL104" s="335"/>
      <c r="AFM104" s="335"/>
      <c r="AFN104" s="335"/>
      <c r="AFO104" s="335"/>
      <c r="AFP104" s="335"/>
      <c r="AFQ104" s="335"/>
      <c r="AFR104" s="335"/>
      <c r="AFS104" s="335"/>
      <c r="AFT104" s="335"/>
      <c r="AFU104" s="335"/>
      <c r="AFV104" s="335"/>
      <c r="AFW104" s="335"/>
      <c r="AFX104" s="335"/>
      <c r="AFY104" s="335"/>
      <c r="AFZ104" s="335"/>
      <c r="AGA104" s="335"/>
      <c r="AGB104" s="335"/>
      <c r="AGC104" s="335"/>
      <c r="AGD104" s="335"/>
      <c r="AGE104" s="335"/>
      <c r="AGF104" s="335"/>
      <c r="AGG104" s="335"/>
      <c r="AGH104" s="335"/>
      <c r="AGI104" s="335"/>
      <c r="AGJ104" s="335"/>
      <c r="AGK104" s="335"/>
      <c r="AGL104" s="335"/>
      <c r="AGM104" s="335"/>
      <c r="AGN104" s="335"/>
      <c r="AGO104" s="335"/>
      <c r="AGP104" s="335"/>
      <c r="AGQ104" s="335"/>
      <c r="AGR104" s="335"/>
      <c r="AGS104" s="335"/>
      <c r="AGT104" s="335"/>
      <c r="AGU104" s="335"/>
      <c r="AGV104" s="335"/>
      <c r="AGW104" s="335"/>
      <c r="AGX104" s="335"/>
      <c r="AGY104" s="335"/>
      <c r="AGZ104" s="335"/>
      <c r="AHA104" s="335"/>
      <c r="AHB104" s="335"/>
      <c r="AHC104" s="335"/>
      <c r="AHD104" s="335"/>
      <c r="AHE104" s="335"/>
      <c r="AHF104" s="335"/>
      <c r="AHG104" s="335"/>
      <c r="AHH104" s="335"/>
      <c r="AHI104" s="335"/>
      <c r="AHJ104" s="335"/>
      <c r="AHK104" s="335"/>
      <c r="AHL104" s="335"/>
      <c r="AHM104" s="335"/>
      <c r="AHN104" s="335"/>
      <c r="AHO104" s="335"/>
      <c r="AHP104" s="335"/>
      <c r="AHQ104" s="335"/>
      <c r="AHR104" s="335"/>
      <c r="AHS104" s="335"/>
      <c r="AHT104" s="335"/>
      <c r="AHU104" s="335"/>
      <c r="AHV104" s="335"/>
      <c r="AHW104" s="335"/>
      <c r="AHX104" s="335"/>
      <c r="AHY104" s="335"/>
      <c r="AHZ104" s="335"/>
      <c r="AIA104" s="335"/>
      <c r="AIB104" s="335"/>
    </row>
    <row r="105" spans="2:912" s="172" customFormat="1">
      <c r="B105" s="174"/>
      <c r="ABE105" s="336"/>
      <c r="ABF105" s="335"/>
      <c r="ABG105" s="335"/>
      <c r="ABH105" s="335"/>
      <c r="ABI105" s="335"/>
      <c r="ABJ105" s="335"/>
      <c r="ABK105" s="335"/>
      <c r="ABL105" s="335"/>
      <c r="ABM105" s="335"/>
      <c r="ABN105" s="335"/>
      <c r="ABO105" s="335"/>
      <c r="ABP105" s="335"/>
      <c r="ABQ105" s="335"/>
      <c r="ABR105" s="335"/>
      <c r="ABS105" s="335"/>
      <c r="ABT105" s="335"/>
      <c r="ABU105" s="335"/>
      <c r="ABV105" s="335"/>
      <c r="ABW105" s="335"/>
      <c r="ABX105" s="335"/>
      <c r="ABY105" s="335"/>
      <c r="ABZ105" s="335"/>
      <c r="ACA105" s="335"/>
      <c r="ACB105" s="335"/>
      <c r="ACC105" s="335"/>
      <c r="ACD105" s="335"/>
      <c r="ACE105" s="335"/>
      <c r="ACF105" s="335"/>
      <c r="ACG105" s="335"/>
      <c r="ACH105" s="335"/>
      <c r="ACI105" s="335"/>
      <c r="ACJ105" s="335"/>
      <c r="ACK105" s="335"/>
      <c r="ACL105" s="335"/>
      <c r="ACM105" s="335"/>
      <c r="ACN105" s="335"/>
      <c r="ACO105" s="335"/>
      <c r="ACP105" s="335"/>
      <c r="ACQ105" s="335"/>
      <c r="ACR105" s="335"/>
      <c r="ACS105" s="335"/>
      <c r="ACT105" s="335"/>
      <c r="ACU105" s="335"/>
      <c r="ACV105" s="335"/>
      <c r="ACW105" s="335"/>
      <c r="ACX105" s="335"/>
      <c r="ACY105" s="335"/>
      <c r="ACZ105" s="335"/>
      <c r="ADA105" s="335"/>
      <c r="ADB105" s="335"/>
      <c r="ADC105" s="335"/>
      <c r="ADD105" s="335"/>
      <c r="ADE105" s="335"/>
      <c r="ADF105" s="335"/>
      <c r="ADG105" s="335"/>
      <c r="ADH105" s="335"/>
      <c r="ADI105" s="335"/>
      <c r="ADJ105" s="335"/>
      <c r="ADK105" s="335"/>
      <c r="ADL105" s="335"/>
      <c r="ADM105" s="335"/>
      <c r="ADN105" s="335"/>
      <c r="ADO105" s="335"/>
      <c r="ADP105" s="335"/>
      <c r="ADQ105" s="335"/>
      <c r="ADR105" s="335"/>
      <c r="ADS105" s="335"/>
      <c r="ADT105" s="335"/>
      <c r="ADU105" s="335"/>
      <c r="ADV105" s="335"/>
      <c r="ADW105" s="335"/>
      <c r="ADX105" s="335"/>
      <c r="ADY105" s="335"/>
      <c r="ADZ105" s="335"/>
      <c r="AEA105" s="335"/>
      <c r="AEB105" s="335"/>
      <c r="AEC105" s="335"/>
      <c r="AED105" s="335"/>
      <c r="AEE105" s="335"/>
      <c r="AEF105" s="335"/>
      <c r="AEG105" s="335"/>
      <c r="AEH105" s="335"/>
      <c r="AEI105" s="335"/>
      <c r="AEJ105" s="335"/>
      <c r="AEK105" s="335"/>
      <c r="AEL105" s="335"/>
      <c r="AEM105" s="335"/>
      <c r="AEN105" s="335"/>
      <c r="AEO105" s="335"/>
      <c r="AEP105" s="335"/>
      <c r="AEQ105" s="335"/>
      <c r="AER105" s="335"/>
      <c r="AES105" s="335"/>
      <c r="AET105" s="335"/>
      <c r="AEU105" s="335"/>
      <c r="AEV105" s="335"/>
      <c r="AEW105" s="335"/>
      <c r="AEX105" s="335"/>
      <c r="AEY105" s="335"/>
      <c r="AEZ105" s="335"/>
      <c r="AFA105" s="335"/>
      <c r="AFB105" s="335"/>
      <c r="AFC105" s="335"/>
      <c r="AFD105" s="335"/>
      <c r="AFE105" s="335"/>
      <c r="AFF105" s="335"/>
      <c r="AFG105" s="335"/>
      <c r="AFH105" s="335"/>
      <c r="AFI105" s="335"/>
      <c r="AFJ105" s="335"/>
      <c r="AFK105" s="335"/>
      <c r="AFL105" s="335"/>
      <c r="AFM105" s="335"/>
      <c r="AFN105" s="335"/>
      <c r="AFO105" s="335"/>
      <c r="AFP105" s="335"/>
      <c r="AFQ105" s="335"/>
      <c r="AFR105" s="335"/>
      <c r="AFS105" s="335"/>
      <c r="AFT105" s="335"/>
      <c r="AFU105" s="335"/>
      <c r="AFV105" s="335"/>
      <c r="AFW105" s="335"/>
      <c r="AFX105" s="335"/>
      <c r="AFY105" s="335"/>
      <c r="AFZ105" s="335"/>
      <c r="AGA105" s="335"/>
      <c r="AGB105" s="335"/>
      <c r="AGC105" s="335"/>
      <c r="AGD105" s="335"/>
      <c r="AGE105" s="335"/>
      <c r="AGF105" s="335"/>
      <c r="AGG105" s="335"/>
      <c r="AGH105" s="335"/>
      <c r="AGI105" s="335"/>
      <c r="AGJ105" s="335"/>
      <c r="AGK105" s="335"/>
      <c r="AGL105" s="335"/>
      <c r="AGM105" s="335"/>
      <c r="AGN105" s="335"/>
      <c r="AGO105" s="335"/>
      <c r="AGP105" s="335"/>
      <c r="AGQ105" s="335"/>
      <c r="AGR105" s="335"/>
      <c r="AGS105" s="335"/>
      <c r="AGT105" s="335"/>
      <c r="AGU105" s="335"/>
      <c r="AGV105" s="335"/>
      <c r="AGW105" s="335"/>
      <c r="AGX105" s="335"/>
      <c r="AGY105" s="335"/>
      <c r="AGZ105" s="335"/>
      <c r="AHA105" s="335"/>
      <c r="AHB105" s="335"/>
      <c r="AHC105" s="335"/>
      <c r="AHD105" s="335"/>
      <c r="AHE105" s="335"/>
      <c r="AHF105" s="335"/>
      <c r="AHG105" s="335"/>
      <c r="AHH105" s="335"/>
      <c r="AHI105" s="335"/>
      <c r="AHJ105" s="335"/>
      <c r="AHK105" s="335"/>
      <c r="AHL105" s="335"/>
      <c r="AHM105" s="335"/>
      <c r="AHN105" s="335"/>
      <c r="AHO105" s="335"/>
      <c r="AHP105" s="335"/>
      <c r="AHQ105" s="335"/>
      <c r="AHR105" s="335"/>
      <c r="AHS105" s="335"/>
      <c r="AHT105" s="335"/>
      <c r="AHU105" s="335"/>
      <c r="AHV105" s="335"/>
      <c r="AHW105" s="335"/>
      <c r="AHX105" s="335"/>
      <c r="AHY105" s="335"/>
      <c r="AHZ105" s="335"/>
      <c r="AIA105" s="335"/>
      <c r="AIB105" s="335"/>
    </row>
    <row r="106" spans="2:912" s="172" customFormat="1">
      <c r="B106" s="174"/>
      <c r="ABE106" s="336"/>
      <c r="ABF106" s="335"/>
      <c r="ABG106" s="335"/>
      <c r="ABH106" s="335"/>
      <c r="ABI106" s="335"/>
      <c r="ABJ106" s="335"/>
      <c r="ABK106" s="335"/>
      <c r="ABL106" s="335"/>
      <c r="ABM106" s="335"/>
      <c r="ABN106" s="335"/>
      <c r="ABO106" s="335"/>
      <c r="ABP106" s="335"/>
      <c r="ABQ106" s="335"/>
      <c r="ABR106" s="335"/>
      <c r="ABS106" s="335"/>
      <c r="ABT106" s="335"/>
      <c r="ABU106" s="335"/>
      <c r="ABV106" s="335"/>
      <c r="ABW106" s="335"/>
      <c r="ABX106" s="335"/>
      <c r="ABY106" s="335"/>
      <c r="ABZ106" s="335"/>
      <c r="ACA106" s="335"/>
      <c r="ACB106" s="335"/>
      <c r="ACC106" s="335"/>
      <c r="ACD106" s="335"/>
      <c r="ACE106" s="335"/>
      <c r="ACF106" s="335"/>
      <c r="ACG106" s="335"/>
      <c r="ACH106" s="335"/>
      <c r="ACI106" s="335"/>
      <c r="ACJ106" s="335"/>
      <c r="ACK106" s="335"/>
      <c r="ACL106" s="335"/>
      <c r="ACM106" s="335"/>
      <c r="ACN106" s="335"/>
      <c r="ACO106" s="335"/>
      <c r="ACP106" s="335"/>
      <c r="ACQ106" s="335"/>
      <c r="ACR106" s="335"/>
      <c r="ACS106" s="335"/>
      <c r="ACT106" s="335"/>
      <c r="ACU106" s="335"/>
      <c r="ACV106" s="335"/>
      <c r="ACW106" s="335"/>
      <c r="ACX106" s="335"/>
      <c r="ACY106" s="335"/>
      <c r="ACZ106" s="335"/>
      <c r="ADA106" s="335"/>
      <c r="ADB106" s="335"/>
      <c r="ADC106" s="335"/>
      <c r="ADD106" s="335"/>
      <c r="ADE106" s="335"/>
      <c r="ADF106" s="335"/>
      <c r="ADG106" s="335"/>
      <c r="ADH106" s="335"/>
      <c r="ADI106" s="335"/>
      <c r="ADJ106" s="335"/>
      <c r="ADK106" s="335"/>
      <c r="ADL106" s="335"/>
      <c r="ADM106" s="335"/>
      <c r="ADN106" s="335"/>
      <c r="ADO106" s="335"/>
      <c r="ADP106" s="335"/>
      <c r="ADQ106" s="335"/>
      <c r="ADR106" s="335"/>
      <c r="ADS106" s="335"/>
      <c r="ADT106" s="335"/>
      <c r="ADU106" s="335"/>
      <c r="ADV106" s="335"/>
      <c r="ADW106" s="335"/>
      <c r="ADX106" s="335"/>
      <c r="ADY106" s="335"/>
      <c r="ADZ106" s="335"/>
      <c r="AEA106" s="335"/>
      <c r="AEB106" s="335"/>
      <c r="AEC106" s="335"/>
      <c r="AED106" s="335"/>
      <c r="AEE106" s="335"/>
      <c r="AEF106" s="335"/>
      <c r="AEG106" s="335"/>
      <c r="AEH106" s="335"/>
      <c r="AEI106" s="335"/>
      <c r="AEJ106" s="335"/>
      <c r="AEK106" s="335"/>
      <c r="AEL106" s="335"/>
      <c r="AEM106" s="335"/>
      <c r="AEN106" s="335"/>
      <c r="AEO106" s="335"/>
      <c r="AEP106" s="335"/>
      <c r="AEQ106" s="335"/>
      <c r="AER106" s="335"/>
      <c r="AES106" s="335"/>
      <c r="AET106" s="335"/>
      <c r="AEU106" s="335"/>
      <c r="AEV106" s="335"/>
      <c r="AEW106" s="335"/>
      <c r="AEX106" s="335"/>
      <c r="AEY106" s="335"/>
      <c r="AEZ106" s="335"/>
      <c r="AFA106" s="335"/>
      <c r="AFB106" s="335"/>
      <c r="AFC106" s="335"/>
      <c r="AFD106" s="335"/>
      <c r="AFE106" s="335"/>
      <c r="AFF106" s="335"/>
      <c r="AFG106" s="335"/>
      <c r="AFH106" s="335"/>
      <c r="AFI106" s="335"/>
      <c r="AFJ106" s="335"/>
      <c r="AFK106" s="335"/>
      <c r="AFL106" s="335"/>
      <c r="AFM106" s="335"/>
      <c r="AFN106" s="335"/>
      <c r="AFO106" s="335"/>
      <c r="AFP106" s="335"/>
      <c r="AFQ106" s="335"/>
      <c r="AFR106" s="335"/>
      <c r="AFS106" s="335"/>
      <c r="AFT106" s="335"/>
      <c r="AFU106" s="335"/>
      <c r="AFV106" s="335"/>
      <c r="AFW106" s="335"/>
      <c r="AFX106" s="335"/>
      <c r="AFY106" s="335"/>
      <c r="AFZ106" s="335"/>
      <c r="AGA106" s="335"/>
      <c r="AGB106" s="335"/>
      <c r="AGC106" s="335"/>
      <c r="AGD106" s="335"/>
      <c r="AGE106" s="335"/>
      <c r="AGF106" s="335"/>
      <c r="AGG106" s="335"/>
      <c r="AGH106" s="335"/>
      <c r="AGI106" s="335"/>
      <c r="AGJ106" s="335"/>
      <c r="AGK106" s="335"/>
      <c r="AGL106" s="335"/>
      <c r="AGM106" s="335"/>
      <c r="AGN106" s="335"/>
      <c r="AGO106" s="335"/>
      <c r="AGP106" s="335"/>
      <c r="AGQ106" s="335"/>
      <c r="AGR106" s="335"/>
      <c r="AGS106" s="335"/>
      <c r="AGT106" s="335"/>
      <c r="AGU106" s="335"/>
      <c r="AGV106" s="335"/>
      <c r="AGW106" s="335"/>
      <c r="AGX106" s="335"/>
      <c r="AGY106" s="335"/>
      <c r="AGZ106" s="335"/>
      <c r="AHA106" s="335"/>
      <c r="AHB106" s="335"/>
      <c r="AHC106" s="335"/>
      <c r="AHD106" s="335"/>
      <c r="AHE106" s="335"/>
      <c r="AHF106" s="335"/>
      <c r="AHG106" s="335"/>
      <c r="AHH106" s="335"/>
      <c r="AHI106" s="335"/>
      <c r="AHJ106" s="335"/>
      <c r="AHK106" s="335"/>
      <c r="AHL106" s="335"/>
      <c r="AHM106" s="335"/>
      <c r="AHN106" s="335"/>
      <c r="AHO106" s="335"/>
      <c r="AHP106" s="335"/>
      <c r="AHQ106" s="335"/>
      <c r="AHR106" s="335"/>
      <c r="AHS106" s="335"/>
      <c r="AHT106" s="335"/>
      <c r="AHU106" s="335"/>
      <c r="AHV106" s="335"/>
      <c r="AHW106" s="335"/>
      <c r="AHX106" s="335"/>
      <c r="AHY106" s="335"/>
      <c r="AHZ106" s="335"/>
      <c r="AIA106" s="335"/>
      <c r="AIB106" s="335"/>
    </row>
    <row r="107" spans="2:912" s="172" customFormat="1">
      <c r="B107" s="174"/>
      <c r="ABE107" s="336"/>
      <c r="ABF107" s="335"/>
      <c r="ABG107" s="335"/>
      <c r="ABH107" s="335"/>
      <c r="ABI107" s="335"/>
      <c r="ABJ107" s="335"/>
      <c r="ABK107" s="335"/>
      <c r="ABL107" s="335"/>
      <c r="ABM107" s="335"/>
      <c r="ABN107" s="335"/>
      <c r="ABO107" s="335"/>
      <c r="ABP107" s="335"/>
      <c r="ABQ107" s="335"/>
      <c r="ABR107" s="335"/>
      <c r="ABS107" s="335"/>
      <c r="ABT107" s="335"/>
      <c r="ABU107" s="335"/>
      <c r="ABV107" s="335"/>
      <c r="ABW107" s="335"/>
      <c r="ABX107" s="335"/>
      <c r="ABY107" s="335"/>
      <c r="ABZ107" s="335"/>
      <c r="ACA107" s="335"/>
      <c r="ACB107" s="335"/>
      <c r="ACC107" s="335"/>
      <c r="ACD107" s="335"/>
      <c r="ACE107" s="335"/>
      <c r="ACF107" s="335"/>
      <c r="ACG107" s="335"/>
      <c r="ACH107" s="335"/>
      <c r="ACI107" s="335"/>
      <c r="ACJ107" s="335"/>
      <c r="ACK107" s="335"/>
      <c r="ACL107" s="335"/>
      <c r="ACM107" s="335"/>
      <c r="ACN107" s="335"/>
      <c r="ACO107" s="335"/>
      <c r="ACP107" s="335"/>
      <c r="ACQ107" s="335"/>
      <c r="ACR107" s="335"/>
      <c r="ACS107" s="335"/>
      <c r="ACT107" s="335"/>
      <c r="ACU107" s="335"/>
      <c r="ACV107" s="335"/>
      <c r="ACW107" s="335"/>
      <c r="ACX107" s="335"/>
      <c r="ACY107" s="335"/>
      <c r="ACZ107" s="335"/>
      <c r="ADA107" s="335"/>
      <c r="ADB107" s="335"/>
      <c r="ADC107" s="335"/>
      <c r="ADD107" s="335"/>
      <c r="ADE107" s="335"/>
      <c r="ADF107" s="335"/>
      <c r="ADG107" s="335"/>
      <c r="ADH107" s="335"/>
      <c r="ADI107" s="335"/>
      <c r="ADJ107" s="335"/>
      <c r="ADK107" s="335"/>
      <c r="ADL107" s="335"/>
      <c r="ADM107" s="335"/>
      <c r="ADN107" s="335"/>
      <c r="ADO107" s="335"/>
      <c r="ADP107" s="335"/>
      <c r="ADQ107" s="335"/>
      <c r="ADR107" s="335"/>
      <c r="ADS107" s="335"/>
      <c r="ADT107" s="335"/>
      <c r="ADU107" s="335"/>
      <c r="ADV107" s="335"/>
      <c r="ADW107" s="335"/>
      <c r="ADX107" s="335"/>
      <c r="ADY107" s="335"/>
      <c r="ADZ107" s="335"/>
      <c r="AEA107" s="335"/>
      <c r="AEB107" s="335"/>
      <c r="AEC107" s="335"/>
      <c r="AED107" s="335"/>
      <c r="AEE107" s="335"/>
      <c r="AEF107" s="335"/>
      <c r="AEG107" s="335"/>
      <c r="AEH107" s="335"/>
      <c r="AEI107" s="335"/>
      <c r="AEJ107" s="335"/>
      <c r="AEK107" s="335"/>
      <c r="AEL107" s="335"/>
      <c r="AEM107" s="335"/>
      <c r="AEN107" s="335"/>
      <c r="AEO107" s="335"/>
      <c r="AEP107" s="335"/>
      <c r="AEQ107" s="335"/>
      <c r="AER107" s="335"/>
      <c r="AES107" s="335"/>
      <c r="AET107" s="335"/>
      <c r="AEU107" s="335"/>
      <c r="AEV107" s="335"/>
      <c r="AEW107" s="335"/>
      <c r="AEX107" s="335"/>
      <c r="AEY107" s="335"/>
      <c r="AEZ107" s="335"/>
      <c r="AFA107" s="335"/>
      <c r="AFB107" s="335"/>
      <c r="AFC107" s="335"/>
      <c r="AFD107" s="335"/>
      <c r="AFE107" s="335"/>
      <c r="AFF107" s="335"/>
      <c r="AFG107" s="335"/>
      <c r="AFH107" s="335"/>
      <c r="AFI107" s="335"/>
      <c r="AFJ107" s="335"/>
      <c r="AFK107" s="335"/>
      <c r="AFL107" s="335"/>
      <c r="AFM107" s="335"/>
      <c r="AFN107" s="335"/>
      <c r="AFO107" s="335"/>
      <c r="AFP107" s="335"/>
      <c r="AFQ107" s="335"/>
      <c r="AFR107" s="335"/>
      <c r="AFS107" s="335"/>
      <c r="AFT107" s="335"/>
      <c r="AFU107" s="335"/>
      <c r="AFV107" s="335"/>
      <c r="AFW107" s="335"/>
      <c r="AFX107" s="335"/>
      <c r="AFY107" s="335"/>
      <c r="AFZ107" s="335"/>
      <c r="AGA107" s="335"/>
      <c r="AGB107" s="335"/>
      <c r="AGC107" s="335"/>
      <c r="AGD107" s="335"/>
      <c r="AGE107" s="335"/>
      <c r="AGF107" s="335"/>
      <c r="AGG107" s="335"/>
      <c r="AGH107" s="335"/>
      <c r="AGI107" s="335"/>
      <c r="AGJ107" s="335"/>
      <c r="AGK107" s="335"/>
      <c r="AGL107" s="335"/>
      <c r="AGM107" s="335"/>
      <c r="AGN107" s="335"/>
      <c r="AGO107" s="335"/>
      <c r="AGP107" s="335"/>
      <c r="AGQ107" s="335"/>
      <c r="AGR107" s="335"/>
      <c r="AGS107" s="335"/>
      <c r="AGT107" s="335"/>
      <c r="AGU107" s="335"/>
      <c r="AGV107" s="335"/>
      <c r="AGW107" s="335"/>
      <c r="AGX107" s="335"/>
      <c r="AGY107" s="335"/>
      <c r="AGZ107" s="335"/>
      <c r="AHA107" s="335"/>
      <c r="AHB107" s="335"/>
      <c r="AHC107" s="335"/>
      <c r="AHD107" s="335"/>
      <c r="AHE107" s="335"/>
      <c r="AHF107" s="335"/>
      <c r="AHG107" s="335"/>
      <c r="AHH107" s="335"/>
      <c r="AHI107" s="335"/>
      <c r="AHJ107" s="335"/>
      <c r="AHK107" s="335"/>
      <c r="AHL107" s="335"/>
      <c r="AHM107" s="335"/>
      <c r="AHN107" s="335"/>
      <c r="AHO107" s="335"/>
      <c r="AHP107" s="335"/>
      <c r="AHQ107" s="335"/>
      <c r="AHR107" s="335"/>
      <c r="AHS107" s="335"/>
      <c r="AHT107" s="335"/>
      <c r="AHU107" s="335"/>
      <c r="AHV107" s="335"/>
      <c r="AHW107" s="335"/>
      <c r="AHX107" s="335"/>
      <c r="AHY107" s="335"/>
      <c r="AHZ107" s="335"/>
      <c r="AIA107" s="335"/>
      <c r="AIB107" s="335"/>
    </row>
    <row r="108" spans="2:912" s="172" customFormat="1">
      <c r="B108" s="174"/>
      <c r="ABE108" s="336"/>
      <c r="ABF108" s="335"/>
      <c r="ABG108" s="335"/>
      <c r="ABH108" s="335"/>
      <c r="ABI108" s="335"/>
      <c r="ABJ108" s="335"/>
      <c r="ABK108" s="335"/>
      <c r="ABL108" s="335"/>
      <c r="ABM108" s="335"/>
      <c r="ABN108" s="335"/>
      <c r="ABO108" s="335"/>
      <c r="ABP108" s="335"/>
      <c r="ABQ108" s="335"/>
      <c r="ABR108" s="335"/>
      <c r="ABS108" s="335"/>
      <c r="ABT108" s="335"/>
      <c r="ABU108" s="335"/>
      <c r="ABV108" s="335"/>
      <c r="ABW108" s="335"/>
      <c r="ABX108" s="335"/>
      <c r="ABY108" s="335"/>
      <c r="ABZ108" s="335"/>
      <c r="ACA108" s="335"/>
      <c r="ACB108" s="335"/>
      <c r="ACC108" s="335"/>
      <c r="ACD108" s="335"/>
      <c r="ACE108" s="335"/>
      <c r="ACF108" s="335"/>
      <c r="ACG108" s="335"/>
      <c r="ACH108" s="335"/>
      <c r="ACI108" s="335"/>
      <c r="ACJ108" s="335"/>
      <c r="ACK108" s="335"/>
      <c r="ACL108" s="335"/>
      <c r="ACM108" s="335"/>
      <c r="ACN108" s="335"/>
      <c r="ACO108" s="335"/>
      <c r="ACP108" s="335"/>
      <c r="ACQ108" s="335"/>
      <c r="ACR108" s="335"/>
      <c r="ACS108" s="335"/>
      <c r="ACT108" s="335"/>
      <c r="ACU108" s="335"/>
      <c r="ACV108" s="335"/>
      <c r="ACW108" s="335"/>
      <c r="ACX108" s="335"/>
      <c r="ACY108" s="335"/>
      <c r="ACZ108" s="335"/>
      <c r="ADA108" s="335"/>
      <c r="ADB108" s="335"/>
      <c r="ADC108" s="335"/>
      <c r="ADD108" s="335"/>
      <c r="ADE108" s="335"/>
      <c r="ADF108" s="335"/>
      <c r="ADG108" s="335"/>
      <c r="ADH108" s="335"/>
      <c r="ADI108" s="335"/>
      <c r="ADJ108" s="335"/>
      <c r="ADK108" s="335"/>
      <c r="ADL108" s="335"/>
      <c r="ADM108" s="335"/>
      <c r="ADN108" s="335"/>
      <c r="ADO108" s="335"/>
      <c r="ADP108" s="335"/>
      <c r="ADQ108" s="335"/>
      <c r="ADR108" s="335"/>
      <c r="ADS108" s="335"/>
      <c r="ADT108" s="335"/>
      <c r="ADU108" s="335"/>
      <c r="ADV108" s="335"/>
      <c r="ADW108" s="335"/>
      <c r="ADX108" s="335"/>
      <c r="ADY108" s="335"/>
      <c r="ADZ108" s="335"/>
      <c r="AEA108" s="335"/>
      <c r="AEB108" s="335"/>
      <c r="AEC108" s="335"/>
      <c r="AED108" s="335"/>
      <c r="AEE108" s="335"/>
      <c r="AEF108" s="335"/>
      <c r="AEG108" s="335"/>
      <c r="AEH108" s="335"/>
      <c r="AEI108" s="335"/>
      <c r="AEJ108" s="335"/>
      <c r="AEK108" s="335"/>
      <c r="AEL108" s="335"/>
      <c r="AEM108" s="335"/>
      <c r="AEN108" s="335"/>
      <c r="AEO108" s="335"/>
      <c r="AEP108" s="335"/>
      <c r="AEQ108" s="335"/>
      <c r="AER108" s="335"/>
      <c r="AES108" s="335"/>
      <c r="AET108" s="335"/>
      <c r="AEU108" s="335"/>
      <c r="AEV108" s="335"/>
      <c r="AEW108" s="335"/>
      <c r="AEX108" s="335"/>
      <c r="AEY108" s="335"/>
      <c r="AEZ108" s="335"/>
      <c r="AFA108" s="335"/>
      <c r="AFB108" s="335"/>
      <c r="AFC108" s="335"/>
      <c r="AFD108" s="335"/>
      <c r="AFE108" s="335"/>
      <c r="AFF108" s="335"/>
      <c r="AFG108" s="335"/>
      <c r="AFH108" s="335"/>
      <c r="AFI108" s="335"/>
      <c r="AFJ108" s="335"/>
      <c r="AFK108" s="335"/>
      <c r="AFL108" s="335"/>
      <c r="AFM108" s="335"/>
      <c r="AFN108" s="335"/>
      <c r="AFO108" s="335"/>
      <c r="AFP108" s="335"/>
      <c r="AFQ108" s="335"/>
      <c r="AFR108" s="335"/>
      <c r="AFS108" s="335"/>
      <c r="AFT108" s="335"/>
      <c r="AFU108" s="335"/>
      <c r="AFV108" s="335"/>
      <c r="AFW108" s="335"/>
      <c r="AFX108" s="335"/>
      <c r="AFY108" s="335"/>
      <c r="AFZ108" s="335"/>
      <c r="AGA108" s="335"/>
      <c r="AGB108" s="335"/>
      <c r="AGC108" s="335"/>
      <c r="AGD108" s="335"/>
      <c r="AGE108" s="335"/>
      <c r="AGF108" s="335"/>
      <c r="AGG108" s="335"/>
      <c r="AGH108" s="335"/>
      <c r="AGI108" s="335"/>
      <c r="AGJ108" s="335"/>
      <c r="AGK108" s="335"/>
      <c r="AGL108" s="335"/>
      <c r="AGM108" s="335"/>
      <c r="AGN108" s="335"/>
      <c r="AGO108" s="335"/>
      <c r="AGP108" s="335"/>
      <c r="AGQ108" s="335"/>
      <c r="AGR108" s="335"/>
      <c r="AGS108" s="335"/>
      <c r="AGT108" s="335"/>
      <c r="AGU108" s="335"/>
      <c r="AGV108" s="335"/>
      <c r="AGW108" s="335"/>
      <c r="AGX108" s="335"/>
      <c r="AGY108" s="335"/>
      <c r="AGZ108" s="335"/>
      <c r="AHA108" s="335"/>
      <c r="AHB108" s="335"/>
      <c r="AHC108" s="335"/>
      <c r="AHD108" s="335"/>
      <c r="AHE108" s="335"/>
      <c r="AHF108" s="335"/>
      <c r="AHG108" s="335"/>
      <c r="AHH108" s="335"/>
      <c r="AHI108" s="335"/>
      <c r="AHJ108" s="335"/>
      <c r="AHK108" s="335"/>
      <c r="AHL108" s="335"/>
      <c r="AHM108" s="335"/>
      <c r="AHN108" s="335"/>
      <c r="AHO108" s="335"/>
      <c r="AHP108" s="335"/>
      <c r="AHQ108" s="335"/>
      <c r="AHR108" s="335"/>
      <c r="AHS108" s="335"/>
      <c r="AHT108" s="335"/>
      <c r="AHU108" s="335"/>
      <c r="AHV108" s="335"/>
      <c r="AHW108" s="335"/>
      <c r="AHX108" s="335"/>
      <c r="AHY108" s="335"/>
      <c r="AHZ108" s="335"/>
      <c r="AIA108" s="335"/>
      <c r="AIB108" s="335"/>
    </row>
    <row r="109" spans="2:912" s="172" customFormat="1">
      <c r="B109" s="174"/>
      <c r="ABE109" s="336"/>
      <c r="ABF109" s="335"/>
      <c r="ABG109" s="335"/>
      <c r="ABH109" s="335"/>
      <c r="ABI109" s="335"/>
      <c r="ABJ109" s="335"/>
      <c r="ABK109" s="335"/>
      <c r="ABL109" s="335"/>
      <c r="ABM109" s="335"/>
      <c r="ABN109" s="335"/>
      <c r="ABO109" s="335"/>
      <c r="ABP109" s="335"/>
      <c r="ABQ109" s="335"/>
      <c r="ABR109" s="335"/>
      <c r="ABS109" s="335"/>
      <c r="ABT109" s="335"/>
      <c r="ABU109" s="335"/>
      <c r="ABV109" s="335"/>
      <c r="ABW109" s="335"/>
      <c r="ABX109" s="335"/>
      <c r="ABY109" s="335"/>
      <c r="ABZ109" s="335"/>
      <c r="ACA109" s="335"/>
      <c r="ACB109" s="335"/>
      <c r="ACC109" s="335"/>
      <c r="ACD109" s="335"/>
      <c r="ACE109" s="335"/>
      <c r="ACF109" s="335"/>
      <c r="ACG109" s="335"/>
      <c r="ACH109" s="335"/>
      <c r="ACI109" s="335"/>
      <c r="ACJ109" s="335"/>
      <c r="ACK109" s="335"/>
      <c r="ACL109" s="335"/>
      <c r="ACM109" s="335"/>
      <c r="ACN109" s="335"/>
      <c r="ACO109" s="335"/>
      <c r="ACP109" s="335"/>
      <c r="ACQ109" s="335"/>
      <c r="ACR109" s="335"/>
      <c r="ACS109" s="335"/>
      <c r="ACT109" s="335"/>
      <c r="ACU109" s="335"/>
      <c r="ACV109" s="335"/>
      <c r="ACW109" s="335"/>
      <c r="ACX109" s="335"/>
      <c r="ACY109" s="335"/>
      <c r="ACZ109" s="335"/>
      <c r="ADA109" s="335"/>
      <c r="ADB109" s="335"/>
      <c r="ADC109" s="335"/>
      <c r="ADD109" s="335"/>
      <c r="ADE109" s="335"/>
      <c r="ADF109" s="335"/>
      <c r="ADG109" s="335"/>
      <c r="ADH109" s="335"/>
      <c r="ADI109" s="335"/>
      <c r="ADJ109" s="335"/>
      <c r="ADK109" s="335"/>
      <c r="ADL109" s="335"/>
      <c r="ADM109" s="335"/>
      <c r="ADN109" s="335"/>
      <c r="ADO109" s="335"/>
      <c r="ADP109" s="335"/>
      <c r="ADQ109" s="335"/>
      <c r="ADR109" s="335"/>
      <c r="ADS109" s="335"/>
      <c r="ADT109" s="335"/>
      <c r="ADU109" s="335"/>
      <c r="ADV109" s="335"/>
      <c r="ADW109" s="335"/>
      <c r="ADX109" s="335"/>
      <c r="ADY109" s="335"/>
      <c r="ADZ109" s="335"/>
      <c r="AEA109" s="335"/>
      <c r="AEB109" s="335"/>
      <c r="AEC109" s="335"/>
      <c r="AED109" s="335"/>
      <c r="AEE109" s="335"/>
      <c r="AEF109" s="335"/>
      <c r="AEG109" s="335"/>
      <c r="AEH109" s="335"/>
      <c r="AEI109" s="335"/>
      <c r="AEJ109" s="335"/>
      <c r="AEK109" s="335"/>
      <c r="AEL109" s="335"/>
      <c r="AEM109" s="335"/>
      <c r="AEN109" s="335"/>
      <c r="AEO109" s="335"/>
      <c r="AEP109" s="335"/>
      <c r="AEQ109" s="335"/>
      <c r="AER109" s="335"/>
      <c r="AES109" s="335"/>
      <c r="AET109" s="335"/>
      <c r="AEU109" s="335"/>
      <c r="AEV109" s="335"/>
      <c r="AEW109" s="335"/>
      <c r="AEX109" s="335"/>
      <c r="AEY109" s="335"/>
      <c r="AEZ109" s="335"/>
      <c r="AFA109" s="335"/>
      <c r="AFB109" s="335"/>
      <c r="AFC109" s="335"/>
      <c r="AFD109" s="335"/>
      <c r="AFE109" s="335"/>
      <c r="AFF109" s="335"/>
      <c r="AFG109" s="335"/>
      <c r="AFH109" s="335"/>
      <c r="AFI109" s="335"/>
      <c r="AFJ109" s="335"/>
      <c r="AFK109" s="335"/>
      <c r="AFL109" s="335"/>
      <c r="AFM109" s="335"/>
      <c r="AFN109" s="335"/>
      <c r="AFO109" s="335"/>
      <c r="AFP109" s="335"/>
      <c r="AFQ109" s="335"/>
      <c r="AFR109" s="335"/>
      <c r="AFS109" s="335"/>
      <c r="AFT109" s="335"/>
      <c r="AFU109" s="335"/>
      <c r="AFV109" s="335"/>
      <c r="AFW109" s="335"/>
      <c r="AFX109" s="335"/>
      <c r="AFY109" s="335"/>
      <c r="AFZ109" s="335"/>
      <c r="AGA109" s="335"/>
      <c r="AGB109" s="335"/>
      <c r="AGC109" s="335"/>
      <c r="AGD109" s="335"/>
      <c r="AGE109" s="335"/>
      <c r="AGF109" s="335"/>
      <c r="AGG109" s="335"/>
      <c r="AGH109" s="335"/>
      <c r="AGI109" s="335"/>
      <c r="AGJ109" s="335"/>
      <c r="AGK109" s="335"/>
      <c r="AGL109" s="335"/>
      <c r="AGM109" s="335"/>
      <c r="AGN109" s="335"/>
      <c r="AGO109" s="335"/>
      <c r="AGP109" s="335"/>
      <c r="AGQ109" s="335"/>
      <c r="AGR109" s="335"/>
      <c r="AGS109" s="335"/>
      <c r="AGT109" s="335"/>
      <c r="AGU109" s="335"/>
      <c r="AGV109" s="335"/>
      <c r="AGW109" s="335"/>
      <c r="AGX109" s="335"/>
      <c r="AGY109" s="335"/>
      <c r="AGZ109" s="335"/>
      <c r="AHA109" s="335"/>
      <c r="AHB109" s="335"/>
      <c r="AHC109" s="335"/>
      <c r="AHD109" s="335"/>
      <c r="AHE109" s="335"/>
      <c r="AHF109" s="335"/>
      <c r="AHG109" s="335"/>
      <c r="AHH109" s="335"/>
      <c r="AHI109" s="335"/>
      <c r="AHJ109" s="335"/>
      <c r="AHK109" s="335"/>
      <c r="AHL109" s="335"/>
      <c r="AHM109" s="335"/>
      <c r="AHN109" s="335"/>
      <c r="AHO109" s="335"/>
      <c r="AHP109" s="335"/>
      <c r="AHQ109" s="335"/>
      <c r="AHR109" s="335"/>
      <c r="AHS109" s="335"/>
      <c r="AHT109" s="335"/>
      <c r="AHU109" s="335"/>
      <c r="AHV109" s="335"/>
      <c r="AHW109" s="335"/>
      <c r="AHX109" s="335"/>
      <c r="AHY109" s="335"/>
      <c r="AHZ109" s="335"/>
      <c r="AIA109" s="335"/>
      <c r="AIB109" s="335"/>
    </row>
    <row r="110" spans="2:912" s="172" customFormat="1">
      <c r="B110" s="174"/>
      <c r="ABE110" s="336"/>
      <c r="ABF110" s="335"/>
      <c r="ABG110" s="335"/>
      <c r="ABH110" s="335"/>
      <c r="ABI110" s="335"/>
      <c r="ABJ110" s="335"/>
      <c r="ABK110" s="335"/>
      <c r="ABL110" s="335"/>
      <c r="ABM110" s="335"/>
      <c r="ABN110" s="335"/>
      <c r="ABO110" s="335"/>
      <c r="ABP110" s="335"/>
      <c r="ABQ110" s="335"/>
      <c r="ABR110" s="335"/>
      <c r="ABS110" s="335"/>
      <c r="ABT110" s="335"/>
      <c r="ABU110" s="335"/>
      <c r="ABV110" s="335"/>
      <c r="ABW110" s="335"/>
      <c r="ABX110" s="335"/>
      <c r="ABY110" s="335"/>
      <c r="ABZ110" s="335"/>
      <c r="ACA110" s="335"/>
      <c r="ACB110" s="335"/>
      <c r="ACC110" s="335"/>
      <c r="ACD110" s="335"/>
      <c r="ACE110" s="335"/>
      <c r="ACF110" s="335"/>
      <c r="ACG110" s="335"/>
      <c r="ACH110" s="335"/>
      <c r="ACI110" s="335"/>
      <c r="ACJ110" s="335"/>
      <c r="ACK110" s="335"/>
      <c r="ACL110" s="335"/>
      <c r="ACM110" s="335"/>
      <c r="ACN110" s="335"/>
      <c r="ACO110" s="335"/>
      <c r="ACP110" s="335"/>
      <c r="ACQ110" s="335"/>
      <c r="ACR110" s="335"/>
      <c r="ACS110" s="335"/>
      <c r="ACT110" s="335"/>
      <c r="ACU110" s="335"/>
      <c r="ACV110" s="335"/>
      <c r="ACW110" s="335"/>
      <c r="ACX110" s="335"/>
      <c r="ACY110" s="335"/>
      <c r="ACZ110" s="335"/>
      <c r="ADA110" s="335"/>
      <c r="ADB110" s="335"/>
      <c r="ADC110" s="335"/>
      <c r="ADD110" s="335"/>
      <c r="ADE110" s="335"/>
      <c r="ADF110" s="335"/>
      <c r="ADG110" s="335"/>
      <c r="ADH110" s="335"/>
      <c r="ADI110" s="335"/>
      <c r="ADJ110" s="335"/>
      <c r="ADK110" s="335"/>
      <c r="ADL110" s="335"/>
      <c r="ADM110" s="335"/>
      <c r="ADN110" s="335"/>
      <c r="ADO110" s="335"/>
      <c r="ADP110" s="335"/>
      <c r="ADQ110" s="335"/>
      <c r="ADR110" s="335"/>
      <c r="ADS110" s="335"/>
      <c r="ADT110" s="335"/>
      <c r="ADU110" s="335"/>
      <c r="ADV110" s="335"/>
      <c r="ADW110" s="335"/>
      <c r="ADX110" s="335"/>
      <c r="ADY110" s="335"/>
      <c r="ADZ110" s="335"/>
      <c r="AEA110" s="335"/>
      <c r="AEB110" s="335"/>
      <c r="AEC110" s="335"/>
      <c r="AED110" s="335"/>
      <c r="AEE110" s="335"/>
      <c r="AEF110" s="335"/>
      <c r="AEG110" s="335"/>
      <c r="AEH110" s="335"/>
      <c r="AEI110" s="335"/>
      <c r="AEJ110" s="335"/>
      <c r="AEK110" s="335"/>
      <c r="AEL110" s="335"/>
      <c r="AEM110" s="335"/>
      <c r="AEN110" s="335"/>
      <c r="AEO110" s="335"/>
      <c r="AEP110" s="335"/>
      <c r="AEQ110" s="335"/>
      <c r="AER110" s="335"/>
      <c r="AES110" s="335"/>
      <c r="AET110" s="335"/>
      <c r="AEU110" s="335"/>
      <c r="AEV110" s="335"/>
      <c r="AEW110" s="335"/>
      <c r="AEX110" s="335"/>
      <c r="AEY110" s="335"/>
      <c r="AEZ110" s="335"/>
      <c r="AFA110" s="335"/>
      <c r="AFB110" s="335"/>
      <c r="AFC110" s="335"/>
      <c r="AFD110" s="335"/>
      <c r="AFE110" s="335"/>
      <c r="AFF110" s="335"/>
      <c r="AFG110" s="335"/>
      <c r="AFH110" s="335"/>
      <c r="AFI110" s="335"/>
      <c r="AFJ110" s="335"/>
      <c r="AFK110" s="335"/>
      <c r="AFL110" s="335"/>
      <c r="AFM110" s="335"/>
      <c r="AFN110" s="335"/>
      <c r="AFO110" s="335"/>
      <c r="AFP110" s="335"/>
      <c r="AFQ110" s="335"/>
      <c r="AFR110" s="335"/>
      <c r="AFS110" s="335"/>
      <c r="AFT110" s="335"/>
      <c r="AFU110" s="335"/>
      <c r="AFV110" s="335"/>
      <c r="AFW110" s="335"/>
      <c r="AFX110" s="335"/>
      <c r="AFY110" s="335"/>
      <c r="AFZ110" s="335"/>
      <c r="AGA110" s="335"/>
      <c r="AGB110" s="335"/>
      <c r="AGC110" s="335"/>
      <c r="AGD110" s="335"/>
      <c r="AGE110" s="335"/>
      <c r="AGF110" s="335"/>
      <c r="AGG110" s="335"/>
      <c r="AGH110" s="335"/>
      <c r="AGI110" s="335"/>
      <c r="AGJ110" s="335"/>
      <c r="AGK110" s="335"/>
      <c r="AGL110" s="335"/>
      <c r="AGM110" s="335"/>
      <c r="AGN110" s="335"/>
      <c r="AGO110" s="335"/>
      <c r="AGP110" s="335"/>
      <c r="AGQ110" s="335"/>
      <c r="AGR110" s="335"/>
      <c r="AGS110" s="335"/>
      <c r="AGT110" s="335"/>
      <c r="AGU110" s="335"/>
      <c r="AGV110" s="335"/>
      <c r="AGW110" s="335"/>
      <c r="AGX110" s="335"/>
      <c r="AGY110" s="335"/>
      <c r="AGZ110" s="335"/>
      <c r="AHA110" s="335"/>
      <c r="AHB110" s="335"/>
      <c r="AHC110" s="335"/>
      <c r="AHD110" s="335"/>
      <c r="AHE110" s="335"/>
      <c r="AHF110" s="335"/>
      <c r="AHG110" s="335"/>
      <c r="AHH110" s="335"/>
      <c r="AHI110" s="335"/>
      <c r="AHJ110" s="335"/>
      <c r="AHK110" s="335"/>
      <c r="AHL110" s="335"/>
      <c r="AHM110" s="335"/>
      <c r="AHN110" s="335"/>
      <c r="AHO110" s="335"/>
      <c r="AHP110" s="335"/>
      <c r="AHQ110" s="335"/>
      <c r="AHR110" s="335"/>
      <c r="AHS110" s="335"/>
      <c r="AHT110" s="335"/>
      <c r="AHU110" s="335"/>
      <c r="AHV110" s="335"/>
      <c r="AHW110" s="335"/>
      <c r="AHX110" s="335"/>
      <c r="AHY110" s="335"/>
      <c r="AHZ110" s="335"/>
      <c r="AIA110" s="335"/>
      <c r="AIB110" s="335"/>
    </row>
    <row r="111" spans="2:912" s="172" customFormat="1">
      <c r="B111" s="174"/>
      <c r="ABE111" s="336"/>
      <c r="ABF111" s="335"/>
      <c r="ABG111" s="335"/>
      <c r="ABH111" s="335"/>
      <c r="ABI111" s="335"/>
      <c r="ABJ111" s="335"/>
      <c r="ABK111" s="335"/>
      <c r="ABL111" s="335"/>
      <c r="ABM111" s="335"/>
      <c r="ABN111" s="335"/>
      <c r="ABO111" s="335"/>
      <c r="ABP111" s="335"/>
      <c r="ABQ111" s="335"/>
      <c r="ABR111" s="335"/>
      <c r="ABS111" s="335"/>
      <c r="ABT111" s="335"/>
      <c r="ABU111" s="335"/>
      <c r="ABV111" s="335"/>
      <c r="ABW111" s="335"/>
      <c r="ABX111" s="335"/>
      <c r="ABY111" s="335"/>
      <c r="ABZ111" s="335"/>
      <c r="ACA111" s="335"/>
      <c r="ACB111" s="335"/>
      <c r="ACC111" s="335"/>
      <c r="ACD111" s="335"/>
      <c r="ACE111" s="335"/>
      <c r="ACF111" s="335"/>
      <c r="ACG111" s="335"/>
      <c r="ACH111" s="335"/>
      <c r="ACI111" s="335"/>
      <c r="ACJ111" s="335"/>
      <c r="ACK111" s="335"/>
      <c r="ACL111" s="335"/>
      <c r="ACM111" s="335"/>
      <c r="ACN111" s="335"/>
      <c r="ACO111" s="335"/>
      <c r="ACP111" s="335"/>
      <c r="ACQ111" s="335"/>
      <c r="ACR111" s="335"/>
      <c r="ACS111" s="335"/>
      <c r="ACT111" s="335"/>
      <c r="ACU111" s="335"/>
      <c r="ACV111" s="335"/>
      <c r="ACW111" s="335"/>
      <c r="ACX111" s="335"/>
      <c r="ACY111" s="335"/>
      <c r="ACZ111" s="335"/>
      <c r="ADA111" s="335"/>
      <c r="ADB111" s="335"/>
      <c r="ADC111" s="335"/>
      <c r="ADD111" s="335"/>
      <c r="ADE111" s="335"/>
      <c r="ADF111" s="335"/>
      <c r="ADG111" s="335"/>
      <c r="ADH111" s="335"/>
      <c r="ADI111" s="335"/>
      <c r="ADJ111" s="335"/>
      <c r="ADK111" s="335"/>
      <c r="ADL111" s="335"/>
      <c r="ADM111" s="335"/>
      <c r="ADN111" s="335"/>
      <c r="ADO111" s="335"/>
      <c r="ADP111" s="335"/>
      <c r="ADQ111" s="335"/>
      <c r="ADR111" s="335"/>
      <c r="ADS111" s="335"/>
      <c r="ADT111" s="335"/>
      <c r="ADU111" s="335"/>
      <c r="ADV111" s="335"/>
      <c r="ADW111" s="335"/>
      <c r="ADX111" s="335"/>
      <c r="ADY111" s="335"/>
      <c r="ADZ111" s="335"/>
      <c r="AEA111" s="335"/>
      <c r="AEB111" s="335"/>
      <c r="AEC111" s="335"/>
      <c r="AED111" s="335"/>
      <c r="AEE111" s="335"/>
      <c r="AEF111" s="335"/>
      <c r="AEG111" s="335"/>
      <c r="AEH111" s="335"/>
      <c r="AEI111" s="335"/>
      <c r="AEJ111" s="335"/>
      <c r="AEK111" s="335"/>
      <c r="AEL111" s="335"/>
      <c r="AEM111" s="335"/>
      <c r="AEN111" s="335"/>
      <c r="AEO111" s="335"/>
      <c r="AEP111" s="335"/>
      <c r="AEQ111" s="335"/>
      <c r="AER111" s="335"/>
      <c r="AES111" s="335"/>
      <c r="AET111" s="335"/>
      <c r="AEU111" s="335"/>
      <c r="AEV111" s="335"/>
      <c r="AEW111" s="335"/>
      <c r="AEX111" s="335"/>
      <c r="AEY111" s="335"/>
      <c r="AEZ111" s="335"/>
      <c r="AFA111" s="335"/>
      <c r="AFB111" s="335"/>
      <c r="AFC111" s="335"/>
      <c r="AFD111" s="335"/>
      <c r="AFE111" s="335"/>
      <c r="AFF111" s="335"/>
      <c r="AFG111" s="335"/>
      <c r="AFH111" s="335"/>
      <c r="AFI111" s="335"/>
      <c r="AFJ111" s="335"/>
      <c r="AFK111" s="335"/>
      <c r="AFL111" s="335"/>
      <c r="AFM111" s="335"/>
      <c r="AFN111" s="335"/>
      <c r="AFO111" s="335"/>
      <c r="AFP111" s="335"/>
      <c r="AFQ111" s="335"/>
      <c r="AFR111" s="335"/>
      <c r="AFS111" s="335"/>
      <c r="AFT111" s="335"/>
      <c r="AFU111" s="335"/>
      <c r="AFV111" s="335"/>
      <c r="AFW111" s="335"/>
      <c r="AFX111" s="335"/>
      <c r="AFY111" s="335"/>
      <c r="AFZ111" s="335"/>
      <c r="AGA111" s="335"/>
      <c r="AGB111" s="335"/>
      <c r="AGC111" s="335"/>
      <c r="AGD111" s="335"/>
      <c r="AGE111" s="335"/>
      <c r="AGF111" s="335"/>
      <c r="AGG111" s="335"/>
      <c r="AGH111" s="335"/>
      <c r="AGI111" s="335"/>
      <c r="AGJ111" s="335"/>
      <c r="AGK111" s="335"/>
      <c r="AGL111" s="335"/>
      <c r="AGM111" s="335"/>
      <c r="AGN111" s="335"/>
      <c r="AGO111" s="335"/>
      <c r="AGP111" s="335"/>
      <c r="AGQ111" s="335"/>
      <c r="AGR111" s="335"/>
      <c r="AGS111" s="335"/>
      <c r="AGT111" s="335"/>
      <c r="AGU111" s="335"/>
      <c r="AGV111" s="335"/>
      <c r="AGW111" s="335"/>
      <c r="AGX111" s="335"/>
      <c r="AGY111" s="335"/>
      <c r="AGZ111" s="335"/>
      <c r="AHA111" s="335"/>
      <c r="AHB111" s="335"/>
      <c r="AHC111" s="335"/>
      <c r="AHD111" s="335"/>
      <c r="AHE111" s="335"/>
      <c r="AHF111" s="335"/>
      <c r="AHG111" s="335"/>
      <c r="AHH111" s="335"/>
      <c r="AHI111" s="335"/>
      <c r="AHJ111" s="335"/>
      <c r="AHK111" s="335"/>
      <c r="AHL111" s="335"/>
      <c r="AHM111" s="335"/>
      <c r="AHN111" s="335"/>
      <c r="AHO111" s="335"/>
      <c r="AHP111" s="335"/>
      <c r="AHQ111" s="335"/>
      <c r="AHR111" s="335"/>
      <c r="AHS111" s="335"/>
      <c r="AHT111" s="335"/>
      <c r="AHU111" s="335"/>
      <c r="AHV111" s="335"/>
      <c r="AHW111" s="335"/>
      <c r="AHX111" s="335"/>
      <c r="AHY111" s="335"/>
      <c r="AHZ111" s="335"/>
      <c r="AIA111" s="335"/>
      <c r="AIB111" s="335"/>
    </row>
    <row r="112" spans="2:912" s="172" customFormat="1">
      <c r="B112" s="174"/>
      <c r="ABE112" s="336"/>
      <c r="ABF112" s="335"/>
      <c r="ABG112" s="335"/>
      <c r="ABH112" s="335"/>
      <c r="ABI112" s="335"/>
      <c r="ABJ112" s="335"/>
      <c r="ABK112" s="335"/>
      <c r="ABL112" s="335"/>
      <c r="ABM112" s="335"/>
      <c r="ABN112" s="335"/>
      <c r="ABO112" s="335"/>
      <c r="ABP112" s="335"/>
      <c r="ABQ112" s="335"/>
      <c r="ABR112" s="335"/>
      <c r="ABS112" s="335"/>
      <c r="ABT112" s="335"/>
      <c r="ABU112" s="335"/>
      <c r="ABV112" s="335"/>
      <c r="ABW112" s="335"/>
      <c r="ABX112" s="335"/>
      <c r="ABY112" s="335"/>
      <c r="ABZ112" s="335"/>
      <c r="ACA112" s="335"/>
      <c r="ACB112" s="335"/>
      <c r="ACC112" s="335"/>
      <c r="ACD112" s="335"/>
      <c r="ACE112" s="335"/>
      <c r="ACF112" s="335"/>
      <c r="ACG112" s="335"/>
      <c r="ACH112" s="335"/>
      <c r="ACI112" s="335"/>
      <c r="ACJ112" s="335"/>
      <c r="ACK112" s="335"/>
      <c r="ACL112" s="335"/>
      <c r="ACM112" s="335"/>
      <c r="ACN112" s="335"/>
      <c r="ACO112" s="335"/>
      <c r="ACP112" s="335"/>
      <c r="ACQ112" s="335"/>
      <c r="ACR112" s="335"/>
      <c r="ACS112" s="335"/>
      <c r="ACT112" s="335"/>
      <c r="ACU112" s="335"/>
      <c r="ACV112" s="335"/>
      <c r="ACW112" s="335"/>
      <c r="ACX112" s="335"/>
      <c r="ACY112" s="335"/>
      <c r="ACZ112" s="335"/>
      <c r="ADA112" s="335"/>
      <c r="ADB112" s="335"/>
      <c r="ADC112" s="335"/>
      <c r="ADD112" s="335"/>
      <c r="ADE112" s="335"/>
      <c r="ADF112" s="335"/>
      <c r="ADG112" s="335"/>
      <c r="ADH112" s="335"/>
      <c r="ADI112" s="335"/>
      <c r="ADJ112" s="335"/>
      <c r="ADK112" s="335"/>
      <c r="ADL112" s="335"/>
      <c r="ADM112" s="335"/>
      <c r="ADN112" s="335"/>
      <c r="ADO112" s="335"/>
      <c r="ADP112" s="335"/>
      <c r="ADQ112" s="335"/>
      <c r="ADR112" s="335"/>
      <c r="ADS112" s="335"/>
      <c r="ADT112" s="335"/>
      <c r="ADU112" s="335"/>
      <c r="ADV112" s="335"/>
      <c r="ADW112" s="335"/>
      <c r="ADX112" s="335"/>
      <c r="ADY112" s="335"/>
      <c r="ADZ112" s="335"/>
      <c r="AEA112" s="335"/>
      <c r="AEB112" s="335"/>
      <c r="AEC112" s="335"/>
      <c r="AED112" s="335"/>
      <c r="AEE112" s="335"/>
      <c r="AEF112" s="335"/>
      <c r="AEG112" s="335"/>
      <c r="AEH112" s="335"/>
      <c r="AEI112" s="335"/>
      <c r="AEJ112" s="335"/>
      <c r="AEK112" s="335"/>
      <c r="AEL112" s="335"/>
      <c r="AEM112" s="335"/>
      <c r="AEN112" s="335"/>
      <c r="AEO112" s="335"/>
      <c r="AEP112" s="335"/>
      <c r="AEQ112" s="335"/>
      <c r="AER112" s="335"/>
      <c r="AES112" s="335"/>
      <c r="AET112" s="335"/>
      <c r="AEU112" s="335"/>
      <c r="AEV112" s="335"/>
      <c r="AEW112" s="335"/>
      <c r="AEX112" s="335"/>
      <c r="AEY112" s="335"/>
      <c r="AEZ112" s="335"/>
      <c r="AFA112" s="335"/>
      <c r="AFB112" s="335"/>
      <c r="AFC112" s="335"/>
      <c r="AFD112" s="335"/>
      <c r="AFE112" s="335"/>
      <c r="AFF112" s="335"/>
      <c r="AFG112" s="335"/>
      <c r="AFH112" s="335"/>
      <c r="AFI112" s="335"/>
      <c r="AFJ112" s="335"/>
      <c r="AFK112" s="335"/>
      <c r="AFL112" s="335"/>
      <c r="AFM112" s="335"/>
      <c r="AFN112" s="335"/>
      <c r="AFO112" s="335"/>
      <c r="AFP112" s="335"/>
      <c r="AFQ112" s="335"/>
      <c r="AFR112" s="335"/>
      <c r="AFS112" s="335"/>
      <c r="AFT112" s="335"/>
      <c r="AFU112" s="335"/>
      <c r="AFV112" s="335"/>
      <c r="AFW112" s="335"/>
      <c r="AFX112" s="335"/>
      <c r="AFY112" s="335"/>
      <c r="AFZ112" s="335"/>
      <c r="AGA112" s="335"/>
      <c r="AGB112" s="335"/>
      <c r="AGC112" s="335"/>
      <c r="AGD112" s="335"/>
      <c r="AGE112" s="335"/>
      <c r="AGF112" s="335"/>
      <c r="AGG112" s="335"/>
      <c r="AGH112" s="335"/>
      <c r="AGI112" s="335"/>
      <c r="AGJ112" s="335"/>
      <c r="AGK112" s="335"/>
      <c r="AGL112" s="335"/>
      <c r="AGM112" s="335"/>
      <c r="AGN112" s="335"/>
      <c r="AGO112" s="335"/>
      <c r="AGP112" s="335"/>
      <c r="AGQ112" s="335"/>
      <c r="AGR112" s="335"/>
      <c r="AGS112" s="335"/>
      <c r="AGT112" s="335"/>
      <c r="AGU112" s="335"/>
      <c r="AGV112" s="335"/>
      <c r="AGW112" s="335"/>
      <c r="AGX112" s="335"/>
      <c r="AGY112" s="335"/>
      <c r="AGZ112" s="335"/>
      <c r="AHA112" s="335"/>
      <c r="AHB112" s="335"/>
      <c r="AHC112" s="335"/>
      <c r="AHD112" s="335"/>
      <c r="AHE112" s="335"/>
      <c r="AHF112" s="335"/>
      <c r="AHG112" s="335"/>
      <c r="AHH112" s="335"/>
      <c r="AHI112" s="335"/>
      <c r="AHJ112" s="335"/>
      <c r="AHK112" s="335"/>
      <c r="AHL112" s="335"/>
      <c r="AHM112" s="335"/>
      <c r="AHN112" s="335"/>
      <c r="AHO112" s="335"/>
      <c r="AHP112" s="335"/>
      <c r="AHQ112" s="335"/>
      <c r="AHR112" s="335"/>
      <c r="AHS112" s="335"/>
      <c r="AHT112" s="335"/>
      <c r="AHU112" s="335"/>
      <c r="AHV112" s="335"/>
      <c r="AHW112" s="335"/>
      <c r="AHX112" s="335"/>
      <c r="AHY112" s="335"/>
      <c r="AHZ112" s="335"/>
      <c r="AIA112" s="335"/>
      <c r="AIB112" s="335"/>
    </row>
    <row r="113" spans="2:912" s="172" customFormat="1">
      <c r="B113" s="174"/>
      <c r="ABE113" s="336"/>
      <c r="ABF113" s="335"/>
      <c r="ABG113" s="335"/>
      <c r="ABH113" s="335"/>
      <c r="ABI113" s="335"/>
      <c r="ABJ113" s="335"/>
      <c r="ABK113" s="335"/>
      <c r="ABL113" s="335"/>
      <c r="ABM113" s="335"/>
      <c r="ABN113" s="335"/>
      <c r="ABO113" s="335"/>
      <c r="ABP113" s="335"/>
      <c r="ABQ113" s="335"/>
      <c r="ABR113" s="335"/>
      <c r="ABS113" s="335"/>
      <c r="ABT113" s="335"/>
      <c r="ABU113" s="335"/>
      <c r="ABV113" s="335"/>
      <c r="ABW113" s="335"/>
      <c r="ABX113" s="335"/>
      <c r="ABY113" s="335"/>
      <c r="ABZ113" s="335"/>
      <c r="ACA113" s="335"/>
      <c r="ACB113" s="335"/>
      <c r="ACC113" s="335"/>
      <c r="ACD113" s="335"/>
      <c r="ACE113" s="335"/>
      <c r="ACF113" s="335"/>
      <c r="ACG113" s="335"/>
      <c r="ACH113" s="335"/>
      <c r="ACI113" s="335"/>
      <c r="ACJ113" s="335"/>
      <c r="ACK113" s="335"/>
      <c r="ACL113" s="335"/>
      <c r="ACM113" s="335"/>
      <c r="ACN113" s="335"/>
      <c r="ACO113" s="335"/>
      <c r="ACP113" s="335"/>
      <c r="ACQ113" s="335"/>
      <c r="ACR113" s="335"/>
      <c r="ACS113" s="335"/>
      <c r="ACT113" s="335"/>
      <c r="ACU113" s="335"/>
      <c r="ACV113" s="335"/>
      <c r="ACW113" s="335"/>
      <c r="ACX113" s="335"/>
      <c r="ACY113" s="335"/>
      <c r="ACZ113" s="335"/>
      <c r="ADA113" s="335"/>
      <c r="ADB113" s="335"/>
      <c r="ADC113" s="335"/>
      <c r="ADD113" s="335"/>
      <c r="ADE113" s="335"/>
      <c r="ADF113" s="335"/>
      <c r="ADG113" s="335"/>
      <c r="ADH113" s="335"/>
      <c r="ADI113" s="335"/>
      <c r="ADJ113" s="335"/>
      <c r="ADK113" s="335"/>
      <c r="ADL113" s="335"/>
      <c r="ADM113" s="335"/>
      <c r="ADN113" s="335"/>
      <c r="ADO113" s="335"/>
      <c r="ADP113" s="335"/>
      <c r="ADQ113" s="335"/>
      <c r="ADR113" s="335"/>
      <c r="ADS113" s="335"/>
      <c r="ADT113" s="335"/>
      <c r="ADU113" s="335"/>
      <c r="ADV113" s="335"/>
      <c r="ADW113" s="335"/>
      <c r="ADX113" s="335"/>
      <c r="ADY113" s="335"/>
      <c r="ADZ113" s="335"/>
      <c r="AEA113" s="335"/>
      <c r="AEB113" s="335"/>
      <c r="AEC113" s="335"/>
      <c r="AED113" s="335"/>
      <c r="AEE113" s="335"/>
      <c r="AEF113" s="335"/>
      <c r="AEG113" s="335"/>
      <c r="AEH113" s="335"/>
      <c r="AEI113" s="335"/>
      <c r="AEJ113" s="335"/>
      <c r="AEK113" s="335"/>
      <c r="AEL113" s="335"/>
      <c r="AEM113" s="335"/>
      <c r="AEN113" s="335"/>
      <c r="AEO113" s="335"/>
      <c r="AEP113" s="335"/>
      <c r="AEQ113" s="335"/>
      <c r="AER113" s="335"/>
      <c r="AES113" s="335"/>
      <c r="AET113" s="335"/>
      <c r="AEU113" s="335"/>
      <c r="AEV113" s="335"/>
      <c r="AEW113" s="335"/>
      <c r="AEX113" s="335"/>
      <c r="AEY113" s="335"/>
      <c r="AEZ113" s="335"/>
      <c r="AFA113" s="335"/>
      <c r="AFB113" s="335"/>
      <c r="AFC113" s="335"/>
      <c r="AFD113" s="335"/>
      <c r="AFE113" s="335"/>
      <c r="AFF113" s="335"/>
      <c r="AFG113" s="335"/>
      <c r="AFH113" s="335"/>
      <c r="AFI113" s="335"/>
      <c r="AFJ113" s="335"/>
      <c r="AFK113" s="335"/>
      <c r="AFL113" s="335"/>
      <c r="AFM113" s="335"/>
      <c r="AFN113" s="335"/>
      <c r="AFO113" s="335"/>
      <c r="AFP113" s="335"/>
      <c r="AFQ113" s="335"/>
      <c r="AFR113" s="335"/>
      <c r="AFS113" s="335"/>
      <c r="AFT113" s="335"/>
      <c r="AFU113" s="335"/>
      <c r="AFV113" s="335"/>
      <c r="AFW113" s="335"/>
      <c r="AFX113" s="335"/>
      <c r="AFY113" s="335"/>
      <c r="AFZ113" s="335"/>
      <c r="AGA113" s="335"/>
      <c r="AGB113" s="335"/>
      <c r="AGC113" s="335"/>
      <c r="AGD113" s="335"/>
      <c r="AGE113" s="335"/>
      <c r="AGF113" s="335"/>
      <c r="AGG113" s="335"/>
      <c r="AGH113" s="335"/>
      <c r="AGI113" s="335"/>
      <c r="AGJ113" s="335"/>
      <c r="AGK113" s="335"/>
      <c r="AGL113" s="335"/>
      <c r="AGM113" s="335"/>
      <c r="AGN113" s="335"/>
      <c r="AGO113" s="335"/>
      <c r="AGP113" s="335"/>
      <c r="AGQ113" s="335"/>
      <c r="AGR113" s="335"/>
      <c r="AGS113" s="335"/>
      <c r="AGT113" s="335"/>
      <c r="AGU113" s="335"/>
      <c r="AGV113" s="335"/>
      <c r="AGW113" s="335"/>
      <c r="AGX113" s="335"/>
      <c r="AGY113" s="335"/>
      <c r="AGZ113" s="335"/>
      <c r="AHA113" s="335"/>
      <c r="AHB113" s="335"/>
      <c r="AHC113" s="335"/>
      <c r="AHD113" s="335"/>
      <c r="AHE113" s="335"/>
      <c r="AHF113" s="335"/>
      <c r="AHG113" s="335"/>
      <c r="AHH113" s="335"/>
      <c r="AHI113" s="335"/>
      <c r="AHJ113" s="335"/>
      <c r="AHK113" s="335"/>
      <c r="AHL113" s="335"/>
      <c r="AHM113" s="335"/>
      <c r="AHN113" s="335"/>
      <c r="AHO113" s="335"/>
      <c r="AHP113" s="335"/>
      <c r="AHQ113" s="335"/>
      <c r="AHR113" s="335"/>
      <c r="AHS113" s="335"/>
      <c r="AHT113" s="335"/>
      <c r="AHU113" s="335"/>
      <c r="AHV113" s="335"/>
      <c r="AHW113" s="335"/>
      <c r="AHX113" s="335"/>
      <c r="AHY113" s="335"/>
      <c r="AHZ113" s="335"/>
      <c r="AIA113" s="335"/>
      <c r="AIB113" s="335"/>
    </row>
    <row r="114" spans="2:912" s="172" customFormat="1">
      <c r="B114" s="174"/>
      <c r="ABE114" s="336"/>
      <c r="ABF114" s="335"/>
      <c r="ABG114" s="335"/>
      <c r="ABH114" s="335"/>
      <c r="ABI114" s="335"/>
      <c r="ABJ114" s="335"/>
      <c r="ABK114" s="335"/>
      <c r="ABL114" s="335"/>
      <c r="ABM114" s="335"/>
      <c r="ABN114" s="335"/>
      <c r="ABO114" s="335"/>
      <c r="ABP114" s="335"/>
      <c r="ABQ114" s="335"/>
      <c r="ABR114" s="335"/>
      <c r="ABS114" s="335"/>
      <c r="ABT114" s="335"/>
      <c r="ABU114" s="335"/>
      <c r="ABV114" s="335"/>
      <c r="ABW114" s="335"/>
      <c r="ABX114" s="335"/>
      <c r="ABY114" s="335"/>
      <c r="ABZ114" s="335"/>
      <c r="ACA114" s="335"/>
      <c r="ACB114" s="335"/>
      <c r="ACC114" s="335"/>
      <c r="ACD114" s="335"/>
      <c r="ACE114" s="335"/>
      <c r="ACF114" s="335"/>
      <c r="ACG114" s="335"/>
      <c r="ACH114" s="335"/>
      <c r="ACI114" s="335"/>
      <c r="ACJ114" s="335"/>
      <c r="ACK114" s="335"/>
      <c r="ACL114" s="335"/>
      <c r="ACM114" s="335"/>
      <c r="ACN114" s="335"/>
      <c r="ACO114" s="335"/>
      <c r="ACP114" s="335"/>
      <c r="ACQ114" s="335"/>
      <c r="ACR114" s="335"/>
      <c r="ACS114" s="335"/>
      <c r="ACT114" s="335"/>
      <c r="ACU114" s="335"/>
      <c r="ACV114" s="335"/>
      <c r="ACW114" s="335"/>
      <c r="ACX114" s="335"/>
      <c r="ACY114" s="335"/>
      <c r="ACZ114" s="335"/>
      <c r="ADA114" s="335"/>
      <c r="ADB114" s="335"/>
      <c r="ADC114" s="335"/>
      <c r="ADD114" s="335"/>
      <c r="ADE114" s="335"/>
      <c r="ADF114" s="335"/>
      <c r="ADG114" s="335"/>
      <c r="ADH114" s="335"/>
      <c r="ADI114" s="335"/>
      <c r="ADJ114" s="335"/>
      <c r="ADK114" s="335"/>
      <c r="ADL114" s="335"/>
      <c r="ADM114" s="335"/>
      <c r="ADN114" s="335"/>
      <c r="ADO114" s="335"/>
      <c r="ADP114" s="335"/>
      <c r="ADQ114" s="335"/>
      <c r="ADR114" s="335"/>
      <c r="ADS114" s="335"/>
      <c r="ADT114" s="335"/>
      <c r="ADU114" s="335"/>
      <c r="ADV114" s="335"/>
      <c r="ADW114" s="335"/>
      <c r="ADX114" s="335"/>
      <c r="ADY114" s="335"/>
      <c r="ADZ114" s="335"/>
      <c r="AEA114" s="335"/>
      <c r="AEB114" s="335"/>
      <c r="AEC114" s="335"/>
      <c r="AED114" s="335"/>
      <c r="AEE114" s="335"/>
      <c r="AEF114" s="335"/>
      <c r="AEG114" s="335"/>
      <c r="AEH114" s="335"/>
      <c r="AEI114" s="335"/>
      <c r="AEJ114" s="335"/>
      <c r="AEK114" s="335"/>
      <c r="AEL114" s="335"/>
      <c r="AEM114" s="335"/>
      <c r="AEN114" s="335"/>
      <c r="AEO114" s="335"/>
      <c r="AEP114" s="335"/>
      <c r="AEQ114" s="335"/>
      <c r="AER114" s="335"/>
      <c r="AES114" s="335"/>
      <c r="AET114" s="335"/>
      <c r="AEU114" s="335"/>
      <c r="AEV114" s="335"/>
      <c r="AEW114" s="335"/>
      <c r="AEX114" s="335"/>
      <c r="AEY114" s="335"/>
      <c r="AEZ114" s="335"/>
      <c r="AFA114" s="335"/>
      <c r="AFB114" s="335"/>
      <c r="AFC114" s="335"/>
      <c r="AFD114" s="335"/>
      <c r="AFE114" s="335"/>
      <c r="AFF114" s="335"/>
      <c r="AFG114" s="335"/>
      <c r="AFH114" s="335"/>
      <c r="AFI114" s="335"/>
      <c r="AFJ114" s="335"/>
      <c r="AFK114" s="335"/>
      <c r="AFL114" s="335"/>
      <c r="AFM114" s="335"/>
      <c r="AFN114" s="335"/>
      <c r="AFO114" s="335"/>
      <c r="AFP114" s="335"/>
      <c r="AFQ114" s="335"/>
      <c r="AFR114" s="335"/>
      <c r="AFS114" s="335"/>
      <c r="AFT114" s="335"/>
      <c r="AFU114" s="335"/>
      <c r="AFV114" s="335"/>
      <c r="AFW114" s="335"/>
      <c r="AFX114" s="335"/>
      <c r="AFY114" s="335"/>
      <c r="AFZ114" s="335"/>
      <c r="AGA114" s="335"/>
      <c r="AGB114" s="335"/>
      <c r="AGC114" s="335"/>
      <c r="AGD114" s="335"/>
      <c r="AGE114" s="335"/>
      <c r="AGF114" s="335"/>
      <c r="AGG114" s="335"/>
      <c r="AGH114" s="335"/>
      <c r="AGI114" s="335"/>
      <c r="AGJ114" s="335"/>
      <c r="AGK114" s="335"/>
      <c r="AGL114" s="335"/>
      <c r="AGM114" s="335"/>
      <c r="AGN114" s="335"/>
      <c r="AGO114" s="335"/>
      <c r="AGP114" s="335"/>
      <c r="AGQ114" s="335"/>
      <c r="AGR114" s="335"/>
      <c r="AGS114" s="335"/>
      <c r="AGT114" s="335"/>
      <c r="AGU114" s="335"/>
      <c r="AGV114" s="335"/>
      <c r="AGW114" s="335"/>
      <c r="AGX114" s="335"/>
      <c r="AGY114" s="335"/>
      <c r="AGZ114" s="335"/>
      <c r="AHA114" s="335"/>
      <c r="AHB114" s="335"/>
      <c r="AHC114" s="335"/>
      <c r="AHD114" s="335"/>
      <c r="AHE114" s="335"/>
      <c r="AHF114" s="335"/>
      <c r="AHG114" s="335"/>
      <c r="AHH114" s="335"/>
      <c r="AHI114" s="335"/>
      <c r="AHJ114" s="335"/>
      <c r="AHK114" s="335"/>
      <c r="AHL114" s="335"/>
      <c r="AHM114" s="335"/>
      <c r="AHN114" s="335"/>
      <c r="AHO114" s="335"/>
      <c r="AHP114" s="335"/>
      <c r="AHQ114" s="335"/>
      <c r="AHR114" s="335"/>
      <c r="AHS114" s="335"/>
      <c r="AHT114" s="335"/>
      <c r="AHU114" s="335"/>
      <c r="AHV114" s="335"/>
      <c r="AHW114" s="335"/>
      <c r="AHX114" s="335"/>
      <c r="AHY114" s="335"/>
      <c r="AHZ114" s="335"/>
      <c r="AIA114" s="335"/>
      <c r="AIB114" s="335"/>
    </row>
    <row r="115" spans="2:912" s="172" customFormat="1">
      <c r="B115" s="174"/>
      <c r="ABE115" s="336"/>
      <c r="ABF115" s="335"/>
      <c r="ABG115" s="335"/>
      <c r="ABH115" s="335"/>
      <c r="ABI115" s="335"/>
      <c r="ABJ115" s="335"/>
      <c r="ABK115" s="335"/>
      <c r="ABL115" s="335"/>
      <c r="ABM115" s="335"/>
      <c r="ABN115" s="335"/>
      <c r="ABO115" s="335"/>
      <c r="ABP115" s="335"/>
      <c r="ABQ115" s="335"/>
      <c r="ABR115" s="335"/>
      <c r="ABS115" s="335"/>
      <c r="ABT115" s="335"/>
      <c r="ABU115" s="335"/>
      <c r="ABV115" s="335"/>
      <c r="ABW115" s="335"/>
      <c r="ABX115" s="335"/>
      <c r="ABY115" s="335"/>
      <c r="ABZ115" s="335"/>
      <c r="ACA115" s="335"/>
      <c r="ACB115" s="335"/>
      <c r="ACC115" s="335"/>
      <c r="ACD115" s="335"/>
      <c r="ACE115" s="335"/>
      <c r="ACF115" s="335"/>
      <c r="ACG115" s="335"/>
      <c r="ACH115" s="335"/>
      <c r="ACI115" s="335"/>
      <c r="ACJ115" s="335"/>
      <c r="ACK115" s="335"/>
      <c r="ACL115" s="335"/>
      <c r="ACM115" s="335"/>
      <c r="ACN115" s="335"/>
      <c r="ACO115" s="335"/>
      <c r="ACP115" s="335"/>
      <c r="ACQ115" s="335"/>
      <c r="ACR115" s="335"/>
      <c r="ACS115" s="335"/>
      <c r="ACT115" s="335"/>
      <c r="ACU115" s="335"/>
      <c r="ACV115" s="335"/>
      <c r="ACW115" s="335"/>
      <c r="ACX115" s="335"/>
      <c r="ACY115" s="335"/>
      <c r="ACZ115" s="335"/>
      <c r="ADA115" s="335"/>
      <c r="ADB115" s="335"/>
      <c r="ADC115" s="335"/>
      <c r="ADD115" s="335"/>
      <c r="ADE115" s="335"/>
      <c r="ADF115" s="335"/>
      <c r="ADG115" s="335"/>
      <c r="ADH115" s="335"/>
      <c r="ADI115" s="335"/>
      <c r="ADJ115" s="335"/>
      <c r="ADK115" s="335"/>
      <c r="ADL115" s="335"/>
      <c r="ADM115" s="335"/>
      <c r="ADN115" s="335"/>
      <c r="ADO115" s="335"/>
      <c r="ADP115" s="335"/>
      <c r="ADQ115" s="335"/>
      <c r="ADR115" s="335"/>
      <c r="ADS115" s="335"/>
      <c r="ADT115" s="335"/>
      <c r="ADU115" s="335"/>
      <c r="ADV115" s="335"/>
      <c r="ADW115" s="335"/>
      <c r="ADX115" s="335"/>
      <c r="ADY115" s="335"/>
      <c r="ADZ115" s="335"/>
      <c r="AEA115" s="335"/>
      <c r="AEB115" s="335"/>
      <c r="AEC115" s="335"/>
      <c r="AED115" s="335"/>
      <c r="AEE115" s="335"/>
      <c r="AEF115" s="335"/>
      <c r="AEG115" s="335"/>
      <c r="AEH115" s="335"/>
      <c r="AEI115" s="335"/>
      <c r="AEJ115" s="335"/>
      <c r="AEK115" s="335"/>
      <c r="AEL115" s="335"/>
      <c r="AEM115" s="335"/>
      <c r="AEN115" s="335"/>
      <c r="AEO115" s="335"/>
      <c r="AEP115" s="335"/>
      <c r="AEQ115" s="335"/>
      <c r="AER115" s="335"/>
      <c r="AES115" s="335"/>
      <c r="AET115" s="335"/>
      <c r="AEU115" s="335"/>
      <c r="AEV115" s="335"/>
      <c r="AEW115" s="335"/>
      <c r="AEX115" s="335"/>
      <c r="AEY115" s="335"/>
      <c r="AEZ115" s="335"/>
      <c r="AFA115" s="335"/>
      <c r="AFB115" s="335"/>
      <c r="AFC115" s="335"/>
      <c r="AFD115" s="335"/>
      <c r="AFE115" s="335"/>
      <c r="AFF115" s="335"/>
      <c r="AFG115" s="335"/>
      <c r="AFH115" s="335"/>
      <c r="AFI115" s="335"/>
      <c r="AFJ115" s="335"/>
      <c r="AFK115" s="335"/>
      <c r="AFL115" s="335"/>
      <c r="AFM115" s="335"/>
      <c r="AFN115" s="335"/>
      <c r="AFO115" s="335"/>
      <c r="AFP115" s="335"/>
      <c r="AFQ115" s="335"/>
      <c r="AFR115" s="335"/>
      <c r="AFS115" s="335"/>
      <c r="AFT115" s="335"/>
      <c r="AFU115" s="335"/>
      <c r="AFV115" s="335"/>
      <c r="AFW115" s="335"/>
      <c r="AFX115" s="335"/>
      <c r="AFY115" s="335"/>
      <c r="AFZ115" s="335"/>
      <c r="AGA115" s="335"/>
      <c r="AGB115" s="335"/>
      <c r="AGC115" s="335"/>
      <c r="AGD115" s="335"/>
      <c r="AGE115" s="335"/>
      <c r="AGF115" s="335"/>
      <c r="AGG115" s="335"/>
      <c r="AGH115" s="335"/>
      <c r="AGI115" s="335"/>
      <c r="AGJ115" s="335"/>
      <c r="AGK115" s="335"/>
      <c r="AGL115" s="335"/>
      <c r="AGM115" s="335"/>
      <c r="AGN115" s="335"/>
      <c r="AGO115" s="335"/>
      <c r="AGP115" s="335"/>
      <c r="AGQ115" s="335"/>
      <c r="AGR115" s="335"/>
      <c r="AGS115" s="335"/>
      <c r="AGT115" s="335"/>
      <c r="AGU115" s="335"/>
      <c r="AGV115" s="335"/>
      <c r="AGW115" s="335"/>
      <c r="AGX115" s="335"/>
      <c r="AGY115" s="335"/>
      <c r="AGZ115" s="335"/>
      <c r="AHA115" s="335"/>
      <c r="AHB115" s="335"/>
      <c r="AHC115" s="335"/>
      <c r="AHD115" s="335"/>
      <c r="AHE115" s="335"/>
      <c r="AHF115" s="335"/>
      <c r="AHG115" s="335"/>
      <c r="AHH115" s="335"/>
      <c r="AHI115" s="335"/>
      <c r="AHJ115" s="335"/>
      <c r="AHK115" s="335"/>
      <c r="AHL115" s="335"/>
      <c r="AHM115" s="335"/>
      <c r="AHN115" s="335"/>
      <c r="AHO115" s="335"/>
      <c r="AHP115" s="335"/>
      <c r="AHQ115" s="335"/>
      <c r="AHR115" s="335"/>
      <c r="AHS115" s="335"/>
      <c r="AHT115" s="335"/>
      <c r="AHU115" s="335"/>
      <c r="AHV115" s="335"/>
      <c r="AHW115" s="335"/>
      <c r="AHX115" s="335"/>
      <c r="AHY115" s="335"/>
      <c r="AHZ115" s="335"/>
      <c r="AIA115" s="335"/>
      <c r="AIB115" s="335"/>
    </row>
    <row r="116" spans="2:912" s="172" customFormat="1">
      <c r="B116" s="174"/>
      <c r="ABE116" s="336"/>
      <c r="ABF116" s="335"/>
      <c r="ABG116" s="335"/>
      <c r="ABH116" s="335"/>
      <c r="ABI116" s="335"/>
      <c r="ABJ116" s="335"/>
      <c r="ABK116" s="335"/>
      <c r="ABL116" s="335"/>
      <c r="ABM116" s="335"/>
      <c r="ABN116" s="335"/>
      <c r="ABO116" s="335"/>
      <c r="ABP116" s="335"/>
      <c r="ABQ116" s="335"/>
      <c r="ABR116" s="335"/>
      <c r="ABS116" s="335"/>
      <c r="ABT116" s="335"/>
      <c r="ABU116" s="335"/>
      <c r="ABV116" s="335"/>
      <c r="ABW116" s="335"/>
      <c r="ABX116" s="335"/>
      <c r="ABY116" s="335"/>
      <c r="ABZ116" s="335"/>
      <c r="ACA116" s="335"/>
      <c r="ACB116" s="335"/>
      <c r="ACC116" s="335"/>
      <c r="ACD116" s="335"/>
      <c r="ACE116" s="335"/>
      <c r="ACF116" s="335"/>
      <c r="ACG116" s="335"/>
      <c r="ACH116" s="335"/>
      <c r="ACI116" s="335"/>
      <c r="ACJ116" s="335"/>
      <c r="ACK116" s="335"/>
      <c r="ACL116" s="335"/>
      <c r="ACM116" s="335"/>
      <c r="ACN116" s="335"/>
      <c r="ACO116" s="335"/>
      <c r="ACP116" s="335"/>
      <c r="ACQ116" s="335"/>
      <c r="ACR116" s="335"/>
      <c r="ACS116" s="335"/>
      <c r="ACT116" s="335"/>
      <c r="ACU116" s="335"/>
      <c r="ACV116" s="335"/>
      <c r="ACW116" s="335"/>
      <c r="ACX116" s="335"/>
      <c r="ACY116" s="335"/>
      <c r="ACZ116" s="335"/>
      <c r="ADA116" s="335"/>
      <c r="ADB116" s="335"/>
      <c r="ADC116" s="335"/>
      <c r="ADD116" s="335"/>
      <c r="ADE116" s="335"/>
      <c r="ADF116" s="335"/>
      <c r="ADG116" s="335"/>
      <c r="ADH116" s="335"/>
      <c r="ADI116" s="335"/>
      <c r="ADJ116" s="335"/>
      <c r="ADK116" s="335"/>
      <c r="ADL116" s="335"/>
      <c r="ADM116" s="335"/>
      <c r="ADN116" s="335"/>
      <c r="ADO116" s="335"/>
      <c r="ADP116" s="335"/>
      <c r="ADQ116" s="335"/>
      <c r="ADR116" s="335"/>
      <c r="ADS116" s="335"/>
      <c r="ADT116" s="335"/>
      <c r="ADU116" s="335"/>
      <c r="ADV116" s="335"/>
      <c r="ADW116" s="335"/>
      <c r="ADX116" s="335"/>
      <c r="ADY116" s="335"/>
      <c r="ADZ116" s="335"/>
      <c r="AEA116" s="335"/>
      <c r="AEB116" s="335"/>
      <c r="AEC116" s="335"/>
      <c r="AED116" s="335"/>
      <c r="AEE116" s="335"/>
      <c r="AEF116" s="335"/>
      <c r="AEG116" s="335"/>
      <c r="AEH116" s="335"/>
      <c r="AEI116" s="335"/>
      <c r="AEJ116" s="335"/>
      <c r="AEK116" s="335"/>
      <c r="AEL116" s="335"/>
      <c r="AEM116" s="335"/>
      <c r="AEN116" s="335"/>
      <c r="AEO116" s="335"/>
      <c r="AEP116" s="335"/>
      <c r="AEQ116" s="335"/>
      <c r="AER116" s="335"/>
      <c r="AES116" s="335"/>
      <c r="AET116" s="335"/>
      <c r="AEU116" s="335"/>
      <c r="AEV116" s="335"/>
      <c r="AEW116" s="335"/>
      <c r="AEX116" s="335"/>
      <c r="AEY116" s="335"/>
      <c r="AEZ116" s="335"/>
      <c r="AFA116" s="335"/>
      <c r="AFB116" s="335"/>
      <c r="AFC116" s="335"/>
      <c r="AFD116" s="335"/>
      <c r="AFE116" s="335"/>
      <c r="AFF116" s="335"/>
      <c r="AFG116" s="335"/>
      <c r="AFH116" s="335"/>
      <c r="AFI116" s="335"/>
      <c r="AFJ116" s="335"/>
      <c r="AFK116" s="335"/>
      <c r="AFL116" s="335"/>
      <c r="AFM116" s="335"/>
      <c r="AFN116" s="335"/>
      <c r="AFO116" s="335"/>
      <c r="AFP116" s="335"/>
      <c r="AFQ116" s="335"/>
      <c r="AFR116" s="335"/>
      <c r="AFS116" s="335"/>
      <c r="AFT116" s="335"/>
      <c r="AFU116" s="335"/>
      <c r="AFV116" s="335"/>
      <c r="AFW116" s="335"/>
      <c r="AFX116" s="335"/>
      <c r="AFY116" s="335"/>
      <c r="AFZ116" s="335"/>
      <c r="AGA116" s="335"/>
      <c r="AGB116" s="335"/>
      <c r="AGC116" s="335"/>
      <c r="AGD116" s="335"/>
      <c r="AGE116" s="335"/>
      <c r="AGF116" s="335"/>
      <c r="AGG116" s="335"/>
      <c r="AGH116" s="335"/>
      <c r="AGI116" s="335"/>
      <c r="AGJ116" s="335"/>
      <c r="AGK116" s="335"/>
      <c r="AGL116" s="335"/>
      <c r="AGM116" s="335"/>
      <c r="AGN116" s="335"/>
      <c r="AGO116" s="335"/>
      <c r="AGP116" s="335"/>
      <c r="AGQ116" s="335"/>
      <c r="AGR116" s="335"/>
      <c r="AGS116" s="335"/>
      <c r="AGT116" s="335"/>
      <c r="AGU116" s="335"/>
      <c r="AGV116" s="335"/>
      <c r="AGW116" s="335"/>
      <c r="AGX116" s="335"/>
      <c r="AGY116" s="335"/>
      <c r="AGZ116" s="335"/>
      <c r="AHA116" s="335"/>
      <c r="AHB116" s="335"/>
      <c r="AHC116" s="335"/>
      <c r="AHD116" s="335"/>
      <c r="AHE116" s="335"/>
      <c r="AHF116" s="335"/>
      <c r="AHG116" s="335"/>
      <c r="AHH116" s="335"/>
      <c r="AHI116" s="335"/>
      <c r="AHJ116" s="335"/>
      <c r="AHK116" s="335"/>
      <c r="AHL116" s="335"/>
      <c r="AHM116" s="335"/>
      <c r="AHN116" s="335"/>
      <c r="AHO116" s="335"/>
      <c r="AHP116" s="335"/>
      <c r="AHQ116" s="335"/>
      <c r="AHR116" s="335"/>
      <c r="AHS116" s="335"/>
      <c r="AHT116" s="335"/>
      <c r="AHU116" s="335"/>
      <c r="AHV116" s="335"/>
      <c r="AHW116" s="335"/>
      <c r="AHX116" s="335"/>
      <c r="AHY116" s="335"/>
      <c r="AHZ116" s="335"/>
      <c r="AIA116" s="335"/>
      <c r="AIB116" s="335"/>
    </row>
    <row r="117" spans="2:912" s="172" customFormat="1">
      <c r="B117" s="174"/>
      <c r="ABE117" s="336"/>
      <c r="ABF117" s="335"/>
      <c r="ABG117" s="335"/>
      <c r="ABH117" s="335"/>
      <c r="ABI117" s="335"/>
      <c r="ABJ117" s="335"/>
      <c r="ABK117" s="335"/>
      <c r="ABL117" s="335"/>
      <c r="ABM117" s="335"/>
      <c r="ABN117" s="335"/>
      <c r="ABO117" s="335"/>
      <c r="ABP117" s="335"/>
      <c r="ABQ117" s="335"/>
      <c r="ABR117" s="335"/>
      <c r="ABS117" s="335"/>
      <c r="ABT117" s="335"/>
      <c r="ABU117" s="335"/>
      <c r="ABV117" s="335"/>
      <c r="ABW117" s="335"/>
      <c r="ABX117" s="335"/>
      <c r="ABY117" s="335"/>
      <c r="ABZ117" s="335"/>
      <c r="ACA117" s="335"/>
      <c r="ACB117" s="335"/>
      <c r="ACC117" s="335"/>
      <c r="ACD117" s="335"/>
      <c r="ACE117" s="335"/>
      <c r="ACF117" s="335"/>
      <c r="ACG117" s="335"/>
      <c r="ACH117" s="335"/>
      <c r="ACI117" s="335"/>
      <c r="ACJ117" s="335"/>
      <c r="ACK117" s="335"/>
      <c r="ACL117" s="335"/>
      <c r="ACM117" s="335"/>
      <c r="ACN117" s="335"/>
      <c r="ACO117" s="335"/>
      <c r="ACP117" s="335"/>
      <c r="ACQ117" s="335"/>
      <c r="ACR117" s="335"/>
      <c r="ACS117" s="335"/>
      <c r="ACT117" s="335"/>
      <c r="ACU117" s="335"/>
      <c r="ACV117" s="335"/>
      <c r="ACW117" s="335"/>
      <c r="ACX117" s="335"/>
      <c r="ACY117" s="335"/>
      <c r="ACZ117" s="335"/>
      <c r="ADA117" s="335"/>
      <c r="ADB117" s="335"/>
      <c r="ADC117" s="335"/>
      <c r="ADD117" s="335"/>
      <c r="ADE117" s="335"/>
      <c r="ADF117" s="335"/>
      <c r="ADG117" s="335"/>
      <c r="ADH117" s="335"/>
      <c r="ADI117" s="335"/>
      <c r="ADJ117" s="335"/>
      <c r="ADK117" s="335"/>
      <c r="ADL117" s="335"/>
      <c r="ADM117" s="335"/>
      <c r="ADN117" s="335"/>
      <c r="ADO117" s="335"/>
      <c r="ADP117" s="335"/>
      <c r="ADQ117" s="335"/>
      <c r="ADR117" s="335"/>
      <c r="ADS117" s="335"/>
      <c r="ADT117" s="335"/>
      <c r="ADU117" s="335"/>
      <c r="ADV117" s="335"/>
      <c r="ADW117" s="335"/>
      <c r="ADX117" s="335"/>
      <c r="ADY117" s="335"/>
      <c r="ADZ117" s="335"/>
      <c r="AEA117" s="335"/>
      <c r="AEB117" s="335"/>
      <c r="AEC117" s="335"/>
      <c r="AED117" s="335"/>
      <c r="AEE117" s="335"/>
      <c r="AEF117" s="335"/>
      <c r="AEG117" s="335"/>
      <c r="AEH117" s="335"/>
      <c r="AEI117" s="335"/>
      <c r="AEJ117" s="335"/>
      <c r="AEK117" s="335"/>
      <c r="AEL117" s="335"/>
      <c r="AEM117" s="335"/>
      <c r="AEN117" s="335"/>
      <c r="AEO117" s="335"/>
      <c r="AEP117" s="335"/>
      <c r="AEQ117" s="335"/>
      <c r="AER117" s="335"/>
      <c r="AES117" s="335"/>
      <c r="AET117" s="335"/>
      <c r="AEU117" s="335"/>
      <c r="AEV117" s="335"/>
      <c r="AEW117" s="335"/>
      <c r="AEX117" s="335"/>
      <c r="AEY117" s="335"/>
      <c r="AEZ117" s="335"/>
      <c r="AFA117" s="335"/>
      <c r="AFB117" s="335"/>
      <c r="AFC117" s="335"/>
      <c r="AFD117" s="335"/>
      <c r="AFE117" s="335"/>
      <c r="AFF117" s="335"/>
      <c r="AFG117" s="335"/>
      <c r="AFH117" s="335"/>
      <c r="AFI117" s="335"/>
      <c r="AFJ117" s="335"/>
      <c r="AFK117" s="335"/>
      <c r="AFL117" s="335"/>
      <c r="AFM117" s="335"/>
      <c r="AFN117" s="335"/>
      <c r="AFO117" s="335"/>
      <c r="AFP117" s="335"/>
      <c r="AFQ117" s="335"/>
      <c r="AFR117" s="335"/>
      <c r="AFS117" s="335"/>
      <c r="AFT117" s="335"/>
      <c r="AFU117" s="335"/>
      <c r="AFV117" s="335"/>
      <c r="AFW117" s="335"/>
      <c r="AFX117" s="335"/>
      <c r="AFY117" s="335"/>
      <c r="AFZ117" s="335"/>
      <c r="AGA117" s="335"/>
      <c r="AGB117" s="335"/>
      <c r="AGC117" s="335"/>
      <c r="AGD117" s="335"/>
      <c r="AGE117" s="335"/>
      <c r="AGF117" s="335"/>
      <c r="AGG117" s="335"/>
      <c r="AGH117" s="335"/>
      <c r="AGI117" s="335"/>
      <c r="AGJ117" s="335"/>
      <c r="AGK117" s="335"/>
      <c r="AGL117" s="335"/>
      <c r="AGM117" s="335"/>
      <c r="AGN117" s="335"/>
      <c r="AGO117" s="335"/>
      <c r="AGP117" s="335"/>
      <c r="AGQ117" s="335"/>
      <c r="AGR117" s="335"/>
      <c r="AGS117" s="335"/>
      <c r="AGT117" s="335"/>
      <c r="AGU117" s="335"/>
      <c r="AGV117" s="335"/>
      <c r="AGW117" s="335"/>
      <c r="AGX117" s="335"/>
      <c r="AGY117" s="335"/>
      <c r="AGZ117" s="335"/>
      <c r="AHA117" s="335"/>
      <c r="AHB117" s="335"/>
      <c r="AHC117" s="335"/>
      <c r="AHD117" s="335"/>
      <c r="AHE117" s="335"/>
      <c r="AHF117" s="335"/>
      <c r="AHG117" s="335"/>
      <c r="AHH117" s="335"/>
      <c r="AHI117" s="335"/>
      <c r="AHJ117" s="335"/>
      <c r="AHK117" s="335"/>
      <c r="AHL117" s="335"/>
      <c r="AHM117" s="335"/>
      <c r="AHN117" s="335"/>
      <c r="AHO117" s="335"/>
      <c r="AHP117" s="335"/>
      <c r="AHQ117" s="335"/>
      <c r="AHR117" s="335"/>
      <c r="AHS117" s="335"/>
      <c r="AHT117" s="335"/>
      <c r="AHU117" s="335"/>
      <c r="AHV117" s="335"/>
      <c r="AHW117" s="335"/>
      <c r="AHX117" s="335"/>
      <c r="AHY117" s="335"/>
      <c r="AHZ117" s="335"/>
      <c r="AIA117" s="335"/>
      <c r="AIB117" s="335"/>
    </row>
    <row r="118" spans="2:912" s="172" customFormat="1">
      <c r="B118" s="174"/>
      <c r="ABE118" s="336"/>
      <c r="ABF118" s="335"/>
      <c r="ABG118" s="335"/>
      <c r="ABH118" s="335"/>
      <c r="ABI118" s="335"/>
      <c r="ABJ118" s="335"/>
      <c r="ABK118" s="335"/>
      <c r="ABL118" s="335"/>
      <c r="ABM118" s="335"/>
      <c r="ABN118" s="335"/>
      <c r="ABO118" s="335"/>
      <c r="ABP118" s="335"/>
      <c r="ABQ118" s="335"/>
      <c r="ABR118" s="335"/>
      <c r="ABS118" s="335"/>
      <c r="ABT118" s="335"/>
      <c r="ABU118" s="335"/>
      <c r="ABV118" s="335"/>
      <c r="ABW118" s="335"/>
      <c r="ABX118" s="335"/>
      <c r="ABY118" s="335"/>
      <c r="ABZ118" s="335"/>
      <c r="ACA118" s="335"/>
      <c r="ACB118" s="335"/>
      <c r="ACC118" s="335"/>
      <c r="ACD118" s="335"/>
      <c r="ACE118" s="335"/>
      <c r="ACF118" s="335"/>
      <c r="ACG118" s="335"/>
      <c r="ACH118" s="335"/>
      <c r="ACI118" s="335"/>
      <c r="ACJ118" s="335"/>
      <c r="ACK118" s="335"/>
      <c r="ACL118" s="335"/>
      <c r="ACM118" s="335"/>
      <c r="ACN118" s="335"/>
      <c r="ACO118" s="335"/>
      <c r="ACP118" s="335"/>
      <c r="ACQ118" s="335"/>
      <c r="ACR118" s="335"/>
      <c r="ACS118" s="335"/>
      <c r="ACT118" s="335"/>
      <c r="ACU118" s="335"/>
      <c r="ACV118" s="335"/>
      <c r="ACW118" s="335"/>
      <c r="ACX118" s="335"/>
      <c r="ACY118" s="335"/>
      <c r="ACZ118" s="335"/>
      <c r="ADA118" s="335"/>
      <c r="ADB118" s="335"/>
      <c r="ADC118" s="335"/>
      <c r="ADD118" s="335"/>
      <c r="ADE118" s="335"/>
      <c r="ADF118" s="335"/>
      <c r="ADG118" s="335"/>
      <c r="ADH118" s="335"/>
      <c r="ADI118" s="335"/>
      <c r="ADJ118" s="335"/>
      <c r="ADK118" s="335"/>
      <c r="ADL118" s="335"/>
      <c r="ADM118" s="335"/>
      <c r="ADN118" s="335"/>
      <c r="ADO118" s="335"/>
      <c r="ADP118" s="335"/>
      <c r="ADQ118" s="335"/>
      <c r="ADR118" s="335"/>
      <c r="ADS118" s="335"/>
      <c r="ADT118" s="335"/>
      <c r="ADU118" s="335"/>
      <c r="ADV118" s="335"/>
      <c r="ADW118" s="335"/>
      <c r="ADX118" s="335"/>
      <c r="ADY118" s="335"/>
      <c r="ADZ118" s="335"/>
      <c r="AEA118" s="335"/>
      <c r="AEB118" s="335"/>
      <c r="AEC118" s="335"/>
      <c r="AED118" s="335"/>
      <c r="AEE118" s="335"/>
      <c r="AEF118" s="335"/>
      <c r="AEG118" s="335"/>
      <c r="AEH118" s="335"/>
      <c r="AEI118" s="335"/>
      <c r="AEJ118" s="335"/>
      <c r="AEK118" s="335"/>
      <c r="AEL118" s="335"/>
      <c r="AEM118" s="335"/>
      <c r="AEN118" s="335"/>
      <c r="AEO118" s="335"/>
      <c r="AEP118" s="335"/>
      <c r="AEQ118" s="335"/>
      <c r="AER118" s="335"/>
      <c r="AES118" s="335"/>
      <c r="AET118" s="335"/>
      <c r="AEU118" s="335"/>
      <c r="AEV118" s="335"/>
      <c r="AEW118" s="335"/>
      <c r="AEX118" s="335"/>
      <c r="AEY118" s="335"/>
      <c r="AEZ118" s="335"/>
      <c r="AFA118" s="335"/>
      <c r="AFB118" s="335"/>
      <c r="AFC118" s="335"/>
      <c r="AFD118" s="335"/>
      <c r="AFE118" s="335"/>
      <c r="AFF118" s="335"/>
      <c r="AFG118" s="335"/>
      <c r="AFH118" s="335"/>
      <c r="AFI118" s="335"/>
      <c r="AFJ118" s="335"/>
      <c r="AFK118" s="335"/>
      <c r="AFL118" s="335"/>
      <c r="AFM118" s="335"/>
      <c r="AFN118" s="335"/>
      <c r="AFO118" s="335"/>
      <c r="AFP118" s="335"/>
      <c r="AFQ118" s="335"/>
      <c r="AFR118" s="335"/>
      <c r="AFS118" s="335"/>
      <c r="AFT118" s="335"/>
      <c r="AFU118" s="335"/>
      <c r="AFV118" s="335"/>
      <c r="AFW118" s="335"/>
      <c r="AFX118" s="335"/>
      <c r="AFY118" s="335"/>
      <c r="AFZ118" s="335"/>
      <c r="AGA118" s="335"/>
      <c r="AGB118" s="335"/>
      <c r="AGC118" s="335"/>
      <c r="AGD118" s="335"/>
      <c r="AGE118" s="335"/>
      <c r="AGF118" s="335"/>
      <c r="AGG118" s="335"/>
      <c r="AGH118" s="335"/>
      <c r="AGI118" s="335"/>
      <c r="AGJ118" s="335"/>
      <c r="AGK118" s="335"/>
      <c r="AGL118" s="335"/>
      <c r="AGM118" s="335"/>
      <c r="AGN118" s="335"/>
      <c r="AGO118" s="335"/>
      <c r="AGP118" s="335"/>
      <c r="AGQ118" s="335"/>
      <c r="AGR118" s="335"/>
      <c r="AGS118" s="335"/>
      <c r="AGT118" s="335"/>
      <c r="AGU118" s="335"/>
      <c r="AGV118" s="335"/>
      <c r="AGW118" s="335"/>
      <c r="AGX118" s="335"/>
      <c r="AGY118" s="335"/>
      <c r="AGZ118" s="335"/>
      <c r="AHA118" s="335"/>
      <c r="AHB118" s="335"/>
      <c r="AHC118" s="335"/>
      <c r="AHD118" s="335"/>
      <c r="AHE118" s="335"/>
      <c r="AHF118" s="335"/>
      <c r="AHG118" s="335"/>
      <c r="AHH118" s="335"/>
      <c r="AHI118" s="335"/>
      <c r="AHJ118" s="335"/>
      <c r="AHK118" s="335"/>
      <c r="AHL118" s="335"/>
      <c r="AHM118" s="335"/>
      <c r="AHN118" s="335"/>
      <c r="AHO118" s="335"/>
      <c r="AHP118" s="335"/>
      <c r="AHQ118" s="335"/>
      <c r="AHR118" s="335"/>
      <c r="AHS118" s="335"/>
      <c r="AHT118" s="335"/>
      <c r="AHU118" s="335"/>
      <c r="AHV118" s="335"/>
      <c r="AHW118" s="335"/>
      <c r="AHX118" s="335"/>
      <c r="AHY118" s="335"/>
      <c r="AHZ118" s="335"/>
      <c r="AIA118" s="335"/>
      <c r="AIB118" s="335"/>
    </row>
    <row r="119" spans="2:912" s="172" customFormat="1">
      <c r="B119" s="174"/>
      <c r="ABE119" s="336"/>
      <c r="ABF119" s="335"/>
      <c r="ABG119" s="335"/>
      <c r="ABH119" s="335"/>
      <c r="ABI119" s="335"/>
      <c r="ABJ119" s="335"/>
      <c r="ABK119" s="335"/>
      <c r="ABL119" s="335"/>
      <c r="ABM119" s="335"/>
      <c r="ABN119" s="335"/>
      <c r="ABO119" s="335"/>
      <c r="ABP119" s="335"/>
      <c r="ABQ119" s="335"/>
      <c r="ABR119" s="335"/>
      <c r="ABS119" s="335"/>
      <c r="ABT119" s="335"/>
      <c r="ABU119" s="335"/>
      <c r="ABV119" s="335"/>
      <c r="ABW119" s="335"/>
      <c r="ABX119" s="335"/>
      <c r="ABY119" s="335"/>
      <c r="ABZ119" s="335"/>
      <c r="ACA119" s="335"/>
      <c r="ACB119" s="335"/>
      <c r="ACC119" s="335"/>
      <c r="ACD119" s="335"/>
      <c r="ACE119" s="335"/>
      <c r="ACF119" s="335"/>
      <c r="ACG119" s="335"/>
      <c r="ACH119" s="335"/>
      <c r="ACI119" s="335"/>
      <c r="ACJ119" s="335"/>
      <c r="ACK119" s="335"/>
      <c r="ACL119" s="335"/>
      <c r="ACM119" s="335"/>
      <c r="ACN119" s="335"/>
      <c r="ACO119" s="335"/>
      <c r="ACP119" s="335"/>
      <c r="ACQ119" s="335"/>
      <c r="ACR119" s="335"/>
      <c r="ACS119" s="335"/>
      <c r="ACT119" s="335"/>
      <c r="ACU119" s="335"/>
      <c r="ACV119" s="335"/>
      <c r="ACW119" s="335"/>
      <c r="ACX119" s="335"/>
      <c r="ACY119" s="335"/>
      <c r="ACZ119" s="335"/>
      <c r="ADA119" s="335"/>
      <c r="ADB119" s="335"/>
      <c r="ADC119" s="335"/>
      <c r="ADD119" s="335"/>
      <c r="ADE119" s="335"/>
      <c r="ADF119" s="335"/>
      <c r="ADG119" s="335"/>
      <c r="ADH119" s="335"/>
      <c r="ADI119" s="335"/>
      <c r="ADJ119" s="335"/>
      <c r="ADK119" s="335"/>
      <c r="ADL119" s="335"/>
      <c r="ADM119" s="335"/>
      <c r="ADN119" s="335"/>
      <c r="ADO119" s="335"/>
      <c r="ADP119" s="335"/>
      <c r="ADQ119" s="335"/>
      <c r="ADR119" s="335"/>
      <c r="ADS119" s="335"/>
      <c r="ADT119" s="335"/>
      <c r="ADU119" s="335"/>
      <c r="ADV119" s="335"/>
      <c r="ADW119" s="335"/>
      <c r="ADX119" s="335"/>
      <c r="ADY119" s="335"/>
      <c r="ADZ119" s="335"/>
      <c r="AEA119" s="335"/>
      <c r="AEB119" s="335"/>
      <c r="AEC119" s="335"/>
      <c r="AED119" s="335"/>
      <c r="AEE119" s="335"/>
      <c r="AEF119" s="335"/>
      <c r="AEG119" s="335"/>
      <c r="AEH119" s="335"/>
      <c r="AEI119" s="335"/>
      <c r="AEJ119" s="335"/>
      <c r="AEK119" s="335"/>
      <c r="AEL119" s="335"/>
      <c r="AEM119" s="335"/>
      <c r="AEN119" s="335"/>
      <c r="AEO119" s="335"/>
      <c r="AEP119" s="335"/>
      <c r="AEQ119" s="335"/>
      <c r="AER119" s="335"/>
      <c r="AES119" s="335"/>
      <c r="AET119" s="335"/>
      <c r="AEU119" s="335"/>
      <c r="AEV119" s="335"/>
      <c r="AEW119" s="335"/>
      <c r="AEX119" s="335"/>
      <c r="AEY119" s="335"/>
      <c r="AEZ119" s="335"/>
      <c r="AFA119" s="335"/>
      <c r="AFB119" s="335"/>
      <c r="AFC119" s="335"/>
      <c r="AFD119" s="335"/>
      <c r="AFE119" s="335"/>
      <c r="AFF119" s="335"/>
      <c r="AFG119" s="335"/>
      <c r="AFH119" s="335"/>
      <c r="AFI119" s="335"/>
      <c r="AFJ119" s="335"/>
      <c r="AFK119" s="335"/>
      <c r="AFL119" s="335"/>
      <c r="AFM119" s="335"/>
      <c r="AFN119" s="335"/>
      <c r="AFO119" s="335"/>
      <c r="AFP119" s="335"/>
      <c r="AFQ119" s="335"/>
      <c r="AFR119" s="335"/>
      <c r="AFS119" s="335"/>
      <c r="AFT119" s="335"/>
      <c r="AFU119" s="335"/>
      <c r="AFV119" s="335"/>
      <c r="AFW119" s="335"/>
      <c r="AFX119" s="335"/>
      <c r="AFY119" s="335"/>
      <c r="AFZ119" s="335"/>
      <c r="AGA119" s="335"/>
      <c r="AGB119" s="335"/>
      <c r="AGC119" s="335"/>
      <c r="AGD119" s="335"/>
      <c r="AGE119" s="335"/>
      <c r="AGF119" s="335"/>
      <c r="AGG119" s="335"/>
      <c r="AGH119" s="335"/>
      <c r="AGI119" s="335"/>
      <c r="AGJ119" s="335"/>
      <c r="AGK119" s="335"/>
      <c r="AGL119" s="335"/>
      <c r="AGM119" s="335"/>
      <c r="AGN119" s="335"/>
      <c r="AGO119" s="335"/>
      <c r="AGP119" s="335"/>
      <c r="AGQ119" s="335"/>
      <c r="AGR119" s="335"/>
      <c r="AGS119" s="335"/>
      <c r="AGT119" s="335"/>
      <c r="AGU119" s="335"/>
      <c r="AGV119" s="335"/>
      <c r="AGW119" s="335"/>
      <c r="AGX119" s="335"/>
      <c r="AGY119" s="335"/>
      <c r="AGZ119" s="335"/>
      <c r="AHA119" s="335"/>
      <c r="AHB119" s="335"/>
      <c r="AHC119" s="335"/>
      <c r="AHD119" s="335"/>
      <c r="AHE119" s="335"/>
      <c r="AHF119" s="335"/>
      <c r="AHG119" s="335"/>
      <c r="AHH119" s="335"/>
      <c r="AHI119" s="335"/>
      <c r="AHJ119" s="335"/>
      <c r="AHK119" s="335"/>
      <c r="AHL119" s="335"/>
      <c r="AHM119" s="335"/>
      <c r="AHN119" s="335"/>
      <c r="AHO119" s="335"/>
      <c r="AHP119" s="335"/>
      <c r="AHQ119" s="335"/>
      <c r="AHR119" s="335"/>
      <c r="AHS119" s="335"/>
      <c r="AHT119" s="335"/>
      <c r="AHU119" s="335"/>
      <c r="AHV119" s="335"/>
      <c r="AHW119" s="335"/>
      <c r="AHX119" s="335"/>
      <c r="AHY119" s="335"/>
      <c r="AHZ119" s="335"/>
      <c r="AIA119" s="335"/>
      <c r="AIB119" s="335"/>
    </row>
    <row r="120" spans="2:912" s="172" customFormat="1">
      <c r="B120" s="174"/>
      <c r="ABE120" s="336"/>
      <c r="ABF120" s="335"/>
      <c r="ABG120" s="335"/>
      <c r="ABH120" s="335"/>
      <c r="ABI120" s="335"/>
      <c r="ABJ120" s="335"/>
      <c r="ABK120" s="335"/>
      <c r="ABL120" s="335"/>
      <c r="ABM120" s="335"/>
      <c r="ABN120" s="335"/>
      <c r="ABO120" s="335"/>
      <c r="ABP120" s="335"/>
      <c r="ABQ120" s="335"/>
      <c r="ABR120" s="335"/>
      <c r="ABS120" s="335"/>
      <c r="ABT120" s="335"/>
      <c r="ABU120" s="335"/>
      <c r="ABV120" s="335"/>
      <c r="ABW120" s="335"/>
      <c r="ABX120" s="335"/>
      <c r="ABY120" s="335"/>
      <c r="ABZ120" s="335"/>
      <c r="ACA120" s="335"/>
      <c r="ACB120" s="335"/>
      <c r="ACC120" s="335"/>
      <c r="ACD120" s="335"/>
      <c r="ACE120" s="335"/>
      <c r="ACF120" s="335"/>
      <c r="ACG120" s="335"/>
      <c r="ACH120" s="335"/>
      <c r="ACI120" s="335"/>
      <c r="ACJ120" s="335"/>
      <c r="ACK120" s="335"/>
      <c r="ACL120" s="335"/>
      <c r="ACM120" s="335"/>
      <c r="ACN120" s="335"/>
      <c r="ACO120" s="335"/>
      <c r="ACP120" s="335"/>
      <c r="ACQ120" s="335"/>
      <c r="ACR120" s="335"/>
      <c r="ACS120" s="335"/>
      <c r="ACT120" s="335"/>
      <c r="ACU120" s="335"/>
      <c r="ACV120" s="335"/>
      <c r="ACW120" s="335"/>
      <c r="ACX120" s="335"/>
      <c r="ACY120" s="335"/>
      <c r="ACZ120" s="335"/>
      <c r="ADA120" s="335"/>
      <c r="ADB120" s="335"/>
      <c r="ADC120" s="335"/>
      <c r="ADD120" s="335"/>
      <c r="ADE120" s="335"/>
      <c r="ADF120" s="335"/>
      <c r="ADG120" s="335"/>
      <c r="ADH120" s="335"/>
      <c r="ADI120" s="335"/>
      <c r="ADJ120" s="335"/>
      <c r="ADK120" s="335"/>
      <c r="ADL120" s="335"/>
      <c r="ADM120" s="335"/>
      <c r="ADN120" s="335"/>
      <c r="ADO120" s="335"/>
      <c r="ADP120" s="335"/>
      <c r="ADQ120" s="335"/>
      <c r="ADR120" s="335"/>
      <c r="ADS120" s="335"/>
      <c r="ADT120" s="335"/>
      <c r="ADU120" s="335"/>
      <c r="ADV120" s="335"/>
      <c r="ADW120" s="335"/>
      <c r="ADX120" s="335"/>
      <c r="ADY120" s="335"/>
      <c r="ADZ120" s="335"/>
      <c r="AEA120" s="335"/>
      <c r="AEB120" s="335"/>
      <c r="AEC120" s="335"/>
      <c r="AED120" s="335"/>
      <c r="AEE120" s="335"/>
      <c r="AEF120" s="335"/>
      <c r="AEG120" s="335"/>
      <c r="AEH120" s="335"/>
      <c r="AEI120" s="335"/>
      <c r="AEJ120" s="335"/>
      <c r="AEK120" s="335"/>
      <c r="AEL120" s="335"/>
      <c r="AEM120" s="335"/>
      <c r="AEN120" s="335"/>
      <c r="AEO120" s="335"/>
      <c r="AEP120" s="335"/>
      <c r="AEQ120" s="335"/>
      <c r="AER120" s="335"/>
      <c r="AES120" s="335"/>
      <c r="AET120" s="335"/>
      <c r="AEU120" s="335"/>
      <c r="AEV120" s="335"/>
      <c r="AEW120" s="335"/>
      <c r="AEX120" s="335"/>
      <c r="AEY120" s="335"/>
      <c r="AEZ120" s="335"/>
      <c r="AFA120" s="335"/>
      <c r="AFB120" s="335"/>
      <c r="AFC120" s="335"/>
      <c r="AFD120" s="335"/>
      <c r="AFE120" s="335"/>
      <c r="AFF120" s="335"/>
      <c r="AFG120" s="335"/>
      <c r="AFH120" s="335"/>
      <c r="AFI120" s="335"/>
      <c r="AFJ120" s="335"/>
      <c r="AFK120" s="335"/>
      <c r="AFL120" s="335"/>
      <c r="AFM120" s="335"/>
      <c r="AFN120" s="335"/>
      <c r="AFO120" s="335"/>
      <c r="AFP120" s="335"/>
      <c r="AFQ120" s="335"/>
      <c r="AFR120" s="335"/>
      <c r="AFS120" s="335"/>
      <c r="AFT120" s="335"/>
      <c r="AFU120" s="335"/>
      <c r="AFV120" s="335"/>
      <c r="AFW120" s="335"/>
      <c r="AFX120" s="335"/>
      <c r="AFY120" s="335"/>
      <c r="AFZ120" s="335"/>
      <c r="AGA120" s="335"/>
      <c r="AGB120" s="335"/>
      <c r="AGC120" s="335"/>
      <c r="AGD120" s="335"/>
      <c r="AGE120" s="335"/>
      <c r="AGF120" s="335"/>
      <c r="AGG120" s="335"/>
      <c r="AGH120" s="335"/>
      <c r="AGI120" s="335"/>
      <c r="AGJ120" s="335"/>
      <c r="AGK120" s="335"/>
      <c r="AGL120" s="335"/>
      <c r="AGM120" s="335"/>
      <c r="AGN120" s="335"/>
      <c r="AGO120" s="335"/>
      <c r="AGP120" s="335"/>
      <c r="AGQ120" s="335"/>
      <c r="AGR120" s="335"/>
      <c r="AGS120" s="335"/>
      <c r="AGT120" s="335"/>
      <c r="AGU120" s="335"/>
      <c r="AGV120" s="335"/>
      <c r="AGW120" s="335"/>
      <c r="AGX120" s="335"/>
      <c r="AGY120" s="335"/>
      <c r="AGZ120" s="335"/>
      <c r="AHA120" s="335"/>
      <c r="AHB120" s="335"/>
      <c r="AHC120" s="335"/>
      <c r="AHD120" s="335"/>
      <c r="AHE120" s="335"/>
      <c r="AHF120" s="335"/>
      <c r="AHG120" s="335"/>
      <c r="AHH120" s="335"/>
      <c r="AHI120" s="335"/>
      <c r="AHJ120" s="335"/>
      <c r="AHK120" s="335"/>
      <c r="AHL120" s="335"/>
      <c r="AHM120" s="335"/>
      <c r="AHN120" s="335"/>
      <c r="AHO120" s="335"/>
      <c r="AHP120" s="335"/>
      <c r="AHQ120" s="335"/>
      <c r="AHR120" s="335"/>
      <c r="AHS120" s="335"/>
      <c r="AHT120" s="335"/>
      <c r="AHU120" s="335"/>
      <c r="AHV120" s="335"/>
      <c r="AHW120" s="335"/>
      <c r="AHX120" s="335"/>
      <c r="AHY120" s="335"/>
      <c r="AHZ120" s="335"/>
      <c r="AIA120" s="335"/>
      <c r="AIB120" s="335"/>
    </row>
    <row r="121" spans="2:912" s="172" customFormat="1">
      <c r="B121" s="174"/>
      <c r="ABE121" s="336"/>
      <c r="ABF121" s="335"/>
      <c r="ABG121" s="335"/>
      <c r="ABH121" s="335"/>
      <c r="ABI121" s="335"/>
      <c r="ABJ121" s="335"/>
      <c r="ABK121" s="335"/>
      <c r="ABL121" s="335"/>
      <c r="ABM121" s="335"/>
      <c r="ABN121" s="335"/>
      <c r="ABO121" s="335"/>
      <c r="ABP121" s="335"/>
      <c r="ABQ121" s="335"/>
      <c r="ABR121" s="335"/>
      <c r="ABS121" s="335"/>
      <c r="ABT121" s="335"/>
      <c r="ABU121" s="335"/>
      <c r="ABV121" s="335"/>
      <c r="ABW121" s="335"/>
      <c r="ABX121" s="335"/>
      <c r="ABY121" s="335"/>
      <c r="ABZ121" s="335"/>
      <c r="ACA121" s="335"/>
      <c r="ACB121" s="335"/>
      <c r="ACC121" s="335"/>
      <c r="ACD121" s="335"/>
      <c r="ACE121" s="335"/>
      <c r="ACF121" s="335"/>
      <c r="ACG121" s="335"/>
      <c r="ACH121" s="335"/>
      <c r="ACI121" s="335"/>
      <c r="ACJ121" s="335"/>
      <c r="ACK121" s="335"/>
      <c r="ACL121" s="335"/>
      <c r="ACM121" s="335"/>
      <c r="ACN121" s="335"/>
      <c r="ACO121" s="335"/>
      <c r="ACP121" s="335"/>
      <c r="ACQ121" s="335"/>
      <c r="ACR121" s="335"/>
      <c r="ACS121" s="335"/>
      <c r="ACT121" s="335"/>
      <c r="ACU121" s="335"/>
      <c r="ACV121" s="335"/>
      <c r="ACW121" s="335"/>
      <c r="ACX121" s="335"/>
      <c r="ACY121" s="335"/>
      <c r="ACZ121" s="335"/>
      <c r="ADA121" s="335"/>
      <c r="ADB121" s="335"/>
      <c r="ADC121" s="335"/>
      <c r="ADD121" s="335"/>
      <c r="ADE121" s="335"/>
      <c r="ADF121" s="335"/>
      <c r="ADG121" s="335"/>
      <c r="ADH121" s="335"/>
      <c r="ADI121" s="335"/>
      <c r="ADJ121" s="335"/>
      <c r="ADK121" s="335"/>
      <c r="ADL121" s="335"/>
      <c r="ADM121" s="335"/>
      <c r="ADN121" s="335"/>
      <c r="ADO121" s="335"/>
      <c r="ADP121" s="335"/>
      <c r="ADQ121" s="335"/>
      <c r="ADR121" s="335"/>
      <c r="ADS121" s="335"/>
      <c r="ADT121" s="335"/>
      <c r="ADU121" s="335"/>
      <c r="ADV121" s="335"/>
      <c r="ADW121" s="335"/>
      <c r="ADX121" s="335"/>
      <c r="ADY121" s="335"/>
      <c r="ADZ121" s="335"/>
      <c r="AEA121" s="335"/>
      <c r="AEB121" s="335"/>
      <c r="AEC121" s="335"/>
      <c r="AED121" s="335"/>
      <c r="AEE121" s="335"/>
      <c r="AEF121" s="335"/>
      <c r="AEG121" s="335"/>
      <c r="AEH121" s="335"/>
      <c r="AEI121" s="335"/>
      <c r="AEJ121" s="335"/>
      <c r="AEK121" s="335"/>
      <c r="AEL121" s="335"/>
      <c r="AEM121" s="335"/>
      <c r="AEN121" s="335"/>
      <c r="AEO121" s="335"/>
      <c r="AEP121" s="335"/>
      <c r="AEQ121" s="335"/>
      <c r="AER121" s="335"/>
      <c r="AES121" s="335"/>
      <c r="AET121" s="335"/>
      <c r="AEU121" s="335"/>
      <c r="AEV121" s="335"/>
      <c r="AEW121" s="335"/>
      <c r="AEX121" s="335"/>
      <c r="AEY121" s="335"/>
      <c r="AEZ121" s="335"/>
      <c r="AFA121" s="335"/>
      <c r="AFB121" s="335"/>
      <c r="AFC121" s="335"/>
      <c r="AFD121" s="335"/>
      <c r="AFE121" s="335"/>
      <c r="AFF121" s="335"/>
      <c r="AFG121" s="335"/>
      <c r="AFH121" s="335"/>
      <c r="AFI121" s="335"/>
      <c r="AFJ121" s="335"/>
      <c r="AFK121" s="335"/>
      <c r="AFL121" s="335"/>
      <c r="AFM121" s="335"/>
      <c r="AFN121" s="335"/>
      <c r="AFO121" s="335"/>
      <c r="AFP121" s="335"/>
      <c r="AFQ121" s="335"/>
      <c r="AFR121" s="335"/>
      <c r="AFS121" s="335"/>
      <c r="AFT121" s="335"/>
      <c r="AFU121" s="335"/>
      <c r="AFV121" s="335"/>
      <c r="AFW121" s="335"/>
      <c r="AFX121" s="335"/>
      <c r="AFY121" s="335"/>
      <c r="AFZ121" s="335"/>
      <c r="AGA121" s="335"/>
      <c r="AGB121" s="335"/>
      <c r="AGC121" s="335"/>
      <c r="AGD121" s="335"/>
      <c r="AGE121" s="335"/>
      <c r="AGF121" s="335"/>
      <c r="AGG121" s="335"/>
      <c r="AGH121" s="335"/>
      <c r="AGI121" s="335"/>
      <c r="AGJ121" s="335"/>
      <c r="AGK121" s="335"/>
      <c r="AGL121" s="335"/>
      <c r="AGM121" s="335"/>
      <c r="AGN121" s="335"/>
      <c r="AGO121" s="335"/>
      <c r="AGP121" s="335"/>
      <c r="AGQ121" s="335"/>
      <c r="AGR121" s="335"/>
      <c r="AGS121" s="335"/>
      <c r="AGT121" s="335"/>
      <c r="AGU121" s="335"/>
      <c r="AGV121" s="335"/>
      <c r="AGW121" s="335"/>
      <c r="AGX121" s="335"/>
      <c r="AGY121" s="335"/>
      <c r="AGZ121" s="335"/>
      <c r="AHA121" s="335"/>
      <c r="AHB121" s="335"/>
      <c r="AHC121" s="335"/>
      <c r="AHD121" s="335"/>
      <c r="AHE121" s="335"/>
      <c r="AHF121" s="335"/>
      <c r="AHG121" s="335"/>
      <c r="AHH121" s="335"/>
      <c r="AHI121" s="335"/>
      <c r="AHJ121" s="335"/>
      <c r="AHK121" s="335"/>
      <c r="AHL121" s="335"/>
      <c r="AHM121" s="335"/>
      <c r="AHN121" s="335"/>
      <c r="AHO121" s="335"/>
      <c r="AHP121" s="335"/>
      <c r="AHQ121" s="335"/>
      <c r="AHR121" s="335"/>
      <c r="AHS121" s="335"/>
      <c r="AHT121" s="335"/>
      <c r="AHU121" s="335"/>
      <c r="AHV121" s="335"/>
      <c r="AHW121" s="335"/>
      <c r="AHX121" s="335"/>
      <c r="AHY121" s="335"/>
      <c r="AHZ121" s="335"/>
      <c r="AIA121" s="335"/>
      <c r="AIB121" s="335"/>
    </row>
    <row r="122" spans="2:912" s="172" customFormat="1">
      <c r="B122" s="174"/>
      <c r="ABE122" s="336"/>
      <c r="ABF122" s="335"/>
      <c r="ABG122" s="335"/>
      <c r="ABH122" s="335"/>
      <c r="ABI122" s="335"/>
      <c r="ABJ122" s="335"/>
      <c r="ABK122" s="335"/>
      <c r="ABL122" s="335"/>
      <c r="ABM122" s="335"/>
      <c r="ABN122" s="335"/>
      <c r="ABO122" s="335"/>
      <c r="ABP122" s="335"/>
      <c r="ABQ122" s="335"/>
      <c r="ABR122" s="335"/>
      <c r="ABS122" s="335"/>
      <c r="ABT122" s="335"/>
      <c r="ABU122" s="335"/>
      <c r="ABV122" s="335"/>
      <c r="ABW122" s="335"/>
      <c r="ABX122" s="335"/>
      <c r="ABY122" s="335"/>
      <c r="ABZ122" s="335"/>
      <c r="ACA122" s="335"/>
      <c r="ACB122" s="335"/>
      <c r="ACC122" s="335"/>
      <c r="ACD122" s="335"/>
      <c r="ACE122" s="335"/>
      <c r="ACF122" s="335"/>
      <c r="ACG122" s="335"/>
      <c r="ACH122" s="335"/>
      <c r="ACI122" s="335"/>
      <c r="ACJ122" s="335"/>
      <c r="ACK122" s="335"/>
      <c r="ACL122" s="335"/>
      <c r="ACM122" s="335"/>
      <c r="ACN122" s="335"/>
      <c r="ACO122" s="335"/>
      <c r="ACP122" s="335"/>
      <c r="ACQ122" s="335"/>
      <c r="ACR122" s="335"/>
      <c r="ACS122" s="335"/>
      <c r="ACT122" s="335"/>
      <c r="ACU122" s="335"/>
      <c r="ACV122" s="335"/>
      <c r="ACW122" s="335"/>
      <c r="ACX122" s="335"/>
      <c r="ACY122" s="335"/>
      <c r="ACZ122" s="335"/>
      <c r="ADA122" s="335"/>
      <c r="ADB122" s="335"/>
      <c r="ADC122" s="335"/>
      <c r="ADD122" s="335"/>
      <c r="ADE122" s="335"/>
      <c r="ADF122" s="335"/>
      <c r="ADG122" s="335"/>
      <c r="ADH122" s="335"/>
      <c r="ADI122" s="335"/>
      <c r="ADJ122" s="335"/>
      <c r="ADK122" s="335"/>
      <c r="ADL122" s="335"/>
      <c r="ADM122" s="335"/>
      <c r="ADN122" s="335"/>
      <c r="ADO122" s="335"/>
      <c r="ADP122" s="335"/>
      <c r="ADQ122" s="335"/>
      <c r="ADR122" s="335"/>
      <c r="ADS122" s="335"/>
      <c r="ADT122" s="335"/>
      <c r="ADU122" s="335"/>
      <c r="ADV122" s="335"/>
      <c r="ADW122" s="335"/>
      <c r="ADX122" s="335"/>
      <c r="ADY122" s="335"/>
      <c r="ADZ122" s="335"/>
      <c r="AEA122" s="335"/>
      <c r="AEB122" s="335"/>
      <c r="AEC122" s="335"/>
      <c r="AED122" s="335"/>
      <c r="AEE122" s="335"/>
      <c r="AEF122" s="335"/>
      <c r="AEG122" s="335"/>
      <c r="AEH122" s="335"/>
      <c r="AEI122" s="335"/>
      <c r="AEJ122" s="335"/>
      <c r="AEK122" s="335"/>
      <c r="AEL122" s="335"/>
      <c r="AEM122" s="335"/>
      <c r="AEN122" s="335"/>
      <c r="AEO122" s="335"/>
      <c r="AEP122" s="335"/>
      <c r="AEQ122" s="335"/>
      <c r="AER122" s="335"/>
      <c r="AES122" s="335"/>
      <c r="AET122" s="335"/>
      <c r="AEU122" s="335"/>
      <c r="AEV122" s="335"/>
      <c r="AEW122" s="335"/>
      <c r="AEX122" s="335"/>
      <c r="AEY122" s="335"/>
      <c r="AEZ122" s="335"/>
      <c r="AFA122" s="335"/>
      <c r="AFB122" s="335"/>
      <c r="AFC122" s="335"/>
      <c r="AFD122" s="335"/>
      <c r="AFE122" s="335"/>
      <c r="AFF122" s="335"/>
      <c r="AFG122" s="335"/>
      <c r="AFH122" s="335"/>
      <c r="AFI122" s="335"/>
      <c r="AFJ122" s="335"/>
      <c r="AFK122" s="335"/>
      <c r="AFL122" s="335"/>
      <c r="AFM122" s="335"/>
      <c r="AFN122" s="335"/>
      <c r="AFO122" s="335"/>
      <c r="AFP122" s="335"/>
      <c r="AFQ122" s="335"/>
      <c r="AFR122" s="335"/>
      <c r="AFS122" s="335"/>
      <c r="AFT122" s="335"/>
      <c r="AFU122" s="335"/>
      <c r="AFV122" s="335"/>
      <c r="AFW122" s="335"/>
      <c r="AFX122" s="335"/>
      <c r="AFY122" s="335"/>
      <c r="AFZ122" s="335"/>
      <c r="AGA122" s="335"/>
      <c r="AGB122" s="335"/>
      <c r="AGC122" s="335"/>
      <c r="AGD122" s="335"/>
      <c r="AGE122" s="335"/>
      <c r="AGF122" s="335"/>
      <c r="AGG122" s="335"/>
      <c r="AGH122" s="335"/>
      <c r="AGI122" s="335"/>
      <c r="AGJ122" s="335"/>
      <c r="AGK122" s="335"/>
      <c r="AGL122" s="335"/>
      <c r="AGM122" s="335"/>
      <c r="AGN122" s="335"/>
      <c r="AGO122" s="335"/>
      <c r="AGP122" s="335"/>
      <c r="AGQ122" s="335"/>
      <c r="AGR122" s="335"/>
      <c r="AGS122" s="335"/>
      <c r="AGT122" s="335"/>
      <c r="AGU122" s="335"/>
      <c r="AGV122" s="335"/>
      <c r="AGW122" s="335"/>
      <c r="AGX122" s="335"/>
      <c r="AGY122" s="335"/>
      <c r="AGZ122" s="335"/>
      <c r="AHA122" s="335"/>
      <c r="AHB122" s="335"/>
      <c r="AHC122" s="335"/>
      <c r="AHD122" s="335"/>
      <c r="AHE122" s="335"/>
      <c r="AHF122" s="335"/>
      <c r="AHG122" s="335"/>
      <c r="AHH122" s="335"/>
      <c r="AHI122" s="335"/>
      <c r="AHJ122" s="335"/>
      <c r="AHK122" s="335"/>
      <c r="AHL122" s="335"/>
      <c r="AHM122" s="335"/>
      <c r="AHN122" s="335"/>
      <c r="AHO122" s="335"/>
      <c r="AHP122" s="335"/>
      <c r="AHQ122" s="335"/>
      <c r="AHR122" s="335"/>
      <c r="AHS122" s="335"/>
      <c r="AHT122" s="335"/>
      <c r="AHU122" s="335"/>
      <c r="AHV122" s="335"/>
      <c r="AHW122" s="335"/>
      <c r="AHX122" s="335"/>
      <c r="AHY122" s="335"/>
      <c r="AHZ122" s="335"/>
      <c r="AIA122" s="335"/>
      <c r="AIB122" s="335"/>
    </row>
    <row r="123" spans="2:912" s="172" customFormat="1">
      <c r="B123" s="174"/>
      <c r="ABE123" s="336"/>
      <c r="ABF123" s="335"/>
      <c r="ABG123" s="335"/>
      <c r="ABH123" s="335"/>
      <c r="ABI123" s="335"/>
      <c r="ABJ123" s="335"/>
      <c r="ABK123" s="335"/>
      <c r="ABL123" s="335"/>
      <c r="ABM123" s="335"/>
      <c r="ABN123" s="335"/>
      <c r="ABO123" s="335"/>
      <c r="ABP123" s="335"/>
      <c r="ABQ123" s="335"/>
      <c r="ABR123" s="335"/>
      <c r="ABS123" s="335"/>
      <c r="ABT123" s="335"/>
      <c r="ABU123" s="335"/>
      <c r="ABV123" s="335"/>
      <c r="ABW123" s="335"/>
      <c r="ABX123" s="335"/>
      <c r="ABY123" s="335"/>
      <c r="ABZ123" s="335"/>
      <c r="ACA123" s="335"/>
      <c r="ACB123" s="335"/>
      <c r="ACC123" s="335"/>
      <c r="ACD123" s="335"/>
      <c r="ACE123" s="335"/>
      <c r="ACF123" s="335"/>
      <c r="ACG123" s="335"/>
      <c r="ACH123" s="335"/>
      <c r="ACI123" s="335"/>
      <c r="ACJ123" s="335"/>
      <c r="ACK123" s="335"/>
      <c r="ACL123" s="335"/>
      <c r="ACM123" s="335"/>
      <c r="ACN123" s="335"/>
      <c r="ACO123" s="335"/>
      <c r="ACP123" s="335"/>
      <c r="ACQ123" s="335"/>
      <c r="ACR123" s="335"/>
      <c r="ACS123" s="335"/>
      <c r="ACT123" s="335"/>
      <c r="ACU123" s="335"/>
      <c r="ACV123" s="335"/>
      <c r="ACW123" s="335"/>
      <c r="ACX123" s="335"/>
      <c r="ACY123" s="335"/>
      <c r="ACZ123" s="335"/>
      <c r="ADA123" s="335"/>
      <c r="ADB123" s="335"/>
      <c r="ADC123" s="335"/>
      <c r="ADD123" s="335"/>
      <c r="ADE123" s="335"/>
      <c r="ADF123" s="335"/>
      <c r="ADG123" s="335"/>
      <c r="ADH123" s="335"/>
      <c r="ADI123" s="335"/>
      <c r="ADJ123" s="335"/>
      <c r="ADK123" s="335"/>
      <c r="ADL123" s="335"/>
      <c r="ADM123" s="335"/>
      <c r="ADN123" s="335"/>
      <c r="ADO123" s="335"/>
      <c r="ADP123" s="335"/>
      <c r="ADQ123" s="335"/>
      <c r="ADR123" s="335"/>
      <c r="ADS123" s="335"/>
      <c r="ADT123" s="335"/>
      <c r="ADU123" s="335"/>
      <c r="ADV123" s="335"/>
      <c r="ADW123" s="335"/>
      <c r="ADX123" s="335"/>
      <c r="ADY123" s="335"/>
      <c r="ADZ123" s="335"/>
      <c r="AEA123" s="335"/>
      <c r="AEB123" s="335"/>
      <c r="AEC123" s="335"/>
      <c r="AED123" s="335"/>
      <c r="AEE123" s="335"/>
      <c r="AEF123" s="335"/>
      <c r="AEG123" s="335"/>
      <c r="AEH123" s="335"/>
      <c r="AEI123" s="335"/>
      <c r="AEJ123" s="335"/>
      <c r="AEK123" s="335"/>
      <c r="AEL123" s="335"/>
      <c r="AEM123" s="335"/>
      <c r="AEN123" s="335"/>
      <c r="AEO123" s="335"/>
      <c r="AEP123" s="335"/>
      <c r="AEQ123" s="335"/>
      <c r="AER123" s="335"/>
      <c r="AES123" s="335"/>
      <c r="AET123" s="335"/>
      <c r="AEU123" s="335"/>
      <c r="AEV123" s="335"/>
      <c r="AEW123" s="335"/>
      <c r="AEX123" s="335"/>
      <c r="AEY123" s="335"/>
      <c r="AEZ123" s="335"/>
      <c r="AFA123" s="335"/>
      <c r="AFB123" s="335"/>
      <c r="AFC123" s="335"/>
      <c r="AFD123" s="335"/>
      <c r="AFE123" s="335"/>
      <c r="AFF123" s="335"/>
      <c r="AFG123" s="335"/>
      <c r="AFH123" s="335"/>
      <c r="AFI123" s="335"/>
      <c r="AFJ123" s="335"/>
      <c r="AFK123" s="335"/>
      <c r="AFL123" s="335"/>
      <c r="AFM123" s="335"/>
      <c r="AFN123" s="335"/>
      <c r="AFO123" s="335"/>
      <c r="AFP123" s="335"/>
      <c r="AFQ123" s="335"/>
      <c r="AFR123" s="335"/>
      <c r="AFS123" s="335"/>
      <c r="AFT123" s="335"/>
      <c r="AFU123" s="335"/>
      <c r="AFV123" s="335"/>
      <c r="AFW123" s="335"/>
      <c r="AFX123" s="335"/>
      <c r="AFY123" s="335"/>
      <c r="AFZ123" s="335"/>
      <c r="AGA123" s="335"/>
      <c r="AGB123" s="335"/>
      <c r="AGC123" s="335"/>
      <c r="AGD123" s="335"/>
      <c r="AGE123" s="335"/>
      <c r="AGF123" s="335"/>
      <c r="AGG123" s="335"/>
      <c r="AGH123" s="335"/>
      <c r="AGI123" s="335"/>
      <c r="AGJ123" s="335"/>
      <c r="AGK123" s="335"/>
      <c r="AGL123" s="335"/>
      <c r="AGM123" s="335"/>
      <c r="AGN123" s="335"/>
      <c r="AGO123" s="335"/>
      <c r="AGP123" s="335"/>
      <c r="AGQ123" s="335"/>
      <c r="AGR123" s="335"/>
      <c r="AGS123" s="335"/>
      <c r="AGT123" s="335"/>
      <c r="AGU123" s="335"/>
      <c r="AGV123" s="335"/>
      <c r="AGW123" s="335"/>
      <c r="AGX123" s="335"/>
      <c r="AGY123" s="335"/>
      <c r="AGZ123" s="335"/>
      <c r="AHA123" s="335"/>
      <c r="AHB123" s="335"/>
      <c r="AHC123" s="335"/>
      <c r="AHD123" s="335"/>
      <c r="AHE123" s="335"/>
      <c r="AHF123" s="335"/>
      <c r="AHG123" s="335"/>
      <c r="AHH123" s="335"/>
      <c r="AHI123" s="335"/>
      <c r="AHJ123" s="335"/>
      <c r="AHK123" s="335"/>
      <c r="AHL123" s="335"/>
      <c r="AHM123" s="335"/>
      <c r="AHN123" s="335"/>
      <c r="AHO123" s="335"/>
      <c r="AHP123" s="335"/>
      <c r="AHQ123" s="335"/>
      <c r="AHR123" s="335"/>
      <c r="AHS123" s="335"/>
      <c r="AHT123" s="335"/>
      <c r="AHU123" s="335"/>
      <c r="AHV123" s="335"/>
      <c r="AHW123" s="335"/>
      <c r="AHX123" s="335"/>
      <c r="AHY123" s="335"/>
      <c r="AHZ123" s="335"/>
      <c r="AIA123" s="335"/>
      <c r="AIB123" s="335"/>
    </row>
    <row r="124" spans="2:912" s="172" customFormat="1">
      <c r="B124" s="174"/>
      <c r="ABE124" s="336"/>
      <c r="ABF124" s="335"/>
      <c r="ABG124" s="335"/>
      <c r="ABH124" s="335"/>
      <c r="ABI124" s="335"/>
      <c r="ABJ124" s="335"/>
      <c r="ABK124" s="335"/>
      <c r="ABL124" s="335"/>
      <c r="ABM124" s="335"/>
      <c r="ABN124" s="335"/>
      <c r="ABO124" s="335"/>
      <c r="ABP124" s="335"/>
      <c r="ABQ124" s="335"/>
      <c r="ABR124" s="335"/>
      <c r="ABS124" s="335"/>
      <c r="ABT124" s="335"/>
      <c r="ABU124" s="335"/>
      <c r="ABV124" s="335"/>
      <c r="ABW124" s="335"/>
      <c r="ABX124" s="335"/>
      <c r="ABY124" s="335"/>
      <c r="ABZ124" s="335"/>
      <c r="ACA124" s="335"/>
      <c r="ACB124" s="335"/>
      <c r="ACC124" s="335"/>
      <c r="ACD124" s="335"/>
      <c r="ACE124" s="335"/>
      <c r="ACF124" s="335"/>
      <c r="ACG124" s="335"/>
      <c r="ACH124" s="335"/>
      <c r="ACI124" s="335"/>
      <c r="ACJ124" s="335"/>
      <c r="ACK124" s="335"/>
      <c r="ACL124" s="335"/>
      <c r="ACM124" s="335"/>
      <c r="ACN124" s="335"/>
      <c r="ACO124" s="335"/>
      <c r="ACP124" s="335"/>
      <c r="ACQ124" s="335"/>
      <c r="ACR124" s="335"/>
      <c r="ACS124" s="335"/>
      <c r="ACT124" s="335"/>
      <c r="ACU124" s="335"/>
      <c r="ACV124" s="335"/>
      <c r="ACW124" s="335"/>
      <c r="ACX124" s="335"/>
      <c r="ACY124" s="335"/>
      <c r="ACZ124" s="335"/>
      <c r="ADA124" s="335"/>
      <c r="ADB124" s="335"/>
      <c r="ADC124" s="335"/>
      <c r="ADD124" s="335"/>
      <c r="ADE124" s="335"/>
      <c r="ADF124" s="335"/>
      <c r="ADG124" s="335"/>
      <c r="ADH124" s="335"/>
      <c r="ADI124" s="335"/>
      <c r="ADJ124" s="335"/>
      <c r="ADK124" s="335"/>
      <c r="ADL124" s="335"/>
      <c r="ADM124" s="335"/>
      <c r="ADN124" s="335"/>
      <c r="ADO124" s="335"/>
      <c r="ADP124" s="335"/>
      <c r="ADQ124" s="335"/>
      <c r="ADR124" s="335"/>
      <c r="ADS124" s="335"/>
      <c r="ADT124" s="335"/>
      <c r="ADU124" s="335"/>
      <c r="ADV124" s="335"/>
      <c r="ADW124" s="335"/>
      <c r="ADX124" s="335"/>
      <c r="ADY124" s="335"/>
      <c r="ADZ124" s="335"/>
      <c r="AEA124" s="335"/>
      <c r="AEB124" s="335"/>
      <c r="AEC124" s="335"/>
      <c r="AED124" s="335"/>
      <c r="AEE124" s="335"/>
      <c r="AEF124" s="335"/>
      <c r="AEG124" s="335"/>
      <c r="AEH124" s="335"/>
      <c r="AEI124" s="335"/>
      <c r="AEJ124" s="335"/>
      <c r="AEK124" s="335"/>
      <c r="AEL124" s="335"/>
      <c r="AEM124" s="335"/>
      <c r="AEN124" s="335"/>
      <c r="AEO124" s="335"/>
      <c r="AEP124" s="335"/>
      <c r="AEQ124" s="335"/>
      <c r="AER124" s="335"/>
      <c r="AES124" s="335"/>
      <c r="AET124" s="335"/>
      <c r="AEU124" s="335"/>
      <c r="AEV124" s="335"/>
      <c r="AEW124" s="335"/>
      <c r="AEX124" s="335"/>
      <c r="AEY124" s="335"/>
      <c r="AEZ124" s="335"/>
      <c r="AFA124" s="335"/>
      <c r="AFB124" s="335"/>
      <c r="AFC124" s="335"/>
      <c r="AFD124" s="335"/>
      <c r="AFE124" s="335"/>
      <c r="AFF124" s="335"/>
      <c r="AFG124" s="335"/>
      <c r="AFH124" s="335"/>
      <c r="AFI124" s="335"/>
      <c r="AFJ124" s="335"/>
      <c r="AFK124" s="335"/>
      <c r="AFL124" s="335"/>
      <c r="AFM124" s="335"/>
      <c r="AFN124" s="335"/>
      <c r="AFO124" s="335"/>
      <c r="AFP124" s="335"/>
      <c r="AFQ124" s="335"/>
      <c r="AFR124" s="335"/>
      <c r="AFS124" s="335"/>
      <c r="AFT124" s="335"/>
      <c r="AFU124" s="335"/>
      <c r="AFV124" s="335"/>
      <c r="AFW124" s="335"/>
      <c r="AFX124" s="335"/>
      <c r="AFY124" s="335"/>
      <c r="AFZ124" s="335"/>
      <c r="AGA124" s="335"/>
      <c r="AGB124" s="335"/>
      <c r="AGC124" s="335"/>
      <c r="AGD124" s="335"/>
      <c r="AGE124" s="335"/>
      <c r="AGF124" s="335"/>
      <c r="AGG124" s="335"/>
      <c r="AGH124" s="335"/>
      <c r="AGI124" s="335"/>
      <c r="AGJ124" s="335"/>
      <c r="AGK124" s="335"/>
      <c r="AGL124" s="335"/>
      <c r="AGM124" s="335"/>
      <c r="AGN124" s="335"/>
      <c r="AGO124" s="335"/>
      <c r="AGP124" s="335"/>
      <c r="AGQ124" s="335"/>
      <c r="AGR124" s="335"/>
      <c r="AGS124" s="335"/>
      <c r="AGT124" s="335"/>
      <c r="AGU124" s="335"/>
      <c r="AGV124" s="335"/>
      <c r="AGW124" s="335"/>
      <c r="AGX124" s="335"/>
      <c r="AGY124" s="335"/>
      <c r="AGZ124" s="335"/>
      <c r="AHA124" s="335"/>
      <c r="AHB124" s="335"/>
      <c r="AHC124" s="335"/>
      <c r="AHD124" s="335"/>
      <c r="AHE124" s="335"/>
      <c r="AHF124" s="335"/>
      <c r="AHG124" s="335"/>
      <c r="AHH124" s="335"/>
      <c r="AHI124" s="335"/>
      <c r="AHJ124" s="335"/>
      <c r="AHK124" s="335"/>
      <c r="AHL124" s="335"/>
      <c r="AHM124" s="335"/>
      <c r="AHN124" s="335"/>
      <c r="AHO124" s="335"/>
      <c r="AHP124" s="335"/>
      <c r="AHQ124" s="335"/>
      <c r="AHR124" s="335"/>
      <c r="AHS124" s="335"/>
      <c r="AHT124" s="335"/>
      <c r="AHU124" s="335"/>
      <c r="AHV124" s="335"/>
      <c r="AHW124" s="335"/>
      <c r="AHX124" s="335"/>
      <c r="AHY124" s="335"/>
      <c r="AHZ124" s="335"/>
      <c r="AIA124" s="335"/>
      <c r="AIB124" s="335"/>
    </row>
    <row r="125" spans="2:912" s="172" customFormat="1">
      <c r="B125" s="174"/>
      <c r="ABE125" s="336"/>
      <c r="ABF125" s="335"/>
      <c r="ABG125" s="335"/>
      <c r="ABH125" s="335"/>
      <c r="ABI125" s="335"/>
      <c r="ABJ125" s="335"/>
      <c r="ABK125" s="335"/>
      <c r="ABL125" s="335"/>
      <c r="ABM125" s="335"/>
      <c r="ABN125" s="335"/>
      <c r="ABO125" s="335"/>
      <c r="ABP125" s="335"/>
      <c r="ABQ125" s="335"/>
      <c r="ABR125" s="335"/>
      <c r="ABS125" s="335"/>
      <c r="ABT125" s="335"/>
      <c r="ABU125" s="335"/>
      <c r="ABV125" s="335"/>
      <c r="ABW125" s="335"/>
      <c r="ABX125" s="335"/>
      <c r="ABY125" s="335"/>
      <c r="ABZ125" s="335"/>
      <c r="ACA125" s="335"/>
      <c r="ACB125" s="335"/>
      <c r="ACC125" s="335"/>
      <c r="ACD125" s="335"/>
      <c r="ACE125" s="335"/>
      <c r="ACF125" s="335"/>
      <c r="ACG125" s="335"/>
      <c r="ACH125" s="335"/>
      <c r="ACI125" s="335"/>
      <c r="ACJ125" s="335"/>
      <c r="ACK125" s="335"/>
      <c r="ACL125" s="335"/>
      <c r="ACM125" s="335"/>
      <c r="ACN125" s="335"/>
      <c r="ACO125" s="335"/>
      <c r="ACP125" s="335"/>
      <c r="ACQ125" s="335"/>
      <c r="ACR125" s="335"/>
      <c r="ACS125" s="335"/>
      <c r="ACT125" s="335"/>
      <c r="ACU125" s="335"/>
      <c r="ACV125" s="335"/>
      <c r="ACW125" s="335"/>
      <c r="ACX125" s="335"/>
      <c r="ACY125" s="335"/>
      <c r="ACZ125" s="335"/>
      <c r="ADA125" s="335"/>
      <c r="ADB125" s="335"/>
      <c r="ADC125" s="335"/>
      <c r="ADD125" s="335"/>
      <c r="ADE125" s="335"/>
      <c r="ADF125" s="335"/>
      <c r="ADG125" s="335"/>
      <c r="ADH125" s="335"/>
      <c r="ADI125" s="335"/>
      <c r="ADJ125" s="335"/>
      <c r="ADK125" s="335"/>
      <c r="ADL125" s="335"/>
      <c r="ADM125" s="335"/>
      <c r="ADN125" s="335"/>
      <c r="ADO125" s="335"/>
      <c r="ADP125" s="335"/>
      <c r="ADQ125" s="335"/>
      <c r="ADR125" s="335"/>
      <c r="ADS125" s="335"/>
      <c r="ADT125" s="335"/>
      <c r="ADU125" s="335"/>
      <c r="ADV125" s="335"/>
      <c r="ADW125" s="335"/>
      <c r="ADX125" s="335"/>
      <c r="ADY125" s="335"/>
      <c r="ADZ125" s="335"/>
      <c r="AEA125" s="335"/>
      <c r="AEB125" s="335"/>
      <c r="AEC125" s="335"/>
      <c r="AED125" s="335"/>
      <c r="AEE125" s="335"/>
      <c r="AEF125" s="335"/>
      <c r="AEG125" s="335"/>
      <c r="AEH125" s="335"/>
      <c r="AEI125" s="335"/>
      <c r="AEJ125" s="335"/>
      <c r="AEK125" s="335"/>
      <c r="AEL125" s="335"/>
      <c r="AEM125" s="335"/>
      <c r="AEN125" s="335"/>
      <c r="AEO125" s="335"/>
      <c r="AEP125" s="335"/>
      <c r="AEQ125" s="335"/>
      <c r="AER125" s="335"/>
      <c r="AES125" s="335"/>
      <c r="AET125" s="335"/>
      <c r="AEU125" s="335"/>
      <c r="AEV125" s="335"/>
      <c r="AEW125" s="335"/>
      <c r="AEX125" s="335"/>
      <c r="AEY125" s="335"/>
      <c r="AEZ125" s="335"/>
      <c r="AFA125" s="335"/>
      <c r="AFB125" s="335"/>
      <c r="AFC125" s="335"/>
      <c r="AFD125" s="335"/>
      <c r="AFE125" s="335"/>
      <c r="AFF125" s="335"/>
      <c r="AFG125" s="335"/>
      <c r="AFH125" s="335"/>
      <c r="AFI125" s="335"/>
      <c r="AFJ125" s="335"/>
      <c r="AFK125" s="335"/>
      <c r="AFL125" s="335"/>
      <c r="AFM125" s="335"/>
      <c r="AFN125" s="335"/>
      <c r="AFO125" s="335"/>
      <c r="AFP125" s="335"/>
      <c r="AFQ125" s="335"/>
      <c r="AFR125" s="335"/>
      <c r="AFS125" s="335"/>
      <c r="AFT125" s="335"/>
      <c r="AFU125" s="335"/>
      <c r="AFV125" s="335"/>
      <c r="AFW125" s="335"/>
      <c r="AFX125" s="335"/>
      <c r="AFY125" s="335"/>
      <c r="AFZ125" s="335"/>
      <c r="AGA125" s="335"/>
      <c r="AGB125" s="335"/>
      <c r="AGC125" s="335"/>
      <c r="AGD125" s="335"/>
      <c r="AGE125" s="335"/>
      <c r="AGF125" s="335"/>
      <c r="AGG125" s="335"/>
      <c r="AGH125" s="335"/>
      <c r="AGI125" s="335"/>
      <c r="AGJ125" s="335"/>
      <c r="AGK125" s="335"/>
      <c r="AGL125" s="335"/>
      <c r="AGM125" s="335"/>
      <c r="AGN125" s="335"/>
      <c r="AGO125" s="335"/>
      <c r="AGP125" s="335"/>
      <c r="AGQ125" s="335"/>
      <c r="AGR125" s="335"/>
      <c r="AGS125" s="335"/>
      <c r="AGT125" s="335"/>
      <c r="AGU125" s="335"/>
      <c r="AGV125" s="335"/>
      <c r="AGW125" s="335"/>
      <c r="AGX125" s="335"/>
      <c r="AGY125" s="335"/>
      <c r="AGZ125" s="335"/>
      <c r="AHA125" s="335"/>
      <c r="AHB125" s="335"/>
      <c r="AHC125" s="335"/>
      <c r="AHD125" s="335"/>
      <c r="AHE125" s="335"/>
      <c r="AHF125" s="335"/>
      <c r="AHG125" s="335"/>
      <c r="AHH125" s="335"/>
      <c r="AHI125" s="335"/>
      <c r="AHJ125" s="335"/>
      <c r="AHK125" s="335"/>
      <c r="AHL125" s="335"/>
      <c r="AHM125" s="335"/>
      <c r="AHN125" s="335"/>
      <c r="AHO125" s="335"/>
      <c r="AHP125" s="335"/>
      <c r="AHQ125" s="335"/>
      <c r="AHR125" s="335"/>
      <c r="AHS125" s="335"/>
      <c r="AHT125" s="335"/>
      <c r="AHU125" s="335"/>
      <c r="AHV125" s="335"/>
      <c r="AHW125" s="335"/>
      <c r="AHX125" s="335"/>
      <c r="AHY125" s="335"/>
      <c r="AHZ125" s="335"/>
      <c r="AIA125" s="335"/>
      <c r="AIB125" s="335"/>
    </row>
    <row r="126" spans="2:912" s="172" customFormat="1">
      <c r="B126" s="174"/>
      <c r="ABE126" s="336"/>
      <c r="ABF126" s="335"/>
      <c r="ABG126" s="335"/>
      <c r="ABH126" s="335"/>
      <c r="ABI126" s="335"/>
      <c r="ABJ126" s="335"/>
      <c r="ABK126" s="335"/>
      <c r="ABL126" s="335"/>
      <c r="ABM126" s="335"/>
      <c r="ABN126" s="335"/>
      <c r="ABO126" s="335"/>
      <c r="ABP126" s="335"/>
      <c r="ABQ126" s="335"/>
      <c r="ABR126" s="335"/>
      <c r="ABS126" s="335"/>
      <c r="ABT126" s="335"/>
      <c r="ABU126" s="335"/>
      <c r="ABV126" s="335"/>
      <c r="ABW126" s="335"/>
      <c r="ABX126" s="335"/>
      <c r="ABY126" s="335"/>
      <c r="ABZ126" s="335"/>
      <c r="ACA126" s="335"/>
      <c r="ACB126" s="335"/>
      <c r="ACC126" s="335"/>
      <c r="ACD126" s="335"/>
      <c r="ACE126" s="335"/>
      <c r="ACF126" s="335"/>
      <c r="ACG126" s="335"/>
      <c r="ACH126" s="335"/>
      <c r="ACI126" s="335"/>
      <c r="ACJ126" s="335"/>
      <c r="ACK126" s="335"/>
      <c r="ACL126" s="335"/>
      <c r="ACM126" s="335"/>
      <c r="ACN126" s="335"/>
      <c r="ACO126" s="335"/>
      <c r="ACP126" s="335"/>
      <c r="ACQ126" s="335"/>
      <c r="ACR126" s="335"/>
      <c r="ACS126" s="335"/>
      <c r="ACT126" s="335"/>
      <c r="ACU126" s="335"/>
      <c r="ACV126" s="335"/>
      <c r="ACW126" s="335"/>
      <c r="ACX126" s="335"/>
      <c r="ACY126" s="335"/>
      <c r="ACZ126" s="335"/>
      <c r="ADA126" s="335"/>
      <c r="ADB126" s="335"/>
      <c r="ADC126" s="335"/>
      <c r="ADD126" s="335"/>
      <c r="ADE126" s="335"/>
      <c r="ADF126" s="335"/>
      <c r="ADG126" s="335"/>
      <c r="ADH126" s="335"/>
      <c r="ADI126" s="335"/>
      <c r="ADJ126" s="335"/>
      <c r="ADK126" s="335"/>
      <c r="ADL126" s="335"/>
      <c r="ADM126" s="335"/>
      <c r="ADN126" s="335"/>
      <c r="ADO126" s="335"/>
      <c r="ADP126" s="335"/>
      <c r="ADQ126" s="335"/>
      <c r="ADR126" s="335"/>
      <c r="ADS126" s="335"/>
      <c r="ADT126" s="335"/>
      <c r="ADU126" s="335"/>
      <c r="ADV126" s="335"/>
      <c r="ADW126" s="335"/>
      <c r="ADX126" s="335"/>
      <c r="ADY126" s="335"/>
      <c r="ADZ126" s="335"/>
      <c r="AEA126" s="335"/>
      <c r="AEB126" s="335"/>
      <c r="AEC126" s="335"/>
      <c r="AED126" s="335"/>
      <c r="AEE126" s="335"/>
      <c r="AEF126" s="335"/>
      <c r="AEG126" s="335"/>
      <c r="AEH126" s="335"/>
      <c r="AEI126" s="335"/>
      <c r="AEJ126" s="335"/>
      <c r="AEK126" s="335"/>
      <c r="AEL126" s="335"/>
      <c r="AEM126" s="335"/>
      <c r="AEN126" s="335"/>
      <c r="AEO126" s="335"/>
      <c r="AEP126" s="335"/>
      <c r="AEQ126" s="335"/>
      <c r="AER126" s="335"/>
      <c r="AES126" s="335"/>
      <c r="AET126" s="335"/>
      <c r="AEU126" s="335"/>
      <c r="AEV126" s="335"/>
      <c r="AEW126" s="335"/>
      <c r="AEX126" s="335"/>
      <c r="AEY126" s="335"/>
      <c r="AEZ126" s="335"/>
      <c r="AFA126" s="335"/>
      <c r="AFB126" s="335"/>
      <c r="AFC126" s="335"/>
      <c r="AFD126" s="335"/>
      <c r="AFE126" s="335"/>
      <c r="AFF126" s="335"/>
      <c r="AFG126" s="335"/>
      <c r="AFH126" s="335"/>
      <c r="AFI126" s="335"/>
      <c r="AFJ126" s="335"/>
      <c r="AFK126" s="335"/>
      <c r="AFL126" s="335"/>
      <c r="AFM126" s="335"/>
      <c r="AFN126" s="335"/>
      <c r="AFO126" s="335"/>
      <c r="AFP126" s="335"/>
      <c r="AFQ126" s="335"/>
      <c r="AFR126" s="335"/>
      <c r="AFS126" s="335"/>
      <c r="AFT126" s="335"/>
      <c r="AFU126" s="335"/>
      <c r="AFV126" s="335"/>
      <c r="AFW126" s="335"/>
      <c r="AFX126" s="335"/>
      <c r="AFY126" s="335"/>
      <c r="AFZ126" s="335"/>
      <c r="AGA126" s="335"/>
      <c r="AGB126" s="335"/>
      <c r="AGC126" s="335"/>
      <c r="AGD126" s="335"/>
      <c r="AGE126" s="335"/>
      <c r="AGF126" s="335"/>
      <c r="AGG126" s="335"/>
      <c r="AGH126" s="335"/>
      <c r="AGI126" s="335"/>
      <c r="AGJ126" s="335"/>
      <c r="AGK126" s="335"/>
      <c r="AGL126" s="335"/>
      <c r="AGM126" s="335"/>
      <c r="AGN126" s="335"/>
      <c r="AGO126" s="335"/>
      <c r="AGP126" s="335"/>
      <c r="AGQ126" s="335"/>
      <c r="AGR126" s="335"/>
      <c r="AGS126" s="335"/>
      <c r="AGT126" s="335"/>
      <c r="AGU126" s="335"/>
      <c r="AGV126" s="335"/>
      <c r="AGW126" s="335"/>
      <c r="AGX126" s="335"/>
      <c r="AGY126" s="335"/>
      <c r="AGZ126" s="335"/>
      <c r="AHA126" s="335"/>
      <c r="AHB126" s="335"/>
      <c r="AHC126" s="335"/>
      <c r="AHD126" s="335"/>
      <c r="AHE126" s="335"/>
      <c r="AHF126" s="335"/>
      <c r="AHG126" s="335"/>
      <c r="AHH126" s="335"/>
      <c r="AHI126" s="335"/>
      <c r="AHJ126" s="335"/>
      <c r="AHK126" s="335"/>
      <c r="AHL126" s="335"/>
      <c r="AHM126" s="335"/>
      <c r="AHN126" s="335"/>
      <c r="AHO126" s="335"/>
      <c r="AHP126" s="335"/>
      <c r="AHQ126" s="335"/>
      <c r="AHR126" s="335"/>
      <c r="AHS126" s="335"/>
      <c r="AHT126" s="335"/>
      <c r="AHU126" s="335"/>
      <c r="AHV126" s="335"/>
      <c r="AHW126" s="335"/>
      <c r="AHX126" s="335"/>
      <c r="AHY126" s="335"/>
      <c r="AHZ126" s="335"/>
      <c r="AIA126" s="335"/>
      <c r="AIB126" s="335"/>
    </row>
    <row r="127" spans="2:912" s="172" customFormat="1">
      <c r="B127" s="174"/>
      <c r="ABE127" s="336"/>
      <c r="ABF127" s="335"/>
      <c r="ABG127" s="335"/>
      <c r="ABH127" s="335"/>
      <c r="ABI127" s="335"/>
      <c r="ABJ127" s="335"/>
      <c r="ABK127" s="335"/>
      <c r="ABL127" s="335"/>
      <c r="ABM127" s="335"/>
      <c r="ABN127" s="335"/>
      <c r="ABO127" s="335"/>
      <c r="ABP127" s="335"/>
      <c r="ABQ127" s="335"/>
      <c r="ABR127" s="335"/>
      <c r="ABS127" s="335"/>
      <c r="ABT127" s="335"/>
      <c r="ABU127" s="335"/>
      <c r="ABV127" s="335"/>
      <c r="ABW127" s="335"/>
      <c r="ABX127" s="335"/>
      <c r="ABY127" s="335"/>
      <c r="ABZ127" s="335"/>
      <c r="ACA127" s="335"/>
      <c r="ACB127" s="335"/>
      <c r="ACC127" s="335"/>
      <c r="ACD127" s="335"/>
      <c r="ACE127" s="335"/>
      <c r="ACF127" s="335"/>
      <c r="ACG127" s="335"/>
      <c r="ACH127" s="335"/>
      <c r="ACI127" s="335"/>
      <c r="ACJ127" s="335"/>
      <c r="ACK127" s="335"/>
      <c r="ACL127" s="335"/>
      <c r="ACM127" s="335"/>
      <c r="ACN127" s="335"/>
      <c r="ACO127" s="335"/>
      <c r="ACP127" s="335"/>
      <c r="ACQ127" s="335"/>
      <c r="ACR127" s="335"/>
      <c r="ACS127" s="335"/>
      <c r="ACT127" s="335"/>
      <c r="ACU127" s="335"/>
      <c r="ACV127" s="335"/>
      <c r="ACW127" s="335"/>
      <c r="ACX127" s="335"/>
      <c r="ACY127" s="335"/>
      <c r="ACZ127" s="335"/>
      <c r="ADA127" s="335"/>
      <c r="ADB127" s="335"/>
      <c r="ADC127" s="335"/>
      <c r="ADD127" s="335"/>
      <c r="ADE127" s="335"/>
      <c r="ADF127" s="335"/>
      <c r="ADG127" s="335"/>
      <c r="ADH127" s="335"/>
      <c r="ADI127" s="335"/>
      <c r="ADJ127" s="335"/>
      <c r="ADK127" s="335"/>
      <c r="ADL127" s="335"/>
      <c r="ADM127" s="335"/>
      <c r="ADN127" s="335"/>
      <c r="ADO127" s="335"/>
      <c r="ADP127" s="335"/>
      <c r="ADQ127" s="335"/>
      <c r="ADR127" s="335"/>
      <c r="ADS127" s="335"/>
      <c r="ADT127" s="335"/>
      <c r="ADU127" s="335"/>
      <c r="ADV127" s="335"/>
      <c r="ADW127" s="335"/>
      <c r="ADX127" s="335"/>
      <c r="ADY127" s="335"/>
      <c r="ADZ127" s="335"/>
      <c r="AEA127" s="335"/>
      <c r="AEB127" s="335"/>
      <c r="AEC127" s="335"/>
      <c r="AED127" s="335"/>
      <c r="AEE127" s="335"/>
      <c r="AEF127" s="335"/>
      <c r="AEG127" s="335"/>
      <c r="AEH127" s="335"/>
      <c r="AEI127" s="335"/>
      <c r="AEJ127" s="335"/>
      <c r="AEK127" s="335"/>
      <c r="AEL127" s="335"/>
      <c r="AEM127" s="335"/>
      <c r="AEN127" s="335"/>
      <c r="AEO127" s="335"/>
      <c r="AEP127" s="335"/>
      <c r="AEQ127" s="335"/>
      <c r="AER127" s="335"/>
      <c r="AES127" s="335"/>
      <c r="AET127" s="335"/>
      <c r="AEU127" s="335"/>
      <c r="AEV127" s="335"/>
      <c r="AEW127" s="335"/>
      <c r="AEX127" s="335"/>
      <c r="AEY127" s="335"/>
      <c r="AEZ127" s="335"/>
      <c r="AFA127" s="335"/>
      <c r="AFB127" s="335"/>
      <c r="AFC127" s="335"/>
      <c r="AFD127" s="335"/>
      <c r="AFE127" s="335"/>
      <c r="AFF127" s="335"/>
      <c r="AFG127" s="335"/>
      <c r="AFH127" s="335"/>
      <c r="AFI127" s="335"/>
      <c r="AFJ127" s="335"/>
      <c r="AFK127" s="335"/>
      <c r="AFL127" s="335"/>
      <c r="AFM127" s="335"/>
      <c r="AFN127" s="335"/>
      <c r="AFO127" s="335"/>
      <c r="AFP127" s="335"/>
      <c r="AFQ127" s="335"/>
      <c r="AFR127" s="335"/>
      <c r="AFS127" s="335"/>
      <c r="AFT127" s="335"/>
      <c r="AFU127" s="335"/>
      <c r="AFV127" s="335"/>
      <c r="AFW127" s="335"/>
      <c r="AFX127" s="335"/>
      <c r="AFY127" s="335"/>
      <c r="AFZ127" s="335"/>
      <c r="AGA127" s="335"/>
      <c r="AGB127" s="335"/>
      <c r="AGC127" s="335"/>
      <c r="AGD127" s="335"/>
      <c r="AGE127" s="335"/>
      <c r="AGF127" s="335"/>
      <c r="AGG127" s="335"/>
      <c r="AGH127" s="335"/>
      <c r="AGI127" s="335"/>
      <c r="AGJ127" s="335"/>
      <c r="AGK127" s="335"/>
      <c r="AGL127" s="335"/>
      <c r="AGM127" s="335"/>
      <c r="AGN127" s="335"/>
      <c r="AGO127" s="335"/>
      <c r="AGP127" s="335"/>
      <c r="AGQ127" s="335"/>
      <c r="AGR127" s="335"/>
      <c r="AGS127" s="335"/>
      <c r="AGT127" s="335"/>
      <c r="AGU127" s="335"/>
      <c r="AGV127" s="335"/>
      <c r="AGW127" s="335"/>
      <c r="AGX127" s="335"/>
      <c r="AGY127" s="335"/>
      <c r="AGZ127" s="335"/>
      <c r="AHA127" s="335"/>
      <c r="AHB127" s="335"/>
      <c r="AHC127" s="335"/>
      <c r="AHD127" s="335"/>
      <c r="AHE127" s="335"/>
      <c r="AHF127" s="335"/>
      <c r="AHG127" s="335"/>
      <c r="AHH127" s="335"/>
      <c r="AHI127" s="335"/>
      <c r="AHJ127" s="335"/>
      <c r="AHK127" s="335"/>
      <c r="AHL127" s="335"/>
      <c r="AHM127" s="335"/>
      <c r="AHN127" s="335"/>
      <c r="AHO127" s="335"/>
      <c r="AHP127" s="335"/>
      <c r="AHQ127" s="335"/>
      <c r="AHR127" s="335"/>
      <c r="AHS127" s="335"/>
      <c r="AHT127" s="335"/>
      <c r="AHU127" s="335"/>
      <c r="AHV127" s="335"/>
      <c r="AHW127" s="335"/>
      <c r="AHX127" s="335"/>
      <c r="AHY127" s="335"/>
      <c r="AHZ127" s="335"/>
      <c r="AIA127" s="335"/>
      <c r="AIB127" s="335"/>
    </row>
    <row r="128" spans="2:912" s="172" customFormat="1">
      <c r="B128" s="174"/>
      <c r="ABE128" s="336"/>
      <c r="ABF128" s="335"/>
      <c r="ABG128" s="335"/>
      <c r="ABH128" s="335"/>
      <c r="ABI128" s="335"/>
      <c r="ABJ128" s="335"/>
      <c r="ABK128" s="335"/>
      <c r="ABL128" s="335"/>
      <c r="ABM128" s="335"/>
      <c r="ABN128" s="335"/>
      <c r="ABO128" s="335"/>
      <c r="ABP128" s="335"/>
      <c r="ABQ128" s="335"/>
      <c r="ABR128" s="335"/>
      <c r="ABS128" s="335"/>
      <c r="ABT128" s="335"/>
      <c r="ABU128" s="335"/>
      <c r="ABV128" s="335"/>
      <c r="ABW128" s="335"/>
      <c r="ABX128" s="335"/>
      <c r="ABY128" s="335"/>
      <c r="ABZ128" s="335"/>
      <c r="ACA128" s="335"/>
      <c r="ACB128" s="335"/>
      <c r="ACC128" s="335"/>
      <c r="ACD128" s="335"/>
      <c r="ACE128" s="335"/>
      <c r="ACF128" s="335"/>
      <c r="ACG128" s="335"/>
      <c r="ACH128" s="335"/>
      <c r="ACI128" s="335"/>
      <c r="ACJ128" s="335"/>
      <c r="ACK128" s="335"/>
      <c r="ACL128" s="335"/>
      <c r="ACM128" s="335"/>
      <c r="ACN128" s="335"/>
      <c r="ACO128" s="335"/>
      <c r="ACP128" s="335"/>
      <c r="ACQ128" s="335"/>
      <c r="ACR128" s="335"/>
      <c r="ACS128" s="335"/>
      <c r="ACT128" s="335"/>
      <c r="ACU128" s="335"/>
      <c r="ACV128" s="335"/>
      <c r="ACW128" s="335"/>
      <c r="ACX128" s="335"/>
      <c r="ACY128" s="335"/>
      <c r="ACZ128" s="335"/>
      <c r="ADA128" s="335"/>
      <c r="ADB128" s="335"/>
      <c r="ADC128" s="335"/>
      <c r="ADD128" s="335"/>
      <c r="ADE128" s="335"/>
      <c r="ADF128" s="335"/>
      <c r="ADG128" s="335"/>
      <c r="ADH128" s="335"/>
      <c r="ADI128" s="335"/>
      <c r="ADJ128" s="335"/>
      <c r="ADK128" s="335"/>
      <c r="ADL128" s="335"/>
      <c r="ADM128" s="335"/>
      <c r="ADN128" s="335"/>
      <c r="ADO128" s="335"/>
      <c r="ADP128" s="335"/>
      <c r="ADQ128" s="335"/>
      <c r="ADR128" s="335"/>
      <c r="ADS128" s="335"/>
      <c r="ADT128" s="335"/>
      <c r="ADU128" s="335"/>
      <c r="ADV128" s="335"/>
      <c r="ADW128" s="335"/>
      <c r="ADX128" s="335"/>
      <c r="ADY128" s="335"/>
      <c r="ADZ128" s="335"/>
      <c r="AEA128" s="335"/>
      <c r="AEB128" s="335"/>
      <c r="AEC128" s="335"/>
      <c r="AED128" s="335"/>
      <c r="AEE128" s="335"/>
      <c r="AEF128" s="335"/>
      <c r="AEG128" s="335"/>
      <c r="AEH128" s="335"/>
      <c r="AEI128" s="335"/>
      <c r="AEJ128" s="335"/>
      <c r="AEK128" s="335"/>
      <c r="AEL128" s="335"/>
      <c r="AEM128" s="335"/>
      <c r="AEN128" s="335"/>
      <c r="AEO128" s="335"/>
      <c r="AEP128" s="335"/>
      <c r="AEQ128" s="335"/>
      <c r="AER128" s="335"/>
      <c r="AES128" s="335"/>
      <c r="AET128" s="335"/>
      <c r="AEU128" s="335"/>
      <c r="AEV128" s="335"/>
      <c r="AEW128" s="335"/>
      <c r="AEX128" s="335"/>
      <c r="AEY128" s="335"/>
      <c r="AEZ128" s="335"/>
      <c r="AFA128" s="335"/>
      <c r="AFB128" s="335"/>
      <c r="AFC128" s="335"/>
      <c r="AFD128" s="335"/>
      <c r="AFE128" s="335"/>
      <c r="AFF128" s="335"/>
      <c r="AFG128" s="335"/>
      <c r="AFH128" s="335"/>
      <c r="AFI128" s="335"/>
      <c r="AFJ128" s="335"/>
      <c r="AFK128" s="335"/>
      <c r="AFL128" s="335"/>
      <c r="AFM128" s="335"/>
      <c r="AFN128" s="335"/>
      <c r="AFO128" s="335"/>
      <c r="AFP128" s="335"/>
      <c r="AFQ128" s="335"/>
      <c r="AFR128" s="335"/>
      <c r="AFS128" s="335"/>
      <c r="AFT128" s="335"/>
      <c r="AFU128" s="335"/>
      <c r="AFV128" s="335"/>
      <c r="AFW128" s="335"/>
      <c r="AFX128" s="335"/>
      <c r="AFY128" s="335"/>
      <c r="AFZ128" s="335"/>
      <c r="AGA128" s="335"/>
      <c r="AGB128" s="335"/>
      <c r="AGC128" s="335"/>
      <c r="AGD128" s="335"/>
      <c r="AGE128" s="335"/>
      <c r="AGF128" s="335"/>
      <c r="AGG128" s="335"/>
      <c r="AGH128" s="335"/>
      <c r="AGI128" s="335"/>
      <c r="AGJ128" s="335"/>
      <c r="AGK128" s="335"/>
      <c r="AGL128" s="335"/>
      <c r="AGM128" s="335"/>
      <c r="AGN128" s="335"/>
      <c r="AGO128" s="335"/>
      <c r="AGP128" s="335"/>
      <c r="AGQ128" s="335"/>
      <c r="AGR128" s="335"/>
      <c r="AGS128" s="335"/>
      <c r="AGT128" s="335"/>
      <c r="AGU128" s="335"/>
      <c r="AGV128" s="335"/>
      <c r="AGW128" s="335"/>
      <c r="AGX128" s="335"/>
      <c r="AGY128" s="335"/>
      <c r="AGZ128" s="335"/>
      <c r="AHA128" s="335"/>
      <c r="AHB128" s="335"/>
      <c r="AHC128" s="335"/>
      <c r="AHD128" s="335"/>
      <c r="AHE128" s="335"/>
      <c r="AHF128" s="335"/>
      <c r="AHG128" s="335"/>
      <c r="AHH128" s="335"/>
      <c r="AHI128" s="335"/>
      <c r="AHJ128" s="335"/>
      <c r="AHK128" s="335"/>
      <c r="AHL128" s="335"/>
      <c r="AHM128" s="335"/>
      <c r="AHN128" s="335"/>
      <c r="AHO128" s="335"/>
      <c r="AHP128" s="335"/>
      <c r="AHQ128" s="335"/>
      <c r="AHR128" s="335"/>
      <c r="AHS128" s="335"/>
      <c r="AHT128" s="335"/>
      <c r="AHU128" s="335"/>
      <c r="AHV128" s="335"/>
      <c r="AHW128" s="335"/>
      <c r="AHX128" s="335"/>
      <c r="AHY128" s="335"/>
      <c r="AHZ128" s="335"/>
      <c r="AIA128" s="335"/>
      <c r="AIB128" s="335"/>
    </row>
    <row r="129" spans="2:912" s="172" customFormat="1">
      <c r="B129" s="174"/>
      <c r="ABE129" s="336"/>
      <c r="ABF129" s="335"/>
      <c r="ABG129" s="335"/>
      <c r="ABH129" s="335"/>
      <c r="ABI129" s="335"/>
      <c r="ABJ129" s="335"/>
      <c r="ABK129" s="335"/>
      <c r="ABL129" s="335"/>
      <c r="ABM129" s="335"/>
      <c r="ABN129" s="335"/>
      <c r="ABO129" s="335"/>
      <c r="ABP129" s="335"/>
      <c r="ABQ129" s="335"/>
      <c r="ABR129" s="335"/>
      <c r="ABS129" s="335"/>
      <c r="ABT129" s="335"/>
      <c r="ABU129" s="335"/>
      <c r="ABV129" s="335"/>
      <c r="ABW129" s="335"/>
      <c r="ABX129" s="335"/>
      <c r="ABY129" s="335"/>
      <c r="ABZ129" s="335"/>
      <c r="ACA129" s="335"/>
      <c r="ACB129" s="335"/>
      <c r="ACC129" s="335"/>
      <c r="ACD129" s="335"/>
      <c r="ACE129" s="335"/>
      <c r="ACF129" s="335"/>
      <c r="ACG129" s="335"/>
      <c r="ACH129" s="335"/>
      <c r="ACI129" s="335"/>
      <c r="ACJ129" s="335"/>
      <c r="ACK129" s="335"/>
      <c r="ACL129" s="335"/>
      <c r="ACM129" s="335"/>
      <c r="ACN129" s="335"/>
      <c r="ACO129" s="335"/>
      <c r="ACP129" s="335"/>
      <c r="ACQ129" s="335"/>
      <c r="ACR129" s="335"/>
      <c r="ACS129" s="335"/>
      <c r="ACT129" s="335"/>
      <c r="ACU129" s="335"/>
      <c r="ACV129" s="335"/>
      <c r="ACW129" s="335"/>
      <c r="ACX129" s="335"/>
      <c r="ACY129" s="335"/>
      <c r="ACZ129" s="335"/>
      <c r="ADA129" s="335"/>
      <c r="ADB129" s="335"/>
      <c r="ADC129" s="335"/>
      <c r="ADD129" s="335"/>
      <c r="ADE129" s="335"/>
      <c r="ADF129" s="335"/>
      <c r="ADG129" s="335"/>
      <c r="ADH129" s="335"/>
      <c r="ADI129" s="335"/>
      <c r="ADJ129" s="335"/>
      <c r="ADK129" s="335"/>
      <c r="ADL129" s="335"/>
      <c r="ADM129" s="335"/>
      <c r="ADN129" s="335"/>
      <c r="ADO129" s="335"/>
      <c r="ADP129" s="335"/>
      <c r="ADQ129" s="335"/>
      <c r="ADR129" s="335"/>
      <c r="ADS129" s="335"/>
      <c r="ADT129" s="335"/>
      <c r="ADU129" s="335"/>
      <c r="ADV129" s="335"/>
      <c r="ADW129" s="335"/>
      <c r="ADX129" s="335"/>
      <c r="ADY129" s="335"/>
      <c r="ADZ129" s="335"/>
      <c r="AEA129" s="335"/>
      <c r="AEB129" s="335"/>
      <c r="AEC129" s="335"/>
      <c r="AED129" s="335"/>
      <c r="AEE129" s="335"/>
      <c r="AEF129" s="335"/>
      <c r="AEG129" s="335"/>
      <c r="AEH129" s="335"/>
      <c r="AEI129" s="335"/>
      <c r="AEJ129" s="335"/>
      <c r="AEK129" s="335"/>
      <c r="AEL129" s="335"/>
      <c r="AEM129" s="335"/>
      <c r="AEN129" s="335"/>
      <c r="AEO129" s="335"/>
      <c r="AEP129" s="335"/>
      <c r="AEQ129" s="335"/>
      <c r="AER129" s="335"/>
      <c r="AES129" s="335"/>
      <c r="AET129" s="335"/>
      <c r="AEU129" s="335"/>
      <c r="AEV129" s="335"/>
      <c r="AEW129" s="335"/>
      <c r="AEX129" s="335"/>
      <c r="AEY129" s="335"/>
      <c r="AEZ129" s="335"/>
      <c r="AFA129" s="335"/>
      <c r="AFB129" s="335"/>
      <c r="AFC129" s="335"/>
      <c r="AFD129" s="335"/>
      <c r="AFE129" s="335"/>
      <c r="AFF129" s="335"/>
      <c r="AFG129" s="335"/>
      <c r="AFH129" s="335"/>
      <c r="AFI129" s="335"/>
      <c r="AFJ129" s="335"/>
      <c r="AFK129" s="335"/>
      <c r="AFL129" s="335"/>
      <c r="AFM129" s="335"/>
      <c r="AFN129" s="335"/>
      <c r="AFO129" s="335"/>
      <c r="AFP129" s="335"/>
      <c r="AFQ129" s="335"/>
      <c r="AFR129" s="335"/>
      <c r="AFS129" s="335"/>
      <c r="AFT129" s="335"/>
      <c r="AFU129" s="335"/>
      <c r="AFV129" s="335"/>
      <c r="AFW129" s="335"/>
      <c r="AFX129" s="335"/>
      <c r="AFY129" s="335"/>
      <c r="AFZ129" s="335"/>
      <c r="AGA129" s="335"/>
      <c r="AGB129" s="335"/>
      <c r="AGC129" s="335"/>
      <c r="AGD129" s="335"/>
      <c r="AGE129" s="335"/>
      <c r="AGF129" s="335"/>
      <c r="AGG129" s="335"/>
      <c r="AGH129" s="335"/>
      <c r="AGI129" s="335"/>
      <c r="AGJ129" s="335"/>
      <c r="AGK129" s="335"/>
      <c r="AGL129" s="335"/>
      <c r="AGM129" s="335"/>
      <c r="AGN129" s="335"/>
      <c r="AGO129" s="335"/>
      <c r="AGP129" s="335"/>
      <c r="AGQ129" s="335"/>
      <c r="AGR129" s="335"/>
      <c r="AGS129" s="335"/>
      <c r="AGT129" s="335"/>
      <c r="AGU129" s="335"/>
      <c r="AGV129" s="335"/>
      <c r="AGW129" s="335"/>
      <c r="AGX129" s="335"/>
      <c r="AGY129" s="335"/>
      <c r="AGZ129" s="335"/>
      <c r="AHA129" s="335"/>
      <c r="AHB129" s="335"/>
      <c r="AHC129" s="335"/>
      <c r="AHD129" s="335"/>
      <c r="AHE129" s="335"/>
      <c r="AHF129" s="335"/>
      <c r="AHG129" s="335"/>
      <c r="AHH129" s="335"/>
      <c r="AHI129" s="335"/>
      <c r="AHJ129" s="335"/>
      <c r="AHK129" s="335"/>
      <c r="AHL129" s="335"/>
      <c r="AHM129" s="335"/>
      <c r="AHN129" s="335"/>
      <c r="AHO129" s="335"/>
      <c r="AHP129" s="335"/>
      <c r="AHQ129" s="335"/>
      <c r="AHR129" s="335"/>
      <c r="AHS129" s="335"/>
      <c r="AHT129" s="335"/>
      <c r="AHU129" s="335"/>
      <c r="AHV129" s="335"/>
      <c r="AHW129" s="335"/>
      <c r="AHX129" s="335"/>
      <c r="AHY129" s="335"/>
      <c r="AHZ129" s="335"/>
      <c r="AIA129" s="335"/>
      <c r="AIB129" s="335"/>
    </row>
    <row r="130" spans="2:912" s="172" customFormat="1">
      <c r="B130" s="174"/>
      <c r="ABE130" s="336"/>
      <c r="ABF130" s="335"/>
      <c r="ABG130" s="335"/>
      <c r="ABH130" s="335"/>
      <c r="ABI130" s="335"/>
      <c r="ABJ130" s="335"/>
      <c r="ABK130" s="335"/>
      <c r="ABL130" s="335"/>
      <c r="ABM130" s="335"/>
      <c r="ABN130" s="335"/>
      <c r="ABO130" s="335"/>
      <c r="ABP130" s="335"/>
      <c r="ABQ130" s="335"/>
      <c r="ABR130" s="335"/>
      <c r="ABS130" s="335"/>
      <c r="ABT130" s="335"/>
      <c r="ABU130" s="335"/>
      <c r="ABV130" s="335"/>
      <c r="ABW130" s="335"/>
      <c r="ABX130" s="335"/>
      <c r="ABY130" s="335"/>
      <c r="ABZ130" s="335"/>
      <c r="ACA130" s="335"/>
      <c r="ACB130" s="335"/>
      <c r="ACC130" s="335"/>
      <c r="ACD130" s="335"/>
      <c r="ACE130" s="335"/>
      <c r="ACF130" s="335"/>
      <c r="ACG130" s="335"/>
      <c r="ACH130" s="335"/>
      <c r="ACI130" s="335"/>
      <c r="ACJ130" s="335"/>
      <c r="ACK130" s="335"/>
      <c r="ACL130" s="335"/>
      <c r="ACM130" s="335"/>
      <c r="ACN130" s="335"/>
      <c r="ACO130" s="335"/>
      <c r="ACP130" s="335"/>
      <c r="ACQ130" s="335"/>
      <c r="ACR130" s="335"/>
      <c r="ACS130" s="335"/>
      <c r="ACT130" s="335"/>
      <c r="ACU130" s="335"/>
      <c r="ACV130" s="335"/>
      <c r="ACW130" s="335"/>
      <c r="ACX130" s="335"/>
      <c r="ACY130" s="335"/>
      <c r="ACZ130" s="335"/>
      <c r="ADA130" s="335"/>
      <c r="ADB130" s="335"/>
      <c r="ADC130" s="335"/>
      <c r="ADD130" s="335"/>
      <c r="ADE130" s="335"/>
      <c r="ADF130" s="335"/>
      <c r="ADG130" s="335"/>
      <c r="ADH130" s="335"/>
      <c r="ADI130" s="335"/>
      <c r="ADJ130" s="335"/>
      <c r="ADK130" s="335"/>
      <c r="ADL130" s="335"/>
      <c r="ADM130" s="335"/>
      <c r="ADN130" s="335"/>
      <c r="ADO130" s="335"/>
      <c r="ADP130" s="335"/>
      <c r="ADQ130" s="335"/>
      <c r="ADR130" s="335"/>
      <c r="ADS130" s="335"/>
      <c r="ADT130" s="335"/>
      <c r="ADU130" s="335"/>
      <c r="ADV130" s="335"/>
      <c r="ADW130" s="335"/>
      <c r="ADX130" s="335"/>
      <c r="ADY130" s="335"/>
      <c r="ADZ130" s="335"/>
      <c r="AEA130" s="335"/>
      <c r="AEB130" s="335"/>
      <c r="AEC130" s="335"/>
      <c r="AED130" s="335"/>
      <c r="AEE130" s="335"/>
      <c r="AEF130" s="335"/>
      <c r="AEG130" s="335"/>
      <c r="AEH130" s="335"/>
      <c r="AEI130" s="335"/>
      <c r="AEJ130" s="335"/>
      <c r="AEK130" s="335"/>
      <c r="AEL130" s="335"/>
      <c r="AEM130" s="335"/>
      <c r="AEN130" s="335"/>
      <c r="AEO130" s="335"/>
      <c r="AEP130" s="335"/>
      <c r="AEQ130" s="335"/>
      <c r="AER130" s="335"/>
      <c r="AES130" s="335"/>
      <c r="AET130" s="335"/>
      <c r="AEU130" s="335"/>
      <c r="AEV130" s="335"/>
      <c r="AEW130" s="335"/>
      <c r="AEX130" s="335"/>
      <c r="AEY130" s="335"/>
      <c r="AEZ130" s="335"/>
      <c r="AFA130" s="335"/>
      <c r="AFB130" s="335"/>
      <c r="AFC130" s="335"/>
      <c r="AFD130" s="335"/>
      <c r="AFE130" s="335"/>
      <c r="AFF130" s="335"/>
      <c r="AFG130" s="335"/>
      <c r="AFH130" s="335"/>
      <c r="AFI130" s="335"/>
      <c r="AFJ130" s="335"/>
      <c r="AFK130" s="335"/>
      <c r="AFL130" s="335"/>
      <c r="AFM130" s="335"/>
      <c r="AFN130" s="335"/>
      <c r="AFO130" s="335"/>
      <c r="AFP130" s="335"/>
      <c r="AFQ130" s="335"/>
      <c r="AFR130" s="335"/>
      <c r="AFS130" s="335"/>
      <c r="AFT130" s="335"/>
      <c r="AFU130" s="335"/>
      <c r="AFV130" s="335"/>
      <c r="AFW130" s="335"/>
      <c r="AFX130" s="335"/>
      <c r="AFY130" s="335"/>
      <c r="AFZ130" s="335"/>
      <c r="AGA130" s="335"/>
      <c r="AGB130" s="335"/>
      <c r="AGC130" s="335"/>
      <c r="AGD130" s="335"/>
      <c r="AGE130" s="335"/>
      <c r="AGF130" s="335"/>
      <c r="AGG130" s="335"/>
      <c r="AGH130" s="335"/>
      <c r="AGI130" s="335"/>
      <c r="AGJ130" s="335"/>
      <c r="AGK130" s="335"/>
      <c r="AGL130" s="335"/>
      <c r="AGM130" s="335"/>
      <c r="AGN130" s="335"/>
      <c r="AGO130" s="335"/>
      <c r="AGP130" s="335"/>
      <c r="AGQ130" s="335"/>
      <c r="AGR130" s="335"/>
      <c r="AGS130" s="335"/>
      <c r="AGT130" s="335"/>
      <c r="AGU130" s="335"/>
      <c r="AGV130" s="335"/>
      <c r="AGW130" s="335"/>
      <c r="AGX130" s="335"/>
      <c r="AGY130" s="335"/>
      <c r="AGZ130" s="335"/>
      <c r="AHA130" s="335"/>
      <c r="AHB130" s="335"/>
      <c r="AHC130" s="335"/>
      <c r="AHD130" s="335"/>
      <c r="AHE130" s="335"/>
      <c r="AHF130" s="335"/>
      <c r="AHG130" s="335"/>
      <c r="AHH130" s="335"/>
      <c r="AHI130" s="335"/>
      <c r="AHJ130" s="335"/>
      <c r="AHK130" s="335"/>
      <c r="AHL130" s="335"/>
      <c r="AHM130" s="335"/>
      <c r="AHN130" s="335"/>
      <c r="AHO130" s="335"/>
      <c r="AHP130" s="335"/>
      <c r="AHQ130" s="335"/>
      <c r="AHR130" s="335"/>
      <c r="AHS130" s="335"/>
      <c r="AHT130" s="335"/>
      <c r="AHU130" s="335"/>
      <c r="AHV130" s="335"/>
      <c r="AHW130" s="335"/>
      <c r="AHX130" s="335"/>
      <c r="AHY130" s="335"/>
      <c r="AHZ130" s="335"/>
      <c r="AIA130" s="335"/>
      <c r="AIB130" s="335"/>
    </row>
    <row r="131" spans="2:912" s="172" customFormat="1">
      <c r="B131" s="174"/>
      <c r="ABE131" s="336"/>
      <c r="ABF131" s="335"/>
      <c r="ABG131" s="335"/>
      <c r="ABH131" s="335"/>
      <c r="ABI131" s="335"/>
      <c r="ABJ131" s="335"/>
      <c r="ABK131" s="335"/>
      <c r="ABL131" s="335"/>
      <c r="ABM131" s="335"/>
      <c r="ABN131" s="335"/>
      <c r="ABO131" s="335"/>
      <c r="ABP131" s="335"/>
      <c r="ABQ131" s="335"/>
      <c r="ABR131" s="335"/>
      <c r="ABS131" s="335"/>
      <c r="ABT131" s="335"/>
      <c r="ABU131" s="335"/>
      <c r="ABV131" s="335"/>
      <c r="ABW131" s="335"/>
      <c r="ABX131" s="335"/>
      <c r="ABY131" s="335"/>
      <c r="ABZ131" s="335"/>
      <c r="ACA131" s="335"/>
      <c r="ACB131" s="335"/>
      <c r="ACC131" s="335"/>
      <c r="ACD131" s="335"/>
      <c r="ACE131" s="335"/>
      <c r="ACF131" s="335"/>
      <c r="ACG131" s="335"/>
      <c r="ACH131" s="335"/>
      <c r="ACI131" s="335"/>
      <c r="ACJ131" s="335"/>
      <c r="ACK131" s="335"/>
      <c r="ACL131" s="335"/>
      <c r="ACM131" s="335"/>
      <c r="ACN131" s="335"/>
      <c r="ACO131" s="335"/>
      <c r="ACP131" s="335"/>
      <c r="ACQ131" s="335"/>
      <c r="ACR131" s="335"/>
      <c r="ACS131" s="335"/>
      <c r="ACT131" s="335"/>
      <c r="ACU131" s="335"/>
      <c r="ACV131" s="335"/>
      <c r="ACW131" s="335"/>
      <c r="ACX131" s="335"/>
      <c r="ACY131" s="335"/>
      <c r="ACZ131" s="335"/>
      <c r="ADA131" s="335"/>
      <c r="ADB131" s="335"/>
      <c r="ADC131" s="335"/>
      <c r="ADD131" s="335"/>
      <c r="ADE131" s="335"/>
      <c r="ADF131" s="335"/>
      <c r="ADG131" s="335"/>
      <c r="ADH131" s="335"/>
      <c r="ADI131" s="335"/>
      <c r="ADJ131" s="335"/>
      <c r="ADK131" s="335"/>
      <c r="ADL131" s="335"/>
      <c r="ADM131" s="335"/>
      <c r="ADN131" s="335"/>
      <c r="ADO131" s="335"/>
      <c r="ADP131" s="335"/>
      <c r="ADQ131" s="335"/>
      <c r="ADR131" s="335"/>
      <c r="ADS131" s="335"/>
      <c r="ADT131" s="335"/>
      <c r="ADU131" s="335"/>
      <c r="ADV131" s="335"/>
      <c r="ADW131" s="335"/>
      <c r="ADX131" s="335"/>
      <c r="ADY131" s="335"/>
      <c r="ADZ131" s="335"/>
      <c r="AEA131" s="335"/>
      <c r="AEB131" s="335"/>
      <c r="AEC131" s="335"/>
      <c r="AED131" s="335"/>
      <c r="AEE131" s="335"/>
      <c r="AEF131" s="335"/>
      <c r="AEG131" s="335"/>
      <c r="AEH131" s="335"/>
      <c r="AEI131" s="335"/>
      <c r="AEJ131" s="335"/>
      <c r="AEK131" s="335"/>
      <c r="AEL131" s="335"/>
      <c r="AEM131" s="335"/>
      <c r="AEN131" s="335"/>
      <c r="AEO131" s="335"/>
      <c r="AEP131" s="335"/>
      <c r="AEQ131" s="335"/>
      <c r="AER131" s="335"/>
      <c r="AES131" s="335"/>
      <c r="AET131" s="335"/>
      <c r="AEU131" s="335"/>
      <c r="AEV131" s="335"/>
      <c r="AEW131" s="335"/>
      <c r="AEX131" s="335"/>
      <c r="AEY131" s="335"/>
      <c r="AEZ131" s="335"/>
      <c r="AFA131" s="335"/>
      <c r="AFB131" s="335"/>
      <c r="AFC131" s="335"/>
      <c r="AFD131" s="335"/>
      <c r="AFE131" s="335"/>
      <c r="AFF131" s="335"/>
      <c r="AFG131" s="335"/>
      <c r="AFH131" s="335"/>
      <c r="AFI131" s="335"/>
      <c r="AFJ131" s="335"/>
      <c r="AFK131" s="335"/>
      <c r="AFL131" s="335"/>
      <c r="AFM131" s="335"/>
      <c r="AFN131" s="335"/>
      <c r="AFO131" s="335"/>
      <c r="AFP131" s="335"/>
      <c r="AFQ131" s="335"/>
      <c r="AFR131" s="335"/>
      <c r="AFS131" s="335"/>
      <c r="AFT131" s="335"/>
      <c r="AFU131" s="335"/>
      <c r="AFV131" s="335"/>
      <c r="AFW131" s="335"/>
      <c r="AFX131" s="335"/>
      <c r="AFY131" s="335"/>
      <c r="AFZ131" s="335"/>
      <c r="AGA131" s="335"/>
      <c r="AGB131" s="335"/>
      <c r="AGC131" s="335"/>
      <c r="AGD131" s="335"/>
      <c r="AGE131" s="335"/>
      <c r="AGF131" s="335"/>
      <c r="AGG131" s="335"/>
      <c r="AGH131" s="335"/>
      <c r="AGI131" s="335"/>
      <c r="AGJ131" s="335"/>
      <c r="AGK131" s="335"/>
      <c r="AGL131" s="335"/>
      <c r="AGM131" s="335"/>
      <c r="AGN131" s="335"/>
      <c r="AGO131" s="335"/>
      <c r="AGP131" s="335"/>
      <c r="AGQ131" s="335"/>
      <c r="AGR131" s="335"/>
      <c r="AGS131" s="335"/>
      <c r="AGT131" s="335"/>
      <c r="AGU131" s="335"/>
      <c r="AGV131" s="335"/>
      <c r="AGW131" s="335"/>
      <c r="AGX131" s="335"/>
      <c r="AGY131" s="335"/>
      <c r="AGZ131" s="335"/>
      <c r="AHA131" s="335"/>
      <c r="AHB131" s="335"/>
      <c r="AHC131" s="335"/>
      <c r="AHD131" s="335"/>
      <c r="AHE131" s="335"/>
      <c r="AHF131" s="335"/>
      <c r="AHG131" s="335"/>
      <c r="AHH131" s="335"/>
      <c r="AHI131" s="335"/>
      <c r="AHJ131" s="335"/>
      <c r="AHK131" s="335"/>
      <c r="AHL131" s="335"/>
      <c r="AHM131" s="335"/>
      <c r="AHN131" s="335"/>
      <c r="AHO131" s="335"/>
      <c r="AHP131" s="335"/>
      <c r="AHQ131" s="335"/>
      <c r="AHR131" s="335"/>
      <c r="AHS131" s="335"/>
      <c r="AHT131" s="335"/>
      <c r="AHU131" s="335"/>
      <c r="AHV131" s="335"/>
      <c r="AHW131" s="335"/>
      <c r="AHX131" s="335"/>
      <c r="AHY131" s="335"/>
      <c r="AHZ131" s="335"/>
      <c r="AIA131" s="335"/>
      <c r="AIB131" s="335"/>
    </row>
    <row r="132" spans="2:912" s="172" customFormat="1">
      <c r="B132" s="174"/>
      <c r="ABE132" s="336"/>
      <c r="ABF132" s="335"/>
      <c r="ABG132" s="335"/>
      <c r="ABH132" s="335"/>
      <c r="ABI132" s="335"/>
      <c r="ABJ132" s="335"/>
      <c r="ABK132" s="335"/>
      <c r="ABL132" s="335"/>
      <c r="ABM132" s="335"/>
      <c r="ABN132" s="335"/>
      <c r="ABO132" s="335"/>
      <c r="ABP132" s="335"/>
      <c r="ABQ132" s="335"/>
      <c r="ABR132" s="335"/>
      <c r="ABS132" s="335"/>
      <c r="ABT132" s="335"/>
      <c r="ABU132" s="335"/>
      <c r="ABV132" s="335"/>
      <c r="ABW132" s="335"/>
      <c r="ABX132" s="335"/>
      <c r="ABY132" s="335"/>
      <c r="ABZ132" s="335"/>
      <c r="ACA132" s="335"/>
      <c r="ACB132" s="335"/>
      <c r="ACC132" s="335"/>
      <c r="ACD132" s="335"/>
      <c r="ACE132" s="335"/>
      <c r="ACF132" s="335"/>
      <c r="ACG132" s="335"/>
      <c r="ACH132" s="335"/>
      <c r="ACI132" s="335"/>
      <c r="ACJ132" s="335"/>
      <c r="ACK132" s="335"/>
      <c r="ACL132" s="335"/>
      <c r="ACM132" s="335"/>
      <c r="ACN132" s="335"/>
      <c r="ACO132" s="335"/>
      <c r="ACP132" s="335"/>
      <c r="ACQ132" s="335"/>
      <c r="ACR132" s="335"/>
      <c r="ACS132" s="335"/>
      <c r="ACT132" s="335"/>
      <c r="ACU132" s="335"/>
      <c r="ACV132" s="335"/>
      <c r="ACW132" s="335"/>
      <c r="ACX132" s="335"/>
      <c r="ACY132" s="335"/>
      <c r="ACZ132" s="335"/>
      <c r="ADA132" s="335"/>
      <c r="ADB132" s="335"/>
      <c r="ADC132" s="335"/>
      <c r="ADD132" s="335"/>
      <c r="ADE132" s="335"/>
      <c r="ADF132" s="335"/>
      <c r="ADG132" s="335"/>
      <c r="ADH132" s="335"/>
      <c r="ADI132" s="335"/>
      <c r="ADJ132" s="335"/>
      <c r="ADK132" s="335"/>
      <c r="ADL132" s="335"/>
      <c r="ADM132" s="335"/>
      <c r="ADN132" s="335"/>
      <c r="ADO132" s="335"/>
      <c r="ADP132" s="335"/>
      <c r="ADQ132" s="335"/>
      <c r="ADR132" s="335"/>
      <c r="ADS132" s="335"/>
      <c r="ADT132" s="335"/>
      <c r="ADU132" s="335"/>
      <c r="ADV132" s="335"/>
      <c r="ADW132" s="335"/>
      <c r="ADX132" s="335"/>
      <c r="ADY132" s="335"/>
      <c r="ADZ132" s="335"/>
      <c r="AEA132" s="335"/>
      <c r="AEB132" s="335"/>
      <c r="AEC132" s="335"/>
      <c r="AED132" s="335"/>
      <c r="AEE132" s="335"/>
      <c r="AEF132" s="335"/>
      <c r="AEG132" s="335"/>
      <c r="AEH132" s="335"/>
      <c r="AEI132" s="335"/>
      <c r="AEJ132" s="335"/>
      <c r="AEK132" s="335"/>
      <c r="AEL132" s="335"/>
      <c r="AEM132" s="335"/>
      <c r="AEN132" s="335"/>
      <c r="AEO132" s="335"/>
      <c r="AEP132" s="335"/>
      <c r="AEQ132" s="335"/>
      <c r="AER132" s="335"/>
      <c r="AES132" s="335"/>
      <c r="AET132" s="335"/>
      <c r="AEU132" s="335"/>
      <c r="AEV132" s="335"/>
      <c r="AEW132" s="335"/>
      <c r="AEX132" s="335"/>
      <c r="AEY132" s="335"/>
      <c r="AEZ132" s="335"/>
      <c r="AFA132" s="335"/>
      <c r="AFB132" s="335"/>
      <c r="AFC132" s="335"/>
      <c r="AFD132" s="335"/>
      <c r="AFE132" s="335"/>
      <c r="AFF132" s="335"/>
      <c r="AFG132" s="335"/>
      <c r="AFH132" s="335"/>
      <c r="AFI132" s="335"/>
      <c r="AFJ132" s="335"/>
      <c r="AFK132" s="335"/>
      <c r="AFL132" s="335"/>
      <c r="AFM132" s="335"/>
      <c r="AFN132" s="335"/>
      <c r="AFO132" s="335"/>
      <c r="AFP132" s="335"/>
      <c r="AFQ132" s="335"/>
      <c r="AFR132" s="335"/>
      <c r="AFS132" s="335"/>
      <c r="AFT132" s="335"/>
      <c r="AFU132" s="335"/>
      <c r="AFV132" s="335"/>
      <c r="AFW132" s="335"/>
      <c r="AFX132" s="335"/>
      <c r="AFY132" s="335"/>
      <c r="AFZ132" s="335"/>
      <c r="AGA132" s="335"/>
      <c r="AGB132" s="335"/>
      <c r="AGC132" s="335"/>
      <c r="AGD132" s="335"/>
      <c r="AGE132" s="335"/>
      <c r="AGF132" s="335"/>
      <c r="AGG132" s="335"/>
      <c r="AGH132" s="335"/>
      <c r="AGI132" s="335"/>
      <c r="AGJ132" s="335"/>
      <c r="AGK132" s="335"/>
      <c r="AGL132" s="335"/>
      <c r="AGM132" s="335"/>
      <c r="AGN132" s="335"/>
      <c r="AGO132" s="335"/>
      <c r="AGP132" s="335"/>
      <c r="AGQ132" s="335"/>
      <c r="AGR132" s="335"/>
      <c r="AGS132" s="335"/>
      <c r="AGT132" s="335"/>
      <c r="AGU132" s="335"/>
      <c r="AGV132" s="335"/>
      <c r="AGW132" s="335"/>
      <c r="AGX132" s="335"/>
      <c r="AGY132" s="335"/>
      <c r="AGZ132" s="335"/>
      <c r="AHA132" s="335"/>
      <c r="AHB132" s="335"/>
      <c r="AHC132" s="335"/>
      <c r="AHD132" s="335"/>
      <c r="AHE132" s="335"/>
      <c r="AHF132" s="335"/>
      <c r="AHG132" s="335"/>
      <c r="AHH132" s="335"/>
      <c r="AHI132" s="335"/>
      <c r="AHJ132" s="335"/>
      <c r="AHK132" s="335"/>
      <c r="AHL132" s="335"/>
      <c r="AHM132" s="335"/>
      <c r="AHN132" s="335"/>
      <c r="AHO132" s="335"/>
      <c r="AHP132" s="335"/>
      <c r="AHQ132" s="335"/>
      <c r="AHR132" s="335"/>
      <c r="AHS132" s="335"/>
      <c r="AHT132" s="335"/>
      <c r="AHU132" s="335"/>
      <c r="AHV132" s="335"/>
      <c r="AHW132" s="335"/>
      <c r="AHX132" s="335"/>
      <c r="AHY132" s="335"/>
      <c r="AHZ132" s="335"/>
      <c r="AIA132" s="335"/>
      <c r="AIB132" s="335"/>
    </row>
    <row r="133" spans="2:912" s="172" customFormat="1">
      <c r="B133" s="174"/>
      <c r="ABE133" s="336"/>
      <c r="ABF133" s="335"/>
      <c r="ABG133" s="335"/>
      <c r="ABH133" s="335"/>
      <c r="ABI133" s="335"/>
      <c r="ABJ133" s="335"/>
      <c r="ABK133" s="335"/>
      <c r="ABL133" s="335"/>
      <c r="ABM133" s="335"/>
      <c r="ABN133" s="335"/>
      <c r="ABO133" s="335"/>
      <c r="ABP133" s="335"/>
      <c r="ABQ133" s="335"/>
      <c r="ABR133" s="335"/>
      <c r="ABS133" s="335"/>
      <c r="ABT133" s="335"/>
      <c r="ABU133" s="335"/>
      <c r="ABV133" s="335"/>
      <c r="ABW133" s="335"/>
      <c r="ABX133" s="335"/>
      <c r="ABY133" s="335"/>
      <c r="ABZ133" s="335"/>
      <c r="ACA133" s="335"/>
      <c r="ACB133" s="335"/>
      <c r="ACC133" s="335"/>
      <c r="ACD133" s="335"/>
      <c r="ACE133" s="335"/>
      <c r="ACF133" s="335"/>
      <c r="ACG133" s="335"/>
      <c r="ACH133" s="335"/>
      <c r="ACI133" s="335"/>
      <c r="ACJ133" s="335"/>
      <c r="ACK133" s="335"/>
      <c r="ACL133" s="335"/>
      <c r="ACM133" s="335"/>
      <c r="ACN133" s="335"/>
      <c r="ACO133" s="335"/>
      <c r="ACP133" s="335"/>
      <c r="ACQ133" s="335"/>
      <c r="ACR133" s="335"/>
      <c r="ACS133" s="335"/>
      <c r="ACT133" s="335"/>
      <c r="ACU133" s="335"/>
      <c r="ACV133" s="335"/>
      <c r="ACW133" s="335"/>
      <c r="ACX133" s="335"/>
      <c r="ACY133" s="335"/>
      <c r="ACZ133" s="335"/>
      <c r="ADA133" s="335"/>
      <c r="ADB133" s="335"/>
      <c r="ADC133" s="335"/>
      <c r="ADD133" s="335"/>
      <c r="ADE133" s="335"/>
      <c r="ADF133" s="335"/>
      <c r="ADG133" s="335"/>
      <c r="ADH133" s="335"/>
      <c r="ADI133" s="335"/>
      <c r="ADJ133" s="335"/>
      <c r="ADK133" s="335"/>
      <c r="ADL133" s="335"/>
      <c r="ADM133" s="335"/>
      <c r="ADN133" s="335"/>
      <c r="ADO133" s="335"/>
      <c r="ADP133" s="335"/>
      <c r="ADQ133" s="335"/>
      <c r="ADR133" s="335"/>
      <c r="ADS133" s="335"/>
      <c r="ADT133" s="335"/>
      <c r="ADU133" s="335"/>
      <c r="ADV133" s="335"/>
      <c r="ADW133" s="335"/>
      <c r="ADX133" s="335"/>
      <c r="ADY133" s="335"/>
      <c r="ADZ133" s="335"/>
      <c r="AEA133" s="335"/>
      <c r="AEB133" s="335"/>
      <c r="AEC133" s="335"/>
      <c r="AED133" s="335"/>
      <c r="AEE133" s="335"/>
      <c r="AEF133" s="335"/>
      <c r="AEG133" s="335"/>
      <c r="AEH133" s="335"/>
      <c r="AEI133" s="335"/>
      <c r="AEJ133" s="335"/>
      <c r="AEK133" s="335"/>
      <c r="AEL133" s="335"/>
      <c r="AEM133" s="335"/>
      <c r="AEN133" s="335"/>
      <c r="AEO133" s="335"/>
      <c r="AEP133" s="335"/>
      <c r="AEQ133" s="335"/>
      <c r="AER133" s="335"/>
      <c r="AES133" s="335"/>
      <c r="AET133" s="335"/>
      <c r="AEU133" s="335"/>
      <c r="AEV133" s="335"/>
      <c r="AEW133" s="335"/>
      <c r="AEX133" s="335"/>
      <c r="AEY133" s="335"/>
      <c r="AEZ133" s="335"/>
      <c r="AFA133" s="335"/>
      <c r="AFB133" s="335"/>
      <c r="AFC133" s="335"/>
      <c r="AFD133" s="335"/>
      <c r="AFE133" s="335"/>
      <c r="AFF133" s="335"/>
      <c r="AFG133" s="335"/>
      <c r="AFH133" s="335"/>
      <c r="AFI133" s="335"/>
      <c r="AFJ133" s="335"/>
      <c r="AFK133" s="335"/>
      <c r="AFL133" s="335"/>
      <c r="AFM133" s="335"/>
      <c r="AFN133" s="335"/>
      <c r="AFO133" s="335"/>
      <c r="AFP133" s="335"/>
      <c r="AFQ133" s="335"/>
      <c r="AFR133" s="335"/>
      <c r="AFS133" s="335"/>
      <c r="AFT133" s="335"/>
      <c r="AFU133" s="335"/>
      <c r="AFV133" s="335"/>
      <c r="AFW133" s="335"/>
      <c r="AFX133" s="335"/>
      <c r="AFY133" s="335"/>
      <c r="AFZ133" s="335"/>
      <c r="AGA133" s="335"/>
      <c r="AGB133" s="335"/>
      <c r="AGC133" s="335"/>
      <c r="AGD133" s="335"/>
      <c r="AGE133" s="335"/>
      <c r="AGF133" s="335"/>
      <c r="AGG133" s="335"/>
      <c r="AGH133" s="335"/>
      <c r="AGI133" s="335"/>
      <c r="AGJ133" s="335"/>
      <c r="AGK133" s="335"/>
      <c r="AGL133" s="335"/>
      <c r="AGM133" s="335"/>
      <c r="AGN133" s="335"/>
      <c r="AGO133" s="335"/>
      <c r="AGP133" s="335"/>
      <c r="AGQ133" s="335"/>
      <c r="AGR133" s="335"/>
      <c r="AGS133" s="335"/>
      <c r="AGT133" s="335"/>
      <c r="AGU133" s="335"/>
      <c r="AGV133" s="335"/>
      <c r="AGW133" s="335"/>
      <c r="AGX133" s="335"/>
      <c r="AGY133" s="335"/>
      <c r="AGZ133" s="335"/>
      <c r="AHA133" s="335"/>
      <c r="AHB133" s="335"/>
      <c r="AHC133" s="335"/>
      <c r="AHD133" s="335"/>
      <c r="AHE133" s="335"/>
      <c r="AHF133" s="335"/>
      <c r="AHG133" s="335"/>
      <c r="AHH133" s="335"/>
      <c r="AHI133" s="335"/>
      <c r="AHJ133" s="335"/>
      <c r="AHK133" s="335"/>
      <c r="AHL133" s="335"/>
      <c r="AHM133" s="335"/>
      <c r="AHN133" s="335"/>
      <c r="AHO133" s="335"/>
      <c r="AHP133" s="335"/>
      <c r="AHQ133" s="335"/>
      <c r="AHR133" s="335"/>
      <c r="AHS133" s="335"/>
      <c r="AHT133" s="335"/>
      <c r="AHU133" s="335"/>
      <c r="AHV133" s="335"/>
      <c r="AHW133" s="335"/>
      <c r="AHX133" s="335"/>
      <c r="AHY133" s="335"/>
      <c r="AHZ133" s="335"/>
      <c r="AIA133" s="335"/>
      <c r="AIB133" s="335"/>
    </row>
    <row r="134" spans="2:912" s="172" customFormat="1">
      <c r="B134" s="174"/>
      <c r="ABE134" s="336"/>
      <c r="ABF134" s="335"/>
      <c r="ABG134" s="335"/>
      <c r="ABH134" s="335"/>
      <c r="ABI134" s="335"/>
      <c r="ABJ134" s="335"/>
      <c r="ABK134" s="335"/>
      <c r="ABL134" s="335"/>
      <c r="ABM134" s="335"/>
      <c r="ABN134" s="335"/>
      <c r="ABO134" s="335"/>
      <c r="ABP134" s="335"/>
      <c r="ABQ134" s="335"/>
      <c r="ABR134" s="335"/>
      <c r="ABS134" s="335"/>
      <c r="ABT134" s="335"/>
      <c r="ABU134" s="335"/>
      <c r="ABV134" s="335"/>
      <c r="ABW134" s="335"/>
      <c r="ABX134" s="335"/>
      <c r="ABY134" s="335"/>
      <c r="ABZ134" s="335"/>
      <c r="ACA134" s="335"/>
      <c r="ACB134" s="335"/>
      <c r="ACC134" s="335"/>
      <c r="ACD134" s="335"/>
      <c r="ACE134" s="335"/>
      <c r="ACF134" s="335"/>
      <c r="ACG134" s="335"/>
      <c r="ACH134" s="335"/>
      <c r="ACI134" s="335"/>
      <c r="ACJ134" s="335"/>
      <c r="ACK134" s="335"/>
      <c r="ACL134" s="335"/>
      <c r="ACM134" s="335"/>
      <c r="ACN134" s="335"/>
      <c r="ACO134" s="335"/>
      <c r="ACP134" s="335"/>
      <c r="ACQ134" s="335"/>
      <c r="ACR134" s="335"/>
      <c r="ACS134" s="335"/>
      <c r="ACT134" s="335"/>
      <c r="ACU134" s="335"/>
      <c r="ACV134" s="335"/>
      <c r="ACW134" s="335"/>
      <c r="ACX134" s="335"/>
      <c r="ACY134" s="335"/>
      <c r="ACZ134" s="335"/>
      <c r="ADA134" s="335"/>
      <c r="ADB134" s="335"/>
      <c r="ADC134" s="335"/>
      <c r="ADD134" s="335"/>
      <c r="ADE134" s="335"/>
      <c r="ADF134" s="335"/>
      <c r="ADG134" s="335"/>
      <c r="ADH134" s="335"/>
      <c r="ADI134" s="335"/>
      <c r="ADJ134" s="335"/>
      <c r="ADK134" s="335"/>
      <c r="ADL134" s="335"/>
      <c r="ADM134" s="335"/>
      <c r="ADN134" s="335"/>
      <c r="ADO134" s="335"/>
      <c r="ADP134" s="335"/>
      <c r="ADQ134" s="335"/>
      <c r="ADR134" s="335"/>
      <c r="ADS134" s="335"/>
      <c r="ADT134" s="335"/>
      <c r="ADU134" s="335"/>
      <c r="ADV134" s="335"/>
      <c r="ADW134" s="335"/>
      <c r="ADX134" s="335"/>
      <c r="ADY134" s="335"/>
      <c r="ADZ134" s="335"/>
      <c r="AEA134" s="335"/>
      <c r="AEB134" s="335"/>
      <c r="AEC134" s="335"/>
      <c r="AED134" s="335"/>
      <c r="AEE134" s="335"/>
      <c r="AEF134" s="335"/>
      <c r="AEG134" s="335"/>
      <c r="AEH134" s="335"/>
      <c r="AEI134" s="335"/>
      <c r="AEJ134" s="335"/>
      <c r="AEK134" s="335"/>
      <c r="AEL134" s="335"/>
      <c r="AEM134" s="335"/>
      <c r="AEN134" s="335"/>
      <c r="AEO134" s="335"/>
      <c r="AEP134" s="335"/>
      <c r="AEQ134" s="335"/>
      <c r="AER134" s="335"/>
      <c r="AES134" s="335"/>
      <c r="AET134" s="335"/>
      <c r="AEU134" s="335"/>
      <c r="AEV134" s="335"/>
      <c r="AEW134" s="335"/>
      <c r="AEX134" s="335"/>
      <c r="AEY134" s="335"/>
      <c r="AEZ134" s="335"/>
      <c r="AFA134" s="335"/>
      <c r="AFB134" s="335"/>
      <c r="AFC134" s="335"/>
      <c r="AFD134" s="335"/>
      <c r="AFE134" s="335"/>
      <c r="AFF134" s="335"/>
      <c r="AFG134" s="335"/>
      <c r="AFH134" s="335"/>
      <c r="AFI134" s="335"/>
      <c r="AFJ134" s="335"/>
      <c r="AFK134" s="335"/>
      <c r="AFL134" s="335"/>
      <c r="AFM134" s="335"/>
      <c r="AFN134" s="335"/>
      <c r="AFO134" s="335"/>
      <c r="AFP134" s="335"/>
      <c r="AFQ134" s="335"/>
      <c r="AFR134" s="335"/>
      <c r="AFS134" s="335"/>
      <c r="AFT134" s="335"/>
      <c r="AFU134" s="335"/>
      <c r="AFV134" s="335"/>
      <c r="AFW134" s="335"/>
      <c r="AFX134" s="335"/>
      <c r="AFY134" s="335"/>
      <c r="AFZ134" s="335"/>
      <c r="AGA134" s="335"/>
      <c r="AGB134" s="335"/>
      <c r="AGC134" s="335"/>
      <c r="AGD134" s="335"/>
      <c r="AGE134" s="335"/>
      <c r="AGF134" s="335"/>
      <c r="AGG134" s="335"/>
      <c r="AGH134" s="335"/>
      <c r="AGI134" s="335"/>
      <c r="AGJ134" s="335"/>
      <c r="AGK134" s="335"/>
      <c r="AGL134" s="335"/>
      <c r="AGM134" s="335"/>
      <c r="AGN134" s="335"/>
      <c r="AGO134" s="335"/>
      <c r="AGP134" s="335"/>
      <c r="AGQ134" s="335"/>
      <c r="AGR134" s="335"/>
      <c r="AGS134" s="335"/>
      <c r="AGT134" s="335"/>
      <c r="AGU134" s="335"/>
      <c r="AGV134" s="335"/>
      <c r="AGW134" s="335"/>
      <c r="AGX134" s="335"/>
      <c r="AGY134" s="335"/>
      <c r="AGZ134" s="335"/>
      <c r="AHA134" s="335"/>
      <c r="AHB134" s="335"/>
      <c r="AHC134" s="335"/>
      <c r="AHD134" s="335"/>
      <c r="AHE134" s="335"/>
      <c r="AHF134" s="335"/>
      <c r="AHG134" s="335"/>
      <c r="AHH134" s="335"/>
      <c r="AHI134" s="335"/>
      <c r="AHJ134" s="335"/>
      <c r="AHK134" s="335"/>
      <c r="AHL134" s="335"/>
      <c r="AHM134" s="335"/>
      <c r="AHN134" s="335"/>
      <c r="AHO134" s="335"/>
      <c r="AHP134" s="335"/>
      <c r="AHQ134" s="335"/>
      <c r="AHR134" s="335"/>
      <c r="AHS134" s="335"/>
      <c r="AHT134" s="335"/>
      <c r="AHU134" s="335"/>
      <c r="AHV134" s="335"/>
      <c r="AHW134" s="335"/>
      <c r="AHX134" s="335"/>
      <c r="AHY134" s="335"/>
      <c r="AHZ134" s="335"/>
      <c r="AIA134" s="335"/>
      <c r="AIB134" s="335"/>
    </row>
    <row r="135" spans="2:912" s="172" customFormat="1">
      <c r="B135" s="174"/>
      <c r="ABE135" s="336"/>
      <c r="ABF135" s="335"/>
      <c r="ABG135" s="335"/>
      <c r="ABH135" s="335"/>
      <c r="ABI135" s="335"/>
      <c r="ABJ135" s="335"/>
      <c r="ABK135" s="335"/>
      <c r="ABL135" s="335"/>
      <c r="ABM135" s="335"/>
      <c r="ABN135" s="335"/>
      <c r="ABO135" s="335"/>
      <c r="ABP135" s="335"/>
      <c r="ABQ135" s="335"/>
      <c r="ABR135" s="335"/>
      <c r="ABS135" s="335"/>
      <c r="ABT135" s="335"/>
      <c r="ABU135" s="335"/>
      <c r="ABV135" s="335"/>
      <c r="ABW135" s="335"/>
      <c r="ABX135" s="335"/>
      <c r="ABY135" s="335"/>
      <c r="ABZ135" s="335"/>
      <c r="ACA135" s="335"/>
      <c r="ACB135" s="335"/>
      <c r="ACC135" s="335"/>
      <c r="ACD135" s="335"/>
      <c r="ACE135" s="335"/>
      <c r="ACF135" s="335"/>
      <c r="ACG135" s="335"/>
      <c r="ACH135" s="335"/>
      <c r="ACI135" s="335"/>
      <c r="ACJ135" s="335"/>
      <c r="ACK135" s="335"/>
      <c r="ACL135" s="335"/>
      <c r="ACM135" s="335"/>
      <c r="ACN135" s="335"/>
      <c r="ACO135" s="335"/>
      <c r="ACP135" s="335"/>
      <c r="ACQ135" s="335"/>
      <c r="ACR135" s="335"/>
      <c r="ACS135" s="335"/>
      <c r="ACT135" s="335"/>
      <c r="ACU135" s="335"/>
      <c r="ACV135" s="335"/>
      <c r="ACW135" s="335"/>
      <c r="ACX135" s="335"/>
      <c r="ACY135" s="335"/>
      <c r="ACZ135" s="335"/>
      <c r="ADA135" s="335"/>
      <c r="ADB135" s="335"/>
      <c r="ADC135" s="335"/>
      <c r="ADD135" s="335"/>
      <c r="ADE135" s="335"/>
      <c r="ADF135" s="335"/>
      <c r="ADG135" s="335"/>
      <c r="ADH135" s="335"/>
      <c r="ADI135" s="335"/>
      <c r="ADJ135" s="335"/>
      <c r="ADK135" s="335"/>
      <c r="ADL135" s="335"/>
      <c r="ADM135" s="335"/>
      <c r="ADN135" s="335"/>
      <c r="ADO135" s="335"/>
      <c r="ADP135" s="335"/>
      <c r="ADQ135" s="335"/>
      <c r="ADR135" s="335"/>
      <c r="ADS135" s="335"/>
      <c r="ADT135" s="335"/>
      <c r="ADU135" s="335"/>
      <c r="ADV135" s="335"/>
      <c r="ADW135" s="335"/>
      <c r="ADX135" s="335"/>
      <c r="ADY135" s="335"/>
      <c r="ADZ135" s="335"/>
      <c r="AEA135" s="335"/>
      <c r="AEB135" s="335"/>
      <c r="AEC135" s="335"/>
      <c r="AED135" s="335"/>
      <c r="AEE135" s="335"/>
      <c r="AEF135" s="335"/>
      <c r="AEG135" s="335"/>
      <c r="AEH135" s="335"/>
      <c r="AEI135" s="335"/>
      <c r="AEJ135" s="335"/>
      <c r="AEK135" s="335"/>
      <c r="AEL135" s="335"/>
      <c r="AEM135" s="335"/>
      <c r="AEN135" s="335"/>
      <c r="AEO135" s="335"/>
      <c r="AEP135" s="335"/>
      <c r="AEQ135" s="335"/>
      <c r="AER135" s="335"/>
      <c r="AES135" s="335"/>
      <c r="AET135" s="335"/>
      <c r="AEU135" s="335"/>
      <c r="AEV135" s="335"/>
      <c r="AEW135" s="335"/>
      <c r="AEX135" s="335"/>
      <c r="AEY135" s="335"/>
      <c r="AEZ135" s="335"/>
      <c r="AFA135" s="335"/>
      <c r="AFB135" s="335"/>
      <c r="AFC135" s="335"/>
      <c r="AFD135" s="335"/>
      <c r="AFE135" s="335"/>
      <c r="AFF135" s="335"/>
      <c r="AFG135" s="335"/>
      <c r="AFH135" s="335"/>
      <c r="AFI135" s="335"/>
      <c r="AFJ135" s="335"/>
      <c r="AFK135" s="335"/>
      <c r="AFL135" s="335"/>
      <c r="AFM135" s="335"/>
      <c r="AFN135" s="335"/>
      <c r="AFO135" s="335"/>
      <c r="AFP135" s="335"/>
      <c r="AFQ135" s="335"/>
      <c r="AFR135" s="335"/>
      <c r="AFS135" s="335"/>
      <c r="AFT135" s="335"/>
      <c r="AFU135" s="335"/>
      <c r="AFV135" s="335"/>
      <c r="AFW135" s="335"/>
      <c r="AFX135" s="335"/>
      <c r="AFY135" s="335"/>
      <c r="AFZ135" s="335"/>
      <c r="AGA135" s="335"/>
      <c r="AGB135" s="335"/>
      <c r="AGC135" s="335"/>
      <c r="AGD135" s="335"/>
      <c r="AGE135" s="335"/>
      <c r="AGF135" s="335"/>
      <c r="AGG135" s="335"/>
      <c r="AGH135" s="335"/>
      <c r="AGI135" s="335"/>
      <c r="AGJ135" s="335"/>
      <c r="AGK135" s="335"/>
      <c r="AGL135" s="335"/>
      <c r="AGM135" s="335"/>
      <c r="AGN135" s="335"/>
      <c r="AGO135" s="335"/>
      <c r="AGP135" s="335"/>
      <c r="AGQ135" s="335"/>
      <c r="AGR135" s="335"/>
      <c r="AGS135" s="335"/>
      <c r="AGT135" s="335"/>
      <c r="AGU135" s="335"/>
      <c r="AGV135" s="335"/>
      <c r="AGW135" s="335"/>
      <c r="AGX135" s="335"/>
      <c r="AGY135" s="335"/>
      <c r="AGZ135" s="335"/>
      <c r="AHA135" s="335"/>
      <c r="AHB135" s="335"/>
      <c r="AHC135" s="335"/>
      <c r="AHD135" s="335"/>
      <c r="AHE135" s="335"/>
      <c r="AHF135" s="335"/>
      <c r="AHG135" s="335"/>
      <c r="AHH135" s="335"/>
      <c r="AHI135" s="335"/>
      <c r="AHJ135" s="335"/>
      <c r="AHK135" s="335"/>
      <c r="AHL135" s="335"/>
      <c r="AHM135" s="335"/>
      <c r="AHN135" s="335"/>
      <c r="AHO135" s="335"/>
      <c r="AHP135" s="335"/>
      <c r="AHQ135" s="335"/>
      <c r="AHR135" s="335"/>
      <c r="AHS135" s="335"/>
      <c r="AHT135" s="335"/>
      <c r="AHU135" s="335"/>
      <c r="AHV135" s="335"/>
      <c r="AHW135" s="335"/>
      <c r="AHX135" s="335"/>
      <c r="AHY135" s="335"/>
      <c r="AHZ135" s="335"/>
      <c r="AIA135" s="335"/>
      <c r="AIB135" s="335"/>
    </row>
    <row r="136" spans="2:912" s="172" customFormat="1">
      <c r="B136" s="174"/>
      <c r="ABE136" s="336"/>
      <c r="ABF136" s="335"/>
      <c r="ABG136" s="335"/>
      <c r="ABH136" s="335"/>
      <c r="ABI136" s="335"/>
      <c r="ABJ136" s="335"/>
      <c r="ABK136" s="335"/>
      <c r="ABL136" s="335"/>
      <c r="ABM136" s="335"/>
      <c r="ABN136" s="335"/>
      <c r="ABO136" s="335"/>
      <c r="ABP136" s="335"/>
      <c r="ABQ136" s="335"/>
      <c r="ABR136" s="335"/>
      <c r="ABS136" s="335"/>
      <c r="ABT136" s="335"/>
      <c r="ABU136" s="335"/>
      <c r="ABV136" s="335"/>
      <c r="ABW136" s="335"/>
      <c r="ABX136" s="335"/>
      <c r="ABY136" s="335"/>
      <c r="ABZ136" s="335"/>
      <c r="ACA136" s="335"/>
      <c r="ACB136" s="335"/>
      <c r="ACC136" s="335"/>
      <c r="ACD136" s="335"/>
      <c r="ACE136" s="335"/>
      <c r="ACF136" s="335"/>
      <c r="ACG136" s="335"/>
      <c r="ACH136" s="335"/>
      <c r="ACI136" s="335"/>
      <c r="ACJ136" s="335"/>
      <c r="ACK136" s="335"/>
      <c r="ACL136" s="335"/>
      <c r="ACM136" s="335"/>
      <c r="ACN136" s="335"/>
      <c r="ACO136" s="335"/>
      <c r="ACP136" s="335"/>
      <c r="ACQ136" s="335"/>
      <c r="ACR136" s="335"/>
      <c r="ACS136" s="335"/>
      <c r="ACT136" s="335"/>
      <c r="ACU136" s="335"/>
      <c r="ACV136" s="335"/>
      <c r="ACW136" s="335"/>
      <c r="ACX136" s="335"/>
      <c r="ACY136" s="335"/>
      <c r="ACZ136" s="335"/>
      <c r="ADA136" s="335"/>
      <c r="ADB136" s="335"/>
      <c r="ADC136" s="335"/>
      <c r="ADD136" s="335"/>
      <c r="ADE136" s="335"/>
      <c r="ADF136" s="335"/>
      <c r="ADG136" s="335"/>
      <c r="ADH136" s="335"/>
      <c r="ADI136" s="335"/>
      <c r="ADJ136" s="335"/>
      <c r="ADK136" s="335"/>
      <c r="ADL136" s="335"/>
      <c r="ADM136" s="335"/>
      <c r="ADN136" s="335"/>
      <c r="ADO136" s="335"/>
      <c r="ADP136" s="335"/>
      <c r="ADQ136" s="335"/>
      <c r="ADR136" s="335"/>
      <c r="ADS136" s="335"/>
      <c r="ADT136" s="335"/>
      <c r="ADU136" s="335"/>
      <c r="ADV136" s="335"/>
      <c r="ADW136" s="335"/>
      <c r="ADX136" s="335"/>
      <c r="ADY136" s="335"/>
      <c r="ADZ136" s="335"/>
      <c r="AEA136" s="335"/>
      <c r="AEB136" s="335"/>
      <c r="AEC136" s="335"/>
      <c r="AED136" s="335"/>
      <c r="AEE136" s="335"/>
      <c r="AEF136" s="335"/>
      <c r="AEG136" s="335"/>
      <c r="AEH136" s="335"/>
      <c r="AEI136" s="335"/>
      <c r="AEJ136" s="335"/>
      <c r="AEK136" s="335"/>
      <c r="AEL136" s="335"/>
      <c r="AEM136" s="335"/>
      <c r="AEN136" s="335"/>
      <c r="AEO136" s="335"/>
      <c r="AEP136" s="335"/>
      <c r="AEQ136" s="335"/>
      <c r="AER136" s="335"/>
      <c r="AES136" s="335"/>
      <c r="AET136" s="335"/>
      <c r="AEU136" s="335"/>
      <c r="AEV136" s="335"/>
      <c r="AEW136" s="335"/>
      <c r="AEX136" s="335"/>
      <c r="AEY136" s="335"/>
      <c r="AEZ136" s="335"/>
      <c r="AFA136" s="335"/>
      <c r="AFB136" s="335"/>
      <c r="AFC136" s="335"/>
      <c r="AFD136" s="335"/>
      <c r="AFE136" s="335"/>
      <c r="AFF136" s="335"/>
      <c r="AFG136" s="335"/>
      <c r="AFH136" s="335"/>
      <c r="AFI136" s="335"/>
      <c r="AFJ136" s="335"/>
      <c r="AFK136" s="335"/>
      <c r="AFL136" s="335"/>
      <c r="AFM136" s="335"/>
      <c r="AFN136" s="335"/>
      <c r="AFO136" s="335"/>
      <c r="AFP136" s="335"/>
      <c r="AFQ136" s="335"/>
      <c r="AFR136" s="335"/>
      <c r="AFS136" s="335"/>
      <c r="AFT136" s="335"/>
      <c r="AFU136" s="335"/>
      <c r="AFV136" s="335"/>
      <c r="AFW136" s="335"/>
      <c r="AFX136" s="335"/>
      <c r="AFY136" s="335"/>
      <c r="AFZ136" s="335"/>
      <c r="AGA136" s="335"/>
      <c r="AGB136" s="335"/>
      <c r="AGC136" s="335"/>
      <c r="AGD136" s="335"/>
      <c r="AGE136" s="335"/>
      <c r="AGF136" s="335"/>
      <c r="AGG136" s="335"/>
      <c r="AGH136" s="335"/>
      <c r="AGI136" s="335"/>
      <c r="AGJ136" s="335"/>
      <c r="AGK136" s="335"/>
      <c r="AGL136" s="335"/>
      <c r="AGM136" s="335"/>
      <c r="AGN136" s="335"/>
      <c r="AGO136" s="335"/>
      <c r="AGP136" s="335"/>
      <c r="AGQ136" s="335"/>
      <c r="AGR136" s="335"/>
      <c r="AGS136" s="335"/>
      <c r="AGT136" s="335"/>
      <c r="AGU136" s="335"/>
      <c r="AGV136" s="335"/>
      <c r="AGW136" s="335"/>
      <c r="AGX136" s="335"/>
      <c r="AGY136" s="335"/>
      <c r="AGZ136" s="335"/>
      <c r="AHA136" s="335"/>
      <c r="AHB136" s="335"/>
      <c r="AHC136" s="335"/>
      <c r="AHD136" s="335"/>
      <c r="AHE136" s="335"/>
      <c r="AHF136" s="335"/>
      <c r="AHG136" s="335"/>
      <c r="AHH136" s="335"/>
      <c r="AHI136" s="335"/>
      <c r="AHJ136" s="335"/>
      <c r="AHK136" s="335"/>
      <c r="AHL136" s="335"/>
      <c r="AHM136" s="335"/>
      <c r="AHN136" s="335"/>
      <c r="AHO136" s="335"/>
      <c r="AHP136" s="335"/>
      <c r="AHQ136" s="335"/>
      <c r="AHR136" s="335"/>
      <c r="AHS136" s="335"/>
      <c r="AHT136" s="335"/>
      <c r="AHU136" s="335"/>
      <c r="AHV136" s="335"/>
      <c r="AHW136" s="335"/>
      <c r="AHX136" s="335"/>
      <c r="AHY136" s="335"/>
      <c r="AHZ136" s="335"/>
      <c r="AIA136" s="335"/>
      <c r="AIB136" s="335"/>
    </row>
    <row r="137" spans="2:912" s="172" customFormat="1">
      <c r="B137" s="174"/>
      <c r="ABE137" s="336"/>
      <c r="ABF137" s="335"/>
      <c r="ABG137" s="335"/>
      <c r="ABH137" s="335"/>
      <c r="ABI137" s="335"/>
      <c r="ABJ137" s="335"/>
      <c r="ABK137" s="335"/>
      <c r="ABL137" s="335"/>
      <c r="ABM137" s="335"/>
      <c r="ABN137" s="335"/>
      <c r="ABO137" s="335"/>
      <c r="ABP137" s="335"/>
      <c r="ABQ137" s="335"/>
      <c r="ABR137" s="335"/>
      <c r="ABS137" s="335"/>
      <c r="ABT137" s="335"/>
      <c r="ABU137" s="335"/>
      <c r="ABV137" s="335"/>
      <c r="ABW137" s="335"/>
      <c r="ABX137" s="335"/>
      <c r="ABY137" s="335"/>
      <c r="ABZ137" s="335"/>
      <c r="ACA137" s="335"/>
      <c r="ACB137" s="335"/>
      <c r="ACC137" s="335"/>
      <c r="ACD137" s="335"/>
      <c r="ACE137" s="335"/>
      <c r="ACF137" s="335"/>
      <c r="ACG137" s="335"/>
      <c r="ACH137" s="335"/>
      <c r="ACI137" s="335"/>
      <c r="ACJ137" s="335"/>
      <c r="ACK137" s="335"/>
      <c r="ACL137" s="335"/>
      <c r="ACM137" s="335"/>
      <c r="ACN137" s="335"/>
      <c r="ACO137" s="335"/>
      <c r="ACP137" s="335"/>
      <c r="ACQ137" s="335"/>
      <c r="ACR137" s="335"/>
      <c r="ACS137" s="335"/>
      <c r="ACT137" s="335"/>
      <c r="ACU137" s="335"/>
      <c r="ACV137" s="335"/>
      <c r="ACW137" s="335"/>
      <c r="ACX137" s="335"/>
      <c r="ACY137" s="335"/>
      <c r="ACZ137" s="335"/>
      <c r="ADA137" s="335"/>
      <c r="ADB137" s="335"/>
      <c r="ADC137" s="335"/>
      <c r="ADD137" s="335"/>
      <c r="ADE137" s="335"/>
      <c r="ADF137" s="335"/>
      <c r="ADG137" s="335"/>
      <c r="ADH137" s="335"/>
      <c r="ADI137" s="335"/>
      <c r="ADJ137" s="335"/>
      <c r="ADK137" s="335"/>
      <c r="ADL137" s="335"/>
      <c r="ADM137" s="335"/>
      <c r="ADN137" s="335"/>
      <c r="ADO137" s="335"/>
      <c r="ADP137" s="335"/>
      <c r="ADQ137" s="335"/>
      <c r="ADR137" s="335"/>
      <c r="ADS137" s="335"/>
      <c r="ADT137" s="335"/>
      <c r="ADU137" s="335"/>
      <c r="ADV137" s="335"/>
      <c r="ADW137" s="335"/>
      <c r="ADX137" s="335"/>
      <c r="ADY137" s="335"/>
      <c r="ADZ137" s="335"/>
      <c r="AEA137" s="335"/>
      <c r="AEB137" s="335"/>
      <c r="AEC137" s="335"/>
      <c r="AED137" s="335"/>
      <c r="AEE137" s="335"/>
      <c r="AEF137" s="335"/>
      <c r="AEG137" s="335"/>
      <c r="AEH137" s="335"/>
      <c r="AEI137" s="335"/>
      <c r="AEJ137" s="335"/>
      <c r="AEK137" s="335"/>
      <c r="AEL137" s="335"/>
      <c r="AEM137" s="335"/>
      <c r="AEN137" s="335"/>
      <c r="AEO137" s="335"/>
      <c r="AEP137" s="335"/>
      <c r="AEQ137" s="335"/>
      <c r="AER137" s="335"/>
      <c r="AES137" s="335"/>
      <c r="AET137" s="335"/>
      <c r="AEU137" s="335"/>
      <c r="AEV137" s="335"/>
      <c r="AEW137" s="335"/>
      <c r="AEX137" s="335"/>
      <c r="AEY137" s="335"/>
      <c r="AEZ137" s="335"/>
      <c r="AFA137" s="335"/>
      <c r="AFB137" s="335"/>
      <c r="AFC137" s="335"/>
      <c r="AFD137" s="335"/>
      <c r="AFE137" s="335"/>
      <c r="AFF137" s="335"/>
      <c r="AFG137" s="335"/>
      <c r="AFH137" s="335"/>
      <c r="AFI137" s="335"/>
      <c r="AFJ137" s="335"/>
      <c r="AFK137" s="335"/>
      <c r="AFL137" s="335"/>
      <c r="AFM137" s="335"/>
      <c r="AFN137" s="335"/>
      <c r="AFO137" s="335"/>
      <c r="AFP137" s="335"/>
      <c r="AFQ137" s="335"/>
      <c r="AFR137" s="335"/>
      <c r="AFS137" s="335"/>
      <c r="AFT137" s="335"/>
      <c r="AFU137" s="335"/>
      <c r="AFV137" s="335"/>
      <c r="AFW137" s="335"/>
      <c r="AFX137" s="335"/>
      <c r="AFY137" s="335"/>
      <c r="AFZ137" s="335"/>
      <c r="AGA137" s="335"/>
      <c r="AGB137" s="335"/>
      <c r="AGC137" s="335"/>
      <c r="AGD137" s="335"/>
      <c r="AGE137" s="335"/>
      <c r="AGF137" s="335"/>
      <c r="AGG137" s="335"/>
      <c r="AGH137" s="335"/>
      <c r="AGI137" s="335"/>
      <c r="AGJ137" s="335"/>
      <c r="AGK137" s="335"/>
      <c r="AGL137" s="335"/>
      <c r="AGM137" s="335"/>
      <c r="AGN137" s="335"/>
      <c r="AGO137" s="335"/>
      <c r="AGP137" s="335"/>
      <c r="AGQ137" s="335"/>
      <c r="AGR137" s="335"/>
      <c r="AGS137" s="335"/>
      <c r="AGT137" s="335"/>
      <c r="AGU137" s="335"/>
      <c r="AGV137" s="335"/>
      <c r="AGW137" s="335"/>
      <c r="AGX137" s="335"/>
      <c r="AGY137" s="335"/>
      <c r="AGZ137" s="335"/>
      <c r="AHA137" s="335"/>
      <c r="AHB137" s="335"/>
      <c r="AHC137" s="335"/>
      <c r="AHD137" s="335"/>
      <c r="AHE137" s="335"/>
      <c r="AHF137" s="335"/>
      <c r="AHG137" s="335"/>
      <c r="AHH137" s="335"/>
      <c r="AHI137" s="335"/>
      <c r="AHJ137" s="335"/>
      <c r="AHK137" s="335"/>
      <c r="AHL137" s="335"/>
      <c r="AHM137" s="335"/>
      <c r="AHN137" s="335"/>
      <c r="AHO137" s="335"/>
      <c r="AHP137" s="335"/>
      <c r="AHQ137" s="335"/>
      <c r="AHR137" s="335"/>
      <c r="AHS137" s="335"/>
      <c r="AHT137" s="335"/>
      <c r="AHU137" s="335"/>
      <c r="AHV137" s="335"/>
      <c r="AHW137" s="335"/>
      <c r="AHX137" s="335"/>
      <c r="AHY137" s="335"/>
      <c r="AHZ137" s="335"/>
      <c r="AIA137" s="335"/>
      <c r="AIB137" s="335"/>
    </row>
  </sheetData>
  <mergeCells count="8630">
    <mergeCell ref="ZU48:ZV48"/>
    <mergeCell ref="ZW48:ZX48"/>
    <mergeCell ref="ZY48:ZZ48"/>
    <mergeCell ref="AAA48:AAB48"/>
    <mergeCell ref="AAC48:AAD48"/>
    <mergeCell ref="AAE48:AAF48"/>
    <mergeCell ref="AAG48:AAH48"/>
    <mergeCell ref="AAI48:AAJ48"/>
    <mergeCell ref="AAK48:AAL48"/>
    <mergeCell ref="AAM48:AAN48"/>
    <mergeCell ref="AAO48:AAP48"/>
    <mergeCell ref="AAQ48:AAR48"/>
    <mergeCell ref="AAS48:AAT48"/>
    <mergeCell ref="AAU48:AAV48"/>
    <mergeCell ref="AAW48:AAX48"/>
    <mergeCell ref="AAY48:AAZ48"/>
    <mergeCell ref="YM48:YN48"/>
    <mergeCell ref="YO48:YP48"/>
    <mergeCell ref="YQ48:YR48"/>
    <mergeCell ref="YS48:YT48"/>
    <mergeCell ref="YU48:YV48"/>
    <mergeCell ref="YW48:YX48"/>
    <mergeCell ref="YY48:YZ48"/>
    <mergeCell ref="ZA48:ZB48"/>
    <mergeCell ref="ZC48:ZD48"/>
    <mergeCell ref="ZE48:ZF48"/>
    <mergeCell ref="ZG48:ZH48"/>
    <mergeCell ref="ZI48:ZJ48"/>
    <mergeCell ref="ZK48:ZL48"/>
    <mergeCell ref="ZM48:ZN48"/>
    <mergeCell ref="ZO48:ZP48"/>
    <mergeCell ref="ZQ48:ZR48"/>
    <mergeCell ref="ZS48:ZT48"/>
    <mergeCell ref="VC48:VD48"/>
    <mergeCell ref="VE48:VF48"/>
    <mergeCell ref="VG48:VH48"/>
    <mergeCell ref="XK48:XL48"/>
    <mergeCell ref="XM48:XN48"/>
    <mergeCell ref="XO48:XP48"/>
    <mergeCell ref="XQ48:XR48"/>
    <mergeCell ref="XS48:XT48"/>
    <mergeCell ref="XU48:XV48"/>
    <mergeCell ref="XW48:XX48"/>
    <mergeCell ref="XY48:XZ48"/>
    <mergeCell ref="YA48:YB48"/>
    <mergeCell ref="YC48:YD48"/>
    <mergeCell ref="YE48:YF48"/>
    <mergeCell ref="YG48:YH48"/>
    <mergeCell ref="YI48:YJ48"/>
    <mergeCell ref="YK48:YL48"/>
    <mergeCell ref="WQ48:WR48"/>
    <mergeCell ref="WS48:WT48"/>
    <mergeCell ref="WU48:WV48"/>
    <mergeCell ref="WW48:WX48"/>
    <mergeCell ref="WY48:WZ48"/>
    <mergeCell ref="XA48:XB48"/>
    <mergeCell ref="XC48:XD48"/>
    <mergeCell ref="XE48:XF48"/>
    <mergeCell ref="XG48:XH48"/>
    <mergeCell ref="XI48:XJ48"/>
    <mergeCell ref="VI48:VJ48"/>
    <mergeCell ref="VK48:VL48"/>
    <mergeCell ref="VM48:VN48"/>
    <mergeCell ref="VO48:VP48"/>
    <mergeCell ref="TU48:TV48"/>
    <mergeCell ref="TW48:TX48"/>
    <mergeCell ref="TY48:TZ48"/>
    <mergeCell ref="UA48:UB48"/>
    <mergeCell ref="UC48:UD48"/>
    <mergeCell ref="UE48:UF48"/>
    <mergeCell ref="UG48:UH48"/>
    <mergeCell ref="UI48:UJ48"/>
    <mergeCell ref="UK48:UL48"/>
    <mergeCell ref="UM48:UN48"/>
    <mergeCell ref="UO48:UP48"/>
    <mergeCell ref="UQ48:UR48"/>
    <mergeCell ref="US48:UT48"/>
    <mergeCell ref="UU48:UV48"/>
    <mergeCell ref="UW48:UX48"/>
    <mergeCell ref="UY48:UZ48"/>
    <mergeCell ref="VA48:VB48"/>
    <mergeCell ref="TQ48:TR48"/>
    <mergeCell ref="TS48:TT48"/>
    <mergeCell ref="RK48:RL48"/>
    <mergeCell ref="RM48:RN48"/>
    <mergeCell ref="RO48:RP48"/>
    <mergeCell ref="RQ48:RR48"/>
    <mergeCell ref="RS48:RT48"/>
    <mergeCell ref="RU48:RV48"/>
    <mergeCell ref="RW48:RX48"/>
    <mergeCell ref="RY48:RZ48"/>
    <mergeCell ref="SA48:SB48"/>
    <mergeCell ref="SC48:SD48"/>
    <mergeCell ref="SE48:SF48"/>
    <mergeCell ref="SG48:SH48"/>
    <mergeCell ref="SI48:SJ48"/>
    <mergeCell ref="SK48:SL48"/>
    <mergeCell ref="SM48:SN48"/>
    <mergeCell ref="SO48:SP48"/>
    <mergeCell ref="SQ48:SR48"/>
    <mergeCell ref="SS48:ST48"/>
    <mergeCell ref="SU48:SV48"/>
    <mergeCell ref="SW48:SX48"/>
    <mergeCell ref="SY48:SZ48"/>
    <mergeCell ref="TA48:TB48"/>
    <mergeCell ref="TC48:TD48"/>
    <mergeCell ref="TE48:TF48"/>
    <mergeCell ref="TG48:TH48"/>
    <mergeCell ref="TI48:TJ48"/>
    <mergeCell ref="TK48:TL48"/>
    <mergeCell ref="TM48:TN48"/>
    <mergeCell ref="TO48:TP48"/>
    <mergeCell ref="AAW46:AAX46"/>
    <mergeCell ref="AAY46:AAZ46"/>
    <mergeCell ref="ABA46:ABB46"/>
    <mergeCell ref="ABC46:ABD46"/>
    <mergeCell ref="ZO46:ZP46"/>
    <mergeCell ref="ZQ46:ZR46"/>
    <mergeCell ref="ZS46:ZT46"/>
    <mergeCell ref="ZU46:ZV46"/>
    <mergeCell ref="ZW46:ZX46"/>
    <mergeCell ref="ZY46:ZZ46"/>
    <mergeCell ref="AAA46:AAB46"/>
    <mergeCell ref="AAC46:AAD46"/>
    <mergeCell ref="AAE46:AAF46"/>
    <mergeCell ref="AAG46:AAH46"/>
    <mergeCell ref="AAI46:AAJ46"/>
    <mergeCell ref="AAK46:AAL46"/>
    <mergeCell ref="AAM46:AAN46"/>
    <mergeCell ref="AAO46:AAP46"/>
    <mergeCell ref="AAQ46:AAR46"/>
    <mergeCell ref="AAS46:AAT46"/>
    <mergeCell ref="AAU46:AAV46"/>
    <mergeCell ref="YG46:YH46"/>
    <mergeCell ref="YI46:YJ46"/>
    <mergeCell ref="YK46:YL46"/>
    <mergeCell ref="YM46:YN46"/>
    <mergeCell ref="YO46:YP46"/>
    <mergeCell ref="YQ46:YR46"/>
    <mergeCell ref="YS46:YT46"/>
    <mergeCell ref="YU46:YV46"/>
    <mergeCell ref="YW46:YX46"/>
    <mergeCell ref="YY46:YZ46"/>
    <mergeCell ref="ZA46:ZB46"/>
    <mergeCell ref="ZC46:ZD46"/>
    <mergeCell ref="ZE46:ZF46"/>
    <mergeCell ref="ZG46:ZH46"/>
    <mergeCell ref="ZI46:ZJ46"/>
    <mergeCell ref="ZK46:ZL46"/>
    <mergeCell ref="ZM46:ZN46"/>
    <mergeCell ref="WY46:WZ46"/>
    <mergeCell ref="XA46:XB46"/>
    <mergeCell ref="XC46:XD46"/>
    <mergeCell ref="XE46:XF46"/>
    <mergeCell ref="XG46:XH46"/>
    <mergeCell ref="XI46:XJ46"/>
    <mergeCell ref="XK46:XL46"/>
    <mergeCell ref="XM46:XN46"/>
    <mergeCell ref="XO46:XP46"/>
    <mergeCell ref="XQ46:XR46"/>
    <mergeCell ref="XS46:XT46"/>
    <mergeCell ref="XU46:XV46"/>
    <mergeCell ref="XW46:XX46"/>
    <mergeCell ref="XY46:XZ46"/>
    <mergeCell ref="YA46:YB46"/>
    <mergeCell ref="YC46:YD46"/>
    <mergeCell ref="YE46:YF46"/>
    <mergeCell ref="VQ46:VR46"/>
    <mergeCell ref="VS46:VT46"/>
    <mergeCell ref="VU46:VV46"/>
    <mergeCell ref="VW46:VX46"/>
    <mergeCell ref="VY46:VZ46"/>
    <mergeCell ref="WA46:WB46"/>
    <mergeCell ref="WC46:WD46"/>
    <mergeCell ref="WE46:WF46"/>
    <mergeCell ref="WG46:WH46"/>
    <mergeCell ref="WI46:WJ46"/>
    <mergeCell ref="WK46:WL46"/>
    <mergeCell ref="WM46:WN46"/>
    <mergeCell ref="WO46:WP46"/>
    <mergeCell ref="WQ46:WR46"/>
    <mergeCell ref="WS46:WT46"/>
    <mergeCell ref="WU46:WV46"/>
    <mergeCell ref="WW46:WX46"/>
    <mergeCell ref="UI46:UJ46"/>
    <mergeCell ref="UK46:UL46"/>
    <mergeCell ref="UM46:UN46"/>
    <mergeCell ref="UO46:UP46"/>
    <mergeCell ref="UQ46:UR46"/>
    <mergeCell ref="US46:UT46"/>
    <mergeCell ref="UU46:UV46"/>
    <mergeCell ref="UW46:UX46"/>
    <mergeCell ref="UY46:UZ46"/>
    <mergeCell ref="VA46:VB46"/>
    <mergeCell ref="VC46:VD46"/>
    <mergeCell ref="VE46:VF46"/>
    <mergeCell ref="VG46:VH46"/>
    <mergeCell ref="VI46:VJ46"/>
    <mergeCell ref="VK46:VL46"/>
    <mergeCell ref="VM46:VN46"/>
    <mergeCell ref="VO46:VP46"/>
    <mergeCell ref="TA46:TB46"/>
    <mergeCell ref="TC46:TD46"/>
    <mergeCell ref="TE46:TF46"/>
    <mergeCell ref="TG46:TH46"/>
    <mergeCell ref="TI46:TJ46"/>
    <mergeCell ref="TK46:TL46"/>
    <mergeCell ref="TM46:TN46"/>
    <mergeCell ref="TO46:TP46"/>
    <mergeCell ref="TQ46:TR46"/>
    <mergeCell ref="TS46:TT46"/>
    <mergeCell ref="TU46:TV46"/>
    <mergeCell ref="TW46:TX46"/>
    <mergeCell ref="TY46:TZ46"/>
    <mergeCell ref="UA46:UB46"/>
    <mergeCell ref="UC46:UD46"/>
    <mergeCell ref="UE46:UF46"/>
    <mergeCell ref="UG46:UH46"/>
    <mergeCell ref="RS46:RT46"/>
    <mergeCell ref="RU46:RV46"/>
    <mergeCell ref="RW46:RX46"/>
    <mergeCell ref="RY46:RZ46"/>
    <mergeCell ref="SA46:SB46"/>
    <mergeCell ref="SC46:SD46"/>
    <mergeCell ref="SE46:SF46"/>
    <mergeCell ref="SG46:SH46"/>
    <mergeCell ref="SI46:SJ46"/>
    <mergeCell ref="SK46:SL46"/>
    <mergeCell ref="SM46:SN46"/>
    <mergeCell ref="SO46:SP46"/>
    <mergeCell ref="SQ46:SR46"/>
    <mergeCell ref="SS46:ST46"/>
    <mergeCell ref="SU46:SV46"/>
    <mergeCell ref="SW46:SX46"/>
    <mergeCell ref="SY46:SZ46"/>
    <mergeCell ref="QK46:QL46"/>
    <mergeCell ref="QM46:QN46"/>
    <mergeCell ref="QO46:QP46"/>
    <mergeCell ref="QQ46:QR46"/>
    <mergeCell ref="QS46:QT46"/>
    <mergeCell ref="QU46:QV46"/>
    <mergeCell ref="QW46:QX46"/>
    <mergeCell ref="QY46:QZ46"/>
    <mergeCell ref="RA46:RB46"/>
    <mergeCell ref="RC46:RD46"/>
    <mergeCell ref="RE46:RF46"/>
    <mergeCell ref="RG46:RH46"/>
    <mergeCell ref="RI46:RJ46"/>
    <mergeCell ref="RK46:RL46"/>
    <mergeCell ref="RM46:RN46"/>
    <mergeCell ref="RO46:RP46"/>
    <mergeCell ref="RQ46:RR46"/>
    <mergeCell ref="VQ48:VR48"/>
    <mergeCell ref="VS48:VT48"/>
    <mergeCell ref="VU48:VV48"/>
    <mergeCell ref="VW48:VX48"/>
    <mergeCell ref="VY48:VZ48"/>
    <mergeCell ref="WA48:WB48"/>
    <mergeCell ref="WC48:WD48"/>
    <mergeCell ref="WE48:WF48"/>
    <mergeCell ref="WG48:WH48"/>
    <mergeCell ref="WI48:WJ48"/>
    <mergeCell ref="WK48:WL48"/>
    <mergeCell ref="WM48:WN48"/>
    <mergeCell ref="WO48:WP48"/>
    <mergeCell ref="AAQ21:AAR21"/>
    <mergeCell ref="AAS21:AAT21"/>
    <mergeCell ref="AAU21:AAV21"/>
    <mergeCell ref="AAW21:AAX21"/>
    <mergeCell ref="YA21:YB21"/>
    <mergeCell ref="YC21:YD21"/>
    <mergeCell ref="YE21:YF21"/>
    <mergeCell ref="YG21:YH21"/>
    <mergeCell ref="YI21:YJ21"/>
    <mergeCell ref="YK21:YL21"/>
    <mergeCell ref="YM21:YN21"/>
    <mergeCell ref="YO21:YP21"/>
    <mergeCell ref="YQ21:YR21"/>
    <mergeCell ref="YS21:YT21"/>
    <mergeCell ref="YU21:YV21"/>
    <mergeCell ref="YW21:YX21"/>
    <mergeCell ref="YY21:YZ21"/>
    <mergeCell ref="ZA21:ZB21"/>
    <mergeCell ref="ZC21:ZD21"/>
    <mergeCell ref="AAY21:AAZ21"/>
    <mergeCell ref="ABA21:ABB21"/>
    <mergeCell ref="ABC21:ABD21"/>
    <mergeCell ref="ZI21:ZJ21"/>
    <mergeCell ref="ZK21:ZL21"/>
    <mergeCell ref="ZM21:ZN21"/>
    <mergeCell ref="ZO21:ZP21"/>
    <mergeCell ref="ZQ21:ZR21"/>
    <mergeCell ref="ZS21:ZT21"/>
    <mergeCell ref="ZU21:ZV21"/>
    <mergeCell ref="ZW21:ZX21"/>
    <mergeCell ref="ZY21:ZZ21"/>
    <mergeCell ref="AAA21:AAB21"/>
    <mergeCell ref="AAC21:AAD21"/>
    <mergeCell ref="AAE21:AAF21"/>
    <mergeCell ref="AAG21:AAH21"/>
    <mergeCell ref="AAI21:AAJ21"/>
    <mergeCell ref="AAK21:AAL21"/>
    <mergeCell ref="AAM21:AAN21"/>
    <mergeCell ref="AAO21:AAP21"/>
    <mergeCell ref="ZE21:ZF21"/>
    <mergeCell ref="ZG21:ZH21"/>
    <mergeCell ref="WS21:WT21"/>
    <mergeCell ref="WU21:WV21"/>
    <mergeCell ref="WW21:WX21"/>
    <mergeCell ref="WY21:WZ21"/>
    <mergeCell ref="XA21:XB21"/>
    <mergeCell ref="XC21:XD21"/>
    <mergeCell ref="XE21:XF21"/>
    <mergeCell ref="XG21:XH21"/>
    <mergeCell ref="XI21:XJ21"/>
    <mergeCell ref="XK21:XL21"/>
    <mergeCell ref="XM21:XN21"/>
    <mergeCell ref="XO21:XP21"/>
    <mergeCell ref="XQ21:XR21"/>
    <mergeCell ref="XS21:XT21"/>
    <mergeCell ref="XU21:XV21"/>
    <mergeCell ref="XW21:XX21"/>
    <mergeCell ref="XY21:XZ21"/>
    <mergeCell ref="VK21:VL21"/>
    <mergeCell ref="VM21:VN21"/>
    <mergeCell ref="VO21:VP21"/>
    <mergeCell ref="VQ21:VR21"/>
    <mergeCell ref="VS21:VT21"/>
    <mergeCell ref="VU21:VV21"/>
    <mergeCell ref="VW21:VX21"/>
    <mergeCell ref="VY21:VZ21"/>
    <mergeCell ref="WA21:WB21"/>
    <mergeCell ref="WC21:WD21"/>
    <mergeCell ref="WE21:WF21"/>
    <mergeCell ref="WG21:WH21"/>
    <mergeCell ref="WI21:WJ21"/>
    <mergeCell ref="WK21:WL21"/>
    <mergeCell ref="WM21:WN21"/>
    <mergeCell ref="WO21:WP21"/>
    <mergeCell ref="WQ21:WR21"/>
    <mergeCell ref="UC21:UD21"/>
    <mergeCell ref="UE21:UF21"/>
    <mergeCell ref="UG21:UH21"/>
    <mergeCell ref="UI21:UJ21"/>
    <mergeCell ref="UK21:UL21"/>
    <mergeCell ref="UM21:UN21"/>
    <mergeCell ref="UO21:UP21"/>
    <mergeCell ref="UQ21:UR21"/>
    <mergeCell ref="US21:UT21"/>
    <mergeCell ref="UU21:UV21"/>
    <mergeCell ref="UW21:UX21"/>
    <mergeCell ref="UY21:UZ21"/>
    <mergeCell ref="VA21:VB21"/>
    <mergeCell ref="VC21:VD21"/>
    <mergeCell ref="VE21:VF21"/>
    <mergeCell ref="VG21:VH21"/>
    <mergeCell ref="VI21:VJ21"/>
    <mergeCell ref="SU21:SV21"/>
    <mergeCell ref="SW21:SX21"/>
    <mergeCell ref="SY21:SZ21"/>
    <mergeCell ref="TA21:TB21"/>
    <mergeCell ref="TC21:TD21"/>
    <mergeCell ref="TE21:TF21"/>
    <mergeCell ref="TG21:TH21"/>
    <mergeCell ref="TI21:TJ21"/>
    <mergeCell ref="TK21:TL21"/>
    <mergeCell ref="TM21:TN21"/>
    <mergeCell ref="TO21:TP21"/>
    <mergeCell ref="TQ21:TR21"/>
    <mergeCell ref="TS21:TT21"/>
    <mergeCell ref="TU21:TV21"/>
    <mergeCell ref="TW21:TX21"/>
    <mergeCell ref="TY21:TZ21"/>
    <mergeCell ref="UA21:UB21"/>
    <mergeCell ref="RM21:RN21"/>
    <mergeCell ref="RO21:RP21"/>
    <mergeCell ref="RQ21:RR21"/>
    <mergeCell ref="RS21:RT21"/>
    <mergeCell ref="RU21:RV21"/>
    <mergeCell ref="RW21:RX21"/>
    <mergeCell ref="RY21:RZ21"/>
    <mergeCell ref="SA21:SB21"/>
    <mergeCell ref="SC21:SD21"/>
    <mergeCell ref="SE21:SF21"/>
    <mergeCell ref="SG21:SH21"/>
    <mergeCell ref="SI21:SJ21"/>
    <mergeCell ref="SK21:SL21"/>
    <mergeCell ref="SM21:SN21"/>
    <mergeCell ref="SO21:SP21"/>
    <mergeCell ref="SQ21:SR21"/>
    <mergeCell ref="SS21:ST21"/>
    <mergeCell ref="QE21:QF21"/>
    <mergeCell ref="QG21:QH21"/>
    <mergeCell ref="QI21:QJ21"/>
    <mergeCell ref="QK21:QL21"/>
    <mergeCell ref="QM21:QN21"/>
    <mergeCell ref="QO21:QP21"/>
    <mergeCell ref="QQ21:QR21"/>
    <mergeCell ref="QS21:QT21"/>
    <mergeCell ref="QU21:QV21"/>
    <mergeCell ref="QW21:QX21"/>
    <mergeCell ref="QY21:QZ21"/>
    <mergeCell ref="RA21:RB21"/>
    <mergeCell ref="RC21:RD21"/>
    <mergeCell ref="RE21:RF21"/>
    <mergeCell ref="RG21:RH21"/>
    <mergeCell ref="RI21:RJ21"/>
    <mergeCell ref="RK21:RL21"/>
    <mergeCell ref="OW21:OX21"/>
    <mergeCell ref="OY21:OZ21"/>
    <mergeCell ref="PA21:PB21"/>
    <mergeCell ref="PC21:PD21"/>
    <mergeCell ref="PE21:PF21"/>
    <mergeCell ref="PG21:PH21"/>
    <mergeCell ref="PI21:PJ21"/>
    <mergeCell ref="PK21:PL21"/>
    <mergeCell ref="PM21:PN21"/>
    <mergeCell ref="PO21:PP21"/>
    <mergeCell ref="PQ21:PR21"/>
    <mergeCell ref="PS21:PT21"/>
    <mergeCell ref="PU21:PV21"/>
    <mergeCell ref="PW21:PX21"/>
    <mergeCell ref="PY21:PZ21"/>
    <mergeCell ref="QA21:QB21"/>
    <mergeCell ref="QC21:QD21"/>
    <mergeCell ref="NO21:NP21"/>
    <mergeCell ref="NQ21:NR21"/>
    <mergeCell ref="NS21:NT21"/>
    <mergeCell ref="NU21:NV21"/>
    <mergeCell ref="NW21:NX21"/>
    <mergeCell ref="NY21:NZ21"/>
    <mergeCell ref="OA21:OB21"/>
    <mergeCell ref="OC21:OD21"/>
    <mergeCell ref="OE21:OF21"/>
    <mergeCell ref="OG21:OH21"/>
    <mergeCell ref="OI21:OJ21"/>
    <mergeCell ref="OK21:OL21"/>
    <mergeCell ref="OM21:ON21"/>
    <mergeCell ref="OO21:OP21"/>
    <mergeCell ref="OQ21:OR21"/>
    <mergeCell ref="OS21:OT21"/>
    <mergeCell ref="OU21:OV21"/>
    <mergeCell ref="MG21:MH21"/>
    <mergeCell ref="MI21:MJ21"/>
    <mergeCell ref="MK21:ML21"/>
    <mergeCell ref="MM21:MN21"/>
    <mergeCell ref="MO21:MP21"/>
    <mergeCell ref="MQ21:MR21"/>
    <mergeCell ref="MS21:MT21"/>
    <mergeCell ref="MU21:MV21"/>
    <mergeCell ref="MW21:MX21"/>
    <mergeCell ref="MY21:MZ21"/>
    <mergeCell ref="NA21:NB21"/>
    <mergeCell ref="NC21:ND21"/>
    <mergeCell ref="NE21:NF21"/>
    <mergeCell ref="NG21:NH21"/>
    <mergeCell ref="NI21:NJ21"/>
    <mergeCell ref="NK21:NL21"/>
    <mergeCell ref="NM21:NN21"/>
    <mergeCell ref="KY21:KZ21"/>
    <mergeCell ref="LA21:LB21"/>
    <mergeCell ref="LC21:LD21"/>
    <mergeCell ref="LE21:LF21"/>
    <mergeCell ref="LG21:LH21"/>
    <mergeCell ref="LI21:LJ21"/>
    <mergeCell ref="LK21:LL21"/>
    <mergeCell ref="LM21:LN21"/>
    <mergeCell ref="LO21:LP21"/>
    <mergeCell ref="LQ21:LR21"/>
    <mergeCell ref="LS21:LT21"/>
    <mergeCell ref="LU21:LV21"/>
    <mergeCell ref="LW21:LX21"/>
    <mergeCell ref="LY21:LZ21"/>
    <mergeCell ref="MA21:MB21"/>
    <mergeCell ref="MC21:MD21"/>
    <mergeCell ref="ME21:MF21"/>
    <mergeCell ref="AAS20:AAT20"/>
    <mergeCell ref="AAU20:AAV20"/>
    <mergeCell ref="AAW20:AAX20"/>
    <mergeCell ref="AAY20:AAZ20"/>
    <mergeCell ref="ABA20:ABB20"/>
    <mergeCell ref="ABC20:ABD20"/>
    <mergeCell ref="IY21:IZ21"/>
    <mergeCell ref="JA21:JB21"/>
    <mergeCell ref="JC21:JD21"/>
    <mergeCell ref="JE21:JF21"/>
    <mergeCell ref="JG21:JH21"/>
    <mergeCell ref="JI21:JJ21"/>
    <mergeCell ref="JK21:JL21"/>
    <mergeCell ref="JM21:JN21"/>
    <mergeCell ref="JO21:JP21"/>
    <mergeCell ref="JQ21:JR21"/>
    <mergeCell ref="JS21:JT21"/>
    <mergeCell ref="JU21:JV21"/>
    <mergeCell ref="JW21:JX21"/>
    <mergeCell ref="JY21:JZ21"/>
    <mergeCell ref="KA21:KB21"/>
    <mergeCell ref="KC21:KD21"/>
    <mergeCell ref="KE21:KF21"/>
    <mergeCell ref="KG21:KH21"/>
    <mergeCell ref="KI21:KJ21"/>
    <mergeCell ref="KK21:KL21"/>
    <mergeCell ref="KM21:KN21"/>
    <mergeCell ref="KO21:KP21"/>
    <mergeCell ref="KQ21:KR21"/>
    <mergeCell ref="KS21:KT21"/>
    <mergeCell ref="KU21:KV21"/>
    <mergeCell ref="KW21:KX21"/>
    <mergeCell ref="ZK20:ZL20"/>
    <mergeCell ref="ZM20:ZN20"/>
    <mergeCell ref="ZO20:ZP20"/>
    <mergeCell ref="ZQ20:ZR20"/>
    <mergeCell ref="ZS20:ZT20"/>
    <mergeCell ref="ZU20:ZV20"/>
    <mergeCell ref="ZW20:ZX20"/>
    <mergeCell ref="ZY20:ZZ20"/>
    <mergeCell ref="AAA20:AAB20"/>
    <mergeCell ref="AAC20:AAD20"/>
    <mergeCell ref="AAE20:AAF20"/>
    <mergeCell ref="AAG20:AAH20"/>
    <mergeCell ref="AAI20:AAJ20"/>
    <mergeCell ref="AAK20:AAL20"/>
    <mergeCell ref="AAM20:AAN20"/>
    <mergeCell ref="AAO20:AAP20"/>
    <mergeCell ref="AAQ20:AAR20"/>
    <mergeCell ref="YC20:YD20"/>
    <mergeCell ref="YE20:YF20"/>
    <mergeCell ref="YG20:YH20"/>
    <mergeCell ref="YI20:YJ20"/>
    <mergeCell ref="YK20:YL20"/>
    <mergeCell ref="YM20:YN20"/>
    <mergeCell ref="YO20:YP20"/>
    <mergeCell ref="YQ20:YR20"/>
    <mergeCell ref="YS20:YT20"/>
    <mergeCell ref="YU20:YV20"/>
    <mergeCell ref="YW20:YX20"/>
    <mergeCell ref="YY20:YZ20"/>
    <mergeCell ref="ZA20:ZB20"/>
    <mergeCell ref="ZC20:ZD20"/>
    <mergeCell ref="ZE20:ZF20"/>
    <mergeCell ref="ZG20:ZH20"/>
    <mergeCell ref="ZI20:ZJ20"/>
    <mergeCell ref="WU20:WV20"/>
    <mergeCell ref="WW20:WX20"/>
    <mergeCell ref="WY20:WZ20"/>
    <mergeCell ref="XA20:XB20"/>
    <mergeCell ref="XC20:XD20"/>
    <mergeCell ref="XE20:XF20"/>
    <mergeCell ref="XG20:XH20"/>
    <mergeCell ref="XI20:XJ20"/>
    <mergeCell ref="XK20:XL20"/>
    <mergeCell ref="XM20:XN20"/>
    <mergeCell ref="XO20:XP20"/>
    <mergeCell ref="XQ20:XR20"/>
    <mergeCell ref="XS20:XT20"/>
    <mergeCell ref="XU20:XV20"/>
    <mergeCell ref="XW20:XX20"/>
    <mergeCell ref="XY20:XZ20"/>
    <mergeCell ref="YA20:YB20"/>
    <mergeCell ref="VM20:VN20"/>
    <mergeCell ref="VO20:VP20"/>
    <mergeCell ref="VQ20:VR20"/>
    <mergeCell ref="VS20:VT20"/>
    <mergeCell ref="VU20:VV20"/>
    <mergeCell ref="VW20:VX20"/>
    <mergeCell ref="VY20:VZ20"/>
    <mergeCell ref="WA20:WB20"/>
    <mergeCell ref="WC20:WD20"/>
    <mergeCell ref="WE20:WF20"/>
    <mergeCell ref="WG20:WH20"/>
    <mergeCell ref="WI20:WJ20"/>
    <mergeCell ref="WK20:WL20"/>
    <mergeCell ref="WM20:WN20"/>
    <mergeCell ref="WO20:WP20"/>
    <mergeCell ref="WQ20:WR20"/>
    <mergeCell ref="WS20:WT20"/>
    <mergeCell ref="UE20:UF20"/>
    <mergeCell ref="UG20:UH20"/>
    <mergeCell ref="UI20:UJ20"/>
    <mergeCell ref="UK20:UL20"/>
    <mergeCell ref="UM20:UN20"/>
    <mergeCell ref="UO20:UP20"/>
    <mergeCell ref="UQ20:UR20"/>
    <mergeCell ref="US20:UT20"/>
    <mergeCell ref="UU20:UV20"/>
    <mergeCell ref="UW20:UX20"/>
    <mergeCell ref="UY20:UZ20"/>
    <mergeCell ref="VA20:VB20"/>
    <mergeCell ref="VC20:VD20"/>
    <mergeCell ref="VE20:VF20"/>
    <mergeCell ref="VG20:VH20"/>
    <mergeCell ref="VI20:VJ20"/>
    <mergeCell ref="VK20:VL20"/>
    <mergeCell ref="SW20:SX20"/>
    <mergeCell ref="SY20:SZ20"/>
    <mergeCell ref="TA20:TB20"/>
    <mergeCell ref="TC20:TD20"/>
    <mergeCell ref="TE20:TF20"/>
    <mergeCell ref="TG20:TH20"/>
    <mergeCell ref="TI20:TJ20"/>
    <mergeCell ref="TK20:TL20"/>
    <mergeCell ref="TM20:TN20"/>
    <mergeCell ref="TO20:TP20"/>
    <mergeCell ref="TQ20:TR20"/>
    <mergeCell ref="TS20:TT20"/>
    <mergeCell ref="TU20:TV20"/>
    <mergeCell ref="TW20:TX20"/>
    <mergeCell ref="TY20:TZ20"/>
    <mergeCell ref="UA20:UB20"/>
    <mergeCell ref="UC20:UD20"/>
    <mergeCell ref="RO20:RP20"/>
    <mergeCell ref="RQ20:RR20"/>
    <mergeCell ref="RS20:RT20"/>
    <mergeCell ref="RU20:RV20"/>
    <mergeCell ref="RW20:RX20"/>
    <mergeCell ref="RY20:RZ20"/>
    <mergeCell ref="SA20:SB20"/>
    <mergeCell ref="SC20:SD20"/>
    <mergeCell ref="SE20:SF20"/>
    <mergeCell ref="SG20:SH20"/>
    <mergeCell ref="SI20:SJ20"/>
    <mergeCell ref="SK20:SL20"/>
    <mergeCell ref="SM20:SN20"/>
    <mergeCell ref="SO20:SP20"/>
    <mergeCell ref="SQ20:SR20"/>
    <mergeCell ref="SS20:ST20"/>
    <mergeCell ref="SU20:SV20"/>
    <mergeCell ref="QG20:QH20"/>
    <mergeCell ref="QI20:QJ20"/>
    <mergeCell ref="QK20:QL20"/>
    <mergeCell ref="QM20:QN20"/>
    <mergeCell ref="QO20:QP20"/>
    <mergeCell ref="QQ20:QR20"/>
    <mergeCell ref="QS20:QT20"/>
    <mergeCell ref="QU20:QV20"/>
    <mergeCell ref="QW20:QX20"/>
    <mergeCell ref="QY20:QZ20"/>
    <mergeCell ref="RA20:RB20"/>
    <mergeCell ref="RC20:RD20"/>
    <mergeCell ref="RE20:RF20"/>
    <mergeCell ref="RG20:RH20"/>
    <mergeCell ref="RI20:RJ20"/>
    <mergeCell ref="RK20:RL20"/>
    <mergeCell ref="RM20:RN20"/>
    <mergeCell ref="OY20:OZ20"/>
    <mergeCell ref="PA20:PB20"/>
    <mergeCell ref="PC20:PD20"/>
    <mergeCell ref="PE20:PF20"/>
    <mergeCell ref="PG20:PH20"/>
    <mergeCell ref="PI20:PJ20"/>
    <mergeCell ref="PK20:PL20"/>
    <mergeCell ref="PM20:PN20"/>
    <mergeCell ref="PO20:PP20"/>
    <mergeCell ref="PQ20:PR20"/>
    <mergeCell ref="PS20:PT20"/>
    <mergeCell ref="PU20:PV20"/>
    <mergeCell ref="PW20:PX20"/>
    <mergeCell ref="PY20:PZ20"/>
    <mergeCell ref="QA20:QB20"/>
    <mergeCell ref="QC20:QD20"/>
    <mergeCell ref="QE20:QF20"/>
    <mergeCell ref="NQ20:NR20"/>
    <mergeCell ref="NS20:NT20"/>
    <mergeCell ref="NU20:NV20"/>
    <mergeCell ref="NW20:NX20"/>
    <mergeCell ref="NY20:NZ20"/>
    <mergeCell ref="OA20:OB20"/>
    <mergeCell ref="OC20:OD20"/>
    <mergeCell ref="OE20:OF20"/>
    <mergeCell ref="OG20:OH20"/>
    <mergeCell ref="OI20:OJ20"/>
    <mergeCell ref="OK20:OL20"/>
    <mergeCell ref="OM20:ON20"/>
    <mergeCell ref="OO20:OP20"/>
    <mergeCell ref="OQ20:OR20"/>
    <mergeCell ref="OS20:OT20"/>
    <mergeCell ref="OU20:OV20"/>
    <mergeCell ref="OW20:OX20"/>
    <mergeCell ref="MI20:MJ20"/>
    <mergeCell ref="MK20:ML20"/>
    <mergeCell ref="MM20:MN20"/>
    <mergeCell ref="MO20:MP20"/>
    <mergeCell ref="MQ20:MR20"/>
    <mergeCell ref="MS20:MT20"/>
    <mergeCell ref="MU20:MV20"/>
    <mergeCell ref="MW20:MX20"/>
    <mergeCell ref="MY20:MZ20"/>
    <mergeCell ref="NA20:NB20"/>
    <mergeCell ref="NC20:ND20"/>
    <mergeCell ref="NE20:NF20"/>
    <mergeCell ref="NG20:NH20"/>
    <mergeCell ref="NI20:NJ20"/>
    <mergeCell ref="NK20:NL20"/>
    <mergeCell ref="NM20:NN20"/>
    <mergeCell ref="NO20:NP20"/>
    <mergeCell ref="LA20:LB20"/>
    <mergeCell ref="LC20:LD20"/>
    <mergeCell ref="LE20:LF20"/>
    <mergeCell ref="LG20:LH20"/>
    <mergeCell ref="LI20:LJ20"/>
    <mergeCell ref="LK20:LL20"/>
    <mergeCell ref="LM20:LN20"/>
    <mergeCell ref="LO20:LP20"/>
    <mergeCell ref="LQ20:LR20"/>
    <mergeCell ref="LS20:LT20"/>
    <mergeCell ref="LU20:LV20"/>
    <mergeCell ref="LW20:LX20"/>
    <mergeCell ref="LY20:LZ20"/>
    <mergeCell ref="MA20:MB20"/>
    <mergeCell ref="MC20:MD20"/>
    <mergeCell ref="ME20:MF20"/>
    <mergeCell ref="MG20:MH20"/>
    <mergeCell ref="AAU19:AAV19"/>
    <mergeCell ref="AAW19:AAX19"/>
    <mergeCell ref="AAY19:AAZ19"/>
    <mergeCell ref="ABA19:ABB19"/>
    <mergeCell ref="ABC19:ABD19"/>
    <mergeCell ref="IY20:IZ20"/>
    <mergeCell ref="JA20:JB20"/>
    <mergeCell ref="JC20:JD20"/>
    <mergeCell ref="JE20:JF20"/>
    <mergeCell ref="JG20:JH20"/>
    <mergeCell ref="JI20:JJ20"/>
    <mergeCell ref="JK20:JL20"/>
    <mergeCell ref="JM20:JN20"/>
    <mergeCell ref="JO20:JP20"/>
    <mergeCell ref="JQ20:JR20"/>
    <mergeCell ref="JS20:JT20"/>
    <mergeCell ref="JU20:JV20"/>
    <mergeCell ref="JW20:JX20"/>
    <mergeCell ref="JY20:JZ20"/>
    <mergeCell ref="KA20:KB20"/>
    <mergeCell ref="KC20:KD20"/>
    <mergeCell ref="KE20:KF20"/>
    <mergeCell ref="KG20:KH20"/>
    <mergeCell ref="KI20:KJ20"/>
    <mergeCell ref="KK20:KL20"/>
    <mergeCell ref="KM20:KN20"/>
    <mergeCell ref="KO20:KP20"/>
    <mergeCell ref="KQ20:KR20"/>
    <mergeCell ref="KS20:KT20"/>
    <mergeCell ref="KU20:KV20"/>
    <mergeCell ref="KW20:KX20"/>
    <mergeCell ref="KY20:KZ20"/>
    <mergeCell ref="ZM19:ZN19"/>
    <mergeCell ref="ZO19:ZP19"/>
    <mergeCell ref="ZQ19:ZR19"/>
    <mergeCell ref="ZS19:ZT19"/>
    <mergeCell ref="ZU19:ZV19"/>
    <mergeCell ref="ZW19:ZX19"/>
    <mergeCell ref="ZY19:ZZ19"/>
    <mergeCell ref="AAA19:AAB19"/>
    <mergeCell ref="AAC19:AAD19"/>
    <mergeCell ref="AAE19:AAF19"/>
    <mergeCell ref="AAG19:AAH19"/>
    <mergeCell ref="AAI19:AAJ19"/>
    <mergeCell ref="AAK19:AAL19"/>
    <mergeCell ref="AAM19:AAN19"/>
    <mergeCell ref="AAO19:AAP19"/>
    <mergeCell ref="AAQ19:AAR19"/>
    <mergeCell ref="AAS19:AAT19"/>
    <mergeCell ref="YE19:YF19"/>
    <mergeCell ref="YG19:YH19"/>
    <mergeCell ref="YI19:YJ19"/>
    <mergeCell ref="YK19:YL19"/>
    <mergeCell ref="YM19:YN19"/>
    <mergeCell ref="YO19:YP19"/>
    <mergeCell ref="YQ19:YR19"/>
    <mergeCell ref="YS19:YT19"/>
    <mergeCell ref="YU19:YV19"/>
    <mergeCell ref="YW19:YX19"/>
    <mergeCell ref="YY19:YZ19"/>
    <mergeCell ref="ZA19:ZB19"/>
    <mergeCell ref="ZC19:ZD19"/>
    <mergeCell ref="ZE19:ZF19"/>
    <mergeCell ref="ZG19:ZH19"/>
    <mergeCell ref="ZI19:ZJ19"/>
    <mergeCell ref="ZK19:ZL19"/>
    <mergeCell ref="WW19:WX19"/>
    <mergeCell ref="WY19:WZ19"/>
    <mergeCell ref="XA19:XB19"/>
    <mergeCell ref="XC19:XD19"/>
    <mergeCell ref="XE19:XF19"/>
    <mergeCell ref="XG19:XH19"/>
    <mergeCell ref="XI19:XJ19"/>
    <mergeCell ref="XK19:XL19"/>
    <mergeCell ref="XM19:XN19"/>
    <mergeCell ref="XO19:XP19"/>
    <mergeCell ref="XQ19:XR19"/>
    <mergeCell ref="XS19:XT19"/>
    <mergeCell ref="XU19:XV19"/>
    <mergeCell ref="XW19:XX19"/>
    <mergeCell ref="XY19:XZ19"/>
    <mergeCell ref="YA19:YB19"/>
    <mergeCell ref="YC19:YD19"/>
    <mergeCell ref="VO19:VP19"/>
    <mergeCell ref="VQ19:VR19"/>
    <mergeCell ref="VS19:VT19"/>
    <mergeCell ref="VU19:VV19"/>
    <mergeCell ref="VW19:VX19"/>
    <mergeCell ref="VY19:VZ19"/>
    <mergeCell ref="WA19:WB19"/>
    <mergeCell ref="WC19:WD19"/>
    <mergeCell ref="WE19:WF19"/>
    <mergeCell ref="WG19:WH19"/>
    <mergeCell ref="WI19:WJ19"/>
    <mergeCell ref="WK19:WL19"/>
    <mergeCell ref="WM19:WN19"/>
    <mergeCell ref="WO19:WP19"/>
    <mergeCell ref="WQ19:WR19"/>
    <mergeCell ref="WS19:WT19"/>
    <mergeCell ref="WU19:WV19"/>
    <mergeCell ref="UG19:UH19"/>
    <mergeCell ref="UI19:UJ19"/>
    <mergeCell ref="UK19:UL19"/>
    <mergeCell ref="UM19:UN19"/>
    <mergeCell ref="UO19:UP19"/>
    <mergeCell ref="UQ19:UR19"/>
    <mergeCell ref="US19:UT19"/>
    <mergeCell ref="UU19:UV19"/>
    <mergeCell ref="UW19:UX19"/>
    <mergeCell ref="UY19:UZ19"/>
    <mergeCell ref="VA19:VB19"/>
    <mergeCell ref="VC19:VD19"/>
    <mergeCell ref="VE19:VF19"/>
    <mergeCell ref="VG19:VH19"/>
    <mergeCell ref="VI19:VJ19"/>
    <mergeCell ref="VK19:VL19"/>
    <mergeCell ref="VM19:VN19"/>
    <mergeCell ref="SY19:SZ19"/>
    <mergeCell ref="TA19:TB19"/>
    <mergeCell ref="TC19:TD19"/>
    <mergeCell ref="TE19:TF19"/>
    <mergeCell ref="TG19:TH19"/>
    <mergeCell ref="TI19:TJ19"/>
    <mergeCell ref="TK19:TL19"/>
    <mergeCell ref="TM19:TN19"/>
    <mergeCell ref="TO19:TP19"/>
    <mergeCell ref="TQ19:TR19"/>
    <mergeCell ref="TS19:TT19"/>
    <mergeCell ref="TU19:TV19"/>
    <mergeCell ref="TW19:TX19"/>
    <mergeCell ref="TY19:TZ19"/>
    <mergeCell ref="UA19:UB19"/>
    <mergeCell ref="UC19:UD19"/>
    <mergeCell ref="UE19:UF19"/>
    <mergeCell ref="RQ19:RR19"/>
    <mergeCell ref="RS19:RT19"/>
    <mergeCell ref="RU19:RV19"/>
    <mergeCell ref="RW19:RX19"/>
    <mergeCell ref="RY19:RZ19"/>
    <mergeCell ref="SA19:SB19"/>
    <mergeCell ref="SC19:SD19"/>
    <mergeCell ref="SE19:SF19"/>
    <mergeCell ref="SG19:SH19"/>
    <mergeCell ref="SI19:SJ19"/>
    <mergeCell ref="SK19:SL19"/>
    <mergeCell ref="SM19:SN19"/>
    <mergeCell ref="SO19:SP19"/>
    <mergeCell ref="SQ19:SR19"/>
    <mergeCell ref="SS19:ST19"/>
    <mergeCell ref="SU19:SV19"/>
    <mergeCell ref="SW19:SX19"/>
    <mergeCell ref="QI19:QJ19"/>
    <mergeCell ref="QK19:QL19"/>
    <mergeCell ref="QM19:QN19"/>
    <mergeCell ref="QO19:QP19"/>
    <mergeCell ref="QQ19:QR19"/>
    <mergeCell ref="QS19:QT19"/>
    <mergeCell ref="QU19:QV19"/>
    <mergeCell ref="QW19:QX19"/>
    <mergeCell ref="QY19:QZ19"/>
    <mergeCell ref="RA19:RB19"/>
    <mergeCell ref="RC19:RD19"/>
    <mergeCell ref="RE19:RF19"/>
    <mergeCell ref="RG19:RH19"/>
    <mergeCell ref="RI19:RJ19"/>
    <mergeCell ref="RK19:RL19"/>
    <mergeCell ref="RM19:RN19"/>
    <mergeCell ref="RO19:RP19"/>
    <mergeCell ref="PA19:PB19"/>
    <mergeCell ref="PC19:PD19"/>
    <mergeCell ref="PE19:PF19"/>
    <mergeCell ref="PG19:PH19"/>
    <mergeCell ref="PI19:PJ19"/>
    <mergeCell ref="PK19:PL19"/>
    <mergeCell ref="PM19:PN19"/>
    <mergeCell ref="PO19:PP19"/>
    <mergeCell ref="PQ19:PR19"/>
    <mergeCell ref="PS19:PT19"/>
    <mergeCell ref="PU19:PV19"/>
    <mergeCell ref="PW19:PX19"/>
    <mergeCell ref="PY19:PZ19"/>
    <mergeCell ref="QA19:QB19"/>
    <mergeCell ref="QC19:QD19"/>
    <mergeCell ref="QE19:QF19"/>
    <mergeCell ref="QG19:QH19"/>
    <mergeCell ref="NS19:NT19"/>
    <mergeCell ref="NU19:NV19"/>
    <mergeCell ref="NW19:NX19"/>
    <mergeCell ref="NY19:NZ19"/>
    <mergeCell ref="OA19:OB19"/>
    <mergeCell ref="OC19:OD19"/>
    <mergeCell ref="OE19:OF19"/>
    <mergeCell ref="OG19:OH19"/>
    <mergeCell ref="OI19:OJ19"/>
    <mergeCell ref="OK19:OL19"/>
    <mergeCell ref="OM19:ON19"/>
    <mergeCell ref="OO19:OP19"/>
    <mergeCell ref="OQ19:OR19"/>
    <mergeCell ref="OS19:OT19"/>
    <mergeCell ref="OU19:OV19"/>
    <mergeCell ref="OW19:OX19"/>
    <mergeCell ref="OY19:OZ19"/>
    <mergeCell ref="MK19:ML19"/>
    <mergeCell ref="MM19:MN19"/>
    <mergeCell ref="MO19:MP19"/>
    <mergeCell ref="MQ19:MR19"/>
    <mergeCell ref="MS19:MT19"/>
    <mergeCell ref="MU19:MV19"/>
    <mergeCell ref="MW19:MX19"/>
    <mergeCell ref="MY19:MZ19"/>
    <mergeCell ref="NA19:NB19"/>
    <mergeCell ref="NC19:ND19"/>
    <mergeCell ref="NE19:NF19"/>
    <mergeCell ref="NG19:NH19"/>
    <mergeCell ref="NI19:NJ19"/>
    <mergeCell ref="NK19:NL19"/>
    <mergeCell ref="NM19:NN19"/>
    <mergeCell ref="NO19:NP19"/>
    <mergeCell ref="NQ19:NR19"/>
    <mergeCell ref="LC19:LD19"/>
    <mergeCell ref="LE19:LF19"/>
    <mergeCell ref="LG19:LH19"/>
    <mergeCell ref="LI19:LJ19"/>
    <mergeCell ref="LK19:LL19"/>
    <mergeCell ref="LM19:LN19"/>
    <mergeCell ref="LO19:LP19"/>
    <mergeCell ref="LQ19:LR19"/>
    <mergeCell ref="LS19:LT19"/>
    <mergeCell ref="LU19:LV19"/>
    <mergeCell ref="LW19:LX19"/>
    <mergeCell ref="LY19:LZ19"/>
    <mergeCell ref="MA19:MB19"/>
    <mergeCell ref="MC19:MD19"/>
    <mergeCell ref="ME19:MF19"/>
    <mergeCell ref="MG19:MH19"/>
    <mergeCell ref="MI19:MJ19"/>
    <mergeCell ref="AAW18:AAX18"/>
    <mergeCell ref="AAY18:AAZ18"/>
    <mergeCell ref="ABA18:ABB18"/>
    <mergeCell ref="ABC18:ABD18"/>
    <mergeCell ref="IY19:IZ19"/>
    <mergeCell ref="JA19:JB19"/>
    <mergeCell ref="JC19:JD19"/>
    <mergeCell ref="JE19:JF19"/>
    <mergeCell ref="JG19:JH19"/>
    <mergeCell ref="JI19:JJ19"/>
    <mergeCell ref="JK19:JL19"/>
    <mergeCell ref="JM19:JN19"/>
    <mergeCell ref="JO19:JP19"/>
    <mergeCell ref="JQ19:JR19"/>
    <mergeCell ref="JS19:JT19"/>
    <mergeCell ref="JU19:JV19"/>
    <mergeCell ref="JW19:JX19"/>
    <mergeCell ref="JY19:JZ19"/>
    <mergeCell ref="KA19:KB19"/>
    <mergeCell ref="KC19:KD19"/>
    <mergeCell ref="KE19:KF19"/>
    <mergeCell ref="KG19:KH19"/>
    <mergeCell ref="KI19:KJ19"/>
    <mergeCell ref="KK19:KL19"/>
    <mergeCell ref="KM19:KN19"/>
    <mergeCell ref="KO19:KP19"/>
    <mergeCell ref="KQ19:KR19"/>
    <mergeCell ref="KS19:KT19"/>
    <mergeCell ref="KU19:KV19"/>
    <mergeCell ref="KW19:KX19"/>
    <mergeCell ref="KY19:KZ19"/>
    <mergeCell ref="LA19:LB19"/>
    <mergeCell ref="ZO18:ZP18"/>
    <mergeCell ref="ZQ18:ZR18"/>
    <mergeCell ref="ZS18:ZT18"/>
    <mergeCell ref="ZU18:ZV18"/>
    <mergeCell ref="ZW18:ZX18"/>
    <mergeCell ref="ZY18:ZZ18"/>
    <mergeCell ref="AAA18:AAB18"/>
    <mergeCell ref="AAC18:AAD18"/>
    <mergeCell ref="AAE18:AAF18"/>
    <mergeCell ref="AAG18:AAH18"/>
    <mergeCell ref="AAI18:AAJ18"/>
    <mergeCell ref="AAK18:AAL18"/>
    <mergeCell ref="AAM18:AAN18"/>
    <mergeCell ref="AAO18:AAP18"/>
    <mergeCell ref="AAQ18:AAR18"/>
    <mergeCell ref="AAS18:AAT18"/>
    <mergeCell ref="AAU18:AAV18"/>
    <mergeCell ref="YG18:YH18"/>
    <mergeCell ref="YI18:YJ18"/>
    <mergeCell ref="YK18:YL18"/>
    <mergeCell ref="YM18:YN18"/>
    <mergeCell ref="YO18:YP18"/>
    <mergeCell ref="YQ18:YR18"/>
    <mergeCell ref="YS18:YT18"/>
    <mergeCell ref="YU18:YV18"/>
    <mergeCell ref="YW18:YX18"/>
    <mergeCell ref="YY18:YZ18"/>
    <mergeCell ref="ZA18:ZB18"/>
    <mergeCell ref="ZC18:ZD18"/>
    <mergeCell ref="ZE18:ZF18"/>
    <mergeCell ref="ZG18:ZH18"/>
    <mergeCell ref="ZI18:ZJ18"/>
    <mergeCell ref="ZK18:ZL18"/>
    <mergeCell ref="ZM18:ZN18"/>
    <mergeCell ref="WY18:WZ18"/>
    <mergeCell ref="XA18:XB18"/>
    <mergeCell ref="XC18:XD18"/>
    <mergeCell ref="XE18:XF18"/>
    <mergeCell ref="XG18:XH18"/>
    <mergeCell ref="XI18:XJ18"/>
    <mergeCell ref="XK18:XL18"/>
    <mergeCell ref="XM18:XN18"/>
    <mergeCell ref="XO18:XP18"/>
    <mergeCell ref="XQ18:XR18"/>
    <mergeCell ref="XS18:XT18"/>
    <mergeCell ref="XU18:XV18"/>
    <mergeCell ref="XW18:XX18"/>
    <mergeCell ref="XY18:XZ18"/>
    <mergeCell ref="YA18:YB18"/>
    <mergeCell ref="YC18:YD18"/>
    <mergeCell ref="YE18:YF18"/>
    <mergeCell ref="VQ18:VR18"/>
    <mergeCell ref="VS18:VT18"/>
    <mergeCell ref="VU18:VV18"/>
    <mergeCell ref="VW18:VX18"/>
    <mergeCell ref="VY18:VZ18"/>
    <mergeCell ref="WA18:WB18"/>
    <mergeCell ref="WC18:WD18"/>
    <mergeCell ref="WE18:WF18"/>
    <mergeCell ref="WG18:WH18"/>
    <mergeCell ref="WI18:WJ18"/>
    <mergeCell ref="WK18:WL18"/>
    <mergeCell ref="WM18:WN18"/>
    <mergeCell ref="WO18:WP18"/>
    <mergeCell ref="WQ18:WR18"/>
    <mergeCell ref="WS18:WT18"/>
    <mergeCell ref="WU18:WV18"/>
    <mergeCell ref="WW18:WX18"/>
    <mergeCell ref="UI18:UJ18"/>
    <mergeCell ref="UK18:UL18"/>
    <mergeCell ref="UM18:UN18"/>
    <mergeCell ref="UO18:UP18"/>
    <mergeCell ref="UQ18:UR18"/>
    <mergeCell ref="US18:UT18"/>
    <mergeCell ref="UU18:UV18"/>
    <mergeCell ref="UW18:UX18"/>
    <mergeCell ref="UY18:UZ18"/>
    <mergeCell ref="VA18:VB18"/>
    <mergeCell ref="VC18:VD18"/>
    <mergeCell ref="VE18:VF18"/>
    <mergeCell ref="VG18:VH18"/>
    <mergeCell ref="VI18:VJ18"/>
    <mergeCell ref="VK18:VL18"/>
    <mergeCell ref="VM18:VN18"/>
    <mergeCell ref="VO18:VP18"/>
    <mergeCell ref="TA18:TB18"/>
    <mergeCell ref="TC18:TD18"/>
    <mergeCell ref="TE18:TF18"/>
    <mergeCell ref="TG18:TH18"/>
    <mergeCell ref="TI18:TJ18"/>
    <mergeCell ref="TK18:TL18"/>
    <mergeCell ref="TM18:TN18"/>
    <mergeCell ref="TO18:TP18"/>
    <mergeCell ref="TQ18:TR18"/>
    <mergeCell ref="TS18:TT18"/>
    <mergeCell ref="TU18:TV18"/>
    <mergeCell ref="TW18:TX18"/>
    <mergeCell ref="TY18:TZ18"/>
    <mergeCell ref="UA18:UB18"/>
    <mergeCell ref="UC18:UD18"/>
    <mergeCell ref="UE18:UF18"/>
    <mergeCell ref="UG18:UH18"/>
    <mergeCell ref="RS18:RT18"/>
    <mergeCell ref="RU18:RV18"/>
    <mergeCell ref="RW18:RX18"/>
    <mergeCell ref="RY18:RZ18"/>
    <mergeCell ref="SA18:SB18"/>
    <mergeCell ref="SC18:SD18"/>
    <mergeCell ref="SE18:SF18"/>
    <mergeCell ref="SG18:SH18"/>
    <mergeCell ref="SI18:SJ18"/>
    <mergeCell ref="SK18:SL18"/>
    <mergeCell ref="SM18:SN18"/>
    <mergeCell ref="SO18:SP18"/>
    <mergeCell ref="SQ18:SR18"/>
    <mergeCell ref="SS18:ST18"/>
    <mergeCell ref="SU18:SV18"/>
    <mergeCell ref="SW18:SX18"/>
    <mergeCell ref="SY18:SZ18"/>
    <mergeCell ref="QK18:QL18"/>
    <mergeCell ref="QM18:QN18"/>
    <mergeCell ref="QO18:QP18"/>
    <mergeCell ref="QQ18:QR18"/>
    <mergeCell ref="QS18:QT18"/>
    <mergeCell ref="QU18:QV18"/>
    <mergeCell ref="QW18:QX18"/>
    <mergeCell ref="QY18:QZ18"/>
    <mergeCell ref="RA18:RB18"/>
    <mergeCell ref="RC18:RD18"/>
    <mergeCell ref="RE18:RF18"/>
    <mergeCell ref="RG18:RH18"/>
    <mergeCell ref="RI18:RJ18"/>
    <mergeCell ref="RK18:RL18"/>
    <mergeCell ref="RM18:RN18"/>
    <mergeCell ref="RO18:RP18"/>
    <mergeCell ref="RQ18:RR18"/>
    <mergeCell ref="PC18:PD18"/>
    <mergeCell ref="PE18:PF18"/>
    <mergeCell ref="PG18:PH18"/>
    <mergeCell ref="PI18:PJ18"/>
    <mergeCell ref="PK18:PL18"/>
    <mergeCell ref="PM18:PN18"/>
    <mergeCell ref="PO18:PP18"/>
    <mergeCell ref="PQ18:PR18"/>
    <mergeCell ref="PS18:PT18"/>
    <mergeCell ref="PU18:PV18"/>
    <mergeCell ref="PW18:PX18"/>
    <mergeCell ref="PY18:PZ18"/>
    <mergeCell ref="QA18:QB18"/>
    <mergeCell ref="QC18:QD18"/>
    <mergeCell ref="QE18:QF18"/>
    <mergeCell ref="QG18:QH18"/>
    <mergeCell ref="QI18:QJ18"/>
    <mergeCell ref="NU18:NV18"/>
    <mergeCell ref="NW18:NX18"/>
    <mergeCell ref="NY18:NZ18"/>
    <mergeCell ref="OA18:OB18"/>
    <mergeCell ref="OC18:OD18"/>
    <mergeCell ref="OE18:OF18"/>
    <mergeCell ref="OG18:OH18"/>
    <mergeCell ref="OI18:OJ18"/>
    <mergeCell ref="OK18:OL18"/>
    <mergeCell ref="OM18:ON18"/>
    <mergeCell ref="OO18:OP18"/>
    <mergeCell ref="OQ18:OR18"/>
    <mergeCell ref="OS18:OT18"/>
    <mergeCell ref="OU18:OV18"/>
    <mergeCell ref="OW18:OX18"/>
    <mergeCell ref="OY18:OZ18"/>
    <mergeCell ref="PA18:PB18"/>
    <mergeCell ref="MM18:MN18"/>
    <mergeCell ref="MO18:MP18"/>
    <mergeCell ref="MQ18:MR18"/>
    <mergeCell ref="MS18:MT18"/>
    <mergeCell ref="MU18:MV18"/>
    <mergeCell ref="MW18:MX18"/>
    <mergeCell ref="MY18:MZ18"/>
    <mergeCell ref="NA18:NB18"/>
    <mergeCell ref="NC18:ND18"/>
    <mergeCell ref="NE18:NF18"/>
    <mergeCell ref="NG18:NH18"/>
    <mergeCell ref="NI18:NJ18"/>
    <mergeCell ref="NK18:NL18"/>
    <mergeCell ref="NM18:NN18"/>
    <mergeCell ref="NO18:NP18"/>
    <mergeCell ref="NQ18:NR18"/>
    <mergeCell ref="NS18:NT18"/>
    <mergeCell ref="LE18:LF18"/>
    <mergeCell ref="LG18:LH18"/>
    <mergeCell ref="LI18:LJ18"/>
    <mergeCell ref="LK18:LL18"/>
    <mergeCell ref="LM18:LN18"/>
    <mergeCell ref="LO18:LP18"/>
    <mergeCell ref="LQ18:LR18"/>
    <mergeCell ref="LS18:LT18"/>
    <mergeCell ref="LU18:LV18"/>
    <mergeCell ref="LW18:LX18"/>
    <mergeCell ref="LY18:LZ18"/>
    <mergeCell ref="MA18:MB18"/>
    <mergeCell ref="MC18:MD18"/>
    <mergeCell ref="ME18:MF18"/>
    <mergeCell ref="MG18:MH18"/>
    <mergeCell ref="MI18:MJ18"/>
    <mergeCell ref="MK18:ML18"/>
    <mergeCell ref="AAY17:AAZ17"/>
    <mergeCell ref="ABA17:ABB17"/>
    <mergeCell ref="ABC17:ABD17"/>
    <mergeCell ref="IY18:IZ18"/>
    <mergeCell ref="JA18:JB18"/>
    <mergeCell ref="JC18:JD18"/>
    <mergeCell ref="JE18:JF18"/>
    <mergeCell ref="JG18:JH18"/>
    <mergeCell ref="JI18:JJ18"/>
    <mergeCell ref="JK18:JL18"/>
    <mergeCell ref="JM18:JN18"/>
    <mergeCell ref="JO18:JP18"/>
    <mergeCell ref="JQ18:JR18"/>
    <mergeCell ref="JS18:JT18"/>
    <mergeCell ref="JU18:JV18"/>
    <mergeCell ref="JW18:JX18"/>
    <mergeCell ref="JY18:JZ18"/>
    <mergeCell ref="KA18:KB18"/>
    <mergeCell ref="KC18:KD18"/>
    <mergeCell ref="KE18:KF18"/>
    <mergeCell ref="KG18:KH18"/>
    <mergeCell ref="KI18:KJ18"/>
    <mergeCell ref="KK18:KL18"/>
    <mergeCell ref="KM18:KN18"/>
    <mergeCell ref="KO18:KP18"/>
    <mergeCell ref="KQ18:KR18"/>
    <mergeCell ref="KS18:KT18"/>
    <mergeCell ref="KU18:KV18"/>
    <mergeCell ref="KW18:KX18"/>
    <mergeCell ref="KY18:KZ18"/>
    <mergeCell ref="LA18:LB18"/>
    <mergeCell ref="LC18:LD18"/>
    <mergeCell ref="ZQ17:ZR17"/>
    <mergeCell ref="ZS17:ZT17"/>
    <mergeCell ref="ZU17:ZV17"/>
    <mergeCell ref="ZW17:ZX17"/>
    <mergeCell ref="ZY17:ZZ17"/>
    <mergeCell ref="AAA17:AAB17"/>
    <mergeCell ref="AAC17:AAD17"/>
    <mergeCell ref="AAE17:AAF17"/>
    <mergeCell ref="AAG17:AAH17"/>
    <mergeCell ref="AAI17:AAJ17"/>
    <mergeCell ref="AAK17:AAL17"/>
    <mergeCell ref="AAM17:AAN17"/>
    <mergeCell ref="AAO17:AAP17"/>
    <mergeCell ref="AAQ17:AAR17"/>
    <mergeCell ref="AAS17:AAT17"/>
    <mergeCell ref="AAU17:AAV17"/>
    <mergeCell ref="AAW17:AAX17"/>
    <mergeCell ref="YI17:YJ17"/>
    <mergeCell ref="YK17:YL17"/>
    <mergeCell ref="YM17:YN17"/>
    <mergeCell ref="YO17:YP17"/>
    <mergeCell ref="YQ17:YR17"/>
    <mergeCell ref="YS17:YT17"/>
    <mergeCell ref="YU17:YV17"/>
    <mergeCell ref="YW17:YX17"/>
    <mergeCell ref="YY17:YZ17"/>
    <mergeCell ref="ZA17:ZB17"/>
    <mergeCell ref="ZC17:ZD17"/>
    <mergeCell ref="ZE17:ZF17"/>
    <mergeCell ref="ZG17:ZH17"/>
    <mergeCell ref="ZI17:ZJ17"/>
    <mergeCell ref="ZK17:ZL17"/>
    <mergeCell ref="ZM17:ZN17"/>
    <mergeCell ref="ZO17:ZP17"/>
    <mergeCell ref="XA17:XB17"/>
    <mergeCell ref="XC17:XD17"/>
    <mergeCell ref="XE17:XF17"/>
    <mergeCell ref="XG17:XH17"/>
    <mergeCell ref="XI17:XJ17"/>
    <mergeCell ref="XK17:XL17"/>
    <mergeCell ref="XM17:XN17"/>
    <mergeCell ref="XO17:XP17"/>
    <mergeCell ref="XQ17:XR17"/>
    <mergeCell ref="XS17:XT17"/>
    <mergeCell ref="XU17:XV17"/>
    <mergeCell ref="XW17:XX17"/>
    <mergeCell ref="XY17:XZ17"/>
    <mergeCell ref="YA17:YB17"/>
    <mergeCell ref="YC17:YD17"/>
    <mergeCell ref="YE17:YF17"/>
    <mergeCell ref="YG17:YH17"/>
    <mergeCell ref="VS17:VT17"/>
    <mergeCell ref="VU17:VV17"/>
    <mergeCell ref="VW17:VX17"/>
    <mergeCell ref="VY17:VZ17"/>
    <mergeCell ref="WA17:WB17"/>
    <mergeCell ref="WC17:WD17"/>
    <mergeCell ref="WE17:WF17"/>
    <mergeCell ref="WG17:WH17"/>
    <mergeCell ref="WI17:WJ17"/>
    <mergeCell ref="WK17:WL17"/>
    <mergeCell ref="WM17:WN17"/>
    <mergeCell ref="WO17:WP17"/>
    <mergeCell ref="WQ17:WR17"/>
    <mergeCell ref="WS17:WT17"/>
    <mergeCell ref="WU17:WV17"/>
    <mergeCell ref="WW17:WX17"/>
    <mergeCell ref="WY17:WZ17"/>
    <mergeCell ref="UK17:UL17"/>
    <mergeCell ref="UM17:UN17"/>
    <mergeCell ref="UO17:UP17"/>
    <mergeCell ref="UQ17:UR17"/>
    <mergeCell ref="US17:UT17"/>
    <mergeCell ref="UU17:UV17"/>
    <mergeCell ref="UW17:UX17"/>
    <mergeCell ref="UY17:UZ17"/>
    <mergeCell ref="VA17:VB17"/>
    <mergeCell ref="VC17:VD17"/>
    <mergeCell ref="VE17:VF17"/>
    <mergeCell ref="VG17:VH17"/>
    <mergeCell ref="VI17:VJ17"/>
    <mergeCell ref="VK17:VL17"/>
    <mergeCell ref="VM17:VN17"/>
    <mergeCell ref="VO17:VP17"/>
    <mergeCell ref="VQ17:VR17"/>
    <mergeCell ref="TC17:TD17"/>
    <mergeCell ref="TE17:TF17"/>
    <mergeCell ref="TG17:TH17"/>
    <mergeCell ref="TI17:TJ17"/>
    <mergeCell ref="TK17:TL17"/>
    <mergeCell ref="TM17:TN17"/>
    <mergeCell ref="TO17:TP17"/>
    <mergeCell ref="TQ17:TR17"/>
    <mergeCell ref="TS17:TT17"/>
    <mergeCell ref="TU17:TV17"/>
    <mergeCell ref="TW17:TX17"/>
    <mergeCell ref="TY17:TZ17"/>
    <mergeCell ref="UA17:UB17"/>
    <mergeCell ref="UC17:UD17"/>
    <mergeCell ref="UE17:UF17"/>
    <mergeCell ref="UG17:UH17"/>
    <mergeCell ref="UI17:UJ17"/>
    <mergeCell ref="RU17:RV17"/>
    <mergeCell ref="RW17:RX17"/>
    <mergeCell ref="RY17:RZ17"/>
    <mergeCell ref="SA17:SB17"/>
    <mergeCell ref="SC17:SD17"/>
    <mergeCell ref="SE17:SF17"/>
    <mergeCell ref="SG17:SH17"/>
    <mergeCell ref="SI17:SJ17"/>
    <mergeCell ref="SK17:SL17"/>
    <mergeCell ref="SM17:SN17"/>
    <mergeCell ref="SO17:SP17"/>
    <mergeCell ref="SQ17:SR17"/>
    <mergeCell ref="SS17:ST17"/>
    <mergeCell ref="SU17:SV17"/>
    <mergeCell ref="SW17:SX17"/>
    <mergeCell ref="SY17:SZ17"/>
    <mergeCell ref="TA17:TB17"/>
    <mergeCell ref="QM17:QN17"/>
    <mergeCell ref="QO17:QP17"/>
    <mergeCell ref="QQ17:QR17"/>
    <mergeCell ref="QS17:QT17"/>
    <mergeCell ref="QU17:QV17"/>
    <mergeCell ref="QW17:QX17"/>
    <mergeCell ref="QY17:QZ17"/>
    <mergeCell ref="RA17:RB17"/>
    <mergeCell ref="RC17:RD17"/>
    <mergeCell ref="RE17:RF17"/>
    <mergeCell ref="RG17:RH17"/>
    <mergeCell ref="RI17:RJ17"/>
    <mergeCell ref="RK17:RL17"/>
    <mergeCell ref="RM17:RN17"/>
    <mergeCell ref="RO17:RP17"/>
    <mergeCell ref="RQ17:RR17"/>
    <mergeCell ref="RS17:RT17"/>
    <mergeCell ref="PE17:PF17"/>
    <mergeCell ref="PG17:PH17"/>
    <mergeCell ref="PI17:PJ17"/>
    <mergeCell ref="PK17:PL17"/>
    <mergeCell ref="PM17:PN17"/>
    <mergeCell ref="PO17:PP17"/>
    <mergeCell ref="PQ17:PR17"/>
    <mergeCell ref="PS17:PT17"/>
    <mergeCell ref="PU17:PV17"/>
    <mergeCell ref="PW17:PX17"/>
    <mergeCell ref="PY17:PZ17"/>
    <mergeCell ref="QA17:QB17"/>
    <mergeCell ref="QC17:QD17"/>
    <mergeCell ref="QE17:QF17"/>
    <mergeCell ref="QG17:QH17"/>
    <mergeCell ref="QI17:QJ17"/>
    <mergeCell ref="QK17:QL17"/>
    <mergeCell ref="NW17:NX17"/>
    <mergeCell ref="NY17:NZ17"/>
    <mergeCell ref="OA17:OB17"/>
    <mergeCell ref="OC17:OD17"/>
    <mergeCell ref="OE17:OF17"/>
    <mergeCell ref="OG17:OH17"/>
    <mergeCell ref="OI17:OJ17"/>
    <mergeCell ref="OK17:OL17"/>
    <mergeCell ref="OM17:ON17"/>
    <mergeCell ref="OO17:OP17"/>
    <mergeCell ref="OQ17:OR17"/>
    <mergeCell ref="OS17:OT17"/>
    <mergeCell ref="OU17:OV17"/>
    <mergeCell ref="OW17:OX17"/>
    <mergeCell ref="OY17:OZ17"/>
    <mergeCell ref="PA17:PB17"/>
    <mergeCell ref="PC17:PD17"/>
    <mergeCell ref="MO17:MP17"/>
    <mergeCell ref="MQ17:MR17"/>
    <mergeCell ref="MS17:MT17"/>
    <mergeCell ref="MU17:MV17"/>
    <mergeCell ref="MW17:MX17"/>
    <mergeCell ref="MY17:MZ17"/>
    <mergeCell ref="NA17:NB17"/>
    <mergeCell ref="NC17:ND17"/>
    <mergeCell ref="NE17:NF17"/>
    <mergeCell ref="NG17:NH17"/>
    <mergeCell ref="NI17:NJ17"/>
    <mergeCell ref="NK17:NL17"/>
    <mergeCell ref="NM17:NN17"/>
    <mergeCell ref="NO17:NP17"/>
    <mergeCell ref="NQ17:NR17"/>
    <mergeCell ref="NS17:NT17"/>
    <mergeCell ref="NU17:NV17"/>
    <mergeCell ref="LG17:LH17"/>
    <mergeCell ref="LI17:LJ17"/>
    <mergeCell ref="LK17:LL17"/>
    <mergeCell ref="LM17:LN17"/>
    <mergeCell ref="LO17:LP17"/>
    <mergeCell ref="LQ17:LR17"/>
    <mergeCell ref="LS17:LT17"/>
    <mergeCell ref="LU17:LV17"/>
    <mergeCell ref="LW17:LX17"/>
    <mergeCell ref="LY17:LZ17"/>
    <mergeCell ref="MA17:MB17"/>
    <mergeCell ref="MC17:MD17"/>
    <mergeCell ref="ME17:MF17"/>
    <mergeCell ref="MG17:MH17"/>
    <mergeCell ref="MI17:MJ17"/>
    <mergeCell ref="MK17:ML17"/>
    <mergeCell ref="MM17:MN17"/>
    <mergeCell ref="JY17:JZ17"/>
    <mergeCell ref="KA17:KB17"/>
    <mergeCell ref="KC17:KD17"/>
    <mergeCell ref="KE17:KF17"/>
    <mergeCell ref="KG17:KH17"/>
    <mergeCell ref="KI17:KJ17"/>
    <mergeCell ref="KK17:KL17"/>
    <mergeCell ref="KM17:KN17"/>
    <mergeCell ref="KO17:KP17"/>
    <mergeCell ref="KQ17:KR17"/>
    <mergeCell ref="KS17:KT17"/>
    <mergeCell ref="KU17:KV17"/>
    <mergeCell ref="KW17:KX17"/>
    <mergeCell ref="KY17:KZ17"/>
    <mergeCell ref="LA17:LB17"/>
    <mergeCell ref="LC17:LD17"/>
    <mergeCell ref="LE17:LF17"/>
    <mergeCell ref="ZW16:ZX16"/>
    <mergeCell ref="ZY16:ZZ16"/>
    <mergeCell ref="AAA16:AAB16"/>
    <mergeCell ref="AAC16:AAD16"/>
    <mergeCell ref="AAE16:AAF16"/>
    <mergeCell ref="AAG16:AAH16"/>
    <mergeCell ref="AAI16:AAJ16"/>
    <mergeCell ref="AAK16:AAL16"/>
    <mergeCell ref="AAM16:AAN16"/>
    <mergeCell ref="AAO16:AAP16"/>
    <mergeCell ref="AAQ16:AAR16"/>
    <mergeCell ref="AAS16:AAT16"/>
    <mergeCell ref="AAU16:AAV16"/>
    <mergeCell ref="AAW16:AAX16"/>
    <mergeCell ref="AAY16:AAZ16"/>
    <mergeCell ref="ABA16:ABB16"/>
    <mergeCell ref="ABC16:ABD16"/>
    <mergeCell ref="YO16:YP16"/>
    <mergeCell ref="YQ16:YR16"/>
    <mergeCell ref="YS16:YT16"/>
    <mergeCell ref="YU16:YV16"/>
    <mergeCell ref="YW16:YX16"/>
    <mergeCell ref="YY16:YZ16"/>
    <mergeCell ref="ZA16:ZB16"/>
    <mergeCell ref="ZC16:ZD16"/>
    <mergeCell ref="ZE16:ZF16"/>
    <mergeCell ref="ZG16:ZH16"/>
    <mergeCell ref="ZI16:ZJ16"/>
    <mergeCell ref="ZK16:ZL16"/>
    <mergeCell ref="ZM16:ZN16"/>
    <mergeCell ref="ZO16:ZP16"/>
    <mergeCell ref="ZQ16:ZR16"/>
    <mergeCell ref="ZS16:ZT16"/>
    <mergeCell ref="ZU16:ZV16"/>
    <mergeCell ref="XG16:XH16"/>
    <mergeCell ref="XI16:XJ16"/>
    <mergeCell ref="XK16:XL16"/>
    <mergeCell ref="XM16:XN16"/>
    <mergeCell ref="XO16:XP16"/>
    <mergeCell ref="XQ16:XR16"/>
    <mergeCell ref="XS16:XT16"/>
    <mergeCell ref="XU16:XV16"/>
    <mergeCell ref="XW16:XX16"/>
    <mergeCell ref="XY16:XZ16"/>
    <mergeCell ref="YA16:YB16"/>
    <mergeCell ref="YC16:YD16"/>
    <mergeCell ref="YE16:YF16"/>
    <mergeCell ref="YG16:YH16"/>
    <mergeCell ref="YI16:YJ16"/>
    <mergeCell ref="YK16:YL16"/>
    <mergeCell ref="YM16:YN16"/>
    <mergeCell ref="VY16:VZ16"/>
    <mergeCell ref="WA16:WB16"/>
    <mergeCell ref="WC16:WD16"/>
    <mergeCell ref="WE16:WF16"/>
    <mergeCell ref="WG16:WH16"/>
    <mergeCell ref="WI16:WJ16"/>
    <mergeCell ref="WK16:WL16"/>
    <mergeCell ref="WM16:WN16"/>
    <mergeCell ref="WO16:WP16"/>
    <mergeCell ref="WQ16:WR16"/>
    <mergeCell ref="WS16:WT16"/>
    <mergeCell ref="WU16:WV16"/>
    <mergeCell ref="WW16:WX16"/>
    <mergeCell ref="WY16:WZ16"/>
    <mergeCell ref="XA16:XB16"/>
    <mergeCell ref="XC16:XD16"/>
    <mergeCell ref="XE16:XF16"/>
    <mergeCell ref="UQ16:UR16"/>
    <mergeCell ref="US16:UT16"/>
    <mergeCell ref="UU16:UV16"/>
    <mergeCell ref="UW16:UX16"/>
    <mergeCell ref="UY16:UZ16"/>
    <mergeCell ref="VA16:VB16"/>
    <mergeCell ref="VC16:VD16"/>
    <mergeCell ref="VE16:VF16"/>
    <mergeCell ref="VG16:VH16"/>
    <mergeCell ref="VI16:VJ16"/>
    <mergeCell ref="VK16:VL16"/>
    <mergeCell ref="VM16:VN16"/>
    <mergeCell ref="VO16:VP16"/>
    <mergeCell ref="VQ16:VR16"/>
    <mergeCell ref="VS16:VT16"/>
    <mergeCell ref="VU16:VV16"/>
    <mergeCell ref="VW16:VX16"/>
    <mergeCell ref="TI16:TJ16"/>
    <mergeCell ref="TK16:TL16"/>
    <mergeCell ref="TM16:TN16"/>
    <mergeCell ref="TO16:TP16"/>
    <mergeCell ref="TQ16:TR16"/>
    <mergeCell ref="TS16:TT16"/>
    <mergeCell ref="TU16:TV16"/>
    <mergeCell ref="TW16:TX16"/>
    <mergeCell ref="TY16:TZ16"/>
    <mergeCell ref="UA16:UB16"/>
    <mergeCell ref="UC16:UD16"/>
    <mergeCell ref="UE16:UF16"/>
    <mergeCell ref="UG16:UH16"/>
    <mergeCell ref="UI16:UJ16"/>
    <mergeCell ref="UK16:UL16"/>
    <mergeCell ref="UM16:UN16"/>
    <mergeCell ref="UO16:UP16"/>
    <mergeCell ref="SA16:SB16"/>
    <mergeCell ref="SC16:SD16"/>
    <mergeCell ref="SE16:SF16"/>
    <mergeCell ref="SG16:SH16"/>
    <mergeCell ref="SI16:SJ16"/>
    <mergeCell ref="SK16:SL16"/>
    <mergeCell ref="SM16:SN16"/>
    <mergeCell ref="SO16:SP16"/>
    <mergeCell ref="SQ16:SR16"/>
    <mergeCell ref="SS16:ST16"/>
    <mergeCell ref="SU16:SV16"/>
    <mergeCell ref="SW16:SX16"/>
    <mergeCell ref="SY16:SZ16"/>
    <mergeCell ref="TA16:TB16"/>
    <mergeCell ref="TC16:TD16"/>
    <mergeCell ref="TE16:TF16"/>
    <mergeCell ref="TG16:TH16"/>
    <mergeCell ref="QS16:QT16"/>
    <mergeCell ref="QU16:QV16"/>
    <mergeCell ref="QW16:QX16"/>
    <mergeCell ref="QY16:QZ16"/>
    <mergeCell ref="RA16:RB16"/>
    <mergeCell ref="RC16:RD16"/>
    <mergeCell ref="RE16:RF16"/>
    <mergeCell ref="RG16:RH16"/>
    <mergeCell ref="RI16:RJ16"/>
    <mergeCell ref="RK16:RL16"/>
    <mergeCell ref="RM16:RN16"/>
    <mergeCell ref="RO16:RP16"/>
    <mergeCell ref="RQ16:RR16"/>
    <mergeCell ref="RS16:RT16"/>
    <mergeCell ref="RU16:RV16"/>
    <mergeCell ref="RW16:RX16"/>
    <mergeCell ref="RY16:RZ16"/>
    <mergeCell ref="PK16:PL16"/>
    <mergeCell ref="PM16:PN16"/>
    <mergeCell ref="PO16:PP16"/>
    <mergeCell ref="PQ16:PR16"/>
    <mergeCell ref="PS16:PT16"/>
    <mergeCell ref="PU16:PV16"/>
    <mergeCell ref="PW16:PX16"/>
    <mergeCell ref="PY16:PZ16"/>
    <mergeCell ref="QA16:QB16"/>
    <mergeCell ref="QC16:QD16"/>
    <mergeCell ref="QE16:QF16"/>
    <mergeCell ref="QG16:QH16"/>
    <mergeCell ref="QI16:QJ16"/>
    <mergeCell ref="QK16:QL16"/>
    <mergeCell ref="QM16:QN16"/>
    <mergeCell ref="QO16:QP16"/>
    <mergeCell ref="QQ16:QR16"/>
    <mergeCell ref="OC16:OD16"/>
    <mergeCell ref="OE16:OF16"/>
    <mergeCell ref="OG16:OH16"/>
    <mergeCell ref="OI16:OJ16"/>
    <mergeCell ref="OK16:OL16"/>
    <mergeCell ref="OM16:ON16"/>
    <mergeCell ref="OO16:OP16"/>
    <mergeCell ref="OQ16:OR16"/>
    <mergeCell ref="OS16:OT16"/>
    <mergeCell ref="OU16:OV16"/>
    <mergeCell ref="OW16:OX16"/>
    <mergeCell ref="OY16:OZ16"/>
    <mergeCell ref="PA16:PB16"/>
    <mergeCell ref="PC16:PD16"/>
    <mergeCell ref="PE16:PF16"/>
    <mergeCell ref="PG16:PH16"/>
    <mergeCell ref="PI16:PJ16"/>
    <mergeCell ref="MU16:MV16"/>
    <mergeCell ref="MW16:MX16"/>
    <mergeCell ref="MY16:MZ16"/>
    <mergeCell ref="NA16:NB16"/>
    <mergeCell ref="NC16:ND16"/>
    <mergeCell ref="NE16:NF16"/>
    <mergeCell ref="NG16:NH16"/>
    <mergeCell ref="NI16:NJ16"/>
    <mergeCell ref="NK16:NL16"/>
    <mergeCell ref="NM16:NN16"/>
    <mergeCell ref="NO16:NP16"/>
    <mergeCell ref="NQ16:NR16"/>
    <mergeCell ref="NS16:NT16"/>
    <mergeCell ref="NU16:NV16"/>
    <mergeCell ref="NW16:NX16"/>
    <mergeCell ref="NY16:NZ16"/>
    <mergeCell ref="OA16:OB16"/>
    <mergeCell ref="LM16:LN16"/>
    <mergeCell ref="LO16:LP16"/>
    <mergeCell ref="LQ16:LR16"/>
    <mergeCell ref="LS16:LT16"/>
    <mergeCell ref="LU16:LV16"/>
    <mergeCell ref="LW16:LX16"/>
    <mergeCell ref="LY16:LZ16"/>
    <mergeCell ref="MA16:MB16"/>
    <mergeCell ref="MC16:MD16"/>
    <mergeCell ref="ME16:MF16"/>
    <mergeCell ref="MG16:MH16"/>
    <mergeCell ref="MI16:MJ16"/>
    <mergeCell ref="MK16:ML16"/>
    <mergeCell ref="MM16:MN16"/>
    <mergeCell ref="MO16:MP16"/>
    <mergeCell ref="MQ16:MR16"/>
    <mergeCell ref="MS16:MT16"/>
    <mergeCell ref="KE16:KF16"/>
    <mergeCell ref="KG16:KH16"/>
    <mergeCell ref="KI16:KJ16"/>
    <mergeCell ref="KK16:KL16"/>
    <mergeCell ref="KM16:KN16"/>
    <mergeCell ref="KO16:KP16"/>
    <mergeCell ref="KQ16:KR16"/>
    <mergeCell ref="KS16:KT16"/>
    <mergeCell ref="KU16:KV16"/>
    <mergeCell ref="KW16:KX16"/>
    <mergeCell ref="KY16:KZ16"/>
    <mergeCell ref="LA16:LB16"/>
    <mergeCell ref="LC16:LD16"/>
    <mergeCell ref="LE16:LF16"/>
    <mergeCell ref="LG16:LH16"/>
    <mergeCell ref="LI16:LJ16"/>
    <mergeCell ref="LK16:LL16"/>
    <mergeCell ref="ZY15:ZZ15"/>
    <mergeCell ref="AAA15:AAB15"/>
    <mergeCell ref="AAC15:AAD15"/>
    <mergeCell ref="AAE15:AAF15"/>
    <mergeCell ref="AAG15:AAH15"/>
    <mergeCell ref="AAI15:AAJ15"/>
    <mergeCell ref="AAK15:AAL15"/>
    <mergeCell ref="AAM15:AAN15"/>
    <mergeCell ref="AAO15:AAP15"/>
    <mergeCell ref="AAQ15:AAR15"/>
    <mergeCell ref="AAS15:AAT15"/>
    <mergeCell ref="AAU15:AAV15"/>
    <mergeCell ref="AAW15:AAX15"/>
    <mergeCell ref="AAY15:AAZ15"/>
    <mergeCell ref="ABA15:ABB15"/>
    <mergeCell ref="ABC15:ABD15"/>
    <mergeCell ref="IY16:IZ16"/>
    <mergeCell ref="JA16:JB16"/>
    <mergeCell ref="JC16:JD16"/>
    <mergeCell ref="JE16:JF16"/>
    <mergeCell ref="JG16:JH16"/>
    <mergeCell ref="JI16:JJ16"/>
    <mergeCell ref="JK16:JL16"/>
    <mergeCell ref="JM16:JN16"/>
    <mergeCell ref="JO16:JP16"/>
    <mergeCell ref="JQ16:JR16"/>
    <mergeCell ref="JS16:JT16"/>
    <mergeCell ref="JU16:JV16"/>
    <mergeCell ref="JW16:JX16"/>
    <mergeCell ref="JY16:JZ16"/>
    <mergeCell ref="KA16:KB16"/>
    <mergeCell ref="KC16:KD16"/>
    <mergeCell ref="YQ15:YR15"/>
    <mergeCell ref="YS15:YT15"/>
    <mergeCell ref="YU15:YV15"/>
    <mergeCell ref="YW15:YX15"/>
    <mergeCell ref="YY15:YZ15"/>
    <mergeCell ref="ZA15:ZB15"/>
    <mergeCell ref="ZC15:ZD15"/>
    <mergeCell ref="ZE15:ZF15"/>
    <mergeCell ref="ZG15:ZH15"/>
    <mergeCell ref="ZI15:ZJ15"/>
    <mergeCell ref="ZK15:ZL15"/>
    <mergeCell ref="ZM15:ZN15"/>
    <mergeCell ref="ZO15:ZP15"/>
    <mergeCell ref="ZQ15:ZR15"/>
    <mergeCell ref="ZS15:ZT15"/>
    <mergeCell ref="ZU15:ZV15"/>
    <mergeCell ref="ZW15:ZX15"/>
    <mergeCell ref="XI15:XJ15"/>
    <mergeCell ref="XK15:XL15"/>
    <mergeCell ref="XM15:XN15"/>
    <mergeCell ref="XO15:XP15"/>
    <mergeCell ref="XQ15:XR15"/>
    <mergeCell ref="XS15:XT15"/>
    <mergeCell ref="XU15:XV15"/>
    <mergeCell ref="XW15:XX15"/>
    <mergeCell ref="XY15:XZ15"/>
    <mergeCell ref="YA15:YB15"/>
    <mergeCell ref="YC15:YD15"/>
    <mergeCell ref="YE15:YF15"/>
    <mergeCell ref="YG15:YH15"/>
    <mergeCell ref="YI15:YJ15"/>
    <mergeCell ref="YK15:YL15"/>
    <mergeCell ref="YM15:YN15"/>
    <mergeCell ref="YO15:YP15"/>
    <mergeCell ref="WA15:WB15"/>
    <mergeCell ref="WC15:WD15"/>
    <mergeCell ref="WE15:WF15"/>
    <mergeCell ref="WG15:WH15"/>
    <mergeCell ref="WI15:WJ15"/>
    <mergeCell ref="WK15:WL15"/>
    <mergeCell ref="WM15:WN15"/>
    <mergeCell ref="WO15:WP15"/>
    <mergeCell ref="WQ15:WR15"/>
    <mergeCell ref="WS15:WT15"/>
    <mergeCell ref="WU15:WV15"/>
    <mergeCell ref="WW15:WX15"/>
    <mergeCell ref="WY15:WZ15"/>
    <mergeCell ref="XA15:XB15"/>
    <mergeCell ref="XC15:XD15"/>
    <mergeCell ref="XE15:XF15"/>
    <mergeCell ref="XG15:XH15"/>
    <mergeCell ref="US15:UT15"/>
    <mergeCell ref="UU15:UV15"/>
    <mergeCell ref="UW15:UX15"/>
    <mergeCell ref="UY15:UZ15"/>
    <mergeCell ref="VA15:VB15"/>
    <mergeCell ref="VC15:VD15"/>
    <mergeCell ref="VE15:VF15"/>
    <mergeCell ref="VG15:VH15"/>
    <mergeCell ref="VI15:VJ15"/>
    <mergeCell ref="VK15:VL15"/>
    <mergeCell ref="VM15:VN15"/>
    <mergeCell ref="VO15:VP15"/>
    <mergeCell ref="VQ15:VR15"/>
    <mergeCell ref="VS15:VT15"/>
    <mergeCell ref="VU15:VV15"/>
    <mergeCell ref="VW15:VX15"/>
    <mergeCell ref="VY15:VZ15"/>
    <mergeCell ref="TK15:TL15"/>
    <mergeCell ref="TM15:TN15"/>
    <mergeCell ref="TO15:TP15"/>
    <mergeCell ref="TQ15:TR15"/>
    <mergeCell ref="TS15:TT15"/>
    <mergeCell ref="TU15:TV15"/>
    <mergeCell ref="TW15:TX15"/>
    <mergeCell ref="TY15:TZ15"/>
    <mergeCell ref="UA15:UB15"/>
    <mergeCell ref="UC15:UD15"/>
    <mergeCell ref="UE15:UF15"/>
    <mergeCell ref="UG15:UH15"/>
    <mergeCell ref="UI15:UJ15"/>
    <mergeCell ref="UK15:UL15"/>
    <mergeCell ref="UM15:UN15"/>
    <mergeCell ref="UO15:UP15"/>
    <mergeCell ref="UQ15:UR15"/>
    <mergeCell ref="SC15:SD15"/>
    <mergeCell ref="SE15:SF15"/>
    <mergeCell ref="SG15:SH15"/>
    <mergeCell ref="SI15:SJ15"/>
    <mergeCell ref="SK15:SL15"/>
    <mergeCell ref="SM15:SN15"/>
    <mergeCell ref="SO15:SP15"/>
    <mergeCell ref="SQ15:SR15"/>
    <mergeCell ref="SS15:ST15"/>
    <mergeCell ref="SU15:SV15"/>
    <mergeCell ref="SW15:SX15"/>
    <mergeCell ref="SY15:SZ15"/>
    <mergeCell ref="TA15:TB15"/>
    <mergeCell ref="TC15:TD15"/>
    <mergeCell ref="TE15:TF15"/>
    <mergeCell ref="TG15:TH15"/>
    <mergeCell ref="TI15:TJ15"/>
    <mergeCell ref="QU15:QV15"/>
    <mergeCell ref="QW15:QX15"/>
    <mergeCell ref="QY15:QZ15"/>
    <mergeCell ref="RA15:RB15"/>
    <mergeCell ref="RC15:RD15"/>
    <mergeCell ref="RE15:RF15"/>
    <mergeCell ref="RG15:RH15"/>
    <mergeCell ref="RI15:RJ15"/>
    <mergeCell ref="RK15:RL15"/>
    <mergeCell ref="RM15:RN15"/>
    <mergeCell ref="RO15:RP15"/>
    <mergeCell ref="RQ15:RR15"/>
    <mergeCell ref="RS15:RT15"/>
    <mergeCell ref="RU15:RV15"/>
    <mergeCell ref="RW15:RX15"/>
    <mergeCell ref="RY15:RZ15"/>
    <mergeCell ref="SA15:SB15"/>
    <mergeCell ref="PM15:PN15"/>
    <mergeCell ref="PO15:PP15"/>
    <mergeCell ref="PQ15:PR15"/>
    <mergeCell ref="PS15:PT15"/>
    <mergeCell ref="PU15:PV15"/>
    <mergeCell ref="PW15:PX15"/>
    <mergeCell ref="PY15:PZ15"/>
    <mergeCell ref="QA15:QB15"/>
    <mergeCell ref="QC15:QD15"/>
    <mergeCell ref="QE15:QF15"/>
    <mergeCell ref="QG15:QH15"/>
    <mergeCell ref="QI15:QJ15"/>
    <mergeCell ref="QK15:QL15"/>
    <mergeCell ref="QM15:QN15"/>
    <mergeCell ref="QO15:QP15"/>
    <mergeCell ref="QQ15:QR15"/>
    <mergeCell ref="QS15:QT15"/>
    <mergeCell ref="OE15:OF15"/>
    <mergeCell ref="OG15:OH15"/>
    <mergeCell ref="OI15:OJ15"/>
    <mergeCell ref="OK15:OL15"/>
    <mergeCell ref="OM15:ON15"/>
    <mergeCell ref="OO15:OP15"/>
    <mergeCell ref="OQ15:OR15"/>
    <mergeCell ref="OS15:OT15"/>
    <mergeCell ref="OU15:OV15"/>
    <mergeCell ref="OW15:OX15"/>
    <mergeCell ref="OY15:OZ15"/>
    <mergeCell ref="PA15:PB15"/>
    <mergeCell ref="PC15:PD15"/>
    <mergeCell ref="PE15:PF15"/>
    <mergeCell ref="PG15:PH15"/>
    <mergeCell ref="PI15:PJ15"/>
    <mergeCell ref="PK15:PL15"/>
    <mergeCell ref="MW15:MX15"/>
    <mergeCell ref="MY15:MZ15"/>
    <mergeCell ref="NA15:NB15"/>
    <mergeCell ref="NC15:ND15"/>
    <mergeCell ref="NE15:NF15"/>
    <mergeCell ref="NG15:NH15"/>
    <mergeCell ref="NI15:NJ15"/>
    <mergeCell ref="NK15:NL15"/>
    <mergeCell ref="NM15:NN15"/>
    <mergeCell ref="NO15:NP15"/>
    <mergeCell ref="NQ15:NR15"/>
    <mergeCell ref="NS15:NT15"/>
    <mergeCell ref="NU15:NV15"/>
    <mergeCell ref="NW15:NX15"/>
    <mergeCell ref="NY15:NZ15"/>
    <mergeCell ref="OA15:OB15"/>
    <mergeCell ref="OC15:OD15"/>
    <mergeCell ref="LO15:LP15"/>
    <mergeCell ref="LQ15:LR15"/>
    <mergeCell ref="LS15:LT15"/>
    <mergeCell ref="LU15:LV15"/>
    <mergeCell ref="LW15:LX15"/>
    <mergeCell ref="LY15:LZ15"/>
    <mergeCell ref="MA15:MB15"/>
    <mergeCell ref="MC15:MD15"/>
    <mergeCell ref="ME15:MF15"/>
    <mergeCell ref="MG15:MH15"/>
    <mergeCell ref="MI15:MJ15"/>
    <mergeCell ref="MK15:ML15"/>
    <mergeCell ref="MM15:MN15"/>
    <mergeCell ref="MO15:MP15"/>
    <mergeCell ref="MQ15:MR15"/>
    <mergeCell ref="MS15:MT15"/>
    <mergeCell ref="MU15:MV15"/>
    <mergeCell ref="KG15:KH15"/>
    <mergeCell ref="KI15:KJ15"/>
    <mergeCell ref="KK15:KL15"/>
    <mergeCell ref="KM15:KN15"/>
    <mergeCell ref="KO15:KP15"/>
    <mergeCell ref="KQ15:KR15"/>
    <mergeCell ref="KS15:KT15"/>
    <mergeCell ref="KU15:KV15"/>
    <mergeCell ref="KW15:KX15"/>
    <mergeCell ref="KY15:KZ15"/>
    <mergeCell ref="LA15:LB15"/>
    <mergeCell ref="LC15:LD15"/>
    <mergeCell ref="LE15:LF15"/>
    <mergeCell ref="LG15:LH15"/>
    <mergeCell ref="LI15:LJ15"/>
    <mergeCell ref="LK15:LL15"/>
    <mergeCell ref="LM15:LN15"/>
    <mergeCell ref="AAA14:AAB14"/>
    <mergeCell ref="AAC14:AAD14"/>
    <mergeCell ref="AAE14:AAF14"/>
    <mergeCell ref="AAG14:AAH14"/>
    <mergeCell ref="AAI14:AAJ14"/>
    <mergeCell ref="AAK14:AAL14"/>
    <mergeCell ref="AAM14:AAN14"/>
    <mergeCell ref="AAO14:AAP14"/>
    <mergeCell ref="AAQ14:AAR14"/>
    <mergeCell ref="AAS14:AAT14"/>
    <mergeCell ref="AAU14:AAV14"/>
    <mergeCell ref="AAW14:AAX14"/>
    <mergeCell ref="AAY14:AAZ14"/>
    <mergeCell ref="ABA14:ABB14"/>
    <mergeCell ref="ABC14:ABD14"/>
    <mergeCell ref="IY15:IZ15"/>
    <mergeCell ref="JA15:JB15"/>
    <mergeCell ref="JC15:JD15"/>
    <mergeCell ref="JE15:JF15"/>
    <mergeCell ref="JG15:JH15"/>
    <mergeCell ref="JI15:JJ15"/>
    <mergeCell ref="JK15:JL15"/>
    <mergeCell ref="JM15:JN15"/>
    <mergeCell ref="JO15:JP15"/>
    <mergeCell ref="JQ15:JR15"/>
    <mergeCell ref="JS15:JT15"/>
    <mergeCell ref="JU15:JV15"/>
    <mergeCell ref="JW15:JX15"/>
    <mergeCell ref="JY15:JZ15"/>
    <mergeCell ref="KA15:KB15"/>
    <mergeCell ref="KC15:KD15"/>
    <mergeCell ref="KE15:KF15"/>
    <mergeCell ref="YS14:YT14"/>
    <mergeCell ref="YU14:YV14"/>
    <mergeCell ref="YW14:YX14"/>
    <mergeCell ref="YY14:YZ14"/>
    <mergeCell ref="ZA14:ZB14"/>
    <mergeCell ref="ZC14:ZD14"/>
    <mergeCell ref="ZE14:ZF14"/>
    <mergeCell ref="ZG14:ZH14"/>
    <mergeCell ref="ZI14:ZJ14"/>
    <mergeCell ref="ZK14:ZL14"/>
    <mergeCell ref="ZM14:ZN14"/>
    <mergeCell ref="ZO14:ZP14"/>
    <mergeCell ref="ZQ14:ZR14"/>
    <mergeCell ref="ZS14:ZT14"/>
    <mergeCell ref="ZU14:ZV14"/>
    <mergeCell ref="ZW14:ZX14"/>
    <mergeCell ref="ZY14:ZZ14"/>
    <mergeCell ref="XK14:XL14"/>
    <mergeCell ref="XM14:XN14"/>
    <mergeCell ref="XO14:XP14"/>
    <mergeCell ref="XQ14:XR14"/>
    <mergeCell ref="XS14:XT14"/>
    <mergeCell ref="XU14:XV14"/>
    <mergeCell ref="XW14:XX14"/>
    <mergeCell ref="XY14:XZ14"/>
    <mergeCell ref="YA14:YB14"/>
    <mergeCell ref="YC14:YD14"/>
    <mergeCell ref="YE14:YF14"/>
    <mergeCell ref="YG14:YH14"/>
    <mergeCell ref="YI14:YJ14"/>
    <mergeCell ref="YK14:YL14"/>
    <mergeCell ref="YM14:YN14"/>
    <mergeCell ref="YO14:YP14"/>
    <mergeCell ref="YQ14:YR14"/>
    <mergeCell ref="WC14:WD14"/>
    <mergeCell ref="WE14:WF14"/>
    <mergeCell ref="WG14:WH14"/>
    <mergeCell ref="WI14:WJ14"/>
    <mergeCell ref="WK14:WL14"/>
    <mergeCell ref="WM14:WN14"/>
    <mergeCell ref="WO14:WP14"/>
    <mergeCell ref="WQ14:WR14"/>
    <mergeCell ref="WS14:WT14"/>
    <mergeCell ref="WU14:WV14"/>
    <mergeCell ref="WW14:WX14"/>
    <mergeCell ref="WY14:WZ14"/>
    <mergeCell ref="XA14:XB14"/>
    <mergeCell ref="XC14:XD14"/>
    <mergeCell ref="XE14:XF14"/>
    <mergeCell ref="XG14:XH14"/>
    <mergeCell ref="XI14:XJ14"/>
    <mergeCell ref="UU14:UV14"/>
    <mergeCell ref="UW14:UX14"/>
    <mergeCell ref="UY14:UZ14"/>
    <mergeCell ref="VA14:VB14"/>
    <mergeCell ref="VC14:VD14"/>
    <mergeCell ref="VE14:VF14"/>
    <mergeCell ref="VG14:VH14"/>
    <mergeCell ref="VI14:VJ14"/>
    <mergeCell ref="VK14:VL14"/>
    <mergeCell ref="VM14:VN14"/>
    <mergeCell ref="VO14:VP14"/>
    <mergeCell ref="VQ14:VR14"/>
    <mergeCell ref="VS14:VT14"/>
    <mergeCell ref="VU14:VV14"/>
    <mergeCell ref="VW14:VX14"/>
    <mergeCell ref="VY14:VZ14"/>
    <mergeCell ref="WA14:WB14"/>
    <mergeCell ref="TM14:TN14"/>
    <mergeCell ref="TO14:TP14"/>
    <mergeCell ref="TQ14:TR14"/>
    <mergeCell ref="TS14:TT14"/>
    <mergeCell ref="TU14:TV14"/>
    <mergeCell ref="TW14:TX14"/>
    <mergeCell ref="TY14:TZ14"/>
    <mergeCell ref="UA14:UB14"/>
    <mergeCell ref="UC14:UD14"/>
    <mergeCell ref="UE14:UF14"/>
    <mergeCell ref="UG14:UH14"/>
    <mergeCell ref="UI14:UJ14"/>
    <mergeCell ref="UK14:UL14"/>
    <mergeCell ref="UM14:UN14"/>
    <mergeCell ref="UO14:UP14"/>
    <mergeCell ref="UQ14:UR14"/>
    <mergeCell ref="US14:UT14"/>
    <mergeCell ref="SE14:SF14"/>
    <mergeCell ref="SG14:SH14"/>
    <mergeCell ref="SI14:SJ14"/>
    <mergeCell ref="SK14:SL14"/>
    <mergeCell ref="SM14:SN14"/>
    <mergeCell ref="SO14:SP14"/>
    <mergeCell ref="SQ14:SR14"/>
    <mergeCell ref="SS14:ST14"/>
    <mergeCell ref="SU14:SV14"/>
    <mergeCell ref="SW14:SX14"/>
    <mergeCell ref="SY14:SZ14"/>
    <mergeCell ref="TA14:TB14"/>
    <mergeCell ref="TC14:TD14"/>
    <mergeCell ref="TE14:TF14"/>
    <mergeCell ref="TG14:TH14"/>
    <mergeCell ref="TI14:TJ14"/>
    <mergeCell ref="TK14:TL14"/>
    <mergeCell ref="QW14:QX14"/>
    <mergeCell ref="QY14:QZ14"/>
    <mergeCell ref="RA14:RB14"/>
    <mergeCell ref="RC14:RD14"/>
    <mergeCell ref="RE14:RF14"/>
    <mergeCell ref="RG14:RH14"/>
    <mergeCell ref="RI14:RJ14"/>
    <mergeCell ref="RK14:RL14"/>
    <mergeCell ref="RM14:RN14"/>
    <mergeCell ref="RO14:RP14"/>
    <mergeCell ref="RQ14:RR14"/>
    <mergeCell ref="RS14:RT14"/>
    <mergeCell ref="RU14:RV14"/>
    <mergeCell ref="RW14:RX14"/>
    <mergeCell ref="RY14:RZ14"/>
    <mergeCell ref="SA14:SB14"/>
    <mergeCell ref="SC14:SD14"/>
    <mergeCell ref="PO14:PP14"/>
    <mergeCell ref="PQ14:PR14"/>
    <mergeCell ref="PS14:PT14"/>
    <mergeCell ref="PU14:PV14"/>
    <mergeCell ref="PW14:PX14"/>
    <mergeCell ref="PY14:PZ14"/>
    <mergeCell ref="QA14:QB14"/>
    <mergeCell ref="QC14:QD14"/>
    <mergeCell ref="QE14:QF14"/>
    <mergeCell ref="QG14:QH14"/>
    <mergeCell ref="QI14:QJ14"/>
    <mergeCell ref="QK14:QL14"/>
    <mergeCell ref="QM14:QN14"/>
    <mergeCell ref="QO14:QP14"/>
    <mergeCell ref="QQ14:QR14"/>
    <mergeCell ref="QS14:QT14"/>
    <mergeCell ref="QU14:QV14"/>
    <mergeCell ref="OG14:OH14"/>
    <mergeCell ref="OI14:OJ14"/>
    <mergeCell ref="OK14:OL14"/>
    <mergeCell ref="OM14:ON14"/>
    <mergeCell ref="OO14:OP14"/>
    <mergeCell ref="OQ14:OR14"/>
    <mergeCell ref="OS14:OT14"/>
    <mergeCell ref="OU14:OV14"/>
    <mergeCell ref="OW14:OX14"/>
    <mergeCell ref="OY14:OZ14"/>
    <mergeCell ref="PA14:PB14"/>
    <mergeCell ref="PC14:PD14"/>
    <mergeCell ref="PE14:PF14"/>
    <mergeCell ref="PG14:PH14"/>
    <mergeCell ref="PI14:PJ14"/>
    <mergeCell ref="PK14:PL14"/>
    <mergeCell ref="PM14:PN14"/>
    <mergeCell ref="MY14:MZ14"/>
    <mergeCell ref="NA14:NB14"/>
    <mergeCell ref="NC14:ND14"/>
    <mergeCell ref="NE14:NF14"/>
    <mergeCell ref="NG14:NH14"/>
    <mergeCell ref="NI14:NJ14"/>
    <mergeCell ref="NK14:NL14"/>
    <mergeCell ref="NM14:NN14"/>
    <mergeCell ref="NO14:NP14"/>
    <mergeCell ref="NQ14:NR14"/>
    <mergeCell ref="NS14:NT14"/>
    <mergeCell ref="NU14:NV14"/>
    <mergeCell ref="NW14:NX14"/>
    <mergeCell ref="NY14:NZ14"/>
    <mergeCell ref="OA14:OB14"/>
    <mergeCell ref="OC14:OD14"/>
    <mergeCell ref="OE14:OF14"/>
    <mergeCell ref="LQ14:LR14"/>
    <mergeCell ref="LS14:LT14"/>
    <mergeCell ref="LU14:LV14"/>
    <mergeCell ref="LW14:LX14"/>
    <mergeCell ref="LY14:LZ14"/>
    <mergeCell ref="MA14:MB14"/>
    <mergeCell ref="MC14:MD14"/>
    <mergeCell ref="ME14:MF14"/>
    <mergeCell ref="MG14:MH14"/>
    <mergeCell ref="MI14:MJ14"/>
    <mergeCell ref="MK14:ML14"/>
    <mergeCell ref="MM14:MN14"/>
    <mergeCell ref="MO14:MP14"/>
    <mergeCell ref="MQ14:MR14"/>
    <mergeCell ref="MS14:MT14"/>
    <mergeCell ref="MU14:MV14"/>
    <mergeCell ref="MW14:MX14"/>
    <mergeCell ref="KI14:KJ14"/>
    <mergeCell ref="KK14:KL14"/>
    <mergeCell ref="KM14:KN14"/>
    <mergeCell ref="KO14:KP14"/>
    <mergeCell ref="KQ14:KR14"/>
    <mergeCell ref="KS14:KT14"/>
    <mergeCell ref="KU14:KV14"/>
    <mergeCell ref="KW14:KX14"/>
    <mergeCell ref="KY14:KZ14"/>
    <mergeCell ref="LA14:LB14"/>
    <mergeCell ref="LC14:LD14"/>
    <mergeCell ref="LE14:LF14"/>
    <mergeCell ref="LG14:LH14"/>
    <mergeCell ref="LI14:LJ14"/>
    <mergeCell ref="LK14:LL14"/>
    <mergeCell ref="LM14:LN14"/>
    <mergeCell ref="LO14:LP14"/>
    <mergeCell ref="AAC13:AAD13"/>
    <mergeCell ref="AAE13:AAF13"/>
    <mergeCell ref="AAG13:AAH13"/>
    <mergeCell ref="AAI13:AAJ13"/>
    <mergeCell ref="AAK13:AAL13"/>
    <mergeCell ref="AAM13:AAN13"/>
    <mergeCell ref="AAO13:AAP13"/>
    <mergeCell ref="AAQ13:AAR13"/>
    <mergeCell ref="AAS13:AAT13"/>
    <mergeCell ref="AAU13:AAV13"/>
    <mergeCell ref="AAW13:AAX13"/>
    <mergeCell ref="AAY13:AAZ13"/>
    <mergeCell ref="ABA13:ABB13"/>
    <mergeCell ref="ABC13:ABD13"/>
    <mergeCell ref="IY14:IZ14"/>
    <mergeCell ref="JA14:JB14"/>
    <mergeCell ref="JC14:JD14"/>
    <mergeCell ref="JE14:JF14"/>
    <mergeCell ref="JG14:JH14"/>
    <mergeCell ref="JI14:JJ14"/>
    <mergeCell ref="JK14:JL14"/>
    <mergeCell ref="JM14:JN14"/>
    <mergeCell ref="JO14:JP14"/>
    <mergeCell ref="JQ14:JR14"/>
    <mergeCell ref="JS14:JT14"/>
    <mergeCell ref="JU14:JV14"/>
    <mergeCell ref="JW14:JX14"/>
    <mergeCell ref="JY14:JZ14"/>
    <mergeCell ref="KA14:KB14"/>
    <mergeCell ref="KC14:KD14"/>
    <mergeCell ref="KE14:KF14"/>
    <mergeCell ref="KG14:KH14"/>
    <mergeCell ref="YU13:YV13"/>
    <mergeCell ref="YW13:YX13"/>
    <mergeCell ref="YY13:YZ13"/>
    <mergeCell ref="ZA13:ZB13"/>
    <mergeCell ref="ZC13:ZD13"/>
    <mergeCell ref="ZE13:ZF13"/>
    <mergeCell ref="ZG13:ZH13"/>
    <mergeCell ref="ZI13:ZJ13"/>
    <mergeCell ref="ZK13:ZL13"/>
    <mergeCell ref="ZM13:ZN13"/>
    <mergeCell ref="ZO13:ZP13"/>
    <mergeCell ref="ZQ13:ZR13"/>
    <mergeCell ref="ZS13:ZT13"/>
    <mergeCell ref="ZU13:ZV13"/>
    <mergeCell ref="ZW13:ZX13"/>
    <mergeCell ref="ZY13:ZZ13"/>
    <mergeCell ref="AAA13:AAB13"/>
    <mergeCell ref="XM13:XN13"/>
    <mergeCell ref="XO13:XP13"/>
    <mergeCell ref="XQ13:XR13"/>
    <mergeCell ref="XS13:XT13"/>
    <mergeCell ref="XU13:XV13"/>
    <mergeCell ref="XW13:XX13"/>
    <mergeCell ref="XY13:XZ13"/>
    <mergeCell ref="YA13:YB13"/>
    <mergeCell ref="YC13:YD13"/>
    <mergeCell ref="YE13:YF13"/>
    <mergeCell ref="YG13:YH13"/>
    <mergeCell ref="YI13:YJ13"/>
    <mergeCell ref="YK13:YL13"/>
    <mergeCell ref="YM13:YN13"/>
    <mergeCell ref="YO13:YP13"/>
    <mergeCell ref="YQ13:YR13"/>
    <mergeCell ref="YS13:YT13"/>
    <mergeCell ref="WE13:WF13"/>
    <mergeCell ref="WG13:WH13"/>
    <mergeCell ref="WI13:WJ13"/>
    <mergeCell ref="WK13:WL13"/>
    <mergeCell ref="WM13:WN13"/>
    <mergeCell ref="WO13:WP13"/>
    <mergeCell ref="WQ13:WR13"/>
    <mergeCell ref="WS13:WT13"/>
    <mergeCell ref="WU13:WV13"/>
    <mergeCell ref="WW13:WX13"/>
    <mergeCell ref="WY13:WZ13"/>
    <mergeCell ref="XA13:XB13"/>
    <mergeCell ref="XC13:XD13"/>
    <mergeCell ref="XE13:XF13"/>
    <mergeCell ref="XG13:XH13"/>
    <mergeCell ref="XI13:XJ13"/>
    <mergeCell ref="XK13:XL13"/>
    <mergeCell ref="UW13:UX13"/>
    <mergeCell ref="UY13:UZ13"/>
    <mergeCell ref="VA13:VB13"/>
    <mergeCell ref="VC13:VD13"/>
    <mergeCell ref="VE13:VF13"/>
    <mergeCell ref="VG13:VH13"/>
    <mergeCell ref="VI13:VJ13"/>
    <mergeCell ref="VK13:VL13"/>
    <mergeCell ref="VM13:VN13"/>
    <mergeCell ref="VO13:VP13"/>
    <mergeCell ref="VQ13:VR13"/>
    <mergeCell ref="VS13:VT13"/>
    <mergeCell ref="VU13:VV13"/>
    <mergeCell ref="VW13:VX13"/>
    <mergeCell ref="VY13:VZ13"/>
    <mergeCell ref="WA13:WB13"/>
    <mergeCell ref="WC13:WD13"/>
    <mergeCell ref="TO13:TP13"/>
    <mergeCell ref="TQ13:TR13"/>
    <mergeCell ref="TS13:TT13"/>
    <mergeCell ref="TU13:TV13"/>
    <mergeCell ref="TW13:TX13"/>
    <mergeCell ref="TY13:TZ13"/>
    <mergeCell ref="UA13:UB13"/>
    <mergeCell ref="UC13:UD13"/>
    <mergeCell ref="UE13:UF13"/>
    <mergeCell ref="UG13:UH13"/>
    <mergeCell ref="UI13:UJ13"/>
    <mergeCell ref="UK13:UL13"/>
    <mergeCell ref="UM13:UN13"/>
    <mergeCell ref="UO13:UP13"/>
    <mergeCell ref="UQ13:UR13"/>
    <mergeCell ref="US13:UT13"/>
    <mergeCell ref="UU13:UV13"/>
    <mergeCell ref="SG13:SH13"/>
    <mergeCell ref="SI13:SJ13"/>
    <mergeCell ref="SK13:SL13"/>
    <mergeCell ref="SM13:SN13"/>
    <mergeCell ref="SO13:SP13"/>
    <mergeCell ref="SQ13:SR13"/>
    <mergeCell ref="SS13:ST13"/>
    <mergeCell ref="SU13:SV13"/>
    <mergeCell ref="SW13:SX13"/>
    <mergeCell ref="SY13:SZ13"/>
    <mergeCell ref="TA13:TB13"/>
    <mergeCell ref="TC13:TD13"/>
    <mergeCell ref="TE13:TF13"/>
    <mergeCell ref="TG13:TH13"/>
    <mergeCell ref="TI13:TJ13"/>
    <mergeCell ref="TK13:TL13"/>
    <mergeCell ref="TM13:TN13"/>
    <mergeCell ref="QY13:QZ13"/>
    <mergeCell ref="RA13:RB13"/>
    <mergeCell ref="RC13:RD13"/>
    <mergeCell ref="RE13:RF13"/>
    <mergeCell ref="RG13:RH13"/>
    <mergeCell ref="RI13:RJ13"/>
    <mergeCell ref="RK13:RL13"/>
    <mergeCell ref="RM13:RN13"/>
    <mergeCell ref="RO13:RP13"/>
    <mergeCell ref="RQ13:RR13"/>
    <mergeCell ref="RS13:RT13"/>
    <mergeCell ref="RU13:RV13"/>
    <mergeCell ref="RW13:RX13"/>
    <mergeCell ref="RY13:RZ13"/>
    <mergeCell ref="SA13:SB13"/>
    <mergeCell ref="SC13:SD13"/>
    <mergeCell ref="SE13:SF13"/>
    <mergeCell ref="PQ13:PR13"/>
    <mergeCell ref="PS13:PT13"/>
    <mergeCell ref="PU13:PV13"/>
    <mergeCell ref="PW13:PX13"/>
    <mergeCell ref="PY13:PZ13"/>
    <mergeCell ref="QA13:QB13"/>
    <mergeCell ref="QC13:QD13"/>
    <mergeCell ref="QE13:QF13"/>
    <mergeCell ref="QG13:QH13"/>
    <mergeCell ref="QI13:QJ13"/>
    <mergeCell ref="QK13:QL13"/>
    <mergeCell ref="QM13:QN13"/>
    <mergeCell ref="QO13:QP13"/>
    <mergeCell ref="QQ13:QR13"/>
    <mergeCell ref="QS13:QT13"/>
    <mergeCell ref="QU13:QV13"/>
    <mergeCell ref="QW13:QX13"/>
    <mergeCell ref="OI13:OJ13"/>
    <mergeCell ref="OK13:OL13"/>
    <mergeCell ref="OM13:ON13"/>
    <mergeCell ref="OO13:OP13"/>
    <mergeCell ref="OQ13:OR13"/>
    <mergeCell ref="OS13:OT13"/>
    <mergeCell ref="OU13:OV13"/>
    <mergeCell ref="OW13:OX13"/>
    <mergeCell ref="OY13:OZ13"/>
    <mergeCell ref="PA13:PB13"/>
    <mergeCell ref="PC13:PD13"/>
    <mergeCell ref="PE13:PF13"/>
    <mergeCell ref="PG13:PH13"/>
    <mergeCell ref="PI13:PJ13"/>
    <mergeCell ref="PK13:PL13"/>
    <mergeCell ref="PM13:PN13"/>
    <mergeCell ref="PO13:PP13"/>
    <mergeCell ref="NA13:NB13"/>
    <mergeCell ref="NC13:ND13"/>
    <mergeCell ref="NE13:NF13"/>
    <mergeCell ref="NG13:NH13"/>
    <mergeCell ref="NI13:NJ13"/>
    <mergeCell ref="NK13:NL13"/>
    <mergeCell ref="NM13:NN13"/>
    <mergeCell ref="NO13:NP13"/>
    <mergeCell ref="NQ13:NR13"/>
    <mergeCell ref="NS13:NT13"/>
    <mergeCell ref="NU13:NV13"/>
    <mergeCell ref="NW13:NX13"/>
    <mergeCell ref="NY13:NZ13"/>
    <mergeCell ref="OA13:OB13"/>
    <mergeCell ref="OC13:OD13"/>
    <mergeCell ref="OE13:OF13"/>
    <mergeCell ref="OG13:OH13"/>
    <mergeCell ref="LS13:LT13"/>
    <mergeCell ref="LU13:LV13"/>
    <mergeCell ref="LW13:LX13"/>
    <mergeCell ref="LY13:LZ13"/>
    <mergeCell ref="MA13:MB13"/>
    <mergeCell ref="MC13:MD13"/>
    <mergeCell ref="ME13:MF13"/>
    <mergeCell ref="MG13:MH13"/>
    <mergeCell ref="MI13:MJ13"/>
    <mergeCell ref="MK13:ML13"/>
    <mergeCell ref="MM13:MN13"/>
    <mergeCell ref="MO13:MP13"/>
    <mergeCell ref="MQ13:MR13"/>
    <mergeCell ref="MS13:MT13"/>
    <mergeCell ref="MU13:MV13"/>
    <mergeCell ref="MW13:MX13"/>
    <mergeCell ref="MY13:MZ13"/>
    <mergeCell ref="KK13:KL13"/>
    <mergeCell ref="KM13:KN13"/>
    <mergeCell ref="KO13:KP13"/>
    <mergeCell ref="KQ13:KR13"/>
    <mergeCell ref="KS13:KT13"/>
    <mergeCell ref="KU13:KV13"/>
    <mergeCell ref="KW13:KX13"/>
    <mergeCell ref="KY13:KZ13"/>
    <mergeCell ref="LA13:LB13"/>
    <mergeCell ref="LC13:LD13"/>
    <mergeCell ref="LE13:LF13"/>
    <mergeCell ref="LG13:LH13"/>
    <mergeCell ref="LI13:LJ13"/>
    <mergeCell ref="LK13:LL13"/>
    <mergeCell ref="LM13:LN13"/>
    <mergeCell ref="LO13:LP13"/>
    <mergeCell ref="LQ13:LR13"/>
    <mergeCell ref="AAE12:AAF12"/>
    <mergeCell ref="AAG12:AAH12"/>
    <mergeCell ref="AAI12:AAJ12"/>
    <mergeCell ref="AAK12:AAL12"/>
    <mergeCell ref="AAM12:AAN12"/>
    <mergeCell ref="AAO12:AAP12"/>
    <mergeCell ref="AAQ12:AAR12"/>
    <mergeCell ref="AAS12:AAT12"/>
    <mergeCell ref="AAU12:AAV12"/>
    <mergeCell ref="AAW12:AAX12"/>
    <mergeCell ref="AAY12:AAZ12"/>
    <mergeCell ref="ABA12:ABB12"/>
    <mergeCell ref="ABC12:ABD12"/>
    <mergeCell ref="IY13:IZ13"/>
    <mergeCell ref="JA13:JB13"/>
    <mergeCell ref="JC13:JD13"/>
    <mergeCell ref="JE13:JF13"/>
    <mergeCell ref="JG13:JH13"/>
    <mergeCell ref="JI13:JJ13"/>
    <mergeCell ref="JK13:JL13"/>
    <mergeCell ref="JM13:JN13"/>
    <mergeCell ref="JO13:JP13"/>
    <mergeCell ref="JQ13:JR13"/>
    <mergeCell ref="JS13:JT13"/>
    <mergeCell ref="JU13:JV13"/>
    <mergeCell ref="JW13:JX13"/>
    <mergeCell ref="JY13:JZ13"/>
    <mergeCell ref="KA13:KB13"/>
    <mergeCell ref="KC13:KD13"/>
    <mergeCell ref="KE13:KF13"/>
    <mergeCell ref="KG13:KH13"/>
    <mergeCell ref="KI13:KJ13"/>
    <mergeCell ref="YW12:YX12"/>
    <mergeCell ref="YY12:YZ12"/>
    <mergeCell ref="ZA12:ZB12"/>
    <mergeCell ref="ZC12:ZD12"/>
    <mergeCell ref="ZE12:ZF12"/>
    <mergeCell ref="ZG12:ZH12"/>
    <mergeCell ref="ZI12:ZJ12"/>
    <mergeCell ref="ZK12:ZL12"/>
    <mergeCell ref="ZM12:ZN12"/>
    <mergeCell ref="ZO12:ZP12"/>
    <mergeCell ref="ZQ12:ZR12"/>
    <mergeCell ref="ZS12:ZT12"/>
    <mergeCell ref="ZU12:ZV12"/>
    <mergeCell ref="ZW12:ZX12"/>
    <mergeCell ref="ZY12:ZZ12"/>
    <mergeCell ref="AAA12:AAB12"/>
    <mergeCell ref="AAC12:AAD12"/>
    <mergeCell ref="XO12:XP12"/>
    <mergeCell ref="XQ12:XR12"/>
    <mergeCell ref="XS12:XT12"/>
    <mergeCell ref="XU12:XV12"/>
    <mergeCell ref="XW12:XX12"/>
    <mergeCell ref="XY12:XZ12"/>
    <mergeCell ref="YA12:YB12"/>
    <mergeCell ref="YC12:YD12"/>
    <mergeCell ref="YE12:YF12"/>
    <mergeCell ref="YG12:YH12"/>
    <mergeCell ref="YI12:YJ12"/>
    <mergeCell ref="YK12:YL12"/>
    <mergeCell ref="YM12:YN12"/>
    <mergeCell ref="YO12:YP12"/>
    <mergeCell ref="YQ12:YR12"/>
    <mergeCell ref="YS12:YT12"/>
    <mergeCell ref="YU12:YV12"/>
    <mergeCell ref="WG12:WH12"/>
    <mergeCell ref="WI12:WJ12"/>
    <mergeCell ref="WK12:WL12"/>
    <mergeCell ref="WM12:WN12"/>
    <mergeCell ref="WO12:WP12"/>
    <mergeCell ref="WQ12:WR12"/>
    <mergeCell ref="WS12:WT12"/>
    <mergeCell ref="WU12:WV12"/>
    <mergeCell ref="WW12:WX12"/>
    <mergeCell ref="WY12:WZ12"/>
    <mergeCell ref="XA12:XB12"/>
    <mergeCell ref="XC12:XD12"/>
    <mergeCell ref="XE12:XF12"/>
    <mergeCell ref="XG12:XH12"/>
    <mergeCell ref="XI12:XJ12"/>
    <mergeCell ref="XK12:XL12"/>
    <mergeCell ref="XM12:XN12"/>
    <mergeCell ref="UY12:UZ12"/>
    <mergeCell ref="VA12:VB12"/>
    <mergeCell ref="VC12:VD12"/>
    <mergeCell ref="VE12:VF12"/>
    <mergeCell ref="VG12:VH12"/>
    <mergeCell ref="VI12:VJ12"/>
    <mergeCell ref="VK12:VL12"/>
    <mergeCell ref="VM12:VN12"/>
    <mergeCell ref="VO12:VP12"/>
    <mergeCell ref="VQ12:VR12"/>
    <mergeCell ref="VS12:VT12"/>
    <mergeCell ref="VU12:VV12"/>
    <mergeCell ref="VW12:VX12"/>
    <mergeCell ref="VY12:VZ12"/>
    <mergeCell ref="WA12:WB12"/>
    <mergeCell ref="WC12:WD12"/>
    <mergeCell ref="WE12:WF12"/>
    <mergeCell ref="TQ12:TR12"/>
    <mergeCell ref="TS12:TT12"/>
    <mergeCell ref="TU12:TV12"/>
    <mergeCell ref="TW12:TX12"/>
    <mergeCell ref="TY12:TZ12"/>
    <mergeCell ref="UA12:UB12"/>
    <mergeCell ref="UC12:UD12"/>
    <mergeCell ref="UE12:UF12"/>
    <mergeCell ref="UG12:UH12"/>
    <mergeCell ref="UI12:UJ12"/>
    <mergeCell ref="UK12:UL12"/>
    <mergeCell ref="UM12:UN12"/>
    <mergeCell ref="UO12:UP12"/>
    <mergeCell ref="UQ12:UR12"/>
    <mergeCell ref="US12:UT12"/>
    <mergeCell ref="UU12:UV12"/>
    <mergeCell ref="UW12:UX12"/>
    <mergeCell ref="SI12:SJ12"/>
    <mergeCell ref="SK12:SL12"/>
    <mergeCell ref="SM12:SN12"/>
    <mergeCell ref="SO12:SP12"/>
    <mergeCell ref="SQ12:SR12"/>
    <mergeCell ref="SS12:ST12"/>
    <mergeCell ref="SU12:SV12"/>
    <mergeCell ref="SW12:SX12"/>
    <mergeCell ref="SY12:SZ12"/>
    <mergeCell ref="TA12:TB12"/>
    <mergeCell ref="TC12:TD12"/>
    <mergeCell ref="TE12:TF12"/>
    <mergeCell ref="TG12:TH12"/>
    <mergeCell ref="TI12:TJ12"/>
    <mergeCell ref="TK12:TL12"/>
    <mergeCell ref="TM12:TN12"/>
    <mergeCell ref="TO12:TP12"/>
    <mergeCell ref="RA12:RB12"/>
    <mergeCell ref="RC12:RD12"/>
    <mergeCell ref="RE12:RF12"/>
    <mergeCell ref="RG12:RH12"/>
    <mergeCell ref="RI12:RJ12"/>
    <mergeCell ref="RK12:RL12"/>
    <mergeCell ref="RM12:RN12"/>
    <mergeCell ref="RO12:RP12"/>
    <mergeCell ref="RQ12:RR12"/>
    <mergeCell ref="RS12:RT12"/>
    <mergeCell ref="RU12:RV12"/>
    <mergeCell ref="RW12:RX12"/>
    <mergeCell ref="RY12:RZ12"/>
    <mergeCell ref="SA12:SB12"/>
    <mergeCell ref="SC12:SD12"/>
    <mergeCell ref="SE12:SF12"/>
    <mergeCell ref="SG12:SH12"/>
    <mergeCell ref="PS12:PT12"/>
    <mergeCell ref="PU12:PV12"/>
    <mergeCell ref="PW12:PX12"/>
    <mergeCell ref="PY12:PZ12"/>
    <mergeCell ref="QA12:QB12"/>
    <mergeCell ref="QC12:QD12"/>
    <mergeCell ref="QE12:QF12"/>
    <mergeCell ref="QG12:QH12"/>
    <mergeCell ref="QI12:QJ12"/>
    <mergeCell ref="QK12:QL12"/>
    <mergeCell ref="QM12:QN12"/>
    <mergeCell ref="QO12:QP12"/>
    <mergeCell ref="QQ12:QR12"/>
    <mergeCell ref="QS12:QT12"/>
    <mergeCell ref="QU12:QV12"/>
    <mergeCell ref="QW12:QX12"/>
    <mergeCell ref="QY12:QZ12"/>
    <mergeCell ref="OK12:OL12"/>
    <mergeCell ref="OM12:ON12"/>
    <mergeCell ref="OO12:OP12"/>
    <mergeCell ref="OQ12:OR12"/>
    <mergeCell ref="OS12:OT12"/>
    <mergeCell ref="OU12:OV12"/>
    <mergeCell ref="OW12:OX12"/>
    <mergeCell ref="OY12:OZ12"/>
    <mergeCell ref="PA12:PB12"/>
    <mergeCell ref="PC12:PD12"/>
    <mergeCell ref="PE12:PF12"/>
    <mergeCell ref="PG12:PH12"/>
    <mergeCell ref="PI12:PJ12"/>
    <mergeCell ref="PK12:PL12"/>
    <mergeCell ref="PM12:PN12"/>
    <mergeCell ref="PO12:PP12"/>
    <mergeCell ref="PQ12:PR12"/>
    <mergeCell ref="NC12:ND12"/>
    <mergeCell ref="NE12:NF12"/>
    <mergeCell ref="NG12:NH12"/>
    <mergeCell ref="NI12:NJ12"/>
    <mergeCell ref="NK12:NL12"/>
    <mergeCell ref="NM12:NN12"/>
    <mergeCell ref="NO12:NP12"/>
    <mergeCell ref="NQ12:NR12"/>
    <mergeCell ref="NS12:NT12"/>
    <mergeCell ref="NU12:NV12"/>
    <mergeCell ref="NW12:NX12"/>
    <mergeCell ref="NY12:NZ12"/>
    <mergeCell ref="OA12:OB12"/>
    <mergeCell ref="OC12:OD12"/>
    <mergeCell ref="OE12:OF12"/>
    <mergeCell ref="OG12:OH12"/>
    <mergeCell ref="OI12:OJ12"/>
    <mergeCell ref="LU12:LV12"/>
    <mergeCell ref="LW12:LX12"/>
    <mergeCell ref="LY12:LZ12"/>
    <mergeCell ref="MA12:MB12"/>
    <mergeCell ref="MC12:MD12"/>
    <mergeCell ref="ME12:MF12"/>
    <mergeCell ref="MG12:MH12"/>
    <mergeCell ref="MI12:MJ12"/>
    <mergeCell ref="MK12:ML12"/>
    <mergeCell ref="MM12:MN12"/>
    <mergeCell ref="MO12:MP12"/>
    <mergeCell ref="MQ12:MR12"/>
    <mergeCell ref="MS12:MT12"/>
    <mergeCell ref="MU12:MV12"/>
    <mergeCell ref="MW12:MX12"/>
    <mergeCell ref="MY12:MZ12"/>
    <mergeCell ref="NA12:NB12"/>
    <mergeCell ref="KM12:KN12"/>
    <mergeCell ref="KO12:KP12"/>
    <mergeCell ref="KQ12:KR12"/>
    <mergeCell ref="KS12:KT12"/>
    <mergeCell ref="KU12:KV12"/>
    <mergeCell ref="KW12:KX12"/>
    <mergeCell ref="KY12:KZ12"/>
    <mergeCell ref="LA12:LB12"/>
    <mergeCell ref="LC12:LD12"/>
    <mergeCell ref="LE12:LF12"/>
    <mergeCell ref="LG12:LH12"/>
    <mergeCell ref="LI12:LJ12"/>
    <mergeCell ref="LK12:LL12"/>
    <mergeCell ref="LM12:LN12"/>
    <mergeCell ref="LO12:LP12"/>
    <mergeCell ref="LQ12:LR12"/>
    <mergeCell ref="LS12:LT12"/>
    <mergeCell ref="AAG11:AAH11"/>
    <mergeCell ref="AAI11:AAJ11"/>
    <mergeCell ref="AAK11:AAL11"/>
    <mergeCell ref="AAM11:AAN11"/>
    <mergeCell ref="AAO11:AAP11"/>
    <mergeCell ref="AAQ11:AAR11"/>
    <mergeCell ref="AAS11:AAT11"/>
    <mergeCell ref="AAU11:AAV11"/>
    <mergeCell ref="AAW11:AAX11"/>
    <mergeCell ref="AAY11:AAZ11"/>
    <mergeCell ref="ABA11:ABB11"/>
    <mergeCell ref="ABC11:ABD11"/>
    <mergeCell ref="IY12:IZ12"/>
    <mergeCell ref="JA12:JB12"/>
    <mergeCell ref="JC12:JD12"/>
    <mergeCell ref="JE12:JF12"/>
    <mergeCell ref="JG12:JH12"/>
    <mergeCell ref="JI12:JJ12"/>
    <mergeCell ref="JK12:JL12"/>
    <mergeCell ref="JM12:JN12"/>
    <mergeCell ref="JO12:JP12"/>
    <mergeCell ref="JQ12:JR12"/>
    <mergeCell ref="JS12:JT12"/>
    <mergeCell ref="JU12:JV12"/>
    <mergeCell ref="JW12:JX12"/>
    <mergeCell ref="JY12:JZ12"/>
    <mergeCell ref="KA12:KB12"/>
    <mergeCell ref="KC12:KD12"/>
    <mergeCell ref="KE12:KF12"/>
    <mergeCell ref="KG12:KH12"/>
    <mergeCell ref="KI12:KJ12"/>
    <mergeCell ref="KK12:KL12"/>
    <mergeCell ref="YY11:YZ11"/>
    <mergeCell ref="ZA11:ZB11"/>
    <mergeCell ref="ZC11:ZD11"/>
    <mergeCell ref="ZE11:ZF11"/>
    <mergeCell ref="ZG11:ZH11"/>
    <mergeCell ref="ZI11:ZJ11"/>
    <mergeCell ref="ZK11:ZL11"/>
    <mergeCell ref="ZM11:ZN11"/>
    <mergeCell ref="ZO11:ZP11"/>
    <mergeCell ref="ZQ11:ZR11"/>
    <mergeCell ref="ZS11:ZT11"/>
    <mergeCell ref="ZU11:ZV11"/>
    <mergeCell ref="ZW11:ZX11"/>
    <mergeCell ref="ZY11:ZZ11"/>
    <mergeCell ref="AAA11:AAB11"/>
    <mergeCell ref="AAC11:AAD11"/>
    <mergeCell ref="AAE11:AAF11"/>
    <mergeCell ref="XQ11:XR11"/>
    <mergeCell ref="XS11:XT11"/>
    <mergeCell ref="XU11:XV11"/>
    <mergeCell ref="XW11:XX11"/>
    <mergeCell ref="XY11:XZ11"/>
    <mergeCell ref="YA11:YB11"/>
    <mergeCell ref="YC11:YD11"/>
    <mergeCell ref="YE11:YF11"/>
    <mergeCell ref="YG11:YH11"/>
    <mergeCell ref="YI11:YJ11"/>
    <mergeCell ref="YK11:YL11"/>
    <mergeCell ref="YM11:YN11"/>
    <mergeCell ref="YO11:YP11"/>
    <mergeCell ref="YQ11:YR11"/>
    <mergeCell ref="YS11:YT11"/>
    <mergeCell ref="YU11:YV11"/>
    <mergeCell ref="YW11:YX11"/>
    <mergeCell ref="WI11:WJ11"/>
    <mergeCell ref="WK11:WL11"/>
    <mergeCell ref="WM11:WN11"/>
    <mergeCell ref="WO11:WP11"/>
    <mergeCell ref="WQ11:WR11"/>
    <mergeCell ref="WS11:WT11"/>
    <mergeCell ref="WU11:WV11"/>
    <mergeCell ref="WW11:WX11"/>
    <mergeCell ref="WY11:WZ11"/>
    <mergeCell ref="XA11:XB11"/>
    <mergeCell ref="XC11:XD11"/>
    <mergeCell ref="XE11:XF11"/>
    <mergeCell ref="XG11:XH11"/>
    <mergeCell ref="XI11:XJ11"/>
    <mergeCell ref="XK11:XL11"/>
    <mergeCell ref="XM11:XN11"/>
    <mergeCell ref="XO11:XP11"/>
    <mergeCell ref="VA11:VB11"/>
    <mergeCell ref="VC11:VD11"/>
    <mergeCell ref="VE11:VF11"/>
    <mergeCell ref="VG11:VH11"/>
    <mergeCell ref="VI11:VJ11"/>
    <mergeCell ref="VK11:VL11"/>
    <mergeCell ref="VM11:VN11"/>
    <mergeCell ref="VO11:VP11"/>
    <mergeCell ref="VQ11:VR11"/>
    <mergeCell ref="VS11:VT11"/>
    <mergeCell ref="VU11:VV11"/>
    <mergeCell ref="VW11:VX11"/>
    <mergeCell ref="VY11:VZ11"/>
    <mergeCell ref="WA11:WB11"/>
    <mergeCell ref="WC11:WD11"/>
    <mergeCell ref="WE11:WF11"/>
    <mergeCell ref="WG11:WH11"/>
    <mergeCell ref="TS11:TT11"/>
    <mergeCell ref="TU11:TV11"/>
    <mergeCell ref="TW11:TX11"/>
    <mergeCell ref="TY11:TZ11"/>
    <mergeCell ref="UA11:UB11"/>
    <mergeCell ref="UC11:UD11"/>
    <mergeCell ref="UE11:UF11"/>
    <mergeCell ref="UG11:UH11"/>
    <mergeCell ref="UI11:UJ11"/>
    <mergeCell ref="UK11:UL11"/>
    <mergeCell ref="UM11:UN11"/>
    <mergeCell ref="UO11:UP11"/>
    <mergeCell ref="UQ11:UR11"/>
    <mergeCell ref="US11:UT11"/>
    <mergeCell ref="UU11:UV11"/>
    <mergeCell ref="UW11:UX11"/>
    <mergeCell ref="UY11:UZ11"/>
    <mergeCell ref="SK11:SL11"/>
    <mergeCell ref="SM11:SN11"/>
    <mergeCell ref="SO11:SP11"/>
    <mergeCell ref="SQ11:SR11"/>
    <mergeCell ref="SS11:ST11"/>
    <mergeCell ref="SU11:SV11"/>
    <mergeCell ref="SW11:SX11"/>
    <mergeCell ref="SY11:SZ11"/>
    <mergeCell ref="TA11:TB11"/>
    <mergeCell ref="TC11:TD11"/>
    <mergeCell ref="TE11:TF11"/>
    <mergeCell ref="TG11:TH11"/>
    <mergeCell ref="TI11:TJ11"/>
    <mergeCell ref="TK11:TL11"/>
    <mergeCell ref="TM11:TN11"/>
    <mergeCell ref="TO11:TP11"/>
    <mergeCell ref="TQ11:TR11"/>
    <mergeCell ref="RC11:RD11"/>
    <mergeCell ref="RE11:RF11"/>
    <mergeCell ref="RG11:RH11"/>
    <mergeCell ref="RI11:RJ11"/>
    <mergeCell ref="RK11:RL11"/>
    <mergeCell ref="RM11:RN11"/>
    <mergeCell ref="RO11:RP11"/>
    <mergeCell ref="RQ11:RR11"/>
    <mergeCell ref="RS11:RT11"/>
    <mergeCell ref="RU11:RV11"/>
    <mergeCell ref="RW11:RX11"/>
    <mergeCell ref="RY11:RZ11"/>
    <mergeCell ref="SA11:SB11"/>
    <mergeCell ref="SC11:SD11"/>
    <mergeCell ref="SE11:SF11"/>
    <mergeCell ref="SG11:SH11"/>
    <mergeCell ref="SI11:SJ11"/>
    <mergeCell ref="PU11:PV11"/>
    <mergeCell ref="PW11:PX11"/>
    <mergeCell ref="PY11:PZ11"/>
    <mergeCell ref="QA11:QB11"/>
    <mergeCell ref="QC11:QD11"/>
    <mergeCell ref="QE11:QF11"/>
    <mergeCell ref="QG11:QH11"/>
    <mergeCell ref="QI11:QJ11"/>
    <mergeCell ref="QK11:QL11"/>
    <mergeCell ref="QM11:QN11"/>
    <mergeCell ref="QO11:QP11"/>
    <mergeCell ref="QQ11:QR11"/>
    <mergeCell ref="QS11:QT11"/>
    <mergeCell ref="QU11:QV11"/>
    <mergeCell ref="QW11:QX11"/>
    <mergeCell ref="QY11:QZ11"/>
    <mergeCell ref="RA11:RB11"/>
    <mergeCell ref="OM11:ON11"/>
    <mergeCell ref="OO11:OP11"/>
    <mergeCell ref="OQ11:OR11"/>
    <mergeCell ref="OS11:OT11"/>
    <mergeCell ref="OU11:OV11"/>
    <mergeCell ref="OW11:OX11"/>
    <mergeCell ref="OY11:OZ11"/>
    <mergeCell ref="PA11:PB11"/>
    <mergeCell ref="PC11:PD11"/>
    <mergeCell ref="PE11:PF11"/>
    <mergeCell ref="PG11:PH11"/>
    <mergeCell ref="PI11:PJ11"/>
    <mergeCell ref="PK11:PL11"/>
    <mergeCell ref="PM11:PN11"/>
    <mergeCell ref="PO11:PP11"/>
    <mergeCell ref="PQ11:PR11"/>
    <mergeCell ref="PS11:PT11"/>
    <mergeCell ref="NE11:NF11"/>
    <mergeCell ref="NG11:NH11"/>
    <mergeCell ref="NI11:NJ11"/>
    <mergeCell ref="NK11:NL11"/>
    <mergeCell ref="NM11:NN11"/>
    <mergeCell ref="NO11:NP11"/>
    <mergeCell ref="NQ11:NR11"/>
    <mergeCell ref="NS11:NT11"/>
    <mergeCell ref="NU11:NV11"/>
    <mergeCell ref="NW11:NX11"/>
    <mergeCell ref="NY11:NZ11"/>
    <mergeCell ref="OA11:OB11"/>
    <mergeCell ref="OC11:OD11"/>
    <mergeCell ref="OE11:OF11"/>
    <mergeCell ref="OG11:OH11"/>
    <mergeCell ref="OI11:OJ11"/>
    <mergeCell ref="OK11:OL11"/>
    <mergeCell ref="LW11:LX11"/>
    <mergeCell ref="LY11:LZ11"/>
    <mergeCell ref="MA11:MB11"/>
    <mergeCell ref="MC11:MD11"/>
    <mergeCell ref="ME11:MF11"/>
    <mergeCell ref="MG11:MH11"/>
    <mergeCell ref="MI11:MJ11"/>
    <mergeCell ref="MK11:ML11"/>
    <mergeCell ref="MM11:MN11"/>
    <mergeCell ref="MO11:MP11"/>
    <mergeCell ref="MQ11:MR11"/>
    <mergeCell ref="MS11:MT11"/>
    <mergeCell ref="MU11:MV11"/>
    <mergeCell ref="MW11:MX11"/>
    <mergeCell ref="MY11:MZ11"/>
    <mergeCell ref="NA11:NB11"/>
    <mergeCell ref="NC11:ND11"/>
    <mergeCell ref="KO11:KP11"/>
    <mergeCell ref="KQ11:KR11"/>
    <mergeCell ref="KS11:KT11"/>
    <mergeCell ref="KU11:KV11"/>
    <mergeCell ref="KW11:KX11"/>
    <mergeCell ref="KY11:KZ11"/>
    <mergeCell ref="LA11:LB11"/>
    <mergeCell ref="LC11:LD11"/>
    <mergeCell ref="LE11:LF11"/>
    <mergeCell ref="LG11:LH11"/>
    <mergeCell ref="LI11:LJ11"/>
    <mergeCell ref="LK11:LL11"/>
    <mergeCell ref="LM11:LN11"/>
    <mergeCell ref="LO11:LP11"/>
    <mergeCell ref="LQ11:LR11"/>
    <mergeCell ref="LS11:LT11"/>
    <mergeCell ref="LU11:LV11"/>
    <mergeCell ref="AAI10:AAJ10"/>
    <mergeCell ref="AAK10:AAL10"/>
    <mergeCell ref="AAM10:AAN10"/>
    <mergeCell ref="AAO10:AAP10"/>
    <mergeCell ref="AAQ10:AAR10"/>
    <mergeCell ref="AAS10:AAT10"/>
    <mergeCell ref="AAU10:AAV10"/>
    <mergeCell ref="AAW10:AAX10"/>
    <mergeCell ref="AAY10:AAZ10"/>
    <mergeCell ref="ABA10:ABB10"/>
    <mergeCell ref="ABC10:ABD10"/>
    <mergeCell ref="IY11:IZ11"/>
    <mergeCell ref="JA11:JB11"/>
    <mergeCell ref="JC11:JD11"/>
    <mergeCell ref="JE11:JF11"/>
    <mergeCell ref="JG11:JH11"/>
    <mergeCell ref="JI11:JJ11"/>
    <mergeCell ref="JK11:JL11"/>
    <mergeCell ref="JM11:JN11"/>
    <mergeCell ref="JO11:JP11"/>
    <mergeCell ref="JQ11:JR11"/>
    <mergeCell ref="JS11:JT11"/>
    <mergeCell ref="JU11:JV11"/>
    <mergeCell ref="JW11:JX11"/>
    <mergeCell ref="JY11:JZ11"/>
    <mergeCell ref="KA11:KB11"/>
    <mergeCell ref="KC11:KD11"/>
    <mergeCell ref="KE11:KF11"/>
    <mergeCell ref="KG11:KH11"/>
    <mergeCell ref="KI11:KJ11"/>
    <mergeCell ref="KK11:KL11"/>
    <mergeCell ref="KM11:KN11"/>
    <mergeCell ref="ZA10:ZB10"/>
    <mergeCell ref="ZC10:ZD10"/>
    <mergeCell ref="ZE10:ZF10"/>
    <mergeCell ref="ZG10:ZH10"/>
    <mergeCell ref="ZI10:ZJ10"/>
    <mergeCell ref="ZK10:ZL10"/>
    <mergeCell ref="ZM10:ZN10"/>
    <mergeCell ref="ZO10:ZP10"/>
    <mergeCell ref="ZQ10:ZR10"/>
    <mergeCell ref="ZS10:ZT10"/>
    <mergeCell ref="ZU10:ZV10"/>
    <mergeCell ref="ZW10:ZX10"/>
    <mergeCell ref="ZY10:ZZ10"/>
    <mergeCell ref="AAA10:AAB10"/>
    <mergeCell ref="AAC10:AAD10"/>
    <mergeCell ref="AAE10:AAF10"/>
    <mergeCell ref="AAG10:AAH10"/>
    <mergeCell ref="XS10:XT10"/>
    <mergeCell ref="XU10:XV10"/>
    <mergeCell ref="XW10:XX10"/>
    <mergeCell ref="XY10:XZ10"/>
    <mergeCell ref="YA10:YB10"/>
    <mergeCell ref="YC10:YD10"/>
    <mergeCell ref="YE10:YF10"/>
    <mergeCell ref="YG10:YH10"/>
    <mergeCell ref="YI10:YJ10"/>
    <mergeCell ref="YK10:YL10"/>
    <mergeCell ref="YM10:YN10"/>
    <mergeCell ref="YO10:YP10"/>
    <mergeCell ref="YQ10:YR10"/>
    <mergeCell ref="YS10:YT10"/>
    <mergeCell ref="YU10:YV10"/>
    <mergeCell ref="YW10:YX10"/>
    <mergeCell ref="YY10:YZ10"/>
    <mergeCell ref="WK10:WL10"/>
    <mergeCell ref="WM10:WN10"/>
    <mergeCell ref="WO10:WP10"/>
    <mergeCell ref="WQ10:WR10"/>
    <mergeCell ref="WS10:WT10"/>
    <mergeCell ref="WU10:WV10"/>
    <mergeCell ref="WW10:WX10"/>
    <mergeCell ref="WY10:WZ10"/>
    <mergeCell ref="XA10:XB10"/>
    <mergeCell ref="XC10:XD10"/>
    <mergeCell ref="XE10:XF10"/>
    <mergeCell ref="XG10:XH10"/>
    <mergeCell ref="XI10:XJ10"/>
    <mergeCell ref="XK10:XL10"/>
    <mergeCell ref="XM10:XN10"/>
    <mergeCell ref="XO10:XP10"/>
    <mergeCell ref="XQ10:XR10"/>
    <mergeCell ref="VC10:VD10"/>
    <mergeCell ref="VE10:VF10"/>
    <mergeCell ref="VG10:VH10"/>
    <mergeCell ref="VI10:VJ10"/>
    <mergeCell ref="VK10:VL10"/>
    <mergeCell ref="VM10:VN10"/>
    <mergeCell ref="VO10:VP10"/>
    <mergeCell ref="VQ10:VR10"/>
    <mergeCell ref="VS10:VT10"/>
    <mergeCell ref="VU10:VV10"/>
    <mergeCell ref="VW10:VX10"/>
    <mergeCell ref="VY10:VZ10"/>
    <mergeCell ref="WA10:WB10"/>
    <mergeCell ref="WC10:WD10"/>
    <mergeCell ref="WE10:WF10"/>
    <mergeCell ref="WG10:WH10"/>
    <mergeCell ref="WI10:WJ10"/>
    <mergeCell ref="TU10:TV10"/>
    <mergeCell ref="TW10:TX10"/>
    <mergeCell ref="TY10:TZ10"/>
    <mergeCell ref="UA10:UB10"/>
    <mergeCell ref="UC10:UD10"/>
    <mergeCell ref="UE10:UF10"/>
    <mergeCell ref="UG10:UH10"/>
    <mergeCell ref="UI10:UJ10"/>
    <mergeCell ref="UK10:UL10"/>
    <mergeCell ref="UM10:UN10"/>
    <mergeCell ref="UO10:UP10"/>
    <mergeCell ref="UQ10:UR10"/>
    <mergeCell ref="US10:UT10"/>
    <mergeCell ref="UU10:UV10"/>
    <mergeCell ref="UW10:UX10"/>
    <mergeCell ref="UY10:UZ10"/>
    <mergeCell ref="VA10:VB10"/>
    <mergeCell ref="SM10:SN10"/>
    <mergeCell ref="SO10:SP10"/>
    <mergeCell ref="SQ10:SR10"/>
    <mergeCell ref="SS10:ST10"/>
    <mergeCell ref="SU10:SV10"/>
    <mergeCell ref="SW10:SX10"/>
    <mergeCell ref="SY10:SZ10"/>
    <mergeCell ref="TA10:TB10"/>
    <mergeCell ref="TC10:TD10"/>
    <mergeCell ref="TE10:TF10"/>
    <mergeCell ref="TG10:TH10"/>
    <mergeCell ref="TI10:TJ10"/>
    <mergeCell ref="TK10:TL10"/>
    <mergeCell ref="TM10:TN10"/>
    <mergeCell ref="TO10:TP10"/>
    <mergeCell ref="TQ10:TR10"/>
    <mergeCell ref="TS10:TT10"/>
    <mergeCell ref="RE10:RF10"/>
    <mergeCell ref="RG10:RH10"/>
    <mergeCell ref="RI10:RJ10"/>
    <mergeCell ref="RK10:RL10"/>
    <mergeCell ref="RM10:RN10"/>
    <mergeCell ref="RO10:RP10"/>
    <mergeCell ref="RQ10:RR10"/>
    <mergeCell ref="RS10:RT10"/>
    <mergeCell ref="RU10:RV10"/>
    <mergeCell ref="RW10:RX10"/>
    <mergeCell ref="RY10:RZ10"/>
    <mergeCell ref="SA10:SB10"/>
    <mergeCell ref="SC10:SD10"/>
    <mergeCell ref="SE10:SF10"/>
    <mergeCell ref="SG10:SH10"/>
    <mergeCell ref="SI10:SJ10"/>
    <mergeCell ref="SK10:SL10"/>
    <mergeCell ref="PW10:PX10"/>
    <mergeCell ref="PY10:PZ10"/>
    <mergeCell ref="QA10:QB10"/>
    <mergeCell ref="QC10:QD10"/>
    <mergeCell ref="QE10:QF10"/>
    <mergeCell ref="QG10:QH10"/>
    <mergeCell ref="QI10:QJ10"/>
    <mergeCell ref="QK10:QL10"/>
    <mergeCell ref="QM10:QN10"/>
    <mergeCell ref="QO10:QP10"/>
    <mergeCell ref="QQ10:QR10"/>
    <mergeCell ref="QS10:QT10"/>
    <mergeCell ref="QU10:QV10"/>
    <mergeCell ref="QW10:QX10"/>
    <mergeCell ref="QY10:QZ10"/>
    <mergeCell ref="RA10:RB10"/>
    <mergeCell ref="RC10:RD10"/>
    <mergeCell ref="OO10:OP10"/>
    <mergeCell ref="OQ10:OR10"/>
    <mergeCell ref="OS10:OT10"/>
    <mergeCell ref="OU10:OV10"/>
    <mergeCell ref="OW10:OX10"/>
    <mergeCell ref="OY10:OZ10"/>
    <mergeCell ref="PA10:PB10"/>
    <mergeCell ref="PC10:PD10"/>
    <mergeCell ref="PE10:PF10"/>
    <mergeCell ref="PG10:PH10"/>
    <mergeCell ref="PI10:PJ10"/>
    <mergeCell ref="PK10:PL10"/>
    <mergeCell ref="PM10:PN10"/>
    <mergeCell ref="PO10:PP10"/>
    <mergeCell ref="PQ10:PR10"/>
    <mergeCell ref="PS10:PT10"/>
    <mergeCell ref="PU10:PV10"/>
    <mergeCell ref="NG10:NH10"/>
    <mergeCell ref="NI10:NJ10"/>
    <mergeCell ref="NK10:NL10"/>
    <mergeCell ref="NM10:NN10"/>
    <mergeCell ref="NO10:NP10"/>
    <mergeCell ref="NQ10:NR10"/>
    <mergeCell ref="NS10:NT10"/>
    <mergeCell ref="NU10:NV10"/>
    <mergeCell ref="NW10:NX10"/>
    <mergeCell ref="NY10:NZ10"/>
    <mergeCell ref="OA10:OB10"/>
    <mergeCell ref="OC10:OD10"/>
    <mergeCell ref="OE10:OF10"/>
    <mergeCell ref="OG10:OH10"/>
    <mergeCell ref="OI10:OJ10"/>
    <mergeCell ref="OK10:OL10"/>
    <mergeCell ref="OM10:ON10"/>
    <mergeCell ref="LY10:LZ10"/>
    <mergeCell ref="MA10:MB10"/>
    <mergeCell ref="MC10:MD10"/>
    <mergeCell ref="ME10:MF10"/>
    <mergeCell ref="MG10:MH10"/>
    <mergeCell ref="MI10:MJ10"/>
    <mergeCell ref="MK10:ML10"/>
    <mergeCell ref="MM10:MN10"/>
    <mergeCell ref="MO10:MP10"/>
    <mergeCell ref="MQ10:MR10"/>
    <mergeCell ref="MS10:MT10"/>
    <mergeCell ref="MU10:MV10"/>
    <mergeCell ref="MW10:MX10"/>
    <mergeCell ref="MY10:MZ10"/>
    <mergeCell ref="NA10:NB10"/>
    <mergeCell ref="NC10:ND10"/>
    <mergeCell ref="NE10:NF10"/>
    <mergeCell ref="KQ10:KR10"/>
    <mergeCell ref="KS10:KT10"/>
    <mergeCell ref="KU10:KV10"/>
    <mergeCell ref="KW10:KX10"/>
    <mergeCell ref="KY10:KZ10"/>
    <mergeCell ref="LA10:LB10"/>
    <mergeCell ref="LC10:LD10"/>
    <mergeCell ref="LE10:LF10"/>
    <mergeCell ref="LG10:LH10"/>
    <mergeCell ref="LI10:LJ10"/>
    <mergeCell ref="LK10:LL10"/>
    <mergeCell ref="LM10:LN10"/>
    <mergeCell ref="LO10:LP10"/>
    <mergeCell ref="LQ10:LR10"/>
    <mergeCell ref="LS10:LT10"/>
    <mergeCell ref="LU10:LV10"/>
    <mergeCell ref="LW10:LX10"/>
    <mergeCell ref="AAK9:AAL9"/>
    <mergeCell ref="AAM9:AAN9"/>
    <mergeCell ref="AAO9:AAP9"/>
    <mergeCell ref="AAQ9:AAR9"/>
    <mergeCell ref="AAS9:AAT9"/>
    <mergeCell ref="AAU9:AAV9"/>
    <mergeCell ref="AAW9:AAX9"/>
    <mergeCell ref="AAY9:AAZ9"/>
    <mergeCell ref="ABA9:ABB9"/>
    <mergeCell ref="ABC9:ABD9"/>
    <mergeCell ref="IY10:IZ10"/>
    <mergeCell ref="JA10:JB10"/>
    <mergeCell ref="JC10:JD10"/>
    <mergeCell ref="JE10:JF10"/>
    <mergeCell ref="JG10:JH10"/>
    <mergeCell ref="JI10:JJ10"/>
    <mergeCell ref="JK10:JL10"/>
    <mergeCell ref="JM10:JN10"/>
    <mergeCell ref="JO10:JP10"/>
    <mergeCell ref="JQ10:JR10"/>
    <mergeCell ref="JS10:JT10"/>
    <mergeCell ref="JU10:JV10"/>
    <mergeCell ref="JW10:JX10"/>
    <mergeCell ref="JY10:JZ10"/>
    <mergeCell ref="KA10:KB10"/>
    <mergeCell ref="KC10:KD10"/>
    <mergeCell ref="KE10:KF10"/>
    <mergeCell ref="KG10:KH10"/>
    <mergeCell ref="KI10:KJ10"/>
    <mergeCell ref="KK10:KL10"/>
    <mergeCell ref="KM10:KN10"/>
    <mergeCell ref="KO10:KP10"/>
    <mergeCell ref="ZC9:ZD9"/>
    <mergeCell ref="ZE9:ZF9"/>
    <mergeCell ref="ZG9:ZH9"/>
    <mergeCell ref="ZI9:ZJ9"/>
    <mergeCell ref="ZK9:ZL9"/>
    <mergeCell ref="ZM9:ZN9"/>
    <mergeCell ref="ZO9:ZP9"/>
    <mergeCell ref="ZQ9:ZR9"/>
    <mergeCell ref="ZS9:ZT9"/>
    <mergeCell ref="ZU9:ZV9"/>
    <mergeCell ref="ZW9:ZX9"/>
    <mergeCell ref="ZY9:ZZ9"/>
    <mergeCell ref="AAA9:AAB9"/>
    <mergeCell ref="AAC9:AAD9"/>
    <mergeCell ref="AAE9:AAF9"/>
    <mergeCell ref="AAG9:AAH9"/>
    <mergeCell ref="AAI9:AAJ9"/>
    <mergeCell ref="XU9:XV9"/>
    <mergeCell ref="XW9:XX9"/>
    <mergeCell ref="XY9:XZ9"/>
    <mergeCell ref="YA9:YB9"/>
    <mergeCell ref="YC9:YD9"/>
    <mergeCell ref="YE9:YF9"/>
    <mergeCell ref="YG9:YH9"/>
    <mergeCell ref="YI9:YJ9"/>
    <mergeCell ref="YK9:YL9"/>
    <mergeCell ref="YM9:YN9"/>
    <mergeCell ref="YO9:YP9"/>
    <mergeCell ref="YQ9:YR9"/>
    <mergeCell ref="YS9:YT9"/>
    <mergeCell ref="YU9:YV9"/>
    <mergeCell ref="YW9:YX9"/>
    <mergeCell ref="YY9:YZ9"/>
    <mergeCell ref="ZA9:ZB9"/>
    <mergeCell ref="WM9:WN9"/>
    <mergeCell ref="WO9:WP9"/>
    <mergeCell ref="WQ9:WR9"/>
    <mergeCell ref="WS9:WT9"/>
    <mergeCell ref="WU9:WV9"/>
    <mergeCell ref="WW9:WX9"/>
    <mergeCell ref="WY9:WZ9"/>
    <mergeCell ref="XA9:XB9"/>
    <mergeCell ref="XC9:XD9"/>
    <mergeCell ref="XE9:XF9"/>
    <mergeCell ref="XG9:XH9"/>
    <mergeCell ref="XI9:XJ9"/>
    <mergeCell ref="XK9:XL9"/>
    <mergeCell ref="XM9:XN9"/>
    <mergeCell ref="XO9:XP9"/>
    <mergeCell ref="XQ9:XR9"/>
    <mergeCell ref="XS9:XT9"/>
    <mergeCell ref="VE9:VF9"/>
    <mergeCell ref="VG9:VH9"/>
    <mergeCell ref="VI9:VJ9"/>
    <mergeCell ref="VK9:VL9"/>
    <mergeCell ref="VM9:VN9"/>
    <mergeCell ref="VO9:VP9"/>
    <mergeCell ref="VQ9:VR9"/>
    <mergeCell ref="VS9:VT9"/>
    <mergeCell ref="VU9:VV9"/>
    <mergeCell ref="VW9:VX9"/>
    <mergeCell ref="VY9:VZ9"/>
    <mergeCell ref="WA9:WB9"/>
    <mergeCell ref="WC9:WD9"/>
    <mergeCell ref="WE9:WF9"/>
    <mergeCell ref="WG9:WH9"/>
    <mergeCell ref="WI9:WJ9"/>
    <mergeCell ref="WK9:WL9"/>
    <mergeCell ref="TW9:TX9"/>
    <mergeCell ref="TY9:TZ9"/>
    <mergeCell ref="UA9:UB9"/>
    <mergeCell ref="UC9:UD9"/>
    <mergeCell ref="UE9:UF9"/>
    <mergeCell ref="UG9:UH9"/>
    <mergeCell ref="UI9:UJ9"/>
    <mergeCell ref="UK9:UL9"/>
    <mergeCell ref="UM9:UN9"/>
    <mergeCell ref="UO9:UP9"/>
    <mergeCell ref="UQ9:UR9"/>
    <mergeCell ref="US9:UT9"/>
    <mergeCell ref="UU9:UV9"/>
    <mergeCell ref="UW9:UX9"/>
    <mergeCell ref="UY9:UZ9"/>
    <mergeCell ref="VA9:VB9"/>
    <mergeCell ref="VC9:VD9"/>
    <mergeCell ref="SO9:SP9"/>
    <mergeCell ref="SQ9:SR9"/>
    <mergeCell ref="SS9:ST9"/>
    <mergeCell ref="SU9:SV9"/>
    <mergeCell ref="SW9:SX9"/>
    <mergeCell ref="SY9:SZ9"/>
    <mergeCell ref="TA9:TB9"/>
    <mergeCell ref="TC9:TD9"/>
    <mergeCell ref="TE9:TF9"/>
    <mergeCell ref="TG9:TH9"/>
    <mergeCell ref="TI9:TJ9"/>
    <mergeCell ref="TK9:TL9"/>
    <mergeCell ref="TM9:TN9"/>
    <mergeCell ref="TO9:TP9"/>
    <mergeCell ref="TQ9:TR9"/>
    <mergeCell ref="TS9:TT9"/>
    <mergeCell ref="TU9:TV9"/>
    <mergeCell ref="RG9:RH9"/>
    <mergeCell ref="RI9:RJ9"/>
    <mergeCell ref="RK9:RL9"/>
    <mergeCell ref="RM9:RN9"/>
    <mergeCell ref="RO9:RP9"/>
    <mergeCell ref="RQ9:RR9"/>
    <mergeCell ref="RS9:RT9"/>
    <mergeCell ref="RU9:RV9"/>
    <mergeCell ref="RW9:RX9"/>
    <mergeCell ref="RY9:RZ9"/>
    <mergeCell ref="SA9:SB9"/>
    <mergeCell ref="SC9:SD9"/>
    <mergeCell ref="SE9:SF9"/>
    <mergeCell ref="SG9:SH9"/>
    <mergeCell ref="SI9:SJ9"/>
    <mergeCell ref="SK9:SL9"/>
    <mergeCell ref="SM9:SN9"/>
    <mergeCell ref="PY9:PZ9"/>
    <mergeCell ref="QA9:QB9"/>
    <mergeCell ref="QC9:QD9"/>
    <mergeCell ref="QE9:QF9"/>
    <mergeCell ref="QG9:QH9"/>
    <mergeCell ref="QI9:QJ9"/>
    <mergeCell ref="QK9:QL9"/>
    <mergeCell ref="QM9:QN9"/>
    <mergeCell ref="QO9:QP9"/>
    <mergeCell ref="QQ9:QR9"/>
    <mergeCell ref="QS9:QT9"/>
    <mergeCell ref="QU9:QV9"/>
    <mergeCell ref="QW9:QX9"/>
    <mergeCell ref="QY9:QZ9"/>
    <mergeCell ref="RA9:RB9"/>
    <mergeCell ref="RC9:RD9"/>
    <mergeCell ref="RE9:RF9"/>
    <mergeCell ref="OQ9:OR9"/>
    <mergeCell ref="OS9:OT9"/>
    <mergeCell ref="OU9:OV9"/>
    <mergeCell ref="OW9:OX9"/>
    <mergeCell ref="OY9:OZ9"/>
    <mergeCell ref="PA9:PB9"/>
    <mergeCell ref="PC9:PD9"/>
    <mergeCell ref="PE9:PF9"/>
    <mergeCell ref="PG9:PH9"/>
    <mergeCell ref="PI9:PJ9"/>
    <mergeCell ref="PK9:PL9"/>
    <mergeCell ref="PM9:PN9"/>
    <mergeCell ref="PO9:PP9"/>
    <mergeCell ref="PQ9:PR9"/>
    <mergeCell ref="PS9:PT9"/>
    <mergeCell ref="PU9:PV9"/>
    <mergeCell ref="PW9:PX9"/>
    <mergeCell ref="NI9:NJ9"/>
    <mergeCell ref="NK9:NL9"/>
    <mergeCell ref="NM9:NN9"/>
    <mergeCell ref="NO9:NP9"/>
    <mergeCell ref="NQ9:NR9"/>
    <mergeCell ref="NS9:NT9"/>
    <mergeCell ref="NU9:NV9"/>
    <mergeCell ref="NW9:NX9"/>
    <mergeCell ref="NY9:NZ9"/>
    <mergeCell ref="OA9:OB9"/>
    <mergeCell ref="OC9:OD9"/>
    <mergeCell ref="OE9:OF9"/>
    <mergeCell ref="OG9:OH9"/>
    <mergeCell ref="OI9:OJ9"/>
    <mergeCell ref="OK9:OL9"/>
    <mergeCell ref="OM9:ON9"/>
    <mergeCell ref="OO9:OP9"/>
    <mergeCell ref="MA9:MB9"/>
    <mergeCell ref="MC9:MD9"/>
    <mergeCell ref="ME9:MF9"/>
    <mergeCell ref="MG9:MH9"/>
    <mergeCell ref="MI9:MJ9"/>
    <mergeCell ref="MK9:ML9"/>
    <mergeCell ref="MM9:MN9"/>
    <mergeCell ref="MO9:MP9"/>
    <mergeCell ref="MQ9:MR9"/>
    <mergeCell ref="MS9:MT9"/>
    <mergeCell ref="MU9:MV9"/>
    <mergeCell ref="MW9:MX9"/>
    <mergeCell ref="MY9:MZ9"/>
    <mergeCell ref="NA9:NB9"/>
    <mergeCell ref="NC9:ND9"/>
    <mergeCell ref="NE9:NF9"/>
    <mergeCell ref="NG9:NH9"/>
    <mergeCell ref="KS9:KT9"/>
    <mergeCell ref="KU9:KV9"/>
    <mergeCell ref="KW9:KX9"/>
    <mergeCell ref="KY9:KZ9"/>
    <mergeCell ref="LA9:LB9"/>
    <mergeCell ref="LC9:LD9"/>
    <mergeCell ref="LE9:LF9"/>
    <mergeCell ref="LG9:LH9"/>
    <mergeCell ref="LI9:LJ9"/>
    <mergeCell ref="LK9:LL9"/>
    <mergeCell ref="LM9:LN9"/>
    <mergeCell ref="LO9:LP9"/>
    <mergeCell ref="LQ9:LR9"/>
    <mergeCell ref="LS9:LT9"/>
    <mergeCell ref="LU9:LV9"/>
    <mergeCell ref="LW9:LX9"/>
    <mergeCell ref="LY9:LZ9"/>
    <mergeCell ref="AAM8:AAN8"/>
    <mergeCell ref="AAO8:AAP8"/>
    <mergeCell ref="AAQ8:AAR8"/>
    <mergeCell ref="AAS8:AAT8"/>
    <mergeCell ref="AAU8:AAV8"/>
    <mergeCell ref="AAW8:AAX8"/>
    <mergeCell ref="AAY8:AAZ8"/>
    <mergeCell ref="ABA8:ABB8"/>
    <mergeCell ref="ABC8:ABD8"/>
    <mergeCell ref="IY9:IZ9"/>
    <mergeCell ref="JA9:JB9"/>
    <mergeCell ref="JC9:JD9"/>
    <mergeCell ref="JE9:JF9"/>
    <mergeCell ref="JG9:JH9"/>
    <mergeCell ref="JI9:JJ9"/>
    <mergeCell ref="JK9:JL9"/>
    <mergeCell ref="JM9:JN9"/>
    <mergeCell ref="JO9:JP9"/>
    <mergeCell ref="JQ9:JR9"/>
    <mergeCell ref="JS9:JT9"/>
    <mergeCell ref="JU9:JV9"/>
    <mergeCell ref="JW9:JX9"/>
    <mergeCell ref="JY9:JZ9"/>
    <mergeCell ref="KA9:KB9"/>
    <mergeCell ref="KC9:KD9"/>
    <mergeCell ref="KE9:KF9"/>
    <mergeCell ref="KG9:KH9"/>
    <mergeCell ref="KI9:KJ9"/>
    <mergeCell ref="KK9:KL9"/>
    <mergeCell ref="KM9:KN9"/>
    <mergeCell ref="KO9:KP9"/>
    <mergeCell ref="KQ9:KR9"/>
    <mergeCell ref="ZE8:ZF8"/>
    <mergeCell ref="ZG8:ZH8"/>
    <mergeCell ref="ZI8:ZJ8"/>
    <mergeCell ref="ZK8:ZL8"/>
    <mergeCell ref="ZM8:ZN8"/>
    <mergeCell ref="ZO8:ZP8"/>
    <mergeCell ref="ZQ8:ZR8"/>
    <mergeCell ref="ZS8:ZT8"/>
    <mergeCell ref="ZU8:ZV8"/>
    <mergeCell ref="ZW8:ZX8"/>
    <mergeCell ref="ZY8:ZZ8"/>
    <mergeCell ref="AAA8:AAB8"/>
    <mergeCell ref="AAC8:AAD8"/>
    <mergeCell ref="AAE8:AAF8"/>
    <mergeCell ref="AAG8:AAH8"/>
    <mergeCell ref="AAI8:AAJ8"/>
    <mergeCell ref="AAK8:AAL8"/>
    <mergeCell ref="XW8:XX8"/>
    <mergeCell ref="XY8:XZ8"/>
    <mergeCell ref="YA8:YB8"/>
    <mergeCell ref="YC8:YD8"/>
    <mergeCell ref="YE8:YF8"/>
    <mergeCell ref="YG8:YH8"/>
    <mergeCell ref="YI8:YJ8"/>
    <mergeCell ref="YK8:YL8"/>
    <mergeCell ref="YM8:YN8"/>
    <mergeCell ref="YO8:YP8"/>
    <mergeCell ref="YQ8:YR8"/>
    <mergeCell ref="YS8:YT8"/>
    <mergeCell ref="YU8:YV8"/>
    <mergeCell ref="YW8:YX8"/>
    <mergeCell ref="YY8:YZ8"/>
    <mergeCell ref="ZA8:ZB8"/>
    <mergeCell ref="ZC8:ZD8"/>
    <mergeCell ref="WO8:WP8"/>
    <mergeCell ref="WQ8:WR8"/>
    <mergeCell ref="WS8:WT8"/>
    <mergeCell ref="WU8:WV8"/>
    <mergeCell ref="WW8:WX8"/>
    <mergeCell ref="WY8:WZ8"/>
    <mergeCell ref="XA8:XB8"/>
    <mergeCell ref="XC8:XD8"/>
    <mergeCell ref="XE8:XF8"/>
    <mergeCell ref="XG8:XH8"/>
    <mergeCell ref="XI8:XJ8"/>
    <mergeCell ref="XK8:XL8"/>
    <mergeCell ref="XM8:XN8"/>
    <mergeCell ref="XO8:XP8"/>
    <mergeCell ref="XQ8:XR8"/>
    <mergeCell ref="XS8:XT8"/>
    <mergeCell ref="XU8:XV8"/>
    <mergeCell ref="VG8:VH8"/>
    <mergeCell ref="VI8:VJ8"/>
    <mergeCell ref="VK8:VL8"/>
    <mergeCell ref="VM8:VN8"/>
    <mergeCell ref="VO8:VP8"/>
    <mergeCell ref="VQ8:VR8"/>
    <mergeCell ref="VS8:VT8"/>
    <mergeCell ref="VU8:VV8"/>
    <mergeCell ref="VW8:VX8"/>
    <mergeCell ref="VY8:VZ8"/>
    <mergeCell ref="WA8:WB8"/>
    <mergeCell ref="WC8:WD8"/>
    <mergeCell ref="WE8:WF8"/>
    <mergeCell ref="WG8:WH8"/>
    <mergeCell ref="WI8:WJ8"/>
    <mergeCell ref="WK8:WL8"/>
    <mergeCell ref="WM8:WN8"/>
    <mergeCell ref="TY8:TZ8"/>
    <mergeCell ref="UA8:UB8"/>
    <mergeCell ref="UC8:UD8"/>
    <mergeCell ref="UE8:UF8"/>
    <mergeCell ref="UG8:UH8"/>
    <mergeCell ref="UI8:UJ8"/>
    <mergeCell ref="UK8:UL8"/>
    <mergeCell ref="UM8:UN8"/>
    <mergeCell ref="UO8:UP8"/>
    <mergeCell ref="UQ8:UR8"/>
    <mergeCell ref="US8:UT8"/>
    <mergeCell ref="UU8:UV8"/>
    <mergeCell ref="UW8:UX8"/>
    <mergeCell ref="UY8:UZ8"/>
    <mergeCell ref="VA8:VB8"/>
    <mergeCell ref="VC8:VD8"/>
    <mergeCell ref="VE8:VF8"/>
    <mergeCell ref="SQ8:SR8"/>
    <mergeCell ref="SS8:ST8"/>
    <mergeCell ref="SU8:SV8"/>
    <mergeCell ref="SW8:SX8"/>
    <mergeCell ref="SY8:SZ8"/>
    <mergeCell ref="TA8:TB8"/>
    <mergeCell ref="TC8:TD8"/>
    <mergeCell ref="TE8:TF8"/>
    <mergeCell ref="TG8:TH8"/>
    <mergeCell ref="TI8:TJ8"/>
    <mergeCell ref="TK8:TL8"/>
    <mergeCell ref="TM8:TN8"/>
    <mergeCell ref="TO8:TP8"/>
    <mergeCell ref="TQ8:TR8"/>
    <mergeCell ref="TS8:TT8"/>
    <mergeCell ref="TU8:TV8"/>
    <mergeCell ref="TW8:TX8"/>
    <mergeCell ref="RI8:RJ8"/>
    <mergeCell ref="RK8:RL8"/>
    <mergeCell ref="RM8:RN8"/>
    <mergeCell ref="RO8:RP8"/>
    <mergeCell ref="RQ8:RR8"/>
    <mergeCell ref="RS8:RT8"/>
    <mergeCell ref="RU8:RV8"/>
    <mergeCell ref="RW8:RX8"/>
    <mergeCell ref="RY8:RZ8"/>
    <mergeCell ref="SA8:SB8"/>
    <mergeCell ref="SC8:SD8"/>
    <mergeCell ref="SE8:SF8"/>
    <mergeCell ref="SG8:SH8"/>
    <mergeCell ref="SI8:SJ8"/>
    <mergeCell ref="SK8:SL8"/>
    <mergeCell ref="SM8:SN8"/>
    <mergeCell ref="SO8:SP8"/>
    <mergeCell ref="QA8:QB8"/>
    <mergeCell ref="QC8:QD8"/>
    <mergeCell ref="QE8:QF8"/>
    <mergeCell ref="QG8:QH8"/>
    <mergeCell ref="QI8:QJ8"/>
    <mergeCell ref="QK8:QL8"/>
    <mergeCell ref="QM8:QN8"/>
    <mergeCell ref="QO8:QP8"/>
    <mergeCell ref="QQ8:QR8"/>
    <mergeCell ref="QS8:QT8"/>
    <mergeCell ref="QU8:QV8"/>
    <mergeCell ref="QW8:QX8"/>
    <mergeCell ref="QY8:QZ8"/>
    <mergeCell ref="RA8:RB8"/>
    <mergeCell ref="RC8:RD8"/>
    <mergeCell ref="RE8:RF8"/>
    <mergeCell ref="RG8:RH8"/>
    <mergeCell ref="OS8:OT8"/>
    <mergeCell ref="OU8:OV8"/>
    <mergeCell ref="OW8:OX8"/>
    <mergeCell ref="OY8:OZ8"/>
    <mergeCell ref="PA8:PB8"/>
    <mergeCell ref="PC8:PD8"/>
    <mergeCell ref="PE8:PF8"/>
    <mergeCell ref="PG8:PH8"/>
    <mergeCell ref="PI8:PJ8"/>
    <mergeCell ref="PK8:PL8"/>
    <mergeCell ref="PM8:PN8"/>
    <mergeCell ref="PO8:PP8"/>
    <mergeCell ref="PQ8:PR8"/>
    <mergeCell ref="PS8:PT8"/>
    <mergeCell ref="PU8:PV8"/>
    <mergeCell ref="PW8:PX8"/>
    <mergeCell ref="PY8:PZ8"/>
    <mergeCell ref="NK8:NL8"/>
    <mergeCell ref="NM8:NN8"/>
    <mergeCell ref="NO8:NP8"/>
    <mergeCell ref="NQ8:NR8"/>
    <mergeCell ref="NS8:NT8"/>
    <mergeCell ref="NU8:NV8"/>
    <mergeCell ref="NW8:NX8"/>
    <mergeCell ref="NY8:NZ8"/>
    <mergeCell ref="OA8:OB8"/>
    <mergeCell ref="OC8:OD8"/>
    <mergeCell ref="OE8:OF8"/>
    <mergeCell ref="OG8:OH8"/>
    <mergeCell ref="OI8:OJ8"/>
    <mergeCell ref="OK8:OL8"/>
    <mergeCell ref="OM8:ON8"/>
    <mergeCell ref="OO8:OP8"/>
    <mergeCell ref="OQ8:OR8"/>
    <mergeCell ref="MC8:MD8"/>
    <mergeCell ref="ME8:MF8"/>
    <mergeCell ref="MG8:MH8"/>
    <mergeCell ref="MI8:MJ8"/>
    <mergeCell ref="MK8:ML8"/>
    <mergeCell ref="MM8:MN8"/>
    <mergeCell ref="MO8:MP8"/>
    <mergeCell ref="MQ8:MR8"/>
    <mergeCell ref="MS8:MT8"/>
    <mergeCell ref="MU8:MV8"/>
    <mergeCell ref="MW8:MX8"/>
    <mergeCell ref="MY8:MZ8"/>
    <mergeCell ref="NA8:NB8"/>
    <mergeCell ref="NC8:ND8"/>
    <mergeCell ref="NE8:NF8"/>
    <mergeCell ref="NG8:NH8"/>
    <mergeCell ref="NI8:NJ8"/>
    <mergeCell ref="KU8:KV8"/>
    <mergeCell ref="KW8:KX8"/>
    <mergeCell ref="KY8:KZ8"/>
    <mergeCell ref="LA8:LB8"/>
    <mergeCell ref="LC8:LD8"/>
    <mergeCell ref="LE8:LF8"/>
    <mergeCell ref="LG8:LH8"/>
    <mergeCell ref="LI8:LJ8"/>
    <mergeCell ref="LK8:LL8"/>
    <mergeCell ref="LM8:LN8"/>
    <mergeCell ref="LO8:LP8"/>
    <mergeCell ref="LQ8:LR8"/>
    <mergeCell ref="LS8:LT8"/>
    <mergeCell ref="LU8:LV8"/>
    <mergeCell ref="LW8:LX8"/>
    <mergeCell ref="LY8:LZ8"/>
    <mergeCell ref="MA8:MB8"/>
    <mergeCell ref="AAO7:AAP7"/>
    <mergeCell ref="AAQ7:AAR7"/>
    <mergeCell ref="AAS7:AAT7"/>
    <mergeCell ref="AAU7:AAV7"/>
    <mergeCell ref="AAW7:AAX7"/>
    <mergeCell ref="AAY7:AAZ7"/>
    <mergeCell ref="ABA7:ABB7"/>
    <mergeCell ref="ABC7:ABD7"/>
    <mergeCell ref="IY8:IZ8"/>
    <mergeCell ref="JA8:JB8"/>
    <mergeCell ref="JC8:JD8"/>
    <mergeCell ref="JE8:JF8"/>
    <mergeCell ref="JG8:JH8"/>
    <mergeCell ref="JI8:JJ8"/>
    <mergeCell ref="JK8:JL8"/>
    <mergeCell ref="JM8:JN8"/>
    <mergeCell ref="JO8:JP8"/>
    <mergeCell ref="JQ8:JR8"/>
    <mergeCell ref="JS8:JT8"/>
    <mergeCell ref="JU8:JV8"/>
    <mergeCell ref="JW8:JX8"/>
    <mergeCell ref="JY8:JZ8"/>
    <mergeCell ref="KA8:KB8"/>
    <mergeCell ref="KC8:KD8"/>
    <mergeCell ref="KE8:KF8"/>
    <mergeCell ref="KG8:KH8"/>
    <mergeCell ref="KI8:KJ8"/>
    <mergeCell ref="KK8:KL8"/>
    <mergeCell ref="KM8:KN8"/>
    <mergeCell ref="KO8:KP8"/>
    <mergeCell ref="KQ8:KR8"/>
    <mergeCell ref="KS8:KT8"/>
    <mergeCell ref="ZG7:ZH7"/>
    <mergeCell ref="ZI7:ZJ7"/>
    <mergeCell ref="ZK7:ZL7"/>
    <mergeCell ref="ZM7:ZN7"/>
    <mergeCell ref="ZO7:ZP7"/>
    <mergeCell ref="ZQ7:ZR7"/>
    <mergeCell ref="ZS7:ZT7"/>
    <mergeCell ref="ZU7:ZV7"/>
    <mergeCell ref="ZW7:ZX7"/>
    <mergeCell ref="ZY7:ZZ7"/>
    <mergeCell ref="AAA7:AAB7"/>
    <mergeCell ref="AAC7:AAD7"/>
    <mergeCell ref="AAE7:AAF7"/>
    <mergeCell ref="AAG7:AAH7"/>
    <mergeCell ref="AAI7:AAJ7"/>
    <mergeCell ref="AAK7:AAL7"/>
    <mergeCell ref="AAM7:AAN7"/>
    <mergeCell ref="XY7:XZ7"/>
    <mergeCell ref="YA7:YB7"/>
    <mergeCell ref="YC7:YD7"/>
    <mergeCell ref="YE7:YF7"/>
    <mergeCell ref="YG7:YH7"/>
    <mergeCell ref="YI7:YJ7"/>
    <mergeCell ref="YK7:YL7"/>
    <mergeCell ref="YM7:YN7"/>
    <mergeCell ref="YO7:YP7"/>
    <mergeCell ref="YQ7:YR7"/>
    <mergeCell ref="YS7:YT7"/>
    <mergeCell ref="YU7:YV7"/>
    <mergeCell ref="YW7:YX7"/>
    <mergeCell ref="YY7:YZ7"/>
    <mergeCell ref="ZA7:ZB7"/>
    <mergeCell ref="ZC7:ZD7"/>
    <mergeCell ref="ZE7:ZF7"/>
    <mergeCell ref="WQ7:WR7"/>
    <mergeCell ref="WS7:WT7"/>
    <mergeCell ref="WU7:WV7"/>
    <mergeCell ref="WW7:WX7"/>
    <mergeCell ref="WY7:WZ7"/>
    <mergeCell ref="XA7:XB7"/>
    <mergeCell ref="XC7:XD7"/>
    <mergeCell ref="XE7:XF7"/>
    <mergeCell ref="XG7:XH7"/>
    <mergeCell ref="XI7:XJ7"/>
    <mergeCell ref="XK7:XL7"/>
    <mergeCell ref="XM7:XN7"/>
    <mergeCell ref="XO7:XP7"/>
    <mergeCell ref="XQ7:XR7"/>
    <mergeCell ref="XS7:XT7"/>
    <mergeCell ref="XU7:XV7"/>
    <mergeCell ref="XW7:XX7"/>
    <mergeCell ref="VI7:VJ7"/>
    <mergeCell ref="VK7:VL7"/>
    <mergeCell ref="VM7:VN7"/>
    <mergeCell ref="VO7:VP7"/>
    <mergeCell ref="VQ7:VR7"/>
    <mergeCell ref="VS7:VT7"/>
    <mergeCell ref="VU7:VV7"/>
    <mergeCell ref="VW7:VX7"/>
    <mergeCell ref="VY7:VZ7"/>
    <mergeCell ref="WA7:WB7"/>
    <mergeCell ref="WC7:WD7"/>
    <mergeCell ref="WE7:WF7"/>
    <mergeCell ref="WG7:WH7"/>
    <mergeCell ref="WI7:WJ7"/>
    <mergeCell ref="WK7:WL7"/>
    <mergeCell ref="WM7:WN7"/>
    <mergeCell ref="WO7:WP7"/>
    <mergeCell ref="UA7:UB7"/>
    <mergeCell ref="UC7:UD7"/>
    <mergeCell ref="UE7:UF7"/>
    <mergeCell ref="UG7:UH7"/>
    <mergeCell ref="UI7:UJ7"/>
    <mergeCell ref="UK7:UL7"/>
    <mergeCell ref="UM7:UN7"/>
    <mergeCell ref="UO7:UP7"/>
    <mergeCell ref="UQ7:UR7"/>
    <mergeCell ref="US7:UT7"/>
    <mergeCell ref="UU7:UV7"/>
    <mergeCell ref="UW7:UX7"/>
    <mergeCell ref="UY7:UZ7"/>
    <mergeCell ref="VA7:VB7"/>
    <mergeCell ref="VC7:VD7"/>
    <mergeCell ref="VE7:VF7"/>
    <mergeCell ref="VG7:VH7"/>
    <mergeCell ref="SS7:ST7"/>
    <mergeCell ref="SU7:SV7"/>
    <mergeCell ref="SW7:SX7"/>
    <mergeCell ref="SY7:SZ7"/>
    <mergeCell ref="TA7:TB7"/>
    <mergeCell ref="TC7:TD7"/>
    <mergeCell ref="TE7:TF7"/>
    <mergeCell ref="TG7:TH7"/>
    <mergeCell ref="TI7:TJ7"/>
    <mergeCell ref="TK7:TL7"/>
    <mergeCell ref="TM7:TN7"/>
    <mergeCell ref="TO7:TP7"/>
    <mergeCell ref="TQ7:TR7"/>
    <mergeCell ref="TS7:TT7"/>
    <mergeCell ref="TU7:TV7"/>
    <mergeCell ref="TW7:TX7"/>
    <mergeCell ref="TY7:TZ7"/>
    <mergeCell ref="RK7:RL7"/>
    <mergeCell ref="RM7:RN7"/>
    <mergeCell ref="RO7:RP7"/>
    <mergeCell ref="RQ7:RR7"/>
    <mergeCell ref="RS7:RT7"/>
    <mergeCell ref="RU7:RV7"/>
    <mergeCell ref="RW7:RX7"/>
    <mergeCell ref="RY7:RZ7"/>
    <mergeCell ref="SA7:SB7"/>
    <mergeCell ref="SC7:SD7"/>
    <mergeCell ref="SE7:SF7"/>
    <mergeCell ref="SG7:SH7"/>
    <mergeCell ref="SI7:SJ7"/>
    <mergeCell ref="SK7:SL7"/>
    <mergeCell ref="SM7:SN7"/>
    <mergeCell ref="SO7:SP7"/>
    <mergeCell ref="SQ7:SR7"/>
    <mergeCell ref="QC7:QD7"/>
    <mergeCell ref="QE7:QF7"/>
    <mergeCell ref="QG7:QH7"/>
    <mergeCell ref="QI7:QJ7"/>
    <mergeCell ref="QK7:QL7"/>
    <mergeCell ref="QM7:QN7"/>
    <mergeCell ref="QO7:QP7"/>
    <mergeCell ref="QQ7:QR7"/>
    <mergeCell ref="QS7:QT7"/>
    <mergeCell ref="QU7:QV7"/>
    <mergeCell ref="QW7:QX7"/>
    <mergeCell ref="QY7:QZ7"/>
    <mergeCell ref="RA7:RB7"/>
    <mergeCell ref="RC7:RD7"/>
    <mergeCell ref="RE7:RF7"/>
    <mergeCell ref="RG7:RH7"/>
    <mergeCell ref="RI7:RJ7"/>
    <mergeCell ref="OU7:OV7"/>
    <mergeCell ref="OW7:OX7"/>
    <mergeCell ref="OY7:OZ7"/>
    <mergeCell ref="PA7:PB7"/>
    <mergeCell ref="PC7:PD7"/>
    <mergeCell ref="PE7:PF7"/>
    <mergeCell ref="PG7:PH7"/>
    <mergeCell ref="PI7:PJ7"/>
    <mergeCell ref="PK7:PL7"/>
    <mergeCell ref="PM7:PN7"/>
    <mergeCell ref="PO7:PP7"/>
    <mergeCell ref="PQ7:PR7"/>
    <mergeCell ref="PS7:PT7"/>
    <mergeCell ref="PU7:PV7"/>
    <mergeCell ref="PW7:PX7"/>
    <mergeCell ref="PY7:PZ7"/>
    <mergeCell ref="QA7:QB7"/>
    <mergeCell ref="NM7:NN7"/>
    <mergeCell ref="NO7:NP7"/>
    <mergeCell ref="NQ7:NR7"/>
    <mergeCell ref="NS7:NT7"/>
    <mergeCell ref="NU7:NV7"/>
    <mergeCell ref="NW7:NX7"/>
    <mergeCell ref="NY7:NZ7"/>
    <mergeCell ref="OA7:OB7"/>
    <mergeCell ref="OC7:OD7"/>
    <mergeCell ref="OE7:OF7"/>
    <mergeCell ref="OG7:OH7"/>
    <mergeCell ref="OI7:OJ7"/>
    <mergeCell ref="OK7:OL7"/>
    <mergeCell ref="OM7:ON7"/>
    <mergeCell ref="OO7:OP7"/>
    <mergeCell ref="OQ7:OR7"/>
    <mergeCell ref="OS7:OT7"/>
    <mergeCell ref="ME7:MF7"/>
    <mergeCell ref="MG7:MH7"/>
    <mergeCell ref="MI7:MJ7"/>
    <mergeCell ref="MK7:ML7"/>
    <mergeCell ref="MM7:MN7"/>
    <mergeCell ref="MO7:MP7"/>
    <mergeCell ref="MQ7:MR7"/>
    <mergeCell ref="MS7:MT7"/>
    <mergeCell ref="MU7:MV7"/>
    <mergeCell ref="MW7:MX7"/>
    <mergeCell ref="MY7:MZ7"/>
    <mergeCell ref="NA7:NB7"/>
    <mergeCell ref="NC7:ND7"/>
    <mergeCell ref="NE7:NF7"/>
    <mergeCell ref="NG7:NH7"/>
    <mergeCell ref="NI7:NJ7"/>
    <mergeCell ref="NK7:NL7"/>
    <mergeCell ref="KW7:KX7"/>
    <mergeCell ref="KY7:KZ7"/>
    <mergeCell ref="LA7:LB7"/>
    <mergeCell ref="LC7:LD7"/>
    <mergeCell ref="LE7:LF7"/>
    <mergeCell ref="LG7:LH7"/>
    <mergeCell ref="LI7:LJ7"/>
    <mergeCell ref="LK7:LL7"/>
    <mergeCell ref="LM7:LN7"/>
    <mergeCell ref="LO7:LP7"/>
    <mergeCell ref="LQ7:LR7"/>
    <mergeCell ref="LS7:LT7"/>
    <mergeCell ref="LU7:LV7"/>
    <mergeCell ref="LW7:LX7"/>
    <mergeCell ref="LY7:LZ7"/>
    <mergeCell ref="MA7:MB7"/>
    <mergeCell ref="MC7:MD7"/>
    <mergeCell ref="AAQ6:AAR6"/>
    <mergeCell ref="AAS6:AAT6"/>
    <mergeCell ref="AAU6:AAV6"/>
    <mergeCell ref="AAW6:AAX6"/>
    <mergeCell ref="AAY6:AAZ6"/>
    <mergeCell ref="ABA6:ABB6"/>
    <mergeCell ref="ABC6:ABD6"/>
    <mergeCell ref="IY7:IZ7"/>
    <mergeCell ref="JA7:JB7"/>
    <mergeCell ref="JC7:JD7"/>
    <mergeCell ref="JE7:JF7"/>
    <mergeCell ref="JG7:JH7"/>
    <mergeCell ref="JI7:JJ7"/>
    <mergeCell ref="JK7:JL7"/>
    <mergeCell ref="JM7:JN7"/>
    <mergeCell ref="JO7:JP7"/>
    <mergeCell ref="JQ7:JR7"/>
    <mergeCell ref="JS7:JT7"/>
    <mergeCell ref="JU7:JV7"/>
    <mergeCell ref="JW7:JX7"/>
    <mergeCell ref="JY7:JZ7"/>
    <mergeCell ref="KA7:KB7"/>
    <mergeCell ref="KC7:KD7"/>
    <mergeCell ref="KE7:KF7"/>
    <mergeCell ref="KG7:KH7"/>
    <mergeCell ref="KI7:KJ7"/>
    <mergeCell ref="KK7:KL7"/>
    <mergeCell ref="KM7:KN7"/>
    <mergeCell ref="KO7:KP7"/>
    <mergeCell ref="KQ7:KR7"/>
    <mergeCell ref="KS7:KT7"/>
    <mergeCell ref="KU7:KV7"/>
    <mergeCell ref="ZI6:ZJ6"/>
    <mergeCell ref="ZK6:ZL6"/>
    <mergeCell ref="ZM6:ZN6"/>
    <mergeCell ref="ZO6:ZP6"/>
    <mergeCell ref="ZQ6:ZR6"/>
    <mergeCell ref="ZS6:ZT6"/>
    <mergeCell ref="ZU6:ZV6"/>
    <mergeCell ref="ZW6:ZX6"/>
    <mergeCell ref="ZY6:ZZ6"/>
    <mergeCell ref="AAA6:AAB6"/>
    <mergeCell ref="AAC6:AAD6"/>
    <mergeCell ref="AAE6:AAF6"/>
    <mergeCell ref="AAG6:AAH6"/>
    <mergeCell ref="AAI6:AAJ6"/>
    <mergeCell ref="AAK6:AAL6"/>
    <mergeCell ref="AAM6:AAN6"/>
    <mergeCell ref="AAO6:AAP6"/>
    <mergeCell ref="YA6:YB6"/>
    <mergeCell ref="YC6:YD6"/>
    <mergeCell ref="YE6:YF6"/>
    <mergeCell ref="YG6:YH6"/>
    <mergeCell ref="YI6:YJ6"/>
    <mergeCell ref="YK6:YL6"/>
    <mergeCell ref="YM6:YN6"/>
    <mergeCell ref="YO6:YP6"/>
    <mergeCell ref="YQ6:YR6"/>
    <mergeCell ref="YS6:YT6"/>
    <mergeCell ref="YU6:YV6"/>
    <mergeCell ref="YW6:YX6"/>
    <mergeCell ref="YY6:YZ6"/>
    <mergeCell ref="ZA6:ZB6"/>
    <mergeCell ref="ZC6:ZD6"/>
    <mergeCell ref="ZE6:ZF6"/>
    <mergeCell ref="ZG6:ZH6"/>
    <mergeCell ref="WS6:WT6"/>
    <mergeCell ref="WU6:WV6"/>
    <mergeCell ref="WW6:WX6"/>
    <mergeCell ref="WY6:WZ6"/>
    <mergeCell ref="XA6:XB6"/>
    <mergeCell ref="XC6:XD6"/>
    <mergeCell ref="XE6:XF6"/>
    <mergeCell ref="XG6:XH6"/>
    <mergeCell ref="XI6:XJ6"/>
    <mergeCell ref="XK6:XL6"/>
    <mergeCell ref="XM6:XN6"/>
    <mergeCell ref="XO6:XP6"/>
    <mergeCell ref="XQ6:XR6"/>
    <mergeCell ref="XS6:XT6"/>
    <mergeCell ref="XU6:XV6"/>
    <mergeCell ref="XW6:XX6"/>
    <mergeCell ref="XY6:XZ6"/>
    <mergeCell ref="VK6:VL6"/>
    <mergeCell ref="VM6:VN6"/>
    <mergeCell ref="VO6:VP6"/>
    <mergeCell ref="VQ6:VR6"/>
    <mergeCell ref="VS6:VT6"/>
    <mergeCell ref="VU6:VV6"/>
    <mergeCell ref="VW6:VX6"/>
    <mergeCell ref="VY6:VZ6"/>
    <mergeCell ref="WA6:WB6"/>
    <mergeCell ref="WC6:WD6"/>
    <mergeCell ref="WE6:WF6"/>
    <mergeCell ref="WG6:WH6"/>
    <mergeCell ref="WI6:WJ6"/>
    <mergeCell ref="WK6:WL6"/>
    <mergeCell ref="WM6:WN6"/>
    <mergeCell ref="WO6:WP6"/>
    <mergeCell ref="WQ6:WR6"/>
    <mergeCell ref="UC6:UD6"/>
    <mergeCell ref="UE6:UF6"/>
    <mergeCell ref="UG6:UH6"/>
    <mergeCell ref="UI6:UJ6"/>
    <mergeCell ref="UK6:UL6"/>
    <mergeCell ref="UM6:UN6"/>
    <mergeCell ref="UO6:UP6"/>
    <mergeCell ref="UQ6:UR6"/>
    <mergeCell ref="US6:UT6"/>
    <mergeCell ref="UU6:UV6"/>
    <mergeCell ref="UW6:UX6"/>
    <mergeCell ref="UY6:UZ6"/>
    <mergeCell ref="VA6:VB6"/>
    <mergeCell ref="VC6:VD6"/>
    <mergeCell ref="VE6:VF6"/>
    <mergeCell ref="VG6:VH6"/>
    <mergeCell ref="VI6:VJ6"/>
    <mergeCell ref="SU6:SV6"/>
    <mergeCell ref="SW6:SX6"/>
    <mergeCell ref="SY6:SZ6"/>
    <mergeCell ref="TA6:TB6"/>
    <mergeCell ref="TC6:TD6"/>
    <mergeCell ref="TE6:TF6"/>
    <mergeCell ref="TG6:TH6"/>
    <mergeCell ref="TI6:TJ6"/>
    <mergeCell ref="TK6:TL6"/>
    <mergeCell ref="TM6:TN6"/>
    <mergeCell ref="TO6:TP6"/>
    <mergeCell ref="TQ6:TR6"/>
    <mergeCell ref="TS6:TT6"/>
    <mergeCell ref="TU6:TV6"/>
    <mergeCell ref="TW6:TX6"/>
    <mergeCell ref="TY6:TZ6"/>
    <mergeCell ref="UA6:UB6"/>
    <mergeCell ref="RM6:RN6"/>
    <mergeCell ref="RO6:RP6"/>
    <mergeCell ref="RQ6:RR6"/>
    <mergeCell ref="RS6:RT6"/>
    <mergeCell ref="RU6:RV6"/>
    <mergeCell ref="RW6:RX6"/>
    <mergeCell ref="RY6:RZ6"/>
    <mergeCell ref="SA6:SB6"/>
    <mergeCell ref="SC6:SD6"/>
    <mergeCell ref="SE6:SF6"/>
    <mergeCell ref="SG6:SH6"/>
    <mergeCell ref="SI6:SJ6"/>
    <mergeCell ref="SK6:SL6"/>
    <mergeCell ref="SM6:SN6"/>
    <mergeCell ref="SO6:SP6"/>
    <mergeCell ref="SQ6:SR6"/>
    <mergeCell ref="SS6:ST6"/>
    <mergeCell ref="QE6:QF6"/>
    <mergeCell ref="QG6:QH6"/>
    <mergeCell ref="QI6:QJ6"/>
    <mergeCell ref="QK6:QL6"/>
    <mergeCell ref="QM6:QN6"/>
    <mergeCell ref="QO6:QP6"/>
    <mergeCell ref="QQ6:QR6"/>
    <mergeCell ref="QS6:QT6"/>
    <mergeCell ref="QU6:QV6"/>
    <mergeCell ref="QW6:QX6"/>
    <mergeCell ref="QY6:QZ6"/>
    <mergeCell ref="RA6:RB6"/>
    <mergeCell ref="RC6:RD6"/>
    <mergeCell ref="RE6:RF6"/>
    <mergeCell ref="RG6:RH6"/>
    <mergeCell ref="RI6:RJ6"/>
    <mergeCell ref="RK6:RL6"/>
    <mergeCell ref="OW6:OX6"/>
    <mergeCell ref="OY6:OZ6"/>
    <mergeCell ref="PA6:PB6"/>
    <mergeCell ref="PC6:PD6"/>
    <mergeCell ref="PE6:PF6"/>
    <mergeCell ref="PG6:PH6"/>
    <mergeCell ref="PI6:PJ6"/>
    <mergeCell ref="PK6:PL6"/>
    <mergeCell ref="PM6:PN6"/>
    <mergeCell ref="PO6:PP6"/>
    <mergeCell ref="PQ6:PR6"/>
    <mergeCell ref="PS6:PT6"/>
    <mergeCell ref="PU6:PV6"/>
    <mergeCell ref="PW6:PX6"/>
    <mergeCell ref="PY6:PZ6"/>
    <mergeCell ref="QA6:QB6"/>
    <mergeCell ref="QC6:QD6"/>
    <mergeCell ref="NO6:NP6"/>
    <mergeCell ref="NQ6:NR6"/>
    <mergeCell ref="NS6:NT6"/>
    <mergeCell ref="NU6:NV6"/>
    <mergeCell ref="NW6:NX6"/>
    <mergeCell ref="NY6:NZ6"/>
    <mergeCell ref="OA6:OB6"/>
    <mergeCell ref="OC6:OD6"/>
    <mergeCell ref="OE6:OF6"/>
    <mergeCell ref="OG6:OH6"/>
    <mergeCell ref="OI6:OJ6"/>
    <mergeCell ref="OK6:OL6"/>
    <mergeCell ref="OM6:ON6"/>
    <mergeCell ref="OO6:OP6"/>
    <mergeCell ref="OQ6:OR6"/>
    <mergeCell ref="OS6:OT6"/>
    <mergeCell ref="OU6:OV6"/>
    <mergeCell ref="MG6:MH6"/>
    <mergeCell ref="MI6:MJ6"/>
    <mergeCell ref="MK6:ML6"/>
    <mergeCell ref="MM6:MN6"/>
    <mergeCell ref="MO6:MP6"/>
    <mergeCell ref="MQ6:MR6"/>
    <mergeCell ref="MS6:MT6"/>
    <mergeCell ref="MU6:MV6"/>
    <mergeCell ref="MW6:MX6"/>
    <mergeCell ref="MY6:MZ6"/>
    <mergeCell ref="NA6:NB6"/>
    <mergeCell ref="NC6:ND6"/>
    <mergeCell ref="NE6:NF6"/>
    <mergeCell ref="NG6:NH6"/>
    <mergeCell ref="NI6:NJ6"/>
    <mergeCell ref="NK6:NL6"/>
    <mergeCell ref="NM6:NN6"/>
    <mergeCell ref="KY6:KZ6"/>
    <mergeCell ref="LA6:LB6"/>
    <mergeCell ref="LC6:LD6"/>
    <mergeCell ref="LE6:LF6"/>
    <mergeCell ref="LG6:LH6"/>
    <mergeCell ref="LI6:LJ6"/>
    <mergeCell ref="LK6:LL6"/>
    <mergeCell ref="LM6:LN6"/>
    <mergeCell ref="LO6:LP6"/>
    <mergeCell ref="LQ6:LR6"/>
    <mergeCell ref="LS6:LT6"/>
    <mergeCell ref="LU6:LV6"/>
    <mergeCell ref="LW6:LX6"/>
    <mergeCell ref="LY6:LZ6"/>
    <mergeCell ref="MA6:MB6"/>
    <mergeCell ref="MC6:MD6"/>
    <mergeCell ref="ME6:MF6"/>
    <mergeCell ref="AAS5:AAT5"/>
    <mergeCell ref="AAU5:AAV5"/>
    <mergeCell ref="AAW5:AAX5"/>
    <mergeCell ref="AAY5:AAZ5"/>
    <mergeCell ref="ABA5:ABB5"/>
    <mergeCell ref="ABC5:ABD5"/>
    <mergeCell ref="IY6:IZ6"/>
    <mergeCell ref="JA6:JB6"/>
    <mergeCell ref="JC6:JD6"/>
    <mergeCell ref="JE6:JF6"/>
    <mergeCell ref="JG6:JH6"/>
    <mergeCell ref="JI6:JJ6"/>
    <mergeCell ref="JK6:JL6"/>
    <mergeCell ref="JM6:JN6"/>
    <mergeCell ref="JO6:JP6"/>
    <mergeCell ref="JQ6:JR6"/>
    <mergeCell ref="JS6:JT6"/>
    <mergeCell ref="JU6:JV6"/>
    <mergeCell ref="JW6:JX6"/>
    <mergeCell ref="JY6:JZ6"/>
    <mergeCell ref="KA6:KB6"/>
    <mergeCell ref="KC6:KD6"/>
    <mergeCell ref="KE6:KF6"/>
    <mergeCell ref="KG6:KH6"/>
    <mergeCell ref="KI6:KJ6"/>
    <mergeCell ref="KK6:KL6"/>
    <mergeCell ref="KM6:KN6"/>
    <mergeCell ref="KO6:KP6"/>
    <mergeCell ref="KQ6:KR6"/>
    <mergeCell ref="KS6:KT6"/>
    <mergeCell ref="KU6:KV6"/>
    <mergeCell ref="KW6:KX6"/>
    <mergeCell ref="ZK5:ZL5"/>
    <mergeCell ref="ZM5:ZN5"/>
    <mergeCell ref="ZO5:ZP5"/>
    <mergeCell ref="ZQ5:ZR5"/>
    <mergeCell ref="ZS5:ZT5"/>
    <mergeCell ref="ZU5:ZV5"/>
    <mergeCell ref="ZW5:ZX5"/>
    <mergeCell ref="ZY5:ZZ5"/>
    <mergeCell ref="AAA5:AAB5"/>
    <mergeCell ref="AAC5:AAD5"/>
    <mergeCell ref="AAE5:AAF5"/>
    <mergeCell ref="AAG5:AAH5"/>
    <mergeCell ref="AAI5:AAJ5"/>
    <mergeCell ref="AAK5:AAL5"/>
    <mergeCell ref="AAM5:AAN5"/>
    <mergeCell ref="AAO5:AAP5"/>
    <mergeCell ref="AAQ5:AAR5"/>
    <mergeCell ref="YC5:YD5"/>
    <mergeCell ref="YE5:YF5"/>
    <mergeCell ref="YG5:YH5"/>
    <mergeCell ref="YI5:YJ5"/>
    <mergeCell ref="YK5:YL5"/>
    <mergeCell ref="YM5:YN5"/>
    <mergeCell ref="YO5:YP5"/>
    <mergeCell ref="YQ5:YR5"/>
    <mergeCell ref="YS5:YT5"/>
    <mergeCell ref="YU5:YV5"/>
    <mergeCell ref="YW5:YX5"/>
    <mergeCell ref="YY5:YZ5"/>
    <mergeCell ref="ZA5:ZB5"/>
    <mergeCell ref="ZC5:ZD5"/>
    <mergeCell ref="ZE5:ZF5"/>
    <mergeCell ref="ZG5:ZH5"/>
    <mergeCell ref="ZI5:ZJ5"/>
    <mergeCell ref="WU5:WV5"/>
    <mergeCell ref="WW5:WX5"/>
    <mergeCell ref="WY5:WZ5"/>
    <mergeCell ref="XA5:XB5"/>
    <mergeCell ref="XC5:XD5"/>
    <mergeCell ref="XE5:XF5"/>
    <mergeCell ref="XG5:XH5"/>
    <mergeCell ref="XI5:XJ5"/>
    <mergeCell ref="XK5:XL5"/>
    <mergeCell ref="XM5:XN5"/>
    <mergeCell ref="XO5:XP5"/>
    <mergeCell ref="XQ5:XR5"/>
    <mergeCell ref="XS5:XT5"/>
    <mergeCell ref="XU5:XV5"/>
    <mergeCell ref="XW5:XX5"/>
    <mergeCell ref="XY5:XZ5"/>
    <mergeCell ref="YA5:YB5"/>
    <mergeCell ref="VM5:VN5"/>
    <mergeCell ref="VO5:VP5"/>
    <mergeCell ref="VQ5:VR5"/>
    <mergeCell ref="VS5:VT5"/>
    <mergeCell ref="VU5:VV5"/>
    <mergeCell ref="VW5:VX5"/>
    <mergeCell ref="VY5:VZ5"/>
    <mergeCell ref="WA5:WB5"/>
    <mergeCell ref="WC5:WD5"/>
    <mergeCell ref="WE5:WF5"/>
    <mergeCell ref="WG5:WH5"/>
    <mergeCell ref="WI5:WJ5"/>
    <mergeCell ref="WK5:WL5"/>
    <mergeCell ref="WM5:WN5"/>
    <mergeCell ref="WO5:WP5"/>
    <mergeCell ref="WQ5:WR5"/>
    <mergeCell ref="WS5:WT5"/>
    <mergeCell ref="UE5:UF5"/>
    <mergeCell ref="UG5:UH5"/>
    <mergeCell ref="UI5:UJ5"/>
    <mergeCell ref="UK5:UL5"/>
    <mergeCell ref="UM5:UN5"/>
    <mergeCell ref="UO5:UP5"/>
    <mergeCell ref="UQ5:UR5"/>
    <mergeCell ref="US5:UT5"/>
    <mergeCell ref="UU5:UV5"/>
    <mergeCell ref="UW5:UX5"/>
    <mergeCell ref="UY5:UZ5"/>
    <mergeCell ref="VA5:VB5"/>
    <mergeCell ref="VC5:VD5"/>
    <mergeCell ref="VE5:VF5"/>
    <mergeCell ref="VG5:VH5"/>
    <mergeCell ref="VI5:VJ5"/>
    <mergeCell ref="VK5:VL5"/>
    <mergeCell ref="SW5:SX5"/>
    <mergeCell ref="SY5:SZ5"/>
    <mergeCell ref="TA5:TB5"/>
    <mergeCell ref="TC5:TD5"/>
    <mergeCell ref="TE5:TF5"/>
    <mergeCell ref="TG5:TH5"/>
    <mergeCell ref="TI5:TJ5"/>
    <mergeCell ref="TK5:TL5"/>
    <mergeCell ref="TM5:TN5"/>
    <mergeCell ref="TO5:TP5"/>
    <mergeCell ref="TQ5:TR5"/>
    <mergeCell ref="TS5:TT5"/>
    <mergeCell ref="TU5:TV5"/>
    <mergeCell ref="TW5:TX5"/>
    <mergeCell ref="TY5:TZ5"/>
    <mergeCell ref="UA5:UB5"/>
    <mergeCell ref="UC5:UD5"/>
    <mergeCell ref="RO5:RP5"/>
    <mergeCell ref="RQ5:RR5"/>
    <mergeCell ref="RS5:RT5"/>
    <mergeCell ref="RU5:RV5"/>
    <mergeCell ref="RW5:RX5"/>
    <mergeCell ref="RY5:RZ5"/>
    <mergeCell ref="SA5:SB5"/>
    <mergeCell ref="SC5:SD5"/>
    <mergeCell ref="SE5:SF5"/>
    <mergeCell ref="SG5:SH5"/>
    <mergeCell ref="SI5:SJ5"/>
    <mergeCell ref="SK5:SL5"/>
    <mergeCell ref="SM5:SN5"/>
    <mergeCell ref="SO5:SP5"/>
    <mergeCell ref="SQ5:SR5"/>
    <mergeCell ref="SS5:ST5"/>
    <mergeCell ref="SU5:SV5"/>
    <mergeCell ref="QG5:QH5"/>
    <mergeCell ref="QI5:QJ5"/>
    <mergeCell ref="QK5:QL5"/>
    <mergeCell ref="QM5:QN5"/>
    <mergeCell ref="QO5:QP5"/>
    <mergeCell ref="QQ5:QR5"/>
    <mergeCell ref="QS5:QT5"/>
    <mergeCell ref="QU5:QV5"/>
    <mergeCell ref="QW5:QX5"/>
    <mergeCell ref="QY5:QZ5"/>
    <mergeCell ref="RA5:RB5"/>
    <mergeCell ref="RC5:RD5"/>
    <mergeCell ref="RE5:RF5"/>
    <mergeCell ref="RG5:RH5"/>
    <mergeCell ref="RI5:RJ5"/>
    <mergeCell ref="RK5:RL5"/>
    <mergeCell ref="RM5:RN5"/>
    <mergeCell ref="OY5:OZ5"/>
    <mergeCell ref="PA5:PB5"/>
    <mergeCell ref="PC5:PD5"/>
    <mergeCell ref="PE5:PF5"/>
    <mergeCell ref="PG5:PH5"/>
    <mergeCell ref="PI5:PJ5"/>
    <mergeCell ref="PK5:PL5"/>
    <mergeCell ref="PM5:PN5"/>
    <mergeCell ref="PO5:PP5"/>
    <mergeCell ref="PQ5:PR5"/>
    <mergeCell ref="PS5:PT5"/>
    <mergeCell ref="PU5:PV5"/>
    <mergeCell ref="PW5:PX5"/>
    <mergeCell ref="PY5:PZ5"/>
    <mergeCell ref="QA5:QB5"/>
    <mergeCell ref="QC5:QD5"/>
    <mergeCell ref="QE5:QF5"/>
    <mergeCell ref="NQ5:NR5"/>
    <mergeCell ref="NS5:NT5"/>
    <mergeCell ref="NU5:NV5"/>
    <mergeCell ref="NW5:NX5"/>
    <mergeCell ref="NY5:NZ5"/>
    <mergeCell ref="OA5:OB5"/>
    <mergeCell ref="OC5:OD5"/>
    <mergeCell ref="OE5:OF5"/>
    <mergeCell ref="OG5:OH5"/>
    <mergeCell ref="OI5:OJ5"/>
    <mergeCell ref="OK5:OL5"/>
    <mergeCell ref="OM5:ON5"/>
    <mergeCell ref="OO5:OP5"/>
    <mergeCell ref="OQ5:OR5"/>
    <mergeCell ref="OS5:OT5"/>
    <mergeCell ref="OU5:OV5"/>
    <mergeCell ref="OW5:OX5"/>
    <mergeCell ref="MI5:MJ5"/>
    <mergeCell ref="MK5:ML5"/>
    <mergeCell ref="MM5:MN5"/>
    <mergeCell ref="MO5:MP5"/>
    <mergeCell ref="MQ5:MR5"/>
    <mergeCell ref="MS5:MT5"/>
    <mergeCell ref="MU5:MV5"/>
    <mergeCell ref="MW5:MX5"/>
    <mergeCell ref="MY5:MZ5"/>
    <mergeCell ref="NA5:NB5"/>
    <mergeCell ref="NC5:ND5"/>
    <mergeCell ref="NE5:NF5"/>
    <mergeCell ref="NG5:NH5"/>
    <mergeCell ref="NI5:NJ5"/>
    <mergeCell ref="NK5:NL5"/>
    <mergeCell ref="NM5:NN5"/>
    <mergeCell ref="NO5:NP5"/>
    <mergeCell ref="LA5:LB5"/>
    <mergeCell ref="LC5:LD5"/>
    <mergeCell ref="LE5:LF5"/>
    <mergeCell ref="LG5:LH5"/>
    <mergeCell ref="LI5:LJ5"/>
    <mergeCell ref="LK5:LL5"/>
    <mergeCell ref="LM5:LN5"/>
    <mergeCell ref="LO5:LP5"/>
    <mergeCell ref="LQ5:LR5"/>
    <mergeCell ref="LS5:LT5"/>
    <mergeCell ref="LU5:LV5"/>
    <mergeCell ref="LW5:LX5"/>
    <mergeCell ref="LY5:LZ5"/>
    <mergeCell ref="MA5:MB5"/>
    <mergeCell ref="MC5:MD5"/>
    <mergeCell ref="ME5:MF5"/>
    <mergeCell ref="MG5:MH5"/>
    <mergeCell ref="AAU4:AAV4"/>
    <mergeCell ref="AAW4:AAX4"/>
    <mergeCell ref="AAY4:AAZ4"/>
    <mergeCell ref="ABA4:ABB4"/>
    <mergeCell ref="ABC4:ABD4"/>
    <mergeCell ref="IY5:IZ5"/>
    <mergeCell ref="JA5:JB5"/>
    <mergeCell ref="JC5:JD5"/>
    <mergeCell ref="JE5:JF5"/>
    <mergeCell ref="JG5:JH5"/>
    <mergeCell ref="JI5:JJ5"/>
    <mergeCell ref="JK5:JL5"/>
    <mergeCell ref="JM5:JN5"/>
    <mergeCell ref="JO5:JP5"/>
    <mergeCell ref="JQ5:JR5"/>
    <mergeCell ref="JS5:JT5"/>
    <mergeCell ref="JU5:JV5"/>
    <mergeCell ref="JW5:JX5"/>
    <mergeCell ref="JY5:JZ5"/>
    <mergeCell ref="KA5:KB5"/>
    <mergeCell ref="KC5:KD5"/>
    <mergeCell ref="KE5:KF5"/>
    <mergeCell ref="KG5:KH5"/>
    <mergeCell ref="KI5:KJ5"/>
    <mergeCell ref="KK5:KL5"/>
    <mergeCell ref="KM5:KN5"/>
    <mergeCell ref="KO5:KP5"/>
    <mergeCell ref="KQ5:KR5"/>
    <mergeCell ref="KS5:KT5"/>
    <mergeCell ref="KU5:KV5"/>
    <mergeCell ref="KW5:KX5"/>
    <mergeCell ref="KY5:KZ5"/>
    <mergeCell ref="ZM4:ZN4"/>
    <mergeCell ref="ZO4:ZP4"/>
    <mergeCell ref="ZQ4:ZR4"/>
    <mergeCell ref="ZS4:ZT4"/>
    <mergeCell ref="ZU4:ZV4"/>
    <mergeCell ref="ZW4:ZX4"/>
    <mergeCell ref="ZY4:ZZ4"/>
    <mergeCell ref="AAA4:AAB4"/>
    <mergeCell ref="AAC4:AAD4"/>
    <mergeCell ref="AAE4:AAF4"/>
    <mergeCell ref="AAG4:AAH4"/>
    <mergeCell ref="AAI4:AAJ4"/>
    <mergeCell ref="AAK4:AAL4"/>
    <mergeCell ref="AAM4:AAN4"/>
    <mergeCell ref="AAO4:AAP4"/>
    <mergeCell ref="AAQ4:AAR4"/>
    <mergeCell ref="AAS4:AAT4"/>
    <mergeCell ref="YE4:YF4"/>
    <mergeCell ref="YG4:YH4"/>
    <mergeCell ref="YI4:YJ4"/>
    <mergeCell ref="YK4:YL4"/>
    <mergeCell ref="YM4:YN4"/>
    <mergeCell ref="YO4:YP4"/>
    <mergeCell ref="YQ4:YR4"/>
    <mergeCell ref="YS4:YT4"/>
    <mergeCell ref="YU4:YV4"/>
    <mergeCell ref="YW4:YX4"/>
    <mergeCell ref="YY4:YZ4"/>
    <mergeCell ref="ZA4:ZB4"/>
    <mergeCell ref="ZC4:ZD4"/>
    <mergeCell ref="ZE4:ZF4"/>
    <mergeCell ref="ZG4:ZH4"/>
    <mergeCell ref="ZI4:ZJ4"/>
    <mergeCell ref="ZK4:ZL4"/>
    <mergeCell ref="WW4:WX4"/>
    <mergeCell ref="WY4:WZ4"/>
    <mergeCell ref="XA4:XB4"/>
    <mergeCell ref="XC4:XD4"/>
    <mergeCell ref="XE4:XF4"/>
    <mergeCell ref="XG4:XH4"/>
    <mergeCell ref="XI4:XJ4"/>
    <mergeCell ref="XK4:XL4"/>
    <mergeCell ref="XM4:XN4"/>
    <mergeCell ref="XO4:XP4"/>
    <mergeCell ref="XQ4:XR4"/>
    <mergeCell ref="XS4:XT4"/>
    <mergeCell ref="XU4:XV4"/>
    <mergeCell ref="XW4:XX4"/>
    <mergeCell ref="XY4:XZ4"/>
    <mergeCell ref="YA4:YB4"/>
    <mergeCell ref="YC4:YD4"/>
    <mergeCell ref="VO4:VP4"/>
    <mergeCell ref="VQ4:VR4"/>
    <mergeCell ref="VS4:VT4"/>
    <mergeCell ref="VU4:VV4"/>
    <mergeCell ref="VW4:VX4"/>
    <mergeCell ref="VY4:VZ4"/>
    <mergeCell ref="WA4:WB4"/>
    <mergeCell ref="WC4:WD4"/>
    <mergeCell ref="WE4:WF4"/>
    <mergeCell ref="WG4:WH4"/>
    <mergeCell ref="WI4:WJ4"/>
    <mergeCell ref="WK4:WL4"/>
    <mergeCell ref="WM4:WN4"/>
    <mergeCell ref="WO4:WP4"/>
    <mergeCell ref="WQ4:WR4"/>
    <mergeCell ref="WS4:WT4"/>
    <mergeCell ref="WU4:WV4"/>
    <mergeCell ref="UG4:UH4"/>
    <mergeCell ref="UI4:UJ4"/>
    <mergeCell ref="UK4:UL4"/>
    <mergeCell ref="UM4:UN4"/>
    <mergeCell ref="UO4:UP4"/>
    <mergeCell ref="UQ4:UR4"/>
    <mergeCell ref="US4:UT4"/>
    <mergeCell ref="UU4:UV4"/>
    <mergeCell ref="UW4:UX4"/>
    <mergeCell ref="UY4:UZ4"/>
    <mergeCell ref="VA4:VB4"/>
    <mergeCell ref="VC4:VD4"/>
    <mergeCell ref="VE4:VF4"/>
    <mergeCell ref="VG4:VH4"/>
    <mergeCell ref="VI4:VJ4"/>
    <mergeCell ref="VK4:VL4"/>
    <mergeCell ref="VM4:VN4"/>
    <mergeCell ref="SY4:SZ4"/>
    <mergeCell ref="TA4:TB4"/>
    <mergeCell ref="TC4:TD4"/>
    <mergeCell ref="TE4:TF4"/>
    <mergeCell ref="TG4:TH4"/>
    <mergeCell ref="TI4:TJ4"/>
    <mergeCell ref="TK4:TL4"/>
    <mergeCell ref="TM4:TN4"/>
    <mergeCell ref="TO4:TP4"/>
    <mergeCell ref="TQ4:TR4"/>
    <mergeCell ref="TS4:TT4"/>
    <mergeCell ref="TU4:TV4"/>
    <mergeCell ref="TW4:TX4"/>
    <mergeCell ref="TY4:TZ4"/>
    <mergeCell ref="UA4:UB4"/>
    <mergeCell ref="UC4:UD4"/>
    <mergeCell ref="UE4:UF4"/>
    <mergeCell ref="RQ4:RR4"/>
    <mergeCell ref="RS4:RT4"/>
    <mergeCell ref="RU4:RV4"/>
    <mergeCell ref="RW4:RX4"/>
    <mergeCell ref="RY4:RZ4"/>
    <mergeCell ref="SA4:SB4"/>
    <mergeCell ref="SC4:SD4"/>
    <mergeCell ref="SE4:SF4"/>
    <mergeCell ref="SG4:SH4"/>
    <mergeCell ref="SI4:SJ4"/>
    <mergeCell ref="SK4:SL4"/>
    <mergeCell ref="SM4:SN4"/>
    <mergeCell ref="SO4:SP4"/>
    <mergeCell ref="SQ4:SR4"/>
    <mergeCell ref="SS4:ST4"/>
    <mergeCell ref="SU4:SV4"/>
    <mergeCell ref="SW4:SX4"/>
    <mergeCell ref="QI4:QJ4"/>
    <mergeCell ref="QK4:QL4"/>
    <mergeCell ref="QM4:QN4"/>
    <mergeCell ref="QO4:QP4"/>
    <mergeCell ref="QQ4:QR4"/>
    <mergeCell ref="QS4:QT4"/>
    <mergeCell ref="QU4:QV4"/>
    <mergeCell ref="QW4:QX4"/>
    <mergeCell ref="QY4:QZ4"/>
    <mergeCell ref="RA4:RB4"/>
    <mergeCell ref="RC4:RD4"/>
    <mergeCell ref="RE4:RF4"/>
    <mergeCell ref="RG4:RH4"/>
    <mergeCell ref="RI4:RJ4"/>
    <mergeCell ref="RK4:RL4"/>
    <mergeCell ref="RM4:RN4"/>
    <mergeCell ref="RO4:RP4"/>
    <mergeCell ref="PA4:PB4"/>
    <mergeCell ref="PC4:PD4"/>
    <mergeCell ref="PE4:PF4"/>
    <mergeCell ref="PG4:PH4"/>
    <mergeCell ref="PI4:PJ4"/>
    <mergeCell ref="PK4:PL4"/>
    <mergeCell ref="PM4:PN4"/>
    <mergeCell ref="PO4:PP4"/>
    <mergeCell ref="PQ4:PR4"/>
    <mergeCell ref="PS4:PT4"/>
    <mergeCell ref="PU4:PV4"/>
    <mergeCell ref="PW4:PX4"/>
    <mergeCell ref="PY4:PZ4"/>
    <mergeCell ref="QA4:QB4"/>
    <mergeCell ref="QC4:QD4"/>
    <mergeCell ref="QE4:QF4"/>
    <mergeCell ref="QG4:QH4"/>
    <mergeCell ref="NS4:NT4"/>
    <mergeCell ref="NU4:NV4"/>
    <mergeCell ref="NW4:NX4"/>
    <mergeCell ref="NY4:NZ4"/>
    <mergeCell ref="OA4:OB4"/>
    <mergeCell ref="OC4:OD4"/>
    <mergeCell ref="OE4:OF4"/>
    <mergeCell ref="OG4:OH4"/>
    <mergeCell ref="OI4:OJ4"/>
    <mergeCell ref="OK4:OL4"/>
    <mergeCell ref="OM4:ON4"/>
    <mergeCell ref="OO4:OP4"/>
    <mergeCell ref="OQ4:OR4"/>
    <mergeCell ref="OS4:OT4"/>
    <mergeCell ref="OU4:OV4"/>
    <mergeCell ref="OW4:OX4"/>
    <mergeCell ref="OY4:OZ4"/>
    <mergeCell ref="MK4:ML4"/>
    <mergeCell ref="MM4:MN4"/>
    <mergeCell ref="MO4:MP4"/>
    <mergeCell ref="MQ4:MR4"/>
    <mergeCell ref="MS4:MT4"/>
    <mergeCell ref="MU4:MV4"/>
    <mergeCell ref="MW4:MX4"/>
    <mergeCell ref="MY4:MZ4"/>
    <mergeCell ref="NA4:NB4"/>
    <mergeCell ref="NC4:ND4"/>
    <mergeCell ref="NE4:NF4"/>
    <mergeCell ref="NG4:NH4"/>
    <mergeCell ref="NI4:NJ4"/>
    <mergeCell ref="NK4:NL4"/>
    <mergeCell ref="NM4:NN4"/>
    <mergeCell ref="NO4:NP4"/>
    <mergeCell ref="NQ4:NR4"/>
    <mergeCell ref="LC4:LD4"/>
    <mergeCell ref="LE4:LF4"/>
    <mergeCell ref="LG4:LH4"/>
    <mergeCell ref="LI4:LJ4"/>
    <mergeCell ref="LK4:LL4"/>
    <mergeCell ref="LM4:LN4"/>
    <mergeCell ref="LO4:LP4"/>
    <mergeCell ref="LQ4:LR4"/>
    <mergeCell ref="LS4:LT4"/>
    <mergeCell ref="LU4:LV4"/>
    <mergeCell ref="LW4:LX4"/>
    <mergeCell ref="LY4:LZ4"/>
    <mergeCell ref="MA4:MB4"/>
    <mergeCell ref="MC4:MD4"/>
    <mergeCell ref="ME4:MF4"/>
    <mergeCell ref="MG4:MH4"/>
    <mergeCell ref="MI4:MJ4"/>
    <mergeCell ref="AAW3:AAX3"/>
    <mergeCell ref="AAY3:AAZ3"/>
    <mergeCell ref="ABA3:ABB3"/>
    <mergeCell ref="ABC3:ABD3"/>
    <mergeCell ref="IY4:IZ4"/>
    <mergeCell ref="JA4:JB4"/>
    <mergeCell ref="JC4:JD4"/>
    <mergeCell ref="JE4:JF4"/>
    <mergeCell ref="JG4:JH4"/>
    <mergeCell ref="JI4:JJ4"/>
    <mergeCell ref="JK4:JL4"/>
    <mergeCell ref="JM4:JN4"/>
    <mergeCell ref="JO4:JP4"/>
    <mergeCell ref="JQ4:JR4"/>
    <mergeCell ref="JS4:JT4"/>
    <mergeCell ref="JU4:JV4"/>
    <mergeCell ref="JW4:JX4"/>
    <mergeCell ref="JY4:JZ4"/>
    <mergeCell ref="KA4:KB4"/>
    <mergeCell ref="KC4:KD4"/>
    <mergeCell ref="KE4:KF4"/>
    <mergeCell ref="KG4:KH4"/>
    <mergeCell ref="KI4:KJ4"/>
    <mergeCell ref="KK4:KL4"/>
    <mergeCell ref="KM4:KN4"/>
    <mergeCell ref="KO4:KP4"/>
    <mergeCell ref="KQ4:KR4"/>
    <mergeCell ref="KS4:KT4"/>
    <mergeCell ref="KU4:KV4"/>
    <mergeCell ref="KW4:KX4"/>
    <mergeCell ref="KY4:KZ4"/>
    <mergeCell ref="LA4:LB4"/>
    <mergeCell ref="ZO3:ZP3"/>
    <mergeCell ref="ZQ3:ZR3"/>
    <mergeCell ref="ZS3:ZT3"/>
    <mergeCell ref="ZU3:ZV3"/>
    <mergeCell ref="ZW3:ZX3"/>
    <mergeCell ref="ZY3:ZZ3"/>
    <mergeCell ref="AAA3:AAB3"/>
    <mergeCell ref="AAC3:AAD3"/>
    <mergeCell ref="AAE3:AAF3"/>
    <mergeCell ref="AAG3:AAH3"/>
    <mergeCell ref="AAI3:AAJ3"/>
    <mergeCell ref="AAK3:AAL3"/>
    <mergeCell ref="AAM3:AAN3"/>
    <mergeCell ref="AAO3:AAP3"/>
    <mergeCell ref="AAQ3:AAR3"/>
    <mergeCell ref="AAS3:AAT3"/>
    <mergeCell ref="AAU3:AAV3"/>
    <mergeCell ref="YG3:YH3"/>
    <mergeCell ref="YI3:YJ3"/>
    <mergeCell ref="YK3:YL3"/>
    <mergeCell ref="YM3:YN3"/>
    <mergeCell ref="YO3:YP3"/>
    <mergeCell ref="YQ3:YR3"/>
    <mergeCell ref="YS3:YT3"/>
    <mergeCell ref="YU3:YV3"/>
    <mergeCell ref="YW3:YX3"/>
    <mergeCell ref="YY3:YZ3"/>
    <mergeCell ref="ZA3:ZB3"/>
    <mergeCell ref="ZC3:ZD3"/>
    <mergeCell ref="ZE3:ZF3"/>
    <mergeCell ref="ZG3:ZH3"/>
    <mergeCell ref="ZI3:ZJ3"/>
    <mergeCell ref="ZK3:ZL3"/>
    <mergeCell ref="ZM3:ZN3"/>
    <mergeCell ref="WY3:WZ3"/>
    <mergeCell ref="XA3:XB3"/>
    <mergeCell ref="XC3:XD3"/>
    <mergeCell ref="XE3:XF3"/>
    <mergeCell ref="XG3:XH3"/>
    <mergeCell ref="XI3:XJ3"/>
    <mergeCell ref="XK3:XL3"/>
    <mergeCell ref="XM3:XN3"/>
    <mergeCell ref="XO3:XP3"/>
    <mergeCell ref="XQ3:XR3"/>
    <mergeCell ref="XS3:XT3"/>
    <mergeCell ref="XU3:XV3"/>
    <mergeCell ref="XW3:XX3"/>
    <mergeCell ref="XY3:XZ3"/>
    <mergeCell ref="YA3:YB3"/>
    <mergeCell ref="YC3:YD3"/>
    <mergeCell ref="YE3:YF3"/>
    <mergeCell ref="VQ3:VR3"/>
    <mergeCell ref="VS3:VT3"/>
    <mergeCell ref="VU3:VV3"/>
    <mergeCell ref="VW3:VX3"/>
    <mergeCell ref="VY3:VZ3"/>
    <mergeCell ref="WA3:WB3"/>
    <mergeCell ref="WC3:WD3"/>
    <mergeCell ref="WE3:WF3"/>
    <mergeCell ref="WG3:WH3"/>
    <mergeCell ref="WI3:WJ3"/>
    <mergeCell ref="WK3:WL3"/>
    <mergeCell ref="WM3:WN3"/>
    <mergeCell ref="WO3:WP3"/>
    <mergeCell ref="WQ3:WR3"/>
    <mergeCell ref="WS3:WT3"/>
    <mergeCell ref="WU3:WV3"/>
    <mergeCell ref="WW3:WX3"/>
    <mergeCell ref="UI3:UJ3"/>
    <mergeCell ref="UK3:UL3"/>
    <mergeCell ref="UM3:UN3"/>
    <mergeCell ref="UO3:UP3"/>
    <mergeCell ref="UQ3:UR3"/>
    <mergeCell ref="US3:UT3"/>
    <mergeCell ref="UU3:UV3"/>
    <mergeCell ref="UW3:UX3"/>
    <mergeCell ref="UY3:UZ3"/>
    <mergeCell ref="VA3:VB3"/>
    <mergeCell ref="VC3:VD3"/>
    <mergeCell ref="VE3:VF3"/>
    <mergeCell ref="VG3:VH3"/>
    <mergeCell ref="VI3:VJ3"/>
    <mergeCell ref="VK3:VL3"/>
    <mergeCell ref="VM3:VN3"/>
    <mergeCell ref="VO3:VP3"/>
    <mergeCell ref="TA3:TB3"/>
    <mergeCell ref="TC3:TD3"/>
    <mergeCell ref="TE3:TF3"/>
    <mergeCell ref="TG3:TH3"/>
    <mergeCell ref="TI3:TJ3"/>
    <mergeCell ref="TK3:TL3"/>
    <mergeCell ref="TM3:TN3"/>
    <mergeCell ref="TO3:TP3"/>
    <mergeCell ref="TQ3:TR3"/>
    <mergeCell ref="TS3:TT3"/>
    <mergeCell ref="TU3:TV3"/>
    <mergeCell ref="TW3:TX3"/>
    <mergeCell ref="TY3:TZ3"/>
    <mergeCell ref="UA3:UB3"/>
    <mergeCell ref="UC3:UD3"/>
    <mergeCell ref="UE3:UF3"/>
    <mergeCell ref="UG3:UH3"/>
    <mergeCell ref="RS3:RT3"/>
    <mergeCell ref="RU3:RV3"/>
    <mergeCell ref="RW3:RX3"/>
    <mergeCell ref="RY3:RZ3"/>
    <mergeCell ref="SA3:SB3"/>
    <mergeCell ref="SC3:SD3"/>
    <mergeCell ref="SE3:SF3"/>
    <mergeCell ref="SG3:SH3"/>
    <mergeCell ref="SI3:SJ3"/>
    <mergeCell ref="SK3:SL3"/>
    <mergeCell ref="SM3:SN3"/>
    <mergeCell ref="SO3:SP3"/>
    <mergeCell ref="SQ3:SR3"/>
    <mergeCell ref="SS3:ST3"/>
    <mergeCell ref="SU3:SV3"/>
    <mergeCell ref="SW3:SX3"/>
    <mergeCell ref="SY3:SZ3"/>
    <mergeCell ref="QK3:QL3"/>
    <mergeCell ref="QM3:QN3"/>
    <mergeCell ref="QO3:QP3"/>
    <mergeCell ref="QQ3:QR3"/>
    <mergeCell ref="QS3:QT3"/>
    <mergeCell ref="QU3:QV3"/>
    <mergeCell ref="QW3:QX3"/>
    <mergeCell ref="QY3:QZ3"/>
    <mergeCell ref="RA3:RB3"/>
    <mergeCell ref="RC3:RD3"/>
    <mergeCell ref="RE3:RF3"/>
    <mergeCell ref="RG3:RH3"/>
    <mergeCell ref="RI3:RJ3"/>
    <mergeCell ref="RK3:RL3"/>
    <mergeCell ref="RM3:RN3"/>
    <mergeCell ref="RO3:RP3"/>
    <mergeCell ref="RQ3:RR3"/>
    <mergeCell ref="PC3:PD3"/>
    <mergeCell ref="PE3:PF3"/>
    <mergeCell ref="PG3:PH3"/>
    <mergeCell ref="PI3:PJ3"/>
    <mergeCell ref="PK3:PL3"/>
    <mergeCell ref="PM3:PN3"/>
    <mergeCell ref="PO3:PP3"/>
    <mergeCell ref="PQ3:PR3"/>
    <mergeCell ref="PS3:PT3"/>
    <mergeCell ref="PU3:PV3"/>
    <mergeCell ref="PW3:PX3"/>
    <mergeCell ref="PY3:PZ3"/>
    <mergeCell ref="QA3:QB3"/>
    <mergeCell ref="QC3:QD3"/>
    <mergeCell ref="QE3:QF3"/>
    <mergeCell ref="QG3:QH3"/>
    <mergeCell ref="QI3:QJ3"/>
    <mergeCell ref="NU3:NV3"/>
    <mergeCell ref="NW3:NX3"/>
    <mergeCell ref="NY3:NZ3"/>
    <mergeCell ref="OA3:OB3"/>
    <mergeCell ref="OC3:OD3"/>
    <mergeCell ref="OE3:OF3"/>
    <mergeCell ref="OG3:OH3"/>
    <mergeCell ref="OI3:OJ3"/>
    <mergeCell ref="OK3:OL3"/>
    <mergeCell ref="OM3:ON3"/>
    <mergeCell ref="OO3:OP3"/>
    <mergeCell ref="OQ3:OR3"/>
    <mergeCell ref="OS3:OT3"/>
    <mergeCell ref="OU3:OV3"/>
    <mergeCell ref="OW3:OX3"/>
    <mergeCell ref="OY3:OZ3"/>
    <mergeCell ref="PA3:PB3"/>
    <mergeCell ref="MM3:MN3"/>
    <mergeCell ref="MO3:MP3"/>
    <mergeCell ref="MQ3:MR3"/>
    <mergeCell ref="MS3:MT3"/>
    <mergeCell ref="MU3:MV3"/>
    <mergeCell ref="MW3:MX3"/>
    <mergeCell ref="MY3:MZ3"/>
    <mergeCell ref="NA3:NB3"/>
    <mergeCell ref="NC3:ND3"/>
    <mergeCell ref="NE3:NF3"/>
    <mergeCell ref="NG3:NH3"/>
    <mergeCell ref="NI3:NJ3"/>
    <mergeCell ref="NK3:NL3"/>
    <mergeCell ref="NM3:NN3"/>
    <mergeCell ref="NO3:NP3"/>
    <mergeCell ref="NQ3:NR3"/>
    <mergeCell ref="NS3:NT3"/>
    <mergeCell ref="LE3:LF3"/>
    <mergeCell ref="LG3:LH3"/>
    <mergeCell ref="LI3:LJ3"/>
    <mergeCell ref="LK3:LL3"/>
    <mergeCell ref="LM3:LN3"/>
    <mergeCell ref="LO3:LP3"/>
    <mergeCell ref="LQ3:LR3"/>
    <mergeCell ref="LS3:LT3"/>
    <mergeCell ref="LU3:LV3"/>
    <mergeCell ref="LW3:LX3"/>
    <mergeCell ref="LY3:LZ3"/>
    <mergeCell ref="MA3:MB3"/>
    <mergeCell ref="MC3:MD3"/>
    <mergeCell ref="ME3:MF3"/>
    <mergeCell ref="MG3:MH3"/>
    <mergeCell ref="MI3:MJ3"/>
    <mergeCell ref="MK3:ML3"/>
    <mergeCell ref="AAY2:AAZ2"/>
    <mergeCell ref="ABA2:ABB2"/>
    <mergeCell ref="ABC2:ABD2"/>
    <mergeCell ref="IY3:IZ3"/>
    <mergeCell ref="JA3:JB3"/>
    <mergeCell ref="JC3:JD3"/>
    <mergeCell ref="JE3:JF3"/>
    <mergeCell ref="JG3:JH3"/>
    <mergeCell ref="JI3:JJ3"/>
    <mergeCell ref="JK3:JL3"/>
    <mergeCell ref="JM3:JN3"/>
    <mergeCell ref="JO3:JP3"/>
    <mergeCell ref="JQ3:JR3"/>
    <mergeCell ref="JS3:JT3"/>
    <mergeCell ref="JU3:JV3"/>
    <mergeCell ref="JW3:JX3"/>
    <mergeCell ref="JY3:JZ3"/>
    <mergeCell ref="KA3:KB3"/>
    <mergeCell ref="KC3:KD3"/>
    <mergeCell ref="KE3:KF3"/>
    <mergeCell ref="KG3:KH3"/>
    <mergeCell ref="KI3:KJ3"/>
    <mergeCell ref="KK3:KL3"/>
    <mergeCell ref="KM3:KN3"/>
    <mergeCell ref="KO3:KP3"/>
    <mergeCell ref="KQ3:KR3"/>
    <mergeCell ref="KS3:KT3"/>
    <mergeCell ref="KU3:KV3"/>
    <mergeCell ref="KW3:KX3"/>
    <mergeCell ref="KY3:KZ3"/>
    <mergeCell ref="LA3:LB3"/>
    <mergeCell ref="LC3:LD3"/>
    <mergeCell ref="ZQ2:ZR2"/>
    <mergeCell ref="ZS2:ZT2"/>
    <mergeCell ref="ZU2:ZV2"/>
    <mergeCell ref="ZW2:ZX2"/>
    <mergeCell ref="ZY2:ZZ2"/>
    <mergeCell ref="AAA2:AAB2"/>
    <mergeCell ref="AAC2:AAD2"/>
    <mergeCell ref="AAE2:AAF2"/>
    <mergeCell ref="AAG2:AAH2"/>
    <mergeCell ref="AAI2:AAJ2"/>
    <mergeCell ref="AAK2:AAL2"/>
    <mergeCell ref="AAM2:AAN2"/>
    <mergeCell ref="AAO2:AAP2"/>
    <mergeCell ref="AAQ2:AAR2"/>
    <mergeCell ref="AAS2:AAT2"/>
    <mergeCell ref="AAU2:AAV2"/>
    <mergeCell ref="AAW2:AAX2"/>
    <mergeCell ref="YI2:YJ2"/>
    <mergeCell ref="YK2:YL2"/>
    <mergeCell ref="YM2:YN2"/>
    <mergeCell ref="YO2:YP2"/>
    <mergeCell ref="YQ2:YR2"/>
    <mergeCell ref="YS2:YT2"/>
    <mergeCell ref="YU2:YV2"/>
    <mergeCell ref="YW2:YX2"/>
    <mergeCell ref="YY2:YZ2"/>
    <mergeCell ref="ZA2:ZB2"/>
    <mergeCell ref="ZC2:ZD2"/>
    <mergeCell ref="ZE2:ZF2"/>
    <mergeCell ref="ZG2:ZH2"/>
    <mergeCell ref="ZI2:ZJ2"/>
    <mergeCell ref="ZK2:ZL2"/>
    <mergeCell ref="ZM2:ZN2"/>
    <mergeCell ref="ZO2:ZP2"/>
    <mergeCell ref="XA2:XB2"/>
    <mergeCell ref="XC2:XD2"/>
    <mergeCell ref="XE2:XF2"/>
    <mergeCell ref="XG2:XH2"/>
    <mergeCell ref="XI2:XJ2"/>
    <mergeCell ref="XK2:XL2"/>
    <mergeCell ref="XM2:XN2"/>
    <mergeCell ref="XO2:XP2"/>
    <mergeCell ref="XQ2:XR2"/>
    <mergeCell ref="XS2:XT2"/>
    <mergeCell ref="XU2:XV2"/>
    <mergeCell ref="XW2:XX2"/>
    <mergeCell ref="XY2:XZ2"/>
    <mergeCell ref="YA2:YB2"/>
    <mergeCell ref="YC2:YD2"/>
    <mergeCell ref="YE2:YF2"/>
    <mergeCell ref="YG2:YH2"/>
    <mergeCell ref="VS2:VT2"/>
    <mergeCell ref="VU2:VV2"/>
    <mergeCell ref="VW2:VX2"/>
    <mergeCell ref="VY2:VZ2"/>
    <mergeCell ref="WA2:WB2"/>
    <mergeCell ref="WC2:WD2"/>
    <mergeCell ref="WE2:WF2"/>
    <mergeCell ref="WG2:WH2"/>
    <mergeCell ref="WI2:WJ2"/>
    <mergeCell ref="WK2:WL2"/>
    <mergeCell ref="WM2:WN2"/>
    <mergeCell ref="WO2:WP2"/>
    <mergeCell ref="WQ2:WR2"/>
    <mergeCell ref="WS2:WT2"/>
    <mergeCell ref="WU2:WV2"/>
    <mergeCell ref="WW2:WX2"/>
    <mergeCell ref="WY2:WZ2"/>
    <mergeCell ref="UK2:UL2"/>
    <mergeCell ref="UM2:UN2"/>
    <mergeCell ref="UO2:UP2"/>
    <mergeCell ref="UQ2:UR2"/>
    <mergeCell ref="US2:UT2"/>
    <mergeCell ref="UU2:UV2"/>
    <mergeCell ref="UW2:UX2"/>
    <mergeCell ref="UY2:UZ2"/>
    <mergeCell ref="VA2:VB2"/>
    <mergeCell ref="VC2:VD2"/>
    <mergeCell ref="VE2:VF2"/>
    <mergeCell ref="VG2:VH2"/>
    <mergeCell ref="VI2:VJ2"/>
    <mergeCell ref="VK2:VL2"/>
    <mergeCell ref="VM2:VN2"/>
    <mergeCell ref="VO2:VP2"/>
    <mergeCell ref="VQ2:VR2"/>
    <mergeCell ref="TC2:TD2"/>
    <mergeCell ref="TE2:TF2"/>
    <mergeCell ref="TG2:TH2"/>
    <mergeCell ref="TI2:TJ2"/>
    <mergeCell ref="TK2:TL2"/>
    <mergeCell ref="TM2:TN2"/>
    <mergeCell ref="TO2:TP2"/>
    <mergeCell ref="TQ2:TR2"/>
    <mergeCell ref="TS2:TT2"/>
    <mergeCell ref="TU2:TV2"/>
    <mergeCell ref="TW2:TX2"/>
    <mergeCell ref="TY2:TZ2"/>
    <mergeCell ref="UA2:UB2"/>
    <mergeCell ref="UC2:UD2"/>
    <mergeCell ref="UE2:UF2"/>
    <mergeCell ref="UG2:UH2"/>
    <mergeCell ref="UI2:UJ2"/>
    <mergeCell ref="RU2:RV2"/>
    <mergeCell ref="RW2:RX2"/>
    <mergeCell ref="RY2:RZ2"/>
    <mergeCell ref="SA2:SB2"/>
    <mergeCell ref="SC2:SD2"/>
    <mergeCell ref="SE2:SF2"/>
    <mergeCell ref="SG2:SH2"/>
    <mergeCell ref="SI2:SJ2"/>
    <mergeCell ref="SK2:SL2"/>
    <mergeCell ref="SM2:SN2"/>
    <mergeCell ref="SO2:SP2"/>
    <mergeCell ref="SQ2:SR2"/>
    <mergeCell ref="SS2:ST2"/>
    <mergeCell ref="SU2:SV2"/>
    <mergeCell ref="SW2:SX2"/>
    <mergeCell ref="SY2:SZ2"/>
    <mergeCell ref="TA2:TB2"/>
    <mergeCell ref="QM2:QN2"/>
    <mergeCell ref="QO2:QP2"/>
    <mergeCell ref="QQ2:QR2"/>
    <mergeCell ref="QS2:QT2"/>
    <mergeCell ref="QU2:QV2"/>
    <mergeCell ref="QW2:QX2"/>
    <mergeCell ref="QY2:QZ2"/>
    <mergeCell ref="RA2:RB2"/>
    <mergeCell ref="RC2:RD2"/>
    <mergeCell ref="RE2:RF2"/>
    <mergeCell ref="RG2:RH2"/>
    <mergeCell ref="RI2:RJ2"/>
    <mergeCell ref="RK2:RL2"/>
    <mergeCell ref="RM2:RN2"/>
    <mergeCell ref="RO2:RP2"/>
    <mergeCell ref="RQ2:RR2"/>
    <mergeCell ref="RS2:RT2"/>
    <mergeCell ref="PE2:PF2"/>
    <mergeCell ref="PG2:PH2"/>
    <mergeCell ref="PI2:PJ2"/>
    <mergeCell ref="PK2:PL2"/>
    <mergeCell ref="PM2:PN2"/>
    <mergeCell ref="PO2:PP2"/>
    <mergeCell ref="PQ2:PR2"/>
    <mergeCell ref="PS2:PT2"/>
    <mergeCell ref="PU2:PV2"/>
    <mergeCell ref="PW2:PX2"/>
    <mergeCell ref="PY2:PZ2"/>
    <mergeCell ref="QA2:QB2"/>
    <mergeCell ref="QC2:QD2"/>
    <mergeCell ref="QE2:QF2"/>
    <mergeCell ref="QG2:QH2"/>
    <mergeCell ref="QI2:QJ2"/>
    <mergeCell ref="QK2:QL2"/>
    <mergeCell ref="NW2:NX2"/>
    <mergeCell ref="NY2:NZ2"/>
    <mergeCell ref="OA2:OB2"/>
    <mergeCell ref="OC2:OD2"/>
    <mergeCell ref="OE2:OF2"/>
    <mergeCell ref="OG2:OH2"/>
    <mergeCell ref="OI2:OJ2"/>
    <mergeCell ref="OK2:OL2"/>
    <mergeCell ref="OM2:ON2"/>
    <mergeCell ref="OO2:OP2"/>
    <mergeCell ref="OQ2:OR2"/>
    <mergeCell ref="OS2:OT2"/>
    <mergeCell ref="OU2:OV2"/>
    <mergeCell ref="OW2:OX2"/>
    <mergeCell ref="OY2:OZ2"/>
    <mergeCell ref="PA2:PB2"/>
    <mergeCell ref="PC2:PD2"/>
    <mergeCell ref="MO2:MP2"/>
    <mergeCell ref="MQ2:MR2"/>
    <mergeCell ref="MS2:MT2"/>
    <mergeCell ref="MU2:MV2"/>
    <mergeCell ref="MW2:MX2"/>
    <mergeCell ref="MY2:MZ2"/>
    <mergeCell ref="NA2:NB2"/>
    <mergeCell ref="NC2:ND2"/>
    <mergeCell ref="NE2:NF2"/>
    <mergeCell ref="NG2:NH2"/>
    <mergeCell ref="NI2:NJ2"/>
    <mergeCell ref="NK2:NL2"/>
    <mergeCell ref="NM2:NN2"/>
    <mergeCell ref="NO2:NP2"/>
    <mergeCell ref="NQ2:NR2"/>
    <mergeCell ref="NS2:NT2"/>
    <mergeCell ref="NU2:NV2"/>
    <mergeCell ref="LG2:LH2"/>
    <mergeCell ref="LI2:LJ2"/>
    <mergeCell ref="LK2:LL2"/>
    <mergeCell ref="LM2:LN2"/>
    <mergeCell ref="LO2:LP2"/>
    <mergeCell ref="LQ2:LR2"/>
    <mergeCell ref="LS2:LT2"/>
    <mergeCell ref="LU2:LV2"/>
    <mergeCell ref="LW2:LX2"/>
    <mergeCell ref="LY2:LZ2"/>
    <mergeCell ref="MA2:MB2"/>
    <mergeCell ref="MC2:MD2"/>
    <mergeCell ref="ME2:MF2"/>
    <mergeCell ref="MG2:MH2"/>
    <mergeCell ref="MI2:MJ2"/>
    <mergeCell ref="MK2:ML2"/>
    <mergeCell ref="MM2:MN2"/>
    <mergeCell ref="JY2:JZ2"/>
    <mergeCell ref="KA2:KB2"/>
    <mergeCell ref="KC2:KD2"/>
    <mergeCell ref="KE2:KF2"/>
    <mergeCell ref="KG2:KH2"/>
    <mergeCell ref="KI2:KJ2"/>
    <mergeCell ref="KK2:KL2"/>
    <mergeCell ref="KM2:KN2"/>
    <mergeCell ref="KO2:KP2"/>
    <mergeCell ref="KQ2:KR2"/>
    <mergeCell ref="KS2:KT2"/>
    <mergeCell ref="KU2:KV2"/>
    <mergeCell ref="KW2:KX2"/>
    <mergeCell ref="KY2:KZ2"/>
    <mergeCell ref="LA2:LB2"/>
    <mergeCell ref="LC2:LD2"/>
    <mergeCell ref="LE2:LF2"/>
    <mergeCell ref="IY2:IZ2"/>
    <mergeCell ref="JA2:JB2"/>
    <mergeCell ref="JC2:JD2"/>
    <mergeCell ref="JE2:JF2"/>
    <mergeCell ref="JG2:JH2"/>
    <mergeCell ref="JI2:JJ2"/>
    <mergeCell ref="JK2:JL2"/>
    <mergeCell ref="JM2:JN2"/>
    <mergeCell ref="JO2:JP2"/>
    <mergeCell ref="JQ2:JR2"/>
    <mergeCell ref="JS2:JT2"/>
    <mergeCell ref="JU2:JV2"/>
    <mergeCell ref="JW2:JX2"/>
    <mergeCell ref="IY17:IZ17"/>
    <mergeCell ref="JA17:JB17"/>
    <mergeCell ref="JC17:JD17"/>
    <mergeCell ref="JE17:JF17"/>
    <mergeCell ref="JG17:JH17"/>
    <mergeCell ref="JI17:JJ17"/>
    <mergeCell ref="JK17:JL17"/>
    <mergeCell ref="JM17:JN17"/>
    <mergeCell ref="JO17:JP17"/>
    <mergeCell ref="JQ17:JR17"/>
    <mergeCell ref="JS17:JT17"/>
    <mergeCell ref="JU17:JV17"/>
    <mergeCell ref="JW17:JX17"/>
    <mergeCell ref="IU2:IV2"/>
    <mergeCell ref="IW2:IX2"/>
    <mergeCell ref="IU3:IV3"/>
    <mergeCell ref="IW3:IX3"/>
    <mergeCell ref="IU4:IV4"/>
    <mergeCell ref="IW4:IX4"/>
    <mergeCell ref="IU5:IV5"/>
    <mergeCell ref="IW5:IX5"/>
    <mergeCell ref="IU6:IV6"/>
    <mergeCell ref="IW6:IX6"/>
    <mergeCell ref="IU7:IV7"/>
    <mergeCell ref="IW7:IX7"/>
    <mergeCell ref="IU8:IV8"/>
    <mergeCell ref="IW8:IX8"/>
    <mergeCell ref="IU9:IV9"/>
    <mergeCell ref="IW9:IX9"/>
    <mergeCell ref="IU20:IV20"/>
    <mergeCell ref="IW20:IX20"/>
    <mergeCell ref="IU11:IV11"/>
    <mergeCell ref="IW11:IX11"/>
    <mergeCell ref="IU14:IV14"/>
    <mergeCell ref="IW14:IX14"/>
    <mergeCell ref="IU15:IV15"/>
    <mergeCell ref="IW15:IX15"/>
    <mergeCell ref="IU16:IV16"/>
    <mergeCell ref="IW16:IX16"/>
    <mergeCell ref="IU17:IV17"/>
    <mergeCell ref="IW17:IX17"/>
    <mergeCell ref="IU18:IV18"/>
    <mergeCell ref="IW18:IX18"/>
    <mergeCell ref="IU19:IV19"/>
    <mergeCell ref="IW19:IX19"/>
    <mergeCell ref="IS21:IT21"/>
    <mergeCell ref="IS18:IT18"/>
    <mergeCell ref="IS13:IT13"/>
    <mergeCell ref="IS19:IT19"/>
    <mergeCell ref="IU10:IV10"/>
    <mergeCell ref="IW10:IX10"/>
    <mergeCell ref="IM48:IN48"/>
    <mergeCell ref="IO48:IP48"/>
    <mergeCell ref="GI48:GJ48"/>
    <mergeCell ref="GQ48:GR48"/>
    <mergeCell ref="HA48:HB48"/>
    <mergeCell ref="IQ48:IR48"/>
    <mergeCell ref="IC48:ID48"/>
    <mergeCell ref="IE48:IF48"/>
    <mergeCell ref="HY48:HZ48"/>
    <mergeCell ref="HW48:HX48"/>
    <mergeCell ref="GK48:GL48"/>
    <mergeCell ref="GM48:GN48"/>
    <mergeCell ref="HU48:HV48"/>
    <mergeCell ref="IA48:IB48"/>
    <mergeCell ref="HK48:HL48"/>
    <mergeCell ref="HG48:HH48"/>
    <mergeCell ref="GY48:GZ48"/>
    <mergeCell ref="GU48:GV48"/>
    <mergeCell ref="GW48:GX48"/>
    <mergeCell ref="HC48:HD48"/>
    <mergeCell ref="HI48:HJ48"/>
    <mergeCell ref="HE48:HF48"/>
    <mergeCell ref="GO48:GP48"/>
    <mergeCell ref="GS48:GT48"/>
    <mergeCell ref="IU12:IV12"/>
    <mergeCell ref="IW12:IX12"/>
    <mergeCell ref="IU13:IV13"/>
    <mergeCell ref="IW13:IX13"/>
    <mergeCell ref="IK45:IL45"/>
    <mergeCell ref="IQ45:IR45"/>
    <mergeCell ref="HG45:HH45"/>
    <mergeCell ref="HS45:HT45"/>
    <mergeCell ref="HO45:HP45"/>
    <mergeCell ref="II45:IJ45"/>
    <mergeCell ref="IO45:IP45"/>
    <mergeCell ref="HQ48:HR48"/>
    <mergeCell ref="HK46:HL46"/>
    <mergeCell ref="HM46:HN46"/>
    <mergeCell ref="HO46:HP46"/>
    <mergeCell ref="HO48:HP48"/>
    <mergeCell ref="HM48:HN48"/>
    <mergeCell ref="HI46:HJ46"/>
    <mergeCell ref="IM21:IN21"/>
    <mergeCell ref="HK20:HL20"/>
    <mergeCell ref="HG19:HH19"/>
    <mergeCell ref="HI19:HJ19"/>
    <mergeCell ref="IG19:IH19"/>
    <mergeCell ref="HW20:HX20"/>
    <mergeCell ref="HU20:HV20"/>
    <mergeCell ref="HU19:HV19"/>
    <mergeCell ref="HS19:HT19"/>
    <mergeCell ref="IQ19:IR19"/>
    <mergeCell ref="HM19:HN19"/>
    <mergeCell ref="IA19:IB19"/>
    <mergeCell ref="IU21:IV21"/>
    <mergeCell ref="IW21:IX21"/>
    <mergeCell ref="IQ21:IR21"/>
    <mergeCell ref="IO21:IP21"/>
    <mergeCell ref="GU46:GV46"/>
    <mergeCell ref="HG46:HH46"/>
    <mergeCell ref="HE46:HF46"/>
    <mergeCell ref="GW46:GX46"/>
    <mergeCell ref="HA46:HB46"/>
    <mergeCell ref="HQ45:HR45"/>
    <mergeCell ref="HY45:HZ45"/>
    <mergeCell ref="IG48:IH48"/>
    <mergeCell ref="HS48:HT48"/>
    <mergeCell ref="GW45:GX45"/>
    <mergeCell ref="GU45:GV45"/>
    <mergeCell ref="IS48:IT48"/>
    <mergeCell ref="II48:IJ48"/>
    <mergeCell ref="IK48:IL48"/>
    <mergeCell ref="FK48:FL48"/>
    <mergeCell ref="FO46:FP46"/>
    <mergeCell ref="FW48:FX48"/>
    <mergeCell ref="FQ48:FR48"/>
    <mergeCell ref="FK46:FL46"/>
    <mergeCell ref="FS48:FT48"/>
    <mergeCell ref="HC46:HD46"/>
    <mergeCell ref="GS46:GT46"/>
    <mergeCell ref="GO46:GP46"/>
    <mergeCell ref="GI46:GJ46"/>
    <mergeCell ref="HK45:HL45"/>
    <mergeCell ref="IA45:IB45"/>
    <mergeCell ref="FQ45:FR45"/>
    <mergeCell ref="FM45:FN45"/>
    <mergeCell ref="FK45:FL45"/>
    <mergeCell ref="IM45:IN45"/>
    <mergeCell ref="IS45:IT45"/>
    <mergeCell ref="GE45:GF45"/>
    <mergeCell ref="EU48:EV48"/>
    <mergeCell ref="FA48:FB48"/>
    <mergeCell ref="FY48:FZ48"/>
    <mergeCell ref="FC48:FD48"/>
    <mergeCell ref="FO48:FP48"/>
    <mergeCell ref="FU48:FV48"/>
    <mergeCell ref="FM48:FN48"/>
    <mergeCell ref="EW48:EX48"/>
    <mergeCell ref="FE48:FF48"/>
    <mergeCell ref="FI48:FJ48"/>
    <mergeCell ref="GG48:GH48"/>
    <mergeCell ref="GG46:GH46"/>
    <mergeCell ref="GA48:GB48"/>
    <mergeCell ref="FQ46:FR46"/>
    <mergeCell ref="FS46:FT46"/>
    <mergeCell ref="GC48:GD48"/>
    <mergeCell ref="GE48:GF48"/>
    <mergeCell ref="GA46:GB46"/>
    <mergeCell ref="FW46:FX46"/>
    <mergeCell ref="FE46:FF46"/>
    <mergeCell ref="GC46:GD46"/>
    <mergeCell ref="GE46:GF46"/>
    <mergeCell ref="FI46:FJ46"/>
    <mergeCell ref="FY46:FZ46"/>
    <mergeCell ref="AS48:AT48"/>
    <mergeCell ref="CU48:CV48"/>
    <mergeCell ref="CW48:CX48"/>
    <mergeCell ref="EE48:EF48"/>
    <mergeCell ref="EG48:EH48"/>
    <mergeCell ref="EC48:ED48"/>
    <mergeCell ref="EI48:EJ48"/>
    <mergeCell ref="HE45:HF45"/>
    <mergeCell ref="GY46:GZ46"/>
    <mergeCell ref="GQ46:GR46"/>
    <mergeCell ref="FY45:FZ45"/>
    <mergeCell ref="GK46:GL46"/>
    <mergeCell ref="GM46:GN46"/>
    <mergeCell ref="EK48:EL48"/>
    <mergeCell ref="FG46:FH46"/>
    <mergeCell ref="EQ48:ER48"/>
    <mergeCell ref="FC46:FD46"/>
    <mergeCell ref="ES48:ET48"/>
    <mergeCell ref="EY48:EZ48"/>
    <mergeCell ref="EM46:EN46"/>
    <mergeCell ref="EO48:EP48"/>
    <mergeCell ref="EM48:EN48"/>
    <mergeCell ref="FG48:FH48"/>
    <mergeCell ref="EE46:EF46"/>
    <mergeCell ref="FM46:FN46"/>
    <mergeCell ref="FS45:FT45"/>
    <mergeCell ref="GG45:GH45"/>
    <mergeCell ref="EO45:EP45"/>
    <mergeCell ref="ES45:ET45"/>
    <mergeCell ref="EE45:EF45"/>
    <mergeCell ref="FI45:FJ45"/>
    <mergeCell ref="FG45:FH45"/>
    <mergeCell ref="BU48:BV48"/>
    <mergeCell ref="BS48:BT48"/>
    <mergeCell ref="BK46:BL46"/>
    <mergeCell ref="CS48:CT48"/>
    <mergeCell ref="CQ48:CR48"/>
    <mergeCell ref="C48:D48"/>
    <mergeCell ref="E48:F48"/>
    <mergeCell ref="BO48:BP48"/>
    <mergeCell ref="BI48:BJ48"/>
    <mergeCell ref="BM48:BN48"/>
    <mergeCell ref="AG48:AH48"/>
    <mergeCell ref="AK48:AL48"/>
    <mergeCell ref="BA48:BB48"/>
    <mergeCell ref="CC48:CD48"/>
    <mergeCell ref="EA48:EB48"/>
    <mergeCell ref="DM48:DN48"/>
    <mergeCell ref="DO48:DP48"/>
    <mergeCell ref="DY48:DZ48"/>
    <mergeCell ref="DU48:DV48"/>
    <mergeCell ref="DW48:DX48"/>
    <mergeCell ref="DS48:DT48"/>
    <mergeCell ref="DC48:DD48"/>
    <mergeCell ref="DQ48:DR48"/>
    <mergeCell ref="DA48:DB48"/>
    <mergeCell ref="CY48:CZ48"/>
    <mergeCell ref="DK48:DL48"/>
    <mergeCell ref="DE48:DF48"/>
    <mergeCell ref="DI48:DJ48"/>
    <mergeCell ref="DG48:DH48"/>
    <mergeCell ref="AE48:AF48"/>
    <mergeCell ref="BQ48:BR48"/>
    <mergeCell ref="BC48:BD48"/>
    <mergeCell ref="W46:X46"/>
    <mergeCell ref="I46:J46"/>
    <mergeCell ref="K46:L46"/>
    <mergeCell ref="G48:H48"/>
    <mergeCell ref="C46:D46"/>
    <mergeCell ref="I48:J48"/>
    <mergeCell ref="E46:F46"/>
    <mergeCell ref="G46:H46"/>
    <mergeCell ref="AM48:AN48"/>
    <mergeCell ref="Y46:Z46"/>
    <mergeCell ref="K48:L48"/>
    <mergeCell ref="M48:N48"/>
    <mergeCell ref="M46:N46"/>
    <mergeCell ref="O46:P46"/>
    <mergeCell ref="S48:T48"/>
    <mergeCell ref="W48:X48"/>
    <mergeCell ref="Y48:Z48"/>
    <mergeCell ref="U46:V46"/>
    <mergeCell ref="AA48:AB48"/>
    <mergeCell ref="O48:P48"/>
    <mergeCell ref="U48:V48"/>
    <mergeCell ref="Q48:R48"/>
    <mergeCell ref="AC48:AD48"/>
    <mergeCell ref="AI48:AJ48"/>
    <mergeCell ref="AU48:AV48"/>
    <mergeCell ref="AW48:AX48"/>
    <mergeCell ref="BG48:BH48"/>
    <mergeCell ref="BK48:BL48"/>
    <mergeCell ref="AY48:AZ48"/>
    <mergeCell ref="BG46:BH46"/>
    <mergeCell ref="BE46:BF46"/>
    <mergeCell ref="AM46:AN46"/>
    <mergeCell ref="BA46:BB46"/>
    <mergeCell ref="AO46:AP46"/>
    <mergeCell ref="AQ46:AR46"/>
    <mergeCell ref="AU46:AV46"/>
    <mergeCell ref="AS46:AT46"/>
    <mergeCell ref="CO48:CP48"/>
    <mergeCell ref="CM48:CN48"/>
    <mergeCell ref="CI48:CJ48"/>
    <mergeCell ref="CO46:CP46"/>
    <mergeCell ref="CI46:CJ46"/>
    <mergeCell ref="CM46:CN46"/>
    <mergeCell ref="CK48:CL48"/>
    <mergeCell ref="CG48:CH48"/>
    <mergeCell ref="CG46:CH46"/>
    <mergeCell ref="CK46:CL46"/>
    <mergeCell ref="BW48:BX48"/>
    <mergeCell ref="CE46:CF46"/>
    <mergeCell ref="BY48:BZ48"/>
    <mergeCell ref="CC46:CD46"/>
    <mergeCell ref="CA48:CB48"/>
    <mergeCell ref="CE48:CF48"/>
    <mergeCell ref="BE48:BF48"/>
    <mergeCell ref="AQ48:AR48"/>
    <mergeCell ref="AO48:AP48"/>
    <mergeCell ref="HW45:HX45"/>
    <mergeCell ref="GE21:GF21"/>
    <mergeCell ref="FY21:FZ21"/>
    <mergeCell ref="ES21:ET21"/>
    <mergeCell ref="FW45:FX45"/>
    <mergeCell ref="IK21:IL21"/>
    <mergeCell ref="GY21:GZ21"/>
    <mergeCell ref="IE45:IF45"/>
    <mergeCell ref="IG45:IH45"/>
    <mergeCell ref="IC45:ID45"/>
    <mergeCell ref="HA45:HB45"/>
    <mergeCell ref="HC45:HD45"/>
    <mergeCell ref="HM45:HN45"/>
    <mergeCell ref="GY45:GZ45"/>
    <mergeCell ref="IG21:IH21"/>
    <mergeCell ref="GW21:GX21"/>
    <mergeCell ref="IA21:IB21"/>
    <mergeCell ref="HK21:HL21"/>
    <mergeCell ref="HY21:HZ21"/>
    <mergeCell ref="EU45:EV45"/>
    <mergeCell ref="GQ45:GR45"/>
    <mergeCell ref="GO45:GP45"/>
    <mergeCell ref="GS45:GT45"/>
    <mergeCell ref="II21:IJ21"/>
    <mergeCell ref="GO21:GP21"/>
    <mergeCell ref="FS21:FT21"/>
    <mergeCell ref="GM45:GN45"/>
    <mergeCell ref="HI45:HJ45"/>
    <mergeCell ref="HU45:HV45"/>
    <mergeCell ref="GI45:GJ45"/>
    <mergeCell ref="GC45:GD45"/>
    <mergeCell ref="GA45:GB45"/>
    <mergeCell ref="HU21:HV21"/>
    <mergeCell ref="HS21:HT21"/>
    <mergeCell ref="HI21:HJ21"/>
    <mergeCell ref="HQ21:HR21"/>
    <mergeCell ref="HM21:HN21"/>
    <mergeCell ref="HA21:HB21"/>
    <mergeCell ref="IE21:IF21"/>
    <mergeCell ref="GK21:GL21"/>
    <mergeCell ref="GS21:GT21"/>
    <mergeCell ref="IC21:ID21"/>
    <mergeCell ref="HW21:HX21"/>
    <mergeCell ref="GU21:GV21"/>
    <mergeCell ref="GQ21:GR21"/>
    <mergeCell ref="FW21:FX21"/>
    <mergeCell ref="FQ21:FR21"/>
    <mergeCell ref="HC21:HD21"/>
    <mergeCell ref="FU21:FV21"/>
    <mergeCell ref="GI21:GJ21"/>
    <mergeCell ref="HG21:HH21"/>
    <mergeCell ref="HO21:HP21"/>
    <mergeCell ref="GM21:GN21"/>
    <mergeCell ref="HE21:HF21"/>
    <mergeCell ref="HM20:HN20"/>
    <mergeCell ref="GY20:GZ20"/>
    <mergeCell ref="W45:X45"/>
    <mergeCell ref="BA45:BB45"/>
    <mergeCell ref="AC45:AD45"/>
    <mergeCell ref="AE45:AF45"/>
    <mergeCell ref="AG45:AH45"/>
    <mergeCell ref="AK45:AL45"/>
    <mergeCell ref="AA45:AB45"/>
    <mergeCell ref="EY21:EZ21"/>
    <mergeCell ref="EQ45:ER45"/>
    <mergeCell ref="EQ21:ER21"/>
    <mergeCell ref="FA21:FB21"/>
    <mergeCell ref="EU21:EV21"/>
    <mergeCell ref="EW21:EX21"/>
    <mergeCell ref="EO21:EP21"/>
    <mergeCell ref="CK45:CL45"/>
    <mergeCell ref="EA45:EB45"/>
    <mergeCell ref="CY45:CZ45"/>
    <mergeCell ref="CQ45:CR45"/>
    <mergeCell ref="EE21:EF21"/>
    <mergeCell ref="CK21:CL21"/>
    <mergeCell ref="EC21:ED21"/>
    <mergeCell ref="GK45:GL45"/>
    <mergeCell ref="BG45:BH45"/>
    <mergeCell ref="BU45:BV45"/>
    <mergeCell ref="BO45:BP45"/>
    <mergeCell ref="BO21:BP21"/>
    <mergeCell ref="BG21:BH21"/>
    <mergeCell ref="FO45:FP45"/>
    <mergeCell ref="FU45:FV45"/>
    <mergeCell ref="DM45:DN45"/>
    <mergeCell ref="BI21:BJ21"/>
    <mergeCell ref="GG21:GH21"/>
    <mergeCell ref="FM21:FN21"/>
    <mergeCell ref="FE21:FF21"/>
    <mergeCell ref="FG21:FH21"/>
    <mergeCell ref="GA21:GB21"/>
    <mergeCell ref="FK21:FL21"/>
    <mergeCell ref="CE45:CF45"/>
    <mergeCell ref="DE21:DF21"/>
    <mergeCell ref="EK45:EL45"/>
    <mergeCell ref="DQ45:DR45"/>
    <mergeCell ref="DS45:DT45"/>
    <mergeCell ref="DW45:DX45"/>
    <mergeCell ref="FI21:FJ21"/>
    <mergeCell ref="DG21:DH21"/>
    <mergeCell ref="GC21:GD21"/>
    <mergeCell ref="CS21:CT21"/>
    <mergeCell ref="DC45:DD45"/>
    <mergeCell ref="EK21:EL21"/>
    <mergeCell ref="DA45:DB45"/>
    <mergeCell ref="CC45:CD45"/>
    <mergeCell ref="BI45:BJ45"/>
    <mergeCell ref="DO45:DP45"/>
    <mergeCell ref="FC21:FD21"/>
    <mergeCell ref="FC45:FD45"/>
    <mergeCell ref="EW45:EX45"/>
    <mergeCell ref="EI45:EJ45"/>
    <mergeCell ref="EM45:EN45"/>
    <mergeCell ref="EI21:EJ21"/>
    <mergeCell ref="DW21:DX21"/>
    <mergeCell ref="FO21:FP21"/>
    <mergeCell ref="DK45:DL45"/>
    <mergeCell ref="DY45:DZ45"/>
    <mergeCell ref="DU45:DV45"/>
    <mergeCell ref="BK21:BL21"/>
    <mergeCell ref="CA45:CB45"/>
    <mergeCell ref="BY45:BZ45"/>
    <mergeCell ref="BW45:BX45"/>
    <mergeCell ref="CM21:CN21"/>
    <mergeCell ref="DS21:DT21"/>
    <mergeCell ref="CG21:CH21"/>
    <mergeCell ref="CI21:CJ21"/>
    <mergeCell ref="BQ21:BR21"/>
    <mergeCell ref="DM21:DN21"/>
    <mergeCell ref="EG45:EH45"/>
    <mergeCell ref="EC45:ED45"/>
    <mergeCell ref="CU45:CV45"/>
    <mergeCell ref="FE45:FF45"/>
    <mergeCell ref="EY45:EZ45"/>
    <mergeCell ref="FA45:FB45"/>
    <mergeCell ref="DU21:DV21"/>
    <mergeCell ref="DY21:DZ21"/>
    <mergeCell ref="EA21:EB21"/>
    <mergeCell ref="EG21:EH21"/>
    <mergeCell ref="EM21:EN21"/>
    <mergeCell ref="BQ20:BR20"/>
    <mergeCell ref="CE21:CF21"/>
    <mergeCell ref="CO21:CP21"/>
    <mergeCell ref="DQ21:DR21"/>
    <mergeCell ref="BK45:BL45"/>
    <mergeCell ref="BM45:BN45"/>
    <mergeCell ref="CA21:CB21"/>
    <mergeCell ref="BW21:BX21"/>
    <mergeCell ref="BQ45:BR45"/>
    <mergeCell ref="BS45:BT45"/>
    <mergeCell ref="BY20:BZ20"/>
    <mergeCell ref="CA20:CB20"/>
    <mergeCell ref="CU20:CV20"/>
    <mergeCell ref="CM20:CN20"/>
    <mergeCell ref="CS20:CT20"/>
    <mergeCell ref="CM45:CN45"/>
    <mergeCell ref="DI45:DJ45"/>
    <mergeCell ref="CO45:CP45"/>
    <mergeCell ref="DE45:DF45"/>
    <mergeCell ref="DG45:DH45"/>
    <mergeCell ref="CS45:CT45"/>
    <mergeCell ref="CW45:CX45"/>
    <mergeCell ref="BM21:BN21"/>
    <mergeCell ref="CG45:CH45"/>
    <mergeCell ref="CI45:CJ45"/>
    <mergeCell ref="FE20:FF20"/>
    <mergeCell ref="FC20:FD20"/>
    <mergeCell ref="EA20:EB20"/>
    <mergeCell ref="DW20:DX20"/>
    <mergeCell ref="DO20:DP20"/>
    <mergeCell ref="GO20:GP20"/>
    <mergeCell ref="GC20:GD20"/>
    <mergeCell ref="GG20:GH20"/>
    <mergeCell ref="GE20:GF20"/>
    <mergeCell ref="GI20:GJ20"/>
    <mergeCell ref="BA21:BB21"/>
    <mergeCell ref="BE21:BF21"/>
    <mergeCell ref="CC21:CD21"/>
    <mergeCell ref="BS21:BT21"/>
    <mergeCell ref="BU21:BV21"/>
    <mergeCell ref="BY21:BZ21"/>
    <mergeCell ref="CC20:CD20"/>
    <mergeCell ref="BW20:BX20"/>
    <mergeCell ref="BU20:BV20"/>
    <mergeCell ref="CY20:CZ20"/>
    <mergeCell ref="DA20:DB20"/>
    <mergeCell ref="DK20:DL20"/>
    <mergeCell ref="DS20:DT20"/>
    <mergeCell ref="DA21:DB21"/>
    <mergeCell ref="DC21:DD21"/>
    <mergeCell ref="DO21:DP21"/>
    <mergeCell ref="CY21:CZ21"/>
    <mergeCell ref="DI21:DJ21"/>
    <mergeCell ref="CU21:CV21"/>
    <mergeCell ref="CW21:CX21"/>
    <mergeCell ref="DK21:DL21"/>
    <mergeCell ref="CQ21:CR21"/>
    <mergeCell ref="GQ20:GR20"/>
    <mergeCell ref="GW20:GX20"/>
    <mergeCell ref="GU20:GV20"/>
    <mergeCell ref="GS20:GT20"/>
    <mergeCell ref="HC20:HD20"/>
    <mergeCell ref="BC20:BD20"/>
    <mergeCell ref="CW20:CX20"/>
    <mergeCell ref="CO20:CP20"/>
    <mergeCell ref="CQ20:CR20"/>
    <mergeCell ref="BS20:BT20"/>
    <mergeCell ref="CK20:CL20"/>
    <mergeCell ref="BK20:BL20"/>
    <mergeCell ref="BI20:BJ20"/>
    <mergeCell ref="GA20:GB20"/>
    <mergeCell ref="GK20:GL20"/>
    <mergeCell ref="FA20:FB20"/>
    <mergeCell ref="FS20:FT20"/>
    <mergeCell ref="BG20:BH20"/>
    <mergeCell ref="FM20:FN20"/>
    <mergeCell ref="FG20:FH20"/>
    <mergeCell ref="FO20:FP20"/>
    <mergeCell ref="FI20:FJ20"/>
    <mergeCell ref="FQ20:FR20"/>
    <mergeCell ref="DM20:DN20"/>
    <mergeCell ref="EG20:EH20"/>
    <mergeCell ref="ES20:ET20"/>
    <mergeCell ref="BO20:BP20"/>
    <mergeCell ref="EM20:EN20"/>
    <mergeCell ref="EQ20:ER20"/>
    <mergeCell ref="CI20:CJ20"/>
    <mergeCell ref="CG20:CH20"/>
    <mergeCell ref="CE20:CF20"/>
    <mergeCell ref="IO19:IP19"/>
    <mergeCell ref="HY19:HZ19"/>
    <mergeCell ref="IC19:ID19"/>
    <mergeCell ref="IM19:IN19"/>
    <mergeCell ref="II19:IJ19"/>
    <mergeCell ref="IK19:IL19"/>
    <mergeCell ref="HW19:HX19"/>
    <mergeCell ref="IE19:IF19"/>
    <mergeCell ref="IS20:IT20"/>
    <mergeCell ref="IM20:IN20"/>
    <mergeCell ref="IO20:IP20"/>
    <mergeCell ref="IQ20:IR20"/>
    <mergeCell ref="HY20:HZ20"/>
    <mergeCell ref="HQ20:HR20"/>
    <mergeCell ref="HO20:HP20"/>
    <mergeCell ref="IG20:IH20"/>
    <mergeCell ref="IK20:IL20"/>
    <mergeCell ref="II20:IJ20"/>
    <mergeCell ref="IA20:IB20"/>
    <mergeCell ref="IE20:IF20"/>
    <mergeCell ref="HS20:HT20"/>
    <mergeCell ref="HQ19:HR19"/>
    <mergeCell ref="HG20:HH20"/>
    <mergeCell ref="IC20:ID20"/>
    <mergeCell ref="HK19:HL19"/>
    <mergeCell ref="HE20:HF20"/>
    <mergeCell ref="BO19:BP19"/>
    <mergeCell ref="BI19:BJ19"/>
    <mergeCell ref="BE20:BF20"/>
    <mergeCell ref="BM20:BN20"/>
    <mergeCell ref="GG19:GH19"/>
    <mergeCell ref="FY19:FZ19"/>
    <mergeCell ref="FG19:FH19"/>
    <mergeCell ref="FW19:FX19"/>
    <mergeCell ref="GA19:GB19"/>
    <mergeCell ref="FI19:FJ19"/>
    <mergeCell ref="FQ19:FR19"/>
    <mergeCell ref="FO19:FP19"/>
    <mergeCell ref="FS19:FT19"/>
    <mergeCell ref="GC19:GD19"/>
    <mergeCell ref="FA19:FB19"/>
    <mergeCell ref="FW20:FX20"/>
    <mergeCell ref="FK20:FL20"/>
    <mergeCell ref="DC20:DD20"/>
    <mergeCell ref="HE19:HF19"/>
    <mergeCell ref="DI20:DJ20"/>
    <mergeCell ref="EY20:EZ20"/>
    <mergeCell ref="HI20:HJ20"/>
    <mergeCell ref="FY20:FZ20"/>
    <mergeCell ref="EI20:EJ20"/>
    <mergeCell ref="BW19:BX19"/>
    <mergeCell ref="GM20:GN20"/>
    <mergeCell ref="FU20:FV20"/>
    <mergeCell ref="HA20:HB20"/>
    <mergeCell ref="BC18:BD18"/>
    <mergeCell ref="BY19:BZ19"/>
    <mergeCell ref="AS19:AT19"/>
    <mergeCell ref="AU19:AV19"/>
    <mergeCell ref="EY19:EZ19"/>
    <mergeCell ref="EW19:EX19"/>
    <mergeCell ref="EU19:EV19"/>
    <mergeCell ref="ES19:ET19"/>
    <mergeCell ref="CI19:CJ19"/>
    <mergeCell ref="BA19:BB19"/>
    <mergeCell ref="BQ19:BR19"/>
    <mergeCell ref="CK19:CL19"/>
    <mergeCell ref="DO19:DP19"/>
    <mergeCell ref="CG19:CH19"/>
    <mergeCell ref="CM19:CN19"/>
    <mergeCell ref="EW20:EX20"/>
    <mergeCell ref="EE20:EF20"/>
    <mergeCell ref="EU20:EV20"/>
    <mergeCell ref="EO20:EP20"/>
    <mergeCell ref="EM19:EN19"/>
    <mergeCell ref="EG19:EH19"/>
    <mergeCell ref="EI19:EJ19"/>
    <mergeCell ref="DE20:DF20"/>
    <mergeCell ref="DQ20:DR20"/>
    <mergeCell ref="DG20:DH20"/>
    <mergeCell ref="EK20:EL20"/>
    <mergeCell ref="EC20:ED20"/>
    <mergeCell ref="EA19:EB19"/>
    <mergeCell ref="DY20:DZ20"/>
    <mergeCell ref="DU20:DV20"/>
    <mergeCell ref="BW18:BX18"/>
    <mergeCell ref="BY18:BZ18"/>
    <mergeCell ref="CE18:CF18"/>
    <mergeCell ref="BE18:BF18"/>
    <mergeCell ref="DC18:DD18"/>
    <mergeCell ref="DA18:DB18"/>
    <mergeCell ref="CY18:CZ18"/>
    <mergeCell ref="CS18:CT18"/>
    <mergeCell ref="CW18:CX18"/>
    <mergeCell ref="ES18:ET18"/>
    <mergeCell ref="FM19:FN19"/>
    <mergeCell ref="HO19:HP19"/>
    <mergeCell ref="GE19:GF19"/>
    <mergeCell ref="GI19:GJ19"/>
    <mergeCell ref="GK19:GL19"/>
    <mergeCell ref="GM19:GN19"/>
    <mergeCell ref="GO19:GP19"/>
    <mergeCell ref="GS19:GT19"/>
    <mergeCell ref="GQ19:GR19"/>
    <mergeCell ref="HC19:HD19"/>
    <mergeCell ref="GY19:GZ19"/>
    <mergeCell ref="GU19:GV19"/>
    <mergeCell ref="HA19:HB19"/>
    <mergeCell ref="GW19:GX19"/>
    <mergeCell ref="BK19:BL19"/>
    <mergeCell ref="BM19:BN19"/>
    <mergeCell ref="EO19:EP19"/>
    <mergeCell ref="CU19:CV19"/>
    <mergeCell ref="CS19:CT19"/>
    <mergeCell ref="DC19:DD19"/>
    <mergeCell ref="DA19:DB19"/>
    <mergeCell ref="EQ19:ER19"/>
    <mergeCell ref="AO19:AP19"/>
    <mergeCell ref="AQ19:AR19"/>
    <mergeCell ref="AY19:AZ19"/>
    <mergeCell ref="FU19:FV19"/>
    <mergeCell ref="CY19:CZ19"/>
    <mergeCell ref="DG19:DH19"/>
    <mergeCell ref="EE19:EF19"/>
    <mergeCell ref="EK19:EL19"/>
    <mergeCell ref="CA19:CB19"/>
    <mergeCell ref="CQ19:CR19"/>
    <mergeCell ref="CO19:CP19"/>
    <mergeCell ref="AW19:AX19"/>
    <mergeCell ref="BG19:BH19"/>
    <mergeCell ref="BS19:BT19"/>
    <mergeCell ref="CE19:CF19"/>
    <mergeCell ref="BU19:BV19"/>
    <mergeCell ref="CC19:CD19"/>
    <mergeCell ref="FE19:FF19"/>
    <mergeCell ref="DY19:DZ19"/>
    <mergeCell ref="BC19:BD19"/>
    <mergeCell ref="BE19:BF19"/>
    <mergeCell ref="IQ18:IR18"/>
    <mergeCell ref="IO18:IP18"/>
    <mergeCell ref="IM18:IN18"/>
    <mergeCell ref="HQ18:HR18"/>
    <mergeCell ref="GY18:GZ18"/>
    <mergeCell ref="DE18:DF18"/>
    <mergeCell ref="BM18:BN18"/>
    <mergeCell ref="CA18:CB18"/>
    <mergeCell ref="BS18:BT18"/>
    <mergeCell ref="CM18:CN18"/>
    <mergeCell ref="BO18:BP18"/>
    <mergeCell ref="BQ18:BR18"/>
    <mergeCell ref="CK18:CL18"/>
    <mergeCell ref="BU18:BV18"/>
    <mergeCell ref="CG18:CH18"/>
    <mergeCell ref="CI18:CJ18"/>
    <mergeCell ref="EG18:EH18"/>
    <mergeCell ref="FI18:FJ18"/>
    <mergeCell ref="FK18:FL18"/>
    <mergeCell ref="FO18:FP18"/>
    <mergeCell ref="EU18:EV18"/>
    <mergeCell ref="DM18:DN18"/>
    <mergeCell ref="CO18:CP18"/>
    <mergeCell ref="CU18:CV18"/>
    <mergeCell ref="DI18:DJ18"/>
    <mergeCell ref="FY18:FZ18"/>
    <mergeCell ref="FC18:FD18"/>
    <mergeCell ref="FW18:FX18"/>
    <mergeCell ref="FS18:FT18"/>
    <mergeCell ref="DY18:DZ18"/>
    <mergeCell ref="GE18:GF18"/>
    <mergeCell ref="HK18:HL18"/>
    <mergeCell ref="IE18:IF18"/>
    <mergeCell ref="IC18:ID18"/>
    <mergeCell ref="IK18:IL18"/>
    <mergeCell ref="IG18:IH18"/>
    <mergeCell ref="II18:IJ18"/>
    <mergeCell ref="DS18:DT18"/>
    <mergeCell ref="DQ18:DR18"/>
    <mergeCell ref="DO18:DP18"/>
    <mergeCell ref="DW18:DX18"/>
    <mergeCell ref="EQ18:ER18"/>
    <mergeCell ref="HO18:HP18"/>
    <mergeCell ref="GG18:GH18"/>
    <mergeCell ref="GU18:GV18"/>
    <mergeCell ref="GO18:GP18"/>
    <mergeCell ref="GK18:GL18"/>
    <mergeCell ref="GM18:GN18"/>
    <mergeCell ref="GI18:GJ18"/>
    <mergeCell ref="GA18:GB18"/>
    <mergeCell ref="GC18:GD18"/>
    <mergeCell ref="EW18:EX18"/>
    <mergeCell ref="HI18:HJ18"/>
    <mergeCell ref="DU18:DV18"/>
    <mergeCell ref="EK18:EL18"/>
    <mergeCell ref="EA18:EB18"/>
    <mergeCell ref="EC18:ED18"/>
    <mergeCell ref="FA18:FB18"/>
    <mergeCell ref="FQ18:FR18"/>
    <mergeCell ref="HG18:HH18"/>
    <mergeCell ref="FM18:FN18"/>
    <mergeCell ref="EW17:EX17"/>
    <mergeCell ref="EY17:EZ17"/>
    <mergeCell ref="ES17:ET17"/>
    <mergeCell ref="DI19:DJ19"/>
    <mergeCell ref="EC19:ED19"/>
    <mergeCell ref="FK19:FL19"/>
    <mergeCell ref="DQ19:DR19"/>
    <mergeCell ref="DK19:DL19"/>
    <mergeCell ref="CW19:CX19"/>
    <mergeCell ref="DU19:DV19"/>
    <mergeCell ref="FC19:FD19"/>
    <mergeCell ref="DW19:DX19"/>
    <mergeCell ref="DY17:DZ17"/>
    <mergeCell ref="EC17:ED17"/>
    <mergeCell ref="DQ17:DR17"/>
    <mergeCell ref="DS17:DT17"/>
    <mergeCell ref="DU17:DV17"/>
    <mergeCell ref="EA17:EB17"/>
    <mergeCell ref="DW17:DX17"/>
    <mergeCell ref="DS19:DT19"/>
    <mergeCell ref="DE19:DF19"/>
    <mergeCell ref="DM19:DN19"/>
    <mergeCell ref="EY18:EZ18"/>
    <mergeCell ref="AQ18:AR18"/>
    <mergeCell ref="AS18:AT18"/>
    <mergeCell ref="BG18:BH18"/>
    <mergeCell ref="BK18:BL18"/>
    <mergeCell ref="BI18:BJ18"/>
    <mergeCell ref="AY18:AZ18"/>
    <mergeCell ref="AU18:AV18"/>
    <mergeCell ref="BA18:BB18"/>
    <mergeCell ref="AW18:AX18"/>
    <mergeCell ref="FU18:FV18"/>
    <mergeCell ref="FG18:FH18"/>
    <mergeCell ref="FE17:FF17"/>
    <mergeCell ref="FG17:FH17"/>
    <mergeCell ref="FE18:FF18"/>
    <mergeCell ref="FS17:FT17"/>
    <mergeCell ref="FQ17:FR17"/>
    <mergeCell ref="EM17:EN17"/>
    <mergeCell ref="EI18:EJ18"/>
    <mergeCell ref="EO18:EP18"/>
    <mergeCell ref="EO17:EP17"/>
    <mergeCell ref="EI17:EJ17"/>
    <mergeCell ref="FC17:FD17"/>
    <mergeCell ref="EU17:EV17"/>
    <mergeCell ref="DA17:DB17"/>
    <mergeCell ref="DG17:DH17"/>
    <mergeCell ref="CW17:CX17"/>
    <mergeCell ref="CO17:CP17"/>
    <mergeCell ref="CU17:CV17"/>
    <mergeCell ref="EE17:EF17"/>
    <mergeCell ref="FA17:FB17"/>
    <mergeCell ref="EG17:EH17"/>
    <mergeCell ref="CM17:CN17"/>
    <mergeCell ref="HY17:HZ17"/>
    <mergeCell ref="IC17:ID17"/>
    <mergeCell ref="HS17:HT17"/>
    <mergeCell ref="IA18:IB18"/>
    <mergeCell ref="HY18:HZ18"/>
    <mergeCell ref="HW18:HX18"/>
    <mergeCell ref="HU18:HV18"/>
    <mergeCell ref="HM18:HN18"/>
    <mergeCell ref="CC18:CD18"/>
    <mergeCell ref="DG18:DH18"/>
    <mergeCell ref="HS18:HT18"/>
    <mergeCell ref="DK18:DL18"/>
    <mergeCell ref="HE18:HF18"/>
    <mergeCell ref="GQ18:GR18"/>
    <mergeCell ref="GS18:GT18"/>
    <mergeCell ref="EE18:EF18"/>
    <mergeCell ref="CQ18:CR18"/>
    <mergeCell ref="FI17:FJ17"/>
    <mergeCell ref="FK17:FL17"/>
    <mergeCell ref="FO17:FP17"/>
    <mergeCell ref="GA17:GB17"/>
    <mergeCell ref="FW17:FX17"/>
    <mergeCell ref="FM17:FN17"/>
    <mergeCell ref="FU17:FV17"/>
    <mergeCell ref="HC18:HD18"/>
    <mergeCell ref="HA18:HB18"/>
    <mergeCell ref="GW18:GX18"/>
    <mergeCell ref="FY17:FZ17"/>
    <mergeCell ref="GC17:GD17"/>
    <mergeCell ref="HE17:HF17"/>
    <mergeCell ref="GQ17:GR17"/>
    <mergeCell ref="GS17:GT17"/>
    <mergeCell ref="GI17:GJ17"/>
    <mergeCell ref="GE16:GF16"/>
    <mergeCell ref="GG16:GH16"/>
    <mergeCell ref="GE17:GF17"/>
    <mergeCell ref="IS17:IT17"/>
    <mergeCell ref="HC17:HD17"/>
    <mergeCell ref="IK17:IL17"/>
    <mergeCell ref="HW17:HX17"/>
    <mergeCell ref="HG17:HH17"/>
    <mergeCell ref="IO17:IP17"/>
    <mergeCell ref="IQ17:IR17"/>
    <mergeCell ref="IE17:IF17"/>
    <mergeCell ref="IA17:IB17"/>
    <mergeCell ref="IM17:IN17"/>
    <mergeCell ref="HU17:HV17"/>
    <mergeCell ref="GO17:GP17"/>
    <mergeCell ref="GG17:GH17"/>
    <mergeCell ref="HK17:HL17"/>
    <mergeCell ref="HA17:HB17"/>
    <mergeCell ref="GY17:GZ17"/>
    <mergeCell ref="II17:IJ17"/>
    <mergeCell ref="IG17:IH17"/>
    <mergeCell ref="HQ17:HR17"/>
    <mergeCell ref="GW17:GX17"/>
    <mergeCell ref="GU17:GV17"/>
    <mergeCell ref="GM17:GN17"/>
    <mergeCell ref="GK17:GL17"/>
    <mergeCell ref="IG16:IH16"/>
    <mergeCell ref="IC16:ID16"/>
    <mergeCell ref="HO17:HP17"/>
    <mergeCell ref="HM17:HN17"/>
    <mergeCell ref="HI17:HJ17"/>
    <mergeCell ref="EM16:EN16"/>
    <mergeCell ref="EO16:EP16"/>
    <mergeCell ref="EK16:EL16"/>
    <mergeCell ref="EM18:EN18"/>
    <mergeCell ref="GW16:GX16"/>
    <mergeCell ref="GS16:GT16"/>
    <mergeCell ref="GK16:GL16"/>
    <mergeCell ref="GM16:GN16"/>
    <mergeCell ref="GQ16:GR16"/>
    <mergeCell ref="GU16:GV16"/>
    <mergeCell ref="GO16:GP16"/>
    <mergeCell ref="HU16:HV16"/>
    <mergeCell ref="HE16:HF16"/>
    <mergeCell ref="HG16:HH16"/>
    <mergeCell ref="HA16:HB16"/>
    <mergeCell ref="HC16:HD16"/>
    <mergeCell ref="HK16:HL16"/>
    <mergeCell ref="GY16:GZ16"/>
    <mergeCell ref="HI16:HJ16"/>
    <mergeCell ref="ES16:ET16"/>
    <mergeCell ref="EY16:EZ16"/>
    <mergeCell ref="FC16:FD16"/>
    <mergeCell ref="FA16:FB16"/>
    <mergeCell ref="EU16:EV16"/>
    <mergeCell ref="EW16:EX16"/>
    <mergeCell ref="EK17:EL17"/>
    <mergeCell ref="FG16:FH16"/>
    <mergeCell ref="FS16:FT16"/>
    <mergeCell ref="FW16:FX16"/>
    <mergeCell ref="FM16:FN16"/>
    <mergeCell ref="FK16:FL16"/>
    <mergeCell ref="FO16:FP16"/>
    <mergeCell ref="HM16:HN16"/>
    <mergeCell ref="HQ16:HR16"/>
    <mergeCell ref="HO16:HP16"/>
    <mergeCell ref="HS16:HT16"/>
    <mergeCell ref="HW16:HX16"/>
    <mergeCell ref="HY16:HZ16"/>
    <mergeCell ref="IE16:IF16"/>
    <mergeCell ref="IA16:IB16"/>
    <mergeCell ref="IS16:IT16"/>
    <mergeCell ref="II16:IJ16"/>
    <mergeCell ref="IK16:IL16"/>
    <mergeCell ref="IM16:IN16"/>
    <mergeCell ref="IO16:IP16"/>
    <mergeCell ref="IQ16:IR16"/>
    <mergeCell ref="FE16:FF16"/>
    <mergeCell ref="FU16:FV16"/>
    <mergeCell ref="FI16:FJ16"/>
    <mergeCell ref="FQ16:FR16"/>
    <mergeCell ref="GI16:GJ16"/>
    <mergeCell ref="GC16:GD16"/>
    <mergeCell ref="GA16:GB16"/>
    <mergeCell ref="FY16:FZ16"/>
    <mergeCell ref="EQ16:ER16"/>
    <mergeCell ref="AQ17:AR17"/>
    <mergeCell ref="DG16:DH16"/>
    <mergeCell ref="DO17:DP17"/>
    <mergeCell ref="BM17:BN17"/>
    <mergeCell ref="BO17:BP17"/>
    <mergeCell ref="BW17:BX17"/>
    <mergeCell ref="BG17:BH17"/>
    <mergeCell ref="AW17:AX17"/>
    <mergeCell ref="EQ17:ER17"/>
    <mergeCell ref="BU17:BV17"/>
    <mergeCell ref="BS17:BT17"/>
    <mergeCell ref="BQ17:BR17"/>
    <mergeCell ref="AS17:AT17"/>
    <mergeCell ref="BC17:BD17"/>
    <mergeCell ref="BI17:BJ17"/>
    <mergeCell ref="AU17:AV17"/>
    <mergeCell ref="CC17:CD17"/>
    <mergeCell ref="CA17:CB17"/>
    <mergeCell ref="CI17:CJ17"/>
    <mergeCell ref="CE17:CF17"/>
    <mergeCell ref="CG17:CH17"/>
    <mergeCell ref="AY17:AZ17"/>
    <mergeCell ref="BA17:BB17"/>
    <mergeCell ref="BY17:BZ17"/>
    <mergeCell ref="BE17:BF17"/>
    <mergeCell ref="BK17:BL17"/>
    <mergeCell ref="DM17:DN17"/>
    <mergeCell ref="DC17:DD17"/>
    <mergeCell ref="DE17:DF17"/>
    <mergeCell ref="CQ17:CR17"/>
    <mergeCell ref="EE16:EF16"/>
    <mergeCell ref="EI16:EJ16"/>
    <mergeCell ref="CQ16:CR16"/>
    <mergeCell ref="DY16:DZ16"/>
    <mergeCell ref="EG16:EH16"/>
    <mergeCell ref="DC16:DD16"/>
    <mergeCell ref="DI16:DJ16"/>
    <mergeCell ref="DE16:DF16"/>
    <mergeCell ref="DW16:DX16"/>
    <mergeCell ref="DM16:DN16"/>
    <mergeCell ref="DK16:DL16"/>
    <mergeCell ref="EC16:ED16"/>
    <mergeCell ref="EA16:EB16"/>
    <mergeCell ref="DU16:DV16"/>
    <mergeCell ref="DS16:DT16"/>
    <mergeCell ref="DA16:DB16"/>
    <mergeCell ref="CO16:CP16"/>
    <mergeCell ref="DO16:DP16"/>
    <mergeCell ref="DQ16:DR16"/>
    <mergeCell ref="CY16:CZ16"/>
    <mergeCell ref="BC16:BD16"/>
    <mergeCell ref="AY16:AZ16"/>
    <mergeCell ref="BG16:BH16"/>
    <mergeCell ref="BA16:BB16"/>
    <mergeCell ref="BE16:BF16"/>
    <mergeCell ref="DK15:DL15"/>
    <mergeCell ref="DC15:DD15"/>
    <mergeCell ref="CO15:CP15"/>
    <mergeCell ref="CU16:CV16"/>
    <mergeCell ref="CW16:CX16"/>
    <mergeCell ref="CQ15:CR15"/>
    <mergeCell ref="CW15:CX15"/>
    <mergeCell ref="CU15:CV15"/>
    <mergeCell ref="AQ16:AR16"/>
    <mergeCell ref="AS16:AT16"/>
    <mergeCell ref="CS17:CT17"/>
    <mergeCell ref="CK17:CL17"/>
    <mergeCell ref="CM16:CN16"/>
    <mergeCell ref="CK16:CL16"/>
    <mergeCell ref="CY17:CZ17"/>
    <mergeCell ref="DK17:DL17"/>
    <mergeCell ref="DI17:DJ17"/>
    <mergeCell ref="BW16:BX16"/>
    <mergeCell ref="AU16:AV16"/>
    <mergeCell ref="CC15:CD15"/>
    <mergeCell ref="CG15:CH15"/>
    <mergeCell ref="AU15:AV15"/>
    <mergeCell ref="DA15:DB15"/>
    <mergeCell ref="BI16:BJ16"/>
    <mergeCell ref="CE15:CF15"/>
    <mergeCell ref="CG16:CH16"/>
    <mergeCell ref="CE16:CF16"/>
    <mergeCell ref="BQ16:BR16"/>
    <mergeCell ref="BK16:BL16"/>
    <mergeCell ref="BM16:BN16"/>
    <mergeCell ref="CA15:CB15"/>
    <mergeCell ref="BQ15:BR15"/>
    <mergeCell ref="BU15:BV15"/>
    <mergeCell ref="BE15:BF15"/>
    <mergeCell ref="BY15:BZ15"/>
    <mergeCell ref="BI15:BJ15"/>
    <mergeCell ref="BM15:BN15"/>
    <mergeCell ref="BO15:BP15"/>
    <mergeCell ref="CK15:CL15"/>
    <mergeCell ref="BY16:BZ16"/>
    <mergeCell ref="BO16:BP16"/>
    <mergeCell ref="CS16:CT16"/>
    <mergeCell ref="BS16:BT16"/>
    <mergeCell ref="CI16:CJ16"/>
    <mergeCell ref="BU16:BV16"/>
    <mergeCell ref="BC15:BD15"/>
    <mergeCell ref="CA16:CB16"/>
    <mergeCell ref="CC16:CD16"/>
    <mergeCell ref="AW16:AX16"/>
    <mergeCell ref="HU15:HV15"/>
    <mergeCell ref="HI15:HJ15"/>
    <mergeCell ref="GK15:GL15"/>
    <mergeCell ref="BW15:BX15"/>
    <mergeCell ref="CM15:CN15"/>
    <mergeCell ref="CY15:CZ15"/>
    <mergeCell ref="DM15:DN15"/>
    <mergeCell ref="DO15:DP15"/>
    <mergeCell ref="DI15:DJ15"/>
    <mergeCell ref="HA15:HB15"/>
    <mergeCell ref="HC15:HD15"/>
    <mergeCell ref="GW15:GX15"/>
    <mergeCell ref="IM15:IN15"/>
    <mergeCell ref="II15:IJ15"/>
    <mergeCell ref="GS15:GT15"/>
    <mergeCell ref="GY15:GZ15"/>
    <mergeCell ref="GU15:GV15"/>
    <mergeCell ref="IC15:ID15"/>
    <mergeCell ref="HY15:HZ15"/>
    <mergeCell ref="GE15:GF15"/>
    <mergeCell ref="DW15:DX15"/>
    <mergeCell ref="DQ15:DR15"/>
    <mergeCell ref="EE15:EF15"/>
    <mergeCell ref="EC15:ED15"/>
    <mergeCell ref="EA15:EB15"/>
    <mergeCell ref="CI15:CJ15"/>
    <mergeCell ref="CS15:CT15"/>
    <mergeCell ref="DS15:DT15"/>
    <mergeCell ref="DY15:DZ15"/>
    <mergeCell ref="DU15:DV15"/>
    <mergeCell ref="IS15:IT15"/>
    <mergeCell ref="IE15:IF15"/>
    <mergeCell ref="IO15:IP15"/>
    <mergeCell ref="IQ15:IR15"/>
    <mergeCell ref="IK15:IL15"/>
    <mergeCell ref="HM15:HN15"/>
    <mergeCell ref="GQ15:GR15"/>
    <mergeCell ref="EM15:EN15"/>
    <mergeCell ref="EU15:EV15"/>
    <mergeCell ref="EO15:EP15"/>
    <mergeCell ref="ES15:ET15"/>
    <mergeCell ref="GO15:GP15"/>
    <mergeCell ref="HQ15:HR15"/>
    <mergeCell ref="EW15:EX15"/>
    <mergeCell ref="IG14:IH14"/>
    <mergeCell ref="HW15:HX15"/>
    <mergeCell ref="IG15:IH15"/>
    <mergeCell ref="IC14:ID14"/>
    <mergeCell ref="HW14:HX14"/>
    <mergeCell ref="HY14:HZ14"/>
    <mergeCell ref="IA15:IB15"/>
    <mergeCell ref="IE14:IF14"/>
    <mergeCell ref="HU14:HV14"/>
    <mergeCell ref="HQ14:HR14"/>
    <mergeCell ref="IS14:IT14"/>
    <mergeCell ref="IM14:IN14"/>
    <mergeCell ref="II14:IJ14"/>
    <mergeCell ref="IO14:IP14"/>
    <mergeCell ref="IQ14:IR14"/>
    <mergeCell ref="IK14:IL14"/>
    <mergeCell ref="IA14:IB14"/>
    <mergeCell ref="HE15:HF15"/>
    <mergeCell ref="GA14:GB14"/>
    <mergeCell ref="FI14:FJ14"/>
    <mergeCell ref="FC14:FD14"/>
    <mergeCell ref="FG14:FH14"/>
    <mergeCell ref="FY14:FZ14"/>
    <mergeCell ref="FS14:FT14"/>
    <mergeCell ref="EQ15:ER15"/>
    <mergeCell ref="HG14:HH14"/>
    <mergeCell ref="HS14:HT14"/>
    <mergeCell ref="HO14:HP14"/>
    <mergeCell ref="HI14:HJ14"/>
    <mergeCell ref="HM14:HN14"/>
    <mergeCell ref="HK14:HL14"/>
    <mergeCell ref="HK15:HL15"/>
    <mergeCell ref="HS15:HT15"/>
    <mergeCell ref="HO15:HP15"/>
    <mergeCell ref="GQ14:GR14"/>
    <mergeCell ref="GK14:GL14"/>
    <mergeCell ref="GS14:GT14"/>
    <mergeCell ref="GU14:GV14"/>
    <mergeCell ref="GO14:GP14"/>
    <mergeCell ref="HE14:HF14"/>
    <mergeCell ref="HC14:HD14"/>
    <mergeCell ref="HA14:HB14"/>
    <mergeCell ref="GY14:GZ14"/>
    <mergeCell ref="GW14:GX14"/>
    <mergeCell ref="GM15:GN15"/>
    <mergeCell ref="HG15:HH15"/>
    <mergeCell ref="DY14:DZ14"/>
    <mergeCell ref="DE14:DF14"/>
    <mergeCell ref="DM14:DN14"/>
    <mergeCell ref="EG14:EH14"/>
    <mergeCell ref="EY14:EZ14"/>
    <mergeCell ref="FC15:FD15"/>
    <mergeCell ref="GC15:GD15"/>
    <mergeCell ref="FG15:FH15"/>
    <mergeCell ref="FI15:FJ15"/>
    <mergeCell ref="EY15:EZ15"/>
    <mergeCell ref="GM14:GN14"/>
    <mergeCell ref="GG15:GH15"/>
    <mergeCell ref="FO14:FP14"/>
    <mergeCell ref="EU14:EV14"/>
    <mergeCell ref="EK14:EL14"/>
    <mergeCell ref="FM14:FN14"/>
    <mergeCell ref="FQ14:FR14"/>
    <mergeCell ref="FE14:FF14"/>
    <mergeCell ref="FU15:FV15"/>
    <mergeCell ref="FU14:FV14"/>
    <mergeCell ref="FA15:FB15"/>
    <mergeCell ref="GI15:GJ15"/>
    <mergeCell ref="GA15:GB15"/>
    <mergeCell ref="FO15:FP15"/>
    <mergeCell ref="FM15:FN15"/>
    <mergeCell ref="FQ15:FR15"/>
    <mergeCell ref="FW15:FX15"/>
    <mergeCell ref="FY15:FZ15"/>
    <mergeCell ref="FS15:FT15"/>
    <mergeCell ref="EO14:EP14"/>
    <mergeCell ref="EM14:EN14"/>
    <mergeCell ref="EQ14:ER14"/>
    <mergeCell ref="DG14:DH14"/>
    <mergeCell ref="DI14:DJ14"/>
    <mergeCell ref="CU13:CV13"/>
    <mergeCell ref="DE13:DF13"/>
    <mergeCell ref="ES14:ET14"/>
    <mergeCell ref="EW14:EX14"/>
    <mergeCell ref="FK14:FL14"/>
    <mergeCell ref="EI15:EJ15"/>
    <mergeCell ref="FE15:FF15"/>
    <mergeCell ref="EK15:EL15"/>
    <mergeCell ref="EG15:EH15"/>
    <mergeCell ref="AY15:AZ15"/>
    <mergeCell ref="AW15:AX15"/>
    <mergeCell ref="AE15:AF15"/>
    <mergeCell ref="AG15:AH15"/>
    <mergeCell ref="DO14:DP14"/>
    <mergeCell ref="DG15:DH15"/>
    <mergeCell ref="DE15:DF15"/>
    <mergeCell ref="BG15:BH15"/>
    <mergeCell ref="BK15:BL15"/>
    <mergeCell ref="BS15:BT15"/>
    <mergeCell ref="AI15:AJ15"/>
    <mergeCell ref="AK15:AL15"/>
    <mergeCell ref="AM15:AN15"/>
    <mergeCell ref="AO15:AP15"/>
    <mergeCell ref="AS15:AT15"/>
    <mergeCell ref="AQ15:AR15"/>
    <mergeCell ref="FK15:FL15"/>
    <mergeCell ref="BA15:BB15"/>
    <mergeCell ref="DQ13:DR13"/>
    <mergeCell ref="DK13:DL13"/>
    <mergeCell ref="CE13:CF13"/>
    <mergeCell ref="DA14:DB14"/>
    <mergeCell ref="DY13:DZ13"/>
    <mergeCell ref="DW13:DX13"/>
    <mergeCell ref="DU14:DV14"/>
    <mergeCell ref="DU13:DV13"/>
    <mergeCell ref="EA13:EB13"/>
    <mergeCell ref="EC14:ED14"/>
    <mergeCell ref="GI14:GJ14"/>
    <mergeCell ref="DW14:DX14"/>
    <mergeCell ref="EA14:EB14"/>
    <mergeCell ref="FW14:FX14"/>
    <mergeCell ref="GG14:GH14"/>
    <mergeCell ref="EI14:EJ14"/>
    <mergeCell ref="CC13:CD13"/>
    <mergeCell ref="DS14:DT14"/>
    <mergeCell ref="CM13:CN13"/>
    <mergeCell ref="CQ13:CR13"/>
    <mergeCell ref="CS13:CT13"/>
    <mergeCell ref="CY14:CZ14"/>
    <mergeCell ref="CE14:CF14"/>
    <mergeCell ref="CI14:CJ14"/>
    <mergeCell ref="CK14:CL14"/>
    <mergeCell ref="DC14:DD14"/>
    <mergeCell ref="DK14:DL14"/>
    <mergeCell ref="GE14:GF14"/>
    <mergeCell ref="GC14:GD14"/>
    <mergeCell ref="DQ14:DR14"/>
    <mergeCell ref="EE14:EF14"/>
    <mergeCell ref="FA14:FB14"/>
    <mergeCell ref="FK13:FL13"/>
    <mergeCell ref="FY13:FZ13"/>
    <mergeCell ref="FW13:FX13"/>
    <mergeCell ref="BO14:BP14"/>
    <mergeCell ref="BS14:BT14"/>
    <mergeCell ref="CG13:CH13"/>
    <mergeCell ref="BY14:BZ14"/>
    <mergeCell ref="BU14:BV14"/>
    <mergeCell ref="BQ14:BR14"/>
    <mergeCell ref="BW14:BX14"/>
    <mergeCell ref="CC14:CD14"/>
    <mergeCell ref="CG14:CH14"/>
    <mergeCell ref="CW14:CX14"/>
    <mergeCell ref="CK13:CL13"/>
    <mergeCell ref="CU14:CV14"/>
    <mergeCell ref="CS14:CT14"/>
    <mergeCell ref="CQ14:CR14"/>
    <mergeCell ref="CO13:CP13"/>
    <mergeCell ref="CO14:CP14"/>
    <mergeCell ref="CM14:CN14"/>
    <mergeCell ref="CA13:CB13"/>
    <mergeCell ref="CA14:CB14"/>
    <mergeCell ref="BW13:BX13"/>
    <mergeCell ref="CW13:CX13"/>
    <mergeCell ref="BC14:BD14"/>
    <mergeCell ref="BE14:BF14"/>
    <mergeCell ref="AW14:AX14"/>
    <mergeCell ref="AY14:AZ14"/>
    <mergeCell ref="AE13:AF13"/>
    <mergeCell ref="AI14:AJ14"/>
    <mergeCell ref="AK14:AL14"/>
    <mergeCell ref="AM14:AN14"/>
    <mergeCell ref="AG13:AH13"/>
    <mergeCell ref="AI13:AJ13"/>
    <mergeCell ref="AU14:AV14"/>
    <mergeCell ref="BA14:BB14"/>
    <mergeCell ref="BK14:BL14"/>
    <mergeCell ref="BM14:BN14"/>
    <mergeCell ref="AO14:AP14"/>
    <mergeCell ref="AE14:AF14"/>
    <mergeCell ref="AG14:AH14"/>
    <mergeCell ref="BG14:BH14"/>
    <mergeCell ref="AQ14:AR14"/>
    <mergeCell ref="AS14:AT14"/>
    <mergeCell ref="BI14:BJ14"/>
    <mergeCell ref="AQ13:AR13"/>
    <mergeCell ref="AS13:AT13"/>
    <mergeCell ref="AU13:AV13"/>
    <mergeCell ref="AO13:AP13"/>
    <mergeCell ref="AM13:AN13"/>
    <mergeCell ref="AK13:AL13"/>
    <mergeCell ref="BE13:BF13"/>
    <mergeCell ref="AW13:AX13"/>
    <mergeCell ref="BC13:BD13"/>
    <mergeCell ref="AY13:AZ13"/>
    <mergeCell ref="BA13:BB13"/>
    <mergeCell ref="FO13:FP13"/>
    <mergeCell ref="FQ13:FR13"/>
    <mergeCell ref="HS13:HT13"/>
    <mergeCell ref="HG13:HH13"/>
    <mergeCell ref="EE13:EF13"/>
    <mergeCell ref="FU13:FV13"/>
    <mergeCell ref="EG13:EH13"/>
    <mergeCell ref="GM13:GN13"/>
    <mergeCell ref="FM13:FN13"/>
    <mergeCell ref="GG13:GH13"/>
    <mergeCell ref="GK13:GL13"/>
    <mergeCell ref="FI13:FJ13"/>
    <mergeCell ref="FS13:FT13"/>
    <mergeCell ref="HM13:HN13"/>
    <mergeCell ref="HK13:HL13"/>
    <mergeCell ref="EY13:EZ13"/>
    <mergeCell ref="GE13:GF13"/>
    <mergeCell ref="GO13:GP13"/>
    <mergeCell ref="GC13:GD13"/>
    <mergeCell ref="EW13:EX13"/>
    <mergeCell ref="GI13:GJ13"/>
    <mergeCell ref="EI13:EJ13"/>
    <mergeCell ref="FG13:FH13"/>
    <mergeCell ref="FE13:FF13"/>
    <mergeCell ref="FC13:FD13"/>
    <mergeCell ref="IO13:IP13"/>
    <mergeCell ref="IQ13:IR13"/>
    <mergeCell ref="IM13:IN13"/>
    <mergeCell ref="IK13:IL13"/>
    <mergeCell ref="II13:IJ13"/>
    <mergeCell ref="IA13:IB13"/>
    <mergeCell ref="HQ13:HR13"/>
    <mergeCell ref="HY13:HZ13"/>
    <mergeCell ref="GS13:GT13"/>
    <mergeCell ref="HE13:HF13"/>
    <mergeCell ref="HO13:HP13"/>
    <mergeCell ref="HC13:HD13"/>
    <mergeCell ref="HI13:HJ13"/>
    <mergeCell ref="HU13:HV13"/>
    <mergeCell ref="HW13:HX13"/>
    <mergeCell ref="HA13:HB13"/>
    <mergeCell ref="GY13:GZ13"/>
    <mergeCell ref="GW13:GX13"/>
    <mergeCell ref="GU13:GV13"/>
    <mergeCell ref="IC13:ID13"/>
    <mergeCell ref="IE13:IF13"/>
    <mergeCell ref="IG13:IH13"/>
    <mergeCell ref="BG13:BH13"/>
    <mergeCell ref="DC13:DD13"/>
    <mergeCell ref="CY13:CZ13"/>
    <mergeCell ref="BM13:BN13"/>
    <mergeCell ref="BK13:BL13"/>
    <mergeCell ref="BQ13:BR13"/>
    <mergeCell ref="BS13:BT13"/>
    <mergeCell ref="BU13:BV13"/>
    <mergeCell ref="CI13:CJ13"/>
    <mergeCell ref="EI12:EJ12"/>
    <mergeCell ref="EQ12:ER12"/>
    <mergeCell ref="EO12:EP12"/>
    <mergeCell ref="EK13:EL13"/>
    <mergeCell ref="ES13:ET13"/>
    <mergeCell ref="EU13:EV13"/>
    <mergeCell ref="DA13:DB13"/>
    <mergeCell ref="DG13:DH13"/>
    <mergeCell ref="DI13:DJ13"/>
    <mergeCell ref="DM13:DN13"/>
    <mergeCell ref="DS13:DT13"/>
    <mergeCell ref="BY13:BZ13"/>
    <mergeCell ref="ES12:ET12"/>
    <mergeCell ref="EM12:EN12"/>
    <mergeCell ref="EK12:EL12"/>
    <mergeCell ref="EM13:EN13"/>
    <mergeCell ref="EO13:EP13"/>
    <mergeCell ref="EQ13:ER13"/>
    <mergeCell ref="BQ12:BR12"/>
    <mergeCell ref="BU12:BV12"/>
    <mergeCell ref="BI13:BJ13"/>
    <mergeCell ref="BO13:BP13"/>
    <mergeCell ref="BI12:BJ12"/>
    <mergeCell ref="EC13:ED13"/>
    <mergeCell ref="DO13:DP13"/>
    <mergeCell ref="GQ13:GR13"/>
    <mergeCell ref="GC12:GD12"/>
    <mergeCell ref="EY12:EZ12"/>
    <mergeCell ref="FA12:FB12"/>
    <mergeCell ref="FA13:FB13"/>
    <mergeCell ref="GI12:GJ12"/>
    <mergeCell ref="GA13:GB13"/>
    <mergeCell ref="HW12:HX12"/>
    <mergeCell ref="IA12:IB12"/>
    <mergeCell ref="IE12:IF12"/>
    <mergeCell ref="HY12:HZ12"/>
    <mergeCell ref="DK12:DL12"/>
    <mergeCell ref="DA12:DB12"/>
    <mergeCell ref="CY12:CZ12"/>
    <mergeCell ref="CQ12:CR12"/>
    <mergeCell ref="CW12:CX12"/>
    <mergeCell ref="DE12:DF12"/>
    <mergeCell ref="DI12:DJ12"/>
    <mergeCell ref="CS12:CT12"/>
    <mergeCell ref="DC12:DD12"/>
    <mergeCell ref="HS12:HT12"/>
    <mergeCell ref="GO12:GP12"/>
    <mergeCell ref="GQ12:GR12"/>
    <mergeCell ref="DY12:DZ12"/>
    <mergeCell ref="FQ12:FR12"/>
    <mergeCell ref="FK12:FL12"/>
    <mergeCell ref="HO12:HP12"/>
    <mergeCell ref="HQ12:HR12"/>
    <mergeCell ref="HM12:HN12"/>
    <mergeCell ref="HU12:HV12"/>
    <mergeCell ref="HK12:HL12"/>
    <mergeCell ref="HI12:HJ12"/>
    <mergeCell ref="GG12:GH12"/>
    <mergeCell ref="AW12:AX12"/>
    <mergeCell ref="AS12:AT12"/>
    <mergeCell ref="CU12:CV12"/>
    <mergeCell ref="CO12:CP12"/>
    <mergeCell ref="CK12:CL12"/>
    <mergeCell ref="CC12:CD12"/>
    <mergeCell ref="CE12:CF12"/>
    <mergeCell ref="HG12:HH12"/>
    <mergeCell ref="HC12:HD12"/>
    <mergeCell ref="HE12:HF12"/>
    <mergeCell ref="GY12:GZ12"/>
    <mergeCell ref="HA12:HB12"/>
    <mergeCell ref="BO12:BP12"/>
    <mergeCell ref="EU12:EV12"/>
    <mergeCell ref="GK12:GL12"/>
    <mergeCell ref="AQ12:AR12"/>
    <mergeCell ref="CG12:CH12"/>
    <mergeCell ref="CI12:CJ12"/>
    <mergeCell ref="BK12:BL12"/>
    <mergeCell ref="BM12:BN12"/>
    <mergeCell ref="BS12:BT12"/>
    <mergeCell ref="CM12:CN12"/>
    <mergeCell ref="GS12:GT12"/>
    <mergeCell ref="GW12:GX12"/>
    <mergeCell ref="EG12:EH12"/>
    <mergeCell ref="CA12:CB12"/>
    <mergeCell ref="BY12:BZ12"/>
    <mergeCell ref="DM12:DN12"/>
    <mergeCell ref="DQ12:DR12"/>
    <mergeCell ref="FW12:FX12"/>
    <mergeCell ref="GM12:GN12"/>
    <mergeCell ref="GE12:GF12"/>
    <mergeCell ref="FY12:FZ12"/>
    <mergeCell ref="BW12:BX12"/>
    <mergeCell ref="BE12:BF12"/>
    <mergeCell ref="BG12:BH12"/>
    <mergeCell ref="BA12:BB12"/>
    <mergeCell ref="GU12:GV12"/>
    <mergeCell ref="FO12:FP12"/>
    <mergeCell ref="FU12:FV12"/>
    <mergeCell ref="DG12:DH12"/>
    <mergeCell ref="EE12:EF12"/>
    <mergeCell ref="DU12:DV12"/>
    <mergeCell ref="DW12:DX12"/>
    <mergeCell ref="DS12:DT12"/>
    <mergeCell ref="DO12:DP12"/>
    <mergeCell ref="EA12:EB12"/>
    <mergeCell ref="AK12:AL12"/>
    <mergeCell ref="AM12:AN12"/>
    <mergeCell ref="BC12:BD12"/>
    <mergeCell ref="DS11:DT11"/>
    <mergeCell ref="DE11:DF11"/>
    <mergeCell ref="DO11:DP11"/>
    <mergeCell ref="EM11:EN11"/>
    <mergeCell ref="DU11:DV11"/>
    <mergeCell ref="EK11:EL11"/>
    <mergeCell ref="EC11:ED11"/>
    <mergeCell ref="DQ11:DR11"/>
    <mergeCell ref="DY11:DZ11"/>
    <mergeCell ref="EG11:EH11"/>
    <mergeCell ref="DI11:DJ11"/>
    <mergeCell ref="DM11:DN11"/>
    <mergeCell ref="DW11:DX11"/>
    <mergeCell ref="CG11:CH11"/>
    <mergeCell ref="BU11:BV11"/>
    <mergeCell ref="BG11:BH11"/>
    <mergeCell ref="BI11:BJ11"/>
    <mergeCell ref="BM11:BN11"/>
    <mergeCell ref="DA11:DB11"/>
    <mergeCell ref="DC11:DD11"/>
    <mergeCell ref="AO12:AP12"/>
    <mergeCell ref="AU12:AV12"/>
    <mergeCell ref="DK11:DL11"/>
    <mergeCell ref="CU11:CV11"/>
    <mergeCell ref="CQ11:CR11"/>
    <mergeCell ref="AM11:AN11"/>
    <mergeCell ref="AS11:AT11"/>
    <mergeCell ref="AO11:AP11"/>
    <mergeCell ref="AY12:AZ12"/>
    <mergeCell ref="EI11:EJ11"/>
    <mergeCell ref="FC12:FD12"/>
    <mergeCell ref="FC11:FD11"/>
    <mergeCell ref="EW11:EX11"/>
    <mergeCell ref="EW12:EX12"/>
    <mergeCell ref="EC12:ED12"/>
    <mergeCell ref="EO11:EP11"/>
    <mergeCell ref="EU11:EV11"/>
    <mergeCell ref="EE11:EF11"/>
    <mergeCell ref="FS12:FT12"/>
    <mergeCell ref="GA12:GB12"/>
    <mergeCell ref="GS11:GT11"/>
    <mergeCell ref="EQ11:ER11"/>
    <mergeCell ref="GQ11:GR11"/>
    <mergeCell ref="GK11:GL11"/>
    <mergeCell ref="GE11:GF11"/>
    <mergeCell ref="EY11:EZ11"/>
    <mergeCell ref="GO11:GP11"/>
    <mergeCell ref="FM12:FN12"/>
    <mergeCell ref="FI12:FJ12"/>
    <mergeCell ref="FG12:FH12"/>
    <mergeCell ref="FE12:FF12"/>
    <mergeCell ref="IQ10:IR10"/>
    <mergeCell ref="IM10:IN10"/>
    <mergeCell ref="IS10:IT10"/>
    <mergeCell ref="IO11:IP11"/>
    <mergeCell ref="IQ11:IR11"/>
    <mergeCell ref="IM11:IN11"/>
    <mergeCell ref="IS11:IT11"/>
    <mergeCell ref="IA11:IB11"/>
    <mergeCell ref="IE11:IF11"/>
    <mergeCell ref="IC11:ID11"/>
    <mergeCell ref="IS12:IT12"/>
    <mergeCell ref="IQ12:IR12"/>
    <mergeCell ref="IK11:IL11"/>
    <mergeCell ref="IG11:IH11"/>
    <mergeCell ref="II11:IJ11"/>
    <mergeCell ref="IG12:IH12"/>
    <mergeCell ref="IO12:IP12"/>
    <mergeCell ref="IK10:IL10"/>
    <mergeCell ref="II10:IJ10"/>
    <mergeCell ref="IG10:IH10"/>
    <mergeCell ref="IM12:IN12"/>
    <mergeCell ref="II12:IJ12"/>
    <mergeCell ref="IC12:ID12"/>
    <mergeCell ref="IK12:IL12"/>
    <mergeCell ref="HW11:HX11"/>
    <mergeCell ref="HY10:HZ10"/>
    <mergeCell ref="HW10:HX10"/>
    <mergeCell ref="HY11:HZ11"/>
    <mergeCell ref="HQ10:HR10"/>
    <mergeCell ref="HO11:HP11"/>
    <mergeCell ref="AU11:AV11"/>
    <mergeCell ref="BA11:BB11"/>
    <mergeCell ref="AY11:AZ11"/>
    <mergeCell ref="AW11:AX11"/>
    <mergeCell ref="EA11:EB11"/>
    <mergeCell ref="BY11:BZ11"/>
    <mergeCell ref="CI11:CJ11"/>
    <mergeCell ref="DG11:DH11"/>
    <mergeCell ref="CY11:CZ11"/>
    <mergeCell ref="CE11:CF11"/>
    <mergeCell ref="CA11:CB11"/>
    <mergeCell ref="CC11:CD11"/>
    <mergeCell ref="CM11:CN11"/>
    <mergeCell ref="CK11:CL11"/>
    <mergeCell ref="HU11:HV11"/>
    <mergeCell ref="FW10:FX10"/>
    <mergeCell ref="GA11:GB11"/>
    <mergeCell ref="FY11:FZ11"/>
    <mergeCell ref="HA10:HB10"/>
    <mergeCell ref="HK11:HL11"/>
    <mergeCell ref="HC10:HD10"/>
    <mergeCell ref="ES10:ET10"/>
    <mergeCell ref="FO10:FP10"/>
    <mergeCell ref="GA10:GB10"/>
    <mergeCell ref="FY10:FZ10"/>
    <mergeCell ref="FM10:FN10"/>
    <mergeCell ref="AQ11:AR11"/>
    <mergeCell ref="BS11:BT11"/>
    <mergeCell ref="BW11:BX11"/>
    <mergeCell ref="BQ11:BR11"/>
    <mergeCell ref="BO11:BP11"/>
    <mergeCell ref="BE11:BF11"/>
    <mergeCell ref="BC11:BD11"/>
    <mergeCell ref="CO11:CP11"/>
    <mergeCell ref="CS11:CT11"/>
    <mergeCell ref="CW11:CX11"/>
    <mergeCell ref="BK11:BL11"/>
    <mergeCell ref="HS10:HT10"/>
    <mergeCell ref="HM10:HN10"/>
    <mergeCell ref="HG10:HH10"/>
    <mergeCell ref="GG11:GH11"/>
    <mergeCell ref="GI11:GJ11"/>
    <mergeCell ref="GM11:GN11"/>
    <mergeCell ref="GS10:GT10"/>
    <mergeCell ref="GM10:GN10"/>
    <mergeCell ref="GQ10:GR10"/>
    <mergeCell ref="GG10:GH10"/>
    <mergeCell ref="GI10:GJ10"/>
    <mergeCell ref="HA11:HB11"/>
    <mergeCell ref="HE11:HF11"/>
    <mergeCell ref="HC11:HD11"/>
    <mergeCell ref="HI11:HJ11"/>
    <mergeCell ref="HG11:HH11"/>
    <mergeCell ref="HS11:HT11"/>
    <mergeCell ref="HM11:HN11"/>
    <mergeCell ref="HO10:HP10"/>
    <mergeCell ref="HQ11:HR11"/>
    <mergeCell ref="GU11:GV11"/>
    <mergeCell ref="FA10:FB10"/>
    <mergeCell ref="FI10:FJ10"/>
    <mergeCell ref="FS10:FT10"/>
    <mergeCell ref="FG10:FH10"/>
    <mergeCell ref="FO11:FP11"/>
    <mergeCell ref="FU10:FV10"/>
    <mergeCell ref="FW11:FX11"/>
    <mergeCell ref="GW10:GX10"/>
    <mergeCell ref="GY10:GZ10"/>
    <mergeCell ref="HE10:HF10"/>
    <mergeCell ref="HI10:HJ10"/>
    <mergeCell ref="FE11:FF11"/>
    <mergeCell ref="FA11:FB11"/>
    <mergeCell ref="ES11:ET11"/>
    <mergeCell ref="HK10:HL10"/>
    <mergeCell ref="GC11:GD11"/>
    <mergeCell ref="FS11:FT11"/>
    <mergeCell ref="FG11:FH11"/>
    <mergeCell ref="GU10:GV10"/>
    <mergeCell ref="GO10:GP10"/>
    <mergeCell ref="FQ11:FR11"/>
    <mergeCell ref="FK10:FL10"/>
    <mergeCell ref="EW10:EX10"/>
    <mergeCell ref="FE10:FF10"/>
    <mergeCell ref="FC10:FD10"/>
    <mergeCell ref="EU10:EV10"/>
    <mergeCell ref="GY11:GZ11"/>
    <mergeCell ref="GW11:GX11"/>
    <mergeCell ref="FU11:FV11"/>
    <mergeCell ref="FM11:FN11"/>
    <mergeCell ref="FI11:FJ11"/>
    <mergeCell ref="FK11:FL11"/>
    <mergeCell ref="IS9:IT9"/>
    <mergeCell ref="IO9:IP9"/>
    <mergeCell ref="HG9:HH9"/>
    <mergeCell ref="GU9:GV9"/>
    <mergeCell ref="IM9:IN9"/>
    <mergeCell ref="II9:IJ9"/>
    <mergeCell ref="HE9:HF9"/>
    <mergeCell ref="EM10:EN10"/>
    <mergeCell ref="EG10:EH10"/>
    <mergeCell ref="IO10:IP10"/>
    <mergeCell ref="IA10:IB10"/>
    <mergeCell ref="IC10:ID10"/>
    <mergeCell ref="IE10:IF10"/>
    <mergeCell ref="GK10:GL10"/>
    <mergeCell ref="GE10:GF10"/>
    <mergeCell ref="GC10:GD10"/>
    <mergeCell ref="EO10:EP10"/>
    <mergeCell ref="GW9:GX9"/>
    <mergeCell ref="HI9:HJ9"/>
    <mergeCell ref="GY9:GZ9"/>
    <mergeCell ref="HA9:HB9"/>
    <mergeCell ref="HO9:HP9"/>
    <mergeCell ref="HY9:HZ9"/>
    <mergeCell ref="HW9:HX9"/>
    <mergeCell ref="HS9:HT9"/>
    <mergeCell ref="HK9:HL9"/>
    <mergeCell ref="FM9:FN9"/>
    <mergeCell ref="FU9:FV9"/>
    <mergeCell ref="FO9:FP9"/>
    <mergeCell ref="EG9:EH9"/>
    <mergeCell ref="FQ10:FR10"/>
    <mergeCell ref="HU10:HV10"/>
    <mergeCell ref="CM10:CN10"/>
    <mergeCell ref="DG10:DH10"/>
    <mergeCell ref="CW10:CX10"/>
    <mergeCell ref="CG10:CH10"/>
    <mergeCell ref="CA10:CB10"/>
    <mergeCell ref="BQ10:BR10"/>
    <mergeCell ref="BM10:BN10"/>
    <mergeCell ref="EI10:EJ10"/>
    <mergeCell ref="DE10:DF10"/>
    <mergeCell ref="DS10:DT10"/>
    <mergeCell ref="DQ10:DR10"/>
    <mergeCell ref="DO10:DP10"/>
    <mergeCell ref="DU10:DV10"/>
    <mergeCell ref="EC10:ED10"/>
    <mergeCell ref="EE10:EF10"/>
    <mergeCell ref="EA10:EB10"/>
    <mergeCell ref="DI10:DJ10"/>
    <mergeCell ref="CS10:CT10"/>
    <mergeCell ref="DK10:DL10"/>
    <mergeCell ref="DW10:DX10"/>
    <mergeCell ref="CY10:CZ10"/>
    <mergeCell ref="CU10:CV10"/>
    <mergeCell ref="DA10:DB10"/>
    <mergeCell ref="DM10:DN10"/>
    <mergeCell ref="DC10:DD10"/>
    <mergeCell ref="CO10:CP10"/>
    <mergeCell ref="AO10:AP10"/>
    <mergeCell ref="BG10:BH10"/>
    <mergeCell ref="BE10:BF10"/>
    <mergeCell ref="CE10:CF10"/>
    <mergeCell ref="AW10:AX10"/>
    <mergeCell ref="BW10:BX10"/>
    <mergeCell ref="BU10:BV10"/>
    <mergeCell ref="BO10:BP10"/>
    <mergeCell ref="BA10:BB10"/>
    <mergeCell ref="AY10:AZ10"/>
    <mergeCell ref="CC10:CD10"/>
    <mergeCell ref="CK10:CL10"/>
    <mergeCell ref="BS10:BT10"/>
    <mergeCell ref="BY10:BZ10"/>
    <mergeCell ref="CI10:CJ10"/>
    <mergeCell ref="AM10:AN10"/>
    <mergeCell ref="AS10:AT10"/>
    <mergeCell ref="AU10:AV10"/>
    <mergeCell ref="BI10:BJ10"/>
    <mergeCell ref="BK10:BL10"/>
    <mergeCell ref="AQ10:AR10"/>
    <mergeCell ref="BC10:BD10"/>
    <mergeCell ref="EQ10:ER10"/>
    <mergeCell ref="EK10:EL10"/>
    <mergeCell ref="EY10:EZ10"/>
    <mergeCell ref="CQ10:CR10"/>
    <mergeCell ref="DY10:DZ10"/>
    <mergeCell ref="GQ9:GR9"/>
    <mergeCell ref="IQ9:IR9"/>
    <mergeCell ref="IK9:IL9"/>
    <mergeCell ref="HU9:HV9"/>
    <mergeCell ref="IC9:ID9"/>
    <mergeCell ref="IE9:IF9"/>
    <mergeCell ref="GS9:GT9"/>
    <mergeCell ref="HM9:HN9"/>
    <mergeCell ref="HQ9:HR9"/>
    <mergeCell ref="IG9:IH9"/>
    <mergeCell ref="FA9:FB9"/>
    <mergeCell ref="FE9:FF9"/>
    <mergeCell ref="GM9:GN9"/>
    <mergeCell ref="GI9:GJ9"/>
    <mergeCell ref="FW9:FX9"/>
    <mergeCell ref="GA9:GB9"/>
    <mergeCell ref="GC9:GD9"/>
    <mergeCell ref="GG9:GH9"/>
    <mergeCell ref="GK9:GL9"/>
    <mergeCell ref="FK9:FL9"/>
    <mergeCell ref="IA9:IB9"/>
    <mergeCell ref="GO9:GP9"/>
    <mergeCell ref="HC9:HD9"/>
    <mergeCell ref="EC9:ED9"/>
    <mergeCell ref="EK9:EL9"/>
    <mergeCell ref="FS9:FT9"/>
    <mergeCell ref="EQ9:ER9"/>
    <mergeCell ref="AS9:AT9"/>
    <mergeCell ref="AU9:AV9"/>
    <mergeCell ref="AW9:AX9"/>
    <mergeCell ref="AY9:AZ9"/>
    <mergeCell ref="DW9:DX9"/>
    <mergeCell ref="DC9:DD9"/>
    <mergeCell ref="DG9:DH9"/>
    <mergeCell ref="DM9:DN9"/>
    <mergeCell ref="DS9:DT9"/>
    <mergeCell ref="DE9:DF9"/>
    <mergeCell ref="CK9:CL9"/>
    <mergeCell ref="CQ9:CR9"/>
    <mergeCell ref="BY9:BZ9"/>
    <mergeCell ref="BU9:BV9"/>
    <mergeCell ref="CC9:CD9"/>
    <mergeCell ref="CG9:CH9"/>
    <mergeCell ref="CU9:CV9"/>
    <mergeCell ref="DA9:DB9"/>
    <mergeCell ref="DO9:DP9"/>
    <mergeCell ref="DQ9:DR9"/>
    <mergeCell ref="DU9:DV9"/>
    <mergeCell ref="BI9:BJ9"/>
    <mergeCell ref="CE9:CF9"/>
    <mergeCell ref="CO9:CP9"/>
    <mergeCell ref="CY9:CZ9"/>
    <mergeCell ref="BO9:BP9"/>
    <mergeCell ref="CI9:CJ9"/>
    <mergeCell ref="FG9:FH9"/>
    <mergeCell ref="DK9:DL9"/>
    <mergeCell ref="DI9:DJ9"/>
    <mergeCell ref="BW9:BX9"/>
    <mergeCell ref="CA9:CB9"/>
    <mergeCell ref="EE9:EF9"/>
    <mergeCell ref="GE9:GF9"/>
    <mergeCell ref="FQ9:FR9"/>
    <mergeCell ref="FY9:FZ9"/>
    <mergeCell ref="FI9:FJ9"/>
    <mergeCell ref="EI9:EJ9"/>
    <mergeCell ref="BS9:BT9"/>
    <mergeCell ref="EM9:EN9"/>
    <mergeCell ref="EU9:EV9"/>
    <mergeCell ref="FC9:FD9"/>
    <mergeCell ref="ES9:ET9"/>
    <mergeCell ref="EW9:EX9"/>
    <mergeCell ref="EY9:EZ9"/>
    <mergeCell ref="EO9:EP9"/>
    <mergeCell ref="EK8:EL8"/>
    <mergeCell ref="BU8:BV8"/>
    <mergeCell ref="BY8:BZ8"/>
    <mergeCell ref="CA8:CB8"/>
    <mergeCell ref="CG8:CH8"/>
    <mergeCell ref="CC8:CD8"/>
    <mergeCell ref="CW9:CX9"/>
    <mergeCell ref="CM9:CN9"/>
    <mergeCell ref="CS9:CT9"/>
    <mergeCell ref="AQ9:AR9"/>
    <mergeCell ref="BA9:BB9"/>
    <mergeCell ref="BG9:BH9"/>
    <mergeCell ref="BQ9:BR9"/>
    <mergeCell ref="AE9:AF9"/>
    <mergeCell ref="AG9:AH9"/>
    <mergeCell ref="AI9:AJ9"/>
    <mergeCell ref="AK9:AL9"/>
    <mergeCell ref="BE9:BF9"/>
    <mergeCell ref="BM9:BN9"/>
    <mergeCell ref="EG8:EH8"/>
    <mergeCell ref="EI8:EJ8"/>
    <mergeCell ref="EC8:ED8"/>
    <mergeCell ref="EE8:EF8"/>
    <mergeCell ref="AM9:AN9"/>
    <mergeCell ref="AO9:AP9"/>
    <mergeCell ref="BC9:BD9"/>
    <mergeCell ref="BW8:BX8"/>
    <mergeCell ref="BS8:BT8"/>
    <mergeCell ref="BQ8:BR8"/>
    <mergeCell ref="EA8:EB8"/>
    <mergeCell ref="EA9:EB9"/>
    <mergeCell ref="DY9:DZ9"/>
    <mergeCell ref="IS7:IT7"/>
    <mergeCell ref="IE7:IF7"/>
    <mergeCell ref="IE8:IF8"/>
    <mergeCell ref="IS8:IT8"/>
    <mergeCell ref="IM8:IN8"/>
    <mergeCell ref="IM7:IN7"/>
    <mergeCell ref="IO8:IP8"/>
    <mergeCell ref="IK7:IL7"/>
    <mergeCell ref="IO7:IP7"/>
    <mergeCell ref="IK8:IL8"/>
    <mergeCell ref="BK9:BL9"/>
    <mergeCell ref="HI8:HJ8"/>
    <mergeCell ref="GY8:GZ8"/>
    <mergeCell ref="FG8:FH8"/>
    <mergeCell ref="GK8:GL8"/>
    <mergeCell ref="GS8:GT8"/>
    <mergeCell ref="GM8:GN8"/>
    <mergeCell ref="GE8:GF8"/>
    <mergeCell ref="GC8:GD8"/>
    <mergeCell ref="GG8:GH8"/>
    <mergeCell ref="FW8:FX8"/>
    <mergeCell ref="HA8:HB8"/>
    <mergeCell ref="GI8:GJ8"/>
    <mergeCell ref="GU7:GV7"/>
    <mergeCell ref="GI7:GJ7"/>
    <mergeCell ref="GS7:GT7"/>
    <mergeCell ref="GM7:GN7"/>
    <mergeCell ref="GQ7:GR7"/>
    <mergeCell ref="GW7:GX7"/>
    <mergeCell ref="FI8:FJ8"/>
    <mergeCell ref="FK8:FL8"/>
    <mergeCell ref="FO8:FP8"/>
    <mergeCell ref="EO8:EP8"/>
    <mergeCell ref="EU8:EV8"/>
    <mergeCell ref="EY8:EZ8"/>
    <mergeCell ref="EQ8:ER8"/>
    <mergeCell ref="HU8:HV8"/>
    <mergeCell ref="HM8:HN8"/>
    <mergeCell ref="IC8:ID8"/>
    <mergeCell ref="IA8:IB8"/>
    <mergeCell ref="HO8:HP8"/>
    <mergeCell ref="HS8:HT8"/>
    <mergeCell ref="HW8:HX8"/>
    <mergeCell ref="HY8:HZ8"/>
    <mergeCell ref="HQ8:HR8"/>
    <mergeCell ref="IG8:IH8"/>
    <mergeCell ref="IQ7:IR7"/>
    <mergeCell ref="II7:IJ7"/>
    <mergeCell ref="IG7:IH7"/>
    <mergeCell ref="IQ8:IR8"/>
    <mergeCell ref="II8:IJ8"/>
    <mergeCell ref="GW8:GX8"/>
    <mergeCell ref="GQ8:GR8"/>
    <mergeCell ref="GA8:GB8"/>
    <mergeCell ref="FU8:FV8"/>
    <mergeCell ref="HC7:HD7"/>
    <mergeCell ref="FQ7:FR7"/>
    <mergeCell ref="GA7:GB7"/>
    <mergeCell ref="EQ7:ER7"/>
    <mergeCell ref="FC7:FD7"/>
    <mergeCell ref="FG7:FH7"/>
    <mergeCell ref="FE7:FF7"/>
    <mergeCell ref="HU7:HV7"/>
    <mergeCell ref="AY8:AZ8"/>
    <mergeCell ref="BM8:BN8"/>
    <mergeCell ref="BO8:BP8"/>
    <mergeCell ref="BK8:BL8"/>
    <mergeCell ref="BA8:BB8"/>
    <mergeCell ref="BC8:BD8"/>
    <mergeCell ref="BG8:BH8"/>
    <mergeCell ref="BE8:BF8"/>
    <mergeCell ref="BI8:BJ8"/>
    <mergeCell ref="AE8:AF8"/>
    <mergeCell ref="AG8:AH8"/>
    <mergeCell ref="AI8:AJ8"/>
    <mergeCell ref="AK8:AL8"/>
    <mergeCell ref="AW8:AX8"/>
    <mergeCell ref="AO8:AP8"/>
    <mergeCell ref="AU8:AV8"/>
    <mergeCell ref="HK8:HL8"/>
    <mergeCell ref="HE8:HF8"/>
    <mergeCell ref="GU8:GV8"/>
    <mergeCell ref="FM8:FN8"/>
    <mergeCell ref="GO8:GP8"/>
    <mergeCell ref="FQ8:FR8"/>
    <mergeCell ref="FY8:FZ8"/>
    <mergeCell ref="FS8:FT8"/>
    <mergeCell ref="HC8:HD8"/>
    <mergeCell ref="HG8:HH8"/>
    <mergeCell ref="FC8:FD8"/>
    <mergeCell ref="FE8:FF8"/>
    <mergeCell ref="EM8:EN8"/>
    <mergeCell ref="EW8:EX8"/>
    <mergeCell ref="FA8:FB8"/>
    <mergeCell ref="ES8:ET8"/>
    <mergeCell ref="DY8:DZ8"/>
    <mergeCell ref="DK7:DL7"/>
    <mergeCell ref="DE7:DF7"/>
    <mergeCell ref="DG7:DH7"/>
    <mergeCell ref="DI7:DJ7"/>
    <mergeCell ref="DG8:DH8"/>
    <mergeCell ref="DE8:DF8"/>
    <mergeCell ref="DU8:DV8"/>
    <mergeCell ref="DW8:DX8"/>
    <mergeCell ref="DI8:DJ8"/>
    <mergeCell ref="AM8:AN8"/>
    <mergeCell ref="AQ8:AR8"/>
    <mergeCell ref="AU7:AV7"/>
    <mergeCell ref="AY7:AZ7"/>
    <mergeCell ref="AS8:AT8"/>
    <mergeCell ref="AW7:AX7"/>
    <mergeCell ref="AM7:AN7"/>
    <mergeCell ref="AO7:AP7"/>
    <mergeCell ref="AQ7:AR7"/>
    <mergeCell ref="AS7:AT7"/>
    <mergeCell ref="DS8:DT8"/>
    <mergeCell ref="DA7:DB7"/>
    <mergeCell ref="CW7:CX7"/>
    <mergeCell ref="DM7:DN7"/>
    <mergeCell ref="DC7:DD7"/>
    <mergeCell ref="CY8:CZ8"/>
    <mergeCell ref="DC8:DD8"/>
    <mergeCell ref="CW8:CX8"/>
    <mergeCell ref="DA8:DB8"/>
    <mergeCell ref="DQ8:DR8"/>
    <mergeCell ref="BW7:BX7"/>
    <mergeCell ref="BU7:BV7"/>
    <mergeCell ref="BY7:BZ7"/>
    <mergeCell ref="CO8:CP8"/>
    <mergeCell ref="CC7:CD7"/>
    <mergeCell ref="CM8:CN8"/>
    <mergeCell ref="CK7:CL7"/>
    <mergeCell ref="CI7:CJ7"/>
    <mergeCell ref="DO8:DP8"/>
    <mergeCell ref="DK8:DL8"/>
    <mergeCell ref="DM8:DN8"/>
    <mergeCell ref="CQ8:CR8"/>
    <mergeCell ref="CS8:CT8"/>
    <mergeCell ref="CU8:CV8"/>
    <mergeCell ref="BA7:BB7"/>
    <mergeCell ref="BO7:BP7"/>
    <mergeCell ref="BG7:BH7"/>
    <mergeCell ref="BK7:BL7"/>
    <mergeCell ref="BM7:BN7"/>
    <mergeCell ref="BC7:BD7"/>
    <mergeCell ref="BE7:BF7"/>
    <mergeCell ref="BI7:BJ7"/>
    <mergeCell ref="CM7:CN7"/>
    <mergeCell ref="CO7:CP7"/>
    <mergeCell ref="BQ7:BR7"/>
    <mergeCell ref="CA7:CB7"/>
    <mergeCell ref="CE8:CF8"/>
    <mergeCell ref="CI8:CJ8"/>
    <mergeCell ref="CK8:CL8"/>
    <mergeCell ref="BS7:BT7"/>
    <mergeCell ref="CE7:CF7"/>
    <mergeCell ref="CG7:CH7"/>
    <mergeCell ref="II6:IJ6"/>
    <mergeCell ref="HY7:HZ7"/>
    <mergeCell ref="HW7:HX7"/>
    <mergeCell ref="IG6:IH6"/>
    <mergeCell ref="IC7:ID7"/>
    <mergeCell ref="HA7:HB7"/>
    <mergeCell ref="GY7:GZ7"/>
    <mergeCell ref="DQ7:DR7"/>
    <mergeCell ref="CQ6:CR6"/>
    <mergeCell ref="DU6:DV6"/>
    <mergeCell ref="HY6:HZ6"/>
    <mergeCell ref="EM6:EN6"/>
    <mergeCell ref="HS6:HT6"/>
    <mergeCell ref="GS6:GT6"/>
    <mergeCell ref="HO6:HP6"/>
    <mergeCell ref="GM6:GN6"/>
    <mergeCell ref="HW6:HX6"/>
    <mergeCell ref="EY7:EZ7"/>
    <mergeCell ref="EE7:EF7"/>
    <mergeCell ref="EC6:ED6"/>
    <mergeCell ref="EQ6:ER6"/>
    <mergeCell ref="CS7:CT7"/>
    <mergeCell ref="DO7:DP7"/>
    <mergeCell ref="CU7:CV7"/>
    <mergeCell ref="CY7:CZ7"/>
    <mergeCell ref="GO7:GP7"/>
    <mergeCell ref="FK7:FL7"/>
    <mergeCell ref="FY7:FZ7"/>
    <mergeCell ref="CQ7:CR7"/>
    <mergeCell ref="EC7:ED7"/>
    <mergeCell ref="FI7:FJ7"/>
    <mergeCell ref="GK7:GL7"/>
    <mergeCell ref="HU6:HV6"/>
    <mergeCell ref="IA6:IB6"/>
    <mergeCell ref="HS7:HT7"/>
    <mergeCell ref="HQ7:HR7"/>
    <mergeCell ref="HE7:HF7"/>
    <mergeCell ref="EW7:EX7"/>
    <mergeCell ref="FO7:FP7"/>
    <mergeCell ref="FK6:FL6"/>
    <mergeCell ref="FI6:FJ6"/>
    <mergeCell ref="FE6:FF6"/>
    <mergeCell ref="FG6:FH6"/>
    <mergeCell ref="FU6:FV6"/>
    <mergeCell ref="FS6:FT6"/>
    <mergeCell ref="GG6:GH6"/>
    <mergeCell ref="GE6:GF6"/>
    <mergeCell ref="FO6:FP6"/>
    <mergeCell ref="FM7:FN7"/>
    <mergeCell ref="GW6:GX6"/>
    <mergeCell ref="FU7:FV7"/>
    <mergeCell ref="FS7:FT7"/>
    <mergeCell ref="GY6:GZ6"/>
    <mergeCell ref="GK6:GL6"/>
    <mergeCell ref="GO6:GP6"/>
    <mergeCell ref="FA7:FB7"/>
    <mergeCell ref="IS6:IT6"/>
    <mergeCell ref="IK6:IL6"/>
    <mergeCell ref="IM6:IN6"/>
    <mergeCell ref="IO6:IP6"/>
    <mergeCell ref="IQ6:IR6"/>
    <mergeCell ref="IC6:ID6"/>
    <mergeCell ref="IE6:IF6"/>
    <mergeCell ref="IA7:IB7"/>
    <mergeCell ref="HK6:HL6"/>
    <mergeCell ref="FW7:FX7"/>
    <mergeCell ref="HK7:HL7"/>
    <mergeCell ref="HG7:HH7"/>
    <mergeCell ref="GC7:GD7"/>
    <mergeCell ref="GC6:GD6"/>
    <mergeCell ref="GQ6:GR6"/>
    <mergeCell ref="HA6:HB6"/>
    <mergeCell ref="GU6:GV6"/>
    <mergeCell ref="GG7:GH7"/>
    <mergeCell ref="HO7:HP7"/>
    <mergeCell ref="HM7:HN7"/>
    <mergeCell ref="HI7:HJ7"/>
    <mergeCell ref="GE7:GF7"/>
    <mergeCell ref="HQ6:HR6"/>
    <mergeCell ref="HC6:HD6"/>
    <mergeCell ref="HG6:HH6"/>
    <mergeCell ref="HM6:HN6"/>
    <mergeCell ref="HI6:HJ6"/>
    <mergeCell ref="HE6:HF6"/>
    <mergeCell ref="GI6:GJ6"/>
    <mergeCell ref="FW6:FX6"/>
    <mergeCell ref="FY6:FZ6"/>
    <mergeCell ref="GA6:GB6"/>
    <mergeCell ref="DU7:DV7"/>
    <mergeCell ref="EU7:EV7"/>
    <mergeCell ref="FA6:FB6"/>
    <mergeCell ref="EU6:EV6"/>
    <mergeCell ref="EY6:EZ6"/>
    <mergeCell ref="FM6:FN6"/>
    <mergeCell ref="EG6:EH6"/>
    <mergeCell ref="DS7:DT7"/>
    <mergeCell ref="EI7:EJ7"/>
    <mergeCell ref="ES7:ET7"/>
    <mergeCell ref="EO7:EP7"/>
    <mergeCell ref="EA7:EB7"/>
    <mergeCell ref="DY7:DZ7"/>
    <mergeCell ref="DW7:DX7"/>
    <mergeCell ref="EG7:EH7"/>
    <mergeCell ref="EM7:EN7"/>
    <mergeCell ref="DY6:DZ6"/>
    <mergeCell ref="EK6:EL6"/>
    <mergeCell ref="FC6:FD6"/>
    <mergeCell ref="EK7:EL7"/>
    <mergeCell ref="EE6:EF6"/>
    <mergeCell ref="EA6:EB6"/>
    <mergeCell ref="DO6:DP6"/>
    <mergeCell ref="FW5:FX5"/>
    <mergeCell ref="EO6:EP6"/>
    <mergeCell ref="EO5:EP5"/>
    <mergeCell ref="FM5:FN5"/>
    <mergeCell ref="FC5:FD5"/>
    <mergeCell ref="ES5:ET5"/>
    <mergeCell ref="FK5:FL5"/>
    <mergeCell ref="ES6:ET6"/>
    <mergeCell ref="EW6:EX6"/>
    <mergeCell ref="FQ6:FR6"/>
    <mergeCell ref="CU6:CV6"/>
    <mergeCell ref="CW6:CX6"/>
    <mergeCell ref="EQ5:ER5"/>
    <mergeCell ref="DA6:DB6"/>
    <mergeCell ref="DE6:DF6"/>
    <mergeCell ref="DQ6:DR6"/>
    <mergeCell ref="EI6:EJ6"/>
    <mergeCell ref="DC6:DD6"/>
    <mergeCell ref="DS6:DT6"/>
    <mergeCell ref="CY6:CZ6"/>
    <mergeCell ref="DG6:DH6"/>
    <mergeCell ref="CW5:CX5"/>
    <mergeCell ref="DO5:DP5"/>
    <mergeCell ref="DM5:DN5"/>
    <mergeCell ref="EG5:EH5"/>
    <mergeCell ref="EC5:ED5"/>
    <mergeCell ref="DW5:DX5"/>
    <mergeCell ref="DW6:DX6"/>
    <mergeCell ref="DU5:DV5"/>
    <mergeCell ref="EA5:EB5"/>
    <mergeCell ref="DM6:DN6"/>
    <mergeCell ref="IS5:IT5"/>
    <mergeCell ref="EY5:EZ5"/>
    <mergeCell ref="FY5:FZ5"/>
    <mergeCell ref="FU5:FV5"/>
    <mergeCell ref="FS5:FT5"/>
    <mergeCell ref="GI5:GJ5"/>
    <mergeCell ref="FE5:FF5"/>
    <mergeCell ref="GA5:GB5"/>
    <mergeCell ref="IQ5:IR5"/>
    <mergeCell ref="IM5:IN5"/>
    <mergeCell ref="IO5:IP5"/>
    <mergeCell ref="EE5:EF5"/>
    <mergeCell ref="GK5:GL5"/>
    <mergeCell ref="EW5:EX5"/>
    <mergeCell ref="EM5:EN5"/>
    <mergeCell ref="FQ5:FR5"/>
    <mergeCell ref="FA5:FB5"/>
    <mergeCell ref="EU5:EV5"/>
    <mergeCell ref="GG5:GH5"/>
    <mergeCell ref="GC5:GD5"/>
    <mergeCell ref="FI5:FJ5"/>
    <mergeCell ref="FG5:FH5"/>
    <mergeCell ref="EI5:EJ5"/>
    <mergeCell ref="GY5:GZ5"/>
    <mergeCell ref="DI6:DJ6"/>
    <mergeCell ref="DK6:DL6"/>
    <mergeCell ref="CS6:CT6"/>
    <mergeCell ref="CG6:CH6"/>
    <mergeCell ref="CM6:CN6"/>
    <mergeCell ref="DI5:DJ5"/>
    <mergeCell ref="CA6:CB6"/>
    <mergeCell ref="BG6:BH6"/>
    <mergeCell ref="BS6:BT6"/>
    <mergeCell ref="BK6:BL6"/>
    <mergeCell ref="BY6:BZ6"/>
    <mergeCell ref="BU6:BV6"/>
    <mergeCell ref="BM6:BN6"/>
    <mergeCell ref="BO6:BP6"/>
    <mergeCell ref="BI6:BJ6"/>
    <mergeCell ref="DE5:DF5"/>
    <mergeCell ref="DG5:DH5"/>
    <mergeCell ref="CC6:CD6"/>
    <mergeCell ref="CI6:CJ6"/>
    <mergeCell ref="CO6:CP6"/>
    <mergeCell ref="CK6:CL6"/>
    <mergeCell ref="CE6:CF6"/>
    <mergeCell ref="DK5:DL5"/>
    <mergeCell ref="BE6:BF6"/>
    <mergeCell ref="BC6:BD6"/>
    <mergeCell ref="CY5:CZ5"/>
    <mergeCell ref="BY5:BZ5"/>
    <mergeCell ref="BI5:BJ5"/>
    <mergeCell ref="BW5:BX5"/>
    <mergeCell ref="BC5:BD5"/>
    <mergeCell ref="BG5:BH5"/>
    <mergeCell ref="BE5:BF5"/>
    <mergeCell ref="BM5:BN5"/>
    <mergeCell ref="BS5:BT5"/>
    <mergeCell ref="BQ5:BR5"/>
    <mergeCell ref="BU5:BV5"/>
    <mergeCell ref="CA5:CB5"/>
    <mergeCell ref="BO5:BP5"/>
    <mergeCell ref="BQ6:BR6"/>
    <mergeCell ref="BW6:BX6"/>
    <mergeCell ref="CC5:CD5"/>
    <mergeCell ref="AS5:AT5"/>
    <mergeCell ref="CQ5:CR5"/>
    <mergeCell ref="HM5:HN5"/>
    <mergeCell ref="HO5:HP5"/>
    <mergeCell ref="HI5:HJ5"/>
    <mergeCell ref="HU5:HV5"/>
    <mergeCell ref="HQ5:HR5"/>
    <mergeCell ref="HS5:HT5"/>
    <mergeCell ref="HK5:HL5"/>
    <mergeCell ref="IC5:ID5"/>
    <mergeCell ref="IA5:IB5"/>
    <mergeCell ref="IG5:IH5"/>
    <mergeCell ref="IE5:IF5"/>
    <mergeCell ref="II5:IJ5"/>
    <mergeCell ref="IC4:ID4"/>
    <mergeCell ref="HC5:HD5"/>
    <mergeCell ref="GW5:GX5"/>
    <mergeCell ref="GU5:GV5"/>
    <mergeCell ref="GS5:GT5"/>
    <mergeCell ref="HA5:HB5"/>
    <mergeCell ref="HW5:HX5"/>
    <mergeCell ref="HY5:HZ5"/>
    <mergeCell ref="HE5:HF5"/>
    <mergeCell ref="HG5:HH5"/>
    <mergeCell ref="AU5:AV5"/>
    <mergeCell ref="AW5:AX5"/>
    <mergeCell ref="AY5:AZ5"/>
    <mergeCell ref="BK5:BL5"/>
    <mergeCell ref="BA5:BB5"/>
    <mergeCell ref="FO5:FP5"/>
    <mergeCell ref="GQ5:GR5"/>
    <mergeCell ref="GO5:GP5"/>
    <mergeCell ref="DY4:DZ4"/>
    <mergeCell ref="DS4:DT4"/>
    <mergeCell ref="DQ4:DR4"/>
    <mergeCell ref="EK5:EL5"/>
    <mergeCell ref="IQ4:IR4"/>
    <mergeCell ref="IK4:IL4"/>
    <mergeCell ref="II4:IJ4"/>
    <mergeCell ref="HG4:HH4"/>
    <mergeCell ref="GK4:GL4"/>
    <mergeCell ref="EY4:EZ4"/>
    <mergeCell ref="FI4:FJ4"/>
    <mergeCell ref="HA4:HB4"/>
    <mergeCell ref="HC4:HD4"/>
    <mergeCell ref="HI4:HJ4"/>
    <mergeCell ref="HS4:HT4"/>
    <mergeCell ref="HU4:HV4"/>
    <mergeCell ref="HY4:HZ4"/>
    <mergeCell ref="IA4:IB4"/>
    <mergeCell ref="HW4:HX4"/>
    <mergeCell ref="HK4:HL4"/>
    <mergeCell ref="IK5:IL5"/>
    <mergeCell ref="GM5:GN5"/>
    <mergeCell ref="DS5:DT5"/>
    <mergeCell ref="DQ5:DR5"/>
    <mergeCell ref="GE5:GF5"/>
    <mergeCell ref="HM4:HN4"/>
    <mergeCell ref="GG4:GH4"/>
    <mergeCell ref="EI4:EJ4"/>
    <mergeCell ref="DY5:DZ5"/>
    <mergeCell ref="HO4:HP4"/>
    <mergeCell ref="GM4:GN4"/>
    <mergeCell ref="GU4:GV4"/>
    <mergeCell ref="IS4:IT4"/>
    <mergeCell ref="IE4:IF4"/>
    <mergeCell ref="IG4:IH4"/>
    <mergeCell ref="IM4:IN4"/>
    <mergeCell ref="IO4:IP4"/>
    <mergeCell ref="CE5:CF5"/>
    <mergeCell ref="CG5:CH5"/>
    <mergeCell ref="CU5:CV5"/>
    <mergeCell ref="DC5:DD5"/>
    <mergeCell ref="CK5:CL5"/>
    <mergeCell ref="CM5:CN5"/>
    <mergeCell ref="CO5:CP5"/>
    <mergeCell ref="DA5:DB5"/>
    <mergeCell ref="CS5:CT5"/>
    <mergeCell ref="CI5:CJ5"/>
    <mergeCell ref="CY4:CZ4"/>
    <mergeCell ref="FK4:FL4"/>
    <mergeCell ref="FE4:FF4"/>
    <mergeCell ref="EW4:EX4"/>
    <mergeCell ref="EQ4:ER4"/>
    <mergeCell ref="DW4:DX4"/>
    <mergeCell ref="EG4:EH4"/>
    <mergeCell ref="CO4:CP4"/>
    <mergeCell ref="HQ4:HR4"/>
    <mergeCell ref="CG4:CH4"/>
    <mergeCell ref="CK4:CL4"/>
    <mergeCell ref="CI4:CJ4"/>
    <mergeCell ref="DA4:DB4"/>
    <mergeCell ref="DE4:DF4"/>
    <mergeCell ref="DK4:DL4"/>
    <mergeCell ref="GW4:GX4"/>
    <mergeCell ref="EK4:EL4"/>
    <mergeCell ref="HE4:HF4"/>
    <mergeCell ref="HE3:HF3"/>
    <mergeCell ref="EM4:EN4"/>
    <mergeCell ref="FC4:FD4"/>
    <mergeCell ref="FG4:FH4"/>
    <mergeCell ref="EO4:EP4"/>
    <mergeCell ref="FA4:FB4"/>
    <mergeCell ref="EU4:EV4"/>
    <mergeCell ref="FW4:FX4"/>
    <mergeCell ref="GA4:GB4"/>
    <mergeCell ref="GS4:GT4"/>
    <mergeCell ref="FY4:FZ4"/>
    <mergeCell ref="FM4:FN4"/>
    <mergeCell ref="FO4:FP4"/>
    <mergeCell ref="GQ4:GR4"/>
    <mergeCell ref="FQ4:FR4"/>
    <mergeCell ref="GO4:GP4"/>
    <mergeCell ref="GI4:GJ4"/>
    <mergeCell ref="FU4:FV4"/>
    <mergeCell ref="GC4:GD4"/>
    <mergeCell ref="GY4:GZ4"/>
    <mergeCell ref="ES4:ET4"/>
    <mergeCell ref="FS4:FT4"/>
    <mergeCell ref="II3:IJ3"/>
    <mergeCell ref="IG3:IH3"/>
    <mergeCell ref="HW3:HX3"/>
    <mergeCell ref="HS3:HT3"/>
    <mergeCell ref="HY3:HZ3"/>
    <mergeCell ref="IC3:ID3"/>
    <mergeCell ref="IA3:IB3"/>
    <mergeCell ref="HU3:HV3"/>
    <mergeCell ref="DW3:DX3"/>
    <mergeCell ref="DK3:DL3"/>
    <mergeCell ref="HG3:HH3"/>
    <mergeCell ref="HC3:HD3"/>
    <mergeCell ref="GY3:GZ3"/>
    <mergeCell ref="IS3:IT3"/>
    <mergeCell ref="IM3:IN3"/>
    <mergeCell ref="IO3:IP3"/>
    <mergeCell ref="IQ3:IR3"/>
    <mergeCell ref="HI3:HJ3"/>
    <mergeCell ref="DU3:DV3"/>
    <mergeCell ref="DQ3:DR3"/>
    <mergeCell ref="DM3:DN3"/>
    <mergeCell ref="HK3:HL3"/>
    <mergeCell ref="HO3:HP3"/>
    <mergeCell ref="IK3:IL3"/>
    <mergeCell ref="HQ3:HR3"/>
    <mergeCell ref="EI3:EJ3"/>
    <mergeCell ref="HM3:HN3"/>
    <mergeCell ref="AS4:AT4"/>
    <mergeCell ref="BI4:BJ4"/>
    <mergeCell ref="AU4:AV4"/>
    <mergeCell ref="AW4:AX4"/>
    <mergeCell ref="AY4:AZ4"/>
    <mergeCell ref="BC4:BD4"/>
    <mergeCell ref="BA4:BB4"/>
    <mergeCell ref="BE4:BF4"/>
    <mergeCell ref="CS4:CT4"/>
    <mergeCell ref="CM4:CN4"/>
    <mergeCell ref="DO3:DP3"/>
    <mergeCell ref="DU4:DV4"/>
    <mergeCell ref="DO4:DP4"/>
    <mergeCell ref="DM4:DN4"/>
    <mergeCell ref="CQ3:CR3"/>
    <mergeCell ref="CQ4:CR4"/>
    <mergeCell ref="CW4:CX4"/>
    <mergeCell ref="CU4:CV4"/>
    <mergeCell ref="BS4:BT4"/>
    <mergeCell ref="BW3:BX3"/>
    <mergeCell ref="BS3:BT3"/>
    <mergeCell ref="BU3:BV3"/>
    <mergeCell ref="BW4:BX4"/>
    <mergeCell ref="BU4:BV4"/>
    <mergeCell ref="BE3:BF3"/>
    <mergeCell ref="EA4:EB4"/>
    <mergeCell ref="EC3:ED3"/>
    <mergeCell ref="EA3:EB3"/>
    <mergeCell ref="EC4:ED4"/>
    <mergeCell ref="DC4:DD4"/>
    <mergeCell ref="IE3:IF3"/>
    <mergeCell ref="DG4:DH4"/>
    <mergeCell ref="FQ3:FR3"/>
    <mergeCell ref="FS3:FT3"/>
    <mergeCell ref="GW3:GX3"/>
    <mergeCell ref="GA3:GB3"/>
    <mergeCell ref="GO3:GP3"/>
    <mergeCell ref="GC3:GD3"/>
    <mergeCell ref="GE3:GF3"/>
    <mergeCell ref="FE3:FF3"/>
    <mergeCell ref="FG3:FH3"/>
    <mergeCell ref="GI3:GJ3"/>
    <mergeCell ref="FY3:FZ3"/>
    <mergeCell ref="GK3:GL3"/>
    <mergeCell ref="FM3:FN3"/>
    <mergeCell ref="FI3:FJ3"/>
    <mergeCell ref="FK3:FL3"/>
    <mergeCell ref="FO3:FP3"/>
    <mergeCell ref="FU3:FV3"/>
    <mergeCell ref="EK3:EL3"/>
    <mergeCell ref="EO3:EP3"/>
    <mergeCell ref="EQ3:ER3"/>
    <mergeCell ref="EM3:EN3"/>
    <mergeCell ref="GE4:GF4"/>
    <mergeCell ref="EE4:EF4"/>
    <mergeCell ref="DI4:DJ4"/>
    <mergeCell ref="DE3:DF3"/>
    <mergeCell ref="HC2:HD2"/>
    <mergeCell ref="GY2:GZ2"/>
    <mergeCell ref="HS2:HT2"/>
    <mergeCell ref="FQ2:FR2"/>
    <mergeCell ref="FY2:FZ2"/>
    <mergeCell ref="GE2:GF2"/>
    <mergeCell ref="GO2:GP2"/>
    <mergeCell ref="GM2:GN2"/>
    <mergeCell ref="GQ2:GR2"/>
    <mergeCell ref="GS2:GT2"/>
    <mergeCell ref="GU2:GV2"/>
    <mergeCell ref="HA2:HB2"/>
    <mergeCell ref="GW2:GX2"/>
    <mergeCell ref="GU3:GV3"/>
    <mergeCell ref="GQ3:GR3"/>
    <mergeCell ref="HA3:HB3"/>
    <mergeCell ref="GA2:GB2"/>
    <mergeCell ref="GC2:GD2"/>
    <mergeCell ref="GI2:GJ2"/>
    <mergeCell ref="GK2:GL2"/>
    <mergeCell ref="GS3:GT3"/>
    <mergeCell ref="GM3:GN3"/>
    <mergeCell ref="FW3:FX3"/>
    <mergeCell ref="GG3:GH3"/>
    <mergeCell ref="IS2:IT2"/>
    <mergeCell ref="IM2:IN2"/>
    <mergeCell ref="IO2:IP2"/>
    <mergeCell ref="IQ2:IR2"/>
    <mergeCell ref="FM2:FN2"/>
    <mergeCell ref="FO2:FP2"/>
    <mergeCell ref="HO2:HP2"/>
    <mergeCell ref="HI2:HJ2"/>
    <mergeCell ref="HM2:HN2"/>
    <mergeCell ref="HK2:HL2"/>
    <mergeCell ref="IK2:IL2"/>
    <mergeCell ref="IE2:IF2"/>
    <mergeCell ref="EY3:EZ3"/>
    <mergeCell ref="ES3:ET3"/>
    <mergeCell ref="EW3:EX3"/>
    <mergeCell ref="EU3:EV3"/>
    <mergeCell ref="HQ2:HR2"/>
    <mergeCell ref="FS2:FT2"/>
    <mergeCell ref="HG2:HH2"/>
    <mergeCell ref="HE2:HF2"/>
    <mergeCell ref="FK2:FL2"/>
    <mergeCell ref="FW2:FX2"/>
    <mergeCell ref="EU2:EV2"/>
    <mergeCell ref="II2:IJ2"/>
    <mergeCell ref="IC2:ID2"/>
    <mergeCell ref="HU2:HV2"/>
    <mergeCell ref="HY2:HZ2"/>
    <mergeCell ref="IA2:IB2"/>
    <mergeCell ref="IG2:IH2"/>
    <mergeCell ref="HW2:HX2"/>
    <mergeCell ref="FU2:FV2"/>
    <mergeCell ref="GG2:GH2"/>
    <mergeCell ref="EQ2:ER2"/>
    <mergeCell ref="EO2:EP2"/>
    <mergeCell ref="FI2:FJ2"/>
    <mergeCell ref="FG2:FH2"/>
    <mergeCell ref="EY2:EZ2"/>
    <mergeCell ref="EW2:EX2"/>
    <mergeCell ref="FC2:FD2"/>
    <mergeCell ref="FE2:FF2"/>
    <mergeCell ref="FA2:FB2"/>
    <mergeCell ref="EE3:EF3"/>
    <mergeCell ref="ES2:ET2"/>
    <mergeCell ref="EM2:EN2"/>
    <mergeCell ref="DY2:DZ2"/>
    <mergeCell ref="EC2:ED2"/>
    <mergeCell ref="EK2:EL2"/>
    <mergeCell ref="EI2:EJ2"/>
    <mergeCell ref="EA2:EB2"/>
    <mergeCell ref="EG2:EH2"/>
    <mergeCell ref="EG3:EH3"/>
    <mergeCell ref="FA3:FB3"/>
    <mergeCell ref="FC3:FD3"/>
    <mergeCell ref="DY3:DZ3"/>
    <mergeCell ref="DU2:DV2"/>
    <mergeCell ref="DM2:DN2"/>
    <mergeCell ref="DW2:DX2"/>
    <mergeCell ref="DQ2:DR2"/>
    <mergeCell ref="EE2:EF2"/>
    <mergeCell ref="DS2:DT2"/>
    <mergeCell ref="CQ2:CR2"/>
    <mergeCell ref="CM2:CN2"/>
    <mergeCell ref="DA2:DB2"/>
    <mergeCell ref="DO2:DP2"/>
    <mergeCell ref="DE2:DF2"/>
    <mergeCell ref="DK2:DL2"/>
    <mergeCell ref="CS2:CT2"/>
    <mergeCell ref="DG2:DH2"/>
    <mergeCell ref="DI2:DJ2"/>
    <mergeCell ref="CY3:CZ3"/>
    <mergeCell ref="CW3:CX3"/>
    <mergeCell ref="CU3:CV3"/>
    <mergeCell ref="DA3:DB3"/>
    <mergeCell ref="DI3:DJ3"/>
    <mergeCell ref="CU2:CV2"/>
    <mergeCell ref="CW2:CX2"/>
    <mergeCell ref="CY2:CZ2"/>
    <mergeCell ref="DC2:DD2"/>
    <mergeCell ref="CS3:CT3"/>
    <mergeCell ref="DG3:DH3"/>
    <mergeCell ref="CM3:CN3"/>
    <mergeCell ref="DC3:DD3"/>
    <mergeCell ref="DS3:DT3"/>
    <mergeCell ref="CG2:CH2"/>
    <mergeCell ref="CI2:CJ2"/>
    <mergeCell ref="CO3:CP3"/>
    <mergeCell ref="CK3:CL3"/>
    <mergeCell ref="CI3:CJ3"/>
    <mergeCell ref="CK2:CL2"/>
    <mergeCell ref="BY4:BZ4"/>
    <mergeCell ref="BY3:BZ3"/>
    <mergeCell ref="CC2:CD2"/>
    <mergeCell ref="CE4:CF4"/>
    <mergeCell ref="CC4:CD4"/>
    <mergeCell ref="CC3:CD3"/>
    <mergeCell ref="CE3:CF3"/>
    <mergeCell ref="CA3:CB3"/>
    <mergeCell ref="CA4:CB4"/>
    <mergeCell ref="BY2:BZ2"/>
    <mergeCell ref="CE2:CF2"/>
    <mergeCell ref="CA2:CB2"/>
    <mergeCell ref="CG3:CH3"/>
    <mergeCell ref="CO2:CP2"/>
    <mergeCell ref="BU2:BV2"/>
    <mergeCell ref="BW2:BX2"/>
    <mergeCell ref="BK2:BL2"/>
    <mergeCell ref="BG4:BH4"/>
    <mergeCell ref="BM2:BN2"/>
    <mergeCell ref="BI2:BJ2"/>
    <mergeCell ref="BK4:BL4"/>
    <mergeCell ref="BK3:BL3"/>
    <mergeCell ref="BM3:BN3"/>
    <mergeCell ref="BQ2:BR2"/>
    <mergeCell ref="BO2:BP2"/>
    <mergeCell ref="BO3:BP3"/>
    <mergeCell ref="BM4:BN4"/>
    <mergeCell ref="BO4:BP4"/>
    <mergeCell ref="BQ3:BR3"/>
    <mergeCell ref="BQ4:BR4"/>
    <mergeCell ref="BI3:BJ3"/>
    <mergeCell ref="BG2:BH2"/>
    <mergeCell ref="BA2:BB2"/>
    <mergeCell ref="BG3:BH3"/>
    <mergeCell ref="BC3:BD3"/>
    <mergeCell ref="BC2:BD2"/>
    <mergeCell ref="BE2:BF2"/>
    <mergeCell ref="AY3:AZ3"/>
    <mergeCell ref="AS2:AT2"/>
    <mergeCell ref="AY2:AZ2"/>
    <mergeCell ref="AW3:AX3"/>
    <mergeCell ref="AU3:AV3"/>
    <mergeCell ref="AS3:AT3"/>
    <mergeCell ref="AU2:AV2"/>
    <mergeCell ref="AW2:AX2"/>
    <mergeCell ref="BS2:BT2"/>
    <mergeCell ref="AO2:AP2"/>
    <mergeCell ref="AQ2:AR2"/>
    <mergeCell ref="AI2:AJ2"/>
    <mergeCell ref="AK2:AL2"/>
    <mergeCell ref="AM2:AN2"/>
    <mergeCell ref="AE2:AF2"/>
    <mergeCell ref="AC2:AD2"/>
    <mergeCell ref="AA2:AB2"/>
    <mergeCell ref="AA4:AB4"/>
    <mergeCell ref="AQ4:AR4"/>
    <mergeCell ref="AI4:AJ4"/>
    <mergeCell ref="AI3:AJ3"/>
    <mergeCell ref="AM3:AN3"/>
    <mergeCell ref="AO3:AP3"/>
    <mergeCell ref="AQ3:AR3"/>
    <mergeCell ref="AK3:AL3"/>
    <mergeCell ref="AM4:AN4"/>
    <mergeCell ref="AK4:AL4"/>
    <mergeCell ref="AG6:AH6"/>
    <mergeCell ref="AE6:AF6"/>
    <mergeCell ref="BA3:BB3"/>
    <mergeCell ref="AQ5:AR5"/>
    <mergeCell ref="AO5:AP5"/>
    <mergeCell ref="AO6:AP6"/>
    <mergeCell ref="AW6:AX6"/>
    <mergeCell ref="AY6:AZ6"/>
    <mergeCell ref="AQ6:AR6"/>
    <mergeCell ref="AS6:AT6"/>
    <mergeCell ref="AU6:AV6"/>
    <mergeCell ref="BA6:BB6"/>
    <mergeCell ref="AO4:AP4"/>
    <mergeCell ref="AM6:AN6"/>
    <mergeCell ref="AM5:AN5"/>
    <mergeCell ref="AK6:AL6"/>
    <mergeCell ref="AK5:AL5"/>
    <mergeCell ref="AG3:AH3"/>
    <mergeCell ref="AG4:AH4"/>
    <mergeCell ref="W15:X15"/>
    <mergeCell ref="AG2:AH2"/>
    <mergeCell ref="AC12:AD12"/>
    <mergeCell ref="AC8:AD8"/>
    <mergeCell ref="AA11:AB11"/>
    <mergeCell ref="AA8:AB8"/>
    <mergeCell ref="AC10:AD10"/>
    <mergeCell ref="AC9:AD9"/>
    <mergeCell ref="AA10:AB10"/>
    <mergeCell ref="AA9:AB9"/>
    <mergeCell ref="AC11:AD11"/>
    <mergeCell ref="AA3:AB3"/>
    <mergeCell ref="S3:T3"/>
    <mergeCell ref="U3:V3"/>
    <mergeCell ref="Y4:Z4"/>
    <mergeCell ref="AE3:AF3"/>
    <mergeCell ref="AC3:AD3"/>
    <mergeCell ref="AE4:AF4"/>
    <mergeCell ref="AC4:AD4"/>
    <mergeCell ref="AE5:AF5"/>
    <mergeCell ref="AC5:AD5"/>
    <mergeCell ref="AA7:AB7"/>
    <mergeCell ref="AA5:AB5"/>
    <mergeCell ref="S4:T4"/>
    <mergeCell ref="U4:V4"/>
    <mergeCell ref="S2:T2"/>
    <mergeCell ref="U2:V2"/>
    <mergeCell ref="W2:X2"/>
    <mergeCell ref="W3:X3"/>
    <mergeCell ref="Y7:Z7"/>
    <mergeCell ref="Y5:Z5"/>
    <mergeCell ref="Y2:Z2"/>
    <mergeCell ref="U12:V12"/>
    <mergeCell ref="U14:V14"/>
    <mergeCell ref="AK7:AL7"/>
    <mergeCell ref="Y3:Z3"/>
    <mergeCell ref="Y6:Z6"/>
    <mergeCell ref="AC7:AD7"/>
    <mergeCell ref="AE7:AF7"/>
    <mergeCell ref="AG7:AH7"/>
    <mergeCell ref="AG5:AH5"/>
    <mergeCell ref="AI5:AJ5"/>
    <mergeCell ref="AI6:AJ6"/>
    <mergeCell ref="AI7:AJ7"/>
    <mergeCell ref="W7:X7"/>
    <mergeCell ref="U5:V5"/>
    <mergeCell ref="AC6:AD6"/>
    <mergeCell ref="W6:X6"/>
    <mergeCell ref="AA6:AB6"/>
    <mergeCell ref="AE10:AF10"/>
    <mergeCell ref="AG10:AH10"/>
    <mergeCell ref="AE11:AF11"/>
    <mergeCell ref="AG11:AH11"/>
    <mergeCell ref="AI11:AJ11"/>
    <mergeCell ref="AK11:AL11"/>
    <mergeCell ref="AE12:AF12"/>
    <mergeCell ref="AG12:AH12"/>
    <mergeCell ref="Y11:Z11"/>
    <mergeCell ref="Y10:Z10"/>
    <mergeCell ref="Y9:Z9"/>
    <mergeCell ref="AI10:AJ10"/>
    <mergeCell ref="AK10:AL10"/>
    <mergeCell ref="W4:X4"/>
    <mergeCell ref="AI12:AJ12"/>
    <mergeCell ref="W10:X10"/>
    <mergeCell ref="U8:V8"/>
    <mergeCell ref="S5:T5"/>
    <mergeCell ref="U6:V6"/>
    <mergeCell ref="U7:V7"/>
    <mergeCell ref="W5:X5"/>
    <mergeCell ref="S6:T6"/>
    <mergeCell ref="S7:T7"/>
    <mergeCell ref="S8:T8"/>
    <mergeCell ref="S11:T11"/>
    <mergeCell ref="S9:T9"/>
    <mergeCell ref="S14:T14"/>
    <mergeCell ref="AC13:AD13"/>
    <mergeCell ref="W14:X14"/>
    <mergeCell ref="Y14:Z14"/>
    <mergeCell ref="AA13:AB13"/>
    <mergeCell ref="AC15:AD15"/>
    <mergeCell ref="AC14:AD14"/>
    <mergeCell ref="Y15:Z15"/>
    <mergeCell ref="AA14:AB14"/>
    <mergeCell ref="Y8:Z8"/>
    <mergeCell ref="W8:X8"/>
    <mergeCell ref="AA15:AB15"/>
    <mergeCell ref="Y13:Z13"/>
    <mergeCell ref="AA12:AB12"/>
    <mergeCell ref="U10:V10"/>
    <mergeCell ref="U11:V11"/>
    <mergeCell ref="W12:X12"/>
    <mergeCell ref="Y12:Z12"/>
    <mergeCell ref="W11:X11"/>
    <mergeCell ref="U13:V13"/>
    <mergeCell ref="U15:V15"/>
    <mergeCell ref="I2:J2"/>
    <mergeCell ref="I3:J3"/>
    <mergeCell ref="K2:L2"/>
    <mergeCell ref="K3:L3"/>
    <mergeCell ref="K5:L5"/>
    <mergeCell ref="U9:V9"/>
    <mergeCell ref="W13:X13"/>
    <mergeCell ref="Q6:R6"/>
    <mergeCell ref="Q2:R2"/>
    <mergeCell ref="M7:N7"/>
    <mergeCell ref="Q3:R3"/>
    <mergeCell ref="Q4:R4"/>
    <mergeCell ref="M5:N5"/>
    <mergeCell ref="O6:P6"/>
    <mergeCell ref="O7:P7"/>
    <mergeCell ref="O2:P2"/>
    <mergeCell ref="Q5:R5"/>
    <mergeCell ref="Q7:R7"/>
    <mergeCell ref="O8:P8"/>
    <mergeCell ref="O10:P10"/>
    <mergeCell ref="O12:P12"/>
    <mergeCell ref="Q12:R12"/>
    <mergeCell ref="Q10:R10"/>
    <mergeCell ref="O9:P9"/>
    <mergeCell ref="Q8:R8"/>
    <mergeCell ref="O5:P5"/>
    <mergeCell ref="M2:N2"/>
    <mergeCell ref="S12:T12"/>
    <mergeCell ref="W9:X9"/>
    <mergeCell ref="O3:P3"/>
    <mergeCell ref="M4:N4"/>
    <mergeCell ref="M3:N3"/>
    <mergeCell ref="O4:P4"/>
    <mergeCell ref="M10:N10"/>
    <mergeCell ref="M12:N12"/>
    <mergeCell ref="M11:N11"/>
    <mergeCell ref="G3:H3"/>
    <mergeCell ref="K4:L4"/>
    <mergeCell ref="G4:H4"/>
    <mergeCell ref="I5:J5"/>
    <mergeCell ref="I4:J4"/>
    <mergeCell ref="C7:D7"/>
    <mergeCell ref="E7:F7"/>
    <mergeCell ref="G9:H9"/>
    <mergeCell ref="M6:N6"/>
    <mergeCell ref="I6:J6"/>
    <mergeCell ref="K6:L6"/>
    <mergeCell ref="G7:H7"/>
    <mergeCell ref="G6:H6"/>
    <mergeCell ref="G8:H8"/>
    <mergeCell ref="C6:D6"/>
    <mergeCell ref="C2:D2"/>
    <mergeCell ref="G5:H5"/>
    <mergeCell ref="E5:F5"/>
    <mergeCell ref="C3:D3"/>
    <mergeCell ref="C5:D5"/>
    <mergeCell ref="E4:F4"/>
    <mergeCell ref="C4:D4"/>
    <mergeCell ref="E2:F2"/>
    <mergeCell ref="G2:H2"/>
    <mergeCell ref="E3:F3"/>
    <mergeCell ref="E6:F6"/>
    <mergeCell ref="K7:L7"/>
    <mergeCell ref="I9:J9"/>
    <mergeCell ref="M9:N9"/>
    <mergeCell ref="M8:N8"/>
    <mergeCell ref="I15:J15"/>
    <mergeCell ref="I10:J10"/>
    <mergeCell ref="I13:J13"/>
    <mergeCell ref="I7:J7"/>
    <mergeCell ref="K9:L9"/>
    <mergeCell ref="E10:F10"/>
    <mergeCell ref="K13:L13"/>
    <mergeCell ref="C10:D10"/>
    <mergeCell ref="C14:D14"/>
    <mergeCell ref="E9:F9"/>
    <mergeCell ref="I12:J12"/>
    <mergeCell ref="G10:H10"/>
    <mergeCell ref="G12:H12"/>
    <mergeCell ref="G11:H11"/>
    <mergeCell ref="I11:J11"/>
    <mergeCell ref="I14:J14"/>
    <mergeCell ref="C12:D12"/>
    <mergeCell ref="G13:H13"/>
    <mergeCell ref="E11:F11"/>
    <mergeCell ref="C13:D13"/>
    <mergeCell ref="E13:F13"/>
    <mergeCell ref="E12:F12"/>
    <mergeCell ref="E20:F20"/>
    <mergeCell ref="E21:F21"/>
    <mergeCell ref="E19:F19"/>
    <mergeCell ref="G16:H16"/>
    <mergeCell ref="C18:D18"/>
    <mergeCell ref="E18:F18"/>
    <mergeCell ref="G18:H18"/>
    <mergeCell ref="C16:D16"/>
    <mergeCell ref="E16:F16"/>
    <mergeCell ref="C17:D17"/>
    <mergeCell ref="E15:F15"/>
    <mergeCell ref="E17:F17"/>
    <mergeCell ref="C45:D45"/>
    <mergeCell ref="E45:F45"/>
    <mergeCell ref="C21:D21"/>
    <mergeCell ref="G20:H20"/>
    <mergeCell ref="E23:F23"/>
    <mergeCell ref="G45:H45"/>
    <mergeCell ref="G21:H21"/>
    <mergeCell ref="C20:D20"/>
    <mergeCell ref="K15:L15"/>
    <mergeCell ref="G14:H14"/>
    <mergeCell ref="G15:H15"/>
    <mergeCell ref="I19:J19"/>
    <mergeCell ref="C8:D8"/>
    <mergeCell ref="C9:D9"/>
    <mergeCell ref="E8:F8"/>
    <mergeCell ref="C19:D19"/>
    <mergeCell ref="C15:D15"/>
    <mergeCell ref="G19:H19"/>
    <mergeCell ref="I21:J21"/>
    <mergeCell ref="E14:F14"/>
    <mergeCell ref="I16:J16"/>
    <mergeCell ref="K11:L11"/>
    <mergeCell ref="K12:L12"/>
    <mergeCell ref="I20:J20"/>
    <mergeCell ref="I18:J18"/>
    <mergeCell ref="K18:L18"/>
    <mergeCell ref="K19:L19"/>
    <mergeCell ref="K20:L20"/>
    <mergeCell ref="I8:J8"/>
    <mergeCell ref="K14:L14"/>
    <mergeCell ref="G17:H17"/>
    <mergeCell ref="C11:D11"/>
    <mergeCell ref="O21:P21"/>
    <mergeCell ref="M21:N21"/>
    <mergeCell ref="M19:N19"/>
    <mergeCell ref="S20:T20"/>
    <mergeCell ref="M13:N13"/>
    <mergeCell ref="K8:L8"/>
    <mergeCell ref="K10:L10"/>
    <mergeCell ref="O15:P15"/>
    <mergeCell ref="O13:P13"/>
    <mergeCell ref="O11:P11"/>
    <mergeCell ref="M17:N17"/>
    <mergeCell ref="O20:P20"/>
    <mergeCell ref="O19:P19"/>
    <mergeCell ref="M20:N20"/>
    <mergeCell ref="O18:P18"/>
    <mergeCell ref="M18:N18"/>
    <mergeCell ref="O45:P45"/>
    <mergeCell ref="M45:N45"/>
    <mergeCell ref="Q15:R15"/>
    <mergeCell ref="Q9:R9"/>
    <mergeCell ref="M15:N15"/>
    <mergeCell ref="O14:P14"/>
    <mergeCell ref="M14:N14"/>
    <mergeCell ref="S45:T45"/>
    <mergeCell ref="Q13:R13"/>
    <mergeCell ref="Q14:R14"/>
    <mergeCell ref="S10:T10"/>
    <mergeCell ref="Q11:R11"/>
    <mergeCell ref="S13:T13"/>
    <mergeCell ref="S15:T15"/>
    <mergeCell ref="AI17:AJ17"/>
    <mergeCell ref="AO16:AP16"/>
    <mergeCell ref="AO17:AP17"/>
    <mergeCell ref="AO18:AP18"/>
    <mergeCell ref="AA16:AB16"/>
    <mergeCell ref="AG16:AH16"/>
    <mergeCell ref="AK16:AL16"/>
    <mergeCell ref="AE17:AF17"/>
    <mergeCell ref="I45:J45"/>
    <mergeCell ref="I17:J17"/>
    <mergeCell ref="AK17:AL17"/>
    <mergeCell ref="AE16:AF16"/>
    <mergeCell ref="K45:L45"/>
    <mergeCell ref="K21:L21"/>
    <mergeCell ref="K17:L17"/>
    <mergeCell ref="S18:T18"/>
    <mergeCell ref="Y16:Z16"/>
    <mergeCell ref="AA17:AB17"/>
    <mergeCell ref="AC16:AD16"/>
    <mergeCell ref="K16:L16"/>
    <mergeCell ref="S17:T17"/>
    <mergeCell ref="Y17:Z17"/>
    <mergeCell ref="W17:X17"/>
    <mergeCell ref="U17:V17"/>
    <mergeCell ref="O17:P17"/>
    <mergeCell ref="M16:N16"/>
    <mergeCell ref="O16:P16"/>
    <mergeCell ref="S16:T16"/>
    <mergeCell ref="AM16:AN16"/>
    <mergeCell ref="AI16:AJ16"/>
    <mergeCell ref="AM19:AN19"/>
    <mergeCell ref="AE19:AF19"/>
    <mergeCell ref="AG17:AH17"/>
    <mergeCell ref="AG18:AH18"/>
    <mergeCell ref="AA18:AB18"/>
    <mergeCell ref="W19:X19"/>
    <mergeCell ref="Y19:Z19"/>
    <mergeCell ref="U19:V19"/>
    <mergeCell ref="W18:X18"/>
    <mergeCell ref="Y18:Z18"/>
    <mergeCell ref="U16:V16"/>
    <mergeCell ref="Q19:R19"/>
    <mergeCell ref="Q18:R18"/>
    <mergeCell ref="Q16:R16"/>
    <mergeCell ref="Q17:R17"/>
    <mergeCell ref="S19:T19"/>
    <mergeCell ref="U18:V18"/>
    <mergeCell ref="Y20:Z20"/>
    <mergeCell ref="U20:V20"/>
    <mergeCell ref="AA19:AB19"/>
    <mergeCell ref="AA20:AB20"/>
    <mergeCell ref="AC20:AD20"/>
    <mergeCell ref="Q20:R20"/>
    <mergeCell ref="W20:X20"/>
    <mergeCell ref="AC19:AD19"/>
    <mergeCell ref="AG20:AH20"/>
    <mergeCell ref="W16:X16"/>
    <mergeCell ref="AM18:AN18"/>
    <mergeCell ref="AK19:AL19"/>
    <mergeCell ref="AC17:AD17"/>
    <mergeCell ref="AI19:AJ19"/>
    <mergeCell ref="AC18:AD18"/>
    <mergeCell ref="AK18:AL18"/>
    <mergeCell ref="AE18:AF18"/>
    <mergeCell ref="AG19:AH19"/>
    <mergeCell ref="AM17:AN17"/>
    <mergeCell ref="AI18:AJ18"/>
    <mergeCell ref="Y21:Z21"/>
    <mergeCell ref="S46:T46"/>
    <mergeCell ref="Q46:R46"/>
    <mergeCell ref="U45:V45"/>
    <mergeCell ref="S21:T21"/>
    <mergeCell ref="U21:V21"/>
    <mergeCell ref="W21:X21"/>
    <mergeCell ref="Q21:R21"/>
    <mergeCell ref="Y45:Z45"/>
    <mergeCell ref="Q45:R45"/>
    <mergeCell ref="AG46:AH46"/>
    <mergeCell ref="AC46:AD46"/>
    <mergeCell ref="AC21:AD21"/>
    <mergeCell ref="AA21:AB21"/>
    <mergeCell ref="AA46:AB46"/>
    <mergeCell ref="AE21:AF21"/>
    <mergeCell ref="AE46:AF46"/>
    <mergeCell ref="AE20:AF20"/>
    <mergeCell ref="AI46:AJ46"/>
    <mergeCell ref="AK20:AL20"/>
    <mergeCell ref="AI45:AJ45"/>
    <mergeCell ref="AK21:AL21"/>
    <mergeCell ref="AG21:AH21"/>
    <mergeCell ref="AI21:AJ21"/>
    <mergeCell ref="AI20:AJ20"/>
    <mergeCell ref="AK46:AL46"/>
    <mergeCell ref="AM20:AN20"/>
    <mergeCell ref="AM45:AN45"/>
    <mergeCell ref="AM21:AN21"/>
    <mergeCell ref="AQ20:AR20"/>
    <mergeCell ref="AO20:AP20"/>
    <mergeCell ref="AQ21:AR21"/>
    <mergeCell ref="AO45:AP45"/>
    <mergeCell ref="AO21:AP21"/>
    <mergeCell ref="AQ45:AR45"/>
    <mergeCell ref="BE45:BF45"/>
    <mergeCell ref="AW20:AX20"/>
    <mergeCell ref="AS45:AT45"/>
    <mergeCell ref="AY45:AZ45"/>
    <mergeCell ref="AY21:AZ21"/>
    <mergeCell ref="BC45:BD45"/>
    <mergeCell ref="AU45:AV45"/>
    <mergeCell ref="AW45:AX45"/>
    <mergeCell ref="BC21:BD21"/>
    <mergeCell ref="BC46:BD46"/>
    <mergeCell ref="AY46:AZ46"/>
    <mergeCell ref="AW46:AX46"/>
    <mergeCell ref="AS21:AT21"/>
    <mergeCell ref="AW21:AX21"/>
    <mergeCell ref="AU21:AV21"/>
    <mergeCell ref="AY20:AZ20"/>
    <mergeCell ref="AS20:AT20"/>
    <mergeCell ref="AU20:AV20"/>
    <mergeCell ref="BA20:BB20"/>
    <mergeCell ref="DA46:DB46"/>
    <mergeCell ref="DG46:DH46"/>
    <mergeCell ref="BO46:BP46"/>
    <mergeCell ref="DE46:DF46"/>
    <mergeCell ref="BQ46:BR46"/>
    <mergeCell ref="BS46:BT46"/>
    <mergeCell ref="BW46:BX46"/>
    <mergeCell ref="DC46:DD46"/>
    <mergeCell ref="CW46:CX46"/>
    <mergeCell ref="EY46:EZ46"/>
    <mergeCell ref="EI46:EJ46"/>
    <mergeCell ref="EU46:EV46"/>
    <mergeCell ref="EW46:EX46"/>
    <mergeCell ref="ES46:ET46"/>
    <mergeCell ref="EO46:EP46"/>
    <mergeCell ref="DK46:DL46"/>
    <mergeCell ref="EC46:ED46"/>
    <mergeCell ref="DM46:DN46"/>
    <mergeCell ref="DQ46:DR46"/>
    <mergeCell ref="EG46:EH46"/>
    <mergeCell ref="DS46:DT46"/>
    <mergeCell ref="DO46:DP46"/>
    <mergeCell ref="BY46:BZ46"/>
    <mergeCell ref="CA46:CB46"/>
    <mergeCell ref="A1:B3"/>
    <mergeCell ref="FU46:FV46"/>
    <mergeCell ref="FA46:FB46"/>
    <mergeCell ref="EA46:EB46"/>
    <mergeCell ref="EQ46:ER46"/>
    <mergeCell ref="DU46:DV46"/>
    <mergeCell ref="DY46:DZ46"/>
    <mergeCell ref="EK46:EL46"/>
    <mergeCell ref="DI46:DJ46"/>
    <mergeCell ref="DW46:DX46"/>
    <mergeCell ref="IS46:IT46"/>
    <mergeCell ref="IM46:IN46"/>
    <mergeCell ref="IG46:IH46"/>
    <mergeCell ref="IK46:IL46"/>
    <mergeCell ref="II46:IJ46"/>
    <mergeCell ref="IO46:IP46"/>
    <mergeCell ref="IQ46:IR46"/>
    <mergeCell ref="IE46:IF46"/>
    <mergeCell ref="IC46:ID46"/>
    <mergeCell ref="IA46:IB46"/>
    <mergeCell ref="HQ46:HR46"/>
    <mergeCell ref="HY46:HZ46"/>
    <mergeCell ref="HS46:HT46"/>
    <mergeCell ref="HU46:HV46"/>
    <mergeCell ref="HW46:HX46"/>
    <mergeCell ref="CU46:CV46"/>
    <mergeCell ref="BM46:BN46"/>
    <mergeCell ref="CS46:CT46"/>
    <mergeCell ref="CQ46:CR46"/>
    <mergeCell ref="BU46:BV46"/>
    <mergeCell ref="BI46:BJ46"/>
    <mergeCell ref="CY46:CZ46"/>
    <mergeCell ref="IU46:IV46"/>
    <mergeCell ref="IW46:IX46"/>
    <mergeCell ref="IY46:IZ46"/>
    <mergeCell ref="JA46:JB46"/>
    <mergeCell ref="JC46:JD46"/>
    <mergeCell ref="JE46:JF46"/>
    <mergeCell ref="JG46:JH46"/>
    <mergeCell ref="JI46:JJ46"/>
    <mergeCell ref="JK46:JL46"/>
    <mergeCell ref="JM46:JN46"/>
    <mergeCell ref="JO46:JP46"/>
    <mergeCell ref="JQ46:JR46"/>
    <mergeCell ref="JS46:JT46"/>
    <mergeCell ref="JU46:JV46"/>
    <mergeCell ref="JW46:JX46"/>
    <mergeCell ref="JY46:JZ46"/>
    <mergeCell ref="KA46:KB46"/>
    <mergeCell ref="LK46:LL46"/>
    <mergeCell ref="LM46:LN46"/>
    <mergeCell ref="LO46:LP46"/>
    <mergeCell ref="KC46:KD46"/>
    <mergeCell ref="KE46:KF46"/>
    <mergeCell ref="KG46:KH46"/>
    <mergeCell ref="KI46:KJ46"/>
    <mergeCell ref="KK46:KL46"/>
    <mergeCell ref="KM46:KN46"/>
    <mergeCell ref="KO46:KP46"/>
    <mergeCell ref="KQ46:KR46"/>
    <mergeCell ref="KS46:KT46"/>
    <mergeCell ref="KU46:KV46"/>
    <mergeCell ref="KW46:KX46"/>
    <mergeCell ref="KY46:KZ46"/>
    <mergeCell ref="LA46:LB46"/>
    <mergeCell ref="LC46:LD46"/>
    <mergeCell ref="LE46:LF46"/>
    <mergeCell ref="LG46:LH46"/>
    <mergeCell ref="LI46:LJ46"/>
    <mergeCell ref="OC46:OD46"/>
    <mergeCell ref="OE46:OF46"/>
    <mergeCell ref="LQ46:LR46"/>
    <mergeCell ref="LS46:LT46"/>
    <mergeCell ref="LU46:LV46"/>
    <mergeCell ref="LW46:LX46"/>
    <mergeCell ref="LY46:LZ46"/>
    <mergeCell ref="MA46:MB46"/>
    <mergeCell ref="MC46:MD46"/>
    <mergeCell ref="ME46:MF46"/>
    <mergeCell ref="MG46:MH46"/>
    <mergeCell ref="MI46:MJ46"/>
    <mergeCell ref="MK46:ML46"/>
    <mergeCell ref="MM46:MN46"/>
    <mergeCell ref="MO46:MP46"/>
    <mergeCell ref="MQ46:MR46"/>
    <mergeCell ref="MS46:MT46"/>
    <mergeCell ref="MU46:MV46"/>
    <mergeCell ref="MW46:MX46"/>
    <mergeCell ref="PW46:PX46"/>
    <mergeCell ref="PY46:PZ46"/>
    <mergeCell ref="QA46:QB46"/>
    <mergeCell ref="QC46:QD46"/>
    <mergeCell ref="QE46:QF46"/>
    <mergeCell ref="QG46:QH46"/>
    <mergeCell ref="QI46:QJ46"/>
    <mergeCell ref="OG46:OH46"/>
    <mergeCell ref="OI46:OJ46"/>
    <mergeCell ref="OK46:OL46"/>
    <mergeCell ref="OM46:ON46"/>
    <mergeCell ref="OO46:OP46"/>
    <mergeCell ref="OQ46:OR46"/>
    <mergeCell ref="OS46:OT46"/>
    <mergeCell ref="OU46:OV46"/>
    <mergeCell ref="OW46:OX46"/>
    <mergeCell ref="OY46:OZ46"/>
    <mergeCell ref="PA46:PB46"/>
    <mergeCell ref="PC46:PD46"/>
    <mergeCell ref="PE46:PF46"/>
    <mergeCell ref="PG46:PH46"/>
    <mergeCell ref="PI46:PJ46"/>
    <mergeCell ref="PK46:PL46"/>
    <mergeCell ref="PM46:PN46"/>
    <mergeCell ref="KC48:KD48"/>
    <mergeCell ref="KE48:KF48"/>
    <mergeCell ref="KG48:KH48"/>
    <mergeCell ref="KI48:KJ48"/>
    <mergeCell ref="KK48:KL48"/>
    <mergeCell ref="KM48:KN48"/>
    <mergeCell ref="KO48:KP48"/>
    <mergeCell ref="KQ48:KR48"/>
    <mergeCell ref="KS48:KT48"/>
    <mergeCell ref="KU48:KV48"/>
    <mergeCell ref="KW48:KX48"/>
    <mergeCell ref="KY48:KZ48"/>
    <mergeCell ref="LA48:LB48"/>
    <mergeCell ref="PO46:PP46"/>
    <mergeCell ref="PQ46:PR46"/>
    <mergeCell ref="PS46:PT46"/>
    <mergeCell ref="PU46:PV46"/>
    <mergeCell ref="MY46:MZ46"/>
    <mergeCell ref="NA46:NB46"/>
    <mergeCell ref="NC46:ND46"/>
    <mergeCell ref="NE46:NF46"/>
    <mergeCell ref="NG46:NH46"/>
    <mergeCell ref="NI46:NJ46"/>
    <mergeCell ref="NK46:NL46"/>
    <mergeCell ref="NM46:NN46"/>
    <mergeCell ref="NO46:NP46"/>
    <mergeCell ref="NQ46:NR46"/>
    <mergeCell ref="NS46:NT46"/>
    <mergeCell ref="NU46:NV46"/>
    <mergeCell ref="NW46:NX46"/>
    <mergeCell ref="NY46:NZ46"/>
    <mergeCell ref="OA46:OB46"/>
    <mergeCell ref="IU48:IV48"/>
    <mergeCell ref="IW48:IX48"/>
    <mergeCell ref="IY48:IZ48"/>
    <mergeCell ref="JA48:JB48"/>
    <mergeCell ref="JC48:JD48"/>
    <mergeCell ref="JE48:JF48"/>
    <mergeCell ref="JG48:JH48"/>
    <mergeCell ref="JI48:JJ48"/>
    <mergeCell ref="JK48:JL48"/>
    <mergeCell ref="JM48:JN48"/>
    <mergeCell ref="JO48:JP48"/>
    <mergeCell ref="JQ48:JR48"/>
    <mergeCell ref="JS48:JT48"/>
    <mergeCell ref="JU48:JV48"/>
    <mergeCell ref="JW48:JX48"/>
    <mergeCell ref="JY48:JZ48"/>
    <mergeCell ref="KA48:KB48"/>
    <mergeCell ref="PW48:PX48"/>
    <mergeCell ref="PY48:PZ48"/>
    <mergeCell ref="LC48:LD48"/>
    <mergeCell ref="LE48:LF48"/>
    <mergeCell ref="LG48:LH48"/>
    <mergeCell ref="LI48:LJ48"/>
    <mergeCell ref="LK48:LL48"/>
    <mergeCell ref="LM48:LN48"/>
    <mergeCell ref="LO48:LP48"/>
    <mergeCell ref="LQ48:LR48"/>
    <mergeCell ref="LS48:LT48"/>
    <mergeCell ref="LU48:LV48"/>
    <mergeCell ref="LW48:LX48"/>
    <mergeCell ref="LY48:LZ48"/>
    <mergeCell ref="MA48:MB48"/>
    <mergeCell ref="MC48:MD48"/>
    <mergeCell ref="ME48:MF48"/>
    <mergeCell ref="MG48:MH48"/>
    <mergeCell ref="MI48:MJ48"/>
    <mergeCell ref="OO48:OP48"/>
    <mergeCell ref="OQ48:OR48"/>
    <mergeCell ref="OS48:OT48"/>
    <mergeCell ref="OU48:OV48"/>
    <mergeCell ref="OW48:OX48"/>
    <mergeCell ref="OY48:OZ48"/>
    <mergeCell ref="QC48:QD48"/>
    <mergeCell ref="QE48:QF48"/>
    <mergeCell ref="QW48:QX48"/>
    <mergeCell ref="QY48:QZ48"/>
    <mergeCell ref="RA48:RB48"/>
    <mergeCell ref="RC48:RD48"/>
    <mergeCell ref="RE48:RF48"/>
    <mergeCell ref="RG48:RH48"/>
    <mergeCell ref="RI48:RJ48"/>
    <mergeCell ref="C54:D54"/>
    <mergeCell ref="E54:F54"/>
    <mergeCell ref="G54:H54"/>
    <mergeCell ref="I54:J54"/>
    <mergeCell ref="K54:L54"/>
    <mergeCell ref="M54:N54"/>
    <mergeCell ref="C53:D53"/>
    <mergeCell ref="E53:F53"/>
    <mergeCell ref="G53:H53"/>
    <mergeCell ref="I53:J53"/>
    <mergeCell ref="K53:L53"/>
    <mergeCell ref="M53:N53"/>
    <mergeCell ref="PA48:PB48"/>
    <mergeCell ref="PC48:PD48"/>
    <mergeCell ref="PE48:PF48"/>
    <mergeCell ref="PG48:PH48"/>
    <mergeCell ref="PI48:PJ48"/>
    <mergeCell ref="PK48:PL48"/>
    <mergeCell ref="PM48:PN48"/>
    <mergeCell ref="PO48:PP48"/>
    <mergeCell ref="PQ48:PR48"/>
    <mergeCell ref="PS48:PT48"/>
    <mergeCell ref="PU48:PV48"/>
    <mergeCell ref="C57:D57"/>
    <mergeCell ref="E57:F57"/>
    <mergeCell ref="G57:H57"/>
    <mergeCell ref="I57:J57"/>
    <mergeCell ref="K57:L57"/>
    <mergeCell ref="M57:N57"/>
    <mergeCell ref="QM48:QN48"/>
    <mergeCell ref="QO48:QP48"/>
    <mergeCell ref="QQ48:QR48"/>
    <mergeCell ref="MK48:ML48"/>
    <mergeCell ref="MM48:MN48"/>
    <mergeCell ref="MO48:MP48"/>
    <mergeCell ref="MQ48:MR48"/>
    <mergeCell ref="MS48:MT48"/>
    <mergeCell ref="MU48:MV48"/>
    <mergeCell ref="MW48:MX48"/>
    <mergeCell ref="MY48:MZ48"/>
    <mergeCell ref="NA48:NB48"/>
    <mergeCell ref="NC48:ND48"/>
    <mergeCell ref="NE48:NF48"/>
    <mergeCell ref="NG48:NH48"/>
    <mergeCell ref="NI48:NJ48"/>
    <mergeCell ref="NK48:NL48"/>
    <mergeCell ref="NM48:NN48"/>
    <mergeCell ref="NO48:NP48"/>
    <mergeCell ref="NQ48:NR48"/>
    <mergeCell ref="QA48:QB48"/>
    <mergeCell ref="QG48:QH48"/>
    <mergeCell ref="QI48:QJ48"/>
    <mergeCell ref="QK48:QL48"/>
    <mergeCell ref="NS48:NT48"/>
    <mergeCell ref="NU48:NV48"/>
    <mergeCell ref="ABG4:ABH4"/>
    <mergeCell ref="ABI4:ABJ4"/>
    <mergeCell ref="ABK4:ABL4"/>
    <mergeCell ref="ABM4:ABN4"/>
    <mergeCell ref="ABO4:ABP4"/>
    <mergeCell ref="ABQ4:ABR4"/>
    <mergeCell ref="ABS4:ABT4"/>
    <mergeCell ref="ABU4:ABV4"/>
    <mergeCell ref="ABW4:ABX4"/>
    <mergeCell ref="ABY4:ABZ4"/>
    <mergeCell ref="ACA4:ACB4"/>
    <mergeCell ref="ACC4:ACD4"/>
    <mergeCell ref="ACE4:ACF4"/>
    <mergeCell ref="ACG4:ACH4"/>
    <mergeCell ref="ACI4:ACJ4"/>
    <mergeCell ref="C56:D56"/>
    <mergeCell ref="E56:F56"/>
    <mergeCell ref="G56:H56"/>
    <mergeCell ref="I56:J56"/>
    <mergeCell ref="K56:L56"/>
    <mergeCell ref="M56:N56"/>
    <mergeCell ref="QS48:QT48"/>
    <mergeCell ref="QU48:QV48"/>
    <mergeCell ref="NW48:NX48"/>
    <mergeCell ref="NY48:NZ48"/>
    <mergeCell ref="OA48:OB48"/>
    <mergeCell ref="OC48:OD48"/>
    <mergeCell ref="OE48:OF48"/>
    <mergeCell ref="OG48:OH48"/>
    <mergeCell ref="OI48:OJ48"/>
    <mergeCell ref="OK48:OL48"/>
    <mergeCell ref="OM48:ON48"/>
    <mergeCell ref="ACK4:ACL4"/>
    <mergeCell ref="ACM4:ACN4"/>
    <mergeCell ref="ACO4:ACP4"/>
    <mergeCell ref="ACQ4:ACR4"/>
    <mergeCell ref="ACS4:ACT4"/>
    <mergeCell ref="ACU4:ACV4"/>
    <mergeCell ref="ACW4:ACX4"/>
    <mergeCell ref="ACY4:ACZ4"/>
    <mergeCell ref="ADA4:ADB4"/>
    <mergeCell ref="ADC4:ADD4"/>
    <mergeCell ref="ADE4:ADF4"/>
    <mergeCell ref="ADG4:ADH4"/>
    <mergeCell ref="ADI4:ADJ4"/>
    <mergeCell ref="ABG5:ABH5"/>
    <mergeCell ref="ABI5:ABJ5"/>
    <mergeCell ref="ABK5:ABL5"/>
    <mergeCell ref="ABM5:ABN5"/>
    <mergeCell ref="ABO5:ABP5"/>
    <mergeCell ref="ABQ5:ABR5"/>
    <mergeCell ref="ABS5:ABT5"/>
    <mergeCell ref="ABU5:ABV5"/>
    <mergeCell ref="ABW5:ABX5"/>
    <mergeCell ref="ABY5:ABZ5"/>
    <mergeCell ref="ACA5:ACB5"/>
    <mergeCell ref="ACC5:ACD5"/>
    <mergeCell ref="ACE5:ACF5"/>
    <mergeCell ref="ACG5:ACH5"/>
    <mergeCell ref="ACI5:ACJ5"/>
    <mergeCell ref="ACK5:ACL5"/>
    <mergeCell ref="ACM5:ACN5"/>
    <mergeCell ref="ACO5:ACP5"/>
    <mergeCell ref="ACQ5:ACR5"/>
    <mergeCell ref="ACS5:ACT5"/>
    <mergeCell ref="ACU5:ACV5"/>
    <mergeCell ref="ACW5:ACX5"/>
    <mergeCell ref="ACY5:ACZ5"/>
    <mergeCell ref="ADA5:ADB5"/>
    <mergeCell ref="ADC5:ADD5"/>
    <mergeCell ref="ADE5:ADF5"/>
    <mergeCell ref="ADG5:ADH5"/>
    <mergeCell ref="ADI5:ADJ5"/>
    <mergeCell ref="ABG6:ABH6"/>
    <mergeCell ref="ABI6:ABJ6"/>
    <mergeCell ref="ABK6:ABL6"/>
    <mergeCell ref="ABM6:ABN6"/>
    <mergeCell ref="ABO6:ABP6"/>
    <mergeCell ref="ABQ6:ABR6"/>
    <mergeCell ref="ABS6:ABT6"/>
    <mergeCell ref="ABU6:ABV6"/>
    <mergeCell ref="ABW6:ABX6"/>
    <mergeCell ref="ABY6:ABZ6"/>
    <mergeCell ref="ACA6:ACB6"/>
    <mergeCell ref="ACC6:ACD6"/>
    <mergeCell ref="ACE6:ACF6"/>
    <mergeCell ref="ACG6:ACH6"/>
    <mergeCell ref="ACI6:ACJ6"/>
    <mergeCell ref="ACK6:ACL6"/>
    <mergeCell ref="ACM6:ACN6"/>
    <mergeCell ref="ACO6:ACP6"/>
    <mergeCell ref="ACQ6:ACR6"/>
    <mergeCell ref="ACS6:ACT6"/>
    <mergeCell ref="ACU6:ACV6"/>
    <mergeCell ref="ACW6:ACX6"/>
    <mergeCell ref="ACY6:ACZ6"/>
    <mergeCell ref="ABG7:ABH7"/>
    <mergeCell ref="ABI7:ABJ7"/>
    <mergeCell ref="ABK7:ABL7"/>
    <mergeCell ref="ABM7:ABN7"/>
    <mergeCell ref="ABO7:ABP7"/>
    <mergeCell ref="ABQ7:ABR7"/>
    <mergeCell ref="ABS7:ABT7"/>
    <mergeCell ref="ABU7:ABV7"/>
    <mergeCell ref="ABW7:ABX7"/>
    <mergeCell ref="ABY7:ABZ7"/>
    <mergeCell ref="ACA7:ACB7"/>
    <mergeCell ref="ACC7:ACD7"/>
    <mergeCell ref="ACE7:ACF7"/>
    <mergeCell ref="ACG7:ACH7"/>
    <mergeCell ref="ACI7:ACJ7"/>
    <mergeCell ref="ACK7:ACL7"/>
    <mergeCell ref="ACM7:ACN7"/>
    <mergeCell ref="ACK8:ACL8"/>
    <mergeCell ref="ACM8:ACN8"/>
    <mergeCell ref="ACO8:ACP8"/>
    <mergeCell ref="ACQ8:ACR8"/>
    <mergeCell ref="ACS8:ACT8"/>
    <mergeCell ref="ACU8:ACV8"/>
    <mergeCell ref="ACW8:ACX8"/>
    <mergeCell ref="ACY8:ACZ8"/>
    <mergeCell ref="ADA8:ADB8"/>
    <mergeCell ref="ADC8:ADD8"/>
    <mergeCell ref="ADE8:ADF8"/>
    <mergeCell ref="ADG8:ADH8"/>
    <mergeCell ref="ADI8:ADJ8"/>
    <mergeCell ref="ADA6:ADB6"/>
    <mergeCell ref="ADC6:ADD6"/>
    <mergeCell ref="ADE6:ADF6"/>
    <mergeCell ref="ADG6:ADH6"/>
    <mergeCell ref="ADI6:ADJ6"/>
    <mergeCell ref="ACO7:ACP7"/>
    <mergeCell ref="ACQ7:ACR7"/>
    <mergeCell ref="ACS7:ACT7"/>
    <mergeCell ref="ACU7:ACV7"/>
    <mergeCell ref="ACW7:ACX7"/>
    <mergeCell ref="ACY7:ACZ7"/>
    <mergeCell ref="ADA7:ADB7"/>
    <mergeCell ref="ADC7:ADD7"/>
    <mergeCell ref="ADE7:ADF7"/>
    <mergeCell ref="ADG7:ADH7"/>
    <mergeCell ref="ABG9:ABH9"/>
    <mergeCell ref="ABI9:ABJ9"/>
    <mergeCell ref="ABK9:ABL9"/>
    <mergeCell ref="ABM9:ABN9"/>
    <mergeCell ref="ABO9:ABP9"/>
    <mergeCell ref="ABQ9:ABR9"/>
    <mergeCell ref="ABS9:ABT9"/>
    <mergeCell ref="ABU9:ABV9"/>
    <mergeCell ref="ABW9:ABX9"/>
    <mergeCell ref="ABY9:ABZ9"/>
    <mergeCell ref="ACA9:ACB9"/>
    <mergeCell ref="ACC9:ACD9"/>
    <mergeCell ref="ACE9:ACF9"/>
    <mergeCell ref="ACG9:ACH9"/>
    <mergeCell ref="ACI9:ACJ9"/>
    <mergeCell ref="ACK9:ACL9"/>
    <mergeCell ref="ADI7:ADJ7"/>
    <mergeCell ref="ABG8:ABH8"/>
    <mergeCell ref="ABI8:ABJ8"/>
    <mergeCell ref="ABK8:ABL8"/>
    <mergeCell ref="ABM8:ABN8"/>
    <mergeCell ref="ABO8:ABP8"/>
    <mergeCell ref="ABQ8:ABR8"/>
    <mergeCell ref="ABS8:ABT8"/>
    <mergeCell ref="ABU8:ABV8"/>
    <mergeCell ref="ABW8:ABX8"/>
    <mergeCell ref="ABY8:ABZ8"/>
    <mergeCell ref="ACA8:ACB8"/>
    <mergeCell ref="ACC8:ACD8"/>
    <mergeCell ref="ACE8:ACF8"/>
    <mergeCell ref="ACG8:ACH8"/>
    <mergeCell ref="ACI8:ACJ8"/>
    <mergeCell ref="ACQ10:ACR10"/>
    <mergeCell ref="ACS10:ACT10"/>
    <mergeCell ref="ACU10:ACV10"/>
    <mergeCell ref="ACW10:ACX10"/>
    <mergeCell ref="ACY10:ACZ10"/>
    <mergeCell ref="ADA10:ADB10"/>
    <mergeCell ref="ADC10:ADD10"/>
    <mergeCell ref="ADE10:ADF10"/>
    <mergeCell ref="ADG10:ADH10"/>
    <mergeCell ref="ACM9:ACN9"/>
    <mergeCell ref="ACO9:ACP9"/>
    <mergeCell ref="ACQ9:ACR9"/>
    <mergeCell ref="ACS9:ACT9"/>
    <mergeCell ref="ACU9:ACV9"/>
    <mergeCell ref="ACW9:ACX9"/>
    <mergeCell ref="ACY9:ACZ9"/>
    <mergeCell ref="ADA9:ADB9"/>
    <mergeCell ref="ADC9:ADD9"/>
    <mergeCell ref="ACQ11:ACR11"/>
    <mergeCell ref="ACS11:ACT11"/>
    <mergeCell ref="ACU11:ACV11"/>
    <mergeCell ref="ACW11:ACX11"/>
    <mergeCell ref="ACY11:ACZ11"/>
    <mergeCell ref="ADA11:ADB11"/>
    <mergeCell ref="ADC11:ADD11"/>
    <mergeCell ref="ADE11:ADF11"/>
    <mergeCell ref="ADG11:ADH11"/>
    <mergeCell ref="ADI12:ADJ12"/>
    <mergeCell ref="ADI11:ADJ11"/>
    <mergeCell ref="ADE9:ADF9"/>
    <mergeCell ref="ADG9:ADH9"/>
    <mergeCell ref="ADI9:ADJ9"/>
    <mergeCell ref="ABG10:ABH10"/>
    <mergeCell ref="ABI10:ABJ10"/>
    <mergeCell ref="ABK10:ABL10"/>
    <mergeCell ref="ABM10:ABN10"/>
    <mergeCell ref="ABO10:ABP10"/>
    <mergeCell ref="ABQ10:ABR10"/>
    <mergeCell ref="ABS10:ABT10"/>
    <mergeCell ref="ABU10:ABV10"/>
    <mergeCell ref="ABW10:ABX10"/>
    <mergeCell ref="ABY10:ABZ10"/>
    <mergeCell ref="ACA10:ACB10"/>
    <mergeCell ref="ACC10:ACD10"/>
    <mergeCell ref="ACE10:ACF10"/>
    <mergeCell ref="ACG10:ACH10"/>
    <mergeCell ref="ACI10:ACJ10"/>
    <mergeCell ref="ACK10:ACL10"/>
    <mergeCell ref="ACM10:ACN10"/>
    <mergeCell ref="ACO10:ACP10"/>
    <mergeCell ref="ABU13:ABV13"/>
    <mergeCell ref="ABW13:ABX13"/>
    <mergeCell ref="ABY13:ABZ13"/>
    <mergeCell ref="ACA13:ACB13"/>
    <mergeCell ref="ACC13:ACD13"/>
    <mergeCell ref="ACE13:ACF13"/>
    <mergeCell ref="ACG13:ACH13"/>
    <mergeCell ref="ACI13:ACJ13"/>
    <mergeCell ref="ACK13:ACL13"/>
    <mergeCell ref="ACM13:ACN13"/>
    <mergeCell ref="ACE12:ACF12"/>
    <mergeCell ref="ACG12:ACH12"/>
    <mergeCell ref="ACI12:ACJ12"/>
    <mergeCell ref="ADI10:ADJ10"/>
    <mergeCell ref="ABG11:ABH11"/>
    <mergeCell ref="ABI11:ABJ11"/>
    <mergeCell ref="ABK11:ABL11"/>
    <mergeCell ref="ABM11:ABN11"/>
    <mergeCell ref="ABO11:ABP11"/>
    <mergeCell ref="ABQ11:ABR11"/>
    <mergeCell ref="ABS11:ABT11"/>
    <mergeCell ref="ABU11:ABV11"/>
    <mergeCell ref="ABW11:ABX11"/>
    <mergeCell ref="ABY11:ABZ11"/>
    <mergeCell ref="ACA11:ACB11"/>
    <mergeCell ref="ACC11:ACD11"/>
    <mergeCell ref="ACE11:ACF11"/>
    <mergeCell ref="ACG11:ACH11"/>
    <mergeCell ref="ACI11:ACJ11"/>
    <mergeCell ref="ACK11:ACL11"/>
    <mergeCell ref="ACM11:ACN11"/>
    <mergeCell ref="ACO11:ACP11"/>
    <mergeCell ref="ADC13:ADD13"/>
    <mergeCell ref="ADE13:ADF13"/>
    <mergeCell ref="ADG13:ADH13"/>
    <mergeCell ref="ABG12:ABH12"/>
    <mergeCell ref="ABI12:ABJ12"/>
    <mergeCell ref="ABK12:ABL12"/>
    <mergeCell ref="ABM12:ABN12"/>
    <mergeCell ref="ABO12:ABP12"/>
    <mergeCell ref="ABQ12:ABR12"/>
    <mergeCell ref="ABS12:ABT12"/>
    <mergeCell ref="ABU12:ABV12"/>
    <mergeCell ref="ABW12:ABX12"/>
    <mergeCell ref="ABY12:ABZ12"/>
    <mergeCell ref="ACA12:ACB12"/>
    <mergeCell ref="ACC12:ACD12"/>
    <mergeCell ref="ACK14:ACL14"/>
    <mergeCell ref="ACM14:ACN14"/>
    <mergeCell ref="ACO14:ACP14"/>
    <mergeCell ref="ACQ14:ACR14"/>
    <mergeCell ref="ACS14:ACT14"/>
    <mergeCell ref="ACK12:ACL12"/>
    <mergeCell ref="ACM12:ACN12"/>
    <mergeCell ref="ACO12:ACP12"/>
    <mergeCell ref="ACQ12:ACR12"/>
    <mergeCell ref="ACS12:ACT12"/>
    <mergeCell ref="ABG13:ABH13"/>
    <mergeCell ref="ABI13:ABJ13"/>
    <mergeCell ref="ABK13:ABL13"/>
    <mergeCell ref="ABM13:ABN13"/>
    <mergeCell ref="ABO13:ABP13"/>
    <mergeCell ref="ABQ13:ABR13"/>
    <mergeCell ref="ABS13:ABT13"/>
    <mergeCell ref="ADC16:ADD16"/>
    <mergeCell ref="ADE16:ADF16"/>
    <mergeCell ref="ACU14:ACV14"/>
    <mergeCell ref="ACW14:ACX14"/>
    <mergeCell ref="ACY14:ACZ14"/>
    <mergeCell ref="ADA14:ADB14"/>
    <mergeCell ref="ADC14:ADD14"/>
    <mergeCell ref="ADE14:ADF14"/>
    <mergeCell ref="ADG14:ADH14"/>
    <mergeCell ref="ADI14:ADJ14"/>
    <mergeCell ref="ABG15:ABH15"/>
    <mergeCell ref="ABI15:ABJ15"/>
    <mergeCell ref="ABK15:ABL15"/>
    <mergeCell ref="ACU12:ACV12"/>
    <mergeCell ref="ACW12:ACX12"/>
    <mergeCell ref="ACY12:ACZ12"/>
    <mergeCell ref="ADA12:ADB12"/>
    <mergeCell ref="ADC12:ADD12"/>
    <mergeCell ref="ADE12:ADF12"/>
    <mergeCell ref="ADG12:ADH12"/>
    <mergeCell ref="ACQ15:ACR15"/>
    <mergeCell ref="ACS15:ACT15"/>
    <mergeCell ref="ACU15:ACV15"/>
    <mergeCell ref="ACW15:ACX15"/>
    <mergeCell ref="ACY15:ACZ15"/>
    <mergeCell ref="ACO13:ACP13"/>
    <mergeCell ref="ACQ13:ACR13"/>
    <mergeCell ref="ACS13:ACT13"/>
    <mergeCell ref="ACU13:ACV13"/>
    <mergeCell ref="ACW13:ACX13"/>
    <mergeCell ref="ACY13:ACZ13"/>
    <mergeCell ref="ADA13:ADB13"/>
    <mergeCell ref="ABU15:ABV15"/>
    <mergeCell ref="ABW15:ABX15"/>
    <mergeCell ref="ABY15:ABZ15"/>
    <mergeCell ref="ACA15:ACB15"/>
    <mergeCell ref="ACC15:ACD15"/>
    <mergeCell ref="ACE15:ACF15"/>
    <mergeCell ref="ACG15:ACH15"/>
    <mergeCell ref="ACI15:ACJ15"/>
    <mergeCell ref="ACK15:ACL15"/>
    <mergeCell ref="ACM15:ACN15"/>
    <mergeCell ref="ACO15:ACP15"/>
    <mergeCell ref="ADA17:ADB17"/>
    <mergeCell ref="ADC17:ADD17"/>
    <mergeCell ref="ADI13:ADJ13"/>
    <mergeCell ref="ABG14:ABH14"/>
    <mergeCell ref="ABI14:ABJ14"/>
    <mergeCell ref="ABK14:ABL14"/>
    <mergeCell ref="ABM14:ABN14"/>
    <mergeCell ref="ABO14:ABP14"/>
    <mergeCell ref="ABQ14:ABR14"/>
    <mergeCell ref="ABS14:ABT14"/>
    <mergeCell ref="ABU14:ABV14"/>
    <mergeCell ref="ABW14:ABX14"/>
    <mergeCell ref="ABY14:ABZ14"/>
    <mergeCell ref="ACA14:ACB14"/>
    <mergeCell ref="ACC14:ACD14"/>
    <mergeCell ref="ACE14:ACF14"/>
    <mergeCell ref="ACG14:ACH14"/>
    <mergeCell ref="ACI14:ACJ14"/>
    <mergeCell ref="ACW16:ACX16"/>
    <mergeCell ref="ACY16:ACZ16"/>
    <mergeCell ref="ADA16:ADB16"/>
    <mergeCell ref="ADG17:ADH17"/>
    <mergeCell ref="ADI17:ADJ17"/>
    <mergeCell ref="ADA15:ADB15"/>
    <mergeCell ref="ADC15:ADD15"/>
    <mergeCell ref="ADE15:ADF15"/>
    <mergeCell ref="ADG15:ADH15"/>
    <mergeCell ref="ADI15:ADJ15"/>
    <mergeCell ref="ABG16:ABH16"/>
    <mergeCell ref="ABI16:ABJ16"/>
    <mergeCell ref="ABK16:ABL16"/>
    <mergeCell ref="ABM16:ABN16"/>
    <mergeCell ref="ABO16:ABP16"/>
    <mergeCell ref="ABQ16:ABR16"/>
    <mergeCell ref="ABS16:ABT16"/>
    <mergeCell ref="ABU16:ABV16"/>
    <mergeCell ref="ABW16:ABX16"/>
    <mergeCell ref="ABY16:ABZ16"/>
    <mergeCell ref="ACA16:ACB16"/>
    <mergeCell ref="ACC16:ACD16"/>
    <mergeCell ref="ACE16:ACF16"/>
    <mergeCell ref="ACG16:ACH16"/>
    <mergeCell ref="ACI16:ACJ16"/>
    <mergeCell ref="ACK16:ACL16"/>
    <mergeCell ref="ACM16:ACN16"/>
    <mergeCell ref="ACO16:ACP16"/>
    <mergeCell ref="ACQ16:ACR16"/>
    <mergeCell ref="ACS16:ACT16"/>
    <mergeCell ref="ACU16:ACV16"/>
    <mergeCell ref="ABM15:ABN15"/>
    <mergeCell ref="ABO15:ABP15"/>
    <mergeCell ref="ABQ15:ABR15"/>
    <mergeCell ref="ABS15:ABT15"/>
    <mergeCell ref="ACA18:ACB18"/>
    <mergeCell ref="ACC18:ACD18"/>
    <mergeCell ref="ACE18:ACF18"/>
    <mergeCell ref="ACG18:ACH18"/>
    <mergeCell ref="ACI18:ACJ18"/>
    <mergeCell ref="ACK18:ACL18"/>
    <mergeCell ref="ADG16:ADH16"/>
    <mergeCell ref="ADI16:ADJ16"/>
    <mergeCell ref="ABG17:ABH17"/>
    <mergeCell ref="ABI17:ABJ17"/>
    <mergeCell ref="ABK17:ABL17"/>
    <mergeCell ref="ABM17:ABN17"/>
    <mergeCell ref="ABO17:ABP17"/>
    <mergeCell ref="ABQ17:ABR17"/>
    <mergeCell ref="ABS17:ABT17"/>
    <mergeCell ref="ABU17:ABV17"/>
    <mergeCell ref="ABW17:ABX17"/>
    <mergeCell ref="ABY17:ABZ17"/>
    <mergeCell ref="ACA17:ACB17"/>
    <mergeCell ref="ACC17:ACD17"/>
    <mergeCell ref="ACE17:ACF17"/>
    <mergeCell ref="ACG17:ACH17"/>
    <mergeCell ref="ACI17:ACJ17"/>
    <mergeCell ref="ACK17:ACL17"/>
    <mergeCell ref="ACM17:ACN17"/>
    <mergeCell ref="ACO17:ACP17"/>
    <mergeCell ref="ACQ17:ACR17"/>
    <mergeCell ref="ACS17:ACT17"/>
    <mergeCell ref="ACU17:ACV17"/>
    <mergeCell ref="ACW17:ACX17"/>
    <mergeCell ref="ACY17:ACZ17"/>
    <mergeCell ref="ADE17:ADF17"/>
    <mergeCell ref="ABA48:ABB48"/>
    <mergeCell ref="ABC48:ABD48"/>
    <mergeCell ref="ADI18:ADJ18"/>
    <mergeCell ref="ABG19:ABH19"/>
    <mergeCell ref="ABI19:ABJ19"/>
    <mergeCell ref="ABK19:ABL19"/>
    <mergeCell ref="ABM19:ABN19"/>
    <mergeCell ref="ABO19:ABP19"/>
    <mergeCell ref="ABQ19:ABR19"/>
    <mergeCell ref="ABS19:ABT19"/>
    <mergeCell ref="ABU19:ABV19"/>
    <mergeCell ref="ABW19:ABX19"/>
    <mergeCell ref="ABY19:ABZ19"/>
    <mergeCell ref="ACA19:ACB19"/>
    <mergeCell ref="ACC19:ACD19"/>
    <mergeCell ref="ACE19:ACF19"/>
    <mergeCell ref="ACG19:ACH19"/>
    <mergeCell ref="ACI19:ACJ19"/>
    <mergeCell ref="ACK19:ACL19"/>
    <mergeCell ref="ACM19:ACN19"/>
    <mergeCell ref="ABG18:ABH18"/>
    <mergeCell ref="ABI18:ABJ18"/>
    <mergeCell ref="ABK18:ABL18"/>
    <mergeCell ref="ABM18:ABN18"/>
    <mergeCell ref="ABO18:ABP18"/>
    <mergeCell ref="ABQ18:ABR18"/>
    <mergeCell ref="ABS18:ABT18"/>
    <mergeCell ref="ABU18:ABV18"/>
    <mergeCell ref="ABW18:ABX18"/>
    <mergeCell ref="ABY18:ABZ18"/>
    <mergeCell ref="ACO19:ACP19"/>
    <mergeCell ref="ACQ19:ACR19"/>
    <mergeCell ref="ACS19:ACT19"/>
    <mergeCell ref="ACU19:ACV19"/>
    <mergeCell ref="ACW19:ACX19"/>
    <mergeCell ref="ACY19:ACZ19"/>
    <mergeCell ref="ADA19:ADB19"/>
    <mergeCell ref="ADC19:ADD19"/>
    <mergeCell ref="ADE19:ADF19"/>
    <mergeCell ref="ADG19:ADH19"/>
    <mergeCell ref="ADI19:ADJ19"/>
    <mergeCell ref="ACM18:ACN18"/>
    <mergeCell ref="ACO18:ACP18"/>
    <mergeCell ref="ACQ18:ACR18"/>
    <mergeCell ref="ACS18:ACT18"/>
    <mergeCell ref="ACU18:ACV18"/>
    <mergeCell ref="ACW18:ACX18"/>
    <mergeCell ref="ACY18:ACZ18"/>
    <mergeCell ref="ADA18:ADB18"/>
    <mergeCell ref="ADC18:ADD18"/>
    <mergeCell ref="ADE18:ADF18"/>
    <mergeCell ref="ADG18:ADH18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7"/>
  <dimension ref="A1:BI267"/>
  <sheetViews>
    <sheetView topLeftCell="AD1" zoomScale="85" workbookViewId="0">
      <selection activeCell="AB36" sqref="AB36"/>
    </sheetView>
  </sheetViews>
  <sheetFormatPr defaultRowHeight="12.75"/>
  <cols>
    <col min="1" max="2" width="9.140625" style="27"/>
    <col min="3" max="4" width="9.140625" style="1"/>
    <col min="14" max="61" width="9.140625" style="27"/>
  </cols>
  <sheetData>
    <row r="1" spans="1:38" ht="34.5" thickBot="1">
      <c r="A1" s="28" t="s">
        <v>17</v>
      </c>
      <c r="B1" s="20"/>
      <c r="C1" s="21"/>
      <c r="D1" s="22"/>
      <c r="E1" s="23"/>
      <c r="F1" s="24"/>
      <c r="G1" s="25"/>
      <c r="H1" s="25"/>
      <c r="I1" s="26"/>
      <c r="J1" s="24"/>
      <c r="K1" s="27"/>
      <c r="L1" s="24" t="s">
        <v>18</v>
      </c>
      <c r="M1" s="24"/>
      <c r="N1" s="24"/>
      <c r="P1" s="26"/>
      <c r="Q1" s="24"/>
      <c r="S1" s="24" t="s">
        <v>18</v>
      </c>
      <c r="T1" s="24"/>
      <c r="U1" s="24"/>
      <c r="W1" s="26"/>
      <c r="X1" s="24"/>
      <c r="Z1" s="24" t="s">
        <v>18</v>
      </c>
      <c r="AA1" s="24"/>
      <c r="AB1" s="24"/>
    </row>
    <row r="2" spans="1:38" ht="12.75" customHeight="1">
      <c r="C2" s="27"/>
      <c r="D2" s="39"/>
      <c r="E2" s="40"/>
      <c r="F2" s="40"/>
      <c r="G2" s="40"/>
      <c r="H2" s="41"/>
      <c r="I2" s="39"/>
      <c r="J2" s="40"/>
      <c r="K2" s="40"/>
      <c r="L2" s="40"/>
      <c r="M2" s="41"/>
      <c r="P2" s="39"/>
      <c r="Q2" s="40"/>
      <c r="R2" s="40"/>
      <c r="S2" s="40"/>
      <c r="T2" s="41"/>
      <c r="U2" s="39"/>
      <c r="V2" s="40"/>
      <c r="W2" s="40"/>
      <c r="X2" s="40"/>
      <c r="Y2" s="41"/>
      <c r="AC2" s="39"/>
      <c r="AD2" s="40"/>
      <c r="AE2" s="40"/>
      <c r="AF2" s="40"/>
      <c r="AG2" s="41"/>
      <c r="AH2" s="39"/>
      <c r="AI2" s="40"/>
      <c r="AJ2" s="40"/>
      <c r="AK2" s="40"/>
      <c r="AL2" s="41"/>
    </row>
    <row r="3" spans="1:38" ht="17.25" customHeight="1">
      <c r="C3" s="27"/>
      <c r="D3" s="42"/>
      <c r="E3" s="43"/>
      <c r="F3" s="43" t="s">
        <v>14</v>
      </c>
      <c r="G3" s="43"/>
      <c r="H3" s="44"/>
      <c r="I3" s="42"/>
      <c r="J3" s="43"/>
      <c r="K3" s="43" t="s">
        <v>28</v>
      </c>
      <c r="L3" s="43"/>
      <c r="M3" s="44"/>
      <c r="P3" s="42"/>
      <c r="Q3" s="43"/>
      <c r="R3" s="43" t="s">
        <v>14</v>
      </c>
      <c r="S3" s="43"/>
      <c r="T3" s="44"/>
      <c r="U3" s="42"/>
      <c r="V3" s="43"/>
      <c r="W3" s="43" t="s">
        <v>28</v>
      </c>
      <c r="X3" s="43"/>
      <c r="Y3" s="44"/>
      <c r="AC3" s="42"/>
      <c r="AD3" s="43"/>
      <c r="AE3" s="43" t="s">
        <v>14</v>
      </c>
      <c r="AF3" s="43"/>
      <c r="AG3" s="44"/>
      <c r="AH3" s="42"/>
      <c r="AI3" s="43"/>
      <c r="AJ3" s="43" t="s">
        <v>28</v>
      </c>
      <c r="AK3" s="43"/>
      <c r="AL3" s="44"/>
    </row>
    <row r="4" spans="1:38" ht="12.75" customHeight="1" thickBot="1">
      <c r="C4" s="27"/>
      <c r="D4" s="45"/>
      <c r="E4" s="46"/>
      <c r="F4" s="46"/>
      <c r="G4" s="46"/>
      <c r="H4" s="47"/>
      <c r="I4" s="45"/>
      <c r="J4" s="46"/>
      <c r="K4" s="46"/>
      <c r="L4" s="46"/>
      <c r="M4" s="47"/>
      <c r="P4" s="45"/>
      <c r="Q4" s="46"/>
      <c r="R4" s="46"/>
      <c r="S4" s="46"/>
      <c r="T4" s="47"/>
      <c r="U4" s="45"/>
      <c r="V4" s="46"/>
      <c r="W4" s="46"/>
      <c r="X4" s="46"/>
      <c r="Y4" s="47"/>
      <c r="AC4" s="45"/>
      <c r="AD4" s="46"/>
      <c r="AE4" s="46"/>
      <c r="AF4" s="46"/>
      <c r="AG4" s="47"/>
      <c r="AH4" s="45"/>
      <c r="AI4" s="46"/>
      <c r="AJ4" s="46"/>
      <c r="AK4" s="46"/>
      <c r="AL4" s="47"/>
    </row>
    <row r="5" spans="1:38">
      <c r="C5" s="31"/>
      <c r="D5" s="34" t="s">
        <v>22</v>
      </c>
      <c r="E5" s="32" t="s">
        <v>26</v>
      </c>
      <c r="F5" s="33"/>
      <c r="G5" s="48" t="s">
        <v>25</v>
      </c>
      <c r="H5" s="49" t="s">
        <v>34</v>
      </c>
      <c r="I5" s="34" t="s">
        <v>22</v>
      </c>
      <c r="J5" s="32" t="s">
        <v>26</v>
      </c>
      <c r="K5" s="33"/>
      <c r="L5" s="48" t="s">
        <v>25</v>
      </c>
      <c r="M5" s="49" t="s">
        <v>34</v>
      </c>
      <c r="O5" s="31"/>
      <c r="P5" s="34" t="s">
        <v>22</v>
      </c>
      <c r="Q5" s="32" t="s">
        <v>26</v>
      </c>
      <c r="R5" s="33"/>
      <c r="S5" s="48" t="s">
        <v>25</v>
      </c>
      <c r="T5" s="49" t="s">
        <v>34</v>
      </c>
      <c r="U5" s="34" t="s">
        <v>22</v>
      </c>
      <c r="V5" s="32" t="s">
        <v>26</v>
      </c>
      <c r="W5" s="33"/>
      <c r="X5" s="48" t="s">
        <v>25</v>
      </c>
      <c r="Y5" s="49" t="s">
        <v>34</v>
      </c>
      <c r="AB5" s="31"/>
      <c r="AC5" s="34" t="s">
        <v>22</v>
      </c>
      <c r="AD5" s="32" t="s">
        <v>26</v>
      </c>
      <c r="AE5" s="33"/>
      <c r="AF5" s="48" t="s">
        <v>25</v>
      </c>
      <c r="AG5" s="49" t="s">
        <v>34</v>
      </c>
      <c r="AH5" s="34" t="s">
        <v>22</v>
      </c>
      <c r="AI5" s="32" t="s">
        <v>26</v>
      </c>
      <c r="AJ5" s="33"/>
      <c r="AK5" s="48" t="s">
        <v>25</v>
      </c>
      <c r="AL5" s="49" t="s">
        <v>34</v>
      </c>
    </row>
    <row r="6" spans="1:38" ht="13.5" thickBot="1">
      <c r="C6" s="37"/>
      <c r="D6" s="35" t="s">
        <v>27</v>
      </c>
      <c r="E6" s="36" t="s">
        <v>23</v>
      </c>
      <c r="F6" s="36" t="s">
        <v>24</v>
      </c>
      <c r="G6" s="55"/>
      <c r="H6" s="56"/>
      <c r="I6" s="35" t="s">
        <v>27</v>
      </c>
      <c r="J6" s="36" t="s">
        <v>23</v>
      </c>
      <c r="K6" s="36" t="s">
        <v>24</v>
      </c>
      <c r="L6" s="55"/>
      <c r="M6" s="56"/>
      <c r="O6" s="37"/>
      <c r="P6" s="35" t="s">
        <v>27</v>
      </c>
      <c r="Q6" s="36" t="s">
        <v>23</v>
      </c>
      <c r="R6" s="36" t="s">
        <v>24</v>
      </c>
      <c r="S6" s="55"/>
      <c r="T6" s="56"/>
      <c r="U6" s="35" t="s">
        <v>27</v>
      </c>
      <c r="V6" s="36" t="s">
        <v>23</v>
      </c>
      <c r="W6" s="36" t="s">
        <v>24</v>
      </c>
      <c r="X6" s="55"/>
      <c r="Y6" s="56"/>
      <c r="AB6" s="37"/>
      <c r="AC6" s="35" t="s">
        <v>27</v>
      </c>
      <c r="AD6" s="36" t="s">
        <v>23</v>
      </c>
      <c r="AE6" s="36" t="s">
        <v>24</v>
      </c>
      <c r="AF6" s="55"/>
      <c r="AG6" s="56"/>
      <c r="AH6" s="35" t="s">
        <v>27</v>
      </c>
      <c r="AI6" s="36" t="s">
        <v>23</v>
      </c>
      <c r="AJ6" s="36" t="s">
        <v>24</v>
      </c>
      <c r="AK6" s="55"/>
      <c r="AL6" s="56"/>
    </row>
    <row r="7" spans="1:38">
      <c r="C7" s="38">
        <v>39119</v>
      </c>
      <c r="D7" s="30"/>
      <c r="E7" s="19"/>
      <c r="F7" s="19"/>
      <c r="G7" s="19"/>
      <c r="H7" s="50"/>
      <c r="I7" s="30"/>
      <c r="J7" s="19"/>
      <c r="K7" s="19"/>
      <c r="L7" s="19"/>
      <c r="M7" s="50"/>
      <c r="O7" s="38">
        <v>39142</v>
      </c>
      <c r="P7" s="30"/>
      <c r="Q7" s="19"/>
      <c r="R7" s="19"/>
      <c r="S7" s="19"/>
      <c r="T7" s="50"/>
      <c r="U7" s="30"/>
      <c r="V7" s="19"/>
      <c r="W7" s="19"/>
      <c r="X7" s="19"/>
      <c r="Y7" s="50"/>
      <c r="AB7" s="38">
        <v>39203</v>
      </c>
      <c r="AC7" s="30">
        <v>24</v>
      </c>
      <c r="AD7" s="19">
        <v>103</v>
      </c>
      <c r="AE7" s="19">
        <v>63</v>
      </c>
      <c r="AF7" s="19">
        <v>16</v>
      </c>
      <c r="AG7" s="50">
        <f>SUM(AC7:AF7)</f>
        <v>206</v>
      </c>
      <c r="AH7" s="30">
        <v>44</v>
      </c>
      <c r="AI7" s="19">
        <v>34</v>
      </c>
      <c r="AJ7" s="19">
        <v>28</v>
      </c>
      <c r="AK7" s="19">
        <v>11</v>
      </c>
      <c r="AL7" s="50">
        <f>SUM(AH7:AK7)</f>
        <v>117</v>
      </c>
    </row>
    <row r="8" spans="1:38">
      <c r="C8" s="38">
        <v>39120</v>
      </c>
      <c r="D8" s="30"/>
      <c r="E8" s="19"/>
      <c r="F8" s="19"/>
      <c r="G8" s="19"/>
      <c r="H8" s="54"/>
      <c r="I8" s="30"/>
      <c r="J8" s="19"/>
      <c r="K8" s="19"/>
      <c r="L8" s="19"/>
      <c r="M8" s="54"/>
      <c r="O8" s="38">
        <v>39143</v>
      </c>
      <c r="P8" s="30"/>
      <c r="Q8" s="19"/>
      <c r="R8" s="19"/>
      <c r="S8" s="19"/>
      <c r="T8" s="54"/>
      <c r="U8" s="30"/>
      <c r="V8" s="19"/>
      <c r="W8" s="19"/>
      <c r="X8" s="19"/>
      <c r="Y8" s="54"/>
      <c r="AB8" s="38">
        <v>39204</v>
      </c>
      <c r="AC8" s="30">
        <v>26</v>
      </c>
      <c r="AD8" s="19">
        <v>88</v>
      </c>
      <c r="AE8" s="19">
        <v>100</v>
      </c>
      <c r="AF8" s="19">
        <v>7</v>
      </c>
      <c r="AG8" s="50">
        <f>SUM(AC8:AF8)</f>
        <v>221</v>
      </c>
      <c r="AH8" s="30">
        <v>48</v>
      </c>
      <c r="AI8" s="19">
        <v>24</v>
      </c>
      <c r="AJ8" s="19">
        <v>16</v>
      </c>
      <c r="AK8" s="19">
        <v>34</v>
      </c>
      <c r="AL8" s="50">
        <f>SUM(AH8:AK8)</f>
        <v>122</v>
      </c>
    </row>
    <row r="9" spans="1:38">
      <c r="C9" s="38">
        <v>39121</v>
      </c>
      <c r="D9" s="30"/>
      <c r="E9" s="19"/>
      <c r="F9" s="19"/>
      <c r="G9" s="19"/>
      <c r="H9" s="50"/>
      <c r="I9" s="30"/>
      <c r="J9" s="19"/>
      <c r="K9" s="19"/>
      <c r="L9" s="19"/>
      <c r="M9" s="50"/>
      <c r="O9" s="38">
        <v>39144</v>
      </c>
      <c r="P9" s="51"/>
      <c r="Q9" s="52"/>
      <c r="R9" s="52"/>
      <c r="S9" s="52"/>
      <c r="T9" s="53"/>
      <c r="U9" s="51"/>
      <c r="V9" s="52"/>
      <c r="W9" s="52"/>
      <c r="X9" s="52"/>
      <c r="Y9" s="53"/>
      <c r="AB9" s="38">
        <v>39205</v>
      </c>
      <c r="AC9" s="30">
        <v>12</v>
      </c>
      <c r="AD9" s="19">
        <v>71</v>
      </c>
      <c r="AE9" s="19">
        <v>8</v>
      </c>
      <c r="AF9" s="19">
        <v>19</v>
      </c>
      <c r="AG9" s="50">
        <f>SUM(AC9:AF9)</f>
        <v>110</v>
      </c>
      <c r="AH9" s="30">
        <v>19</v>
      </c>
      <c r="AI9" s="19">
        <v>95</v>
      </c>
      <c r="AJ9" s="19">
        <v>67</v>
      </c>
      <c r="AK9" s="19">
        <v>58</v>
      </c>
      <c r="AL9" s="50">
        <f>SUM(AH9:AK9)</f>
        <v>239</v>
      </c>
    </row>
    <row r="10" spans="1:38">
      <c r="C10" s="38">
        <v>39122</v>
      </c>
      <c r="D10" s="29"/>
      <c r="E10" s="18"/>
      <c r="F10" s="18"/>
      <c r="G10" s="18"/>
      <c r="H10" s="50"/>
      <c r="I10" s="29"/>
      <c r="J10" s="18"/>
      <c r="K10" s="18"/>
      <c r="L10" s="18"/>
      <c r="M10" s="50"/>
      <c r="O10" s="38">
        <v>39145</v>
      </c>
      <c r="P10" s="51"/>
      <c r="Q10" s="52"/>
      <c r="R10" s="52"/>
      <c r="S10" s="52"/>
      <c r="T10" s="53"/>
      <c r="U10" s="51"/>
      <c r="V10" s="52"/>
      <c r="W10" s="52"/>
      <c r="X10" s="52"/>
      <c r="Y10" s="53"/>
      <c r="AB10" s="38">
        <v>39206</v>
      </c>
      <c r="AC10" s="30">
        <v>28</v>
      </c>
      <c r="AD10" s="19">
        <v>55</v>
      </c>
      <c r="AE10" s="19">
        <v>17</v>
      </c>
      <c r="AF10" s="19">
        <v>22</v>
      </c>
      <c r="AG10" s="50">
        <f>SUM(AC10:AF10)</f>
        <v>122</v>
      </c>
      <c r="AH10" s="30">
        <v>21</v>
      </c>
      <c r="AI10" s="19">
        <v>32</v>
      </c>
      <c r="AJ10" s="19">
        <v>21</v>
      </c>
      <c r="AK10" s="19">
        <v>23</v>
      </c>
      <c r="AL10" s="50"/>
    </row>
    <row r="11" spans="1:38">
      <c r="C11" s="38">
        <v>39123</v>
      </c>
      <c r="D11" s="51"/>
      <c r="E11" s="52"/>
      <c r="F11" s="52"/>
      <c r="G11" s="52"/>
      <c r="H11" s="53"/>
      <c r="I11" s="51"/>
      <c r="J11" s="52"/>
      <c r="K11" s="52"/>
      <c r="L11" s="52"/>
      <c r="M11" s="53"/>
      <c r="O11" s="38">
        <v>39146</v>
      </c>
      <c r="P11" s="30"/>
      <c r="Q11" s="19"/>
      <c r="R11" s="19"/>
      <c r="S11" s="19"/>
      <c r="T11" s="50"/>
      <c r="U11" s="30"/>
      <c r="V11" s="19"/>
      <c r="W11" s="19"/>
      <c r="X11" s="19"/>
      <c r="Y11" s="50"/>
      <c r="AB11" s="38">
        <v>39207</v>
      </c>
      <c r="AC11" s="57"/>
      <c r="AD11" s="58"/>
      <c r="AE11" s="58"/>
      <c r="AF11" s="58"/>
      <c r="AG11" s="59"/>
      <c r="AH11" s="57"/>
      <c r="AI11" s="58"/>
      <c r="AJ11" s="58"/>
      <c r="AK11" s="58"/>
      <c r="AL11" s="59"/>
    </row>
    <row r="12" spans="1:38">
      <c r="C12" s="38">
        <v>39124</v>
      </c>
      <c r="D12" s="51"/>
      <c r="E12" s="52"/>
      <c r="F12" s="52"/>
      <c r="G12" s="52"/>
      <c r="H12" s="53"/>
      <c r="I12" s="51"/>
      <c r="J12" s="52"/>
      <c r="K12" s="52"/>
      <c r="L12" s="52"/>
      <c r="M12" s="53"/>
      <c r="O12" s="38">
        <v>39147</v>
      </c>
      <c r="P12" s="30"/>
      <c r="Q12" s="19"/>
      <c r="R12" s="19"/>
      <c r="S12" s="19"/>
      <c r="T12" s="50"/>
      <c r="U12" s="30"/>
      <c r="V12" s="19"/>
      <c r="W12" s="19"/>
      <c r="X12" s="19"/>
      <c r="Y12" s="50"/>
      <c r="AB12" s="38">
        <v>39208</v>
      </c>
      <c r="AC12" s="57"/>
      <c r="AD12" s="58"/>
      <c r="AE12" s="58"/>
      <c r="AF12" s="58"/>
      <c r="AG12" s="59"/>
      <c r="AH12" s="57"/>
      <c r="AI12" s="58"/>
      <c r="AJ12" s="58"/>
      <c r="AK12" s="58"/>
      <c r="AL12" s="59"/>
    </row>
    <row r="13" spans="1:38">
      <c r="C13" s="38">
        <v>39125</v>
      </c>
      <c r="D13" s="30"/>
      <c r="E13" s="19"/>
      <c r="F13" s="19"/>
      <c r="G13" s="19"/>
      <c r="H13" s="50"/>
      <c r="I13" s="30"/>
      <c r="J13" s="19"/>
      <c r="K13" s="19"/>
      <c r="L13" s="19"/>
      <c r="M13" s="50"/>
      <c r="O13" s="38">
        <v>39148</v>
      </c>
      <c r="P13" s="30"/>
      <c r="Q13" s="19"/>
      <c r="R13" s="19"/>
      <c r="S13" s="19"/>
      <c r="T13" s="50"/>
      <c r="U13" s="30">
        <v>16</v>
      </c>
      <c r="V13" s="19">
        <v>86</v>
      </c>
      <c r="W13" s="19">
        <v>5</v>
      </c>
      <c r="X13" s="19">
        <v>9</v>
      </c>
      <c r="Y13" s="50">
        <f>SUM(U13:X13)</f>
        <v>116</v>
      </c>
      <c r="AB13" s="38">
        <v>39209</v>
      </c>
      <c r="AC13" s="30">
        <v>16</v>
      </c>
      <c r="AD13" s="19">
        <v>56</v>
      </c>
      <c r="AE13" s="19">
        <v>5</v>
      </c>
      <c r="AF13" s="19">
        <v>17</v>
      </c>
      <c r="AG13" s="50">
        <f>SUM(AC13:AF13)</f>
        <v>94</v>
      </c>
      <c r="AH13" s="30">
        <v>23</v>
      </c>
      <c r="AI13" s="19">
        <v>88</v>
      </c>
      <c r="AJ13" s="19">
        <v>18</v>
      </c>
      <c r="AK13" s="19">
        <v>24</v>
      </c>
      <c r="AL13" s="50">
        <f>SUM(AH13:AK13)</f>
        <v>153</v>
      </c>
    </row>
    <row r="14" spans="1:38">
      <c r="C14" s="38">
        <v>39126</v>
      </c>
      <c r="D14" s="30"/>
      <c r="E14" s="19"/>
      <c r="F14" s="19"/>
      <c r="G14" s="19"/>
      <c r="H14" s="50"/>
      <c r="I14" s="30"/>
      <c r="J14" s="19"/>
      <c r="K14" s="19"/>
      <c r="L14" s="19"/>
      <c r="M14" s="50"/>
      <c r="O14" s="38">
        <v>39149</v>
      </c>
      <c r="P14" s="30"/>
      <c r="Q14" s="19"/>
      <c r="R14" s="19"/>
      <c r="S14" s="19"/>
      <c r="T14" s="50"/>
      <c r="U14" s="30">
        <v>4</v>
      </c>
      <c r="V14" s="19">
        <v>60</v>
      </c>
      <c r="W14" s="19">
        <v>1</v>
      </c>
      <c r="X14" s="19">
        <v>3</v>
      </c>
      <c r="Y14" s="50">
        <f>SUM(U14:X14)</f>
        <v>68</v>
      </c>
      <c r="AB14" s="38">
        <v>39210</v>
      </c>
      <c r="AC14" s="30">
        <v>33</v>
      </c>
      <c r="AD14" s="19">
        <v>81</v>
      </c>
      <c r="AE14" s="19">
        <v>19</v>
      </c>
      <c r="AF14" s="19">
        <v>9</v>
      </c>
      <c r="AG14" s="50">
        <f>SUM(AC14:AF14)</f>
        <v>142</v>
      </c>
      <c r="AH14" s="30">
        <v>99</v>
      </c>
      <c r="AI14" s="19">
        <v>36</v>
      </c>
      <c r="AJ14" s="19">
        <v>9</v>
      </c>
      <c r="AK14" s="19">
        <v>8</v>
      </c>
      <c r="AL14" s="50">
        <f>SUM(AH14:AK14)</f>
        <v>152</v>
      </c>
    </row>
    <row r="15" spans="1:38">
      <c r="C15" s="38">
        <v>39127</v>
      </c>
      <c r="D15" s="30"/>
      <c r="E15" s="19"/>
      <c r="F15" s="19"/>
      <c r="G15" s="19"/>
      <c r="H15" s="50"/>
      <c r="I15" s="30"/>
      <c r="J15" s="19"/>
      <c r="K15" s="19"/>
      <c r="L15" s="19"/>
      <c r="M15" s="50"/>
      <c r="O15" s="38">
        <v>39150</v>
      </c>
      <c r="P15" s="30"/>
      <c r="Q15" s="19"/>
      <c r="R15" s="19"/>
      <c r="S15" s="19"/>
      <c r="T15" s="50"/>
      <c r="U15" s="30">
        <v>13</v>
      </c>
      <c r="V15" s="19">
        <v>40</v>
      </c>
      <c r="W15" s="19">
        <v>32</v>
      </c>
      <c r="X15" s="19">
        <v>4</v>
      </c>
      <c r="Y15" s="50">
        <f>SUM(U15:X15)</f>
        <v>89</v>
      </c>
      <c r="AB15" s="38">
        <v>39211</v>
      </c>
      <c r="AC15" s="30">
        <v>39</v>
      </c>
      <c r="AD15" s="19">
        <v>54</v>
      </c>
      <c r="AE15" s="19">
        <v>34</v>
      </c>
      <c r="AF15" s="19">
        <v>22</v>
      </c>
      <c r="AG15" s="50">
        <f>SUM(AC15:AF15)</f>
        <v>149</v>
      </c>
      <c r="AH15" s="30">
        <v>35</v>
      </c>
      <c r="AI15" s="19">
        <v>6</v>
      </c>
      <c r="AJ15" s="19">
        <v>44</v>
      </c>
      <c r="AK15" s="19">
        <v>5</v>
      </c>
      <c r="AL15" s="50">
        <f>SUM(AH15:AK15)</f>
        <v>90</v>
      </c>
    </row>
    <row r="16" spans="1:38">
      <c r="C16" s="38">
        <v>39128</v>
      </c>
      <c r="D16" s="30"/>
      <c r="E16" s="19"/>
      <c r="F16" s="19"/>
      <c r="G16" s="19"/>
      <c r="H16" s="50"/>
      <c r="I16" s="30"/>
      <c r="J16" s="19"/>
      <c r="K16" s="19"/>
      <c r="L16" s="19"/>
      <c r="M16" s="50"/>
      <c r="O16" s="38">
        <v>39151</v>
      </c>
      <c r="P16" s="57"/>
      <c r="Q16" s="58"/>
      <c r="R16" s="58"/>
      <c r="S16" s="58"/>
      <c r="T16" s="59"/>
      <c r="U16" s="57"/>
      <c r="V16" s="58"/>
      <c r="W16" s="58"/>
      <c r="X16" s="58"/>
      <c r="Y16" s="59"/>
      <c r="AB16" s="38">
        <v>39212</v>
      </c>
      <c r="AC16" s="30">
        <v>42</v>
      </c>
      <c r="AD16" s="19">
        <v>30</v>
      </c>
      <c r="AE16" s="19">
        <v>41</v>
      </c>
      <c r="AF16" s="19">
        <v>19</v>
      </c>
      <c r="AG16" s="50">
        <f>SUM(AC16:AF16)</f>
        <v>132</v>
      </c>
      <c r="AH16" s="30">
        <v>23</v>
      </c>
      <c r="AI16" s="19">
        <v>34</v>
      </c>
      <c r="AJ16" s="19">
        <v>28</v>
      </c>
      <c r="AK16" s="19">
        <v>17</v>
      </c>
      <c r="AL16" s="50">
        <f>SUM(AH16:AK16)</f>
        <v>102</v>
      </c>
    </row>
    <row r="17" spans="3:38">
      <c r="C17" s="38">
        <v>39129</v>
      </c>
      <c r="D17" s="29"/>
      <c r="E17" s="18"/>
      <c r="F17" s="18"/>
      <c r="G17" s="18"/>
      <c r="H17" s="50"/>
      <c r="I17" s="29"/>
      <c r="J17" s="18"/>
      <c r="K17" s="18"/>
      <c r="L17" s="18"/>
      <c r="M17" s="50"/>
      <c r="O17" s="38">
        <v>39152</v>
      </c>
      <c r="P17" s="60"/>
      <c r="Q17" s="61"/>
      <c r="R17" s="61"/>
      <c r="S17" s="61"/>
      <c r="T17" s="59"/>
      <c r="U17" s="60"/>
      <c r="V17" s="61"/>
      <c r="W17" s="61"/>
      <c r="X17" s="61"/>
      <c r="Y17" s="59"/>
      <c r="AB17" s="38">
        <v>39213</v>
      </c>
      <c r="AC17" s="30">
        <v>22</v>
      </c>
      <c r="AD17" s="19">
        <v>30</v>
      </c>
      <c r="AE17" s="19">
        <v>41</v>
      </c>
      <c r="AF17" s="19">
        <v>15</v>
      </c>
      <c r="AG17" s="50">
        <f>SUM(AC17:AF17)</f>
        <v>108</v>
      </c>
      <c r="AH17" s="30">
        <v>24</v>
      </c>
      <c r="AI17" s="19">
        <v>8</v>
      </c>
      <c r="AJ17" s="19">
        <v>26</v>
      </c>
      <c r="AK17" s="19">
        <v>4</v>
      </c>
      <c r="AL17" s="50">
        <f>SUM(AH17:AK17)</f>
        <v>62</v>
      </c>
    </row>
    <row r="18" spans="3:38">
      <c r="C18" s="38">
        <v>39130</v>
      </c>
      <c r="D18" s="51"/>
      <c r="E18" s="52"/>
      <c r="F18" s="52"/>
      <c r="G18" s="52"/>
      <c r="H18" s="53"/>
      <c r="I18" s="51"/>
      <c r="J18" s="52"/>
      <c r="K18" s="52"/>
      <c r="L18" s="52"/>
      <c r="M18" s="53"/>
      <c r="O18" s="38">
        <v>39153</v>
      </c>
      <c r="P18" s="30">
        <v>21</v>
      </c>
      <c r="Q18" s="19">
        <v>14</v>
      </c>
      <c r="R18" s="19">
        <v>5</v>
      </c>
      <c r="S18" s="19">
        <v>2</v>
      </c>
      <c r="T18" s="50">
        <f>SUM(P18:S18)</f>
        <v>42</v>
      </c>
      <c r="U18" s="30">
        <v>17</v>
      </c>
      <c r="V18" s="19">
        <v>35</v>
      </c>
      <c r="W18" s="19">
        <v>21</v>
      </c>
      <c r="X18" s="19">
        <v>14</v>
      </c>
      <c r="Y18" s="50">
        <f>SUM(U18:X18)</f>
        <v>87</v>
      </c>
      <c r="AB18" s="38">
        <v>39214</v>
      </c>
      <c r="AC18" s="57"/>
      <c r="AD18" s="58"/>
      <c r="AE18" s="58"/>
      <c r="AF18" s="58"/>
      <c r="AG18" s="59"/>
      <c r="AH18" s="57"/>
      <c r="AI18" s="58"/>
      <c r="AJ18" s="58"/>
      <c r="AK18" s="58"/>
      <c r="AL18" s="59"/>
    </row>
    <row r="19" spans="3:38">
      <c r="C19" s="38">
        <v>39131</v>
      </c>
      <c r="D19" s="51"/>
      <c r="E19" s="52"/>
      <c r="F19" s="52"/>
      <c r="G19" s="52"/>
      <c r="H19" s="53"/>
      <c r="I19" s="51"/>
      <c r="J19" s="52"/>
      <c r="K19" s="52"/>
      <c r="L19" s="52"/>
      <c r="M19" s="53"/>
      <c r="O19" s="38">
        <v>39154</v>
      </c>
      <c r="P19" s="30">
        <v>57</v>
      </c>
      <c r="Q19" s="19">
        <v>127</v>
      </c>
      <c r="R19" s="19">
        <v>77</v>
      </c>
      <c r="S19" s="19">
        <v>56</v>
      </c>
      <c r="T19" s="50">
        <f>SUM(P19:S19)</f>
        <v>317</v>
      </c>
      <c r="U19" s="30">
        <v>48</v>
      </c>
      <c r="V19" s="19">
        <v>70</v>
      </c>
      <c r="W19" s="19">
        <v>19</v>
      </c>
      <c r="X19" s="19">
        <v>7</v>
      </c>
      <c r="Y19" s="50">
        <f>SUM(U19:X19)</f>
        <v>144</v>
      </c>
      <c r="AB19" s="38">
        <v>39215</v>
      </c>
      <c r="AC19" s="57"/>
      <c r="AD19" s="58"/>
      <c r="AE19" s="58"/>
      <c r="AF19" s="58"/>
      <c r="AG19" s="59"/>
      <c r="AH19" s="57"/>
      <c r="AI19" s="58"/>
      <c r="AJ19" s="58"/>
      <c r="AK19" s="58"/>
      <c r="AL19" s="59"/>
    </row>
    <row r="20" spans="3:38">
      <c r="C20" s="38">
        <v>39132</v>
      </c>
      <c r="D20" s="30"/>
      <c r="E20" s="19"/>
      <c r="F20" s="19"/>
      <c r="G20" s="19"/>
      <c r="H20" s="50"/>
      <c r="I20" s="30"/>
      <c r="J20" s="19"/>
      <c r="K20" s="19"/>
      <c r="L20" s="19"/>
      <c r="M20" s="50"/>
      <c r="O20" s="38">
        <v>39155</v>
      </c>
      <c r="P20" s="30">
        <v>46</v>
      </c>
      <c r="Q20" s="19">
        <v>71</v>
      </c>
      <c r="R20" s="19">
        <v>5</v>
      </c>
      <c r="S20" s="19">
        <v>29</v>
      </c>
      <c r="T20" s="50">
        <f>SUM(P20:S20)</f>
        <v>151</v>
      </c>
      <c r="U20" s="30">
        <v>7</v>
      </c>
      <c r="V20" s="19">
        <v>25</v>
      </c>
      <c r="W20" s="19">
        <v>30</v>
      </c>
      <c r="X20" s="19">
        <v>20</v>
      </c>
      <c r="Y20" s="50">
        <f>SUM(U20:X20)</f>
        <v>82</v>
      </c>
      <c r="AB20" s="38">
        <v>39216</v>
      </c>
      <c r="AC20" s="30">
        <v>41</v>
      </c>
      <c r="AD20" s="19">
        <v>30</v>
      </c>
      <c r="AE20" s="19">
        <v>20</v>
      </c>
      <c r="AF20" s="19">
        <v>41</v>
      </c>
      <c r="AG20" s="50">
        <f>SUM(AC20:AF20)</f>
        <v>132</v>
      </c>
      <c r="AH20" s="30">
        <v>44</v>
      </c>
      <c r="AI20" s="19">
        <v>83</v>
      </c>
      <c r="AJ20" s="19">
        <v>29</v>
      </c>
      <c r="AK20" s="19">
        <v>12</v>
      </c>
      <c r="AL20" s="50">
        <f>SUM(AH20:AK20)</f>
        <v>168</v>
      </c>
    </row>
    <row r="21" spans="3:38">
      <c r="C21" s="38">
        <v>39133</v>
      </c>
      <c r="D21" s="30">
        <v>44</v>
      </c>
      <c r="E21" s="19">
        <v>32</v>
      </c>
      <c r="F21" s="19">
        <v>64</v>
      </c>
      <c r="G21" s="19">
        <v>26</v>
      </c>
      <c r="H21" s="50">
        <f>SUM(D21:G21)</f>
        <v>166</v>
      </c>
      <c r="I21" s="30"/>
      <c r="J21" s="19"/>
      <c r="K21" s="19"/>
      <c r="L21" s="19"/>
      <c r="M21" s="50">
        <f>SUM(I21:L21)</f>
        <v>0</v>
      </c>
      <c r="O21" s="38">
        <v>39156</v>
      </c>
      <c r="P21" s="30">
        <v>14</v>
      </c>
      <c r="Q21" s="19">
        <v>84</v>
      </c>
      <c r="R21" s="19">
        <v>12</v>
      </c>
      <c r="S21" s="19">
        <v>22</v>
      </c>
      <c r="T21" s="50">
        <f>SUM(P21:S21)</f>
        <v>132</v>
      </c>
      <c r="U21" s="30">
        <v>16</v>
      </c>
      <c r="V21" s="19">
        <v>71</v>
      </c>
      <c r="W21" s="19">
        <v>19</v>
      </c>
      <c r="X21" s="19">
        <v>13</v>
      </c>
      <c r="Y21" s="50">
        <f>SUM(U21:X21)</f>
        <v>119</v>
      </c>
      <c r="AB21" s="38">
        <v>39217</v>
      </c>
      <c r="AC21" s="30">
        <v>84</v>
      </c>
      <c r="AD21" s="19">
        <v>21</v>
      </c>
      <c r="AE21" s="19">
        <v>18</v>
      </c>
      <c r="AF21" s="19">
        <v>28</v>
      </c>
      <c r="AG21" s="50">
        <f>SUM(AC21:AF21)</f>
        <v>151</v>
      </c>
      <c r="AH21" s="30">
        <v>82</v>
      </c>
      <c r="AI21" s="19">
        <v>63</v>
      </c>
      <c r="AJ21" s="19">
        <v>57</v>
      </c>
      <c r="AK21" s="19">
        <v>48</v>
      </c>
      <c r="AL21" s="50">
        <f>SUM(AH21:AK21)</f>
        <v>250</v>
      </c>
    </row>
    <row r="22" spans="3:38">
      <c r="C22" s="38">
        <v>39134</v>
      </c>
      <c r="D22" s="30">
        <v>14</v>
      </c>
      <c r="E22" s="19">
        <v>24</v>
      </c>
      <c r="F22" s="19">
        <v>56</v>
      </c>
      <c r="G22" s="19">
        <v>21</v>
      </c>
      <c r="H22" s="50">
        <f>SUM(D22:G22)</f>
        <v>115</v>
      </c>
      <c r="I22" s="30">
        <v>62</v>
      </c>
      <c r="J22" s="19">
        <v>56</v>
      </c>
      <c r="K22" s="19">
        <v>95</v>
      </c>
      <c r="L22" s="19">
        <v>14</v>
      </c>
      <c r="M22" s="50">
        <f>SUM(I22:L22)</f>
        <v>227</v>
      </c>
      <c r="O22" s="38">
        <v>39157</v>
      </c>
      <c r="P22" s="30">
        <v>10</v>
      </c>
      <c r="Q22" s="19">
        <v>56</v>
      </c>
      <c r="R22" s="19">
        <v>5</v>
      </c>
      <c r="S22" s="19">
        <v>4</v>
      </c>
      <c r="T22" s="50">
        <f>SUM(P22:S22)</f>
        <v>75</v>
      </c>
      <c r="U22" s="30">
        <v>11</v>
      </c>
      <c r="V22" s="19">
        <v>8</v>
      </c>
      <c r="W22" s="19">
        <v>2</v>
      </c>
      <c r="X22" s="19">
        <v>0</v>
      </c>
      <c r="Y22" s="50">
        <f>SUM(U22:X22)</f>
        <v>21</v>
      </c>
      <c r="AB22" s="38">
        <v>39218</v>
      </c>
      <c r="AC22" s="30">
        <v>55</v>
      </c>
      <c r="AD22" s="19">
        <v>45</v>
      </c>
      <c r="AE22" s="19">
        <v>62</v>
      </c>
      <c r="AF22" s="19">
        <v>7</v>
      </c>
      <c r="AG22" s="50">
        <f>SUM(AC22:AF22)</f>
        <v>169</v>
      </c>
      <c r="AH22" s="30">
        <v>31</v>
      </c>
      <c r="AI22" s="19">
        <v>50</v>
      </c>
      <c r="AJ22" s="19">
        <v>5</v>
      </c>
      <c r="AK22" s="19">
        <v>19</v>
      </c>
      <c r="AL22" s="50">
        <f>SUM(AH22:AK22)</f>
        <v>105</v>
      </c>
    </row>
    <row r="23" spans="3:38">
      <c r="C23" s="38">
        <v>39135</v>
      </c>
      <c r="D23" s="30">
        <v>73</v>
      </c>
      <c r="E23" s="19">
        <v>102</v>
      </c>
      <c r="F23" s="19">
        <v>125</v>
      </c>
      <c r="G23" s="19">
        <v>52</v>
      </c>
      <c r="H23" s="50">
        <f>SUM(D23:G23)</f>
        <v>352</v>
      </c>
      <c r="I23" s="30">
        <v>59</v>
      </c>
      <c r="J23" s="19">
        <v>104</v>
      </c>
      <c r="K23" s="19">
        <v>97</v>
      </c>
      <c r="L23" s="19">
        <v>42</v>
      </c>
      <c r="M23" s="50">
        <f>SUM(I23:L23)</f>
        <v>302</v>
      </c>
      <c r="O23" s="38">
        <v>39158</v>
      </c>
      <c r="P23" s="57"/>
      <c r="Q23" s="58"/>
      <c r="R23" s="58"/>
      <c r="S23" s="58"/>
      <c r="T23" s="59"/>
      <c r="U23" s="57"/>
      <c r="V23" s="58"/>
      <c r="W23" s="58"/>
      <c r="X23" s="58"/>
      <c r="Y23" s="59"/>
      <c r="AB23" s="38">
        <v>39219</v>
      </c>
      <c r="AC23" s="30">
        <v>54</v>
      </c>
      <c r="AD23" s="19">
        <v>13</v>
      </c>
      <c r="AE23" s="19">
        <v>11</v>
      </c>
      <c r="AF23" s="19">
        <v>24</v>
      </c>
      <c r="AG23" s="50">
        <f>SUM(AC23:AF23)</f>
        <v>102</v>
      </c>
      <c r="AH23" s="30">
        <v>16</v>
      </c>
      <c r="AI23" s="19">
        <v>6</v>
      </c>
      <c r="AJ23" s="19">
        <v>59</v>
      </c>
      <c r="AK23" s="19">
        <v>21</v>
      </c>
      <c r="AL23" s="50">
        <f>SUM(AH23:AK23)</f>
        <v>102</v>
      </c>
    </row>
    <row r="24" spans="3:38">
      <c r="C24" s="38">
        <v>39136</v>
      </c>
      <c r="D24" s="29">
        <v>164</v>
      </c>
      <c r="E24" s="18">
        <v>96</v>
      </c>
      <c r="F24" s="18">
        <v>152</v>
      </c>
      <c r="G24" s="18">
        <v>78</v>
      </c>
      <c r="H24" s="50">
        <f>SUM(D24:G24)</f>
        <v>490</v>
      </c>
      <c r="I24" s="29">
        <v>40</v>
      </c>
      <c r="J24" s="18">
        <v>69</v>
      </c>
      <c r="K24" s="18">
        <v>74</v>
      </c>
      <c r="L24" s="18">
        <v>48</v>
      </c>
      <c r="M24" s="50">
        <f>SUM(I24:L24)</f>
        <v>231</v>
      </c>
      <c r="O24" s="38">
        <v>39159</v>
      </c>
      <c r="P24" s="60"/>
      <c r="Q24" s="61"/>
      <c r="R24" s="61"/>
      <c r="S24" s="61"/>
      <c r="T24" s="59"/>
      <c r="U24" s="60"/>
      <c r="V24" s="61"/>
      <c r="W24" s="61"/>
      <c r="X24" s="61"/>
      <c r="Y24" s="59"/>
      <c r="AB24" s="38">
        <v>39220</v>
      </c>
      <c r="AC24" s="30">
        <v>36</v>
      </c>
      <c r="AD24" s="19">
        <v>19</v>
      </c>
      <c r="AE24" s="19">
        <v>25</v>
      </c>
      <c r="AF24" s="19">
        <v>9</v>
      </c>
      <c r="AG24" s="50">
        <f>SUM(AC24:AF24)</f>
        <v>89</v>
      </c>
      <c r="AH24" s="30"/>
      <c r="AI24" s="19"/>
      <c r="AJ24" s="19"/>
      <c r="AK24" s="19"/>
      <c r="AL24" s="50"/>
    </row>
    <row r="25" spans="3:38">
      <c r="C25" s="38">
        <v>39137</v>
      </c>
      <c r="D25" s="51"/>
      <c r="E25" s="52"/>
      <c r="F25" s="52"/>
      <c r="G25" s="52"/>
      <c r="H25" s="53"/>
      <c r="I25" s="51"/>
      <c r="J25" s="52"/>
      <c r="K25" s="52"/>
      <c r="L25" s="52"/>
      <c r="M25" s="53"/>
      <c r="O25" s="38">
        <v>39160</v>
      </c>
      <c r="P25" s="30">
        <v>12</v>
      </c>
      <c r="Q25" s="19">
        <v>42</v>
      </c>
      <c r="R25" s="19">
        <v>10</v>
      </c>
      <c r="S25" s="19">
        <v>4</v>
      </c>
      <c r="T25" s="50">
        <f>SUM(P25:S25)</f>
        <v>68</v>
      </c>
      <c r="U25" s="30">
        <v>24</v>
      </c>
      <c r="V25" s="19">
        <v>63</v>
      </c>
      <c r="W25" s="19">
        <v>32</v>
      </c>
      <c r="X25" s="19">
        <v>11</v>
      </c>
      <c r="Y25" s="50">
        <f>SUM(U25:X25)</f>
        <v>130</v>
      </c>
      <c r="AB25" s="38">
        <v>39221</v>
      </c>
      <c r="AC25" s="57"/>
      <c r="AD25" s="58"/>
      <c r="AE25" s="58"/>
      <c r="AF25" s="58"/>
      <c r="AG25" s="59"/>
      <c r="AH25" s="57"/>
      <c r="AI25" s="58"/>
      <c r="AJ25" s="58"/>
      <c r="AK25" s="58"/>
      <c r="AL25" s="59"/>
    </row>
    <row r="26" spans="3:38">
      <c r="C26" s="38">
        <v>39138</v>
      </c>
      <c r="D26" s="51"/>
      <c r="E26" s="52"/>
      <c r="F26" s="52"/>
      <c r="G26" s="52"/>
      <c r="H26" s="53"/>
      <c r="I26" s="51"/>
      <c r="J26" s="52"/>
      <c r="K26" s="52"/>
      <c r="L26" s="52"/>
      <c r="M26" s="53"/>
      <c r="O26" s="38">
        <v>39161</v>
      </c>
      <c r="P26" s="30">
        <v>6</v>
      </c>
      <c r="Q26" s="19">
        <v>6</v>
      </c>
      <c r="R26" s="19">
        <v>50</v>
      </c>
      <c r="S26" s="19">
        <v>12</v>
      </c>
      <c r="T26" s="50">
        <f>SUM(P26:S26)</f>
        <v>74</v>
      </c>
      <c r="U26" s="30">
        <v>26</v>
      </c>
      <c r="V26" s="19">
        <v>41</v>
      </c>
      <c r="W26" s="19">
        <v>21</v>
      </c>
      <c r="X26" s="19">
        <v>29</v>
      </c>
      <c r="Y26" s="50">
        <f>SUM(U26:X26)</f>
        <v>117</v>
      </c>
      <c r="AB26" s="38">
        <v>39222</v>
      </c>
      <c r="AC26" s="57"/>
      <c r="AD26" s="58"/>
      <c r="AE26" s="58"/>
      <c r="AF26" s="58"/>
      <c r="AG26" s="59"/>
      <c r="AH26" s="57"/>
      <c r="AI26" s="58"/>
      <c r="AJ26" s="58"/>
      <c r="AK26" s="58"/>
      <c r="AL26" s="59"/>
    </row>
    <row r="27" spans="3:38">
      <c r="C27" s="38">
        <v>39139</v>
      </c>
      <c r="D27" s="30">
        <v>102</v>
      </c>
      <c r="E27" s="19">
        <v>192</v>
      </c>
      <c r="F27" s="19">
        <v>70</v>
      </c>
      <c r="G27" s="19">
        <v>12</v>
      </c>
      <c r="H27" s="50">
        <f>SUM(D27:G27)</f>
        <v>376</v>
      </c>
      <c r="I27" s="30">
        <v>54</v>
      </c>
      <c r="J27" s="19">
        <v>26</v>
      </c>
      <c r="K27" s="19">
        <v>21</v>
      </c>
      <c r="L27" s="19">
        <v>42</v>
      </c>
      <c r="M27" s="50">
        <f>SUM(I27:L27)</f>
        <v>143</v>
      </c>
      <c r="O27" s="38">
        <v>39162</v>
      </c>
      <c r="P27" s="30">
        <v>56</v>
      </c>
      <c r="Q27" s="19">
        <v>58</v>
      </c>
      <c r="R27" s="19">
        <v>18</v>
      </c>
      <c r="S27" s="19">
        <v>10</v>
      </c>
      <c r="T27" s="50">
        <f>SUM(P27:S27)</f>
        <v>142</v>
      </c>
      <c r="U27" s="30">
        <v>10</v>
      </c>
      <c r="V27" s="19">
        <v>64</v>
      </c>
      <c r="W27" s="19">
        <v>18</v>
      </c>
      <c r="X27" s="19">
        <v>14</v>
      </c>
      <c r="Y27" s="50">
        <f>SUM(U27:X27)</f>
        <v>106</v>
      </c>
      <c r="AB27" s="38">
        <v>39223</v>
      </c>
      <c r="AC27" s="30">
        <v>176</v>
      </c>
      <c r="AD27" s="19">
        <v>201</v>
      </c>
      <c r="AE27" s="19">
        <v>73</v>
      </c>
      <c r="AF27" s="19">
        <v>51</v>
      </c>
      <c r="AG27" s="50">
        <f>SUM(AC27:AF27)</f>
        <v>501</v>
      </c>
      <c r="AH27" s="30">
        <v>86</v>
      </c>
      <c r="AI27" s="19">
        <v>72</v>
      </c>
      <c r="AJ27" s="19">
        <v>41</v>
      </c>
      <c r="AK27" s="19">
        <v>53</v>
      </c>
      <c r="AL27" s="50">
        <f>SUM(AH27:AK27)</f>
        <v>252</v>
      </c>
    </row>
    <row r="28" spans="3:38">
      <c r="C28" s="38">
        <v>39140</v>
      </c>
      <c r="D28" s="30">
        <v>62</v>
      </c>
      <c r="E28" s="19">
        <v>54</v>
      </c>
      <c r="F28" s="19">
        <v>27</v>
      </c>
      <c r="G28" s="19">
        <v>34</v>
      </c>
      <c r="H28" s="50">
        <f>SUM(D28:G28)</f>
        <v>177</v>
      </c>
      <c r="I28" s="30">
        <v>0</v>
      </c>
      <c r="J28" s="19">
        <v>10</v>
      </c>
      <c r="K28" s="19">
        <v>0</v>
      </c>
      <c r="L28" s="19">
        <v>1</v>
      </c>
      <c r="M28" s="50">
        <v>11</v>
      </c>
      <c r="O28" s="38">
        <v>39163</v>
      </c>
      <c r="P28" s="30">
        <v>82</v>
      </c>
      <c r="Q28" s="19">
        <v>57</v>
      </c>
      <c r="R28" s="19">
        <v>41</v>
      </c>
      <c r="S28" s="19">
        <v>40</v>
      </c>
      <c r="T28" s="50">
        <f>SUM(P28:S28)</f>
        <v>220</v>
      </c>
      <c r="U28" s="30">
        <v>6</v>
      </c>
      <c r="V28" s="19">
        <v>28</v>
      </c>
      <c r="W28" s="19">
        <v>25</v>
      </c>
      <c r="X28" s="19">
        <v>13</v>
      </c>
      <c r="Y28" s="50">
        <f>SUM(U28:X28)</f>
        <v>72</v>
      </c>
      <c r="AB28" s="38">
        <v>39224</v>
      </c>
      <c r="AC28" s="30">
        <v>166</v>
      </c>
      <c r="AD28" s="19">
        <v>78</v>
      </c>
      <c r="AE28" s="19">
        <v>100</v>
      </c>
      <c r="AF28" s="19">
        <v>13</v>
      </c>
      <c r="AG28" s="50">
        <f>SUM(AC28:AF28)</f>
        <v>357</v>
      </c>
      <c r="AH28" s="30">
        <v>21</v>
      </c>
      <c r="AI28" s="19">
        <v>8</v>
      </c>
      <c r="AJ28" s="19">
        <v>24</v>
      </c>
      <c r="AK28" s="19">
        <v>9</v>
      </c>
      <c r="AL28" s="50">
        <f>SUM(AH28:AK28)</f>
        <v>62</v>
      </c>
    </row>
    <row r="29" spans="3:38">
      <c r="C29" s="38">
        <v>39141</v>
      </c>
      <c r="D29" s="30"/>
      <c r="E29" s="19"/>
      <c r="F29" s="19"/>
      <c r="G29" s="19"/>
      <c r="H29" s="50"/>
      <c r="I29" s="30"/>
      <c r="J29" s="19"/>
      <c r="K29" s="19"/>
      <c r="L29" s="19"/>
      <c r="M29" s="50"/>
      <c r="O29" s="38">
        <v>39164</v>
      </c>
      <c r="P29" s="30">
        <v>4</v>
      </c>
      <c r="Q29" s="19">
        <v>9</v>
      </c>
      <c r="R29" s="19">
        <v>5</v>
      </c>
      <c r="S29" s="19">
        <v>7</v>
      </c>
      <c r="T29" s="50">
        <f>SUM(P29:S29)</f>
        <v>25</v>
      </c>
      <c r="U29" s="30"/>
      <c r="V29" s="19"/>
      <c r="W29" s="19"/>
      <c r="X29" s="19"/>
      <c r="Y29" s="50"/>
      <c r="AB29" s="38">
        <v>39225</v>
      </c>
      <c r="AC29" s="30">
        <v>38</v>
      </c>
      <c r="AD29" s="19">
        <v>18</v>
      </c>
      <c r="AE29" s="19">
        <v>61</v>
      </c>
      <c r="AF29" s="19">
        <v>21</v>
      </c>
      <c r="AG29" s="50">
        <f>SUM(AC29:AF29)</f>
        <v>138</v>
      </c>
      <c r="AH29" s="30">
        <v>27</v>
      </c>
      <c r="AI29" s="19">
        <v>4</v>
      </c>
      <c r="AJ29" s="19">
        <v>20</v>
      </c>
      <c r="AK29" s="19">
        <v>18</v>
      </c>
      <c r="AL29" s="50">
        <f>SUM(AH29:AK29)</f>
        <v>69</v>
      </c>
    </row>
    <row r="30" spans="3:38">
      <c r="C30" s="27" t="s">
        <v>34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O30" s="38">
        <v>39165</v>
      </c>
      <c r="P30" s="30"/>
      <c r="Q30" s="19"/>
      <c r="R30" s="19"/>
      <c r="S30" s="19"/>
      <c r="T30" s="50"/>
      <c r="U30" s="30"/>
      <c r="V30" s="19"/>
      <c r="W30" s="19"/>
      <c r="X30" s="19"/>
      <c r="Y30" s="50"/>
      <c r="AB30" s="38">
        <v>39226</v>
      </c>
      <c r="AC30" s="30">
        <v>54</v>
      </c>
      <c r="AD30" s="19">
        <v>40</v>
      </c>
      <c r="AE30" s="19">
        <v>41</v>
      </c>
      <c r="AF30" s="19">
        <v>37</v>
      </c>
      <c r="AG30" s="50">
        <f>SUM(AC30:AF30)</f>
        <v>172</v>
      </c>
      <c r="AH30" s="30">
        <v>77</v>
      </c>
      <c r="AI30" s="19">
        <v>96</v>
      </c>
      <c r="AJ30" s="19">
        <v>59</v>
      </c>
      <c r="AK30" s="19">
        <v>24</v>
      </c>
      <c r="AL30" s="50">
        <f>SUM(AH30:AK30)</f>
        <v>256</v>
      </c>
    </row>
    <row r="31" spans="3:38"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O31" s="38">
        <v>39166</v>
      </c>
      <c r="P31" s="30"/>
      <c r="Q31" s="19"/>
      <c r="R31" s="19"/>
      <c r="S31" s="19"/>
      <c r="T31" s="50"/>
      <c r="U31" s="30"/>
      <c r="V31" s="19"/>
      <c r="W31" s="19"/>
      <c r="X31" s="19"/>
      <c r="Y31" s="50"/>
      <c r="AB31" s="38">
        <v>39227</v>
      </c>
      <c r="AC31" s="30">
        <v>118</v>
      </c>
      <c r="AD31" s="19">
        <v>64</v>
      </c>
      <c r="AE31" s="19">
        <v>55</v>
      </c>
      <c r="AF31" s="19">
        <v>52</v>
      </c>
      <c r="AG31" s="50">
        <f>SUM(AC31:AF31)</f>
        <v>289</v>
      </c>
      <c r="AH31" s="30">
        <v>83</v>
      </c>
      <c r="AI31" s="19">
        <v>52</v>
      </c>
      <c r="AJ31" s="19">
        <v>31</v>
      </c>
      <c r="AK31" s="19">
        <v>40</v>
      </c>
      <c r="AL31" s="50">
        <f>SUM(AH31:AK31)</f>
        <v>206</v>
      </c>
    </row>
    <row r="32" spans="3:38"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O32" s="38">
        <v>39167</v>
      </c>
      <c r="P32" s="30">
        <v>18</v>
      </c>
      <c r="Q32" s="19">
        <v>103</v>
      </c>
      <c r="R32" s="19">
        <v>63</v>
      </c>
      <c r="S32" s="19">
        <v>16</v>
      </c>
      <c r="T32" s="50">
        <f>SUM(P32:S32)</f>
        <v>200</v>
      </c>
      <c r="U32" s="30">
        <v>16</v>
      </c>
      <c r="V32" s="19">
        <v>18</v>
      </c>
      <c r="W32" s="19">
        <v>5</v>
      </c>
      <c r="X32" s="19">
        <v>17</v>
      </c>
      <c r="Y32" s="50">
        <f>SUM(U32:X32)</f>
        <v>56</v>
      </c>
      <c r="AB32" s="38">
        <v>39228</v>
      </c>
      <c r="AC32" s="57"/>
      <c r="AD32" s="58"/>
      <c r="AE32" s="58"/>
      <c r="AF32" s="58"/>
      <c r="AG32" s="59"/>
      <c r="AH32" s="57"/>
      <c r="AI32" s="58"/>
      <c r="AJ32" s="58"/>
      <c r="AK32" s="58"/>
      <c r="AL32" s="59"/>
    </row>
    <row r="33" spans="3:38"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O33" s="38">
        <v>39168</v>
      </c>
      <c r="P33" s="30">
        <v>24</v>
      </c>
      <c r="Q33" s="19">
        <v>88</v>
      </c>
      <c r="R33" s="19">
        <v>100</v>
      </c>
      <c r="S33" s="19">
        <v>7</v>
      </c>
      <c r="T33" s="50">
        <f>SUM(P33:S33)</f>
        <v>219</v>
      </c>
      <c r="U33" s="30">
        <v>33</v>
      </c>
      <c r="V33" s="19">
        <v>62</v>
      </c>
      <c r="W33" s="19">
        <v>19</v>
      </c>
      <c r="X33" s="19">
        <v>9</v>
      </c>
      <c r="Y33" s="50">
        <f>SUM(U33:X33)</f>
        <v>123</v>
      </c>
      <c r="AB33" s="38">
        <v>39229</v>
      </c>
      <c r="AC33" s="57"/>
      <c r="AD33" s="58"/>
      <c r="AE33" s="58"/>
      <c r="AF33" s="58"/>
      <c r="AG33" s="59"/>
      <c r="AH33" s="57"/>
      <c r="AI33" s="58"/>
      <c r="AJ33" s="58"/>
      <c r="AK33" s="58"/>
      <c r="AL33" s="59"/>
    </row>
    <row r="34" spans="3:38"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O34" s="38">
        <v>39169</v>
      </c>
      <c r="P34" s="30">
        <v>8</v>
      </c>
      <c r="Q34" s="19">
        <v>15</v>
      </c>
      <c r="R34" s="19">
        <v>8</v>
      </c>
      <c r="S34" s="19">
        <v>12</v>
      </c>
      <c r="T34" s="50">
        <f>SUM(P34:S34)</f>
        <v>43</v>
      </c>
      <c r="U34" s="30">
        <v>39</v>
      </c>
      <c r="V34" s="19">
        <v>31</v>
      </c>
      <c r="W34" s="19">
        <v>34</v>
      </c>
      <c r="X34" s="19">
        <v>22</v>
      </c>
      <c r="Y34" s="50">
        <f>SUM(U34:X34)</f>
        <v>126</v>
      </c>
      <c r="AB34" s="38">
        <v>39230</v>
      </c>
      <c r="AC34" s="30">
        <v>152</v>
      </c>
      <c r="AD34" s="19">
        <v>164</v>
      </c>
      <c r="AE34" s="19">
        <v>68</v>
      </c>
      <c r="AF34" s="19">
        <v>74</v>
      </c>
      <c r="AG34" s="50">
        <f>SUM(AC34:AF34)</f>
        <v>458</v>
      </c>
      <c r="AH34" s="30">
        <v>62</v>
      </c>
      <c r="AI34" s="19">
        <v>91</v>
      </c>
      <c r="AJ34" s="19">
        <v>24</v>
      </c>
      <c r="AK34" s="19">
        <v>23</v>
      </c>
      <c r="AL34" s="50">
        <f>SUM(AH34:AK34)</f>
        <v>200</v>
      </c>
    </row>
    <row r="35" spans="3:38"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O35" s="38">
        <v>39170</v>
      </c>
      <c r="P35" s="30">
        <v>33</v>
      </c>
      <c r="Q35" s="19">
        <v>56</v>
      </c>
      <c r="R35" s="19">
        <v>10</v>
      </c>
      <c r="S35" s="19">
        <v>27</v>
      </c>
      <c r="T35" s="50">
        <f>SUM(P35:S35)</f>
        <v>126</v>
      </c>
      <c r="U35" s="30">
        <v>42</v>
      </c>
      <c r="V35" s="19">
        <v>28</v>
      </c>
      <c r="W35" s="19">
        <v>41</v>
      </c>
      <c r="X35" s="19">
        <v>19</v>
      </c>
      <c r="Y35" s="50">
        <f>SUM(U35:X35)</f>
        <v>130</v>
      </c>
      <c r="AB35" s="38">
        <v>39231</v>
      </c>
      <c r="AC35" s="30">
        <v>38</v>
      </c>
      <c r="AD35" s="19">
        <v>27</v>
      </c>
      <c r="AE35" s="19">
        <v>22</v>
      </c>
      <c r="AF35" s="19">
        <v>31</v>
      </c>
      <c r="AG35" s="50">
        <f>SUM(AC35:AF35)</f>
        <v>118</v>
      </c>
      <c r="AH35" s="30">
        <v>18</v>
      </c>
      <c r="AI35" s="19">
        <v>57</v>
      </c>
      <c r="AJ35" s="19">
        <v>9</v>
      </c>
      <c r="AK35" s="19">
        <v>27</v>
      </c>
      <c r="AL35" s="50">
        <f>SUM(AH35:AK35)</f>
        <v>111</v>
      </c>
    </row>
    <row r="36" spans="3:38"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O36" s="38">
        <v>39171</v>
      </c>
      <c r="P36" s="30">
        <v>14</v>
      </c>
      <c r="Q36" s="19">
        <v>41</v>
      </c>
      <c r="R36" s="19">
        <v>19</v>
      </c>
      <c r="S36" s="19">
        <v>11</v>
      </c>
      <c r="T36" s="50">
        <f>SUM(P36:S36)</f>
        <v>85</v>
      </c>
      <c r="U36" s="30">
        <v>57</v>
      </c>
      <c r="V36" s="19">
        <v>48</v>
      </c>
      <c r="W36" s="19">
        <v>33</v>
      </c>
      <c r="X36" s="19">
        <v>16</v>
      </c>
      <c r="Y36" s="50">
        <f>SUM(U36:X36)</f>
        <v>154</v>
      </c>
      <c r="AB36" s="38">
        <v>39232</v>
      </c>
      <c r="AC36" s="30">
        <v>5</v>
      </c>
      <c r="AD36" s="19">
        <v>14</v>
      </c>
      <c r="AE36" s="19">
        <v>11</v>
      </c>
      <c r="AF36" s="19">
        <v>3</v>
      </c>
      <c r="AG36" s="50">
        <f>SUM(AC36:AF36)</f>
        <v>33</v>
      </c>
      <c r="AH36" s="30">
        <v>12</v>
      </c>
      <c r="AI36" s="19">
        <v>14</v>
      </c>
      <c r="AJ36" s="19">
        <v>9</v>
      </c>
      <c r="AK36" s="19">
        <v>16</v>
      </c>
      <c r="AL36" s="50">
        <f>SUM(AH36:AK36)</f>
        <v>51</v>
      </c>
    </row>
    <row r="37" spans="3:38"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O37" s="38">
        <v>39172</v>
      </c>
      <c r="P37" s="30"/>
      <c r="Q37" s="19"/>
      <c r="R37" s="19"/>
      <c r="S37" s="19"/>
      <c r="T37" s="50"/>
      <c r="U37" s="30"/>
      <c r="V37" s="19"/>
      <c r="W37" s="19"/>
      <c r="X37" s="19"/>
      <c r="Y37" s="50"/>
      <c r="AB37" s="38">
        <v>39233</v>
      </c>
      <c r="AC37" s="30">
        <v>36</v>
      </c>
      <c r="AD37" s="19">
        <v>12</v>
      </c>
      <c r="AE37" s="19">
        <v>24</v>
      </c>
      <c r="AF37" s="19">
        <v>18</v>
      </c>
      <c r="AG37" s="50">
        <f>SUM(AC37:AF37)</f>
        <v>90</v>
      </c>
      <c r="AH37" s="30">
        <v>29</v>
      </c>
      <c r="AI37" s="19">
        <v>32</v>
      </c>
      <c r="AJ37" s="19">
        <v>24</v>
      </c>
      <c r="AK37" s="19">
        <v>19</v>
      </c>
      <c r="AL37" s="50">
        <f>SUM(AH37:AK37)</f>
        <v>104</v>
      </c>
    </row>
    <row r="38" spans="3:38"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O38" s="38">
        <v>39173</v>
      </c>
      <c r="P38" s="30">
        <v>27</v>
      </c>
      <c r="Q38" s="19">
        <v>52</v>
      </c>
      <c r="R38" s="19">
        <v>41</v>
      </c>
      <c r="S38" s="19">
        <v>18</v>
      </c>
      <c r="T38" s="50">
        <f t="shared" ref="T38:T43" si="0">SUM(P38:S38)</f>
        <v>138</v>
      </c>
      <c r="U38" s="30"/>
      <c r="V38" s="19"/>
      <c r="W38" s="19"/>
      <c r="X38" s="19"/>
      <c r="Y38" s="50"/>
      <c r="AB38" s="38">
        <v>39234</v>
      </c>
      <c r="AC38" s="30">
        <v>21</v>
      </c>
      <c r="AD38" s="19">
        <v>89</v>
      </c>
      <c r="AE38" s="19">
        <v>29</v>
      </c>
      <c r="AF38" s="19">
        <v>41</v>
      </c>
      <c r="AG38" s="50">
        <f>SUM(AC38:AF38)</f>
        <v>180</v>
      </c>
      <c r="AH38" s="30">
        <v>92</v>
      </c>
      <c r="AI38" s="19">
        <v>49</v>
      </c>
      <c r="AJ38" s="19">
        <v>46</v>
      </c>
      <c r="AK38" s="19">
        <v>22</v>
      </c>
      <c r="AL38" s="50">
        <f>SUM(AH38:AK38)</f>
        <v>209</v>
      </c>
    </row>
    <row r="39" spans="3:38"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O39" s="38">
        <v>39174</v>
      </c>
      <c r="P39" s="30">
        <v>21</v>
      </c>
      <c r="Q39" s="19">
        <v>41</v>
      </c>
      <c r="R39" s="19">
        <v>18</v>
      </c>
      <c r="S39" s="19">
        <v>2</v>
      </c>
      <c r="T39" s="50">
        <f t="shared" si="0"/>
        <v>82</v>
      </c>
      <c r="U39" s="30">
        <f>SUM(U13:U38)</f>
        <v>385</v>
      </c>
      <c r="V39" s="19">
        <f>SUM(V13:V38)</f>
        <v>778</v>
      </c>
      <c r="W39" s="19">
        <f>SUM(W13:W38)</f>
        <v>357</v>
      </c>
      <c r="X39" s="19">
        <f>SUM(X13:X38)</f>
        <v>220</v>
      </c>
      <c r="Y39" s="50">
        <f>SUM(U39:X39)</f>
        <v>1740</v>
      </c>
      <c r="AB39" s="38">
        <v>39235</v>
      </c>
      <c r="AC39" s="57"/>
      <c r="AD39" s="58"/>
      <c r="AE39" s="58"/>
      <c r="AF39" s="58"/>
      <c r="AG39" s="59"/>
      <c r="AH39" s="57"/>
      <c r="AI39" s="58"/>
      <c r="AJ39" s="58"/>
      <c r="AK39" s="58"/>
      <c r="AL39" s="59"/>
    </row>
    <row r="40" spans="3:38"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O40" s="38">
        <v>39175</v>
      </c>
      <c r="P40" s="30">
        <v>44</v>
      </c>
      <c r="Q40" s="19">
        <v>54</v>
      </c>
      <c r="R40" s="19">
        <v>44</v>
      </c>
      <c r="S40" s="19">
        <v>21</v>
      </c>
      <c r="T40" s="50">
        <f t="shared" si="0"/>
        <v>163</v>
      </c>
      <c r="U40" s="30"/>
      <c r="V40" s="19"/>
      <c r="W40" s="19"/>
      <c r="X40" s="19"/>
      <c r="Y40" s="50"/>
      <c r="AB40" s="38">
        <v>39236</v>
      </c>
      <c r="AC40" s="57"/>
      <c r="AD40" s="58"/>
      <c r="AE40" s="58"/>
      <c r="AF40" s="58"/>
      <c r="AG40" s="59"/>
      <c r="AH40" s="57"/>
      <c r="AI40" s="58"/>
      <c r="AJ40" s="58"/>
      <c r="AK40" s="58"/>
      <c r="AL40" s="59"/>
    </row>
    <row r="41" spans="3:38"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O41" s="38">
        <v>39176</v>
      </c>
      <c r="P41" s="30">
        <v>15</v>
      </c>
      <c r="Q41" s="19">
        <v>18</v>
      </c>
      <c r="R41" s="19">
        <v>38</v>
      </c>
      <c r="S41" s="19">
        <v>15</v>
      </c>
      <c r="T41" s="50">
        <f t="shared" si="0"/>
        <v>86</v>
      </c>
      <c r="U41" s="30">
        <v>50</v>
      </c>
      <c r="V41" s="19">
        <v>83</v>
      </c>
      <c r="W41" s="19">
        <v>74</v>
      </c>
      <c r="X41" s="19">
        <v>30</v>
      </c>
      <c r="Y41" s="50">
        <f>SUM(U41:X41)</f>
        <v>237</v>
      </c>
      <c r="AB41" s="38">
        <v>39237</v>
      </c>
      <c r="AC41" s="30">
        <v>275</v>
      </c>
      <c r="AD41" s="19">
        <v>144</v>
      </c>
      <c r="AE41" s="19">
        <v>120</v>
      </c>
      <c r="AF41" s="19">
        <v>67</v>
      </c>
      <c r="AG41" s="50">
        <f>SUM(AC41:AF41)</f>
        <v>606</v>
      </c>
      <c r="AH41" s="30">
        <v>75</v>
      </c>
      <c r="AI41" s="19">
        <v>32</v>
      </c>
      <c r="AJ41" s="19">
        <v>58</v>
      </c>
      <c r="AK41" s="19">
        <v>69</v>
      </c>
      <c r="AL41" s="50">
        <f>SUM(AH41:AK41)</f>
        <v>234</v>
      </c>
    </row>
    <row r="42" spans="3:38"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O42" s="38">
        <v>39177</v>
      </c>
      <c r="P42" s="30">
        <v>27</v>
      </c>
      <c r="Q42" s="19">
        <v>64</v>
      </c>
      <c r="R42" s="19">
        <v>16</v>
      </c>
      <c r="S42" s="19">
        <v>4</v>
      </c>
      <c r="T42" s="50">
        <f t="shared" si="0"/>
        <v>111</v>
      </c>
      <c r="U42" s="30">
        <v>37</v>
      </c>
      <c r="V42" s="19">
        <v>64</v>
      </c>
      <c r="W42" s="19">
        <v>44</v>
      </c>
      <c r="X42" s="19">
        <v>20</v>
      </c>
      <c r="Y42" s="50">
        <f>SUM(U42:X42)</f>
        <v>165</v>
      </c>
      <c r="AB42" s="38">
        <v>39238</v>
      </c>
      <c r="AC42" s="30"/>
      <c r="AD42" s="19"/>
      <c r="AE42" s="19"/>
      <c r="AF42" s="19"/>
      <c r="AG42" s="50"/>
      <c r="AH42" s="30">
        <v>43</v>
      </c>
      <c r="AI42" s="19">
        <v>63</v>
      </c>
      <c r="AJ42" s="19">
        <v>19</v>
      </c>
      <c r="AK42" s="19">
        <v>48</v>
      </c>
      <c r="AL42" s="50">
        <f>SUM(AH42:AK42)</f>
        <v>173</v>
      </c>
    </row>
    <row r="43" spans="3:38"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O43" s="38">
        <v>39178</v>
      </c>
      <c r="P43" s="30">
        <v>10</v>
      </c>
      <c r="Q43" s="19">
        <v>4</v>
      </c>
      <c r="R43" s="19">
        <v>3</v>
      </c>
      <c r="S43" s="19">
        <v>18</v>
      </c>
      <c r="T43" s="50">
        <f t="shared" si="0"/>
        <v>35</v>
      </c>
      <c r="U43" s="30"/>
      <c r="V43" s="19"/>
      <c r="W43" s="19"/>
      <c r="X43" s="19"/>
      <c r="Y43" s="50"/>
      <c r="AB43" s="38">
        <v>39239</v>
      </c>
      <c r="AC43" s="30">
        <v>64</v>
      </c>
      <c r="AD43" s="19">
        <v>22</v>
      </c>
      <c r="AE43" s="19">
        <v>41</v>
      </c>
      <c r="AF43" s="19">
        <v>2</v>
      </c>
      <c r="AG43" s="50">
        <f>SUM(AC43:AF43)</f>
        <v>129</v>
      </c>
      <c r="AH43" s="30">
        <v>28</v>
      </c>
      <c r="AI43" s="19">
        <v>51</v>
      </c>
      <c r="AJ43" s="19">
        <v>9</v>
      </c>
      <c r="AK43" s="19">
        <v>30</v>
      </c>
      <c r="AL43" s="50">
        <f>SUM(AH43:AK43)</f>
        <v>118</v>
      </c>
    </row>
    <row r="44" spans="3:38"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O44" s="38">
        <v>39179</v>
      </c>
      <c r="P44" s="57"/>
      <c r="Q44" s="58"/>
      <c r="R44" s="58"/>
      <c r="S44" s="58"/>
      <c r="T44" s="59"/>
      <c r="U44" s="57"/>
      <c r="V44" s="58"/>
      <c r="W44" s="58"/>
      <c r="X44" s="58"/>
      <c r="Y44" s="59"/>
      <c r="AB44" s="38">
        <v>39240</v>
      </c>
      <c r="AC44" s="30">
        <v>37</v>
      </c>
      <c r="AD44" s="19">
        <v>19</v>
      </c>
      <c r="AE44" s="19">
        <v>21</v>
      </c>
      <c r="AF44" s="19">
        <v>7</v>
      </c>
      <c r="AG44" s="50">
        <f>SUM(AC44:AF44)</f>
        <v>84</v>
      </c>
      <c r="AH44" s="30">
        <v>126</v>
      </c>
      <c r="AI44" s="19">
        <v>67</v>
      </c>
      <c r="AJ44" s="19">
        <v>29</v>
      </c>
      <c r="AK44" s="19">
        <v>16</v>
      </c>
      <c r="AL44" s="50">
        <f>SUM(AH44:AK44)</f>
        <v>238</v>
      </c>
    </row>
    <row r="45" spans="3:38"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O45" s="38">
        <v>39180</v>
      </c>
      <c r="P45" s="57"/>
      <c r="Q45" s="58"/>
      <c r="R45" s="58"/>
      <c r="S45" s="58"/>
      <c r="T45" s="59"/>
      <c r="U45" s="57"/>
      <c r="V45" s="58"/>
      <c r="W45" s="58"/>
      <c r="X45" s="58"/>
      <c r="Y45" s="59"/>
      <c r="AB45" s="38">
        <v>39241</v>
      </c>
      <c r="AC45" s="30"/>
      <c r="AD45" s="19"/>
      <c r="AE45" s="19"/>
      <c r="AF45" s="19"/>
      <c r="AG45" s="50"/>
      <c r="AH45" s="30"/>
      <c r="AI45" s="19"/>
      <c r="AJ45" s="19"/>
      <c r="AK45" s="19"/>
      <c r="AL45" s="50"/>
    </row>
    <row r="46" spans="3:38"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O46" s="38">
        <v>39181</v>
      </c>
      <c r="P46" s="30">
        <v>9</v>
      </c>
      <c r="Q46" s="19">
        <v>41</v>
      </c>
      <c r="R46" s="19">
        <v>32</v>
      </c>
      <c r="S46" s="19">
        <v>15</v>
      </c>
      <c r="T46" s="50">
        <f>SUM(P46:S46)</f>
        <v>97</v>
      </c>
      <c r="U46" s="30"/>
      <c r="V46" s="19"/>
      <c r="W46" s="19"/>
      <c r="X46" s="19"/>
      <c r="Y46" s="50"/>
      <c r="AB46" s="38">
        <v>39242</v>
      </c>
      <c r="AC46" s="57"/>
      <c r="AD46" s="58"/>
      <c r="AE46" s="58"/>
      <c r="AF46" s="58"/>
      <c r="AG46" s="59"/>
      <c r="AH46" s="57"/>
      <c r="AI46" s="58"/>
      <c r="AJ46" s="58"/>
      <c r="AK46" s="58"/>
      <c r="AL46" s="59"/>
    </row>
    <row r="47" spans="3:38"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O47" s="38">
        <v>39182</v>
      </c>
      <c r="P47" s="30">
        <v>20</v>
      </c>
      <c r="Q47" s="19">
        <v>56</v>
      </c>
      <c r="R47" s="19">
        <v>51</v>
      </c>
      <c r="S47" s="19">
        <v>4</v>
      </c>
      <c r="T47" s="50">
        <f>SUM(P47:S47)</f>
        <v>131</v>
      </c>
      <c r="U47" s="30"/>
      <c r="V47" s="19"/>
      <c r="W47" s="19"/>
      <c r="X47" s="19"/>
      <c r="Y47" s="50"/>
      <c r="AB47" s="38">
        <v>39243</v>
      </c>
      <c r="AC47" s="57"/>
      <c r="AD47" s="58"/>
      <c r="AE47" s="58"/>
      <c r="AF47" s="58"/>
      <c r="AG47" s="59"/>
      <c r="AH47" s="57"/>
      <c r="AI47" s="58"/>
      <c r="AJ47" s="58"/>
      <c r="AK47" s="58"/>
      <c r="AL47" s="59"/>
    </row>
    <row r="48" spans="3:38"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O48" s="38">
        <v>39183</v>
      </c>
      <c r="P48" s="30">
        <v>15</v>
      </c>
      <c r="Q48" s="19">
        <v>38</v>
      </c>
      <c r="R48" s="19">
        <v>24</v>
      </c>
      <c r="S48" s="19">
        <v>11</v>
      </c>
      <c r="T48" s="50">
        <f>SUM(P48:S48)</f>
        <v>88</v>
      </c>
      <c r="U48" s="30">
        <v>69</v>
      </c>
      <c r="V48" s="19">
        <v>53</v>
      </c>
      <c r="W48" s="19">
        <v>39</v>
      </c>
      <c r="X48" s="19">
        <v>40</v>
      </c>
      <c r="Y48" s="50">
        <f>SUM(U48:X48)</f>
        <v>201</v>
      </c>
      <c r="AB48" s="38">
        <v>39244</v>
      </c>
      <c r="AC48" s="30"/>
      <c r="AD48" s="19"/>
      <c r="AE48" s="19"/>
      <c r="AF48" s="19"/>
      <c r="AG48" s="50"/>
      <c r="AH48" s="30">
        <v>96</v>
      </c>
      <c r="AI48" s="19">
        <v>52</v>
      </c>
      <c r="AJ48" s="19">
        <v>90</v>
      </c>
      <c r="AK48" s="19">
        <v>87</v>
      </c>
      <c r="AL48" s="50">
        <f>SUM(AH48:AK48)</f>
        <v>325</v>
      </c>
    </row>
    <row r="49" spans="3:38"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O49" s="38">
        <v>39184</v>
      </c>
      <c r="P49" s="30">
        <v>24</v>
      </c>
      <c r="Q49" s="19">
        <v>51</v>
      </c>
      <c r="R49" s="19">
        <v>47</v>
      </c>
      <c r="S49" s="19">
        <v>10</v>
      </c>
      <c r="T49" s="50">
        <f>SUM(P49:S49)</f>
        <v>132</v>
      </c>
      <c r="U49" s="30">
        <v>126</v>
      </c>
      <c r="V49" s="19">
        <v>119</v>
      </c>
      <c r="W49" s="19">
        <v>74</v>
      </c>
      <c r="X49" s="19">
        <v>37</v>
      </c>
      <c r="Y49" s="50">
        <f>SUM(U49:X49)</f>
        <v>356</v>
      </c>
      <c r="AB49" s="38">
        <v>39245</v>
      </c>
      <c r="AC49" s="30">
        <v>184</v>
      </c>
      <c r="AD49" s="19">
        <v>108</v>
      </c>
      <c r="AE49" s="19">
        <v>127</v>
      </c>
      <c r="AF49" s="19">
        <v>7</v>
      </c>
      <c r="AG49" s="50">
        <f>SUM(AC49:AF49)</f>
        <v>426</v>
      </c>
      <c r="AH49" s="30">
        <v>59</v>
      </c>
      <c r="AI49" s="19">
        <v>22</v>
      </c>
      <c r="AJ49" s="19">
        <v>27</v>
      </c>
      <c r="AK49" s="19">
        <v>19</v>
      </c>
      <c r="AL49" s="50">
        <f>SUM(AH49:AK49)</f>
        <v>127</v>
      </c>
    </row>
    <row r="50" spans="3:38"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O50" s="38">
        <v>39185</v>
      </c>
      <c r="P50" s="30"/>
      <c r="Q50" s="19"/>
      <c r="R50" s="19"/>
      <c r="S50" s="19"/>
      <c r="T50" s="50"/>
      <c r="U50" s="30">
        <v>67</v>
      </c>
      <c r="V50" s="19">
        <v>23</v>
      </c>
      <c r="W50" s="19">
        <v>94</v>
      </c>
      <c r="X50" s="19">
        <v>22</v>
      </c>
      <c r="Y50" s="50">
        <f>SUM(U50:X50)</f>
        <v>206</v>
      </c>
      <c r="AB50" s="38">
        <v>39246</v>
      </c>
      <c r="AC50" s="30">
        <v>156</v>
      </c>
      <c r="AD50" s="19">
        <v>23</v>
      </c>
      <c r="AE50" s="19">
        <v>41</v>
      </c>
      <c r="AF50" s="19">
        <v>12</v>
      </c>
      <c r="AG50" s="50">
        <f>SUM(AC50:AF50)</f>
        <v>232</v>
      </c>
      <c r="AH50" s="30">
        <v>62</v>
      </c>
      <c r="AI50" s="19">
        <v>12</v>
      </c>
      <c r="AJ50" s="19">
        <v>23</v>
      </c>
      <c r="AK50" s="19">
        <v>8</v>
      </c>
      <c r="AL50" s="50">
        <f>SUM(AH50:AK50)</f>
        <v>105</v>
      </c>
    </row>
    <row r="51" spans="3:38"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O51" s="38">
        <v>39186</v>
      </c>
      <c r="P51" s="19"/>
      <c r="Q51" s="19"/>
      <c r="R51" s="19"/>
      <c r="S51" s="19"/>
      <c r="T51" s="19"/>
      <c r="U51" s="19"/>
      <c r="V51" s="19"/>
      <c r="W51" s="19"/>
      <c r="X51" s="19"/>
      <c r="Y51" s="19"/>
      <c r="AB51" s="38">
        <v>39247</v>
      </c>
      <c r="AC51" s="30">
        <v>110</v>
      </c>
      <c r="AD51" s="19">
        <v>71</v>
      </c>
      <c r="AE51" s="19">
        <v>59</v>
      </c>
      <c r="AF51" s="19">
        <v>41</v>
      </c>
      <c r="AG51" s="50">
        <f>SUM(AC51:AF51)</f>
        <v>281</v>
      </c>
      <c r="AH51" s="30"/>
      <c r="AI51" s="19"/>
      <c r="AJ51" s="19"/>
      <c r="AK51" s="19"/>
      <c r="AL51" s="50"/>
    </row>
    <row r="52" spans="3:38"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O52" s="38">
        <v>39187</v>
      </c>
      <c r="P52" s="19"/>
      <c r="Q52" s="19"/>
      <c r="R52" s="19"/>
      <c r="S52" s="19"/>
      <c r="T52" s="19"/>
      <c r="U52" s="19"/>
      <c r="V52" s="19"/>
      <c r="W52" s="19"/>
      <c r="X52" s="19"/>
      <c r="Y52" s="19"/>
      <c r="AB52" s="38">
        <v>39248</v>
      </c>
      <c r="AC52" s="30"/>
      <c r="AD52" s="19"/>
      <c r="AE52" s="19"/>
      <c r="AF52" s="19"/>
      <c r="AG52" s="50"/>
      <c r="AH52" s="30"/>
      <c r="AI52" s="19"/>
      <c r="AJ52" s="19"/>
      <c r="AK52" s="19"/>
      <c r="AL52" s="50"/>
    </row>
    <row r="53" spans="3:38"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O53" s="38">
        <v>39188</v>
      </c>
      <c r="P53" s="57"/>
      <c r="Q53" s="58"/>
      <c r="R53" s="58"/>
      <c r="S53" s="58"/>
      <c r="T53" s="70"/>
      <c r="U53" s="58"/>
      <c r="V53" s="58"/>
      <c r="W53" s="58"/>
      <c r="X53" s="58"/>
      <c r="Y53" s="70"/>
      <c r="AB53" s="38">
        <v>39249</v>
      </c>
      <c r="AC53" s="57"/>
      <c r="AD53" s="58"/>
      <c r="AE53" s="58"/>
      <c r="AF53" s="58"/>
      <c r="AG53" s="59"/>
      <c r="AH53" s="57"/>
      <c r="AI53" s="58"/>
      <c r="AJ53" s="58"/>
      <c r="AK53" s="58"/>
      <c r="AL53" s="59"/>
    </row>
    <row r="54" spans="3:38"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O54" s="38">
        <v>39189</v>
      </c>
      <c r="P54" s="57"/>
      <c r="Q54" s="58"/>
      <c r="R54" s="58"/>
      <c r="S54" s="58"/>
      <c r="T54" s="59"/>
      <c r="U54" s="57"/>
      <c r="V54" s="58"/>
      <c r="W54" s="58"/>
      <c r="X54" s="58"/>
      <c r="Y54" s="59"/>
      <c r="AB54" s="38">
        <v>39250</v>
      </c>
      <c r="AC54" s="57"/>
      <c r="AD54" s="58"/>
      <c r="AE54" s="58"/>
      <c r="AF54" s="58"/>
      <c r="AG54" s="59"/>
      <c r="AH54" s="57"/>
      <c r="AI54" s="58"/>
      <c r="AJ54" s="58"/>
      <c r="AK54" s="58"/>
      <c r="AL54" s="59"/>
    </row>
    <row r="55" spans="3:38"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O55" s="38">
        <v>39190</v>
      </c>
      <c r="P55" s="30"/>
      <c r="Q55" s="19"/>
      <c r="R55" s="19"/>
      <c r="S55" s="19"/>
      <c r="T55" s="50"/>
      <c r="U55" s="30"/>
      <c r="V55" s="19"/>
      <c r="W55" s="19"/>
      <c r="X55" s="19"/>
      <c r="Y55" s="50"/>
      <c r="AB55" s="38">
        <v>39251</v>
      </c>
      <c r="AC55" s="30">
        <v>172</v>
      </c>
      <c r="AD55" s="19">
        <v>126</v>
      </c>
      <c r="AE55" s="19">
        <v>128</v>
      </c>
      <c r="AF55" s="19">
        <v>138</v>
      </c>
      <c r="AG55" s="50">
        <f>SUM(AC55:AF55)</f>
        <v>564</v>
      </c>
      <c r="AH55" s="30"/>
      <c r="AI55" s="19"/>
      <c r="AJ55" s="19"/>
      <c r="AK55" s="19"/>
      <c r="AL55" s="50"/>
    </row>
    <row r="56" spans="3:38"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O56" s="38">
        <v>39191</v>
      </c>
      <c r="P56" s="30"/>
      <c r="Q56" s="19"/>
      <c r="R56" s="19"/>
      <c r="S56" s="19"/>
      <c r="T56" s="50"/>
      <c r="U56" s="30"/>
      <c r="V56" s="19"/>
      <c r="W56" s="19"/>
      <c r="X56" s="19"/>
      <c r="Y56" s="50"/>
      <c r="AB56" s="38">
        <v>39252</v>
      </c>
      <c r="AC56" s="30"/>
      <c r="AD56" s="19"/>
      <c r="AE56" s="19"/>
      <c r="AF56" s="19"/>
      <c r="AG56" s="50"/>
      <c r="AH56" s="30"/>
      <c r="AI56" s="19"/>
      <c r="AJ56" s="19"/>
      <c r="AK56" s="19"/>
      <c r="AL56" s="50"/>
    </row>
    <row r="57" spans="3:38"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O57" s="38">
        <v>39192</v>
      </c>
      <c r="P57" s="30"/>
      <c r="Q57" s="19"/>
      <c r="R57" s="19"/>
      <c r="S57" s="19"/>
      <c r="T57" s="50"/>
      <c r="U57" s="30"/>
      <c r="V57" s="19"/>
      <c r="W57" s="19"/>
      <c r="X57" s="19"/>
      <c r="Y57" s="50"/>
      <c r="AB57" s="38">
        <v>39253</v>
      </c>
      <c r="AC57" s="30"/>
      <c r="AD57" s="19"/>
      <c r="AE57" s="19"/>
      <c r="AF57" s="19"/>
      <c r="AG57" s="50"/>
      <c r="AH57" s="30"/>
      <c r="AI57" s="19"/>
      <c r="AJ57" s="19"/>
      <c r="AK57" s="19"/>
      <c r="AL57" s="50"/>
    </row>
    <row r="58" spans="3:38"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O58" s="38">
        <v>39193</v>
      </c>
      <c r="P58" s="57"/>
      <c r="Q58" s="58"/>
      <c r="R58" s="58"/>
      <c r="S58" s="58"/>
      <c r="T58" s="59"/>
      <c r="U58" s="57"/>
      <c r="V58" s="58"/>
      <c r="W58" s="58"/>
      <c r="X58" s="58"/>
      <c r="Y58" s="59"/>
      <c r="AB58" s="38">
        <v>39254</v>
      </c>
      <c r="AC58" s="30"/>
      <c r="AD58" s="19"/>
      <c r="AE58" s="19"/>
      <c r="AF58" s="19"/>
      <c r="AG58" s="50"/>
      <c r="AH58" s="30"/>
      <c r="AI58" s="19"/>
      <c r="AJ58" s="19"/>
      <c r="AK58" s="19"/>
      <c r="AL58" s="50"/>
    </row>
    <row r="59" spans="3:38"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O59" s="38">
        <v>39194</v>
      </c>
      <c r="P59" s="57"/>
      <c r="Q59" s="58"/>
      <c r="R59" s="58"/>
      <c r="S59" s="58"/>
      <c r="T59" s="59"/>
      <c r="U59" s="57"/>
      <c r="V59" s="58"/>
      <c r="W59" s="58"/>
      <c r="X59" s="58"/>
      <c r="Y59" s="59"/>
      <c r="AB59" s="38">
        <v>39255</v>
      </c>
      <c r="AC59" s="30"/>
      <c r="AD59" s="19"/>
      <c r="AE59" s="19"/>
      <c r="AF59" s="19"/>
      <c r="AG59" s="50"/>
      <c r="AH59" s="30"/>
      <c r="AI59" s="19"/>
      <c r="AJ59" s="19"/>
      <c r="AK59" s="19"/>
      <c r="AL59" s="50"/>
    </row>
    <row r="60" spans="3:38"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O60" s="38">
        <v>39195</v>
      </c>
      <c r="P60" s="57"/>
      <c r="Q60" s="58"/>
      <c r="R60" s="58"/>
      <c r="S60" s="58"/>
      <c r="T60" s="59"/>
      <c r="U60" s="57"/>
      <c r="V60" s="58"/>
      <c r="W60" s="58"/>
      <c r="X60" s="58"/>
      <c r="Y60" s="59"/>
      <c r="AB60" s="38">
        <v>39256</v>
      </c>
      <c r="AC60" s="30"/>
      <c r="AD60" s="19"/>
      <c r="AE60" s="19"/>
      <c r="AF60" s="19"/>
      <c r="AG60" s="50"/>
      <c r="AH60" s="30"/>
      <c r="AI60" s="19"/>
      <c r="AJ60" s="19"/>
      <c r="AK60" s="19"/>
      <c r="AL60" s="50"/>
    </row>
    <row r="61" spans="3:38"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O61" s="38">
        <v>39196</v>
      </c>
      <c r="P61" s="30">
        <v>41</v>
      </c>
      <c r="Q61" s="19">
        <v>52</v>
      </c>
      <c r="R61" s="19">
        <v>215</v>
      </c>
      <c r="S61" s="19">
        <v>44</v>
      </c>
      <c r="T61" s="50">
        <f>SUM(P61:S61)</f>
        <v>352</v>
      </c>
      <c r="U61" s="30">
        <v>38</v>
      </c>
      <c r="V61" s="19">
        <v>26</v>
      </c>
      <c r="W61" s="19">
        <v>14</v>
      </c>
      <c r="X61" s="19">
        <v>21</v>
      </c>
      <c r="Y61" s="50">
        <f t="shared" ref="Y61:Y67" si="1">SUM(U61:X61)</f>
        <v>99</v>
      </c>
      <c r="AB61" s="38">
        <v>39257</v>
      </c>
      <c r="AC61" s="30"/>
      <c r="AD61" s="19"/>
      <c r="AE61" s="19"/>
      <c r="AF61" s="19"/>
      <c r="AG61" s="50"/>
      <c r="AH61" s="30"/>
      <c r="AI61" s="19"/>
      <c r="AJ61" s="19"/>
      <c r="AK61" s="19"/>
      <c r="AL61" s="50"/>
    </row>
    <row r="62" spans="3:38"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O62" s="38">
        <v>39197</v>
      </c>
      <c r="P62" s="30">
        <v>156</v>
      </c>
      <c r="Q62" s="19">
        <v>71</v>
      </c>
      <c r="R62" s="19">
        <v>114</v>
      </c>
      <c r="S62" s="19">
        <v>97</v>
      </c>
      <c r="T62" s="50">
        <f>SUM(P62:S62)</f>
        <v>438</v>
      </c>
      <c r="U62" s="30">
        <v>24</v>
      </c>
      <c r="V62" s="19">
        <v>15</v>
      </c>
      <c r="W62" s="19">
        <v>23</v>
      </c>
      <c r="X62" s="19">
        <v>18</v>
      </c>
      <c r="Y62" s="50">
        <f t="shared" si="1"/>
        <v>80</v>
      </c>
      <c r="AB62" s="38">
        <v>39258</v>
      </c>
      <c r="AC62" s="30"/>
      <c r="AD62" s="19"/>
      <c r="AE62" s="19"/>
      <c r="AF62" s="19"/>
      <c r="AG62" s="50"/>
      <c r="AH62" s="30"/>
      <c r="AI62" s="19"/>
      <c r="AJ62" s="19"/>
      <c r="AK62" s="19"/>
      <c r="AL62" s="50"/>
    </row>
    <row r="63" spans="3:38"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O63" s="38">
        <v>39198</v>
      </c>
      <c r="P63" s="30">
        <v>46</v>
      </c>
      <c r="Q63" s="19">
        <v>19</v>
      </c>
      <c r="R63" s="19">
        <v>56</v>
      </c>
      <c r="S63" s="19">
        <v>47</v>
      </c>
      <c r="T63" s="50"/>
      <c r="U63" s="30">
        <v>32</v>
      </c>
      <c r="V63" s="19">
        <v>27</v>
      </c>
      <c r="W63" s="19">
        <v>15</v>
      </c>
      <c r="X63" s="19">
        <v>19</v>
      </c>
      <c r="Y63" s="50">
        <f t="shared" si="1"/>
        <v>93</v>
      </c>
      <c r="AB63" s="38">
        <v>39259</v>
      </c>
      <c r="AC63" s="30"/>
      <c r="AD63" s="19"/>
      <c r="AE63" s="19"/>
      <c r="AF63" s="19"/>
      <c r="AG63" s="50"/>
      <c r="AH63" s="30"/>
      <c r="AI63" s="19"/>
      <c r="AJ63" s="19"/>
      <c r="AK63" s="19"/>
      <c r="AL63" s="50"/>
    </row>
    <row r="64" spans="3:38"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O64" s="38">
        <v>39199</v>
      </c>
      <c r="P64" s="30"/>
      <c r="Q64" s="19"/>
      <c r="R64" s="19"/>
      <c r="S64" s="19"/>
      <c r="T64" s="50"/>
      <c r="U64" s="30">
        <v>27</v>
      </c>
      <c r="V64" s="19">
        <v>46</v>
      </c>
      <c r="W64" s="19">
        <v>31</v>
      </c>
      <c r="X64" s="19">
        <v>44</v>
      </c>
      <c r="Y64" s="50">
        <f t="shared" si="1"/>
        <v>148</v>
      </c>
      <c r="AB64" s="38">
        <v>39260</v>
      </c>
      <c r="AC64" s="30"/>
      <c r="AD64" s="19"/>
      <c r="AE64" s="19"/>
      <c r="AF64" s="19"/>
      <c r="AG64" s="50"/>
      <c r="AH64" s="30"/>
      <c r="AI64" s="19"/>
      <c r="AJ64" s="19"/>
      <c r="AK64" s="19"/>
      <c r="AL64" s="50"/>
    </row>
    <row r="65" spans="3:38"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O65" s="38">
        <v>39200</v>
      </c>
      <c r="P65" s="30"/>
      <c r="Q65" s="19"/>
      <c r="R65" s="19"/>
      <c r="S65" s="19"/>
      <c r="T65" s="50"/>
      <c r="U65" s="30">
        <v>44</v>
      </c>
      <c r="V65" s="19">
        <v>34</v>
      </c>
      <c r="W65" s="19">
        <v>28</v>
      </c>
      <c r="X65" s="19">
        <v>11</v>
      </c>
      <c r="Y65" s="50">
        <f t="shared" si="1"/>
        <v>117</v>
      </c>
      <c r="AB65" s="38">
        <v>39261</v>
      </c>
      <c r="AC65" s="30"/>
      <c r="AD65" s="19"/>
      <c r="AE65" s="19"/>
      <c r="AF65" s="19"/>
      <c r="AG65" s="50"/>
      <c r="AH65" s="30"/>
      <c r="AI65" s="19"/>
      <c r="AJ65" s="19"/>
      <c r="AK65" s="19"/>
      <c r="AL65" s="50"/>
    </row>
    <row r="66" spans="3:38"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O66" s="38">
        <v>39201</v>
      </c>
      <c r="P66" s="30"/>
      <c r="Q66" s="19"/>
      <c r="R66" s="19"/>
      <c r="S66" s="19"/>
      <c r="T66" s="50"/>
      <c r="U66" s="30">
        <v>48</v>
      </c>
      <c r="V66" s="19">
        <v>24</v>
      </c>
      <c r="W66" s="19">
        <v>16</v>
      </c>
      <c r="X66" s="19">
        <v>34</v>
      </c>
      <c r="Y66" s="50">
        <f t="shared" si="1"/>
        <v>122</v>
      </c>
      <c r="AB66" s="38">
        <v>39262</v>
      </c>
      <c r="AC66" s="30"/>
      <c r="AD66" s="19"/>
      <c r="AE66" s="19"/>
      <c r="AF66" s="19"/>
      <c r="AG66" s="50"/>
      <c r="AH66" s="30"/>
      <c r="AI66" s="19"/>
      <c r="AJ66" s="19"/>
      <c r="AK66" s="19"/>
      <c r="AL66" s="50"/>
    </row>
    <row r="67" spans="3:38"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O67" s="38">
        <v>39202</v>
      </c>
      <c r="P67" s="30"/>
      <c r="Q67" s="19"/>
      <c r="R67" s="19"/>
      <c r="S67" s="19"/>
      <c r="T67" s="50"/>
      <c r="U67" s="30">
        <v>19</v>
      </c>
      <c r="V67" s="19">
        <v>95</v>
      </c>
      <c r="W67" s="19">
        <v>67</v>
      </c>
      <c r="X67" s="19">
        <v>58</v>
      </c>
      <c r="Y67" s="50">
        <f t="shared" si="1"/>
        <v>239</v>
      </c>
      <c r="AB67" s="38">
        <v>39263</v>
      </c>
      <c r="AC67" s="30"/>
      <c r="AD67" s="19"/>
      <c r="AE67" s="19"/>
      <c r="AF67" s="19"/>
      <c r="AG67" s="50"/>
      <c r="AH67" s="30"/>
      <c r="AI67" s="19"/>
      <c r="AJ67" s="19"/>
      <c r="AK67" s="19"/>
      <c r="AL67" s="50"/>
    </row>
    <row r="68" spans="3:38"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AB68" s="38">
        <v>39264</v>
      </c>
      <c r="AC68" s="30"/>
      <c r="AD68" s="19"/>
      <c r="AE68" s="19"/>
      <c r="AF68" s="19"/>
      <c r="AG68" s="50"/>
      <c r="AH68" s="30"/>
      <c r="AI68" s="19"/>
      <c r="AJ68" s="19"/>
      <c r="AK68" s="19"/>
      <c r="AL68" s="50">
        <f>SUM(AC7:AL67)</f>
        <v>22271</v>
      </c>
    </row>
    <row r="69" spans="3:38"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</row>
    <row r="70" spans="3:38"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</row>
    <row r="71" spans="3:38"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</row>
    <row r="72" spans="3:38"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</row>
    <row r="73" spans="3:38"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</row>
    <row r="74" spans="3:38"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</row>
    <row r="75" spans="3:38"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</row>
    <row r="76" spans="3:38"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</row>
    <row r="77" spans="3:38"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</row>
    <row r="78" spans="3:38"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</row>
    <row r="79" spans="3:38"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</row>
    <row r="80" spans="3:38"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</row>
    <row r="81" spans="3:13"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</row>
    <row r="82" spans="3:13"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</row>
    <row r="83" spans="3:13"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</row>
    <row r="84" spans="3:13"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</row>
    <row r="85" spans="3:13"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</row>
    <row r="86" spans="3:13"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</row>
    <row r="87" spans="3:13"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</row>
    <row r="88" spans="3:13"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</row>
    <row r="89" spans="3:13"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</row>
    <row r="90" spans="3:13"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</row>
    <row r="91" spans="3:13"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</row>
    <row r="92" spans="3:13"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</row>
    <row r="93" spans="3:13"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</row>
    <row r="94" spans="3:13"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</row>
    <row r="95" spans="3:13"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</row>
    <row r="96" spans="3:13"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</row>
    <row r="97" spans="3:13"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</row>
    <row r="98" spans="3:13"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</row>
    <row r="99" spans="3:13"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</row>
    <row r="100" spans="3:13"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</row>
    <row r="101" spans="3:13"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</row>
    <row r="102" spans="3:13"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</row>
    <row r="103" spans="3:13"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</row>
    <row r="104" spans="3:13"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</row>
    <row r="105" spans="3:13"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</row>
    <row r="106" spans="3:13"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</row>
    <row r="107" spans="3:13"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</row>
    <row r="108" spans="3:13"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</row>
    <row r="109" spans="3:13"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</row>
    <row r="110" spans="3:13"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</row>
    <row r="111" spans="3:13"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</row>
    <row r="112" spans="3:13"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</row>
    <row r="113" spans="3:13"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</row>
    <row r="114" spans="3:13"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</row>
    <row r="115" spans="3:13"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</row>
    <row r="116" spans="3:13"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</row>
    <row r="117" spans="3:13"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</row>
    <row r="118" spans="3:13"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</row>
    <row r="119" spans="3:13"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</row>
    <row r="120" spans="3:13"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</row>
    <row r="121" spans="3:13"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</row>
    <row r="122" spans="3:13"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</row>
    <row r="123" spans="3:13"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</row>
    <row r="124" spans="3:13"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</row>
    <row r="125" spans="3:13"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</row>
    <row r="126" spans="3:13"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</row>
    <row r="127" spans="3:13"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</row>
    <row r="128" spans="3:13"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</row>
    <row r="129" spans="3:13"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</row>
    <row r="130" spans="3:13"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</row>
    <row r="131" spans="3:13"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</row>
    <row r="132" spans="3:13"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</row>
    <row r="133" spans="3:13"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</row>
    <row r="134" spans="3:13"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</row>
    <row r="135" spans="3:13"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</row>
    <row r="136" spans="3:13"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</row>
    <row r="137" spans="3:13"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</row>
    <row r="138" spans="3:13"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</row>
    <row r="139" spans="3:13"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</row>
    <row r="140" spans="3:13"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</row>
    <row r="141" spans="3:13"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</row>
    <row r="142" spans="3:13"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</row>
    <row r="143" spans="3:13"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</row>
    <row r="144" spans="3:13"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</row>
    <row r="145" spans="3:13"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</row>
    <row r="146" spans="3:13"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</row>
    <row r="147" spans="3:13"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</row>
    <row r="148" spans="3:13"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</row>
    <row r="149" spans="3:13"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</row>
    <row r="150" spans="3:13"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</row>
    <row r="151" spans="3:13"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</row>
    <row r="152" spans="3:13"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</row>
    <row r="153" spans="3:13"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</row>
    <row r="154" spans="3:13"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</row>
    <row r="155" spans="3:13"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</row>
    <row r="156" spans="3:13"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</row>
    <row r="157" spans="3:13"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</row>
    <row r="158" spans="3:13"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</row>
    <row r="159" spans="3:13"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</row>
    <row r="160" spans="3:13"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</row>
    <row r="161" spans="3:13"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</row>
    <row r="162" spans="3:13"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</row>
    <row r="163" spans="3:13"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</row>
    <row r="164" spans="3:13"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</row>
    <row r="165" spans="3:13"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</row>
    <row r="166" spans="3:13"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</row>
    <row r="167" spans="3:13"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</row>
    <row r="168" spans="3:13"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</row>
    <row r="169" spans="3:13"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</row>
    <row r="170" spans="3:13"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</row>
    <row r="171" spans="3:13"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</row>
    <row r="172" spans="3:13"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</row>
    <row r="173" spans="3:13"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</row>
    <row r="174" spans="3:13"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</row>
    <row r="175" spans="3:13"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</row>
    <row r="176" spans="3:13"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</row>
    <row r="177" spans="3:13"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</row>
    <row r="178" spans="3:13"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</row>
    <row r="179" spans="3:13"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</row>
    <row r="180" spans="3:13"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</row>
    <row r="181" spans="3:13"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</row>
    <row r="182" spans="3:13"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</row>
    <row r="183" spans="3:13"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</row>
    <row r="184" spans="3:13"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</row>
    <row r="185" spans="3:13"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</row>
    <row r="186" spans="3:13"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</row>
    <row r="187" spans="3:13"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</row>
    <row r="188" spans="3:13"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</row>
    <row r="189" spans="3:13"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</row>
    <row r="190" spans="3:13"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</row>
    <row r="191" spans="3:13"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</row>
    <row r="192" spans="3:13"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</row>
    <row r="193" spans="3:13"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</row>
    <row r="194" spans="3:13"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</row>
    <row r="195" spans="3:13"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</row>
    <row r="196" spans="3:13"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</row>
    <row r="197" spans="3:13"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</row>
    <row r="198" spans="3:13"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</row>
    <row r="199" spans="3:13"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</row>
    <row r="200" spans="3:13"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</row>
    <row r="201" spans="3:13"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</row>
    <row r="202" spans="3:13"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</row>
    <row r="203" spans="3:13"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</row>
    <row r="204" spans="3:13"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</row>
    <row r="205" spans="3:13"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</row>
    <row r="206" spans="3:13"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</row>
    <row r="207" spans="3:13"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</row>
    <row r="208" spans="3:13"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</row>
    <row r="209" spans="3:13"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</row>
    <row r="210" spans="3:13"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</row>
    <row r="211" spans="3:13"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</row>
    <row r="212" spans="3:13"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</row>
    <row r="213" spans="3:13"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</row>
    <row r="214" spans="3:13"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</row>
    <row r="215" spans="3:13"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</row>
    <row r="216" spans="3:13"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</row>
    <row r="217" spans="3:13"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</row>
    <row r="218" spans="3:13"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</row>
    <row r="219" spans="3:13"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</row>
    <row r="220" spans="3:13"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</row>
    <row r="221" spans="3:13"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</row>
    <row r="222" spans="3:13"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</row>
    <row r="223" spans="3:13"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</row>
    <row r="224" spans="3:13"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</row>
    <row r="225" spans="3:13"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</row>
    <row r="226" spans="3:13"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</row>
    <row r="227" spans="3:13"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</row>
    <row r="228" spans="3:13"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</row>
    <row r="229" spans="3:13"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</row>
    <row r="230" spans="3:13"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</row>
    <row r="231" spans="3:13"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</row>
    <row r="232" spans="3:13"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</row>
    <row r="233" spans="3:13"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</row>
    <row r="234" spans="3:13"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</row>
    <row r="235" spans="3:13"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</row>
    <row r="236" spans="3:13"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</row>
    <row r="237" spans="3:13"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</row>
    <row r="238" spans="3:13"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</row>
    <row r="239" spans="3:13"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</row>
    <row r="240" spans="3:13"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</row>
    <row r="241" spans="3:13"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</row>
    <row r="242" spans="3:13"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</row>
    <row r="243" spans="3:13"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</row>
    <row r="244" spans="3:13"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</row>
    <row r="245" spans="3:13"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</row>
    <row r="246" spans="3:13"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</row>
    <row r="247" spans="3:13"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</row>
    <row r="248" spans="3:13"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</row>
    <row r="249" spans="3:13"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</row>
    <row r="250" spans="3:13"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</row>
    <row r="251" spans="3:13"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</row>
    <row r="252" spans="3:13"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</row>
    <row r="253" spans="3:13"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</row>
    <row r="254" spans="3:13"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</row>
    <row r="255" spans="3:13"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</row>
    <row r="256" spans="3:13"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</row>
    <row r="257" spans="3:13"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</row>
    <row r="258" spans="3:13"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</row>
    <row r="259" spans="3:13"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</row>
    <row r="260" spans="3:13"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</row>
    <row r="261" spans="3:13"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</row>
    <row r="262" spans="3:13"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</row>
    <row r="263" spans="3:13"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</row>
    <row r="264" spans="3:13"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</row>
    <row r="265" spans="3:13"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</row>
    <row r="266" spans="3:13"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</row>
    <row r="267" spans="3:13"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</row>
  </sheetData>
  <customSheetViews>
    <customSheetView guid="{03091628-F6D4-4F96-BE8D-F71180D05B85}" showRuler="0" topLeftCell="A7">
      <selection activeCell="L22" sqref="L22"/>
      <pageMargins left="0.75" right="0.75" top="1" bottom="1" header="0.5" footer="0.5"/>
      <pageSetup paperSize="9" orientation="portrait" r:id="rId1"/>
      <headerFooter alignWithMargins="0"/>
    </customSheetView>
    <customSheetView guid="{271AA8F8-60C3-4229-917D-1AD0132C3662}" showRuler="0" topLeftCell="A7">
      <selection activeCell="L22" sqref="L22"/>
      <pageMargins left="0.75" right="0.75" top="1" bottom="1" header="0.5" footer="0.5"/>
      <pageSetup paperSize="9" orientation="portrait" r:id="rId2"/>
      <headerFooter alignWithMargins="0"/>
    </customSheetView>
    <customSheetView guid="{528AB2D6-6AB1-4EDF-82FA-E8DF1DDBF2B7}" showPageBreaks="1" showRuler="0" topLeftCell="A4">
      <selection activeCell="X12" sqref="X12"/>
      <pageMargins left="0.75" right="0.75" top="1" bottom="1" header="0.5" footer="0.5"/>
      <pageSetup paperSize="9" orientation="portrait" verticalDpi="0" r:id="rId3"/>
      <headerFooter alignWithMargins="0"/>
    </customSheetView>
    <customSheetView guid="{F1C5ABF4-42E4-44BC-9688-F813E67E9DF6}" showRuler="0" topLeftCell="K1">
      <selection activeCell="U22" sqref="U22"/>
      <pageMargins left="0.75" right="0.75" top="1" bottom="1" header="0.5" footer="0.5"/>
      <headerFooter alignWithMargins="0"/>
    </customSheetView>
    <customSheetView guid="{2F6CC16A-0ECF-4CDA-A0ED-393648E899F1}" showRuler="0">
      <selection activeCell="I7" sqref="I7"/>
      <pageMargins left="0.75" right="0.75" top="1" bottom="1" header="0.5" footer="0.5"/>
      <pageSetup paperSize="9" orientation="portrait" r:id="rId4"/>
      <headerFooter alignWithMargins="0"/>
    </customSheetView>
    <customSheetView guid="{7B628B3C-52F9-4A25-BBE2-E9704E2B4E64}" showPageBreaks="1" showRuler="0" topLeftCell="E1">
      <selection activeCell="Q21" sqref="Q21"/>
      <pageMargins left="0.75" right="0.75" top="1" bottom="1" header="0.5" footer="0.5"/>
      <pageSetup paperSize="9" orientation="portrait" r:id="rId5"/>
      <headerFooter alignWithMargins="0"/>
    </customSheetView>
    <customSheetView guid="{14901331-E232-4D80-AB2F-46B07F54F7E7}" showPageBreaks="1" showRuler="0">
      <selection activeCell="I28" sqref="I28"/>
      <pageMargins left="0.75" right="0.75" top="1" bottom="1" header="0.5" footer="0.5"/>
      <pageSetup paperSize="9" orientation="portrait" r:id="rId6"/>
      <headerFooter alignWithMargins="0"/>
    </customSheetView>
    <customSheetView guid="{1B8A84A3-3ABB-4F6A-9729-15A06ABCCAD7}" showPageBreaks="1" showRuler="0">
      <selection activeCell="D29" sqref="D29"/>
      <pageMargins left="0.75" right="0.75" top="1" bottom="1" header="0.5" footer="0.5"/>
      <pageSetup paperSize="9" orientation="portrait" r:id="rId7"/>
      <headerFooter alignWithMargins="0"/>
    </customSheetView>
  </customSheetViews>
  <phoneticPr fontId="0" type="noConversion"/>
  <pageMargins left="0.75" right="0.75" top="1" bottom="1" header="0.5" footer="0.5"/>
  <pageSetup paperSize="9" orientation="portrait" r:id="rId8"/>
  <headerFooter alignWithMargins="0"/>
  <drawing r:id="rId9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8"/>
  <dimension ref="A1:G564"/>
  <sheetViews>
    <sheetView topLeftCell="A7" workbookViewId="0">
      <pane xSplit="1" topLeftCell="B1" activePane="topRight" state="frozen"/>
      <selection pane="topRight" activeCell="A6" sqref="A6"/>
    </sheetView>
  </sheetViews>
  <sheetFormatPr defaultRowHeight="12.75"/>
  <cols>
    <col min="1" max="1" width="16.28515625" style="3" customWidth="1"/>
    <col min="2" max="2" width="25.7109375" customWidth="1"/>
    <col min="3" max="3" width="13.140625" customWidth="1"/>
    <col min="4" max="6" width="14.7109375" customWidth="1"/>
  </cols>
  <sheetData>
    <row r="1" spans="1:7">
      <c r="A1" s="501" t="s">
        <v>76</v>
      </c>
      <c r="B1" s="502"/>
      <c r="C1" s="502"/>
      <c r="D1" s="502"/>
      <c r="E1" s="502"/>
      <c r="F1" s="502"/>
      <c r="G1" s="503"/>
    </row>
    <row r="2" spans="1:7">
      <c r="A2" s="504"/>
      <c r="B2" s="505"/>
      <c r="C2" s="505"/>
      <c r="D2" s="505"/>
      <c r="E2" s="505"/>
      <c r="F2" s="505"/>
      <c r="G2" s="506"/>
    </row>
    <row r="3" spans="1:7" ht="13.5" thickBot="1">
      <c r="A3" s="507"/>
      <c r="B3" s="508"/>
      <c r="C3" s="508"/>
      <c r="D3" s="508"/>
      <c r="E3" s="508"/>
      <c r="F3" s="508"/>
      <c r="G3" s="509"/>
    </row>
    <row r="4" spans="1:7" ht="18" customHeight="1" thickBot="1">
      <c r="A4" s="512" t="s">
        <v>30</v>
      </c>
      <c r="B4" s="514" t="s">
        <v>29</v>
      </c>
      <c r="C4" s="516" t="s">
        <v>32</v>
      </c>
      <c r="D4" s="518" t="s">
        <v>24</v>
      </c>
      <c r="E4" s="519"/>
      <c r="F4" s="520"/>
      <c r="G4" s="510" t="s">
        <v>34</v>
      </c>
    </row>
    <row r="5" spans="1:7" ht="15.75" customHeight="1" thickBot="1">
      <c r="A5" s="513"/>
      <c r="B5" s="515"/>
      <c r="C5" s="517"/>
      <c r="D5" s="4" t="s">
        <v>22</v>
      </c>
      <c r="E5" s="5" t="s">
        <v>31</v>
      </c>
      <c r="F5" s="6" t="s">
        <v>15</v>
      </c>
      <c r="G5" s="511"/>
    </row>
    <row r="6" spans="1:7" ht="21" customHeight="1">
      <c r="A6" s="62"/>
      <c r="B6" s="16"/>
      <c r="C6" s="17"/>
      <c r="D6" s="17"/>
      <c r="E6" s="17"/>
      <c r="F6" s="17"/>
      <c r="G6" s="63"/>
    </row>
    <row r="7" spans="1:7" ht="21" customHeight="1">
      <c r="A7" s="64"/>
      <c r="B7" s="13"/>
      <c r="C7" s="14"/>
      <c r="D7" s="14"/>
      <c r="E7" s="14"/>
      <c r="F7" s="14"/>
      <c r="G7" s="65"/>
    </row>
    <row r="8" spans="1:7" ht="21" customHeight="1">
      <c r="A8" s="64"/>
      <c r="B8" s="13"/>
      <c r="C8" s="14"/>
      <c r="D8" s="14"/>
      <c r="E8" s="14"/>
      <c r="F8" s="14"/>
      <c r="G8" s="65"/>
    </row>
    <row r="9" spans="1:7" ht="21" customHeight="1">
      <c r="A9" s="64"/>
      <c r="B9" s="13"/>
      <c r="C9" s="15"/>
      <c r="D9" s="15"/>
      <c r="E9" s="15"/>
      <c r="F9" s="15"/>
      <c r="G9" s="65"/>
    </row>
    <row r="10" spans="1:7" ht="21" customHeight="1">
      <c r="A10" s="64"/>
      <c r="B10" s="13"/>
      <c r="C10" s="15"/>
      <c r="D10" s="15"/>
      <c r="E10" s="15"/>
      <c r="F10" s="15"/>
      <c r="G10" s="65"/>
    </row>
    <row r="11" spans="1:7" ht="21" customHeight="1">
      <c r="A11" s="64"/>
      <c r="B11" s="13"/>
      <c r="C11" s="14"/>
      <c r="D11" s="14"/>
      <c r="E11" s="14"/>
      <c r="F11" s="14"/>
      <c r="G11" s="65"/>
    </row>
    <row r="12" spans="1:7" ht="21" customHeight="1">
      <c r="A12" s="64"/>
      <c r="B12" s="13"/>
      <c r="C12" s="14"/>
      <c r="D12" s="14"/>
      <c r="E12" s="14"/>
      <c r="F12" s="14"/>
      <c r="G12" s="65"/>
    </row>
    <row r="13" spans="1:7" ht="21" customHeight="1">
      <c r="A13" s="64"/>
      <c r="B13" s="13"/>
      <c r="C13" s="14"/>
      <c r="D13" s="14"/>
      <c r="E13" s="14"/>
      <c r="F13" s="14"/>
      <c r="G13" s="65"/>
    </row>
    <row r="14" spans="1:7" ht="21" customHeight="1">
      <c r="A14" s="64"/>
      <c r="B14" s="13"/>
      <c r="C14" s="14"/>
      <c r="D14" s="14"/>
      <c r="E14" s="14"/>
      <c r="F14" s="14"/>
      <c r="G14" s="65"/>
    </row>
    <row r="15" spans="1:7" ht="21" customHeight="1">
      <c r="A15" s="64"/>
      <c r="B15" s="13"/>
      <c r="C15" s="14"/>
      <c r="D15" s="14"/>
      <c r="E15" s="14"/>
      <c r="F15" s="14"/>
      <c r="G15" s="65"/>
    </row>
    <row r="16" spans="1:7" ht="21" customHeight="1">
      <c r="A16" s="64"/>
      <c r="B16" s="13"/>
      <c r="C16" s="14"/>
      <c r="D16" s="14"/>
      <c r="E16" s="14"/>
      <c r="F16" s="14"/>
      <c r="G16" s="65"/>
    </row>
    <row r="17" spans="1:7" ht="21" customHeight="1">
      <c r="A17" s="64"/>
      <c r="B17" s="13"/>
      <c r="C17" s="14"/>
      <c r="D17" s="14"/>
      <c r="E17" s="14"/>
      <c r="F17" s="14"/>
      <c r="G17" s="65"/>
    </row>
    <row r="18" spans="1:7" ht="21" customHeight="1">
      <c r="A18" s="64"/>
      <c r="B18" s="13"/>
      <c r="C18" s="14"/>
      <c r="D18" s="14"/>
      <c r="E18" s="14"/>
      <c r="F18" s="14"/>
      <c r="G18" s="65"/>
    </row>
    <row r="19" spans="1:7" ht="21" customHeight="1">
      <c r="A19" s="64"/>
      <c r="B19" s="13"/>
      <c r="C19" s="14"/>
      <c r="D19" s="14"/>
      <c r="E19" s="14"/>
      <c r="F19" s="14"/>
      <c r="G19" s="65"/>
    </row>
    <row r="20" spans="1:7" ht="21" customHeight="1">
      <c r="A20" s="64"/>
      <c r="B20" s="13"/>
      <c r="C20" s="14"/>
      <c r="D20" s="14"/>
      <c r="E20" s="14"/>
      <c r="F20" s="14"/>
      <c r="G20" s="65"/>
    </row>
    <row r="21" spans="1:7" ht="21" customHeight="1">
      <c r="A21" s="64"/>
      <c r="B21" s="13"/>
      <c r="C21" s="14"/>
      <c r="D21" s="14"/>
      <c r="E21" s="14"/>
      <c r="F21" s="14"/>
      <c r="G21" s="65"/>
    </row>
    <row r="22" spans="1:7" ht="21" customHeight="1">
      <c r="A22" s="64"/>
      <c r="B22" s="13"/>
      <c r="C22" s="14"/>
      <c r="D22" s="14"/>
      <c r="E22" s="14"/>
      <c r="F22" s="14"/>
      <c r="G22" s="65"/>
    </row>
    <row r="23" spans="1:7" ht="21" customHeight="1">
      <c r="A23" s="64"/>
      <c r="B23" s="13"/>
      <c r="C23" s="14"/>
      <c r="D23" s="14"/>
      <c r="E23" s="14"/>
      <c r="F23" s="14"/>
      <c r="G23" s="65"/>
    </row>
    <row r="24" spans="1:7" ht="21" customHeight="1">
      <c r="A24" s="64"/>
      <c r="B24" s="13"/>
      <c r="C24" s="14"/>
      <c r="D24" s="14"/>
      <c r="E24" s="14"/>
      <c r="F24" s="14"/>
      <c r="G24" s="65"/>
    </row>
    <row r="25" spans="1:7" ht="21" customHeight="1">
      <c r="A25" s="64"/>
      <c r="B25" s="13"/>
      <c r="C25" s="14"/>
      <c r="D25" s="14"/>
      <c r="E25" s="14"/>
      <c r="F25" s="14"/>
      <c r="G25" s="65"/>
    </row>
    <row r="26" spans="1:7" ht="21" customHeight="1">
      <c r="A26" s="64"/>
      <c r="B26" s="13"/>
      <c r="C26" s="14"/>
      <c r="D26" s="14"/>
      <c r="E26" s="14"/>
      <c r="F26" s="14"/>
      <c r="G26" s="65"/>
    </row>
    <row r="27" spans="1:7" ht="21" customHeight="1">
      <c r="A27" s="64"/>
      <c r="B27" s="13"/>
      <c r="C27" s="14"/>
      <c r="D27" s="14"/>
      <c r="E27" s="14"/>
      <c r="F27" s="14"/>
      <c r="G27" s="65"/>
    </row>
    <row r="28" spans="1:7" ht="21" customHeight="1">
      <c r="A28" s="64"/>
      <c r="B28" s="13"/>
      <c r="C28" s="14"/>
      <c r="D28" s="14"/>
      <c r="E28" s="14"/>
      <c r="F28" s="14"/>
      <c r="G28" s="65"/>
    </row>
    <row r="29" spans="1:7" ht="21" customHeight="1">
      <c r="A29" s="64"/>
      <c r="B29" s="13"/>
      <c r="C29" s="14"/>
      <c r="D29" s="14"/>
      <c r="E29" s="14"/>
      <c r="F29" s="14"/>
      <c r="G29" s="65"/>
    </row>
    <row r="30" spans="1:7" ht="21" customHeight="1">
      <c r="A30" s="64"/>
      <c r="B30" s="13"/>
      <c r="C30" s="14"/>
      <c r="D30" s="14"/>
      <c r="E30" s="14"/>
      <c r="F30" s="14"/>
      <c r="G30" s="65"/>
    </row>
    <row r="31" spans="1:7" ht="21" customHeight="1">
      <c r="A31" s="64"/>
      <c r="B31" s="13"/>
      <c r="C31" s="15"/>
      <c r="D31" s="15"/>
      <c r="E31" s="15"/>
      <c r="F31" s="15"/>
      <c r="G31" s="65"/>
    </row>
    <row r="32" spans="1:7" ht="21" customHeight="1">
      <c r="A32" s="64"/>
      <c r="B32" s="13"/>
      <c r="C32" s="14"/>
      <c r="D32" s="14"/>
      <c r="E32" s="14"/>
      <c r="F32" s="14"/>
      <c r="G32" s="65"/>
    </row>
    <row r="33" spans="1:7" ht="21" customHeight="1">
      <c r="A33" s="64"/>
      <c r="B33" s="13"/>
      <c r="C33" s="14"/>
      <c r="D33" s="14"/>
      <c r="E33" s="14"/>
      <c r="F33" s="14"/>
      <c r="G33" s="65"/>
    </row>
    <row r="34" spans="1:7" ht="21" customHeight="1">
      <c r="A34" s="64"/>
      <c r="B34" s="13"/>
      <c r="C34" s="14"/>
      <c r="D34" s="14"/>
      <c r="E34" s="14"/>
      <c r="F34" s="14"/>
      <c r="G34" s="65"/>
    </row>
    <row r="35" spans="1:7" ht="21" customHeight="1">
      <c r="A35" s="64"/>
      <c r="B35" s="13"/>
      <c r="C35" s="14"/>
      <c r="D35" s="14"/>
      <c r="E35" s="14"/>
      <c r="F35" s="14"/>
      <c r="G35" s="65"/>
    </row>
    <row r="36" spans="1:7" ht="21" customHeight="1">
      <c r="A36" s="64"/>
      <c r="B36" s="13"/>
      <c r="C36" s="14"/>
      <c r="D36" s="14"/>
      <c r="E36" s="14"/>
      <c r="F36" s="14"/>
      <c r="G36" s="65"/>
    </row>
    <row r="37" spans="1:7" ht="21" customHeight="1">
      <c r="A37" s="64"/>
      <c r="B37" s="13"/>
      <c r="C37" s="14"/>
      <c r="D37" s="14"/>
      <c r="E37" s="14"/>
      <c r="F37" s="14"/>
      <c r="G37" s="65"/>
    </row>
    <row r="38" spans="1:7" ht="21" customHeight="1">
      <c r="A38" s="64"/>
      <c r="B38" s="13"/>
      <c r="C38" s="14"/>
      <c r="D38" s="14"/>
      <c r="E38" s="14"/>
      <c r="F38" s="14"/>
      <c r="G38" s="65"/>
    </row>
    <row r="39" spans="1:7" ht="21" customHeight="1">
      <c r="A39" s="64"/>
      <c r="B39" s="13"/>
      <c r="C39" s="14"/>
      <c r="D39" s="14"/>
      <c r="E39" s="14"/>
      <c r="F39" s="14"/>
      <c r="G39" s="65"/>
    </row>
    <row r="40" spans="1:7" ht="21" customHeight="1">
      <c r="A40" s="64"/>
      <c r="B40" s="13"/>
      <c r="C40" s="14"/>
      <c r="D40" s="14"/>
      <c r="E40" s="14"/>
      <c r="F40" s="14"/>
      <c r="G40" s="65"/>
    </row>
    <row r="41" spans="1:7" ht="21" customHeight="1">
      <c r="A41" s="64"/>
      <c r="B41" s="13"/>
      <c r="C41" s="14"/>
      <c r="D41" s="14"/>
      <c r="E41" s="14"/>
      <c r="F41" s="14"/>
      <c r="G41" s="65"/>
    </row>
    <row r="42" spans="1:7" ht="21" customHeight="1">
      <c r="A42" s="64"/>
      <c r="B42" s="13"/>
      <c r="C42" s="14"/>
      <c r="D42" s="14"/>
      <c r="E42" s="14"/>
      <c r="F42" s="14"/>
      <c r="G42" s="65"/>
    </row>
    <row r="43" spans="1:7" ht="21" customHeight="1">
      <c r="A43" s="64"/>
      <c r="B43" s="13"/>
      <c r="C43" s="14"/>
      <c r="D43" s="14"/>
      <c r="E43" s="14"/>
      <c r="F43" s="14"/>
      <c r="G43" s="65"/>
    </row>
    <row r="44" spans="1:7" ht="21" customHeight="1">
      <c r="A44" s="64"/>
      <c r="B44" s="13"/>
      <c r="C44" s="14"/>
      <c r="D44" s="14"/>
      <c r="E44" s="14"/>
      <c r="F44" s="14"/>
      <c r="G44" s="65"/>
    </row>
    <row r="45" spans="1:7" ht="21" customHeight="1" thickBot="1">
      <c r="A45" s="66"/>
      <c r="B45" s="67"/>
      <c r="C45" s="68"/>
      <c r="D45" s="68"/>
      <c r="E45" s="68"/>
      <c r="F45" s="68"/>
      <c r="G45" s="69"/>
    </row>
    <row r="46" spans="1:7" s="12" customFormat="1" ht="21" customHeight="1">
      <c r="A46" s="7"/>
      <c r="B46" s="2"/>
      <c r="C46" s="8"/>
      <c r="D46" s="8"/>
      <c r="E46" s="8"/>
      <c r="F46" s="8"/>
      <c r="G46" s="9"/>
    </row>
    <row r="47" spans="1:7" s="12" customFormat="1" ht="21" customHeight="1">
      <c r="A47" s="7"/>
      <c r="B47" s="2"/>
      <c r="C47" s="8"/>
      <c r="D47" s="8"/>
      <c r="E47" s="8"/>
      <c r="F47" s="8"/>
      <c r="G47" s="9"/>
    </row>
    <row r="48" spans="1:7" s="12" customFormat="1" ht="21" customHeight="1">
      <c r="A48" s="7"/>
      <c r="B48" s="2"/>
      <c r="C48" s="8"/>
      <c r="D48" s="8"/>
      <c r="E48" s="8"/>
      <c r="F48" s="8"/>
      <c r="G48" s="9"/>
    </row>
    <row r="49" spans="1:7" s="12" customFormat="1" ht="21" customHeight="1">
      <c r="A49" s="7"/>
      <c r="B49" s="2"/>
      <c r="C49" s="8"/>
      <c r="D49" s="8"/>
      <c r="E49" s="8"/>
      <c r="F49" s="8"/>
      <c r="G49" s="9"/>
    </row>
    <row r="50" spans="1:7" s="12" customFormat="1" ht="21" customHeight="1">
      <c r="A50" s="7"/>
      <c r="B50" s="2"/>
      <c r="C50" s="8"/>
      <c r="D50" s="8"/>
      <c r="E50" s="8"/>
      <c r="F50" s="8"/>
      <c r="G50" s="9"/>
    </row>
    <row r="51" spans="1:7" s="12" customFormat="1" ht="21" customHeight="1">
      <c r="A51" s="7"/>
      <c r="B51" s="2"/>
      <c r="C51" s="8"/>
      <c r="D51" s="8"/>
      <c r="E51" s="8"/>
      <c r="F51" s="8"/>
      <c r="G51" s="9"/>
    </row>
    <row r="52" spans="1:7" s="12" customFormat="1" ht="21" customHeight="1">
      <c r="A52" s="7"/>
      <c r="B52" s="2"/>
      <c r="C52" s="8"/>
      <c r="D52" s="8"/>
      <c r="E52" s="8"/>
      <c r="F52" s="8"/>
      <c r="G52" s="9"/>
    </row>
    <row r="53" spans="1:7" s="12" customFormat="1" ht="21" customHeight="1">
      <c r="A53" s="7"/>
      <c r="B53" s="2"/>
      <c r="C53" s="8"/>
      <c r="D53" s="8"/>
      <c r="E53" s="8"/>
      <c r="F53" s="8"/>
      <c r="G53" s="9"/>
    </row>
    <row r="54" spans="1:7" s="12" customFormat="1" ht="21" customHeight="1">
      <c r="A54" s="7"/>
      <c r="B54" s="2"/>
      <c r="C54" s="8"/>
      <c r="D54" s="8"/>
      <c r="E54" s="8"/>
      <c r="F54" s="8"/>
      <c r="G54" s="9"/>
    </row>
    <row r="55" spans="1:7" s="12" customFormat="1" ht="21" customHeight="1">
      <c r="A55" s="7"/>
      <c r="B55" s="2"/>
      <c r="C55" s="8"/>
      <c r="D55" s="8"/>
      <c r="E55" s="8"/>
      <c r="F55" s="8"/>
      <c r="G55" s="9"/>
    </row>
    <row r="56" spans="1:7" s="12" customFormat="1" ht="21" customHeight="1">
      <c r="A56" s="7"/>
      <c r="B56" s="2"/>
      <c r="C56" s="8"/>
      <c r="D56" s="8"/>
      <c r="E56" s="8"/>
      <c r="F56" s="8"/>
      <c r="G56" s="9"/>
    </row>
    <row r="57" spans="1:7" s="12" customFormat="1" ht="21" customHeight="1">
      <c r="A57" s="7"/>
      <c r="B57" s="2"/>
      <c r="C57" s="8"/>
      <c r="D57" s="8"/>
      <c r="E57" s="8"/>
      <c r="F57" s="8"/>
      <c r="G57" s="9"/>
    </row>
    <row r="58" spans="1:7" s="12" customFormat="1" ht="21" customHeight="1">
      <c r="A58" s="7"/>
      <c r="B58" s="2"/>
      <c r="C58" s="8"/>
      <c r="D58" s="8"/>
      <c r="E58" s="8"/>
      <c r="F58" s="8"/>
      <c r="G58" s="9"/>
    </row>
    <row r="59" spans="1:7" s="12" customFormat="1" ht="21" customHeight="1">
      <c r="A59" s="7"/>
      <c r="B59" s="2"/>
      <c r="C59" s="8"/>
      <c r="D59" s="8"/>
      <c r="E59" s="8"/>
      <c r="F59" s="8"/>
      <c r="G59" s="9"/>
    </row>
    <row r="60" spans="1:7" s="12" customFormat="1" ht="21" customHeight="1">
      <c r="A60" s="7"/>
      <c r="B60" s="2"/>
      <c r="C60" s="8"/>
      <c r="D60" s="8"/>
      <c r="E60" s="8"/>
      <c r="F60" s="8"/>
      <c r="G60" s="9"/>
    </row>
    <row r="61" spans="1:7" s="12" customFormat="1" ht="21" customHeight="1">
      <c r="A61" s="7"/>
      <c r="B61" s="2"/>
      <c r="C61" s="8"/>
      <c r="D61" s="8"/>
      <c r="E61" s="8"/>
      <c r="F61" s="8"/>
      <c r="G61" s="9"/>
    </row>
    <row r="62" spans="1:7" s="12" customFormat="1" ht="21" customHeight="1">
      <c r="A62" s="7"/>
      <c r="B62" s="2"/>
      <c r="C62" s="8"/>
      <c r="D62" s="8"/>
      <c r="E62" s="8"/>
      <c r="F62" s="8"/>
      <c r="G62" s="9"/>
    </row>
    <row r="63" spans="1:7" s="12" customFormat="1" ht="21" customHeight="1">
      <c r="A63" s="7"/>
      <c r="B63" s="2"/>
      <c r="C63" s="8"/>
      <c r="D63" s="8"/>
      <c r="E63" s="8"/>
      <c r="F63" s="8"/>
      <c r="G63" s="9"/>
    </row>
    <row r="64" spans="1:7" s="12" customFormat="1" ht="21" customHeight="1">
      <c r="A64" s="7"/>
      <c r="B64" s="2"/>
      <c r="C64" s="8"/>
      <c r="D64" s="8"/>
      <c r="E64" s="8"/>
      <c r="F64" s="8"/>
      <c r="G64" s="9"/>
    </row>
    <row r="65" spans="1:7" s="12" customFormat="1" ht="21" customHeight="1">
      <c r="A65" s="7"/>
      <c r="B65" s="2"/>
      <c r="C65" s="8"/>
      <c r="D65" s="8"/>
      <c r="E65" s="8"/>
      <c r="F65" s="8"/>
      <c r="G65" s="9"/>
    </row>
    <row r="66" spans="1:7" s="12" customFormat="1" ht="21" customHeight="1">
      <c r="A66" s="7"/>
      <c r="B66" s="2"/>
      <c r="C66" s="8"/>
      <c r="D66" s="8"/>
      <c r="E66" s="8"/>
      <c r="F66" s="8"/>
      <c r="G66" s="9"/>
    </row>
    <row r="67" spans="1:7" s="12" customFormat="1" ht="21" customHeight="1">
      <c r="A67" s="7"/>
      <c r="B67" s="2"/>
      <c r="C67" s="8"/>
      <c r="D67" s="8"/>
      <c r="E67" s="8"/>
      <c r="F67" s="8"/>
      <c r="G67" s="9"/>
    </row>
    <row r="68" spans="1:7" s="12" customFormat="1" ht="21" customHeight="1">
      <c r="A68" s="7"/>
      <c r="B68" s="2"/>
      <c r="C68" s="8"/>
      <c r="D68" s="8"/>
      <c r="E68" s="8"/>
      <c r="F68" s="8"/>
      <c r="G68" s="9"/>
    </row>
    <row r="69" spans="1:7" s="12" customFormat="1" ht="21" customHeight="1">
      <c r="A69" s="7"/>
      <c r="B69" s="2"/>
      <c r="C69" s="8"/>
      <c r="D69" s="8"/>
      <c r="E69" s="8"/>
      <c r="F69" s="8"/>
      <c r="G69" s="9"/>
    </row>
    <row r="70" spans="1:7" s="12" customFormat="1" ht="21" customHeight="1">
      <c r="A70" s="7"/>
      <c r="B70" s="2"/>
      <c r="C70" s="8"/>
      <c r="D70" s="8"/>
      <c r="E70" s="8"/>
      <c r="F70" s="8"/>
      <c r="G70" s="9"/>
    </row>
    <row r="71" spans="1:7" s="12" customFormat="1" ht="21" customHeight="1">
      <c r="A71" s="7"/>
      <c r="B71" s="2"/>
      <c r="C71" s="8"/>
      <c r="D71" s="8"/>
      <c r="E71" s="8"/>
      <c r="F71" s="8"/>
      <c r="G71" s="9"/>
    </row>
    <row r="72" spans="1:7" s="12" customFormat="1" ht="21" customHeight="1">
      <c r="A72" s="7"/>
      <c r="B72" s="2"/>
      <c r="C72" s="8"/>
      <c r="D72" s="8"/>
      <c r="E72" s="8"/>
      <c r="F72" s="8"/>
      <c r="G72" s="9"/>
    </row>
    <row r="73" spans="1:7" s="12" customFormat="1" ht="21" customHeight="1">
      <c r="A73" s="7"/>
      <c r="B73" s="2"/>
      <c r="C73" s="8"/>
      <c r="D73" s="8"/>
      <c r="E73" s="8"/>
      <c r="F73" s="8"/>
      <c r="G73" s="9"/>
    </row>
    <row r="74" spans="1:7" s="12" customFormat="1" ht="21" customHeight="1">
      <c r="A74" s="7"/>
      <c r="B74" s="2"/>
      <c r="C74" s="8"/>
      <c r="D74" s="8"/>
      <c r="E74" s="8"/>
      <c r="F74" s="8"/>
      <c r="G74" s="9"/>
    </row>
    <row r="75" spans="1:7" s="12" customFormat="1" ht="21" customHeight="1">
      <c r="A75" s="7"/>
      <c r="B75" s="2"/>
      <c r="C75" s="8"/>
      <c r="D75" s="8"/>
      <c r="E75" s="8"/>
      <c r="F75" s="8"/>
      <c r="G75" s="9"/>
    </row>
    <row r="76" spans="1:7" s="12" customFormat="1" ht="21" customHeight="1">
      <c r="A76" s="7"/>
      <c r="B76" s="2"/>
      <c r="C76" s="8"/>
      <c r="D76" s="8"/>
      <c r="E76" s="8"/>
      <c r="F76" s="8"/>
      <c r="G76" s="9"/>
    </row>
    <row r="77" spans="1:7" s="12" customFormat="1" ht="21" customHeight="1">
      <c r="A77" s="7"/>
      <c r="B77" s="2"/>
      <c r="C77" s="8"/>
      <c r="D77" s="8"/>
      <c r="E77" s="8"/>
      <c r="F77" s="8"/>
      <c r="G77" s="9"/>
    </row>
    <row r="78" spans="1:7" s="12" customFormat="1" ht="21" customHeight="1">
      <c r="A78" s="7"/>
      <c r="B78" s="2"/>
      <c r="C78" s="8"/>
      <c r="D78" s="8"/>
      <c r="E78" s="8"/>
      <c r="F78" s="8"/>
      <c r="G78" s="9"/>
    </row>
    <row r="79" spans="1:7" s="12" customFormat="1" ht="21" customHeight="1">
      <c r="A79" s="7"/>
      <c r="B79" s="2"/>
      <c r="C79" s="8"/>
      <c r="D79" s="8"/>
      <c r="E79" s="8"/>
      <c r="F79" s="8"/>
      <c r="G79" s="9"/>
    </row>
    <row r="80" spans="1:7" s="12" customFormat="1" ht="21" customHeight="1">
      <c r="A80" s="7"/>
      <c r="B80" s="2"/>
      <c r="C80" s="8"/>
      <c r="D80" s="8"/>
      <c r="E80" s="8"/>
      <c r="F80" s="8"/>
      <c r="G80" s="9"/>
    </row>
    <row r="81" spans="1:7" s="12" customFormat="1" ht="21" customHeight="1">
      <c r="A81" s="7"/>
      <c r="B81" s="2"/>
      <c r="C81" s="8"/>
      <c r="D81" s="8"/>
      <c r="E81" s="8"/>
      <c r="F81" s="8"/>
      <c r="G81" s="9"/>
    </row>
    <row r="82" spans="1:7" s="12" customFormat="1" ht="21" customHeight="1">
      <c r="A82" s="7"/>
      <c r="B82" s="2"/>
      <c r="C82" s="8"/>
      <c r="D82" s="8"/>
      <c r="E82" s="8"/>
      <c r="F82" s="8"/>
      <c r="G82" s="9"/>
    </row>
    <row r="83" spans="1:7" s="12" customFormat="1" ht="21" customHeight="1">
      <c r="A83" s="7"/>
      <c r="B83" s="2"/>
      <c r="C83" s="8"/>
      <c r="D83" s="8"/>
      <c r="E83" s="8"/>
      <c r="F83" s="8"/>
      <c r="G83" s="9"/>
    </row>
    <row r="84" spans="1:7" s="12" customFormat="1" ht="21" customHeight="1">
      <c r="A84" s="7"/>
      <c r="B84" s="2"/>
      <c r="C84" s="8"/>
      <c r="D84" s="8"/>
      <c r="E84" s="8"/>
      <c r="F84" s="8"/>
      <c r="G84" s="9"/>
    </row>
    <row r="85" spans="1:7" s="12" customFormat="1" ht="21" customHeight="1">
      <c r="A85" s="7"/>
      <c r="B85" s="2"/>
      <c r="C85" s="8"/>
      <c r="D85" s="8"/>
      <c r="E85" s="8"/>
      <c r="F85" s="8"/>
      <c r="G85" s="9"/>
    </row>
    <row r="86" spans="1:7" s="12" customFormat="1" ht="21" customHeight="1">
      <c r="A86" s="7"/>
      <c r="B86" s="2"/>
      <c r="C86" s="8"/>
      <c r="D86" s="8"/>
      <c r="E86" s="8"/>
      <c r="F86" s="8"/>
      <c r="G86" s="9"/>
    </row>
    <row r="87" spans="1:7" s="12" customFormat="1" ht="21" customHeight="1">
      <c r="A87" s="7"/>
      <c r="B87" s="2"/>
      <c r="C87" s="8"/>
      <c r="D87" s="8"/>
      <c r="E87" s="8"/>
      <c r="F87" s="8"/>
      <c r="G87" s="9"/>
    </row>
    <row r="88" spans="1:7" s="12" customFormat="1" ht="21" customHeight="1">
      <c r="A88" s="7"/>
      <c r="B88" s="2"/>
      <c r="C88" s="8"/>
      <c r="D88" s="8"/>
      <c r="E88" s="8"/>
      <c r="F88" s="8"/>
      <c r="G88" s="9"/>
    </row>
    <row r="89" spans="1:7" s="12" customFormat="1" ht="21" customHeight="1">
      <c r="A89" s="7"/>
      <c r="B89" s="2"/>
      <c r="C89" s="8"/>
      <c r="D89" s="8"/>
      <c r="E89" s="8"/>
      <c r="F89" s="8"/>
      <c r="G89" s="9"/>
    </row>
    <row r="90" spans="1:7" s="12" customFormat="1" ht="21" customHeight="1">
      <c r="A90" s="7"/>
      <c r="B90" s="2"/>
      <c r="C90" s="8"/>
      <c r="D90" s="8"/>
      <c r="E90" s="8"/>
      <c r="F90" s="8"/>
      <c r="G90" s="9"/>
    </row>
    <row r="91" spans="1:7" s="12" customFormat="1" ht="21" customHeight="1">
      <c r="A91" s="7"/>
      <c r="B91" s="2"/>
      <c r="C91" s="8"/>
      <c r="D91" s="8"/>
      <c r="E91" s="8"/>
      <c r="F91" s="8"/>
      <c r="G91" s="9"/>
    </row>
    <row r="92" spans="1:7" s="12" customFormat="1" ht="21" customHeight="1">
      <c r="A92" s="7"/>
      <c r="B92" s="2"/>
      <c r="C92" s="8"/>
      <c r="D92" s="8"/>
      <c r="E92" s="8"/>
      <c r="F92" s="8"/>
      <c r="G92" s="9"/>
    </row>
    <row r="93" spans="1:7" s="12" customFormat="1" ht="21" customHeight="1">
      <c r="A93" s="7"/>
      <c r="B93" s="2"/>
      <c r="C93" s="8"/>
      <c r="D93" s="8"/>
      <c r="E93" s="8"/>
      <c r="F93" s="8"/>
      <c r="G93" s="9"/>
    </row>
    <row r="94" spans="1:7" s="12" customFormat="1" ht="21" customHeight="1">
      <c r="A94" s="7"/>
      <c r="B94" s="2"/>
      <c r="C94" s="8"/>
      <c r="D94" s="8"/>
      <c r="E94" s="8"/>
      <c r="F94" s="8"/>
      <c r="G94" s="9"/>
    </row>
    <row r="95" spans="1:7" s="12" customFormat="1" ht="21" customHeight="1">
      <c r="A95" s="7"/>
      <c r="B95" s="2"/>
      <c r="C95" s="8"/>
      <c r="D95" s="8"/>
      <c r="E95" s="8"/>
      <c r="F95" s="8"/>
      <c r="G95" s="9"/>
    </row>
    <row r="96" spans="1:7" s="12" customFormat="1" ht="21" customHeight="1">
      <c r="A96" s="7"/>
      <c r="B96" s="2"/>
      <c r="C96" s="8"/>
      <c r="D96" s="8"/>
      <c r="E96" s="8"/>
      <c r="F96" s="8"/>
      <c r="G96" s="9"/>
    </row>
    <row r="97" spans="1:7" s="12" customFormat="1" ht="21" customHeight="1">
      <c r="A97" s="7"/>
      <c r="B97" s="2"/>
      <c r="C97" s="8"/>
      <c r="D97" s="8"/>
      <c r="E97" s="8"/>
      <c r="F97" s="8"/>
      <c r="G97" s="9"/>
    </row>
    <row r="98" spans="1:7" s="12" customFormat="1" ht="21" customHeight="1">
      <c r="A98" s="7"/>
      <c r="B98" s="2"/>
      <c r="C98" s="8"/>
      <c r="D98" s="8"/>
      <c r="E98" s="8"/>
      <c r="F98" s="8"/>
      <c r="G98" s="9"/>
    </row>
    <row r="99" spans="1:7" s="12" customFormat="1" ht="21" customHeight="1">
      <c r="A99" s="7"/>
      <c r="B99" s="2"/>
      <c r="C99" s="8"/>
      <c r="D99" s="8"/>
      <c r="E99" s="8"/>
      <c r="F99" s="8"/>
      <c r="G99" s="9"/>
    </row>
    <row r="100" spans="1:7" s="12" customFormat="1" ht="21" customHeight="1">
      <c r="A100" s="7"/>
      <c r="B100" s="2"/>
      <c r="C100" s="8"/>
      <c r="D100" s="8"/>
      <c r="E100" s="8"/>
      <c r="F100" s="8"/>
      <c r="G100" s="9"/>
    </row>
    <row r="101" spans="1:7" s="12" customFormat="1" ht="21" customHeight="1">
      <c r="A101" s="7"/>
      <c r="B101" s="2"/>
      <c r="C101" s="8"/>
      <c r="D101" s="8"/>
      <c r="E101" s="8"/>
      <c r="F101" s="8"/>
      <c r="G101" s="9"/>
    </row>
    <row r="102" spans="1:7" s="12" customFormat="1" ht="21" customHeight="1">
      <c r="A102" s="7"/>
      <c r="B102" s="2"/>
      <c r="C102" s="8"/>
      <c r="D102" s="8"/>
      <c r="E102" s="8"/>
      <c r="F102" s="8"/>
      <c r="G102" s="9"/>
    </row>
    <row r="103" spans="1:7" s="12" customFormat="1" ht="21" customHeight="1">
      <c r="A103" s="7"/>
      <c r="B103" s="2"/>
      <c r="C103" s="8"/>
      <c r="D103" s="8"/>
      <c r="E103" s="8"/>
      <c r="F103" s="8"/>
      <c r="G103" s="9"/>
    </row>
    <row r="104" spans="1:7" s="12" customFormat="1" ht="21" customHeight="1">
      <c r="A104" s="7"/>
      <c r="B104" s="2"/>
      <c r="C104" s="8"/>
      <c r="D104" s="8"/>
      <c r="E104" s="8"/>
      <c r="F104" s="8"/>
      <c r="G104" s="9"/>
    </row>
    <row r="105" spans="1:7" s="12" customFormat="1" ht="21" customHeight="1">
      <c r="A105" s="7"/>
      <c r="B105" s="2"/>
      <c r="C105" s="8"/>
      <c r="D105" s="8"/>
      <c r="E105" s="8"/>
      <c r="F105" s="8"/>
      <c r="G105" s="9"/>
    </row>
    <row r="106" spans="1:7" s="12" customFormat="1" ht="21" customHeight="1">
      <c r="A106" s="7"/>
      <c r="B106" s="2"/>
      <c r="C106" s="8"/>
      <c r="D106" s="8"/>
      <c r="E106" s="8"/>
      <c r="F106" s="8"/>
      <c r="G106" s="9"/>
    </row>
    <row r="107" spans="1:7" s="12" customFormat="1" ht="21" customHeight="1">
      <c r="A107" s="7"/>
      <c r="B107" s="2"/>
      <c r="C107" s="8"/>
      <c r="D107" s="8"/>
      <c r="E107" s="8"/>
      <c r="F107" s="8"/>
      <c r="G107" s="9"/>
    </row>
    <row r="108" spans="1:7" s="12" customFormat="1" ht="21" customHeight="1">
      <c r="A108" s="7"/>
      <c r="B108" s="2"/>
      <c r="C108" s="8"/>
      <c r="D108" s="8"/>
      <c r="E108" s="8"/>
      <c r="F108" s="8"/>
      <c r="G108" s="9"/>
    </row>
    <row r="109" spans="1:7" s="12" customFormat="1" ht="21" customHeight="1">
      <c r="A109" s="7"/>
      <c r="B109" s="2"/>
      <c r="C109" s="8"/>
      <c r="D109" s="8"/>
      <c r="E109" s="8"/>
      <c r="F109" s="8"/>
      <c r="G109" s="9"/>
    </row>
    <row r="110" spans="1:7" s="12" customFormat="1" ht="21" customHeight="1">
      <c r="A110" s="7"/>
      <c r="B110" s="2"/>
      <c r="C110" s="8"/>
      <c r="D110" s="8"/>
      <c r="E110" s="8"/>
      <c r="F110" s="8"/>
      <c r="G110" s="9"/>
    </row>
    <row r="111" spans="1:7" s="12" customFormat="1" ht="21" customHeight="1">
      <c r="A111" s="7"/>
      <c r="B111" s="2"/>
      <c r="C111" s="8"/>
      <c r="D111" s="8"/>
      <c r="E111" s="8"/>
      <c r="F111" s="8"/>
      <c r="G111" s="9"/>
    </row>
    <row r="112" spans="1:7" s="12" customFormat="1" ht="21" customHeight="1">
      <c r="A112" s="7"/>
      <c r="B112" s="2"/>
      <c r="C112" s="8"/>
      <c r="D112" s="8"/>
      <c r="E112" s="8"/>
      <c r="F112" s="8"/>
      <c r="G112" s="9"/>
    </row>
    <row r="113" spans="1:7" s="12" customFormat="1" ht="21" customHeight="1">
      <c r="A113" s="7"/>
      <c r="B113" s="2"/>
      <c r="C113" s="8"/>
      <c r="D113" s="8"/>
      <c r="E113" s="8"/>
      <c r="F113" s="8"/>
      <c r="G113" s="9"/>
    </row>
    <row r="114" spans="1:7" s="12" customFormat="1" ht="21" customHeight="1">
      <c r="A114" s="7"/>
      <c r="B114" s="2"/>
      <c r="C114" s="8"/>
      <c r="D114" s="8"/>
      <c r="E114" s="8"/>
      <c r="F114" s="8"/>
      <c r="G114" s="9"/>
    </row>
    <row r="115" spans="1:7" s="12" customFormat="1" ht="21" customHeight="1">
      <c r="A115" s="7"/>
      <c r="B115" s="2"/>
      <c r="C115" s="8"/>
      <c r="D115" s="8"/>
      <c r="E115" s="8"/>
      <c r="F115" s="8"/>
      <c r="G115" s="9"/>
    </row>
    <row r="116" spans="1:7" s="12" customFormat="1" ht="21" customHeight="1">
      <c r="A116" s="7"/>
      <c r="B116" s="2"/>
      <c r="C116" s="8"/>
      <c r="D116" s="8"/>
      <c r="E116" s="8"/>
      <c r="F116" s="8"/>
      <c r="G116" s="9"/>
    </row>
    <row r="117" spans="1:7" s="12" customFormat="1" ht="21" customHeight="1">
      <c r="A117" s="7"/>
      <c r="B117" s="2"/>
      <c r="C117" s="8"/>
      <c r="D117" s="8"/>
      <c r="E117" s="8"/>
      <c r="F117" s="8"/>
      <c r="G117" s="9"/>
    </row>
    <row r="118" spans="1:7" s="12" customFormat="1" ht="21" customHeight="1">
      <c r="A118" s="7"/>
      <c r="B118" s="2"/>
      <c r="C118" s="8"/>
      <c r="D118" s="8"/>
      <c r="E118" s="8"/>
      <c r="F118" s="8"/>
      <c r="G118" s="9"/>
    </row>
    <row r="119" spans="1:7" s="12" customFormat="1" ht="21" customHeight="1">
      <c r="A119" s="7"/>
      <c r="B119" s="2"/>
      <c r="C119" s="8"/>
      <c r="D119" s="8"/>
      <c r="E119" s="8"/>
      <c r="F119" s="8"/>
      <c r="G119" s="9"/>
    </row>
    <row r="120" spans="1:7" s="12" customFormat="1" ht="21" customHeight="1">
      <c r="A120" s="7"/>
      <c r="B120" s="2"/>
      <c r="C120" s="8"/>
      <c r="D120" s="8"/>
      <c r="E120" s="8"/>
      <c r="F120" s="8"/>
      <c r="G120" s="9"/>
    </row>
    <row r="121" spans="1:7" s="12" customFormat="1" ht="21" customHeight="1">
      <c r="A121" s="7"/>
      <c r="B121" s="2"/>
      <c r="C121" s="8"/>
      <c r="D121" s="8"/>
      <c r="E121" s="8"/>
      <c r="F121" s="8"/>
      <c r="G121" s="9"/>
    </row>
    <row r="122" spans="1:7" s="12" customFormat="1" ht="21" customHeight="1">
      <c r="A122" s="7"/>
      <c r="B122" s="2"/>
      <c r="C122" s="8"/>
      <c r="D122" s="8"/>
      <c r="E122" s="8"/>
      <c r="F122" s="8"/>
      <c r="G122" s="9"/>
    </row>
    <row r="123" spans="1:7" s="12" customFormat="1" ht="21" customHeight="1">
      <c r="A123" s="7"/>
      <c r="B123" s="2"/>
      <c r="C123" s="8"/>
      <c r="D123" s="8"/>
      <c r="E123" s="8"/>
      <c r="F123" s="8"/>
      <c r="G123" s="9"/>
    </row>
    <row r="124" spans="1:7" s="12" customFormat="1" ht="21" customHeight="1">
      <c r="A124" s="7"/>
      <c r="B124" s="2"/>
      <c r="C124" s="8"/>
      <c r="D124" s="8"/>
      <c r="E124" s="8"/>
      <c r="F124" s="8"/>
      <c r="G124" s="9"/>
    </row>
    <row r="125" spans="1:7" s="12" customFormat="1" ht="21" customHeight="1">
      <c r="A125" s="7"/>
      <c r="B125" s="2"/>
      <c r="C125" s="8"/>
      <c r="D125" s="8"/>
      <c r="E125" s="8"/>
      <c r="F125" s="8"/>
      <c r="G125" s="9"/>
    </row>
    <row r="126" spans="1:7" s="12" customFormat="1" ht="21" customHeight="1">
      <c r="A126" s="7"/>
      <c r="B126" s="2"/>
      <c r="C126" s="8"/>
      <c r="D126" s="8"/>
      <c r="E126" s="8"/>
      <c r="F126" s="8"/>
      <c r="G126" s="9"/>
    </row>
    <row r="127" spans="1:7" s="12" customFormat="1" ht="21" customHeight="1">
      <c r="A127" s="7"/>
      <c r="B127" s="2"/>
      <c r="C127" s="8"/>
      <c r="D127" s="8"/>
      <c r="E127" s="8"/>
      <c r="F127" s="8"/>
      <c r="G127" s="9"/>
    </row>
    <row r="128" spans="1:7" s="12" customFormat="1" ht="21" customHeight="1">
      <c r="A128" s="7"/>
      <c r="B128" s="2"/>
      <c r="C128" s="8"/>
      <c r="D128" s="8"/>
      <c r="E128" s="8"/>
      <c r="F128" s="8"/>
      <c r="G128" s="9"/>
    </row>
    <row r="129" spans="1:7" s="12" customFormat="1" ht="21" customHeight="1">
      <c r="A129" s="7"/>
      <c r="B129" s="2"/>
      <c r="C129" s="8"/>
      <c r="D129" s="8"/>
      <c r="E129" s="8"/>
      <c r="F129" s="8"/>
      <c r="G129" s="9"/>
    </row>
    <row r="130" spans="1:7" s="12" customFormat="1" ht="21" customHeight="1">
      <c r="A130" s="7"/>
      <c r="B130" s="2"/>
      <c r="C130" s="8"/>
      <c r="D130" s="8"/>
      <c r="E130" s="8"/>
      <c r="F130" s="8"/>
      <c r="G130" s="9"/>
    </row>
    <row r="131" spans="1:7" s="12" customFormat="1" ht="21" customHeight="1">
      <c r="A131" s="7"/>
      <c r="B131" s="2"/>
      <c r="C131" s="8"/>
      <c r="D131" s="8"/>
      <c r="E131" s="8"/>
      <c r="F131" s="8"/>
      <c r="G131" s="9"/>
    </row>
    <row r="132" spans="1:7" s="12" customFormat="1" ht="21" customHeight="1">
      <c r="A132" s="7"/>
      <c r="B132" s="2"/>
      <c r="C132" s="8"/>
      <c r="D132" s="8"/>
      <c r="E132" s="8"/>
      <c r="F132" s="8"/>
      <c r="G132" s="9"/>
    </row>
    <row r="133" spans="1:7" s="12" customFormat="1" ht="21" customHeight="1">
      <c r="A133" s="7"/>
      <c r="B133" s="2"/>
      <c r="C133" s="8"/>
      <c r="D133" s="8"/>
      <c r="E133" s="8"/>
      <c r="F133" s="8"/>
      <c r="G133" s="9"/>
    </row>
    <row r="134" spans="1:7" s="12" customFormat="1" ht="21" customHeight="1">
      <c r="A134" s="7"/>
      <c r="B134" s="2"/>
      <c r="C134" s="8"/>
      <c r="D134" s="8"/>
      <c r="E134" s="8"/>
      <c r="F134" s="8"/>
      <c r="G134" s="9"/>
    </row>
    <row r="135" spans="1:7" s="12" customFormat="1" ht="21" customHeight="1">
      <c r="A135" s="7"/>
      <c r="B135" s="2"/>
      <c r="C135" s="8"/>
      <c r="D135" s="8"/>
      <c r="E135" s="8"/>
      <c r="F135" s="8"/>
      <c r="G135" s="9"/>
    </row>
    <row r="136" spans="1:7" s="12" customFormat="1" ht="21" customHeight="1">
      <c r="A136" s="7"/>
      <c r="B136" s="2"/>
      <c r="C136" s="8"/>
      <c r="D136" s="8"/>
      <c r="E136" s="8"/>
      <c r="F136" s="8"/>
      <c r="G136" s="9"/>
    </row>
    <row r="137" spans="1:7" s="12" customFormat="1" ht="21" customHeight="1">
      <c r="A137" s="7"/>
      <c r="B137" s="2"/>
      <c r="C137" s="8"/>
      <c r="D137" s="8"/>
      <c r="E137" s="8"/>
      <c r="F137" s="8"/>
      <c r="G137" s="9"/>
    </row>
    <row r="138" spans="1:7" s="12" customFormat="1" ht="21" customHeight="1">
      <c r="A138" s="7"/>
      <c r="B138" s="2"/>
      <c r="C138" s="8"/>
      <c r="D138" s="8"/>
      <c r="E138" s="8"/>
      <c r="F138" s="8"/>
      <c r="G138" s="9"/>
    </row>
    <row r="139" spans="1:7" s="12" customFormat="1" ht="21" customHeight="1">
      <c r="A139" s="7"/>
      <c r="B139" s="2"/>
      <c r="C139" s="8"/>
      <c r="D139" s="8"/>
      <c r="E139" s="8"/>
      <c r="F139" s="8"/>
      <c r="G139" s="9"/>
    </row>
    <row r="140" spans="1:7" s="12" customFormat="1" ht="21" customHeight="1">
      <c r="A140" s="7"/>
      <c r="B140" s="2"/>
      <c r="C140" s="8"/>
      <c r="D140" s="8"/>
      <c r="E140" s="8"/>
      <c r="F140" s="8"/>
      <c r="G140" s="9"/>
    </row>
    <row r="141" spans="1:7" s="12" customFormat="1" ht="21" customHeight="1">
      <c r="A141" s="7"/>
      <c r="B141" s="2"/>
      <c r="C141" s="8"/>
      <c r="D141" s="8"/>
      <c r="E141" s="8"/>
      <c r="F141" s="8"/>
      <c r="G141" s="9"/>
    </row>
    <row r="142" spans="1:7" s="12" customFormat="1" ht="21" customHeight="1">
      <c r="A142" s="7"/>
      <c r="B142" s="2"/>
      <c r="C142" s="8"/>
      <c r="D142" s="8"/>
      <c r="E142" s="8"/>
      <c r="F142" s="8"/>
      <c r="G142" s="9"/>
    </row>
    <row r="143" spans="1:7" s="12" customFormat="1" ht="21" customHeight="1">
      <c r="A143" s="7"/>
      <c r="B143" s="2"/>
      <c r="C143" s="8"/>
      <c r="D143" s="8"/>
      <c r="E143" s="8"/>
      <c r="F143" s="8"/>
      <c r="G143" s="9"/>
    </row>
    <row r="144" spans="1:7" s="12" customFormat="1" ht="21" customHeight="1">
      <c r="A144" s="7"/>
      <c r="B144" s="2"/>
      <c r="C144" s="8"/>
      <c r="D144" s="8"/>
      <c r="E144" s="8"/>
      <c r="F144" s="8"/>
      <c r="G144" s="9"/>
    </row>
    <row r="145" spans="1:7" s="12" customFormat="1" ht="21" customHeight="1">
      <c r="A145" s="7"/>
      <c r="B145" s="2"/>
      <c r="C145" s="8"/>
      <c r="D145" s="8"/>
      <c r="E145" s="8"/>
      <c r="F145" s="8"/>
      <c r="G145" s="9"/>
    </row>
    <row r="146" spans="1:7" s="12" customFormat="1" ht="21" customHeight="1">
      <c r="A146" s="7"/>
      <c r="B146" s="2"/>
      <c r="C146" s="8"/>
      <c r="D146" s="8"/>
      <c r="E146" s="8"/>
      <c r="F146" s="8"/>
      <c r="G146" s="9"/>
    </row>
    <row r="147" spans="1:7" s="12" customFormat="1" ht="21" customHeight="1">
      <c r="A147" s="7"/>
      <c r="B147" s="2"/>
      <c r="C147" s="8"/>
      <c r="D147" s="8"/>
      <c r="E147" s="8"/>
      <c r="F147" s="8"/>
      <c r="G147" s="9"/>
    </row>
    <row r="148" spans="1:7" s="12" customFormat="1" ht="21" customHeight="1">
      <c r="A148" s="7"/>
      <c r="B148" s="2"/>
      <c r="C148" s="8"/>
      <c r="D148" s="8"/>
      <c r="E148" s="8"/>
      <c r="F148" s="8"/>
      <c r="G148" s="9"/>
    </row>
    <row r="149" spans="1:7" s="12" customFormat="1" ht="21" customHeight="1">
      <c r="A149" s="7"/>
      <c r="B149" s="2"/>
      <c r="C149" s="8"/>
      <c r="D149" s="8"/>
      <c r="E149" s="8"/>
      <c r="F149" s="8"/>
      <c r="G149" s="9"/>
    </row>
    <row r="150" spans="1:7" s="12" customFormat="1" ht="21" customHeight="1">
      <c r="A150" s="7"/>
      <c r="B150" s="2"/>
      <c r="C150" s="8"/>
      <c r="D150" s="8"/>
      <c r="E150" s="8"/>
      <c r="F150" s="8"/>
      <c r="G150" s="9"/>
    </row>
    <row r="151" spans="1:7" s="12" customFormat="1" ht="21" customHeight="1">
      <c r="A151" s="7"/>
      <c r="B151" s="2"/>
      <c r="C151" s="8"/>
      <c r="D151" s="8"/>
      <c r="E151" s="8"/>
      <c r="F151" s="8"/>
      <c r="G151" s="9"/>
    </row>
    <row r="152" spans="1:7" s="12" customFormat="1" ht="21" customHeight="1">
      <c r="A152" s="7"/>
      <c r="B152" s="2"/>
      <c r="C152" s="8"/>
      <c r="D152" s="8"/>
      <c r="E152" s="8"/>
      <c r="F152" s="8"/>
      <c r="G152" s="9"/>
    </row>
    <row r="153" spans="1:7" s="12" customFormat="1" ht="21" customHeight="1">
      <c r="A153" s="7"/>
      <c r="B153" s="2"/>
      <c r="C153" s="8"/>
      <c r="D153" s="8"/>
      <c r="E153" s="8"/>
      <c r="F153" s="8"/>
      <c r="G153" s="9"/>
    </row>
    <row r="154" spans="1:7" s="12" customFormat="1" ht="21" customHeight="1">
      <c r="A154" s="7"/>
      <c r="B154" s="2"/>
      <c r="C154" s="8"/>
      <c r="D154" s="8"/>
      <c r="E154" s="8"/>
      <c r="F154" s="8"/>
      <c r="G154" s="9"/>
    </row>
    <row r="155" spans="1:7" s="12" customFormat="1" ht="21" customHeight="1">
      <c r="A155" s="7"/>
      <c r="B155" s="2"/>
      <c r="C155" s="8"/>
      <c r="D155" s="8"/>
      <c r="E155" s="8"/>
      <c r="F155" s="8"/>
      <c r="G155" s="9"/>
    </row>
    <row r="156" spans="1:7" s="12" customFormat="1" ht="21" customHeight="1">
      <c r="A156" s="7"/>
      <c r="B156" s="2"/>
      <c r="C156" s="8"/>
      <c r="D156" s="8"/>
      <c r="E156" s="8"/>
      <c r="F156" s="8"/>
      <c r="G156" s="9"/>
    </row>
    <row r="157" spans="1:7" s="12" customFormat="1" ht="21" customHeight="1">
      <c r="A157" s="7"/>
      <c r="B157" s="2"/>
      <c r="C157" s="8"/>
      <c r="D157" s="8"/>
      <c r="E157" s="8"/>
      <c r="F157" s="8"/>
      <c r="G157" s="9"/>
    </row>
    <row r="158" spans="1:7" s="12" customFormat="1" ht="21" customHeight="1">
      <c r="A158" s="7"/>
      <c r="B158" s="2"/>
      <c r="C158" s="8"/>
      <c r="D158" s="8"/>
      <c r="E158" s="8"/>
      <c r="F158" s="8"/>
      <c r="G158" s="9"/>
    </row>
    <row r="159" spans="1:7" s="12" customFormat="1" ht="21" customHeight="1">
      <c r="A159" s="7"/>
      <c r="B159" s="2"/>
      <c r="C159" s="8"/>
      <c r="D159" s="8"/>
      <c r="E159" s="8"/>
      <c r="F159" s="8"/>
      <c r="G159" s="9"/>
    </row>
    <row r="160" spans="1:7" s="12" customFormat="1" ht="21" customHeight="1">
      <c r="A160" s="7"/>
      <c r="B160" s="2"/>
      <c r="C160" s="8"/>
      <c r="D160" s="8"/>
      <c r="E160" s="8"/>
      <c r="F160" s="8"/>
      <c r="G160" s="9"/>
    </row>
    <row r="161" spans="1:7" s="12" customFormat="1" ht="21" customHeight="1">
      <c r="A161" s="7"/>
      <c r="B161" s="2"/>
      <c r="C161" s="8"/>
      <c r="D161" s="8"/>
      <c r="E161" s="8"/>
      <c r="F161" s="8"/>
      <c r="G161" s="9"/>
    </row>
    <row r="162" spans="1:7" s="12" customFormat="1" ht="21" customHeight="1">
      <c r="A162" s="7"/>
      <c r="B162" s="2"/>
      <c r="C162" s="8"/>
      <c r="D162" s="8"/>
      <c r="E162" s="8"/>
      <c r="F162" s="8"/>
      <c r="G162" s="9"/>
    </row>
    <row r="163" spans="1:7" s="12" customFormat="1" ht="21" customHeight="1">
      <c r="A163" s="7"/>
      <c r="B163" s="2"/>
      <c r="C163" s="8"/>
      <c r="D163" s="8"/>
      <c r="E163" s="8"/>
      <c r="F163" s="8"/>
      <c r="G163" s="9"/>
    </row>
    <row r="164" spans="1:7" s="12" customFormat="1" ht="21" customHeight="1">
      <c r="A164" s="7"/>
      <c r="B164" s="2"/>
      <c r="C164" s="8"/>
      <c r="D164" s="8"/>
      <c r="E164" s="8"/>
      <c r="F164" s="8"/>
      <c r="G164" s="9"/>
    </row>
    <row r="165" spans="1:7" s="12" customFormat="1" ht="21" customHeight="1">
      <c r="A165" s="7"/>
      <c r="B165" s="2"/>
      <c r="C165" s="8"/>
      <c r="D165" s="8"/>
      <c r="E165" s="8"/>
      <c r="F165" s="8"/>
      <c r="G165" s="9"/>
    </row>
    <row r="166" spans="1:7" s="12" customFormat="1" ht="21" customHeight="1">
      <c r="A166" s="7"/>
      <c r="B166" s="2"/>
      <c r="C166" s="8"/>
      <c r="D166" s="8"/>
      <c r="E166" s="8"/>
      <c r="F166" s="8"/>
      <c r="G166" s="9"/>
    </row>
    <row r="167" spans="1:7" s="12" customFormat="1" ht="21" customHeight="1">
      <c r="A167" s="7"/>
      <c r="B167" s="2"/>
      <c r="C167" s="8"/>
      <c r="D167" s="8"/>
      <c r="E167" s="8"/>
      <c r="F167" s="8"/>
      <c r="G167" s="9"/>
    </row>
    <row r="168" spans="1:7" s="12" customFormat="1" ht="21" customHeight="1">
      <c r="A168" s="7"/>
      <c r="B168" s="2"/>
      <c r="C168" s="8"/>
      <c r="D168" s="8"/>
      <c r="E168" s="8"/>
      <c r="F168" s="8"/>
      <c r="G168" s="9"/>
    </row>
    <row r="169" spans="1:7" s="12" customFormat="1" ht="21" customHeight="1">
      <c r="A169" s="7"/>
      <c r="B169" s="2"/>
      <c r="C169" s="8"/>
      <c r="D169" s="8"/>
      <c r="E169" s="8"/>
      <c r="F169" s="8"/>
      <c r="G169" s="9"/>
    </row>
    <row r="170" spans="1:7" s="12" customFormat="1" ht="21" customHeight="1">
      <c r="A170" s="7"/>
      <c r="B170" s="2"/>
      <c r="C170" s="8"/>
      <c r="D170" s="8"/>
      <c r="E170" s="8"/>
      <c r="F170" s="8"/>
      <c r="G170" s="9"/>
    </row>
    <row r="171" spans="1:7" s="12" customFormat="1" ht="21" customHeight="1">
      <c r="A171" s="7"/>
      <c r="B171" s="2"/>
      <c r="C171" s="8"/>
      <c r="D171" s="8"/>
      <c r="E171" s="8"/>
      <c r="F171" s="8"/>
      <c r="G171" s="9"/>
    </row>
    <row r="172" spans="1:7" s="12" customFormat="1" ht="21" customHeight="1">
      <c r="A172" s="7"/>
      <c r="B172" s="2"/>
      <c r="C172" s="8"/>
      <c r="D172" s="8"/>
      <c r="E172" s="8"/>
      <c r="F172" s="8"/>
      <c r="G172" s="9"/>
    </row>
    <row r="173" spans="1:7" s="12" customFormat="1" ht="21" customHeight="1">
      <c r="A173" s="7"/>
      <c r="B173" s="2"/>
      <c r="C173" s="8"/>
      <c r="D173" s="8"/>
      <c r="E173" s="8"/>
      <c r="F173" s="8"/>
      <c r="G173" s="9"/>
    </row>
    <row r="174" spans="1:7" s="12" customFormat="1" ht="21" customHeight="1">
      <c r="A174" s="7"/>
      <c r="B174" s="2"/>
      <c r="C174" s="8"/>
      <c r="D174" s="8"/>
      <c r="E174" s="8"/>
      <c r="F174" s="8"/>
      <c r="G174" s="9"/>
    </row>
    <row r="175" spans="1:7" s="12" customFormat="1" ht="21" customHeight="1">
      <c r="A175" s="7"/>
      <c r="B175" s="2"/>
      <c r="C175" s="8"/>
      <c r="D175" s="8"/>
      <c r="E175" s="8"/>
      <c r="F175" s="8"/>
      <c r="G175" s="9"/>
    </row>
    <row r="176" spans="1:7" s="12" customFormat="1" ht="21" customHeight="1">
      <c r="A176" s="7"/>
      <c r="B176" s="2"/>
      <c r="C176" s="8"/>
      <c r="D176" s="8"/>
      <c r="E176" s="8"/>
      <c r="F176" s="8"/>
      <c r="G176" s="9"/>
    </row>
    <row r="177" spans="1:7" s="12" customFormat="1" ht="21" customHeight="1">
      <c r="A177" s="7"/>
      <c r="B177" s="2"/>
      <c r="C177" s="8"/>
      <c r="D177" s="8"/>
      <c r="E177" s="8"/>
      <c r="F177" s="8"/>
      <c r="G177" s="9"/>
    </row>
    <row r="178" spans="1:7" s="12" customFormat="1" ht="21" customHeight="1">
      <c r="A178" s="7"/>
      <c r="B178" s="2"/>
      <c r="C178" s="8"/>
      <c r="D178" s="8"/>
      <c r="E178" s="8"/>
      <c r="F178" s="8"/>
      <c r="G178" s="9"/>
    </row>
    <row r="179" spans="1:7" s="12" customFormat="1" ht="21" customHeight="1">
      <c r="A179" s="7"/>
      <c r="B179" s="2"/>
      <c r="C179" s="8"/>
      <c r="D179" s="8"/>
      <c r="E179" s="8"/>
      <c r="F179" s="8"/>
      <c r="G179" s="9"/>
    </row>
    <row r="180" spans="1:7" s="12" customFormat="1" ht="21" customHeight="1">
      <c r="A180" s="7"/>
      <c r="B180" s="2"/>
      <c r="C180" s="8"/>
      <c r="D180" s="8"/>
      <c r="E180" s="8"/>
      <c r="F180" s="8"/>
      <c r="G180" s="9"/>
    </row>
    <row r="181" spans="1:7" s="12" customFormat="1" ht="21" customHeight="1">
      <c r="A181" s="7"/>
      <c r="B181" s="2"/>
      <c r="C181" s="8"/>
      <c r="D181" s="8"/>
      <c r="E181" s="8"/>
      <c r="F181" s="8"/>
      <c r="G181" s="9"/>
    </row>
    <row r="182" spans="1:7" s="12" customFormat="1" ht="21" customHeight="1">
      <c r="A182" s="7"/>
      <c r="B182" s="2"/>
      <c r="C182" s="8"/>
      <c r="D182" s="8"/>
      <c r="E182" s="8"/>
      <c r="F182" s="8"/>
      <c r="G182" s="9"/>
    </row>
    <row r="183" spans="1:7" s="12" customFormat="1" ht="21" customHeight="1">
      <c r="A183" s="7"/>
      <c r="B183" s="2"/>
      <c r="C183" s="8"/>
      <c r="D183" s="8"/>
      <c r="E183" s="8"/>
      <c r="F183" s="8"/>
      <c r="G183" s="9"/>
    </row>
    <row r="184" spans="1:7" s="12" customFormat="1" ht="21" customHeight="1">
      <c r="A184" s="7"/>
      <c r="B184" s="2"/>
      <c r="C184" s="8"/>
      <c r="D184" s="8"/>
      <c r="E184" s="8"/>
      <c r="F184" s="8"/>
      <c r="G184" s="9"/>
    </row>
    <row r="185" spans="1:7" s="12" customFormat="1" ht="21" customHeight="1">
      <c r="A185" s="7"/>
      <c r="B185" s="2"/>
      <c r="C185" s="8"/>
      <c r="D185" s="8"/>
      <c r="E185" s="8"/>
      <c r="F185" s="8"/>
      <c r="G185" s="9"/>
    </row>
    <row r="186" spans="1:7" s="12" customFormat="1" ht="21" customHeight="1">
      <c r="A186" s="7"/>
      <c r="B186" s="2"/>
      <c r="C186" s="8"/>
      <c r="D186" s="8"/>
      <c r="E186" s="8"/>
      <c r="F186" s="8"/>
      <c r="G186" s="9"/>
    </row>
    <row r="187" spans="1:7" s="12" customFormat="1" ht="21" customHeight="1">
      <c r="A187" s="10"/>
      <c r="B187" s="2"/>
      <c r="C187" s="2"/>
      <c r="D187" s="2"/>
      <c r="E187" s="2"/>
      <c r="F187" s="2"/>
      <c r="G187" s="2"/>
    </row>
    <row r="188" spans="1:7" s="12" customFormat="1" ht="21" customHeight="1">
      <c r="A188" s="10"/>
      <c r="B188" s="2"/>
      <c r="C188" s="2"/>
      <c r="D188" s="2"/>
      <c r="E188" s="2"/>
      <c r="F188" s="2"/>
      <c r="G188" s="2"/>
    </row>
    <row r="189" spans="1:7" s="12" customFormat="1" ht="21" customHeight="1">
      <c r="A189" s="10"/>
      <c r="B189" s="2"/>
      <c r="C189" s="2"/>
      <c r="D189" s="2"/>
      <c r="E189" s="2"/>
      <c r="F189" s="2"/>
      <c r="G189" s="2"/>
    </row>
    <row r="190" spans="1:7" s="12" customFormat="1" ht="21" customHeight="1">
      <c r="A190" s="10"/>
      <c r="B190" s="2"/>
      <c r="C190" s="2"/>
      <c r="D190" s="2"/>
      <c r="E190" s="2"/>
      <c r="F190" s="2"/>
      <c r="G190" s="2"/>
    </row>
    <row r="191" spans="1:7" s="12" customFormat="1" ht="21" customHeight="1">
      <c r="A191" s="10"/>
      <c r="B191" s="2"/>
      <c r="C191" s="2"/>
      <c r="D191" s="2"/>
      <c r="E191" s="2"/>
      <c r="F191" s="2"/>
      <c r="G191" s="2"/>
    </row>
    <row r="192" spans="1:7" ht="21" customHeight="1">
      <c r="A192" s="10"/>
      <c r="B192" s="2"/>
      <c r="C192" s="2"/>
      <c r="D192" s="2"/>
      <c r="E192" s="2"/>
      <c r="F192" s="2"/>
      <c r="G192" s="2"/>
    </row>
    <row r="193" spans="1:7" ht="21" customHeight="1">
      <c r="A193" s="10"/>
      <c r="B193" s="2"/>
      <c r="C193" s="2"/>
      <c r="D193" s="2"/>
      <c r="E193" s="2"/>
      <c r="F193" s="2"/>
      <c r="G193" s="2"/>
    </row>
    <row r="194" spans="1:7" ht="21" customHeight="1">
      <c r="A194" s="10"/>
      <c r="B194" s="2"/>
      <c r="C194" s="2"/>
      <c r="D194" s="2"/>
      <c r="E194" s="2"/>
      <c r="F194" s="2"/>
      <c r="G194" s="2"/>
    </row>
    <row r="195" spans="1:7" ht="21" customHeight="1">
      <c r="A195" s="10"/>
      <c r="B195" s="2"/>
      <c r="C195" s="2"/>
      <c r="D195" s="2"/>
      <c r="E195" s="2"/>
      <c r="F195" s="2"/>
      <c r="G195" s="2"/>
    </row>
    <row r="196" spans="1:7" ht="21" customHeight="1">
      <c r="A196" s="10"/>
      <c r="B196" s="2"/>
      <c r="C196" s="2"/>
      <c r="D196" s="2"/>
      <c r="E196" s="2"/>
      <c r="F196" s="2"/>
      <c r="G196" s="2"/>
    </row>
    <row r="197" spans="1:7" ht="21" customHeight="1">
      <c r="A197" s="10"/>
      <c r="B197" s="2"/>
      <c r="C197" s="2"/>
      <c r="D197" s="2"/>
      <c r="E197" s="2"/>
      <c r="F197" s="2"/>
      <c r="G197" s="2"/>
    </row>
    <row r="198" spans="1:7" ht="21" customHeight="1">
      <c r="A198" s="10"/>
      <c r="B198" s="2"/>
      <c r="C198" s="2"/>
      <c r="D198" s="2"/>
      <c r="E198" s="2"/>
      <c r="F198" s="2"/>
      <c r="G198" s="2"/>
    </row>
    <row r="199" spans="1:7" ht="21" customHeight="1">
      <c r="A199" s="10"/>
      <c r="B199" s="2"/>
      <c r="C199" s="2"/>
      <c r="D199" s="2"/>
      <c r="E199" s="2"/>
      <c r="F199" s="2"/>
      <c r="G199" s="2"/>
    </row>
    <row r="200" spans="1:7" ht="21" customHeight="1">
      <c r="A200" s="10"/>
      <c r="B200" s="2"/>
      <c r="C200" s="2"/>
      <c r="D200" s="2"/>
      <c r="E200" s="2"/>
      <c r="F200" s="2"/>
      <c r="G200" s="2"/>
    </row>
    <row r="201" spans="1:7" ht="21" customHeight="1">
      <c r="A201" s="10"/>
      <c r="B201" s="2"/>
      <c r="C201" s="2"/>
      <c r="D201" s="2"/>
      <c r="E201" s="2"/>
      <c r="F201" s="2"/>
      <c r="G201" s="2"/>
    </row>
    <row r="202" spans="1:7" ht="21" customHeight="1">
      <c r="A202" s="10"/>
      <c r="B202" s="2"/>
      <c r="C202" s="2"/>
      <c r="D202" s="2"/>
      <c r="E202" s="2"/>
      <c r="F202" s="2"/>
      <c r="G202" s="2"/>
    </row>
    <row r="203" spans="1:7" ht="21" customHeight="1">
      <c r="A203" s="10"/>
      <c r="B203" s="2"/>
      <c r="C203" s="2"/>
      <c r="D203" s="2"/>
      <c r="E203" s="2"/>
      <c r="F203" s="2"/>
      <c r="G203" s="2"/>
    </row>
    <row r="204" spans="1:7" ht="21" customHeight="1">
      <c r="A204" s="10"/>
      <c r="B204" s="2"/>
      <c r="C204" s="2"/>
      <c r="D204" s="2"/>
      <c r="E204" s="2"/>
      <c r="F204" s="2"/>
      <c r="G204" s="2"/>
    </row>
    <row r="205" spans="1:7" ht="21" customHeight="1">
      <c r="A205" s="10"/>
      <c r="B205" s="2"/>
      <c r="C205" s="2"/>
      <c r="D205" s="2"/>
      <c r="E205" s="2"/>
      <c r="F205" s="2"/>
      <c r="G205" s="2"/>
    </row>
    <row r="206" spans="1:7" ht="21" customHeight="1">
      <c r="A206" s="10"/>
      <c r="B206" s="2"/>
      <c r="C206" s="2"/>
      <c r="D206" s="2"/>
      <c r="E206" s="2"/>
      <c r="F206" s="2"/>
      <c r="G206" s="2"/>
    </row>
    <row r="207" spans="1:7" ht="21" customHeight="1">
      <c r="A207" s="10"/>
      <c r="B207" s="2"/>
      <c r="C207" s="2"/>
      <c r="D207" s="2"/>
      <c r="E207" s="2"/>
      <c r="F207" s="2"/>
      <c r="G207" s="2"/>
    </row>
    <row r="208" spans="1:7" ht="21" customHeight="1">
      <c r="A208" s="10"/>
      <c r="B208" s="2"/>
      <c r="C208" s="2"/>
      <c r="D208" s="2"/>
      <c r="E208" s="2"/>
      <c r="F208" s="2"/>
      <c r="G208" s="2"/>
    </row>
    <row r="209" spans="1:7" ht="21" customHeight="1">
      <c r="A209" s="10"/>
      <c r="B209" s="2"/>
      <c r="C209" s="2"/>
      <c r="D209" s="2"/>
      <c r="E209" s="2"/>
      <c r="F209" s="2"/>
      <c r="G209" s="2"/>
    </row>
    <row r="210" spans="1:7" ht="21" customHeight="1">
      <c r="A210" s="10"/>
      <c r="B210" s="2"/>
      <c r="C210" s="2"/>
      <c r="D210" s="2"/>
      <c r="E210" s="2"/>
      <c r="F210" s="2"/>
      <c r="G210" s="2"/>
    </row>
    <row r="211" spans="1:7" ht="21" customHeight="1">
      <c r="A211" s="10"/>
      <c r="B211" s="2"/>
      <c r="C211" s="2"/>
      <c r="D211" s="2"/>
      <c r="E211" s="2"/>
      <c r="F211" s="2"/>
      <c r="G211" s="2"/>
    </row>
    <row r="212" spans="1:7" ht="21" customHeight="1">
      <c r="A212" s="10"/>
      <c r="B212" s="2"/>
      <c r="C212" s="2"/>
      <c r="D212" s="2"/>
      <c r="E212" s="2"/>
      <c r="F212" s="2"/>
      <c r="G212" s="2"/>
    </row>
    <row r="213" spans="1:7" ht="21" customHeight="1">
      <c r="A213" s="10"/>
      <c r="B213" s="2"/>
      <c r="C213" s="2"/>
      <c r="D213" s="2"/>
      <c r="E213" s="2"/>
      <c r="F213" s="2"/>
      <c r="G213" s="2"/>
    </row>
    <row r="214" spans="1:7" ht="21" customHeight="1">
      <c r="A214" s="10"/>
      <c r="B214" s="2"/>
      <c r="C214" s="2"/>
      <c r="D214" s="2"/>
      <c r="E214" s="2"/>
      <c r="F214" s="2"/>
      <c r="G214" s="2"/>
    </row>
    <row r="215" spans="1:7" ht="21" customHeight="1">
      <c r="A215" s="10"/>
      <c r="B215" s="2"/>
      <c r="C215" s="2"/>
      <c r="D215" s="2"/>
      <c r="E215" s="2"/>
      <c r="F215" s="2"/>
      <c r="G215" s="2"/>
    </row>
    <row r="216" spans="1:7" ht="21" customHeight="1">
      <c r="A216" s="10"/>
      <c r="B216" s="2"/>
      <c r="C216" s="2"/>
      <c r="D216" s="2"/>
      <c r="E216" s="2"/>
      <c r="F216" s="2"/>
      <c r="G216" s="2"/>
    </row>
    <row r="217" spans="1:7" ht="21" customHeight="1">
      <c r="A217" s="10"/>
      <c r="B217" s="2"/>
      <c r="C217" s="2"/>
      <c r="D217" s="2"/>
      <c r="E217" s="2"/>
      <c r="F217" s="2"/>
      <c r="G217" s="2"/>
    </row>
    <row r="218" spans="1:7" ht="21" customHeight="1">
      <c r="A218" s="10"/>
      <c r="B218" s="2"/>
      <c r="C218" s="2"/>
      <c r="D218" s="2"/>
      <c r="E218" s="2"/>
      <c r="F218" s="2"/>
      <c r="G218" s="2"/>
    </row>
    <row r="219" spans="1:7" ht="21" customHeight="1">
      <c r="A219" s="10"/>
      <c r="B219" s="2"/>
      <c r="C219" s="2"/>
      <c r="D219" s="2"/>
      <c r="E219" s="2"/>
      <c r="F219" s="2"/>
      <c r="G219" s="2"/>
    </row>
    <row r="220" spans="1:7" ht="21" customHeight="1">
      <c r="A220" s="10"/>
      <c r="B220" s="2"/>
      <c r="C220" s="2"/>
      <c r="D220" s="2"/>
      <c r="E220" s="2"/>
      <c r="F220" s="2"/>
      <c r="G220" s="2"/>
    </row>
    <row r="221" spans="1:7" ht="21" customHeight="1">
      <c r="A221" s="10"/>
      <c r="B221" s="2"/>
      <c r="C221" s="2"/>
      <c r="D221" s="2"/>
      <c r="E221" s="2"/>
      <c r="F221" s="2"/>
      <c r="G221" s="2"/>
    </row>
    <row r="222" spans="1:7" ht="21" customHeight="1">
      <c r="A222" s="10"/>
      <c r="B222" s="2"/>
      <c r="C222" s="2"/>
      <c r="D222" s="2"/>
      <c r="E222" s="2"/>
      <c r="F222" s="2"/>
      <c r="G222" s="2"/>
    </row>
    <row r="223" spans="1:7" ht="21" customHeight="1">
      <c r="A223" s="10"/>
      <c r="B223" s="2"/>
      <c r="C223" s="2"/>
      <c r="D223" s="2"/>
      <c r="E223" s="2"/>
      <c r="F223" s="2"/>
      <c r="G223" s="2"/>
    </row>
    <row r="224" spans="1:7" ht="21" customHeight="1">
      <c r="A224" s="10"/>
      <c r="B224" s="2"/>
      <c r="C224" s="2"/>
      <c r="D224" s="2"/>
      <c r="E224" s="2"/>
      <c r="F224" s="2"/>
      <c r="G224" s="2"/>
    </row>
    <row r="225" spans="1:7" ht="21" customHeight="1">
      <c r="A225" s="10"/>
      <c r="B225" s="2"/>
      <c r="C225" s="2"/>
      <c r="D225" s="2"/>
      <c r="E225" s="2"/>
      <c r="F225" s="2"/>
      <c r="G225" s="2"/>
    </row>
    <row r="226" spans="1:7" ht="21" customHeight="1">
      <c r="A226" s="10"/>
      <c r="B226" s="2"/>
      <c r="C226" s="2"/>
      <c r="D226" s="2"/>
      <c r="E226" s="2"/>
      <c r="F226" s="2"/>
      <c r="G226" s="2"/>
    </row>
    <row r="227" spans="1:7" ht="21" customHeight="1">
      <c r="A227" s="10"/>
      <c r="B227" s="2"/>
      <c r="C227" s="2"/>
      <c r="D227" s="2"/>
      <c r="E227" s="2"/>
      <c r="F227" s="2"/>
      <c r="G227" s="2"/>
    </row>
    <row r="228" spans="1:7" ht="21" customHeight="1">
      <c r="A228" s="10"/>
      <c r="B228" s="2"/>
      <c r="C228" s="2"/>
      <c r="D228" s="2"/>
      <c r="E228" s="2"/>
      <c r="F228" s="2"/>
      <c r="G228" s="2"/>
    </row>
    <row r="229" spans="1:7" ht="21" customHeight="1">
      <c r="A229" s="10"/>
      <c r="B229" s="2"/>
      <c r="C229" s="2"/>
      <c r="D229" s="2"/>
      <c r="E229" s="2"/>
      <c r="F229" s="2"/>
      <c r="G229" s="2"/>
    </row>
    <row r="230" spans="1:7" ht="21" customHeight="1">
      <c r="A230" s="10"/>
      <c r="B230" s="2"/>
      <c r="C230" s="2"/>
      <c r="D230" s="2"/>
      <c r="E230" s="2"/>
      <c r="F230" s="2"/>
      <c r="G230" s="2"/>
    </row>
    <row r="231" spans="1:7" ht="21" customHeight="1">
      <c r="A231" s="10"/>
      <c r="B231" s="2"/>
      <c r="C231" s="2"/>
      <c r="D231" s="2"/>
      <c r="E231" s="2"/>
      <c r="F231" s="2"/>
      <c r="G231" s="2"/>
    </row>
    <row r="232" spans="1:7" ht="21" customHeight="1">
      <c r="A232" s="10"/>
      <c r="B232" s="2"/>
      <c r="C232" s="2"/>
      <c r="D232" s="2"/>
      <c r="E232" s="2"/>
      <c r="F232" s="2"/>
      <c r="G232" s="2"/>
    </row>
    <row r="233" spans="1:7" ht="21" customHeight="1">
      <c r="A233" s="10"/>
      <c r="B233" s="2"/>
      <c r="C233" s="2"/>
      <c r="D233" s="2"/>
      <c r="E233" s="2"/>
      <c r="F233" s="2"/>
      <c r="G233" s="2"/>
    </row>
    <row r="234" spans="1:7" ht="21" customHeight="1">
      <c r="A234" s="10"/>
      <c r="B234" s="2"/>
      <c r="C234" s="2"/>
      <c r="D234" s="2"/>
      <c r="E234" s="2"/>
      <c r="F234" s="2"/>
      <c r="G234" s="2"/>
    </row>
    <row r="235" spans="1:7" ht="21" customHeight="1">
      <c r="A235" s="10"/>
      <c r="B235" s="2"/>
      <c r="C235" s="2"/>
      <c r="D235" s="2"/>
      <c r="E235" s="2"/>
      <c r="F235" s="2"/>
      <c r="G235" s="2"/>
    </row>
    <row r="236" spans="1:7" ht="21" customHeight="1">
      <c r="A236" s="10"/>
      <c r="B236" s="2"/>
      <c r="C236" s="2"/>
      <c r="D236" s="2"/>
      <c r="E236" s="2"/>
      <c r="F236" s="2"/>
      <c r="G236" s="2"/>
    </row>
    <row r="237" spans="1:7" ht="21" customHeight="1">
      <c r="A237" s="10"/>
      <c r="B237" s="2"/>
      <c r="C237" s="2"/>
      <c r="D237" s="2"/>
      <c r="E237" s="2"/>
      <c r="F237" s="2"/>
      <c r="G237" s="2"/>
    </row>
    <row r="238" spans="1:7" ht="21" customHeight="1">
      <c r="A238" s="10"/>
      <c r="B238" s="2"/>
      <c r="C238" s="2"/>
      <c r="D238" s="2"/>
      <c r="E238" s="2"/>
      <c r="F238" s="2"/>
      <c r="G238" s="2"/>
    </row>
    <row r="239" spans="1:7" ht="21" customHeight="1">
      <c r="A239" s="10"/>
      <c r="B239" s="2"/>
      <c r="C239" s="2"/>
      <c r="D239" s="2"/>
      <c r="E239" s="2"/>
      <c r="F239" s="2"/>
      <c r="G239" s="2"/>
    </row>
    <row r="240" spans="1:7" ht="21" customHeight="1">
      <c r="A240" s="10"/>
      <c r="B240" s="2"/>
      <c r="C240" s="2"/>
      <c r="D240" s="2"/>
      <c r="E240" s="2"/>
      <c r="F240" s="2"/>
      <c r="G240" s="2"/>
    </row>
    <row r="241" spans="1:7" ht="21" customHeight="1">
      <c r="A241" s="10"/>
      <c r="B241" s="2"/>
      <c r="C241" s="2"/>
      <c r="D241" s="2"/>
      <c r="E241" s="2"/>
      <c r="F241" s="2"/>
      <c r="G241" s="2"/>
    </row>
    <row r="242" spans="1:7" ht="21" customHeight="1">
      <c r="A242" s="10"/>
      <c r="B242" s="2"/>
      <c r="C242" s="2"/>
      <c r="D242" s="2"/>
      <c r="E242" s="2"/>
      <c r="F242" s="2"/>
      <c r="G242" s="2"/>
    </row>
    <row r="243" spans="1:7" ht="21" customHeight="1">
      <c r="A243" s="10"/>
      <c r="B243" s="2"/>
      <c r="C243" s="2"/>
      <c r="D243" s="2"/>
      <c r="E243" s="2"/>
      <c r="F243" s="2"/>
      <c r="G243" s="2"/>
    </row>
    <row r="244" spans="1:7" ht="21" customHeight="1">
      <c r="A244" s="10"/>
      <c r="B244" s="2"/>
      <c r="C244" s="2"/>
      <c r="D244" s="2"/>
      <c r="E244" s="2"/>
      <c r="F244" s="2"/>
      <c r="G244" s="2"/>
    </row>
    <row r="245" spans="1:7" ht="21" customHeight="1">
      <c r="A245" s="10"/>
      <c r="B245" s="2"/>
      <c r="C245" s="2"/>
      <c r="D245" s="2"/>
      <c r="E245" s="2"/>
      <c r="F245" s="2"/>
      <c r="G245" s="2"/>
    </row>
    <row r="246" spans="1:7" ht="21" customHeight="1">
      <c r="A246" s="10"/>
      <c r="B246" s="2"/>
      <c r="C246" s="2"/>
      <c r="D246" s="2"/>
      <c r="E246" s="2"/>
      <c r="F246" s="2"/>
      <c r="G246" s="2"/>
    </row>
    <row r="247" spans="1:7" ht="21" customHeight="1">
      <c r="A247" s="10"/>
      <c r="B247" s="2"/>
      <c r="C247" s="2"/>
      <c r="D247" s="2"/>
      <c r="E247" s="2"/>
      <c r="F247" s="2"/>
      <c r="G247" s="2"/>
    </row>
    <row r="248" spans="1:7" ht="21" customHeight="1">
      <c r="A248" s="10"/>
      <c r="B248" s="2"/>
      <c r="C248" s="2"/>
      <c r="D248" s="2"/>
      <c r="E248" s="2"/>
      <c r="F248" s="2"/>
      <c r="G248" s="2"/>
    </row>
    <row r="249" spans="1:7" ht="21" customHeight="1">
      <c r="A249" s="10"/>
      <c r="B249" s="2"/>
      <c r="C249" s="2"/>
      <c r="D249" s="2"/>
      <c r="E249" s="2"/>
      <c r="F249" s="2"/>
      <c r="G249" s="2"/>
    </row>
    <row r="250" spans="1:7" ht="21" customHeight="1">
      <c r="A250" s="10"/>
      <c r="B250" s="2"/>
      <c r="C250" s="2"/>
      <c r="D250" s="2"/>
      <c r="E250" s="2"/>
      <c r="F250" s="2"/>
      <c r="G250" s="2"/>
    </row>
    <row r="251" spans="1:7" ht="21" customHeight="1">
      <c r="A251" s="10"/>
      <c r="B251" s="2"/>
      <c r="C251" s="2"/>
      <c r="D251" s="2"/>
      <c r="E251" s="2"/>
      <c r="F251" s="2"/>
      <c r="G251" s="2"/>
    </row>
    <row r="252" spans="1:7" ht="21" customHeight="1">
      <c r="A252" s="10"/>
      <c r="B252" s="2"/>
      <c r="C252" s="2"/>
      <c r="D252" s="2"/>
      <c r="E252" s="2"/>
      <c r="F252" s="2"/>
      <c r="G252" s="2"/>
    </row>
    <row r="253" spans="1:7" ht="21" customHeight="1">
      <c r="A253" s="10"/>
      <c r="B253" s="2"/>
      <c r="C253" s="2"/>
      <c r="D253" s="2"/>
      <c r="E253" s="2"/>
      <c r="F253" s="2"/>
      <c r="G253" s="2"/>
    </row>
    <row r="254" spans="1:7" ht="21" customHeight="1">
      <c r="A254" s="10"/>
      <c r="B254" s="2"/>
      <c r="C254" s="2"/>
      <c r="D254" s="2"/>
      <c r="E254" s="2"/>
      <c r="F254" s="2"/>
      <c r="G254" s="2"/>
    </row>
    <row r="255" spans="1:7" ht="21" customHeight="1">
      <c r="A255" s="10"/>
      <c r="B255" s="2"/>
      <c r="C255" s="2"/>
      <c r="D255" s="2"/>
      <c r="E255" s="2"/>
      <c r="F255" s="2"/>
      <c r="G255" s="2"/>
    </row>
    <row r="256" spans="1:7" ht="21" customHeight="1">
      <c r="A256" s="10"/>
      <c r="B256" s="2"/>
      <c r="C256" s="2"/>
      <c r="D256" s="2"/>
      <c r="E256" s="2"/>
      <c r="F256" s="2"/>
      <c r="G256" s="2"/>
    </row>
    <row r="257" spans="1:7" ht="21" customHeight="1">
      <c r="A257" s="10"/>
      <c r="B257" s="2"/>
      <c r="C257" s="2"/>
      <c r="D257" s="2"/>
      <c r="E257" s="2"/>
      <c r="F257" s="2"/>
      <c r="G257" s="2"/>
    </row>
    <row r="258" spans="1:7" ht="21" customHeight="1">
      <c r="A258" s="10"/>
      <c r="B258" s="2"/>
      <c r="C258" s="2"/>
      <c r="D258" s="2"/>
      <c r="E258" s="2"/>
      <c r="F258" s="2"/>
      <c r="G258" s="2"/>
    </row>
    <row r="259" spans="1:7">
      <c r="A259" s="10"/>
      <c r="B259" s="2"/>
      <c r="C259" s="2"/>
      <c r="D259" s="2"/>
      <c r="E259" s="2"/>
      <c r="F259" s="2"/>
      <c r="G259" s="2"/>
    </row>
    <row r="260" spans="1:7">
      <c r="A260" s="10"/>
      <c r="B260" s="2"/>
      <c r="C260" s="2"/>
      <c r="D260" s="2"/>
      <c r="E260" s="2"/>
      <c r="F260" s="2"/>
      <c r="G260" s="2"/>
    </row>
    <row r="261" spans="1:7">
      <c r="A261" s="10"/>
      <c r="B261" s="2"/>
      <c r="C261" s="2"/>
      <c r="D261" s="2"/>
      <c r="E261" s="2"/>
      <c r="F261" s="2"/>
      <c r="G261" s="2"/>
    </row>
    <row r="262" spans="1:7">
      <c r="A262" s="10"/>
      <c r="B262" s="2"/>
      <c r="C262" s="2"/>
      <c r="D262" s="2"/>
      <c r="E262" s="2"/>
      <c r="F262" s="2"/>
      <c r="G262" s="2"/>
    </row>
    <row r="263" spans="1:7">
      <c r="A263" s="10"/>
      <c r="B263" s="2"/>
      <c r="C263" s="2"/>
      <c r="D263" s="2"/>
      <c r="E263" s="2"/>
      <c r="F263" s="2"/>
      <c r="G263" s="2"/>
    </row>
    <row r="264" spans="1:7">
      <c r="A264" s="10"/>
      <c r="B264" s="2"/>
      <c r="C264" s="2"/>
      <c r="D264" s="2"/>
      <c r="E264" s="2"/>
      <c r="F264" s="2"/>
      <c r="G264" s="2"/>
    </row>
    <row r="265" spans="1:7">
      <c r="A265" s="10"/>
      <c r="B265" s="2"/>
      <c r="C265" s="2"/>
      <c r="D265" s="2"/>
      <c r="E265" s="2"/>
      <c r="F265" s="2"/>
      <c r="G265" s="2"/>
    </row>
    <row r="266" spans="1:7">
      <c r="A266" s="10"/>
      <c r="B266" s="2"/>
      <c r="C266" s="2"/>
      <c r="D266" s="2"/>
      <c r="E266" s="2"/>
      <c r="F266" s="2"/>
      <c r="G266" s="2"/>
    </row>
    <row r="267" spans="1:7">
      <c r="A267" s="10"/>
      <c r="B267" s="2"/>
      <c r="C267" s="2"/>
      <c r="D267" s="2"/>
      <c r="E267" s="2"/>
      <c r="F267" s="2"/>
      <c r="G267" s="2"/>
    </row>
    <row r="268" spans="1:7">
      <c r="A268" s="10"/>
      <c r="B268" s="2"/>
      <c r="C268" s="2"/>
      <c r="D268" s="2"/>
      <c r="E268" s="2"/>
      <c r="F268" s="2"/>
      <c r="G268" s="2"/>
    </row>
    <row r="269" spans="1:7">
      <c r="A269" s="10"/>
      <c r="B269" s="2"/>
      <c r="C269" s="2"/>
      <c r="D269" s="2"/>
      <c r="E269" s="2"/>
      <c r="F269" s="2"/>
      <c r="G269" s="2"/>
    </row>
    <row r="270" spans="1:7">
      <c r="A270" s="10"/>
      <c r="B270" s="2"/>
      <c r="C270" s="2"/>
      <c r="D270" s="2"/>
      <c r="E270" s="2"/>
      <c r="F270" s="2"/>
      <c r="G270" s="2"/>
    </row>
    <row r="271" spans="1:7">
      <c r="A271" s="10"/>
      <c r="B271" s="2"/>
      <c r="C271" s="2"/>
      <c r="D271" s="2"/>
      <c r="E271" s="2"/>
      <c r="F271" s="2"/>
      <c r="G271" s="2"/>
    </row>
    <row r="272" spans="1:7">
      <c r="A272" s="10"/>
      <c r="B272" s="2"/>
      <c r="C272" s="2"/>
      <c r="D272" s="2"/>
      <c r="E272" s="2"/>
      <c r="F272" s="2"/>
      <c r="G272" s="2"/>
    </row>
    <row r="273" spans="1:7">
      <c r="A273" s="10"/>
      <c r="B273" s="2"/>
      <c r="C273" s="2"/>
      <c r="D273" s="2"/>
      <c r="E273" s="2"/>
      <c r="F273" s="2"/>
      <c r="G273" s="2"/>
    </row>
    <row r="274" spans="1:7">
      <c r="A274" s="10"/>
      <c r="B274" s="2"/>
      <c r="C274" s="2"/>
      <c r="D274" s="2"/>
      <c r="E274" s="2"/>
      <c r="F274" s="2"/>
      <c r="G274" s="2"/>
    </row>
    <row r="275" spans="1:7">
      <c r="A275" s="10"/>
      <c r="B275" s="2"/>
      <c r="C275" s="2"/>
      <c r="D275" s="2"/>
      <c r="E275" s="2"/>
      <c r="F275" s="2"/>
      <c r="G275" s="2"/>
    </row>
    <row r="276" spans="1:7">
      <c r="A276" s="10"/>
      <c r="B276" s="2"/>
      <c r="C276" s="2"/>
      <c r="D276" s="2"/>
      <c r="E276" s="2"/>
      <c r="F276" s="2"/>
      <c r="G276" s="2"/>
    </row>
    <row r="277" spans="1:7">
      <c r="A277" s="10"/>
      <c r="B277" s="2"/>
      <c r="C277" s="2"/>
      <c r="D277" s="2"/>
      <c r="E277" s="2"/>
      <c r="F277" s="2"/>
      <c r="G277" s="2"/>
    </row>
    <row r="278" spans="1:7">
      <c r="A278" s="10"/>
      <c r="B278" s="2"/>
      <c r="C278" s="2"/>
      <c r="D278" s="2"/>
      <c r="E278" s="2"/>
      <c r="F278" s="2"/>
      <c r="G278" s="2"/>
    </row>
    <row r="279" spans="1:7">
      <c r="A279" s="10"/>
      <c r="B279" s="2"/>
      <c r="C279" s="2"/>
      <c r="D279" s="2"/>
      <c r="E279" s="2"/>
      <c r="F279" s="2"/>
      <c r="G279" s="2"/>
    </row>
    <row r="280" spans="1:7">
      <c r="A280" s="10"/>
      <c r="B280" s="2"/>
      <c r="C280" s="2"/>
      <c r="D280" s="2"/>
      <c r="E280" s="2"/>
      <c r="F280" s="2"/>
      <c r="G280" s="2"/>
    </row>
    <row r="281" spans="1:7">
      <c r="A281" s="10"/>
      <c r="B281" s="2"/>
      <c r="C281" s="2"/>
      <c r="D281" s="2"/>
      <c r="E281" s="2"/>
      <c r="F281" s="2"/>
      <c r="G281" s="2"/>
    </row>
    <row r="282" spans="1:7">
      <c r="A282" s="10"/>
      <c r="B282" s="2"/>
      <c r="C282" s="2"/>
      <c r="D282" s="2"/>
      <c r="E282" s="2"/>
      <c r="F282" s="2"/>
      <c r="G282" s="2"/>
    </row>
    <row r="283" spans="1:7">
      <c r="A283" s="10"/>
      <c r="B283" s="2"/>
      <c r="C283" s="2"/>
      <c r="D283" s="2"/>
      <c r="E283" s="2"/>
      <c r="F283" s="2"/>
      <c r="G283" s="2"/>
    </row>
    <row r="284" spans="1:7">
      <c r="A284" s="10"/>
      <c r="B284" s="2"/>
      <c r="C284" s="2"/>
      <c r="D284" s="2"/>
      <c r="E284" s="2"/>
      <c r="F284" s="2"/>
      <c r="G284" s="2"/>
    </row>
    <row r="285" spans="1:7">
      <c r="A285" s="10"/>
      <c r="B285" s="2"/>
      <c r="C285" s="2"/>
      <c r="D285" s="2"/>
      <c r="E285" s="2"/>
      <c r="F285" s="2"/>
      <c r="G285" s="2"/>
    </row>
    <row r="286" spans="1:7">
      <c r="A286" s="10"/>
      <c r="B286" s="2"/>
      <c r="C286" s="2"/>
      <c r="D286" s="2"/>
      <c r="E286" s="2"/>
      <c r="F286" s="2"/>
      <c r="G286" s="2"/>
    </row>
    <row r="287" spans="1:7">
      <c r="A287" s="10"/>
      <c r="B287" s="2"/>
      <c r="C287" s="2"/>
      <c r="D287" s="2"/>
      <c r="E287" s="2"/>
      <c r="F287" s="2"/>
      <c r="G287" s="2"/>
    </row>
    <row r="288" spans="1:7">
      <c r="A288" s="10"/>
      <c r="B288" s="2"/>
      <c r="C288" s="2"/>
      <c r="D288" s="2"/>
      <c r="E288" s="2"/>
      <c r="F288" s="2"/>
      <c r="G288" s="2"/>
    </row>
    <row r="289" spans="1:7">
      <c r="A289" s="10"/>
      <c r="B289" s="2"/>
      <c r="C289" s="2"/>
      <c r="D289" s="2"/>
      <c r="E289" s="2"/>
      <c r="F289" s="2"/>
      <c r="G289" s="2"/>
    </row>
    <row r="290" spans="1:7">
      <c r="A290" s="10"/>
      <c r="B290" s="2"/>
      <c r="C290" s="2"/>
      <c r="D290" s="2"/>
      <c r="E290" s="2"/>
      <c r="F290" s="2"/>
      <c r="G290" s="2"/>
    </row>
    <row r="291" spans="1:7">
      <c r="A291" s="10"/>
      <c r="B291" s="2"/>
      <c r="C291" s="2"/>
      <c r="D291" s="2"/>
      <c r="E291" s="2"/>
      <c r="F291" s="2"/>
      <c r="G291" s="2"/>
    </row>
    <row r="292" spans="1:7">
      <c r="A292" s="10"/>
      <c r="B292" s="2"/>
      <c r="C292" s="2"/>
      <c r="D292" s="2"/>
      <c r="E292" s="2"/>
      <c r="F292" s="2"/>
      <c r="G292" s="2"/>
    </row>
    <row r="293" spans="1:7">
      <c r="A293" s="10"/>
      <c r="B293" s="2"/>
      <c r="C293" s="2"/>
      <c r="D293" s="2"/>
      <c r="E293" s="2"/>
      <c r="F293" s="2"/>
      <c r="G293" s="2"/>
    </row>
    <row r="294" spans="1:7">
      <c r="A294" s="10"/>
      <c r="B294" s="2"/>
      <c r="C294" s="2"/>
      <c r="D294" s="2"/>
      <c r="E294" s="2"/>
      <c r="F294" s="2"/>
      <c r="G294" s="2"/>
    </row>
    <row r="295" spans="1:7">
      <c r="A295" s="10"/>
      <c r="B295" s="2"/>
      <c r="C295" s="2"/>
      <c r="D295" s="2"/>
      <c r="E295" s="2"/>
      <c r="F295" s="2"/>
      <c r="G295" s="2"/>
    </row>
    <row r="296" spans="1:7">
      <c r="A296" s="10"/>
      <c r="B296" s="2"/>
      <c r="C296" s="2"/>
      <c r="D296" s="2"/>
      <c r="E296" s="2"/>
      <c r="F296" s="2"/>
      <c r="G296" s="2"/>
    </row>
    <row r="297" spans="1:7">
      <c r="A297" s="10"/>
      <c r="B297" s="2"/>
      <c r="C297" s="2"/>
      <c r="D297" s="2"/>
      <c r="E297" s="2"/>
      <c r="F297" s="2"/>
      <c r="G297" s="2"/>
    </row>
    <row r="298" spans="1:7">
      <c r="A298" s="10"/>
      <c r="B298" s="2"/>
      <c r="C298" s="2"/>
      <c r="D298" s="2"/>
      <c r="E298" s="2"/>
      <c r="F298" s="2"/>
      <c r="G298" s="2"/>
    </row>
    <row r="299" spans="1:7">
      <c r="A299" s="10"/>
      <c r="B299" s="2"/>
      <c r="C299" s="2"/>
      <c r="D299" s="2"/>
      <c r="E299" s="2"/>
      <c r="F299" s="2"/>
      <c r="G299" s="2"/>
    </row>
    <row r="300" spans="1:7">
      <c r="A300" s="10"/>
      <c r="B300" s="2"/>
      <c r="C300" s="2"/>
      <c r="D300" s="2"/>
      <c r="E300" s="2"/>
      <c r="F300" s="2"/>
      <c r="G300" s="2"/>
    </row>
    <row r="301" spans="1:7">
      <c r="A301" s="10"/>
      <c r="B301" s="2"/>
      <c r="C301" s="2"/>
      <c r="D301" s="2"/>
      <c r="E301" s="2"/>
      <c r="F301" s="2"/>
      <c r="G301" s="2"/>
    </row>
    <row r="302" spans="1:7">
      <c r="A302" s="10"/>
      <c r="B302" s="2"/>
      <c r="C302" s="2"/>
      <c r="D302" s="2"/>
      <c r="E302" s="2"/>
      <c r="F302" s="2"/>
      <c r="G302" s="2"/>
    </row>
    <row r="303" spans="1:7">
      <c r="A303" s="10"/>
      <c r="B303" s="2"/>
      <c r="C303" s="2"/>
      <c r="D303" s="2"/>
      <c r="E303" s="2"/>
      <c r="F303" s="2"/>
      <c r="G303" s="2"/>
    </row>
    <row r="304" spans="1:7">
      <c r="A304" s="10"/>
      <c r="B304" s="2"/>
      <c r="C304" s="2"/>
      <c r="D304" s="2"/>
      <c r="E304" s="2"/>
      <c r="F304" s="2"/>
      <c r="G304" s="2"/>
    </row>
    <row r="305" spans="1:7">
      <c r="A305" s="10"/>
      <c r="B305" s="2"/>
      <c r="C305" s="2"/>
      <c r="D305" s="2"/>
      <c r="E305" s="2"/>
      <c r="F305" s="2"/>
      <c r="G305" s="2"/>
    </row>
    <row r="306" spans="1:7">
      <c r="A306" s="10"/>
      <c r="B306" s="2"/>
      <c r="C306" s="2"/>
      <c r="D306" s="2"/>
      <c r="E306" s="2"/>
      <c r="F306" s="2"/>
      <c r="G306" s="2"/>
    </row>
    <row r="307" spans="1:7">
      <c r="A307" s="10"/>
      <c r="B307" s="2"/>
      <c r="C307" s="2"/>
      <c r="D307" s="2"/>
      <c r="E307" s="2"/>
      <c r="F307" s="2"/>
      <c r="G307" s="2"/>
    </row>
    <row r="308" spans="1:7">
      <c r="A308" s="10"/>
      <c r="B308" s="2"/>
      <c r="C308" s="2"/>
      <c r="D308" s="2"/>
      <c r="E308" s="2"/>
      <c r="F308" s="2"/>
      <c r="G308" s="2"/>
    </row>
    <row r="309" spans="1:7">
      <c r="A309" s="10"/>
      <c r="B309" s="2"/>
      <c r="C309" s="2"/>
      <c r="D309" s="2"/>
      <c r="E309" s="2"/>
      <c r="F309" s="2"/>
      <c r="G309" s="2"/>
    </row>
    <row r="310" spans="1:7">
      <c r="A310" s="10"/>
      <c r="B310" s="2"/>
      <c r="C310" s="2"/>
      <c r="D310" s="2"/>
      <c r="E310" s="2"/>
      <c r="F310" s="2"/>
      <c r="G310" s="2"/>
    </row>
    <row r="311" spans="1:7">
      <c r="A311" s="10"/>
      <c r="B311" s="2"/>
      <c r="C311" s="2"/>
      <c r="D311" s="2"/>
      <c r="E311" s="2"/>
      <c r="F311" s="2"/>
      <c r="G311" s="2"/>
    </row>
    <row r="312" spans="1:7">
      <c r="A312" s="10"/>
      <c r="B312" s="2"/>
      <c r="C312" s="2"/>
      <c r="D312" s="2"/>
      <c r="E312" s="2"/>
      <c r="F312" s="2"/>
      <c r="G312" s="2"/>
    </row>
    <row r="313" spans="1:7">
      <c r="A313" s="10"/>
      <c r="B313" s="2"/>
      <c r="C313" s="2"/>
      <c r="D313" s="2"/>
      <c r="E313" s="2"/>
      <c r="F313" s="2"/>
      <c r="G313" s="2"/>
    </row>
    <row r="314" spans="1:7">
      <c r="A314" s="10"/>
      <c r="B314" s="2"/>
      <c r="C314" s="2"/>
      <c r="D314" s="2"/>
      <c r="E314" s="2"/>
      <c r="F314" s="2"/>
      <c r="G314" s="2"/>
    </row>
    <row r="315" spans="1:7">
      <c r="A315" s="10"/>
      <c r="B315" s="2"/>
      <c r="C315" s="2"/>
      <c r="D315" s="2"/>
      <c r="E315" s="2"/>
      <c r="F315" s="2"/>
      <c r="G315" s="2"/>
    </row>
    <row r="316" spans="1:7">
      <c r="A316" s="10"/>
      <c r="B316" s="2"/>
      <c r="C316" s="2"/>
      <c r="D316" s="2"/>
      <c r="E316" s="2"/>
      <c r="F316" s="2"/>
      <c r="G316" s="2"/>
    </row>
    <row r="317" spans="1:7">
      <c r="A317" s="10"/>
      <c r="B317" s="2"/>
      <c r="C317" s="2"/>
      <c r="D317" s="2"/>
      <c r="E317" s="2"/>
      <c r="F317" s="2"/>
      <c r="G317" s="2"/>
    </row>
    <row r="318" spans="1:7">
      <c r="A318" s="10"/>
      <c r="B318" s="2"/>
      <c r="C318" s="2"/>
      <c r="D318" s="2"/>
      <c r="E318" s="2"/>
      <c r="F318" s="2"/>
      <c r="G318" s="2"/>
    </row>
    <row r="319" spans="1:7">
      <c r="A319" s="10"/>
      <c r="B319" s="2"/>
      <c r="C319" s="2"/>
      <c r="D319" s="2"/>
      <c r="E319" s="2"/>
      <c r="F319" s="2"/>
      <c r="G319" s="2"/>
    </row>
    <row r="320" spans="1:7">
      <c r="A320" s="10"/>
      <c r="B320" s="2"/>
      <c r="C320" s="2"/>
      <c r="D320" s="2"/>
      <c r="E320" s="2"/>
      <c r="F320" s="2"/>
      <c r="G320" s="2"/>
    </row>
    <row r="321" spans="1:7">
      <c r="A321" s="10"/>
      <c r="B321" s="2"/>
      <c r="C321" s="2"/>
      <c r="D321" s="2"/>
      <c r="E321" s="2"/>
      <c r="F321" s="2"/>
      <c r="G321" s="2"/>
    </row>
    <row r="322" spans="1:7">
      <c r="A322" s="10"/>
      <c r="B322" s="2"/>
      <c r="C322" s="2"/>
      <c r="D322" s="2"/>
      <c r="E322" s="2"/>
      <c r="F322" s="2"/>
      <c r="G322" s="2"/>
    </row>
    <row r="323" spans="1:7">
      <c r="A323" s="10"/>
      <c r="B323" s="2"/>
      <c r="C323" s="2"/>
      <c r="D323" s="2"/>
      <c r="E323" s="2"/>
      <c r="F323" s="2"/>
      <c r="G323" s="2"/>
    </row>
    <row r="324" spans="1:7">
      <c r="A324" s="10"/>
      <c r="B324" s="2"/>
      <c r="C324" s="2"/>
      <c r="D324" s="2"/>
      <c r="E324" s="2"/>
      <c r="F324" s="2"/>
      <c r="G324" s="2"/>
    </row>
    <row r="325" spans="1:7">
      <c r="A325" s="10"/>
      <c r="B325" s="2"/>
      <c r="C325" s="2"/>
      <c r="D325" s="2"/>
      <c r="E325" s="2"/>
      <c r="F325" s="2"/>
      <c r="G325" s="2"/>
    </row>
    <row r="326" spans="1:7">
      <c r="A326" s="10"/>
      <c r="B326" s="2"/>
      <c r="C326" s="2"/>
      <c r="D326" s="2"/>
      <c r="E326" s="2"/>
      <c r="F326" s="2"/>
      <c r="G326" s="2"/>
    </row>
    <row r="327" spans="1:7">
      <c r="A327" s="10"/>
      <c r="B327" s="2"/>
      <c r="C327" s="2"/>
      <c r="D327" s="2"/>
      <c r="E327" s="2"/>
      <c r="F327" s="2"/>
      <c r="G327" s="2"/>
    </row>
    <row r="328" spans="1:7">
      <c r="A328" s="10"/>
      <c r="B328" s="2"/>
      <c r="C328" s="2"/>
      <c r="D328" s="2"/>
      <c r="E328" s="2"/>
      <c r="F328" s="2"/>
      <c r="G328" s="2"/>
    </row>
    <row r="329" spans="1:7">
      <c r="A329" s="10"/>
      <c r="B329" s="2"/>
      <c r="C329" s="2"/>
      <c r="D329" s="2"/>
      <c r="E329" s="2"/>
      <c r="F329" s="2"/>
      <c r="G329" s="2"/>
    </row>
    <row r="330" spans="1:7">
      <c r="A330" s="10"/>
      <c r="B330" s="2"/>
      <c r="C330" s="2"/>
      <c r="D330" s="2"/>
      <c r="E330" s="2"/>
      <c r="F330" s="2"/>
      <c r="G330" s="2"/>
    </row>
    <row r="331" spans="1:7">
      <c r="A331" s="10"/>
      <c r="B331" s="2"/>
      <c r="C331" s="2"/>
      <c r="D331" s="2"/>
      <c r="E331" s="2"/>
      <c r="F331" s="2"/>
      <c r="G331" s="2"/>
    </row>
    <row r="332" spans="1:7">
      <c r="A332" s="10"/>
      <c r="B332" s="2"/>
      <c r="C332" s="2"/>
      <c r="D332" s="2"/>
      <c r="E332" s="2"/>
      <c r="F332" s="2"/>
      <c r="G332" s="2"/>
    </row>
    <row r="333" spans="1:7">
      <c r="A333" s="10"/>
      <c r="B333" s="2"/>
      <c r="C333" s="2"/>
      <c r="D333" s="2"/>
      <c r="E333" s="2"/>
      <c r="F333" s="2"/>
      <c r="G333" s="2"/>
    </row>
    <row r="334" spans="1:7">
      <c r="A334" s="10"/>
      <c r="B334" s="2"/>
      <c r="C334" s="2"/>
      <c r="D334" s="2"/>
      <c r="E334" s="2"/>
      <c r="F334" s="2"/>
      <c r="G334" s="2"/>
    </row>
    <row r="335" spans="1:7">
      <c r="A335" s="10"/>
      <c r="B335" s="2"/>
      <c r="C335" s="2"/>
      <c r="D335" s="2"/>
      <c r="E335" s="2"/>
      <c r="F335" s="2"/>
      <c r="G335" s="2"/>
    </row>
    <row r="336" spans="1:7">
      <c r="A336" s="10"/>
      <c r="B336" s="2"/>
      <c r="C336" s="2"/>
      <c r="D336" s="2"/>
      <c r="E336" s="2"/>
      <c r="F336" s="2"/>
      <c r="G336" s="2"/>
    </row>
    <row r="337" spans="1:7">
      <c r="A337" s="10"/>
      <c r="B337" s="2"/>
      <c r="C337" s="2"/>
      <c r="D337" s="2"/>
      <c r="E337" s="2"/>
      <c r="F337" s="2"/>
      <c r="G337" s="2"/>
    </row>
    <row r="338" spans="1:7">
      <c r="A338" s="10"/>
      <c r="B338" s="2"/>
      <c r="C338" s="2"/>
      <c r="D338" s="2"/>
      <c r="E338" s="2"/>
      <c r="F338" s="2"/>
      <c r="G338" s="2"/>
    </row>
    <row r="339" spans="1:7">
      <c r="A339" s="10"/>
      <c r="B339" s="2"/>
      <c r="C339" s="2"/>
      <c r="D339" s="2"/>
      <c r="E339" s="2"/>
      <c r="F339" s="2"/>
      <c r="G339" s="2"/>
    </row>
    <row r="340" spans="1:7">
      <c r="A340" s="10"/>
      <c r="B340" s="2"/>
      <c r="C340" s="2"/>
      <c r="D340" s="2"/>
      <c r="E340" s="2"/>
      <c r="F340" s="2"/>
      <c r="G340" s="2"/>
    </row>
    <row r="341" spans="1:7">
      <c r="A341" s="10"/>
      <c r="B341" s="2"/>
      <c r="C341" s="2"/>
      <c r="D341" s="2"/>
      <c r="E341" s="2"/>
      <c r="F341" s="2"/>
      <c r="G341" s="2"/>
    </row>
    <row r="342" spans="1:7">
      <c r="A342" s="10"/>
      <c r="B342" s="2"/>
      <c r="C342" s="2"/>
      <c r="D342" s="2"/>
      <c r="E342" s="2"/>
      <c r="F342" s="2"/>
      <c r="G342" s="2"/>
    </row>
    <row r="343" spans="1:7">
      <c r="A343" s="10"/>
      <c r="B343" s="2"/>
      <c r="C343" s="2"/>
      <c r="D343" s="2"/>
      <c r="E343" s="2"/>
      <c r="F343" s="2"/>
      <c r="G343" s="2"/>
    </row>
    <row r="344" spans="1:7">
      <c r="A344" s="10"/>
      <c r="B344" s="2"/>
      <c r="C344" s="2"/>
      <c r="D344" s="2"/>
      <c r="E344" s="2"/>
      <c r="F344" s="2"/>
      <c r="G344" s="2"/>
    </row>
    <row r="345" spans="1:7">
      <c r="A345" s="10"/>
      <c r="B345" s="2"/>
      <c r="C345" s="2"/>
      <c r="D345" s="2"/>
      <c r="E345" s="2"/>
      <c r="F345" s="2"/>
      <c r="G345" s="2"/>
    </row>
    <row r="346" spans="1:7">
      <c r="A346" s="10"/>
      <c r="B346" s="2"/>
      <c r="C346" s="2"/>
      <c r="D346" s="2"/>
      <c r="E346" s="2"/>
      <c r="F346" s="2"/>
      <c r="G346" s="2"/>
    </row>
    <row r="347" spans="1:7">
      <c r="A347" s="10"/>
      <c r="B347" s="2"/>
      <c r="C347" s="2"/>
      <c r="D347" s="2"/>
      <c r="E347" s="2"/>
      <c r="F347" s="2"/>
      <c r="G347" s="2"/>
    </row>
    <row r="348" spans="1:7">
      <c r="A348" s="10"/>
      <c r="B348" s="2"/>
      <c r="C348" s="2"/>
      <c r="D348" s="2"/>
      <c r="E348" s="2"/>
      <c r="F348" s="2"/>
      <c r="G348" s="2"/>
    </row>
    <row r="349" spans="1:7">
      <c r="A349" s="10"/>
      <c r="B349" s="2"/>
      <c r="C349" s="2"/>
      <c r="D349" s="2"/>
      <c r="E349" s="2"/>
      <c r="F349" s="2"/>
      <c r="G349" s="2"/>
    </row>
    <row r="350" spans="1:7">
      <c r="A350" s="10"/>
      <c r="B350" s="2"/>
      <c r="C350" s="2"/>
      <c r="D350" s="2"/>
      <c r="E350" s="2"/>
      <c r="F350" s="2"/>
      <c r="G350" s="2"/>
    </row>
    <row r="351" spans="1:7">
      <c r="A351" s="10"/>
      <c r="B351" s="2"/>
      <c r="C351" s="2"/>
      <c r="D351" s="2"/>
      <c r="E351" s="2"/>
      <c r="F351" s="2"/>
      <c r="G351" s="2"/>
    </row>
    <row r="352" spans="1:7">
      <c r="A352" s="10"/>
      <c r="B352" s="2"/>
      <c r="C352" s="2"/>
      <c r="D352" s="2"/>
      <c r="E352" s="2"/>
      <c r="F352" s="2"/>
      <c r="G352" s="2"/>
    </row>
    <row r="353" spans="1:7">
      <c r="A353" s="10"/>
      <c r="B353" s="2"/>
      <c r="C353" s="2"/>
      <c r="D353" s="2"/>
      <c r="E353" s="2"/>
      <c r="F353" s="2"/>
      <c r="G353" s="2"/>
    </row>
    <row r="354" spans="1:7">
      <c r="A354" s="10"/>
      <c r="B354" s="2"/>
      <c r="C354" s="2"/>
      <c r="D354" s="2"/>
      <c r="E354" s="2"/>
      <c r="F354" s="2"/>
      <c r="G354" s="2"/>
    </row>
    <row r="355" spans="1:7">
      <c r="A355" s="10"/>
      <c r="B355" s="2"/>
      <c r="C355" s="2"/>
      <c r="D355" s="2"/>
      <c r="E355" s="2"/>
      <c r="F355" s="2"/>
      <c r="G355" s="2"/>
    </row>
    <row r="356" spans="1:7">
      <c r="A356" s="10"/>
      <c r="B356" s="2"/>
      <c r="C356" s="2"/>
      <c r="D356" s="2"/>
      <c r="E356" s="2"/>
      <c r="F356" s="2"/>
      <c r="G356" s="2"/>
    </row>
    <row r="357" spans="1:7">
      <c r="A357" s="10"/>
      <c r="B357" s="2"/>
      <c r="C357" s="2"/>
      <c r="D357" s="2"/>
      <c r="E357" s="2"/>
      <c r="F357" s="2"/>
      <c r="G357" s="2"/>
    </row>
    <row r="358" spans="1:7">
      <c r="A358" s="10"/>
      <c r="B358" s="2"/>
      <c r="C358" s="2"/>
      <c r="D358" s="2"/>
      <c r="E358" s="2"/>
      <c r="F358" s="2"/>
      <c r="G358" s="2"/>
    </row>
    <row r="359" spans="1:7">
      <c r="A359" s="10"/>
      <c r="B359" s="2"/>
      <c r="C359" s="2"/>
      <c r="D359" s="2"/>
      <c r="E359" s="2"/>
      <c r="F359" s="2"/>
      <c r="G359" s="2"/>
    </row>
    <row r="360" spans="1:7">
      <c r="A360" s="10"/>
      <c r="B360" s="2"/>
      <c r="C360" s="2"/>
      <c r="D360" s="2"/>
      <c r="E360" s="2"/>
      <c r="F360" s="2"/>
      <c r="G360" s="2"/>
    </row>
    <row r="361" spans="1:7">
      <c r="A361" s="10"/>
      <c r="B361" s="2"/>
      <c r="C361" s="2"/>
      <c r="D361" s="2"/>
      <c r="E361" s="2"/>
      <c r="F361" s="2"/>
      <c r="G361" s="2"/>
    </row>
    <row r="362" spans="1:7">
      <c r="A362" s="11"/>
      <c r="B362" s="12"/>
      <c r="C362" s="12"/>
      <c r="D362" s="12"/>
      <c r="E362" s="12"/>
      <c r="F362" s="12"/>
      <c r="G362" s="12"/>
    </row>
    <row r="363" spans="1:7">
      <c r="A363" s="11"/>
      <c r="B363" s="12"/>
      <c r="C363" s="12"/>
      <c r="D363" s="12"/>
      <c r="E363" s="12"/>
      <c r="F363" s="12"/>
      <c r="G363" s="12"/>
    </row>
    <row r="364" spans="1:7">
      <c r="A364" s="11"/>
      <c r="B364" s="12"/>
      <c r="C364" s="12"/>
      <c r="D364" s="12"/>
      <c r="E364" s="12"/>
      <c r="F364" s="12"/>
      <c r="G364" s="12"/>
    </row>
    <row r="365" spans="1:7">
      <c r="A365" s="11"/>
      <c r="B365" s="12"/>
      <c r="C365" s="12"/>
      <c r="D365" s="12"/>
      <c r="E365" s="12"/>
      <c r="F365" s="12"/>
      <c r="G365" s="12"/>
    </row>
    <row r="366" spans="1:7">
      <c r="A366" s="11"/>
      <c r="B366" s="12"/>
      <c r="C366" s="12"/>
      <c r="D366" s="12"/>
      <c r="E366" s="12"/>
      <c r="F366" s="12"/>
      <c r="G366" s="12"/>
    </row>
    <row r="367" spans="1:7">
      <c r="A367" s="11"/>
      <c r="B367" s="12"/>
      <c r="C367" s="12"/>
      <c r="D367" s="12"/>
      <c r="E367" s="12"/>
      <c r="F367" s="12"/>
      <c r="G367" s="12"/>
    </row>
    <row r="368" spans="1:7">
      <c r="A368" s="11"/>
      <c r="B368" s="12"/>
      <c r="C368" s="12"/>
      <c r="D368" s="12"/>
      <c r="E368" s="12"/>
      <c r="F368" s="12"/>
      <c r="G368" s="12"/>
    </row>
    <row r="369" spans="1:7">
      <c r="A369" s="11"/>
      <c r="B369" s="12"/>
      <c r="C369" s="12"/>
      <c r="D369" s="12"/>
      <c r="E369" s="12"/>
      <c r="F369" s="12"/>
      <c r="G369" s="12"/>
    </row>
    <row r="370" spans="1:7">
      <c r="A370" s="11"/>
      <c r="B370" s="12"/>
      <c r="C370" s="12"/>
      <c r="D370" s="12"/>
      <c r="E370" s="12"/>
      <c r="F370" s="12"/>
      <c r="G370" s="12"/>
    </row>
    <row r="371" spans="1:7">
      <c r="A371" s="11"/>
      <c r="B371" s="12"/>
      <c r="C371" s="12"/>
      <c r="D371" s="12"/>
      <c r="E371" s="12"/>
      <c r="F371" s="12"/>
      <c r="G371" s="12"/>
    </row>
    <row r="372" spans="1:7">
      <c r="A372" s="11"/>
      <c r="B372" s="12"/>
      <c r="C372" s="12"/>
      <c r="D372" s="12"/>
      <c r="E372" s="12"/>
      <c r="F372" s="12"/>
      <c r="G372" s="12"/>
    </row>
    <row r="373" spans="1:7">
      <c r="A373" s="11"/>
      <c r="B373" s="12"/>
      <c r="C373" s="12"/>
      <c r="D373" s="12"/>
      <c r="E373" s="12"/>
      <c r="F373" s="12"/>
      <c r="G373" s="12"/>
    </row>
    <row r="374" spans="1:7">
      <c r="A374" s="11"/>
      <c r="B374" s="12"/>
      <c r="C374" s="12"/>
      <c r="D374" s="12"/>
      <c r="E374" s="12"/>
      <c r="F374" s="12"/>
      <c r="G374" s="12"/>
    </row>
    <row r="375" spans="1:7">
      <c r="A375" s="11"/>
      <c r="B375" s="12"/>
      <c r="C375" s="12"/>
      <c r="D375" s="12"/>
      <c r="E375" s="12"/>
      <c r="F375" s="12"/>
      <c r="G375" s="12"/>
    </row>
    <row r="376" spans="1:7">
      <c r="A376" s="11"/>
      <c r="B376" s="12"/>
      <c r="C376" s="12"/>
      <c r="D376" s="12"/>
      <c r="E376" s="12"/>
      <c r="F376" s="12"/>
      <c r="G376" s="12"/>
    </row>
    <row r="377" spans="1:7">
      <c r="A377" s="11"/>
      <c r="B377" s="12"/>
      <c r="C377" s="12"/>
      <c r="D377" s="12"/>
      <c r="E377" s="12"/>
      <c r="F377" s="12"/>
      <c r="G377" s="12"/>
    </row>
    <row r="378" spans="1:7">
      <c r="A378" s="11"/>
      <c r="B378" s="12"/>
      <c r="C378" s="12"/>
      <c r="D378" s="12"/>
      <c r="E378" s="12"/>
      <c r="F378" s="12"/>
      <c r="G378" s="12"/>
    </row>
    <row r="379" spans="1:7">
      <c r="A379" s="11"/>
      <c r="B379" s="12"/>
      <c r="C379" s="12"/>
      <c r="D379" s="12"/>
      <c r="E379" s="12"/>
      <c r="F379" s="12"/>
      <c r="G379" s="12"/>
    </row>
    <row r="380" spans="1:7">
      <c r="A380" s="11"/>
      <c r="B380" s="12"/>
      <c r="C380" s="12"/>
      <c r="D380" s="12"/>
      <c r="E380" s="12"/>
      <c r="F380" s="12"/>
      <c r="G380" s="12"/>
    </row>
    <row r="381" spans="1:7">
      <c r="A381" s="11"/>
      <c r="B381" s="12"/>
      <c r="C381" s="12"/>
      <c r="D381" s="12"/>
      <c r="E381" s="12"/>
      <c r="F381" s="12"/>
      <c r="G381" s="12"/>
    </row>
    <row r="382" spans="1:7">
      <c r="A382" s="11"/>
      <c r="B382" s="12"/>
      <c r="C382" s="12"/>
      <c r="D382" s="12"/>
      <c r="E382" s="12"/>
      <c r="F382" s="12"/>
      <c r="G382" s="12"/>
    </row>
    <row r="383" spans="1:7">
      <c r="A383" s="11"/>
      <c r="B383" s="12"/>
      <c r="C383" s="12"/>
      <c r="D383" s="12"/>
      <c r="E383" s="12"/>
      <c r="F383" s="12"/>
      <c r="G383" s="12"/>
    </row>
    <row r="384" spans="1:7">
      <c r="A384" s="11"/>
      <c r="B384" s="12"/>
      <c r="C384" s="12"/>
      <c r="D384" s="12"/>
      <c r="E384" s="12"/>
      <c r="F384" s="12"/>
      <c r="G384" s="12"/>
    </row>
    <row r="385" spans="1:7">
      <c r="A385" s="11"/>
      <c r="B385" s="12"/>
      <c r="C385" s="12"/>
      <c r="D385" s="12"/>
      <c r="E385" s="12"/>
      <c r="F385" s="12"/>
      <c r="G385" s="12"/>
    </row>
    <row r="386" spans="1:7">
      <c r="A386" s="11"/>
      <c r="B386" s="12"/>
      <c r="C386" s="12"/>
      <c r="D386" s="12"/>
      <c r="E386" s="12"/>
      <c r="F386" s="12"/>
      <c r="G386" s="12"/>
    </row>
    <row r="387" spans="1:7">
      <c r="A387" s="11"/>
      <c r="B387" s="12"/>
      <c r="C387" s="12"/>
      <c r="D387" s="12"/>
      <c r="E387" s="12"/>
      <c r="F387" s="12"/>
      <c r="G387" s="12"/>
    </row>
    <row r="388" spans="1:7">
      <c r="A388" s="11"/>
      <c r="B388" s="12"/>
      <c r="C388" s="12"/>
      <c r="D388" s="12"/>
      <c r="E388" s="12"/>
      <c r="F388" s="12"/>
      <c r="G388" s="12"/>
    </row>
    <row r="389" spans="1:7">
      <c r="A389" s="11"/>
      <c r="B389" s="12"/>
      <c r="C389" s="12"/>
      <c r="D389" s="12"/>
      <c r="E389" s="12"/>
      <c r="F389" s="12"/>
      <c r="G389" s="12"/>
    </row>
    <row r="390" spans="1:7">
      <c r="A390" s="11"/>
      <c r="B390" s="12"/>
      <c r="C390" s="12"/>
      <c r="D390" s="12"/>
      <c r="E390" s="12"/>
      <c r="F390" s="12"/>
      <c r="G390" s="12"/>
    </row>
    <row r="391" spans="1:7">
      <c r="A391" s="11"/>
      <c r="B391" s="12"/>
      <c r="C391" s="12"/>
      <c r="D391" s="12"/>
      <c r="E391" s="12"/>
      <c r="F391" s="12"/>
      <c r="G391" s="12"/>
    </row>
    <row r="392" spans="1:7">
      <c r="A392" s="11"/>
      <c r="B392" s="12"/>
      <c r="C392" s="12"/>
      <c r="D392" s="12"/>
      <c r="E392" s="12"/>
      <c r="F392" s="12"/>
      <c r="G392" s="12"/>
    </row>
    <row r="393" spans="1:7">
      <c r="A393" s="11"/>
      <c r="B393" s="12"/>
      <c r="C393" s="12"/>
      <c r="D393" s="12"/>
      <c r="E393" s="12"/>
      <c r="F393" s="12"/>
      <c r="G393" s="12"/>
    </row>
    <row r="394" spans="1:7">
      <c r="A394" s="11"/>
      <c r="B394" s="12"/>
      <c r="C394" s="12"/>
      <c r="D394" s="12"/>
      <c r="E394" s="12"/>
      <c r="F394" s="12"/>
      <c r="G394" s="12"/>
    </row>
    <row r="395" spans="1:7">
      <c r="A395" s="11"/>
      <c r="B395" s="12"/>
      <c r="C395" s="12"/>
      <c r="D395" s="12"/>
      <c r="E395" s="12"/>
      <c r="F395" s="12"/>
      <c r="G395" s="12"/>
    </row>
    <row r="396" spans="1:7">
      <c r="A396" s="11"/>
      <c r="B396" s="12"/>
      <c r="C396" s="12"/>
      <c r="D396" s="12"/>
      <c r="E396" s="12"/>
      <c r="F396" s="12"/>
      <c r="G396" s="12"/>
    </row>
    <row r="397" spans="1:7">
      <c r="A397" s="11"/>
      <c r="B397" s="12"/>
      <c r="C397" s="12"/>
      <c r="D397" s="12"/>
      <c r="E397" s="12"/>
      <c r="F397" s="12"/>
      <c r="G397" s="12"/>
    </row>
    <row r="398" spans="1:7">
      <c r="A398" s="11"/>
      <c r="B398" s="12"/>
      <c r="C398" s="12"/>
      <c r="D398" s="12"/>
      <c r="E398" s="12"/>
      <c r="F398" s="12"/>
      <c r="G398" s="12"/>
    </row>
    <row r="399" spans="1:7">
      <c r="A399" s="11"/>
      <c r="B399" s="12"/>
      <c r="C399" s="12"/>
      <c r="D399" s="12"/>
      <c r="E399" s="12"/>
      <c r="F399" s="12"/>
      <c r="G399" s="12"/>
    </row>
    <row r="400" spans="1:7">
      <c r="A400" s="11"/>
      <c r="B400" s="12"/>
      <c r="C400" s="12"/>
      <c r="D400" s="12"/>
      <c r="E400" s="12"/>
      <c r="F400" s="12"/>
      <c r="G400" s="12"/>
    </row>
    <row r="401" spans="1:7">
      <c r="A401" s="11"/>
      <c r="B401" s="12"/>
      <c r="C401" s="12"/>
      <c r="D401" s="12"/>
      <c r="E401" s="12"/>
      <c r="F401" s="12"/>
      <c r="G401" s="12"/>
    </row>
    <row r="402" spans="1:7">
      <c r="A402" s="11"/>
      <c r="B402" s="12"/>
      <c r="C402" s="12"/>
      <c r="D402" s="12"/>
      <c r="E402" s="12"/>
      <c r="F402" s="12"/>
      <c r="G402" s="12"/>
    </row>
    <row r="403" spans="1:7">
      <c r="A403" s="11"/>
      <c r="B403" s="12"/>
      <c r="C403" s="12"/>
      <c r="D403" s="12"/>
      <c r="E403" s="12"/>
      <c r="F403" s="12"/>
      <c r="G403" s="12"/>
    </row>
    <row r="404" spans="1:7">
      <c r="A404" s="11"/>
      <c r="B404" s="12"/>
      <c r="C404" s="12"/>
      <c r="D404" s="12"/>
      <c r="E404" s="12"/>
      <c r="F404" s="12"/>
      <c r="G404" s="12"/>
    </row>
    <row r="405" spans="1:7">
      <c r="A405" s="11"/>
      <c r="B405" s="12"/>
      <c r="C405" s="12"/>
      <c r="D405" s="12"/>
      <c r="E405" s="12"/>
      <c r="F405" s="12"/>
      <c r="G405" s="12"/>
    </row>
    <row r="406" spans="1:7">
      <c r="A406" s="11"/>
      <c r="B406" s="12"/>
      <c r="C406" s="12"/>
      <c r="D406" s="12"/>
      <c r="E406" s="12"/>
      <c r="F406" s="12"/>
      <c r="G406" s="12"/>
    </row>
    <row r="407" spans="1:7">
      <c r="A407" s="11"/>
      <c r="B407" s="12"/>
      <c r="C407" s="12"/>
      <c r="D407" s="12"/>
      <c r="E407" s="12"/>
      <c r="F407" s="12"/>
      <c r="G407" s="12"/>
    </row>
    <row r="408" spans="1:7">
      <c r="A408" s="11"/>
      <c r="B408" s="12"/>
      <c r="C408" s="12"/>
      <c r="D408" s="12"/>
      <c r="E408" s="12"/>
      <c r="F408" s="12"/>
      <c r="G408" s="12"/>
    </row>
    <row r="409" spans="1:7">
      <c r="A409" s="11"/>
      <c r="B409" s="12"/>
      <c r="C409" s="12"/>
      <c r="D409" s="12"/>
      <c r="E409" s="12"/>
      <c r="F409" s="12"/>
      <c r="G409" s="12"/>
    </row>
    <row r="410" spans="1:7">
      <c r="A410" s="11"/>
      <c r="B410" s="12"/>
      <c r="C410" s="12"/>
      <c r="D410" s="12"/>
      <c r="E410" s="12"/>
      <c r="F410" s="12"/>
      <c r="G410" s="12"/>
    </row>
    <row r="411" spans="1:7">
      <c r="A411" s="11"/>
      <c r="B411" s="12"/>
      <c r="C411" s="12"/>
      <c r="D411" s="12"/>
      <c r="E411" s="12"/>
      <c r="F411" s="12"/>
      <c r="G411" s="12"/>
    </row>
    <row r="412" spans="1:7">
      <c r="A412" s="11"/>
      <c r="B412" s="12"/>
      <c r="C412" s="12"/>
      <c r="D412" s="12"/>
      <c r="E412" s="12"/>
      <c r="F412" s="12"/>
      <c r="G412" s="12"/>
    </row>
    <row r="413" spans="1:7">
      <c r="A413" s="11"/>
      <c r="B413" s="12"/>
      <c r="C413" s="12"/>
      <c r="D413" s="12"/>
      <c r="E413" s="12"/>
      <c r="F413" s="12"/>
      <c r="G413" s="12"/>
    </row>
    <row r="414" spans="1:7">
      <c r="A414" s="11"/>
      <c r="B414" s="12"/>
      <c r="C414" s="12"/>
      <c r="D414" s="12"/>
      <c r="E414" s="12"/>
      <c r="F414" s="12"/>
      <c r="G414" s="12"/>
    </row>
    <row r="415" spans="1:7">
      <c r="A415" s="11"/>
      <c r="B415" s="12"/>
      <c r="C415" s="12"/>
      <c r="D415" s="12"/>
      <c r="E415" s="12"/>
      <c r="F415" s="12"/>
      <c r="G415" s="12"/>
    </row>
    <row r="416" spans="1:7">
      <c r="A416" s="11"/>
      <c r="B416" s="12"/>
      <c r="C416" s="12"/>
      <c r="D416" s="12"/>
      <c r="E416" s="12"/>
      <c r="F416" s="12"/>
      <c r="G416" s="12"/>
    </row>
    <row r="417" spans="1:7">
      <c r="A417" s="11"/>
      <c r="B417" s="12"/>
      <c r="C417" s="12"/>
      <c r="D417" s="12"/>
      <c r="E417" s="12"/>
      <c r="F417" s="12"/>
      <c r="G417" s="12"/>
    </row>
    <row r="418" spans="1:7">
      <c r="A418" s="11"/>
      <c r="B418" s="12"/>
      <c r="C418" s="12"/>
      <c r="D418" s="12"/>
      <c r="E418" s="12"/>
      <c r="F418" s="12"/>
      <c r="G418" s="12"/>
    </row>
    <row r="419" spans="1:7">
      <c r="A419" s="11"/>
      <c r="B419" s="12"/>
      <c r="C419" s="12"/>
      <c r="D419" s="12"/>
      <c r="E419" s="12"/>
      <c r="F419" s="12"/>
      <c r="G419" s="12"/>
    </row>
    <row r="420" spans="1:7">
      <c r="A420" s="11"/>
      <c r="B420" s="12"/>
      <c r="C420" s="12"/>
      <c r="D420" s="12"/>
      <c r="E420" s="12"/>
      <c r="F420" s="12"/>
      <c r="G420" s="12"/>
    </row>
    <row r="421" spans="1:7">
      <c r="A421" s="11"/>
      <c r="B421" s="12"/>
      <c r="C421" s="12"/>
      <c r="D421" s="12"/>
      <c r="E421" s="12"/>
      <c r="F421" s="12"/>
      <c r="G421" s="12"/>
    </row>
    <row r="422" spans="1:7">
      <c r="A422" s="11"/>
      <c r="B422" s="12"/>
      <c r="C422" s="12"/>
      <c r="D422" s="12"/>
      <c r="E422" s="12"/>
      <c r="F422" s="12"/>
      <c r="G422" s="12"/>
    </row>
    <row r="423" spans="1:7">
      <c r="A423" s="11"/>
      <c r="B423" s="12"/>
      <c r="C423" s="12"/>
      <c r="D423" s="12"/>
      <c r="E423" s="12"/>
      <c r="F423" s="12"/>
      <c r="G423" s="12"/>
    </row>
    <row r="424" spans="1:7">
      <c r="A424" s="11"/>
      <c r="B424" s="12"/>
      <c r="C424" s="12"/>
      <c r="D424" s="12"/>
      <c r="E424" s="12"/>
      <c r="F424" s="12"/>
      <c r="G424" s="12"/>
    </row>
    <row r="425" spans="1:7">
      <c r="A425" s="11"/>
      <c r="B425" s="12"/>
      <c r="C425" s="12"/>
      <c r="D425" s="12"/>
      <c r="E425" s="12"/>
      <c r="F425" s="12"/>
      <c r="G425" s="12"/>
    </row>
    <row r="426" spans="1:7">
      <c r="A426" s="11"/>
      <c r="B426" s="12"/>
      <c r="C426" s="12"/>
      <c r="D426" s="12"/>
      <c r="E426" s="12"/>
      <c r="F426" s="12"/>
      <c r="G426" s="12"/>
    </row>
    <row r="427" spans="1:7">
      <c r="A427" s="11"/>
      <c r="B427" s="12"/>
      <c r="C427" s="12"/>
      <c r="D427" s="12"/>
      <c r="E427" s="12"/>
      <c r="F427" s="12"/>
      <c r="G427" s="12"/>
    </row>
    <row r="428" spans="1:7">
      <c r="A428" s="11"/>
      <c r="B428" s="12"/>
      <c r="C428" s="12"/>
      <c r="D428" s="12"/>
      <c r="E428" s="12"/>
      <c r="F428" s="12"/>
      <c r="G428" s="12"/>
    </row>
    <row r="429" spans="1:7">
      <c r="A429" s="11"/>
      <c r="B429" s="12"/>
      <c r="C429" s="12"/>
      <c r="D429" s="12"/>
      <c r="E429" s="12"/>
      <c r="F429" s="12"/>
      <c r="G429" s="12"/>
    </row>
    <row r="430" spans="1:7">
      <c r="A430" s="11"/>
      <c r="B430" s="12"/>
      <c r="C430" s="12"/>
      <c r="D430" s="12"/>
      <c r="E430" s="12"/>
      <c r="F430" s="12"/>
      <c r="G430" s="12"/>
    </row>
    <row r="431" spans="1:7">
      <c r="A431" s="11"/>
      <c r="B431" s="12"/>
      <c r="C431" s="12"/>
      <c r="D431" s="12"/>
      <c r="E431" s="12"/>
      <c r="F431" s="12"/>
      <c r="G431" s="12"/>
    </row>
    <row r="432" spans="1:7">
      <c r="A432" s="11"/>
      <c r="B432" s="12"/>
      <c r="C432" s="12"/>
      <c r="D432" s="12"/>
      <c r="E432" s="12"/>
      <c r="F432" s="12"/>
      <c r="G432" s="12"/>
    </row>
    <row r="433" spans="1:7">
      <c r="A433" s="11"/>
      <c r="B433" s="12"/>
      <c r="C433" s="12"/>
      <c r="D433" s="12"/>
      <c r="E433" s="12"/>
      <c r="F433" s="12"/>
      <c r="G433" s="12"/>
    </row>
    <row r="434" spans="1:7">
      <c r="A434" s="11"/>
      <c r="B434" s="12"/>
      <c r="C434" s="12"/>
      <c r="D434" s="12"/>
      <c r="E434" s="12"/>
      <c r="F434" s="12"/>
      <c r="G434" s="12"/>
    </row>
    <row r="435" spans="1:7">
      <c r="A435" s="11"/>
      <c r="B435" s="12"/>
      <c r="C435" s="12"/>
      <c r="D435" s="12"/>
      <c r="E435" s="12"/>
      <c r="F435" s="12"/>
      <c r="G435" s="12"/>
    </row>
    <row r="436" spans="1:7">
      <c r="A436" s="11"/>
      <c r="B436" s="12"/>
      <c r="C436" s="12"/>
      <c r="D436" s="12"/>
      <c r="E436" s="12"/>
      <c r="F436" s="12"/>
      <c r="G436" s="12"/>
    </row>
    <row r="437" spans="1:7">
      <c r="A437" s="11"/>
      <c r="B437" s="12"/>
      <c r="C437" s="12"/>
      <c r="D437" s="12"/>
      <c r="E437" s="12"/>
      <c r="F437" s="12"/>
      <c r="G437" s="12"/>
    </row>
    <row r="438" spans="1:7">
      <c r="A438" s="11"/>
      <c r="B438" s="12"/>
      <c r="C438" s="12"/>
      <c r="D438" s="12"/>
      <c r="E438" s="12"/>
      <c r="F438" s="12"/>
      <c r="G438" s="12"/>
    </row>
    <row r="439" spans="1:7">
      <c r="A439" s="11"/>
      <c r="B439" s="12"/>
      <c r="C439" s="12"/>
      <c r="D439" s="12"/>
      <c r="E439" s="12"/>
      <c r="F439" s="12"/>
      <c r="G439" s="12"/>
    </row>
    <row r="440" spans="1:7">
      <c r="A440" s="11"/>
      <c r="B440" s="12"/>
      <c r="C440" s="12"/>
      <c r="D440" s="12"/>
      <c r="E440" s="12"/>
      <c r="F440" s="12"/>
      <c r="G440" s="12"/>
    </row>
    <row r="441" spans="1:7">
      <c r="A441" s="11"/>
      <c r="B441" s="12"/>
      <c r="C441" s="12"/>
      <c r="D441" s="12"/>
      <c r="E441" s="12"/>
      <c r="F441" s="12"/>
      <c r="G441" s="12"/>
    </row>
    <row r="442" spans="1:7">
      <c r="A442" s="11"/>
      <c r="B442" s="12"/>
      <c r="C442" s="12"/>
      <c r="D442" s="12"/>
      <c r="E442" s="12"/>
      <c r="F442" s="12"/>
      <c r="G442" s="12"/>
    </row>
    <row r="443" spans="1:7">
      <c r="A443" s="11"/>
      <c r="B443" s="12"/>
      <c r="C443" s="12"/>
      <c r="D443" s="12"/>
      <c r="E443" s="12"/>
      <c r="F443" s="12"/>
      <c r="G443" s="12"/>
    </row>
    <row r="444" spans="1:7">
      <c r="A444" s="11"/>
      <c r="B444" s="12"/>
      <c r="C444" s="12"/>
      <c r="D444" s="12"/>
      <c r="E444" s="12"/>
      <c r="F444" s="12"/>
      <c r="G444" s="12"/>
    </row>
    <row r="445" spans="1:7">
      <c r="A445" s="11"/>
      <c r="B445" s="12"/>
      <c r="C445" s="12"/>
      <c r="D445" s="12"/>
      <c r="E445" s="12"/>
      <c r="F445" s="12"/>
      <c r="G445" s="12"/>
    </row>
    <row r="446" spans="1:7">
      <c r="A446" s="11"/>
      <c r="B446" s="12"/>
      <c r="C446" s="12"/>
      <c r="D446" s="12"/>
      <c r="E446" s="12"/>
      <c r="F446" s="12"/>
      <c r="G446" s="12"/>
    </row>
    <row r="447" spans="1:7">
      <c r="A447" s="11"/>
      <c r="B447" s="12"/>
      <c r="C447" s="12"/>
      <c r="D447" s="12"/>
      <c r="E447" s="12"/>
      <c r="F447" s="12"/>
      <c r="G447" s="12"/>
    </row>
    <row r="448" spans="1:7">
      <c r="A448" s="11"/>
      <c r="B448" s="12"/>
      <c r="C448" s="12"/>
      <c r="D448" s="12"/>
      <c r="E448" s="12"/>
      <c r="F448" s="12"/>
      <c r="G448" s="12"/>
    </row>
    <row r="449" spans="1:7">
      <c r="A449" s="11"/>
      <c r="B449" s="12"/>
      <c r="C449" s="12"/>
      <c r="D449" s="12"/>
      <c r="E449" s="12"/>
      <c r="F449" s="12"/>
      <c r="G449" s="12"/>
    </row>
    <row r="450" spans="1:7">
      <c r="A450" s="11"/>
      <c r="B450" s="12"/>
      <c r="C450" s="12"/>
      <c r="D450" s="12"/>
      <c r="E450" s="12"/>
      <c r="F450" s="12"/>
      <c r="G450" s="12"/>
    </row>
    <row r="451" spans="1:7">
      <c r="A451" s="11"/>
      <c r="B451" s="12"/>
      <c r="C451" s="12"/>
      <c r="D451" s="12"/>
      <c r="E451" s="12"/>
      <c r="F451" s="12"/>
      <c r="G451" s="12"/>
    </row>
    <row r="452" spans="1:7">
      <c r="A452" s="11"/>
      <c r="B452" s="12"/>
      <c r="C452" s="12"/>
      <c r="D452" s="12"/>
      <c r="E452" s="12"/>
      <c r="F452" s="12"/>
      <c r="G452" s="12"/>
    </row>
    <row r="453" spans="1:7">
      <c r="A453" s="11"/>
      <c r="B453" s="12"/>
      <c r="C453" s="12"/>
      <c r="D453" s="12"/>
      <c r="E453" s="12"/>
      <c r="F453" s="12"/>
      <c r="G453" s="12"/>
    </row>
    <row r="454" spans="1:7">
      <c r="A454" s="11"/>
      <c r="B454" s="12"/>
      <c r="C454" s="12"/>
      <c r="D454" s="12"/>
      <c r="E454" s="12"/>
      <c r="F454" s="12"/>
      <c r="G454" s="12"/>
    </row>
    <row r="455" spans="1:7">
      <c r="A455" s="11"/>
      <c r="B455" s="12"/>
      <c r="C455" s="12"/>
      <c r="D455" s="12"/>
      <c r="E455" s="12"/>
      <c r="F455" s="12"/>
      <c r="G455" s="12"/>
    </row>
    <row r="456" spans="1:7">
      <c r="A456" s="11"/>
      <c r="B456" s="12"/>
      <c r="C456" s="12"/>
      <c r="D456" s="12"/>
      <c r="E456" s="12"/>
      <c r="F456" s="12"/>
      <c r="G456" s="12"/>
    </row>
    <row r="457" spans="1:7">
      <c r="A457" s="11"/>
      <c r="B457" s="12"/>
      <c r="C457" s="12"/>
      <c r="D457" s="12"/>
      <c r="E457" s="12"/>
      <c r="F457" s="12"/>
      <c r="G457" s="12"/>
    </row>
    <row r="458" spans="1:7">
      <c r="A458" s="11"/>
      <c r="B458" s="12"/>
      <c r="C458" s="12"/>
      <c r="D458" s="12"/>
      <c r="E458" s="12"/>
      <c r="F458" s="12"/>
      <c r="G458" s="12"/>
    </row>
    <row r="459" spans="1:7">
      <c r="A459" s="11"/>
      <c r="B459" s="12"/>
      <c r="C459" s="12"/>
      <c r="D459" s="12"/>
      <c r="E459" s="12"/>
      <c r="F459" s="12"/>
      <c r="G459" s="12"/>
    </row>
    <row r="460" spans="1:7">
      <c r="A460" s="11"/>
      <c r="B460" s="12"/>
      <c r="C460" s="12"/>
      <c r="D460" s="12"/>
      <c r="E460" s="12"/>
      <c r="F460" s="12"/>
      <c r="G460" s="12"/>
    </row>
    <row r="461" spans="1:7">
      <c r="A461" s="11"/>
      <c r="B461" s="12"/>
      <c r="C461" s="12"/>
      <c r="D461" s="12"/>
      <c r="E461" s="12"/>
      <c r="F461" s="12"/>
      <c r="G461" s="12"/>
    </row>
    <row r="462" spans="1:7">
      <c r="A462" s="11"/>
      <c r="B462" s="12"/>
      <c r="C462" s="12"/>
      <c r="D462" s="12"/>
      <c r="E462" s="12"/>
      <c r="F462" s="12"/>
      <c r="G462" s="12"/>
    </row>
    <row r="463" spans="1:7">
      <c r="A463" s="11"/>
      <c r="B463" s="12"/>
      <c r="C463" s="12"/>
      <c r="D463" s="12"/>
      <c r="E463" s="12"/>
      <c r="F463" s="12"/>
      <c r="G463" s="12"/>
    </row>
    <row r="464" spans="1:7">
      <c r="A464" s="11"/>
      <c r="B464" s="12"/>
      <c r="C464" s="12"/>
      <c r="D464" s="12"/>
      <c r="E464" s="12"/>
      <c r="F464" s="12"/>
      <c r="G464" s="12"/>
    </row>
    <row r="465" spans="1:7">
      <c r="A465" s="11"/>
      <c r="B465" s="12"/>
      <c r="C465" s="12"/>
      <c r="D465" s="12"/>
      <c r="E465" s="12"/>
      <c r="F465" s="12"/>
      <c r="G465" s="12"/>
    </row>
    <row r="466" spans="1:7">
      <c r="A466" s="11"/>
      <c r="B466" s="12"/>
      <c r="C466" s="12"/>
      <c r="D466" s="12"/>
      <c r="E466" s="12"/>
      <c r="F466" s="12"/>
      <c r="G466" s="12"/>
    </row>
    <row r="467" spans="1:7">
      <c r="A467" s="11"/>
      <c r="B467" s="12"/>
      <c r="C467" s="12"/>
      <c r="D467" s="12"/>
      <c r="E467" s="12"/>
      <c r="F467" s="12"/>
      <c r="G467" s="12"/>
    </row>
    <row r="468" spans="1:7">
      <c r="A468" s="11"/>
      <c r="B468" s="12"/>
      <c r="C468" s="12"/>
      <c r="D468" s="12"/>
      <c r="E468" s="12"/>
      <c r="F468" s="12"/>
      <c r="G468" s="12"/>
    </row>
    <row r="469" spans="1:7">
      <c r="A469" s="11"/>
      <c r="B469" s="12"/>
      <c r="C469" s="12"/>
      <c r="D469" s="12"/>
      <c r="E469" s="12"/>
      <c r="F469" s="12"/>
      <c r="G469" s="12"/>
    </row>
    <row r="470" spans="1:7">
      <c r="A470" s="11"/>
      <c r="B470" s="12"/>
      <c r="C470" s="12"/>
      <c r="D470" s="12"/>
      <c r="E470" s="12"/>
      <c r="F470" s="12"/>
      <c r="G470" s="12"/>
    </row>
    <row r="471" spans="1:7">
      <c r="A471" s="11"/>
      <c r="B471" s="12"/>
      <c r="C471" s="12"/>
      <c r="D471" s="12"/>
      <c r="E471" s="12"/>
      <c r="F471" s="12"/>
      <c r="G471" s="12"/>
    </row>
    <row r="472" spans="1:7">
      <c r="A472" s="11"/>
      <c r="B472" s="12"/>
      <c r="C472" s="12"/>
      <c r="D472" s="12"/>
      <c r="E472" s="12"/>
      <c r="F472" s="12"/>
      <c r="G472" s="12"/>
    </row>
    <row r="473" spans="1:7">
      <c r="A473" s="11"/>
      <c r="B473" s="12"/>
      <c r="C473" s="12"/>
      <c r="D473" s="12"/>
      <c r="E473" s="12"/>
      <c r="F473" s="12"/>
      <c r="G473" s="12"/>
    </row>
    <row r="474" spans="1:7">
      <c r="A474" s="11"/>
      <c r="B474" s="12"/>
      <c r="C474" s="12"/>
      <c r="D474" s="12"/>
      <c r="E474" s="12"/>
      <c r="F474" s="12"/>
      <c r="G474" s="12"/>
    </row>
    <row r="475" spans="1:7">
      <c r="A475" s="11"/>
      <c r="B475" s="12"/>
      <c r="C475" s="12"/>
      <c r="D475" s="12"/>
      <c r="E475" s="12"/>
      <c r="F475" s="12"/>
      <c r="G475" s="12"/>
    </row>
    <row r="476" spans="1:7">
      <c r="A476" s="11"/>
      <c r="B476" s="12"/>
      <c r="C476" s="12"/>
      <c r="D476" s="12"/>
      <c r="E476" s="12"/>
      <c r="F476" s="12"/>
      <c r="G476" s="12"/>
    </row>
    <row r="477" spans="1:7">
      <c r="A477" s="11"/>
      <c r="B477" s="12"/>
      <c r="C477" s="12"/>
      <c r="D477" s="12"/>
      <c r="E477" s="12"/>
      <c r="F477" s="12"/>
      <c r="G477" s="12"/>
    </row>
    <row r="478" spans="1:7">
      <c r="A478" s="11"/>
      <c r="B478" s="12"/>
      <c r="C478" s="12"/>
      <c r="D478" s="12"/>
      <c r="E478" s="12"/>
      <c r="F478" s="12"/>
      <c r="G478" s="12"/>
    </row>
    <row r="479" spans="1:7">
      <c r="A479" s="11"/>
      <c r="B479" s="12"/>
      <c r="C479" s="12"/>
      <c r="D479" s="12"/>
      <c r="E479" s="12"/>
      <c r="F479" s="12"/>
      <c r="G479" s="12"/>
    </row>
    <row r="480" spans="1:7">
      <c r="A480" s="11"/>
      <c r="B480" s="12"/>
      <c r="C480" s="12"/>
      <c r="D480" s="12"/>
      <c r="E480" s="12"/>
      <c r="F480" s="12"/>
      <c r="G480" s="12"/>
    </row>
    <row r="481" spans="1:7">
      <c r="A481" s="11"/>
      <c r="B481" s="12"/>
      <c r="C481" s="12"/>
      <c r="D481" s="12"/>
      <c r="E481" s="12"/>
      <c r="F481" s="12"/>
      <c r="G481" s="12"/>
    </row>
    <row r="482" spans="1:7">
      <c r="A482" s="11"/>
      <c r="B482" s="12"/>
      <c r="C482" s="12"/>
      <c r="D482" s="12"/>
      <c r="E482" s="12"/>
      <c r="F482" s="12"/>
      <c r="G482" s="12"/>
    </row>
    <row r="483" spans="1:7">
      <c r="A483" s="11"/>
      <c r="B483" s="12"/>
      <c r="C483" s="12"/>
      <c r="D483" s="12"/>
      <c r="E483" s="12"/>
      <c r="F483" s="12"/>
      <c r="G483" s="12"/>
    </row>
    <row r="484" spans="1:7">
      <c r="A484" s="11"/>
      <c r="B484" s="12"/>
      <c r="C484" s="12"/>
      <c r="D484" s="12"/>
      <c r="E484" s="12"/>
      <c r="F484" s="12"/>
      <c r="G484" s="12"/>
    </row>
    <row r="485" spans="1:7">
      <c r="A485" s="11"/>
      <c r="B485" s="12"/>
      <c r="C485" s="12"/>
      <c r="D485" s="12"/>
      <c r="E485" s="12"/>
      <c r="F485" s="12"/>
      <c r="G485" s="12"/>
    </row>
    <row r="486" spans="1:7">
      <c r="A486" s="11"/>
      <c r="B486" s="12"/>
      <c r="C486" s="12"/>
      <c r="D486" s="12"/>
      <c r="E486" s="12"/>
      <c r="F486" s="12"/>
      <c r="G486" s="12"/>
    </row>
    <row r="487" spans="1:7">
      <c r="A487" s="11"/>
      <c r="B487" s="12"/>
      <c r="C487" s="12"/>
      <c r="D487" s="12"/>
      <c r="E487" s="12"/>
      <c r="F487" s="12"/>
      <c r="G487" s="12"/>
    </row>
    <row r="488" spans="1:7">
      <c r="A488" s="11"/>
      <c r="B488" s="12"/>
      <c r="C488" s="12"/>
      <c r="D488" s="12"/>
      <c r="E488" s="12"/>
      <c r="F488" s="12"/>
      <c r="G488" s="12"/>
    </row>
    <row r="489" spans="1:7">
      <c r="A489" s="11"/>
      <c r="B489" s="12"/>
      <c r="C489" s="12"/>
      <c r="D489" s="12"/>
      <c r="E489" s="12"/>
      <c r="F489" s="12"/>
      <c r="G489" s="12"/>
    </row>
    <row r="490" spans="1:7">
      <c r="A490" s="11"/>
      <c r="B490" s="12"/>
      <c r="C490" s="12"/>
      <c r="D490" s="12"/>
      <c r="E490" s="12"/>
      <c r="F490" s="12"/>
      <c r="G490" s="12"/>
    </row>
    <row r="491" spans="1:7">
      <c r="A491" s="11"/>
      <c r="B491" s="12"/>
      <c r="C491" s="12"/>
      <c r="D491" s="12"/>
      <c r="E491" s="12"/>
      <c r="F491" s="12"/>
      <c r="G491" s="12"/>
    </row>
    <row r="492" spans="1:7">
      <c r="A492" s="11"/>
      <c r="B492" s="12"/>
      <c r="C492" s="12"/>
      <c r="D492" s="12"/>
      <c r="E492" s="12"/>
      <c r="F492" s="12"/>
      <c r="G492" s="12"/>
    </row>
    <row r="493" spans="1:7">
      <c r="A493" s="11"/>
      <c r="B493" s="12"/>
      <c r="C493" s="12"/>
      <c r="D493" s="12"/>
      <c r="E493" s="12"/>
      <c r="F493" s="12"/>
      <c r="G493" s="12"/>
    </row>
    <row r="494" spans="1:7">
      <c r="A494" s="11"/>
      <c r="B494" s="12"/>
      <c r="C494" s="12"/>
      <c r="D494" s="12"/>
      <c r="E494" s="12"/>
      <c r="F494" s="12"/>
      <c r="G494" s="12"/>
    </row>
    <row r="495" spans="1:7">
      <c r="A495" s="11"/>
      <c r="B495" s="12"/>
      <c r="C495" s="12"/>
      <c r="D495" s="12"/>
      <c r="E495" s="12"/>
      <c r="F495" s="12"/>
      <c r="G495" s="12"/>
    </row>
    <row r="496" spans="1:7">
      <c r="A496" s="11"/>
      <c r="B496" s="12"/>
      <c r="C496" s="12"/>
      <c r="D496" s="12"/>
      <c r="E496" s="12"/>
      <c r="F496" s="12"/>
      <c r="G496" s="12"/>
    </row>
    <row r="497" spans="1:7">
      <c r="A497" s="11"/>
      <c r="B497" s="12"/>
      <c r="C497" s="12"/>
      <c r="D497" s="12"/>
      <c r="E497" s="12"/>
      <c r="F497" s="12"/>
      <c r="G497" s="12"/>
    </row>
    <row r="498" spans="1:7">
      <c r="A498" s="11"/>
      <c r="B498" s="12"/>
      <c r="C498" s="12"/>
      <c r="D498" s="12"/>
      <c r="E498" s="12"/>
      <c r="F498" s="12"/>
      <c r="G498" s="12"/>
    </row>
    <row r="499" spans="1:7">
      <c r="A499" s="11"/>
      <c r="B499" s="12"/>
      <c r="C499" s="12"/>
      <c r="D499" s="12"/>
      <c r="E499" s="12"/>
      <c r="F499" s="12"/>
      <c r="G499" s="12"/>
    </row>
    <row r="500" spans="1:7">
      <c r="A500" s="11"/>
      <c r="B500" s="12"/>
      <c r="C500" s="12"/>
      <c r="D500" s="12"/>
      <c r="E500" s="12"/>
      <c r="F500" s="12"/>
      <c r="G500" s="12"/>
    </row>
    <row r="501" spans="1:7">
      <c r="A501" s="11"/>
      <c r="B501" s="12"/>
      <c r="C501" s="12"/>
      <c r="D501" s="12"/>
      <c r="E501" s="12"/>
      <c r="F501" s="12"/>
      <c r="G501" s="12"/>
    </row>
    <row r="502" spans="1:7">
      <c r="A502" s="11"/>
      <c r="B502" s="12"/>
      <c r="C502" s="12"/>
      <c r="D502" s="12"/>
      <c r="E502" s="12"/>
      <c r="F502" s="12"/>
      <c r="G502" s="12"/>
    </row>
    <row r="503" spans="1:7">
      <c r="A503" s="11"/>
      <c r="B503" s="12"/>
      <c r="C503" s="12"/>
      <c r="D503" s="12"/>
      <c r="E503" s="12"/>
      <c r="F503" s="12"/>
      <c r="G503" s="12"/>
    </row>
    <row r="504" spans="1:7">
      <c r="A504" s="11"/>
      <c r="B504" s="12"/>
      <c r="C504" s="12"/>
      <c r="D504" s="12"/>
      <c r="E504" s="12"/>
      <c r="F504" s="12"/>
      <c r="G504" s="12"/>
    </row>
    <row r="505" spans="1:7">
      <c r="A505" s="11"/>
      <c r="B505" s="12"/>
      <c r="C505" s="12"/>
      <c r="D505" s="12"/>
      <c r="E505" s="12"/>
      <c r="F505" s="12"/>
      <c r="G505" s="12"/>
    </row>
    <row r="506" spans="1:7">
      <c r="A506" s="11"/>
      <c r="B506" s="12"/>
      <c r="C506" s="12"/>
      <c r="D506" s="12"/>
      <c r="E506" s="12"/>
      <c r="F506" s="12"/>
      <c r="G506" s="12"/>
    </row>
    <row r="507" spans="1:7">
      <c r="A507" s="11"/>
      <c r="B507" s="12"/>
      <c r="C507" s="12"/>
      <c r="D507" s="12"/>
      <c r="E507" s="12"/>
      <c r="F507" s="12"/>
      <c r="G507" s="12"/>
    </row>
    <row r="508" spans="1:7">
      <c r="A508" s="11"/>
      <c r="B508" s="12"/>
      <c r="C508" s="12"/>
      <c r="D508" s="12"/>
      <c r="E508" s="12"/>
      <c r="F508" s="12"/>
      <c r="G508" s="12"/>
    </row>
    <row r="509" spans="1:7">
      <c r="A509" s="11"/>
      <c r="B509" s="12"/>
      <c r="C509" s="12"/>
      <c r="D509" s="12"/>
      <c r="E509" s="12"/>
      <c r="F509" s="12"/>
      <c r="G509" s="12"/>
    </row>
    <row r="510" spans="1:7">
      <c r="A510" s="11"/>
      <c r="B510" s="12"/>
      <c r="C510" s="12"/>
      <c r="D510" s="12"/>
      <c r="E510" s="12"/>
      <c r="F510" s="12"/>
      <c r="G510" s="12"/>
    </row>
    <row r="511" spans="1:7">
      <c r="A511" s="11"/>
      <c r="B511" s="12"/>
      <c r="C511" s="12"/>
      <c r="D511" s="12"/>
      <c r="E511" s="12"/>
      <c r="F511" s="12"/>
      <c r="G511" s="12"/>
    </row>
    <row r="512" spans="1:7">
      <c r="A512" s="11"/>
      <c r="B512" s="12"/>
      <c r="C512" s="12"/>
      <c r="D512" s="12"/>
      <c r="E512" s="12"/>
      <c r="F512" s="12"/>
      <c r="G512" s="12"/>
    </row>
    <row r="513" spans="1:7">
      <c r="A513" s="11"/>
      <c r="B513" s="12"/>
      <c r="C513" s="12"/>
      <c r="D513" s="12"/>
      <c r="E513" s="12"/>
      <c r="F513" s="12"/>
      <c r="G513" s="12"/>
    </row>
    <row r="514" spans="1:7">
      <c r="A514" s="11"/>
      <c r="B514" s="12"/>
      <c r="C514" s="12"/>
      <c r="D514" s="12"/>
      <c r="E514" s="12"/>
      <c r="F514" s="12"/>
      <c r="G514" s="12"/>
    </row>
    <row r="515" spans="1:7">
      <c r="A515" s="11"/>
      <c r="B515" s="12"/>
      <c r="C515" s="12"/>
      <c r="D515" s="12"/>
      <c r="E515" s="12"/>
      <c r="F515" s="12"/>
      <c r="G515" s="12"/>
    </row>
    <row r="516" spans="1:7">
      <c r="A516" s="11"/>
      <c r="B516" s="12"/>
      <c r="C516" s="12"/>
      <c r="D516" s="12"/>
      <c r="E516" s="12"/>
      <c r="F516" s="12"/>
      <c r="G516" s="12"/>
    </row>
    <row r="517" spans="1:7">
      <c r="A517" s="11"/>
      <c r="B517" s="12"/>
      <c r="C517" s="12"/>
      <c r="D517" s="12"/>
      <c r="E517" s="12"/>
      <c r="F517" s="12"/>
      <c r="G517" s="12"/>
    </row>
    <row r="518" spans="1:7">
      <c r="A518" s="11"/>
      <c r="B518" s="12"/>
      <c r="C518" s="12"/>
      <c r="D518" s="12"/>
      <c r="E518" s="12"/>
      <c r="F518" s="12"/>
      <c r="G518" s="12"/>
    </row>
    <row r="519" spans="1:7">
      <c r="A519" s="11"/>
      <c r="B519" s="12"/>
      <c r="C519" s="12"/>
      <c r="D519" s="12"/>
      <c r="E519" s="12"/>
      <c r="F519" s="12"/>
      <c r="G519" s="12"/>
    </row>
    <row r="520" spans="1:7">
      <c r="A520" s="11"/>
      <c r="B520" s="12"/>
      <c r="C520" s="12"/>
      <c r="D520" s="12"/>
      <c r="E520" s="12"/>
      <c r="F520" s="12"/>
      <c r="G520" s="12"/>
    </row>
    <row r="521" spans="1:7">
      <c r="A521" s="11"/>
      <c r="B521" s="12"/>
      <c r="C521" s="12"/>
      <c r="D521" s="12"/>
      <c r="E521" s="12"/>
      <c r="F521" s="12"/>
      <c r="G521" s="12"/>
    </row>
    <row r="522" spans="1:7">
      <c r="A522" s="11"/>
      <c r="B522" s="12"/>
      <c r="C522" s="12"/>
      <c r="D522" s="12"/>
      <c r="E522" s="12"/>
      <c r="F522" s="12"/>
      <c r="G522" s="12"/>
    </row>
    <row r="523" spans="1:7">
      <c r="A523" s="11"/>
      <c r="B523" s="12"/>
      <c r="C523" s="12"/>
      <c r="D523" s="12"/>
      <c r="E523" s="12"/>
      <c r="F523" s="12"/>
      <c r="G523" s="12"/>
    </row>
    <row r="524" spans="1:7">
      <c r="A524" s="11"/>
      <c r="B524" s="12"/>
      <c r="C524" s="12"/>
      <c r="D524" s="12"/>
      <c r="E524" s="12"/>
      <c r="F524" s="12"/>
      <c r="G524" s="12"/>
    </row>
    <row r="525" spans="1:7">
      <c r="A525" s="11"/>
      <c r="B525" s="12"/>
      <c r="C525" s="12"/>
      <c r="D525" s="12"/>
      <c r="E525" s="12"/>
      <c r="F525" s="12"/>
      <c r="G525" s="12"/>
    </row>
    <row r="526" spans="1:7">
      <c r="A526" s="11"/>
      <c r="B526" s="12"/>
      <c r="C526" s="12"/>
      <c r="D526" s="12"/>
      <c r="E526" s="12"/>
      <c r="F526" s="12"/>
      <c r="G526" s="12"/>
    </row>
    <row r="527" spans="1:7">
      <c r="A527" s="11"/>
      <c r="B527" s="12"/>
      <c r="C527" s="12"/>
      <c r="D527" s="12"/>
      <c r="E527" s="12"/>
      <c r="F527" s="12"/>
      <c r="G527" s="12"/>
    </row>
    <row r="528" spans="1:7">
      <c r="A528" s="11"/>
      <c r="B528" s="12"/>
      <c r="C528" s="12"/>
      <c r="D528" s="12"/>
      <c r="E528" s="12"/>
      <c r="F528" s="12"/>
      <c r="G528" s="12"/>
    </row>
    <row r="529" spans="1:7">
      <c r="A529" s="11"/>
      <c r="B529" s="12"/>
      <c r="C529" s="12"/>
      <c r="D529" s="12"/>
      <c r="E529" s="12"/>
      <c r="F529" s="12"/>
      <c r="G529" s="12"/>
    </row>
    <row r="530" spans="1:7">
      <c r="A530" s="11"/>
      <c r="B530" s="12"/>
      <c r="C530" s="12"/>
      <c r="D530" s="12"/>
      <c r="E530" s="12"/>
      <c r="F530" s="12"/>
      <c r="G530" s="12"/>
    </row>
    <row r="531" spans="1:7">
      <c r="A531" s="11"/>
      <c r="B531" s="12"/>
      <c r="C531" s="12"/>
      <c r="D531" s="12"/>
      <c r="E531" s="12"/>
      <c r="F531" s="12"/>
      <c r="G531" s="12"/>
    </row>
    <row r="532" spans="1:7">
      <c r="A532" s="11"/>
      <c r="B532" s="12"/>
      <c r="C532" s="12"/>
      <c r="D532" s="12"/>
      <c r="E532" s="12"/>
      <c r="F532" s="12"/>
      <c r="G532" s="12"/>
    </row>
    <row r="533" spans="1:7">
      <c r="A533" s="11"/>
      <c r="B533" s="12"/>
      <c r="C533" s="12"/>
      <c r="D533" s="12"/>
      <c r="E533" s="12"/>
      <c r="F533" s="12"/>
      <c r="G533" s="12"/>
    </row>
    <row r="534" spans="1:7">
      <c r="A534" s="11"/>
      <c r="B534" s="12"/>
      <c r="C534" s="12"/>
      <c r="D534" s="12"/>
      <c r="E534" s="12"/>
      <c r="F534" s="12"/>
      <c r="G534" s="12"/>
    </row>
    <row r="535" spans="1:7">
      <c r="A535" s="11"/>
      <c r="B535" s="12"/>
      <c r="C535" s="12"/>
      <c r="D535" s="12"/>
      <c r="E535" s="12"/>
      <c r="F535" s="12"/>
      <c r="G535" s="12"/>
    </row>
    <row r="536" spans="1:7">
      <c r="A536" s="11"/>
      <c r="B536" s="12"/>
      <c r="C536" s="12"/>
      <c r="D536" s="12"/>
      <c r="E536" s="12"/>
      <c r="F536" s="12"/>
      <c r="G536" s="12"/>
    </row>
    <row r="537" spans="1:7">
      <c r="A537" s="11"/>
      <c r="B537" s="12"/>
      <c r="C537" s="12"/>
      <c r="D537" s="12"/>
      <c r="E537" s="12"/>
      <c r="F537" s="12"/>
      <c r="G537" s="12"/>
    </row>
    <row r="538" spans="1:7">
      <c r="A538" s="11"/>
      <c r="B538" s="12"/>
      <c r="C538" s="12"/>
      <c r="D538" s="12"/>
      <c r="E538" s="12"/>
      <c r="F538" s="12"/>
      <c r="G538" s="12"/>
    </row>
    <row r="539" spans="1:7">
      <c r="A539" s="11"/>
      <c r="B539" s="12"/>
      <c r="C539" s="12"/>
      <c r="D539" s="12"/>
      <c r="E539" s="12"/>
      <c r="F539" s="12"/>
      <c r="G539" s="12"/>
    </row>
    <row r="540" spans="1:7">
      <c r="A540" s="11"/>
      <c r="B540" s="12"/>
      <c r="C540" s="12"/>
      <c r="D540" s="12"/>
      <c r="E540" s="12"/>
      <c r="F540" s="12"/>
      <c r="G540" s="12"/>
    </row>
    <row r="541" spans="1:7">
      <c r="A541" s="11"/>
      <c r="B541" s="12"/>
      <c r="C541" s="12"/>
      <c r="D541" s="12"/>
      <c r="E541" s="12"/>
      <c r="F541" s="12"/>
      <c r="G541" s="12"/>
    </row>
    <row r="542" spans="1:7">
      <c r="A542" s="11"/>
      <c r="B542" s="12"/>
      <c r="C542" s="12"/>
      <c r="D542" s="12"/>
      <c r="E542" s="12"/>
      <c r="F542" s="12"/>
      <c r="G542" s="12"/>
    </row>
    <row r="543" spans="1:7">
      <c r="A543" s="11"/>
      <c r="B543" s="12"/>
      <c r="C543" s="12"/>
      <c r="D543" s="12"/>
      <c r="E543" s="12"/>
      <c r="F543" s="12"/>
      <c r="G543" s="12"/>
    </row>
    <row r="544" spans="1:7">
      <c r="A544" s="11"/>
      <c r="B544" s="12"/>
      <c r="C544" s="12"/>
      <c r="D544" s="12"/>
      <c r="E544" s="12"/>
      <c r="F544" s="12"/>
      <c r="G544" s="12"/>
    </row>
    <row r="545" spans="1:7">
      <c r="A545" s="11"/>
      <c r="B545" s="12"/>
      <c r="C545" s="12"/>
      <c r="D545" s="12"/>
      <c r="E545" s="12"/>
      <c r="F545" s="12"/>
      <c r="G545" s="12"/>
    </row>
    <row r="546" spans="1:7">
      <c r="A546" s="11"/>
      <c r="B546" s="12"/>
      <c r="C546" s="12"/>
      <c r="D546" s="12"/>
      <c r="E546" s="12"/>
      <c r="F546" s="12"/>
      <c r="G546" s="12"/>
    </row>
    <row r="547" spans="1:7">
      <c r="A547" s="11"/>
      <c r="B547" s="12"/>
      <c r="C547" s="12"/>
      <c r="D547" s="12"/>
      <c r="E547" s="12"/>
      <c r="F547" s="12"/>
      <c r="G547" s="12"/>
    </row>
    <row r="548" spans="1:7">
      <c r="A548" s="11"/>
      <c r="B548" s="12"/>
      <c r="C548" s="12"/>
      <c r="D548" s="12"/>
      <c r="E548" s="12"/>
      <c r="F548" s="12"/>
      <c r="G548" s="12"/>
    </row>
    <row r="549" spans="1:7">
      <c r="A549" s="11"/>
      <c r="B549" s="12"/>
      <c r="C549" s="12"/>
      <c r="D549" s="12"/>
      <c r="E549" s="12"/>
      <c r="F549" s="12"/>
      <c r="G549" s="12"/>
    </row>
    <row r="550" spans="1:7">
      <c r="A550" s="11"/>
      <c r="B550" s="12"/>
      <c r="C550" s="12"/>
      <c r="D550" s="12"/>
      <c r="E550" s="12"/>
      <c r="F550" s="12"/>
      <c r="G550" s="12"/>
    </row>
    <row r="551" spans="1:7">
      <c r="A551" s="11"/>
      <c r="B551" s="12"/>
      <c r="C551" s="12"/>
      <c r="D551" s="12"/>
      <c r="E551" s="12"/>
      <c r="F551" s="12"/>
      <c r="G551" s="12"/>
    </row>
    <row r="552" spans="1:7">
      <c r="A552" s="11"/>
      <c r="B552" s="12"/>
      <c r="C552" s="12"/>
      <c r="D552" s="12"/>
      <c r="E552" s="12"/>
      <c r="F552" s="12"/>
      <c r="G552" s="12"/>
    </row>
    <row r="553" spans="1:7">
      <c r="A553" s="11"/>
      <c r="B553" s="12"/>
      <c r="C553" s="12"/>
      <c r="D553" s="12"/>
      <c r="E553" s="12"/>
      <c r="F553" s="12"/>
      <c r="G553" s="12"/>
    </row>
    <row r="554" spans="1:7">
      <c r="A554" s="11"/>
      <c r="B554" s="12"/>
      <c r="C554" s="12"/>
      <c r="D554" s="12"/>
      <c r="E554" s="12"/>
      <c r="F554" s="12"/>
      <c r="G554" s="12"/>
    </row>
    <row r="555" spans="1:7">
      <c r="A555" s="11"/>
      <c r="B555" s="12"/>
      <c r="C555" s="12"/>
      <c r="D555" s="12"/>
      <c r="E555" s="12"/>
      <c r="F555" s="12"/>
      <c r="G555" s="12"/>
    </row>
    <row r="556" spans="1:7">
      <c r="A556" s="11"/>
      <c r="B556" s="12"/>
      <c r="C556" s="12"/>
      <c r="D556" s="12"/>
      <c r="E556" s="12"/>
      <c r="F556" s="12"/>
      <c r="G556" s="12"/>
    </row>
    <row r="557" spans="1:7">
      <c r="A557" s="11"/>
      <c r="B557" s="12"/>
      <c r="C557" s="12"/>
      <c r="D557" s="12"/>
      <c r="E557" s="12"/>
      <c r="F557" s="12"/>
      <c r="G557" s="12"/>
    </row>
    <row r="558" spans="1:7">
      <c r="A558" s="11"/>
      <c r="B558" s="12"/>
      <c r="C558" s="12"/>
      <c r="D558" s="12"/>
      <c r="E558" s="12"/>
      <c r="F558" s="12"/>
      <c r="G558" s="12"/>
    </row>
    <row r="559" spans="1:7">
      <c r="A559" s="11"/>
      <c r="B559" s="12"/>
      <c r="C559" s="12"/>
      <c r="D559" s="12"/>
      <c r="E559" s="12"/>
      <c r="F559" s="12"/>
      <c r="G559" s="12"/>
    </row>
    <row r="560" spans="1:7">
      <c r="A560" s="11"/>
      <c r="B560" s="12"/>
      <c r="C560" s="12"/>
      <c r="D560" s="12"/>
      <c r="E560" s="12"/>
      <c r="F560" s="12"/>
      <c r="G560" s="12"/>
    </row>
    <row r="561" spans="1:7">
      <c r="A561" s="11"/>
      <c r="B561" s="12"/>
      <c r="C561" s="12"/>
      <c r="D561" s="12"/>
      <c r="E561" s="12"/>
      <c r="F561" s="12"/>
      <c r="G561" s="12"/>
    </row>
    <row r="562" spans="1:7">
      <c r="A562" s="11"/>
      <c r="B562" s="12"/>
      <c r="C562" s="12"/>
      <c r="D562" s="12"/>
      <c r="E562" s="12"/>
      <c r="F562" s="12"/>
      <c r="G562" s="12"/>
    </row>
    <row r="563" spans="1:7">
      <c r="A563" s="11"/>
      <c r="B563" s="12"/>
      <c r="C563" s="12"/>
      <c r="D563" s="12"/>
      <c r="E563" s="12"/>
      <c r="F563" s="12"/>
      <c r="G563" s="12"/>
    </row>
    <row r="564" spans="1:7">
      <c r="A564" s="11"/>
      <c r="B564" s="12"/>
      <c r="C564" s="12"/>
      <c r="D564" s="12"/>
      <c r="E564" s="12"/>
      <c r="F564" s="12"/>
      <c r="G564" s="12"/>
    </row>
  </sheetData>
  <customSheetViews>
    <customSheetView guid="{03091628-F6D4-4F96-BE8D-F71180D05B85}" showPageBreaks="1" printArea="1" showRuler="0">
      <pane xSplit="1" topLeftCell="B1" activePane="topRight" state="frozen"/>
      <selection pane="topRight" activeCell="D18" sqref="D18"/>
      <pageMargins left="0.56000000000000005" right="0.38" top="1" bottom="1" header="0.5" footer="0.5"/>
      <pageSetup paperSize="9" scale="78" orientation="portrait" r:id="rId1"/>
      <headerFooter alignWithMargins="0"/>
    </customSheetView>
    <customSheetView guid="{271AA8F8-60C3-4229-917D-1AD0132C3662}" showRuler="0">
      <pane xSplit="1" topLeftCell="B1" activePane="topRight" state="frozen"/>
      <selection pane="topRight" activeCell="D18" sqref="D18"/>
      <pageMargins left="0.56000000000000005" right="0.38" top="1" bottom="1" header="0.5" footer="0.5"/>
      <pageSetup paperSize="9" scale="78" orientation="portrait" r:id="rId2"/>
      <headerFooter alignWithMargins="0"/>
    </customSheetView>
    <customSheetView guid="{14901331-E232-4D80-AB2F-46B07F54F7E7}" showPageBreaks="1" printArea="1" showRuler="0">
      <pane xSplit="1" topLeftCell="B1" activePane="topRight" state="frozen"/>
      <selection pane="topRight" activeCell="D18" sqref="D18"/>
      <pageMargins left="0.56000000000000005" right="0.38" top="1" bottom="1" header="0.5" footer="0.5"/>
      <pageSetup paperSize="9" scale="78" orientation="portrait" r:id="rId3"/>
      <headerFooter alignWithMargins="0"/>
    </customSheetView>
    <customSheetView guid="{1B8A84A3-3ABB-4F6A-9729-15A06ABCCAD7}" showPageBreaks="1" printArea="1" showRuler="0">
      <pane xSplit="1" topLeftCell="B1" activePane="topRight" state="frozen"/>
      <selection pane="topRight" activeCell="D6" sqref="D6"/>
      <pageMargins left="0.56000000000000005" right="0.38" top="1" bottom="1" header="0.5" footer="0.5"/>
      <pageSetup paperSize="9" scale="78" orientation="portrait" r:id="rId4"/>
      <headerFooter alignWithMargins="0"/>
    </customSheetView>
  </customSheetViews>
  <mergeCells count="6">
    <mergeCell ref="A1:G3"/>
    <mergeCell ref="G4:G5"/>
    <mergeCell ref="A4:A5"/>
    <mergeCell ref="B4:B5"/>
    <mergeCell ref="C4:C5"/>
    <mergeCell ref="D4:F4"/>
  </mergeCells>
  <phoneticPr fontId="0" type="noConversion"/>
  <pageMargins left="0.56000000000000005" right="0.38" top="1" bottom="1" header="0.5" footer="0.5"/>
  <pageSetup paperSize="9" scale="78" orientation="portrait" r:id="rId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AD</vt:lpstr>
      <vt:lpstr>Açılış Denetimi</vt:lpstr>
      <vt:lpstr>Kapanış Denetimi</vt:lpstr>
      <vt:lpstr>Çağrı İzleme</vt:lpstr>
      <vt:lpstr>Kafa Sayımı</vt:lpstr>
      <vt:lpstr>Kafa Sayımı Veri Girişi</vt:lpstr>
      <vt:lpstr>Güvenlik Kapıları İstatistiği</vt:lpstr>
      <vt:lpstr>Sabah-Akşam İade Rafı Durumu</vt:lpstr>
      <vt:lpstr>BOŞ </vt:lpstr>
      <vt:lpstr>'BOŞ '!Print_Area</vt:lpstr>
    </vt:vector>
  </TitlesOfParts>
  <Company>Sabancı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mmanyas</dc:creator>
  <cp:lastModifiedBy>Asuman Akyuz</cp:lastModifiedBy>
  <cp:lastPrinted>2010-01-21T09:50:16Z</cp:lastPrinted>
  <dcterms:created xsi:type="dcterms:W3CDTF">2006-03-03T18:06:26Z</dcterms:created>
  <dcterms:modified xsi:type="dcterms:W3CDTF">2012-04-19T06:20:13Z</dcterms:modified>
</cp:coreProperties>
</file>